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724" firstSheet="2" activeTab="3" autoFilterDateGrouping="1"/>
  </bookViews>
  <sheets>
    <sheet xmlns:r="http://schemas.openxmlformats.org/officeDocument/2006/relationships" name="Zbiorczy" sheetId="1" state="hidden" r:id="rId1"/>
    <sheet xmlns:r="http://schemas.openxmlformats.org/officeDocument/2006/relationships" name="Kopia" sheetId="2" state="hidden" r:id="rId2"/>
    <sheet xmlns:r="http://schemas.openxmlformats.org/officeDocument/2006/relationships" name="Listy" sheetId="3" state="visible" r:id="rId3"/>
    <sheet xmlns:r="http://schemas.openxmlformats.org/officeDocument/2006/relationships" name="Schemat" sheetId="4" state="visible" r:id="rId4"/>
    <sheet xmlns:r="http://schemas.openxmlformats.org/officeDocument/2006/relationships" name="I_Wzorcowa_BD" sheetId="5" state="visible" r:id="rId5"/>
    <sheet xmlns:r="http://schemas.openxmlformats.org/officeDocument/2006/relationships" name="II_Baza_BDP" sheetId="6" state="visible" r:id="rId6"/>
    <sheet xmlns:r="http://schemas.openxmlformats.org/officeDocument/2006/relationships" name="IV_Baza_BDCB" sheetId="7" state="visible" r:id="rId7"/>
    <sheet xmlns:r="http://schemas.openxmlformats.org/officeDocument/2006/relationships" name="III_Model_PT" sheetId="8" state="visible" r:id="rId8"/>
    <sheet xmlns:r="http://schemas.openxmlformats.org/officeDocument/2006/relationships" name="V_Model_CB" sheetId="9" state="visible" r:id="rId9"/>
    <sheet xmlns:r="http://schemas.openxmlformats.org/officeDocument/2006/relationships" name="VI_Baza_BDKZ" sheetId="10" state="visible" r:id="rId10"/>
    <sheet xmlns:r="http://schemas.openxmlformats.org/officeDocument/2006/relationships" name="VIII_Baza_BDWMS" sheetId="11" state="visible" r:id="rId11"/>
    <sheet xmlns:r="http://schemas.openxmlformats.org/officeDocument/2006/relationships" name="VII_Model_PKZ" sheetId="12" state="visible" r:id="rId12"/>
    <sheet xmlns:r="http://schemas.openxmlformats.org/officeDocument/2006/relationships" name="IX_Model_MWS" sheetId="13" state="visible" r:id="rId13"/>
    <sheet xmlns:r="http://schemas.openxmlformats.org/officeDocument/2006/relationships" name="X_Platf_WMS" sheetId="14" state="visible" r:id="rId14"/>
    <sheet xmlns:r="http://schemas.openxmlformats.org/officeDocument/2006/relationships" name="XI_Wdrożenie" sheetId="15" state="visible" r:id="rId15"/>
    <sheet xmlns:r="http://schemas.openxmlformats.org/officeDocument/2006/relationships" name="XII_Zielony" sheetId="16" state="visible" r:id="rId16"/>
    <sheet xmlns:r="http://schemas.openxmlformats.org/officeDocument/2006/relationships" name="Karta" sheetId="17" state="visible" r:id="rId17"/>
    <sheet xmlns:r="http://schemas.openxmlformats.org/officeDocument/2006/relationships" name="Kalendarz" sheetId="18" state="visible" r:id="rId18"/>
  </sheets>
  <definedNames>
    <definedName name="_xlnm._FilterDatabase" localSheetId="0" hidden="1">'Zbiorczy'!$A$1:$CE$1299</definedName>
    <definedName name="_xlnm._FilterDatabase" localSheetId="17" hidden="1">'Kalendarz'!$AE$2:$AE$301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mmm/yyyy"/>
    <numFmt numFmtId="165" formatCode="_-* #,##0.00\ &quot;zł&quot;_-;\-* #,##0.00\ &quot;zł&quot;_-;_-* &quot;-&quot;??\ &quot;zł&quot;_-;_-@_-"/>
    <numFmt numFmtId="166" formatCode="_-* #,##0_-;\-* #,##0_-;_-* &quot;-&quot;??_-;_-@_-"/>
    <numFmt numFmtId="167" formatCode="0.0%"/>
    <numFmt numFmtId="168" formatCode="_-* #,##0.0_-;\-* #,##0.0_-;_-* &quot;-&quot;??_-;_-@_-"/>
    <numFmt numFmtId="169" formatCode="0.0"/>
  </numFmts>
  <fonts count="79">
    <font>
      <name val="Calibri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4"/>
    </font>
    <font>
      <name val="Calibri"/>
      <charset val="238"/>
      <family val="2"/>
      <sz val="11"/>
    </font>
    <font>
      <name val="Calibri"/>
      <charset val="238"/>
      <family val="2"/>
      <b val="1"/>
      <color theme="1"/>
      <sz val="11"/>
    </font>
    <font>
      <name val="Calibri"/>
      <charset val="238"/>
      <family val="2"/>
      <color theme="1"/>
      <sz val="11"/>
    </font>
    <font>
      <name val="Calibri"/>
      <charset val="238"/>
      <family val="2"/>
      <b val="1"/>
      <color rgb="FF000000"/>
      <sz val="11"/>
    </font>
    <font>
      <name val="Calibri"/>
      <charset val="238"/>
      <family val="2"/>
      <color rgb="FFFF0000"/>
      <sz val="11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rgb="FF000000"/>
      <sz val="12"/>
    </font>
    <font>
      <name val="Calibri"/>
      <charset val="238"/>
      <family val="2"/>
      <color rgb="FF000000"/>
      <sz val="12"/>
    </font>
    <font>
      <name val="Calibri"/>
      <charset val="238"/>
      <family val="2"/>
      <strike val="1"/>
      <color theme="1"/>
      <sz val="11"/>
    </font>
    <font>
      <name val="Calibri"/>
      <charset val="238"/>
      <family val="2"/>
      <color theme="1"/>
      <sz val="14"/>
    </font>
    <font>
      <name val="Calibri"/>
      <charset val="238"/>
      <family val="2"/>
      <strike val="1"/>
      <color theme="1"/>
      <sz val="11"/>
      <scheme val="minor"/>
    </font>
    <font>
      <name val="Calibri"/>
      <charset val="238"/>
      <family val="2"/>
      <color rgb="FFFF0000"/>
      <sz val="12"/>
    </font>
    <font>
      <name val="Calibri"/>
      <charset val="238"/>
      <family val="2"/>
      <b val="1"/>
      <strike val="1"/>
      <color rgb="FF000000"/>
      <sz val="12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color theme="1"/>
      <sz val="11"/>
    </font>
    <font>
      <name val="Calibri"/>
      <charset val="238"/>
      <family val="2"/>
      <sz val="8"/>
      <scheme val="minor"/>
    </font>
    <font>
      <name val="Tahoma"/>
      <charset val="238"/>
      <family val="2"/>
      <color indexed="81"/>
      <sz val="9"/>
    </font>
    <font>
      <name val="Tahoma"/>
      <charset val="238"/>
      <family val="2"/>
      <b val="1"/>
      <color indexed="81"/>
      <sz val="9"/>
    </font>
    <font>
      <name val="Calibri"/>
      <charset val="238"/>
      <family val="2"/>
      <b val="1"/>
      <color theme="1"/>
      <sz val="11"/>
    </font>
    <font>
      <name val="Calibri"/>
      <charset val="238"/>
      <family val="2"/>
      <sz val="11"/>
    </font>
    <font>
      <name val="Calibri"/>
      <charset val="238"/>
      <family val="2"/>
      <color theme="1"/>
      <sz val="12"/>
    </font>
    <font>
      <name val="Calibri"/>
      <charset val="238"/>
      <family val="2"/>
      <color rgb="FF000000"/>
      <sz val="11"/>
      <scheme val="minor"/>
    </font>
    <font>
      <name val="Calibri"/>
      <charset val="238"/>
      <family val="2"/>
      <b val="1"/>
      <sz val="11"/>
    </font>
    <font>
      <name val="Calibri"/>
      <charset val="238"/>
      <family val="2"/>
      <sz val="8"/>
      <scheme val="minor"/>
    </font>
    <font>
      <name val="Calibri"/>
      <charset val="238"/>
      <family val="2"/>
      <color rgb="FF000000"/>
      <sz val="11"/>
    </font>
    <font>
      <name val="Calibri"/>
      <charset val="238"/>
      <family val="2"/>
      <i val="1"/>
      <color rgb="FF00B050"/>
      <sz val="11"/>
    </font>
    <font>
      <name val="Calibri"/>
      <charset val="238"/>
      <family val="2"/>
      <sz val="9"/>
    </font>
    <font>
      <name val="Calibri"/>
      <charset val="238"/>
      <family val="2"/>
      <color rgb="FF000000"/>
      <sz val="9"/>
    </font>
    <font>
      <name val="Calibri"/>
      <charset val="238"/>
      <family val="2"/>
      <color theme="1"/>
      <sz val="9"/>
      <scheme val="minor"/>
    </font>
    <font>
      <name val="Calibri"/>
      <charset val="238"/>
      <family val="2"/>
      <b val="1"/>
      <sz val="12"/>
    </font>
    <font>
      <name val="Calibri"/>
      <charset val="238"/>
      <family val="2"/>
      <sz val="10"/>
    </font>
    <font>
      <name val="Calibri"/>
      <charset val="238"/>
      <family val="2"/>
      <color theme="1"/>
      <sz val="10"/>
      <scheme val="minor"/>
    </font>
    <font>
      <name val="Calibri"/>
      <charset val="238"/>
      <family val="2"/>
      <color theme="1"/>
      <sz val="9"/>
    </font>
    <font>
      <name val="Calibri"/>
      <charset val="238"/>
      <family val="2"/>
      <i val="1"/>
      <color theme="1"/>
      <sz val="9"/>
      <scheme val="minor"/>
    </font>
    <font>
      <name val="Calibri"/>
      <charset val="238"/>
      <family val="2"/>
      <b val="1"/>
      <i val="1"/>
      <color theme="1"/>
      <sz val="9"/>
      <scheme val="minor"/>
    </font>
    <font>
      <name val="Calibri"/>
      <charset val="238"/>
      <family val="2"/>
      <b val="1"/>
      <color rgb="FF000000"/>
      <sz val="9"/>
    </font>
    <font>
      <name val="Calibri"/>
      <charset val="238"/>
      <family val="2"/>
      <b val="1"/>
      <color rgb="FF000000"/>
      <sz val="11"/>
    </font>
    <font>
      <name val="Calibri"/>
      <charset val="238"/>
      <family val="2"/>
      <b val="1"/>
      <color theme="1"/>
      <sz val="14"/>
    </font>
    <font>
      <name val="Calibri"/>
      <charset val="238"/>
      <family val="2"/>
      <b val="1"/>
      <color theme="0"/>
      <sz val="11"/>
      <scheme val="minor"/>
    </font>
    <font>
      <name val="Calibri"/>
      <charset val="238"/>
      <family val="2"/>
      <sz val="14"/>
    </font>
    <font>
      <name val="Calibri"/>
      <charset val="238"/>
      <family val="2"/>
      <b val="1"/>
      <sz val="14"/>
    </font>
    <font>
      <name val="Calibri"/>
      <charset val="238"/>
      <family val="2"/>
      <color theme="1"/>
      <sz val="14"/>
      <scheme val="minor"/>
    </font>
    <font>
      <name val="Calibri"/>
      <charset val="238"/>
      <family val="2"/>
      <color theme="0"/>
      <sz val="11"/>
      <scheme val="minor"/>
    </font>
    <font>
      <name val="Calibri"/>
      <charset val="238"/>
      <family val="2"/>
      <i val="1"/>
      <color theme="1"/>
      <sz val="10"/>
      <scheme val="minor"/>
    </font>
    <font>
      <name val="Calibri"/>
      <charset val="238"/>
      <family val="2"/>
      <i val="1"/>
      <color theme="1"/>
      <sz val="10"/>
    </font>
    <font>
      <name val="Calibri"/>
      <charset val="238"/>
      <family val="2"/>
      <b val="1"/>
      <i val="1"/>
      <color theme="1"/>
      <sz val="11"/>
      <scheme val="minor"/>
    </font>
    <font>
      <name val="Calibri"/>
      <charset val="238"/>
      <family val="2"/>
      <color theme="0"/>
      <sz val="11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sz val="8"/>
      <scheme val="minor"/>
    </font>
    <font>
      <name val="Calibri"/>
      <charset val="238"/>
      <family val="2"/>
      <b val="1"/>
      <color theme="1"/>
      <sz val="14"/>
      <scheme val="minor"/>
    </font>
    <font>
      <name val="Calibri"/>
      <charset val="238"/>
      <family val="2"/>
      <b val="1"/>
      <color rgb="FF000000"/>
      <sz val="12"/>
      <scheme val="minor"/>
    </font>
    <font>
      <name val="Calibri"/>
      <charset val="238"/>
      <family val="2"/>
      <b val="1"/>
      <i val="1"/>
      <color rgb="FF000000"/>
      <sz val="12"/>
      <scheme val="minor"/>
    </font>
    <font>
      <name val="Calibri"/>
      <charset val="238"/>
      <family val="2"/>
      <color rgb="FF000000"/>
      <sz val="10"/>
      <scheme val="minor"/>
    </font>
    <font>
      <name val="Calibri"/>
      <charset val="238"/>
      <family val="2"/>
      <sz val="8"/>
      <scheme val="minor"/>
    </font>
    <font>
      <name val="Calibri"/>
      <charset val="238"/>
      <family val="2"/>
      <color rgb="FF000000"/>
      <sz val="12"/>
      <scheme val="minor"/>
    </font>
    <font>
      <name val="Calibri"/>
      <charset val="238"/>
      <family val="2"/>
      <b val="1"/>
      <color rgb="FF000000"/>
      <sz val="11"/>
      <scheme val="minor"/>
    </font>
    <font>
      <name val="Calibri"/>
      <charset val="238"/>
      <family val="2"/>
      <b val="1"/>
      <strike val="1"/>
      <color theme="1"/>
      <sz val="14"/>
    </font>
    <font>
      <name val="Calibri"/>
      <sz val="8"/>
      <scheme val="minor"/>
    </font>
    <font>
      <name val="Calibri"/>
      <charset val="238"/>
      <family val="2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charset val="238"/>
      <family val="2"/>
      <color rgb="FFFFFF00"/>
      <sz val="11"/>
    </font>
    <font>
      <name val="Calibri"/>
      <charset val="238"/>
      <family val="2"/>
      <b val="1"/>
      <sz val="11"/>
      <scheme val="minor"/>
    </font>
    <font>
      <name val="Calibri"/>
      <charset val="238"/>
      <family val="2"/>
      <sz val="8"/>
    </font>
    <font>
      <name val="Calibri"/>
      <charset val="238"/>
      <family val="2"/>
      <color theme="6" tint="0.5999938962981048"/>
      <sz val="8"/>
    </font>
    <font>
      <name val="Calibri"/>
      <charset val="238"/>
      <family val="2"/>
      <color theme="6" tint="0.5999938962981048"/>
      <sz val="11"/>
      <scheme val="minor"/>
    </font>
    <font>
      <name val="Calibri"/>
      <charset val="238"/>
      <family val="2"/>
      <b val="1"/>
      <color theme="0"/>
      <sz val="11"/>
    </font>
    <font>
      <name val="Calibri"/>
      <charset val="238"/>
      <family val="2"/>
      <b val="1"/>
      <color rgb="FF000000"/>
      <sz val="14"/>
    </font>
    <font>
      <name val="Calibri"/>
      <charset val="238"/>
      <family val="2"/>
      <i val="1"/>
      <color theme="1"/>
      <sz val="11"/>
      <scheme val="minor"/>
    </font>
    <font>
      <name val="Calibri"/>
      <charset val="238"/>
      <family val="2"/>
      <b val="1"/>
      <color theme="1"/>
      <sz val="11"/>
      <u val="single"/>
    </font>
    <font>
      <name val="Arial"/>
      <b val="1"/>
      <color rgb="00FFFFFF"/>
      <sz val="8"/>
    </font>
  </fonts>
  <fills count="32">
    <fill>
      <patternFill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ED7D31"/>
        <bgColor rgb="FFED7D31"/>
      </patternFill>
    </fill>
    <fill>
      <patternFill patternType="solid">
        <fgColor rgb="FFD9EAD3"/>
        <bgColor rgb="FFD9EAD3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rgb="FFF4B083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rgb="FF57BB8A"/>
      </patternFill>
    </fill>
    <fill>
      <patternFill patternType="solid">
        <fgColor rgb="FF00B0F0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rgb="FFFFE599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F4CCCC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1F3864"/>
        <bgColor rgb="001F3864"/>
      </patternFill>
    </fill>
  </fills>
  <borders count="4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14"/>
    <xf numFmtId="44" fontId="55" fillId="0" borderId="14"/>
    <xf numFmtId="9" fontId="55" fillId="0" borderId="14"/>
    <xf numFmtId="43" fontId="55" fillId="0" borderId="14"/>
  </cellStyleXfs>
  <cellXfs count="693">
    <xf numFmtId="0" fontId="0" fillId="0" borderId="0" pivotButton="0" quotePrefix="0" xfId="0"/>
    <xf numFmtId="0" fontId="10" fillId="0" borderId="2" pivotButton="0" quotePrefix="0" xfId="0"/>
    <xf numFmtId="0" fontId="10" fillId="0" borderId="2" pivotButton="0" quotePrefix="0" xfId="0"/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7" fillId="0" borderId="2" pivotButton="0" quotePrefix="0" xfId="0"/>
    <xf numFmtId="0" fontId="10" fillId="0" borderId="4" pivotButton="0" quotePrefix="0" xfId="0"/>
    <xf numFmtId="0" fontId="10" fillId="0" borderId="3" pivotButton="0" quotePrefix="0" xfId="0"/>
    <xf numFmtId="0" fontId="10" fillId="2" borderId="9" pivotButton="0" quotePrefix="0" xfId="0"/>
    <xf numFmtId="0" fontId="10" fillId="2" borderId="9" pivotButton="0" quotePrefix="0" xfId="0"/>
    <xf numFmtId="10" fontId="10" fillId="0" borderId="4" pivotButton="0" quotePrefix="0" xfId="0"/>
    <xf numFmtId="0" fontId="10" fillId="0" borderId="0" pivotButton="0" quotePrefix="0" xfId="0"/>
    <xf numFmtId="0" fontId="10" fillId="0" borderId="10" pivotButton="0" quotePrefix="0" xfId="0"/>
    <xf numFmtId="0" fontId="10" fillId="0" borderId="3" pivotButton="0" quotePrefix="0" xfId="0"/>
    <xf numFmtId="0" fontId="10" fillId="0" borderId="5" pivotButton="0" quotePrefix="0" xfId="0"/>
    <xf numFmtId="0" fontId="13" fillId="0" borderId="0" pivotButton="0" quotePrefix="0" xfId="0"/>
    <xf numFmtId="0" fontId="9" fillId="0" borderId="2" pivotButton="0" quotePrefix="0" xfId="0"/>
    <xf numFmtId="0" fontId="10" fillId="0" borderId="2" pivotButton="0" quotePrefix="0" xfId="0"/>
    <xf numFmtId="0" fontId="10" fillId="0" borderId="3" applyAlignment="1" pivotButton="0" quotePrefix="0" xfId="0">
      <alignment horizontal="right"/>
    </xf>
    <xf numFmtId="0" fontId="10" fillId="0" borderId="7" pivotButton="0" quotePrefix="0" xfId="0"/>
    <xf numFmtId="0" fontId="10" fillId="0" borderId="11" pivotButton="0" quotePrefix="0" xfId="0"/>
    <xf numFmtId="0" fontId="10" fillId="0" borderId="6" pivotButton="0" quotePrefix="0" xfId="0"/>
    <xf numFmtId="3" fontId="10" fillId="0" borderId="10" pivotButton="0" quotePrefix="0" xfId="0"/>
    <xf numFmtId="3" fontId="13" fillId="0" borderId="0" pivotButton="0" quotePrefix="0" xfId="0"/>
    <xf numFmtId="0" fontId="10" fillId="3" borderId="2" pivotButton="0" quotePrefix="0" xfId="0"/>
    <xf numFmtId="0" fontId="10" fillId="3" borderId="2" pivotButton="0" quotePrefix="0" xfId="0"/>
    <xf numFmtId="0" fontId="10" fillId="3" borderId="2" pivotButton="0" quotePrefix="0" xfId="0"/>
    <xf numFmtId="0" fontId="10" fillId="4" borderId="2" pivotButton="0" quotePrefix="0" xfId="0"/>
    <xf numFmtId="3" fontId="10" fillId="4" borderId="2" pivotButton="0" quotePrefix="0" xfId="0"/>
    <xf numFmtId="0" fontId="13" fillId="3" borderId="0" pivotButton="0" quotePrefix="0" xfId="0"/>
    <xf numFmtId="0" fontId="10" fillId="3" borderId="12" pivotButton="0" quotePrefix="0" xfId="0"/>
    <xf numFmtId="0" fontId="10" fillId="3" borderId="2" pivotButton="0" quotePrefix="0" xfId="0"/>
    <xf numFmtId="0" fontId="10" fillId="3" borderId="3" pivotButton="0" quotePrefix="0" xfId="0"/>
    <xf numFmtId="0" fontId="9" fillId="0" borderId="10" pivotButton="0" quotePrefix="0" xfId="0"/>
    <xf numFmtId="0" fontId="10" fillId="0" borderId="2" pivotButton="0" quotePrefix="0" xfId="0"/>
    <xf numFmtId="0" fontId="10" fillId="0" borderId="2" pivotButton="0" quotePrefix="0" xfId="0"/>
    <xf numFmtId="0" fontId="10" fillId="3" borderId="4" pivotButton="0" quotePrefix="0" xfId="0"/>
    <xf numFmtId="0" fontId="10" fillId="3" borderId="3" applyAlignment="1" pivotButton="0" quotePrefix="0" xfId="0">
      <alignment horizontal="right"/>
    </xf>
    <xf numFmtId="0" fontId="13" fillId="0" borderId="0" pivotButton="0" quotePrefix="0" xfId="0"/>
    <xf numFmtId="0" fontId="17" fillId="0" borderId="0" pivotButton="0" quotePrefix="0" xfId="0"/>
    <xf numFmtId="10" fontId="10" fillId="0" borderId="4" pivotButton="0" quotePrefix="0" xfId="0"/>
    <xf numFmtId="0" fontId="10" fillId="0" borderId="4" pivotButton="0" quotePrefix="0" xfId="0"/>
    <xf numFmtId="9" fontId="10" fillId="0" borderId="2" pivotButton="0" quotePrefix="0" xfId="0"/>
    <xf numFmtId="0" fontId="10" fillId="3" borderId="2" applyAlignment="1" pivotButton="0" quotePrefix="0" xfId="0">
      <alignment horizontal="right"/>
    </xf>
    <xf numFmtId="0" fontId="10" fillId="3" borderId="2" pivotButton="0" quotePrefix="0" xfId="0"/>
    <xf numFmtId="0" fontId="16" fillId="0" borderId="2" pivotButton="0" quotePrefix="0" xfId="0"/>
    <xf numFmtId="0" fontId="16" fillId="0" borderId="6" pivotButton="0" quotePrefix="0" xfId="0"/>
    <xf numFmtId="0" fontId="18" fillId="0" borderId="0" pivotButton="0" quotePrefix="0" xfId="0"/>
    <xf numFmtId="10" fontId="10" fillId="0" borderId="3" pivotButton="0" quotePrefix="0" xfId="0"/>
    <xf numFmtId="0" fontId="10" fillId="0" borderId="3" pivotButton="0" quotePrefix="0" xfId="0"/>
    <xf numFmtId="0" fontId="10" fillId="0" borderId="2" applyAlignment="1" pivotButton="0" quotePrefix="0" xfId="0">
      <alignment horizontal="right"/>
    </xf>
    <xf numFmtId="0" fontId="10" fillId="3" borderId="12" pivotButton="0" quotePrefix="0" xfId="0"/>
    <xf numFmtId="0" fontId="9" fillId="3" borderId="2" pivotButton="0" quotePrefix="0" xfId="0"/>
    <xf numFmtId="0" fontId="9" fillId="0" borderId="2" pivotButton="0" quotePrefix="0" xfId="0"/>
    <xf numFmtId="0" fontId="10" fillId="5" borderId="2" applyAlignment="1" pivotButton="0" quotePrefix="0" xfId="0">
      <alignment horizontal="right"/>
    </xf>
    <xf numFmtId="0" fontId="10" fillId="0" borderId="2" applyAlignment="1" pivotButton="0" quotePrefix="0" xfId="0">
      <alignment horizontal="left"/>
    </xf>
    <xf numFmtId="3" fontId="10" fillId="0" borderId="2" pivotButton="0" quotePrefix="0" xfId="0"/>
    <xf numFmtId="3" fontId="10" fillId="0" borderId="0" pivotButton="0" quotePrefix="0" xfId="0"/>
    <xf numFmtId="0" fontId="10" fillId="3" borderId="14" pivotButton="0" quotePrefix="0" xfId="0"/>
    <xf numFmtId="4" fontId="13" fillId="0" borderId="0" pivotButton="0" quotePrefix="0" xfId="0"/>
    <xf numFmtId="0" fontId="0" fillId="0" borderId="0" pivotButton="0" quotePrefix="0" xfId="0"/>
    <xf numFmtId="0" fontId="22" fillId="0" borderId="2" pivotButton="0" quotePrefix="0" xfId="0"/>
    <xf numFmtId="0" fontId="22" fillId="0" borderId="2" applyAlignment="1" pivotButton="0" quotePrefix="0" xfId="0">
      <alignment wrapText="1"/>
    </xf>
    <xf numFmtId="0" fontId="21" fillId="8" borderId="0" pivotButton="0" quotePrefix="0" xfId="0"/>
    <xf numFmtId="0" fontId="21" fillId="8" borderId="0" pivotButton="0" quotePrefix="0" xfId="0"/>
    <xf numFmtId="0" fontId="0" fillId="8" borderId="0" pivotButton="0" quotePrefix="0" xfId="0"/>
    <xf numFmtId="0" fontId="10" fillId="7" borderId="2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8" fillId="0" borderId="4" pivotButton="0" quotePrefix="0" xfId="0"/>
    <xf numFmtId="0" fontId="8" fillId="0" borderId="5" pivotButton="0" quotePrefix="0" xfId="0"/>
    <xf numFmtId="0" fontId="8" fillId="0" borderId="9" pivotButton="0" quotePrefix="0" xfId="0"/>
    <xf numFmtId="0" fontId="9" fillId="10" borderId="22" pivotButton="0" quotePrefix="0" xfId="0"/>
    <xf numFmtId="0" fontId="8" fillId="10" borderId="23" pivotButton="0" quotePrefix="0" xfId="0"/>
    <xf numFmtId="0" fontId="8" fillId="10" borderId="24" pivotButton="0" quotePrefix="0" xfId="0"/>
    <xf numFmtId="0" fontId="9" fillId="11" borderId="22" pivotButton="0" quotePrefix="0" xfId="0"/>
    <xf numFmtId="0" fontId="8" fillId="11" borderId="23" pivotButton="0" quotePrefix="0" xfId="0"/>
    <xf numFmtId="0" fontId="8" fillId="11" borderId="24" pivotButton="0" quotePrefix="0" xfId="0"/>
    <xf numFmtId="0" fontId="9" fillId="9" borderId="22" pivotButton="0" quotePrefix="0" xfId="0"/>
    <xf numFmtId="0" fontId="8" fillId="9" borderId="23" pivotButton="0" quotePrefix="0" xfId="0"/>
    <xf numFmtId="0" fontId="8" fillId="9" borderId="24" pivotButton="0" quotePrefix="0" xfId="0"/>
    <xf numFmtId="10" fontId="10" fillId="0" borderId="9" pivotButton="0" quotePrefix="0" xfId="0"/>
    <xf numFmtId="0" fontId="30" fillId="0" borderId="4" pivotButton="0" quotePrefix="0" xfId="0"/>
    <xf numFmtId="0" fontId="10" fillId="12" borderId="2" pivotButton="0" quotePrefix="0" xfId="0"/>
    <xf numFmtId="0" fontId="26" fillId="0" borderId="3" pivotButton="0" quotePrefix="0" xfId="0"/>
    <xf numFmtId="0" fontId="26" fillId="3" borderId="2" pivotButton="0" quotePrefix="0" xfId="0"/>
    <xf numFmtId="0" fontId="10" fillId="0" borderId="26" pivotButton="0" quotePrefix="0" xfId="0"/>
    <xf numFmtId="9" fontId="10" fillId="0" borderId="25" pivotButton="0" quotePrefix="0" xfId="0"/>
    <xf numFmtId="0" fontId="10" fillId="8" borderId="3" pivotButton="0" quotePrefix="0" xfId="0"/>
    <xf numFmtId="0" fontId="26" fillId="0" borderId="9" pivotButton="0" quotePrefix="0" xfId="0"/>
    <xf numFmtId="0" fontId="10" fillId="8" borderId="12" pivotButton="0" quotePrefix="0" xfId="0"/>
    <xf numFmtId="0" fontId="10" fillId="0" borderId="9" pivotButton="0" quotePrefix="0" xfId="0"/>
    <xf numFmtId="0" fontId="10" fillId="0" borderId="12" pivotButton="0" quotePrefix="0" xfId="0"/>
    <xf numFmtId="164" fontId="10" fillId="0" borderId="12" pivotButton="0" quotePrefix="0" xfId="0"/>
    <xf numFmtId="0" fontId="8" fillId="0" borderId="4" pivotButton="0" quotePrefix="0" xfId="0"/>
    <xf numFmtId="0" fontId="7" fillId="0" borderId="13" pivotButton="0" quotePrefix="0" xfId="0"/>
    <xf numFmtId="0" fontId="8" fillId="0" borderId="13" pivotButton="0" quotePrefix="0" xfId="0"/>
    <xf numFmtId="0" fontId="9" fillId="0" borderId="3" applyAlignment="1" pivotButton="0" quotePrefix="0" xfId="0">
      <alignment horizontal="center"/>
    </xf>
    <xf numFmtId="0" fontId="7" fillId="0" borderId="3" pivotButton="0" quotePrefix="0" xfId="0"/>
    <xf numFmtId="0" fontId="10" fillId="3" borderId="3" pivotButton="0" quotePrefix="0" xfId="0"/>
    <xf numFmtId="0" fontId="26" fillId="3" borderId="2" applyAlignment="1" pivotButton="0" quotePrefix="0" xfId="0">
      <alignment horizontal="left"/>
    </xf>
    <xf numFmtId="0" fontId="27" fillId="0" borderId="4" pivotButton="0" quotePrefix="0" xfId="0"/>
    <xf numFmtId="0" fontId="22" fillId="3" borderId="2" applyAlignment="1" pivotButton="0" quotePrefix="0" xfId="0">
      <alignment horizontal="left"/>
    </xf>
    <xf numFmtId="0" fontId="6" fillId="0" borderId="0" pivotButton="0" quotePrefix="0" xfId="0"/>
    <xf numFmtId="0" fontId="32" fillId="0" borderId="2" applyAlignment="1" pivotButton="0" quotePrefix="0" xfId="0">
      <alignment wrapText="1"/>
    </xf>
    <xf numFmtId="0" fontId="32" fillId="3" borderId="2" pivotButton="0" quotePrefix="0" xfId="0"/>
    <xf numFmtId="0" fontId="32" fillId="0" borderId="2" pivotButton="0" quotePrefix="0" xfId="0"/>
    <xf numFmtId="0" fontId="26" fillId="3" borderId="2" pivotButton="0" quotePrefix="0" xfId="0"/>
    <xf numFmtId="0" fontId="26" fillId="0" borderId="2" pivotButton="0" quotePrefix="0" xfId="0"/>
    <xf numFmtId="0" fontId="22" fillId="7" borderId="2" applyAlignment="1" pivotButton="0" quotePrefix="0" xfId="0">
      <alignment vertical="center"/>
    </xf>
    <xf numFmtId="0" fontId="22" fillId="3" borderId="2" pivotButton="0" quotePrefix="0" xfId="0"/>
    <xf numFmtId="0" fontId="22" fillId="0" borderId="2" applyAlignment="1" pivotButton="0" quotePrefix="0" xfId="0">
      <alignment horizontal="left"/>
    </xf>
    <xf numFmtId="0" fontId="22" fillId="3" borderId="2" pivotButton="0" quotePrefix="0" xfId="0"/>
    <xf numFmtId="0" fontId="22" fillId="0" borderId="2" pivotButton="0" quotePrefix="0" xfId="0"/>
    <xf numFmtId="0" fontId="34" fillId="0" borderId="9" pivotButton="0" quotePrefix="0" xfId="0"/>
    <xf numFmtId="0" fontId="35" fillId="0" borderId="12" applyAlignment="1" pivotButton="0" quotePrefix="0" xfId="0">
      <alignment horizontal="left" wrapText="1"/>
    </xf>
    <xf numFmtId="0" fontId="36" fillId="0" borderId="0" pivotButton="0" quotePrefix="0" xfId="0"/>
    <xf numFmtId="0" fontId="26" fillId="0" borderId="2" applyAlignment="1" pivotButton="0" quotePrefix="0" xfId="0">
      <alignment horizontal="left"/>
    </xf>
    <xf numFmtId="0" fontId="26" fillId="3" borderId="3" pivotButton="0" quotePrefix="0" xfId="0"/>
    <xf numFmtId="0" fontId="21" fillId="0" borderId="27" pivotButton="0" quotePrefix="0" xfId="0"/>
    <xf numFmtId="0" fontId="27" fillId="0" borderId="4" applyAlignment="1" pivotButton="0" quotePrefix="0" xfId="0">
      <alignment wrapText="1"/>
    </xf>
    <xf numFmtId="0" fontId="32" fillId="0" borderId="3" applyAlignment="1" pivotButton="0" quotePrefix="0" xfId="0">
      <alignment wrapText="1"/>
    </xf>
    <xf numFmtId="0" fontId="32" fillId="3" borderId="3" applyAlignment="1" pivotButton="0" quotePrefix="0" xfId="0">
      <alignment wrapText="1"/>
    </xf>
    <xf numFmtId="0" fontId="22" fillId="3" borderId="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27" fillId="0" borderId="13" pivotButton="0" quotePrefix="0" xfId="0"/>
    <xf numFmtId="0" fontId="38" fillId="0" borderId="13" pivotButton="0" quotePrefix="0" xfId="0"/>
    <xf numFmtId="0" fontId="5" fillId="0" borderId="0" pivotButton="0" quotePrefix="0" xfId="0"/>
    <xf numFmtId="0" fontId="39" fillId="0" borderId="0" pivotButton="0" quotePrefix="0" xfId="0"/>
    <xf numFmtId="10" fontId="10" fillId="0" borderId="9" pivotButton="0" quotePrefix="0" xfId="0"/>
    <xf numFmtId="0" fontId="10" fillId="0" borderId="9" pivotButton="0" quotePrefix="0" xfId="0"/>
    <xf numFmtId="0" fontId="8" fillId="0" borderId="9" applyAlignment="1" pivotButton="0" quotePrefix="0" xfId="0">
      <alignment vertical="center"/>
    </xf>
    <xf numFmtId="0" fontId="10" fillId="3" borderId="12" applyAlignment="1" pivotButton="0" quotePrefix="0" xfId="0">
      <alignment horizontal="right"/>
    </xf>
    <xf numFmtId="0" fontId="34" fillId="0" borderId="4" pivotButton="0" quotePrefix="0" xfId="0"/>
    <xf numFmtId="0" fontId="40" fillId="3" borderId="2" applyAlignment="1" pivotButton="0" quotePrefix="0" xfId="0">
      <alignment horizontal="right"/>
    </xf>
    <xf numFmtId="0" fontId="40" fillId="0" borderId="2" pivotButton="0" quotePrefix="0" xfId="0"/>
    <xf numFmtId="0" fontId="40" fillId="3" borderId="2" pivotButton="0" quotePrefix="0" xfId="0"/>
    <xf numFmtId="0" fontId="34" fillId="0" borderId="13" pivotButton="0" quotePrefix="0" xfId="0"/>
    <xf numFmtId="0" fontId="35" fillId="0" borderId="2" pivotButton="0" quotePrefix="0" xfId="0"/>
    <xf numFmtId="0" fontId="10" fillId="0" borderId="12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8" fillId="0" borderId="4" pivotButton="0" quotePrefix="0" xfId="0"/>
    <xf numFmtId="0" fontId="8" fillId="0" borderId="5" pivotButton="0" quotePrefix="0" xfId="0"/>
    <xf numFmtId="0" fontId="9" fillId="0" borderId="8" applyAlignment="1" pivotButton="0" quotePrefix="0" xfId="0">
      <alignment horizontal="center" vertical="center" wrapText="1"/>
    </xf>
    <xf numFmtId="0" fontId="7" fillId="0" borderId="3" pivotButton="0" quotePrefix="0" xfId="0"/>
    <xf numFmtId="0" fontId="9" fillId="0" borderId="3" pivotButton="0" quotePrefix="0" xfId="0"/>
    <xf numFmtId="0" fontId="10" fillId="0" borderId="4" pivotButton="0" quotePrefix="0" xfId="0"/>
    <xf numFmtId="0" fontId="41" fillId="0" borderId="0" pivotButton="0" quotePrefix="0" xfId="0"/>
    <xf numFmtId="165" fontId="42" fillId="0" borderId="0" pivotButton="0" quotePrefix="0" xfId="0"/>
    <xf numFmtId="165" fontId="41" fillId="7" borderId="0" pivotButton="0" quotePrefix="0" xfId="1"/>
    <xf numFmtId="0" fontId="41" fillId="7" borderId="0" pivotButton="0" quotePrefix="0" xfId="0"/>
    <xf numFmtId="0" fontId="41" fillId="0" borderId="0" pivotButton="0" quotePrefix="0" xfId="0"/>
    <xf numFmtId="0" fontId="27" fillId="0" borderId="1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7" fillId="0" borderId="1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left"/>
    </xf>
    <xf numFmtId="0" fontId="7" fillId="0" borderId="2" applyAlignment="1" pivotButton="0" quotePrefix="0" xfId="0">
      <alignment horizontal="left"/>
    </xf>
    <xf numFmtId="0" fontId="35" fillId="0" borderId="12" applyAlignment="1" pivotButton="0" quotePrefix="0" xfId="0">
      <alignment horizontal="left" vertical="center" wrapText="1"/>
    </xf>
    <xf numFmtId="0" fontId="43" fillId="0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7" fillId="0" borderId="4" applyAlignment="1" pivotButton="0" quotePrefix="0" xfId="0">
      <alignment horizontal="left" vertical="center" wrapText="1"/>
    </xf>
    <xf numFmtId="0" fontId="32" fillId="0" borderId="3" applyAlignment="1" pivotButton="0" quotePrefix="0" xfId="0">
      <alignment horizontal="left" vertical="center" wrapText="1"/>
    </xf>
    <xf numFmtId="0" fontId="44" fillId="0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22" fillId="0" borderId="3" applyAlignment="1" pivotButton="0" quotePrefix="0" xfId="0">
      <alignment horizontal="left" vertical="center" wrapText="1"/>
    </xf>
    <xf numFmtId="0" fontId="27" fillId="0" borderId="1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right" vertical="top"/>
    </xf>
    <xf numFmtId="0" fontId="10" fillId="0" borderId="9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8" fillId="0" borderId="14" pivotButton="0" quotePrefix="0" xfId="0"/>
    <xf numFmtId="0" fontId="0" fillId="0" borderId="14" pivotButton="0" quotePrefix="0" xfId="0"/>
    <xf numFmtId="0" fontId="26" fillId="0" borderId="30" pivotButton="0" quotePrefix="0" xfId="0"/>
    <xf numFmtId="0" fontId="38" fillId="0" borderId="13" pivotButton="0" quotePrefix="0" xfId="0"/>
    <xf numFmtId="0" fontId="34" fillId="0" borderId="13" applyAlignment="1" pivotButton="0" quotePrefix="0" xfId="0">
      <alignment horizontal="left" vertical="center" wrapText="1"/>
    </xf>
    <xf numFmtId="0" fontId="22" fillId="7" borderId="7" applyAlignment="1" pivotButton="0" quotePrefix="0" xfId="0">
      <alignment vertical="center"/>
    </xf>
    <xf numFmtId="0" fontId="33" fillId="0" borderId="29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37" fillId="0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left" vertical="center"/>
    </xf>
    <xf numFmtId="9" fontId="10" fillId="7" borderId="2" pivotButton="0" quotePrefix="0" xfId="0"/>
    <xf numFmtId="9" fontId="10" fillId="16" borderId="2" applyAlignment="1" pivotButton="0" quotePrefix="0" xfId="0">
      <alignment horizontal="right"/>
    </xf>
    <xf numFmtId="0" fontId="8" fillId="0" borderId="23" pivotButton="0" quotePrefix="0" xfId="0"/>
    <xf numFmtId="0" fontId="10" fillId="0" borderId="9" pivotButton="0" quotePrefix="0" xfId="0"/>
    <xf numFmtId="0" fontId="0" fillId="0" borderId="0" pivotButton="0" quotePrefix="0" xfId="0"/>
    <xf numFmtId="1" fontId="10" fillId="7" borderId="2" applyAlignment="1" pivotButton="0" quotePrefix="0" xfId="0">
      <alignment horizontal="right"/>
    </xf>
    <xf numFmtId="1" fontId="10" fillId="9" borderId="2" applyAlignment="1" pivotButton="0" quotePrefix="0" xfId="0">
      <alignment horizontal="right"/>
    </xf>
    <xf numFmtId="1" fontId="10" fillId="15" borderId="2" applyAlignment="1" pivotButton="0" quotePrefix="0" xfId="0">
      <alignment horizontal="right"/>
    </xf>
    <xf numFmtId="1" fontId="10" fillId="15" borderId="12" applyAlignment="1" pivotButton="0" quotePrefix="0" xfId="0">
      <alignment horizontal="right"/>
    </xf>
    <xf numFmtId="0" fontId="10" fillId="15" borderId="9" pivotButton="0" quotePrefix="0" xfId="0"/>
    <xf numFmtId="9" fontId="10" fillId="15" borderId="2" pivotButton="0" quotePrefix="0" xfId="0"/>
    <xf numFmtId="0" fontId="10" fillId="15" borderId="3" pivotButton="0" quotePrefix="0" xfId="0"/>
    <xf numFmtId="10" fontId="10" fillId="15" borderId="3" pivotButton="0" quotePrefix="0" xfId="0"/>
    <xf numFmtId="0" fontId="45" fillId="0" borderId="0" pivotButton="0" quotePrefix="0" xfId="0"/>
    <xf numFmtId="0" fontId="21" fillId="0" borderId="0" pivotButton="0" quotePrefix="0" xfId="0"/>
    <xf numFmtId="0" fontId="10" fillId="0" borderId="9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/>
    </xf>
    <xf numFmtId="0" fontId="10" fillId="7" borderId="9" applyAlignment="1" pivotButton="0" quotePrefix="0" xfId="0">
      <alignment horizontal="center" vertical="center" wrapText="1"/>
    </xf>
    <xf numFmtId="0" fontId="10" fillId="9" borderId="9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165" fontId="21" fillId="0" borderId="25" pivotButton="0" quotePrefix="0" xfId="0"/>
    <xf numFmtId="165" fontId="0" fillId="7" borderId="25" pivotButton="0" quotePrefix="0" xfId="1"/>
    <xf numFmtId="0" fontId="0" fillId="7" borderId="25" pivotButton="0" quotePrefix="0" xfId="0"/>
    <xf numFmtId="0" fontId="0" fillId="0" borderId="25" pivotButton="0" quotePrefix="0" xfId="0"/>
    <xf numFmtId="0" fontId="10" fillId="0" borderId="25" applyAlignment="1" pivotButton="0" quotePrefix="0" xfId="0">
      <alignment horizontal="left" vertical="center"/>
    </xf>
    <xf numFmtId="164" fontId="0" fillId="0" borderId="25" pivotButton="0" quotePrefix="0" xfId="0"/>
    <xf numFmtId="0" fontId="46" fillId="17" borderId="0" pivotButton="0" quotePrefix="0" xfId="0"/>
    <xf numFmtId="0" fontId="8" fillId="18" borderId="23" pivotButton="0" quotePrefix="0" xfId="0"/>
    <xf numFmtId="0" fontId="8" fillId="18" borderId="24" pivotButton="0" quotePrefix="0" xfId="0"/>
    <xf numFmtId="0" fontId="14" fillId="0" borderId="12" applyAlignment="1" pivotButton="0" quotePrefix="0" xfId="0">
      <alignment wrapText="1"/>
    </xf>
    <xf numFmtId="0" fontId="15" fillId="0" borderId="12" applyAlignment="1" pivotButton="0" quotePrefix="0" xfId="0">
      <alignment horizontal="left" wrapText="1"/>
    </xf>
    <xf numFmtId="0" fontId="14" fillId="0" borderId="12" applyAlignment="1" pivotButton="0" quotePrefix="0" xfId="0">
      <alignment horizontal="left" wrapText="1"/>
    </xf>
    <xf numFmtId="0" fontId="19" fillId="0" borderId="12" applyAlignment="1" pivotButton="0" quotePrefix="0" xfId="0">
      <alignment horizontal="left" wrapText="1"/>
    </xf>
    <xf numFmtId="0" fontId="20" fillId="0" borderId="12" applyAlignment="1" pivotButton="0" quotePrefix="0" xfId="0">
      <alignment wrapText="1"/>
    </xf>
    <xf numFmtId="0" fontId="15" fillId="0" borderId="12" applyAlignment="1" pivotButton="0" quotePrefix="0" xfId="0">
      <alignment wrapText="1"/>
    </xf>
    <xf numFmtId="0" fontId="9" fillId="7" borderId="15" pivotButton="0" quotePrefix="0" xfId="0"/>
    <xf numFmtId="0" fontId="8" fillId="7" borderId="16" pivotButton="0" quotePrefix="0" xfId="0"/>
    <xf numFmtId="0" fontId="8" fillId="0" borderId="25" pivotButton="0" quotePrefix="0" xfId="0"/>
    <xf numFmtId="0" fontId="10" fillId="0" borderId="25" pivotButton="0" quotePrefix="0" xfId="0"/>
    <xf numFmtId="0" fontId="10" fillId="0" borderId="25" pivotButton="0" quotePrefix="0" xfId="0"/>
    <xf numFmtId="0" fontId="9" fillId="0" borderId="25" pivotButton="0" quotePrefix="0" xfId="0"/>
    <xf numFmtId="9" fontId="10" fillId="0" borderId="25" pivotButton="0" quotePrefix="0" xfId="0"/>
    <xf numFmtId="0" fontId="9" fillId="18" borderId="15" pivotButton="0" quotePrefix="0" xfId="0"/>
    <xf numFmtId="0" fontId="8" fillId="18" borderId="16" pivotButton="0" quotePrefix="0" xfId="0"/>
    <xf numFmtId="0" fontId="10" fillId="7" borderId="25" applyAlignment="1" pivotButton="0" quotePrefix="0" xfId="0">
      <alignment horizontal="center" vertical="center" wrapText="1"/>
    </xf>
    <xf numFmtId="0" fontId="10" fillId="9" borderId="25" applyAlignment="1" pivotButton="0" quotePrefix="0" xfId="0">
      <alignment horizontal="center" vertical="center" wrapText="1"/>
    </xf>
    <xf numFmtId="0" fontId="30" fillId="18" borderId="25" applyAlignment="1" pivotButton="0" quotePrefix="0" xfId="0">
      <alignment horizontal="center" vertical="center" wrapText="1"/>
    </xf>
    <xf numFmtId="0" fontId="26" fillId="18" borderId="25" applyAlignment="1" pivotButton="0" quotePrefix="0" xfId="0">
      <alignment horizontal="center" vertical="center"/>
    </xf>
    <xf numFmtId="0" fontId="10" fillId="3" borderId="9" pivotButton="0" quotePrefix="0" xfId="0"/>
    <xf numFmtId="0" fontId="8" fillId="0" borderId="13" pivotButton="0" quotePrefix="0" xfId="0"/>
    <xf numFmtId="9" fontId="10" fillId="7" borderId="25" pivotButton="0" quotePrefix="0" xfId="0"/>
    <xf numFmtId="9" fontId="10" fillId="16" borderId="25" applyAlignment="1" pivotButton="0" quotePrefix="0" xfId="0">
      <alignment horizontal="right"/>
    </xf>
    <xf numFmtId="0" fontId="8" fillId="0" borderId="16" pivotButton="0" quotePrefix="0" xfId="0"/>
    <xf numFmtId="0" fontId="10" fillId="9" borderId="1" applyAlignment="1" pivotButton="0" quotePrefix="0" xfId="0">
      <alignment horizontal="center" vertical="center" wrapText="1"/>
    </xf>
    <xf numFmtId="0" fontId="10" fillId="14" borderId="25" pivotButton="0" quotePrefix="0" xfId="0"/>
    <xf numFmtId="0" fontId="10" fillId="14" borderId="25" applyAlignment="1" pivotButton="0" quotePrefix="0" xfId="0">
      <alignment vertical="center"/>
    </xf>
    <xf numFmtId="0" fontId="51" fillId="0" borderId="0" pivotButton="0" quotePrefix="0" xfId="0"/>
    <xf numFmtId="0" fontId="52" fillId="0" borderId="14" pivotButton="0" quotePrefix="0" xfId="0"/>
    <xf numFmtId="0" fontId="52" fillId="0" borderId="14" applyAlignment="1" pivotButton="0" quotePrefix="0" xfId="0">
      <alignment vertical="center"/>
    </xf>
    <xf numFmtId="0" fontId="0" fillId="14" borderId="14" pivotButton="0" quotePrefix="0" xfId="0"/>
    <xf numFmtId="0" fontId="0" fillId="14" borderId="14" pivotButton="0" quotePrefix="0" xfId="0"/>
    <xf numFmtId="0" fontId="0" fillId="14" borderId="31" pivotButton="0" quotePrefix="0" xfId="0"/>
    <xf numFmtId="0" fontId="0" fillId="14" borderId="31" pivotButton="0" quotePrefix="0" xfId="0"/>
    <xf numFmtId="0" fontId="0" fillId="14" borderId="33" pivotButton="0" quotePrefix="0" xfId="0"/>
    <xf numFmtId="0" fontId="0" fillId="14" borderId="33" pivotButton="0" quotePrefix="0" xfId="0"/>
    <xf numFmtId="0" fontId="53" fillId="8" borderId="0" pivotButton="0" quotePrefix="0" xfId="0"/>
    <xf numFmtId="0" fontId="30" fillId="18" borderId="27" applyAlignment="1" pivotButton="0" quotePrefix="0" xfId="0">
      <alignment horizontal="center" vertical="center" wrapText="1"/>
    </xf>
    <xf numFmtId="0" fontId="22" fillId="7" borderId="14" applyAlignment="1" pivotButton="0" quotePrefix="0" xfId="0">
      <alignment vertical="center"/>
    </xf>
    <xf numFmtId="0" fontId="33" fillId="0" borderId="14" applyAlignment="1" pivotButton="0" quotePrefix="0" xfId="0">
      <alignment vertical="center"/>
    </xf>
    <xf numFmtId="0" fontId="38" fillId="0" borderId="14" applyAlignment="1" pivotButton="0" quotePrefix="0" xfId="0">
      <alignment vertical="center"/>
    </xf>
    <xf numFmtId="0" fontId="37" fillId="0" borderId="14" applyAlignment="1" pivotButton="0" quotePrefix="0" xfId="0">
      <alignment horizontal="center" vertical="center" wrapText="1"/>
    </xf>
    <xf numFmtId="0" fontId="37" fillId="0" borderId="14" applyAlignment="1" pivotButton="0" quotePrefix="0" xfId="0">
      <alignment horizontal="left" vertical="center"/>
    </xf>
    <xf numFmtId="0" fontId="50" fillId="17" borderId="0" pivotButton="0" quotePrefix="0" xfId="0"/>
    <xf numFmtId="0" fontId="30" fillId="18" borderId="14" applyAlignment="1" pivotButton="0" quotePrefix="0" xfId="0">
      <alignment horizontal="center" vertical="center" wrapText="1"/>
    </xf>
    <xf numFmtId="0" fontId="26" fillId="18" borderId="14" applyAlignment="1" pivotButton="0" quotePrefix="0" xfId="0">
      <alignment horizontal="center" vertical="center"/>
    </xf>
    <xf numFmtId="0" fontId="26" fillId="18" borderId="14" applyAlignment="1" pivotButton="0" quotePrefix="0" xfId="0">
      <alignment horizontal="center" vertical="center" wrapText="1"/>
    </xf>
    <xf numFmtId="0" fontId="10" fillId="7" borderId="14" applyAlignment="1" pivotButton="0" quotePrefix="0" xfId="0">
      <alignment horizontal="center" vertical="center" wrapText="1"/>
    </xf>
    <xf numFmtId="0" fontId="10" fillId="9" borderId="14" applyAlignment="1" pivotButton="0" quotePrefix="0" xfId="0">
      <alignment horizontal="center" vertical="center" wrapText="1"/>
    </xf>
    <xf numFmtId="0" fontId="10" fillId="15" borderId="1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0" fillId="14" borderId="32" applyAlignment="1" pivotButton="0" quotePrefix="0" xfId="0">
      <alignment vertical="center"/>
    </xf>
    <xf numFmtId="0" fontId="0" fillId="14" borderId="34" pivotButton="0" quotePrefix="0" xfId="0"/>
    <xf numFmtId="0" fontId="0" fillId="14" borderId="34" pivotButton="0" quotePrefix="0" xfId="0"/>
    <xf numFmtId="0" fontId="22" fillId="0" borderId="14" applyAlignment="1" pivotButton="0" quotePrefix="0" xfId="0">
      <alignment vertical="center"/>
    </xf>
    <xf numFmtId="0" fontId="37" fillId="0" borderId="14" applyAlignment="1" pivotButton="0" quotePrefix="0" xfId="0">
      <alignment horizontal="center" vertical="center" wrapText="1"/>
    </xf>
    <xf numFmtId="0" fontId="37" fillId="0" borderId="14" applyAlignment="1" pivotButton="0" quotePrefix="0" xfId="0">
      <alignment horizontal="left" vertical="center"/>
    </xf>
    <xf numFmtId="0" fontId="0" fillId="0" borderId="14" pivotButton="0" quotePrefix="0" xfId="0"/>
    <xf numFmtId="0" fontId="22" fillId="17" borderId="14" applyAlignment="1" pivotButton="0" quotePrefix="0" xfId="0">
      <alignment vertical="center"/>
    </xf>
    <xf numFmtId="0" fontId="11" fillId="3" borderId="3" applyAlignment="1" pivotButton="0" quotePrefix="0" xfId="0">
      <alignment wrapText="1"/>
    </xf>
    <xf numFmtId="0" fontId="54" fillId="19" borderId="4" applyAlignment="1" pivotButton="0" quotePrefix="0" xfId="0">
      <alignment wrapText="1"/>
    </xf>
    <xf numFmtId="0" fontId="8" fillId="0" borderId="8" pivotButton="0" quotePrefix="0" xfId="0"/>
    <xf numFmtId="166" fontId="9" fillId="0" borderId="9" applyAlignment="1" pivotButton="0" quotePrefix="0" xfId="3">
      <alignment horizontal="center" vertical="center" wrapText="1"/>
    </xf>
    <xf numFmtId="164" fontId="10" fillId="0" borderId="14" pivotButton="0" quotePrefix="0" xfId="0"/>
    <xf numFmtId="0" fontId="38" fillId="0" borderId="13" applyAlignment="1" pivotButton="0" quotePrefix="0" xfId="0">
      <alignment horizontal="right"/>
    </xf>
    <xf numFmtId="0" fontId="30" fillId="18" borderId="25" applyAlignment="1" pivotButton="0" quotePrefix="0" xfId="0">
      <alignment horizontal="right" vertical="center" wrapText="1"/>
    </xf>
    <xf numFmtId="0" fontId="38" fillId="0" borderId="1" applyAlignment="1" pivotButton="0" quotePrefix="0" xfId="0">
      <alignment horizontal="right" vertical="center"/>
    </xf>
    <xf numFmtId="0" fontId="10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8" fillId="0" borderId="8" pivotButton="0" quotePrefix="0" xfId="0"/>
    <xf numFmtId="0" fontId="10" fillId="20" borderId="4" applyAlignment="1" pivotButton="0" quotePrefix="0" xfId="0">
      <alignment wrapText="1"/>
    </xf>
    <xf numFmtId="9" fontId="10" fillId="9" borderId="2" pivotButton="0" quotePrefix="0" xfId="0"/>
    <xf numFmtId="0" fontId="10" fillId="3" borderId="32" pivotButton="0" quotePrefix="0" xfId="0"/>
    <xf numFmtId="0" fontId="9" fillId="3" borderId="32" pivotButton="0" quotePrefix="0" xfId="0"/>
    <xf numFmtId="0" fontId="10" fillId="3" borderId="32" pivotButton="0" quotePrefix="0" xfId="0"/>
    <xf numFmtId="0" fontId="9" fillId="3" borderId="32" pivotButton="0" quotePrefix="0" xfId="0"/>
    <xf numFmtId="3" fontId="13" fillId="6" borderId="25" pivotButton="0" quotePrefix="0" xfId="0"/>
    <xf numFmtId="3" fontId="13" fillId="21" borderId="25" pivotButton="0" quotePrefix="0" xfId="0"/>
    <xf numFmtId="0" fontId="0" fillId="9" borderId="25" pivotButton="0" quotePrefix="0" xfId="0"/>
    <xf numFmtId="9" fontId="10" fillId="22" borderId="25" pivotButton="0" quotePrefix="0" xfId="0"/>
    <xf numFmtId="0" fontId="10" fillId="22" borderId="25" applyAlignment="1" pivotButton="0" quotePrefix="0" xfId="0">
      <alignment horizontal="center" vertical="center" wrapText="1"/>
    </xf>
    <xf numFmtId="3" fontId="13" fillId="23" borderId="25" pivotButton="0" quotePrefix="0" xfId="0"/>
    <xf numFmtId="0" fontId="10" fillId="22" borderId="1" applyAlignment="1" pivotButton="0" quotePrefix="0" xfId="0">
      <alignment horizontal="center" vertical="center" wrapText="1"/>
    </xf>
    <xf numFmtId="0" fontId="10" fillId="22" borderId="9" pivotButton="0" quotePrefix="0" xfId="0"/>
    <xf numFmtId="9" fontId="10" fillId="22" borderId="2" applyAlignment="1" pivotButton="0" quotePrefix="0" xfId="0">
      <alignment horizontal="right"/>
    </xf>
    <xf numFmtId="1" fontId="10" fillId="22" borderId="2" applyAlignment="1" pivotButton="0" quotePrefix="0" xfId="0">
      <alignment horizontal="right"/>
    </xf>
    <xf numFmtId="1" fontId="10" fillId="9" borderId="12" applyAlignment="1" pivotButton="0" quotePrefix="0" xfId="0">
      <alignment horizontal="right"/>
    </xf>
    <xf numFmtId="0" fontId="26" fillId="0" borderId="6" pivotButton="0" quotePrefix="0" xfId="0"/>
    <xf numFmtId="0" fontId="26" fillId="0" borderId="30" pivotButton="0" quotePrefix="0" xfId="0"/>
    <xf numFmtId="0" fontId="27" fillId="0" borderId="13" pivotButton="0" quotePrefix="0" xfId="0"/>
    <xf numFmtId="0" fontId="34" fillId="0" borderId="13" pivotButton="0" quotePrefix="0" xfId="0"/>
    <xf numFmtId="0" fontId="27" fillId="0" borderId="13" applyAlignment="1" pivotButton="0" quotePrefix="0" xfId="0">
      <alignment wrapText="1"/>
    </xf>
    <xf numFmtId="0" fontId="10" fillId="0" borderId="13" pivotButton="0" quotePrefix="0" xfId="0"/>
    <xf numFmtId="0" fontId="10" fillId="0" borderId="6" pivotButton="0" quotePrefix="0" xfId="0"/>
    <xf numFmtId="0" fontId="26" fillId="3" borderId="6" pivotButton="0" quotePrefix="0" xfId="0"/>
    <xf numFmtId="0" fontId="26" fillId="3" borderId="13" pivotButton="0" quotePrefix="0" xfId="0"/>
    <xf numFmtId="0" fontId="26" fillId="0" borderId="13" pivotButton="0" quotePrefix="0" xfId="0"/>
    <xf numFmtId="0" fontId="10" fillId="2" borderId="13" pivotButton="0" quotePrefix="0" xfId="0"/>
    <xf numFmtId="0" fontId="10" fillId="2" borderId="6" pivotButton="0" quotePrefix="0" xfId="0"/>
    <xf numFmtId="10" fontId="10" fillId="0" borderId="30" pivotButton="0" quotePrefix="0" xfId="0"/>
    <xf numFmtId="0" fontId="10" fillId="0" borderId="30" pivotButton="0" quotePrefix="0" xfId="0"/>
    <xf numFmtId="9" fontId="10" fillId="22" borderId="6" applyAlignment="1" pivotButton="0" quotePrefix="0" xfId="0">
      <alignment horizontal="right"/>
    </xf>
    <xf numFmtId="1" fontId="10" fillId="7" borderId="6" applyAlignment="1" pivotButton="0" quotePrefix="0" xfId="0">
      <alignment horizontal="right"/>
    </xf>
    <xf numFmtId="1" fontId="10" fillId="0" borderId="6" applyAlignment="1" pivotButton="0" quotePrefix="0" xfId="0">
      <alignment horizontal="right"/>
    </xf>
    <xf numFmtId="1" fontId="10" fillId="22" borderId="6" applyAlignment="1" pivotButton="0" quotePrefix="0" xfId="0">
      <alignment horizontal="right"/>
    </xf>
    <xf numFmtId="10" fontId="10" fillId="0" borderId="11" pivotButton="0" quotePrefix="0" xfId="0"/>
    <xf numFmtId="0" fontId="10" fillId="0" borderId="35" pivotButton="0" quotePrefix="0" xfId="0"/>
    <xf numFmtId="3" fontId="10" fillId="0" borderId="35" pivotButton="0" quotePrefix="0" xfId="0"/>
    <xf numFmtId="3" fontId="13" fillId="0" borderId="14" pivotButton="0" quotePrefix="0" xfId="0"/>
    <xf numFmtId="0" fontId="22" fillId="0" borderId="14" pivotButton="0" quotePrefix="0" xfId="0"/>
    <xf numFmtId="0" fontId="22" fillId="0" borderId="14" applyAlignment="1" pivotButton="0" quotePrefix="0" xfId="0">
      <alignment wrapText="1"/>
    </xf>
    <xf numFmtId="0" fontId="32" fillId="0" borderId="14" applyAlignment="1" pivotButton="0" quotePrefix="0" xfId="0">
      <alignment wrapText="1"/>
    </xf>
    <xf numFmtId="0" fontId="35" fillId="0" borderId="14" applyAlignment="1" pivotButton="0" quotePrefix="0" xfId="0">
      <alignment horizontal="left" wrapText="1"/>
    </xf>
    <xf numFmtId="0" fontId="10" fillId="0" borderId="14" pivotButton="0" quotePrefix="0" xfId="0"/>
    <xf numFmtId="0" fontId="10" fillId="0" borderId="14" applyAlignment="1" pivotButton="0" quotePrefix="0" xfId="0">
      <alignment horizontal="right"/>
    </xf>
    <xf numFmtId="0" fontId="10" fillId="0" borderId="14" pivotButton="0" quotePrefix="0" xfId="0"/>
    <xf numFmtId="9" fontId="10" fillId="0" borderId="14" pivotButton="0" quotePrefix="0" xfId="0"/>
    <xf numFmtId="9" fontId="10" fillId="0" borderId="14" applyAlignment="1" pivotButton="0" quotePrefix="0" xfId="0">
      <alignment horizontal="right"/>
    </xf>
    <xf numFmtId="1" fontId="10" fillId="0" borderId="14" applyAlignment="1" pivotButton="0" quotePrefix="0" xfId="0">
      <alignment horizontal="right"/>
    </xf>
    <xf numFmtId="9" fontId="10" fillId="0" borderId="14" pivotButton="0" quotePrefix="0" xfId="0"/>
    <xf numFmtId="3" fontId="10" fillId="0" borderId="14" pivotButton="0" quotePrefix="0" xfId="0"/>
    <xf numFmtId="0" fontId="26" fillId="0" borderId="14" applyAlignment="1" pivotButton="0" quotePrefix="0" xfId="0">
      <alignment horizontal="left"/>
    </xf>
    <xf numFmtId="0" fontId="26" fillId="0" borderId="14" pivotButton="0" quotePrefix="0" xfId="0"/>
    <xf numFmtId="0" fontId="27" fillId="0" borderId="14" pivotButton="0" quotePrefix="0" xfId="0"/>
    <xf numFmtId="0" fontId="34" fillId="0" borderId="14" pivotButton="0" quotePrefix="0" xfId="0"/>
    <xf numFmtId="0" fontId="27" fillId="0" borderId="14" applyAlignment="1" pivotButton="0" quotePrefix="0" xfId="0">
      <alignment wrapText="1"/>
    </xf>
    <xf numFmtId="10" fontId="10" fillId="0" borderId="14" pivotButton="0" quotePrefix="0" xfId="0"/>
    <xf numFmtId="0" fontId="13" fillId="0" borderId="14" pivotButton="0" quotePrefix="0" xfId="0"/>
    <xf numFmtId="0" fontId="22" fillId="0" borderId="14" applyAlignment="1" pivotButton="0" quotePrefix="0" xfId="0">
      <alignment horizontal="left"/>
    </xf>
    <xf numFmtId="0" fontId="22" fillId="0" borderId="14" pivotButton="0" quotePrefix="0" xfId="0"/>
    <xf numFmtId="0" fontId="6" fillId="0" borderId="14" pivotButton="0" quotePrefix="0" xfId="0"/>
    <xf numFmtId="0" fontId="36" fillId="0" borderId="14" pivotButton="0" quotePrefix="0" xfId="0"/>
    <xf numFmtId="0" fontId="32" fillId="0" borderId="14" pivotButton="0" quotePrefix="0" xfId="0"/>
    <xf numFmtId="0" fontId="22" fillId="0" borderId="14" applyAlignment="1" pivotButton="0" quotePrefix="0" xfId="0">
      <alignment horizontal="left" wrapText="1"/>
    </xf>
    <xf numFmtId="0" fontId="11" fillId="0" borderId="14" applyAlignment="1" pivotButton="0" quotePrefix="0" xfId="0">
      <alignment wrapText="1"/>
    </xf>
    <xf numFmtId="0" fontId="16" fillId="0" borderId="14" pivotButton="0" quotePrefix="0" xfId="0"/>
    <xf numFmtId="10" fontId="10" fillId="0" borderId="14" pivotButton="0" quotePrefix="0" xfId="0"/>
    <xf numFmtId="0" fontId="26" fillId="0" borderId="14" pivotButton="0" quotePrefix="0" xfId="0"/>
    <xf numFmtId="0" fontId="9" fillId="0" borderId="14" pivotButton="0" quotePrefix="0" xfId="0"/>
    <xf numFmtId="167" fontId="10" fillId="0" borderId="14" pivotButton="0" quotePrefix="0" xfId="0"/>
    <xf numFmtId="0" fontId="13" fillId="0" borderId="14" pivotButton="0" quotePrefix="0" xfId="0"/>
    <xf numFmtId="0" fontId="45" fillId="0" borderId="14" pivotButton="0" quotePrefix="0" xfId="0"/>
    <xf numFmtId="0" fontId="21" fillId="0" borderId="14" pivotButton="0" quotePrefix="0" xfId="0"/>
    <xf numFmtId="0" fontId="17" fillId="0" borderId="14" pivotButton="0" quotePrefix="0" xfId="0"/>
    <xf numFmtId="0" fontId="6" fillId="0" borderId="14" applyAlignment="1" pivotButton="0" quotePrefix="0" xfId="0">
      <alignment wrapText="1"/>
    </xf>
    <xf numFmtId="9" fontId="10" fillId="22" borderId="2" pivotButton="0" quotePrefix="0" xfId="0"/>
    <xf numFmtId="0" fontId="10" fillId="22" borderId="3" pivotButton="0" quotePrefix="0" xfId="0"/>
    <xf numFmtId="0" fontId="11" fillId="0" borderId="3" applyAlignment="1" pivotButton="0" quotePrefix="0" xfId="0">
      <alignment horizontal="left" vertical="center" wrapText="1"/>
    </xf>
    <xf numFmtId="0" fontId="0" fillId="9" borderId="0" pivotButton="0" quotePrefix="0" xfId="0"/>
    <xf numFmtId="0" fontId="0" fillId="22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10" fillId="7" borderId="22" applyAlignment="1" pivotButton="0" quotePrefix="0" xfId="0">
      <alignment horizontal="left" vertical="center"/>
    </xf>
    <xf numFmtId="0" fontId="10" fillId="7" borderId="23" applyAlignment="1" pivotButton="0" quotePrefix="0" xfId="0">
      <alignment horizontal="center" vertical="center" wrapText="1"/>
    </xf>
    <xf numFmtId="0" fontId="10" fillId="7" borderId="24" applyAlignment="1" pivotButton="0" quotePrefix="0" xfId="0">
      <alignment horizontal="center" vertical="center" wrapText="1"/>
    </xf>
    <xf numFmtId="0" fontId="8" fillId="7" borderId="7" applyAlignment="1" pivotButton="0" quotePrefix="0" xfId="0">
      <alignment horizontal="center" vertical="center" wrapText="1"/>
    </xf>
    <xf numFmtId="0" fontId="8" fillId="7" borderId="11" applyAlignment="1" pivotButton="0" quotePrefix="0" xfId="0">
      <alignment horizontal="center" vertical="center" wrapText="1"/>
    </xf>
    <xf numFmtId="165" fontId="10" fillId="0" borderId="2" pivotButton="0" quotePrefix="0" xfId="1"/>
    <xf numFmtId="165" fontId="10" fillId="0" borderId="7" pivotButton="0" quotePrefix="0" xfId="1"/>
    <xf numFmtId="0" fontId="10" fillId="7" borderId="6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/>
    </xf>
    <xf numFmtId="165" fontId="10" fillId="0" borderId="25" pivotButton="0" quotePrefix="0" xfId="1"/>
    <xf numFmtId="0" fontId="10" fillId="13" borderId="25" applyAlignment="1" pivotButton="0" quotePrefix="0" xfId="0">
      <alignment horizontal="center" vertical="center" wrapText="1"/>
    </xf>
    <xf numFmtId="0" fontId="10" fillId="26" borderId="25" applyAlignment="1" pivotButton="0" quotePrefix="0" xfId="0">
      <alignment horizontal="center" vertical="center" wrapText="1"/>
    </xf>
    <xf numFmtId="0" fontId="9" fillId="3" borderId="2" pivotButton="0" quotePrefix="0" xfId="0"/>
    <xf numFmtId="0" fontId="7" fillId="0" borderId="12" pivotButton="0" quotePrefix="0" xfId="0"/>
    <xf numFmtId="0" fontId="28" fillId="0" borderId="2" pivotButton="0" quotePrefix="0" xfId="0"/>
    <xf numFmtId="0" fontId="7" fillId="0" borderId="12" pivotButton="0" quotePrefix="0" xfId="0"/>
    <xf numFmtId="0" fontId="7" fillId="0" borderId="2" pivotButton="0" quotePrefix="0" xfId="0"/>
    <xf numFmtId="0" fontId="35" fillId="0" borderId="14" applyAlignment="1" pivotButton="0" quotePrefix="0" xfId="0">
      <alignment horizontal="left"/>
    </xf>
    <xf numFmtId="0" fontId="10" fillId="0" borderId="12" pivotButton="0" quotePrefix="0" xfId="0"/>
    <xf numFmtId="0" fontId="8" fillId="3" borderId="2" applyAlignment="1" pivotButton="0" quotePrefix="0" xfId="0">
      <alignment horizontal="right"/>
    </xf>
    <xf numFmtId="0" fontId="8" fillId="3" borderId="12" applyAlignment="1" pivotButton="0" quotePrefix="0" xfId="0">
      <alignment horizontal="right"/>
    </xf>
    <xf numFmtId="0" fontId="8" fillId="0" borderId="2" pivotButton="0" quotePrefix="0" xfId="0"/>
    <xf numFmtId="0" fontId="8" fillId="0" borderId="12" applyAlignment="1" pivotButton="0" quotePrefix="0" xfId="0">
      <alignment horizontal="right"/>
    </xf>
    <xf numFmtId="0" fontId="8" fillId="0" borderId="12" pivotButton="0" quotePrefix="0" xfId="0"/>
    <xf numFmtId="0" fontId="32" fillId="0" borderId="12" applyAlignment="1" pivotButton="0" quotePrefix="0" xfId="0">
      <alignment wrapText="1"/>
    </xf>
    <xf numFmtId="0" fontId="32" fillId="0" borderId="12" pivotButton="0" quotePrefix="0" xfId="0"/>
    <xf numFmtId="0" fontId="10" fillId="0" borderId="5" pivotButton="0" quotePrefix="0" xfId="0"/>
    <xf numFmtId="0" fontId="35" fillId="0" borderId="30" applyAlignment="1" pivotButton="0" quotePrefix="0" xfId="0">
      <alignment horizontal="left" wrapText="1"/>
    </xf>
    <xf numFmtId="0" fontId="35" fillId="0" borderId="25" applyAlignment="1" pivotButton="0" quotePrefix="0" xfId="0">
      <alignment horizontal="left" wrapText="1"/>
    </xf>
    <xf numFmtId="0" fontId="32" fillId="0" borderId="25" applyAlignment="1" pivotButton="0" quotePrefix="0" xfId="0">
      <alignment wrapText="1"/>
    </xf>
    <xf numFmtId="0" fontId="27" fillId="0" borderId="25" applyAlignment="1" pivotButton="0" quotePrefix="0" xfId="0">
      <alignment wrapText="1"/>
    </xf>
    <xf numFmtId="0" fontId="32" fillId="0" borderId="25" applyAlignment="1" pivotButton="0" quotePrefix="0" xfId="0">
      <alignment wrapText="1"/>
    </xf>
    <xf numFmtId="0" fontId="35" fillId="0" borderId="25" applyAlignment="1" pivotButton="0" quotePrefix="0" xfId="0">
      <alignment horizontal="left"/>
    </xf>
    <xf numFmtId="0" fontId="27" fillId="0" borderId="25" applyAlignment="1" pivotButton="0" quotePrefix="0" xfId="0">
      <alignment wrapText="1"/>
    </xf>
    <xf numFmtId="0" fontId="32" fillId="0" borderId="25" pivotButton="0" quotePrefix="0" xfId="0"/>
    <xf numFmtId="0" fontId="22" fillId="0" borderId="25" applyAlignment="1" pivotButton="0" quotePrefix="0" xfId="0">
      <alignment horizontal="left"/>
    </xf>
    <xf numFmtId="0" fontId="11" fillId="0" borderId="25" pivotButton="0" quotePrefix="0" xfId="0"/>
    <xf numFmtId="0" fontId="57" fillId="0" borderId="25" pivotButton="0" quotePrefix="0" xfId="0"/>
    <xf numFmtId="0" fontId="21" fillId="0" borderId="25" pivotButton="0" quotePrefix="0" xfId="0"/>
    <xf numFmtId="0" fontId="58" fillId="0" borderId="32" pivotButton="0" quotePrefix="0" xfId="0"/>
    <xf numFmtId="0" fontId="58" fillId="0" borderId="25" pivotButton="0" quotePrefix="0" xfId="0"/>
    <xf numFmtId="0" fontId="4" fillId="0" borderId="25" pivotButton="0" quotePrefix="0" xfId="0"/>
    <xf numFmtId="0" fontId="0" fillId="0" borderId="34" pivotButton="0" quotePrefix="0" xfId="0"/>
    <xf numFmtId="0" fontId="0" fillId="0" borderId="36" pivotButton="0" quotePrefix="0" xfId="0"/>
    <xf numFmtId="0" fontId="60" fillId="0" borderId="25" applyAlignment="1" pivotButton="0" quotePrefix="0" xfId="0">
      <alignment vertical="top"/>
    </xf>
    <xf numFmtId="0" fontId="60" fillId="0" borderId="32" applyAlignment="1" pivotButton="0" quotePrefix="0" xfId="0">
      <alignment vertical="top"/>
    </xf>
    <xf numFmtId="0" fontId="57" fillId="0" borderId="32" pivotButton="0" quotePrefix="0" xfId="0"/>
    <xf numFmtId="0" fontId="21" fillId="0" borderId="25" applyAlignment="1" pivotButton="0" quotePrefix="0" xfId="0">
      <alignment wrapText="1"/>
    </xf>
    <xf numFmtId="0" fontId="57" fillId="0" borderId="33" pivotButton="0" quotePrefix="0" xfId="0"/>
    <xf numFmtId="0" fontId="60" fillId="0" borderId="25" applyAlignment="1" pivotButton="0" quotePrefix="0" xfId="0">
      <alignment vertical="top" wrapText="1"/>
    </xf>
    <xf numFmtId="0" fontId="58" fillId="0" borderId="25" applyAlignment="1" pivotButton="0" quotePrefix="0" xfId="0">
      <alignment wrapText="1"/>
    </xf>
    <xf numFmtId="0" fontId="60" fillId="0" borderId="32" applyAlignment="1" pivotButton="0" quotePrefix="0" xfId="0">
      <alignment vertical="top" wrapText="1"/>
    </xf>
    <xf numFmtId="0" fontId="62" fillId="0" borderId="32" pivotButton="0" quotePrefix="0" xfId="0"/>
    <xf numFmtId="0" fontId="62" fillId="0" borderId="32" applyAlignment="1" pivotButton="0" quotePrefix="0" xfId="0">
      <alignment vertical="top"/>
    </xf>
    <xf numFmtId="0" fontId="57" fillId="0" borderId="25" applyAlignment="1" pivotButton="0" quotePrefix="0" xfId="0">
      <alignment wrapText="1"/>
    </xf>
    <xf numFmtId="0" fontId="62" fillId="0" borderId="25" applyAlignment="1" pivotButton="0" quotePrefix="0" xfId="0">
      <alignment wrapText="1"/>
    </xf>
    <xf numFmtId="0" fontId="4" fillId="0" borderId="25" applyAlignment="1" pivotButton="0" quotePrefix="0" xfId="0">
      <alignment wrapText="1"/>
    </xf>
    <xf numFmtId="9" fontId="10" fillId="0" borderId="14" pivotButton="0" quotePrefix="0" xfId="0"/>
    <xf numFmtId="0" fontId="10" fillId="7" borderId="13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 wrapText="1"/>
    </xf>
    <xf numFmtId="0" fontId="12" fillId="7" borderId="5" applyAlignment="1" pivotButton="0" quotePrefix="0" xfId="0">
      <alignment horizontal="center" vertical="center"/>
    </xf>
    <xf numFmtId="0" fontId="12" fillId="7" borderId="14" applyAlignment="1" pivotButton="0" quotePrefix="0" xfId="0">
      <alignment horizontal="center" vertical="center"/>
    </xf>
    <xf numFmtId="0" fontId="63" fillId="0" borderId="32" pivotButton="0" quotePrefix="0" xfId="0"/>
    <xf numFmtId="0" fontId="63" fillId="0" borderId="25" applyAlignment="1" pivotButton="0" quotePrefix="0" xfId="0">
      <alignment wrapText="1"/>
    </xf>
    <xf numFmtId="0" fontId="29" fillId="0" borderId="32" pivotButton="0" quotePrefix="0" xfId="0"/>
    <xf numFmtId="0" fontId="35" fillId="0" borderId="9" applyAlignment="1" pivotButton="0" quotePrefix="0" xfId="0">
      <alignment horizontal="left" wrapText="1"/>
    </xf>
    <xf numFmtId="0" fontId="32" fillId="0" borderId="6" applyAlignment="1" pivotButton="0" quotePrefix="0" xfId="0">
      <alignment wrapText="1"/>
    </xf>
    <xf numFmtId="0" fontId="57" fillId="0" borderId="37" pivotButton="0" quotePrefix="0" xfId="0"/>
    <xf numFmtId="0" fontId="4" fillId="0" borderId="25" pivotButton="0" quotePrefix="0" xfId="0"/>
    <xf numFmtId="0" fontId="63" fillId="0" borderId="25" pivotButton="0" quotePrefix="0" xfId="0"/>
    <xf numFmtId="0" fontId="35" fillId="0" borderId="25" applyAlignment="1" pivotButton="0" quotePrefix="0" xfId="0">
      <alignment horizontal="left" wrapText="1"/>
    </xf>
    <xf numFmtId="0" fontId="0" fillId="0" borderId="25" pivotButton="0" quotePrefix="0" xfId="0"/>
    <xf numFmtId="0" fontId="0" fillId="0" borderId="27" pivotButton="0" quotePrefix="0" xfId="0"/>
    <xf numFmtId="0" fontId="57" fillId="0" borderId="28" pivotButton="0" quotePrefix="0" xfId="0"/>
    <xf numFmtId="0" fontId="57" fillId="0" borderId="36" pivotButton="0" quotePrefix="0" xfId="0"/>
    <xf numFmtId="0" fontId="57" fillId="0" borderId="38" pivotButton="0" quotePrefix="0" xfId="0"/>
    <xf numFmtId="0" fontId="6" fillId="0" borderId="25" pivotButton="0" quotePrefix="0" xfId="0"/>
    <xf numFmtId="0" fontId="7" fillId="0" borderId="13" pivotButton="0" quotePrefix="0" xfId="0"/>
    <xf numFmtId="0" fontId="8" fillId="0" borderId="13" pivotButton="0" quotePrefix="0" xfId="0"/>
    <xf numFmtId="0" fontId="9" fillId="0" borderId="0" pivotButton="0" quotePrefix="0" xfId="0"/>
    <xf numFmtId="0" fontId="7" fillId="0" borderId="2" applyAlignment="1" pivotButton="0" quotePrefix="0" xfId="0">
      <alignment horizontal="right"/>
    </xf>
    <xf numFmtId="0" fontId="64" fillId="0" borderId="2" applyAlignment="1" pivotButton="0" quotePrefix="0" xfId="0">
      <alignment horizontal="right"/>
    </xf>
    <xf numFmtId="0" fontId="10" fillId="3" borderId="12" pivotButton="0" quotePrefix="0" xfId="0"/>
    <xf numFmtId="14" fontId="0" fillId="0" borderId="0" pivotButton="0" quotePrefix="0" xfId="0"/>
    <xf numFmtId="14" fontId="0" fillId="0" borderId="25" pivotButton="0" quotePrefix="0" xfId="0"/>
    <xf numFmtId="0" fontId="0" fillId="0" borderId="25" applyAlignment="1" pivotButton="0" quotePrefix="0" xfId="0">
      <alignment horizontal="center"/>
    </xf>
    <xf numFmtId="0" fontId="66" fillId="15" borderId="0" pivotButton="0" quotePrefix="0" xfId="0"/>
    <xf numFmtId="0" fontId="66" fillId="15" borderId="25" pivotButton="0" quotePrefix="0" xfId="0"/>
    <xf numFmtId="14" fontId="46" fillId="27" borderId="0" pivotButton="0" quotePrefix="0" xfId="0"/>
    <xf numFmtId="0" fontId="3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46" fillId="27" borderId="0" pivotButton="0" quotePrefix="0" xfId="0"/>
    <xf numFmtId="0" fontId="49" fillId="0" borderId="25" pivotButton="0" quotePrefix="0" xfId="0"/>
    <xf numFmtId="0" fontId="62" fillId="0" borderId="25" pivotButton="0" quotePrefix="0" xfId="0"/>
    <xf numFmtId="0" fontId="0" fillId="28" borderId="0" pivotButton="0" quotePrefix="0" xfId="0"/>
    <xf numFmtId="10" fontId="10" fillId="0" borderId="4" pivotButton="0" quotePrefix="0" xfId="0"/>
    <xf numFmtId="1" fontId="0" fillId="0" borderId="25" pivotButton="0" quotePrefix="0" xfId="0"/>
    <xf numFmtId="2" fontId="0" fillId="0" borderId="0" pivotButton="0" quotePrefix="0" xfId="0"/>
    <xf numFmtId="0" fontId="9" fillId="0" borderId="27" pivotButton="0" quotePrefix="0" xfId="0"/>
    <xf numFmtId="0" fontId="10" fillId="0" borderId="28" pivotButton="0" quotePrefix="0" xfId="0"/>
    <xf numFmtId="0" fontId="10" fillId="8" borderId="2" pivotButton="0" quotePrefix="0" xfId="0"/>
    <xf numFmtId="1" fontId="10" fillId="8" borderId="2" pivotButton="0" quotePrefix="0" xfId="0"/>
    <xf numFmtId="0" fontId="54" fillId="17" borderId="12" pivotButton="0" quotePrefix="0" xfId="0"/>
    <xf numFmtId="1" fontId="54" fillId="8" borderId="2" pivotButton="0" quotePrefix="0" xfId="0"/>
    <xf numFmtId="0" fontId="0" fillId="0" borderId="25" applyAlignment="1" pivotButton="0" quotePrefix="0" xfId="0">
      <alignment horizontal="right"/>
    </xf>
    <xf numFmtId="0" fontId="0" fillId="15" borderId="0" pivotButton="0" quotePrefix="0" xfId="0"/>
    <xf numFmtId="0" fontId="66" fillId="0" borderId="25" pivotButton="0" quotePrefix="0" xfId="0"/>
    <xf numFmtId="0" fontId="8" fillId="0" borderId="2" pivotButton="0" quotePrefix="0" xfId="0"/>
    <xf numFmtId="0" fontId="8" fillId="0" borderId="14" pivotButton="0" quotePrefix="0" xfId="0"/>
    <xf numFmtId="1" fontId="69" fillId="8" borderId="2" pivotButton="0" quotePrefix="0" xfId="0"/>
    <xf numFmtId="0" fontId="10" fillId="0" borderId="14" applyAlignment="1" pivotButton="0" quotePrefix="0" xfId="0">
      <alignment horizontal="center" vertical="center" wrapText="1"/>
    </xf>
    <xf numFmtId="0" fontId="8" fillId="0" borderId="14" pivotButton="0" quotePrefix="0" xfId="0"/>
    <xf numFmtId="0" fontId="66" fillId="0" borderId="14" pivotButton="0" quotePrefix="0" xfId="0"/>
    <xf numFmtId="0" fontId="30" fillId="0" borderId="14" pivotButton="0" quotePrefix="0" xfId="0"/>
    <xf numFmtId="0" fontId="8" fillId="0" borderId="14" applyAlignment="1" pivotButton="0" quotePrefix="0" xfId="0">
      <alignment wrapText="1"/>
    </xf>
    <xf numFmtId="0" fontId="66" fillId="0" borderId="14" pivotButton="0" quotePrefix="0" xfId="0"/>
    <xf numFmtId="0" fontId="8" fillId="0" borderId="14" applyAlignment="1" pivotButton="0" quotePrefix="0" xfId="0">
      <alignment horizontal="right"/>
    </xf>
    <xf numFmtId="9" fontId="8" fillId="0" borderId="14" pivotButton="0" quotePrefix="0" xfId="0"/>
    <xf numFmtId="0" fontId="30" fillId="0" borderId="14" pivotButton="0" quotePrefix="0" xfId="0"/>
    <xf numFmtId="3" fontId="66" fillId="0" borderId="14" pivotButton="0" quotePrefix="0" xfId="0"/>
    <xf numFmtId="0" fontId="48" fillId="0" borderId="14" pivotButton="0" quotePrefix="0" xfId="0"/>
    <xf numFmtId="0" fontId="47" fillId="0" borderId="14" pivotButton="0" quotePrefix="0" xfId="0"/>
    <xf numFmtId="0" fontId="30" fillId="0" borderId="14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7" borderId="27" applyAlignment="1" pivotButton="0" quotePrefix="0" xfId="0">
      <alignment horizontal="center" vertical="center" wrapText="1"/>
    </xf>
    <xf numFmtId="0" fontId="10" fillId="9" borderId="27" applyAlignment="1" pivotButton="0" quotePrefix="0" xfId="0">
      <alignment horizontal="center" vertical="center" wrapText="1"/>
    </xf>
    <xf numFmtId="0" fontId="10" fillId="22" borderId="27" applyAlignment="1" pivotButton="0" quotePrefix="0" xfId="0">
      <alignment horizontal="center" vertical="center" wrapText="1"/>
    </xf>
    <xf numFmtId="0" fontId="10" fillId="13" borderId="27" applyAlignment="1" pivotButton="0" quotePrefix="0" xfId="0">
      <alignment horizontal="center" vertical="center" wrapText="1"/>
    </xf>
    <xf numFmtId="0" fontId="10" fillId="26" borderId="27" applyAlignment="1" pivotButton="0" quotePrefix="0" xfId="0">
      <alignment horizontal="center" vertical="center" wrapText="1"/>
    </xf>
    <xf numFmtId="166" fontId="8" fillId="0" borderId="14" applyAlignment="1" pivotButton="0" quotePrefix="0" xfId="3">
      <alignment horizontal="center" vertical="center" wrapText="1"/>
    </xf>
    <xf numFmtId="0" fontId="71" fillId="0" borderId="14" applyAlignment="1" pivotButton="0" quotePrefix="0" xfId="0">
      <alignment horizontal="center" vertical="center" wrapText="1"/>
    </xf>
    <xf numFmtId="0" fontId="72" fillId="0" borderId="14" applyAlignment="1" pivotButton="0" quotePrefix="0" xfId="0">
      <alignment horizontal="center" vertical="center" wrapText="1"/>
    </xf>
    <xf numFmtId="0" fontId="73" fillId="0" borderId="14" pivotButton="0" quotePrefix="0" xfId="0"/>
    <xf numFmtId="0" fontId="40" fillId="7" borderId="14" applyAlignment="1" pivotButton="0" quotePrefix="0" xfId="0">
      <alignment vertical="center"/>
    </xf>
    <xf numFmtId="0" fontId="73" fillId="0" borderId="0" pivotButton="0" quotePrefix="0" xfId="0"/>
    <xf numFmtId="0" fontId="10" fillId="7" borderId="7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3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0" fillId="20" borderId="1" applyAlignment="1" pivotButton="0" quotePrefix="0" xfId="0">
      <alignment horizontal="left" vertical="center"/>
    </xf>
    <xf numFmtId="0" fontId="10" fillId="2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/>
    </xf>
    <xf numFmtId="0" fontId="10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wrapText="1"/>
    </xf>
    <xf numFmtId="0" fontId="10" fillId="0" borderId="2" pivotButton="0" quotePrefix="0" xfId="0"/>
    <xf numFmtId="0" fontId="32" fillId="0" borderId="2" pivotButton="0" quotePrefix="0" xfId="0"/>
    <xf numFmtId="0" fontId="32" fillId="0" borderId="12" applyAlignment="1" pivotButton="0" quotePrefix="0" xfId="0">
      <alignment horizontal="left" vertical="center" wrapText="1"/>
    </xf>
    <xf numFmtId="0" fontId="2" fillId="0" borderId="0" pivotButton="0" quotePrefix="0" xfId="0"/>
    <xf numFmtId="0" fontId="32" fillId="0" borderId="3" applyAlignment="1" pivotButton="0" quotePrefix="0" xfId="0">
      <alignment horizontal="left" vertical="center" wrapText="1"/>
    </xf>
    <xf numFmtId="0" fontId="9" fillId="0" borderId="3" pivotButton="0" quotePrefix="0" xfId="0"/>
    <xf numFmtId="0" fontId="10" fillId="0" borderId="2" pivotButton="0" quotePrefix="0" xfId="0"/>
    <xf numFmtId="0" fontId="10" fillId="0" borderId="2" applyAlignment="1" pivotButton="0" quotePrefix="0" xfId="0">
      <alignment horizontal="right"/>
    </xf>
    <xf numFmtId="0" fontId="10" fillId="0" borderId="3" applyAlignment="1" pivotButton="0" quotePrefix="0" xfId="0">
      <alignment horizontal="left" vertical="center" wrapText="1"/>
    </xf>
    <xf numFmtId="0" fontId="0" fillId="20" borderId="0" pivotButton="0" quotePrefix="0" xfId="0"/>
    <xf numFmtId="0" fontId="0" fillId="0" borderId="32" pivotButton="0" quotePrefix="0" xfId="0"/>
    <xf numFmtId="0" fontId="21" fillId="0" borderId="15" pivotButton="0" quotePrefix="0" xfId="0"/>
    <xf numFmtId="0" fontId="21" fillId="0" borderId="16" pivotButton="0" quotePrefix="0" xfId="0"/>
    <xf numFmtId="0" fontId="21" fillId="0" borderId="16" applyAlignment="1" pivotButton="0" quotePrefix="0" xfId="0">
      <alignment horizontal="center"/>
    </xf>
    <xf numFmtId="0" fontId="21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center"/>
    </xf>
    <xf numFmtId="0" fontId="21" fillId="0" borderId="19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0" borderId="19" applyAlignment="1" pivotButton="0" quotePrefix="0" xfId="0">
      <alignment horizontal="center"/>
    </xf>
    <xf numFmtId="0" fontId="0" fillId="0" borderId="20" pivotButton="0" quotePrefix="0" xfId="0"/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166" fontId="0" fillId="0" borderId="0" pivotButton="0" quotePrefix="0" xfId="3"/>
    <xf numFmtId="166" fontId="0" fillId="0" borderId="0" pivotButton="0" quotePrefix="0" xfId="3"/>
    <xf numFmtId="166" fontId="21" fillId="0" borderId="0" pivotButton="0" quotePrefix="0" xfId="0"/>
    <xf numFmtId="0" fontId="50" fillId="27" borderId="0" pivotButton="0" quotePrefix="0" xfId="0"/>
    <xf numFmtId="0" fontId="74" fillId="17" borderId="12" applyAlignment="1" pivotButton="0" quotePrefix="0" xfId="0">
      <alignment horizontal="center"/>
    </xf>
    <xf numFmtId="0" fontId="9" fillId="0" borderId="9" pivotButton="0" quotePrefix="0" xfId="0"/>
    <xf numFmtId="1" fontId="10" fillId="0" borderId="2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29" borderId="0" applyAlignment="1" pivotButton="0" quotePrefix="0" xfId="0">
      <alignment horizontal="left"/>
    </xf>
    <xf numFmtId="0" fontId="1" fillId="29" borderId="0" applyAlignment="1" pivotButton="0" quotePrefix="0" xfId="0">
      <alignment horizontal="center"/>
    </xf>
    <xf numFmtId="0" fontId="1" fillId="29" borderId="0" pivotButton="0" quotePrefix="0" xfId="0"/>
    <xf numFmtId="0" fontId="1" fillId="30" borderId="0" pivotButton="0" quotePrefix="0" xfId="0"/>
    <xf numFmtId="0" fontId="1" fillId="30" borderId="0" applyAlignment="1" pivotButton="0" quotePrefix="0" xfId="0">
      <alignment horizontal="left"/>
    </xf>
    <xf numFmtId="0" fontId="1" fillId="30" borderId="0" applyAlignment="1" pivotButton="0" quotePrefix="0" xfId="0">
      <alignment horizontal="center"/>
    </xf>
    <xf numFmtId="0" fontId="46" fillId="19" borderId="0" pivotButton="0" quotePrefix="0" xfId="0"/>
    <xf numFmtId="0" fontId="0" fillId="0" borderId="0" applyAlignment="1" pivotButton="0" quotePrefix="0" xfId="0">
      <alignment horizontal="left"/>
    </xf>
    <xf numFmtId="14" fontId="50" fillId="19" borderId="0" pivotButton="0" quotePrefix="0" xfId="0"/>
    <xf numFmtId="168" fontId="9" fillId="0" borderId="9" applyAlignment="1" pivotButton="0" quotePrefix="0" xfId="3">
      <alignment horizontal="center" vertical="center" wrapText="1"/>
    </xf>
    <xf numFmtId="169" fontId="21" fillId="0" borderId="14" pivotButton="0" quotePrefix="0" xfId="0"/>
    <xf numFmtId="169" fontId="9" fillId="0" borderId="9" applyAlignment="1" pivotButton="0" quotePrefix="0" xfId="3">
      <alignment horizontal="center" vertical="center" wrapText="1"/>
    </xf>
    <xf numFmtId="0" fontId="39" fillId="7" borderId="0" pivotButton="0" quotePrefix="0" xfId="0"/>
    <xf numFmtId="0" fontId="39" fillId="22" borderId="0" pivotButton="0" quotePrefix="0" xfId="0"/>
    <xf numFmtId="1" fontId="10" fillId="22" borderId="39" applyAlignment="1" pivotButton="0" quotePrefix="0" xfId="0">
      <alignment horizontal="right"/>
    </xf>
    <xf numFmtId="1" fontId="10" fillId="22" borderId="33" applyAlignment="1" pivotButton="0" quotePrefix="0" xfId="0">
      <alignment horizontal="right"/>
    </xf>
    <xf numFmtId="1" fontId="10" fillId="22" borderId="40" applyAlignment="1" pivotButton="0" quotePrefix="0" xfId="0">
      <alignment horizontal="right"/>
    </xf>
    <xf numFmtId="0" fontId="0" fillId="22" borderId="41" applyAlignment="1" pivotButton="0" quotePrefix="0" xfId="0">
      <alignment horizontal="center"/>
    </xf>
    <xf numFmtId="0" fontId="0" fillId="22" borderId="31" applyAlignment="1" pivotButton="0" quotePrefix="0" xfId="0">
      <alignment horizontal="center"/>
    </xf>
    <xf numFmtId="0" fontId="0" fillId="22" borderId="42" applyAlignment="1" pivotButton="0" quotePrefix="0" xfId="0">
      <alignment horizontal="center"/>
    </xf>
    <xf numFmtId="1" fontId="10" fillId="9" borderId="6" applyAlignment="1" pivotButton="0" quotePrefix="0" xfId="0">
      <alignment horizontal="right"/>
    </xf>
    <xf numFmtId="1" fontId="10" fillId="9" borderId="39" applyAlignment="1" pivotButton="0" quotePrefix="0" xfId="0">
      <alignment horizontal="right"/>
    </xf>
    <xf numFmtId="1" fontId="10" fillId="9" borderId="33" applyAlignment="1" pivotButton="0" quotePrefix="0" xfId="0">
      <alignment horizontal="right"/>
    </xf>
    <xf numFmtId="1" fontId="10" fillId="9" borderId="40" applyAlignment="1" pivotButton="0" quotePrefix="0" xfId="0">
      <alignment horizontal="right"/>
    </xf>
    <xf numFmtId="0" fontId="0" fillId="9" borderId="41" applyAlignment="1" pivotButton="0" quotePrefix="0" xfId="0">
      <alignment horizontal="center"/>
    </xf>
    <xf numFmtId="0" fontId="0" fillId="9" borderId="31" applyAlignment="1" pivotButton="0" quotePrefix="0" xfId="0">
      <alignment horizontal="center"/>
    </xf>
    <xf numFmtId="0" fontId="0" fillId="9" borderId="42" applyAlignment="1" pivotButton="0" quotePrefix="0" xfId="0">
      <alignment horizontal="center"/>
    </xf>
    <xf numFmtId="1" fontId="10" fillId="7" borderId="39" applyAlignment="1" pivotButton="0" quotePrefix="0" xfId="0">
      <alignment horizontal="right"/>
    </xf>
    <xf numFmtId="1" fontId="10" fillId="7" borderId="33" applyAlignment="1" pivotButton="0" quotePrefix="0" xfId="0">
      <alignment horizontal="right"/>
    </xf>
    <xf numFmtId="1" fontId="10" fillId="7" borderId="40" applyAlignment="1" pivotButton="0" quotePrefix="0" xfId="0">
      <alignment horizontal="right"/>
    </xf>
    <xf numFmtId="0" fontId="0" fillId="7" borderId="41" applyAlignment="1" pivotButton="0" quotePrefix="0" xfId="0">
      <alignment horizontal="center"/>
    </xf>
    <xf numFmtId="0" fontId="0" fillId="7" borderId="31" applyAlignment="1" pivotButton="0" quotePrefix="0" xfId="0">
      <alignment horizontal="center"/>
    </xf>
    <xf numFmtId="0" fontId="0" fillId="7" borderId="42" applyAlignment="1" pivotButton="0" quotePrefix="0" xfId="0">
      <alignment horizontal="center"/>
    </xf>
    <xf numFmtId="0" fontId="21" fillId="0" borderId="28" applyAlignment="1" pivotButton="0" quotePrefix="0" xfId="0">
      <alignment horizontal="right"/>
    </xf>
    <xf numFmtId="169" fontId="9" fillId="0" borderId="27" applyAlignment="1" pivotButton="0" quotePrefix="0" xfId="0">
      <alignment horizontal="right"/>
    </xf>
    <xf numFmtId="0" fontId="0" fillId="9" borderId="32" applyAlignment="1" pivotButton="0" quotePrefix="0" xfId="0">
      <alignment horizontal="center"/>
    </xf>
    <xf numFmtId="0" fontId="0" fillId="9" borderId="34" applyAlignment="1" pivotButton="0" quotePrefix="0" xfId="0">
      <alignment horizontal="center"/>
    </xf>
    <xf numFmtId="0" fontId="0" fillId="9" borderId="37" applyAlignment="1" pivotButton="0" quotePrefix="0" xfId="0">
      <alignment horizontal="center"/>
    </xf>
    <xf numFmtId="0" fontId="0" fillId="7" borderId="32" applyAlignment="1" pivotButton="0" quotePrefix="0" xfId="0">
      <alignment horizontal="center"/>
    </xf>
    <xf numFmtId="0" fontId="0" fillId="7" borderId="34" applyAlignment="1" pivotButton="0" quotePrefix="0" xfId="0">
      <alignment horizontal="center"/>
    </xf>
    <xf numFmtId="0" fontId="0" fillId="7" borderId="37" applyAlignment="1" pivotButton="0" quotePrefix="0" xfId="0">
      <alignment horizontal="center"/>
    </xf>
    <xf numFmtId="0" fontId="0" fillId="22" borderId="32" applyAlignment="1" pivotButton="0" quotePrefix="0" xfId="0">
      <alignment horizontal="center"/>
    </xf>
    <xf numFmtId="0" fontId="0" fillId="22" borderId="34" applyAlignment="1" pivotButton="0" quotePrefix="0" xfId="0">
      <alignment horizontal="center"/>
    </xf>
    <xf numFmtId="0" fontId="0" fillId="22" borderId="37" applyAlignment="1" pivotButton="0" quotePrefix="0" xfId="0">
      <alignment horizontal="center"/>
    </xf>
    <xf numFmtId="0" fontId="35" fillId="0" borderId="12" applyAlignment="1" pivotButton="0" quotePrefix="0" xfId="0">
      <alignment horizontal="right" wrapText="1"/>
    </xf>
    <xf numFmtId="0" fontId="1" fillId="0" borderId="0" applyAlignment="1" pivotButton="0" quotePrefix="0" xfId="0">
      <alignment horizontal="right"/>
    </xf>
    <xf numFmtId="0" fontId="7" fillId="0" borderId="2" pivotButton="0" quotePrefix="0" xfId="0"/>
    <xf numFmtId="0" fontId="75" fillId="0" borderId="2" pivotButton="0" quotePrefix="0" xfId="0"/>
    <xf numFmtId="0" fontId="75" fillId="0" borderId="12" applyAlignment="1" pivotButton="0" quotePrefix="0" xfId="0">
      <alignment horizontal="left" vertical="center" wrapText="1"/>
    </xf>
    <xf numFmtId="0" fontId="7" fillId="0" borderId="3" pivotButton="0" quotePrefix="0" xfId="0"/>
    <xf numFmtId="0" fontId="7" fillId="0" borderId="12" applyAlignment="1" pivotButton="0" quotePrefix="0" xfId="0">
      <alignment wrapText="1"/>
    </xf>
    <xf numFmtId="0" fontId="76" fillId="0" borderId="0" pivotButton="0" quotePrefix="0" xfId="0"/>
    <xf numFmtId="0" fontId="71" fillId="22" borderId="14" applyAlignment="1" pivotButton="0" quotePrefix="0" xfId="0">
      <alignment horizontal="center" vertical="center" wrapText="1"/>
    </xf>
    <xf numFmtId="0" fontId="72" fillId="22" borderId="14" applyAlignment="1" pivotButton="0" quotePrefix="0" xfId="0">
      <alignment horizontal="center" vertical="center" wrapText="1"/>
    </xf>
    <xf numFmtId="9" fontId="0" fillId="22" borderId="14" pivotButton="0" quotePrefix="0" xfId="2"/>
    <xf numFmtId="9" fontId="0" fillId="22" borderId="0" pivotButton="0" quotePrefix="0" xfId="2"/>
    <xf numFmtId="9" fontId="66" fillId="22" borderId="14" pivotButton="0" quotePrefix="0" xfId="2"/>
    <xf numFmtId="9" fontId="8" fillId="22" borderId="14" applyAlignment="1" pivotButton="0" quotePrefix="0" xfId="2">
      <alignment horizontal="right"/>
    </xf>
    <xf numFmtId="9" fontId="48" fillId="22" borderId="14" pivotButton="0" quotePrefix="0" xfId="2"/>
    <xf numFmtId="9" fontId="22" fillId="22" borderId="14" applyAlignment="1" pivotButton="0" quotePrefix="0" xfId="2">
      <alignment vertical="center"/>
    </xf>
    <xf numFmtId="166" fontId="8" fillId="22" borderId="14" applyAlignment="1" pivotButton="0" quotePrefix="0" xfId="3">
      <alignment horizontal="center" vertical="center" wrapText="1"/>
    </xf>
    <xf numFmtId="0" fontId="0" fillId="22" borderId="14" pivotButton="0" quotePrefix="0" xfId="0"/>
    <xf numFmtId="0" fontId="66" fillId="22" borderId="14" pivotButton="0" quotePrefix="0" xfId="0"/>
    <xf numFmtId="0" fontId="8" fillId="22" borderId="14" pivotButton="0" quotePrefix="0" xfId="0"/>
    <xf numFmtId="0" fontId="48" fillId="22" borderId="14" pivotButton="0" quotePrefix="0" xfId="0"/>
    <xf numFmtId="0" fontId="22" fillId="22" borderId="14" applyAlignment="1" pivotButton="0" quotePrefix="0" xfId="0">
      <alignment vertical="center"/>
    </xf>
    <xf numFmtId="0" fontId="71" fillId="7" borderId="14" applyAlignment="1" pivotButton="0" quotePrefix="0" xfId="0">
      <alignment horizontal="center" vertical="center" wrapText="1"/>
    </xf>
    <xf numFmtId="0" fontId="72" fillId="7" borderId="14" applyAlignment="1" pivotButton="0" quotePrefix="0" xfId="0">
      <alignment horizontal="center" vertical="center" wrapText="1"/>
    </xf>
    <xf numFmtId="0" fontId="0" fillId="7" borderId="0" pivotButton="0" quotePrefix="0" xfId="0"/>
    <xf numFmtId="9" fontId="0" fillId="7" borderId="14" pivotButton="0" quotePrefix="0" xfId="2"/>
    <xf numFmtId="9" fontId="0" fillId="7" borderId="0" pivotButton="0" quotePrefix="0" xfId="2"/>
    <xf numFmtId="9" fontId="66" fillId="7" borderId="14" pivotButton="0" quotePrefix="0" xfId="2"/>
    <xf numFmtId="9" fontId="8" fillId="7" borderId="14" pivotButton="0" quotePrefix="0" xfId="2"/>
    <xf numFmtId="9" fontId="8" fillId="7" borderId="14" applyAlignment="1" pivotButton="0" quotePrefix="0" xfId="2">
      <alignment horizontal="right"/>
    </xf>
    <xf numFmtId="9" fontId="22" fillId="7" borderId="14" applyAlignment="1" pivotButton="0" quotePrefix="0" xfId="2">
      <alignment vertical="center"/>
    </xf>
    <xf numFmtId="166" fontId="8" fillId="7" borderId="14" applyAlignment="1" pivotButton="0" quotePrefix="0" xfId="3">
      <alignment horizontal="center" vertical="center" wrapText="1"/>
    </xf>
    <xf numFmtId="0" fontId="0" fillId="7" borderId="14" pivotButton="0" quotePrefix="0" xfId="0"/>
    <xf numFmtId="0" fontId="66" fillId="7" borderId="14" pivotButton="0" quotePrefix="0" xfId="0"/>
    <xf numFmtId="1" fontId="8" fillId="7" borderId="14" applyAlignment="1" pivotButton="0" quotePrefix="0" xfId="0">
      <alignment horizontal="right"/>
    </xf>
    <xf numFmtId="0" fontId="48" fillId="7" borderId="14" pivotButton="0" quotePrefix="0" xfId="0"/>
    <xf numFmtId="166" fontId="8" fillId="9" borderId="14" applyAlignment="1" pivotButton="0" quotePrefix="0" xfId="3">
      <alignment horizontal="center" vertical="center" wrapText="1"/>
    </xf>
    <xf numFmtId="0" fontId="72" fillId="9" borderId="14" applyAlignment="1" pivotButton="0" quotePrefix="0" xfId="0">
      <alignment horizontal="center" vertical="center" wrapText="1"/>
    </xf>
    <xf numFmtId="0" fontId="0" fillId="9" borderId="14" pivotButton="0" quotePrefix="0" xfId="0"/>
    <xf numFmtId="0" fontId="66" fillId="9" borderId="14" pivotButton="0" quotePrefix="0" xfId="0"/>
    <xf numFmtId="9" fontId="8" fillId="9" borderId="14" pivotButton="0" quotePrefix="0" xfId="0"/>
    <xf numFmtId="0" fontId="8" fillId="9" borderId="14" pivotButton="0" quotePrefix="0" xfId="0"/>
    <xf numFmtId="0" fontId="30" fillId="9" borderId="14" pivotButton="0" quotePrefix="0" xfId="0"/>
    <xf numFmtId="0" fontId="48" fillId="9" borderId="14" pivotButton="0" quotePrefix="0" xfId="0"/>
    <xf numFmtId="0" fontId="70" fillId="9" borderId="14" pivotButton="0" quotePrefix="0" xfId="0"/>
    <xf numFmtId="0" fontId="22" fillId="9" borderId="14" applyAlignment="1" pivotButton="0" quotePrefix="0" xfId="0">
      <alignment vertical="center"/>
    </xf>
    <xf numFmtId="0" fontId="71" fillId="9" borderId="14" applyAlignment="1" pivotButton="0" quotePrefix="0" xfId="0">
      <alignment horizontal="center" vertical="center" wrapText="1"/>
    </xf>
    <xf numFmtId="9" fontId="0" fillId="9" borderId="14" pivotButton="0" quotePrefix="0" xfId="2"/>
    <xf numFmtId="9" fontId="0" fillId="9" borderId="0" pivotButton="0" quotePrefix="0" xfId="2"/>
    <xf numFmtId="9" fontId="66" fillId="9" borderId="14" pivotButton="0" quotePrefix="0" xfId="2"/>
    <xf numFmtId="9" fontId="8" fillId="9" borderId="14" applyAlignment="1" pivotButton="0" quotePrefix="0" xfId="2">
      <alignment horizontal="right"/>
    </xf>
    <xf numFmtId="9" fontId="48" fillId="9" borderId="14" pivotButton="0" quotePrefix="0" xfId="2"/>
    <xf numFmtId="9" fontId="22" fillId="9" borderId="14" applyAlignment="1" pivotButton="0" quotePrefix="0" xfId="2">
      <alignment vertical="center"/>
    </xf>
    <xf numFmtId="0" fontId="8" fillId="0" borderId="14" pivotButton="0" quotePrefix="0" xfId="0"/>
    <xf numFmtId="0" fontId="10" fillId="0" borderId="1" pivotButton="0" quotePrefix="0" xfId="0"/>
    <xf numFmtId="0" fontId="10" fillId="22" borderId="14" applyAlignment="1" pivotButton="0" quotePrefix="0" xfId="0">
      <alignment horizontal="center" vertical="center" wrapText="1"/>
    </xf>
    <xf numFmtId="0" fontId="48" fillId="0" borderId="14" pivotButton="0" quotePrefix="0" xfId="0"/>
    <xf numFmtId="0" fontId="8" fillId="0" borderId="14" pivotButton="0" quotePrefix="0" xfId="0"/>
    <xf numFmtId="0" fontId="7" fillId="0" borderId="14" pivotButton="0" quotePrefix="0" xfId="0"/>
    <xf numFmtId="0" fontId="9" fillId="0" borderId="3" applyAlignment="1" pivotButton="0" quotePrefix="0" xfId="0">
      <alignment horizontal="center"/>
    </xf>
    <xf numFmtId="0" fontId="8" fillId="0" borderId="4" pivotButton="0" quotePrefix="0" xfId="0"/>
    <xf numFmtId="0" fontId="8" fillId="0" borderId="5" pivotButton="0" quotePrefix="0" xfId="0"/>
    <xf numFmtId="0" fontId="9" fillId="0" borderId="14" applyAlignment="1" pivotButton="0" quotePrefix="0" xfId="0">
      <alignment horizontal="center" vertical="center" wrapText="1"/>
    </xf>
    <xf numFmtId="0" fontId="8" fillId="0" borderId="8" pivotButton="0" quotePrefix="0" xfId="0"/>
    <xf numFmtId="0" fontId="9" fillId="0" borderId="8" applyAlignment="1" pivotButton="0" quotePrefix="0" xfId="0">
      <alignment horizontal="center" vertical="center" wrapText="1"/>
    </xf>
    <xf numFmtId="0" fontId="0" fillId="20" borderId="0" applyAlignment="1" pivotButton="0" quotePrefix="0" xfId="0">
      <alignment horizontal="left"/>
    </xf>
    <xf numFmtId="14" fontId="0" fillId="20" borderId="0" pivotButton="0" quotePrefix="0" xfId="0"/>
    <xf numFmtId="0" fontId="0" fillId="20" borderId="0" applyAlignment="1" pivotButton="0" quotePrefix="0" xfId="0">
      <alignment horizontal="center"/>
    </xf>
    <xf numFmtId="0" fontId="21" fillId="20" borderId="0" pivotButton="0" quotePrefix="0" xfId="0"/>
    <xf numFmtId="0" fontId="78" fillId="31" borderId="14" applyAlignment="1" pivotButton="0" quotePrefix="0" xfId="0">
      <alignment horizontal="center" vertical="center"/>
    </xf>
    <xf numFmtId="164" fontId="10" fillId="0" borderId="14" pivotButton="0" quotePrefix="0" xfId="0"/>
    <xf numFmtId="165" fontId="21" fillId="0" borderId="25" pivotButton="0" quotePrefix="0" xfId="0"/>
    <xf numFmtId="165" fontId="0" fillId="7" borderId="25" pivotButton="0" quotePrefix="0" xfId="1"/>
    <xf numFmtId="165" fontId="42" fillId="0" borderId="0" pivotButton="0" quotePrefix="0" xfId="0"/>
    <xf numFmtId="165" fontId="41" fillId="7" borderId="0" pivotButton="0" quotePrefix="0" xfId="1"/>
    <xf numFmtId="164" fontId="0" fillId="0" borderId="25" pivotButton="0" quotePrefix="0" xfId="0"/>
    <xf numFmtId="0" fontId="78" fillId="31" borderId="4" applyAlignment="1" pivotButton="0" quotePrefix="0" xfId="0">
      <alignment horizontal="center" vertical="center"/>
    </xf>
    <xf numFmtId="169" fontId="21" fillId="0" borderId="14" pivotButton="0" quotePrefix="0" xfId="0"/>
    <xf numFmtId="168" fontId="9" fillId="0" borderId="9" applyAlignment="1" pivotButton="0" quotePrefix="0" xfId="3">
      <alignment horizontal="center" vertical="center" wrapText="1"/>
    </xf>
    <xf numFmtId="164" fontId="10" fillId="0" borderId="12" pivotButton="0" quotePrefix="0" xfId="0"/>
    <xf numFmtId="165" fontId="10" fillId="0" borderId="2" pivotButton="0" quotePrefix="0" xfId="1"/>
    <xf numFmtId="165" fontId="10" fillId="0" borderId="7" pivotButton="0" quotePrefix="0" xfId="1"/>
    <xf numFmtId="169" fontId="9" fillId="0" borderId="27" applyAlignment="1" pivotButton="0" quotePrefix="0" xfId="0">
      <alignment horizontal="right"/>
    </xf>
    <xf numFmtId="167" fontId="10" fillId="0" borderId="14" pivotButton="0" quotePrefix="0" xfId="0"/>
    <xf numFmtId="169" fontId="9" fillId="0" borderId="9" applyAlignment="1" pivotButton="0" quotePrefix="0" xfId="3">
      <alignment horizontal="center" vertical="center" wrapText="1"/>
    </xf>
    <xf numFmtId="0" fontId="9" fillId="0" borderId="2" applyAlignment="1" pivotButton="0" quotePrefix="0" xfId="0">
      <alignment horizontal="center"/>
    </xf>
    <xf numFmtId="0" fontId="0" fillId="0" borderId="9" pivotButton="0" quotePrefix="0" xfId="0"/>
    <xf numFmtId="0" fontId="0" fillId="0" borderId="5" pivotButton="0" quotePrefix="0" xfId="0"/>
    <xf numFmtId="165" fontId="10" fillId="0" borderId="25" pivotButton="0" quotePrefix="0" xfId="1"/>
    <xf numFmtId="0" fontId="78" fillId="31" borderId="13" applyAlignment="1" pivotButton="0" quotePrefix="0" xfId="0">
      <alignment horizontal="center" vertical="center"/>
    </xf>
    <xf numFmtId="0" fontId="0" fillId="0" borderId="8" pivotButton="0" quotePrefix="0" xfId="0"/>
  </cellXfs>
  <cellStyles count="4">
    <cellStyle name="Normalny" xfId="0" builtinId="0"/>
    <cellStyle name="Walutowy" xfId="1" builtinId="4"/>
    <cellStyle name="Procentowy" xfId="2" builtinId="5"/>
    <cellStyle name="Dziesiętny" xfId="3" builtinId="3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Włodzimierz Ossowski</author>
  </authors>
  <commentList>
    <comment ref="E1" authorId="0" shapeId="0">
      <text>
        <t xml:space="preserve">koszt pracodawcy
</t>
      </text>
    </comment>
    <comment ref="F1" authorId="0" shapeId="0">
      <text>
        <t xml:space="preserve">wynagrodzenie m-c brutto
</t>
      </text>
    </comment>
    <comment ref="G1" authorId="0" shapeId="0">
      <text>
        <t xml:space="preserve">część etatu B+R
</t>
      </text>
    </comment>
    <comment ref="H1" authorId="0" shapeId="0">
      <text>
        <t xml:space="preserve">współczymmik pracodawcy
</t>
      </text>
    </comment>
    <comment ref="T1" authorId="0" shapeId="0">
      <text>
        <t xml:space="preserve">Deklarowana ilość godzin w projekcie per miesiąc
</t>
      </text>
    </comment>
  </commentList>
</comments>
</file>

<file path=xl/comments/comment2.xml><?xml version="1.0" encoding="utf-8"?>
<comments xmlns="http://schemas.openxmlformats.org/spreadsheetml/2006/main">
  <authors>
    <author>Włodzimierz Ossowski</author>
  </authors>
  <commentList>
    <comment ref="E2" authorId="0" shapeId="0">
      <text>
        <t xml:space="preserve">koniec Zadania I
</t>
      </text>
    </comment>
  </commentList>
</comments>
</file>

<file path=xl/comments/comment3.xml><?xml version="1.0" encoding="utf-8"?>
<comments xmlns="http://schemas.openxmlformats.org/spreadsheetml/2006/main">
  <authors>
    <author>Włodzimierz Ossowski</author>
  </authors>
  <commentList>
    <comment ref="AO15" authorId="0" shapeId="0">
      <text>
        <t xml:space="preserve">korekta
</t>
      </text>
    </comment>
    <comment ref="AO16" authorId="0" shapeId="0">
      <text>
        <t xml:space="preserve">korekta
</t>
      </text>
    </comment>
  </commentList>
</comments>
</file>

<file path=xl/comments/comment4.xml><?xml version="1.0" encoding="utf-8"?>
<comments xmlns="http://schemas.openxmlformats.org/spreadsheetml/2006/main">
  <authors>
    <author>Włodzimierz Ossowski</author>
  </authors>
  <commentList>
    <comment ref="N29" authorId="0" shapeId="0">
      <text>
        <t>było 1,5</t>
      </text>
    </comment>
  </commentList>
</comments>
</file>

<file path=xl/comments/comment5.xml><?xml version="1.0" encoding="utf-8"?>
<comments xmlns="http://schemas.openxmlformats.org/spreadsheetml/2006/main">
  <authors>
    <author>Włodzimierz Ossowski</author>
  </authors>
  <commentList>
    <comment ref="J6" authorId="0" shapeId="0">
      <text>
        <t xml:space="preserve">równolegle z Zadanie II
</t>
      </text>
    </comment>
  </commentList>
</comments>
</file>

<file path=xl/comments/comment6.xml><?xml version="1.0" encoding="utf-8"?>
<comments xmlns="http://schemas.openxmlformats.org/spreadsheetml/2006/main">
  <authors>
    <author>Włodzimierz Ossowski</author>
  </authors>
  <commentList>
    <comment ref="W8" authorId="0" shapeId="0">
      <text>
        <t>było 100%</t>
      </text>
    </comment>
    <comment ref="X8" authorId="0" shapeId="0">
      <text>
        <t>było 100%</t>
      </text>
    </comment>
    <comment ref="W10" authorId="0" shapeId="0">
      <text>
        <t>było 100%</t>
      </text>
    </comment>
    <comment ref="X10" authorId="0" shapeId="0">
      <text>
        <t>było 100%</t>
      </text>
    </comment>
  </commentList>
</comments>
</file>

<file path=xl/comments/comment7.xml><?xml version="1.0" encoding="utf-8"?>
<comments xmlns="http://schemas.openxmlformats.org/spreadsheetml/2006/main">
  <authors>
    <author>Włodzimierz Ossowski</author>
  </authors>
  <commentList>
    <comment ref="Y3" authorId="0" shapeId="0">
      <text>
        <t xml:space="preserve">END Rozwiązania Architekt
</t>
      </text>
    </comment>
    <comment ref="Z3" authorId="0" shapeId="0">
      <text>
        <t xml:space="preserve">END Devops (Infra + K8s)
</t>
      </text>
    </comment>
    <comment ref="AA3" authorId="0" shapeId="0">
      <text>
        <t>END  Devops / MLOps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85"/>
  <sheetViews>
    <sheetView zoomScale="70" zoomScaleNormal="70" workbookViewId="0">
      <pane ySplit="1" topLeftCell="A2" activePane="bottomLeft" state="frozen"/>
      <selection activeCell="F1" sqref="F1"/>
      <selection pane="bottomLeft" activeCell="P1" sqref="P1"/>
    </sheetView>
  </sheetViews>
  <sheetFormatPr baseColWidth="8" defaultRowHeight="14.4" outlineLevelRow="1"/>
  <cols>
    <col width="5.44140625" customWidth="1" style="191" min="1" max="1"/>
    <col width="6" customWidth="1" style="191" min="2" max="2"/>
    <col width="6.6640625" customWidth="1" style="191" min="3" max="3"/>
    <col width="11.21875" customWidth="1" style="191" min="4" max="4"/>
    <col width="53.5546875" customWidth="1" style="191" min="5" max="5"/>
    <col width="10.77734375" bestFit="1" customWidth="1" style="191" min="7" max="7"/>
    <col width="12.33203125" customWidth="1" style="191" min="11" max="11"/>
    <col width="9.33203125" customWidth="1" style="191" min="12" max="12"/>
    <col width="9.77734375" bestFit="1" customWidth="1" style="191" min="15" max="15"/>
    <col width="11" customWidth="1" style="191" min="25" max="27"/>
    <col width="12.33203125" customWidth="1" style="191" min="38" max="41"/>
    <col hidden="1" style="191" min="50" max="61"/>
    <col hidden="1" width="11.6640625" customWidth="1" style="191" min="62" max="62"/>
    <col hidden="1" style="191" min="63" max="84"/>
  </cols>
  <sheetData>
    <row r="1" ht="100.8" customFormat="1" customHeight="1" s="538">
      <c r="A1" s="258">
        <f>Karta!A2</f>
        <v/>
      </c>
      <c r="B1" s="258">
        <f>Karta!B2</f>
        <v/>
      </c>
      <c r="C1" s="258">
        <f>Karta!C2</f>
        <v/>
      </c>
      <c r="D1" s="258">
        <f>Karta!D2</f>
        <v/>
      </c>
      <c r="E1" s="258">
        <f>Karta!E2</f>
        <v/>
      </c>
      <c r="F1" s="258">
        <f>Karta!F2</f>
        <v/>
      </c>
      <c r="G1" s="258">
        <f>Karta!G2</f>
        <v/>
      </c>
      <c r="H1" s="258">
        <f>Karta!H2</f>
        <v/>
      </c>
      <c r="I1" s="258">
        <f>Karta!I2</f>
        <v/>
      </c>
      <c r="J1" s="258">
        <f>Karta!J2</f>
        <v/>
      </c>
      <c r="K1" s="258">
        <f>Karta!K2</f>
        <v/>
      </c>
      <c r="L1" s="258">
        <f>Karta!L2</f>
        <v/>
      </c>
      <c r="M1" s="258">
        <f>Karta!M2</f>
        <v/>
      </c>
      <c r="N1" s="258">
        <f>Karta!N2</f>
        <v/>
      </c>
      <c r="O1" s="258">
        <f>Karta!O2</f>
        <v/>
      </c>
      <c r="P1" s="497">
        <f>Karta!P2</f>
        <v/>
      </c>
      <c r="Q1" s="497">
        <f>Karta!Q2</f>
        <v/>
      </c>
      <c r="R1" s="497">
        <f>Karta!R2</f>
        <v/>
      </c>
      <c r="S1" s="497">
        <f>Karta!S2</f>
        <v/>
      </c>
      <c r="T1" s="497">
        <f>Karta!T2</f>
        <v/>
      </c>
      <c r="U1" s="497">
        <f>Karta!U2</f>
        <v/>
      </c>
      <c r="V1" s="497">
        <f>Karta!V2</f>
        <v/>
      </c>
      <c r="W1" s="497">
        <f>Karta!W2</f>
        <v/>
      </c>
      <c r="X1" s="497">
        <f>Karta!X2</f>
        <v/>
      </c>
      <c r="Y1" s="498">
        <f>Karta!Y2</f>
        <v/>
      </c>
      <c r="Z1" s="498">
        <f>Karta!Z2</f>
        <v/>
      </c>
      <c r="AA1" s="498">
        <f>Karta!AA2</f>
        <v/>
      </c>
      <c r="AB1" s="498">
        <f>Karta!AB2</f>
        <v/>
      </c>
      <c r="AC1" s="499">
        <f>Karta!AG2</f>
        <v/>
      </c>
      <c r="AD1" s="499">
        <f>Karta!AH2</f>
        <v/>
      </c>
      <c r="AE1" s="499">
        <f>Karta!AI2</f>
        <v/>
      </c>
      <c r="AF1" s="499">
        <f>Karta!AJ2</f>
        <v/>
      </c>
      <c r="AG1" s="497">
        <f>Karta!AL2</f>
        <v/>
      </c>
      <c r="AH1" s="497">
        <f>Karta!AM2</f>
        <v/>
      </c>
      <c r="AI1" s="497">
        <f>Karta!AN2</f>
        <v/>
      </c>
      <c r="AJ1" s="497">
        <f>Karta!AO2</f>
        <v/>
      </c>
      <c r="AK1" s="497">
        <f>Karta!AP2</f>
        <v/>
      </c>
      <c r="AL1" s="497">
        <f>Karta!AQ2</f>
        <v/>
      </c>
      <c r="AM1" s="497">
        <f>Karta!AR2</f>
        <v/>
      </c>
      <c r="AN1" s="497">
        <f>Karta!AS2</f>
        <v/>
      </c>
      <c r="AO1" s="497">
        <f>Karta!AT2</f>
        <v/>
      </c>
      <c r="AP1" s="498">
        <f>Karta!AU2</f>
        <v/>
      </c>
      <c r="AQ1" s="498">
        <f>Karta!AV2</f>
        <v/>
      </c>
      <c r="AR1" s="498">
        <f>Karta!AW2</f>
        <v/>
      </c>
      <c r="AS1" s="498">
        <f>Karta!AX2</f>
        <v/>
      </c>
      <c r="AT1" s="499">
        <f>Karta!BC2</f>
        <v/>
      </c>
      <c r="AU1" s="499">
        <f>Karta!BD2</f>
        <v/>
      </c>
      <c r="AV1" s="499">
        <f>Karta!BE2</f>
        <v/>
      </c>
      <c r="AW1" s="499">
        <f>Karta!BF2</f>
        <v/>
      </c>
      <c r="AX1" s="497">
        <f>Karta!BH2</f>
        <v/>
      </c>
      <c r="AY1" s="497">
        <f>Karta!BI2</f>
        <v/>
      </c>
      <c r="AZ1" s="497">
        <f>Karta!BJ2</f>
        <v/>
      </c>
      <c r="BA1" s="497">
        <f>Karta!BK2</f>
        <v/>
      </c>
      <c r="BB1" s="497">
        <f>Karta!BL2</f>
        <v/>
      </c>
      <c r="BC1" s="500">
        <f>Karta!BM2</f>
        <v/>
      </c>
      <c r="BD1" s="500">
        <f>Karta!BN2</f>
        <v/>
      </c>
      <c r="BE1" s="500">
        <f>Karta!BO2</f>
        <v/>
      </c>
      <c r="BF1" s="500">
        <f>Karta!BP2</f>
        <v/>
      </c>
      <c r="BG1" s="500">
        <f>Karta!BQ2</f>
        <v/>
      </c>
      <c r="BH1" s="500">
        <f>Karta!BR2</f>
        <v/>
      </c>
      <c r="BI1" s="500">
        <f>Karta!BS2</f>
        <v/>
      </c>
      <c r="BJ1" s="501">
        <f>Karta!BT2</f>
        <v/>
      </c>
      <c r="BK1" s="501">
        <f>Karta!BU2</f>
        <v/>
      </c>
      <c r="BL1" s="501">
        <f>Karta!BV2</f>
        <v/>
      </c>
      <c r="BM1" s="501">
        <f>Karta!BW2</f>
        <v/>
      </c>
      <c r="BN1" s="501">
        <f>Karta!BX2</f>
        <v/>
      </c>
      <c r="BO1" s="501">
        <f>Karta!BY2</f>
        <v/>
      </c>
      <c r="BP1" s="501">
        <f>Karta!BZ2</f>
        <v/>
      </c>
      <c r="BQ1" s="501">
        <f>Karta!CA2</f>
        <v/>
      </c>
      <c r="BR1" s="501">
        <f>Karta!CB2</f>
        <v/>
      </c>
      <c r="BS1" s="501">
        <f>Karta!CC2</f>
        <v/>
      </c>
      <c r="BT1" s="501">
        <f>Karta!CD2</f>
        <v/>
      </c>
      <c r="BU1" s="501">
        <f>Karta!CE2</f>
        <v/>
      </c>
      <c r="BV1" s="501">
        <f>Karta!CF2</f>
        <v/>
      </c>
      <c r="BW1" s="501">
        <f>Karta!CG2</f>
        <v/>
      </c>
      <c r="BX1" s="501">
        <f>Karta!CH2</f>
        <v/>
      </c>
      <c r="BY1" s="501">
        <f>Karta!CI2</f>
        <v/>
      </c>
      <c r="BZ1" s="501">
        <f>Karta!CJ2</f>
        <v/>
      </c>
      <c r="CA1" s="501">
        <f>Karta!CK2</f>
        <v/>
      </c>
      <c r="CB1" s="501">
        <f>Karta!CL2</f>
        <v/>
      </c>
      <c r="CC1" s="501">
        <f>Karta!CM2</f>
        <v/>
      </c>
      <c r="CD1" s="501">
        <f>Karta!CN2</f>
        <v/>
      </c>
      <c r="CE1" s="501">
        <f>Karta!CO2</f>
        <v/>
      </c>
    </row>
    <row r="2" customFormat="1" s="488">
      <c r="A2" s="503" t="n">
        <v>0</v>
      </c>
      <c r="B2" s="503" t="n">
        <v>0</v>
      </c>
      <c r="C2" s="503" t="n">
        <v>0</v>
      </c>
      <c r="D2" s="503" t="n">
        <v>0</v>
      </c>
      <c r="E2" s="671" t="inlineStr">
        <is>
          <t>HARMONOGRAM SKOMPRESOWANY v1  |  01.01.2027 – 28.09.2029  |  Kompresja −40% per zadanie  |  Endava +5 etatów  |  AGH +4 etatów</t>
        </is>
      </c>
      <c r="F2" s="503" t="n">
        <v>0</v>
      </c>
      <c r="G2" s="503" t="n">
        <v>0</v>
      </c>
      <c r="H2" s="503" t="n">
        <v>0</v>
      </c>
      <c r="I2" s="503" t="n">
        <v>0</v>
      </c>
      <c r="J2" s="503" t="n">
        <v>0</v>
      </c>
      <c r="K2" s="503" t="n">
        <v>0</v>
      </c>
      <c r="L2" s="503" t="n">
        <v>0</v>
      </c>
      <c r="M2" s="503" t="n">
        <v>0</v>
      </c>
      <c r="N2" s="503" t="n">
        <v>0</v>
      </c>
      <c r="O2" s="502">
        <f>SUM(O101:O1300)</f>
        <v/>
      </c>
      <c r="P2" s="624" t="n">
        <v>0</v>
      </c>
      <c r="Q2" s="624" t="n">
        <v>0</v>
      </c>
      <c r="R2" s="624" t="n">
        <v>0</v>
      </c>
      <c r="S2" s="624" t="n">
        <v>0</v>
      </c>
      <c r="T2" s="624" t="n">
        <v>0</v>
      </c>
      <c r="U2" s="624" t="n">
        <v>0</v>
      </c>
      <c r="V2" s="624" t="n">
        <v>0</v>
      </c>
      <c r="W2" s="624" t="n">
        <v>0</v>
      </c>
      <c r="X2" s="624" t="n">
        <v>0</v>
      </c>
      <c r="Y2" s="648" t="n">
        <v>0</v>
      </c>
      <c r="Z2" s="648" t="n">
        <v>0</v>
      </c>
      <c r="AA2" s="648" t="n">
        <v>0</v>
      </c>
      <c r="AB2" s="648" t="n">
        <v>0</v>
      </c>
      <c r="AC2" s="610" t="n">
        <v>0</v>
      </c>
      <c r="AD2" s="610" t="n">
        <v>0</v>
      </c>
      <c r="AE2" s="610" t="n">
        <v>0</v>
      </c>
      <c r="AF2" s="610" t="n">
        <v>0</v>
      </c>
      <c r="AG2" s="633">
        <f>SUM(AG101:AG1300)</f>
        <v/>
      </c>
      <c r="AH2" s="633">
        <f>SUM(AH101:AH1300)</f>
        <v/>
      </c>
      <c r="AI2" s="633">
        <f>SUM(AI101:AI1300)</f>
        <v/>
      </c>
      <c r="AJ2" s="633">
        <f>SUM(AJ101:AJ1300)</f>
        <v/>
      </c>
      <c r="AK2" s="633">
        <f>SUM(AK101:AK1300)</f>
        <v/>
      </c>
      <c r="AL2" s="633">
        <f>SUM(AL101:AL1300)</f>
        <v/>
      </c>
      <c r="AM2" s="633">
        <f>SUM(AM101:AM1300)</f>
        <v/>
      </c>
      <c r="AN2" s="633">
        <f>SUM(AN101:AN1300)</f>
        <v/>
      </c>
      <c r="AO2" s="633">
        <f>SUM(AO101:AO1300)</f>
        <v/>
      </c>
      <c r="AP2" s="638">
        <f>SUM(AP101:AP1300)</f>
        <v/>
      </c>
      <c r="AQ2" s="638">
        <f>SUM(AQ101:AQ1300)</f>
        <v/>
      </c>
      <c r="AR2" s="638">
        <f>SUM(AR101:AR1300)</f>
        <v/>
      </c>
      <c r="AS2" s="638">
        <f>SUM(AS101:AS1300)</f>
        <v/>
      </c>
      <c r="AT2" s="618">
        <f>SUM(AT101:AT1300)</f>
        <v/>
      </c>
      <c r="AU2" s="618">
        <f>SUM(AU101:AU1300)</f>
        <v/>
      </c>
      <c r="AV2" s="618">
        <f>SUM(AV101:AV1300)</f>
        <v/>
      </c>
      <c r="AW2" s="618">
        <f>SUM(AW101:AW1300)</f>
        <v/>
      </c>
      <c r="AX2" s="503" t="n">
        <v>0</v>
      </c>
      <c r="AY2" s="503" t="n">
        <v>0</v>
      </c>
      <c r="AZ2" s="503" t="n">
        <v>0</v>
      </c>
      <c r="BA2" s="503" t="n">
        <v>0</v>
      </c>
      <c r="BB2" s="503" t="n">
        <v>0</v>
      </c>
      <c r="BC2" s="503" t="n">
        <v>0</v>
      </c>
      <c r="BD2" s="503" t="n">
        <v>0</v>
      </c>
      <c r="BE2" s="503" t="n">
        <v>0</v>
      </c>
      <c r="BF2" s="503" t="n">
        <v>0</v>
      </c>
      <c r="BG2" s="503" t="n">
        <v>0</v>
      </c>
      <c r="BH2" s="503" t="n">
        <v>0</v>
      </c>
      <c r="BI2" s="503" t="n">
        <v>0</v>
      </c>
      <c r="BJ2" s="503" t="n">
        <v>0</v>
      </c>
      <c r="BK2" s="503" t="n">
        <v>0</v>
      </c>
      <c r="BL2" s="503" t="n">
        <v>0</v>
      </c>
      <c r="BM2" s="503" t="n">
        <v>0</v>
      </c>
      <c r="BN2" s="503" t="n">
        <v>0</v>
      </c>
      <c r="BO2" s="503" t="n">
        <v>0</v>
      </c>
      <c r="BP2" s="503" t="n">
        <v>0</v>
      </c>
      <c r="BQ2" s="503" t="n">
        <v>0</v>
      </c>
      <c r="BR2" s="503" t="n">
        <v>0</v>
      </c>
      <c r="BS2" s="503" t="n">
        <v>0</v>
      </c>
      <c r="BT2" s="503" t="n">
        <v>0</v>
      </c>
      <c r="BU2" s="503" t="n">
        <v>0</v>
      </c>
      <c r="BV2" s="503" t="n">
        <v>0</v>
      </c>
      <c r="BW2" s="503" t="n">
        <v>0</v>
      </c>
      <c r="BX2" s="503" t="n">
        <v>0</v>
      </c>
      <c r="BY2" s="503" t="n">
        <v>0</v>
      </c>
      <c r="BZ2" s="503" t="n">
        <v>0</v>
      </c>
      <c r="CA2" s="503" t="n">
        <v>0</v>
      </c>
      <c r="CB2" s="503" t="n">
        <v>0</v>
      </c>
      <c r="CC2" s="503" t="n">
        <v>0</v>
      </c>
      <c r="CD2" s="503" t="n">
        <v>0</v>
      </c>
      <c r="CE2" s="503" t="n">
        <v>0</v>
      </c>
    </row>
    <row r="3" customFormat="1" s="505">
      <c r="A3" s="504" t="n">
        <v>0</v>
      </c>
      <c r="B3" s="504" t="n">
        <v>0</v>
      </c>
      <c r="C3" s="504" t="n">
        <v>0</v>
      </c>
      <c r="D3" s="504" t="n">
        <v>0</v>
      </c>
      <c r="E3" s="504" t="n">
        <v>0</v>
      </c>
      <c r="F3" s="504" t="n">
        <v>0</v>
      </c>
      <c r="G3" s="504" t="n">
        <v>0</v>
      </c>
      <c r="H3" s="504" t="n">
        <v>0</v>
      </c>
      <c r="I3" s="504" t="n">
        <v>0</v>
      </c>
      <c r="J3" s="504" t="n">
        <v>0</v>
      </c>
      <c r="K3" s="504" t="n">
        <v>0</v>
      </c>
      <c r="L3" s="504" t="n">
        <v>0</v>
      </c>
      <c r="M3" s="504" t="n">
        <v>0</v>
      </c>
      <c r="N3" s="504" t="n">
        <v>0</v>
      </c>
      <c r="O3" s="502">
        <f>SUM(AG2:AW2)</f>
        <v/>
      </c>
      <c r="P3" s="625" t="n">
        <v>0</v>
      </c>
      <c r="Q3" s="625" t="n">
        <v>0</v>
      </c>
      <c r="R3" s="625" t="n">
        <v>0</v>
      </c>
      <c r="S3" s="625" t="n">
        <v>0</v>
      </c>
      <c r="T3" s="625" t="n">
        <v>0</v>
      </c>
      <c r="U3" s="625" t="n">
        <v>0</v>
      </c>
      <c r="V3" s="625" t="n">
        <v>0</v>
      </c>
      <c r="W3" s="625" t="n">
        <v>0</v>
      </c>
      <c r="X3" s="625" t="n">
        <v>0</v>
      </c>
      <c r="Y3" s="639" t="n">
        <v>0</v>
      </c>
      <c r="Z3" s="639" t="n">
        <v>0</v>
      </c>
      <c r="AA3" s="639" t="n">
        <v>0</v>
      </c>
      <c r="AB3" s="639" t="n">
        <v>0</v>
      </c>
      <c r="AC3" s="611" t="n">
        <v>0</v>
      </c>
      <c r="AD3" s="611" t="n">
        <v>0</v>
      </c>
      <c r="AE3" s="611" t="n">
        <v>0</v>
      </c>
      <c r="AF3" s="611" t="n">
        <v>0</v>
      </c>
      <c r="AG3" s="625" t="n">
        <v>0</v>
      </c>
      <c r="AH3" s="625" t="n">
        <v>0</v>
      </c>
      <c r="AI3" s="625" t="n">
        <v>0</v>
      </c>
      <c r="AJ3" s="625" t="n">
        <v>0</v>
      </c>
      <c r="AK3" s="625" t="n">
        <v>0</v>
      </c>
      <c r="AL3" s="625" t="n">
        <v>0</v>
      </c>
      <c r="AM3" s="625" t="n">
        <v>0</v>
      </c>
      <c r="AN3" s="625" t="n">
        <v>0</v>
      </c>
      <c r="AO3" s="625" t="n">
        <v>0</v>
      </c>
      <c r="AP3" s="639" t="n">
        <v>0</v>
      </c>
      <c r="AQ3" s="639" t="n">
        <v>0</v>
      </c>
      <c r="AR3" s="639" t="n">
        <v>0</v>
      </c>
      <c r="AS3" s="639" t="n">
        <v>0</v>
      </c>
      <c r="AT3" s="611" t="n">
        <v>0</v>
      </c>
      <c r="AU3" s="611" t="n">
        <v>0</v>
      </c>
      <c r="AV3" s="611" t="n">
        <v>0</v>
      </c>
      <c r="AW3" s="611" t="n">
        <v>0</v>
      </c>
      <c r="AX3" s="504" t="n">
        <v>0</v>
      </c>
      <c r="AY3" s="504" t="n">
        <v>0</v>
      </c>
      <c r="AZ3" s="504" t="n">
        <v>0</v>
      </c>
      <c r="BA3" s="504" t="n">
        <v>0</v>
      </c>
      <c r="BB3" s="504" t="n">
        <v>0</v>
      </c>
      <c r="BC3" s="504" t="n">
        <v>0</v>
      </c>
      <c r="BD3" s="504" t="n">
        <v>0</v>
      </c>
      <c r="BE3" s="504" t="n">
        <v>0</v>
      </c>
      <c r="BF3" s="504" t="n">
        <v>0</v>
      </c>
      <c r="BG3" s="504" t="n">
        <v>0</v>
      </c>
      <c r="BH3" s="504" t="n">
        <v>0</v>
      </c>
      <c r="BI3" s="504" t="n">
        <v>0</v>
      </c>
      <c r="BJ3" s="504" t="n">
        <v>0</v>
      </c>
      <c r="BK3" s="504" t="n">
        <v>0</v>
      </c>
      <c r="BL3" s="504" t="n">
        <v>0</v>
      </c>
      <c r="BM3" s="504" t="n">
        <v>0</v>
      </c>
      <c r="BN3" s="504" t="n">
        <v>0</v>
      </c>
      <c r="BO3" s="504" t="n">
        <v>0</v>
      </c>
      <c r="BP3" s="504" t="n">
        <v>0</v>
      </c>
      <c r="BQ3" s="504" t="n">
        <v>0</v>
      </c>
      <c r="BR3" s="504" t="n">
        <v>0</v>
      </c>
      <c r="BS3" s="504" t="n">
        <v>0</v>
      </c>
      <c r="BT3" s="504" t="n">
        <v>0</v>
      </c>
      <c r="BU3" s="504" t="n">
        <v>0</v>
      </c>
      <c r="BV3" s="504" t="n">
        <v>0</v>
      </c>
      <c r="BW3" s="504" t="n">
        <v>0</v>
      </c>
      <c r="BX3" s="504" t="n">
        <v>0</v>
      </c>
      <c r="BY3" s="504" t="n">
        <v>0</v>
      </c>
      <c r="BZ3" s="504" t="n">
        <v>0</v>
      </c>
      <c r="CA3" s="504" t="n">
        <v>0</v>
      </c>
      <c r="CB3" s="504" t="n">
        <v>0</v>
      </c>
      <c r="CC3" s="504" t="n">
        <v>0</v>
      </c>
      <c r="CD3" s="504" t="n">
        <v>0</v>
      </c>
      <c r="CE3" s="504" t="n">
        <v>0</v>
      </c>
    </row>
    <row r="4" hidden="1" ht="9" customFormat="1" customHeight="1" s="505">
      <c r="A4" s="504" t="n">
        <v>0</v>
      </c>
      <c r="B4" s="504" t="n">
        <v>0</v>
      </c>
      <c r="C4" s="504" t="n">
        <v>0</v>
      </c>
      <c r="D4" s="504" t="n">
        <v>0</v>
      </c>
      <c r="E4" s="504" t="n">
        <v>0</v>
      </c>
      <c r="F4" s="504" t="n">
        <v>0</v>
      </c>
      <c r="G4" s="504" t="n">
        <v>0</v>
      </c>
      <c r="H4" s="504" t="n">
        <v>0</v>
      </c>
      <c r="I4" s="504" t="n">
        <v>0</v>
      </c>
      <c r="J4" s="504" t="n">
        <v>0</v>
      </c>
      <c r="K4" s="504" t="n">
        <v>0</v>
      </c>
      <c r="L4" s="504" t="n">
        <v>0</v>
      </c>
      <c r="M4" s="504" t="n">
        <v>0</v>
      </c>
      <c r="N4" s="504" t="n">
        <v>0</v>
      </c>
      <c r="O4" s="502">
        <f>O2-O3</f>
        <v/>
      </c>
      <c r="P4" s="625" t="n">
        <v>0</v>
      </c>
      <c r="Q4" s="625" t="n">
        <v>0</v>
      </c>
      <c r="R4" s="625" t="n">
        <v>0</v>
      </c>
      <c r="S4" s="625" t="n">
        <v>0</v>
      </c>
      <c r="T4" s="625" t="n">
        <v>0</v>
      </c>
      <c r="U4" s="625" t="n">
        <v>0</v>
      </c>
      <c r="V4" s="625" t="n">
        <v>0</v>
      </c>
      <c r="W4" s="625" t="n">
        <v>0</v>
      </c>
      <c r="X4" s="625" t="n">
        <v>0</v>
      </c>
      <c r="Y4" s="639" t="n">
        <v>0</v>
      </c>
      <c r="Z4" s="639" t="n">
        <v>0</v>
      </c>
      <c r="AA4" s="639" t="n">
        <v>0</v>
      </c>
      <c r="AB4" s="639" t="n">
        <v>0</v>
      </c>
      <c r="AC4" s="611" t="n">
        <v>0</v>
      </c>
      <c r="AD4" s="611" t="n">
        <v>0</v>
      </c>
      <c r="AE4" s="611" t="n">
        <v>0</v>
      </c>
      <c r="AF4" s="611" t="n">
        <v>0</v>
      </c>
      <c r="AG4" s="625" t="n">
        <v>0</v>
      </c>
      <c r="AH4" s="625" t="n">
        <v>0</v>
      </c>
      <c r="AI4" s="625" t="n">
        <v>0</v>
      </c>
      <c r="AJ4" s="625" t="n">
        <v>0</v>
      </c>
      <c r="AK4" s="625" t="n">
        <v>0</v>
      </c>
      <c r="AL4" s="625" t="n">
        <v>0</v>
      </c>
      <c r="AM4" s="625" t="n">
        <v>0</v>
      </c>
      <c r="AN4" s="625" t="n">
        <v>0</v>
      </c>
      <c r="AO4" s="625" t="n">
        <v>0</v>
      </c>
      <c r="AP4" s="639" t="n">
        <v>0</v>
      </c>
      <c r="AQ4" s="639" t="n">
        <v>0</v>
      </c>
      <c r="AR4" s="639" t="n">
        <v>0</v>
      </c>
      <c r="AS4" s="639" t="n">
        <v>0</v>
      </c>
      <c r="AT4" s="611" t="n">
        <v>0</v>
      </c>
      <c r="AU4" s="611" t="n">
        <v>0</v>
      </c>
      <c r="AV4" s="611" t="n">
        <v>0</v>
      </c>
      <c r="AW4" s="611" t="n">
        <v>0</v>
      </c>
      <c r="AX4" s="504" t="n">
        <v>0</v>
      </c>
      <c r="AY4" s="504" t="n">
        <v>0</v>
      </c>
      <c r="AZ4" s="504" t="n">
        <v>0</v>
      </c>
      <c r="BA4" s="504" t="n">
        <v>0</v>
      </c>
      <c r="BB4" s="504" t="n">
        <v>0</v>
      </c>
      <c r="BC4" s="504" t="n">
        <v>0</v>
      </c>
      <c r="BD4" s="504" t="n">
        <v>0</v>
      </c>
      <c r="BE4" s="504" t="n">
        <v>0</v>
      </c>
      <c r="BF4" s="504" t="n">
        <v>0</v>
      </c>
      <c r="BG4" s="504" t="n">
        <v>0</v>
      </c>
      <c r="BH4" s="504" t="n">
        <v>0</v>
      </c>
      <c r="BI4" s="504" t="n">
        <v>0</v>
      </c>
      <c r="BJ4" s="504" t="n">
        <v>0</v>
      </c>
      <c r="BK4" s="504" t="n">
        <v>0</v>
      </c>
      <c r="BL4" s="504" t="n">
        <v>0</v>
      </c>
      <c r="BM4" s="504" t="n">
        <v>0</v>
      </c>
      <c r="BN4" s="504" t="n">
        <v>0</v>
      </c>
      <c r="BO4" s="504" t="n">
        <v>0</v>
      </c>
      <c r="BP4" s="504" t="n">
        <v>0</v>
      </c>
      <c r="BQ4" s="504" t="n">
        <v>0</v>
      </c>
      <c r="BR4" s="504" t="n">
        <v>0</v>
      </c>
      <c r="BS4" s="504" t="n">
        <v>0</v>
      </c>
      <c r="BT4" s="504" t="n">
        <v>0</v>
      </c>
      <c r="BU4" s="504" t="n">
        <v>0</v>
      </c>
      <c r="BV4" s="504" t="n">
        <v>0</v>
      </c>
      <c r="BW4" s="504" t="n">
        <v>0</v>
      </c>
      <c r="BX4" s="504" t="n">
        <v>0</v>
      </c>
      <c r="BY4" s="504" t="n">
        <v>0</v>
      </c>
      <c r="BZ4" s="504" t="n">
        <v>0</v>
      </c>
      <c r="CA4" s="504" t="n">
        <v>0</v>
      </c>
      <c r="CB4" s="504" t="n">
        <v>0</v>
      </c>
      <c r="CC4" s="504" t="n">
        <v>0</v>
      </c>
      <c r="CD4" s="504" t="n">
        <v>0</v>
      </c>
      <c r="CE4" s="504" t="n">
        <v>0</v>
      </c>
    </row>
    <row r="5" hidden="1" ht="9" customFormat="1" customHeight="1" s="505">
      <c r="A5" s="504" t="n">
        <v>0</v>
      </c>
      <c r="B5" s="504" t="n">
        <v>0</v>
      </c>
      <c r="C5" s="504" t="n">
        <v>0</v>
      </c>
      <c r="D5" s="504" t="n">
        <v>0</v>
      </c>
      <c r="E5" s="504" t="n">
        <v>0</v>
      </c>
      <c r="F5" s="504" t="n">
        <v>0</v>
      </c>
      <c r="G5" s="504" t="n">
        <v>0</v>
      </c>
      <c r="H5" s="504" t="n">
        <v>0</v>
      </c>
      <c r="I5" s="504" t="n">
        <v>0</v>
      </c>
      <c r="J5" s="504" t="n">
        <v>0</v>
      </c>
      <c r="K5" s="504" t="n">
        <v>0</v>
      </c>
      <c r="L5" s="504" t="n">
        <v>0</v>
      </c>
      <c r="M5" s="504" t="n">
        <v>0</v>
      </c>
      <c r="N5" s="504" t="n">
        <v>0</v>
      </c>
      <c r="O5" s="504" t="n">
        <v>0</v>
      </c>
      <c r="P5" s="625" t="n">
        <v>0</v>
      </c>
      <c r="Q5" s="625" t="n">
        <v>0</v>
      </c>
      <c r="R5" s="625" t="n">
        <v>0</v>
      </c>
      <c r="S5" s="625" t="n">
        <v>0</v>
      </c>
      <c r="T5" s="625" t="n">
        <v>0</v>
      </c>
      <c r="U5" s="625" t="n">
        <v>0</v>
      </c>
      <c r="V5" s="625" t="n">
        <v>0</v>
      </c>
      <c r="W5" s="625" t="n">
        <v>0</v>
      </c>
      <c r="X5" s="625" t="n">
        <v>0</v>
      </c>
      <c r="Y5" s="639" t="n">
        <v>0</v>
      </c>
      <c r="Z5" s="639" t="n">
        <v>0</v>
      </c>
      <c r="AA5" s="639" t="n">
        <v>0</v>
      </c>
      <c r="AB5" s="639" t="n">
        <v>0</v>
      </c>
      <c r="AC5" s="611" t="n">
        <v>0</v>
      </c>
      <c r="AD5" s="611" t="n">
        <v>0</v>
      </c>
      <c r="AE5" s="611" t="n">
        <v>0</v>
      </c>
      <c r="AF5" s="611" t="n">
        <v>0</v>
      </c>
      <c r="AG5" s="625" t="n">
        <v>0</v>
      </c>
      <c r="AH5" s="625" t="n">
        <v>0</v>
      </c>
      <c r="AI5" s="625" t="n">
        <v>0</v>
      </c>
      <c r="AJ5" s="625" t="n">
        <v>0</v>
      </c>
      <c r="AK5" s="625" t="n">
        <v>0</v>
      </c>
      <c r="AL5" s="625" t="n">
        <v>0</v>
      </c>
      <c r="AM5" s="625" t="n">
        <v>0</v>
      </c>
      <c r="AN5" s="625" t="n">
        <v>0</v>
      </c>
      <c r="AO5" s="625" t="n">
        <v>0</v>
      </c>
      <c r="AP5" s="639" t="n">
        <v>0</v>
      </c>
      <c r="AQ5" s="639" t="n">
        <v>0</v>
      </c>
      <c r="AR5" s="639" t="n">
        <v>0</v>
      </c>
      <c r="AS5" s="639" t="n">
        <v>0</v>
      </c>
      <c r="AT5" s="611" t="n">
        <v>0</v>
      </c>
      <c r="AU5" s="611" t="n">
        <v>0</v>
      </c>
      <c r="AV5" s="611" t="n">
        <v>0</v>
      </c>
      <c r="AW5" s="611" t="n">
        <v>0</v>
      </c>
      <c r="AX5" s="504" t="n">
        <v>0</v>
      </c>
      <c r="AY5" s="504" t="n">
        <v>0</v>
      </c>
      <c r="AZ5" s="504" t="n">
        <v>0</v>
      </c>
      <c r="BA5" s="504" t="n">
        <v>0</v>
      </c>
      <c r="BB5" s="504" t="n">
        <v>0</v>
      </c>
      <c r="BC5" s="504" t="n">
        <v>0</v>
      </c>
      <c r="BD5" s="504" t="n">
        <v>0</v>
      </c>
      <c r="BE5" s="504" t="n">
        <v>0</v>
      </c>
      <c r="BF5" s="504" t="n">
        <v>0</v>
      </c>
      <c r="BG5" s="504" t="n">
        <v>0</v>
      </c>
      <c r="BH5" s="504" t="n">
        <v>0</v>
      </c>
      <c r="BI5" s="504" t="n">
        <v>0</v>
      </c>
      <c r="BJ5" s="504" t="n">
        <v>0</v>
      </c>
      <c r="BK5" s="504" t="n">
        <v>0</v>
      </c>
      <c r="BL5" s="504" t="n">
        <v>0</v>
      </c>
      <c r="BM5" s="504" t="n">
        <v>0</v>
      </c>
      <c r="BN5" s="504" t="n">
        <v>0</v>
      </c>
      <c r="BO5" s="504" t="n">
        <v>0</v>
      </c>
      <c r="BP5" s="504" t="n">
        <v>0</v>
      </c>
      <c r="BQ5" s="504" t="n">
        <v>0</v>
      </c>
      <c r="BR5" s="504" t="n">
        <v>0</v>
      </c>
      <c r="BS5" s="504" t="n">
        <v>0</v>
      </c>
      <c r="BT5" s="504" t="n">
        <v>0</v>
      </c>
      <c r="BU5" s="504" t="n">
        <v>0</v>
      </c>
      <c r="BV5" s="504" t="n">
        <v>0</v>
      </c>
      <c r="BW5" s="504" t="n">
        <v>0</v>
      </c>
      <c r="BX5" s="504" t="n">
        <v>0</v>
      </c>
      <c r="BY5" s="504" t="n">
        <v>0</v>
      </c>
      <c r="BZ5" s="504" t="n">
        <v>0</v>
      </c>
      <c r="CA5" s="504" t="n">
        <v>0</v>
      </c>
      <c r="CB5" s="504" t="n">
        <v>0</v>
      </c>
      <c r="CC5" s="504" t="n">
        <v>0</v>
      </c>
      <c r="CD5" s="504" t="n">
        <v>0</v>
      </c>
      <c r="CE5" s="504" t="n">
        <v>0</v>
      </c>
    </row>
    <row r="6" hidden="1" ht="9" customFormat="1" customHeight="1" s="505">
      <c r="A6" s="504" t="n">
        <v>0</v>
      </c>
      <c r="B6" s="504" t="n">
        <v>0</v>
      </c>
      <c r="C6" s="504" t="n">
        <v>0</v>
      </c>
      <c r="D6" s="504" t="n">
        <v>0</v>
      </c>
      <c r="E6" s="504" t="n">
        <v>0</v>
      </c>
      <c r="F6" s="504" t="n">
        <v>0</v>
      </c>
      <c r="G6" s="504" t="n">
        <v>0</v>
      </c>
      <c r="H6" s="504" t="n">
        <v>0</v>
      </c>
      <c r="I6" s="504" t="n">
        <v>0</v>
      </c>
      <c r="J6" s="504" t="n">
        <v>0</v>
      </c>
      <c r="K6" s="504" t="n">
        <v>0</v>
      </c>
      <c r="L6" s="504" t="n">
        <v>0</v>
      </c>
      <c r="M6" s="504" t="n">
        <v>0</v>
      </c>
      <c r="N6" s="504" t="n">
        <v>0</v>
      </c>
      <c r="O6" s="504" t="n">
        <v>0</v>
      </c>
      <c r="P6" s="625" t="n">
        <v>0</v>
      </c>
      <c r="Q6" s="625" t="n">
        <v>0</v>
      </c>
      <c r="R6" s="625" t="n">
        <v>0</v>
      </c>
      <c r="S6" s="625" t="n">
        <v>0</v>
      </c>
      <c r="T6" s="625" t="n">
        <v>0</v>
      </c>
      <c r="U6" s="625" t="n">
        <v>0</v>
      </c>
      <c r="V6" s="625" t="n">
        <v>0</v>
      </c>
      <c r="W6" s="625" t="n">
        <v>0</v>
      </c>
      <c r="X6" s="625" t="n">
        <v>0</v>
      </c>
      <c r="Y6" s="639" t="n">
        <v>0</v>
      </c>
      <c r="Z6" s="639" t="n">
        <v>0</v>
      </c>
      <c r="AA6" s="639" t="n">
        <v>0</v>
      </c>
      <c r="AB6" s="639" t="n">
        <v>0</v>
      </c>
      <c r="AC6" s="611" t="n">
        <v>0</v>
      </c>
      <c r="AD6" s="611" t="n">
        <v>0</v>
      </c>
      <c r="AE6" s="611" t="n">
        <v>0</v>
      </c>
      <c r="AF6" s="611" t="n">
        <v>0</v>
      </c>
      <c r="AG6" s="625" t="n">
        <v>0</v>
      </c>
      <c r="AH6" s="625" t="n">
        <v>0</v>
      </c>
      <c r="AI6" s="625" t="n">
        <v>0</v>
      </c>
      <c r="AJ6" s="625" t="n">
        <v>0</v>
      </c>
      <c r="AK6" s="625" t="n">
        <v>0</v>
      </c>
      <c r="AL6" s="625" t="n">
        <v>0</v>
      </c>
      <c r="AM6" s="625" t="n">
        <v>0</v>
      </c>
      <c r="AN6" s="625" t="n">
        <v>0</v>
      </c>
      <c r="AO6" s="625" t="n">
        <v>0</v>
      </c>
      <c r="AP6" s="639" t="n">
        <v>0</v>
      </c>
      <c r="AQ6" s="639" t="n">
        <v>0</v>
      </c>
      <c r="AR6" s="639" t="n">
        <v>0</v>
      </c>
      <c r="AS6" s="639" t="n">
        <v>0</v>
      </c>
      <c r="AT6" s="611" t="n">
        <v>0</v>
      </c>
      <c r="AU6" s="611" t="n">
        <v>0</v>
      </c>
      <c r="AV6" s="611" t="n">
        <v>0</v>
      </c>
      <c r="AW6" s="611" t="n">
        <v>0</v>
      </c>
      <c r="AX6" s="504" t="n">
        <v>0</v>
      </c>
      <c r="AY6" s="504" t="n">
        <v>0</v>
      </c>
      <c r="AZ6" s="504" t="n">
        <v>0</v>
      </c>
      <c r="BA6" s="504" t="n">
        <v>0</v>
      </c>
      <c r="BB6" s="504" t="n">
        <v>0</v>
      </c>
      <c r="BC6" s="504" t="n">
        <v>0</v>
      </c>
      <c r="BD6" s="504" t="n">
        <v>0</v>
      </c>
      <c r="BE6" s="504" t="n">
        <v>0</v>
      </c>
      <c r="BF6" s="504" t="n">
        <v>0</v>
      </c>
      <c r="BG6" s="504" t="n">
        <v>0</v>
      </c>
      <c r="BH6" s="504" t="n">
        <v>0</v>
      </c>
      <c r="BI6" s="504" t="n">
        <v>0</v>
      </c>
      <c r="BJ6" s="504" t="n">
        <v>0</v>
      </c>
      <c r="BK6" s="504" t="n">
        <v>0</v>
      </c>
      <c r="BL6" s="504" t="n">
        <v>0</v>
      </c>
      <c r="BM6" s="504" t="n">
        <v>0</v>
      </c>
      <c r="BN6" s="504" t="n">
        <v>0</v>
      </c>
      <c r="BO6" s="504" t="n">
        <v>0</v>
      </c>
      <c r="BP6" s="504" t="n">
        <v>0</v>
      </c>
      <c r="BQ6" s="504" t="n">
        <v>0</v>
      </c>
      <c r="BR6" s="504" t="n">
        <v>0</v>
      </c>
      <c r="BS6" s="504" t="n">
        <v>0</v>
      </c>
      <c r="BT6" s="504" t="n">
        <v>0</v>
      </c>
      <c r="BU6" s="504" t="n">
        <v>0</v>
      </c>
      <c r="BV6" s="504" t="n">
        <v>0</v>
      </c>
      <c r="BW6" s="504" t="n">
        <v>0</v>
      </c>
      <c r="BX6" s="504" t="n">
        <v>0</v>
      </c>
      <c r="BY6" s="504" t="n">
        <v>0</v>
      </c>
      <c r="BZ6" s="504" t="n">
        <v>0</v>
      </c>
      <c r="CA6" s="504" t="n">
        <v>0</v>
      </c>
      <c r="CB6" s="504" t="n">
        <v>0</v>
      </c>
      <c r="CC6" s="504" t="n">
        <v>0</v>
      </c>
      <c r="CD6" s="504" t="n">
        <v>0</v>
      </c>
      <c r="CE6" s="504" t="n">
        <v>0</v>
      </c>
    </row>
    <row r="7" hidden="1" ht="9" customFormat="1" customHeight="1" s="505">
      <c r="A7" s="504" t="n">
        <v>0</v>
      </c>
      <c r="B7" s="504" t="n">
        <v>0</v>
      </c>
      <c r="C7" s="504" t="n">
        <v>0</v>
      </c>
      <c r="D7" s="504" t="n">
        <v>0</v>
      </c>
      <c r="E7" s="504" t="n">
        <v>0</v>
      </c>
      <c r="F7" s="504" t="n">
        <v>0</v>
      </c>
      <c r="G7" s="504" t="n">
        <v>0</v>
      </c>
      <c r="H7" s="504" t="n">
        <v>0</v>
      </c>
      <c r="I7" s="504" t="n">
        <v>0</v>
      </c>
      <c r="J7" s="504" t="n">
        <v>0</v>
      </c>
      <c r="K7" s="504" t="n">
        <v>0</v>
      </c>
      <c r="L7" s="504" t="n">
        <v>0</v>
      </c>
      <c r="M7" s="504" t="n">
        <v>0</v>
      </c>
      <c r="N7" s="504" t="n">
        <v>0</v>
      </c>
      <c r="O7" s="504" t="n">
        <v>0</v>
      </c>
      <c r="P7" s="625" t="n">
        <v>0</v>
      </c>
      <c r="Q7" s="625" t="n">
        <v>0</v>
      </c>
      <c r="R7" s="625" t="n">
        <v>0</v>
      </c>
      <c r="S7" s="625" t="n">
        <v>0</v>
      </c>
      <c r="T7" s="625" t="n">
        <v>0</v>
      </c>
      <c r="U7" s="625" t="n">
        <v>0</v>
      </c>
      <c r="V7" s="625" t="n">
        <v>0</v>
      </c>
      <c r="W7" s="625" t="n">
        <v>0</v>
      </c>
      <c r="X7" s="625" t="n">
        <v>0</v>
      </c>
      <c r="Y7" s="639" t="n">
        <v>0</v>
      </c>
      <c r="Z7" s="639" t="n">
        <v>0</v>
      </c>
      <c r="AA7" s="639" t="n">
        <v>0</v>
      </c>
      <c r="AB7" s="639" t="n">
        <v>0</v>
      </c>
      <c r="AC7" s="611" t="n">
        <v>0</v>
      </c>
      <c r="AD7" s="611" t="n">
        <v>0</v>
      </c>
      <c r="AE7" s="611" t="n">
        <v>0</v>
      </c>
      <c r="AF7" s="611" t="n">
        <v>0</v>
      </c>
      <c r="AG7" s="625" t="n">
        <v>0</v>
      </c>
      <c r="AH7" s="625" t="n">
        <v>0</v>
      </c>
      <c r="AI7" s="625" t="n">
        <v>0</v>
      </c>
      <c r="AJ7" s="625" t="n">
        <v>0</v>
      </c>
      <c r="AK7" s="625" t="n">
        <v>0</v>
      </c>
      <c r="AL7" s="625" t="n">
        <v>0</v>
      </c>
      <c r="AM7" s="625" t="n">
        <v>0</v>
      </c>
      <c r="AN7" s="625" t="n">
        <v>0</v>
      </c>
      <c r="AO7" s="625" t="n">
        <v>0</v>
      </c>
      <c r="AP7" s="639" t="n">
        <v>0</v>
      </c>
      <c r="AQ7" s="639" t="n">
        <v>0</v>
      </c>
      <c r="AR7" s="639" t="n">
        <v>0</v>
      </c>
      <c r="AS7" s="639" t="n">
        <v>0</v>
      </c>
      <c r="AT7" s="611" t="n">
        <v>0</v>
      </c>
      <c r="AU7" s="611" t="n">
        <v>0</v>
      </c>
      <c r="AV7" s="611" t="n">
        <v>0</v>
      </c>
      <c r="AW7" s="611" t="n">
        <v>0</v>
      </c>
      <c r="AX7" s="504" t="n">
        <v>0</v>
      </c>
      <c r="AY7" s="504" t="n">
        <v>0</v>
      </c>
      <c r="AZ7" s="504" t="n">
        <v>0</v>
      </c>
      <c r="BA7" s="504" t="n">
        <v>0</v>
      </c>
      <c r="BB7" s="504" t="n">
        <v>0</v>
      </c>
      <c r="BC7" s="504" t="n">
        <v>0</v>
      </c>
      <c r="BD7" s="504" t="n">
        <v>0</v>
      </c>
      <c r="BE7" s="504" t="n">
        <v>0</v>
      </c>
      <c r="BF7" s="504" t="n">
        <v>0</v>
      </c>
      <c r="BG7" s="504" t="n">
        <v>0</v>
      </c>
      <c r="BH7" s="504" t="n">
        <v>0</v>
      </c>
      <c r="BI7" s="504" t="n">
        <v>0</v>
      </c>
      <c r="BJ7" s="504" t="n">
        <v>0</v>
      </c>
      <c r="BK7" s="504" t="n">
        <v>0</v>
      </c>
      <c r="BL7" s="504" t="n">
        <v>0</v>
      </c>
      <c r="BM7" s="504" t="n">
        <v>0</v>
      </c>
      <c r="BN7" s="504" t="n">
        <v>0</v>
      </c>
      <c r="BO7" s="504" t="n">
        <v>0</v>
      </c>
      <c r="BP7" s="504" t="n">
        <v>0</v>
      </c>
      <c r="BQ7" s="504" t="n">
        <v>0</v>
      </c>
      <c r="BR7" s="504" t="n">
        <v>0</v>
      </c>
      <c r="BS7" s="504" t="n">
        <v>0</v>
      </c>
      <c r="BT7" s="504" t="n">
        <v>0</v>
      </c>
      <c r="BU7" s="504" t="n">
        <v>0</v>
      </c>
      <c r="BV7" s="504" t="n">
        <v>0</v>
      </c>
      <c r="BW7" s="504" t="n">
        <v>0</v>
      </c>
      <c r="BX7" s="504" t="n">
        <v>0</v>
      </c>
      <c r="BY7" s="504" t="n">
        <v>0</v>
      </c>
      <c r="BZ7" s="504" t="n">
        <v>0</v>
      </c>
      <c r="CA7" s="504" t="n">
        <v>0</v>
      </c>
      <c r="CB7" s="504" t="n">
        <v>0</v>
      </c>
      <c r="CC7" s="504" t="n">
        <v>0</v>
      </c>
      <c r="CD7" s="504" t="n">
        <v>0</v>
      </c>
      <c r="CE7" s="504" t="n">
        <v>0</v>
      </c>
    </row>
    <row r="8" hidden="1" ht="9" customFormat="1" customHeight="1" s="505">
      <c r="A8" s="504" t="n">
        <v>0</v>
      </c>
      <c r="B8" s="504" t="n">
        <v>0</v>
      </c>
      <c r="C8" s="504" t="n">
        <v>0</v>
      </c>
      <c r="D8" s="504" t="n">
        <v>0</v>
      </c>
      <c r="E8" s="504" t="n">
        <v>0</v>
      </c>
      <c r="F8" s="504" t="n">
        <v>0</v>
      </c>
      <c r="G8" s="504" t="n">
        <v>0</v>
      </c>
      <c r="H8" s="504" t="n">
        <v>0</v>
      </c>
      <c r="I8" s="504" t="n">
        <v>0</v>
      </c>
      <c r="J8" s="504" t="n">
        <v>0</v>
      </c>
      <c r="K8" s="504" t="n">
        <v>0</v>
      </c>
      <c r="L8" s="504" t="n">
        <v>0</v>
      </c>
      <c r="M8" s="504" t="n">
        <v>0</v>
      </c>
      <c r="N8" s="504" t="n">
        <v>0</v>
      </c>
      <c r="O8" s="504" t="n">
        <v>0</v>
      </c>
      <c r="P8" s="625" t="n">
        <v>0</v>
      </c>
      <c r="Q8" s="625" t="n">
        <v>0</v>
      </c>
      <c r="R8" s="625" t="n">
        <v>0</v>
      </c>
      <c r="S8" s="625" t="n">
        <v>0</v>
      </c>
      <c r="T8" s="625" t="n">
        <v>0</v>
      </c>
      <c r="U8" s="625" t="n">
        <v>0</v>
      </c>
      <c r="V8" s="625" t="n">
        <v>0</v>
      </c>
      <c r="W8" s="625" t="n">
        <v>0</v>
      </c>
      <c r="X8" s="625" t="n">
        <v>0</v>
      </c>
      <c r="Y8" s="639" t="n">
        <v>0</v>
      </c>
      <c r="Z8" s="639" t="n">
        <v>0</v>
      </c>
      <c r="AA8" s="639" t="n">
        <v>0</v>
      </c>
      <c r="AB8" s="639" t="n">
        <v>0</v>
      </c>
      <c r="AC8" s="611" t="n">
        <v>0</v>
      </c>
      <c r="AD8" s="611" t="n">
        <v>0</v>
      </c>
      <c r="AE8" s="611" t="n">
        <v>0</v>
      </c>
      <c r="AF8" s="611" t="n">
        <v>0</v>
      </c>
      <c r="AG8" s="625" t="n">
        <v>0</v>
      </c>
      <c r="AH8" s="625" t="n">
        <v>0</v>
      </c>
      <c r="AI8" s="625" t="n">
        <v>0</v>
      </c>
      <c r="AJ8" s="625" t="n">
        <v>0</v>
      </c>
      <c r="AK8" s="625" t="n">
        <v>0</v>
      </c>
      <c r="AL8" s="625" t="n">
        <v>0</v>
      </c>
      <c r="AM8" s="625" t="n">
        <v>0</v>
      </c>
      <c r="AN8" s="625" t="n">
        <v>0</v>
      </c>
      <c r="AO8" s="625" t="n">
        <v>0</v>
      </c>
      <c r="AP8" s="639" t="n">
        <v>0</v>
      </c>
      <c r="AQ8" s="639" t="n">
        <v>0</v>
      </c>
      <c r="AR8" s="639" t="n">
        <v>0</v>
      </c>
      <c r="AS8" s="639" t="n">
        <v>0</v>
      </c>
      <c r="AT8" s="611" t="n">
        <v>0</v>
      </c>
      <c r="AU8" s="611" t="n">
        <v>0</v>
      </c>
      <c r="AV8" s="611" t="n">
        <v>0</v>
      </c>
      <c r="AW8" s="611" t="n">
        <v>0</v>
      </c>
      <c r="AX8" s="504" t="n">
        <v>0</v>
      </c>
      <c r="AY8" s="504" t="n">
        <v>0</v>
      </c>
      <c r="AZ8" s="504" t="n">
        <v>0</v>
      </c>
      <c r="BA8" s="504" t="n">
        <v>0</v>
      </c>
      <c r="BB8" s="504" t="n">
        <v>0</v>
      </c>
      <c r="BC8" s="504" t="n">
        <v>0</v>
      </c>
      <c r="BD8" s="504" t="n">
        <v>0</v>
      </c>
      <c r="BE8" s="504" t="n">
        <v>0</v>
      </c>
      <c r="BF8" s="504" t="n">
        <v>0</v>
      </c>
      <c r="BG8" s="504" t="n">
        <v>0</v>
      </c>
      <c r="BH8" s="504" t="n">
        <v>0</v>
      </c>
      <c r="BI8" s="504" t="n">
        <v>0</v>
      </c>
      <c r="BJ8" s="504" t="n">
        <v>0</v>
      </c>
      <c r="BK8" s="504" t="n">
        <v>0</v>
      </c>
      <c r="BL8" s="504" t="n">
        <v>0</v>
      </c>
      <c r="BM8" s="504" t="n">
        <v>0</v>
      </c>
      <c r="BN8" s="504" t="n">
        <v>0</v>
      </c>
      <c r="BO8" s="504" t="n">
        <v>0</v>
      </c>
      <c r="BP8" s="504" t="n">
        <v>0</v>
      </c>
      <c r="BQ8" s="504" t="n">
        <v>0</v>
      </c>
      <c r="BR8" s="504" t="n">
        <v>0</v>
      </c>
      <c r="BS8" s="504" t="n">
        <v>0</v>
      </c>
      <c r="BT8" s="504" t="n">
        <v>0</v>
      </c>
      <c r="BU8" s="504" t="n">
        <v>0</v>
      </c>
      <c r="BV8" s="504" t="n">
        <v>0</v>
      </c>
      <c r="BW8" s="504" t="n">
        <v>0</v>
      </c>
      <c r="BX8" s="504" t="n">
        <v>0</v>
      </c>
      <c r="BY8" s="504" t="n">
        <v>0</v>
      </c>
      <c r="BZ8" s="504" t="n">
        <v>0</v>
      </c>
      <c r="CA8" s="504" t="n">
        <v>0</v>
      </c>
      <c r="CB8" s="504" t="n">
        <v>0</v>
      </c>
      <c r="CC8" s="504" t="n">
        <v>0</v>
      </c>
      <c r="CD8" s="504" t="n">
        <v>0</v>
      </c>
      <c r="CE8" s="504" t="n">
        <v>0</v>
      </c>
    </row>
    <row r="9" hidden="1" ht="9" customFormat="1" customHeight="1" s="505">
      <c r="A9" s="504" t="n">
        <v>0</v>
      </c>
      <c r="B9" s="504" t="n">
        <v>0</v>
      </c>
      <c r="C9" s="504" t="n">
        <v>0</v>
      </c>
      <c r="D9" s="504" t="n">
        <v>0</v>
      </c>
      <c r="E9" s="504" t="n">
        <v>0</v>
      </c>
      <c r="F9" s="504" t="n">
        <v>0</v>
      </c>
      <c r="G9" s="504" t="n">
        <v>0</v>
      </c>
      <c r="H9" s="504" t="n">
        <v>0</v>
      </c>
      <c r="I9" s="504" t="n">
        <v>0</v>
      </c>
      <c r="J9" s="504" t="n">
        <v>0</v>
      </c>
      <c r="K9" s="504" t="n">
        <v>0</v>
      </c>
      <c r="L9" s="504" t="n">
        <v>0</v>
      </c>
      <c r="M9" s="504" t="n">
        <v>0</v>
      </c>
      <c r="N9" s="504" t="n">
        <v>0</v>
      </c>
      <c r="O9" s="504" t="n">
        <v>0</v>
      </c>
      <c r="P9" s="625" t="n">
        <v>0</v>
      </c>
      <c r="Q9" s="625" t="n">
        <v>0</v>
      </c>
      <c r="R9" s="625" t="n">
        <v>0</v>
      </c>
      <c r="S9" s="625" t="n">
        <v>0</v>
      </c>
      <c r="T9" s="625" t="n">
        <v>0</v>
      </c>
      <c r="U9" s="625" t="n">
        <v>0</v>
      </c>
      <c r="V9" s="625" t="n">
        <v>0</v>
      </c>
      <c r="W9" s="625" t="n">
        <v>0</v>
      </c>
      <c r="X9" s="625" t="n">
        <v>0</v>
      </c>
      <c r="Y9" s="639" t="n">
        <v>0</v>
      </c>
      <c r="Z9" s="639" t="n">
        <v>0</v>
      </c>
      <c r="AA9" s="639" t="n">
        <v>0</v>
      </c>
      <c r="AB9" s="639" t="n">
        <v>0</v>
      </c>
      <c r="AC9" s="611" t="n">
        <v>0</v>
      </c>
      <c r="AD9" s="611" t="n">
        <v>0</v>
      </c>
      <c r="AE9" s="611" t="n">
        <v>0</v>
      </c>
      <c r="AF9" s="611" t="n">
        <v>0</v>
      </c>
      <c r="AG9" s="625" t="n">
        <v>0</v>
      </c>
      <c r="AH9" s="625" t="n">
        <v>0</v>
      </c>
      <c r="AI9" s="625" t="n">
        <v>0</v>
      </c>
      <c r="AJ9" s="625" t="n">
        <v>0</v>
      </c>
      <c r="AK9" s="625" t="n">
        <v>0</v>
      </c>
      <c r="AL9" s="625" t="n">
        <v>0</v>
      </c>
      <c r="AM9" s="625" t="n">
        <v>0</v>
      </c>
      <c r="AN9" s="625" t="n">
        <v>0</v>
      </c>
      <c r="AO9" s="625" t="n">
        <v>0</v>
      </c>
      <c r="AP9" s="639" t="n">
        <v>0</v>
      </c>
      <c r="AQ9" s="639" t="n">
        <v>0</v>
      </c>
      <c r="AR9" s="639" t="n">
        <v>0</v>
      </c>
      <c r="AS9" s="639" t="n">
        <v>0</v>
      </c>
      <c r="AT9" s="611" t="n">
        <v>0</v>
      </c>
      <c r="AU9" s="611" t="n">
        <v>0</v>
      </c>
      <c r="AV9" s="611" t="n">
        <v>0</v>
      </c>
      <c r="AW9" s="611" t="n">
        <v>0</v>
      </c>
      <c r="AX9" s="504" t="n">
        <v>0</v>
      </c>
      <c r="AY9" s="504" t="n">
        <v>0</v>
      </c>
      <c r="AZ9" s="504" t="n">
        <v>0</v>
      </c>
      <c r="BA9" s="504" t="n">
        <v>0</v>
      </c>
      <c r="BB9" s="504" t="n">
        <v>0</v>
      </c>
      <c r="BC9" s="504" t="n">
        <v>0</v>
      </c>
      <c r="BD9" s="504" t="n">
        <v>0</v>
      </c>
      <c r="BE9" s="504" t="n">
        <v>0</v>
      </c>
      <c r="BF9" s="504" t="n">
        <v>0</v>
      </c>
      <c r="BG9" s="504" t="n">
        <v>0</v>
      </c>
      <c r="BH9" s="504" t="n">
        <v>0</v>
      </c>
      <c r="BI9" s="504" t="n">
        <v>0</v>
      </c>
      <c r="BJ9" s="504" t="n">
        <v>0</v>
      </c>
      <c r="BK9" s="504" t="n">
        <v>0</v>
      </c>
      <c r="BL9" s="504" t="n">
        <v>0</v>
      </c>
      <c r="BM9" s="504" t="n">
        <v>0</v>
      </c>
      <c r="BN9" s="504" t="n">
        <v>0</v>
      </c>
      <c r="BO9" s="504" t="n">
        <v>0</v>
      </c>
      <c r="BP9" s="504" t="n">
        <v>0</v>
      </c>
      <c r="BQ9" s="504" t="n">
        <v>0</v>
      </c>
      <c r="BR9" s="504" t="n">
        <v>0</v>
      </c>
      <c r="BS9" s="504" t="n">
        <v>0</v>
      </c>
      <c r="BT9" s="504" t="n">
        <v>0</v>
      </c>
      <c r="BU9" s="504" t="n">
        <v>0</v>
      </c>
      <c r="BV9" s="504" t="n">
        <v>0</v>
      </c>
      <c r="BW9" s="504" t="n">
        <v>0</v>
      </c>
      <c r="BX9" s="504" t="n">
        <v>0</v>
      </c>
      <c r="BY9" s="504" t="n">
        <v>0</v>
      </c>
      <c r="BZ9" s="504" t="n">
        <v>0</v>
      </c>
      <c r="CA9" s="504" t="n">
        <v>0</v>
      </c>
      <c r="CB9" s="504" t="n">
        <v>0</v>
      </c>
      <c r="CC9" s="504" t="n">
        <v>0</v>
      </c>
      <c r="CD9" s="504" t="n">
        <v>0</v>
      </c>
      <c r="CE9" s="504" t="n">
        <v>0</v>
      </c>
    </row>
    <row r="10" hidden="1" ht="9" customFormat="1" customHeight="1" s="505">
      <c r="A10" s="504" t="n">
        <v>0</v>
      </c>
      <c r="B10" s="504" t="n">
        <v>0</v>
      </c>
      <c r="C10" s="504" t="n">
        <v>0</v>
      </c>
      <c r="D10" s="504" t="n">
        <v>0</v>
      </c>
      <c r="E10" s="504" t="n">
        <v>0</v>
      </c>
      <c r="F10" s="504" t="n">
        <v>0</v>
      </c>
      <c r="G10" s="504" t="n">
        <v>0</v>
      </c>
      <c r="H10" s="504" t="n">
        <v>0</v>
      </c>
      <c r="I10" s="504" t="n">
        <v>0</v>
      </c>
      <c r="J10" s="504" t="n">
        <v>0</v>
      </c>
      <c r="K10" s="504" t="n">
        <v>0</v>
      </c>
      <c r="L10" s="504" t="n">
        <v>0</v>
      </c>
      <c r="M10" s="504" t="n">
        <v>0</v>
      </c>
      <c r="N10" s="504" t="n">
        <v>0</v>
      </c>
      <c r="O10" s="504" t="n">
        <v>0</v>
      </c>
      <c r="P10" s="625" t="n">
        <v>0</v>
      </c>
      <c r="Q10" s="625" t="n">
        <v>0</v>
      </c>
      <c r="R10" s="625" t="n">
        <v>0</v>
      </c>
      <c r="S10" s="625" t="n">
        <v>0</v>
      </c>
      <c r="T10" s="625" t="n">
        <v>0</v>
      </c>
      <c r="U10" s="625" t="n">
        <v>0</v>
      </c>
      <c r="V10" s="625" t="n">
        <v>0</v>
      </c>
      <c r="W10" s="625" t="n">
        <v>0</v>
      </c>
      <c r="X10" s="625" t="n">
        <v>0</v>
      </c>
      <c r="Y10" s="639" t="n">
        <v>0</v>
      </c>
      <c r="Z10" s="639" t="n">
        <v>0</v>
      </c>
      <c r="AA10" s="639" t="n">
        <v>0</v>
      </c>
      <c r="AB10" s="639" t="n">
        <v>0</v>
      </c>
      <c r="AC10" s="611" t="n">
        <v>0</v>
      </c>
      <c r="AD10" s="611" t="n">
        <v>0</v>
      </c>
      <c r="AE10" s="611" t="n">
        <v>0</v>
      </c>
      <c r="AF10" s="611" t="n">
        <v>0</v>
      </c>
      <c r="AG10" s="625" t="n">
        <v>0</v>
      </c>
      <c r="AH10" s="625" t="n">
        <v>0</v>
      </c>
      <c r="AI10" s="625" t="n">
        <v>0</v>
      </c>
      <c r="AJ10" s="625" t="n">
        <v>0</v>
      </c>
      <c r="AK10" s="625" t="n">
        <v>0</v>
      </c>
      <c r="AL10" s="625" t="n">
        <v>0</v>
      </c>
      <c r="AM10" s="625" t="n">
        <v>0</v>
      </c>
      <c r="AN10" s="625" t="n">
        <v>0</v>
      </c>
      <c r="AO10" s="625" t="n">
        <v>0</v>
      </c>
      <c r="AP10" s="639" t="n">
        <v>0</v>
      </c>
      <c r="AQ10" s="639" t="n">
        <v>0</v>
      </c>
      <c r="AR10" s="639" t="n">
        <v>0</v>
      </c>
      <c r="AS10" s="639" t="n">
        <v>0</v>
      </c>
      <c r="AT10" s="611" t="n">
        <v>0</v>
      </c>
      <c r="AU10" s="611" t="n">
        <v>0</v>
      </c>
      <c r="AV10" s="611" t="n">
        <v>0</v>
      </c>
      <c r="AW10" s="611" t="n">
        <v>0</v>
      </c>
      <c r="AX10" s="504" t="n">
        <v>0</v>
      </c>
      <c r="AY10" s="504" t="n">
        <v>0</v>
      </c>
      <c r="AZ10" s="504" t="n">
        <v>0</v>
      </c>
      <c r="BA10" s="504" t="n">
        <v>0</v>
      </c>
      <c r="BB10" s="504" t="n">
        <v>0</v>
      </c>
      <c r="BC10" s="504" t="n">
        <v>0</v>
      </c>
      <c r="BD10" s="504" t="n">
        <v>0</v>
      </c>
      <c r="BE10" s="504" t="n">
        <v>0</v>
      </c>
      <c r="BF10" s="504" t="n">
        <v>0</v>
      </c>
      <c r="BG10" s="504" t="n">
        <v>0</v>
      </c>
      <c r="BH10" s="504" t="n">
        <v>0</v>
      </c>
      <c r="BI10" s="504" t="n">
        <v>0</v>
      </c>
      <c r="BJ10" s="504" t="n">
        <v>0</v>
      </c>
      <c r="BK10" s="504" t="n">
        <v>0</v>
      </c>
      <c r="BL10" s="504" t="n">
        <v>0</v>
      </c>
      <c r="BM10" s="504" t="n">
        <v>0</v>
      </c>
      <c r="BN10" s="504" t="n">
        <v>0</v>
      </c>
      <c r="BO10" s="504" t="n">
        <v>0</v>
      </c>
      <c r="BP10" s="504" t="n">
        <v>0</v>
      </c>
      <c r="BQ10" s="504" t="n">
        <v>0</v>
      </c>
      <c r="BR10" s="504" t="n">
        <v>0</v>
      </c>
      <c r="BS10" s="504" t="n">
        <v>0</v>
      </c>
      <c r="BT10" s="504" t="n">
        <v>0</v>
      </c>
      <c r="BU10" s="504" t="n">
        <v>0</v>
      </c>
      <c r="BV10" s="504" t="n">
        <v>0</v>
      </c>
      <c r="BW10" s="504" t="n">
        <v>0</v>
      </c>
      <c r="BX10" s="504" t="n">
        <v>0</v>
      </c>
      <c r="BY10" s="504" t="n">
        <v>0</v>
      </c>
      <c r="BZ10" s="504" t="n">
        <v>0</v>
      </c>
      <c r="CA10" s="504" t="n">
        <v>0</v>
      </c>
      <c r="CB10" s="504" t="n">
        <v>0</v>
      </c>
      <c r="CC10" s="504" t="n">
        <v>0</v>
      </c>
      <c r="CD10" s="504" t="n">
        <v>0</v>
      </c>
      <c r="CE10" s="504" t="n">
        <v>0</v>
      </c>
    </row>
    <row r="11" hidden="1" ht="9" customFormat="1" customHeight="1" s="505">
      <c r="A11" s="504" t="n">
        <v>0</v>
      </c>
      <c r="B11" s="504" t="n">
        <v>0</v>
      </c>
      <c r="C11" s="504" t="n">
        <v>0</v>
      </c>
      <c r="D11" s="504" t="n">
        <v>0</v>
      </c>
      <c r="E11" s="504" t="n">
        <v>0</v>
      </c>
      <c r="F11" s="504" t="n">
        <v>0</v>
      </c>
      <c r="G11" s="504" t="n">
        <v>0</v>
      </c>
      <c r="H11" s="504" t="n">
        <v>0</v>
      </c>
      <c r="I11" s="504" t="n">
        <v>0</v>
      </c>
      <c r="J11" s="504" t="n">
        <v>0</v>
      </c>
      <c r="K11" s="504" t="n">
        <v>0</v>
      </c>
      <c r="L11" s="504" t="n">
        <v>0</v>
      </c>
      <c r="M11" s="504" t="n">
        <v>0</v>
      </c>
      <c r="N11" s="504" t="n">
        <v>0</v>
      </c>
      <c r="O11" s="504" t="n">
        <v>0</v>
      </c>
      <c r="P11" s="625" t="n">
        <v>0</v>
      </c>
      <c r="Q11" s="625" t="n">
        <v>0</v>
      </c>
      <c r="R11" s="625" t="n">
        <v>0</v>
      </c>
      <c r="S11" s="625" t="n">
        <v>0</v>
      </c>
      <c r="T11" s="625" t="n">
        <v>0</v>
      </c>
      <c r="U11" s="625" t="n">
        <v>0</v>
      </c>
      <c r="V11" s="625" t="n">
        <v>0</v>
      </c>
      <c r="W11" s="625" t="n">
        <v>0</v>
      </c>
      <c r="X11" s="625" t="n">
        <v>0</v>
      </c>
      <c r="Y11" s="639" t="n">
        <v>0</v>
      </c>
      <c r="Z11" s="639" t="n">
        <v>0</v>
      </c>
      <c r="AA11" s="639" t="n">
        <v>0</v>
      </c>
      <c r="AB11" s="639" t="n">
        <v>0</v>
      </c>
      <c r="AC11" s="611" t="n">
        <v>0</v>
      </c>
      <c r="AD11" s="611" t="n">
        <v>0</v>
      </c>
      <c r="AE11" s="611" t="n">
        <v>0</v>
      </c>
      <c r="AF11" s="611" t="n">
        <v>0</v>
      </c>
      <c r="AG11" s="625" t="n">
        <v>0</v>
      </c>
      <c r="AH11" s="625" t="n">
        <v>0</v>
      </c>
      <c r="AI11" s="625" t="n">
        <v>0</v>
      </c>
      <c r="AJ11" s="625" t="n">
        <v>0</v>
      </c>
      <c r="AK11" s="625" t="n">
        <v>0</v>
      </c>
      <c r="AL11" s="625" t="n">
        <v>0</v>
      </c>
      <c r="AM11" s="625" t="n">
        <v>0</v>
      </c>
      <c r="AN11" s="625" t="n">
        <v>0</v>
      </c>
      <c r="AO11" s="625" t="n">
        <v>0</v>
      </c>
      <c r="AP11" s="639" t="n">
        <v>0</v>
      </c>
      <c r="AQ11" s="639" t="n">
        <v>0</v>
      </c>
      <c r="AR11" s="639" t="n">
        <v>0</v>
      </c>
      <c r="AS11" s="639" t="n">
        <v>0</v>
      </c>
      <c r="AT11" s="611" t="n">
        <v>0</v>
      </c>
      <c r="AU11" s="611" t="n">
        <v>0</v>
      </c>
      <c r="AV11" s="611" t="n">
        <v>0</v>
      </c>
      <c r="AW11" s="611" t="n">
        <v>0</v>
      </c>
      <c r="AX11" s="504" t="n">
        <v>0</v>
      </c>
      <c r="AY11" s="504" t="n">
        <v>0</v>
      </c>
      <c r="AZ11" s="504" t="n">
        <v>0</v>
      </c>
      <c r="BA11" s="504" t="n">
        <v>0</v>
      </c>
      <c r="BB11" s="504" t="n">
        <v>0</v>
      </c>
      <c r="BC11" s="504" t="n">
        <v>0</v>
      </c>
      <c r="BD11" s="504" t="n">
        <v>0</v>
      </c>
      <c r="BE11" s="504" t="n">
        <v>0</v>
      </c>
      <c r="BF11" s="504" t="n">
        <v>0</v>
      </c>
      <c r="BG11" s="504" t="n">
        <v>0</v>
      </c>
      <c r="BH11" s="504" t="n">
        <v>0</v>
      </c>
      <c r="BI11" s="504" t="n">
        <v>0</v>
      </c>
      <c r="BJ11" s="504" t="n">
        <v>0</v>
      </c>
      <c r="BK11" s="504" t="n">
        <v>0</v>
      </c>
      <c r="BL11" s="504" t="n">
        <v>0</v>
      </c>
      <c r="BM11" s="504" t="n">
        <v>0</v>
      </c>
      <c r="BN11" s="504" t="n">
        <v>0</v>
      </c>
      <c r="BO11" s="504" t="n">
        <v>0</v>
      </c>
      <c r="BP11" s="504" t="n">
        <v>0</v>
      </c>
      <c r="BQ11" s="504" t="n">
        <v>0</v>
      </c>
      <c r="BR11" s="504" t="n">
        <v>0</v>
      </c>
      <c r="BS11" s="504" t="n">
        <v>0</v>
      </c>
      <c r="BT11" s="504" t="n">
        <v>0</v>
      </c>
      <c r="BU11" s="504" t="n">
        <v>0</v>
      </c>
      <c r="BV11" s="504" t="n">
        <v>0</v>
      </c>
      <c r="BW11" s="504" t="n">
        <v>0</v>
      </c>
      <c r="BX11" s="504" t="n">
        <v>0</v>
      </c>
      <c r="BY11" s="504" t="n">
        <v>0</v>
      </c>
      <c r="BZ11" s="504" t="n">
        <v>0</v>
      </c>
      <c r="CA11" s="504" t="n">
        <v>0</v>
      </c>
      <c r="CB11" s="504" t="n">
        <v>0</v>
      </c>
      <c r="CC11" s="504" t="n">
        <v>0</v>
      </c>
      <c r="CD11" s="504" t="n">
        <v>0</v>
      </c>
      <c r="CE11" s="504" t="n">
        <v>0</v>
      </c>
    </row>
    <row r="12" hidden="1" ht="9" customFormat="1" customHeight="1" s="505">
      <c r="A12" s="504" t="n">
        <v>0</v>
      </c>
      <c r="B12" s="504" t="n">
        <v>0</v>
      </c>
      <c r="C12" s="504" t="n">
        <v>0</v>
      </c>
      <c r="D12" s="504" t="n">
        <v>0</v>
      </c>
      <c r="E12" s="504" t="n">
        <v>0</v>
      </c>
      <c r="F12" s="504" t="n">
        <v>0</v>
      </c>
      <c r="G12" s="504" t="n">
        <v>0</v>
      </c>
      <c r="H12" s="504" t="n">
        <v>0</v>
      </c>
      <c r="I12" s="504" t="n">
        <v>0</v>
      </c>
      <c r="J12" s="504" t="n">
        <v>0</v>
      </c>
      <c r="K12" s="504" t="n">
        <v>0</v>
      </c>
      <c r="L12" s="504" t="n">
        <v>0</v>
      </c>
      <c r="M12" s="504" t="n">
        <v>0</v>
      </c>
      <c r="N12" s="504" t="n">
        <v>0</v>
      </c>
      <c r="O12" s="504" t="n">
        <v>0</v>
      </c>
      <c r="P12" s="625" t="n">
        <v>0</v>
      </c>
      <c r="Q12" s="625" t="n">
        <v>0</v>
      </c>
      <c r="R12" s="625" t="n">
        <v>0</v>
      </c>
      <c r="S12" s="625" t="n">
        <v>0</v>
      </c>
      <c r="T12" s="625" t="n">
        <v>0</v>
      </c>
      <c r="U12" s="625" t="n">
        <v>0</v>
      </c>
      <c r="V12" s="625" t="n">
        <v>0</v>
      </c>
      <c r="W12" s="625" t="n">
        <v>0</v>
      </c>
      <c r="X12" s="625" t="n">
        <v>0</v>
      </c>
      <c r="Y12" s="639" t="n">
        <v>0</v>
      </c>
      <c r="Z12" s="639" t="n">
        <v>0</v>
      </c>
      <c r="AA12" s="639" t="n">
        <v>0</v>
      </c>
      <c r="AB12" s="639" t="n">
        <v>0</v>
      </c>
      <c r="AC12" s="611" t="n">
        <v>0</v>
      </c>
      <c r="AD12" s="611" t="n">
        <v>0</v>
      </c>
      <c r="AE12" s="611" t="n">
        <v>0</v>
      </c>
      <c r="AF12" s="611" t="n">
        <v>0</v>
      </c>
      <c r="AG12" s="625" t="n">
        <v>0</v>
      </c>
      <c r="AH12" s="625" t="n">
        <v>0</v>
      </c>
      <c r="AI12" s="625" t="n">
        <v>0</v>
      </c>
      <c r="AJ12" s="625" t="n">
        <v>0</v>
      </c>
      <c r="AK12" s="625" t="n">
        <v>0</v>
      </c>
      <c r="AL12" s="625" t="n">
        <v>0</v>
      </c>
      <c r="AM12" s="625" t="n">
        <v>0</v>
      </c>
      <c r="AN12" s="625" t="n">
        <v>0</v>
      </c>
      <c r="AO12" s="625" t="n">
        <v>0</v>
      </c>
      <c r="AP12" s="639" t="n">
        <v>0</v>
      </c>
      <c r="AQ12" s="639" t="n">
        <v>0</v>
      </c>
      <c r="AR12" s="639" t="n">
        <v>0</v>
      </c>
      <c r="AS12" s="639" t="n">
        <v>0</v>
      </c>
      <c r="AT12" s="611" t="n">
        <v>0</v>
      </c>
      <c r="AU12" s="611" t="n">
        <v>0</v>
      </c>
      <c r="AV12" s="611" t="n">
        <v>0</v>
      </c>
      <c r="AW12" s="611" t="n">
        <v>0</v>
      </c>
      <c r="AX12" s="504" t="n">
        <v>0</v>
      </c>
      <c r="AY12" s="504" t="n">
        <v>0</v>
      </c>
      <c r="AZ12" s="504" t="n">
        <v>0</v>
      </c>
      <c r="BA12" s="504" t="n">
        <v>0</v>
      </c>
      <c r="BB12" s="504" t="n">
        <v>0</v>
      </c>
      <c r="BC12" s="504" t="n">
        <v>0</v>
      </c>
      <c r="BD12" s="504" t="n">
        <v>0</v>
      </c>
      <c r="BE12" s="504" t="n">
        <v>0</v>
      </c>
      <c r="BF12" s="504" t="n">
        <v>0</v>
      </c>
      <c r="BG12" s="504" t="n">
        <v>0</v>
      </c>
      <c r="BH12" s="504" t="n">
        <v>0</v>
      </c>
      <c r="BI12" s="504" t="n">
        <v>0</v>
      </c>
      <c r="BJ12" s="504" t="n">
        <v>0</v>
      </c>
      <c r="BK12" s="504" t="n">
        <v>0</v>
      </c>
      <c r="BL12" s="504" t="n">
        <v>0</v>
      </c>
      <c r="BM12" s="504" t="n">
        <v>0</v>
      </c>
      <c r="BN12" s="504" t="n">
        <v>0</v>
      </c>
      <c r="BO12" s="504" t="n">
        <v>0</v>
      </c>
      <c r="BP12" s="504" t="n">
        <v>0</v>
      </c>
      <c r="BQ12" s="504" t="n">
        <v>0</v>
      </c>
      <c r="BR12" s="504" t="n">
        <v>0</v>
      </c>
      <c r="BS12" s="504" t="n">
        <v>0</v>
      </c>
      <c r="BT12" s="504" t="n">
        <v>0</v>
      </c>
      <c r="BU12" s="504" t="n">
        <v>0</v>
      </c>
      <c r="BV12" s="504" t="n">
        <v>0</v>
      </c>
      <c r="BW12" s="504" t="n">
        <v>0</v>
      </c>
      <c r="BX12" s="504" t="n">
        <v>0</v>
      </c>
      <c r="BY12" s="504" t="n">
        <v>0</v>
      </c>
      <c r="BZ12" s="504" t="n">
        <v>0</v>
      </c>
      <c r="CA12" s="504" t="n">
        <v>0</v>
      </c>
      <c r="CB12" s="504" t="n">
        <v>0</v>
      </c>
      <c r="CC12" s="504" t="n">
        <v>0</v>
      </c>
      <c r="CD12" s="504" t="n">
        <v>0</v>
      </c>
      <c r="CE12" s="504" t="n">
        <v>0</v>
      </c>
    </row>
    <row r="13" hidden="1" ht="9" customFormat="1" customHeight="1" s="505">
      <c r="A13" s="504" t="n">
        <v>0</v>
      </c>
      <c r="B13" s="504" t="n">
        <v>0</v>
      </c>
      <c r="C13" s="504" t="n">
        <v>0</v>
      </c>
      <c r="D13" s="504" t="n">
        <v>0</v>
      </c>
      <c r="E13" s="504" t="n">
        <v>0</v>
      </c>
      <c r="F13" s="504" t="n">
        <v>0</v>
      </c>
      <c r="G13" s="504" t="n">
        <v>0</v>
      </c>
      <c r="H13" s="504" t="n">
        <v>0</v>
      </c>
      <c r="I13" s="504" t="n">
        <v>0</v>
      </c>
      <c r="J13" s="504" t="n">
        <v>0</v>
      </c>
      <c r="K13" s="504" t="n">
        <v>0</v>
      </c>
      <c r="L13" s="504" t="n">
        <v>0</v>
      </c>
      <c r="M13" s="504" t="n">
        <v>0</v>
      </c>
      <c r="N13" s="504" t="n">
        <v>0</v>
      </c>
      <c r="O13" s="504" t="n">
        <v>0</v>
      </c>
      <c r="P13" s="625" t="n">
        <v>0</v>
      </c>
      <c r="Q13" s="625" t="n">
        <v>0</v>
      </c>
      <c r="R13" s="625" t="n">
        <v>0</v>
      </c>
      <c r="S13" s="625" t="n">
        <v>0</v>
      </c>
      <c r="T13" s="625" t="n">
        <v>0</v>
      </c>
      <c r="U13" s="625" t="n">
        <v>0</v>
      </c>
      <c r="V13" s="625" t="n">
        <v>0</v>
      </c>
      <c r="W13" s="625" t="n">
        <v>0</v>
      </c>
      <c r="X13" s="625" t="n">
        <v>0</v>
      </c>
      <c r="Y13" s="639" t="n">
        <v>0</v>
      </c>
      <c r="Z13" s="639" t="n">
        <v>0</v>
      </c>
      <c r="AA13" s="639" t="n">
        <v>0</v>
      </c>
      <c r="AB13" s="639" t="n">
        <v>0</v>
      </c>
      <c r="AC13" s="611" t="n">
        <v>0</v>
      </c>
      <c r="AD13" s="611" t="n">
        <v>0</v>
      </c>
      <c r="AE13" s="611" t="n">
        <v>0</v>
      </c>
      <c r="AF13" s="611" t="n">
        <v>0</v>
      </c>
      <c r="AG13" s="625" t="n">
        <v>0</v>
      </c>
      <c r="AH13" s="625" t="n">
        <v>0</v>
      </c>
      <c r="AI13" s="625" t="n">
        <v>0</v>
      </c>
      <c r="AJ13" s="625" t="n">
        <v>0</v>
      </c>
      <c r="AK13" s="625" t="n">
        <v>0</v>
      </c>
      <c r="AL13" s="625" t="n">
        <v>0</v>
      </c>
      <c r="AM13" s="625" t="n">
        <v>0</v>
      </c>
      <c r="AN13" s="625" t="n">
        <v>0</v>
      </c>
      <c r="AO13" s="625" t="n">
        <v>0</v>
      </c>
      <c r="AP13" s="639" t="n">
        <v>0</v>
      </c>
      <c r="AQ13" s="639" t="n">
        <v>0</v>
      </c>
      <c r="AR13" s="639" t="n">
        <v>0</v>
      </c>
      <c r="AS13" s="639" t="n">
        <v>0</v>
      </c>
      <c r="AT13" s="611" t="n">
        <v>0</v>
      </c>
      <c r="AU13" s="611" t="n">
        <v>0</v>
      </c>
      <c r="AV13" s="611" t="n">
        <v>0</v>
      </c>
      <c r="AW13" s="611" t="n">
        <v>0</v>
      </c>
      <c r="AX13" s="504" t="n">
        <v>0</v>
      </c>
      <c r="AY13" s="504" t="n">
        <v>0</v>
      </c>
      <c r="AZ13" s="504" t="n">
        <v>0</v>
      </c>
      <c r="BA13" s="504" t="n">
        <v>0</v>
      </c>
      <c r="BB13" s="504" t="n">
        <v>0</v>
      </c>
      <c r="BC13" s="504" t="n">
        <v>0</v>
      </c>
      <c r="BD13" s="504" t="n">
        <v>0</v>
      </c>
      <c r="BE13" s="504" t="n">
        <v>0</v>
      </c>
      <c r="BF13" s="504" t="n">
        <v>0</v>
      </c>
      <c r="BG13" s="504" t="n">
        <v>0</v>
      </c>
      <c r="BH13" s="504" t="n">
        <v>0</v>
      </c>
      <c r="BI13" s="504" t="n">
        <v>0</v>
      </c>
      <c r="BJ13" s="504" t="n">
        <v>0</v>
      </c>
      <c r="BK13" s="504" t="n">
        <v>0</v>
      </c>
      <c r="BL13" s="504" t="n">
        <v>0</v>
      </c>
      <c r="BM13" s="504" t="n">
        <v>0</v>
      </c>
      <c r="BN13" s="504" t="n">
        <v>0</v>
      </c>
      <c r="BO13" s="504" t="n">
        <v>0</v>
      </c>
      <c r="BP13" s="504" t="n">
        <v>0</v>
      </c>
      <c r="BQ13" s="504" t="n">
        <v>0</v>
      </c>
      <c r="BR13" s="504" t="n">
        <v>0</v>
      </c>
      <c r="BS13" s="504" t="n">
        <v>0</v>
      </c>
      <c r="BT13" s="504" t="n">
        <v>0</v>
      </c>
      <c r="BU13" s="504" t="n">
        <v>0</v>
      </c>
      <c r="BV13" s="504" t="n">
        <v>0</v>
      </c>
      <c r="BW13" s="504" t="n">
        <v>0</v>
      </c>
      <c r="BX13" s="504" t="n">
        <v>0</v>
      </c>
      <c r="BY13" s="504" t="n">
        <v>0</v>
      </c>
      <c r="BZ13" s="504" t="n">
        <v>0</v>
      </c>
      <c r="CA13" s="504" t="n">
        <v>0</v>
      </c>
      <c r="CB13" s="504" t="n">
        <v>0</v>
      </c>
      <c r="CC13" s="504" t="n">
        <v>0</v>
      </c>
      <c r="CD13" s="504" t="n">
        <v>0</v>
      </c>
      <c r="CE13" s="504" t="n">
        <v>0</v>
      </c>
    </row>
    <row r="14" hidden="1" ht="9" customFormat="1" customHeight="1" s="505">
      <c r="A14" s="504" t="n">
        <v>0</v>
      </c>
      <c r="B14" s="504" t="n">
        <v>0</v>
      </c>
      <c r="C14" s="504" t="n">
        <v>0</v>
      </c>
      <c r="D14" s="504" t="n">
        <v>0</v>
      </c>
      <c r="E14" s="504" t="n">
        <v>0</v>
      </c>
      <c r="F14" s="504" t="n">
        <v>0</v>
      </c>
      <c r="G14" s="504" t="n">
        <v>0</v>
      </c>
      <c r="H14" s="504" t="n">
        <v>0</v>
      </c>
      <c r="I14" s="504" t="n">
        <v>0</v>
      </c>
      <c r="J14" s="504" t="n">
        <v>0</v>
      </c>
      <c r="K14" s="504" t="n">
        <v>0</v>
      </c>
      <c r="L14" s="504" t="n">
        <v>0</v>
      </c>
      <c r="M14" s="504" t="n">
        <v>0</v>
      </c>
      <c r="N14" s="504" t="n">
        <v>0</v>
      </c>
      <c r="O14" s="504" t="n">
        <v>0</v>
      </c>
      <c r="P14" s="625" t="n">
        <v>0</v>
      </c>
      <c r="Q14" s="625" t="n">
        <v>0</v>
      </c>
      <c r="R14" s="625" t="n">
        <v>0</v>
      </c>
      <c r="S14" s="625" t="n">
        <v>0</v>
      </c>
      <c r="T14" s="625" t="n">
        <v>0</v>
      </c>
      <c r="U14" s="625" t="n">
        <v>0</v>
      </c>
      <c r="V14" s="625" t="n">
        <v>0</v>
      </c>
      <c r="W14" s="625" t="n">
        <v>0</v>
      </c>
      <c r="X14" s="625" t="n">
        <v>0</v>
      </c>
      <c r="Y14" s="639" t="n">
        <v>0</v>
      </c>
      <c r="Z14" s="639" t="n">
        <v>0</v>
      </c>
      <c r="AA14" s="639" t="n">
        <v>0</v>
      </c>
      <c r="AB14" s="639" t="n">
        <v>0</v>
      </c>
      <c r="AC14" s="611" t="n">
        <v>0</v>
      </c>
      <c r="AD14" s="611" t="n">
        <v>0</v>
      </c>
      <c r="AE14" s="611" t="n">
        <v>0</v>
      </c>
      <c r="AF14" s="611" t="n">
        <v>0</v>
      </c>
      <c r="AG14" s="625" t="n">
        <v>0</v>
      </c>
      <c r="AH14" s="625" t="n">
        <v>0</v>
      </c>
      <c r="AI14" s="625" t="n">
        <v>0</v>
      </c>
      <c r="AJ14" s="625" t="n">
        <v>0</v>
      </c>
      <c r="AK14" s="625" t="n">
        <v>0</v>
      </c>
      <c r="AL14" s="625" t="n">
        <v>0</v>
      </c>
      <c r="AM14" s="625" t="n">
        <v>0</v>
      </c>
      <c r="AN14" s="625" t="n">
        <v>0</v>
      </c>
      <c r="AO14" s="625" t="n">
        <v>0</v>
      </c>
      <c r="AP14" s="639" t="n">
        <v>0</v>
      </c>
      <c r="AQ14" s="639" t="n">
        <v>0</v>
      </c>
      <c r="AR14" s="639" t="n">
        <v>0</v>
      </c>
      <c r="AS14" s="639" t="n">
        <v>0</v>
      </c>
      <c r="AT14" s="611" t="n">
        <v>0</v>
      </c>
      <c r="AU14" s="611" t="n">
        <v>0</v>
      </c>
      <c r="AV14" s="611" t="n">
        <v>0</v>
      </c>
      <c r="AW14" s="611" t="n">
        <v>0</v>
      </c>
      <c r="AX14" s="504" t="n">
        <v>0</v>
      </c>
      <c r="AY14" s="504" t="n">
        <v>0</v>
      </c>
      <c r="AZ14" s="504" t="n">
        <v>0</v>
      </c>
      <c r="BA14" s="504" t="n">
        <v>0</v>
      </c>
      <c r="BB14" s="504" t="n">
        <v>0</v>
      </c>
      <c r="BC14" s="504" t="n">
        <v>0</v>
      </c>
      <c r="BD14" s="504" t="n">
        <v>0</v>
      </c>
      <c r="BE14" s="504" t="n">
        <v>0</v>
      </c>
      <c r="BF14" s="504" t="n">
        <v>0</v>
      </c>
      <c r="BG14" s="504" t="n">
        <v>0</v>
      </c>
      <c r="BH14" s="504" t="n">
        <v>0</v>
      </c>
      <c r="BI14" s="504" t="n">
        <v>0</v>
      </c>
      <c r="BJ14" s="504" t="n">
        <v>0</v>
      </c>
      <c r="BK14" s="504" t="n">
        <v>0</v>
      </c>
      <c r="BL14" s="504" t="n">
        <v>0</v>
      </c>
      <c r="BM14" s="504" t="n">
        <v>0</v>
      </c>
      <c r="BN14" s="504" t="n">
        <v>0</v>
      </c>
      <c r="BO14" s="504" t="n">
        <v>0</v>
      </c>
      <c r="BP14" s="504" t="n">
        <v>0</v>
      </c>
      <c r="BQ14" s="504" t="n">
        <v>0</v>
      </c>
      <c r="BR14" s="504" t="n">
        <v>0</v>
      </c>
      <c r="BS14" s="504" t="n">
        <v>0</v>
      </c>
      <c r="BT14" s="504" t="n">
        <v>0</v>
      </c>
      <c r="BU14" s="504" t="n">
        <v>0</v>
      </c>
      <c r="BV14" s="504" t="n">
        <v>0</v>
      </c>
      <c r="BW14" s="504" t="n">
        <v>0</v>
      </c>
      <c r="BX14" s="504" t="n">
        <v>0</v>
      </c>
      <c r="BY14" s="504" t="n">
        <v>0</v>
      </c>
      <c r="BZ14" s="504" t="n">
        <v>0</v>
      </c>
      <c r="CA14" s="504" t="n">
        <v>0</v>
      </c>
      <c r="CB14" s="504" t="n">
        <v>0</v>
      </c>
      <c r="CC14" s="504" t="n">
        <v>0</v>
      </c>
      <c r="CD14" s="504" t="n">
        <v>0</v>
      </c>
      <c r="CE14" s="504" t="n">
        <v>0</v>
      </c>
    </row>
    <row r="15" hidden="1" ht="9" customFormat="1" customHeight="1" s="505">
      <c r="A15" s="504" t="n">
        <v>0</v>
      </c>
      <c r="B15" s="504" t="n">
        <v>0</v>
      </c>
      <c r="C15" s="504" t="n">
        <v>0</v>
      </c>
      <c r="D15" s="504" t="n">
        <v>0</v>
      </c>
      <c r="E15" s="504" t="n">
        <v>0</v>
      </c>
      <c r="F15" s="504" t="n">
        <v>0</v>
      </c>
      <c r="G15" s="504" t="n">
        <v>0</v>
      </c>
      <c r="H15" s="504" t="n">
        <v>0</v>
      </c>
      <c r="I15" s="504" t="n">
        <v>0</v>
      </c>
      <c r="J15" s="504" t="n">
        <v>0</v>
      </c>
      <c r="K15" s="504" t="n">
        <v>0</v>
      </c>
      <c r="L15" s="504" t="n">
        <v>0</v>
      </c>
      <c r="M15" s="504" t="n">
        <v>0</v>
      </c>
      <c r="N15" s="504" t="n">
        <v>0</v>
      </c>
      <c r="O15" s="504" t="n">
        <v>0</v>
      </c>
      <c r="P15" s="625" t="n">
        <v>0</v>
      </c>
      <c r="Q15" s="625" t="n">
        <v>0</v>
      </c>
      <c r="R15" s="625" t="n">
        <v>0</v>
      </c>
      <c r="S15" s="625" t="n">
        <v>0</v>
      </c>
      <c r="T15" s="625" t="n">
        <v>0</v>
      </c>
      <c r="U15" s="625" t="n">
        <v>0</v>
      </c>
      <c r="V15" s="625" t="n">
        <v>0</v>
      </c>
      <c r="W15" s="625" t="n">
        <v>0</v>
      </c>
      <c r="X15" s="625" t="n">
        <v>0</v>
      </c>
      <c r="Y15" s="639" t="n">
        <v>0</v>
      </c>
      <c r="Z15" s="639" t="n">
        <v>0</v>
      </c>
      <c r="AA15" s="639" t="n">
        <v>0</v>
      </c>
      <c r="AB15" s="639" t="n">
        <v>0</v>
      </c>
      <c r="AC15" s="611" t="n">
        <v>0</v>
      </c>
      <c r="AD15" s="611" t="n">
        <v>0</v>
      </c>
      <c r="AE15" s="611" t="n">
        <v>0</v>
      </c>
      <c r="AF15" s="611" t="n">
        <v>0</v>
      </c>
      <c r="AG15" s="625" t="n">
        <v>0</v>
      </c>
      <c r="AH15" s="625" t="n">
        <v>0</v>
      </c>
      <c r="AI15" s="625" t="n">
        <v>0</v>
      </c>
      <c r="AJ15" s="625" t="n">
        <v>0</v>
      </c>
      <c r="AK15" s="625" t="n">
        <v>0</v>
      </c>
      <c r="AL15" s="625" t="n">
        <v>0</v>
      </c>
      <c r="AM15" s="625" t="n">
        <v>0</v>
      </c>
      <c r="AN15" s="625" t="n">
        <v>0</v>
      </c>
      <c r="AO15" s="625" t="n">
        <v>0</v>
      </c>
      <c r="AP15" s="639" t="n">
        <v>0</v>
      </c>
      <c r="AQ15" s="639" t="n">
        <v>0</v>
      </c>
      <c r="AR15" s="639" t="n">
        <v>0</v>
      </c>
      <c r="AS15" s="639" t="n">
        <v>0</v>
      </c>
      <c r="AT15" s="611" t="n">
        <v>0</v>
      </c>
      <c r="AU15" s="611" t="n">
        <v>0</v>
      </c>
      <c r="AV15" s="611" t="n">
        <v>0</v>
      </c>
      <c r="AW15" s="611" t="n">
        <v>0</v>
      </c>
      <c r="AX15" s="504" t="n">
        <v>0</v>
      </c>
      <c r="AY15" s="504" t="n">
        <v>0</v>
      </c>
      <c r="AZ15" s="504" t="n">
        <v>0</v>
      </c>
      <c r="BA15" s="504" t="n">
        <v>0</v>
      </c>
      <c r="BB15" s="504" t="n">
        <v>0</v>
      </c>
      <c r="BC15" s="504" t="n">
        <v>0</v>
      </c>
      <c r="BD15" s="504" t="n">
        <v>0</v>
      </c>
      <c r="BE15" s="504" t="n">
        <v>0</v>
      </c>
      <c r="BF15" s="504" t="n">
        <v>0</v>
      </c>
      <c r="BG15" s="504" t="n">
        <v>0</v>
      </c>
      <c r="BH15" s="504" t="n">
        <v>0</v>
      </c>
      <c r="BI15" s="504" t="n">
        <v>0</v>
      </c>
      <c r="BJ15" s="504" t="n">
        <v>0</v>
      </c>
      <c r="BK15" s="504" t="n">
        <v>0</v>
      </c>
      <c r="BL15" s="504" t="n">
        <v>0</v>
      </c>
      <c r="BM15" s="504" t="n">
        <v>0</v>
      </c>
      <c r="BN15" s="504" t="n">
        <v>0</v>
      </c>
      <c r="BO15" s="504" t="n">
        <v>0</v>
      </c>
      <c r="BP15" s="504" t="n">
        <v>0</v>
      </c>
      <c r="BQ15" s="504" t="n">
        <v>0</v>
      </c>
      <c r="BR15" s="504" t="n">
        <v>0</v>
      </c>
      <c r="BS15" s="504" t="n">
        <v>0</v>
      </c>
      <c r="BT15" s="504" t="n">
        <v>0</v>
      </c>
      <c r="BU15" s="504" t="n">
        <v>0</v>
      </c>
      <c r="BV15" s="504" t="n">
        <v>0</v>
      </c>
      <c r="BW15" s="504" t="n">
        <v>0</v>
      </c>
      <c r="BX15" s="504" t="n">
        <v>0</v>
      </c>
      <c r="BY15" s="504" t="n">
        <v>0</v>
      </c>
      <c r="BZ15" s="504" t="n">
        <v>0</v>
      </c>
      <c r="CA15" s="504" t="n">
        <v>0</v>
      </c>
      <c r="CB15" s="504" t="n">
        <v>0</v>
      </c>
      <c r="CC15" s="504" t="n">
        <v>0</v>
      </c>
      <c r="CD15" s="504" t="n">
        <v>0</v>
      </c>
      <c r="CE15" s="504" t="n">
        <v>0</v>
      </c>
    </row>
    <row r="16" hidden="1" ht="9" customFormat="1" customHeight="1" s="505">
      <c r="A16" s="504" t="n">
        <v>0</v>
      </c>
      <c r="B16" s="504" t="n">
        <v>0</v>
      </c>
      <c r="C16" s="504" t="n">
        <v>0</v>
      </c>
      <c r="D16" s="504" t="n">
        <v>0</v>
      </c>
      <c r="E16" s="504" t="n">
        <v>0</v>
      </c>
      <c r="F16" s="504" t="n">
        <v>0</v>
      </c>
      <c r="G16" s="504" t="n">
        <v>0</v>
      </c>
      <c r="H16" s="504" t="n">
        <v>0</v>
      </c>
      <c r="I16" s="504" t="n">
        <v>0</v>
      </c>
      <c r="J16" s="504" t="n">
        <v>0</v>
      </c>
      <c r="K16" s="504" t="n">
        <v>0</v>
      </c>
      <c r="L16" s="504" t="n">
        <v>0</v>
      </c>
      <c r="M16" s="504" t="n">
        <v>0</v>
      </c>
      <c r="N16" s="504" t="n">
        <v>0</v>
      </c>
      <c r="O16" s="504" t="n">
        <v>0</v>
      </c>
      <c r="P16" s="625" t="n">
        <v>0</v>
      </c>
      <c r="Q16" s="625" t="n">
        <v>0</v>
      </c>
      <c r="R16" s="625" t="n">
        <v>0</v>
      </c>
      <c r="S16" s="625" t="n">
        <v>0</v>
      </c>
      <c r="T16" s="625" t="n">
        <v>0</v>
      </c>
      <c r="U16" s="625" t="n">
        <v>0</v>
      </c>
      <c r="V16" s="625" t="n">
        <v>0</v>
      </c>
      <c r="W16" s="625" t="n">
        <v>0</v>
      </c>
      <c r="X16" s="625" t="n">
        <v>0</v>
      </c>
      <c r="Y16" s="639" t="n">
        <v>0</v>
      </c>
      <c r="Z16" s="639" t="n">
        <v>0</v>
      </c>
      <c r="AA16" s="639" t="n">
        <v>0</v>
      </c>
      <c r="AB16" s="639" t="n">
        <v>0</v>
      </c>
      <c r="AC16" s="611" t="n">
        <v>0</v>
      </c>
      <c r="AD16" s="611" t="n">
        <v>0</v>
      </c>
      <c r="AE16" s="611" t="n">
        <v>0</v>
      </c>
      <c r="AF16" s="611" t="n">
        <v>0</v>
      </c>
      <c r="AG16" s="625" t="n">
        <v>0</v>
      </c>
      <c r="AH16" s="625" t="n">
        <v>0</v>
      </c>
      <c r="AI16" s="625" t="n">
        <v>0</v>
      </c>
      <c r="AJ16" s="625" t="n">
        <v>0</v>
      </c>
      <c r="AK16" s="625" t="n">
        <v>0</v>
      </c>
      <c r="AL16" s="625" t="n">
        <v>0</v>
      </c>
      <c r="AM16" s="625" t="n">
        <v>0</v>
      </c>
      <c r="AN16" s="625" t="n">
        <v>0</v>
      </c>
      <c r="AO16" s="625" t="n">
        <v>0</v>
      </c>
      <c r="AP16" s="639" t="n">
        <v>0</v>
      </c>
      <c r="AQ16" s="639" t="n">
        <v>0</v>
      </c>
      <c r="AR16" s="639" t="n">
        <v>0</v>
      </c>
      <c r="AS16" s="639" t="n">
        <v>0</v>
      </c>
      <c r="AT16" s="611" t="n">
        <v>0</v>
      </c>
      <c r="AU16" s="611" t="n">
        <v>0</v>
      </c>
      <c r="AV16" s="611" t="n">
        <v>0</v>
      </c>
      <c r="AW16" s="611" t="n">
        <v>0</v>
      </c>
      <c r="AX16" s="504" t="n">
        <v>0</v>
      </c>
      <c r="AY16" s="504" t="n">
        <v>0</v>
      </c>
      <c r="AZ16" s="504" t="n">
        <v>0</v>
      </c>
      <c r="BA16" s="504" t="n">
        <v>0</v>
      </c>
      <c r="BB16" s="504" t="n">
        <v>0</v>
      </c>
      <c r="BC16" s="504" t="n">
        <v>0</v>
      </c>
      <c r="BD16" s="504" t="n">
        <v>0</v>
      </c>
      <c r="BE16" s="504" t="n">
        <v>0</v>
      </c>
      <c r="BF16" s="504" t="n">
        <v>0</v>
      </c>
      <c r="BG16" s="504" t="n">
        <v>0</v>
      </c>
      <c r="BH16" s="504" t="n">
        <v>0</v>
      </c>
      <c r="BI16" s="504" t="n">
        <v>0</v>
      </c>
      <c r="BJ16" s="504" t="n">
        <v>0</v>
      </c>
      <c r="BK16" s="504" t="n">
        <v>0</v>
      </c>
      <c r="BL16" s="504" t="n">
        <v>0</v>
      </c>
      <c r="BM16" s="504" t="n">
        <v>0</v>
      </c>
      <c r="BN16" s="504" t="n">
        <v>0</v>
      </c>
      <c r="BO16" s="504" t="n">
        <v>0</v>
      </c>
      <c r="BP16" s="504" t="n">
        <v>0</v>
      </c>
      <c r="BQ16" s="504" t="n">
        <v>0</v>
      </c>
      <c r="BR16" s="504" t="n">
        <v>0</v>
      </c>
      <c r="BS16" s="504" t="n">
        <v>0</v>
      </c>
      <c r="BT16" s="504" t="n">
        <v>0</v>
      </c>
      <c r="BU16" s="504" t="n">
        <v>0</v>
      </c>
      <c r="BV16" s="504" t="n">
        <v>0</v>
      </c>
      <c r="BW16" s="504" t="n">
        <v>0</v>
      </c>
      <c r="BX16" s="504" t="n">
        <v>0</v>
      </c>
      <c r="BY16" s="504" t="n">
        <v>0</v>
      </c>
      <c r="BZ16" s="504" t="n">
        <v>0</v>
      </c>
      <c r="CA16" s="504" t="n">
        <v>0</v>
      </c>
      <c r="CB16" s="504" t="n">
        <v>0</v>
      </c>
      <c r="CC16" s="504" t="n">
        <v>0</v>
      </c>
      <c r="CD16" s="504" t="n">
        <v>0</v>
      </c>
      <c r="CE16" s="504" t="n">
        <v>0</v>
      </c>
    </row>
    <row r="17" hidden="1" ht="9" customFormat="1" customHeight="1" s="505">
      <c r="A17" s="504" t="n">
        <v>0</v>
      </c>
      <c r="B17" s="504" t="n">
        <v>0</v>
      </c>
      <c r="C17" s="504" t="n">
        <v>0</v>
      </c>
      <c r="D17" s="504" t="n">
        <v>0</v>
      </c>
      <c r="E17" s="504" t="n">
        <v>0</v>
      </c>
      <c r="F17" s="504" t="n">
        <v>0</v>
      </c>
      <c r="G17" s="504" t="n">
        <v>0</v>
      </c>
      <c r="H17" s="504" t="n">
        <v>0</v>
      </c>
      <c r="I17" s="504" t="n">
        <v>0</v>
      </c>
      <c r="J17" s="504" t="n">
        <v>0</v>
      </c>
      <c r="K17" s="504" t="n">
        <v>0</v>
      </c>
      <c r="L17" s="504" t="n">
        <v>0</v>
      </c>
      <c r="M17" s="504" t="n">
        <v>0</v>
      </c>
      <c r="N17" s="504" t="n">
        <v>0</v>
      </c>
      <c r="O17" s="504" t="n">
        <v>0</v>
      </c>
      <c r="P17" s="625" t="n">
        <v>0</v>
      </c>
      <c r="Q17" s="625" t="n">
        <v>0</v>
      </c>
      <c r="R17" s="625" t="n">
        <v>0</v>
      </c>
      <c r="S17" s="625" t="n">
        <v>0</v>
      </c>
      <c r="T17" s="625" t="n">
        <v>0</v>
      </c>
      <c r="U17" s="625" t="n">
        <v>0</v>
      </c>
      <c r="V17" s="625" t="n">
        <v>0</v>
      </c>
      <c r="W17" s="625" t="n">
        <v>0</v>
      </c>
      <c r="X17" s="625" t="n">
        <v>0</v>
      </c>
      <c r="Y17" s="639" t="n">
        <v>0</v>
      </c>
      <c r="Z17" s="639" t="n">
        <v>0</v>
      </c>
      <c r="AA17" s="639" t="n">
        <v>0</v>
      </c>
      <c r="AB17" s="639" t="n">
        <v>0</v>
      </c>
      <c r="AC17" s="611" t="n">
        <v>0</v>
      </c>
      <c r="AD17" s="611" t="n">
        <v>0</v>
      </c>
      <c r="AE17" s="611" t="n">
        <v>0</v>
      </c>
      <c r="AF17" s="611" t="n">
        <v>0</v>
      </c>
      <c r="AG17" s="625" t="n">
        <v>0</v>
      </c>
      <c r="AH17" s="625" t="n">
        <v>0</v>
      </c>
      <c r="AI17" s="625" t="n">
        <v>0</v>
      </c>
      <c r="AJ17" s="625" t="n">
        <v>0</v>
      </c>
      <c r="AK17" s="625" t="n">
        <v>0</v>
      </c>
      <c r="AL17" s="625" t="n">
        <v>0</v>
      </c>
      <c r="AM17" s="625" t="n">
        <v>0</v>
      </c>
      <c r="AN17" s="625" t="n">
        <v>0</v>
      </c>
      <c r="AO17" s="625" t="n">
        <v>0</v>
      </c>
      <c r="AP17" s="639" t="n">
        <v>0</v>
      </c>
      <c r="AQ17" s="639" t="n">
        <v>0</v>
      </c>
      <c r="AR17" s="639" t="n">
        <v>0</v>
      </c>
      <c r="AS17" s="639" t="n">
        <v>0</v>
      </c>
      <c r="AT17" s="611" t="n">
        <v>0</v>
      </c>
      <c r="AU17" s="611" t="n">
        <v>0</v>
      </c>
      <c r="AV17" s="611" t="n">
        <v>0</v>
      </c>
      <c r="AW17" s="611" t="n">
        <v>0</v>
      </c>
      <c r="AX17" s="504" t="n">
        <v>0</v>
      </c>
      <c r="AY17" s="504" t="n">
        <v>0</v>
      </c>
      <c r="AZ17" s="504" t="n">
        <v>0</v>
      </c>
      <c r="BA17" s="504" t="n">
        <v>0</v>
      </c>
      <c r="BB17" s="504" t="n">
        <v>0</v>
      </c>
      <c r="BC17" s="504" t="n">
        <v>0</v>
      </c>
      <c r="BD17" s="504" t="n">
        <v>0</v>
      </c>
      <c r="BE17" s="504" t="n">
        <v>0</v>
      </c>
      <c r="BF17" s="504" t="n">
        <v>0</v>
      </c>
      <c r="BG17" s="504" t="n">
        <v>0</v>
      </c>
      <c r="BH17" s="504" t="n">
        <v>0</v>
      </c>
      <c r="BI17" s="504" t="n">
        <v>0</v>
      </c>
      <c r="BJ17" s="504" t="n">
        <v>0</v>
      </c>
      <c r="BK17" s="504" t="n">
        <v>0</v>
      </c>
      <c r="BL17" s="504" t="n">
        <v>0</v>
      </c>
      <c r="BM17" s="504" t="n">
        <v>0</v>
      </c>
      <c r="BN17" s="504" t="n">
        <v>0</v>
      </c>
      <c r="BO17" s="504" t="n">
        <v>0</v>
      </c>
      <c r="BP17" s="504" t="n">
        <v>0</v>
      </c>
      <c r="BQ17" s="504" t="n">
        <v>0</v>
      </c>
      <c r="BR17" s="504" t="n">
        <v>0</v>
      </c>
      <c r="BS17" s="504" t="n">
        <v>0</v>
      </c>
      <c r="BT17" s="504" t="n">
        <v>0</v>
      </c>
      <c r="BU17" s="504" t="n">
        <v>0</v>
      </c>
      <c r="BV17" s="504" t="n">
        <v>0</v>
      </c>
      <c r="BW17" s="504" t="n">
        <v>0</v>
      </c>
      <c r="BX17" s="504" t="n">
        <v>0</v>
      </c>
      <c r="BY17" s="504" t="n">
        <v>0</v>
      </c>
      <c r="BZ17" s="504" t="n">
        <v>0</v>
      </c>
      <c r="CA17" s="504" t="n">
        <v>0</v>
      </c>
      <c r="CB17" s="504" t="n">
        <v>0</v>
      </c>
      <c r="CC17" s="504" t="n">
        <v>0</v>
      </c>
      <c r="CD17" s="504" t="n">
        <v>0</v>
      </c>
      <c r="CE17" s="504" t="n">
        <v>0</v>
      </c>
    </row>
    <row r="18" hidden="1" ht="9" customFormat="1" customHeight="1" s="505">
      <c r="A18" s="504" t="n">
        <v>0</v>
      </c>
      <c r="B18" s="504" t="n">
        <v>0</v>
      </c>
      <c r="C18" s="504" t="n">
        <v>0</v>
      </c>
      <c r="D18" s="504" t="n">
        <v>0</v>
      </c>
      <c r="E18" s="504" t="n">
        <v>0</v>
      </c>
      <c r="F18" s="504" t="n">
        <v>0</v>
      </c>
      <c r="G18" s="504" t="n">
        <v>0</v>
      </c>
      <c r="H18" s="504" t="n">
        <v>0</v>
      </c>
      <c r="I18" s="504" t="n">
        <v>0</v>
      </c>
      <c r="J18" s="504" t="n">
        <v>0</v>
      </c>
      <c r="K18" s="504" t="n">
        <v>0</v>
      </c>
      <c r="L18" s="504" t="n">
        <v>0</v>
      </c>
      <c r="M18" s="504" t="n">
        <v>0</v>
      </c>
      <c r="N18" s="504" t="n">
        <v>0</v>
      </c>
      <c r="O18" s="504" t="n">
        <v>0</v>
      </c>
      <c r="P18" s="625" t="n">
        <v>0</v>
      </c>
      <c r="Q18" s="625" t="n">
        <v>0</v>
      </c>
      <c r="R18" s="625" t="n">
        <v>0</v>
      </c>
      <c r="S18" s="625" t="n">
        <v>0</v>
      </c>
      <c r="T18" s="625" t="n">
        <v>0</v>
      </c>
      <c r="U18" s="625" t="n">
        <v>0</v>
      </c>
      <c r="V18" s="625" t="n">
        <v>0</v>
      </c>
      <c r="W18" s="625" t="n">
        <v>0</v>
      </c>
      <c r="X18" s="625" t="n">
        <v>0</v>
      </c>
      <c r="Y18" s="639" t="n">
        <v>0</v>
      </c>
      <c r="Z18" s="639" t="n">
        <v>0</v>
      </c>
      <c r="AA18" s="639" t="n">
        <v>0</v>
      </c>
      <c r="AB18" s="639" t="n">
        <v>0</v>
      </c>
      <c r="AC18" s="611" t="n">
        <v>0</v>
      </c>
      <c r="AD18" s="611" t="n">
        <v>0</v>
      </c>
      <c r="AE18" s="611" t="n">
        <v>0</v>
      </c>
      <c r="AF18" s="611" t="n">
        <v>0</v>
      </c>
      <c r="AG18" s="625" t="n">
        <v>0</v>
      </c>
      <c r="AH18" s="625" t="n">
        <v>0</v>
      </c>
      <c r="AI18" s="625" t="n">
        <v>0</v>
      </c>
      <c r="AJ18" s="625" t="n">
        <v>0</v>
      </c>
      <c r="AK18" s="625" t="n">
        <v>0</v>
      </c>
      <c r="AL18" s="625" t="n">
        <v>0</v>
      </c>
      <c r="AM18" s="625" t="n">
        <v>0</v>
      </c>
      <c r="AN18" s="625" t="n">
        <v>0</v>
      </c>
      <c r="AO18" s="625" t="n">
        <v>0</v>
      </c>
      <c r="AP18" s="639" t="n">
        <v>0</v>
      </c>
      <c r="AQ18" s="639" t="n">
        <v>0</v>
      </c>
      <c r="AR18" s="639" t="n">
        <v>0</v>
      </c>
      <c r="AS18" s="639" t="n">
        <v>0</v>
      </c>
      <c r="AT18" s="611" t="n">
        <v>0</v>
      </c>
      <c r="AU18" s="611" t="n">
        <v>0</v>
      </c>
      <c r="AV18" s="611" t="n">
        <v>0</v>
      </c>
      <c r="AW18" s="611" t="n">
        <v>0</v>
      </c>
      <c r="AX18" s="504" t="n">
        <v>0</v>
      </c>
      <c r="AY18" s="504" t="n">
        <v>0</v>
      </c>
      <c r="AZ18" s="504" t="n">
        <v>0</v>
      </c>
      <c r="BA18" s="504" t="n">
        <v>0</v>
      </c>
      <c r="BB18" s="504" t="n">
        <v>0</v>
      </c>
      <c r="BC18" s="504" t="n">
        <v>0</v>
      </c>
      <c r="BD18" s="504" t="n">
        <v>0</v>
      </c>
      <c r="BE18" s="504" t="n">
        <v>0</v>
      </c>
      <c r="BF18" s="504" t="n">
        <v>0</v>
      </c>
      <c r="BG18" s="504" t="n">
        <v>0</v>
      </c>
      <c r="BH18" s="504" t="n">
        <v>0</v>
      </c>
      <c r="BI18" s="504" t="n">
        <v>0</v>
      </c>
      <c r="BJ18" s="504" t="n">
        <v>0</v>
      </c>
      <c r="BK18" s="504" t="n">
        <v>0</v>
      </c>
      <c r="BL18" s="504" t="n">
        <v>0</v>
      </c>
      <c r="BM18" s="504" t="n">
        <v>0</v>
      </c>
      <c r="BN18" s="504" t="n">
        <v>0</v>
      </c>
      <c r="BO18" s="504" t="n">
        <v>0</v>
      </c>
      <c r="BP18" s="504" t="n">
        <v>0</v>
      </c>
      <c r="BQ18" s="504" t="n">
        <v>0</v>
      </c>
      <c r="BR18" s="504" t="n">
        <v>0</v>
      </c>
      <c r="BS18" s="504" t="n">
        <v>0</v>
      </c>
      <c r="BT18" s="504" t="n">
        <v>0</v>
      </c>
      <c r="BU18" s="504" t="n">
        <v>0</v>
      </c>
      <c r="BV18" s="504" t="n">
        <v>0</v>
      </c>
      <c r="BW18" s="504" t="n">
        <v>0</v>
      </c>
      <c r="BX18" s="504" t="n">
        <v>0</v>
      </c>
      <c r="BY18" s="504" t="n">
        <v>0</v>
      </c>
      <c r="BZ18" s="504" t="n">
        <v>0</v>
      </c>
      <c r="CA18" s="504" t="n">
        <v>0</v>
      </c>
      <c r="CB18" s="504" t="n">
        <v>0</v>
      </c>
      <c r="CC18" s="504" t="n">
        <v>0</v>
      </c>
      <c r="CD18" s="504" t="n">
        <v>0</v>
      </c>
      <c r="CE18" s="504" t="n">
        <v>0</v>
      </c>
    </row>
    <row r="19" hidden="1" ht="9" customFormat="1" customHeight="1" s="505">
      <c r="A19" s="504" t="n">
        <v>0</v>
      </c>
      <c r="B19" s="504" t="n">
        <v>0</v>
      </c>
      <c r="C19" s="504" t="n">
        <v>0</v>
      </c>
      <c r="D19" s="504" t="n">
        <v>0</v>
      </c>
      <c r="E19" s="504" t="n">
        <v>0</v>
      </c>
      <c r="F19" s="504" t="n">
        <v>0</v>
      </c>
      <c r="G19" s="504" t="n">
        <v>0</v>
      </c>
      <c r="H19" s="504" t="n">
        <v>0</v>
      </c>
      <c r="I19" s="504" t="n">
        <v>0</v>
      </c>
      <c r="J19" s="504" t="n">
        <v>0</v>
      </c>
      <c r="K19" s="504" t="n">
        <v>0</v>
      </c>
      <c r="L19" s="504" t="n">
        <v>0</v>
      </c>
      <c r="M19" s="504" t="n">
        <v>0</v>
      </c>
      <c r="N19" s="504" t="n">
        <v>0</v>
      </c>
      <c r="O19" s="504" t="n">
        <v>0</v>
      </c>
      <c r="P19" s="625" t="n">
        <v>0</v>
      </c>
      <c r="Q19" s="625" t="n">
        <v>0</v>
      </c>
      <c r="R19" s="625" t="n">
        <v>0</v>
      </c>
      <c r="S19" s="625" t="n">
        <v>0</v>
      </c>
      <c r="T19" s="625" t="n">
        <v>0</v>
      </c>
      <c r="U19" s="625" t="n">
        <v>0</v>
      </c>
      <c r="V19" s="625" t="n">
        <v>0</v>
      </c>
      <c r="W19" s="625" t="n">
        <v>0</v>
      </c>
      <c r="X19" s="625" t="n">
        <v>0</v>
      </c>
      <c r="Y19" s="639" t="n">
        <v>0</v>
      </c>
      <c r="Z19" s="639" t="n">
        <v>0</v>
      </c>
      <c r="AA19" s="639" t="n">
        <v>0</v>
      </c>
      <c r="AB19" s="639" t="n">
        <v>0</v>
      </c>
      <c r="AC19" s="611" t="n">
        <v>0</v>
      </c>
      <c r="AD19" s="611" t="n">
        <v>0</v>
      </c>
      <c r="AE19" s="611" t="n">
        <v>0</v>
      </c>
      <c r="AF19" s="611" t="n">
        <v>0</v>
      </c>
      <c r="AG19" s="625" t="n">
        <v>0</v>
      </c>
      <c r="AH19" s="625" t="n">
        <v>0</v>
      </c>
      <c r="AI19" s="625" t="n">
        <v>0</v>
      </c>
      <c r="AJ19" s="625" t="n">
        <v>0</v>
      </c>
      <c r="AK19" s="625" t="n">
        <v>0</v>
      </c>
      <c r="AL19" s="625" t="n">
        <v>0</v>
      </c>
      <c r="AM19" s="625" t="n">
        <v>0</v>
      </c>
      <c r="AN19" s="625" t="n">
        <v>0</v>
      </c>
      <c r="AO19" s="625" t="n">
        <v>0</v>
      </c>
      <c r="AP19" s="639" t="n">
        <v>0</v>
      </c>
      <c r="AQ19" s="639" t="n">
        <v>0</v>
      </c>
      <c r="AR19" s="639" t="n">
        <v>0</v>
      </c>
      <c r="AS19" s="639" t="n">
        <v>0</v>
      </c>
      <c r="AT19" s="611" t="n">
        <v>0</v>
      </c>
      <c r="AU19" s="611" t="n">
        <v>0</v>
      </c>
      <c r="AV19" s="611" t="n">
        <v>0</v>
      </c>
      <c r="AW19" s="611" t="n">
        <v>0</v>
      </c>
      <c r="AX19" s="504" t="n">
        <v>0</v>
      </c>
      <c r="AY19" s="504" t="n">
        <v>0</v>
      </c>
      <c r="AZ19" s="504" t="n">
        <v>0</v>
      </c>
      <c r="BA19" s="504" t="n">
        <v>0</v>
      </c>
      <c r="BB19" s="504" t="n">
        <v>0</v>
      </c>
      <c r="BC19" s="504" t="n">
        <v>0</v>
      </c>
      <c r="BD19" s="504" t="n">
        <v>0</v>
      </c>
      <c r="BE19" s="504" t="n">
        <v>0</v>
      </c>
      <c r="BF19" s="504" t="n">
        <v>0</v>
      </c>
      <c r="BG19" s="504" t="n">
        <v>0</v>
      </c>
      <c r="BH19" s="504" t="n">
        <v>0</v>
      </c>
      <c r="BI19" s="504" t="n">
        <v>0</v>
      </c>
      <c r="BJ19" s="504" t="n">
        <v>0</v>
      </c>
      <c r="BK19" s="504" t="n">
        <v>0</v>
      </c>
      <c r="BL19" s="504" t="n">
        <v>0</v>
      </c>
      <c r="BM19" s="504" t="n">
        <v>0</v>
      </c>
      <c r="BN19" s="504" t="n">
        <v>0</v>
      </c>
      <c r="BO19" s="504" t="n">
        <v>0</v>
      </c>
      <c r="BP19" s="504" t="n">
        <v>0</v>
      </c>
      <c r="BQ19" s="504" t="n">
        <v>0</v>
      </c>
      <c r="BR19" s="504" t="n">
        <v>0</v>
      </c>
      <c r="BS19" s="504" t="n">
        <v>0</v>
      </c>
      <c r="BT19" s="504" t="n">
        <v>0</v>
      </c>
      <c r="BU19" s="504" t="n">
        <v>0</v>
      </c>
      <c r="BV19" s="504" t="n">
        <v>0</v>
      </c>
      <c r="BW19" s="504" t="n">
        <v>0</v>
      </c>
      <c r="BX19" s="504" t="n">
        <v>0</v>
      </c>
      <c r="BY19" s="504" t="n">
        <v>0</v>
      </c>
      <c r="BZ19" s="504" t="n">
        <v>0</v>
      </c>
      <c r="CA19" s="504" t="n">
        <v>0</v>
      </c>
      <c r="CB19" s="504" t="n">
        <v>0</v>
      </c>
      <c r="CC19" s="504" t="n">
        <v>0</v>
      </c>
      <c r="CD19" s="504" t="n">
        <v>0</v>
      </c>
      <c r="CE19" s="504" t="n">
        <v>0</v>
      </c>
    </row>
    <row r="20" hidden="1" ht="9" customFormat="1" customHeight="1" s="505">
      <c r="A20" s="504" t="n">
        <v>0</v>
      </c>
      <c r="B20" s="504" t="n">
        <v>0</v>
      </c>
      <c r="C20" s="504" t="n">
        <v>0</v>
      </c>
      <c r="D20" s="504" t="n">
        <v>0</v>
      </c>
      <c r="E20" s="504" t="n">
        <v>0</v>
      </c>
      <c r="F20" s="504" t="n">
        <v>0</v>
      </c>
      <c r="G20" s="504" t="n">
        <v>0</v>
      </c>
      <c r="H20" s="504" t="n">
        <v>0</v>
      </c>
      <c r="I20" s="504" t="n">
        <v>0</v>
      </c>
      <c r="J20" s="504" t="n">
        <v>0</v>
      </c>
      <c r="K20" s="504" t="n">
        <v>0</v>
      </c>
      <c r="L20" s="504" t="n">
        <v>0</v>
      </c>
      <c r="M20" s="504" t="n">
        <v>0</v>
      </c>
      <c r="N20" s="504" t="n">
        <v>0</v>
      </c>
      <c r="O20" s="504" t="n">
        <v>0</v>
      </c>
      <c r="P20" s="625" t="n">
        <v>0</v>
      </c>
      <c r="Q20" s="625" t="n">
        <v>0</v>
      </c>
      <c r="R20" s="625" t="n">
        <v>0</v>
      </c>
      <c r="S20" s="625" t="n">
        <v>0</v>
      </c>
      <c r="T20" s="625" t="n">
        <v>0</v>
      </c>
      <c r="U20" s="625" t="n">
        <v>0</v>
      </c>
      <c r="V20" s="625" t="n">
        <v>0</v>
      </c>
      <c r="W20" s="625" t="n">
        <v>0</v>
      </c>
      <c r="X20" s="625" t="n">
        <v>0</v>
      </c>
      <c r="Y20" s="639" t="n">
        <v>0</v>
      </c>
      <c r="Z20" s="639" t="n">
        <v>0</v>
      </c>
      <c r="AA20" s="639" t="n">
        <v>0</v>
      </c>
      <c r="AB20" s="639" t="n">
        <v>0</v>
      </c>
      <c r="AC20" s="611" t="n">
        <v>0</v>
      </c>
      <c r="AD20" s="611" t="n">
        <v>0</v>
      </c>
      <c r="AE20" s="611" t="n">
        <v>0</v>
      </c>
      <c r="AF20" s="611" t="n">
        <v>0</v>
      </c>
      <c r="AG20" s="625" t="n">
        <v>0</v>
      </c>
      <c r="AH20" s="625" t="n">
        <v>0</v>
      </c>
      <c r="AI20" s="625" t="n">
        <v>0</v>
      </c>
      <c r="AJ20" s="625" t="n">
        <v>0</v>
      </c>
      <c r="AK20" s="625" t="n">
        <v>0</v>
      </c>
      <c r="AL20" s="625" t="n">
        <v>0</v>
      </c>
      <c r="AM20" s="625" t="n">
        <v>0</v>
      </c>
      <c r="AN20" s="625" t="n">
        <v>0</v>
      </c>
      <c r="AO20" s="625" t="n">
        <v>0</v>
      </c>
      <c r="AP20" s="639" t="n">
        <v>0</v>
      </c>
      <c r="AQ20" s="639" t="n">
        <v>0</v>
      </c>
      <c r="AR20" s="639" t="n">
        <v>0</v>
      </c>
      <c r="AS20" s="639" t="n">
        <v>0</v>
      </c>
      <c r="AT20" s="611" t="n">
        <v>0</v>
      </c>
      <c r="AU20" s="611" t="n">
        <v>0</v>
      </c>
      <c r="AV20" s="611" t="n">
        <v>0</v>
      </c>
      <c r="AW20" s="611" t="n">
        <v>0</v>
      </c>
      <c r="AX20" s="504" t="n">
        <v>0</v>
      </c>
      <c r="AY20" s="504" t="n">
        <v>0</v>
      </c>
      <c r="AZ20" s="504" t="n">
        <v>0</v>
      </c>
      <c r="BA20" s="504" t="n">
        <v>0</v>
      </c>
      <c r="BB20" s="504" t="n">
        <v>0</v>
      </c>
      <c r="BC20" s="504" t="n">
        <v>0</v>
      </c>
      <c r="BD20" s="504" t="n">
        <v>0</v>
      </c>
      <c r="BE20" s="504" t="n">
        <v>0</v>
      </c>
      <c r="BF20" s="504" t="n">
        <v>0</v>
      </c>
      <c r="BG20" s="504" t="n">
        <v>0</v>
      </c>
      <c r="BH20" s="504" t="n">
        <v>0</v>
      </c>
      <c r="BI20" s="504" t="n">
        <v>0</v>
      </c>
      <c r="BJ20" s="504" t="n">
        <v>0</v>
      </c>
      <c r="BK20" s="504" t="n">
        <v>0</v>
      </c>
      <c r="BL20" s="504" t="n">
        <v>0</v>
      </c>
      <c r="BM20" s="504" t="n">
        <v>0</v>
      </c>
      <c r="BN20" s="504" t="n">
        <v>0</v>
      </c>
      <c r="BO20" s="504" t="n">
        <v>0</v>
      </c>
      <c r="BP20" s="504" t="n">
        <v>0</v>
      </c>
      <c r="BQ20" s="504" t="n">
        <v>0</v>
      </c>
      <c r="BR20" s="504" t="n">
        <v>0</v>
      </c>
      <c r="BS20" s="504" t="n">
        <v>0</v>
      </c>
      <c r="BT20" s="504" t="n">
        <v>0</v>
      </c>
      <c r="BU20" s="504" t="n">
        <v>0</v>
      </c>
      <c r="BV20" s="504" t="n">
        <v>0</v>
      </c>
      <c r="BW20" s="504" t="n">
        <v>0</v>
      </c>
      <c r="BX20" s="504" t="n">
        <v>0</v>
      </c>
      <c r="BY20" s="504" t="n">
        <v>0</v>
      </c>
      <c r="BZ20" s="504" t="n">
        <v>0</v>
      </c>
      <c r="CA20" s="504" t="n">
        <v>0</v>
      </c>
      <c r="CB20" s="504" t="n">
        <v>0</v>
      </c>
      <c r="CC20" s="504" t="n">
        <v>0</v>
      </c>
      <c r="CD20" s="504" t="n">
        <v>0</v>
      </c>
      <c r="CE20" s="504" t="n">
        <v>0</v>
      </c>
    </row>
    <row r="21" hidden="1" ht="9" customFormat="1" customHeight="1" s="505">
      <c r="A21" s="504" t="n">
        <v>0</v>
      </c>
      <c r="B21" s="504" t="n">
        <v>0</v>
      </c>
      <c r="C21" s="504" t="n">
        <v>0</v>
      </c>
      <c r="D21" s="504" t="n">
        <v>0</v>
      </c>
      <c r="E21" s="504" t="n">
        <v>0</v>
      </c>
      <c r="F21" s="504" t="n">
        <v>0</v>
      </c>
      <c r="G21" s="504" t="n">
        <v>0</v>
      </c>
      <c r="H21" s="504" t="n">
        <v>0</v>
      </c>
      <c r="I21" s="504" t="n">
        <v>0</v>
      </c>
      <c r="J21" s="504" t="n">
        <v>0</v>
      </c>
      <c r="K21" s="504" t="n">
        <v>0</v>
      </c>
      <c r="L21" s="504" t="n">
        <v>0</v>
      </c>
      <c r="M21" s="504" t="n">
        <v>0</v>
      </c>
      <c r="N21" s="504" t="n">
        <v>0</v>
      </c>
      <c r="O21" s="504" t="n">
        <v>0</v>
      </c>
      <c r="P21" s="625" t="n">
        <v>0</v>
      </c>
      <c r="Q21" s="625" t="n">
        <v>0</v>
      </c>
      <c r="R21" s="625" t="n">
        <v>0</v>
      </c>
      <c r="S21" s="625" t="n">
        <v>0</v>
      </c>
      <c r="T21" s="625" t="n">
        <v>0</v>
      </c>
      <c r="U21" s="625" t="n">
        <v>0</v>
      </c>
      <c r="V21" s="625" t="n">
        <v>0</v>
      </c>
      <c r="W21" s="625" t="n">
        <v>0</v>
      </c>
      <c r="X21" s="625" t="n">
        <v>0</v>
      </c>
      <c r="Y21" s="639" t="n">
        <v>0</v>
      </c>
      <c r="Z21" s="639" t="n">
        <v>0</v>
      </c>
      <c r="AA21" s="639" t="n">
        <v>0</v>
      </c>
      <c r="AB21" s="639" t="n">
        <v>0</v>
      </c>
      <c r="AC21" s="611" t="n">
        <v>0</v>
      </c>
      <c r="AD21" s="611" t="n">
        <v>0</v>
      </c>
      <c r="AE21" s="611" t="n">
        <v>0</v>
      </c>
      <c r="AF21" s="611" t="n">
        <v>0</v>
      </c>
      <c r="AG21" s="625" t="n">
        <v>0</v>
      </c>
      <c r="AH21" s="625" t="n">
        <v>0</v>
      </c>
      <c r="AI21" s="625" t="n">
        <v>0</v>
      </c>
      <c r="AJ21" s="625" t="n">
        <v>0</v>
      </c>
      <c r="AK21" s="625" t="n">
        <v>0</v>
      </c>
      <c r="AL21" s="625" t="n">
        <v>0</v>
      </c>
      <c r="AM21" s="625" t="n">
        <v>0</v>
      </c>
      <c r="AN21" s="625" t="n">
        <v>0</v>
      </c>
      <c r="AO21" s="625" t="n">
        <v>0</v>
      </c>
      <c r="AP21" s="639" t="n">
        <v>0</v>
      </c>
      <c r="AQ21" s="639" t="n">
        <v>0</v>
      </c>
      <c r="AR21" s="639" t="n">
        <v>0</v>
      </c>
      <c r="AS21" s="639" t="n">
        <v>0</v>
      </c>
      <c r="AT21" s="611" t="n">
        <v>0</v>
      </c>
      <c r="AU21" s="611" t="n">
        <v>0</v>
      </c>
      <c r="AV21" s="611" t="n">
        <v>0</v>
      </c>
      <c r="AW21" s="611" t="n">
        <v>0</v>
      </c>
      <c r="AX21" s="504" t="n">
        <v>0</v>
      </c>
      <c r="AY21" s="504" t="n">
        <v>0</v>
      </c>
      <c r="AZ21" s="504" t="n">
        <v>0</v>
      </c>
      <c r="BA21" s="504" t="n">
        <v>0</v>
      </c>
      <c r="BB21" s="504" t="n">
        <v>0</v>
      </c>
      <c r="BC21" s="504" t="n">
        <v>0</v>
      </c>
      <c r="BD21" s="504" t="n">
        <v>0</v>
      </c>
      <c r="BE21" s="504" t="n">
        <v>0</v>
      </c>
      <c r="BF21" s="504" t="n">
        <v>0</v>
      </c>
      <c r="BG21" s="504" t="n">
        <v>0</v>
      </c>
      <c r="BH21" s="504" t="n">
        <v>0</v>
      </c>
      <c r="BI21" s="504" t="n">
        <v>0</v>
      </c>
      <c r="BJ21" s="504" t="n">
        <v>0</v>
      </c>
      <c r="BK21" s="504" t="n">
        <v>0</v>
      </c>
      <c r="BL21" s="504" t="n">
        <v>0</v>
      </c>
      <c r="BM21" s="504" t="n">
        <v>0</v>
      </c>
      <c r="BN21" s="504" t="n">
        <v>0</v>
      </c>
      <c r="BO21" s="504" t="n">
        <v>0</v>
      </c>
      <c r="BP21" s="504" t="n">
        <v>0</v>
      </c>
      <c r="BQ21" s="504" t="n">
        <v>0</v>
      </c>
      <c r="BR21" s="504" t="n">
        <v>0</v>
      </c>
      <c r="BS21" s="504" t="n">
        <v>0</v>
      </c>
      <c r="BT21" s="504" t="n">
        <v>0</v>
      </c>
      <c r="BU21" s="504" t="n">
        <v>0</v>
      </c>
      <c r="BV21" s="504" t="n">
        <v>0</v>
      </c>
      <c r="BW21" s="504" t="n">
        <v>0</v>
      </c>
      <c r="BX21" s="504" t="n">
        <v>0</v>
      </c>
      <c r="BY21" s="504" t="n">
        <v>0</v>
      </c>
      <c r="BZ21" s="504" t="n">
        <v>0</v>
      </c>
      <c r="CA21" s="504" t="n">
        <v>0</v>
      </c>
      <c r="CB21" s="504" t="n">
        <v>0</v>
      </c>
      <c r="CC21" s="504" t="n">
        <v>0</v>
      </c>
      <c r="CD21" s="504" t="n">
        <v>0</v>
      </c>
      <c r="CE21" s="504" t="n">
        <v>0</v>
      </c>
    </row>
    <row r="22" hidden="1" ht="9" customFormat="1" customHeight="1" s="505">
      <c r="A22" s="504" t="n">
        <v>0</v>
      </c>
      <c r="B22" s="504" t="n">
        <v>0</v>
      </c>
      <c r="C22" s="504" t="n">
        <v>0</v>
      </c>
      <c r="D22" s="504" t="n">
        <v>0</v>
      </c>
      <c r="E22" s="504" t="n">
        <v>0</v>
      </c>
      <c r="F22" s="504" t="n">
        <v>0</v>
      </c>
      <c r="G22" s="504" t="n">
        <v>0</v>
      </c>
      <c r="H22" s="504" t="n">
        <v>0</v>
      </c>
      <c r="I22" s="504" t="n">
        <v>0</v>
      </c>
      <c r="J22" s="504" t="n">
        <v>0</v>
      </c>
      <c r="K22" s="504" t="n">
        <v>0</v>
      </c>
      <c r="L22" s="504" t="n">
        <v>0</v>
      </c>
      <c r="M22" s="504" t="n">
        <v>0</v>
      </c>
      <c r="N22" s="504" t="n">
        <v>0</v>
      </c>
      <c r="O22" s="504" t="n">
        <v>0</v>
      </c>
      <c r="P22" s="625" t="n">
        <v>0</v>
      </c>
      <c r="Q22" s="625" t="n">
        <v>0</v>
      </c>
      <c r="R22" s="625" t="n">
        <v>0</v>
      </c>
      <c r="S22" s="625" t="n">
        <v>0</v>
      </c>
      <c r="T22" s="625" t="n">
        <v>0</v>
      </c>
      <c r="U22" s="625" t="n">
        <v>0</v>
      </c>
      <c r="V22" s="625" t="n">
        <v>0</v>
      </c>
      <c r="W22" s="625" t="n">
        <v>0</v>
      </c>
      <c r="X22" s="625" t="n">
        <v>0</v>
      </c>
      <c r="Y22" s="639" t="n">
        <v>0</v>
      </c>
      <c r="Z22" s="639" t="n">
        <v>0</v>
      </c>
      <c r="AA22" s="639" t="n">
        <v>0</v>
      </c>
      <c r="AB22" s="639" t="n">
        <v>0</v>
      </c>
      <c r="AC22" s="611" t="n">
        <v>0</v>
      </c>
      <c r="AD22" s="611" t="n">
        <v>0</v>
      </c>
      <c r="AE22" s="611" t="n">
        <v>0</v>
      </c>
      <c r="AF22" s="611" t="n">
        <v>0</v>
      </c>
      <c r="AG22" s="625" t="n">
        <v>0</v>
      </c>
      <c r="AH22" s="625" t="n">
        <v>0</v>
      </c>
      <c r="AI22" s="625" t="n">
        <v>0</v>
      </c>
      <c r="AJ22" s="625" t="n">
        <v>0</v>
      </c>
      <c r="AK22" s="625" t="n">
        <v>0</v>
      </c>
      <c r="AL22" s="625" t="n">
        <v>0</v>
      </c>
      <c r="AM22" s="625" t="n">
        <v>0</v>
      </c>
      <c r="AN22" s="625" t="n">
        <v>0</v>
      </c>
      <c r="AO22" s="625" t="n">
        <v>0</v>
      </c>
      <c r="AP22" s="639" t="n">
        <v>0</v>
      </c>
      <c r="AQ22" s="639" t="n">
        <v>0</v>
      </c>
      <c r="AR22" s="639" t="n">
        <v>0</v>
      </c>
      <c r="AS22" s="639" t="n">
        <v>0</v>
      </c>
      <c r="AT22" s="611" t="n">
        <v>0</v>
      </c>
      <c r="AU22" s="611" t="n">
        <v>0</v>
      </c>
      <c r="AV22" s="611" t="n">
        <v>0</v>
      </c>
      <c r="AW22" s="611" t="n">
        <v>0</v>
      </c>
      <c r="AX22" s="504" t="n">
        <v>0</v>
      </c>
      <c r="AY22" s="504" t="n">
        <v>0</v>
      </c>
      <c r="AZ22" s="504" t="n">
        <v>0</v>
      </c>
      <c r="BA22" s="504" t="n">
        <v>0</v>
      </c>
      <c r="BB22" s="504" t="n">
        <v>0</v>
      </c>
      <c r="BC22" s="504" t="n">
        <v>0</v>
      </c>
      <c r="BD22" s="504" t="n">
        <v>0</v>
      </c>
      <c r="BE22" s="504" t="n">
        <v>0</v>
      </c>
      <c r="BF22" s="504" t="n">
        <v>0</v>
      </c>
      <c r="BG22" s="504" t="n">
        <v>0</v>
      </c>
      <c r="BH22" s="504" t="n">
        <v>0</v>
      </c>
      <c r="BI22" s="504" t="n">
        <v>0</v>
      </c>
      <c r="BJ22" s="504" t="n">
        <v>0</v>
      </c>
      <c r="BK22" s="504" t="n">
        <v>0</v>
      </c>
      <c r="BL22" s="504" t="n">
        <v>0</v>
      </c>
      <c r="BM22" s="504" t="n">
        <v>0</v>
      </c>
      <c r="BN22" s="504" t="n">
        <v>0</v>
      </c>
      <c r="BO22" s="504" t="n">
        <v>0</v>
      </c>
      <c r="BP22" s="504" t="n">
        <v>0</v>
      </c>
      <c r="BQ22" s="504" t="n">
        <v>0</v>
      </c>
      <c r="BR22" s="504" t="n">
        <v>0</v>
      </c>
      <c r="BS22" s="504" t="n">
        <v>0</v>
      </c>
      <c r="BT22" s="504" t="n">
        <v>0</v>
      </c>
      <c r="BU22" s="504" t="n">
        <v>0</v>
      </c>
      <c r="BV22" s="504" t="n">
        <v>0</v>
      </c>
      <c r="BW22" s="504" t="n">
        <v>0</v>
      </c>
      <c r="BX22" s="504" t="n">
        <v>0</v>
      </c>
      <c r="BY22" s="504" t="n">
        <v>0</v>
      </c>
      <c r="BZ22" s="504" t="n">
        <v>0</v>
      </c>
      <c r="CA22" s="504" t="n">
        <v>0</v>
      </c>
      <c r="CB22" s="504" t="n">
        <v>0</v>
      </c>
      <c r="CC22" s="504" t="n">
        <v>0</v>
      </c>
      <c r="CD22" s="504" t="n">
        <v>0</v>
      </c>
      <c r="CE22" s="504" t="n">
        <v>0</v>
      </c>
    </row>
    <row r="23" hidden="1" ht="9" customFormat="1" customHeight="1" s="505">
      <c r="A23" s="504" t="n">
        <v>0</v>
      </c>
      <c r="B23" s="504" t="n">
        <v>0</v>
      </c>
      <c r="C23" s="504" t="n">
        <v>0</v>
      </c>
      <c r="D23" s="504" t="n">
        <v>0</v>
      </c>
      <c r="E23" s="504" t="n">
        <v>0</v>
      </c>
      <c r="F23" s="504" t="n">
        <v>0</v>
      </c>
      <c r="G23" s="504" t="n">
        <v>0</v>
      </c>
      <c r="H23" s="504" t="n">
        <v>0</v>
      </c>
      <c r="I23" s="504" t="n">
        <v>0</v>
      </c>
      <c r="J23" s="504" t="n">
        <v>0</v>
      </c>
      <c r="K23" s="504" t="n">
        <v>0</v>
      </c>
      <c r="L23" s="504" t="n">
        <v>0</v>
      </c>
      <c r="M23" s="504" t="n">
        <v>0</v>
      </c>
      <c r="N23" s="504" t="n">
        <v>0</v>
      </c>
      <c r="O23" s="504" t="n">
        <v>0</v>
      </c>
      <c r="P23" s="625" t="n">
        <v>0</v>
      </c>
      <c r="Q23" s="625" t="n">
        <v>0</v>
      </c>
      <c r="R23" s="625" t="n">
        <v>0</v>
      </c>
      <c r="S23" s="625" t="n">
        <v>0</v>
      </c>
      <c r="T23" s="625" t="n">
        <v>0</v>
      </c>
      <c r="U23" s="625" t="n">
        <v>0</v>
      </c>
      <c r="V23" s="625" t="n">
        <v>0</v>
      </c>
      <c r="W23" s="625" t="n">
        <v>0</v>
      </c>
      <c r="X23" s="625" t="n">
        <v>0</v>
      </c>
      <c r="Y23" s="639" t="n">
        <v>0</v>
      </c>
      <c r="Z23" s="639" t="n">
        <v>0</v>
      </c>
      <c r="AA23" s="639" t="n">
        <v>0</v>
      </c>
      <c r="AB23" s="639" t="n">
        <v>0</v>
      </c>
      <c r="AC23" s="611" t="n">
        <v>0</v>
      </c>
      <c r="AD23" s="611" t="n">
        <v>0</v>
      </c>
      <c r="AE23" s="611" t="n">
        <v>0</v>
      </c>
      <c r="AF23" s="611" t="n">
        <v>0</v>
      </c>
      <c r="AG23" s="625" t="n">
        <v>0</v>
      </c>
      <c r="AH23" s="625" t="n">
        <v>0</v>
      </c>
      <c r="AI23" s="625" t="n">
        <v>0</v>
      </c>
      <c r="AJ23" s="625" t="n">
        <v>0</v>
      </c>
      <c r="AK23" s="625" t="n">
        <v>0</v>
      </c>
      <c r="AL23" s="625" t="n">
        <v>0</v>
      </c>
      <c r="AM23" s="625" t="n">
        <v>0</v>
      </c>
      <c r="AN23" s="625" t="n">
        <v>0</v>
      </c>
      <c r="AO23" s="625" t="n">
        <v>0</v>
      </c>
      <c r="AP23" s="639" t="n">
        <v>0</v>
      </c>
      <c r="AQ23" s="639" t="n">
        <v>0</v>
      </c>
      <c r="AR23" s="639" t="n">
        <v>0</v>
      </c>
      <c r="AS23" s="639" t="n">
        <v>0</v>
      </c>
      <c r="AT23" s="611" t="n">
        <v>0</v>
      </c>
      <c r="AU23" s="611" t="n">
        <v>0</v>
      </c>
      <c r="AV23" s="611" t="n">
        <v>0</v>
      </c>
      <c r="AW23" s="611" t="n">
        <v>0</v>
      </c>
      <c r="AX23" s="504" t="n">
        <v>0</v>
      </c>
      <c r="AY23" s="504" t="n">
        <v>0</v>
      </c>
      <c r="AZ23" s="504" t="n">
        <v>0</v>
      </c>
      <c r="BA23" s="504" t="n">
        <v>0</v>
      </c>
      <c r="BB23" s="504" t="n">
        <v>0</v>
      </c>
      <c r="BC23" s="504" t="n">
        <v>0</v>
      </c>
      <c r="BD23" s="504" t="n">
        <v>0</v>
      </c>
      <c r="BE23" s="504" t="n">
        <v>0</v>
      </c>
      <c r="BF23" s="504" t="n">
        <v>0</v>
      </c>
      <c r="BG23" s="504" t="n">
        <v>0</v>
      </c>
      <c r="BH23" s="504" t="n">
        <v>0</v>
      </c>
      <c r="BI23" s="504" t="n">
        <v>0</v>
      </c>
      <c r="BJ23" s="504" t="n">
        <v>0</v>
      </c>
      <c r="BK23" s="504" t="n">
        <v>0</v>
      </c>
      <c r="BL23" s="504" t="n">
        <v>0</v>
      </c>
      <c r="BM23" s="504" t="n">
        <v>0</v>
      </c>
      <c r="BN23" s="504" t="n">
        <v>0</v>
      </c>
      <c r="BO23" s="504" t="n">
        <v>0</v>
      </c>
      <c r="BP23" s="504" t="n">
        <v>0</v>
      </c>
      <c r="BQ23" s="504" t="n">
        <v>0</v>
      </c>
      <c r="BR23" s="504" t="n">
        <v>0</v>
      </c>
      <c r="BS23" s="504" t="n">
        <v>0</v>
      </c>
      <c r="BT23" s="504" t="n">
        <v>0</v>
      </c>
      <c r="BU23" s="504" t="n">
        <v>0</v>
      </c>
      <c r="BV23" s="504" t="n">
        <v>0</v>
      </c>
      <c r="BW23" s="504" t="n">
        <v>0</v>
      </c>
      <c r="BX23" s="504" t="n">
        <v>0</v>
      </c>
      <c r="BY23" s="504" t="n">
        <v>0</v>
      </c>
      <c r="BZ23" s="504" t="n">
        <v>0</v>
      </c>
      <c r="CA23" s="504" t="n">
        <v>0</v>
      </c>
      <c r="CB23" s="504" t="n">
        <v>0</v>
      </c>
      <c r="CC23" s="504" t="n">
        <v>0</v>
      </c>
      <c r="CD23" s="504" t="n">
        <v>0</v>
      </c>
      <c r="CE23" s="504" t="n">
        <v>0</v>
      </c>
    </row>
    <row r="24" hidden="1" ht="9" customFormat="1" customHeight="1" s="505">
      <c r="A24" s="504" t="n">
        <v>0</v>
      </c>
      <c r="B24" s="504" t="n">
        <v>0</v>
      </c>
      <c r="C24" s="504" t="n">
        <v>0</v>
      </c>
      <c r="D24" s="504" t="n">
        <v>0</v>
      </c>
      <c r="E24" s="504" t="n">
        <v>0</v>
      </c>
      <c r="F24" s="504" t="n">
        <v>0</v>
      </c>
      <c r="G24" s="504" t="n">
        <v>0</v>
      </c>
      <c r="H24" s="504" t="n">
        <v>0</v>
      </c>
      <c r="I24" s="504" t="n">
        <v>0</v>
      </c>
      <c r="J24" s="504" t="n">
        <v>0</v>
      </c>
      <c r="K24" s="504" t="n">
        <v>0</v>
      </c>
      <c r="L24" s="504" t="n">
        <v>0</v>
      </c>
      <c r="M24" s="504" t="n">
        <v>0</v>
      </c>
      <c r="N24" s="504" t="n">
        <v>0</v>
      </c>
      <c r="O24" s="504" t="n">
        <v>0</v>
      </c>
      <c r="P24" s="625" t="n">
        <v>0</v>
      </c>
      <c r="Q24" s="625" t="n">
        <v>0</v>
      </c>
      <c r="R24" s="625" t="n">
        <v>0</v>
      </c>
      <c r="S24" s="625" t="n">
        <v>0</v>
      </c>
      <c r="T24" s="625" t="n">
        <v>0</v>
      </c>
      <c r="U24" s="625" t="n">
        <v>0</v>
      </c>
      <c r="V24" s="625" t="n">
        <v>0</v>
      </c>
      <c r="W24" s="625" t="n">
        <v>0</v>
      </c>
      <c r="X24" s="625" t="n">
        <v>0</v>
      </c>
      <c r="Y24" s="639" t="n">
        <v>0</v>
      </c>
      <c r="Z24" s="639" t="n">
        <v>0</v>
      </c>
      <c r="AA24" s="639" t="n">
        <v>0</v>
      </c>
      <c r="AB24" s="639" t="n">
        <v>0</v>
      </c>
      <c r="AC24" s="611" t="n">
        <v>0</v>
      </c>
      <c r="AD24" s="611" t="n">
        <v>0</v>
      </c>
      <c r="AE24" s="611" t="n">
        <v>0</v>
      </c>
      <c r="AF24" s="611" t="n">
        <v>0</v>
      </c>
      <c r="AG24" s="625" t="n">
        <v>0</v>
      </c>
      <c r="AH24" s="625" t="n">
        <v>0</v>
      </c>
      <c r="AI24" s="625" t="n">
        <v>0</v>
      </c>
      <c r="AJ24" s="625" t="n">
        <v>0</v>
      </c>
      <c r="AK24" s="625" t="n">
        <v>0</v>
      </c>
      <c r="AL24" s="625" t="n">
        <v>0</v>
      </c>
      <c r="AM24" s="625" t="n">
        <v>0</v>
      </c>
      <c r="AN24" s="625" t="n">
        <v>0</v>
      </c>
      <c r="AO24" s="625" t="n">
        <v>0</v>
      </c>
      <c r="AP24" s="639" t="n">
        <v>0</v>
      </c>
      <c r="AQ24" s="639" t="n">
        <v>0</v>
      </c>
      <c r="AR24" s="639" t="n">
        <v>0</v>
      </c>
      <c r="AS24" s="639" t="n">
        <v>0</v>
      </c>
      <c r="AT24" s="611" t="n">
        <v>0</v>
      </c>
      <c r="AU24" s="611" t="n">
        <v>0</v>
      </c>
      <c r="AV24" s="611" t="n">
        <v>0</v>
      </c>
      <c r="AW24" s="611" t="n">
        <v>0</v>
      </c>
      <c r="AX24" s="504" t="n">
        <v>0</v>
      </c>
      <c r="AY24" s="504" t="n">
        <v>0</v>
      </c>
      <c r="AZ24" s="504" t="n">
        <v>0</v>
      </c>
      <c r="BA24" s="504" t="n">
        <v>0</v>
      </c>
      <c r="BB24" s="504" t="n">
        <v>0</v>
      </c>
      <c r="BC24" s="504" t="n">
        <v>0</v>
      </c>
      <c r="BD24" s="504" t="n">
        <v>0</v>
      </c>
      <c r="BE24" s="504" t="n">
        <v>0</v>
      </c>
      <c r="BF24" s="504" t="n">
        <v>0</v>
      </c>
      <c r="BG24" s="504" t="n">
        <v>0</v>
      </c>
      <c r="BH24" s="504" t="n">
        <v>0</v>
      </c>
      <c r="BI24" s="504" t="n">
        <v>0</v>
      </c>
      <c r="BJ24" s="504" t="n">
        <v>0</v>
      </c>
      <c r="BK24" s="504" t="n">
        <v>0</v>
      </c>
      <c r="BL24" s="504" t="n">
        <v>0</v>
      </c>
      <c r="BM24" s="504" t="n">
        <v>0</v>
      </c>
      <c r="BN24" s="504" t="n">
        <v>0</v>
      </c>
      <c r="BO24" s="504" t="n">
        <v>0</v>
      </c>
      <c r="BP24" s="504" t="n">
        <v>0</v>
      </c>
      <c r="BQ24" s="504" t="n">
        <v>0</v>
      </c>
      <c r="BR24" s="504" t="n">
        <v>0</v>
      </c>
      <c r="BS24" s="504" t="n">
        <v>0</v>
      </c>
      <c r="BT24" s="504" t="n">
        <v>0</v>
      </c>
      <c r="BU24" s="504" t="n">
        <v>0</v>
      </c>
      <c r="BV24" s="504" t="n">
        <v>0</v>
      </c>
      <c r="BW24" s="504" t="n">
        <v>0</v>
      </c>
      <c r="BX24" s="504" t="n">
        <v>0</v>
      </c>
      <c r="BY24" s="504" t="n">
        <v>0</v>
      </c>
      <c r="BZ24" s="504" t="n">
        <v>0</v>
      </c>
      <c r="CA24" s="504" t="n">
        <v>0</v>
      </c>
      <c r="CB24" s="504" t="n">
        <v>0</v>
      </c>
      <c r="CC24" s="504" t="n">
        <v>0</v>
      </c>
      <c r="CD24" s="504" t="n">
        <v>0</v>
      </c>
      <c r="CE24" s="504" t="n">
        <v>0</v>
      </c>
    </row>
    <row r="25" hidden="1" ht="9" customFormat="1" customHeight="1" s="505">
      <c r="A25" s="504" t="n">
        <v>0</v>
      </c>
      <c r="B25" s="504" t="n">
        <v>0</v>
      </c>
      <c r="C25" s="504" t="n">
        <v>0</v>
      </c>
      <c r="D25" s="504" t="n">
        <v>0</v>
      </c>
      <c r="E25" s="504" t="n">
        <v>0</v>
      </c>
      <c r="F25" s="504" t="n">
        <v>0</v>
      </c>
      <c r="G25" s="504" t="n">
        <v>0</v>
      </c>
      <c r="H25" s="504" t="n">
        <v>0</v>
      </c>
      <c r="I25" s="504" t="n">
        <v>0</v>
      </c>
      <c r="J25" s="504" t="n">
        <v>0</v>
      </c>
      <c r="K25" s="504" t="n">
        <v>0</v>
      </c>
      <c r="L25" s="504" t="n">
        <v>0</v>
      </c>
      <c r="M25" s="504" t="n">
        <v>0</v>
      </c>
      <c r="N25" s="504" t="n">
        <v>0</v>
      </c>
      <c r="O25" s="504" t="n">
        <v>0</v>
      </c>
      <c r="P25" s="625" t="n">
        <v>0</v>
      </c>
      <c r="Q25" s="625" t="n">
        <v>0</v>
      </c>
      <c r="R25" s="625" t="n">
        <v>0</v>
      </c>
      <c r="S25" s="625" t="n">
        <v>0</v>
      </c>
      <c r="T25" s="625" t="n">
        <v>0</v>
      </c>
      <c r="U25" s="625" t="n">
        <v>0</v>
      </c>
      <c r="V25" s="625" t="n">
        <v>0</v>
      </c>
      <c r="W25" s="625" t="n">
        <v>0</v>
      </c>
      <c r="X25" s="625" t="n">
        <v>0</v>
      </c>
      <c r="Y25" s="639" t="n">
        <v>0</v>
      </c>
      <c r="Z25" s="639" t="n">
        <v>0</v>
      </c>
      <c r="AA25" s="639" t="n">
        <v>0</v>
      </c>
      <c r="AB25" s="639" t="n">
        <v>0</v>
      </c>
      <c r="AC25" s="611" t="n">
        <v>0</v>
      </c>
      <c r="AD25" s="611" t="n">
        <v>0</v>
      </c>
      <c r="AE25" s="611" t="n">
        <v>0</v>
      </c>
      <c r="AF25" s="611" t="n">
        <v>0</v>
      </c>
      <c r="AG25" s="625" t="n">
        <v>0</v>
      </c>
      <c r="AH25" s="625" t="n">
        <v>0</v>
      </c>
      <c r="AI25" s="625" t="n">
        <v>0</v>
      </c>
      <c r="AJ25" s="625" t="n">
        <v>0</v>
      </c>
      <c r="AK25" s="625" t="n">
        <v>0</v>
      </c>
      <c r="AL25" s="625" t="n">
        <v>0</v>
      </c>
      <c r="AM25" s="625" t="n">
        <v>0</v>
      </c>
      <c r="AN25" s="625" t="n">
        <v>0</v>
      </c>
      <c r="AO25" s="625" t="n">
        <v>0</v>
      </c>
      <c r="AP25" s="639" t="n">
        <v>0</v>
      </c>
      <c r="AQ25" s="639" t="n">
        <v>0</v>
      </c>
      <c r="AR25" s="639" t="n">
        <v>0</v>
      </c>
      <c r="AS25" s="639" t="n">
        <v>0</v>
      </c>
      <c r="AT25" s="611" t="n">
        <v>0</v>
      </c>
      <c r="AU25" s="611" t="n">
        <v>0</v>
      </c>
      <c r="AV25" s="611" t="n">
        <v>0</v>
      </c>
      <c r="AW25" s="611" t="n">
        <v>0</v>
      </c>
      <c r="AX25" s="504" t="n">
        <v>0</v>
      </c>
      <c r="AY25" s="504" t="n">
        <v>0</v>
      </c>
      <c r="AZ25" s="504" t="n">
        <v>0</v>
      </c>
      <c r="BA25" s="504" t="n">
        <v>0</v>
      </c>
      <c r="BB25" s="504" t="n">
        <v>0</v>
      </c>
      <c r="BC25" s="504" t="n">
        <v>0</v>
      </c>
      <c r="BD25" s="504" t="n">
        <v>0</v>
      </c>
      <c r="BE25" s="504" t="n">
        <v>0</v>
      </c>
      <c r="BF25" s="504" t="n">
        <v>0</v>
      </c>
      <c r="BG25" s="504" t="n">
        <v>0</v>
      </c>
      <c r="BH25" s="504" t="n">
        <v>0</v>
      </c>
      <c r="BI25" s="504" t="n">
        <v>0</v>
      </c>
      <c r="BJ25" s="504" t="n">
        <v>0</v>
      </c>
      <c r="BK25" s="504" t="n">
        <v>0</v>
      </c>
      <c r="BL25" s="504" t="n">
        <v>0</v>
      </c>
      <c r="BM25" s="504" t="n">
        <v>0</v>
      </c>
      <c r="BN25" s="504" t="n">
        <v>0</v>
      </c>
      <c r="BO25" s="504" t="n">
        <v>0</v>
      </c>
      <c r="BP25" s="504" t="n">
        <v>0</v>
      </c>
      <c r="BQ25" s="504" t="n">
        <v>0</v>
      </c>
      <c r="BR25" s="504" t="n">
        <v>0</v>
      </c>
      <c r="BS25" s="504" t="n">
        <v>0</v>
      </c>
      <c r="BT25" s="504" t="n">
        <v>0</v>
      </c>
      <c r="BU25" s="504" t="n">
        <v>0</v>
      </c>
      <c r="BV25" s="504" t="n">
        <v>0</v>
      </c>
      <c r="BW25" s="504" t="n">
        <v>0</v>
      </c>
      <c r="BX25" s="504" t="n">
        <v>0</v>
      </c>
      <c r="BY25" s="504" t="n">
        <v>0</v>
      </c>
      <c r="BZ25" s="504" t="n">
        <v>0</v>
      </c>
      <c r="CA25" s="504" t="n">
        <v>0</v>
      </c>
      <c r="CB25" s="504" t="n">
        <v>0</v>
      </c>
      <c r="CC25" s="504" t="n">
        <v>0</v>
      </c>
      <c r="CD25" s="504" t="n">
        <v>0</v>
      </c>
      <c r="CE25" s="504" t="n">
        <v>0</v>
      </c>
    </row>
    <row r="26" hidden="1" ht="9" customFormat="1" customHeight="1" s="505">
      <c r="A26" s="504" t="n">
        <v>0</v>
      </c>
      <c r="B26" s="504" t="n">
        <v>0</v>
      </c>
      <c r="C26" s="504" t="n">
        <v>0</v>
      </c>
      <c r="D26" s="504" t="n">
        <v>0</v>
      </c>
      <c r="E26" s="504" t="n">
        <v>0</v>
      </c>
      <c r="F26" s="504" t="n">
        <v>0</v>
      </c>
      <c r="G26" s="504" t="n">
        <v>0</v>
      </c>
      <c r="H26" s="504" t="n">
        <v>0</v>
      </c>
      <c r="I26" s="504" t="n">
        <v>0</v>
      </c>
      <c r="J26" s="504" t="n">
        <v>0</v>
      </c>
      <c r="K26" s="504" t="n">
        <v>0</v>
      </c>
      <c r="L26" s="504" t="n">
        <v>0</v>
      </c>
      <c r="M26" s="504" t="n">
        <v>0</v>
      </c>
      <c r="N26" s="504" t="n">
        <v>0</v>
      </c>
      <c r="O26" s="504" t="n">
        <v>0</v>
      </c>
      <c r="P26" s="625" t="n">
        <v>0</v>
      </c>
      <c r="Q26" s="625" t="n">
        <v>0</v>
      </c>
      <c r="R26" s="625" t="n">
        <v>0</v>
      </c>
      <c r="S26" s="625" t="n">
        <v>0</v>
      </c>
      <c r="T26" s="625" t="n">
        <v>0</v>
      </c>
      <c r="U26" s="625" t="n">
        <v>0</v>
      </c>
      <c r="V26" s="625" t="n">
        <v>0</v>
      </c>
      <c r="W26" s="625" t="n">
        <v>0</v>
      </c>
      <c r="X26" s="625" t="n">
        <v>0</v>
      </c>
      <c r="Y26" s="639" t="n">
        <v>0</v>
      </c>
      <c r="Z26" s="639" t="n">
        <v>0</v>
      </c>
      <c r="AA26" s="639" t="n">
        <v>0</v>
      </c>
      <c r="AB26" s="639" t="n">
        <v>0</v>
      </c>
      <c r="AC26" s="611" t="n">
        <v>0</v>
      </c>
      <c r="AD26" s="611" t="n">
        <v>0</v>
      </c>
      <c r="AE26" s="611" t="n">
        <v>0</v>
      </c>
      <c r="AF26" s="611" t="n">
        <v>0</v>
      </c>
      <c r="AG26" s="625" t="n">
        <v>0</v>
      </c>
      <c r="AH26" s="625" t="n">
        <v>0</v>
      </c>
      <c r="AI26" s="625" t="n">
        <v>0</v>
      </c>
      <c r="AJ26" s="625" t="n">
        <v>0</v>
      </c>
      <c r="AK26" s="625" t="n">
        <v>0</v>
      </c>
      <c r="AL26" s="625" t="n">
        <v>0</v>
      </c>
      <c r="AM26" s="625" t="n">
        <v>0</v>
      </c>
      <c r="AN26" s="625" t="n">
        <v>0</v>
      </c>
      <c r="AO26" s="625" t="n">
        <v>0</v>
      </c>
      <c r="AP26" s="639" t="n">
        <v>0</v>
      </c>
      <c r="AQ26" s="639" t="n">
        <v>0</v>
      </c>
      <c r="AR26" s="639" t="n">
        <v>0</v>
      </c>
      <c r="AS26" s="639" t="n">
        <v>0</v>
      </c>
      <c r="AT26" s="611" t="n">
        <v>0</v>
      </c>
      <c r="AU26" s="611" t="n">
        <v>0</v>
      </c>
      <c r="AV26" s="611" t="n">
        <v>0</v>
      </c>
      <c r="AW26" s="611" t="n">
        <v>0</v>
      </c>
      <c r="AX26" s="504" t="n">
        <v>0</v>
      </c>
      <c r="AY26" s="504" t="n">
        <v>0</v>
      </c>
      <c r="AZ26" s="504" t="n">
        <v>0</v>
      </c>
      <c r="BA26" s="504" t="n">
        <v>0</v>
      </c>
      <c r="BB26" s="504" t="n">
        <v>0</v>
      </c>
      <c r="BC26" s="504" t="n">
        <v>0</v>
      </c>
      <c r="BD26" s="504" t="n">
        <v>0</v>
      </c>
      <c r="BE26" s="504" t="n">
        <v>0</v>
      </c>
      <c r="BF26" s="504" t="n">
        <v>0</v>
      </c>
      <c r="BG26" s="504" t="n">
        <v>0</v>
      </c>
      <c r="BH26" s="504" t="n">
        <v>0</v>
      </c>
      <c r="BI26" s="504" t="n">
        <v>0</v>
      </c>
      <c r="BJ26" s="504" t="n">
        <v>0</v>
      </c>
      <c r="BK26" s="504" t="n">
        <v>0</v>
      </c>
      <c r="BL26" s="504" t="n">
        <v>0</v>
      </c>
      <c r="BM26" s="504" t="n">
        <v>0</v>
      </c>
      <c r="BN26" s="504" t="n">
        <v>0</v>
      </c>
      <c r="BO26" s="504" t="n">
        <v>0</v>
      </c>
      <c r="BP26" s="504" t="n">
        <v>0</v>
      </c>
      <c r="BQ26" s="504" t="n">
        <v>0</v>
      </c>
      <c r="BR26" s="504" t="n">
        <v>0</v>
      </c>
      <c r="BS26" s="504" t="n">
        <v>0</v>
      </c>
      <c r="BT26" s="504" t="n">
        <v>0</v>
      </c>
      <c r="BU26" s="504" t="n">
        <v>0</v>
      </c>
      <c r="BV26" s="504" t="n">
        <v>0</v>
      </c>
      <c r="BW26" s="504" t="n">
        <v>0</v>
      </c>
      <c r="BX26" s="504" t="n">
        <v>0</v>
      </c>
      <c r="BY26" s="504" t="n">
        <v>0</v>
      </c>
      <c r="BZ26" s="504" t="n">
        <v>0</v>
      </c>
      <c r="CA26" s="504" t="n">
        <v>0</v>
      </c>
      <c r="CB26" s="504" t="n">
        <v>0</v>
      </c>
      <c r="CC26" s="504" t="n">
        <v>0</v>
      </c>
      <c r="CD26" s="504" t="n">
        <v>0</v>
      </c>
      <c r="CE26" s="504" t="n">
        <v>0</v>
      </c>
    </row>
    <row r="27" hidden="1" ht="9" customFormat="1" customHeight="1" s="505">
      <c r="A27" s="504" t="n">
        <v>0</v>
      </c>
      <c r="B27" s="504" t="n">
        <v>0</v>
      </c>
      <c r="C27" s="504" t="n">
        <v>0</v>
      </c>
      <c r="D27" s="504" t="n">
        <v>0</v>
      </c>
      <c r="E27" s="504" t="n">
        <v>0</v>
      </c>
      <c r="F27" s="504" t="n">
        <v>0</v>
      </c>
      <c r="G27" s="504" t="n">
        <v>0</v>
      </c>
      <c r="H27" s="504" t="n">
        <v>0</v>
      </c>
      <c r="I27" s="504" t="n">
        <v>0</v>
      </c>
      <c r="J27" s="504" t="n">
        <v>0</v>
      </c>
      <c r="K27" s="504" t="n">
        <v>0</v>
      </c>
      <c r="L27" s="504" t="n">
        <v>0</v>
      </c>
      <c r="M27" s="504" t="n">
        <v>0</v>
      </c>
      <c r="N27" s="504" t="n">
        <v>0</v>
      </c>
      <c r="O27" s="504" t="n">
        <v>0</v>
      </c>
      <c r="P27" s="625" t="n">
        <v>0</v>
      </c>
      <c r="Q27" s="625" t="n">
        <v>0</v>
      </c>
      <c r="R27" s="625" t="n">
        <v>0</v>
      </c>
      <c r="S27" s="625" t="n">
        <v>0</v>
      </c>
      <c r="T27" s="625" t="n">
        <v>0</v>
      </c>
      <c r="U27" s="625" t="n">
        <v>0</v>
      </c>
      <c r="V27" s="625" t="n">
        <v>0</v>
      </c>
      <c r="W27" s="625" t="n">
        <v>0</v>
      </c>
      <c r="X27" s="625" t="n">
        <v>0</v>
      </c>
      <c r="Y27" s="639" t="n">
        <v>0</v>
      </c>
      <c r="Z27" s="639" t="n">
        <v>0</v>
      </c>
      <c r="AA27" s="639" t="n">
        <v>0</v>
      </c>
      <c r="AB27" s="639" t="n">
        <v>0</v>
      </c>
      <c r="AC27" s="611" t="n">
        <v>0</v>
      </c>
      <c r="AD27" s="611" t="n">
        <v>0</v>
      </c>
      <c r="AE27" s="611" t="n">
        <v>0</v>
      </c>
      <c r="AF27" s="611" t="n">
        <v>0</v>
      </c>
      <c r="AG27" s="625" t="n">
        <v>0</v>
      </c>
      <c r="AH27" s="625" t="n">
        <v>0</v>
      </c>
      <c r="AI27" s="625" t="n">
        <v>0</v>
      </c>
      <c r="AJ27" s="625" t="n">
        <v>0</v>
      </c>
      <c r="AK27" s="625" t="n">
        <v>0</v>
      </c>
      <c r="AL27" s="625" t="n">
        <v>0</v>
      </c>
      <c r="AM27" s="625" t="n">
        <v>0</v>
      </c>
      <c r="AN27" s="625" t="n">
        <v>0</v>
      </c>
      <c r="AO27" s="625" t="n">
        <v>0</v>
      </c>
      <c r="AP27" s="639" t="n">
        <v>0</v>
      </c>
      <c r="AQ27" s="639" t="n">
        <v>0</v>
      </c>
      <c r="AR27" s="639" t="n">
        <v>0</v>
      </c>
      <c r="AS27" s="639" t="n">
        <v>0</v>
      </c>
      <c r="AT27" s="611" t="n">
        <v>0</v>
      </c>
      <c r="AU27" s="611" t="n">
        <v>0</v>
      </c>
      <c r="AV27" s="611" t="n">
        <v>0</v>
      </c>
      <c r="AW27" s="611" t="n">
        <v>0</v>
      </c>
      <c r="AX27" s="504" t="n">
        <v>0</v>
      </c>
      <c r="AY27" s="504" t="n">
        <v>0</v>
      </c>
      <c r="AZ27" s="504" t="n">
        <v>0</v>
      </c>
      <c r="BA27" s="504" t="n">
        <v>0</v>
      </c>
      <c r="BB27" s="504" t="n">
        <v>0</v>
      </c>
      <c r="BC27" s="504" t="n">
        <v>0</v>
      </c>
      <c r="BD27" s="504" t="n">
        <v>0</v>
      </c>
      <c r="BE27" s="504" t="n">
        <v>0</v>
      </c>
      <c r="BF27" s="504" t="n">
        <v>0</v>
      </c>
      <c r="BG27" s="504" t="n">
        <v>0</v>
      </c>
      <c r="BH27" s="504" t="n">
        <v>0</v>
      </c>
      <c r="BI27" s="504" t="n">
        <v>0</v>
      </c>
      <c r="BJ27" s="504" t="n">
        <v>0</v>
      </c>
      <c r="BK27" s="504" t="n">
        <v>0</v>
      </c>
      <c r="BL27" s="504" t="n">
        <v>0</v>
      </c>
      <c r="BM27" s="504" t="n">
        <v>0</v>
      </c>
      <c r="BN27" s="504" t="n">
        <v>0</v>
      </c>
      <c r="BO27" s="504" t="n">
        <v>0</v>
      </c>
      <c r="BP27" s="504" t="n">
        <v>0</v>
      </c>
      <c r="BQ27" s="504" t="n">
        <v>0</v>
      </c>
      <c r="BR27" s="504" t="n">
        <v>0</v>
      </c>
      <c r="BS27" s="504" t="n">
        <v>0</v>
      </c>
      <c r="BT27" s="504" t="n">
        <v>0</v>
      </c>
      <c r="BU27" s="504" t="n">
        <v>0</v>
      </c>
      <c r="BV27" s="504" t="n">
        <v>0</v>
      </c>
      <c r="BW27" s="504" t="n">
        <v>0</v>
      </c>
      <c r="BX27" s="504" t="n">
        <v>0</v>
      </c>
      <c r="BY27" s="504" t="n">
        <v>0</v>
      </c>
      <c r="BZ27" s="504" t="n">
        <v>0</v>
      </c>
      <c r="CA27" s="504" t="n">
        <v>0</v>
      </c>
      <c r="CB27" s="504" t="n">
        <v>0</v>
      </c>
      <c r="CC27" s="504" t="n">
        <v>0</v>
      </c>
      <c r="CD27" s="504" t="n">
        <v>0</v>
      </c>
      <c r="CE27" s="504" t="n">
        <v>0</v>
      </c>
    </row>
    <row r="28" hidden="1" ht="9" customFormat="1" customHeight="1" s="505">
      <c r="A28" s="504" t="n">
        <v>0</v>
      </c>
      <c r="B28" s="504" t="n">
        <v>0</v>
      </c>
      <c r="C28" s="504" t="n">
        <v>0</v>
      </c>
      <c r="D28" s="504" t="n">
        <v>0</v>
      </c>
      <c r="E28" s="504" t="n">
        <v>0</v>
      </c>
      <c r="F28" s="504" t="n">
        <v>0</v>
      </c>
      <c r="G28" s="504" t="n">
        <v>0</v>
      </c>
      <c r="H28" s="504" t="n">
        <v>0</v>
      </c>
      <c r="I28" s="504" t="n">
        <v>0</v>
      </c>
      <c r="J28" s="504" t="n">
        <v>0</v>
      </c>
      <c r="K28" s="504" t="n">
        <v>0</v>
      </c>
      <c r="L28" s="504" t="n">
        <v>0</v>
      </c>
      <c r="M28" s="504" t="n">
        <v>0</v>
      </c>
      <c r="N28" s="504" t="n">
        <v>0</v>
      </c>
      <c r="O28" s="504" t="n">
        <v>0</v>
      </c>
      <c r="P28" s="625" t="n">
        <v>0</v>
      </c>
      <c r="Q28" s="625" t="n">
        <v>0</v>
      </c>
      <c r="R28" s="625" t="n">
        <v>0</v>
      </c>
      <c r="S28" s="625" t="n">
        <v>0</v>
      </c>
      <c r="T28" s="625" t="n">
        <v>0</v>
      </c>
      <c r="U28" s="625" t="n">
        <v>0</v>
      </c>
      <c r="V28" s="625" t="n">
        <v>0</v>
      </c>
      <c r="W28" s="625" t="n">
        <v>0</v>
      </c>
      <c r="X28" s="625" t="n">
        <v>0</v>
      </c>
      <c r="Y28" s="639" t="n">
        <v>0</v>
      </c>
      <c r="Z28" s="639" t="n">
        <v>0</v>
      </c>
      <c r="AA28" s="639" t="n">
        <v>0</v>
      </c>
      <c r="AB28" s="639" t="n">
        <v>0</v>
      </c>
      <c r="AC28" s="611" t="n">
        <v>0</v>
      </c>
      <c r="AD28" s="611" t="n">
        <v>0</v>
      </c>
      <c r="AE28" s="611" t="n">
        <v>0</v>
      </c>
      <c r="AF28" s="611" t="n">
        <v>0</v>
      </c>
      <c r="AG28" s="625" t="n">
        <v>0</v>
      </c>
      <c r="AH28" s="625" t="n">
        <v>0</v>
      </c>
      <c r="AI28" s="625" t="n">
        <v>0</v>
      </c>
      <c r="AJ28" s="625" t="n">
        <v>0</v>
      </c>
      <c r="AK28" s="625" t="n">
        <v>0</v>
      </c>
      <c r="AL28" s="625" t="n">
        <v>0</v>
      </c>
      <c r="AM28" s="625" t="n">
        <v>0</v>
      </c>
      <c r="AN28" s="625" t="n">
        <v>0</v>
      </c>
      <c r="AO28" s="625" t="n">
        <v>0</v>
      </c>
      <c r="AP28" s="639" t="n">
        <v>0</v>
      </c>
      <c r="AQ28" s="639" t="n">
        <v>0</v>
      </c>
      <c r="AR28" s="639" t="n">
        <v>0</v>
      </c>
      <c r="AS28" s="639" t="n">
        <v>0</v>
      </c>
      <c r="AT28" s="611" t="n">
        <v>0</v>
      </c>
      <c r="AU28" s="611" t="n">
        <v>0</v>
      </c>
      <c r="AV28" s="611" t="n">
        <v>0</v>
      </c>
      <c r="AW28" s="611" t="n">
        <v>0</v>
      </c>
      <c r="AX28" s="504" t="n">
        <v>0</v>
      </c>
      <c r="AY28" s="504" t="n">
        <v>0</v>
      </c>
      <c r="AZ28" s="504" t="n">
        <v>0</v>
      </c>
      <c r="BA28" s="504" t="n">
        <v>0</v>
      </c>
      <c r="BB28" s="504" t="n">
        <v>0</v>
      </c>
      <c r="BC28" s="504" t="n">
        <v>0</v>
      </c>
      <c r="BD28" s="504" t="n">
        <v>0</v>
      </c>
      <c r="BE28" s="504" t="n">
        <v>0</v>
      </c>
      <c r="BF28" s="504" t="n">
        <v>0</v>
      </c>
      <c r="BG28" s="504" t="n">
        <v>0</v>
      </c>
      <c r="BH28" s="504" t="n">
        <v>0</v>
      </c>
      <c r="BI28" s="504" t="n">
        <v>0</v>
      </c>
      <c r="BJ28" s="504" t="n">
        <v>0</v>
      </c>
      <c r="BK28" s="504" t="n">
        <v>0</v>
      </c>
      <c r="BL28" s="504" t="n">
        <v>0</v>
      </c>
      <c r="BM28" s="504" t="n">
        <v>0</v>
      </c>
      <c r="BN28" s="504" t="n">
        <v>0</v>
      </c>
      <c r="BO28" s="504" t="n">
        <v>0</v>
      </c>
      <c r="BP28" s="504" t="n">
        <v>0</v>
      </c>
      <c r="BQ28" s="504" t="n">
        <v>0</v>
      </c>
      <c r="BR28" s="504" t="n">
        <v>0</v>
      </c>
      <c r="BS28" s="504" t="n">
        <v>0</v>
      </c>
      <c r="BT28" s="504" t="n">
        <v>0</v>
      </c>
      <c r="BU28" s="504" t="n">
        <v>0</v>
      </c>
      <c r="BV28" s="504" t="n">
        <v>0</v>
      </c>
      <c r="BW28" s="504" t="n">
        <v>0</v>
      </c>
      <c r="BX28" s="504" t="n">
        <v>0</v>
      </c>
      <c r="BY28" s="504" t="n">
        <v>0</v>
      </c>
      <c r="BZ28" s="504" t="n">
        <v>0</v>
      </c>
      <c r="CA28" s="504" t="n">
        <v>0</v>
      </c>
      <c r="CB28" s="504" t="n">
        <v>0</v>
      </c>
      <c r="CC28" s="504" t="n">
        <v>0</v>
      </c>
      <c r="CD28" s="504" t="n">
        <v>0</v>
      </c>
      <c r="CE28" s="504" t="n">
        <v>0</v>
      </c>
    </row>
    <row r="29" hidden="1" ht="9" customFormat="1" customHeight="1" s="505">
      <c r="A29" s="504" t="n">
        <v>0</v>
      </c>
      <c r="B29" s="504" t="n">
        <v>0</v>
      </c>
      <c r="C29" s="504" t="n">
        <v>0</v>
      </c>
      <c r="D29" s="504" t="n">
        <v>0</v>
      </c>
      <c r="E29" s="504" t="n">
        <v>0</v>
      </c>
      <c r="F29" s="504" t="n">
        <v>0</v>
      </c>
      <c r="G29" s="504" t="n">
        <v>0</v>
      </c>
      <c r="H29" s="504" t="n">
        <v>0</v>
      </c>
      <c r="I29" s="504" t="n">
        <v>0</v>
      </c>
      <c r="J29" s="504" t="n">
        <v>0</v>
      </c>
      <c r="K29" s="504" t="n">
        <v>0</v>
      </c>
      <c r="L29" s="504" t="n">
        <v>0</v>
      </c>
      <c r="M29" s="504" t="n">
        <v>0</v>
      </c>
      <c r="N29" s="504" t="n">
        <v>0</v>
      </c>
      <c r="O29" s="504" t="n">
        <v>0</v>
      </c>
      <c r="P29" s="625" t="n">
        <v>0</v>
      </c>
      <c r="Q29" s="625" t="n">
        <v>0</v>
      </c>
      <c r="R29" s="625" t="n">
        <v>0</v>
      </c>
      <c r="S29" s="625" t="n">
        <v>0</v>
      </c>
      <c r="T29" s="625" t="n">
        <v>0</v>
      </c>
      <c r="U29" s="625" t="n">
        <v>0</v>
      </c>
      <c r="V29" s="625" t="n">
        <v>0</v>
      </c>
      <c r="W29" s="625" t="n">
        <v>0</v>
      </c>
      <c r="X29" s="625" t="n">
        <v>0</v>
      </c>
      <c r="Y29" s="639" t="n">
        <v>0</v>
      </c>
      <c r="Z29" s="639" t="n">
        <v>0</v>
      </c>
      <c r="AA29" s="639" t="n">
        <v>0</v>
      </c>
      <c r="AB29" s="639" t="n">
        <v>0</v>
      </c>
      <c r="AC29" s="611" t="n">
        <v>0</v>
      </c>
      <c r="AD29" s="611" t="n">
        <v>0</v>
      </c>
      <c r="AE29" s="611" t="n">
        <v>0</v>
      </c>
      <c r="AF29" s="611" t="n">
        <v>0</v>
      </c>
      <c r="AG29" s="625" t="n">
        <v>0</v>
      </c>
      <c r="AH29" s="625" t="n">
        <v>0</v>
      </c>
      <c r="AI29" s="625" t="n">
        <v>0</v>
      </c>
      <c r="AJ29" s="625" t="n">
        <v>0</v>
      </c>
      <c r="AK29" s="625" t="n">
        <v>0</v>
      </c>
      <c r="AL29" s="625" t="n">
        <v>0</v>
      </c>
      <c r="AM29" s="625" t="n">
        <v>0</v>
      </c>
      <c r="AN29" s="625" t="n">
        <v>0</v>
      </c>
      <c r="AO29" s="625" t="n">
        <v>0</v>
      </c>
      <c r="AP29" s="639" t="n">
        <v>0</v>
      </c>
      <c r="AQ29" s="639" t="n">
        <v>0</v>
      </c>
      <c r="AR29" s="639" t="n">
        <v>0</v>
      </c>
      <c r="AS29" s="639" t="n">
        <v>0</v>
      </c>
      <c r="AT29" s="611" t="n">
        <v>0</v>
      </c>
      <c r="AU29" s="611" t="n">
        <v>0</v>
      </c>
      <c r="AV29" s="611" t="n">
        <v>0</v>
      </c>
      <c r="AW29" s="611" t="n">
        <v>0</v>
      </c>
      <c r="AX29" s="504" t="n">
        <v>0</v>
      </c>
      <c r="AY29" s="504" t="n">
        <v>0</v>
      </c>
      <c r="AZ29" s="504" t="n">
        <v>0</v>
      </c>
      <c r="BA29" s="504" t="n">
        <v>0</v>
      </c>
      <c r="BB29" s="504" t="n">
        <v>0</v>
      </c>
      <c r="BC29" s="504" t="n">
        <v>0</v>
      </c>
      <c r="BD29" s="504" t="n">
        <v>0</v>
      </c>
      <c r="BE29" s="504" t="n">
        <v>0</v>
      </c>
      <c r="BF29" s="504" t="n">
        <v>0</v>
      </c>
      <c r="BG29" s="504" t="n">
        <v>0</v>
      </c>
      <c r="BH29" s="504" t="n">
        <v>0</v>
      </c>
      <c r="BI29" s="504" t="n">
        <v>0</v>
      </c>
      <c r="BJ29" s="504" t="n">
        <v>0</v>
      </c>
      <c r="BK29" s="504" t="n">
        <v>0</v>
      </c>
      <c r="BL29" s="504" t="n">
        <v>0</v>
      </c>
      <c r="BM29" s="504" t="n">
        <v>0</v>
      </c>
      <c r="BN29" s="504" t="n">
        <v>0</v>
      </c>
      <c r="BO29" s="504" t="n">
        <v>0</v>
      </c>
      <c r="BP29" s="504" t="n">
        <v>0</v>
      </c>
      <c r="BQ29" s="504" t="n">
        <v>0</v>
      </c>
      <c r="BR29" s="504" t="n">
        <v>0</v>
      </c>
      <c r="BS29" s="504" t="n">
        <v>0</v>
      </c>
      <c r="BT29" s="504" t="n">
        <v>0</v>
      </c>
      <c r="BU29" s="504" t="n">
        <v>0</v>
      </c>
      <c r="BV29" s="504" t="n">
        <v>0</v>
      </c>
      <c r="BW29" s="504" t="n">
        <v>0</v>
      </c>
      <c r="BX29" s="504" t="n">
        <v>0</v>
      </c>
      <c r="BY29" s="504" t="n">
        <v>0</v>
      </c>
      <c r="BZ29" s="504" t="n">
        <v>0</v>
      </c>
      <c r="CA29" s="504" t="n">
        <v>0</v>
      </c>
      <c r="CB29" s="504" t="n">
        <v>0</v>
      </c>
      <c r="CC29" s="504" t="n">
        <v>0</v>
      </c>
      <c r="CD29" s="504" t="n">
        <v>0</v>
      </c>
      <c r="CE29" s="504" t="n">
        <v>0</v>
      </c>
    </row>
    <row r="30" hidden="1" ht="9" customFormat="1" customHeight="1" s="505">
      <c r="A30" s="504" t="n">
        <v>0</v>
      </c>
      <c r="B30" s="504" t="n">
        <v>0</v>
      </c>
      <c r="C30" s="504" t="n">
        <v>0</v>
      </c>
      <c r="D30" s="504" t="n">
        <v>0</v>
      </c>
      <c r="E30" s="504" t="n">
        <v>0</v>
      </c>
      <c r="F30" s="504" t="n">
        <v>0</v>
      </c>
      <c r="G30" s="504" t="n">
        <v>0</v>
      </c>
      <c r="H30" s="504" t="n">
        <v>0</v>
      </c>
      <c r="I30" s="504" t="n">
        <v>0</v>
      </c>
      <c r="J30" s="504" t="n">
        <v>0</v>
      </c>
      <c r="K30" s="504" t="n">
        <v>0</v>
      </c>
      <c r="L30" s="504" t="n">
        <v>0</v>
      </c>
      <c r="M30" s="504" t="n">
        <v>0</v>
      </c>
      <c r="N30" s="504" t="n">
        <v>0</v>
      </c>
      <c r="O30" s="504" t="n">
        <v>0</v>
      </c>
      <c r="P30" s="625" t="n">
        <v>0</v>
      </c>
      <c r="Q30" s="625" t="n">
        <v>0</v>
      </c>
      <c r="R30" s="625" t="n">
        <v>0</v>
      </c>
      <c r="S30" s="625" t="n">
        <v>0</v>
      </c>
      <c r="T30" s="625" t="n">
        <v>0</v>
      </c>
      <c r="U30" s="625" t="n">
        <v>0</v>
      </c>
      <c r="V30" s="625" t="n">
        <v>0</v>
      </c>
      <c r="W30" s="625" t="n">
        <v>0</v>
      </c>
      <c r="X30" s="625" t="n">
        <v>0</v>
      </c>
      <c r="Y30" s="639" t="n">
        <v>0</v>
      </c>
      <c r="Z30" s="639" t="n">
        <v>0</v>
      </c>
      <c r="AA30" s="639" t="n">
        <v>0</v>
      </c>
      <c r="AB30" s="639" t="n">
        <v>0</v>
      </c>
      <c r="AC30" s="611" t="n">
        <v>0</v>
      </c>
      <c r="AD30" s="611" t="n">
        <v>0</v>
      </c>
      <c r="AE30" s="611" t="n">
        <v>0</v>
      </c>
      <c r="AF30" s="611" t="n">
        <v>0</v>
      </c>
      <c r="AG30" s="625" t="n">
        <v>0</v>
      </c>
      <c r="AH30" s="625" t="n">
        <v>0</v>
      </c>
      <c r="AI30" s="625" t="n">
        <v>0</v>
      </c>
      <c r="AJ30" s="625" t="n">
        <v>0</v>
      </c>
      <c r="AK30" s="625" t="n">
        <v>0</v>
      </c>
      <c r="AL30" s="625" t="n">
        <v>0</v>
      </c>
      <c r="AM30" s="625" t="n">
        <v>0</v>
      </c>
      <c r="AN30" s="625" t="n">
        <v>0</v>
      </c>
      <c r="AO30" s="625" t="n">
        <v>0</v>
      </c>
      <c r="AP30" s="639" t="n">
        <v>0</v>
      </c>
      <c r="AQ30" s="639" t="n">
        <v>0</v>
      </c>
      <c r="AR30" s="639" t="n">
        <v>0</v>
      </c>
      <c r="AS30" s="639" t="n">
        <v>0</v>
      </c>
      <c r="AT30" s="611" t="n">
        <v>0</v>
      </c>
      <c r="AU30" s="611" t="n">
        <v>0</v>
      </c>
      <c r="AV30" s="611" t="n">
        <v>0</v>
      </c>
      <c r="AW30" s="611" t="n">
        <v>0</v>
      </c>
      <c r="AX30" s="504" t="n">
        <v>0</v>
      </c>
      <c r="AY30" s="504" t="n">
        <v>0</v>
      </c>
      <c r="AZ30" s="504" t="n">
        <v>0</v>
      </c>
      <c r="BA30" s="504" t="n">
        <v>0</v>
      </c>
      <c r="BB30" s="504" t="n">
        <v>0</v>
      </c>
      <c r="BC30" s="504" t="n">
        <v>0</v>
      </c>
      <c r="BD30" s="504" t="n">
        <v>0</v>
      </c>
      <c r="BE30" s="504" t="n">
        <v>0</v>
      </c>
      <c r="BF30" s="504" t="n">
        <v>0</v>
      </c>
      <c r="BG30" s="504" t="n">
        <v>0</v>
      </c>
      <c r="BH30" s="504" t="n">
        <v>0</v>
      </c>
      <c r="BI30" s="504" t="n">
        <v>0</v>
      </c>
      <c r="BJ30" s="504" t="n">
        <v>0</v>
      </c>
      <c r="BK30" s="504" t="n">
        <v>0</v>
      </c>
      <c r="BL30" s="504" t="n">
        <v>0</v>
      </c>
      <c r="BM30" s="504" t="n">
        <v>0</v>
      </c>
      <c r="BN30" s="504" t="n">
        <v>0</v>
      </c>
      <c r="BO30" s="504" t="n">
        <v>0</v>
      </c>
      <c r="BP30" s="504" t="n">
        <v>0</v>
      </c>
      <c r="BQ30" s="504" t="n">
        <v>0</v>
      </c>
      <c r="BR30" s="504" t="n">
        <v>0</v>
      </c>
      <c r="BS30" s="504" t="n">
        <v>0</v>
      </c>
      <c r="BT30" s="504" t="n">
        <v>0</v>
      </c>
      <c r="BU30" s="504" t="n">
        <v>0</v>
      </c>
      <c r="BV30" s="504" t="n">
        <v>0</v>
      </c>
      <c r="BW30" s="504" t="n">
        <v>0</v>
      </c>
      <c r="BX30" s="504" t="n">
        <v>0</v>
      </c>
      <c r="BY30" s="504" t="n">
        <v>0</v>
      </c>
      <c r="BZ30" s="504" t="n">
        <v>0</v>
      </c>
      <c r="CA30" s="504" t="n">
        <v>0</v>
      </c>
      <c r="CB30" s="504" t="n">
        <v>0</v>
      </c>
      <c r="CC30" s="504" t="n">
        <v>0</v>
      </c>
      <c r="CD30" s="504" t="n">
        <v>0</v>
      </c>
      <c r="CE30" s="504" t="n">
        <v>0</v>
      </c>
    </row>
    <row r="31" hidden="1" ht="9" customFormat="1" customHeight="1" s="505">
      <c r="A31" s="504" t="n">
        <v>0</v>
      </c>
      <c r="B31" s="504" t="n">
        <v>0</v>
      </c>
      <c r="C31" s="504" t="n">
        <v>0</v>
      </c>
      <c r="D31" s="504" t="n">
        <v>0</v>
      </c>
      <c r="E31" s="504" t="n">
        <v>0</v>
      </c>
      <c r="F31" s="504" t="n">
        <v>0</v>
      </c>
      <c r="G31" s="504" t="n">
        <v>0</v>
      </c>
      <c r="H31" s="504" t="n">
        <v>0</v>
      </c>
      <c r="I31" s="504" t="n">
        <v>0</v>
      </c>
      <c r="J31" s="504" t="n">
        <v>0</v>
      </c>
      <c r="K31" s="504" t="n">
        <v>0</v>
      </c>
      <c r="L31" s="504" t="n">
        <v>0</v>
      </c>
      <c r="M31" s="504" t="n">
        <v>0</v>
      </c>
      <c r="N31" s="504" t="n">
        <v>0</v>
      </c>
      <c r="O31" s="504" t="n">
        <v>0</v>
      </c>
      <c r="P31" s="625" t="n">
        <v>0</v>
      </c>
      <c r="Q31" s="625" t="n">
        <v>0</v>
      </c>
      <c r="R31" s="625" t="n">
        <v>0</v>
      </c>
      <c r="S31" s="625" t="n">
        <v>0</v>
      </c>
      <c r="T31" s="625" t="n">
        <v>0</v>
      </c>
      <c r="U31" s="625" t="n">
        <v>0</v>
      </c>
      <c r="V31" s="625" t="n">
        <v>0</v>
      </c>
      <c r="W31" s="625" t="n">
        <v>0</v>
      </c>
      <c r="X31" s="625" t="n">
        <v>0</v>
      </c>
      <c r="Y31" s="639" t="n">
        <v>0</v>
      </c>
      <c r="Z31" s="639" t="n">
        <v>0</v>
      </c>
      <c r="AA31" s="639" t="n">
        <v>0</v>
      </c>
      <c r="AB31" s="639" t="n">
        <v>0</v>
      </c>
      <c r="AC31" s="611" t="n">
        <v>0</v>
      </c>
      <c r="AD31" s="611" t="n">
        <v>0</v>
      </c>
      <c r="AE31" s="611" t="n">
        <v>0</v>
      </c>
      <c r="AF31" s="611" t="n">
        <v>0</v>
      </c>
      <c r="AG31" s="625" t="n">
        <v>0</v>
      </c>
      <c r="AH31" s="625" t="n">
        <v>0</v>
      </c>
      <c r="AI31" s="625" t="n">
        <v>0</v>
      </c>
      <c r="AJ31" s="625" t="n">
        <v>0</v>
      </c>
      <c r="AK31" s="625" t="n">
        <v>0</v>
      </c>
      <c r="AL31" s="625" t="n">
        <v>0</v>
      </c>
      <c r="AM31" s="625" t="n">
        <v>0</v>
      </c>
      <c r="AN31" s="625" t="n">
        <v>0</v>
      </c>
      <c r="AO31" s="625" t="n">
        <v>0</v>
      </c>
      <c r="AP31" s="639" t="n">
        <v>0</v>
      </c>
      <c r="AQ31" s="639" t="n">
        <v>0</v>
      </c>
      <c r="AR31" s="639" t="n">
        <v>0</v>
      </c>
      <c r="AS31" s="639" t="n">
        <v>0</v>
      </c>
      <c r="AT31" s="611" t="n">
        <v>0</v>
      </c>
      <c r="AU31" s="611" t="n">
        <v>0</v>
      </c>
      <c r="AV31" s="611" t="n">
        <v>0</v>
      </c>
      <c r="AW31" s="611" t="n">
        <v>0</v>
      </c>
      <c r="AX31" s="504" t="n">
        <v>0</v>
      </c>
      <c r="AY31" s="504" t="n">
        <v>0</v>
      </c>
      <c r="AZ31" s="504" t="n">
        <v>0</v>
      </c>
      <c r="BA31" s="504" t="n">
        <v>0</v>
      </c>
      <c r="BB31" s="504" t="n">
        <v>0</v>
      </c>
      <c r="BC31" s="504" t="n">
        <v>0</v>
      </c>
      <c r="BD31" s="504" t="n">
        <v>0</v>
      </c>
      <c r="BE31" s="504" t="n">
        <v>0</v>
      </c>
      <c r="BF31" s="504" t="n">
        <v>0</v>
      </c>
      <c r="BG31" s="504" t="n">
        <v>0</v>
      </c>
      <c r="BH31" s="504" t="n">
        <v>0</v>
      </c>
      <c r="BI31" s="504" t="n">
        <v>0</v>
      </c>
      <c r="BJ31" s="504" t="n">
        <v>0</v>
      </c>
      <c r="BK31" s="504" t="n">
        <v>0</v>
      </c>
      <c r="BL31" s="504" t="n">
        <v>0</v>
      </c>
      <c r="BM31" s="504" t="n">
        <v>0</v>
      </c>
      <c r="BN31" s="504" t="n">
        <v>0</v>
      </c>
      <c r="BO31" s="504" t="n">
        <v>0</v>
      </c>
      <c r="BP31" s="504" t="n">
        <v>0</v>
      </c>
      <c r="BQ31" s="504" t="n">
        <v>0</v>
      </c>
      <c r="BR31" s="504" t="n">
        <v>0</v>
      </c>
      <c r="BS31" s="504" t="n">
        <v>0</v>
      </c>
      <c r="BT31" s="504" t="n">
        <v>0</v>
      </c>
      <c r="BU31" s="504" t="n">
        <v>0</v>
      </c>
      <c r="BV31" s="504" t="n">
        <v>0</v>
      </c>
      <c r="BW31" s="504" t="n">
        <v>0</v>
      </c>
      <c r="BX31" s="504" t="n">
        <v>0</v>
      </c>
      <c r="BY31" s="504" t="n">
        <v>0</v>
      </c>
      <c r="BZ31" s="504" t="n">
        <v>0</v>
      </c>
      <c r="CA31" s="504" t="n">
        <v>0</v>
      </c>
      <c r="CB31" s="504" t="n">
        <v>0</v>
      </c>
      <c r="CC31" s="504" t="n">
        <v>0</v>
      </c>
      <c r="CD31" s="504" t="n">
        <v>0</v>
      </c>
      <c r="CE31" s="504" t="n">
        <v>0</v>
      </c>
    </row>
    <row r="32" hidden="1" ht="9" customFormat="1" customHeight="1" s="505">
      <c r="A32" s="504" t="n">
        <v>0</v>
      </c>
      <c r="B32" s="504" t="n">
        <v>0</v>
      </c>
      <c r="C32" s="504" t="n">
        <v>0</v>
      </c>
      <c r="D32" s="504" t="n">
        <v>0</v>
      </c>
      <c r="E32" s="504" t="n">
        <v>0</v>
      </c>
      <c r="F32" s="504" t="n">
        <v>0</v>
      </c>
      <c r="G32" s="504" t="n">
        <v>0</v>
      </c>
      <c r="H32" s="504" t="n">
        <v>0</v>
      </c>
      <c r="I32" s="504" t="n">
        <v>0</v>
      </c>
      <c r="J32" s="504" t="n">
        <v>0</v>
      </c>
      <c r="K32" s="504" t="n">
        <v>0</v>
      </c>
      <c r="L32" s="504" t="n">
        <v>0</v>
      </c>
      <c r="M32" s="504" t="n">
        <v>0</v>
      </c>
      <c r="N32" s="504" t="n">
        <v>0</v>
      </c>
      <c r="O32" s="504" t="n">
        <v>0</v>
      </c>
      <c r="P32" s="625" t="n">
        <v>0</v>
      </c>
      <c r="Q32" s="625" t="n">
        <v>0</v>
      </c>
      <c r="R32" s="625" t="n">
        <v>0</v>
      </c>
      <c r="S32" s="625" t="n">
        <v>0</v>
      </c>
      <c r="T32" s="625" t="n">
        <v>0</v>
      </c>
      <c r="U32" s="625" t="n">
        <v>0</v>
      </c>
      <c r="V32" s="625" t="n">
        <v>0</v>
      </c>
      <c r="W32" s="625" t="n">
        <v>0</v>
      </c>
      <c r="X32" s="625" t="n">
        <v>0</v>
      </c>
      <c r="Y32" s="639" t="n">
        <v>0</v>
      </c>
      <c r="Z32" s="639" t="n">
        <v>0</v>
      </c>
      <c r="AA32" s="639" t="n">
        <v>0</v>
      </c>
      <c r="AB32" s="639" t="n">
        <v>0</v>
      </c>
      <c r="AC32" s="611" t="n">
        <v>0</v>
      </c>
      <c r="AD32" s="611" t="n">
        <v>0</v>
      </c>
      <c r="AE32" s="611" t="n">
        <v>0</v>
      </c>
      <c r="AF32" s="611" t="n">
        <v>0</v>
      </c>
      <c r="AG32" s="625" t="n">
        <v>0</v>
      </c>
      <c r="AH32" s="625" t="n">
        <v>0</v>
      </c>
      <c r="AI32" s="625" t="n">
        <v>0</v>
      </c>
      <c r="AJ32" s="625" t="n">
        <v>0</v>
      </c>
      <c r="AK32" s="625" t="n">
        <v>0</v>
      </c>
      <c r="AL32" s="625" t="n">
        <v>0</v>
      </c>
      <c r="AM32" s="625" t="n">
        <v>0</v>
      </c>
      <c r="AN32" s="625" t="n">
        <v>0</v>
      </c>
      <c r="AO32" s="625" t="n">
        <v>0</v>
      </c>
      <c r="AP32" s="639" t="n">
        <v>0</v>
      </c>
      <c r="AQ32" s="639" t="n">
        <v>0</v>
      </c>
      <c r="AR32" s="639" t="n">
        <v>0</v>
      </c>
      <c r="AS32" s="639" t="n">
        <v>0</v>
      </c>
      <c r="AT32" s="611" t="n">
        <v>0</v>
      </c>
      <c r="AU32" s="611" t="n">
        <v>0</v>
      </c>
      <c r="AV32" s="611" t="n">
        <v>0</v>
      </c>
      <c r="AW32" s="611" t="n">
        <v>0</v>
      </c>
      <c r="AX32" s="504" t="n">
        <v>0</v>
      </c>
      <c r="AY32" s="504" t="n">
        <v>0</v>
      </c>
      <c r="AZ32" s="504" t="n">
        <v>0</v>
      </c>
      <c r="BA32" s="504" t="n">
        <v>0</v>
      </c>
      <c r="BB32" s="504" t="n">
        <v>0</v>
      </c>
      <c r="BC32" s="504" t="n">
        <v>0</v>
      </c>
      <c r="BD32" s="504" t="n">
        <v>0</v>
      </c>
      <c r="BE32" s="504" t="n">
        <v>0</v>
      </c>
      <c r="BF32" s="504" t="n">
        <v>0</v>
      </c>
      <c r="BG32" s="504" t="n">
        <v>0</v>
      </c>
      <c r="BH32" s="504" t="n">
        <v>0</v>
      </c>
      <c r="BI32" s="504" t="n">
        <v>0</v>
      </c>
      <c r="BJ32" s="504" t="n">
        <v>0</v>
      </c>
      <c r="BK32" s="504" t="n">
        <v>0</v>
      </c>
      <c r="BL32" s="504" t="n">
        <v>0</v>
      </c>
      <c r="BM32" s="504" t="n">
        <v>0</v>
      </c>
      <c r="BN32" s="504" t="n">
        <v>0</v>
      </c>
      <c r="BO32" s="504" t="n">
        <v>0</v>
      </c>
      <c r="BP32" s="504" t="n">
        <v>0</v>
      </c>
      <c r="BQ32" s="504" t="n">
        <v>0</v>
      </c>
      <c r="BR32" s="504" t="n">
        <v>0</v>
      </c>
      <c r="BS32" s="504" t="n">
        <v>0</v>
      </c>
      <c r="BT32" s="504" t="n">
        <v>0</v>
      </c>
      <c r="BU32" s="504" t="n">
        <v>0</v>
      </c>
      <c r="BV32" s="504" t="n">
        <v>0</v>
      </c>
      <c r="BW32" s="504" t="n">
        <v>0</v>
      </c>
      <c r="BX32" s="504" t="n">
        <v>0</v>
      </c>
      <c r="BY32" s="504" t="n">
        <v>0</v>
      </c>
      <c r="BZ32" s="504" t="n">
        <v>0</v>
      </c>
      <c r="CA32" s="504" t="n">
        <v>0</v>
      </c>
      <c r="CB32" s="504" t="n">
        <v>0</v>
      </c>
      <c r="CC32" s="504" t="n">
        <v>0</v>
      </c>
      <c r="CD32" s="504" t="n">
        <v>0</v>
      </c>
      <c r="CE32" s="504" t="n">
        <v>0</v>
      </c>
    </row>
    <row r="33" hidden="1" ht="9" customFormat="1" customHeight="1" s="505">
      <c r="A33" s="504" t="n">
        <v>0</v>
      </c>
      <c r="B33" s="504" t="n">
        <v>0</v>
      </c>
      <c r="C33" s="504" t="n">
        <v>0</v>
      </c>
      <c r="D33" s="504" t="n">
        <v>0</v>
      </c>
      <c r="E33" s="504" t="n">
        <v>0</v>
      </c>
      <c r="F33" s="504" t="n">
        <v>0</v>
      </c>
      <c r="G33" s="504" t="n">
        <v>0</v>
      </c>
      <c r="H33" s="504" t="n">
        <v>0</v>
      </c>
      <c r="I33" s="504" t="n">
        <v>0</v>
      </c>
      <c r="J33" s="504" t="n">
        <v>0</v>
      </c>
      <c r="K33" s="504" t="n">
        <v>0</v>
      </c>
      <c r="L33" s="504" t="n">
        <v>0</v>
      </c>
      <c r="M33" s="504" t="n">
        <v>0</v>
      </c>
      <c r="N33" s="504" t="n">
        <v>0</v>
      </c>
      <c r="O33" s="504" t="n">
        <v>0</v>
      </c>
      <c r="P33" s="625" t="n">
        <v>0</v>
      </c>
      <c r="Q33" s="625" t="n">
        <v>0</v>
      </c>
      <c r="R33" s="625" t="n">
        <v>0</v>
      </c>
      <c r="S33" s="625" t="n">
        <v>0</v>
      </c>
      <c r="T33" s="625" t="n">
        <v>0</v>
      </c>
      <c r="U33" s="625" t="n">
        <v>0</v>
      </c>
      <c r="V33" s="625" t="n">
        <v>0</v>
      </c>
      <c r="W33" s="625" t="n">
        <v>0</v>
      </c>
      <c r="X33" s="625" t="n">
        <v>0</v>
      </c>
      <c r="Y33" s="639" t="n">
        <v>0</v>
      </c>
      <c r="Z33" s="639" t="n">
        <v>0</v>
      </c>
      <c r="AA33" s="639" t="n">
        <v>0</v>
      </c>
      <c r="AB33" s="639" t="n">
        <v>0</v>
      </c>
      <c r="AC33" s="611" t="n">
        <v>0</v>
      </c>
      <c r="AD33" s="611" t="n">
        <v>0</v>
      </c>
      <c r="AE33" s="611" t="n">
        <v>0</v>
      </c>
      <c r="AF33" s="611" t="n">
        <v>0</v>
      </c>
      <c r="AG33" s="625" t="n">
        <v>0</v>
      </c>
      <c r="AH33" s="625" t="n">
        <v>0</v>
      </c>
      <c r="AI33" s="625" t="n">
        <v>0</v>
      </c>
      <c r="AJ33" s="625" t="n">
        <v>0</v>
      </c>
      <c r="AK33" s="625" t="n">
        <v>0</v>
      </c>
      <c r="AL33" s="625" t="n">
        <v>0</v>
      </c>
      <c r="AM33" s="625" t="n">
        <v>0</v>
      </c>
      <c r="AN33" s="625" t="n">
        <v>0</v>
      </c>
      <c r="AO33" s="625" t="n">
        <v>0</v>
      </c>
      <c r="AP33" s="639" t="n">
        <v>0</v>
      </c>
      <c r="AQ33" s="639" t="n">
        <v>0</v>
      </c>
      <c r="AR33" s="639" t="n">
        <v>0</v>
      </c>
      <c r="AS33" s="639" t="n">
        <v>0</v>
      </c>
      <c r="AT33" s="611" t="n">
        <v>0</v>
      </c>
      <c r="AU33" s="611" t="n">
        <v>0</v>
      </c>
      <c r="AV33" s="611" t="n">
        <v>0</v>
      </c>
      <c r="AW33" s="611" t="n">
        <v>0</v>
      </c>
      <c r="AX33" s="504" t="n">
        <v>0</v>
      </c>
      <c r="AY33" s="504" t="n">
        <v>0</v>
      </c>
      <c r="AZ33" s="504" t="n">
        <v>0</v>
      </c>
      <c r="BA33" s="504" t="n">
        <v>0</v>
      </c>
      <c r="BB33" s="504" t="n">
        <v>0</v>
      </c>
      <c r="BC33" s="504" t="n">
        <v>0</v>
      </c>
      <c r="BD33" s="504" t="n">
        <v>0</v>
      </c>
      <c r="BE33" s="504" t="n">
        <v>0</v>
      </c>
      <c r="BF33" s="504" t="n">
        <v>0</v>
      </c>
      <c r="BG33" s="504" t="n">
        <v>0</v>
      </c>
      <c r="BH33" s="504" t="n">
        <v>0</v>
      </c>
      <c r="BI33" s="504" t="n">
        <v>0</v>
      </c>
      <c r="BJ33" s="504" t="n">
        <v>0</v>
      </c>
      <c r="BK33" s="504" t="n">
        <v>0</v>
      </c>
      <c r="BL33" s="504" t="n">
        <v>0</v>
      </c>
      <c r="BM33" s="504" t="n">
        <v>0</v>
      </c>
      <c r="BN33" s="504" t="n">
        <v>0</v>
      </c>
      <c r="BO33" s="504" t="n">
        <v>0</v>
      </c>
      <c r="BP33" s="504" t="n">
        <v>0</v>
      </c>
      <c r="BQ33" s="504" t="n">
        <v>0</v>
      </c>
      <c r="BR33" s="504" t="n">
        <v>0</v>
      </c>
      <c r="BS33" s="504" t="n">
        <v>0</v>
      </c>
      <c r="BT33" s="504" t="n">
        <v>0</v>
      </c>
      <c r="BU33" s="504" t="n">
        <v>0</v>
      </c>
      <c r="BV33" s="504" t="n">
        <v>0</v>
      </c>
      <c r="BW33" s="504" t="n">
        <v>0</v>
      </c>
      <c r="BX33" s="504" t="n">
        <v>0</v>
      </c>
      <c r="BY33" s="504" t="n">
        <v>0</v>
      </c>
      <c r="BZ33" s="504" t="n">
        <v>0</v>
      </c>
      <c r="CA33" s="504" t="n">
        <v>0</v>
      </c>
      <c r="CB33" s="504" t="n">
        <v>0</v>
      </c>
      <c r="CC33" s="504" t="n">
        <v>0</v>
      </c>
      <c r="CD33" s="504" t="n">
        <v>0</v>
      </c>
      <c r="CE33" s="504" t="n">
        <v>0</v>
      </c>
    </row>
    <row r="34" hidden="1" ht="9" customFormat="1" customHeight="1" s="505">
      <c r="A34" s="504" t="n">
        <v>0</v>
      </c>
      <c r="B34" s="504" t="n">
        <v>0</v>
      </c>
      <c r="C34" s="504" t="n">
        <v>0</v>
      </c>
      <c r="D34" s="504" t="n">
        <v>0</v>
      </c>
      <c r="E34" s="504" t="n">
        <v>0</v>
      </c>
      <c r="F34" s="504" t="n">
        <v>0</v>
      </c>
      <c r="G34" s="504" t="n">
        <v>0</v>
      </c>
      <c r="H34" s="504" t="n">
        <v>0</v>
      </c>
      <c r="I34" s="504" t="n">
        <v>0</v>
      </c>
      <c r="J34" s="504" t="n">
        <v>0</v>
      </c>
      <c r="K34" s="504" t="n">
        <v>0</v>
      </c>
      <c r="L34" s="504" t="n">
        <v>0</v>
      </c>
      <c r="M34" s="504" t="n">
        <v>0</v>
      </c>
      <c r="N34" s="504" t="n">
        <v>0</v>
      </c>
      <c r="O34" s="504" t="n">
        <v>0</v>
      </c>
      <c r="P34" s="625" t="n">
        <v>0</v>
      </c>
      <c r="Q34" s="625" t="n">
        <v>0</v>
      </c>
      <c r="R34" s="625" t="n">
        <v>0</v>
      </c>
      <c r="S34" s="625" t="n">
        <v>0</v>
      </c>
      <c r="T34" s="625" t="n">
        <v>0</v>
      </c>
      <c r="U34" s="625" t="n">
        <v>0</v>
      </c>
      <c r="V34" s="625" t="n">
        <v>0</v>
      </c>
      <c r="W34" s="625" t="n">
        <v>0</v>
      </c>
      <c r="X34" s="625" t="n">
        <v>0</v>
      </c>
      <c r="Y34" s="639" t="n">
        <v>0</v>
      </c>
      <c r="Z34" s="639" t="n">
        <v>0</v>
      </c>
      <c r="AA34" s="639" t="n">
        <v>0</v>
      </c>
      <c r="AB34" s="639" t="n">
        <v>0</v>
      </c>
      <c r="AC34" s="611" t="n">
        <v>0</v>
      </c>
      <c r="AD34" s="611" t="n">
        <v>0</v>
      </c>
      <c r="AE34" s="611" t="n">
        <v>0</v>
      </c>
      <c r="AF34" s="611" t="n">
        <v>0</v>
      </c>
      <c r="AG34" s="625" t="n">
        <v>0</v>
      </c>
      <c r="AH34" s="625" t="n">
        <v>0</v>
      </c>
      <c r="AI34" s="625" t="n">
        <v>0</v>
      </c>
      <c r="AJ34" s="625" t="n">
        <v>0</v>
      </c>
      <c r="AK34" s="625" t="n">
        <v>0</v>
      </c>
      <c r="AL34" s="625" t="n">
        <v>0</v>
      </c>
      <c r="AM34" s="625" t="n">
        <v>0</v>
      </c>
      <c r="AN34" s="625" t="n">
        <v>0</v>
      </c>
      <c r="AO34" s="625" t="n">
        <v>0</v>
      </c>
      <c r="AP34" s="639" t="n">
        <v>0</v>
      </c>
      <c r="AQ34" s="639" t="n">
        <v>0</v>
      </c>
      <c r="AR34" s="639" t="n">
        <v>0</v>
      </c>
      <c r="AS34" s="639" t="n">
        <v>0</v>
      </c>
      <c r="AT34" s="611" t="n">
        <v>0</v>
      </c>
      <c r="AU34" s="611" t="n">
        <v>0</v>
      </c>
      <c r="AV34" s="611" t="n">
        <v>0</v>
      </c>
      <c r="AW34" s="611" t="n">
        <v>0</v>
      </c>
      <c r="AX34" s="504" t="n">
        <v>0</v>
      </c>
      <c r="AY34" s="504" t="n">
        <v>0</v>
      </c>
      <c r="AZ34" s="504" t="n">
        <v>0</v>
      </c>
      <c r="BA34" s="504" t="n">
        <v>0</v>
      </c>
      <c r="BB34" s="504" t="n">
        <v>0</v>
      </c>
      <c r="BC34" s="504" t="n">
        <v>0</v>
      </c>
      <c r="BD34" s="504" t="n">
        <v>0</v>
      </c>
      <c r="BE34" s="504" t="n">
        <v>0</v>
      </c>
      <c r="BF34" s="504" t="n">
        <v>0</v>
      </c>
      <c r="BG34" s="504" t="n">
        <v>0</v>
      </c>
      <c r="BH34" s="504" t="n">
        <v>0</v>
      </c>
      <c r="BI34" s="504" t="n">
        <v>0</v>
      </c>
      <c r="BJ34" s="504" t="n">
        <v>0</v>
      </c>
      <c r="BK34" s="504" t="n">
        <v>0</v>
      </c>
      <c r="BL34" s="504" t="n">
        <v>0</v>
      </c>
      <c r="BM34" s="504" t="n">
        <v>0</v>
      </c>
      <c r="BN34" s="504" t="n">
        <v>0</v>
      </c>
      <c r="BO34" s="504" t="n">
        <v>0</v>
      </c>
      <c r="BP34" s="504" t="n">
        <v>0</v>
      </c>
      <c r="BQ34" s="504" t="n">
        <v>0</v>
      </c>
      <c r="BR34" s="504" t="n">
        <v>0</v>
      </c>
      <c r="BS34" s="504" t="n">
        <v>0</v>
      </c>
      <c r="BT34" s="504" t="n">
        <v>0</v>
      </c>
      <c r="BU34" s="504" t="n">
        <v>0</v>
      </c>
      <c r="BV34" s="504" t="n">
        <v>0</v>
      </c>
      <c r="BW34" s="504" t="n">
        <v>0</v>
      </c>
      <c r="BX34" s="504" t="n">
        <v>0</v>
      </c>
      <c r="BY34" s="504" t="n">
        <v>0</v>
      </c>
      <c r="BZ34" s="504" t="n">
        <v>0</v>
      </c>
      <c r="CA34" s="504" t="n">
        <v>0</v>
      </c>
      <c r="CB34" s="504" t="n">
        <v>0</v>
      </c>
      <c r="CC34" s="504" t="n">
        <v>0</v>
      </c>
      <c r="CD34" s="504" t="n">
        <v>0</v>
      </c>
      <c r="CE34" s="504" t="n">
        <v>0</v>
      </c>
    </row>
    <row r="35" hidden="1" ht="9" customFormat="1" customHeight="1" s="505">
      <c r="A35" s="504" t="n">
        <v>0</v>
      </c>
      <c r="B35" s="504" t="n">
        <v>0</v>
      </c>
      <c r="C35" s="504" t="n">
        <v>0</v>
      </c>
      <c r="D35" s="504" t="n">
        <v>0</v>
      </c>
      <c r="E35" s="504" t="n">
        <v>0</v>
      </c>
      <c r="F35" s="504" t="n">
        <v>0</v>
      </c>
      <c r="G35" s="504" t="n">
        <v>0</v>
      </c>
      <c r="H35" s="504" t="n">
        <v>0</v>
      </c>
      <c r="I35" s="504" t="n">
        <v>0</v>
      </c>
      <c r="J35" s="504" t="n">
        <v>0</v>
      </c>
      <c r="K35" s="504" t="n">
        <v>0</v>
      </c>
      <c r="L35" s="504" t="n">
        <v>0</v>
      </c>
      <c r="M35" s="504" t="n">
        <v>0</v>
      </c>
      <c r="N35" s="504" t="n">
        <v>0</v>
      </c>
      <c r="O35" s="504" t="n">
        <v>0</v>
      </c>
      <c r="P35" s="625" t="n">
        <v>0</v>
      </c>
      <c r="Q35" s="625" t="n">
        <v>0</v>
      </c>
      <c r="R35" s="625" t="n">
        <v>0</v>
      </c>
      <c r="S35" s="625" t="n">
        <v>0</v>
      </c>
      <c r="T35" s="625" t="n">
        <v>0</v>
      </c>
      <c r="U35" s="625" t="n">
        <v>0</v>
      </c>
      <c r="V35" s="625" t="n">
        <v>0</v>
      </c>
      <c r="W35" s="625" t="n">
        <v>0</v>
      </c>
      <c r="X35" s="625" t="n">
        <v>0</v>
      </c>
      <c r="Y35" s="639" t="n">
        <v>0</v>
      </c>
      <c r="Z35" s="639" t="n">
        <v>0</v>
      </c>
      <c r="AA35" s="639" t="n">
        <v>0</v>
      </c>
      <c r="AB35" s="639" t="n">
        <v>0</v>
      </c>
      <c r="AC35" s="611" t="n">
        <v>0</v>
      </c>
      <c r="AD35" s="611" t="n">
        <v>0</v>
      </c>
      <c r="AE35" s="611" t="n">
        <v>0</v>
      </c>
      <c r="AF35" s="611" t="n">
        <v>0</v>
      </c>
      <c r="AG35" s="625" t="n">
        <v>0</v>
      </c>
      <c r="AH35" s="625" t="n">
        <v>0</v>
      </c>
      <c r="AI35" s="625" t="n">
        <v>0</v>
      </c>
      <c r="AJ35" s="625" t="n">
        <v>0</v>
      </c>
      <c r="AK35" s="625" t="n">
        <v>0</v>
      </c>
      <c r="AL35" s="625" t="n">
        <v>0</v>
      </c>
      <c r="AM35" s="625" t="n">
        <v>0</v>
      </c>
      <c r="AN35" s="625" t="n">
        <v>0</v>
      </c>
      <c r="AO35" s="625" t="n">
        <v>0</v>
      </c>
      <c r="AP35" s="639" t="n">
        <v>0</v>
      </c>
      <c r="AQ35" s="639" t="n">
        <v>0</v>
      </c>
      <c r="AR35" s="639" t="n">
        <v>0</v>
      </c>
      <c r="AS35" s="639" t="n">
        <v>0</v>
      </c>
      <c r="AT35" s="611" t="n">
        <v>0</v>
      </c>
      <c r="AU35" s="611" t="n">
        <v>0</v>
      </c>
      <c r="AV35" s="611" t="n">
        <v>0</v>
      </c>
      <c r="AW35" s="611" t="n">
        <v>0</v>
      </c>
      <c r="AX35" s="504" t="n">
        <v>0</v>
      </c>
      <c r="AY35" s="504" t="n">
        <v>0</v>
      </c>
      <c r="AZ35" s="504" t="n">
        <v>0</v>
      </c>
      <c r="BA35" s="504" t="n">
        <v>0</v>
      </c>
      <c r="BB35" s="504" t="n">
        <v>0</v>
      </c>
      <c r="BC35" s="504" t="n">
        <v>0</v>
      </c>
      <c r="BD35" s="504" t="n">
        <v>0</v>
      </c>
      <c r="BE35" s="504" t="n">
        <v>0</v>
      </c>
      <c r="BF35" s="504" t="n">
        <v>0</v>
      </c>
      <c r="BG35" s="504" t="n">
        <v>0</v>
      </c>
      <c r="BH35" s="504" t="n">
        <v>0</v>
      </c>
      <c r="BI35" s="504" t="n">
        <v>0</v>
      </c>
      <c r="BJ35" s="504" t="n">
        <v>0</v>
      </c>
      <c r="BK35" s="504" t="n">
        <v>0</v>
      </c>
      <c r="BL35" s="504" t="n">
        <v>0</v>
      </c>
      <c r="BM35" s="504" t="n">
        <v>0</v>
      </c>
      <c r="BN35" s="504" t="n">
        <v>0</v>
      </c>
      <c r="BO35" s="504" t="n">
        <v>0</v>
      </c>
      <c r="BP35" s="504" t="n">
        <v>0</v>
      </c>
      <c r="BQ35" s="504" t="n">
        <v>0</v>
      </c>
      <c r="BR35" s="504" t="n">
        <v>0</v>
      </c>
      <c r="BS35" s="504" t="n">
        <v>0</v>
      </c>
      <c r="BT35" s="504" t="n">
        <v>0</v>
      </c>
      <c r="BU35" s="504" t="n">
        <v>0</v>
      </c>
      <c r="BV35" s="504" t="n">
        <v>0</v>
      </c>
      <c r="BW35" s="504" t="n">
        <v>0</v>
      </c>
      <c r="BX35" s="504" t="n">
        <v>0</v>
      </c>
      <c r="BY35" s="504" t="n">
        <v>0</v>
      </c>
      <c r="BZ35" s="504" t="n">
        <v>0</v>
      </c>
      <c r="CA35" s="504" t="n">
        <v>0</v>
      </c>
      <c r="CB35" s="504" t="n">
        <v>0</v>
      </c>
      <c r="CC35" s="504" t="n">
        <v>0</v>
      </c>
      <c r="CD35" s="504" t="n">
        <v>0</v>
      </c>
      <c r="CE35" s="504" t="n">
        <v>0</v>
      </c>
    </row>
    <row r="36" hidden="1" ht="9" customFormat="1" customHeight="1" s="505">
      <c r="A36" s="504" t="n">
        <v>0</v>
      </c>
      <c r="B36" s="504" t="n">
        <v>0</v>
      </c>
      <c r="C36" s="504" t="n">
        <v>0</v>
      </c>
      <c r="D36" s="504" t="n">
        <v>0</v>
      </c>
      <c r="E36" s="504" t="n">
        <v>0</v>
      </c>
      <c r="F36" s="504" t="n">
        <v>0</v>
      </c>
      <c r="G36" s="504" t="n">
        <v>0</v>
      </c>
      <c r="H36" s="504" t="n">
        <v>0</v>
      </c>
      <c r="I36" s="504" t="n">
        <v>0</v>
      </c>
      <c r="J36" s="504" t="n">
        <v>0</v>
      </c>
      <c r="K36" s="504" t="n">
        <v>0</v>
      </c>
      <c r="L36" s="504" t="n">
        <v>0</v>
      </c>
      <c r="M36" s="504" t="n">
        <v>0</v>
      </c>
      <c r="N36" s="504" t="n">
        <v>0</v>
      </c>
      <c r="O36" s="504" t="n">
        <v>0</v>
      </c>
      <c r="P36" s="625" t="n">
        <v>0</v>
      </c>
      <c r="Q36" s="625" t="n">
        <v>0</v>
      </c>
      <c r="R36" s="625" t="n">
        <v>0</v>
      </c>
      <c r="S36" s="625" t="n">
        <v>0</v>
      </c>
      <c r="T36" s="625" t="n">
        <v>0</v>
      </c>
      <c r="U36" s="625" t="n">
        <v>0</v>
      </c>
      <c r="V36" s="625" t="n">
        <v>0</v>
      </c>
      <c r="W36" s="625" t="n">
        <v>0</v>
      </c>
      <c r="X36" s="625" t="n">
        <v>0</v>
      </c>
      <c r="Y36" s="639" t="n">
        <v>0</v>
      </c>
      <c r="Z36" s="639" t="n">
        <v>0</v>
      </c>
      <c r="AA36" s="639" t="n">
        <v>0</v>
      </c>
      <c r="AB36" s="639" t="n">
        <v>0</v>
      </c>
      <c r="AC36" s="611" t="n">
        <v>0</v>
      </c>
      <c r="AD36" s="611" t="n">
        <v>0</v>
      </c>
      <c r="AE36" s="611" t="n">
        <v>0</v>
      </c>
      <c r="AF36" s="611" t="n">
        <v>0</v>
      </c>
      <c r="AG36" s="625" t="n">
        <v>0</v>
      </c>
      <c r="AH36" s="625" t="n">
        <v>0</v>
      </c>
      <c r="AI36" s="625" t="n">
        <v>0</v>
      </c>
      <c r="AJ36" s="625" t="n">
        <v>0</v>
      </c>
      <c r="AK36" s="625" t="n">
        <v>0</v>
      </c>
      <c r="AL36" s="625" t="n">
        <v>0</v>
      </c>
      <c r="AM36" s="625" t="n">
        <v>0</v>
      </c>
      <c r="AN36" s="625" t="n">
        <v>0</v>
      </c>
      <c r="AO36" s="625" t="n">
        <v>0</v>
      </c>
      <c r="AP36" s="639" t="n">
        <v>0</v>
      </c>
      <c r="AQ36" s="639" t="n">
        <v>0</v>
      </c>
      <c r="AR36" s="639" t="n">
        <v>0</v>
      </c>
      <c r="AS36" s="639" t="n">
        <v>0</v>
      </c>
      <c r="AT36" s="611" t="n">
        <v>0</v>
      </c>
      <c r="AU36" s="611" t="n">
        <v>0</v>
      </c>
      <c r="AV36" s="611" t="n">
        <v>0</v>
      </c>
      <c r="AW36" s="611" t="n">
        <v>0</v>
      </c>
      <c r="AX36" s="504" t="n">
        <v>0</v>
      </c>
      <c r="AY36" s="504" t="n">
        <v>0</v>
      </c>
      <c r="AZ36" s="504" t="n">
        <v>0</v>
      </c>
      <c r="BA36" s="504" t="n">
        <v>0</v>
      </c>
      <c r="BB36" s="504" t="n">
        <v>0</v>
      </c>
      <c r="BC36" s="504" t="n">
        <v>0</v>
      </c>
      <c r="BD36" s="504" t="n">
        <v>0</v>
      </c>
      <c r="BE36" s="504" t="n">
        <v>0</v>
      </c>
      <c r="BF36" s="504" t="n">
        <v>0</v>
      </c>
      <c r="BG36" s="504" t="n">
        <v>0</v>
      </c>
      <c r="BH36" s="504" t="n">
        <v>0</v>
      </c>
      <c r="BI36" s="504" t="n">
        <v>0</v>
      </c>
      <c r="BJ36" s="504" t="n">
        <v>0</v>
      </c>
      <c r="BK36" s="504" t="n">
        <v>0</v>
      </c>
      <c r="BL36" s="504" t="n">
        <v>0</v>
      </c>
      <c r="BM36" s="504" t="n">
        <v>0</v>
      </c>
      <c r="BN36" s="504" t="n">
        <v>0</v>
      </c>
      <c r="BO36" s="504" t="n">
        <v>0</v>
      </c>
      <c r="BP36" s="504" t="n">
        <v>0</v>
      </c>
      <c r="BQ36" s="504" t="n">
        <v>0</v>
      </c>
      <c r="BR36" s="504" t="n">
        <v>0</v>
      </c>
      <c r="BS36" s="504" t="n">
        <v>0</v>
      </c>
      <c r="BT36" s="504" t="n">
        <v>0</v>
      </c>
      <c r="BU36" s="504" t="n">
        <v>0</v>
      </c>
      <c r="BV36" s="504" t="n">
        <v>0</v>
      </c>
      <c r="BW36" s="504" t="n">
        <v>0</v>
      </c>
      <c r="BX36" s="504" t="n">
        <v>0</v>
      </c>
      <c r="BY36" s="504" t="n">
        <v>0</v>
      </c>
      <c r="BZ36" s="504" t="n">
        <v>0</v>
      </c>
      <c r="CA36" s="504" t="n">
        <v>0</v>
      </c>
      <c r="CB36" s="504" t="n">
        <v>0</v>
      </c>
      <c r="CC36" s="504" t="n">
        <v>0</v>
      </c>
      <c r="CD36" s="504" t="n">
        <v>0</v>
      </c>
      <c r="CE36" s="504" t="n">
        <v>0</v>
      </c>
    </row>
    <row r="37" hidden="1" ht="9" customFormat="1" customHeight="1" s="505">
      <c r="A37" s="504" t="n">
        <v>0</v>
      </c>
      <c r="B37" s="504" t="n">
        <v>0</v>
      </c>
      <c r="C37" s="504" t="n">
        <v>0</v>
      </c>
      <c r="D37" s="504" t="n">
        <v>0</v>
      </c>
      <c r="E37" s="504" t="n">
        <v>0</v>
      </c>
      <c r="F37" s="504" t="n">
        <v>0</v>
      </c>
      <c r="G37" s="504" t="n">
        <v>0</v>
      </c>
      <c r="H37" s="504" t="n">
        <v>0</v>
      </c>
      <c r="I37" s="504" t="n">
        <v>0</v>
      </c>
      <c r="J37" s="504" t="n">
        <v>0</v>
      </c>
      <c r="K37" s="504" t="n">
        <v>0</v>
      </c>
      <c r="L37" s="504" t="n">
        <v>0</v>
      </c>
      <c r="M37" s="504" t="n">
        <v>0</v>
      </c>
      <c r="N37" s="504" t="n">
        <v>0</v>
      </c>
      <c r="O37" s="504" t="n">
        <v>0</v>
      </c>
      <c r="P37" s="625" t="n">
        <v>0</v>
      </c>
      <c r="Q37" s="625" t="n">
        <v>0</v>
      </c>
      <c r="R37" s="625" t="n">
        <v>0</v>
      </c>
      <c r="S37" s="625" t="n">
        <v>0</v>
      </c>
      <c r="T37" s="625" t="n">
        <v>0</v>
      </c>
      <c r="U37" s="625" t="n">
        <v>0</v>
      </c>
      <c r="V37" s="625" t="n">
        <v>0</v>
      </c>
      <c r="W37" s="625" t="n">
        <v>0</v>
      </c>
      <c r="X37" s="625" t="n">
        <v>0</v>
      </c>
      <c r="Y37" s="639" t="n">
        <v>0</v>
      </c>
      <c r="Z37" s="639" t="n">
        <v>0</v>
      </c>
      <c r="AA37" s="639" t="n">
        <v>0</v>
      </c>
      <c r="AB37" s="639" t="n">
        <v>0</v>
      </c>
      <c r="AC37" s="611" t="n">
        <v>0</v>
      </c>
      <c r="AD37" s="611" t="n">
        <v>0</v>
      </c>
      <c r="AE37" s="611" t="n">
        <v>0</v>
      </c>
      <c r="AF37" s="611" t="n">
        <v>0</v>
      </c>
      <c r="AG37" s="625" t="n">
        <v>0</v>
      </c>
      <c r="AH37" s="625" t="n">
        <v>0</v>
      </c>
      <c r="AI37" s="625" t="n">
        <v>0</v>
      </c>
      <c r="AJ37" s="625" t="n">
        <v>0</v>
      </c>
      <c r="AK37" s="625" t="n">
        <v>0</v>
      </c>
      <c r="AL37" s="625" t="n">
        <v>0</v>
      </c>
      <c r="AM37" s="625" t="n">
        <v>0</v>
      </c>
      <c r="AN37" s="625" t="n">
        <v>0</v>
      </c>
      <c r="AO37" s="625" t="n">
        <v>0</v>
      </c>
      <c r="AP37" s="639" t="n">
        <v>0</v>
      </c>
      <c r="AQ37" s="639" t="n">
        <v>0</v>
      </c>
      <c r="AR37" s="639" t="n">
        <v>0</v>
      </c>
      <c r="AS37" s="639" t="n">
        <v>0</v>
      </c>
      <c r="AT37" s="611" t="n">
        <v>0</v>
      </c>
      <c r="AU37" s="611" t="n">
        <v>0</v>
      </c>
      <c r="AV37" s="611" t="n">
        <v>0</v>
      </c>
      <c r="AW37" s="611" t="n">
        <v>0</v>
      </c>
      <c r="AX37" s="504" t="n">
        <v>0</v>
      </c>
      <c r="AY37" s="504" t="n">
        <v>0</v>
      </c>
      <c r="AZ37" s="504" t="n">
        <v>0</v>
      </c>
      <c r="BA37" s="504" t="n">
        <v>0</v>
      </c>
      <c r="BB37" s="504" t="n">
        <v>0</v>
      </c>
      <c r="BC37" s="504" t="n">
        <v>0</v>
      </c>
      <c r="BD37" s="504" t="n">
        <v>0</v>
      </c>
      <c r="BE37" s="504" t="n">
        <v>0</v>
      </c>
      <c r="BF37" s="504" t="n">
        <v>0</v>
      </c>
      <c r="BG37" s="504" t="n">
        <v>0</v>
      </c>
      <c r="BH37" s="504" t="n">
        <v>0</v>
      </c>
      <c r="BI37" s="504" t="n">
        <v>0</v>
      </c>
      <c r="BJ37" s="504" t="n">
        <v>0</v>
      </c>
      <c r="BK37" s="504" t="n">
        <v>0</v>
      </c>
      <c r="BL37" s="504" t="n">
        <v>0</v>
      </c>
      <c r="BM37" s="504" t="n">
        <v>0</v>
      </c>
      <c r="BN37" s="504" t="n">
        <v>0</v>
      </c>
      <c r="BO37" s="504" t="n">
        <v>0</v>
      </c>
      <c r="BP37" s="504" t="n">
        <v>0</v>
      </c>
      <c r="BQ37" s="504" t="n">
        <v>0</v>
      </c>
      <c r="BR37" s="504" t="n">
        <v>0</v>
      </c>
      <c r="BS37" s="504" t="n">
        <v>0</v>
      </c>
      <c r="BT37" s="504" t="n">
        <v>0</v>
      </c>
      <c r="BU37" s="504" t="n">
        <v>0</v>
      </c>
      <c r="BV37" s="504" t="n">
        <v>0</v>
      </c>
      <c r="BW37" s="504" t="n">
        <v>0</v>
      </c>
      <c r="BX37" s="504" t="n">
        <v>0</v>
      </c>
      <c r="BY37" s="504" t="n">
        <v>0</v>
      </c>
      <c r="BZ37" s="504" t="n">
        <v>0</v>
      </c>
      <c r="CA37" s="504" t="n">
        <v>0</v>
      </c>
      <c r="CB37" s="504" t="n">
        <v>0</v>
      </c>
      <c r="CC37" s="504" t="n">
        <v>0</v>
      </c>
      <c r="CD37" s="504" t="n">
        <v>0</v>
      </c>
      <c r="CE37" s="504" t="n">
        <v>0</v>
      </c>
    </row>
    <row r="38" hidden="1" ht="9" customFormat="1" customHeight="1" s="505">
      <c r="A38" s="504" t="n">
        <v>0</v>
      </c>
      <c r="B38" s="504" t="n">
        <v>0</v>
      </c>
      <c r="C38" s="504" t="n">
        <v>0</v>
      </c>
      <c r="D38" s="504" t="n">
        <v>0</v>
      </c>
      <c r="E38" s="504" t="n">
        <v>0</v>
      </c>
      <c r="F38" s="504" t="n">
        <v>0</v>
      </c>
      <c r="G38" s="504" t="n">
        <v>0</v>
      </c>
      <c r="H38" s="504" t="n">
        <v>0</v>
      </c>
      <c r="I38" s="504" t="n">
        <v>0</v>
      </c>
      <c r="J38" s="504" t="n">
        <v>0</v>
      </c>
      <c r="K38" s="504" t="n">
        <v>0</v>
      </c>
      <c r="L38" s="504" t="n">
        <v>0</v>
      </c>
      <c r="M38" s="504" t="n">
        <v>0</v>
      </c>
      <c r="N38" s="504" t="n">
        <v>0</v>
      </c>
      <c r="O38" s="504" t="n">
        <v>0</v>
      </c>
      <c r="P38" s="625" t="n">
        <v>0</v>
      </c>
      <c r="Q38" s="625" t="n">
        <v>0</v>
      </c>
      <c r="R38" s="625" t="n">
        <v>0</v>
      </c>
      <c r="S38" s="625" t="n">
        <v>0</v>
      </c>
      <c r="T38" s="625" t="n">
        <v>0</v>
      </c>
      <c r="U38" s="625" t="n">
        <v>0</v>
      </c>
      <c r="V38" s="625" t="n">
        <v>0</v>
      </c>
      <c r="W38" s="625" t="n">
        <v>0</v>
      </c>
      <c r="X38" s="625" t="n">
        <v>0</v>
      </c>
      <c r="Y38" s="639" t="n">
        <v>0</v>
      </c>
      <c r="Z38" s="639" t="n">
        <v>0</v>
      </c>
      <c r="AA38" s="639" t="n">
        <v>0</v>
      </c>
      <c r="AB38" s="639" t="n">
        <v>0</v>
      </c>
      <c r="AC38" s="611" t="n">
        <v>0</v>
      </c>
      <c r="AD38" s="611" t="n">
        <v>0</v>
      </c>
      <c r="AE38" s="611" t="n">
        <v>0</v>
      </c>
      <c r="AF38" s="611" t="n">
        <v>0</v>
      </c>
      <c r="AG38" s="625" t="n">
        <v>0</v>
      </c>
      <c r="AH38" s="625" t="n">
        <v>0</v>
      </c>
      <c r="AI38" s="625" t="n">
        <v>0</v>
      </c>
      <c r="AJ38" s="625" t="n">
        <v>0</v>
      </c>
      <c r="AK38" s="625" t="n">
        <v>0</v>
      </c>
      <c r="AL38" s="625" t="n">
        <v>0</v>
      </c>
      <c r="AM38" s="625" t="n">
        <v>0</v>
      </c>
      <c r="AN38" s="625" t="n">
        <v>0</v>
      </c>
      <c r="AO38" s="625" t="n">
        <v>0</v>
      </c>
      <c r="AP38" s="639" t="n">
        <v>0</v>
      </c>
      <c r="AQ38" s="639" t="n">
        <v>0</v>
      </c>
      <c r="AR38" s="639" t="n">
        <v>0</v>
      </c>
      <c r="AS38" s="639" t="n">
        <v>0</v>
      </c>
      <c r="AT38" s="611" t="n">
        <v>0</v>
      </c>
      <c r="AU38" s="611" t="n">
        <v>0</v>
      </c>
      <c r="AV38" s="611" t="n">
        <v>0</v>
      </c>
      <c r="AW38" s="611" t="n">
        <v>0</v>
      </c>
      <c r="AX38" s="504" t="n">
        <v>0</v>
      </c>
      <c r="AY38" s="504" t="n">
        <v>0</v>
      </c>
      <c r="AZ38" s="504" t="n">
        <v>0</v>
      </c>
      <c r="BA38" s="504" t="n">
        <v>0</v>
      </c>
      <c r="BB38" s="504" t="n">
        <v>0</v>
      </c>
      <c r="BC38" s="504" t="n">
        <v>0</v>
      </c>
      <c r="BD38" s="504" t="n">
        <v>0</v>
      </c>
      <c r="BE38" s="504" t="n">
        <v>0</v>
      </c>
      <c r="BF38" s="504" t="n">
        <v>0</v>
      </c>
      <c r="BG38" s="504" t="n">
        <v>0</v>
      </c>
      <c r="BH38" s="504" t="n">
        <v>0</v>
      </c>
      <c r="BI38" s="504" t="n">
        <v>0</v>
      </c>
      <c r="BJ38" s="504" t="n">
        <v>0</v>
      </c>
      <c r="BK38" s="504" t="n">
        <v>0</v>
      </c>
      <c r="BL38" s="504" t="n">
        <v>0</v>
      </c>
      <c r="BM38" s="504" t="n">
        <v>0</v>
      </c>
      <c r="BN38" s="504" t="n">
        <v>0</v>
      </c>
      <c r="BO38" s="504" t="n">
        <v>0</v>
      </c>
      <c r="BP38" s="504" t="n">
        <v>0</v>
      </c>
      <c r="BQ38" s="504" t="n">
        <v>0</v>
      </c>
      <c r="BR38" s="504" t="n">
        <v>0</v>
      </c>
      <c r="BS38" s="504" t="n">
        <v>0</v>
      </c>
      <c r="BT38" s="504" t="n">
        <v>0</v>
      </c>
      <c r="BU38" s="504" t="n">
        <v>0</v>
      </c>
      <c r="BV38" s="504" t="n">
        <v>0</v>
      </c>
      <c r="BW38" s="504" t="n">
        <v>0</v>
      </c>
      <c r="BX38" s="504" t="n">
        <v>0</v>
      </c>
      <c r="BY38" s="504" t="n">
        <v>0</v>
      </c>
      <c r="BZ38" s="504" t="n">
        <v>0</v>
      </c>
      <c r="CA38" s="504" t="n">
        <v>0</v>
      </c>
      <c r="CB38" s="504" t="n">
        <v>0</v>
      </c>
      <c r="CC38" s="504" t="n">
        <v>0</v>
      </c>
      <c r="CD38" s="504" t="n">
        <v>0</v>
      </c>
      <c r="CE38" s="504" t="n">
        <v>0</v>
      </c>
    </row>
    <row r="39" hidden="1" ht="9" customFormat="1" customHeight="1" s="505">
      <c r="A39" s="504" t="n">
        <v>0</v>
      </c>
      <c r="B39" s="504" t="n">
        <v>0</v>
      </c>
      <c r="C39" s="504" t="n">
        <v>0</v>
      </c>
      <c r="D39" s="504" t="n">
        <v>0</v>
      </c>
      <c r="E39" s="504" t="n">
        <v>0</v>
      </c>
      <c r="F39" s="504" t="n">
        <v>0</v>
      </c>
      <c r="G39" s="504" t="n">
        <v>0</v>
      </c>
      <c r="H39" s="504" t="n">
        <v>0</v>
      </c>
      <c r="I39" s="504" t="n">
        <v>0</v>
      </c>
      <c r="J39" s="504" t="n">
        <v>0</v>
      </c>
      <c r="K39" s="504" t="n">
        <v>0</v>
      </c>
      <c r="L39" s="504" t="n">
        <v>0</v>
      </c>
      <c r="M39" s="504" t="n">
        <v>0</v>
      </c>
      <c r="N39" s="504" t="n">
        <v>0</v>
      </c>
      <c r="O39" s="504" t="n">
        <v>0</v>
      </c>
      <c r="P39" s="625" t="n">
        <v>0</v>
      </c>
      <c r="Q39" s="625" t="n">
        <v>0</v>
      </c>
      <c r="R39" s="625" t="n">
        <v>0</v>
      </c>
      <c r="S39" s="625" t="n">
        <v>0</v>
      </c>
      <c r="T39" s="625" t="n">
        <v>0</v>
      </c>
      <c r="U39" s="625" t="n">
        <v>0</v>
      </c>
      <c r="V39" s="625" t="n">
        <v>0</v>
      </c>
      <c r="W39" s="625" t="n">
        <v>0</v>
      </c>
      <c r="X39" s="625" t="n">
        <v>0</v>
      </c>
      <c r="Y39" s="639" t="n">
        <v>0</v>
      </c>
      <c r="Z39" s="639" t="n">
        <v>0</v>
      </c>
      <c r="AA39" s="639" t="n">
        <v>0</v>
      </c>
      <c r="AB39" s="639" t="n">
        <v>0</v>
      </c>
      <c r="AC39" s="611" t="n">
        <v>0</v>
      </c>
      <c r="AD39" s="611" t="n">
        <v>0</v>
      </c>
      <c r="AE39" s="611" t="n">
        <v>0</v>
      </c>
      <c r="AF39" s="611" t="n">
        <v>0</v>
      </c>
      <c r="AG39" s="625" t="n">
        <v>0</v>
      </c>
      <c r="AH39" s="625" t="n">
        <v>0</v>
      </c>
      <c r="AI39" s="625" t="n">
        <v>0</v>
      </c>
      <c r="AJ39" s="625" t="n">
        <v>0</v>
      </c>
      <c r="AK39" s="625" t="n">
        <v>0</v>
      </c>
      <c r="AL39" s="625" t="n">
        <v>0</v>
      </c>
      <c r="AM39" s="625" t="n">
        <v>0</v>
      </c>
      <c r="AN39" s="625" t="n">
        <v>0</v>
      </c>
      <c r="AO39" s="625" t="n">
        <v>0</v>
      </c>
      <c r="AP39" s="639" t="n">
        <v>0</v>
      </c>
      <c r="AQ39" s="639" t="n">
        <v>0</v>
      </c>
      <c r="AR39" s="639" t="n">
        <v>0</v>
      </c>
      <c r="AS39" s="639" t="n">
        <v>0</v>
      </c>
      <c r="AT39" s="611" t="n">
        <v>0</v>
      </c>
      <c r="AU39" s="611" t="n">
        <v>0</v>
      </c>
      <c r="AV39" s="611" t="n">
        <v>0</v>
      </c>
      <c r="AW39" s="611" t="n">
        <v>0</v>
      </c>
      <c r="AX39" s="504" t="n">
        <v>0</v>
      </c>
      <c r="AY39" s="504" t="n">
        <v>0</v>
      </c>
      <c r="AZ39" s="504" t="n">
        <v>0</v>
      </c>
      <c r="BA39" s="504" t="n">
        <v>0</v>
      </c>
      <c r="BB39" s="504" t="n">
        <v>0</v>
      </c>
      <c r="BC39" s="504" t="n">
        <v>0</v>
      </c>
      <c r="BD39" s="504" t="n">
        <v>0</v>
      </c>
      <c r="BE39" s="504" t="n">
        <v>0</v>
      </c>
      <c r="BF39" s="504" t="n">
        <v>0</v>
      </c>
      <c r="BG39" s="504" t="n">
        <v>0</v>
      </c>
      <c r="BH39" s="504" t="n">
        <v>0</v>
      </c>
      <c r="BI39" s="504" t="n">
        <v>0</v>
      </c>
      <c r="BJ39" s="504" t="n">
        <v>0</v>
      </c>
      <c r="BK39" s="504" t="n">
        <v>0</v>
      </c>
      <c r="BL39" s="504" t="n">
        <v>0</v>
      </c>
      <c r="BM39" s="504" t="n">
        <v>0</v>
      </c>
      <c r="BN39" s="504" t="n">
        <v>0</v>
      </c>
      <c r="BO39" s="504" t="n">
        <v>0</v>
      </c>
      <c r="BP39" s="504" t="n">
        <v>0</v>
      </c>
      <c r="BQ39" s="504" t="n">
        <v>0</v>
      </c>
      <c r="BR39" s="504" t="n">
        <v>0</v>
      </c>
      <c r="BS39" s="504" t="n">
        <v>0</v>
      </c>
      <c r="BT39" s="504" t="n">
        <v>0</v>
      </c>
      <c r="BU39" s="504" t="n">
        <v>0</v>
      </c>
      <c r="BV39" s="504" t="n">
        <v>0</v>
      </c>
      <c r="BW39" s="504" t="n">
        <v>0</v>
      </c>
      <c r="BX39" s="504" t="n">
        <v>0</v>
      </c>
      <c r="BY39" s="504" t="n">
        <v>0</v>
      </c>
      <c r="BZ39" s="504" t="n">
        <v>0</v>
      </c>
      <c r="CA39" s="504" t="n">
        <v>0</v>
      </c>
      <c r="CB39" s="504" t="n">
        <v>0</v>
      </c>
      <c r="CC39" s="504" t="n">
        <v>0</v>
      </c>
      <c r="CD39" s="504" t="n">
        <v>0</v>
      </c>
      <c r="CE39" s="504" t="n">
        <v>0</v>
      </c>
    </row>
    <row r="40" hidden="1" ht="9" customFormat="1" customHeight="1" s="505">
      <c r="A40" s="504" t="n">
        <v>0</v>
      </c>
      <c r="B40" s="504" t="n">
        <v>0</v>
      </c>
      <c r="C40" s="504" t="n">
        <v>0</v>
      </c>
      <c r="D40" s="504" t="n">
        <v>0</v>
      </c>
      <c r="E40" s="504" t="n">
        <v>0</v>
      </c>
      <c r="F40" s="504" t="n">
        <v>0</v>
      </c>
      <c r="G40" s="504" t="n">
        <v>0</v>
      </c>
      <c r="H40" s="504" t="n">
        <v>0</v>
      </c>
      <c r="I40" s="504" t="n">
        <v>0</v>
      </c>
      <c r="J40" s="504" t="n">
        <v>0</v>
      </c>
      <c r="K40" s="504" t="n">
        <v>0</v>
      </c>
      <c r="L40" s="504" t="n">
        <v>0</v>
      </c>
      <c r="M40" s="504" t="n">
        <v>0</v>
      </c>
      <c r="N40" s="504" t="n">
        <v>0</v>
      </c>
      <c r="O40" s="504" t="n">
        <v>0</v>
      </c>
      <c r="P40" s="625" t="n">
        <v>0</v>
      </c>
      <c r="Q40" s="625" t="n">
        <v>0</v>
      </c>
      <c r="R40" s="625" t="n">
        <v>0</v>
      </c>
      <c r="S40" s="625" t="n">
        <v>0</v>
      </c>
      <c r="T40" s="625" t="n">
        <v>0</v>
      </c>
      <c r="U40" s="625" t="n">
        <v>0</v>
      </c>
      <c r="V40" s="625" t="n">
        <v>0</v>
      </c>
      <c r="W40" s="625" t="n">
        <v>0</v>
      </c>
      <c r="X40" s="625" t="n">
        <v>0</v>
      </c>
      <c r="Y40" s="639" t="n">
        <v>0</v>
      </c>
      <c r="Z40" s="639" t="n">
        <v>0</v>
      </c>
      <c r="AA40" s="639" t="n">
        <v>0</v>
      </c>
      <c r="AB40" s="639" t="n">
        <v>0</v>
      </c>
      <c r="AC40" s="611" t="n">
        <v>0</v>
      </c>
      <c r="AD40" s="611" t="n">
        <v>0</v>
      </c>
      <c r="AE40" s="611" t="n">
        <v>0</v>
      </c>
      <c r="AF40" s="611" t="n">
        <v>0</v>
      </c>
      <c r="AG40" s="625" t="n">
        <v>0</v>
      </c>
      <c r="AH40" s="625" t="n">
        <v>0</v>
      </c>
      <c r="AI40" s="625" t="n">
        <v>0</v>
      </c>
      <c r="AJ40" s="625" t="n">
        <v>0</v>
      </c>
      <c r="AK40" s="625" t="n">
        <v>0</v>
      </c>
      <c r="AL40" s="625" t="n">
        <v>0</v>
      </c>
      <c r="AM40" s="625" t="n">
        <v>0</v>
      </c>
      <c r="AN40" s="625" t="n">
        <v>0</v>
      </c>
      <c r="AO40" s="625" t="n">
        <v>0</v>
      </c>
      <c r="AP40" s="639" t="n">
        <v>0</v>
      </c>
      <c r="AQ40" s="639" t="n">
        <v>0</v>
      </c>
      <c r="AR40" s="639" t="n">
        <v>0</v>
      </c>
      <c r="AS40" s="639" t="n">
        <v>0</v>
      </c>
      <c r="AT40" s="611" t="n">
        <v>0</v>
      </c>
      <c r="AU40" s="611" t="n">
        <v>0</v>
      </c>
      <c r="AV40" s="611" t="n">
        <v>0</v>
      </c>
      <c r="AW40" s="611" t="n">
        <v>0</v>
      </c>
      <c r="AX40" s="504" t="n">
        <v>0</v>
      </c>
      <c r="AY40" s="504" t="n">
        <v>0</v>
      </c>
      <c r="AZ40" s="504" t="n">
        <v>0</v>
      </c>
      <c r="BA40" s="504" t="n">
        <v>0</v>
      </c>
      <c r="BB40" s="504" t="n">
        <v>0</v>
      </c>
      <c r="BC40" s="504" t="n">
        <v>0</v>
      </c>
      <c r="BD40" s="504" t="n">
        <v>0</v>
      </c>
      <c r="BE40" s="504" t="n">
        <v>0</v>
      </c>
      <c r="BF40" s="504" t="n">
        <v>0</v>
      </c>
      <c r="BG40" s="504" t="n">
        <v>0</v>
      </c>
      <c r="BH40" s="504" t="n">
        <v>0</v>
      </c>
      <c r="BI40" s="504" t="n">
        <v>0</v>
      </c>
      <c r="BJ40" s="504" t="n">
        <v>0</v>
      </c>
      <c r="BK40" s="504" t="n">
        <v>0</v>
      </c>
      <c r="BL40" s="504" t="n">
        <v>0</v>
      </c>
      <c r="BM40" s="504" t="n">
        <v>0</v>
      </c>
      <c r="BN40" s="504" t="n">
        <v>0</v>
      </c>
      <c r="BO40" s="504" t="n">
        <v>0</v>
      </c>
      <c r="BP40" s="504" t="n">
        <v>0</v>
      </c>
      <c r="BQ40" s="504" t="n">
        <v>0</v>
      </c>
      <c r="BR40" s="504" t="n">
        <v>0</v>
      </c>
      <c r="BS40" s="504" t="n">
        <v>0</v>
      </c>
      <c r="BT40" s="504" t="n">
        <v>0</v>
      </c>
      <c r="BU40" s="504" t="n">
        <v>0</v>
      </c>
      <c r="BV40" s="504" t="n">
        <v>0</v>
      </c>
      <c r="BW40" s="504" t="n">
        <v>0</v>
      </c>
      <c r="BX40" s="504" t="n">
        <v>0</v>
      </c>
      <c r="BY40" s="504" t="n">
        <v>0</v>
      </c>
      <c r="BZ40" s="504" t="n">
        <v>0</v>
      </c>
      <c r="CA40" s="504" t="n">
        <v>0</v>
      </c>
      <c r="CB40" s="504" t="n">
        <v>0</v>
      </c>
      <c r="CC40" s="504" t="n">
        <v>0</v>
      </c>
      <c r="CD40" s="504" t="n">
        <v>0</v>
      </c>
      <c r="CE40" s="504" t="n">
        <v>0</v>
      </c>
    </row>
    <row r="41" hidden="1" ht="9" customFormat="1" customHeight="1" s="505">
      <c r="A41" s="504" t="n">
        <v>0</v>
      </c>
      <c r="B41" s="504" t="n">
        <v>0</v>
      </c>
      <c r="C41" s="504" t="n">
        <v>0</v>
      </c>
      <c r="D41" s="504" t="n">
        <v>0</v>
      </c>
      <c r="E41" s="504" t="n">
        <v>0</v>
      </c>
      <c r="F41" s="504" t="n">
        <v>0</v>
      </c>
      <c r="G41" s="504" t="n">
        <v>0</v>
      </c>
      <c r="H41" s="504" t="n">
        <v>0</v>
      </c>
      <c r="I41" s="504" t="n">
        <v>0</v>
      </c>
      <c r="J41" s="504" t="n">
        <v>0</v>
      </c>
      <c r="K41" s="504" t="n">
        <v>0</v>
      </c>
      <c r="L41" s="504" t="n">
        <v>0</v>
      </c>
      <c r="M41" s="504" t="n">
        <v>0</v>
      </c>
      <c r="N41" s="504" t="n">
        <v>0</v>
      </c>
      <c r="O41" s="504" t="n">
        <v>0</v>
      </c>
      <c r="P41" s="625" t="n">
        <v>0</v>
      </c>
      <c r="Q41" s="625" t="n">
        <v>0</v>
      </c>
      <c r="R41" s="625" t="n">
        <v>0</v>
      </c>
      <c r="S41" s="625" t="n">
        <v>0</v>
      </c>
      <c r="T41" s="625" t="n">
        <v>0</v>
      </c>
      <c r="U41" s="625" t="n">
        <v>0</v>
      </c>
      <c r="V41" s="625" t="n">
        <v>0</v>
      </c>
      <c r="W41" s="625" t="n">
        <v>0</v>
      </c>
      <c r="X41" s="625" t="n">
        <v>0</v>
      </c>
      <c r="Y41" s="639" t="n">
        <v>0</v>
      </c>
      <c r="Z41" s="639" t="n">
        <v>0</v>
      </c>
      <c r="AA41" s="639" t="n">
        <v>0</v>
      </c>
      <c r="AB41" s="639" t="n">
        <v>0</v>
      </c>
      <c r="AC41" s="611" t="n">
        <v>0</v>
      </c>
      <c r="AD41" s="611" t="n">
        <v>0</v>
      </c>
      <c r="AE41" s="611" t="n">
        <v>0</v>
      </c>
      <c r="AF41" s="611" t="n">
        <v>0</v>
      </c>
      <c r="AG41" s="625" t="n">
        <v>0</v>
      </c>
      <c r="AH41" s="625" t="n">
        <v>0</v>
      </c>
      <c r="AI41" s="625" t="n">
        <v>0</v>
      </c>
      <c r="AJ41" s="625" t="n">
        <v>0</v>
      </c>
      <c r="AK41" s="625" t="n">
        <v>0</v>
      </c>
      <c r="AL41" s="625" t="n">
        <v>0</v>
      </c>
      <c r="AM41" s="625" t="n">
        <v>0</v>
      </c>
      <c r="AN41" s="625" t="n">
        <v>0</v>
      </c>
      <c r="AO41" s="625" t="n">
        <v>0</v>
      </c>
      <c r="AP41" s="639" t="n">
        <v>0</v>
      </c>
      <c r="AQ41" s="639" t="n">
        <v>0</v>
      </c>
      <c r="AR41" s="639" t="n">
        <v>0</v>
      </c>
      <c r="AS41" s="639" t="n">
        <v>0</v>
      </c>
      <c r="AT41" s="611" t="n">
        <v>0</v>
      </c>
      <c r="AU41" s="611" t="n">
        <v>0</v>
      </c>
      <c r="AV41" s="611" t="n">
        <v>0</v>
      </c>
      <c r="AW41" s="611" t="n">
        <v>0</v>
      </c>
      <c r="AX41" s="504" t="n">
        <v>0</v>
      </c>
      <c r="AY41" s="504" t="n">
        <v>0</v>
      </c>
      <c r="AZ41" s="504" t="n">
        <v>0</v>
      </c>
      <c r="BA41" s="504" t="n">
        <v>0</v>
      </c>
      <c r="BB41" s="504" t="n">
        <v>0</v>
      </c>
      <c r="BC41" s="504" t="n">
        <v>0</v>
      </c>
      <c r="BD41" s="504" t="n">
        <v>0</v>
      </c>
      <c r="BE41" s="504" t="n">
        <v>0</v>
      </c>
      <c r="BF41" s="504" t="n">
        <v>0</v>
      </c>
      <c r="BG41" s="504" t="n">
        <v>0</v>
      </c>
      <c r="BH41" s="504" t="n">
        <v>0</v>
      </c>
      <c r="BI41" s="504" t="n">
        <v>0</v>
      </c>
      <c r="BJ41" s="504" t="n">
        <v>0</v>
      </c>
      <c r="BK41" s="504" t="n">
        <v>0</v>
      </c>
      <c r="BL41" s="504" t="n">
        <v>0</v>
      </c>
      <c r="BM41" s="504" t="n">
        <v>0</v>
      </c>
      <c r="BN41" s="504" t="n">
        <v>0</v>
      </c>
      <c r="BO41" s="504" t="n">
        <v>0</v>
      </c>
      <c r="BP41" s="504" t="n">
        <v>0</v>
      </c>
      <c r="BQ41" s="504" t="n">
        <v>0</v>
      </c>
      <c r="BR41" s="504" t="n">
        <v>0</v>
      </c>
      <c r="BS41" s="504" t="n">
        <v>0</v>
      </c>
      <c r="BT41" s="504" t="n">
        <v>0</v>
      </c>
      <c r="BU41" s="504" t="n">
        <v>0</v>
      </c>
      <c r="BV41" s="504" t="n">
        <v>0</v>
      </c>
      <c r="BW41" s="504" t="n">
        <v>0</v>
      </c>
      <c r="BX41" s="504" t="n">
        <v>0</v>
      </c>
      <c r="BY41" s="504" t="n">
        <v>0</v>
      </c>
      <c r="BZ41" s="504" t="n">
        <v>0</v>
      </c>
      <c r="CA41" s="504" t="n">
        <v>0</v>
      </c>
      <c r="CB41" s="504" t="n">
        <v>0</v>
      </c>
      <c r="CC41" s="504" t="n">
        <v>0</v>
      </c>
      <c r="CD41" s="504" t="n">
        <v>0</v>
      </c>
      <c r="CE41" s="504" t="n">
        <v>0</v>
      </c>
    </row>
    <row r="42" hidden="1" ht="9" customFormat="1" customHeight="1" s="505">
      <c r="A42" s="504" t="n">
        <v>0</v>
      </c>
      <c r="B42" s="504" t="n">
        <v>0</v>
      </c>
      <c r="C42" s="504" t="n">
        <v>0</v>
      </c>
      <c r="D42" s="504" t="n">
        <v>0</v>
      </c>
      <c r="E42" s="504" t="n">
        <v>0</v>
      </c>
      <c r="F42" s="504" t="n">
        <v>0</v>
      </c>
      <c r="G42" s="504" t="n">
        <v>0</v>
      </c>
      <c r="H42" s="504" t="n">
        <v>0</v>
      </c>
      <c r="I42" s="504" t="n">
        <v>0</v>
      </c>
      <c r="J42" s="504" t="n">
        <v>0</v>
      </c>
      <c r="K42" s="504" t="n">
        <v>0</v>
      </c>
      <c r="L42" s="504" t="n">
        <v>0</v>
      </c>
      <c r="M42" s="504" t="n">
        <v>0</v>
      </c>
      <c r="N42" s="504" t="n">
        <v>0</v>
      </c>
      <c r="O42" s="504" t="n">
        <v>0</v>
      </c>
      <c r="P42" s="625" t="n">
        <v>0</v>
      </c>
      <c r="Q42" s="625" t="n">
        <v>0</v>
      </c>
      <c r="R42" s="625" t="n">
        <v>0</v>
      </c>
      <c r="S42" s="625" t="n">
        <v>0</v>
      </c>
      <c r="T42" s="625" t="n">
        <v>0</v>
      </c>
      <c r="U42" s="625" t="n">
        <v>0</v>
      </c>
      <c r="V42" s="625" t="n">
        <v>0</v>
      </c>
      <c r="W42" s="625" t="n">
        <v>0</v>
      </c>
      <c r="X42" s="625" t="n">
        <v>0</v>
      </c>
      <c r="Y42" s="639" t="n">
        <v>0</v>
      </c>
      <c r="Z42" s="639" t="n">
        <v>0</v>
      </c>
      <c r="AA42" s="639" t="n">
        <v>0</v>
      </c>
      <c r="AB42" s="639" t="n">
        <v>0</v>
      </c>
      <c r="AC42" s="611" t="n">
        <v>0</v>
      </c>
      <c r="AD42" s="611" t="n">
        <v>0</v>
      </c>
      <c r="AE42" s="611" t="n">
        <v>0</v>
      </c>
      <c r="AF42" s="611" t="n">
        <v>0</v>
      </c>
      <c r="AG42" s="625" t="n">
        <v>0</v>
      </c>
      <c r="AH42" s="625" t="n">
        <v>0</v>
      </c>
      <c r="AI42" s="625" t="n">
        <v>0</v>
      </c>
      <c r="AJ42" s="625" t="n">
        <v>0</v>
      </c>
      <c r="AK42" s="625" t="n">
        <v>0</v>
      </c>
      <c r="AL42" s="625" t="n">
        <v>0</v>
      </c>
      <c r="AM42" s="625" t="n">
        <v>0</v>
      </c>
      <c r="AN42" s="625" t="n">
        <v>0</v>
      </c>
      <c r="AO42" s="625" t="n">
        <v>0</v>
      </c>
      <c r="AP42" s="639" t="n">
        <v>0</v>
      </c>
      <c r="AQ42" s="639" t="n">
        <v>0</v>
      </c>
      <c r="AR42" s="639" t="n">
        <v>0</v>
      </c>
      <c r="AS42" s="639" t="n">
        <v>0</v>
      </c>
      <c r="AT42" s="611" t="n">
        <v>0</v>
      </c>
      <c r="AU42" s="611" t="n">
        <v>0</v>
      </c>
      <c r="AV42" s="611" t="n">
        <v>0</v>
      </c>
      <c r="AW42" s="611" t="n">
        <v>0</v>
      </c>
      <c r="AX42" s="504" t="n">
        <v>0</v>
      </c>
      <c r="AY42" s="504" t="n">
        <v>0</v>
      </c>
      <c r="AZ42" s="504" t="n">
        <v>0</v>
      </c>
      <c r="BA42" s="504" t="n">
        <v>0</v>
      </c>
      <c r="BB42" s="504" t="n">
        <v>0</v>
      </c>
      <c r="BC42" s="504" t="n">
        <v>0</v>
      </c>
      <c r="BD42" s="504" t="n">
        <v>0</v>
      </c>
      <c r="BE42" s="504" t="n">
        <v>0</v>
      </c>
      <c r="BF42" s="504" t="n">
        <v>0</v>
      </c>
      <c r="BG42" s="504" t="n">
        <v>0</v>
      </c>
      <c r="BH42" s="504" t="n">
        <v>0</v>
      </c>
      <c r="BI42" s="504" t="n">
        <v>0</v>
      </c>
      <c r="BJ42" s="504" t="n">
        <v>0</v>
      </c>
      <c r="BK42" s="504" t="n">
        <v>0</v>
      </c>
      <c r="BL42" s="504" t="n">
        <v>0</v>
      </c>
      <c r="BM42" s="504" t="n">
        <v>0</v>
      </c>
      <c r="BN42" s="504" t="n">
        <v>0</v>
      </c>
      <c r="BO42" s="504" t="n">
        <v>0</v>
      </c>
      <c r="BP42" s="504" t="n">
        <v>0</v>
      </c>
      <c r="BQ42" s="504" t="n">
        <v>0</v>
      </c>
      <c r="BR42" s="504" t="n">
        <v>0</v>
      </c>
      <c r="BS42" s="504" t="n">
        <v>0</v>
      </c>
      <c r="BT42" s="504" t="n">
        <v>0</v>
      </c>
      <c r="BU42" s="504" t="n">
        <v>0</v>
      </c>
      <c r="BV42" s="504" t="n">
        <v>0</v>
      </c>
      <c r="BW42" s="504" t="n">
        <v>0</v>
      </c>
      <c r="BX42" s="504" t="n">
        <v>0</v>
      </c>
      <c r="BY42" s="504" t="n">
        <v>0</v>
      </c>
      <c r="BZ42" s="504" t="n">
        <v>0</v>
      </c>
      <c r="CA42" s="504" t="n">
        <v>0</v>
      </c>
      <c r="CB42" s="504" t="n">
        <v>0</v>
      </c>
      <c r="CC42" s="504" t="n">
        <v>0</v>
      </c>
      <c r="CD42" s="504" t="n">
        <v>0</v>
      </c>
      <c r="CE42" s="504" t="n">
        <v>0</v>
      </c>
    </row>
    <row r="43" hidden="1" ht="9" customFormat="1" customHeight="1" s="505">
      <c r="A43" s="504" t="n">
        <v>0</v>
      </c>
      <c r="B43" s="504" t="n">
        <v>0</v>
      </c>
      <c r="C43" s="504" t="n">
        <v>0</v>
      </c>
      <c r="D43" s="504" t="n">
        <v>0</v>
      </c>
      <c r="E43" s="504" t="n">
        <v>0</v>
      </c>
      <c r="F43" s="504" t="n">
        <v>0</v>
      </c>
      <c r="G43" s="504" t="n">
        <v>0</v>
      </c>
      <c r="H43" s="504" t="n">
        <v>0</v>
      </c>
      <c r="I43" s="504" t="n">
        <v>0</v>
      </c>
      <c r="J43" s="504" t="n">
        <v>0</v>
      </c>
      <c r="K43" s="504" t="n">
        <v>0</v>
      </c>
      <c r="L43" s="504" t="n">
        <v>0</v>
      </c>
      <c r="M43" s="504" t="n">
        <v>0</v>
      </c>
      <c r="N43" s="504" t="n">
        <v>0</v>
      </c>
      <c r="O43" s="504" t="n">
        <v>0</v>
      </c>
      <c r="P43" s="625" t="n">
        <v>0</v>
      </c>
      <c r="Q43" s="625" t="n">
        <v>0</v>
      </c>
      <c r="R43" s="625" t="n">
        <v>0</v>
      </c>
      <c r="S43" s="625" t="n">
        <v>0</v>
      </c>
      <c r="T43" s="625" t="n">
        <v>0</v>
      </c>
      <c r="U43" s="625" t="n">
        <v>0</v>
      </c>
      <c r="V43" s="625" t="n">
        <v>0</v>
      </c>
      <c r="W43" s="625" t="n">
        <v>0</v>
      </c>
      <c r="X43" s="625" t="n">
        <v>0</v>
      </c>
      <c r="Y43" s="639" t="n">
        <v>0</v>
      </c>
      <c r="Z43" s="639" t="n">
        <v>0</v>
      </c>
      <c r="AA43" s="639" t="n">
        <v>0</v>
      </c>
      <c r="AB43" s="639" t="n">
        <v>0</v>
      </c>
      <c r="AC43" s="611" t="n">
        <v>0</v>
      </c>
      <c r="AD43" s="611" t="n">
        <v>0</v>
      </c>
      <c r="AE43" s="611" t="n">
        <v>0</v>
      </c>
      <c r="AF43" s="611" t="n">
        <v>0</v>
      </c>
      <c r="AG43" s="625" t="n">
        <v>0</v>
      </c>
      <c r="AH43" s="625" t="n">
        <v>0</v>
      </c>
      <c r="AI43" s="625" t="n">
        <v>0</v>
      </c>
      <c r="AJ43" s="625" t="n">
        <v>0</v>
      </c>
      <c r="AK43" s="625" t="n">
        <v>0</v>
      </c>
      <c r="AL43" s="625" t="n">
        <v>0</v>
      </c>
      <c r="AM43" s="625" t="n">
        <v>0</v>
      </c>
      <c r="AN43" s="625" t="n">
        <v>0</v>
      </c>
      <c r="AO43" s="625" t="n">
        <v>0</v>
      </c>
      <c r="AP43" s="639" t="n">
        <v>0</v>
      </c>
      <c r="AQ43" s="639" t="n">
        <v>0</v>
      </c>
      <c r="AR43" s="639" t="n">
        <v>0</v>
      </c>
      <c r="AS43" s="639" t="n">
        <v>0</v>
      </c>
      <c r="AT43" s="611" t="n">
        <v>0</v>
      </c>
      <c r="AU43" s="611" t="n">
        <v>0</v>
      </c>
      <c r="AV43" s="611" t="n">
        <v>0</v>
      </c>
      <c r="AW43" s="611" t="n">
        <v>0</v>
      </c>
      <c r="AX43" s="504" t="n">
        <v>0</v>
      </c>
      <c r="AY43" s="504" t="n">
        <v>0</v>
      </c>
      <c r="AZ43" s="504" t="n">
        <v>0</v>
      </c>
      <c r="BA43" s="504" t="n">
        <v>0</v>
      </c>
      <c r="BB43" s="504" t="n">
        <v>0</v>
      </c>
      <c r="BC43" s="504" t="n">
        <v>0</v>
      </c>
      <c r="BD43" s="504" t="n">
        <v>0</v>
      </c>
      <c r="BE43" s="504" t="n">
        <v>0</v>
      </c>
      <c r="BF43" s="504" t="n">
        <v>0</v>
      </c>
      <c r="BG43" s="504" t="n">
        <v>0</v>
      </c>
      <c r="BH43" s="504" t="n">
        <v>0</v>
      </c>
      <c r="BI43" s="504" t="n">
        <v>0</v>
      </c>
      <c r="BJ43" s="504" t="n">
        <v>0</v>
      </c>
      <c r="BK43" s="504" t="n">
        <v>0</v>
      </c>
      <c r="BL43" s="504" t="n">
        <v>0</v>
      </c>
      <c r="BM43" s="504" t="n">
        <v>0</v>
      </c>
      <c r="BN43" s="504" t="n">
        <v>0</v>
      </c>
      <c r="BO43" s="504" t="n">
        <v>0</v>
      </c>
      <c r="BP43" s="504" t="n">
        <v>0</v>
      </c>
      <c r="BQ43" s="504" t="n">
        <v>0</v>
      </c>
      <c r="BR43" s="504" t="n">
        <v>0</v>
      </c>
      <c r="BS43" s="504" t="n">
        <v>0</v>
      </c>
      <c r="BT43" s="504" t="n">
        <v>0</v>
      </c>
      <c r="BU43" s="504" t="n">
        <v>0</v>
      </c>
      <c r="BV43" s="504" t="n">
        <v>0</v>
      </c>
      <c r="BW43" s="504" t="n">
        <v>0</v>
      </c>
      <c r="BX43" s="504" t="n">
        <v>0</v>
      </c>
      <c r="BY43" s="504" t="n">
        <v>0</v>
      </c>
      <c r="BZ43" s="504" t="n">
        <v>0</v>
      </c>
      <c r="CA43" s="504" t="n">
        <v>0</v>
      </c>
      <c r="CB43" s="504" t="n">
        <v>0</v>
      </c>
      <c r="CC43" s="504" t="n">
        <v>0</v>
      </c>
      <c r="CD43" s="504" t="n">
        <v>0</v>
      </c>
      <c r="CE43" s="504" t="n">
        <v>0</v>
      </c>
    </row>
    <row r="44" hidden="1" ht="9" customFormat="1" customHeight="1" s="505">
      <c r="A44" s="504" t="n">
        <v>0</v>
      </c>
      <c r="B44" s="504" t="n">
        <v>0</v>
      </c>
      <c r="C44" s="504" t="n">
        <v>0</v>
      </c>
      <c r="D44" s="504" t="n">
        <v>0</v>
      </c>
      <c r="E44" s="504" t="n">
        <v>0</v>
      </c>
      <c r="F44" s="504" t="n">
        <v>0</v>
      </c>
      <c r="G44" s="504" t="n">
        <v>0</v>
      </c>
      <c r="H44" s="504" t="n">
        <v>0</v>
      </c>
      <c r="I44" s="504" t="n">
        <v>0</v>
      </c>
      <c r="J44" s="504" t="n">
        <v>0</v>
      </c>
      <c r="K44" s="504" t="n">
        <v>0</v>
      </c>
      <c r="L44" s="504" t="n">
        <v>0</v>
      </c>
      <c r="M44" s="504" t="n">
        <v>0</v>
      </c>
      <c r="N44" s="504" t="n">
        <v>0</v>
      </c>
      <c r="O44" s="504" t="n">
        <v>0</v>
      </c>
      <c r="P44" s="625" t="n">
        <v>0</v>
      </c>
      <c r="Q44" s="625" t="n">
        <v>0</v>
      </c>
      <c r="R44" s="625" t="n">
        <v>0</v>
      </c>
      <c r="S44" s="625" t="n">
        <v>0</v>
      </c>
      <c r="T44" s="625" t="n">
        <v>0</v>
      </c>
      <c r="U44" s="625" t="n">
        <v>0</v>
      </c>
      <c r="V44" s="625" t="n">
        <v>0</v>
      </c>
      <c r="W44" s="625" t="n">
        <v>0</v>
      </c>
      <c r="X44" s="625" t="n">
        <v>0</v>
      </c>
      <c r="Y44" s="639" t="n">
        <v>0</v>
      </c>
      <c r="Z44" s="639" t="n">
        <v>0</v>
      </c>
      <c r="AA44" s="639" t="n">
        <v>0</v>
      </c>
      <c r="AB44" s="639" t="n">
        <v>0</v>
      </c>
      <c r="AC44" s="611" t="n">
        <v>0</v>
      </c>
      <c r="AD44" s="611" t="n">
        <v>0</v>
      </c>
      <c r="AE44" s="611" t="n">
        <v>0</v>
      </c>
      <c r="AF44" s="611" t="n">
        <v>0</v>
      </c>
      <c r="AG44" s="625" t="n">
        <v>0</v>
      </c>
      <c r="AH44" s="625" t="n">
        <v>0</v>
      </c>
      <c r="AI44" s="625" t="n">
        <v>0</v>
      </c>
      <c r="AJ44" s="625" t="n">
        <v>0</v>
      </c>
      <c r="AK44" s="625" t="n">
        <v>0</v>
      </c>
      <c r="AL44" s="625" t="n">
        <v>0</v>
      </c>
      <c r="AM44" s="625" t="n">
        <v>0</v>
      </c>
      <c r="AN44" s="625" t="n">
        <v>0</v>
      </c>
      <c r="AO44" s="625" t="n">
        <v>0</v>
      </c>
      <c r="AP44" s="639" t="n">
        <v>0</v>
      </c>
      <c r="AQ44" s="639" t="n">
        <v>0</v>
      </c>
      <c r="AR44" s="639" t="n">
        <v>0</v>
      </c>
      <c r="AS44" s="639" t="n">
        <v>0</v>
      </c>
      <c r="AT44" s="611" t="n">
        <v>0</v>
      </c>
      <c r="AU44" s="611" t="n">
        <v>0</v>
      </c>
      <c r="AV44" s="611" t="n">
        <v>0</v>
      </c>
      <c r="AW44" s="611" t="n">
        <v>0</v>
      </c>
      <c r="AX44" s="504" t="n">
        <v>0</v>
      </c>
      <c r="AY44" s="504" t="n">
        <v>0</v>
      </c>
      <c r="AZ44" s="504" t="n">
        <v>0</v>
      </c>
      <c r="BA44" s="504" t="n">
        <v>0</v>
      </c>
      <c r="BB44" s="504" t="n">
        <v>0</v>
      </c>
      <c r="BC44" s="504" t="n">
        <v>0</v>
      </c>
      <c r="BD44" s="504" t="n">
        <v>0</v>
      </c>
      <c r="BE44" s="504" t="n">
        <v>0</v>
      </c>
      <c r="BF44" s="504" t="n">
        <v>0</v>
      </c>
      <c r="BG44" s="504" t="n">
        <v>0</v>
      </c>
      <c r="BH44" s="504" t="n">
        <v>0</v>
      </c>
      <c r="BI44" s="504" t="n">
        <v>0</v>
      </c>
      <c r="BJ44" s="504" t="n">
        <v>0</v>
      </c>
      <c r="BK44" s="504" t="n">
        <v>0</v>
      </c>
      <c r="BL44" s="504" t="n">
        <v>0</v>
      </c>
      <c r="BM44" s="504" t="n">
        <v>0</v>
      </c>
      <c r="BN44" s="504" t="n">
        <v>0</v>
      </c>
      <c r="BO44" s="504" t="n">
        <v>0</v>
      </c>
      <c r="BP44" s="504" t="n">
        <v>0</v>
      </c>
      <c r="BQ44" s="504" t="n">
        <v>0</v>
      </c>
      <c r="BR44" s="504" t="n">
        <v>0</v>
      </c>
      <c r="BS44" s="504" t="n">
        <v>0</v>
      </c>
      <c r="BT44" s="504" t="n">
        <v>0</v>
      </c>
      <c r="BU44" s="504" t="n">
        <v>0</v>
      </c>
      <c r="BV44" s="504" t="n">
        <v>0</v>
      </c>
      <c r="BW44" s="504" t="n">
        <v>0</v>
      </c>
      <c r="BX44" s="504" t="n">
        <v>0</v>
      </c>
      <c r="BY44" s="504" t="n">
        <v>0</v>
      </c>
      <c r="BZ44" s="504" t="n">
        <v>0</v>
      </c>
      <c r="CA44" s="504" t="n">
        <v>0</v>
      </c>
      <c r="CB44" s="504" t="n">
        <v>0</v>
      </c>
      <c r="CC44" s="504" t="n">
        <v>0</v>
      </c>
      <c r="CD44" s="504" t="n">
        <v>0</v>
      </c>
      <c r="CE44" s="504" t="n">
        <v>0</v>
      </c>
    </row>
    <row r="45" hidden="1" ht="9" customFormat="1" customHeight="1" s="505">
      <c r="A45" s="504" t="n">
        <v>0</v>
      </c>
      <c r="B45" s="504" t="n">
        <v>0</v>
      </c>
      <c r="C45" s="504" t="n">
        <v>0</v>
      </c>
      <c r="D45" s="504" t="n">
        <v>0</v>
      </c>
      <c r="E45" s="504" t="n">
        <v>0</v>
      </c>
      <c r="F45" s="504" t="n">
        <v>0</v>
      </c>
      <c r="G45" s="504" t="n">
        <v>0</v>
      </c>
      <c r="H45" s="504" t="n">
        <v>0</v>
      </c>
      <c r="I45" s="504" t="n">
        <v>0</v>
      </c>
      <c r="J45" s="504" t="n">
        <v>0</v>
      </c>
      <c r="K45" s="504" t="n">
        <v>0</v>
      </c>
      <c r="L45" s="504" t="n">
        <v>0</v>
      </c>
      <c r="M45" s="504" t="n">
        <v>0</v>
      </c>
      <c r="N45" s="504" t="n">
        <v>0</v>
      </c>
      <c r="O45" s="504" t="n">
        <v>0</v>
      </c>
      <c r="P45" s="625" t="n">
        <v>0</v>
      </c>
      <c r="Q45" s="625" t="n">
        <v>0</v>
      </c>
      <c r="R45" s="625" t="n">
        <v>0</v>
      </c>
      <c r="S45" s="625" t="n">
        <v>0</v>
      </c>
      <c r="T45" s="625" t="n">
        <v>0</v>
      </c>
      <c r="U45" s="625" t="n">
        <v>0</v>
      </c>
      <c r="V45" s="625" t="n">
        <v>0</v>
      </c>
      <c r="W45" s="625" t="n">
        <v>0</v>
      </c>
      <c r="X45" s="625" t="n">
        <v>0</v>
      </c>
      <c r="Y45" s="639" t="n">
        <v>0</v>
      </c>
      <c r="Z45" s="639" t="n">
        <v>0</v>
      </c>
      <c r="AA45" s="639" t="n">
        <v>0</v>
      </c>
      <c r="AB45" s="639" t="n">
        <v>0</v>
      </c>
      <c r="AC45" s="611" t="n">
        <v>0</v>
      </c>
      <c r="AD45" s="611" t="n">
        <v>0</v>
      </c>
      <c r="AE45" s="611" t="n">
        <v>0</v>
      </c>
      <c r="AF45" s="611" t="n">
        <v>0</v>
      </c>
      <c r="AG45" s="625" t="n">
        <v>0</v>
      </c>
      <c r="AH45" s="625" t="n">
        <v>0</v>
      </c>
      <c r="AI45" s="625" t="n">
        <v>0</v>
      </c>
      <c r="AJ45" s="625" t="n">
        <v>0</v>
      </c>
      <c r="AK45" s="625" t="n">
        <v>0</v>
      </c>
      <c r="AL45" s="625" t="n">
        <v>0</v>
      </c>
      <c r="AM45" s="625" t="n">
        <v>0</v>
      </c>
      <c r="AN45" s="625" t="n">
        <v>0</v>
      </c>
      <c r="AO45" s="625" t="n">
        <v>0</v>
      </c>
      <c r="AP45" s="639" t="n">
        <v>0</v>
      </c>
      <c r="AQ45" s="639" t="n">
        <v>0</v>
      </c>
      <c r="AR45" s="639" t="n">
        <v>0</v>
      </c>
      <c r="AS45" s="639" t="n">
        <v>0</v>
      </c>
      <c r="AT45" s="611" t="n">
        <v>0</v>
      </c>
      <c r="AU45" s="611" t="n">
        <v>0</v>
      </c>
      <c r="AV45" s="611" t="n">
        <v>0</v>
      </c>
      <c r="AW45" s="611" t="n">
        <v>0</v>
      </c>
      <c r="AX45" s="504" t="n">
        <v>0</v>
      </c>
      <c r="AY45" s="504" t="n">
        <v>0</v>
      </c>
      <c r="AZ45" s="504" t="n">
        <v>0</v>
      </c>
      <c r="BA45" s="504" t="n">
        <v>0</v>
      </c>
      <c r="BB45" s="504" t="n">
        <v>0</v>
      </c>
      <c r="BC45" s="504" t="n">
        <v>0</v>
      </c>
      <c r="BD45" s="504" t="n">
        <v>0</v>
      </c>
      <c r="BE45" s="504" t="n">
        <v>0</v>
      </c>
      <c r="BF45" s="504" t="n">
        <v>0</v>
      </c>
      <c r="BG45" s="504" t="n">
        <v>0</v>
      </c>
      <c r="BH45" s="504" t="n">
        <v>0</v>
      </c>
      <c r="BI45" s="504" t="n">
        <v>0</v>
      </c>
      <c r="BJ45" s="504" t="n">
        <v>0</v>
      </c>
      <c r="BK45" s="504" t="n">
        <v>0</v>
      </c>
      <c r="BL45" s="504" t="n">
        <v>0</v>
      </c>
      <c r="BM45" s="504" t="n">
        <v>0</v>
      </c>
      <c r="BN45" s="504" t="n">
        <v>0</v>
      </c>
      <c r="BO45" s="504" t="n">
        <v>0</v>
      </c>
      <c r="BP45" s="504" t="n">
        <v>0</v>
      </c>
      <c r="BQ45" s="504" t="n">
        <v>0</v>
      </c>
      <c r="BR45" s="504" t="n">
        <v>0</v>
      </c>
      <c r="BS45" s="504" t="n">
        <v>0</v>
      </c>
      <c r="BT45" s="504" t="n">
        <v>0</v>
      </c>
      <c r="BU45" s="504" t="n">
        <v>0</v>
      </c>
      <c r="BV45" s="504" t="n">
        <v>0</v>
      </c>
      <c r="BW45" s="504" t="n">
        <v>0</v>
      </c>
      <c r="BX45" s="504" t="n">
        <v>0</v>
      </c>
      <c r="BY45" s="504" t="n">
        <v>0</v>
      </c>
      <c r="BZ45" s="504" t="n">
        <v>0</v>
      </c>
      <c r="CA45" s="504" t="n">
        <v>0</v>
      </c>
      <c r="CB45" s="504" t="n">
        <v>0</v>
      </c>
      <c r="CC45" s="504" t="n">
        <v>0</v>
      </c>
      <c r="CD45" s="504" t="n">
        <v>0</v>
      </c>
      <c r="CE45" s="504" t="n">
        <v>0</v>
      </c>
    </row>
    <row r="46" hidden="1" ht="9" customFormat="1" customHeight="1" s="505">
      <c r="A46" s="504" t="n">
        <v>0</v>
      </c>
      <c r="B46" s="504" t="n">
        <v>0</v>
      </c>
      <c r="C46" s="504" t="n">
        <v>0</v>
      </c>
      <c r="D46" s="504" t="n">
        <v>0</v>
      </c>
      <c r="E46" s="504" t="n">
        <v>0</v>
      </c>
      <c r="F46" s="504" t="n">
        <v>0</v>
      </c>
      <c r="G46" s="504" t="n">
        <v>0</v>
      </c>
      <c r="H46" s="504" t="n">
        <v>0</v>
      </c>
      <c r="I46" s="504" t="n">
        <v>0</v>
      </c>
      <c r="J46" s="504" t="n">
        <v>0</v>
      </c>
      <c r="K46" s="504" t="n">
        <v>0</v>
      </c>
      <c r="L46" s="504" t="n">
        <v>0</v>
      </c>
      <c r="M46" s="504" t="n">
        <v>0</v>
      </c>
      <c r="N46" s="504" t="n">
        <v>0</v>
      </c>
      <c r="O46" s="504" t="n">
        <v>0</v>
      </c>
      <c r="P46" s="625" t="n">
        <v>0</v>
      </c>
      <c r="Q46" s="625" t="n">
        <v>0</v>
      </c>
      <c r="R46" s="625" t="n">
        <v>0</v>
      </c>
      <c r="S46" s="625" t="n">
        <v>0</v>
      </c>
      <c r="T46" s="625" t="n">
        <v>0</v>
      </c>
      <c r="U46" s="625" t="n">
        <v>0</v>
      </c>
      <c r="V46" s="625" t="n">
        <v>0</v>
      </c>
      <c r="W46" s="625" t="n">
        <v>0</v>
      </c>
      <c r="X46" s="625" t="n">
        <v>0</v>
      </c>
      <c r="Y46" s="639" t="n">
        <v>0</v>
      </c>
      <c r="Z46" s="639" t="n">
        <v>0</v>
      </c>
      <c r="AA46" s="639" t="n">
        <v>0</v>
      </c>
      <c r="AB46" s="639" t="n">
        <v>0</v>
      </c>
      <c r="AC46" s="611" t="n">
        <v>0</v>
      </c>
      <c r="AD46" s="611" t="n">
        <v>0</v>
      </c>
      <c r="AE46" s="611" t="n">
        <v>0</v>
      </c>
      <c r="AF46" s="611" t="n">
        <v>0</v>
      </c>
      <c r="AG46" s="625" t="n">
        <v>0</v>
      </c>
      <c r="AH46" s="625" t="n">
        <v>0</v>
      </c>
      <c r="AI46" s="625" t="n">
        <v>0</v>
      </c>
      <c r="AJ46" s="625" t="n">
        <v>0</v>
      </c>
      <c r="AK46" s="625" t="n">
        <v>0</v>
      </c>
      <c r="AL46" s="625" t="n">
        <v>0</v>
      </c>
      <c r="AM46" s="625" t="n">
        <v>0</v>
      </c>
      <c r="AN46" s="625" t="n">
        <v>0</v>
      </c>
      <c r="AO46" s="625" t="n">
        <v>0</v>
      </c>
      <c r="AP46" s="639" t="n">
        <v>0</v>
      </c>
      <c r="AQ46" s="639" t="n">
        <v>0</v>
      </c>
      <c r="AR46" s="639" t="n">
        <v>0</v>
      </c>
      <c r="AS46" s="639" t="n">
        <v>0</v>
      </c>
      <c r="AT46" s="611" t="n">
        <v>0</v>
      </c>
      <c r="AU46" s="611" t="n">
        <v>0</v>
      </c>
      <c r="AV46" s="611" t="n">
        <v>0</v>
      </c>
      <c r="AW46" s="611" t="n">
        <v>0</v>
      </c>
      <c r="AX46" s="504" t="n">
        <v>0</v>
      </c>
      <c r="AY46" s="504" t="n">
        <v>0</v>
      </c>
      <c r="AZ46" s="504" t="n">
        <v>0</v>
      </c>
      <c r="BA46" s="504" t="n">
        <v>0</v>
      </c>
      <c r="BB46" s="504" t="n">
        <v>0</v>
      </c>
      <c r="BC46" s="504" t="n">
        <v>0</v>
      </c>
      <c r="BD46" s="504" t="n">
        <v>0</v>
      </c>
      <c r="BE46" s="504" t="n">
        <v>0</v>
      </c>
      <c r="BF46" s="504" t="n">
        <v>0</v>
      </c>
      <c r="BG46" s="504" t="n">
        <v>0</v>
      </c>
      <c r="BH46" s="504" t="n">
        <v>0</v>
      </c>
      <c r="BI46" s="504" t="n">
        <v>0</v>
      </c>
      <c r="BJ46" s="504" t="n">
        <v>0</v>
      </c>
      <c r="BK46" s="504" t="n">
        <v>0</v>
      </c>
      <c r="BL46" s="504" t="n">
        <v>0</v>
      </c>
      <c r="BM46" s="504" t="n">
        <v>0</v>
      </c>
      <c r="BN46" s="504" t="n">
        <v>0</v>
      </c>
      <c r="BO46" s="504" t="n">
        <v>0</v>
      </c>
      <c r="BP46" s="504" t="n">
        <v>0</v>
      </c>
      <c r="BQ46" s="504" t="n">
        <v>0</v>
      </c>
      <c r="BR46" s="504" t="n">
        <v>0</v>
      </c>
      <c r="BS46" s="504" t="n">
        <v>0</v>
      </c>
      <c r="BT46" s="504" t="n">
        <v>0</v>
      </c>
      <c r="BU46" s="504" t="n">
        <v>0</v>
      </c>
      <c r="BV46" s="504" t="n">
        <v>0</v>
      </c>
      <c r="BW46" s="504" t="n">
        <v>0</v>
      </c>
      <c r="BX46" s="504" t="n">
        <v>0</v>
      </c>
      <c r="BY46" s="504" t="n">
        <v>0</v>
      </c>
      <c r="BZ46" s="504" t="n">
        <v>0</v>
      </c>
      <c r="CA46" s="504" t="n">
        <v>0</v>
      </c>
      <c r="CB46" s="504" t="n">
        <v>0</v>
      </c>
      <c r="CC46" s="504" t="n">
        <v>0</v>
      </c>
      <c r="CD46" s="504" t="n">
        <v>0</v>
      </c>
      <c r="CE46" s="504" t="n">
        <v>0</v>
      </c>
    </row>
    <row r="47" hidden="1" ht="9" customFormat="1" customHeight="1" s="505">
      <c r="A47" s="504" t="n">
        <v>0</v>
      </c>
      <c r="B47" s="504" t="n">
        <v>0</v>
      </c>
      <c r="C47" s="504" t="n">
        <v>0</v>
      </c>
      <c r="D47" s="504" t="n">
        <v>0</v>
      </c>
      <c r="E47" s="504" t="n">
        <v>0</v>
      </c>
      <c r="F47" s="504" t="n">
        <v>0</v>
      </c>
      <c r="G47" s="504" t="n">
        <v>0</v>
      </c>
      <c r="H47" s="504" t="n">
        <v>0</v>
      </c>
      <c r="I47" s="504" t="n">
        <v>0</v>
      </c>
      <c r="J47" s="504" t="n">
        <v>0</v>
      </c>
      <c r="K47" s="504" t="n">
        <v>0</v>
      </c>
      <c r="L47" s="504" t="n">
        <v>0</v>
      </c>
      <c r="M47" s="504" t="n">
        <v>0</v>
      </c>
      <c r="N47" s="504" t="n">
        <v>0</v>
      </c>
      <c r="O47" s="504" t="n">
        <v>0</v>
      </c>
      <c r="P47" s="625" t="n">
        <v>0</v>
      </c>
      <c r="Q47" s="625" t="n">
        <v>0</v>
      </c>
      <c r="R47" s="625" t="n">
        <v>0</v>
      </c>
      <c r="S47" s="625" t="n">
        <v>0</v>
      </c>
      <c r="T47" s="625" t="n">
        <v>0</v>
      </c>
      <c r="U47" s="625" t="n">
        <v>0</v>
      </c>
      <c r="V47" s="625" t="n">
        <v>0</v>
      </c>
      <c r="W47" s="625" t="n">
        <v>0</v>
      </c>
      <c r="X47" s="625" t="n">
        <v>0</v>
      </c>
      <c r="Y47" s="639" t="n">
        <v>0</v>
      </c>
      <c r="Z47" s="639" t="n">
        <v>0</v>
      </c>
      <c r="AA47" s="639" t="n">
        <v>0</v>
      </c>
      <c r="AB47" s="639" t="n">
        <v>0</v>
      </c>
      <c r="AC47" s="611" t="n">
        <v>0</v>
      </c>
      <c r="AD47" s="611" t="n">
        <v>0</v>
      </c>
      <c r="AE47" s="611" t="n">
        <v>0</v>
      </c>
      <c r="AF47" s="611" t="n">
        <v>0</v>
      </c>
      <c r="AG47" s="625" t="n">
        <v>0</v>
      </c>
      <c r="AH47" s="625" t="n">
        <v>0</v>
      </c>
      <c r="AI47" s="625" t="n">
        <v>0</v>
      </c>
      <c r="AJ47" s="625" t="n">
        <v>0</v>
      </c>
      <c r="AK47" s="625" t="n">
        <v>0</v>
      </c>
      <c r="AL47" s="625" t="n">
        <v>0</v>
      </c>
      <c r="AM47" s="625" t="n">
        <v>0</v>
      </c>
      <c r="AN47" s="625" t="n">
        <v>0</v>
      </c>
      <c r="AO47" s="625" t="n">
        <v>0</v>
      </c>
      <c r="AP47" s="639" t="n">
        <v>0</v>
      </c>
      <c r="AQ47" s="639" t="n">
        <v>0</v>
      </c>
      <c r="AR47" s="639" t="n">
        <v>0</v>
      </c>
      <c r="AS47" s="639" t="n">
        <v>0</v>
      </c>
      <c r="AT47" s="611" t="n">
        <v>0</v>
      </c>
      <c r="AU47" s="611" t="n">
        <v>0</v>
      </c>
      <c r="AV47" s="611" t="n">
        <v>0</v>
      </c>
      <c r="AW47" s="611" t="n">
        <v>0</v>
      </c>
      <c r="AX47" s="504" t="n">
        <v>0</v>
      </c>
      <c r="AY47" s="504" t="n">
        <v>0</v>
      </c>
      <c r="AZ47" s="504" t="n">
        <v>0</v>
      </c>
      <c r="BA47" s="504" t="n">
        <v>0</v>
      </c>
      <c r="BB47" s="504" t="n">
        <v>0</v>
      </c>
      <c r="BC47" s="504" t="n">
        <v>0</v>
      </c>
      <c r="BD47" s="504" t="n">
        <v>0</v>
      </c>
      <c r="BE47" s="504" t="n">
        <v>0</v>
      </c>
      <c r="BF47" s="504" t="n">
        <v>0</v>
      </c>
      <c r="BG47" s="504" t="n">
        <v>0</v>
      </c>
      <c r="BH47" s="504" t="n">
        <v>0</v>
      </c>
      <c r="BI47" s="504" t="n">
        <v>0</v>
      </c>
      <c r="BJ47" s="504" t="n">
        <v>0</v>
      </c>
      <c r="BK47" s="504" t="n">
        <v>0</v>
      </c>
      <c r="BL47" s="504" t="n">
        <v>0</v>
      </c>
      <c r="BM47" s="504" t="n">
        <v>0</v>
      </c>
      <c r="BN47" s="504" t="n">
        <v>0</v>
      </c>
      <c r="BO47" s="504" t="n">
        <v>0</v>
      </c>
      <c r="BP47" s="504" t="n">
        <v>0</v>
      </c>
      <c r="BQ47" s="504" t="n">
        <v>0</v>
      </c>
      <c r="BR47" s="504" t="n">
        <v>0</v>
      </c>
      <c r="BS47" s="504" t="n">
        <v>0</v>
      </c>
      <c r="BT47" s="504" t="n">
        <v>0</v>
      </c>
      <c r="BU47" s="504" t="n">
        <v>0</v>
      </c>
      <c r="BV47" s="504" t="n">
        <v>0</v>
      </c>
      <c r="BW47" s="504" t="n">
        <v>0</v>
      </c>
      <c r="BX47" s="504" t="n">
        <v>0</v>
      </c>
      <c r="BY47" s="504" t="n">
        <v>0</v>
      </c>
      <c r="BZ47" s="504" t="n">
        <v>0</v>
      </c>
      <c r="CA47" s="504" t="n">
        <v>0</v>
      </c>
      <c r="CB47" s="504" t="n">
        <v>0</v>
      </c>
      <c r="CC47" s="504" t="n">
        <v>0</v>
      </c>
      <c r="CD47" s="504" t="n">
        <v>0</v>
      </c>
      <c r="CE47" s="504" t="n">
        <v>0</v>
      </c>
    </row>
    <row r="48" hidden="1" ht="9" customFormat="1" customHeight="1" s="505">
      <c r="A48" s="504" t="n">
        <v>0</v>
      </c>
      <c r="B48" s="504" t="n">
        <v>0</v>
      </c>
      <c r="C48" s="504" t="n">
        <v>0</v>
      </c>
      <c r="D48" s="504" t="n">
        <v>0</v>
      </c>
      <c r="E48" s="504" t="n">
        <v>0</v>
      </c>
      <c r="F48" s="504" t="n">
        <v>0</v>
      </c>
      <c r="G48" s="504" t="n">
        <v>0</v>
      </c>
      <c r="H48" s="504" t="n">
        <v>0</v>
      </c>
      <c r="I48" s="504" t="n">
        <v>0</v>
      </c>
      <c r="J48" s="504" t="n">
        <v>0</v>
      </c>
      <c r="K48" s="504" t="n">
        <v>0</v>
      </c>
      <c r="L48" s="504" t="n">
        <v>0</v>
      </c>
      <c r="M48" s="504" t="n">
        <v>0</v>
      </c>
      <c r="N48" s="504" t="n">
        <v>0</v>
      </c>
      <c r="O48" s="504" t="n">
        <v>0</v>
      </c>
      <c r="P48" s="625" t="n">
        <v>0</v>
      </c>
      <c r="Q48" s="625" t="n">
        <v>0</v>
      </c>
      <c r="R48" s="625" t="n">
        <v>0</v>
      </c>
      <c r="S48" s="625" t="n">
        <v>0</v>
      </c>
      <c r="T48" s="625" t="n">
        <v>0</v>
      </c>
      <c r="U48" s="625" t="n">
        <v>0</v>
      </c>
      <c r="V48" s="625" t="n">
        <v>0</v>
      </c>
      <c r="W48" s="625" t="n">
        <v>0</v>
      </c>
      <c r="X48" s="625" t="n">
        <v>0</v>
      </c>
      <c r="Y48" s="639" t="n">
        <v>0</v>
      </c>
      <c r="Z48" s="639" t="n">
        <v>0</v>
      </c>
      <c r="AA48" s="639" t="n">
        <v>0</v>
      </c>
      <c r="AB48" s="639" t="n">
        <v>0</v>
      </c>
      <c r="AC48" s="611" t="n">
        <v>0</v>
      </c>
      <c r="AD48" s="611" t="n">
        <v>0</v>
      </c>
      <c r="AE48" s="611" t="n">
        <v>0</v>
      </c>
      <c r="AF48" s="611" t="n">
        <v>0</v>
      </c>
      <c r="AG48" s="625" t="n">
        <v>0</v>
      </c>
      <c r="AH48" s="625" t="n">
        <v>0</v>
      </c>
      <c r="AI48" s="625" t="n">
        <v>0</v>
      </c>
      <c r="AJ48" s="625" t="n">
        <v>0</v>
      </c>
      <c r="AK48" s="625" t="n">
        <v>0</v>
      </c>
      <c r="AL48" s="625" t="n">
        <v>0</v>
      </c>
      <c r="AM48" s="625" t="n">
        <v>0</v>
      </c>
      <c r="AN48" s="625" t="n">
        <v>0</v>
      </c>
      <c r="AO48" s="625" t="n">
        <v>0</v>
      </c>
      <c r="AP48" s="639" t="n">
        <v>0</v>
      </c>
      <c r="AQ48" s="639" t="n">
        <v>0</v>
      </c>
      <c r="AR48" s="639" t="n">
        <v>0</v>
      </c>
      <c r="AS48" s="639" t="n">
        <v>0</v>
      </c>
      <c r="AT48" s="611" t="n">
        <v>0</v>
      </c>
      <c r="AU48" s="611" t="n">
        <v>0</v>
      </c>
      <c r="AV48" s="611" t="n">
        <v>0</v>
      </c>
      <c r="AW48" s="611" t="n">
        <v>0</v>
      </c>
      <c r="AX48" s="504" t="n">
        <v>0</v>
      </c>
      <c r="AY48" s="504" t="n">
        <v>0</v>
      </c>
      <c r="AZ48" s="504" t="n">
        <v>0</v>
      </c>
      <c r="BA48" s="504" t="n">
        <v>0</v>
      </c>
      <c r="BB48" s="504" t="n">
        <v>0</v>
      </c>
      <c r="BC48" s="504" t="n">
        <v>0</v>
      </c>
      <c r="BD48" s="504" t="n">
        <v>0</v>
      </c>
      <c r="BE48" s="504" t="n">
        <v>0</v>
      </c>
      <c r="BF48" s="504" t="n">
        <v>0</v>
      </c>
      <c r="BG48" s="504" t="n">
        <v>0</v>
      </c>
      <c r="BH48" s="504" t="n">
        <v>0</v>
      </c>
      <c r="BI48" s="504" t="n">
        <v>0</v>
      </c>
      <c r="BJ48" s="504" t="n">
        <v>0</v>
      </c>
      <c r="BK48" s="504" t="n">
        <v>0</v>
      </c>
      <c r="BL48" s="504" t="n">
        <v>0</v>
      </c>
      <c r="BM48" s="504" t="n">
        <v>0</v>
      </c>
      <c r="BN48" s="504" t="n">
        <v>0</v>
      </c>
      <c r="BO48" s="504" t="n">
        <v>0</v>
      </c>
      <c r="BP48" s="504" t="n">
        <v>0</v>
      </c>
      <c r="BQ48" s="504" t="n">
        <v>0</v>
      </c>
      <c r="BR48" s="504" t="n">
        <v>0</v>
      </c>
      <c r="BS48" s="504" t="n">
        <v>0</v>
      </c>
      <c r="BT48" s="504" t="n">
        <v>0</v>
      </c>
      <c r="BU48" s="504" t="n">
        <v>0</v>
      </c>
      <c r="BV48" s="504" t="n">
        <v>0</v>
      </c>
      <c r="BW48" s="504" t="n">
        <v>0</v>
      </c>
      <c r="BX48" s="504" t="n">
        <v>0</v>
      </c>
      <c r="BY48" s="504" t="n">
        <v>0</v>
      </c>
      <c r="BZ48" s="504" t="n">
        <v>0</v>
      </c>
      <c r="CA48" s="504" t="n">
        <v>0</v>
      </c>
      <c r="CB48" s="504" t="n">
        <v>0</v>
      </c>
      <c r="CC48" s="504" t="n">
        <v>0</v>
      </c>
      <c r="CD48" s="504" t="n">
        <v>0</v>
      </c>
      <c r="CE48" s="504" t="n">
        <v>0</v>
      </c>
    </row>
    <row r="49" hidden="1" ht="9" customFormat="1" customHeight="1" s="505">
      <c r="A49" s="504" t="n">
        <v>0</v>
      </c>
      <c r="B49" s="504" t="n">
        <v>0</v>
      </c>
      <c r="C49" s="504" t="n">
        <v>0</v>
      </c>
      <c r="D49" s="504" t="n">
        <v>0</v>
      </c>
      <c r="E49" s="504" t="n">
        <v>0</v>
      </c>
      <c r="F49" s="504" t="n">
        <v>0</v>
      </c>
      <c r="G49" s="504" t="n">
        <v>0</v>
      </c>
      <c r="H49" s="504" t="n">
        <v>0</v>
      </c>
      <c r="I49" s="504" t="n">
        <v>0</v>
      </c>
      <c r="J49" s="504" t="n">
        <v>0</v>
      </c>
      <c r="K49" s="504" t="n">
        <v>0</v>
      </c>
      <c r="L49" s="504" t="n">
        <v>0</v>
      </c>
      <c r="M49" s="504" t="n">
        <v>0</v>
      </c>
      <c r="N49" s="504" t="n">
        <v>0</v>
      </c>
      <c r="O49" s="504" t="n">
        <v>0</v>
      </c>
      <c r="P49" s="625" t="n">
        <v>0</v>
      </c>
      <c r="Q49" s="625" t="n">
        <v>0</v>
      </c>
      <c r="R49" s="625" t="n">
        <v>0</v>
      </c>
      <c r="S49" s="625" t="n">
        <v>0</v>
      </c>
      <c r="T49" s="625" t="n">
        <v>0</v>
      </c>
      <c r="U49" s="625" t="n">
        <v>0</v>
      </c>
      <c r="V49" s="625" t="n">
        <v>0</v>
      </c>
      <c r="W49" s="625" t="n">
        <v>0</v>
      </c>
      <c r="X49" s="625" t="n">
        <v>0</v>
      </c>
      <c r="Y49" s="639" t="n">
        <v>0</v>
      </c>
      <c r="Z49" s="639" t="n">
        <v>0</v>
      </c>
      <c r="AA49" s="639" t="n">
        <v>0</v>
      </c>
      <c r="AB49" s="639" t="n">
        <v>0</v>
      </c>
      <c r="AC49" s="611" t="n">
        <v>0</v>
      </c>
      <c r="AD49" s="611" t="n">
        <v>0</v>
      </c>
      <c r="AE49" s="611" t="n">
        <v>0</v>
      </c>
      <c r="AF49" s="611" t="n">
        <v>0</v>
      </c>
      <c r="AG49" s="625" t="n">
        <v>0</v>
      </c>
      <c r="AH49" s="625" t="n">
        <v>0</v>
      </c>
      <c r="AI49" s="625" t="n">
        <v>0</v>
      </c>
      <c r="AJ49" s="625" t="n">
        <v>0</v>
      </c>
      <c r="AK49" s="625" t="n">
        <v>0</v>
      </c>
      <c r="AL49" s="625" t="n">
        <v>0</v>
      </c>
      <c r="AM49" s="625" t="n">
        <v>0</v>
      </c>
      <c r="AN49" s="625" t="n">
        <v>0</v>
      </c>
      <c r="AO49" s="625" t="n">
        <v>0</v>
      </c>
      <c r="AP49" s="639" t="n">
        <v>0</v>
      </c>
      <c r="AQ49" s="639" t="n">
        <v>0</v>
      </c>
      <c r="AR49" s="639" t="n">
        <v>0</v>
      </c>
      <c r="AS49" s="639" t="n">
        <v>0</v>
      </c>
      <c r="AT49" s="611" t="n">
        <v>0</v>
      </c>
      <c r="AU49" s="611" t="n">
        <v>0</v>
      </c>
      <c r="AV49" s="611" t="n">
        <v>0</v>
      </c>
      <c r="AW49" s="611" t="n">
        <v>0</v>
      </c>
      <c r="AX49" s="504" t="n">
        <v>0</v>
      </c>
      <c r="AY49" s="504" t="n">
        <v>0</v>
      </c>
      <c r="AZ49" s="504" t="n">
        <v>0</v>
      </c>
      <c r="BA49" s="504" t="n">
        <v>0</v>
      </c>
      <c r="BB49" s="504" t="n">
        <v>0</v>
      </c>
      <c r="BC49" s="504" t="n">
        <v>0</v>
      </c>
      <c r="BD49" s="504" t="n">
        <v>0</v>
      </c>
      <c r="BE49" s="504" t="n">
        <v>0</v>
      </c>
      <c r="BF49" s="504" t="n">
        <v>0</v>
      </c>
      <c r="BG49" s="504" t="n">
        <v>0</v>
      </c>
      <c r="BH49" s="504" t="n">
        <v>0</v>
      </c>
      <c r="BI49" s="504" t="n">
        <v>0</v>
      </c>
      <c r="BJ49" s="504" t="n">
        <v>0</v>
      </c>
      <c r="BK49" s="504" t="n">
        <v>0</v>
      </c>
      <c r="BL49" s="504" t="n">
        <v>0</v>
      </c>
      <c r="BM49" s="504" t="n">
        <v>0</v>
      </c>
      <c r="BN49" s="504" t="n">
        <v>0</v>
      </c>
      <c r="BO49" s="504" t="n">
        <v>0</v>
      </c>
      <c r="BP49" s="504" t="n">
        <v>0</v>
      </c>
      <c r="BQ49" s="504" t="n">
        <v>0</v>
      </c>
      <c r="BR49" s="504" t="n">
        <v>0</v>
      </c>
      <c r="BS49" s="504" t="n">
        <v>0</v>
      </c>
      <c r="BT49" s="504" t="n">
        <v>0</v>
      </c>
      <c r="BU49" s="504" t="n">
        <v>0</v>
      </c>
      <c r="BV49" s="504" t="n">
        <v>0</v>
      </c>
      <c r="BW49" s="504" t="n">
        <v>0</v>
      </c>
      <c r="BX49" s="504" t="n">
        <v>0</v>
      </c>
      <c r="BY49" s="504" t="n">
        <v>0</v>
      </c>
      <c r="BZ49" s="504" t="n">
        <v>0</v>
      </c>
      <c r="CA49" s="504" t="n">
        <v>0</v>
      </c>
      <c r="CB49" s="504" t="n">
        <v>0</v>
      </c>
      <c r="CC49" s="504" t="n">
        <v>0</v>
      </c>
      <c r="CD49" s="504" t="n">
        <v>0</v>
      </c>
      <c r="CE49" s="504" t="n">
        <v>0</v>
      </c>
    </row>
    <row r="50" hidden="1" ht="9" customFormat="1" customHeight="1" s="505">
      <c r="A50" s="504" t="n">
        <v>0</v>
      </c>
      <c r="B50" s="504" t="n">
        <v>0</v>
      </c>
      <c r="C50" s="504" t="n">
        <v>0</v>
      </c>
      <c r="D50" s="504" t="n">
        <v>0</v>
      </c>
      <c r="E50" s="504" t="n">
        <v>0</v>
      </c>
      <c r="F50" s="504" t="n">
        <v>0</v>
      </c>
      <c r="G50" s="504" t="n">
        <v>0</v>
      </c>
      <c r="H50" s="504" t="n">
        <v>0</v>
      </c>
      <c r="I50" s="504" t="n">
        <v>0</v>
      </c>
      <c r="J50" s="504" t="n">
        <v>0</v>
      </c>
      <c r="K50" s="504" t="n">
        <v>0</v>
      </c>
      <c r="L50" s="504" t="n">
        <v>0</v>
      </c>
      <c r="M50" s="504" t="n">
        <v>0</v>
      </c>
      <c r="N50" s="504" t="n">
        <v>0</v>
      </c>
      <c r="O50" s="504" t="n">
        <v>0</v>
      </c>
      <c r="P50" s="625" t="n">
        <v>0</v>
      </c>
      <c r="Q50" s="625" t="n">
        <v>0</v>
      </c>
      <c r="R50" s="625" t="n">
        <v>0</v>
      </c>
      <c r="S50" s="625" t="n">
        <v>0</v>
      </c>
      <c r="T50" s="625" t="n">
        <v>0</v>
      </c>
      <c r="U50" s="625" t="n">
        <v>0</v>
      </c>
      <c r="V50" s="625" t="n">
        <v>0</v>
      </c>
      <c r="W50" s="625" t="n">
        <v>0</v>
      </c>
      <c r="X50" s="625" t="n">
        <v>0</v>
      </c>
      <c r="Y50" s="639" t="n">
        <v>0</v>
      </c>
      <c r="Z50" s="639" t="n">
        <v>0</v>
      </c>
      <c r="AA50" s="639" t="n">
        <v>0</v>
      </c>
      <c r="AB50" s="639" t="n">
        <v>0</v>
      </c>
      <c r="AC50" s="611" t="n">
        <v>0</v>
      </c>
      <c r="AD50" s="611" t="n">
        <v>0</v>
      </c>
      <c r="AE50" s="611" t="n">
        <v>0</v>
      </c>
      <c r="AF50" s="611" t="n">
        <v>0</v>
      </c>
      <c r="AG50" s="625" t="n">
        <v>0</v>
      </c>
      <c r="AH50" s="625" t="n">
        <v>0</v>
      </c>
      <c r="AI50" s="625" t="n">
        <v>0</v>
      </c>
      <c r="AJ50" s="625" t="n">
        <v>0</v>
      </c>
      <c r="AK50" s="625" t="n">
        <v>0</v>
      </c>
      <c r="AL50" s="625" t="n">
        <v>0</v>
      </c>
      <c r="AM50" s="625" t="n">
        <v>0</v>
      </c>
      <c r="AN50" s="625" t="n">
        <v>0</v>
      </c>
      <c r="AO50" s="625" t="n">
        <v>0</v>
      </c>
      <c r="AP50" s="639" t="n">
        <v>0</v>
      </c>
      <c r="AQ50" s="639" t="n">
        <v>0</v>
      </c>
      <c r="AR50" s="639" t="n">
        <v>0</v>
      </c>
      <c r="AS50" s="639" t="n">
        <v>0</v>
      </c>
      <c r="AT50" s="611" t="n">
        <v>0</v>
      </c>
      <c r="AU50" s="611" t="n">
        <v>0</v>
      </c>
      <c r="AV50" s="611" t="n">
        <v>0</v>
      </c>
      <c r="AW50" s="611" t="n">
        <v>0</v>
      </c>
      <c r="AX50" s="504" t="n">
        <v>0</v>
      </c>
      <c r="AY50" s="504" t="n">
        <v>0</v>
      </c>
      <c r="AZ50" s="504" t="n">
        <v>0</v>
      </c>
      <c r="BA50" s="504" t="n">
        <v>0</v>
      </c>
      <c r="BB50" s="504" t="n">
        <v>0</v>
      </c>
      <c r="BC50" s="504" t="n">
        <v>0</v>
      </c>
      <c r="BD50" s="504" t="n">
        <v>0</v>
      </c>
      <c r="BE50" s="504" t="n">
        <v>0</v>
      </c>
      <c r="BF50" s="504" t="n">
        <v>0</v>
      </c>
      <c r="BG50" s="504" t="n">
        <v>0</v>
      </c>
      <c r="BH50" s="504" t="n">
        <v>0</v>
      </c>
      <c r="BI50" s="504" t="n">
        <v>0</v>
      </c>
      <c r="BJ50" s="504" t="n">
        <v>0</v>
      </c>
      <c r="BK50" s="504" t="n">
        <v>0</v>
      </c>
      <c r="BL50" s="504" t="n">
        <v>0</v>
      </c>
      <c r="BM50" s="504" t="n">
        <v>0</v>
      </c>
      <c r="BN50" s="504" t="n">
        <v>0</v>
      </c>
      <c r="BO50" s="504" t="n">
        <v>0</v>
      </c>
      <c r="BP50" s="504" t="n">
        <v>0</v>
      </c>
      <c r="BQ50" s="504" t="n">
        <v>0</v>
      </c>
      <c r="BR50" s="504" t="n">
        <v>0</v>
      </c>
      <c r="BS50" s="504" t="n">
        <v>0</v>
      </c>
      <c r="BT50" s="504" t="n">
        <v>0</v>
      </c>
      <c r="BU50" s="504" t="n">
        <v>0</v>
      </c>
      <c r="BV50" s="504" t="n">
        <v>0</v>
      </c>
      <c r="BW50" s="504" t="n">
        <v>0</v>
      </c>
      <c r="BX50" s="504" t="n">
        <v>0</v>
      </c>
      <c r="BY50" s="504" t="n">
        <v>0</v>
      </c>
      <c r="BZ50" s="504" t="n">
        <v>0</v>
      </c>
      <c r="CA50" s="504" t="n">
        <v>0</v>
      </c>
      <c r="CB50" s="504" t="n">
        <v>0</v>
      </c>
      <c r="CC50" s="504" t="n">
        <v>0</v>
      </c>
      <c r="CD50" s="504" t="n">
        <v>0</v>
      </c>
      <c r="CE50" s="504" t="n">
        <v>0</v>
      </c>
    </row>
    <row r="51" hidden="1" ht="9" customFormat="1" customHeight="1" s="505">
      <c r="A51" s="504" t="n">
        <v>0</v>
      </c>
      <c r="B51" s="504" t="n">
        <v>0</v>
      </c>
      <c r="C51" s="504" t="n">
        <v>0</v>
      </c>
      <c r="D51" s="504" t="n">
        <v>0</v>
      </c>
      <c r="E51" s="504" t="n">
        <v>0</v>
      </c>
      <c r="F51" s="504" t="n">
        <v>0</v>
      </c>
      <c r="G51" s="504" t="n">
        <v>0</v>
      </c>
      <c r="H51" s="504" t="n">
        <v>0</v>
      </c>
      <c r="I51" s="504" t="n">
        <v>0</v>
      </c>
      <c r="J51" s="504" t="n">
        <v>0</v>
      </c>
      <c r="K51" s="504" t="n">
        <v>0</v>
      </c>
      <c r="L51" s="504" t="n">
        <v>0</v>
      </c>
      <c r="M51" s="504" t="n">
        <v>0</v>
      </c>
      <c r="N51" s="504" t="n">
        <v>0</v>
      </c>
      <c r="O51" s="504" t="n">
        <v>0</v>
      </c>
      <c r="P51" s="625" t="n">
        <v>0</v>
      </c>
      <c r="Q51" s="625" t="n">
        <v>0</v>
      </c>
      <c r="R51" s="625" t="n">
        <v>0</v>
      </c>
      <c r="S51" s="625" t="n">
        <v>0</v>
      </c>
      <c r="T51" s="625" t="n">
        <v>0</v>
      </c>
      <c r="U51" s="625" t="n">
        <v>0</v>
      </c>
      <c r="V51" s="625" t="n">
        <v>0</v>
      </c>
      <c r="W51" s="625" t="n">
        <v>0</v>
      </c>
      <c r="X51" s="625" t="n">
        <v>0</v>
      </c>
      <c r="Y51" s="639" t="n">
        <v>0</v>
      </c>
      <c r="Z51" s="639" t="n">
        <v>0</v>
      </c>
      <c r="AA51" s="639" t="n">
        <v>0</v>
      </c>
      <c r="AB51" s="639" t="n">
        <v>0</v>
      </c>
      <c r="AC51" s="611" t="n">
        <v>0</v>
      </c>
      <c r="AD51" s="611" t="n">
        <v>0</v>
      </c>
      <c r="AE51" s="611" t="n">
        <v>0</v>
      </c>
      <c r="AF51" s="611" t="n">
        <v>0</v>
      </c>
      <c r="AG51" s="625" t="n">
        <v>0</v>
      </c>
      <c r="AH51" s="625" t="n">
        <v>0</v>
      </c>
      <c r="AI51" s="625" t="n">
        <v>0</v>
      </c>
      <c r="AJ51" s="625" t="n">
        <v>0</v>
      </c>
      <c r="AK51" s="625" t="n">
        <v>0</v>
      </c>
      <c r="AL51" s="625" t="n">
        <v>0</v>
      </c>
      <c r="AM51" s="625" t="n">
        <v>0</v>
      </c>
      <c r="AN51" s="625" t="n">
        <v>0</v>
      </c>
      <c r="AO51" s="625" t="n">
        <v>0</v>
      </c>
      <c r="AP51" s="639" t="n">
        <v>0</v>
      </c>
      <c r="AQ51" s="639" t="n">
        <v>0</v>
      </c>
      <c r="AR51" s="639" t="n">
        <v>0</v>
      </c>
      <c r="AS51" s="639" t="n">
        <v>0</v>
      </c>
      <c r="AT51" s="611" t="n">
        <v>0</v>
      </c>
      <c r="AU51" s="611" t="n">
        <v>0</v>
      </c>
      <c r="AV51" s="611" t="n">
        <v>0</v>
      </c>
      <c r="AW51" s="611" t="n">
        <v>0</v>
      </c>
      <c r="AX51" s="504" t="n">
        <v>0</v>
      </c>
      <c r="AY51" s="504" t="n">
        <v>0</v>
      </c>
      <c r="AZ51" s="504" t="n">
        <v>0</v>
      </c>
      <c r="BA51" s="504" t="n">
        <v>0</v>
      </c>
      <c r="BB51" s="504" t="n">
        <v>0</v>
      </c>
      <c r="BC51" s="504" t="n">
        <v>0</v>
      </c>
      <c r="BD51" s="504" t="n">
        <v>0</v>
      </c>
      <c r="BE51" s="504" t="n">
        <v>0</v>
      </c>
      <c r="BF51" s="504" t="n">
        <v>0</v>
      </c>
      <c r="BG51" s="504" t="n">
        <v>0</v>
      </c>
      <c r="BH51" s="504" t="n">
        <v>0</v>
      </c>
      <c r="BI51" s="504" t="n">
        <v>0</v>
      </c>
      <c r="BJ51" s="504" t="n">
        <v>0</v>
      </c>
      <c r="BK51" s="504" t="n">
        <v>0</v>
      </c>
      <c r="BL51" s="504" t="n">
        <v>0</v>
      </c>
      <c r="BM51" s="504" t="n">
        <v>0</v>
      </c>
      <c r="BN51" s="504" t="n">
        <v>0</v>
      </c>
      <c r="BO51" s="504" t="n">
        <v>0</v>
      </c>
      <c r="BP51" s="504" t="n">
        <v>0</v>
      </c>
      <c r="BQ51" s="504" t="n">
        <v>0</v>
      </c>
      <c r="BR51" s="504" t="n">
        <v>0</v>
      </c>
      <c r="BS51" s="504" t="n">
        <v>0</v>
      </c>
      <c r="BT51" s="504" t="n">
        <v>0</v>
      </c>
      <c r="BU51" s="504" t="n">
        <v>0</v>
      </c>
      <c r="BV51" s="504" t="n">
        <v>0</v>
      </c>
      <c r="BW51" s="504" t="n">
        <v>0</v>
      </c>
      <c r="BX51" s="504" t="n">
        <v>0</v>
      </c>
      <c r="BY51" s="504" t="n">
        <v>0</v>
      </c>
      <c r="BZ51" s="504" t="n">
        <v>0</v>
      </c>
      <c r="CA51" s="504" t="n">
        <v>0</v>
      </c>
      <c r="CB51" s="504" t="n">
        <v>0</v>
      </c>
      <c r="CC51" s="504" t="n">
        <v>0</v>
      </c>
      <c r="CD51" s="504" t="n">
        <v>0</v>
      </c>
      <c r="CE51" s="504" t="n">
        <v>0</v>
      </c>
    </row>
    <row r="52" hidden="1" ht="9" customFormat="1" customHeight="1" s="505">
      <c r="A52" s="504" t="n">
        <v>0</v>
      </c>
      <c r="B52" s="504" t="n">
        <v>0</v>
      </c>
      <c r="C52" s="504" t="n">
        <v>0</v>
      </c>
      <c r="D52" s="504" t="n">
        <v>0</v>
      </c>
      <c r="E52" s="504" t="n">
        <v>0</v>
      </c>
      <c r="F52" s="504" t="n">
        <v>0</v>
      </c>
      <c r="G52" s="504" t="n">
        <v>0</v>
      </c>
      <c r="H52" s="504" t="n">
        <v>0</v>
      </c>
      <c r="I52" s="504" t="n">
        <v>0</v>
      </c>
      <c r="J52" s="504" t="n">
        <v>0</v>
      </c>
      <c r="K52" s="504" t="n">
        <v>0</v>
      </c>
      <c r="L52" s="504" t="n">
        <v>0</v>
      </c>
      <c r="M52" s="504" t="n">
        <v>0</v>
      </c>
      <c r="N52" s="504" t="n">
        <v>0</v>
      </c>
      <c r="O52" s="504" t="n">
        <v>0</v>
      </c>
      <c r="P52" s="625" t="n">
        <v>0</v>
      </c>
      <c r="Q52" s="625" t="n">
        <v>0</v>
      </c>
      <c r="R52" s="625" t="n">
        <v>0</v>
      </c>
      <c r="S52" s="625" t="n">
        <v>0</v>
      </c>
      <c r="T52" s="625" t="n">
        <v>0</v>
      </c>
      <c r="U52" s="625" t="n">
        <v>0</v>
      </c>
      <c r="V52" s="625" t="n">
        <v>0</v>
      </c>
      <c r="W52" s="625" t="n">
        <v>0</v>
      </c>
      <c r="X52" s="625" t="n">
        <v>0</v>
      </c>
      <c r="Y52" s="639" t="n">
        <v>0</v>
      </c>
      <c r="Z52" s="639" t="n">
        <v>0</v>
      </c>
      <c r="AA52" s="639" t="n">
        <v>0</v>
      </c>
      <c r="AB52" s="639" t="n">
        <v>0</v>
      </c>
      <c r="AC52" s="611" t="n">
        <v>0</v>
      </c>
      <c r="AD52" s="611" t="n">
        <v>0</v>
      </c>
      <c r="AE52" s="611" t="n">
        <v>0</v>
      </c>
      <c r="AF52" s="611" t="n">
        <v>0</v>
      </c>
      <c r="AG52" s="625" t="n">
        <v>0</v>
      </c>
      <c r="AH52" s="625" t="n">
        <v>0</v>
      </c>
      <c r="AI52" s="625" t="n">
        <v>0</v>
      </c>
      <c r="AJ52" s="625" t="n">
        <v>0</v>
      </c>
      <c r="AK52" s="625" t="n">
        <v>0</v>
      </c>
      <c r="AL52" s="625" t="n">
        <v>0</v>
      </c>
      <c r="AM52" s="625" t="n">
        <v>0</v>
      </c>
      <c r="AN52" s="625" t="n">
        <v>0</v>
      </c>
      <c r="AO52" s="625" t="n">
        <v>0</v>
      </c>
      <c r="AP52" s="639" t="n">
        <v>0</v>
      </c>
      <c r="AQ52" s="639" t="n">
        <v>0</v>
      </c>
      <c r="AR52" s="639" t="n">
        <v>0</v>
      </c>
      <c r="AS52" s="639" t="n">
        <v>0</v>
      </c>
      <c r="AT52" s="611" t="n">
        <v>0</v>
      </c>
      <c r="AU52" s="611" t="n">
        <v>0</v>
      </c>
      <c r="AV52" s="611" t="n">
        <v>0</v>
      </c>
      <c r="AW52" s="611" t="n">
        <v>0</v>
      </c>
      <c r="AX52" s="504" t="n">
        <v>0</v>
      </c>
      <c r="AY52" s="504" t="n">
        <v>0</v>
      </c>
      <c r="AZ52" s="504" t="n">
        <v>0</v>
      </c>
      <c r="BA52" s="504" t="n">
        <v>0</v>
      </c>
      <c r="BB52" s="504" t="n">
        <v>0</v>
      </c>
      <c r="BC52" s="504" t="n">
        <v>0</v>
      </c>
      <c r="BD52" s="504" t="n">
        <v>0</v>
      </c>
      <c r="BE52" s="504" t="n">
        <v>0</v>
      </c>
      <c r="BF52" s="504" t="n">
        <v>0</v>
      </c>
      <c r="BG52" s="504" t="n">
        <v>0</v>
      </c>
      <c r="BH52" s="504" t="n">
        <v>0</v>
      </c>
      <c r="BI52" s="504" t="n">
        <v>0</v>
      </c>
      <c r="BJ52" s="504" t="n">
        <v>0</v>
      </c>
      <c r="BK52" s="504" t="n">
        <v>0</v>
      </c>
      <c r="BL52" s="504" t="n">
        <v>0</v>
      </c>
      <c r="BM52" s="504" t="n">
        <v>0</v>
      </c>
      <c r="BN52" s="504" t="n">
        <v>0</v>
      </c>
      <c r="BO52" s="504" t="n">
        <v>0</v>
      </c>
      <c r="BP52" s="504" t="n">
        <v>0</v>
      </c>
      <c r="BQ52" s="504" t="n">
        <v>0</v>
      </c>
      <c r="BR52" s="504" t="n">
        <v>0</v>
      </c>
      <c r="BS52" s="504" t="n">
        <v>0</v>
      </c>
      <c r="BT52" s="504" t="n">
        <v>0</v>
      </c>
      <c r="BU52" s="504" t="n">
        <v>0</v>
      </c>
      <c r="BV52" s="504" t="n">
        <v>0</v>
      </c>
      <c r="BW52" s="504" t="n">
        <v>0</v>
      </c>
      <c r="BX52" s="504" t="n">
        <v>0</v>
      </c>
      <c r="BY52" s="504" t="n">
        <v>0</v>
      </c>
      <c r="BZ52" s="504" t="n">
        <v>0</v>
      </c>
      <c r="CA52" s="504" t="n">
        <v>0</v>
      </c>
      <c r="CB52" s="504" t="n">
        <v>0</v>
      </c>
      <c r="CC52" s="504" t="n">
        <v>0</v>
      </c>
      <c r="CD52" s="504" t="n">
        <v>0</v>
      </c>
      <c r="CE52" s="504" t="n">
        <v>0</v>
      </c>
    </row>
    <row r="53" hidden="1" ht="9" customFormat="1" customHeight="1" s="505">
      <c r="A53" s="504" t="n">
        <v>0</v>
      </c>
      <c r="B53" s="504" t="n">
        <v>0</v>
      </c>
      <c r="C53" s="504" t="n">
        <v>0</v>
      </c>
      <c r="D53" s="504" t="n">
        <v>0</v>
      </c>
      <c r="E53" s="504" t="n">
        <v>0</v>
      </c>
      <c r="F53" s="504" t="n">
        <v>0</v>
      </c>
      <c r="G53" s="504" t="n">
        <v>0</v>
      </c>
      <c r="H53" s="504" t="n">
        <v>0</v>
      </c>
      <c r="I53" s="504" t="n">
        <v>0</v>
      </c>
      <c r="J53" s="504" t="n">
        <v>0</v>
      </c>
      <c r="K53" s="504" t="n">
        <v>0</v>
      </c>
      <c r="L53" s="504" t="n">
        <v>0</v>
      </c>
      <c r="M53" s="504" t="n">
        <v>0</v>
      </c>
      <c r="N53" s="504" t="n">
        <v>0</v>
      </c>
      <c r="O53" s="504" t="n">
        <v>0</v>
      </c>
      <c r="P53" s="625" t="n">
        <v>0</v>
      </c>
      <c r="Q53" s="625" t="n">
        <v>0</v>
      </c>
      <c r="R53" s="625" t="n">
        <v>0</v>
      </c>
      <c r="S53" s="625" t="n">
        <v>0</v>
      </c>
      <c r="T53" s="625" t="n">
        <v>0</v>
      </c>
      <c r="U53" s="625" t="n">
        <v>0</v>
      </c>
      <c r="V53" s="625" t="n">
        <v>0</v>
      </c>
      <c r="W53" s="625" t="n">
        <v>0</v>
      </c>
      <c r="X53" s="625" t="n">
        <v>0</v>
      </c>
      <c r="Y53" s="639" t="n">
        <v>0</v>
      </c>
      <c r="Z53" s="639" t="n">
        <v>0</v>
      </c>
      <c r="AA53" s="639" t="n">
        <v>0</v>
      </c>
      <c r="AB53" s="639" t="n">
        <v>0</v>
      </c>
      <c r="AC53" s="611" t="n">
        <v>0</v>
      </c>
      <c r="AD53" s="611" t="n">
        <v>0</v>
      </c>
      <c r="AE53" s="611" t="n">
        <v>0</v>
      </c>
      <c r="AF53" s="611" t="n">
        <v>0</v>
      </c>
      <c r="AG53" s="625" t="n">
        <v>0</v>
      </c>
      <c r="AH53" s="625" t="n">
        <v>0</v>
      </c>
      <c r="AI53" s="625" t="n">
        <v>0</v>
      </c>
      <c r="AJ53" s="625" t="n">
        <v>0</v>
      </c>
      <c r="AK53" s="625" t="n">
        <v>0</v>
      </c>
      <c r="AL53" s="625" t="n">
        <v>0</v>
      </c>
      <c r="AM53" s="625" t="n">
        <v>0</v>
      </c>
      <c r="AN53" s="625" t="n">
        <v>0</v>
      </c>
      <c r="AO53" s="625" t="n">
        <v>0</v>
      </c>
      <c r="AP53" s="639" t="n">
        <v>0</v>
      </c>
      <c r="AQ53" s="639" t="n">
        <v>0</v>
      </c>
      <c r="AR53" s="639" t="n">
        <v>0</v>
      </c>
      <c r="AS53" s="639" t="n">
        <v>0</v>
      </c>
      <c r="AT53" s="611" t="n">
        <v>0</v>
      </c>
      <c r="AU53" s="611" t="n">
        <v>0</v>
      </c>
      <c r="AV53" s="611" t="n">
        <v>0</v>
      </c>
      <c r="AW53" s="611" t="n">
        <v>0</v>
      </c>
      <c r="AX53" s="504" t="n">
        <v>0</v>
      </c>
      <c r="AY53" s="504" t="n">
        <v>0</v>
      </c>
      <c r="AZ53" s="504" t="n">
        <v>0</v>
      </c>
      <c r="BA53" s="504" t="n">
        <v>0</v>
      </c>
      <c r="BB53" s="504" t="n">
        <v>0</v>
      </c>
      <c r="BC53" s="504" t="n">
        <v>0</v>
      </c>
      <c r="BD53" s="504" t="n">
        <v>0</v>
      </c>
      <c r="BE53" s="504" t="n">
        <v>0</v>
      </c>
      <c r="BF53" s="504" t="n">
        <v>0</v>
      </c>
      <c r="BG53" s="504" t="n">
        <v>0</v>
      </c>
      <c r="BH53" s="504" t="n">
        <v>0</v>
      </c>
      <c r="BI53" s="504" t="n">
        <v>0</v>
      </c>
      <c r="BJ53" s="504" t="n">
        <v>0</v>
      </c>
      <c r="BK53" s="504" t="n">
        <v>0</v>
      </c>
      <c r="BL53" s="504" t="n">
        <v>0</v>
      </c>
      <c r="BM53" s="504" t="n">
        <v>0</v>
      </c>
      <c r="BN53" s="504" t="n">
        <v>0</v>
      </c>
      <c r="BO53" s="504" t="n">
        <v>0</v>
      </c>
      <c r="BP53" s="504" t="n">
        <v>0</v>
      </c>
      <c r="BQ53" s="504" t="n">
        <v>0</v>
      </c>
      <c r="BR53" s="504" t="n">
        <v>0</v>
      </c>
      <c r="BS53" s="504" t="n">
        <v>0</v>
      </c>
      <c r="BT53" s="504" t="n">
        <v>0</v>
      </c>
      <c r="BU53" s="504" t="n">
        <v>0</v>
      </c>
      <c r="BV53" s="504" t="n">
        <v>0</v>
      </c>
      <c r="BW53" s="504" t="n">
        <v>0</v>
      </c>
      <c r="BX53" s="504" t="n">
        <v>0</v>
      </c>
      <c r="BY53" s="504" t="n">
        <v>0</v>
      </c>
      <c r="BZ53" s="504" t="n">
        <v>0</v>
      </c>
      <c r="CA53" s="504" t="n">
        <v>0</v>
      </c>
      <c r="CB53" s="504" t="n">
        <v>0</v>
      </c>
      <c r="CC53" s="504" t="n">
        <v>0</v>
      </c>
      <c r="CD53" s="504" t="n">
        <v>0</v>
      </c>
      <c r="CE53" s="504" t="n">
        <v>0</v>
      </c>
    </row>
    <row r="54" hidden="1" ht="9" customFormat="1" customHeight="1" s="505">
      <c r="A54" s="504" t="n">
        <v>0</v>
      </c>
      <c r="B54" s="504" t="n">
        <v>0</v>
      </c>
      <c r="C54" s="504" t="n">
        <v>0</v>
      </c>
      <c r="D54" s="504" t="n">
        <v>0</v>
      </c>
      <c r="E54" s="504" t="n">
        <v>0</v>
      </c>
      <c r="F54" s="504" t="n">
        <v>0</v>
      </c>
      <c r="G54" s="504" t="n">
        <v>0</v>
      </c>
      <c r="H54" s="504" t="n">
        <v>0</v>
      </c>
      <c r="I54" s="504" t="n">
        <v>0</v>
      </c>
      <c r="J54" s="504" t="n">
        <v>0</v>
      </c>
      <c r="K54" s="504" t="n">
        <v>0</v>
      </c>
      <c r="L54" s="504" t="n">
        <v>0</v>
      </c>
      <c r="M54" s="504" t="n">
        <v>0</v>
      </c>
      <c r="N54" s="504" t="n">
        <v>0</v>
      </c>
      <c r="O54" s="504" t="n">
        <v>0</v>
      </c>
      <c r="P54" s="625" t="n">
        <v>0</v>
      </c>
      <c r="Q54" s="625" t="n">
        <v>0</v>
      </c>
      <c r="R54" s="625" t="n">
        <v>0</v>
      </c>
      <c r="S54" s="625" t="n">
        <v>0</v>
      </c>
      <c r="T54" s="625" t="n">
        <v>0</v>
      </c>
      <c r="U54" s="625" t="n">
        <v>0</v>
      </c>
      <c r="V54" s="625" t="n">
        <v>0</v>
      </c>
      <c r="W54" s="625" t="n">
        <v>0</v>
      </c>
      <c r="X54" s="625" t="n">
        <v>0</v>
      </c>
      <c r="Y54" s="639" t="n">
        <v>0</v>
      </c>
      <c r="Z54" s="639" t="n">
        <v>0</v>
      </c>
      <c r="AA54" s="639" t="n">
        <v>0</v>
      </c>
      <c r="AB54" s="639" t="n">
        <v>0</v>
      </c>
      <c r="AC54" s="611" t="n">
        <v>0</v>
      </c>
      <c r="AD54" s="611" t="n">
        <v>0</v>
      </c>
      <c r="AE54" s="611" t="n">
        <v>0</v>
      </c>
      <c r="AF54" s="611" t="n">
        <v>0</v>
      </c>
      <c r="AG54" s="625" t="n">
        <v>0</v>
      </c>
      <c r="AH54" s="625" t="n">
        <v>0</v>
      </c>
      <c r="AI54" s="625" t="n">
        <v>0</v>
      </c>
      <c r="AJ54" s="625" t="n">
        <v>0</v>
      </c>
      <c r="AK54" s="625" t="n">
        <v>0</v>
      </c>
      <c r="AL54" s="625" t="n">
        <v>0</v>
      </c>
      <c r="AM54" s="625" t="n">
        <v>0</v>
      </c>
      <c r="AN54" s="625" t="n">
        <v>0</v>
      </c>
      <c r="AO54" s="625" t="n">
        <v>0</v>
      </c>
      <c r="AP54" s="639" t="n">
        <v>0</v>
      </c>
      <c r="AQ54" s="639" t="n">
        <v>0</v>
      </c>
      <c r="AR54" s="639" t="n">
        <v>0</v>
      </c>
      <c r="AS54" s="639" t="n">
        <v>0</v>
      </c>
      <c r="AT54" s="611" t="n">
        <v>0</v>
      </c>
      <c r="AU54" s="611" t="n">
        <v>0</v>
      </c>
      <c r="AV54" s="611" t="n">
        <v>0</v>
      </c>
      <c r="AW54" s="611" t="n">
        <v>0</v>
      </c>
      <c r="AX54" s="504" t="n">
        <v>0</v>
      </c>
      <c r="AY54" s="504" t="n">
        <v>0</v>
      </c>
      <c r="AZ54" s="504" t="n">
        <v>0</v>
      </c>
      <c r="BA54" s="504" t="n">
        <v>0</v>
      </c>
      <c r="BB54" s="504" t="n">
        <v>0</v>
      </c>
      <c r="BC54" s="504" t="n">
        <v>0</v>
      </c>
      <c r="BD54" s="504" t="n">
        <v>0</v>
      </c>
      <c r="BE54" s="504" t="n">
        <v>0</v>
      </c>
      <c r="BF54" s="504" t="n">
        <v>0</v>
      </c>
      <c r="BG54" s="504" t="n">
        <v>0</v>
      </c>
      <c r="BH54" s="504" t="n">
        <v>0</v>
      </c>
      <c r="BI54" s="504" t="n">
        <v>0</v>
      </c>
      <c r="BJ54" s="504" t="n">
        <v>0</v>
      </c>
      <c r="BK54" s="504" t="n">
        <v>0</v>
      </c>
      <c r="BL54" s="504" t="n">
        <v>0</v>
      </c>
      <c r="BM54" s="504" t="n">
        <v>0</v>
      </c>
      <c r="BN54" s="504" t="n">
        <v>0</v>
      </c>
      <c r="BO54" s="504" t="n">
        <v>0</v>
      </c>
      <c r="BP54" s="504" t="n">
        <v>0</v>
      </c>
      <c r="BQ54" s="504" t="n">
        <v>0</v>
      </c>
      <c r="BR54" s="504" t="n">
        <v>0</v>
      </c>
      <c r="BS54" s="504" t="n">
        <v>0</v>
      </c>
      <c r="BT54" s="504" t="n">
        <v>0</v>
      </c>
      <c r="BU54" s="504" t="n">
        <v>0</v>
      </c>
      <c r="BV54" s="504" t="n">
        <v>0</v>
      </c>
      <c r="BW54" s="504" t="n">
        <v>0</v>
      </c>
      <c r="BX54" s="504" t="n">
        <v>0</v>
      </c>
      <c r="BY54" s="504" t="n">
        <v>0</v>
      </c>
      <c r="BZ54" s="504" t="n">
        <v>0</v>
      </c>
      <c r="CA54" s="504" t="n">
        <v>0</v>
      </c>
      <c r="CB54" s="504" t="n">
        <v>0</v>
      </c>
      <c r="CC54" s="504" t="n">
        <v>0</v>
      </c>
      <c r="CD54" s="504" t="n">
        <v>0</v>
      </c>
      <c r="CE54" s="504" t="n">
        <v>0</v>
      </c>
    </row>
    <row r="55" hidden="1" ht="9" customFormat="1" customHeight="1" s="505">
      <c r="A55" s="504" t="n">
        <v>0</v>
      </c>
      <c r="B55" s="504" t="n">
        <v>0</v>
      </c>
      <c r="C55" s="504" t="n">
        <v>0</v>
      </c>
      <c r="D55" s="504" t="n">
        <v>0</v>
      </c>
      <c r="E55" s="504" t="n">
        <v>0</v>
      </c>
      <c r="F55" s="504" t="n">
        <v>0</v>
      </c>
      <c r="G55" s="504" t="n">
        <v>0</v>
      </c>
      <c r="H55" s="504" t="n">
        <v>0</v>
      </c>
      <c r="I55" s="504" t="n">
        <v>0</v>
      </c>
      <c r="J55" s="504" t="n">
        <v>0</v>
      </c>
      <c r="K55" s="504" t="n">
        <v>0</v>
      </c>
      <c r="L55" s="504" t="n">
        <v>0</v>
      </c>
      <c r="M55" s="504" t="n">
        <v>0</v>
      </c>
      <c r="N55" s="504" t="n">
        <v>0</v>
      </c>
      <c r="O55" s="504" t="n">
        <v>0</v>
      </c>
      <c r="P55" s="625" t="n">
        <v>0</v>
      </c>
      <c r="Q55" s="625" t="n">
        <v>0</v>
      </c>
      <c r="R55" s="625" t="n">
        <v>0</v>
      </c>
      <c r="S55" s="625" t="n">
        <v>0</v>
      </c>
      <c r="T55" s="625" t="n">
        <v>0</v>
      </c>
      <c r="U55" s="625" t="n">
        <v>0</v>
      </c>
      <c r="V55" s="625" t="n">
        <v>0</v>
      </c>
      <c r="W55" s="625" t="n">
        <v>0</v>
      </c>
      <c r="X55" s="625" t="n">
        <v>0</v>
      </c>
      <c r="Y55" s="639" t="n">
        <v>0</v>
      </c>
      <c r="Z55" s="639" t="n">
        <v>0</v>
      </c>
      <c r="AA55" s="639" t="n">
        <v>0</v>
      </c>
      <c r="AB55" s="639" t="n">
        <v>0</v>
      </c>
      <c r="AC55" s="611" t="n">
        <v>0</v>
      </c>
      <c r="AD55" s="611" t="n">
        <v>0</v>
      </c>
      <c r="AE55" s="611" t="n">
        <v>0</v>
      </c>
      <c r="AF55" s="611" t="n">
        <v>0</v>
      </c>
      <c r="AG55" s="625" t="n">
        <v>0</v>
      </c>
      <c r="AH55" s="625" t="n">
        <v>0</v>
      </c>
      <c r="AI55" s="625" t="n">
        <v>0</v>
      </c>
      <c r="AJ55" s="625" t="n">
        <v>0</v>
      </c>
      <c r="AK55" s="625" t="n">
        <v>0</v>
      </c>
      <c r="AL55" s="625" t="n">
        <v>0</v>
      </c>
      <c r="AM55" s="625" t="n">
        <v>0</v>
      </c>
      <c r="AN55" s="625" t="n">
        <v>0</v>
      </c>
      <c r="AO55" s="625" t="n">
        <v>0</v>
      </c>
      <c r="AP55" s="639" t="n">
        <v>0</v>
      </c>
      <c r="AQ55" s="639" t="n">
        <v>0</v>
      </c>
      <c r="AR55" s="639" t="n">
        <v>0</v>
      </c>
      <c r="AS55" s="639" t="n">
        <v>0</v>
      </c>
      <c r="AT55" s="611" t="n">
        <v>0</v>
      </c>
      <c r="AU55" s="611" t="n">
        <v>0</v>
      </c>
      <c r="AV55" s="611" t="n">
        <v>0</v>
      </c>
      <c r="AW55" s="611" t="n">
        <v>0</v>
      </c>
      <c r="AX55" s="504" t="n">
        <v>0</v>
      </c>
      <c r="AY55" s="504" t="n">
        <v>0</v>
      </c>
      <c r="AZ55" s="504" t="n">
        <v>0</v>
      </c>
      <c r="BA55" s="504" t="n">
        <v>0</v>
      </c>
      <c r="BB55" s="504" t="n">
        <v>0</v>
      </c>
      <c r="BC55" s="504" t="n">
        <v>0</v>
      </c>
      <c r="BD55" s="504" t="n">
        <v>0</v>
      </c>
      <c r="BE55" s="504" t="n">
        <v>0</v>
      </c>
      <c r="BF55" s="504" t="n">
        <v>0</v>
      </c>
      <c r="BG55" s="504" t="n">
        <v>0</v>
      </c>
      <c r="BH55" s="504" t="n">
        <v>0</v>
      </c>
      <c r="BI55" s="504" t="n">
        <v>0</v>
      </c>
      <c r="BJ55" s="504" t="n">
        <v>0</v>
      </c>
      <c r="BK55" s="504" t="n">
        <v>0</v>
      </c>
      <c r="BL55" s="504" t="n">
        <v>0</v>
      </c>
      <c r="BM55" s="504" t="n">
        <v>0</v>
      </c>
      <c r="BN55" s="504" t="n">
        <v>0</v>
      </c>
      <c r="BO55" s="504" t="n">
        <v>0</v>
      </c>
      <c r="BP55" s="504" t="n">
        <v>0</v>
      </c>
      <c r="BQ55" s="504" t="n">
        <v>0</v>
      </c>
      <c r="BR55" s="504" t="n">
        <v>0</v>
      </c>
      <c r="BS55" s="504" t="n">
        <v>0</v>
      </c>
      <c r="BT55" s="504" t="n">
        <v>0</v>
      </c>
      <c r="BU55" s="504" t="n">
        <v>0</v>
      </c>
      <c r="BV55" s="504" t="n">
        <v>0</v>
      </c>
      <c r="BW55" s="504" t="n">
        <v>0</v>
      </c>
      <c r="BX55" s="504" t="n">
        <v>0</v>
      </c>
      <c r="BY55" s="504" t="n">
        <v>0</v>
      </c>
      <c r="BZ55" s="504" t="n">
        <v>0</v>
      </c>
      <c r="CA55" s="504" t="n">
        <v>0</v>
      </c>
      <c r="CB55" s="504" t="n">
        <v>0</v>
      </c>
      <c r="CC55" s="504" t="n">
        <v>0</v>
      </c>
      <c r="CD55" s="504" t="n">
        <v>0</v>
      </c>
      <c r="CE55" s="504" t="n">
        <v>0</v>
      </c>
    </row>
    <row r="56" hidden="1" ht="9" customFormat="1" customHeight="1" s="505">
      <c r="A56" s="504" t="n">
        <v>0</v>
      </c>
      <c r="B56" s="504" t="n">
        <v>0</v>
      </c>
      <c r="C56" s="504" t="n">
        <v>0</v>
      </c>
      <c r="D56" s="504" t="n">
        <v>0</v>
      </c>
      <c r="E56" s="504" t="n">
        <v>0</v>
      </c>
      <c r="F56" s="504" t="n">
        <v>0</v>
      </c>
      <c r="G56" s="504" t="n">
        <v>0</v>
      </c>
      <c r="H56" s="504" t="n">
        <v>0</v>
      </c>
      <c r="I56" s="504" t="n">
        <v>0</v>
      </c>
      <c r="J56" s="504" t="n">
        <v>0</v>
      </c>
      <c r="K56" s="504" t="n">
        <v>0</v>
      </c>
      <c r="L56" s="504" t="n">
        <v>0</v>
      </c>
      <c r="M56" s="504" t="n">
        <v>0</v>
      </c>
      <c r="N56" s="504" t="n">
        <v>0</v>
      </c>
      <c r="O56" s="504" t="n">
        <v>0</v>
      </c>
      <c r="P56" s="625" t="n">
        <v>0</v>
      </c>
      <c r="Q56" s="625" t="n">
        <v>0</v>
      </c>
      <c r="R56" s="625" t="n">
        <v>0</v>
      </c>
      <c r="S56" s="625" t="n">
        <v>0</v>
      </c>
      <c r="T56" s="625" t="n">
        <v>0</v>
      </c>
      <c r="U56" s="625" t="n">
        <v>0</v>
      </c>
      <c r="V56" s="625" t="n">
        <v>0</v>
      </c>
      <c r="W56" s="625" t="n">
        <v>0</v>
      </c>
      <c r="X56" s="625" t="n">
        <v>0</v>
      </c>
      <c r="Y56" s="639" t="n">
        <v>0</v>
      </c>
      <c r="Z56" s="639" t="n">
        <v>0</v>
      </c>
      <c r="AA56" s="639" t="n">
        <v>0</v>
      </c>
      <c r="AB56" s="639" t="n">
        <v>0</v>
      </c>
      <c r="AC56" s="611" t="n">
        <v>0</v>
      </c>
      <c r="AD56" s="611" t="n">
        <v>0</v>
      </c>
      <c r="AE56" s="611" t="n">
        <v>0</v>
      </c>
      <c r="AF56" s="611" t="n">
        <v>0</v>
      </c>
      <c r="AG56" s="625" t="n">
        <v>0</v>
      </c>
      <c r="AH56" s="625" t="n">
        <v>0</v>
      </c>
      <c r="AI56" s="625" t="n">
        <v>0</v>
      </c>
      <c r="AJ56" s="625" t="n">
        <v>0</v>
      </c>
      <c r="AK56" s="625" t="n">
        <v>0</v>
      </c>
      <c r="AL56" s="625" t="n">
        <v>0</v>
      </c>
      <c r="AM56" s="625" t="n">
        <v>0</v>
      </c>
      <c r="AN56" s="625" t="n">
        <v>0</v>
      </c>
      <c r="AO56" s="625" t="n">
        <v>0</v>
      </c>
      <c r="AP56" s="639" t="n">
        <v>0</v>
      </c>
      <c r="AQ56" s="639" t="n">
        <v>0</v>
      </c>
      <c r="AR56" s="639" t="n">
        <v>0</v>
      </c>
      <c r="AS56" s="639" t="n">
        <v>0</v>
      </c>
      <c r="AT56" s="611" t="n">
        <v>0</v>
      </c>
      <c r="AU56" s="611" t="n">
        <v>0</v>
      </c>
      <c r="AV56" s="611" t="n">
        <v>0</v>
      </c>
      <c r="AW56" s="611" t="n">
        <v>0</v>
      </c>
      <c r="AX56" s="504" t="n">
        <v>0</v>
      </c>
      <c r="AY56" s="504" t="n">
        <v>0</v>
      </c>
      <c r="AZ56" s="504" t="n">
        <v>0</v>
      </c>
      <c r="BA56" s="504" t="n">
        <v>0</v>
      </c>
      <c r="BB56" s="504" t="n">
        <v>0</v>
      </c>
      <c r="BC56" s="504" t="n">
        <v>0</v>
      </c>
      <c r="BD56" s="504" t="n">
        <v>0</v>
      </c>
      <c r="BE56" s="504" t="n">
        <v>0</v>
      </c>
      <c r="BF56" s="504" t="n">
        <v>0</v>
      </c>
      <c r="BG56" s="504" t="n">
        <v>0</v>
      </c>
      <c r="BH56" s="504" t="n">
        <v>0</v>
      </c>
      <c r="BI56" s="504" t="n">
        <v>0</v>
      </c>
      <c r="BJ56" s="504" t="n">
        <v>0</v>
      </c>
      <c r="BK56" s="504" t="n">
        <v>0</v>
      </c>
      <c r="BL56" s="504" t="n">
        <v>0</v>
      </c>
      <c r="BM56" s="504" t="n">
        <v>0</v>
      </c>
      <c r="BN56" s="504" t="n">
        <v>0</v>
      </c>
      <c r="BO56" s="504" t="n">
        <v>0</v>
      </c>
      <c r="BP56" s="504" t="n">
        <v>0</v>
      </c>
      <c r="BQ56" s="504" t="n">
        <v>0</v>
      </c>
      <c r="BR56" s="504" t="n">
        <v>0</v>
      </c>
      <c r="BS56" s="504" t="n">
        <v>0</v>
      </c>
      <c r="BT56" s="504" t="n">
        <v>0</v>
      </c>
      <c r="BU56" s="504" t="n">
        <v>0</v>
      </c>
      <c r="BV56" s="504" t="n">
        <v>0</v>
      </c>
      <c r="BW56" s="504" t="n">
        <v>0</v>
      </c>
      <c r="BX56" s="504" t="n">
        <v>0</v>
      </c>
      <c r="BY56" s="504" t="n">
        <v>0</v>
      </c>
      <c r="BZ56" s="504" t="n">
        <v>0</v>
      </c>
      <c r="CA56" s="504" t="n">
        <v>0</v>
      </c>
      <c r="CB56" s="504" t="n">
        <v>0</v>
      </c>
      <c r="CC56" s="504" t="n">
        <v>0</v>
      </c>
      <c r="CD56" s="504" t="n">
        <v>0</v>
      </c>
      <c r="CE56" s="504" t="n">
        <v>0</v>
      </c>
    </row>
    <row r="57" hidden="1" ht="9" customFormat="1" customHeight="1" s="505">
      <c r="A57" s="504" t="n">
        <v>0</v>
      </c>
      <c r="B57" s="504" t="n">
        <v>0</v>
      </c>
      <c r="C57" s="504" t="n">
        <v>0</v>
      </c>
      <c r="D57" s="504" t="n">
        <v>0</v>
      </c>
      <c r="E57" s="504" t="n">
        <v>0</v>
      </c>
      <c r="F57" s="504" t="n">
        <v>0</v>
      </c>
      <c r="G57" s="504" t="n">
        <v>0</v>
      </c>
      <c r="H57" s="504" t="n">
        <v>0</v>
      </c>
      <c r="I57" s="504" t="n">
        <v>0</v>
      </c>
      <c r="J57" s="504" t="n">
        <v>0</v>
      </c>
      <c r="K57" s="504" t="n">
        <v>0</v>
      </c>
      <c r="L57" s="504" t="n">
        <v>0</v>
      </c>
      <c r="M57" s="504" t="n">
        <v>0</v>
      </c>
      <c r="N57" s="504" t="n">
        <v>0</v>
      </c>
      <c r="O57" s="504" t="n">
        <v>0</v>
      </c>
      <c r="P57" s="625" t="n">
        <v>0</v>
      </c>
      <c r="Q57" s="625" t="n">
        <v>0</v>
      </c>
      <c r="R57" s="625" t="n">
        <v>0</v>
      </c>
      <c r="S57" s="625" t="n">
        <v>0</v>
      </c>
      <c r="T57" s="625" t="n">
        <v>0</v>
      </c>
      <c r="U57" s="625" t="n">
        <v>0</v>
      </c>
      <c r="V57" s="625" t="n">
        <v>0</v>
      </c>
      <c r="W57" s="625" t="n">
        <v>0</v>
      </c>
      <c r="X57" s="625" t="n">
        <v>0</v>
      </c>
      <c r="Y57" s="639" t="n">
        <v>0</v>
      </c>
      <c r="Z57" s="639" t="n">
        <v>0</v>
      </c>
      <c r="AA57" s="639" t="n">
        <v>0</v>
      </c>
      <c r="AB57" s="639" t="n">
        <v>0</v>
      </c>
      <c r="AC57" s="611" t="n">
        <v>0</v>
      </c>
      <c r="AD57" s="611" t="n">
        <v>0</v>
      </c>
      <c r="AE57" s="611" t="n">
        <v>0</v>
      </c>
      <c r="AF57" s="611" t="n">
        <v>0</v>
      </c>
      <c r="AG57" s="625" t="n">
        <v>0</v>
      </c>
      <c r="AH57" s="625" t="n">
        <v>0</v>
      </c>
      <c r="AI57" s="625" t="n">
        <v>0</v>
      </c>
      <c r="AJ57" s="625" t="n">
        <v>0</v>
      </c>
      <c r="AK57" s="625" t="n">
        <v>0</v>
      </c>
      <c r="AL57" s="625" t="n">
        <v>0</v>
      </c>
      <c r="AM57" s="625" t="n">
        <v>0</v>
      </c>
      <c r="AN57" s="625" t="n">
        <v>0</v>
      </c>
      <c r="AO57" s="625" t="n">
        <v>0</v>
      </c>
      <c r="AP57" s="639" t="n">
        <v>0</v>
      </c>
      <c r="AQ57" s="639" t="n">
        <v>0</v>
      </c>
      <c r="AR57" s="639" t="n">
        <v>0</v>
      </c>
      <c r="AS57" s="639" t="n">
        <v>0</v>
      </c>
      <c r="AT57" s="611" t="n">
        <v>0</v>
      </c>
      <c r="AU57" s="611" t="n">
        <v>0</v>
      </c>
      <c r="AV57" s="611" t="n">
        <v>0</v>
      </c>
      <c r="AW57" s="611" t="n">
        <v>0</v>
      </c>
      <c r="AX57" s="504" t="n">
        <v>0</v>
      </c>
      <c r="AY57" s="504" t="n">
        <v>0</v>
      </c>
      <c r="AZ57" s="504" t="n">
        <v>0</v>
      </c>
      <c r="BA57" s="504" t="n">
        <v>0</v>
      </c>
      <c r="BB57" s="504" t="n">
        <v>0</v>
      </c>
      <c r="BC57" s="504" t="n">
        <v>0</v>
      </c>
      <c r="BD57" s="504" t="n">
        <v>0</v>
      </c>
      <c r="BE57" s="504" t="n">
        <v>0</v>
      </c>
      <c r="BF57" s="504" t="n">
        <v>0</v>
      </c>
      <c r="BG57" s="504" t="n">
        <v>0</v>
      </c>
      <c r="BH57" s="504" t="n">
        <v>0</v>
      </c>
      <c r="BI57" s="504" t="n">
        <v>0</v>
      </c>
      <c r="BJ57" s="504" t="n">
        <v>0</v>
      </c>
      <c r="BK57" s="504" t="n">
        <v>0</v>
      </c>
      <c r="BL57" s="504" t="n">
        <v>0</v>
      </c>
      <c r="BM57" s="504" t="n">
        <v>0</v>
      </c>
      <c r="BN57" s="504" t="n">
        <v>0</v>
      </c>
      <c r="BO57" s="504" t="n">
        <v>0</v>
      </c>
      <c r="BP57" s="504" t="n">
        <v>0</v>
      </c>
      <c r="BQ57" s="504" t="n">
        <v>0</v>
      </c>
      <c r="BR57" s="504" t="n">
        <v>0</v>
      </c>
      <c r="BS57" s="504" t="n">
        <v>0</v>
      </c>
      <c r="BT57" s="504" t="n">
        <v>0</v>
      </c>
      <c r="BU57" s="504" t="n">
        <v>0</v>
      </c>
      <c r="BV57" s="504" t="n">
        <v>0</v>
      </c>
      <c r="BW57" s="504" t="n">
        <v>0</v>
      </c>
      <c r="BX57" s="504" t="n">
        <v>0</v>
      </c>
      <c r="BY57" s="504" t="n">
        <v>0</v>
      </c>
      <c r="BZ57" s="504" t="n">
        <v>0</v>
      </c>
      <c r="CA57" s="504" t="n">
        <v>0</v>
      </c>
      <c r="CB57" s="504" t="n">
        <v>0</v>
      </c>
      <c r="CC57" s="504" t="n">
        <v>0</v>
      </c>
      <c r="CD57" s="504" t="n">
        <v>0</v>
      </c>
      <c r="CE57" s="504" t="n">
        <v>0</v>
      </c>
    </row>
    <row r="58" hidden="1" ht="9" customFormat="1" customHeight="1" s="505">
      <c r="A58" s="504" t="n">
        <v>0</v>
      </c>
      <c r="B58" s="504" t="n">
        <v>0</v>
      </c>
      <c r="C58" s="504" t="n">
        <v>0</v>
      </c>
      <c r="D58" s="504" t="n">
        <v>0</v>
      </c>
      <c r="E58" s="504" t="n">
        <v>0</v>
      </c>
      <c r="F58" s="504" t="n">
        <v>0</v>
      </c>
      <c r="G58" s="504" t="n">
        <v>0</v>
      </c>
      <c r="H58" s="504" t="n">
        <v>0</v>
      </c>
      <c r="I58" s="504" t="n">
        <v>0</v>
      </c>
      <c r="J58" s="504" t="n">
        <v>0</v>
      </c>
      <c r="K58" s="504" t="n">
        <v>0</v>
      </c>
      <c r="L58" s="504" t="n">
        <v>0</v>
      </c>
      <c r="M58" s="504" t="n">
        <v>0</v>
      </c>
      <c r="N58" s="504" t="n">
        <v>0</v>
      </c>
      <c r="O58" s="504" t="n">
        <v>0</v>
      </c>
      <c r="P58" s="625" t="n">
        <v>0</v>
      </c>
      <c r="Q58" s="625" t="n">
        <v>0</v>
      </c>
      <c r="R58" s="625" t="n">
        <v>0</v>
      </c>
      <c r="S58" s="625" t="n">
        <v>0</v>
      </c>
      <c r="T58" s="625" t="n">
        <v>0</v>
      </c>
      <c r="U58" s="625" t="n">
        <v>0</v>
      </c>
      <c r="V58" s="625" t="n">
        <v>0</v>
      </c>
      <c r="W58" s="625" t="n">
        <v>0</v>
      </c>
      <c r="X58" s="625" t="n">
        <v>0</v>
      </c>
      <c r="Y58" s="639" t="n">
        <v>0</v>
      </c>
      <c r="Z58" s="639" t="n">
        <v>0</v>
      </c>
      <c r="AA58" s="639" t="n">
        <v>0</v>
      </c>
      <c r="AB58" s="639" t="n">
        <v>0</v>
      </c>
      <c r="AC58" s="611" t="n">
        <v>0</v>
      </c>
      <c r="AD58" s="611" t="n">
        <v>0</v>
      </c>
      <c r="AE58" s="611" t="n">
        <v>0</v>
      </c>
      <c r="AF58" s="611" t="n">
        <v>0</v>
      </c>
      <c r="AG58" s="625" t="n">
        <v>0</v>
      </c>
      <c r="AH58" s="625" t="n">
        <v>0</v>
      </c>
      <c r="AI58" s="625" t="n">
        <v>0</v>
      </c>
      <c r="AJ58" s="625" t="n">
        <v>0</v>
      </c>
      <c r="AK58" s="625" t="n">
        <v>0</v>
      </c>
      <c r="AL58" s="625" t="n">
        <v>0</v>
      </c>
      <c r="AM58" s="625" t="n">
        <v>0</v>
      </c>
      <c r="AN58" s="625" t="n">
        <v>0</v>
      </c>
      <c r="AO58" s="625" t="n">
        <v>0</v>
      </c>
      <c r="AP58" s="639" t="n">
        <v>0</v>
      </c>
      <c r="AQ58" s="639" t="n">
        <v>0</v>
      </c>
      <c r="AR58" s="639" t="n">
        <v>0</v>
      </c>
      <c r="AS58" s="639" t="n">
        <v>0</v>
      </c>
      <c r="AT58" s="611" t="n">
        <v>0</v>
      </c>
      <c r="AU58" s="611" t="n">
        <v>0</v>
      </c>
      <c r="AV58" s="611" t="n">
        <v>0</v>
      </c>
      <c r="AW58" s="611" t="n">
        <v>0</v>
      </c>
      <c r="AX58" s="504" t="n">
        <v>0</v>
      </c>
      <c r="AY58" s="504" t="n">
        <v>0</v>
      </c>
      <c r="AZ58" s="504" t="n">
        <v>0</v>
      </c>
      <c r="BA58" s="504" t="n">
        <v>0</v>
      </c>
      <c r="BB58" s="504" t="n">
        <v>0</v>
      </c>
      <c r="BC58" s="504" t="n">
        <v>0</v>
      </c>
      <c r="BD58" s="504" t="n">
        <v>0</v>
      </c>
      <c r="BE58" s="504" t="n">
        <v>0</v>
      </c>
      <c r="BF58" s="504" t="n">
        <v>0</v>
      </c>
      <c r="BG58" s="504" t="n">
        <v>0</v>
      </c>
      <c r="BH58" s="504" t="n">
        <v>0</v>
      </c>
      <c r="BI58" s="504" t="n">
        <v>0</v>
      </c>
      <c r="BJ58" s="504" t="n">
        <v>0</v>
      </c>
      <c r="BK58" s="504" t="n">
        <v>0</v>
      </c>
      <c r="BL58" s="504" t="n">
        <v>0</v>
      </c>
      <c r="BM58" s="504" t="n">
        <v>0</v>
      </c>
      <c r="BN58" s="504" t="n">
        <v>0</v>
      </c>
      <c r="BO58" s="504" t="n">
        <v>0</v>
      </c>
      <c r="BP58" s="504" t="n">
        <v>0</v>
      </c>
      <c r="BQ58" s="504" t="n">
        <v>0</v>
      </c>
      <c r="BR58" s="504" t="n">
        <v>0</v>
      </c>
      <c r="BS58" s="504" t="n">
        <v>0</v>
      </c>
      <c r="BT58" s="504" t="n">
        <v>0</v>
      </c>
      <c r="BU58" s="504" t="n">
        <v>0</v>
      </c>
      <c r="BV58" s="504" t="n">
        <v>0</v>
      </c>
      <c r="BW58" s="504" t="n">
        <v>0</v>
      </c>
      <c r="BX58" s="504" t="n">
        <v>0</v>
      </c>
      <c r="BY58" s="504" t="n">
        <v>0</v>
      </c>
      <c r="BZ58" s="504" t="n">
        <v>0</v>
      </c>
      <c r="CA58" s="504" t="n">
        <v>0</v>
      </c>
      <c r="CB58" s="504" t="n">
        <v>0</v>
      </c>
      <c r="CC58" s="504" t="n">
        <v>0</v>
      </c>
      <c r="CD58" s="504" t="n">
        <v>0</v>
      </c>
      <c r="CE58" s="504" t="n">
        <v>0</v>
      </c>
    </row>
    <row r="59" hidden="1" ht="9" customFormat="1" customHeight="1" s="505">
      <c r="A59" s="504" t="n">
        <v>0</v>
      </c>
      <c r="B59" s="504" t="n">
        <v>0</v>
      </c>
      <c r="C59" s="504" t="n">
        <v>0</v>
      </c>
      <c r="D59" s="504" t="n">
        <v>0</v>
      </c>
      <c r="E59" s="504" t="n">
        <v>0</v>
      </c>
      <c r="F59" s="504" t="n">
        <v>0</v>
      </c>
      <c r="G59" s="504" t="n">
        <v>0</v>
      </c>
      <c r="H59" s="504" t="n">
        <v>0</v>
      </c>
      <c r="I59" s="504" t="n">
        <v>0</v>
      </c>
      <c r="J59" s="504" t="n">
        <v>0</v>
      </c>
      <c r="K59" s="504" t="n">
        <v>0</v>
      </c>
      <c r="L59" s="504" t="n">
        <v>0</v>
      </c>
      <c r="M59" s="504" t="n">
        <v>0</v>
      </c>
      <c r="N59" s="504" t="n">
        <v>0</v>
      </c>
      <c r="O59" s="504" t="n">
        <v>0</v>
      </c>
      <c r="P59" s="625" t="n">
        <v>0</v>
      </c>
      <c r="Q59" s="625" t="n">
        <v>0</v>
      </c>
      <c r="R59" s="625" t="n">
        <v>0</v>
      </c>
      <c r="S59" s="625" t="n">
        <v>0</v>
      </c>
      <c r="T59" s="625" t="n">
        <v>0</v>
      </c>
      <c r="U59" s="625" t="n">
        <v>0</v>
      </c>
      <c r="V59" s="625" t="n">
        <v>0</v>
      </c>
      <c r="W59" s="625" t="n">
        <v>0</v>
      </c>
      <c r="X59" s="625" t="n">
        <v>0</v>
      </c>
      <c r="Y59" s="639" t="n">
        <v>0</v>
      </c>
      <c r="Z59" s="639" t="n">
        <v>0</v>
      </c>
      <c r="AA59" s="639" t="n">
        <v>0</v>
      </c>
      <c r="AB59" s="639" t="n">
        <v>0</v>
      </c>
      <c r="AC59" s="611" t="n">
        <v>0</v>
      </c>
      <c r="AD59" s="611" t="n">
        <v>0</v>
      </c>
      <c r="AE59" s="611" t="n">
        <v>0</v>
      </c>
      <c r="AF59" s="611" t="n">
        <v>0</v>
      </c>
      <c r="AG59" s="625" t="n">
        <v>0</v>
      </c>
      <c r="AH59" s="625" t="n">
        <v>0</v>
      </c>
      <c r="AI59" s="625" t="n">
        <v>0</v>
      </c>
      <c r="AJ59" s="625" t="n">
        <v>0</v>
      </c>
      <c r="AK59" s="625" t="n">
        <v>0</v>
      </c>
      <c r="AL59" s="625" t="n">
        <v>0</v>
      </c>
      <c r="AM59" s="625" t="n">
        <v>0</v>
      </c>
      <c r="AN59" s="625" t="n">
        <v>0</v>
      </c>
      <c r="AO59" s="625" t="n">
        <v>0</v>
      </c>
      <c r="AP59" s="639" t="n">
        <v>0</v>
      </c>
      <c r="AQ59" s="639" t="n">
        <v>0</v>
      </c>
      <c r="AR59" s="639" t="n">
        <v>0</v>
      </c>
      <c r="AS59" s="639" t="n">
        <v>0</v>
      </c>
      <c r="AT59" s="611" t="n">
        <v>0</v>
      </c>
      <c r="AU59" s="611" t="n">
        <v>0</v>
      </c>
      <c r="AV59" s="611" t="n">
        <v>0</v>
      </c>
      <c r="AW59" s="611" t="n">
        <v>0</v>
      </c>
      <c r="AX59" s="504" t="n">
        <v>0</v>
      </c>
      <c r="AY59" s="504" t="n">
        <v>0</v>
      </c>
      <c r="AZ59" s="504" t="n">
        <v>0</v>
      </c>
      <c r="BA59" s="504" t="n">
        <v>0</v>
      </c>
      <c r="BB59" s="504" t="n">
        <v>0</v>
      </c>
      <c r="BC59" s="504" t="n">
        <v>0</v>
      </c>
      <c r="BD59" s="504" t="n">
        <v>0</v>
      </c>
      <c r="BE59" s="504" t="n">
        <v>0</v>
      </c>
      <c r="BF59" s="504" t="n">
        <v>0</v>
      </c>
      <c r="BG59" s="504" t="n">
        <v>0</v>
      </c>
      <c r="BH59" s="504" t="n">
        <v>0</v>
      </c>
      <c r="BI59" s="504" t="n">
        <v>0</v>
      </c>
      <c r="BJ59" s="504" t="n">
        <v>0</v>
      </c>
      <c r="BK59" s="504" t="n">
        <v>0</v>
      </c>
      <c r="BL59" s="504" t="n">
        <v>0</v>
      </c>
      <c r="BM59" s="504" t="n">
        <v>0</v>
      </c>
      <c r="BN59" s="504" t="n">
        <v>0</v>
      </c>
      <c r="BO59" s="504" t="n">
        <v>0</v>
      </c>
      <c r="BP59" s="504" t="n">
        <v>0</v>
      </c>
      <c r="BQ59" s="504" t="n">
        <v>0</v>
      </c>
      <c r="BR59" s="504" t="n">
        <v>0</v>
      </c>
      <c r="BS59" s="504" t="n">
        <v>0</v>
      </c>
      <c r="BT59" s="504" t="n">
        <v>0</v>
      </c>
      <c r="BU59" s="504" t="n">
        <v>0</v>
      </c>
      <c r="BV59" s="504" t="n">
        <v>0</v>
      </c>
      <c r="BW59" s="504" t="n">
        <v>0</v>
      </c>
      <c r="BX59" s="504" t="n">
        <v>0</v>
      </c>
      <c r="BY59" s="504" t="n">
        <v>0</v>
      </c>
      <c r="BZ59" s="504" t="n">
        <v>0</v>
      </c>
      <c r="CA59" s="504" t="n">
        <v>0</v>
      </c>
      <c r="CB59" s="504" t="n">
        <v>0</v>
      </c>
      <c r="CC59" s="504" t="n">
        <v>0</v>
      </c>
      <c r="CD59" s="504" t="n">
        <v>0</v>
      </c>
      <c r="CE59" s="504" t="n">
        <v>0</v>
      </c>
    </row>
    <row r="60" hidden="1" ht="9" customFormat="1" customHeight="1" s="505">
      <c r="A60" s="504" t="n">
        <v>0</v>
      </c>
      <c r="B60" s="504" t="n">
        <v>0</v>
      </c>
      <c r="C60" s="504" t="n">
        <v>0</v>
      </c>
      <c r="D60" s="504" t="n">
        <v>0</v>
      </c>
      <c r="E60" s="504" t="n">
        <v>0</v>
      </c>
      <c r="F60" s="504" t="n">
        <v>0</v>
      </c>
      <c r="G60" s="504" t="n">
        <v>0</v>
      </c>
      <c r="H60" s="504" t="n">
        <v>0</v>
      </c>
      <c r="I60" s="504" t="n">
        <v>0</v>
      </c>
      <c r="J60" s="504" t="n">
        <v>0</v>
      </c>
      <c r="K60" s="504" t="n">
        <v>0</v>
      </c>
      <c r="L60" s="504" t="n">
        <v>0</v>
      </c>
      <c r="M60" s="504" t="n">
        <v>0</v>
      </c>
      <c r="N60" s="504" t="n">
        <v>0</v>
      </c>
      <c r="O60" s="504" t="n">
        <v>0</v>
      </c>
      <c r="P60" s="625" t="n">
        <v>0</v>
      </c>
      <c r="Q60" s="625" t="n">
        <v>0</v>
      </c>
      <c r="R60" s="625" t="n">
        <v>0</v>
      </c>
      <c r="S60" s="625" t="n">
        <v>0</v>
      </c>
      <c r="T60" s="625" t="n">
        <v>0</v>
      </c>
      <c r="U60" s="625" t="n">
        <v>0</v>
      </c>
      <c r="V60" s="625" t="n">
        <v>0</v>
      </c>
      <c r="W60" s="625" t="n">
        <v>0</v>
      </c>
      <c r="X60" s="625" t="n">
        <v>0</v>
      </c>
      <c r="Y60" s="639" t="n">
        <v>0</v>
      </c>
      <c r="Z60" s="639" t="n">
        <v>0</v>
      </c>
      <c r="AA60" s="639" t="n">
        <v>0</v>
      </c>
      <c r="AB60" s="639" t="n">
        <v>0</v>
      </c>
      <c r="AC60" s="611" t="n">
        <v>0</v>
      </c>
      <c r="AD60" s="611" t="n">
        <v>0</v>
      </c>
      <c r="AE60" s="611" t="n">
        <v>0</v>
      </c>
      <c r="AF60" s="611" t="n">
        <v>0</v>
      </c>
      <c r="AG60" s="625" t="n">
        <v>0</v>
      </c>
      <c r="AH60" s="625" t="n">
        <v>0</v>
      </c>
      <c r="AI60" s="625" t="n">
        <v>0</v>
      </c>
      <c r="AJ60" s="625" t="n">
        <v>0</v>
      </c>
      <c r="AK60" s="625" t="n">
        <v>0</v>
      </c>
      <c r="AL60" s="625" t="n">
        <v>0</v>
      </c>
      <c r="AM60" s="625" t="n">
        <v>0</v>
      </c>
      <c r="AN60" s="625" t="n">
        <v>0</v>
      </c>
      <c r="AO60" s="625" t="n">
        <v>0</v>
      </c>
      <c r="AP60" s="639" t="n">
        <v>0</v>
      </c>
      <c r="AQ60" s="639" t="n">
        <v>0</v>
      </c>
      <c r="AR60" s="639" t="n">
        <v>0</v>
      </c>
      <c r="AS60" s="639" t="n">
        <v>0</v>
      </c>
      <c r="AT60" s="611" t="n">
        <v>0</v>
      </c>
      <c r="AU60" s="611" t="n">
        <v>0</v>
      </c>
      <c r="AV60" s="611" t="n">
        <v>0</v>
      </c>
      <c r="AW60" s="611" t="n">
        <v>0</v>
      </c>
      <c r="AX60" s="504" t="n">
        <v>0</v>
      </c>
      <c r="AY60" s="504" t="n">
        <v>0</v>
      </c>
      <c r="AZ60" s="504" t="n">
        <v>0</v>
      </c>
      <c r="BA60" s="504" t="n">
        <v>0</v>
      </c>
      <c r="BB60" s="504" t="n">
        <v>0</v>
      </c>
      <c r="BC60" s="504" t="n">
        <v>0</v>
      </c>
      <c r="BD60" s="504" t="n">
        <v>0</v>
      </c>
      <c r="BE60" s="504" t="n">
        <v>0</v>
      </c>
      <c r="BF60" s="504" t="n">
        <v>0</v>
      </c>
      <c r="BG60" s="504" t="n">
        <v>0</v>
      </c>
      <c r="BH60" s="504" t="n">
        <v>0</v>
      </c>
      <c r="BI60" s="504" t="n">
        <v>0</v>
      </c>
      <c r="BJ60" s="504" t="n">
        <v>0</v>
      </c>
      <c r="BK60" s="504" t="n">
        <v>0</v>
      </c>
      <c r="BL60" s="504" t="n">
        <v>0</v>
      </c>
      <c r="BM60" s="504" t="n">
        <v>0</v>
      </c>
      <c r="BN60" s="504" t="n">
        <v>0</v>
      </c>
      <c r="BO60" s="504" t="n">
        <v>0</v>
      </c>
      <c r="BP60" s="504" t="n">
        <v>0</v>
      </c>
      <c r="BQ60" s="504" t="n">
        <v>0</v>
      </c>
      <c r="BR60" s="504" t="n">
        <v>0</v>
      </c>
      <c r="BS60" s="504" t="n">
        <v>0</v>
      </c>
      <c r="BT60" s="504" t="n">
        <v>0</v>
      </c>
      <c r="BU60" s="504" t="n">
        <v>0</v>
      </c>
      <c r="BV60" s="504" t="n">
        <v>0</v>
      </c>
      <c r="BW60" s="504" t="n">
        <v>0</v>
      </c>
      <c r="BX60" s="504" t="n">
        <v>0</v>
      </c>
      <c r="BY60" s="504" t="n">
        <v>0</v>
      </c>
      <c r="BZ60" s="504" t="n">
        <v>0</v>
      </c>
      <c r="CA60" s="504" t="n">
        <v>0</v>
      </c>
      <c r="CB60" s="504" t="n">
        <v>0</v>
      </c>
      <c r="CC60" s="504" t="n">
        <v>0</v>
      </c>
      <c r="CD60" s="504" t="n">
        <v>0</v>
      </c>
      <c r="CE60" s="504" t="n">
        <v>0</v>
      </c>
    </row>
    <row r="61" hidden="1" ht="9" customFormat="1" customHeight="1" s="505">
      <c r="A61" s="504" t="n">
        <v>0</v>
      </c>
      <c r="B61" s="504" t="n">
        <v>0</v>
      </c>
      <c r="C61" s="504" t="n">
        <v>0</v>
      </c>
      <c r="D61" s="504" t="n">
        <v>0</v>
      </c>
      <c r="E61" s="504" t="n">
        <v>0</v>
      </c>
      <c r="F61" s="504" t="n">
        <v>0</v>
      </c>
      <c r="G61" s="504" t="n">
        <v>0</v>
      </c>
      <c r="H61" s="504" t="n">
        <v>0</v>
      </c>
      <c r="I61" s="504" t="n">
        <v>0</v>
      </c>
      <c r="J61" s="504" t="n">
        <v>0</v>
      </c>
      <c r="K61" s="504" t="n">
        <v>0</v>
      </c>
      <c r="L61" s="504" t="n">
        <v>0</v>
      </c>
      <c r="M61" s="504" t="n">
        <v>0</v>
      </c>
      <c r="N61" s="504" t="n">
        <v>0</v>
      </c>
      <c r="O61" s="504" t="n">
        <v>0</v>
      </c>
      <c r="P61" s="625" t="n">
        <v>0</v>
      </c>
      <c r="Q61" s="625" t="n">
        <v>0</v>
      </c>
      <c r="R61" s="625" t="n">
        <v>0</v>
      </c>
      <c r="S61" s="625" t="n">
        <v>0</v>
      </c>
      <c r="T61" s="625" t="n">
        <v>0</v>
      </c>
      <c r="U61" s="625" t="n">
        <v>0</v>
      </c>
      <c r="V61" s="625" t="n">
        <v>0</v>
      </c>
      <c r="W61" s="625" t="n">
        <v>0</v>
      </c>
      <c r="X61" s="625" t="n">
        <v>0</v>
      </c>
      <c r="Y61" s="639" t="n">
        <v>0</v>
      </c>
      <c r="Z61" s="639" t="n">
        <v>0</v>
      </c>
      <c r="AA61" s="639" t="n">
        <v>0</v>
      </c>
      <c r="AB61" s="639" t="n">
        <v>0</v>
      </c>
      <c r="AC61" s="611" t="n">
        <v>0</v>
      </c>
      <c r="AD61" s="611" t="n">
        <v>0</v>
      </c>
      <c r="AE61" s="611" t="n">
        <v>0</v>
      </c>
      <c r="AF61" s="611" t="n">
        <v>0</v>
      </c>
      <c r="AG61" s="625" t="n">
        <v>0</v>
      </c>
      <c r="AH61" s="625" t="n">
        <v>0</v>
      </c>
      <c r="AI61" s="625" t="n">
        <v>0</v>
      </c>
      <c r="AJ61" s="625" t="n">
        <v>0</v>
      </c>
      <c r="AK61" s="625" t="n">
        <v>0</v>
      </c>
      <c r="AL61" s="625" t="n">
        <v>0</v>
      </c>
      <c r="AM61" s="625" t="n">
        <v>0</v>
      </c>
      <c r="AN61" s="625" t="n">
        <v>0</v>
      </c>
      <c r="AO61" s="625" t="n">
        <v>0</v>
      </c>
      <c r="AP61" s="639" t="n">
        <v>0</v>
      </c>
      <c r="AQ61" s="639" t="n">
        <v>0</v>
      </c>
      <c r="AR61" s="639" t="n">
        <v>0</v>
      </c>
      <c r="AS61" s="639" t="n">
        <v>0</v>
      </c>
      <c r="AT61" s="611" t="n">
        <v>0</v>
      </c>
      <c r="AU61" s="611" t="n">
        <v>0</v>
      </c>
      <c r="AV61" s="611" t="n">
        <v>0</v>
      </c>
      <c r="AW61" s="611" t="n">
        <v>0</v>
      </c>
      <c r="AX61" s="504" t="n">
        <v>0</v>
      </c>
      <c r="AY61" s="504" t="n">
        <v>0</v>
      </c>
      <c r="AZ61" s="504" t="n">
        <v>0</v>
      </c>
      <c r="BA61" s="504" t="n">
        <v>0</v>
      </c>
      <c r="BB61" s="504" t="n">
        <v>0</v>
      </c>
      <c r="BC61" s="504" t="n">
        <v>0</v>
      </c>
      <c r="BD61" s="504" t="n">
        <v>0</v>
      </c>
      <c r="BE61" s="504" t="n">
        <v>0</v>
      </c>
      <c r="BF61" s="504" t="n">
        <v>0</v>
      </c>
      <c r="BG61" s="504" t="n">
        <v>0</v>
      </c>
      <c r="BH61" s="504" t="n">
        <v>0</v>
      </c>
      <c r="BI61" s="504" t="n">
        <v>0</v>
      </c>
      <c r="BJ61" s="504" t="n">
        <v>0</v>
      </c>
      <c r="BK61" s="504" t="n">
        <v>0</v>
      </c>
      <c r="BL61" s="504" t="n">
        <v>0</v>
      </c>
      <c r="BM61" s="504" t="n">
        <v>0</v>
      </c>
      <c r="BN61" s="504" t="n">
        <v>0</v>
      </c>
      <c r="BO61" s="504" t="n">
        <v>0</v>
      </c>
      <c r="BP61" s="504" t="n">
        <v>0</v>
      </c>
      <c r="BQ61" s="504" t="n">
        <v>0</v>
      </c>
      <c r="BR61" s="504" t="n">
        <v>0</v>
      </c>
      <c r="BS61" s="504" t="n">
        <v>0</v>
      </c>
      <c r="BT61" s="504" t="n">
        <v>0</v>
      </c>
      <c r="BU61" s="504" t="n">
        <v>0</v>
      </c>
      <c r="BV61" s="504" t="n">
        <v>0</v>
      </c>
      <c r="BW61" s="504" t="n">
        <v>0</v>
      </c>
      <c r="BX61" s="504" t="n">
        <v>0</v>
      </c>
      <c r="BY61" s="504" t="n">
        <v>0</v>
      </c>
      <c r="BZ61" s="504" t="n">
        <v>0</v>
      </c>
      <c r="CA61" s="504" t="n">
        <v>0</v>
      </c>
      <c r="CB61" s="504" t="n">
        <v>0</v>
      </c>
      <c r="CC61" s="504" t="n">
        <v>0</v>
      </c>
      <c r="CD61" s="504" t="n">
        <v>0</v>
      </c>
      <c r="CE61" s="504" t="n">
        <v>0</v>
      </c>
    </row>
    <row r="62" hidden="1" ht="9" customFormat="1" customHeight="1" s="505">
      <c r="A62" s="504" t="n">
        <v>0</v>
      </c>
      <c r="B62" s="504" t="n">
        <v>0</v>
      </c>
      <c r="C62" s="504" t="n">
        <v>0</v>
      </c>
      <c r="D62" s="504" t="n">
        <v>0</v>
      </c>
      <c r="E62" s="504" t="n">
        <v>0</v>
      </c>
      <c r="F62" s="504" t="n">
        <v>0</v>
      </c>
      <c r="G62" s="504" t="n">
        <v>0</v>
      </c>
      <c r="H62" s="504" t="n">
        <v>0</v>
      </c>
      <c r="I62" s="504" t="n">
        <v>0</v>
      </c>
      <c r="J62" s="504" t="n">
        <v>0</v>
      </c>
      <c r="K62" s="504" t="n">
        <v>0</v>
      </c>
      <c r="L62" s="504" t="n">
        <v>0</v>
      </c>
      <c r="M62" s="504" t="n">
        <v>0</v>
      </c>
      <c r="N62" s="504" t="n">
        <v>0</v>
      </c>
      <c r="O62" s="504" t="n">
        <v>0</v>
      </c>
      <c r="P62" s="625" t="n">
        <v>0</v>
      </c>
      <c r="Q62" s="625" t="n">
        <v>0</v>
      </c>
      <c r="R62" s="625" t="n">
        <v>0</v>
      </c>
      <c r="S62" s="625" t="n">
        <v>0</v>
      </c>
      <c r="T62" s="625" t="n">
        <v>0</v>
      </c>
      <c r="U62" s="625" t="n">
        <v>0</v>
      </c>
      <c r="V62" s="625" t="n">
        <v>0</v>
      </c>
      <c r="W62" s="625" t="n">
        <v>0</v>
      </c>
      <c r="X62" s="625" t="n">
        <v>0</v>
      </c>
      <c r="Y62" s="639" t="n">
        <v>0</v>
      </c>
      <c r="Z62" s="639" t="n">
        <v>0</v>
      </c>
      <c r="AA62" s="639" t="n">
        <v>0</v>
      </c>
      <c r="AB62" s="639" t="n">
        <v>0</v>
      </c>
      <c r="AC62" s="611" t="n">
        <v>0</v>
      </c>
      <c r="AD62" s="611" t="n">
        <v>0</v>
      </c>
      <c r="AE62" s="611" t="n">
        <v>0</v>
      </c>
      <c r="AF62" s="611" t="n">
        <v>0</v>
      </c>
      <c r="AG62" s="625" t="n">
        <v>0</v>
      </c>
      <c r="AH62" s="625" t="n">
        <v>0</v>
      </c>
      <c r="AI62" s="625" t="n">
        <v>0</v>
      </c>
      <c r="AJ62" s="625" t="n">
        <v>0</v>
      </c>
      <c r="AK62" s="625" t="n">
        <v>0</v>
      </c>
      <c r="AL62" s="625" t="n">
        <v>0</v>
      </c>
      <c r="AM62" s="625" t="n">
        <v>0</v>
      </c>
      <c r="AN62" s="625" t="n">
        <v>0</v>
      </c>
      <c r="AO62" s="625" t="n">
        <v>0</v>
      </c>
      <c r="AP62" s="639" t="n">
        <v>0</v>
      </c>
      <c r="AQ62" s="639" t="n">
        <v>0</v>
      </c>
      <c r="AR62" s="639" t="n">
        <v>0</v>
      </c>
      <c r="AS62" s="639" t="n">
        <v>0</v>
      </c>
      <c r="AT62" s="611" t="n">
        <v>0</v>
      </c>
      <c r="AU62" s="611" t="n">
        <v>0</v>
      </c>
      <c r="AV62" s="611" t="n">
        <v>0</v>
      </c>
      <c r="AW62" s="611" t="n">
        <v>0</v>
      </c>
      <c r="AX62" s="504" t="n">
        <v>0</v>
      </c>
      <c r="AY62" s="504" t="n">
        <v>0</v>
      </c>
      <c r="AZ62" s="504" t="n">
        <v>0</v>
      </c>
      <c r="BA62" s="504" t="n">
        <v>0</v>
      </c>
      <c r="BB62" s="504" t="n">
        <v>0</v>
      </c>
      <c r="BC62" s="504" t="n">
        <v>0</v>
      </c>
      <c r="BD62" s="504" t="n">
        <v>0</v>
      </c>
      <c r="BE62" s="504" t="n">
        <v>0</v>
      </c>
      <c r="BF62" s="504" t="n">
        <v>0</v>
      </c>
      <c r="BG62" s="504" t="n">
        <v>0</v>
      </c>
      <c r="BH62" s="504" t="n">
        <v>0</v>
      </c>
      <c r="BI62" s="504" t="n">
        <v>0</v>
      </c>
      <c r="BJ62" s="504" t="n">
        <v>0</v>
      </c>
      <c r="BK62" s="504" t="n">
        <v>0</v>
      </c>
      <c r="BL62" s="504" t="n">
        <v>0</v>
      </c>
      <c r="BM62" s="504" t="n">
        <v>0</v>
      </c>
      <c r="BN62" s="504" t="n">
        <v>0</v>
      </c>
      <c r="BO62" s="504" t="n">
        <v>0</v>
      </c>
      <c r="BP62" s="504" t="n">
        <v>0</v>
      </c>
      <c r="BQ62" s="504" t="n">
        <v>0</v>
      </c>
      <c r="BR62" s="504" t="n">
        <v>0</v>
      </c>
      <c r="BS62" s="504" t="n">
        <v>0</v>
      </c>
      <c r="BT62" s="504" t="n">
        <v>0</v>
      </c>
      <c r="BU62" s="504" t="n">
        <v>0</v>
      </c>
      <c r="BV62" s="504" t="n">
        <v>0</v>
      </c>
      <c r="BW62" s="504" t="n">
        <v>0</v>
      </c>
      <c r="BX62" s="504" t="n">
        <v>0</v>
      </c>
      <c r="BY62" s="504" t="n">
        <v>0</v>
      </c>
      <c r="BZ62" s="504" t="n">
        <v>0</v>
      </c>
      <c r="CA62" s="504" t="n">
        <v>0</v>
      </c>
      <c r="CB62" s="504" t="n">
        <v>0</v>
      </c>
      <c r="CC62" s="504" t="n">
        <v>0</v>
      </c>
      <c r="CD62" s="504" t="n">
        <v>0</v>
      </c>
      <c r="CE62" s="504" t="n">
        <v>0</v>
      </c>
    </row>
    <row r="63" hidden="1" ht="9" customFormat="1" customHeight="1" s="505">
      <c r="A63" s="504" t="n">
        <v>0</v>
      </c>
      <c r="B63" s="504" t="n">
        <v>0</v>
      </c>
      <c r="C63" s="504" t="n">
        <v>0</v>
      </c>
      <c r="D63" s="504" t="n">
        <v>0</v>
      </c>
      <c r="E63" s="504" t="n">
        <v>0</v>
      </c>
      <c r="F63" s="504" t="n">
        <v>0</v>
      </c>
      <c r="G63" s="504" t="n">
        <v>0</v>
      </c>
      <c r="H63" s="504" t="n">
        <v>0</v>
      </c>
      <c r="I63" s="504" t="n">
        <v>0</v>
      </c>
      <c r="J63" s="504" t="n">
        <v>0</v>
      </c>
      <c r="K63" s="504" t="n">
        <v>0</v>
      </c>
      <c r="L63" s="504" t="n">
        <v>0</v>
      </c>
      <c r="M63" s="504" t="n">
        <v>0</v>
      </c>
      <c r="N63" s="504" t="n">
        <v>0</v>
      </c>
      <c r="O63" s="504" t="n">
        <v>0</v>
      </c>
      <c r="P63" s="625" t="n">
        <v>0</v>
      </c>
      <c r="Q63" s="625" t="n">
        <v>0</v>
      </c>
      <c r="R63" s="625" t="n">
        <v>0</v>
      </c>
      <c r="S63" s="625" t="n">
        <v>0</v>
      </c>
      <c r="T63" s="625" t="n">
        <v>0</v>
      </c>
      <c r="U63" s="625" t="n">
        <v>0</v>
      </c>
      <c r="V63" s="625" t="n">
        <v>0</v>
      </c>
      <c r="W63" s="625" t="n">
        <v>0</v>
      </c>
      <c r="X63" s="625" t="n">
        <v>0</v>
      </c>
      <c r="Y63" s="639" t="n">
        <v>0</v>
      </c>
      <c r="Z63" s="639" t="n">
        <v>0</v>
      </c>
      <c r="AA63" s="639" t="n">
        <v>0</v>
      </c>
      <c r="AB63" s="639" t="n">
        <v>0</v>
      </c>
      <c r="AC63" s="611" t="n">
        <v>0</v>
      </c>
      <c r="AD63" s="611" t="n">
        <v>0</v>
      </c>
      <c r="AE63" s="611" t="n">
        <v>0</v>
      </c>
      <c r="AF63" s="611" t="n">
        <v>0</v>
      </c>
      <c r="AG63" s="625" t="n">
        <v>0</v>
      </c>
      <c r="AH63" s="625" t="n">
        <v>0</v>
      </c>
      <c r="AI63" s="625" t="n">
        <v>0</v>
      </c>
      <c r="AJ63" s="625" t="n">
        <v>0</v>
      </c>
      <c r="AK63" s="625" t="n">
        <v>0</v>
      </c>
      <c r="AL63" s="625" t="n">
        <v>0</v>
      </c>
      <c r="AM63" s="625" t="n">
        <v>0</v>
      </c>
      <c r="AN63" s="625" t="n">
        <v>0</v>
      </c>
      <c r="AO63" s="625" t="n">
        <v>0</v>
      </c>
      <c r="AP63" s="639" t="n">
        <v>0</v>
      </c>
      <c r="AQ63" s="639" t="n">
        <v>0</v>
      </c>
      <c r="AR63" s="639" t="n">
        <v>0</v>
      </c>
      <c r="AS63" s="639" t="n">
        <v>0</v>
      </c>
      <c r="AT63" s="611" t="n">
        <v>0</v>
      </c>
      <c r="AU63" s="611" t="n">
        <v>0</v>
      </c>
      <c r="AV63" s="611" t="n">
        <v>0</v>
      </c>
      <c r="AW63" s="611" t="n">
        <v>0</v>
      </c>
      <c r="AX63" s="504" t="n">
        <v>0</v>
      </c>
      <c r="AY63" s="504" t="n">
        <v>0</v>
      </c>
      <c r="AZ63" s="504" t="n">
        <v>0</v>
      </c>
      <c r="BA63" s="504" t="n">
        <v>0</v>
      </c>
      <c r="BB63" s="504" t="n">
        <v>0</v>
      </c>
      <c r="BC63" s="504" t="n">
        <v>0</v>
      </c>
      <c r="BD63" s="504" t="n">
        <v>0</v>
      </c>
      <c r="BE63" s="504" t="n">
        <v>0</v>
      </c>
      <c r="BF63" s="504" t="n">
        <v>0</v>
      </c>
      <c r="BG63" s="504" t="n">
        <v>0</v>
      </c>
      <c r="BH63" s="504" t="n">
        <v>0</v>
      </c>
      <c r="BI63" s="504" t="n">
        <v>0</v>
      </c>
      <c r="BJ63" s="504" t="n">
        <v>0</v>
      </c>
      <c r="BK63" s="504" t="n">
        <v>0</v>
      </c>
      <c r="BL63" s="504" t="n">
        <v>0</v>
      </c>
      <c r="BM63" s="504" t="n">
        <v>0</v>
      </c>
      <c r="BN63" s="504" t="n">
        <v>0</v>
      </c>
      <c r="BO63" s="504" t="n">
        <v>0</v>
      </c>
      <c r="BP63" s="504" t="n">
        <v>0</v>
      </c>
      <c r="BQ63" s="504" t="n">
        <v>0</v>
      </c>
      <c r="BR63" s="504" t="n">
        <v>0</v>
      </c>
      <c r="BS63" s="504" t="n">
        <v>0</v>
      </c>
      <c r="BT63" s="504" t="n">
        <v>0</v>
      </c>
      <c r="BU63" s="504" t="n">
        <v>0</v>
      </c>
      <c r="BV63" s="504" t="n">
        <v>0</v>
      </c>
      <c r="BW63" s="504" t="n">
        <v>0</v>
      </c>
      <c r="BX63" s="504" t="n">
        <v>0</v>
      </c>
      <c r="BY63" s="504" t="n">
        <v>0</v>
      </c>
      <c r="BZ63" s="504" t="n">
        <v>0</v>
      </c>
      <c r="CA63" s="504" t="n">
        <v>0</v>
      </c>
      <c r="CB63" s="504" t="n">
        <v>0</v>
      </c>
      <c r="CC63" s="504" t="n">
        <v>0</v>
      </c>
      <c r="CD63" s="504" t="n">
        <v>0</v>
      </c>
      <c r="CE63" s="504" t="n">
        <v>0</v>
      </c>
    </row>
    <row r="64" hidden="1" ht="9" customFormat="1" customHeight="1" s="505">
      <c r="A64" s="504" t="n">
        <v>0</v>
      </c>
      <c r="B64" s="504" t="n">
        <v>0</v>
      </c>
      <c r="C64" s="504" t="n">
        <v>0</v>
      </c>
      <c r="D64" s="504" t="n">
        <v>0</v>
      </c>
      <c r="E64" s="504" t="n">
        <v>0</v>
      </c>
      <c r="F64" s="504" t="n">
        <v>0</v>
      </c>
      <c r="G64" s="504" t="n">
        <v>0</v>
      </c>
      <c r="H64" s="504" t="n">
        <v>0</v>
      </c>
      <c r="I64" s="504" t="n">
        <v>0</v>
      </c>
      <c r="J64" s="504" t="n">
        <v>0</v>
      </c>
      <c r="K64" s="504" t="n">
        <v>0</v>
      </c>
      <c r="L64" s="504" t="n">
        <v>0</v>
      </c>
      <c r="M64" s="504" t="n">
        <v>0</v>
      </c>
      <c r="N64" s="504" t="n">
        <v>0</v>
      </c>
      <c r="O64" s="504" t="n">
        <v>0</v>
      </c>
      <c r="P64" s="625" t="n">
        <v>0</v>
      </c>
      <c r="Q64" s="625" t="n">
        <v>0</v>
      </c>
      <c r="R64" s="625" t="n">
        <v>0</v>
      </c>
      <c r="S64" s="625" t="n">
        <v>0</v>
      </c>
      <c r="T64" s="625" t="n">
        <v>0</v>
      </c>
      <c r="U64" s="625" t="n">
        <v>0</v>
      </c>
      <c r="V64" s="625" t="n">
        <v>0</v>
      </c>
      <c r="W64" s="625" t="n">
        <v>0</v>
      </c>
      <c r="X64" s="625" t="n">
        <v>0</v>
      </c>
      <c r="Y64" s="639" t="n">
        <v>0</v>
      </c>
      <c r="Z64" s="639" t="n">
        <v>0</v>
      </c>
      <c r="AA64" s="639" t="n">
        <v>0</v>
      </c>
      <c r="AB64" s="639" t="n">
        <v>0</v>
      </c>
      <c r="AC64" s="611" t="n">
        <v>0</v>
      </c>
      <c r="AD64" s="611" t="n">
        <v>0</v>
      </c>
      <c r="AE64" s="611" t="n">
        <v>0</v>
      </c>
      <c r="AF64" s="611" t="n">
        <v>0</v>
      </c>
      <c r="AG64" s="625" t="n">
        <v>0</v>
      </c>
      <c r="AH64" s="625" t="n">
        <v>0</v>
      </c>
      <c r="AI64" s="625" t="n">
        <v>0</v>
      </c>
      <c r="AJ64" s="625" t="n">
        <v>0</v>
      </c>
      <c r="AK64" s="625" t="n">
        <v>0</v>
      </c>
      <c r="AL64" s="625" t="n">
        <v>0</v>
      </c>
      <c r="AM64" s="625" t="n">
        <v>0</v>
      </c>
      <c r="AN64" s="625" t="n">
        <v>0</v>
      </c>
      <c r="AO64" s="625" t="n">
        <v>0</v>
      </c>
      <c r="AP64" s="639" t="n">
        <v>0</v>
      </c>
      <c r="AQ64" s="639" t="n">
        <v>0</v>
      </c>
      <c r="AR64" s="639" t="n">
        <v>0</v>
      </c>
      <c r="AS64" s="639" t="n">
        <v>0</v>
      </c>
      <c r="AT64" s="611" t="n">
        <v>0</v>
      </c>
      <c r="AU64" s="611" t="n">
        <v>0</v>
      </c>
      <c r="AV64" s="611" t="n">
        <v>0</v>
      </c>
      <c r="AW64" s="611" t="n">
        <v>0</v>
      </c>
      <c r="AX64" s="504" t="n">
        <v>0</v>
      </c>
      <c r="AY64" s="504" t="n">
        <v>0</v>
      </c>
      <c r="AZ64" s="504" t="n">
        <v>0</v>
      </c>
      <c r="BA64" s="504" t="n">
        <v>0</v>
      </c>
      <c r="BB64" s="504" t="n">
        <v>0</v>
      </c>
      <c r="BC64" s="504" t="n">
        <v>0</v>
      </c>
      <c r="BD64" s="504" t="n">
        <v>0</v>
      </c>
      <c r="BE64" s="504" t="n">
        <v>0</v>
      </c>
      <c r="BF64" s="504" t="n">
        <v>0</v>
      </c>
      <c r="BG64" s="504" t="n">
        <v>0</v>
      </c>
      <c r="BH64" s="504" t="n">
        <v>0</v>
      </c>
      <c r="BI64" s="504" t="n">
        <v>0</v>
      </c>
      <c r="BJ64" s="504" t="n">
        <v>0</v>
      </c>
      <c r="BK64" s="504" t="n">
        <v>0</v>
      </c>
      <c r="BL64" s="504" t="n">
        <v>0</v>
      </c>
      <c r="BM64" s="504" t="n">
        <v>0</v>
      </c>
      <c r="BN64" s="504" t="n">
        <v>0</v>
      </c>
      <c r="BO64" s="504" t="n">
        <v>0</v>
      </c>
      <c r="BP64" s="504" t="n">
        <v>0</v>
      </c>
      <c r="BQ64" s="504" t="n">
        <v>0</v>
      </c>
      <c r="BR64" s="504" t="n">
        <v>0</v>
      </c>
      <c r="BS64" s="504" t="n">
        <v>0</v>
      </c>
      <c r="BT64" s="504" t="n">
        <v>0</v>
      </c>
      <c r="BU64" s="504" t="n">
        <v>0</v>
      </c>
      <c r="BV64" s="504" t="n">
        <v>0</v>
      </c>
      <c r="BW64" s="504" t="n">
        <v>0</v>
      </c>
      <c r="BX64" s="504" t="n">
        <v>0</v>
      </c>
      <c r="BY64" s="504" t="n">
        <v>0</v>
      </c>
      <c r="BZ64" s="504" t="n">
        <v>0</v>
      </c>
      <c r="CA64" s="504" t="n">
        <v>0</v>
      </c>
      <c r="CB64" s="504" t="n">
        <v>0</v>
      </c>
      <c r="CC64" s="504" t="n">
        <v>0</v>
      </c>
      <c r="CD64" s="504" t="n">
        <v>0</v>
      </c>
      <c r="CE64" s="504" t="n">
        <v>0</v>
      </c>
    </row>
    <row r="65" hidden="1" ht="9" customFormat="1" customHeight="1" s="505">
      <c r="A65" s="504" t="n">
        <v>0</v>
      </c>
      <c r="B65" s="504" t="n">
        <v>0</v>
      </c>
      <c r="C65" s="504" t="n">
        <v>0</v>
      </c>
      <c r="D65" s="504" t="n">
        <v>0</v>
      </c>
      <c r="E65" s="504" t="n">
        <v>0</v>
      </c>
      <c r="F65" s="504" t="n">
        <v>0</v>
      </c>
      <c r="G65" s="504" t="n">
        <v>0</v>
      </c>
      <c r="H65" s="504" t="n">
        <v>0</v>
      </c>
      <c r="I65" s="504" t="n">
        <v>0</v>
      </c>
      <c r="J65" s="504" t="n">
        <v>0</v>
      </c>
      <c r="K65" s="504" t="n">
        <v>0</v>
      </c>
      <c r="L65" s="504" t="n">
        <v>0</v>
      </c>
      <c r="M65" s="504" t="n">
        <v>0</v>
      </c>
      <c r="N65" s="504" t="n">
        <v>0</v>
      </c>
      <c r="O65" s="504" t="n">
        <v>0</v>
      </c>
      <c r="P65" s="625" t="n">
        <v>0</v>
      </c>
      <c r="Q65" s="625" t="n">
        <v>0</v>
      </c>
      <c r="R65" s="625" t="n">
        <v>0</v>
      </c>
      <c r="S65" s="625" t="n">
        <v>0</v>
      </c>
      <c r="T65" s="625" t="n">
        <v>0</v>
      </c>
      <c r="U65" s="625" t="n">
        <v>0</v>
      </c>
      <c r="V65" s="625" t="n">
        <v>0</v>
      </c>
      <c r="W65" s="625" t="n">
        <v>0</v>
      </c>
      <c r="X65" s="625" t="n">
        <v>0</v>
      </c>
      <c r="Y65" s="639" t="n">
        <v>0</v>
      </c>
      <c r="Z65" s="639" t="n">
        <v>0</v>
      </c>
      <c r="AA65" s="639" t="n">
        <v>0</v>
      </c>
      <c r="AB65" s="639" t="n">
        <v>0</v>
      </c>
      <c r="AC65" s="611" t="n">
        <v>0</v>
      </c>
      <c r="AD65" s="611" t="n">
        <v>0</v>
      </c>
      <c r="AE65" s="611" t="n">
        <v>0</v>
      </c>
      <c r="AF65" s="611" t="n">
        <v>0</v>
      </c>
      <c r="AG65" s="625" t="n">
        <v>0</v>
      </c>
      <c r="AH65" s="625" t="n">
        <v>0</v>
      </c>
      <c r="AI65" s="625" t="n">
        <v>0</v>
      </c>
      <c r="AJ65" s="625" t="n">
        <v>0</v>
      </c>
      <c r="AK65" s="625" t="n">
        <v>0</v>
      </c>
      <c r="AL65" s="625" t="n">
        <v>0</v>
      </c>
      <c r="AM65" s="625" t="n">
        <v>0</v>
      </c>
      <c r="AN65" s="625" t="n">
        <v>0</v>
      </c>
      <c r="AO65" s="625" t="n">
        <v>0</v>
      </c>
      <c r="AP65" s="639" t="n">
        <v>0</v>
      </c>
      <c r="AQ65" s="639" t="n">
        <v>0</v>
      </c>
      <c r="AR65" s="639" t="n">
        <v>0</v>
      </c>
      <c r="AS65" s="639" t="n">
        <v>0</v>
      </c>
      <c r="AT65" s="611" t="n">
        <v>0</v>
      </c>
      <c r="AU65" s="611" t="n">
        <v>0</v>
      </c>
      <c r="AV65" s="611" t="n">
        <v>0</v>
      </c>
      <c r="AW65" s="611" t="n">
        <v>0</v>
      </c>
      <c r="AX65" s="504" t="n">
        <v>0</v>
      </c>
      <c r="AY65" s="504" t="n">
        <v>0</v>
      </c>
      <c r="AZ65" s="504" t="n">
        <v>0</v>
      </c>
      <c r="BA65" s="504" t="n">
        <v>0</v>
      </c>
      <c r="BB65" s="504" t="n">
        <v>0</v>
      </c>
      <c r="BC65" s="504" t="n">
        <v>0</v>
      </c>
      <c r="BD65" s="504" t="n">
        <v>0</v>
      </c>
      <c r="BE65" s="504" t="n">
        <v>0</v>
      </c>
      <c r="BF65" s="504" t="n">
        <v>0</v>
      </c>
      <c r="BG65" s="504" t="n">
        <v>0</v>
      </c>
      <c r="BH65" s="504" t="n">
        <v>0</v>
      </c>
      <c r="BI65" s="504" t="n">
        <v>0</v>
      </c>
      <c r="BJ65" s="504" t="n">
        <v>0</v>
      </c>
      <c r="BK65" s="504" t="n">
        <v>0</v>
      </c>
      <c r="BL65" s="504" t="n">
        <v>0</v>
      </c>
      <c r="BM65" s="504" t="n">
        <v>0</v>
      </c>
      <c r="BN65" s="504" t="n">
        <v>0</v>
      </c>
      <c r="BO65" s="504" t="n">
        <v>0</v>
      </c>
      <c r="BP65" s="504" t="n">
        <v>0</v>
      </c>
      <c r="BQ65" s="504" t="n">
        <v>0</v>
      </c>
      <c r="BR65" s="504" t="n">
        <v>0</v>
      </c>
      <c r="BS65" s="504" t="n">
        <v>0</v>
      </c>
      <c r="BT65" s="504" t="n">
        <v>0</v>
      </c>
      <c r="BU65" s="504" t="n">
        <v>0</v>
      </c>
      <c r="BV65" s="504" t="n">
        <v>0</v>
      </c>
      <c r="BW65" s="504" t="n">
        <v>0</v>
      </c>
      <c r="BX65" s="504" t="n">
        <v>0</v>
      </c>
      <c r="BY65" s="504" t="n">
        <v>0</v>
      </c>
      <c r="BZ65" s="504" t="n">
        <v>0</v>
      </c>
      <c r="CA65" s="504" t="n">
        <v>0</v>
      </c>
      <c r="CB65" s="504" t="n">
        <v>0</v>
      </c>
      <c r="CC65" s="504" t="n">
        <v>0</v>
      </c>
      <c r="CD65" s="504" t="n">
        <v>0</v>
      </c>
      <c r="CE65" s="504" t="n">
        <v>0</v>
      </c>
    </row>
    <row r="66" hidden="1" ht="9" customFormat="1" customHeight="1" s="505">
      <c r="A66" s="504" t="n">
        <v>0</v>
      </c>
      <c r="B66" s="504" t="n">
        <v>0</v>
      </c>
      <c r="C66" s="504" t="n">
        <v>0</v>
      </c>
      <c r="D66" s="504" t="n">
        <v>0</v>
      </c>
      <c r="E66" s="504" t="n">
        <v>0</v>
      </c>
      <c r="F66" s="504" t="n">
        <v>0</v>
      </c>
      <c r="G66" s="504" t="n">
        <v>0</v>
      </c>
      <c r="H66" s="504" t="n">
        <v>0</v>
      </c>
      <c r="I66" s="504" t="n">
        <v>0</v>
      </c>
      <c r="J66" s="504" t="n">
        <v>0</v>
      </c>
      <c r="K66" s="504" t="n">
        <v>0</v>
      </c>
      <c r="L66" s="504" t="n">
        <v>0</v>
      </c>
      <c r="M66" s="504" t="n">
        <v>0</v>
      </c>
      <c r="N66" s="504" t="n">
        <v>0</v>
      </c>
      <c r="O66" s="504" t="n">
        <v>0</v>
      </c>
      <c r="P66" s="625" t="n">
        <v>0</v>
      </c>
      <c r="Q66" s="625" t="n">
        <v>0</v>
      </c>
      <c r="R66" s="625" t="n">
        <v>0</v>
      </c>
      <c r="S66" s="625" t="n">
        <v>0</v>
      </c>
      <c r="T66" s="625" t="n">
        <v>0</v>
      </c>
      <c r="U66" s="625" t="n">
        <v>0</v>
      </c>
      <c r="V66" s="625" t="n">
        <v>0</v>
      </c>
      <c r="W66" s="625" t="n">
        <v>0</v>
      </c>
      <c r="X66" s="625" t="n">
        <v>0</v>
      </c>
      <c r="Y66" s="639" t="n">
        <v>0</v>
      </c>
      <c r="Z66" s="639" t="n">
        <v>0</v>
      </c>
      <c r="AA66" s="639" t="n">
        <v>0</v>
      </c>
      <c r="AB66" s="639" t="n">
        <v>0</v>
      </c>
      <c r="AC66" s="611" t="n">
        <v>0</v>
      </c>
      <c r="AD66" s="611" t="n">
        <v>0</v>
      </c>
      <c r="AE66" s="611" t="n">
        <v>0</v>
      </c>
      <c r="AF66" s="611" t="n">
        <v>0</v>
      </c>
      <c r="AG66" s="625" t="n">
        <v>0</v>
      </c>
      <c r="AH66" s="625" t="n">
        <v>0</v>
      </c>
      <c r="AI66" s="625" t="n">
        <v>0</v>
      </c>
      <c r="AJ66" s="625" t="n">
        <v>0</v>
      </c>
      <c r="AK66" s="625" t="n">
        <v>0</v>
      </c>
      <c r="AL66" s="625" t="n">
        <v>0</v>
      </c>
      <c r="AM66" s="625" t="n">
        <v>0</v>
      </c>
      <c r="AN66" s="625" t="n">
        <v>0</v>
      </c>
      <c r="AO66" s="625" t="n">
        <v>0</v>
      </c>
      <c r="AP66" s="639" t="n">
        <v>0</v>
      </c>
      <c r="AQ66" s="639" t="n">
        <v>0</v>
      </c>
      <c r="AR66" s="639" t="n">
        <v>0</v>
      </c>
      <c r="AS66" s="639" t="n">
        <v>0</v>
      </c>
      <c r="AT66" s="611" t="n">
        <v>0</v>
      </c>
      <c r="AU66" s="611" t="n">
        <v>0</v>
      </c>
      <c r="AV66" s="611" t="n">
        <v>0</v>
      </c>
      <c r="AW66" s="611" t="n">
        <v>0</v>
      </c>
      <c r="AX66" s="504" t="n">
        <v>0</v>
      </c>
      <c r="AY66" s="504" t="n">
        <v>0</v>
      </c>
      <c r="AZ66" s="504" t="n">
        <v>0</v>
      </c>
      <c r="BA66" s="504" t="n">
        <v>0</v>
      </c>
      <c r="BB66" s="504" t="n">
        <v>0</v>
      </c>
      <c r="BC66" s="504" t="n">
        <v>0</v>
      </c>
      <c r="BD66" s="504" t="n">
        <v>0</v>
      </c>
      <c r="BE66" s="504" t="n">
        <v>0</v>
      </c>
      <c r="BF66" s="504" t="n">
        <v>0</v>
      </c>
      <c r="BG66" s="504" t="n">
        <v>0</v>
      </c>
      <c r="BH66" s="504" t="n">
        <v>0</v>
      </c>
      <c r="BI66" s="504" t="n">
        <v>0</v>
      </c>
      <c r="BJ66" s="504" t="n">
        <v>0</v>
      </c>
      <c r="BK66" s="504" t="n">
        <v>0</v>
      </c>
      <c r="BL66" s="504" t="n">
        <v>0</v>
      </c>
      <c r="BM66" s="504" t="n">
        <v>0</v>
      </c>
      <c r="BN66" s="504" t="n">
        <v>0</v>
      </c>
      <c r="BO66" s="504" t="n">
        <v>0</v>
      </c>
      <c r="BP66" s="504" t="n">
        <v>0</v>
      </c>
      <c r="BQ66" s="504" t="n">
        <v>0</v>
      </c>
      <c r="BR66" s="504" t="n">
        <v>0</v>
      </c>
      <c r="BS66" s="504" t="n">
        <v>0</v>
      </c>
      <c r="BT66" s="504" t="n">
        <v>0</v>
      </c>
      <c r="BU66" s="504" t="n">
        <v>0</v>
      </c>
      <c r="BV66" s="504" t="n">
        <v>0</v>
      </c>
      <c r="BW66" s="504" t="n">
        <v>0</v>
      </c>
      <c r="BX66" s="504" t="n">
        <v>0</v>
      </c>
      <c r="BY66" s="504" t="n">
        <v>0</v>
      </c>
      <c r="BZ66" s="504" t="n">
        <v>0</v>
      </c>
      <c r="CA66" s="504" t="n">
        <v>0</v>
      </c>
      <c r="CB66" s="504" t="n">
        <v>0</v>
      </c>
      <c r="CC66" s="504" t="n">
        <v>0</v>
      </c>
      <c r="CD66" s="504" t="n">
        <v>0</v>
      </c>
      <c r="CE66" s="504" t="n">
        <v>0</v>
      </c>
    </row>
    <row r="67" hidden="1" ht="9" customFormat="1" customHeight="1" s="505">
      <c r="A67" s="504" t="n">
        <v>0</v>
      </c>
      <c r="B67" s="504" t="n">
        <v>0</v>
      </c>
      <c r="C67" s="504" t="n">
        <v>0</v>
      </c>
      <c r="D67" s="504" t="n">
        <v>0</v>
      </c>
      <c r="E67" s="504" t="n">
        <v>0</v>
      </c>
      <c r="F67" s="504" t="n">
        <v>0</v>
      </c>
      <c r="G67" s="504" t="n">
        <v>0</v>
      </c>
      <c r="H67" s="504" t="n">
        <v>0</v>
      </c>
      <c r="I67" s="504" t="n">
        <v>0</v>
      </c>
      <c r="J67" s="504" t="n">
        <v>0</v>
      </c>
      <c r="K67" s="504" t="n">
        <v>0</v>
      </c>
      <c r="L67" s="504" t="n">
        <v>0</v>
      </c>
      <c r="M67" s="504" t="n">
        <v>0</v>
      </c>
      <c r="N67" s="504" t="n">
        <v>0</v>
      </c>
      <c r="O67" s="504" t="n">
        <v>0</v>
      </c>
      <c r="P67" s="625" t="n">
        <v>0</v>
      </c>
      <c r="Q67" s="625" t="n">
        <v>0</v>
      </c>
      <c r="R67" s="625" t="n">
        <v>0</v>
      </c>
      <c r="S67" s="625" t="n">
        <v>0</v>
      </c>
      <c r="T67" s="625" t="n">
        <v>0</v>
      </c>
      <c r="U67" s="625" t="n">
        <v>0</v>
      </c>
      <c r="V67" s="625" t="n">
        <v>0</v>
      </c>
      <c r="W67" s="625" t="n">
        <v>0</v>
      </c>
      <c r="X67" s="625" t="n">
        <v>0</v>
      </c>
      <c r="Y67" s="639" t="n">
        <v>0</v>
      </c>
      <c r="Z67" s="639" t="n">
        <v>0</v>
      </c>
      <c r="AA67" s="639" t="n">
        <v>0</v>
      </c>
      <c r="AB67" s="639" t="n">
        <v>0</v>
      </c>
      <c r="AC67" s="611" t="n">
        <v>0</v>
      </c>
      <c r="AD67" s="611" t="n">
        <v>0</v>
      </c>
      <c r="AE67" s="611" t="n">
        <v>0</v>
      </c>
      <c r="AF67" s="611" t="n">
        <v>0</v>
      </c>
      <c r="AG67" s="625" t="n">
        <v>0</v>
      </c>
      <c r="AH67" s="625" t="n">
        <v>0</v>
      </c>
      <c r="AI67" s="625" t="n">
        <v>0</v>
      </c>
      <c r="AJ67" s="625" t="n">
        <v>0</v>
      </c>
      <c r="AK67" s="625" t="n">
        <v>0</v>
      </c>
      <c r="AL67" s="625" t="n">
        <v>0</v>
      </c>
      <c r="AM67" s="625" t="n">
        <v>0</v>
      </c>
      <c r="AN67" s="625" t="n">
        <v>0</v>
      </c>
      <c r="AO67" s="625" t="n">
        <v>0</v>
      </c>
      <c r="AP67" s="639" t="n">
        <v>0</v>
      </c>
      <c r="AQ67" s="639" t="n">
        <v>0</v>
      </c>
      <c r="AR67" s="639" t="n">
        <v>0</v>
      </c>
      <c r="AS67" s="639" t="n">
        <v>0</v>
      </c>
      <c r="AT67" s="611" t="n">
        <v>0</v>
      </c>
      <c r="AU67" s="611" t="n">
        <v>0</v>
      </c>
      <c r="AV67" s="611" t="n">
        <v>0</v>
      </c>
      <c r="AW67" s="611" t="n">
        <v>0</v>
      </c>
      <c r="AX67" s="504" t="n">
        <v>0</v>
      </c>
      <c r="AY67" s="504" t="n">
        <v>0</v>
      </c>
      <c r="AZ67" s="504" t="n">
        <v>0</v>
      </c>
      <c r="BA67" s="504" t="n">
        <v>0</v>
      </c>
      <c r="BB67" s="504" t="n">
        <v>0</v>
      </c>
      <c r="BC67" s="504" t="n">
        <v>0</v>
      </c>
      <c r="BD67" s="504" t="n">
        <v>0</v>
      </c>
      <c r="BE67" s="504" t="n">
        <v>0</v>
      </c>
      <c r="BF67" s="504" t="n">
        <v>0</v>
      </c>
      <c r="BG67" s="504" t="n">
        <v>0</v>
      </c>
      <c r="BH67" s="504" t="n">
        <v>0</v>
      </c>
      <c r="BI67" s="504" t="n">
        <v>0</v>
      </c>
      <c r="BJ67" s="504" t="n">
        <v>0</v>
      </c>
      <c r="BK67" s="504" t="n">
        <v>0</v>
      </c>
      <c r="BL67" s="504" t="n">
        <v>0</v>
      </c>
      <c r="BM67" s="504" t="n">
        <v>0</v>
      </c>
      <c r="BN67" s="504" t="n">
        <v>0</v>
      </c>
      <c r="BO67" s="504" t="n">
        <v>0</v>
      </c>
      <c r="BP67" s="504" t="n">
        <v>0</v>
      </c>
      <c r="BQ67" s="504" t="n">
        <v>0</v>
      </c>
      <c r="BR67" s="504" t="n">
        <v>0</v>
      </c>
      <c r="BS67" s="504" t="n">
        <v>0</v>
      </c>
      <c r="BT67" s="504" t="n">
        <v>0</v>
      </c>
      <c r="BU67" s="504" t="n">
        <v>0</v>
      </c>
      <c r="BV67" s="504" t="n">
        <v>0</v>
      </c>
      <c r="BW67" s="504" t="n">
        <v>0</v>
      </c>
      <c r="BX67" s="504" t="n">
        <v>0</v>
      </c>
      <c r="BY67" s="504" t="n">
        <v>0</v>
      </c>
      <c r="BZ67" s="504" t="n">
        <v>0</v>
      </c>
      <c r="CA67" s="504" t="n">
        <v>0</v>
      </c>
      <c r="CB67" s="504" t="n">
        <v>0</v>
      </c>
      <c r="CC67" s="504" t="n">
        <v>0</v>
      </c>
      <c r="CD67" s="504" t="n">
        <v>0</v>
      </c>
      <c r="CE67" s="504" t="n">
        <v>0</v>
      </c>
    </row>
    <row r="68" hidden="1" ht="9" customFormat="1" customHeight="1" s="505">
      <c r="A68" s="504" t="n">
        <v>0</v>
      </c>
      <c r="B68" s="504" t="n">
        <v>0</v>
      </c>
      <c r="C68" s="504" t="n">
        <v>0</v>
      </c>
      <c r="D68" s="504" t="n">
        <v>0</v>
      </c>
      <c r="E68" s="504" t="n">
        <v>0</v>
      </c>
      <c r="F68" s="504" t="n">
        <v>0</v>
      </c>
      <c r="G68" s="504" t="n">
        <v>0</v>
      </c>
      <c r="H68" s="504" t="n">
        <v>0</v>
      </c>
      <c r="I68" s="504" t="n">
        <v>0</v>
      </c>
      <c r="J68" s="504" t="n">
        <v>0</v>
      </c>
      <c r="K68" s="504" t="n">
        <v>0</v>
      </c>
      <c r="L68" s="504" t="n">
        <v>0</v>
      </c>
      <c r="M68" s="504" t="n">
        <v>0</v>
      </c>
      <c r="N68" s="504" t="n">
        <v>0</v>
      </c>
      <c r="O68" s="504" t="n">
        <v>0</v>
      </c>
      <c r="P68" s="625" t="n">
        <v>0</v>
      </c>
      <c r="Q68" s="625" t="n">
        <v>0</v>
      </c>
      <c r="R68" s="625" t="n">
        <v>0</v>
      </c>
      <c r="S68" s="625" t="n">
        <v>0</v>
      </c>
      <c r="T68" s="625" t="n">
        <v>0</v>
      </c>
      <c r="U68" s="625" t="n">
        <v>0</v>
      </c>
      <c r="V68" s="625" t="n">
        <v>0</v>
      </c>
      <c r="W68" s="625" t="n">
        <v>0</v>
      </c>
      <c r="X68" s="625" t="n">
        <v>0</v>
      </c>
      <c r="Y68" s="639" t="n">
        <v>0</v>
      </c>
      <c r="Z68" s="639" t="n">
        <v>0</v>
      </c>
      <c r="AA68" s="639" t="n">
        <v>0</v>
      </c>
      <c r="AB68" s="639" t="n">
        <v>0</v>
      </c>
      <c r="AC68" s="611" t="n">
        <v>0</v>
      </c>
      <c r="AD68" s="611" t="n">
        <v>0</v>
      </c>
      <c r="AE68" s="611" t="n">
        <v>0</v>
      </c>
      <c r="AF68" s="611" t="n">
        <v>0</v>
      </c>
      <c r="AG68" s="625" t="n">
        <v>0</v>
      </c>
      <c r="AH68" s="625" t="n">
        <v>0</v>
      </c>
      <c r="AI68" s="625" t="n">
        <v>0</v>
      </c>
      <c r="AJ68" s="625" t="n">
        <v>0</v>
      </c>
      <c r="AK68" s="625" t="n">
        <v>0</v>
      </c>
      <c r="AL68" s="625" t="n">
        <v>0</v>
      </c>
      <c r="AM68" s="625" t="n">
        <v>0</v>
      </c>
      <c r="AN68" s="625" t="n">
        <v>0</v>
      </c>
      <c r="AO68" s="625" t="n">
        <v>0</v>
      </c>
      <c r="AP68" s="639" t="n">
        <v>0</v>
      </c>
      <c r="AQ68" s="639" t="n">
        <v>0</v>
      </c>
      <c r="AR68" s="639" t="n">
        <v>0</v>
      </c>
      <c r="AS68" s="639" t="n">
        <v>0</v>
      </c>
      <c r="AT68" s="611" t="n">
        <v>0</v>
      </c>
      <c r="AU68" s="611" t="n">
        <v>0</v>
      </c>
      <c r="AV68" s="611" t="n">
        <v>0</v>
      </c>
      <c r="AW68" s="611" t="n">
        <v>0</v>
      </c>
      <c r="AX68" s="504" t="n">
        <v>0</v>
      </c>
      <c r="AY68" s="504" t="n">
        <v>0</v>
      </c>
      <c r="AZ68" s="504" t="n">
        <v>0</v>
      </c>
      <c r="BA68" s="504" t="n">
        <v>0</v>
      </c>
      <c r="BB68" s="504" t="n">
        <v>0</v>
      </c>
      <c r="BC68" s="504" t="n">
        <v>0</v>
      </c>
      <c r="BD68" s="504" t="n">
        <v>0</v>
      </c>
      <c r="BE68" s="504" t="n">
        <v>0</v>
      </c>
      <c r="BF68" s="504" t="n">
        <v>0</v>
      </c>
      <c r="BG68" s="504" t="n">
        <v>0</v>
      </c>
      <c r="BH68" s="504" t="n">
        <v>0</v>
      </c>
      <c r="BI68" s="504" t="n">
        <v>0</v>
      </c>
      <c r="BJ68" s="504" t="n">
        <v>0</v>
      </c>
      <c r="BK68" s="504" t="n">
        <v>0</v>
      </c>
      <c r="BL68" s="504" t="n">
        <v>0</v>
      </c>
      <c r="BM68" s="504" t="n">
        <v>0</v>
      </c>
      <c r="BN68" s="504" t="n">
        <v>0</v>
      </c>
      <c r="BO68" s="504" t="n">
        <v>0</v>
      </c>
      <c r="BP68" s="504" t="n">
        <v>0</v>
      </c>
      <c r="BQ68" s="504" t="n">
        <v>0</v>
      </c>
      <c r="BR68" s="504" t="n">
        <v>0</v>
      </c>
      <c r="BS68" s="504" t="n">
        <v>0</v>
      </c>
      <c r="BT68" s="504" t="n">
        <v>0</v>
      </c>
      <c r="BU68" s="504" t="n">
        <v>0</v>
      </c>
      <c r="BV68" s="504" t="n">
        <v>0</v>
      </c>
      <c r="BW68" s="504" t="n">
        <v>0</v>
      </c>
      <c r="BX68" s="504" t="n">
        <v>0</v>
      </c>
      <c r="BY68" s="504" t="n">
        <v>0</v>
      </c>
      <c r="BZ68" s="504" t="n">
        <v>0</v>
      </c>
      <c r="CA68" s="504" t="n">
        <v>0</v>
      </c>
      <c r="CB68" s="504" t="n">
        <v>0</v>
      </c>
      <c r="CC68" s="504" t="n">
        <v>0</v>
      </c>
      <c r="CD68" s="504" t="n">
        <v>0</v>
      </c>
      <c r="CE68" s="504" t="n">
        <v>0</v>
      </c>
    </row>
    <row r="69" hidden="1" ht="9" customFormat="1" customHeight="1" s="505">
      <c r="A69" s="504" t="n">
        <v>0</v>
      </c>
      <c r="B69" s="504" t="n">
        <v>0</v>
      </c>
      <c r="C69" s="504" t="n">
        <v>0</v>
      </c>
      <c r="D69" s="504" t="n">
        <v>0</v>
      </c>
      <c r="E69" s="504" t="n">
        <v>0</v>
      </c>
      <c r="F69" s="504" t="n">
        <v>0</v>
      </c>
      <c r="G69" s="504" t="n">
        <v>0</v>
      </c>
      <c r="H69" s="504" t="n">
        <v>0</v>
      </c>
      <c r="I69" s="504" t="n">
        <v>0</v>
      </c>
      <c r="J69" s="504" t="n">
        <v>0</v>
      </c>
      <c r="K69" s="504" t="n">
        <v>0</v>
      </c>
      <c r="L69" s="504" t="n">
        <v>0</v>
      </c>
      <c r="M69" s="504" t="n">
        <v>0</v>
      </c>
      <c r="N69" s="504" t="n">
        <v>0</v>
      </c>
      <c r="O69" s="504" t="n">
        <v>0</v>
      </c>
      <c r="P69" s="625" t="n">
        <v>0</v>
      </c>
      <c r="Q69" s="625" t="n">
        <v>0</v>
      </c>
      <c r="R69" s="625" t="n">
        <v>0</v>
      </c>
      <c r="S69" s="625" t="n">
        <v>0</v>
      </c>
      <c r="T69" s="625" t="n">
        <v>0</v>
      </c>
      <c r="U69" s="625" t="n">
        <v>0</v>
      </c>
      <c r="V69" s="625" t="n">
        <v>0</v>
      </c>
      <c r="W69" s="625" t="n">
        <v>0</v>
      </c>
      <c r="X69" s="625" t="n">
        <v>0</v>
      </c>
      <c r="Y69" s="639" t="n">
        <v>0</v>
      </c>
      <c r="Z69" s="639" t="n">
        <v>0</v>
      </c>
      <c r="AA69" s="639" t="n">
        <v>0</v>
      </c>
      <c r="AB69" s="639" t="n">
        <v>0</v>
      </c>
      <c r="AC69" s="611" t="n">
        <v>0</v>
      </c>
      <c r="AD69" s="611" t="n">
        <v>0</v>
      </c>
      <c r="AE69" s="611" t="n">
        <v>0</v>
      </c>
      <c r="AF69" s="611" t="n">
        <v>0</v>
      </c>
      <c r="AG69" s="625" t="n">
        <v>0</v>
      </c>
      <c r="AH69" s="625" t="n">
        <v>0</v>
      </c>
      <c r="AI69" s="625" t="n">
        <v>0</v>
      </c>
      <c r="AJ69" s="625" t="n">
        <v>0</v>
      </c>
      <c r="AK69" s="625" t="n">
        <v>0</v>
      </c>
      <c r="AL69" s="625" t="n">
        <v>0</v>
      </c>
      <c r="AM69" s="625" t="n">
        <v>0</v>
      </c>
      <c r="AN69" s="625" t="n">
        <v>0</v>
      </c>
      <c r="AO69" s="625" t="n">
        <v>0</v>
      </c>
      <c r="AP69" s="639" t="n">
        <v>0</v>
      </c>
      <c r="AQ69" s="639" t="n">
        <v>0</v>
      </c>
      <c r="AR69" s="639" t="n">
        <v>0</v>
      </c>
      <c r="AS69" s="639" t="n">
        <v>0</v>
      </c>
      <c r="AT69" s="611" t="n">
        <v>0</v>
      </c>
      <c r="AU69" s="611" t="n">
        <v>0</v>
      </c>
      <c r="AV69" s="611" t="n">
        <v>0</v>
      </c>
      <c r="AW69" s="611" t="n">
        <v>0</v>
      </c>
      <c r="AX69" s="504" t="n">
        <v>0</v>
      </c>
      <c r="AY69" s="504" t="n">
        <v>0</v>
      </c>
      <c r="AZ69" s="504" t="n">
        <v>0</v>
      </c>
      <c r="BA69" s="504" t="n">
        <v>0</v>
      </c>
      <c r="BB69" s="504" t="n">
        <v>0</v>
      </c>
      <c r="BC69" s="504" t="n">
        <v>0</v>
      </c>
      <c r="BD69" s="504" t="n">
        <v>0</v>
      </c>
      <c r="BE69" s="504" t="n">
        <v>0</v>
      </c>
      <c r="BF69" s="504" t="n">
        <v>0</v>
      </c>
      <c r="BG69" s="504" t="n">
        <v>0</v>
      </c>
      <c r="BH69" s="504" t="n">
        <v>0</v>
      </c>
      <c r="BI69" s="504" t="n">
        <v>0</v>
      </c>
      <c r="BJ69" s="504" t="n">
        <v>0</v>
      </c>
      <c r="BK69" s="504" t="n">
        <v>0</v>
      </c>
      <c r="BL69" s="504" t="n">
        <v>0</v>
      </c>
      <c r="BM69" s="504" t="n">
        <v>0</v>
      </c>
      <c r="BN69" s="504" t="n">
        <v>0</v>
      </c>
      <c r="BO69" s="504" t="n">
        <v>0</v>
      </c>
      <c r="BP69" s="504" t="n">
        <v>0</v>
      </c>
      <c r="BQ69" s="504" t="n">
        <v>0</v>
      </c>
      <c r="BR69" s="504" t="n">
        <v>0</v>
      </c>
      <c r="BS69" s="504" t="n">
        <v>0</v>
      </c>
      <c r="BT69" s="504" t="n">
        <v>0</v>
      </c>
      <c r="BU69" s="504" t="n">
        <v>0</v>
      </c>
      <c r="BV69" s="504" t="n">
        <v>0</v>
      </c>
      <c r="BW69" s="504" t="n">
        <v>0</v>
      </c>
      <c r="BX69" s="504" t="n">
        <v>0</v>
      </c>
      <c r="BY69" s="504" t="n">
        <v>0</v>
      </c>
      <c r="BZ69" s="504" t="n">
        <v>0</v>
      </c>
      <c r="CA69" s="504" t="n">
        <v>0</v>
      </c>
      <c r="CB69" s="504" t="n">
        <v>0</v>
      </c>
      <c r="CC69" s="504" t="n">
        <v>0</v>
      </c>
      <c r="CD69" s="504" t="n">
        <v>0</v>
      </c>
      <c r="CE69" s="504" t="n">
        <v>0</v>
      </c>
    </row>
    <row r="70" hidden="1" ht="9" customFormat="1" customHeight="1" s="505">
      <c r="A70" s="504" t="n">
        <v>0</v>
      </c>
      <c r="B70" s="504" t="n">
        <v>0</v>
      </c>
      <c r="C70" s="504" t="n">
        <v>0</v>
      </c>
      <c r="D70" s="504" t="n">
        <v>0</v>
      </c>
      <c r="E70" s="504" t="n">
        <v>0</v>
      </c>
      <c r="F70" s="504" t="n">
        <v>0</v>
      </c>
      <c r="G70" s="504" t="n">
        <v>0</v>
      </c>
      <c r="H70" s="504" t="n">
        <v>0</v>
      </c>
      <c r="I70" s="504" t="n">
        <v>0</v>
      </c>
      <c r="J70" s="504" t="n">
        <v>0</v>
      </c>
      <c r="K70" s="504" t="n">
        <v>0</v>
      </c>
      <c r="L70" s="504" t="n">
        <v>0</v>
      </c>
      <c r="M70" s="504" t="n">
        <v>0</v>
      </c>
      <c r="N70" s="504" t="n">
        <v>0</v>
      </c>
      <c r="O70" s="504" t="n">
        <v>0</v>
      </c>
      <c r="P70" s="625" t="n">
        <v>0</v>
      </c>
      <c r="Q70" s="625" t="n">
        <v>0</v>
      </c>
      <c r="R70" s="625" t="n">
        <v>0</v>
      </c>
      <c r="S70" s="625" t="n">
        <v>0</v>
      </c>
      <c r="T70" s="625" t="n">
        <v>0</v>
      </c>
      <c r="U70" s="625" t="n">
        <v>0</v>
      </c>
      <c r="V70" s="625" t="n">
        <v>0</v>
      </c>
      <c r="W70" s="625" t="n">
        <v>0</v>
      </c>
      <c r="X70" s="625" t="n">
        <v>0</v>
      </c>
      <c r="Y70" s="639" t="n">
        <v>0</v>
      </c>
      <c r="Z70" s="639" t="n">
        <v>0</v>
      </c>
      <c r="AA70" s="639" t="n">
        <v>0</v>
      </c>
      <c r="AB70" s="639" t="n">
        <v>0</v>
      </c>
      <c r="AC70" s="611" t="n">
        <v>0</v>
      </c>
      <c r="AD70" s="611" t="n">
        <v>0</v>
      </c>
      <c r="AE70" s="611" t="n">
        <v>0</v>
      </c>
      <c r="AF70" s="611" t="n">
        <v>0</v>
      </c>
      <c r="AG70" s="625" t="n">
        <v>0</v>
      </c>
      <c r="AH70" s="625" t="n">
        <v>0</v>
      </c>
      <c r="AI70" s="625" t="n">
        <v>0</v>
      </c>
      <c r="AJ70" s="625" t="n">
        <v>0</v>
      </c>
      <c r="AK70" s="625" t="n">
        <v>0</v>
      </c>
      <c r="AL70" s="625" t="n">
        <v>0</v>
      </c>
      <c r="AM70" s="625" t="n">
        <v>0</v>
      </c>
      <c r="AN70" s="625" t="n">
        <v>0</v>
      </c>
      <c r="AO70" s="625" t="n">
        <v>0</v>
      </c>
      <c r="AP70" s="639" t="n">
        <v>0</v>
      </c>
      <c r="AQ70" s="639" t="n">
        <v>0</v>
      </c>
      <c r="AR70" s="639" t="n">
        <v>0</v>
      </c>
      <c r="AS70" s="639" t="n">
        <v>0</v>
      </c>
      <c r="AT70" s="611" t="n">
        <v>0</v>
      </c>
      <c r="AU70" s="611" t="n">
        <v>0</v>
      </c>
      <c r="AV70" s="611" t="n">
        <v>0</v>
      </c>
      <c r="AW70" s="611" t="n">
        <v>0</v>
      </c>
      <c r="AX70" s="504" t="n">
        <v>0</v>
      </c>
      <c r="AY70" s="504" t="n">
        <v>0</v>
      </c>
      <c r="AZ70" s="504" t="n">
        <v>0</v>
      </c>
      <c r="BA70" s="504" t="n">
        <v>0</v>
      </c>
      <c r="BB70" s="504" t="n">
        <v>0</v>
      </c>
      <c r="BC70" s="504" t="n">
        <v>0</v>
      </c>
      <c r="BD70" s="504" t="n">
        <v>0</v>
      </c>
      <c r="BE70" s="504" t="n">
        <v>0</v>
      </c>
      <c r="BF70" s="504" t="n">
        <v>0</v>
      </c>
      <c r="BG70" s="504" t="n">
        <v>0</v>
      </c>
      <c r="BH70" s="504" t="n">
        <v>0</v>
      </c>
      <c r="BI70" s="504" t="n">
        <v>0</v>
      </c>
      <c r="BJ70" s="504" t="n">
        <v>0</v>
      </c>
      <c r="BK70" s="504" t="n">
        <v>0</v>
      </c>
      <c r="BL70" s="504" t="n">
        <v>0</v>
      </c>
      <c r="BM70" s="504" t="n">
        <v>0</v>
      </c>
      <c r="BN70" s="504" t="n">
        <v>0</v>
      </c>
      <c r="BO70" s="504" t="n">
        <v>0</v>
      </c>
      <c r="BP70" s="504" t="n">
        <v>0</v>
      </c>
      <c r="BQ70" s="504" t="n">
        <v>0</v>
      </c>
      <c r="BR70" s="504" t="n">
        <v>0</v>
      </c>
      <c r="BS70" s="504" t="n">
        <v>0</v>
      </c>
      <c r="BT70" s="504" t="n">
        <v>0</v>
      </c>
      <c r="BU70" s="504" t="n">
        <v>0</v>
      </c>
      <c r="BV70" s="504" t="n">
        <v>0</v>
      </c>
      <c r="BW70" s="504" t="n">
        <v>0</v>
      </c>
      <c r="BX70" s="504" t="n">
        <v>0</v>
      </c>
      <c r="BY70" s="504" t="n">
        <v>0</v>
      </c>
      <c r="BZ70" s="504" t="n">
        <v>0</v>
      </c>
      <c r="CA70" s="504" t="n">
        <v>0</v>
      </c>
      <c r="CB70" s="504" t="n">
        <v>0</v>
      </c>
      <c r="CC70" s="504" t="n">
        <v>0</v>
      </c>
      <c r="CD70" s="504" t="n">
        <v>0</v>
      </c>
      <c r="CE70" s="504" t="n">
        <v>0</v>
      </c>
    </row>
    <row r="71" hidden="1" ht="9" customFormat="1" customHeight="1" s="505">
      <c r="A71" s="504" t="n">
        <v>0</v>
      </c>
      <c r="B71" s="504" t="n">
        <v>0</v>
      </c>
      <c r="C71" s="504" t="n">
        <v>0</v>
      </c>
      <c r="D71" s="504" t="n">
        <v>0</v>
      </c>
      <c r="E71" s="504" t="n">
        <v>0</v>
      </c>
      <c r="F71" s="504" t="n">
        <v>0</v>
      </c>
      <c r="G71" s="504" t="n">
        <v>0</v>
      </c>
      <c r="H71" s="504" t="n">
        <v>0</v>
      </c>
      <c r="I71" s="504" t="n">
        <v>0</v>
      </c>
      <c r="J71" s="504" t="n">
        <v>0</v>
      </c>
      <c r="K71" s="504" t="n">
        <v>0</v>
      </c>
      <c r="L71" s="504" t="n">
        <v>0</v>
      </c>
      <c r="M71" s="504" t="n">
        <v>0</v>
      </c>
      <c r="N71" s="504" t="n">
        <v>0</v>
      </c>
      <c r="O71" s="504" t="n">
        <v>0</v>
      </c>
      <c r="P71" s="625" t="n">
        <v>0</v>
      </c>
      <c r="Q71" s="625" t="n">
        <v>0</v>
      </c>
      <c r="R71" s="625" t="n">
        <v>0</v>
      </c>
      <c r="S71" s="625" t="n">
        <v>0</v>
      </c>
      <c r="T71" s="625" t="n">
        <v>0</v>
      </c>
      <c r="U71" s="625" t="n">
        <v>0</v>
      </c>
      <c r="V71" s="625" t="n">
        <v>0</v>
      </c>
      <c r="W71" s="625" t="n">
        <v>0</v>
      </c>
      <c r="X71" s="625" t="n">
        <v>0</v>
      </c>
      <c r="Y71" s="639" t="n">
        <v>0</v>
      </c>
      <c r="Z71" s="639" t="n">
        <v>0</v>
      </c>
      <c r="AA71" s="639" t="n">
        <v>0</v>
      </c>
      <c r="AB71" s="639" t="n">
        <v>0</v>
      </c>
      <c r="AC71" s="611" t="n">
        <v>0</v>
      </c>
      <c r="AD71" s="611" t="n">
        <v>0</v>
      </c>
      <c r="AE71" s="611" t="n">
        <v>0</v>
      </c>
      <c r="AF71" s="611" t="n">
        <v>0</v>
      </c>
      <c r="AG71" s="625" t="n">
        <v>0</v>
      </c>
      <c r="AH71" s="625" t="n">
        <v>0</v>
      </c>
      <c r="AI71" s="625" t="n">
        <v>0</v>
      </c>
      <c r="AJ71" s="625" t="n">
        <v>0</v>
      </c>
      <c r="AK71" s="625" t="n">
        <v>0</v>
      </c>
      <c r="AL71" s="625" t="n">
        <v>0</v>
      </c>
      <c r="AM71" s="625" t="n">
        <v>0</v>
      </c>
      <c r="AN71" s="625" t="n">
        <v>0</v>
      </c>
      <c r="AO71" s="625" t="n">
        <v>0</v>
      </c>
      <c r="AP71" s="639" t="n">
        <v>0</v>
      </c>
      <c r="AQ71" s="639" t="n">
        <v>0</v>
      </c>
      <c r="AR71" s="639" t="n">
        <v>0</v>
      </c>
      <c r="AS71" s="639" t="n">
        <v>0</v>
      </c>
      <c r="AT71" s="611" t="n">
        <v>0</v>
      </c>
      <c r="AU71" s="611" t="n">
        <v>0</v>
      </c>
      <c r="AV71" s="611" t="n">
        <v>0</v>
      </c>
      <c r="AW71" s="611" t="n">
        <v>0</v>
      </c>
      <c r="AX71" s="504" t="n">
        <v>0</v>
      </c>
      <c r="AY71" s="504" t="n">
        <v>0</v>
      </c>
      <c r="AZ71" s="504" t="n">
        <v>0</v>
      </c>
      <c r="BA71" s="504" t="n">
        <v>0</v>
      </c>
      <c r="BB71" s="504" t="n">
        <v>0</v>
      </c>
      <c r="BC71" s="504" t="n">
        <v>0</v>
      </c>
      <c r="BD71" s="504" t="n">
        <v>0</v>
      </c>
      <c r="BE71" s="504" t="n">
        <v>0</v>
      </c>
      <c r="BF71" s="504" t="n">
        <v>0</v>
      </c>
      <c r="BG71" s="504" t="n">
        <v>0</v>
      </c>
      <c r="BH71" s="504" t="n">
        <v>0</v>
      </c>
      <c r="BI71" s="504" t="n">
        <v>0</v>
      </c>
      <c r="BJ71" s="504" t="n">
        <v>0</v>
      </c>
      <c r="BK71" s="504" t="n">
        <v>0</v>
      </c>
      <c r="BL71" s="504" t="n">
        <v>0</v>
      </c>
      <c r="BM71" s="504" t="n">
        <v>0</v>
      </c>
      <c r="BN71" s="504" t="n">
        <v>0</v>
      </c>
      <c r="BO71" s="504" t="n">
        <v>0</v>
      </c>
      <c r="BP71" s="504" t="n">
        <v>0</v>
      </c>
      <c r="BQ71" s="504" t="n">
        <v>0</v>
      </c>
      <c r="BR71" s="504" t="n">
        <v>0</v>
      </c>
      <c r="BS71" s="504" t="n">
        <v>0</v>
      </c>
      <c r="BT71" s="504" t="n">
        <v>0</v>
      </c>
      <c r="BU71" s="504" t="n">
        <v>0</v>
      </c>
      <c r="BV71" s="504" t="n">
        <v>0</v>
      </c>
      <c r="BW71" s="504" t="n">
        <v>0</v>
      </c>
      <c r="BX71" s="504" t="n">
        <v>0</v>
      </c>
      <c r="BY71" s="504" t="n">
        <v>0</v>
      </c>
      <c r="BZ71" s="504" t="n">
        <v>0</v>
      </c>
      <c r="CA71" s="504" t="n">
        <v>0</v>
      </c>
      <c r="CB71" s="504" t="n">
        <v>0</v>
      </c>
      <c r="CC71" s="504" t="n">
        <v>0</v>
      </c>
      <c r="CD71" s="504" t="n">
        <v>0</v>
      </c>
      <c r="CE71" s="504" t="n">
        <v>0</v>
      </c>
    </row>
    <row r="72" hidden="1" ht="9" customFormat="1" customHeight="1" s="505">
      <c r="A72" s="504" t="n">
        <v>0</v>
      </c>
      <c r="B72" s="504" t="n">
        <v>0</v>
      </c>
      <c r="C72" s="504" t="n">
        <v>0</v>
      </c>
      <c r="D72" s="504" t="n">
        <v>0</v>
      </c>
      <c r="E72" s="504" t="n">
        <v>0</v>
      </c>
      <c r="F72" s="504" t="n">
        <v>0</v>
      </c>
      <c r="G72" s="504" t="n">
        <v>0</v>
      </c>
      <c r="H72" s="504" t="n">
        <v>0</v>
      </c>
      <c r="I72" s="504" t="n">
        <v>0</v>
      </c>
      <c r="J72" s="504" t="n">
        <v>0</v>
      </c>
      <c r="K72" s="504" t="n">
        <v>0</v>
      </c>
      <c r="L72" s="504" t="n">
        <v>0</v>
      </c>
      <c r="M72" s="504" t="n">
        <v>0</v>
      </c>
      <c r="N72" s="504" t="n">
        <v>0</v>
      </c>
      <c r="O72" s="504" t="n">
        <v>0</v>
      </c>
      <c r="P72" s="625" t="n">
        <v>0</v>
      </c>
      <c r="Q72" s="625" t="n">
        <v>0</v>
      </c>
      <c r="R72" s="625" t="n">
        <v>0</v>
      </c>
      <c r="S72" s="625" t="n">
        <v>0</v>
      </c>
      <c r="T72" s="625" t="n">
        <v>0</v>
      </c>
      <c r="U72" s="625" t="n">
        <v>0</v>
      </c>
      <c r="V72" s="625" t="n">
        <v>0</v>
      </c>
      <c r="W72" s="625" t="n">
        <v>0</v>
      </c>
      <c r="X72" s="625" t="n">
        <v>0</v>
      </c>
      <c r="Y72" s="639" t="n">
        <v>0</v>
      </c>
      <c r="Z72" s="639" t="n">
        <v>0</v>
      </c>
      <c r="AA72" s="639" t="n">
        <v>0</v>
      </c>
      <c r="AB72" s="639" t="n">
        <v>0</v>
      </c>
      <c r="AC72" s="611" t="n">
        <v>0</v>
      </c>
      <c r="AD72" s="611" t="n">
        <v>0</v>
      </c>
      <c r="AE72" s="611" t="n">
        <v>0</v>
      </c>
      <c r="AF72" s="611" t="n">
        <v>0</v>
      </c>
      <c r="AG72" s="625" t="n">
        <v>0</v>
      </c>
      <c r="AH72" s="625" t="n">
        <v>0</v>
      </c>
      <c r="AI72" s="625" t="n">
        <v>0</v>
      </c>
      <c r="AJ72" s="625" t="n">
        <v>0</v>
      </c>
      <c r="AK72" s="625" t="n">
        <v>0</v>
      </c>
      <c r="AL72" s="625" t="n">
        <v>0</v>
      </c>
      <c r="AM72" s="625" t="n">
        <v>0</v>
      </c>
      <c r="AN72" s="625" t="n">
        <v>0</v>
      </c>
      <c r="AO72" s="625" t="n">
        <v>0</v>
      </c>
      <c r="AP72" s="639" t="n">
        <v>0</v>
      </c>
      <c r="AQ72" s="639" t="n">
        <v>0</v>
      </c>
      <c r="AR72" s="639" t="n">
        <v>0</v>
      </c>
      <c r="AS72" s="639" t="n">
        <v>0</v>
      </c>
      <c r="AT72" s="611" t="n">
        <v>0</v>
      </c>
      <c r="AU72" s="611" t="n">
        <v>0</v>
      </c>
      <c r="AV72" s="611" t="n">
        <v>0</v>
      </c>
      <c r="AW72" s="611" t="n">
        <v>0</v>
      </c>
      <c r="AX72" s="504" t="n">
        <v>0</v>
      </c>
      <c r="AY72" s="504" t="n">
        <v>0</v>
      </c>
      <c r="AZ72" s="504" t="n">
        <v>0</v>
      </c>
      <c r="BA72" s="504" t="n">
        <v>0</v>
      </c>
      <c r="BB72" s="504" t="n">
        <v>0</v>
      </c>
      <c r="BC72" s="504" t="n">
        <v>0</v>
      </c>
      <c r="BD72" s="504" t="n">
        <v>0</v>
      </c>
      <c r="BE72" s="504" t="n">
        <v>0</v>
      </c>
      <c r="BF72" s="504" t="n">
        <v>0</v>
      </c>
      <c r="BG72" s="504" t="n">
        <v>0</v>
      </c>
      <c r="BH72" s="504" t="n">
        <v>0</v>
      </c>
      <c r="BI72" s="504" t="n">
        <v>0</v>
      </c>
      <c r="BJ72" s="504" t="n">
        <v>0</v>
      </c>
      <c r="BK72" s="504" t="n">
        <v>0</v>
      </c>
      <c r="BL72" s="504" t="n">
        <v>0</v>
      </c>
      <c r="BM72" s="504" t="n">
        <v>0</v>
      </c>
      <c r="BN72" s="504" t="n">
        <v>0</v>
      </c>
      <c r="BO72" s="504" t="n">
        <v>0</v>
      </c>
      <c r="BP72" s="504" t="n">
        <v>0</v>
      </c>
      <c r="BQ72" s="504" t="n">
        <v>0</v>
      </c>
      <c r="BR72" s="504" t="n">
        <v>0</v>
      </c>
      <c r="BS72" s="504" t="n">
        <v>0</v>
      </c>
      <c r="BT72" s="504" t="n">
        <v>0</v>
      </c>
      <c r="BU72" s="504" t="n">
        <v>0</v>
      </c>
      <c r="BV72" s="504" t="n">
        <v>0</v>
      </c>
      <c r="BW72" s="504" t="n">
        <v>0</v>
      </c>
      <c r="BX72" s="504" t="n">
        <v>0</v>
      </c>
      <c r="BY72" s="504" t="n">
        <v>0</v>
      </c>
      <c r="BZ72" s="504" t="n">
        <v>0</v>
      </c>
      <c r="CA72" s="504" t="n">
        <v>0</v>
      </c>
      <c r="CB72" s="504" t="n">
        <v>0</v>
      </c>
      <c r="CC72" s="504" t="n">
        <v>0</v>
      </c>
      <c r="CD72" s="504" t="n">
        <v>0</v>
      </c>
      <c r="CE72" s="504" t="n">
        <v>0</v>
      </c>
    </row>
    <row r="73" hidden="1" ht="9" customFormat="1" customHeight="1" s="505">
      <c r="A73" s="504" t="n">
        <v>0</v>
      </c>
      <c r="B73" s="504" t="n">
        <v>0</v>
      </c>
      <c r="C73" s="504" t="n">
        <v>0</v>
      </c>
      <c r="D73" s="504" t="n">
        <v>0</v>
      </c>
      <c r="E73" s="504" t="n">
        <v>0</v>
      </c>
      <c r="F73" s="504" t="n">
        <v>0</v>
      </c>
      <c r="G73" s="504" t="n">
        <v>0</v>
      </c>
      <c r="H73" s="504" t="n">
        <v>0</v>
      </c>
      <c r="I73" s="504" t="n">
        <v>0</v>
      </c>
      <c r="J73" s="504" t="n">
        <v>0</v>
      </c>
      <c r="K73" s="504" t="n">
        <v>0</v>
      </c>
      <c r="L73" s="504" t="n">
        <v>0</v>
      </c>
      <c r="M73" s="504" t="n">
        <v>0</v>
      </c>
      <c r="N73" s="504" t="n">
        <v>0</v>
      </c>
      <c r="O73" s="504" t="n">
        <v>0</v>
      </c>
      <c r="P73" s="625" t="n">
        <v>0</v>
      </c>
      <c r="Q73" s="625" t="n">
        <v>0</v>
      </c>
      <c r="R73" s="625" t="n">
        <v>0</v>
      </c>
      <c r="S73" s="625" t="n">
        <v>0</v>
      </c>
      <c r="T73" s="625" t="n">
        <v>0</v>
      </c>
      <c r="U73" s="625" t="n">
        <v>0</v>
      </c>
      <c r="V73" s="625" t="n">
        <v>0</v>
      </c>
      <c r="W73" s="625" t="n">
        <v>0</v>
      </c>
      <c r="X73" s="625" t="n">
        <v>0</v>
      </c>
      <c r="Y73" s="639" t="n">
        <v>0</v>
      </c>
      <c r="Z73" s="639" t="n">
        <v>0</v>
      </c>
      <c r="AA73" s="639" t="n">
        <v>0</v>
      </c>
      <c r="AB73" s="639" t="n">
        <v>0</v>
      </c>
      <c r="AC73" s="611" t="n">
        <v>0</v>
      </c>
      <c r="AD73" s="611" t="n">
        <v>0</v>
      </c>
      <c r="AE73" s="611" t="n">
        <v>0</v>
      </c>
      <c r="AF73" s="611" t="n">
        <v>0</v>
      </c>
      <c r="AG73" s="625" t="n">
        <v>0</v>
      </c>
      <c r="AH73" s="625" t="n">
        <v>0</v>
      </c>
      <c r="AI73" s="625" t="n">
        <v>0</v>
      </c>
      <c r="AJ73" s="625" t="n">
        <v>0</v>
      </c>
      <c r="AK73" s="625" t="n">
        <v>0</v>
      </c>
      <c r="AL73" s="625" t="n">
        <v>0</v>
      </c>
      <c r="AM73" s="625" t="n">
        <v>0</v>
      </c>
      <c r="AN73" s="625" t="n">
        <v>0</v>
      </c>
      <c r="AO73" s="625" t="n">
        <v>0</v>
      </c>
      <c r="AP73" s="639" t="n">
        <v>0</v>
      </c>
      <c r="AQ73" s="639" t="n">
        <v>0</v>
      </c>
      <c r="AR73" s="639" t="n">
        <v>0</v>
      </c>
      <c r="AS73" s="639" t="n">
        <v>0</v>
      </c>
      <c r="AT73" s="611" t="n">
        <v>0</v>
      </c>
      <c r="AU73" s="611" t="n">
        <v>0</v>
      </c>
      <c r="AV73" s="611" t="n">
        <v>0</v>
      </c>
      <c r="AW73" s="611" t="n">
        <v>0</v>
      </c>
      <c r="AX73" s="504" t="n">
        <v>0</v>
      </c>
      <c r="AY73" s="504" t="n">
        <v>0</v>
      </c>
      <c r="AZ73" s="504" t="n">
        <v>0</v>
      </c>
      <c r="BA73" s="504" t="n">
        <v>0</v>
      </c>
      <c r="BB73" s="504" t="n">
        <v>0</v>
      </c>
      <c r="BC73" s="504" t="n">
        <v>0</v>
      </c>
      <c r="BD73" s="504" t="n">
        <v>0</v>
      </c>
      <c r="BE73" s="504" t="n">
        <v>0</v>
      </c>
      <c r="BF73" s="504" t="n">
        <v>0</v>
      </c>
      <c r="BG73" s="504" t="n">
        <v>0</v>
      </c>
      <c r="BH73" s="504" t="n">
        <v>0</v>
      </c>
      <c r="BI73" s="504" t="n">
        <v>0</v>
      </c>
      <c r="BJ73" s="504" t="n">
        <v>0</v>
      </c>
      <c r="BK73" s="504" t="n">
        <v>0</v>
      </c>
      <c r="BL73" s="504" t="n">
        <v>0</v>
      </c>
      <c r="BM73" s="504" t="n">
        <v>0</v>
      </c>
      <c r="BN73" s="504" t="n">
        <v>0</v>
      </c>
      <c r="BO73" s="504" t="n">
        <v>0</v>
      </c>
      <c r="BP73" s="504" t="n">
        <v>0</v>
      </c>
      <c r="BQ73" s="504" t="n">
        <v>0</v>
      </c>
      <c r="BR73" s="504" t="n">
        <v>0</v>
      </c>
      <c r="BS73" s="504" t="n">
        <v>0</v>
      </c>
      <c r="BT73" s="504" t="n">
        <v>0</v>
      </c>
      <c r="BU73" s="504" t="n">
        <v>0</v>
      </c>
      <c r="BV73" s="504" t="n">
        <v>0</v>
      </c>
      <c r="BW73" s="504" t="n">
        <v>0</v>
      </c>
      <c r="BX73" s="504" t="n">
        <v>0</v>
      </c>
      <c r="BY73" s="504" t="n">
        <v>0</v>
      </c>
      <c r="BZ73" s="504" t="n">
        <v>0</v>
      </c>
      <c r="CA73" s="504" t="n">
        <v>0</v>
      </c>
      <c r="CB73" s="504" t="n">
        <v>0</v>
      </c>
      <c r="CC73" s="504" t="n">
        <v>0</v>
      </c>
      <c r="CD73" s="504" t="n">
        <v>0</v>
      </c>
      <c r="CE73" s="504" t="n">
        <v>0</v>
      </c>
    </row>
    <row r="74" hidden="1" ht="9" customFormat="1" customHeight="1" s="505">
      <c r="A74" s="504" t="n">
        <v>0</v>
      </c>
      <c r="B74" s="504" t="n">
        <v>0</v>
      </c>
      <c r="C74" s="504" t="n">
        <v>0</v>
      </c>
      <c r="D74" s="504" t="n">
        <v>0</v>
      </c>
      <c r="E74" s="504" t="n">
        <v>0</v>
      </c>
      <c r="F74" s="504" t="n">
        <v>0</v>
      </c>
      <c r="G74" s="504" t="n">
        <v>0</v>
      </c>
      <c r="H74" s="504" t="n">
        <v>0</v>
      </c>
      <c r="I74" s="504" t="n">
        <v>0</v>
      </c>
      <c r="J74" s="504" t="n">
        <v>0</v>
      </c>
      <c r="K74" s="504" t="n">
        <v>0</v>
      </c>
      <c r="L74" s="504" t="n">
        <v>0</v>
      </c>
      <c r="M74" s="504" t="n">
        <v>0</v>
      </c>
      <c r="N74" s="504" t="n">
        <v>0</v>
      </c>
      <c r="O74" s="504" t="n">
        <v>0</v>
      </c>
      <c r="P74" s="625" t="n">
        <v>0</v>
      </c>
      <c r="Q74" s="625" t="n">
        <v>0</v>
      </c>
      <c r="R74" s="625" t="n">
        <v>0</v>
      </c>
      <c r="S74" s="625" t="n">
        <v>0</v>
      </c>
      <c r="T74" s="625" t="n">
        <v>0</v>
      </c>
      <c r="U74" s="625" t="n">
        <v>0</v>
      </c>
      <c r="V74" s="625" t="n">
        <v>0</v>
      </c>
      <c r="W74" s="625" t="n">
        <v>0</v>
      </c>
      <c r="X74" s="625" t="n">
        <v>0</v>
      </c>
      <c r="Y74" s="639" t="n">
        <v>0</v>
      </c>
      <c r="Z74" s="639" t="n">
        <v>0</v>
      </c>
      <c r="AA74" s="639" t="n">
        <v>0</v>
      </c>
      <c r="AB74" s="639" t="n">
        <v>0</v>
      </c>
      <c r="AC74" s="611" t="n">
        <v>0</v>
      </c>
      <c r="AD74" s="611" t="n">
        <v>0</v>
      </c>
      <c r="AE74" s="611" t="n">
        <v>0</v>
      </c>
      <c r="AF74" s="611" t="n">
        <v>0</v>
      </c>
      <c r="AG74" s="625" t="n">
        <v>0</v>
      </c>
      <c r="AH74" s="625" t="n">
        <v>0</v>
      </c>
      <c r="AI74" s="625" t="n">
        <v>0</v>
      </c>
      <c r="AJ74" s="625" t="n">
        <v>0</v>
      </c>
      <c r="AK74" s="625" t="n">
        <v>0</v>
      </c>
      <c r="AL74" s="625" t="n">
        <v>0</v>
      </c>
      <c r="AM74" s="625" t="n">
        <v>0</v>
      </c>
      <c r="AN74" s="625" t="n">
        <v>0</v>
      </c>
      <c r="AO74" s="625" t="n">
        <v>0</v>
      </c>
      <c r="AP74" s="639" t="n">
        <v>0</v>
      </c>
      <c r="AQ74" s="639" t="n">
        <v>0</v>
      </c>
      <c r="AR74" s="639" t="n">
        <v>0</v>
      </c>
      <c r="AS74" s="639" t="n">
        <v>0</v>
      </c>
      <c r="AT74" s="611" t="n">
        <v>0</v>
      </c>
      <c r="AU74" s="611" t="n">
        <v>0</v>
      </c>
      <c r="AV74" s="611" t="n">
        <v>0</v>
      </c>
      <c r="AW74" s="611" t="n">
        <v>0</v>
      </c>
      <c r="AX74" s="504" t="n">
        <v>0</v>
      </c>
      <c r="AY74" s="504" t="n">
        <v>0</v>
      </c>
      <c r="AZ74" s="504" t="n">
        <v>0</v>
      </c>
      <c r="BA74" s="504" t="n">
        <v>0</v>
      </c>
      <c r="BB74" s="504" t="n">
        <v>0</v>
      </c>
      <c r="BC74" s="504" t="n">
        <v>0</v>
      </c>
      <c r="BD74" s="504" t="n">
        <v>0</v>
      </c>
      <c r="BE74" s="504" t="n">
        <v>0</v>
      </c>
      <c r="BF74" s="504" t="n">
        <v>0</v>
      </c>
      <c r="BG74" s="504" t="n">
        <v>0</v>
      </c>
      <c r="BH74" s="504" t="n">
        <v>0</v>
      </c>
      <c r="BI74" s="504" t="n">
        <v>0</v>
      </c>
      <c r="BJ74" s="504" t="n">
        <v>0</v>
      </c>
      <c r="BK74" s="504" t="n">
        <v>0</v>
      </c>
      <c r="BL74" s="504" t="n">
        <v>0</v>
      </c>
      <c r="BM74" s="504" t="n">
        <v>0</v>
      </c>
      <c r="BN74" s="504" t="n">
        <v>0</v>
      </c>
      <c r="BO74" s="504" t="n">
        <v>0</v>
      </c>
      <c r="BP74" s="504" t="n">
        <v>0</v>
      </c>
      <c r="BQ74" s="504" t="n">
        <v>0</v>
      </c>
      <c r="BR74" s="504" t="n">
        <v>0</v>
      </c>
      <c r="BS74" s="504" t="n">
        <v>0</v>
      </c>
      <c r="BT74" s="504" t="n">
        <v>0</v>
      </c>
      <c r="BU74" s="504" t="n">
        <v>0</v>
      </c>
      <c r="BV74" s="504" t="n">
        <v>0</v>
      </c>
      <c r="BW74" s="504" t="n">
        <v>0</v>
      </c>
      <c r="BX74" s="504" t="n">
        <v>0</v>
      </c>
      <c r="BY74" s="504" t="n">
        <v>0</v>
      </c>
      <c r="BZ74" s="504" t="n">
        <v>0</v>
      </c>
      <c r="CA74" s="504" t="n">
        <v>0</v>
      </c>
      <c r="CB74" s="504" t="n">
        <v>0</v>
      </c>
      <c r="CC74" s="504" t="n">
        <v>0</v>
      </c>
      <c r="CD74" s="504" t="n">
        <v>0</v>
      </c>
      <c r="CE74" s="504" t="n">
        <v>0</v>
      </c>
    </row>
    <row r="75" hidden="1" ht="9" customFormat="1" customHeight="1" s="505">
      <c r="A75" s="504" t="n">
        <v>0</v>
      </c>
      <c r="B75" s="504" t="n">
        <v>0</v>
      </c>
      <c r="C75" s="504" t="n">
        <v>0</v>
      </c>
      <c r="D75" s="504" t="n">
        <v>0</v>
      </c>
      <c r="E75" s="504" t="n">
        <v>0</v>
      </c>
      <c r="F75" s="504" t="n">
        <v>0</v>
      </c>
      <c r="G75" s="504" t="n">
        <v>0</v>
      </c>
      <c r="H75" s="504" t="n">
        <v>0</v>
      </c>
      <c r="I75" s="504" t="n">
        <v>0</v>
      </c>
      <c r="J75" s="504" t="n">
        <v>0</v>
      </c>
      <c r="K75" s="504" t="n">
        <v>0</v>
      </c>
      <c r="L75" s="504" t="n">
        <v>0</v>
      </c>
      <c r="M75" s="504" t="n">
        <v>0</v>
      </c>
      <c r="N75" s="504" t="n">
        <v>0</v>
      </c>
      <c r="O75" s="504" t="n">
        <v>0</v>
      </c>
      <c r="P75" s="625" t="n">
        <v>0</v>
      </c>
      <c r="Q75" s="625" t="n">
        <v>0</v>
      </c>
      <c r="R75" s="625" t="n">
        <v>0</v>
      </c>
      <c r="S75" s="625" t="n">
        <v>0</v>
      </c>
      <c r="T75" s="625" t="n">
        <v>0</v>
      </c>
      <c r="U75" s="625" t="n">
        <v>0</v>
      </c>
      <c r="V75" s="625" t="n">
        <v>0</v>
      </c>
      <c r="W75" s="625" t="n">
        <v>0</v>
      </c>
      <c r="X75" s="625" t="n">
        <v>0</v>
      </c>
      <c r="Y75" s="639" t="n">
        <v>0</v>
      </c>
      <c r="Z75" s="639" t="n">
        <v>0</v>
      </c>
      <c r="AA75" s="639" t="n">
        <v>0</v>
      </c>
      <c r="AB75" s="639" t="n">
        <v>0</v>
      </c>
      <c r="AC75" s="611" t="n">
        <v>0</v>
      </c>
      <c r="AD75" s="611" t="n">
        <v>0</v>
      </c>
      <c r="AE75" s="611" t="n">
        <v>0</v>
      </c>
      <c r="AF75" s="611" t="n">
        <v>0</v>
      </c>
      <c r="AG75" s="625" t="n">
        <v>0</v>
      </c>
      <c r="AH75" s="625" t="n">
        <v>0</v>
      </c>
      <c r="AI75" s="625" t="n">
        <v>0</v>
      </c>
      <c r="AJ75" s="625" t="n">
        <v>0</v>
      </c>
      <c r="AK75" s="625" t="n">
        <v>0</v>
      </c>
      <c r="AL75" s="625" t="n">
        <v>0</v>
      </c>
      <c r="AM75" s="625" t="n">
        <v>0</v>
      </c>
      <c r="AN75" s="625" t="n">
        <v>0</v>
      </c>
      <c r="AO75" s="625" t="n">
        <v>0</v>
      </c>
      <c r="AP75" s="639" t="n">
        <v>0</v>
      </c>
      <c r="AQ75" s="639" t="n">
        <v>0</v>
      </c>
      <c r="AR75" s="639" t="n">
        <v>0</v>
      </c>
      <c r="AS75" s="639" t="n">
        <v>0</v>
      </c>
      <c r="AT75" s="611" t="n">
        <v>0</v>
      </c>
      <c r="AU75" s="611" t="n">
        <v>0</v>
      </c>
      <c r="AV75" s="611" t="n">
        <v>0</v>
      </c>
      <c r="AW75" s="611" t="n">
        <v>0</v>
      </c>
      <c r="AX75" s="504" t="n">
        <v>0</v>
      </c>
      <c r="AY75" s="504" t="n">
        <v>0</v>
      </c>
      <c r="AZ75" s="504" t="n">
        <v>0</v>
      </c>
      <c r="BA75" s="504" t="n">
        <v>0</v>
      </c>
      <c r="BB75" s="504" t="n">
        <v>0</v>
      </c>
      <c r="BC75" s="504" t="n">
        <v>0</v>
      </c>
      <c r="BD75" s="504" t="n">
        <v>0</v>
      </c>
      <c r="BE75" s="504" t="n">
        <v>0</v>
      </c>
      <c r="BF75" s="504" t="n">
        <v>0</v>
      </c>
      <c r="BG75" s="504" t="n">
        <v>0</v>
      </c>
      <c r="BH75" s="504" t="n">
        <v>0</v>
      </c>
      <c r="BI75" s="504" t="n">
        <v>0</v>
      </c>
      <c r="BJ75" s="504" t="n">
        <v>0</v>
      </c>
      <c r="BK75" s="504" t="n">
        <v>0</v>
      </c>
      <c r="BL75" s="504" t="n">
        <v>0</v>
      </c>
      <c r="BM75" s="504" t="n">
        <v>0</v>
      </c>
      <c r="BN75" s="504" t="n">
        <v>0</v>
      </c>
      <c r="BO75" s="504" t="n">
        <v>0</v>
      </c>
      <c r="BP75" s="504" t="n">
        <v>0</v>
      </c>
      <c r="BQ75" s="504" t="n">
        <v>0</v>
      </c>
      <c r="BR75" s="504" t="n">
        <v>0</v>
      </c>
      <c r="BS75" s="504" t="n">
        <v>0</v>
      </c>
      <c r="BT75" s="504" t="n">
        <v>0</v>
      </c>
      <c r="BU75" s="504" t="n">
        <v>0</v>
      </c>
      <c r="BV75" s="504" t="n">
        <v>0</v>
      </c>
      <c r="BW75" s="504" t="n">
        <v>0</v>
      </c>
      <c r="BX75" s="504" t="n">
        <v>0</v>
      </c>
      <c r="BY75" s="504" t="n">
        <v>0</v>
      </c>
      <c r="BZ75" s="504" t="n">
        <v>0</v>
      </c>
      <c r="CA75" s="504" t="n">
        <v>0</v>
      </c>
      <c r="CB75" s="504" t="n">
        <v>0</v>
      </c>
      <c r="CC75" s="504" t="n">
        <v>0</v>
      </c>
      <c r="CD75" s="504" t="n">
        <v>0</v>
      </c>
      <c r="CE75" s="504" t="n">
        <v>0</v>
      </c>
    </row>
    <row r="76" hidden="1" ht="9" customFormat="1" customHeight="1" s="505">
      <c r="A76" s="504" t="n">
        <v>0</v>
      </c>
      <c r="B76" s="504" t="n">
        <v>0</v>
      </c>
      <c r="C76" s="504" t="n">
        <v>0</v>
      </c>
      <c r="D76" s="504" t="n">
        <v>0</v>
      </c>
      <c r="E76" s="504" t="n">
        <v>0</v>
      </c>
      <c r="F76" s="504" t="n">
        <v>0</v>
      </c>
      <c r="G76" s="504" t="n">
        <v>0</v>
      </c>
      <c r="H76" s="504" t="n">
        <v>0</v>
      </c>
      <c r="I76" s="504" t="n">
        <v>0</v>
      </c>
      <c r="J76" s="504" t="n">
        <v>0</v>
      </c>
      <c r="K76" s="504" t="n">
        <v>0</v>
      </c>
      <c r="L76" s="504" t="n">
        <v>0</v>
      </c>
      <c r="M76" s="504" t="n">
        <v>0</v>
      </c>
      <c r="N76" s="504" t="n">
        <v>0</v>
      </c>
      <c r="O76" s="504" t="n">
        <v>0</v>
      </c>
      <c r="P76" s="625" t="n">
        <v>0</v>
      </c>
      <c r="Q76" s="625" t="n">
        <v>0</v>
      </c>
      <c r="R76" s="625" t="n">
        <v>0</v>
      </c>
      <c r="S76" s="625" t="n">
        <v>0</v>
      </c>
      <c r="T76" s="625" t="n">
        <v>0</v>
      </c>
      <c r="U76" s="625" t="n">
        <v>0</v>
      </c>
      <c r="V76" s="625" t="n">
        <v>0</v>
      </c>
      <c r="W76" s="625" t="n">
        <v>0</v>
      </c>
      <c r="X76" s="625" t="n">
        <v>0</v>
      </c>
      <c r="Y76" s="639" t="n">
        <v>0</v>
      </c>
      <c r="Z76" s="639" t="n">
        <v>0</v>
      </c>
      <c r="AA76" s="639" t="n">
        <v>0</v>
      </c>
      <c r="AB76" s="639" t="n">
        <v>0</v>
      </c>
      <c r="AC76" s="611" t="n">
        <v>0</v>
      </c>
      <c r="AD76" s="611" t="n">
        <v>0</v>
      </c>
      <c r="AE76" s="611" t="n">
        <v>0</v>
      </c>
      <c r="AF76" s="611" t="n">
        <v>0</v>
      </c>
      <c r="AG76" s="625" t="n">
        <v>0</v>
      </c>
      <c r="AH76" s="625" t="n">
        <v>0</v>
      </c>
      <c r="AI76" s="625" t="n">
        <v>0</v>
      </c>
      <c r="AJ76" s="625" t="n">
        <v>0</v>
      </c>
      <c r="AK76" s="625" t="n">
        <v>0</v>
      </c>
      <c r="AL76" s="625" t="n">
        <v>0</v>
      </c>
      <c r="AM76" s="625" t="n">
        <v>0</v>
      </c>
      <c r="AN76" s="625" t="n">
        <v>0</v>
      </c>
      <c r="AO76" s="625" t="n">
        <v>0</v>
      </c>
      <c r="AP76" s="639" t="n">
        <v>0</v>
      </c>
      <c r="AQ76" s="639" t="n">
        <v>0</v>
      </c>
      <c r="AR76" s="639" t="n">
        <v>0</v>
      </c>
      <c r="AS76" s="639" t="n">
        <v>0</v>
      </c>
      <c r="AT76" s="611" t="n">
        <v>0</v>
      </c>
      <c r="AU76" s="611" t="n">
        <v>0</v>
      </c>
      <c r="AV76" s="611" t="n">
        <v>0</v>
      </c>
      <c r="AW76" s="611" t="n">
        <v>0</v>
      </c>
      <c r="AX76" s="504" t="n">
        <v>0</v>
      </c>
      <c r="AY76" s="504" t="n">
        <v>0</v>
      </c>
      <c r="AZ76" s="504" t="n">
        <v>0</v>
      </c>
      <c r="BA76" s="504" t="n">
        <v>0</v>
      </c>
      <c r="BB76" s="504" t="n">
        <v>0</v>
      </c>
      <c r="BC76" s="504" t="n">
        <v>0</v>
      </c>
      <c r="BD76" s="504" t="n">
        <v>0</v>
      </c>
      <c r="BE76" s="504" t="n">
        <v>0</v>
      </c>
      <c r="BF76" s="504" t="n">
        <v>0</v>
      </c>
      <c r="BG76" s="504" t="n">
        <v>0</v>
      </c>
      <c r="BH76" s="504" t="n">
        <v>0</v>
      </c>
      <c r="BI76" s="504" t="n">
        <v>0</v>
      </c>
      <c r="BJ76" s="504" t="n">
        <v>0</v>
      </c>
      <c r="BK76" s="504" t="n">
        <v>0</v>
      </c>
      <c r="BL76" s="504" t="n">
        <v>0</v>
      </c>
      <c r="BM76" s="504" t="n">
        <v>0</v>
      </c>
      <c r="BN76" s="504" t="n">
        <v>0</v>
      </c>
      <c r="BO76" s="504" t="n">
        <v>0</v>
      </c>
      <c r="BP76" s="504" t="n">
        <v>0</v>
      </c>
      <c r="BQ76" s="504" t="n">
        <v>0</v>
      </c>
      <c r="BR76" s="504" t="n">
        <v>0</v>
      </c>
      <c r="BS76" s="504" t="n">
        <v>0</v>
      </c>
      <c r="BT76" s="504" t="n">
        <v>0</v>
      </c>
      <c r="BU76" s="504" t="n">
        <v>0</v>
      </c>
      <c r="BV76" s="504" t="n">
        <v>0</v>
      </c>
      <c r="BW76" s="504" t="n">
        <v>0</v>
      </c>
      <c r="BX76" s="504" t="n">
        <v>0</v>
      </c>
      <c r="BY76" s="504" t="n">
        <v>0</v>
      </c>
      <c r="BZ76" s="504" t="n">
        <v>0</v>
      </c>
      <c r="CA76" s="504" t="n">
        <v>0</v>
      </c>
      <c r="CB76" s="504" t="n">
        <v>0</v>
      </c>
      <c r="CC76" s="504" t="n">
        <v>0</v>
      </c>
      <c r="CD76" s="504" t="n">
        <v>0</v>
      </c>
      <c r="CE76" s="504" t="n">
        <v>0</v>
      </c>
    </row>
    <row r="77" hidden="1" ht="9" customFormat="1" customHeight="1" s="505">
      <c r="A77" s="504" t="n">
        <v>0</v>
      </c>
      <c r="B77" s="504" t="n">
        <v>0</v>
      </c>
      <c r="C77" s="504" t="n">
        <v>0</v>
      </c>
      <c r="D77" s="504" t="n">
        <v>0</v>
      </c>
      <c r="E77" s="504" t="n">
        <v>0</v>
      </c>
      <c r="F77" s="504" t="n">
        <v>0</v>
      </c>
      <c r="G77" s="504" t="n">
        <v>0</v>
      </c>
      <c r="H77" s="504" t="n">
        <v>0</v>
      </c>
      <c r="I77" s="504" t="n">
        <v>0</v>
      </c>
      <c r="J77" s="504" t="n">
        <v>0</v>
      </c>
      <c r="K77" s="504" t="n">
        <v>0</v>
      </c>
      <c r="L77" s="504" t="n">
        <v>0</v>
      </c>
      <c r="M77" s="504" t="n">
        <v>0</v>
      </c>
      <c r="N77" s="504" t="n">
        <v>0</v>
      </c>
      <c r="O77" s="504" t="n">
        <v>0</v>
      </c>
      <c r="P77" s="625" t="n">
        <v>0</v>
      </c>
      <c r="Q77" s="625" t="n">
        <v>0</v>
      </c>
      <c r="R77" s="625" t="n">
        <v>0</v>
      </c>
      <c r="S77" s="625" t="n">
        <v>0</v>
      </c>
      <c r="T77" s="625" t="n">
        <v>0</v>
      </c>
      <c r="U77" s="625" t="n">
        <v>0</v>
      </c>
      <c r="V77" s="625" t="n">
        <v>0</v>
      </c>
      <c r="W77" s="625" t="n">
        <v>0</v>
      </c>
      <c r="X77" s="625" t="n">
        <v>0</v>
      </c>
      <c r="Y77" s="639" t="n">
        <v>0</v>
      </c>
      <c r="Z77" s="639" t="n">
        <v>0</v>
      </c>
      <c r="AA77" s="639" t="n">
        <v>0</v>
      </c>
      <c r="AB77" s="639" t="n">
        <v>0</v>
      </c>
      <c r="AC77" s="611" t="n">
        <v>0</v>
      </c>
      <c r="AD77" s="611" t="n">
        <v>0</v>
      </c>
      <c r="AE77" s="611" t="n">
        <v>0</v>
      </c>
      <c r="AF77" s="611" t="n">
        <v>0</v>
      </c>
      <c r="AG77" s="625" t="n">
        <v>0</v>
      </c>
      <c r="AH77" s="625" t="n">
        <v>0</v>
      </c>
      <c r="AI77" s="625" t="n">
        <v>0</v>
      </c>
      <c r="AJ77" s="625" t="n">
        <v>0</v>
      </c>
      <c r="AK77" s="625" t="n">
        <v>0</v>
      </c>
      <c r="AL77" s="625" t="n">
        <v>0</v>
      </c>
      <c r="AM77" s="625" t="n">
        <v>0</v>
      </c>
      <c r="AN77" s="625" t="n">
        <v>0</v>
      </c>
      <c r="AO77" s="625" t="n">
        <v>0</v>
      </c>
      <c r="AP77" s="639" t="n">
        <v>0</v>
      </c>
      <c r="AQ77" s="639" t="n">
        <v>0</v>
      </c>
      <c r="AR77" s="639" t="n">
        <v>0</v>
      </c>
      <c r="AS77" s="639" t="n">
        <v>0</v>
      </c>
      <c r="AT77" s="611" t="n">
        <v>0</v>
      </c>
      <c r="AU77" s="611" t="n">
        <v>0</v>
      </c>
      <c r="AV77" s="611" t="n">
        <v>0</v>
      </c>
      <c r="AW77" s="611" t="n">
        <v>0</v>
      </c>
      <c r="AX77" s="504" t="n">
        <v>0</v>
      </c>
      <c r="AY77" s="504" t="n">
        <v>0</v>
      </c>
      <c r="AZ77" s="504" t="n">
        <v>0</v>
      </c>
      <c r="BA77" s="504" t="n">
        <v>0</v>
      </c>
      <c r="BB77" s="504" t="n">
        <v>0</v>
      </c>
      <c r="BC77" s="504" t="n">
        <v>0</v>
      </c>
      <c r="BD77" s="504" t="n">
        <v>0</v>
      </c>
      <c r="BE77" s="504" t="n">
        <v>0</v>
      </c>
      <c r="BF77" s="504" t="n">
        <v>0</v>
      </c>
      <c r="BG77" s="504" t="n">
        <v>0</v>
      </c>
      <c r="BH77" s="504" t="n">
        <v>0</v>
      </c>
      <c r="BI77" s="504" t="n">
        <v>0</v>
      </c>
      <c r="BJ77" s="504" t="n">
        <v>0</v>
      </c>
      <c r="BK77" s="504" t="n">
        <v>0</v>
      </c>
      <c r="BL77" s="504" t="n">
        <v>0</v>
      </c>
      <c r="BM77" s="504" t="n">
        <v>0</v>
      </c>
      <c r="BN77" s="504" t="n">
        <v>0</v>
      </c>
      <c r="BO77" s="504" t="n">
        <v>0</v>
      </c>
      <c r="BP77" s="504" t="n">
        <v>0</v>
      </c>
      <c r="BQ77" s="504" t="n">
        <v>0</v>
      </c>
      <c r="BR77" s="504" t="n">
        <v>0</v>
      </c>
      <c r="BS77" s="504" t="n">
        <v>0</v>
      </c>
      <c r="BT77" s="504" t="n">
        <v>0</v>
      </c>
      <c r="BU77" s="504" t="n">
        <v>0</v>
      </c>
      <c r="BV77" s="504" t="n">
        <v>0</v>
      </c>
      <c r="BW77" s="504" t="n">
        <v>0</v>
      </c>
      <c r="BX77" s="504" t="n">
        <v>0</v>
      </c>
      <c r="BY77" s="504" t="n">
        <v>0</v>
      </c>
      <c r="BZ77" s="504" t="n">
        <v>0</v>
      </c>
      <c r="CA77" s="504" t="n">
        <v>0</v>
      </c>
      <c r="CB77" s="504" t="n">
        <v>0</v>
      </c>
      <c r="CC77" s="504" t="n">
        <v>0</v>
      </c>
      <c r="CD77" s="504" t="n">
        <v>0</v>
      </c>
      <c r="CE77" s="504" t="n">
        <v>0</v>
      </c>
    </row>
    <row r="78" hidden="1" ht="9" customFormat="1" customHeight="1" s="505">
      <c r="A78" s="504" t="n">
        <v>0</v>
      </c>
      <c r="B78" s="504" t="n">
        <v>0</v>
      </c>
      <c r="C78" s="504" t="n">
        <v>0</v>
      </c>
      <c r="D78" s="504" t="n">
        <v>0</v>
      </c>
      <c r="E78" s="504" t="n">
        <v>0</v>
      </c>
      <c r="F78" s="504" t="n">
        <v>0</v>
      </c>
      <c r="G78" s="504" t="n">
        <v>0</v>
      </c>
      <c r="H78" s="504" t="n">
        <v>0</v>
      </c>
      <c r="I78" s="504" t="n">
        <v>0</v>
      </c>
      <c r="J78" s="504" t="n">
        <v>0</v>
      </c>
      <c r="K78" s="504" t="n">
        <v>0</v>
      </c>
      <c r="L78" s="504" t="n">
        <v>0</v>
      </c>
      <c r="M78" s="504" t="n">
        <v>0</v>
      </c>
      <c r="N78" s="504" t="n">
        <v>0</v>
      </c>
      <c r="O78" s="504" t="n">
        <v>0</v>
      </c>
      <c r="P78" s="625" t="n">
        <v>0</v>
      </c>
      <c r="Q78" s="625" t="n">
        <v>0</v>
      </c>
      <c r="R78" s="625" t="n">
        <v>0</v>
      </c>
      <c r="S78" s="625" t="n">
        <v>0</v>
      </c>
      <c r="T78" s="625" t="n">
        <v>0</v>
      </c>
      <c r="U78" s="625" t="n">
        <v>0</v>
      </c>
      <c r="V78" s="625" t="n">
        <v>0</v>
      </c>
      <c r="W78" s="625" t="n">
        <v>0</v>
      </c>
      <c r="X78" s="625" t="n">
        <v>0</v>
      </c>
      <c r="Y78" s="639" t="n">
        <v>0</v>
      </c>
      <c r="Z78" s="639" t="n">
        <v>0</v>
      </c>
      <c r="AA78" s="639" t="n">
        <v>0</v>
      </c>
      <c r="AB78" s="639" t="n">
        <v>0</v>
      </c>
      <c r="AC78" s="611" t="n">
        <v>0</v>
      </c>
      <c r="AD78" s="611" t="n">
        <v>0</v>
      </c>
      <c r="AE78" s="611" t="n">
        <v>0</v>
      </c>
      <c r="AF78" s="611" t="n">
        <v>0</v>
      </c>
      <c r="AG78" s="625" t="n">
        <v>0</v>
      </c>
      <c r="AH78" s="625" t="n">
        <v>0</v>
      </c>
      <c r="AI78" s="625" t="n">
        <v>0</v>
      </c>
      <c r="AJ78" s="625" t="n">
        <v>0</v>
      </c>
      <c r="AK78" s="625" t="n">
        <v>0</v>
      </c>
      <c r="AL78" s="625" t="n">
        <v>0</v>
      </c>
      <c r="AM78" s="625" t="n">
        <v>0</v>
      </c>
      <c r="AN78" s="625" t="n">
        <v>0</v>
      </c>
      <c r="AO78" s="625" t="n">
        <v>0</v>
      </c>
      <c r="AP78" s="639" t="n">
        <v>0</v>
      </c>
      <c r="AQ78" s="639" t="n">
        <v>0</v>
      </c>
      <c r="AR78" s="639" t="n">
        <v>0</v>
      </c>
      <c r="AS78" s="639" t="n">
        <v>0</v>
      </c>
      <c r="AT78" s="611" t="n">
        <v>0</v>
      </c>
      <c r="AU78" s="611" t="n">
        <v>0</v>
      </c>
      <c r="AV78" s="611" t="n">
        <v>0</v>
      </c>
      <c r="AW78" s="611" t="n">
        <v>0</v>
      </c>
      <c r="AX78" s="504" t="n">
        <v>0</v>
      </c>
      <c r="AY78" s="504" t="n">
        <v>0</v>
      </c>
      <c r="AZ78" s="504" t="n">
        <v>0</v>
      </c>
      <c r="BA78" s="504" t="n">
        <v>0</v>
      </c>
      <c r="BB78" s="504" t="n">
        <v>0</v>
      </c>
      <c r="BC78" s="504" t="n">
        <v>0</v>
      </c>
      <c r="BD78" s="504" t="n">
        <v>0</v>
      </c>
      <c r="BE78" s="504" t="n">
        <v>0</v>
      </c>
      <c r="BF78" s="504" t="n">
        <v>0</v>
      </c>
      <c r="BG78" s="504" t="n">
        <v>0</v>
      </c>
      <c r="BH78" s="504" t="n">
        <v>0</v>
      </c>
      <c r="BI78" s="504" t="n">
        <v>0</v>
      </c>
      <c r="BJ78" s="504" t="n">
        <v>0</v>
      </c>
      <c r="BK78" s="504" t="n">
        <v>0</v>
      </c>
      <c r="BL78" s="504" t="n">
        <v>0</v>
      </c>
      <c r="BM78" s="504" t="n">
        <v>0</v>
      </c>
      <c r="BN78" s="504" t="n">
        <v>0</v>
      </c>
      <c r="BO78" s="504" t="n">
        <v>0</v>
      </c>
      <c r="BP78" s="504" t="n">
        <v>0</v>
      </c>
      <c r="BQ78" s="504" t="n">
        <v>0</v>
      </c>
      <c r="BR78" s="504" t="n">
        <v>0</v>
      </c>
      <c r="BS78" s="504" t="n">
        <v>0</v>
      </c>
      <c r="BT78" s="504" t="n">
        <v>0</v>
      </c>
      <c r="BU78" s="504" t="n">
        <v>0</v>
      </c>
      <c r="BV78" s="504" t="n">
        <v>0</v>
      </c>
      <c r="BW78" s="504" t="n">
        <v>0</v>
      </c>
      <c r="BX78" s="504" t="n">
        <v>0</v>
      </c>
      <c r="BY78" s="504" t="n">
        <v>0</v>
      </c>
      <c r="BZ78" s="504" t="n">
        <v>0</v>
      </c>
      <c r="CA78" s="504" t="n">
        <v>0</v>
      </c>
      <c r="CB78" s="504" t="n">
        <v>0</v>
      </c>
      <c r="CC78" s="504" t="n">
        <v>0</v>
      </c>
      <c r="CD78" s="504" t="n">
        <v>0</v>
      </c>
      <c r="CE78" s="504" t="n">
        <v>0</v>
      </c>
    </row>
    <row r="79" hidden="1" ht="9" customFormat="1" customHeight="1" s="505">
      <c r="A79" s="504" t="n">
        <v>0</v>
      </c>
      <c r="B79" s="504" t="n">
        <v>0</v>
      </c>
      <c r="C79" s="504" t="n">
        <v>0</v>
      </c>
      <c r="D79" s="504" t="n">
        <v>0</v>
      </c>
      <c r="E79" s="504" t="n">
        <v>0</v>
      </c>
      <c r="F79" s="504" t="n">
        <v>0</v>
      </c>
      <c r="G79" s="504" t="n">
        <v>0</v>
      </c>
      <c r="H79" s="504" t="n">
        <v>0</v>
      </c>
      <c r="I79" s="504" t="n">
        <v>0</v>
      </c>
      <c r="J79" s="504" t="n">
        <v>0</v>
      </c>
      <c r="K79" s="504" t="n">
        <v>0</v>
      </c>
      <c r="L79" s="504" t="n">
        <v>0</v>
      </c>
      <c r="M79" s="504" t="n">
        <v>0</v>
      </c>
      <c r="N79" s="504" t="n">
        <v>0</v>
      </c>
      <c r="O79" s="504" t="n">
        <v>0</v>
      </c>
      <c r="P79" s="625" t="n">
        <v>0</v>
      </c>
      <c r="Q79" s="625" t="n">
        <v>0</v>
      </c>
      <c r="R79" s="625" t="n">
        <v>0</v>
      </c>
      <c r="S79" s="625" t="n">
        <v>0</v>
      </c>
      <c r="T79" s="625" t="n">
        <v>0</v>
      </c>
      <c r="U79" s="625" t="n">
        <v>0</v>
      </c>
      <c r="V79" s="625" t="n">
        <v>0</v>
      </c>
      <c r="W79" s="625" t="n">
        <v>0</v>
      </c>
      <c r="X79" s="625" t="n">
        <v>0</v>
      </c>
      <c r="Y79" s="639" t="n">
        <v>0</v>
      </c>
      <c r="Z79" s="639" t="n">
        <v>0</v>
      </c>
      <c r="AA79" s="639" t="n">
        <v>0</v>
      </c>
      <c r="AB79" s="639" t="n">
        <v>0</v>
      </c>
      <c r="AC79" s="611" t="n">
        <v>0</v>
      </c>
      <c r="AD79" s="611" t="n">
        <v>0</v>
      </c>
      <c r="AE79" s="611" t="n">
        <v>0</v>
      </c>
      <c r="AF79" s="611" t="n">
        <v>0</v>
      </c>
      <c r="AG79" s="625" t="n">
        <v>0</v>
      </c>
      <c r="AH79" s="625" t="n">
        <v>0</v>
      </c>
      <c r="AI79" s="625" t="n">
        <v>0</v>
      </c>
      <c r="AJ79" s="625" t="n">
        <v>0</v>
      </c>
      <c r="AK79" s="625" t="n">
        <v>0</v>
      </c>
      <c r="AL79" s="625" t="n">
        <v>0</v>
      </c>
      <c r="AM79" s="625" t="n">
        <v>0</v>
      </c>
      <c r="AN79" s="625" t="n">
        <v>0</v>
      </c>
      <c r="AO79" s="625" t="n">
        <v>0</v>
      </c>
      <c r="AP79" s="639" t="n">
        <v>0</v>
      </c>
      <c r="AQ79" s="639" t="n">
        <v>0</v>
      </c>
      <c r="AR79" s="639" t="n">
        <v>0</v>
      </c>
      <c r="AS79" s="639" t="n">
        <v>0</v>
      </c>
      <c r="AT79" s="611" t="n">
        <v>0</v>
      </c>
      <c r="AU79" s="611" t="n">
        <v>0</v>
      </c>
      <c r="AV79" s="611" t="n">
        <v>0</v>
      </c>
      <c r="AW79" s="611" t="n">
        <v>0</v>
      </c>
      <c r="AX79" s="504" t="n">
        <v>0</v>
      </c>
      <c r="AY79" s="504" t="n">
        <v>0</v>
      </c>
      <c r="AZ79" s="504" t="n">
        <v>0</v>
      </c>
      <c r="BA79" s="504" t="n">
        <v>0</v>
      </c>
      <c r="BB79" s="504" t="n">
        <v>0</v>
      </c>
      <c r="BC79" s="504" t="n">
        <v>0</v>
      </c>
      <c r="BD79" s="504" t="n">
        <v>0</v>
      </c>
      <c r="BE79" s="504" t="n">
        <v>0</v>
      </c>
      <c r="BF79" s="504" t="n">
        <v>0</v>
      </c>
      <c r="BG79" s="504" t="n">
        <v>0</v>
      </c>
      <c r="BH79" s="504" t="n">
        <v>0</v>
      </c>
      <c r="BI79" s="504" t="n">
        <v>0</v>
      </c>
      <c r="BJ79" s="504" t="n">
        <v>0</v>
      </c>
      <c r="BK79" s="504" t="n">
        <v>0</v>
      </c>
      <c r="BL79" s="504" t="n">
        <v>0</v>
      </c>
      <c r="BM79" s="504" t="n">
        <v>0</v>
      </c>
      <c r="BN79" s="504" t="n">
        <v>0</v>
      </c>
      <c r="BO79" s="504" t="n">
        <v>0</v>
      </c>
      <c r="BP79" s="504" t="n">
        <v>0</v>
      </c>
      <c r="BQ79" s="504" t="n">
        <v>0</v>
      </c>
      <c r="BR79" s="504" t="n">
        <v>0</v>
      </c>
      <c r="BS79" s="504" t="n">
        <v>0</v>
      </c>
      <c r="BT79" s="504" t="n">
        <v>0</v>
      </c>
      <c r="BU79" s="504" t="n">
        <v>0</v>
      </c>
      <c r="BV79" s="504" t="n">
        <v>0</v>
      </c>
      <c r="BW79" s="504" t="n">
        <v>0</v>
      </c>
      <c r="BX79" s="504" t="n">
        <v>0</v>
      </c>
      <c r="BY79" s="504" t="n">
        <v>0</v>
      </c>
      <c r="BZ79" s="504" t="n">
        <v>0</v>
      </c>
      <c r="CA79" s="504" t="n">
        <v>0</v>
      </c>
      <c r="CB79" s="504" t="n">
        <v>0</v>
      </c>
      <c r="CC79" s="504" t="n">
        <v>0</v>
      </c>
      <c r="CD79" s="504" t="n">
        <v>0</v>
      </c>
      <c r="CE79" s="504" t="n">
        <v>0</v>
      </c>
    </row>
    <row r="80" hidden="1" ht="9" customFormat="1" customHeight="1" s="505">
      <c r="A80" s="504" t="n">
        <v>0</v>
      </c>
      <c r="B80" s="504" t="n">
        <v>0</v>
      </c>
      <c r="C80" s="504" t="n">
        <v>0</v>
      </c>
      <c r="D80" s="504" t="n">
        <v>0</v>
      </c>
      <c r="E80" s="504" t="n">
        <v>0</v>
      </c>
      <c r="F80" s="504" t="n">
        <v>0</v>
      </c>
      <c r="G80" s="504" t="n">
        <v>0</v>
      </c>
      <c r="H80" s="504" t="n">
        <v>0</v>
      </c>
      <c r="I80" s="504" t="n">
        <v>0</v>
      </c>
      <c r="J80" s="504" t="n">
        <v>0</v>
      </c>
      <c r="K80" s="504" t="n">
        <v>0</v>
      </c>
      <c r="L80" s="504" t="n">
        <v>0</v>
      </c>
      <c r="M80" s="504" t="n">
        <v>0</v>
      </c>
      <c r="N80" s="504" t="n">
        <v>0</v>
      </c>
      <c r="O80" s="504" t="n">
        <v>0</v>
      </c>
      <c r="P80" s="625" t="n">
        <v>0</v>
      </c>
      <c r="Q80" s="625" t="n">
        <v>0</v>
      </c>
      <c r="R80" s="625" t="n">
        <v>0</v>
      </c>
      <c r="S80" s="625" t="n">
        <v>0</v>
      </c>
      <c r="T80" s="625" t="n">
        <v>0</v>
      </c>
      <c r="U80" s="625" t="n">
        <v>0</v>
      </c>
      <c r="V80" s="625" t="n">
        <v>0</v>
      </c>
      <c r="W80" s="625" t="n">
        <v>0</v>
      </c>
      <c r="X80" s="625" t="n">
        <v>0</v>
      </c>
      <c r="Y80" s="639" t="n">
        <v>0</v>
      </c>
      <c r="Z80" s="639" t="n">
        <v>0</v>
      </c>
      <c r="AA80" s="639" t="n">
        <v>0</v>
      </c>
      <c r="AB80" s="639" t="n">
        <v>0</v>
      </c>
      <c r="AC80" s="611" t="n">
        <v>0</v>
      </c>
      <c r="AD80" s="611" t="n">
        <v>0</v>
      </c>
      <c r="AE80" s="611" t="n">
        <v>0</v>
      </c>
      <c r="AF80" s="611" t="n">
        <v>0</v>
      </c>
      <c r="AG80" s="625" t="n">
        <v>0</v>
      </c>
      <c r="AH80" s="625" t="n">
        <v>0</v>
      </c>
      <c r="AI80" s="625" t="n">
        <v>0</v>
      </c>
      <c r="AJ80" s="625" t="n">
        <v>0</v>
      </c>
      <c r="AK80" s="625" t="n">
        <v>0</v>
      </c>
      <c r="AL80" s="625" t="n">
        <v>0</v>
      </c>
      <c r="AM80" s="625" t="n">
        <v>0</v>
      </c>
      <c r="AN80" s="625" t="n">
        <v>0</v>
      </c>
      <c r="AO80" s="625" t="n">
        <v>0</v>
      </c>
      <c r="AP80" s="639" t="n">
        <v>0</v>
      </c>
      <c r="AQ80" s="639" t="n">
        <v>0</v>
      </c>
      <c r="AR80" s="639" t="n">
        <v>0</v>
      </c>
      <c r="AS80" s="639" t="n">
        <v>0</v>
      </c>
      <c r="AT80" s="611" t="n">
        <v>0</v>
      </c>
      <c r="AU80" s="611" t="n">
        <v>0</v>
      </c>
      <c r="AV80" s="611" t="n">
        <v>0</v>
      </c>
      <c r="AW80" s="611" t="n">
        <v>0</v>
      </c>
      <c r="AX80" s="504" t="n">
        <v>0</v>
      </c>
      <c r="AY80" s="504" t="n">
        <v>0</v>
      </c>
      <c r="AZ80" s="504" t="n">
        <v>0</v>
      </c>
      <c r="BA80" s="504" t="n">
        <v>0</v>
      </c>
      <c r="BB80" s="504" t="n">
        <v>0</v>
      </c>
      <c r="BC80" s="504" t="n">
        <v>0</v>
      </c>
      <c r="BD80" s="504" t="n">
        <v>0</v>
      </c>
      <c r="BE80" s="504" t="n">
        <v>0</v>
      </c>
      <c r="BF80" s="504" t="n">
        <v>0</v>
      </c>
      <c r="BG80" s="504" t="n">
        <v>0</v>
      </c>
      <c r="BH80" s="504" t="n">
        <v>0</v>
      </c>
      <c r="BI80" s="504" t="n">
        <v>0</v>
      </c>
      <c r="BJ80" s="504" t="n">
        <v>0</v>
      </c>
      <c r="BK80" s="504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4" t="n">
        <v>0</v>
      </c>
      <c r="BQ80" s="504" t="n">
        <v>0</v>
      </c>
      <c r="BR80" s="504" t="n">
        <v>0</v>
      </c>
      <c r="BS80" s="504" t="n">
        <v>0</v>
      </c>
      <c r="BT80" s="504" t="n">
        <v>0</v>
      </c>
      <c r="BU80" s="504" t="n">
        <v>0</v>
      </c>
      <c r="BV80" s="504" t="n">
        <v>0</v>
      </c>
      <c r="BW80" s="504" t="n">
        <v>0</v>
      </c>
      <c r="BX80" s="504" t="n">
        <v>0</v>
      </c>
      <c r="BY80" s="504" t="n">
        <v>0</v>
      </c>
      <c r="BZ80" s="504" t="n">
        <v>0</v>
      </c>
      <c r="CA80" s="504" t="n">
        <v>0</v>
      </c>
      <c r="CB80" s="504" t="n">
        <v>0</v>
      </c>
      <c r="CC80" s="504" t="n">
        <v>0</v>
      </c>
      <c r="CD80" s="504" t="n">
        <v>0</v>
      </c>
      <c r="CE80" s="504" t="n">
        <v>0</v>
      </c>
    </row>
    <row r="81" hidden="1" ht="9" customFormat="1" customHeight="1" s="505">
      <c r="A81" s="504" t="n">
        <v>0</v>
      </c>
      <c r="B81" s="504" t="n">
        <v>0</v>
      </c>
      <c r="C81" s="504" t="n">
        <v>0</v>
      </c>
      <c r="D81" s="504" t="n">
        <v>0</v>
      </c>
      <c r="E81" s="504" t="n">
        <v>0</v>
      </c>
      <c r="F81" s="504" t="n">
        <v>0</v>
      </c>
      <c r="G81" s="504" t="n">
        <v>0</v>
      </c>
      <c r="H81" s="504" t="n">
        <v>0</v>
      </c>
      <c r="I81" s="504" t="n">
        <v>0</v>
      </c>
      <c r="J81" s="504" t="n">
        <v>0</v>
      </c>
      <c r="K81" s="504" t="n">
        <v>0</v>
      </c>
      <c r="L81" s="504" t="n">
        <v>0</v>
      </c>
      <c r="M81" s="504" t="n">
        <v>0</v>
      </c>
      <c r="N81" s="504" t="n">
        <v>0</v>
      </c>
      <c r="O81" s="504" t="n">
        <v>0</v>
      </c>
      <c r="P81" s="625" t="n">
        <v>0</v>
      </c>
      <c r="Q81" s="625" t="n">
        <v>0</v>
      </c>
      <c r="R81" s="625" t="n">
        <v>0</v>
      </c>
      <c r="S81" s="625" t="n">
        <v>0</v>
      </c>
      <c r="T81" s="625" t="n">
        <v>0</v>
      </c>
      <c r="U81" s="625" t="n">
        <v>0</v>
      </c>
      <c r="V81" s="625" t="n">
        <v>0</v>
      </c>
      <c r="W81" s="625" t="n">
        <v>0</v>
      </c>
      <c r="X81" s="625" t="n">
        <v>0</v>
      </c>
      <c r="Y81" s="639" t="n">
        <v>0</v>
      </c>
      <c r="Z81" s="639" t="n">
        <v>0</v>
      </c>
      <c r="AA81" s="639" t="n">
        <v>0</v>
      </c>
      <c r="AB81" s="639" t="n">
        <v>0</v>
      </c>
      <c r="AC81" s="611" t="n">
        <v>0</v>
      </c>
      <c r="AD81" s="611" t="n">
        <v>0</v>
      </c>
      <c r="AE81" s="611" t="n">
        <v>0</v>
      </c>
      <c r="AF81" s="611" t="n">
        <v>0</v>
      </c>
      <c r="AG81" s="625" t="n">
        <v>0</v>
      </c>
      <c r="AH81" s="625" t="n">
        <v>0</v>
      </c>
      <c r="AI81" s="625" t="n">
        <v>0</v>
      </c>
      <c r="AJ81" s="625" t="n">
        <v>0</v>
      </c>
      <c r="AK81" s="625" t="n">
        <v>0</v>
      </c>
      <c r="AL81" s="625" t="n">
        <v>0</v>
      </c>
      <c r="AM81" s="625" t="n">
        <v>0</v>
      </c>
      <c r="AN81" s="625" t="n">
        <v>0</v>
      </c>
      <c r="AO81" s="625" t="n">
        <v>0</v>
      </c>
      <c r="AP81" s="639" t="n">
        <v>0</v>
      </c>
      <c r="AQ81" s="639" t="n">
        <v>0</v>
      </c>
      <c r="AR81" s="639" t="n">
        <v>0</v>
      </c>
      <c r="AS81" s="639" t="n">
        <v>0</v>
      </c>
      <c r="AT81" s="611" t="n">
        <v>0</v>
      </c>
      <c r="AU81" s="611" t="n">
        <v>0</v>
      </c>
      <c r="AV81" s="611" t="n">
        <v>0</v>
      </c>
      <c r="AW81" s="611" t="n">
        <v>0</v>
      </c>
      <c r="AX81" s="504" t="n">
        <v>0</v>
      </c>
      <c r="AY81" s="504" t="n">
        <v>0</v>
      </c>
      <c r="AZ81" s="504" t="n">
        <v>0</v>
      </c>
      <c r="BA81" s="504" t="n">
        <v>0</v>
      </c>
      <c r="BB81" s="504" t="n">
        <v>0</v>
      </c>
      <c r="BC81" s="504" t="n">
        <v>0</v>
      </c>
      <c r="BD81" s="504" t="n">
        <v>0</v>
      </c>
      <c r="BE81" s="504" t="n">
        <v>0</v>
      </c>
      <c r="BF81" s="504" t="n">
        <v>0</v>
      </c>
      <c r="BG81" s="504" t="n">
        <v>0</v>
      </c>
      <c r="BH81" s="504" t="n">
        <v>0</v>
      </c>
      <c r="BI81" s="504" t="n">
        <v>0</v>
      </c>
      <c r="BJ81" s="504" t="n">
        <v>0</v>
      </c>
      <c r="BK81" s="504" t="n">
        <v>0</v>
      </c>
      <c r="BL81" s="504" t="n">
        <v>0</v>
      </c>
      <c r="BM81" s="504" t="n">
        <v>0</v>
      </c>
      <c r="BN81" s="504" t="n">
        <v>0</v>
      </c>
      <c r="BO81" s="504" t="n">
        <v>0</v>
      </c>
      <c r="BP81" s="504" t="n">
        <v>0</v>
      </c>
      <c r="BQ81" s="504" t="n">
        <v>0</v>
      </c>
      <c r="BR81" s="504" t="n">
        <v>0</v>
      </c>
      <c r="BS81" s="504" t="n">
        <v>0</v>
      </c>
      <c r="BT81" s="504" t="n">
        <v>0</v>
      </c>
      <c r="BU81" s="504" t="n">
        <v>0</v>
      </c>
      <c r="BV81" s="504" t="n">
        <v>0</v>
      </c>
      <c r="BW81" s="504" t="n">
        <v>0</v>
      </c>
      <c r="BX81" s="504" t="n">
        <v>0</v>
      </c>
      <c r="BY81" s="504" t="n">
        <v>0</v>
      </c>
      <c r="BZ81" s="504" t="n">
        <v>0</v>
      </c>
      <c r="CA81" s="504" t="n">
        <v>0</v>
      </c>
      <c r="CB81" s="504" t="n">
        <v>0</v>
      </c>
      <c r="CC81" s="504" t="n">
        <v>0</v>
      </c>
      <c r="CD81" s="504" t="n">
        <v>0</v>
      </c>
      <c r="CE81" s="504" t="n">
        <v>0</v>
      </c>
    </row>
    <row r="82" hidden="1" ht="9" customFormat="1" customHeight="1" s="505">
      <c r="A82" s="504" t="n">
        <v>0</v>
      </c>
      <c r="B82" s="504" t="n">
        <v>0</v>
      </c>
      <c r="C82" s="504" t="n">
        <v>0</v>
      </c>
      <c r="D82" s="504" t="n">
        <v>0</v>
      </c>
      <c r="E82" s="504" t="n">
        <v>0</v>
      </c>
      <c r="F82" s="504" t="n">
        <v>0</v>
      </c>
      <c r="G82" s="504" t="n">
        <v>0</v>
      </c>
      <c r="H82" s="504" t="n">
        <v>0</v>
      </c>
      <c r="I82" s="504" t="n">
        <v>0</v>
      </c>
      <c r="J82" s="504" t="n">
        <v>0</v>
      </c>
      <c r="K82" s="504" t="n">
        <v>0</v>
      </c>
      <c r="L82" s="504" t="n">
        <v>0</v>
      </c>
      <c r="M82" s="504" t="n">
        <v>0</v>
      </c>
      <c r="N82" s="504" t="n">
        <v>0</v>
      </c>
      <c r="O82" s="504" t="n">
        <v>0</v>
      </c>
      <c r="P82" s="625" t="n">
        <v>0</v>
      </c>
      <c r="Q82" s="625" t="n">
        <v>0</v>
      </c>
      <c r="R82" s="625" t="n">
        <v>0</v>
      </c>
      <c r="S82" s="625" t="n">
        <v>0</v>
      </c>
      <c r="T82" s="625" t="n">
        <v>0</v>
      </c>
      <c r="U82" s="625" t="n">
        <v>0</v>
      </c>
      <c r="V82" s="625" t="n">
        <v>0</v>
      </c>
      <c r="W82" s="625" t="n">
        <v>0</v>
      </c>
      <c r="X82" s="625" t="n">
        <v>0</v>
      </c>
      <c r="Y82" s="639" t="n">
        <v>0</v>
      </c>
      <c r="Z82" s="639" t="n">
        <v>0</v>
      </c>
      <c r="AA82" s="639" t="n">
        <v>0</v>
      </c>
      <c r="AB82" s="639" t="n">
        <v>0</v>
      </c>
      <c r="AC82" s="611" t="n">
        <v>0</v>
      </c>
      <c r="AD82" s="611" t="n">
        <v>0</v>
      </c>
      <c r="AE82" s="611" t="n">
        <v>0</v>
      </c>
      <c r="AF82" s="611" t="n">
        <v>0</v>
      </c>
      <c r="AG82" s="625" t="n">
        <v>0</v>
      </c>
      <c r="AH82" s="625" t="n">
        <v>0</v>
      </c>
      <c r="AI82" s="625" t="n">
        <v>0</v>
      </c>
      <c r="AJ82" s="625" t="n">
        <v>0</v>
      </c>
      <c r="AK82" s="625" t="n">
        <v>0</v>
      </c>
      <c r="AL82" s="625" t="n">
        <v>0</v>
      </c>
      <c r="AM82" s="625" t="n">
        <v>0</v>
      </c>
      <c r="AN82" s="625" t="n">
        <v>0</v>
      </c>
      <c r="AO82" s="625" t="n">
        <v>0</v>
      </c>
      <c r="AP82" s="639" t="n">
        <v>0</v>
      </c>
      <c r="AQ82" s="639" t="n">
        <v>0</v>
      </c>
      <c r="AR82" s="639" t="n">
        <v>0</v>
      </c>
      <c r="AS82" s="639" t="n">
        <v>0</v>
      </c>
      <c r="AT82" s="611" t="n">
        <v>0</v>
      </c>
      <c r="AU82" s="611" t="n">
        <v>0</v>
      </c>
      <c r="AV82" s="611" t="n">
        <v>0</v>
      </c>
      <c r="AW82" s="611" t="n">
        <v>0</v>
      </c>
      <c r="AX82" s="504" t="n">
        <v>0</v>
      </c>
      <c r="AY82" s="504" t="n">
        <v>0</v>
      </c>
      <c r="AZ82" s="504" t="n">
        <v>0</v>
      </c>
      <c r="BA82" s="504" t="n">
        <v>0</v>
      </c>
      <c r="BB82" s="504" t="n">
        <v>0</v>
      </c>
      <c r="BC82" s="504" t="n">
        <v>0</v>
      </c>
      <c r="BD82" s="504" t="n">
        <v>0</v>
      </c>
      <c r="BE82" s="504" t="n">
        <v>0</v>
      </c>
      <c r="BF82" s="504" t="n">
        <v>0</v>
      </c>
      <c r="BG82" s="504" t="n">
        <v>0</v>
      </c>
      <c r="BH82" s="504" t="n">
        <v>0</v>
      </c>
      <c r="BI82" s="504" t="n">
        <v>0</v>
      </c>
      <c r="BJ82" s="504" t="n">
        <v>0</v>
      </c>
      <c r="BK82" s="504" t="n">
        <v>0</v>
      </c>
      <c r="BL82" s="504" t="n">
        <v>0</v>
      </c>
      <c r="BM82" s="504" t="n">
        <v>0</v>
      </c>
      <c r="BN82" s="504" t="n">
        <v>0</v>
      </c>
      <c r="BO82" s="504" t="n">
        <v>0</v>
      </c>
      <c r="BP82" s="504" t="n">
        <v>0</v>
      </c>
      <c r="BQ82" s="504" t="n">
        <v>0</v>
      </c>
      <c r="BR82" s="504" t="n">
        <v>0</v>
      </c>
      <c r="BS82" s="504" t="n">
        <v>0</v>
      </c>
      <c r="BT82" s="504" t="n">
        <v>0</v>
      </c>
      <c r="BU82" s="504" t="n">
        <v>0</v>
      </c>
      <c r="BV82" s="504" t="n">
        <v>0</v>
      </c>
      <c r="BW82" s="504" t="n">
        <v>0</v>
      </c>
      <c r="BX82" s="504" t="n">
        <v>0</v>
      </c>
      <c r="BY82" s="504" t="n">
        <v>0</v>
      </c>
      <c r="BZ82" s="504" t="n">
        <v>0</v>
      </c>
      <c r="CA82" s="504" t="n">
        <v>0</v>
      </c>
      <c r="CB82" s="504" t="n">
        <v>0</v>
      </c>
      <c r="CC82" s="504" t="n">
        <v>0</v>
      </c>
      <c r="CD82" s="504" t="n">
        <v>0</v>
      </c>
      <c r="CE82" s="504" t="n">
        <v>0</v>
      </c>
    </row>
    <row r="83" hidden="1" ht="9" customFormat="1" customHeight="1" s="505">
      <c r="A83" s="504" t="n">
        <v>0</v>
      </c>
      <c r="B83" s="504" t="n">
        <v>0</v>
      </c>
      <c r="C83" s="504" t="n">
        <v>0</v>
      </c>
      <c r="D83" s="504" t="n">
        <v>0</v>
      </c>
      <c r="E83" s="504" t="n">
        <v>0</v>
      </c>
      <c r="F83" s="504" t="n">
        <v>0</v>
      </c>
      <c r="G83" s="504" t="n">
        <v>0</v>
      </c>
      <c r="H83" s="504" t="n">
        <v>0</v>
      </c>
      <c r="I83" s="504" t="n">
        <v>0</v>
      </c>
      <c r="J83" s="504" t="n">
        <v>0</v>
      </c>
      <c r="K83" s="504" t="n">
        <v>0</v>
      </c>
      <c r="L83" s="504" t="n">
        <v>0</v>
      </c>
      <c r="M83" s="504" t="n">
        <v>0</v>
      </c>
      <c r="N83" s="504" t="n">
        <v>0</v>
      </c>
      <c r="O83" s="504" t="n">
        <v>0</v>
      </c>
      <c r="P83" s="625" t="n">
        <v>0</v>
      </c>
      <c r="Q83" s="625" t="n">
        <v>0</v>
      </c>
      <c r="R83" s="625" t="n">
        <v>0</v>
      </c>
      <c r="S83" s="625" t="n">
        <v>0</v>
      </c>
      <c r="T83" s="625" t="n">
        <v>0</v>
      </c>
      <c r="U83" s="625" t="n">
        <v>0</v>
      </c>
      <c r="V83" s="625" t="n">
        <v>0</v>
      </c>
      <c r="W83" s="625" t="n">
        <v>0</v>
      </c>
      <c r="X83" s="625" t="n">
        <v>0</v>
      </c>
      <c r="Y83" s="639" t="n">
        <v>0</v>
      </c>
      <c r="Z83" s="639" t="n">
        <v>0</v>
      </c>
      <c r="AA83" s="639" t="n">
        <v>0</v>
      </c>
      <c r="AB83" s="639" t="n">
        <v>0</v>
      </c>
      <c r="AC83" s="611" t="n">
        <v>0</v>
      </c>
      <c r="AD83" s="611" t="n">
        <v>0</v>
      </c>
      <c r="AE83" s="611" t="n">
        <v>0</v>
      </c>
      <c r="AF83" s="611" t="n">
        <v>0</v>
      </c>
      <c r="AG83" s="625" t="n">
        <v>0</v>
      </c>
      <c r="AH83" s="625" t="n">
        <v>0</v>
      </c>
      <c r="AI83" s="625" t="n">
        <v>0</v>
      </c>
      <c r="AJ83" s="625" t="n">
        <v>0</v>
      </c>
      <c r="AK83" s="625" t="n">
        <v>0</v>
      </c>
      <c r="AL83" s="625" t="n">
        <v>0</v>
      </c>
      <c r="AM83" s="625" t="n">
        <v>0</v>
      </c>
      <c r="AN83" s="625" t="n">
        <v>0</v>
      </c>
      <c r="AO83" s="625" t="n">
        <v>0</v>
      </c>
      <c r="AP83" s="639" t="n">
        <v>0</v>
      </c>
      <c r="AQ83" s="639" t="n">
        <v>0</v>
      </c>
      <c r="AR83" s="639" t="n">
        <v>0</v>
      </c>
      <c r="AS83" s="639" t="n">
        <v>0</v>
      </c>
      <c r="AT83" s="611" t="n">
        <v>0</v>
      </c>
      <c r="AU83" s="611" t="n">
        <v>0</v>
      </c>
      <c r="AV83" s="611" t="n">
        <v>0</v>
      </c>
      <c r="AW83" s="611" t="n">
        <v>0</v>
      </c>
      <c r="AX83" s="504" t="n">
        <v>0</v>
      </c>
      <c r="AY83" s="504" t="n">
        <v>0</v>
      </c>
      <c r="AZ83" s="504" t="n">
        <v>0</v>
      </c>
      <c r="BA83" s="504" t="n">
        <v>0</v>
      </c>
      <c r="BB83" s="504" t="n">
        <v>0</v>
      </c>
      <c r="BC83" s="504" t="n">
        <v>0</v>
      </c>
      <c r="BD83" s="504" t="n">
        <v>0</v>
      </c>
      <c r="BE83" s="504" t="n">
        <v>0</v>
      </c>
      <c r="BF83" s="504" t="n">
        <v>0</v>
      </c>
      <c r="BG83" s="504" t="n">
        <v>0</v>
      </c>
      <c r="BH83" s="504" t="n">
        <v>0</v>
      </c>
      <c r="BI83" s="504" t="n">
        <v>0</v>
      </c>
      <c r="BJ83" s="504" t="n">
        <v>0</v>
      </c>
      <c r="BK83" s="504" t="n">
        <v>0</v>
      </c>
      <c r="BL83" s="504" t="n">
        <v>0</v>
      </c>
      <c r="BM83" s="504" t="n">
        <v>0</v>
      </c>
      <c r="BN83" s="504" t="n">
        <v>0</v>
      </c>
      <c r="BO83" s="504" t="n">
        <v>0</v>
      </c>
      <c r="BP83" s="504" t="n">
        <v>0</v>
      </c>
      <c r="BQ83" s="504" t="n">
        <v>0</v>
      </c>
      <c r="BR83" s="504" t="n">
        <v>0</v>
      </c>
      <c r="BS83" s="504" t="n">
        <v>0</v>
      </c>
      <c r="BT83" s="504" t="n">
        <v>0</v>
      </c>
      <c r="BU83" s="504" t="n">
        <v>0</v>
      </c>
      <c r="BV83" s="504" t="n">
        <v>0</v>
      </c>
      <c r="BW83" s="504" t="n">
        <v>0</v>
      </c>
      <c r="BX83" s="504" t="n">
        <v>0</v>
      </c>
      <c r="BY83" s="504" t="n">
        <v>0</v>
      </c>
      <c r="BZ83" s="504" t="n">
        <v>0</v>
      </c>
      <c r="CA83" s="504" t="n">
        <v>0</v>
      </c>
      <c r="CB83" s="504" t="n">
        <v>0</v>
      </c>
      <c r="CC83" s="504" t="n">
        <v>0</v>
      </c>
      <c r="CD83" s="504" t="n">
        <v>0</v>
      </c>
      <c r="CE83" s="504" t="n">
        <v>0</v>
      </c>
    </row>
    <row r="84" hidden="1" ht="9" customFormat="1" customHeight="1" s="505">
      <c r="A84" s="504" t="n">
        <v>0</v>
      </c>
      <c r="B84" s="504" t="n">
        <v>0</v>
      </c>
      <c r="C84" s="504" t="n">
        <v>0</v>
      </c>
      <c r="D84" s="504" t="n">
        <v>0</v>
      </c>
      <c r="E84" s="504" t="n">
        <v>0</v>
      </c>
      <c r="F84" s="504" t="n">
        <v>0</v>
      </c>
      <c r="G84" s="504" t="n">
        <v>0</v>
      </c>
      <c r="H84" s="504" t="n">
        <v>0</v>
      </c>
      <c r="I84" s="504" t="n">
        <v>0</v>
      </c>
      <c r="J84" s="504" t="n">
        <v>0</v>
      </c>
      <c r="K84" s="504" t="n">
        <v>0</v>
      </c>
      <c r="L84" s="504" t="n">
        <v>0</v>
      </c>
      <c r="M84" s="504" t="n">
        <v>0</v>
      </c>
      <c r="N84" s="504" t="n">
        <v>0</v>
      </c>
      <c r="O84" s="504" t="n">
        <v>0</v>
      </c>
      <c r="P84" s="625" t="n">
        <v>0</v>
      </c>
      <c r="Q84" s="625" t="n">
        <v>0</v>
      </c>
      <c r="R84" s="625" t="n">
        <v>0</v>
      </c>
      <c r="S84" s="625" t="n">
        <v>0</v>
      </c>
      <c r="T84" s="625" t="n">
        <v>0</v>
      </c>
      <c r="U84" s="625" t="n">
        <v>0</v>
      </c>
      <c r="V84" s="625" t="n">
        <v>0</v>
      </c>
      <c r="W84" s="625" t="n">
        <v>0</v>
      </c>
      <c r="X84" s="625" t="n">
        <v>0</v>
      </c>
      <c r="Y84" s="639" t="n">
        <v>0</v>
      </c>
      <c r="Z84" s="639" t="n">
        <v>0</v>
      </c>
      <c r="AA84" s="639" t="n">
        <v>0</v>
      </c>
      <c r="AB84" s="639" t="n">
        <v>0</v>
      </c>
      <c r="AC84" s="611" t="n">
        <v>0</v>
      </c>
      <c r="AD84" s="611" t="n">
        <v>0</v>
      </c>
      <c r="AE84" s="611" t="n">
        <v>0</v>
      </c>
      <c r="AF84" s="611" t="n">
        <v>0</v>
      </c>
      <c r="AG84" s="625" t="n">
        <v>0</v>
      </c>
      <c r="AH84" s="625" t="n">
        <v>0</v>
      </c>
      <c r="AI84" s="625" t="n">
        <v>0</v>
      </c>
      <c r="AJ84" s="625" t="n">
        <v>0</v>
      </c>
      <c r="AK84" s="625" t="n">
        <v>0</v>
      </c>
      <c r="AL84" s="625" t="n">
        <v>0</v>
      </c>
      <c r="AM84" s="625" t="n">
        <v>0</v>
      </c>
      <c r="AN84" s="625" t="n">
        <v>0</v>
      </c>
      <c r="AO84" s="625" t="n">
        <v>0</v>
      </c>
      <c r="AP84" s="639" t="n">
        <v>0</v>
      </c>
      <c r="AQ84" s="639" t="n">
        <v>0</v>
      </c>
      <c r="AR84" s="639" t="n">
        <v>0</v>
      </c>
      <c r="AS84" s="639" t="n">
        <v>0</v>
      </c>
      <c r="AT84" s="611" t="n">
        <v>0</v>
      </c>
      <c r="AU84" s="611" t="n">
        <v>0</v>
      </c>
      <c r="AV84" s="611" t="n">
        <v>0</v>
      </c>
      <c r="AW84" s="611" t="n">
        <v>0</v>
      </c>
      <c r="AX84" s="504" t="n">
        <v>0</v>
      </c>
      <c r="AY84" s="504" t="n">
        <v>0</v>
      </c>
      <c r="AZ84" s="504" t="n">
        <v>0</v>
      </c>
      <c r="BA84" s="504" t="n">
        <v>0</v>
      </c>
      <c r="BB84" s="504" t="n">
        <v>0</v>
      </c>
      <c r="BC84" s="504" t="n">
        <v>0</v>
      </c>
      <c r="BD84" s="504" t="n">
        <v>0</v>
      </c>
      <c r="BE84" s="504" t="n">
        <v>0</v>
      </c>
      <c r="BF84" s="504" t="n">
        <v>0</v>
      </c>
      <c r="BG84" s="504" t="n">
        <v>0</v>
      </c>
      <c r="BH84" s="504" t="n">
        <v>0</v>
      </c>
      <c r="BI84" s="504" t="n">
        <v>0</v>
      </c>
      <c r="BJ84" s="504" t="n">
        <v>0</v>
      </c>
      <c r="BK84" s="504" t="n">
        <v>0</v>
      </c>
      <c r="BL84" s="504" t="n">
        <v>0</v>
      </c>
      <c r="BM84" s="504" t="n">
        <v>0</v>
      </c>
      <c r="BN84" s="504" t="n">
        <v>0</v>
      </c>
      <c r="BO84" s="504" t="n">
        <v>0</v>
      </c>
      <c r="BP84" s="504" t="n">
        <v>0</v>
      </c>
      <c r="BQ84" s="504" t="n">
        <v>0</v>
      </c>
      <c r="BR84" s="504" t="n">
        <v>0</v>
      </c>
      <c r="BS84" s="504" t="n">
        <v>0</v>
      </c>
      <c r="BT84" s="504" t="n">
        <v>0</v>
      </c>
      <c r="BU84" s="504" t="n">
        <v>0</v>
      </c>
      <c r="BV84" s="504" t="n">
        <v>0</v>
      </c>
      <c r="BW84" s="504" t="n">
        <v>0</v>
      </c>
      <c r="BX84" s="504" t="n">
        <v>0</v>
      </c>
      <c r="BY84" s="504" t="n">
        <v>0</v>
      </c>
      <c r="BZ84" s="504" t="n">
        <v>0</v>
      </c>
      <c r="CA84" s="504" t="n">
        <v>0</v>
      </c>
      <c r="CB84" s="504" t="n">
        <v>0</v>
      </c>
      <c r="CC84" s="504" t="n">
        <v>0</v>
      </c>
      <c r="CD84" s="504" t="n">
        <v>0</v>
      </c>
      <c r="CE84" s="504" t="n">
        <v>0</v>
      </c>
    </row>
    <row r="85" hidden="1" ht="9" customFormat="1" customHeight="1" s="505">
      <c r="A85" s="504" t="n">
        <v>0</v>
      </c>
      <c r="B85" s="504" t="n">
        <v>0</v>
      </c>
      <c r="C85" s="504" t="n">
        <v>0</v>
      </c>
      <c r="D85" s="504" t="n">
        <v>0</v>
      </c>
      <c r="E85" s="504" t="n">
        <v>0</v>
      </c>
      <c r="F85" s="504" t="n">
        <v>0</v>
      </c>
      <c r="G85" s="504" t="n">
        <v>0</v>
      </c>
      <c r="H85" s="504" t="n">
        <v>0</v>
      </c>
      <c r="I85" s="504" t="n">
        <v>0</v>
      </c>
      <c r="J85" s="504" t="n">
        <v>0</v>
      </c>
      <c r="K85" s="504" t="n">
        <v>0</v>
      </c>
      <c r="L85" s="504" t="n">
        <v>0</v>
      </c>
      <c r="M85" s="504" t="n">
        <v>0</v>
      </c>
      <c r="N85" s="504" t="n">
        <v>0</v>
      </c>
      <c r="O85" s="504" t="n">
        <v>0</v>
      </c>
      <c r="P85" s="625" t="n">
        <v>0</v>
      </c>
      <c r="Q85" s="625" t="n">
        <v>0</v>
      </c>
      <c r="R85" s="625" t="n">
        <v>0</v>
      </c>
      <c r="S85" s="625" t="n">
        <v>0</v>
      </c>
      <c r="T85" s="625" t="n">
        <v>0</v>
      </c>
      <c r="U85" s="625" t="n">
        <v>0</v>
      </c>
      <c r="V85" s="625" t="n">
        <v>0</v>
      </c>
      <c r="W85" s="625" t="n">
        <v>0</v>
      </c>
      <c r="X85" s="625" t="n">
        <v>0</v>
      </c>
      <c r="Y85" s="639" t="n">
        <v>0</v>
      </c>
      <c r="Z85" s="639" t="n">
        <v>0</v>
      </c>
      <c r="AA85" s="639" t="n">
        <v>0</v>
      </c>
      <c r="AB85" s="639" t="n">
        <v>0</v>
      </c>
      <c r="AC85" s="611" t="n">
        <v>0</v>
      </c>
      <c r="AD85" s="611" t="n">
        <v>0</v>
      </c>
      <c r="AE85" s="611" t="n">
        <v>0</v>
      </c>
      <c r="AF85" s="611" t="n">
        <v>0</v>
      </c>
      <c r="AG85" s="625" t="n">
        <v>0</v>
      </c>
      <c r="AH85" s="625" t="n">
        <v>0</v>
      </c>
      <c r="AI85" s="625" t="n">
        <v>0</v>
      </c>
      <c r="AJ85" s="625" t="n">
        <v>0</v>
      </c>
      <c r="AK85" s="625" t="n">
        <v>0</v>
      </c>
      <c r="AL85" s="625" t="n">
        <v>0</v>
      </c>
      <c r="AM85" s="625" t="n">
        <v>0</v>
      </c>
      <c r="AN85" s="625" t="n">
        <v>0</v>
      </c>
      <c r="AO85" s="625" t="n">
        <v>0</v>
      </c>
      <c r="AP85" s="639" t="n">
        <v>0</v>
      </c>
      <c r="AQ85" s="639" t="n">
        <v>0</v>
      </c>
      <c r="AR85" s="639" t="n">
        <v>0</v>
      </c>
      <c r="AS85" s="639" t="n">
        <v>0</v>
      </c>
      <c r="AT85" s="611" t="n">
        <v>0</v>
      </c>
      <c r="AU85" s="611" t="n">
        <v>0</v>
      </c>
      <c r="AV85" s="611" t="n">
        <v>0</v>
      </c>
      <c r="AW85" s="611" t="n">
        <v>0</v>
      </c>
      <c r="AX85" s="504" t="n">
        <v>0</v>
      </c>
      <c r="AY85" s="504" t="n">
        <v>0</v>
      </c>
      <c r="AZ85" s="504" t="n">
        <v>0</v>
      </c>
      <c r="BA85" s="504" t="n">
        <v>0</v>
      </c>
      <c r="BB85" s="504" t="n">
        <v>0</v>
      </c>
      <c r="BC85" s="504" t="n">
        <v>0</v>
      </c>
      <c r="BD85" s="504" t="n">
        <v>0</v>
      </c>
      <c r="BE85" s="504" t="n">
        <v>0</v>
      </c>
      <c r="BF85" s="504" t="n">
        <v>0</v>
      </c>
      <c r="BG85" s="504" t="n">
        <v>0</v>
      </c>
      <c r="BH85" s="504" t="n">
        <v>0</v>
      </c>
      <c r="BI85" s="504" t="n">
        <v>0</v>
      </c>
      <c r="BJ85" s="504" t="n">
        <v>0</v>
      </c>
      <c r="BK85" s="504" t="n">
        <v>0</v>
      </c>
      <c r="BL85" s="504" t="n">
        <v>0</v>
      </c>
      <c r="BM85" s="504" t="n">
        <v>0</v>
      </c>
      <c r="BN85" s="504" t="n">
        <v>0</v>
      </c>
      <c r="BO85" s="504" t="n">
        <v>0</v>
      </c>
      <c r="BP85" s="504" t="n">
        <v>0</v>
      </c>
      <c r="BQ85" s="504" t="n">
        <v>0</v>
      </c>
      <c r="BR85" s="504" t="n">
        <v>0</v>
      </c>
      <c r="BS85" s="504" t="n">
        <v>0</v>
      </c>
      <c r="BT85" s="504" t="n">
        <v>0</v>
      </c>
      <c r="BU85" s="504" t="n">
        <v>0</v>
      </c>
      <c r="BV85" s="504" t="n">
        <v>0</v>
      </c>
      <c r="BW85" s="504" t="n">
        <v>0</v>
      </c>
      <c r="BX85" s="504" t="n">
        <v>0</v>
      </c>
      <c r="BY85" s="504" t="n">
        <v>0</v>
      </c>
      <c r="BZ85" s="504" t="n">
        <v>0</v>
      </c>
      <c r="CA85" s="504" t="n">
        <v>0</v>
      </c>
      <c r="CB85" s="504" t="n">
        <v>0</v>
      </c>
      <c r="CC85" s="504" t="n">
        <v>0</v>
      </c>
      <c r="CD85" s="504" t="n">
        <v>0</v>
      </c>
      <c r="CE85" s="504" t="n">
        <v>0</v>
      </c>
    </row>
    <row r="86" hidden="1" ht="9" customFormat="1" customHeight="1" s="505">
      <c r="A86" s="504" t="n">
        <v>0</v>
      </c>
      <c r="B86" s="504" t="n">
        <v>0</v>
      </c>
      <c r="C86" s="504" t="n">
        <v>0</v>
      </c>
      <c r="D86" s="504" t="n">
        <v>0</v>
      </c>
      <c r="E86" s="504" t="n">
        <v>0</v>
      </c>
      <c r="F86" s="504" t="n">
        <v>0</v>
      </c>
      <c r="G86" s="504" t="n">
        <v>0</v>
      </c>
      <c r="H86" s="504" t="n">
        <v>0</v>
      </c>
      <c r="I86" s="504" t="n">
        <v>0</v>
      </c>
      <c r="J86" s="504" t="n">
        <v>0</v>
      </c>
      <c r="K86" s="504" t="n">
        <v>0</v>
      </c>
      <c r="L86" s="504" t="n">
        <v>0</v>
      </c>
      <c r="M86" s="504" t="n">
        <v>0</v>
      </c>
      <c r="N86" s="504" t="n">
        <v>0</v>
      </c>
      <c r="O86" s="504" t="n">
        <v>0</v>
      </c>
      <c r="P86" s="625" t="n">
        <v>0</v>
      </c>
      <c r="Q86" s="625" t="n">
        <v>0</v>
      </c>
      <c r="R86" s="625" t="n">
        <v>0</v>
      </c>
      <c r="S86" s="625" t="n">
        <v>0</v>
      </c>
      <c r="T86" s="625" t="n">
        <v>0</v>
      </c>
      <c r="U86" s="625" t="n">
        <v>0</v>
      </c>
      <c r="V86" s="625" t="n">
        <v>0</v>
      </c>
      <c r="W86" s="625" t="n">
        <v>0</v>
      </c>
      <c r="X86" s="625" t="n">
        <v>0</v>
      </c>
      <c r="Y86" s="639" t="n">
        <v>0</v>
      </c>
      <c r="Z86" s="639" t="n">
        <v>0</v>
      </c>
      <c r="AA86" s="639" t="n">
        <v>0</v>
      </c>
      <c r="AB86" s="639" t="n">
        <v>0</v>
      </c>
      <c r="AC86" s="611" t="n">
        <v>0</v>
      </c>
      <c r="AD86" s="611" t="n">
        <v>0</v>
      </c>
      <c r="AE86" s="611" t="n">
        <v>0</v>
      </c>
      <c r="AF86" s="611" t="n">
        <v>0</v>
      </c>
      <c r="AG86" s="625" t="n">
        <v>0</v>
      </c>
      <c r="AH86" s="625" t="n">
        <v>0</v>
      </c>
      <c r="AI86" s="625" t="n">
        <v>0</v>
      </c>
      <c r="AJ86" s="625" t="n">
        <v>0</v>
      </c>
      <c r="AK86" s="625" t="n">
        <v>0</v>
      </c>
      <c r="AL86" s="625" t="n">
        <v>0</v>
      </c>
      <c r="AM86" s="625" t="n">
        <v>0</v>
      </c>
      <c r="AN86" s="625" t="n">
        <v>0</v>
      </c>
      <c r="AO86" s="625" t="n">
        <v>0</v>
      </c>
      <c r="AP86" s="639" t="n">
        <v>0</v>
      </c>
      <c r="AQ86" s="639" t="n">
        <v>0</v>
      </c>
      <c r="AR86" s="639" t="n">
        <v>0</v>
      </c>
      <c r="AS86" s="639" t="n">
        <v>0</v>
      </c>
      <c r="AT86" s="611" t="n">
        <v>0</v>
      </c>
      <c r="AU86" s="611" t="n">
        <v>0</v>
      </c>
      <c r="AV86" s="611" t="n">
        <v>0</v>
      </c>
      <c r="AW86" s="611" t="n">
        <v>0</v>
      </c>
      <c r="AX86" s="504" t="n">
        <v>0</v>
      </c>
      <c r="AY86" s="504" t="n">
        <v>0</v>
      </c>
      <c r="AZ86" s="504" t="n">
        <v>0</v>
      </c>
      <c r="BA86" s="504" t="n">
        <v>0</v>
      </c>
      <c r="BB86" s="504" t="n">
        <v>0</v>
      </c>
      <c r="BC86" s="504" t="n">
        <v>0</v>
      </c>
      <c r="BD86" s="504" t="n">
        <v>0</v>
      </c>
      <c r="BE86" s="504" t="n">
        <v>0</v>
      </c>
      <c r="BF86" s="504" t="n">
        <v>0</v>
      </c>
      <c r="BG86" s="504" t="n">
        <v>0</v>
      </c>
      <c r="BH86" s="504" t="n">
        <v>0</v>
      </c>
      <c r="BI86" s="504" t="n">
        <v>0</v>
      </c>
      <c r="BJ86" s="504" t="n">
        <v>0</v>
      </c>
      <c r="BK86" s="504" t="n">
        <v>0</v>
      </c>
      <c r="BL86" s="504" t="n">
        <v>0</v>
      </c>
      <c r="BM86" s="504" t="n">
        <v>0</v>
      </c>
      <c r="BN86" s="504" t="n">
        <v>0</v>
      </c>
      <c r="BO86" s="504" t="n">
        <v>0</v>
      </c>
      <c r="BP86" s="504" t="n">
        <v>0</v>
      </c>
      <c r="BQ86" s="504" t="n">
        <v>0</v>
      </c>
      <c r="BR86" s="504" t="n">
        <v>0</v>
      </c>
      <c r="BS86" s="504" t="n">
        <v>0</v>
      </c>
      <c r="BT86" s="504" t="n">
        <v>0</v>
      </c>
      <c r="BU86" s="504" t="n">
        <v>0</v>
      </c>
      <c r="BV86" s="504" t="n">
        <v>0</v>
      </c>
      <c r="BW86" s="504" t="n">
        <v>0</v>
      </c>
      <c r="BX86" s="504" t="n">
        <v>0</v>
      </c>
      <c r="BY86" s="504" t="n">
        <v>0</v>
      </c>
      <c r="BZ86" s="504" t="n">
        <v>0</v>
      </c>
      <c r="CA86" s="504" t="n">
        <v>0</v>
      </c>
      <c r="CB86" s="504" t="n">
        <v>0</v>
      </c>
      <c r="CC86" s="504" t="n">
        <v>0</v>
      </c>
      <c r="CD86" s="504" t="n">
        <v>0</v>
      </c>
      <c r="CE86" s="504" t="n">
        <v>0</v>
      </c>
    </row>
    <row r="87" hidden="1" ht="9" customFormat="1" customHeight="1" s="505">
      <c r="A87" s="504" t="n">
        <v>0</v>
      </c>
      <c r="B87" s="504" t="n">
        <v>0</v>
      </c>
      <c r="C87" s="504" t="n">
        <v>0</v>
      </c>
      <c r="D87" s="504" t="n">
        <v>0</v>
      </c>
      <c r="E87" s="504" t="n">
        <v>0</v>
      </c>
      <c r="F87" s="504" t="n">
        <v>0</v>
      </c>
      <c r="G87" s="504" t="n">
        <v>0</v>
      </c>
      <c r="H87" s="504" t="n">
        <v>0</v>
      </c>
      <c r="I87" s="504" t="n">
        <v>0</v>
      </c>
      <c r="J87" s="504" t="n">
        <v>0</v>
      </c>
      <c r="K87" s="504" t="n">
        <v>0</v>
      </c>
      <c r="L87" s="504" t="n">
        <v>0</v>
      </c>
      <c r="M87" s="504" t="n">
        <v>0</v>
      </c>
      <c r="N87" s="504" t="n">
        <v>0</v>
      </c>
      <c r="O87" s="504" t="n">
        <v>0</v>
      </c>
      <c r="P87" s="625" t="n">
        <v>0</v>
      </c>
      <c r="Q87" s="625" t="n">
        <v>0</v>
      </c>
      <c r="R87" s="625" t="n">
        <v>0</v>
      </c>
      <c r="S87" s="625" t="n">
        <v>0</v>
      </c>
      <c r="T87" s="625" t="n">
        <v>0</v>
      </c>
      <c r="U87" s="625" t="n">
        <v>0</v>
      </c>
      <c r="V87" s="625" t="n">
        <v>0</v>
      </c>
      <c r="W87" s="625" t="n">
        <v>0</v>
      </c>
      <c r="X87" s="625" t="n">
        <v>0</v>
      </c>
      <c r="Y87" s="639" t="n">
        <v>0</v>
      </c>
      <c r="Z87" s="639" t="n">
        <v>0</v>
      </c>
      <c r="AA87" s="639" t="n">
        <v>0</v>
      </c>
      <c r="AB87" s="639" t="n">
        <v>0</v>
      </c>
      <c r="AC87" s="611" t="n">
        <v>0</v>
      </c>
      <c r="AD87" s="611" t="n">
        <v>0</v>
      </c>
      <c r="AE87" s="611" t="n">
        <v>0</v>
      </c>
      <c r="AF87" s="611" t="n">
        <v>0</v>
      </c>
      <c r="AG87" s="625" t="n">
        <v>0</v>
      </c>
      <c r="AH87" s="625" t="n">
        <v>0</v>
      </c>
      <c r="AI87" s="625" t="n">
        <v>0</v>
      </c>
      <c r="AJ87" s="625" t="n">
        <v>0</v>
      </c>
      <c r="AK87" s="625" t="n">
        <v>0</v>
      </c>
      <c r="AL87" s="625" t="n">
        <v>0</v>
      </c>
      <c r="AM87" s="625" t="n">
        <v>0</v>
      </c>
      <c r="AN87" s="625" t="n">
        <v>0</v>
      </c>
      <c r="AO87" s="625" t="n">
        <v>0</v>
      </c>
      <c r="AP87" s="639" t="n">
        <v>0</v>
      </c>
      <c r="AQ87" s="639" t="n">
        <v>0</v>
      </c>
      <c r="AR87" s="639" t="n">
        <v>0</v>
      </c>
      <c r="AS87" s="639" t="n">
        <v>0</v>
      </c>
      <c r="AT87" s="611" t="n">
        <v>0</v>
      </c>
      <c r="AU87" s="611" t="n">
        <v>0</v>
      </c>
      <c r="AV87" s="611" t="n">
        <v>0</v>
      </c>
      <c r="AW87" s="611" t="n">
        <v>0</v>
      </c>
      <c r="AX87" s="504" t="n">
        <v>0</v>
      </c>
      <c r="AY87" s="504" t="n">
        <v>0</v>
      </c>
      <c r="AZ87" s="504" t="n">
        <v>0</v>
      </c>
      <c r="BA87" s="504" t="n">
        <v>0</v>
      </c>
      <c r="BB87" s="504" t="n">
        <v>0</v>
      </c>
      <c r="BC87" s="504" t="n">
        <v>0</v>
      </c>
      <c r="BD87" s="504" t="n">
        <v>0</v>
      </c>
      <c r="BE87" s="504" t="n">
        <v>0</v>
      </c>
      <c r="BF87" s="504" t="n">
        <v>0</v>
      </c>
      <c r="BG87" s="504" t="n">
        <v>0</v>
      </c>
      <c r="BH87" s="504" t="n">
        <v>0</v>
      </c>
      <c r="BI87" s="504" t="n">
        <v>0</v>
      </c>
      <c r="BJ87" s="504" t="n">
        <v>0</v>
      </c>
      <c r="BK87" s="504" t="n">
        <v>0</v>
      </c>
      <c r="BL87" s="504" t="n">
        <v>0</v>
      </c>
      <c r="BM87" s="504" t="n">
        <v>0</v>
      </c>
      <c r="BN87" s="504" t="n">
        <v>0</v>
      </c>
      <c r="BO87" s="504" t="n">
        <v>0</v>
      </c>
      <c r="BP87" s="504" t="n">
        <v>0</v>
      </c>
      <c r="BQ87" s="504" t="n">
        <v>0</v>
      </c>
      <c r="BR87" s="504" t="n">
        <v>0</v>
      </c>
      <c r="BS87" s="504" t="n">
        <v>0</v>
      </c>
      <c r="BT87" s="504" t="n">
        <v>0</v>
      </c>
      <c r="BU87" s="504" t="n">
        <v>0</v>
      </c>
      <c r="BV87" s="504" t="n">
        <v>0</v>
      </c>
      <c r="BW87" s="504" t="n">
        <v>0</v>
      </c>
      <c r="BX87" s="504" t="n">
        <v>0</v>
      </c>
      <c r="BY87" s="504" t="n">
        <v>0</v>
      </c>
      <c r="BZ87" s="504" t="n">
        <v>0</v>
      </c>
      <c r="CA87" s="504" t="n">
        <v>0</v>
      </c>
      <c r="CB87" s="504" t="n">
        <v>0</v>
      </c>
      <c r="CC87" s="504" t="n">
        <v>0</v>
      </c>
      <c r="CD87" s="504" t="n">
        <v>0</v>
      </c>
      <c r="CE87" s="504" t="n">
        <v>0</v>
      </c>
    </row>
    <row r="88" hidden="1" ht="9" customFormat="1" customHeight="1" s="505">
      <c r="A88" s="504" t="n">
        <v>0</v>
      </c>
      <c r="B88" s="504" t="n">
        <v>0</v>
      </c>
      <c r="C88" s="504" t="n">
        <v>0</v>
      </c>
      <c r="D88" s="504" t="n">
        <v>0</v>
      </c>
      <c r="E88" s="504" t="n">
        <v>0</v>
      </c>
      <c r="F88" s="504" t="n">
        <v>0</v>
      </c>
      <c r="G88" s="504" t="n">
        <v>0</v>
      </c>
      <c r="H88" s="504" t="n">
        <v>0</v>
      </c>
      <c r="I88" s="504" t="n">
        <v>0</v>
      </c>
      <c r="J88" s="504" t="n">
        <v>0</v>
      </c>
      <c r="K88" s="504" t="n">
        <v>0</v>
      </c>
      <c r="L88" s="504" t="n">
        <v>0</v>
      </c>
      <c r="M88" s="504" t="n">
        <v>0</v>
      </c>
      <c r="N88" s="504" t="n">
        <v>0</v>
      </c>
      <c r="O88" s="504" t="n">
        <v>0</v>
      </c>
      <c r="P88" s="625" t="n">
        <v>0</v>
      </c>
      <c r="Q88" s="625" t="n">
        <v>0</v>
      </c>
      <c r="R88" s="625" t="n">
        <v>0</v>
      </c>
      <c r="S88" s="625" t="n">
        <v>0</v>
      </c>
      <c r="T88" s="625" t="n">
        <v>0</v>
      </c>
      <c r="U88" s="625" t="n">
        <v>0</v>
      </c>
      <c r="V88" s="625" t="n">
        <v>0</v>
      </c>
      <c r="W88" s="625" t="n">
        <v>0</v>
      </c>
      <c r="X88" s="625" t="n">
        <v>0</v>
      </c>
      <c r="Y88" s="639" t="n">
        <v>0</v>
      </c>
      <c r="Z88" s="639" t="n">
        <v>0</v>
      </c>
      <c r="AA88" s="639" t="n">
        <v>0</v>
      </c>
      <c r="AB88" s="639" t="n">
        <v>0</v>
      </c>
      <c r="AC88" s="611" t="n">
        <v>0</v>
      </c>
      <c r="AD88" s="611" t="n">
        <v>0</v>
      </c>
      <c r="AE88" s="611" t="n">
        <v>0</v>
      </c>
      <c r="AF88" s="611" t="n">
        <v>0</v>
      </c>
      <c r="AG88" s="625" t="n">
        <v>0</v>
      </c>
      <c r="AH88" s="625" t="n">
        <v>0</v>
      </c>
      <c r="AI88" s="625" t="n">
        <v>0</v>
      </c>
      <c r="AJ88" s="625" t="n">
        <v>0</v>
      </c>
      <c r="AK88" s="625" t="n">
        <v>0</v>
      </c>
      <c r="AL88" s="625" t="n">
        <v>0</v>
      </c>
      <c r="AM88" s="625" t="n">
        <v>0</v>
      </c>
      <c r="AN88" s="625" t="n">
        <v>0</v>
      </c>
      <c r="AO88" s="625" t="n">
        <v>0</v>
      </c>
      <c r="AP88" s="639" t="n">
        <v>0</v>
      </c>
      <c r="AQ88" s="639" t="n">
        <v>0</v>
      </c>
      <c r="AR88" s="639" t="n">
        <v>0</v>
      </c>
      <c r="AS88" s="639" t="n">
        <v>0</v>
      </c>
      <c r="AT88" s="611" t="n">
        <v>0</v>
      </c>
      <c r="AU88" s="611" t="n">
        <v>0</v>
      </c>
      <c r="AV88" s="611" t="n">
        <v>0</v>
      </c>
      <c r="AW88" s="611" t="n">
        <v>0</v>
      </c>
      <c r="AX88" s="504" t="n">
        <v>0</v>
      </c>
      <c r="AY88" s="504" t="n">
        <v>0</v>
      </c>
      <c r="AZ88" s="504" t="n">
        <v>0</v>
      </c>
      <c r="BA88" s="504" t="n">
        <v>0</v>
      </c>
      <c r="BB88" s="504" t="n">
        <v>0</v>
      </c>
      <c r="BC88" s="504" t="n">
        <v>0</v>
      </c>
      <c r="BD88" s="504" t="n">
        <v>0</v>
      </c>
      <c r="BE88" s="504" t="n">
        <v>0</v>
      </c>
      <c r="BF88" s="504" t="n">
        <v>0</v>
      </c>
      <c r="BG88" s="504" t="n">
        <v>0</v>
      </c>
      <c r="BH88" s="504" t="n">
        <v>0</v>
      </c>
      <c r="BI88" s="504" t="n">
        <v>0</v>
      </c>
      <c r="BJ88" s="504" t="n">
        <v>0</v>
      </c>
      <c r="BK88" s="504" t="n">
        <v>0</v>
      </c>
      <c r="BL88" s="504" t="n">
        <v>0</v>
      </c>
      <c r="BM88" s="504" t="n">
        <v>0</v>
      </c>
      <c r="BN88" s="504" t="n">
        <v>0</v>
      </c>
      <c r="BO88" s="504" t="n">
        <v>0</v>
      </c>
      <c r="BP88" s="504" t="n">
        <v>0</v>
      </c>
      <c r="BQ88" s="504" t="n">
        <v>0</v>
      </c>
      <c r="BR88" s="504" t="n">
        <v>0</v>
      </c>
      <c r="BS88" s="504" t="n">
        <v>0</v>
      </c>
      <c r="BT88" s="504" t="n">
        <v>0</v>
      </c>
      <c r="BU88" s="504" t="n">
        <v>0</v>
      </c>
      <c r="BV88" s="504" t="n">
        <v>0</v>
      </c>
      <c r="BW88" s="504" t="n">
        <v>0</v>
      </c>
      <c r="BX88" s="504" t="n">
        <v>0</v>
      </c>
      <c r="BY88" s="504" t="n">
        <v>0</v>
      </c>
      <c r="BZ88" s="504" t="n">
        <v>0</v>
      </c>
      <c r="CA88" s="504" t="n">
        <v>0</v>
      </c>
      <c r="CB88" s="504" t="n">
        <v>0</v>
      </c>
      <c r="CC88" s="504" t="n">
        <v>0</v>
      </c>
      <c r="CD88" s="504" t="n">
        <v>0</v>
      </c>
      <c r="CE88" s="504" t="n">
        <v>0</v>
      </c>
    </row>
    <row r="89" hidden="1" ht="9" customFormat="1" customHeight="1" s="505">
      <c r="A89" s="504" t="n">
        <v>0</v>
      </c>
      <c r="B89" s="504" t="n">
        <v>0</v>
      </c>
      <c r="C89" s="504" t="n">
        <v>0</v>
      </c>
      <c r="D89" s="504" t="n">
        <v>0</v>
      </c>
      <c r="E89" s="504" t="n">
        <v>0</v>
      </c>
      <c r="F89" s="504" t="n">
        <v>0</v>
      </c>
      <c r="G89" s="504" t="n">
        <v>0</v>
      </c>
      <c r="H89" s="504" t="n">
        <v>0</v>
      </c>
      <c r="I89" s="504" t="n">
        <v>0</v>
      </c>
      <c r="J89" s="504" t="n">
        <v>0</v>
      </c>
      <c r="K89" s="504" t="n">
        <v>0</v>
      </c>
      <c r="L89" s="504" t="n">
        <v>0</v>
      </c>
      <c r="M89" s="504" t="n">
        <v>0</v>
      </c>
      <c r="N89" s="504" t="n">
        <v>0</v>
      </c>
      <c r="O89" s="504" t="n">
        <v>0</v>
      </c>
      <c r="P89" s="625" t="n">
        <v>0</v>
      </c>
      <c r="Q89" s="625" t="n">
        <v>0</v>
      </c>
      <c r="R89" s="625" t="n">
        <v>0</v>
      </c>
      <c r="S89" s="625" t="n">
        <v>0</v>
      </c>
      <c r="T89" s="625" t="n">
        <v>0</v>
      </c>
      <c r="U89" s="625" t="n">
        <v>0</v>
      </c>
      <c r="V89" s="625" t="n">
        <v>0</v>
      </c>
      <c r="W89" s="625" t="n">
        <v>0</v>
      </c>
      <c r="X89" s="625" t="n">
        <v>0</v>
      </c>
      <c r="Y89" s="639" t="n">
        <v>0</v>
      </c>
      <c r="Z89" s="639" t="n">
        <v>0</v>
      </c>
      <c r="AA89" s="639" t="n">
        <v>0</v>
      </c>
      <c r="AB89" s="639" t="n">
        <v>0</v>
      </c>
      <c r="AC89" s="611" t="n">
        <v>0</v>
      </c>
      <c r="AD89" s="611" t="n">
        <v>0</v>
      </c>
      <c r="AE89" s="611" t="n">
        <v>0</v>
      </c>
      <c r="AF89" s="611" t="n">
        <v>0</v>
      </c>
      <c r="AG89" s="625" t="n">
        <v>0</v>
      </c>
      <c r="AH89" s="625" t="n">
        <v>0</v>
      </c>
      <c r="AI89" s="625" t="n">
        <v>0</v>
      </c>
      <c r="AJ89" s="625" t="n">
        <v>0</v>
      </c>
      <c r="AK89" s="625" t="n">
        <v>0</v>
      </c>
      <c r="AL89" s="625" t="n">
        <v>0</v>
      </c>
      <c r="AM89" s="625" t="n">
        <v>0</v>
      </c>
      <c r="AN89" s="625" t="n">
        <v>0</v>
      </c>
      <c r="AO89" s="625" t="n">
        <v>0</v>
      </c>
      <c r="AP89" s="639" t="n">
        <v>0</v>
      </c>
      <c r="AQ89" s="639" t="n">
        <v>0</v>
      </c>
      <c r="AR89" s="639" t="n">
        <v>0</v>
      </c>
      <c r="AS89" s="639" t="n">
        <v>0</v>
      </c>
      <c r="AT89" s="611" t="n">
        <v>0</v>
      </c>
      <c r="AU89" s="611" t="n">
        <v>0</v>
      </c>
      <c r="AV89" s="611" t="n">
        <v>0</v>
      </c>
      <c r="AW89" s="611" t="n">
        <v>0</v>
      </c>
      <c r="AX89" s="504" t="n">
        <v>0</v>
      </c>
      <c r="AY89" s="504" t="n">
        <v>0</v>
      </c>
      <c r="AZ89" s="504" t="n">
        <v>0</v>
      </c>
      <c r="BA89" s="504" t="n">
        <v>0</v>
      </c>
      <c r="BB89" s="504" t="n">
        <v>0</v>
      </c>
      <c r="BC89" s="504" t="n">
        <v>0</v>
      </c>
      <c r="BD89" s="504" t="n">
        <v>0</v>
      </c>
      <c r="BE89" s="504" t="n">
        <v>0</v>
      </c>
      <c r="BF89" s="504" t="n">
        <v>0</v>
      </c>
      <c r="BG89" s="504" t="n">
        <v>0</v>
      </c>
      <c r="BH89" s="504" t="n">
        <v>0</v>
      </c>
      <c r="BI89" s="504" t="n">
        <v>0</v>
      </c>
      <c r="BJ89" s="504" t="n">
        <v>0</v>
      </c>
      <c r="BK89" s="504" t="n">
        <v>0</v>
      </c>
      <c r="BL89" s="504" t="n">
        <v>0</v>
      </c>
      <c r="BM89" s="504" t="n">
        <v>0</v>
      </c>
      <c r="BN89" s="504" t="n">
        <v>0</v>
      </c>
      <c r="BO89" s="504" t="n">
        <v>0</v>
      </c>
      <c r="BP89" s="504" t="n">
        <v>0</v>
      </c>
      <c r="BQ89" s="504" t="n">
        <v>0</v>
      </c>
      <c r="BR89" s="504" t="n">
        <v>0</v>
      </c>
      <c r="BS89" s="504" t="n">
        <v>0</v>
      </c>
      <c r="BT89" s="504" t="n">
        <v>0</v>
      </c>
      <c r="BU89" s="504" t="n">
        <v>0</v>
      </c>
      <c r="BV89" s="504" t="n">
        <v>0</v>
      </c>
      <c r="BW89" s="504" t="n">
        <v>0</v>
      </c>
      <c r="BX89" s="504" t="n">
        <v>0</v>
      </c>
      <c r="BY89" s="504" t="n">
        <v>0</v>
      </c>
      <c r="BZ89" s="504" t="n">
        <v>0</v>
      </c>
      <c r="CA89" s="504" t="n">
        <v>0</v>
      </c>
      <c r="CB89" s="504" t="n">
        <v>0</v>
      </c>
      <c r="CC89" s="504" t="n">
        <v>0</v>
      </c>
      <c r="CD89" s="504" t="n">
        <v>0</v>
      </c>
      <c r="CE89" s="504" t="n">
        <v>0</v>
      </c>
    </row>
    <row r="90" hidden="1" ht="9" customFormat="1" customHeight="1" s="505">
      <c r="A90" s="504" t="n">
        <v>0</v>
      </c>
      <c r="B90" s="504" t="n">
        <v>0</v>
      </c>
      <c r="C90" s="504" t="n">
        <v>0</v>
      </c>
      <c r="D90" s="504" t="n">
        <v>0</v>
      </c>
      <c r="E90" s="504" t="n">
        <v>0</v>
      </c>
      <c r="F90" s="504" t="n">
        <v>0</v>
      </c>
      <c r="G90" s="504" t="n">
        <v>0</v>
      </c>
      <c r="H90" s="504" t="n">
        <v>0</v>
      </c>
      <c r="I90" s="504" t="n">
        <v>0</v>
      </c>
      <c r="J90" s="504" t="n">
        <v>0</v>
      </c>
      <c r="K90" s="504" t="n">
        <v>0</v>
      </c>
      <c r="L90" s="504" t="n">
        <v>0</v>
      </c>
      <c r="M90" s="504" t="n">
        <v>0</v>
      </c>
      <c r="N90" s="504" t="n">
        <v>0</v>
      </c>
      <c r="O90" s="504" t="n">
        <v>0</v>
      </c>
      <c r="P90" s="625" t="n">
        <v>0</v>
      </c>
      <c r="Q90" s="625" t="n">
        <v>0</v>
      </c>
      <c r="R90" s="625" t="n">
        <v>0</v>
      </c>
      <c r="S90" s="625" t="n">
        <v>0</v>
      </c>
      <c r="T90" s="625" t="n">
        <v>0</v>
      </c>
      <c r="U90" s="625" t="n">
        <v>0</v>
      </c>
      <c r="V90" s="625" t="n">
        <v>0</v>
      </c>
      <c r="W90" s="625" t="n">
        <v>0</v>
      </c>
      <c r="X90" s="625" t="n">
        <v>0</v>
      </c>
      <c r="Y90" s="639" t="n">
        <v>0</v>
      </c>
      <c r="Z90" s="639" t="n">
        <v>0</v>
      </c>
      <c r="AA90" s="639" t="n">
        <v>0</v>
      </c>
      <c r="AB90" s="639" t="n">
        <v>0</v>
      </c>
      <c r="AC90" s="611" t="n">
        <v>0</v>
      </c>
      <c r="AD90" s="611" t="n">
        <v>0</v>
      </c>
      <c r="AE90" s="611" t="n">
        <v>0</v>
      </c>
      <c r="AF90" s="611" t="n">
        <v>0</v>
      </c>
      <c r="AG90" s="625" t="n">
        <v>0</v>
      </c>
      <c r="AH90" s="625" t="n">
        <v>0</v>
      </c>
      <c r="AI90" s="625" t="n">
        <v>0</v>
      </c>
      <c r="AJ90" s="625" t="n">
        <v>0</v>
      </c>
      <c r="AK90" s="625" t="n">
        <v>0</v>
      </c>
      <c r="AL90" s="625" t="n">
        <v>0</v>
      </c>
      <c r="AM90" s="625" t="n">
        <v>0</v>
      </c>
      <c r="AN90" s="625" t="n">
        <v>0</v>
      </c>
      <c r="AO90" s="625" t="n">
        <v>0</v>
      </c>
      <c r="AP90" s="639" t="n">
        <v>0</v>
      </c>
      <c r="AQ90" s="639" t="n">
        <v>0</v>
      </c>
      <c r="AR90" s="639" t="n">
        <v>0</v>
      </c>
      <c r="AS90" s="639" t="n">
        <v>0</v>
      </c>
      <c r="AT90" s="611" t="n">
        <v>0</v>
      </c>
      <c r="AU90" s="611" t="n">
        <v>0</v>
      </c>
      <c r="AV90" s="611" t="n">
        <v>0</v>
      </c>
      <c r="AW90" s="611" t="n">
        <v>0</v>
      </c>
      <c r="AX90" s="504" t="n">
        <v>0</v>
      </c>
      <c r="AY90" s="504" t="n">
        <v>0</v>
      </c>
      <c r="AZ90" s="504" t="n">
        <v>0</v>
      </c>
      <c r="BA90" s="504" t="n">
        <v>0</v>
      </c>
      <c r="BB90" s="504" t="n">
        <v>0</v>
      </c>
      <c r="BC90" s="504" t="n">
        <v>0</v>
      </c>
      <c r="BD90" s="504" t="n">
        <v>0</v>
      </c>
      <c r="BE90" s="504" t="n">
        <v>0</v>
      </c>
      <c r="BF90" s="504" t="n">
        <v>0</v>
      </c>
      <c r="BG90" s="504" t="n">
        <v>0</v>
      </c>
      <c r="BH90" s="504" t="n">
        <v>0</v>
      </c>
      <c r="BI90" s="504" t="n">
        <v>0</v>
      </c>
      <c r="BJ90" s="504" t="n">
        <v>0</v>
      </c>
      <c r="BK90" s="504" t="n">
        <v>0</v>
      </c>
      <c r="BL90" s="504" t="n">
        <v>0</v>
      </c>
      <c r="BM90" s="504" t="n">
        <v>0</v>
      </c>
      <c r="BN90" s="504" t="n">
        <v>0</v>
      </c>
      <c r="BO90" s="504" t="n">
        <v>0</v>
      </c>
      <c r="BP90" s="504" t="n">
        <v>0</v>
      </c>
      <c r="BQ90" s="504" t="n">
        <v>0</v>
      </c>
      <c r="BR90" s="504" t="n">
        <v>0</v>
      </c>
      <c r="BS90" s="504" t="n">
        <v>0</v>
      </c>
      <c r="BT90" s="504" t="n">
        <v>0</v>
      </c>
      <c r="BU90" s="504" t="n">
        <v>0</v>
      </c>
      <c r="BV90" s="504" t="n">
        <v>0</v>
      </c>
      <c r="BW90" s="504" t="n">
        <v>0</v>
      </c>
      <c r="BX90" s="504" t="n">
        <v>0</v>
      </c>
      <c r="BY90" s="504" t="n">
        <v>0</v>
      </c>
      <c r="BZ90" s="504" t="n">
        <v>0</v>
      </c>
      <c r="CA90" s="504" t="n">
        <v>0</v>
      </c>
      <c r="CB90" s="504" t="n">
        <v>0</v>
      </c>
      <c r="CC90" s="504" t="n">
        <v>0</v>
      </c>
      <c r="CD90" s="504" t="n">
        <v>0</v>
      </c>
      <c r="CE90" s="504" t="n">
        <v>0</v>
      </c>
    </row>
    <row r="91" hidden="1" ht="9" customFormat="1" customHeight="1" s="505">
      <c r="A91" s="504" t="n">
        <v>0</v>
      </c>
      <c r="B91" s="504" t="n">
        <v>0</v>
      </c>
      <c r="C91" s="504" t="n">
        <v>0</v>
      </c>
      <c r="D91" s="504" t="n">
        <v>0</v>
      </c>
      <c r="E91" s="504" t="n">
        <v>0</v>
      </c>
      <c r="F91" s="504" t="n">
        <v>0</v>
      </c>
      <c r="G91" s="504" t="n">
        <v>0</v>
      </c>
      <c r="H91" s="504" t="n">
        <v>0</v>
      </c>
      <c r="I91" s="504" t="n">
        <v>0</v>
      </c>
      <c r="J91" s="504" t="n">
        <v>0</v>
      </c>
      <c r="K91" s="504" t="n">
        <v>0</v>
      </c>
      <c r="L91" s="504" t="n">
        <v>0</v>
      </c>
      <c r="M91" s="504" t="n">
        <v>0</v>
      </c>
      <c r="N91" s="504" t="n">
        <v>0</v>
      </c>
      <c r="O91" s="504" t="n">
        <v>0</v>
      </c>
      <c r="P91" s="625" t="n">
        <v>0</v>
      </c>
      <c r="Q91" s="625" t="n">
        <v>0</v>
      </c>
      <c r="R91" s="625" t="n">
        <v>0</v>
      </c>
      <c r="S91" s="625" t="n">
        <v>0</v>
      </c>
      <c r="T91" s="625" t="n">
        <v>0</v>
      </c>
      <c r="U91" s="625" t="n">
        <v>0</v>
      </c>
      <c r="V91" s="625" t="n">
        <v>0</v>
      </c>
      <c r="W91" s="625" t="n">
        <v>0</v>
      </c>
      <c r="X91" s="625" t="n">
        <v>0</v>
      </c>
      <c r="Y91" s="639" t="n">
        <v>0</v>
      </c>
      <c r="Z91" s="639" t="n">
        <v>0</v>
      </c>
      <c r="AA91" s="639" t="n">
        <v>0</v>
      </c>
      <c r="AB91" s="639" t="n">
        <v>0</v>
      </c>
      <c r="AC91" s="611" t="n">
        <v>0</v>
      </c>
      <c r="AD91" s="611" t="n">
        <v>0</v>
      </c>
      <c r="AE91" s="611" t="n">
        <v>0</v>
      </c>
      <c r="AF91" s="611" t="n">
        <v>0</v>
      </c>
      <c r="AG91" s="625" t="n">
        <v>0</v>
      </c>
      <c r="AH91" s="625" t="n">
        <v>0</v>
      </c>
      <c r="AI91" s="625" t="n">
        <v>0</v>
      </c>
      <c r="AJ91" s="625" t="n">
        <v>0</v>
      </c>
      <c r="AK91" s="625" t="n">
        <v>0</v>
      </c>
      <c r="AL91" s="625" t="n">
        <v>0</v>
      </c>
      <c r="AM91" s="625" t="n">
        <v>0</v>
      </c>
      <c r="AN91" s="625" t="n">
        <v>0</v>
      </c>
      <c r="AO91" s="625" t="n">
        <v>0</v>
      </c>
      <c r="AP91" s="639" t="n">
        <v>0</v>
      </c>
      <c r="AQ91" s="639" t="n">
        <v>0</v>
      </c>
      <c r="AR91" s="639" t="n">
        <v>0</v>
      </c>
      <c r="AS91" s="639" t="n">
        <v>0</v>
      </c>
      <c r="AT91" s="611" t="n">
        <v>0</v>
      </c>
      <c r="AU91" s="611" t="n">
        <v>0</v>
      </c>
      <c r="AV91" s="611" t="n">
        <v>0</v>
      </c>
      <c r="AW91" s="611" t="n">
        <v>0</v>
      </c>
      <c r="AX91" s="504" t="n">
        <v>0</v>
      </c>
      <c r="AY91" s="504" t="n">
        <v>0</v>
      </c>
      <c r="AZ91" s="504" t="n">
        <v>0</v>
      </c>
      <c r="BA91" s="504" t="n">
        <v>0</v>
      </c>
      <c r="BB91" s="504" t="n">
        <v>0</v>
      </c>
      <c r="BC91" s="504" t="n">
        <v>0</v>
      </c>
      <c r="BD91" s="504" t="n">
        <v>0</v>
      </c>
      <c r="BE91" s="504" t="n">
        <v>0</v>
      </c>
      <c r="BF91" s="504" t="n">
        <v>0</v>
      </c>
      <c r="BG91" s="504" t="n">
        <v>0</v>
      </c>
      <c r="BH91" s="504" t="n">
        <v>0</v>
      </c>
      <c r="BI91" s="504" t="n">
        <v>0</v>
      </c>
      <c r="BJ91" s="504" t="n">
        <v>0</v>
      </c>
      <c r="BK91" s="504" t="n">
        <v>0</v>
      </c>
      <c r="BL91" s="504" t="n">
        <v>0</v>
      </c>
      <c r="BM91" s="504" t="n">
        <v>0</v>
      </c>
      <c r="BN91" s="504" t="n">
        <v>0</v>
      </c>
      <c r="BO91" s="504" t="n">
        <v>0</v>
      </c>
      <c r="BP91" s="504" t="n">
        <v>0</v>
      </c>
      <c r="BQ91" s="504" t="n">
        <v>0</v>
      </c>
      <c r="BR91" s="504" t="n">
        <v>0</v>
      </c>
      <c r="BS91" s="504" t="n">
        <v>0</v>
      </c>
      <c r="BT91" s="504" t="n">
        <v>0</v>
      </c>
      <c r="BU91" s="504" t="n">
        <v>0</v>
      </c>
      <c r="BV91" s="504" t="n">
        <v>0</v>
      </c>
      <c r="BW91" s="504" t="n">
        <v>0</v>
      </c>
      <c r="BX91" s="504" t="n">
        <v>0</v>
      </c>
      <c r="BY91" s="504" t="n">
        <v>0</v>
      </c>
      <c r="BZ91" s="504" t="n">
        <v>0</v>
      </c>
      <c r="CA91" s="504" t="n">
        <v>0</v>
      </c>
      <c r="CB91" s="504" t="n">
        <v>0</v>
      </c>
      <c r="CC91" s="504" t="n">
        <v>0</v>
      </c>
      <c r="CD91" s="504" t="n">
        <v>0</v>
      </c>
      <c r="CE91" s="504" t="n">
        <v>0</v>
      </c>
    </row>
    <row r="92" hidden="1" ht="9" customFormat="1" customHeight="1" s="505">
      <c r="A92" s="504" t="n">
        <v>0</v>
      </c>
      <c r="B92" s="504" t="n">
        <v>0</v>
      </c>
      <c r="C92" s="504" t="n">
        <v>0</v>
      </c>
      <c r="D92" s="504" t="n">
        <v>0</v>
      </c>
      <c r="E92" s="504" t="n">
        <v>0</v>
      </c>
      <c r="F92" s="504" t="n">
        <v>0</v>
      </c>
      <c r="G92" s="504" t="n">
        <v>0</v>
      </c>
      <c r="H92" s="504" t="n">
        <v>0</v>
      </c>
      <c r="I92" s="504" t="n">
        <v>0</v>
      </c>
      <c r="J92" s="504" t="n">
        <v>0</v>
      </c>
      <c r="K92" s="504" t="n">
        <v>0</v>
      </c>
      <c r="L92" s="504" t="n">
        <v>0</v>
      </c>
      <c r="M92" s="504" t="n">
        <v>0</v>
      </c>
      <c r="N92" s="504" t="n">
        <v>0</v>
      </c>
      <c r="O92" s="504" t="n">
        <v>0</v>
      </c>
      <c r="P92" s="625" t="n">
        <v>0</v>
      </c>
      <c r="Q92" s="625" t="n">
        <v>0</v>
      </c>
      <c r="R92" s="625" t="n">
        <v>0</v>
      </c>
      <c r="S92" s="625" t="n">
        <v>0</v>
      </c>
      <c r="T92" s="625" t="n">
        <v>0</v>
      </c>
      <c r="U92" s="625" t="n">
        <v>0</v>
      </c>
      <c r="V92" s="625" t="n">
        <v>0</v>
      </c>
      <c r="W92" s="625" t="n">
        <v>0</v>
      </c>
      <c r="X92" s="625" t="n">
        <v>0</v>
      </c>
      <c r="Y92" s="639" t="n">
        <v>0</v>
      </c>
      <c r="Z92" s="639" t="n">
        <v>0</v>
      </c>
      <c r="AA92" s="639" t="n">
        <v>0</v>
      </c>
      <c r="AB92" s="639" t="n">
        <v>0</v>
      </c>
      <c r="AC92" s="611" t="n">
        <v>0</v>
      </c>
      <c r="AD92" s="611" t="n">
        <v>0</v>
      </c>
      <c r="AE92" s="611" t="n">
        <v>0</v>
      </c>
      <c r="AF92" s="611" t="n">
        <v>0</v>
      </c>
      <c r="AG92" s="625" t="n">
        <v>0</v>
      </c>
      <c r="AH92" s="625" t="n">
        <v>0</v>
      </c>
      <c r="AI92" s="625" t="n">
        <v>0</v>
      </c>
      <c r="AJ92" s="625" t="n">
        <v>0</v>
      </c>
      <c r="AK92" s="625" t="n">
        <v>0</v>
      </c>
      <c r="AL92" s="625" t="n">
        <v>0</v>
      </c>
      <c r="AM92" s="625" t="n">
        <v>0</v>
      </c>
      <c r="AN92" s="625" t="n">
        <v>0</v>
      </c>
      <c r="AO92" s="625" t="n">
        <v>0</v>
      </c>
      <c r="AP92" s="639" t="n">
        <v>0</v>
      </c>
      <c r="AQ92" s="639" t="n">
        <v>0</v>
      </c>
      <c r="AR92" s="639" t="n">
        <v>0</v>
      </c>
      <c r="AS92" s="639" t="n">
        <v>0</v>
      </c>
      <c r="AT92" s="611" t="n">
        <v>0</v>
      </c>
      <c r="AU92" s="611" t="n">
        <v>0</v>
      </c>
      <c r="AV92" s="611" t="n">
        <v>0</v>
      </c>
      <c r="AW92" s="611" t="n">
        <v>0</v>
      </c>
      <c r="AX92" s="504" t="n">
        <v>0</v>
      </c>
      <c r="AY92" s="504" t="n">
        <v>0</v>
      </c>
      <c r="AZ92" s="504" t="n">
        <v>0</v>
      </c>
      <c r="BA92" s="504" t="n">
        <v>0</v>
      </c>
      <c r="BB92" s="504" t="n">
        <v>0</v>
      </c>
      <c r="BC92" s="504" t="n">
        <v>0</v>
      </c>
      <c r="BD92" s="504" t="n">
        <v>0</v>
      </c>
      <c r="BE92" s="504" t="n">
        <v>0</v>
      </c>
      <c r="BF92" s="504" t="n">
        <v>0</v>
      </c>
      <c r="BG92" s="504" t="n">
        <v>0</v>
      </c>
      <c r="BH92" s="504" t="n">
        <v>0</v>
      </c>
      <c r="BI92" s="504" t="n">
        <v>0</v>
      </c>
      <c r="BJ92" s="504" t="n">
        <v>0</v>
      </c>
      <c r="BK92" s="504" t="n">
        <v>0</v>
      </c>
      <c r="BL92" s="504" t="n">
        <v>0</v>
      </c>
      <c r="BM92" s="504" t="n">
        <v>0</v>
      </c>
      <c r="BN92" s="504" t="n">
        <v>0</v>
      </c>
      <c r="BO92" s="504" t="n">
        <v>0</v>
      </c>
      <c r="BP92" s="504" t="n">
        <v>0</v>
      </c>
      <c r="BQ92" s="504" t="n">
        <v>0</v>
      </c>
      <c r="BR92" s="504" t="n">
        <v>0</v>
      </c>
      <c r="BS92" s="504" t="n">
        <v>0</v>
      </c>
      <c r="BT92" s="504" t="n">
        <v>0</v>
      </c>
      <c r="BU92" s="504" t="n">
        <v>0</v>
      </c>
      <c r="BV92" s="504" t="n">
        <v>0</v>
      </c>
      <c r="BW92" s="504" t="n">
        <v>0</v>
      </c>
      <c r="BX92" s="504" t="n">
        <v>0</v>
      </c>
      <c r="BY92" s="504" t="n">
        <v>0</v>
      </c>
      <c r="BZ92" s="504" t="n">
        <v>0</v>
      </c>
      <c r="CA92" s="504" t="n">
        <v>0</v>
      </c>
      <c r="CB92" s="504" t="n">
        <v>0</v>
      </c>
      <c r="CC92" s="504" t="n">
        <v>0</v>
      </c>
      <c r="CD92" s="504" t="n">
        <v>0</v>
      </c>
      <c r="CE92" s="504" t="n">
        <v>0</v>
      </c>
    </row>
    <row r="93" hidden="1" ht="9" customFormat="1" customHeight="1" s="505">
      <c r="A93" s="504" t="n">
        <v>0</v>
      </c>
      <c r="B93" s="504" t="n">
        <v>0</v>
      </c>
      <c r="C93" s="504" t="n">
        <v>0</v>
      </c>
      <c r="D93" s="504" t="n">
        <v>0</v>
      </c>
      <c r="E93" s="504" t="n">
        <v>0</v>
      </c>
      <c r="F93" s="504" t="n">
        <v>0</v>
      </c>
      <c r="G93" s="504" t="n">
        <v>0</v>
      </c>
      <c r="H93" s="504" t="n">
        <v>0</v>
      </c>
      <c r="I93" s="504" t="n">
        <v>0</v>
      </c>
      <c r="J93" s="504" t="n">
        <v>0</v>
      </c>
      <c r="K93" s="504" t="n">
        <v>0</v>
      </c>
      <c r="L93" s="504" t="n">
        <v>0</v>
      </c>
      <c r="M93" s="504" t="n">
        <v>0</v>
      </c>
      <c r="N93" s="504" t="n">
        <v>0</v>
      </c>
      <c r="O93" s="504" t="n">
        <v>0</v>
      </c>
      <c r="P93" s="625" t="n">
        <v>0</v>
      </c>
      <c r="Q93" s="625" t="n">
        <v>0</v>
      </c>
      <c r="R93" s="625" t="n">
        <v>0</v>
      </c>
      <c r="S93" s="625" t="n">
        <v>0</v>
      </c>
      <c r="T93" s="625" t="n">
        <v>0</v>
      </c>
      <c r="U93" s="625" t="n">
        <v>0</v>
      </c>
      <c r="V93" s="625" t="n">
        <v>0</v>
      </c>
      <c r="W93" s="625" t="n">
        <v>0</v>
      </c>
      <c r="X93" s="625" t="n">
        <v>0</v>
      </c>
      <c r="Y93" s="639" t="n">
        <v>0</v>
      </c>
      <c r="Z93" s="639" t="n">
        <v>0</v>
      </c>
      <c r="AA93" s="639" t="n">
        <v>0</v>
      </c>
      <c r="AB93" s="639" t="n">
        <v>0</v>
      </c>
      <c r="AC93" s="611" t="n">
        <v>0</v>
      </c>
      <c r="AD93" s="611" t="n">
        <v>0</v>
      </c>
      <c r="AE93" s="611" t="n">
        <v>0</v>
      </c>
      <c r="AF93" s="611" t="n">
        <v>0</v>
      </c>
      <c r="AG93" s="625" t="n">
        <v>0</v>
      </c>
      <c r="AH93" s="625" t="n">
        <v>0</v>
      </c>
      <c r="AI93" s="625" t="n">
        <v>0</v>
      </c>
      <c r="AJ93" s="625" t="n">
        <v>0</v>
      </c>
      <c r="AK93" s="625" t="n">
        <v>0</v>
      </c>
      <c r="AL93" s="625" t="n">
        <v>0</v>
      </c>
      <c r="AM93" s="625" t="n">
        <v>0</v>
      </c>
      <c r="AN93" s="625" t="n">
        <v>0</v>
      </c>
      <c r="AO93" s="625" t="n">
        <v>0</v>
      </c>
      <c r="AP93" s="639" t="n">
        <v>0</v>
      </c>
      <c r="AQ93" s="639" t="n">
        <v>0</v>
      </c>
      <c r="AR93" s="639" t="n">
        <v>0</v>
      </c>
      <c r="AS93" s="639" t="n">
        <v>0</v>
      </c>
      <c r="AT93" s="611" t="n">
        <v>0</v>
      </c>
      <c r="AU93" s="611" t="n">
        <v>0</v>
      </c>
      <c r="AV93" s="611" t="n">
        <v>0</v>
      </c>
      <c r="AW93" s="611" t="n">
        <v>0</v>
      </c>
      <c r="AX93" s="504" t="n">
        <v>0</v>
      </c>
      <c r="AY93" s="504" t="n">
        <v>0</v>
      </c>
      <c r="AZ93" s="504" t="n">
        <v>0</v>
      </c>
      <c r="BA93" s="504" t="n">
        <v>0</v>
      </c>
      <c r="BB93" s="504" t="n">
        <v>0</v>
      </c>
      <c r="BC93" s="504" t="n">
        <v>0</v>
      </c>
      <c r="BD93" s="504" t="n">
        <v>0</v>
      </c>
      <c r="BE93" s="504" t="n">
        <v>0</v>
      </c>
      <c r="BF93" s="504" t="n">
        <v>0</v>
      </c>
      <c r="BG93" s="504" t="n">
        <v>0</v>
      </c>
      <c r="BH93" s="504" t="n">
        <v>0</v>
      </c>
      <c r="BI93" s="504" t="n">
        <v>0</v>
      </c>
      <c r="BJ93" s="504" t="n">
        <v>0</v>
      </c>
      <c r="BK93" s="504" t="n">
        <v>0</v>
      </c>
      <c r="BL93" s="504" t="n">
        <v>0</v>
      </c>
      <c r="BM93" s="504" t="n">
        <v>0</v>
      </c>
      <c r="BN93" s="504" t="n">
        <v>0</v>
      </c>
      <c r="BO93" s="504" t="n">
        <v>0</v>
      </c>
      <c r="BP93" s="504" t="n">
        <v>0</v>
      </c>
      <c r="BQ93" s="504" t="n">
        <v>0</v>
      </c>
      <c r="BR93" s="504" t="n">
        <v>0</v>
      </c>
      <c r="BS93" s="504" t="n">
        <v>0</v>
      </c>
      <c r="BT93" s="504" t="n">
        <v>0</v>
      </c>
      <c r="BU93" s="504" t="n">
        <v>0</v>
      </c>
      <c r="BV93" s="504" t="n">
        <v>0</v>
      </c>
      <c r="BW93" s="504" t="n">
        <v>0</v>
      </c>
      <c r="BX93" s="504" t="n">
        <v>0</v>
      </c>
      <c r="BY93" s="504" t="n">
        <v>0</v>
      </c>
      <c r="BZ93" s="504" t="n">
        <v>0</v>
      </c>
      <c r="CA93" s="504" t="n">
        <v>0</v>
      </c>
      <c r="CB93" s="504" t="n">
        <v>0</v>
      </c>
      <c r="CC93" s="504" t="n">
        <v>0</v>
      </c>
      <c r="CD93" s="504" t="n">
        <v>0</v>
      </c>
      <c r="CE93" s="504" t="n">
        <v>0</v>
      </c>
    </row>
    <row r="94" hidden="1" ht="9" customFormat="1" customHeight="1" s="505">
      <c r="A94" s="504" t="n">
        <v>0</v>
      </c>
      <c r="B94" s="504" t="n">
        <v>0</v>
      </c>
      <c r="C94" s="504" t="n">
        <v>0</v>
      </c>
      <c r="D94" s="504" t="n">
        <v>0</v>
      </c>
      <c r="E94" s="504" t="n">
        <v>0</v>
      </c>
      <c r="F94" s="504" t="n">
        <v>0</v>
      </c>
      <c r="G94" s="504" t="n">
        <v>0</v>
      </c>
      <c r="H94" s="504" t="n">
        <v>0</v>
      </c>
      <c r="I94" s="504" t="n">
        <v>0</v>
      </c>
      <c r="J94" s="504" t="n">
        <v>0</v>
      </c>
      <c r="K94" s="504" t="n">
        <v>0</v>
      </c>
      <c r="L94" s="504" t="n">
        <v>0</v>
      </c>
      <c r="M94" s="504" t="n">
        <v>0</v>
      </c>
      <c r="N94" s="504" t="n">
        <v>0</v>
      </c>
      <c r="O94" s="504" t="n">
        <v>0</v>
      </c>
      <c r="P94" s="625" t="n">
        <v>0</v>
      </c>
      <c r="Q94" s="625" t="n">
        <v>0</v>
      </c>
      <c r="R94" s="625" t="n">
        <v>0</v>
      </c>
      <c r="S94" s="625" t="n">
        <v>0</v>
      </c>
      <c r="T94" s="625" t="n">
        <v>0</v>
      </c>
      <c r="U94" s="625" t="n">
        <v>0</v>
      </c>
      <c r="V94" s="625" t="n">
        <v>0</v>
      </c>
      <c r="W94" s="625" t="n">
        <v>0</v>
      </c>
      <c r="X94" s="625" t="n">
        <v>0</v>
      </c>
      <c r="Y94" s="639" t="n">
        <v>0</v>
      </c>
      <c r="Z94" s="639" t="n">
        <v>0</v>
      </c>
      <c r="AA94" s="639" t="n">
        <v>0</v>
      </c>
      <c r="AB94" s="639" t="n">
        <v>0</v>
      </c>
      <c r="AC94" s="611" t="n">
        <v>0</v>
      </c>
      <c r="AD94" s="611" t="n">
        <v>0</v>
      </c>
      <c r="AE94" s="611" t="n">
        <v>0</v>
      </c>
      <c r="AF94" s="611" t="n">
        <v>0</v>
      </c>
      <c r="AG94" s="625" t="n">
        <v>0</v>
      </c>
      <c r="AH94" s="625" t="n">
        <v>0</v>
      </c>
      <c r="AI94" s="625" t="n">
        <v>0</v>
      </c>
      <c r="AJ94" s="625" t="n">
        <v>0</v>
      </c>
      <c r="AK94" s="625" t="n">
        <v>0</v>
      </c>
      <c r="AL94" s="625" t="n">
        <v>0</v>
      </c>
      <c r="AM94" s="625" t="n">
        <v>0</v>
      </c>
      <c r="AN94" s="625" t="n">
        <v>0</v>
      </c>
      <c r="AO94" s="625" t="n">
        <v>0</v>
      </c>
      <c r="AP94" s="639" t="n">
        <v>0</v>
      </c>
      <c r="AQ94" s="639" t="n">
        <v>0</v>
      </c>
      <c r="AR94" s="639" t="n">
        <v>0</v>
      </c>
      <c r="AS94" s="639" t="n">
        <v>0</v>
      </c>
      <c r="AT94" s="611" t="n">
        <v>0</v>
      </c>
      <c r="AU94" s="611" t="n">
        <v>0</v>
      </c>
      <c r="AV94" s="611" t="n">
        <v>0</v>
      </c>
      <c r="AW94" s="611" t="n">
        <v>0</v>
      </c>
      <c r="AX94" s="504" t="n">
        <v>0</v>
      </c>
      <c r="AY94" s="504" t="n">
        <v>0</v>
      </c>
      <c r="AZ94" s="504" t="n">
        <v>0</v>
      </c>
      <c r="BA94" s="504" t="n">
        <v>0</v>
      </c>
      <c r="BB94" s="504" t="n">
        <v>0</v>
      </c>
      <c r="BC94" s="504" t="n">
        <v>0</v>
      </c>
      <c r="BD94" s="504" t="n">
        <v>0</v>
      </c>
      <c r="BE94" s="504" t="n">
        <v>0</v>
      </c>
      <c r="BF94" s="504" t="n">
        <v>0</v>
      </c>
      <c r="BG94" s="504" t="n">
        <v>0</v>
      </c>
      <c r="BH94" s="504" t="n">
        <v>0</v>
      </c>
      <c r="BI94" s="504" t="n">
        <v>0</v>
      </c>
      <c r="BJ94" s="504" t="n">
        <v>0</v>
      </c>
      <c r="BK94" s="504" t="n">
        <v>0</v>
      </c>
      <c r="BL94" s="504" t="n">
        <v>0</v>
      </c>
      <c r="BM94" s="504" t="n">
        <v>0</v>
      </c>
      <c r="BN94" s="504" t="n">
        <v>0</v>
      </c>
      <c r="BO94" s="504" t="n">
        <v>0</v>
      </c>
      <c r="BP94" s="504" t="n">
        <v>0</v>
      </c>
      <c r="BQ94" s="504" t="n">
        <v>0</v>
      </c>
      <c r="BR94" s="504" t="n">
        <v>0</v>
      </c>
      <c r="BS94" s="504" t="n">
        <v>0</v>
      </c>
      <c r="BT94" s="504" t="n">
        <v>0</v>
      </c>
      <c r="BU94" s="504" t="n">
        <v>0</v>
      </c>
      <c r="BV94" s="504" t="n">
        <v>0</v>
      </c>
      <c r="BW94" s="504" t="n">
        <v>0</v>
      </c>
      <c r="BX94" s="504" t="n">
        <v>0</v>
      </c>
      <c r="BY94" s="504" t="n">
        <v>0</v>
      </c>
      <c r="BZ94" s="504" t="n">
        <v>0</v>
      </c>
      <c r="CA94" s="504" t="n">
        <v>0</v>
      </c>
      <c r="CB94" s="504" t="n">
        <v>0</v>
      </c>
      <c r="CC94" s="504" t="n">
        <v>0</v>
      </c>
      <c r="CD94" s="504" t="n">
        <v>0</v>
      </c>
      <c r="CE94" s="504" t="n">
        <v>0</v>
      </c>
    </row>
    <row r="95" hidden="1" ht="9" customFormat="1" customHeight="1" s="505">
      <c r="A95" s="504" t="n">
        <v>0</v>
      </c>
      <c r="B95" s="504" t="n">
        <v>0</v>
      </c>
      <c r="C95" s="504" t="n">
        <v>0</v>
      </c>
      <c r="D95" s="504" t="n">
        <v>0</v>
      </c>
      <c r="E95" s="504" t="n">
        <v>0</v>
      </c>
      <c r="F95" s="504" t="n">
        <v>0</v>
      </c>
      <c r="G95" s="504" t="n">
        <v>0</v>
      </c>
      <c r="H95" s="504" t="n">
        <v>0</v>
      </c>
      <c r="I95" s="504" t="n">
        <v>0</v>
      </c>
      <c r="J95" s="504" t="n">
        <v>0</v>
      </c>
      <c r="K95" s="504" t="n">
        <v>0</v>
      </c>
      <c r="L95" s="504" t="n">
        <v>0</v>
      </c>
      <c r="M95" s="504" t="n">
        <v>0</v>
      </c>
      <c r="N95" s="504" t="n">
        <v>0</v>
      </c>
      <c r="O95" s="504" t="n">
        <v>0</v>
      </c>
      <c r="P95" s="625" t="n">
        <v>0</v>
      </c>
      <c r="Q95" s="625" t="n">
        <v>0</v>
      </c>
      <c r="R95" s="625" t="n">
        <v>0</v>
      </c>
      <c r="S95" s="625" t="n">
        <v>0</v>
      </c>
      <c r="T95" s="625" t="n">
        <v>0</v>
      </c>
      <c r="U95" s="625" t="n">
        <v>0</v>
      </c>
      <c r="V95" s="625" t="n">
        <v>0</v>
      </c>
      <c r="W95" s="625" t="n">
        <v>0</v>
      </c>
      <c r="X95" s="625" t="n">
        <v>0</v>
      </c>
      <c r="Y95" s="639" t="n">
        <v>0</v>
      </c>
      <c r="Z95" s="639" t="n">
        <v>0</v>
      </c>
      <c r="AA95" s="639" t="n">
        <v>0</v>
      </c>
      <c r="AB95" s="639" t="n">
        <v>0</v>
      </c>
      <c r="AC95" s="611" t="n">
        <v>0</v>
      </c>
      <c r="AD95" s="611" t="n">
        <v>0</v>
      </c>
      <c r="AE95" s="611" t="n">
        <v>0</v>
      </c>
      <c r="AF95" s="611" t="n">
        <v>0</v>
      </c>
      <c r="AG95" s="625" t="n">
        <v>0</v>
      </c>
      <c r="AH95" s="625" t="n">
        <v>0</v>
      </c>
      <c r="AI95" s="625" t="n">
        <v>0</v>
      </c>
      <c r="AJ95" s="625" t="n">
        <v>0</v>
      </c>
      <c r="AK95" s="625" t="n">
        <v>0</v>
      </c>
      <c r="AL95" s="625" t="n">
        <v>0</v>
      </c>
      <c r="AM95" s="625" t="n">
        <v>0</v>
      </c>
      <c r="AN95" s="625" t="n">
        <v>0</v>
      </c>
      <c r="AO95" s="625" t="n">
        <v>0</v>
      </c>
      <c r="AP95" s="639" t="n">
        <v>0</v>
      </c>
      <c r="AQ95" s="639" t="n">
        <v>0</v>
      </c>
      <c r="AR95" s="639" t="n">
        <v>0</v>
      </c>
      <c r="AS95" s="639" t="n">
        <v>0</v>
      </c>
      <c r="AT95" s="611" t="n">
        <v>0</v>
      </c>
      <c r="AU95" s="611" t="n">
        <v>0</v>
      </c>
      <c r="AV95" s="611" t="n">
        <v>0</v>
      </c>
      <c r="AW95" s="611" t="n">
        <v>0</v>
      </c>
      <c r="AX95" s="504" t="n">
        <v>0</v>
      </c>
      <c r="AY95" s="504" t="n">
        <v>0</v>
      </c>
      <c r="AZ95" s="504" t="n">
        <v>0</v>
      </c>
      <c r="BA95" s="504" t="n">
        <v>0</v>
      </c>
      <c r="BB95" s="504" t="n">
        <v>0</v>
      </c>
      <c r="BC95" s="504" t="n">
        <v>0</v>
      </c>
      <c r="BD95" s="504" t="n">
        <v>0</v>
      </c>
      <c r="BE95" s="504" t="n">
        <v>0</v>
      </c>
      <c r="BF95" s="504" t="n">
        <v>0</v>
      </c>
      <c r="BG95" s="504" t="n">
        <v>0</v>
      </c>
      <c r="BH95" s="504" t="n">
        <v>0</v>
      </c>
      <c r="BI95" s="504" t="n">
        <v>0</v>
      </c>
      <c r="BJ95" s="504" t="n">
        <v>0</v>
      </c>
      <c r="BK95" s="504" t="n">
        <v>0</v>
      </c>
      <c r="BL95" s="504" t="n">
        <v>0</v>
      </c>
      <c r="BM95" s="504" t="n">
        <v>0</v>
      </c>
      <c r="BN95" s="504" t="n">
        <v>0</v>
      </c>
      <c r="BO95" s="504" t="n">
        <v>0</v>
      </c>
      <c r="BP95" s="504" t="n">
        <v>0</v>
      </c>
      <c r="BQ95" s="504" t="n">
        <v>0</v>
      </c>
      <c r="BR95" s="504" t="n">
        <v>0</v>
      </c>
      <c r="BS95" s="504" t="n">
        <v>0</v>
      </c>
      <c r="BT95" s="504" t="n">
        <v>0</v>
      </c>
      <c r="BU95" s="504" t="n">
        <v>0</v>
      </c>
      <c r="BV95" s="504" t="n">
        <v>0</v>
      </c>
      <c r="BW95" s="504" t="n">
        <v>0</v>
      </c>
      <c r="BX95" s="504" t="n">
        <v>0</v>
      </c>
      <c r="BY95" s="504" t="n">
        <v>0</v>
      </c>
      <c r="BZ95" s="504" t="n">
        <v>0</v>
      </c>
      <c r="CA95" s="504" t="n">
        <v>0</v>
      </c>
      <c r="CB95" s="504" t="n">
        <v>0</v>
      </c>
      <c r="CC95" s="504" t="n">
        <v>0</v>
      </c>
      <c r="CD95" s="504" t="n">
        <v>0</v>
      </c>
      <c r="CE95" s="504" t="n">
        <v>0</v>
      </c>
    </row>
    <row r="96" hidden="1" ht="9" customFormat="1" customHeight="1" s="505">
      <c r="A96" s="504" t="n">
        <v>0</v>
      </c>
      <c r="B96" s="504" t="n">
        <v>0</v>
      </c>
      <c r="C96" s="504" t="n">
        <v>0</v>
      </c>
      <c r="D96" s="504" t="n">
        <v>0</v>
      </c>
      <c r="E96" s="504" t="n">
        <v>0</v>
      </c>
      <c r="F96" s="504" t="n">
        <v>0</v>
      </c>
      <c r="G96" s="504" t="n">
        <v>0</v>
      </c>
      <c r="H96" s="504" t="n">
        <v>0</v>
      </c>
      <c r="I96" s="504" t="n">
        <v>0</v>
      </c>
      <c r="J96" s="504" t="n">
        <v>0</v>
      </c>
      <c r="K96" s="504" t="n">
        <v>0</v>
      </c>
      <c r="L96" s="504" t="n">
        <v>0</v>
      </c>
      <c r="M96" s="504" t="n">
        <v>0</v>
      </c>
      <c r="N96" s="504" t="n">
        <v>0</v>
      </c>
      <c r="O96" s="504" t="n">
        <v>0</v>
      </c>
      <c r="P96" s="625" t="n">
        <v>0</v>
      </c>
      <c r="Q96" s="625" t="n">
        <v>0</v>
      </c>
      <c r="R96" s="625" t="n">
        <v>0</v>
      </c>
      <c r="S96" s="625" t="n">
        <v>0</v>
      </c>
      <c r="T96" s="625" t="n">
        <v>0</v>
      </c>
      <c r="U96" s="625" t="n">
        <v>0</v>
      </c>
      <c r="V96" s="625" t="n">
        <v>0</v>
      </c>
      <c r="W96" s="625" t="n">
        <v>0</v>
      </c>
      <c r="X96" s="625" t="n">
        <v>0</v>
      </c>
      <c r="Y96" s="639" t="n">
        <v>0</v>
      </c>
      <c r="Z96" s="639" t="n">
        <v>0</v>
      </c>
      <c r="AA96" s="639" t="n">
        <v>0</v>
      </c>
      <c r="AB96" s="639" t="n">
        <v>0</v>
      </c>
      <c r="AC96" s="611" t="n">
        <v>0</v>
      </c>
      <c r="AD96" s="611" t="n">
        <v>0</v>
      </c>
      <c r="AE96" s="611" t="n">
        <v>0</v>
      </c>
      <c r="AF96" s="611" t="n">
        <v>0</v>
      </c>
      <c r="AG96" s="625" t="n">
        <v>0</v>
      </c>
      <c r="AH96" s="625" t="n">
        <v>0</v>
      </c>
      <c r="AI96" s="625" t="n">
        <v>0</v>
      </c>
      <c r="AJ96" s="625" t="n">
        <v>0</v>
      </c>
      <c r="AK96" s="625" t="n">
        <v>0</v>
      </c>
      <c r="AL96" s="625" t="n">
        <v>0</v>
      </c>
      <c r="AM96" s="625" t="n">
        <v>0</v>
      </c>
      <c r="AN96" s="625" t="n">
        <v>0</v>
      </c>
      <c r="AO96" s="625" t="n">
        <v>0</v>
      </c>
      <c r="AP96" s="639" t="n">
        <v>0</v>
      </c>
      <c r="AQ96" s="639" t="n">
        <v>0</v>
      </c>
      <c r="AR96" s="639" t="n">
        <v>0</v>
      </c>
      <c r="AS96" s="639" t="n">
        <v>0</v>
      </c>
      <c r="AT96" s="611" t="n">
        <v>0</v>
      </c>
      <c r="AU96" s="611" t="n">
        <v>0</v>
      </c>
      <c r="AV96" s="611" t="n">
        <v>0</v>
      </c>
      <c r="AW96" s="611" t="n">
        <v>0</v>
      </c>
      <c r="AX96" s="504" t="n">
        <v>0</v>
      </c>
      <c r="AY96" s="504" t="n">
        <v>0</v>
      </c>
      <c r="AZ96" s="504" t="n">
        <v>0</v>
      </c>
      <c r="BA96" s="504" t="n">
        <v>0</v>
      </c>
      <c r="BB96" s="504" t="n">
        <v>0</v>
      </c>
      <c r="BC96" s="504" t="n">
        <v>0</v>
      </c>
      <c r="BD96" s="504" t="n">
        <v>0</v>
      </c>
      <c r="BE96" s="504" t="n">
        <v>0</v>
      </c>
      <c r="BF96" s="504" t="n">
        <v>0</v>
      </c>
      <c r="BG96" s="504" t="n">
        <v>0</v>
      </c>
      <c r="BH96" s="504" t="n">
        <v>0</v>
      </c>
      <c r="BI96" s="504" t="n">
        <v>0</v>
      </c>
      <c r="BJ96" s="504" t="n">
        <v>0</v>
      </c>
      <c r="BK96" s="504" t="n">
        <v>0</v>
      </c>
      <c r="BL96" s="504" t="n">
        <v>0</v>
      </c>
      <c r="BM96" s="504" t="n">
        <v>0</v>
      </c>
      <c r="BN96" s="504" t="n">
        <v>0</v>
      </c>
      <c r="BO96" s="504" t="n">
        <v>0</v>
      </c>
      <c r="BP96" s="504" t="n">
        <v>0</v>
      </c>
      <c r="BQ96" s="504" t="n">
        <v>0</v>
      </c>
      <c r="BR96" s="504" t="n">
        <v>0</v>
      </c>
      <c r="BS96" s="504" t="n">
        <v>0</v>
      </c>
      <c r="BT96" s="504" t="n">
        <v>0</v>
      </c>
      <c r="BU96" s="504" t="n">
        <v>0</v>
      </c>
      <c r="BV96" s="504" t="n">
        <v>0</v>
      </c>
      <c r="BW96" s="504" t="n">
        <v>0</v>
      </c>
      <c r="BX96" s="504" t="n">
        <v>0</v>
      </c>
      <c r="BY96" s="504" t="n">
        <v>0</v>
      </c>
      <c r="BZ96" s="504" t="n">
        <v>0</v>
      </c>
      <c r="CA96" s="504" t="n">
        <v>0</v>
      </c>
      <c r="CB96" s="504" t="n">
        <v>0</v>
      </c>
      <c r="CC96" s="504" t="n">
        <v>0</v>
      </c>
      <c r="CD96" s="504" t="n">
        <v>0</v>
      </c>
      <c r="CE96" s="504" t="n">
        <v>0</v>
      </c>
    </row>
    <row r="97" hidden="1" ht="9" customFormat="1" customHeight="1" s="505">
      <c r="A97" s="504" t="n">
        <v>0</v>
      </c>
      <c r="B97" s="504" t="n">
        <v>0</v>
      </c>
      <c r="C97" s="504" t="n">
        <v>0</v>
      </c>
      <c r="D97" s="504" t="n">
        <v>0</v>
      </c>
      <c r="E97" s="504" t="n">
        <v>0</v>
      </c>
      <c r="F97" s="504" t="n">
        <v>0</v>
      </c>
      <c r="G97" s="504" t="n">
        <v>0</v>
      </c>
      <c r="H97" s="504" t="n">
        <v>0</v>
      </c>
      <c r="I97" s="504" t="n">
        <v>0</v>
      </c>
      <c r="J97" s="504" t="n">
        <v>0</v>
      </c>
      <c r="K97" s="504" t="n">
        <v>0</v>
      </c>
      <c r="L97" s="504" t="n">
        <v>0</v>
      </c>
      <c r="M97" s="504" t="n">
        <v>0</v>
      </c>
      <c r="N97" s="504" t="n">
        <v>0</v>
      </c>
      <c r="O97" s="504" t="n">
        <v>0</v>
      </c>
      <c r="P97" s="625" t="n">
        <v>0</v>
      </c>
      <c r="Q97" s="625" t="n">
        <v>0</v>
      </c>
      <c r="R97" s="625" t="n">
        <v>0</v>
      </c>
      <c r="S97" s="625" t="n">
        <v>0</v>
      </c>
      <c r="T97" s="625" t="n">
        <v>0</v>
      </c>
      <c r="U97" s="625" t="n">
        <v>0</v>
      </c>
      <c r="V97" s="625" t="n">
        <v>0</v>
      </c>
      <c r="W97" s="625" t="n">
        <v>0</v>
      </c>
      <c r="X97" s="625" t="n">
        <v>0</v>
      </c>
      <c r="Y97" s="639" t="n">
        <v>0</v>
      </c>
      <c r="Z97" s="639" t="n">
        <v>0</v>
      </c>
      <c r="AA97" s="639" t="n">
        <v>0</v>
      </c>
      <c r="AB97" s="639" t="n">
        <v>0</v>
      </c>
      <c r="AC97" s="611" t="n">
        <v>0</v>
      </c>
      <c r="AD97" s="611" t="n">
        <v>0</v>
      </c>
      <c r="AE97" s="611" t="n">
        <v>0</v>
      </c>
      <c r="AF97" s="611" t="n">
        <v>0</v>
      </c>
      <c r="AG97" s="625" t="n">
        <v>0</v>
      </c>
      <c r="AH97" s="625" t="n">
        <v>0</v>
      </c>
      <c r="AI97" s="625" t="n">
        <v>0</v>
      </c>
      <c r="AJ97" s="625" t="n">
        <v>0</v>
      </c>
      <c r="AK97" s="625" t="n">
        <v>0</v>
      </c>
      <c r="AL97" s="625" t="n">
        <v>0</v>
      </c>
      <c r="AM97" s="625" t="n">
        <v>0</v>
      </c>
      <c r="AN97" s="625" t="n">
        <v>0</v>
      </c>
      <c r="AO97" s="625" t="n">
        <v>0</v>
      </c>
      <c r="AP97" s="639" t="n">
        <v>0</v>
      </c>
      <c r="AQ97" s="639" t="n">
        <v>0</v>
      </c>
      <c r="AR97" s="639" t="n">
        <v>0</v>
      </c>
      <c r="AS97" s="639" t="n">
        <v>0</v>
      </c>
      <c r="AT97" s="611" t="n">
        <v>0</v>
      </c>
      <c r="AU97" s="611" t="n">
        <v>0</v>
      </c>
      <c r="AV97" s="611" t="n">
        <v>0</v>
      </c>
      <c r="AW97" s="611" t="n">
        <v>0</v>
      </c>
      <c r="AX97" s="504" t="n">
        <v>0</v>
      </c>
      <c r="AY97" s="504" t="n">
        <v>0</v>
      </c>
      <c r="AZ97" s="504" t="n">
        <v>0</v>
      </c>
      <c r="BA97" s="504" t="n">
        <v>0</v>
      </c>
      <c r="BB97" s="504" t="n">
        <v>0</v>
      </c>
      <c r="BC97" s="504" t="n">
        <v>0</v>
      </c>
      <c r="BD97" s="504" t="n">
        <v>0</v>
      </c>
      <c r="BE97" s="504" t="n">
        <v>0</v>
      </c>
      <c r="BF97" s="504" t="n">
        <v>0</v>
      </c>
      <c r="BG97" s="504" t="n">
        <v>0</v>
      </c>
      <c r="BH97" s="504" t="n">
        <v>0</v>
      </c>
      <c r="BI97" s="504" t="n">
        <v>0</v>
      </c>
      <c r="BJ97" s="504" t="n">
        <v>0</v>
      </c>
      <c r="BK97" s="504" t="n">
        <v>0</v>
      </c>
      <c r="BL97" s="504" t="n">
        <v>0</v>
      </c>
      <c r="BM97" s="504" t="n">
        <v>0</v>
      </c>
      <c r="BN97" s="504" t="n">
        <v>0</v>
      </c>
      <c r="BO97" s="504" t="n">
        <v>0</v>
      </c>
      <c r="BP97" s="504" t="n">
        <v>0</v>
      </c>
      <c r="BQ97" s="504" t="n">
        <v>0</v>
      </c>
      <c r="BR97" s="504" t="n">
        <v>0</v>
      </c>
      <c r="BS97" s="504" t="n">
        <v>0</v>
      </c>
      <c r="BT97" s="504" t="n">
        <v>0</v>
      </c>
      <c r="BU97" s="504" t="n">
        <v>0</v>
      </c>
      <c r="BV97" s="504" t="n">
        <v>0</v>
      </c>
      <c r="BW97" s="504" t="n">
        <v>0</v>
      </c>
      <c r="BX97" s="504" t="n">
        <v>0</v>
      </c>
      <c r="BY97" s="504" t="n">
        <v>0</v>
      </c>
      <c r="BZ97" s="504" t="n">
        <v>0</v>
      </c>
      <c r="CA97" s="504" t="n">
        <v>0</v>
      </c>
      <c r="CB97" s="504" t="n">
        <v>0</v>
      </c>
      <c r="CC97" s="504" t="n">
        <v>0</v>
      </c>
      <c r="CD97" s="504" t="n">
        <v>0</v>
      </c>
      <c r="CE97" s="504" t="n">
        <v>0</v>
      </c>
    </row>
    <row r="98" hidden="1" ht="9" customFormat="1" customHeight="1" s="505">
      <c r="A98" s="504" t="n">
        <v>0</v>
      </c>
      <c r="B98" s="504" t="n">
        <v>0</v>
      </c>
      <c r="C98" s="504" t="n">
        <v>0</v>
      </c>
      <c r="D98" s="504" t="n">
        <v>0</v>
      </c>
      <c r="E98" s="504" t="n">
        <v>0</v>
      </c>
      <c r="F98" s="504" t="n">
        <v>0</v>
      </c>
      <c r="G98" s="504" t="n">
        <v>0</v>
      </c>
      <c r="H98" s="504" t="n">
        <v>0</v>
      </c>
      <c r="I98" s="504" t="n">
        <v>0</v>
      </c>
      <c r="J98" s="504" t="n">
        <v>0</v>
      </c>
      <c r="K98" s="504" t="n">
        <v>0</v>
      </c>
      <c r="L98" s="504" t="n">
        <v>0</v>
      </c>
      <c r="M98" s="504" t="n">
        <v>0</v>
      </c>
      <c r="N98" s="504" t="n">
        <v>0</v>
      </c>
      <c r="O98" s="504" t="n">
        <v>0</v>
      </c>
      <c r="P98" s="625" t="n">
        <v>0</v>
      </c>
      <c r="Q98" s="625" t="n">
        <v>0</v>
      </c>
      <c r="R98" s="625" t="n">
        <v>0</v>
      </c>
      <c r="S98" s="625" t="n">
        <v>0</v>
      </c>
      <c r="T98" s="625" t="n">
        <v>0</v>
      </c>
      <c r="U98" s="625" t="n">
        <v>0</v>
      </c>
      <c r="V98" s="625" t="n">
        <v>0</v>
      </c>
      <c r="W98" s="625" t="n">
        <v>0</v>
      </c>
      <c r="X98" s="625" t="n">
        <v>0</v>
      </c>
      <c r="Y98" s="639" t="n">
        <v>0</v>
      </c>
      <c r="Z98" s="639" t="n">
        <v>0</v>
      </c>
      <c r="AA98" s="639" t="n">
        <v>0</v>
      </c>
      <c r="AB98" s="639" t="n">
        <v>0</v>
      </c>
      <c r="AC98" s="611" t="n">
        <v>0</v>
      </c>
      <c r="AD98" s="611" t="n">
        <v>0</v>
      </c>
      <c r="AE98" s="611" t="n">
        <v>0</v>
      </c>
      <c r="AF98" s="611" t="n">
        <v>0</v>
      </c>
      <c r="AG98" s="625" t="n">
        <v>0</v>
      </c>
      <c r="AH98" s="625" t="n">
        <v>0</v>
      </c>
      <c r="AI98" s="625" t="n">
        <v>0</v>
      </c>
      <c r="AJ98" s="625" t="n">
        <v>0</v>
      </c>
      <c r="AK98" s="625" t="n">
        <v>0</v>
      </c>
      <c r="AL98" s="625" t="n">
        <v>0</v>
      </c>
      <c r="AM98" s="625" t="n">
        <v>0</v>
      </c>
      <c r="AN98" s="625" t="n">
        <v>0</v>
      </c>
      <c r="AO98" s="625" t="n">
        <v>0</v>
      </c>
      <c r="AP98" s="639" t="n">
        <v>0</v>
      </c>
      <c r="AQ98" s="639" t="n">
        <v>0</v>
      </c>
      <c r="AR98" s="639" t="n">
        <v>0</v>
      </c>
      <c r="AS98" s="639" t="n">
        <v>0</v>
      </c>
      <c r="AT98" s="611" t="n">
        <v>0</v>
      </c>
      <c r="AU98" s="611" t="n">
        <v>0</v>
      </c>
      <c r="AV98" s="611" t="n">
        <v>0</v>
      </c>
      <c r="AW98" s="611" t="n">
        <v>0</v>
      </c>
      <c r="AX98" s="504" t="n">
        <v>0</v>
      </c>
      <c r="AY98" s="504" t="n">
        <v>0</v>
      </c>
      <c r="AZ98" s="504" t="n">
        <v>0</v>
      </c>
      <c r="BA98" s="504" t="n">
        <v>0</v>
      </c>
      <c r="BB98" s="504" t="n">
        <v>0</v>
      </c>
      <c r="BC98" s="504" t="n">
        <v>0</v>
      </c>
      <c r="BD98" s="504" t="n">
        <v>0</v>
      </c>
      <c r="BE98" s="504" t="n">
        <v>0</v>
      </c>
      <c r="BF98" s="504" t="n">
        <v>0</v>
      </c>
      <c r="BG98" s="504" t="n">
        <v>0</v>
      </c>
      <c r="BH98" s="504" t="n">
        <v>0</v>
      </c>
      <c r="BI98" s="504" t="n">
        <v>0</v>
      </c>
      <c r="BJ98" s="504" t="n">
        <v>0</v>
      </c>
      <c r="BK98" s="504" t="n">
        <v>0</v>
      </c>
      <c r="BL98" s="504" t="n">
        <v>0</v>
      </c>
      <c r="BM98" s="504" t="n">
        <v>0</v>
      </c>
      <c r="BN98" s="504" t="n">
        <v>0</v>
      </c>
      <c r="BO98" s="504" t="n">
        <v>0</v>
      </c>
      <c r="BP98" s="504" t="n">
        <v>0</v>
      </c>
      <c r="BQ98" s="504" t="n">
        <v>0</v>
      </c>
      <c r="BR98" s="504" t="n">
        <v>0</v>
      </c>
      <c r="BS98" s="504" t="n">
        <v>0</v>
      </c>
      <c r="BT98" s="504" t="n">
        <v>0</v>
      </c>
      <c r="BU98" s="504" t="n">
        <v>0</v>
      </c>
      <c r="BV98" s="504" t="n">
        <v>0</v>
      </c>
      <c r="BW98" s="504" t="n">
        <v>0</v>
      </c>
      <c r="BX98" s="504" t="n">
        <v>0</v>
      </c>
      <c r="BY98" s="504" t="n">
        <v>0</v>
      </c>
      <c r="BZ98" s="504" t="n">
        <v>0</v>
      </c>
      <c r="CA98" s="504" t="n">
        <v>0</v>
      </c>
      <c r="CB98" s="504" t="n">
        <v>0</v>
      </c>
      <c r="CC98" s="504" t="n">
        <v>0</v>
      </c>
      <c r="CD98" s="504" t="n">
        <v>0</v>
      </c>
      <c r="CE98" s="504" t="n">
        <v>0</v>
      </c>
    </row>
    <row r="99" hidden="1" ht="9" customFormat="1" customHeight="1" s="505">
      <c r="A99" s="504" t="n">
        <v>0</v>
      </c>
      <c r="B99" s="504" t="n">
        <v>0</v>
      </c>
      <c r="C99" s="504" t="n">
        <v>0</v>
      </c>
      <c r="D99" s="504" t="n">
        <v>0</v>
      </c>
      <c r="E99" s="504" t="n">
        <v>0</v>
      </c>
      <c r="F99" s="504" t="n">
        <v>0</v>
      </c>
      <c r="G99" s="504" t="n">
        <v>0</v>
      </c>
      <c r="H99" s="504" t="n">
        <v>0</v>
      </c>
      <c r="I99" s="504" t="n">
        <v>0</v>
      </c>
      <c r="J99" s="504" t="n">
        <v>0</v>
      </c>
      <c r="K99" s="504" t="n">
        <v>0</v>
      </c>
      <c r="L99" s="504" t="n">
        <v>0</v>
      </c>
      <c r="M99" s="504" t="n">
        <v>0</v>
      </c>
      <c r="N99" s="504" t="n">
        <v>0</v>
      </c>
      <c r="O99" s="504" t="n">
        <v>0</v>
      </c>
      <c r="P99" s="625" t="n">
        <v>0</v>
      </c>
      <c r="Q99" s="625" t="n">
        <v>0</v>
      </c>
      <c r="R99" s="625" t="n">
        <v>0</v>
      </c>
      <c r="S99" s="625" t="n">
        <v>0</v>
      </c>
      <c r="T99" s="625" t="n">
        <v>0</v>
      </c>
      <c r="U99" s="625" t="n">
        <v>0</v>
      </c>
      <c r="V99" s="625" t="n">
        <v>0</v>
      </c>
      <c r="W99" s="625" t="n">
        <v>0</v>
      </c>
      <c r="X99" s="625" t="n">
        <v>0</v>
      </c>
      <c r="Y99" s="639" t="n">
        <v>0</v>
      </c>
      <c r="Z99" s="639" t="n">
        <v>0</v>
      </c>
      <c r="AA99" s="639" t="n">
        <v>0</v>
      </c>
      <c r="AB99" s="639" t="n">
        <v>0</v>
      </c>
      <c r="AC99" s="611" t="n">
        <v>0</v>
      </c>
      <c r="AD99" s="611" t="n">
        <v>0</v>
      </c>
      <c r="AE99" s="611" t="n">
        <v>0</v>
      </c>
      <c r="AF99" s="611" t="n">
        <v>0</v>
      </c>
      <c r="AG99" s="625" t="n">
        <v>0</v>
      </c>
      <c r="AH99" s="625" t="n">
        <v>0</v>
      </c>
      <c r="AI99" s="625" t="n">
        <v>0</v>
      </c>
      <c r="AJ99" s="625" t="n">
        <v>0</v>
      </c>
      <c r="AK99" s="625" t="n">
        <v>0</v>
      </c>
      <c r="AL99" s="625" t="n">
        <v>0</v>
      </c>
      <c r="AM99" s="625" t="n">
        <v>0</v>
      </c>
      <c r="AN99" s="625" t="n">
        <v>0</v>
      </c>
      <c r="AO99" s="625" t="n">
        <v>0</v>
      </c>
      <c r="AP99" s="639" t="n">
        <v>0</v>
      </c>
      <c r="AQ99" s="639" t="n">
        <v>0</v>
      </c>
      <c r="AR99" s="639" t="n">
        <v>0</v>
      </c>
      <c r="AS99" s="639" t="n">
        <v>0</v>
      </c>
      <c r="AT99" s="611" t="n">
        <v>0</v>
      </c>
      <c r="AU99" s="611" t="n">
        <v>0</v>
      </c>
      <c r="AV99" s="611" t="n">
        <v>0</v>
      </c>
      <c r="AW99" s="611" t="n">
        <v>0</v>
      </c>
      <c r="AX99" s="504" t="n">
        <v>0</v>
      </c>
      <c r="AY99" s="504" t="n">
        <v>0</v>
      </c>
      <c r="AZ99" s="504" t="n">
        <v>0</v>
      </c>
      <c r="BA99" s="504" t="n">
        <v>0</v>
      </c>
      <c r="BB99" s="504" t="n">
        <v>0</v>
      </c>
      <c r="BC99" s="504" t="n">
        <v>0</v>
      </c>
      <c r="BD99" s="504" t="n">
        <v>0</v>
      </c>
      <c r="BE99" s="504" t="n">
        <v>0</v>
      </c>
      <c r="BF99" s="504" t="n">
        <v>0</v>
      </c>
      <c r="BG99" s="504" t="n">
        <v>0</v>
      </c>
      <c r="BH99" s="504" t="n">
        <v>0</v>
      </c>
      <c r="BI99" s="504" t="n">
        <v>0</v>
      </c>
      <c r="BJ99" s="504" t="n">
        <v>0</v>
      </c>
      <c r="BK99" s="504" t="n">
        <v>0</v>
      </c>
      <c r="BL99" s="504" t="n">
        <v>0</v>
      </c>
      <c r="BM99" s="504" t="n">
        <v>0</v>
      </c>
      <c r="BN99" s="504" t="n">
        <v>0</v>
      </c>
      <c r="BO99" s="504" t="n">
        <v>0</v>
      </c>
      <c r="BP99" s="504" t="n">
        <v>0</v>
      </c>
      <c r="BQ99" s="504" t="n">
        <v>0</v>
      </c>
      <c r="BR99" s="504" t="n">
        <v>0</v>
      </c>
      <c r="BS99" s="504" t="n">
        <v>0</v>
      </c>
      <c r="BT99" s="504" t="n">
        <v>0</v>
      </c>
      <c r="BU99" s="504" t="n">
        <v>0</v>
      </c>
      <c r="BV99" s="504" t="n">
        <v>0</v>
      </c>
      <c r="BW99" s="504" t="n">
        <v>0</v>
      </c>
      <c r="BX99" s="504" t="n">
        <v>0</v>
      </c>
      <c r="BY99" s="504" t="n">
        <v>0</v>
      </c>
      <c r="BZ99" s="504" t="n">
        <v>0</v>
      </c>
      <c r="CA99" s="504" t="n">
        <v>0</v>
      </c>
      <c r="CB99" s="504" t="n">
        <v>0</v>
      </c>
      <c r="CC99" s="504" t="n">
        <v>0</v>
      </c>
      <c r="CD99" s="504" t="n">
        <v>0</v>
      </c>
      <c r="CE99" s="504" t="n">
        <v>0</v>
      </c>
    </row>
    <row r="100" ht="15.6" customHeight="1" s="191">
      <c r="A100" s="259">
        <f>I_Wzorcowa_BD!A3</f>
        <v/>
      </c>
      <c r="B100" s="260" t="n"/>
      <c r="C100" s="261" t="n"/>
      <c r="D100" s="276" t="n"/>
      <c r="E100" s="277">
        <f>VLOOKUP(A100,Listy!A:C,2,FALSE) &amp; "   :  " &amp; VLOOKUP(A100,Listy!A:C,3,FALSE)</f>
        <v/>
      </c>
      <c r="F100" s="538" t="n"/>
      <c r="P100" s="626" t="n"/>
      <c r="Q100" s="626" t="n"/>
      <c r="R100" s="626" t="n"/>
      <c r="S100" s="626" t="n"/>
      <c r="T100" s="626" t="n"/>
      <c r="U100" s="626" t="n"/>
      <c r="V100" s="626" t="n"/>
      <c r="W100" s="626" t="n"/>
      <c r="X100" s="626" t="n"/>
      <c r="Y100" s="369" t="n"/>
      <c r="Z100" s="369" t="n"/>
      <c r="AA100" s="369" t="n"/>
      <c r="AB100" s="369" t="n"/>
      <c r="AC100" s="370" t="n"/>
      <c r="AD100" s="370" t="n"/>
      <c r="AE100" s="370" t="n"/>
      <c r="AF100" s="370" t="n"/>
      <c r="AG100" s="626" t="n"/>
      <c r="AH100" s="626" t="n"/>
      <c r="AI100" s="626" t="n"/>
      <c r="AJ100" s="626" t="n"/>
      <c r="AK100" s="626" t="n"/>
      <c r="AL100" s="626" t="n"/>
      <c r="AM100" s="626" t="n"/>
      <c r="AN100" s="626" t="n"/>
      <c r="AO100" s="626" t="n"/>
      <c r="AP100" s="369" t="n"/>
      <c r="AQ100" s="369" t="n"/>
      <c r="AR100" s="369" t="n"/>
      <c r="AS100" s="369" t="n"/>
      <c r="AT100" s="370" t="n"/>
      <c r="AU100" s="370" t="n"/>
      <c r="AV100" s="370" t="n"/>
      <c r="AW100" s="370" t="n"/>
      <c r="BJ100">
        <f>O1</f>
        <v/>
      </c>
      <c r="BK100" t="inlineStr">
        <is>
          <t>Suma</t>
        </is>
      </c>
      <c r="BL100" t="inlineStr">
        <is>
          <t>Różnica</t>
        </is>
      </c>
      <c r="BM100" s="201">
        <f>SUM(BL101:BL199)</f>
        <v/>
      </c>
    </row>
    <row r="101" hidden="1" outlineLevel="1" s="191">
      <c r="A101" s="538">
        <f>I_Wzorcowa_BD!A4</f>
        <v/>
      </c>
      <c r="B101" s="538">
        <f>I_Wzorcowa_BD!B4</f>
        <v/>
      </c>
      <c r="C101" s="538">
        <f>I_Wzorcowa_BD!C4</f>
        <v/>
      </c>
      <c r="D101" s="538">
        <f>I_Wzorcowa_BD!D4</f>
        <v/>
      </c>
      <c r="E101" s="538">
        <f>I_Wzorcowa_BD!E4</f>
        <v/>
      </c>
      <c r="F101" s="538">
        <f>I_Wzorcowa_BD!F4</f>
        <v/>
      </c>
      <c r="G101" s="538">
        <f>I_Wzorcowa_BD!G4</f>
        <v/>
      </c>
      <c r="H101" s="538">
        <f>I_Wzorcowa_BD!H4</f>
        <v/>
      </c>
      <c r="I101" s="538">
        <f>I_Wzorcowa_BD!I4</f>
        <v/>
      </c>
      <c r="J101" s="538">
        <f>I_Wzorcowa_BD!J4</f>
        <v/>
      </c>
      <c r="K101" s="672">
        <f>I_Wzorcowa_BD!K4</f>
        <v/>
      </c>
      <c r="L101" s="672">
        <f>I_Wzorcowa_BD!L4</f>
        <v/>
      </c>
      <c r="M101" s="538">
        <f>I_Wzorcowa_BD!M4</f>
        <v/>
      </c>
      <c r="N101" s="538">
        <f>I_Wzorcowa_BD!N4</f>
        <v/>
      </c>
      <c r="O101" s="538">
        <f>I_Wzorcowa_BD!O4</f>
        <v/>
      </c>
      <c r="P101" s="627">
        <f>I_Wzorcowa_BD!P4</f>
        <v/>
      </c>
      <c r="Q101" s="627">
        <f>I_Wzorcowa_BD!Q4</f>
        <v/>
      </c>
      <c r="R101" s="627">
        <f>I_Wzorcowa_BD!R4</f>
        <v/>
      </c>
      <c r="S101" s="627">
        <f>I_Wzorcowa_BD!S4</f>
        <v/>
      </c>
      <c r="T101" s="627">
        <f>I_Wzorcowa_BD!T4</f>
        <v/>
      </c>
      <c r="U101" s="627">
        <f>I_Wzorcowa_BD!U4</f>
        <v/>
      </c>
      <c r="V101" s="627">
        <f>I_Wzorcowa_BD!V4</f>
        <v/>
      </c>
      <c r="W101" s="627">
        <f>I_Wzorcowa_BD!W4</f>
        <v/>
      </c>
      <c r="X101" s="627">
        <f>I_Wzorcowa_BD!X4</f>
        <v/>
      </c>
      <c r="Y101" s="649">
        <f>I_Wzorcowa_BD!Y4</f>
        <v/>
      </c>
      <c r="Z101" s="649">
        <f>I_Wzorcowa_BD!Z4</f>
        <v/>
      </c>
      <c r="AA101" s="649">
        <f>I_Wzorcowa_BD!AA4</f>
        <v/>
      </c>
      <c r="AB101" s="649">
        <f>I_Wzorcowa_BD!AB4</f>
        <v/>
      </c>
      <c r="AC101" s="612">
        <f>I_Wzorcowa_BD!AC4</f>
        <v/>
      </c>
      <c r="AD101" s="612">
        <f>I_Wzorcowa_BD!AD4</f>
        <v/>
      </c>
      <c r="AE101" s="612">
        <f>I_Wzorcowa_BD!AE4</f>
        <v/>
      </c>
      <c r="AF101" s="612">
        <f>I_Wzorcowa_BD!AF4</f>
        <v/>
      </c>
      <c r="AG101" s="634">
        <f>I_Wzorcowa_BD!AG4</f>
        <v/>
      </c>
      <c r="AH101" s="634">
        <f>I_Wzorcowa_BD!AH4</f>
        <v/>
      </c>
      <c r="AI101" s="634">
        <f>I_Wzorcowa_BD!AI4</f>
        <v/>
      </c>
      <c r="AJ101" s="634">
        <f>I_Wzorcowa_BD!AJ4</f>
        <v/>
      </c>
      <c r="AK101" s="634">
        <f>I_Wzorcowa_BD!AK4</f>
        <v/>
      </c>
      <c r="AL101" s="634">
        <f>I_Wzorcowa_BD!AL4</f>
        <v/>
      </c>
      <c r="AM101" s="634">
        <f>I_Wzorcowa_BD!AM4</f>
        <v/>
      </c>
      <c r="AN101" s="634">
        <f>I_Wzorcowa_BD!AN4</f>
        <v/>
      </c>
      <c r="AO101" s="634">
        <f>I_Wzorcowa_BD!AO4</f>
        <v/>
      </c>
      <c r="AP101" s="640">
        <f>I_Wzorcowa_BD!AP4</f>
        <v/>
      </c>
      <c r="AQ101" s="640">
        <f>I_Wzorcowa_BD!AQ4</f>
        <v/>
      </c>
      <c r="AR101" s="640">
        <f>I_Wzorcowa_BD!AR4</f>
        <v/>
      </c>
      <c r="AS101" s="640">
        <f>I_Wzorcowa_BD!AS4</f>
        <v/>
      </c>
      <c r="AT101" s="619">
        <f>I_Wzorcowa_BD!AT4</f>
        <v/>
      </c>
      <c r="AU101" s="619">
        <f>I_Wzorcowa_BD!AU4</f>
        <v/>
      </c>
      <c r="AV101" s="619">
        <f>I_Wzorcowa_BD!AV4</f>
        <v/>
      </c>
      <c r="AW101" s="619">
        <f>I_Wzorcowa_BD!AW4</f>
        <v/>
      </c>
      <c r="AX101" s="538">
        <f>I_Wzorcowa_BD!AX4</f>
        <v/>
      </c>
      <c r="AY101" s="538">
        <f>I_Wzorcowa_BD!AY4</f>
        <v/>
      </c>
      <c r="AZ101" s="538">
        <f>I_Wzorcowa_BD!AZ4</f>
        <v/>
      </c>
      <c r="BA101" s="538">
        <f>I_Wzorcowa_BD!BA4</f>
        <v/>
      </c>
      <c r="BB101" s="538">
        <f>I_Wzorcowa_BD!BB4</f>
        <v/>
      </c>
      <c r="BC101" s="538">
        <f>I_Wzorcowa_BD!BC4</f>
        <v/>
      </c>
      <c r="BD101" s="538">
        <f>I_Wzorcowa_BD!BD4</f>
        <v/>
      </c>
      <c r="BE101" s="538">
        <f>I_Wzorcowa_BD!BE4</f>
        <v/>
      </c>
      <c r="BF101" s="538">
        <f>I_Wzorcowa_BD!BF4</f>
        <v/>
      </c>
      <c r="BG101" s="538">
        <f>I_Wzorcowa_BD!BG4</f>
        <v/>
      </c>
      <c r="BH101" s="538">
        <f>I_Wzorcowa_BD!BH4</f>
        <v/>
      </c>
      <c r="BI101" s="538">
        <f>I_Wzorcowa_BD!BI4</f>
        <v/>
      </c>
      <c r="BJ101">
        <f>O101</f>
        <v/>
      </c>
      <c r="BK101">
        <f>SUM(AG101:AW101)</f>
        <v/>
      </c>
      <c r="BL101" s="531">
        <f>BJ101-BK101</f>
        <v/>
      </c>
      <c r="BM101" s="201" t="n"/>
    </row>
    <row r="102" hidden="1" outlineLevel="1" s="191">
      <c r="A102" s="538">
        <f>I_Wzorcowa_BD!A5</f>
        <v/>
      </c>
      <c r="B102" s="538">
        <f>I_Wzorcowa_BD!B5</f>
        <v/>
      </c>
      <c r="C102" s="538">
        <f>I_Wzorcowa_BD!C5</f>
        <v/>
      </c>
      <c r="D102" s="538">
        <f>I_Wzorcowa_BD!D5</f>
        <v/>
      </c>
      <c r="E102" s="538">
        <f>I_Wzorcowa_BD!E5</f>
        <v/>
      </c>
      <c r="F102" s="538">
        <f>I_Wzorcowa_BD!F5</f>
        <v/>
      </c>
      <c r="G102" s="538">
        <f>I_Wzorcowa_BD!G5</f>
        <v/>
      </c>
      <c r="H102" s="538">
        <f>I_Wzorcowa_BD!H5</f>
        <v/>
      </c>
      <c r="I102" s="538">
        <f>I_Wzorcowa_BD!I5</f>
        <v/>
      </c>
      <c r="J102" s="538">
        <f>I_Wzorcowa_BD!J5</f>
        <v/>
      </c>
      <c r="K102" s="672">
        <f>I_Wzorcowa_BD!K5</f>
        <v/>
      </c>
      <c r="L102" s="672">
        <f>I_Wzorcowa_BD!L5</f>
        <v/>
      </c>
      <c r="M102" s="538">
        <f>I_Wzorcowa_BD!M5</f>
        <v/>
      </c>
      <c r="N102" s="538">
        <f>I_Wzorcowa_BD!N5</f>
        <v/>
      </c>
      <c r="O102" s="538">
        <f>I_Wzorcowa_BD!O5</f>
        <v/>
      </c>
      <c r="P102" s="627">
        <f>I_Wzorcowa_BD!P5</f>
        <v/>
      </c>
      <c r="Q102" s="627">
        <f>I_Wzorcowa_BD!Q5</f>
        <v/>
      </c>
      <c r="R102" s="627">
        <f>I_Wzorcowa_BD!R5</f>
        <v/>
      </c>
      <c r="S102" s="627">
        <f>I_Wzorcowa_BD!S5</f>
        <v/>
      </c>
      <c r="T102" s="627">
        <f>I_Wzorcowa_BD!T5</f>
        <v/>
      </c>
      <c r="U102" s="627">
        <f>I_Wzorcowa_BD!U5</f>
        <v/>
      </c>
      <c r="V102" s="627">
        <f>I_Wzorcowa_BD!V5</f>
        <v/>
      </c>
      <c r="W102" s="627">
        <f>I_Wzorcowa_BD!W5</f>
        <v/>
      </c>
      <c r="X102" s="627">
        <f>I_Wzorcowa_BD!X5</f>
        <v/>
      </c>
      <c r="Y102" s="649">
        <f>I_Wzorcowa_BD!Y5</f>
        <v/>
      </c>
      <c r="Z102" s="649">
        <f>I_Wzorcowa_BD!Z5</f>
        <v/>
      </c>
      <c r="AA102" s="649">
        <f>I_Wzorcowa_BD!AA5</f>
        <v/>
      </c>
      <c r="AB102" s="649">
        <f>I_Wzorcowa_BD!AB5</f>
        <v/>
      </c>
      <c r="AC102" s="612">
        <f>I_Wzorcowa_BD!AC5</f>
        <v/>
      </c>
      <c r="AD102" s="612">
        <f>I_Wzorcowa_BD!AD5</f>
        <v/>
      </c>
      <c r="AE102" s="612">
        <f>I_Wzorcowa_BD!AE5</f>
        <v/>
      </c>
      <c r="AF102" s="612">
        <f>I_Wzorcowa_BD!AF5</f>
        <v/>
      </c>
      <c r="AG102" s="634">
        <f>I_Wzorcowa_BD!AG5</f>
        <v/>
      </c>
      <c r="AH102" s="634">
        <f>I_Wzorcowa_BD!AH5</f>
        <v/>
      </c>
      <c r="AI102" s="634">
        <f>I_Wzorcowa_BD!AI5</f>
        <v/>
      </c>
      <c r="AJ102" s="634">
        <f>I_Wzorcowa_BD!AJ5</f>
        <v/>
      </c>
      <c r="AK102" s="634">
        <f>I_Wzorcowa_BD!AK5</f>
        <v/>
      </c>
      <c r="AL102" s="634">
        <f>I_Wzorcowa_BD!AL5</f>
        <v/>
      </c>
      <c r="AM102" s="634">
        <f>I_Wzorcowa_BD!AM5</f>
        <v/>
      </c>
      <c r="AN102" s="634">
        <f>I_Wzorcowa_BD!AN5</f>
        <v/>
      </c>
      <c r="AO102" s="634">
        <f>I_Wzorcowa_BD!AO5</f>
        <v/>
      </c>
      <c r="AP102" s="640">
        <f>I_Wzorcowa_BD!AP5</f>
        <v/>
      </c>
      <c r="AQ102" s="640">
        <f>I_Wzorcowa_BD!AQ5</f>
        <v/>
      </c>
      <c r="AR102" s="640">
        <f>I_Wzorcowa_BD!AR5</f>
        <v/>
      </c>
      <c r="AS102" s="640">
        <f>I_Wzorcowa_BD!AS5</f>
        <v/>
      </c>
      <c r="AT102" s="619">
        <f>I_Wzorcowa_BD!AT5</f>
        <v/>
      </c>
      <c r="AU102" s="619">
        <f>I_Wzorcowa_BD!AU5</f>
        <v/>
      </c>
      <c r="AV102" s="619">
        <f>I_Wzorcowa_BD!AV5</f>
        <v/>
      </c>
      <c r="AW102" s="619">
        <f>I_Wzorcowa_BD!AW5</f>
        <v/>
      </c>
      <c r="AX102" s="538">
        <f>I_Wzorcowa_BD!AX5</f>
        <v/>
      </c>
      <c r="AY102" s="538">
        <f>I_Wzorcowa_BD!AY5</f>
        <v/>
      </c>
      <c r="AZ102" s="538">
        <f>I_Wzorcowa_BD!AZ5</f>
        <v/>
      </c>
      <c r="BA102" s="538">
        <f>I_Wzorcowa_BD!BA5</f>
        <v/>
      </c>
      <c r="BB102" s="538">
        <f>I_Wzorcowa_BD!BB5</f>
        <v/>
      </c>
      <c r="BC102" s="538">
        <f>I_Wzorcowa_BD!BC5</f>
        <v/>
      </c>
      <c r="BD102" s="538">
        <f>I_Wzorcowa_BD!BD5</f>
        <v/>
      </c>
      <c r="BE102" s="538">
        <f>I_Wzorcowa_BD!BE5</f>
        <v/>
      </c>
      <c r="BF102" s="538">
        <f>I_Wzorcowa_BD!BF5</f>
        <v/>
      </c>
      <c r="BG102" s="538">
        <f>I_Wzorcowa_BD!BG5</f>
        <v/>
      </c>
      <c r="BH102" s="538">
        <f>I_Wzorcowa_BD!BH5</f>
        <v/>
      </c>
      <c r="BI102" s="538">
        <f>I_Wzorcowa_BD!BI5</f>
        <v/>
      </c>
      <c r="BJ102">
        <f>O102</f>
        <v/>
      </c>
      <c r="BK102">
        <f>SUM(AG102:AW102)</f>
        <v/>
      </c>
      <c r="BL102" s="531">
        <f>BJ102-BK102</f>
        <v/>
      </c>
      <c r="BM102" s="201" t="n"/>
    </row>
    <row r="103" hidden="1" outlineLevel="1" s="191">
      <c r="A103" s="538">
        <f>I_Wzorcowa_BD!A6</f>
        <v/>
      </c>
      <c r="B103" s="538">
        <f>I_Wzorcowa_BD!B6</f>
        <v/>
      </c>
      <c r="C103" s="538">
        <f>I_Wzorcowa_BD!C6</f>
        <v/>
      </c>
      <c r="D103" s="538">
        <f>I_Wzorcowa_BD!D6</f>
        <v/>
      </c>
      <c r="E103" s="538">
        <f>I_Wzorcowa_BD!E6</f>
        <v/>
      </c>
      <c r="F103" s="538">
        <f>I_Wzorcowa_BD!F6</f>
        <v/>
      </c>
      <c r="G103" s="538">
        <f>I_Wzorcowa_BD!G6</f>
        <v/>
      </c>
      <c r="H103" s="538">
        <f>I_Wzorcowa_BD!H6</f>
        <v/>
      </c>
      <c r="I103" s="538">
        <f>I_Wzorcowa_BD!I6</f>
        <v/>
      </c>
      <c r="J103" s="538">
        <f>I_Wzorcowa_BD!J6</f>
        <v/>
      </c>
      <c r="K103" s="672">
        <f>I_Wzorcowa_BD!K6</f>
        <v/>
      </c>
      <c r="L103" s="672">
        <f>I_Wzorcowa_BD!L6</f>
        <v/>
      </c>
      <c r="M103" s="538">
        <f>I_Wzorcowa_BD!M6</f>
        <v/>
      </c>
      <c r="N103" s="538">
        <f>I_Wzorcowa_BD!N6</f>
        <v/>
      </c>
      <c r="O103" s="538">
        <f>I_Wzorcowa_BD!O6</f>
        <v/>
      </c>
      <c r="P103" s="627">
        <f>I_Wzorcowa_BD!P6</f>
        <v/>
      </c>
      <c r="Q103" s="627">
        <f>I_Wzorcowa_BD!Q6</f>
        <v/>
      </c>
      <c r="R103" s="627">
        <f>I_Wzorcowa_BD!R6</f>
        <v/>
      </c>
      <c r="S103" s="627">
        <f>I_Wzorcowa_BD!S6</f>
        <v/>
      </c>
      <c r="T103" s="627">
        <f>I_Wzorcowa_BD!T6</f>
        <v/>
      </c>
      <c r="U103" s="627">
        <f>I_Wzorcowa_BD!U6</f>
        <v/>
      </c>
      <c r="V103" s="627">
        <f>I_Wzorcowa_BD!V6</f>
        <v/>
      </c>
      <c r="W103" s="627">
        <f>I_Wzorcowa_BD!W6</f>
        <v/>
      </c>
      <c r="X103" s="627">
        <f>I_Wzorcowa_BD!X6</f>
        <v/>
      </c>
      <c r="Y103" s="649">
        <f>I_Wzorcowa_BD!Y6</f>
        <v/>
      </c>
      <c r="Z103" s="649">
        <f>I_Wzorcowa_BD!Z6</f>
        <v/>
      </c>
      <c r="AA103" s="649">
        <f>I_Wzorcowa_BD!AA6</f>
        <v/>
      </c>
      <c r="AB103" s="649">
        <f>I_Wzorcowa_BD!AB6</f>
        <v/>
      </c>
      <c r="AC103" s="612">
        <f>I_Wzorcowa_BD!AC6</f>
        <v/>
      </c>
      <c r="AD103" s="612">
        <f>I_Wzorcowa_BD!AD6</f>
        <v/>
      </c>
      <c r="AE103" s="612">
        <f>I_Wzorcowa_BD!AE6</f>
        <v/>
      </c>
      <c r="AF103" s="612">
        <f>I_Wzorcowa_BD!AF6</f>
        <v/>
      </c>
      <c r="AG103" s="634">
        <f>I_Wzorcowa_BD!AG6</f>
        <v/>
      </c>
      <c r="AH103" s="634">
        <f>I_Wzorcowa_BD!AH6</f>
        <v/>
      </c>
      <c r="AI103" s="634">
        <f>I_Wzorcowa_BD!AI6</f>
        <v/>
      </c>
      <c r="AJ103" s="634">
        <f>I_Wzorcowa_BD!AJ6</f>
        <v/>
      </c>
      <c r="AK103" s="634">
        <f>I_Wzorcowa_BD!AK6</f>
        <v/>
      </c>
      <c r="AL103" s="634">
        <f>I_Wzorcowa_BD!AL6</f>
        <v/>
      </c>
      <c r="AM103" s="634">
        <f>I_Wzorcowa_BD!AM6</f>
        <v/>
      </c>
      <c r="AN103" s="634">
        <f>I_Wzorcowa_BD!AN6</f>
        <v/>
      </c>
      <c r="AO103" s="634">
        <f>I_Wzorcowa_BD!AO6</f>
        <v/>
      </c>
      <c r="AP103" s="640">
        <f>I_Wzorcowa_BD!AP6</f>
        <v/>
      </c>
      <c r="AQ103" s="640">
        <f>I_Wzorcowa_BD!AQ6</f>
        <v/>
      </c>
      <c r="AR103" s="640">
        <f>I_Wzorcowa_BD!AR6</f>
        <v/>
      </c>
      <c r="AS103" s="640">
        <f>I_Wzorcowa_BD!AS6</f>
        <v/>
      </c>
      <c r="AT103" s="619">
        <f>I_Wzorcowa_BD!AT6</f>
        <v/>
      </c>
      <c r="AU103" s="619">
        <f>I_Wzorcowa_BD!AU6</f>
        <v/>
      </c>
      <c r="AV103" s="619">
        <f>I_Wzorcowa_BD!AV6</f>
        <v/>
      </c>
      <c r="AW103" s="619">
        <f>I_Wzorcowa_BD!AW6</f>
        <v/>
      </c>
      <c r="AX103" s="538">
        <f>I_Wzorcowa_BD!AX6</f>
        <v/>
      </c>
      <c r="AY103" s="538">
        <f>I_Wzorcowa_BD!AY6</f>
        <v/>
      </c>
      <c r="AZ103" s="538">
        <f>I_Wzorcowa_BD!AZ6</f>
        <v/>
      </c>
      <c r="BA103" s="538">
        <f>I_Wzorcowa_BD!BA6</f>
        <v/>
      </c>
      <c r="BB103" s="538">
        <f>I_Wzorcowa_BD!BB6</f>
        <v/>
      </c>
      <c r="BC103" s="538">
        <f>I_Wzorcowa_BD!BC6</f>
        <v/>
      </c>
      <c r="BD103" s="538">
        <f>I_Wzorcowa_BD!BD6</f>
        <v/>
      </c>
      <c r="BE103" s="538">
        <f>I_Wzorcowa_BD!BE6</f>
        <v/>
      </c>
      <c r="BF103" s="538">
        <f>I_Wzorcowa_BD!BF6</f>
        <v/>
      </c>
      <c r="BG103" s="538">
        <f>I_Wzorcowa_BD!BG6</f>
        <v/>
      </c>
      <c r="BH103" s="538">
        <f>I_Wzorcowa_BD!BH6</f>
        <v/>
      </c>
      <c r="BI103" s="538">
        <f>I_Wzorcowa_BD!BI6</f>
        <v/>
      </c>
      <c r="BJ103">
        <f>O103</f>
        <v/>
      </c>
      <c r="BK103">
        <f>SUM(AG103:AW103)</f>
        <v/>
      </c>
      <c r="BL103" s="531">
        <f>BJ103-BK103</f>
        <v/>
      </c>
      <c r="BM103" s="201" t="n"/>
    </row>
    <row r="104" hidden="1" outlineLevel="1" s="191">
      <c r="A104" s="538">
        <f>I_Wzorcowa_BD!A7</f>
        <v/>
      </c>
      <c r="B104" s="538">
        <f>I_Wzorcowa_BD!B7</f>
        <v/>
      </c>
      <c r="C104" s="538">
        <f>I_Wzorcowa_BD!C7</f>
        <v/>
      </c>
      <c r="D104" s="538">
        <f>I_Wzorcowa_BD!D7</f>
        <v/>
      </c>
      <c r="E104" s="538">
        <f>I_Wzorcowa_BD!E7</f>
        <v/>
      </c>
      <c r="F104" s="538">
        <f>I_Wzorcowa_BD!F7</f>
        <v/>
      </c>
      <c r="G104" s="538">
        <f>I_Wzorcowa_BD!G7</f>
        <v/>
      </c>
      <c r="H104" s="538">
        <f>I_Wzorcowa_BD!H7</f>
        <v/>
      </c>
      <c r="I104" s="538">
        <f>I_Wzorcowa_BD!I7</f>
        <v/>
      </c>
      <c r="J104" s="538">
        <f>I_Wzorcowa_BD!J7</f>
        <v/>
      </c>
      <c r="K104" s="672">
        <f>I_Wzorcowa_BD!K7</f>
        <v/>
      </c>
      <c r="L104" s="672">
        <f>I_Wzorcowa_BD!L7</f>
        <v/>
      </c>
      <c r="M104" s="538">
        <f>I_Wzorcowa_BD!M7</f>
        <v/>
      </c>
      <c r="N104" s="538">
        <f>I_Wzorcowa_BD!N7</f>
        <v/>
      </c>
      <c r="O104" s="538">
        <f>I_Wzorcowa_BD!O7</f>
        <v/>
      </c>
      <c r="P104" s="627">
        <f>I_Wzorcowa_BD!P7</f>
        <v/>
      </c>
      <c r="Q104" s="627">
        <f>I_Wzorcowa_BD!Q7</f>
        <v/>
      </c>
      <c r="R104" s="627">
        <f>I_Wzorcowa_BD!R7</f>
        <v/>
      </c>
      <c r="S104" s="627">
        <f>I_Wzorcowa_BD!S7</f>
        <v/>
      </c>
      <c r="T104" s="627">
        <f>I_Wzorcowa_BD!T7</f>
        <v/>
      </c>
      <c r="U104" s="627">
        <f>I_Wzorcowa_BD!U7</f>
        <v/>
      </c>
      <c r="V104" s="627">
        <f>I_Wzorcowa_BD!V7</f>
        <v/>
      </c>
      <c r="W104" s="627">
        <f>I_Wzorcowa_BD!W7</f>
        <v/>
      </c>
      <c r="X104" s="627">
        <f>I_Wzorcowa_BD!X7</f>
        <v/>
      </c>
      <c r="Y104" s="649">
        <f>I_Wzorcowa_BD!Y7</f>
        <v/>
      </c>
      <c r="Z104" s="649">
        <f>I_Wzorcowa_BD!Z7</f>
        <v/>
      </c>
      <c r="AA104" s="649">
        <f>I_Wzorcowa_BD!AA7</f>
        <v/>
      </c>
      <c r="AB104" s="649">
        <f>I_Wzorcowa_BD!AB7</f>
        <v/>
      </c>
      <c r="AC104" s="612">
        <f>I_Wzorcowa_BD!AC7</f>
        <v/>
      </c>
      <c r="AD104" s="612">
        <f>I_Wzorcowa_BD!AD7</f>
        <v/>
      </c>
      <c r="AE104" s="612">
        <f>I_Wzorcowa_BD!AE7</f>
        <v/>
      </c>
      <c r="AF104" s="612">
        <f>I_Wzorcowa_BD!AF7</f>
        <v/>
      </c>
      <c r="AG104" s="634">
        <f>I_Wzorcowa_BD!AG7</f>
        <v/>
      </c>
      <c r="AH104" s="634">
        <f>I_Wzorcowa_BD!AH7</f>
        <v/>
      </c>
      <c r="AI104" s="634">
        <f>I_Wzorcowa_BD!AI7</f>
        <v/>
      </c>
      <c r="AJ104" s="634">
        <f>I_Wzorcowa_BD!AJ7</f>
        <v/>
      </c>
      <c r="AK104" s="634">
        <f>I_Wzorcowa_BD!AK7</f>
        <v/>
      </c>
      <c r="AL104" s="634">
        <f>I_Wzorcowa_BD!AL7</f>
        <v/>
      </c>
      <c r="AM104" s="634">
        <f>I_Wzorcowa_BD!AM7</f>
        <v/>
      </c>
      <c r="AN104" s="634">
        <f>I_Wzorcowa_BD!AN7</f>
        <v/>
      </c>
      <c r="AO104" s="634">
        <f>I_Wzorcowa_BD!AO7</f>
        <v/>
      </c>
      <c r="AP104" s="640">
        <f>I_Wzorcowa_BD!AP7</f>
        <v/>
      </c>
      <c r="AQ104" s="640">
        <f>I_Wzorcowa_BD!AQ7</f>
        <v/>
      </c>
      <c r="AR104" s="640">
        <f>I_Wzorcowa_BD!AR7</f>
        <v/>
      </c>
      <c r="AS104" s="640">
        <f>I_Wzorcowa_BD!AS7</f>
        <v/>
      </c>
      <c r="AT104" s="619">
        <f>I_Wzorcowa_BD!AT7</f>
        <v/>
      </c>
      <c r="AU104" s="619">
        <f>I_Wzorcowa_BD!AU7</f>
        <v/>
      </c>
      <c r="AV104" s="619">
        <f>I_Wzorcowa_BD!AV7</f>
        <v/>
      </c>
      <c r="AW104" s="619">
        <f>I_Wzorcowa_BD!AW7</f>
        <v/>
      </c>
      <c r="AX104" s="538">
        <f>I_Wzorcowa_BD!AX7</f>
        <v/>
      </c>
      <c r="AY104" s="538">
        <f>I_Wzorcowa_BD!AY7</f>
        <v/>
      </c>
      <c r="AZ104" s="538">
        <f>I_Wzorcowa_BD!AZ7</f>
        <v/>
      </c>
      <c r="BA104" s="538">
        <f>I_Wzorcowa_BD!BA7</f>
        <v/>
      </c>
      <c r="BB104" s="538">
        <f>I_Wzorcowa_BD!BB7</f>
        <v/>
      </c>
      <c r="BC104" s="538">
        <f>I_Wzorcowa_BD!BC7</f>
        <v/>
      </c>
      <c r="BD104" s="538">
        <f>I_Wzorcowa_BD!BD7</f>
        <v/>
      </c>
      <c r="BE104" s="538">
        <f>I_Wzorcowa_BD!BE7</f>
        <v/>
      </c>
      <c r="BF104" s="538">
        <f>I_Wzorcowa_BD!BF7</f>
        <v/>
      </c>
      <c r="BG104" s="538">
        <f>I_Wzorcowa_BD!BG7</f>
        <v/>
      </c>
      <c r="BH104" s="538">
        <f>I_Wzorcowa_BD!BH7</f>
        <v/>
      </c>
      <c r="BI104" s="538">
        <f>I_Wzorcowa_BD!BI7</f>
        <v/>
      </c>
      <c r="BJ104">
        <f>O104</f>
        <v/>
      </c>
      <c r="BK104">
        <f>SUM(AG104:AW104)</f>
        <v/>
      </c>
      <c r="BL104" s="531">
        <f>BJ104-BK104</f>
        <v/>
      </c>
      <c r="BM104" s="201" t="n"/>
    </row>
    <row r="105" hidden="1" outlineLevel="1" s="191">
      <c r="A105" s="538">
        <f>I_Wzorcowa_BD!A8</f>
        <v/>
      </c>
      <c r="B105" s="538">
        <f>I_Wzorcowa_BD!B8</f>
        <v/>
      </c>
      <c r="C105" s="538">
        <f>I_Wzorcowa_BD!C8</f>
        <v/>
      </c>
      <c r="D105" s="538">
        <f>I_Wzorcowa_BD!D8</f>
        <v/>
      </c>
      <c r="E105" s="538">
        <f>I_Wzorcowa_BD!E8</f>
        <v/>
      </c>
      <c r="F105" s="538">
        <f>I_Wzorcowa_BD!F8</f>
        <v/>
      </c>
      <c r="G105" s="538">
        <f>I_Wzorcowa_BD!G8</f>
        <v/>
      </c>
      <c r="H105" s="538">
        <f>I_Wzorcowa_BD!H8</f>
        <v/>
      </c>
      <c r="I105" s="538">
        <f>I_Wzorcowa_BD!I8</f>
        <v/>
      </c>
      <c r="J105" s="538">
        <f>I_Wzorcowa_BD!J8</f>
        <v/>
      </c>
      <c r="K105" s="672">
        <f>I_Wzorcowa_BD!K8</f>
        <v/>
      </c>
      <c r="L105" s="672">
        <f>I_Wzorcowa_BD!L8</f>
        <v/>
      </c>
      <c r="M105" s="538">
        <f>I_Wzorcowa_BD!M8</f>
        <v/>
      </c>
      <c r="N105" s="538">
        <f>I_Wzorcowa_BD!N8</f>
        <v/>
      </c>
      <c r="O105" s="538">
        <f>I_Wzorcowa_BD!O8</f>
        <v/>
      </c>
      <c r="P105" s="627">
        <f>I_Wzorcowa_BD!P8</f>
        <v/>
      </c>
      <c r="Q105" s="627">
        <f>I_Wzorcowa_BD!Q8</f>
        <v/>
      </c>
      <c r="R105" s="627">
        <f>I_Wzorcowa_BD!R8</f>
        <v/>
      </c>
      <c r="S105" s="627">
        <f>I_Wzorcowa_BD!S8</f>
        <v/>
      </c>
      <c r="T105" s="627">
        <f>I_Wzorcowa_BD!T8</f>
        <v/>
      </c>
      <c r="U105" s="627">
        <f>I_Wzorcowa_BD!U8</f>
        <v/>
      </c>
      <c r="V105" s="627">
        <f>I_Wzorcowa_BD!V8</f>
        <v/>
      </c>
      <c r="W105" s="627">
        <f>I_Wzorcowa_BD!W8</f>
        <v/>
      </c>
      <c r="X105" s="627">
        <f>I_Wzorcowa_BD!X8</f>
        <v/>
      </c>
      <c r="Y105" s="649">
        <f>I_Wzorcowa_BD!Y8</f>
        <v/>
      </c>
      <c r="Z105" s="649">
        <f>I_Wzorcowa_BD!Z8</f>
        <v/>
      </c>
      <c r="AA105" s="649">
        <f>I_Wzorcowa_BD!AA8</f>
        <v/>
      </c>
      <c r="AB105" s="649">
        <f>I_Wzorcowa_BD!AB8</f>
        <v/>
      </c>
      <c r="AC105" s="612">
        <f>I_Wzorcowa_BD!AC8</f>
        <v/>
      </c>
      <c r="AD105" s="612">
        <f>I_Wzorcowa_BD!AD8</f>
        <v/>
      </c>
      <c r="AE105" s="612">
        <f>I_Wzorcowa_BD!AE8</f>
        <v/>
      </c>
      <c r="AF105" s="612">
        <f>I_Wzorcowa_BD!AF8</f>
        <v/>
      </c>
      <c r="AG105" s="634">
        <f>I_Wzorcowa_BD!AG8</f>
        <v/>
      </c>
      <c r="AH105" s="634">
        <f>I_Wzorcowa_BD!AH8</f>
        <v/>
      </c>
      <c r="AI105" s="634">
        <f>I_Wzorcowa_BD!AI8</f>
        <v/>
      </c>
      <c r="AJ105" s="634">
        <f>I_Wzorcowa_BD!AJ8</f>
        <v/>
      </c>
      <c r="AK105" s="634">
        <f>I_Wzorcowa_BD!AK8</f>
        <v/>
      </c>
      <c r="AL105" s="634">
        <f>I_Wzorcowa_BD!AL8</f>
        <v/>
      </c>
      <c r="AM105" s="634">
        <f>I_Wzorcowa_BD!AM8</f>
        <v/>
      </c>
      <c r="AN105" s="634">
        <f>I_Wzorcowa_BD!AN8</f>
        <v/>
      </c>
      <c r="AO105" s="634">
        <f>I_Wzorcowa_BD!AO8</f>
        <v/>
      </c>
      <c r="AP105" s="640">
        <f>I_Wzorcowa_BD!AP8</f>
        <v/>
      </c>
      <c r="AQ105" s="640">
        <f>I_Wzorcowa_BD!AQ8</f>
        <v/>
      </c>
      <c r="AR105" s="640">
        <f>I_Wzorcowa_BD!AR8</f>
        <v/>
      </c>
      <c r="AS105" s="640">
        <f>I_Wzorcowa_BD!AS8</f>
        <v/>
      </c>
      <c r="AT105" s="619">
        <f>I_Wzorcowa_BD!AT8</f>
        <v/>
      </c>
      <c r="AU105" s="619">
        <f>I_Wzorcowa_BD!AU8</f>
        <v/>
      </c>
      <c r="AV105" s="619">
        <f>I_Wzorcowa_BD!AV8</f>
        <v/>
      </c>
      <c r="AW105" s="619">
        <f>I_Wzorcowa_BD!AW8</f>
        <v/>
      </c>
      <c r="AX105" s="538">
        <f>I_Wzorcowa_BD!AX8</f>
        <v/>
      </c>
      <c r="AY105" s="538">
        <f>I_Wzorcowa_BD!AY8</f>
        <v/>
      </c>
      <c r="AZ105" s="538">
        <f>I_Wzorcowa_BD!AZ8</f>
        <v/>
      </c>
      <c r="BA105" s="538">
        <f>I_Wzorcowa_BD!BA8</f>
        <v/>
      </c>
      <c r="BB105" s="538">
        <f>I_Wzorcowa_BD!BB8</f>
        <v/>
      </c>
      <c r="BC105" s="538">
        <f>I_Wzorcowa_BD!BC8</f>
        <v/>
      </c>
      <c r="BD105" s="538">
        <f>I_Wzorcowa_BD!BD8</f>
        <v/>
      </c>
      <c r="BE105" s="538">
        <f>I_Wzorcowa_BD!BE8</f>
        <v/>
      </c>
      <c r="BF105" s="538">
        <f>I_Wzorcowa_BD!BF8</f>
        <v/>
      </c>
      <c r="BG105" s="538">
        <f>I_Wzorcowa_BD!BG8</f>
        <v/>
      </c>
      <c r="BH105" s="538">
        <f>I_Wzorcowa_BD!BH8</f>
        <v/>
      </c>
      <c r="BI105" s="538">
        <f>I_Wzorcowa_BD!BI8</f>
        <v/>
      </c>
      <c r="BJ105">
        <f>O105</f>
        <v/>
      </c>
      <c r="BK105">
        <f>SUM(AG105:AW105)</f>
        <v/>
      </c>
      <c r="BL105" s="531">
        <f>BJ105-BK105</f>
        <v/>
      </c>
      <c r="BM105" s="201" t="n"/>
    </row>
    <row r="106" hidden="1" outlineLevel="1" s="191">
      <c r="A106" s="538">
        <f>I_Wzorcowa_BD!A9</f>
        <v/>
      </c>
      <c r="B106" s="538">
        <f>I_Wzorcowa_BD!B9</f>
        <v/>
      </c>
      <c r="C106" s="538">
        <f>I_Wzorcowa_BD!C9</f>
        <v/>
      </c>
      <c r="D106" s="538">
        <f>I_Wzorcowa_BD!D9</f>
        <v/>
      </c>
      <c r="E106" s="538">
        <f>I_Wzorcowa_BD!E9</f>
        <v/>
      </c>
      <c r="F106" s="538">
        <f>I_Wzorcowa_BD!F9</f>
        <v/>
      </c>
      <c r="G106" s="538">
        <f>I_Wzorcowa_BD!G9</f>
        <v/>
      </c>
      <c r="H106" s="538">
        <f>I_Wzorcowa_BD!H9</f>
        <v/>
      </c>
      <c r="I106" s="538">
        <f>I_Wzorcowa_BD!I9</f>
        <v/>
      </c>
      <c r="J106" s="538">
        <f>I_Wzorcowa_BD!J9</f>
        <v/>
      </c>
      <c r="K106" s="672">
        <f>I_Wzorcowa_BD!K9</f>
        <v/>
      </c>
      <c r="L106" s="672">
        <f>I_Wzorcowa_BD!L9</f>
        <v/>
      </c>
      <c r="M106" s="538">
        <f>I_Wzorcowa_BD!M9</f>
        <v/>
      </c>
      <c r="N106" s="538">
        <f>I_Wzorcowa_BD!N9</f>
        <v/>
      </c>
      <c r="O106" s="538">
        <f>I_Wzorcowa_BD!O9</f>
        <v/>
      </c>
      <c r="P106" s="627">
        <f>I_Wzorcowa_BD!P9</f>
        <v/>
      </c>
      <c r="Q106" s="627">
        <f>I_Wzorcowa_BD!Q9</f>
        <v/>
      </c>
      <c r="R106" s="627">
        <f>I_Wzorcowa_BD!R9</f>
        <v/>
      </c>
      <c r="S106" s="627">
        <f>I_Wzorcowa_BD!S9</f>
        <v/>
      </c>
      <c r="T106" s="627">
        <f>I_Wzorcowa_BD!T9</f>
        <v/>
      </c>
      <c r="U106" s="627">
        <f>I_Wzorcowa_BD!U9</f>
        <v/>
      </c>
      <c r="V106" s="627">
        <f>I_Wzorcowa_BD!V9</f>
        <v/>
      </c>
      <c r="W106" s="627">
        <f>I_Wzorcowa_BD!W9</f>
        <v/>
      </c>
      <c r="X106" s="627">
        <f>I_Wzorcowa_BD!X9</f>
        <v/>
      </c>
      <c r="Y106" s="649">
        <f>I_Wzorcowa_BD!Y9</f>
        <v/>
      </c>
      <c r="Z106" s="649">
        <f>I_Wzorcowa_BD!Z9</f>
        <v/>
      </c>
      <c r="AA106" s="649">
        <f>I_Wzorcowa_BD!AA9</f>
        <v/>
      </c>
      <c r="AB106" s="649">
        <f>I_Wzorcowa_BD!AB9</f>
        <v/>
      </c>
      <c r="AC106" s="612">
        <f>I_Wzorcowa_BD!AC9</f>
        <v/>
      </c>
      <c r="AD106" s="612">
        <f>I_Wzorcowa_BD!AD9</f>
        <v/>
      </c>
      <c r="AE106" s="612">
        <f>I_Wzorcowa_BD!AE9</f>
        <v/>
      </c>
      <c r="AF106" s="612">
        <f>I_Wzorcowa_BD!AF9</f>
        <v/>
      </c>
      <c r="AG106" s="634">
        <f>I_Wzorcowa_BD!AG9</f>
        <v/>
      </c>
      <c r="AH106" s="634">
        <f>I_Wzorcowa_BD!AH9</f>
        <v/>
      </c>
      <c r="AI106" s="634">
        <f>I_Wzorcowa_BD!AI9</f>
        <v/>
      </c>
      <c r="AJ106" s="634">
        <f>I_Wzorcowa_BD!AJ9</f>
        <v/>
      </c>
      <c r="AK106" s="634">
        <f>I_Wzorcowa_BD!AK9</f>
        <v/>
      </c>
      <c r="AL106" s="634">
        <f>I_Wzorcowa_BD!AL9</f>
        <v/>
      </c>
      <c r="AM106" s="634">
        <f>I_Wzorcowa_BD!AM9</f>
        <v/>
      </c>
      <c r="AN106" s="634">
        <f>I_Wzorcowa_BD!AN9</f>
        <v/>
      </c>
      <c r="AO106" s="634">
        <f>I_Wzorcowa_BD!AO9</f>
        <v/>
      </c>
      <c r="AP106" s="640">
        <f>I_Wzorcowa_BD!AP9</f>
        <v/>
      </c>
      <c r="AQ106" s="640">
        <f>I_Wzorcowa_BD!AQ9</f>
        <v/>
      </c>
      <c r="AR106" s="640">
        <f>I_Wzorcowa_BD!AR9</f>
        <v/>
      </c>
      <c r="AS106" s="640">
        <f>I_Wzorcowa_BD!AS9</f>
        <v/>
      </c>
      <c r="AT106" s="619">
        <f>I_Wzorcowa_BD!AT9</f>
        <v/>
      </c>
      <c r="AU106" s="619">
        <f>I_Wzorcowa_BD!AU9</f>
        <v/>
      </c>
      <c r="AV106" s="619">
        <f>I_Wzorcowa_BD!AV9</f>
        <v/>
      </c>
      <c r="AW106" s="619">
        <f>I_Wzorcowa_BD!AW9</f>
        <v/>
      </c>
      <c r="AX106" s="538">
        <f>I_Wzorcowa_BD!AX9</f>
        <v/>
      </c>
      <c r="AY106" s="538">
        <f>I_Wzorcowa_BD!AY9</f>
        <v/>
      </c>
      <c r="AZ106" s="538">
        <f>I_Wzorcowa_BD!AZ9</f>
        <v/>
      </c>
      <c r="BA106" s="538">
        <f>I_Wzorcowa_BD!BA9</f>
        <v/>
      </c>
      <c r="BB106" s="538">
        <f>I_Wzorcowa_BD!BB9</f>
        <v/>
      </c>
      <c r="BC106" s="538">
        <f>I_Wzorcowa_BD!BC9</f>
        <v/>
      </c>
      <c r="BD106" s="538">
        <f>I_Wzorcowa_BD!BD9</f>
        <v/>
      </c>
      <c r="BE106" s="538">
        <f>I_Wzorcowa_BD!BE9</f>
        <v/>
      </c>
      <c r="BF106" s="538">
        <f>I_Wzorcowa_BD!BF9</f>
        <v/>
      </c>
      <c r="BG106" s="538">
        <f>I_Wzorcowa_BD!BG9</f>
        <v/>
      </c>
      <c r="BH106" s="538">
        <f>I_Wzorcowa_BD!BH9</f>
        <v/>
      </c>
      <c r="BI106" s="538">
        <f>I_Wzorcowa_BD!BI9</f>
        <v/>
      </c>
      <c r="BJ106">
        <f>O106</f>
        <v/>
      </c>
      <c r="BK106">
        <f>SUM(AG106:AW106)</f>
        <v/>
      </c>
      <c r="BL106" s="531">
        <f>BJ106-BK106</f>
        <v/>
      </c>
      <c r="BM106" s="201" t="n"/>
    </row>
    <row r="107" hidden="1" outlineLevel="1" s="191">
      <c r="A107" s="538">
        <f>I_Wzorcowa_BD!A10</f>
        <v/>
      </c>
      <c r="B107" s="538">
        <f>I_Wzorcowa_BD!B10</f>
        <v/>
      </c>
      <c r="C107" s="538">
        <f>I_Wzorcowa_BD!C10</f>
        <v/>
      </c>
      <c r="D107" s="538">
        <f>I_Wzorcowa_BD!D10</f>
        <v/>
      </c>
      <c r="E107" s="538">
        <f>I_Wzorcowa_BD!E10</f>
        <v/>
      </c>
      <c r="F107" s="538">
        <f>I_Wzorcowa_BD!F10</f>
        <v/>
      </c>
      <c r="G107" s="538">
        <f>I_Wzorcowa_BD!G10</f>
        <v/>
      </c>
      <c r="H107" s="538">
        <f>I_Wzorcowa_BD!H10</f>
        <v/>
      </c>
      <c r="I107" s="538">
        <f>I_Wzorcowa_BD!I10</f>
        <v/>
      </c>
      <c r="J107" s="538">
        <f>I_Wzorcowa_BD!J10</f>
        <v/>
      </c>
      <c r="K107" s="672">
        <f>I_Wzorcowa_BD!K10</f>
        <v/>
      </c>
      <c r="L107" s="672">
        <f>I_Wzorcowa_BD!L10</f>
        <v/>
      </c>
      <c r="M107" s="538">
        <f>I_Wzorcowa_BD!M10</f>
        <v/>
      </c>
      <c r="N107" s="538">
        <f>I_Wzorcowa_BD!N10</f>
        <v/>
      </c>
      <c r="O107" s="538">
        <f>I_Wzorcowa_BD!O10</f>
        <v/>
      </c>
      <c r="P107" s="627">
        <f>I_Wzorcowa_BD!P10</f>
        <v/>
      </c>
      <c r="Q107" s="627">
        <f>I_Wzorcowa_BD!Q10</f>
        <v/>
      </c>
      <c r="R107" s="627">
        <f>I_Wzorcowa_BD!R10</f>
        <v/>
      </c>
      <c r="S107" s="627">
        <f>I_Wzorcowa_BD!S10</f>
        <v/>
      </c>
      <c r="T107" s="627">
        <f>I_Wzorcowa_BD!T10</f>
        <v/>
      </c>
      <c r="U107" s="627">
        <f>I_Wzorcowa_BD!U10</f>
        <v/>
      </c>
      <c r="V107" s="627">
        <f>I_Wzorcowa_BD!V10</f>
        <v/>
      </c>
      <c r="W107" s="627">
        <f>I_Wzorcowa_BD!W10</f>
        <v/>
      </c>
      <c r="X107" s="627">
        <f>I_Wzorcowa_BD!X10</f>
        <v/>
      </c>
      <c r="Y107" s="649">
        <f>I_Wzorcowa_BD!Y10</f>
        <v/>
      </c>
      <c r="Z107" s="649">
        <f>I_Wzorcowa_BD!Z10</f>
        <v/>
      </c>
      <c r="AA107" s="649">
        <f>I_Wzorcowa_BD!AA10</f>
        <v/>
      </c>
      <c r="AB107" s="649">
        <f>I_Wzorcowa_BD!AB10</f>
        <v/>
      </c>
      <c r="AC107" s="612">
        <f>I_Wzorcowa_BD!AC10</f>
        <v/>
      </c>
      <c r="AD107" s="612">
        <f>I_Wzorcowa_BD!AD10</f>
        <v/>
      </c>
      <c r="AE107" s="612">
        <f>I_Wzorcowa_BD!AE10</f>
        <v/>
      </c>
      <c r="AF107" s="612">
        <f>I_Wzorcowa_BD!AF10</f>
        <v/>
      </c>
      <c r="AG107" s="634">
        <f>I_Wzorcowa_BD!AG10</f>
        <v/>
      </c>
      <c r="AH107" s="634">
        <f>I_Wzorcowa_BD!AH10</f>
        <v/>
      </c>
      <c r="AI107" s="634">
        <f>I_Wzorcowa_BD!AI10</f>
        <v/>
      </c>
      <c r="AJ107" s="634">
        <f>I_Wzorcowa_BD!AJ10</f>
        <v/>
      </c>
      <c r="AK107" s="634">
        <f>I_Wzorcowa_BD!AK10</f>
        <v/>
      </c>
      <c r="AL107" s="634">
        <f>I_Wzorcowa_BD!AL10</f>
        <v/>
      </c>
      <c r="AM107" s="634">
        <f>I_Wzorcowa_BD!AM10</f>
        <v/>
      </c>
      <c r="AN107" s="634">
        <f>I_Wzorcowa_BD!AN10</f>
        <v/>
      </c>
      <c r="AO107" s="634">
        <f>I_Wzorcowa_BD!AO10</f>
        <v/>
      </c>
      <c r="AP107" s="640">
        <f>I_Wzorcowa_BD!AP10</f>
        <v/>
      </c>
      <c r="AQ107" s="640">
        <f>I_Wzorcowa_BD!AQ10</f>
        <v/>
      </c>
      <c r="AR107" s="640">
        <f>I_Wzorcowa_BD!AR10</f>
        <v/>
      </c>
      <c r="AS107" s="640">
        <f>I_Wzorcowa_BD!AS10</f>
        <v/>
      </c>
      <c r="AT107" s="619">
        <f>I_Wzorcowa_BD!AT10</f>
        <v/>
      </c>
      <c r="AU107" s="619">
        <f>I_Wzorcowa_BD!AU10</f>
        <v/>
      </c>
      <c r="AV107" s="619">
        <f>I_Wzorcowa_BD!AV10</f>
        <v/>
      </c>
      <c r="AW107" s="619">
        <f>I_Wzorcowa_BD!AW10</f>
        <v/>
      </c>
      <c r="AX107" s="538">
        <f>I_Wzorcowa_BD!AX10</f>
        <v/>
      </c>
      <c r="AY107" s="538">
        <f>I_Wzorcowa_BD!AY10</f>
        <v/>
      </c>
      <c r="AZ107" s="538">
        <f>I_Wzorcowa_BD!AZ10</f>
        <v/>
      </c>
      <c r="BA107" s="538">
        <f>I_Wzorcowa_BD!BA10</f>
        <v/>
      </c>
      <c r="BB107" s="538">
        <f>I_Wzorcowa_BD!BB10</f>
        <v/>
      </c>
      <c r="BC107" s="538">
        <f>I_Wzorcowa_BD!BC10</f>
        <v/>
      </c>
      <c r="BD107" s="538">
        <f>I_Wzorcowa_BD!BD10</f>
        <v/>
      </c>
      <c r="BE107" s="538">
        <f>I_Wzorcowa_BD!BE10</f>
        <v/>
      </c>
      <c r="BF107" s="538">
        <f>I_Wzorcowa_BD!BF10</f>
        <v/>
      </c>
      <c r="BG107" s="538">
        <f>I_Wzorcowa_BD!BG10</f>
        <v/>
      </c>
      <c r="BH107" s="538">
        <f>I_Wzorcowa_BD!BH10</f>
        <v/>
      </c>
      <c r="BI107" s="538">
        <f>I_Wzorcowa_BD!BI10</f>
        <v/>
      </c>
      <c r="BJ107">
        <f>O107</f>
        <v/>
      </c>
      <c r="BK107">
        <f>SUM(AG107:AW107)</f>
        <v/>
      </c>
      <c r="BL107" s="531">
        <f>BJ107-BK107</f>
        <v/>
      </c>
      <c r="BM107" s="201" t="n"/>
    </row>
    <row r="108" hidden="1" outlineLevel="1" s="191">
      <c r="A108" s="538">
        <f>I_Wzorcowa_BD!A11</f>
        <v/>
      </c>
      <c r="B108" s="538">
        <f>I_Wzorcowa_BD!B11</f>
        <v/>
      </c>
      <c r="C108" s="538">
        <f>I_Wzorcowa_BD!C11</f>
        <v/>
      </c>
      <c r="D108" s="538">
        <f>I_Wzorcowa_BD!D11</f>
        <v/>
      </c>
      <c r="E108" s="538">
        <f>I_Wzorcowa_BD!E11</f>
        <v/>
      </c>
      <c r="F108" s="538">
        <f>I_Wzorcowa_BD!F11</f>
        <v/>
      </c>
      <c r="G108" s="538">
        <f>I_Wzorcowa_BD!G11</f>
        <v/>
      </c>
      <c r="H108" s="538">
        <f>I_Wzorcowa_BD!H11</f>
        <v/>
      </c>
      <c r="I108" s="538">
        <f>I_Wzorcowa_BD!I11</f>
        <v/>
      </c>
      <c r="J108" s="538">
        <f>I_Wzorcowa_BD!J11</f>
        <v/>
      </c>
      <c r="K108" s="672">
        <f>I_Wzorcowa_BD!K11</f>
        <v/>
      </c>
      <c r="L108" s="672">
        <f>I_Wzorcowa_BD!L11</f>
        <v/>
      </c>
      <c r="M108" s="538">
        <f>I_Wzorcowa_BD!M11</f>
        <v/>
      </c>
      <c r="N108" s="538">
        <f>I_Wzorcowa_BD!N11</f>
        <v/>
      </c>
      <c r="O108" s="538">
        <f>I_Wzorcowa_BD!O11</f>
        <v/>
      </c>
      <c r="P108" s="627">
        <f>I_Wzorcowa_BD!P11</f>
        <v/>
      </c>
      <c r="Q108" s="627">
        <f>I_Wzorcowa_BD!Q11</f>
        <v/>
      </c>
      <c r="R108" s="627">
        <f>I_Wzorcowa_BD!R11</f>
        <v/>
      </c>
      <c r="S108" s="627">
        <f>I_Wzorcowa_BD!S11</f>
        <v/>
      </c>
      <c r="T108" s="627">
        <f>I_Wzorcowa_BD!T11</f>
        <v/>
      </c>
      <c r="U108" s="627">
        <f>I_Wzorcowa_BD!U11</f>
        <v/>
      </c>
      <c r="V108" s="627">
        <f>I_Wzorcowa_BD!V11</f>
        <v/>
      </c>
      <c r="W108" s="627">
        <f>I_Wzorcowa_BD!W11</f>
        <v/>
      </c>
      <c r="X108" s="627">
        <f>I_Wzorcowa_BD!X11</f>
        <v/>
      </c>
      <c r="Y108" s="649">
        <f>I_Wzorcowa_BD!Y11</f>
        <v/>
      </c>
      <c r="Z108" s="649">
        <f>I_Wzorcowa_BD!Z11</f>
        <v/>
      </c>
      <c r="AA108" s="649">
        <f>I_Wzorcowa_BD!AA11</f>
        <v/>
      </c>
      <c r="AB108" s="649">
        <f>I_Wzorcowa_BD!AB11</f>
        <v/>
      </c>
      <c r="AC108" s="612">
        <f>I_Wzorcowa_BD!AC11</f>
        <v/>
      </c>
      <c r="AD108" s="612">
        <f>I_Wzorcowa_BD!AD11</f>
        <v/>
      </c>
      <c r="AE108" s="612">
        <f>I_Wzorcowa_BD!AE11</f>
        <v/>
      </c>
      <c r="AF108" s="612">
        <f>I_Wzorcowa_BD!AF11</f>
        <v/>
      </c>
      <c r="AG108" s="634">
        <f>I_Wzorcowa_BD!AG11</f>
        <v/>
      </c>
      <c r="AH108" s="634">
        <f>I_Wzorcowa_BD!AH11</f>
        <v/>
      </c>
      <c r="AI108" s="634">
        <f>I_Wzorcowa_BD!AI11</f>
        <v/>
      </c>
      <c r="AJ108" s="634">
        <f>I_Wzorcowa_BD!AJ11</f>
        <v/>
      </c>
      <c r="AK108" s="634">
        <f>I_Wzorcowa_BD!AK11</f>
        <v/>
      </c>
      <c r="AL108" s="634">
        <f>I_Wzorcowa_BD!AL11</f>
        <v/>
      </c>
      <c r="AM108" s="634">
        <f>I_Wzorcowa_BD!AM11</f>
        <v/>
      </c>
      <c r="AN108" s="634">
        <f>I_Wzorcowa_BD!AN11</f>
        <v/>
      </c>
      <c r="AO108" s="634">
        <f>I_Wzorcowa_BD!AO11</f>
        <v/>
      </c>
      <c r="AP108" s="640">
        <f>I_Wzorcowa_BD!AP11</f>
        <v/>
      </c>
      <c r="AQ108" s="640">
        <f>I_Wzorcowa_BD!AQ11</f>
        <v/>
      </c>
      <c r="AR108" s="640">
        <f>I_Wzorcowa_BD!AR11</f>
        <v/>
      </c>
      <c r="AS108" s="640">
        <f>I_Wzorcowa_BD!AS11</f>
        <v/>
      </c>
      <c r="AT108" s="619">
        <f>I_Wzorcowa_BD!AT11</f>
        <v/>
      </c>
      <c r="AU108" s="619">
        <f>I_Wzorcowa_BD!AU11</f>
        <v/>
      </c>
      <c r="AV108" s="619">
        <f>I_Wzorcowa_BD!AV11</f>
        <v/>
      </c>
      <c r="AW108" s="619">
        <f>I_Wzorcowa_BD!AW11</f>
        <v/>
      </c>
      <c r="AX108" s="538">
        <f>I_Wzorcowa_BD!AX11</f>
        <v/>
      </c>
      <c r="AY108" s="538">
        <f>I_Wzorcowa_BD!AY11</f>
        <v/>
      </c>
      <c r="AZ108" s="538">
        <f>I_Wzorcowa_BD!AZ11</f>
        <v/>
      </c>
      <c r="BA108" s="538">
        <f>I_Wzorcowa_BD!BA11</f>
        <v/>
      </c>
      <c r="BB108" s="538">
        <f>I_Wzorcowa_BD!BB11</f>
        <v/>
      </c>
      <c r="BC108" s="538">
        <f>I_Wzorcowa_BD!BC11</f>
        <v/>
      </c>
      <c r="BD108" s="538">
        <f>I_Wzorcowa_BD!BD11</f>
        <v/>
      </c>
      <c r="BE108" s="538">
        <f>I_Wzorcowa_BD!BE11</f>
        <v/>
      </c>
      <c r="BF108" s="538">
        <f>I_Wzorcowa_BD!BF11</f>
        <v/>
      </c>
      <c r="BG108" s="538">
        <f>I_Wzorcowa_BD!BG11</f>
        <v/>
      </c>
      <c r="BH108" s="538">
        <f>I_Wzorcowa_BD!BH11</f>
        <v/>
      </c>
      <c r="BI108" s="538">
        <f>I_Wzorcowa_BD!BI11</f>
        <v/>
      </c>
      <c r="BJ108">
        <f>O108</f>
        <v/>
      </c>
      <c r="BK108">
        <f>SUM(AG108:AW108)</f>
        <v/>
      </c>
      <c r="BL108" s="531">
        <f>BJ108-BK108</f>
        <v/>
      </c>
      <c r="BM108" s="201" t="n"/>
    </row>
    <row r="109" hidden="1" outlineLevel="1" s="191">
      <c r="A109" s="538">
        <f>I_Wzorcowa_BD!A12</f>
        <v/>
      </c>
      <c r="B109" s="538">
        <f>I_Wzorcowa_BD!B12</f>
        <v/>
      </c>
      <c r="C109" s="538">
        <f>I_Wzorcowa_BD!C12</f>
        <v/>
      </c>
      <c r="D109" s="538">
        <f>I_Wzorcowa_BD!D12</f>
        <v/>
      </c>
      <c r="E109" s="538">
        <f>I_Wzorcowa_BD!E12</f>
        <v/>
      </c>
      <c r="F109" s="538">
        <f>I_Wzorcowa_BD!F12</f>
        <v/>
      </c>
      <c r="G109" s="538">
        <f>I_Wzorcowa_BD!G12</f>
        <v/>
      </c>
      <c r="H109" s="538">
        <f>I_Wzorcowa_BD!H12</f>
        <v/>
      </c>
      <c r="I109" s="538">
        <f>I_Wzorcowa_BD!I12</f>
        <v/>
      </c>
      <c r="J109" s="538">
        <f>I_Wzorcowa_BD!J12</f>
        <v/>
      </c>
      <c r="K109" s="672">
        <f>I_Wzorcowa_BD!K12</f>
        <v/>
      </c>
      <c r="L109" s="672">
        <f>I_Wzorcowa_BD!L12</f>
        <v/>
      </c>
      <c r="M109" s="538">
        <f>I_Wzorcowa_BD!M12</f>
        <v/>
      </c>
      <c r="N109" s="538">
        <f>I_Wzorcowa_BD!N12</f>
        <v/>
      </c>
      <c r="O109" s="538">
        <f>I_Wzorcowa_BD!O12</f>
        <v/>
      </c>
      <c r="P109" s="627">
        <f>I_Wzorcowa_BD!P12</f>
        <v/>
      </c>
      <c r="Q109" s="627">
        <f>I_Wzorcowa_BD!Q12</f>
        <v/>
      </c>
      <c r="R109" s="627">
        <f>I_Wzorcowa_BD!R12</f>
        <v/>
      </c>
      <c r="S109" s="627">
        <f>I_Wzorcowa_BD!S12</f>
        <v/>
      </c>
      <c r="T109" s="627">
        <f>I_Wzorcowa_BD!T12</f>
        <v/>
      </c>
      <c r="U109" s="627">
        <f>I_Wzorcowa_BD!U12</f>
        <v/>
      </c>
      <c r="V109" s="627">
        <f>I_Wzorcowa_BD!V12</f>
        <v/>
      </c>
      <c r="W109" s="627">
        <f>I_Wzorcowa_BD!W12</f>
        <v/>
      </c>
      <c r="X109" s="627">
        <f>I_Wzorcowa_BD!X12</f>
        <v/>
      </c>
      <c r="Y109" s="649">
        <f>I_Wzorcowa_BD!Y12</f>
        <v/>
      </c>
      <c r="Z109" s="649">
        <f>I_Wzorcowa_BD!Z12</f>
        <v/>
      </c>
      <c r="AA109" s="649">
        <f>I_Wzorcowa_BD!AA12</f>
        <v/>
      </c>
      <c r="AB109" s="649">
        <f>I_Wzorcowa_BD!AB12</f>
        <v/>
      </c>
      <c r="AC109" s="612">
        <f>I_Wzorcowa_BD!AC12</f>
        <v/>
      </c>
      <c r="AD109" s="612">
        <f>I_Wzorcowa_BD!AD12</f>
        <v/>
      </c>
      <c r="AE109" s="612">
        <f>I_Wzorcowa_BD!AE12</f>
        <v/>
      </c>
      <c r="AF109" s="612">
        <f>I_Wzorcowa_BD!AF12</f>
        <v/>
      </c>
      <c r="AG109" s="634">
        <f>I_Wzorcowa_BD!AG12</f>
        <v/>
      </c>
      <c r="AH109" s="634">
        <f>I_Wzorcowa_BD!AH12</f>
        <v/>
      </c>
      <c r="AI109" s="634">
        <f>I_Wzorcowa_BD!AI12</f>
        <v/>
      </c>
      <c r="AJ109" s="634">
        <f>I_Wzorcowa_BD!AJ12</f>
        <v/>
      </c>
      <c r="AK109" s="634">
        <f>I_Wzorcowa_BD!AK12</f>
        <v/>
      </c>
      <c r="AL109" s="634">
        <f>I_Wzorcowa_BD!AL12</f>
        <v/>
      </c>
      <c r="AM109" s="634">
        <f>I_Wzorcowa_BD!AM12</f>
        <v/>
      </c>
      <c r="AN109" s="634">
        <f>I_Wzorcowa_BD!AN12</f>
        <v/>
      </c>
      <c r="AO109" s="634">
        <f>I_Wzorcowa_BD!AO12</f>
        <v/>
      </c>
      <c r="AP109" s="640">
        <f>I_Wzorcowa_BD!AP12</f>
        <v/>
      </c>
      <c r="AQ109" s="640">
        <f>I_Wzorcowa_BD!AQ12</f>
        <v/>
      </c>
      <c r="AR109" s="640">
        <f>I_Wzorcowa_BD!AR12</f>
        <v/>
      </c>
      <c r="AS109" s="640">
        <f>I_Wzorcowa_BD!AS12</f>
        <v/>
      </c>
      <c r="AT109" s="619">
        <f>I_Wzorcowa_BD!AT12</f>
        <v/>
      </c>
      <c r="AU109" s="619">
        <f>I_Wzorcowa_BD!AU12</f>
        <v/>
      </c>
      <c r="AV109" s="619">
        <f>I_Wzorcowa_BD!AV12</f>
        <v/>
      </c>
      <c r="AW109" s="619">
        <f>I_Wzorcowa_BD!AW12</f>
        <v/>
      </c>
      <c r="AX109" s="538">
        <f>I_Wzorcowa_BD!AX12</f>
        <v/>
      </c>
      <c r="AY109" s="538">
        <f>I_Wzorcowa_BD!AY12</f>
        <v/>
      </c>
      <c r="AZ109" s="538">
        <f>I_Wzorcowa_BD!AZ12</f>
        <v/>
      </c>
      <c r="BA109" s="538">
        <f>I_Wzorcowa_BD!BA12</f>
        <v/>
      </c>
      <c r="BB109" s="538">
        <f>I_Wzorcowa_BD!BB12</f>
        <v/>
      </c>
      <c r="BC109" s="538">
        <f>I_Wzorcowa_BD!BC12</f>
        <v/>
      </c>
      <c r="BD109" s="538">
        <f>I_Wzorcowa_BD!BD12</f>
        <v/>
      </c>
      <c r="BE109" s="538">
        <f>I_Wzorcowa_BD!BE12</f>
        <v/>
      </c>
      <c r="BF109" s="538">
        <f>I_Wzorcowa_BD!BF12</f>
        <v/>
      </c>
      <c r="BG109" s="538">
        <f>I_Wzorcowa_BD!BG12</f>
        <v/>
      </c>
      <c r="BH109" s="538">
        <f>I_Wzorcowa_BD!BH12</f>
        <v/>
      </c>
      <c r="BI109" s="538">
        <f>I_Wzorcowa_BD!BI12</f>
        <v/>
      </c>
      <c r="BJ109">
        <f>O109</f>
        <v/>
      </c>
      <c r="BK109">
        <f>SUM(AG109:AW109)</f>
        <v/>
      </c>
      <c r="BL109" s="531">
        <f>BJ109-BK109</f>
        <v/>
      </c>
      <c r="BM109" s="201" t="n"/>
    </row>
    <row r="110" hidden="1" outlineLevel="1" s="191">
      <c r="A110" s="538">
        <f>I_Wzorcowa_BD!A13</f>
        <v/>
      </c>
      <c r="B110" s="538">
        <f>I_Wzorcowa_BD!B13</f>
        <v/>
      </c>
      <c r="C110" s="538">
        <f>I_Wzorcowa_BD!C13</f>
        <v/>
      </c>
      <c r="D110" s="538">
        <f>I_Wzorcowa_BD!D13</f>
        <v/>
      </c>
      <c r="E110" s="538">
        <f>I_Wzorcowa_BD!E13</f>
        <v/>
      </c>
      <c r="F110" s="538">
        <f>I_Wzorcowa_BD!F13</f>
        <v/>
      </c>
      <c r="G110" s="538">
        <f>I_Wzorcowa_BD!G13</f>
        <v/>
      </c>
      <c r="H110" s="538">
        <f>I_Wzorcowa_BD!H13</f>
        <v/>
      </c>
      <c r="I110" s="538">
        <f>I_Wzorcowa_BD!I13</f>
        <v/>
      </c>
      <c r="J110" s="538">
        <f>I_Wzorcowa_BD!J13</f>
        <v/>
      </c>
      <c r="K110" s="672">
        <f>I_Wzorcowa_BD!K13</f>
        <v/>
      </c>
      <c r="L110" s="672">
        <f>I_Wzorcowa_BD!L13</f>
        <v/>
      </c>
      <c r="M110" s="538">
        <f>I_Wzorcowa_BD!M13</f>
        <v/>
      </c>
      <c r="N110" s="538">
        <f>I_Wzorcowa_BD!N13</f>
        <v/>
      </c>
      <c r="O110" s="538">
        <f>I_Wzorcowa_BD!O13</f>
        <v/>
      </c>
      <c r="P110" s="627">
        <f>I_Wzorcowa_BD!P13</f>
        <v/>
      </c>
      <c r="Q110" s="627">
        <f>I_Wzorcowa_BD!Q13</f>
        <v/>
      </c>
      <c r="R110" s="627">
        <f>I_Wzorcowa_BD!R13</f>
        <v/>
      </c>
      <c r="S110" s="627">
        <f>I_Wzorcowa_BD!S13</f>
        <v/>
      </c>
      <c r="T110" s="627">
        <f>I_Wzorcowa_BD!T13</f>
        <v/>
      </c>
      <c r="U110" s="627">
        <f>I_Wzorcowa_BD!U13</f>
        <v/>
      </c>
      <c r="V110" s="627">
        <f>I_Wzorcowa_BD!V13</f>
        <v/>
      </c>
      <c r="W110" s="627">
        <f>I_Wzorcowa_BD!W13</f>
        <v/>
      </c>
      <c r="X110" s="627">
        <f>I_Wzorcowa_BD!X13</f>
        <v/>
      </c>
      <c r="Y110" s="649">
        <f>I_Wzorcowa_BD!Y13</f>
        <v/>
      </c>
      <c r="Z110" s="649">
        <f>I_Wzorcowa_BD!Z13</f>
        <v/>
      </c>
      <c r="AA110" s="649">
        <f>I_Wzorcowa_BD!AA13</f>
        <v/>
      </c>
      <c r="AB110" s="649">
        <f>I_Wzorcowa_BD!AB13</f>
        <v/>
      </c>
      <c r="AC110" s="612">
        <f>I_Wzorcowa_BD!AC13</f>
        <v/>
      </c>
      <c r="AD110" s="612">
        <f>I_Wzorcowa_BD!AD13</f>
        <v/>
      </c>
      <c r="AE110" s="612">
        <f>I_Wzorcowa_BD!AE13</f>
        <v/>
      </c>
      <c r="AF110" s="612">
        <f>I_Wzorcowa_BD!AF13</f>
        <v/>
      </c>
      <c r="AG110" s="634">
        <f>I_Wzorcowa_BD!AG13</f>
        <v/>
      </c>
      <c r="AH110" s="634">
        <f>I_Wzorcowa_BD!AH13</f>
        <v/>
      </c>
      <c r="AI110" s="634">
        <f>I_Wzorcowa_BD!AI13</f>
        <v/>
      </c>
      <c r="AJ110" s="634">
        <f>I_Wzorcowa_BD!AJ13</f>
        <v/>
      </c>
      <c r="AK110" s="634">
        <f>I_Wzorcowa_BD!AK13</f>
        <v/>
      </c>
      <c r="AL110" s="634">
        <f>I_Wzorcowa_BD!AL13</f>
        <v/>
      </c>
      <c r="AM110" s="634">
        <f>I_Wzorcowa_BD!AM13</f>
        <v/>
      </c>
      <c r="AN110" s="634">
        <f>I_Wzorcowa_BD!AN13</f>
        <v/>
      </c>
      <c r="AO110" s="634">
        <f>I_Wzorcowa_BD!AO13</f>
        <v/>
      </c>
      <c r="AP110" s="640">
        <f>I_Wzorcowa_BD!AP13</f>
        <v/>
      </c>
      <c r="AQ110" s="640">
        <f>I_Wzorcowa_BD!AQ13</f>
        <v/>
      </c>
      <c r="AR110" s="640">
        <f>I_Wzorcowa_BD!AR13</f>
        <v/>
      </c>
      <c r="AS110" s="640">
        <f>I_Wzorcowa_BD!AS13</f>
        <v/>
      </c>
      <c r="AT110" s="619">
        <f>I_Wzorcowa_BD!AT13</f>
        <v/>
      </c>
      <c r="AU110" s="619">
        <f>I_Wzorcowa_BD!AU13</f>
        <v/>
      </c>
      <c r="AV110" s="619">
        <f>I_Wzorcowa_BD!AV13</f>
        <v/>
      </c>
      <c r="AW110" s="619">
        <f>I_Wzorcowa_BD!AW13</f>
        <v/>
      </c>
      <c r="AX110" s="538">
        <f>I_Wzorcowa_BD!AX13</f>
        <v/>
      </c>
      <c r="AY110" s="538">
        <f>I_Wzorcowa_BD!AY13</f>
        <v/>
      </c>
      <c r="AZ110" s="538">
        <f>I_Wzorcowa_BD!AZ13</f>
        <v/>
      </c>
      <c r="BA110" s="538">
        <f>I_Wzorcowa_BD!BA13</f>
        <v/>
      </c>
      <c r="BB110" s="538">
        <f>I_Wzorcowa_BD!BB13</f>
        <v/>
      </c>
      <c r="BC110" s="538">
        <f>I_Wzorcowa_BD!BC13</f>
        <v/>
      </c>
      <c r="BD110" s="538">
        <f>I_Wzorcowa_BD!BD13</f>
        <v/>
      </c>
      <c r="BE110" s="538">
        <f>I_Wzorcowa_BD!BE13</f>
        <v/>
      </c>
      <c r="BF110" s="538">
        <f>I_Wzorcowa_BD!BF13</f>
        <v/>
      </c>
      <c r="BG110" s="538">
        <f>I_Wzorcowa_BD!BG13</f>
        <v/>
      </c>
      <c r="BH110" s="538">
        <f>I_Wzorcowa_BD!BH13</f>
        <v/>
      </c>
      <c r="BI110" s="538">
        <f>I_Wzorcowa_BD!BI13</f>
        <v/>
      </c>
      <c r="BJ110">
        <f>O110</f>
        <v/>
      </c>
      <c r="BK110">
        <f>SUM(AG110:AW110)</f>
        <v/>
      </c>
      <c r="BL110" s="531">
        <f>BJ110-BK110</f>
        <v/>
      </c>
      <c r="BM110" s="201" t="n"/>
    </row>
    <row r="111" hidden="1" outlineLevel="1" s="191">
      <c r="A111" s="538">
        <f>I_Wzorcowa_BD!A14</f>
        <v/>
      </c>
      <c r="B111" s="538">
        <f>I_Wzorcowa_BD!B14</f>
        <v/>
      </c>
      <c r="C111" s="538">
        <f>I_Wzorcowa_BD!C14</f>
        <v/>
      </c>
      <c r="D111" s="538">
        <f>I_Wzorcowa_BD!D14</f>
        <v/>
      </c>
      <c r="E111" s="538">
        <f>I_Wzorcowa_BD!E14</f>
        <v/>
      </c>
      <c r="F111" s="538">
        <f>I_Wzorcowa_BD!F14</f>
        <v/>
      </c>
      <c r="G111" s="538">
        <f>I_Wzorcowa_BD!G14</f>
        <v/>
      </c>
      <c r="H111" s="538">
        <f>I_Wzorcowa_BD!H14</f>
        <v/>
      </c>
      <c r="I111" s="538">
        <f>I_Wzorcowa_BD!I14</f>
        <v/>
      </c>
      <c r="J111" s="538">
        <f>I_Wzorcowa_BD!J14</f>
        <v/>
      </c>
      <c r="K111" s="672">
        <f>I_Wzorcowa_BD!K14</f>
        <v/>
      </c>
      <c r="L111" s="672">
        <f>I_Wzorcowa_BD!L14</f>
        <v/>
      </c>
      <c r="M111" s="538">
        <f>I_Wzorcowa_BD!M14</f>
        <v/>
      </c>
      <c r="N111" s="538">
        <f>I_Wzorcowa_BD!N14</f>
        <v/>
      </c>
      <c r="O111" s="538">
        <f>I_Wzorcowa_BD!O14</f>
        <v/>
      </c>
      <c r="P111" s="627">
        <f>I_Wzorcowa_BD!P14</f>
        <v/>
      </c>
      <c r="Q111" s="627">
        <f>I_Wzorcowa_BD!Q14</f>
        <v/>
      </c>
      <c r="R111" s="627">
        <f>I_Wzorcowa_BD!R14</f>
        <v/>
      </c>
      <c r="S111" s="627">
        <f>I_Wzorcowa_BD!S14</f>
        <v/>
      </c>
      <c r="T111" s="627">
        <f>I_Wzorcowa_BD!T14</f>
        <v/>
      </c>
      <c r="U111" s="627">
        <f>I_Wzorcowa_BD!U14</f>
        <v/>
      </c>
      <c r="V111" s="627">
        <f>I_Wzorcowa_BD!V14</f>
        <v/>
      </c>
      <c r="W111" s="627">
        <f>I_Wzorcowa_BD!W14</f>
        <v/>
      </c>
      <c r="X111" s="627">
        <f>I_Wzorcowa_BD!X14</f>
        <v/>
      </c>
      <c r="Y111" s="649">
        <f>I_Wzorcowa_BD!Y14</f>
        <v/>
      </c>
      <c r="Z111" s="649">
        <f>I_Wzorcowa_BD!Z14</f>
        <v/>
      </c>
      <c r="AA111" s="649">
        <f>I_Wzorcowa_BD!AA14</f>
        <v/>
      </c>
      <c r="AB111" s="649">
        <f>I_Wzorcowa_BD!AB14</f>
        <v/>
      </c>
      <c r="AC111" s="612">
        <f>I_Wzorcowa_BD!AC14</f>
        <v/>
      </c>
      <c r="AD111" s="612">
        <f>I_Wzorcowa_BD!AD14</f>
        <v/>
      </c>
      <c r="AE111" s="612">
        <f>I_Wzorcowa_BD!AE14</f>
        <v/>
      </c>
      <c r="AF111" s="612">
        <f>I_Wzorcowa_BD!AF14</f>
        <v/>
      </c>
      <c r="AG111" s="634">
        <f>I_Wzorcowa_BD!AG14</f>
        <v/>
      </c>
      <c r="AH111" s="634">
        <f>I_Wzorcowa_BD!AH14</f>
        <v/>
      </c>
      <c r="AI111" s="634">
        <f>I_Wzorcowa_BD!AI14</f>
        <v/>
      </c>
      <c r="AJ111" s="634">
        <f>I_Wzorcowa_BD!AJ14</f>
        <v/>
      </c>
      <c r="AK111" s="634">
        <f>I_Wzorcowa_BD!AK14</f>
        <v/>
      </c>
      <c r="AL111" s="634">
        <f>I_Wzorcowa_BD!AL14</f>
        <v/>
      </c>
      <c r="AM111" s="634">
        <f>I_Wzorcowa_BD!AM14</f>
        <v/>
      </c>
      <c r="AN111" s="634">
        <f>I_Wzorcowa_BD!AN14</f>
        <v/>
      </c>
      <c r="AO111" s="634">
        <f>I_Wzorcowa_BD!AO14</f>
        <v/>
      </c>
      <c r="AP111" s="640">
        <f>I_Wzorcowa_BD!AP14</f>
        <v/>
      </c>
      <c r="AQ111" s="640">
        <f>I_Wzorcowa_BD!AQ14</f>
        <v/>
      </c>
      <c r="AR111" s="640">
        <f>I_Wzorcowa_BD!AR14</f>
        <v/>
      </c>
      <c r="AS111" s="640">
        <f>I_Wzorcowa_BD!AS14</f>
        <v/>
      </c>
      <c r="AT111" s="619">
        <f>I_Wzorcowa_BD!AT14</f>
        <v/>
      </c>
      <c r="AU111" s="619">
        <f>I_Wzorcowa_BD!AU14</f>
        <v/>
      </c>
      <c r="AV111" s="619">
        <f>I_Wzorcowa_BD!AV14</f>
        <v/>
      </c>
      <c r="AW111" s="619">
        <f>I_Wzorcowa_BD!AW14</f>
        <v/>
      </c>
      <c r="AX111" s="538">
        <f>I_Wzorcowa_BD!AX14</f>
        <v/>
      </c>
      <c r="AY111" s="538">
        <f>I_Wzorcowa_BD!AY14</f>
        <v/>
      </c>
      <c r="AZ111" s="538">
        <f>I_Wzorcowa_BD!AZ14</f>
        <v/>
      </c>
      <c r="BA111" s="538">
        <f>I_Wzorcowa_BD!BA14</f>
        <v/>
      </c>
      <c r="BB111" s="538">
        <f>I_Wzorcowa_BD!BB14</f>
        <v/>
      </c>
      <c r="BC111" s="538">
        <f>I_Wzorcowa_BD!BC14</f>
        <v/>
      </c>
      <c r="BD111" s="538">
        <f>I_Wzorcowa_BD!BD14</f>
        <v/>
      </c>
      <c r="BE111" s="538">
        <f>I_Wzorcowa_BD!BE14</f>
        <v/>
      </c>
      <c r="BF111" s="538">
        <f>I_Wzorcowa_BD!BF14</f>
        <v/>
      </c>
      <c r="BG111" s="538">
        <f>I_Wzorcowa_BD!BG14</f>
        <v/>
      </c>
      <c r="BH111" s="538">
        <f>I_Wzorcowa_BD!BH14</f>
        <v/>
      </c>
      <c r="BI111" s="538">
        <f>I_Wzorcowa_BD!BI14</f>
        <v/>
      </c>
      <c r="BJ111">
        <f>O111</f>
        <v/>
      </c>
      <c r="BK111">
        <f>SUM(AG111:AW111)</f>
        <v/>
      </c>
      <c r="BL111" s="531">
        <f>BJ111-BK111</f>
        <v/>
      </c>
      <c r="BM111" s="201" t="n"/>
    </row>
    <row r="112" hidden="1" outlineLevel="1" s="191">
      <c r="A112" s="538">
        <f>I_Wzorcowa_BD!A15</f>
        <v/>
      </c>
      <c r="B112" s="538">
        <f>I_Wzorcowa_BD!B15</f>
        <v/>
      </c>
      <c r="C112" s="538">
        <f>I_Wzorcowa_BD!C15</f>
        <v/>
      </c>
      <c r="D112" s="538">
        <f>I_Wzorcowa_BD!D15</f>
        <v/>
      </c>
      <c r="E112" s="538">
        <f>I_Wzorcowa_BD!E15</f>
        <v/>
      </c>
      <c r="F112" s="538">
        <f>I_Wzorcowa_BD!F15</f>
        <v/>
      </c>
      <c r="G112" s="538">
        <f>I_Wzorcowa_BD!G15</f>
        <v/>
      </c>
      <c r="H112" s="538">
        <f>I_Wzorcowa_BD!H15</f>
        <v/>
      </c>
      <c r="I112" s="538">
        <f>I_Wzorcowa_BD!I15</f>
        <v/>
      </c>
      <c r="J112" s="538">
        <f>I_Wzorcowa_BD!J15</f>
        <v/>
      </c>
      <c r="K112" s="672">
        <f>I_Wzorcowa_BD!K15</f>
        <v/>
      </c>
      <c r="L112" s="672">
        <f>I_Wzorcowa_BD!L15</f>
        <v/>
      </c>
      <c r="M112" s="538">
        <f>I_Wzorcowa_BD!M15</f>
        <v/>
      </c>
      <c r="N112" s="538">
        <f>I_Wzorcowa_BD!N15</f>
        <v/>
      </c>
      <c r="O112" s="538">
        <f>I_Wzorcowa_BD!O15</f>
        <v/>
      </c>
      <c r="P112" s="627">
        <f>I_Wzorcowa_BD!P15</f>
        <v/>
      </c>
      <c r="Q112" s="627">
        <f>I_Wzorcowa_BD!Q15</f>
        <v/>
      </c>
      <c r="R112" s="627">
        <f>I_Wzorcowa_BD!R15</f>
        <v/>
      </c>
      <c r="S112" s="627">
        <f>I_Wzorcowa_BD!S15</f>
        <v/>
      </c>
      <c r="T112" s="627">
        <f>I_Wzorcowa_BD!T15</f>
        <v/>
      </c>
      <c r="U112" s="627">
        <f>I_Wzorcowa_BD!U15</f>
        <v/>
      </c>
      <c r="V112" s="627">
        <f>I_Wzorcowa_BD!V15</f>
        <v/>
      </c>
      <c r="W112" s="627">
        <f>I_Wzorcowa_BD!W15</f>
        <v/>
      </c>
      <c r="X112" s="627">
        <f>I_Wzorcowa_BD!X15</f>
        <v/>
      </c>
      <c r="Y112" s="649">
        <f>I_Wzorcowa_BD!Y15</f>
        <v/>
      </c>
      <c r="Z112" s="649">
        <f>I_Wzorcowa_BD!Z15</f>
        <v/>
      </c>
      <c r="AA112" s="649">
        <f>I_Wzorcowa_BD!AA15</f>
        <v/>
      </c>
      <c r="AB112" s="649">
        <f>I_Wzorcowa_BD!AB15</f>
        <v/>
      </c>
      <c r="AC112" s="612">
        <f>I_Wzorcowa_BD!AC15</f>
        <v/>
      </c>
      <c r="AD112" s="612">
        <f>I_Wzorcowa_BD!AD15</f>
        <v/>
      </c>
      <c r="AE112" s="612">
        <f>I_Wzorcowa_BD!AE15</f>
        <v/>
      </c>
      <c r="AF112" s="612">
        <f>I_Wzorcowa_BD!AF15</f>
        <v/>
      </c>
      <c r="AG112" s="634">
        <f>I_Wzorcowa_BD!AG15</f>
        <v/>
      </c>
      <c r="AH112" s="634">
        <f>I_Wzorcowa_BD!AH15</f>
        <v/>
      </c>
      <c r="AI112" s="634">
        <f>I_Wzorcowa_BD!AI15</f>
        <v/>
      </c>
      <c r="AJ112" s="634">
        <f>I_Wzorcowa_BD!AJ15</f>
        <v/>
      </c>
      <c r="AK112" s="634">
        <f>I_Wzorcowa_BD!AK15</f>
        <v/>
      </c>
      <c r="AL112" s="634">
        <f>I_Wzorcowa_BD!AL15</f>
        <v/>
      </c>
      <c r="AM112" s="634">
        <f>I_Wzorcowa_BD!AM15</f>
        <v/>
      </c>
      <c r="AN112" s="634">
        <f>I_Wzorcowa_BD!AN15</f>
        <v/>
      </c>
      <c r="AO112" s="634">
        <f>I_Wzorcowa_BD!AO15</f>
        <v/>
      </c>
      <c r="AP112" s="640">
        <f>I_Wzorcowa_BD!AP15</f>
        <v/>
      </c>
      <c r="AQ112" s="640">
        <f>I_Wzorcowa_BD!AQ15</f>
        <v/>
      </c>
      <c r="AR112" s="640">
        <f>I_Wzorcowa_BD!AR15</f>
        <v/>
      </c>
      <c r="AS112" s="640">
        <f>I_Wzorcowa_BD!AS15</f>
        <v/>
      </c>
      <c r="AT112" s="619">
        <f>I_Wzorcowa_BD!AT15</f>
        <v/>
      </c>
      <c r="AU112" s="619">
        <f>I_Wzorcowa_BD!AU15</f>
        <v/>
      </c>
      <c r="AV112" s="619">
        <f>I_Wzorcowa_BD!AV15</f>
        <v/>
      </c>
      <c r="AW112" s="619">
        <f>I_Wzorcowa_BD!AW15</f>
        <v/>
      </c>
      <c r="AX112" s="538">
        <f>I_Wzorcowa_BD!AX15</f>
        <v/>
      </c>
      <c r="AY112" s="538">
        <f>I_Wzorcowa_BD!AY15</f>
        <v/>
      </c>
      <c r="AZ112" s="538">
        <f>I_Wzorcowa_BD!AZ15</f>
        <v/>
      </c>
      <c r="BA112" s="538">
        <f>I_Wzorcowa_BD!BA15</f>
        <v/>
      </c>
      <c r="BB112" s="538">
        <f>I_Wzorcowa_BD!BB15</f>
        <v/>
      </c>
      <c r="BC112" s="538">
        <f>I_Wzorcowa_BD!BC15</f>
        <v/>
      </c>
      <c r="BD112" s="538">
        <f>I_Wzorcowa_BD!BD15</f>
        <v/>
      </c>
      <c r="BE112" s="538">
        <f>I_Wzorcowa_BD!BE15</f>
        <v/>
      </c>
      <c r="BF112" s="538">
        <f>I_Wzorcowa_BD!BF15</f>
        <v/>
      </c>
      <c r="BG112" s="538">
        <f>I_Wzorcowa_BD!BG15</f>
        <v/>
      </c>
      <c r="BH112" s="538">
        <f>I_Wzorcowa_BD!BH15</f>
        <v/>
      </c>
      <c r="BI112" s="538">
        <f>I_Wzorcowa_BD!BI15</f>
        <v/>
      </c>
      <c r="BJ112">
        <f>O112</f>
        <v/>
      </c>
      <c r="BK112">
        <f>SUM(AG112:AW112)</f>
        <v/>
      </c>
      <c r="BL112" s="531">
        <f>BJ112-BK112</f>
        <v/>
      </c>
      <c r="BM112" s="201" t="n"/>
    </row>
    <row r="113" hidden="1" outlineLevel="1" s="191">
      <c r="A113" s="538">
        <f>I_Wzorcowa_BD!A16</f>
        <v/>
      </c>
      <c r="B113" s="538">
        <f>I_Wzorcowa_BD!B16</f>
        <v/>
      </c>
      <c r="C113" s="538">
        <f>I_Wzorcowa_BD!C16</f>
        <v/>
      </c>
      <c r="D113" s="538">
        <f>I_Wzorcowa_BD!D16</f>
        <v/>
      </c>
      <c r="E113" s="538">
        <f>I_Wzorcowa_BD!E16</f>
        <v/>
      </c>
      <c r="F113" s="538">
        <f>I_Wzorcowa_BD!F16</f>
        <v/>
      </c>
      <c r="G113" s="538">
        <f>I_Wzorcowa_BD!G16</f>
        <v/>
      </c>
      <c r="H113" s="538">
        <f>I_Wzorcowa_BD!H16</f>
        <v/>
      </c>
      <c r="I113" s="538">
        <f>I_Wzorcowa_BD!I16</f>
        <v/>
      </c>
      <c r="J113" s="538">
        <f>I_Wzorcowa_BD!J16</f>
        <v/>
      </c>
      <c r="K113" s="672">
        <f>I_Wzorcowa_BD!K16</f>
        <v/>
      </c>
      <c r="L113" s="672">
        <f>I_Wzorcowa_BD!L16</f>
        <v/>
      </c>
      <c r="M113" s="538">
        <f>I_Wzorcowa_BD!M16</f>
        <v/>
      </c>
      <c r="N113" s="538">
        <f>I_Wzorcowa_BD!N16</f>
        <v/>
      </c>
      <c r="O113" s="538">
        <f>I_Wzorcowa_BD!O16</f>
        <v/>
      </c>
      <c r="P113" s="627">
        <f>I_Wzorcowa_BD!P16</f>
        <v/>
      </c>
      <c r="Q113" s="627">
        <f>I_Wzorcowa_BD!Q16</f>
        <v/>
      </c>
      <c r="R113" s="627">
        <f>I_Wzorcowa_BD!R16</f>
        <v/>
      </c>
      <c r="S113" s="627">
        <f>I_Wzorcowa_BD!S16</f>
        <v/>
      </c>
      <c r="T113" s="627">
        <f>I_Wzorcowa_BD!T16</f>
        <v/>
      </c>
      <c r="U113" s="627">
        <f>I_Wzorcowa_BD!U16</f>
        <v/>
      </c>
      <c r="V113" s="627">
        <f>I_Wzorcowa_BD!V16</f>
        <v/>
      </c>
      <c r="W113" s="627">
        <f>I_Wzorcowa_BD!W16</f>
        <v/>
      </c>
      <c r="X113" s="627">
        <f>I_Wzorcowa_BD!X16</f>
        <v/>
      </c>
      <c r="Y113" s="649">
        <f>I_Wzorcowa_BD!Y16</f>
        <v/>
      </c>
      <c r="Z113" s="649">
        <f>I_Wzorcowa_BD!Z16</f>
        <v/>
      </c>
      <c r="AA113" s="649">
        <f>I_Wzorcowa_BD!AA16</f>
        <v/>
      </c>
      <c r="AB113" s="649">
        <f>I_Wzorcowa_BD!AB16</f>
        <v/>
      </c>
      <c r="AC113" s="612">
        <f>I_Wzorcowa_BD!AC16</f>
        <v/>
      </c>
      <c r="AD113" s="612">
        <f>I_Wzorcowa_BD!AD16</f>
        <v/>
      </c>
      <c r="AE113" s="612">
        <f>I_Wzorcowa_BD!AE16</f>
        <v/>
      </c>
      <c r="AF113" s="612">
        <f>I_Wzorcowa_BD!AF16</f>
        <v/>
      </c>
      <c r="AG113" s="634">
        <f>I_Wzorcowa_BD!AG16</f>
        <v/>
      </c>
      <c r="AH113" s="634">
        <f>I_Wzorcowa_BD!AH16</f>
        <v/>
      </c>
      <c r="AI113" s="634">
        <f>I_Wzorcowa_BD!AI16</f>
        <v/>
      </c>
      <c r="AJ113" s="634">
        <f>I_Wzorcowa_BD!AJ16</f>
        <v/>
      </c>
      <c r="AK113" s="634">
        <f>I_Wzorcowa_BD!AK16</f>
        <v/>
      </c>
      <c r="AL113" s="634">
        <f>I_Wzorcowa_BD!AL16</f>
        <v/>
      </c>
      <c r="AM113" s="634">
        <f>I_Wzorcowa_BD!AM16</f>
        <v/>
      </c>
      <c r="AN113" s="634">
        <f>I_Wzorcowa_BD!AN16</f>
        <v/>
      </c>
      <c r="AO113" s="634">
        <f>I_Wzorcowa_BD!AO16</f>
        <v/>
      </c>
      <c r="AP113" s="640">
        <f>I_Wzorcowa_BD!AP16</f>
        <v/>
      </c>
      <c r="AQ113" s="640">
        <f>I_Wzorcowa_BD!AQ16</f>
        <v/>
      </c>
      <c r="AR113" s="640">
        <f>I_Wzorcowa_BD!AR16</f>
        <v/>
      </c>
      <c r="AS113" s="640">
        <f>I_Wzorcowa_BD!AS16</f>
        <v/>
      </c>
      <c r="AT113" s="619">
        <f>I_Wzorcowa_BD!AT16</f>
        <v/>
      </c>
      <c r="AU113" s="619">
        <f>I_Wzorcowa_BD!AU16</f>
        <v/>
      </c>
      <c r="AV113" s="619">
        <f>I_Wzorcowa_BD!AV16</f>
        <v/>
      </c>
      <c r="AW113" s="619">
        <f>I_Wzorcowa_BD!AW16</f>
        <v/>
      </c>
      <c r="AX113" s="538">
        <f>I_Wzorcowa_BD!AX16</f>
        <v/>
      </c>
      <c r="AY113" s="538">
        <f>I_Wzorcowa_BD!AY16</f>
        <v/>
      </c>
      <c r="AZ113" s="538">
        <f>I_Wzorcowa_BD!AZ16</f>
        <v/>
      </c>
      <c r="BA113" s="538">
        <f>I_Wzorcowa_BD!BA16</f>
        <v/>
      </c>
      <c r="BB113" s="538">
        <f>I_Wzorcowa_BD!BB16</f>
        <v/>
      </c>
      <c r="BC113" s="538">
        <f>I_Wzorcowa_BD!BC16</f>
        <v/>
      </c>
      <c r="BD113" s="538">
        <f>I_Wzorcowa_BD!BD16</f>
        <v/>
      </c>
      <c r="BE113" s="538">
        <f>I_Wzorcowa_BD!BE16</f>
        <v/>
      </c>
      <c r="BF113" s="538">
        <f>I_Wzorcowa_BD!BF16</f>
        <v/>
      </c>
      <c r="BG113" s="538">
        <f>I_Wzorcowa_BD!BG16</f>
        <v/>
      </c>
      <c r="BH113" s="538">
        <f>I_Wzorcowa_BD!BH16</f>
        <v/>
      </c>
      <c r="BI113" s="538">
        <f>I_Wzorcowa_BD!BI16</f>
        <v/>
      </c>
      <c r="BJ113">
        <f>O113</f>
        <v/>
      </c>
      <c r="BK113">
        <f>SUM(AG113:AW113)</f>
        <v/>
      </c>
      <c r="BL113" s="531">
        <f>BJ113-BK113</f>
        <v/>
      </c>
      <c r="BM113" s="201" t="n"/>
    </row>
    <row r="114" hidden="1" outlineLevel="1" s="191">
      <c r="A114" s="538">
        <f>I_Wzorcowa_BD!A17</f>
        <v/>
      </c>
      <c r="B114" s="538">
        <f>I_Wzorcowa_BD!B17</f>
        <v/>
      </c>
      <c r="C114" s="538">
        <f>I_Wzorcowa_BD!C17</f>
        <v/>
      </c>
      <c r="D114" s="538">
        <f>I_Wzorcowa_BD!D17</f>
        <v/>
      </c>
      <c r="E114" s="538">
        <f>I_Wzorcowa_BD!E17</f>
        <v/>
      </c>
      <c r="F114" s="538">
        <f>I_Wzorcowa_BD!F17</f>
        <v/>
      </c>
      <c r="G114" s="538">
        <f>I_Wzorcowa_BD!G17</f>
        <v/>
      </c>
      <c r="H114" s="538">
        <f>I_Wzorcowa_BD!H17</f>
        <v/>
      </c>
      <c r="I114" s="538">
        <f>I_Wzorcowa_BD!I17</f>
        <v/>
      </c>
      <c r="J114" s="538">
        <f>I_Wzorcowa_BD!J17</f>
        <v/>
      </c>
      <c r="K114" s="672">
        <f>I_Wzorcowa_BD!K17</f>
        <v/>
      </c>
      <c r="L114" s="672">
        <f>I_Wzorcowa_BD!L17</f>
        <v/>
      </c>
      <c r="M114" s="538">
        <f>I_Wzorcowa_BD!M17</f>
        <v/>
      </c>
      <c r="N114" s="538">
        <f>I_Wzorcowa_BD!N17</f>
        <v/>
      </c>
      <c r="O114" s="538">
        <f>I_Wzorcowa_BD!O17</f>
        <v/>
      </c>
      <c r="P114" s="627">
        <f>I_Wzorcowa_BD!P17</f>
        <v/>
      </c>
      <c r="Q114" s="627">
        <f>I_Wzorcowa_BD!Q17</f>
        <v/>
      </c>
      <c r="R114" s="627">
        <f>I_Wzorcowa_BD!R17</f>
        <v/>
      </c>
      <c r="S114" s="627">
        <f>I_Wzorcowa_BD!S17</f>
        <v/>
      </c>
      <c r="T114" s="627">
        <f>I_Wzorcowa_BD!T17</f>
        <v/>
      </c>
      <c r="U114" s="627">
        <f>I_Wzorcowa_BD!U17</f>
        <v/>
      </c>
      <c r="V114" s="627">
        <f>I_Wzorcowa_BD!V17</f>
        <v/>
      </c>
      <c r="W114" s="627">
        <f>I_Wzorcowa_BD!W17</f>
        <v/>
      </c>
      <c r="X114" s="627">
        <f>I_Wzorcowa_BD!X17</f>
        <v/>
      </c>
      <c r="Y114" s="649">
        <f>I_Wzorcowa_BD!Y17</f>
        <v/>
      </c>
      <c r="Z114" s="649">
        <f>I_Wzorcowa_BD!Z17</f>
        <v/>
      </c>
      <c r="AA114" s="649">
        <f>I_Wzorcowa_BD!AA17</f>
        <v/>
      </c>
      <c r="AB114" s="649">
        <f>I_Wzorcowa_BD!AB17</f>
        <v/>
      </c>
      <c r="AC114" s="612">
        <f>I_Wzorcowa_BD!AC17</f>
        <v/>
      </c>
      <c r="AD114" s="612">
        <f>I_Wzorcowa_BD!AD17</f>
        <v/>
      </c>
      <c r="AE114" s="612">
        <f>I_Wzorcowa_BD!AE17</f>
        <v/>
      </c>
      <c r="AF114" s="612">
        <f>I_Wzorcowa_BD!AF17</f>
        <v/>
      </c>
      <c r="AG114" s="634">
        <f>I_Wzorcowa_BD!AG17</f>
        <v/>
      </c>
      <c r="AH114" s="634">
        <f>I_Wzorcowa_BD!AH17</f>
        <v/>
      </c>
      <c r="AI114" s="634">
        <f>I_Wzorcowa_BD!AI17</f>
        <v/>
      </c>
      <c r="AJ114" s="634">
        <f>I_Wzorcowa_BD!AJ17</f>
        <v/>
      </c>
      <c r="AK114" s="634">
        <f>I_Wzorcowa_BD!AK17</f>
        <v/>
      </c>
      <c r="AL114" s="634">
        <f>I_Wzorcowa_BD!AL17</f>
        <v/>
      </c>
      <c r="AM114" s="634">
        <f>I_Wzorcowa_BD!AM17</f>
        <v/>
      </c>
      <c r="AN114" s="634">
        <f>I_Wzorcowa_BD!AN17</f>
        <v/>
      </c>
      <c r="AO114" s="634">
        <f>I_Wzorcowa_BD!AO17</f>
        <v/>
      </c>
      <c r="AP114" s="640">
        <f>I_Wzorcowa_BD!AP17</f>
        <v/>
      </c>
      <c r="AQ114" s="640">
        <f>I_Wzorcowa_BD!AQ17</f>
        <v/>
      </c>
      <c r="AR114" s="640">
        <f>I_Wzorcowa_BD!AR17</f>
        <v/>
      </c>
      <c r="AS114" s="640">
        <f>I_Wzorcowa_BD!AS17</f>
        <v/>
      </c>
      <c r="AT114" s="619">
        <f>I_Wzorcowa_BD!AT17</f>
        <v/>
      </c>
      <c r="AU114" s="619">
        <f>I_Wzorcowa_BD!AU17</f>
        <v/>
      </c>
      <c r="AV114" s="619">
        <f>I_Wzorcowa_BD!AV17</f>
        <v/>
      </c>
      <c r="AW114" s="619">
        <f>I_Wzorcowa_BD!AW17</f>
        <v/>
      </c>
      <c r="AX114" s="538">
        <f>I_Wzorcowa_BD!AX17</f>
        <v/>
      </c>
      <c r="AY114" s="538">
        <f>I_Wzorcowa_BD!AY17</f>
        <v/>
      </c>
      <c r="AZ114" s="538">
        <f>I_Wzorcowa_BD!AZ17</f>
        <v/>
      </c>
      <c r="BA114" s="538">
        <f>I_Wzorcowa_BD!BA17</f>
        <v/>
      </c>
      <c r="BB114" s="538">
        <f>I_Wzorcowa_BD!BB17</f>
        <v/>
      </c>
      <c r="BC114" s="538">
        <f>I_Wzorcowa_BD!BC17</f>
        <v/>
      </c>
      <c r="BD114" s="538">
        <f>I_Wzorcowa_BD!BD17</f>
        <v/>
      </c>
      <c r="BE114" s="538">
        <f>I_Wzorcowa_BD!BE17</f>
        <v/>
      </c>
      <c r="BF114" s="538">
        <f>I_Wzorcowa_BD!BF17</f>
        <v/>
      </c>
      <c r="BG114" s="538">
        <f>I_Wzorcowa_BD!BG17</f>
        <v/>
      </c>
      <c r="BH114" s="538">
        <f>I_Wzorcowa_BD!BH17</f>
        <v/>
      </c>
      <c r="BI114" s="538">
        <f>I_Wzorcowa_BD!BI17</f>
        <v/>
      </c>
      <c r="BJ114">
        <f>O114</f>
        <v/>
      </c>
      <c r="BK114">
        <f>SUM(AG114:AW114)</f>
        <v/>
      </c>
      <c r="BL114" s="531">
        <f>BJ114-BK114</f>
        <v/>
      </c>
      <c r="BM114" s="201" t="n"/>
    </row>
    <row r="115" hidden="1" outlineLevel="1" s="191">
      <c r="A115" s="538">
        <f>I_Wzorcowa_BD!A18</f>
        <v/>
      </c>
      <c r="B115" s="538">
        <f>I_Wzorcowa_BD!B18</f>
        <v/>
      </c>
      <c r="C115" s="538">
        <f>I_Wzorcowa_BD!C18</f>
        <v/>
      </c>
      <c r="D115" s="538">
        <f>I_Wzorcowa_BD!D18</f>
        <v/>
      </c>
      <c r="E115" s="538">
        <f>I_Wzorcowa_BD!E18</f>
        <v/>
      </c>
      <c r="F115" s="538">
        <f>I_Wzorcowa_BD!F18</f>
        <v/>
      </c>
      <c r="G115" s="538">
        <f>I_Wzorcowa_BD!G18</f>
        <v/>
      </c>
      <c r="H115" s="538">
        <f>I_Wzorcowa_BD!H18</f>
        <v/>
      </c>
      <c r="I115" s="538">
        <f>I_Wzorcowa_BD!I18</f>
        <v/>
      </c>
      <c r="J115" s="538">
        <f>I_Wzorcowa_BD!J18</f>
        <v/>
      </c>
      <c r="K115" s="672">
        <f>I_Wzorcowa_BD!K18</f>
        <v/>
      </c>
      <c r="L115" s="672">
        <f>I_Wzorcowa_BD!L18</f>
        <v/>
      </c>
      <c r="M115" s="538">
        <f>I_Wzorcowa_BD!M18</f>
        <v/>
      </c>
      <c r="N115" s="538">
        <f>I_Wzorcowa_BD!N18</f>
        <v/>
      </c>
      <c r="O115" s="538">
        <f>I_Wzorcowa_BD!O18</f>
        <v/>
      </c>
      <c r="P115" s="627">
        <f>I_Wzorcowa_BD!P18</f>
        <v/>
      </c>
      <c r="Q115" s="627">
        <f>I_Wzorcowa_BD!Q18</f>
        <v/>
      </c>
      <c r="R115" s="627">
        <f>I_Wzorcowa_BD!R18</f>
        <v/>
      </c>
      <c r="S115" s="627">
        <f>I_Wzorcowa_BD!S18</f>
        <v/>
      </c>
      <c r="T115" s="627">
        <f>I_Wzorcowa_BD!T18</f>
        <v/>
      </c>
      <c r="U115" s="627">
        <f>I_Wzorcowa_BD!U18</f>
        <v/>
      </c>
      <c r="V115" s="627">
        <f>I_Wzorcowa_BD!V18</f>
        <v/>
      </c>
      <c r="W115" s="627">
        <f>I_Wzorcowa_BD!W18</f>
        <v/>
      </c>
      <c r="X115" s="627">
        <f>I_Wzorcowa_BD!X18</f>
        <v/>
      </c>
      <c r="Y115" s="649">
        <f>I_Wzorcowa_BD!Y18</f>
        <v/>
      </c>
      <c r="Z115" s="649">
        <f>I_Wzorcowa_BD!Z18</f>
        <v/>
      </c>
      <c r="AA115" s="649">
        <f>I_Wzorcowa_BD!AA18</f>
        <v/>
      </c>
      <c r="AB115" s="649">
        <f>I_Wzorcowa_BD!AB18</f>
        <v/>
      </c>
      <c r="AC115" s="612">
        <f>I_Wzorcowa_BD!AC18</f>
        <v/>
      </c>
      <c r="AD115" s="612">
        <f>I_Wzorcowa_BD!AD18</f>
        <v/>
      </c>
      <c r="AE115" s="612">
        <f>I_Wzorcowa_BD!AE18</f>
        <v/>
      </c>
      <c r="AF115" s="612">
        <f>I_Wzorcowa_BD!AF18</f>
        <v/>
      </c>
      <c r="AG115" s="634">
        <f>I_Wzorcowa_BD!AG18</f>
        <v/>
      </c>
      <c r="AH115" s="634">
        <f>I_Wzorcowa_BD!AH18</f>
        <v/>
      </c>
      <c r="AI115" s="634">
        <f>I_Wzorcowa_BD!AI18</f>
        <v/>
      </c>
      <c r="AJ115" s="634">
        <f>I_Wzorcowa_BD!AJ18</f>
        <v/>
      </c>
      <c r="AK115" s="634">
        <f>I_Wzorcowa_BD!AK18</f>
        <v/>
      </c>
      <c r="AL115" s="634">
        <f>I_Wzorcowa_BD!AL18</f>
        <v/>
      </c>
      <c r="AM115" s="634">
        <f>I_Wzorcowa_BD!AM18</f>
        <v/>
      </c>
      <c r="AN115" s="634">
        <f>I_Wzorcowa_BD!AN18</f>
        <v/>
      </c>
      <c r="AO115" s="634">
        <f>I_Wzorcowa_BD!AO18</f>
        <v/>
      </c>
      <c r="AP115" s="640">
        <f>I_Wzorcowa_BD!AP18</f>
        <v/>
      </c>
      <c r="AQ115" s="640">
        <f>I_Wzorcowa_BD!AQ18</f>
        <v/>
      </c>
      <c r="AR115" s="640">
        <f>I_Wzorcowa_BD!AR18</f>
        <v/>
      </c>
      <c r="AS115" s="640">
        <f>I_Wzorcowa_BD!AS18</f>
        <v/>
      </c>
      <c r="AT115" s="619">
        <f>I_Wzorcowa_BD!AT18</f>
        <v/>
      </c>
      <c r="AU115" s="619">
        <f>I_Wzorcowa_BD!AU18</f>
        <v/>
      </c>
      <c r="AV115" s="619">
        <f>I_Wzorcowa_BD!AV18</f>
        <v/>
      </c>
      <c r="AW115" s="619">
        <f>I_Wzorcowa_BD!AW18</f>
        <v/>
      </c>
      <c r="AX115" s="538">
        <f>I_Wzorcowa_BD!AX18</f>
        <v/>
      </c>
      <c r="AY115" s="538">
        <f>I_Wzorcowa_BD!AY18</f>
        <v/>
      </c>
      <c r="AZ115" s="538">
        <f>I_Wzorcowa_BD!AZ18</f>
        <v/>
      </c>
      <c r="BA115" s="538">
        <f>I_Wzorcowa_BD!BA18</f>
        <v/>
      </c>
      <c r="BB115" s="538">
        <f>I_Wzorcowa_BD!BB18</f>
        <v/>
      </c>
      <c r="BC115" s="538">
        <f>I_Wzorcowa_BD!BC18</f>
        <v/>
      </c>
      <c r="BD115" s="538">
        <f>I_Wzorcowa_BD!BD18</f>
        <v/>
      </c>
      <c r="BE115" s="538">
        <f>I_Wzorcowa_BD!BE18</f>
        <v/>
      </c>
      <c r="BF115" s="538">
        <f>I_Wzorcowa_BD!BF18</f>
        <v/>
      </c>
      <c r="BG115" s="538">
        <f>I_Wzorcowa_BD!BG18</f>
        <v/>
      </c>
      <c r="BH115" s="538">
        <f>I_Wzorcowa_BD!BH18</f>
        <v/>
      </c>
      <c r="BI115" s="538">
        <f>I_Wzorcowa_BD!BI18</f>
        <v/>
      </c>
      <c r="BJ115">
        <f>O115</f>
        <v/>
      </c>
      <c r="BK115">
        <f>SUM(AG115:AW115)</f>
        <v/>
      </c>
      <c r="BL115" s="531">
        <f>BJ115-BK115</f>
        <v/>
      </c>
      <c r="BM115" s="201" t="n"/>
    </row>
    <row r="116" hidden="1" outlineLevel="1" s="191">
      <c r="A116" s="538">
        <f>I_Wzorcowa_BD!A19</f>
        <v/>
      </c>
      <c r="B116" s="538">
        <f>I_Wzorcowa_BD!B19</f>
        <v/>
      </c>
      <c r="C116" s="538">
        <f>I_Wzorcowa_BD!C19</f>
        <v/>
      </c>
      <c r="D116" s="538">
        <f>I_Wzorcowa_BD!D19</f>
        <v/>
      </c>
      <c r="E116" s="538">
        <f>I_Wzorcowa_BD!E19</f>
        <v/>
      </c>
      <c r="F116" s="538">
        <f>I_Wzorcowa_BD!F19</f>
        <v/>
      </c>
      <c r="G116" s="538">
        <f>I_Wzorcowa_BD!G19</f>
        <v/>
      </c>
      <c r="H116" s="538">
        <f>I_Wzorcowa_BD!H19</f>
        <v/>
      </c>
      <c r="I116" s="538">
        <f>I_Wzorcowa_BD!I19</f>
        <v/>
      </c>
      <c r="J116" s="538">
        <f>I_Wzorcowa_BD!J19</f>
        <v/>
      </c>
      <c r="K116" s="672">
        <f>I_Wzorcowa_BD!K19</f>
        <v/>
      </c>
      <c r="L116" s="672">
        <f>I_Wzorcowa_BD!L19</f>
        <v/>
      </c>
      <c r="M116" s="538">
        <f>I_Wzorcowa_BD!M19</f>
        <v/>
      </c>
      <c r="N116" s="538">
        <f>I_Wzorcowa_BD!N19</f>
        <v/>
      </c>
      <c r="O116" s="538">
        <f>I_Wzorcowa_BD!O19</f>
        <v/>
      </c>
      <c r="P116" s="627">
        <f>I_Wzorcowa_BD!P19</f>
        <v/>
      </c>
      <c r="Q116" s="627">
        <f>I_Wzorcowa_BD!Q19</f>
        <v/>
      </c>
      <c r="R116" s="627">
        <f>I_Wzorcowa_BD!R19</f>
        <v/>
      </c>
      <c r="S116" s="627">
        <f>I_Wzorcowa_BD!S19</f>
        <v/>
      </c>
      <c r="T116" s="627">
        <f>I_Wzorcowa_BD!T19</f>
        <v/>
      </c>
      <c r="U116" s="627">
        <f>I_Wzorcowa_BD!U19</f>
        <v/>
      </c>
      <c r="V116" s="627">
        <f>I_Wzorcowa_BD!V19</f>
        <v/>
      </c>
      <c r="W116" s="627">
        <f>I_Wzorcowa_BD!W19</f>
        <v/>
      </c>
      <c r="X116" s="627">
        <f>I_Wzorcowa_BD!X19</f>
        <v/>
      </c>
      <c r="Y116" s="649">
        <f>I_Wzorcowa_BD!Y19</f>
        <v/>
      </c>
      <c r="Z116" s="649">
        <f>I_Wzorcowa_BD!Z19</f>
        <v/>
      </c>
      <c r="AA116" s="649">
        <f>I_Wzorcowa_BD!AA19</f>
        <v/>
      </c>
      <c r="AB116" s="649">
        <f>I_Wzorcowa_BD!AB19</f>
        <v/>
      </c>
      <c r="AC116" s="612">
        <f>I_Wzorcowa_BD!AC19</f>
        <v/>
      </c>
      <c r="AD116" s="612">
        <f>I_Wzorcowa_BD!AD19</f>
        <v/>
      </c>
      <c r="AE116" s="612">
        <f>I_Wzorcowa_BD!AE19</f>
        <v/>
      </c>
      <c r="AF116" s="612">
        <f>I_Wzorcowa_BD!AF19</f>
        <v/>
      </c>
      <c r="AG116" s="634">
        <f>I_Wzorcowa_BD!AG19</f>
        <v/>
      </c>
      <c r="AH116" s="634">
        <f>I_Wzorcowa_BD!AH19</f>
        <v/>
      </c>
      <c r="AI116" s="634">
        <f>I_Wzorcowa_BD!AI19</f>
        <v/>
      </c>
      <c r="AJ116" s="634">
        <f>I_Wzorcowa_BD!AJ19</f>
        <v/>
      </c>
      <c r="AK116" s="634">
        <f>I_Wzorcowa_BD!AK19</f>
        <v/>
      </c>
      <c r="AL116" s="634">
        <f>I_Wzorcowa_BD!AL19</f>
        <v/>
      </c>
      <c r="AM116" s="634">
        <f>I_Wzorcowa_BD!AM19</f>
        <v/>
      </c>
      <c r="AN116" s="634">
        <f>I_Wzorcowa_BD!AN19</f>
        <v/>
      </c>
      <c r="AO116" s="634">
        <f>I_Wzorcowa_BD!AO19</f>
        <v/>
      </c>
      <c r="AP116" s="640">
        <f>I_Wzorcowa_BD!AP19</f>
        <v/>
      </c>
      <c r="AQ116" s="640">
        <f>I_Wzorcowa_BD!AQ19</f>
        <v/>
      </c>
      <c r="AR116" s="640">
        <f>I_Wzorcowa_BD!AR19</f>
        <v/>
      </c>
      <c r="AS116" s="640">
        <f>I_Wzorcowa_BD!AS19</f>
        <v/>
      </c>
      <c r="AT116" s="619">
        <f>I_Wzorcowa_BD!AT19</f>
        <v/>
      </c>
      <c r="AU116" s="619">
        <f>I_Wzorcowa_BD!AU19</f>
        <v/>
      </c>
      <c r="AV116" s="619">
        <f>I_Wzorcowa_BD!AV19</f>
        <v/>
      </c>
      <c r="AW116" s="619">
        <f>I_Wzorcowa_BD!AW19</f>
        <v/>
      </c>
      <c r="AX116" s="538">
        <f>I_Wzorcowa_BD!AX19</f>
        <v/>
      </c>
      <c r="AY116" s="538">
        <f>I_Wzorcowa_BD!AY19</f>
        <v/>
      </c>
      <c r="AZ116" s="538">
        <f>I_Wzorcowa_BD!AZ19</f>
        <v/>
      </c>
      <c r="BA116" s="538">
        <f>I_Wzorcowa_BD!BA19</f>
        <v/>
      </c>
      <c r="BB116" s="538">
        <f>I_Wzorcowa_BD!BB19</f>
        <v/>
      </c>
      <c r="BC116" s="538">
        <f>I_Wzorcowa_BD!BC19</f>
        <v/>
      </c>
      <c r="BD116" s="538">
        <f>I_Wzorcowa_BD!BD19</f>
        <v/>
      </c>
      <c r="BE116" s="538">
        <f>I_Wzorcowa_BD!BE19</f>
        <v/>
      </c>
      <c r="BF116" s="538">
        <f>I_Wzorcowa_BD!BF19</f>
        <v/>
      </c>
      <c r="BG116" s="538">
        <f>I_Wzorcowa_BD!BG19</f>
        <v/>
      </c>
      <c r="BH116" s="538">
        <f>I_Wzorcowa_BD!BH19</f>
        <v/>
      </c>
      <c r="BI116" s="538">
        <f>I_Wzorcowa_BD!BI19</f>
        <v/>
      </c>
      <c r="BJ116">
        <f>O116</f>
        <v/>
      </c>
      <c r="BK116">
        <f>SUM(AG116:AW116)</f>
        <v/>
      </c>
      <c r="BL116" s="531">
        <f>BJ116-BK116</f>
        <v/>
      </c>
      <c r="BM116" s="201" t="n"/>
    </row>
    <row r="117" hidden="1" outlineLevel="1" s="191">
      <c r="A117" s="538">
        <f>I_Wzorcowa_BD!A20</f>
        <v/>
      </c>
      <c r="B117" s="538">
        <f>I_Wzorcowa_BD!B20</f>
        <v/>
      </c>
      <c r="C117" s="538">
        <f>I_Wzorcowa_BD!C20</f>
        <v/>
      </c>
      <c r="D117" s="538">
        <f>I_Wzorcowa_BD!D20</f>
        <v/>
      </c>
      <c r="E117" s="538">
        <f>I_Wzorcowa_BD!E20</f>
        <v/>
      </c>
      <c r="F117" s="538">
        <f>I_Wzorcowa_BD!F20</f>
        <v/>
      </c>
      <c r="G117" s="538">
        <f>I_Wzorcowa_BD!G20</f>
        <v/>
      </c>
      <c r="H117" s="538">
        <f>I_Wzorcowa_BD!H20</f>
        <v/>
      </c>
      <c r="I117" s="538">
        <f>I_Wzorcowa_BD!I20</f>
        <v/>
      </c>
      <c r="J117" s="538">
        <f>I_Wzorcowa_BD!J20</f>
        <v/>
      </c>
      <c r="K117" s="672">
        <f>I_Wzorcowa_BD!K20</f>
        <v/>
      </c>
      <c r="L117" s="672">
        <f>I_Wzorcowa_BD!L20</f>
        <v/>
      </c>
      <c r="M117" s="538">
        <f>I_Wzorcowa_BD!M20</f>
        <v/>
      </c>
      <c r="N117" s="538">
        <f>I_Wzorcowa_BD!N20</f>
        <v/>
      </c>
      <c r="O117" s="538">
        <f>I_Wzorcowa_BD!O20</f>
        <v/>
      </c>
      <c r="P117" s="627">
        <f>I_Wzorcowa_BD!P20</f>
        <v/>
      </c>
      <c r="Q117" s="627">
        <f>I_Wzorcowa_BD!Q20</f>
        <v/>
      </c>
      <c r="R117" s="627">
        <f>I_Wzorcowa_BD!R20</f>
        <v/>
      </c>
      <c r="S117" s="627">
        <f>I_Wzorcowa_BD!S20</f>
        <v/>
      </c>
      <c r="T117" s="627">
        <f>I_Wzorcowa_BD!T20</f>
        <v/>
      </c>
      <c r="U117" s="627">
        <f>I_Wzorcowa_BD!U20</f>
        <v/>
      </c>
      <c r="V117" s="627">
        <f>I_Wzorcowa_BD!V20</f>
        <v/>
      </c>
      <c r="W117" s="627">
        <f>I_Wzorcowa_BD!W20</f>
        <v/>
      </c>
      <c r="X117" s="627">
        <f>I_Wzorcowa_BD!X20</f>
        <v/>
      </c>
      <c r="Y117" s="649">
        <f>I_Wzorcowa_BD!Y20</f>
        <v/>
      </c>
      <c r="Z117" s="649">
        <f>I_Wzorcowa_BD!Z20</f>
        <v/>
      </c>
      <c r="AA117" s="649">
        <f>I_Wzorcowa_BD!AA20</f>
        <v/>
      </c>
      <c r="AB117" s="649">
        <f>I_Wzorcowa_BD!AB20</f>
        <v/>
      </c>
      <c r="AC117" s="612">
        <f>I_Wzorcowa_BD!AC20</f>
        <v/>
      </c>
      <c r="AD117" s="612">
        <f>I_Wzorcowa_BD!AD20</f>
        <v/>
      </c>
      <c r="AE117" s="612">
        <f>I_Wzorcowa_BD!AE20</f>
        <v/>
      </c>
      <c r="AF117" s="612">
        <f>I_Wzorcowa_BD!AF20</f>
        <v/>
      </c>
      <c r="AG117" s="634">
        <f>I_Wzorcowa_BD!AG20</f>
        <v/>
      </c>
      <c r="AH117" s="634">
        <f>I_Wzorcowa_BD!AH20</f>
        <v/>
      </c>
      <c r="AI117" s="634">
        <f>I_Wzorcowa_BD!AI20</f>
        <v/>
      </c>
      <c r="AJ117" s="634">
        <f>I_Wzorcowa_BD!AJ20</f>
        <v/>
      </c>
      <c r="AK117" s="634">
        <f>I_Wzorcowa_BD!AK20</f>
        <v/>
      </c>
      <c r="AL117" s="634">
        <f>I_Wzorcowa_BD!AL20</f>
        <v/>
      </c>
      <c r="AM117" s="634">
        <f>I_Wzorcowa_BD!AM20</f>
        <v/>
      </c>
      <c r="AN117" s="634">
        <f>I_Wzorcowa_BD!AN20</f>
        <v/>
      </c>
      <c r="AO117" s="634">
        <f>I_Wzorcowa_BD!AO20</f>
        <v/>
      </c>
      <c r="AP117" s="640">
        <f>I_Wzorcowa_BD!AP20</f>
        <v/>
      </c>
      <c r="AQ117" s="640">
        <f>I_Wzorcowa_BD!AQ20</f>
        <v/>
      </c>
      <c r="AR117" s="640">
        <f>I_Wzorcowa_BD!AR20</f>
        <v/>
      </c>
      <c r="AS117" s="640">
        <f>I_Wzorcowa_BD!AS20</f>
        <v/>
      </c>
      <c r="AT117" s="619">
        <f>I_Wzorcowa_BD!AT20</f>
        <v/>
      </c>
      <c r="AU117" s="619">
        <f>I_Wzorcowa_BD!AU20</f>
        <v/>
      </c>
      <c r="AV117" s="619">
        <f>I_Wzorcowa_BD!AV20</f>
        <v/>
      </c>
      <c r="AW117" s="619">
        <f>I_Wzorcowa_BD!AW20</f>
        <v/>
      </c>
      <c r="AX117" s="538">
        <f>I_Wzorcowa_BD!AX20</f>
        <v/>
      </c>
      <c r="AY117" s="538">
        <f>I_Wzorcowa_BD!AY20</f>
        <v/>
      </c>
      <c r="AZ117" s="538">
        <f>I_Wzorcowa_BD!AZ20</f>
        <v/>
      </c>
      <c r="BA117" s="538">
        <f>I_Wzorcowa_BD!BA20</f>
        <v/>
      </c>
      <c r="BB117" s="538">
        <f>I_Wzorcowa_BD!BB20</f>
        <v/>
      </c>
      <c r="BC117" s="538">
        <f>I_Wzorcowa_BD!BC20</f>
        <v/>
      </c>
      <c r="BD117" s="538">
        <f>I_Wzorcowa_BD!BD20</f>
        <v/>
      </c>
      <c r="BE117" s="538">
        <f>I_Wzorcowa_BD!BE20</f>
        <v/>
      </c>
      <c r="BF117" s="538">
        <f>I_Wzorcowa_BD!BF20</f>
        <v/>
      </c>
      <c r="BG117" s="538">
        <f>I_Wzorcowa_BD!BG20</f>
        <v/>
      </c>
      <c r="BH117" s="538">
        <f>I_Wzorcowa_BD!BH20</f>
        <v/>
      </c>
      <c r="BI117" s="538">
        <f>I_Wzorcowa_BD!BI20</f>
        <v/>
      </c>
      <c r="BJ117">
        <f>O117</f>
        <v/>
      </c>
      <c r="BK117">
        <f>SUM(AG117:AW117)</f>
        <v/>
      </c>
      <c r="BL117" s="531">
        <f>BJ117-BK117</f>
        <v/>
      </c>
      <c r="BM117" s="201" t="n"/>
    </row>
    <row r="118" hidden="1" outlineLevel="1" s="191">
      <c r="A118" s="538">
        <f>I_Wzorcowa_BD!A21</f>
        <v/>
      </c>
      <c r="B118" s="538">
        <f>I_Wzorcowa_BD!B21</f>
        <v/>
      </c>
      <c r="C118" s="538">
        <f>I_Wzorcowa_BD!C21</f>
        <v/>
      </c>
      <c r="D118" s="538">
        <f>I_Wzorcowa_BD!D21</f>
        <v/>
      </c>
      <c r="E118" s="538">
        <f>I_Wzorcowa_BD!E21</f>
        <v/>
      </c>
      <c r="F118" s="538">
        <f>I_Wzorcowa_BD!F21</f>
        <v/>
      </c>
      <c r="G118" s="538">
        <f>I_Wzorcowa_BD!G21</f>
        <v/>
      </c>
      <c r="H118" s="538">
        <f>I_Wzorcowa_BD!H21</f>
        <v/>
      </c>
      <c r="I118" s="538">
        <f>I_Wzorcowa_BD!I21</f>
        <v/>
      </c>
      <c r="J118" s="538">
        <f>I_Wzorcowa_BD!J21</f>
        <v/>
      </c>
      <c r="K118" s="672">
        <f>I_Wzorcowa_BD!K21</f>
        <v/>
      </c>
      <c r="L118" s="672">
        <f>I_Wzorcowa_BD!L21</f>
        <v/>
      </c>
      <c r="M118" s="538">
        <f>I_Wzorcowa_BD!M21</f>
        <v/>
      </c>
      <c r="N118" s="538">
        <f>I_Wzorcowa_BD!N21</f>
        <v/>
      </c>
      <c r="O118" s="538">
        <f>I_Wzorcowa_BD!O21</f>
        <v/>
      </c>
      <c r="P118" s="627">
        <f>I_Wzorcowa_BD!P21</f>
        <v/>
      </c>
      <c r="Q118" s="627">
        <f>I_Wzorcowa_BD!Q21</f>
        <v/>
      </c>
      <c r="R118" s="627">
        <f>I_Wzorcowa_BD!R21</f>
        <v/>
      </c>
      <c r="S118" s="627">
        <f>I_Wzorcowa_BD!S21</f>
        <v/>
      </c>
      <c r="T118" s="627">
        <f>I_Wzorcowa_BD!T21</f>
        <v/>
      </c>
      <c r="U118" s="627">
        <f>I_Wzorcowa_BD!U21</f>
        <v/>
      </c>
      <c r="V118" s="627">
        <f>I_Wzorcowa_BD!V21</f>
        <v/>
      </c>
      <c r="W118" s="627">
        <f>I_Wzorcowa_BD!W21</f>
        <v/>
      </c>
      <c r="X118" s="627">
        <f>I_Wzorcowa_BD!X21</f>
        <v/>
      </c>
      <c r="Y118" s="649">
        <f>I_Wzorcowa_BD!Y21</f>
        <v/>
      </c>
      <c r="Z118" s="649">
        <f>I_Wzorcowa_BD!Z21</f>
        <v/>
      </c>
      <c r="AA118" s="649">
        <f>I_Wzorcowa_BD!AA21</f>
        <v/>
      </c>
      <c r="AB118" s="649">
        <f>I_Wzorcowa_BD!AB21</f>
        <v/>
      </c>
      <c r="AC118" s="612">
        <f>I_Wzorcowa_BD!AC21</f>
        <v/>
      </c>
      <c r="AD118" s="612">
        <f>I_Wzorcowa_BD!AD21</f>
        <v/>
      </c>
      <c r="AE118" s="612">
        <f>I_Wzorcowa_BD!AE21</f>
        <v/>
      </c>
      <c r="AF118" s="612">
        <f>I_Wzorcowa_BD!AF21</f>
        <v/>
      </c>
      <c r="AG118" s="634">
        <f>I_Wzorcowa_BD!AG21</f>
        <v/>
      </c>
      <c r="AH118" s="634">
        <f>I_Wzorcowa_BD!AH21</f>
        <v/>
      </c>
      <c r="AI118" s="634">
        <f>I_Wzorcowa_BD!AI21</f>
        <v/>
      </c>
      <c r="AJ118" s="634">
        <f>I_Wzorcowa_BD!AJ21</f>
        <v/>
      </c>
      <c r="AK118" s="634">
        <f>I_Wzorcowa_BD!AK21</f>
        <v/>
      </c>
      <c r="AL118" s="634">
        <f>I_Wzorcowa_BD!AL21</f>
        <v/>
      </c>
      <c r="AM118" s="634">
        <f>I_Wzorcowa_BD!AM21</f>
        <v/>
      </c>
      <c r="AN118" s="634">
        <f>I_Wzorcowa_BD!AN21</f>
        <v/>
      </c>
      <c r="AO118" s="634">
        <f>I_Wzorcowa_BD!AO21</f>
        <v/>
      </c>
      <c r="AP118" s="640">
        <f>I_Wzorcowa_BD!AP21</f>
        <v/>
      </c>
      <c r="AQ118" s="640">
        <f>I_Wzorcowa_BD!AQ21</f>
        <v/>
      </c>
      <c r="AR118" s="640">
        <f>I_Wzorcowa_BD!AR21</f>
        <v/>
      </c>
      <c r="AS118" s="640">
        <f>I_Wzorcowa_BD!AS21</f>
        <v/>
      </c>
      <c r="AT118" s="619">
        <f>I_Wzorcowa_BD!AT21</f>
        <v/>
      </c>
      <c r="AU118" s="619">
        <f>I_Wzorcowa_BD!AU21</f>
        <v/>
      </c>
      <c r="AV118" s="619">
        <f>I_Wzorcowa_BD!AV21</f>
        <v/>
      </c>
      <c r="AW118" s="619">
        <f>I_Wzorcowa_BD!AW21</f>
        <v/>
      </c>
      <c r="AX118" s="538">
        <f>I_Wzorcowa_BD!AX21</f>
        <v/>
      </c>
      <c r="AY118" s="538">
        <f>I_Wzorcowa_BD!AY21</f>
        <v/>
      </c>
      <c r="AZ118" s="538">
        <f>I_Wzorcowa_BD!AZ21</f>
        <v/>
      </c>
      <c r="BA118" s="538">
        <f>I_Wzorcowa_BD!BA21</f>
        <v/>
      </c>
      <c r="BB118" s="538">
        <f>I_Wzorcowa_BD!BB21</f>
        <v/>
      </c>
      <c r="BC118" s="538">
        <f>I_Wzorcowa_BD!BC21</f>
        <v/>
      </c>
      <c r="BD118" s="538">
        <f>I_Wzorcowa_BD!BD21</f>
        <v/>
      </c>
      <c r="BE118" s="538">
        <f>I_Wzorcowa_BD!BE21</f>
        <v/>
      </c>
      <c r="BF118" s="538">
        <f>I_Wzorcowa_BD!BF21</f>
        <v/>
      </c>
      <c r="BG118" s="538">
        <f>I_Wzorcowa_BD!BG21</f>
        <v/>
      </c>
      <c r="BH118" s="538">
        <f>I_Wzorcowa_BD!BH21</f>
        <v/>
      </c>
      <c r="BI118" s="538">
        <f>I_Wzorcowa_BD!BI21</f>
        <v/>
      </c>
      <c r="BJ118">
        <f>O118</f>
        <v/>
      </c>
      <c r="BK118">
        <f>SUM(AG118:AW118)</f>
        <v/>
      </c>
      <c r="BL118" s="531">
        <f>BJ118-BK118</f>
        <v/>
      </c>
      <c r="BM118" s="201" t="n"/>
    </row>
    <row r="119" hidden="1" outlineLevel="1" s="191">
      <c r="A119" s="538">
        <f>I_Wzorcowa_BD!A22</f>
        <v/>
      </c>
      <c r="B119" s="538">
        <f>I_Wzorcowa_BD!B22</f>
        <v/>
      </c>
      <c r="C119" s="538">
        <f>I_Wzorcowa_BD!C22</f>
        <v/>
      </c>
      <c r="D119" s="538">
        <f>I_Wzorcowa_BD!D22</f>
        <v/>
      </c>
      <c r="E119" s="538">
        <f>I_Wzorcowa_BD!E22</f>
        <v/>
      </c>
      <c r="F119" s="538">
        <f>I_Wzorcowa_BD!F22</f>
        <v/>
      </c>
      <c r="G119" s="538">
        <f>I_Wzorcowa_BD!G22</f>
        <v/>
      </c>
      <c r="H119" s="538">
        <f>I_Wzorcowa_BD!H22</f>
        <v/>
      </c>
      <c r="I119" s="538">
        <f>I_Wzorcowa_BD!I22</f>
        <v/>
      </c>
      <c r="J119" s="538">
        <f>I_Wzorcowa_BD!J22</f>
        <v/>
      </c>
      <c r="K119" s="672">
        <f>I_Wzorcowa_BD!K22</f>
        <v/>
      </c>
      <c r="L119" s="672">
        <f>I_Wzorcowa_BD!L22</f>
        <v/>
      </c>
      <c r="M119" s="538">
        <f>I_Wzorcowa_BD!M22</f>
        <v/>
      </c>
      <c r="N119" s="538">
        <f>I_Wzorcowa_BD!N22</f>
        <v/>
      </c>
      <c r="O119" s="538">
        <f>I_Wzorcowa_BD!O22</f>
        <v/>
      </c>
      <c r="P119" s="627">
        <f>I_Wzorcowa_BD!P22</f>
        <v/>
      </c>
      <c r="Q119" s="627">
        <f>I_Wzorcowa_BD!Q22</f>
        <v/>
      </c>
      <c r="R119" s="627">
        <f>I_Wzorcowa_BD!R22</f>
        <v/>
      </c>
      <c r="S119" s="627">
        <f>I_Wzorcowa_BD!S22</f>
        <v/>
      </c>
      <c r="T119" s="627">
        <f>I_Wzorcowa_BD!T22</f>
        <v/>
      </c>
      <c r="U119" s="627">
        <f>I_Wzorcowa_BD!U22</f>
        <v/>
      </c>
      <c r="V119" s="627">
        <f>I_Wzorcowa_BD!V22</f>
        <v/>
      </c>
      <c r="W119" s="627">
        <f>I_Wzorcowa_BD!W22</f>
        <v/>
      </c>
      <c r="X119" s="627">
        <f>I_Wzorcowa_BD!X22</f>
        <v/>
      </c>
      <c r="Y119" s="649">
        <f>I_Wzorcowa_BD!Y22</f>
        <v/>
      </c>
      <c r="Z119" s="649">
        <f>I_Wzorcowa_BD!Z22</f>
        <v/>
      </c>
      <c r="AA119" s="649">
        <f>I_Wzorcowa_BD!AA22</f>
        <v/>
      </c>
      <c r="AB119" s="649">
        <f>I_Wzorcowa_BD!AB22</f>
        <v/>
      </c>
      <c r="AC119" s="612">
        <f>I_Wzorcowa_BD!AC22</f>
        <v/>
      </c>
      <c r="AD119" s="612">
        <f>I_Wzorcowa_BD!AD22</f>
        <v/>
      </c>
      <c r="AE119" s="612">
        <f>I_Wzorcowa_BD!AE22</f>
        <v/>
      </c>
      <c r="AF119" s="612">
        <f>I_Wzorcowa_BD!AF22</f>
        <v/>
      </c>
      <c r="AG119" s="634">
        <f>I_Wzorcowa_BD!AG22</f>
        <v/>
      </c>
      <c r="AH119" s="634">
        <f>I_Wzorcowa_BD!AH22</f>
        <v/>
      </c>
      <c r="AI119" s="634">
        <f>I_Wzorcowa_BD!AI22</f>
        <v/>
      </c>
      <c r="AJ119" s="634">
        <f>I_Wzorcowa_BD!AJ22</f>
        <v/>
      </c>
      <c r="AK119" s="634">
        <f>I_Wzorcowa_BD!AK22</f>
        <v/>
      </c>
      <c r="AL119" s="634">
        <f>I_Wzorcowa_BD!AL22</f>
        <v/>
      </c>
      <c r="AM119" s="634">
        <f>I_Wzorcowa_BD!AM22</f>
        <v/>
      </c>
      <c r="AN119" s="634">
        <f>I_Wzorcowa_BD!AN22</f>
        <v/>
      </c>
      <c r="AO119" s="634">
        <f>I_Wzorcowa_BD!AO22</f>
        <v/>
      </c>
      <c r="AP119" s="640">
        <f>I_Wzorcowa_BD!AP22</f>
        <v/>
      </c>
      <c r="AQ119" s="640">
        <f>I_Wzorcowa_BD!AQ22</f>
        <v/>
      </c>
      <c r="AR119" s="640">
        <f>I_Wzorcowa_BD!AR22</f>
        <v/>
      </c>
      <c r="AS119" s="640">
        <f>I_Wzorcowa_BD!AS22</f>
        <v/>
      </c>
      <c r="AT119" s="619">
        <f>I_Wzorcowa_BD!AT22</f>
        <v/>
      </c>
      <c r="AU119" s="619">
        <f>I_Wzorcowa_BD!AU22</f>
        <v/>
      </c>
      <c r="AV119" s="619">
        <f>I_Wzorcowa_BD!AV22</f>
        <v/>
      </c>
      <c r="AW119" s="619">
        <f>I_Wzorcowa_BD!AW22</f>
        <v/>
      </c>
      <c r="AX119" s="538">
        <f>I_Wzorcowa_BD!AX22</f>
        <v/>
      </c>
      <c r="AY119" s="538">
        <f>I_Wzorcowa_BD!AY22</f>
        <v/>
      </c>
      <c r="AZ119" s="538">
        <f>I_Wzorcowa_BD!AZ22</f>
        <v/>
      </c>
      <c r="BA119" s="538">
        <f>I_Wzorcowa_BD!BA22</f>
        <v/>
      </c>
      <c r="BB119" s="538">
        <f>I_Wzorcowa_BD!BB22</f>
        <v/>
      </c>
      <c r="BC119" s="538">
        <f>I_Wzorcowa_BD!BC22</f>
        <v/>
      </c>
      <c r="BD119" s="538">
        <f>I_Wzorcowa_BD!BD22</f>
        <v/>
      </c>
      <c r="BE119" s="538">
        <f>I_Wzorcowa_BD!BE22</f>
        <v/>
      </c>
      <c r="BF119" s="538">
        <f>I_Wzorcowa_BD!BF22</f>
        <v/>
      </c>
      <c r="BG119" s="538">
        <f>I_Wzorcowa_BD!BG22</f>
        <v/>
      </c>
      <c r="BH119" s="538">
        <f>I_Wzorcowa_BD!BH22</f>
        <v/>
      </c>
      <c r="BI119" s="538">
        <f>I_Wzorcowa_BD!BI22</f>
        <v/>
      </c>
      <c r="BJ119">
        <f>O119</f>
        <v/>
      </c>
      <c r="BK119">
        <f>SUM(AG119:AW119)</f>
        <v/>
      </c>
      <c r="BL119" s="531">
        <f>BJ119-BK119</f>
        <v/>
      </c>
      <c r="BM119" s="201" t="n"/>
    </row>
    <row r="120" hidden="1" outlineLevel="1" s="191">
      <c r="A120" s="538">
        <f>I_Wzorcowa_BD!A23</f>
        <v/>
      </c>
      <c r="B120" s="538">
        <f>I_Wzorcowa_BD!B23</f>
        <v/>
      </c>
      <c r="C120" s="538">
        <f>I_Wzorcowa_BD!C23</f>
        <v/>
      </c>
      <c r="D120" s="538">
        <f>I_Wzorcowa_BD!D23</f>
        <v/>
      </c>
      <c r="E120" s="538">
        <f>I_Wzorcowa_BD!E23</f>
        <v/>
      </c>
      <c r="F120" s="538">
        <f>I_Wzorcowa_BD!F23</f>
        <v/>
      </c>
      <c r="G120" s="538">
        <f>I_Wzorcowa_BD!G23</f>
        <v/>
      </c>
      <c r="H120" s="538">
        <f>I_Wzorcowa_BD!H23</f>
        <v/>
      </c>
      <c r="I120" s="538">
        <f>I_Wzorcowa_BD!I23</f>
        <v/>
      </c>
      <c r="J120" s="538">
        <f>I_Wzorcowa_BD!J23</f>
        <v/>
      </c>
      <c r="K120" s="672">
        <f>I_Wzorcowa_BD!K23</f>
        <v/>
      </c>
      <c r="L120" s="672">
        <f>I_Wzorcowa_BD!L23</f>
        <v/>
      </c>
      <c r="M120" s="538">
        <f>I_Wzorcowa_BD!M23</f>
        <v/>
      </c>
      <c r="N120" s="538">
        <f>I_Wzorcowa_BD!N23</f>
        <v/>
      </c>
      <c r="O120" s="538">
        <f>I_Wzorcowa_BD!O23</f>
        <v/>
      </c>
      <c r="P120" s="627">
        <f>I_Wzorcowa_BD!P23</f>
        <v/>
      </c>
      <c r="Q120" s="627">
        <f>I_Wzorcowa_BD!Q23</f>
        <v/>
      </c>
      <c r="R120" s="627">
        <f>I_Wzorcowa_BD!R23</f>
        <v/>
      </c>
      <c r="S120" s="627">
        <f>I_Wzorcowa_BD!S23</f>
        <v/>
      </c>
      <c r="T120" s="627">
        <f>I_Wzorcowa_BD!T23</f>
        <v/>
      </c>
      <c r="U120" s="627">
        <f>I_Wzorcowa_BD!U23</f>
        <v/>
      </c>
      <c r="V120" s="627">
        <f>I_Wzorcowa_BD!V23</f>
        <v/>
      </c>
      <c r="W120" s="627">
        <f>I_Wzorcowa_BD!W23</f>
        <v/>
      </c>
      <c r="X120" s="627">
        <f>I_Wzorcowa_BD!X23</f>
        <v/>
      </c>
      <c r="Y120" s="649">
        <f>I_Wzorcowa_BD!Y23</f>
        <v/>
      </c>
      <c r="Z120" s="649">
        <f>I_Wzorcowa_BD!Z23</f>
        <v/>
      </c>
      <c r="AA120" s="649">
        <f>I_Wzorcowa_BD!AA23</f>
        <v/>
      </c>
      <c r="AB120" s="649">
        <f>I_Wzorcowa_BD!AB23</f>
        <v/>
      </c>
      <c r="AC120" s="612">
        <f>I_Wzorcowa_BD!AC23</f>
        <v/>
      </c>
      <c r="AD120" s="612">
        <f>I_Wzorcowa_BD!AD23</f>
        <v/>
      </c>
      <c r="AE120" s="612">
        <f>I_Wzorcowa_BD!AE23</f>
        <v/>
      </c>
      <c r="AF120" s="612">
        <f>I_Wzorcowa_BD!AF23</f>
        <v/>
      </c>
      <c r="AG120" s="634">
        <f>I_Wzorcowa_BD!AG23</f>
        <v/>
      </c>
      <c r="AH120" s="634">
        <f>I_Wzorcowa_BD!AH23</f>
        <v/>
      </c>
      <c r="AI120" s="634">
        <f>I_Wzorcowa_BD!AI23</f>
        <v/>
      </c>
      <c r="AJ120" s="634">
        <f>I_Wzorcowa_BD!AJ23</f>
        <v/>
      </c>
      <c r="AK120" s="634">
        <f>I_Wzorcowa_BD!AK23</f>
        <v/>
      </c>
      <c r="AL120" s="634">
        <f>I_Wzorcowa_BD!AL23</f>
        <v/>
      </c>
      <c r="AM120" s="634">
        <f>I_Wzorcowa_BD!AM23</f>
        <v/>
      </c>
      <c r="AN120" s="634">
        <f>I_Wzorcowa_BD!AN23</f>
        <v/>
      </c>
      <c r="AO120" s="634">
        <f>I_Wzorcowa_BD!AO23</f>
        <v/>
      </c>
      <c r="AP120" s="640">
        <f>I_Wzorcowa_BD!AP23</f>
        <v/>
      </c>
      <c r="AQ120" s="640">
        <f>I_Wzorcowa_BD!AQ23</f>
        <v/>
      </c>
      <c r="AR120" s="640">
        <f>I_Wzorcowa_BD!AR23</f>
        <v/>
      </c>
      <c r="AS120" s="640">
        <f>I_Wzorcowa_BD!AS23</f>
        <v/>
      </c>
      <c r="AT120" s="619">
        <f>I_Wzorcowa_BD!AT23</f>
        <v/>
      </c>
      <c r="AU120" s="619">
        <f>I_Wzorcowa_BD!AU23</f>
        <v/>
      </c>
      <c r="AV120" s="619">
        <f>I_Wzorcowa_BD!AV23</f>
        <v/>
      </c>
      <c r="AW120" s="619">
        <f>I_Wzorcowa_BD!AW23</f>
        <v/>
      </c>
      <c r="AX120" s="538">
        <f>I_Wzorcowa_BD!AX23</f>
        <v/>
      </c>
      <c r="AY120" s="538">
        <f>I_Wzorcowa_BD!AY23</f>
        <v/>
      </c>
      <c r="AZ120" s="538">
        <f>I_Wzorcowa_BD!AZ23</f>
        <v/>
      </c>
      <c r="BA120" s="538">
        <f>I_Wzorcowa_BD!BA23</f>
        <v/>
      </c>
      <c r="BB120" s="538">
        <f>I_Wzorcowa_BD!BB23</f>
        <v/>
      </c>
      <c r="BC120" s="538">
        <f>I_Wzorcowa_BD!BC23</f>
        <v/>
      </c>
      <c r="BD120" s="538">
        <f>I_Wzorcowa_BD!BD23</f>
        <v/>
      </c>
      <c r="BE120" s="538">
        <f>I_Wzorcowa_BD!BE23</f>
        <v/>
      </c>
      <c r="BF120" s="538">
        <f>I_Wzorcowa_BD!BF23</f>
        <v/>
      </c>
      <c r="BG120" s="538">
        <f>I_Wzorcowa_BD!BG23</f>
        <v/>
      </c>
      <c r="BH120" s="538">
        <f>I_Wzorcowa_BD!BH23</f>
        <v/>
      </c>
      <c r="BI120" s="538">
        <f>I_Wzorcowa_BD!BI23</f>
        <v/>
      </c>
      <c r="BJ120">
        <f>O120</f>
        <v/>
      </c>
      <c r="BK120">
        <f>SUM(AG120:AW120)</f>
        <v/>
      </c>
      <c r="BL120" s="531">
        <f>BJ120-BK120</f>
        <v/>
      </c>
      <c r="BM120" s="201" t="n"/>
    </row>
    <row r="121" hidden="1" outlineLevel="1" s="191">
      <c r="A121" s="538">
        <f>I_Wzorcowa_BD!A24</f>
        <v/>
      </c>
      <c r="B121" s="538">
        <f>I_Wzorcowa_BD!B24</f>
        <v/>
      </c>
      <c r="C121" s="538">
        <f>I_Wzorcowa_BD!C24</f>
        <v/>
      </c>
      <c r="D121" s="538">
        <f>I_Wzorcowa_BD!D24</f>
        <v/>
      </c>
      <c r="E121" s="538">
        <f>I_Wzorcowa_BD!E24</f>
        <v/>
      </c>
      <c r="F121" s="538">
        <f>I_Wzorcowa_BD!F24</f>
        <v/>
      </c>
      <c r="G121" s="538">
        <f>I_Wzorcowa_BD!G24</f>
        <v/>
      </c>
      <c r="H121" s="538">
        <f>I_Wzorcowa_BD!H24</f>
        <v/>
      </c>
      <c r="I121" s="538">
        <f>I_Wzorcowa_BD!I24</f>
        <v/>
      </c>
      <c r="J121" s="538">
        <f>I_Wzorcowa_BD!J24</f>
        <v/>
      </c>
      <c r="K121" s="672">
        <f>I_Wzorcowa_BD!K24</f>
        <v/>
      </c>
      <c r="L121" s="672">
        <f>I_Wzorcowa_BD!L24</f>
        <v/>
      </c>
      <c r="M121" s="538">
        <f>I_Wzorcowa_BD!M24</f>
        <v/>
      </c>
      <c r="N121" s="538">
        <f>I_Wzorcowa_BD!N24</f>
        <v/>
      </c>
      <c r="O121" s="538">
        <f>I_Wzorcowa_BD!O24</f>
        <v/>
      </c>
      <c r="P121" s="627">
        <f>I_Wzorcowa_BD!P24</f>
        <v/>
      </c>
      <c r="Q121" s="627">
        <f>I_Wzorcowa_BD!Q24</f>
        <v/>
      </c>
      <c r="R121" s="627">
        <f>I_Wzorcowa_BD!R24</f>
        <v/>
      </c>
      <c r="S121" s="627">
        <f>I_Wzorcowa_BD!S24</f>
        <v/>
      </c>
      <c r="T121" s="627">
        <f>I_Wzorcowa_BD!T24</f>
        <v/>
      </c>
      <c r="U121" s="627">
        <f>I_Wzorcowa_BD!U24</f>
        <v/>
      </c>
      <c r="V121" s="627">
        <f>I_Wzorcowa_BD!V24</f>
        <v/>
      </c>
      <c r="W121" s="627">
        <f>I_Wzorcowa_BD!W24</f>
        <v/>
      </c>
      <c r="X121" s="627">
        <f>I_Wzorcowa_BD!X24</f>
        <v/>
      </c>
      <c r="Y121" s="649">
        <f>I_Wzorcowa_BD!Y24</f>
        <v/>
      </c>
      <c r="Z121" s="649">
        <f>I_Wzorcowa_BD!Z24</f>
        <v/>
      </c>
      <c r="AA121" s="649">
        <f>I_Wzorcowa_BD!AA24</f>
        <v/>
      </c>
      <c r="AB121" s="649">
        <f>I_Wzorcowa_BD!AB24</f>
        <v/>
      </c>
      <c r="AC121" s="612">
        <f>I_Wzorcowa_BD!AC24</f>
        <v/>
      </c>
      <c r="AD121" s="612">
        <f>I_Wzorcowa_BD!AD24</f>
        <v/>
      </c>
      <c r="AE121" s="612">
        <f>I_Wzorcowa_BD!AE24</f>
        <v/>
      </c>
      <c r="AF121" s="612">
        <f>I_Wzorcowa_BD!AF24</f>
        <v/>
      </c>
      <c r="AG121" s="634">
        <f>I_Wzorcowa_BD!AG24</f>
        <v/>
      </c>
      <c r="AH121" s="634">
        <f>I_Wzorcowa_BD!AH24</f>
        <v/>
      </c>
      <c r="AI121" s="634">
        <f>I_Wzorcowa_BD!AI24</f>
        <v/>
      </c>
      <c r="AJ121" s="634">
        <f>I_Wzorcowa_BD!AJ24</f>
        <v/>
      </c>
      <c r="AK121" s="634">
        <f>I_Wzorcowa_BD!AK24</f>
        <v/>
      </c>
      <c r="AL121" s="634">
        <f>I_Wzorcowa_BD!AL24</f>
        <v/>
      </c>
      <c r="AM121" s="634">
        <f>I_Wzorcowa_BD!AM24</f>
        <v/>
      </c>
      <c r="AN121" s="634">
        <f>I_Wzorcowa_BD!AN24</f>
        <v/>
      </c>
      <c r="AO121" s="634">
        <f>I_Wzorcowa_BD!AO24</f>
        <v/>
      </c>
      <c r="AP121" s="640">
        <f>I_Wzorcowa_BD!AP24</f>
        <v/>
      </c>
      <c r="AQ121" s="640">
        <f>I_Wzorcowa_BD!AQ24</f>
        <v/>
      </c>
      <c r="AR121" s="640">
        <f>I_Wzorcowa_BD!AR24</f>
        <v/>
      </c>
      <c r="AS121" s="640">
        <f>I_Wzorcowa_BD!AS24</f>
        <v/>
      </c>
      <c r="AT121" s="619">
        <f>I_Wzorcowa_BD!AT24</f>
        <v/>
      </c>
      <c r="AU121" s="619">
        <f>I_Wzorcowa_BD!AU24</f>
        <v/>
      </c>
      <c r="AV121" s="619">
        <f>I_Wzorcowa_BD!AV24</f>
        <v/>
      </c>
      <c r="AW121" s="619">
        <f>I_Wzorcowa_BD!AW24</f>
        <v/>
      </c>
      <c r="AX121" s="538">
        <f>I_Wzorcowa_BD!AX24</f>
        <v/>
      </c>
      <c r="AY121" s="538">
        <f>I_Wzorcowa_BD!AY24</f>
        <v/>
      </c>
      <c r="AZ121" s="538">
        <f>I_Wzorcowa_BD!AZ24</f>
        <v/>
      </c>
      <c r="BA121" s="538">
        <f>I_Wzorcowa_BD!BA24</f>
        <v/>
      </c>
      <c r="BB121" s="538">
        <f>I_Wzorcowa_BD!BB24</f>
        <v/>
      </c>
      <c r="BC121" s="538">
        <f>I_Wzorcowa_BD!BC24</f>
        <v/>
      </c>
      <c r="BD121" s="538">
        <f>I_Wzorcowa_BD!BD24</f>
        <v/>
      </c>
      <c r="BE121" s="538">
        <f>I_Wzorcowa_BD!BE24</f>
        <v/>
      </c>
      <c r="BF121" s="538">
        <f>I_Wzorcowa_BD!BF24</f>
        <v/>
      </c>
      <c r="BG121" s="538">
        <f>I_Wzorcowa_BD!BG24</f>
        <v/>
      </c>
      <c r="BH121" s="538">
        <f>I_Wzorcowa_BD!BH24</f>
        <v/>
      </c>
      <c r="BI121" s="538">
        <f>I_Wzorcowa_BD!BI24</f>
        <v/>
      </c>
      <c r="BJ121">
        <f>O121</f>
        <v/>
      </c>
      <c r="BK121">
        <f>SUM(AG121:AW121)</f>
        <v/>
      </c>
      <c r="BL121" s="531">
        <f>BJ121-BK121</f>
        <v/>
      </c>
      <c r="BM121" s="201" t="n"/>
    </row>
    <row r="122" hidden="1" outlineLevel="1" s="191">
      <c r="A122" s="538">
        <f>I_Wzorcowa_BD!A25</f>
        <v/>
      </c>
      <c r="B122" s="538">
        <f>I_Wzorcowa_BD!B25</f>
        <v/>
      </c>
      <c r="C122" s="538">
        <f>I_Wzorcowa_BD!C25</f>
        <v/>
      </c>
      <c r="D122" s="538">
        <f>I_Wzorcowa_BD!D25</f>
        <v/>
      </c>
      <c r="E122" s="538">
        <f>I_Wzorcowa_BD!E25</f>
        <v/>
      </c>
      <c r="F122" s="538">
        <f>I_Wzorcowa_BD!F25</f>
        <v/>
      </c>
      <c r="G122" s="538">
        <f>I_Wzorcowa_BD!G25</f>
        <v/>
      </c>
      <c r="H122" s="538">
        <f>I_Wzorcowa_BD!H25</f>
        <v/>
      </c>
      <c r="I122" s="538">
        <f>I_Wzorcowa_BD!I25</f>
        <v/>
      </c>
      <c r="J122" s="538">
        <f>I_Wzorcowa_BD!J25</f>
        <v/>
      </c>
      <c r="K122" s="672">
        <f>I_Wzorcowa_BD!K25</f>
        <v/>
      </c>
      <c r="L122" s="672">
        <f>I_Wzorcowa_BD!L25</f>
        <v/>
      </c>
      <c r="M122" s="538">
        <f>I_Wzorcowa_BD!M25</f>
        <v/>
      </c>
      <c r="N122" s="538">
        <f>I_Wzorcowa_BD!N25</f>
        <v/>
      </c>
      <c r="O122" s="538">
        <f>I_Wzorcowa_BD!O25</f>
        <v/>
      </c>
      <c r="P122" s="627">
        <f>I_Wzorcowa_BD!P25</f>
        <v/>
      </c>
      <c r="Q122" s="627">
        <f>I_Wzorcowa_BD!Q25</f>
        <v/>
      </c>
      <c r="R122" s="627">
        <f>I_Wzorcowa_BD!R25</f>
        <v/>
      </c>
      <c r="S122" s="627">
        <f>I_Wzorcowa_BD!S25</f>
        <v/>
      </c>
      <c r="T122" s="627">
        <f>I_Wzorcowa_BD!T25</f>
        <v/>
      </c>
      <c r="U122" s="627">
        <f>I_Wzorcowa_BD!U25</f>
        <v/>
      </c>
      <c r="V122" s="627">
        <f>I_Wzorcowa_BD!V25</f>
        <v/>
      </c>
      <c r="W122" s="627">
        <f>I_Wzorcowa_BD!W25</f>
        <v/>
      </c>
      <c r="X122" s="627">
        <f>I_Wzorcowa_BD!X25</f>
        <v/>
      </c>
      <c r="Y122" s="649">
        <f>I_Wzorcowa_BD!Y25</f>
        <v/>
      </c>
      <c r="Z122" s="649">
        <f>I_Wzorcowa_BD!Z25</f>
        <v/>
      </c>
      <c r="AA122" s="649">
        <f>I_Wzorcowa_BD!AA25</f>
        <v/>
      </c>
      <c r="AB122" s="649">
        <f>I_Wzorcowa_BD!AB25</f>
        <v/>
      </c>
      <c r="AC122" s="612">
        <f>I_Wzorcowa_BD!AC25</f>
        <v/>
      </c>
      <c r="AD122" s="612">
        <f>I_Wzorcowa_BD!AD25</f>
        <v/>
      </c>
      <c r="AE122" s="612">
        <f>I_Wzorcowa_BD!AE25</f>
        <v/>
      </c>
      <c r="AF122" s="612">
        <f>I_Wzorcowa_BD!AF25</f>
        <v/>
      </c>
      <c r="AG122" s="634">
        <f>I_Wzorcowa_BD!AG25</f>
        <v/>
      </c>
      <c r="AH122" s="634">
        <f>I_Wzorcowa_BD!AH25</f>
        <v/>
      </c>
      <c r="AI122" s="634">
        <f>I_Wzorcowa_BD!AI25</f>
        <v/>
      </c>
      <c r="AJ122" s="634">
        <f>I_Wzorcowa_BD!AJ25</f>
        <v/>
      </c>
      <c r="AK122" s="634">
        <f>I_Wzorcowa_BD!AK25</f>
        <v/>
      </c>
      <c r="AL122" s="634">
        <f>I_Wzorcowa_BD!AL25</f>
        <v/>
      </c>
      <c r="AM122" s="634">
        <f>I_Wzorcowa_BD!AM25</f>
        <v/>
      </c>
      <c r="AN122" s="634">
        <f>I_Wzorcowa_BD!AN25</f>
        <v/>
      </c>
      <c r="AO122" s="634">
        <f>I_Wzorcowa_BD!AO25</f>
        <v/>
      </c>
      <c r="AP122" s="640">
        <f>I_Wzorcowa_BD!AP25</f>
        <v/>
      </c>
      <c r="AQ122" s="640">
        <f>I_Wzorcowa_BD!AQ25</f>
        <v/>
      </c>
      <c r="AR122" s="640">
        <f>I_Wzorcowa_BD!AR25</f>
        <v/>
      </c>
      <c r="AS122" s="640">
        <f>I_Wzorcowa_BD!AS25</f>
        <v/>
      </c>
      <c r="AT122" s="619">
        <f>I_Wzorcowa_BD!AT25</f>
        <v/>
      </c>
      <c r="AU122" s="619">
        <f>I_Wzorcowa_BD!AU25</f>
        <v/>
      </c>
      <c r="AV122" s="619">
        <f>I_Wzorcowa_BD!AV25</f>
        <v/>
      </c>
      <c r="AW122" s="619">
        <f>I_Wzorcowa_BD!AW25</f>
        <v/>
      </c>
      <c r="AX122" s="538">
        <f>I_Wzorcowa_BD!AX25</f>
        <v/>
      </c>
      <c r="AY122" s="538">
        <f>I_Wzorcowa_BD!AY25</f>
        <v/>
      </c>
      <c r="AZ122" s="538">
        <f>I_Wzorcowa_BD!AZ25</f>
        <v/>
      </c>
      <c r="BA122" s="538">
        <f>I_Wzorcowa_BD!BA25</f>
        <v/>
      </c>
      <c r="BB122" s="538">
        <f>I_Wzorcowa_BD!BB25</f>
        <v/>
      </c>
      <c r="BC122" s="538">
        <f>I_Wzorcowa_BD!BC25</f>
        <v/>
      </c>
      <c r="BD122" s="538">
        <f>I_Wzorcowa_BD!BD25</f>
        <v/>
      </c>
      <c r="BE122" s="538">
        <f>I_Wzorcowa_BD!BE25</f>
        <v/>
      </c>
      <c r="BF122" s="538">
        <f>I_Wzorcowa_BD!BF25</f>
        <v/>
      </c>
      <c r="BG122" s="538">
        <f>I_Wzorcowa_BD!BG25</f>
        <v/>
      </c>
      <c r="BH122" s="538">
        <f>I_Wzorcowa_BD!BH25</f>
        <v/>
      </c>
      <c r="BI122" s="538">
        <f>I_Wzorcowa_BD!BI25</f>
        <v/>
      </c>
      <c r="BJ122">
        <f>O122</f>
        <v/>
      </c>
      <c r="BK122">
        <f>SUM(AG122:AW122)</f>
        <v/>
      </c>
      <c r="BL122" s="531">
        <f>BJ122-BK122</f>
        <v/>
      </c>
      <c r="BM122" s="201" t="n"/>
    </row>
    <row r="123" hidden="1" outlineLevel="1" s="191">
      <c r="A123" s="538">
        <f>I_Wzorcowa_BD!A26</f>
        <v/>
      </c>
      <c r="B123" s="538">
        <f>I_Wzorcowa_BD!B26</f>
        <v/>
      </c>
      <c r="C123" s="538">
        <f>I_Wzorcowa_BD!C26</f>
        <v/>
      </c>
      <c r="D123" s="538">
        <f>I_Wzorcowa_BD!D26</f>
        <v/>
      </c>
      <c r="E123" s="538">
        <f>I_Wzorcowa_BD!E26</f>
        <v/>
      </c>
      <c r="F123" s="538">
        <f>I_Wzorcowa_BD!F26</f>
        <v/>
      </c>
      <c r="G123" s="538">
        <f>I_Wzorcowa_BD!G26</f>
        <v/>
      </c>
      <c r="H123" s="538">
        <f>I_Wzorcowa_BD!H26</f>
        <v/>
      </c>
      <c r="I123" s="538">
        <f>I_Wzorcowa_BD!I26</f>
        <v/>
      </c>
      <c r="J123" s="538">
        <f>I_Wzorcowa_BD!J26</f>
        <v/>
      </c>
      <c r="K123" s="672">
        <f>I_Wzorcowa_BD!K26</f>
        <v/>
      </c>
      <c r="L123" s="672">
        <f>I_Wzorcowa_BD!L26</f>
        <v/>
      </c>
      <c r="M123" s="538">
        <f>I_Wzorcowa_BD!M26</f>
        <v/>
      </c>
      <c r="N123" s="538">
        <f>I_Wzorcowa_BD!N26</f>
        <v/>
      </c>
      <c r="O123" s="538">
        <f>I_Wzorcowa_BD!O26</f>
        <v/>
      </c>
      <c r="P123" s="627">
        <f>I_Wzorcowa_BD!P26</f>
        <v/>
      </c>
      <c r="Q123" s="627">
        <f>I_Wzorcowa_BD!Q26</f>
        <v/>
      </c>
      <c r="R123" s="627">
        <f>I_Wzorcowa_BD!R26</f>
        <v/>
      </c>
      <c r="S123" s="627">
        <f>I_Wzorcowa_BD!S26</f>
        <v/>
      </c>
      <c r="T123" s="627">
        <f>I_Wzorcowa_BD!T26</f>
        <v/>
      </c>
      <c r="U123" s="627">
        <f>I_Wzorcowa_BD!U26</f>
        <v/>
      </c>
      <c r="V123" s="627">
        <f>I_Wzorcowa_BD!V26</f>
        <v/>
      </c>
      <c r="W123" s="627">
        <f>I_Wzorcowa_BD!W26</f>
        <v/>
      </c>
      <c r="X123" s="627">
        <f>I_Wzorcowa_BD!X26</f>
        <v/>
      </c>
      <c r="Y123" s="649">
        <f>I_Wzorcowa_BD!Y26</f>
        <v/>
      </c>
      <c r="Z123" s="649">
        <f>I_Wzorcowa_BD!Z26</f>
        <v/>
      </c>
      <c r="AA123" s="649">
        <f>I_Wzorcowa_BD!AA26</f>
        <v/>
      </c>
      <c r="AB123" s="649">
        <f>I_Wzorcowa_BD!AB26</f>
        <v/>
      </c>
      <c r="AC123" s="612">
        <f>I_Wzorcowa_BD!AC26</f>
        <v/>
      </c>
      <c r="AD123" s="612">
        <f>I_Wzorcowa_BD!AD26</f>
        <v/>
      </c>
      <c r="AE123" s="612">
        <f>I_Wzorcowa_BD!AE26</f>
        <v/>
      </c>
      <c r="AF123" s="612">
        <f>I_Wzorcowa_BD!AF26</f>
        <v/>
      </c>
      <c r="AG123" s="634">
        <f>I_Wzorcowa_BD!AG26</f>
        <v/>
      </c>
      <c r="AH123" s="634">
        <f>I_Wzorcowa_BD!AH26</f>
        <v/>
      </c>
      <c r="AI123" s="634">
        <f>I_Wzorcowa_BD!AI26</f>
        <v/>
      </c>
      <c r="AJ123" s="634">
        <f>I_Wzorcowa_BD!AJ26</f>
        <v/>
      </c>
      <c r="AK123" s="634">
        <f>I_Wzorcowa_BD!AK26</f>
        <v/>
      </c>
      <c r="AL123" s="634">
        <f>I_Wzorcowa_BD!AL26</f>
        <v/>
      </c>
      <c r="AM123" s="634">
        <f>I_Wzorcowa_BD!AM26</f>
        <v/>
      </c>
      <c r="AN123" s="634">
        <f>I_Wzorcowa_BD!AN26</f>
        <v/>
      </c>
      <c r="AO123" s="634">
        <f>I_Wzorcowa_BD!AO26</f>
        <v/>
      </c>
      <c r="AP123" s="640">
        <f>I_Wzorcowa_BD!AP26</f>
        <v/>
      </c>
      <c r="AQ123" s="640">
        <f>I_Wzorcowa_BD!AQ26</f>
        <v/>
      </c>
      <c r="AR123" s="640">
        <f>I_Wzorcowa_BD!AR26</f>
        <v/>
      </c>
      <c r="AS123" s="640">
        <f>I_Wzorcowa_BD!AS26</f>
        <v/>
      </c>
      <c r="AT123" s="619">
        <f>I_Wzorcowa_BD!AT26</f>
        <v/>
      </c>
      <c r="AU123" s="619">
        <f>I_Wzorcowa_BD!AU26</f>
        <v/>
      </c>
      <c r="AV123" s="619">
        <f>I_Wzorcowa_BD!AV26</f>
        <v/>
      </c>
      <c r="AW123" s="619">
        <f>I_Wzorcowa_BD!AW26</f>
        <v/>
      </c>
      <c r="AX123" s="538">
        <f>I_Wzorcowa_BD!AX26</f>
        <v/>
      </c>
      <c r="AY123" s="538">
        <f>I_Wzorcowa_BD!AY26</f>
        <v/>
      </c>
      <c r="AZ123" s="538">
        <f>I_Wzorcowa_BD!AZ26</f>
        <v/>
      </c>
      <c r="BA123" s="538">
        <f>I_Wzorcowa_BD!BA26</f>
        <v/>
      </c>
      <c r="BB123" s="538">
        <f>I_Wzorcowa_BD!BB26</f>
        <v/>
      </c>
      <c r="BC123" s="538">
        <f>I_Wzorcowa_BD!BC26</f>
        <v/>
      </c>
      <c r="BD123" s="538">
        <f>I_Wzorcowa_BD!BD26</f>
        <v/>
      </c>
      <c r="BE123" s="538">
        <f>I_Wzorcowa_BD!BE26</f>
        <v/>
      </c>
      <c r="BF123" s="538">
        <f>I_Wzorcowa_BD!BF26</f>
        <v/>
      </c>
      <c r="BG123" s="538">
        <f>I_Wzorcowa_BD!BG26</f>
        <v/>
      </c>
      <c r="BH123" s="538">
        <f>I_Wzorcowa_BD!BH26</f>
        <v/>
      </c>
      <c r="BI123" s="538">
        <f>I_Wzorcowa_BD!BI26</f>
        <v/>
      </c>
      <c r="BJ123">
        <f>O123</f>
        <v/>
      </c>
      <c r="BK123">
        <f>SUM(AG123:AW123)</f>
        <v/>
      </c>
      <c r="BL123" s="531">
        <f>BJ123-BK123</f>
        <v/>
      </c>
      <c r="BM123" s="201" t="n"/>
    </row>
    <row r="124" hidden="1" outlineLevel="1" s="191">
      <c r="A124" s="538">
        <f>I_Wzorcowa_BD!A27</f>
        <v/>
      </c>
      <c r="B124" s="538">
        <f>I_Wzorcowa_BD!B27</f>
        <v/>
      </c>
      <c r="C124" s="538">
        <f>I_Wzorcowa_BD!C27</f>
        <v/>
      </c>
      <c r="D124" s="538">
        <f>I_Wzorcowa_BD!D27</f>
        <v/>
      </c>
      <c r="E124" s="538">
        <f>I_Wzorcowa_BD!E27</f>
        <v/>
      </c>
      <c r="F124" s="538">
        <f>I_Wzorcowa_BD!F27</f>
        <v/>
      </c>
      <c r="G124" s="538">
        <f>I_Wzorcowa_BD!G27</f>
        <v/>
      </c>
      <c r="H124" s="538">
        <f>I_Wzorcowa_BD!H27</f>
        <v/>
      </c>
      <c r="I124" s="538">
        <f>I_Wzorcowa_BD!I27</f>
        <v/>
      </c>
      <c r="J124" s="538">
        <f>I_Wzorcowa_BD!J27</f>
        <v/>
      </c>
      <c r="K124" s="672">
        <f>I_Wzorcowa_BD!K27</f>
        <v/>
      </c>
      <c r="L124" s="672">
        <f>I_Wzorcowa_BD!L27</f>
        <v/>
      </c>
      <c r="M124" s="538">
        <f>I_Wzorcowa_BD!M27</f>
        <v/>
      </c>
      <c r="N124" s="538">
        <f>I_Wzorcowa_BD!N27</f>
        <v/>
      </c>
      <c r="O124" s="538">
        <f>I_Wzorcowa_BD!O27</f>
        <v/>
      </c>
      <c r="P124" s="627">
        <f>I_Wzorcowa_BD!P27</f>
        <v/>
      </c>
      <c r="Q124" s="627">
        <f>I_Wzorcowa_BD!Q27</f>
        <v/>
      </c>
      <c r="R124" s="627">
        <f>I_Wzorcowa_BD!R27</f>
        <v/>
      </c>
      <c r="S124" s="627">
        <f>I_Wzorcowa_BD!S27</f>
        <v/>
      </c>
      <c r="T124" s="627">
        <f>I_Wzorcowa_BD!T27</f>
        <v/>
      </c>
      <c r="U124" s="627">
        <f>I_Wzorcowa_BD!U27</f>
        <v/>
      </c>
      <c r="V124" s="627">
        <f>I_Wzorcowa_BD!V27</f>
        <v/>
      </c>
      <c r="W124" s="627">
        <f>I_Wzorcowa_BD!W27</f>
        <v/>
      </c>
      <c r="X124" s="627">
        <f>I_Wzorcowa_BD!X27</f>
        <v/>
      </c>
      <c r="Y124" s="649">
        <f>I_Wzorcowa_BD!Y27</f>
        <v/>
      </c>
      <c r="Z124" s="649">
        <f>I_Wzorcowa_BD!Z27</f>
        <v/>
      </c>
      <c r="AA124" s="649">
        <f>I_Wzorcowa_BD!AA27</f>
        <v/>
      </c>
      <c r="AB124" s="649">
        <f>I_Wzorcowa_BD!AB27</f>
        <v/>
      </c>
      <c r="AC124" s="612">
        <f>I_Wzorcowa_BD!AC27</f>
        <v/>
      </c>
      <c r="AD124" s="612">
        <f>I_Wzorcowa_BD!AD27</f>
        <v/>
      </c>
      <c r="AE124" s="612">
        <f>I_Wzorcowa_BD!AE27</f>
        <v/>
      </c>
      <c r="AF124" s="612">
        <f>I_Wzorcowa_BD!AF27</f>
        <v/>
      </c>
      <c r="AG124" s="634">
        <f>I_Wzorcowa_BD!AG27</f>
        <v/>
      </c>
      <c r="AH124" s="634">
        <f>I_Wzorcowa_BD!AH27</f>
        <v/>
      </c>
      <c r="AI124" s="634">
        <f>I_Wzorcowa_BD!AI27</f>
        <v/>
      </c>
      <c r="AJ124" s="634">
        <f>I_Wzorcowa_BD!AJ27</f>
        <v/>
      </c>
      <c r="AK124" s="634">
        <f>I_Wzorcowa_BD!AK27</f>
        <v/>
      </c>
      <c r="AL124" s="634">
        <f>I_Wzorcowa_BD!AL27</f>
        <v/>
      </c>
      <c r="AM124" s="634">
        <f>I_Wzorcowa_BD!AM27</f>
        <v/>
      </c>
      <c r="AN124" s="634">
        <f>I_Wzorcowa_BD!AN27</f>
        <v/>
      </c>
      <c r="AO124" s="634">
        <f>I_Wzorcowa_BD!AO27</f>
        <v/>
      </c>
      <c r="AP124" s="640">
        <f>I_Wzorcowa_BD!AP27</f>
        <v/>
      </c>
      <c r="AQ124" s="640">
        <f>I_Wzorcowa_BD!AQ27</f>
        <v/>
      </c>
      <c r="AR124" s="640">
        <f>I_Wzorcowa_BD!AR27</f>
        <v/>
      </c>
      <c r="AS124" s="640">
        <f>I_Wzorcowa_BD!AS27</f>
        <v/>
      </c>
      <c r="AT124" s="619">
        <f>I_Wzorcowa_BD!AT27</f>
        <v/>
      </c>
      <c r="AU124" s="619">
        <f>I_Wzorcowa_BD!AU27</f>
        <v/>
      </c>
      <c r="AV124" s="619">
        <f>I_Wzorcowa_BD!AV27</f>
        <v/>
      </c>
      <c r="AW124" s="619">
        <f>I_Wzorcowa_BD!AW27</f>
        <v/>
      </c>
      <c r="AX124" s="538">
        <f>I_Wzorcowa_BD!AX27</f>
        <v/>
      </c>
      <c r="AY124" s="538">
        <f>I_Wzorcowa_BD!AY27</f>
        <v/>
      </c>
      <c r="AZ124" s="538">
        <f>I_Wzorcowa_BD!AZ27</f>
        <v/>
      </c>
      <c r="BA124" s="538">
        <f>I_Wzorcowa_BD!BA27</f>
        <v/>
      </c>
      <c r="BB124" s="538">
        <f>I_Wzorcowa_BD!BB27</f>
        <v/>
      </c>
      <c r="BC124" s="538">
        <f>I_Wzorcowa_BD!BC27</f>
        <v/>
      </c>
      <c r="BD124" s="538">
        <f>I_Wzorcowa_BD!BD27</f>
        <v/>
      </c>
      <c r="BE124" s="538">
        <f>I_Wzorcowa_BD!BE27</f>
        <v/>
      </c>
      <c r="BF124" s="538">
        <f>I_Wzorcowa_BD!BF27</f>
        <v/>
      </c>
      <c r="BG124" s="538">
        <f>I_Wzorcowa_BD!BG27</f>
        <v/>
      </c>
      <c r="BH124" s="538">
        <f>I_Wzorcowa_BD!BH27</f>
        <v/>
      </c>
      <c r="BI124" s="538">
        <f>I_Wzorcowa_BD!BI27</f>
        <v/>
      </c>
      <c r="BJ124">
        <f>O124</f>
        <v/>
      </c>
      <c r="BK124">
        <f>SUM(AG124:AW124)</f>
        <v/>
      </c>
      <c r="BL124" s="531">
        <f>BJ124-BK124</f>
        <v/>
      </c>
      <c r="BM124" s="201" t="n"/>
    </row>
    <row r="125" hidden="1" outlineLevel="1" s="191">
      <c r="A125" s="538">
        <f>I_Wzorcowa_BD!A28</f>
        <v/>
      </c>
      <c r="B125" s="538">
        <f>I_Wzorcowa_BD!B28</f>
        <v/>
      </c>
      <c r="C125" s="538">
        <f>I_Wzorcowa_BD!C28</f>
        <v/>
      </c>
      <c r="D125" s="538">
        <f>I_Wzorcowa_BD!D28</f>
        <v/>
      </c>
      <c r="E125" s="538">
        <f>I_Wzorcowa_BD!E28</f>
        <v/>
      </c>
      <c r="F125" s="538">
        <f>I_Wzorcowa_BD!F28</f>
        <v/>
      </c>
      <c r="G125" s="538">
        <f>I_Wzorcowa_BD!G28</f>
        <v/>
      </c>
      <c r="H125" s="538">
        <f>I_Wzorcowa_BD!H28</f>
        <v/>
      </c>
      <c r="I125" s="538">
        <f>I_Wzorcowa_BD!I28</f>
        <v/>
      </c>
      <c r="J125" s="538">
        <f>I_Wzorcowa_BD!J28</f>
        <v/>
      </c>
      <c r="K125" s="672">
        <f>I_Wzorcowa_BD!K28</f>
        <v/>
      </c>
      <c r="L125" s="672">
        <f>I_Wzorcowa_BD!L28</f>
        <v/>
      </c>
      <c r="M125" s="538">
        <f>I_Wzorcowa_BD!M28</f>
        <v/>
      </c>
      <c r="N125" s="538">
        <f>I_Wzorcowa_BD!N28</f>
        <v/>
      </c>
      <c r="O125" s="538">
        <f>I_Wzorcowa_BD!O28</f>
        <v/>
      </c>
      <c r="P125" s="627">
        <f>I_Wzorcowa_BD!P28</f>
        <v/>
      </c>
      <c r="Q125" s="627">
        <f>I_Wzorcowa_BD!Q28</f>
        <v/>
      </c>
      <c r="R125" s="627">
        <f>I_Wzorcowa_BD!R28</f>
        <v/>
      </c>
      <c r="S125" s="627">
        <f>I_Wzorcowa_BD!S28</f>
        <v/>
      </c>
      <c r="T125" s="627">
        <f>I_Wzorcowa_BD!T28</f>
        <v/>
      </c>
      <c r="U125" s="627">
        <f>I_Wzorcowa_BD!U28</f>
        <v/>
      </c>
      <c r="V125" s="627">
        <f>I_Wzorcowa_BD!V28</f>
        <v/>
      </c>
      <c r="W125" s="627">
        <f>I_Wzorcowa_BD!W28</f>
        <v/>
      </c>
      <c r="X125" s="627">
        <f>I_Wzorcowa_BD!X28</f>
        <v/>
      </c>
      <c r="Y125" s="649">
        <f>I_Wzorcowa_BD!Y28</f>
        <v/>
      </c>
      <c r="Z125" s="649">
        <f>I_Wzorcowa_BD!Z28</f>
        <v/>
      </c>
      <c r="AA125" s="649">
        <f>I_Wzorcowa_BD!AA28</f>
        <v/>
      </c>
      <c r="AB125" s="649">
        <f>I_Wzorcowa_BD!AB28</f>
        <v/>
      </c>
      <c r="AC125" s="612">
        <f>I_Wzorcowa_BD!AC28</f>
        <v/>
      </c>
      <c r="AD125" s="612">
        <f>I_Wzorcowa_BD!AD28</f>
        <v/>
      </c>
      <c r="AE125" s="612">
        <f>I_Wzorcowa_BD!AE28</f>
        <v/>
      </c>
      <c r="AF125" s="612">
        <f>I_Wzorcowa_BD!AF28</f>
        <v/>
      </c>
      <c r="AG125" s="634">
        <f>I_Wzorcowa_BD!AG28</f>
        <v/>
      </c>
      <c r="AH125" s="634">
        <f>I_Wzorcowa_BD!AH28</f>
        <v/>
      </c>
      <c r="AI125" s="634">
        <f>I_Wzorcowa_BD!AI28</f>
        <v/>
      </c>
      <c r="AJ125" s="634">
        <f>I_Wzorcowa_BD!AJ28</f>
        <v/>
      </c>
      <c r="AK125" s="634">
        <f>I_Wzorcowa_BD!AK28</f>
        <v/>
      </c>
      <c r="AL125" s="634">
        <f>I_Wzorcowa_BD!AL28</f>
        <v/>
      </c>
      <c r="AM125" s="634">
        <f>I_Wzorcowa_BD!AM28</f>
        <v/>
      </c>
      <c r="AN125" s="634">
        <f>I_Wzorcowa_BD!AN28</f>
        <v/>
      </c>
      <c r="AO125" s="634">
        <f>I_Wzorcowa_BD!AO28</f>
        <v/>
      </c>
      <c r="AP125" s="640">
        <f>I_Wzorcowa_BD!AP28</f>
        <v/>
      </c>
      <c r="AQ125" s="640">
        <f>I_Wzorcowa_BD!AQ28</f>
        <v/>
      </c>
      <c r="AR125" s="640">
        <f>I_Wzorcowa_BD!AR28</f>
        <v/>
      </c>
      <c r="AS125" s="640">
        <f>I_Wzorcowa_BD!AS28</f>
        <v/>
      </c>
      <c r="AT125" s="619">
        <f>I_Wzorcowa_BD!AT28</f>
        <v/>
      </c>
      <c r="AU125" s="619">
        <f>I_Wzorcowa_BD!AU28</f>
        <v/>
      </c>
      <c r="AV125" s="619">
        <f>I_Wzorcowa_BD!AV28</f>
        <v/>
      </c>
      <c r="AW125" s="619">
        <f>I_Wzorcowa_BD!AW28</f>
        <v/>
      </c>
      <c r="AX125" s="538">
        <f>I_Wzorcowa_BD!AX28</f>
        <v/>
      </c>
      <c r="AY125" s="538">
        <f>I_Wzorcowa_BD!AY28</f>
        <v/>
      </c>
      <c r="AZ125" s="538">
        <f>I_Wzorcowa_BD!AZ28</f>
        <v/>
      </c>
      <c r="BA125" s="538">
        <f>I_Wzorcowa_BD!BA28</f>
        <v/>
      </c>
      <c r="BB125" s="538">
        <f>I_Wzorcowa_BD!BB28</f>
        <v/>
      </c>
      <c r="BC125" s="538">
        <f>I_Wzorcowa_BD!BC28</f>
        <v/>
      </c>
      <c r="BD125" s="538">
        <f>I_Wzorcowa_BD!BD28</f>
        <v/>
      </c>
      <c r="BE125" s="538">
        <f>I_Wzorcowa_BD!BE28</f>
        <v/>
      </c>
      <c r="BF125" s="538">
        <f>I_Wzorcowa_BD!BF28</f>
        <v/>
      </c>
      <c r="BG125" s="538">
        <f>I_Wzorcowa_BD!BG28</f>
        <v/>
      </c>
      <c r="BH125" s="538">
        <f>I_Wzorcowa_BD!BH28</f>
        <v/>
      </c>
      <c r="BI125" s="538">
        <f>I_Wzorcowa_BD!BI28</f>
        <v/>
      </c>
      <c r="BJ125">
        <f>O125</f>
        <v/>
      </c>
      <c r="BK125">
        <f>SUM(AG125:AW125)</f>
        <v/>
      </c>
      <c r="BL125" s="531">
        <f>BJ125-BK125</f>
        <v/>
      </c>
      <c r="BM125" s="201" t="n"/>
    </row>
    <row r="126" hidden="1" outlineLevel="1" s="191">
      <c r="A126" s="538">
        <f>I_Wzorcowa_BD!A29</f>
        <v/>
      </c>
      <c r="B126" s="538">
        <f>I_Wzorcowa_BD!B29</f>
        <v/>
      </c>
      <c r="C126" s="538">
        <f>I_Wzorcowa_BD!C29</f>
        <v/>
      </c>
      <c r="D126" s="538">
        <f>I_Wzorcowa_BD!D29</f>
        <v/>
      </c>
      <c r="E126" s="538">
        <f>I_Wzorcowa_BD!E29</f>
        <v/>
      </c>
      <c r="F126" s="538">
        <f>I_Wzorcowa_BD!F29</f>
        <v/>
      </c>
      <c r="G126" s="538">
        <f>I_Wzorcowa_BD!G29</f>
        <v/>
      </c>
      <c r="H126" s="538">
        <f>I_Wzorcowa_BD!H29</f>
        <v/>
      </c>
      <c r="I126" s="538">
        <f>I_Wzorcowa_BD!I29</f>
        <v/>
      </c>
      <c r="J126" s="538">
        <f>I_Wzorcowa_BD!J29</f>
        <v/>
      </c>
      <c r="K126" s="672">
        <f>I_Wzorcowa_BD!K29</f>
        <v/>
      </c>
      <c r="L126" s="672">
        <f>I_Wzorcowa_BD!L29</f>
        <v/>
      </c>
      <c r="M126" s="538">
        <f>I_Wzorcowa_BD!M29</f>
        <v/>
      </c>
      <c r="N126" s="538">
        <f>I_Wzorcowa_BD!N29</f>
        <v/>
      </c>
      <c r="O126" s="538">
        <f>I_Wzorcowa_BD!O29</f>
        <v/>
      </c>
      <c r="P126" s="627">
        <f>I_Wzorcowa_BD!P29</f>
        <v/>
      </c>
      <c r="Q126" s="627">
        <f>I_Wzorcowa_BD!Q29</f>
        <v/>
      </c>
      <c r="R126" s="627">
        <f>I_Wzorcowa_BD!R29</f>
        <v/>
      </c>
      <c r="S126" s="627">
        <f>I_Wzorcowa_BD!S29</f>
        <v/>
      </c>
      <c r="T126" s="627">
        <f>I_Wzorcowa_BD!T29</f>
        <v/>
      </c>
      <c r="U126" s="627">
        <f>I_Wzorcowa_BD!U29</f>
        <v/>
      </c>
      <c r="V126" s="627">
        <f>I_Wzorcowa_BD!V29</f>
        <v/>
      </c>
      <c r="W126" s="627">
        <f>I_Wzorcowa_BD!W29</f>
        <v/>
      </c>
      <c r="X126" s="627">
        <f>I_Wzorcowa_BD!X29</f>
        <v/>
      </c>
      <c r="Y126" s="649">
        <f>I_Wzorcowa_BD!Y29</f>
        <v/>
      </c>
      <c r="Z126" s="649">
        <f>I_Wzorcowa_BD!Z29</f>
        <v/>
      </c>
      <c r="AA126" s="649">
        <f>I_Wzorcowa_BD!AA29</f>
        <v/>
      </c>
      <c r="AB126" s="649">
        <f>I_Wzorcowa_BD!AB29</f>
        <v/>
      </c>
      <c r="AC126" s="612">
        <f>I_Wzorcowa_BD!AC29</f>
        <v/>
      </c>
      <c r="AD126" s="612">
        <f>I_Wzorcowa_BD!AD29</f>
        <v/>
      </c>
      <c r="AE126" s="612">
        <f>I_Wzorcowa_BD!AE29</f>
        <v/>
      </c>
      <c r="AF126" s="612">
        <f>I_Wzorcowa_BD!AF29</f>
        <v/>
      </c>
      <c r="AG126" s="634">
        <f>I_Wzorcowa_BD!AG29</f>
        <v/>
      </c>
      <c r="AH126" s="634">
        <f>I_Wzorcowa_BD!AH29</f>
        <v/>
      </c>
      <c r="AI126" s="634">
        <f>I_Wzorcowa_BD!AI29</f>
        <v/>
      </c>
      <c r="AJ126" s="634">
        <f>I_Wzorcowa_BD!AJ29</f>
        <v/>
      </c>
      <c r="AK126" s="634">
        <f>I_Wzorcowa_BD!AK29</f>
        <v/>
      </c>
      <c r="AL126" s="634">
        <f>I_Wzorcowa_BD!AL29</f>
        <v/>
      </c>
      <c r="AM126" s="634">
        <f>I_Wzorcowa_BD!AM29</f>
        <v/>
      </c>
      <c r="AN126" s="634">
        <f>I_Wzorcowa_BD!AN29</f>
        <v/>
      </c>
      <c r="AO126" s="634">
        <f>I_Wzorcowa_BD!AO29</f>
        <v/>
      </c>
      <c r="AP126" s="640">
        <f>I_Wzorcowa_BD!AP29</f>
        <v/>
      </c>
      <c r="AQ126" s="640">
        <f>I_Wzorcowa_BD!AQ29</f>
        <v/>
      </c>
      <c r="AR126" s="640">
        <f>I_Wzorcowa_BD!AR29</f>
        <v/>
      </c>
      <c r="AS126" s="640">
        <f>I_Wzorcowa_BD!AS29</f>
        <v/>
      </c>
      <c r="AT126" s="619">
        <f>I_Wzorcowa_BD!AT29</f>
        <v/>
      </c>
      <c r="AU126" s="619">
        <f>I_Wzorcowa_BD!AU29</f>
        <v/>
      </c>
      <c r="AV126" s="619">
        <f>I_Wzorcowa_BD!AV29</f>
        <v/>
      </c>
      <c r="AW126" s="619">
        <f>I_Wzorcowa_BD!AW29</f>
        <v/>
      </c>
      <c r="AX126" s="538">
        <f>I_Wzorcowa_BD!AX29</f>
        <v/>
      </c>
      <c r="AY126" s="538">
        <f>I_Wzorcowa_BD!AY29</f>
        <v/>
      </c>
      <c r="AZ126" s="538">
        <f>I_Wzorcowa_BD!AZ29</f>
        <v/>
      </c>
      <c r="BA126" s="538">
        <f>I_Wzorcowa_BD!BA29</f>
        <v/>
      </c>
      <c r="BB126" s="538">
        <f>I_Wzorcowa_BD!BB29</f>
        <v/>
      </c>
      <c r="BC126" s="538">
        <f>I_Wzorcowa_BD!BC29</f>
        <v/>
      </c>
      <c r="BD126" s="538">
        <f>I_Wzorcowa_BD!BD29</f>
        <v/>
      </c>
      <c r="BE126" s="538">
        <f>I_Wzorcowa_BD!BE29</f>
        <v/>
      </c>
      <c r="BF126" s="538">
        <f>I_Wzorcowa_BD!BF29</f>
        <v/>
      </c>
      <c r="BG126" s="538">
        <f>I_Wzorcowa_BD!BG29</f>
        <v/>
      </c>
      <c r="BH126" s="538">
        <f>I_Wzorcowa_BD!BH29</f>
        <v/>
      </c>
      <c r="BI126" s="538">
        <f>I_Wzorcowa_BD!BI29</f>
        <v/>
      </c>
      <c r="BJ126">
        <f>O126</f>
        <v/>
      </c>
      <c r="BK126">
        <f>SUM(AG126:AW126)</f>
        <v/>
      </c>
      <c r="BL126" s="531">
        <f>BJ126-BK126</f>
        <v/>
      </c>
      <c r="BM126" s="201" t="n"/>
    </row>
    <row r="127" hidden="1" outlineLevel="1" s="191">
      <c r="A127" s="506">
        <f>A100</f>
        <v/>
      </c>
      <c r="B127" s="538" t="n"/>
      <c r="C127" s="538" t="n"/>
      <c r="D127" s="538" t="n"/>
      <c r="E127" s="538" t="n"/>
      <c r="P127" s="628" t="n"/>
      <c r="Q127" s="628" t="n"/>
      <c r="R127" s="628" t="n"/>
      <c r="S127" s="628" t="n"/>
      <c r="T127" s="628" t="n"/>
      <c r="U127" s="628" t="n"/>
      <c r="V127" s="628" t="n"/>
      <c r="W127" s="628" t="n"/>
      <c r="X127" s="628" t="n"/>
      <c r="Y127" s="650" t="n"/>
      <c r="Z127" s="650" t="n"/>
      <c r="AA127" s="650" t="n"/>
      <c r="AB127" s="650" t="n"/>
      <c r="AC127" s="613" t="n"/>
      <c r="AD127" s="613" t="n"/>
      <c r="AE127" s="613" t="n"/>
      <c r="AF127" s="613" t="n"/>
      <c r="AG127" s="626" t="n"/>
      <c r="AH127" s="626" t="n"/>
      <c r="AI127" s="626" t="n"/>
      <c r="AJ127" s="626" t="n"/>
      <c r="AK127" s="626" t="n"/>
      <c r="AL127" s="626" t="n"/>
      <c r="AM127" s="626" t="n"/>
      <c r="AN127" s="626" t="n"/>
      <c r="AO127" s="626" t="n"/>
      <c r="AP127" s="369" t="n"/>
      <c r="AQ127" s="369" t="n"/>
      <c r="AR127" s="369" t="n"/>
      <c r="AS127" s="369" t="n"/>
      <c r="AT127" s="370" t="n"/>
      <c r="AU127" s="370" t="n"/>
      <c r="AV127" s="370" t="n"/>
      <c r="AW127" s="370" t="n"/>
      <c r="BJ127">
        <f>O127</f>
        <v/>
      </c>
      <c r="BK127">
        <f>SUM(AG127:AW127)</f>
        <v/>
      </c>
      <c r="BL127" s="531">
        <f>BJ127-BK127</f>
        <v/>
      </c>
      <c r="BM127" s="201" t="n"/>
    </row>
    <row r="128" hidden="1" outlineLevel="1" s="191">
      <c r="A128" s="506">
        <f>A127</f>
        <v/>
      </c>
      <c r="P128" s="628" t="n"/>
      <c r="Q128" s="628" t="n"/>
      <c r="R128" s="628" t="n"/>
      <c r="S128" s="628" t="n"/>
      <c r="T128" s="628" t="n"/>
      <c r="U128" s="628" t="n"/>
      <c r="V128" s="628" t="n"/>
      <c r="W128" s="628" t="n"/>
      <c r="X128" s="628" t="n"/>
      <c r="Y128" s="650" t="n"/>
      <c r="Z128" s="650" t="n"/>
      <c r="AA128" s="650" t="n"/>
      <c r="AB128" s="650" t="n"/>
      <c r="AC128" s="613" t="n"/>
      <c r="AD128" s="613" t="n"/>
      <c r="AE128" s="613" t="n"/>
      <c r="AF128" s="613" t="n"/>
      <c r="AG128" s="626" t="n"/>
      <c r="AH128" s="626" t="n"/>
      <c r="AI128" s="626" t="n"/>
      <c r="AJ128" s="626" t="n"/>
      <c r="AK128" s="626" t="n"/>
      <c r="AL128" s="626" t="n"/>
      <c r="AM128" s="626" t="n"/>
      <c r="AN128" s="626" t="n"/>
      <c r="AO128" s="626" t="n"/>
      <c r="AP128" s="369" t="n"/>
      <c r="AQ128" s="369" t="n"/>
      <c r="AR128" s="369" t="n"/>
      <c r="AS128" s="369" t="n"/>
      <c r="AT128" s="370" t="n"/>
      <c r="AU128" s="370" t="n"/>
      <c r="AV128" s="370" t="n"/>
      <c r="AW128" s="370" t="n"/>
      <c r="BJ128">
        <f>O128</f>
        <v/>
      </c>
      <c r="BK128">
        <f>SUM(AG128:AW128)</f>
        <v/>
      </c>
      <c r="BL128" s="531">
        <f>BJ128-BK128</f>
        <v/>
      </c>
      <c r="BM128" s="201" t="n"/>
    </row>
    <row r="129" hidden="1" outlineLevel="1" s="191">
      <c r="A129" s="506">
        <f>A128</f>
        <v/>
      </c>
      <c r="P129" s="628" t="n"/>
      <c r="Q129" s="628" t="n"/>
      <c r="R129" s="628" t="n"/>
      <c r="S129" s="628" t="n"/>
      <c r="T129" s="628" t="n"/>
      <c r="U129" s="628" t="n"/>
      <c r="V129" s="628" t="n"/>
      <c r="W129" s="628" t="n"/>
      <c r="X129" s="628" t="n"/>
      <c r="Y129" s="650" t="n"/>
      <c r="Z129" s="650" t="n"/>
      <c r="AA129" s="650" t="n"/>
      <c r="AB129" s="650" t="n"/>
      <c r="AC129" s="613" t="n"/>
      <c r="AD129" s="613" t="n"/>
      <c r="AE129" s="613" t="n"/>
      <c r="AF129" s="613" t="n"/>
      <c r="AG129" s="626" t="n"/>
      <c r="AH129" s="626" t="n"/>
      <c r="AI129" s="626" t="n"/>
      <c r="AJ129" s="626" t="n"/>
      <c r="AK129" s="626" t="n"/>
      <c r="AL129" s="626" t="n"/>
      <c r="AM129" s="626" t="n"/>
      <c r="AN129" s="626" t="n"/>
      <c r="AO129" s="626" t="n"/>
      <c r="AP129" s="369" t="n"/>
      <c r="AQ129" s="369" t="n"/>
      <c r="AR129" s="369" t="n"/>
      <c r="AS129" s="369" t="n"/>
      <c r="AT129" s="370" t="n"/>
      <c r="AU129" s="370" t="n"/>
      <c r="AV129" s="370" t="n"/>
      <c r="AW129" s="370" t="n"/>
      <c r="BJ129">
        <f>O129</f>
        <v/>
      </c>
      <c r="BK129">
        <f>SUM(AG129:AW129)</f>
        <v/>
      </c>
      <c r="BL129" s="531">
        <f>BJ129-BK129</f>
        <v/>
      </c>
      <c r="BM129" s="201" t="n"/>
    </row>
    <row r="130" hidden="1" outlineLevel="1" s="191">
      <c r="A130" s="506">
        <f>A129</f>
        <v/>
      </c>
      <c r="P130" s="628" t="n"/>
      <c r="Q130" s="628" t="n"/>
      <c r="R130" s="628" t="n"/>
      <c r="S130" s="628" t="n"/>
      <c r="T130" s="628" t="n"/>
      <c r="U130" s="628" t="n"/>
      <c r="V130" s="628" t="n"/>
      <c r="W130" s="628" t="n"/>
      <c r="X130" s="628" t="n"/>
      <c r="Y130" s="650" t="n"/>
      <c r="Z130" s="650" t="n"/>
      <c r="AA130" s="650" t="n"/>
      <c r="AB130" s="650" t="n"/>
      <c r="AC130" s="613" t="n"/>
      <c r="AD130" s="613" t="n"/>
      <c r="AE130" s="613" t="n"/>
      <c r="AF130" s="613" t="n"/>
      <c r="AG130" s="626" t="n"/>
      <c r="AH130" s="626" t="n"/>
      <c r="AI130" s="626" t="n"/>
      <c r="AJ130" s="626" t="n"/>
      <c r="AK130" s="626" t="n"/>
      <c r="AL130" s="626" t="n"/>
      <c r="AM130" s="626" t="n"/>
      <c r="AN130" s="626" t="n"/>
      <c r="AO130" s="626" t="n"/>
      <c r="AP130" s="369" t="n"/>
      <c r="AQ130" s="369" t="n"/>
      <c r="AR130" s="369" t="n"/>
      <c r="AS130" s="369" t="n"/>
      <c r="AT130" s="370" t="n"/>
      <c r="AU130" s="370" t="n"/>
      <c r="AV130" s="370" t="n"/>
      <c r="AW130" s="370" t="n"/>
      <c r="BJ130">
        <f>O130</f>
        <v/>
      </c>
      <c r="BK130">
        <f>SUM(AG130:AW130)</f>
        <v/>
      </c>
      <c r="BL130" s="531">
        <f>BJ130-BK130</f>
        <v/>
      </c>
      <c r="BM130" s="201" t="n"/>
    </row>
    <row r="131" hidden="1" outlineLevel="1" s="191">
      <c r="A131" s="506">
        <f>A130</f>
        <v/>
      </c>
      <c r="P131" s="628" t="n"/>
      <c r="Q131" s="628" t="n"/>
      <c r="R131" s="628" t="n"/>
      <c r="S131" s="628" t="n"/>
      <c r="T131" s="628" t="n"/>
      <c r="U131" s="628" t="n"/>
      <c r="V131" s="628" t="n"/>
      <c r="W131" s="628" t="n"/>
      <c r="X131" s="628" t="n"/>
      <c r="Y131" s="650" t="n"/>
      <c r="Z131" s="650" t="n"/>
      <c r="AA131" s="650" t="n"/>
      <c r="AB131" s="650" t="n"/>
      <c r="AC131" s="613" t="n"/>
      <c r="AD131" s="613" t="n"/>
      <c r="AE131" s="613" t="n"/>
      <c r="AF131" s="613" t="n"/>
      <c r="AG131" s="626" t="n"/>
      <c r="AH131" s="626" t="n"/>
      <c r="AI131" s="626" t="n"/>
      <c r="AJ131" s="626" t="n"/>
      <c r="AK131" s="626" t="n"/>
      <c r="AL131" s="626" t="n"/>
      <c r="AM131" s="626" t="n"/>
      <c r="AN131" s="626" t="n"/>
      <c r="AO131" s="626" t="n"/>
      <c r="AP131" s="369" t="n"/>
      <c r="AQ131" s="369" t="n"/>
      <c r="AR131" s="369" t="n"/>
      <c r="AS131" s="369" t="n"/>
      <c r="AT131" s="370" t="n"/>
      <c r="AU131" s="370" t="n"/>
      <c r="AV131" s="370" t="n"/>
      <c r="AW131" s="370" t="n"/>
      <c r="BJ131">
        <f>O131</f>
        <v/>
      </c>
      <c r="BK131">
        <f>SUM(AG131:AW131)</f>
        <v/>
      </c>
      <c r="BL131" s="531">
        <f>BJ131-BK131</f>
        <v/>
      </c>
      <c r="BM131" s="201" t="n"/>
    </row>
    <row r="132" hidden="1" outlineLevel="1" s="191">
      <c r="A132" s="506">
        <f>A131</f>
        <v/>
      </c>
      <c r="P132" s="628" t="n"/>
      <c r="Q132" s="628" t="n"/>
      <c r="R132" s="628" t="n"/>
      <c r="S132" s="628" t="n"/>
      <c r="T132" s="628" t="n"/>
      <c r="U132" s="628" t="n"/>
      <c r="V132" s="628" t="n"/>
      <c r="W132" s="628" t="n"/>
      <c r="X132" s="628" t="n"/>
      <c r="Y132" s="650" t="n"/>
      <c r="Z132" s="650" t="n"/>
      <c r="AA132" s="650" t="n"/>
      <c r="AB132" s="650" t="n"/>
      <c r="AC132" s="613" t="n"/>
      <c r="AD132" s="613" t="n"/>
      <c r="AE132" s="613" t="n"/>
      <c r="AF132" s="613" t="n"/>
      <c r="AG132" s="626" t="n"/>
      <c r="AH132" s="626" t="n"/>
      <c r="AI132" s="626" t="n"/>
      <c r="AJ132" s="626" t="n"/>
      <c r="AK132" s="626" t="n"/>
      <c r="AL132" s="626" t="n"/>
      <c r="AM132" s="626" t="n"/>
      <c r="AN132" s="626" t="n"/>
      <c r="AO132" s="626" t="n"/>
      <c r="AP132" s="369" t="n"/>
      <c r="AQ132" s="369" t="n"/>
      <c r="AR132" s="369" t="n"/>
      <c r="AS132" s="369" t="n"/>
      <c r="AT132" s="370" t="n"/>
      <c r="AU132" s="370" t="n"/>
      <c r="AV132" s="370" t="n"/>
      <c r="AW132" s="370" t="n"/>
      <c r="BJ132">
        <f>O132</f>
        <v/>
      </c>
      <c r="BK132">
        <f>SUM(AG132:AW132)</f>
        <v/>
      </c>
      <c r="BL132" s="531">
        <f>BJ132-BK132</f>
        <v/>
      </c>
      <c r="BM132" s="201" t="n"/>
    </row>
    <row r="133" hidden="1" outlineLevel="1" s="191">
      <c r="A133" s="506">
        <f>A132</f>
        <v/>
      </c>
      <c r="P133" s="628" t="n"/>
      <c r="Q133" s="628" t="n"/>
      <c r="R133" s="628" t="n"/>
      <c r="S133" s="628" t="n"/>
      <c r="T133" s="628" t="n"/>
      <c r="U133" s="628" t="n"/>
      <c r="V133" s="628" t="n"/>
      <c r="W133" s="628" t="n"/>
      <c r="X133" s="628" t="n"/>
      <c r="Y133" s="650" t="n"/>
      <c r="Z133" s="650" t="n"/>
      <c r="AA133" s="650" t="n"/>
      <c r="AB133" s="650" t="n"/>
      <c r="AC133" s="613" t="n"/>
      <c r="AD133" s="613" t="n"/>
      <c r="AE133" s="613" t="n"/>
      <c r="AF133" s="613" t="n"/>
      <c r="AG133" s="626" t="n"/>
      <c r="AH133" s="626" t="n"/>
      <c r="AI133" s="626" t="n"/>
      <c r="AJ133" s="626" t="n"/>
      <c r="AK133" s="626" t="n"/>
      <c r="AL133" s="626" t="n"/>
      <c r="AM133" s="626" t="n"/>
      <c r="AN133" s="626" t="n"/>
      <c r="AO133" s="626" t="n"/>
      <c r="AP133" s="369" t="n"/>
      <c r="AQ133" s="369" t="n"/>
      <c r="AR133" s="369" t="n"/>
      <c r="AS133" s="369" t="n"/>
      <c r="AT133" s="370" t="n"/>
      <c r="AU133" s="370" t="n"/>
      <c r="AV133" s="370" t="n"/>
      <c r="AW133" s="370" t="n"/>
      <c r="BJ133">
        <f>O133</f>
        <v/>
      </c>
      <c r="BK133">
        <f>SUM(AG133:AW133)</f>
        <v/>
      </c>
      <c r="BL133" s="531">
        <f>BJ133-BK133</f>
        <v/>
      </c>
      <c r="BM133" s="201" t="n"/>
    </row>
    <row r="134" hidden="1" outlineLevel="1" s="191">
      <c r="A134" s="506">
        <f>A133</f>
        <v/>
      </c>
      <c r="P134" s="628" t="n"/>
      <c r="Q134" s="628" t="n"/>
      <c r="R134" s="628" t="n"/>
      <c r="S134" s="628" t="n"/>
      <c r="T134" s="628" t="n"/>
      <c r="U134" s="628" t="n"/>
      <c r="V134" s="628" t="n"/>
      <c r="W134" s="628" t="n"/>
      <c r="X134" s="628" t="n"/>
      <c r="Y134" s="650" t="n"/>
      <c r="Z134" s="650" t="n"/>
      <c r="AA134" s="650" t="n"/>
      <c r="AB134" s="650" t="n"/>
      <c r="AC134" s="613" t="n"/>
      <c r="AD134" s="613" t="n"/>
      <c r="AE134" s="613" t="n"/>
      <c r="AF134" s="613" t="n"/>
      <c r="AG134" s="626" t="n"/>
      <c r="AH134" s="626" t="n"/>
      <c r="AI134" s="626" t="n"/>
      <c r="AJ134" s="626" t="n"/>
      <c r="AK134" s="626" t="n"/>
      <c r="AL134" s="626" t="n"/>
      <c r="AM134" s="626" t="n"/>
      <c r="AN134" s="626" t="n"/>
      <c r="AO134" s="626" t="n"/>
      <c r="AP134" s="369" t="n"/>
      <c r="AQ134" s="369" t="n"/>
      <c r="AR134" s="369" t="n"/>
      <c r="AS134" s="369" t="n"/>
      <c r="AT134" s="370" t="n"/>
      <c r="AU134" s="370" t="n"/>
      <c r="AV134" s="370" t="n"/>
      <c r="AW134" s="370" t="n"/>
      <c r="BJ134">
        <f>O134</f>
        <v/>
      </c>
      <c r="BK134">
        <f>SUM(AG134:AW134)</f>
        <v/>
      </c>
      <c r="BL134" s="531">
        <f>BJ134-BK134</f>
        <v/>
      </c>
      <c r="BM134" s="201" t="n"/>
    </row>
    <row r="135" hidden="1" outlineLevel="1" s="191">
      <c r="A135" s="506">
        <f>A134</f>
        <v/>
      </c>
      <c r="P135" s="628" t="n"/>
      <c r="Q135" s="628" t="n"/>
      <c r="R135" s="628" t="n"/>
      <c r="S135" s="628" t="n"/>
      <c r="T135" s="628" t="n"/>
      <c r="U135" s="628" t="n"/>
      <c r="V135" s="628" t="n"/>
      <c r="W135" s="628" t="n"/>
      <c r="X135" s="628" t="n"/>
      <c r="Y135" s="650" t="n"/>
      <c r="Z135" s="650" t="n"/>
      <c r="AA135" s="650" t="n"/>
      <c r="AB135" s="650" t="n"/>
      <c r="AC135" s="613" t="n"/>
      <c r="AD135" s="613" t="n"/>
      <c r="AE135" s="613" t="n"/>
      <c r="AF135" s="613" t="n"/>
      <c r="AG135" s="626" t="n"/>
      <c r="AH135" s="626" t="n"/>
      <c r="AI135" s="626" t="n"/>
      <c r="AJ135" s="626" t="n"/>
      <c r="AK135" s="626" t="n"/>
      <c r="AL135" s="626" t="n"/>
      <c r="AM135" s="626" t="n"/>
      <c r="AN135" s="626" t="n"/>
      <c r="AO135" s="626" t="n"/>
      <c r="AP135" s="369" t="n"/>
      <c r="AQ135" s="369" t="n"/>
      <c r="AR135" s="369" t="n"/>
      <c r="AS135" s="369" t="n"/>
      <c r="AT135" s="370" t="n"/>
      <c r="AU135" s="370" t="n"/>
      <c r="AV135" s="370" t="n"/>
      <c r="AW135" s="370" t="n"/>
      <c r="BJ135">
        <f>O135</f>
        <v/>
      </c>
      <c r="BK135">
        <f>SUM(AG135:AW135)</f>
        <v/>
      </c>
      <c r="BL135" s="531">
        <f>BJ135-BK135</f>
        <v/>
      </c>
      <c r="BM135" s="201" t="n"/>
    </row>
    <row r="136" hidden="1" outlineLevel="1" s="191">
      <c r="A136" s="506">
        <f>A135</f>
        <v/>
      </c>
      <c r="P136" s="628" t="n"/>
      <c r="Q136" s="628" t="n"/>
      <c r="R136" s="628" t="n"/>
      <c r="S136" s="628" t="n"/>
      <c r="T136" s="628" t="n"/>
      <c r="U136" s="628" t="n"/>
      <c r="V136" s="628" t="n"/>
      <c r="W136" s="628" t="n"/>
      <c r="X136" s="628" t="n"/>
      <c r="Y136" s="650" t="n"/>
      <c r="Z136" s="650" t="n"/>
      <c r="AA136" s="650" t="n"/>
      <c r="AB136" s="650" t="n"/>
      <c r="AC136" s="613" t="n"/>
      <c r="AD136" s="613" t="n"/>
      <c r="AE136" s="613" t="n"/>
      <c r="AF136" s="613" t="n"/>
      <c r="AG136" s="626" t="n"/>
      <c r="AH136" s="626" t="n"/>
      <c r="AI136" s="626" t="n"/>
      <c r="AJ136" s="626" t="n"/>
      <c r="AK136" s="626" t="n"/>
      <c r="AL136" s="626" t="n"/>
      <c r="AM136" s="626" t="n"/>
      <c r="AN136" s="626" t="n"/>
      <c r="AO136" s="626" t="n"/>
      <c r="AP136" s="369" t="n"/>
      <c r="AQ136" s="369" t="n"/>
      <c r="AR136" s="369" t="n"/>
      <c r="AS136" s="369" t="n"/>
      <c r="AT136" s="370" t="n"/>
      <c r="AU136" s="370" t="n"/>
      <c r="AV136" s="370" t="n"/>
      <c r="AW136" s="370" t="n"/>
      <c r="BJ136">
        <f>O136</f>
        <v/>
      </c>
      <c r="BK136">
        <f>SUM(AG136:AW136)</f>
        <v/>
      </c>
      <c r="BL136" s="531">
        <f>BJ136-BK136</f>
        <v/>
      </c>
      <c r="BM136" s="201" t="n"/>
    </row>
    <row r="137" hidden="1" outlineLevel="1" s="191">
      <c r="A137" s="506">
        <f>A136</f>
        <v/>
      </c>
      <c r="P137" s="628" t="n"/>
      <c r="Q137" s="628" t="n"/>
      <c r="R137" s="628" t="n"/>
      <c r="S137" s="628" t="n"/>
      <c r="T137" s="628" t="n"/>
      <c r="U137" s="628" t="n"/>
      <c r="V137" s="628" t="n"/>
      <c r="W137" s="628" t="n"/>
      <c r="X137" s="628" t="n"/>
      <c r="Y137" s="650" t="n"/>
      <c r="Z137" s="650" t="n"/>
      <c r="AA137" s="650" t="n"/>
      <c r="AB137" s="650" t="n"/>
      <c r="AC137" s="613" t="n"/>
      <c r="AD137" s="613" t="n"/>
      <c r="AE137" s="613" t="n"/>
      <c r="AF137" s="613" t="n"/>
      <c r="AG137" s="626" t="n"/>
      <c r="AH137" s="626" t="n"/>
      <c r="AI137" s="626" t="n"/>
      <c r="AJ137" s="626" t="n"/>
      <c r="AK137" s="626" t="n"/>
      <c r="AL137" s="626" t="n"/>
      <c r="AM137" s="626" t="n"/>
      <c r="AN137" s="626" t="n"/>
      <c r="AO137" s="626" t="n"/>
      <c r="AP137" s="369" t="n"/>
      <c r="AQ137" s="369" t="n"/>
      <c r="AR137" s="369" t="n"/>
      <c r="AS137" s="369" t="n"/>
      <c r="AT137" s="370" t="n"/>
      <c r="AU137" s="370" t="n"/>
      <c r="AV137" s="370" t="n"/>
      <c r="AW137" s="370" t="n"/>
      <c r="BJ137">
        <f>O137</f>
        <v/>
      </c>
      <c r="BK137">
        <f>SUM(AG137:AW137)</f>
        <v/>
      </c>
      <c r="BL137" s="531">
        <f>BJ137-BK137</f>
        <v/>
      </c>
      <c r="BM137" s="201" t="n"/>
    </row>
    <row r="138" hidden="1" outlineLevel="1" s="191">
      <c r="A138" s="506">
        <f>A137</f>
        <v/>
      </c>
      <c r="P138" s="628" t="n"/>
      <c r="Q138" s="628" t="n"/>
      <c r="R138" s="628" t="n"/>
      <c r="S138" s="628" t="n"/>
      <c r="T138" s="628" t="n"/>
      <c r="U138" s="628" t="n"/>
      <c r="V138" s="628" t="n"/>
      <c r="W138" s="628" t="n"/>
      <c r="X138" s="628" t="n"/>
      <c r="Y138" s="650" t="n"/>
      <c r="Z138" s="650" t="n"/>
      <c r="AA138" s="650" t="n"/>
      <c r="AB138" s="650" t="n"/>
      <c r="AC138" s="613" t="n"/>
      <c r="AD138" s="613" t="n"/>
      <c r="AE138" s="613" t="n"/>
      <c r="AF138" s="613" t="n"/>
      <c r="AG138" s="626" t="n"/>
      <c r="AH138" s="626" t="n"/>
      <c r="AI138" s="626" t="n"/>
      <c r="AJ138" s="626" t="n"/>
      <c r="AK138" s="626" t="n"/>
      <c r="AL138" s="626" t="n"/>
      <c r="AM138" s="626" t="n"/>
      <c r="AN138" s="626" t="n"/>
      <c r="AO138" s="626" t="n"/>
      <c r="AP138" s="369" t="n"/>
      <c r="AQ138" s="369" t="n"/>
      <c r="AR138" s="369" t="n"/>
      <c r="AS138" s="369" t="n"/>
      <c r="AT138" s="370" t="n"/>
      <c r="AU138" s="370" t="n"/>
      <c r="AV138" s="370" t="n"/>
      <c r="AW138" s="370" t="n"/>
      <c r="BJ138">
        <f>O138</f>
        <v/>
      </c>
      <c r="BK138">
        <f>SUM(AG138:AW138)</f>
        <v/>
      </c>
      <c r="BL138" s="531">
        <f>BJ138-BK138</f>
        <v/>
      </c>
      <c r="BM138" s="201" t="n"/>
    </row>
    <row r="139" hidden="1" outlineLevel="1" s="191">
      <c r="A139" s="506">
        <f>A138</f>
        <v/>
      </c>
      <c r="P139" s="628" t="n"/>
      <c r="Q139" s="628" t="n"/>
      <c r="R139" s="628" t="n"/>
      <c r="S139" s="628" t="n"/>
      <c r="T139" s="628" t="n"/>
      <c r="U139" s="628" t="n"/>
      <c r="V139" s="628" t="n"/>
      <c r="W139" s="628" t="n"/>
      <c r="X139" s="628" t="n"/>
      <c r="Y139" s="650" t="n"/>
      <c r="Z139" s="650" t="n"/>
      <c r="AA139" s="650" t="n"/>
      <c r="AB139" s="650" t="n"/>
      <c r="AC139" s="613" t="n"/>
      <c r="AD139" s="613" t="n"/>
      <c r="AE139" s="613" t="n"/>
      <c r="AF139" s="613" t="n"/>
      <c r="AG139" s="626" t="n"/>
      <c r="AH139" s="626" t="n"/>
      <c r="AI139" s="626" t="n"/>
      <c r="AJ139" s="626" t="n"/>
      <c r="AK139" s="626" t="n"/>
      <c r="AL139" s="626" t="n"/>
      <c r="AM139" s="626" t="n"/>
      <c r="AN139" s="626" t="n"/>
      <c r="AO139" s="626" t="n"/>
      <c r="AP139" s="369" t="n"/>
      <c r="AQ139" s="369" t="n"/>
      <c r="AR139" s="369" t="n"/>
      <c r="AS139" s="369" t="n"/>
      <c r="AT139" s="370" t="n"/>
      <c r="AU139" s="370" t="n"/>
      <c r="AV139" s="370" t="n"/>
      <c r="AW139" s="370" t="n"/>
      <c r="BJ139">
        <f>O139</f>
        <v/>
      </c>
      <c r="BK139">
        <f>SUM(AG139:AW139)</f>
        <v/>
      </c>
      <c r="BL139" s="531">
        <f>BJ139-BK139</f>
        <v/>
      </c>
      <c r="BM139" s="201" t="n"/>
    </row>
    <row r="140" hidden="1" outlineLevel="1" s="191">
      <c r="A140" s="506">
        <f>A139</f>
        <v/>
      </c>
      <c r="P140" s="628" t="n"/>
      <c r="Q140" s="628" t="n"/>
      <c r="R140" s="628" t="n"/>
      <c r="S140" s="628" t="n"/>
      <c r="T140" s="628" t="n"/>
      <c r="U140" s="628" t="n"/>
      <c r="V140" s="628" t="n"/>
      <c r="W140" s="628" t="n"/>
      <c r="X140" s="628" t="n"/>
      <c r="Y140" s="650" t="n"/>
      <c r="Z140" s="650" t="n"/>
      <c r="AA140" s="650" t="n"/>
      <c r="AB140" s="650" t="n"/>
      <c r="AC140" s="613" t="n"/>
      <c r="AD140" s="613" t="n"/>
      <c r="AE140" s="613" t="n"/>
      <c r="AF140" s="613" t="n"/>
      <c r="AG140" s="626" t="n"/>
      <c r="AH140" s="626" t="n"/>
      <c r="AI140" s="626" t="n"/>
      <c r="AJ140" s="626" t="n"/>
      <c r="AK140" s="626" t="n"/>
      <c r="AL140" s="626" t="n"/>
      <c r="AM140" s="626" t="n"/>
      <c r="AN140" s="626" t="n"/>
      <c r="AO140" s="626" t="n"/>
      <c r="AP140" s="369" t="n"/>
      <c r="AQ140" s="369" t="n"/>
      <c r="AR140" s="369" t="n"/>
      <c r="AS140" s="369" t="n"/>
      <c r="AT140" s="370" t="n"/>
      <c r="AU140" s="370" t="n"/>
      <c r="AV140" s="370" t="n"/>
      <c r="AW140" s="370" t="n"/>
      <c r="BJ140">
        <f>O140</f>
        <v/>
      </c>
      <c r="BK140">
        <f>SUM(AG140:AW140)</f>
        <v/>
      </c>
      <c r="BL140" s="531">
        <f>BJ140-BK140</f>
        <v/>
      </c>
      <c r="BM140" s="201" t="n"/>
    </row>
    <row r="141" hidden="1" outlineLevel="1" s="191">
      <c r="A141" s="506">
        <f>A140</f>
        <v/>
      </c>
      <c r="P141" s="628" t="n"/>
      <c r="Q141" s="628" t="n"/>
      <c r="R141" s="628" t="n"/>
      <c r="S141" s="628" t="n"/>
      <c r="T141" s="628" t="n"/>
      <c r="U141" s="628" t="n"/>
      <c r="V141" s="628" t="n"/>
      <c r="W141" s="628" t="n"/>
      <c r="X141" s="628" t="n"/>
      <c r="Y141" s="650" t="n"/>
      <c r="Z141" s="650" t="n"/>
      <c r="AA141" s="650" t="n"/>
      <c r="AB141" s="650" t="n"/>
      <c r="AC141" s="613" t="n"/>
      <c r="AD141" s="613" t="n"/>
      <c r="AE141" s="613" t="n"/>
      <c r="AF141" s="613" t="n"/>
      <c r="AG141" s="626" t="n"/>
      <c r="AH141" s="626" t="n"/>
      <c r="AI141" s="626" t="n"/>
      <c r="AJ141" s="626" t="n"/>
      <c r="AK141" s="626" t="n"/>
      <c r="AL141" s="626" t="n"/>
      <c r="AM141" s="626" t="n"/>
      <c r="AN141" s="626" t="n"/>
      <c r="AO141" s="626" t="n"/>
      <c r="AP141" s="369" t="n"/>
      <c r="AQ141" s="369" t="n"/>
      <c r="AR141" s="369" t="n"/>
      <c r="AS141" s="369" t="n"/>
      <c r="AT141" s="370" t="n"/>
      <c r="AU141" s="370" t="n"/>
      <c r="AV141" s="370" t="n"/>
      <c r="AW141" s="370" t="n"/>
      <c r="BJ141">
        <f>O141</f>
        <v/>
      </c>
      <c r="BK141">
        <f>SUM(AG141:AW141)</f>
        <v/>
      </c>
      <c r="BL141" s="531">
        <f>BJ141-BK141</f>
        <v/>
      </c>
      <c r="BM141" s="201" t="n"/>
    </row>
    <row r="142" hidden="1" outlineLevel="1" s="191">
      <c r="A142" s="506">
        <f>A141</f>
        <v/>
      </c>
      <c r="P142" s="628" t="n"/>
      <c r="Q142" s="628" t="n"/>
      <c r="R142" s="628" t="n"/>
      <c r="S142" s="628" t="n"/>
      <c r="T142" s="628" t="n"/>
      <c r="U142" s="628" t="n"/>
      <c r="V142" s="628" t="n"/>
      <c r="W142" s="628" t="n"/>
      <c r="X142" s="628" t="n"/>
      <c r="Y142" s="650" t="n"/>
      <c r="Z142" s="650" t="n"/>
      <c r="AA142" s="650" t="n"/>
      <c r="AB142" s="650" t="n"/>
      <c r="AC142" s="613" t="n"/>
      <c r="AD142" s="613" t="n"/>
      <c r="AE142" s="613" t="n"/>
      <c r="AF142" s="613" t="n"/>
      <c r="AG142" s="626" t="n"/>
      <c r="AH142" s="626" t="n"/>
      <c r="AI142" s="626" t="n"/>
      <c r="AJ142" s="626" t="n"/>
      <c r="AK142" s="626" t="n"/>
      <c r="AL142" s="626" t="n"/>
      <c r="AM142" s="626" t="n"/>
      <c r="AN142" s="626" t="n"/>
      <c r="AO142" s="626" t="n"/>
      <c r="AP142" s="369" t="n"/>
      <c r="AQ142" s="369" t="n"/>
      <c r="AR142" s="369" t="n"/>
      <c r="AS142" s="369" t="n"/>
      <c r="AT142" s="370" t="n"/>
      <c r="AU142" s="370" t="n"/>
      <c r="AV142" s="370" t="n"/>
      <c r="AW142" s="370" t="n"/>
      <c r="BJ142">
        <f>O142</f>
        <v/>
      </c>
      <c r="BK142">
        <f>SUM(AG142:AW142)</f>
        <v/>
      </c>
      <c r="BL142" s="531">
        <f>BJ142-BK142</f>
        <v/>
      </c>
      <c r="BM142" s="201" t="n"/>
    </row>
    <row r="143" hidden="1" outlineLevel="1" s="191">
      <c r="A143" s="506">
        <f>A142</f>
        <v/>
      </c>
      <c r="P143" s="628" t="n"/>
      <c r="Q143" s="628" t="n"/>
      <c r="R143" s="628" t="n"/>
      <c r="S143" s="628" t="n"/>
      <c r="T143" s="628" t="n"/>
      <c r="U143" s="628" t="n"/>
      <c r="V143" s="628" t="n"/>
      <c r="W143" s="628" t="n"/>
      <c r="X143" s="628" t="n"/>
      <c r="Y143" s="650" t="n"/>
      <c r="Z143" s="650" t="n"/>
      <c r="AA143" s="650" t="n"/>
      <c r="AB143" s="650" t="n"/>
      <c r="AC143" s="613" t="n"/>
      <c r="AD143" s="613" t="n"/>
      <c r="AE143" s="613" t="n"/>
      <c r="AF143" s="613" t="n"/>
      <c r="AG143" s="626" t="n"/>
      <c r="AH143" s="626" t="n"/>
      <c r="AI143" s="626" t="n"/>
      <c r="AJ143" s="626" t="n"/>
      <c r="AK143" s="626" t="n"/>
      <c r="AL143" s="626" t="n"/>
      <c r="AM143" s="626" t="n"/>
      <c r="AN143" s="626" t="n"/>
      <c r="AO143" s="626" t="n"/>
      <c r="AP143" s="369" t="n"/>
      <c r="AQ143" s="369" t="n"/>
      <c r="AR143" s="369" t="n"/>
      <c r="AS143" s="369" t="n"/>
      <c r="AT143" s="370" t="n"/>
      <c r="AU143" s="370" t="n"/>
      <c r="AV143" s="370" t="n"/>
      <c r="AW143" s="370" t="n"/>
      <c r="BJ143">
        <f>O143</f>
        <v/>
      </c>
      <c r="BK143">
        <f>SUM(AG143:AW143)</f>
        <v/>
      </c>
      <c r="BL143" s="531">
        <f>BJ143-BK143</f>
        <v/>
      </c>
      <c r="BM143" s="201" t="n"/>
    </row>
    <row r="144" hidden="1" outlineLevel="1" s="191">
      <c r="A144" s="506">
        <f>A143</f>
        <v/>
      </c>
      <c r="P144" s="628" t="n"/>
      <c r="Q144" s="628" t="n"/>
      <c r="R144" s="628" t="n"/>
      <c r="S144" s="628" t="n"/>
      <c r="T144" s="628" t="n"/>
      <c r="U144" s="628" t="n"/>
      <c r="V144" s="628" t="n"/>
      <c r="W144" s="628" t="n"/>
      <c r="X144" s="628" t="n"/>
      <c r="Y144" s="650" t="n"/>
      <c r="Z144" s="650" t="n"/>
      <c r="AA144" s="650" t="n"/>
      <c r="AB144" s="650" t="n"/>
      <c r="AC144" s="613" t="n"/>
      <c r="AD144" s="613" t="n"/>
      <c r="AE144" s="613" t="n"/>
      <c r="AF144" s="613" t="n"/>
      <c r="AG144" s="626" t="n"/>
      <c r="AH144" s="626" t="n"/>
      <c r="AI144" s="626" t="n"/>
      <c r="AJ144" s="626" t="n"/>
      <c r="AK144" s="626" t="n"/>
      <c r="AL144" s="626" t="n"/>
      <c r="AM144" s="626" t="n"/>
      <c r="AN144" s="626" t="n"/>
      <c r="AO144" s="626" t="n"/>
      <c r="AP144" s="369" t="n"/>
      <c r="AQ144" s="369" t="n"/>
      <c r="AR144" s="369" t="n"/>
      <c r="AS144" s="369" t="n"/>
      <c r="AT144" s="370" t="n"/>
      <c r="AU144" s="370" t="n"/>
      <c r="AV144" s="370" t="n"/>
      <c r="AW144" s="370" t="n"/>
      <c r="BJ144">
        <f>O144</f>
        <v/>
      </c>
      <c r="BK144">
        <f>SUM(AG144:AW144)</f>
        <v/>
      </c>
      <c r="BL144" s="531">
        <f>BJ144-BK144</f>
        <v/>
      </c>
      <c r="BM144" s="201" t="n"/>
    </row>
    <row r="145" hidden="1" outlineLevel="1" s="191">
      <c r="A145" s="506">
        <f>A144</f>
        <v/>
      </c>
      <c r="P145" s="628" t="n"/>
      <c r="Q145" s="628" t="n"/>
      <c r="R145" s="628" t="n"/>
      <c r="S145" s="628" t="n"/>
      <c r="T145" s="628" t="n"/>
      <c r="U145" s="628" t="n"/>
      <c r="V145" s="628" t="n"/>
      <c r="W145" s="628" t="n"/>
      <c r="X145" s="628" t="n"/>
      <c r="Y145" s="650" t="n"/>
      <c r="Z145" s="650" t="n"/>
      <c r="AA145" s="650" t="n"/>
      <c r="AB145" s="650" t="n"/>
      <c r="AC145" s="613" t="n"/>
      <c r="AD145" s="613" t="n"/>
      <c r="AE145" s="613" t="n"/>
      <c r="AF145" s="613" t="n"/>
      <c r="AG145" s="626" t="n"/>
      <c r="AH145" s="626" t="n"/>
      <c r="AI145" s="626" t="n"/>
      <c r="AJ145" s="626" t="n"/>
      <c r="AK145" s="626" t="n"/>
      <c r="AL145" s="626" t="n"/>
      <c r="AM145" s="626" t="n"/>
      <c r="AN145" s="626" t="n"/>
      <c r="AO145" s="626" t="n"/>
      <c r="AP145" s="369" t="n"/>
      <c r="AQ145" s="369" t="n"/>
      <c r="AR145" s="369" t="n"/>
      <c r="AS145" s="369" t="n"/>
      <c r="AT145" s="370" t="n"/>
      <c r="AU145" s="370" t="n"/>
      <c r="AV145" s="370" t="n"/>
      <c r="AW145" s="370" t="n"/>
      <c r="BJ145">
        <f>O145</f>
        <v/>
      </c>
      <c r="BK145">
        <f>SUM(AG145:AW145)</f>
        <v/>
      </c>
      <c r="BL145" s="531">
        <f>BJ145-BK145</f>
        <v/>
      </c>
      <c r="BM145" s="201" t="n"/>
    </row>
    <row r="146" hidden="1" outlineLevel="1" s="191">
      <c r="A146" s="506">
        <f>A145</f>
        <v/>
      </c>
      <c r="P146" s="628" t="n"/>
      <c r="Q146" s="628" t="n"/>
      <c r="R146" s="628" t="n"/>
      <c r="S146" s="628" t="n"/>
      <c r="T146" s="628" t="n"/>
      <c r="U146" s="628" t="n"/>
      <c r="V146" s="628" t="n"/>
      <c r="W146" s="628" t="n"/>
      <c r="X146" s="628" t="n"/>
      <c r="Y146" s="650" t="n"/>
      <c r="Z146" s="650" t="n"/>
      <c r="AA146" s="650" t="n"/>
      <c r="AB146" s="650" t="n"/>
      <c r="AC146" s="613" t="n"/>
      <c r="AD146" s="613" t="n"/>
      <c r="AE146" s="613" t="n"/>
      <c r="AF146" s="613" t="n"/>
      <c r="AG146" s="626" t="n"/>
      <c r="AH146" s="626" t="n"/>
      <c r="AI146" s="626" t="n"/>
      <c r="AJ146" s="626" t="n"/>
      <c r="AK146" s="626" t="n"/>
      <c r="AL146" s="626" t="n"/>
      <c r="AM146" s="626" t="n"/>
      <c r="AN146" s="626" t="n"/>
      <c r="AO146" s="626" t="n"/>
      <c r="AP146" s="369" t="n"/>
      <c r="AQ146" s="369" t="n"/>
      <c r="AR146" s="369" t="n"/>
      <c r="AS146" s="369" t="n"/>
      <c r="AT146" s="370" t="n"/>
      <c r="AU146" s="370" t="n"/>
      <c r="AV146" s="370" t="n"/>
      <c r="AW146" s="370" t="n"/>
      <c r="BJ146">
        <f>O146</f>
        <v/>
      </c>
      <c r="BK146">
        <f>SUM(AG146:AW146)</f>
        <v/>
      </c>
      <c r="BL146" s="531">
        <f>BJ146-BK146</f>
        <v/>
      </c>
      <c r="BM146" s="201" t="n"/>
    </row>
    <row r="147" hidden="1" outlineLevel="1" s="191">
      <c r="A147" s="506">
        <f>A146</f>
        <v/>
      </c>
      <c r="P147" s="628" t="n"/>
      <c r="Q147" s="628" t="n"/>
      <c r="R147" s="628" t="n"/>
      <c r="S147" s="628" t="n"/>
      <c r="T147" s="628" t="n"/>
      <c r="U147" s="628" t="n"/>
      <c r="V147" s="628" t="n"/>
      <c r="W147" s="628" t="n"/>
      <c r="X147" s="628" t="n"/>
      <c r="Y147" s="650" t="n"/>
      <c r="Z147" s="650" t="n"/>
      <c r="AA147" s="650" t="n"/>
      <c r="AB147" s="650" t="n"/>
      <c r="AC147" s="613" t="n"/>
      <c r="AD147" s="613" t="n"/>
      <c r="AE147" s="613" t="n"/>
      <c r="AF147" s="613" t="n"/>
      <c r="AG147" s="626" t="n"/>
      <c r="AH147" s="626" t="n"/>
      <c r="AI147" s="626" t="n"/>
      <c r="AJ147" s="626" t="n"/>
      <c r="AK147" s="626" t="n"/>
      <c r="AL147" s="626" t="n"/>
      <c r="AM147" s="626" t="n"/>
      <c r="AN147" s="626" t="n"/>
      <c r="AO147" s="626" t="n"/>
      <c r="AP147" s="369" t="n"/>
      <c r="AQ147" s="369" t="n"/>
      <c r="AR147" s="369" t="n"/>
      <c r="AS147" s="369" t="n"/>
      <c r="AT147" s="370" t="n"/>
      <c r="AU147" s="370" t="n"/>
      <c r="AV147" s="370" t="n"/>
      <c r="AW147" s="370" t="n"/>
      <c r="BJ147">
        <f>O147</f>
        <v/>
      </c>
      <c r="BK147">
        <f>SUM(AG147:AW147)</f>
        <v/>
      </c>
      <c r="BL147" s="531">
        <f>BJ147-BK147</f>
        <v/>
      </c>
      <c r="BM147" s="201" t="n"/>
    </row>
    <row r="148" hidden="1" outlineLevel="1" s="191">
      <c r="A148" s="506">
        <f>A147</f>
        <v/>
      </c>
      <c r="P148" s="628" t="n"/>
      <c r="Q148" s="628" t="n"/>
      <c r="R148" s="628" t="n"/>
      <c r="S148" s="628" t="n"/>
      <c r="T148" s="628" t="n"/>
      <c r="U148" s="628" t="n"/>
      <c r="V148" s="628" t="n"/>
      <c r="W148" s="628" t="n"/>
      <c r="X148" s="628" t="n"/>
      <c r="Y148" s="650" t="n"/>
      <c r="Z148" s="650" t="n"/>
      <c r="AA148" s="650" t="n"/>
      <c r="AB148" s="650" t="n"/>
      <c r="AC148" s="613" t="n"/>
      <c r="AD148" s="613" t="n"/>
      <c r="AE148" s="613" t="n"/>
      <c r="AF148" s="613" t="n"/>
      <c r="AG148" s="626" t="n"/>
      <c r="AH148" s="626" t="n"/>
      <c r="AI148" s="626" t="n"/>
      <c r="AJ148" s="626" t="n"/>
      <c r="AK148" s="626" t="n"/>
      <c r="AL148" s="626" t="n"/>
      <c r="AM148" s="626" t="n"/>
      <c r="AN148" s="626" t="n"/>
      <c r="AO148" s="626" t="n"/>
      <c r="AP148" s="369" t="n"/>
      <c r="AQ148" s="369" t="n"/>
      <c r="AR148" s="369" t="n"/>
      <c r="AS148" s="369" t="n"/>
      <c r="AT148" s="370" t="n"/>
      <c r="AU148" s="370" t="n"/>
      <c r="AV148" s="370" t="n"/>
      <c r="AW148" s="370" t="n"/>
      <c r="BJ148">
        <f>O148</f>
        <v/>
      </c>
      <c r="BK148">
        <f>SUM(AG148:AW148)</f>
        <v/>
      </c>
      <c r="BL148" s="531">
        <f>BJ148-BK148</f>
        <v/>
      </c>
      <c r="BM148" s="201" t="n"/>
    </row>
    <row r="149" hidden="1" outlineLevel="1" s="191">
      <c r="A149" s="506">
        <f>A148</f>
        <v/>
      </c>
      <c r="P149" s="628" t="n"/>
      <c r="Q149" s="628" t="n"/>
      <c r="R149" s="628" t="n"/>
      <c r="S149" s="628" t="n"/>
      <c r="T149" s="628" t="n"/>
      <c r="U149" s="628" t="n"/>
      <c r="V149" s="628" t="n"/>
      <c r="W149" s="628" t="n"/>
      <c r="X149" s="628" t="n"/>
      <c r="Y149" s="650" t="n"/>
      <c r="Z149" s="650" t="n"/>
      <c r="AA149" s="650" t="n"/>
      <c r="AB149" s="650" t="n"/>
      <c r="AC149" s="613" t="n"/>
      <c r="AD149" s="613" t="n"/>
      <c r="AE149" s="613" t="n"/>
      <c r="AF149" s="613" t="n"/>
      <c r="AG149" s="626" t="n"/>
      <c r="AH149" s="626" t="n"/>
      <c r="AI149" s="626" t="n"/>
      <c r="AJ149" s="626" t="n"/>
      <c r="AK149" s="626" t="n"/>
      <c r="AL149" s="626" t="n"/>
      <c r="AM149" s="626" t="n"/>
      <c r="AN149" s="626" t="n"/>
      <c r="AO149" s="626" t="n"/>
      <c r="AP149" s="369" t="n"/>
      <c r="AQ149" s="369" t="n"/>
      <c r="AR149" s="369" t="n"/>
      <c r="AS149" s="369" t="n"/>
      <c r="AT149" s="370" t="n"/>
      <c r="AU149" s="370" t="n"/>
      <c r="AV149" s="370" t="n"/>
      <c r="AW149" s="370" t="n"/>
      <c r="BJ149">
        <f>O149</f>
        <v/>
      </c>
      <c r="BK149">
        <f>SUM(AG149:AW149)</f>
        <v/>
      </c>
      <c r="BL149" s="531">
        <f>BJ149-BK149</f>
        <v/>
      </c>
      <c r="BM149" s="201" t="n"/>
    </row>
    <row r="150" hidden="1" outlineLevel="1" s="191">
      <c r="A150" s="506">
        <f>A149</f>
        <v/>
      </c>
      <c r="P150" s="628" t="n"/>
      <c r="Q150" s="628" t="n"/>
      <c r="R150" s="628" t="n"/>
      <c r="S150" s="628" t="n"/>
      <c r="T150" s="628" t="n"/>
      <c r="U150" s="628" t="n"/>
      <c r="V150" s="628" t="n"/>
      <c r="W150" s="628" t="n"/>
      <c r="X150" s="628" t="n"/>
      <c r="Y150" s="650" t="n"/>
      <c r="Z150" s="650" t="n"/>
      <c r="AA150" s="650" t="n"/>
      <c r="AB150" s="650" t="n"/>
      <c r="AC150" s="613" t="n"/>
      <c r="AD150" s="613" t="n"/>
      <c r="AE150" s="613" t="n"/>
      <c r="AF150" s="613" t="n"/>
      <c r="AG150" s="626" t="n"/>
      <c r="AH150" s="626" t="n"/>
      <c r="AI150" s="626" t="n"/>
      <c r="AJ150" s="626" t="n"/>
      <c r="AK150" s="626" t="n"/>
      <c r="AL150" s="626" t="n"/>
      <c r="AM150" s="626" t="n"/>
      <c r="AN150" s="626" t="n"/>
      <c r="AO150" s="626" t="n"/>
      <c r="AP150" s="369" t="n"/>
      <c r="AQ150" s="369" t="n"/>
      <c r="AR150" s="369" t="n"/>
      <c r="AS150" s="369" t="n"/>
      <c r="AT150" s="370" t="n"/>
      <c r="AU150" s="370" t="n"/>
      <c r="AV150" s="370" t="n"/>
      <c r="AW150" s="370" t="n"/>
      <c r="BJ150">
        <f>O150</f>
        <v/>
      </c>
      <c r="BK150">
        <f>SUM(AG150:AW150)</f>
        <v/>
      </c>
      <c r="BL150" s="531">
        <f>BJ150-BK150</f>
        <v/>
      </c>
      <c r="BM150" s="201" t="n"/>
    </row>
    <row r="151" hidden="1" outlineLevel="1" s="191">
      <c r="A151" s="506">
        <f>A150</f>
        <v/>
      </c>
      <c r="P151" s="628" t="n"/>
      <c r="Q151" s="628" t="n"/>
      <c r="R151" s="628" t="n"/>
      <c r="S151" s="628" t="n"/>
      <c r="T151" s="628" t="n"/>
      <c r="U151" s="628" t="n"/>
      <c r="V151" s="628" t="n"/>
      <c r="W151" s="628" t="n"/>
      <c r="X151" s="628" t="n"/>
      <c r="Y151" s="650" t="n"/>
      <c r="Z151" s="650" t="n"/>
      <c r="AA151" s="650" t="n"/>
      <c r="AB151" s="650" t="n"/>
      <c r="AC151" s="613" t="n"/>
      <c r="AD151" s="613" t="n"/>
      <c r="AE151" s="613" t="n"/>
      <c r="AF151" s="613" t="n"/>
      <c r="AG151" s="626" t="n"/>
      <c r="AH151" s="626" t="n"/>
      <c r="AI151" s="626" t="n"/>
      <c r="AJ151" s="626" t="n"/>
      <c r="AK151" s="626" t="n"/>
      <c r="AL151" s="626" t="n"/>
      <c r="AM151" s="626" t="n"/>
      <c r="AN151" s="626" t="n"/>
      <c r="AO151" s="626" t="n"/>
      <c r="AP151" s="369" t="n"/>
      <c r="AQ151" s="369" t="n"/>
      <c r="AR151" s="369" t="n"/>
      <c r="AS151" s="369" t="n"/>
      <c r="AT151" s="370" t="n"/>
      <c r="AU151" s="370" t="n"/>
      <c r="AV151" s="370" t="n"/>
      <c r="AW151" s="370" t="n"/>
      <c r="BJ151">
        <f>O151</f>
        <v/>
      </c>
      <c r="BK151">
        <f>SUM(AG151:AW151)</f>
        <v/>
      </c>
      <c r="BL151" s="531">
        <f>BJ151-BK151</f>
        <v/>
      </c>
      <c r="BM151" s="201" t="n"/>
    </row>
    <row r="152" hidden="1" outlineLevel="1" s="191">
      <c r="A152" s="506">
        <f>A151</f>
        <v/>
      </c>
      <c r="P152" s="628" t="n"/>
      <c r="Q152" s="628" t="n"/>
      <c r="R152" s="628" t="n"/>
      <c r="S152" s="628" t="n"/>
      <c r="T152" s="628" t="n"/>
      <c r="U152" s="628" t="n"/>
      <c r="V152" s="628" t="n"/>
      <c r="W152" s="628" t="n"/>
      <c r="X152" s="628" t="n"/>
      <c r="Y152" s="650" t="n"/>
      <c r="Z152" s="650" t="n"/>
      <c r="AA152" s="650" t="n"/>
      <c r="AB152" s="650" t="n"/>
      <c r="AC152" s="613" t="n"/>
      <c r="AD152" s="613" t="n"/>
      <c r="AE152" s="613" t="n"/>
      <c r="AF152" s="613" t="n"/>
      <c r="AG152" s="626" t="n"/>
      <c r="AH152" s="626" t="n"/>
      <c r="AI152" s="626" t="n"/>
      <c r="AJ152" s="626" t="n"/>
      <c r="AK152" s="626" t="n"/>
      <c r="AL152" s="626" t="n"/>
      <c r="AM152" s="626" t="n"/>
      <c r="AN152" s="626" t="n"/>
      <c r="AO152" s="626" t="n"/>
      <c r="AP152" s="369" t="n"/>
      <c r="AQ152" s="369" t="n"/>
      <c r="AR152" s="369" t="n"/>
      <c r="AS152" s="369" t="n"/>
      <c r="AT152" s="370" t="n"/>
      <c r="AU152" s="370" t="n"/>
      <c r="AV152" s="370" t="n"/>
      <c r="AW152" s="370" t="n"/>
      <c r="BJ152">
        <f>O152</f>
        <v/>
      </c>
      <c r="BK152">
        <f>SUM(AG152:AW152)</f>
        <v/>
      </c>
      <c r="BL152" s="531">
        <f>BJ152-BK152</f>
        <v/>
      </c>
      <c r="BM152" s="201" t="n"/>
    </row>
    <row r="153" hidden="1" outlineLevel="1" s="191">
      <c r="A153" s="506">
        <f>A152</f>
        <v/>
      </c>
      <c r="P153" s="628" t="n"/>
      <c r="Q153" s="628" t="n"/>
      <c r="R153" s="628" t="n"/>
      <c r="S153" s="628" t="n"/>
      <c r="T153" s="628" t="n"/>
      <c r="U153" s="628" t="n"/>
      <c r="V153" s="628" t="n"/>
      <c r="W153" s="628" t="n"/>
      <c r="X153" s="628" t="n"/>
      <c r="Y153" s="650" t="n"/>
      <c r="Z153" s="650" t="n"/>
      <c r="AA153" s="650" t="n"/>
      <c r="AB153" s="650" t="n"/>
      <c r="AC153" s="613" t="n"/>
      <c r="AD153" s="613" t="n"/>
      <c r="AE153" s="613" t="n"/>
      <c r="AF153" s="613" t="n"/>
      <c r="AG153" s="626" t="n"/>
      <c r="AH153" s="626" t="n"/>
      <c r="AI153" s="626" t="n"/>
      <c r="AJ153" s="626" t="n"/>
      <c r="AK153" s="626" t="n"/>
      <c r="AL153" s="626" t="n"/>
      <c r="AM153" s="626" t="n"/>
      <c r="AN153" s="626" t="n"/>
      <c r="AO153" s="626" t="n"/>
      <c r="AP153" s="369" t="n"/>
      <c r="AQ153" s="369" t="n"/>
      <c r="AR153" s="369" t="n"/>
      <c r="AS153" s="369" t="n"/>
      <c r="AT153" s="370" t="n"/>
      <c r="AU153" s="370" t="n"/>
      <c r="AV153" s="370" t="n"/>
      <c r="AW153" s="370" t="n"/>
      <c r="BJ153">
        <f>O153</f>
        <v/>
      </c>
      <c r="BK153">
        <f>SUM(AG153:AW153)</f>
        <v/>
      </c>
      <c r="BL153" s="531">
        <f>BJ153-BK153</f>
        <v/>
      </c>
      <c r="BM153" s="201" t="n"/>
    </row>
    <row r="154" hidden="1" outlineLevel="1" s="191">
      <c r="A154" s="506">
        <f>A153</f>
        <v/>
      </c>
      <c r="P154" s="628" t="n"/>
      <c r="Q154" s="628" t="n"/>
      <c r="R154" s="628" t="n"/>
      <c r="S154" s="628" t="n"/>
      <c r="T154" s="628" t="n"/>
      <c r="U154" s="628" t="n"/>
      <c r="V154" s="628" t="n"/>
      <c r="W154" s="628" t="n"/>
      <c r="X154" s="628" t="n"/>
      <c r="Y154" s="650" t="n"/>
      <c r="Z154" s="650" t="n"/>
      <c r="AA154" s="650" t="n"/>
      <c r="AB154" s="650" t="n"/>
      <c r="AC154" s="613" t="n"/>
      <c r="AD154" s="613" t="n"/>
      <c r="AE154" s="613" t="n"/>
      <c r="AF154" s="613" t="n"/>
      <c r="AG154" s="626" t="n"/>
      <c r="AH154" s="626" t="n"/>
      <c r="AI154" s="626" t="n"/>
      <c r="AJ154" s="626" t="n"/>
      <c r="AK154" s="626" t="n"/>
      <c r="AL154" s="626" t="n"/>
      <c r="AM154" s="626" t="n"/>
      <c r="AN154" s="626" t="n"/>
      <c r="AO154" s="626" t="n"/>
      <c r="AP154" s="369" t="n"/>
      <c r="AQ154" s="369" t="n"/>
      <c r="AR154" s="369" t="n"/>
      <c r="AS154" s="369" t="n"/>
      <c r="AT154" s="370" t="n"/>
      <c r="AU154" s="370" t="n"/>
      <c r="AV154" s="370" t="n"/>
      <c r="AW154" s="370" t="n"/>
      <c r="BJ154">
        <f>O154</f>
        <v/>
      </c>
      <c r="BK154">
        <f>SUM(AG154:AW154)</f>
        <v/>
      </c>
      <c r="BL154" s="531">
        <f>BJ154-BK154</f>
        <v/>
      </c>
      <c r="BM154" s="201" t="n"/>
    </row>
    <row r="155" hidden="1" outlineLevel="1" s="191">
      <c r="A155" s="506">
        <f>A154</f>
        <v/>
      </c>
      <c r="P155" s="628" t="n"/>
      <c r="Q155" s="628" t="n"/>
      <c r="R155" s="628" t="n"/>
      <c r="S155" s="628" t="n"/>
      <c r="T155" s="628" t="n"/>
      <c r="U155" s="628" t="n"/>
      <c r="V155" s="628" t="n"/>
      <c r="W155" s="628" t="n"/>
      <c r="X155" s="628" t="n"/>
      <c r="Y155" s="650" t="n"/>
      <c r="Z155" s="650" t="n"/>
      <c r="AA155" s="650" t="n"/>
      <c r="AB155" s="650" t="n"/>
      <c r="AC155" s="613" t="n"/>
      <c r="AD155" s="613" t="n"/>
      <c r="AE155" s="613" t="n"/>
      <c r="AF155" s="613" t="n"/>
      <c r="AG155" s="626" t="n"/>
      <c r="AH155" s="626" t="n"/>
      <c r="AI155" s="626" t="n"/>
      <c r="AJ155" s="626" t="n"/>
      <c r="AK155" s="626" t="n"/>
      <c r="AL155" s="626" t="n"/>
      <c r="AM155" s="626" t="n"/>
      <c r="AN155" s="626" t="n"/>
      <c r="AO155" s="626" t="n"/>
      <c r="AP155" s="369" t="n"/>
      <c r="AQ155" s="369" t="n"/>
      <c r="AR155" s="369" t="n"/>
      <c r="AS155" s="369" t="n"/>
      <c r="AT155" s="370" t="n"/>
      <c r="AU155" s="370" t="n"/>
      <c r="AV155" s="370" t="n"/>
      <c r="AW155" s="370" t="n"/>
      <c r="BJ155">
        <f>O155</f>
        <v/>
      </c>
      <c r="BK155">
        <f>SUM(AG155:AW155)</f>
        <v/>
      </c>
      <c r="BL155" s="531">
        <f>BJ155-BK155</f>
        <v/>
      </c>
      <c r="BM155" s="201" t="n"/>
    </row>
    <row r="156" hidden="1" outlineLevel="1" s="191">
      <c r="A156" s="506">
        <f>A155</f>
        <v/>
      </c>
      <c r="P156" s="628" t="n"/>
      <c r="Q156" s="628" t="n"/>
      <c r="R156" s="628" t="n"/>
      <c r="S156" s="628" t="n"/>
      <c r="T156" s="628" t="n"/>
      <c r="U156" s="628" t="n"/>
      <c r="V156" s="628" t="n"/>
      <c r="W156" s="628" t="n"/>
      <c r="X156" s="628" t="n"/>
      <c r="Y156" s="650" t="n"/>
      <c r="Z156" s="650" t="n"/>
      <c r="AA156" s="650" t="n"/>
      <c r="AB156" s="650" t="n"/>
      <c r="AC156" s="613" t="n"/>
      <c r="AD156" s="613" t="n"/>
      <c r="AE156" s="613" t="n"/>
      <c r="AF156" s="613" t="n"/>
      <c r="AG156" s="626" t="n"/>
      <c r="AH156" s="626" t="n"/>
      <c r="AI156" s="626" t="n"/>
      <c r="AJ156" s="626" t="n"/>
      <c r="AK156" s="626" t="n"/>
      <c r="AL156" s="626" t="n"/>
      <c r="AM156" s="626" t="n"/>
      <c r="AN156" s="626" t="n"/>
      <c r="AO156" s="626" t="n"/>
      <c r="AP156" s="369" t="n"/>
      <c r="AQ156" s="369" t="n"/>
      <c r="AR156" s="369" t="n"/>
      <c r="AS156" s="369" t="n"/>
      <c r="AT156" s="370" t="n"/>
      <c r="AU156" s="370" t="n"/>
      <c r="AV156" s="370" t="n"/>
      <c r="AW156" s="370" t="n"/>
      <c r="BJ156">
        <f>O156</f>
        <v/>
      </c>
      <c r="BK156">
        <f>SUM(AG156:AW156)</f>
        <v/>
      </c>
      <c r="BL156" s="531">
        <f>BJ156-BK156</f>
        <v/>
      </c>
      <c r="BM156" s="201" t="n"/>
    </row>
    <row r="157" hidden="1" outlineLevel="1" s="191">
      <c r="A157" s="506">
        <f>A156</f>
        <v/>
      </c>
      <c r="P157" s="628" t="n"/>
      <c r="Q157" s="628" t="n"/>
      <c r="R157" s="628" t="n"/>
      <c r="S157" s="628" t="n"/>
      <c r="T157" s="628" t="n"/>
      <c r="U157" s="628" t="n"/>
      <c r="V157" s="628" t="n"/>
      <c r="W157" s="628" t="n"/>
      <c r="X157" s="628" t="n"/>
      <c r="Y157" s="650" t="n"/>
      <c r="Z157" s="650" t="n"/>
      <c r="AA157" s="650" t="n"/>
      <c r="AB157" s="650" t="n"/>
      <c r="AC157" s="613" t="n"/>
      <c r="AD157" s="613" t="n"/>
      <c r="AE157" s="613" t="n"/>
      <c r="AF157" s="613" t="n"/>
      <c r="AG157" s="626" t="n"/>
      <c r="AH157" s="626" t="n"/>
      <c r="AI157" s="626" t="n"/>
      <c r="AJ157" s="626" t="n"/>
      <c r="AK157" s="626" t="n"/>
      <c r="AL157" s="626" t="n"/>
      <c r="AM157" s="626" t="n"/>
      <c r="AN157" s="626" t="n"/>
      <c r="AO157" s="626" t="n"/>
      <c r="AP157" s="369" t="n"/>
      <c r="AQ157" s="369" t="n"/>
      <c r="AR157" s="369" t="n"/>
      <c r="AS157" s="369" t="n"/>
      <c r="AT157" s="370" t="n"/>
      <c r="AU157" s="370" t="n"/>
      <c r="AV157" s="370" t="n"/>
      <c r="AW157" s="370" t="n"/>
      <c r="BJ157">
        <f>O157</f>
        <v/>
      </c>
      <c r="BK157">
        <f>SUM(AG157:AW157)</f>
        <v/>
      </c>
      <c r="BL157" s="531">
        <f>BJ157-BK157</f>
        <v/>
      </c>
      <c r="BM157" s="201" t="n"/>
    </row>
    <row r="158" hidden="1" outlineLevel="1" s="191">
      <c r="A158" s="506">
        <f>A157</f>
        <v/>
      </c>
      <c r="P158" s="628" t="n"/>
      <c r="Q158" s="628" t="n"/>
      <c r="R158" s="628" t="n"/>
      <c r="S158" s="628" t="n"/>
      <c r="T158" s="628" t="n"/>
      <c r="U158" s="628" t="n"/>
      <c r="V158" s="628" t="n"/>
      <c r="W158" s="628" t="n"/>
      <c r="X158" s="628" t="n"/>
      <c r="Y158" s="650" t="n"/>
      <c r="Z158" s="650" t="n"/>
      <c r="AA158" s="650" t="n"/>
      <c r="AB158" s="650" t="n"/>
      <c r="AC158" s="613" t="n"/>
      <c r="AD158" s="613" t="n"/>
      <c r="AE158" s="613" t="n"/>
      <c r="AF158" s="613" t="n"/>
      <c r="AG158" s="626" t="n"/>
      <c r="AH158" s="626" t="n"/>
      <c r="AI158" s="626" t="n"/>
      <c r="AJ158" s="626" t="n"/>
      <c r="AK158" s="626" t="n"/>
      <c r="AL158" s="626" t="n"/>
      <c r="AM158" s="626" t="n"/>
      <c r="AN158" s="626" t="n"/>
      <c r="AO158" s="626" t="n"/>
      <c r="AP158" s="369" t="n"/>
      <c r="AQ158" s="369" t="n"/>
      <c r="AR158" s="369" t="n"/>
      <c r="AS158" s="369" t="n"/>
      <c r="AT158" s="370" t="n"/>
      <c r="AU158" s="370" t="n"/>
      <c r="AV158" s="370" t="n"/>
      <c r="AW158" s="370" t="n"/>
      <c r="BJ158">
        <f>O158</f>
        <v/>
      </c>
      <c r="BK158">
        <f>SUM(AG158:AW158)</f>
        <v/>
      </c>
      <c r="BL158" s="531">
        <f>BJ158-BK158</f>
        <v/>
      </c>
      <c r="BM158" s="201" t="n"/>
    </row>
    <row r="159" hidden="1" outlineLevel="1" s="191">
      <c r="A159" s="506">
        <f>A158</f>
        <v/>
      </c>
      <c r="P159" s="628" t="n"/>
      <c r="Q159" s="628" t="n"/>
      <c r="R159" s="628" t="n"/>
      <c r="S159" s="628" t="n"/>
      <c r="T159" s="628" t="n"/>
      <c r="U159" s="628" t="n"/>
      <c r="V159" s="628" t="n"/>
      <c r="W159" s="628" t="n"/>
      <c r="X159" s="628" t="n"/>
      <c r="Y159" s="650" t="n"/>
      <c r="Z159" s="650" t="n"/>
      <c r="AA159" s="650" t="n"/>
      <c r="AB159" s="650" t="n"/>
      <c r="AC159" s="613" t="n"/>
      <c r="AD159" s="613" t="n"/>
      <c r="AE159" s="613" t="n"/>
      <c r="AF159" s="613" t="n"/>
      <c r="AG159" s="626" t="n"/>
      <c r="AH159" s="626" t="n"/>
      <c r="AI159" s="626" t="n"/>
      <c r="AJ159" s="626" t="n"/>
      <c r="AK159" s="626" t="n"/>
      <c r="AL159" s="626" t="n"/>
      <c r="AM159" s="626" t="n"/>
      <c r="AN159" s="626" t="n"/>
      <c r="AO159" s="626" t="n"/>
      <c r="AP159" s="369" t="n"/>
      <c r="AQ159" s="369" t="n"/>
      <c r="AR159" s="369" t="n"/>
      <c r="AS159" s="369" t="n"/>
      <c r="AT159" s="370" t="n"/>
      <c r="AU159" s="370" t="n"/>
      <c r="AV159" s="370" t="n"/>
      <c r="AW159" s="370" t="n"/>
      <c r="BJ159">
        <f>O159</f>
        <v/>
      </c>
      <c r="BK159">
        <f>SUM(AG159:AW159)</f>
        <v/>
      </c>
      <c r="BL159" s="531">
        <f>BJ159-BK159</f>
        <v/>
      </c>
      <c r="BM159" s="201" t="n"/>
    </row>
    <row r="160" hidden="1" outlineLevel="1" s="191">
      <c r="A160" s="506">
        <f>A159</f>
        <v/>
      </c>
      <c r="P160" s="628" t="n"/>
      <c r="Q160" s="628" t="n"/>
      <c r="R160" s="628" t="n"/>
      <c r="S160" s="628" t="n"/>
      <c r="T160" s="628" t="n"/>
      <c r="U160" s="628" t="n"/>
      <c r="V160" s="628" t="n"/>
      <c r="W160" s="628" t="n"/>
      <c r="X160" s="628" t="n"/>
      <c r="Y160" s="650" t="n"/>
      <c r="Z160" s="650" t="n"/>
      <c r="AA160" s="650" t="n"/>
      <c r="AB160" s="650" t="n"/>
      <c r="AC160" s="613" t="n"/>
      <c r="AD160" s="613" t="n"/>
      <c r="AE160" s="613" t="n"/>
      <c r="AF160" s="613" t="n"/>
      <c r="AG160" s="626" t="n"/>
      <c r="AH160" s="626" t="n"/>
      <c r="AI160" s="626" t="n"/>
      <c r="AJ160" s="626" t="n"/>
      <c r="AK160" s="626" t="n"/>
      <c r="AL160" s="626" t="n"/>
      <c r="AM160" s="626" t="n"/>
      <c r="AN160" s="626" t="n"/>
      <c r="AO160" s="626" t="n"/>
      <c r="AP160" s="369" t="n"/>
      <c r="AQ160" s="369" t="n"/>
      <c r="AR160" s="369" t="n"/>
      <c r="AS160" s="369" t="n"/>
      <c r="AT160" s="370" t="n"/>
      <c r="AU160" s="370" t="n"/>
      <c r="AV160" s="370" t="n"/>
      <c r="AW160" s="370" t="n"/>
      <c r="BJ160">
        <f>O160</f>
        <v/>
      </c>
      <c r="BK160">
        <f>SUM(AG160:AW160)</f>
        <v/>
      </c>
      <c r="BL160" s="531">
        <f>BJ160-BK160</f>
        <v/>
      </c>
      <c r="BM160" s="201" t="n"/>
    </row>
    <row r="161" hidden="1" outlineLevel="1" s="191">
      <c r="A161" s="506">
        <f>A160</f>
        <v/>
      </c>
      <c r="P161" s="628" t="n"/>
      <c r="Q161" s="628" t="n"/>
      <c r="R161" s="628" t="n"/>
      <c r="S161" s="628" t="n"/>
      <c r="T161" s="628" t="n"/>
      <c r="U161" s="628" t="n"/>
      <c r="V161" s="628" t="n"/>
      <c r="W161" s="628" t="n"/>
      <c r="X161" s="628" t="n"/>
      <c r="Y161" s="650" t="n"/>
      <c r="Z161" s="650" t="n"/>
      <c r="AA161" s="650" t="n"/>
      <c r="AB161" s="650" t="n"/>
      <c r="AC161" s="613" t="n"/>
      <c r="AD161" s="613" t="n"/>
      <c r="AE161" s="613" t="n"/>
      <c r="AF161" s="613" t="n"/>
      <c r="AG161" s="626" t="n"/>
      <c r="AH161" s="626" t="n"/>
      <c r="AI161" s="626" t="n"/>
      <c r="AJ161" s="626" t="n"/>
      <c r="AK161" s="626" t="n"/>
      <c r="AL161" s="626" t="n"/>
      <c r="AM161" s="626" t="n"/>
      <c r="AN161" s="626" t="n"/>
      <c r="AO161" s="626" t="n"/>
      <c r="AP161" s="369" t="n"/>
      <c r="AQ161" s="369" t="n"/>
      <c r="AR161" s="369" t="n"/>
      <c r="AS161" s="369" t="n"/>
      <c r="AT161" s="370" t="n"/>
      <c r="AU161" s="370" t="n"/>
      <c r="AV161" s="370" t="n"/>
      <c r="AW161" s="370" t="n"/>
      <c r="BJ161">
        <f>O161</f>
        <v/>
      </c>
      <c r="BK161">
        <f>SUM(AG161:AW161)</f>
        <v/>
      </c>
      <c r="BL161" s="531">
        <f>BJ161-BK161</f>
        <v/>
      </c>
      <c r="BM161" s="201" t="n"/>
    </row>
    <row r="162" hidden="1" outlineLevel="1" s="191">
      <c r="A162" s="506">
        <f>A161</f>
        <v/>
      </c>
      <c r="P162" s="628" t="n"/>
      <c r="Q162" s="628" t="n"/>
      <c r="R162" s="628" t="n"/>
      <c r="S162" s="628" t="n"/>
      <c r="T162" s="628" t="n"/>
      <c r="U162" s="628" t="n"/>
      <c r="V162" s="628" t="n"/>
      <c r="W162" s="628" t="n"/>
      <c r="X162" s="628" t="n"/>
      <c r="Y162" s="650" t="n"/>
      <c r="Z162" s="650" t="n"/>
      <c r="AA162" s="650" t="n"/>
      <c r="AB162" s="650" t="n"/>
      <c r="AC162" s="613" t="n"/>
      <c r="AD162" s="613" t="n"/>
      <c r="AE162" s="613" t="n"/>
      <c r="AF162" s="613" t="n"/>
      <c r="AG162" s="626" t="n"/>
      <c r="AH162" s="626" t="n"/>
      <c r="AI162" s="626" t="n"/>
      <c r="AJ162" s="626" t="n"/>
      <c r="AK162" s="626" t="n"/>
      <c r="AL162" s="626" t="n"/>
      <c r="AM162" s="626" t="n"/>
      <c r="AN162" s="626" t="n"/>
      <c r="AO162" s="626" t="n"/>
      <c r="AP162" s="369" t="n"/>
      <c r="AQ162" s="369" t="n"/>
      <c r="AR162" s="369" t="n"/>
      <c r="AS162" s="369" t="n"/>
      <c r="AT162" s="370" t="n"/>
      <c r="AU162" s="370" t="n"/>
      <c r="AV162" s="370" t="n"/>
      <c r="AW162" s="370" t="n"/>
      <c r="BJ162">
        <f>O162</f>
        <v/>
      </c>
      <c r="BK162">
        <f>SUM(AG162:AW162)</f>
        <v/>
      </c>
      <c r="BL162" s="531">
        <f>BJ162-BK162</f>
        <v/>
      </c>
      <c r="BM162" s="201" t="n"/>
    </row>
    <row r="163" hidden="1" outlineLevel="1" s="191">
      <c r="A163" s="506">
        <f>A162</f>
        <v/>
      </c>
      <c r="P163" s="628" t="n"/>
      <c r="Q163" s="628" t="n"/>
      <c r="R163" s="628" t="n"/>
      <c r="S163" s="628" t="n"/>
      <c r="T163" s="628" t="n"/>
      <c r="U163" s="628" t="n"/>
      <c r="V163" s="628" t="n"/>
      <c r="W163" s="628" t="n"/>
      <c r="X163" s="628" t="n"/>
      <c r="Y163" s="650" t="n"/>
      <c r="Z163" s="650" t="n"/>
      <c r="AA163" s="650" t="n"/>
      <c r="AB163" s="650" t="n"/>
      <c r="AC163" s="613" t="n"/>
      <c r="AD163" s="613" t="n"/>
      <c r="AE163" s="613" t="n"/>
      <c r="AF163" s="613" t="n"/>
      <c r="AG163" s="626" t="n"/>
      <c r="AH163" s="626" t="n"/>
      <c r="AI163" s="626" t="n"/>
      <c r="AJ163" s="626" t="n"/>
      <c r="AK163" s="626" t="n"/>
      <c r="AL163" s="626" t="n"/>
      <c r="AM163" s="626" t="n"/>
      <c r="AN163" s="626" t="n"/>
      <c r="AO163" s="626" t="n"/>
      <c r="AP163" s="369" t="n"/>
      <c r="AQ163" s="369" t="n"/>
      <c r="AR163" s="369" t="n"/>
      <c r="AS163" s="369" t="n"/>
      <c r="AT163" s="370" t="n"/>
      <c r="AU163" s="370" t="n"/>
      <c r="AV163" s="370" t="n"/>
      <c r="AW163" s="370" t="n"/>
      <c r="BJ163">
        <f>O163</f>
        <v/>
      </c>
      <c r="BK163">
        <f>SUM(AG163:AW163)</f>
        <v/>
      </c>
      <c r="BL163" s="531">
        <f>BJ163-BK163</f>
        <v/>
      </c>
      <c r="BM163" s="201" t="n"/>
    </row>
    <row r="164" hidden="1" outlineLevel="1" s="191">
      <c r="A164" s="506">
        <f>A163</f>
        <v/>
      </c>
      <c r="P164" s="628" t="n"/>
      <c r="Q164" s="628" t="n"/>
      <c r="R164" s="628" t="n"/>
      <c r="S164" s="628" t="n"/>
      <c r="T164" s="628" t="n"/>
      <c r="U164" s="628" t="n"/>
      <c r="V164" s="628" t="n"/>
      <c r="W164" s="628" t="n"/>
      <c r="X164" s="628" t="n"/>
      <c r="Y164" s="650" t="n"/>
      <c r="Z164" s="650" t="n"/>
      <c r="AA164" s="650" t="n"/>
      <c r="AB164" s="650" t="n"/>
      <c r="AC164" s="613" t="n"/>
      <c r="AD164" s="613" t="n"/>
      <c r="AE164" s="613" t="n"/>
      <c r="AF164" s="613" t="n"/>
      <c r="AG164" s="626" t="n"/>
      <c r="AH164" s="626" t="n"/>
      <c r="AI164" s="626" t="n"/>
      <c r="AJ164" s="626" t="n"/>
      <c r="AK164" s="626" t="n"/>
      <c r="AL164" s="626" t="n"/>
      <c r="AM164" s="626" t="n"/>
      <c r="AN164" s="626" t="n"/>
      <c r="AO164" s="626" t="n"/>
      <c r="AP164" s="369" t="n"/>
      <c r="AQ164" s="369" t="n"/>
      <c r="AR164" s="369" t="n"/>
      <c r="AS164" s="369" t="n"/>
      <c r="AT164" s="370" t="n"/>
      <c r="AU164" s="370" t="n"/>
      <c r="AV164" s="370" t="n"/>
      <c r="AW164" s="370" t="n"/>
      <c r="BJ164">
        <f>O164</f>
        <v/>
      </c>
      <c r="BK164">
        <f>SUM(AG164:AW164)</f>
        <v/>
      </c>
      <c r="BL164" s="531">
        <f>BJ164-BK164</f>
        <v/>
      </c>
      <c r="BM164" s="201" t="n"/>
    </row>
    <row r="165" hidden="1" outlineLevel="1" s="191">
      <c r="A165" s="506">
        <f>A164</f>
        <v/>
      </c>
      <c r="P165" s="628" t="n"/>
      <c r="Q165" s="628" t="n"/>
      <c r="R165" s="628" t="n"/>
      <c r="S165" s="628" t="n"/>
      <c r="T165" s="628" t="n"/>
      <c r="U165" s="628" t="n"/>
      <c r="V165" s="628" t="n"/>
      <c r="W165" s="628" t="n"/>
      <c r="X165" s="628" t="n"/>
      <c r="Y165" s="650" t="n"/>
      <c r="Z165" s="650" t="n"/>
      <c r="AA165" s="650" t="n"/>
      <c r="AB165" s="650" t="n"/>
      <c r="AC165" s="613" t="n"/>
      <c r="AD165" s="613" t="n"/>
      <c r="AE165" s="613" t="n"/>
      <c r="AF165" s="613" t="n"/>
      <c r="AG165" s="626" t="n"/>
      <c r="AH165" s="626" t="n"/>
      <c r="AI165" s="626" t="n"/>
      <c r="AJ165" s="626" t="n"/>
      <c r="AK165" s="626" t="n"/>
      <c r="AL165" s="626" t="n"/>
      <c r="AM165" s="626" t="n"/>
      <c r="AN165" s="626" t="n"/>
      <c r="AO165" s="626" t="n"/>
      <c r="AP165" s="369" t="n"/>
      <c r="AQ165" s="369" t="n"/>
      <c r="AR165" s="369" t="n"/>
      <c r="AS165" s="369" t="n"/>
      <c r="AT165" s="370" t="n"/>
      <c r="AU165" s="370" t="n"/>
      <c r="AV165" s="370" t="n"/>
      <c r="AW165" s="370" t="n"/>
      <c r="BJ165">
        <f>O165</f>
        <v/>
      </c>
      <c r="BK165">
        <f>SUM(AG165:AW165)</f>
        <v/>
      </c>
      <c r="BL165" s="531">
        <f>BJ165-BK165</f>
        <v/>
      </c>
      <c r="BM165" s="201" t="n"/>
    </row>
    <row r="166" hidden="1" outlineLevel="1" s="191">
      <c r="A166" s="506">
        <f>A165</f>
        <v/>
      </c>
      <c r="P166" s="628" t="n"/>
      <c r="Q166" s="628" t="n"/>
      <c r="R166" s="628" t="n"/>
      <c r="S166" s="628" t="n"/>
      <c r="T166" s="628" t="n"/>
      <c r="U166" s="628" t="n"/>
      <c r="V166" s="628" t="n"/>
      <c r="W166" s="628" t="n"/>
      <c r="X166" s="628" t="n"/>
      <c r="Y166" s="650" t="n"/>
      <c r="Z166" s="650" t="n"/>
      <c r="AA166" s="650" t="n"/>
      <c r="AB166" s="650" t="n"/>
      <c r="AC166" s="613" t="n"/>
      <c r="AD166" s="613" t="n"/>
      <c r="AE166" s="613" t="n"/>
      <c r="AF166" s="613" t="n"/>
      <c r="AG166" s="626" t="n"/>
      <c r="AH166" s="626" t="n"/>
      <c r="AI166" s="626" t="n"/>
      <c r="AJ166" s="626" t="n"/>
      <c r="AK166" s="626" t="n"/>
      <c r="AL166" s="626" t="n"/>
      <c r="AM166" s="626" t="n"/>
      <c r="AN166" s="626" t="n"/>
      <c r="AO166" s="626" t="n"/>
      <c r="AP166" s="369" t="n"/>
      <c r="AQ166" s="369" t="n"/>
      <c r="AR166" s="369" t="n"/>
      <c r="AS166" s="369" t="n"/>
      <c r="AT166" s="370" t="n"/>
      <c r="AU166" s="370" t="n"/>
      <c r="AV166" s="370" t="n"/>
      <c r="AW166" s="370" t="n"/>
      <c r="BJ166">
        <f>O166</f>
        <v/>
      </c>
      <c r="BK166">
        <f>SUM(AG166:AW166)</f>
        <v/>
      </c>
      <c r="BL166" s="531">
        <f>BJ166-BK166</f>
        <v/>
      </c>
      <c r="BM166" s="201" t="n"/>
    </row>
    <row r="167" hidden="1" outlineLevel="1" s="191">
      <c r="A167" s="506">
        <f>A166</f>
        <v/>
      </c>
      <c r="P167" s="628" t="n"/>
      <c r="Q167" s="628" t="n"/>
      <c r="R167" s="628" t="n"/>
      <c r="S167" s="628" t="n"/>
      <c r="T167" s="628" t="n"/>
      <c r="U167" s="628" t="n"/>
      <c r="V167" s="628" t="n"/>
      <c r="W167" s="628" t="n"/>
      <c r="X167" s="628" t="n"/>
      <c r="Y167" s="650" t="n"/>
      <c r="Z167" s="650" t="n"/>
      <c r="AA167" s="650" t="n"/>
      <c r="AB167" s="650" t="n"/>
      <c r="AC167" s="613" t="n"/>
      <c r="AD167" s="613" t="n"/>
      <c r="AE167" s="613" t="n"/>
      <c r="AF167" s="613" t="n"/>
      <c r="AG167" s="626" t="n"/>
      <c r="AH167" s="626" t="n"/>
      <c r="AI167" s="626" t="n"/>
      <c r="AJ167" s="626" t="n"/>
      <c r="AK167" s="626" t="n"/>
      <c r="AL167" s="626" t="n"/>
      <c r="AM167" s="626" t="n"/>
      <c r="AN167" s="626" t="n"/>
      <c r="AO167" s="626" t="n"/>
      <c r="AP167" s="369" t="n"/>
      <c r="AQ167" s="369" t="n"/>
      <c r="AR167" s="369" t="n"/>
      <c r="AS167" s="369" t="n"/>
      <c r="AT167" s="370" t="n"/>
      <c r="AU167" s="370" t="n"/>
      <c r="AV167" s="370" t="n"/>
      <c r="AW167" s="370" t="n"/>
      <c r="BJ167">
        <f>O167</f>
        <v/>
      </c>
      <c r="BK167">
        <f>SUM(AG167:AW167)</f>
        <v/>
      </c>
      <c r="BL167" s="531">
        <f>BJ167-BK167</f>
        <v/>
      </c>
      <c r="BM167" s="201" t="n"/>
    </row>
    <row r="168" hidden="1" outlineLevel="1" s="191">
      <c r="A168" s="506">
        <f>A167</f>
        <v/>
      </c>
      <c r="P168" s="628" t="n"/>
      <c r="Q168" s="628" t="n"/>
      <c r="R168" s="628" t="n"/>
      <c r="S168" s="628" t="n"/>
      <c r="T168" s="628" t="n"/>
      <c r="U168" s="628" t="n"/>
      <c r="V168" s="628" t="n"/>
      <c r="W168" s="628" t="n"/>
      <c r="X168" s="628" t="n"/>
      <c r="Y168" s="650" t="n"/>
      <c r="Z168" s="650" t="n"/>
      <c r="AA168" s="650" t="n"/>
      <c r="AB168" s="650" t="n"/>
      <c r="AC168" s="613" t="n"/>
      <c r="AD168" s="613" t="n"/>
      <c r="AE168" s="613" t="n"/>
      <c r="AF168" s="613" t="n"/>
      <c r="AG168" s="626" t="n"/>
      <c r="AH168" s="626" t="n"/>
      <c r="AI168" s="626" t="n"/>
      <c r="AJ168" s="626" t="n"/>
      <c r="AK168" s="626" t="n"/>
      <c r="AL168" s="626" t="n"/>
      <c r="AM168" s="626" t="n"/>
      <c r="AN168" s="626" t="n"/>
      <c r="AO168" s="626" t="n"/>
      <c r="AP168" s="369" t="n"/>
      <c r="AQ168" s="369" t="n"/>
      <c r="AR168" s="369" t="n"/>
      <c r="AS168" s="369" t="n"/>
      <c r="AT168" s="370" t="n"/>
      <c r="AU168" s="370" t="n"/>
      <c r="AV168" s="370" t="n"/>
      <c r="AW168" s="370" t="n"/>
      <c r="BJ168">
        <f>O168</f>
        <v/>
      </c>
      <c r="BK168">
        <f>SUM(AG168:AW168)</f>
        <v/>
      </c>
      <c r="BL168" s="531">
        <f>BJ168-BK168</f>
        <v/>
      </c>
      <c r="BM168" s="201" t="n"/>
    </row>
    <row r="169" hidden="1" outlineLevel="1" s="191">
      <c r="A169" s="506">
        <f>A168</f>
        <v/>
      </c>
      <c r="P169" s="628" t="n"/>
      <c r="Q169" s="628" t="n"/>
      <c r="R169" s="628" t="n"/>
      <c r="S169" s="628" t="n"/>
      <c r="T169" s="628" t="n"/>
      <c r="U169" s="628" t="n"/>
      <c r="V169" s="628" t="n"/>
      <c r="W169" s="628" t="n"/>
      <c r="X169" s="628" t="n"/>
      <c r="Y169" s="650" t="n"/>
      <c r="Z169" s="650" t="n"/>
      <c r="AA169" s="650" t="n"/>
      <c r="AB169" s="650" t="n"/>
      <c r="AC169" s="613" t="n"/>
      <c r="AD169" s="613" t="n"/>
      <c r="AE169" s="613" t="n"/>
      <c r="AF169" s="613" t="n"/>
      <c r="AG169" s="626" t="n"/>
      <c r="AH169" s="626" t="n"/>
      <c r="AI169" s="626" t="n"/>
      <c r="AJ169" s="626" t="n"/>
      <c r="AK169" s="626" t="n"/>
      <c r="AL169" s="626" t="n"/>
      <c r="AM169" s="626" t="n"/>
      <c r="AN169" s="626" t="n"/>
      <c r="AO169" s="626" t="n"/>
      <c r="AP169" s="369" t="n"/>
      <c r="AQ169" s="369" t="n"/>
      <c r="AR169" s="369" t="n"/>
      <c r="AS169" s="369" t="n"/>
      <c r="AT169" s="370" t="n"/>
      <c r="AU169" s="370" t="n"/>
      <c r="AV169" s="370" t="n"/>
      <c r="AW169" s="370" t="n"/>
      <c r="BJ169">
        <f>O169</f>
        <v/>
      </c>
      <c r="BK169">
        <f>SUM(AG169:AW169)</f>
        <v/>
      </c>
      <c r="BL169" s="531">
        <f>BJ169-BK169</f>
        <v/>
      </c>
      <c r="BM169" s="201" t="n"/>
    </row>
    <row r="170" hidden="1" outlineLevel="1" s="191">
      <c r="A170" s="506">
        <f>A169</f>
        <v/>
      </c>
      <c r="P170" s="628" t="n"/>
      <c r="Q170" s="628" t="n"/>
      <c r="R170" s="628" t="n"/>
      <c r="S170" s="628" t="n"/>
      <c r="T170" s="628" t="n"/>
      <c r="U170" s="628" t="n"/>
      <c r="V170" s="628" t="n"/>
      <c r="W170" s="628" t="n"/>
      <c r="X170" s="628" t="n"/>
      <c r="Y170" s="650" t="n"/>
      <c r="Z170" s="650" t="n"/>
      <c r="AA170" s="650" t="n"/>
      <c r="AB170" s="650" t="n"/>
      <c r="AC170" s="613" t="n"/>
      <c r="AD170" s="613" t="n"/>
      <c r="AE170" s="613" t="n"/>
      <c r="AF170" s="613" t="n"/>
      <c r="AG170" s="626" t="n"/>
      <c r="AH170" s="626" t="n"/>
      <c r="AI170" s="626" t="n"/>
      <c r="AJ170" s="626" t="n"/>
      <c r="AK170" s="626" t="n"/>
      <c r="AL170" s="626" t="n"/>
      <c r="AM170" s="626" t="n"/>
      <c r="AN170" s="626" t="n"/>
      <c r="AO170" s="626" t="n"/>
      <c r="AP170" s="369" t="n"/>
      <c r="AQ170" s="369" t="n"/>
      <c r="AR170" s="369" t="n"/>
      <c r="AS170" s="369" t="n"/>
      <c r="AT170" s="370" t="n"/>
      <c r="AU170" s="370" t="n"/>
      <c r="AV170" s="370" t="n"/>
      <c r="AW170" s="370" t="n"/>
      <c r="BJ170">
        <f>O170</f>
        <v/>
      </c>
      <c r="BK170">
        <f>SUM(AG170:AW170)</f>
        <v/>
      </c>
      <c r="BL170" s="531">
        <f>BJ170-BK170</f>
        <v/>
      </c>
      <c r="BM170" s="201" t="n"/>
    </row>
    <row r="171" hidden="1" outlineLevel="1" s="191">
      <c r="A171" s="506">
        <f>A170</f>
        <v/>
      </c>
      <c r="P171" s="628" t="n"/>
      <c r="Q171" s="628" t="n"/>
      <c r="R171" s="628" t="n"/>
      <c r="S171" s="628" t="n"/>
      <c r="T171" s="628" t="n"/>
      <c r="U171" s="628" t="n"/>
      <c r="V171" s="628" t="n"/>
      <c r="W171" s="628" t="n"/>
      <c r="X171" s="628" t="n"/>
      <c r="Y171" s="650" t="n"/>
      <c r="Z171" s="650" t="n"/>
      <c r="AA171" s="650" t="n"/>
      <c r="AB171" s="650" t="n"/>
      <c r="AC171" s="613" t="n"/>
      <c r="AD171" s="613" t="n"/>
      <c r="AE171" s="613" t="n"/>
      <c r="AF171" s="613" t="n"/>
      <c r="AG171" s="626" t="n"/>
      <c r="AH171" s="626" t="n"/>
      <c r="AI171" s="626" t="n"/>
      <c r="AJ171" s="626" t="n"/>
      <c r="AK171" s="626" t="n"/>
      <c r="AL171" s="626" t="n"/>
      <c r="AM171" s="626" t="n"/>
      <c r="AN171" s="626" t="n"/>
      <c r="AO171" s="626" t="n"/>
      <c r="AP171" s="369" t="n"/>
      <c r="AQ171" s="369" t="n"/>
      <c r="AR171" s="369" t="n"/>
      <c r="AS171" s="369" t="n"/>
      <c r="AT171" s="370" t="n"/>
      <c r="AU171" s="370" t="n"/>
      <c r="AV171" s="370" t="n"/>
      <c r="AW171" s="370" t="n"/>
      <c r="BJ171">
        <f>O171</f>
        <v/>
      </c>
      <c r="BK171">
        <f>SUM(AG171:AW171)</f>
        <v/>
      </c>
      <c r="BL171" s="531">
        <f>BJ171-BK171</f>
        <v/>
      </c>
      <c r="BM171" s="201" t="n"/>
    </row>
    <row r="172" hidden="1" outlineLevel="1" s="191">
      <c r="A172" s="506">
        <f>A171</f>
        <v/>
      </c>
      <c r="P172" s="628" t="n"/>
      <c r="Q172" s="628" t="n"/>
      <c r="R172" s="628" t="n"/>
      <c r="S172" s="628" t="n"/>
      <c r="T172" s="628" t="n"/>
      <c r="U172" s="628" t="n"/>
      <c r="V172" s="628" t="n"/>
      <c r="W172" s="628" t="n"/>
      <c r="X172" s="628" t="n"/>
      <c r="Y172" s="650" t="n"/>
      <c r="Z172" s="650" t="n"/>
      <c r="AA172" s="650" t="n"/>
      <c r="AB172" s="650" t="n"/>
      <c r="AC172" s="613" t="n"/>
      <c r="AD172" s="613" t="n"/>
      <c r="AE172" s="613" t="n"/>
      <c r="AF172" s="613" t="n"/>
      <c r="AG172" s="626" t="n"/>
      <c r="AH172" s="626" t="n"/>
      <c r="AI172" s="626" t="n"/>
      <c r="AJ172" s="626" t="n"/>
      <c r="AK172" s="626" t="n"/>
      <c r="AL172" s="626" t="n"/>
      <c r="AM172" s="626" t="n"/>
      <c r="AN172" s="626" t="n"/>
      <c r="AO172" s="626" t="n"/>
      <c r="AP172" s="369" t="n"/>
      <c r="AQ172" s="369" t="n"/>
      <c r="AR172" s="369" t="n"/>
      <c r="AS172" s="369" t="n"/>
      <c r="AT172" s="370" t="n"/>
      <c r="AU172" s="370" t="n"/>
      <c r="AV172" s="370" t="n"/>
      <c r="AW172" s="370" t="n"/>
      <c r="BJ172">
        <f>O172</f>
        <v/>
      </c>
      <c r="BK172">
        <f>SUM(AG172:AW172)</f>
        <v/>
      </c>
      <c r="BL172" s="531">
        <f>BJ172-BK172</f>
        <v/>
      </c>
      <c r="BM172" s="201" t="n"/>
    </row>
    <row r="173" hidden="1" outlineLevel="1" s="191">
      <c r="A173" s="506">
        <f>A172</f>
        <v/>
      </c>
      <c r="P173" s="628" t="n"/>
      <c r="Q173" s="628" t="n"/>
      <c r="R173" s="628" t="n"/>
      <c r="S173" s="628" t="n"/>
      <c r="T173" s="628" t="n"/>
      <c r="U173" s="628" t="n"/>
      <c r="V173" s="628" t="n"/>
      <c r="W173" s="628" t="n"/>
      <c r="X173" s="628" t="n"/>
      <c r="Y173" s="650" t="n"/>
      <c r="Z173" s="650" t="n"/>
      <c r="AA173" s="650" t="n"/>
      <c r="AB173" s="650" t="n"/>
      <c r="AC173" s="613" t="n"/>
      <c r="AD173" s="613" t="n"/>
      <c r="AE173" s="613" t="n"/>
      <c r="AF173" s="613" t="n"/>
      <c r="AG173" s="626" t="n"/>
      <c r="AH173" s="626" t="n"/>
      <c r="AI173" s="626" t="n"/>
      <c r="AJ173" s="626" t="n"/>
      <c r="AK173" s="626" t="n"/>
      <c r="AL173" s="626" t="n"/>
      <c r="AM173" s="626" t="n"/>
      <c r="AN173" s="626" t="n"/>
      <c r="AO173" s="626" t="n"/>
      <c r="AP173" s="369" t="n"/>
      <c r="AQ173" s="369" t="n"/>
      <c r="AR173" s="369" t="n"/>
      <c r="AS173" s="369" t="n"/>
      <c r="AT173" s="370" t="n"/>
      <c r="AU173" s="370" t="n"/>
      <c r="AV173" s="370" t="n"/>
      <c r="AW173" s="370" t="n"/>
      <c r="BJ173">
        <f>O173</f>
        <v/>
      </c>
      <c r="BK173">
        <f>SUM(AG173:AW173)</f>
        <v/>
      </c>
      <c r="BL173" s="531">
        <f>BJ173-BK173</f>
        <v/>
      </c>
      <c r="BM173" s="201" t="n"/>
    </row>
    <row r="174" hidden="1" outlineLevel="1" s="191">
      <c r="A174" s="506">
        <f>A173</f>
        <v/>
      </c>
      <c r="P174" s="628" t="n"/>
      <c r="Q174" s="628" t="n"/>
      <c r="R174" s="628" t="n"/>
      <c r="S174" s="628" t="n"/>
      <c r="T174" s="628" t="n"/>
      <c r="U174" s="628" t="n"/>
      <c r="V174" s="628" t="n"/>
      <c r="W174" s="628" t="n"/>
      <c r="X174" s="628" t="n"/>
      <c r="Y174" s="650" t="n"/>
      <c r="Z174" s="650" t="n"/>
      <c r="AA174" s="650" t="n"/>
      <c r="AB174" s="650" t="n"/>
      <c r="AC174" s="613" t="n"/>
      <c r="AD174" s="613" t="n"/>
      <c r="AE174" s="613" t="n"/>
      <c r="AF174" s="613" t="n"/>
      <c r="AG174" s="626" t="n"/>
      <c r="AH174" s="626" t="n"/>
      <c r="AI174" s="626" t="n"/>
      <c r="AJ174" s="626" t="n"/>
      <c r="AK174" s="626" t="n"/>
      <c r="AL174" s="626" t="n"/>
      <c r="AM174" s="626" t="n"/>
      <c r="AN174" s="626" t="n"/>
      <c r="AO174" s="626" t="n"/>
      <c r="AP174" s="369" t="n"/>
      <c r="AQ174" s="369" t="n"/>
      <c r="AR174" s="369" t="n"/>
      <c r="AS174" s="369" t="n"/>
      <c r="AT174" s="370" t="n"/>
      <c r="AU174" s="370" t="n"/>
      <c r="AV174" s="370" t="n"/>
      <c r="AW174" s="370" t="n"/>
      <c r="BJ174">
        <f>O174</f>
        <v/>
      </c>
      <c r="BK174">
        <f>SUM(AG174:AW174)</f>
        <v/>
      </c>
      <c r="BL174" s="531">
        <f>BJ174-BK174</f>
        <v/>
      </c>
      <c r="BM174" s="201" t="n"/>
    </row>
    <row r="175" hidden="1" outlineLevel="1" s="191">
      <c r="A175" s="506">
        <f>A174</f>
        <v/>
      </c>
      <c r="P175" s="628" t="n"/>
      <c r="Q175" s="628" t="n"/>
      <c r="R175" s="628" t="n"/>
      <c r="S175" s="628" t="n"/>
      <c r="T175" s="628" t="n"/>
      <c r="U175" s="628" t="n"/>
      <c r="V175" s="628" t="n"/>
      <c r="W175" s="628" t="n"/>
      <c r="X175" s="628" t="n"/>
      <c r="Y175" s="650" t="n"/>
      <c r="Z175" s="650" t="n"/>
      <c r="AA175" s="650" t="n"/>
      <c r="AB175" s="650" t="n"/>
      <c r="AC175" s="613" t="n"/>
      <c r="AD175" s="613" t="n"/>
      <c r="AE175" s="613" t="n"/>
      <c r="AF175" s="613" t="n"/>
      <c r="AG175" s="626" t="n"/>
      <c r="AH175" s="626" t="n"/>
      <c r="AI175" s="626" t="n"/>
      <c r="AJ175" s="626" t="n"/>
      <c r="AK175" s="626" t="n"/>
      <c r="AL175" s="626" t="n"/>
      <c r="AM175" s="626" t="n"/>
      <c r="AN175" s="626" t="n"/>
      <c r="AO175" s="626" t="n"/>
      <c r="AP175" s="369" t="n"/>
      <c r="AQ175" s="369" t="n"/>
      <c r="AR175" s="369" t="n"/>
      <c r="AS175" s="369" t="n"/>
      <c r="AT175" s="370" t="n"/>
      <c r="AU175" s="370" t="n"/>
      <c r="AV175" s="370" t="n"/>
      <c r="AW175" s="370" t="n"/>
      <c r="BJ175">
        <f>O175</f>
        <v/>
      </c>
      <c r="BK175">
        <f>SUM(AG175:AW175)</f>
        <v/>
      </c>
      <c r="BL175" s="531">
        <f>BJ175-BK175</f>
        <v/>
      </c>
      <c r="BM175" s="201" t="n"/>
    </row>
    <row r="176" hidden="1" outlineLevel="1" s="191">
      <c r="A176" s="506">
        <f>A175</f>
        <v/>
      </c>
      <c r="P176" s="628" t="n"/>
      <c r="Q176" s="628" t="n"/>
      <c r="R176" s="628" t="n"/>
      <c r="S176" s="628" t="n"/>
      <c r="T176" s="628" t="n"/>
      <c r="U176" s="628" t="n"/>
      <c r="V176" s="628" t="n"/>
      <c r="W176" s="628" t="n"/>
      <c r="X176" s="628" t="n"/>
      <c r="Y176" s="650" t="n"/>
      <c r="Z176" s="650" t="n"/>
      <c r="AA176" s="650" t="n"/>
      <c r="AB176" s="650" t="n"/>
      <c r="AC176" s="613" t="n"/>
      <c r="AD176" s="613" t="n"/>
      <c r="AE176" s="613" t="n"/>
      <c r="AF176" s="613" t="n"/>
      <c r="AG176" s="626" t="n"/>
      <c r="AH176" s="626" t="n"/>
      <c r="AI176" s="626" t="n"/>
      <c r="AJ176" s="626" t="n"/>
      <c r="AK176" s="626" t="n"/>
      <c r="AL176" s="626" t="n"/>
      <c r="AM176" s="626" t="n"/>
      <c r="AN176" s="626" t="n"/>
      <c r="AO176" s="626" t="n"/>
      <c r="AP176" s="369" t="n"/>
      <c r="AQ176" s="369" t="n"/>
      <c r="AR176" s="369" t="n"/>
      <c r="AS176" s="369" t="n"/>
      <c r="AT176" s="370" t="n"/>
      <c r="AU176" s="370" t="n"/>
      <c r="AV176" s="370" t="n"/>
      <c r="AW176" s="370" t="n"/>
      <c r="BJ176">
        <f>O176</f>
        <v/>
      </c>
      <c r="BK176">
        <f>SUM(AG176:AW176)</f>
        <v/>
      </c>
      <c r="BL176" s="531">
        <f>BJ176-BK176</f>
        <v/>
      </c>
      <c r="BM176" s="201" t="n"/>
    </row>
    <row r="177" hidden="1" outlineLevel="1" s="191">
      <c r="A177" s="506">
        <f>A176</f>
        <v/>
      </c>
      <c r="P177" s="628" t="n"/>
      <c r="Q177" s="628" t="n"/>
      <c r="R177" s="628" t="n"/>
      <c r="S177" s="628" t="n"/>
      <c r="T177" s="628" t="n"/>
      <c r="U177" s="628" t="n"/>
      <c r="V177" s="628" t="n"/>
      <c r="W177" s="628" t="n"/>
      <c r="X177" s="628" t="n"/>
      <c r="Y177" s="650" t="n"/>
      <c r="Z177" s="650" t="n"/>
      <c r="AA177" s="650" t="n"/>
      <c r="AB177" s="650" t="n"/>
      <c r="AC177" s="613" t="n"/>
      <c r="AD177" s="613" t="n"/>
      <c r="AE177" s="613" t="n"/>
      <c r="AF177" s="613" t="n"/>
      <c r="AG177" s="626" t="n"/>
      <c r="AH177" s="626" t="n"/>
      <c r="AI177" s="626" t="n"/>
      <c r="AJ177" s="626" t="n"/>
      <c r="AK177" s="626" t="n"/>
      <c r="AL177" s="626" t="n"/>
      <c r="AM177" s="626" t="n"/>
      <c r="AN177" s="626" t="n"/>
      <c r="AO177" s="626" t="n"/>
      <c r="AP177" s="369" t="n"/>
      <c r="AQ177" s="369" t="n"/>
      <c r="AR177" s="369" t="n"/>
      <c r="AS177" s="369" t="n"/>
      <c r="AT177" s="370" t="n"/>
      <c r="AU177" s="370" t="n"/>
      <c r="AV177" s="370" t="n"/>
      <c r="AW177" s="370" t="n"/>
      <c r="BJ177">
        <f>O177</f>
        <v/>
      </c>
      <c r="BK177">
        <f>SUM(AG177:AW177)</f>
        <v/>
      </c>
      <c r="BL177" s="531">
        <f>BJ177-BK177</f>
        <v/>
      </c>
      <c r="BM177" s="201" t="n"/>
    </row>
    <row r="178" hidden="1" outlineLevel="1" s="191">
      <c r="A178" s="506">
        <f>A177</f>
        <v/>
      </c>
      <c r="P178" s="628" t="n"/>
      <c r="Q178" s="628" t="n"/>
      <c r="R178" s="628" t="n"/>
      <c r="S178" s="628" t="n"/>
      <c r="T178" s="628" t="n"/>
      <c r="U178" s="628" t="n"/>
      <c r="V178" s="628" t="n"/>
      <c r="W178" s="628" t="n"/>
      <c r="X178" s="628" t="n"/>
      <c r="Y178" s="650" t="n"/>
      <c r="Z178" s="650" t="n"/>
      <c r="AA178" s="650" t="n"/>
      <c r="AB178" s="650" t="n"/>
      <c r="AC178" s="613" t="n"/>
      <c r="AD178" s="613" t="n"/>
      <c r="AE178" s="613" t="n"/>
      <c r="AF178" s="613" t="n"/>
      <c r="AG178" s="626" t="n"/>
      <c r="AH178" s="626" t="n"/>
      <c r="AI178" s="626" t="n"/>
      <c r="AJ178" s="626" t="n"/>
      <c r="AK178" s="626" t="n"/>
      <c r="AL178" s="626" t="n"/>
      <c r="AM178" s="626" t="n"/>
      <c r="AN178" s="626" t="n"/>
      <c r="AO178" s="626" t="n"/>
      <c r="AP178" s="369" t="n"/>
      <c r="AQ178" s="369" t="n"/>
      <c r="AR178" s="369" t="n"/>
      <c r="AS178" s="369" t="n"/>
      <c r="AT178" s="370" t="n"/>
      <c r="AU178" s="370" t="n"/>
      <c r="AV178" s="370" t="n"/>
      <c r="AW178" s="370" t="n"/>
      <c r="BJ178">
        <f>O178</f>
        <v/>
      </c>
      <c r="BK178">
        <f>SUM(AG178:AW178)</f>
        <v/>
      </c>
      <c r="BL178" s="531">
        <f>BJ178-BK178</f>
        <v/>
      </c>
      <c r="BM178" s="201" t="n"/>
    </row>
    <row r="179" hidden="1" outlineLevel="1" s="191">
      <c r="A179" s="506">
        <f>A178</f>
        <v/>
      </c>
      <c r="P179" s="628" t="n"/>
      <c r="Q179" s="628" t="n"/>
      <c r="R179" s="628" t="n"/>
      <c r="S179" s="628" t="n"/>
      <c r="T179" s="628" t="n"/>
      <c r="U179" s="628" t="n"/>
      <c r="V179" s="628" t="n"/>
      <c r="W179" s="628" t="n"/>
      <c r="X179" s="628" t="n"/>
      <c r="Y179" s="650" t="n"/>
      <c r="Z179" s="650" t="n"/>
      <c r="AA179" s="650" t="n"/>
      <c r="AB179" s="650" t="n"/>
      <c r="AC179" s="613" t="n"/>
      <c r="AD179" s="613" t="n"/>
      <c r="AE179" s="613" t="n"/>
      <c r="AF179" s="613" t="n"/>
      <c r="AG179" s="626" t="n"/>
      <c r="AH179" s="626" t="n"/>
      <c r="AI179" s="626" t="n"/>
      <c r="AJ179" s="626" t="n"/>
      <c r="AK179" s="626" t="n"/>
      <c r="AL179" s="626" t="n"/>
      <c r="AM179" s="626" t="n"/>
      <c r="AN179" s="626" t="n"/>
      <c r="AO179" s="626" t="n"/>
      <c r="AP179" s="369" t="n"/>
      <c r="AQ179" s="369" t="n"/>
      <c r="AR179" s="369" t="n"/>
      <c r="AS179" s="369" t="n"/>
      <c r="AT179" s="370" t="n"/>
      <c r="AU179" s="370" t="n"/>
      <c r="AV179" s="370" t="n"/>
      <c r="AW179" s="370" t="n"/>
      <c r="BJ179">
        <f>O179</f>
        <v/>
      </c>
      <c r="BK179">
        <f>SUM(AG179:AW179)</f>
        <v/>
      </c>
      <c r="BL179" s="531">
        <f>BJ179-BK179</f>
        <v/>
      </c>
      <c r="BM179" s="201" t="n"/>
    </row>
    <row r="180" hidden="1" outlineLevel="1" s="191">
      <c r="A180" s="506">
        <f>A179</f>
        <v/>
      </c>
      <c r="P180" s="628" t="n"/>
      <c r="Q180" s="628" t="n"/>
      <c r="R180" s="628" t="n"/>
      <c r="S180" s="628" t="n"/>
      <c r="T180" s="628" t="n"/>
      <c r="U180" s="628" t="n"/>
      <c r="V180" s="628" t="n"/>
      <c r="W180" s="628" t="n"/>
      <c r="X180" s="628" t="n"/>
      <c r="Y180" s="650" t="n"/>
      <c r="Z180" s="650" t="n"/>
      <c r="AA180" s="650" t="n"/>
      <c r="AB180" s="650" t="n"/>
      <c r="AC180" s="613" t="n"/>
      <c r="AD180" s="613" t="n"/>
      <c r="AE180" s="613" t="n"/>
      <c r="AF180" s="613" t="n"/>
      <c r="AG180" s="626" t="n"/>
      <c r="AH180" s="626" t="n"/>
      <c r="AI180" s="626" t="n"/>
      <c r="AJ180" s="626" t="n"/>
      <c r="AK180" s="626" t="n"/>
      <c r="AL180" s="626" t="n"/>
      <c r="AM180" s="626" t="n"/>
      <c r="AN180" s="626" t="n"/>
      <c r="AO180" s="626" t="n"/>
      <c r="AP180" s="369" t="n"/>
      <c r="AQ180" s="369" t="n"/>
      <c r="AR180" s="369" t="n"/>
      <c r="AS180" s="369" t="n"/>
      <c r="AT180" s="370" t="n"/>
      <c r="AU180" s="370" t="n"/>
      <c r="AV180" s="370" t="n"/>
      <c r="AW180" s="370" t="n"/>
      <c r="BJ180">
        <f>O180</f>
        <v/>
      </c>
      <c r="BK180">
        <f>SUM(AG180:AW180)</f>
        <v/>
      </c>
      <c r="BL180" s="531">
        <f>BJ180-BK180</f>
        <v/>
      </c>
      <c r="BM180" s="201" t="n"/>
    </row>
    <row r="181" hidden="1" outlineLevel="1" s="191">
      <c r="A181" s="506">
        <f>A180</f>
        <v/>
      </c>
      <c r="P181" s="628" t="n"/>
      <c r="Q181" s="628" t="n"/>
      <c r="R181" s="628" t="n"/>
      <c r="S181" s="628" t="n"/>
      <c r="T181" s="628" t="n"/>
      <c r="U181" s="628" t="n"/>
      <c r="V181" s="628" t="n"/>
      <c r="W181" s="628" t="n"/>
      <c r="X181" s="628" t="n"/>
      <c r="Y181" s="650" t="n"/>
      <c r="Z181" s="650" t="n"/>
      <c r="AA181" s="650" t="n"/>
      <c r="AB181" s="650" t="n"/>
      <c r="AC181" s="613" t="n"/>
      <c r="AD181" s="613" t="n"/>
      <c r="AE181" s="613" t="n"/>
      <c r="AF181" s="613" t="n"/>
      <c r="AG181" s="626" t="n"/>
      <c r="AH181" s="626" t="n"/>
      <c r="AI181" s="626" t="n"/>
      <c r="AJ181" s="626" t="n"/>
      <c r="AK181" s="626" t="n"/>
      <c r="AL181" s="626" t="n"/>
      <c r="AM181" s="626" t="n"/>
      <c r="AN181" s="626" t="n"/>
      <c r="AO181" s="626" t="n"/>
      <c r="AP181" s="369" t="n"/>
      <c r="AQ181" s="369" t="n"/>
      <c r="AR181" s="369" t="n"/>
      <c r="AS181" s="369" t="n"/>
      <c r="AT181" s="370" t="n"/>
      <c r="AU181" s="370" t="n"/>
      <c r="AV181" s="370" t="n"/>
      <c r="AW181" s="370" t="n"/>
      <c r="BJ181">
        <f>O181</f>
        <v/>
      </c>
      <c r="BK181">
        <f>SUM(AG181:AW181)</f>
        <v/>
      </c>
      <c r="BL181" s="531">
        <f>BJ181-BK181</f>
        <v/>
      </c>
      <c r="BM181" s="201" t="n"/>
    </row>
    <row r="182" hidden="1" outlineLevel="1" s="191">
      <c r="A182" s="506">
        <f>A181</f>
        <v/>
      </c>
      <c r="P182" s="628" t="n"/>
      <c r="Q182" s="628" t="n"/>
      <c r="R182" s="628" t="n"/>
      <c r="S182" s="628" t="n"/>
      <c r="T182" s="628" t="n"/>
      <c r="U182" s="628" t="n"/>
      <c r="V182" s="628" t="n"/>
      <c r="W182" s="628" t="n"/>
      <c r="X182" s="628" t="n"/>
      <c r="Y182" s="650" t="n"/>
      <c r="Z182" s="650" t="n"/>
      <c r="AA182" s="650" t="n"/>
      <c r="AB182" s="650" t="n"/>
      <c r="AC182" s="613" t="n"/>
      <c r="AD182" s="613" t="n"/>
      <c r="AE182" s="613" t="n"/>
      <c r="AF182" s="613" t="n"/>
      <c r="AG182" s="626" t="n"/>
      <c r="AH182" s="626" t="n"/>
      <c r="AI182" s="626" t="n"/>
      <c r="AJ182" s="626" t="n"/>
      <c r="AK182" s="626" t="n"/>
      <c r="AL182" s="626" t="n"/>
      <c r="AM182" s="626" t="n"/>
      <c r="AN182" s="626" t="n"/>
      <c r="AO182" s="626" t="n"/>
      <c r="AP182" s="369" t="n"/>
      <c r="AQ182" s="369" t="n"/>
      <c r="AR182" s="369" t="n"/>
      <c r="AS182" s="369" t="n"/>
      <c r="AT182" s="370" t="n"/>
      <c r="AU182" s="370" t="n"/>
      <c r="AV182" s="370" t="n"/>
      <c r="AW182" s="370" t="n"/>
      <c r="BJ182">
        <f>O182</f>
        <v/>
      </c>
      <c r="BK182">
        <f>SUM(AG182:AW182)</f>
        <v/>
      </c>
      <c r="BL182" s="531">
        <f>BJ182-BK182</f>
        <v/>
      </c>
      <c r="BM182" s="201" t="n"/>
    </row>
    <row r="183" hidden="1" outlineLevel="1" s="191">
      <c r="A183" s="506">
        <f>A182</f>
        <v/>
      </c>
      <c r="P183" s="628" t="n"/>
      <c r="Q183" s="628" t="n"/>
      <c r="R183" s="628" t="n"/>
      <c r="S183" s="628" t="n"/>
      <c r="T183" s="628" t="n"/>
      <c r="U183" s="628" t="n"/>
      <c r="V183" s="628" t="n"/>
      <c r="W183" s="628" t="n"/>
      <c r="X183" s="628" t="n"/>
      <c r="Y183" s="650" t="n"/>
      <c r="Z183" s="650" t="n"/>
      <c r="AA183" s="650" t="n"/>
      <c r="AB183" s="650" t="n"/>
      <c r="AC183" s="613" t="n"/>
      <c r="AD183" s="613" t="n"/>
      <c r="AE183" s="613" t="n"/>
      <c r="AF183" s="613" t="n"/>
      <c r="AG183" s="626" t="n"/>
      <c r="AH183" s="626" t="n"/>
      <c r="AI183" s="626" t="n"/>
      <c r="AJ183" s="626" t="n"/>
      <c r="AK183" s="626" t="n"/>
      <c r="AL183" s="626" t="n"/>
      <c r="AM183" s="626" t="n"/>
      <c r="AN183" s="626" t="n"/>
      <c r="AO183" s="626" t="n"/>
      <c r="AP183" s="369" t="n"/>
      <c r="AQ183" s="369" t="n"/>
      <c r="AR183" s="369" t="n"/>
      <c r="AS183" s="369" t="n"/>
      <c r="AT183" s="370" t="n"/>
      <c r="AU183" s="370" t="n"/>
      <c r="AV183" s="370" t="n"/>
      <c r="AW183" s="370" t="n"/>
      <c r="BJ183">
        <f>O183</f>
        <v/>
      </c>
      <c r="BK183">
        <f>SUM(AG183:AW183)</f>
        <v/>
      </c>
      <c r="BL183" s="531">
        <f>BJ183-BK183</f>
        <v/>
      </c>
      <c r="BM183" s="201" t="n"/>
    </row>
    <row r="184" hidden="1" outlineLevel="1" s="191">
      <c r="A184" s="506">
        <f>A183</f>
        <v/>
      </c>
      <c r="P184" s="628" t="n"/>
      <c r="Q184" s="628" t="n"/>
      <c r="R184" s="628" t="n"/>
      <c r="S184" s="628" t="n"/>
      <c r="T184" s="628" t="n"/>
      <c r="U184" s="628" t="n"/>
      <c r="V184" s="628" t="n"/>
      <c r="W184" s="628" t="n"/>
      <c r="X184" s="628" t="n"/>
      <c r="Y184" s="650" t="n"/>
      <c r="Z184" s="650" t="n"/>
      <c r="AA184" s="650" t="n"/>
      <c r="AB184" s="650" t="n"/>
      <c r="AC184" s="613" t="n"/>
      <c r="AD184" s="613" t="n"/>
      <c r="AE184" s="613" t="n"/>
      <c r="AF184" s="613" t="n"/>
      <c r="AG184" s="626" t="n"/>
      <c r="AH184" s="626" t="n"/>
      <c r="AI184" s="626" t="n"/>
      <c r="AJ184" s="626" t="n"/>
      <c r="AK184" s="626" t="n"/>
      <c r="AL184" s="626" t="n"/>
      <c r="AM184" s="626" t="n"/>
      <c r="AN184" s="626" t="n"/>
      <c r="AO184" s="626" t="n"/>
      <c r="AP184" s="369" t="n"/>
      <c r="AQ184" s="369" t="n"/>
      <c r="AR184" s="369" t="n"/>
      <c r="AS184" s="369" t="n"/>
      <c r="AT184" s="370" t="n"/>
      <c r="AU184" s="370" t="n"/>
      <c r="AV184" s="370" t="n"/>
      <c r="AW184" s="370" t="n"/>
      <c r="BJ184">
        <f>O184</f>
        <v/>
      </c>
      <c r="BK184">
        <f>SUM(AG184:AW184)</f>
        <v/>
      </c>
      <c r="BL184" s="531">
        <f>BJ184-BK184</f>
        <v/>
      </c>
      <c r="BM184" s="201" t="n"/>
    </row>
    <row r="185" hidden="1" outlineLevel="1" s="191">
      <c r="A185" s="506">
        <f>A184</f>
        <v/>
      </c>
      <c r="P185" s="628" t="n"/>
      <c r="Q185" s="628" t="n"/>
      <c r="R185" s="628" t="n"/>
      <c r="S185" s="628" t="n"/>
      <c r="T185" s="628" t="n"/>
      <c r="U185" s="628" t="n"/>
      <c r="V185" s="628" t="n"/>
      <c r="W185" s="628" t="n"/>
      <c r="X185" s="628" t="n"/>
      <c r="Y185" s="650" t="n"/>
      <c r="Z185" s="650" t="n"/>
      <c r="AA185" s="650" t="n"/>
      <c r="AB185" s="650" t="n"/>
      <c r="AC185" s="613" t="n"/>
      <c r="AD185" s="613" t="n"/>
      <c r="AE185" s="613" t="n"/>
      <c r="AF185" s="613" t="n"/>
      <c r="AG185" s="626" t="n"/>
      <c r="AH185" s="626" t="n"/>
      <c r="AI185" s="626" t="n"/>
      <c r="AJ185" s="626" t="n"/>
      <c r="AK185" s="626" t="n"/>
      <c r="AL185" s="626" t="n"/>
      <c r="AM185" s="626" t="n"/>
      <c r="AN185" s="626" t="n"/>
      <c r="AO185" s="626" t="n"/>
      <c r="AP185" s="369" t="n"/>
      <c r="AQ185" s="369" t="n"/>
      <c r="AR185" s="369" t="n"/>
      <c r="AS185" s="369" t="n"/>
      <c r="AT185" s="370" t="n"/>
      <c r="AU185" s="370" t="n"/>
      <c r="AV185" s="370" t="n"/>
      <c r="AW185" s="370" t="n"/>
      <c r="BJ185">
        <f>O185</f>
        <v/>
      </c>
      <c r="BK185">
        <f>SUM(AG185:AW185)</f>
        <v/>
      </c>
      <c r="BL185" s="531">
        <f>BJ185-BK185</f>
        <v/>
      </c>
      <c r="BM185" s="201" t="n"/>
    </row>
    <row r="186" hidden="1" outlineLevel="1" s="191">
      <c r="A186" s="506">
        <f>A185</f>
        <v/>
      </c>
      <c r="P186" s="628" t="n"/>
      <c r="Q186" s="628" t="n"/>
      <c r="R186" s="628" t="n"/>
      <c r="S186" s="628" t="n"/>
      <c r="T186" s="628" t="n"/>
      <c r="U186" s="628" t="n"/>
      <c r="V186" s="628" t="n"/>
      <c r="W186" s="628" t="n"/>
      <c r="X186" s="628" t="n"/>
      <c r="Y186" s="650" t="n"/>
      <c r="Z186" s="650" t="n"/>
      <c r="AA186" s="650" t="n"/>
      <c r="AB186" s="650" t="n"/>
      <c r="AC186" s="613" t="n"/>
      <c r="AD186" s="613" t="n"/>
      <c r="AE186" s="613" t="n"/>
      <c r="AF186" s="613" t="n"/>
      <c r="AG186" s="626" t="n"/>
      <c r="AH186" s="626" t="n"/>
      <c r="AI186" s="626" t="n"/>
      <c r="AJ186" s="626" t="n"/>
      <c r="AK186" s="626" t="n"/>
      <c r="AL186" s="626" t="n"/>
      <c r="AM186" s="626" t="n"/>
      <c r="AN186" s="626" t="n"/>
      <c r="AO186" s="626" t="n"/>
      <c r="AP186" s="369" t="n"/>
      <c r="AQ186" s="369" t="n"/>
      <c r="AR186" s="369" t="n"/>
      <c r="AS186" s="369" t="n"/>
      <c r="AT186" s="370" t="n"/>
      <c r="AU186" s="370" t="n"/>
      <c r="AV186" s="370" t="n"/>
      <c r="AW186" s="370" t="n"/>
      <c r="BJ186">
        <f>O186</f>
        <v/>
      </c>
      <c r="BK186">
        <f>SUM(AG186:AW186)</f>
        <v/>
      </c>
      <c r="BL186" s="531">
        <f>BJ186-BK186</f>
        <v/>
      </c>
      <c r="BM186" s="201" t="n"/>
    </row>
    <row r="187" hidden="1" outlineLevel="1" s="191">
      <c r="A187" s="506">
        <f>A186</f>
        <v/>
      </c>
      <c r="P187" s="628" t="n"/>
      <c r="Q187" s="628" t="n"/>
      <c r="R187" s="628" t="n"/>
      <c r="S187" s="628" t="n"/>
      <c r="T187" s="628" t="n"/>
      <c r="U187" s="628" t="n"/>
      <c r="V187" s="628" t="n"/>
      <c r="W187" s="628" t="n"/>
      <c r="X187" s="628" t="n"/>
      <c r="Y187" s="650" t="n"/>
      <c r="Z187" s="650" t="n"/>
      <c r="AA187" s="650" t="n"/>
      <c r="AB187" s="650" t="n"/>
      <c r="AC187" s="613" t="n"/>
      <c r="AD187" s="613" t="n"/>
      <c r="AE187" s="613" t="n"/>
      <c r="AF187" s="613" t="n"/>
      <c r="AG187" s="626" t="n"/>
      <c r="AH187" s="626" t="n"/>
      <c r="AI187" s="626" t="n"/>
      <c r="AJ187" s="626" t="n"/>
      <c r="AK187" s="626" t="n"/>
      <c r="AL187" s="626" t="n"/>
      <c r="AM187" s="626" t="n"/>
      <c r="AN187" s="626" t="n"/>
      <c r="AO187" s="626" t="n"/>
      <c r="AP187" s="369" t="n"/>
      <c r="AQ187" s="369" t="n"/>
      <c r="AR187" s="369" t="n"/>
      <c r="AS187" s="369" t="n"/>
      <c r="AT187" s="370" t="n"/>
      <c r="AU187" s="370" t="n"/>
      <c r="AV187" s="370" t="n"/>
      <c r="AW187" s="370" t="n"/>
      <c r="BJ187">
        <f>O187</f>
        <v/>
      </c>
      <c r="BK187">
        <f>SUM(AG187:AW187)</f>
        <v/>
      </c>
      <c r="BL187" s="531">
        <f>BJ187-BK187</f>
        <v/>
      </c>
      <c r="BM187" s="201" t="n"/>
    </row>
    <row r="188" hidden="1" outlineLevel="1" s="191">
      <c r="A188" s="506">
        <f>A187</f>
        <v/>
      </c>
      <c r="P188" s="628" t="n"/>
      <c r="Q188" s="628" t="n"/>
      <c r="R188" s="628" t="n"/>
      <c r="S188" s="628" t="n"/>
      <c r="T188" s="628" t="n"/>
      <c r="U188" s="628" t="n"/>
      <c r="V188" s="628" t="n"/>
      <c r="W188" s="628" t="n"/>
      <c r="X188" s="628" t="n"/>
      <c r="Y188" s="650" t="n"/>
      <c r="Z188" s="650" t="n"/>
      <c r="AA188" s="650" t="n"/>
      <c r="AB188" s="650" t="n"/>
      <c r="AC188" s="613" t="n"/>
      <c r="AD188" s="613" t="n"/>
      <c r="AE188" s="613" t="n"/>
      <c r="AF188" s="613" t="n"/>
      <c r="AG188" s="626" t="n"/>
      <c r="AH188" s="626" t="n"/>
      <c r="AI188" s="626" t="n"/>
      <c r="AJ188" s="626" t="n"/>
      <c r="AK188" s="626" t="n"/>
      <c r="AL188" s="626" t="n"/>
      <c r="AM188" s="626" t="n"/>
      <c r="AN188" s="626" t="n"/>
      <c r="AO188" s="626" t="n"/>
      <c r="AP188" s="369" t="n"/>
      <c r="AQ188" s="369" t="n"/>
      <c r="AR188" s="369" t="n"/>
      <c r="AS188" s="369" t="n"/>
      <c r="AT188" s="370" t="n"/>
      <c r="AU188" s="370" t="n"/>
      <c r="AV188" s="370" t="n"/>
      <c r="AW188" s="370" t="n"/>
      <c r="BJ188">
        <f>O188</f>
        <v/>
      </c>
      <c r="BK188">
        <f>SUM(AG188:AW188)</f>
        <v/>
      </c>
      <c r="BL188" s="531">
        <f>BJ188-BK188</f>
        <v/>
      </c>
      <c r="BM188" s="201" t="n"/>
    </row>
    <row r="189" hidden="1" outlineLevel="1" s="191">
      <c r="A189" s="506">
        <f>A188</f>
        <v/>
      </c>
      <c r="P189" s="628" t="n"/>
      <c r="Q189" s="628" t="n"/>
      <c r="R189" s="628" t="n"/>
      <c r="S189" s="628" t="n"/>
      <c r="T189" s="628" t="n"/>
      <c r="U189" s="628" t="n"/>
      <c r="V189" s="628" t="n"/>
      <c r="W189" s="628" t="n"/>
      <c r="X189" s="628" t="n"/>
      <c r="Y189" s="650" t="n"/>
      <c r="Z189" s="650" t="n"/>
      <c r="AA189" s="650" t="n"/>
      <c r="AB189" s="650" t="n"/>
      <c r="AC189" s="613" t="n"/>
      <c r="AD189" s="613" t="n"/>
      <c r="AE189" s="613" t="n"/>
      <c r="AF189" s="613" t="n"/>
      <c r="AG189" s="626" t="n"/>
      <c r="AH189" s="626" t="n"/>
      <c r="AI189" s="626" t="n"/>
      <c r="AJ189" s="626" t="n"/>
      <c r="AK189" s="626" t="n"/>
      <c r="AL189" s="626" t="n"/>
      <c r="AM189" s="626" t="n"/>
      <c r="AN189" s="626" t="n"/>
      <c r="AO189" s="626" t="n"/>
      <c r="AP189" s="369" t="n"/>
      <c r="AQ189" s="369" t="n"/>
      <c r="AR189" s="369" t="n"/>
      <c r="AS189" s="369" t="n"/>
      <c r="AT189" s="370" t="n"/>
      <c r="AU189" s="370" t="n"/>
      <c r="AV189" s="370" t="n"/>
      <c r="AW189" s="370" t="n"/>
      <c r="BJ189">
        <f>O189</f>
        <v/>
      </c>
      <c r="BK189">
        <f>SUM(AG189:AW189)</f>
        <v/>
      </c>
      <c r="BL189" s="531">
        <f>BJ189-BK189</f>
        <v/>
      </c>
      <c r="BM189" s="201" t="n"/>
    </row>
    <row r="190" hidden="1" outlineLevel="1" s="191">
      <c r="A190" s="506">
        <f>A189</f>
        <v/>
      </c>
      <c r="P190" s="628" t="n"/>
      <c r="Q190" s="628" t="n"/>
      <c r="R190" s="628" t="n"/>
      <c r="S190" s="628" t="n"/>
      <c r="T190" s="628" t="n"/>
      <c r="U190" s="628" t="n"/>
      <c r="V190" s="628" t="n"/>
      <c r="W190" s="628" t="n"/>
      <c r="X190" s="628" t="n"/>
      <c r="Y190" s="650" t="n"/>
      <c r="Z190" s="650" t="n"/>
      <c r="AA190" s="650" t="n"/>
      <c r="AB190" s="650" t="n"/>
      <c r="AC190" s="613" t="n"/>
      <c r="AD190" s="613" t="n"/>
      <c r="AE190" s="613" t="n"/>
      <c r="AF190" s="613" t="n"/>
      <c r="AG190" s="626" t="n"/>
      <c r="AH190" s="626" t="n"/>
      <c r="AI190" s="626" t="n"/>
      <c r="AJ190" s="626" t="n"/>
      <c r="AK190" s="626" t="n"/>
      <c r="AL190" s="626" t="n"/>
      <c r="AM190" s="626" t="n"/>
      <c r="AN190" s="626" t="n"/>
      <c r="AO190" s="626" t="n"/>
      <c r="AP190" s="369" t="n"/>
      <c r="AQ190" s="369" t="n"/>
      <c r="AR190" s="369" t="n"/>
      <c r="AS190" s="369" t="n"/>
      <c r="AT190" s="370" t="n"/>
      <c r="AU190" s="370" t="n"/>
      <c r="AV190" s="370" t="n"/>
      <c r="AW190" s="370" t="n"/>
      <c r="BJ190">
        <f>O190</f>
        <v/>
      </c>
      <c r="BK190">
        <f>SUM(AG190:AW190)</f>
        <v/>
      </c>
      <c r="BL190" s="531">
        <f>BJ190-BK190</f>
        <v/>
      </c>
      <c r="BM190" s="201" t="n"/>
    </row>
    <row r="191" hidden="1" outlineLevel="1" s="191">
      <c r="A191" s="506">
        <f>A190</f>
        <v/>
      </c>
      <c r="P191" s="628" t="n"/>
      <c r="Q191" s="628" t="n"/>
      <c r="R191" s="628" t="n"/>
      <c r="S191" s="628" t="n"/>
      <c r="T191" s="628" t="n"/>
      <c r="U191" s="628" t="n"/>
      <c r="V191" s="628" t="n"/>
      <c r="W191" s="628" t="n"/>
      <c r="X191" s="628" t="n"/>
      <c r="Y191" s="650" t="n"/>
      <c r="Z191" s="650" t="n"/>
      <c r="AA191" s="650" t="n"/>
      <c r="AB191" s="650" t="n"/>
      <c r="AC191" s="613" t="n"/>
      <c r="AD191" s="613" t="n"/>
      <c r="AE191" s="613" t="n"/>
      <c r="AF191" s="613" t="n"/>
      <c r="AG191" s="626" t="n"/>
      <c r="AH191" s="626" t="n"/>
      <c r="AI191" s="626" t="n"/>
      <c r="AJ191" s="626" t="n"/>
      <c r="AK191" s="626" t="n"/>
      <c r="AL191" s="626" t="n"/>
      <c r="AM191" s="626" t="n"/>
      <c r="AN191" s="626" t="n"/>
      <c r="AO191" s="626" t="n"/>
      <c r="AP191" s="369" t="n"/>
      <c r="AQ191" s="369" t="n"/>
      <c r="AR191" s="369" t="n"/>
      <c r="AS191" s="369" t="n"/>
      <c r="AT191" s="370" t="n"/>
      <c r="AU191" s="370" t="n"/>
      <c r="AV191" s="370" t="n"/>
      <c r="AW191" s="370" t="n"/>
      <c r="BJ191">
        <f>O191</f>
        <v/>
      </c>
      <c r="BK191">
        <f>SUM(AG191:AW191)</f>
        <v/>
      </c>
      <c r="BL191" s="531">
        <f>BJ191-BK191</f>
        <v/>
      </c>
      <c r="BM191" s="201" t="n"/>
    </row>
    <row r="192" hidden="1" outlineLevel="1" s="191">
      <c r="A192" s="506">
        <f>A191</f>
        <v/>
      </c>
      <c r="P192" s="628" t="n"/>
      <c r="Q192" s="628" t="n"/>
      <c r="R192" s="628" t="n"/>
      <c r="S192" s="628" t="n"/>
      <c r="T192" s="628" t="n"/>
      <c r="U192" s="628" t="n"/>
      <c r="V192" s="628" t="n"/>
      <c r="W192" s="628" t="n"/>
      <c r="X192" s="628" t="n"/>
      <c r="Y192" s="650" t="n"/>
      <c r="Z192" s="650" t="n"/>
      <c r="AA192" s="650" t="n"/>
      <c r="AB192" s="650" t="n"/>
      <c r="AC192" s="613" t="n"/>
      <c r="AD192" s="613" t="n"/>
      <c r="AE192" s="613" t="n"/>
      <c r="AF192" s="613" t="n"/>
      <c r="AG192" s="626" t="n"/>
      <c r="AH192" s="626" t="n"/>
      <c r="AI192" s="626" t="n"/>
      <c r="AJ192" s="626" t="n"/>
      <c r="AK192" s="626" t="n"/>
      <c r="AL192" s="626" t="n"/>
      <c r="AM192" s="626" t="n"/>
      <c r="AN192" s="626" t="n"/>
      <c r="AO192" s="626" t="n"/>
      <c r="AP192" s="369" t="n"/>
      <c r="AQ192" s="369" t="n"/>
      <c r="AR192" s="369" t="n"/>
      <c r="AS192" s="369" t="n"/>
      <c r="AT192" s="370" t="n"/>
      <c r="AU192" s="370" t="n"/>
      <c r="AV192" s="370" t="n"/>
      <c r="AW192" s="370" t="n"/>
      <c r="BJ192">
        <f>O192</f>
        <v/>
      </c>
      <c r="BK192">
        <f>SUM(AG192:AW192)</f>
        <v/>
      </c>
      <c r="BL192" s="531">
        <f>BJ192-BK192</f>
        <v/>
      </c>
      <c r="BM192" s="201" t="n"/>
    </row>
    <row r="193" hidden="1" outlineLevel="1" s="191">
      <c r="A193" s="506">
        <f>A192</f>
        <v/>
      </c>
      <c r="P193" s="628" t="n"/>
      <c r="Q193" s="628" t="n"/>
      <c r="R193" s="628" t="n"/>
      <c r="S193" s="628" t="n"/>
      <c r="T193" s="628" t="n"/>
      <c r="U193" s="628" t="n"/>
      <c r="V193" s="628" t="n"/>
      <c r="W193" s="628" t="n"/>
      <c r="X193" s="628" t="n"/>
      <c r="Y193" s="650" t="n"/>
      <c r="Z193" s="650" t="n"/>
      <c r="AA193" s="650" t="n"/>
      <c r="AB193" s="650" t="n"/>
      <c r="AC193" s="613" t="n"/>
      <c r="AD193" s="613" t="n"/>
      <c r="AE193" s="613" t="n"/>
      <c r="AF193" s="613" t="n"/>
      <c r="AG193" s="626" t="n"/>
      <c r="AH193" s="626" t="n"/>
      <c r="AI193" s="626" t="n"/>
      <c r="AJ193" s="626" t="n"/>
      <c r="AK193" s="626" t="n"/>
      <c r="AL193" s="626" t="n"/>
      <c r="AM193" s="626" t="n"/>
      <c r="AN193" s="626" t="n"/>
      <c r="AO193" s="626" t="n"/>
      <c r="AP193" s="369" t="n"/>
      <c r="AQ193" s="369" t="n"/>
      <c r="AR193" s="369" t="n"/>
      <c r="AS193" s="369" t="n"/>
      <c r="AT193" s="370" t="n"/>
      <c r="AU193" s="370" t="n"/>
      <c r="AV193" s="370" t="n"/>
      <c r="AW193" s="370" t="n"/>
      <c r="BJ193">
        <f>O193</f>
        <v/>
      </c>
      <c r="BK193">
        <f>SUM(AG193:AW193)</f>
        <v/>
      </c>
      <c r="BL193" s="531">
        <f>BJ193-BK193</f>
        <v/>
      </c>
      <c r="BM193" s="201" t="n"/>
    </row>
    <row r="194" hidden="1" outlineLevel="1" s="191">
      <c r="A194" s="506">
        <f>A193</f>
        <v/>
      </c>
      <c r="P194" s="628" t="n"/>
      <c r="Q194" s="628" t="n"/>
      <c r="R194" s="628" t="n"/>
      <c r="S194" s="628" t="n"/>
      <c r="T194" s="628" t="n"/>
      <c r="U194" s="628" t="n"/>
      <c r="V194" s="628" t="n"/>
      <c r="W194" s="628" t="n"/>
      <c r="X194" s="628" t="n"/>
      <c r="Y194" s="650" t="n"/>
      <c r="Z194" s="650" t="n"/>
      <c r="AA194" s="650" t="n"/>
      <c r="AB194" s="650" t="n"/>
      <c r="AC194" s="613" t="n"/>
      <c r="AD194" s="613" t="n"/>
      <c r="AE194" s="613" t="n"/>
      <c r="AF194" s="613" t="n"/>
      <c r="AG194" s="626" t="n"/>
      <c r="AH194" s="626" t="n"/>
      <c r="AI194" s="626" t="n"/>
      <c r="AJ194" s="626" t="n"/>
      <c r="AK194" s="626" t="n"/>
      <c r="AL194" s="626" t="n"/>
      <c r="AM194" s="626" t="n"/>
      <c r="AN194" s="626" t="n"/>
      <c r="AO194" s="626" t="n"/>
      <c r="AP194" s="369" t="n"/>
      <c r="AQ194" s="369" t="n"/>
      <c r="AR194" s="369" t="n"/>
      <c r="AS194" s="369" t="n"/>
      <c r="AT194" s="370" t="n"/>
      <c r="AU194" s="370" t="n"/>
      <c r="AV194" s="370" t="n"/>
      <c r="AW194" s="370" t="n"/>
      <c r="BJ194">
        <f>O194</f>
        <v/>
      </c>
      <c r="BK194">
        <f>SUM(AG194:AW194)</f>
        <v/>
      </c>
      <c r="BL194" s="531">
        <f>BJ194-BK194</f>
        <v/>
      </c>
      <c r="BM194" s="201" t="n"/>
    </row>
    <row r="195" hidden="1" outlineLevel="1" s="191">
      <c r="A195" s="506">
        <f>A194</f>
        <v/>
      </c>
      <c r="P195" s="628" t="n"/>
      <c r="Q195" s="628" t="n"/>
      <c r="R195" s="628" t="n"/>
      <c r="S195" s="628" t="n"/>
      <c r="T195" s="628" t="n"/>
      <c r="U195" s="628" t="n"/>
      <c r="V195" s="628" t="n"/>
      <c r="W195" s="628" t="n"/>
      <c r="X195" s="628" t="n"/>
      <c r="Y195" s="650" t="n"/>
      <c r="Z195" s="650" t="n"/>
      <c r="AA195" s="650" t="n"/>
      <c r="AB195" s="650" t="n"/>
      <c r="AC195" s="613" t="n"/>
      <c r="AD195" s="613" t="n"/>
      <c r="AE195" s="613" t="n"/>
      <c r="AF195" s="613" t="n"/>
      <c r="AG195" s="626" t="n"/>
      <c r="AH195" s="626" t="n"/>
      <c r="AI195" s="626" t="n"/>
      <c r="AJ195" s="626" t="n"/>
      <c r="AK195" s="626" t="n"/>
      <c r="AL195" s="626" t="n"/>
      <c r="AM195" s="626" t="n"/>
      <c r="AN195" s="626" t="n"/>
      <c r="AO195" s="626" t="n"/>
      <c r="AP195" s="369" t="n"/>
      <c r="AQ195" s="369" t="n"/>
      <c r="AR195" s="369" t="n"/>
      <c r="AS195" s="369" t="n"/>
      <c r="AT195" s="370" t="n"/>
      <c r="AU195" s="370" t="n"/>
      <c r="AV195" s="370" t="n"/>
      <c r="AW195" s="370" t="n"/>
      <c r="BJ195">
        <f>O195</f>
        <v/>
      </c>
      <c r="BK195">
        <f>SUM(AG195:AW195)</f>
        <v/>
      </c>
      <c r="BL195" s="531">
        <f>BJ195-BK195</f>
        <v/>
      </c>
      <c r="BM195" s="201" t="n"/>
    </row>
    <row r="196" hidden="1" outlineLevel="1" s="191">
      <c r="A196" s="506">
        <f>A195</f>
        <v/>
      </c>
      <c r="P196" s="628" t="n"/>
      <c r="Q196" s="628" t="n"/>
      <c r="R196" s="628" t="n"/>
      <c r="S196" s="628" t="n"/>
      <c r="T196" s="628" t="n"/>
      <c r="U196" s="628" t="n"/>
      <c r="V196" s="628" t="n"/>
      <c r="W196" s="628" t="n"/>
      <c r="X196" s="628" t="n"/>
      <c r="Y196" s="650" t="n"/>
      <c r="Z196" s="650" t="n"/>
      <c r="AA196" s="650" t="n"/>
      <c r="AB196" s="650" t="n"/>
      <c r="AC196" s="613" t="n"/>
      <c r="AD196" s="613" t="n"/>
      <c r="AE196" s="613" t="n"/>
      <c r="AF196" s="613" t="n"/>
      <c r="AG196" s="626" t="n"/>
      <c r="AH196" s="626" t="n"/>
      <c r="AI196" s="626" t="n"/>
      <c r="AJ196" s="626" t="n"/>
      <c r="AK196" s="626" t="n"/>
      <c r="AL196" s="626" t="n"/>
      <c r="AM196" s="626" t="n"/>
      <c r="AN196" s="626" t="n"/>
      <c r="AO196" s="626" t="n"/>
      <c r="AP196" s="369" t="n"/>
      <c r="AQ196" s="369" t="n"/>
      <c r="AR196" s="369" t="n"/>
      <c r="AS196" s="369" t="n"/>
      <c r="AT196" s="370" t="n"/>
      <c r="AU196" s="370" t="n"/>
      <c r="AV196" s="370" t="n"/>
      <c r="AW196" s="370" t="n"/>
      <c r="BJ196">
        <f>O196</f>
        <v/>
      </c>
      <c r="BK196">
        <f>SUM(AG196:AW196)</f>
        <v/>
      </c>
      <c r="BL196" s="531">
        <f>BJ196-BK196</f>
        <v/>
      </c>
      <c r="BM196" s="201" t="n"/>
    </row>
    <row r="197" hidden="1" outlineLevel="1" s="191">
      <c r="A197" s="506">
        <f>A196</f>
        <v/>
      </c>
      <c r="P197" s="628" t="n"/>
      <c r="Q197" s="628" t="n"/>
      <c r="R197" s="628" t="n"/>
      <c r="S197" s="628" t="n"/>
      <c r="T197" s="628" t="n"/>
      <c r="U197" s="628" t="n"/>
      <c r="V197" s="628" t="n"/>
      <c r="W197" s="628" t="n"/>
      <c r="X197" s="628" t="n"/>
      <c r="Y197" s="650" t="n"/>
      <c r="Z197" s="650" t="n"/>
      <c r="AA197" s="650" t="n"/>
      <c r="AB197" s="650" t="n"/>
      <c r="AC197" s="613" t="n"/>
      <c r="AD197" s="613" t="n"/>
      <c r="AE197" s="613" t="n"/>
      <c r="AF197" s="613" t="n"/>
      <c r="AG197" s="626" t="n"/>
      <c r="AH197" s="626" t="n"/>
      <c r="AI197" s="626" t="n"/>
      <c r="AJ197" s="626" t="n"/>
      <c r="AK197" s="626" t="n"/>
      <c r="AL197" s="626" t="n"/>
      <c r="AM197" s="626" t="n"/>
      <c r="AN197" s="626" t="n"/>
      <c r="AO197" s="626" t="n"/>
      <c r="AP197" s="369" t="n"/>
      <c r="AQ197" s="369" t="n"/>
      <c r="AR197" s="369" t="n"/>
      <c r="AS197" s="369" t="n"/>
      <c r="AT197" s="370" t="n"/>
      <c r="AU197" s="370" t="n"/>
      <c r="AV197" s="370" t="n"/>
      <c r="AW197" s="370" t="n"/>
      <c r="BJ197">
        <f>O197</f>
        <v/>
      </c>
      <c r="BK197">
        <f>SUM(AG197:AW197)</f>
        <v/>
      </c>
      <c r="BL197" s="531">
        <f>BJ197-BK197</f>
        <v/>
      </c>
      <c r="BM197" s="201" t="n"/>
    </row>
    <row r="198" hidden="1" outlineLevel="1" s="191">
      <c r="A198" s="264">
        <f>A100</f>
        <v/>
      </c>
      <c r="P198" s="628" t="n"/>
      <c r="Q198" s="628" t="n"/>
      <c r="R198" s="628" t="n"/>
      <c r="S198" s="628" t="n"/>
      <c r="T198" s="628" t="n"/>
      <c r="U198" s="628" t="n"/>
      <c r="V198" s="628" t="n"/>
      <c r="W198" s="628" t="n"/>
      <c r="X198" s="628" t="n"/>
      <c r="Y198" s="650" t="n"/>
      <c r="Z198" s="650" t="n"/>
      <c r="AA198" s="650" t="n"/>
      <c r="AB198" s="650" t="n"/>
      <c r="AC198" s="613" t="n"/>
      <c r="AD198" s="613" t="n"/>
      <c r="AE198" s="613" t="n"/>
      <c r="AF198" s="613" t="n"/>
      <c r="AG198" s="626" t="n"/>
      <c r="AH198" s="626" t="n"/>
      <c r="AI198" s="626" t="n"/>
      <c r="AJ198" s="626" t="n"/>
      <c r="AK198" s="626" t="n"/>
      <c r="AL198" s="626" t="n"/>
      <c r="AM198" s="626" t="n"/>
      <c r="AN198" s="626" t="n"/>
      <c r="AO198" s="626" t="n"/>
      <c r="AP198" s="369" t="n"/>
      <c r="AQ198" s="369" t="n"/>
      <c r="AR198" s="369" t="n"/>
      <c r="AS198" s="369" t="n"/>
      <c r="AT198" s="370" t="n"/>
      <c r="AU198" s="370" t="n"/>
      <c r="AV198" s="370" t="n"/>
      <c r="AW198" s="370" t="n"/>
      <c r="BJ198">
        <f>O198</f>
        <v/>
      </c>
      <c r="BK198">
        <f>SUM(AG198:AW198)</f>
        <v/>
      </c>
      <c r="BL198" s="531">
        <f>BJ198-BK198</f>
        <v/>
      </c>
      <c r="BM198" s="201" t="n"/>
    </row>
    <row r="199" collapsed="1" s="191">
      <c r="A199" s="507">
        <f>A101</f>
        <v/>
      </c>
      <c r="P199" s="628" t="n"/>
      <c r="Q199" s="628" t="n"/>
      <c r="R199" s="628" t="n"/>
      <c r="S199" s="628" t="n"/>
      <c r="T199" s="628" t="n"/>
      <c r="U199" s="628" t="n"/>
      <c r="V199" s="628" t="n"/>
      <c r="W199" s="628" t="n"/>
      <c r="X199" s="628" t="n"/>
      <c r="Y199" s="650" t="n"/>
      <c r="Z199" s="650" t="n"/>
      <c r="AA199" s="650" t="n"/>
      <c r="AB199" s="650" t="n"/>
      <c r="AC199" s="613" t="n"/>
      <c r="AD199" s="613" t="n"/>
      <c r="AE199" s="613" t="n"/>
      <c r="AF199" s="613" t="n"/>
      <c r="AG199" s="626" t="n"/>
      <c r="AH199" s="626" t="n"/>
      <c r="AI199" s="626" t="n"/>
      <c r="AJ199" s="626" t="n"/>
      <c r="AK199" s="626" t="n"/>
      <c r="AL199" s="626" t="n"/>
      <c r="AM199" s="626" t="n"/>
      <c r="AN199" s="626" t="n"/>
      <c r="AO199" s="626" t="n"/>
      <c r="AP199" s="369" t="n"/>
      <c r="AQ199" s="369" t="n"/>
      <c r="AR199" s="369" t="n"/>
      <c r="AS199" s="369" t="n"/>
      <c r="AT199" s="370" t="n"/>
      <c r="AU199" s="370" t="n"/>
      <c r="AV199" s="370" t="n"/>
      <c r="AW199" s="370" t="n"/>
      <c r="BJ199">
        <f>O199</f>
        <v/>
      </c>
      <c r="BK199">
        <f>SUM(AG199:AW199)</f>
        <v/>
      </c>
      <c r="BL199" s="531">
        <f>BJ199-BK199</f>
        <v/>
      </c>
      <c r="BM199" s="201">
        <f>SUM(BL200:BL298)</f>
        <v/>
      </c>
    </row>
    <row r="200" ht="15.6" customHeight="1" s="191">
      <c r="A200" s="259">
        <f>II_Baza_BDP!A3</f>
        <v/>
      </c>
      <c r="B200" s="260" t="n"/>
      <c r="C200" s="261" t="n"/>
      <c r="D200" s="276" t="n"/>
      <c r="E200" s="277">
        <f>VLOOKUP(A200,Listy!A:C,2,FALSE) &amp; "   :  " &amp; VLOOKUP(A200,Listy!A:C,3,FALSE)</f>
        <v/>
      </c>
      <c r="F200" s="538" t="n"/>
      <c r="P200" s="628" t="n"/>
      <c r="Q200" s="628" t="n"/>
      <c r="R200" s="628" t="n"/>
      <c r="S200" s="628" t="n"/>
      <c r="T200" s="628" t="n"/>
      <c r="U200" s="628" t="n"/>
      <c r="V200" s="628" t="n"/>
      <c r="W200" s="628" t="n"/>
      <c r="X200" s="628" t="n"/>
      <c r="Y200" s="650" t="n"/>
      <c r="Z200" s="650" t="n"/>
      <c r="AA200" s="650" t="n"/>
      <c r="AB200" s="650" t="n"/>
      <c r="AC200" s="613" t="n"/>
      <c r="AD200" s="613" t="n"/>
      <c r="AE200" s="613" t="n"/>
      <c r="AF200" s="613" t="n"/>
      <c r="AG200" s="626" t="n"/>
      <c r="AH200" s="626" t="n"/>
      <c r="AI200" s="626" t="n"/>
      <c r="AJ200" s="626" t="n"/>
      <c r="AK200" s="626" t="n"/>
      <c r="AL200" s="626" t="n"/>
      <c r="AM200" s="626" t="n"/>
      <c r="AN200" s="626" t="n"/>
      <c r="AO200" s="626" t="n"/>
      <c r="AP200" s="369" t="n"/>
      <c r="AQ200" s="369" t="n"/>
      <c r="AR200" s="369" t="n"/>
      <c r="AS200" s="369" t="n"/>
      <c r="AT200" s="370" t="n"/>
      <c r="AU200" s="370" t="n"/>
      <c r="AV200" s="370" t="n"/>
      <c r="AW200" s="370" t="n"/>
      <c r="BJ200">
        <f>O200</f>
        <v/>
      </c>
      <c r="BK200">
        <f>SUM(AG200:AW200)</f>
        <v/>
      </c>
      <c r="BL200" s="531">
        <f>BJ200-BK200</f>
        <v/>
      </c>
      <c r="BM200" s="201">
        <f>SUM(BL201:BL299)</f>
        <v/>
      </c>
    </row>
    <row r="201" hidden="1" outlineLevel="1" s="191">
      <c r="A201">
        <f>II_Baza_BDP!A4</f>
        <v/>
      </c>
      <c r="B201">
        <f>II_Baza_BDP!B4</f>
        <v/>
      </c>
      <c r="C201">
        <f>II_Baza_BDP!C4</f>
        <v/>
      </c>
      <c r="D201">
        <f>II_Baza_BDP!D4</f>
        <v/>
      </c>
      <c r="E201">
        <f>II_Baza_BDP!E4</f>
        <v/>
      </c>
      <c r="F201">
        <f>II_Baza_BDP!F4</f>
        <v/>
      </c>
      <c r="G201">
        <f>II_Baza_BDP!G4</f>
        <v/>
      </c>
      <c r="H201">
        <f>II_Baza_BDP!H4</f>
        <v/>
      </c>
      <c r="I201">
        <f>II_Baza_BDP!I4</f>
        <v/>
      </c>
      <c r="J201">
        <f>II_Baza_BDP!J4</f>
        <v/>
      </c>
      <c r="K201" s="672" t="n"/>
      <c r="L201" s="672" t="n"/>
      <c r="M201">
        <f>II_Baza_BDP!M4</f>
        <v/>
      </c>
      <c r="N201">
        <f>II_Baza_BDP!N4</f>
        <v/>
      </c>
      <c r="O201">
        <f>II_Baza_BDP!O4</f>
        <v/>
      </c>
      <c r="P201" s="628">
        <f>II_Baza_BDP!P4</f>
        <v/>
      </c>
      <c r="Q201" s="628">
        <f>II_Baza_BDP!Q4</f>
        <v/>
      </c>
      <c r="R201" s="628">
        <f>II_Baza_BDP!R4</f>
        <v/>
      </c>
      <c r="S201" s="628">
        <f>II_Baza_BDP!S4</f>
        <v/>
      </c>
      <c r="T201" s="628">
        <f>II_Baza_BDP!T4</f>
        <v/>
      </c>
      <c r="U201" s="628">
        <f>II_Baza_BDP!U4</f>
        <v/>
      </c>
      <c r="V201" s="628">
        <f>II_Baza_BDP!V4</f>
        <v/>
      </c>
      <c r="W201" s="628">
        <f>II_Baza_BDP!W4</f>
        <v/>
      </c>
      <c r="X201" s="628">
        <f>II_Baza_BDP!X4</f>
        <v/>
      </c>
      <c r="Y201" s="650">
        <f>II_Baza_BDP!Y4</f>
        <v/>
      </c>
      <c r="Z201" s="650">
        <f>II_Baza_BDP!Z4</f>
        <v/>
      </c>
      <c r="AA201" s="650">
        <f>II_Baza_BDP!AA4</f>
        <v/>
      </c>
      <c r="AB201" s="650">
        <f>II_Baza_BDP!AB4</f>
        <v/>
      </c>
      <c r="AC201" s="613">
        <f>II_Baza_BDP!AC4</f>
        <v/>
      </c>
      <c r="AD201" s="613">
        <f>II_Baza_BDP!AD4</f>
        <v/>
      </c>
      <c r="AE201" s="613">
        <f>II_Baza_BDP!AE4</f>
        <v/>
      </c>
      <c r="AF201" s="613">
        <f>II_Baza_BDP!AF4</f>
        <v/>
      </c>
      <c r="AG201" s="626">
        <f>II_Baza_BDP!AG4</f>
        <v/>
      </c>
      <c r="AH201" s="626">
        <f>II_Baza_BDP!AH4</f>
        <v/>
      </c>
      <c r="AI201" s="626">
        <f>II_Baza_BDP!AI4</f>
        <v/>
      </c>
      <c r="AJ201" s="626">
        <f>II_Baza_BDP!AJ4</f>
        <v/>
      </c>
      <c r="AK201" s="626">
        <f>II_Baza_BDP!AK4</f>
        <v/>
      </c>
      <c r="AL201" s="626">
        <f>II_Baza_BDP!AL4</f>
        <v/>
      </c>
      <c r="AM201" s="626">
        <f>II_Baza_BDP!AM4</f>
        <v/>
      </c>
      <c r="AN201" s="626">
        <f>II_Baza_BDP!AN4</f>
        <v/>
      </c>
      <c r="AO201" s="626">
        <f>II_Baza_BDP!AO4</f>
        <v/>
      </c>
      <c r="AP201" s="369">
        <f>II_Baza_BDP!AP4</f>
        <v/>
      </c>
      <c r="AQ201" s="369">
        <f>II_Baza_BDP!AQ4</f>
        <v/>
      </c>
      <c r="AR201" s="369">
        <f>II_Baza_BDP!AR4</f>
        <v/>
      </c>
      <c r="AS201" s="369">
        <f>II_Baza_BDP!AS4</f>
        <v/>
      </c>
      <c r="AT201" s="370">
        <f>II_Baza_BDP!AT4</f>
        <v/>
      </c>
      <c r="AU201" s="370">
        <f>II_Baza_BDP!AU4</f>
        <v/>
      </c>
      <c r="AV201" s="370">
        <f>II_Baza_BDP!AV4</f>
        <v/>
      </c>
      <c r="AW201" s="370">
        <f>II_Baza_BDP!AW4</f>
        <v/>
      </c>
      <c r="AX201">
        <f>II_Baza_BDP!AX4</f>
        <v/>
      </c>
      <c r="AY201">
        <f>II_Baza_BDP!AY4</f>
        <v/>
      </c>
      <c r="AZ201">
        <f>II_Baza_BDP!AZ4</f>
        <v/>
      </c>
      <c r="BA201">
        <f>II_Baza_BDP!BA4</f>
        <v/>
      </c>
      <c r="BB201">
        <f>II_Baza_BDP!BB4</f>
        <v/>
      </c>
      <c r="BC201">
        <f>II_Baza_BDP!BC4</f>
        <v/>
      </c>
      <c r="BD201">
        <f>II_Baza_BDP!BD4</f>
        <v/>
      </c>
      <c r="BE201">
        <f>II_Baza_BDP!BE4</f>
        <v/>
      </c>
      <c r="BF201">
        <f>II_Baza_BDP!BF4</f>
        <v/>
      </c>
      <c r="BG201">
        <f>II_Baza_BDP!BG4</f>
        <v/>
      </c>
      <c r="BH201">
        <f>II_Baza_BDP!BH4</f>
        <v/>
      </c>
      <c r="BI201">
        <f>II_Baza_BDP!BI4</f>
        <v/>
      </c>
      <c r="BJ201">
        <f>O201</f>
        <v/>
      </c>
      <c r="BK201">
        <f>SUM(AG201:AW201)</f>
        <v/>
      </c>
      <c r="BL201" s="531">
        <f>BJ201-BK201</f>
        <v/>
      </c>
      <c r="BM201" s="201" t="n"/>
    </row>
    <row r="202" hidden="1" outlineLevel="1" s="191">
      <c r="A202">
        <f>II_Baza_BDP!A5</f>
        <v/>
      </c>
      <c r="B202">
        <f>II_Baza_BDP!B5</f>
        <v/>
      </c>
      <c r="C202">
        <f>II_Baza_BDP!C5</f>
        <v/>
      </c>
      <c r="D202">
        <f>II_Baza_BDP!D5</f>
        <v/>
      </c>
      <c r="E202">
        <f>II_Baza_BDP!E5</f>
        <v/>
      </c>
      <c r="F202">
        <f>II_Baza_BDP!F5</f>
        <v/>
      </c>
      <c r="G202">
        <f>II_Baza_BDP!G5</f>
        <v/>
      </c>
      <c r="H202">
        <f>II_Baza_BDP!H5</f>
        <v/>
      </c>
      <c r="I202">
        <f>II_Baza_BDP!I5</f>
        <v/>
      </c>
      <c r="J202">
        <f>II_Baza_BDP!J5</f>
        <v/>
      </c>
      <c r="K202" s="672" t="n"/>
      <c r="L202" s="672" t="n"/>
      <c r="M202">
        <f>II_Baza_BDP!M5</f>
        <v/>
      </c>
      <c r="N202">
        <f>II_Baza_BDP!N5</f>
        <v/>
      </c>
      <c r="O202">
        <f>II_Baza_BDP!O5</f>
        <v/>
      </c>
      <c r="P202" s="628">
        <f>II_Baza_BDP!P5</f>
        <v/>
      </c>
      <c r="Q202" s="628">
        <f>II_Baza_BDP!Q5</f>
        <v/>
      </c>
      <c r="R202" s="628">
        <f>II_Baza_BDP!R5</f>
        <v/>
      </c>
      <c r="S202" s="628">
        <f>II_Baza_BDP!S5</f>
        <v/>
      </c>
      <c r="T202" s="628">
        <f>II_Baza_BDP!T5</f>
        <v/>
      </c>
      <c r="U202" s="628">
        <f>II_Baza_BDP!U5</f>
        <v/>
      </c>
      <c r="V202" s="628">
        <f>II_Baza_BDP!V5</f>
        <v/>
      </c>
      <c r="W202" s="628">
        <f>II_Baza_BDP!W5</f>
        <v/>
      </c>
      <c r="X202" s="628">
        <f>II_Baza_BDP!X5</f>
        <v/>
      </c>
      <c r="Y202" s="650">
        <f>II_Baza_BDP!Y5</f>
        <v/>
      </c>
      <c r="Z202" s="650">
        <f>II_Baza_BDP!Z5</f>
        <v/>
      </c>
      <c r="AA202" s="650">
        <f>II_Baza_BDP!AA5</f>
        <v/>
      </c>
      <c r="AB202" s="650">
        <f>II_Baza_BDP!AB5</f>
        <v/>
      </c>
      <c r="AC202" s="613">
        <f>II_Baza_BDP!AC5</f>
        <v/>
      </c>
      <c r="AD202" s="613">
        <f>II_Baza_BDP!AD5</f>
        <v/>
      </c>
      <c r="AE202" s="613">
        <f>II_Baza_BDP!AE5</f>
        <v/>
      </c>
      <c r="AF202" s="613">
        <f>II_Baza_BDP!AF5</f>
        <v/>
      </c>
      <c r="AG202" s="626">
        <f>II_Baza_BDP!AG5</f>
        <v/>
      </c>
      <c r="AH202" s="626">
        <f>II_Baza_BDP!AH5</f>
        <v/>
      </c>
      <c r="AI202" s="626">
        <f>II_Baza_BDP!AI5</f>
        <v/>
      </c>
      <c r="AJ202" s="626">
        <f>II_Baza_BDP!AJ5</f>
        <v/>
      </c>
      <c r="AK202" s="626">
        <f>II_Baza_BDP!AK5</f>
        <v/>
      </c>
      <c r="AL202" s="626">
        <f>II_Baza_BDP!AL5</f>
        <v/>
      </c>
      <c r="AM202" s="626">
        <f>II_Baza_BDP!AM5</f>
        <v/>
      </c>
      <c r="AN202" s="626">
        <f>II_Baza_BDP!AN5</f>
        <v/>
      </c>
      <c r="AO202" s="626">
        <f>II_Baza_BDP!AO5</f>
        <v/>
      </c>
      <c r="AP202" s="369">
        <f>II_Baza_BDP!AP5</f>
        <v/>
      </c>
      <c r="AQ202" s="369">
        <f>II_Baza_BDP!AQ5</f>
        <v/>
      </c>
      <c r="AR202" s="369">
        <f>II_Baza_BDP!AR5</f>
        <v/>
      </c>
      <c r="AS202" s="369">
        <f>II_Baza_BDP!AS5</f>
        <v/>
      </c>
      <c r="AT202" s="370">
        <f>II_Baza_BDP!AT5</f>
        <v/>
      </c>
      <c r="AU202" s="370">
        <f>II_Baza_BDP!AU5</f>
        <v/>
      </c>
      <c r="AV202" s="370">
        <f>II_Baza_BDP!AV5</f>
        <v/>
      </c>
      <c r="AW202" s="370">
        <f>II_Baza_BDP!AW5</f>
        <v/>
      </c>
      <c r="AX202">
        <f>II_Baza_BDP!AX5</f>
        <v/>
      </c>
      <c r="AY202">
        <f>II_Baza_BDP!AY5</f>
        <v/>
      </c>
      <c r="AZ202">
        <f>II_Baza_BDP!AZ5</f>
        <v/>
      </c>
      <c r="BA202">
        <f>II_Baza_BDP!BA5</f>
        <v/>
      </c>
      <c r="BB202">
        <f>II_Baza_BDP!BB5</f>
        <v/>
      </c>
      <c r="BC202">
        <f>II_Baza_BDP!BC5</f>
        <v/>
      </c>
      <c r="BD202">
        <f>II_Baza_BDP!BD5</f>
        <v/>
      </c>
      <c r="BE202">
        <f>II_Baza_BDP!BE5</f>
        <v/>
      </c>
      <c r="BF202">
        <f>II_Baza_BDP!BF5</f>
        <v/>
      </c>
      <c r="BG202">
        <f>II_Baza_BDP!BG5</f>
        <v/>
      </c>
      <c r="BH202">
        <f>II_Baza_BDP!BH5</f>
        <v/>
      </c>
      <c r="BI202">
        <f>II_Baza_BDP!BI5</f>
        <v/>
      </c>
      <c r="BJ202">
        <f>O202</f>
        <v/>
      </c>
      <c r="BK202">
        <f>SUM(AG202:AW202)</f>
        <v/>
      </c>
      <c r="BL202" s="531">
        <f>BJ202-BK202</f>
        <v/>
      </c>
      <c r="BM202" s="201" t="n"/>
    </row>
    <row r="203" hidden="1" outlineLevel="1" s="191">
      <c r="A203">
        <f>II_Baza_BDP!A6</f>
        <v/>
      </c>
      <c r="B203">
        <f>II_Baza_BDP!B6</f>
        <v/>
      </c>
      <c r="C203">
        <f>II_Baza_BDP!C6</f>
        <v/>
      </c>
      <c r="D203">
        <f>II_Baza_BDP!D6</f>
        <v/>
      </c>
      <c r="E203">
        <f>II_Baza_BDP!E6</f>
        <v/>
      </c>
      <c r="F203">
        <f>II_Baza_BDP!F6</f>
        <v/>
      </c>
      <c r="G203">
        <f>II_Baza_BDP!G6</f>
        <v/>
      </c>
      <c r="H203">
        <f>II_Baza_BDP!H6</f>
        <v/>
      </c>
      <c r="I203">
        <f>II_Baza_BDP!I6</f>
        <v/>
      </c>
      <c r="J203">
        <f>II_Baza_BDP!J6</f>
        <v/>
      </c>
      <c r="K203" s="672">
        <f>II_Baza_BDP!K6</f>
        <v/>
      </c>
      <c r="L203" s="672">
        <f>II_Baza_BDP!L6</f>
        <v/>
      </c>
      <c r="M203">
        <f>II_Baza_BDP!M6</f>
        <v/>
      </c>
      <c r="N203">
        <f>II_Baza_BDP!N6</f>
        <v/>
      </c>
      <c r="O203">
        <f>II_Baza_BDP!O6</f>
        <v/>
      </c>
      <c r="P203" s="628">
        <f>II_Baza_BDP!P6</f>
        <v/>
      </c>
      <c r="Q203" s="628">
        <f>II_Baza_BDP!Q6</f>
        <v/>
      </c>
      <c r="R203" s="628">
        <f>II_Baza_BDP!R6</f>
        <v/>
      </c>
      <c r="S203" s="628">
        <f>II_Baza_BDP!S6</f>
        <v/>
      </c>
      <c r="T203" s="628">
        <f>II_Baza_BDP!T6</f>
        <v/>
      </c>
      <c r="U203" s="628">
        <f>II_Baza_BDP!U6</f>
        <v/>
      </c>
      <c r="V203" s="628">
        <f>II_Baza_BDP!V6</f>
        <v/>
      </c>
      <c r="W203" s="628">
        <f>II_Baza_BDP!W6</f>
        <v/>
      </c>
      <c r="X203" s="628">
        <f>II_Baza_BDP!X6</f>
        <v/>
      </c>
      <c r="Y203" s="650">
        <f>II_Baza_BDP!Y6</f>
        <v/>
      </c>
      <c r="Z203" s="650">
        <f>II_Baza_BDP!Z6</f>
        <v/>
      </c>
      <c r="AA203" s="650">
        <f>II_Baza_BDP!AA6</f>
        <v/>
      </c>
      <c r="AB203" s="650">
        <f>II_Baza_BDP!AB6</f>
        <v/>
      </c>
      <c r="AC203" s="613">
        <f>II_Baza_BDP!AC6</f>
        <v/>
      </c>
      <c r="AD203" s="613">
        <f>II_Baza_BDP!AD6</f>
        <v/>
      </c>
      <c r="AE203" s="613">
        <f>II_Baza_BDP!AE6</f>
        <v/>
      </c>
      <c r="AF203" s="613">
        <f>II_Baza_BDP!AF6</f>
        <v/>
      </c>
      <c r="AG203" s="626">
        <f>II_Baza_BDP!AG6</f>
        <v/>
      </c>
      <c r="AH203" s="626">
        <f>II_Baza_BDP!AH6</f>
        <v/>
      </c>
      <c r="AI203" s="626">
        <f>II_Baza_BDP!AI6</f>
        <v/>
      </c>
      <c r="AJ203" s="626">
        <f>II_Baza_BDP!AJ6</f>
        <v/>
      </c>
      <c r="AK203" s="626">
        <f>II_Baza_BDP!AK6</f>
        <v/>
      </c>
      <c r="AL203" s="626">
        <f>II_Baza_BDP!AL6</f>
        <v/>
      </c>
      <c r="AM203" s="626">
        <f>II_Baza_BDP!AM6</f>
        <v/>
      </c>
      <c r="AN203" s="626">
        <f>II_Baza_BDP!AN6</f>
        <v/>
      </c>
      <c r="AO203" s="626">
        <f>II_Baza_BDP!AO6</f>
        <v/>
      </c>
      <c r="AP203" s="369">
        <f>II_Baza_BDP!AP6</f>
        <v/>
      </c>
      <c r="AQ203" s="369">
        <f>II_Baza_BDP!AQ6</f>
        <v/>
      </c>
      <c r="AR203" s="369">
        <f>II_Baza_BDP!AR6</f>
        <v/>
      </c>
      <c r="AS203" s="369">
        <f>II_Baza_BDP!AS6</f>
        <v/>
      </c>
      <c r="AT203" s="370">
        <f>II_Baza_BDP!AT6</f>
        <v/>
      </c>
      <c r="AU203" s="370">
        <f>II_Baza_BDP!AU6</f>
        <v/>
      </c>
      <c r="AV203" s="370">
        <f>II_Baza_BDP!AV6</f>
        <v/>
      </c>
      <c r="AW203" s="370">
        <f>II_Baza_BDP!AW6</f>
        <v/>
      </c>
      <c r="AX203">
        <f>II_Baza_BDP!AX6</f>
        <v/>
      </c>
      <c r="AY203">
        <f>II_Baza_BDP!AY6</f>
        <v/>
      </c>
      <c r="AZ203">
        <f>II_Baza_BDP!AZ6</f>
        <v/>
      </c>
      <c r="BA203">
        <f>II_Baza_BDP!BA6</f>
        <v/>
      </c>
      <c r="BB203">
        <f>II_Baza_BDP!BB6</f>
        <v/>
      </c>
      <c r="BC203">
        <f>II_Baza_BDP!BC6</f>
        <v/>
      </c>
      <c r="BD203">
        <f>II_Baza_BDP!BD6</f>
        <v/>
      </c>
      <c r="BE203">
        <f>II_Baza_BDP!BE6</f>
        <v/>
      </c>
      <c r="BF203">
        <f>II_Baza_BDP!BF6</f>
        <v/>
      </c>
      <c r="BG203">
        <f>II_Baza_BDP!BG6</f>
        <v/>
      </c>
      <c r="BH203">
        <f>II_Baza_BDP!BH6</f>
        <v/>
      </c>
      <c r="BI203">
        <f>II_Baza_BDP!BI6</f>
        <v/>
      </c>
      <c r="BJ203">
        <f>O203</f>
        <v/>
      </c>
      <c r="BK203">
        <f>SUM(AG203:AW203)</f>
        <v/>
      </c>
      <c r="BL203" s="531">
        <f>BJ203-BK203</f>
        <v/>
      </c>
      <c r="BM203" s="201" t="n"/>
    </row>
    <row r="204" hidden="1" outlineLevel="1" s="191">
      <c r="A204">
        <f>II_Baza_BDP!A7</f>
        <v/>
      </c>
      <c r="B204">
        <f>II_Baza_BDP!B7</f>
        <v/>
      </c>
      <c r="C204">
        <f>II_Baza_BDP!C7</f>
        <v/>
      </c>
      <c r="D204">
        <f>II_Baza_BDP!D7</f>
        <v/>
      </c>
      <c r="E204">
        <f>II_Baza_BDP!E7</f>
        <v/>
      </c>
      <c r="F204">
        <f>II_Baza_BDP!F7</f>
        <v/>
      </c>
      <c r="G204">
        <f>II_Baza_BDP!G7</f>
        <v/>
      </c>
      <c r="H204">
        <f>II_Baza_BDP!H7</f>
        <v/>
      </c>
      <c r="I204">
        <f>II_Baza_BDP!I7</f>
        <v/>
      </c>
      <c r="J204">
        <f>II_Baza_BDP!J7</f>
        <v/>
      </c>
      <c r="K204" s="672">
        <f>II_Baza_BDP!K7</f>
        <v/>
      </c>
      <c r="L204" s="672">
        <f>II_Baza_BDP!L7</f>
        <v/>
      </c>
      <c r="M204">
        <f>II_Baza_BDP!M7</f>
        <v/>
      </c>
      <c r="N204">
        <f>II_Baza_BDP!N7</f>
        <v/>
      </c>
      <c r="O204">
        <f>II_Baza_BDP!O7</f>
        <v/>
      </c>
      <c r="P204" s="628">
        <f>II_Baza_BDP!P7</f>
        <v/>
      </c>
      <c r="Q204" s="628">
        <f>II_Baza_BDP!Q7</f>
        <v/>
      </c>
      <c r="R204" s="628">
        <f>II_Baza_BDP!R7</f>
        <v/>
      </c>
      <c r="S204" s="628">
        <f>II_Baza_BDP!S7</f>
        <v/>
      </c>
      <c r="T204" s="628">
        <f>II_Baza_BDP!T7</f>
        <v/>
      </c>
      <c r="U204" s="628">
        <f>II_Baza_BDP!U7</f>
        <v/>
      </c>
      <c r="V204" s="628">
        <f>II_Baza_BDP!V7</f>
        <v/>
      </c>
      <c r="W204" s="628">
        <f>II_Baza_BDP!W7</f>
        <v/>
      </c>
      <c r="X204" s="628">
        <f>II_Baza_BDP!X7</f>
        <v/>
      </c>
      <c r="Y204" s="650">
        <f>II_Baza_BDP!Y7</f>
        <v/>
      </c>
      <c r="Z204" s="650">
        <f>II_Baza_BDP!Z7</f>
        <v/>
      </c>
      <c r="AA204" s="650">
        <f>II_Baza_BDP!AA7</f>
        <v/>
      </c>
      <c r="AB204" s="650">
        <f>II_Baza_BDP!AB7</f>
        <v/>
      </c>
      <c r="AC204" s="613">
        <f>II_Baza_BDP!AC7</f>
        <v/>
      </c>
      <c r="AD204" s="613">
        <f>II_Baza_BDP!AD7</f>
        <v/>
      </c>
      <c r="AE204" s="613">
        <f>II_Baza_BDP!AE7</f>
        <v/>
      </c>
      <c r="AF204" s="613">
        <f>II_Baza_BDP!AF7</f>
        <v/>
      </c>
      <c r="AG204" s="626">
        <f>II_Baza_BDP!AG7</f>
        <v/>
      </c>
      <c r="AH204" s="626">
        <f>II_Baza_BDP!AH7</f>
        <v/>
      </c>
      <c r="AI204" s="626">
        <f>II_Baza_BDP!AI7</f>
        <v/>
      </c>
      <c r="AJ204" s="626">
        <f>II_Baza_BDP!AJ7</f>
        <v/>
      </c>
      <c r="AK204" s="626">
        <f>II_Baza_BDP!AK7</f>
        <v/>
      </c>
      <c r="AL204" s="626">
        <f>II_Baza_BDP!AL7</f>
        <v/>
      </c>
      <c r="AM204" s="626">
        <f>II_Baza_BDP!AM7</f>
        <v/>
      </c>
      <c r="AN204" s="626">
        <f>II_Baza_BDP!AN7</f>
        <v/>
      </c>
      <c r="AO204" s="626">
        <f>II_Baza_BDP!AO7</f>
        <v/>
      </c>
      <c r="AP204" s="369">
        <f>II_Baza_BDP!AP7</f>
        <v/>
      </c>
      <c r="AQ204" s="369">
        <f>II_Baza_BDP!AQ7</f>
        <v/>
      </c>
      <c r="AR204" s="369">
        <f>II_Baza_BDP!AR7</f>
        <v/>
      </c>
      <c r="AS204" s="369">
        <f>II_Baza_BDP!AS7</f>
        <v/>
      </c>
      <c r="AT204" s="370">
        <f>II_Baza_BDP!AT7</f>
        <v/>
      </c>
      <c r="AU204" s="370">
        <f>II_Baza_BDP!AU7</f>
        <v/>
      </c>
      <c r="AV204" s="370">
        <f>II_Baza_BDP!AV7</f>
        <v/>
      </c>
      <c r="AW204" s="370">
        <f>II_Baza_BDP!AW7</f>
        <v/>
      </c>
      <c r="AX204">
        <f>II_Baza_BDP!AX7</f>
        <v/>
      </c>
      <c r="AY204">
        <f>II_Baza_BDP!AY7</f>
        <v/>
      </c>
      <c r="AZ204">
        <f>II_Baza_BDP!AZ7</f>
        <v/>
      </c>
      <c r="BA204">
        <f>II_Baza_BDP!BA7</f>
        <v/>
      </c>
      <c r="BB204">
        <f>II_Baza_BDP!BB7</f>
        <v/>
      </c>
      <c r="BC204">
        <f>II_Baza_BDP!BC7</f>
        <v/>
      </c>
      <c r="BD204">
        <f>II_Baza_BDP!BD7</f>
        <v/>
      </c>
      <c r="BE204">
        <f>II_Baza_BDP!BE7</f>
        <v/>
      </c>
      <c r="BF204">
        <f>II_Baza_BDP!BF7</f>
        <v/>
      </c>
      <c r="BG204">
        <f>II_Baza_BDP!BG7</f>
        <v/>
      </c>
      <c r="BH204">
        <f>II_Baza_BDP!BH7</f>
        <v/>
      </c>
      <c r="BI204">
        <f>II_Baza_BDP!BI7</f>
        <v/>
      </c>
      <c r="BJ204">
        <f>O204</f>
        <v/>
      </c>
      <c r="BK204">
        <f>SUM(AG204:AW204)</f>
        <v/>
      </c>
      <c r="BL204" s="531">
        <f>BJ204-BK204</f>
        <v/>
      </c>
      <c r="BM204" s="201" t="n"/>
    </row>
    <row r="205" hidden="1" outlineLevel="1" s="191">
      <c r="A205">
        <f>II_Baza_BDP!A8</f>
        <v/>
      </c>
      <c r="B205">
        <f>II_Baza_BDP!B8</f>
        <v/>
      </c>
      <c r="C205">
        <f>II_Baza_BDP!C8</f>
        <v/>
      </c>
      <c r="D205">
        <f>II_Baza_BDP!D8</f>
        <v/>
      </c>
      <c r="E205">
        <f>II_Baza_BDP!E8</f>
        <v/>
      </c>
      <c r="F205">
        <f>II_Baza_BDP!F8</f>
        <v/>
      </c>
      <c r="G205">
        <f>II_Baza_BDP!G8</f>
        <v/>
      </c>
      <c r="H205">
        <f>II_Baza_BDP!H8</f>
        <v/>
      </c>
      <c r="I205">
        <f>II_Baza_BDP!I8</f>
        <v/>
      </c>
      <c r="J205">
        <f>II_Baza_BDP!J8</f>
        <v/>
      </c>
      <c r="K205" s="672">
        <f>II_Baza_BDP!K8</f>
        <v/>
      </c>
      <c r="L205" s="672">
        <f>II_Baza_BDP!L8</f>
        <v/>
      </c>
      <c r="M205">
        <f>II_Baza_BDP!M8</f>
        <v/>
      </c>
      <c r="N205">
        <f>II_Baza_BDP!N8</f>
        <v/>
      </c>
      <c r="O205">
        <f>II_Baza_BDP!O8</f>
        <v/>
      </c>
      <c r="P205" s="628">
        <f>II_Baza_BDP!P8</f>
        <v/>
      </c>
      <c r="Q205" s="628">
        <f>II_Baza_BDP!Q8</f>
        <v/>
      </c>
      <c r="R205" s="628">
        <f>II_Baza_BDP!R8</f>
        <v/>
      </c>
      <c r="S205" s="628">
        <f>II_Baza_BDP!S8</f>
        <v/>
      </c>
      <c r="T205" s="628">
        <f>II_Baza_BDP!T8</f>
        <v/>
      </c>
      <c r="U205" s="628">
        <f>II_Baza_BDP!U8</f>
        <v/>
      </c>
      <c r="V205" s="628">
        <f>II_Baza_BDP!V8</f>
        <v/>
      </c>
      <c r="W205" s="628">
        <f>II_Baza_BDP!W8</f>
        <v/>
      </c>
      <c r="X205" s="628">
        <f>II_Baza_BDP!X8</f>
        <v/>
      </c>
      <c r="Y205" s="650">
        <f>II_Baza_BDP!Y8</f>
        <v/>
      </c>
      <c r="Z205" s="650">
        <f>II_Baza_BDP!Z8</f>
        <v/>
      </c>
      <c r="AA205" s="650">
        <f>II_Baza_BDP!AA8</f>
        <v/>
      </c>
      <c r="AB205" s="650">
        <f>II_Baza_BDP!AB8</f>
        <v/>
      </c>
      <c r="AC205" s="613">
        <f>II_Baza_BDP!AC8</f>
        <v/>
      </c>
      <c r="AD205" s="613">
        <f>II_Baza_BDP!AD8</f>
        <v/>
      </c>
      <c r="AE205" s="613">
        <f>II_Baza_BDP!AE8</f>
        <v/>
      </c>
      <c r="AF205" s="613">
        <f>II_Baza_BDP!AF8</f>
        <v/>
      </c>
      <c r="AG205" s="626">
        <f>II_Baza_BDP!AG8</f>
        <v/>
      </c>
      <c r="AH205" s="626">
        <f>II_Baza_BDP!AH8</f>
        <v/>
      </c>
      <c r="AI205" s="626">
        <f>II_Baza_BDP!AI8</f>
        <v/>
      </c>
      <c r="AJ205" s="626">
        <f>II_Baza_BDP!AJ8</f>
        <v/>
      </c>
      <c r="AK205" s="626">
        <f>II_Baza_BDP!AK8</f>
        <v/>
      </c>
      <c r="AL205" s="626">
        <f>II_Baza_BDP!AL8</f>
        <v/>
      </c>
      <c r="AM205" s="626">
        <f>II_Baza_BDP!AM8</f>
        <v/>
      </c>
      <c r="AN205" s="626">
        <f>II_Baza_BDP!AN8</f>
        <v/>
      </c>
      <c r="AO205" s="626">
        <f>II_Baza_BDP!AO8</f>
        <v/>
      </c>
      <c r="AP205" s="369">
        <f>II_Baza_BDP!AP8</f>
        <v/>
      </c>
      <c r="AQ205" s="369">
        <f>II_Baza_BDP!AQ8</f>
        <v/>
      </c>
      <c r="AR205" s="369">
        <f>II_Baza_BDP!AR8</f>
        <v/>
      </c>
      <c r="AS205" s="369">
        <f>II_Baza_BDP!AS8</f>
        <v/>
      </c>
      <c r="AT205" s="370">
        <f>II_Baza_BDP!AT8</f>
        <v/>
      </c>
      <c r="AU205" s="370">
        <f>II_Baza_BDP!AU8</f>
        <v/>
      </c>
      <c r="AV205" s="370">
        <f>II_Baza_BDP!AV8</f>
        <v/>
      </c>
      <c r="AW205" s="370">
        <f>II_Baza_BDP!AW8</f>
        <v/>
      </c>
      <c r="AX205">
        <f>II_Baza_BDP!AX8</f>
        <v/>
      </c>
      <c r="AY205">
        <f>II_Baza_BDP!AY8</f>
        <v/>
      </c>
      <c r="AZ205">
        <f>II_Baza_BDP!AZ8</f>
        <v/>
      </c>
      <c r="BA205">
        <f>II_Baza_BDP!BA8</f>
        <v/>
      </c>
      <c r="BB205">
        <f>II_Baza_BDP!BB8</f>
        <v/>
      </c>
      <c r="BC205">
        <f>II_Baza_BDP!BC8</f>
        <v/>
      </c>
      <c r="BD205">
        <f>II_Baza_BDP!BD8</f>
        <v/>
      </c>
      <c r="BE205">
        <f>II_Baza_BDP!BE8</f>
        <v/>
      </c>
      <c r="BF205">
        <f>II_Baza_BDP!BF8</f>
        <v/>
      </c>
      <c r="BG205">
        <f>II_Baza_BDP!BG8</f>
        <v/>
      </c>
      <c r="BH205">
        <f>II_Baza_BDP!BH8</f>
        <v/>
      </c>
      <c r="BI205">
        <f>II_Baza_BDP!BI8</f>
        <v/>
      </c>
      <c r="BJ205">
        <f>O205</f>
        <v/>
      </c>
      <c r="BK205">
        <f>SUM(AG205:AW205)</f>
        <v/>
      </c>
      <c r="BL205" s="531">
        <f>BJ205-BK205</f>
        <v/>
      </c>
      <c r="BM205" s="201" t="n"/>
    </row>
    <row r="206" hidden="1" outlineLevel="1" s="191">
      <c r="A206">
        <f>II_Baza_BDP!A9</f>
        <v/>
      </c>
      <c r="B206">
        <f>II_Baza_BDP!B9</f>
        <v/>
      </c>
      <c r="C206">
        <f>II_Baza_BDP!C9</f>
        <v/>
      </c>
      <c r="D206">
        <f>II_Baza_BDP!D9</f>
        <v/>
      </c>
      <c r="E206">
        <f>II_Baza_BDP!E9</f>
        <v/>
      </c>
      <c r="F206">
        <f>II_Baza_BDP!F9</f>
        <v/>
      </c>
      <c r="G206">
        <f>II_Baza_BDP!G9</f>
        <v/>
      </c>
      <c r="H206">
        <f>II_Baza_BDP!H9</f>
        <v/>
      </c>
      <c r="I206">
        <f>II_Baza_BDP!I9</f>
        <v/>
      </c>
      <c r="J206">
        <f>II_Baza_BDP!J9</f>
        <v/>
      </c>
      <c r="K206" s="672">
        <f>II_Baza_BDP!K9</f>
        <v/>
      </c>
      <c r="L206" s="672">
        <f>II_Baza_BDP!L9</f>
        <v/>
      </c>
      <c r="M206">
        <f>II_Baza_BDP!M9</f>
        <v/>
      </c>
      <c r="N206">
        <f>II_Baza_BDP!N9</f>
        <v/>
      </c>
      <c r="O206">
        <f>II_Baza_BDP!O9</f>
        <v/>
      </c>
      <c r="P206" s="628">
        <f>II_Baza_BDP!P9</f>
        <v/>
      </c>
      <c r="Q206" s="628">
        <f>II_Baza_BDP!Q9</f>
        <v/>
      </c>
      <c r="R206" s="628">
        <f>II_Baza_BDP!R9</f>
        <v/>
      </c>
      <c r="S206" s="628">
        <f>II_Baza_BDP!S9</f>
        <v/>
      </c>
      <c r="T206" s="628">
        <f>II_Baza_BDP!T9</f>
        <v/>
      </c>
      <c r="U206" s="628">
        <f>II_Baza_BDP!U9</f>
        <v/>
      </c>
      <c r="V206" s="628">
        <f>II_Baza_BDP!V9</f>
        <v/>
      </c>
      <c r="W206" s="628">
        <f>II_Baza_BDP!W9</f>
        <v/>
      </c>
      <c r="X206" s="628">
        <f>II_Baza_BDP!X9</f>
        <v/>
      </c>
      <c r="Y206" s="650">
        <f>II_Baza_BDP!Y9</f>
        <v/>
      </c>
      <c r="Z206" s="650">
        <f>II_Baza_BDP!Z9</f>
        <v/>
      </c>
      <c r="AA206" s="650">
        <f>II_Baza_BDP!AA9</f>
        <v/>
      </c>
      <c r="AB206" s="650">
        <f>II_Baza_BDP!AB9</f>
        <v/>
      </c>
      <c r="AC206" s="613">
        <f>II_Baza_BDP!AC9</f>
        <v/>
      </c>
      <c r="AD206" s="613">
        <f>II_Baza_BDP!AD9</f>
        <v/>
      </c>
      <c r="AE206" s="613">
        <f>II_Baza_BDP!AE9</f>
        <v/>
      </c>
      <c r="AF206" s="613">
        <f>II_Baza_BDP!AF9</f>
        <v/>
      </c>
      <c r="AG206" s="626">
        <f>II_Baza_BDP!AG9</f>
        <v/>
      </c>
      <c r="AH206" s="626">
        <f>II_Baza_BDP!AH9</f>
        <v/>
      </c>
      <c r="AI206" s="626">
        <f>II_Baza_BDP!AI9</f>
        <v/>
      </c>
      <c r="AJ206" s="626">
        <f>II_Baza_BDP!AJ9</f>
        <v/>
      </c>
      <c r="AK206" s="626">
        <f>II_Baza_BDP!AK9</f>
        <v/>
      </c>
      <c r="AL206" s="626">
        <f>II_Baza_BDP!AL9</f>
        <v/>
      </c>
      <c r="AM206" s="626">
        <f>II_Baza_BDP!AM9</f>
        <v/>
      </c>
      <c r="AN206" s="626">
        <f>II_Baza_BDP!AN9</f>
        <v/>
      </c>
      <c r="AO206" s="626">
        <f>II_Baza_BDP!AO9</f>
        <v/>
      </c>
      <c r="AP206" s="369">
        <f>II_Baza_BDP!AP9</f>
        <v/>
      </c>
      <c r="AQ206" s="369">
        <f>II_Baza_BDP!AQ9</f>
        <v/>
      </c>
      <c r="AR206" s="369">
        <f>II_Baza_BDP!AR9</f>
        <v/>
      </c>
      <c r="AS206" s="369">
        <f>II_Baza_BDP!AS9</f>
        <v/>
      </c>
      <c r="AT206" s="370">
        <f>II_Baza_BDP!AT9</f>
        <v/>
      </c>
      <c r="AU206" s="370">
        <f>II_Baza_BDP!AU9</f>
        <v/>
      </c>
      <c r="AV206" s="370">
        <f>II_Baza_BDP!AV9</f>
        <v/>
      </c>
      <c r="AW206" s="370">
        <f>II_Baza_BDP!AW9</f>
        <v/>
      </c>
      <c r="AX206">
        <f>II_Baza_BDP!AX9</f>
        <v/>
      </c>
      <c r="AY206">
        <f>II_Baza_BDP!AY9</f>
        <v/>
      </c>
      <c r="AZ206">
        <f>II_Baza_BDP!AZ9</f>
        <v/>
      </c>
      <c r="BA206">
        <f>II_Baza_BDP!BA9</f>
        <v/>
      </c>
      <c r="BB206">
        <f>II_Baza_BDP!BB9</f>
        <v/>
      </c>
      <c r="BC206">
        <f>II_Baza_BDP!BC9</f>
        <v/>
      </c>
      <c r="BD206">
        <f>II_Baza_BDP!BD9</f>
        <v/>
      </c>
      <c r="BE206">
        <f>II_Baza_BDP!BE9</f>
        <v/>
      </c>
      <c r="BF206">
        <f>II_Baza_BDP!BF9</f>
        <v/>
      </c>
      <c r="BG206">
        <f>II_Baza_BDP!BG9</f>
        <v/>
      </c>
      <c r="BH206">
        <f>II_Baza_BDP!BH9</f>
        <v/>
      </c>
      <c r="BI206">
        <f>II_Baza_BDP!BI9</f>
        <v/>
      </c>
      <c r="BJ206">
        <f>O206</f>
        <v/>
      </c>
      <c r="BK206">
        <f>SUM(AG206:AW206)</f>
        <v/>
      </c>
      <c r="BL206" s="531">
        <f>BJ206-BK206</f>
        <v/>
      </c>
      <c r="BM206" s="201" t="n"/>
    </row>
    <row r="207" hidden="1" outlineLevel="1" s="191">
      <c r="A207">
        <f>II_Baza_BDP!A10</f>
        <v/>
      </c>
      <c r="B207">
        <f>II_Baza_BDP!B10</f>
        <v/>
      </c>
      <c r="C207">
        <f>II_Baza_BDP!C10</f>
        <v/>
      </c>
      <c r="D207">
        <f>II_Baza_BDP!D10</f>
        <v/>
      </c>
      <c r="E207">
        <f>II_Baza_BDP!E10</f>
        <v/>
      </c>
      <c r="F207">
        <f>II_Baza_BDP!F10</f>
        <v/>
      </c>
      <c r="G207">
        <f>II_Baza_BDP!G10</f>
        <v/>
      </c>
      <c r="H207">
        <f>II_Baza_BDP!H10</f>
        <v/>
      </c>
      <c r="I207">
        <f>II_Baza_BDP!I10</f>
        <v/>
      </c>
      <c r="J207">
        <f>II_Baza_BDP!J10</f>
        <v/>
      </c>
      <c r="K207" s="672">
        <f>II_Baza_BDP!K10</f>
        <v/>
      </c>
      <c r="L207" s="672">
        <f>II_Baza_BDP!L10</f>
        <v/>
      </c>
      <c r="M207">
        <f>II_Baza_BDP!M10</f>
        <v/>
      </c>
      <c r="N207">
        <f>II_Baza_BDP!N10</f>
        <v/>
      </c>
      <c r="O207">
        <f>II_Baza_BDP!O10</f>
        <v/>
      </c>
      <c r="P207" s="628">
        <f>II_Baza_BDP!P10</f>
        <v/>
      </c>
      <c r="Q207" s="628">
        <f>II_Baza_BDP!Q10</f>
        <v/>
      </c>
      <c r="R207" s="628">
        <f>II_Baza_BDP!R10</f>
        <v/>
      </c>
      <c r="S207" s="628">
        <f>II_Baza_BDP!S10</f>
        <v/>
      </c>
      <c r="T207" s="628">
        <f>II_Baza_BDP!T10</f>
        <v/>
      </c>
      <c r="U207" s="628">
        <f>II_Baza_BDP!U10</f>
        <v/>
      </c>
      <c r="V207" s="628">
        <f>II_Baza_BDP!V10</f>
        <v/>
      </c>
      <c r="W207" s="628">
        <f>II_Baza_BDP!W10</f>
        <v/>
      </c>
      <c r="X207" s="628">
        <f>II_Baza_BDP!X10</f>
        <v/>
      </c>
      <c r="Y207" s="650">
        <f>II_Baza_BDP!Y10</f>
        <v/>
      </c>
      <c r="Z207" s="650">
        <f>II_Baza_BDP!Z10</f>
        <v/>
      </c>
      <c r="AA207" s="650">
        <f>II_Baza_BDP!AA10</f>
        <v/>
      </c>
      <c r="AB207" s="650">
        <f>II_Baza_BDP!AB10</f>
        <v/>
      </c>
      <c r="AC207" s="613">
        <f>II_Baza_BDP!AC10</f>
        <v/>
      </c>
      <c r="AD207" s="613">
        <f>II_Baza_BDP!AD10</f>
        <v/>
      </c>
      <c r="AE207" s="613">
        <f>II_Baza_BDP!AE10</f>
        <v/>
      </c>
      <c r="AF207" s="613">
        <f>II_Baza_BDP!AF10</f>
        <v/>
      </c>
      <c r="AG207" s="626">
        <f>II_Baza_BDP!AG10</f>
        <v/>
      </c>
      <c r="AH207" s="626">
        <f>II_Baza_BDP!AH10</f>
        <v/>
      </c>
      <c r="AI207" s="626">
        <f>II_Baza_BDP!AI10</f>
        <v/>
      </c>
      <c r="AJ207" s="626">
        <f>II_Baza_BDP!AJ10</f>
        <v/>
      </c>
      <c r="AK207" s="626">
        <f>II_Baza_BDP!AK10</f>
        <v/>
      </c>
      <c r="AL207" s="626">
        <f>II_Baza_BDP!AL10</f>
        <v/>
      </c>
      <c r="AM207" s="626">
        <f>II_Baza_BDP!AM10</f>
        <v/>
      </c>
      <c r="AN207" s="626">
        <f>II_Baza_BDP!AN10</f>
        <v/>
      </c>
      <c r="AO207" s="626">
        <f>II_Baza_BDP!AO10</f>
        <v/>
      </c>
      <c r="AP207" s="369">
        <f>II_Baza_BDP!AP10</f>
        <v/>
      </c>
      <c r="AQ207" s="369">
        <f>II_Baza_BDP!AQ10</f>
        <v/>
      </c>
      <c r="AR207" s="369">
        <f>II_Baza_BDP!AR10</f>
        <v/>
      </c>
      <c r="AS207" s="369">
        <f>II_Baza_BDP!AS10</f>
        <v/>
      </c>
      <c r="AT207" s="370">
        <f>II_Baza_BDP!AT10</f>
        <v/>
      </c>
      <c r="AU207" s="370">
        <f>II_Baza_BDP!AU10</f>
        <v/>
      </c>
      <c r="AV207" s="370">
        <f>II_Baza_BDP!AV10</f>
        <v/>
      </c>
      <c r="AW207" s="370">
        <f>II_Baza_BDP!AW10</f>
        <v/>
      </c>
      <c r="AX207">
        <f>II_Baza_BDP!AX10</f>
        <v/>
      </c>
      <c r="AY207">
        <f>II_Baza_BDP!AY10</f>
        <v/>
      </c>
      <c r="AZ207">
        <f>II_Baza_BDP!AZ10</f>
        <v/>
      </c>
      <c r="BA207">
        <f>II_Baza_BDP!BA10</f>
        <v/>
      </c>
      <c r="BB207">
        <f>II_Baza_BDP!BB10</f>
        <v/>
      </c>
      <c r="BC207">
        <f>II_Baza_BDP!BC10</f>
        <v/>
      </c>
      <c r="BD207">
        <f>II_Baza_BDP!BD10</f>
        <v/>
      </c>
      <c r="BE207">
        <f>II_Baza_BDP!BE10</f>
        <v/>
      </c>
      <c r="BF207">
        <f>II_Baza_BDP!BF10</f>
        <v/>
      </c>
      <c r="BG207">
        <f>II_Baza_BDP!BG10</f>
        <v/>
      </c>
      <c r="BH207">
        <f>II_Baza_BDP!BH10</f>
        <v/>
      </c>
      <c r="BI207">
        <f>II_Baza_BDP!BI10</f>
        <v/>
      </c>
      <c r="BJ207">
        <f>O207</f>
        <v/>
      </c>
      <c r="BK207">
        <f>SUM(AG207:AW207)</f>
        <v/>
      </c>
      <c r="BL207" s="531">
        <f>BJ207-BK207</f>
        <v/>
      </c>
      <c r="BM207" s="201" t="n"/>
    </row>
    <row r="208" hidden="1" outlineLevel="1" s="191">
      <c r="A208">
        <f>II_Baza_BDP!A11</f>
        <v/>
      </c>
      <c r="B208">
        <f>II_Baza_BDP!B11</f>
        <v/>
      </c>
      <c r="C208">
        <f>II_Baza_BDP!C11</f>
        <v/>
      </c>
      <c r="D208">
        <f>II_Baza_BDP!D11</f>
        <v/>
      </c>
      <c r="E208">
        <f>II_Baza_BDP!E11</f>
        <v/>
      </c>
      <c r="F208">
        <f>II_Baza_BDP!F11</f>
        <v/>
      </c>
      <c r="G208">
        <f>II_Baza_BDP!G11</f>
        <v/>
      </c>
      <c r="H208">
        <f>II_Baza_BDP!H11</f>
        <v/>
      </c>
      <c r="I208">
        <f>II_Baza_BDP!I11</f>
        <v/>
      </c>
      <c r="J208">
        <f>II_Baza_BDP!J11</f>
        <v/>
      </c>
      <c r="K208" s="672">
        <f>II_Baza_BDP!K11</f>
        <v/>
      </c>
      <c r="L208" s="672">
        <f>II_Baza_BDP!L11</f>
        <v/>
      </c>
      <c r="M208">
        <f>II_Baza_BDP!M11</f>
        <v/>
      </c>
      <c r="N208">
        <f>II_Baza_BDP!N11</f>
        <v/>
      </c>
      <c r="O208">
        <f>II_Baza_BDP!O11</f>
        <v/>
      </c>
      <c r="P208" s="628">
        <f>II_Baza_BDP!P11</f>
        <v/>
      </c>
      <c r="Q208" s="628">
        <f>II_Baza_BDP!Q11</f>
        <v/>
      </c>
      <c r="R208" s="628">
        <f>II_Baza_BDP!R11</f>
        <v/>
      </c>
      <c r="S208" s="628">
        <f>II_Baza_BDP!S11</f>
        <v/>
      </c>
      <c r="T208" s="628">
        <f>II_Baza_BDP!T11</f>
        <v/>
      </c>
      <c r="U208" s="628">
        <f>II_Baza_BDP!U11</f>
        <v/>
      </c>
      <c r="V208" s="628">
        <f>II_Baza_BDP!V11</f>
        <v/>
      </c>
      <c r="W208" s="628">
        <f>II_Baza_BDP!W11</f>
        <v/>
      </c>
      <c r="X208" s="628">
        <f>II_Baza_BDP!X11</f>
        <v/>
      </c>
      <c r="Y208" s="650">
        <f>II_Baza_BDP!Y11</f>
        <v/>
      </c>
      <c r="Z208" s="650">
        <f>II_Baza_BDP!Z11</f>
        <v/>
      </c>
      <c r="AA208" s="650">
        <f>II_Baza_BDP!AA11</f>
        <v/>
      </c>
      <c r="AB208" s="650">
        <f>II_Baza_BDP!AB11</f>
        <v/>
      </c>
      <c r="AC208" s="613">
        <f>II_Baza_BDP!AC11</f>
        <v/>
      </c>
      <c r="AD208" s="613">
        <f>II_Baza_BDP!AD11</f>
        <v/>
      </c>
      <c r="AE208" s="613">
        <f>II_Baza_BDP!AE11</f>
        <v/>
      </c>
      <c r="AF208" s="613">
        <f>II_Baza_BDP!AF11</f>
        <v/>
      </c>
      <c r="AG208" s="626">
        <f>II_Baza_BDP!AG11</f>
        <v/>
      </c>
      <c r="AH208" s="626">
        <f>II_Baza_BDP!AH11</f>
        <v/>
      </c>
      <c r="AI208" s="626">
        <f>II_Baza_BDP!AI11</f>
        <v/>
      </c>
      <c r="AJ208" s="626">
        <f>II_Baza_BDP!AJ11</f>
        <v/>
      </c>
      <c r="AK208" s="626">
        <f>II_Baza_BDP!AK11</f>
        <v/>
      </c>
      <c r="AL208" s="626">
        <f>II_Baza_BDP!AL11</f>
        <v/>
      </c>
      <c r="AM208" s="626">
        <f>II_Baza_BDP!AM11</f>
        <v/>
      </c>
      <c r="AN208" s="626">
        <f>II_Baza_BDP!AN11</f>
        <v/>
      </c>
      <c r="AO208" s="626">
        <f>II_Baza_BDP!AO11</f>
        <v/>
      </c>
      <c r="AP208" s="369">
        <f>II_Baza_BDP!AP11</f>
        <v/>
      </c>
      <c r="AQ208" s="369">
        <f>II_Baza_BDP!AQ11</f>
        <v/>
      </c>
      <c r="AR208" s="369">
        <f>II_Baza_BDP!AR11</f>
        <v/>
      </c>
      <c r="AS208" s="369">
        <f>II_Baza_BDP!AS11</f>
        <v/>
      </c>
      <c r="AT208" s="370">
        <f>II_Baza_BDP!AT11</f>
        <v/>
      </c>
      <c r="AU208" s="370">
        <f>II_Baza_BDP!AU11</f>
        <v/>
      </c>
      <c r="AV208" s="370">
        <f>II_Baza_BDP!AV11</f>
        <v/>
      </c>
      <c r="AW208" s="370">
        <f>II_Baza_BDP!AW11</f>
        <v/>
      </c>
      <c r="AX208">
        <f>II_Baza_BDP!AX11</f>
        <v/>
      </c>
      <c r="AY208">
        <f>II_Baza_BDP!AY11</f>
        <v/>
      </c>
      <c r="AZ208">
        <f>II_Baza_BDP!AZ11</f>
        <v/>
      </c>
      <c r="BA208">
        <f>II_Baza_BDP!BA11</f>
        <v/>
      </c>
      <c r="BB208">
        <f>II_Baza_BDP!BB11</f>
        <v/>
      </c>
      <c r="BC208">
        <f>II_Baza_BDP!BC11</f>
        <v/>
      </c>
      <c r="BD208">
        <f>II_Baza_BDP!BD11</f>
        <v/>
      </c>
      <c r="BE208">
        <f>II_Baza_BDP!BE11</f>
        <v/>
      </c>
      <c r="BF208">
        <f>II_Baza_BDP!BF11</f>
        <v/>
      </c>
      <c r="BG208">
        <f>II_Baza_BDP!BG11</f>
        <v/>
      </c>
      <c r="BH208">
        <f>II_Baza_BDP!BH11</f>
        <v/>
      </c>
      <c r="BI208">
        <f>II_Baza_BDP!BI11</f>
        <v/>
      </c>
      <c r="BJ208">
        <f>O208</f>
        <v/>
      </c>
      <c r="BK208">
        <f>SUM(AG208:AW208)</f>
        <v/>
      </c>
      <c r="BL208" s="531">
        <f>BJ208-BK208</f>
        <v/>
      </c>
      <c r="BM208" s="201" t="n"/>
    </row>
    <row r="209" hidden="1" outlineLevel="1" s="191">
      <c r="A209">
        <f>II_Baza_BDP!A12</f>
        <v/>
      </c>
      <c r="B209">
        <f>II_Baza_BDP!B12</f>
        <v/>
      </c>
      <c r="C209">
        <f>II_Baza_BDP!C12</f>
        <v/>
      </c>
      <c r="D209">
        <f>II_Baza_BDP!D12</f>
        <v/>
      </c>
      <c r="E209">
        <f>II_Baza_BDP!E12</f>
        <v/>
      </c>
      <c r="F209">
        <f>II_Baza_BDP!F12</f>
        <v/>
      </c>
      <c r="G209">
        <f>II_Baza_BDP!G12</f>
        <v/>
      </c>
      <c r="H209">
        <f>II_Baza_BDP!H12</f>
        <v/>
      </c>
      <c r="I209">
        <f>II_Baza_BDP!I12</f>
        <v/>
      </c>
      <c r="J209">
        <f>II_Baza_BDP!J12</f>
        <v/>
      </c>
      <c r="K209" s="672">
        <f>II_Baza_BDP!K12</f>
        <v/>
      </c>
      <c r="L209" s="672">
        <f>II_Baza_BDP!L12</f>
        <v/>
      </c>
      <c r="M209">
        <f>II_Baza_BDP!M12</f>
        <v/>
      </c>
      <c r="N209">
        <f>II_Baza_BDP!N12</f>
        <v/>
      </c>
      <c r="O209">
        <f>II_Baza_BDP!O12</f>
        <v/>
      </c>
      <c r="P209" s="628">
        <f>II_Baza_BDP!P12</f>
        <v/>
      </c>
      <c r="Q209" s="628">
        <f>II_Baza_BDP!Q12</f>
        <v/>
      </c>
      <c r="R209" s="628">
        <f>II_Baza_BDP!R12</f>
        <v/>
      </c>
      <c r="S209" s="628">
        <f>II_Baza_BDP!S12</f>
        <v/>
      </c>
      <c r="T209" s="628">
        <f>II_Baza_BDP!T12</f>
        <v/>
      </c>
      <c r="U209" s="628">
        <f>II_Baza_BDP!U12</f>
        <v/>
      </c>
      <c r="V209" s="628">
        <f>II_Baza_BDP!V12</f>
        <v/>
      </c>
      <c r="W209" s="628">
        <f>II_Baza_BDP!W12</f>
        <v/>
      </c>
      <c r="X209" s="628">
        <f>II_Baza_BDP!X12</f>
        <v/>
      </c>
      <c r="Y209" s="650">
        <f>II_Baza_BDP!Y12</f>
        <v/>
      </c>
      <c r="Z209" s="650">
        <f>II_Baza_BDP!Z12</f>
        <v/>
      </c>
      <c r="AA209" s="650">
        <f>II_Baza_BDP!AA12</f>
        <v/>
      </c>
      <c r="AB209" s="650">
        <f>II_Baza_BDP!AB12</f>
        <v/>
      </c>
      <c r="AC209" s="613">
        <f>II_Baza_BDP!AC12</f>
        <v/>
      </c>
      <c r="AD209" s="613">
        <f>II_Baza_BDP!AD12</f>
        <v/>
      </c>
      <c r="AE209" s="613">
        <f>II_Baza_BDP!AE12</f>
        <v/>
      </c>
      <c r="AF209" s="613">
        <f>II_Baza_BDP!AF12</f>
        <v/>
      </c>
      <c r="AG209" s="626">
        <f>II_Baza_BDP!AG12</f>
        <v/>
      </c>
      <c r="AH209" s="626">
        <f>II_Baza_BDP!AH12</f>
        <v/>
      </c>
      <c r="AI209" s="626">
        <f>II_Baza_BDP!AI12</f>
        <v/>
      </c>
      <c r="AJ209" s="626">
        <f>II_Baza_BDP!AJ12</f>
        <v/>
      </c>
      <c r="AK209" s="626">
        <f>II_Baza_BDP!AK12</f>
        <v/>
      </c>
      <c r="AL209" s="626">
        <f>II_Baza_BDP!AL12</f>
        <v/>
      </c>
      <c r="AM209" s="626">
        <f>II_Baza_BDP!AM12</f>
        <v/>
      </c>
      <c r="AN209" s="626">
        <f>II_Baza_BDP!AN12</f>
        <v/>
      </c>
      <c r="AO209" s="626">
        <f>II_Baza_BDP!AO12</f>
        <v/>
      </c>
      <c r="AP209" s="369">
        <f>II_Baza_BDP!AP12</f>
        <v/>
      </c>
      <c r="AQ209" s="369">
        <f>II_Baza_BDP!AQ12</f>
        <v/>
      </c>
      <c r="AR209" s="369">
        <f>II_Baza_BDP!AR12</f>
        <v/>
      </c>
      <c r="AS209" s="369">
        <f>II_Baza_BDP!AS12</f>
        <v/>
      </c>
      <c r="AT209" s="370">
        <f>II_Baza_BDP!AT12</f>
        <v/>
      </c>
      <c r="AU209" s="370">
        <f>II_Baza_BDP!AU12</f>
        <v/>
      </c>
      <c r="AV209" s="370">
        <f>II_Baza_BDP!AV12</f>
        <v/>
      </c>
      <c r="AW209" s="370">
        <f>II_Baza_BDP!AW12</f>
        <v/>
      </c>
      <c r="AX209">
        <f>II_Baza_BDP!AX12</f>
        <v/>
      </c>
      <c r="AY209">
        <f>II_Baza_BDP!AY12</f>
        <v/>
      </c>
      <c r="AZ209">
        <f>II_Baza_BDP!AZ12</f>
        <v/>
      </c>
      <c r="BA209">
        <f>II_Baza_BDP!BA12</f>
        <v/>
      </c>
      <c r="BB209">
        <f>II_Baza_BDP!BB12</f>
        <v/>
      </c>
      <c r="BC209">
        <f>II_Baza_BDP!BC12</f>
        <v/>
      </c>
      <c r="BD209">
        <f>II_Baza_BDP!BD12</f>
        <v/>
      </c>
      <c r="BE209">
        <f>II_Baza_BDP!BE12</f>
        <v/>
      </c>
      <c r="BF209">
        <f>II_Baza_BDP!BF12</f>
        <v/>
      </c>
      <c r="BG209">
        <f>II_Baza_BDP!BG12</f>
        <v/>
      </c>
      <c r="BH209">
        <f>II_Baza_BDP!BH12</f>
        <v/>
      </c>
      <c r="BI209">
        <f>II_Baza_BDP!BI12</f>
        <v/>
      </c>
      <c r="BJ209">
        <f>O209</f>
        <v/>
      </c>
      <c r="BK209">
        <f>SUM(AG209:AW209)</f>
        <v/>
      </c>
      <c r="BL209" s="531">
        <f>BJ209-BK209</f>
        <v/>
      </c>
      <c r="BM209" s="201" t="n"/>
    </row>
    <row r="210" hidden="1" outlineLevel="1" s="191">
      <c r="A210">
        <f>II_Baza_BDP!A13</f>
        <v/>
      </c>
      <c r="B210">
        <f>II_Baza_BDP!B13</f>
        <v/>
      </c>
      <c r="C210">
        <f>II_Baza_BDP!C13</f>
        <v/>
      </c>
      <c r="D210">
        <f>II_Baza_BDP!D13</f>
        <v/>
      </c>
      <c r="E210">
        <f>II_Baza_BDP!E13</f>
        <v/>
      </c>
      <c r="F210">
        <f>II_Baza_BDP!F13</f>
        <v/>
      </c>
      <c r="G210">
        <f>II_Baza_BDP!G13</f>
        <v/>
      </c>
      <c r="H210">
        <f>II_Baza_BDP!H13</f>
        <v/>
      </c>
      <c r="I210">
        <f>II_Baza_BDP!I13</f>
        <v/>
      </c>
      <c r="J210">
        <f>II_Baza_BDP!J13</f>
        <v/>
      </c>
      <c r="K210" s="672">
        <f>II_Baza_BDP!K13</f>
        <v/>
      </c>
      <c r="L210" s="672">
        <f>II_Baza_BDP!L13</f>
        <v/>
      </c>
      <c r="M210">
        <f>II_Baza_BDP!M13</f>
        <v/>
      </c>
      <c r="N210">
        <f>II_Baza_BDP!N13</f>
        <v/>
      </c>
      <c r="O210">
        <f>II_Baza_BDP!O13</f>
        <v/>
      </c>
      <c r="P210" s="628">
        <f>II_Baza_BDP!P13</f>
        <v/>
      </c>
      <c r="Q210" s="628">
        <f>II_Baza_BDP!Q13</f>
        <v/>
      </c>
      <c r="R210" s="628">
        <f>II_Baza_BDP!R13</f>
        <v/>
      </c>
      <c r="S210" s="628">
        <f>II_Baza_BDP!S13</f>
        <v/>
      </c>
      <c r="T210" s="628">
        <f>II_Baza_BDP!T13</f>
        <v/>
      </c>
      <c r="U210" s="628">
        <f>II_Baza_BDP!U13</f>
        <v/>
      </c>
      <c r="V210" s="628">
        <f>II_Baza_BDP!V13</f>
        <v/>
      </c>
      <c r="W210" s="628">
        <f>II_Baza_BDP!W13</f>
        <v/>
      </c>
      <c r="X210" s="628">
        <f>II_Baza_BDP!X13</f>
        <v/>
      </c>
      <c r="Y210" s="650">
        <f>II_Baza_BDP!Y13</f>
        <v/>
      </c>
      <c r="Z210" s="650">
        <f>II_Baza_BDP!Z13</f>
        <v/>
      </c>
      <c r="AA210" s="650">
        <f>II_Baza_BDP!AA13</f>
        <v/>
      </c>
      <c r="AB210" s="650">
        <f>II_Baza_BDP!AB13</f>
        <v/>
      </c>
      <c r="AC210" s="613">
        <f>II_Baza_BDP!AC13</f>
        <v/>
      </c>
      <c r="AD210" s="613">
        <f>II_Baza_BDP!AD13</f>
        <v/>
      </c>
      <c r="AE210" s="613">
        <f>II_Baza_BDP!AE13</f>
        <v/>
      </c>
      <c r="AF210" s="613">
        <f>II_Baza_BDP!AF13</f>
        <v/>
      </c>
      <c r="AG210" s="626">
        <f>II_Baza_BDP!AG13</f>
        <v/>
      </c>
      <c r="AH210" s="626">
        <f>II_Baza_BDP!AH13</f>
        <v/>
      </c>
      <c r="AI210" s="626">
        <f>II_Baza_BDP!AI13</f>
        <v/>
      </c>
      <c r="AJ210" s="626">
        <f>II_Baza_BDP!AJ13</f>
        <v/>
      </c>
      <c r="AK210" s="626">
        <f>II_Baza_BDP!AK13</f>
        <v/>
      </c>
      <c r="AL210" s="626">
        <f>II_Baza_BDP!AL13</f>
        <v/>
      </c>
      <c r="AM210" s="626">
        <f>II_Baza_BDP!AM13</f>
        <v/>
      </c>
      <c r="AN210" s="626">
        <f>II_Baza_BDP!AN13</f>
        <v/>
      </c>
      <c r="AO210" s="626">
        <f>II_Baza_BDP!AO13</f>
        <v/>
      </c>
      <c r="AP210" s="369">
        <f>II_Baza_BDP!AP13</f>
        <v/>
      </c>
      <c r="AQ210" s="369">
        <f>II_Baza_BDP!AQ13</f>
        <v/>
      </c>
      <c r="AR210" s="369">
        <f>II_Baza_BDP!AR13</f>
        <v/>
      </c>
      <c r="AS210" s="369">
        <f>II_Baza_BDP!AS13</f>
        <v/>
      </c>
      <c r="AT210" s="370">
        <f>II_Baza_BDP!AT13</f>
        <v/>
      </c>
      <c r="AU210" s="370">
        <f>II_Baza_BDP!AU13</f>
        <v/>
      </c>
      <c r="AV210" s="370">
        <f>II_Baza_BDP!AV13</f>
        <v/>
      </c>
      <c r="AW210" s="370">
        <f>II_Baza_BDP!AW13</f>
        <v/>
      </c>
      <c r="AX210">
        <f>II_Baza_BDP!AX13</f>
        <v/>
      </c>
      <c r="AY210">
        <f>II_Baza_BDP!AY13</f>
        <v/>
      </c>
      <c r="AZ210">
        <f>II_Baza_BDP!AZ13</f>
        <v/>
      </c>
      <c r="BA210">
        <f>II_Baza_BDP!BA13</f>
        <v/>
      </c>
      <c r="BB210">
        <f>II_Baza_BDP!BB13</f>
        <v/>
      </c>
      <c r="BC210">
        <f>II_Baza_BDP!BC13</f>
        <v/>
      </c>
      <c r="BD210">
        <f>II_Baza_BDP!BD13</f>
        <v/>
      </c>
      <c r="BE210">
        <f>II_Baza_BDP!BE13</f>
        <v/>
      </c>
      <c r="BF210">
        <f>II_Baza_BDP!BF13</f>
        <v/>
      </c>
      <c r="BG210">
        <f>II_Baza_BDP!BG13</f>
        <v/>
      </c>
      <c r="BH210">
        <f>II_Baza_BDP!BH13</f>
        <v/>
      </c>
      <c r="BI210">
        <f>II_Baza_BDP!BI13</f>
        <v/>
      </c>
      <c r="BJ210">
        <f>O210</f>
        <v/>
      </c>
      <c r="BK210">
        <f>SUM(AG210:AW210)</f>
        <v/>
      </c>
      <c r="BL210" s="531">
        <f>BJ210-BK210</f>
        <v/>
      </c>
      <c r="BM210" s="201" t="n"/>
    </row>
    <row r="211" hidden="1" outlineLevel="1" s="191">
      <c r="A211">
        <f>II_Baza_BDP!A14</f>
        <v/>
      </c>
      <c r="B211">
        <f>II_Baza_BDP!B14</f>
        <v/>
      </c>
      <c r="C211">
        <f>II_Baza_BDP!C14</f>
        <v/>
      </c>
      <c r="D211">
        <f>II_Baza_BDP!D14</f>
        <v/>
      </c>
      <c r="E211">
        <f>II_Baza_BDP!E14</f>
        <v/>
      </c>
      <c r="F211">
        <f>II_Baza_BDP!F14</f>
        <v/>
      </c>
      <c r="G211">
        <f>II_Baza_BDP!G14</f>
        <v/>
      </c>
      <c r="H211">
        <f>II_Baza_BDP!H14</f>
        <v/>
      </c>
      <c r="I211">
        <f>II_Baza_BDP!I14</f>
        <v/>
      </c>
      <c r="J211">
        <f>II_Baza_BDP!J14</f>
        <v/>
      </c>
      <c r="K211" s="672">
        <f>II_Baza_BDP!K14</f>
        <v/>
      </c>
      <c r="L211" s="672">
        <f>II_Baza_BDP!L14</f>
        <v/>
      </c>
      <c r="M211">
        <f>II_Baza_BDP!M14</f>
        <v/>
      </c>
      <c r="N211">
        <f>II_Baza_BDP!N14</f>
        <v/>
      </c>
      <c r="O211">
        <f>II_Baza_BDP!O14</f>
        <v/>
      </c>
      <c r="P211" s="628">
        <f>II_Baza_BDP!P14</f>
        <v/>
      </c>
      <c r="Q211" s="628">
        <f>II_Baza_BDP!Q14</f>
        <v/>
      </c>
      <c r="R211" s="628">
        <f>II_Baza_BDP!R14</f>
        <v/>
      </c>
      <c r="S211" s="628">
        <f>II_Baza_BDP!S14</f>
        <v/>
      </c>
      <c r="T211" s="628">
        <f>II_Baza_BDP!T14</f>
        <v/>
      </c>
      <c r="U211" s="628">
        <f>II_Baza_BDP!U14</f>
        <v/>
      </c>
      <c r="V211" s="628">
        <f>II_Baza_BDP!V14</f>
        <v/>
      </c>
      <c r="W211" s="628">
        <f>II_Baza_BDP!W14</f>
        <v/>
      </c>
      <c r="X211" s="628">
        <f>II_Baza_BDP!X14</f>
        <v/>
      </c>
      <c r="Y211" s="650">
        <f>II_Baza_BDP!Y14</f>
        <v/>
      </c>
      <c r="Z211" s="650">
        <f>II_Baza_BDP!Z14</f>
        <v/>
      </c>
      <c r="AA211" s="650">
        <f>II_Baza_BDP!AA14</f>
        <v/>
      </c>
      <c r="AB211" s="650">
        <f>II_Baza_BDP!AB14</f>
        <v/>
      </c>
      <c r="AC211" s="613">
        <f>II_Baza_BDP!AC14</f>
        <v/>
      </c>
      <c r="AD211" s="613">
        <f>II_Baza_BDP!AD14</f>
        <v/>
      </c>
      <c r="AE211" s="613">
        <f>II_Baza_BDP!AE14</f>
        <v/>
      </c>
      <c r="AF211" s="613">
        <f>II_Baza_BDP!AF14</f>
        <v/>
      </c>
      <c r="AG211" s="626">
        <f>II_Baza_BDP!AG14</f>
        <v/>
      </c>
      <c r="AH211" s="626">
        <f>II_Baza_BDP!AH14</f>
        <v/>
      </c>
      <c r="AI211" s="626">
        <f>II_Baza_BDP!AI14</f>
        <v/>
      </c>
      <c r="AJ211" s="626">
        <f>II_Baza_BDP!AJ14</f>
        <v/>
      </c>
      <c r="AK211" s="626">
        <f>II_Baza_BDP!AK14</f>
        <v/>
      </c>
      <c r="AL211" s="626">
        <f>II_Baza_BDP!AL14</f>
        <v/>
      </c>
      <c r="AM211" s="626">
        <f>II_Baza_BDP!AM14</f>
        <v/>
      </c>
      <c r="AN211" s="626">
        <f>II_Baza_BDP!AN14</f>
        <v/>
      </c>
      <c r="AO211" s="626">
        <f>II_Baza_BDP!AO14</f>
        <v/>
      </c>
      <c r="AP211" s="369">
        <f>II_Baza_BDP!AP14</f>
        <v/>
      </c>
      <c r="AQ211" s="369">
        <f>II_Baza_BDP!AQ14</f>
        <v/>
      </c>
      <c r="AR211" s="369">
        <f>II_Baza_BDP!AR14</f>
        <v/>
      </c>
      <c r="AS211" s="369">
        <f>II_Baza_BDP!AS14</f>
        <v/>
      </c>
      <c r="AT211" s="370">
        <f>II_Baza_BDP!AT14</f>
        <v/>
      </c>
      <c r="AU211" s="370">
        <f>II_Baza_BDP!AU14</f>
        <v/>
      </c>
      <c r="AV211" s="370">
        <f>II_Baza_BDP!AV14</f>
        <v/>
      </c>
      <c r="AW211" s="370">
        <f>II_Baza_BDP!AW14</f>
        <v/>
      </c>
      <c r="AX211">
        <f>II_Baza_BDP!AX14</f>
        <v/>
      </c>
      <c r="AY211">
        <f>II_Baza_BDP!AY14</f>
        <v/>
      </c>
      <c r="AZ211">
        <f>II_Baza_BDP!AZ14</f>
        <v/>
      </c>
      <c r="BA211">
        <f>II_Baza_BDP!BA14</f>
        <v/>
      </c>
      <c r="BB211">
        <f>II_Baza_BDP!BB14</f>
        <v/>
      </c>
      <c r="BC211">
        <f>II_Baza_BDP!BC14</f>
        <v/>
      </c>
      <c r="BD211">
        <f>II_Baza_BDP!BD14</f>
        <v/>
      </c>
      <c r="BE211">
        <f>II_Baza_BDP!BE14</f>
        <v/>
      </c>
      <c r="BF211">
        <f>II_Baza_BDP!BF14</f>
        <v/>
      </c>
      <c r="BG211">
        <f>II_Baza_BDP!BG14</f>
        <v/>
      </c>
      <c r="BH211">
        <f>II_Baza_BDP!BH14</f>
        <v/>
      </c>
      <c r="BI211">
        <f>II_Baza_BDP!BI14</f>
        <v/>
      </c>
      <c r="BJ211">
        <f>O211</f>
        <v/>
      </c>
      <c r="BK211">
        <f>SUM(AG211:AW211)</f>
        <v/>
      </c>
      <c r="BL211" s="531">
        <f>BJ211-BK211</f>
        <v/>
      </c>
      <c r="BM211" s="201" t="n"/>
    </row>
    <row r="212" hidden="1" outlineLevel="1" s="191">
      <c r="A212">
        <f>II_Baza_BDP!A15</f>
        <v/>
      </c>
      <c r="B212">
        <f>II_Baza_BDP!B15</f>
        <v/>
      </c>
      <c r="C212">
        <f>II_Baza_BDP!C15</f>
        <v/>
      </c>
      <c r="D212">
        <f>II_Baza_BDP!D15</f>
        <v/>
      </c>
      <c r="E212">
        <f>II_Baza_BDP!E15</f>
        <v/>
      </c>
      <c r="F212">
        <f>II_Baza_BDP!F15</f>
        <v/>
      </c>
      <c r="G212">
        <f>II_Baza_BDP!G15</f>
        <v/>
      </c>
      <c r="H212">
        <f>II_Baza_BDP!H15</f>
        <v/>
      </c>
      <c r="I212">
        <f>II_Baza_BDP!I15</f>
        <v/>
      </c>
      <c r="J212">
        <f>II_Baza_BDP!J15</f>
        <v/>
      </c>
      <c r="K212" s="672">
        <f>II_Baza_BDP!K15</f>
        <v/>
      </c>
      <c r="L212" s="672">
        <f>II_Baza_BDP!L15</f>
        <v/>
      </c>
      <c r="M212">
        <f>II_Baza_BDP!M15</f>
        <v/>
      </c>
      <c r="N212">
        <f>II_Baza_BDP!N15</f>
        <v/>
      </c>
      <c r="O212">
        <f>II_Baza_BDP!O15</f>
        <v/>
      </c>
      <c r="P212" s="628">
        <f>II_Baza_BDP!P15</f>
        <v/>
      </c>
      <c r="Q212" s="628">
        <f>II_Baza_BDP!Q15</f>
        <v/>
      </c>
      <c r="R212" s="628">
        <f>II_Baza_BDP!R15</f>
        <v/>
      </c>
      <c r="S212" s="628">
        <f>II_Baza_BDP!S15</f>
        <v/>
      </c>
      <c r="T212" s="628">
        <f>II_Baza_BDP!T15</f>
        <v/>
      </c>
      <c r="U212" s="628">
        <f>II_Baza_BDP!U15</f>
        <v/>
      </c>
      <c r="V212" s="628">
        <f>II_Baza_BDP!V15</f>
        <v/>
      </c>
      <c r="W212" s="628">
        <f>II_Baza_BDP!W15</f>
        <v/>
      </c>
      <c r="X212" s="628">
        <f>II_Baza_BDP!X15</f>
        <v/>
      </c>
      <c r="Y212" s="650">
        <f>II_Baza_BDP!Y15</f>
        <v/>
      </c>
      <c r="Z212" s="650">
        <f>II_Baza_BDP!Z15</f>
        <v/>
      </c>
      <c r="AA212" s="650">
        <f>II_Baza_BDP!AA15</f>
        <v/>
      </c>
      <c r="AB212" s="650">
        <f>II_Baza_BDP!AB15</f>
        <v/>
      </c>
      <c r="AC212" s="613">
        <f>II_Baza_BDP!AC15</f>
        <v/>
      </c>
      <c r="AD212" s="613">
        <f>II_Baza_BDP!AD15</f>
        <v/>
      </c>
      <c r="AE212" s="613">
        <f>II_Baza_BDP!AE15</f>
        <v/>
      </c>
      <c r="AF212" s="613">
        <f>II_Baza_BDP!AF15</f>
        <v/>
      </c>
      <c r="AG212" s="626">
        <f>II_Baza_BDP!AG15</f>
        <v/>
      </c>
      <c r="AH212" s="626">
        <f>II_Baza_BDP!AH15</f>
        <v/>
      </c>
      <c r="AI212" s="626">
        <f>II_Baza_BDP!AI15</f>
        <v/>
      </c>
      <c r="AJ212" s="626">
        <f>II_Baza_BDP!AJ15</f>
        <v/>
      </c>
      <c r="AK212" s="626">
        <f>II_Baza_BDP!AK15</f>
        <v/>
      </c>
      <c r="AL212" s="626">
        <f>II_Baza_BDP!AL15</f>
        <v/>
      </c>
      <c r="AM212" s="626">
        <f>II_Baza_BDP!AM15</f>
        <v/>
      </c>
      <c r="AN212" s="626">
        <f>II_Baza_BDP!AN15</f>
        <v/>
      </c>
      <c r="AO212" s="626">
        <f>II_Baza_BDP!AO15</f>
        <v/>
      </c>
      <c r="AP212" s="369">
        <f>II_Baza_BDP!AP15</f>
        <v/>
      </c>
      <c r="AQ212" s="369">
        <f>II_Baza_BDP!AQ15</f>
        <v/>
      </c>
      <c r="AR212" s="369">
        <f>II_Baza_BDP!AR15</f>
        <v/>
      </c>
      <c r="AS212" s="369">
        <f>II_Baza_BDP!AS15</f>
        <v/>
      </c>
      <c r="AT212" s="370">
        <f>II_Baza_BDP!AT15</f>
        <v/>
      </c>
      <c r="AU212" s="370">
        <f>II_Baza_BDP!AU15</f>
        <v/>
      </c>
      <c r="AV212" s="370">
        <f>II_Baza_BDP!AV15</f>
        <v/>
      </c>
      <c r="AW212" s="370">
        <f>II_Baza_BDP!AW15</f>
        <v/>
      </c>
      <c r="AX212">
        <f>II_Baza_BDP!AX15</f>
        <v/>
      </c>
      <c r="AY212">
        <f>II_Baza_BDP!AY15</f>
        <v/>
      </c>
      <c r="AZ212">
        <f>II_Baza_BDP!AZ15</f>
        <v/>
      </c>
      <c r="BA212">
        <f>II_Baza_BDP!BA15</f>
        <v/>
      </c>
      <c r="BB212">
        <f>II_Baza_BDP!BB15</f>
        <v/>
      </c>
      <c r="BC212">
        <f>II_Baza_BDP!BC15</f>
        <v/>
      </c>
      <c r="BD212">
        <f>II_Baza_BDP!BD15</f>
        <v/>
      </c>
      <c r="BE212">
        <f>II_Baza_BDP!BE15</f>
        <v/>
      </c>
      <c r="BF212">
        <f>II_Baza_BDP!BF15</f>
        <v/>
      </c>
      <c r="BG212">
        <f>II_Baza_BDP!BG15</f>
        <v/>
      </c>
      <c r="BH212">
        <f>II_Baza_BDP!BH15</f>
        <v/>
      </c>
      <c r="BI212">
        <f>II_Baza_BDP!BI15</f>
        <v/>
      </c>
      <c r="BJ212">
        <f>O212</f>
        <v/>
      </c>
      <c r="BK212">
        <f>SUM(AG212:AW212)</f>
        <v/>
      </c>
      <c r="BL212" s="531">
        <f>BJ212-BK212</f>
        <v/>
      </c>
      <c r="BM212" s="201" t="n"/>
    </row>
    <row r="213" hidden="1" outlineLevel="1" s="191">
      <c r="A213">
        <f>II_Baza_BDP!A16</f>
        <v/>
      </c>
      <c r="B213">
        <f>II_Baza_BDP!B16</f>
        <v/>
      </c>
      <c r="C213">
        <f>II_Baza_BDP!C16</f>
        <v/>
      </c>
      <c r="D213">
        <f>II_Baza_BDP!D16</f>
        <v/>
      </c>
      <c r="E213">
        <f>II_Baza_BDP!E16</f>
        <v/>
      </c>
      <c r="F213">
        <f>II_Baza_BDP!F16</f>
        <v/>
      </c>
      <c r="G213">
        <f>II_Baza_BDP!G16</f>
        <v/>
      </c>
      <c r="H213">
        <f>II_Baza_BDP!H16</f>
        <v/>
      </c>
      <c r="I213">
        <f>II_Baza_BDP!I16</f>
        <v/>
      </c>
      <c r="J213">
        <f>II_Baza_BDP!J16</f>
        <v/>
      </c>
      <c r="K213" s="672">
        <f>II_Baza_BDP!K16</f>
        <v/>
      </c>
      <c r="L213" s="672">
        <f>II_Baza_BDP!L16</f>
        <v/>
      </c>
      <c r="M213">
        <f>II_Baza_BDP!M16</f>
        <v/>
      </c>
      <c r="N213">
        <f>II_Baza_BDP!N16</f>
        <v/>
      </c>
      <c r="O213">
        <f>II_Baza_BDP!O16</f>
        <v/>
      </c>
      <c r="P213" s="628">
        <f>II_Baza_BDP!P16</f>
        <v/>
      </c>
      <c r="Q213" s="628">
        <f>II_Baza_BDP!Q16</f>
        <v/>
      </c>
      <c r="R213" s="628">
        <f>II_Baza_BDP!R16</f>
        <v/>
      </c>
      <c r="S213" s="628">
        <f>II_Baza_BDP!S16</f>
        <v/>
      </c>
      <c r="T213" s="628">
        <f>II_Baza_BDP!T16</f>
        <v/>
      </c>
      <c r="U213" s="628">
        <f>II_Baza_BDP!U16</f>
        <v/>
      </c>
      <c r="V213" s="628">
        <f>II_Baza_BDP!V16</f>
        <v/>
      </c>
      <c r="W213" s="628">
        <f>II_Baza_BDP!W16</f>
        <v/>
      </c>
      <c r="X213" s="628">
        <f>II_Baza_BDP!X16</f>
        <v/>
      </c>
      <c r="Y213" s="650">
        <f>II_Baza_BDP!Y16</f>
        <v/>
      </c>
      <c r="Z213" s="650">
        <f>II_Baza_BDP!Z16</f>
        <v/>
      </c>
      <c r="AA213" s="650">
        <f>II_Baza_BDP!AA16</f>
        <v/>
      </c>
      <c r="AB213" s="650">
        <f>II_Baza_BDP!AB16</f>
        <v/>
      </c>
      <c r="AC213" s="613">
        <f>II_Baza_BDP!AC16</f>
        <v/>
      </c>
      <c r="AD213" s="613">
        <f>II_Baza_BDP!AD16</f>
        <v/>
      </c>
      <c r="AE213" s="613">
        <f>II_Baza_BDP!AE16</f>
        <v/>
      </c>
      <c r="AF213" s="613">
        <f>II_Baza_BDP!AF16</f>
        <v/>
      </c>
      <c r="AG213" s="626">
        <f>II_Baza_BDP!AG16</f>
        <v/>
      </c>
      <c r="AH213" s="626">
        <f>II_Baza_BDP!AH16</f>
        <v/>
      </c>
      <c r="AI213" s="626">
        <f>II_Baza_BDP!AI16</f>
        <v/>
      </c>
      <c r="AJ213" s="626">
        <f>II_Baza_BDP!AJ16</f>
        <v/>
      </c>
      <c r="AK213" s="626">
        <f>II_Baza_BDP!AK16</f>
        <v/>
      </c>
      <c r="AL213" s="626">
        <f>II_Baza_BDP!AL16</f>
        <v/>
      </c>
      <c r="AM213" s="626">
        <f>II_Baza_BDP!AM16</f>
        <v/>
      </c>
      <c r="AN213" s="626">
        <f>II_Baza_BDP!AN16</f>
        <v/>
      </c>
      <c r="AO213" s="626">
        <f>II_Baza_BDP!AO16</f>
        <v/>
      </c>
      <c r="AP213" s="369">
        <f>II_Baza_BDP!AP16</f>
        <v/>
      </c>
      <c r="AQ213" s="369">
        <f>II_Baza_BDP!AQ16</f>
        <v/>
      </c>
      <c r="AR213" s="369">
        <f>II_Baza_BDP!AR16</f>
        <v/>
      </c>
      <c r="AS213" s="369">
        <f>II_Baza_BDP!AS16</f>
        <v/>
      </c>
      <c r="AT213" s="370">
        <f>II_Baza_BDP!AT16</f>
        <v/>
      </c>
      <c r="AU213" s="370">
        <f>II_Baza_BDP!AU16</f>
        <v/>
      </c>
      <c r="AV213" s="370">
        <f>II_Baza_BDP!AV16</f>
        <v/>
      </c>
      <c r="AW213" s="370">
        <f>II_Baza_BDP!AW16</f>
        <v/>
      </c>
      <c r="AX213">
        <f>II_Baza_BDP!AX16</f>
        <v/>
      </c>
      <c r="AY213">
        <f>II_Baza_BDP!AY16</f>
        <v/>
      </c>
      <c r="AZ213">
        <f>II_Baza_BDP!AZ16</f>
        <v/>
      </c>
      <c r="BA213">
        <f>II_Baza_BDP!BA16</f>
        <v/>
      </c>
      <c r="BB213">
        <f>II_Baza_BDP!BB16</f>
        <v/>
      </c>
      <c r="BC213">
        <f>II_Baza_BDP!BC16</f>
        <v/>
      </c>
      <c r="BD213">
        <f>II_Baza_BDP!BD16</f>
        <v/>
      </c>
      <c r="BE213">
        <f>II_Baza_BDP!BE16</f>
        <v/>
      </c>
      <c r="BF213">
        <f>II_Baza_BDP!BF16</f>
        <v/>
      </c>
      <c r="BG213">
        <f>II_Baza_BDP!BG16</f>
        <v/>
      </c>
      <c r="BH213">
        <f>II_Baza_BDP!BH16</f>
        <v/>
      </c>
      <c r="BI213">
        <f>II_Baza_BDP!BI16</f>
        <v/>
      </c>
      <c r="BJ213">
        <f>O213</f>
        <v/>
      </c>
      <c r="BK213">
        <f>SUM(AG213:AW213)</f>
        <v/>
      </c>
      <c r="BL213" s="531">
        <f>BJ213-BK213</f>
        <v/>
      </c>
      <c r="BM213" s="201" t="n"/>
    </row>
    <row r="214" hidden="1" outlineLevel="1" s="191">
      <c r="A214">
        <f>II_Baza_BDP!A17</f>
        <v/>
      </c>
      <c r="B214">
        <f>II_Baza_BDP!B17</f>
        <v/>
      </c>
      <c r="C214">
        <f>II_Baza_BDP!C17</f>
        <v/>
      </c>
      <c r="D214">
        <f>II_Baza_BDP!D17</f>
        <v/>
      </c>
      <c r="E214">
        <f>II_Baza_BDP!E17</f>
        <v/>
      </c>
      <c r="F214">
        <f>II_Baza_BDP!F17</f>
        <v/>
      </c>
      <c r="G214">
        <f>II_Baza_BDP!G17</f>
        <v/>
      </c>
      <c r="H214">
        <f>II_Baza_BDP!H17</f>
        <v/>
      </c>
      <c r="I214">
        <f>II_Baza_BDP!I17</f>
        <v/>
      </c>
      <c r="J214">
        <f>II_Baza_BDP!J17</f>
        <v/>
      </c>
      <c r="K214" s="672">
        <f>II_Baza_BDP!K17</f>
        <v/>
      </c>
      <c r="L214" s="672">
        <f>II_Baza_BDP!L17</f>
        <v/>
      </c>
      <c r="M214">
        <f>II_Baza_BDP!M17</f>
        <v/>
      </c>
      <c r="N214">
        <f>II_Baza_BDP!N17</f>
        <v/>
      </c>
      <c r="O214">
        <f>II_Baza_BDP!O17</f>
        <v/>
      </c>
      <c r="P214" s="628">
        <f>II_Baza_BDP!P17</f>
        <v/>
      </c>
      <c r="Q214" s="628">
        <f>II_Baza_BDP!Q17</f>
        <v/>
      </c>
      <c r="R214" s="628">
        <f>II_Baza_BDP!R17</f>
        <v/>
      </c>
      <c r="S214" s="628">
        <f>II_Baza_BDP!S17</f>
        <v/>
      </c>
      <c r="T214" s="628">
        <f>II_Baza_BDP!T17</f>
        <v/>
      </c>
      <c r="U214" s="628">
        <f>II_Baza_BDP!U17</f>
        <v/>
      </c>
      <c r="V214" s="628">
        <f>II_Baza_BDP!V17</f>
        <v/>
      </c>
      <c r="W214" s="628">
        <f>II_Baza_BDP!W17</f>
        <v/>
      </c>
      <c r="X214" s="628">
        <f>II_Baza_BDP!X17</f>
        <v/>
      </c>
      <c r="Y214" s="650">
        <f>II_Baza_BDP!Y17</f>
        <v/>
      </c>
      <c r="Z214" s="650">
        <f>II_Baza_BDP!Z17</f>
        <v/>
      </c>
      <c r="AA214" s="650">
        <f>II_Baza_BDP!AA17</f>
        <v/>
      </c>
      <c r="AB214" s="650">
        <f>II_Baza_BDP!AB17</f>
        <v/>
      </c>
      <c r="AC214" s="613">
        <f>II_Baza_BDP!AC17</f>
        <v/>
      </c>
      <c r="AD214" s="613">
        <f>II_Baza_BDP!AD17</f>
        <v/>
      </c>
      <c r="AE214" s="613">
        <f>II_Baza_BDP!AE17</f>
        <v/>
      </c>
      <c r="AF214" s="613">
        <f>II_Baza_BDP!AF17</f>
        <v/>
      </c>
      <c r="AG214" s="626">
        <f>II_Baza_BDP!AG17</f>
        <v/>
      </c>
      <c r="AH214" s="626">
        <f>II_Baza_BDP!AH17</f>
        <v/>
      </c>
      <c r="AI214" s="626">
        <f>II_Baza_BDP!AI17</f>
        <v/>
      </c>
      <c r="AJ214" s="626">
        <f>II_Baza_BDP!AJ17</f>
        <v/>
      </c>
      <c r="AK214" s="626">
        <f>II_Baza_BDP!AK17</f>
        <v/>
      </c>
      <c r="AL214" s="626">
        <f>II_Baza_BDP!AL17</f>
        <v/>
      </c>
      <c r="AM214" s="626">
        <f>II_Baza_BDP!AM17</f>
        <v/>
      </c>
      <c r="AN214" s="626">
        <f>II_Baza_BDP!AN17</f>
        <v/>
      </c>
      <c r="AO214" s="626">
        <f>II_Baza_BDP!AO17</f>
        <v/>
      </c>
      <c r="AP214" s="369">
        <f>II_Baza_BDP!AP17</f>
        <v/>
      </c>
      <c r="AQ214" s="369">
        <f>II_Baza_BDP!AQ17</f>
        <v/>
      </c>
      <c r="AR214" s="369">
        <f>II_Baza_BDP!AR17</f>
        <v/>
      </c>
      <c r="AS214" s="369">
        <f>II_Baza_BDP!AS17</f>
        <v/>
      </c>
      <c r="AT214" s="370">
        <f>II_Baza_BDP!AT17</f>
        <v/>
      </c>
      <c r="AU214" s="370">
        <f>II_Baza_BDP!AU17</f>
        <v/>
      </c>
      <c r="AV214" s="370">
        <f>II_Baza_BDP!AV17</f>
        <v/>
      </c>
      <c r="AW214" s="370">
        <f>II_Baza_BDP!AW17</f>
        <v/>
      </c>
      <c r="AX214">
        <f>II_Baza_BDP!AX17</f>
        <v/>
      </c>
      <c r="AY214">
        <f>II_Baza_BDP!AY17</f>
        <v/>
      </c>
      <c r="AZ214">
        <f>II_Baza_BDP!AZ17</f>
        <v/>
      </c>
      <c r="BA214">
        <f>II_Baza_BDP!BA17</f>
        <v/>
      </c>
      <c r="BB214">
        <f>II_Baza_BDP!BB17</f>
        <v/>
      </c>
      <c r="BC214">
        <f>II_Baza_BDP!BC17</f>
        <v/>
      </c>
      <c r="BD214">
        <f>II_Baza_BDP!BD17</f>
        <v/>
      </c>
      <c r="BE214">
        <f>II_Baza_BDP!BE17</f>
        <v/>
      </c>
      <c r="BF214">
        <f>II_Baza_BDP!BF17</f>
        <v/>
      </c>
      <c r="BG214">
        <f>II_Baza_BDP!BG17</f>
        <v/>
      </c>
      <c r="BH214">
        <f>II_Baza_BDP!BH17</f>
        <v/>
      </c>
      <c r="BI214">
        <f>II_Baza_BDP!BI17</f>
        <v/>
      </c>
      <c r="BJ214">
        <f>O214</f>
        <v/>
      </c>
      <c r="BK214">
        <f>SUM(AG214:AW214)</f>
        <v/>
      </c>
      <c r="BL214" s="531">
        <f>BJ214-BK214</f>
        <v/>
      </c>
      <c r="BM214" s="201" t="n"/>
    </row>
    <row r="215" hidden="1" outlineLevel="1" s="191">
      <c r="A215">
        <f>II_Baza_BDP!A18</f>
        <v/>
      </c>
      <c r="B215">
        <f>II_Baza_BDP!B18</f>
        <v/>
      </c>
      <c r="C215">
        <f>II_Baza_BDP!C18</f>
        <v/>
      </c>
      <c r="D215">
        <f>II_Baza_BDP!D18</f>
        <v/>
      </c>
      <c r="E215">
        <f>II_Baza_BDP!E18</f>
        <v/>
      </c>
      <c r="F215">
        <f>II_Baza_BDP!F18</f>
        <v/>
      </c>
      <c r="G215">
        <f>II_Baza_BDP!G18</f>
        <v/>
      </c>
      <c r="H215">
        <f>II_Baza_BDP!H18</f>
        <v/>
      </c>
      <c r="I215">
        <f>II_Baza_BDP!I18</f>
        <v/>
      </c>
      <c r="J215">
        <f>II_Baza_BDP!J18</f>
        <v/>
      </c>
      <c r="K215" s="672">
        <f>II_Baza_BDP!K18</f>
        <v/>
      </c>
      <c r="L215" s="672">
        <f>II_Baza_BDP!L18</f>
        <v/>
      </c>
      <c r="M215">
        <f>II_Baza_BDP!M18</f>
        <v/>
      </c>
      <c r="N215">
        <f>II_Baza_BDP!N18</f>
        <v/>
      </c>
      <c r="O215">
        <f>II_Baza_BDP!O18</f>
        <v/>
      </c>
      <c r="P215" s="628">
        <f>II_Baza_BDP!P18</f>
        <v/>
      </c>
      <c r="Q215" s="628">
        <f>II_Baza_BDP!Q18</f>
        <v/>
      </c>
      <c r="R215" s="628">
        <f>II_Baza_BDP!R18</f>
        <v/>
      </c>
      <c r="S215" s="628">
        <f>II_Baza_BDP!S18</f>
        <v/>
      </c>
      <c r="T215" s="628">
        <f>II_Baza_BDP!T18</f>
        <v/>
      </c>
      <c r="U215" s="628">
        <f>II_Baza_BDP!U18</f>
        <v/>
      </c>
      <c r="V215" s="628">
        <f>II_Baza_BDP!V18</f>
        <v/>
      </c>
      <c r="W215" s="628">
        <f>II_Baza_BDP!W18</f>
        <v/>
      </c>
      <c r="X215" s="628">
        <f>II_Baza_BDP!X18</f>
        <v/>
      </c>
      <c r="Y215" s="650">
        <f>II_Baza_BDP!Y18</f>
        <v/>
      </c>
      <c r="Z215" s="650">
        <f>II_Baza_BDP!Z18</f>
        <v/>
      </c>
      <c r="AA215" s="650">
        <f>II_Baza_BDP!AA18</f>
        <v/>
      </c>
      <c r="AB215" s="650">
        <f>II_Baza_BDP!AB18</f>
        <v/>
      </c>
      <c r="AC215" s="613">
        <f>II_Baza_BDP!AC18</f>
        <v/>
      </c>
      <c r="AD215" s="613">
        <f>II_Baza_BDP!AD18</f>
        <v/>
      </c>
      <c r="AE215" s="613">
        <f>II_Baza_BDP!AE18</f>
        <v/>
      </c>
      <c r="AF215" s="613">
        <f>II_Baza_BDP!AF18</f>
        <v/>
      </c>
      <c r="AG215" s="626">
        <f>II_Baza_BDP!AG18</f>
        <v/>
      </c>
      <c r="AH215" s="626">
        <f>II_Baza_BDP!AH18</f>
        <v/>
      </c>
      <c r="AI215" s="626">
        <f>II_Baza_BDP!AI18</f>
        <v/>
      </c>
      <c r="AJ215" s="626">
        <f>II_Baza_BDP!AJ18</f>
        <v/>
      </c>
      <c r="AK215" s="626">
        <f>II_Baza_BDP!AK18</f>
        <v/>
      </c>
      <c r="AL215" s="626">
        <f>II_Baza_BDP!AL18</f>
        <v/>
      </c>
      <c r="AM215" s="626">
        <f>II_Baza_BDP!AM18</f>
        <v/>
      </c>
      <c r="AN215" s="626">
        <f>II_Baza_BDP!AN18</f>
        <v/>
      </c>
      <c r="AO215" s="626">
        <f>II_Baza_BDP!AO18</f>
        <v/>
      </c>
      <c r="AP215" s="369">
        <f>II_Baza_BDP!AP18</f>
        <v/>
      </c>
      <c r="AQ215" s="369">
        <f>II_Baza_BDP!AQ18</f>
        <v/>
      </c>
      <c r="AR215" s="369">
        <f>II_Baza_BDP!AR18</f>
        <v/>
      </c>
      <c r="AS215" s="369">
        <f>II_Baza_BDP!AS18</f>
        <v/>
      </c>
      <c r="AT215" s="370">
        <f>II_Baza_BDP!AT18</f>
        <v/>
      </c>
      <c r="AU215" s="370">
        <f>II_Baza_BDP!AU18</f>
        <v/>
      </c>
      <c r="AV215" s="370">
        <f>II_Baza_BDP!AV18</f>
        <v/>
      </c>
      <c r="AW215" s="370">
        <f>II_Baza_BDP!AW18</f>
        <v/>
      </c>
      <c r="AX215">
        <f>II_Baza_BDP!AX18</f>
        <v/>
      </c>
      <c r="AY215">
        <f>II_Baza_BDP!AY18</f>
        <v/>
      </c>
      <c r="AZ215">
        <f>II_Baza_BDP!AZ18</f>
        <v/>
      </c>
      <c r="BA215">
        <f>II_Baza_BDP!BA18</f>
        <v/>
      </c>
      <c r="BB215">
        <f>II_Baza_BDP!BB18</f>
        <v/>
      </c>
      <c r="BC215">
        <f>II_Baza_BDP!BC18</f>
        <v/>
      </c>
      <c r="BD215">
        <f>II_Baza_BDP!BD18</f>
        <v/>
      </c>
      <c r="BE215">
        <f>II_Baza_BDP!BE18</f>
        <v/>
      </c>
      <c r="BF215">
        <f>II_Baza_BDP!BF18</f>
        <v/>
      </c>
      <c r="BG215">
        <f>II_Baza_BDP!BG18</f>
        <v/>
      </c>
      <c r="BH215">
        <f>II_Baza_BDP!BH18</f>
        <v/>
      </c>
      <c r="BI215">
        <f>II_Baza_BDP!BI18</f>
        <v/>
      </c>
      <c r="BJ215">
        <f>O215</f>
        <v/>
      </c>
      <c r="BK215">
        <f>SUM(AG215:AW215)</f>
        <v/>
      </c>
      <c r="BL215" s="531">
        <f>BJ215-BK215</f>
        <v/>
      </c>
      <c r="BM215" s="201" t="n"/>
    </row>
    <row r="216" hidden="1" outlineLevel="1" s="191">
      <c r="A216">
        <f>II_Baza_BDP!A19</f>
        <v/>
      </c>
      <c r="B216">
        <f>II_Baza_BDP!B19</f>
        <v/>
      </c>
      <c r="C216">
        <f>II_Baza_BDP!C19</f>
        <v/>
      </c>
      <c r="D216">
        <f>II_Baza_BDP!D19</f>
        <v/>
      </c>
      <c r="E216">
        <f>II_Baza_BDP!E19</f>
        <v/>
      </c>
      <c r="F216">
        <f>II_Baza_BDP!F19</f>
        <v/>
      </c>
      <c r="G216">
        <f>II_Baza_BDP!G19</f>
        <v/>
      </c>
      <c r="H216">
        <f>II_Baza_BDP!H19</f>
        <v/>
      </c>
      <c r="I216">
        <f>II_Baza_BDP!I19</f>
        <v/>
      </c>
      <c r="J216">
        <f>II_Baza_BDP!J19</f>
        <v/>
      </c>
      <c r="K216" s="672">
        <f>II_Baza_BDP!K19</f>
        <v/>
      </c>
      <c r="L216" s="672">
        <f>II_Baza_BDP!L19</f>
        <v/>
      </c>
      <c r="M216">
        <f>II_Baza_BDP!M19</f>
        <v/>
      </c>
      <c r="N216">
        <f>II_Baza_BDP!N19</f>
        <v/>
      </c>
      <c r="O216">
        <f>II_Baza_BDP!O19</f>
        <v/>
      </c>
      <c r="P216" s="628">
        <f>II_Baza_BDP!P19</f>
        <v/>
      </c>
      <c r="Q216" s="628">
        <f>II_Baza_BDP!Q19</f>
        <v/>
      </c>
      <c r="R216" s="628">
        <f>II_Baza_BDP!R19</f>
        <v/>
      </c>
      <c r="S216" s="628">
        <f>II_Baza_BDP!S19</f>
        <v/>
      </c>
      <c r="T216" s="628">
        <f>II_Baza_BDP!T19</f>
        <v/>
      </c>
      <c r="U216" s="628">
        <f>II_Baza_BDP!U19</f>
        <v/>
      </c>
      <c r="V216" s="628">
        <f>II_Baza_BDP!V19</f>
        <v/>
      </c>
      <c r="W216" s="628">
        <f>II_Baza_BDP!W19</f>
        <v/>
      </c>
      <c r="X216" s="628">
        <f>II_Baza_BDP!X19</f>
        <v/>
      </c>
      <c r="Y216" s="650">
        <f>II_Baza_BDP!Y19</f>
        <v/>
      </c>
      <c r="Z216" s="650">
        <f>II_Baza_BDP!Z19</f>
        <v/>
      </c>
      <c r="AA216" s="650">
        <f>II_Baza_BDP!AA19</f>
        <v/>
      </c>
      <c r="AB216" s="650">
        <f>II_Baza_BDP!AB19</f>
        <v/>
      </c>
      <c r="AC216" s="613">
        <f>II_Baza_BDP!AC19</f>
        <v/>
      </c>
      <c r="AD216" s="613">
        <f>II_Baza_BDP!AD19</f>
        <v/>
      </c>
      <c r="AE216" s="613">
        <f>II_Baza_BDP!AE19</f>
        <v/>
      </c>
      <c r="AF216" s="613">
        <f>II_Baza_BDP!AF19</f>
        <v/>
      </c>
      <c r="AG216" s="626">
        <f>II_Baza_BDP!AG19</f>
        <v/>
      </c>
      <c r="AH216" s="626">
        <f>II_Baza_BDP!AH19</f>
        <v/>
      </c>
      <c r="AI216" s="626">
        <f>II_Baza_BDP!AI19</f>
        <v/>
      </c>
      <c r="AJ216" s="626">
        <f>II_Baza_BDP!AJ19</f>
        <v/>
      </c>
      <c r="AK216" s="626">
        <f>II_Baza_BDP!AK19</f>
        <v/>
      </c>
      <c r="AL216" s="626">
        <f>II_Baza_BDP!AL19</f>
        <v/>
      </c>
      <c r="AM216" s="626">
        <f>II_Baza_BDP!AM19</f>
        <v/>
      </c>
      <c r="AN216" s="626">
        <f>II_Baza_BDP!AN19</f>
        <v/>
      </c>
      <c r="AO216" s="626">
        <f>II_Baza_BDP!AO19</f>
        <v/>
      </c>
      <c r="AP216" s="369">
        <f>II_Baza_BDP!AP19</f>
        <v/>
      </c>
      <c r="AQ216" s="369">
        <f>II_Baza_BDP!AQ19</f>
        <v/>
      </c>
      <c r="AR216" s="369">
        <f>II_Baza_BDP!AR19</f>
        <v/>
      </c>
      <c r="AS216" s="369">
        <f>II_Baza_BDP!AS19</f>
        <v/>
      </c>
      <c r="AT216" s="370">
        <f>II_Baza_BDP!AT19</f>
        <v/>
      </c>
      <c r="AU216" s="370">
        <f>II_Baza_BDP!AU19</f>
        <v/>
      </c>
      <c r="AV216" s="370">
        <f>II_Baza_BDP!AV19</f>
        <v/>
      </c>
      <c r="AW216" s="370">
        <f>II_Baza_BDP!AW19</f>
        <v/>
      </c>
      <c r="AX216">
        <f>II_Baza_BDP!AX19</f>
        <v/>
      </c>
      <c r="AY216">
        <f>II_Baza_BDP!AY19</f>
        <v/>
      </c>
      <c r="AZ216">
        <f>II_Baza_BDP!AZ19</f>
        <v/>
      </c>
      <c r="BA216">
        <f>II_Baza_BDP!BA19</f>
        <v/>
      </c>
      <c r="BB216">
        <f>II_Baza_BDP!BB19</f>
        <v/>
      </c>
      <c r="BC216">
        <f>II_Baza_BDP!BC19</f>
        <v/>
      </c>
      <c r="BD216">
        <f>II_Baza_BDP!BD19</f>
        <v/>
      </c>
      <c r="BE216">
        <f>II_Baza_BDP!BE19</f>
        <v/>
      </c>
      <c r="BF216">
        <f>II_Baza_BDP!BF19</f>
        <v/>
      </c>
      <c r="BG216">
        <f>II_Baza_BDP!BG19</f>
        <v/>
      </c>
      <c r="BH216">
        <f>II_Baza_BDP!BH19</f>
        <v/>
      </c>
      <c r="BI216">
        <f>II_Baza_BDP!BI19</f>
        <v/>
      </c>
      <c r="BJ216">
        <f>O216</f>
        <v/>
      </c>
      <c r="BK216">
        <f>SUM(AG216:AW216)</f>
        <v/>
      </c>
      <c r="BL216" s="531">
        <f>BJ216-BK216</f>
        <v/>
      </c>
      <c r="BM216" s="201" t="n"/>
    </row>
    <row r="217" hidden="1" outlineLevel="1" s="191">
      <c r="A217">
        <f>II_Baza_BDP!A20</f>
        <v/>
      </c>
      <c r="B217">
        <f>II_Baza_BDP!B20</f>
        <v/>
      </c>
      <c r="C217">
        <f>II_Baza_BDP!C20</f>
        <v/>
      </c>
      <c r="D217">
        <f>II_Baza_BDP!D20</f>
        <v/>
      </c>
      <c r="E217">
        <f>II_Baza_BDP!E20</f>
        <v/>
      </c>
      <c r="F217">
        <f>II_Baza_BDP!F20</f>
        <v/>
      </c>
      <c r="G217">
        <f>II_Baza_BDP!G20</f>
        <v/>
      </c>
      <c r="H217">
        <f>II_Baza_BDP!H20</f>
        <v/>
      </c>
      <c r="I217">
        <f>II_Baza_BDP!I20</f>
        <v/>
      </c>
      <c r="J217">
        <f>II_Baza_BDP!J20</f>
        <v/>
      </c>
      <c r="K217" s="672">
        <f>II_Baza_BDP!K20</f>
        <v/>
      </c>
      <c r="L217" s="672">
        <f>II_Baza_BDP!L20</f>
        <v/>
      </c>
      <c r="M217">
        <f>II_Baza_BDP!M20</f>
        <v/>
      </c>
      <c r="N217">
        <f>II_Baza_BDP!N20</f>
        <v/>
      </c>
      <c r="O217">
        <f>II_Baza_BDP!O20</f>
        <v/>
      </c>
      <c r="P217" s="628">
        <f>II_Baza_BDP!P20</f>
        <v/>
      </c>
      <c r="Q217" s="628">
        <f>II_Baza_BDP!Q20</f>
        <v/>
      </c>
      <c r="R217" s="628">
        <f>II_Baza_BDP!R20</f>
        <v/>
      </c>
      <c r="S217" s="628">
        <f>II_Baza_BDP!S20</f>
        <v/>
      </c>
      <c r="T217" s="628">
        <f>II_Baza_BDP!T20</f>
        <v/>
      </c>
      <c r="U217" s="628">
        <f>II_Baza_BDP!U20</f>
        <v/>
      </c>
      <c r="V217" s="628">
        <f>II_Baza_BDP!V20</f>
        <v/>
      </c>
      <c r="W217" s="628">
        <f>II_Baza_BDP!W20</f>
        <v/>
      </c>
      <c r="X217" s="628">
        <f>II_Baza_BDP!X20</f>
        <v/>
      </c>
      <c r="Y217" s="650">
        <f>II_Baza_BDP!Y20</f>
        <v/>
      </c>
      <c r="Z217" s="650">
        <f>II_Baza_BDP!Z20</f>
        <v/>
      </c>
      <c r="AA217" s="650">
        <f>II_Baza_BDP!AA20</f>
        <v/>
      </c>
      <c r="AB217" s="650">
        <f>II_Baza_BDP!AB20</f>
        <v/>
      </c>
      <c r="AC217" s="613">
        <f>II_Baza_BDP!AC20</f>
        <v/>
      </c>
      <c r="AD217" s="613">
        <f>II_Baza_BDP!AD20</f>
        <v/>
      </c>
      <c r="AE217" s="613">
        <f>II_Baza_BDP!AE20</f>
        <v/>
      </c>
      <c r="AF217" s="613">
        <f>II_Baza_BDP!AF20</f>
        <v/>
      </c>
      <c r="AG217" s="626">
        <f>II_Baza_BDP!AG20</f>
        <v/>
      </c>
      <c r="AH217" s="626">
        <f>II_Baza_BDP!AH20</f>
        <v/>
      </c>
      <c r="AI217" s="626">
        <f>II_Baza_BDP!AI20</f>
        <v/>
      </c>
      <c r="AJ217" s="626">
        <f>II_Baza_BDP!AJ20</f>
        <v/>
      </c>
      <c r="AK217" s="626">
        <f>II_Baza_BDP!AK20</f>
        <v/>
      </c>
      <c r="AL217" s="626">
        <f>II_Baza_BDP!AL20</f>
        <v/>
      </c>
      <c r="AM217" s="626">
        <f>II_Baza_BDP!AM20</f>
        <v/>
      </c>
      <c r="AN217" s="626">
        <f>II_Baza_BDP!AN20</f>
        <v/>
      </c>
      <c r="AO217" s="626">
        <f>II_Baza_BDP!AO20</f>
        <v/>
      </c>
      <c r="AP217" s="369">
        <f>II_Baza_BDP!AP20</f>
        <v/>
      </c>
      <c r="AQ217" s="369">
        <f>II_Baza_BDP!AQ20</f>
        <v/>
      </c>
      <c r="AR217" s="369">
        <f>II_Baza_BDP!AR20</f>
        <v/>
      </c>
      <c r="AS217" s="369">
        <f>II_Baza_BDP!AS20</f>
        <v/>
      </c>
      <c r="AT217" s="370">
        <f>II_Baza_BDP!AT20</f>
        <v/>
      </c>
      <c r="AU217" s="370">
        <f>II_Baza_BDP!AU20</f>
        <v/>
      </c>
      <c r="AV217" s="370">
        <f>II_Baza_BDP!AV20</f>
        <v/>
      </c>
      <c r="AW217" s="370">
        <f>II_Baza_BDP!AW20</f>
        <v/>
      </c>
      <c r="AX217">
        <f>II_Baza_BDP!AX20</f>
        <v/>
      </c>
      <c r="AY217">
        <f>II_Baza_BDP!AY20</f>
        <v/>
      </c>
      <c r="AZ217">
        <f>II_Baza_BDP!AZ20</f>
        <v/>
      </c>
      <c r="BA217">
        <f>II_Baza_BDP!BA20</f>
        <v/>
      </c>
      <c r="BB217">
        <f>II_Baza_BDP!BB20</f>
        <v/>
      </c>
      <c r="BC217">
        <f>II_Baza_BDP!BC20</f>
        <v/>
      </c>
      <c r="BD217">
        <f>II_Baza_BDP!BD20</f>
        <v/>
      </c>
      <c r="BE217">
        <f>II_Baza_BDP!BE20</f>
        <v/>
      </c>
      <c r="BF217">
        <f>II_Baza_BDP!BF20</f>
        <v/>
      </c>
      <c r="BG217">
        <f>II_Baza_BDP!BG20</f>
        <v/>
      </c>
      <c r="BH217">
        <f>II_Baza_BDP!BH20</f>
        <v/>
      </c>
      <c r="BI217">
        <f>II_Baza_BDP!BI20</f>
        <v/>
      </c>
      <c r="BJ217">
        <f>O217</f>
        <v/>
      </c>
      <c r="BK217">
        <f>SUM(AG217:AW217)</f>
        <v/>
      </c>
      <c r="BL217" s="531">
        <f>BJ217-BK217</f>
        <v/>
      </c>
      <c r="BM217" s="201" t="n"/>
    </row>
    <row r="218" hidden="1" outlineLevel="1" s="191">
      <c r="A218">
        <f>II_Baza_BDP!A21</f>
        <v/>
      </c>
      <c r="B218">
        <f>II_Baza_BDP!B21</f>
        <v/>
      </c>
      <c r="C218">
        <f>II_Baza_BDP!C21</f>
        <v/>
      </c>
      <c r="D218">
        <f>II_Baza_BDP!D21</f>
        <v/>
      </c>
      <c r="E218">
        <f>II_Baza_BDP!E21</f>
        <v/>
      </c>
      <c r="F218">
        <f>II_Baza_BDP!F21</f>
        <v/>
      </c>
      <c r="G218">
        <f>II_Baza_BDP!G21</f>
        <v/>
      </c>
      <c r="H218">
        <f>II_Baza_BDP!H21</f>
        <v/>
      </c>
      <c r="I218">
        <f>II_Baza_BDP!I21</f>
        <v/>
      </c>
      <c r="J218">
        <f>II_Baza_BDP!J21</f>
        <v/>
      </c>
      <c r="K218" s="672">
        <f>II_Baza_BDP!K21</f>
        <v/>
      </c>
      <c r="L218" s="672">
        <f>II_Baza_BDP!L21</f>
        <v/>
      </c>
      <c r="M218">
        <f>II_Baza_BDP!M21</f>
        <v/>
      </c>
      <c r="N218">
        <f>II_Baza_BDP!N21</f>
        <v/>
      </c>
      <c r="O218">
        <f>II_Baza_BDP!O21</f>
        <v/>
      </c>
      <c r="P218" s="628">
        <f>II_Baza_BDP!P21</f>
        <v/>
      </c>
      <c r="Q218" s="628">
        <f>II_Baza_BDP!Q21</f>
        <v/>
      </c>
      <c r="R218" s="628">
        <f>II_Baza_BDP!R21</f>
        <v/>
      </c>
      <c r="S218" s="628">
        <f>II_Baza_BDP!S21</f>
        <v/>
      </c>
      <c r="T218" s="628">
        <f>II_Baza_BDP!T21</f>
        <v/>
      </c>
      <c r="U218" s="628">
        <f>II_Baza_BDP!U21</f>
        <v/>
      </c>
      <c r="V218" s="628">
        <f>II_Baza_BDP!V21</f>
        <v/>
      </c>
      <c r="W218" s="628">
        <f>II_Baza_BDP!W21</f>
        <v/>
      </c>
      <c r="X218" s="628">
        <f>II_Baza_BDP!X21</f>
        <v/>
      </c>
      <c r="Y218" s="650">
        <f>II_Baza_BDP!Y21</f>
        <v/>
      </c>
      <c r="Z218" s="650">
        <f>II_Baza_BDP!Z21</f>
        <v/>
      </c>
      <c r="AA218" s="650">
        <f>II_Baza_BDP!AA21</f>
        <v/>
      </c>
      <c r="AB218" s="650">
        <f>II_Baza_BDP!AB21</f>
        <v/>
      </c>
      <c r="AC218" s="613">
        <f>II_Baza_BDP!AC21</f>
        <v/>
      </c>
      <c r="AD218" s="613">
        <f>II_Baza_BDP!AD21</f>
        <v/>
      </c>
      <c r="AE218" s="613">
        <f>II_Baza_BDP!AE21</f>
        <v/>
      </c>
      <c r="AF218" s="613">
        <f>II_Baza_BDP!AF21</f>
        <v/>
      </c>
      <c r="AG218" s="626">
        <f>II_Baza_BDP!AG21</f>
        <v/>
      </c>
      <c r="AH218" s="626">
        <f>II_Baza_BDP!AH21</f>
        <v/>
      </c>
      <c r="AI218" s="626">
        <f>II_Baza_BDP!AI21</f>
        <v/>
      </c>
      <c r="AJ218" s="626">
        <f>II_Baza_BDP!AJ21</f>
        <v/>
      </c>
      <c r="AK218" s="626">
        <f>II_Baza_BDP!AK21</f>
        <v/>
      </c>
      <c r="AL218" s="626">
        <f>II_Baza_BDP!AL21</f>
        <v/>
      </c>
      <c r="AM218" s="626">
        <f>II_Baza_BDP!AM21</f>
        <v/>
      </c>
      <c r="AN218" s="626">
        <f>II_Baza_BDP!AN21</f>
        <v/>
      </c>
      <c r="AO218" s="626">
        <f>II_Baza_BDP!AO21</f>
        <v/>
      </c>
      <c r="AP218" s="369">
        <f>II_Baza_BDP!AP21</f>
        <v/>
      </c>
      <c r="AQ218" s="369">
        <f>II_Baza_BDP!AQ21</f>
        <v/>
      </c>
      <c r="AR218" s="369">
        <f>II_Baza_BDP!AR21</f>
        <v/>
      </c>
      <c r="AS218" s="369">
        <f>II_Baza_BDP!AS21</f>
        <v/>
      </c>
      <c r="AT218" s="370">
        <f>II_Baza_BDP!AT21</f>
        <v/>
      </c>
      <c r="AU218" s="370">
        <f>II_Baza_BDP!AU21</f>
        <v/>
      </c>
      <c r="AV218" s="370">
        <f>II_Baza_BDP!AV21</f>
        <v/>
      </c>
      <c r="AW218" s="370">
        <f>II_Baza_BDP!AW21</f>
        <v/>
      </c>
      <c r="AX218">
        <f>II_Baza_BDP!AX21</f>
        <v/>
      </c>
      <c r="AY218">
        <f>II_Baza_BDP!AY21</f>
        <v/>
      </c>
      <c r="AZ218">
        <f>II_Baza_BDP!AZ21</f>
        <v/>
      </c>
      <c r="BA218">
        <f>II_Baza_BDP!BA21</f>
        <v/>
      </c>
      <c r="BB218">
        <f>II_Baza_BDP!BB21</f>
        <v/>
      </c>
      <c r="BC218">
        <f>II_Baza_BDP!BC21</f>
        <v/>
      </c>
      <c r="BD218">
        <f>II_Baza_BDP!BD21</f>
        <v/>
      </c>
      <c r="BE218">
        <f>II_Baza_BDP!BE21</f>
        <v/>
      </c>
      <c r="BF218">
        <f>II_Baza_BDP!BF21</f>
        <v/>
      </c>
      <c r="BG218">
        <f>II_Baza_BDP!BG21</f>
        <v/>
      </c>
      <c r="BH218">
        <f>II_Baza_BDP!BH21</f>
        <v/>
      </c>
      <c r="BI218">
        <f>II_Baza_BDP!BI21</f>
        <v/>
      </c>
      <c r="BJ218">
        <f>O218</f>
        <v/>
      </c>
      <c r="BK218">
        <f>SUM(AG218:AW218)</f>
        <v/>
      </c>
      <c r="BL218" s="531">
        <f>BJ218-BK218</f>
        <v/>
      </c>
      <c r="BM218" s="201" t="n"/>
    </row>
    <row r="219" hidden="1" outlineLevel="1" s="191">
      <c r="A219">
        <f>II_Baza_BDP!A22</f>
        <v/>
      </c>
      <c r="B219">
        <f>II_Baza_BDP!B22</f>
        <v/>
      </c>
      <c r="C219">
        <f>II_Baza_BDP!C22</f>
        <v/>
      </c>
      <c r="D219">
        <f>II_Baza_BDP!D22</f>
        <v/>
      </c>
      <c r="E219">
        <f>II_Baza_BDP!E22</f>
        <v/>
      </c>
      <c r="F219">
        <f>II_Baza_BDP!F22</f>
        <v/>
      </c>
      <c r="G219">
        <f>II_Baza_BDP!G22</f>
        <v/>
      </c>
      <c r="H219">
        <f>II_Baza_BDP!H22</f>
        <v/>
      </c>
      <c r="I219">
        <f>II_Baza_BDP!I22</f>
        <v/>
      </c>
      <c r="J219">
        <f>II_Baza_BDP!J22</f>
        <v/>
      </c>
      <c r="K219" s="672">
        <f>II_Baza_BDP!K22</f>
        <v/>
      </c>
      <c r="L219" s="672">
        <f>II_Baza_BDP!L22</f>
        <v/>
      </c>
      <c r="M219">
        <f>II_Baza_BDP!M22</f>
        <v/>
      </c>
      <c r="N219">
        <f>II_Baza_BDP!N22</f>
        <v/>
      </c>
      <c r="O219">
        <f>II_Baza_BDP!O22</f>
        <v/>
      </c>
      <c r="P219" s="628">
        <f>II_Baza_BDP!P22</f>
        <v/>
      </c>
      <c r="Q219" s="628">
        <f>II_Baza_BDP!Q22</f>
        <v/>
      </c>
      <c r="R219" s="628">
        <f>II_Baza_BDP!R22</f>
        <v/>
      </c>
      <c r="S219" s="628">
        <f>II_Baza_BDP!S22</f>
        <v/>
      </c>
      <c r="T219" s="628">
        <f>II_Baza_BDP!T22</f>
        <v/>
      </c>
      <c r="U219" s="628">
        <f>II_Baza_BDP!U22</f>
        <v/>
      </c>
      <c r="V219" s="628">
        <f>II_Baza_BDP!V22</f>
        <v/>
      </c>
      <c r="W219" s="628">
        <f>II_Baza_BDP!W22</f>
        <v/>
      </c>
      <c r="X219" s="628">
        <f>II_Baza_BDP!X22</f>
        <v/>
      </c>
      <c r="Y219" s="650">
        <f>II_Baza_BDP!Y22</f>
        <v/>
      </c>
      <c r="Z219" s="650">
        <f>II_Baza_BDP!Z22</f>
        <v/>
      </c>
      <c r="AA219" s="650">
        <f>II_Baza_BDP!AA22</f>
        <v/>
      </c>
      <c r="AB219" s="650">
        <f>II_Baza_BDP!AB22</f>
        <v/>
      </c>
      <c r="AC219" s="613">
        <f>II_Baza_BDP!AC22</f>
        <v/>
      </c>
      <c r="AD219" s="613">
        <f>II_Baza_BDP!AD22</f>
        <v/>
      </c>
      <c r="AE219" s="613">
        <f>II_Baza_BDP!AE22</f>
        <v/>
      </c>
      <c r="AF219" s="613">
        <f>II_Baza_BDP!AF22</f>
        <v/>
      </c>
      <c r="AG219" s="626">
        <f>II_Baza_BDP!AG22</f>
        <v/>
      </c>
      <c r="AH219" s="626">
        <f>II_Baza_BDP!AH22</f>
        <v/>
      </c>
      <c r="AI219" s="626">
        <f>II_Baza_BDP!AI22</f>
        <v/>
      </c>
      <c r="AJ219" s="626">
        <f>II_Baza_BDP!AJ22</f>
        <v/>
      </c>
      <c r="AK219" s="626">
        <f>II_Baza_BDP!AK22</f>
        <v/>
      </c>
      <c r="AL219" s="626">
        <f>II_Baza_BDP!AL22</f>
        <v/>
      </c>
      <c r="AM219" s="626">
        <f>II_Baza_BDP!AM22</f>
        <v/>
      </c>
      <c r="AN219" s="626">
        <f>II_Baza_BDP!AN22</f>
        <v/>
      </c>
      <c r="AO219" s="626">
        <f>II_Baza_BDP!AO22</f>
        <v/>
      </c>
      <c r="AP219" s="369">
        <f>II_Baza_BDP!AP22</f>
        <v/>
      </c>
      <c r="AQ219" s="369">
        <f>II_Baza_BDP!AQ22</f>
        <v/>
      </c>
      <c r="AR219" s="369">
        <f>II_Baza_BDP!AR22</f>
        <v/>
      </c>
      <c r="AS219" s="369">
        <f>II_Baza_BDP!AS22</f>
        <v/>
      </c>
      <c r="AT219" s="370">
        <f>II_Baza_BDP!AT22</f>
        <v/>
      </c>
      <c r="AU219" s="370">
        <f>II_Baza_BDP!AU22</f>
        <v/>
      </c>
      <c r="AV219" s="370">
        <f>II_Baza_BDP!AV22</f>
        <v/>
      </c>
      <c r="AW219" s="370">
        <f>II_Baza_BDP!AW22</f>
        <v/>
      </c>
      <c r="AX219">
        <f>II_Baza_BDP!AX22</f>
        <v/>
      </c>
      <c r="AY219">
        <f>II_Baza_BDP!AY22</f>
        <v/>
      </c>
      <c r="AZ219">
        <f>II_Baza_BDP!AZ22</f>
        <v/>
      </c>
      <c r="BA219">
        <f>II_Baza_BDP!BA22</f>
        <v/>
      </c>
      <c r="BB219">
        <f>II_Baza_BDP!BB22</f>
        <v/>
      </c>
      <c r="BC219">
        <f>II_Baza_BDP!BC22</f>
        <v/>
      </c>
      <c r="BD219">
        <f>II_Baza_BDP!BD22</f>
        <v/>
      </c>
      <c r="BE219">
        <f>II_Baza_BDP!BE22</f>
        <v/>
      </c>
      <c r="BF219">
        <f>II_Baza_BDP!BF22</f>
        <v/>
      </c>
      <c r="BG219">
        <f>II_Baza_BDP!BG22</f>
        <v/>
      </c>
      <c r="BH219">
        <f>II_Baza_BDP!BH22</f>
        <v/>
      </c>
      <c r="BI219">
        <f>II_Baza_BDP!BI22</f>
        <v/>
      </c>
      <c r="BJ219">
        <f>O219</f>
        <v/>
      </c>
      <c r="BK219">
        <f>SUM(AG219:AW219)</f>
        <v/>
      </c>
      <c r="BL219" s="531">
        <f>BJ219-BK219</f>
        <v/>
      </c>
      <c r="BM219" s="201" t="n"/>
    </row>
    <row r="220" hidden="1" outlineLevel="1" s="191">
      <c r="A220">
        <f>II_Baza_BDP!A23</f>
        <v/>
      </c>
      <c r="B220">
        <f>II_Baza_BDP!B23</f>
        <v/>
      </c>
      <c r="C220">
        <f>II_Baza_BDP!C23</f>
        <v/>
      </c>
      <c r="D220">
        <f>II_Baza_BDP!D23</f>
        <v/>
      </c>
      <c r="E220">
        <f>II_Baza_BDP!E23</f>
        <v/>
      </c>
      <c r="F220">
        <f>II_Baza_BDP!F23</f>
        <v/>
      </c>
      <c r="G220">
        <f>II_Baza_BDP!G23</f>
        <v/>
      </c>
      <c r="H220">
        <f>II_Baza_BDP!H23</f>
        <v/>
      </c>
      <c r="I220">
        <f>II_Baza_BDP!I23</f>
        <v/>
      </c>
      <c r="J220">
        <f>II_Baza_BDP!J23</f>
        <v/>
      </c>
      <c r="K220" s="672">
        <f>II_Baza_BDP!K23</f>
        <v/>
      </c>
      <c r="L220" s="672">
        <f>II_Baza_BDP!L23</f>
        <v/>
      </c>
      <c r="M220">
        <f>II_Baza_BDP!M23</f>
        <v/>
      </c>
      <c r="N220">
        <f>II_Baza_BDP!N23</f>
        <v/>
      </c>
      <c r="O220">
        <f>II_Baza_BDP!O23</f>
        <v/>
      </c>
      <c r="P220" s="628">
        <f>II_Baza_BDP!P23</f>
        <v/>
      </c>
      <c r="Q220" s="628">
        <f>II_Baza_BDP!Q23</f>
        <v/>
      </c>
      <c r="R220" s="628">
        <f>II_Baza_BDP!R23</f>
        <v/>
      </c>
      <c r="S220" s="628">
        <f>II_Baza_BDP!S23</f>
        <v/>
      </c>
      <c r="T220" s="628">
        <f>II_Baza_BDP!T23</f>
        <v/>
      </c>
      <c r="U220" s="628">
        <f>II_Baza_BDP!U23</f>
        <v/>
      </c>
      <c r="V220" s="628">
        <f>II_Baza_BDP!V23</f>
        <v/>
      </c>
      <c r="W220" s="628">
        <f>II_Baza_BDP!W23</f>
        <v/>
      </c>
      <c r="X220" s="628">
        <f>II_Baza_BDP!X23</f>
        <v/>
      </c>
      <c r="Y220" s="650">
        <f>II_Baza_BDP!Y23</f>
        <v/>
      </c>
      <c r="Z220" s="650">
        <f>II_Baza_BDP!Z23</f>
        <v/>
      </c>
      <c r="AA220" s="650">
        <f>II_Baza_BDP!AA23</f>
        <v/>
      </c>
      <c r="AB220" s="650">
        <f>II_Baza_BDP!AB23</f>
        <v/>
      </c>
      <c r="AC220" s="613">
        <f>II_Baza_BDP!AC23</f>
        <v/>
      </c>
      <c r="AD220" s="613">
        <f>II_Baza_BDP!AD23</f>
        <v/>
      </c>
      <c r="AE220" s="613">
        <f>II_Baza_BDP!AE23</f>
        <v/>
      </c>
      <c r="AF220" s="613">
        <f>II_Baza_BDP!AF23</f>
        <v/>
      </c>
      <c r="AG220" s="626">
        <f>II_Baza_BDP!AG23</f>
        <v/>
      </c>
      <c r="AH220" s="626">
        <f>II_Baza_BDP!AH23</f>
        <v/>
      </c>
      <c r="AI220" s="626">
        <f>II_Baza_BDP!AI23</f>
        <v/>
      </c>
      <c r="AJ220" s="626">
        <f>II_Baza_BDP!AJ23</f>
        <v/>
      </c>
      <c r="AK220" s="626">
        <f>II_Baza_BDP!AK23</f>
        <v/>
      </c>
      <c r="AL220" s="626">
        <f>II_Baza_BDP!AL23</f>
        <v/>
      </c>
      <c r="AM220" s="626">
        <f>II_Baza_BDP!AM23</f>
        <v/>
      </c>
      <c r="AN220" s="626">
        <f>II_Baza_BDP!AN23</f>
        <v/>
      </c>
      <c r="AO220" s="626">
        <f>II_Baza_BDP!AO23</f>
        <v/>
      </c>
      <c r="AP220" s="369">
        <f>II_Baza_BDP!AP23</f>
        <v/>
      </c>
      <c r="AQ220" s="369">
        <f>II_Baza_BDP!AQ23</f>
        <v/>
      </c>
      <c r="AR220" s="369">
        <f>II_Baza_BDP!AR23</f>
        <v/>
      </c>
      <c r="AS220" s="369">
        <f>II_Baza_BDP!AS23</f>
        <v/>
      </c>
      <c r="AT220" s="370">
        <f>II_Baza_BDP!AT23</f>
        <v/>
      </c>
      <c r="AU220" s="370">
        <f>II_Baza_BDP!AU23</f>
        <v/>
      </c>
      <c r="AV220" s="370">
        <f>II_Baza_BDP!AV23</f>
        <v/>
      </c>
      <c r="AW220" s="370">
        <f>II_Baza_BDP!AW23</f>
        <v/>
      </c>
      <c r="AX220">
        <f>II_Baza_BDP!AX23</f>
        <v/>
      </c>
      <c r="AY220">
        <f>II_Baza_BDP!AY23</f>
        <v/>
      </c>
      <c r="AZ220">
        <f>II_Baza_BDP!AZ23</f>
        <v/>
      </c>
      <c r="BA220">
        <f>II_Baza_BDP!BA23</f>
        <v/>
      </c>
      <c r="BB220">
        <f>II_Baza_BDP!BB23</f>
        <v/>
      </c>
      <c r="BC220">
        <f>II_Baza_BDP!BC23</f>
        <v/>
      </c>
      <c r="BD220">
        <f>II_Baza_BDP!BD23</f>
        <v/>
      </c>
      <c r="BE220">
        <f>II_Baza_BDP!BE23</f>
        <v/>
      </c>
      <c r="BF220">
        <f>II_Baza_BDP!BF23</f>
        <v/>
      </c>
      <c r="BG220">
        <f>II_Baza_BDP!BG23</f>
        <v/>
      </c>
      <c r="BH220">
        <f>II_Baza_BDP!BH23</f>
        <v/>
      </c>
      <c r="BI220">
        <f>II_Baza_BDP!BI23</f>
        <v/>
      </c>
      <c r="BJ220">
        <f>O220</f>
        <v/>
      </c>
      <c r="BK220">
        <f>SUM(AG220:AW220)</f>
        <v/>
      </c>
      <c r="BL220" s="531">
        <f>BJ220-BK220</f>
        <v/>
      </c>
      <c r="BM220" s="201" t="n"/>
    </row>
    <row r="221" hidden="1" outlineLevel="1" s="191">
      <c r="A221">
        <f>II_Baza_BDP!A24</f>
        <v/>
      </c>
      <c r="B221">
        <f>II_Baza_BDP!B24</f>
        <v/>
      </c>
      <c r="C221">
        <f>II_Baza_BDP!C24</f>
        <v/>
      </c>
      <c r="D221">
        <f>II_Baza_BDP!D24</f>
        <v/>
      </c>
      <c r="E221">
        <f>II_Baza_BDP!E24</f>
        <v/>
      </c>
      <c r="F221">
        <f>II_Baza_BDP!F24</f>
        <v/>
      </c>
      <c r="G221">
        <f>II_Baza_BDP!G24</f>
        <v/>
      </c>
      <c r="H221">
        <f>II_Baza_BDP!H24</f>
        <v/>
      </c>
      <c r="I221">
        <f>II_Baza_BDP!I24</f>
        <v/>
      </c>
      <c r="J221">
        <f>II_Baza_BDP!J24</f>
        <v/>
      </c>
      <c r="K221" s="672">
        <f>II_Baza_BDP!K24</f>
        <v/>
      </c>
      <c r="L221" s="672">
        <f>II_Baza_BDP!L24</f>
        <v/>
      </c>
      <c r="M221">
        <f>II_Baza_BDP!M24</f>
        <v/>
      </c>
      <c r="N221">
        <f>II_Baza_BDP!N24</f>
        <v/>
      </c>
      <c r="O221">
        <f>II_Baza_BDP!O24</f>
        <v/>
      </c>
      <c r="P221" s="628">
        <f>II_Baza_BDP!P24</f>
        <v/>
      </c>
      <c r="Q221" s="628">
        <f>II_Baza_BDP!Q24</f>
        <v/>
      </c>
      <c r="R221" s="628">
        <f>II_Baza_BDP!R24</f>
        <v/>
      </c>
      <c r="S221" s="628">
        <f>II_Baza_BDP!S24</f>
        <v/>
      </c>
      <c r="T221" s="628">
        <f>II_Baza_BDP!T24</f>
        <v/>
      </c>
      <c r="U221" s="628">
        <f>II_Baza_BDP!U24</f>
        <v/>
      </c>
      <c r="V221" s="628">
        <f>II_Baza_BDP!V24</f>
        <v/>
      </c>
      <c r="W221" s="628">
        <f>II_Baza_BDP!W24</f>
        <v/>
      </c>
      <c r="X221" s="628">
        <f>II_Baza_BDP!X24</f>
        <v/>
      </c>
      <c r="Y221" s="650">
        <f>II_Baza_BDP!Y24</f>
        <v/>
      </c>
      <c r="Z221" s="650">
        <f>II_Baza_BDP!Z24</f>
        <v/>
      </c>
      <c r="AA221" s="650">
        <f>II_Baza_BDP!AA24</f>
        <v/>
      </c>
      <c r="AB221" s="650">
        <f>II_Baza_BDP!AB24</f>
        <v/>
      </c>
      <c r="AC221" s="613">
        <f>II_Baza_BDP!AC24</f>
        <v/>
      </c>
      <c r="AD221" s="613">
        <f>II_Baza_BDP!AD24</f>
        <v/>
      </c>
      <c r="AE221" s="613">
        <f>II_Baza_BDP!AE24</f>
        <v/>
      </c>
      <c r="AF221" s="613">
        <f>II_Baza_BDP!AF24</f>
        <v/>
      </c>
      <c r="AG221" s="626">
        <f>II_Baza_BDP!AG24</f>
        <v/>
      </c>
      <c r="AH221" s="626">
        <f>II_Baza_BDP!AH24</f>
        <v/>
      </c>
      <c r="AI221" s="626">
        <f>II_Baza_BDP!AI24</f>
        <v/>
      </c>
      <c r="AJ221" s="626">
        <f>II_Baza_BDP!AJ24</f>
        <v/>
      </c>
      <c r="AK221" s="626">
        <f>II_Baza_BDP!AK24</f>
        <v/>
      </c>
      <c r="AL221" s="626">
        <f>II_Baza_BDP!AL24</f>
        <v/>
      </c>
      <c r="AM221" s="626">
        <f>II_Baza_BDP!AM24</f>
        <v/>
      </c>
      <c r="AN221" s="626">
        <f>II_Baza_BDP!AN24</f>
        <v/>
      </c>
      <c r="AO221" s="626">
        <f>II_Baza_BDP!AO24</f>
        <v/>
      </c>
      <c r="AP221" s="369">
        <f>II_Baza_BDP!AP24</f>
        <v/>
      </c>
      <c r="AQ221" s="369">
        <f>II_Baza_BDP!AQ24</f>
        <v/>
      </c>
      <c r="AR221" s="369">
        <f>II_Baza_BDP!AR24</f>
        <v/>
      </c>
      <c r="AS221" s="369">
        <f>II_Baza_BDP!AS24</f>
        <v/>
      </c>
      <c r="AT221" s="370">
        <f>II_Baza_BDP!AT24</f>
        <v/>
      </c>
      <c r="AU221" s="370">
        <f>II_Baza_BDP!AU24</f>
        <v/>
      </c>
      <c r="AV221" s="370">
        <f>II_Baza_BDP!AV24</f>
        <v/>
      </c>
      <c r="AW221" s="370">
        <f>II_Baza_BDP!AW24</f>
        <v/>
      </c>
      <c r="AX221">
        <f>II_Baza_BDP!AX24</f>
        <v/>
      </c>
      <c r="AY221">
        <f>II_Baza_BDP!AY24</f>
        <v/>
      </c>
      <c r="AZ221">
        <f>II_Baza_BDP!AZ24</f>
        <v/>
      </c>
      <c r="BA221">
        <f>II_Baza_BDP!BA24</f>
        <v/>
      </c>
      <c r="BB221">
        <f>II_Baza_BDP!BB24</f>
        <v/>
      </c>
      <c r="BC221">
        <f>II_Baza_BDP!BC24</f>
        <v/>
      </c>
      <c r="BD221">
        <f>II_Baza_BDP!BD24</f>
        <v/>
      </c>
      <c r="BE221">
        <f>II_Baza_BDP!BE24</f>
        <v/>
      </c>
      <c r="BF221">
        <f>II_Baza_BDP!BF24</f>
        <v/>
      </c>
      <c r="BG221">
        <f>II_Baza_BDP!BG24</f>
        <v/>
      </c>
      <c r="BH221">
        <f>II_Baza_BDP!BH24</f>
        <v/>
      </c>
      <c r="BI221">
        <f>II_Baza_BDP!BI24</f>
        <v/>
      </c>
      <c r="BJ221">
        <f>O221</f>
        <v/>
      </c>
      <c r="BK221">
        <f>SUM(AG221:AW221)</f>
        <v/>
      </c>
      <c r="BL221" s="531">
        <f>BJ221-BK221</f>
        <v/>
      </c>
      <c r="BM221" s="201" t="n"/>
    </row>
    <row r="222" hidden="1" outlineLevel="1" s="191">
      <c r="A222">
        <f>II_Baza_BDP!A25</f>
        <v/>
      </c>
      <c r="B222">
        <f>II_Baza_BDP!B25</f>
        <v/>
      </c>
      <c r="C222">
        <f>II_Baza_BDP!C25</f>
        <v/>
      </c>
      <c r="D222">
        <f>II_Baza_BDP!D25</f>
        <v/>
      </c>
      <c r="E222">
        <f>II_Baza_BDP!E25</f>
        <v/>
      </c>
      <c r="F222">
        <f>II_Baza_BDP!F25</f>
        <v/>
      </c>
      <c r="G222">
        <f>II_Baza_BDP!G25</f>
        <v/>
      </c>
      <c r="H222">
        <f>II_Baza_BDP!H25</f>
        <v/>
      </c>
      <c r="I222">
        <f>II_Baza_BDP!I25</f>
        <v/>
      </c>
      <c r="J222">
        <f>II_Baza_BDP!J25</f>
        <v/>
      </c>
      <c r="K222" s="672">
        <f>II_Baza_BDP!K25</f>
        <v/>
      </c>
      <c r="L222" s="672">
        <f>II_Baza_BDP!L25</f>
        <v/>
      </c>
      <c r="M222">
        <f>II_Baza_BDP!M25</f>
        <v/>
      </c>
      <c r="N222">
        <f>II_Baza_BDP!N25</f>
        <v/>
      </c>
      <c r="O222">
        <f>II_Baza_BDP!O25</f>
        <v/>
      </c>
      <c r="P222" s="628">
        <f>II_Baza_BDP!P25</f>
        <v/>
      </c>
      <c r="Q222" s="628">
        <f>II_Baza_BDP!Q25</f>
        <v/>
      </c>
      <c r="R222" s="628">
        <f>II_Baza_BDP!R25</f>
        <v/>
      </c>
      <c r="S222" s="628">
        <f>II_Baza_BDP!S25</f>
        <v/>
      </c>
      <c r="T222" s="628">
        <f>II_Baza_BDP!T25</f>
        <v/>
      </c>
      <c r="U222" s="628">
        <f>II_Baza_BDP!U25</f>
        <v/>
      </c>
      <c r="V222" s="628">
        <f>II_Baza_BDP!V25</f>
        <v/>
      </c>
      <c r="W222" s="628">
        <f>II_Baza_BDP!W25</f>
        <v/>
      </c>
      <c r="X222" s="628">
        <f>II_Baza_BDP!X25</f>
        <v/>
      </c>
      <c r="Y222" s="650">
        <f>II_Baza_BDP!Y25</f>
        <v/>
      </c>
      <c r="Z222" s="650">
        <f>II_Baza_BDP!Z25</f>
        <v/>
      </c>
      <c r="AA222" s="650">
        <f>II_Baza_BDP!AA25</f>
        <v/>
      </c>
      <c r="AB222" s="650">
        <f>II_Baza_BDP!AB25</f>
        <v/>
      </c>
      <c r="AC222" s="613">
        <f>II_Baza_BDP!AC25</f>
        <v/>
      </c>
      <c r="AD222" s="613">
        <f>II_Baza_BDP!AD25</f>
        <v/>
      </c>
      <c r="AE222" s="613">
        <f>II_Baza_BDP!AE25</f>
        <v/>
      </c>
      <c r="AF222" s="613">
        <f>II_Baza_BDP!AF25</f>
        <v/>
      </c>
      <c r="AG222" s="626">
        <f>II_Baza_BDP!AG25</f>
        <v/>
      </c>
      <c r="AH222" s="626">
        <f>II_Baza_BDP!AH25</f>
        <v/>
      </c>
      <c r="AI222" s="626">
        <f>II_Baza_BDP!AI25</f>
        <v/>
      </c>
      <c r="AJ222" s="626">
        <f>II_Baza_BDP!AJ25</f>
        <v/>
      </c>
      <c r="AK222" s="626">
        <f>II_Baza_BDP!AK25</f>
        <v/>
      </c>
      <c r="AL222" s="626">
        <f>II_Baza_BDP!AL25</f>
        <v/>
      </c>
      <c r="AM222" s="626">
        <f>II_Baza_BDP!AM25</f>
        <v/>
      </c>
      <c r="AN222" s="626">
        <f>II_Baza_BDP!AN25</f>
        <v/>
      </c>
      <c r="AO222" s="626">
        <f>II_Baza_BDP!AO25</f>
        <v/>
      </c>
      <c r="AP222" s="369">
        <f>II_Baza_BDP!AP25</f>
        <v/>
      </c>
      <c r="AQ222" s="369">
        <f>II_Baza_BDP!AQ25</f>
        <v/>
      </c>
      <c r="AR222" s="369">
        <f>II_Baza_BDP!AR25</f>
        <v/>
      </c>
      <c r="AS222" s="369">
        <f>II_Baza_BDP!AS25</f>
        <v/>
      </c>
      <c r="AT222" s="370">
        <f>II_Baza_BDP!AT25</f>
        <v/>
      </c>
      <c r="AU222" s="370">
        <f>II_Baza_BDP!AU25</f>
        <v/>
      </c>
      <c r="AV222" s="370">
        <f>II_Baza_BDP!AV25</f>
        <v/>
      </c>
      <c r="AW222" s="370">
        <f>II_Baza_BDP!AW25</f>
        <v/>
      </c>
      <c r="AX222">
        <f>II_Baza_BDP!AX25</f>
        <v/>
      </c>
      <c r="AY222">
        <f>II_Baza_BDP!AY25</f>
        <v/>
      </c>
      <c r="AZ222">
        <f>II_Baza_BDP!AZ25</f>
        <v/>
      </c>
      <c r="BA222">
        <f>II_Baza_BDP!BA25</f>
        <v/>
      </c>
      <c r="BB222">
        <f>II_Baza_BDP!BB25</f>
        <v/>
      </c>
      <c r="BC222">
        <f>II_Baza_BDP!BC25</f>
        <v/>
      </c>
      <c r="BD222">
        <f>II_Baza_BDP!BD25</f>
        <v/>
      </c>
      <c r="BE222">
        <f>II_Baza_BDP!BE25</f>
        <v/>
      </c>
      <c r="BF222">
        <f>II_Baza_BDP!BF25</f>
        <v/>
      </c>
      <c r="BG222">
        <f>II_Baza_BDP!BG25</f>
        <v/>
      </c>
      <c r="BH222">
        <f>II_Baza_BDP!BH25</f>
        <v/>
      </c>
      <c r="BI222">
        <f>II_Baza_BDP!BI25</f>
        <v/>
      </c>
      <c r="BJ222">
        <f>O222</f>
        <v/>
      </c>
      <c r="BK222">
        <f>SUM(AG222:AW222)</f>
        <v/>
      </c>
      <c r="BL222" s="531">
        <f>BJ222-BK222</f>
        <v/>
      </c>
      <c r="BM222" s="201" t="n"/>
    </row>
    <row r="223" hidden="1" outlineLevel="1" s="191">
      <c r="A223">
        <f>II_Baza_BDP!A26</f>
        <v/>
      </c>
      <c r="B223">
        <f>II_Baza_BDP!B26</f>
        <v/>
      </c>
      <c r="C223">
        <f>II_Baza_BDP!C26</f>
        <v/>
      </c>
      <c r="D223">
        <f>II_Baza_BDP!D26</f>
        <v/>
      </c>
      <c r="E223">
        <f>II_Baza_BDP!E26</f>
        <v/>
      </c>
      <c r="F223">
        <f>II_Baza_BDP!F26</f>
        <v/>
      </c>
      <c r="G223">
        <f>II_Baza_BDP!G26</f>
        <v/>
      </c>
      <c r="H223">
        <f>II_Baza_BDP!H26</f>
        <v/>
      </c>
      <c r="I223">
        <f>II_Baza_BDP!I26</f>
        <v/>
      </c>
      <c r="J223">
        <f>II_Baza_BDP!J26</f>
        <v/>
      </c>
      <c r="K223" s="672">
        <f>II_Baza_BDP!K26</f>
        <v/>
      </c>
      <c r="L223" s="672">
        <f>II_Baza_BDP!L26</f>
        <v/>
      </c>
      <c r="M223">
        <f>II_Baza_BDP!M26</f>
        <v/>
      </c>
      <c r="N223">
        <f>II_Baza_BDP!N26</f>
        <v/>
      </c>
      <c r="O223">
        <f>II_Baza_BDP!O26</f>
        <v/>
      </c>
      <c r="P223" s="628">
        <f>II_Baza_BDP!P26</f>
        <v/>
      </c>
      <c r="Q223" s="628">
        <f>II_Baza_BDP!Q26</f>
        <v/>
      </c>
      <c r="R223" s="628">
        <f>II_Baza_BDP!R26</f>
        <v/>
      </c>
      <c r="S223" s="628">
        <f>II_Baza_BDP!S26</f>
        <v/>
      </c>
      <c r="T223" s="628">
        <f>II_Baza_BDP!T26</f>
        <v/>
      </c>
      <c r="U223" s="628">
        <f>II_Baza_BDP!U26</f>
        <v/>
      </c>
      <c r="V223" s="628">
        <f>II_Baza_BDP!V26</f>
        <v/>
      </c>
      <c r="W223" s="628">
        <f>II_Baza_BDP!W26</f>
        <v/>
      </c>
      <c r="X223" s="628">
        <f>II_Baza_BDP!X26</f>
        <v/>
      </c>
      <c r="Y223" s="650">
        <f>II_Baza_BDP!Y26</f>
        <v/>
      </c>
      <c r="Z223" s="650">
        <f>II_Baza_BDP!Z26</f>
        <v/>
      </c>
      <c r="AA223" s="650">
        <f>II_Baza_BDP!AA26</f>
        <v/>
      </c>
      <c r="AB223" s="650">
        <f>II_Baza_BDP!AB26</f>
        <v/>
      </c>
      <c r="AC223" s="613">
        <f>II_Baza_BDP!AC26</f>
        <v/>
      </c>
      <c r="AD223" s="613">
        <f>II_Baza_BDP!AD26</f>
        <v/>
      </c>
      <c r="AE223" s="613">
        <f>II_Baza_BDP!AE26</f>
        <v/>
      </c>
      <c r="AF223" s="613">
        <f>II_Baza_BDP!AF26</f>
        <v/>
      </c>
      <c r="AG223" s="626">
        <f>II_Baza_BDP!AG26</f>
        <v/>
      </c>
      <c r="AH223" s="626">
        <f>II_Baza_BDP!AH26</f>
        <v/>
      </c>
      <c r="AI223" s="626">
        <f>II_Baza_BDP!AI26</f>
        <v/>
      </c>
      <c r="AJ223" s="626">
        <f>II_Baza_BDP!AJ26</f>
        <v/>
      </c>
      <c r="AK223" s="626">
        <f>II_Baza_BDP!AK26</f>
        <v/>
      </c>
      <c r="AL223" s="626">
        <f>II_Baza_BDP!AL26</f>
        <v/>
      </c>
      <c r="AM223" s="626">
        <f>II_Baza_BDP!AM26</f>
        <v/>
      </c>
      <c r="AN223" s="626">
        <f>II_Baza_BDP!AN26</f>
        <v/>
      </c>
      <c r="AO223" s="626">
        <f>II_Baza_BDP!AO26</f>
        <v/>
      </c>
      <c r="AP223" s="369">
        <f>II_Baza_BDP!AP26</f>
        <v/>
      </c>
      <c r="AQ223" s="369">
        <f>II_Baza_BDP!AQ26</f>
        <v/>
      </c>
      <c r="AR223" s="369">
        <f>II_Baza_BDP!AR26</f>
        <v/>
      </c>
      <c r="AS223" s="369">
        <f>II_Baza_BDP!AS26</f>
        <v/>
      </c>
      <c r="AT223" s="370">
        <f>II_Baza_BDP!AT26</f>
        <v/>
      </c>
      <c r="AU223" s="370">
        <f>II_Baza_BDP!AU26</f>
        <v/>
      </c>
      <c r="AV223" s="370">
        <f>II_Baza_BDP!AV26</f>
        <v/>
      </c>
      <c r="AW223" s="370">
        <f>II_Baza_BDP!AW26</f>
        <v/>
      </c>
      <c r="AX223">
        <f>II_Baza_BDP!AX26</f>
        <v/>
      </c>
      <c r="AY223">
        <f>II_Baza_BDP!AY26</f>
        <v/>
      </c>
      <c r="AZ223">
        <f>II_Baza_BDP!AZ26</f>
        <v/>
      </c>
      <c r="BA223">
        <f>II_Baza_BDP!BA26</f>
        <v/>
      </c>
      <c r="BB223">
        <f>II_Baza_BDP!BB26</f>
        <v/>
      </c>
      <c r="BC223">
        <f>II_Baza_BDP!BC26</f>
        <v/>
      </c>
      <c r="BD223">
        <f>II_Baza_BDP!BD26</f>
        <v/>
      </c>
      <c r="BE223">
        <f>II_Baza_BDP!BE26</f>
        <v/>
      </c>
      <c r="BF223">
        <f>II_Baza_BDP!BF26</f>
        <v/>
      </c>
      <c r="BG223">
        <f>II_Baza_BDP!BG26</f>
        <v/>
      </c>
      <c r="BH223">
        <f>II_Baza_BDP!BH26</f>
        <v/>
      </c>
      <c r="BI223">
        <f>II_Baza_BDP!BI26</f>
        <v/>
      </c>
      <c r="BJ223">
        <f>O223</f>
        <v/>
      </c>
      <c r="BK223">
        <f>SUM(AG223:AW223)</f>
        <v/>
      </c>
      <c r="BL223" s="531">
        <f>BJ223-BK223</f>
        <v/>
      </c>
      <c r="BM223" s="201" t="n"/>
    </row>
    <row r="224" hidden="1" outlineLevel="1" s="191">
      <c r="A224">
        <f>II_Baza_BDP!A27</f>
        <v/>
      </c>
      <c r="B224">
        <f>II_Baza_BDP!B27</f>
        <v/>
      </c>
      <c r="C224">
        <f>II_Baza_BDP!C27</f>
        <v/>
      </c>
      <c r="D224">
        <f>II_Baza_BDP!D27</f>
        <v/>
      </c>
      <c r="E224">
        <f>II_Baza_BDP!E27</f>
        <v/>
      </c>
      <c r="F224">
        <f>II_Baza_BDP!F27</f>
        <v/>
      </c>
      <c r="G224">
        <f>II_Baza_BDP!G27</f>
        <v/>
      </c>
      <c r="H224">
        <f>II_Baza_BDP!H27</f>
        <v/>
      </c>
      <c r="I224">
        <f>II_Baza_BDP!I27</f>
        <v/>
      </c>
      <c r="J224">
        <f>II_Baza_BDP!J27</f>
        <v/>
      </c>
      <c r="K224" s="672">
        <f>II_Baza_BDP!K27</f>
        <v/>
      </c>
      <c r="L224" s="672">
        <f>II_Baza_BDP!L27</f>
        <v/>
      </c>
      <c r="M224">
        <f>II_Baza_BDP!M27</f>
        <v/>
      </c>
      <c r="N224">
        <f>II_Baza_BDP!N27</f>
        <v/>
      </c>
      <c r="O224">
        <f>II_Baza_BDP!O27</f>
        <v/>
      </c>
      <c r="P224" s="628">
        <f>II_Baza_BDP!P27</f>
        <v/>
      </c>
      <c r="Q224" s="628">
        <f>II_Baza_BDP!Q27</f>
        <v/>
      </c>
      <c r="R224" s="628">
        <f>II_Baza_BDP!R27</f>
        <v/>
      </c>
      <c r="S224" s="628">
        <f>II_Baza_BDP!S27</f>
        <v/>
      </c>
      <c r="T224" s="628">
        <f>II_Baza_BDP!T27</f>
        <v/>
      </c>
      <c r="U224" s="628">
        <f>II_Baza_BDP!U27</f>
        <v/>
      </c>
      <c r="V224" s="628">
        <f>II_Baza_BDP!V27</f>
        <v/>
      </c>
      <c r="W224" s="628">
        <f>II_Baza_BDP!W27</f>
        <v/>
      </c>
      <c r="X224" s="628">
        <f>II_Baza_BDP!X27</f>
        <v/>
      </c>
      <c r="Y224" s="650">
        <f>II_Baza_BDP!Y27</f>
        <v/>
      </c>
      <c r="Z224" s="650">
        <f>II_Baza_BDP!Z27</f>
        <v/>
      </c>
      <c r="AA224" s="650">
        <f>II_Baza_BDP!AA27</f>
        <v/>
      </c>
      <c r="AB224" s="650">
        <f>II_Baza_BDP!AB27</f>
        <v/>
      </c>
      <c r="AC224" s="613">
        <f>II_Baza_BDP!AC27</f>
        <v/>
      </c>
      <c r="AD224" s="613">
        <f>II_Baza_BDP!AD27</f>
        <v/>
      </c>
      <c r="AE224" s="613">
        <f>II_Baza_BDP!AE27</f>
        <v/>
      </c>
      <c r="AF224" s="613">
        <f>II_Baza_BDP!AF27</f>
        <v/>
      </c>
      <c r="AG224" s="626">
        <f>II_Baza_BDP!AG27</f>
        <v/>
      </c>
      <c r="AH224" s="626">
        <f>II_Baza_BDP!AH27</f>
        <v/>
      </c>
      <c r="AI224" s="626">
        <f>II_Baza_BDP!AI27</f>
        <v/>
      </c>
      <c r="AJ224" s="626">
        <f>II_Baza_BDP!AJ27</f>
        <v/>
      </c>
      <c r="AK224" s="626">
        <f>II_Baza_BDP!AK27</f>
        <v/>
      </c>
      <c r="AL224" s="626">
        <f>II_Baza_BDP!AL27</f>
        <v/>
      </c>
      <c r="AM224" s="626">
        <f>II_Baza_BDP!AM27</f>
        <v/>
      </c>
      <c r="AN224" s="626">
        <f>II_Baza_BDP!AN27</f>
        <v/>
      </c>
      <c r="AO224" s="626">
        <f>II_Baza_BDP!AO27</f>
        <v/>
      </c>
      <c r="AP224" s="369">
        <f>II_Baza_BDP!AP27</f>
        <v/>
      </c>
      <c r="AQ224" s="369">
        <f>II_Baza_BDP!AQ27</f>
        <v/>
      </c>
      <c r="AR224" s="369">
        <f>II_Baza_BDP!AR27</f>
        <v/>
      </c>
      <c r="AS224" s="369">
        <f>II_Baza_BDP!AS27</f>
        <v/>
      </c>
      <c r="AT224" s="370">
        <f>II_Baza_BDP!AT27</f>
        <v/>
      </c>
      <c r="AU224" s="370">
        <f>II_Baza_BDP!AU27</f>
        <v/>
      </c>
      <c r="AV224" s="370">
        <f>II_Baza_BDP!AV27</f>
        <v/>
      </c>
      <c r="AW224" s="370">
        <f>II_Baza_BDP!AW27</f>
        <v/>
      </c>
      <c r="AX224">
        <f>II_Baza_BDP!AX27</f>
        <v/>
      </c>
      <c r="AY224">
        <f>II_Baza_BDP!AY27</f>
        <v/>
      </c>
      <c r="AZ224">
        <f>II_Baza_BDP!AZ27</f>
        <v/>
      </c>
      <c r="BA224">
        <f>II_Baza_BDP!BA27</f>
        <v/>
      </c>
      <c r="BB224">
        <f>II_Baza_BDP!BB27</f>
        <v/>
      </c>
      <c r="BC224">
        <f>II_Baza_BDP!BC27</f>
        <v/>
      </c>
      <c r="BD224">
        <f>II_Baza_BDP!BD27</f>
        <v/>
      </c>
      <c r="BE224">
        <f>II_Baza_BDP!BE27</f>
        <v/>
      </c>
      <c r="BF224">
        <f>II_Baza_BDP!BF27</f>
        <v/>
      </c>
      <c r="BG224">
        <f>II_Baza_BDP!BG27</f>
        <v/>
      </c>
      <c r="BH224">
        <f>II_Baza_BDP!BH27</f>
        <v/>
      </c>
      <c r="BI224">
        <f>II_Baza_BDP!BI27</f>
        <v/>
      </c>
      <c r="BJ224">
        <f>O224</f>
        <v/>
      </c>
      <c r="BK224">
        <f>SUM(AG224:AW224)</f>
        <v/>
      </c>
      <c r="BL224" s="531">
        <f>BJ224-BK224</f>
        <v/>
      </c>
      <c r="BM224" s="201" t="n"/>
    </row>
    <row r="225" hidden="1" outlineLevel="1" s="191">
      <c r="A225">
        <f>II_Baza_BDP!A28</f>
        <v/>
      </c>
      <c r="B225">
        <f>II_Baza_BDP!B28</f>
        <v/>
      </c>
      <c r="C225">
        <f>II_Baza_BDP!C28</f>
        <v/>
      </c>
      <c r="D225">
        <f>II_Baza_BDP!D28</f>
        <v/>
      </c>
      <c r="E225">
        <f>II_Baza_BDP!E28</f>
        <v/>
      </c>
      <c r="F225">
        <f>II_Baza_BDP!F28</f>
        <v/>
      </c>
      <c r="G225">
        <f>II_Baza_BDP!G28</f>
        <v/>
      </c>
      <c r="H225">
        <f>II_Baza_BDP!H28</f>
        <v/>
      </c>
      <c r="I225">
        <f>II_Baza_BDP!I28</f>
        <v/>
      </c>
      <c r="J225">
        <f>II_Baza_BDP!J28</f>
        <v/>
      </c>
      <c r="K225" s="672">
        <f>II_Baza_BDP!K28</f>
        <v/>
      </c>
      <c r="L225" s="672">
        <f>II_Baza_BDP!L28</f>
        <v/>
      </c>
      <c r="M225">
        <f>II_Baza_BDP!M28</f>
        <v/>
      </c>
      <c r="N225">
        <f>II_Baza_BDP!N28</f>
        <v/>
      </c>
      <c r="O225">
        <f>II_Baza_BDP!O28</f>
        <v/>
      </c>
      <c r="P225" s="628">
        <f>II_Baza_BDP!P28</f>
        <v/>
      </c>
      <c r="Q225" s="628">
        <f>II_Baza_BDP!Q28</f>
        <v/>
      </c>
      <c r="R225" s="628">
        <f>II_Baza_BDP!R28</f>
        <v/>
      </c>
      <c r="S225" s="628">
        <f>II_Baza_BDP!S28</f>
        <v/>
      </c>
      <c r="T225" s="628">
        <f>II_Baza_BDP!T28</f>
        <v/>
      </c>
      <c r="U225" s="628">
        <f>II_Baza_BDP!U28</f>
        <v/>
      </c>
      <c r="V225" s="628">
        <f>II_Baza_BDP!V28</f>
        <v/>
      </c>
      <c r="W225" s="628">
        <f>II_Baza_BDP!W28</f>
        <v/>
      </c>
      <c r="X225" s="628">
        <f>II_Baza_BDP!X28</f>
        <v/>
      </c>
      <c r="Y225" s="650">
        <f>II_Baza_BDP!Y28</f>
        <v/>
      </c>
      <c r="Z225" s="650">
        <f>II_Baza_BDP!Z28</f>
        <v/>
      </c>
      <c r="AA225" s="650">
        <f>II_Baza_BDP!AA28</f>
        <v/>
      </c>
      <c r="AB225" s="650">
        <f>II_Baza_BDP!AB28</f>
        <v/>
      </c>
      <c r="AC225" s="613">
        <f>II_Baza_BDP!AC28</f>
        <v/>
      </c>
      <c r="AD225" s="613">
        <f>II_Baza_BDP!AD28</f>
        <v/>
      </c>
      <c r="AE225" s="613">
        <f>II_Baza_BDP!AE28</f>
        <v/>
      </c>
      <c r="AF225" s="613">
        <f>II_Baza_BDP!AF28</f>
        <v/>
      </c>
      <c r="AG225" s="626">
        <f>II_Baza_BDP!AG28</f>
        <v/>
      </c>
      <c r="AH225" s="626">
        <f>II_Baza_BDP!AH28</f>
        <v/>
      </c>
      <c r="AI225" s="626">
        <f>II_Baza_BDP!AI28</f>
        <v/>
      </c>
      <c r="AJ225" s="626">
        <f>II_Baza_BDP!AJ28</f>
        <v/>
      </c>
      <c r="AK225" s="626">
        <f>II_Baza_BDP!AK28</f>
        <v/>
      </c>
      <c r="AL225" s="626">
        <f>II_Baza_BDP!AL28</f>
        <v/>
      </c>
      <c r="AM225" s="626">
        <f>II_Baza_BDP!AM28</f>
        <v/>
      </c>
      <c r="AN225" s="626">
        <f>II_Baza_BDP!AN28</f>
        <v/>
      </c>
      <c r="AO225" s="626">
        <f>II_Baza_BDP!AO28</f>
        <v/>
      </c>
      <c r="AP225" s="369">
        <f>II_Baza_BDP!AP28</f>
        <v/>
      </c>
      <c r="AQ225" s="369">
        <f>II_Baza_BDP!AQ28</f>
        <v/>
      </c>
      <c r="AR225" s="369">
        <f>II_Baza_BDP!AR28</f>
        <v/>
      </c>
      <c r="AS225" s="369">
        <f>II_Baza_BDP!AS28</f>
        <v/>
      </c>
      <c r="AT225" s="370">
        <f>II_Baza_BDP!AT28</f>
        <v/>
      </c>
      <c r="AU225" s="370">
        <f>II_Baza_BDP!AU28</f>
        <v/>
      </c>
      <c r="AV225" s="370">
        <f>II_Baza_BDP!AV28</f>
        <v/>
      </c>
      <c r="AW225" s="370">
        <f>II_Baza_BDP!AW28</f>
        <v/>
      </c>
      <c r="AX225">
        <f>II_Baza_BDP!AX28</f>
        <v/>
      </c>
      <c r="AY225">
        <f>II_Baza_BDP!AY28</f>
        <v/>
      </c>
      <c r="AZ225">
        <f>II_Baza_BDP!AZ28</f>
        <v/>
      </c>
      <c r="BA225">
        <f>II_Baza_BDP!BA28</f>
        <v/>
      </c>
      <c r="BB225">
        <f>II_Baza_BDP!BB28</f>
        <v/>
      </c>
      <c r="BC225">
        <f>II_Baza_BDP!BC28</f>
        <v/>
      </c>
      <c r="BD225">
        <f>II_Baza_BDP!BD28</f>
        <v/>
      </c>
      <c r="BE225">
        <f>II_Baza_BDP!BE28</f>
        <v/>
      </c>
      <c r="BF225">
        <f>II_Baza_BDP!BF28</f>
        <v/>
      </c>
      <c r="BG225">
        <f>II_Baza_BDP!BG28</f>
        <v/>
      </c>
      <c r="BH225">
        <f>II_Baza_BDP!BH28</f>
        <v/>
      </c>
      <c r="BI225">
        <f>II_Baza_BDP!BI28</f>
        <v/>
      </c>
      <c r="BJ225">
        <f>O225</f>
        <v/>
      </c>
      <c r="BK225">
        <f>SUM(AG225:AW225)</f>
        <v/>
      </c>
      <c r="BL225" s="531">
        <f>BJ225-BK225</f>
        <v/>
      </c>
      <c r="BM225" s="201" t="n"/>
    </row>
    <row r="226" hidden="1" outlineLevel="1" s="191">
      <c r="A226">
        <f>II_Baza_BDP!A29</f>
        <v/>
      </c>
      <c r="B226">
        <f>II_Baza_BDP!B29</f>
        <v/>
      </c>
      <c r="C226">
        <f>II_Baza_BDP!C29</f>
        <v/>
      </c>
      <c r="D226">
        <f>II_Baza_BDP!D29</f>
        <v/>
      </c>
      <c r="E226">
        <f>II_Baza_BDP!E29</f>
        <v/>
      </c>
      <c r="F226">
        <f>II_Baza_BDP!F29</f>
        <v/>
      </c>
      <c r="G226">
        <f>II_Baza_BDP!G29</f>
        <v/>
      </c>
      <c r="H226">
        <f>II_Baza_BDP!H29</f>
        <v/>
      </c>
      <c r="I226">
        <f>II_Baza_BDP!I29</f>
        <v/>
      </c>
      <c r="J226">
        <f>II_Baza_BDP!J29</f>
        <v/>
      </c>
      <c r="K226" s="672">
        <f>II_Baza_BDP!K29</f>
        <v/>
      </c>
      <c r="L226" s="672">
        <f>II_Baza_BDP!L29</f>
        <v/>
      </c>
      <c r="M226">
        <f>II_Baza_BDP!M29</f>
        <v/>
      </c>
      <c r="N226">
        <f>II_Baza_BDP!N29</f>
        <v/>
      </c>
      <c r="O226">
        <f>II_Baza_BDP!O29</f>
        <v/>
      </c>
      <c r="P226" s="628">
        <f>II_Baza_BDP!P29</f>
        <v/>
      </c>
      <c r="Q226" s="628">
        <f>II_Baza_BDP!Q29</f>
        <v/>
      </c>
      <c r="R226" s="628">
        <f>II_Baza_BDP!R29</f>
        <v/>
      </c>
      <c r="S226" s="628">
        <f>II_Baza_BDP!S29</f>
        <v/>
      </c>
      <c r="T226" s="628">
        <f>II_Baza_BDP!T29</f>
        <v/>
      </c>
      <c r="U226" s="628">
        <f>II_Baza_BDP!U29</f>
        <v/>
      </c>
      <c r="V226" s="628">
        <f>II_Baza_BDP!V29</f>
        <v/>
      </c>
      <c r="W226" s="628">
        <f>II_Baza_BDP!W29</f>
        <v/>
      </c>
      <c r="X226" s="628">
        <f>II_Baza_BDP!X29</f>
        <v/>
      </c>
      <c r="Y226" s="650">
        <f>II_Baza_BDP!Y29</f>
        <v/>
      </c>
      <c r="Z226" s="650">
        <f>II_Baza_BDP!Z29</f>
        <v/>
      </c>
      <c r="AA226" s="650">
        <f>II_Baza_BDP!AA29</f>
        <v/>
      </c>
      <c r="AB226" s="650">
        <f>II_Baza_BDP!AB29</f>
        <v/>
      </c>
      <c r="AC226" s="613">
        <f>II_Baza_BDP!AC29</f>
        <v/>
      </c>
      <c r="AD226" s="613">
        <f>II_Baza_BDP!AD29</f>
        <v/>
      </c>
      <c r="AE226" s="613">
        <f>II_Baza_BDP!AE29</f>
        <v/>
      </c>
      <c r="AF226" s="613">
        <f>II_Baza_BDP!AF29</f>
        <v/>
      </c>
      <c r="AG226" s="626">
        <f>II_Baza_BDP!AG29</f>
        <v/>
      </c>
      <c r="AH226" s="626">
        <f>II_Baza_BDP!AH29</f>
        <v/>
      </c>
      <c r="AI226" s="626">
        <f>II_Baza_BDP!AI29</f>
        <v/>
      </c>
      <c r="AJ226" s="626">
        <f>II_Baza_BDP!AJ29</f>
        <v/>
      </c>
      <c r="AK226" s="626">
        <f>II_Baza_BDP!AK29</f>
        <v/>
      </c>
      <c r="AL226" s="626">
        <f>II_Baza_BDP!AL29</f>
        <v/>
      </c>
      <c r="AM226" s="626">
        <f>II_Baza_BDP!AM29</f>
        <v/>
      </c>
      <c r="AN226" s="626">
        <f>II_Baza_BDP!AN29</f>
        <v/>
      </c>
      <c r="AO226" s="626">
        <f>II_Baza_BDP!AO29</f>
        <v/>
      </c>
      <c r="AP226" s="369">
        <f>II_Baza_BDP!AP29</f>
        <v/>
      </c>
      <c r="AQ226" s="369">
        <f>II_Baza_BDP!AQ29</f>
        <v/>
      </c>
      <c r="AR226" s="369">
        <f>II_Baza_BDP!AR29</f>
        <v/>
      </c>
      <c r="AS226" s="369">
        <f>II_Baza_BDP!AS29</f>
        <v/>
      </c>
      <c r="AT226" s="370">
        <f>II_Baza_BDP!AT29</f>
        <v/>
      </c>
      <c r="AU226" s="370">
        <f>II_Baza_BDP!AU29</f>
        <v/>
      </c>
      <c r="AV226" s="370">
        <f>II_Baza_BDP!AV29</f>
        <v/>
      </c>
      <c r="AW226" s="370">
        <f>II_Baza_BDP!AW29</f>
        <v/>
      </c>
      <c r="AX226">
        <f>II_Baza_BDP!AX29</f>
        <v/>
      </c>
      <c r="AY226">
        <f>II_Baza_BDP!AY29</f>
        <v/>
      </c>
      <c r="AZ226">
        <f>II_Baza_BDP!AZ29</f>
        <v/>
      </c>
      <c r="BA226">
        <f>II_Baza_BDP!BA29</f>
        <v/>
      </c>
      <c r="BB226">
        <f>II_Baza_BDP!BB29</f>
        <v/>
      </c>
      <c r="BC226">
        <f>II_Baza_BDP!BC29</f>
        <v/>
      </c>
      <c r="BD226">
        <f>II_Baza_BDP!BD29</f>
        <v/>
      </c>
      <c r="BE226">
        <f>II_Baza_BDP!BE29</f>
        <v/>
      </c>
      <c r="BF226">
        <f>II_Baza_BDP!BF29</f>
        <v/>
      </c>
      <c r="BG226">
        <f>II_Baza_BDP!BG29</f>
        <v/>
      </c>
      <c r="BH226">
        <f>II_Baza_BDP!BH29</f>
        <v/>
      </c>
      <c r="BI226">
        <f>II_Baza_BDP!BI29</f>
        <v/>
      </c>
      <c r="BJ226">
        <f>O226</f>
        <v/>
      </c>
      <c r="BK226">
        <f>SUM(AG226:AW226)</f>
        <v/>
      </c>
      <c r="BL226" s="531">
        <f>BJ226-BK226</f>
        <v/>
      </c>
      <c r="BM226" s="201" t="n"/>
    </row>
    <row r="227" hidden="1" outlineLevel="1" s="191">
      <c r="A227" s="259">
        <f>A200</f>
        <v/>
      </c>
      <c r="P227" s="628" t="n"/>
      <c r="Q227" s="628" t="n"/>
      <c r="R227" s="628" t="n"/>
      <c r="S227" s="628" t="n"/>
      <c r="T227" s="628" t="n"/>
      <c r="U227" s="628" t="n"/>
      <c r="V227" s="628" t="n"/>
      <c r="W227" s="628" t="n"/>
      <c r="X227" s="628" t="n"/>
      <c r="Y227" s="650" t="n"/>
      <c r="Z227" s="650" t="n"/>
      <c r="AA227" s="650" t="n"/>
      <c r="AB227" s="650" t="n"/>
      <c r="AC227" s="613" t="n"/>
      <c r="AD227" s="613" t="n"/>
      <c r="AE227" s="613" t="n"/>
      <c r="AF227" s="613" t="n"/>
      <c r="AG227" s="626" t="n"/>
      <c r="AH227" s="626" t="n"/>
      <c r="AI227" s="626" t="n"/>
      <c r="AJ227" s="626" t="n"/>
      <c r="AK227" s="626" t="n"/>
      <c r="AL227" s="626" t="n"/>
      <c r="AM227" s="626" t="n"/>
      <c r="AN227" s="626" t="n"/>
      <c r="AO227" s="626" t="n"/>
      <c r="AP227" s="369" t="n"/>
      <c r="AQ227" s="369" t="n"/>
      <c r="AR227" s="369" t="n"/>
      <c r="AS227" s="369" t="n"/>
      <c r="AT227" s="370" t="n"/>
      <c r="AU227" s="370" t="n"/>
      <c r="AV227" s="370" t="n"/>
      <c r="AW227" s="370" t="n"/>
      <c r="BJ227">
        <f>O227</f>
        <v/>
      </c>
      <c r="BK227">
        <f>SUM(AG227:AW227)</f>
        <v/>
      </c>
      <c r="BL227" s="531">
        <f>BJ227-BK227</f>
        <v/>
      </c>
      <c r="BM227" s="201" t="n"/>
    </row>
    <row r="228" hidden="1" outlineLevel="1" s="191">
      <c r="A228" s="506">
        <f>A227</f>
        <v/>
      </c>
      <c r="P228" s="628" t="n"/>
      <c r="Q228" s="628" t="n"/>
      <c r="R228" s="628" t="n"/>
      <c r="S228" s="628" t="n"/>
      <c r="T228" s="628" t="n"/>
      <c r="U228" s="628" t="n"/>
      <c r="V228" s="628" t="n"/>
      <c r="W228" s="628" t="n"/>
      <c r="X228" s="628" t="n"/>
      <c r="Y228" s="650" t="n"/>
      <c r="Z228" s="650" t="n"/>
      <c r="AA228" s="650" t="n"/>
      <c r="AB228" s="650" t="n"/>
      <c r="AC228" s="613" t="n"/>
      <c r="AD228" s="613" t="n"/>
      <c r="AE228" s="613" t="n"/>
      <c r="AF228" s="613" t="n"/>
      <c r="AG228" s="626" t="n"/>
      <c r="AH228" s="626" t="n"/>
      <c r="AI228" s="626" t="n"/>
      <c r="AJ228" s="626" t="n"/>
      <c r="AK228" s="626" t="n"/>
      <c r="AL228" s="626" t="n"/>
      <c r="AM228" s="626" t="n"/>
      <c r="AN228" s="626" t="n"/>
      <c r="AO228" s="626" t="n"/>
      <c r="AP228" s="369" t="n"/>
      <c r="AQ228" s="369" t="n"/>
      <c r="AR228" s="369" t="n"/>
      <c r="AS228" s="369" t="n"/>
      <c r="AT228" s="370" t="n"/>
      <c r="AU228" s="370" t="n"/>
      <c r="AV228" s="370" t="n"/>
      <c r="AW228" s="370" t="n"/>
      <c r="BJ228">
        <f>O228</f>
        <v/>
      </c>
      <c r="BK228">
        <f>SUM(AG228:AW228)</f>
        <v/>
      </c>
      <c r="BL228" s="531">
        <f>BJ228-BK228</f>
        <v/>
      </c>
      <c r="BM228" s="201" t="n"/>
    </row>
    <row r="229" hidden="1" outlineLevel="1" s="191">
      <c r="A229" s="506">
        <f>A228</f>
        <v/>
      </c>
      <c r="P229" s="628" t="n"/>
      <c r="Q229" s="628" t="n"/>
      <c r="R229" s="628" t="n"/>
      <c r="S229" s="628" t="n"/>
      <c r="T229" s="628" t="n"/>
      <c r="U229" s="628" t="n"/>
      <c r="V229" s="628" t="n"/>
      <c r="W229" s="628" t="n"/>
      <c r="X229" s="628" t="n"/>
      <c r="Y229" s="650" t="n"/>
      <c r="Z229" s="650" t="n"/>
      <c r="AA229" s="650" t="n"/>
      <c r="AB229" s="650" t="n"/>
      <c r="AC229" s="613" t="n"/>
      <c r="AD229" s="613" t="n"/>
      <c r="AE229" s="613" t="n"/>
      <c r="AF229" s="613" t="n"/>
      <c r="AG229" s="626" t="n"/>
      <c r="AH229" s="626" t="n"/>
      <c r="AI229" s="626" t="n"/>
      <c r="AJ229" s="626" t="n"/>
      <c r="AK229" s="626" t="n"/>
      <c r="AL229" s="626" t="n"/>
      <c r="AM229" s="626" t="n"/>
      <c r="AN229" s="626" t="n"/>
      <c r="AO229" s="626" t="n"/>
      <c r="AP229" s="369" t="n"/>
      <c r="AQ229" s="369" t="n"/>
      <c r="AR229" s="369" t="n"/>
      <c r="AS229" s="369" t="n"/>
      <c r="AT229" s="370" t="n"/>
      <c r="AU229" s="370" t="n"/>
      <c r="AV229" s="370" t="n"/>
      <c r="AW229" s="370" t="n"/>
      <c r="BJ229">
        <f>O229</f>
        <v/>
      </c>
      <c r="BK229">
        <f>SUM(AG229:AW229)</f>
        <v/>
      </c>
      <c r="BL229" s="531">
        <f>BJ229-BK229</f>
        <v/>
      </c>
      <c r="BM229" s="201" t="n"/>
    </row>
    <row r="230" hidden="1" outlineLevel="1" s="191">
      <c r="A230" s="506">
        <f>A229</f>
        <v/>
      </c>
      <c r="P230" s="628" t="n"/>
      <c r="Q230" s="628" t="n"/>
      <c r="R230" s="628" t="n"/>
      <c r="S230" s="628" t="n"/>
      <c r="T230" s="628" t="n"/>
      <c r="U230" s="628" t="n"/>
      <c r="V230" s="628" t="n"/>
      <c r="W230" s="628" t="n"/>
      <c r="X230" s="628" t="n"/>
      <c r="Y230" s="650" t="n"/>
      <c r="Z230" s="650" t="n"/>
      <c r="AA230" s="650" t="n"/>
      <c r="AB230" s="650" t="n"/>
      <c r="AC230" s="613" t="n"/>
      <c r="AD230" s="613" t="n"/>
      <c r="AE230" s="613" t="n"/>
      <c r="AF230" s="613" t="n"/>
      <c r="AG230" s="626" t="n"/>
      <c r="AH230" s="626" t="n"/>
      <c r="AI230" s="626" t="n"/>
      <c r="AJ230" s="626" t="n"/>
      <c r="AK230" s="626" t="n"/>
      <c r="AL230" s="626" t="n"/>
      <c r="AM230" s="626" t="n"/>
      <c r="AN230" s="626" t="n"/>
      <c r="AO230" s="626" t="n"/>
      <c r="AP230" s="369" t="n"/>
      <c r="AQ230" s="369" t="n"/>
      <c r="AR230" s="369" t="n"/>
      <c r="AS230" s="369" t="n"/>
      <c r="AT230" s="370" t="n"/>
      <c r="AU230" s="370" t="n"/>
      <c r="AV230" s="370" t="n"/>
      <c r="AW230" s="370" t="n"/>
      <c r="BJ230">
        <f>O230</f>
        <v/>
      </c>
      <c r="BK230">
        <f>SUM(AG230:AW230)</f>
        <v/>
      </c>
      <c r="BL230" s="531">
        <f>BJ230-BK230</f>
        <v/>
      </c>
      <c r="BM230" s="201" t="n"/>
    </row>
    <row r="231" hidden="1" outlineLevel="1" s="191">
      <c r="A231" s="506">
        <f>A230</f>
        <v/>
      </c>
      <c r="P231" s="628" t="n"/>
      <c r="Q231" s="628" t="n"/>
      <c r="R231" s="628" t="n"/>
      <c r="S231" s="628" t="n"/>
      <c r="T231" s="628" t="n"/>
      <c r="U231" s="628" t="n"/>
      <c r="V231" s="628" t="n"/>
      <c r="W231" s="628" t="n"/>
      <c r="X231" s="628" t="n"/>
      <c r="Y231" s="650" t="n"/>
      <c r="Z231" s="650" t="n"/>
      <c r="AA231" s="650" t="n"/>
      <c r="AB231" s="650" t="n"/>
      <c r="AC231" s="613" t="n"/>
      <c r="AD231" s="613" t="n"/>
      <c r="AE231" s="613" t="n"/>
      <c r="AF231" s="613" t="n"/>
      <c r="AG231" s="626" t="n"/>
      <c r="AH231" s="626" t="n"/>
      <c r="AI231" s="626" t="n"/>
      <c r="AJ231" s="626" t="n"/>
      <c r="AK231" s="626" t="n"/>
      <c r="AL231" s="626" t="n"/>
      <c r="AM231" s="626" t="n"/>
      <c r="AN231" s="626" t="n"/>
      <c r="AO231" s="626" t="n"/>
      <c r="AP231" s="369" t="n"/>
      <c r="AQ231" s="369" t="n"/>
      <c r="AR231" s="369" t="n"/>
      <c r="AS231" s="369" t="n"/>
      <c r="AT231" s="370" t="n"/>
      <c r="AU231" s="370" t="n"/>
      <c r="AV231" s="370" t="n"/>
      <c r="AW231" s="370" t="n"/>
      <c r="BJ231">
        <f>O231</f>
        <v/>
      </c>
      <c r="BK231">
        <f>SUM(AG231:AW231)</f>
        <v/>
      </c>
      <c r="BL231" s="531">
        <f>BJ231-BK231</f>
        <v/>
      </c>
      <c r="BM231" s="201" t="n"/>
    </row>
    <row r="232" hidden="1" outlineLevel="1" s="191">
      <c r="A232" s="506">
        <f>A231</f>
        <v/>
      </c>
      <c r="P232" s="628" t="n"/>
      <c r="Q232" s="628" t="n"/>
      <c r="R232" s="628" t="n"/>
      <c r="S232" s="628" t="n"/>
      <c r="T232" s="628" t="n"/>
      <c r="U232" s="628" t="n"/>
      <c r="V232" s="628" t="n"/>
      <c r="W232" s="628" t="n"/>
      <c r="X232" s="628" t="n"/>
      <c r="Y232" s="650" t="n"/>
      <c r="Z232" s="650" t="n"/>
      <c r="AA232" s="650" t="n"/>
      <c r="AB232" s="650" t="n"/>
      <c r="AC232" s="613" t="n"/>
      <c r="AD232" s="613" t="n"/>
      <c r="AE232" s="613" t="n"/>
      <c r="AF232" s="613" t="n"/>
      <c r="AG232" s="626" t="n"/>
      <c r="AH232" s="626" t="n"/>
      <c r="AI232" s="626" t="n"/>
      <c r="AJ232" s="626" t="n"/>
      <c r="AK232" s="626" t="n"/>
      <c r="AL232" s="626" t="n"/>
      <c r="AM232" s="626" t="n"/>
      <c r="AN232" s="626" t="n"/>
      <c r="AO232" s="626" t="n"/>
      <c r="AP232" s="369" t="n"/>
      <c r="AQ232" s="369" t="n"/>
      <c r="AR232" s="369" t="n"/>
      <c r="AS232" s="369" t="n"/>
      <c r="AT232" s="370" t="n"/>
      <c r="AU232" s="370" t="n"/>
      <c r="AV232" s="370" t="n"/>
      <c r="AW232" s="370" t="n"/>
      <c r="BJ232">
        <f>O232</f>
        <v/>
      </c>
      <c r="BK232">
        <f>SUM(AG232:AW232)</f>
        <v/>
      </c>
      <c r="BL232" s="531">
        <f>BJ232-BK232</f>
        <v/>
      </c>
      <c r="BM232" s="201" t="n"/>
    </row>
    <row r="233" hidden="1" outlineLevel="1" s="191">
      <c r="A233" s="506">
        <f>A232</f>
        <v/>
      </c>
      <c r="P233" s="628" t="n"/>
      <c r="Q233" s="628" t="n"/>
      <c r="R233" s="628" t="n"/>
      <c r="S233" s="628" t="n"/>
      <c r="T233" s="628" t="n"/>
      <c r="U233" s="628" t="n"/>
      <c r="V233" s="628" t="n"/>
      <c r="W233" s="628" t="n"/>
      <c r="X233" s="628" t="n"/>
      <c r="Y233" s="650" t="n"/>
      <c r="Z233" s="650" t="n"/>
      <c r="AA233" s="650" t="n"/>
      <c r="AB233" s="650" t="n"/>
      <c r="AC233" s="613" t="n"/>
      <c r="AD233" s="613" t="n"/>
      <c r="AE233" s="613" t="n"/>
      <c r="AF233" s="613" t="n"/>
      <c r="AG233" s="626" t="n"/>
      <c r="AH233" s="626" t="n"/>
      <c r="AI233" s="626" t="n"/>
      <c r="AJ233" s="626" t="n"/>
      <c r="AK233" s="626" t="n"/>
      <c r="AL233" s="626" t="n"/>
      <c r="AM233" s="626" t="n"/>
      <c r="AN233" s="626" t="n"/>
      <c r="AO233" s="626" t="n"/>
      <c r="AP233" s="369" t="n"/>
      <c r="AQ233" s="369" t="n"/>
      <c r="AR233" s="369" t="n"/>
      <c r="AS233" s="369" t="n"/>
      <c r="AT233" s="370" t="n"/>
      <c r="AU233" s="370" t="n"/>
      <c r="AV233" s="370" t="n"/>
      <c r="AW233" s="370" t="n"/>
      <c r="BJ233">
        <f>O233</f>
        <v/>
      </c>
      <c r="BK233">
        <f>SUM(AG233:AW233)</f>
        <v/>
      </c>
      <c r="BL233" s="531">
        <f>BJ233-BK233</f>
        <v/>
      </c>
      <c r="BM233" s="201" t="n"/>
    </row>
    <row r="234" hidden="1" outlineLevel="1" s="191">
      <c r="A234" s="506">
        <f>A233</f>
        <v/>
      </c>
      <c r="P234" s="628" t="n"/>
      <c r="Q234" s="628" t="n"/>
      <c r="R234" s="628" t="n"/>
      <c r="S234" s="628" t="n"/>
      <c r="T234" s="628" t="n"/>
      <c r="U234" s="628" t="n"/>
      <c r="V234" s="628" t="n"/>
      <c r="W234" s="628" t="n"/>
      <c r="X234" s="628" t="n"/>
      <c r="Y234" s="650" t="n"/>
      <c r="Z234" s="650" t="n"/>
      <c r="AA234" s="650" t="n"/>
      <c r="AB234" s="650" t="n"/>
      <c r="AC234" s="613" t="n"/>
      <c r="AD234" s="613" t="n"/>
      <c r="AE234" s="613" t="n"/>
      <c r="AF234" s="613" t="n"/>
      <c r="AG234" s="626" t="n"/>
      <c r="AH234" s="626" t="n"/>
      <c r="AI234" s="626" t="n"/>
      <c r="AJ234" s="626" t="n"/>
      <c r="AK234" s="626" t="n"/>
      <c r="AL234" s="626" t="n"/>
      <c r="AM234" s="626" t="n"/>
      <c r="AN234" s="626" t="n"/>
      <c r="AO234" s="626" t="n"/>
      <c r="AP234" s="369" t="n"/>
      <c r="AQ234" s="369" t="n"/>
      <c r="AR234" s="369" t="n"/>
      <c r="AS234" s="369" t="n"/>
      <c r="AT234" s="370" t="n"/>
      <c r="AU234" s="370" t="n"/>
      <c r="AV234" s="370" t="n"/>
      <c r="AW234" s="370" t="n"/>
      <c r="BJ234">
        <f>O234</f>
        <v/>
      </c>
      <c r="BK234">
        <f>SUM(AG234:AW234)</f>
        <v/>
      </c>
      <c r="BL234" s="531">
        <f>BJ234-BK234</f>
        <v/>
      </c>
      <c r="BM234" s="201" t="n"/>
    </row>
    <row r="235" hidden="1" outlineLevel="1" s="191">
      <c r="A235" s="506">
        <f>A234</f>
        <v/>
      </c>
      <c r="P235" s="628" t="n"/>
      <c r="Q235" s="628" t="n"/>
      <c r="R235" s="628" t="n"/>
      <c r="S235" s="628" t="n"/>
      <c r="T235" s="628" t="n"/>
      <c r="U235" s="628" t="n"/>
      <c r="V235" s="628" t="n"/>
      <c r="W235" s="628" t="n"/>
      <c r="X235" s="628" t="n"/>
      <c r="Y235" s="650" t="n"/>
      <c r="Z235" s="650" t="n"/>
      <c r="AA235" s="650" t="n"/>
      <c r="AB235" s="650" t="n"/>
      <c r="AC235" s="613" t="n"/>
      <c r="AD235" s="613" t="n"/>
      <c r="AE235" s="613" t="n"/>
      <c r="AF235" s="613" t="n"/>
      <c r="AG235" s="626" t="n"/>
      <c r="AH235" s="626" t="n"/>
      <c r="AI235" s="626" t="n"/>
      <c r="AJ235" s="626" t="n"/>
      <c r="AK235" s="626" t="n"/>
      <c r="AL235" s="626" t="n"/>
      <c r="AM235" s="626" t="n"/>
      <c r="AN235" s="626" t="n"/>
      <c r="AO235" s="626" t="n"/>
      <c r="AP235" s="369" t="n"/>
      <c r="AQ235" s="369" t="n"/>
      <c r="AR235" s="369" t="n"/>
      <c r="AS235" s="369" t="n"/>
      <c r="AT235" s="370" t="n"/>
      <c r="AU235" s="370" t="n"/>
      <c r="AV235" s="370" t="n"/>
      <c r="AW235" s="370" t="n"/>
      <c r="BJ235">
        <f>O235</f>
        <v/>
      </c>
      <c r="BK235">
        <f>SUM(AG235:AW235)</f>
        <v/>
      </c>
      <c r="BL235" s="531">
        <f>BJ235-BK235</f>
        <v/>
      </c>
      <c r="BM235" s="201" t="n"/>
    </row>
    <row r="236" hidden="1" outlineLevel="1" s="191">
      <c r="A236" s="506">
        <f>A235</f>
        <v/>
      </c>
      <c r="P236" s="628" t="n"/>
      <c r="Q236" s="628" t="n"/>
      <c r="R236" s="628" t="n"/>
      <c r="S236" s="628" t="n"/>
      <c r="T236" s="628" t="n"/>
      <c r="U236" s="628" t="n"/>
      <c r="V236" s="628" t="n"/>
      <c r="W236" s="628" t="n"/>
      <c r="X236" s="628" t="n"/>
      <c r="Y236" s="650" t="n"/>
      <c r="Z236" s="650" t="n"/>
      <c r="AA236" s="650" t="n"/>
      <c r="AB236" s="650" t="n"/>
      <c r="AC236" s="613" t="n"/>
      <c r="AD236" s="613" t="n"/>
      <c r="AE236" s="613" t="n"/>
      <c r="AF236" s="613" t="n"/>
      <c r="AG236" s="626" t="n"/>
      <c r="AH236" s="626" t="n"/>
      <c r="AI236" s="626" t="n"/>
      <c r="AJ236" s="626" t="n"/>
      <c r="AK236" s="626" t="n"/>
      <c r="AL236" s="626" t="n"/>
      <c r="AM236" s="626" t="n"/>
      <c r="AN236" s="626" t="n"/>
      <c r="AO236" s="626" t="n"/>
      <c r="AP236" s="369" t="n"/>
      <c r="AQ236" s="369" t="n"/>
      <c r="AR236" s="369" t="n"/>
      <c r="AS236" s="369" t="n"/>
      <c r="AT236" s="370" t="n"/>
      <c r="AU236" s="370" t="n"/>
      <c r="AV236" s="370" t="n"/>
      <c r="AW236" s="370" t="n"/>
      <c r="BJ236">
        <f>O236</f>
        <v/>
      </c>
      <c r="BK236">
        <f>SUM(AG236:AW236)</f>
        <v/>
      </c>
      <c r="BL236" s="531">
        <f>BJ236-BK236</f>
        <v/>
      </c>
      <c r="BM236" s="201" t="n"/>
    </row>
    <row r="237" hidden="1" outlineLevel="1" s="191">
      <c r="A237" s="506">
        <f>A236</f>
        <v/>
      </c>
      <c r="P237" s="628" t="n"/>
      <c r="Q237" s="628" t="n"/>
      <c r="R237" s="628" t="n"/>
      <c r="S237" s="628" t="n"/>
      <c r="T237" s="628" t="n"/>
      <c r="U237" s="628" t="n"/>
      <c r="V237" s="628" t="n"/>
      <c r="W237" s="628" t="n"/>
      <c r="X237" s="628" t="n"/>
      <c r="Y237" s="650" t="n"/>
      <c r="Z237" s="650" t="n"/>
      <c r="AA237" s="650" t="n"/>
      <c r="AB237" s="650" t="n"/>
      <c r="AC237" s="613" t="n"/>
      <c r="AD237" s="613" t="n"/>
      <c r="AE237" s="613" t="n"/>
      <c r="AF237" s="613" t="n"/>
      <c r="AG237" s="626" t="n"/>
      <c r="AH237" s="626" t="n"/>
      <c r="AI237" s="626" t="n"/>
      <c r="AJ237" s="626" t="n"/>
      <c r="AK237" s="626" t="n"/>
      <c r="AL237" s="626" t="n"/>
      <c r="AM237" s="626" t="n"/>
      <c r="AN237" s="626" t="n"/>
      <c r="AO237" s="626" t="n"/>
      <c r="AP237" s="369" t="n"/>
      <c r="AQ237" s="369" t="n"/>
      <c r="AR237" s="369" t="n"/>
      <c r="AS237" s="369" t="n"/>
      <c r="AT237" s="370" t="n"/>
      <c r="AU237" s="370" t="n"/>
      <c r="AV237" s="370" t="n"/>
      <c r="AW237" s="370" t="n"/>
      <c r="BJ237">
        <f>O237</f>
        <v/>
      </c>
      <c r="BK237">
        <f>SUM(AG237:AW237)</f>
        <v/>
      </c>
      <c r="BL237" s="531">
        <f>BJ237-BK237</f>
        <v/>
      </c>
      <c r="BM237" s="201" t="n"/>
    </row>
    <row r="238" hidden="1" outlineLevel="1" s="191">
      <c r="A238" s="506">
        <f>A237</f>
        <v/>
      </c>
      <c r="P238" s="628" t="n"/>
      <c r="Q238" s="628" t="n"/>
      <c r="R238" s="628" t="n"/>
      <c r="S238" s="628" t="n"/>
      <c r="T238" s="628" t="n"/>
      <c r="U238" s="628" t="n"/>
      <c r="V238" s="628" t="n"/>
      <c r="W238" s="628" t="n"/>
      <c r="X238" s="628" t="n"/>
      <c r="Y238" s="650" t="n"/>
      <c r="Z238" s="650" t="n"/>
      <c r="AA238" s="650" t="n"/>
      <c r="AB238" s="650" t="n"/>
      <c r="AC238" s="613" t="n"/>
      <c r="AD238" s="613" t="n"/>
      <c r="AE238" s="613" t="n"/>
      <c r="AF238" s="613" t="n"/>
      <c r="AG238" s="626" t="n"/>
      <c r="AH238" s="626" t="n"/>
      <c r="AI238" s="626" t="n"/>
      <c r="AJ238" s="626" t="n"/>
      <c r="AK238" s="626" t="n"/>
      <c r="AL238" s="626" t="n"/>
      <c r="AM238" s="626" t="n"/>
      <c r="AN238" s="626" t="n"/>
      <c r="AO238" s="626" t="n"/>
      <c r="AP238" s="369" t="n"/>
      <c r="AQ238" s="369" t="n"/>
      <c r="AR238" s="369" t="n"/>
      <c r="AS238" s="369" t="n"/>
      <c r="AT238" s="370" t="n"/>
      <c r="AU238" s="370" t="n"/>
      <c r="AV238" s="370" t="n"/>
      <c r="AW238" s="370" t="n"/>
      <c r="BJ238">
        <f>O238</f>
        <v/>
      </c>
      <c r="BK238">
        <f>SUM(AG238:AW238)</f>
        <v/>
      </c>
      <c r="BL238" s="531">
        <f>BJ238-BK238</f>
        <v/>
      </c>
      <c r="BM238" s="201" t="n"/>
    </row>
    <row r="239" hidden="1" outlineLevel="1" s="191">
      <c r="A239" s="506">
        <f>A238</f>
        <v/>
      </c>
      <c r="P239" s="628" t="n"/>
      <c r="Q239" s="628" t="n"/>
      <c r="R239" s="628" t="n"/>
      <c r="S239" s="628" t="n"/>
      <c r="T239" s="628" t="n"/>
      <c r="U239" s="628" t="n"/>
      <c r="V239" s="628" t="n"/>
      <c r="W239" s="628" t="n"/>
      <c r="X239" s="628" t="n"/>
      <c r="Y239" s="650" t="n"/>
      <c r="Z239" s="650" t="n"/>
      <c r="AA239" s="650" t="n"/>
      <c r="AB239" s="650" t="n"/>
      <c r="AC239" s="613" t="n"/>
      <c r="AD239" s="613" t="n"/>
      <c r="AE239" s="613" t="n"/>
      <c r="AF239" s="613" t="n"/>
      <c r="AG239" s="626" t="n"/>
      <c r="AH239" s="626" t="n"/>
      <c r="AI239" s="626" t="n"/>
      <c r="AJ239" s="626" t="n"/>
      <c r="AK239" s="626" t="n"/>
      <c r="AL239" s="626" t="n"/>
      <c r="AM239" s="626" t="n"/>
      <c r="AN239" s="626" t="n"/>
      <c r="AO239" s="626" t="n"/>
      <c r="AP239" s="369" t="n"/>
      <c r="AQ239" s="369" t="n"/>
      <c r="AR239" s="369" t="n"/>
      <c r="AS239" s="369" t="n"/>
      <c r="AT239" s="370" t="n"/>
      <c r="AU239" s="370" t="n"/>
      <c r="AV239" s="370" t="n"/>
      <c r="AW239" s="370" t="n"/>
      <c r="BJ239">
        <f>O239</f>
        <v/>
      </c>
      <c r="BK239">
        <f>SUM(AG239:AW239)</f>
        <v/>
      </c>
      <c r="BL239" s="531">
        <f>BJ239-BK239</f>
        <v/>
      </c>
      <c r="BM239" s="201" t="n"/>
    </row>
    <row r="240" hidden="1" outlineLevel="1" s="191">
      <c r="A240" s="506">
        <f>A239</f>
        <v/>
      </c>
      <c r="P240" s="628" t="n"/>
      <c r="Q240" s="628" t="n"/>
      <c r="R240" s="628" t="n"/>
      <c r="S240" s="628" t="n"/>
      <c r="T240" s="628" t="n"/>
      <c r="U240" s="628" t="n"/>
      <c r="V240" s="628" t="n"/>
      <c r="W240" s="628" t="n"/>
      <c r="X240" s="628" t="n"/>
      <c r="Y240" s="650" t="n"/>
      <c r="Z240" s="650" t="n"/>
      <c r="AA240" s="650" t="n"/>
      <c r="AB240" s="650" t="n"/>
      <c r="AC240" s="613" t="n"/>
      <c r="AD240" s="613" t="n"/>
      <c r="AE240" s="613" t="n"/>
      <c r="AF240" s="613" t="n"/>
      <c r="AG240" s="626" t="n"/>
      <c r="AH240" s="626" t="n"/>
      <c r="AI240" s="626" t="n"/>
      <c r="AJ240" s="626" t="n"/>
      <c r="AK240" s="626" t="n"/>
      <c r="AL240" s="626" t="n"/>
      <c r="AM240" s="626" t="n"/>
      <c r="AN240" s="626" t="n"/>
      <c r="AO240" s="626" t="n"/>
      <c r="AP240" s="369" t="n"/>
      <c r="AQ240" s="369" t="n"/>
      <c r="AR240" s="369" t="n"/>
      <c r="AS240" s="369" t="n"/>
      <c r="AT240" s="370" t="n"/>
      <c r="AU240" s="370" t="n"/>
      <c r="AV240" s="370" t="n"/>
      <c r="AW240" s="370" t="n"/>
      <c r="BJ240">
        <f>O240</f>
        <v/>
      </c>
      <c r="BK240">
        <f>SUM(AG240:AW240)</f>
        <v/>
      </c>
      <c r="BL240" s="531">
        <f>BJ240-BK240</f>
        <v/>
      </c>
      <c r="BM240" s="201" t="n"/>
    </row>
    <row r="241" hidden="1" outlineLevel="1" s="191">
      <c r="A241" s="506">
        <f>A240</f>
        <v/>
      </c>
      <c r="P241" s="628" t="n"/>
      <c r="Q241" s="628" t="n"/>
      <c r="R241" s="628" t="n"/>
      <c r="S241" s="628" t="n"/>
      <c r="T241" s="628" t="n"/>
      <c r="U241" s="628" t="n"/>
      <c r="V241" s="628" t="n"/>
      <c r="W241" s="628" t="n"/>
      <c r="X241" s="628" t="n"/>
      <c r="Y241" s="650" t="n"/>
      <c r="Z241" s="650" t="n"/>
      <c r="AA241" s="650" t="n"/>
      <c r="AB241" s="650" t="n"/>
      <c r="AC241" s="613" t="n"/>
      <c r="AD241" s="613" t="n"/>
      <c r="AE241" s="613" t="n"/>
      <c r="AF241" s="613" t="n"/>
      <c r="AG241" s="626" t="n"/>
      <c r="AH241" s="626" t="n"/>
      <c r="AI241" s="626" t="n"/>
      <c r="AJ241" s="626" t="n"/>
      <c r="AK241" s="626" t="n"/>
      <c r="AL241" s="626" t="n"/>
      <c r="AM241" s="626" t="n"/>
      <c r="AN241" s="626" t="n"/>
      <c r="AO241" s="626" t="n"/>
      <c r="AP241" s="369" t="n"/>
      <c r="AQ241" s="369" t="n"/>
      <c r="AR241" s="369" t="n"/>
      <c r="AS241" s="369" t="n"/>
      <c r="AT241" s="370" t="n"/>
      <c r="AU241" s="370" t="n"/>
      <c r="AV241" s="370" t="n"/>
      <c r="AW241" s="370" t="n"/>
      <c r="BJ241">
        <f>O241</f>
        <v/>
      </c>
      <c r="BK241">
        <f>SUM(AG241:AW241)</f>
        <v/>
      </c>
      <c r="BL241" s="531">
        <f>BJ241-BK241</f>
        <v/>
      </c>
      <c r="BM241" s="201" t="n"/>
    </row>
    <row r="242" hidden="1" outlineLevel="1" s="191">
      <c r="A242" s="506">
        <f>A241</f>
        <v/>
      </c>
      <c r="P242" s="628" t="n"/>
      <c r="Q242" s="628" t="n"/>
      <c r="R242" s="628" t="n"/>
      <c r="S242" s="628" t="n"/>
      <c r="T242" s="628" t="n"/>
      <c r="U242" s="628" t="n"/>
      <c r="V242" s="628" t="n"/>
      <c r="W242" s="628" t="n"/>
      <c r="X242" s="628" t="n"/>
      <c r="Y242" s="650" t="n"/>
      <c r="Z242" s="650" t="n"/>
      <c r="AA242" s="650" t="n"/>
      <c r="AB242" s="650" t="n"/>
      <c r="AC242" s="613" t="n"/>
      <c r="AD242" s="613" t="n"/>
      <c r="AE242" s="613" t="n"/>
      <c r="AF242" s="613" t="n"/>
      <c r="AG242" s="626" t="n"/>
      <c r="AH242" s="626" t="n"/>
      <c r="AI242" s="626" t="n"/>
      <c r="AJ242" s="626" t="n"/>
      <c r="AK242" s="626" t="n"/>
      <c r="AL242" s="626" t="n"/>
      <c r="AM242" s="626" t="n"/>
      <c r="AN242" s="626" t="n"/>
      <c r="AO242" s="626" t="n"/>
      <c r="AP242" s="369" t="n"/>
      <c r="AQ242" s="369" t="n"/>
      <c r="AR242" s="369" t="n"/>
      <c r="AS242" s="369" t="n"/>
      <c r="AT242" s="370" t="n"/>
      <c r="AU242" s="370" t="n"/>
      <c r="AV242" s="370" t="n"/>
      <c r="AW242" s="370" t="n"/>
      <c r="BJ242">
        <f>O242</f>
        <v/>
      </c>
      <c r="BK242">
        <f>SUM(AG242:AW242)</f>
        <v/>
      </c>
      <c r="BL242" s="531">
        <f>BJ242-BK242</f>
        <v/>
      </c>
      <c r="BM242" s="201" t="n"/>
    </row>
    <row r="243" hidden="1" outlineLevel="1" s="191">
      <c r="A243" s="506">
        <f>A242</f>
        <v/>
      </c>
      <c r="P243" s="628" t="n"/>
      <c r="Q243" s="628" t="n"/>
      <c r="R243" s="628" t="n"/>
      <c r="S243" s="628" t="n"/>
      <c r="T243" s="628" t="n"/>
      <c r="U243" s="628" t="n"/>
      <c r="V243" s="628" t="n"/>
      <c r="W243" s="628" t="n"/>
      <c r="X243" s="628" t="n"/>
      <c r="Y243" s="650" t="n"/>
      <c r="Z243" s="650" t="n"/>
      <c r="AA243" s="650" t="n"/>
      <c r="AB243" s="650" t="n"/>
      <c r="AC243" s="613" t="n"/>
      <c r="AD243" s="613" t="n"/>
      <c r="AE243" s="613" t="n"/>
      <c r="AF243" s="613" t="n"/>
      <c r="AG243" s="626" t="n"/>
      <c r="AH243" s="626" t="n"/>
      <c r="AI243" s="626" t="n"/>
      <c r="AJ243" s="626" t="n"/>
      <c r="AK243" s="626" t="n"/>
      <c r="AL243" s="626" t="n"/>
      <c r="AM243" s="626" t="n"/>
      <c r="AN243" s="626" t="n"/>
      <c r="AO243" s="626" t="n"/>
      <c r="AP243" s="369" t="n"/>
      <c r="AQ243" s="369" t="n"/>
      <c r="AR243" s="369" t="n"/>
      <c r="AS243" s="369" t="n"/>
      <c r="AT243" s="370" t="n"/>
      <c r="AU243" s="370" t="n"/>
      <c r="AV243" s="370" t="n"/>
      <c r="AW243" s="370" t="n"/>
      <c r="BJ243">
        <f>O243</f>
        <v/>
      </c>
      <c r="BK243">
        <f>SUM(AG243:AW243)</f>
        <v/>
      </c>
      <c r="BL243" s="531">
        <f>BJ243-BK243</f>
        <v/>
      </c>
      <c r="BM243" s="201" t="n"/>
    </row>
    <row r="244" hidden="1" outlineLevel="1" s="191">
      <c r="A244" s="506">
        <f>A243</f>
        <v/>
      </c>
      <c r="P244" s="628" t="n"/>
      <c r="Q244" s="628" t="n"/>
      <c r="R244" s="628" t="n"/>
      <c r="S244" s="628" t="n"/>
      <c r="T244" s="628" t="n"/>
      <c r="U244" s="628" t="n"/>
      <c r="V244" s="628" t="n"/>
      <c r="W244" s="628" t="n"/>
      <c r="X244" s="628" t="n"/>
      <c r="Y244" s="650" t="n"/>
      <c r="Z244" s="650" t="n"/>
      <c r="AA244" s="650" t="n"/>
      <c r="AB244" s="650" t="n"/>
      <c r="AC244" s="613" t="n"/>
      <c r="AD244" s="613" t="n"/>
      <c r="AE244" s="613" t="n"/>
      <c r="AF244" s="613" t="n"/>
      <c r="AG244" s="626" t="n"/>
      <c r="AH244" s="626" t="n"/>
      <c r="AI244" s="626" t="n"/>
      <c r="AJ244" s="626" t="n"/>
      <c r="AK244" s="626" t="n"/>
      <c r="AL244" s="626" t="n"/>
      <c r="AM244" s="626" t="n"/>
      <c r="AN244" s="626" t="n"/>
      <c r="AO244" s="626" t="n"/>
      <c r="AP244" s="369" t="n"/>
      <c r="AQ244" s="369" t="n"/>
      <c r="AR244" s="369" t="n"/>
      <c r="AS244" s="369" t="n"/>
      <c r="AT244" s="370" t="n"/>
      <c r="AU244" s="370" t="n"/>
      <c r="AV244" s="370" t="n"/>
      <c r="AW244" s="370" t="n"/>
      <c r="BJ244">
        <f>O244</f>
        <v/>
      </c>
      <c r="BK244">
        <f>SUM(AG244:AW244)</f>
        <v/>
      </c>
      <c r="BL244" s="531">
        <f>BJ244-BK244</f>
        <v/>
      </c>
      <c r="BM244" s="201" t="n"/>
    </row>
    <row r="245" hidden="1" outlineLevel="1" s="191">
      <c r="A245" s="506">
        <f>A244</f>
        <v/>
      </c>
      <c r="P245" s="628" t="n"/>
      <c r="Q245" s="628" t="n"/>
      <c r="R245" s="628" t="n"/>
      <c r="S245" s="628" t="n"/>
      <c r="T245" s="628" t="n"/>
      <c r="U245" s="628" t="n"/>
      <c r="V245" s="628" t="n"/>
      <c r="W245" s="628" t="n"/>
      <c r="X245" s="628" t="n"/>
      <c r="Y245" s="650" t="n"/>
      <c r="Z245" s="650" t="n"/>
      <c r="AA245" s="650" t="n"/>
      <c r="AB245" s="650" t="n"/>
      <c r="AC245" s="613" t="n"/>
      <c r="AD245" s="613" t="n"/>
      <c r="AE245" s="613" t="n"/>
      <c r="AF245" s="613" t="n"/>
      <c r="AG245" s="626" t="n"/>
      <c r="AH245" s="626" t="n"/>
      <c r="AI245" s="626" t="n"/>
      <c r="AJ245" s="626" t="n"/>
      <c r="AK245" s="626" t="n"/>
      <c r="AL245" s="626" t="n"/>
      <c r="AM245" s="626" t="n"/>
      <c r="AN245" s="626" t="n"/>
      <c r="AO245" s="626" t="n"/>
      <c r="AP245" s="369" t="n"/>
      <c r="AQ245" s="369" t="n"/>
      <c r="AR245" s="369" t="n"/>
      <c r="AS245" s="369" t="n"/>
      <c r="AT245" s="370" t="n"/>
      <c r="AU245" s="370" t="n"/>
      <c r="AV245" s="370" t="n"/>
      <c r="AW245" s="370" t="n"/>
      <c r="BJ245">
        <f>O245</f>
        <v/>
      </c>
      <c r="BK245">
        <f>SUM(AG245:AW245)</f>
        <v/>
      </c>
      <c r="BL245" s="531">
        <f>BJ245-BK245</f>
        <v/>
      </c>
      <c r="BM245" s="201" t="n"/>
    </row>
    <row r="246" hidden="1" outlineLevel="1" s="191">
      <c r="A246" s="506">
        <f>A245</f>
        <v/>
      </c>
      <c r="P246" s="628" t="n"/>
      <c r="Q246" s="628" t="n"/>
      <c r="R246" s="628" t="n"/>
      <c r="S246" s="628" t="n"/>
      <c r="T246" s="628" t="n"/>
      <c r="U246" s="628" t="n"/>
      <c r="V246" s="628" t="n"/>
      <c r="W246" s="628" t="n"/>
      <c r="X246" s="628" t="n"/>
      <c r="Y246" s="650" t="n"/>
      <c r="Z246" s="650" t="n"/>
      <c r="AA246" s="650" t="n"/>
      <c r="AB246" s="650" t="n"/>
      <c r="AC246" s="613" t="n"/>
      <c r="AD246" s="613" t="n"/>
      <c r="AE246" s="613" t="n"/>
      <c r="AF246" s="613" t="n"/>
      <c r="AG246" s="626" t="n"/>
      <c r="AH246" s="626" t="n"/>
      <c r="AI246" s="626" t="n"/>
      <c r="AJ246" s="626" t="n"/>
      <c r="AK246" s="626" t="n"/>
      <c r="AL246" s="626" t="n"/>
      <c r="AM246" s="626" t="n"/>
      <c r="AN246" s="626" t="n"/>
      <c r="AO246" s="626" t="n"/>
      <c r="AP246" s="369" t="n"/>
      <c r="AQ246" s="369" t="n"/>
      <c r="AR246" s="369" t="n"/>
      <c r="AS246" s="369" t="n"/>
      <c r="AT246" s="370" t="n"/>
      <c r="AU246" s="370" t="n"/>
      <c r="AV246" s="370" t="n"/>
      <c r="AW246" s="370" t="n"/>
      <c r="BJ246">
        <f>O246</f>
        <v/>
      </c>
      <c r="BK246">
        <f>SUM(AG246:AW246)</f>
        <v/>
      </c>
      <c r="BL246" s="531">
        <f>BJ246-BK246</f>
        <v/>
      </c>
      <c r="BM246" s="201" t="n"/>
    </row>
    <row r="247" hidden="1" outlineLevel="1" s="191">
      <c r="A247" s="506">
        <f>A246</f>
        <v/>
      </c>
      <c r="P247" s="628" t="n"/>
      <c r="Q247" s="628" t="n"/>
      <c r="R247" s="628" t="n"/>
      <c r="S247" s="628" t="n"/>
      <c r="T247" s="628" t="n"/>
      <c r="U247" s="628" t="n"/>
      <c r="V247" s="628" t="n"/>
      <c r="W247" s="628" t="n"/>
      <c r="X247" s="628" t="n"/>
      <c r="Y247" s="650" t="n"/>
      <c r="Z247" s="650" t="n"/>
      <c r="AA247" s="650" t="n"/>
      <c r="AB247" s="650" t="n"/>
      <c r="AC247" s="613" t="n"/>
      <c r="AD247" s="613" t="n"/>
      <c r="AE247" s="613" t="n"/>
      <c r="AF247" s="613" t="n"/>
      <c r="AG247" s="626" t="n"/>
      <c r="AH247" s="626" t="n"/>
      <c r="AI247" s="626" t="n"/>
      <c r="AJ247" s="626" t="n"/>
      <c r="AK247" s="626" t="n"/>
      <c r="AL247" s="626" t="n"/>
      <c r="AM247" s="626" t="n"/>
      <c r="AN247" s="626" t="n"/>
      <c r="AO247" s="626" t="n"/>
      <c r="AP247" s="369" t="n"/>
      <c r="AQ247" s="369" t="n"/>
      <c r="AR247" s="369" t="n"/>
      <c r="AS247" s="369" t="n"/>
      <c r="AT247" s="370" t="n"/>
      <c r="AU247" s="370" t="n"/>
      <c r="AV247" s="370" t="n"/>
      <c r="AW247" s="370" t="n"/>
      <c r="BJ247">
        <f>O247</f>
        <v/>
      </c>
      <c r="BK247">
        <f>SUM(AG247:AW247)</f>
        <v/>
      </c>
      <c r="BL247" s="531">
        <f>BJ247-BK247</f>
        <v/>
      </c>
      <c r="BM247" s="201" t="n"/>
    </row>
    <row r="248" hidden="1" outlineLevel="1" s="191">
      <c r="A248" s="506">
        <f>A247</f>
        <v/>
      </c>
      <c r="P248" s="628" t="n"/>
      <c r="Q248" s="628" t="n"/>
      <c r="R248" s="628" t="n"/>
      <c r="S248" s="628" t="n"/>
      <c r="T248" s="628" t="n"/>
      <c r="U248" s="628" t="n"/>
      <c r="V248" s="628" t="n"/>
      <c r="W248" s="628" t="n"/>
      <c r="X248" s="628" t="n"/>
      <c r="Y248" s="650" t="n"/>
      <c r="Z248" s="650" t="n"/>
      <c r="AA248" s="650" t="n"/>
      <c r="AB248" s="650" t="n"/>
      <c r="AC248" s="613" t="n"/>
      <c r="AD248" s="613" t="n"/>
      <c r="AE248" s="613" t="n"/>
      <c r="AF248" s="613" t="n"/>
      <c r="AG248" s="626" t="n"/>
      <c r="AH248" s="626" t="n"/>
      <c r="AI248" s="626" t="n"/>
      <c r="AJ248" s="626" t="n"/>
      <c r="AK248" s="626" t="n"/>
      <c r="AL248" s="626" t="n"/>
      <c r="AM248" s="626" t="n"/>
      <c r="AN248" s="626" t="n"/>
      <c r="AO248" s="626" t="n"/>
      <c r="AP248" s="369" t="n"/>
      <c r="AQ248" s="369" t="n"/>
      <c r="AR248" s="369" t="n"/>
      <c r="AS248" s="369" t="n"/>
      <c r="AT248" s="370" t="n"/>
      <c r="AU248" s="370" t="n"/>
      <c r="AV248" s="370" t="n"/>
      <c r="AW248" s="370" t="n"/>
      <c r="BJ248">
        <f>O248</f>
        <v/>
      </c>
      <c r="BK248">
        <f>SUM(AG248:AW248)</f>
        <v/>
      </c>
      <c r="BL248" s="531">
        <f>BJ248-BK248</f>
        <v/>
      </c>
      <c r="BM248" s="201" t="n"/>
    </row>
    <row r="249" hidden="1" outlineLevel="1" s="191">
      <c r="A249" s="506">
        <f>A248</f>
        <v/>
      </c>
      <c r="P249" s="628" t="n"/>
      <c r="Q249" s="628" t="n"/>
      <c r="R249" s="628" t="n"/>
      <c r="S249" s="628" t="n"/>
      <c r="T249" s="628" t="n"/>
      <c r="U249" s="628" t="n"/>
      <c r="V249" s="628" t="n"/>
      <c r="W249" s="628" t="n"/>
      <c r="X249" s="628" t="n"/>
      <c r="Y249" s="650" t="n"/>
      <c r="Z249" s="650" t="n"/>
      <c r="AA249" s="650" t="n"/>
      <c r="AB249" s="650" t="n"/>
      <c r="AC249" s="613" t="n"/>
      <c r="AD249" s="613" t="n"/>
      <c r="AE249" s="613" t="n"/>
      <c r="AF249" s="613" t="n"/>
      <c r="AG249" s="626" t="n"/>
      <c r="AH249" s="626" t="n"/>
      <c r="AI249" s="626" t="n"/>
      <c r="AJ249" s="626" t="n"/>
      <c r="AK249" s="626" t="n"/>
      <c r="AL249" s="626" t="n"/>
      <c r="AM249" s="626" t="n"/>
      <c r="AN249" s="626" t="n"/>
      <c r="AO249" s="626" t="n"/>
      <c r="AP249" s="369" t="n"/>
      <c r="AQ249" s="369" t="n"/>
      <c r="AR249" s="369" t="n"/>
      <c r="AS249" s="369" t="n"/>
      <c r="AT249" s="370" t="n"/>
      <c r="AU249" s="370" t="n"/>
      <c r="AV249" s="370" t="n"/>
      <c r="AW249" s="370" t="n"/>
      <c r="BJ249">
        <f>O249</f>
        <v/>
      </c>
      <c r="BK249">
        <f>SUM(AG249:AW249)</f>
        <v/>
      </c>
      <c r="BL249" s="531">
        <f>BJ249-BK249</f>
        <v/>
      </c>
      <c r="BM249" s="201" t="n"/>
    </row>
    <row r="250" hidden="1" outlineLevel="1" s="191">
      <c r="A250" s="506">
        <f>A249</f>
        <v/>
      </c>
      <c r="P250" s="628" t="n"/>
      <c r="Q250" s="628" t="n"/>
      <c r="R250" s="628" t="n"/>
      <c r="S250" s="628" t="n"/>
      <c r="T250" s="628" t="n"/>
      <c r="U250" s="628" t="n"/>
      <c r="V250" s="628" t="n"/>
      <c r="W250" s="628" t="n"/>
      <c r="X250" s="628" t="n"/>
      <c r="Y250" s="650" t="n"/>
      <c r="Z250" s="650" t="n"/>
      <c r="AA250" s="650" t="n"/>
      <c r="AB250" s="650" t="n"/>
      <c r="AC250" s="613" t="n"/>
      <c r="AD250" s="613" t="n"/>
      <c r="AE250" s="613" t="n"/>
      <c r="AF250" s="613" t="n"/>
      <c r="AG250" s="626" t="n"/>
      <c r="AH250" s="626" t="n"/>
      <c r="AI250" s="626" t="n"/>
      <c r="AJ250" s="626" t="n"/>
      <c r="AK250" s="626" t="n"/>
      <c r="AL250" s="626" t="n"/>
      <c r="AM250" s="626" t="n"/>
      <c r="AN250" s="626" t="n"/>
      <c r="AO250" s="626" t="n"/>
      <c r="AP250" s="369" t="n"/>
      <c r="AQ250" s="369" t="n"/>
      <c r="AR250" s="369" t="n"/>
      <c r="AS250" s="369" t="n"/>
      <c r="AT250" s="370" t="n"/>
      <c r="AU250" s="370" t="n"/>
      <c r="AV250" s="370" t="n"/>
      <c r="AW250" s="370" t="n"/>
      <c r="BJ250">
        <f>O250</f>
        <v/>
      </c>
      <c r="BK250">
        <f>SUM(AG250:AW250)</f>
        <v/>
      </c>
      <c r="BL250" s="531">
        <f>BJ250-BK250</f>
        <v/>
      </c>
      <c r="BM250" s="201" t="n"/>
    </row>
    <row r="251" hidden="1" outlineLevel="1" s="191">
      <c r="A251" s="506">
        <f>A250</f>
        <v/>
      </c>
      <c r="P251" s="628" t="n"/>
      <c r="Q251" s="628" t="n"/>
      <c r="R251" s="628" t="n"/>
      <c r="S251" s="628" t="n"/>
      <c r="T251" s="628" t="n"/>
      <c r="U251" s="628" t="n"/>
      <c r="V251" s="628" t="n"/>
      <c r="W251" s="628" t="n"/>
      <c r="X251" s="628" t="n"/>
      <c r="Y251" s="650" t="n"/>
      <c r="Z251" s="650" t="n"/>
      <c r="AA251" s="650" t="n"/>
      <c r="AB251" s="650" t="n"/>
      <c r="AC251" s="613" t="n"/>
      <c r="AD251" s="613" t="n"/>
      <c r="AE251" s="613" t="n"/>
      <c r="AF251" s="613" t="n"/>
      <c r="AG251" s="626" t="n"/>
      <c r="AH251" s="626" t="n"/>
      <c r="AI251" s="626" t="n"/>
      <c r="AJ251" s="626" t="n"/>
      <c r="AK251" s="626" t="n"/>
      <c r="AL251" s="626" t="n"/>
      <c r="AM251" s="626" t="n"/>
      <c r="AN251" s="626" t="n"/>
      <c r="AO251" s="626" t="n"/>
      <c r="AP251" s="369" t="n"/>
      <c r="AQ251" s="369" t="n"/>
      <c r="AR251" s="369" t="n"/>
      <c r="AS251" s="369" t="n"/>
      <c r="AT251" s="370" t="n"/>
      <c r="AU251" s="370" t="n"/>
      <c r="AV251" s="370" t="n"/>
      <c r="AW251" s="370" t="n"/>
      <c r="BJ251">
        <f>O251</f>
        <v/>
      </c>
      <c r="BK251">
        <f>SUM(AG251:AW251)</f>
        <v/>
      </c>
      <c r="BL251" s="531">
        <f>BJ251-BK251</f>
        <v/>
      </c>
      <c r="BM251" s="201" t="n"/>
    </row>
    <row r="252" hidden="1" outlineLevel="1" s="191">
      <c r="A252" s="506">
        <f>A251</f>
        <v/>
      </c>
      <c r="P252" s="628" t="n"/>
      <c r="Q252" s="628" t="n"/>
      <c r="R252" s="628" t="n"/>
      <c r="S252" s="628" t="n"/>
      <c r="T252" s="628" t="n"/>
      <c r="U252" s="628" t="n"/>
      <c r="V252" s="628" t="n"/>
      <c r="W252" s="628" t="n"/>
      <c r="X252" s="628" t="n"/>
      <c r="Y252" s="650" t="n"/>
      <c r="Z252" s="650" t="n"/>
      <c r="AA252" s="650" t="n"/>
      <c r="AB252" s="650" t="n"/>
      <c r="AC252" s="613" t="n"/>
      <c r="AD252" s="613" t="n"/>
      <c r="AE252" s="613" t="n"/>
      <c r="AF252" s="613" t="n"/>
      <c r="AG252" s="626" t="n"/>
      <c r="AH252" s="626" t="n"/>
      <c r="AI252" s="626" t="n"/>
      <c r="AJ252" s="626" t="n"/>
      <c r="AK252" s="626" t="n"/>
      <c r="AL252" s="626" t="n"/>
      <c r="AM252" s="626" t="n"/>
      <c r="AN252" s="626" t="n"/>
      <c r="AO252" s="626" t="n"/>
      <c r="AP252" s="369" t="n"/>
      <c r="AQ252" s="369" t="n"/>
      <c r="AR252" s="369" t="n"/>
      <c r="AS252" s="369" t="n"/>
      <c r="AT252" s="370" t="n"/>
      <c r="AU252" s="370" t="n"/>
      <c r="AV252" s="370" t="n"/>
      <c r="AW252" s="370" t="n"/>
      <c r="BJ252">
        <f>O252</f>
        <v/>
      </c>
      <c r="BK252">
        <f>SUM(AG252:AW252)</f>
        <v/>
      </c>
      <c r="BL252" s="531">
        <f>BJ252-BK252</f>
        <v/>
      </c>
      <c r="BM252" s="201" t="n"/>
    </row>
    <row r="253" hidden="1" outlineLevel="1" s="191">
      <c r="A253" s="506">
        <f>A252</f>
        <v/>
      </c>
      <c r="P253" s="628" t="n"/>
      <c r="Q253" s="628" t="n"/>
      <c r="R253" s="628" t="n"/>
      <c r="S253" s="628" t="n"/>
      <c r="T253" s="628" t="n"/>
      <c r="U253" s="628" t="n"/>
      <c r="V253" s="628" t="n"/>
      <c r="W253" s="628" t="n"/>
      <c r="X253" s="628" t="n"/>
      <c r="Y253" s="650" t="n"/>
      <c r="Z253" s="650" t="n"/>
      <c r="AA253" s="650" t="n"/>
      <c r="AB253" s="650" t="n"/>
      <c r="AC253" s="613" t="n"/>
      <c r="AD253" s="613" t="n"/>
      <c r="AE253" s="613" t="n"/>
      <c r="AF253" s="613" t="n"/>
      <c r="AG253" s="626" t="n"/>
      <c r="AH253" s="626" t="n"/>
      <c r="AI253" s="626" t="n"/>
      <c r="AJ253" s="626" t="n"/>
      <c r="AK253" s="626" t="n"/>
      <c r="AL253" s="626" t="n"/>
      <c r="AM253" s="626" t="n"/>
      <c r="AN253" s="626" t="n"/>
      <c r="AO253" s="626" t="n"/>
      <c r="AP253" s="369" t="n"/>
      <c r="AQ253" s="369" t="n"/>
      <c r="AR253" s="369" t="n"/>
      <c r="AS253" s="369" t="n"/>
      <c r="AT253" s="370" t="n"/>
      <c r="AU253" s="370" t="n"/>
      <c r="AV253" s="370" t="n"/>
      <c r="AW253" s="370" t="n"/>
      <c r="BJ253">
        <f>O253</f>
        <v/>
      </c>
      <c r="BK253">
        <f>SUM(AG253:AW253)</f>
        <v/>
      </c>
      <c r="BL253" s="531">
        <f>BJ253-BK253</f>
        <v/>
      </c>
      <c r="BM253" s="201" t="n"/>
    </row>
    <row r="254" hidden="1" outlineLevel="1" s="191">
      <c r="A254" s="506">
        <f>A253</f>
        <v/>
      </c>
      <c r="P254" s="628" t="n"/>
      <c r="Q254" s="628" t="n"/>
      <c r="R254" s="628" t="n"/>
      <c r="S254" s="628" t="n"/>
      <c r="T254" s="628" t="n"/>
      <c r="U254" s="628" t="n"/>
      <c r="V254" s="628" t="n"/>
      <c r="W254" s="628" t="n"/>
      <c r="X254" s="628" t="n"/>
      <c r="Y254" s="650" t="n"/>
      <c r="Z254" s="650" t="n"/>
      <c r="AA254" s="650" t="n"/>
      <c r="AB254" s="650" t="n"/>
      <c r="AC254" s="613" t="n"/>
      <c r="AD254" s="613" t="n"/>
      <c r="AE254" s="613" t="n"/>
      <c r="AF254" s="613" t="n"/>
      <c r="AG254" s="626" t="n"/>
      <c r="AH254" s="626" t="n"/>
      <c r="AI254" s="626" t="n"/>
      <c r="AJ254" s="626" t="n"/>
      <c r="AK254" s="626" t="n"/>
      <c r="AL254" s="626" t="n"/>
      <c r="AM254" s="626" t="n"/>
      <c r="AN254" s="626" t="n"/>
      <c r="AO254" s="626" t="n"/>
      <c r="AP254" s="369" t="n"/>
      <c r="AQ254" s="369" t="n"/>
      <c r="AR254" s="369" t="n"/>
      <c r="AS254" s="369" t="n"/>
      <c r="AT254" s="370" t="n"/>
      <c r="AU254" s="370" t="n"/>
      <c r="AV254" s="370" t="n"/>
      <c r="AW254" s="370" t="n"/>
      <c r="BJ254">
        <f>O254</f>
        <v/>
      </c>
      <c r="BK254">
        <f>SUM(AG254:AW254)</f>
        <v/>
      </c>
      <c r="BL254" s="531">
        <f>BJ254-BK254</f>
        <v/>
      </c>
      <c r="BM254" s="201" t="n"/>
    </row>
    <row r="255" hidden="1" outlineLevel="1" s="191">
      <c r="A255" s="506">
        <f>A254</f>
        <v/>
      </c>
      <c r="P255" s="628" t="n"/>
      <c r="Q255" s="628" t="n"/>
      <c r="R255" s="628" t="n"/>
      <c r="S255" s="628" t="n"/>
      <c r="T255" s="628" t="n"/>
      <c r="U255" s="628" t="n"/>
      <c r="V255" s="628" t="n"/>
      <c r="W255" s="628" t="n"/>
      <c r="X255" s="628" t="n"/>
      <c r="Y255" s="650" t="n"/>
      <c r="Z255" s="650" t="n"/>
      <c r="AA255" s="650" t="n"/>
      <c r="AB255" s="650" t="n"/>
      <c r="AC255" s="613" t="n"/>
      <c r="AD255" s="613" t="n"/>
      <c r="AE255" s="613" t="n"/>
      <c r="AF255" s="613" t="n"/>
      <c r="AG255" s="626" t="n"/>
      <c r="AH255" s="626" t="n"/>
      <c r="AI255" s="626" t="n"/>
      <c r="AJ255" s="626" t="n"/>
      <c r="AK255" s="626" t="n"/>
      <c r="AL255" s="626" t="n"/>
      <c r="AM255" s="626" t="n"/>
      <c r="AN255" s="626" t="n"/>
      <c r="AO255" s="626" t="n"/>
      <c r="AP255" s="369" t="n"/>
      <c r="AQ255" s="369" t="n"/>
      <c r="AR255" s="369" t="n"/>
      <c r="AS255" s="369" t="n"/>
      <c r="AT255" s="370" t="n"/>
      <c r="AU255" s="370" t="n"/>
      <c r="AV255" s="370" t="n"/>
      <c r="AW255" s="370" t="n"/>
      <c r="BJ255">
        <f>O255</f>
        <v/>
      </c>
      <c r="BK255">
        <f>SUM(AG255:AW255)</f>
        <v/>
      </c>
      <c r="BL255" s="531">
        <f>BJ255-BK255</f>
        <v/>
      </c>
      <c r="BM255" s="201" t="n"/>
    </row>
    <row r="256" hidden="1" outlineLevel="1" s="191">
      <c r="A256" s="506">
        <f>A255</f>
        <v/>
      </c>
      <c r="P256" s="628" t="n"/>
      <c r="Q256" s="628" t="n"/>
      <c r="R256" s="628" t="n"/>
      <c r="S256" s="628" t="n"/>
      <c r="T256" s="628" t="n"/>
      <c r="U256" s="628" t="n"/>
      <c r="V256" s="628" t="n"/>
      <c r="W256" s="628" t="n"/>
      <c r="X256" s="628" t="n"/>
      <c r="Y256" s="650" t="n"/>
      <c r="Z256" s="650" t="n"/>
      <c r="AA256" s="650" t="n"/>
      <c r="AB256" s="650" t="n"/>
      <c r="AC256" s="613" t="n"/>
      <c r="AD256" s="613" t="n"/>
      <c r="AE256" s="613" t="n"/>
      <c r="AF256" s="613" t="n"/>
      <c r="AG256" s="626" t="n"/>
      <c r="AH256" s="626" t="n"/>
      <c r="AI256" s="626" t="n"/>
      <c r="AJ256" s="626" t="n"/>
      <c r="AK256" s="626" t="n"/>
      <c r="AL256" s="626" t="n"/>
      <c r="AM256" s="626" t="n"/>
      <c r="AN256" s="626" t="n"/>
      <c r="AO256" s="626" t="n"/>
      <c r="AP256" s="369" t="n"/>
      <c r="AQ256" s="369" t="n"/>
      <c r="AR256" s="369" t="n"/>
      <c r="AS256" s="369" t="n"/>
      <c r="AT256" s="370" t="n"/>
      <c r="AU256" s="370" t="n"/>
      <c r="AV256" s="370" t="n"/>
      <c r="AW256" s="370" t="n"/>
      <c r="BJ256">
        <f>O256</f>
        <v/>
      </c>
      <c r="BK256">
        <f>SUM(AG256:AW256)</f>
        <v/>
      </c>
      <c r="BL256" s="531">
        <f>BJ256-BK256</f>
        <v/>
      </c>
      <c r="BM256" s="201" t="n"/>
    </row>
    <row r="257" hidden="1" outlineLevel="1" s="191">
      <c r="A257" s="506">
        <f>A256</f>
        <v/>
      </c>
      <c r="P257" s="628" t="n"/>
      <c r="Q257" s="628" t="n"/>
      <c r="R257" s="628" t="n"/>
      <c r="S257" s="628" t="n"/>
      <c r="T257" s="628" t="n"/>
      <c r="U257" s="628" t="n"/>
      <c r="V257" s="628" t="n"/>
      <c r="W257" s="628" t="n"/>
      <c r="X257" s="628" t="n"/>
      <c r="Y257" s="650" t="n"/>
      <c r="Z257" s="650" t="n"/>
      <c r="AA257" s="650" t="n"/>
      <c r="AB257" s="650" t="n"/>
      <c r="AC257" s="613" t="n"/>
      <c r="AD257" s="613" t="n"/>
      <c r="AE257" s="613" t="n"/>
      <c r="AF257" s="613" t="n"/>
      <c r="AG257" s="626" t="n"/>
      <c r="AH257" s="626" t="n"/>
      <c r="AI257" s="626" t="n"/>
      <c r="AJ257" s="626" t="n"/>
      <c r="AK257" s="626" t="n"/>
      <c r="AL257" s="626" t="n"/>
      <c r="AM257" s="626" t="n"/>
      <c r="AN257" s="626" t="n"/>
      <c r="AO257" s="626" t="n"/>
      <c r="AP257" s="369" t="n"/>
      <c r="AQ257" s="369" t="n"/>
      <c r="AR257" s="369" t="n"/>
      <c r="AS257" s="369" t="n"/>
      <c r="AT257" s="370" t="n"/>
      <c r="AU257" s="370" t="n"/>
      <c r="AV257" s="370" t="n"/>
      <c r="AW257" s="370" t="n"/>
      <c r="BJ257">
        <f>O257</f>
        <v/>
      </c>
      <c r="BK257">
        <f>SUM(AG257:AW257)</f>
        <v/>
      </c>
      <c r="BL257" s="531">
        <f>BJ257-BK257</f>
        <v/>
      </c>
      <c r="BM257" s="201" t="n"/>
    </row>
    <row r="258" hidden="1" outlineLevel="1" s="191">
      <c r="A258" s="506">
        <f>A257</f>
        <v/>
      </c>
      <c r="P258" s="628" t="n"/>
      <c r="Q258" s="628" t="n"/>
      <c r="R258" s="628" t="n"/>
      <c r="S258" s="628" t="n"/>
      <c r="T258" s="628" t="n"/>
      <c r="U258" s="628" t="n"/>
      <c r="V258" s="628" t="n"/>
      <c r="W258" s="628" t="n"/>
      <c r="X258" s="628" t="n"/>
      <c r="Y258" s="650" t="n"/>
      <c r="Z258" s="650" t="n"/>
      <c r="AA258" s="650" t="n"/>
      <c r="AB258" s="650" t="n"/>
      <c r="AC258" s="613" t="n"/>
      <c r="AD258" s="613" t="n"/>
      <c r="AE258" s="613" t="n"/>
      <c r="AF258" s="613" t="n"/>
      <c r="AG258" s="626" t="n"/>
      <c r="AH258" s="626" t="n"/>
      <c r="AI258" s="626" t="n"/>
      <c r="AJ258" s="626" t="n"/>
      <c r="AK258" s="626" t="n"/>
      <c r="AL258" s="626" t="n"/>
      <c r="AM258" s="626" t="n"/>
      <c r="AN258" s="626" t="n"/>
      <c r="AO258" s="626" t="n"/>
      <c r="AP258" s="369" t="n"/>
      <c r="AQ258" s="369" t="n"/>
      <c r="AR258" s="369" t="n"/>
      <c r="AS258" s="369" t="n"/>
      <c r="AT258" s="370" t="n"/>
      <c r="AU258" s="370" t="n"/>
      <c r="AV258" s="370" t="n"/>
      <c r="AW258" s="370" t="n"/>
      <c r="BJ258">
        <f>O258</f>
        <v/>
      </c>
      <c r="BK258">
        <f>SUM(AG258:AW258)</f>
        <v/>
      </c>
      <c r="BL258" s="531">
        <f>BJ258-BK258</f>
        <v/>
      </c>
      <c r="BM258" s="201" t="n"/>
    </row>
    <row r="259" hidden="1" outlineLevel="1" s="191">
      <c r="A259" s="506">
        <f>A258</f>
        <v/>
      </c>
      <c r="P259" s="628" t="n"/>
      <c r="Q259" s="628" t="n"/>
      <c r="R259" s="628" t="n"/>
      <c r="S259" s="628" t="n"/>
      <c r="T259" s="628" t="n"/>
      <c r="U259" s="628" t="n"/>
      <c r="V259" s="628" t="n"/>
      <c r="W259" s="628" t="n"/>
      <c r="X259" s="628" t="n"/>
      <c r="Y259" s="650" t="n"/>
      <c r="Z259" s="650" t="n"/>
      <c r="AA259" s="650" t="n"/>
      <c r="AB259" s="650" t="n"/>
      <c r="AC259" s="613" t="n"/>
      <c r="AD259" s="613" t="n"/>
      <c r="AE259" s="613" t="n"/>
      <c r="AF259" s="613" t="n"/>
      <c r="AG259" s="626" t="n"/>
      <c r="AH259" s="626" t="n"/>
      <c r="AI259" s="626" t="n"/>
      <c r="AJ259" s="626" t="n"/>
      <c r="AK259" s="626" t="n"/>
      <c r="AL259" s="626" t="n"/>
      <c r="AM259" s="626" t="n"/>
      <c r="AN259" s="626" t="n"/>
      <c r="AO259" s="626" t="n"/>
      <c r="AP259" s="369" t="n"/>
      <c r="AQ259" s="369" t="n"/>
      <c r="AR259" s="369" t="n"/>
      <c r="AS259" s="369" t="n"/>
      <c r="AT259" s="370" t="n"/>
      <c r="AU259" s="370" t="n"/>
      <c r="AV259" s="370" t="n"/>
      <c r="AW259" s="370" t="n"/>
      <c r="BJ259">
        <f>O259</f>
        <v/>
      </c>
      <c r="BK259">
        <f>SUM(AG259:AW259)</f>
        <v/>
      </c>
      <c r="BL259" s="531">
        <f>BJ259-BK259</f>
        <v/>
      </c>
      <c r="BM259" s="201" t="n"/>
    </row>
    <row r="260" hidden="1" outlineLevel="1" s="191">
      <c r="A260" s="506">
        <f>A259</f>
        <v/>
      </c>
      <c r="P260" s="628" t="n"/>
      <c r="Q260" s="628" t="n"/>
      <c r="R260" s="628" t="n"/>
      <c r="S260" s="628" t="n"/>
      <c r="T260" s="628" t="n"/>
      <c r="U260" s="628" t="n"/>
      <c r="V260" s="628" t="n"/>
      <c r="W260" s="628" t="n"/>
      <c r="X260" s="628" t="n"/>
      <c r="Y260" s="650" t="n"/>
      <c r="Z260" s="650" t="n"/>
      <c r="AA260" s="650" t="n"/>
      <c r="AB260" s="650" t="n"/>
      <c r="AC260" s="613" t="n"/>
      <c r="AD260" s="613" t="n"/>
      <c r="AE260" s="613" t="n"/>
      <c r="AF260" s="613" t="n"/>
      <c r="AG260" s="626" t="n"/>
      <c r="AH260" s="626" t="n"/>
      <c r="AI260" s="626" t="n"/>
      <c r="AJ260" s="626" t="n"/>
      <c r="AK260" s="626" t="n"/>
      <c r="AL260" s="626" t="n"/>
      <c r="AM260" s="626" t="n"/>
      <c r="AN260" s="626" t="n"/>
      <c r="AO260" s="626" t="n"/>
      <c r="AP260" s="369" t="n"/>
      <c r="AQ260" s="369" t="n"/>
      <c r="AR260" s="369" t="n"/>
      <c r="AS260" s="369" t="n"/>
      <c r="AT260" s="370" t="n"/>
      <c r="AU260" s="370" t="n"/>
      <c r="AV260" s="370" t="n"/>
      <c r="AW260" s="370" t="n"/>
      <c r="BJ260">
        <f>O260</f>
        <v/>
      </c>
      <c r="BK260">
        <f>SUM(AG260:AW260)</f>
        <v/>
      </c>
      <c r="BL260" s="531">
        <f>BJ260-BK260</f>
        <v/>
      </c>
      <c r="BM260" s="201" t="n"/>
    </row>
    <row r="261" hidden="1" outlineLevel="1" s="191">
      <c r="A261" s="506">
        <f>A260</f>
        <v/>
      </c>
      <c r="P261" s="628" t="n"/>
      <c r="Q261" s="628" t="n"/>
      <c r="R261" s="628" t="n"/>
      <c r="S261" s="628" t="n"/>
      <c r="T261" s="628" t="n"/>
      <c r="U261" s="628" t="n"/>
      <c r="V261" s="628" t="n"/>
      <c r="W261" s="628" t="n"/>
      <c r="X261" s="628" t="n"/>
      <c r="Y261" s="650" t="n"/>
      <c r="Z261" s="650" t="n"/>
      <c r="AA261" s="650" t="n"/>
      <c r="AB261" s="650" t="n"/>
      <c r="AC261" s="613" t="n"/>
      <c r="AD261" s="613" t="n"/>
      <c r="AE261" s="613" t="n"/>
      <c r="AF261" s="613" t="n"/>
      <c r="AG261" s="626" t="n"/>
      <c r="AH261" s="626" t="n"/>
      <c r="AI261" s="626" t="n"/>
      <c r="AJ261" s="626" t="n"/>
      <c r="AK261" s="626" t="n"/>
      <c r="AL261" s="626" t="n"/>
      <c r="AM261" s="626" t="n"/>
      <c r="AN261" s="626" t="n"/>
      <c r="AO261" s="626" t="n"/>
      <c r="AP261" s="369" t="n"/>
      <c r="AQ261" s="369" t="n"/>
      <c r="AR261" s="369" t="n"/>
      <c r="AS261" s="369" t="n"/>
      <c r="AT261" s="370" t="n"/>
      <c r="AU261" s="370" t="n"/>
      <c r="AV261" s="370" t="n"/>
      <c r="AW261" s="370" t="n"/>
      <c r="BJ261">
        <f>O261</f>
        <v/>
      </c>
      <c r="BK261">
        <f>SUM(AG261:AW261)</f>
        <v/>
      </c>
      <c r="BL261" s="531">
        <f>BJ261-BK261</f>
        <v/>
      </c>
      <c r="BM261" s="201" t="n"/>
    </row>
    <row r="262" hidden="1" outlineLevel="1" s="191">
      <c r="A262" s="506">
        <f>A261</f>
        <v/>
      </c>
      <c r="P262" s="628" t="n"/>
      <c r="Q262" s="628" t="n"/>
      <c r="R262" s="628" t="n"/>
      <c r="S262" s="628" t="n"/>
      <c r="T262" s="628" t="n"/>
      <c r="U262" s="628" t="n"/>
      <c r="V262" s="628" t="n"/>
      <c r="W262" s="628" t="n"/>
      <c r="X262" s="628" t="n"/>
      <c r="Y262" s="650" t="n"/>
      <c r="Z262" s="650" t="n"/>
      <c r="AA262" s="650" t="n"/>
      <c r="AB262" s="650" t="n"/>
      <c r="AC262" s="613" t="n"/>
      <c r="AD262" s="613" t="n"/>
      <c r="AE262" s="613" t="n"/>
      <c r="AF262" s="613" t="n"/>
      <c r="AG262" s="626" t="n"/>
      <c r="AH262" s="626" t="n"/>
      <c r="AI262" s="626" t="n"/>
      <c r="AJ262" s="626" t="n"/>
      <c r="AK262" s="626" t="n"/>
      <c r="AL262" s="626" t="n"/>
      <c r="AM262" s="626" t="n"/>
      <c r="AN262" s="626" t="n"/>
      <c r="AO262" s="626" t="n"/>
      <c r="AP262" s="369" t="n"/>
      <c r="AQ262" s="369" t="n"/>
      <c r="AR262" s="369" t="n"/>
      <c r="AS262" s="369" t="n"/>
      <c r="AT262" s="370" t="n"/>
      <c r="AU262" s="370" t="n"/>
      <c r="AV262" s="370" t="n"/>
      <c r="AW262" s="370" t="n"/>
      <c r="BJ262">
        <f>O262</f>
        <v/>
      </c>
      <c r="BK262">
        <f>SUM(AG262:AW262)</f>
        <v/>
      </c>
      <c r="BL262" s="531">
        <f>BJ262-BK262</f>
        <v/>
      </c>
      <c r="BM262" s="201" t="n"/>
    </row>
    <row r="263" hidden="1" outlineLevel="1" s="191">
      <c r="A263" s="506">
        <f>A262</f>
        <v/>
      </c>
      <c r="P263" s="628" t="n"/>
      <c r="Q263" s="628" t="n"/>
      <c r="R263" s="628" t="n"/>
      <c r="S263" s="628" t="n"/>
      <c r="T263" s="628" t="n"/>
      <c r="U263" s="628" t="n"/>
      <c r="V263" s="628" t="n"/>
      <c r="W263" s="628" t="n"/>
      <c r="X263" s="628" t="n"/>
      <c r="Y263" s="650" t="n"/>
      <c r="Z263" s="650" t="n"/>
      <c r="AA263" s="650" t="n"/>
      <c r="AB263" s="650" t="n"/>
      <c r="AC263" s="613" t="n"/>
      <c r="AD263" s="613" t="n"/>
      <c r="AE263" s="613" t="n"/>
      <c r="AF263" s="613" t="n"/>
      <c r="AG263" s="626" t="n"/>
      <c r="AH263" s="626" t="n"/>
      <c r="AI263" s="626" t="n"/>
      <c r="AJ263" s="626" t="n"/>
      <c r="AK263" s="626" t="n"/>
      <c r="AL263" s="626" t="n"/>
      <c r="AM263" s="626" t="n"/>
      <c r="AN263" s="626" t="n"/>
      <c r="AO263" s="626" t="n"/>
      <c r="AP263" s="369" t="n"/>
      <c r="AQ263" s="369" t="n"/>
      <c r="AR263" s="369" t="n"/>
      <c r="AS263" s="369" t="n"/>
      <c r="AT263" s="370" t="n"/>
      <c r="AU263" s="370" t="n"/>
      <c r="AV263" s="370" t="n"/>
      <c r="AW263" s="370" t="n"/>
      <c r="BJ263">
        <f>O263</f>
        <v/>
      </c>
      <c r="BK263">
        <f>SUM(AG263:AW263)</f>
        <v/>
      </c>
      <c r="BL263" s="531">
        <f>BJ263-BK263</f>
        <v/>
      </c>
      <c r="BM263" s="201" t="n"/>
    </row>
    <row r="264" hidden="1" outlineLevel="1" s="191">
      <c r="A264" s="506">
        <f>A263</f>
        <v/>
      </c>
      <c r="P264" s="628" t="n"/>
      <c r="Q264" s="628" t="n"/>
      <c r="R264" s="628" t="n"/>
      <c r="S264" s="628" t="n"/>
      <c r="T264" s="628" t="n"/>
      <c r="U264" s="628" t="n"/>
      <c r="V264" s="628" t="n"/>
      <c r="W264" s="628" t="n"/>
      <c r="X264" s="628" t="n"/>
      <c r="Y264" s="650" t="n"/>
      <c r="Z264" s="650" t="n"/>
      <c r="AA264" s="650" t="n"/>
      <c r="AB264" s="650" t="n"/>
      <c r="AC264" s="613" t="n"/>
      <c r="AD264" s="613" t="n"/>
      <c r="AE264" s="613" t="n"/>
      <c r="AF264" s="613" t="n"/>
      <c r="AG264" s="626" t="n"/>
      <c r="AH264" s="626" t="n"/>
      <c r="AI264" s="626" t="n"/>
      <c r="AJ264" s="626" t="n"/>
      <c r="AK264" s="626" t="n"/>
      <c r="AL264" s="626" t="n"/>
      <c r="AM264" s="626" t="n"/>
      <c r="AN264" s="626" t="n"/>
      <c r="AO264" s="626" t="n"/>
      <c r="AP264" s="369" t="n"/>
      <c r="AQ264" s="369" t="n"/>
      <c r="AR264" s="369" t="n"/>
      <c r="AS264" s="369" t="n"/>
      <c r="AT264" s="370" t="n"/>
      <c r="AU264" s="370" t="n"/>
      <c r="AV264" s="370" t="n"/>
      <c r="AW264" s="370" t="n"/>
      <c r="BJ264">
        <f>O264</f>
        <v/>
      </c>
      <c r="BK264">
        <f>SUM(AG264:AW264)</f>
        <v/>
      </c>
      <c r="BL264" s="531">
        <f>BJ264-BK264</f>
        <v/>
      </c>
      <c r="BM264" s="201" t="n"/>
    </row>
    <row r="265" hidden="1" outlineLevel="1" s="191">
      <c r="A265" s="506">
        <f>A264</f>
        <v/>
      </c>
      <c r="P265" s="628" t="n"/>
      <c r="Q265" s="628" t="n"/>
      <c r="R265" s="628" t="n"/>
      <c r="S265" s="628" t="n"/>
      <c r="T265" s="628" t="n"/>
      <c r="U265" s="628" t="n"/>
      <c r="V265" s="628" t="n"/>
      <c r="W265" s="628" t="n"/>
      <c r="X265" s="628" t="n"/>
      <c r="Y265" s="650" t="n"/>
      <c r="Z265" s="650" t="n"/>
      <c r="AA265" s="650" t="n"/>
      <c r="AB265" s="650" t="n"/>
      <c r="AC265" s="613" t="n"/>
      <c r="AD265" s="613" t="n"/>
      <c r="AE265" s="613" t="n"/>
      <c r="AF265" s="613" t="n"/>
      <c r="AG265" s="626" t="n"/>
      <c r="AH265" s="626" t="n"/>
      <c r="AI265" s="626" t="n"/>
      <c r="AJ265" s="626" t="n"/>
      <c r="AK265" s="626" t="n"/>
      <c r="AL265" s="626" t="n"/>
      <c r="AM265" s="626" t="n"/>
      <c r="AN265" s="626" t="n"/>
      <c r="AO265" s="626" t="n"/>
      <c r="AP265" s="369" t="n"/>
      <c r="AQ265" s="369" t="n"/>
      <c r="AR265" s="369" t="n"/>
      <c r="AS265" s="369" t="n"/>
      <c r="AT265" s="370" t="n"/>
      <c r="AU265" s="370" t="n"/>
      <c r="AV265" s="370" t="n"/>
      <c r="AW265" s="370" t="n"/>
      <c r="BJ265">
        <f>O265</f>
        <v/>
      </c>
      <c r="BK265">
        <f>SUM(AG265:AW265)</f>
        <v/>
      </c>
      <c r="BL265" s="531">
        <f>BJ265-BK265</f>
        <v/>
      </c>
      <c r="BM265" s="201" t="n"/>
    </row>
    <row r="266" hidden="1" outlineLevel="1" s="191">
      <c r="A266" s="506">
        <f>A265</f>
        <v/>
      </c>
      <c r="P266" s="628" t="n"/>
      <c r="Q266" s="628" t="n"/>
      <c r="R266" s="628" t="n"/>
      <c r="S266" s="628" t="n"/>
      <c r="T266" s="628" t="n"/>
      <c r="U266" s="628" t="n"/>
      <c r="V266" s="628" t="n"/>
      <c r="W266" s="628" t="n"/>
      <c r="X266" s="628" t="n"/>
      <c r="Y266" s="650" t="n"/>
      <c r="Z266" s="650" t="n"/>
      <c r="AA266" s="650" t="n"/>
      <c r="AB266" s="650" t="n"/>
      <c r="AC266" s="613" t="n"/>
      <c r="AD266" s="613" t="n"/>
      <c r="AE266" s="613" t="n"/>
      <c r="AF266" s="613" t="n"/>
      <c r="AG266" s="626" t="n"/>
      <c r="AH266" s="626" t="n"/>
      <c r="AI266" s="626" t="n"/>
      <c r="AJ266" s="626" t="n"/>
      <c r="AK266" s="626" t="n"/>
      <c r="AL266" s="626" t="n"/>
      <c r="AM266" s="626" t="n"/>
      <c r="AN266" s="626" t="n"/>
      <c r="AO266" s="626" t="n"/>
      <c r="AP266" s="369" t="n"/>
      <c r="AQ266" s="369" t="n"/>
      <c r="AR266" s="369" t="n"/>
      <c r="AS266" s="369" t="n"/>
      <c r="AT266" s="370" t="n"/>
      <c r="AU266" s="370" t="n"/>
      <c r="AV266" s="370" t="n"/>
      <c r="AW266" s="370" t="n"/>
      <c r="BJ266">
        <f>O266</f>
        <v/>
      </c>
      <c r="BK266">
        <f>SUM(AG266:AW266)</f>
        <v/>
      </c>
      <c r="BL266" s="531">
        <f>BJ266-BK266</f>
        <v/>
      </c>
      <c r="BM266" s="201" t="n"/>
    </row>
    <row r="267" hidden="1" outlineLevel="1" s="191">
      <c r="A267" s="506">
        <f>A266</f>
        <v/>
      </c>
      <c r="P267" s="628" t="n"/>
      <c r="Q267" s="628" t="n"/>
      <c r="R267" s="628" t="n"/>
      <c r="S267" s="628" t="n"/>
      <c r="T267" s="628" t="n"/>
      <c r="U267" s="628" t="n"/>
      <c r="V267" s="628" t="n"/>
      <c r="W267" s="628" t="n"/>
      <c r="X267" s="628" t="n"/>
      <c r="Y267" s="650" t="n"/>
      <c r="Z267" s="650" t="n"/>
      <c r="AA267" s="650" t="n"/>
      <c r="AB267" s="650" t="n"/>
      <c r="AC267" s="613" t="n"/>
      <c r="AD267" s="613" t="n"/>
      <c r="AE267" s="613" t="n"/>
      <c r="AF267" s="613" t="n"/>
      <c r="AG267" s="626" t="n"/>
      <c r="AH267" s="626" t="n"/>
      <c r="AI267" s="626" t="n"/>
      <c r="AJ267" s="626" t="n"/>
      <c r="AK267" s="626" t="n"/>
      <c r="AL267" s="626" t="n"/>
      <c r="AM267" s="626" t="n"/>
      <c r="AN267" s="626" t="n"/>
      <c r="AO267" s="626" t="n"/>
      <c r="AP267" s="369" t="n"/>
      <c r="AQ267" s="369" t="n"/>
      <c r="AR267" s="369" t="n"/>
      <c r="AS267" s="369" t="n"/>
      <c r="AT267" s="370" t="n"/>
      <c r="AU267" s="370" t="n"/>
      <c r="AV267" s="370" t="n"/>
      <c r="AW267" s="370" t="n"/>
      <c r="BJ267">
        <f>O267</f>
        <v/>
      </c>
      <c r="BK267">
        <f>SUM(AG267:AW267)</f>
        <v/>
      </c>
      <c r="BL267" s="531">
        <f>BJ267-BK267</f>
        <v/>
      </c>
      <c r="BM267" s="201" t="n"/>
    </row>
    <row r="268" hidden="1" outlineLevel="1" s="191">
      <c r="A268" s="506">
        <f>A267</f>
        <v/>
      </c>
      <c r="P268" s="628" t="n"/>
      <c r="Q268" s="628" t="n"/>
      <c r="R268" s="628" t="n"/>
      <c r="S268" s="628" t="n"/>
      <c r="T268" s="628" t="n"/>
      <c r="U268" s="628" t="n"/>
      <c r="V268" s="628" t="n"/>
      <c r="W268" s="628" t="n"/>
      <c r="X268" s="628" t="n"/>
      <c r="Y268" s="650" t="n"/>
      <c r="Z268" s="650" t="n"/>
      <c r="AA268" s="650" t="n"/>
      <c r="AB268" s="650" t="n"/>
      <c r="AC268" s="613" t="n"/>
      <c r="AD268" s="613" t="n"/>
      <c r="AE268" s="613" t="n"/>
      <c r="AF268" s="613" t="n"/>
      <c r="AG268" s="626" t="n"/>
      <c r="AH268" s="626" t="n"/>
      <c r="AI268" s="626" t="n"/>
      <c r="AJ268" s="626" t="n"/>
      <c r="AK268" s="626" t="n"/>
      <c r="AL268" s="626" t="n"/>
      <c r="AM268" s="626" t="n"/>
      <c r="AN268" s="626" t="n"/>
      <c r="AO268" s="626" t="n"/>
      <c r="AP268" s="369" t="n"/>
      <c r="AQ268" s="369" t="n"/>
      <c r="AR268" s="369" t="n"/>
      <c r="AS268" s="369" t="n"/>
      <c r="AT268" s="370" t="n"/>
      <c r="AU268" s="370" t="n"/>
      <c r="AV268" s="370" t="n"/>
      <c r="AW268" s="370" t="n"/>
      <c r="BJ268">
        <f>O268</f>
        <v/>
      </c>
      <c r="BK268">
        <f>SUM(AG268:AW268)</f>
        <v/>
      </c>
      <c r="BL268" s="531">
        <f>BJ268-BK268</f>
        <v/>
      </c>
      <c r="BM268" s="201" t="n"/>
    </row>
    <row r="269" hidden="1" outlineLevel="1" s="191">
      <c r="A269" s="506">
        <f>A268</f>
        <v/>
      </c>
      <c r="P269" s="628" t="n"/>
      <c r="Q269" s="628" t="n"/>
      <c r="R269" s="628" t="n"/>
      <c r="S269" s="628" t="n"/>
      <c r="T269" s="628" t="n"/>
      <c r="U269" s="628" t="n"/>
      <c r="V269" s="628" t="n"/>
      <c r="W269" s="628" t="n"/>
      <c r="X269" s="628" t="n"/>
      <c r="Y269" s="650" t="n"/>
      <c r="Z269" s="650" t="n"/>
      <c r="AA269" s="650" t="n"/>
      <c r="AB269" s="650" t="n"/>
      <c r="AC269" s="613" t="n"/>
      <c r="AD269" s="613" t="n"/>
      <c r="AE269" s="613" t="n"/>
      <c r="AF269" s="613" t="n"/>
      <c r="AG269" s="626" t="n"/>
      <c r="AH269" s="626" t="n"/>
      <c r="AI269" s="626" t="n"/>
      <c r="AJ269" s="626" t="n"/>
      <c r="AK269" s="626" t="n"/>
      <c r="AL269" s="626" t="n"/>
      <c r="AM269" s="626" t="n"/>
      <c r="AN269" s="626" t="n"/>
      <c r="AO269" s="626" t="n"/>
      <c r="AP269" s="369" t="n"/>
      <c r="AQ269" s="369" t="n"/>
      <c r="AR269" s="369" t="n"/>
      <c r="AS269" s="369" t="n"/>
      <c r="AT269" s="370" t="n"/>
      <c r="AU269" s="370" t="n"/>
      <c r="AV269" s="370" t="n"/>
      <c r="AW269" s="370" t="n"/>
      <c r="BJ269">
        <f>O269</f>
        <v/>
      </c>
      <c r="BK269">
        <f>SUM(AG269:AW269)</f>
        <v/>
      </c>
      <c r="BL269" s="531">
        <f>BJ269-BK269</f>
        <v/>
      </c>
      <c r="BM269" s="201" t="n"/>
    </row>
    <row r="270" hidden="1" outlineLevel="1" s="191">
      <c r="A270" s="506">
        <f>A269</f>
        <v/>
      </c>
      <c r="P270" s="628" t="n"/>
      <c r="Q270" s="628" t="n"/>
      <c r="R270" s="628" t="n"/>
      <c r="S270" s="628" t="n"/>
      <c r="T270" s="628" t="n"/>
      <c r="U270" s="628" t="n"/>
      <c r="V270" s="628" t="n"/>
      <c r="W270" s="628" t="n"/>
      <c r="X270" s="628" t="n"/>
      <c r="Y270" s="650" t="n"/>
      <c r="Z270" s="650" t="n"/>
      <c r="AA270" s="650" t="n"/>
      <c r="AB270" s="650" t="n"/>
      <c r="AC270" s="613" t="n"/>
      <c r="AD270" s="613" t="n"/>
      <c r="AE270" s="613" t="n"/>
      <c r="AF270" s="613" t="n"/>
      <c r="AG270" s="626" t="n"/>
      <c r="AH270" s="626" t="n"/>
      <c r="AI270" s="626" t="n"/>
      <c r="AJ270" s="626" t="n"/>
      <c r="AK270" s="626" t="n"/>
      <c r="AL270" s="626" t="n"/>
      <c r="AM270" s="626" t="n"/>
      <c r="AN270" s="626" t="n"/>
      <c r="AO270" s="626" t="n"/>
      <c r="AP270" s="369" t="n"/>
      <c r="AQ270" s="369" t="n"/>
      <c r="AR270" s="369" t="n"/>
      <c r="AS270" s="369" t="n"/>
      <c r="AT270" s="370" t="n"/>
      <c r="AU270" s="370" t="n"/>
      <c r="AV270" s="370" t="n"/>
      <c r="AW270" s="370" t="n"/>
      <c r="BJ270">
        <f>O270</f>
        <v/>
      </c>
      <c r="BK270">
        <f>SUM(AG270:AW270)</f>
        <v/>
      </c>
      <c r="BL270" s="531">
        <f>BJ270-BK270</f>
        <v/>
      </c>
      <c r="BM270" s="201" t="n"/>
    </row>
    <row r="271" hidden="1" outlineLevel="1" s="191">
      <c r="A271" s="506">
        <f>A270</f>
        <v/>
      </c>
      <c r="P271" s="628" t="n"/>
      <c r="Q271" s="628" t="n"/>
      <c r="R271" s="628" t="n"/>
      <c r="S271" s="628" t="n"/>
      <c r="T271" s="628" t="n"/>
      <c r="U271" s="628" t="n"/>
      <c r="V271" s="628" t="n"/>
      <c r="W271" s="628" t="n"/>
      <c r="X271" s="628" t="n"/>
      <c r="Y271" s="650" t="n"/>
      <c r="Z271" s="650" t="n"/>
      <c r="AA271" s="650" t="n"/>
      <c r="AB271" s="650" t="n"/>
      <c r="AC271" s="613" t="n"/>
      <c r="AD271" s="613" t="n"/>
      <c r="AE271" s="613" t="n"/>
      <c r="AF271" s="613" t="n"/>
      <c r="AG271" s="626" t="n"/>
      <c r="AH271" s="626" t="n"/>
      <c r="AI271" s="626" t="n"/>
      <c r="AJ271" s="626" t="n"/>
      <c r="AK271" s="626" t="n"/>
      <c r="AL271" s="626" t="n"/>
      <c r="AM271" s="626" t="n"/>
      <c r="AN271" s="626" t="n"/>
      <c r="AO271" s="626" t="n"/>
      <c r="AP271" s="369" t="n"/>
      <c r="AQ271" s="369" t="n"/>
      <c r="AR271" s="369" t="n"/>
      <c r="AS271" s="369" t="n"/>
      <c r="AT271" s="370" t="n"/>
      <c r="AU271" s="370" t="n"/>
      <c r="AV271" s="370" t="n"/>
      <c r="AW271" s="370" t="n"/>
      <c r="BJ271">
        <f>O271</f>
        <v/>
      </c>
      <c r="BK271">
        <f>SUM(AG271:AW271)</f>
        <v/>
      </c>
      <c r="BL271" s="531">
        <f>BJ271-BK271</f>
        <v/>
      </c>
      <c r="BM271" s="201" t="n"/>
    </row>
    <row r="272" hidden="1" outlineLevel="1" s="191">
      <c r="A272" s="506">
        <f>A271</f>
        <v/>
      </c>
      <c r="P272" s="628" t="n"/>
      <c r="Q272" s="628" t="n"/>
      <c r="R272" s="628" t="n"/>
      <c r="S272" s="628" t="n"/>
      <c r="T272" s="628" t="n"/>
      <c r="U272" s="628" t="n"/>
      <c r="V272" s="628" t="n"/>
      <c r="W272" s="628" t="n"/>
      <c r="X272" s="628" t="n"/>
      <c r="Y272" s="650" t="n"/>
      <c r="Z272" s="650" t="n"/>
      <c r="AA272" s="650" t="n"/>
      <c r="AB272" s="650" t="n"/>
      <c r="AC272" s="613" t="n"/>
      <c r="AD272" s="613" t="n"/>
      <c r="AE272" s="613" t="n"/>
      <c r="AF272" s="613" t="n"/>
      <c r="AG272" s="626" t="n"/>
      <c r="AH272" s="626" t="n"/>
      <c r="AI272" s="626" t="n"/>
      <c r="AJ272" s="626" t="n"/>
      <c r="AK272" s="626" t="n"/>
      <c r="AL272" s="626" t="n"/>
      <c r="AM272" s="626" t="n"/>
      <c r="AN272" s="626" t="n"/>
      <c r="AO272" s="626" t="n"/>
      <c r="AP272" s="369" t="n"/>
      <c r="AQ272" s="369" t="n"/>
      <c r="AR272" s="369" t="n"/>
      <c r="AS272" s="369" t="n"/>
      <c r="AT272" s="370" t="n"/>
      <c r="AU272" s="370" t="n"/>
      <c r="AV272" s="370" t="n"/>
      <c r="AW272" s="370" t="n"/>
      <c r="BJ272">
        <f>O272</f>
        <v/>
      </c>
      <c r="BK272">
        <f>SUM(AG272:AW272)</f>
        <v/>
      </c>
      <c r="BL272" s="531">
        <f>BJ272-BK272</f>
        <v/>
      </c>
      <c r="BM272" s="201" t="n"/>
    </row>
    <row r="273" hidden="1" outlineLevel="1" s="191">
      <c r="A273" s="506">
        <f>A272</f>
        <v/>
      </c>
      <c r="P273" s="628" t="n"/>
      <c r="Q273" s="628" t="n"/>
      <c r="R273" s="628" t="n"/>
      <c r="S273" s="628" t="n"/>
      <c r="T273" s="628" t="n"/>
      <c r="U273" s="628" t="n"/>
      <c r="V273" s="628" t="n"/>
      <c r="W273" s="628" t="n"/>
      <c r="X273" s="628" t="n"/>
      <c r="Y273" s="650" t="n"/>
      <c r="Z273" s="650" t="n"/>
      <c r="AA273" s="650" t="n"/>
      <c r="AB273" s="650" t="n"/>
      <c r="AC273" s="613" t="n"/>
      <c r="AD273" s="613" t="n"/>
      <c r="AE273" s="613" t="n"/>
      <c r="AF273" s="613" t="n"/>
      <c r="AG273" s="626" t="n"/>
      <c r="AH273" s="626" t="n"/>
      <c r="AI273" s="626" t="n"/>
      <c r="AJ273" s="626" t="n"/>
      <c r="AK273" s="626" t="n"/>
      <c r="AL273" s="626" t="n"/>
      <c r="AM273" s="626" t="n"/>
      <c r="AN273" s="626" t="n"/>
      <c r="AO273" s="626" t="n"/>
      <c r="AP273" s="369" t="n"/>
      <c r="AQ273" s="369" t="n"/>
      <c r="AR273" s="369" t="n"/>
      <c r="AS273" s="369" t="n"/>
      <c r="AT273" s="370" t="n"/>
      <c r="AU273" s="370" t="n"/>
      <c r="AV273" s="370" t="n"/>
      <c r="AW273" s="370" t="n"/>
      <c r="BJ273">
        <f>O273</f>
        <v/>
      </c>
      <c r="BK273">
        <f>SUM(AG273:AW273)</f>
        <v/>
      </c>
      <c r="BL273" s="531">
        <f>BJ273-BK273</f>
        <v/>
      </c>
      <c r="BM273" s="201" t="n"/>
    </row>
    <row r="274" hidden="1" outlineLevel="1" s="191">
      <c r="A274" s="506">
        <f>A273</f>
        <v/>
      </c>
      <c r="P274" s="628" t="n"/>
      <c r="Q274" s="628" t="n"/>
      <c r="R274" s="628" t="n"/>
      <c r="S274" s="628" t="n"/>
      <c r="T274" s="628" t="n"/>
      <c r="U274" s="628" t="n"/>
      <c r="V274" s="628" t="n"/>
      <c r="W274" s="628" t="n"/>
      <c r="X274" s="628" t="n"/>
      <c r="Y274" s="650" t="n"/>
      <c r="Z274" s="650" t="n"/>
      <c r="AA274" s="650" t="n"/>
      <c r="AB274" s="650" t="n"/>
      <c r="AC274" s="613" t="n"/>
      <c r="AD274" s="613" t="n"/>
      <c r="AE274" s="613" t="n"/>
      <c r="AF274" s="613" t="n"/>
      <c r="AG274" s="626" t="n"/>
      <c r="AH274" s="626" t="n"/>
      <c r="AI274" s="626" t="n"/>
      <c r="AJ274" s="626" t="n"/>
      <c r="AK274" s="626" t="n"/>
      <c r="AL274" s="626" t="n"/>
      <c r="AM274" s="626" t="n"/>
      <c r="AN274" s="626" t="n"/>
      <c r="AO274" s="626" t="n"/>
      <c r="AP274" s="369" t="n"/>
      <c r="AQ274" s="369" t="n"/>
      <c r="AR274" s="369" t="n"/>
      <c r="AS274" s="369" t="n"/>
      <c r="AT274" s="370" t="n"/>
      <c r="AU274" s="370" t="n"/>
      <c r="AV274" s="370" t="n"/>
      <c r="AW274" s="370" t="n"/>
      <c r="BJ274">
        <f>O274</f>
        <v/>
      </c>
      <c r="BK274">
        <f>SUM(AG274:AW274)</f>
        <v/>
      </c>
      <c r="BL274" s="531">
        <f>BJ274-BK274</f>
        <v/>
      </c>
      <c r="BM274" s="201" t="n"/>
    </row>
    <row r="275" hidden="1" outlineLevel="1" s="191">
      <c r="A275" s="506">
        <f>A274</f>
        <v/>
      </c>
      <c r="P275" s="628" t="n"/>
      <c r="Q275" s="628" t="n"/>
      <c r="R275" s="628" t="n"/>
      <c r="S275" s="628" t="n"/>
      <c r="T275" s="628" t="n"/>
      <c r="U275" s="628" t="n"/>
      <c r="V275" s="628" t="n"/>
      <c r="W275" s="628" t="n"/>
      <c r="X275" s="628" t="n"/>
      <c r="Y275" s="650" t="n"/>
      <c r="Z275" s="650" t="n"/>
      <c r="AA275" s="650" t="n"/>
      <c r="AB275" s="650" t="n"/>
      <c r="AC275" s="613" t="n"/>
      <c r="AD275" s="613" t="n"/>
      <c r="AE275" s="613" t="n"/>
      <c r="AF275" s="613" t="n"/>
      <c r="AG275" s="626" t="n"/>
      <c r="AH275" s="626" t="n"/>
      <c r="AI275" s="626" t="n"/>
      <c r="AJ275" s="626" t="n"/>
      <c r="AK275" s="626" t="n"/>
      <c r="AL275" s="626" t="n"/>
      <c r="AM275" s="626" t="n"/>
      <c r="AN275" s="626" t="n"/>
      <c r="AO275" s="626" t="n"/>
      <c r="AP275" s="369" t="n"/>
      <c r="AQ275" s="369" t="n"/>
      <c r="AR275" s="369" t="n"/>
      <c r="AS275" s="369" t="n"/>
      <c r="AT275" s="370" t="n"/>
      <c r="AU275" s="370" t="n"/>
      <c r="AV275" s="370" t="n"/>
      <c r="AW275" s="370" t="n"/>
      <c r="BJ275">
        <f>O275</f>
        <v/>
      </c>
      <c r="BK275">
        <f>SUM(AG275:AW275)</f>
        <v/>
      </c>
      <c r="BL275" s="531">
        <f>BJ275-BK275</f>
        <v/>
      </c>
      <c r="BM275" s="201" t="n"/>
    </row>
    <row r="276" hidden="1" outlineLevel="1" s="191">
      <c r="A276" s="506">
        <f>A275</f>
        <v/>
      </c>
      <c r="P276" s="628" t="n"/>
      <c r="Q276" s="628" t="n"/>
      <c r="R276" s="628" t="n"/>
      <c r="S276" s="628" t="n"/>
      <c r="T276" s="628" t="n"/>
      <c r="U276" s="628" t="n"/>
      <c r="V276" s="628" t="n"/>
      <c r="W276" s="628" t="n"/>
      <c r="X276" s="628" t="n"/>
      <c r="Y276" s="650" t="n"/>
      <c r="Z276" s="650" t="n"/>
      <c r="AA276" s="650" t="n"/>
      <c r="AB276" s="650" t="n"/>
      <c r="AC276" s="613" t="n"/>
      <c r="AD276" s="613" t="n"/>
      <c r="AE276" s="613" t="n"/>
      <c r="AF276" s="613" t="n"/>
      <c r="AG276" s="626" t="n"/>
      <c r="AH276" s="626" t="n"/>
      <c r="AI276" s="626" t="n"/>
      <c r="AJ276" s="626" t="n"/>
      <c r="AK276" s="626" t="n"/>
      <c r="AL276" s="626" t="n"/>
      <c r="AM276" s="626" t="n"/>
      <c r="AN276" s="626" t="n"/>
      <c r="AO276" s="626" t="n"/>
      <c r="AP276" s="369" t="n"/>
      <c r="AQ276" s="369" t="n"/>
      <c r="AR276" s="369" t="n"/>
      <c r="AS276" s="369" t="n"/>
      <c r="AT276" s="370" t="n"/>
      <c r="AU276" s="370" t="n"/>
      <c r="AV276" s="370" t="n"/>
      <c r="AW276" s="370" t="n"/>
      <c r="BJ276">
        <f>O276</f>
        <v/>
      </c>
      <c r="BK276">
        <f>SUM(AG276:AW276)</f>
        <v/>
      </c>
      <c r="BL276" s="531">
        <f>BJ276-BK276</f>
        <v/>
      </c>
      <c r="BM276" s="201" t="n"/>
    </row>
    <row r="277" hidden="1" outlineLevel="1" s="191">
      <c r="A277" s="506">
        <f>A276</f>
        <v/>
      </c>
      <c r="P277" s="628" t="n"/>
      <c r="Q277" s="628" t="n"/>
      <c r="R277" s="628" t="n"/>
      <c r="S277" s="628" t="n"/>
      <c r="T277" s="628" t="n"/>
      <c r="U277" s="628" t="n"/>
      <c r="V277" s="628" t="n"/>
      <c r="W277" s="628" t="n"/>
      <c r="X277" s="628" t="n"/>
      <c r="Y277" s="650" t="n"/>
      <c r="Z277" s="650" t="n"/>
      <c r="AA277" s="650" t="n"/>
      <c r="AB277" s="650" t="n"/>
      <c r="AC277" s="613" t="n"/>
      <c r="AD277" s="613" t="n"/>
      <c r="AE277" s="613" t="n"/>
      <c r="AF277" s="613" t="n"/>
      <c r="AG277" s="626" t="n"/>
      <c r="AH277" s="626" t="n"/>
      <c r="AI277" s="626" t="n"/>
      <c r="AJ277" s="626" t="n"/>
      <c r="AK277" s="626" t="n"/>
      <c r="AL277" s="626" t="n"/>
      <c r="AM277" s="626" t="n"/>
      <c r="AN277" s="626" t="n"/>
      <c r="AO277" s="626" t="n"/>
      <c r="AP277" s="369" t="n"/>
      <c r="AQ277" s="369" t="n"/>
      <c r="AR277" s="369" t="n"/>
      <c r="AS277" s="369" t="n"/>
      <c r="AT277" s="370" t="n"/>
      <c r="AU277" s="370" t="n"/>
      <c r="AV277" s="370" t="n"/>
      <c r="AW277" s="370" t="n"/>
      <c r="BJ277">
        <f>O277</f>
        <v/>
      </c>
      <c r="BK277">
        <f>SUM(AG277:AW277)</f>
        <v/>
      </c>
      <c r="BL277" s="531">
        <f>BJ277-BK277</f>
        <v/>
      </c>
      <c r="BM277" s="201" t="n"/>
    </row>
    <row r="278" hidden="1" outlineLevel="1" s="191">
      <c r="A278" s="506">
        <f>A277</f>
        <v/>
      </c>
      <c r="P278" s="628" t="n"/>
      <c r="Q278" s="628" t="n"/>
      <c r="R278" s="628" t="n"/>
      <c r="S278" s="628" t="n"/>
      <c r="T278" s="628" t="n"/>
      <c r="U278" s="628" t="n"/>
      <c r="V278" s="628" t="n"/>
      <c r="W278" s="628" t="n"/>
      <c r="X278" s="628" t="n"/>
      <c r="Y278" s="650" t="n"/>
      <c r="Z278" s="650" t="n"/>
      <c r="AA278" s="650" t="n"/>
      <c r="AB278" s="650" t="n"/>
      <c r="AC278" s="613" t="n"/>
      <c r="AD278" s="613" t="n"/>
      <c r="AE278" s="613" t="n"/>
      <c r="AF278" s="613" t="n"/>
      <c r="AG278" s="626" t="n"/>
      <c r="AH278" s="626" t="n"/>
      <c r="AI278" s="626" t="n"/>
      <c r="AJ278" s="626" t="n"/>
      <c r="AK278" s="626" t="n"/>
      <c r="AL278" s="626" t="n"/>
      <c r="AM278" s="626" t="n"/>
      <c r="AN278" s="626" t="n"/>
      <c r="AO278" s="626" t="n"/>
      <c r="AP278" s="369" t="n"/>
      <c r="AQ278" s="369" t="n"/>
      <c r="AR278" s="369" t="n"/>
      <c r="AS278" s="369" t="n"/>
      <c r="AT278" s="370" t="n"/>
      <c r="AU278" s="370" t="n"/>
      <c r="AV278" s="370" t="n"/>
      <c r="AW278" s="370" t="n"/>
      <c r="BJ278">
        <f>O278</f>
        <v/>
      </c>
      <c r="BK278">
        <f>SUM(AG278:AW278)</f>
        <v/>
      </c>
      <c r="BL278" s="531">
        <f>BJ278-BK278</f>
        <v/>
      </c>
      <c r="BM278" s="201" t="n"/>
    </row>
    <row r="279" hidden="1" outlineLevel="1" s="191">
      <c r="A279" s="506">
        <f>A278</f>
        <v/>
      </c>
      <c r="P279" s="628" t="n"/>
      <c r="Q279" s="628" t="n"/>
      <c r="R279" s="628" t="n"/>
      <c r="S279" s="628" t="n"/>
      <c r="T279" s="628" t="n"/>
      <c r="U279" s="628" t="n"/>
      <c r="V279" s="628" t="n"/>
      <c r="W279" s="628" t="n"/>
      <c r="X279" s="628" t="n"/>
      <c r="Y279" s="650" t="n"/>
      <c r="Z279" s="650" t="n"/>
      <c r="AA279" s="650" t="n"/>
      <c r="AB279" s="650" t="n"/>
      <c r="AC279" s="613" t="n"/>
      <c r="AD279" s="613" t="n"/>
      <c r="AE279" s="613" t="n"/>
      <c r="AF279" s="613" t="n"/>
      <c r="AG279" s="626" t="n"/>
      <c r="AH279" s="626" t="n"/>
      <c r="AI279" s="626" t="n"/>
      <c r="AJ279" s="626" t="n"/>
      <c r="AK279" s="626" t="n"/>
      <c r="AL279" s="626" t="n"/>
      <c r="AM279" s="626" t="n"/>
      <c r="AN279" s="626" t="n"/>
      <c r="AO279" s="626" t="n"/>
      <c r="AP279" s="369" t="n"/>
      <c r="AQ279" s="369" t="n"/>
      <c r="AR279" s="369" t="n"/>
      <c r="AS279" s="369" t="n"/>
      <c r="AT279" s="370" t="n"/>
      <c r="AU279" s="370" t="n"/>
      <c r="AV279" s="370" t="n"/>
      <c r="AW279" s="370" t="n"/>
      <c r="BJ279">
        <f>O279</f>
        <v/>
      </c>
      <c r="BK279">
        <f>SUM(AG279:AW279)</f>
        <v/>
      </c>
      <c r="BL279" s="531">
        <f>BJ279-BK279</f>
        <v/>
      </c>
      <c r="BM279" s="201" t="n"/>
    </row>
    <row r="280" hidden="1" outlineLevel="1" s="191">
      <c r="A280" s="506">
        <f>A279</f>
        <v/>
      </c>
      <c r="P280" s="628" t="n"/>
      <c r="Q280" s="628" t="n"/>
      <c r="R280" s="628" t="n"/>
      <c r="S280" s="628" t="n"/>
      <c r="T280" s="628" t="n"/>
      <c r="U280" s="628" t="n"/>
      <c r="V280" s="628" t="n"/>
      <c r="W280" s="628" t="n"/>
      <c r="X280" s="628" t="n"/>
      <c r="Y280" s="650" t="n"/>
      <c r="Z280" s="650" t="n"/>
      <c r="AA280" s="650" t="n"/>
      <c r="AB280" s="650" t="n"/>
      <c r="AC280" s="613" t="n"/>
      <c r="AD280" s="613" t="n"/>
      <c r="AE280" s="613" t="n"/>
      <c r="AF280" s="613" t="n"/>
      <c r="AG280" s="626" t="n"/>
      <c r="AH280" s="626" t="n"/>
      <c r="AI280" s="626" t="n"/>
      <c r="AJ280" s="626" t="n"/>
      <c r="AK280" s="626" t="n"/>
      <c r="AL280" s="626" t="n"/>
      <c r="AM280" s="626" t="n"/>
      <c r="AN280" s="626" t="n"/>
      <c r="AO280" s="626" t="n"/>
      <c r="AP280" s="369" t="n"/>
      <c r="AQ280" s="369" t="n"/>
      <c r="AR280" s="369" t="n"/>
      <c r="AS280" s="369" t="n"/>
      <c r="AT280" s="370" t="n"/>
      <c r="AU280" s="370" t="n"/>
      <c r="AV280" s="370" t="n"/>
      <c r="AW280" s="370" t="n"/>
      <c r="BJ280">
        <f>O280</f>
        <v/>
      </c>
      <c r="BK280">
        <f>SUM(AG280:AW280)</f>
        <v/>
      </c>
      <c r="BL280" s="531">
        <f>BJ280-BK280</f>
        <v/>
      </c>
      <c r="BM280" s="201" t="n"/>
    </row>
    <row r="281" hidden="1" outlineLevel="1" s="191">
      <c r="A281" s="506">
        <f>A280</f>
        <v/>
      </c>
      <c r="P281" s="628" t="n"/>
      <c r="Q281" s="628" t="n"/>
      <c r="R281" s="628" t="n"/>
      <c r="S281" s="628" t="n"/>
      <c r="T281" s="628" t="n"/>
      <c r="U281" s="628" t="n"/>
      <c r="V281" s="628" t="n"/>
      <c r="W281" s="628" t="n"/>
      <c r="X281" s="628" t="n"/>
      <c r="Y281" s="650" t="n"/>
      <c r="Z281" s="650" t="n"/>
      <c r="AA281" s="650" t="n"/>
      <c r="AB281" s="650" t="n"/>
      <c r="AC281" s="613" t="n"/>
      <c r="AD281" s="613" t="n"/>
      <c r="AE281" s="613" t="n"/>
      <c r="AF281" s="613" t="n"/>
      <c r="AG281" s="626" t="n"/>
      <c r="AH281" s="626" t="n"/>
      <c r="AI281" s="626" t="n"/>
      <c r="AJ281" s="626" t="n"/>
      <c r="AK281" s="626" t="n"/>
      <c r="AL281" s="626" t="n"/>
      <c r="AM281" s="626" t="n"/>
      <c r="AN281" s="626" t="n"/>
      <c r="AO281" s="626" t="n"/>
      <c r="AP281" s="369" t="n"/>
      <c r="AQ281" s="369" t="n"/>
      <c r="AR281" s="369" t="n"/>
      <c r="AS281" s="369" t="n"/>
      <c r="AT281" s="370" t="n"/>
      <c r="AU281" s="370" t="n"/>
      <c r="AV281" s="370" t="n"/>
      <c r="AW281" s="370" t="n"/>
      <c r="BJ281">
        <f>O281</f>
        <v/>
      </c>
      <c r="BK281">
        <f>SUM(AG281:AW281)</f>
        <v/>
      </c>
      <c r="BL281" s="531">
        <f>BJ281-BK281</f>
        <v/>
      </c>
      <c r="BM281" s="201" t="n"/>
    </row>
    <row r="282" hidden="1" outlineLevel="1" s="191">
      <c r="A282" s="506">
        <f>A281</f>
        <v/>
      </c>
      <c r="P282" s="628" t="n"/>
      <c r="Q282" s="628" t="n"/>
      <c r="R282" s="628" t="n"/>
      <c r="S282" s="628" t="n"/>
      <c r="T282" s="628" t="n"/>
      <c r="U282" s="628" t="n"/>
      <c r="V282" s="628" t="n"/>
      <c r="W282" s="628" t="n"/>
      <c r="X282" s="628" t="n"/>
      <c r="Y282" s="650" t="n"/>
      <c r="Z282" s="650" t="n"/>
      <c r="AA282" s="650" t="n"/>
      <c r="AB282" s="650" t="n"/>
      <c r="AC282" s="613" t="n"/>
      <c r="AD282" s="613" t="n"/>
      <c r="AE282" s="613" t="n"/>
      <c r="AF282" s="613" t="n"/>
      <c r="AG282" s="626" t="n"/>
      <c r="AH282" s="626" t="n"/>
      <c r="AI282" s="626" t="n"/>
      <c r="AJ282" s="626" t="n"/>
      <c r="AK282" s="626" t="n"/>
      <c r="AL282" s="626" t="n"/>
      <c r="AM282" s="626" t="n"/>
      <c r="AN282" s="626" t="n"/>
      <c r="AO282" s="626" t="n"/>
      <c r="AP282" s="369" t="n"/>
      <c r="AQ282" s="369" t="n"/>
      <c r="AR282" s="369" t="n"/>
      <c r="AS282" s="369" t="n"/>
      <c r="AT282" s="370" t="n"/>
      <c r="AU282" s="370" t="n"/>
      <c r="AV282" s="370" t="n"/>
      <c r="AW282" s="370" t="n"/>
      <c r="BJ282">
        <f>O282</f>
        <v/>
      </c>
      <c r="BK282">
        <f>SUM(AG282:AW282)</f>
        <v/>
      </c>
      <c r="BL282" s="531">
        <f>BJ282-BK282</f>
        <v/>
      </c>
      <c r="BM282" s="201" t="n"/>
    </row>
    <row r="283" hidden="1" outlineLevel="1" s="191">
      <c r="A283" s="506">
        <f>A282</f>
        <v/>
      </c>
      <c r="P283" s="628" t="n"/>
      <c r="Q283" s="628" t="n"/>
      <c r="R283" s="628" t="n"/>
      <c r="S283" s="628" t="n"/>
      <c r="T283" s="628" t="n"/>
      <c r="U283" s="628" t="n"/>
      <c r="V283" s="628" t="n"/>
      <c r="W283" s="628" t="n"/>
      <c r="X283" s="628" t="n"/>
      <c r="Y283" s="650" t="n"/>
      <c r="Z283" s="650" t="n"/>
      <c r="AA283" s="650" t="n"/>
      <c r="AB283" s="650" t="n"/>
      <c r="AC283" s="613" t="n"/>
      <c r="AD283" s="613" t="n"/>
      <c r="AE283" s="613" t="n"/>
      <c r="AF283" s="613" t="n"/>
      <c r="AG283" s="626" t="n"/>
      <c r="AH283" s="626" t="n"/>
      <c r="AI283" s="626" t="n"/>
      <c r="AJ283" s="626" t="n"/>
      <c r="AK283" s="626" t="n"/>
      <c r="AL283" s="626" t="n"/>
      <c r="AM283" s="626" t="n"/>
      <c r="AN283" s="626" t="n"/>
      <c r="AO283" s="626" t="n"/>
      <c r="AP283" s="369" t="n"/>
      <c r="AQ283" s="369" t="n"/>
      <c r="AR283" s="369" t="n"/>
      <c r="AS283" s="369" t="n"/>
      <c r="AT283" s="370" t="n"/>
      <c r="AU283" s="370" t="n"/>
      <c r="AV283" s="370" t="n"/>
      <c r="AW283" s="370" t="n"/>
      <c r="BJ283">
        <f>O283</f>
        <v/>
      </c>
      <c r="BK283">
        <f>SUM(AG283:AW283)</f>
        <v/>
      </c>
      <c r="BL283" s="531">
        <f>BJ283-BK283</f>
        <v/>
      </c>
      <c r="BM283" s="201" t="n"/>
    </row>
    <row r="284" hidden="1" outlineLevel="1" s="191">
      <c r="A284" s="506">
        <f>A283</f>
        <v/>
      </c>
      <c r="P284" s="628" t="n"/>
      <c r="Q284" s="628" t="n"/>
      <c r="R284" s="628" t="n"/>
      <c r="S284" s="628" t="n"/>
      <c r="T284" s="628" t="n"/>
      <c r="U284" s="628" t="n"/>
      <c r="V284" s="628" t="n"/>
      <c r="W284" s="628" t="n"/>
      <c r="X284" s="628" t="n"/>
      <c r="Y284" s="650" t="n"/>
      <c r="Z284" s="650" t="n"/>
      <c r="AA284" s="650" t="n"/>
      <c r="AB284" s="650" t="n"/>
      <c r="AC284" s="613" t="n"/>
      <c r="AD284" s="613" t="n"/>
      <c r="AE284" s="613" t="n"/>
      <c r="AF284" s="613" t="n"/>
      <c r="AG284" s="626" t="n"/>
      <c r="AH284" s="626" t="n"/>
      <c r="AI284" s="626" t="n"/>
      <c r="AJ284" s="626" t="n"/>
      <c r="AK284" s="626" t="n"/>
      <c r="AL284" s="626" t="n"/>
      <c r="AM284" s="626" t="n"/>
      <c r="AN284" s="626" t="n"/>
      <c r="AO284" s="626" t="n"/>
      <c r="AP284" s="369" t="n"/>
      <c r="AQ284" s="369" t="n"/>
      <c r="AR284" s="369" t="n"/>
      <c r="AS284" s="369" t="n"/>
      <c r="AT284" s="370" t="n"/>
      <c r="AU284" s="370" t="n"/>
      <c r="AV284" s="370" t="n"/>
      <c r="AW284" s="370" t="n"/>
      <c r="BJ284">
        <f>O284</f>
        <v/>
      </c>
      <c r="BK284">
        <f>SUM(AG284:AW284)</f>
        <v/>
      </c>
      <c r="BL284" s="531">
        <f>BJ284-BK284</f>
        <v/>
      </c>
      <c r="BM284" s="201" t="n"/>
    </row>
    <row r="285" hidden="1" outlineLevel="1" s="191">
      <c r="A285" s="506">
        <f>A284</f>
        <v/>
      </c>
      <c r="P285" s="628" t="n"/>
      <c r="Q285" s="628" t="n"/>
      <c r="R285" s="628" t="n"/>
      <c r="S285" s="628" t="n"/>
      <c r="T285" s="628" t="n"/>
      <c r="U285" s="628" t="n"/>
      <c r="V285" s="628" t="n"/>
      <c r="W285" s="628" t="n"/>
      <c r="X285" s="628" t="n"/>
      <c r="Y285" s="650" t="n"/>
      <c r="Z285" s="650" t="n"/>
      <c r="AA285" s="650" t="n"/>
      <c r="AB285" s="650" t="n"/>
      <c r="AC285" s="613" t="n"/>
      <c r="AD285" s="613" t="n"/>
      <c r="AE285" s="613" t="n"/>
      <c r="AF285" s="613" t="n"/>
      <c r="AG285" s="626" t="n"/>
      <c r="AH285" s="626" t="n"/>
      <c r="AI285" s="626" t="n"/>
      <c r="AJ285" s="626" t="n"/>
      <c r="AK285" s="626" t="n"/>
      <c r="AL285" s="626" t="n"/>
      <c r="AM285" s="626" t="n"/>
      <c r="AN285" s="626" t="n"/>
      <c r="AO285" s="626" t="n"/>
      <c r="AP285" s="369" t="n"/>
      <c r="AQ285" s="369" t="n"/>
      <c r="AR285" s="369" t="n"/>
      <c r="AS285" s="369" t="n"/>
      <c r="AT285" s="370" t="n"/>
      <c r="AU285" s="370" t="n"/>
      <c r="AV285" s="370" t="n"/>
      <c r="AW285" s="370" t="n"/>
      <c r="BJ285">
        <f>O285</f>
        <v/>
      </c>
      <c r="BK285">
        <f>SUM(AG285:AW285)</f>
        <v/>
      </c>
      <c r="BL285" s="531">
        <f>BJ285-BK285</f>
        <v/>
      </c>
      <c r="BM285" s="201" t="n"/>
    </row>
    <row r="286" hidden="1" outlineLevel="1" s="191">
      <c r="A286" s="506">
        <f>A285</f>
        <v/>
      </c>
      <c r="P286" s="628" t="n"/>
      <c r="Q286" s="628" t="n"/>
      <c r="R286" s="628" t="n"/>
      <c r="S286" s="628" t="n"/>
      <c r="T286" s="628" t="n"/>
      <c r="U286" s="628" t="n"/>
      <c r="V286" s="628" t="n"/>
      <c r="W286" s="628" t="n"/>
      <c r="X286" s="628" t="n"/>
      <c r="Y286" s="650" t="n"/>
      <c r="Z286" s="650" t="n"/>
      <c r="AA286" s="650" t="n"/>
      <c r="AB286" s="650" t="n"/>
      <c r="AC286" s="613" t="n"/>
      <c r="AD286" s="613" t="n"/>
      <c r="AE286" s="613" t="n"/>
      <c r="AF286" s="613" t="n"/>
      <c r="AG286" s="626" t="n"/>
      <c r="AH286" s="626" t="n"/>
      <c r="AI286" s="626" t="n"/>
      <c r="AJ286" s="626" t="n"/>
      <c r="AK286" s="626" t="n"/>
      <c r="AL286" s="626" t="n"/>
      <c r="AM286" s="626" t="n"/>
      <c r="AN286" s="626" t="n"/>
      <c r="AO286" s="626" t="n"/>
      <c r="AP286" s="369" t="n"/>
      <c r="AQ286" s="369" t="n"/>
      <c r="AR286" s="369" t="n"/>
      <c r="AS286" s="369" t="n"/>
      <c r="AT286" s="370" t="n"/>
      <c r="AU286" s="370" t="n"/>
      <c r="AV286" s="370" t="n"/>
      <c r="AW286" s="370" t="n"/>
      <c r="BJ286">
        <f>O286</f>
        <v/>
      </c>
      <c r="BK286">
        <f>SUM(AG286:AW286)</f>
        <v/>
      </c>
      <c r="BL286" s="531">
        <f>BJ286-BK286</f>
        <v/>
      </c>
      <c r="BM286" s="201" t="n"/>
    </row>
    <row r="287" hidden="1" outlineLevel="1" s="191">
      <c r="A287" s="506">
        <f>A286</f>
        <v/>
      </c>
      <c r="P287" s="628" t="n"/>
      <c r="Q287" s="628" t="n"/>
      <c r="R287" s="628" t="n"/>
      <c r="S287" s="628" t="n"/>
      <c r="T287" s="628" t="n"/>
      <c r="U287" s="628" t="n"/>
      <c r="V287" s="628" t="n"/>
      <c r="W287" s="628" t="n"/>
      <c r="X287" s="628" t="n"/>
      <c r="Y287" s="650" t="n"/>
      <c r="Z287" s="650" t="n"/>
      <c r="AA287" s="650" t="n"/>
      <c r="AB287" s="650" t="n"/>
      <c r="AC287" s="613" t="n"/>
      <c r="AD287" s="613" t="n"/>
      <c r="AE287" s="613" t="n"/>
      <c r="AF287" s="613" t="n"/>
      <c r="AG287" s="626" t="n"/>
      <c r="AH287" s="626" t="n"/>
      <c r="AI287" s="626" t="n"/>
      <c r="AJ287" s="626" t="n"/>
      <c r="AK287" s="626" t="n"/>
      <c r="AL287" s="626" t="n"/>
      <c r="AM287" s="626" t="n"/>
      <c r="AN287" s="626" t="n"/>
      <c r="AO287" s="626" t="n"/>
      <c r="AP287" s="369" t="n"/>
      <c r="AQ287" s="369" t="n"/>
      <c r="AR287" s="369" t="n"/>
      <c r="AS287" s="369" t="n"/>
      <c r="AT287" s="370" t="n"/>
      <c r="AU287" s="370" t="n"/>
      <c r="AV287" s="370" t="n"/>
      <c r="AW287" s="370" t="n"/>
      <c r="BJ287">
        <f>O287</f>
        <v/>
      </c>
      <c r="BK287">
        <f>SUM(AG287:AW287)</f>
        <v/>
      </c>
      <c r="BL287" s="531">
        <f>BJ287-BK287</f>
        <v/>
      </c>
      <c r="BM287" s="201" t="n"/>
    </row>
    <row r="288" hidden="1" outlineLevel="1" s="191">
      <c r="A288" s="506">
        <f>A287</f>
        <v/>
      </c>
      <c r="P288" s="628" t="n"/>
      <c r="Q288" s="628" t="n"/>
      <c r="R288" s="628" t="n"/>
      <c r="S288" s="628" t="n"/>
      <c r="T288" s="628" t="n"/>
      <c r="U288" s="628" t="n"/>
      <c r="V288" s="628" t="n"/>
      <c r="W288" s="628" t="n"/>
      <c r="X288" s="628" t="n"/>
      <c r="Y288" s="650" t="n"/>
      <c r="Z288" s="650" t="n"/>
      <c r="AA288" s="650" t="n"/>
      <c r="AB288" s="650" t="n"/>
      <c r="AC288" s="613" t="n"/>
      <c r="AD288" s="613" t="n"/>
      <c r="AE288" s="613" t="n"/>
      <c r="AF288" s="613" t="n"/>
      <c r="AG288" s="626" t="n"/>
      <c r="AH288" s="626" t="n"/>
      <c r="AI288" s="626" t="n"/>
      <c r="AJ288" s="626" t="n"/>
      <c r="AK288" s="626" t="n"/>
      <c r="AL288" s="626" t="n"/>
      <c r="AM288" s="626" t="n"/>
      <c r="AN288" s="626" t="n"/>
      <c r="AO288" s="626" t="n"/>
      <c r="AP288" s="369" t="n"/>
      <c r="AQ288" s="369" t="n"/>
      <c r="AR288" s="369" t="n"/>
      <c r="AS288" s="369" t="n"/>
      <c r="AT288" s="370" t="n"/>
      <c r="AU288" s="370" t="n"/>
      <c r="AV288" s="370" t="n"/>
      <c r="AW288" s="370" t="n"/>
      <c r="BJ288">
        <f>O288</f>
        <v/>
      </c>
      <c r="BK288">
        <f>SUM(AG288:AW288)</f>
        <v/>
      </c>
      <c r="BL288" s="531">
        <f>BJ288-BK288</f>
        <v/>
      </c>
      <c r="BM288" s="201" t="n"/>
    </row>
    <row r="289" hidden="1" outlineLevel="1" s="191">
      <c r="A289" s="506">
        <f>A288</f>
        <v/>
      </c>
      <c r="P289" s="628" t="n"/>
      <c r="Q289" s="628" t="n"/>
      <c r="R289" s="628" t="n"/>
      <c r="S289" s="628" t="n"/>
      <c r="T289" s="628" t="n"/>
      <c r="U289" s="628" t="n"/>
      <c r="V289" s="628" t="n"/>
      <c r="W289" s="628" t="n"/>
      <c r="X289" s="628" t="n"/>
      <c r="Y289" s="650" t="n"/>
      <c r="Z289" s="650" t="n"/>
      <c r="AA289" s="650" t="n"/>
      <c r="AB289" s="650" t="n"/>
      <c r="AC289" s="613" t="n"/>
      <c r="AD289" s="613" t="n"/>
      <c r="AE289" s="613" t="n"/>
      <c r="AF289" s="613" t="n"/>
      <c r="AG289" s="626" t="n"/>
      <c r="AH289" s="626" t="n"/>
      <c r="AI289" s="626" t="n"/>
      <c r="AJ289" s="626" t="n"/>
      <c r="AK289" s="626" t="n"/>
      <c r="AL289" s="626" t="n"/>
      <c r="AM289" s="626" t="n"/>
      <c r="AN289" s="626" t="n"/>
      <c r="AO289" s="626" t="n"/>
      <c r="AP289" s="369" t="n"/>
      <c r="AQ289" s="369" t="n"/>
      <c r="AR289" s="369" t="n"/>
      <c r="AS289" s="369" t="n"/>
      <c r="AT289" s="370" t="n"/>
      <c r="AU289" s="370" t="n"/>
      <c r="AV289" s="370" t="n"/>
      <c r="AW289" s="370" t="n"/>
      <c r="BJ289">
        <f>O289</f>
        <v/>
      </c>
      <c r="BK289">
        <f>SUM(AG289:AW289)</f>
        <v/>
      </c>
      <c r="BL289" s="531">
        <f>BJ289-BK289</f>
        <v/>
      </c>
      <c r="BM289" s="201" t="n"/>
    </row>
    <row r="290" hidden="1" outlineLevel="1" s="191">
      <c r="A290" s="506">
        <f>A289</f>
        <v/>
      </c>
      <c r="P290" s="628" t="n"/>
      <c r="Q290" s="628" t="n"/>
      <c r="R290" s="628" t="n"/>
      <c r="S290" s="628" t="n"/>
      <c r="T290" s="628" t="n"/>
      <c r="U290" s="628" t="n"/>
      <c r="V290" s="628" t="n"/>
      <c r="W290" s="628" t="n"/>
      <c r="X290" s="628" t="n"/>
      <c r="Y290" s="650" t="n"/>
      <c r="Z290" s="650" t="n"/>
      <c r="AA290" s="650" t="n"/>
      <c r="AB290" s="650" t="n"/>
      <c r="AC290" s="613" t="n"/>
      <c r="AD290" s="613" t="n"/>
      <c r="AE290" s="613" t="n"/>
      <c r="AF290" s="613" t="n"/>
      <c r="AG290" s="626" t="n"/>
      <c r="AH290" s="626" t="n"/>
      <c r="AI290" s="626" t="n"/>
      <c r="AJ290" s="626" t="n"/>
      <c r="AK290" s="626" t="n"/>
      <c r="AL290" s="626" t="n"/>
      <c r="AM290" s="626" t="n"/>
      <c r="AN290" s="626" t="n"/>
      <c r="AO290" s="626" t="n"/>
      <c r="AP290" s="369" t="n"/>
      <c r="AQ290" s="369" t="n"/>
      <c r="AR290" s="369" t="n"/>
      <c r="AS290" s="369" t="n"/>
      <c r="AT290" s="370" t="n"/>
      <c r="AU290" s="370" t="n"/>
      <c r="AV290" s="370" t="n"/>
      <c r="AW290" s="370" t="n"/>
      <c r="BJ290">
        <f>O290</f>
        <v/>
      </c>
      <c r="BK290">
        <f>SUM(AG290:AW290)</f>
        <v/>
      </c>
      <c r="BL290" s="531">
        <f>BJ290-BK290</f>
        <v/>
      </c>
      <c r="BM290" s="201" t="n"/>
    </row>
    <row r="291" hidden="1" outlineLevel="1" s="191">
      <c r="A291" s="506">
        <f>A290</f>
        <v/>
      </c>
      <c r="P291" s="628" t="n"/>
      <c r="Q291" s="628" t="n"/>
      <c r="R291" s="628" t="n"/>
      <c r="S291" s="628" t="n"/>
      <c r="T291" s="628" t="n"/>
      <c r="U291" s="628" t="n"/>
      <c r="V291" s="628" t="n"/>
      <c r="W291" s="628" t="n"/>
      <c r="X291" s="628" t="n"/>
      <c r="Y291" s="650" t="n"/>
      <c r="Z291" s="650" t="n"/>
      <c r="AA291" s="650" t="n"/>
      <c r="AB291" s="650" t="n"/>
      <c r="AC291" s="613" t="n"/>
      <c r="AD291" s="613" t="n"/>
      <c r="AE291" s="613" t="n"/>
      <c r="AF291" s="613" t="n"/>
      <c r="AG291" s="626" t="n"/>
      <c r="AH291" s="626" t="n"/>
      <c r="AI291" s="626" t="n"/>
      <c r="AJ291" s="626" t="n"/>
      <c r="AK291" s="626" t="n"/>
      <c r="AL291" s="626" t="n"/>
      <c r="AM291" s="626" t="n"/>
      <c r="AN291" s="626" t="n"/>
      <c r="AO291" s="626" t="n"/>
      <c r="AP291" s="369" t="n"/>
      <c r="AQ291" s="369" t="n"/>
      <c r="AR291" s="369" t="n"/>
      <c r="AS291" s="369" t="n"/>
      <c r="AT291" s="370" t="n"/>
      <c r="AU291" s="370" t="n"/>
      <c r="AV291" s="370" t="n"/>
      <c r="AW291" s="370" t="n"/>
      <c r="BJ291">
        <f>O291</f>
        <v/>
      </c>
      <c r="BK291">
        <f>SUM(AG291:AW291)</f>
        <v/>
      </c>
      <c r="BL291" s="531">
        <f>BJ291-BK291</f>
        <v/>
      </c>
      <c r="BM291" s="201" t="n"/>
    </row>
    <row r="292" hidden="1" outlineLevel="1" s="191">
      <c r="A292" s="506">
        <f>A291</f>
        <v/>
      </c>
      <c r="P292" s="628" t="n"/>
      <c r="Q292" s="628" t="n"/>
      <c r="R292" s="628" t="n"/>
      <c r="S292" s="628" t="n"/>
      <c r="T292" s="628" t="n"/>
      <c r="U292" s="628" t="n"/>
      <c r="V292" s="628" t="n"/>
      <c r="W292" s="628" t="n"/>
      <c r="X292" s="628" t="n"/>
      <c r="Y292" s="650" t="n"/>
      <c r="Z292" s="650" t="n"/>
      <c r="AA292" s="650" t="n"/>
      <c r="AB292" s="650" t="n"/>
      <c r="AC292" s="613" t="n"/>
      <c r="AD292" s="613" t="n"/>
      <c r="AE292" s="613" t="n"/>
      <c r="AF292" s="613" t="n"/>
      <c r="AG292" s="626" t="n"/>
      <c r="AH292" s="626" t="n"/>
      <c r="AI292" s="626" t="n"/>
      <c r="AJ292" s="626" t="n"/>
      <c r="AK292" s="626" t="n"/>
      <c r="AL292" s="626" t="n"/>
      <c r="AM292" s="626" t="n"/>
      <c r="AN292" s="626" t="n"/>
      <c r="AO292" s="626" t="n"/>
      <c r="AP292" s="369" t="n"/>
      <c r="AQ292" s="369" t="n"/>
      <c r="AR292" s="369" t="n"/>
      <c r="AS292" s="369" t="n"/>
      <c r="AT292" s="370" t="n"/>
      <c r="AU292" s="370" t="n"/>
      <c r="AV292" s="370" t="n"/>
      <c r="AW292" s="370" t="n"/>
      <c r="BJ292">
        <f>O292</f>
        <v/>
      </c>
      <c r="BK292">
        <f>SUM(AG292:AW292)</f>
        <v/>
      </c>
      <c r="BL292" s="531">
        <f>BJ292-BK292</f>
        <v/>
      </c>
      <c r="BM292" s="201" t="n"/>
    </row>
    <row r="293" hidden="1" outlineLevel="1" s="191">
      <c r="A293" s="506">
        <f>A292</f>
        <v/>
      </c>
      <c r="P293" s="628" t="n"/>
      <c r="Q293" s="628" t="n"/>
      <c r="R293" s="628" t="n"/>
      <c r="S293" s="628" t="n"/>
      <c r="T293" s="628" t="n"/>
      <c r="U293" s="628" t="n"/>
      <c r="V293" s="628" t="n"/>
      <c r="W293" s="628" t="n"/>
      <c r="X293" s="628" t="n"/>
      <c r="Y293" s="650" t="n"/>
      <c r="Z293" s="650" t="n"/>
      <c r="AA293" s="650" t="n"/>
      <c r="AB293" s="650" t="n"/>
      <c r="AC293" s="613" t="n"/>
      <c r="AD293" s="613" t="n"/>
      <c r="AE293" s="613" t="n"/>
      <c r="AF293" s="613" t="n"/>
      <c r="AG293" s="626" t="n"/>
      <c r="AH293" s="626" t="n"/>
      <c r="AI293" s="626" t="n"/>
      <c r="AJ293" s="626" t="n"/>
      <c r="AK293" s="626" t="n"/>
      <c r="AL293" s="626" t="n"/>
      <c r="AM293" s="626" t="n"/>
      <c r="AN293" s="626" t="n"/>
      <c r="AO293" s="626" t="n"/>
      <c r="AP293" s="369" t="n"/>
      <c r="AQ293" s="369" t="n"/>
      <c r="AR293" s="369" t="n"/>
      <c r="AS293" s="369" t="n"/>
      <c r="AT293" s="370" t="n"/>
      <c r="AU293" s="370" t="n"/>
      <c r="AV293" s="370" t="n"/>
      <c r="AW293" s="370" t="n"/>
      <c r="BJ293">
        <f>O293</f>
        <v/>
      </c>
      <c r="BK293">
        <f>SUM(AG293:AW293)</f>
        <v/>
      </c>
      <c r="BL293" s="531">
        <f>BJ293-BK293</f>
        <v/>
      </c>
      <c r="BM293" s="201" t="n"/>
    </row>
    <row r="294" hidden="1" outlineLevel="1" s="191">
      <c r="A294" s="506">
        <f>A293</f>
        <v/>
      </c>
      <c r="P294" s="628" t="n"/>
      <c r="Q294" s="628" t="n"/>
      <c r="R294" s="628" t="n"/>
      <c r="S294" s="628" t="n"/>
      <c r="T294" s="628" t="n"/>
      <c r="U294" s="628" t="n"/>
      <c r="V294" s="628" t="n"/>
      <c r="W294" s="628" t="n"/>
      <c r="X294" s="628" t="n"/>
      <c r="Y294" s="650" t="n"/>
      <c r="Z294" s="650" t="n"/>
      <c r="AA294" s="650" t="n"/>
      <c r="AB294" s="650" t="n"/>
      <c r="AC294" s="613" t="n"/>
      <c r="AD294" s="613" t="n"/>
      <c r="AE294" s="613" t="n"/>
      <c r="AF294" s="613" t="n"/>
      <c r="AG294" s="626" t="n"/>
      <c r="AH294" s="626" t="n"/>
      <c r="AI294" s="626" t="n"/>
      <c r="AJ294" s="626" t="n"/>
      <c r="AK294" s="626" t="n"/>
      <c r="AL294" s="626" t="n"/>
      <c r="AM294" s="626" t="n"/>
      <c r="AN294" s="626" t="n"/>
      <c r="AO294" s="626" t="n"/>
      <c r="AP294" s="369" t="n"/>
      <c r="AQ294" s="369" t="n"/>
      <c r="AR294" s="369" t="n"/>
      <c r="AS294" s="369" t="n"/>
      <c r="AT294" s="370" t="n"/>
      <c r="AU294" s="370" t="n"/>
      <c r="AV294" s="370" t="n"/>
      <c r="AW294" s="370" t="n"/>
      <c r="BJ294">
        <f>O294</f>
        <v/>
      </c>
      <c r="BK294">
        <f>SUM(AG294:AW294)</f>
        <v/>
      </c>
      <c r="BL294" s="531">
        <f>BJ294-BK294</f>
        <v/>
      </c>
      <c r="BM294" s="201" t="n"/>
    </row>
    <row r="295" hidden="1" outlineLevel="1" s="191">
      <c r="A295" s="506">
        <f>A294</f>
        <v/>
      </c>
      <c r="P295" s="628" t="n"/>
      <c r="Q295" s="628" t="n"/>
      <c r="R295" s="628" t="n"/>
      <c r="S295" s="628" t="n"/>
      <c r="T295" s="628" t="n"/>
      <c r="U295" s="628" t="n"/>
      <c r="V295" s="628" t="n"/>
      <c r="W295" s="628" t="n"/>
      <c r="X295" s="628" t="n"/>
      <c r="Y295" s="650" t="n"/>
      <c r="Z295" s="650" t="n"/>
      <c r="AA295" s="650" t="n"/>
      <c r="AB295" s="650" t="n"/>
      <c r="AC295" s="613" t="n"/>
      <c r="AD295" s="613" t="n"/>
      <c r="AE295" s="613" t="n"/>
      <c r="AF295" s="613" t="n"/>
      <c r="AG295" s="626" t="n"/>
      <c r="AH295" s="626" t="n"/>
      <c r="AI295" s="626" t="n"/>
      <c r="AJ295" s="626" t="n"/>
      <c r="AK295" s="626" t="n"/>
      <c r="AL295" s="626" t="n"/>
      <c r="AM295" s="626" t="n"/>
      <c r="AN295" s="626" t="n"/>
      <c r="AO295" s="626" t="n"/>
      <c r="AP295" s="369" t="n"/>
      <c r="AQ295" s="369" t="n"/>
      <c r="AR295" s="369" t="n"/>
      <c r="AS295" s="369" t="n"/>
      <c r="AT295" s="370" t="n"/>
      <c r="AU295" s="370" t="n"/>
      <c r="AV295" s="370" t="n"/>
      <c r="AW295" s="370" t="n"/>
      <c r="BJ295">
        <f>O295</f>
        <v/>
      </c>
      <c r="BK295">
        <f>SUM(AG295:AW295)</f>
        <v/>
      </c>
      <c r="BL295" s="531">
        <f>BJ295-BK295</f>
        <v/>
      </c>
      <c r="BM295" s="201" t="n"/>
    </row>
    <row r="296" hidden="1" outlineLevel="1" s="191">
      <c r="A296" s="506">
        <f>A295</f>
        <v/>
      </c>
      <c r="P296" s="628" t="n"/>
      <c r="Q296" s="628" t="n"/>
      <c r="R296" s="628" t="n"/>
      <c r="S296" s="628" t="n"/>
      <c r="T296" s="628" t="n"/>
      <c r="U296" s="628" t="n"/>
      <c r="V296" s="628" t="n"/>
      <c r="W296" s="628" t="n"/>
      <c r="X296" s="628" t="n"/>
      <c r="Y296" s="650" t="n"/>
      <c r="Z296" s="650" t="n"/>
      <c r="AA296" s="650" t="n"/>
      <c r="AB296" s="650" t="n"/>
      <c r="AC296" s="613" t="n"/>
      <c r="AD296" s="613" t="n"/>
      <c r="AE296" s="613" t="n"/>
      <c r="AF296" s="613" t="n"/>
      <c r="AG296" s="626" t="n"/>
      <c r="AH296" s="626" t="n"/>
      <c r="AI296" s="626" t="n"/>
      <c r="AJ296" s="626" t="n"/>
      <c r="AK296" s="626" t="n"/>
      <c r="AL296" s="626" t="n"/>
      <c r="AM296" s="626" t="n"/>
      <c r="AN296" s="626" t="n"/>
      <c r="AO296" s="626" t="n"/>
      <c r="AP296" s="369" t="n"/>
      <c r="AQ296" s="369" t="n"/>
      <c r="AR296" s="369" t="n"/>
      <c r="AS296" s="369" t="n"/>
      <c r="AT296" s="370" t="n"/>
      <c r="AU296" s="370" t="n"/>
      <c r="AV296" s="370" t="n"/>
      <c r="AW296" s="370" t="n"/>
      <c r="BJ296">
        <f>O296</f>
        <v/>
      </c>
      <c r="BK296">
        <f>SUM(AG296:AW296)</f>
        <v/>
      </c>
      <c r="BL296" s="531">
        <f>BJ296-BK296</f>
        <v/>
      </c>
      <c r="BM296" s="201" t="n"/>
    </row>
    <row r="297" hidden="1" outlineLevel="1" s="191">
      <c r="A297" s="506">
        <f>A296</f>
        <v/>
      </c>
      <c r="P297" s="628" t="n"/>
      <c r="Q297" s="628" t="n"/>
      <c r="R297" s="628" t="n"/>
      <c r="S297" s="628" t="n"/>
      <c r="T297" s="628" t="n"/>
      <c r="U297" s="628" t="n"/>
      <c r="V297" s="628" t="n"/>
      <c r="W297" s="628" t="n"/>
      <c r="X297" s="628" t="n"/>
      <c r="Y297" s="650" t="n"/>
      <c r="Z297" s="650" t="n"/>
      <c r="AA297" s="650" t="n"/>
      <c r="AB297" s="650" t="n"/>
      <c r="AC297" s="613" t="n"/>
      <c r="AD297" s="613" t="n"/>
      <c r="AE297" s="613" t="n"/>
      <c r="AF297" s="613" t="n"/>
      <c r="AG297" s="626" t="n"/>
      <c r="AH297" s="626" t="n"/>
      <c r="AI297" s="626" t="n"/>
      <c r="AJ297" s="626" t="n"/>
      <c r="AK297" s="626" t="n"/>
      <c r="AL297" s="626" t="n"/>
      <c r="AM297" s="626" t="n"/>
      <c r="AN297" s="626" t="n"/>
      <c r="AO297" s="626" t="n"/>
      <c r="AP297" s="369" t="n"/>
      <c r="AQ297" s="369" t="n"/>
      <c r="AR297" s="369" t="n"/>
      <c r="AS297" s="369" t="n"/>
      <c r="AT297" s="370" t="n"/>
      <c r="AU297" s="370" t="n"/>
      <c r="AV297" s="370" t="n"/>
      <c r="AW297" s="370" t="n"/>
      <c r="BJ297">
        <f>O297</f>
        <v/>
      </c>
      <c r="BK297">
        <f>SUM(AG297:AW297)</f>
        <v/>
      </c>
      <c r="BL297" s="531">
        <f>BJ297-BK297</f>
        <v/>
      </c>
      <c r="BM297" s="201" t="n"/>
    </row>
    <row r="298" hidden="1" outlineLevel="1" s="191">
      <c r="A298" s="264">
        <f>A200</f>
        <v/>
      </c>
      <c r="P298" s="628" t="n"/>
      <c r="Q298" s="628" t="n"/>
      <c r="R298" s="628" t="n"/>
      <c r="S298" s="628" t="n"/>
      <c r="T298" s="628" t="n"/>
      <c r="U298" s="628" t="n"/>
      <c r="V298" s="628" t="n"/>
      <c r="W298" s="628" t="n"/>
      <c r="X298" s="628" t="n"/>
      <c r="Y298" s="650" t="n"/>
      <c r="Z298" s="650" t="n"/>
      <c r="AA298" s="650" t="n"/>
      <c r="AB298" s="650" t="n"/>
      <c r="AC298" s="613" t="n"/>
      <c r="AD298" s="613" t="n"/>
      <c r="AE298" s="613" t="n"/>
      <c r="AF298" s="613" t="n"/>
      <c r="AG298" s="626" t="n"/>
      <c r="AH298" s="626" t="n"/>
      <c r="AI298" s="626" t="n"/>
      <c r="AJ298" s="626" t="n"/>
      <c r="AK298" s="626" t="n"/>
      <c r="AL298" s="626" t="n"/>
      <c r="AM298" s="626" t="n"/>
      <c r="AN298" s="626" t="n"/>
      <c r="AO298" s="626" t="n"/>
      <c r="AP298" s="369" t="n"/>
      <c r="AQ298" s="369" t="n"/>
      <c r="AR298" s="369" t="n"/>
      <c r="AS298" s="369" t="n"/>
      <c r="AT298" s="370" t="n"/>
      <c r="AU298" s="370" t="n"/>
      <c r="AV298" s="370" t="n"/>
      <c r="AW298" s="370" t="n"/>
      <c r="BJ298">
        <f>O298</f>
        <v/>
      </c>
      <c r="BK298">
        <f>SUM(AG298:AW298)</f>
        <v/>
      </c>
      <c r="BL298" s="531">
        <f>BJ298-BK298</f>
        <v/>
      </c>
      <c r="BM298" s="201" t="n"/>
    </row>
    <row r="299" collapsed="1" s="191">
      <c r="A299" s="507">
        <f>A201</f>
        <v/>
      </c>
      <c r="P299" s="628" t="n"/>
      <c r="Q299" s="628" t="n"/>
      <c r="R299" s="628" t="n"/>
      <c r="S299" s="628" t="n"/>
      <c r="T299" s="628" t="n"/>
      <c r="U299" s="628" t="n"/>
      <c r="V299" s="628" t="n"/>
      <c r="W299" s="628" t="n"/>
      <c r="X299" s="628" t="n"/>
      <c r="Y299" s="650" t="n"/>
      <c r="Z299" s="650" t="n"/>
      <c r="AA299" s="650" t="n"/>
      <c r="AB299" s="650" t="n"/>
      <c r="AC299" s="613" t="n"/>
      <c r="AD299" s="613" t="n"/>
      <c r="AE299" s="613" t="n"/>
      <c r="AF299" s="613" t="n"/>
      <c r="AG299" s="626" t="n"/>
      <c r="AH299" s="626" t="n"/>
      <c r="AI299" s="626" t="n"/>
      <c r="AJ299" s="626" t="n"/>
      <c r="AK299" s="626" t="n"/>
      <c r="AL299" s="626" t="n"/>
      <c r="AM299" s="626" t="n"/>
      <c r="AN299" s="626" t="n"/>
      <c r="AO299" s="626" t="n"/>
      <c r="AP299" s="369" t="n"/>
      <c r="AQ299" s="369" t="n"/>
      <c r="AR299" s="369" t="n"/>
      <c r="AS299" s="369" t="n"/>
      <c r="AT299" s="370" t="n"/>
      <c r="AU299" s="370" t="n"/>
      <c r="AV299" s="370" t="n"/>
      <c r="AW299" s="370" t="n"/>
      <c r="BJ299">
        <f>O299</f>
        <v/>
      </c>
      <c r="BK299">
        <f>SUM(AG299:AW299)</f>
        <v/>
      </c>
      <c r="BL299" s="531">
        <f>BJ299-BK299</f>
        <v/>
      </c>
      <c r="BM299" s="201">
        <f>SUM(BL300:BL398)</f>
        <v/>
      </c>
    </row>
    <row r="300" ht="15.6" customHeight="1" s="191">
      <c r="A300" s="259">
        <f>III_Model_PT!A3</f>
        <v/>
      </c>
      <c r="B300" s="260" t="n"/>
      <c r="C300" s="261" t="n"/>
      <c r="D300" s="276" t="n"/>
      <c r="E300" s="277">
        <f>VLOOKUP(A300,Listy!A:C,2,FALSE) &amp; "   :  " &amp; VLOOKUP(A300,Listy!A:C,3,FALSE)</f>
        <v/>
      </c>
      <c r="F300" s="538" t="n"/>
      <c r="P300" s="628" t="n"/>
      <c r="Q300" s="628" t="n"/>
      <c r="R300" s="628" t="n"/>
      <c r="S300" s="628" t="n"/>
      <c r="T300" s="628" t="n"/>
      <c r="U300" s="628" t="n"/>
      <c r="V300" s="628" t="n"/>
      <c r="W300" s="628" t="n"/>
      <c r="X300" s="628" t="n"/>
      <c r="Y300" s="650" t="n"/>
      <c r="Z300" s="650" t="n"/>
      <c r="AA300" s="650" t="n"/>
      <c r="AB300" s="650" t="n"/>
      <c r="AC300" s="613" t="n"/>
      <c r="AD300" s="613" t="n"/>
      <c r="AE300" s="613" t="n"/>
      <c r="AF300" s="613" t="n"/>
      <c r="AG300" s="626" t="n"/>
      <c r="AH300" s="626" t="n"/>
      <c r="AI300" s="626" t="n"/>
      <c r="AJ300" s="626" t="n"/>
      <c r="AK300" s="626" t="n"/>
      <c r="AL300" s="626" t="n"/>
      <c r="AM300" s="626" t="n"/>
      <c r="AN300" s="626" t="n"/>
      <c r="AO300" s="626" t="n"/>
      <c r="AP300" s="369" t="n"/>
      <c r="AQ300" s="369" t="n"/>
      <c r="AR300" s="369" t="n"/>
      <c r="AS300" s="369" t="n"/>
      <c r="AT300" s="370" t="n"/>
      <c r="AU300" s="370" t="n"/>
      <c r="AV300" s="370" t="n"/>
      <c r="AW300" s="370" t="n"/>
      <c r="BJ300">
        <f>O300</f>
        <v/>
      </c>
      <c r="BK300">
        <f>SUM(AG300:AW300)</f>
        <v/>
      </c>
      <c r="BL300" s="531">
        <f>BJ300-BK300</f>
        <v/>
      </c>
      <c r="BM300" s="201">
        <f>SUM(BL301:BL399)</f>
        <v/>
      </c>
    </row>
    <row r="301" hidden="1" outlineLevel="1" customFormat="1" s="488">
      <c r="A301" s="488">
        <f>III_Model_PT!A4</f>
        <v/>
      </c>
      <c r="B301" s="488">
        <f>III_Model_PT!B4</f>
        <v/>
      </c>
      <c r="C301" s="488">
        <f>III_Model_PT!C4</f>
        <v/>
      </c>
      <c r="D301" s="488">
        <f>III_Model_PT!D4</f>
        <v/>
      </c>
      <c r="E301" s="488">
        <f>III_Model_PT!E4</f>
        <v/>
      </c>
      <c r="F301" s="488">
        <f>III_Model_PT!F4</f>
        <v/>
      </c>
      <c r="G301" s="488">
        <f>III_Model_PT!G4</f>
        <v/>
      </c>
      <c r="H301" s="488">
        <f>III_Model_PT!H4</f>
        <v/>
      </c>
      <c r="I301" s="488">
        <f>III_Model_PT!I4</f>
        <v/>
      </c>
      <c r="J301" s="488">
        <f>III_Model_PT!J4</f>
        <v/>
      </c>
      <c r="K301" s="672" t="n"/>
      <c r="L301" s="672" t="n"/>
      <c r="M301" s="488">
        <f>III_Model_PT!M4</f>
        <v/>
      </c>
      <c r="N301" s="488">
        <f>III_Model_PT!N4</f>
        <v/>
      </c>
      <c r="O301" s="488">
        <f>III_Model_PT!O4</f>
        <v/>
      </c>
      <c r="P301" s="629">
        <f>III_Model_PT!P4</f>
        <v/>
      </c>
      <c r="Q301" s="629">
        <f>III_Model_PT!Q4</f>
        <v/>
      </c>
      <c r="R301" s="629">
        <f>III_Model_PT!R4</f>
        <v/>
      </c>
      <c r="S301" s="629">
        <f>III_Model_PT!S4</f>
        <v/>
      </c>
      <c r="T301" s="629">
        <f>III_Model_PT!T4</f>
        <v/>
      </c>
      <c r="U301" s="629">
        <f>III_Model_PT!U4</f>
        <v/>
      </c>
      <c r="V301" s="629">
        <f>III_Model_PT!V4</f>
        <v/>
      </c>
      <c r="W301" s="629">
        <f>III_Model_PT!W4</f>
        <v/>
      </c>
      <c r="X301" s="629">
        <f>III_Model_PT!X4</f>
        <v/>
      </c>
      <c r="Y301" s="651">
        <f>III_Model_PT!Y4</f>
        <v/>
      </c>
      <c r="Z301" s="651">
        <f>III_Model_PT!Z4</f>
        <v/>
      </c>
      <c r="AA301" s="651">
        <f>III_Model_PT!AA4</f>
        <v/>
      </c>
      <c r="AB301" s="651">
        <f>III_Model_PT!AB4</f>
        <v/>
      </c>
      <c r="AC301" s="614">
        <f>III_Model_PT!AC4</f>
        <v/>
      </c>
      <c r="AD301" s="614">
        <f>III_Model_PT!AD4</f>
        <v/>
      </c>
      <c r="AE301" s="614">
        <f>III_Model_PT!AE4</f>
        <v/>
      </c>
      <c r="AF301" s="614">
        <f>III_Model_PT!AF4</f>
        <v/>
      </c>
      <c r="AG301" s="635">
        <f>III_Model_PT!AG4</f>
        <v/>
      </c>
      <c r="AH301" s="635">
        <f>III_Model_PT!AH4</f>
        <v/>
      </c>
      <c r="AI301" s="635">
        <f>III_Model_PT!AI4</f>
        <v/>
      </c>
      <c r="AJ301" s="635">
        <f>III_Model_PT!AJ4</f>
        <v/>
      </c>
      <c r="AK301" s="635">
        <f>III_Model_PT!AK4</f>
        <v/>
      </c>
      <c r="AL301" s="635">
        <f>III_Model_PT!AL4</f>
        <v/>
      </c>
      <c r="AM301" s="635">
        <f>III_Model_PT!AM4</f>
        <v/>
      </c>
      <c r="AN301" s="635">
        <f>III_Model_PT!AN4</f>
        <v/>
      </c>
      <c r="AO301" s="635">
        <f>III_Model_PT!AO4</f>
        <v/>
      </c>
      <c r="AP301" s="641">
        <f>III_Model_PT!AP4</f>
        <v/>
      </c>
      <c r="AQ301" s="641">
        <f>III_Model_PT!AQ4</f>
        <v/>
      </c>
      <c r="AR301" s="641">
        <f>III_Model_PT!AR4</f>
        <v/>
      </c>
      <c r="AS301" s="641">
        <f>III_Model_PT!AS4</f>
        <v/>
      </c>
      <c r="AT301" s="620">
        <f>III_Model_PT!AT4</f>
        <v/>
      </c>
      <c r="AU301" s="620">
        <f>III_Model_PT!AU4</f>
        <v/>
      </c>
      <c r="AV301" s="620">
        <f>III_Model_PT!AV4</f>
        <v/>
      </c>
      <c r="AW301" s="620">
        <f>III_Model_PT!AW4</f>
        <v/>
      </c>
      <c r="AX301" s="488">
        <f>III_Model_PT!AX4</f>
        <v/>
      </c>
      <c r="AY301" s="488">
        <f>III_Model_PT!AY4</f>
        <v/>
      </c>
      <c r="AZ301" s="488">
        <f>III_Model_PT!AZ4</f>
        <v/>
      </c>
      <c r="BA301" s="488">
        <f>III_Model_PT!BA4</f>
        <v/>
      </c>
      <c r="BB301" s="488">
        <f>III_Model_PT!BB4</f>
        <v/>
      </c>
      <c r="BC301" s="488">
        <f>III_Model_PT!BC4</f>
        <v/>
      </c>
      <c r="BD301" s="488">
        <f>III_Model_PT!BD4</f>
        <v/>
      </c>
      <c r="BE301" s="488">
        <f>III_Model_PT!BE4</f>
        <v/>
      </c>
      <c r="BF301" s="488">
        <f>III_Model_PT!BF4</f>
        <v/>
      </c>
      <c r="BG301" s="488">
        <f>III_Model_PT!BG4</f>
        <v/>
      </c>
      <c r="BH301" s="488">
        <f>III_Model_PT!BH4</f>
        <v/>
      </c>
      <c r="BI301" s="488">
        <f>III_Model_PT!BI4</f>
        <v/>
      </c>
      <c r="BJ301">
        <f>O301</f>
        <v/>
      </c>
      <c r="BK301">
        <f>SUM(AG301:AW301)</f>
        <v/>
      </c>
      <c r="BL301" s="531">
        <f>BJ301-BK301</f>
        <v/>
      </c>
      <c r="BM301" s="201" t="n"/>
    </row>
    <row r="302" hidden="1" outlineLevel="1" customFormat="1" s="488">
      <c r="A302" s="488">
        <f>III_Model_PT!A5</f>
        <v/>
      </c>
      <c r="B302" s="488">
        <f>III_Model_PT!B5</f>
        <v/>
      </c>
      <c r="C302" s="488">
        <f>III_Model_PT!C5</f>
        <v/>
      </c>
      <c r="D302" s="488">
        <f>III_Model_PT!D5</f>
        <v/>
      </c>
      <c r="E302" s="488">
        <f>III_Model_PT!E5</f>
        <v/>
      </c>
      <c r="F302" s="488">
        <f>III_Model_PT!F5</f>
        <v/>
      </c>
      <c r="G302" s="488">
        <f>III_Model_PT!G5</f>
        <v/>
      </c>
      <c r="H302" s="488">
        <f>III_Model_PT!H5</f>
        <v/>
      </c>
      <c r="I302" s="488">
        <f>III_Model_PT!I5</f>
        <v/>
      </c>
      <c r="J302" s="488">
        <f>III_Model_PT!J5</f>
        <v/>
      </c>
      <c r="K302" s="672">
        <f>III_Model_PT!K5</f>
        <v/>
      </c>
      <c r="L302" s="672">
        <f>III_Model_PT!L5</f>
        <v/>
      </c>
      <c r="M302" s="488">
        <f>III_Model_PT!M5</f>
        <v/>
      </c>
      <c r="N302" s="488">
        <f>III_Model_PT!N5</f>
        <v/>
      </c>
      <c r="O302" s="488">
        <f>III_Model_PT!O5</f>
        <v/>
      </c>
      <c r="P302" s="629">
        <f>III_Model_PT!P5</f>
        <v/>
      </c>
      <c r="Q302" s="629">
        <f>III_Model_PT!Q5</f>
        <v/>
      </c>
      <c r="R302" s="629">
        <f>III_Model_PT!R5</f>
        <v/>
      </c>
      <c r="S302" s="629">
        <f>III_Model_PT!S5</f>
        <v/>
      </c>
      <c r="T302" s="629">
        <f>III_Model_PT!T5</f>
        <v/>
      </c>
      <c r="U302" s="629">
        <f>III_Model_PT!U5</f>
        <v/>
      </c>
      <c r="V302" s="629">
        <f>III_Model_PT!V5</f>
        <v/>
      </c>
      <c r="W302" s="629">
        <f>III_Model_PT!W5</f>
        <v/>
      </c>
      <c r="X302" s="629">
        <f>III_Model_PT!X5</f>
        <v/>
      </c>
      <c r="Y302" s="651">
        <f>III_Model_PT!Y5</f>
        <v/>
      </c>
      <c r="Z302" s="651">
        <f>III_Model_PT!Z5</f>
        <v/>
      </c>
      <c r="AA302" s="651">
        <f>III_Model_PT!AA5</f>
        <v/>
      </c>
      <c r="AB302" s="651">
        <f>III_Model_PT!AB5</f>
        <v/>
      </c>
      <c r="AC302" s="614">
        <f>III_Model_PT!AC5</f>
        <v/>
      </c>
      <c r="AD302" s="614">
        <f>III_Model_PT!AD5</f>
        <v/>
      </c>
      <c r="AE302" s="614">
        <f>III_Model_PT!AE5</f>
        <v/>
      </c>
      <c r="AF302" s="614">
        <f>III_Model_PT!AF5</f>
        <v/>
      </c>
      <c r="AG302" s="635">
        <f>III_Model_PT!AG5</f>
        <v/>
      </c>
      <c r="AH302" s="635">
        <f>III_Model_PT!AH5</f>
        <v/>
      </c>
      <c r="AI302" s="635">
        <f>III_Model_PT!AI5</f>
        <v/>
      </c>
      <c r="AJ302" s="635">
        <f>III_Model_PT!AJ5</f>
        <v/>
      </c>
      <c r="AK302" s="635">
        <f>III_Model_PT!AK5</f>
        <v/>
      </c>
      <c r="AL302" s="635">
        <f>III_Model_PT!AL5</f>
        <v/>
      </c>
      <c r="AM302" s="635">
        <f>III_Model_PT!AM5</f>
        <v/>
      </c>
      <c r="AN302" s="635">
        <f>III_Model_PT!AN5</f>
        <v/>
      </c>
      <c r="AO302" s="635">
        <f>III_Model_PT!AO5</f>
        <v/>
      </c>
      <c r="AP302" s="641">
        <f>III_Model_PT!AP5</f>
        <v/>
      </c>
      <c r="AQ302" s="641">
        <f>III_Model_PT!AQ5</f>
        <v/>
      </c>
      <c r="AR302" s="641">
        <f>III_Model_PT!AR5</f>
        <v/>
      </c>
      <c r="AS302" s="641">
        <f>III_Model_PT!AS5</f>
        <v/>
      </c>
      <c r="AT302" s="620">
        <f>III_Model_PT!AT5</f>
        <v/>
      </c>
      <c r="AU302" s="620">
        <f>III_Model_PT!AU5</f>
        <v/>
      </c>
      <c r="AV302" s="620">
        <f>III_Model_PT!AV5</f>
        <v/>
      </c>
      <c r="AW302" s="620">
        <f>III_Model_PT!AW5</f>
        <v/>
      </c>
      <c r="AX302" s="488">
        <f>III_Model_PT!AX5</f>
        <v/>
      </c>
      <c r="AY302" s="488">
        <f>III_Model_PT!AY5</f>
        <v/>
      </c>
      <c r="AZ302" s="488">
        <f>III_Model_PT!AZ5</f>
        <v/>
      </c>
      <c r="BA302" s="488">
        <f>III_Model_PT!BA5</f>
        <v/>
      </c>
      <c r="BB302" s="488">
        <f>III_Model_PT!BB5</f>
        <v/>
      </c>
      <c r="BC302" s="488">
        <f>III_Model_PT!BC5</f>
        <v/>
      </c>
      <c r="BD302" s="488">
        <f>III_Model_PT!BD5</f>
        <v/>
      </c>
      <c r="BE302" s="488">
        <f>III_Model_PT!BE5</f>
        <v/>
      </c>
      <c r="BF302" s="488">
        <f>III_Model_PT!BF5</f>
        <v/>
      </c>
      <c r="BG302" s="488">
        <f>III_Model_PT!BG5</f>
        <v/>
      </c>
      <c r="BH302" s="488">
        <f>III_Model_PT!BH5</f>
        <v/>
      </c>
      <c r="BI302" s="488">
        <f>III_Model_PT!BI5</f>
        <v/>
      </c>
      <c r="BJ302">
        <f>O302</f>
        <v/>
      </c>
      <c r="BK302">
        <f>SUM(AG302:AW302)</f>
        <v/>
      </c>
      <c r="BL302" s="531">
        <f>BJ302-BK302</f>
        <v/>
      </c>
      <c r="BM302" s="201" t="n"/>
      <c r="BN302" s="659" t="n"/>
      <c r="BO302" s="659" t="n"/>
      <c r="BP302" s="659" t="n"/>
      <c r="BQ302" s="659" t="n"/>
      <c r="BR302" s="659" t="n"/>
      <c r="BS302" s="659" t="n"/>
      <c r="BT302" s="659" t="n"/>
      <c r="BU302" s="659" t="n"/>
      <c r="BV302" s="659" t="n"/>
      <c r="BW302" s="659" t="n"/>
      <c r="BX302" s="488" t="n"/>
    </row>
    <row r="303" hidden="1" outlineLevel="1" customFormat="1" s="488">
      <c r="A303" s="488">
        <f>III_Model_PT!A6</f>
        <v/>
      </c>
      <c r="B303" s="488">
        <f>III_Model_PT!B6</f>
        <v/>
      </c>
      <c r="C303" s="488">
        <f>III_Model_PT!C6</f>
        <v/>
      </c>
      <c r="D303" s="488">
        <f>III_Model_PT!D6</f>
        <v/>
      </c>
      <c r="E303" s="488">
        <f>III_Model_PT!E6</f>
        <v/>
      </c>
      <c r="F303" s="488">
        <f>III_Model_PT!F6</f>
        <v/>
      </c>
      <c r="G303" s="488">
        <f>III_Model_PT!G6</f>
        <v/>
      </c>
      <c r="H303" s="488">
        <f>III_Model_PT!H6</f>
        <v/>
      </c>
      <c r="I303" s="488">
        <f>III_Model_PT!I6</f>
        <v/>
      </c>
      <c r="J303" s="488">
        <f>III_Model_PT!J6</f>
        <v/>
      </c>
      <c r="K303" s="672">
        <f>III_Model_PT!K6</f>
        <v/>
      </c>
      <c r="L303" s="672">
        <f>III_Model_PT!L6</f>
        <v/>
      </c>
      <c r="M303" s="488">
        <f>III_Model_PT!M6</f>
        <v/>
      </c>
      <c r="N303" s="488">
        <f>III_Model_PT!N6</f>
        <v/>
      </c>
      <c r="O303" s="488">
        <f>III_Model_PT!O6</f>
        <v/>
      </c>
      <c r="P303" s="629">
        <f>III_Model_PT!P6</f>
        <v/>
      </c>
      <c r="Q303" s="629">
        <f>III_Model_PT!Q6</f>
        <v/>
      </c>
      <c r="R303" s="629">
        <f>III_Model_PT!R6</f>
        <v/>
      </c>
      <c r="S303" s="629">
        <f>III_Model_PT!S6</f>
        <v/>
      </c>
      <c r="T303" s="629">
        <f>III_Model_PT!T6</f>
        <v/>
      </c>
      <c r="U303" s="629">
        <f>III_Model_PT!U6</f>
        <v/>
      </c>
      <c r="V303" s="629">
        <f>III_Model_PT!V6</f>
        <v/>
      </c>
      <c r="W303" s="629">
        <f>III_Model_PT!W6</f>
        <v/>
      </c>
      <c r="X303" s="629">
        <f>III_Model_PT!X6</f>
        <v/>
      </c>
      <c r="Y303" s="651">
        <f>III_Model_PT!Y6</f>
        <v/>
      </c>
      <c r="Z303" s="651">
        <f>III_Model_PT!Z6</f>
        <v/>
      </c>
      <c r="AA303" s="651">
        <f>III_Model_PT!AA6</f>
        <v/>
      </c>
      <c r="AB303" s="651">
        <f>III_Model_PT!AB6</f>
        <v/>
      </c>
      <c r="AC303" s="614">
        <f>III_Model_PT!AC6</f>
        <v/>
      </c>
      <c r="AD303" s="614">
        <f>III_Model_PT!AD6</f>
        <v/>
      </c>
      <c r="AE303" s="614">
        <f>III_Model_PT!AE6</f>
        <v/>
      </c>
      <c r="AF303" s="614">
        <f>III_Model_PT!AF6</f>
        <v/>
      </c>
      <c r="AG303" s="635">
        <f>III_Model_PT!AG6</f>
        <v/>
      </c>
      <c r="AH303" s="635">
        <f>III_Model_PT!AH6</f>
        <v/>
      </c>
      <c r="AI303" s="635">
        <f>III_Model_PT!AI6</f>
        <v/>
      </c>
      <c r="AJ303" s="635">
        <f>III_Model_PT!AJ6</f>
        <v/>
      </c>
      <c r="AK303" s="635">
        <f>III_Model_PT!AK6</f>
        <v/>
      </c>
      <c r="AL303" s="635">
        <f>III_Model_PT!AL6</f>
        <v/>
      </c>
      <c r="AM303" s="635">
        <f>III_Model_PT!AM6</f>
        <v/>
      </c>
      <c r="AN303" s="635">
        <f>III_Model_PT!AN6</f>
        <v/>
      </c>
      <c r="AO303" s="635">
        <f>III_Model_PT!AO6</f>
        <v/>
      </c>
      <c r="AP303" s="641">
        <f>III_Model_PT!AP6</f>
        <v/>
      </c>
      <c r="AQ303" s="641">
        <f>III_Model_PT!AQ6</f>
        <v/>
      </c>
      <c r="AR303" s="641">
        <f>III_Model_PT!AR6</f>
        <v/>
      </c>
      <c r="AS303" s="641">
        <f>III_Model_PT!AS6</f>
        <v/>
      </c>
      <c r="AT303" s="620">
        <f>III_Model_PT!AT6</f>
        <v/>
      </c>
      <c r="AU303" s="620">
        <f>III_Model_PT!AU6</f>
        <v/>
      </c>
      <c r="AV303" s="620">
        <f>III_Model_PT!AV6</f>
        <v/>
      </c>
      <c r="AW303" s="620">
        <f>III_Model_PT!AW6</f>
        <v/>
      </c>
      <c r="AX303" s="488">
        <f>III_Model_PT!AX6</f>
        <v/>
      </c>
      <c r="AY303" s="488">
        <f>III_Model_PT!AY6</f>
        <v/>
      </c>
      <c r="AZ303" s="488">
        <f>III_Model_PT!AZ6</f>
        <v/>
      </c>
      <c r="BA303" s="488">
        <f>III_Model_PT!BA6</f>
        <v/>
      </c>
      <c r="BB303" s="488">
        <f>III_Model_PT!BB6</f>
        <v/>
      </c>
      <c r="BC303" s="488">
        <f>III_Model_PT!BC6</f>
        <v/>
      </c>
      <c r="BD303" s="488">
        <f>III_Model_PT!BD6</f>
        <v/>
      </c>
      <c r="BE303" s="488">
        <f>III_Model_PT!BE6</f>
        <v/>
      </c>
      <c r="BF303" s="488">
        <f>III_Model_PT!BF6</f>
        <v/>
      </c>
      <c r="BG303" s="488">
        <f>III_Model_PT!BG6</f>
        <v/>
      </c>
      <c r="BH303" s="488">
        <f>III_Model_PT!BH6</f>
        <v/>
      </c>
      <c r="BI303" s="488">
        <f>III_Model_PT!BI6</f>
        <v/>
      </c>
      <c r="BJ303">
        <f>O303</f>
        <v/>
      </c>
      <c r="BK303">
        <f>SUM(AG303:AW303)</f>
        <v/>
      </c>
      <c r="BL303" s="531">
        <f>BJ303-BK303</f>
        <v/>
      </c>
      <c r="BM303" s="201" t="n"/>
      <c r="BN303" s="659" t="n"/>
      <c r="BO303" s="659" t="n"/>
      <c r="BP303" s="659" t="n"/>
      <c r="BQ303" s="659" t="n"/>
      <c r="BR303" s="659" t="n"/>
      <c r="BS303" s="659" t="n"/>
      <c r="BT303" s="659" t="n"/>
      <c r="BU303" s="659" t="n"/>
      <c r="BV303" s="659" t="n"/>
      <c r="BW303" s="659" t="n"/>
    </row>
    <row r="304" hidden="1" outlineLevel="1" customFormat="1" s="488">
      <c r="A304" s="488">
        <f>III_Model_PT!A7</f>
        <v/>
      </c>
      <c r="B304" s="488">
        <f>III_Model_PT!B7</f>
        <v/>
      </c>
      <c r="C304" s="488">
        <f>III_Model_PT!C7</f>
        <v/>
      </c>
      <c r="D304" s="488">
        <f>III_Model_PT!D7</f>
        <v/>
      </c>
      <c r="E304" s="488">
        <f>III_Model_PT!E7</f>
        <v/>
      </c>
      <c r="F304" s="488">
        <f>III_Model_PT!F7</f>
        <v/>
      </c>
      <c r="G304" s="488">
        <f>III_Model_PT!G7</f>
        <v/>
      </c>
      <c r="H304" s="488">
        <f>III_Model_PT!H7</f>
        <v/>
      </c>
      <c r="I304" s="488">
        <f>III_Model_PT!I7</f>
        <v/>
      </c>
      <c r="J304" s="488">
        <f>III_Model_PT!J7</f>
        <v/>
      </c>
      <c r="K304" s="672">
        <f>III_Model_PT!K7</f>
        <v/>
      </c>
      <c r="L304" s="672">
        <f>III_Model_PT!L7</f>
        <v/>
      </c>
      <c r="M304" s="488">
        <f>III_Model_PT!M7</f>
        <v/>
      </c>
      <c r="N304" s="488">
        <f>III_Model_PT!N7</f>
        <v/>
      </c>
      <c r="O304" s="488">
        <f>III_Model_PT!O7</f>
        <v/>
      </c>
      <c r="P304" s="629">
        <f>III_Model_PT!P7</f>
        <v/>
      </c>
      <c r="Q304" s="629">
        <f>III_Model_PT!Q7</f>
        <v/>
      </c>
      <c r="R304" s="629">
        <f>III_Model_PT!R7</f>
        <v/>
      </c>
      <c r="S304" s="629">
        <f>III_Model_PT!S7</f>
        <v/>
      </c>
      <c r="T304" s="629">
        <f>III_Model_PT!T7</f>
        <v/>
      </c>
      <c r="U304" s="629">
        <f>III_Model_PT!U7</f>
        <v/>
      </c>
      <c r="V304" s="629">
        <f>III_Model_PT!V7</f>
        <v/>
      </c>
      <c r="W304" s="629">
        <f>III_Model_PT!W7</f>
        <v/>
      </c>
      <c r="X304" s="629">
        <f>III_Model_PT!X7</f>
        <v/>
      </c>
      <c r="Y304" s="651">
        <f>III_Model_PT!Y7</f>
        <v/>
      </c>
      <c r="Z304" s="651">
        <f>III_Model_PT!Z7</f>
        <v/>
      </c>
      <c r="AA304" s="651">
        <f>III_Model_PT!AA7</f>
        <v/>
      </c>
      <c r="AB304" s="651">
        <f>III_Model_PT!AB7</f>
        <v/>
      </c>
      <c r="AC304" s="614">
        <f>III_Model_PT!AC7</f>
        <v/>
      </c>
      <c r="AD304" s="614">
        <f>III_Model_PT!AD7</f>
        <v/>
      </c>
      <c r="AE304" s="614">
        <f>III_Model_PT!AE7</f>
        <v/>
      </c>
      <c r="AF304" s="614">
        <f>III_Model_PT!AF7</f>
        <v/>
      </c>
      <c r="AG304" s="635">
        <f>III_Model_PT!AG7</f>
        <v/>
      </c>
      <c r="AH304" s="635">
        <f>III_Model_PT!AH7</f>
        <v/>
      </c>
      <c r="AI304" s="635">
        <f>III_Model_PT!AI7</f>
        <v/>
      </c>
      <c r="AJ304" s="635">
        <f>III_Model_PT!AJ7</f>
        <v/>
      </c>
      <c r="AK304" s="635">
        <f>III_Model_PT!AK7</f>
        <v/>
      </c>
      <c r="AL304" s="635">
        <f>III_Model_PT!AL7</f>
        <v/>
      </c>
      <c r="AM304" s="635">
        <f>III_Model_PT!AM7</f>
        <v/>
      </c>
      <c r="AN304" s="635">
        <f>III_Model_PT!AN7</f>
        <v/>
      </c>
      <c r="AO304" s="635">
        <f>III_Model_PT!AO7</f>
        <v/>
      </c>
      <c r="AP304" s="641">
        <f>III_Model_PT!AP7</f>
        <v/>
      </c>
      <c r="AQ304" s="641">
        <f>III_Model_PT!AQ7</f>
        <v/>
      </c>
      <c r="AR304" s="641">
        <f>III_Model_PT!AR7</f>
        <v/>
      </c>
      <c r="AS304" s="641">
        <f>III_Model_PT!AS7</f>
        <v/>
      </c>
      <c r="AT304" s="620">
        <f>III_Model_PT!AT7</f>
        <v/>
      </c>
      <c r="AU304" s="620">
        <f>III_Model_PT!AU7</f>
        <v/>
      </c>
      <c r="AV304" s="620">
        <f>III_Model_PT!AV7</f>
        <v/>
      </c>
      <c r="AW304" s="620">
        <f>III_Model_PT!AW7</f>
        <v/>
      </c>
      <c r="AX304" s="488">
        <f>III_Model_PT!AX7</f>
        <v/>
      </c>
      <c r="AY304" s="488">
        <f>III_Model_PT!AY7</f>
        <v/>
      </c>
      <c r="AZ304" s="488">
        <f>III_Model_PT!AZ7</f>
        <v/>
      </c>
      <c r="BA304" s="488">
        <f>III_Model_PT!BA7</f>
        <v/>
      </c>
      <c r="BB304" s="488">
        <f>III_Model_PT!BB7</f>
        <v/>
      </c>
      <c r="BC304" s="488">
        <f>III_Model_PT!BC7</f>
        <v/>
      </c>
      <c r="BD304" s="488">
        <f>III_Model_PT!BD7</f>
        <v/>
      </c>
      <c r="BE304" s="488">
        <f>III_Model_PT!BE7</f>
        <v/>
      </c>
      <c r="BF304" s="488">
        <f>III_Model_PT!BF7</f>
        <v/>
      </c>
      <c r="BG304" s="488">
        <f>III_Model_PT!BG7</f>
        <v/>
      </c>
      <c r="BH304" s="488">
        <f>III_Model_PT!BH7</f>
        <v/>
      </c>
      <c r="BI304" s="488">
        <f>III_Model_PT!BI7</f>
        <v/>
      </c>
      <c r="BJ304">
        <f>O304</f>
        <v/>
      </c>
      <c r="BK304">
        <f>SUM(AG304:AW304)</f>
        <v/>
      </c>
      <c r="BL304" s="531">
        <f>BJ304-BK304</f>
        <v/>
      </c>
      <c r="BM304" s="201" t="n"/>
      <c r="BN304" s="659" t="n"/>
      <c r="BO304" s="659" t="n"/>
      <c r="BP304" s="659" t="n"/>
      <c r="BQ304" s="659" t="n"/>
      <c r="BR304" s="659" t="n"/>
      <c r="BS304" s="659" t="n"/>
      <c r="BT304" s="659" t="n"/>
      <c r="BU304" s="659" t="n"/>
      <c r="BV304" s="659" t="n"/>
      <c r="BW304" s="659" t="n"/>
    </row>
    <row r="305" hidden="1" outlineLevel="1" customFormat="1" s="488">
      <c r="A305" s="488">
        <f>III_Model_PT!A8</f>
        <v/>
      </c>
      <c r="B305" s="488">
        <f>III_Model_PT!B8</f>
        <v/>
      </c>
      <c r="C305" s="488">
        <f>III_Model_PT!C8</f>
        <v/>
      </c>
      <c r="D305" s="488">
        <f>III_Model_PT!D8</f>
        <v/>
      </c>
      <c r="E305" s="488">
        <f>III_Model_PT!E8</f>
        <v/>
      </c>
      <c r="F305" s="488">
        <f>III_Model_PT!F8</f>
        <v/>
      </c>
      <c r="G305" s="488">
        <f>III_Model_PT!G8</f>
        <v/>
      </c>
      <c r="H305" s="488">
        <f>III_Model_PT!H8</f>
        <v/>
      </c>
      <c r="I305" s="488">
        <f>III_Model_PT!I8</f>
        <v/>
      </c>
      <c r="J305" s="488">
        <f>III_Model_PT!J8</f>
        <v/>
      </c>
      <c r="K305" s="672">
        <f>III_Model_PT!K8</f>
        <v/>
      </c>
      <c r="L305" s="672">
        <f>III_Model_PT!L8</f>
        <v/>
      </c>
      <c r="M305" s="488">
        <f>III_Model_PT!M8</f>
        <v/>
      </c>
      <c r="N305" s="488">
        <f>III_Model_PT!N8</f>
        <v/>
      </c>
      <c r="O305" s="488">
        <f>III_Model_PT!O8</f>
        <v/>
      </c>
      <c r="P305" s="629">
        <f>III_Model_PT!P8</f>
        <v/>
      </c>
      <c r="Q305" s="629">
        <f>III_Model_PT!Q8</f>
        <v/>
      </c>
      <c r="R305" s="629">
        <f>III_Model_PT!R8</f>
        <v/>
      </c>
      <c r="S305" s="629">
        <f>III_Model_PT!S8</f>
        <v/>
      </c>
      <c r="T305" s="629">
        <f>III_Model_PT!T8</f>
        <v/>
      </c>
      <c r="U305" s="629">
        <f>III_Model_PT!U8</f>
        <v/>
      </c>
      <c r="V305" s="629">
        <f>III_Model_PT!V8</f>
        <v/>
      </c>
      <c r="W305" s="629">
        <f>III_Model_PT!W8</f>
        <v/>
      </c>
      <c r="X305" s="629">
        <f>III_Model_PT!X8</f>
        <v/>
      </c>
      <c r="Y305" s="651">
        <f>III_Model_PT!Y8</f>
        <v/>
      </c>
      <c r="Z305" s="651">
        <f>III_Model_PT!Z8</f>
        <v/>
      </c>
      <c r="AA305" s="651">
        <f>III_Model_PT!AA8</f>
        <v/>
      </c>
      <c r="AB305" s="651">
        <f>III_Model_PT!AB8</f>
        <v/>
      </c>
      <c r="AC305" s="614">
        <f>III_Model_PT!AC8</f>
        <v/>
      </c>
      <c r="AD305" s="614">
        <f>III_Model_PT!AD8</f>
        <v/>
      </c>
      <c r="AE305" s="614">
        <f>III_Model_PT!AE8</f>
        <v/>
      </c>
      <c r="AF305" s="614">
        <f>III_Model_PT!AF8</f>
        <v/>
      </c>
      <c r="AG305" s="635">
        <f>III_Model_PT!AG8</f>
        <v/>
      </c>
      <c r="AH305" s="635">
        <f>III_Model_PT!AH8</f>
        <v/>
      </c>
      <c r="AI305" s="635">
        <f>III_Model_PT!AI8</f>
        <v/>
      </c>
      <c r="AJ305" s="635">
        <f>III_Model_PT!AJ8</f>
        <v/>
      </c>
      <c r="AK305" s="635">
        <f>III_Model_PT!AK8</f>
        <v/>
      </c>
      <c r="AL305" s="635">
        <f>III_Model_PT!AL8</f>
        <v/>
      </c>
      <c r="AM305" s="635">
        <f>III_Model_PT!AM8</f>
        <v/>
      </c>
      <c r="AN305" s="635">
        <f>III_Model_PT!AN8</f>
        <v/>
      </c>
      <c r="AO305" s="635">
        <f>III_Model_PT!AO8</f>
        <v/>
      </c>
      <c r="AP305" s="641">
        <f>III_Model_PT!AP8</f>
        <v/>
      </c>
      <c r="AQ305" s="641">
        <f>III_Model_PT!AQ8</f>
        <v/>
      </c>
      <c r="AR305" s="641">
        <f>III_Model_PT!AR8</f>
        <v/>
      </c>
      <c r="AS305" s="641">
        <f>III_Model_PT!AS8</f>
        <v/>
      </c>
      <c r="AT305" s="620">
        <f>III_Model_PT!AT8</f>
        <v/>
      </c>
      <c r="AU305" s="620">
        <f>III_Model_PT!AU8</f>
        <v/>
      </c>
      <c r="AV305" s="620">
        <f>III_Model_PT!AV8</f>
        <v/>
      </c>
      <c r="AW305" s="620">
        <f>III_Model_PT!AW8</f>
        <v/>
      </c>
      <c r="AX305" s="488">
        <f>III_Model_PT!AX8</f>
        <v/>
      </c>
      <c r="AY305" s="488">
        <f>III_Model_PT!AY8</f>
        <v/>
      </c>
      <c r="AZ305" s="488">
        <f>III_Model_PT!AZ8</f>
        <v/>
      </c>
      <c r="BA305" s="488">
        <f>III_Model_PT!BA8</f>
        <v/>
      </c>
      <c r="BB305" s="488">
        <f>III_Model_PT!BB8</f>
        <v/>
      </c>
      <c r="BC305" s="488">
        <f>III_Model_PT!BC8</f>
        <v/>
      </c>
      <c r="BD305" s="488">
        <f>III_Model_PT!BD8</f>
        <v/>
      </c>
      <c r="BE305" s="488">
        <f>III_Model_PT!BE8</f>
        <v/>
      </c>
      <c r="BF305" s="488">
        <f>III_Model_PT!BF8</f>
        <v/>
      </c>
      <c r="BG305" s="488">
        <f>III_Model_PT!BG8</f>
        <v/>
      </c>
      <c r="BH305" s="488">
        <f>III_Model_PT!BH8</f>
        <v/>
      </c>
      <c r="BI305" s="488">
        <f>III_Model_PT!BI8</f>
        <v/>
      </c>
      <c r="BJ305">
        <f>O305</f>
        <v/>
      </c>
      <c r="BK305">
        <f>SUM(AG305:AW305)</f>
        <v/>
      </c>
      <c r="BL305" s="531">
        <f>BJ305-BK305</f>
        <v/>
      </c>
      <c r="BM305" s="201" t="n"/>
      <c r="BN305" s="659" t="n"/>
      <c r="BO305" s="659" t="n"/>
      <c r="BP305" s="659" t="n"/>
      <c r="BQ305" s="659" t="n"/>
      <c r="BR305" s="659" t="n"/>
      <c r="BS305" s="659" t="n"/>
      <c r="BT305" s="659" t="n"/>
      <c r="BU305" s="659" t="n"/>
      <c r="BV305" s="659" t="n"/>
      <c r="BW305" s="659" t="n"/>
    </row>
    <row r="306" hidden="1" outlineLevel="1" customFormat="1" s="488">
      <c r="A306" s="488">
        <f>III_Model_PT!A9</f>
        <v/>
      </c>
      <c r="B306" s="488">
        <f>III_Model_PT!B9</f>
        <v/>
      </c>
      <c r="C306" s="488">
        <f>III_Model_PT!C9</f>
        <v/>
      </c>
      <c r="D306" s="488">
        <f>III_Model_PT!D9</f>
        <v/>
      </c>
      <c r="E306" s="488">
        <f>III_Model_PT!E9</f>
        <v/>
      </c>
      <c r="F306" s="488">
        <f>III_Model_PT!F9</f>
        <v/>
      </c>
      <c r="G306" s="488">
        <f>III_Model_PT!G9</f>
        <v/>
      </c>
      <c r="H306" s="488">
        <f>III_Model_PT!H9</f>
        <v/>
      </c>
      <c r="I306" s="488">
        <f>III_Model_PT!I9</f>
        <v/>
      </c>
      <c r="J306" s="488">
        <f>III_Model_PT!J9</f>
        <v/>
      </c>
      <c r="K306" s="672">
        <f>III_Model_PT!K9</f>
        <v/>
      </c>
      <c r="L306" s="672">
        <f>III_Model_PT!L9</f>
        <v/>
      </c>
      <c r="M306" s="488">
        <f>III_Model_PT!M9</f>
        <v/>
      </c>
      <c r="N306" s="488">
        <f>III_Model_PT!N9</f>
        <v/>
      </c>
      <c r="O306" s="488">
        <f>III_Model_PT!O9</f>
        <v/>
      </c>
      <c r="P306" s="629">
        <f>III_Model_PT!P9</f>
        <v/>
      </c>
      <c r="Q306" s="629">
        <f>III_Model_PT!Q9</f>
        <v/>
      </c>
      <c r="R306" s="629">
        <f>III_Model_PT!R9</f>
        <v/>
      </c>
      <c r="S306" s="629">
        <f>III_Model_PT!S9</f>
        <v/>
      </c>
      <c r="T306" s="629">
        <f>III_Model_PT!T9</f>
        <v/>
      </c>
      <c r="U306" s="629">
        <f>III_Model_PT!U9</f>
        <v/>
      </c>
      <c r="V306" s="629">
        <f>III_Model_PT!V9</f>
        <v/>
      </c>
      <c r="W306" s="629">
        <f>III_Model_PT!W9</f>
        <v/>
      </c>
      <c r="X306" s="629">
        <f>III_Model_PT!X9</f>
        <v/>
      </c>
      <c r="Y306" s="651">
        <f>III_Model_PT!Y9</f>
        <v/>
      </c>
      <c r="Z306" s="651">
        <f>III_Model_PT!Z9</f>
        <v/>
      </c>
      <c r="AA306" s="651">
        <f>III_Model_PT!AA9</f>
        <v/>
      </c>
      <c r="AB306" s="651">
        <f>III_Model_PT!AB9</f>
        <v/>
      </c>
      <c r="AC306" s="614">
        <f>III_Model_PT!AC9</f>
        <v/>
      </c>
      <c r="AD306" s="614">
        <f>III_Model_PT!AD9</f>
        <v/>
      </c>
      <c r="AE306" s="614">
        <f>III_Model_PT!AE9</f>
        <v/>
      </c>
      <c r="AF306" s="614">
        <f>III_Model_PT!AF9</f>
        <v/>
      </c>
      <c r="AG306" s="635">
        <f>III_Model_PT!AG9</f>
        <v/>
      </c>
      <c r="AH306" s="635">
        <f>III_Model_PT!AH9</f>
        <v/>
      </c>
      <c r="AI306" s="635">
        <f>III_Model_PT!AI9</f>
        <v/>
      </c>
      <c r="AJ306" s="635">
        <f>III_Model_PT!AJ9</f>
        <v/>
      </c>
      <c r="AK306" s="635">
        <f>III_Model_PT!AK9</f>
        <v/>
      </c>
      <c r="AL306" s="635">
        <f>III_Model_PT!AL9</f>
        <v/>
      </c>
      <c r="AM306" s="635">
        <f>III_Model_PT!AM9</f>
        <v/>
      </c>
      <c r="AN306" s="635">
        <f>III_Model_PT!AN9</f>
        <v/>
      </c>
      <c r="AO306" s="635">
        <f>III_Model_PT!AO9</f>
        <v/>
      </c>
      <c r="AP306" s="641">
        <f>III_Model_PT!AP9</f>
        <v/>
      </c>
      <c r="AQ306" s="641">
        <f>III_Model_PT!AQ9</f>
        <v/>
      </c>
      <c r="AR306" s="641">
        <f>III_Model_PT!AR9</f>
        <v/>
      </c>
      <c r="AS306" s="641">
        <f>III_Model_PT!AS9</f>
        <v/>
      </c>
      <c r="AT306" s="620">
        <f>III_Model_PT!AT9</f>
        <v/>
      </c>
      <c r="AU306" s="620">
        <f>III_Model_PT!AU9</f>
        <v/>
      </c>
      <c r="AV306" s="620">
        <f>III_Model_PT!AV9</f>
        <v/>
      </c>
      <c r="AW306" s="620">
        <f>III_Model_PT!AW9</f>
        <v/>
      </c>
      <c r="AX306" s="488">
        <f>III_Model_PT!AX9</f>
        <v/>
      </c>
      <c r="AY306" s="488">
        <f>III_Model_PT!AY9</f>
        <v/>
      </c>
      <c r="AZ306" s="488">
        <f>III_Model_PT!AZ9</f>
        <v/>
      </c>
      <c r="BA306" s="488">
        <f>III_Model_PT!BA9</f>
        <v/>
      </c>
      <c r="BB306" s="488">
        <f>III_Model_PT!BB9</f>
        <v/>
      </c>
      <c r="BC306" s="488">
        <f>III_Model_PT!BC9</f>
        <v/>
      </c>
      <c r="BD306" s="488">
        <f>III_Model_PT!BD9</f>
        <v/>
      </c>
      <c r="BE306" s="488">
        <f>III_Model_PT!BE9</f>
        <v/>
      </c>
      <c r="BF306" s="488">
        <f>III_Model_PT!BF9</f>
        <v/>
      </c>
      <c r="BG306" s="488">
        <f>III_Model_PT!BG9</f>
        <v/>
      </c>
      <c r="BH306" s="488">
        <f>III_Model_PT!BH9</f>
        <v/>
      </c>
      <c r="BI306" s="488">
        <f>III_Model_PT!BI9</f>
        <v/>
      </c>
      <c r="BJ306">
        <f>O306</f>
        <v/>
      </c>
      <c r="BK306">
        <f>SUM(AG306:AW306)</f>
        <v/>
      </c>
      <c r="BL306" s="531">
        <f>BJ306-BK306</f>
        <v/>
      </c>
      <c r="BM306" s="201" t="n"/>
      <c r="BN306" s="659" t="n"/>
      <c r="BO306" s="659" t="n"/>
      <c r="BP306" s="659" t="n"/>
      <c r="BQ306" s="659" t="n"/>
      <c r="BR306" s="659" t="n"/>
      <c r="BS306" s="659" t="n"/>
      <c r="BT306" s="659" t="n"/>
      <c r="BU306" s="659" t="n"/>
      <c r="BV306" s="659" t="n"/>
      <c r="BW306" s="659" t="n"/>
    </row>
    <row r="307" hidden="1" outlineLevel="1" customFormat="1" s="488">
      <c r="A307" s="488">
        <f>III_Model_PT!A10</f>
        <v/>
      </c>
      <c r="B307" s="488">
        <f>III_Model_PT!B10</f>
        <v/>
      </c>
      <c r="C307" s="488">
        <f>III_Model_PT!C10</f>
        <v/>
      </c>
      <c r="D307" s="488">
        <f>III_Model_PT!D10</f>
        <v/>
      </c>
      <c r="E307" s="488">
        <f>III_Model_PT!E10</f>
        <v/>
      </c>
      <c r="F307" s="488">
        <f>III_Model_PT!F10</f>
        <v/>
      </c>
      <c r="G307" s="488">
        <f>III_Model_PT!G10</f>
        <v/>
      </c>
      <c r="H307" s="488">
        <f>III_Model_PT!H10</f>
        <v/>
      </c>
      <c r="I307" s="488">
        <f>III_Model_PT!I10</f>
        <v/>
      </c>
      <c r="J307" s="488">
        <f>III_Model_PT!J10</f>
        <v/>
      </c>
      <c r="K307" s="672">
        <f>III_Model_PT!K10</f>
        <v/>
      </c>
      <c r="L307" s="672">
        <f>III_Model_PT!L10</f>
        <v/>
      </c>
      <c r="M307" s="488">
        <f>III_Model_PT!M10</f>
        <v/>
      </c>
      <c r="N307" s="488">
        <f>III_Model_PT!N10</f>
        <v/>
      </c>
      <c r="O307" s="488">
        <f>III_Model_PT!O10</f>
        <v/>
      </c>
      <c r="P307" s="629">
        <f>III_Model_PT!P10</f>
        <v/>
      </c>
      <c r="Q307" s="629">
        <f>III_Model_PT!Q10</f>
        <v/>
      </c>
      <c r="R307" s="629">
        <f>III_Model_PT!R10</f>
        <v/>
      </c>
      <c r="S307" s="629">
        <f>III_Model_PT!S10</f>
        <v/>
      </c>
      <c r="T307" s="629">
        <f>III_Model_PT!T10</f>
        <v/>
      </c>
      <c r="U307" s="629">
        <f>III_Model_PT!U10</f>
        <v/>
      </c>
      <c r="V307" s="629">
        <f>III_Model_PT!V10</f>
        <v/>
      </c>
      <c r="W307" s="629">
        <f>III_Model_PT!W10</f>
        <v/>
      </c>
      <c r="X307" s="629">
        <f>III_Model_PT!X10</f>
        <v/>
      </c>
      <c r="Y307" s="651">
        <f>III_Model_PT!Y10</f>
        <v/>
      </c>
      <c r="Z307" s="651">
        <f>III_Model_PT!Z10</f>
        <v/>
      </c>
      <c r="AA307" s="651">
        <f>III_Model_PT!AA10</f>
        <v/>
      </c>
      <c r="AB307" s="651">
        <f>III_Model_PT!AB10</f>
        <v/>
      </c>
      <c r="AC307" s="614">
        <f>III_Model_PT!AC10</f>
        <v/>
      </c>
      <c r="AD307" s="614">
        <f>III_Model_PT!AD10</f>
        <v/>
      </c>
      <c r="AE307" s="614">
        <f>III_Model_PT!AE10</f>
        <v/>
      </c>
      <c r="AF307" s="614">
        <f>III_Model_PT!AF10</f>
        <v/>
      </c>
      <c r="AG307" s="635">
        <f>III_Model_PT!AG10</f>
        <v/>
      </c>
      <c r="AH307" s="635">
        <f>III_Model_PT!AH10</f>
        <v/>
      </c>
      <c r="AI307" s="635">
        <f>III_Model_PT!AI10</f>
        <v/>
      </c>
      <c r="AJ307" s="635">
        <f>III_Model_PT!AJ10</f>
        <v/>
      </c>
      <c r="AK307" s="635">
        <f>III_Model_PT!AK10</f>
        <v/>
      </c>
      <c r="AL307" s="635">
        <f>III_Model_PT!AL10</f>
        <v/>
      </c>
      <c r="AM307" s="635">
        <f>III_Model_PT!AM10</f>
        <v/>
      </c>
      <c r="AN307" s="635">
        <f>III_Model_PT!AN10</f>
        <v/>
      </c>
      <c r="AO307" s="635">
        <f>III_Model_PT!AO10</f>
        <v/>
      </c>
      <c r="AP307" s="641">
        <f>III_Model_PT!AP10</f>
        <v/>
      </c>
      <c r="AQ307" s="641">
        <f>III_Model_PT!AQ10</f>
        <v/>
      </c>
      <c r="AR307" s="641">
        <f>III_Model_PT!AR10</f>
        <v/>
      </c>
      <c r="AS307" s="641">
        <f>III_Model_PT!AS10</f>
        <v/>
      </c>
      <c r="AT307" s="620">
        <f>III_Model_PT!AT10</f>
        <v/>
      </c>
      <c r="AU307" s="620">
        <f>III_Model_PT!AU10</f>
        <v/>
      </c>
      <c r="AV307" s="620">
        <f>III_Model_PT!AV10</f>
        <v/>
      </c>
      <c r="AW307" s="620">
        <f>III_Model_PT!AW10</f>
        <v/>
      </c>
      <c r="AX307" s="488">
        <f>III_Model_PT!AX10</f>
        <v/>
      </c>
      <c r="AY307" s="488">
        <f>III_Model_PT!AY10</f>
        <v/>
      </c>
      <c r="AZ307" s="488">
        <f>III_Model_PT!AZ10</f>
        <v/>
      </c>
      <c r="BA307" s="488">
        <f>III_Model_PT!BA10</f>
        <v/>
      </c>
      <c r="BB307" s="488">
        <f>III_Model_PT!BB10</f>
        <v/>
      </c>
      <c r="BC307" s="488">
        <f>III_Model_PT!BC10</f>
        <v/>
      </c>
      <c r="BD307" s="488">
        <f>III_Model_PT!BD10</f>
        <v/>
      </c>
      <c r="BE307" s="488">
        <f>III_Model_PT!BE10</f>
        <v/>
      </c>
      <c r="BF307" s="488">
        <f>III_Model_PT!BF10</f>
        <v/>
      </c>
      <c r="BG307" s="488">
        <f>III_Model_PT!BG10</f>
        <v/>
      </c>
      <c r="BH307" s="488">
        <f>III_Model_PT!BH10</f>
        <v/>
      </c>
      <c r="BI307" s="488">
        <f>III_Model_PT!BI10</f>
        <v/>
      </c>
      <c r="BJ307">
        <f>O307</f>
        <v/>
      </c>
      <c r="BK307">
        <f>SUM(AG307:AW307)</f>
        <v/>
      </c>
      <c r="BL307" s="531">
        <f>BJ307-BK307</f>
        <v/>
      </c>
      <c r="BM307" s="201" t="n"/>
      <c r="BN307" s="659" t="n"/>
      <c r="BO307" s="659" t="n"/>
      <c r="BP307" s="659" t="n"/>
      <c r="BQ307" s="659" t="n"/>
      <c r="BR307" s="659" t="n"/>
      <c r="BS307" s="659" t="n"/>
      <c r="BT307" s="659" t="n"/>
      <c r="BU307" s="659" t="n"/>
      <c r="BV307" s="659" t="n"/>
      <c r="BW307" s="659" t="n"/>
    </row>
    <row r="308" hidden="1" outlineLevel="1" customFormat="1" s="488">
      <c r="A308" s="488">
        <f>III_Model_PT!A11</f>
        <v/>
      </c>
      <c r="B308" s="488">
        <f>III_Model_PT!B11</f>
        <v/>
      </c>
      <c r="C308" s="488">
        <f>III_Model_PT!C11</f>
        <v/>
      </c>
      <c r="D308" s="488">
        <f>III_Model_PT!D11</f>
        <v/>
      </c>
      <c r="E308" s="488">
        <f>III_Model_PT!E11</f>
        <v/>
      </c>
      <c r="F308" s="488">
        <f>III_Model_PT!F11</f>
        <v/>
      </c>
      <c r="G308" s="488">
        <f>III_Model_PT!G11</f>
        <v/>
      </c>
      <c r="H308" s="488">
        <f>III_Model_PT!H11</f>
        <v/>
      </c>
      <c r="I308" s="488">
        <f>III_Model_PT!I11</f>
        <v/>
      </c>
      <c r="J308" s="488">
        <f>III_Model_PT!J11</f>
        <v/>
      </c>
      <c r="K308" s="672">
        <f>III_Model_PT!K11</f>
        <v/>
      </c>
      <c r="L308" s="672">
        <f>III_Model_PT!L11</f>
        <v/>
      </c>
      <c r="M308" s="488">
        <f>III_Model_PT!M11</f>
        <v/>
      </c>
      <c r="N308" s="488">
        <f>III_Model_PT!N11</f>
        <v/>
      </c>
      <c r="O308" s="488">
        <f>III_Model_PT!O11</f>
        <v/>
      </c>
      <c r="P308" s="629">
        <f>III_Model_PT!P11</f>
        <v/>
      </c>
      <c r="Q308" s="629">
        <f>III_Model_PT!Q11</f>
        <v/>
      </c>
      <c r="R308" s="629">
        <f>III_Model_PT!R11</f>
        <v/>
      </c>
      <c r="S308" s="629">
        <f>III_Model_PT!S11</f>
        <v/>
      </c>
      <c r="T308" s="629">
        <f>III_Model_PT!T11</f>
        <v/>
      </c>
      <c r="U308" s="629">
        <f>III_Model_PT!U11</f>
        <v/>
      </c>
      <c r="V308" s="629">
        <f>III_Model_PT!V11</f>
        <v/>
      </c>
      <c r="W308" s="629">
        <f>III_Model_PT!W11</f>
        <v/>
      </c>
      <c r="X308" s="629">
        <f>III_Model_PT!X11</f>
        <v/>
      </c>
      <c r="Y308" s="651">
        <f>III_Model_PT!Y11</f>
        <v/>
      </c>
      <c r="Z308" s="651">
        <f>III_Model_PT!Z11</f>
        <v/>
      </c>
      <c r="AA308" s="651">
        <f>III_Model_PT!AA11</f>
        <v/>
      </c>
      <c r="AB308" s="651">
        <f>III_Model_PT!AB11</f>
        <v/>
      </c>
      <c r="AC308" s="614">
        <f>III_Model_PT!AC11</f>
        <v/>
      </c>
      <c r="AD308" s="614">
        <f>III_Model_PT!AD11</f>
        <v/>
      </c>
      <c r="AE308" s="614">
        <f>III_Model_PT!AE11</f>
        <v/>
      </c>
      <c r="AF308" s="614">
        <f>III_Model_PT!AF11</f>
        <v/>
      </c>
      <c r="AG308" s="635">
        <f>III_Model_PT!AG11</f>
        <v/>
      </c>
      <c r="AH308" s="635">
        <f>III_Model_PT!AH11</f>
        <v/>
      </c>
      <c r="AI308" s="635">
        <f>III_Model_PT!AI11</f>
        <v/>
      </c>
      <c r="AJ308" s="635">
        <f>III_Model_PT!AJ11</f>
        <v/>
      </c>
      <c r="AK308" s="635">
        <f>III_Model_PT!AK11</f>
        <v/>
      </c>
      <c r="AL308" s="635">
        <f>III_Model_PT!AL11</f>
        <v/>
      </c>
      <c r="AM308" s="635">
        <f>III_Model_PT!AM11</f>
        <v/>
      </c>
      <c r="AN308" s="635">
        <f>III_Model_PT!AN11</f>
        <v/>
      </c>
      <c r="AO308" s="635">
        <f>III_Model_PT!AO11</f>
        <v/>
      </c>
      <c r="AP308" s="641">
        <f>III_Model_PT!AP11</f>
        <v/>
      </c>
      <c r="AQ308" s="641">
        <f>III_Model_PT!AQ11</f>
        <v/>
      </c>
      <c r="AR308" s="641">
        <f>III_Model_PT!AR11</f>
        <v/>
      </c>
      <c r="AS308" s="641">
        <f>III_Model_PT!AS11</f>
        <v/>
      </c>
      <c r="AT308" s="620">
        <f>III_Model_PT!AT11</f>
        <v/>
      </c>
      <c r="AU308" s="620">
        <f>III_Model_PT!AU11</f>
        <v/>
      </c>
      <c r="AV308" s="620">
        <f>III_Model_PT!AV11</f>
        <v/>
      </c>
      <c r="AW308" s="620">
        <f>III_Model_PT!AW11</f>
        <v/>
      </c>
      <c r="AX308" s="488">
        <f>III_Model_PT!AX11</f>
        <v/>
      </c>
      <c r="AY308" s="488">
        <f>III_Model_PT!AY11</f>
        <v/>
      </c>
      <c r="AZ308" s="488">
        <f>III_Model_PT!AZ11</f>
        <v/>
      </c>
      <c r="BA308" s="488">
        <f>III_Model_PT!BA11</f>
        <v/>
      </c>
      <c r="BB308" s="488">
        <f>III_Model_PT!BB11</f>
        <v/>
      </c>
      <c r="BC308" s="488">
        <f>III_Model_PT!BC11</f>
        <v/>
      </c>
      <c r="BD308" s="488">
        <f>III_Model_PT!BD11</f>
        <v/>
      </c>
      <c r="BE308" s="488">
        <f>III_Model_PT!BE11</f>
        <v/>
      </c>
      <c r="BF308" s="488">
        <f>III_Model_PT!BF11</f>
        <v/>
      </c>
      <c r="BG308" s="488">
        <f>III_Model_PT!BG11</f>
        <v/>
      </c>
      <c r="BH308" s="488">
        <f>III_Model_PT!BH11</f>
        <v/>
      </c>
      <c r="BI308" s="488">
        <f>III_Model_PT!BI11</f>
        <v/>
      </c>
      <c r="BJ308">
        <f>O308</f>
        <v/>
      </c>
      <c r="BK308">
        <f>SUM(AG308:AW308)</f>
        <v/>
      </c>
      <c r="BL308" s="531">
        <f>BJ308-BK308</f>
        <v/>
      </c>
      <c r="BM308" s="201" t="n"/>
      <c r="BN308" s="659" t="n"/>
      <c r="BO308" s="659" t="n"/>
      <c r="BP308" s="659" t="n"/>
      <c r="BQ308" s="659" t="n"/>
      <c r="BR308" s="659" t="n"/>
      <c r="BS308" s="659" t="n"/>
      <c r="BT308" s="659" t="n"/>
      <c r="BU308" s="659" t="n"/>
      <c r="BV308" s="659" t="n"/>
      <c r="BW308" s="659" t="n"/>
    </row>
    <row r="309" hidden="1" outlineLevel="1" customFormat="1" s="488">
      <c r="A309" s="488">
        <f>III_Model_PT!A12</f>
        <v/>
      </c>
      <c r="B309" s="488">
        <f>III_Model_PT!B12</f>
        <v/>
      </c>
      <c r="C309" s="488">
        <f>III_Model_PT!C12</f>
        <v/>
      </c>
      <c r="D309" s="488">
        <f>III_Model_PT!D12</f>
        <v/>
      </c>
      <c r="E309" s="488">
        <f>III_Model_PT!E12</f>
        <v/>
      </c>
      <c r="F309" s="488">
        <f>III_Model_PT!F12</f>
        <v/>
      </c>
      <c r="G309" s="488">
        <f>III_Model_PT!G12</f>
        <v/>
      </c>
      <c r="H309" s="488">
        <f>III_Model_PT!H12</f>
        <v/>
      </c>
      <c r="I309" s="488">
        <f>III_Model_PT!I12</f>
        <v/>
      </c>
      <c r="J309" s="488">
        <f>III_Model_PT!J12</f>
        <v/>
      </c>
      <c r="K309" s="672">
        <f>III_Model_PT!K12</f>
        <v/>
      </c>
      <c r="L309" s="672">
        <f>III_Model_PT!L12</f>
        <v/>
      </c>
      <c r="M309" s="488">
        <f>III_Model_PT!M12</f>
        <v/>
      </c>
      <c r="N309" s="488">
        <f>III_Model_PT!N12</f>
        <v/>
      </c>
      <c r="O309" s="488">
        <f>III_Model_PT!O12</f>
        <v/>
      </c>
      <c r="P309" s="629">
        <f>III_Model_PT!P12</f>
        <v/>
      </c>
      <c r="Q309" s="629">
        <f>III_Model_PT!Q12</f>
        <v/>
      </c>
      <c r="R309" s="629">
        <f>III_Model_PT!R12</f>
        <v/>
      </c>
      <c r="S309" s="629">
        <f>III_Model_PT!S12</f>
        <v/>
      </c>
      <c r="T309" s="629">
        <f>III_Model_PT!T12</f>
        <v/>
      </c>
      <c r="U309" s="629">
        <f>III_Model_PT!U12</f>
        <v/>
      </c>
      <c r="V309" s="629">
        <f>III_Model_PT!V12</f>
        <v/>
      </c>
      <c r="W309" s="629">
        <f>III_Model_PT!W12</f>
        <v/>
      </c>
      <c r="X309" s="629">
        <f>III_Model_PT!X12</f>
        <v/>
      </c>
      <c r="Y309" s="651">
        <f>III_Model_PT!Y12</f>
        <v/>
      </c>
      <c r="Z309" s="651">
        <f>III_Model_PT!Z12</f>
        <v/>
      </c>
      <c r="AA309" s="651">
        <f>III_Model_PT!AA12</f>
        <v/>
      </c>
      <c r="AB309" s="651">
        <f>III_Model_PT!AB12</f>
        <v/>
      </c>
      <c r="AC309" s="614">
        <f>III_Model_PT!AC12</f>
        <v/>
      </c>
      <c r="AD309" s="614">
        <f>III_Model_PT!AD12</f>
        <v/>
      </c>
      <c r="AE309" s="614">
        <f>III_Model_PT!AE12</f>
        <v/>
      </c>
      <c r="AF309" s="614">
        <f>III_Model_PT!AF12</f>
        <v/>
      </c>
      <c r="AG309" s="635">
        <f>III_Model_PT!AG12</f>
        <v/>
      </c>
      <c r="AH309" s="635">
        <f>III_Model_PT!AH12</f>
        <v/>
      </c>
      <c r="AI309" s="635">
        <f>III_Model_PT!AI12</f>
        <v/>
      </c>
      <c r="AJ309" s="635">
        <f>III_Model_PT!AJ12</f>
        <v/>
      </c>
      <c r="AK309" s="635">
        <f>III_Model_PT!AK12</f>
        <v/>
      </c>
      <c r="AL309" s="635">
        <f>III_Model_PT!AL12</f>
        <v/>
      </c>
      <c r="AM309" s="635">
        <f>III_Model_PT!AM12</f>
        <v/>
      </c>
      <c r="AN309" s="635">
        <f>III_Model_PT!AN12</f>
        <v/>
      </c>
      <c r="AO309" s="635">
        <f>III_Model_PT!AO12</f>
        <v/>
      </c>
      <c r="AP309" s="641">
        <f>III_Model_PT!AP12</f>
        <v/>
      </c>
      <c r="AQ309" s="641">
        <f>III_Model_PT!AQ12</f>
        <v/>
      </c>
      <c r="AR309" s="641">
        <f>III_Model_PT!AR12</f>
        <v/>
      </c>
      <c r="AS309" s="641">
        <f>III_Model_PT!AS12</f>
        <v/>
      </c>
      <c r="AT309" s="620">
        <f>III_Model_PT!AT12</f>
        <v/>
      </c>
      <c r="AU309" s="620">
        <f>III_Model_PT!AU12</f>
        <v/>
      </c>
      <c r="AV309" s="620">
        <f>III_Model_PT!AV12</f>
        <v/>
      </c>
      <c r="AW309" s="620">
        <f>III_Model_PT!AW12</f>
        <v/>
      </c>
      <c r="AX309" s="488">
        <f>III_Model_PT!AX12</f>
        <v/>
      </c>
      <c r="AY309" s="488">
        <f>III_Model_PT!AY12</f>
        <v/>
      </c>
      <c r="AZ309" s="488">
        <f>III_Model_PT!AZ12</f>
        <v/>
      </c>
      <c r="BA309" s="488">
        <f>III_Model_PT!BA12</f>
        <v/>
      </c>
      <c r="BB309" s="488">
        <f>III_Model_PT!BB12</f>
        <v/>
      </c>
      <c r="BC309" s="488">
        <f>III_Model_PT!BC12</f>
        <v/>
      </c>
      <c r="BD309" s="488">
        <f>III_Model_PT!BD12</f>
        <v/>
      </c>
      <c r="BE309" s="488">
        <f>III_Model_PT!BE12</f>
        <v/>
      </c>
      <c r="BF309" s="488">
        <f>III_Model_PT!BF12</f>
        <v/>
      </c>
      <c r="BG309" s="488">
        <f>III_Model_PT!BG12</f>
        <v/>
      </c>
      <c r="BH309" s="488">
        <f>III_Model_PT!BH12</f>
        <v/>
      </c>
      <c r="BI309" s="488">
        <f>III_Model_PT!BI12</f>
        <v/>
      </c>
      <c r="BJ309">
        <f>O309</f>
        <v/>
      </c>
      <c r="BK309">
        <f>SUM(AG309:AW309)</f>
        <v/>
      </c>
      <c r="BL309" s="531">
        <f>BJ309-BK309</f>
        <v/>
      </c>
      <c r="BM309" s="201" t="n"/>
      <c r="BN309" s="659" t="n"/>
      <c r="BO309" s="659" t="n"/>
      <c r="BP309" s="659" t="n"/>
      <c r="BQ309" s="659" t="n"/>
      <c r="BR309" s="659" t="n"/>
      <c r="BS309" s="659" t="n"/>
      <c r="BT309" s="659" t="n"/>
      <c r="BU309" s="659" t="n"/>
      <c r="BV309" s="659" t="n"/>
      <c r="BW309" s="659" t="n"/>
      <c r="BX309" s="492" t="n"/>
    </row>
    <row r="310" hidden="1" outlineLevel="1" customFormat="1" s="488">
      <c r="A310" s="488">
        <f>III_Model_PT!A13</f>
        <v/>
      </c>
      <c r="B310" s="488">
        <f>III_Model_PT!B13</f>
        <v/>
      </c>
      <c r="C310" s="488">
        <f>III_Model_PT!C13</f>
        <v/>
      </c>
      <c r="D310" s="488">
        <f>III_Model_PT!D13</f>
        <v/>
      </c>
      <c r="E310" s="488">
        <f>III_Model_PT!E13</f>
        <v/>
      </c>
      <c r="F310" s="488">
        <f>III_Model_PT!F13</f>
        <v/>
      </c>
      <c r="G310" s="488">
        <f>III_Model_PT!G13</f>
        <v/>
      </c>
      <c r="H310" s="488">
        <f>III_Model_PT!H13</f>
        <v/>
      </c>
      <c r="I310" s="488">
        <f>III_Model_PT!I13</f>
        <v/>
      </c>
      <c r="J310" s="488">
        <f>III_Model_PT!J13</f>
        <v/>
      </c>
      <c r="K310" s="672">
        <f>III_Model_PT!K13</f>
        <v/>
      </c>
      <c r="L310" s="672">
        <f>III_Model_PT!L13</f>
        <v/>
      </c>
      <c r="M310" s="488">
        <f>III_Model_PT!M13</f>
        <v/>
      </c>
      <c r="N310" s="488">
        <f>III_Model_PT!N13</f>
        <v/>
      </c>
      <c r="O310" s="488">
        <f>III_Model_PT!O13</f>
        <v/>
      </c>
      <c r="P310" s="629">
        <f>III_Model_PT!P13</f>
        <v/>
      </c>
      <c r="Q310" s="629">
        <f>III_Model_PT!Q13</f>
        <v/>
      </c>
      <c r="R310" s="629">
        <f>III_Model_PT!R13</f>
        <v/>
      </c>
      <c r="S310" s="629">
        <f>III_Model_PT!S13</f>
        <v/>
      </c>
      <c r="T310" s="629">
        <f>III_Model_PT!T13</f>
        <v/>
      </c>
      <c r="U310" s="629">
        <f>III_Model_PT!U13</f>
        <v/>
      </c>
      <c r="V310" s="629">
        <f>III_Model_PT!V13</f>
        <v/>
      </c>
      <c r="W310" s="629">
        <f>III_Model_PT!W13</f>
        <v/>
      </c>
      <c r="X310" s="629">
        <f>III_Model_PT!X13</f>
        <v/>
      </c>
      <c r="Y310" s="651">
        <f>III_Model_PT!Y13</f>
        <v/>
      </c>
      <c r="Z310" s="651">
        <f>III_Model_PT!Z13</f>
        <v/>
      </c>
      <c r="AA310" s="651">
        <f>III_Model_PT!AA13</f>
        <v/>
      </c>
      <c r="AB310" s="651">
        <f>III_Model_PT!AB13</f>
        <v/>
      </c>
      <c r="AC310" s="614">
        <f>III_Model_PT!AC13</f>
        <v/>
      </c>
      <c r="AD310" s="614">
        <f>III_Model_PT!AD13</f>
        <v/>
      </c>
      <c r="AE310" s="614">
        <f>III_Model_PT!AE13</f>
        <v/>
      </c>
      <c r="AF310" s="614">
        <f>III_Model_PT!AF13</f>
        <v/>
      </c>
      <c r="AG310" s="635">
        <f>III_Model_PT!AG13</f>
        <v/>
      </c>
      <c r="AH310" s="635">
        <f>III_Model_PT!AH13</f>
        <v/>
      </c>
      <c r="AI310" s="635">
        <f>III_Model_PT!AI13</f>
        <v/>
      </c>
      <c r="AJ310" s="635">
        <f>III_Model_PT!AJ13</f>
        <v/>
      </c>
      <c r="AK310" s="635">
        <f>III_Model_PT!AK13</f>
        <v/>
      </c>
      <c r="AL310" s="635">
        <f>III_Model_PT!AL13</f>
        <v/>
      </c>
      <c r="AM310" s="635">
        <f>III_Model_PT!AM13</f>
        <v/>
      </c>
      <c r="AN310" s="635">
        <f>III_Model_PT!AN13</f>
        <v/>
      </c>
      <c r="AO310" s="635">
        <f>III_Model_PT!AO13</f>
        <v/>
      </c>
      <c r="AP310" s="641">
        <f>III_Model_PT!AP13</f>
        <v/>
      </c>
      <c r="AQ310" s="641">
        <f>III_Model_PT!AQ13</f>
        <v/>
      </c>
      <c r="AR310" s="641">
        <f>III_Model_PT!AR13</f>
        <v/>
      </c>
      <c r="AS310" s="641">
        <f>III_Model_PT!AS13</f>
        <v/>
      </c>
      <c r="AT310" s="620">
        <f>III_Model_PT!AT13</f>
        <v/>
      </c>
      <c r="AU310" s="620">
        <f>III_Model_PT!AU13</f>
        <v/>
      </c>
      <c r="AV310" s="620">
        <f>III_Model_PT!AV13</f>
        <v/>
      </c>
      <c r="AW310" s="620">
        <f>III_Model_PT!AW13</f>
        <v/>
      </c>
      <c r="AX310" s="488">
        <f>III_Model_PT!AX13</f>
        <v/>
      </c>
      <c r="AY310" s="488">
        <f>III_Model_PT!AY13</f>
        <v/>
      </c>
      <c r="AZ310" s="488">
        <f>III_Model_PT!AZ13</f>
        <v/>
      </c>
      <c r="BA310" s="488">
        <f>III_Model_PT!BA13</f>
        <v/>
      </c>
      <c r="BB310" s="488">
        <f>III_Model_PT!BB13</f>
        <v/>
      </c>
      <c r="BC310" s="488">
        <f>III_Model_PT!BC13</f>
        <v/>
      </c>
      <c r="BD310" s="488">
        <f>III_Model_PT!BD13</f>
        <v/>
      </c>
      <c r="BE310" s="488">
        <f>III_Model_PT!BE13</f>
        <v/>
      </c>
      <c r="BF310" s="488">
        <f>III_Model_PT!BF13</f>
        <v/>
      </c>
      <c r="BG310" s="488">
        <f>III_Model_PT!BG13</f>
        <v/>
      </c>
      <c r="BH310" s="488">
        <f>III_Model_PT!BH13</f>
        <v/>
      </c>
      <c r="BI310" s="488">
        <f>III_Model_PT!BI13</f>
        <v/>
      </c>
      <c r="BJ310">
        <f>O310</f>
        <v/>
      </c>
      <c r="BK310">
        <f>SUM(AG310:AW310)</f>
        <v/>
      </c>
      <c r="BL310" s="531">
        <f>BJ310-BK310</f>
        <v/>
      </c>
      <c r="BM310" s="201" t="n"/>
      <c r="BN310" s="659" t="n"/>
      <c r="BO310" s="659" t="n"/>
      <c r="BP310" s="659" t="n"/>
      <c r="BQ310" s="659" t="n"/>
      <c r="BR310" s="659" t="n"/>
      <c r="BS310" s="659" t="n"/>
      <c r="BT310" s="659" t="n"/>
      <c r="BU310" s="659" t="n"/>
      <c r="BV310" s="659" t="n"/>
      <c r="BW310" s="659" t="n"/>
    </row>
    <row r="311" hidden="1" outlineLevel="1" customFormat="1" s="488">
      <c r="A311" s="488">
        <f>III_Model_PT!A14</f>
        <v/>
      </c>
      <c r="B311" s="488">
        <f>III_Model_PT!B14</f>
        <v/>
      </c>
      <c r="C311" s="488">
        <f>III_Model_PT!C14</f>
        <v/>
      </c>
      <c r="D311" s="488">
        <f>III_Model_PT!D14</f>
        <v/>
      </c>
      <c r="E311" s="488">
        <f>III_Model_PT!E14</f>
        <v/>
      </c>
      <c r="F311" s="488">
        <f>III_Model_PT!F14</f>
        <v/>
      </c>
      <c r="G311" s="488">
        <f>III_Model_PT!G14</f>
        <v/>
      </c>
      <c r="H311" s="488">
        <f>III_Model_PT!H14</f>
        <v/>
      </c>
      <c r="I311" s="488">
        <f>III_Model_PT!I14</f>
        <v/>
      </c>
      <c r="J311" s="488">
        <f>III_Model_PT!J14</f>
        <v/>
      </c>
      <c r="K311" s="672">
        <f>III_Model_PT!K14</f>
        <v/>
      </c>
      <c r="L311" s="672">
        <f>III_Model_PT!L14</f>
        <v/>
      </c>
      <c r="M311" s="488">
        <f>III_Model_PT!M14</f>
        <v/>
      </c>
      <c r="N311" s="488">
        <f>III_Model_PT!N14</f>
        <v/>
      </c>
      <c r="O311" s="488">
        <f>III_Model_PT!O14</f>
        <v/>
      </c>
      <c r="P311" s="629">
        <f>III_Model_PT!P14</f>
        <v/>
      </c>
      <c r="Q311" s="629">
        <f>III_Model_PT!Q14</f>
        <v/>
      </c>
      <c r="R311" s="629">
        <f>III_Model_PT!R14</f>
        <v/>
      </c>
      <c r="S311" s="629">
        <f>III_Model_PT!S14</f>
        <v/>
      </c>
      <c r="T311" s="629">
        <f>III_Model_PT!T14</f>
        <v/>
      </c>
      <c r="U311" s="629">
        <f>III_Model_PT!U14</f>
        <v/>
      </c>
      <c r="V311" s="629">
        <f>III_Model_PT!V14</f>
        <v/>
      </c>
      <c r="W311" s="629">
        <f>III_Model_PT!W14</f>
        <v/>
      </c>
      <c r="X311" s="629">
        <f>III_Model_PT!X14</f>
        <v/>
      </c>
      <c r="Y311" s="651">
        <f>III_Model_PT!Y14</f>
        <v/>
      </c>
      <c r="Z311" s="651">
        <f>III_Model_PT!Z14</f>
        <v/>
      </c>
      <c r="AA311" s="651">
        <f>III_Model_PT!AA14</f>
        <v/>
      </c>
      <c r="AB311" s="651">
        <f>III_Model_PT!AB14</f>
        <v/>
      </c>
      <c r="AC311" s="614">
        <f>III_Model_PT!AC14</f>
        <v/>
      </c>
      <c r="AD311" s="614">
        <f>III_Model_PT!AD14</f>
        <v/>
      </c>
      <c r="AE311" s="614">
        <f>III_Model_PT!AE14</f>
        <v/>
      </c>
      <c r="AF311" s="614">
        <f>III_Model_PT!AF14</f>
        <v/>
      </c>
      <c r="AG311" s="635">
        <f>III_Model_PT!AG14</f>
        <v/>
      </c>
      <c r="AH311" s="635">
        <f>III_Model_PT!AH14</f>
        <v/>
      </c>
      <c r="AI311" s="635">
        <f>III_Model_PT!AI14</f>
        <v/>
      </c>
      <c r="AJ311" s="635">
        <f>III_Model_PT!AJ14</f>
        <v/>
      </c>
      <c r="AK311" s="635">
        <f>III_Model_PT!AK14</f>
        <v/>
      </c>
      <c r="AL311" s="635">
        <f>III_Model_PT!AL14</f>
        <v/>
      </c>
      <c r="AM311" s="635">
        <f>III_Model_PT!AM14</f>
        <v/>
      </c>
      <c r="AN311" s="635">
        <f>III_Model_PT!AN14</f>
        <v/>
      </c>
      <c r="AO311" s="635">
        <f>III_Model_PT!AO14</f>
        <v/>
      </c>
      <c r="AP311" s="641">
        <f>III_Model_PT!AP14</f>
        <v/>
      </c>
      <c r="AQ311" s="641">
        <f>III_Model_PT!AQ14</f>
        <v/>
      </c>
      <c r="AR311" s="641">
        <f>III_Model_PT!AR14</f>
        <v/>
      </c>
      <c r="AS311" s="641">
        <f>III_Model_PT!AS14</f>
        <v/>
      </c>
      <c r="AT311" s="620">
        <f>III_Model_PT!AT14</f>
        <v/>
      </c>
      <c r="AU311" s="620">
        <f>III_Model_PT!AU14</f>
        <v/>
      </c>
      <c r="AV311" s="620">
        <f>III_Model_PT!AV14</f>
        <v/>
      </c>
      <c r="AW311" s="620">
        <f>III_Model_PT!AW14</f>
        <v/>
      </c>
      <c r="AX311" s="488">
        <f>III_Model_PT!AX14</f>
        <v/>
      </c>
      <c r="AY311" s="488">
        <f>III_Model_PT!AY14</f>
        <v/>
      </c>
      <c r="AZ311" s="488">
        <f>III_Model_PT!AZ14</f>
        <v/>
      </c>
      <c r="BA311" s="488">
        <f>III_Model_PT!BA14</f>
        <v/>
      </c>
      <c r="BB311" s="488">
        <f>III_Model_PT!BB14</f>
        <v/>
      </c>
      <c r="BC311" s="488">
        <f>III_Model_PT!BC14</f>
        <v/>
      </c>
      <c r="BD311" s="488">
        <f>III_Model_PT!BD14</f>
        <v/>
      </c>
      <c r="BE311" s="488">
        <f>III_Model_PT!BE14</f>
        <v/>
      </c>
      <c r="BF311" s="488">
        <f>III_Model_PT!BF14</f>
        <v/>
      </c>
      <c r="BG311" s="488">
        <f>III_Model_PT!BG14</f>
        <v/>
      </c>
      <c r="BH311" s="488">
        <f>III_Model_PT!BH14</f>
        <v/>
      </c>
      <c r="BI311" s="488">
        <f>III_Model_PT!BI14</f>
        <v/>
      </c>
      <c r="BJ311">
        <f>O311</f>
        <v/>
      </c>
      <c r="BK311">
        <f>SUM(AG311:AW311)</f>
        <v/>
      </c>
      <c r="BL311" s="531">
        <f>BJ311-BK311</f>
        <v/>
      </c>
      <c r="BM311" s="201" t="n"/>
      <c r="BN311" s="659" t="n"/>
      <c r="BO311" s="659" t="n"/>
      <c r="BP311" s="659" t="n"/>
      <c r="BQ311" s="659" t="n"/>
      <c r="BR311" s="659" t="n"/>
      <c r="BS311" s="659" t="n"/>
      <c r="BT311" s="659" t="n"/>
      <c r="BU311" s="659" t="n"/>
      <c r="BV311" s="659" t="n"/>
      <c r="BW311" s="659" t="n"/>
    </row>
    <row r="312" hidden="1" outlineLevel="1" customFormat="1" s="488">
      <c r="A312" s="488">
        <f>III_Model_PT!A15</f>
        <v/>
      </c>
      <c r="B312" s="488">
        <f>III_Model_PT!B15</f>
        <v/>
      </c>
      <c r="C312" s="488">
        <f>III_Model_PT!C15</f>
        <v/>
      </c>
      <c r="D312" s="488">
        <f>III_Model_PT!D15</f>
        <v/>
      </c>
      <c r="E312" s="488">
        <f>III_Model_PT!E15</f>
        <v/>
      </c>
      <c r="F312" s="488">
        <f>III_Model_PT!F15</f>
        <v/>
      </c>
      <c r="G312" s="488">
        <f>III_Model_PT!G15</f>
        <v/>
      </c>
      <c r="H312" s="488">
        <f>III_Model_PT!H15</f>
        <v/>
      </c>
      <c r="I312" s="488">
        <f>III_Model_PT!I15</f>
        <v/>
      </c>
      <c r="J312" s="488">
        <f>III_Model_PT!J15</f>
        <v/>
      </c>
      <c r="K312" s="672">
        <f>III_Model_PT!K15</f>
        <v/>
      </c>
      <c r="L312" s="672">
        <f>III_Model_PT!L15</f>
        <v/>
      </c>
      <c r="M312" s="488">
        <f>III_Model_PT!M15</f>
        <v/>
      </c>
      <c r="N312" s="488">
        <f>III_Model_PT!N15</f>
        <v/>
      </c>
      <c r="O312" s="488">
        <f>III_Model_PT!O15</f>
        <v/>
      </c>
      <c r="P312" s="629">
        <f>III_Model_PT!P15</f>
        <v/>
      </c>
      <c r="Q312" s="629">
        <f>III_Model_PT!Q15</f>
        <v/>
      </c>
      <c r="R312" s="629">
        <f>III_Model_PT!R15</f>
        <v/>
      </c>
      <c r="S312" s="629">
        <f>III_Model_PT!S15</f>
        <v/>
      </c>
      <c r="T312" s="629">
        <f>III_Model_PT!T15</f>
        <v/>
      </c>
      <c r="U312" s="629">
        <f>III_Model_PT!U15</f>
        <v/>
      </c>
      <c r="V312" s="629">
        <f>III_Model_PT!V15</f>
        <v/>
      </c>
      <c r="W312" s="629">
        <f>III_Model_PT!W15</f>
        <v/>
      </c>
      <c r="X312" s="629">
        <f>III_Model_PT!X15</f>
        <v/>
      </c>
      <c r="Y312" s="651">
        <f>III_Model_PT!Y15</f>
        <v/>
      </c>
      <c r="Z312" s="651">
        <f>III_Model_PT!Z15</f>
        <v/>
      </c>
      <c r="AA312" s="651">
        <f>III_Model_PT!AA15</f>
        <v/>
      </c>
      <c r="AB312" s="651">
        <f>III_Model_PT!AB15</f>
        <v/>
      </c>
      <c r="AC312" s="614">
        <f>III_Model_PT!AC15</f>
        <v/>
      </c>
      <c r="AD312" s="614">
        <f>III_Model_PT!AD15</f>
        <v/>
      </c>
      <c r="AE312" s="614">
        <f>III_Model_PT!AE15</f>
        <v/>
      </c>
      <c r="AF312" s="614">
        <f>III_Model_PT!AF15</f>
        <v/>
      </c>
      <c r="AG312" s="635">
        <f>III_Model_PT!AG15</f>
        <v/>
      </c>
      <c r="AH312" s="635">
        <f>III_Model_PT!AH15</f>
        <v/>
      </c>
      <c r="AI312" s="635">
        <f>III_Model_PT!AI15</f>
        <v/>
      </c>
      <c r="AJ312" s="635">
        <f>III_Model_PT!AJ15</f>
        <v/>
      </c>
      <c r="AK312" s="635">
        <f>III_Model_PT!AK15</f>
        <v/>
      </c>
      <c r="AL312" s="635">
        <f>III_Model_PT!AL15</f>
        <v/>
      </c>
      <c r="AM312" s="635">
        <f>III_Model_PT!AM15</f>
        <v/>
      </c>
      <c r="AN312" s="635">
        <f>III_Model_PT!AN15</f>
        <v/>
      </c>
      <c r="AO312" s="635">
        <f>III_Model_PT!AO15</f>
        <v/>
      </c>
      <c r="AP312" s="641">
        <f>III_Model_PT!AP15</f>
        <v/>
      </c>
      <c r="AQ312" s="641">
        <f>III_Model_PT!AQ15</f>
        <v/>
      </c>
      <c r="AR312" s="641">
        <f>III_Model_PT!AR15</f>
        <v/>
      </c>
      <c r="AS312" s="641">
        <f>III_Model_PT!AS15</f>
        <v/>
      </c>
      <c r="AT312" s="620">
        <f>III_Model_PT!AT15</f>
        <v/>
      </c>
      <c r="AU312" s="620">
        <f>III_Model_PT!AU15</f>
        <v/>
      </c>
      <c r="AV312" s="620">
        <f>III_Model_PT!AV15</f>
        <v/>
      </c>
      <c r="AW312" s="620">
        <f>III_Model_PT!AW15</f>
        <v/>
      </c>
      <c r="AX312" s="488">
        <f>III_Model_PT!AX15</f>
        <v/>
      </c>
      <c r="AY312" s="488">
        <f>III_Model_PT!AY15</f>
        <v/>
      </c>
      <c r="AZ312" s="488">
        <f>III_Model_PT!AZ15</f>
        <v/>
      </c>
      <c r="BA312" s="488">
        <f>III_Model_PT!BA15</f>
        <v/>
      </c>
      <c r="BB312" s="488">
        <f>III_Model_PT!BB15</f>
        <v/>
      </c>
      <c r="BC312" s="488">
        <f>III_Model_PT!BC15</f>
        <v/>
      </c>
      <c r="BD312" s="488">
        <f>III_Model_PT!BD15</f>
        <v/>
      </c>
      <c r="BE312" s="488">
        <f>III_Model_PT!BE15</f>
        <v/>
      </c>
      <c r="BF312" s="488">
        <f>III_Model_PT!BF15</f>
        <v/>
      </c>
      <c r="BG312" s="488">
        <f>III_Model_PT!BG15</f>
        <v/>
      </c>
      <c r="BH312" s="488">
        <f>III_Model_PT!BH15</f>
        <v/>
      </c>
      <c r="BI312" s="488">
        <f>III_Model_PT!BI15</f>
        <v/>
      </c>
      <c r="BJ312">
        <f>O312</f>
        <v/>
      </c>
      <c r="BK312">
        <f>SUM(AG312:AW312)</f>
        <v/>
      </c>
      <c r="BL312" s="531">
        <f>BJ312-BK312</f>
        <v/>
      </c>
      <c r="BM312" s="201" t="n"/>
      <c r="BN312" s="659" t="n"/>
      <c r="BO312" s="659" t="n"/>
      <c r="BP312" s="659" t="n"/>
      <c r="BQ312" s="659" t="n"/>
      <c r="BR312" s="659" t="n"/>
      <c r="BS312" s="659" t="n"/>
      <c r="BT312" s="659" t="n"/>
      <c r="BU312" s="659" t="n"/>
      <c r="BV312" s="659" t="n"/>
      <c r="BW312" s="659" t="n"/>
    </row>
    <row r="313" hidden="1" outlineLevel="1" customFormat="1" s="488">
      <c r="A313" s="488">
        <f>III_Model_PT!A16</f>
        <v/>
      </c>
      <c r="B313" s="488">
        <f>III_Model_PT!B16</f>
        <v/>
      </c>
      <c r="C313" s="488">
        <f>III_Model_PT!C16</f>
        <v/>
      </c>
      <c r="D313" s="488">
        <f>III_Model_PT!D16</f>
        <v/>
      </c>
      <c r="E313" s="488">
        <f>III_Model_PT!E16</f>
        <v/>
      </c>
      <c r="F313" s="488">
        <f>III_Model_PT!F16</f>
        <v/>
      </c>
      <c r="G313" s="488">
        <f>III_Model_PT!G16</f>
        <v/>
      </c>
      <c r="H313" s="488">
        <f>III_Model_PT!H16</f>
        <v/>
      </c>
      <c r="I313" s="488">
        <f>III_Model_PT!I16</f>
        <v/>
      </c>
      <c r="J313" s="488">
        <f>III_Model_PT!J16</f>
        <v/>
      </c>
      <c r="K313" s="672">
        <f>III_Model_PT!K16</f>
        <v/>
      </c>
      <c r="L313" s="672">
        <f>III_Model_PT!L16</f>
        <v/>
      </c>
      <c r="M313" s="488">
        <f>III_Model_PT!M16</f>
        <v/>
      </c>
      <c r="N313" s="488">
        <f>III_Model_PT!N16</f>
        <v/>
      </c>
      <c r="O313" s="488">
        <f>III_Model_PT!O16</f>
        <v/>
      </c>
      <c r="P313" s="629">
        <f>III_Model_PT!P16</f>
        <v/>
      </c>
      <c r="Q313" s="629">
        <f>III_Model_PT!Q16</f>
        <v/>
      </c>
      <c r="R313" s="629">
        <f>III_Model_PT!R16</f>
        <v/>
      </c>
      <c r="S313" s="629">
        <f>III_Model_PT!S16</f>
        <v/>
      </c>
      <c r="T313" s="629">
        <f>III_Model_PT!T16</f>
        <v/>
      </c>
      <c r="U313" s="629">
        <f>III_Model_PT!U16</f>
        <v/>
      </c>
      <c r="V313" s="629">
        <f>III_Model_PT!V16</f>
        <v/>
      </c>
      <c r="W313" s="629">
        <f>III_Model_PT!W16</f>
        <v/>
      </c>
      <c r="X313" s="629">
        <f>III_Model_PT!X16</f>
        <v/>
      </c>
      <c r="Y313" s="651">
        <f>III_Model_PT!Y16</f>
        <v/>
      </c>
      <c r="Z313" s="651">
        <f>III_Model_PT!Z16</f>
        <v/>
      </c>
      <c r="AA313" s="651">
        <f>III_Model_PT!AA16</f>
        <v/>
      </c>
      <c r="AB313" s="651">
        <f>III_Model_PT!AB16</f>
        <v/>
      </c>
      <c r="AC313" s="614">
        <f>III_Model_PT!AC16</f>
        <v/>
      </c>
      <c r="AD313" s="614">
        <f>III_Model_PT!AD16</f>
        <v/>
      </c>
      <c r="AE313" s="614">
        <f>III_Model_PT!AE16</f>
        <v/>
      </c>
      <c r="AF313" s="614">
        <f>III_Model_PT!AF16</f>
        <v/>
      </c>
      <c r="AG313" s="635">
        <f>III_Model_PT!AG16</f>
        <v/>
      </c>
      <c r="AH313" s="635">
        <f>III_Model_PT!AH16</f>
        <v/>
      </c>
      <c r="AI313" s="635">
        <f>III_Model_PT!AI16</f>
        <v/>
      </c>
      <c r="AJ313" s="635">
        <f>III_Model_PT!AJ16</f>
        <v/>
      </c>
      <c r="AK313" s="635">
        <f>III_Model_PT!AK16</f>
        <v/>
      </c>
      <c r="AL313" s="635">
        <f>III_Model_PT!AL16</f>
        <v/>
      </c>
      <c r="AM313" s="635">
        <f>III_Model_PT!AM16</f>
        <v/>
      </c>
      <c r="AN313" s="635">
        <f>III_Model_PT!AN16</f>
        <v/>
      </c>
      <c r="AO313" s="635">
        <f>III_Model_PT!AO16</f>
        <v/>
      </c>
      <c r="AP313" s="641">
        <f>III_Model_PT!AP16</f>
        <v/>
      </c>
      <c r="AQ313" s="641">
        <f>III_Model_PT!AQ16</f>
        <v/>
      </c>
      <c r="AR313" s="641">
        <f>III_Model_PT!AR16</f>
        <v/>
      </c>
      <c r="AS313" s="641">
        <f>III_Model_PT!AS16</f>
        <v/>
      </c>
      <c r="AT313" s="620">
        <f>III_Model_PT!AT16</f>
        <v/>
      </c>
      <c r="AU313" s="620">
        <f>III_Model_PT!AU16</f>
        <v/>
      </c>
      <c r="AV313" s="620">
        <f>III_Model_PT!AV16</f>
        <v/>
      </c>
      <c r="AW313" s="620">
        <f>III_Model_PT!AW16</f>
        <v/>
      </c>
      <c r="AX313" s="488">
        <f>III_Model_PT!AX16</f>
        <v/>
      </c>
      <c r="AY313" s="488">
        <f>III_Model_PT!AY16</f>
        <v/>
      </c>
      <c r="AZ313" s="488">
        <f>III_Model_PT!AZ16</f>
        <v/>
      </c>
      <c r="BA313" s="488">
        <f>III_Model_PT!BA16</f>
        <v/>
      </c>
      <c r="BB313" s="488">
        <f>III_Model_PT!BB16</f>
        <v/>
      </c>
      <c r="BC313" s="488">
        <f>III_Model_PT!BC16</f>
        <v/>
      </c>
      <c r="BD313" s="488">
        <f>III_Model_PT!BD16</f>
        <v/>
      </c>
      <c r="BE313" s="488">
        <f>III_Model_PT!BE16</f>
        <v/>
      </c>
      <c r="BF313" s="488">
        <f>III_Model_PT!BF16</f>
        <v/>
      </c>
      <c r="BG313" s="488">
        <f>III_Model_PT!BG16</f>
        <v/>
      </c>
      <c r="BH313" s="488">
        <f>III_Model_PT!BH16</f>
        <v/>
      </c>
      <c r="BI313" s="488">
        <f>III_Model_PT!BI16</f>
        <v/>
      </c>
      <c r="BJ313">
        <f>O313</f>
        <v/>
      </c>
      <c r="BK313">
        <f>SUM(AG313:AW313)</f>
        <v/>
      </c>
      <c r="BL313" s="531">
        <f>BJ313-BK313</f>
        <v/>
      </c>
      <c r="BM313" s="201" t="n"/>
      <c r="BN313" s="659" t="n"/>
      <c r="BO313" s="659" t="n"/>
      <c r="BP313" s="659" t="n"/>
      <c r="BQ313" s="659" t="n"/>
      <c r="BR313" s="659" t="n"/>
      <c r="BS313" s="659" t="n"/>
      <c r="BT313" s="659" t="n"/>
      <c r="BU313" s="659" t="n"/>
      <c r="BV313" s="659" t="n"/>
      <c r="BW313" s="659" t="n"/>
    </row>
    <row r="314" hidden="1" outlineLevel="1" customFormat="1" s="488">
      <c r="A314" s="488">
        <f>III_Model_PT!A17</f>
        <v/>
      </c>
      <c r="B314" s="488">
        <f>III_Model_PT!B17</f>
        <v/>
      </c>
      <c r="C314" s="488">
        <f>III_Model_PT!C17</f>
        <v/>
      </c>
      <c r="D314" s="488">
        <f>III_Model_PT!D17</f>
        <v/>
      </c>
      <c r="E314" s="488">
        <f>III_Model_PT!E17</f>
        <v/>
      </c>
      <c r="F314" s="488">
        <f>III_Model_PT!F17</f>
        <v/>
      </c>
      <c r="G314" s="488">
        <f>III_Model_PT!G17</f>
        <v/>
      </c>
      <c r="H314" s="488">
        <f>III_Model_PT!H17</f>
        <v/>
      </c>
      <c r="I314" s="488">
        <f>III_Model_PT!I17</f>
        <v/>
      </c>
      <c r="J314" s="488">
        <f>III_Model_PT!J17</f>
        <v/>
      </c>
      <c r="K314" s="672">
        <f>III_Model_PT!K17</f>
        <v/>
      </c>
      <c r="L314" s="672">
        <f>III_Model_PT!L17</f>
        <v/>
      </c>
      <c r="M314" s="488">
        <f>III_Model_PT!M17</f>
        <v/>
      </c>
      <c r="N314" s="488">
        <f>III_Model_PT!N17</f>
        <v/>
      </c>
      <c r="O314" s="488">
        <f>III_Model_PT!O17</f>
        <v/>
      </c>
      <c r="P314" s="629">
        <f>III_Model_PT!P17</f>
        <v/>
      </c>
      <c r="Q314" s="629">
        <f>III_Model_PT!Q17</f>
        <v/>
      </c>
      <c r="R314" s="629">
        <f>III_Model_PT!R17</f>
        <v/>
      </c>
      <c r="S314" s="629">
        <f>III_Model_PT!S17</f>
        <v/>
      </c>
      <c r="T314" s="629">
        <f>III_Model_PT!T17</f>
        <v/>
      </c>
      <c r="U314" s="629">
        <f>III_Model_PT!U17</f>
        <v/>
      </c>
      <c r="V314" s="629">
        <f>III_Model_PT!V17</f>
        <v/>
      </c>
      <c r="W314" s="629">
        <f>III_Model_PT!W17</f>
        <v/>
      </c>
      <c r="X314" s="629">
        <f>III_Model_PT!X17</f>
        <v/>
      </c>
      <c r="Y314" s="651">
        <f>III_Model_PT!Y17</f>
        <v/>
      </c>
      <c r="Z314" s="651">
        <f>III_Model_PT!Z17</f>
        <v/>
      </c>
      <c r="AA314" s="651">
        <f>III_Model_PT!AA17</f>
        <v/>
      </c>
      <c r="AB314" s="651">
        <f>III_Model_PT!AB17</f>
        <v/>
      </c>
      <c r="AC314" s="614">
        <f>III_Model_PT!AC17</f>
        <v/>
      </c>
      <c r="AD314" s="614">
        <f>III_Model_PT!AD17</f>
        <v/>
      </c>
      <c r="AE314" s="614">
        <f>III_Model_PT!AE17</f>
        <v/>
      </c>
      <c r="AF314" s="614">
        <f>III_Model_PT!AF17</f>
        <v/>
      </c>
      <c r="AG314" s="635">
        <f>III_Model_PT!AG17</f>
        <v/>
      </c>
      <c r="AH314" s="635">
        <f>III_Model_PT!AH17</f>
        <v/>
      </c>
      <c r="AI314" s="635">
        <f>III_Model_PT!AI17</f>
        <v/>
      </c>
      <c r="AJ314" s="635">
        <f>III_Model_PT!AJ17</f>
        <v/>
      </c>
      <c r="AK314" s="635">
        <f>III_Model_PT!AK17</f>
        <v/>
      </c>
      <c r="AL314" s="635">
        <f>III_Model_PT!AL17</f>
        <v/>
      </c>
      <c r="AM314" s="635">
        <f>III_Model_PT!AM17</f>
        <v/>
      </c>
      <c r="AN314" s="635">
        <f>III_Model_PT!AN17</f>
        <v/>
      </c>
      <c r="AO314" s="635">
        <f>III_Model_PT!AO17</f>
        <v/>
      </c>
      <c r="AP314" s="641">
        <f>III_Model_PT!AP17</f>
        <v/>
      </c>
      <c r="AQ314" s="641">
        <f>III_Model_PT!AQ17</f>
        <v/>
      </c>
      <c r="AR314" s="641">
        <f>III_Model_PT!AR17</f>
        <v/>
      </c>
      <c r="AS314" s="641">
        <f>III_Model_PT!AS17</f>
        <v/>
      </c>
      <c r="AT314" s="620">
        <f>III_Model_PT!AT17</f>
        <v/>
      </c>
      <c r="AU314" s="620">
        <f>III_Model_PT!AU17</f>
        <v/>
      </c>
      <c r="AV314" s="620">
        <f>III_Model_PT!AV17</f>
        <v/>
      </c>
      <c r="AW314" s="620">
        <f>III_Model_PT!AW17</f>
        <v/>
      </c>
      <c r="AX314" s="488">
        <f>III_Model_PT!AX17</f>
        <v/>
      </c>
      <c r="AY314" s="488">
        <f>III_Model_PT!AY17</f>
        <v/>
      </c>
      <c r="AZ314" s="488">
        <f>III_Model_PT!AZ17</f>
        <v/>
      </c>
      <c r="BA314" s="488">
        <f>III_Model_PT!BA17</f>
        <v/>
      </c>
      <c r="BB314" s="488">
        <f>III_Model_PT!BB17</f>
        <v/>
      </c>
      <c r="BC314" s="488">
        <f>III_Model_PT!BC17</f>
        <v/>
      </c>
      <c r="BD314" s="488">
        <f>III_Model_PT!BD17</f>
        <v/>
      </c>
      <c r="BE314" s="488">
        <f>III_Model_PT!BE17</f>
        <v/>
      </c>
      <c r="BF314" s="488">
        <f>III_Model_PT!BF17</f>
        <v/>
      </c>
      <c r="BG314" s="488">
        <f>III_Model_PT!BG17</f>
        <v/>
      </c>
      <c r="BH314" s="488">
        <f>III_Model_PT!BH17</f>
        <v/>
      </c>
      <c r="BI314" s="488">
        <f>III_Model_PT!BI17</f>
        <v/>
      </c>
      <c r="BJ314">
        <f>O314</f>
        <v/>
      </c>
      <c r="BK314">
        <f>SUM(AG314:AW314)</f>
        <v/>
      </c>
      <c r="BL314" s="531">
        <f>BJ314-BK314</f>
        <v/>
      </c>
      <c r="BM314" s="201" t="n"/>
      <c r="BN314" s="659" t="n"/>
      <c r="BO314" s="659" t="n"/>
      <c r="BP314" s="659" t="n"/>
      <c r="BQ314" s="659" t="n"/>
      <c r="BR314" s="659" t="n"/>
      <c r="BS314" s="659" t="n"/>
      <c r="BT314" s="659" t="n"/>
      <c r="BU314" s="659" t="n"/>
      <c r="BV314" s="659" t="n"/>
      <c r="BW314" s="659" t="n"/>
    </row>
    <row r="315" hidden="1" outlineLevel="1" customFormat="1" s="488">
      <c r="A315" s="488">
        <f>III_Model_PT!A18</f>
        <v/>
      </c>
      <c r="B315" s="488">
        <f>III_Model_PT!B18</f>
        <v/>
      </c>
      <c r="C315" s="488">
        <f>III_Model_PT!C18</f>
        <v/>
      </c>
      <c r="D315" s="488">
        <f>III_Model_PT!D18</f>
        <v/>
      </c>
      <c r="E315" s="488">
        <f>III_Model_PT!E18</f>
        <v/>
      </c>
      <c r="F315" s="488">
        <f>III_Model_PT!F18</f>
        <v/>
      </c>
      <c r="G315" s="488">
        <f>III_Model_PT!G18</f>
        <v/>
      </c>
      <c r="H315" s="488">
        <f>III_Model_PT!H18</f>
        <v/>
      </c>
      <c r="I315" s="488">
        <f>III_Model_PT!I18</f>
        <v/>
      </c>
      <c r="J315" s="488">
        <f>III_Model_PT!J18</f>
        <v/>
      </c>
      <c r="K315" s="672">
        <f>III_Model_PT!K18</f>
        <v/>
      </c>
      <c r="L315" s="672">
        <f>III_Model_PT!L18</f>
        <v/>
      </c>
      <c r="M315" s="488">
        <f>III_Model_PT!M18</f>
        <v/>
      </c>
      <c r="N315" s="488">
        <f>III_Model_PT!N18</f>
        <v/>
      </c>
      <c r="O315" s="488">
        <f>III_Model_PT!O18</f>
        <v/>
      </c>
      <c r="P315" s="629">
        <f>III_Model_PT!P18</f>
        <v/>
      </c>
      <c r="Q315" s="629">
        <f>III_Model_PT!Q18</f>
        <v/>
      </c>
      <c r="R315" s="629">
        <f>III_Model_PT!R18</f>
        <v/>
      </c>
      <c r="S315" s="629">
        <f>III_Model_PT!S18</f>
        <v/>
      </c>
      <c r="T315" s="629">
        <f>III_Model_PT!T18</f>
        <v/>
      </c>
      <c r="U315" s="629">
        <f>III_Model_PT!U18</f>
        <v/>
      </c>
      <c r="V315" s="629">
        <f>III_Model_PT!V18</f>
        <v/>
      </c>
      <c r="W315" s="629">
        <f>III_Model_PT!W18</f>
        <v/>
      </c>
      <c r="X315" s="629">
        <f>III_Model_PT!X18</f>
        <v/>
      </c>
      <c r="Y315" s="651">
        <f>III_Model_PT!Y18</f>
        <v/>
      </c>
      <c r="Z315" s="651">
        <f>III_Model_PT!Z18</f>
        <v/>
      </c>
      <c r="AA315" s="651">
        <f>III_Model_PT!AA18</f>
        <v/>
      </c>
      <c r="AB315" s="651">
        <f>III_Model_PT!AB18</f>
        <v/>
      </c>
      <c r="AC315" s="614">
        <f>III_Model_PT!AC18</f>
        <v/>
      </c>
      <c r="AD315" s="614">
        <f>III_Model_PT!AD18</f>
        <v/>
      </c>
      <c r="AE315" s="614">
        <f>III_Model_PT!AE18</f>
        <v/>
      </c>
      <c r="AF315" s="614">
        <f>III_Model_PT!AF18</f>
        <v/>
      </c>
      <c r="AG315" s="635">
        <f>III_Model_PT!AG18</f>
        <v/>
      </c>
      <c r="AH315" s="635">
        <f>III_Model_PT!AH18</f>
        <v/>
      </c>
      <c r="AI315" s="635">
        <f>III_Model_PT!AI18</f>
        <v/>
      </c>
      <c r="AJ315" s="635">
        <f>III_Model_PT!AJ18</f>
        <v/>
      </c>
      <c r="AK315" s="635">
        <f>III_Model_PT!AK18</f>
        <v/>
      </c>
      <c r="AL315" s="635">
        <f>III_Model_PT!AL18</f>
        <v/>
      </c>
      <c r="AM315" s="635">
        <f>III_Model_PT!AM18</f>
        <v/>
      </c>
      <c r="AN315" s="635">
        <f>III_Model_PT!AN18</f>
        <v/>
      </c>
      <c r="AO315" s="635">
        <f>III_Model_PT!AO18</f>
        <v/>
      </c>
      <c r="AP315" s="641">
        <f>III_Model_PT!AP18</f>
        <v/>
      </c>
      <c r="AQ315" s="641">
        <f>III_Model_PT!AQ18</f>
        <v/>
      </c>
      <c r="AR315" s="641">
        <f>III_Model_PT!AR18</f>
        <v/>
      </c>
      <c r="AS315" s="641">
        <f>III_Model_PT!AS18</f>
        <v/>
      </c>
      <c r="AT315" s="620">
        <f>III_Model_PT!AT18</f>
        <v/>
      </c>
      <c r="AU315" s="620">
        <f>III_Model_PT!AU18</f>
        <v/>
      </c>
      <c r="AV315" s="620">
        <f>III_Model_PT!AV18</f>
        <v/>
      </c>
      <c r="AW315" s="620">
        <f>III_Model_PT!AW18</f>
        <v/>
      </c>
      <c r="AX315" s="488">
        <f>III_Model_PT!AX18</f>
        <v/>
      </c>
      <c r="AY315" s="488">
        <f>III_Model_PT!AY18</f>
        <v/>
      </c>
      <c r="AZ315" s="488">
        <f>III_Model_PT!AZ18</f>
        <v/>
      </c>
      <c r="BA315" s="488">
        <f>III_Model_PT!BA18</f>
        <v/>
      </c>
      <c r="BB315" s="488">
        <f>III_Model_PT!BB18</f>
        <v/>
      </c>
      <c r="BC315" s="488">
        <f>III_Model_PT!BC18</f>
        <v/>
      </c>
      <c r="BD315" s="488">
        <f>III_Model_PT!BD18</f>
        <v/>
      </c>
      <c r="BE315" s="488">
        <f>III_Model_PT!BE18</f>
        <v/>
      </c>
      <c r="BF315" s="488">
        <f>III_Model_PT!BF18</f>
        <v/>
      </c>
      <c r="BG315" s="488">
        <f>III_Model_PT!BG18</f>
        <v/>
      </c>
      <c r="BH315" s="488">
        <f>III_Model_PT!BH18</f>
        <v/>
      </c>
      <c r="BI315" s="488">
        <f>III_Model_PT!BI18</f>
        <v/>
      </c>
      <c r="BJ315">
        <f>O315</f>
        <v/>
      </c>
      <c r="BK315">
        <f>SUM(AG315:AW315)</f>
        <v/>
      </c>
      <c r="BL315" s="531">
        <f>BJ315-BK315</f>
        <v/>
      </c>
      <c r="BM315" s="201" t="n"/>
      <c r="BN315" s="659" t="n"/>
      <c r="BO315" s="659" t="n"/>
      <c r="BP315" s="659" t="n"/>
      <c r="BQ315" s="659" t="n"/>
      <c r="BR315" s="659" t="n"/>
      <c r="BS315" s="659" t="n"/>
      <c r="BT315" s="659" t="n"/>
      <c r="BU315" s="659" t="n"/>
      <c r="BV315" s="659" t="n"/>
      <c r="BW315" s="659" t="n"/>
      <c r="BX315" s="488" t="n"/>
    </row>
    <row r="316" hidden="1" outlineLevel="1" customFormat="1" s="488">
      <c r="A316" s="488">
        <f>III_Model_PT!A19</f>
        <v/>
      </c>
      <c r="B316" s="488">
        <f>III_Model_PT!B19</f>
        <v/>
      </c>
      <c r="C316" s="488">
        <f>III_Model_PT!C19</f>
        <v/>
      </c>
      <c r="D316" s="488">
        <f>III_Model_PT!D19</f>
        <v/>
      </c>
      <c r="E316" s="488">
        <f>III_Model_PT!E19</f>
        <v/>
      </c>
      <c r="F316" s="488">
        <f>III_Model_PT!F19</f>
        <v/>
      </c>
      <c r="G316" s="488">
        <f>III_Model_PT!G19</f>
        <v/>
      </c>
      <c r="H316" s="488">
        <f>III_Model_PT!H19</f>
        <v/>
      </c>
      <c r="I316" s="488">
        <f>III_Model_PT!I19</f>
        <v/>
      </c>
      <c r="J316" s="488">
        <f>III_Model_PT!J19</f>
        <v/>
      </c>
      <c r="K316" s="672">
        <f>III_Model_PT!K19</f>
        <v/>
      </c>
      <c r="L316" s="672">
        <f>III_Model_PT!L19</f>
        <v/>
      </c>
      <c r="M316" s="488">
        <f>III_Model_PT!M19</f>
        <v/>
      </c>
      <c r="N316" s="488">
        <f>III_Model_PT!N19</f>
        <v/>
      </c>
      <c r="O316" s="488">
        <f>III_Model_PT!O19</f>
        <v/>
      </c>
      <c r="P316" s="629">
        <f>III_Model_PT!P19</f>
        <v/>
      </c>
      <c r="Q316" s="629">
        <f>III_Model_PT!Q19</f>
        <v/>
      </c>
      <c r="R316" s="629">
        <f>III_Model_PT!R19</f>
        <v/>
      </c>
      <c r="S316" s="629">
        <f>III_Model_PT!S19</f>
        <v/>
      </c>
      <c r="T316" s="629">
        <f>III_Model_PT!T19</f>
        <v/>
      </c>
      <c r="U316" s="629">
        <f>III_Model_PT!U19</f>
        <v/>
      </c>
      <c r="V316" s="629">
        <f>III_Model_PT!V19</f>
        <v/>
      </c>
      <c r="W316" s="629">
        <f>III_Model_PT!W19</f>
        <v/>
      </c>
      <c r="X316" s="629">
        <f>III_Model_PT!X19</f>
        <v/>
      </c>
      <c r="Y316" s="651">
        <f>III_Model_PT!Y19</f>
        <v/>
      </c>
      <c r="Z316" s="651">
        <f>III_Model_PT!Z19</f>
        <v/>
      </c>
      <c r="AA316" s="651">
        <f>III_Model_PT!AA19</f>
        <v/>
      </c>
      <c r="AB316" s="651">
        <f>III_Model_PT!AB19</f>
        <v/>
      </c>
      <c r="AC316" s="614">
        <f>III_Model_PT!AC19</f>
        <v/>
      </c>
      <c r="AD316" s="614">
        <f>III_Model_PT!AD19</f>
        <v/>
      </c>
      <c r="AE316" s="614">
        <f>III_Model_PT!AE19</f>
        <v/>
      </c>
      <c r="AF316" s="614">
        <f>III_Model_PT!AF19</f>
        <v/>
      </c>
      <c r="AG316" s="635">
        <f>III_Model_PT!AG19</f>
        <v/>
      </c>
      <c r="AH316" s="635">
        <f>III_Model_PT!AH19</f>
        <v/>
      </c>
      <c r="AI316" s="635">
        <f>III_Model_PT!AI19</f>
        <v/>
      </c>
      <c r="AJ316" s="635">
        <f>III_Model_PT!AJ19</f>
        <v/>
      </c>
      <c r="AK316" s="635">
        <f>III_Model_PT!AK19</f>
        <v/>
      </c>
      <c r="AL316" s="635">
        <f>III_Model_PT!AL19</f>
        <v/>
      </c>
      <c r="AM316" s="635">
        <f>III_Model_PT!AM19</f>
        <v/>
      </c>
      <c r="AN316" s="635">
        <f>III_Model_PT!AN19</f>
        <v/>
      </c>
      <c r="AO316" s="635">
        <f>III_Model_PT!AO19</f>
        <v/>
      </c>
      <c r="AP316" s="641">
        <f>III_Model_PT!AP19</f>
        <v/>
      </c>
      <c r="AQ316" s="641">
        <f>III_Model_PT!AQ19</f>
        <v/>
      </c>
      <c r="AR316" s="641">
        <f>III_Model_PT!AR19</f>
        <v/>
      </c>
      <c r="AS316" s="641">
        <f>III_Model_PT!AS19</f>
        <v/>
      </c>
      <c r="AT316" s="620">
        <f>III_Model_PT!AT19</f>
        <v/>
      </c>
      <c r="AU316" s="620">
        <f>III_Model_PT!AU19</f>
        <v/>
      </c>
      <c r="AV316" s="620">
        <f>III_Model_PT!AV19</f>
        <v/>
      </c>
      <c r="AW316" s="620">
        <f>III_Model_PT!AW19</f>
        <v/>
      </c>
      <c r="AX316" s="488">
        <f>III_Model_PT!AX19</f>
        <v/>
      </c>
      <c r="AY316" s="488">
        <f>III_Model_PT!AY19</f>
        <v/>
      </c>
      <c r="AZ316" s="488">
        <f>III_Model_PT!AZ19</f>
        <v/>
      </c>
      <c r="BA316" s="488">
        <f>III_Model_PT!BA19</f>
        <v/>
      </c>
      <c r="BB316" s="488">
        <f>III_Model_PT!BB19</f>
        <v/>
      </c>
      <c r="BC316" s="488">
        <f>III_Model_PT!BC19</f>
        <v/>
      </c>
      <c r="BD316" s="488">
        <f>III_Model_PT!BD19</f>
        <v/>
      </c>
      <c r="BE316" s="488">
        <f>III_Model_PT!BE19</f>
        <v/>
      </c>
      <c r="BF316" s="488">
        <f>III_Model_PT!BF19</f>
        <v/>
      </c>
      <c r="BG316" s="488">
        <f>III_Model_PT!BG19</f>
        <v/>
      </c>
      <c r="BH316" s="488">
        <f>III_Model_PT!BH19</f>
        <v/>
      </c>
      <c r="BI316" s="488">
        <f>III_Model_PT!BI19</f>
        <v/>
      </c>
      <c r="BJ316">
        <f>O316</f>
        <v/>
      </c>
      <c r="BK316">
        <f>SUM(AG316:AW316)</f>
        <v/>
      </c>
      <c r="BL316" s="531">
        <f>BJ316-BK316</f>
        <v/>
      </c>
      <c r="BM316" s="201" t="n"/>
      <c r="BN316" s="659" t="n"/>
      <c r="BO316" s="659" t="n"/>
      <c r="BP316" s="659" t="n"/>
      <c r="BQ316" s="659" t="n"/>
      <c r="BR316" s="659" t="n"/>
      <c r="BS316" s="659" t="n"/>
      <c r="BT316" s="659" t="n"/>
      <c r="BU316" s="659" t="n"/>
      <c r="BV316" s="659" t="n"/>
      <c r="BW316" s="659" t="n"/>
    </row>
    <row r="317" hidden="1" outlineLevel="1" customFormat="1" s="488">
      <c r="A317" s="488">
        <f>III_Model_PT!A20</f>
        <v/>
      </c>
      <c r="B317" s="488">
        <f>III_Model_PT!B20</f>
        <v/>
      </c>
      <c r="C317" s="488">
        <f>III_Model_PT!C20</f>
        <v/>
      </c>
      <c r="D317" s="488">
        <f>III_Model_PT!D20</f>
        <v/>
      </c>
      <c r="E317" s="488">
        <f>III_Model_PT!E20</f>
        <v/>
      </c>
      <c r="F317" s="488">
        <f>III_Model_PT!F20</f>
        <v/>
      </c>
      <c r="G317" s="488">
        <f>III_Model_PT!G20</f>
        <v/>
      </c>
      <c r="H317" s="488">
        <f>III_Model_PT!H20</f>
        <v/>
      </c>
      <c r="I317" s="488">
        <f>III_Model_PT!I20</f>
        <v/>
      </c>
      <c r="J317" s="488">
        <f>III_Model_PT!J20</f>
        <v/>
      </c>
      <c r="K317" s="672">
        <f>III_Model_PT!K20</f>
        <v/>
      </c>
      <c r="L317" s="672">
        <f>III_Model_PT!L20</f>
        <v/>
      </c>
      <c r="M317" s="488">
        <f>III_Model_PT!M20</f>
        <v/>
      </c>
      <c r="N317" s="488">
        <f>III_Model_PT!N20</f>
        <v/>
      </c>
      <c r="O317" s="488">
        <f>III_Model_PT!O20</f>
        <v/>
      </c>
      <c r="P317" s="629">
        <f>III_Model_PT!P20</f>
        <v/>
      </c>
      <c r="Q317" s="629">
        <f>III_Model_PT!Q20</f>
        <v/>
      </c>
      <c r="R317" s="629">
        <f>III_Model_PT!R20</f>
        <v/>
      </c>
      <c r="S317" s="629">
        <f>III_Model_PT!S20</f>
        <v/>
      </c>
      <c r="T317" s="629">
        <f>III_Model_PT!T20</f>
        <v/>
      </c>
      <c r="U317" s="629">
        <f>III_Model_PT!U20</f>
        <v/>
      </c>
      <c r="V317" s="629">
        <f>III_Model_PT!V20</f>
        <v/>
      </c>
      <c r="W317" s="629">
        <f>III_Model_PT!W20</f>
        <v/>
      </c>
      <c r="X317" s="629">
        <f>III_Model_PT!X20</f>
        <v/>
      </c>
      <c r="Y317" s="651">
        <f>III_Model_PT!Y20</f>
        <v/>
      </c>
      <c r="Z317" s="651">
        <f>III_Model_PT!Z20</f>
        <v/>
      </c>
      <c r="AA317" s="651">
        <f>III_Model_PT!AA20</f>
        <v/>
      </c>
      <c r="AB317" s="651">
        <f>III_Model_PT!AB20</f>
        <v/>
      </c>
      <c r="AC317" s="614">
        <f>III_Model_PT!AC20</f>
        <v/>
      </c>
      <c r="AD317" s="614">
        <f>III_Model_PT!AD20</f>
        <v/>
      </c>
      <c r="AE317" s="614">
        <f>III_Model_PT!AE20</f>
        <v/>
      </c>
      <c r="AF317" s="614">
        <f>III_Model_PT!AF20</f>
        <v/>
      </c>
      <c r="AG317" s="635">
        <f>III_Model_PT!AG20</f>
        <v/>
      </c>
      <c r="AH317" s="635">
        <f>III_Model_PT!AH20</f>
        <v/>
      </c>
      <c r="AI317" s="635">
        <f>III_Model_PT!AI20</f>
        <v/>
      </c>
      <c r="AJ317" s="635">
        <f>III_Model_PT!AJ20</f>
        <v/>
      </c>
      <c r="AK317" s="635">
        <f>III_Model_PT!AK20</f>
        <v/>
      </c>
      <c r="AL317" s="635">
        <f>III_Model_PT!AL20</f>
        <v/>
      </c>
      <c r="AM317" s="635">
        <f>III_Model_PT!AM20</f>
        <v/>
      </c>
      <c r="AN317" s="635">
        <f>III_Model_PT!AN20</f>
        <v/>
      </c>
      <c r="AO317" s="635">
        <f>III_Model_PT!AO20</f>
        <v/>
      </c>
      <c r="AP317" s="641">
        <f>III_Model_PT!AP20</f>
        <v/>
      </c>
      <c r="AQ317" s="641">
        <f>III_Model_PT!AQ20</f>
        <v/>
      </c>
      <c r="AR317" s="641">
        <f>III_Model_PT!AR20</f>
        <v/>
      </c>
      <c r="AS317" s="641">
        <f>III_Model_PT!AS20</f>
        <v/>
      </c>
      <c r="AT317" s="620">
        <f>III_Model_PT!AT20</f>
        <v/>
      </c>
      <c r="AU317" s="620">
        <f>III_Model_PT!AU20</f>
        <v/>
      </c>
      <c r="AV317" s="620">
        <f>III_Model_PT!AV20</f>
        <v/>
      </c>
      <c r="AW317" s="620">
        <f>III_Model_PT!AW20</f>
        <v/>
      </c>
      <c r="AX317" s="488">
        <f>III_Model_PT!AX20</f>
        <v/>
      </c>
      <c r="AY317" s="488">
        <f>III_Model_PT!AY20</f>
        <v/>
      </c>
      <c r="AZ317" s="488">
        <f>III_Model_PT!AZ20</f>
        <v/>
      </c>
      <c r="BA317" s="488">
        <f>III_Model_PT!BA20</f>
        <v/>
      </c>
      <c r="BB317" s="488">
        <f>III_Model_PT!BB20</f>
        <v/>
      </c>
      <c r="BC317" s="488">
        <f>III_Model_PT!BC20</f>
        <v/>
      </c>
      <c r="BD317" s="488">
        <f>III_Model_PT!BD20</f>
        <v/>
      </c>
      <c r="BE317" s="488">
        <f>III_Model_PT!BE20</f>
        <v/>
      </c>
      <c r="BF317" s="488">
        <f>III_Model_PT!BF20</f>
        <v/>
      </c>
      <c r="BG317" s="488">
        <f>III_Model_PT!BG20</f>
        <v/>
      </c>
      <c r="BH317" s="488">
        <f>III_Model_PT!BH20</f>
        <v/>
      </c>
      <c r="BI317" s="488">
        <f>III_Model_PT!BI20</f>
        <v/>
      </c>
      <c r="BJ317">
        <f>O317</f>
        <v/>
      </c>
      <c r="BK317">
        <f>SUM(AG317:AW317)</f>
        <v/>
      </c>
      <c r="BL317" s="531">
        <f>BJ317-BK317</f>
        <v/>
      </c>
      <c r="BM317" s="201" t="n"/>
      <c r="BN317" s="659" t="n"/>
      <c r="BO317" s="659" t="n"/>
      <c r="BP317" s="659" t="n"/>
      <c r="BQ317" s="659" t="n"/>
      <c r="BR317" s="659" t="n"/>
      <c r="BS317" s="659" t="n"/>
      <c r="BT317" s="659" t="n"/>
      <c r="BU317" s="659" t="n"/>
      <c r="BV317" s="659" t="n"/>
      <c r="BW317" s="659" t="n"/>
    </row>
    <row r="318" hidden="1" outlineLevel="1" customFormat="1" s="488">
      <c r="A318" s="488">
        <f>III_Model_PT!A21</f>
        <v/>
      </c>
      <c r="B318" s="488">
        <f>III_Model_PT!B21</f>
        <v/>
      </c>
      <c r="C318" s="488">
        <f>III_Model_PT!C21</f>
        <v/>
      </c>
      <c r="D318" s="488">
        <f>III_Model_PT!D21</f>
        <v/>
      </c>
      <c r="E318" s="488">
        <f>III_Model_PT!E21</f>
        <v/>
      </c>
      <c r="F318" s="488">
        <f>III_Model_PT!F21</f>
        <v/>
      </c>
      <c r="G318" s="488">
        <f>III_Model_PT!G21</f>
        <v/>
      </c>
      <c r="H318" s="488">
        <f>III_Model_PT!H21</f>
        <v/>
      </c>
      <c r="I318" s="488">
        <f>III_Model_PT!I21</f>
        <v/>
      </c>
      <c r="J318" s="488">
        <f>III_Model_PT!J21</f>
        <v/>
      </c>
      <c r="K318" s="672">
        <f>III_Model_PT!K21</f>
        <v/>
      </c>
      <c r="L318" s="672">
        <f>III_Model_PT!L21</f>
        <v/>
      </c>
      <c r="M318" s="488">
        <f>III_Model_PT!M21</f>
        <v/>
      </c>
      <c r="N318" s="488">
        <f>III_Model_PT!N21</f>
        <v/>
      </c>
      <c r="O318" s="488">
        <f>III_Model_PT!O21</f>
        <v/>
      </c>
      <c r="P318" s="629">
        <f>III_Model_PT!P21</f>
        <v/>
      </c>
      <c r="Q318" s="629">
        <f>III_Model_PT!Q21</f>
        <v/>
      </c>
      <c r="R318" s="629">
        <f>III_Model_PT!R21</f>
        <v/>
      </c>
      <c r="S318" s="629">
        <f>III_Model_PT!S21</f>
        <v/>
      </c>
      <c r="T318" s="629">
        <f>III_Model_PT!T21</f>
        <v/>
      </c>
      <c r="U318" s="629">
        <f>III_Model_PT!U21</f>
        <v/>
      </c>
      <c r="V318" s="629">
        <f>III_Model_PT!V21</f>
        <v/>
      </c>
      <c r="W318" s="629">
        <f>III_Model_PT!W21</f>
        <v/>
      </c>
      <c r="X318" s="629">
        <f>III_Model_PT!X21</f>
        <v/>
      </c>
      <c r="Y318" s="651">
        <f>III_Model_PT!Y21</f>
        <v/>
      </c>
      <c r="Z318" s="651">
        <f>III_Model_PT!Z21</f>
        <v/>
      </c>
      <c r="AA318" s="651">
        <f>III_Model_PT!AA21</f>
        <v/>
      </c>
      <c r="AB318" s="651">
        <f>III_Model_PT!AB21</f>
        <v/>
      </c>
      <c r="AC318" s="614">
        <f>III_Model_PT!AC21</f>
        <v/>
      </c>
      <c r="AD318" s="614">
        <f>III_Model_PT!AD21</f>
        <v/>
      </c>
      <c r="AE318" s="614">
        <f>III_Model_PT!AE21</f>
        <v/>
      </c>
      <c r="AF318" s="614">
        <f>III_Model_PT!AF21</f>
        <v/>
      </c>
      <c r="AG318" s="635">
        <f>III_Model_PT!AG21</f>
        <v/>
      </c>
      <c r="AH318" s="635">
        <f>III_Model_PT!AH21</f>
        <v/>
      </c>
      <c r="AI318" s="635">
        <f>III_Model_PT!AI21</f>
        <v/>
      </c>
      <c r="AJ318" s="635">
        <f>III_Model_PT!AJ21</f>
        <v/>
      </c>
      <c r="AK318" s="635">
        <f>III_Model_PT!AK21</f>
        <v/>
      </c>
      <c r="AL318" s="635">
        <f>III_Model_PT!AL21</f>
        <v/>
      </c>
      <c r="AM318" s="635">
        <f>III_Model_PT!AM21</f>
        <v/>
      </c>
      <c r="AN318" s="635">
        <f>III_Model_PT!AN21</f>
        <v/>
      </c>
      <c r="AO318" s="635">
        <f>III_Model_PT!AO21</f>
        <v/>
      </c>
      <c r="AP318" s="641">
        <f>III_Model_PT!AP21</f>
        <v/>
      </c>
      <c r="AQ318" s="641">
        <f>III_Model_PT!AQ21</f>
        <v/>
      </c>
      <c r="AR318" s="641">
        <f>III_Model_PT!AR21</f>
        <v/>
      </c>
      <c r="AS318" s="641">
        <f>III_Model_PT!AS21</f>
        <v/>
      </c>
      <c r="AT318" s="620">
        <f>III_Model_PT!AT21</f>
        <v/>
      </c>
      <c r="AU318" s="620">
        <f>III_Model_PT!AU21</f>
        <v/>
      </c>
      <c r="AV318" s="620">
        <f>III_Model_PT!AV21</f>
        <v/>
      </c>
      <c r="AW318" s="620">
        <f>III_Model_PT!AW21</f>
        <v/>
      </c>
      <c r="AX318" s="488">
        <f>III_Model_PT!AX21</f>
        <v/>
      </c>
      <c r="AY318" s="488">
        <f>III_Model_PT!AY21</f>
        <v/>
      </c>
      <c r="AZ318" s="488">
        <f>III_Model_PT!AZ21</f>
        <v/>
      </c>
      <c r="BA318" s="488">
        <f>III_Model_PT!BA21</f>
        <v/>
      </c>
      <c r="BB318" s="488">
        <f>III_Model_PT!BB21</f>
        <v/>
      </c>
      <c r="BC318" s="488">
        <f>III_Model_PT!BC21</f>
        <v/>
      </c>
      <c r="BD318" s="488">
        <f>III_Model_PT!BD21</f>
        <v/>
      </c>
      <c r="BE318" s="488">
        <f>III_Model_PT!BE21</f>
        <v/>
      </c>
      <c r="BF318" s="488">
        <f>III_Model_PT!BF21</f>
        <v/>
      </c>
      <c r="BG318" s="488">
        <f>III_Model_PT!BG21</f>
        <v/>
      </c>
      <c r="BH318" s="488">
        <f>III_Model_PT!BH21</f>
        <v/>
      </c>
      <c r="BI318" s="488">
        <f>III_Model_PT!BI21</f>
        <v/>
      </c>
      <c r="BJ318">
        <f>O318</f>
        <v/>
      </c>
      <c r="BK318">
        <f>SUM(AG318:AW318)</f>
        <v/>
      </c>
      <c r="BL318" s="531">
        <f>BJ318-BK318</f>
        <v/>
      </c>
      <c r="BM318" s="201" t="n"/>
      <c r="BN318" s="659" t="n"/>
      <c r="BO318" s="659" t="n"/>
      <c r="BP318" s="659" t="n"/>
      <c r="BQ318" s="659" t="n"/>
      <c r="BR318" s="659" t="n"/>
      <c r="BS318" s="659" t="n"/>
      <c r="BT318" s="659" t="n"/>
      <c r="BU318" s="659" t="n"/>
      <c r="BV318" s="659" t="n"/>
      <c r="BW318" s="659" t="n"/>
    </row>
    <row r="319" hidden="1" outlineLevel="1" customFormat="1" s="488">
      <c r="A319" s="488">
        <f>III_Model_PT!A22</f>
        <v/>
      </c>
      <c r="B319" s="488">
        <f>III_Model_PT!B22</f>
        <v/>
      </c>
      <c r="C319" s="488">
        <f>III_Model_PT!C22</f>
        <v/>
      </c>
      <c r="D319" s="488">
        <f>III_Model_PT!D22</f>
        <v/>
      </c>
      <c r="E319" s="488">
        <f>III_Model_PT!E22</f>
        <v/>
      </c>
      <c r="F319" s="488">
        <f>III_Model_PT!F22</f>
        <v/>
      </c>
      <c r="G319" s="488">
        <f>III_Model_PT!G22</f>
        <v/>
      </c>
      <c r="H319" s="488">
        <f>III_Model_PT!H22</f>
        <v/>
      </c>
      <c r="I319" s="488">
        <f>III_Model_PT!I22</f>
        <v/>
      </c>
      <c r="J319" s="488">
        <f>III_Model_PT!J22</f>
        <v/>
      </c>
      <c r="K319" s="672">
        <f>III_Model_PT!K22</f>
        <v/>
      </c>
      <c r="L319" s="672">
        <f>III_Model_PT!L22</f>
        <v/>
      </c>
      <c r="M319" s="488">
        <f>III_Model_PT!M22</f>
        <v/>
      </c>
      <c r="N319" s="488">
        <f>III_Model_PT!N22</f>
        <v/>
      </c>
      <c r="O319" s="488">
        <f>III_Model_PT!O22</f>
        <v/>
      </c>
      <c r="P319" s="629">
        <f>III_Model_PT!P22</f>
        <v/>
      </c>
      <c r="Q319" s="629">
        <f>III_Model_PT!Q22</f>
        <v/>
      </c>
      <c r="R319" s="629">
        <f>III_Model_PT!R22</f>
        <v/>
      </c>
      <c r="S319" s="629">
        <f>III_Model_PT!S22</f>
        <v/>
      </c>
      <c r="T319" s="629">
        <f>III_Model_PT!T22</f>
        <v/>
      </c>
      <c r="U319" s="629">
        <f>III_Model_PT!U22</f>
        <v/>
      </c>
      <c r="V319" s="629">
        <f>III_Model_PT!V22</f>
        <v/>
      </c>
      <c r="W319" s="629">
        <f>III_Model_PT!W22</f>
        <v/>
      </c>
      <c r="X319" s="629">
        <f>III_Model_PT!X22</f>
        <v/>
      </c>
      <c r="Y319" s="651">
        <f>III_Model_PT!Y22</f>
        <v/>
      </c>
      <c r="Z319" s="651">
        <f>III_Model_PT!Z22</f>
        <v/>
      </c>
      <c r="AA319" s="651">
        <f>III_Model_PT!AA22</f>
        <v/>
      </c>
      <c r="AB319" s="651">
        <f>III_Model_PT!AB22</f>
        <v/>
      </c>
      <c r="AC319" s="614">
        <f>III_Model_PT!AC22</f>
        <v/>
      </c>
      <c r="AD319" s="614">
        <f>III_Model_PT!AD22</f>
        <v/>
      </c>
      <c r="AE319" s="614">
        <f>III_Model_PT!AE22</f>
        <v/>
      </c>
      <c r="AF319" s="614">
        <f>III_Model_PT!AF22</f>
        <v/>
      </c>
      <c r="AG319" s="635">
        <f>III_Model_PT!AG22</f>
        <v/>
      </c>
      <c r="AH319" s="635">
        <f>III_Model_PT!AH22</f>
        <v/>
      </c>
      <c r="AI319" s="635">
        <f>III_Model_PT!AI22</f>
        <v/>
      </c>
      <c r="AJ319" s="635">
        <f>III_Model_PT!AJ22</f>
        <v/>
      </c>
      <c r="AK319" s="635">
        <f>III_Model_PT!AK22</f>
        <v/>
      </c>
      <c r="AL319" s="635">
        <f>III_Model_PT!AL22</f>
        <v/>
      </c>
      <c r="AM319" s="635">
        <f>III_Model_PT!AM22</f>
        <v/>
      </c>
      <c r="AN319" s="635">
        <f>III_Model_PT!AN22</f>
        <v/>
      </c>
      <c r="AO319" s="635">
        <f>III_Model_PT!AO22</f>
        <v/>
      </c>
      <c r="AP319" s="641">
        <f>III_Model_PT!AP22</f>
        <v/>
      </c>
      <c r="AQ319" s="641">
        <f>III_Model_PT!AQ22</f>
        <v/>
      </c>
      <c r="AR319" s="641">
        <f>III_Model_PT!AR22</f>
        <v/>
      </c>
      <c r="AS319" s="641">
        <f>III_Model_PT!AS22</f>
        <v/>
      </c>
      <c r="AT319" s="620">
        <f>III_Model_PT!AT22</f>
        <v/>
      </c>
      <c r="AU319" s="620">
        <f>III_Model_PT!AU22</f>
        <v/>
      </c>
      <c r="AV319" s="620">
        <f>III_Model_PT!AV22</f>
        <v/>
      </c>
      <c r="AW319" s="620">
        <f>III_Model_PT!AW22</f>
        <v/>
      </c>
      <c r="AX319" s="488">
        <f>III_Model_PT!AX22</f>
        <v/>
      </c>
      <c r="AY319" s="488">
        <f>III_Model_PT!AY22</f>
        <v/>
      </c>
      <c r="AZ319" s="488">
        <f>III_Model_PT!AZ22</f>
        <v/>
      </c>
      <c r="BA319" s="488">
        <f>III_Model_PT!BA22</f>
        <v/>
      </c>
      <c r="BB319" s="488">
        <f>III_Model_PT!BB22</f>
        <v/>
      </c>
      <c r="BC319" s="488">
        <f>III_Model_PT!BC22</f>
        <v/>
      </c>
      <c r="BD319" s="488">
        <f>III_Model_PT!BD22</f>
        <v/>
      </c>
      <c r="BE319" s="488">
        <f>III_Model_PT!BE22</f>
        <v/>
      </c>
      <c r="BF319" s="488">
        <f>III_Model_PT!BF22</f>
        <v/>
      </c>
      <c r="BG319" s="488">
        <f>III_Model_PT!BG22</f>
        <v/>
      </c>
      <c r="BH319" s="488">
        <f>III_Model_PT!BH22</f>
        <v/>
      </c>
      <c r="BI319" s="488">
        <f>III_Model_PT!BI22</f>
        <v/>
      </c>
      <c r="BJ319">
        <f>O319</f>
        <v/>
      </c>
      <c r="BK319">
        <f>SUM(AG319:AW319)</f>
        <v/>
      </c>
      <c r="BL319" s="531">
        <f>BJ319-BK319</f>
        <v/>
      </c>
      <c r="BM319" s="201" t="n"/>
      <c r="BN319" s="659" t="n"/>
      <c r="BO319" s="659" t="n"/>
      <c r="BP319" s="659" t="n"/>
      <c r="BQ319" s="659" t="n"/>
      <c r="BR319" s="659" t="n"/>
      <c r="BS319" s="659" t="n"/>
      <c r="BT319" s="659" t="n"/>
      <c r="BU319" s="659" t="n"/>
      <c r="BV319" s="659" t="n"/>
      <c r="BW319" s="659" t="n"/>
    </row>
    <row r="320" hidden="1" outlineLevel="1" customFormat="1" s="488">
      <c r="A320" s="488">
        <f>III_Model_PT!A23</f>
        <v/>
      </c>
      <c r="B320" s="488">
        <f>III_Model_PT!B23</f>
        <v/>
      </c>
      <c r="C320" s="488">
        <f>III_Model_PT!C23</f>
        <v/>
      </c>
      <c r="D320" s="488">
        <f>III_Model_PT!D23</f>
        <v/>
      </c>
      <c r="E320" s="488">
        <f>III_Model_PT!E23</f>
        <v/>
      </c>
      <c r="F320" s="488">
        <f>III_Model_PT!F23</f>
        <v/>
      </c>
      <c r="G320" s="488">
        <f>III_Model_PT!G23</f>
        <v/>
      </c>
      <c r="H320" s="488">
        <f>III_Model_PT!H23</f>
        <v/>
      </c>
      <c r="I320" s="488">
        <f>III_Model_PT!I23</f>
        <v/>
      </c>
      <c r="J320" s="488">
        <f>III_Model_PT!J23</f>
        <v/>
      </c>
      <c r="K320" s="672">
        <f>III_Model_PT!K23</f>
        <v/>
      </c>
      <c r="L320" s="672">
        <f>III_Model_PT!L23</f>
        <v/>
      </c>
      <c r="M320" s="488">
        <f>III_Model_PT!M23</f>
        <v/>
      </c>
      <c r="N320" s="488">
        <f>III_Model_PT!N23</f>
        <v/>
      </c>
      <c r="O320" s="488">
        <f>III_Model_PT!O23</f>
        <v/>
      </c>
      <c r="P320" s="629">
        <f>III_Model_PT!P23</f>
        <v/>
      </c>
      <c r="Q320" s="629">
        <f>III_Model_PT!Q23</f>
        <v/>
      </c>
      <c r="R320" s="629">
        <f>III_Model_PT!R23</f>
        <v/>
      </c>
      <c r="S320" s="629">
        <f>III_Model_PT!S23</f>
        <v/>
      </c>
      <c r="T320" s="629">
        <f>III_Model_PT!T23</f>
        <v/>
      </c>
      <c r="U320" s="629">
        <f>III_Model_PT!U23</f>
        <v/>
      </c>
      <c r="V320" s="629">
        <f>III_Model_PT!V23</f>
        <v/>
      </c>
      <c r="W320" s="629">
        <f>III_Model_PT!W23</f>
        <v/>
      </c>
      <c r="X320" s="629">
        <f>III_Model_PT!X23</f>
        <v/>
      </c>
      <c r="Y320" s="651">
        <f>III_Model_PT!Y23</f>
        <v/>
      </c>
      <c r="Z320" s="651">
        <f>III_Model_PT!Z23</f>
        <v/>
      </c>
      <c r="AA320" s="651">
        <f>III_Model_PT!AA23</f>
        <v/>
      </c>
      <c r="AB320" s="651">
        <f>III_Model_PT!AB23</f>
        <v/>
      </c>
      <c r="AC320" s="614">
        <f>III_Model_PT!AC23</f>
        <v/>
      </c>
      <c r="AD320" s="614">
        <f>III_Model_PT!AD23</f>
        <v/>
      </c>
      <c r="AE320" s="614">
        <f>III_Model_PT!AE23</f>
        <v/>
      </c>
      <c r="AF320" s="614">
        <f>III_Model_PT!AF23</f>
        <v/>
      </c>
      <c r="AG320" s="635">
        <f>III_Model_PT!AG23</f>
        <v/>
      </c>
      <c r="AH320" s="635">
        <f>III_Model_PT!AH23</f>
        <v/>
      </c>
      <c r="AI320" s="635">
        <f>III_Model_PT!AI23</f>
        <v/>
      </c>
      <c r="AJ320" s="635">
        <f>III_Model_PT!AJ23</f>
        <v/>
      </c>
      <c r="AK320" s="635">
        <f>III_Model_PT!AK23</f>
        <v/>
      </c>
      <c r="AL320" s="635">
        <f>III_Model_PT!AL23</f>
        <v/>
      </c>
      <c r="AM320" s="635">
        <f>III_Model_PT!AM23</f>
        <v/>
      </c>
      <c r="AN320" s="635">
        <f>III_Model_PT!AN23</f>
        <v/>
      </c>
      <c r="AO320" s="635">
        <f>III_Model_PT!AO23</f>
        <v/>
      </c>
      <c r="AP320" s="641">
        <f>III_Model_PT!AP23</f>
        <v/>
      </c>
      <c r="AQ320" s="641">
        <f>III_Model_PT!AQ23</f>
        <v/>
      </c>
      <c r="AR320" s="641">
        <f>III_Model_PT!AR23</f>
        <v/>
      </c>
      <c r="AS320" s="641">
        <f>III_Model_PT!AS23</f>
        <v/>
      </c>
      <c r="AT320" s="620">
        <f>III_Model_PT!AT23</f>
        <v/>
      </c>
      <c r="AU320" s="620">
        <f>III_Model_PT!AU23</f>
        <v/>
      </c>
      <c r="AV320" s="620">
        <f>III_Model_PT!AV23</f>
        <v/>
      </c>
      <c r="AW320" s="620">
        <f>III_Model_PT!AW23</f>
        <v/>
      </c>
      <c r="AX320" s="488">
        <f>III_Model_PT!AX23</f>
        <v/>
      </c>
      <c r="AY320" s="488">
        <f>III_Model_PT!AY23</f>
        <v/>
      </c>
      <c r="AZ320" s="488">
        <f>III_Model_PT!AZ23</f>
        <v/>
      </c>
      <c r="BA320" s="488">
        <f>III_Model_PT!BA23</f>
        <v/>
      </c>
      <c r="BB320" s="488">
        <f>III_Model_PT!BB23</f>
        <v/>
      </c>
      <c r="BC320" s="488">
        <f>III_Model_PT!BC23</f>
        <v/>
      </c>
      <c r="BD320" s="488">
        <f>III_Model_PT!BD23</f>
        <v/>
      </c>
      <c r="BE320" s="488">
        <f>III_Model_PT!BE23</f>
        <v/>
      </c>
      <c r="BF320" s="488">
        <f>III_Model_PT!BF23</f>
        <v/>
      </c>
      <c r="BG320" s="488">
        <f>III_Model_PT!BG23</f>
        <v/>
      </c>
      <c r="BH320" s="488">
        <f>III_Model_PT!BH23</f>
        <v/>
      </c>
      <c r="BI320" s="488">
        <f>III_Model_PT!BI23</f>
        <v/>
      </c>
      <c r="BJ320">
        <f>O320</f>
        <v/>
      </c>
      <c r="BK320">
        <f>SUM(AG320:AW320)</f>
        <v/>
      </c>
      <c r="BL320" s="531">
        <f>BJ320-BK320</f>
        <v/>
      </c>
      <c r="BM320" s="201" t="n"/>
      <c r="BN320" s="659" t="n"/>
      <c r="BO320" s="659" t="n"/>
      <c r="BP320" s="659" t="n"/>
      <c r="BQ320" s="659" t="n"/>
      <c r="BR320" s="659" t="n"/>
      <c r="BS320" s="659" t="n"/>
      <c r="BT320" s="659" t="n"/>
      <c r="BU320" s="659" t="n"/>
      <c r="BV320" s="659" t="n"/>
      <c r="BW320" s="659" t="n"/>
    </row>
    <row r="321" hidden="1" outlineLevel="1" customFormat="1" s="488">
      <c r="A321" s="488">
        <f>III_Model_PT!A24</f>
        <v/>
      </c>
      <c r="B321" s="488">
        <f>III_Model_PT!B24</f>
        <v/>
      </c>
      <c r="C321" s="488">
        <f>III_Model_PT!C24</f>
        <v/>
      </c>
      <c r="D321" s="488">
        <f>III_Model_PT!D24</f>
        <v/>
      </c>
      <c r="E321" s="488">
        <f>III_Model_PT!E24</f>
        <v/>
      </c>
      <c r="F321" s="488">
        <f>III_Model_PT!F24</f>
        <v/>
      </c>
      <c r="G321" s="488">
        <f>III_Model_PT!G24</f>
        <v/>
      </c>
      <c r="H321" s="488">
        <f>III_Model_PT!H24</f>
        <v/>
      </c>
      <c r="I321" s="488">
        <f>III_Model_PT!I24</f>
        <v/>
      </c>
      <c r="J321" s="488">
        <f>III_Model_PT!J24</f>
        <v/>
      </c>
      <c r="K321" s="672">
        <f>III_Model_PT!K24</f>
        <v/>
      </c>
      <c r="L321" s="672">
        <f>III_Model_PT!L24</f>
        <v/>
      </c>
      <c r="M321" s="488">
        <f>III_Model_PT!M24</f>
        <v/>
      </c>
      <c r="N321" s="488">
        <f>III_Model_PT!N24</f>
        <v/>
      </c>
      <c r="O321" s="488">
        <f>III_Model_PT!O24</f>
        <v/>
      </c>
      <c r="P321" s="629">
        <f>III_Model_PT!P24</f>
        <v/>
      </c>
      <c r="Q321" s="629">
        <f>III_Model_PT!Q24</f>
        <v/>
      </c>
      <c r="R321" s="629">
        <f>III_Model_PT!R24</f>
        <v/>
      </c>
      <c r="S321" s="629">
        <f>III_Model_PT!S24</f>
        <v/>
      </c>
      <c r="T321" s="629">
        <f>III_Model_PT!T24</f>
        <v/>
      </c>
      <c r="U321" s="629">
        <f>III_Model_PT!U24</f>
        <v/>
      </c>
      <c r="V321" s="629">
        <f>III_Model_PT!V24</f>
        <v/>
      </c>
      <c r="W321" s="629">
        <f>III_Model_PT!W24</f>
        <v/>
      </c>
      <c r="X321" s="629">
        <f>III_Model_PT!X24</f>
        <v/>
      </c>
      <c r="Y321" s="651">
        <f>III_Model_PT!Y24</f>
        <v/>
      </c>
      <c r="Z321" s="651">
        <f>III_Model_PT!Z24</f>
        <v/>
      </c>
      <c r="AA321" s="651">
        <f>III_Model_PT!AA24</f>
        <v/>
      </c>
      <c r="AB321" s="651">
        <f>III_Model_PT!AB24</f>
        <v/>
      </c>
      <c r="AC321" s="614">
        <f>III_Model_PT!AC24</f>
        <v/>
      </c>
      <c r="AD321" s="614">
        <f>III_Model_PT!AD24</f>
        <v/>
      </c>
      <c r="AE321" s="614">
        <f>III_Model_PT!AE24</f>
        <v/>
      </c>
      <c r="AF321" s="614">
        <f>III_Model_PT!AF24</f>
        <v/>
      </c>
      <c r="AG321" s="635">
        <f>III_Model_PT!AG24</f>
        <v/>
      </c>
      <c r="AH321" s="635">
        <f>III_Model_PT!AH24</f>
        <v/>
      </c>
      <c r="AI321" s="635">
        <f>III_Model_PT!AI24</f>
        <v/>
      </c>
      <c r="AJ321" s="635">
        <f>III_Model_PT!AJ24</f>
        <v/>
      </c>
      <c r="AK321" s="635">
        <f>III_Model_PT!AK24</f>
        <v/>
      </c>
      <c r="AL321" s="635">
        <f>III_Model_PT!AL24</f>
        <v/>
      </c>
      <c r="AM321" s="635">
        <f>III_Model_PT!AM24</f>
        <v/>
      </c>
      <c r="AN321" s="635">
        <f>III_Model_PT!AN24</f>
        <v/>
      </c>
      <c r="AO321" s="635">
        <f>III_Model_PT!AO24</f>
        <v/>
      </c>
      <c r="AP321" s="641">
        <f>III_Model_PT!AP24</f>
        <v/>
      </c>
      <c r="AQ321" s="641">
        <f>III_Model_PT!AQ24</f>
        <v/>
      </c>
      <c r="AR321" s="641">
        <f>III_Model_PT!AR24</f>
        <v/>
      </c>
      <c r="AS321" s="641">
        <f>III_Model_PT!AS24</f>
        <v/>
      </c>
      <c r="AT321" s="620">
        <f>III_Model_PT!AT24</f>
        <v/>
      </c>
      <c r="AU321" s="620">
        <f>III_Model_PT!AU24</f>
        <v/>
      </c>
      <c r="AV321" s="620">
        <f>III_Model_PT!AV24</f>
        <v/>
      </c>
      <c r="AW321" s="620">
        <f>III_Model_PT!AW24</f>
        <v/>
      </c>
      <c r="AX321" s="488">
        <f>III_Model_PT!AX24</f>
        <v/>
      </c>
      <c r="AY321" s="488">
        <f>III_Model_PT!AY24</f>
        <v/>
      </c>
      <c r="AZ321" s="488">
        <f>III_Model_PT!AZ24</f>
        <v/>
      </c>
      <c r="BA321" s="488">
        <f>III_Model_PT!BA24</f>
        <v/>
      </c>
      <c r="BB321" s="488">
        <f>III_Model_PT!BB24</f>
        <v/>
      </c>
      <c r="BC321" s="488">
        <f>III_Model_PT!BC24</f>
        <v/>
      </c>
      <c r="BD321" s="488">
        <f>III_Model_PT!BD24</f>
        <v/>
      </c>
      <c r="BE321" s="488">
        <f>III_Model_PT!BE24</f>
        <v/>
      </c>
      <c r="BF321" s="488">
        <f>III_Model_PT!BF24</f>
        <v/>
      </c>
      <c r="BG321" s="488">
        <f>III_Model_PT!BG24</f>
        <v/>
      </c>
      <c r="BH321" s="488">
        <f>III_Model_PT!BH24</f>
        <v/>
      </c>
      <c r="BI321" s="488">
        <f>III_Model_PT!BI24</f>
        <v/>
      </c>
      <c r="BJ321">
        <f>O321</f>
        <v/>
      </c>
      <c r="BK321">
        <f>SUM(AG321:AW321)</f>
        <v/>
      </c>
      <c r="BL321" s="531">
        <f>BJ321-BK321</f>
        <v/>
      </c>
      <c r="BM321" s="201" t="n"/>
      <c r="BN321" s="659" t="n"/>
      <c r="BO321" s="659" t="n"/>
      <c r="BP321" s="659" t="n"/>
      <c r="BQ321" s="659" t="n"/>
      <c r="BR321" s="659" t="n"/>
      <c r="BS321" s="659" t="n"/>
      <c r="BT321" s="659" t="n"/>
      <c r="BU321" s="659" t="n"/>
      <c r="BV321" s="659" t="n"/>
      <c r="BW321" s="659" t="n"/>
    </row>
    <row r="322" hidden="1" outlineLevel="1" customFormat="1" s="488">
      <c r="A322" s="488">
        <f>III_Model_PT!A25</f>
        <v/>
      </c>
      <c r="B322" s="488">
        <f>III_Model_PT!B25</f>
        <v/>
      </c>
      <c r="C322" s="488">
        <f>III_Model_PT!C25</f>
        <v/>
      </c>
      <c r="D322" s="488">
        <f>III_Model_PT!D25</f>
        <v/>
      </c>
      <c r="E322" s="488">
        <f>III_Model_PT!E25</f>
        <v/>
      </c>
      <c r="F322" s="488">
        <f>III_Model_PT!F25</f>
        <v/>
      </c>
      <c r="G322" s="488">
        <f>III_Model_PT!G25</f>
        <v/>
      </c>
      <c r="H322" s="488">
        <f>III_Model_PT!H25</f>
        <v/>
      </c>
      <c r="I322" s="488">
        <f>III_Model_PT!I25</f>
        <v/>
      </c>
      <c r="J322" s="488">
        <f>III_Model_PT!J25</f>
        <v/>
      </c>
      <c r="K322" s="672">
        <f>III_Model_PT!K25</f>
        <v/>
      </c>
      <c r="L322" s="672">
        <f>III_Model_PT!L25</f>
        <v/>
      </c>
      <c r="M322" s="488">
        <f>III_Model_PT!M25</f>
        <v/>
      </c>
      <c r="N322" s="488">
        <f>III_Model_PT!N25</f>
        <v/>
      </c>
      <c r="O322" s="488">
        <f>III_Model_PT!O25</f>
        <v/>
      </c>
      <c r="P322" s="629">
        <f>III_Model_PT!P25</f>
        <v/>
      </c>
      <c r="Q322" s="629">
        <f>III_Model_PT!Q25</f>
        <v/>
      </c>
      <c r="R322" s="629">
        <f>III_Model_PT!R25</f>
        <v/>
      </c>
      <c r="S322" s="629">
        <f>III_Model_PT!S25</f>
        <v/>
      </c>
      <c r="T322" s="629">
        <f>III_Model_PT!T25</f>
        <v/>
      </c>
      <c r="U322" s="629">
        <f>III_Model_PT!U25</f>
        <v/>
      </c>
      <c r="V322" s="629">
        <f>III_Model_PT!V25</f>
        <v/>
      </c>
      <c r="W322" s="629">
        <f>III_Model_PT!W25</f>
        <v/>
      </c>
      <c r="X322" s="629">
        <f>III_Model_PT!X25</f>
        <v/>
      </c>
      <c r="Y322" s="651">
        <f>III_Model_PT!Y25</f>
        <v/>
      </c>
      <c r="Z322" s="651">
        <f>III_Model_PT!Z25</f>
        <v/>
      </c>
      <c r="AA322" s="651">
        <f>III_Model_PT!AA25</f>
        <v/>
      </c>
      <c r="AB322" s="651">
        <f>III_Model_PT!AB25</f>
        <v/>
      </c>
      <c r="AC322" s="614">
        <f>III_Model_PT!AC25</f>
        <v/>
      </c>
      <c r="AD322" s="614">
        <f>III_Model_PT!AD25</f>
        <v/>
      </c>
      <c r="AE322" s="614">
        <f>III_Model_PT!AE25</f>
        <v/>
      </c>
      <c r="AF322" s="614">
        <f>III_Model_PT!AF25</f>
        <v/>
      </c>
      <c r="AG322" s="635">
        <f>III_Model_PT!AG25</f>
        <v/>
      </c>
      <c r="AH322" s="635">
        <f>III_Model_PT!AH25</f>
        <v/>
      </c>
      <c r="AI322" s="635">
        <f>III_Model_PT!AI25</f>
        <v/>
      </c>
      <c r="AJ322" s="635">
        <f>III_Model_PT!AJ25</f>
        <v/>
      </c>
      <c r="AK322" s="635">
        <f>III_Model_PT!AK25</f>
        <v/>
      </c>
      <c r="AL322" s="635">
        <f>III_Model_PT!AL25</f>
        <v/>
      </c>
      <c r="AM322" s="635">
        <f>III_Model_PT!AM25</f>
        <v/>
      </c>
      <c r="AN322" s="635">
        <f>III_Model_PT!AN25</f>
        <v/>
      </c>
      <c r="AO322" s="635">
        <f>III_Model_PT!AO25</f>
        <v/>
      </c>
      <c r="AP322" s="641">
        <f>III_Model_PT!AP25</f>
        <v/>
      </c>
      <c r="AQ322" s="641">
        <f>III_Model_PT!AQ25</f>
        <v/>
      </c>
      <c r="AR322" s="641">
        <f>III_Model_PT!AR25</f>
        <v/>
      </c>
      <c r="AS322" s="641">
        <f>III_Model_PT!AS25</f>
        <v/>
      </c>
      <c r="AT322" s="620">
        <f>III_Model_PT!AT25</f>
        <v/>
      </c>
      <c r="AU322" s="620">
        <f>III_Model_PT!AU25</f>
        <v/>
      </c>
      <c r="AV322" s="620">
        <f>III_Model_PT!AV25</f>
        <v/>
      </c>
      <c r="AW322" s="620">
        <f>III_Model_PT!AW25</f>
        <v/>
      </c>
      <c r="AX322" s="488">
        <f>III_Model_PT!AX25</f>
        <v/>
      </c>
      <c r="AY322" s="488">
        <f>III_Model_PT!AY25</f>
        <v/>
      </c>
      <c r="AZ322" s="488">
        <f>III_Model_PT!AZ25</f>
        <v/>
      </c>
      <c r="BA322" s="488">
        <f>III_Model_PT!BA25</f>
        <v/>
      </c>
      <c r="BB322" s="488">
        <f>III_Model_PT!BB25</f>
        <v/>
      </c>
      <c r="BC322" s="488">
        <f>III_Model_PT!BC25</f>
        <v/>
      </c>
      <c r="BD322" s="488">
        <f>III_Model_PT!BD25</f>
        <v/>
      </c>
      <c r="BE322" s="488">
        <f>III_Model_PT!BE25</f>
        <v/>
      </c>
      <c r="BF322" s="488">
        <f>III_Model_PT!BF25</f>
        <v/>
      </c>
      <c r="BG322" s="488">
        <f>III_Model_PT!BG25</f>
        <v/>
      </c>
      <c r="BH322" s="488">
        <f>III_Model_PT!BH25</f>
        <v/>
      </c>
      <c r="BI322" s="488">
        <f>III_Model_PT!BI25</f>
        <v/>
      </c>
      <c r="BJ322">
        <f>O322</f>
        <v/>
      </c>
      <c r="BK322">
        <f>SUM(AG322:AW322)</f>
        <v/>
      </c>
      <c r="BL322" s="531">
        <f>BJ322-BK322</f>
        <v/>
      </c>
      <c r="BM322" s="201" t="n"/>
      <c r="BN322" s="659" t="n"/>
      <c r="BP322" s="659" t="n"/>
      <c r="BQ322" s="659" t="n"/>
      <c r="BR322" s="659" t="n"/>
      <c r="BT322" s="659" t="n"/>
      <c r="BU322" s="659" t="n"/>
      <c r="BV322" s="659" t="n"/>
    </row>
    <row r="323" hidden="1" outlineLevel="1" customFormat="1" s="488">
      <c r="A323" s="488">
        <f>III_Model_PT!A26</f>
        <v/>
      </c>
      <c r="B323" s="488">
        <f>III_Model_PT!B26</f>
        <v/>
      </c>
      <c r="C323" s="488">
        <f>III_Model_PT!C26</f>
        <v/>
      </c>
      <c r="D323" s="488">
        <f>III_Model_PT!D26</f>
        <v/>
      </c>
      <c r="E323" s="488">
        <f>III_Model_PT!E26</f>
        <v/>
      </c>
      <c r="F323" s="488">
        <f>III_Model_PT!F26</f>
        <v/>
      </c>
      <c r="G323" s="488">
        <f>III_Model_PT!G26</f>
        <v/>
      </c>
      <c r="H323" s="488">
        <f>III_Model_PT!H26</f>
        <v/>
      </c>
      <c r="I323" s="488">
        <f>III_Model_PT!I26</f>
        <v/>
      </c>
      <c r="J323" s="488">
        <f>III_Model_PT!J26</f>
        <v/>
      </c>
      <c r="K323" s="672">
        <f>III_Model_PT!K26</f>
        <v/>
      </c>
      <c r="L323" s="672">
        <f>III_Model_PT!L26</f>
        <v/>
      </c>
      <c r="M323" s="488">
        <f>III_Model_PT!M26</f>
        <v/>
      </c>
      <c r="N323" s="488">
        <f>III_Model_PT!N26</f>
        <v/>
      </c>
      <c r="O323" s="488">
        <f>III_Model_PT!O26</f>
        <v/>
      </c>
      <c r="P323" s="629">
        <f>III_Model_PT!P26</f>
        <v/>
      </c>
      <c r="Q323" s="629">
        <f>III_Model_PT!Q26</f>
        <v/>
      </c>
      <c r="R323" s="629">
        <f>III_Model_PT!R26</f>
        <v/>
      </c>
      <c r="S323" s="629">
        <f>III_Model_PT!S26</f>
        <v/>
      </c>
      <c r="T323" s="629">
        <f>III_Model_PT!T26</f>
        <v/>
      </c>
      <c r="U323" s="629">
        <f>III_Model_PT!U26</f>
        <v/>
      </c>
      <c r="V323" s="629">
        <f>III_Model_PT!V26</f>
        <v/>
      </c>
      <c r="W323" s="629">
        <f>III_Model_PT!W26</f>
        <v/>
      </c>
      <c r="X323" s="629">
        <f>III_Model_PT!X26</f>
        <v/>
      </c>
      <c r="Y323" s="651">
        <f>III_Model_PT!Y26</f>
        <v/>
      </c>
      <c r="Z323" s="651">
        <f>III_Model_PT!Z26</f>
        <v/>
      </c>
      <c r="AA323" s="651">
        <f>III_Model_PT!AA26</f>
        <v/>
      </c>
      <c r="AB323" s="651">
        <f>III_Model_PT!AB26</f>
        <v/>
      </c>
      <c r="AC323" s="614">
        <f>III_Model_PT!AC26</f>
        <v/>
      </c>
      <c r="AD323" s="614">
        <f>III_Model_PT!AD26</f>
        <v/>
      </c>
      <c r="AE323" s="614">
        <f>III_Model_PT!AE26</f>
        <v/>
      </c>
      <c r="AF323" s="614">
        <f>III_Model_PT!AF26</f>
        <v/>
      </c>
      <c r="AG323" s="635">
        <f>III_Model_PT!AG26</f>
        <v/>
      </c>
      <c r="AH323" s="635">
        <f>III_Model_PT!AH26</f>
        <v/>
      </c>
      <c r="AI323" s="635">
        <f>III_Model_PT!AI26</f>
        <v/>
      </c>
      <c r="AJ323" s="635">
        <f>III_Model_PT!AJ26</f>
        <v/>
      </c>
      <c r="AK323" s="635">
        <f>III_Model_PT!AK26</f>
        <v/>
      </c>
      <c r="AL323" s="635">
        <f>III_Model_PT!AL26</f>
        <v/>
      </c>
      <c r="AM323" s="635">
        <f>III_Model_PT!AM26</f>
        <v/>
      </c>
      <c r="AN323" s="635">
        <f>III_Model_PT!AN26</f>
        <v/>
      </c>
      <c r="AO323" s="635">
        <f>III_Model_PT!AO26</f>
        <v/>
      </c>
      <c r="AP323" s="641">
        <f>III_Model_PT!AP26</f>
        <v/>
      </c>
      <c r="AQ323" s="641">
        <f>III_Model_PT!AQ26</f>
        <v/>
      </c>
      <c r="AR323" s="641">
        <f>III_Model_PT!AR26</f>
        <v/>
      </c>
      <c r="AS323" s="641">
        <f>III_Model_PT!AS26</f>
        <v/>
      </c>
      <c r="AT323" s="620">
        <f>III_Model_PT!AT26</f>
        <v/>
      </c>
      <c r="AU323" s="620">
        <f>III_Model_PT!AU26</f>
        <v/>
      </c>
      <c r="AV323" s="620">
        <f>III_Model_PT!AV26</f>
        <v/>
      </c>
      <c r="AW323" s="620">
        <f>III_Model_PT!AW26</f>
        <v/>
      </c>
      <c r="AX323" s="488">
        <f>III_Model_PT!AX26</f>
        <v/>
      </c>
      <c r="AY323" s="488">
        <f>III_Model_PT!AY26</f>
        <v/>
      </c>
      <c r="AZ323" s="488">
        <f>III_Model_PT!AZ26</f>
        <v/>
      </c>
      <c r="BA323" s="488">
        <f>III_Model_PT!BA26</f>
        <v/>
      </c>
      <c r="BB323" s="488">
        <f>III_Model_PT!BB26</f>
        <v/>
      </c>
      <c r="BC323" s="488">
        <f>III_Model_PT!BC26</f>
        <v/>
      </c>
      <c r="BD323" s="488">
        <f>III_Model_PT!BD26</f>
        <v/>
      </c>
      <c r="BE323" s="488">
        <f>III_Model_PT!BE26</f>
        <v/>
      </c>
      <c r="BF323" s="488">
        <f>III_Model_PT!BF26</f>
        <v/>
      </c>
      <c r="BG323" s="488">
        <f>III_Model_PT!BG26</f>
        <v/>
      </c>
      <c r="BH323" s="488">
        <f>III_Model_PT!BH26</f>
        <v/>
      </c>
      <c r="BI323" s="488">
        <f>III_Model_PT!BI26</f>
        <v/>
      </c>
      <c r="BJ323">
        <f>O323</f>
        <v/>
      </c>
      <c r="BK323">
        <f>SUM(AG323:AW323)</f>
        <v/>
      </c>
      <c r="BL323" s="531">
        <f>BJ323-BK323</f>
        <v/>
      </c>
      <c r="BM323" s="201" t="n"/>
      <c r="BN323" s="659" t="n"/>
      <c r="BP323" s="659" t="n"/>
      <c r="BQ323" s="659" t="n"/>
      <c r="BR323" s="659" t="n"/>
      <c r="BT323" s="659" t="n"/>
      <c r="BU323" s="659" t="n"/>
      <c r="BV323" s="659" t="n"/>
    </row>
    <row r="324" hidden="1" outlineLevel="1" customFormat="1" s="488">
      <c r="A324" s="488">
        <f>III_Model_PT!A27</f>
        <v/>
      </c>
      <c r="B324" s="488">
        <f>III_Model_PT!B27</f>
        <v/>
      </c>
      <c r="C324" s="488">
        <f>III_Model_PT!C27</f>
        <v/>
      </c>
      <c r="D324" s="488">
        <f>III_Model_PT!D27</f>
        <v/>
      </c>
      <c r="E324" s="488">
        <f>III_Model_PT!E27</f>
        <v/>
      </c>
      <c r="F324" s="488">
        <f>III_Model_PT!F27</f>
        <v/>
      </c>
      <c r="G324" s="488">
        <f>III_Model_PT!G27</f>
        <v/>
      </c>
      <c r="H324" s="488">
        <f>III_Model_PT!H27</f>
        <v/>
      </c>
      <c r="I324" s="488">
        <f>III_Model_PT!I27</f>
        <v/>
      </c>
      <c r="J324" s="488">
        <f>III_Model_PT!J27</f>
        <v/>
      </c>
      <c r="K324" s="672">
        <f>III_Model_PT!K27</f>
        <v/>
      </c>
      <c r="L324" s="672">
        <f>III_Model_PT!L27</f>
        <v/>
      </c>
      <c r="M324" s="488">
        <f>III_Model_PT!M27</f>
        <v/>
      </c>
      <c r="N324" s="488">
        <f>III_Model_PT!N27</f>
        <v/>
      </c>
      <c r="O324" s="488">
        <f>III_Model_PT!O27</f>
        <v/>
      </c>
      <c r="P324" s="629">
        <f>III_Model_PT!P27</f>
        <v/>
      </c>
      <c r="Q324" s="629">
        <f>III_Model_PT!Q27</f>
        <v/>
      </c>
      <c r="R324" s="629">
        <f>III_Model_PT!R27</f>
        <v/>
      </c>
      <c r="S324" s="629">
        <f>III_Model_PT!S27</f>
        <v/>
      </c>
      <c r="T324" s="629">
        <f>III_Model_PT!T27</f>
        <v/>
      </c>
      <c r="U324" s="629">
        <f>III_Model_PT!U27</f>
        <v/>
      </c>
      <c r="V324" s="629">
        <f>III_Model_PT!V27</f>
        <v/>
      </c>
      <c r="W324" s="629">
        <f>III_Model_PT!W27</f>
        <v/>
      </c>
      <c r="X324" s="629">
        <f>III_Model_PT!X27</f>
        <v/>
      </c>
      <c r="Y324" s="651">
        <f>III_Model_PT!Y27</f>
        <v/>
      </c>
      <c r="Z324" s="651">
        <f>III_Model_PT!Z27</f>
        <v/>
      </c>
      <c r="AA324" s="651">
        <f>III_Model_PT!AA27</f>
        <v/>
      </c>
      <c r="AB324" s="651">
        <f>III_Model_PT!AB27</f>
        <v/>
      </c>
      <c r="AC324" s="614">
        <f>III_Model_PT!AC27</f>
        <v/>
      </c>
      <c r="AD324" s="614">
        <f>III_Model_PT!AD27</f>
        <v/>
      </c>
      <c r="AE324" s="614">
        <f>III_Model_PT!AE27</f>
        <v/>
      </c>
      <c r="AF324" s="614">
        <f>III_Model_PT!AF27</f>
        <v/>
      </c>
      <c r="AG324" s="635">
        <f>III_Model_PT!AG27</f>
        <v/>
      </c>
      <c r="AH324" s="635">
        <f>III_Model_PT!AH27</f>
        <v/>
      </c>
      <c r="AI324" s="635">
        <f>III_Model_PT!AI27</f>
        <v/>
      </c>
      <c r="AJ324" s="635">
        <f>III_Model_PT!AJ27</f>
        <v/>
      </c>
      <c r="AK324" s="635">
        <f>III_Model_PT!AK27</f>
        <v/>
      </c>
      <c r="AL324" s="635">
        <f>III_Model_PT!AL27</f>
        <v/>
      </c>
      <c r="AM324" s="635">
        <f>III_Model_PT!AM27</f>
        <v/>
      </c>
      <c r="AN324" s="635">
        <f>III_Model_PT!AN27</f>
        <v/>
      </c>
      <c r="AO324" s="635">
        <f>III_Model_PT!AO27</f>
        <v/>
      </c>
      <c r="AP324" s="641">
        <f>III_Model_PT!AP27</f>
        <v/>
      </c>
      <c r="AQ324" s="641">
        <f>III_Model_PT!AQ27</f>
        <v/>
      </c>
      <c r="AR324" s="641">
        <f>III_Model_PT!AR27</f>
        <v/>
      </c>
      <c r="AS324" s="641">
        <f>III_Model_PT!AS27</f>
        <v/>
      </c>
      <c r="AT324" s="620">
        <f>III_Model_PT!AT27</f>
        <v/>
      </c>
      <c r="AU324" s="620">
        <f>III_Model_PT!AU27</f>
        <v/>
      </c>
      <c r="AV324" s="620">
        <f>III_Model_PT!AV27</f>
        <v/>
      </c>
      <c r="AW324" s="620">
        <f>III_Model_PT!AW27</f>
        <v/>
      </c>
      <c r="AX324" s="488">
        <f>III_Model_PT!AX27</f>
        <v/>
      </c>
      <c r="AY324" s="488">
        <f>III_Model_PT!AY27</f>
        <v/>
      </c>
      <c r="AZ324" s="488">
        <f>III_Model_PT!AZ27</f>
        <v/>
      </c>
      <c r="BA324" s="488">
        <f>III_Model_PT!BA27</f>
        <v/>
      </c>
      <c r="BB324" s="488">
        <f>III_Model_PT!BB27</f>
        <v/>
      </c>
      <c r="BC324" s="488">
        <f>III_Model_PT!BC27</f>
        <v/>
      </c>
      <c r="BD324" s="488">
        <f>III_Model_PT!BD27</f>
        <v/>
      </c>
      <c r="BE324" s="488">
        <f>III_Model_PT!BE27</f>
        <v/>
      </c>
      <c r="BF324" s="488">
        <f>III_Model_PT!BF27</f>
        <v/>
      </c>
      <c r="BG324" s="488">
        <f>III_Model_PT!BG27</f>
        <v/>
      </c>
      <c r="BH324" s="488">
        <f>III_Model_PT!BH27</f>
        <v/>
      </c>
      <c r="BI324" s="488">
        <f>III_Model_PT!BI27</f>
        <v/>
      </c>
      <c r="BJ324">
        <f>O324</f>
        <v/>
      </c>
      <c r="BK324">
        <f>SUM(AG324:AW324)</f>
        <v/>
      </c>
      <c r="BL324" s="531">
        <f>BJ324-BK324</f>
        <v/>
      </c>
      <c r="BM324" s="201" t="n"/>
      <c r="BN324" s="659" t="n"/>
      <c r="BP324" s="659" t="n"/>
      <c r="BQ324" s="659" t="n"/>
      <c r="BR324" s="659" t="n"/>
      <c r="BT324" s="659" t="n"/>
      <c r="BU324" s="659" t="n"/>
      <c r="BV324" s="659" t="n"/>
    </row>
    <row r="325" hidden="1" outlineLevel="1" customFormat="1" s="488">
      <c r="A325" s="488">
        <f>III_Model_PT!A28</f>
        <v/>
      </c>
      <c r="B325" s="488">
        <f>III_Model_PT!B28</f>
        <v/>
      </c>
      <c r="C325" s="488">
        <f>III_Model_PT!C28</f>
        <v/>
      </c>
      <c r="D325" s="488">
        <f>III_Model_PT!D28</f>
        <v/>
      </c>
      <c r="E325" s="488">
        <f>III_Model_PT!E28</f>
        <v/>
      </c>
      <c r="F325" s="488">
        <f>III_Model_PT!F28</f>
        <v/>
      </c>
      <c r="G325" s="488">
        <f>III_Model_PT!G28</f>
        <v/>
      </c>
      <c r="H325" s="488">
        <f>III_Model_PT!H28</f>
        <v/>
      </c>
      <c r="I325" s="488">
        <f>III_Model_PT!I28</f>
        <v/>
      </c>
      <c r="J325" s="488">
        <f>III_Model_PT!J28</f>
        <v/>
      </c>
      <c r="K325" s="672">
        <f>III_Model_PT!K28</f>
        <v/>
      </c>
      <c r="L325" s="672">
        <f>III_Model_PT!L28</f>
        <v/>
      </c>
      <c r="M325" s="488">
        <f>III_Model_PT!M28</f>
        <v/>
      </c>
      <c r="N325" s="488">
        <f>III_Model_PT!N28</f>
        <v/>
      </c>
      <c r="O325" s="488">
        <f>III_Model_PT!O28</f>
        <v/>
      </c>
      <c r="P325" s="629">
        <f>III_Model_PT!P28</f>
        <v/>
      </c>
      <c r="Q325" s="629">
        <f>III_Model_PT!Q28</f>
        <v/>
      </c>
      <c r="R325" s="629">
        <f>III_Model_PT!R28</f>
        <v/>
      </c>
      <c r="S325" s="629">
        <f>III_Model_PT!S28</f>
        <v/>
      </c>
      <c r="T325" s="629">
        <f>III_Model_PT!T28</f>
        <v/>
      </c>
      <c r="U325" s="629">
        <f>III_Model_PT!U28</f>
        <v/>
      </c>
      <c r="V325" s="629">
        <f>III_Model_PT!V28</f>
        <v/>
      </c>
      <c r="W325" s="629">
        <f>III_Model_PT!W28</f>
        <v/>
      </c>
      <c r="X325" s="629">
        <f>III_Model_PT!X28</f>
        <v/>
      </c>
      <c r="Y325" s="651">
        <f>III_Model_PT!Y28</f>
        <v/>
      </c>
      <c r="Z325" s="651">
        <f>III_Model_PT!Z28</f>
        <v/>
      </c>
      <c r="AA325" s="651">
        <f>III_Model_PT!AA28</f>
        <v/>
      </c>
      <c r="AB325" s="651">
        <f>III_Model_PT!AB28</f>
        <v/>
      </c>
      <c r="AC325" s="614">
        <f>III_Model_PT!AC28</f>
        <v/>
      </c>
      <c r="AD325" s="614">
        <f>III_Model_PT!AD28</f>
        <v/>
      </c>
      <c r="AE325" s="614">
        <f>III_Model_PT!AE28</f>
        <v/>
      </c>
      <c r="AF325" s="614">
        <f>III_Model_PT!AF28</f>
        <v/>
      </c>
      <c r="AG325" s="635">
        <f>III_Model_PT!AG28</f>
        <v/>
      </c>
      <c r="AH325" s="635">
        <f>III_Model_PT!AH28</f>
        <v/>
      </c>
      <c r="AI325" s="635">
        <f>III_Model_PT!AI28</f>
        <v/>
      </c>
      <c r="AJ325" s="635">
        <f>III_Model_PT!AJ28</f>
        <v/>
      </c>
      <c r="AK325" s="635">
        <f>III_Model_PT!AK28</f>
        <v/>
      </c>
      <c r="AL325" s="635">
        <f>III_Model_PT!AL28</f>
        <v/>
      </c>
      <c r="AM325" s="635">
        <f>III_Model_PT!AM28</f>
        <v/>
      </c>
      <c r="AN325" s="635">
        <f>III_Model_PT!AN28</f>
        <v/>
      </c>
      <c r="AO325" s="635">
        <f>III_Model_PT!AO28</f>
        <v/>
      </c>
      <c r="AP325" s="641">
        <f>III_Model_PT!AP28</f>
        <v/>
      </c>
      <c r="AQ325" s="641">
        <f>III_Model_PT!AQ28</f>
        <v/>
      </c>
      <c r="AR325" s="641">
        <f>III_Model_PT!AR28</f>
        <v/>
      </c>
      <c r="AS325" s="641">
        <f>III_Model_PT!AS28</f>
        <v/>
      </c>
      <c r="AT325" s="620">
        <f>III_Model_PT!AT28</f>
        <v/>
      </c>
      <c r="AU325" s="620">
        <f>III_Model_PT!AU28</f>
        <v/>
      </c>
      <c r="AV325" s="620">
        <f>III_Model_PT!AV28</f>
        <v/>
      </c>
      <c r="AW325" s="620">
        <f>III_Model_PT!AW28</f>
        <v/>
      </c>
      <c r="AX325" s="488">
        <f>III_Model_PT!AX28</f>
        <v/>
      </c>
      <c r="AY325" s="488">
        <f>III_Model_PT!AY28</f>
        <v/>
      </c>
      <c r="AZ325" s="488">
        <f>III_Model_PT!AZ28</f>
        <v/>
      </c>
      <c r="BA325" s="488">
        <f>III_Model_PT!BA28</f>
        <v/>
      </c>
      <c r="BB325" s="488">
        <f>III_Model_PT!BB28</f>
        <v/>
      </c>
      <c r="BC325" s="488">
        <f>III_Model_PT!BC28</f>
        <v/>
      </c>
      <c r="BD325" s="488">
        <f>III_Model_PT!BD28</f>
        <v/>
      </c>
      <c r="BE325" s="488">
        <f>III_Model_PT!BE28</f>
        <v/>
      </c>
      <c r="BF325" s="488">
        <f>III_Model_PT!BF28</f>
        <v/>
      </c>
      <c r="BG325" s="488">
        <f>III_Model_PT!BG28</f>
        <v/>
      </c>
      <c r="BH325" s="488">
        <f>III_Model_PT!BH28</f>
        <v/>
      </c>
      <c r="BI325" s="488">
        <f>III_Model_PT!BI28</f>
        <v/>
      </c>
      <c r="BJ325">
        <f>O325</f>
        <v/>
      </c>
      <c r="BK325">
        <f>SUM(AG325:AW325)</f>
        <v/>
      </c>
      <c r="BL325" s="531">
        <f>BJ325-BK325</f>
        <v/>
      </c>
      <c r="BM325" s="201" t="n"/>
      <c r="BN325" s="659" t="n"/>
      <c r="BO325" s="659" t="n"/>
      <c r="BP325" s="659" t="n"/>
      <c r="BQ325" s="659" t="n"/>
      <c r="BR325" s="659" t="n"/>
      <c r="BS325" s="659" t="n"/>
      <c r="BT325" s="659" t="n"/>
      <c r="BU325" s="659" t="n"/>
      <c r="BV325" s="659" t="n"/>
      <c r="BW325" s="659" t="n"/>
    </row>
    <row r="326" hidden="1" outlineLevel="1" customFormat="1" s="488">
      <c r="A326" s="488">
        <f>III_Model_PT!A29</f>
        <v/>
      </c>
      <c r="B326" s="488">
        <f>III_Model_PT!B29</f>
        <v/>
      </c>
      <c r="C326" s="488">
        <f>III_Model_PT!C29</f>
        <v/>
      </c>
      <c r="D326" s="488">
        <f>III_Model_PT!D29</f>
        <v/>
      </c>
      <c r="E326" s="488">
        <f>III_Model_PT!E29</f>
        <v/>
      </c>
      <c r="F326" s="488">
        <f>III_Model_PT!F29</f>
        <v/>
      </c>
      <c r="G326" s="488">
        <f>III_Model_PT!G29</f>
        <v/>
      </c>
      <c r="H326" s="488">
        <f>III_Model_PT!H29</f>
        <v/>
      </c>
      <c r="I326" s="488">
        <f>III_Model_PT!I29</f>
        <v/>
      </c>
      <c r="J326" s="488">
        <f>III_Model_PT!J29</f>
        <v/>
      </c>
      <c r="K326" s="672">
        <f>III_Model_PT!K29</f>
        <v/>
      </c>
      <c r="L326" s="672">
        <f>III_Model_PT!L29</f>
        <v/>
      </c>
      <c r="M326" s="488">
        <f>III_Model_PT!M29</f>
        <v/>
      </c>
      <c r="N326" s="488">
        <f>III_Model_PT!N29</f>
        <v/>
      </c>
      <c r="O326" s="488">
        <f>III_Model_PT!O29</f>
        <v/>
      </c>
      <c r="P326" s="629">
        <f>III_Model_PT!P29</f>
        <v/>
      </c>
      <c r="Q326" s="629">
        <f>III_Model_PT!Q29</f>
        <v/>
      </c>
      <c r="R326" s="629">
        <f>III_Model_PT!R29</f>
        <v/>
      </c>
      <c r="S326" s="629">
        <f>III_Model_PT!S29</f>
        <v/>
      </c>
      <c r="T326" s="629">
        <f>III_Model_PT!T29</f>
        <v/>
      </c>
      <c r="U326" s="629">
        <f>III_Model_PT!U29</f>
        <v/>
      </c>
      <c r="V326" s="629">
        <f>III_Model_PT!V29</f>
        <v/>
      </c>
      <c r="W326" s="629">
        <f>III_Model_PT!W29</f>
        <v/>
      </c>
      <c r="X326" s="629">
        <f>III_Model_PT!X29</f>
        <v/>
      </c>
      <c r="Y326" s="651">
        <f>III_Model_PT!Y29</f>
        <v/>
      </c>
      <c r="Z326" s="651">
        <f>III_Model_PT!Z29</f>
        <v/>
      </c>
      <c r="AA326" s="651">
        <f>III_Model_PT!AA29</f>
        <v/>
      </c>
      <c r="AB326" s="651">
        <f>III_Model_PT!AB29</f>
        <v/>
      </c>
      <c r="AC326" s="614">
        <f>III_Model_PT!AC29</f>
        <v/>
      </c>
      <c r="AD326" s="614">
        <f>III_Model_PT!AD29</f>
        <v/>
      </c>
      <c r="AE326" s="614">
        <f>III_Model_PT!AE29</f>
        <v/>
      </c>
      <c r="AF326" s="614">
        <f>III_Model_PT!AF29</f>
        <v/>
      </c>
      <c r="AG326" s="635">
        <f>III_Model_PT!AG29</f>
        <v/>
      </c>
      <c r="AH326" s="635">
        <f>III_Model_PT!AH29</f>
        <v/>
      </c>
      <c r="AI326" s="635">
        <f>III_Model_PT!AI29</f>
        <v/>
      </c>
      <c r="AJ326" s="635">
        <f>III_Model_PT!AJ29</f>
        <v/>
      </c>
      <c r="AK326" s="635">
        <f>III_Model_PT!AK29</f>
        <v/>
      </c>
      <c r="AL326" s="635">
        <f>III_Model_PT!AL29</f>
        <v/>
      </c>
      <c r="AM326" s="635">
        <f>III_Model_PT!AM29</f>
        <v/>
      </c>
      <c r="AN326" s="635">
        <f>III_Model_PT!AN29</f>
        <v/>
      </c>
      <c r="AO326" s="635">
        <f>III_Model_PT!AO29</f>
        <v/>
      </c>
      <c r="AP326" s="641">
        <f>III_Model_PT!AP29</f>
        <v/>
      </c>
      <c r="AQ326" s="641">
        <f>III_Model_PT!AQ29</f>
        <v/>
      </c>
      <c r="AR326" s="641">
        <f>III_Model_PT!AR29</f>
        <v/>
      </c>
      <c r="AS326" s="641">
        <f>III_Model_PT!AS29</f>
        <v/>
      </c>
      <c r="AT326" s="620">
        <f>III_Model_PT!AT29</f>
        <v/>
      </c>
      <c r="AU326" s="620">
        <f>III_Model_PT!AU29</f>
        <v/>
      </c>
      <c r="AV326" s="620">
        <f>III_Model_PT!AV29</f>
        <v/>
      </c>
      <c r="AW326" s="620">
        <f>III_Model_PT!AW29</f>
        <v/>
      </c>
      <c r="AX326" s="488">
        <f>III_Model_PT!AX29</f>
        <v/>
      </c>
      <c r="AY326" s="488">
        <f>III_Model_PT!AY29</f>
        <v/>
      </c>
      <c r="AZ326" s="488">
        <f>III_Model_PT!AZ29</f>
        <v/>
      </c>
      <c r="BA326" s="488">
        <f>III_Model_PT!BA29</f>
        <v/>
      </c>
      <c r="BB326" s="488">
        <f>III_Model_PT!BB29</f>
        <v/>
      </c>
      <c r="BC326" s="488">
        <f>III_Model_PT!BC29</f>
        <v/>
      </c>
      <c r="BD326" s="488">
        <f>III_Model_PT!BD29</f>
        <v/>
      </c>
      <c r="BE326" s="488">
        <f>III_Model_PT!BE29</f>
        <v/>
      </c>
      <c r="BF326" s="488">
        <f>III_Model_PT!BF29</f>
        <v/>
      </c>
      <c r="BG326" s="488">
        <f>III_Model_PT!BG29</f>
        <v/>
      </c>
      <c r="BH326" s="488">
        <f>III_Model_PT!BH29</f>
        <v/>
      </c>
      <c r="BI326" s="488">
        <f>III_Model_PT!BI29</f>
        <v/>
      </c>
      <c r="BJ326">
        <f>O326</f>
        <v/>
      </c>
      <c r="BK326">
        <f>SUM(AG326:AW326)</f>
        <v/>
      </c>
      <c r="BL326" s="531">
        <f>BJ326-BK326</f>
        <v/>
      </c>
      <c r="BM326" s="201" t="n"/>
      <c r="BN326" s="659" t="n"/>
      <c r="BO326" s="659" t="n"/>
      <c r="BP326" s="659" t="n"/>
      <c r="BQ326" s="659" t="n"/>
      <c r="BR326" s="659" t="n"/>
      <c r="BS326" s="659" t="n"/>
      <c r="BT326" s="659" t="n"/>
      <c r="BU326" s="659" t="n"/>
      <c r="BV326" s="659" t="n"/>
      <c r="BW326" s="659" t="n"/>
    </row>
    <row r="327" hidden="1" outlineLevel="1" customFormat="1" s="488">
      <c r="A327" s="488">
        <f>III_Model_PT!A30</f>
        <v/>
      </c>
      <c r="B327" s="488">
        <f>III_Model_PT!B30</f>
        <v/>
      </c>
      <c r="C327" s="488">
        <f>III_Model_PT!C30</f>
        <v/>
      </c>
      <c r="D327" s="488">
        <f>III_Model_PT!D30</f>
        <v/>
      </c>
      <c r="E327" s="488">
        <f>III_Model_PT!E30</f>
        <v/>
      </c>
      <c r="F327" s="488">
        <f>III_Model_PT!F30</f>
        <v/>
      </c>
      <c r="G327" s="488">
        <f>III_Model_PT!G30</f>
        <v/>
      </c>
      <c r="H327" s="488">
        <f>III_Model_PT!H30</f>
        <v/>
      </c>
      <c r="I327" s="488">
        <f>III_Model_PT!I30</f>
        <v/>
      </c>
      <c r="J327" s="488">
        <f>III_Model_PT!J30</f>
        <v/>
      </c>
      <c r="K327" s="672">
        <f>III_Model_PT!K30</f>
        <v/>
      </c>
      <c r="L327" s="672">
        <f>III_Model_PT!L30</f>
        <v/>
      </c>
      <c r="M327" s="488">
        <f>III_Model_PT!M30</f>
        <v/>
      </c>
      <c r="N327" s="488">
        <f>III_Model_PT!N30</f>
        <v/>
      </c>
      <c r="O327" s="488">
        <f>III_Model_PT!O30</f>
        <v/>
      </c>
      <c r="P327" s="629">
        <f>III_Model_PT!P30</f>
        <v/>
      </c>
      <c r="Q327" s="629">
        <f>III_Model_PT!Q30</f>
        <v/>
      </c>
      <c r="R327" s="629">
        <f>III_Model_PT!R30</f>
        <v/>
      </c>
      <c r="S327" s="629">
        <f>III_Model_PT!S30</f>
        <v/>
      </c>
      <c r="T327" s="629">
        <f>III_Model_PT!T30</f>
        <v/>
      </c>
      <c r="U327" s="629">
        <f>III_Model_PT!U30</f>
        <v/>
      </c>
      <c r="V327" s="629">
        <f>III_Model_PT!V30</f>
        <v/>
      </c>
      <c r="W327" s="629">
        <f>III_Model_PT!W30</f>
        <v/>
      </c>
      <c r="X327" s="629">
        <f>III_Model_PT!X30</f>
        <v/>
      </c>
      <c r="Y327" s="651">
        <f>III_Model_PT!Y30</f>
        <v/>
      </c>
      <c r="Z327" s="651">
        <f>III_Model_PT!Z30</f>
        <v/>
      </c>
      <c r="AA327" s="651">
        <f>III_Model_PT!AA30</f>
        <v/>
      </c>
      <c r="AB327" s="651">
        <f>III_Model_PT!AB30</f>
        <v/>
      </c>
      <c r="AC327" s="614">
        <f>III_Model_PT!AC30</f>
        <v/>
      </c>
      <c r="AD327" s="614">
        <f>III_Model_PT!AD30</f>
        <v/>
      </c>
      <c r="AE327" s="614">
        <f>III_Model_PT!AE30</f>
        <v/>
      </c>
      <c r="AF327" s="614">
        <f>III_Model_PT!AF30</f>
        <v/>
      </c>
      <c r="AG327" s="635">
        <f>III_Model_PT!AG30</f>
        <v/>
      </c>
      <c r="AH327" s="635">
        <f>III_Model_PT!AH30</f>
        <v/>
      </c>
      <c r="AI327" s="635">
        <f>III_Model_PT!AI30</f>
        <v/>
      </c>
      <c r="AJ327" s="635">
        <f>III_Model_PT!AJ30</f>
        <v/>
      </c>
      <c r="AK327" s="635">
        <f>III_Model_PT!AK30</f>
        <v/>
      </c>
      <c r="AL327" s="635">
        <f>III_Model_PT!AL30</f>
        <v/>
      </c>
      <c r="AM327" s="635">
        <f>III_Model_PT!AM30</f>
        <v/>
      </c>
      <c r="AN327" s="635">
        <f>III_Model_PT!AN30</f>
        <v/>
      </c>
      <c r="AO327" s="635">
        <f>III_Model_PT!AO30</f>
        <v/>
      </c>
      <c r="AP327" s="641">
        <f>III_Model_PT!AP30</f>
        <v/>
      </c>
      <c r="AQ327" s="641">
        <f>III_Model_PT!AQ30</f>
        <v/>
      </c>
      <c r="AR327" s="641">
        <f>III_Model_PT!AR30</f>
        <v/>
      </c>
      <c r="AS327" s="641">
        <f>III_Model_PT!AS30</f>
        <v/>
      </c>
      <c r="AT327" s="620">
        <f>III_Model_PT!AT30</f>
        <v/>
      </c>
      <c r="AU327" s="620">
        <f>III_Model_PT!AU30</f>
        <v/>
      </c>
      <c r="AV327" s="620">
        <f>III_Model_PT!AV30</f>
        <v/>
      </c>
      <c r="AW327" s="620">
        <f>III_Model_PT!AW30</f>
        <v/>
      </c>
      <c r="AX327" s="488">
        <f>III_Model_PT!AX30</f>
        <v/>
      </c>
      <c r="AY327" s="488">
        <f>III_Model_PT!AY30</f>
        <v/>
      </c>
      <c r="AZ327" s="488">
        <f>III_Model_PT!AZ30</f>
        <v/>
      </c>
      <c r="BA327" s="488">
        <f>III_Model_PT!BA30</f>
        <v/>
      </c>
      <c r="BB327" s="488">
        <f>III_Model_PT!BB30</f>
        <v/>
      </c>
      <c r="BC327" s="488">
        <f>III_Model_PT!BC30</f>
        <v/>
      </c>
      <c r="BD327" s="488">
        <f>III_Model_PT!BD30</f>
        <v/>
      </c>
      <c r="BE327" s="488">
        <f>III_Model_PT!BE30</f>
        <v/>
      </c>
      <c r="BF327" s="488">
        <f>III_Model_PT!BF30</f>
        <v/>
      </c>
      <c r="BG327" s="488">
        <f>III_Model_PT!BG30</f>
        <v/>
      </c>
      <c r="BH327" s="488">
        <f>III_Model_PT!BH30</f>
        <v/>
      </c>
      <c r="BI327" s="488">
        <f>III_Model_PT!BI30</f>
        <v/>
      </c>
      <c r="BJ327">
        <f>O327</f>
        <v/>
      </c>
      <c r="BK327">
        <f>SUM(AG327:AW327)</f>
        <v/>
      </c>
      <c r="BL327" s="531">
        <f>BJ327-BK327</f>
        <v/>
      </c>
      <c r="BM327" s="201" t="n"/>
      <c r="BN327" s="659" t="n"/>
      <c r="BO327" s="659" t="n"/>
      <c r="BP327" s="659" t="n"/>
      <c r="BQ327" s="659" t="n"/>
      <c r="BR327" s="659" t="n"/>
      <c r="BS327" s="659" t="n"/>
      <c r="BT327" s="659" t="n"/>
      <c r="BU327" s="659" t="n"/>
      <c r="BV327" s="659" t="n"/>
      <c r="BW327" s="659" t="n"/>
    </row>
    <row r="328" hidden="1" outlineLevel="1" customFormat="1" s="488">
      <c r="A328" s="488">
        <f>III_Model_PT!A31</f>
        <v/>
      </c>
      <c r="B328" s="488">
        <f>III_Model_PT!B31</f>
        <v/>
      </c>
      <c r="C328" s="488">
        <f>III_Model_PT!C31</f>
        <v/>
      </c>
      <c r="D328" s="488">
        <f>III_Model_PT!D31</f>
        <v/>
      </c>
      <c r="E328" s="488">
        <f>III_Model_PT!E31</f>
        <v/>
      </c>
      <c r="F328" s="488">
        <f>III_Model_PT!F31</f>
        <v/>
      </c>
      <c r="G328" s="488">
        <f>III_Model_PT!G31</f>
        <v/>
      </c>
      <c r="H328" s="488">
        <f>III_Model_PT!H31</f>
        <v/>
      </c>
      <c r="I328" s="488">
        <f>III_Model_PT!I31</f>
        <v/>
      </c>
      <c r="J328" s="488">
        <f>III_Model_PT!J31</f>
        <v/>
      </c>
      <c r="K328" s="672">
        <f>III_Model_PT!K31</f>
        <v/>
      </c>
      <c r="L328" s="672">
        <f>III_Model_PT!L31</f>
        <v/>
      </c>
      <c r="M328" s="488">
        <f>III_Model_PT!M31</f>
        <v/>
      </c>
      <c r="N328" s="488">
        <f>III_Model_PT!N31</f>
        <v/>
      </c>
      <c r="O328" s="488">
        <f>III_Model_PT!O31</f>
        <v/>
      </c>
      <c r="P328" s="629">
        <f>III_Model_PT!P31</f>
        <v/>
      </c>
      <c r="Q328" s="629">
        <f>III_Model_PT!Q31</f>
        <v/>
      </c>
      <c r="R328" s="629">
        <f>III_Model_PT!R31</f>
        <v/>
      </c>
      <c r="S328" s="629">
        <f>III_Model_PT!S31</f>
        <v/>
      </c>
      <c r="T328" s="629">
        <f>III_Model_PT!T31</f>
        <v/>
      </c>
      <c r="U328" s="629">
        <f>III_Model_PT!U31</f>
        <v/>
      </c>
      <c r="V328" s="629">
        <f>III_Model_PT!V31</f>
        <v/>
      </c>
      <c r="W328" s="629">
        <f>III_Model_PT!W31</f>
        <v/>
      </c>
      <c r="X328" s="629">
        <f>III_Model_PT!X31</f>
        <v/>
      </c>
      <c r="Y328" s="651">
        <f>III_Model_PT!Y31</f>
        <v/>
      </c>
      <c r="Z328" s="651">
        <f>III_Model_PT!Z31</f>
        <v/>
      </c>
      <c r="AA328" s="651">
        <f>III_Model_PT!AA31</f>
        <v/>
      </c>
      <c r="AB328" s="651">
        <f>III_Model_PT!AB31</f>
        <v/>
      </c>
      <c r="AC328" s="614">
        <f>III_Model_PT!AC31</f>
        <v/>
      </c>
      <c r="AD328" s="614">
        <f>III_Model_PT!AD31</f>
        <v/>
      </c>
      <c r="AE328" s="614">
        <f>III_Model_PT!AE31</f>
        <v/>
      </c>
      <c r="AF328" s="614">
        <f>III_Model_PT!AF31</f>
        <v/>
      </c>
      <c r="AG328" s="635">
        <f>III_Model_PT!AG31</f>
        <v/>
      </c>
      <c r="AH328" s="635">
        <f>III_Model_PT!AH31</f>
        <v/>
      </c>
      <c r="AI328" s="635">
        <f>III_Model_PT!AI31</f>
        <v/>
      </c>
      <c r="AJ328" s="635">
        <f>III_Model_PT!AJ31</f>
        <v/>
      </c>
      <c r="AK328" s="635">
        <f>III_Model_PT!AK31</f>
        <v/>
      </c>
      <c r="AL328" s="635">
        <f>III_Model_PT!AL31</f>
        <v/>
      </c>
      <c r="AM328" s="635">
        <f>III_Model_PT!AM31</f>
        <v/>
      </c>
      <c r="AN328" s="635">
        <f>III_Model_PT!AN31</f>
        <v/>
      </c>
      <c r="AO328" s="635">
        <f>III_Model_PT!AO31</f>
        <v/>
      </c>
      <c r="AP328" s="641">
        <f>III_Model_PT!AP31</f>
        <v/>
      </c>
      <c r="AQ328" s="641">
        <f>III_Model_PT!AQ31</f>
        <v/>
      </c>
      <c r="AR328" s="641">
        <f>III_Model_PT!AR31</f>
        <v/>
      </c>
      <c r="AS328" s="641">
        <f>III_Model_PT!AS31</f>
        <v/>
      </c>
      <c r="AT328" s="620">
        <f>III_Model_PT!AT31</f>
        <v/>
      </c>
      <c r="AU328" s="620">
        <f>III_Model_PT!AU31</f>
        <v/>
      </c>
      <c r="AV328" s="620">
        <f>III_Model_PT!AV31</f>
        <v/>
      </c>
      <c r="AW328" s="620">
        <f>III_Model_PT!AW31</f>
        <v/>
      </c>
      <c r="AX328" s="488">
        <f>III_Model_PT!AX31</f>
        <v/>
      </c>
      <c r="AY328" s="488">
        <f>III_Model_PT!AY31</f>
        <v/>
      </c>
      <c r="AZ328" s="488">
        <f>III_Model_PT!AZ31</f>
        <v/>
      </c>
      <c r="BA328" s="488">
        <f>III_Model_PT!BA31</f>
        <v/>
      </c>
      <c r="BB328" s="488">
        <f>III_Model_PT!BB31</f>
        <v/>
      </c>
      <c r="BC328" s="488">
        <f>III_Model_PT!BC31</f>
        <v/>
      </c>
      <c r="BD328" s="488">
        <f>III_Model_PT!BD31</f>
        <v/>
      </c>
      <c r="BE328" s="488">
        <f>III_Model_PT!BE31</f>
        <v/>
      </c>
      <c r="BF328" s="488">
        <f>III_Model_PT!BF31</f>
        <v/>
      </c>
      <c r="BG328" s="488">
        <f>III_Model_PT!BG31</f>
        <v/>
      </c>
      <c r="BH328" s="488">
        <f>III_Model_PT!BH31</f>
        <v/>
      </c>
      <c r="BI328" s="488">
        <f>III_Model_PT!BI31</f>
        <v/>
      </c>
      <c r="BJ328">
        <f>O328</f>
        <v/>
      </c>
      <c r="BK328">
        <f>SUM(AG328:AW328)</f>
        <v/>
      </c>
      <c r="BL328" s="531">
        <f>BJ328-BK328</f>
        <v/>
      </c>
      <c r="BM328" s="201" t="n"/>
      <c r="BN328" s="659" t="n"/>
      <c r="BP328" s="659" t="n"/>
      <c r="BQ328" s="659" t="n"/>
      <c r="BR328" s="659" t="n"/>
      <c r="BT328" s="659" t="n"/>
      <c r="BU328" s="659" t="n"/>
      <c r="BV328" s="659" t="n"/>
    </row>
    <row r="329" hidden="1" outlineLevel="1" customFormat="1" s="488">
      <c r="A329" s="488">
        <f>III_Model_PT!A32</f>
        <v/>
      </c>
      <c r="B329" s="488">
        <f>III_Model_PT!B32</f>
        <v/>
      </c>
      <c r="C329" s="488">
        <f>III_Model_PT!C32</f>
        <v/>
      </c>
      <c r="D329" s="488">
        <f>III_Model_PT!D32</f>
        <v/>
      </c>
      <c r="E329" s="488">
        <f>III_Model_PT!E32</f>
        <v/>
      </c>
      <c r="F329" s="488">
        <f>III_Model_PT!F32</f>
        <v/>
      </c>
      <c r="G329" s="488">
        <f>III_Model_PT!G32</f>
        <v/>
      </c>
      <c r="H329" s="488">
        <f>III_Model_PT!H32</f>
        <v/>
      </c>
      <c r="I329" s="488">
        <f>III_Model_PT!I32</f>
        <v/>
      </c>
      <c r="J329" s="488">
        <f>III_Model_PT!J32</f>
        <v/>
      </c>
      <c r="K329" s="672">
        <f>III_Model_PT!K32</f>
        <v/>
      </c>
      <c r="L329" s="672">
        <f>III_Model_PT!L32</f>
        <v/>
      </c>
      <c r="M329" s="488">
        <f>III_Model_PT!M32</f>
        <v/>
      </c>
      <c r="N329" s="488">
        <f>III_Model_PT!N32</f>
        <v/>
      </c>
      <c r="O329" s="488">
        <f>III_Model_PT!O32</f>
        <v/>
      </c>
      <c r="P329" s="629">
        <f>III_Model_PT!P32</f>
        <v/>
      </c>
      <c r="Q329" s="629">
        <f>III_Model_PT!Q32</f>
        <v/>
      </c>
      <c r="R329" s="629">
        <f>III_Model_PT!R32</f>
        <v/>
      </c>
      <c r="S329" s="629">
        <f>III_Model_PT!S32</f>
        <v/>
      </c>
      <c r="T329" s="629">
        <f>III_Model_PT!T32</f>
        <v/>
      </c>
      <c r="U329" s="629">
        <f>III_Model_PT!U32</f>
        <v/>
      </c>
      <c r="V329" s="629">
        <f>III_Model_PT!V32</f>
        <v/>
      </c>
      <c r="W329" s="629">
        <f>III_Model_PT!W32</f>
        <v/>
      </c>
      <c r="X329" s="629">
        <f>III_Model_PT!X32</f>
        <v/>
      </c>
      <c r="Y329" s="651">
        <f>III_Model_PT!Y32</f>
        <v/>
      </c>
      <c r="Z329" s="651">
        <f>III_Model_PT!Z32</f>
        <v/>
      </c>
      <c r="AA329" s="651">
        <f>III_Model_PT!AA32</f>
        <v/>
      </c>
      <c r="AB329" s="651">
        <f>III_Model_PT!AB32</f>
        <v/>
      </c>
      <c r="AC329" s="614">
        <f>III_Model_PT!AC32</f>
        <v/>
      </c>
      <c r="AD329" s="614">
        <f>III_Model_PT!AD32</f>
        <v/>
      </c>
      <c r="AE329" s="614">
        <f>III_Model_PT!AE32</f>
        <v/>
      </c>
      <c r="AF329" s="614">
        <f>III_Model_PT!AF32</f>
        <v/>
      </c>
      <c r="AG329" s="635">
        <f>III_Model_PT!AG32</f>
        <v/>
      </c>
      <c r="AH329" s="635">
        <f>III_Model_PT!AH32</f>
        <v/>
      </c>
      <c r="AI329" s="635">
        <f>III_Model_PT!AI32</f>
        <v/>
      </c>
      <c r="AJ329" s="635">
        <f>III_Model_PT!AJ32</f>
        <v/>
      </c>
      <c r="AK329" s="635">
        <f>III_Model_PT!AK32</f>
        <v/>
      </c>
      <c r="AL329" s="635">
        <f>III_Model_PT!AL32</f>
        <v/>
      </c>
      <c r="AM329" s="635">
        <f>III_Model_PT!AM32</f>
        <v/>
      </c>
      <c r="AN329" s="635">
        <f>III_Model_PT!AN32</f>
        <v/>
      </c>
      <c r="AO329" s="635">
        <f>III_Model_PT!AO32</f>
        <v/>
      </c>
      <c r="AP329" s="641">
        <f>III_Model_PT!AP32</f>
        <v/>
      </c>
      <c r="AQ329" s="641">
        <f>III_Model_PT!AQ32</f>
        <v/>
      </c>
      <c r="AR329" s="641">
        <f>III_Model_PT!AR32</f>
        <v/>
      </c>
      <c r="AS329" s="641">
        <f>III_Model_PT!AS32</f>
        <v/>
      </c>
      <c r="AT329" s="620">
        <f>III_Model_PT!AT32</f>
        <v/>
      </c>
      <c r="AU329" s="620">
        <f>III_Model_PT!AU32</f>
        <v/>
      </c>
      <c r="AV329" s="620">
        <f>III_Model_PT!AV32</f>
        <v/>
      </c>
      <c r="AW329" s="620">
        <f>III_Model_PT!AW32</f>
        <v/>
      </c>
      <c r="AX329" s="488">
        <f>III_Model_PT!AX32</f>
        <v/>
      </c>
      <c r="AY329" s="488">
        <f>III_Model_PT!AY32</f>
        <v/>
      </c>
      <c r="AZ329" s="488">
        <f>III_Model_PT!AZ32</f>
        <v/>
      </c>
      <c r="BA329" s="488">
        <f>III_Model_PT!BA32</f>
        <v/>
      </c>
      <c r="BB329" s="488">
        <f>III_Model_PT!BB32</f>
        <v/>
      </c>
      <c r="BC329" s="488">
        <f>III_Model_PT!BC32</f>
        <v/>
      </c>
      <c r="BD329" s="488">
        <f>III_Model_PT!BD32</f>
        <v/>
      </c>
      <c r="BE329" s="488">
        <f>III_Model_PT!BE32</f>
        <v/>
      </c>
      <c r="BF329" s="488">
        <f>III_Model_PT!BF32</f>
        <v/>
      </c>
      <c r="BG329" s="488">
        <f>III_Model_PT!BG32</f>
        <v/>
      </c>
      <c r="BH329" s="488">
        <f>III_Model_PT!BH32</f>
        <v/>
      </c>
      <c r="BI329" s="488">
        <f>III_Model_PT!BI32</f>
        <v/>
      </c>
      <c r="BJ329">
        <f>O329</f>
        <v/>
      </c>
      <c r="BK329">
        <f>SUM(AG329:AW329)</f>
        <v/>
      </c>
      <c r="BL329" s="531">
        <f>BJ329-BK329</f>
        <v/>
      </c>
      <c r="BM329" s="201" t="n"/>
      <c r="BN329" s="659" t="n"/>
      <c r="BP329" s="659" t="n"/>
      <c r="BQ329" s="659" t="n"/>
      <c r="BR329" s="659" t="n"/>
      <c r="BT329" s="659" t="n"/>
      <c r="BU329" s="659" t="n"/>
      <c r="BV329" s="659" t="n"/>
    </row>
    <row r="330" hidden="1" outlineLevel="1" customFormat="1" s="488">
      <c r="A330" s="488">
        <f>III_Model_PT!A33</f>
        <v/>
      </c>
      <c r="B330" s="488">
        <f>III_Model_PT!B33</f>
        <v/>
      </c>
      <c r="C330" s="488">
        <f>III_Model_PT!C33</f>
        <v/>
      </c>
      <c r="D330" s="488">
        <f>III_Model_PT!D33</f>
        <v/>
      </c>
      <c r="E330" s="488">
        <f>III_Model_PT!E33</f>
        <v/>
      </c>
      <c r="F330" s="488">
        <f>III_Model_PT!F33</f>
        <v/>
      </c>
      <c r="G330" s="488">
        <f>III_Model_PT!G33</f>
        <v/>
      </c>
      <c r="H330" s="488">
        <f>III_Model_PT!H33</f>
        <v/>
      </c>
      <c r="I330" s="488">
        <f>III_Model_PT!I33</f>
        <v/>
      </c>
      <c r="J330" s="488">
        <f>III_Model_PT!J33</f>
        <v/>
      </c>
      <c r="K330" s="672">
        <f>III_Model_PT!K33</f>
        <v/>
      </c>
      <c r="L330" s="672">
        <f>III_Model_PT!L33</f>
        <v/>
      </c>
      <c r="M330" s="488">
        <f>III_Model_PT!M33</f>
        <v/>
      </c>
      <c r="N330" s="488">
        <f>III_Model_PT!N33</f>
        <v/>
      </c>
      <c r="O330" s="488">
        <f>III_Model_PT!O33</f>
        <v/>
      </c>
      <c r="P330" s="629">
        <f>III_Model_PT!P33</f>
        <v/>
      </c>
      <c r="Q330" s="629">
        <f>III_Model_PT!Q33</f>
        <v/>
      </c>
      <c r="R330" s="629">
        <f>III_Model_PT!R33</f>
        <v/>
      </c>
      <c r="S330" s="629">
        <f>III_Model_PT!S33</f>
        <v/>
      </c>
      <c r="T330" s="629">
        <f>III_Model_PT!T33</f>
        <v/>
      </c>
      <c r="U330" s="629">
        <f>III_Model_PT!U33</f>
        <v/>
      </c>
      <c r="V330" s="629">
        <f>III_Model_PT!V33</f>
        <v/>
      </c>
      <c r="W330" s="629">
        <f>III_Model_PT!W33</f>
        <v/>
      </c>
      <c r="X330" s="629">
        <f>III_Model_PT!X33</f>
        <v/>
      </c>
      <c r="Y330" s="651">
        <f>III_Model_PT!Y33</f>
        <v/>
      </c>
      <c r="Z330" s="651">
        <f>III_Model_PT!Z33</f>
        <v/>
      </c>
      <c r="AA330" s="651">
        <f>III_Model_PT!AA33</f>
        <v/>
      </c>
      <c r="AB330" s="651">
        <f>III_Model_PT!AB33</f>
        <v/>
      </c>
      <c r="AC330" s="614">
        <f>III_Model_PT!AC33</f>
        <v/>
      </c>
      <c r="AD330" s="614">
        <f>III_Model_PT!AD33</f>
        <v/>
      </c>
      <c r="AE330" s="614">
        <f>III_Model_PT!AE33</f>
        <v/>
      </c>
      <c r="AF330" s="614">
        <f>III_Model_PT!AF33</f>
        <v/>
      </c>
      <c r="AG330" s="635">
        <f>III_Model_PT!AG33</f>
        <v/>
      </c>
      <c r="AH330" s="635">
        <f>III_Model_PT!AH33</f>
        <v/>
      </c>
      <c r="AI330" s="635">
        <f>III_Model_PT!AI33</f>
        <v/>
      </c>
      <c r="AJ330" s="635">
        <f>III_Model_PT!AJ33</f>
        <v/>
      </c>
      <c r="AK330" s="635">
        <f>III_Model_PT!AK33</f>
        <v/>
      </c>
      <c r="AL330" s="635">
        <f>III_Model_PT!AL33</f>
        <v/>
      </c>
      <c r="AM330" s="635">
        <f>III_Model_PT!AM33</f>
        <v/>
      </c>
      <c r="AN330" s="635">
        <f>III_Model_PT!AN33</f>
        <v/>
      </c>
      <c r="AO330" s="635">
        <f>III_Model_PT!AO33</f>
        <v/>
      </c>
      <c r="AP330" s="641">
        <f>III_Model_PT!AP33</f>
        <v/>
      </c>
      <c r="AQ330" s="641">
        <f>III_Model_PT!AQ33</f>
        <v/>
      </c>
      <c r="AR330" s="641">
        <f>III_Model_PT!AR33</f>
        <v/>
      </c>
      <c r="AS330" s="641">
        <f>III_Model_PT!AS33</f>
        <v/>
      </c>
      <c r="AT330" s="620">
        <f>III_Model_PT!AT33</f>
        <v/>
      </c>
      <c r="AU330" s="620">
        <f>III_Model_PT!AU33</f>
        <v/>
      </c>
      <c r="AV330" s="620">
        <f>III_Model_PT!AV33</f>
        <v/>
      </c>
      <c r="AW330" s="620">
        <f>III_Model_PT!AW33</f>
        <v/>
      </c>
      <c r="AX330" s="488">
        <f>III_Model_PT!AX33</f>
        <v/>
      </c>
      <c r="AY330" s="488">
        <f>III_Model_PT!AY33</f>
        <v/>
      </c>
      <c r="AZ330" s="488">
        <f>III_Model_PT!AZ33</f>
        <v/>
      </c>
      <c r="BA330" s="488">
        <f>III_Model_PT!BA33</f>
        <v/>
      </c>
      <c r="BB330" s="488">
        <f>III_Model_PT!BB33</f>
        <v/>
      </c>
      <c r="BC330" s="488">
        <f>III_Model_PT!BC33</f>
        <v/>
      </c>
      <c r="BD330" s="488">
        <f>III_Model_PT!BD33</f>
        <v/>
      </c>
      <c r="BE330" s="488">
        <f>III_Model_PT!BE33</f>
        <v/>
      </c>
      <c r="BF330" s="488">
        <f>III_Model_PT!BF33</f>
        <v/>
      </c>
      <c r="BG330" s="488">
        <f>III_Model_PT!BG33</f>
        <v/>
      </c>
      <c r="BH330" s="488">
        <f>III_Model_PT!BH33</f>
        <v/>
      </c>
      <c r="BI330" s="488">
        <f>III_Model_PT!BI33</f>
        <v/>
      </c>
      <c r="BJ330">
        <f>O330</f>
        <v/>
      </c>
      <c r="BK330">
        <f>SUM(AG330:AW330)</f>
        <v/>
      </c>
      <c r="BL330" s="531">
        <f>BJ330-BK330</f>
        <v/>
      </c>
      <c r="BM330" s="201" t="n"/>
      <c r="BN330" s="659" t="n"/>
      <c r="BP330" s="659" t="n"/>
      <c r="BQ330" s="659" t="n"/>
      <c r="BR330" s="659" t="n"/>
      <c r="BT330" s="659" t="n"/>
      <c r="BU330" s="659" t="n"/>
      <c r="BV330" s="659" t="n"/>
    </row>
    <row r="331" hidden="1" outlineLevel="1" customFormat="1" s="488">
      <c r="A331" s="488">
        <f>III_Model_PT!A34</f>
        <v/>
      </c>
      <c r="B331" s="488">
        <f>III_Model_PT!B34</f>
        <v/>
      </c>
      <c r="C331" s="488">
        <f>III_Model_PT!C34</f>
        <v/>
      </c>
      <c r="D331" s="488">
        <f>III_Model_PT!D34</f>
        <v/>
      </c>
      <c r="E331" s="488">
        <f>III_Model_PT!E34</f>
        <v/>
      </c>
      <c r="F331" s="488">
        <f>III_Model_PT!F34</f>
        <v/>
      </c>
      <c r="G331" s="488">
        <f>III_Model_PT!G34</f>
        <v/>
      </c>
      <c r="H331" s="488">
        <f>III_Model_PT!H34</f>
        <v/>
      </c>
      <c r="I331" s="488">
        <f>III_Model_PT!I34</f>
        <v/>
      </c>
      <c r="J331" s="488">
        <f>III_Model_PT!J34</f>
        <v/>
      </c>
      <c r="K331" s="672">
        <f>III_Model_PT!K34</f>
        <v/>
      </c>
      <c r="L331" s="672">
        <f>III_Model_PT!L34</f>
        <v/>
      </c>
      <c r="M331" s="488">
        <f>III_Model_PT!M34</f>
        <v/>
      </c>
      <c r="N331" s="488">
        <f>III_Model_PT!N34</f>
        <v/>
      </c>
      <c r="O331" s="488">
        <f>III_Model_PT!O34</f>
        <v/>
      </c>
      <c r="P331" s="629">
        <f>III_Model_PT!P34</f>
        <v/>
      </c>
      <c r="Q331" s="629">
        <f>III_Model_PT!Q34</f>
        <v/>
      </c>
      <c r="R331" s="629">
        <f>III_Model_PT!R34</f>
        <v/>
      </c>
      <c r="S331" s="629">
        <f>III_Model_PT!S34</f>
        <v/>
      </c>
      <c r="T331" s="629">
        <f>III_Model_PT!T34</f>
        <v/>
      </c>
      <c r="U331" s="629">
        <f>III_Model_PT!U34</f>
        <v/>
      </c>
      <c r="V331" s="629">
        <f>III_Model_PT!V34</f>
        <v/>
      </c>
      <c r="W331" s="629">
        <f>III_Model_PT!W34</f>
        <v/>
      </c>
      <c r="X331" s="629">
        <f>III_Model_PT!X34</f>
        <v/>
      </c>
      <c r="Y331" s="651">
        <f>III_Model_PT!Y34</f>
        <v/>
      </c>
      <c r="Z331" s="651">
        <f>III_Model_PT!Z34</f>
        <v/>
      </c>
      <c r="AA331" s="651">
        <f>III_Model_PT!AA34</f>
        <v/>
      </c>
      <c r="AB331" s="651">
        <f>III_Model_PT!AB34</f>
        <v/>
      </c>
      <c r="AC331" s="614">
        <f>III_Model_PT!AC34</f>
        <v/>
      </c>
      <c r="AD331" s="614">
        <f>III_Model_PT!AD34</f>
        <v/>
      </c>
      <c r="AE331" s="614">
        <f>III_Model_PT!AE34</f>
        <v/>
      </c>
      <c r="AF331" s="614">
        <f>III_Model_PT!AF34</f>
        <v/>
      </c>
      <c r="AG331" s="635">
        <f>III_Model_PT!AG34</f>
        <v/>
      </c>
      <c r="AH331" s="635">
        <f>III_Model_PT!AH34</f>
        <v/>
      </c>
      <c r="AI331" s="635">
        <f>III_Model_PT!AI34</f>
        <v/>
      </c>
      <c r="AJ331" s="635">
        <f>III_Model_PT!AJ34</f>
        <v/>
      </c>
      <c r="AK331" s="635">
        <f>III_Model_PT!AK34</f>
        <v/>
      </c>
      <c r="AL331" s="635">
        <f>III_Model_PT!AL34</f>
        <v/>
      </c>
      <c r="AM331" s="635">
        <f>III_Model_PT!AM34</f>
        <v/>
      </c>
      <c r="AN331" s="635">
        <f>III_Model_PT!AN34</f>
        <v/>
      </c>
      <c r="AO331" s="635">
        <f>III_Model_PT!AO34</f>
        <v/>
      </c>
      <c r="AP331" s="641">
        <f>III_Model_PT!AP34</f>
        <v/>
      </c>
      <c r="AQ331" s="641">
        <f>III_Model_PT!AQ34</f>
        <v/>
      </c>
      <c r="AR331" s="641">
        <f>III_Model_PT!AR34</f>
        <v/>
      </c>
      <c r="AS331" s="641">
        <f>III_Model_PT!AS34</f>
        <v/>
      </c>
      <c r="AT331" s="620">
        <f>III_Model_PT!AT34</f>
        <v/>
      </c>
      <c r="AU331" s="620">
        <f>III_Model_PT!AU34</f>
        <v/>
      </c>
      <c r="AV331" s="620">
        <f>III_Model_PT!AV34</f>
        <v/>
      </c>
      <c r="AW331" s="620">
        <f>III_Model_PT!AW34</f>
        <v/>
      </c>
      <c r="AX331" s="488">
        <f>III_Model_PT!AX34</f>
        <v/>
      </c>
      <c r="AY331" s="488">
        <f>III_Model_PT!AY34</f>
        <v/>
      </c>
      <c r="AZ331" s="488">
        <f>III_Model_PT!AZ34</f>
        <v/>
      </c>
      <c r="BA331" s="488">
        <f>III_Model_PT!BA34</f>
        <v/>
      </c>
      <c r="BB331" s="488">
        <f>III_Model_PT!BB34</f>
        <v/>
      </c>
      <c r="BC331" s="488">
        <f>III_Model_PT!BC34</f>
        <v/>
      </c>
      <c r="BD331" s="488">
        <f>III_Model_PT!BD34</f>
        <v/>
      </c>
      <c r="BE331" s="488">
        <f>III_Model_PT!BE34</f>
        <v/>
      </c>
      <c r="BF331" s="488">
        <f>III_Model_PT!BF34</f>
        <v/>
      </c>
      <c r="BG331" s="488">
        <f>III_Model_PT!BG34</f>
        <v/>
      </c>
      <c r="BH331" s="488">
        <f>III_Model_PT!BH34</f>
        <v/>
      </c>
      <c r="BI331" s="488">
        <f>III_Model_PT!BI34</f>
        <v/>
      </c>
      <c r="BJ331">
        <f>O331</f>
        <v/>
      </c>
      <c r="BK331">
        <f>SUM(AG331:AW331)</f>
        <v/>
      </c>
      <c r="BL331" s="531">
        <f>BJ331-BK331</f>
        <v/>
      </c>
      <c r="BM331" s="201" t="n"/>
      <c r="BN331" s="659" t="n"/>
      <c r="BP331" s="659" t="n"/>
      <c r="BQ331" s="659" t="n"/>
      <c r="BR331" s="659" t="n"/>
      <c r="BT331" s="659" t="n"/>
      <c r="BU331" s="659" t="n"/>
      <c r="BV331" s="659" t="n"/>
    </row>
    <row r="332" hidden="1" outlineLevel="1" customFormat="1" s="488">
      <c r="A332" s="488">
        <f>III_Model_PT!A35</f>
        <v/>
      </c>
      <c r="B332" s="488">
        <f>III_Model_PT!B35</f>
        <v/>
      </c>
      <c r="C332" s="488">
        <f>III_Model_PT!C35</f>
        <v/>
      </c>
      <c r="D332" s="488">
        <f>III_Model_PT!D35</f>
        <v/>
      </c>
      <c r="E332" s="488">
        <f>III_Model_PT!E35</f>
        <v/>
      </c>
      <c r="F332" s="488">
        <f>III_Model_PT!F35</f>
        <v/>
      </c>
      <c r="G332" s="488">
        <f>III_Model_PT!G35</f>
        <v/>
      </c>
      <c r="H332" s="488">
        <f>III_Model_PT!H35</f>
        <v/>
      </c>
      <c r="I332" s="488">
        <f>III_Model_PT!I35</f>
        <v/>
      </c>
      <c r="J332" s="488">
        <f>III_Model_PT!J35</f>
        <v/>
      </c>
      <c r="K332" s="672">
        <f>III_Model_PT!K35</f>
        <v/>
      </c>
      <c r="L332" s="672">
        <f>III_Model_PT!L35</f>
        <v/>
      </c>
      <c r="M332" s="488">
        <f>III_Model_PT!M35</f>
        <v/>
      </c>
      <c r="N332" s="488">
        <f>III_Model_PT!N35</f>
        <v/>
      </c>
      <c r="O332" s="488">
        <f>III_Model_PT!O35</f>
        <v/>
      </c>
      <c r="P332" s="629">
        <f>III_Model_PT!P35</f>
        <v/>
      </c>
      <c r="Q332" s="629">
        <f>III_Model_PT!Q35</f>
        <v/>
      </c>
      <c r="R332" s="629">
        <f>III_Model_PT!R35</f>
        <v/>
      </c>
      <c r="S332" s="629">
        <f>III_Model_PT!S35</f>
        <v/>
      </c>
      <c r="T332" s="629">
        <f>III_Model_PT!T35</f>
        <v/>
      </c>
      <c r="U332" s="629">
        <f>III_Model_PT!U35</f>
        <v/>
      </c>
      <c r="V332" s="629">
        <f>III_Model_PT!V35</f>
        <v/>
      </c>
      <c r="W332" s="629">
        <f>III_Model_PT!W35</f>
        <v/>
      </c>
      <c r="X332" s="629">
        <f>III_Model_PT!X35</f>
        <v/>
      </c>
      <c r="Y332" s="651">
        <f>III_Model_PT!Y35</f>
        <v/>
      </c>
      <c r="Z332" s="651">
        <f>III_Model_PT!Z35</f>
        <v/>
      </c>
      <c r="AA332" s="651">
        <f>III_Model_PT!AA35</f>
        <v/>
      </c>
      <c r="AB332" s="651">
        <f>III_Model_PT!AB35</f>
        <v/>
      </c>
      <c r="AC332" s="614">
        <f>III_Model_PT!AC35</f>
        <v/>
      </c>
      <c r="AD332" s="614">
        <f>III_Model_PT!AD35</f>
        <v/>
      </c>
      <c r="AE332" s="614">
        <f>III_Model_PT!AE35</f>
        <v/>
      </c>
      <c r="AF332" s="614">
        <f>III_Model_PT!AF35</f>
        <v/>
      </c>
      <c r="AG332" s="635">
        <f>III_Model_PT!AG35</f>
        <v/>
      </c>
      <c r="AH332" s="635">
        <f>III_Model_PT!AH35</f>
        <v/>
      </c>
      <c r="AI332" s="635">
        <f>III_Model_PT!AI35</f>
        <v/>
      </c>
      <c r="AJ332" s="635">
        <f>III_Model_PT!AJ35</f>
        <v/>
      </c>
      <c r="AK332" s="635">
        <f>III_Model_PT!AK35</f>
        <v/>
      </c>
      <c r="AL332" s="635">
        <f>III_Model_PT!AL35</f>
        <v/>
      </c>
      <c r="AM332" s="635">
        <f>III_Model_PT!AM35</f>
        <v/>
      </c>
      <c r="AN332" s="635">
        <f>III_Model_PT!AN35</f>
        <v/>
      </c>
      <c r="AO332" s="635">
        <f>III_Model_PT!AO35</f>
        <v/>
      </c>
      <c r="AP332" s="641">
        <f>III_Model_PT!AP35</f>
        <v/>
      </c>
      <c r="AQ332" s="641">
        <f>III_Model_PT!AQ35</f>
        <v/>
      </c>
      <c r="AR332" s="641">
        <f>III_Model_PT!AR35</f>
        <v/>
      </c>
      <c r="AS332" s="641">
        <f>III_Model_PT!AS35</f>
        <v/>
      </c>
      <c r="AT332" s="620">
        <f>III_Model_PT!AT35</f>
        <v/>
      </c>
      <c r="AU332" s="620">
        <f>III_Model_PT!AU35</f>
        <v/>
      </c>
      <c r="AV332" s="620">
        <f>III_Model_PT!AV35</f>
        <v/>
      </c>
      <c r="AW332" s="620">
        <f>III_Model_PT!AW35</f>
        <v/>
      </c>
      <c r="AX332" s="488">
        <f>III_Model_PT!AX35</f>
        <v/>
      </c>
      <c r="AY332" s="488">
        <f>III_Model_PT!AY35</f>
        <v/>
      </c>
      <c r="AZ332" s="488">
        <f>III_Model_PT!AZ35</f>
        <v/>
      </c>
      <c r="BA332" s="488">
        <f>III_Model_PT!BA35</f>
        <v/>
      </c>
      <c r="BB332" s="488">
        <f>III_Model_PT!BB35</f>
        <v/>
      </c>
      <c r="BC332" s="488">
        <f>III_Model_PT!BC35</f>
        <v/>
      </c>
      <c r="BD332" s="488">
        <f>III_Model_PT!BD35</f>
        <v/>
      </c>
      <c r="BE332" s="488">
        <f>III_Model_PT!BE35</f>
        <v/>
      </c>
      <c r="BF332" s="488">
        <f>III_Model_PT!BF35</f>
        <v/>
      </c>
      <c r="BG332" s="488">
        <f>III_Model_PT!BG35</f>
        <v/>
      </c>
      <c r="BH332" s="488">
        <f>III_Model_PT!BH35</f>
        <v/>
      </c>
      <c r="BI332" s="488">
        <f>III_Model_PT!BI35</f>
        <v/>
      </c>
      <c r="BJ332">
        <f>O332</f>
        <v/>
      </c>
      <c r="BK332">
        <f>SUM(AG332:AW332)</f>
        <v/>
      </c>
      <c r="BL332" s="531">
        <f>BJ332-BK332</f>
        <v/>
      </c>
      <c r="BM332" s="201" t="n"/>
      <c r="BN332" s="659" t="n"/>
      <c r="BP332" s="659" t="n"/>
      <c r="BQ332" s="659" t="n"/>
      <c r="BR332" s="659" t="n"/>
      <c r="BT332" s="659" t="n"/>
      <c r="BU332" s="659" t="n"/>
      <c r="BV332" s="659" t="n"/>
    </row>
    <row r="333" hidden="1" outlineLevel="1" customFormat="1" s="488">
      <c r="A333" s="488">
        <f>III_Model_PT!A36</f>
        <v/>
      </c>
      <c r="B333" s="488">
        <f>III_Model_PT!B36</f>
        <v/>
      </c>
      <c r="C333" s="488">
        <f>III_Model_PT!C36</f>
        <v/>
      </c>
      <c r="D333" s="488">
        <f>III_Model_PT!D36</f>
        <v/>
      </c>
      <c r="E333" s="488">
        <f>III_Model_PT!E36</f>
        <v/>
      </c>
      <c r="F333" s="488">
        <f>III_Model_PT!F36</f>
        <v/>
      </c>
      <c r="G333" s="488">
        <f>III_Model_PT!G36</f>
        <v/>
      </c>
      <c r="H333" s="488">
        <f>III_Model_PT!H36</f>
        <v/>
      </c>
      <c r="I333" s="488">
        <f>III_Model_PT!I36</f>
        <v/>
      </c>
      <c r="J333" s="488">
        <f>III_Model_PT!J36</f>
        <v/>
      </c>
      <c r="K333" s="672">
        <f>III_Model_PT!K36</f>
        <v/>
      </c>
      <c r="L333" s="672">
        <f>III_Model_PT!L36</f>
        <v/>
      </c>
      <c r="M333" s="488">
        <f>III_Model_PT!M36</f>
        <v/>
      </c>
      <c r="N333" s="488">
        <f>III_Model_PT!N36</f>
        <v/>
      </c>
      <c r="O333" s="488">
        <f>III_Model_PT!O36</f>
        <v/>
      </c>
      <c r="P333" s="629">
        <f>III_Model_PT!P36</f>
        <v/>
      </c>
      <c r="Q333" s="629">
        <f>III_Model_PT!Q36</f>
        <v/>
      </c>
      <c r="R333" s="629">
        <f>III_Model_PT!R36</f>
        <v/>
      </c>
      <c r="S333" s="629">
        <f>III_Model_PT!S36</f>
        <v/>
      </c>
      <c r="T333" s="629">
        <f>III_Model_PT!T36</f>
        <v/>
      </c>
      <c r="U333" s="629">
        <f>III_Model_PT!U36</f>
        <v/>
      </c>
      <c r="V333" s="629">
        <f>III_Model_PT!V36</f>
        <v/>
      </c>
      <c r="W333" s="629">
        <f>III_Model_PT!W36</f>
        <v/>
      </c>
      <c r="X333" s="629">
        <f>III_Model_PT!X36</f>
        <v/>
      </c>
      <c r="Y333" s="651">
        <f>III_Model_PT!Y36</f>
        <v/>
      </c>
      <c r="Z333" s="651">
        <f>III_Model_PT!Z36</f>
        <v/>
      </c>
      <c r="AA333" s="651">
        <f>III_Model_PT!AA36</f>
        <v/>
      </c>
      <c r="AB333" s="651">
        <f>III_Model_PT!AB36</f>
        <v/>
      </c>
      <c r="AC333" s="614">
        <f>III_Model_PT!AC36</f>
        <v/>
      </c>
      <c r="AD333" s="614">
        <f>III_Model_PT!AD36</f>
        <v/>
      </c>
      <c r="AE333" s="614">
        <f>III_Model_PT!AE36</f>
        <v/>
      </c>
      <c r="AF333" s="614">
        <f>III_Model_PT!AF36</f>
        <v/>
      </c>
      <c r="AG333" s="635">
        <f>III_Model_PT!AG36</f>
        <v/>
      </c>
      <c r="AH333" s="635">
        <f>III_Model_PT!AH36</f>
        <v/>
      </c>
      <c r="AI333" s="635">
        <f>III_Model_PT!AI36</f>
        <v/>
      </c>
      <c r="AJ333" s="635">
        <f>III_Model_PT!AJ36</f>
        <v/>
      </c>
      <c r="AK333" s="635">
        <f>III_Model_PT!AK36</f>
        <v/>
      </c>
      <c r="AL333" s="635">
        <f>III_Model_PT!AL36</f>
        <v/>
      </c>
      <c r="AM333" s="635">
        <f>III_Model_PT!AM36</f>
        <v/>
      </c>
      <c r="AN333" s="635">
        <f>III_Model_PT!AN36</f>
        <v/>
      </c>
      <c r="AO333" s="635">
        <f>III_Model_PT!AO36</f>
        <v/>
      </c>
      <c r="AP333" s="641">
        <f>III_Model_PT!AP36</f>
        <v/>
      </c>
      <c r="AQ333" s="641">
        <f>III_Model_PT!AQ36</f>
        <v/>
      </c>
      <c r="AR333" s="641">
        <f>III_Model_PT!AR36</f>
        <v/>
      </c>
      <c r="AS333" s="641">
        <f>III_Model_PT!AS36</f>
        <v/>
      </c>
      <c r="AT333" s="620">
        <f>III_Model_PT!AT36</f>
        <v/>
      </c>
      <c r="AU333" s="620">
        <f>III_Model_PT!AU36</f>
        <v/>
      </c>
      <c r="AV333" s="620">
        <f>III_Model_PT!AV36</f>
        <v/>
      </c>
      <c r="AW333" s="620">
        <f>III_Model_PT!AW36</f>
        <v/>
      </c>
      <c r="AX333" s="488">
        <f>III_Model_PT!AX36</f>
        <v/>
      </c>
      <c r="AY333" s="488">
        <f>III_Model_PT!AY36</f>
        <v/>
      </c>
      <c r="AZ333" s="488">
        <f>III_Model_PT!AZ36</f>
        <v/>
      </c>
      <c r="BA333" s="488">
        <f>III_Model_PT!BA36</f>
        <v/>
      </c>
      <c r="BB333" s="488">
        <f>III_Model_PT!BB36</f>
        <v/>
      </c>
      <c r="BC333" s="488">
        <f>III_Model_PT!BC36</f>
        <v/>
      </c>
      <c r="BD333" s="488">
        <f>III_Model_PT!BD36</f>
        <v/>
      </c>
      <c r="BE333" s="488">
        <f>III_Model_PT!BE36</f>
        <v/>
      </c>
      <c r="BF333" s="488">
        <f>III_Model_PT!BF36</f>
        <v/>
      </c>
      <c r="BG333" s="488">
        <f>III_Model_PT!BG36</f>
        <v/>
      </c>
      <c r="BH333" s="488">
        <f>III_Model_PT!BH36</f>
        <v/>
      </c>
      <c r="BI333" s="488">
        <f>III_Model_PT!BI36</f>
        <v/>
      </c>
      <c r="BJ333">
        <f>O333</f>
        <v/>
      </c>
      <c r="BK333">
        <f>SUM(AG333:AW333)</f>
        <v/>
      </c>
      <c r="BL333" s="531">
        <f>BJ333-BK333</f>
        <v/>
      </c>
      <c r="BM333" s="201" t="n"/>
      <c r="BN333" s="659" t="n"/>
      <c r="BP333" s="659" t="n"/>
      <c r="BQ333" s="659" t="n"/>
      <c r="BR333" s="659" t="n"/>
      <c r="BT333" s="659" t="n"/>
      <c r="BU333" s="659" t="n"/>
      <c r="BV333" s="659" t="n"/>
    </row>
    <row r="334" hidden="1" outlineLevel="1" customFormat="1" s="488">
      <c r="A334" s="488">
        <f>III_Model_PT!A37</f>
        <v/>
      </c>
      <c r="B334" s="488">
        <f>III_Model_PT!B37</f>
        <v/>
      </c>
      <c r="C334" s="488">
        <f>III_Model_PT!C37</f>
        <v/>
      </c>
      <c r="D334" s="488">
        <f>III_Model_PT!D37</f>
        <v/>
      </c>
      <c r="E334" s="488">
        <f>III_Model_PT!E37</f>
        <v/>
      </c>
      <c r="F334" s="488">
        <f>III_Model_PT!F37</f>
        <v/>
      </c>
      <c r="G334" s="488">
        <f>III_Model_PT!G37</f>
        <v/>
      </c>
      <c r="H334" s="488">
        <f>III_Model_PT!H37</f>
        <v/>
      </c>
      <c r="I334" s="488">
        <f>III_Model_PT!I37</f>
        <v/>
      </c>
      <c r="J334" s="488">
        <f>III_Model_PT!J37</f>
        <v/>
      </c>
      <c r="K334" s="672">
        <f>III_Model_PT!K37</f>
        <v/>
      </c>
      <c r="L334" s="672">
        <f>III_Model_PT!L37</f>
        <v/>
      </c>
      <c r="M334" s="488">
        <f>III_Model_PT!M37</f>
        <v/>
      </c>
      <c r="N334" s="488">
        <f>III_Model_PT!N37</f>
        <v/>
      </c>
      <c r="O334" s="488">
        <f>III_Model_PT!O37</f>
        <v/>
      </c>
      <c r="P334" s="629">
        <f>III_Model_PT!P37</f>
        <v/>
      </c>
      <c r="Q334" s="629">
        <f>III_Model_PT!Q37</f>
        <v/>
      </c>
      <c r="R334" s="629">
        <f>III_Model_PT!R37</f>
        <v/>
      </c>
      <c r="S334" s="629">
        <f>III_Model_PT!S37</f>
        <v/>
      </c>
      <c r="T334" s="629">
        <f>III_Model_PT!T37</f>
        <v/>
      </c>
      <c r="U334" s="629">
        <f>III_Model_PT!U37</f>
        <v/>
      </c>
      <c r="V334" s="629">
        <f>III_Model_PT!V37</f>
        <v/>
      </c>
      <c r="W334" s="629">
        <f>III_Model_PT!W37</f>
        <v/>
      </c>
      <c r="X334" s="629">
        <f>III_Model_PT!X37</f>
        <v/>
      </c>
      <c r="Y334" s="651">
        <f>III_Model_PT!Y37</f>
        <v/>
      </c>
      <c r="Z334" s="651">
        <f>III_Model_PT!Z37</f>
        <v/>
      </c>
      <c r="AA334" s="651">
        <f>III_Model_PT!AA37</f>
        <v/>
      </c>
      <c r="AB334" s="651">
        <f>III_Model_PT!AB37</f>
        <v/>
      </c>
      <c r="AC334" s="614">
        <f>III_Model_PT!AC37</f>
        <v/>
      </c>
      <c r="AD334" s="614">
        <f>III_Model_PT!AD37</f>
        <v/>
      </c>
      <c r="AE334" s="614">
        <f>III_Model_PT!AE37</f>
        <v/>
      </c>
      <c r="AF334" s="614">
        <f>III_Model_PT!AF37</f>
        <v/>
      </c>
      <c r="AG334" s="635">
        <f>III_Model_PT!AG37</f>
        <v/>
      </c>
      <c r="AH334" s="635">
        <f>III_Model_PT!AH37</f>
        <v/>
      </c>
      <c r="AI334" s="635">
        <f>III_Model_PT!AI37</f>
        <v/>
      </c>
      <c r="AJ334" s="635">
        <f>III_Model_PT!AJ37</f>
        <v/>
      </c>
      <c r="AK334" s="635">
        <f>III_Model_PT!AK37</f>
        <v/>
      </c>
      <c r="AL334" s="635">
        <f>III_Model_PT!AL37</f>
        <v/>
      </c>
      <c r="AM334" s="635">
        <f>III_Model_PT!AM37</f>
        <v/>
      </c>
      <c r="AN334" s="635">
        <f>III_Model_PT!AN37</f>
        <v/>
      </c>
      <c r="AO334" s="635">
        <f>III_Model_PT!AO37</f>
        <v/>
      </c>
      <c r="AP334" s="641">
        <f>III_Model_PT!AP37</f>
        <v/>
      </c>
      <c r="AQ334" s="641">
        <f>III_Model_PT!AQ37</f>
        <v/>
      </c>
      <c r="AR334" s="641">
        <f>III_Model_PT!AR37</f>
        <v/>
      </c>
      <c r="AS334" s="641">
        <f>III_Model_PT!AS37</f>
        <v/>
      </c>
      <c r="AT334" s="620">
        <f>III_Model_PT!AT37</f>
        <v/>
      </c>
      <c r="AU334" s="620">
        <f>III_Model_PT!AU37</f>
        <v/>
      </c>
      <c r="AV334" s="620">
        <f>III_Model_PT!AV37</f>
        <v/>
      </c>
      <c r="AW334" s="620">
        <f>III_Model_PT!AW37</f>
        <v/>
      </c>
      <c r="AX334" s="488">
        <f>III_Model_PT!AX37</f>
        <v/>
      </c>
      <c r="AY334" s="488">
        <f>III_Model_PT!AY37</f>
        <v/>
      </c>
      <c r="AZ334" s="488">
        <f>III_Model_PT!AZ37</f>
        <v/>
      </c>
      <c r="BA334" s="488">
        <f>III_Model_PT!BA37</f>
        <v/>
      </c>
      <c r="BB334" s="488">
        <f>III_Model_PT!BB37</f>
        <v/>
      </c>
      <c r="BC334" s="488">
        <f>III_Model_PT!BC37</f>
        <v/>
      </c>
      <c r="BD334" s="488">
        <f>III_Model_PT!BD37</f>
        <v/>
      </c>
      <c r="BE334" s="488">
        <f>III_Model_PT!BE37</f>
        <v/>
      </c>
      <c r="BF334" s="488">
        <f>III_Model_PT!BF37</f>
        <v/>
      </c>
      <c r="BG334" s="488">
        <f>III_Model_PT!BG37</f>
        <v/>
      </c>
      <c r="BH334" s="488">
        <f>III_Model_PT!BH37</f>
        <v/>
      </c>
      <c r="BI334" s="488">
        <f>III_Model_PT!BI37</f>
        <v/>
      </c>
      <c r="BJ334">
        <f>O334</f>
        <v/>
      </c>
      <c r="BK334">
        <f>SUM(AG334:AW334)</f>
        <v/>
      </c>
      <c r="BL334" s="531">
        <f>BJ334-BK334</f>
        <v/>
      </c>
      <c r="BM334" s="201" t="n"/>
      <c r="BN334" s="659" t="n"/>
      <c r="BO334" s="659" t="n"/>
      <c r="BP334" s="659" t="n"/>
      <c r="BQ334" s="659" t="n"/>
      <c r="BR334" s="659" t="n"/>
      <c r="BS334" s="659" t="n"/>
      <c r="BT334" s="659" t="n"/>
      <c r="BU334" s="659" t="n"/>
      <c r="BV334" s="659" t="n"/>
      <c r="BW334" s="659" t="n"/>
    </row>
    <row r="335" hidden="1" outlineLevel="1" customFormat="1" s="488">
      <c r="A335" s="488">
        <f>III_Model_PT!A38</f>
        <v/>
      </c>
      <c r="B335" s="488">
        <f>III_Model_PT!B38</f>
        <v/>
      </c>
      <c r="C335" s="488">
        <f>III_Model_PT!C38</f>
        <v/>
      </c>
      <c r="D335" s="488">
        <f>III_Model_PT!D38</f>
        <v/>
      </c>
      <c r="E335" s="488">
        <f>III_Model_PT!E38</f>
        <v/>
      </c>
      <c r="F335" s="488">
        <f>III_Model_PT!F38</f>
        <v/>
      </c>
      <c r="G335" s="488">
        <f>III_Model_PT!G38</f>
        <v/>
      </c>
      <c r="H335" s="488">
        <f>III_Model_PT!H38</f>
        <v/>
      </c>
      <c r="I335" s="488">
        <f>III_Model_PT!I38</f>
        <v/>
      </c>
      <c r="J335" s="488">
        <f>III_Model_PT!J38</f>
        <v/>
      </c>
      <c r="K335" s="672">
        <f>III_Model_PT!K38</f>
        <v/>
      </c>
      <c r="L335" s="672">
        <f>III_Model_PT!L38</f>
        <v/>
      </c>
      <c r="M335" s="488">
        <f>III_Model_PT!M38</f>
        <v/>
      </c>
      <c r="N335" s="488">
        <f>III_Model_PT!N38</f>
        <v/>
      </c>
      <c r="O335" s="488">
        <f>III_Model_PT!O38</f>
        <v/>
      </c>
      <c r="P335" s="629">
        <f>III_Model_PT!P38</f>
        <v/>
      </c>
      <c r="Q335" s="629">
        <f>III_Model_PT!Q38</f>
        <v/>
      </c>
      <c r="R335" s="629">
        <f>III_Model_PT!R38</f>
        <v/>
      </c>
      <c r="S335" s="629">
        <f>III_Model_PT!S38</f>
        <v/>
      </c>
      <c r="T335" s="629">
        <f>III_Model_PT!T38</f>
        <v/>
      </c>
      <c r="U335" s="629">
        <f>III_Model_PT!U38</f>
        <v/>
      </c>
      <c r="V335" s="629">
        <f>III_Model_PT!V38</f>
        <v/>
      </c>
      <c r="W335" s="629">
        <f>III_Model_PT!W38</f>
        <v/>
      </c>
      <c r="X335" s="629">
        <f>III_Model_PT!X38</f>
        <v/>
      </c>
      <c r="Y335" s="651">
        <f>III_Model_PT!Y38</f>
        <v/>
      </c>
      <c r="Z335" s="651">
        <f>III_Model_PT!Z38</f>
        <v/>
      </c>
      <c r="AA335" s="651">
        <f>III_Model_PT!AA38</f>
        <v/>
      </c>
      <c r="AB335" s="651">
        <f>III_Model_PT!AB38</f>
        <v/>
      </c>
      <c r="AC335" s="614">
        <f>III_Model_PT!AC38</f>
        <v/>
      </c>
      <c r="AD335" s="614">
        <f>III_Model_PT!AD38</f>
        <v/>
      </c>
      <c r="AE335" s="614">
        <f>III_Model_PT!AE38</f>
        <v/>
      </c>
      <c r="AF335" s="614">
        <f>III_Model_PT!AF38</f>
        <v/>
      </c>
      <c r="AG335" s="635">
        <f>III_Model_PT!AG38</f>
        <v/>
      </c>
      <c r="AH335" s="635">
        <f>III_Model_PT!AH38</f>
        <v/>
      </c>
      <c r="AI335" s="635">
        <f>III_Model_PT!AI38</f>
        <v/>
      </c>
      <c r="AJ335" s="635">
        <f>III_Model_PT!AJ38</f>
        <v/>
      </c>
      <c r="AK335" s="635">
        <f>III_Model_PT!AK38</f>
        <v/>
      </c>
      <c r="AL335" s="635">
        <f>III_Model_PT!AL38</f>
        <v/>
      </c>
      <c r="AM335" s="635">
        <f>III_Model_PT!AM38</f>
        <v/>
      </c>
      <c r="AN335" s="635">
        <f>III_Model_PT!AN38</f>
        <v/>
      </c>
      <c r="AO335" s="635">
        <f>III_Model_PT!AO38</f>
        <v/>
      </c>
      <c r="AP335" s="641">
        <f>III_Model_PT!AP38</f>
        <v/>
      </c>
      <c r="AQ335" s="641">
        <f>III_Model_PT!AQ38</f>
        <v/>
      </c>
      <c r="AR335" s="641">
        <f>III_Model_PT!AR38</f>
        <v/>
      </c>
      <c r="AS335" s="641">
        <f>III_Model_PT!AS38</f>
        <v/>
      </c>
      <c r="AT335" s="620">
        <f>III_Model_PT!AT38</f>
        <v/>
      </c>
      <c r="AU335" s="620">
        <f>III_Model_PT!AU38</f>
        <v/>
      </c>
      <c r="AV335" s="620">
        <f>III_Model_PT!AV38</f>
        <v/>
      </c>
      <c r="AW335" s="620">
        <f>III_Model_PT!AW38</f>
        <v/>
      </c>
      <c r="AX335" s="488">
        <f>III_Model_PT!AX38</f>
        <v/>
      </c>
      <c r="AY335" s="488">
        <f>III_Model_PT!AY38</f>
        <v/>
      </c>
      <c r="AZ335" s="488">
        <f>III_Model_PT!AZ38</f>
        <v/>
      </c>
      <c r="BA335" s="488">
        <f>III_Model_PT!BA38</f>
        <v/>
      </c>
      <c r="BB335" s="488">
        <f>III_Model_PT!BB38</f>
        <v/>
      </c>
      <c r="BC335" s="488">
        <f>III_Model_PT!BC38</f>
        <v/>
      </c>
      <c r="BD335" s="488">
        <f>III_Model_PT!BD38</f>
        <v/>
      </c>
      <c r="BE335" s="488">
        <f>III_Model_PT!BE38</f>
        <v/>
      </c>
      <c r="BF335" s="488">
        <f>III_Model_PT!BF38</f>
        <v/>
      </c>
      <c r="BG335" s="488">
        <f>III_Model_PT!BG38</f>
        <v/>
      </c>
      <c r="BH335" s="488">
        <f>III_Model_PT!BH38</f>
        <v/>
      </c>
      <c r="BI335" s="488">
        <f>III_Model_PT!BI38</f>
        <v/>
      </c>
      <c r="BJ335">
        <f>O335</f>
        <v/>
      </c>
      <c r="BK335">
        <f>SUM(AG335:AW335)</f>
        <v/>
      </c>
      <c r="BL335" s="531">
        <f>BJ335-BK335</f>
        <v/>
      </c>
      <c r="BM335" s="201" t="n"/>
      <c r="BN335" s="659" t="n"/>
      <c r="BO335" s="491" t="n"/>
      <c r="BP335" s="659" t="n"/>
      <c r="BQ335" s="659" t="n"/>
      <c r="BR335" s="659" t="n"/>
      <c r="BS335" s="491" t="n"/>
      <c r="BT335" s="659" t="n"/>
      <c r="BU335" s="659" t="n"/>
      <c r="BV335" s="659" t="n"/>
      <c r="BW335" s="491" t="n"/>
      <c r="BX335" s="488" t="n"/>
    </row>
    <row r="336" hidden="1" outlineLevel="1" customFormat="1" s="488">
      <c r="A336" s="488">
        <f>III_Model_PT!A39</f>
        <v/>
      </c>
      <c r="B336" s="488">
        <f>III_Model_PT!B39</f>
        <v/>
      </c>
      <c r="C336" s="488">
        <f>III_Model_PT!C39</f>
        <v/>
      </c>
      <c r="D336" s="488">
        <f>III_Model_PT!D39</f>
        <v/>
      </c>
      <c r="E336" s="488">
        <f>III_Model_PT!E39</f>
        <v/>
      </c>
      <c r="F336" s="488">
        <f>III_Model_PT!F39</f>
        <v/>
      </c>
      <c r="G336" s="488">
        <f>III_Model_PT!G39</f>
        <v/>
      </c>
      <c r="H336" s="488">
        <f>III_Model_PT!H39</f>
        <v/>
      </c>
      <c r="I336" s="488">
        <f>III_Model_PT!I39</f>
        <v/>
      </c>
      <c r="J336" s="488">
        <f>III_Model_PT!J39</f>
        <v/>
      </c>
      <c r="K336" s="672">
        <f>III_Model_PT!K39</f>
        <v/>
      </c>
      <c r="L336" s="672">
        <f>III_Model_PT!L39</f>
        <v/>
      </c>
      <c r="M336" s="488">
        <f>III_Model_PT!M39</f>
        <v/>
      </c>
      <c r="N336" s="488">
        <f>III_Model_PT!N39</f>
        <v/>
      </c>
      <c r="O336" s="488">
        <f>III_Model_PT!O39</f>
        <v/>
      </c>
      <c r="P336" s="629">
        <f>III_Model_PT!P39</f>
        <v/>
      </c>
      <c r="Q336" s="629">
        <f>III_Model_PT!Q39</f>
        <v/>
      </c>
      <c r="R336" s="629">
        <f>III_Model_PT!R39</f>
        <v/>
      </c>
      <c r="S336" s="629">
        <f>III_Model_PT!S39</f>
        <v/>
      </c>
      <c r="T336" s="629">
        <f>III_Model_PT!T39</f>
        <v/>
      </c>
      <c r="U336" s="629">
        <f>III_Model_PT!U39</f>
        <v/>
      </c>
      <c r="V336" s="629">
        <f>III_Model_PT!V39</f>
        <v/>
      </c>
      <c r="W336" s="629">
        <f>III_Model_PT!W39</f>
        <v/>
      </c>
      <c r="X336" s="629">
        <f>III_Model_PT!X39</f>
        <v/>
      </c>
      <c r="Y336" s="651">
        <f>III_Model_PT!Y39</f>
        <v/>
      </c>
      <c r="Z336" s="651">
        <f>III_Model_PT!Z39</f>
        <v/>
      </c>
      <c r="AA336" s="651">
        <f>III_Model_PT!AA39</f>
        <v/>
      </c>
      <c r="AB336" s="651">
        <f>III_Model_PT!AB39</f>
        <v/>
      </c>
      <c r="AC336" s="614">
        <f>III_Model_PT!AC39</f>
        <v/>
      </c>
      <c r="AD336" s="614">
        <f>III_Model_PT!AD39</f>
        <v/>
      </c>
      <c r="AE336" s="614">
        <f>III_Model_PT!AE39</f>
        <v/>
      </c>
      <c r="AF336" s="614">
        <f>III_Model_PT!AF39</f>
        <v/>
      </c>
      <c r="AG336" s="635">
        <f>III_Model_PT!AG39</f>
        <v/>
      </c>
      <c r="AH336" s="635">
        <f>III_Model_PT!AH39</f>
        <v/>
      </c>
      <c r="AI336" s="635">
        <f>III_Model_PT!AI39</f>
        <v/>
      </c>
      <c r="AJ336" s="635">
        <f>III_Model_PT!AJ39</f>
        <v/>
      </c>
      <c r="AK336" s="635">
        <f>III_Model_PT!AK39</f>
        <v/>
      </c>
      <c r="AL336" s="635">
        <f>III_Model_PT!AL39</f>
        <v/>
      </c>
      <c r="AM336" s="635">
        <f>III_Model_PT!AM39</f>
        <v/>
      </c>
      <c r="AN336" s="635">
        <f>III_Model_PT!AN39</f>
        <v/>
      </c>
      <c r="AO336" s="635">
        <f>III_Model_PT!AO39</f>
        <v/>
      </c>
      <c r="AP336" s="641">
        <f>III_Model_PT!AP39</f>
        <v/>
      </c>
      <c r="AQ336" s="641">
        <f>III_Model_PT!AQ39</f>
        <v/>
      </c>
      <c r="AR336" s="641">
        <f>III_Model_PT!AR39</f>
        <v/>
      </c>
      <c r="AS336" s="641">
        <f>III_Model_PT!AS39</f>
        <v/>
      </c>
      <c r="AT336" s="620">
        <f>III_Model_PT!AT39</f>
        <v/>
      </c>
      <c r="AU336" s="620">
        <f>III_Model_PT!AU39</f>
        <v/>
      </c>
      <c r="AV336" s="620">
        <f>III_Model_PT!AV39</f>
        <v/>
      </c>
      <c r="AW336" s="620">
        <f>III_Model_PT!AW39</f>
        <v/>
      </c>
      <c r="AX336" s="488">
        <f>III_Model_PT!AX39</f>
        <v/>
      </c>
      <c r="AY336" s="488">
        <f>III_Model_PT!AY39</f>
        <v/>
      </c>
      <c r="AZ336" s="488">
        <f>III_Model_PT!AZ39</f>
        <v/>
      </c>
      <c r="BA336" s="488">
        <f>III_Model_PT!BA39</f>
        <v/>
      </c>
      <c r="BB336" s="488">
        <f>III_Model_PT!BB39</f>
        <v/>
      </c>
      <c r="BC336" s="488">
        <f>III_Model_PT!BC39</f>
        <v/>
      </c>
      <c r="BD336" s="488">
        <f>III_Model_PT!BD39</f>
        <v/>
      </c>
      <c r="BE336" s="488">
        <f>III_Model_PT!BE39</f>
        <v/>
      </c>
      <c r="BF336" s="488">
        <f>III_Model_PT!BF39</f>
        <v/>
      </c>
      <c r="BG336" s="488">
        <f>III_Model_PT!BG39</f>
        <v/>
      </c>
      <c r="BH336" s="488">
        <f>III_Model_PT!BH39</f>
        <v/>
      </c>
      <c r="BI336" s="488">
        <f>III_Model_PT!BI39</f>
        <v/>
      </c>
      <c r="BJ336">
        <f>O336</f>
        <v/>
      </c>
      <c r="BK336">
        <f>SUM(AG336:AW336)</f>
        <v/>
      </c>
      <c r="BL336" s="531">
        <f>BJ336-BK336</f>
        <v/>
      </c>
      <c r="BM336" s="201" t="n"/>
      <c r="BN336" s="659" t="n"/>
      <c r="BO336" s="659" t="n"/>
      <c r="BP336" s="659" t="n"/>
      <c r="BQ336" s="659" t="n"/>
      <c r="BR336" s="659" t="n"/>
      <c r="BS336" s="659" t="n"/>
      <c r="BT336" s="659" t="n"/>
      <c r="BU336" s="659" t="n"/>
      <c r="BV336" s="659" t="n"/>
      <c r="BW336" s="659" t="n"/>
    </row>
    <row r="337" hidden="1" outlineLevel="1" customFormat="1" s="488">
      <c r="A337" s="488">
        <f>III_Model_PT!A40</f>
        <v/>
      </c>
      <c r="B337" s="488">
        <f>III_Model_PT!B40</f>
        <v/>
      </c>
      <c r="C337" s="488">
        <f>III_Model_PT!C40</f>
        <v/>
      </c>
      <c r="D337" s="488">
        <f>III_Model_PT!D40</f>
        <v/>
      </c>
      <c r="E337" s="488">
        <f>III_Model_PT!E40</f>
        <v/>
      </c>
      <c r="F337" s="488">
        <f>III_Model_PT!F40</f>
        <v/>
      </c>
      <c r="G337" s="488">
        <f>III_Model_PT!G40</f>
        <v/>
      </c>
      <c r="H337" s="488">
        <f>III_Model_PT!H40</f>
        <v/>
      </c>
      <c r="I337" s="488">
        <f>III_Model_PT!I40</f>
        <v/>
      </c>
      <c r="J337" s="488">
        <f>III_Model_PT!J40</f>
        <v/>
      </c>
      <c r="K337" s="672">
        <f>III_Model_PT!K40</f>
        <v/>
      </c>
      <c r="L337" s="672">
        <f>III_Model_PT!L40</f>
        <v/>
      </c>
      <c r="M337" s="488">
        <f>III_Model_PT!M40</f>
        <v/>
      </c>
      <c r="N337" s="488">
        <f>III_Model_PT!N40</f>
        <v/>
      </c>
      <c r="O337" s="488">
        <f>III_Model_PT!O40</f>
        <v/>
      </c>
      <c r="P337" s="629">
        <f>III_Model_PT!P40</f>
        <v/>
      </c>
      <c r="Q337" s="629">
        <f>III_Model_PT!Q40</f>
        <v/>
      </c>
      <c r="R337" s="629">
        <f>III_Model_PT!R40</f>
        <v/>
      </c>
      <c r="S337" s="629">
        <f>III_Model_PT!S40</f>
        <v/>
      </c>
      <c r="T337" s="629">
        <f>III_Model_PT!T40</f>
        <v/>
      </c>
      <c r="U337" s="629">
        <f>III_Model_PT!U40</f>
        <v/>
      </c>
      <c r="V337" s="629">
        <f>III_Model_PT!V40</f>
        <v/>
      </c>
      <c r="W337" s="629">
        <f>III_Model_PT!W40</f>
        <v/>
      </c>
      <c r="X337" s="629">
        <f>III_Model_PT!X40</f>
        <v/>
      </c>
      <c r="Y337" s="651">
        <f>III_Model_PT!Y40</f>
        <v/>
      </c>
      <c r="Z337" s="651">
        <f>III_Model_PT!Z40</f>
        <v/>
      </c>
      <c r="AA337" s="651">
        <f>III_Model_PT!AA40</f>
        <v/>
      </c>
      <c r="AB337" s="651">
        <f>III_Model_PT!AB40</f>
        <v/>
      </c>
      <c r="AC337" s="614">
        <f>III_Model_PT!AC40</f>
        <v/>
      </c>
      <c r="AD337" s="614">
        <f>III_Model_PT!AD40</f>
        <v/>
      </c>
      <c r="AE337" s="614">
        <f>III_Model_PT!AE40</f>
        <v/>
      </c>
      <c r="AF337" s="614">
        <f>III_Model_PT!AF40</f>
        <v/>
      </c>
      <c r="AG337" s="635">
        <f>III_Model_PT!AG40</f>
        <v/>
      </c>
      <c r="AH337" s="635">
        <f>III_Model_PT!AH40</f>
        <v/>
      </c>
      <c r="AI337" s="635">
        <f>III_Model_PT!AI40</f>
        <v/>
      </c>
      <c r="AJ337" s="635">
        <f>III_Model_PT!AJ40</f>
        <v/>
      </c>
      <c r="AK337" s="635">
        <f>III_Model_PT!AK40</f>
        <v/>
      </c>
      <c r="AL337" s="635">
        <f>III_Model_PT!AL40</f>
        <v/>
      </c>
      <c r="AM337" s="635">
        <f>III_Model_PT!AM40</f>
        <v/>
      </c>
      <c r="AN337" s="635">
        <f>III_Model_PT!AN40</f>
        <v/>
      </c>
      <c r="AO337" s="635">
        <f>III_Model_PT!AO40</f>
        <v/>
      </c>
      <c r="AP337" s="641">
        <f>III_Model_PT!AP40</f>
        <v/>
      </c>
      <c r="AQ337" s="641">
        <f>III_Model_PT!AQ40</f>
        <v/>
      </c>
      <c r="AR337" s="641">
        <f>III_Model_PT!AR40</f>
        <v/>
      </c>
      <c r="AS337" s="641">
        <f>III_Model_PT!AS40</f>
        <v/>
      </c>
      <c r="AT337" s="620">
        <f>III_Model_PT!AT40</f>
        <v/>
      </c>
      <c r="AU337" s="620">
        <f>III_Model_PT!AU40</f>
        <v/>
      </c>
      <c r="AV337" s="620">
        <f>III_Model_PT!AV40</f>
        <v/>
      </c>
      <c r="AW337" s="620">
        <f>III_Model_PT!AW40</f>
        <v/>
      </c>
      <c r="AX337" s="488">
        <f>III_Model_PT!AX40</f>
        <v/>
      </c>
      <c r="AY337" s="488">
        <f>III_Model_PT!AY40</f>
        <v/>
      </c>
      <c r="AZ337" s="488">
        <f>III_Model_PT!AZ40</f>
        <v/>
      </c>
      <c r="BA337" s="488">
        <f>III_Model_PT!BA40</f>
        <v/>
      </c>
      <c r="BB337" s="488">
        <f>III_Model_PT!BB40</f>
        <v/>
      </c>
      <c r="BC337" s="488">
        <f>III_Model_PT!BC40</f>
        <v/>
      </c>
      <c r="BD337" s="488">
        <f>III_Model_PT!BD40</f>
        <v/>
      </c>
      <c r="BE337" s="488">
        <f>III_Model_PT!BE40</f>
        <v/>
      </c>
      <c r="BF337" s="488">
        <f>III_Model_PT!BF40</f>
        <v/>
      </c>
      <c r="BG337" s="488">
        <f>III_Model_PT!BG40</f>
        <v/>
      </c>
      <c r="BH337" s="488">
        <f>III_Model_PT!BH40</f>
        <v/>
      </c>
      <c r="BI337" s="488">
        <f>III_Model_PT!BI40</f>
        <v/>
      </c>
      <c r="BJ337">
        <f>O337</f>
        <v/>
      </c>
      <c r="BK337">
        <f>SUM(AG337:AW337)</f>
        <v/>
      </c>
      <c r="BL337" s="531">
        <f>BJ337-BK337</f>
        <v/>
      </c>
      <c r="BM337" s="201" t="n"/>
      <c r="BN337" s="659" t="n"/>
      <c r="BO337" s="659" t="n"/>
      <c r="BP337" s="659" t="n"/>
      <c r="BQ337" s="659" t="n"/>
      <c r="BR337" s="659" t="n"/>
      <c r="BS337" s="659" t="n"/>
      <c r="BT337" s="659" t="n"/>
      <c r="BU337" s="659" t="n"/>
      <c r="BV337" s="659" t="n"/>
      <c r="BW337" s="659" t="n"/>
    </row>
    <row r="338" hidden="1" outlineLevel="1" customFormat="1" s="488">
      <c r="A338" s="488">
        <f>III_Model_PT!A41</f>
        <v/>
      </c>
      <c r="B338" s="488">
        <f>III_Model_PT!B41</f>
        <v/>
      </c>
      <c r="C338" s="488">
        <f>III_Model_PT!C41</f>
        <v/>
      </c>
      <c r="D338" s="488">
        <f>III_Model_PT!D41</f>
        <v/>
      </c>
      <c r="E338" s="488">
        <f>III_Model_PT!E41</f>
        <v/>
      </c>
      <c r="F338" s="488">
        <f>III_Model_PT!F41</f>
        <v/>
      </c>
      <c r="G338" s="488">
        <f>III_Model_PT!G41</f>
        <v/>
      </c>
      <c r="H338" s="488">
        <f>III_Model_PT!H41</f>
        <v/>
      </c>
      <c r="I338" s="488">
        <f>III_Model_PT!I41</f>
        <v/>
      </c>
      <c r="J338" s="488">
        <f>III_Model_PT!J41</f>
        <v/>
      </c>
      <c r="K338" s="672">
        <f>III_Model_PT!K41</f>
        <v/>
      </c>
      <c r="L338" s="672">
        <f>III_Model_PT!L41</f>
        <v/>
      </c>
      <c r="M338" s="488">
        <f>III_Model_PT!M41</f>
        <v/>
      </c>
      <c r="N338" s="488">
        <f>III_Model_PT!N41</f>
        <v/>
      </c>
      <c r="O338" s="488">
        <f>III_Model_PT!O41</f>
        <v/>
      </c>
      <c r="P338" s="629">
        <f>III_Model_PT!P41</f>
        <v/>
      </c>
      <c r="Q338" s="629">
        <f>III_Model_PT!Q41</f>
        <v/>
      </c>
      <c r="R338" s="629">
        <f>III_Model_PT!R41</f>
        <v/>
      </c>
      <c r="S338" s="629">
        <f>III_Model_PT!S41</f>
        <v/>
      </c>
      <c r="T338" s="629">
        <f>III_Model_PT!T41</f>
        <v/>
      </c>
      <c r="U338" s="629">
        <f>III_Model_PT!U41</f>
        <v/>
      </c>
      <c r="V338" s="629">
        <f>III_Model_PT!V41</f>
        <v/>
      </c>
      <c r="W338" s="629">
        <f>III_Model_PT!W41</f>
        <v/>
      </c>
      <c r="X338" s="629">
        <f>III_Model_PT!X41</f>
        <v/>
      </c>
      <c r="Y338" s="651">
        <f>III_Model_PT!Y41</f>
        <v/>
      </c>
      <c r="Z338" s="651">
        <f>III_Model_PT!Z41</f>
        <v/>
      </c>
      <c r="AA338" s="651">
        <f>III_Model_PT!AA41</f>
        <v/>
      </c>
      <c r="AB338" s="651">
        <f>III_Model_PT!AB41</f>
        <v/>
      </c>
      <c r="AC338" s="614">
        <f>III_Model_PT!AC41</f>
        <v/>
      </c>
      <c r="AD338" s="614">
        <f>III_Model_PT!AD41</f>
        <v/>
      </c>
      <c r="AE338" s="614">
        <f>III_Model_PT!AE41</f>
        <v/>
      </c>
      <c r="AF338" s="614">
        <f>III_Model_PT!AF41</f>
        <v/>
      </c>
      <c r="AG338" s="635">
        <f>III_Model_PT!AG41</f>
        <v/>
      </c>
      <c r="AH338" s="635">
        <f>III_Model_PT!AH41</f>
        <v/>
      </c>
      <c r="AI338" s="635">
        <f>III_Model_PT!AI41</f>
        <v/>
      </c>
      <c r="AJ338" s="635">
        <f>III_Model_PT!AJ41</f>
        <v/>
      </c>
      <c r="AK338" s="635">
        <f>III_Model_PT!AK41</f>
        <v/>
      </c>
      <c r="AL338" s="635">
        <f>III_Model_PT!AL41</f>
        <v/>
      </c>
      <c r="AM338" s="635">
        <f>III_Model_PT!AM41</f>
        <v/>
      </c>
      <c r="AN338" s="635">
        <f>III_Model_PT!AN41</f>
        <v/>
      </c>
      <c r="AO338" s="635">
        <f>III_Model_PT!AO41</f>
        <v/>
      </c>
      <c r="AP338" s="641">
        <f>III_Model_PT!AP41</f>
        <v/>
      </c>
      <c r="AQ338" s="641">
        <f>III_Model_PT!AQ41</f>
        <v/>
      </c>
      <c r="AR338" s="641">
        <f>III_Model_PT!AR41</f>
        <v/>
      </c>
      <c r="AS338" s="641">
        <f>III_Model_PT!AS41</f>
        <v/>
      </c>
      <c r="AT338" s="620">
        <f>III_Model_PT!AT41</f>
        <v/>
      </c>
      <c r="AU338" s="620">
        <f>III_Model_PT!AU41</f>
        <v/>
      </c>
      <c r="AV338" s="620">
        <f>III_Model_PT!AV41</f>
        <v/>
      </c>
      <c r="AW338" s="620">
        <f>III_Model_PT!AW41</f>
        <v/>
      </c>
      <c r="AX338" s="488">
        <f>III_Model_PT!AX41</f>
        <v/>
      </c>
      <c r="AY338" s="488">
        <f>III_Model_PT!AY41</f>
        <v/>
      </c>
      <c r="AZ338" s="488">
        <f>III_Model_PT!AZ41</f>
        <v/>
      </c>
      <c r="BA338" s="488">
        <f>III_Model_PT!BA41</f>
        <v/>
      </c>
      <c r="BB338" s="488">
        <f>III_Model_PT!BB41</f>
        <v/>
      </c>
      <c r="BC338" s="488">
        <f>III_Model_PT!BC41</f>
        <v/>
      </c>
      <c r="BD338" s="488">
        <f>III_Model_PT!BD41</f>
        <v/>
      </c>
      <c r="BE338" s="488">
        <f>III_Model_PT!BE41</f>
        <v/>
      </c>
      <c r="BF338" s="488">
        <f>III_Model_PT!BF41</f>
        <v/>
      </c>
      <c r="BG338" s="488">
        <f>III_Model_PT!BG41</f>
        <v/>
      </c>
      <c r="BH338" s="488">
        <f>III_Model_PT!BH41</f>
        <v/>
      </c>
      <c r="BI338" s="488">
        <f>III_Model_PT!BI41</f>
        <v/>
      </c>
      <c r="BJ338">
        <f>O338</f>
        <v/>
      </c>
      <c r="BK338">
        <f>SUM(AG338:AW338)</f>
        <v/>
      </c>
      <c r="BL338" s="531">
        <f>BJ338-BK338</f>
        <v/>
      </c>
      <c r="BM338" s="201" t="n"/>
      <c r="BN338" s="659" t="n"/>
      <c r="BO338" s="659" t="n"/>
      <c r="BP338" s="659" t="n"/>
      <c r="BQ338" s="659" t="n"/>
      <c r="BR338" s="659" t="n"/>
      <c r="BS338" s="659" t="n"/>
      <c r="BT338" s="659" t="n"/>
      <c r="BU338" s="659" t="n"/>
      <c r="BV338" s="659" t="n"/>
      <c r="BW338" s="659" t="n"/>
    </row>
    <row r="339" hidden="1" outlineLevel="1" customFormat="1" s="488">
      <c r="A339" s="488">
        <f>III_Model_PT!A42</f>
        <v/>
      </c>
      <c r="B339" s="488">
        <f>III_Model_PT!B42</f>
        <v/>
      </c>
      <c r="C339" s="488">
        <f>III_Model_PT!C42</f>
        <v/>
      </c>
      <c r="D339" s="488">
        <f>III_Model_PT!D42</f>
        <v/>
      </c>
      <c r="E339" s="488">
        <f>III_Model_PT!E42</f>
        <v/>
      </c>
      <c r="F339" s="488">
        <f>III_Model_PT!F42</f>
        <v/>
      </c>
      <c r="G339" s="488">
        <f>III_Model_PT!G42</f>
        <v/>
      </c>
      <c r="H339" s="488">
        <f>III_Model_PT!H42</f>
        <v/>
      </c>
      <c r="I339" s="488">
        <f>III_Model_PT!I42</f>
        <v/>
      </c>
      <c r="J339" s="488">
        <f>III_Model_PT!J42</f>
        <v/>
      </c>
      <c r="K339" s="672">
        <f>III_Model_PT!K42</f>
        <v/>
      </c>
      <c r="L339" s="672">
        <f>III_Model_PT!L42</f>
        <v/>
      </c>
      <c r="M339" s="488">
        <f>III_Model_PT!M42</f>
        <v/>
      </c>
      <c r="N339" s="488">
        <f>III_Model_PT!N42</f>
        <v/>
      </c>
      <c r="O339" s="488">
        <f>III_Model_PT!O42</f>
        <v/>
      </c>
      <c r="P339" s="629">
        <f>III_Model_PT!P42</f>
        <v/>
      </c>
      <c r="Q339" s="629">
        <f>III_Model_PT!Q42</f>
        <v/>
      </c>
      <c r="R339" s="629">
        <f>III_Model_PT!R42</f>
        <v/>
      </c>
      <c r="S339" s="629">
        <f>III_Model_PT!S42</f>
        <v/>
      </c>
      <c r="T339" s="629">
        <f>III_Model_PT!T42</f>
        <v/>
      </c>
      <c r="U339" s="629">
        <f>III_Model_PT!U42</f>
        <v/>
      </c>
      <c r="V339" s="629">
        <f>III_Model_PT!V42</f>
        <v/>
      </c>
      <c r="W339" s="629">
        <f>III_Model_PT!W42</f>
        <v/>
      </c>
      <c r="X339" s="629">
        <f>III_Model_PT!X42</f>
        <v/>
      </c>
      <c r="Y339" s="651">
        <f>III_Model_PT!Y42</f>
        <v/>
      </c>
      <c r="Z339" s="651">
        <f>III_Model_PT!Z42</f>
        <v/>
      </c>
      <c r="AA339" s="651">
        <f>III_Model_PT!AA42</f>
        <v/>
      </c>
      <c r="AB339" s="651">
        <f>III_Model_PT!AB42</f>
        <v/>
      </c>
      <c r="AC339" s="614">
        <f>III_Model_PT!AC42</f>
        <v/>
      </c>
      <c r="AD339" s="614">
        <f>III_Model_PT!AD42</f>
        <v/>
      </c>
      <c r="AE339" s="614">
        <f>III_Model_PT!AE42</f>
        <v/>
      </c>
      <c r="AF339" s="614">
        <f>III_Model_PT!AF42</f>
        <v/>
      </c>
      <c r="AG339" s="635">
        <f>III_Model_PT!AG42</f>
        <v/>
      </c>
      <c r="AH339" s="635">
        <f>III_Model_PT!AH42</f>
        <v/>
      </c>
      <c r="AI339" s="635">
        <f>III_Model_PT!AI42</f>
        <v/>
      </c>
      <c r="AJ339" s="635">
        <f>III_Model_PT!AJ42</f>
        <v/>
      </c>
      <c r="AK339" s="635">
        <f>III_Model_PT!AK42</f>
        <v/>
      </c>
      <c r="AL339" s="635">
        <f>III_Model_PT!AL42</f>
        <v/>
      </c>
      <c r="AM339" s="635">
        <f>III_Model_PT!AM42</f>
        <v/>
      </c>
      <c r="AN339" s="635">
        <f>III_Model_PT!AN42</f>
        <v/>
      </c>
      <c r="AO339" s="635">
        <f>III_Model_PT!AO42</f>
        <v/>
      </c>
      <c r="AP339" s="641">
        <f>III_Model_PT!AP42</f>
        <v/>
      </c>
      <c r="AQ339" s="641">
        <f>III_Model_PT!AQ42</f>
        <v/>
      </c>
      <c r="AR339" s="641">
        <f>III_Model_PT!AR42</f>
        <v/>
      </c>
      <c r="AS339" s="641">
        <f>III_Model_PT!AS42</f>
        <v/>
      </c>
      <c r="AT339" s="620">
        <f>III_Model_PT!AT42</f>
        <v/>
      </c>
      <c r="AU339" s="620">
        <f>III_Model_PT!AU42</f>
        <v/>
      </c>
      <c r="AV339" s="620">
        <f>III_Model_PT!AV42</f>
        <v/>
      </c>
      <c r="AW339" s="620">
        <f>III_Model_PT!AW42</f>
        <v/>
      </c>
      <c r="AX339" s="488">
        <f>III_Model_PT!AX42</f>
        <v/>
      </c>
      <c r="AY339" s="488">
        <f>III_Model_PT!AY42</f>
        <v/>
      </c>
      <c r="AZ339" s="488">
        <f>III_Model_PT!AZ42</f>
        <v/>
      </c>
      <c r="BA339" s="488">
        <f>III_Model_PT!BA42</f>
        <v/>
      </c>
      <c r="BB339" s="488">
        <f>III_Model_PT!BB42</f>
        <v/>
      </c>
      <c r="BC339" s="488">
        <f>III_Model_PT!BC42</f>
        <v/>
      </c>
      <c r="BD339" s="488">
        <f>III_Model_PT!BD42</f>
        <v/>
      </c>
      <c r="BE339" s="488">
        <f>III_Model_PT!BE42</f>
        <v/>
      </c>
      <c r="BF339" s="488">
        <f>III_Model_PT!BF42</f>
        <v/>
      </c>
      <c r="BG339" s="488">
        <f>III_Model_PT!BG42</f>
        <v/>
      </c>
      <c r="BH339" s="488">
        <f>III_Model_PT!BH42</f>
        <v/>
      </c>
      <c r="BI339" s="488">
        <f>III_Model_PT!BI42</f>
        <v/>
      </c>
      <c r="BJ339">
        <f>O339</f>
        <v/>
      </c>
      <c r="BK339">
        <f>SUM(AG339:AW339)</f>
        <v/>
      </c>
      <c r="BL339" s="531">
        <f>BJ339-BK339</f>
        <v/>
      </c>
      <c r="BM339" s="201" t="n"/>
      <c r="BN339" s="659" t="n"/>
      <c r="BO339" s="659" t="n"/>
      <c r="BP339" s="659" t="n"/>
      <c r="BQ339" s="659" t="n"/>
      <c r="BR339" s="659" t="n"/>
      <c r="BS339" s="659" t="n"/>
      <c r="BT339" s="659" t="n"/>
      <c r="BU339" s="659" t="n"/>
      <c r="BV339" s="659" t="n"/>
      <c r="BW339" s="659" t="n"/>
    </row>
    <row r="340" hidden="1" outlineLevel="1" customFormat="1" s="488">
      <c r="A340" s="488">
        <f>III_Model_PT!A43</f>
        <v/>
      </c>
      <c r="B340" s="488">
        <f>III_Model_PT!B43</f>
        <v/>
      </c>
      <c r="C340" s="488">
        <f>III_Model_PT!C43</f>
        <v/>
      </c>
      <c r="D340" s="488">
        <f>III_Model_PT!D43</f>
        <v/>
      </c>
      <c r="E340" s="488">
        <f>III_Model_PT!E43</f>
        <v/>
      </c>
      <c r="F340" s="488">
        <f>III_Model_PT!F43</f>
        <v/>
      </c>
      <c r="G340" s="488">
        <f>III_Model_PT!G43</f>
        <v/>
      </c>
      <c r="H340" s="488">
        <f>III_Model_PT!H43</f>
        <v/>
      </c>
      <c r="I340" s="488">
        <f>III_Model_PT!I43</f>
        <v/>
      </c>
      <c r="J340" s="488">
        <f>III_Model_PT!J43</f>
        <v/>
      </c>
      <c r="K340" s="672">
        <f>III_Model_PT!K43</f>
        <v/>
      </c>
      <c r="L340" s="672">
        <f>III_Model_PT!L43</f>
        <v/>
      </c>
      <c r="M340" s="488">
        <f>III_Model_PT!M43</f>
        <v/>
      </c>
      <c r="N340" s="488">
        <f>III_Model_PT!N43</f>
        <v/>
      </c>
      <c r="O340" s="488">
        <f>III_Model_PT!O43</f>
        <v/>
      </c>
      <c r="P340" s="629">
        <f>III_Model_PT!P43</f>
        <v/>
      </c>
      <c r="Q340" s="629">
        <f>III_Model_PT!Q43</f>
        <v/>
      </c>
      <c r="R340" s="629">
        <f>III_Model_PT!R43</f>
        <v/>
      </c>
      <c r="S340" s="629">
        <f>III_Model_PT!S43</f>
        <v/>
      </c>
      <c r="T340" s="629">
        <f>III_Model_PT!T43</f>
        <v/>
      </c>
      <c r="U340" s="629">
        <f>III_Model_PT!U43</f>
        <v/>
      </c>
      <c r="V340" s="629">
        <f>III_Model_PT!V43</f>
        <v/>
      </c>
      <c r="W340" s="629">
        <f>III_Model_PT!W43</f>
        <v/>
      </c>
      <c r="X340" s="629">
        <f>III_Model_PT!X43</f>
        <v/>
      </c>
      <c r="Y340" s="651">
        <f>III_Model_PT!Y43</f>
        <v/>
      </c>
      <c r="Z340" s="651">
        <f>III_Model_PT!Z43</f>
        <v/>
      </c>
      <c r="AA340" s="651">
        <f>III_Model_PT!AA43</f>
        <v/>
      </c>
      <c r="AB340" s="651">
        <f>III_Model_PT!AB43</f>
        <v/>
      </c>
      <c r="AC340" s="614">
        <f>III_Model_PT!AC43</f>
        <v/>
      </c>
      <c r="AD340" s="614">
        <f>III_Model_PT!AD43</f>
        <v/>
      </c>
      <c r="AE340" s="614">
        <f>III_Model_PT!AE43</f>
        <v/>
      </c>
      <c r="AF340" s="614">
        <f>III_Model_PT!AF43</f>
        <v/>
      </c>
      <c r="AG340" s="635">
        <f>III_Model_PT!AG43</f>
        <v/>
      </c>
      <c r="AH340" s="635">
        <f>III_Model_PT!AH43</f>
        <v/>
      </c>
      <c r="AI340" s="635">
        <f>III_Model_PT!AI43</f>
        <v/>
      </c>
      <c r="AJ340" s="635">
        <f>III_Model_PT!AJ43</f>
        <v/>
      </c>
      <c r="AK340" s="635">
        <f>III_Model_PT!AK43</f>
        <v/>
      </c>
      <c r="AL340" s="635">
        <f>III_Model_PT!AL43</f>
        <v/>
      </c>
      <c r="AM340" s="635">
        <f>III_Model_PT!AM43</f>
        <v/>
      </c>
      <c r="AN340" s="635">
        <f>III_Model_PT!AN43</f>
        <v/>
      </c>
      <c r="AO340" s="635">
        <f>III_Model_PT!AO43</f>
        <v/>
      </c>
      <c r="AP340" s="641">
        <f>III_Model_PT!AP43</f>
        <v/>
      </c>
      <c r="AQ340" s="641">
        <f>III_Model_PT!AQ43</f>
        <v/>
      </c>
      <c r="AR340" s="641">
        <f>III_Model_PT!AR43</f>
        <v/>
      </c>
      <c r="AS340" s="641">
        <f>III_Model_PT!AS43</f>
        <v/>
      </c>
      <c r="AT340" s="620">
        <f>III_Model_PT!AT43</f>
        <v/>
      </c>
      <c r="AU340" s="620">
        <f>III_Model_PT!AU43</f>
        <v/>
      </c>
      <c r="AV340" s="620">
        <f>III_Model_PT!AV43</f>
        <v/>
      </c>
      <c r="AW340" s="620">
        <f>III_Model_PT!AW43</f>
        <v/>
      </c>
      <c r="AX340" s="488">
        <f>III_Model_PT!AX43</f>
        <v/>
      </c>
      <c r="AY340" s="488">
        <f>III_Model_PT!AY43</f>
        <v/>
      </c>
      <c r="AZ340" s="488">
        <f>III_Model_PT!AZ43</f>
        <v/>
      </c>
      <c r="BA340" s="488">
        <f>III_Model_PT!BA43</f>
        <v/>
      </c>
      <c r="BB340" s="488">
        <f>III_Model_PT!BB43</f>
        <v/>
      </c>
      <c r="BC340" s="488">
        <f>III_Model_PT!BC43</f>
        <v/>
      </c>
      <c r="BD340" s="488">
        <f>III_Model_PT!BD43</f>
        <v/>
      </c>
      <c r="BE340" s="488">
        <f>III_Model_PT!BE43</f>
        <v/>
      </c>
      <c r="BF340" s="488">
        <f>III_Model_PT!BF43</f>
        <v/>
      </c>
      <c r="BG340" s="488">
        <f>III_Model_PT!BG43</f>
        <v/>
      </c>
      <c r="BH340" s="488">
        <f>III_Model_PT!BH43</f>
        <v/>
      </c>
      <c r="BI340" s="488">
        <f>III_Model_PT!BI43</f>
        <v/>
      </c>
      <c r="BJ340">
        <f>O340</f>
        <v/>
      </c>
      <c r="BK340">
        <f>SUM(AG340:AW340)</f>
        <v/>
      </c>
      <c r="BL340" s="531">
        <f>BJ340-BK340</f>
        <v/>
      </c>
      <c r="BM340" s="201" t="n"/>
      <c r="BN340" s="659" t="n"/>
      <c r="BO340" s="659" t="n"/>
      <c r="BP340" s="659" t="n"/>
      <c r="BQ340" s="659" t="n"/>
      <c r="BR340" s="659" t="n"/>
      <c r="BS340" s="659" t="n"/>
      <c r="BT340" s="659" t="n"/>
      <c r="BU340" s="659" t="n"/>
      <c r="BV340" s="659" t="n"/>
      <c r="BW340" s="659" t="n"/>
      <c r="BX340" s="488" t="n"/>
    </row>
    <row r="341" hidden="1" outlineLevel="1" customFormat="1" s="488">
      <c r="A341" s="488">
        <f>III_Model_PT!A44</f>
        <v/>
      </c>
      <c r="B341" s="488">
        <f>III_Model_PT!B44</f>
        <v/>
      </c>
      <c r="C341" s="488">
        <f>III_Model_PT!C44</f>
        <v/>
      </c>
      <c r="D341" s="488">
        <f>III_Model_PT!D44</f>
        <v/>
      </c>
      <c r="E341" s="488">
        <f>III_Model_PT!E44</f>
        <v/>
      </c>
      <c r="F341" s="488">
        <f>III_Model_PT!F44</f>
        <v/>
      </c>
      <c r="G341" s="488">
        <f>III_Model_PT!G44</f>
        <v/>
      </c>
      <c r="H341" s="488">
        <f>III_Model_PT!H44</f>
        <v/>
      </c>
      <c r="I341" s="488">
        <f>III_Model_PT!I44</f>
        <v/>
      </c>
      <c r="J341" s="488">
        <f>III_Model_PT!J44</f>
        <v/>
      </c>
      <c r="K341" s="672">
        <f>III_Model_PT!K44</f>
        <v/>
      </c>
      <c r="L341" s="672">
        <f>III_Model_PT!L44</f>
        <v/>
      </c>
      <c r="M341" s="488">
        <f>III_Model_PT!M44</f>
        <v/>
      </c>
      <c r="N341" s="488">
        <f>III_Model_PT!N44</f>
        <v/>
      </c>
      <c r="O341" s="488">
        <f>III_Model_PT!O44</f>
        <v/>
      </c>
      <c r="P341" s="629">
        <f>III_Model_PT!P44</f>
        <v/>
      </c>
      <c r="Q341" s="629">
        <f>III_Model_PT!Q44</f>
        <v/>
      </c>
      <c r="R341" s="629">
        <f>III_Model_PT!R44</f>
        <v/>
      </c>
      <c r="S341" s="629">
        <f>III_Model_PT!S44</f>
        <v/>
      </c>
      <c r="T341" s="629">
        <f>III_Model_PT!T44</f>
        <v/>
      </c>
      <c r="U341" s="629">
        <f>III_Model_PT!U44</f>
        <v/>
      </c>
      <c r="V341" s="629">
        <f>III_Model_PT!V44</f>
        <v/>
      </c>
      <c r="W341" s="629">
        <f>III_Model_PT!W44</f>
        <v/>
      </c>
      <c r="X341" s="629">
        <f>III_Model_PT!X44</f>
        <v/>
      </c>
      <c r="Y341" s="651">
        <f>III_Model_PT!Y44</f>
        <v/>
      </c>
      <c r="Z341" s="651">
        <f>III_Model_PT!Z44</f>
        <v/>
      </c>
      <c r="AA341" s="651">
        <f>III_Model_PT!AA44</f>
        <v/>
      </c>
      <c r="AB341" s="651">
        <f>III_Model_PT!AB44</f>
        <v/>
      </c>
      <c r="AC341" s="614">
        <f>III_Model_PT!AC44</f>
        <v/>
      </c>
      <c r="AD341" s="614">
        <f>III_Model_PT!AD44</f>
        <v/>
      </c>
      <c r="AE341" s="614">
        <f>III_Model_PT!AE44</f>
        <v/>
      </c>
      <c r="AF341" s="614">
        <f>III_Model_PT!AF44</f>
        <v/>
      </c>
      <c r="AG341" s="635">
        <f>III_Model_PT!AG44</f>
        <v/>
      </c>
      <c r="AH341" s="635">
        <f>III_Model_PT!AH44</f>
        <v/>
      </c>
      <c r="AI341" s="635">
        <f>III_Model_PT!AI44</f>
        <v/>
      </c>
      <c r="AJ341" s="635">
        <f>III_Model_PT!AJ44</f>
        <v/>
      </c>
      <c r="AK341" s="635">
        <f>III_Model_PT!AK44</f>
        <v/>
      </c>
      <c r="AL341" s="635">
        <f>III_Model_PT!AL44</f>
        <v/>
      </c>
      <c r="AM341" s="635">
        <f>III_Model_PT!AM44</f>
        <v/>
      </c>
      <c r="AN341" s="635">
        <f>III_Model_PT!AN44</f>
        <v/>
      </c>
      <c r="AO341" s="635">
        <f>III_Model_PT!AO44</f>
        <v/>
      </c>
      <c r="AP341" s="641">
        <f>III_Model_PT!AP44</f>
        <v/>
      </c>
      <c r="AQ341" s="641">
        <f>III_Model_PT!AQ44</f>
        <v/>
      </c>
      <c r="AR341" s="641">
        <f>III_Model_PT!AR44</f>
        <v/>
      </c>
      <c r="AS341" s="641">
        <f>III_Model_PT!AS44</f>
        <v/>
      </c>
      <c r="AT341" s="620">
        <f>III_Model_PT!AT44</f>
        <v/>
      </c>
      <c r="AU341" s="620">
        <f>III_Model_PT!AU44</f>
        <v/>
      </c>
      <c r="AV341" s="620">
        <f>III_Model_PT!AV44</f>
        <v/>
      </c>
      <c r="AW341" s="620">
        <f>III_Model_PT!AW44</f>
        <v/>
      </c>
      <c r="AX341" s="488">
        <f>III_Model_PT!AX44</f>
        <v/>
      </c>
      <c r="AY341" s="488">
        <f>III_Model_PT!AY44</f>
        <v/>
      </c>
      <c r="AZ341" s="488">
        <f>III_Model_PT!AZ44</f>
        <v/>
      </c>
      <c r="BA341" s="488">
        <f>III_Model_PT!BA44</f>
        <v/>
      </c>
      <c r="BB341" s="488">
        <f>III_Model_PT!BB44</f>
        <v/>
      </c>
      <c r="BC341" s="488">
        <f>III_Model_PT!BC44</f>
        <v/>
      </c>
      <c r="BD341" s="488">
        <f>III_Model_PT!BD44</f>
        <v/>
      </c>
      <c r="BE341" s="488">
        <f>III_Model_PT!BE44</f>
        <v/>
      </c>
      <c r="BF341" s="488">
        <f>III_Model_PT!BF44</f>
        <v/>
      </c>
      <c r="BG341" s="488">
        <f>III_Model_PT!BG44</f>
        <v/>
      </c>
      <c r="BH341" s="488">
        <f>III_Model_PT!BH44</f>
        <v/>
      </c>
      <c r="BI341" s="488">
        <f>III_Model_PT!BI44</f>
        <v/>
      </c>
      <c r="BJ341">
        <f>O341</f>
        <v/>
      </c>
      <c r="BK341">
        <f>SUM(AG341:AW341)</f>
        <v/>
      </c>
      <c r="BL341" s="531">
        <f>BJ341-BK341</f>
        <v/>
      </c>
      <c r="BM341" s="201" t="n"/>
      <c r="BN341" s="659" t="n"/>
      <c r="BO341" s="659" t="n"/>
      <c r="BP341" s="659" t="n"/>
      <c r="BQ341" s="659" t="n"/>
      <c r="BR341" s="659" t="n"/>
      <c r="BS341" s="659" t="n"/>
      <c r="BT341" s="659" t="n"/>
      <c r="BU341" s="659" t="n"/>
      <c r="BV341" s="659" t="n"/>
      <c r="BW341" s="659" t="n"/>
    </row>
    <row r="342" hidden="1" outlineLevel="1" customFormat="1" s="488">
      <c r="A342" s="488">
        <f>III_Model_PT!A45</f>
        <v/>
      </c>
      <c r="B342" s="488">
        <f>III_Model_PT!B45</f>
        <v/>
      </c>
      <c r="C342" s="488">
        <f>III_Model_PT!C45</f>
        <v/>
      </c>
      <c r="D342" s="488">
        <f>III_Model_PT!D45</f>
        <v/>
      </c>
      <c r="E342" s="488">
        <f>III_Model_PT!E45</f>
        <v/>
      </c>
      <c r="F342" s="488">
        <f>III_Model_PT!F45</f>
        <v/>
      </c>
      <c r="G342" s="488">
        <f>III_Model_PT!G45</f>
        <v/>
      </c>
      <c r="H342" s="488">
        <f>III_Model_PT!H45</f>
        <v/>
      </c>
      <c r="I342" s="488">
        <f>III_Model_PT!I45</f>
        <v/>
      </c>
      <c r="J342" s="488">
        <f>III_Model_PT!J45</f>
        <v/>
      </c>
      <c r="K342" s="672">
        <f>III_Model_PT!K45</f>
        <v/>
      </c>
      <c r="L342" s="672">
        <f>III_Model_PT!L45</f>
        <v/>
      </c>
      <c r="M342" s="488">
        <f>III_Model_PT!M45</f>
        <v/>
      </c>
      <c r="N342" s="488">
        <f>III_Model_PT!N45</f>
        <v/>
      </c>
      <c r="O342" s="488">
        <f>III_Model_PT!O45</f>
        <v/>
      </c>
      <c r="P342" s="629">
        <f>III_Model_PT!P45</f>
        <v/>
      </c>
      <c r="Q342" s="629">
        <f>III_Model_PT!Q45</f>
        <v/>
      </c>
      <c r="R342" s="629">
        <f>III_Model_PT!R45</f>
        <v/>
      </c>
      <c r="S342" s="629">
        <f>III_Model_PT!S45</f>
        <v/>
      </c>
      <c r="T342" s="629">
        <f>III_Model_PT!T45</f>
        <v/>
      </c>
      <c r="U342" s="629">
        <f>III_Model_PT!U45</f>
        <v/>
      </c>
      <c r="V342" s="629">
        <f>III_Model_PT!V45</f>
        <v/>
      </c>
      <c r="W342" s="629">
        <f>III_Model_PT!W45</f>
        <v/>
      </c>
      <c r="X342" s="629">
        <f>III_Model_PT!X45</f>
        <v/>
      </c>
      <c r="Y342" s="651">
        <f>III_Model_PT!Y45</f>
        <v/>
      </c>
      <c r="Z342" s="651">
        <f>III_Model_PT!Z45</f>
        <v/>
      </c>
      <c r="AA342" s="651">
        <f>III_Model_PT!AA45</f>
        <v/>
      </c>
      <c r="AB342" s="651">
        <f>III_Model_PT!AB45</f>
        <v/>
      </c>
      <c r="AC342" s="614">
        <f>III_Model_PT!AC45</f>
        <v/>
      </c>
      <c r="AD342" s="614">
        <f>III_Model_PT!AD45</f>
        <v/>
      </c>
      <c r="AE342" s="614">
        <f>III_Model_PT!AE45</f>
        <v/>
      </c>
      <c r="AF342" s="614">
        <f>III_Model_PT!AF45</f>
        <v/>
      </c>
      <c r="AG342" s="635">
        <f>III_Model_PT!AG45</f>
        <v/>
      </c>
      <c r="AH342" s="635">
        <f>III_Model_PT!AH45</f>
        <v/>
      </c>
      <c r="AI342" s="635">
        <f>III_Model_PT!AI45</f>
        <v/>
      </c>
      <c r="AJ342" s="635">
        <f>III_Model_PT!AJ45</f>
        <v/>
      </c>
      <c r="AK342" s="635">
        <f>III_Model_PT!AK45</f>
        <v/>
      </c>
      <c r="AL342" s="635">
        <f>III_Model_PT!AL45</f>
        <v/>
      </c>
      <c r="AM342" s="635">
        <f>III_Model_PT!AM45</f>
        <v/>
      </c>
      <c r="AN342" s="635">
        <f>III_Model_PT!AN45</f>
        <v/>
      </c>
      <c r="AO342" s="635">
        <f>III_Model_PT!AO45</f>
        <v/>
      </c>
      <c r="AP342" s="641">
        <f>III_Model_PT!AP45</f>
        <v/>
      </c>
      <c r="AQ342" s="641">
        <f>III_Model_PT!AQ45</f>
        <v/>
      </c>
      <c r="AR342" s="641">
        <f>III_Model_PT!AR45</f>
        <v/>
      </c>
      <c r="AS342" s="641">
        <f>III_Model_PT!AS45</f>
        <v/>
      </c>
      <c r="AT342" s="620">
        <f>III_Model_PT!AT45</f>
        <v/>
      </c>
      <c r="AU342" s="620">
        <f>III_Model_PT!AU45</f>
        <v/>
      </c>
      <c r="AV342" s="620">
        <f>III_Model_PT!AV45</f>
        <v/>
      </c>
      <c r="AW342" s="620">
        <f>III_Model_PT!AW45</f>
        <v/>
      </c>
      <c r="AX342" s="488">
        <f>III_Model_PT!AX45</f>
        <v/>
      </c>
      <c r="AY342" s="488">
        <f>III_Model_PT!AY45</f>
        <v/>
      </c>
      <c r="AZ342" s="488">
        <f>III_Model_PT!AZ45</f>
        <v/>
      </c>
      <c r="BA342" s="488">
        <f>III_Model_PT!BA45</f>
        <v/>
      </c>
      <c r="BB342" s="488">
        <f>III_Model_PT!BB45</f>
        <v/>
      </c>
      <c r="BC342" s="488">
        <f>III_Model_PT!BC45</f>
        <v/>
      </c>
      <c r="BD342" s="488">
        <f>III_Model_PT!BD45</f>
        <v/>
      </c>
      <c r="BE342" s="488">
        <f>III_Model_PT!BE45</f>
        <v/>
      </c>
      <c r="BF342" s="488">
        <f>III_Model_PT!BF45</f>
        <v/>
      </c>
      <c r="BG342" s="488">
        <f>III_Model_PT!BG45</f>
        <v/>
      </c>
      <c r="BH342" s="488">
        <f>III_Model_PT!BH45</f>
        <v/>
      </c>
      <c r="BI342" s="488">
        <f>III_Model_PT!BI45</f>
        <v/>
      </c>
      <c r="BJ342">
        <f>O342</f>
        <v/>
      </c>
      <c r="BK342">
        <f>SUM(AG342:AW342)</f>
        <v/>
      </c>
      <c r="BL342" s="531">
        <f>BJ342-BK342</f>
        <v/>
      </c>
      <c r="BM342" s="201" t="n"/>
      <c r="BN342" s="659" t="n"/>
      <c r="BO342" s="659" t="n"/>
      <c r="BP342" s="659" t="n"/>
      <c r="BQ342" s="659" t="n"/>
      <c r="BR342" s="659" t="n"/>
      <c r="BS342" s="659" t="n"/>
      <c r="BT342" s="659" t="n"/>
      <c r="BU342" s="659" t="n"/>
      <c r="BV342" s="659" t="n"/>
      <c r="BW342" s="659" t="n"/>
    </row>
    <row r="343" hidden="1" outlineLevel="1" customFormat="1" s="488">
      <c r="A343" s="488">
        <f>III_Model_PT!A46</f>
        <v/>
      </c>
      <c r="B343" s="488">
        <f>III_Model_PT!B46</f>
        <v/>
      </c>
      <c r="C343" s="488">
        <f>III_Model_PT!C46</f>
        <v/>
      </c>
      <c r="D343" s="488">
        <f>III_Model_PT!D46</f>
        <v/>
      </c>
      <c r="E343" s="488">
        <f>III_Model_PT!E46</f>
        <v/>
      </c>
      <c r="F343" s="488">
        <f>III_Model_PT!F46</f>
        <v/>
      </c>
      <c r="G343" s="488">
        <f>III_Model_PT!G46</f>
        <v/>
      </c>
      <c r="H343" s="488">
        <f>III_Model_PT!H46</f>
        <v/>
      </c>
      <c r="I343" s="488">
        <f>III_Model_PT!I46</f>
        <v/>
      </c>
      <c r="J343" s="488">
        <f>III_Model_PT!J46</f>
        <v/>
      </c>
      <c r="K343" s="672">
        <f>III_Model_PT!K46</f>
        <v/>
      </c>
      <c r="L343" s="672">
        <f>III_Model_PT!L46</f>
        <v/>
      </c>
      <c r="M343" s="488">
        <f>III_Model_PT!M46</f>
        <v/>
      </c>
      <c r="N343" s="488">
        <f>III_Model_PT!N46</f>
        <v/>
      </c>
      <c r="O343" s="488">
        <f>III_Model_PT!O46</f>
        <v/>
      </c>
      <c r="P343" s="629">
        <f>III_Model_PT!P46</f>
        <v/>
      </c>
      <c r="Q343" s="629">
        <f>III_Model_PT!Q46</f>
        <v/>
      </c>
      <c r="R343" s="629">
        <f>III_Model_PT!R46</f>
        <v/>
      </c>
      <c r="S343" s="629">
        <f>III_Model_PT!S46</f>
        <v/>
      </c>
      <c r="T343" s="629">
        <f>III_Model_PT!T46</f>
        <v/>
      </c>
      <c r="U343" s="629">
        <f>III_Model_PT!U46</f>
        <v/>
      </c>
      <c r="V343" s="629">
        <f>III_Model_PT!V46</f>
        <v/>
      </c>
      <c r="W343" s="629">
        <f>III_Model_PT!W46</f>
        <v/>
      </c>
      <c r="X343" s="629">
        <f>III_Model_PT!X46</f>
        <v/>
      </c>
      <c r="Y343" s="651">
        <f>III_Model_PT!Y46</f>
        <v/>
      </c>
      <c r="Z343" s="651">
        <f>III_Model_PT!Z46</f>
        <v/>
      </c>
      <c r="AA343" s="651">
        <f>III_Model_PT!AA46</f>
        <v/>
      </c>
      <c r="AB343" s="651">
        <f>III_Model_PT!AB46</f>
        <v/>
      </c>
      <c r="AC343" s="614">
        <f>III_Model_PT!AC46</f>
        <v/>
      </c>
      <c r="AD343" s="614">
        <f>III_Model_PT!AD46</f>
        <v/>
      </c>
      <c r="AE343" s="614">
        <f>III_Model_PT!AE46</f>
        <v/>
      </c>
      <c r="AF343" s="614">
        <f>III_Model_PT!AF46</f>
        <v/>
      </c>
      <c r="AG343" s="635">
        <f>III_Model_PT!AG46</f>
        <v/>
      </c>
      <c r="AH343" s="635">
        <f>III_Model_PT!AH46</f>
        <v/>
      </c>
      <c r="AI343" s="635">
        <f>III_Model_PT!AI46</f>
        <v/>
      </c>
      <c r="AJ343" s="635">
        <f>III_Model_PT!AJ46</f>
        <v/>
      </c>
      <c r="AK343" s="635">
        <f>III_Model_PT!AK46</f>
        <v/>
      </c>
      <c r="AL343" s="635">
        <f>III_Model_PT!AL46</f>
        <v/>
      </c>
      <c r="AM343" s="635">
        <f>III_Model_PT!AM46</f>
        <v/>
      </c>
      <c r="AN343" s="635">
        <f>III_Model_PT!AN46</f>
        <v/>
      </c>
      <c r="AO343" s="635">
        <f>III_Model_PT!AO46</f>
        <v/>
      </c>
      <c r="AP343" s="641">
        <f>III_Model_PT!AP46</f>
        <v/>
      </c>
      <c r="AQ343" s="641">
        <f>III_Model_PT!AQ46</f>
        <v/>
      </c>
      <c r="AR343" s="641">
        <f>III_Model_PT!AR46</f>
        <v/>
      </c>
      <c r="AS343" s="641">
        <f>III_Model_PT!AS46</f>
        <v/>
      </c>
      <c r="AT343" s="620">
        <f>III_Model_PT!AT46</f>
        <v/>
      </c>
      <c r="AU343" s="620">
        <f>III_Model_PT!AU46</f>
        <v/>
      </c>
      <c r="AV343" s="620">
        <f>III_Model_PT!AV46</f>
        <v/>
      </c>
      <c r="AW343" s="620">
        <f>III_Model_PT!AW46</f>
        <v/>
      </c>
      <c r="AX343" s="488">
        <f>III_Model_PT!AX46</f>
        <v/>
      </c>
      <c r="AY343" s="488">
        <f>III_Model_PT!AY46</f>
        <v/>
      </c>
      <c r="AZ343" s="488">
        <f>III_Model_PT!AZ46</f>
        <v/>
      </c>
      <c r="BA343" s="488">
        <f>III_Model_PT!BA46</f>
        <v/>
      </c>
      <c r="BB343" s="488">
        <f>III_Model_PT!BB46</f>
        <v/>
      </c>
      <c r="BC343" s="488">
        <f>III_Model_PT!BC46</f>
        <v/>
      </c>
      <c r="BD343" s="488">
        <f>III_Model_PT!BD46</f>
        <v/>
      </c>
      <c r="BE343" s="488">
        <f>III_Model_PT!BE46</f>
        <v/>
      </c>
      <c r="BF343" s="488">
        <f>III_Model_PT!BF46</f>
        <v/>
      </c>
      <c r="BG343" s="488">
        <f>III_Model_PT!BG46</f>
        <v/>
      </c>
      <c r="BH343" s="488">
        <f>III_Model_PT!BH46</f>
        <v/>
      </c>
      <c r="BI343" s="488">
        <f>III_Model_PT!BI46</f>
        <v/>
      </c>
      <c r="BJ343">
        <f>O343</f>
        <v/>
      </c>
      <c r="BK343">
        <f>SUM(AG343:AW343)</f>
        <v/>
      </c>
      <c r="BL343" s="531">
        <f>BJ343-BK343</f>
        <v/>
      </c>
      <c r="BM343" s="201" t="n"/>
      <c r="BN343" s="659" t="n"/>
      <c r="BO343" s="659" t="n"/>
      <c r="BP343" s="659" t="n"/>
      <c r="BQ343" s="659" t="n"/>
      <c r="BR343" s="659" t="n"/>
      <c r="BS343" s="659" t="n"/>
      <c r="BT343" s="659" t="n"/>
      <c r="BU343" s="659" t="n"/>
      <c r="BV343" s="659" t="n"/>
      <c r="BW343" s="659" t="n"/>
    </row>
    <row r="344" hidden="1" outlineLevel="1" customFormat="1" s="488">
      <c r="A344" s="488">
        <f>III_Model_PT!A47</f>
        <v/>
      </c>
      <c r="B344" s="488">
        <f>III_Model_PT!B47</f>
        <v/>
      </c>
      <c r="C344" s="488">
        <f>III_Model_PT!C47</f>
        <v/>
      </c>
      <c r="D344" s="488">
        <f>III_Model_PT!D47</f>
        <v/>
      </c>
      <c r="E344" s="488">
        <f>III_Model_PT!E47</f>
        <v/>
      </c>
      <c r="F344" s="488">
        <f>III_Model_PT!F47</f>
        <v/>
      </c>
      <c r="G344" s="488">
        <f>III_Model_PT!G47</f>
        <v/>
      </c>
      <c r="H344" s="488">
        <f>III_Model_PT!H47</f>
        <v/>
      </c>
      <c r="I344" s="488">
        <f>III_Model_PT!I47</f>
        <v/>
      </c>
      <c r="J344" s="488">
        <f>III_Model_PT!J47</f>
        <v/>
      </c>
      <c r="K344" s="672">
        <f>III_Model_PT!K47</f>
        <v/>
      </c>
      <c r="L344" s="672">
        <f>III_Model_PT!L47</f>
        <v/>
      </c>
      <c r="M344" s="488">
        <f>III_Model_PT!M47</f>
        <v/>
      </c>
      <c r="N344" s="488">
        <f>III_Model_PT!N47</f>
        <v/>
      </c>
      <c r="O344" s="488">
        <f>III_Model_PT!O47</f>
        <v/>
      </c>
      <c r="P344" s="629">
        <f>III_Model_PT!P47</f>
        <v/>
      </c>
      <c r="Q344" s="629">
        <f>III_Model_PT!Q47</f>
        <v/>
      </c>
      <c r="R344" s="629">
        <f>III_Model_PT!R47</f>
        <v/>
      </c>
      <c r="S344" s="629">
        <f>III_Model_PT!S47</f>
        <v/>
      </c>
      <c r="T344" s="629">
        <f>III_Model_PT!T47</f>
        <v/>
      </c>
      <c r="U344" s="629">
        <f>III_Model_PT!U47</f>
        <v/>
      </c>
      <c r="V344" s="629">
        <f>III_Model_PT!V47</f>
        <v/>
      </c>
      <c r="W344" s="629">
        <f>III_Model_PT!W47</f>
        <v/>
      </c>
      <c r="X344" s="629">
        <f>III_Model_PT!X47</f>
        <v/>
      </c>
      <c r="Y344" s="651">
        <f>III_Model_PT!Y47</f>
        <v/>
      </c>
      <c r="Z344" s="651">
        <f>III_Model_PT!Z47</f>
        <v/>
      </c>
      <c r="AA344" s="651">
        <f>III_Model_PT!AA47</f>
        <v/>
      </c>
      <c r="AB344" s="651">
        <f>III_Model_PT!AB47</f>
        <v/>
      </c>
      <c r="AC344" s="614">
        <f>III_Model_PT!AC47</f>
        <v/>
      </c>
      <c r="AD344" s="614">
        <f>III_Model_PT!AD47</f>
        <v/>
      </c>
      <c r="AE344" s="614">
        <f>III_Model_PT!AE47</f>
        <v/>
      </c>
      <c r="AF344" s="614">
        <f>III_Model_PT!AF47</f>
        <v/>
      </c>
      <c r="AG344" s="635">
        <f>III_Model_PT!AG47</f>
        <v/>
      </c>
      <c r="AH344" s="635">
        <f>III_Model_PT!AH47</f>
        <v/>
      </c>
      <c r="AI344" s="635">
        <f>III_Model_PT!AI47</f>
        <v/>
      </c>
      <c r="AJ344" s="635">
        <f>III_Model_PT!AJ47</f>
        <v/>
      </c>
      <c r="AK344" s="635">
        <f>III_Model_PT!AK47</f>
        <v/>
      </c>
      <c r="AL344" s="635">
        <f>III_Model_PT!AL47</f>
        <v/>
      </c>
      <c r="AM344" s="635">
        <f>III_Model_PT!AM47</f>
        <v/>
      </c>
      <c r="AN344" s="635">
        <f>III_Model_PT!AN47</f>
        <v/>
      </c>
      <c r="AO344" s="635">
        <f>III_Model_PT!AO47</f>
        <v/>
      </c>
      <c r="AP344" s="641">
        <f>III_Model_PT!AP47</f>
        <v/>
      </c>
      <c r="AQ344" s="641">
        <f>III_Model_PT!AQ47</f>
        <v/>
      </c>
      <c r="AR344" s="641">
        <f>III_Model_PT!AR47</f>
        <v/>
      </c>
      <c r="AS344" s="641">
        <f>III_Model_PT!AS47</f>
        <v/>
      </c>
      <c r="AT344" s="620">
        <f>III_Model_PT!AT47</f>
        <v/>
      </c>
      <c r="AU344" s="620">
        <f>III_Model_PT!AU47</f>
        <v/>
      </c>
      <c r="AV344" s="620">
        <f>III_Model_PT!AV47</f>
        <v/>
      </c>
      <c r="AW344" s="620">
        <f>III_Model_PT!AW47</f>
        <v/>
      </c>
      <c r="AX344" s="488">
        <f>III_Model_PT!AX47</f>
        <v/>
      </c>
      <c r="AY344" s="488">
        <f>III_Model_PT!AY47</f>
        <v/>
      </c>
      <c r="AZ344" s="488">
        <f>III_Model_PT!AZ47</f>
        <v/>
      </c>
      <c r="BA344" s="488">
        <f>III_Model_PT!BA47</f>
        <v/>
      </c>
      <c r="BB344" s="488">
        <f>III_Model_PT!BB47</f>
        <v/>
      </c>
      <c r="BC344" s="488">
        <f>III_Model_PT!BC47</f>
        <v/>
      </c>
      <c r="BD344" s="488">
        <f>III_Model_PT!BD47</f>
        <v/>
      </c>
      <c r="BE344" s="488">
        <f>III_Model_PT!BE47</f>
        <v/>
      </c>
      <c r="BF344" s="488">
        <f>III_Model_PT!BF47</f>
        <v/>
      </c>
      <c r="BG344" s="488">
        <f>III_Model_PT!BG47</f>
        <v/>
      </c>
      <c r="BH344" s="488">
        <f>III_Model_PT!BH47</f>
        <v/>
      </c>
      <c r="BI344" s="488">
        <f>III_Model_PT!BI47</f>
        <v/>
      </c>
      <c r="BJ344">
        <f>O344</f>
        <v/>
      </c>
      <c r="BK344">
        <f>SUM(AG344:AW344)</f>
        <v/>
      </c>
      <c r="BL344" s="531">
        <f>BJ344-BK344</f>
        <v/>
      </c>
      <c r="BM344" s="201" t="n"/>
      <c r="BN344" s="659" t="n"/>
      <c r="BO344" s="659" t="n"/>
      <c r="BP344" s="659" t="n"/>
      <c r="BQ344" s="659" t="n"/>
      <c r="BR344" s="659" t="n"/>
      <c r="BS344" s="659" t="n"/>
      <c r="BT344" s="659" t="n"/>
      <c r="BU344" s="659" t="n"/>
      <c r="BV344" s="659" t="n"/>
      <c r="BW344" s="659" t="n"/>
    </row>
    <row r="345" hidden="1" outlineLevel="1" customFormat="1" s="488">
      <c r="A345" s="488">
        <f>III_Model_PT!A48</f>
        <v/>
      </c>
      <c r="B345" s="488">
        <f>III_Model_PT!B48</f>
        <v/>
      </c>
      <c r="C345" s="488">
        <f>III_Model_PT!C48</f>
        <v/>
      </c>
      <c r="D345" s="488">
        <f>III_Model_PT!D48</f>
        <v/>
      </c>
      <c r="E345" s="488">
        <f>III_Model_PT!E48</f>
        <v/>
      </c>
      <c r="F345" s="488">
        <f>III_Model_PT!F48</f>
        <v/>
      </c>
      <c r="G345" s="488">
        <f>III_Model_PT!G48</f>
        <v/>
      </c>
      <c r="H345" s="488">
        <f>III_Model_PT!H48</f>
        <v/>
      </c>
      <c r="I345" s="488">
        <f>III_Model_PT!I48</f>
        <v/>
      </c>
      <c r="J345" s="488">
        <f>III_Model_PT!J48</f>
        <v/>
      </c>
      <c r="K345" s="672">
        <f>III_Model_PT!K48</f>
        <v/>
      </c>
      <c r="L345" s="672">
        <f>III_Model_PT!L48</f>
        <v/>
      </c>
      <c r="M345" s="488">
        <f>III_Model_PT!M48</f>
        <v/>
      </c>
      <c r="N345" s="488">
        <f>III_Model_PT!N48</f>
        <v/>
      </c>
      <c r="O345" s="488">
        <f>III_Model_PT!O48</f>
        <v/>
      </c>
      <c r="P345" s="629">
        <f>III_Model_PT!P48</f>
        <v/>
      </c>
      <c r="Q345" s="629">
        <f>III_Model_PT!Q48</f>
        <v/>
      </c>
      <c r="R345" s="629">
        <f>III_Model_PT!R48</f>
        <v/>
      </c>
      <c r="S345" s="629">
        <f>III_Model_PT!S48</f>
        <v/>
      </c>
      <c r="T345" s="629">
        <f>III_Model_PT!T48</f>
        <v/>
      </c>
      <c r="U345" s="629">
        <f>III_Model_PT!U48</f>
        <v/>
      </c>
      <c r="V345" s="629">
        <f>III_Model_PT!V48</f>
        <v/>
      </c>
      <c r="W345" s="629">
        <f>III_Model_PT!W48</f>
        <v/>
      </c>
      <c r="X345" s="629">
        <f>III_Model_PT!X48</f>
        <v/>
      </c>
      <c r="Y345" s="651">
        <f>III_Model_PT!Y48</f>
        <v/>
      </c>
      <c r="Z345" s="651">
        <f>III_Model_PT!Z48</f>
        <v/>
      </c>
      <c r="AA345" s="651">
        <f>III_Model_PT!AA48</f>
        <v/>
      </c>
      <c r="AB345" s="651">
        <f>III_Model_PT!AB48</f>
        <v/>
      </c>
      <c r="AC345" s="614">
        <f>III_Model_PT!AC48</f>
        <v/>
      </c>
      <c r="AD345" s="614">
        <f>III_Model_PT!AD48</f>
        <v/>
      </c>
      <c r="AE345" s="614">
        <f>III_Model_PT!AE48</f>
        <v/>
      </c>
      <c r="AF345" s="614">
        <f>III_Model_PT!AF48</f>
        <v/>
      </c>
      <c r="AG345" s="635">
        <f>III_Model_PT!AG48</f>
        <v/>
      </c>
      <c r="AH345" s="635">
        <f>III_Model_PT!AH48</f>
        <v/>
      </c>
      <c r="AI345" s="635">
        <f>III_Model_PT!AI48</f>
        <v/>
      </c>
      <c r="AJ345" s="635">
        <f>III_Model_PT!AJ48</f>
        <v/>
      </c>
      <c r="AK345" s="635">
        <f>III_Model_PT!AK48</f>
        <v/>
      </c>
      <c r="AL345" s="635">
        <f>III_Model_PT!AL48</f>
        <v/>
      </c>
      <c r="AM345" s="635">
        <f>III_Model_PT!AM48</f>
        <v/>
      </c>
      <c r="AN345" s="635">
        <f>III_Model_PT!AN48</f>
        <v/>
      </c>
      <c r="AO345" s="635">
        <f>III_Model_PT!AO48</f>
        <v/>
      </c>
      <c r="AP345" s="641">
        <f>III_Model_PT!AP48</f>
        <v/>
      </c>
      <c r="AQ345" s="641">
        <f>III_Model_PT!AQ48</f>
        <v/>
      </c>
      <c r="AR345" s="641">
        <f>III_Model_PT!AR48</f>
        <v/>
      </c>
      <c r="AS345" s="641">
        <f>III_Model_PT!AS48</f>
        <v/>
      </c>
      <c r="AT345" s="620">
        <f>III_Model_PT!AT48</f>
        <v/>
      </c>
      <c r="AU345" s="620">
        <f>III_Model_PT!AU48</f>
        <v/>
      </c>
      <c r="AV345" s="620">
        <f>III_Model_PT!AV48</f>
        <v/>
      </c>
      <c r="AW345" s="620">
        <f>III_Model_PT!AW48</f>
        <v/>
      </c>
      <c r="AX345" s="488">
        <f>III_Model_PT!AX48</f>
        <v/>
      </c>
      <c r="AY345" s="488">
        <f>III_Model_PT!AY48</f>
        <v/>
      </c>
      <c r="AZ345" s="488">
        <f>III_Model_PT!AZ48</f>
        <v/>
      </c>
      <c r="BA345" s="488">
        <f>III_Model_PT!BA48</f>
        <v/>
      </c>
      <c r="BB345" s="488">
        <f>III_Model_PT!BB48</f>
        <v/>
      </c>
      <c r="BC345" s="488">
        <f>III_Model_PT!BC48</f>
        <v/>
      </c>
      <c r="BD345" s="488">
        <f>III_Model_PT!BD48</f>
        <v/>
      </c>
      <c r="BE345" s="488">
        <f>III_Model_PT!BE48</f>
        <v/>
      </c>
      <c r="BF345" s="488">
        <f>III_Model_PT!BF48</f>
        <v/>
      </c>
      <c r="BG345" s="488">
        <f>III_Model_PT!BG48</f>
        <v/>
      </c>
      <c r="BH345" s="488">
        <f>III_Model_PT!BH48</f>
        <v/>
      </c>
      <c r="BI345" s="488">
        <f>III_Model_PT!BI48</f>
        <v/>
      </c>
      <c r="BJ345">
        <f>O345</f>
        <v/>
      </c>
      <c r="BK345">
        <f>SUM(AG345:AW345)</f>
        <v/>
      </c>
      <c r="BL345" s="531">
        <f>BJ345-BK345</f>
        <v/>
      </c>
      <c r="BM345" s="201" t="n"/>
      <c r="BN345" s="659" t="n"/>
      <c r="BO345" s="659" t="n"/>
      <c r="BP345" s="659" t="n"/>
      <c r="BQ345" s="659" t="n"/>
      <c r="BR345" s="659" t="n"/>
      <c r="BS345" s="659" t="n"/>
      <c r="BT345" s="659" t="n"/>
      <c r="BU345" s="659" t="n"/>
      <c r="BV345" s="659" t="n"/>
      <c r="BW345" s="659" t="n"/>
    </row>
    <row r="346" hidden="1" outlineLevel="1" customFormat="1" s="488">
      <c r="A346" s="488">
        <f>III_Model_PT!A49</f>
        <v/>
      </c>
      <c r="B346" s="488">
        <f>III_Model_PT!B49</f>
        <v/>
      </c>
      <c r="C346" s="488">
        <f>III_Model_PT!C49</f>
        <v/>
      </c>
      <c r="D346" s="488">
        <f>III_Model_PT!D49</f>
        <v/>
      </c>
      <c r="E346" s="488">
        <f>III_Model_PT!E49</f>
        <v/>
      </c>
      <c r="F346" s="488">
        <f>III_Model_PT!F49</f>
        <v/>
      </c>
      <c r="G346" s="488">
        <f>III_Model_PT!G49</f>
        <v/>
      </c>
      <c r="H346" s="488">
        <f>III_Model_PT!H49</f>
        <v/>
      </c>
      <c r="I346" s="488">
        <f>III_Model_PT!I49</f>
        <v/>
      </c>
      <c r="J346" s="488">
        <f>III_Model_PT!J49</f>
        <v/>
      </c>
      <c r="K346" s="672">
        <f>III_Model_PT!K49</f>
        <v/>
      </c>
      <c r="L346" s="672">
        <f>III_Model_PT!L49</f>
        <v/>
      </c>
      <c r="M346" s="488">
        <f>III_Model_PT!M49</f>
        <v/>
      </c>
      <c r="N346" s="488">
        <f>III_Model_PT!N49</f>
        <v/>
      </c>
      <c r="O346" s="488">
        <f>III_Model_PT!O49</f>
        <v/>
      </c>
      <c r="P346" s="629">
        <f>III_Model_PT!P49</f>
        <v/>
      </c>
      <c r="Q346" s="629">
        <f>III_Model_PT!Q49</f>
        <v/>
      </c>
      <c r="R346" s="629">
        <f>III_Model_PT!R49</f>
        <v/>
      </c>
      <c r="S346" s="629">
        <f>III_Model_PT!S49</f>
        <v/>
      </c>
      <c r="T346" s="629">
        <f>III_Model_PT!T49</f>
        <v/>
      </c>
      <c r="U346" s="629">
        <f>III_Model_PT!U49</f>
        <v/>
      </c>
      <c r="V346" s="629">
        <f>III_Model_PT!V49</f>
        <v/>
      </c>
      <c r="W346" s="629">
        <f>III_Model_PT!W49</f>
        <v/>
      </c>
      <c r="X346" s="629">
        <f>III_Model_PT!X49</f>
        <v/>
      </c>
      <c r="Y346" s="651">
        <f>III_Model_PT!Y49</f>
        <v/>
      </c>
      <c r="Z346" s="651">
        <f>III_Model_PT!Z49</f>
        <v/>
      </c>
      <c r="AA346" s="651">
        <f>III_Model_PT!AA49</f>
        <v/>
      </c>
      <c r="AB346" s="651">
        <f>III_Model_PT!AB49</f>
        <v/>
      </c>
      <c r="AC346" s="614">
        <f>III_Model_PT!AC49</f>
        <v/>
      </c>
      <c r="AD346" s="614">
        <f>III_Model_PT!AD49</f>
        <v/>
      </c>
      <c r="AE346" s="614">
        <f>III_Model_PT!AE49</f>
        <v/>
      </c>
      <c r="AF346" s="614">
        <f>III_Model_PT!AF49</f>
        <v/>
      </c>
      <c r="AG346" s="635">
        <f>III_Model_PT!AG49</f>
        <v/>
      </c>
      <c r="AH346" s="635">
        <f>III_Model_PT!AH49</f>
        <v/>
      </c>
      <c r="AI346" s="635">
        <f>III_Model_PT!AI49</f>
        <v/>
      </c>
      <c r="AJ346" s="635">
        <f>III_Model_PT!AJ49</f>
        <v/>
      </c>
      <c r="AK346" s="635">
        <f>III_Model_PT!AK49</f>
        <v/>
      </c>
      <c r="AL346" s="635">
        <f>III_Model_PT!AL49</f>
        <v/>
      </c>
      <c r="AM346" s="635">
        <f>III_Model_PT!AM49</f>
        <v/>
      </c>
      <c r="AN346" s="635">
        <f>III_Model_PT!AN49</f>
        <v/>
      </c>
      <c r="AO346" s="635">
        <f>III_Model_PT!AO49</f>
        <v/>
      </c>
      <c r="AP346" s="641">
        <f>III_Model_PT!AP49</f>
        <v/>
      </c>
      <c r="AQ346" s="641">
        <f>III_Model_PT!AQ49</f>
        <v/>
      </c>
      <c r="AR346" s="641">
        <f>III_Model_PT!AR49</f>
        <v/>
      </c>
      <c r="AS346" s="641">
        <f>III_Model_PT!AS49</f>
        <v/>
      </c>
      <c r="AT346" s="620">
        <f>III_Model_PT!AT49</f>
        <v/>
      </c>
      <c r="AU346" s="620">
        <f>III_Model_PT!AU49</f>
        <v/>
      </c>
      <c r="AV346" s="620">
        <f>III_Model_PT!AV49</f>
        <v/>
      </c>
      <c r="AW346" s="620">
        <f>III_Model_PT!AW49</f>
        <v/>
      </c>
      <c r="AX346" s="488">
        <f>III_Model_PT!AX49</f>
        <v/>
      </c>
      <c r="AY346" s="488">
        <f>III_Model_PT!AY49</f>
        <v/>
      </c>
      <c r="AZ346" s="488">
        <f>III_Model_PT!AZ49</f>
        <v/>
      </c>
      <c r="BA346" s="488">
        <f>III_Model_PT!BA49</f>
        <v/>
      </c>
      <c r="BB346" s="488">
        <f>III_Model_PT!BB49</f>
        <v/>
      </c>
      <c r="BC346" s="488">
        <f>III_Model_PT!BC49</f>
        <v/>
      </c>
      <c r="BD346" s="488">
        <f>III_Model_PT!BD49</f>
        <v/>
      </c>
      <c r="BE346" s="488">
        <f>III_Model_PT!BE49</f>
        <v/>
      </c>
      <c r="BF346" s="488">
        <f>III_Model_PT!BF49</f>
        <v/>
      </c>
      <c r="BG346" s="488">
        <f>III_Model_PT!BG49</f>
        <v/>
      </c>
      <c r="BH346" s="488">
        <f>III_Model_PT!BH49</f>
        <v/>
      </c>
      <c r="BI346" s="488">
        <f>III_Model_PT!BI49</f>
        <v/>
      </c>
      <c r="BJ346">
        <f>O346</f>
        <v/>
      </c>
      <c r="BK346">
        <f>SUM(AG346:AW346)</f>
        <v/>
      </c>
      <c r="BL346" s="531">
        <f>BJ346-BK346</f>
        <v/>
      </c>
      <c r="BM346" s="201" t="n"/>
      <c r="BN346" s="659" t="n"/>
      <c r="BO346" s="659" t="n"/>
      <c r="BP346" s="659" t="n"/>
      <c r="BQ346" s="659" t="n"/>
      <c r="BR346" s="659" t="n"/>
      <c r="BS346" s="659" t="n"/>
      <c r="BT346" s="659" t="n"/>
      <c r="BU346" s="659" t="n"/>
      <c r="BV346" s="659" t="n"/>
      <c r="BW346" s="659" t="n"/>
      <c r="BX346" s="488" t="n"/>
    </row>
    <row r="347" hidden="1" outlineLevel="1" customFormat="1" s="488">
      <c r="A347" s="488">
        <f>III_Model_PT!A50</f>
        <v/>
      </c>
      <c r="B347" s="488">
        <f>III_Model_PT!B50</f>
        <v/>
      </c>
      <c r="C347" s="488">
        <f>III_Model_PT!C50</f>
        <v/>
      </c>
      <c r="D347" s="488">
        <f>III_Model_PT!D50</f>
        <v/>
      </c>
      <c r="E347" s="488">
        <f>III_Model_PT!E50</f>
        <v/>
      </c>
      <c r="F347" s="488">
        <f>III_Model_PT!F50</f>
        <v/>
      </c>
      <c r="G347" s="488">
        <f>III_Model_PT!G50</f>
        <v/>
      </c>
      <c r="H347" s="488">
        <f>III_Model_PT!H50</f>
        <v/>
      </c>
      <c r="I347" s="488">
        <f>III_Model_PT!I50</f>
        <v/>
      </c>
      <c r="J347" s="488">
        <f>III_Model_PT!J50</f>
        <v/>
      </c>
      <c r="K347" s="672">
        <f>III_Model_PT!K50</f>
        <v/>
      </c>
      <c r="L347" s="672">
        <f>III_Model_PT!L50</f>
        <v/>
      </c>
      <c r="M347" s="488">
        <f>III_Model_PT!M50</f>
        <v/>
      </c>
      <c r="N347" s="488">
        <f>III_Model_PT!N50</f>
        <v/>
      </c>
      <c r="O347" s="488">
        <f>III_Model_PT!O50</f>
        <v/>
      </c>
      <c r="P347" s="629">
        <f>III_Model_PT!P50</f>
        <v/>
      </c>
      <c r="Q347" s="629">
        <f>III_Model_PT!Q50</f>
        <v/>
      </c>
      <c r="R347" s="629">
        <f>III_Model_PT!R50</f>
        <v/>
      </c>
      <c r="S347" s="629">
        <f>III_Model_PT!S50</f>
        <v/>
      </c>
      <c r="T347" s="629">
        <f>III_Model_PT!T50</f>
        <v/>
      </c>
      <c r="U347" s="629">
        <f>III_Model_PT!U50</f>
        <v/>
      </c>
      <c r="V347" s="629">
        <f>III_Model_PT!V50</f>
        <v/>
      </c>
      <c r="W347" s="629">
        <f>III_Model_PT!W50</f>
        <v/>
      </c>
      <c r="X347" s="629">
        <f>III_Model_PT!X50</f>
        <v/>
      </c>
      <c r="Y347" s="651">
        <f>III_Model_PT!Y50</f>
        <v/>
      </c>
      <c r="Z347" s="651">
        <f>III_Model_PT!Z50</f>
        <v/>
      </c>
      <c r="AA347" s="651">
        <f>III_Model_PT!AA50</f>
        <v/>
      </c>
      <c r="AB347" s="651">
        <f>III_Model_PT!AB50</f>
        <v/>
      </c>
      <c r="AC347" s="614">
        <f>III_Model_PT!AC50</f>
        <v/>
      </c>
      <c r="AD347" s="614">
        <f>III_Model_PT!AD50</f>
        <v/>
      </c>
      <c r="AE347" s="614">
        <f>III_Model_PT!AE50</f>
        <v/>
      </c>
      <c r="AF347" s="614">
        <f>III_Model_PT!AF50</f>
        <v/>
      </c>
      <c r="AG347" s="635">
        <f>III_Model_PT!AG50</f>
        <v/>
      </c>
      <c r="AH347" s="635">
        <f>III_Model_PT!AH50</f>
        <v/>
      </c>
      <c r="AI347" s="635">
        <f>III_Model_PT!AI50</f>
        <v/>
      </c>
      <c r="AJ347" s="635">
        <f>III_Model_PT!AJ50</f>
        <v/>
      </c>
      <c r="AK347" s="635">
        <f>III_Model_PT!AK50</f>
        <v/>
      </c>
      <c r="AL347" s="635">
        <f>III_Model_PT!AL50</f>
        <v/>
      </c>
      <c r="AM347" s="635">
        <f>III_Model_PT!AM50</f>
        <v/>
      </c>
      <c r="AN347" s="635">
        <f>III_Model_PT!AN50</f>
        <v/>
      </c>
      <c r="AO347" s="635">
        <f>III_Model_PT!AO50</f>
        <v/>
      </c>
      <c r="AP347" s="641">
        <f>III_Model_PT!AP50</f>
        <v/>
      </c>
      <c r="AQ347" s="641">
        <f>III_Model_PT!AQ50</f>
        <v/>
      </c>
      <c r="AR347" s="641">
        <f>III_Model_PT!AR50</f>
        <v/>
      </c>
      <c r="AS347" s="641">
        <f>III_Model_PT!AS50</f>
        <v/>
      </c>
      <c r="AT347" s="620">
        <f>III_Model_PT!AT50</f>
        <v/>
      </c>
      <c r="AU347" s="620">
        <f>III_Model_PT!AU50</f>
        <v/>
      </c>
      <c r="AV347" s="620">
        <f>III_Model_PT!AV50</f>
        <v/>
      </c>
      <c r="AW347" s="620">
        <f>III_Model_PT!AW50</f>
        <v/>
      </c>
      <c r="AX347" s="488">
        <f>III_Model_PT!AX50</f>
        <v/>
      </c>
      <c r="AY347" s="488">
        <f>III_Model_PT!AY50</f>
        <v/>
      </c>
      <c r="AZ347" s="488">
        <f>III_Model_PT!AZ50</f>
        <v/>
      </c>
      <c r="BA347" s="488">
        <f>III_Model_PT!BA50</f>
        <v/>
      </c>
      <c r="BB347" s="488">
        <f>III_Model_PT!BB50</f>
        <v/>
      </c>
      <c r="BC347" s="488">
        <f>III_Model_PT!BC50</f>
        <v/>
      </c>
      <c r="BD347" s="488">
        <f>III_Model_PT!BD50</f>
        <v/>
      </c>
      <c r="BE347" s="488">
        <f>III_Model_PT!BE50</f>
        <v/>
      </c>
      <c r="BF347" s="488">
        <f>III_Model_PT!BF50</f>
        <v/>
      </c>
      <c r="BG347" s="488">
        <f>III_Model_PT!BG50</f>
        <v/>
      </c>
      <c r="BH347" s="488">
        <f>III_Model_PT!BH50</f>
        <v/>
      </c>
      <c r="BI347" s="488">
        <f>III_Model_PT!BI50</f>
        <v/>
      </c>
      <c r="BJ347">
        <f>O347</f>
        <v/>
      </c>
      <c r="BK347">
        <f>SUM(AG347:AW347)</f>
        <v/>
      </c>
      <c r="BL347" s="531">
        <f>BJ347-BK347</f>
        <v/>
      </c>
      <c r="BM347" s="201" t="n"/>
      <c r="BN347" s="659" t="n"/>
      <c r="BO347" s="659" t="n"/>
      <c r="BP347" s="659" t="n"/>
      <c r="BQ347" s="659" t="n"/>
      <c r="BR347" s="659" t="n"/>
      <c r="BS347" s="659" t="n"/>
      <c r="BT347" s="659" t="n"/>
      <c r="BU347" s="659" t="n"/>
      <c r="BV347" s="659" t="n"/>
      <c r="BW347" s="659" t="n"/>
    </row>
    <row r="348" hidden="1" outlineLevel="1" customFormat="1" s="488">
      <c r="A348" s="488">
        <f>III_Model_PT!A51</f>
        <v/>
      </c>
      <c r="B348" s="488">
        <f>III_Model_PT!B51</f>
        <v/>
      </c>
      <c r="C348" s="488">
        <f>III_Model_PT!C51</f>
        <v/>
      </c>
      <c r="D348" s="488">
        <f>III_Model_PT!D51</f>
        <v/>
      </c>
      <c r="E348" s="488">
        <f>III_Model_PT!E51</f>
        <v/>
      </c>
      <c r="F348" s="488">
        <f>III_Model_PT!F51</f>
        <v/>
      </c>
      <c r="G348" s="488">
        <f>III_Model_PT!G51</f>
        <v/>
      </c>
      <c r="H348" s="488">
        <f>III_Model_PT!H51</f>
        <v/>
      </c>
      <c r="I348" s="488">
        <f>III_Model_PT!I51</f>
        <v/>
      </c>
      <c r="J348" s="488">
        <f>III_Model_PT!J51</f>
        <v/>
      </c>
      <c r="K348" s="672">
        <f>III_Model_PT!K51</f>
        <v/>
      </c>
      <c r="L348" s="672">
        <f>III_Model_PT!L51</f>
        <v/>
      </c>
      <c r="M348" s="488">
        <f>III_Model_PT!M51</f>
        <v/>
      </c>
      <c r="N348" s="488">
        <f>III_Model_PT!N51</f>
        <v/>
      </c>
      <c r="O348" s="488">
        <f>III_Model_PT!O51</f>
        <v/>
      </c>
      <c r="P348" s="629">
        <f>III_Model_PT!P51</f>
        <v/>
      </c>
      <c r="Q348" s="629">
        <f>III_Model_PT!Q51</f>
        <v/>
      </c>
      <c r="R348" s="629">
        <f>III_Model_PT!R51</f>
        <v/>
      </c>
      <c r="S348" s="629">
        <f>III_Model_PT!S51</f>
        <v/>
      </c>
      <c r="T348" s="629">
        <f>III_Model_PT!T51</f>
        <v/>
      </c>
      <c r="U348" s="629">
        <f>III_Model_PT!U51</f>
        <v/>
      </c>
      <c r="V348" s="629">
        <f>III_Model_PT!V51</f>
        <v/>
      </c>
      <c r="W348" s="629">
        <f>III_Model_PT!W51</f>
        <v/>
      </c>
      <c r="X348" s="629">
        <f>III_Model_PT!X51</f>
        <v/>
      </c>
      <c r="Y348" s="651">
        <f>III_Model_PT!Y51</f>
        <v/>
      </c>
      <c r="Z348" s="651">
        <f>III_Model_PT!Z51</f>
        <v/>
      </c>
      <c r="AA348" s="651">
        <f>III_Model_PT!AA51</f>
        <v/>
      </c>
      <c r="AB348" s="651">
        <f>III_Model_PT!AB51</f>
        <v/>
      </c>
      <c r="AC348" s="614">
        <f>III_Model_PT!AC51</f>
        <v/>
      </c>
      <c r="AD348" s="614">
        <f>III_Model_PT!AD51</f>
        <v/>
      </c>
      <c r="AE348" s="614">
        <f>III_Model_PT!AE51</f>
        <v/>
      </c>
      <c r="AF348" s="614">
        <f>III_Model_PT!AF51</f>
        <v/>
      </c>
      <c r="AG348" s="635">
        <f>III_Model_PT!AG51</f>
        <v/>
      </c>
      <c r="AH348" s="635">
        <f>III_Model_PT!AH51</f>
        <v/>
      </c>
      <c r="AI348" s="635">
        <f>III_Model_PT!AI51</f>
        <v/>
      </c>
      <c r="AJ348" s="635">
        <f>III_Model_PT!AJ51</f>
        <v/>
      </c>
      <c r="AK348" s="635">
        <f>III_Model_PT!AK51</f>
        <v/>
      </c>
      <c r="AL348" s="635">
        <f>III_Model_PT!AL51</f>
        <v/>
      </c>
      <c r="AM348" s="635">
        <f>III_Model_PT!AM51</f>
        <v/>
      </c>
      <c r="AN348" s="635">
        <f>III_Model_PT!AN51</f>
        <v/>
      </c>
      <c r="AO348" s="635">
        <f>III_Model_PT!AO51</f>
        <v/>
      </c>
      <c r="AP348" s="641">
        <f>III_Model_PT!AP51</f>
        <v/>
      </c>
      <c r="AQ348" s="641">
        <f>III_Model_PT!AQ51</f>
        <v/>
      </c>
      <c r="AR348" s="641">
        <f>III_Model_PT!AR51</f>
        <v/>
      </c>
      <c r="AS348" s="641">
        <f>III_Model_PT!AS51</f>
        <v/>
      </c>
      <c r="AT348" s="620">
        <f>III_Model_PT!AT51</f>
        <v/>
      </c>
      <c r="AU348" s="620">
        <f>III_Model_PT!AU51</f>
        <v/>
      </c>
      <c r="AV348" s="620">
        <f>III_Model_PT!AV51</f>
        <v/>
      </c>
      <c r="AW348" s="620">
        <f>III_Model_PT!AW51</f>
        <v/>
      </c>
      <c r="AX348" s="488">
        <f>III_Model_PT!AX51</f>
        <v/>
      </c>
      <c r="AY348" s="488">
        <f>III_Model_PT!AY51</f>
        <v/>
      </c>
      <c r="AZ348" s="488">
        <f>III_Model_PT!AZ51</f>
        <v/>
      </c>
      <c r="BA348" s="488">
        <f>III_Model_PT!BA51</f>
        <v/>
      </c>
      <c r="BB348" s="488">
        <f>III_Model_PT!BB51</f>
        <v/>
      </c>
      <c r="BC348" s="488">
        <f>III_Model_PT!BC51</f>
        <v/>
      </c>
      <c r="BD348" s="488">
        <f>III_Model_PT!BD51</f>
        <v/>
      </c>
      <c r="BE348" s="488">
        <f>III_Model_PT!BE51</f>
        <v/>
      </c>
      <c r="BF348" s="488">
        <f>III_Model_PT!BF51</f>
        <v/>
      </c>
      <c r="BG348" s="488">
        <f>III_Model_PT!BG51</f>
        <v/>
      </c>
      <c r="BH348" s="488">
        <f>III_Model_PT!BH51</f>
        <v/>
      </c>
      <c r="BI348" s="488">
        <f>III_Model_PT!BI51</f>
        <v/>
      </c>
      <c r="BJ348">
        <f>O348</f>
        <v/>
      </c>
      <c r="BK348">
        <f>SUM(AG348:AW348)</f>
        <v/>
      </c>
      <c r="BL348" s="531">
        <f>BJ348-BK348</f>
        <v/>
      </c>
      <c r="BM348" s="201" t="n"/>
      <c r="BN348" s="659" t="n"/>
      <c r="BO348" s="659" t="n"/>
      <c r="BP348" s="659" t="n"/>
      <c r="BQ348" s="659" t="n"/>
      <c r="BR348" s="659" t="n"/>
      <c r="BS348" s="659" t="n"/>
      <c r="BT348" s="659" t="n"/>
      <c r="BU348" s="659" t="n"/>
      <c r="BV348" s="659" t="n"/>
      <c r="BW348" s="659" t="n"/>
    </row>
    <row r="349" hidden="1" outlineLevel="1" customFormat="1" s="488">
      <c r="A349" s="488">
        <f>III_Model_PT!A52</f>
        <v/>
      </c>
      <c r="B349" s="488">
        <f>III_Model_PT!B52</f>
        <v/>
      </c>
      <c r="C349" s="488">
        <f>III_Model_PT!C52</f>
        <v/>
      </c>
      <c r="D349" s="488">
        <f>III_Model_PT!D52</f>
        <v/>
      </c>
      <c r="E349" s="488">
        <f>III_Model_PT!E52</f>
        <v/>
      </c>
      <c r="F349" s="488">
        <f>III_Model_PT!F52</f>
        <v/>
      </c>
      <c r="G349" s="488">
        <f>III_Model_PT!G52</f>
        <v/>
      </c>
      <c r="H349" s="488">
        <f>III_Model_PT!H52</f>
        <v/>
      </c>
      <c r="I349" s="488">
        <f>III_Model_PT!I52</f>
        <v/>
      </c>
      <c r="J349" s="488">
        <f>III_Model_PT!J52</f>
        <v/>
      </c>
      <c r="K349" s="672">
        <f>III_Model_PT!K52</f>
        <v/>
      </c>
      <c r="L349" s="672">
        <f>III_Model_PT!L52</f>
        <v/>
      </c>
      <c r="M349" s="488">
        <f>III_Model_PT!M52</f>
        <v/>
      </c>
      <c r="N349" s="488">
        <f>III_Model_PT!N52</f>
        <v/>
      </c>
      <c r="O349" s="488">
        <f>III_Model_PT!O52</f>
        <v/>
      </c>
      <c r="P349" s="629">
        <f>III_Model_PT!P52</f>
        <v/>
      </c>
      <c r="Q349" s="629">
        <f>III_Model_PT!Q52</f>
        <v/>
      </c>
      <c r="R349" s="629">
        <f>III_Model_PT!R52</f>
        <v/>
      </c>
      <c r="S349" s="629">
        <f>III_Model_PT!S52</f>
        <v/>
      </c>
      <c r="T349" s="629">
        <f>III_Model_PT!T52</f>
        <v/>
      </c>
      <c r="U349" s="629">
        <f>III_Model_PT!U52</f>
        <v/>
      </c>
      <c r="V349" s="629">
        <f>III_Model_PT!V52</f>
        <v/>
      </c>
      <c r="W349" s="629">
        <f>III_Model_PT!W52</f>
        <v/>
      </c>
      <c r="X349" s="629">
        <f>III_Model_PT!X52</f>
        <v/>
      </c>
      <c r="Y349" s="651">
        <f>III_Model_PT!Y52</f>
        <v/>
      </c>
      <c r="Z349" s="651">
        <f>III_Model_PT!Z52</f>
        <v/>
      </c>
      <c r="AA349" s="651">
        <f>III_Model_PT!AA52</f>
        <v/>
      </c>
      <c r="AB349" s="651">
        <f>III_Model_PT!AB52</f>
        <v/>
      </c>
      <c r="AC349" s="614">
        <f>III_Model_PT!AC52</f>
        <v/>
      </c>
      <c r="AD349" s="614">
        <f>III_Model_PT!AD52</f>
        <v/>
      </c>
      <c r="AE349" s="614">
        <f>III_Model_PT!AE52</f>
        <v/>
      </c>
      <c r="AF349" s="614">
        <f>III_Model_PT!AF52</f>
        <v/>
      </c>
      <c r="AG349" s="635">
        <f>III_Model_PT!AG52</f>
        <v/>
      </c>
      <c r="AH349" s="635">
        <f>III_Model_PT!AH52</f>
        <v/>
      </c>
      <c r="AI349" s="635">
        <f>III_Model_PT!AI52</f>
        <v/>
      </c>
      <c r="AJ349" s="635">
        <f>III_Model_PT!AJ52</f>
        <v/>
      </c>
      <c r="AK349" s="635">
        <f>III_Model_PT!AK52</f>
        <v/>
      </c>
      <c r="AL349" s="635">
        <f>III_Model_PT!AL52</f>
        <v/>
      </c>
      <c r="AM349" s="635">
        <f>III_Model_PT!AM52</f>
        <v/>
      </c>
      <c r="AN349" s="635">
        <f>III_Model_PT!AN52</f>
        <v/>
      </c>
      <c r="AO349" s="635">
        <f>III_Model_PT!AO52</f>
        <v/>
      </c>
      <c r="AP349" s="641">
        <f>III_Model_PT!AP52</f>
        <v/>
      </c>
      <c r="AQ349" s="641">
        <f>III_Model_PT!AQ52</f>
        <v/>
      </c>
      <c r="AR349" s="641">
        <f>III_Model_PT!AR52</f>
        <v/>
      </c>
      <c r="AS349" s="641">
        <f>III_Model_PT!AS52</f>
        <v/>
      </c>
      <c r="AT349" s="620">
        <f>III_Model_PT!AT52</f>
        <v/>
      </c>
      <c r="AU349" s="620">
        <f>III_Model_PT!AU52</f>
        <v/>
      </c>
      <c r="AV349" s="620">
        <f>III_Model_PT!AV52</f>
        <v/>
      </c>
      <c r="AW349" s="620">
        <f>III_Model_PT!AW52</f>
        <v/>
      </c>
      <c r="AX349" s="488">
        <f>III_Model_PT!AX52</f>
        <v/>
      </c>
      <c r="AY349" s="488">
        <f>III_Model_PT!AY52</f>
        <v/>
      </c>
      <c r="AZ349" s="488">
        <f>III_Model_PT!AZ52</f>
        <v/>
      </c>
      <c r="BA349" s="488">
        <f>III_Model_PT!BA52</f>
        <v/>
      </c>
      <c r="BB349" s="488">
        <f>III_Model_PT!BB52</f>
        <v/>
      </c>
      <c r="BC349" s="488">
        <f>III_Model_PT!BC52</f>
        <v/>
      </c>
      <c r="BD349" s="488">
        <f>III_Model_PT!BD52</f>
        <v/>
      </c>
      <c r="BE349" s="488">
        <f>III_Model_PT!BE52</f>
        <v/>
      </c>
      <c r="BF349" s="488">
        <f>III_Model_PT!BF52</f>
        <v/>
      </c>
      <c r="BG349" s="488">
        <f>III_Model_PT!BG52</f>
        <v/>
      </c>
      <c r="BH349" s="488">
        <f>III_Model_PT!BH52</f>
        <v/>
      </c>
      <c r="BI349" s="488">
        <f>III_Model_PT!BI52</f>
        <v/>
      </c>
      <c r="BJ349">
        <f>O349</f>
        <v/>
      </c>
      <c r="BK349">
        <f>SUM(AG349:AW349)</f>
        <v/>
      </c>
      <c r="BL349" s="531">
        <f>BJ349-BK349</f>
        <v/>
      </c>
      <c r="BM349" s="201" t="n"/>
      <c r="BN349" s="659" t="n"/>
      <c r="BO349" s="659" t="n"/>
      <c r="BP349" s="659" t="n"/>
      <c r="BQ349" s="659" t="n"/>
      <c r="BR349" s="659" t="n"/>
      <c r="BS349" s="659" t="n"/>
      <c r="BT349" s="659" t="n"/>
      <c r="BU349" s="659" t="n"/>
      <c r="BV349" s="659" t="n"/>
      <c r="BW349" s="659" t="n"/>
    </row>
    <row r="350" hidden="1" outlineLevel="1" customFormat="1" s="488">
      <c r="A350" s="488">
        <f>III_Model_PT!A53</f>
        <v/>
      </c>
      <c r="B350" s="488">
        <f>III_Model_PT!B53</f>
        <v/>
      </c>
      <c r="C350" s="488">
        <f>III_Model_PT!C53</f>
        <v/>
      </c>
      <c r="D350" s="488">
        <f>III_Model_PT!D53</f>
        <v/>
      </c>
      <c r="E350" s="488">
        <f>III_Model_PT!E53</f>
        <v/>
      </c>
      <c r="F350" s="488">
        <f>III_Model_PT!F53</f>
        <v/>
      </c>
      <c r="G350" s="488">
        <f>III_Model_PT!G53</f>
        <v/>
      </c>
      <c r="H350" s="488">
        <f>III_Model_PT!H53</f>
        <v/>
      </c>
      <c r="I350" s="488">
        <f>III_Model_PT!I53</f>
        <v/>
      </c>
      <c r="J350" s="488">
        <f>III_Model_PT!J53</f>
        <v/>
      </c>
      <c r="K350" s="672">
        <f>III_Model_PT!K53</f>
        <v/>
      </c>
      <c r="L350" s="672">
        <f>III_Model_PT!L53</f>
        <v/>
      </c>
      <c r="M350" s="488">
        <f>III_Model_PT!M53</f>
        <v/>
      </c>
      <c r="N350" s="488">
        <f>III_Model_PT!N53</f>
        <v/>
      </c>
      <c r="O350" s="488">
        <f>III_Model_PT!O53</f>
        <v/>
      </c>
      <c r="P350" s="629">
        <f>III_Model_PT!P53</f>
        <v/>
      </c>
      <c r="Q350" s="629">
        <f>III_Model_PT!Q53</f>
        <v/>
      </c>
      <c r="R350" s="629">
        <f>III_Model_PT!R53</f>
        <v/>
      </c>
      <c r="S350" s="629">
        <f>III_Model_PT!S53</f>
        <v/>
      </c>
      <c r="T350" s="629">
        <f>III_Model_PT!T53</f>
        <v/>
      </c>
      <c r="U350" s="629">
        <f>III_Model_PT!U53</f>
        <v/>
      </c>
      <c r="V350" s="629">
        <f>III_Model_PT!V53</f>
        <v/>
      </c>
      <c r="W350" s="629">
        <f>III_Model_PT!W53</f>
        <v/>
      </c>
      <c r="X350" s="629">
        <f>III_Model_PT!X53</f>
        <v/>
      </c>
      <c r="Y350" s="651">
        <f>III_Model_PT!Y53</f>
        <v/>
      </c>
      <c r="Z350" s="651">
        <f>III_Model_PT!Z53</f>
        <v/>
      </c>
      <c r="AA350" s="651">
        <f>III_Model_PT!AA53</f>
        <v/>
      </c>
      <c r="AB350" s="651">
        <f>III_Model_PT!AB53</f>
        <v/>
      </c>
      <c r="AC350" s="614">
        <f>III_Model_PT!AC53</f>
        <v/>
      </c>
      <c r="AD350" s="614">
        <f>III_Model_PT!AD53</f>
        <v/>
      </c>
      <c r="AE350" s="614">
        <f>III_Model_PT!AE53</f>
        <v/>
      </c>
      <c r="AF350" s="614">
        <f>III_Model_PT!AF53</f>
        <v/>
      </c>
      <c r="AG350" s="635">
        <f>III_Model_PT!AG53</f>
        <v/>
      </c>
      <c r="AH350" s="635">
        <f>III_Model_PT!AH53</f>
        <v/>
      </c>
      <c r="AI350" s="635">
        <f>III_Model_PT!AI53</f>
        <v/>
      </c>
      <c r="AJ350" s="635">
        <f>III_Model_PT!AJ53</f>
        <v/>
      </c>
      <c r="AK350" s="635">
        <f>III_Model_PT!AK53</f>
        <v/>
      </c>
      <c r="AL350" s="635">
        <f>III_Model_PT!AL53</f>
        <v/>
      </c>
      <c r="AM350" s="635">
        <f>III_Model_PT!AM53</f>
        <v/>
      </c>
      <c r="AN350" s="635">
        <f>III_Model_PT!AN53</f>
        <v/>
      </c>
      <c r="AO350" s="635">
        <f>III_Model_PT!AO53</f>
        <v/>
      </c>
      <c r="AP350" s="641">
        <f>III_Model_PT!AP53</f>
        <v/>
      </c>
      <c r="AQ350" s="641">
        <f>III_Model_PT!AQ53</f>
        <v/>
      </c>
      <c r="AR350" s="641">
        <f>III_Model_PT!AR53</f>
        <v/>
      </c>
      <c r="AS350" s="641">
        <f>III_Model_PT!AS53</f>
        <v/>
      </c>
      <c r="AT350" s="620">
        <f>III_Model_PT!AT53</f>
        <v/>
      </c>
      <c r="AU350" s="620">
        <f>III_Model_PT!AU53</f>
        <v/>
      </c>
      <c r="AV350" s="620">
        <f>III_Model_PT!AV53</f>
        <v/>
      </c>
      <c r="AW350" s="620">
        <f>III_Model_PT!AW53</f>
        <v/>
      </c>
      <c r="AX350" s="488">
        <f>III_Model_PT!AX53</f>
        <v/>
      </c>
      <c r="AY350" s="488">
        <f>III_Model_PT!AY53</f>
        <v/>
      </c>
      <c r="AZ350" s="488">
        <f>III_Model_PT!AZ53</f>
        <v/>
      </c>
      <c r="BA350" s="488">
        <f>III_Model_PT!BA53</f>
        <v/>
      </c>
      <c r="BB350" s="488">
        <f>III_Model_PT!BB53</f>
        <v/>
      </c>
      <c r="BC350" s="488">
        <f>III_Model_PT!BC53</f>
        <v/>
      </c>
      <c r="BD350" s="488">
        <f>III_Model_PT!BD53</f>
        <v/>
      </c>
      <c r="BE350" s="488">
        <f>III_Model_PT!BE53</f>
        <v/>
      </c>
      <c r="BF350" s="488">
        <f>III_Model_PT!BF53</f>
        <v/>
      </c>
      <c r="BG350" s="488">
        <f>III_Model_PT!BG53</f>
        <v/>
      </c>
      <c r="BH350" s="488">
        <f>III_Model_PT!BH53</f>
        <v/>
      </c>
      <c r="BI350" s="488">
        <f>III_Model_PT!BI53</f>
        <v/>
      </c>
      <c r="BJ350">
        <f>O350</f>
        <v/>
      </c>
      <c r="BK350">
        <f>SUM(AG350:AW350)</f>
        <v/>
      </c>
      <c r="BL350" s="531">
        <f>BJ350-BK350</f>
        <v/>
      </c>
      <c r="BM350" s="201" t="n"/>
      <c r="BN350" s="659" t="n"/>
      <c r="BO350" s="659" t="n"/>
      <c r="BP350" s="659" t="n"/>
      <c r="BQ350" s="659" t="n"/>
      <c r="BR350" s="659" t="n"/>
      <c r="BS350" s="659" t="n"/>
      <c r="BT350" s="659" t="n"/>
      <c r="BU350" s="659" t="n"/>
      <c r="BV350" s="659" t="n"/>
      <c r="BW350" s="659" t="n"/>
      <c r="BX350" s="488" t="n"/>
    </row>
    <row r="351" hidden="1" outlineLevel="1" customFormat="1" s="488">
      <c r="A351" s="488">
        <f>III_Model_PT!A54</f>
        <v/>
      </c>
      <c r="B351" s="488">
        <f>III_Model_PT!B54</f>
        <v/>
      </c>
      <c r="C351" s="488">
        <f>III_Model_PT!C54</f>
        <v/>
      </c>
      <c r="D351" s="488">
        <f>III_Model_PT!D54</f>
        <v/>
      </c>
      <c r="E351" s="488">
        <f>III_Model_PT!E54</f>
        <v/>
      </c>
      <c r="F351" s="488">
        <f>III_Model_PT!F54</f>
        <v/>
      </c>
      <c r="G351" s="488">
        <f>III_Model_PT!G54</f>
        <v/>
      </c>
      <c r="H351" s="488">
        <f>III_Model_PT!H54</f>
        <v/>
      </c>
      <c r="I351" s="488">
        <f>III_Model_PT!I54</f>
        <v/>
      </c>
      <c r="J351" s="488">
        <f>III_Model_PT!J54</f>
        <v/>
      </c>
      <c r="K351" s="672">
        <f>III_Model_PT!K54</f>
        <v/>
      </c>
      <c r="L351" s="672">
        <f>III_Model_PT!L54</f>
        <v/>
      </c>
      <c r="M351" s="488">
        <f>III_Model_PT!M54</f>
        <v/>
      </c>
      <c r="N351" s="488">
        <f>III_Model_PT!N54</f>
        <v/>
      </c>
      <c r="O351" s="488">
        <f>III_Model_PT!O54</f>
        <v/>
      </c>
      <c r="P351" s="629">
        <f>III_Model_PT!P54</f>
        <v/>
      </c>
      <c r="Q351" s="629">
        <f>III_Model_PT!Q54</f>
        <v/>
      </c>
      <c r="R351" s="629">
        <f>III_Model_PT!R54</f>
        <v/>
      </c>
      <c r="S351" s="629">
        <f>III_Model_PT!S54</f>
        <v/>
      </c>
      <c r="T351" s="629">
        <f>III_Model_PT!T54</f>
        <v/>
      </c>
      <c r="U351" s="629">
        <f>III_Model_PT!U54</f>
        <v/>
      </c>
      <c r="V351" s="629">
        <f>III_Model_PT!V54</f>
        <v/>
      </c>
      <c r="W351" s="629">
        <f>III_Model_PT!W54</f>
        <v/>
      </c>
      <c r="X351" s="629">
        <f>III_Model_PT!X54</f>
        <v/>
      </c>
      <c r="Y351" s="651">
        <f>III_Model_PT!Y54</f>
        <v/>
      </c>
      <c r="Z351" s="651">
        <f>III_Model_PT!Z54</f>
        <v/>
      </c>
      <c r="AA351" s="651">
        <f>III_Model_PT!AA54</f>
        <v/>
      </c>
      <c r="AB351" s="651">
        <f>III_Model_PT!AB54</f>
        <v/>
      </c>
      <c r="AC351" s="614">
        <f>III_Model_PT!AC54</f>
        <v/>
      </c>
      <c r="AD351" s="614">
        <f>III_Model_PT!AD54</f>
        <v/>
      </c>
      <c r="AE351" s="614">
        <f>III_Model_PT!AE54</f>
        <v/>
      </c>
      <c r="AF351" s="614">
        <f>III_Model_PT!AF54</f>
        <v/>
      </c>
      <c r="AG351" s="635">
        <f>III_Model_PT!AG54</f>
        <v/>
      </c>
      <c r="AH351" s="635">
        <f>III_Model_PT!AH54</f>
        <v/>
      </c>
      <c r="AI351" s="635">
        <f>III_Model_PT!AI54</f>
        <v/>
      </c>
      <c r="AJ351" s="635">
        <f>III_Model_PT!AJ54</f>
        <v/>
      </c>
      <c r="AK351" s="635">
        <f>III_Model_PT!AK54</f>
        <v/>
      </c>
      <c r="AL351" s="635">
        <f>III_Model_PT!AL54</f>
        <v/>
      </c>
      <c r="AM351" s="635">
        <f>III_Model_PT!AM54</f>
        <v/>
      </c>
      <c r="AN351" s="635">
        <f>III_Model_PT!AN54</f>
        <v/>
      </c>
      <c r="AO351" s="635">
        <f>III_Model_PT!AO54</f>
        <v/>
      </c>
      <c r="AP351" s="641">
        <f>III_Model_PT!AP54</f>
        <v/>
      </c>
      <c r="AQ351" s="641">
        <f>III_Model_PT!AQ54</f>
        <v/>
      </c>
      <c r="AR351" s="641">
        <f>III_Model_PT!AR54</f>
        <v/>
      </c>
      <c r="AS351" s="641">
        <f>III_Model_PT!AS54</f>
        <v/>
      </c>
      <c r="AT351" s="620">
        <f>III_Model_PT!AT54</f>
        <v/>
      </c>
      <c r="AU351" s="620">
        <f>III_Model_PT!AU54</f>
        <v/>
      </c>
      <c r="AV351" s="620">
        <f>III_Model_PT!AV54</f>
        <v/>
      </c>
      <c r="AW351" s="620">
        <f>III_Model_PT!AW54</f>
        <v/>
      </c>
      <c r="AX351" s="488">
        <f>III_Model_PT!AX54</f>
        <v/>
      </c>
      <c r="AY351" s="488">
        <f>III_Model_PT!AY54</f>
        <v/>
      </c>
      <c r="AZ351" s="488">
        <f>III_Model_PT!AZ54</f>
        <v/>
      </c>
      <c r="BA351" s="488">
        <f>III_Model_PT!BA54</f>
        <v/>
      </c>
      <c r="BB351" s="488">
        <f>III_Model_PT!BB54</f>
        <v/>
      </c>
      <c r="BC351" s="488">
        <f>III_Model_PT!BC54</f>
        <v/>
      </c>
      <c r="BD351" s="488">
        <f>III_Model_PT!BD54</f>
        <v/>
      </c>
      <c r="BE351" s="488">
        <f>III_Model_PT!BE54</f>
        <v/>
      </c>
      <c r="BF351" s="488">
        <f>III_Model_PT!BF54</f>
        <v/>
      </c>
      <c r="BG351" s="488">
        <f>III_Model_PT!BG54</f>
        <v/>
      </c>
      <c r="BH351" s="488">
        <f>III_Model_PT!BH54</f>
        <v/>
      </c>
      <c r="BI351" s="488">
        <f>III_Model_PT!BI54</f>
        <v/>
      </c>
      <c r="BJ351">
        <f>O351</f>
        <v/>
      </c>
      <c r="BK351">
        <f>SUM(AG351:AW351)</f>
        <v/>
      </c>
      <c r="BL351" s="531">
        <f>BJ351-BK351</f>
        <v/>
      </c>
      <c r="BM351" s="201" t="n"/>
      <c r="BN351" s="659" t="n"/>
      <c r="BO351" s="659" t="n"/>
      <c r="BP351" s="659" t="n"/>
      <c r="BQ351" s="659" t="n"/>
      <c r="BR351" s="659" t="n"/>
      <c r="BS351" s="659" t="n"/>
      <c r="BT351" s="659" t="n"/>
      <c r="BU351" s="659" t="n"/>
      <c r="BV351" s="659" t="n"/>
      <c r="BW351" s="659" t="n"/>
    </row>
    <row r="352" hidden="1" outlineLevel="1" customFormat="1" s="488">
      <c r="A352" s="488">
        <f>III_Model_PT!A55</f>
        <v/>
      </c>
      <c r="B352" s="488">
        <f>III_Model_PT!B55</f>
        <v/>
      </c>
      <c r="C352" s="488">
        <f>III_Model_PT!C55</f>
        <v/>
      </c>
      <c r="D352" s="488">
        <f>III_Model_PT!D55</f>
        <v/>
      </c>
      <c r="E352" s="488">
        <f>III_Model_PT!E55</f>
        <v/>
      </c>
      <c r="F352" s="488">
        <f>III_Model_PT!F55</f>
        <v/>
      </c>
      <c r="G352" s="488">
        <f>III_Model_PT!G55</f>
        <v/>
      </c>
      <c r="H352" s="488">
        <f>III_Model_PT!H55</f>
        <v/>
      </c>
      <c r="I352" s="488">
        <f>III_Model_PT!I55</f>
        <v/>
      </c>
      <c r="J352" s="488">
        <f>III_Model_PT!J55</f>
        <v/>
      </c>
      <c r="K352" s="672">
        <f>III_Model_PT!K55</f>
        <v/>
      </c>
      <c r="L352" s="672">
        <f>III_Model_PT!L55</f>
        <v/>
      </c>
      <c r="M352" s="488">
        <f>III_Model_PT!M55</f>
        <v/>
      </c>
      <c r="N352" s="488">
        <f>III_Model_PT!N55</f>
        <v/>
      </c>
      <c r="O352" s="488">
        <f>III_Model_PT!O55</f>
        <v/>
      </c>
      <c r="P352" s="629">
        <f>III_Model_PT!P55</f>
        <v/>
      </c>
      <c r="Q352" s="629">
        <f>III_Model_PT!Q55</f>
        <v/>
      </c>
      <c r="R352" s="629">
        <f>III_Model_PT!R55</f>
        <v/>
      </c>
      <c r="S352" s="629">
        <f>III_Model_PT!S55</f>
        <v/>
      </c>
      <c r="T352" s="629">
        <f>III_Model_PT!T55</f>
        <v/>
      </c>
      <c r="U352" s="629">
        <f>III_Model_PT!U55</f>
        <v/>
      </c>
      <c r="V352" s="629">
        <f>III_Model_PT!V55</f>
        <v/>
      </c>
      <c r="W352" s="629">
        <f>III_Model_PT!W55</f>
        <v/>
      </c>
      <c r="X352" s="629">
        <f>III_Model_PT!X55</f>
        <v/>
      </c>
      <c r="Y352" s="651">
        <f>III_Model_PT!Y55</f>
        <v/>
      </c>
      <c r="Z352" s="651">
        <f>III_Model_PT!Z55</f>
        <v/>
      </c>
      <c r="AA352" s="651">
        <f>III_Model_PT!AA55</f>
        <v/>
      </c>
      <c r="AB352" s="651">
        <f>III_Model_PT!AB55</f>
        <v/>
      </c>
      <c r="AC352" s="614">
        <f>III_Model_PT!AC55</f>
        <v/>
      </c>
      <c r="AD352" s="614">
        <f>III_Model_PT!AD55</f>
        <v/>
      </c>
      <c r="AE352" s="614">
        <f>III_Model_PT!AE55</f>
        <v/>
      </c>
      <c r="AF352" s="614">
        <f>III_Model_PT!AF55</f>
        <v/>
      </c>
      <c r="AG352" s="635">
        <f>III_Model_PT!AG55</f>
        <v/>
      </c>
      <c r="AH352" s="635">
        <f>III_Model_PT!AH55</f>
        <v/>
      </c>
      <c r="AI352" s="635">
        <f>III_Model_PT!AI55</f>
        <v/>
      </c>
      <c r="AJ352" s="635">
        <f>III_Model_PT!AJ55</f>
        <v/>
      </c>
      <c r="AK352" s="635">
        <f>III_Model_PT!AK55</f>
        <v/>
      </c>
      <c r="AL352" s="635">
        <f>III_Model_PT!AL55</f>
        <v/>
      </c>
      <c r="AM352" s="635">
        <f>III_Model_PT!AM55</f>
        <v/>
      </c>
      <c r="AN352" s="635">
        <f>III_Model_PT!AN55</f>
        <v/>
      </c>
      <c r="AO352" s="635">
        <f>III_Model_PT!AO55</f>
        <v/>
      </c>
      <c r="AP352" s="641">
        <f>III_Model_PT!AP55</f>
        <v/>
      </c>
      <c r="AQ352" s="641">
        <f>III_Model_PT!AQ55</f>
        <v/>
      </c>
      <c r="AR352" s="641">
        <f>III_Model_PT!AR55</f>
        <v/>
      </c>
      <c r="AS352" s="641">
        <f>III_Model_PT!AS55</f>
        <v/>
      </c>
      <c r="AT352" s="620">
        <f>III_Model_PT!AT55</f>
        <v/>
      </c>
      <c r="AU352" s="620">
        <f>III_Model_PT!AU55</f>
        <v/>
      </c>
      <c r="AV352" s="620">
        <f>III_Model_PT!AV55</f>
        <v/>
      </c>
      <c r="AW352" s="620">
        <f>III_Model_PT!AW55</f>
        <v/>
      </c>
      <c r="AX352" s="488">
        <f>III_Model_PT!AX55</f>
        <v/>
      </c>
      <c r="AY352" s="488">
        <f>III_Model_PT!AY55</f>
        <v/>
      </c>
      <c r="AZ352" s="488">
        <f>III_Model_PT!AZ55</f>
        <v/>
      </c>
      <c r="BA352" s="488">
        <f>III_Model_PT!BA55</f>
        <v/>
      </c>
      <c r="BB352" s="488">
        <f>III_Model_PT!BB55</f>
        <v/>
      </c>
      <c r="BC352" s="488">
        <f>III_Model_PT!BC55</f>
        <v/>
      </c>
      <c r="BD352" s="488">
        <f>III_Model_PT!BD55</f>
        <v/>
      </c>
      <c r="BE352" s="488">
        <f>III_Model_PT!BE55</f>
        <v/>
      </c>
      <c r="BF352" s="488">
        <f>III_Model_PT!BF55</f>
        <v/>
      </c>
      <c r="BG352" s="488">
        <f>III_Model_PT!BG55</f>
        <v/>
      </c>
      <c r="BH352" s="488">
        <f>III_Model_PT!BH55</f>
        <v/>
      </c>
      <c r="BI352" s="488">
        <f>III_Model_PT!BI55</f>
        <v/>
      </c>
      <c r="BJ352">
        <f>O352</f>
        <v/>
      </c>
      <c r="BK352">
        <f>SUM(AG352:AW352)</f>
        <v/>
      </c>
      <c r="BL352" s="531">
        <f>BJ352-BK352</f>
        <v/>
      </c>
      <c r="BM352" s="201" t="n"/>
      <c r="BN352" s="659" t="n"/>
      <c r="BO352" s="659" t="n"/>
      <c r="BP352" s="659" t="n"/>
      <c r="BQ352" s="659" t="n"/>
      <c r="BR352" s="659" t="n"/>
      <c r="BS352" s="659" t="n"/>
      <c r="BT352" s="659" t="n"/>
      <c r="BU352" s="659" t="n"/>
      <c r="BV352" s="659" t="n"/>
      <c r="BW352" s="659" t="n"/>
    </row>
    <row r="353" hidden="1" outlineLevel="1" customFormat="1" s="488">
      <c r="A353" s="488">
        <f>III_Model_PT!A56</f>
        <v/>
      </c>
      <c r="B353" s="488">
        <f>III_Model_PT!B56</f>
        <v/>
      </c>
      <c r="C353" s="488">
        <f>III_Model_PT!C56</f>
        <v/>
      </c>
      <c r="D353" s="488">
        <f>III_Model_PT!D56</f>
        <v/>
      </c>
      <c r="E353" s="488">
        <f>III_Model_PT!E56</f>
        <v/>
      </c>
      <c r="F353" s="488">
        <f>III_Model_PT!F56</f>
        <v/>
      </c>
      <c r="G353" s="488">
        <f>III_Model_PT!G56</f>
        <v/>
      </c>
      <c r="H353" s="488">
        <f>III_Model_PT!H56</f>
        <v/>
      </c>
      <c r="I353" s="488">
        <f>III_Model_PT!I56</f>
        <v/>
      </c>
      <c r="J353" s="488">
        <f>III_Model_PT!J56</f>
        <v/>
      </c>
      <c r="K353" s="672">
        <f>III_Model_PT!K56</f>
        <v/>
      </c>
      <c r="L353" s="672">
        <f>III_Model_PT!L56</f>
        <v/>
      </c>
      <c r="M353" s="488">
        <f>III_Model_PT!M56</f>
        <v/>
      </c>
      <c r="N353" s="488">
        <f>III_Model_PT!N56</f>
        <v/>
      </c>
      <c r="O353" s="488">
        <f>III_Model_PT!O56</f>
        <v/>
      </c>
      <c r="P353" s="629">
        <f>III_Model_PT!P56</f>
        <v/>
      </c>
      <c r="Q353" s="629">
        <f>III_Model_PT!Q56</f>
        <v/>
      </c>
      <c r="R353" s="629">
        <f>III_Model_PT!R56</f>
        <v/>
      </c>
      <c r="S353" s="629">
        <f>III_Model_PT!S56</f>
        <v/>
      </c>
      <c r="T353" s="629">
        <f>III_Model_PT!T56</f>
        <v/>
      </c>
      <c r="U353" s="629">
        <f>III_Model_PT!U56</f>
        <v/>
      </c>
      <c r="V353" s="629">
        <f>III_Model_PT!V56</f>
        <v/>
      </c>
      <c r="W353" s="629">
        <f>III_Model_PT!W56</f>
        <v/>
      </c>
      <c r="X353" s="629">
        <f>III_Model_PT!X56</f>
        <v/>
      </c>
      <c r="Y353" s="651">
        <f>III_Model_PT!Y56</f>
        <v/>
      </c>
      <c r="Z353" s="651">
        <f>III_Model_PT!Z56</f>
        <v/>
      </c>
      <c r="AA353" s="651">
        <f>III_Model_PT!AA56</f>
        <v/>
      </c>
      <c r="AB353" s="651">
        <f>III_Model_PT!AB56</f>
        <v/>
      </c>
      <c r="AC353" s="614">
        <f>III_Model_PT!AC56</f>
        <v/>
      </c>
      <c r="AD353" s="614">
        <f>III_Model_PT!AD56</f>
        <v/>
      </c>
      <c r="AE353" s="614">
        <f>III_Model_PT!AE56</f>
        <v/>
      </c>
      <c r="AF353" s="614">
        <f>III_Model_PT!AF56</f>
        <v/>
      </c>
      <c r="AG353" s="635">
        <f>III_Model_PT!AG56</f>
        <v/>
      </c>
      <c r="AH353" s="635">
        <f>III_Model_PT!AH56</f>
        <v/>
      </c>
      <c r="AI353" s="635">
        <f>III_Model_PT!AI56</f>
        <v/>
      </c>
      <c r="AJ353" s="635">
        <f>III_Model_PT!AJ56</f>
        <v/>
      </c>
      <c r="AK353" s="635">
        <f>III_Model_PT!AK56</f>
        <v/>
      </c>
      <c r="AL353" s="635">
        <f>III_Model_PT!AL56</f>
        <v/>
      </c>
      <c r="AM353" s="635">
        <f>III_Model_PT!AM56</f>
        <v/>
      </c>
      <c r="AN353" s="635">
        <f>III_Model_PT!AN56</f>
        <v/>
      </c>
      <c r="AO353" s="635">
        <f>III_Model_PT!AO56</f>
        <v/>
      </c>
      <c r="AP353" s="641">
        <f>III_Model_PT!AP56</f>
        <v/>
      </c>
      <c r="AQ353" s="641">
        <f>III_Model_PT!AQ56</f>
        <v/>
      </c>
      <c r="AR353" s="641">
        <f>III_Model_PT!AR56</f>
        <v/>
      </c>
      <c r="AS353" s="641">
        <f>III_Model_PT!AS56</f>
        <v/>
      </c>
      <c r="AT353" s="620">
        <f>III_Model_PT!AT56</f>
        <v/>
      </c>
      <c r="AU353" s="620">
        <f>III_Model_PT!AU56</f>
        <v/>
      </c>
      <c r="AV353" s="620">
        <f>III_Model_PT!AV56</f>
        <v/>
      </c>
      <c r="AW353" s="620">
        <f>III_Model_PT!AW56</f>
        <v/>
      </c>
      <c r="AX353" s="488">
        <f>III_Model_PT!AX56</f>
        <v/>
      </c>
      <c r="AY353" s="488">
        <f>III_Model_PT!AY56</f>
        <v/>
      </c>
      <c r="AZ353" s="488">
        <f>III_Model_PT!AZ56</f>
        <v/>
      </c>
      <c r="BA353" s="488">
        <f>III_Model_PT!BA56</f>
        <v/>
      </c>
      <c r="BB353" s="488">
        <f>III_Model_PT!BB56</f>
        <v/>
      </c>
      <c r="BC353" s="488">
        <f>III_Model_PT!BC56</f>
        <v/>
      </c>
      <c r="BD353" s="488">
        <f>III_Model_PT!BD56</f>
        <v/>
      </c>
      <c r="BE353" s="488">
        <f>III_Model_PT!BE56</f>
        <v/>
      </c>
      <c r="BF353" s="488">
        <f>III_Model_PT!BF56</f>
        <v/>
      </c>
      <c r="BG353" s="488">
        <f>III_Model_PT!BG56</f>
        <v/>
      </c>
      <c r="BH353" s="488">
        <f>III_Model_PT!BH56</f>
        <v/>
      </c>
      <c r="BI353" s="488">
        <f>III_Model_PT!BI56</f>
        <v/>
      </c>
      <c r="BJ353">
        <f>O353</f>
        <v/>
      </c>
      <c r="BK353">
        <f>SUM(AG353:AW353)</f>
        <v/>
      </c>
      <c r="BL353" s="531">
        <f>BJ353-BK353</f>
        <v/>
      </c>
      <c r="BM353" s="201" t="n"/>
      <c r="BN353" s="659" t="n"/>
      <c r="BO353" s="659" t="n"/>
      <c r="BP353" s="659" t="n"/>
      <c r="BQ353" s="659" t="n"/>
      <c r="BR353" s="659" t="n"/>
      <c r="BS353" s="659" t="n"/>
      <c r="BT353" s="659" t="n"/>
      <c r="BU353" s="659" t="n"/>
      <c r="BV353" s="659" t="n"/>
      <c r="BW353" s="659" t="n"/>
    </row>
    <row r="354" hidden="1" outlineLevel="1" customFormat="1" s="488">
      <c r="A354" s="488">
        <f>III_Model_PT!A57</f>
        <v/>
      </c>
      <c r="B354" s="488">
        <f>III_Model_PT!B57</f>
        <v/>
      </c>
      <c r="C354" s="488">
        <f>III_Model_PT!C57</f>
        <v/>
      </c>
      <c r="D354" s="488">
        <f>III_Model_PT!D57</f>
        <v/>
      </c>
      <c r="E354" s="488">
        <f>III_Model_PT!E57</f>
        <v/>
      </c>
      <c r="F354" s="488">
        <f>III_Model_PT!F57</f>
        <v/>
      </c>
      <c r="G354" s="488">
        <f>III_Model_PT!G57</f>
        <v/>
      </c>
      <c r="H354" s="488">
        <f>III_Model_PT!H57</f>
        <v/>
      </c>
      <c r="I354" s="488">
        <f>III_Model_PT!I57</f>
        <v/>
      </c>
      <c r="J354" s="488">
        <f>III_Model_PT!J57</f>
        <v/>
      </c>
      <c r="K354" s="672">
        <f>III_Model_PT!K57</f>
        <v/>
      </c>
      <c r="L354" s="672">
        <f>III_Model_PT!L57</f>
        <v/>
      </c>
      <c r="M354" s="488">
        <f>III_Model_PT!M57</f>
        <v/>
      </c>
      <c r="N354" s="488">
        <f>III_Model_PT!N57</f>
        <v/>
      </c>
      <c r="O354" s="488">
        <f>III_Model_PT!O57</f>
        <v/>
      </c>
      <c r="P354" s="629">
        <f>III_Model_PT!P57</f>
        <v/>
      </c>
      <c r="Q354" s="629">
        <f>III_Model_PT!Q57</f>
        <v/>
      </c>
      <c r="R354" s="629">
        <f>III_Model_PT!R57</f>
        <v/>
      </c>
      <c r="S354" s="629">
        <f>III_Model_PT!S57</f>
        <v/>
      </c>
      <c r="T354" s="629">
        <f>III_Model_PT!T57</f>
        <v/>
      </c>
      <c r="U354" s="629">
        <f>III_Model_PT!U57</f>
        <v/>
      </c>
      <c r="V354" s="629">
        <f>III_Model_PT!V57</f>
        <v/>
      </c>
      <c r="W354" s="629">
        <f>III_Model_PT!W57</f>
        <v/>
      </c>
      <c r="X354" s="629">
        <f>III_Model_PT!X57</f>
        <v/>
      </c>
      <c r="Y354" s="651">
        <f>III_Model_PT!Y57</f>
        <v/>
      </c>
      <c r="Z354" s="651">
        <f>III_Model_PT!Z57</f>
        <v/>
      </c>
      <c r="AA354" s="651">
        <f>III_Model_PT!AA57</f>
        <v/>
      </c>
      <c r="AB354" s="651">
        <f>III_Model_PT!AB57</f>
        <v/>
      </c>
      <c r="AC354" s="614">
        <f>III_Model_PT!AC57</f>
        <v/>
      </c>
      <c r="AD354" s="614">
        <f>III_Model_PT!AD57</f>
        <v/>
      </c>
      <c r="AE354" s="614">
        <f>III_Model_PT!AE57</f>
        <v/>
      </c>
      <c r="AF354" s="614">
        <f>III_Model_PT!AF57</f>
        <v/>
      </c>
      <c r="AG354" s="635">
        <f>III_Model_PT!AG57</f>
        <v/>
      </c>
      <c r="AH354" s="635">
        <f>III_Model_PT!AH57</f>
        <v/>
      </c>
      <c r="AI354" s="635">
        <f>III_Model_PT!AI57</f>
        <v/>
      </c>
      <c r="AJ354" s="635">
        <f>III_Model_PT!AJ57</f>
        <v/>
      </c>
      <c r="AK354" s="635">
        <f>III_Model_PT!AK57</f>
        <v/>
      </c>
      <c r="AL354" s="635">
        <f>III_Model_PT!AL57</f>
        <v/>
      </c>
      <c r="AM354" s="635">
        <f>III_Model_PT!AM57</f>
        <v/>
      </c>
      <c r="AN354" s="635">
        <f>III_Model_PT!AN57</f>
        <v/>
      </c>
      <c r="AO354" s="635">
        <f>III_Model_PT!AO57</f>
        <v/>
      </c>
      <c r="AP354" s="641">
        <f>III_Model_PT!AP57</f>
        <v/>
      </c>
      <c r="AQ354" s="641">
        <f>III_Model_PT!AQ57</f>
        <v/>
      </c>
      <c r="AR354" s="641">
        <f>III_Model_PT!AR57</f>
        <v/>
      </c>
      <c r="AS354" s="641">
        <f>III_Model_PT!AS57</f>
        <v/>
      </c>
      <c r="AT354" s="620">
        <f>III_Model_PT!AT57</f>
        <v/>
      </c>
      <c r="AU354" s="620">
        <f>III_Model_PT!AU57</f>
        <v/>
      </c>
      <c r="AV354" s="620">
        <f>III_Model_PT!AV57</f>
        <v/>
      </c>
      <c r="AW354" s="620">
        <f>III_Model_PT!AW57</f>
        <v/>
      </c>
      <c r="AX354" s="488">
        <f>III_Model_PT!AX57</f>
        <v/>
      </c>
      <c r="AY354" s="488">
        <f>III_Model_PT!AY57</f>
        <v/>
      </c>
      <c r="AZ354" s="488">
        <f>III_Model_PT!AZ57</f>
        <v/>
      </c>
      <c r="BA354" s="488">
        <f>III_Model_PT!BA57</f>
        <v/>
      </c>
      <c r="BB354" s="488">
        <f>III_Model_PT!BB57</f>
        <v/>
      </c>
      <c r="BC354" s="488">
        <f>III_Model_PT!BC57</f>
        <v/>
      </c>
      <c r="BD354" s="488">
        <f>III_Model_PT!BD57</f>
        <v/>
      </c>
      <c r="BE354" s="488">
        <f>III_Model_PT!BE57</f>
        <v/>
      </c>
      <c r="BF354" s="488">
        <f>III_Model_PT!BF57</f>
        <v/>
      </c>
      <c r="BG354" s="488">
        <f>III_Model_PT!BG57</f>
        <v/>
      </c>
      <c r="BH354" s="488">
        <f>III_Model_PT!BH57</f>
        <v/>
      </c>
      <c r="BI354" s="488">
        <f>III_Model_PT!BI57</f>
        <v/>
      </c>
      <c r="BJ354">
        <f>O354</f>
        <v/>
      </c>
      <c r="BK354">
        <f>SUM(AG354:AW354)</f>
        <v/>
      </c>
      <c r="BL354" s="531">
        <f>BJ354-BK354</f>
        <v/>
      </c>
      <c r="BM354" s="201" t="n"/>
      <c r="BN354" s="659" t="n"/>
      <c r="BO354" s="659" t="n"/>
      <c r="BP354" s="659" t="n"/>
      <c r="BQ354" s="659" t="n"/>
      <c r="BR354" s="659" t="n"/>
      <c r="BS354" s="659" t="n"/>
      <c r="BT354" s="659" t="n"/>
      <c r="BU354" s="659" t="n"/>
      <c r="BV354" s="659" t="n"/>
      <c r="BW354" s="659" t="n"/>
    </row>
    <row r="355" hidden="1" outlineLevel="1" customFormat="1" s="488">
      <c r="A355" s="488">
        <f>III_Model_PT!A58</f>
        <v/>
      </c>
      <c r="B355" s="488">
        <f>III_Model_PT!B58</f>
        <v/>
      </c>
      <c r="C355" s="488">
        <f>III_Model_PT!C58</f>
        <v/>
      </c>
      <c r="D355" s="488">
        <f>III_Model_PT!D58</f>
        <v/>
      </c>
      <c r="E355" s="488">
        <f>III_Model_PT!E58</f>
        <v/>
      </c>
      <c r="F355" s="488">
        <f>III_Model_PT!F58</f>
        <v/>
      </c>
      <c r="G355" s="488">
        <f>III_Model_PT!G58</f>
        <v/>
      </c>
      <c r="H355" s="488">
        <f>III_Model_PT!H58</f>
        <v/>
      </c>
      <c r="I355" s="488">
        <f>III_Model_PT!I58</f>
        <v/>
      </c>
      <c r="J355" s="488">
        <f>III_Model_PT!J58</f>
        <v/>
      </c>
      <c r="K355" s="672">
        <f>III_Model_PT!K58</f>
        <v/>
      </c>
      <c r="L355" s="672">
        <f>III_Model_PT!L58</f>
        <v/>
      </c>
      <c r="M355" s="488">
        <f>III_Model_PT!M58</f>
        <v/>
      </c>
      <c r="N355" s="488">
        <f>III_Model_PT!N58</f>
        <v/>
      </c>
      <c r="O355" s="488">
        <f>III_Model_PT!O58</f>
        <v/>
      </c>
      <c r="P355" s="629">
        <f>III_Model_PT!P58</f>
        <v/>
      </c>
      <c r="Q355" s="629">
        <f>III_Model_PT!Q58</f>
        <v/>
      </c>
      <c r="R355" s="629">
        <f>III_Model_PT!R58</f>
        <v/>
      </c>
      <c r="S355" s="629">
        <f>III_Model_PT!S58</f>
        <v/>
      </c>
      <c r="T355" s="629">
        <f>III_Model_PT!T58</f>
        <v/>
      </c>
      <c r="U355" s="629">
        <f>III_Model_PT!U58</f>
        <v/>
      </c>
      <c r="V355" s="629">
        <f>III_Model_PT!V58</f>
        <v/>
      </c>
      <c r="W355" s="629">
        <f>III_Model_PT!W58</f>
        <v/>
      </c>
      <c r="X355" s="629">
        <f>III_Model_PT!X58</f>
        <v/>
      </c>
      <c r="Y355" s="651">
        <f>III_Model_PT!Y58</f>
        <v/>
      </c>
      <c r="Z355" s="651">
        <f>III_Model_PT!Z58</f>
        <v/>
      </c>
      <c r="AA355" s="651">
        <f>III_Model_PT!AA58</f>
        <v/>
      </c>
      <c r="AB355" s="651">
        <f>III_Model_PT!AB58</f>
        <v/>
      </c>
      <c r="AC355" s="614">
        <f>III_Model_PT!AC58</f>
        <v/>
      </c>
      <c r="AD355" s="614">
        <f>III_Model_PT!AD58</f>
        <v/>
      </c>
      <c r="AE355" s="614">
        <f>III_Model_PT!AE58</f>
        <v/>
      </c>
      <c r="AF355" s="614">
        <f>III_Model_PT!AF58</f>
        <v/>
      </c>
      <c r="AG355" s="635">
        <f>III_Model_PT!AG58</f>
        <v/>
      </c>
      <c r="AH355" s="635">
        <f>III_Model_PT!AH58</f>
        <v/>
      </c>
      <c r="AI355" s="635">
        <f>III_Model_PT!AI58</f>
        <v/>
      </c>
      <c r="AJ355" s="635">
        <f>III_Model_PT!AJ58</f>
        <v/>
      </c>
      <c r="AK355" s="635">
        <f>III_Model_PT!AK58</f>
        <v/>
      </c>
      <c r="AL355" s="635">
        <f>III_Model_PT!AL58</f>
        <v/>
      </c>
      <c r="AM355" s="635">
        <f>III_Model_PT!AM58</f>
        <v/>
      </c>
      <c r="AN355" s="635">
        <f>III_Model_PT!AN58</f>
        <v/>
      </c>
      <c r="AO355" s="635">
        <f>III_Model_PT!AO58</f>
        <v/>
      </c>
      <c r="AP355" s="641">
        <f>III_Model_PT!AP58</f>
        <v/>
      </c>
      <c r="AQ355" s="641">
        <f>III_Model_PT!AQ58</f>
        <v/>
      </c>
      <c r="AR355" s="641">
        <f>III_Model_PT!AR58</f>
        <v/>
      </c>
      <c r="AS355" s="641">
        <f>III_Model_PT!AS58</f>
        <v/>
      </c>
      <c r="AT355" s="620">
        <f>III_Model_PT!AT58</f>
        <v/>
      </c>
      <c r="AU355" s="620">
        <f>III_Model_PT!AU58</f>
        <v/>
      </c>
      <c r="AV355" s="620">
        <f>III_Model_PT!AV58</f>
        <v/>
      </c>
      <c r="AW355" s="620">
        <f>III_Model_PT!AW58</f>
        <v/>
      </c>
      <c r="AX355" s="488">
        <f>III_Model_PT!AX58</f>
        <v/>
      </c>
      <c r="AY355" s="488">
        <f>III_Model_PT!AY58</f>
        <v/>
      </c>
      <c r="AZ355" s="488">
        <f>III_Model_PT!AZ58</f>
        <v/>
      </c>
      <c r="BA355" s="488">
        <f>III_Model_PT!BA58</f>
        <v/>
      </c>
      <c r="BB355" s="488">
        <f>III_Model_PT!BB58</f>
        <v/>
      </c>
      <c r="BC355" s="488">
        <f>III_Model_PT!BC58</f>
        <v/>
      </c>
      <c r="BD355" s="488">
        <f>III_Model_PT!BD58</f>
        <v/>
      </c>
      <c r="BE355" s="488">
        <f>III_Model_PT!BE58</f>
        <v/>
      </c>
      <c r="BF355" s="488">
        <f>III_Model_PT!BF58</f>
        <v/>
      </c>
      <c r="BG355" s="488">
        <f>III_Model_PT!BG58</f>
        <v/>
      </c>
      <c r="BH355" s="488">
        <f>III_Model_PT!BH58</f>
        <v/>
      </c>
      <c r="BI355" s="488">
        <f>III_Model_PT!BI58</f>
        <v/>
      </c>
      <c r="BJ355">
        <f>O355</f>
        <v/>
      </c>
      <c r="BK355">
        <f>SUM(AG355:AW355)</f>
        <v/>
      </c>
      <c r="BL355" s="531">
        <f>BJ355-BK355</f>
        <v/>
      </c>
      <c r="BM355" s="201" t="n"/>
      <c r="BN355" s="659" t="n"/>
      <c r="BO355" s="659" t="n"/>
      <c r="BP355" s="659" t="n"/>
      <c r="BQ355" s="659" t="n"/>
      <c r="BR355" s="659" t="n"/>
      <c r="BS355" s="659" t="n"/>
      <c r="BT355" s="659" t="n"/>
      <c r="BU355" s="659" t="n"/>
      <c r="BV355" s="659" t="n"/>
      <c r="BW355" s="659" t="n"/>
    </row>
    <row r="356" hidden="1" outlineLevel="1" customFormat="1" s="488">
      <c r="A356" s="488">
        <f>III_Model_PT!A59</f>
        <v/>
      </c>
      <c r="B356" s="488">
        <f>III_Model_PT!B59</f>
        <v/>
      </c>
      <c r="C356" s="488">
        <f>III_Model_PT!C59</f>
        <v/>
      </c>
      <c r="D356" s="488">
        <f>III_Model_PT!D59</f>
        <v/>
      </c>
      <c r="E356" s="488">
        <f>III_Model_PT!E59</f>
        <v/>
      </c>
      <c r="F356" s="488">
        <f>III_Model_PT!F59</f>
        <v/>
      </c>
      <c r="G356" s="488">
        <f>III_Model_PT!G59</f>
        <v/>
      </c>
      <c r="H356" s="488">
        <f>III_Model_PT!H59</f>
        <v/>
      </c>
      <c r="I356" s="488">
        <f>III_Model_PT!I59</f>
        <v/>
      </c>
      <c r="J356" s="488">
        <f>III_Model_PT!J59</f>
        <v/>
      </c>
      <c r="K356" s="672">
        <f>III_Model_PT!K59</f>
        <v/>
      </c>
      <c r="L356" s="672">
        <f>III_Model_PT!L59</f>
        <v/>
      </c>
      <c r="M356" s="488">
        <f>III_Model_PT!M59</f>
        <v/>
      </c>
      <c r="N356" s="488">
        <f>III_Model_PT!N59</f>
        <v/>
      </c>
      <c r="O356" s="488">
        <f>III_Model_PT!O59</f>
        <v/>
      </c>
      <c r="P356" s="629">
        <f>III_Model_PT!P59</f>
        <v/>
      </c>
      <c r="Q356" s="629">
        <f>III_Model_PT!Q59</f>
        <v/>
      </c>
      <c r="R356" s="629">
        <f>III_Model_PT!R59</f>
        <v/>
      </c>
      <c r="S356" s="629">
        <f>III_Model_PT!S59</f>
        <v/>
      </c>
      <c r="T356" s="629">
        <f>III_Model_PT!T59</f>
        <v/>
      </c>
      <c r="U356" s="629">
        <f>III_Model_PT!U59</f>
        <v/>
      </c>
      <c r="V356" s="629">
        <f>III_Model_PT!V59</f>
        <v/>
      </c>
      <c r="W356" s="629">
        <f>III_Model_PT!W59</f>
        <v/>
      </c>
      <c r="X356" s="629">
        <f>III_Model_PT!X59</f>
        <v/>
      </c>
      <c r="Y356" s="651">
        <f>III_Model_PT!Y59</f>
        <v/>
      </c>
      <c r="Z356" s="651">
        <f>III_Model_PT!Z59</f>
        <v/>
      </c>
      <c r="AA356" s="651">
        <f>III_Model_PT!AA59</f>
        <v/>
      </c>
      <c r="AB356" s="651">
        <f>III_Model_PT!AB59</f>
        <v/>
      </c>
      <c r="AC356" s="614">
        <f>III_Model_PT!AC59</f>
        <v/>
      </c>
      <c r="AD356" s="614">
        <f>III_Model_PT!AD59</f>
        <v/>
      </c>
      <c r="AE356" s="614">
        <f>III_Model_PT!AE59</f>
        <v/>
      </c>
      <c r="AF356" s="614">
        <f>III_Model_PT!AF59</f>
        <v/>
      </c>
      <c r="AG356" s="635">
        <f>III_Model_PT!AG59</f>
        <v/>
      </c>
      <c r="AH356" s="635">
        <f>III_Model_PT!AH59</f>
        <v/>
      </c>
      <c r="AI356" s="635">
        <f>III_Model_PT!AI59</f>
        <v/>
      </c>
      <c r="AJ356" s="635">
        <f>III_Model_PT!AJ59</f>
        <v/>
      </c>
      <c r="AK356" s="635">
        <f>III_Model_PT!AK59</f>
        <v/>
      </c>
      <c r="AL356" s="635">
        <f>III_Model_PT!AL59</f>
        <v/>
      </c>
      <c r="AM356" s="635">
        <f>III_Model_PT!AM59</f>
        <v/>
      </c>
      <c r="AN356" s="635">
        <f>III_Model_PT!AN59</f>
        <v/>
      </c>
      <c r="AO356" s="635">
        <f>III_Model_PT!AO59</f>
        <v/>
      </c>
      <c r="AP356" s="641">
        <f>III_Model_PT!AP59</f>
        <v/>
      </c>
      <c r="AQ356" s="641">
        <f>III_Model_PT!AQ59</f>
        <v/>
      </c>
      <c r="AR356" s="641">
        <f>III_Model_PT!AR59</f>
        <v/>
      </c>
      <c r="AS356" s="641">
        <f>III_Model_PT!AS59</f>
        <v/>
      </c>
      <c r="AT356" s="620">
        <f>III_Model_PT!AT59</f>
        <v/>
      </c>
      <c r="AU356" s="620">
        <f>III_Model_PT!AU59</f>
        <v/>
      </c>
      <c r="AV356" s="620">
        <f>III_Model_PT!AV59</f>
        <v/>
      </c>
      <c r="AW356" s="620">
        <f>III_Model_PT!AW59</f>
        <v/>
      </c>
      <c r="AX356" s="488">
        <f>III_Model_PT!AX59</f>
        <v/>
      </c>
      <c r="AY356" s="488">
        <f>III_Model_PT!AY59</f>
        <v/>
      </c>
      <c r="AZ356" s="488">
        <f>III_Model_PT!AZ59</f>
        <v/>
      </c>
      <c r="BA356" s="488">
        <f>III_Model_PT!BA59</f>
        <v/>
      </c>
      <c r="BB356" s="488">
        <f>III_Model_PT!BB59</f>
        <v/>
      </c>
      <c r="BC356" s="488">
        <f>III_Model_PT!BC59</f>
        <v/>
      </c>
      <c r="BD356" s="488">
        <f>III_Model_PT!BD59</f>
        <v/>
      </c>
      <c r="BE356" s="488">
        <f>III_Model_PT!BE59</f>
        <v/>
      </c>
      <c r="BF356" s="488">
        <f>III_Model_PT!BF59</f>
        <v/>
      </c>
      <c r="BG356" s="488">
        <f>III_Model_PT!BG59</f>
        <v/>
      </c>
      <c r="BH356" s="488">
        <f>III_Model_PT!BH59</f>
        <v/>
      </c>
      <c r="BI356" s="488">
        <f>III_Model_PT!BI59</f>
        <v/>
      </c>
      <c r="BJ356">
        <f>O356</f>
        <v/>
      </c>
      <c r="BK356">
        <f>SUM(AG356:AW356)</f>
        <v/>
      </c>
      <c r="BL356" s="531">
        <f>BJ356-BK356</f>
        <v/>
      </c>
      <c r="BM356" s="201" t="n"/>
      <c r="BN356" s="659" t="n"/>
      <c r="BO356" s="659" t="n"/>
      <c r="BP356" s="659" t="n"/>
      <c r="BQ356" s="659" t="n"/>
      <c r="BR356" s="659" t="n"/>
      <c r="BS356" s="659" t="n"/>
      <c r="BT356" s="659" t="n"/>
      <c r="BU356" s="659" t="n"/>
      <c r="BV356" s="659" t="n"/>
      <c r="BW356" s="659" t="n"/>
      <c r="BX356" s="488" t="n"/>
    </row>
    <row r="357" hidden="1" outlineLevel="1" customFormat="1" s="488">
      <c r="A357" s="488">
        <f>III_Model_PT!A60</f>
        <v/>
      </c>
      <c r="B357" s="488">
        <f>III_Model_PT!B60</f>
        <v/>
      </c>
      <c r="C357" s="488">
        <f>III_Model_PT!C60</f>
        <v/>
      </c>
      <c r="D357" s="488">
        <f>III_Model_PT!D60</f>
        <v/>
      </c>
      <c r="E357" s="488">
        <f>III_Model_PT!E60</f>
        <v/>
      </c>
      <c r="F357" s="488">
        <f>III_Model_PT!F60</f>
        <v/>
      </c>
      <c r="G357" s="488">
        <f>III_Model_PT!G60</f>
        <v/>
      </c>
      <c r="H357" s="488">
        <f>III_Model_PT!H60</f>
        <v/>
      </c>
      <c r="I357" s="488">
        <f>III_Model_PT!I60</f>
        <v/>
      </c>
      <c r="J357" s="488">
        <f>III_Model_PT!J60</f>
        <v/>
      </c>
      <c r="K357" s="672">
        <f>III_Model_PT!K60</f>
        <v/>
      </c>
      <c r="L357" s="672">
        <f>III_Model_PT!L60</f>
        <v/>
      </c>
      <c r="M357" s="488">
        <f>III_Model_PT!M60</f>
        <v/>
      </c>
      <c r="N357" s="488">
        <f>III_Model_PT!N60</f>
        <v/>
      </c>
      <c r="O357" s="488">
        <f>III_Model_PT!O60</f>
        <v/>
      </c>
      <c r="P357" s="629">
        <f>III_Model_PT!P60</f>
        <v/>
      </c>
      <c r="Q357" s="629">
        <f>III_Model_PT!Q60</f>
        <v/>
      </c>
      <c r="R357" s="629">
        <f>III_Model_PT!R60</f>
        <v/>
      </c>
      <c r="S357" s="629">
        <f>III_Model_PT!S60</f>
        <v/>
      </c>
      <c r="T357" s="629">
        <f>III_Model_PT!T60</f>
        <v/>
      </c>
      <c r="U357" s="629">
        <f>III_Model_PT!U60</f>
        <v/>
      </c>
      <c r="V357" s="629">
        <f>III_Model_PT!V60</f>
        <v/>
      </c>
      <c r="W357" s="629">
        <f>III_Model_PT!W60</f>
        <v/>
      </c>
      <c r="X357" s="629">
        <f>III_Model_PT!X60</f>
        <v/>
      </c>
      <c r="Y357" s="651">
        <f>III_Model_PT!Y60</f>
        <v/>
      </c>
      <c r="Z357" s="651">
        <f>III_Model_PT!Z60</f>
        <v/>
      </c>
      <c r="AA357" s="651">
        <f>III_Model_PT!AA60</f>
        <v/>
      </c>
      <c r="AB357" s="651">
        <f>III_Model_PT!AB60</f>
        <v/>
      </c>
      <c r="AC357" s="614">
        <f>III_Model_PT!AC60</f>
        <v/>
      </c>
      <c r="AD357" s="614">
        <f>III_Model_PT!AD60</f>
        <v/>
      </c>
      <c r="AE357" s="614">
        <f>III_Model_PT!AE60</f>
        <v/>
      </c>
      <c r="AF357" s="614">
        <f>III_Model_PT!AF60</f>
        <v/>
      </c>
      <c r="AG357" s="635">
        <f>III_Model_PT!AG60</f>
        <v/>
      </c>
      <c r="AH357" s="635">
        <f>III_Model_PT!AH60</f>
        <v/>
      </c>
      <c r="AI357" s="635">
        <f>III_Model_PT!AI60</f>
        <v/>
      </c>
      <c r="AJ357" s="635">
        <f>III_Model_PT!AJ60</f>
        <v/>
      </c>
      <c r="AK357" s="635">
        <f>III_Model_PT!AK60</f>
        <v/>
      </c>
      <c r="AL357" s="635">
        <f>III_Model_PT!AL60</f>
        <v/>
      </c>
      <c r="AM357" s="635">
        <f>III_Model_PT!AM60</f>
        <v/>
      </c>
      <c r="AN357" s="635">
        <f>III_Model_PT!AN60</f>
        <v/>
      </c>
      <c r="AO357" s="635">
        <f>III_Model_PT!AO60</f>
        <v/>
      </c>
      <c r="AP357" s="641">
        <f>III_Model_PT!AP60</f>
        <v/>
      </c>
      <c r="AQ357" s="641">
        <f>III_Model_PT!AQ60</f>
        <v/>
      </c>
      <c r="AR357" s="641">
        <f>III_Model_PT!AR60</f>
        <v/>
      </c>
      <c r="AS357" s="641">
        <f>III_Model_PT!AS60</f>
        <v/>
      </c>
      <c r="AT357" s="620">
        <f>III_Model_PT!AT60</f>
        <v/>
      </c>
      <c r="AU357" s="620">
        <f>III_Model_PT!AU60</f>
        <v/>
      </c>
      <c r="AV357" s="620">
        <f>III_Model_PT!AV60</f>
        <v/>
      </c>
      <c r="AW357" s="620">
        <f>III_Model_PT!AW60</f>
        <v/>
      </c>
      <c r="AX357" s="488">
        <f>III_Model_PT!AX60</f>
        <v/>
      </c>
      <c r="AY357" s="488">
        <f>III_Model_PT!AY60</f>
        <v/>
      </c>
      <c r="AZ357" s="488">
        <f>III_Model_PT!AZ60</f>
        <v/>
      </c>
      <c r="BA357" s="488">
        <f>III_Model_PT!BA60</f>
        <v/>
      </c>
      <c r="BB357" s="488">
        <f>III_Model_PT!BB60</f>
        <v/>
      </c>
      <c r="BC357" s="488">
        <f>III_Model_PT!BC60</f>
        <v/>
      </c>
      <c r="BD357" s="488">
        <f>III_Model_PT!BD60</f>
        <v/>
      </c>
      <c r="BE357" s="488">
        <f>III_Model_PT!BE60</f>
        <v/>
      </c>
      <c r="BF357" s="488">
        <f>III_Model_PT!BF60</f>
        <v/>
      </c>
      <c r="BG357" s="488">
        <f>III_Model_PT!BG60</f>
        <v/>
      </c>
      <c r="BH357" s="488">
        <f>III_Model_PT!BH60</f>
        <v/>
      </c>
      <c r="BI357" s="488">
        <f>III_Model_PT!BI60</f>
        <v/>
      </c>
      <c r="BJ357">
        <f>O357</f>
        <v/>
      </c>
      <c r="BK357">
        <f>SUM(AG357:AW357)</f>
        <v/>
      </c>
      <c r="BL357" s="531">
        <f>BJ357-BK357</f>
        <v/>
      </c>
      <c r="BM357" s="201" t="n"/>
      <c r="BN357" s="659" t="n"/>
      <c r="BO357" s="659" t="n"/>
      <c r="BP357" s="659" t="n"/>
      <c r="BQ357" s="659" t="n"/>
      <c r="BR357" s="659" t="n"/>
      <c r="BS357" s="659" t="n"/>
      <c r="BT357" s="659" t="n"/>
      <c r="BU357" s="659" t="n"/>
      <c r="BV357" s="659" t="n"/>
      <c r="BW357" s="659" t="n"/>
    </row>
    <row r="358" hidden="1" outlineLevel="1" customFormat="1" s="488">
      <c r="A358" s="488">
        <f>III_Model_PT!A61</f>
        <v/>
      </c>
      <c r="B358" s="488">
        <f>III_Model_PT!B61</f>
        <v/>
      </c>
      <c r="C358" s="488">
        <f>III_Model_PT!C61</f>
        <v/>
      </c>
      <c r="D358" s="488">
        <f>III_Model_PT!D61</f>
        <v/>
      </c>
      <c r="E358" s="488">
        <f>III_Model_PT!E61</f>
        <v/>
      </c>
      <c r="F358" s="488">
        <f>III_Model_PT!F61</f>
        <v/>
      </c>
      <c r="G358" s="488">
        <f>III_Model_PT!G61</f>
        <v/>
      </c>
      <c r="H358" s="488">
        <f>III_Model_PT!H61</f>
        <v/>
      </c>
      <c r="I358" s="488">
        <f>III_Model_PT!I61</f>
        <v/>
      </c>
      <c r="J358" s="488">
        <f>III_Model_PT!J61</f>
        <v/>
      </c>
      <c r="K358" s="672">
        <f>III_Model_PT!K61</f>
        <v/>
      </c>
      <c r="L358" s="672">
        <f>III_Model_PT!L61</f>
        <v/>
      </c>
      <c r="M358" s="488">
        <f>III_Model_PT!M61</f>
        <v/>
      </c>
      <c r="N358" s="488">
        <f>III_Model_PT!N61</f>
        <v/>
      </c>
      <c r="O358" s="488">
        <f>III_Model_PT!O61</f>
        <v/>
      </c>
      <c r="P358" s="629">
        <f>III_Model_PT!P61</f>
        <v/>
      </c>
      <c r="Q358" s="629">
        <f>III_Model_PT!Q61</f>
        <v/>
      </c>
      <c r="R358" s="629">
        <f>III_Model_PT!R61</f>
        <v/>
      </c>
      <c r="S358" s="629">
        <f>III_Model_PT!S61</f>
        <v/>
      </c>
      <c r="T358" s="629">
        <f>III_Model_PT!T61</f>
        <v/>
      </c>
      <c r="U358" s="629">
        <f>III_Model_PT!U61</f>
        <v/>
      </c>
      <c r="V358" s="629">
        <f>III_Model_PT!V61</f>
        <v/>
      </c>
      <c r="W358" s="629">
        <f>III_Model_PT!W61</f>
        <v/>
      </c>
      <c r="X358" s="629">
        <f>III_Model_PT!X61</f>
        <v/>
      </c>
      <c r="Y358" s="651">
        <f>III_Model_PT!Y61</f>
        <v/>
      </c>
      <c r="Z358" s="651">
        <f>III_Model_PT!Z61</f>
        <v/>
      </c>
      <c r="AA358" s="651">
        <f>III_Model_PT!AA61</f>
        <v/>
      </c>
      <c r="AB358" s="651">
        <f>III_Model_PT!AB61</f>
        <v/>
      </c>
      <c r="AC358" s="614">
        <f>III_Model_PT!AC61</f>
        <v/>
      </c>
      <c r="AD358" s="614">
        <f>III_Model_PT!AD61</f>
        <v/>
      </c>
      <c r="AE358" s="614">
        <f>III_Model_PT!AE61</f>
        <v/>
      </c>
      <c r="AF358" s="614">
        <f>III_Model_PT!AF61</f>
        <v/>
      </c>
      <c r="AG358" s="635">
        <f>III_Model_PT!AG61</f>
        <v/>
      </c>
      <c r="AH358" s="635">
        <f>III_Model_PT!AH61</f>
        <v/>
      </c>
      <c r="AI358" s="635">
        <f>III_Model_PT!AI61</f>
        <v/>
      </c>
      <c r="AJ358" s="635">
        <f>III_Model_PT!AJ61</f>
        <v/>
      </c>
      <c r="AK358" s="635">
        <f>III_Model_PT!AK61</f>
        <v/>
      </c>
      <c r="AL358" s="635">
        <f>III_Model_PT!AL61</f>
        <v/>
      </c>
      <c r="AM358" s="635">
        <f>III_Model_PT!AM61</f>
        <v/>
      </c>
      <c r="AN358" s="635">
        <f>III_Model_PT!AN61</f>
        <v/>
      </c>
      <c r="AO358" s="635">
        <f>III_Model_PT!AO61</f>
        <v/>
      </c>
      <c r="AP358" s="641">
        <f>III_Model_PT!AP61</f>
        <v/>
      </c>
      <c r="AQ358" s="641">
        <f>III_Model_PT!AQ61</f>
        <v/>
      </c>
      <c r="AR358" s="641">
        <f>III_Model_PT!AR61</f>
        <v/>
      </c>
      <c r="AS358" s="641">
        <f>III_Model_PT!AS61</f>
        <v/>
      </c>
      <c r="AT358" s="620">
        <f>III_Model_PT!AT61</f>
        <v/>
      </c>
      <c r="AU358" s="620">
        <f>III_Model_PT!AU61</f>
        <v/>
      </c>
      <c r="AV358" s="620">
        <f>III_Model_PT!AV61</f>
        <v/>
      </c>
      <c r="AW358" s="620">
        <f>III_Model_PT!AW61</f>
        <v/>
      </c>
      <c r="AX358" s="488">
        <f>III_Model_PT!AX61</f>
        <v/>
      </c>
      <c r="AY358" s="488">
        <f>III_Model_PT!AY61</f>
        <v/>
      </c>
      <c r="AZ358" s="488">
        <f>III_Model_PT!AZ61</f>
        <v/>
      </c>
      <c r="BA358" s="488">
        <f>III_Model_PT!BA61</f>
        <v/>
      </c>
      <c r="BB358" s="488">
        <f>III_Model_PT!BB61</f>
        <v/>
      </c>
      <c r="BC358" s="488">
        <f>III_Model_PT!BC61</f>
        <v/>
      </c>
      <c r="BD358" s="488">
        <f>III_Model_PT!BD61</f>
        <v/>
      </c>
      <c r="BE358" s="488">
        <f>III_Model_PT!BE61</f>
        <v/>
      </c>
      <c r="BF358" s="488">
        <f>III_Model_PT!BF61</f>
        <v/>
      </c>
      <c r="BG358" s="488">
        <f>III_Model_PT!BG61</f>
        <v/>
      </c>
      <c r="BH358" s="488">
        <f>III_Model_PT!BH61</f>
        <v/>
      </c>
      <c r="BI358" s="488">
        <f>III_Model_PT!BI61</f>
        <v/>
      </c>
      <c r="BJ358">
        <f>O358</f>
        <v/>
      </c>
      <c r="BK358">
        <f>SUM(AG358:AW358)</f>
        <v/>
      </c>
      <c r="BL358" s="531">
        <f>BJ358-BK358</f>
        <v/>
      </c>
      <c r="BM358" s="201" t="n"/>
      <c r="BN358" s="659" t="n"/>
      <c r="BO358" s="659" t="n"/>
      <c r="BP358" s="659" t="n"/>
      <c r="BQ358" s="659" t="n"/>
      <c r="BR358" s="659" t="n"/>
      <c r="BS358" s="659" t="n"/>
      <c r="BT358" s="659" t="n"/>
      <c r="BU358" s="659" t="n"/>
      <c r="BV358" s="659" t="n"/>
      <c r="BW358" s="659" t="n"/>
    </row>
    <row r="359" hidden="1" outlineLevel="1" customFormat="1" s="488">
      <c r="A359" s="488">
        <f>III_Model_PT!A62</f>
        <v/>
      </c>
      <c r="B359" s="488">
        <f>III_Model_PT!B62</f>
        <v/>
      </c>
      <c r="C359" s="488">
        <f>III_Model_PT!C62</f>
        <v/>
      </c>
      <c r="D359" s="488">
        <f>III_Model_PT!D62</f>
        <v/>
      </c>
      <c r="E359" s="488">
        <f>III_Model_PT!E62</f>
        <v/>
      </c>
      <c r="F359" s="488">
        <f>III_Model_PT!F62</f>
        <v/>
      </c>
      <c r="G359" s="488">
        <f>III_Model_PT!G62</f>
        <v/>
      </c>
      <c r="H359" s="488">
        <f>III_Model_PT!H62</f>
        <v/>
      </c>
      <c r="I359" s="488">
        <f>III_Model_PT!I62</f>
        <v/>
      </c>
      <c r="J359" s="488">
        <f>III_Model_PT!J62</f>
        <v/>
      </c>
      <c r="K359" s="672">
        <f>III_Model_PT!K62</f>
        <v/>
      </c>
      <c r="L359" s="672">
        <f>III_Model_PT!L62</f>
        <v/>
      </c>
      <c r="M359" s="488">
        <f>III_Model_PT!M62</f>
        <v/>
      </c>
      <c r="N359" s="488">
        <f>III_Model_PT!N62</f>
        <v/>
      </c>
      <c r="O359" s="488">
        <f>III_Model_PT!O62</f>
        <v/>
      </c>
      <c r="P359" s="629">
        <f>III_Model_PT!P62</f>
        <v/>
      </c>
      <c r="Q359" s="629">
        <f>III_Model_PT!Q62</f>
        <v/>
      </c>
      <c r="R359" s="629">
        <f>III_Model_PT!R62</f>
        <v/>
      </c>
      <c r="S359" s="629">
        <f>III_Model_PT!S62</f>
        <v/>
      </c>
      <c r="T359" s="629">
        <f>III_Model_PT!T62</f>
        <v/>
      </c>
      <c r="U359" s="629">
        <f>III_Model_PT!U62</f>
        <v/>
      </c>
      <c r="V359" s="629">
        <f>III_Model_PT!V62</f>
        <v/>
      </c>
      <c r="W359" s="629">
        <f>III_Model_PT!W62</f>
        <v/>
      </c>
      <c r="X359" s="629">
        <f>III_Model_PT!X62</f>
        <v/>
      </c>
      <c r="Y359" s="651">
        <f>III_Model_PT!Y62</f>
        <v/>
      </c>
      <c r="Z359" s="651">
        <f>III_Model_PT!Z62</f>
        <v/>
      </c>
      <c r="AA359" s="651">
        <f>III_Model_PT!AA62</f>
        <v/>
      </c>
      <c r="AB359" s="651">
        <f>III_Model_PT!AB62</f>
        <v/>
      </c>
      <c r="AC359" s="614">
        <f>III_Model_PT!AC62</f>
        <v/>
      </c>
      <c r="AD359" s="614">
        <f>III_Model_PT!AD62</f>
        <v/>
      </c>
      <c r="AE359" s="614">
        <f>III_Model_PT!AE62</f>
        <v/>
      </c>
      <c r="AF359" s="614">
        <f>III_Model_PT!AF62</f>
        <v/>
      </c>
      <c r="AG359" s="635">
        <f>III_Model_PT!AG62</f>
        <v/>
      </c>
      <c r="AH359" s="635">
        <f>III_Model_PT!AH62</f>
        <v/>
      </c>
      <c r="AI359" s="635">
        <f>III_Model_PT!AI62</f>
        <v/>
      </c>
      <c r="AJ359" s="635">
        <f>III_Model_PT!AJ62</f>
        <v/>
      </c>
      <c r="AK359" s="635">
        <f>III_Model_PT!AK62</f>
        <v/>
      </c>
      <c r="AL359" s="635">
        <f>III_Model_PT!AL62</f>
        <v/>
      </c>
      <c r="AM359" s="635">
        <f>III_Model_PT!AM62</f>
        <v/>
      </c>
      <c r="AN359" s="635">
        <f>III_Model_PT!AN62</f>
        <v/>
      </c>
      <c r="AO359" s="635">
        <f>III_Model_PT!AO62</f>
        <v/>
      </c>
      <c r="AP359" s="641">
        <f>III_Model_PT!AP62</f>
        <v/>
      </c>
      <c r="AQ359" s="641">
        <f>III_Model_PT!AQ62</f>
        <v/>
      </c>
      <c r="AR359" s="641">
        <f>III_Model_PT!AR62</f>
        <v/>
      </c>
      <c r="AS359" s="641">
        <f>III_Model_PT!AS62</f>
        <v/>
      </c>
      <c r="AT359" s="620">
        <f>III_Model_PT!AT62</f>
        <v/>
      </c>
      <c r="AU359" s="620">
        <f>III_Model_PT!AU62</f>
        <v/>
      </c>
      <c r="AV359" s="620">
        <f>III_Model_PT!AV62</f>
        <v/>
      </c>
      <c r="AW359" s="620">
        <f>III_Model_PT!AW62</f>
        <v/>
      </c>
      <c r="AX359" s="488">
        <f>III_Model_PT!AX62</f>
        <v/>
      </c>
      <c r="AY359" s="488">
        <f>III_Model_PT!AY62</f>
        <v/>
      </c>
      <c r="AZ359" s="488">
        <f>III_Model_PT!AZ62</f>
        <v/>
      </c>
      <c r="BA359" s="488">
        <f>III_Model_PT!BA62</f>
        <v/>
      </c>
      <c r="BB359" s="488">
        <f>III_Model_PT!BB62</f>
        <v/>
      </c>
      <c r="BC359" s="488">
        <f>III_Model_PT!BC62</f>
        <v/>
      </c>
      <c r="BD359" s="488">
        <f>III_Model_PT!BD62</f>
        <v/>
      </c>
      <c r="BE359" s="488">
        <f>III_Model_PT!BE62</f>
        <v/>
      </c>
      <c r="BF359" s="488">
        <f>III_Model_PT!BF62</f>
        <v/>
      </c>
      <c r="BG359" s="488">
        <f>III_Model_PT!BG62</f>
        <v/>
      </c>
      <c r="BH359" s="488">
        <f>III_Model_PT!BH62</f>
        <v/>
      </c>
      <c r="BI359" s="488">
        <f>III_Model_PT!BI62</f>
        <v/>
      </c>
      <c r="BJ359">
        <f>O359</f>
        <v/>
      </c>
      <c r="BK359">
        <f>SUM(AG359:AW359)</f>
        <v/>
      </c>
      <c r="BL359" s="531">
        <f>BJ359-BK359</f>
        <v/>
      </c>
      <c r="BM359" s="201" t="n"/>
      <c r="BN359" s="659" t="n"/>
      <c r="BO359" s="659" t="n"/>
      <c r="BP359" s="659" t="n"/>
      <c r="BQ359" s="659" t="n"/>
      <c r="BR359" s="659" t="n"/>
      <c r="BS359" s="659" t="n"/>
      <c r="BT359" s="659" t="n"/>
      <c r="BU359" s="659" t="n"/>
      <c r="BV359" s="659" t="n"/>
      <c r="BW359" s="659" t="n"/>
    </row>
    <row r="360" hidden="1" outlineLevel="1" customFormat="1" s="488">
      <c r="A360" s="488">
        <f>III_Model_PT!A63</f>
        <v/>
      </c>
      <c r="B360" s="488">
        <f>III_Model_PT!B63</f>
        <v/>
      </c>
      <c r="C360" s="488">
        <f>III_Model_PT!C63</f>
        <v/>
      </c>
      <c r="D360" s="488">
        <f>III_Model_PT!D63</f>
        <v/>
      </c>
      <c r="E360" s="488">
        <f>III_Model_PT!E63</f>
        <v/>
      </c>
      <c r="F360" s="488">
        <f>III_Model_PT!F63</f>
        <v/>
      </c>
      <c r="G360" s="488">
        <f>III_Model_PT!G63</f>
        <v/>
      </c>
      <c r="H360" s="488">
        <f>III_Model_PT!H63</f>
        <v/>
      </c>
      <c r="I360" s="488">
        <f>III_Model_PT!I63</f>
        <v/>
      </c>
      <c r="J360" s="488">
        <f>III_Model_PT!J63</f>
        <v/>
      </c>
      <c r="K360" s="672">
        <f>III_Model_PT!K63</f>
        <v/>
      </c>
      <c r="L360" s="672">
        <f>III_Model_PT!L63</f>
        <v/>
      </c>
      <c r="M360" s="488">
        <f>III_Model_PT!M63</f>
        <v/>
      </c>
      <c r="N360" s="488">
        <f>III_Model_PT!N63</f>
        <v/>
      </c>
      <c r="O360" s="488">
        <f>III_Model_PT!O63</f>
        <v/>
      </c>
      <c r="P360" s="629">
        <f>III_Model_PT!P63</f>
        <v/>
      </c>
      <c r="Q360" s="629">
        <f>III_Model_PT!Q63</f>
        <v/>
      </c>
      <c r="R360" s="629">
        <f>III_Model_PT!R63</f>
        <v/>
      </c>
      <c r="S360" s="629">
        <f>III_Model_PT!S63</f>
        <v/>
      </c>
      <c r="T360" s="629">
        <f>III_Model_PT!T63</f>
        <v/>
      </c>
      <c r="U360" s="629">
        <f>III_Model_PT!U63</f>
        <v/>
      </c>
      <c r="V360" s="629">
        <f>III_Model_PT!V63</f>
        <v/>
      </c>
      <c r="W360" s="629">
        <f>III_Model_PT!W63</f>
        <v/>
      </c>
      <c r="X360" s="629">
        <f>III_Model_PT!X63</f>
        <v/>
      </c>
      <c r="Y360" s="651">
        <f>III_Model_PT!Y63</f>
        <v/>
      </c>
      <c r="Z360" s="651">
        <f>III_Model_PT!Z63</f>
        <v/>
      </c>
      <c r="AA360" s="651">
        <f>III_Model_PT!AA63</f>
        <v/>
      </c>
      <c r="AB360" s="651">
        <f>III_Model_PT!AB63</f>
        <v/>
      </c>
      <c r="AC360" s="614">
        <f>III_Model_PT!AC63</f>
        <v/>
      </c>
      <c r="AD360" s="614">
        <f>III_Model_PT!AD63</f>
        <v/>
      </c>
      <c r="AE360" s="614">
        <f>III_Model_PT!AE63</f>
        <v/>
      </c>
      <c r="AF360" s="614">
        <f>III_Model_PT!AF63</f>
        <v/>
      </c>
      <c r="AG360" s="635">
        <f>III_Model_PT!AG63</f>
        <v/>
      </c>
      <c r="AH360" s="635">
        <f>III_Model_PT!AH63</f>
        <v/>
      </c>
      <c r="AI360" s="635">
        <f>III_Model_PT!AI63</f>
        <v/>
      </c>
      <c r="AJ360" s="635">
        <f>III_Model_PT!AJ63</f>
        <v/>
      </c>
      <c r="AK360" s="635">
        <f>III_Model_PT!AK63</f>
        <v/>
      </c>
      <c r="AL360" s="635">
        <f>III_Model_PT!AL63</f>
        <v/>
      </c>
      <c r="AM360" s="635">
        <f>III_Model_PT!AM63</f>
        <v/>
      </c>
      <c r="AN360" s="635">
        <f>III_Model_PT!AN63</f>
        <v/>
      </c>
      <c r="AO360" s="635">
        <f>III_Model_PT!AO63</f>
        <v/>
      </c>
      <c r="AP360" s="641">
        <f>III_Model_PT!AP63</f>
        <v/>
      </c>
      <c r="AQ360" s="641">
        <f>III_Model_PT!AQ63</f>
        <v/>
      </c>
      <c r="AR360" s="641">
        <f>III_Model_PT!AR63</f>
        <v/>
      </c>
      <c r="AS360" s="641">
        <f>III_Model_PT!AS63</f>
        <v/>
      </c>
      <c r="AT360" s="620">
        <f>III_Model_PT!AT63</f>
        <v/>
      </c>
      <c r="AU360" s="620">
        <f>III_Model_PT!AU63</f>
        <v/>
      </c>
      <c r="AV360" s="620">
        <f>III_Model_PT!AV63</f>
        <v/>
      </c>
      <c r="AW360" s="620">
        <f>III_Model_PT!AW63</f>
        <v/>
      </c>
      <c r="AX360" s="488">
        <f>III_Model_PT!AX63</f>
        <v/>
      </c>
      <c r="AY360" s="488">
        <f>III_Model_PT!AY63</f>
        <v/>
      </c>
      <c r="AZ360" s="488">
        <f>III_Model_PT!AZ63</f>
        <v/>
      </c>
      <c r="BA360" s="488">
        <f>III_Model_PT!BA63</f>
        <v/>
      </c>
      <c r="BB360" s="488">
        <f>III_Model_PT!BB63</f>
        <v/>
      </c>
      <c r="BC360" s="488">
        <f>III_Model_PT!BC63</f>
        <v/>
      </c>
      <c r="BD360" s="488">
        <f>III_Model_PT!BD63</f>
        <v/>
      </c>
      <c r="BE360" s="488">
        <f>III_Model_PT!BE63</f>
        <v/>
      </c>
      <c r="BF360" s="488">
        <f>III_Model_PT!BF63</f>
        <v/>
      </c>
      <c r="BG360" s="488">
        <f>III_Model_PT!BG63</f>
        <v/>
      </c>
      <c r="BH360" s="488">
        <f>III_Model_PT!BH63</f>
        <v/>
      </c>
      <c r="BI360" s="488">
        <f>III_Model_PT!BI63</f>
        <v/>
      </c>
      <c r="BJ360">
        <f>O360</f>
        <v/>
      </c>
      <c r="BK360">
        <f>SUM(AG360:AW360)</f>
        <v/>
      </c>
      <c r="BL360" s="531">
        <f>BJ360-BK360</f>
        <v/>
      </c>
      <c r="BM360" s="201" t="n"/>
      <c r="BN360" s="659" t="n"/>
      <c r="BO360" s="659" t="n"/>
      <c r="BP360" s="659" t="n"/>
      <c r="BQ360" s="659" t="n"/>
      <c r="BR360" s="659" t="n"/>
      <c r="BS360" s="659" t="n"/>
      <c r="BT360" s="659" t="n"/>
      <c r="BU360" s="659" t="n"/>
      <c r="BV360" s="659" t="n"/>
      <c r="BW360" s="659" t="n"/>
    </row>
    <row r="361" hidden="1" outlineLevel="1" customFormat="1" s="488">
      <c r="A361" s="488">
        <f>III_Model_PT!A64</f>
        <v/>
      </c>
      <c r="B361" s="488">
        <f>III_Model_PT!B64</f>
        <v/>
      </c>
      <c r="C361" s="488">
        <f>III_Model_PT!C64</f>
        <v/>
      </c>
      <c r="D361" s="488">
        <f>III_Model_PT!D64</f>
        <v/>
      </c>
      <c r="E361" s="488">
        <f>III_Model_PT!E64</f>
        <v/>
      </c>
      <c r="F361" s="488">
        <f>III_Model_PT!F64</f>
        <v/>
      </c>
      <c r="G361" s="488">
        <f>III_Model_PT!G64</f>
        <v/>
      </c>
      <c r="H361" s="488">
        <f>III_Model_PT!H64</f>
        <v/>
      </c>
      <c r="I361" s="488">
        <f>III_Model_PT!I64</f>
        <v/>
      </c>
      <c r="J361" s="488">
        <f>III_Model_PT!J64</f>
        <v/>
      </c>
      <c r="K361" s="672">
        <f>III_Model_PT!K64</f>
        <v/>
      </c>
      <c r="L361" s="672">
        <f>III_Model_PT!L64</f>
        <v/>
      </c>
      <c r="M361" s="488">
        <f>III_Model_PT!M64</f>
        <v/>
      </c>
      <c r="N361" s="488">
        <f>III_Model_PT!N64</f>
        <v/>
      </c>
      <c r="O361" s="488">
        <f>III_Model_PT!O64</f>
        <v/>
      </c>
      <c r="P361" s="629">
        <f>III_Model_PT!P64</f>
        <v/>
      </c>
      <c r="Q361" s="629">
        <f>III_Model_PT!Q64</f>
        <v/>
      </c>
      <c r="R361" s="629">
        <f>III_Model_PT!R64</f>
        <v/>
      </c>
      <c r="S361" s="629">
        <f>III_Model_PT!S64</f>
        <v/>
      </c>
      <c r="T361" s="629">
        <f>III_Model_PT!T64</f>
        <v/>
      </c>
      <c r="U361" s="629">
        <f>III_Model_PT!U64</f>
        <v/>
      </c>
      <c r="V361" s="629">
        <f>III_Model_PT!V64</f>
        <v/>
      </c>
      <c r="W361" s="629">
        <f>III_Model_PT!W64</f>
        <v/>
      </c>
      <c r="X361" s="629">
        <f>III_Model_PT!X64</f>
        <v/>
      </c>
      <c r="Y361" s="651">
        <f>III_Model_PT!Y64</f>
        <v/>
      </c>
      <c r="Z361" s="651">
        <f>III_Model_PT!Z64</f>
        <v/>
      </c>
      <c r="AA361" s="651">
        <f>III_Model_PT!AA64</f>
        <v/>
      </c>
      <c r="AB361" s="651">
        <f>III_Model_PT!AB64</f>
        <v/>
      </c>
      <c r="AC361" s="614">
        <f>III_Model_PT!AC64</f>
        <v/>
      </c>
      <c r="AD361" s="614">
        <f>III_Model_PT!AD64</f>
        <v/>
      </c>
      <c r="AE361" s="614">
        <f>III_Model_PT!AE64</f>
        <v/>
      </c>
      <c r="AF361" s="614">
        <f>III_Model_PT!AF64</f>
        <v/>
      </c>
      <c r="AG361" s="635">
        <f>III_Model_PT!AG64</f>
        <v/>
      </c>
      <c r="AH361" s="635">
        <f>III_Model_PT!AH64</f>
        <v/>
      </c>
      <c r="AI361" s="635">
        <f>III_Model_PT!AI64</f>
        <v/>
      </c>
      <c r="AJ361" s="635">
        <f>III_Model_PT!AJ64</f>
        <v/>
      </c>
      <c r="AK361" s="635">
        <f>III_Model_PT!AK64</f>
        <v/>
      </c>
      <c r="AL361" s="635">
        <f>III_Model_PT!AL64</f>
        <v/>
      </c>
      <c r="AM361" s="635">
        <f>III_Model_PT!AM64</f>
        <v/>
      </c>
      <c r="AN361" s="635">
        <f>III_Model_PT!AN64</f>
        <v/>
      </c>
      <c r="AO361" s="635">
        <f>III_Model_PT!AO64</f>
        <v/>
      </c>
      <c r="AP361" s="641">
        <f>III_Model_PT!AP64</f>
        <v/>
      </c>
      <c r="AQ361" s="641">
        <f>III_Model_PT!AQ64</f>
        <v/>
      </c>
      <c r="AR361" s="641">
        <f>III_Model_PT!AR64</f>
        <v/>
      </c>
      <c r="AS361" s="641">
        <f>III_Model_PT!AS64</f>
        <v/>
      </c>
      <c r="AT361" s="620">
        <f>III_Model_PT!AT64</f>
        <v/>
      </c>
      <c r="AU361" s="620">
        <f>III_Model_PT!AU64</f>
        <v/>
      </c>
      <c r="AV361" s="620">
        <f>III_Model_PT!AV64</f>
        <v/>
      </c>
      <c r="AW361" s="620">
        <f>III_Model_PT!AW64</f>
        <v/>
      </c>
      <c r="AX361" s="488">
        <f>III_Model_PT!AX64</f>
        <v/>
      </c>
      <c r="AY361" s="488">
        <f>III_Model_PT!AY64</f>
        <v/>
      </c>
      <c r="AZ361" s="488">
        <f>III_Model_PT!AZ64</f>
        <v/>
      </c>
      <c r="BA361" s="488">
        <f>III_Model_PT!BA64</f>
        <v/>
      </c>
      <c r="BB361" s="488">
        <f>III_Model_PT!BB64</f>
        <v/>
      </c>
      <c r="BC361" s="488">
        <f>III_Model_PT!BC64</f>
        <v/>
      </c>
      <c r="BD361" s="488">
        <f>III_Model_PT!BD64</f>
        <v/>
      </c>
      <c r="BE361" s="488">
        <f>III_Model_PT!BE64</f>
        <v/>
      </c>
      <c r="BF361" s="488">
        <f>III_Model_PT!BF64</f>
        <v/>
      </c>
      <c r="BG361" s="488">
        <f>III_Model_PT!BG64</f>
        <v/>
      </c>
      <c r="BH361" s="488">
        <f>III_Model_PT!BH64</f>
        <v/>
      </c>
      <c r="BI361" s="488">
        <f>III_Model_PT!BI64</f>
        <v/>
      </c>
      <c r="BJ361">
        <f>O361</f>
        <v/>
      </c>
      <c r="BK361">
        <f>SUM(AG361:AW361)</f>
        <v/>
      </c>
      <c r="BL361" s="531">
        <f>BJ361-BK361</f>
        <v/>
      </c>
      <c r="BM361" s="201" t="n"/>
      <c r="BN361" s="659" t="n"/>
      <c r="BO361" s="659" t="n"/>
      <c r="BP361" s="659" t="n"/>
      <c r="BQ361" s="659" t="n"/>
      <c r="BR361" s="659" t="n"/>
      <c r="BS361" s="659" t="n"/>
      <c r="BT361" s="659" t="n"/>
      <c r="BU361" s="659" t="n"/>
      <c r="BV361" s="659" t="n"/>
      <c r="BW361" s="659" t="n"/>
      <c r="BX361" s="488" t="n"/>
    </row>
    <row r="362" hidden="1" outlineLevel="1" customFormat="1" s="488">
      <c r="A362" s="488">
        <f>III_Model_PT!A65</f>
        <v/>
      </c>
      <c r="B362" s="488">
        <f>III_Model_PT!B65</f>
        <v/>
      </c>
      <c r="C362" s="488">
        <f>III_Model_PT!C65</f>
        <v/>
      </c>
      <c r="D362" s="488">
        <f>III_Model_PT!D65</f>
        <v/>
      </c>
      <c r="E362" s="488">
        <f>III_Model_PT!E65</f>
        <v/>
      </c>
      <c r="F362" s="488">
        <f>III_Model_PT!F65</f>
        <v/>
      </c>
      <c r="G362" s="488">
        <f>III_Model_PT!G65</f>
        <v/>
      </c>
      <c r="H362" s="488">
        <f>III_Model_PT!H65</f>
        <v/>
      </c>
      <c r="I362" s="488">
        <f>III_Model_PT!I65</f>
        <v/>
      </c>
      <c r="J362" s="488">
        <f>III_Model_PT!J65</f>
        <v/>
      </c>
      <c r="K362" s="672">
        <f>III_Model_PT!K65</f>
        <v/>
      </c>
      <c r="L362" s="672">
        <f>III_Model_PT!L65</f>
        <v/>
      </c>
      <c r="M362" s="488">
        <f>III_Model_PT!M65</f>
        <v/>
      </c>
      <c r="N362" s="488">
        <f>III_Model_PT!N65</f>
        <v/>
      </c>
      <c r="O362" s="488">
        <f>III_Model_PT!O65</f>
        <v/>
      </c>
      <c r="P362" s="629">
        <f>III_Model_PT!P65</f>
        <v/>
      </c>
      <c r="Q362" s="629">
        <f>III_Model_PT!Q65</f>
        <v/>
      </c>
      <c r="R362" s="629">
        <f>III_Model_PT!R65</f>
        <v/>
      </c>
      <c r="S362" s="629">
        <f>III_Model_PT!S65</f>
        <v/>
      </c>
      <c r="T362" s="629">
        <f>III_Model_PT!T65</f>
        <v/>
      </c>
      <c r="U362" s="629">
        <f>III_Model_PT!U65</f>
        <v/>
      </c>
      <c r="V362" s="629">
        <f>III_Model_PT!V65</f>
        <v/>
      </c>
      <c r="W362" s="629">
        <f>III_Model_PT!W65</f>
        <v/>
      </c>
      <c r="X362" s="629">
        <f>III_Model_PT!X65</f>
        <v/>
      </c>
      <c r="Y362" s="651">
        <f>III_Model_PT!Y65</f>
        <v/>
      </c>
      <c r="Z362" s="651">
        <f>III_Model_PT!Z65</f>
        <v/>
      </c>
      <c r="AA362" s="651">
        <f>III_Model_PT!AA65</f>
        <v/>
      </c>
      <c r="AB362" s="651">
        <f>III_Model_PT!AB65</f>
        <v/>
      </c>
      <c r="AC362" s="614">
        <f>III_Model_PT!AC65</f>
        <v/>
      </c>
      <c r="AD362" s="614">
        <f>III_Model_PT!AD65</f>
        <v/>
      </c>
      <c r="AE362" s="614">
        <f>III_Model_PT!AE65</f>
        <v/>
      </c>
      <c r="AF362" s="614">
        <f>III_Model_PT!AF65</f>
        <v/>
      </c>
      <c r="AG362" s="635">
        <f>III_Model_PT!AG65</f>
        <v/>
      </c>
      <c r="AH362" s="635">
        <f>III_Model_PT!AH65</f>
        <v/>
      </c>
      <c r="AI362" s="635">
        <f>III_Model_PT!AI65</f>
        <v/>
      </c>
      <c r="AJ362" s="635">
        <f>III_Model_PT!AJ65</f>
        <v/>
      </c>
      <c r="AK362" s="635">
        <f>III_Model_PT!AK65</f>
        <v/>
      </c>
      <c r="AL362" s="635">
        <f>III_Model_PT!AL65</f>
        <v/>
      </c>
      <c r="AM362" s="635">
        <f>III_Model_PT!AM65</f>
        <v/>
      </c>
      <c r="AN362" s="635">
        <f>III_Model_PT!AN65</f>
        <v/>
      </c>
      <c r="AO362" s="635">
        <f>III_Model_PT!AO65</f>
        <v/>
      </c>
      <c r="AP362" s="641">
        <f>III_Model_PT!AP65</f>
        <v/>
      </c>
      <c r="AQ362" s="641">
        <f>III_Model_PT!AQ65</f>
        <v/>
      </c>
      <c r="AR362" s="641">
        <f>III_Model_PT!AR65</f>
        <v/>
      </c>
      <c r="AS362" s="641">
        <f>III_Model_PT!AS65</f>
        <v/>
      </c>
      <c r="AT362" s="620">
        <f>III_Model_PT!AT65</f>
        <v/>
      </c>
      <c r="AU362" s="620">
        <f>III_Model_PT!AU65</f>
        <v/>
      </c>
      <c r="AV362" s="620">
        <f>III_Model_PT!AV65</f>
        <v/>
      </c>
      <c r="AW362" s="620">
        <f>III_Model_PT!AW65</f>
        <v/>
      </c>
      <c r="AX362" s="488">
        <f>III_Model_PT!AX65</f>
        <v/>
      </c>
      <c r="AY362" s="488">
        <f>III_Model_PT!AY65</f>
        <v/>
      </c>
      <c r="AZ362" s="488">
        <f>III_Model_PT!AZ65</f>
        <v/>
      </c>
      <c r="BA362" s="488">
        <f>III_Model_PT!BA65</f>
        <v/>
      </c>
      <c r="BB362" s="488">
        <f>III_Model_PT!BB65</f>
        <v/>
      </c>
      <c r="BC362" s="488">
        <f>III_Model_PT!BC65</f>
        <v/>
      </c>
      <c r="BD362" s="488">
        <f>III_Model_PT!BD65</f>
        <v/>
      </c>
      <c r="BE362" s="488">
        <f>III_Model_PT!BE65</f>
        <v/>
      </c>
      <c r="BF362" s="488">
        <f>III_Model_PT!BF65</f>
        <v/>
      </c>
      <c r="BG362" s="488">
        <f>III_Model_PT!BG65</f>
        <v/>
      </c>
      <c r="BH362" s="488">
        <f>III_Model_PT!BH65</f>
        <v/>
      </c>
      <c r="BI362" s="488">
        <f>III_Model_PT!BI65</f>
        <v/>
      </c>
      <c r="BJ362">
        <f>O362</f>
        <v/>
      </c>
      <c r="BK362">
        <f>SUM(AG362:AW362)</f>
        <v/>
      </c>
      <c r="BL362" s="531">
        <f>BJ362-BK362</f>
        <v/>
      </c>
      <c r="BM362" s="201" t="n"/>
      <c r="BN362" s="659" t="n"/>
      <c r="BO362" s="659" t="n"/>
      <c r="BP362" s="659" t="n"/>
      <c r="BQ362" s="659" t="n"/>
      <c r="BR362" s="659" t="n"/>
      <c r="BS362" s="659" t="n"/>
      <c r="BT362" s="659" t="n"/>
      <c r="BU362" s="659" t="n"/>
      <c r="BV362" s="659" t="n"/>
      <c r="BW362" s="659" t="n"/>
    </row>
    <row r="363" hidden="1" outlineLevel="1" customFormat="1" s="488">
      <c r="A363" s="488">
        <f>III_Model_PT!A66</f>
        <v/>
      </c>
      <c r="B363" s="488">
        <f>III_Model_PT!B66</f>
        <v/>
      </c>
      <c r="C363" s="488">
        <f>III_Model_PT!C66</f>
        <v/>
      </c>
      <c r="D363" s="488">
        <f>III_Model_PT!D66</f>
        <v/>
      </c>
      <c r="E363" s="488">
        <f>III_Model_PT!E66</f>
        <v/>
      </c>
      <c r="F363" s="488">
        <f>III_Model_PT!F66</f>
        <v/>
      </c>
      <c r="G363" s="488">
        <f>III_Model_PT!G66</f>
        <v/>
      </c>
      <c r="H363" s="488">
        <f>III_Model_PT!H66</f>
        <v/>
      </c>
      <c r="I363" s="488">
        <f>III_Model_PT!I66</f>
        <v/>
      </c>
      <c r="J363" s="488">
        <f>III_Model_PT!J66</f>
        <v/>
      </c>
      <c r="K363" s="672">
        <f>III_Model_PT!K66</f>
        <v/>
      </c>
      <c r="L363" s="672">
        <f>III_Model_PT!L66</f>
        <v/>
      </c>
      <c r="M363" s="488">
        <f>III_Model_PT!M66</f>
        <v/>
      </c>
      <c r="N363" s="488">
        <f>III_Model_PT!N66</f>
        <v/>
      </c>
      <c r="O363" s="488">
        <f>III_Model_PT!O66</f>
        <v/>
      </c>
      <c r="P363" s="629">
        <f>III_Model_PT!P66</f>
        <v/>
      </c>
      <c r="Q363" s="629">
        <f>III_Model_PT!Q66</f>
        <v/>
      </c>
      <c r="R363" s="629">
        <f>III_Model_PT!R66</f>
        <v/>
      </c>
      <c r="S363" s="629">
        <f>III_Model_PT!S66</f>
        <v/>
      </c>
      <c r="T363" s="629">
        <f>III_Model_PT!T66</f>
        <v/>
      </c>
      <c r="U363" s="629">
        <f>III_Model_PT!U66</f>
        <v/>
      </c>
      <c r="V363" s="629">
        <f>III_Model_PT!V66</f>
        <v/>
      </c>
      <c r="W363" s="629">
        <f>III_Model_PT!W66</f>
        <v/>
      </c>
      <c r="X363" s="629">
        <f>III_Model_PT!X66</f>
        <v/>
      </c>
      <c r="Y363" s="651">
        <f>III_Model_PT!Y66</f>
        <v/>
      </c>
      <c r="Z363" s="651">
        <f>III_Model_PT!Z66</f>
        <v/>
      </c>
      <c r="AA363" s="651">
        <f>III_Model_PT!AA66</f>
        <v/>
      </c>
      <c r="AB363" s="651">
        <f>III_Model_PT!AB66</f>
        <v/>
      </c>
      <c r="AC363" s="614">
        <f>III_Model_PT!AC66</f>
        <v/>
      </c>
      <c r="AD363" s="614">
        <f>III_Model_PT!AD66</f>
        <v/>
      </c>
      <c r="AE363" s="614">
        <f>III_Model_PT!AE66</f>
        <v/>
      </c>
      <c r="AF363" s="614">
        <f>III_Model_PT!AF66</f>
        <v/>
      </c>
      <c r="AG363" s="635">
        <f>III_Model_PT!AG66</f>
        <v/>
      </c>
      <c r="AH363" s="635">
        <f>III_Model_PT!AH66</f>
        <v/>
      </c>
      <c r="AI363" s="635">
        <f>III_Model_PT!AI66</f>
        <v/>
      </c>
      <c r="AJ363" s="635">
        <f>III_Model_PT!AJ66</f>
        <v/>
      </c>
      <c r="AK363" s="635">
        <f>III_Model_PT!AK66</f>
        <v/>
      </c>
      <c r="AL363" s="635">
        <f>III_Model_PT!AL66</f>
        <v/>
      </c>
      <c r="AM363" s="635">
        <f>III_Model_PT!AM66</f>
        <v/>
      </c>
      <c r="AN363" s="635">
        <f>III_Model_PT!AN66</f>
        <v/>
      </c>
      <c r="AO363" s="635">
        <f>III_Model_PT!AO66</f>
        <v/>
      </c>
      <c r="AP363" s="641">
        <f>III_Model_PT!AP66</f>
        <v/>
      </c>
      <c r="AQ363" s="641">
        <f>III_Model_PT!AQ66</f>
        <v/>
      </c>
      <c r="AR363" s="641">
        <f>III_Model_PT!AR66</f>
        <v/>
      </c>
      <c r="AS363" s="641">
        <f>III_Model_PT!AS66</f>
        <v/>
      </c>
      <c r="AT363" s="620">
        <f>III_Model_PT!AT66</f>
        <v/>
      </c>
      <c r="AU363" s="620">
        <f>III_Model_PT!AU66</f>
        <v/>
      </c>
      <c r="AV363" s="620">
        <f>III_Model_PT!AV66</f>
        <v/>
      </c>
      <c r="AW363" s="620">
        <f>III_Model_PT!AW66</f>
        <v/>
      </c>
      <c r="AX363" s="488">
        <f>III_Model_PT!AX66</f>
        <v/>
      </c>
      <c r="AY363" s="488">
        <f>III_Model_PT!AY66</f>
        <v/>
      </c>
      <c r="AZ363" s="488">
        <f>III_Model_PT!AZ66</f>
        <v/>
      </c>
      <c r="BA363" s="488">
        <f>III_Model_PT!BA66</f>
        <v/>
      </c>
      <c r="BB363" s="488">
        <f>III_Model_PT!BB66</f>
        <v/>
      </c>
      <c r="BC363" s="488">
        <f>III_Model_PT!BC66</f>
        <v/>
      </c>
      <c r="BD363" s="488">
        <f>III_Model_PT!BD66</f>
        <v/>
      </c>
      <c r="BE363" s="488">
        <f>III_Model_PT!BE66</f>
        <v/>
      </c>
      <c r="BF363" s="488">
        <f>III_Model_PT!BF66</f>
        <v/>
      </c>
      <c r="BG363" s="488">
        <f>III_Model_PT!BG66</f>
        <v/>
      </c>
      <c r="BH363" s="488">
        <f>III_Model_PT!BH66</f>
        <v/>
      </c>
      <c r="BI363" s="488">
        <f>III_Model_PT!BI66</f>
        <v/>
      </c>
      <c r="BJ363">
        <f>O363</f>
        <v/>
      </c>
      <c r="BK363">
        <f>SUM(AG363:AW363)</f>
        <v/>
      </c>
      <c r="BL363" s="531">
        <f>BJ363-BK363</f>
        <v/>
      </c>
      <c r="BM363" s="201" t="n"/>
      <c r="BN363" s="659" t="n"/>
      <c r="BO363" s="659" t="n"/>
      <c r="BP363" s="659" t="n"/>
      <c r="BQ363" s="659" t="n"/>
      <c r="BR363" s="659" t="n"/>
      <c r="BS363" s="659" t="n"/>
      <c r="BT363" s="659" t="n"/>
      <c r="BU363" s="659" t="n"/>
      <c r="BV363" s="659" t="n"/>
      <c r="BW363" s="659" t="n"/>
    </row>
    <row r="364" hidden="1" outlineLevel="1" customFormat="1" s="488">
      <c r="A364" s="488">
        <f>III_Model_PT!A67</f>
        <v/>
      </c>
      <c r="B364" s="488">
        <f>III_Model_PT!B67</f>
        <v/>
      </c>
      <c r="C364" s="488">
        <f>III_Model_PT!C67</f>
        <v/>
      </c>
      <c r="D364" s="488">
        <f>III_Model_PT!D67</f>
        <v/>
      </c>
      <c r="E364" s="488">
        <f>III_Model_PT!E67</f>
        <v/>
      </c>
      <c r="F364" s="488">
        <f>III_Model_PT!F67</f>
        <v/>
      </c>
      <c r="G364" s="488">
        <f>III_Model_PT!G67</f>
        <v/>
      </c>
      <c r="H364" s="488">
        <f>III_Model_PT!H67</f>
        <v/>
      </c>
      <c r="I364" s="488">
        <f>III_Model_PT!I67</f>
        <v/>
      </c>
      <c r="J364" s="488">
        <f>III_Model_PT!J67</f>
        <v/>
      </c>
      <c r="K364" s="672">
        <f>III_Model_PT!K67</f>
        <v/>
      </c>
      <c r="L364" s="672">
        <f>III_Model_PT!L67</f>
        <v/>
      </c>
      <c r="M364" s="488">
        <f>III_Model_PT!M67</f>
        <v/>
      </c>
      <c r="N364" s="488">
        <f>III_Model_PT!N67</f>
        <v/>
      </c>
      <c r="O364" s="488">
        <f>III_Model_PT!O67</f>
        <v/>
      </c>
      <c r="P364" s="629">
        <f>III_Model_PT!P67</f>
        <v/>
      </c>
      <c r="Q364" s="629">
        <f>III_Model_PT!Q67</f>
        <v/>
      </c>
      <c r="R364" s="629">
        <f>III_Model_PT!R67</f>
        <v/>
      </c>
      <c r="S364" s="629">
        <f>III_Model_PT!S67</f>
        <v/>
      </c>
      <c r="T364" s="629">
        <f>III_Model_PT!T67</f>
        <v/>
      </c>
      <c r="U364" s="629">
        <f>III_Model_PT!U67</f>
        <v/>
      </c>
      <c r="V364" s="629">
        <f>III_Model_PT!V67</f>
        <v/>
      </c>
      <c r="W364" s="629">
        <f>III_Model_PT!W67</f>
        <v/>
      </c>
      <c r="X364" s="629">
        <f>III_Model_PT!X67</f>
        <v/>
      </c>
      <c r="Y364" s="651">
        <f>III_Model_PT!Y67</f>
        <v/>
      </c>
      <c r="Z364" s="651">
        <f>III_Model_PT!Z67</f>
        <v/>
      </c>
      <c r="AA364" s="651">
        <f>III_Model_PT!AA67</f>
        <v/>
      </c>
      <c r="AB364" s="651">
        <f>III_Model_PT!AB67</f>
        <v/>
      </c>
      <c r="AC364" s="614">
        <f>III_Model_PT!AC67</f>
        <v/>
      </c>
      <c r="AD364" s="614">
        <f>III_Model_PT!AD67</f>
        <v/>
      </c>
      <c r="AE364" s="614">
        <f>III_Model_PT!AE67</f>
        <v/>
      </c>
      <c r="AF364" s="614">
        <f>III_Model_PT!AF67</f>
        <v/>
      </c>
      <c r="AG364" s="635">
        <f>III_Model_PT!AG67</f>
        <v/>
      </c>
      <c r="AH364" s="635">
        <f>III_Model_PT!AH67</f>
        <v/>
      </c>
      <c r="AI364" s="635">
        <f>III_Model_PT!AI67</f>
        <v/>
      </c>
      <c r="AJ364" s="635">
        <f>III_Model_PT!AJ67</f>
        <v/>
      </c>
      <c r="AK364" s="635">
        <f>III_Model_PT!AK67</f>
        <v/>
      </c>
      <c r="AL364" s="635">
        <f>III_Model_PT!AL67</f>
        <v/>
      </c>
      <c r="AM364" s="635">
        <f>III_Model_PT!AM67</f>
        <v/>
      </c>
      <c r="AN364" s="635">
        <f>III_Model_PT!AN67</f>
        <v/>
      </c>
      <c r="AO364" s="635">
        <f>III_Model_PT!AO67</f>
        <v/>
      </c>
      <c r="AP364" s="641">
        <f>III_Model_PT!AP67</f>
        <v/>
      </c>
      <c r="AQ364" s="641">
        <f>III_Model_PT!AQ67</f>
        <v/>
      </c>
      <c r="AR364" s="641">
        <f>III_Model_PT!AR67</f>
        <v/>
      </c>
      <c r="AS364" s="641">
        <f>III_Model_PT!AS67</f>
        <v/>
      </c>
      <c r="AT364" s="620">
        <f>III_Model_PT!AT67</f>
        <v/>
      </c>
      <c r="AU364" s="620">
        <f>III_Model_PT!AU67</f>
        <v/>
      </c>
      <c r="AV364" s="620">
        <f>III_Model_PT!AV67</f>
        <v/>
      </c>
      <c r="AW364" s="620">
        <f>III_Model_PT!AW67</f>
        <v/>
      </c>
      <c r="AX364" s="488">
        <f>III_Model_PT!AX67</f>
        <v/>
      </c>
      <c r="AY364" s="488">
        <f>III_Model_PT!AY67</f>
        <v/>
      </c>
      <c r="AZ364" s="488">
        <f>III_Model_PT!AZ67</f>
        <v/>
      </c>
      <c r="BA364" s="488">
        <f>III_Model_PT!BA67</f>
        <v/>
      </c>
      <c r="BB364" s="488">
        <f>III_Model_PT!BB67</f>
        <v/>
      </c>
      <c r="BC364" s="488">
        <f>III_Model_PT!BC67</f>
        <v/>
      </c>
      <c r="BD364" s="488">
        <f>III_Model_PT!BD67</f>
        <v/>
      </c>
      <c r="BE364" s="488">
        <f>III_Model_PT!BE67</f>
        <v/>
      </c>
      <c r="BF364" s="488">
        <f>III_Model_PT!BF67</f>
        <v/>
      </c>
      <c r="BG364" s="488">
        <f>III_Model_PT!BG67</f>
        <v/>
      </c>
      <c r="BH364" s="488">
        <f>III_Model_PT!BH67</f>
        <v/>
      </c>
      <c r="BI364" s="488">
        <f>III_Model_PT!BI67</f>
        <v/>
      </c>
      <c r="BJ364">
        <f>O364</f>
        <v/>
      </c>
      <c r="BK364">
        <f>SUM(AG364:AW364)</f>
        <v/>
      </c>
      <c r="BL364" s="531">
        <f>BJ364-BK364</f>
        <v/>
      </c>
      <c r="BM364" s="201" t="n"/>
      <c r="BN364" s="659" t="n"/>
      <c r="BO364" s="659" t="n"/>
      <c r="BP364" s="659" t="n"/>
      <c r="BQ364" s="659" t="n"/>
      <c r="BR364" s="659" t="n"/>
      <c r="BS364" s="659" t="n"/>
      <c r="BT364" s="659" t="n"/>
      <c r="BU364" s="659" t="n"/>
      <c r="BV364" s="659" t="n"/>
      <c r="BW364" s="659" t="n"/>
      <c r="BX364" s="488" t="n"/>
    </row>
    <row r="365" hidden="1" outlineLevel="1" customFormat="1" s="488">
      <c r="A365" s="488">
        <f>III_Model_PT!A68</f>
        <v/>
      </c>
      <c r="B365" s="488">
        <f>III_Model_PT!B68</f>
        <v/>
      </c>
      <c r="C365" s="488">
        <f>III_Model_PT!C68</f>
        <v/>
      </c>
      <c r="D365" s="488">
        <f>III_Model_PT!D68</f>
        <v/>
      </c>
      <c r="E365" s="488">
        <f>III_Model_PT!E68</f>
        <v/>
      </c>
      <c r="F365" s="488">
        <f>III_Model_PT!F68</f>
        <v/>
      </c>
      <c r="G365" s="488">
        <f>III_Model_PT!G68</f>
        <v/>
      </c>
      <c r="H365" s="488">
        <f>III_Model_PT!H68</f>
        <v/>
      </c>
      <c r="I365" s="488">
        <f>III_Model_PT!I68</f>
        <v/>
      </c>
      <c r="J365" s="488">
        <f>III_Model_PT!J68</f>
        <v/>
      </c>
      <c r="K365" s="672">
        <f>III_Model_PT!K68</f>
        <v/>
      </c>
      <c r="L365" s="672">
        <f>III_Model_PT!L68</f>
        <v/>
      </c>
      <c r="M365" s="488">
        <f>III_Model_PT!M68</f>
        <v/>
      </c>
      <c r="N365" s="488">
        <f>III_Model_PT!N68</f>
        <v/>
      </c>
      <c r="O365" s="488">
        <f>III_Model_PT!O68</f>
        <v/>
      </c>
      <c r="P365" s="629">
        <f>III_Model_PT!P68</f>
        <v/>
      </c>
      <c r="Q365" s="629">
        <f>III_Model_PT!Q68</f>
        <v/>
      </c>
      <c r="R365" s="629">
        <f>III_Model_PT!R68</f>
        <v/>
      </c>
      <c r="S365" s="629">
        <f>III_Model_PT!S68</f>
        <v/>
      </c>
      <c r="T365" s="629">
        <f>III_Model_PT!T68</f>
        <v/>
      </c>
      <c r="U365" s="629">
        <f>III_Model_PT!U68</f>
        <v/>
      </c>
      <c r="V365" s="629">
        <f>III_Model_PT!V68</f>
        <v/>
      </c>
      <c r="W365" s="629">
        <f>III_Model_PT!W68</f>
        <v/>
      </c>
      <c r="X365" s="629">
        <f>III_Model_PT!X68</f>
        <v/>
      </c>
      <c r="Y365" s="651">
        <f>III_Model_PT!Y68</f>
        <v/>
      </c>
      <c r="Z365" s="651">
        <f>III_Model_PT!Z68</f>
        <v/>
      </c>
      <c r="AA365" s="651">
        <f>III_Model_PT!AA68</f>
        <v/>
      </c>
      <c r="AB365" s="651">
        <f>III_Model_PT!AB68</f>
        <v/>
      </c>
      <c r="AC365" s="614">
        <f>III_Model_PT!AC68</f>
        <v/>
      </c>
      <c r="AD365" s="614">
        <f>III_Model_PT!AD68</f>
        <v/>
      </c>
      <c r="AE365" s="614">
        <f>III_Model_PT!AE68</f>
        <v/>
      </c>
      <c r="AF365" s="614">
        <f>III_Model_PT!AF68</f>
        <v/>
      </c>
      <c r="AG365" s="635">
        <f>III_Model_PT!AG68</f>
        <v/>
      </c>
      <c r="AH365" s="635">
        <f>III_Model_PT!AH68</f>
        <v/>
      </c>
      <c r="AI365" s="635">
        <f>III_Model_PT!AI68</f>
        <v/>
      </c>
      <c r="AJ365" s="635">
        <f>III_Model_PT!AJ68</f>
        <v/>
      </c>
      <c r="AK365" s="635">
        <f>III_Model_PT!AK68</f>
        <v/>
      </c>
      <c r="AL365" s="635">
        <f>III_Model_PT!AL68</f>
        <v/>
      </c>
      <c r="AM365" s="635">
        <f>III_Model_PT!AM68</f>
        <v/>
      </c>
      <c r="AN365" s="635">
        <f>III_Model_PT!AN68</f>
        <v/>
      </c>
      <c r="AO365" s="635">
        <f>III_Model_PT!AO68</f>
        <v/>
      </c>
      <c r="AP365" s="641">
        <f>III_Model_PT!AP68</f>
        <v/>
      </c>
      <c r="AQ365" s="641">
        <f>III_Model_PT!AQ68</f>
        <v/>
      </c>
      <c r="AR365" s="641">
        <f>III_Model_PT!AR68</f>
        <v/>
      </c>
      <c r="AS365" s="641">
        <f>III_Model_PT!AS68</f>
        <v/>
      </c>
      <c r="AT365" s="620">
        <f>III_Model_PT!AT68</f>
        <v/>
      </c>
      <c r="AU365" s="620">
        <f>III_Model_PT!AU68</f>
        <v/>
      </c>
      <c r="AV365" s="620">
        <f>III_Model_PT!AV68</f>
        <v/>
      </c>
      <c r="AW365" s="620">
        <f>III_Model_PT!AW68</f>
        <v/>
      </c>
      <c r="AX365" s="488">
        <f>III_Model_PT!AX68</f>
        <v/>
      </c>
      <c r="AY365" s="488">
        <f>III_Model_PT!AY68</f>
        <v/>
      </c>
      <c r="AZ365" s="488">
        <f>III_Model_PT!AZ68</f>
        <v/>
      </c>
      <c r="BA365" s="488">
        <f>III_Model_PT!BA68</f>
        <v/>
      </c>
      <c r="BB365" s="488">
        <f>III_Model_PT!BB68</f>
        <v/>
      </c>
      <c r="BC365" s="488">
        <f>III_Model_PT!BC68</f>
        <v/>
      </c>
      <c r="BD365" s="488">
        <f>III_Model_PT!BD68</f>
        <v/>
      </c>
      <c r="BE365" s="488">
        <f>III_Model_PT!BE68</f>
        <v/>
      </c>
      <c r="BF365" s="488">
        <f>III_Model_PT!BF68</f>
        <v/>
      </c>
      <c r="BG365" s="488">
        <f>III_Model_PT!BG68</f>
        <v/>
      </c>
      <c r="BH365" s="488">
        <f>III_Model_PT!BH68</f>
        <v/>
      </c>
      <c r="BI365" s="488">
        <f>III_Model_PT!BI68</f>
        <v/>
      </c>
      <c r="BJ365">
        <f>O365</f>
        <v/>
      </c>
      <c r="BK365">
        <f>SUM(AG365:AW365)</f>
        <v/>
      </c>
      <c r="BL365" s="531">
        <f>BJ365-BK365</f>
        <v/>
      </c>
      <c r="BM365" s="201" t="n"/>
      <c r="BN365" s="659" t="n"/>
      <c r="BO365" s="659" t="n"/>
      <c r="BP365" s="659" t="n"/>
      <c r="BQ365" s="659" t="n"/>
      <c r="BR365" s="659" t="n"/>
      <c r="BS365" s="659" t="n"/>
      <c r="BT365" s="659" t="n"/>
      <c r="BU365" s="659" t="n"/>
      <c r="BV365" s="659" t="n"/>
      <c r="BW365" s="659" t="n"/>
    </row>
    <row r="366" hidden="1" outlineLevel="1" customFormat="1" s="488">
      <c r="A366" s="488">
        <f>III_Model_PT!A69</f>
        <v/>
      </c>
      <c r="B366" s="488">
        <f>III_Model_PT!B69</f>
        <v/>
      </c>
      <c r="C366" s="488">
        <f>III_Model_PT!C69</f>
        <v/>
      </c>
      <c r="D366" s="488">
        <f>III_Model_PT!D69</f>
        <v/>
      </c>
      <c r="E366" s="488">
        <f>III_Model_PT!E69</f>
        <v/>
      </c>
      <c r="F366" s="488">
        <f>III_Model_PT!F69</f>
        <v/>
      </c>
      <c r="G366" s="488">
        <f>III_Model_PT!G69</f>
        <v/>
      </c>
      <c r="H366" s="488">
        <f>III_Model_PT!H69</f>
        <v/>
      </c>
      <c r="I366" s="488">
        <f>III_Model_PT!I69</f>
        <v/>
      </c>
      <c r="J366" s="488">
        <f>III_Model_PT!J69</f>
        <v/>
      </c>
      <c r="K366" s="672">
        <f>III_Model_PT!K69</f>
        <v/>
      </c>
      <c r="L366" s="672">
        <f>III_Model_PT!L69</f>
        <v/>
      </c>
      <c r="M366" s="488">
        <f>III_Model_PT!M69</f>
        <v/>
      </c>
      <c r="N366" s="488">
        <f>III_Model_PT!N69</f>
        <v/>
      </c>
      <c r="O366" s="488">
        <f>III_Model_PT!O69</f>
        <v/>
      </c>
      <c r="P366" s="629">
        <f>III_Model_PT!P69</f>
        <v/>
      </c>
      <c r="Q366" s="629">
        <f>III_Model_PT!Q69</f>
        <v/>
      </c>
      <c r="R366" s="629">
        <f>III_Model_PT!R69</f>
        <v/>
      </c>
      <c r="S366" s="629">
        <f>III_Model_PT!S69</f>
        <v/>
      </c>
      <c r="T366" s="629">
        <f>III_Model_PT!T69</f>
        <v/>
      </c>
      <c r="U366" s="629">
        <f>III_Model_PT!U69</f>
        <v/>
      </c>
      <c r="V366" s="629">
        <f>III_Model_PT!V69</f>
        <v/>
      </c>
      <c r="W366" s="629">
        <f>III_Model_PT!W69</f>
        <v/>
      </c>
      <c r="X366" s="629">
        <f>III_Model_PT!X69</f>
        <v/>
      </c>
      <c r="Y366" s="651">
        <f>III_Model_PT!Y69</f>
        <v/>
      </c>
      <c r="Z366" s="651">
        <f>III_Model_PT!Z69</f>
        <v/>
      </c>
      <c r="AA366" s="651">
        <f>III_Model_PT!AA69</f>
        <v/>
      </c>
      <c r="AB366" s="651">
        <f>III_Model_PT!AB69</f>
        <v/>
      </c>
      <c r="AC366" s="614">
        <f>III_Model_PT!AC69</f>
        <v/>
      </c>
      <c r="AD366" s="614">
        <f>III_Model_PT!AD69</f>
        <v/>
      </c>
      <c r="AE366" s="614">
        <f>III_Model_PT!AE69</f>
        <v/>
      </c>
      <c r="AF366" s="614">
        <f>III_Model_PT!AF69</f>
        <v/>
      </c>
      <c r="AG366" s="635">
        <f>III_Model_PT!AG69</f>
        <v/>
      </c>
      <c r="AH366" s="635">
        <f>III_Model_PT!AH69</f>
        <v/>
      </c>
      <c r="AI366" s="635">
        <f>III_Model_PT!AI69</f>
        <v/>
      </c>
      <c r="AJ366" s="635">
        <f>III_Model_PT!AJ69</f>
        <v/>
      </c>
      <c r="AK366" s="635">
        <f>III_Model_PT!AK69</f>
        <v/>
      </c>
      <c r="AL366" s="635">
        <f>III_Model_PT!AL69</f>
        <v/>
      </c>
      <c r="AM366" s="635">
        <f>III_Model_PT!AM69</f>
        <v/>
      </c>
      <c r="AN366" s="635">
        <f>III_Model_PT!AN69</f>
        <v/>
      </c>
      <c r="AO366" s="635">
        <f>III_Model_PT!AO69</f>
        <v/>
      </c>
      <c r="AP366" s="641">
        <f>III_Model_PT!AP69</f>
        <v/>
      </c>
      <c r="AQ366" s="641">
        <f>III_Model_PT!AQ69</f>
        <v/>
      </c>
      <c r="AR366" s="641">
        <f>III_Model_PT!AR69</f>
        <v/>
      </c>
      <c r="AS366" s="641">
        <f>III_Model_PT!AS69</f>
        <v/>
      </c>
      <c r="AT366" s="620">
        <f>III_Model_PT!AT69</f>
        <v/>
      </c>
      <c r="AU366" s="620">
        <f>III_Model_PT!AU69</f>
        <v/>
      </c>
      <c r="AV366" s="620">
        <f>III_Model_PT!AV69</f>
        <v/>
      </c>
      <c r="AW366" s="620">
        <f>III_Model_PT!AW69</f>
        <v/>
      </c>
      <c r="AX366" s="488">
        <f>III_Model_PT!AX69</f>
        <v/>
      </c>
      <c r="AY366" s="488">
        <f>III_Model_PT!AY69</f>
        <v/>
      </c>
      <c r="AZ366" s="488">
        <f>III_Model_PT!AZ69</f>
        <v/>
      </c>
      <c r="BA366" s="488">
        <f>III_Model_PT!BA69</f>
        <v/>
      </c>
      <c r="BB366" s="488">
        <f>III_Model_PT!BB69</f>
        <v/>
      </c>
      <c r="BC366" s="488">
        <f>III_Model_PT!BC69</f>
        <v/>
      </c>
      <c r="BD366" s="488">
        <f>III_Model_PT!BD69</f>
        <v/>
      </c>
      <c r="BE366" s="488">
        <f>III_Model_PT!BE69</f>
        <v/>
      </c>
      <c r="BF366" s="488">
        <f>III_Model_PT!BF69</f>
        <v/>
      </c>
      <c r="BG366" s="488">
        <f>III_Model_PT!BG69</f>
        <v/>
      </c>
      <c r="BH366" s="488">
        <f>III_Model_PT!BH69</f>
        <v/>
      </c>
      <c r="BI366" s="488">
        <f>III_Model_PT!BI69</f>
        <v/>
      </c>
      <c r="BJ366">
        <f>O366</f>
        <v/>
      </c>
      <c r="BK366">
        <f>SUM(AG366:AW366)</f>
        <v/>
      </c>
      <c r="BL366" s="531">
        <f>BJ366-BK366</f>
        <v/>
      </c>
      <c r="BM366" s="201" t="n"/>
      <c r="BN366" s="659" t="n"/>
      <c r="BO366" s="659" t="n"/>
      <c r="BP366" s="659" t="n"/>
      <c r="BQ366" s="659" t="n"/>
      <c r="BR366" s="659" t="n"/>
      <c r="BS366" s="659" t="n"/>
      <c r="BT366" s="659" t="n"/>
      <c r="BU366" s="659" t="n"/>
      <c r="BV366" s="659" t="n"/>
      <c r="BW366" s="659" t="n"/>
    </row>
    <row r="367" hidden="1" outlineLevel="1" customFormat="1" s="488">
      <c r="B367" s="491" t="n"/>
      <c r="C367" s="659" t="n"/>
      <c r="D367" s="345" t="n"/>
      <c r="E367" s="487" t="n"/>
      <c r="F367" s="659" t="n"/>
      <c r="G367" s="659" t="n"/>
      <c r="H367" s="489" t="n"/>
      <c r="I367" s="659" t="n"/>
      <c r="J367" s="659" t="n"/>
      <c r="K367" s="659" t="n"/>
      <c r="L367" s="659" t="n"/>
      <c r="M367" s="659" t="n"/>
      <c r="N367" s="490" t="n"/>
      <c r="O367" s="490" t="n"/>
      <c r="P367" s="630" t="n"/>
      <c r="Q367" s="630" t="n"/>
      <c r="R367" s="630" t="n"/>
      <c r="S367" s="630" t="n"/>
      <c r="T367" s="630" t="n"/>
      <c r="U367" s="630" t="n"/>
      <c r="V367" s="630" t="n"/>
      <c r="W367" s="630" t="n"/>
      <c r="X367" s="631" t="n"/>
      <c r="Y367" s="652" t="n"/>
      <c r="Z367" s="652" t="n"/>
      <c r="AA367" s="652" t="n"/>
      <c r="AB367" s="652" t="n"/>
      <c r="AC367" s="615" t="n"/>
      <c r="AD367" s="615" t="n"/>
      <c r="AE367" s="615" t="n"/>
      <c r="AF367" s="615" t="n"/>
      <c r="AG367" s="636" t="n"/>
      <c r="AH367" s="636" t="n"/>
      <c r="AI367" s="636" t="n"/>
      <c r="AJ367" s="636" t="n"/>
      <c r="AK367" s="636" t="n"/>
      <c r="AL367" s="636" t="n"/>
      <c r="AM367" s="636" t="n"/>
      <c r="AN367" s="636" t="n"/>
      <c r="AO367" s="636" t="n"/>
      <c r="AP367" s="642" t="n"/>
      <c r="AQ367" s="643" t="n"/>
      <c r="AR367" s="643" t="n"/>
      <c r="AS367" s="643" t="n"/>
      <c r="AT367" s="621" t="n"/>
      <c r="AU367" s="621" t="n"/>
      <c r="AV367" s="621" t="n"/>
      <c r="AW367" s="621" t="n"/>
      <c r="AX367" s="659" t="n"/>
      <c r="AY367" s="659" t="n"/>
      <c r="AZ367" s="659" t="n"/>
      <c r="BA367" s="659" t="n"/>
      <c r="BB367" s="659" t="n"/>
      <c r="BC367" s="659" t="n"/>
      <c r="BD367" s="659" t="n"/>
      <c r="BE367" s="659" t="n"/>
      <c r="BF367" s="659" t="n"/>
      <c r="BG367" s="659" t="n"/>
      <c r="BH367" s="659" t="n"/>
      <c r="BI367" s="659" t="n"/>
      <c r="BJ367">
        <f>O367</f>
        <v/>
      </c>
      <c r="BK367">
        <f>SUM(AG367:AW367)</f>
        <v/>
      </c>
      <c r="BL367" s="531">
        <f>BJ367-BK367</f>
        <v/>
      </c>
      <c r="BM367" s="201" t="n"/>
      <c r="BN367" s="659" t="n"/>
      <c r="BO367" s="659" t="n"/>
      <c r="BP367" s="659" t="n"/>
      <c r="BQ367" s="659" t="n"/>
      <c r="BR367" s="659" t="n"/>
      <c r="BS367" s="659" t="n"/>
      <c r="BT367" s="659" t="n"/>
      <c r="BU367" s="659" t="n"/>
      <c r="BV367" s="659" t="n"/>
      <c r="BW367" s="659" t="n"/>
      <c r="BX367" s="488" t="n"/>
    </row>
    <row r="368" hidden="1" outlineLevel="1" ht="18" customFormat="1" customHeight="1" s="488">
      <c r="A368" s="658" t="n"/>
      <c r="L368" s="659" t="n"/>
      <c r="M368" s="658" t="n"/>
      <c r="P368" s="629" t="n"/>
      <c r="Q368" s="629" t="n"/>
      <c r="R368" s="629" t="n"/>
      <c r="S368" s="629" t="n"/>
      <c r="T368" s="629" t="n"/>
      <c r="U368" s="629" t="n"/>
      <c r="V368" s="629" t="n"/>
      <c r="W368" s="629" t="n"/>
      <c r="X368" s="629" t="n"/>
      <c r="Y368" s="651" t="n"/>
      <c r="Z368" s="651" t="n"/>
      <c r="AA368" s="653" t="n"/>
      <c r="AB368" s="653" t="n"/>
      <c r="AC368" s="616" t="n"/>
      <c r="AD368" s="616" t="n"/>
      <c r="AE368" s="616" t="n"/>
      <c r="AF368" s="616" t="n"/>
      <c r="AG368" s="637" t="n"/>
      <c r="AH368" s="637" t="n"/>
      <c r="AI368" s="637" t="n"/>
      <c r="AJ368" s="637" t="n"/>
      <c r="AK368" s="637" t="n"/>
      <c r="AL368" s="637" t="n"/>
      <c r="AM368" s="637" t="n"/>
      <c r="AN368" s="637" t="n"/>
      <c r="AO368" s="637" t="n"/>
      <c r="AP368" s="644" t="n"/>
      <c r="AQ368" s="645" t="n"/>
      <c r="AR368" s="644" t="n"/>
      <c r="AS368" s="646" t="n"/>
      <c r="AT368" s="622" t="n"/>
      <c r="AU368" s="620" t="n"/>
      <c r="AV368" s="620" t="n"/>
      <c r="AW368" s="620" t="n"/>
      <c r="BA368" s="494" t="n"/>
      <c r="BD368" s="494" t="n"/>
      <c r="BG368" s="494" t="n"/>
      <c r="BJ368">
        <f>O368</f>
        <v/>
      </c>
      <c r="BK368">
        <f>SUM(AG368:AW368)</f>
        <v/>
      </c>
      <c r="BL368" s="531">
        <f>BJ368-BK368</f>
        <v/>
      </c>
      <c r="BM368" s="201" t="n"/>
      <c r="BO368" s="494" t="n"/>
      <c r="BS368" s="494" t="n"/>
      <c r="BW368" s="494" t="n"/>
    </row>
    <row r="369" hidden="1" outlineLevel="1" s="191">
      <c r="P369" s="628" t="n"/>
      <c r="Q369" s="628" t="n"/>
      <c r="R369" s="628" t="n"/>
      <c r="S369" s="628" t="n"/>
      <c r="T369" s="628" t="n"/>
      <c r="U369" s="628" t="n"/>
      <c r="V369" s="628" t="n"/>
      <c r="W369" s="628" t="n"/>
      <c r="X369" s="628" t="n"/>
      <c r="Y369" s="650" t="n"/>
      <c r="Z369" s="650" t="n"/>
      <c r="AA369" s="650" t="n"/>
      <c r="AB369" s="650" t="n"/>
      <c r="AC369" s="613" t="n"/>
      <c r="AD369" s="613" t="n"/>
      <c r="AE369" s="613" t="n"/>
      <c r="AF369" s="613" t="n"/>
      <c r="AG369" s="626" t="n"/>
      <c r="AH369" s="626" t="n"/>
      <c r="AI369" s="626" t="n"/>
      <c r="AJ369" s="626" t="n"/>
      <c r="AK369" s="626" t="n"/>
      <c r="AL369" s="626" t="n"/>
      <c r="AM369" s="626" t="n"/>
      <c r="AN369" s="626" t="n"/>
      <c r="AO369" s="626" t="n"/>
      <c r="AP369" s="369" t="n"/>
      <c r="AQ369" s="369" t="n"/>
      <c r="AR369" s="369" t="n"/>
      <c r="AS369" s="369" t="n"/>
      <c r="AT369" s="370" t="n"/>
      <c r="AU369" s="370" t="n"/>
      <c r="AV369" s="370" t="n"/>
      <c r="AW369" s="370" t="n"/>
      <c r="BJ369">
        <f>O369</f>
        <v/>
      </c>
      <c r="BK369">
        <f>SUM(AG369:AW369)</f>
        <v/>
      </c>
      <c r="BL369" s="531">
        <f>BJ369-BK369</f>
        <v/>
      </c>
      <c r="BM369" s="201" t="n"/>
    </row>
    <row r="370" hidden="1" outlineLevel="1" s="191">
      <c r="P370" s="628" t="n"/>
      <c r="Q370" s="628" t="n"/>
      <c r="R370" s="628" t="n"/>
      <c r="S370" s="628" t="n"/>
      <c r="T370" s="628" t="n"/>
      <c r="U370" s="628" t="n"/>
      <c r="V370" s="628" t="n"/>
      <c r="W370" s="628" t="n"/>
      <c r="X370" s="628" t="n"/>
      <c r="Y370" s="650" t="n"/>
      <c r="Z370" s="650" t="n"/>
      <c r="AA370" s="650" t="n"/>
      <c r="AB370" s="650" t="n"/>
      <c r="AC370" s="613" t="n"/>
      <c r="AD370" s="613" t="n"/>
      <c r="AE370" s="613" t="n"/>
      <c r="AF370" s="613" t="n"/>
      <c r="AG370" s="626" t="n"/>
      <c r="AH370" s="626" t="n"/>
      <c r="AI370" s="626" t="n"/>
      <c r="AJ370" s="626" t="n"/>
      <c r="AK370" s="626" t="n"/>
      <c r="AL370" s="626" t="n"/>
      <c r="AM370" s="626" t="n"/>
      <c r="AN370" s="626" t="n"/>
      <c r="AO370" s="626" t="n"/>
      <c r="AP370" s="369" t="n"/>
      <c r="AQ370" s="369" t="n"/>
      <c r="AR370" s="369" t="n"/>
      <c r="AS370" s="369" t="n"/>
      <c r="AT370" s="370" t="n"/>
      <c r="AU370" s="370" t="n"/>
      <c r="AV370" s="370" t="n"/>
      <c r="AW370" s="370" t="n"/>
      <c r="BJ370">
        <f>O370</f>
        <v/>
      </c>
      <c r="BK370">
        <f>SUM(AG370:AW370)</f>
        <v/>
      </c>
      <c r="BL370" s="531">
        <f>BJ370-BK370</f>
        <v/>
      </c>
      <c r="BM370" s="201" t="n"/>
    </row>
    <row r="371" hidden="1" outlineLevel="1" s="191">
      <c r="P371" s="628" t="n"/>
      <c r="Q371" s="628" t="n"/>
      <c r="R371" s="628" t="n"/>
      <c r="S371" s="628" t="n"/>
      <c r="T371" s="628" t="n"/>
      <c r="U371" s="628" t="n"/>
      <c r="V371" s="628" t="n"/>
      <c r="W371" s="628" t="n"/>
      <c r="X371" s="628" t="n"/>
      <c r="Y371" s="650" t="n"/>
      <c r="Z371" s="650" t="n"/>
      <c r="AA371" s="650" t="n"/>
      <c r="AB371" s="650" t="n"/>
      <c r="AC371" s="613" t="n"/>
      <c r="AD371" s="613" t="n"/>
      <c r="AE371" s="613" t="n"/>
      <c r="AF371" s="613" t="n"/>
      <c r="AG371" s="626" t="n"/>
      <c r="AH371" s="626" t="n"/>
      <c r="AI371" s="626" t="n"/>
      <c r="AJ371" s="626" t="n"/>
      <c r="AK371" s="626" t="n"/>
      <c r="AL371" s="626" t="n"/>
      <c r="AM371" s="626" t="n"/>
      <c r="AN371" s="626" t="n"/>
      <c r="AO371" s="626" t="n"/>
      <c r="AP371" s="369" t="n"/>
      <c r="AQ371" s="369" t="n"/>
      <c r="AR371" s="369" t="n"/>
      <c r="AS371" s="369" t="n"/>
      <c r="AT371" s="370" t="n"/>
      <c r="AU371" s="370" t="n"/>
      <c r="AV371" s="370" t="n"/>
      <c r="AW371" s="370" t="n"/>
      <c r="BJ371">
        <f>O371</f>
        <v/>
      </c>
      <c r="BK371">
        <f>SUM(AG371:AW371)</f>
        <v/>
      </c>
      <c r="BL371" s="531">
        <f>BJ371-BK371</f>
        <v/>
      </c>
      <c r="BM371" s="201" t="n"/>
    </row>
    <row r="372" hidden="1" outlineLevel="1" s="191">
      <c r="P372" s="628" t="n"/>
      <c r="Q372" s="628" t="n"/>
      <c r="R372" s="628" t="n"/>
      <c r="S372" s="628" t="n"/>
      <c r="T372" s="628" t="n"/>
      <c r="U372" s="628" t="n"/>
      <c r="V372" s="628" t="n"/>
      <c r="W372" s="628" t="n"/>
      <c r="X372" s="628" t="n"/>
      <c r="Y372" s="650" t="n"/>
      <c r="Z372" s="650" t="n"/>
      <c r="AA372" s="650" t="n"/>
      <c r="AB372" s="650" t="n"/>
      <c r="AC372" s="613" t="n"/>
      <c r="AD372" s="613" t="n"/>
      <c r="AE372" s="613" t="n"/>
      <c r="AF372" s="613" t="n"/>
      <c r="AG372" s="626" t="n"/>
      <c r="AH372" s="626" t="n"/>
      <c r="AI372" s="626" t="n"/>
      <c r="AJ372" s="626" t="n"/>
      <c r="AK372" s="626" t="n"/>
      <c r="AL372" s="626" t="n"/>
      <c r="AM372" s="626" t="n"/>
      <c r="AN372" s="626" t="n"/>
      <c r="AO372" s="626" t="n"/>
      <c r="AP372" s="369" t="n"/>
      <c r="AQ372" s="369" t="n"/>
      <c r="AR372" s="369" t="n"/>
      <c r="AS372" s="369" t="n"/>
      <c r="AT372" s="370" t="n"/>
      <c r="AU372" s="370" t="n"/>
      <c r="AV372" s="370" t="n"/>
      <c r="AW372" s="370" t="n"/>
      <c r="BJ372">
        <f>O372</f>
        <v/>
      </c>
      <c r="BK372">
        <f>SUM(AG372:AW372)</f>
        <v/>
      </c>
      <c r="BL372" s="531">
        <f>BJ372-BK372</f>
        <v/>
      </c>
      <c r="BM372" s="201" t="n"/>
    </row>
    <row r="373" hidden="1" outlineLevel="1" s="191">
      <c r="P373" s="628" t="n"/>
      <c r="Q373" s="628" t="n"/>
      <c r="R373" s="628" t="n"/>
      <c r="S373" s="628" t="n"/>
      <c r="T373" s="628" t="n"/>
      <c r="U373" s="628" t="n"/>
      <c r="V373" s="628" t="n"/>
      <c r="W373" s="628" t="n"/>
      <c r="X373" s="628" t="n"/>
      <c r="Y373" s="650" t="n"/>
      <c r="Z373" s="650" t="n"/>
      <c r="AA373" s="650" t="n"/>
      <c r="AB373" s="650" t="n"/>
      <c r="AC373" s="613" t="n"/>
      <c r="AD373" s="613" t="n"/>
      <c r="AE373" s="613" t="n"/>
      <c r="AF373" s="613" t="n"/>
      <c r="AG373" s="626" t="n"/>
      <c r="AH373" s="626" t="n"/>
      <c r="AI373" s="626" t="n"/>
      <c r="AJ373" s="626" t="n"/>
      <c r="AK373" s="626" t="n"/>
      <c r="AL373" s="626" t="n"/>
      <c r="AM373" s="626" t="n"/>
      <c r="AN373" s="626" t="n"/>
      <c r="AO373" s="626" t="n"/>
      <c r="AP373" s="369" t="n"/>
      <c r="AQ373" s="369" t="n"/>
      <c r="AR373" s="369" t="n"/>
      <c r="AS373" s="369" t="n"/>
      <c r="AT373" s="370" t="n"/>
      <c r="AU373" s="370" t="n"/>
      <c r="AV373" s="370" t="n"/>
      <c r="AW373" s="370" t="n"/>
      <c r="BJ373">
        <f>O373</f>
        <v/>
      </c>
      <c r="BK373">
        <f>SUM(AG373:AW373)</f>
        <v/>
      </c>
      <c r="BL373" s="531">
        <f>BJ373-BK373</f>
        <v/>
      </c>
      <c r="BM373" s="201" t="n"/>
    </row>
    <row r="374" hidden="1" outlineLevel="1" s="191">
      <c r="P374" s="628" t="n"/>
      <c r="Q374" s="628" t="n"/>
      <c r="R374" s="628" t="n"/>
      <c r="S374" s="628" t="n"/>
      <c r="T374" s="628" t="n"/>
      <c r="U374" s="628" t="n"/>
      <c r="V374" s="628" t="n"/>
      <c r="W374" s="628" t="n"/>
      <c r="X374" s="628" t="n"/>
      <c r="Y374" s="650" t="n"/>
      <c r="Z374" s="650" t="n"/>
      <c r="AA374" s="650" t="n"/>
      <c r="AB374" s="650" t="n"/>
      <c r="AC374" s="613" t="n"/>
      <c r="AD374" s="613" t="n"/>
      <c r="AE374" s="613" t="n"/>
      <c r="AF374" s="613" t="n"/>
      <c r="AG374" s="626" t="n"/>
      <c r="AH374" s="626" t="n"/>
      <c r="AI374" s="626" t="n"/>
      <c r="AJ374" s="626" t="n"/>
      <c r="AK374" s="626" t="n"/>
      <c r="AL374" s="626" t="n"/>
      <c r="AM374" s="626" t="n"/>
      <c r="AN374" s="626" t="n"/>
      <c r="AO374" s="626" t="n"/>
      <c r="AP374" s="369" t="n"/>
      <c r="AQ374" s="369" t="n"/>
      <c r="AR374" s="369" t="n"/>
      <c r="AS374" s="369" t="n"/>
      <c r="AT374" s="370" t="n"/>
      <c r="AU374" s="370" t="n"/>
      <c r="AV374" s="370" t="n"/>
      <c r="AW374" s="370" t="n"/>
      <c r="BJ374">
        <f>O374</f>
        <v/>
      </c>
      <c r="BK374">
        <f>SUM(AG374:AW374)</f>
        <v/>
      </c>
      <c r="BL374" s="531">
        <f>BJ374-BK374</f>
        <v/>
      </c>
      <c r="BM374" s="201" t="n"/>
    </row>
    <row r="375" hidden="1" outlineLevel="1" s="191">
      <c r="P375" s="628" t="n"/>
      <c r="Q375" s="628" t="n"/>
      <c r="R375" s="628" t="n"/>
      <c r="S375" s="628" t="n"/>
      <c r="T375" s="628" t="n"/>
      <c r="U375" s="628" t="n"/>
      <c r="V375" s="628" t="n"/>
      <c r="W375" s="628" t="n"/>
      <c r="X375" s="628" t="n"/>
      <c r="Y375" s="650" t="n"/>
      <c r="Z375" s="650" t="n"/>
      <c r="AA375" s="650" t="n"/>
      <c r="AB375" s="650" t="n"/>
      <c r="AC375" s="613" t="n"/>
      <c r="AD375" s="613" t="n"/>
      <c r="AE375" s="613" t="n"/>
      <c r="AF375" s="613" t="n"/>
      <c r="AG375" s="626" t="n"/>
      <c r="AH375" s="626" t="n"/>
      <c r="AI375" s="626" t="n"/>
      <c r="AJ375" s="626" t="n"/>
      <c r="AK375" s="626" t="n"/>
      <c r="AL375" s="626" t="n"/>
      <c r="AM375" s="626" t="n"/>
      <c r="AN375" s="626" t="n"/>
      <c r="AO375" s="626" t="n"/>
      <c r="AP375" s="369" t="n"/>
      <c r="AQ375" s="369" t="n"/>
      <c r="AR375" s="369" t="n"/>
      <c r="AS375" s="369" t="n"/>
      <c r="AT375" s="370" t="n"/>
      <c r="AU375" s="370" t="n"/>
      <c r="AV375" s="370" t="n"/>
      <c r="AW375" s="370" t="n"/>
      <c r="BJ375">
        <f>O375</f>
        <v/>
      </c>
      <c r="BK375">
        <f>SUM(AG375:AW375)</f>
        <v/>
      </c>
      <c r="BL375" s="531">
        <f>BJ375-BK375</f>
        <v/>
      </c>
      <c r="BM375" s="201" t="n"/>
    </row>
    <row r="376" hidden="1" outlineLevel="1" s="191">
      <c r="P376" s="628" t="n"/>
      <c r="Q376" s="628" t="n"/>
      <c r="R376" s="628" t="n"/>
      <c r="S376" s="628" t="n"/>
      <c r="T376" s="628" t="n"/>
      <c r="U376" s="628" t="n"/>
      <c r="V376" s="628" t="n"/>
      <c r="W376" s="628" t="n"/>
      <c r="X376" s="628" t="n"/>
      <c r="Y376" s="650" t="n"/>
      <c r="Z376" s="650" t="n"/>
      <c r="AA376" s="650" t="n"/>
      <c r="AB376" s="650" t="n"/>
      <c r="AC376" s="613" t="n"/>
      <c r="AD376" s="613" t="n"/>
      <c r="AE376" s="613" t="n"/>
      <c r="AF376" s="613" t="n"/>
      <c r="AG376" s="626" t="n"/>
      <c r="AH376" s="626" t="n"/>
      <c r="AI376" s="626" t="n"/>
      <c r="AJ376" s="626" t="n"/>
      <c r="AK376" s="626" t="n"/>
      <c r="AL376" s="626" t="n"/>
      <c r="AM376" s="626" t="n"/>
      <c r="AN376" s="626" t="n"/>
      <c r="AO376" s="626" t="n"/>
      <c r="AP376" s="369" t="n"/>
      <c r="AQ376" s="369" t="n"/>
      <c r="AR376" s="369" t="n"/>
      <c r="AS376" s="369" t="n"/>
      <c r="AT376" s="370" t="n"/>
      <c r="AU376" s="370" t="n"/>
      <c r="AV376" s="370" t="n"/>
      <c r="AW376" s="370" t="n"/>
      <c r="BJ376">
        <f>O376</f>
        <v/>
      </c>
      <c r="BK376">
        <f>SUM(AG376:AW376)</f>
        <v/>
      </c>
      <c r="BL376" s="531">
        <f>BJ376-BK376</f>
        <v/>
      </c>
      <c r="BM376" s="201" t="n"/>
    </row>
    <row r="377" hidden="1" outlineLevel="1" s="191">
      <c r="P377" s="628" t="n"/>
      <c r="Q377" s="628" t="n"/>
      <c r="R377" s="628" t="n"/>
      <c r="S377" s="628" t="n"/>
      <c r="T377" s="628" t="n"/>
      <c r="U377" s="628" t="n"/>
      <c r="V377" s="628" t="n"/>
      <c r="W377" s="628" t="n"/>
      <c r="X377" s="628" t="n"/>
      <c r="Y377" s="650" t="n"/>
      <c r="Z377" s="650" t="n"/>
      <c r="AA377" s="650" t="n"/>
      <c r="AB377" s="650" t="n"/>
      <c r="AC377" s="613" t="n"/>
      <c r="AD377" s="613" t="n"/>
      <c r="AE377" s="613" t="n"/>
      <c r="AF377" s="613" t="n"/>
      <c r="AG377" s="626" t="n"/>
      <c r="AH377" s="626" t="n"/>
      <c r="AI377" s="626" t="n"/>
      <c r="AJ377" s="626" t="n"/>
      <c r="AK377" s="626" t="n"/>
      <c r="AL377" s="626" t="n"/>
      <c r="AM377" s="626" t="n"/>
      <c r="AN377" s="626" t="n"/>
      <c r="AO377" s="626" t="n"/>
      <c r="AP377" s="369" t="n"/>
      <c r="AQ377" s="369" t="n"/>
      <c r="AR377" s="369" t="n"/>
      <c r="AS377" s="369" t="n"/>
      <c r="AT377" s="370" t="n"/>
      <c r="AU377" s="370" t="n"/>
      <c r="AV377" s="370" t="n"/>
      <c r="AW377" s="370" t="n"/>
      <c r="BJ377">
        <f>O377</f>
        <v/>
      </c>
      <c r="BK377">
        <f>SUM(AG377:AW377)</f>
        <v/>
      </c>
      <c r="BL377" s="531">
        <f>BJ377-BK377</f>
        <v/>
      </c>
      <c r="BM377" s="201" t="n"/>
    </row>
    <row r="378" hidden="1" outlineLevel="1" s="191">
      <c r="P378" s="628" t="n"/>
      <c r="Q378" s="628" t="n"/>
      <c r="R378" s="628" t="n"/>
      <c r="S378" s="628" t="n"/>
      <c r="T378" s="628" t="n"/>
      <c r="U378" s="628" t="n"/>
      <c r="V378" s="628" t="n"/>
      <c r="W378" s="628" t="n"/>
      <c r="X378" s="628" t="n"/>
      <c r="Y378" s="650" t="n"/>
      <c r="Z378" s="650" t="n"/>
      <c r="AA378" s="650" t="n"/>
      <c r="AB378" s="650" t="n"/>
      <c r="AC378" s="613" t="n"/>
      <c r="AD378" s="613" t="n"/>
      <c r="AE378" s="613" t="n"/>
      <c r="AF378" s="613" t="n"/>
      <c r="AG378" s="626" t="n"/>
      <c r="AH378" s="626" t="n"/>
      <c r="AI378" s="626" t="n"/>
      <c r="AJ378" s="626" t="n"/>
      <c r="AK378" s="626" t="n"/>
      <c r="AL378" s="626" t="n"/>
      <c r="AM378" s="626" t="n"/>
      <c r="AN378" s="626" t="n"/>
      <c r="AO378" s="626" t="n"/>
      <c r="AP378" s="369" t="n"/>
      <c r="AQ378" s="369" t="n"/>
      <c r="AR378" s="369" t="n"/>
      <c r="AS378" s="369" t="n"/>
      <c r="AT378" s="370" t="n"/>
      <c r="AU378" s="370" t="n"/>
      <c r="AV378" s="370" t="n"/>
      <c r="AW378" s="370" t="n"/>
      <c r="BJ378">
        <f>O378</f>
        <v/>
      </c>
      <c r="BK378">
        <f>SUM(AG378:AW378)</f>
        <v/>
      </c>
      <c r="BL378" s="531">
        <f>BJ378-BK378</f>
        <v/>
      </c>
      <c r="BM378" s="201" t="n"/>
    </row>
    <row r="379" hidden="1" outlineLevel="1" s="191">
      <c r="P379" s="628" t="n"/>
      <c r="Q379" s="628" t="n"/>
      <c r="R379" s="628" t="n"/>
      <c r="S379" s="628" t="n"/>
      <c r="T379" s="628" t="n"/>
      <c r="U379" s="628" t="n"/>
      <c r="V379" s="628" t="n"/>
      <c r="W379" s="628" t="n"/>
      <c r="X379" s="628" t="n"/>
      <c r="Y379" s="650" t="n"/>
      <c r="Z379" s="650" t="n"/>
      <c r="AA379" s="650" t="n"/>
      <c r="AB379" s="650" t="n"/>
      <c r="AC379" s="613" t="n"/>
      <c r="AD379" s="613" t="n"/>
      <c r="AE379" s="613" t="n"/>
      <c r="AF379" s="613" t="n"/>
      <c r="AG379" s="626" t="n"/>
      <c r="AH379" s="626" t="n"/>
      <c r="AI379" s="626" t="n"/>
      <c r="AJ379" s="626" t="n"/>
      <c r="AK379" s="626" t="n"/>
      <c r="AL379" s="626" t="n"/>
      <c r="AM379" s="626" t="n"/>
      <c r="AN379" s="626" t="n"/>
      <c r="AO379" s="626" t="n"/>
      <c r="AP379" s="369" t="n"/>
      <c r="AQ379" s="369" t="n"/>
      <c r="AR379" s="369" t="n"/>
      <c r="AS379" s="369" t="n"/>
      <c r="AT379" s="370" t="n"/>
      <c r="AU379" s="370" t="n"/>
      <c r="AV379" s="370" t="n"/>
      <c r="AW379" s="370" t="n"/>
      <c r="BJ379">
        <f>O379</f>
        <v/>
      </c>
      <c r="BK379">
        <f>SUM(AG379:AW379)</f>
        <v/>
      </c>
      <c r="BL379" s="531">
        <f>BJ379-BK379</f>
        <v/>
      </c>
      <c r="BM379" s="201" t="n"/>
    </row>
    <row r="380" hidden="1" outlineLevel="1" s="191">
      <c r="P380" s="628" t="n"/>
      <c r="Q380" s="628" t="n"/>
      <c r="R380" s="628" t="n"/>
      <c r="S380" s="628" t="n"/>
      <c r="T380" s="628" t="n"/>
      <c r="U380" s="628" t="n"/>
      <c r="V380" s="628" t="n"/>
      <c r="W380" s="628" t="n"/>
      <c r="X380" s="628" t="n"/>
      <c r="Y380" s="650" t="n"/>
      <c r="Z380" s="650" t="n"/>
      <c r="AA380" s="650" t="n"/>
      <c r="AB380" s="650" t="n"/>
      <c r="AC380" s="613" t="n"/>
      <c r="AD380" s="613" t="n"/>
      <c r="AE380" s="613" t="n"/>
      <c r="AF380" s="613" t="n"/>
      <c r="AG380" s="626" t="n"/>
      <c r="AH380" s="626" t="n"/>
      <c r="AI380" s="626" t="n"/>
      <c r="AJ380" s="626" t="n"/>
      <c r="AK380" s="626" t="n"/>
      <c r="AL380" s="626" t="n"/>
      <c r="AM380" s="626" t="n"/>
      <c r="AN380" s="626" t="n"/>
      <c r="AO380" s="626" t="n"/>
      <c r="AP380" s="369" t="n"/>
      <c r="AQ380" s="369" t="n"/>
      <c r="AR380" s="369" t="n"/>
      <c r="AS380" s="369" t="n"/>
      <c r="AT380" s="370" t="n"/>
      <c r="AU380" s="370" t="n"/>
      <c r="AV380" s="370" t="n"/>
      <c r="AW380" s="370" t="n"/>
      <c r="BJ380">
        <f>O380</f>
        <v/>
      </c>
      <c r="BK380">
        <f>SUM(AG380:AW380)</f>
        <v/>
      </c>
      <c r="BL380" s="531">
        <f>BJ380-BK380</f>
        <v/>
      </c>
      <c r="BM380" s="201" t="n"/>
    </row>
    <row r="381" hidden="1" outlineLevel="1" s="191">
      <c r="P381" s="628" t="n"/>
      <c r="Q381" s="628" t="n"/>
      <c r="R381" s="628" t="n"/>
      <c r="S381" s="628" t="n"/>
      <c r="T381" s="628" t="n"/>
      <c r="U381" s="628" t="n"/>
      <c r="V381" s="628" t="n"/>
      <c r="W381" s="628" t="n"/>
      <c r="X381" s="628" t="n"/>
      <c r="Y381" s="650" t="n"/>
      <c r="Z381" s="650" t="n"/>
      <c r="AA381" s="650" t="n"/>
      <c r="AB381" s="650" t="n"/>
      <c r="AC381" s="613" t="n"/>
      <c r="AD381" s="613" t="n"/>
      <c r="AE381" s="613" t="n"/>
      <c r="AF381" s="613" t="n"/>
      <c r="AG381" s="626" t="n"/>
      <c r="AH381" s="626" t="n"/>
      <c r="AI381" s="626" t="n"/>
      <c r="AJ381" s="626" t="n"/>
      <c r="AK381" s="626" t="n"/>
      <c r="AL381" s="626" t="n"/>
      <c r="AM381" s="626" t="n"/>
      <c r="AN381" s="626" t="n"/>
      <c r="AO381" s="626" t="n"/>
      <c r="AP381" s="369" t="n"/>
      <c r="AQ381" s="369" t="n"/>
      <c r="AR381" s="369" t="n"/>
      <c r="AS381" s="369" t="n"/>
      <c r="AT381" s="370" t="n"/>
      <c r="AU381" s="370" t="n"/>
      <c r="AV381" s="370" t="n"/>
      <c r="AW381" s="370" t="n"/>
      <c r="BJ381">
        <f>O381</f>
        <v/>
      </c>
      <c r="BK381">
        <f>SUM(AG381:AW381)</f>
        <v/>
      </c>
      <c r="BL381" s="531">
        <f>BJ381-BK381</f>
        <v/>
      </c>
      <c r="BM381" s="201" t="n"/>
    </row>
    <row r="382" hidden="1" outlineLevel="1" s="191">
      <c r="P382" s="628" t="n"/>
      <c r="Q382" s="628" t="n"/>
      <c r="R382" s="628" t="n"/>
      <c r="S382" s="628" t="n"/>
      <c r="T382" s="628" t="n"/>
      <c r="U382" s="628" t="n"/>
      <c r="V382" s="628" t="n"/>
      <c r="W382" s="628" t="n"/>
      <c r="X382" s="628" t="n"/>
      <c r="Y382" s="650" t="n"/>
      <c r="Z382" s="650" t="n"/>
      <c r="AA382" s="650" t="n"/>
      <c r="AB382" s="650" t="n"/>
      <c r="AC382" s="613" t="n"/>
      <c r="AD382" s="613" t="n"/>
      <c r="AE382" s="613" t="n"/>
      <c r="AF382" s="613" t="n"/>
      <c r="AG382" s="626" t="n"/>
      <c r="AH382" s="626" t="n"/>
      <c r="AI382" s="626" t="n"/>
      <c r="AJ382" s="626" t="n"/>
      <c r="AK382" s="626" t="n"/>
      <c r="AL382" s="626" t="n"/>
      <c r="AM382" s="626" t="n"/>
      <c r="AN382" s="626" t="n"/>
      <c r="AO382" s="626" t="n"/>
      <c r="AP382" s="369" t="n"/>
      <c r="AQ382" s="369" t="n"/>
      <c r="AR382" s="369" t="n"/>
      <c r="AS382" s="369" t="n"/>
      <c r="AT382" s="370" t="n"/>
      <c r="AU382" s="370" t="n"/>
      <c r="AV382" s="370" t="n"/>
      <c r="AW382" s="370" t="n"/>
      <c r="BJ382">
        <f>O382</f>
        <v/>
      </c>
      <c r="BK382">
        <f>SUM(AG382:AW382)</f>
        <v/>
      </c>
      <c r="BL382" s="531">
        <f>BJ382-BK382</f>
        <v/>
      </c>
      <c r="BM382" s="201" t="n"/>
    </row>
    <row r="383" hidden="1" outlineLevel="1" s="191">
      <c r="P383" s="628" t="n"/>
      <c r="Q383" s="628" t="n"/>
      <c r="R383" s="628" t="n"/>
      <c r="S383" s="628" t="n"/>
      <c r="T383" s="628" t="n"/>
      <c r="U383" s="628" t="n"/>
      <c r="V383" s="628" t="n"/>
      <c r="W383" s="628" t="n"/>
      <c r="X383" s="628" t="n"/>
      <c r="Y383" s="650" t="n"/>
      <c r="Z383" s="650" t="n"/>
      <c r="AA383" s="650" t="n"/>
      <c r="AB383" s="650" t="n"/>
      <c r="AC383" s="613" t="n"/>
      <c r="AD383" s="613" t="n"/>
      <c r="AE383" s="613" t="n"/>
      <c r="AF383" s="613" t="n"/>
      <c r="AG383" s="626" t="n"/>
      <c r="AH383" s="626" t="n"/>
      <c r="AI383" s="626" t="n"/>
      <c r="AJ383" s="626" t="n"/>
      <c r="AK383" s="626" t="n"/>
      <c r="AL383" s="626" t="n"/>
      <c r="AM383" s="626" t="n"/>
      <c r="AN383" s="626" t="n"/>
      <c r="AO383" s="626" t="n"/>
      <c r="AP383" s="369" t="n"/>
      <c r="AQ383" s="369" t="n"/>
      <c r="AR383" s="369" t="n"/>
      <c r="AS383" s="369" t="n"/>
      <c r="AT383" s="370" t="n"/>
      <c r="AU383" s="370" t="n"/>
      <c r="AV383" s="370" t="n"/>
      <c r="AW383" s="370" t="n"/>
      <c r="BJ383">
        <f>O383</f>
        <v/>
      </c>
      <c r="BK383">
        <f>SUM(AG383:AW383)</f>
        <v/>
      </c>
      <c r="BL383" s="531">
        <f>BJ383-BK383</f>
        <v/>
      </c>
      <c r="BM383" s="201" t="n"/>
    </row>
    <row r="384" hidden="1" outlineLevel="1" s="191">
      <c r="P384" s="628" t="n"/>
      <c r="Q384" s="628" t="n"/>
      <c r="R384" s="628" t="n"/>
      <c r="S384" s="628" t="n"/>
      <c r="T384" s="628" t="n"/>
      <c r="U384" s="628" t="n"/>
      <c r="V384" s="628" t="n"/>
      <c r="W384" s="628" t="n"/>
      <c r="X384" s="628" t="n"/>
      <c r="Y384" s="650" t="n"/>
      <c r="Z384" s="650" t="n"/>
      <c r="AA384" s="650" t="n"/>
      <c r="AB384" s="650" t="n"/>
      <c r="AC384" s="613" t="n"/>
      <c r="AD384" s="613" t="n"/>
      <c r="AE384" s="613" t="n"/>
      <c r="AF384" s="613" t="n"/>
      <c r="AG384" s="626" t="n"/>
      <c r="AH384" s="626" t="n"/>
      <c r="AI384" s="626" t="n"/>
      <c r="AJ384" s="626" t="n"/>
      <c r="AK384" s="626" t="n"/>
      <c r="AL384" s="626" t="n"/>
      <c r="AM384" s="626" t="n"/>
      <c r="AN384" s="626" t="n"/>
      <c r="AO384" s="626" t="n"/>
      <c r="AP384" s="369" t="n"/>
      <c r="AQ384" s="369" t="n"/>
      <c r="AR384" s="369" t="n"/>
      <c r="AS384" s="369" t="n"/>
      <c r="AT384" s="370" t="n"/>
      <c r="AU384" s="370" t="n"/>
      <c r="AV384" s="370" t="n"/>
      <c r="AW384" s="370" t="n"/>
      <c r="BJ384">
        <f>O384</f>
        <v/>
      </c>
      <c r="BK384">
        <f>SUM(AG384:AW384)</f>
        <v/>
      </c>
      <c r="BL384" s="531">
        <f>BJ384-BK384</f>
        <v/>
      </c>
      <c r="BM384" s="201" t="n"/>
    </row>
    <row r="385" hidden="1" outlineLevel="1" s="191">
      <c r="P385" s="628" t="n"/>
      <c r="Q385" s="628" t="n"/>
      <c r="R385" s="628" t="n"/>
      <c r="S385" s="628" t="n"/>
      <c r="T385" s="628" t="n"/>
      <c r="U385" s="628" t="n"/>
      <c r="V385" s="628" t="n"/>
      <c r="W385" s="628" t="n"/>
      <c r="X385" s="628" t="n"/>
      <c r="Y385" s="650" t="n"/>
      <c r="Z385" s="650" t="n"/>
      <c r="AA385" s="650" t="n"/>
      <c r="AB385" s="650" t="n"/>
      <c r="AC385" s="613" t="n"/>
      <c r="AD385" s="613" t="n"/>
      <c r="AE385" s="613" t="n"/>
      <c r="AF385" s="613" t="n"/>
      <c r="AG385" s="626" t="n"/>
      <c r="AH385" s="626" t="n"/>
      <c r="AI385" s="626" t="n"/>
      <c r="AJ385" s="626" t="n"/>
      <c r="AK385" s="626" t="n"/>
      <c r="AL385" s="626" t="n"/>
      <c r="AM385" s="626" t="n"/>
      <c r="AN385" s="626" t="n"/>
      <c r="AO385" s="626" t="n"/>
      <c r="AP385" s="369" t="n"/>
      <c r="AQ385" s="369" t="n"/>
      <c r="AR385" s="369" t="n"/>
      <c r="AS385" s="369" t="n"/>
      <c r="AT385" s="370" t="n"/>
      <c r="AU385" s="370" t="n"/>
      <c r="AV385" s="370" t="n"/>
      <c r="AW385" s="370" t="n"/>
      <c r="BJ385">
        <f>O385</f>
        <v/>
      </c>
      <c r="BK385">
        <f>SUM(AG385:AW385)</f>
        <v/>
      </c>
      <c r="BL385" s="531">
        <f>BJ385-BK385</f>
        <v/>
      </c>
      <c r="BM385" s="201" t="n"/>
    </row>
    <row r="386" hidden="1" outlineLevel="1" s="191">
      <c r="P386" s="628" t="n"/>
      <c r="Q386" s="628" t="n"/>
      <c r="R386" s="628" t="n"/>
      <c r="S386" s="628" t="n"/>
      <c r="T386" s="628" t="n"/>
      <c r="U386" s="628" t="n"/>
      <c r="V386" s="628" t="n"/>
      <c r="W386" s="628" t="n"/>
      <c r="X386" s="628" t="n"/>
      <c r="Y386" s="650" t="n"/>
      <c r="Z386" s="650" t="n"/>
      <c r="AA386" s="650" t="n"/>
      <c r="AB386" s="650" t="n"/>
      <c r="AC386" s="613" t="n"/>
      <c r="AD386" s="613" t="n"/>
      <c r="AE386" s="613" t="n"/>
      <c r="AF386" s="613" t="n"/>
      <c r="AG386" s="626" t="n"/>
      <c r="AH386" s="626" t="n"/>
      <c r="AI386" s="626" t="n"/>
      <c r="AJ386" s="626" t="n"/>
      <c r="AK386" s="626" t="n"/>
      <c r="AL386" s="626" t="n"/>
      <c r="AM386" s="626" t="n"/>
      <c r="AN386" s="626" t="n"/>
      <c r="AO386" s="626" t="n"/>
      <c r="AP386" s="369" t="n"/>
      <c r="AQ386" s="369" t="n"/>
      <c r="AR386" s="369" t="n"/>
      <c r="AS386" s="369" t="n"/>
      <c r="AT386" s="370" t="n"/>
      <c r="AU386" s="370" t="n"/>
      <c r="AV386" s="370" t="n"/>
      <c r="AW386" s="370" t="n"/>
      <c r="BJ386">
        <f>O386</f>
        <v/>
      </c>
      <c r="BK386">
        <f>SUM(AG386:AW386)</f>
        <v/>
      </c>
      <c r="BL386" s="531">
        <f>BJ386-BK386</f>
        <v/>
      </c>
      <c r="BM386" s="201" t="n"/>
    </row>
    <row r="387" hidden="1" outlineLevel="1" s="191">
      <c r="P387" s="628" t="n"/>
      <c r="Q387" s="628" t="n"/>
      <c r="R387" s="628" t="n"/>
      <c r="S387" s="628" t="n"/>
      <c r="T387" s="628" t="n"/>
      <c r="U387" s="628" t="n"/>
      <c r="V387" s="628" t="n"/>
      <c r="W387" s="628" t="n"/>
      <c r="X387" s="628" t="n"/>
      <c r="Y387" s="650" t="n"/>
      <c r="Z387" s="650" t="n"/>
      <c r="AA387" s="650" t="n"/>
      <c r="AB387" s="650" t="n"/>
      <c r="AC387" s="613" t="n"/>
      <c r="AD387" s="613" t="n"/>
      <c r="AE387" s="613" t="n"/>
      <c r="AF387" s="613" t="n"/>
      <c r="AG387" s="626" t="n"/>
      <c r="AH387" s="626" t="n"/>
      <c r="AI387" s="626" t="n"/>
      <c r="AJ387" s="626" t="n"/>
      <c r="AK387" s="626" t="n"/>
      <c r="AL387" s="626" t="n"/>
      <c r="AM387" s="626" t="n"/>
      <c r="AN387" s="626" t="n"/>
      <c r="AO387" s="626" t="n"/>
      <c r="AP387" s="369" t="n"/>
      <c r="AQ387" s="369" t="n"/>
      <c r="AR387" s="369" t="n"/>
      <c r="AS387" s="369" t="n"/>
      <c r="AT387" s="370" t="n"/>
      <c r="AU387" s="370" t="n"/>
      <c r="AV387" s="370" t="n"/>
      <c r="AW387" s="370" t="n"/>
      <c r="BJ387">
        <f>O387</f>
        <v/>
      </c>
      <c r="BK387">
        <f>SUM(AG387:AW387)</f>
        <v/>
      </c>
      <c r="BL387" s="531">
        <f>BJ387-BK387</f>
        <v/>
      </c>
      <c r="BM387" s="201" t="n"/>
    </row>
    <row r="388" hidden="1" outlineLevel="1" s="191">
      <c r="P388" s="628" t="n"/>
      <c r="Q388" s="628" t="n"/>
      <c r="R388" s="628" t="n"/>
      <c r="S388" s="628" t="n"/>
      <c r="T388" s="628" t="n"/>
      <c r="U388" s="628" t="n"/>
      <c r="V388" s="628" t="n"/>
      <c r="W388" s="628" t="n"/>
      <c r="X388" s="628" t="n"/>
      <c r="Y388" s="650" t="n"/>
      <c r="Z388" s="650" t="n"/>
      <c r="AA388" s="650" t="n"/>
      <c r="AB388" s="650" t="n"/>
      <c r="AC388" s="613" t="n"/>
      <c r="AD388" s="613" t="n"/>
      <c r="AE388" s="613" t="n"/>
      <c r="AF388" s="613" t="n"/>
      <c r="AG388" s="626" t="n"/>
      <c r="AH388" s="626" t="n"/>
      <c r="AI388" s="626" t="n"/>
      <c r="AJ388" s="626" t="n"/>
      <c r="AK388" s="626" t="n"/>
      <c r="AL388" s="626" t="n"/>
      <c r="AM388" s="626" t="n"/>
      <c r="AN388" s="626" t="n"/>
      <c r="AO388" s="626" t="n"/>
      <c r="AP388" s="369" t="n"/>
      <c r="AQ388" s="369" t="n"/>
      <c r="AR388" s="369" t="n"/>
      <c r="AS388" s="369" t="n"/>
      <c r="AT388" s="370" t="n"/>
      <c r="AU388" s="370" t="n"/>
      <c r="AV388" s="370" t="n"/>
      <c r="AW388" s="370" t="n"/>
      <c r="BJ388">
        <f>O388</f>
        <v/>
      </c>
      <c r="BK388">
        <f>SUM(AG388:AW388)</f>
        <v/>
      </c>
      <c r="BL388" s="531">
        <f>BJ388-BK388</f>
        <v/>
      </c>
      <c r="BM388" s="201" t="n"/>
    </row>
    <row r="389" hidden="1" outlineLevel="1" s="191">
      <c r="P389" s="628" t="n"/>
      <c r="Q389" s="628" t="n"/>
      <c r="R389" s="628" t="n"/>
      <c r="S389" s="628" t="n"/>
      <c r="T389" s="628" t="n"/>
      <c r="U389" s="628" t="n"/>
      <c r="V389" s="628" t="n"/>
      <c r="W389" s="628" t="n"/>
      <c r="X389" s="628" t="n"/>
      <c r="Y389" s="650" t="n"/>
      <c r="Z389" s="650" t="n"/>
      <c r="AA389" s="650" t="n"/>
      <c r="AB389" s="650" t="n"/>
      <c r="AC389" s="613" t="n"/>
      <c r="AD389" s="613" t="n"/>
      <c r="AE389" s="613" t="n"/>
      <c r="AF389" s="613" t="n"/>
      <c r="AG389" s="626" t="n"/>
      <c r="AH389" s="626" t="n"/>
      <c r="AI389" s="626" t="n"/>
      <c r="AJ389" s="626" t="n"/>
      <c r="AK389" s="626" t="n"/>
      <c r="AL389" s="626" t="n"/>
      <c r="AM389" s="626" t="n"/>
      <c r="AN389" s="626" t="n"/>
      <c r="AO389" s="626" t="n"/>
      <c r="AP389" s="369" t="n"/>
      <c r="AQ389" s="369" t="n"/>
      <c r="AR389" s="369" t="n"/>
      <c r="AS389" s="369" t="n"/>
      <c r="AT389" s="370" t="n"/>
      <c r="AU389" s="370" t="n"/>
      <c r="AV389" s="370" t="n"/>
      <c r="AW389" s="370" t="n"/>
      <c r="BJ389">
        <f>O389</f>
        <v/>
      </c>
      <c r="BK389">
        <f>SUM(AG389:AW389)</f>
        <v/>
      </c>
      <c r="BL389" s="531">
        <f>BJ389-BK389</f>
        <v/>
      </c>
      <c r="BM389" s="201" t="n"/>
    </row>
    <row r="390" hidden="1" outlineLevel="1" s="191">
      <c r="P390" s="628" t="n"/>
      <c r="Q390" s="628" t="n"/>
      <c r="R390" s="628" t="n"/>
      <c r="S390" s="628" t="n"/>
      <c r="T390" s="628" t="n"/>
      <c r="U390" s="628" t="n"/>
      <c r="V390" s="628" t="n"/>
      <c r="W390" s="628" t="n"/>
      <c r="X390" s="628" t="n"/>
      <c r="Y390" s="650" t="n"/>
      <c r="Z390" s="650" t="n"/>
      <c r="AA390" s="650" t="n"/>
      <c r="AB390" s="650" t="n"/>
      <c r="AC390" s="613" t="n"/>
      <c r="AD390" s="613" t="n"/>
      <c r="AE390" s="613" t="n"/>
      <c r="AF390" s="613" t="n"/>
      <c r="AG390" s="626" t="n"/>
      <c r="AH390" s="626" t="n"/>
      <c r="AI390" s="626" t="n"/>
      <c r="AJ390" s="626" t="n"/>
      <c r="AK390" s="626" t="n"/>
      <c r="AL390" s="626" t="n"/>
      <c r="AM390" s="626" t="n"/>
      <c r="AN390" s="626" t="n"/>
      <c r="AO390" s="626" t="n"/>
      <c r="AP390" s="369" t="n"/>
      <c r="AQ390" s="369" t="n"/>
      <c r="AR390" s="369" t="n"/>
      <c r="AS390" s="369" t="n"/>
      <c r="AT390" s="370" t="n"/>
      <c r="AU390" s="370" t="n"/>
      <c r="AV390" s="370" t="n"/>
      <c r="AW390" s="370" t="n"/>
      <c r="BJ390">
        <f>O390</f>
        <v/>
      </c>
      <c r="BK390">
        <f>SUM(AG390:AW390)</f>
        <v/>
      </c>
      <c r="BL390" s="531">
        <f>BJ390-BK390</f>
        <v/>
      </c>
      <c r="BM390" s="201" t="n"/>
    </row>
    <row r="391" hidden="1" outlineLevel="1" s="191">
      <c r="P391" s="628" t="n"/>
      <c r="Q391" s="628" t="n"/>
      <c r="R391" s="628" t="n"/>
      <c r="S391" s="628" t="n"/>
      <c r="T391" s="628" t="n"/>
      <c r="U391" s="628" t="n"/>
      <c r="V391" s="628" t="n"/>
      <c r="W391" s="628" t="n"/>
      <c r="X391" s="628" t="n"/>
      <c r="Y391" s="650" t="n"/>
      <c r="Z391" s="650" t="n"/>
      <c r="AA391" s="650" t="n"/>
      <c r="AB391" s="650" t="n"/>
      <c r="AC391" s="613" t="n"/>
      <c r="AD391" s="613" t="n"/>
      <c r="AE391" s="613" t="n"/>
      <c r="AF391" s="613" t="n"/>
      <c r="AG391" s="626" t="n"/>
      <c r="AH391" s="626" t="n"/>
      <c r="AI391" s="626" t="n"/>
      <c r="AJ391" s="626" t="n"/>
      <c r="AK391" s="626" t="n"/>
      <c r="AL391" s="626" t="n"/>
      <c r="AM391" s="626" t="n"/>
      <c r="AN391" s="626" t="n"/>
      <c r="AO391" s="626" t="n"/>
      <c r="AP391" s="369" t="n"/>
      <c r="AQ391" s="369" t="n"/>
      <c r="AR391" s="369" t="n"/>
      <c r="AS391" s="369" t="n"/>
      <c r="AT391" s="370" t="n"/>
      <c r="AU391" s="370" t="n"/>
      <c r="AV391" s="370" t="n"/>
      <c r="AW391" s="370" t="n"/>
      <c r="BJ391">
        <f>O391</f>
        <v/>
      </c>
      <c r="BK391">
        <f>SUM(AG391:AW391)</f>
        <v/>
      </c>
      <c r="BL391" s="531">
        <f>BJ391-BK391</f>
        <v/>
      </c>
      <c r="BM391" s="201" t="n"/>
    </row>
    <row r="392" hidden="1" outlineLevel="1" s="191">
      <c r="P392" s="628" t="n"/>
      <c r="Q392" s="628" t="n"/>
      <c r="R392" s="628" t="n"/>
      <c r="S392" s="628" t="n"/>
      <c r="T392" s="628" t="n"/>
      <c r="U392" s="628" t="n"/>
      <c r="V392" s="628" t="n"/>
      <c r="W392" s="628" t="n"/>
      <c r="X392" s="628" t="n"/>
      <c r="Y392" s="650" t="n"/>
      <c r="Z392" s="650" t="n"/>
      <c r="AA392" s="650" t="n"/>
      <c r="AB392" s="650" t="n"/>
      <c r="AC392" s="613" t="n"/>
      <c r="AD392" s="613" t="n"/>
      <c r="AE392" s="613" t="n"/>
      <c r="AF392" s="613" t="n"/>
      <c r="AG392" s="626" t="n"/>
      <c r="AH392" s="626" t="n"/>
      <c r="AI392" s="626" t="n"/>
      <c r="AJ392" s="626" t="n"/>
      <c r="AK392" s="626" t="n"/>
      <c r="AL392" s="626" t="n"/>
      <c r="AM392" s="626" t="n"/>
      <c r="AN392" s="626" t="n"/>
      <c r="AO392" s="626" t="n"/>
      <c r="AP392" s="369" t="n"/>
      <c r="AQ392" s="369" t="n"/>
      <c r="AR392" s="369" t="n"/>
      <c r="AS392" s="369" t="n"/>
      <c r="AT392" s="370" t="n"/>
      <c r="AU392" s="370" t="n"/>
      <c r="AV392" s="370" t="n"/>
      <c r="AW392" s="370" t="n"/>
      <c r="BJ392">
        <f>O392</f>
        <v/>
      </c>
      <c r="BK392">
        <f>SUM(AG392:AW392)</f>
        <v/>
      </c>
      <c r="BL392" s="531">
        <f>BJ392-BK392</f>
        <v/>
      </c>
      <c r="BM392" s="201" t="n"/>
    </row>
    <row r="393" hidden="1" outlineLevel="1" s="191">
      <c r="P393" s="628" t="n"/>
      <c r="Q393" s="628" t="n"/>
      <c r="R393" s="628" t="n"/>
      <c r="S393" s="628" t="n"/>
      <c r="T393" s="628" t="n"/>
      <c r="U393" s="628" t="n"/>
      <c r="V393" s="628" t="n"/>
      <c r="W393" s="628" t="n"/>
      <c r="X393" s="628" t="n"/>
      <c r="Y393" s="650" t="n"/>
      <c r="Z393" s="650" t="n"/>
      <c r="AA393" s="650" t="n"/>
      <c r="AB393" s="650" t="n"/>
      <c r="AC393" s="613" t="n"/>
      <c r="AD393" s="613" t="n"/>
      <c r="AE393" s="613" t="n"/>
      <c r="AF393" s="613" t="n"/>
      <c r="AG393" s="626" t="n"/>
      <c r="AH393" s="626" t="n"/>
      <c r="AI393" s="626" t="n"/>
      <c r="AJ393" s="626" t="n"/>
      <c r="AK393" s="626" t="n"/>
      <c r="AL393" s="626" t="n"/>
      <c r="AM393" s="626" t="n"/>
      <c r="AN393" s="626" t="n"/>
      <c r="AO393" s="626" t="n"/>
      <c r="AP393" s="369" t="n"/>
      <c r="AQ393" s="369" t="n"/>
      <c r="AR393" s="369" t="n"/>
      <c r="AS393" s="369" t="n"/>
      <c r="AT393" s="370" t="n"/>
      <c r="AU393" s="370" t="n"/>
      <c r="AV393" s="370" t="n"/>
      <c r="AW393" s="370" t="n"/>
      <c r="BJ393">
        <f>O393</f>
        <v/>
      </c>
      <c r="BK393">
        <f>SUM(AG393:AW393)</f>
        <v/>
      </c>
      <c r="BL393" s="531">
        <f>BJ393-BK393</f>
        <v/>
      </c>
      <c r="BM393" s="201" t="n"/>
    </row>
    <row r="394" hidden="1" outlineLevel="1" s="191">
      <c r="P394" s="628" t="n"/>
      <c r="Q394" s="628" t="n"/>
      <c r="R394" s="628" t="n"/>
      <c r="S394" s="628" t="n"/>
      <c r="T394" s="628" t="n"/>
      <c r="U394" s="628" t="n"/>
      <c r="V394" s="628" t="n"/>
      <c r="W394" s="628" t="n"/>
      <c r="X394" s="628" t="n"/>
      <c r="Y394" s="650" t="n"/>
      <c r="Z394" s="650" t="n"/>
      <c r="AA394" s="650" t="n"/>
      <c r="AB394" s="650" t="n"/>
      <c r="AC394" s="613" t="n"/>
      <c r="AD394" s="613" t="n"/>
      <c r="AE394" s="613" t="n"/>
      <c r="AF394" s="613" t="n"/>
      <c r="AG394" s="626" t="n"/>
      <c r="AH394" s="626" t="n"/>
      <c r="AI394" s="626" t="n"/>
      <c r="AJ394" s="626" t="n"/>
      <c r="AK394" s="626" t="n"/>
      <c r="AL394" s="626" t="n"/>
      <c r="AM394" s="626" t="n"/>
      <c r="AN394" s="626" t="n"/>
      <c r="AO394" s="626" t="n"/>
      <c r="AP394" s="369" t="n"/>
      <c r="AQ394" s="369" t="n"/>
      <c r="AR394" s="369" t="n"/>
      <c r="AS394" s="369" t="n"/>
      <c r="AT394" s="370" t="n"/>
      <c r="AU394" s="370" t="n"/>
      <c r="AV394" s="370" t="n"/>
      <c r="AW394" s="370" t="n"/>
      <c r="BJ394">
        <f>O394</f>
        <v/>
      </c>
      <c r="BK394">
        <f>SUM(AG394:AW394)</f>
        <v/>
      </c>
      <c r="BL394" s="531">
        <f>BJ394-BK394</f>
        <v/>
      </c>
      <c r="BM394" s="201" t="n"/>
    </row>
    <row r="395" hidden="1" outlineLevel="1" s="191">
      <c r="P395" s="628" t="n"/>
      <c r="Q395" s="628" t="n"/>
      <c r="R395" s="628" t="n"/>
      <c r="S395" s="628" t="n"/>
      <c r="T395" s="628" t="n"/>
      <c r="U395" s="628" t="n"/>
      <c r="V395" s="628" t="n"/>
      <c r="W395" s="628" t="n"/>
      <c r="X395" s="628" t="n"/>
      <c r="Y395" s="650" t="n"/>
      <c r="Z395" s="650" t="n"/>
      <c r="AA395" s="650" t="n"/>
      <c r="AB395" s="650" t="n"/>
      <c r="AC395" s="613" t="n"/>
      <c r="AD395" s="613" t="n"/>
      <c r="AE395" s="613" t="n"/>
      <c r="AF395" s="613" t="n"/>
      <c r="AG395" s="626" t="n"/>
      <c r="AH395" s="626" t="n"/>
      <c r="AI395" s="626" t="n"/>
      <c r="AJ395" s="626" t="n"/>
      <c r="AK395" s="626" t="n"/>
      <c r="AL395" s="626" t="n"/>
      <c r="AM395" s="626" t="n"/>
      <c r="AN395" s="626" t="n"/>
      <c r="AO395" s="626" t="n"/>
      <c r="AP395" s="369" t="n"/>
      <c r="AQ395" s="369" t="n"/>
      <c r="AR395" s="369" t="n"/>
      <c r="AS395" s="369" t="n"/>
      <c r="AT395" s="370" t="n"/>
      <c r="AU395" s="370" t="n"/>
      <c r="AV395" s="370" t="n"/>
      <c r="AW395" s="370" t="n"/>
      <c r="BJ395">
        <f>O395</f>
        <v/>
      </c>
      <c r="BK395">
        <f>SUM(AG395:AW395)</f>
        <v/>
      </c>
      <c r="BL395" s="531">
        <f>BJ395-BK395</f>
        <v/>
      </c>
      <c r="BM395" s="201" t="n"/>
    </row>
    <row r="396" hidden="1" outlineLevel="1" s="191">
      <c r="P396" s="628" t="n"/>
      <c r="Q396" s="628" t="n"/>
      <c r="R396" s="628" t="n"/>
      <c r="S396" s="628" t="n"/>
      <c r="T396" s="628" t="n"/>
      <c r="U396" s="628" t="n"/>
      <c r="V396" s="628" t="n"/>
      <c r="W396" s="628" t="n"/>
      <c r="X396" s="628" t="n"/>
      <c r="Y396" s="650" t="n"/>
      <c r="Z396" s="650" t="n"/>
      <c r="AA396" s="650" t="n"/>
      <c r="AB396" s="650" t="n"/>
      <c r="AC396" s="613" t="n"/>
      <c r="AD396" s="613" t="n"/>
      <c r="AE396" s="613" t="n"/>
      <c r="AF396" s="613" t="n"/>
      <c r="AG396" s="626" t="n"/>
      <c r="AH396" s="626" t="n"/>
      <c r="AI396" s="626" t="n"/>
      <c r="AJ396" s="626" t="n"/>
      <c r="AK396" s="626" t="n"/>
      <c r="AL396" s="626" t="n"/>
      <c r="AM396" s="626" t="n"/>
      <c r="AN396" s="626" t="n"/>
      <c r="AO396" s="626" t="n"/>
      <c r="AP396" s="369" t="n"/>
      <c r="AQ396" s="369" t="n"/>
      <c r="AR396" s="369" t="n"/>
      <c r="AS396" s="369" t="n"/>
      <c r="AT396" s="370" t="n"/>
      <c r="AU396" s="370" t="n"/>
      <c r="AV396" s="370" t="n"/>
      <c r="AW396" s="370" t="n"/>
      <c r="BJ396">
        <f>O396</f>
        <v/>
      </c>
      <c r="BK396">
        <f>SUM(AG396:AW396)</f>
        <v/>
      </c>
      <c r="BL396" s="531">
        <f>BJ396-BK396</f>
        <v/>
      </c>
      <c r="BM396" s="201" t="n"/>
    </row>
    <row r="397" hidden="1" outlineLevel="1" ht="13.2" customHeight="1" s="191">
      <c r="P397" s="628" t="n"/>
      <c r="Q397" s="628" t="n"/>
      <c r="R397" s="628" t="n"/>
      <c r="S397" s="628" t="n"/>
      <c r="T397" s="628" t="n"/>
      <c r="U397" s="628" t="n"/>
      <c r="V397" s="628" t="n"/>
      <c r="W397" s="628" t="n"/>
      <c r="X397" s="628" t="n"/>
      <c r="Y397" s="650" t="n"/>
      <c r="Z397" s="650" t="n"/>
      <c r="AA397" s="650" t="n"/>
      <c r="AB397" s="650" t="n"/>
      <c r="AC397" s="613" t="n"/>
      <c r="AD397" s="613" t="n"/>
      <c r="AE397" s="613" t="n"/>
      <c r="AF397" s="613" t="n"/>
      <c r="AG397" s="626" t="n"/>
      <c r="AH397" s="626" t="n"/>
      <c r="AI397" s="626" t="n"/>
      <c r="AJ397" s="626" t="n"/>
      <c r="AK397" s="626" t="n"/>
      <c r="AL397" s="626" t="n"/>
      <c r="AM397" s="626" t="n"/>
      <c r="AN397" s="626" t="n"/>
      <c r="AO397" s="626" t="n"/>
      <c r="AP397" s="369" t="n"/>
      <c r="AQ397" s="369" t="n"/>
      <c r="AR397" s="369" t="n"/>
      <c r="AS397" s="369" t="n"/>
      <c r="AT397" s="370" t="n"/>
      <c r="AU397" s="370" t="n"/>
      <c r="AV397" s="370" t="n"/>
      <c r="AW397" s="370" t="n"/>
      <c r="BJ397">
        <f>O397</f>
        <v/>
      </c>
      <c r="BK397">
        <f>SUM(AG397:AW397)</f>
        <v/>
      </c>
      <c r="BL397" s="531">
        <f>BJ397-BK397</f>
        <v/>
      </c>
      <c r="BM397" s="201" t="n"/>
    </row>
    <row r="398" hidden="1" outlineLevel="1" s="191">
      <c r="A398" s="264">
        <f>A300</f>
        <v/>
      </c>
      <c r="P398" s="628" t="n"/>
      <c r="Q398" s="628" t="n"/>
      <c r="R398" s="628" t="n"/>
      <c r="S398" s="628" t="n"/>
      <c r="T398" s="628" t="n"/>
      <c r="U398" s="628" t="n"/>
      <c r="V398" s="628" t="n"/>
      <c r="W398" s="628" t="n"/>
      <c r="X398" s="628" t="n"/>
      <c r="Y398" s="650" t="n"/>
      <c r="Z398" s="650" t="n"/>
      <c r="AA398" s="650" t="n"/>
      <c r="AB398" s="650" t="n"/>
      <c r="AC398" s="613" t="n"/>
      <c r="AD398" s="613" t="n"/>
      <c r="AE398" s="613" t="n"/>
      <c r="AF398" s="613" t="n"/>
      <c r="AG398" s="626" t="n"/>
      <c r="AH398" s="626" t="n"/>
      <c r="AI398" s="626" t="n"/>
      <c r="AJ398" s="626" t="n"/>
      <c r="AK398" s="626" t="n"/>
      <c r="AL398" s="626" t="n"/>
      <c r="AM398" s="626" t="n"/>
      <c r="AN398" s="626" t="n"/>
      <c r="AO398" s="626" t="n"/>
      <c r="AP398" s="369" t="n"/>
      <c r="AQ398" s="369" t="n"/>
      <c r="AR398" s="369" t="n"/>
      <c r="AS398" s="369" t="n"/>
      <c r="AT398" s="370" t="n"/>
      <c r="AU398" s="370" t="n"/>
      <c r="AV398" s="370" t="n"/>
      <c r="AW398" s="370" t="n"/>
      <c r="BJ398">
        <f>O398</f>
        <v/>
      </c>
      <c r="BK398">
        <f>SUM(AG398:AW398)</f>
        <v/>
      </c>
      <c r="BL398" s="531">
        <f>BJ398-BK398</f>
        <v/>
      </c>
      <c r="BM398" s="201" t="n"/>
    </row>
    <row r="399" collapsed="1" s="191">
      <c r="P399" s="628" t="n"/>
      <c r="Q399" s="628" t="n"/>
      <c r="R399" s="628" t="n"/>
      <c r="S399" s="628" t="n"/>
      <c r="T399" s="628" t="n"/>
      <c r="U399" s="628" t="n"/>
      <c r="V399" s="628" t="n"/>
      <c r="W399" s="628" t="n"/>
      <c r="X399" s="628" t="n"/>
      <c r="Y399" s="650" t="n"/>
      <c r="Z399" s="650" t="n"/>
      <c r="AA399" s="650" t="n"/>
      <c r="AB399" s="650" t="n"/>
      <c r="AC399" s="613" t="n"/>
      <c r="AD399" s="613" t="n"/>
      <c r="AE399" s="613" t="n"/>
      <c r="AF399" s="613" t="n"/>
      <c r="AG399" s="626" t="n"/>
      <c r="AH399" s="626" t="n"/>
      <c r="AI399" s="626" t="n"/>
      <c r="AJ399" s="626" t="n"/>
      <c r="AK399" s="626" t="n"/>
      <c r="AL399" s="626" t="n"/>
      <c r="AM399" s="626" t="n"/>
      <c r="AN399" s="626" t="n"/>
      <c r="AO399" s="626" t="n"/>
      <c r="AP399" s="369" t="n"/>
      <c r="AQ399" s="369" t="n"/>
      <c r="AR399" s="369" t="n"/>
      <c r="AS399" s="369" t="n"/>
      <c r="AT399" s="370" t="n"/>
      <c r="AU399" s="370" t="n"/>
      <c r="AV399" s="370" t="n"/>
      <c r="AW399" s="370" t="n"/>
      <c r="BJ399">
        <f>O399</f>
        <v/>
      </c>
      <c r="BK399">
        <f>SUM(AG399:AW399)</f>
        <v/>
      </c>
      <c r="BL399" s="531">
        <f>BJ399-BK399</f>
        <v/>
      </c>
      <c r="BM399" s="201">
        <f>SUM(BL400:BL498)</f>
        <v/>
      </c>
    </row>
    <row r="400" ht="15.6" customHeight="1" s="191">
      <c r="A400" s="259">
        <f>IV_Baza_BDCB!A3</f>
        <v/>
      </c>
      <c r="B400" s="260" t="n"/>
      <c r="C400" s="261" t="n"/>
      <c r="D400" s="276" t="n"/>
      <c r="E400" s="277">
        <f>VLOOKUP(A400,Listy!A:C,2,FALSE) &amp; "   :  " &amp; VLOOKUP(A400,Listy!A:C,3,FALSE)</f>
        <v/>
      </c>
      <c r="F400" s="538" t="n"/>
      <c r="P400" s="628" t="n"/>
      <c r="Q400" s="628" t="n"/>
      <c r="R400" s="628" t="n"/>
      <c r="S400" s="628" t="n"/>
      <c r="T400" s="628" t="n"/>
      <c r="U400" s="628" t="n"/>
      <c r="V400" s="628" t="n"/>
      <c r="W400" s="628" t="n"/>
      <c r="X400" s="628" t="n"/>
      <c r="Y400" s="650" t="n"/>
      <c r="Z400" s="650" t="n"/>
      <c r="AA400" s="650" t="n"/>
      <c r="AB400" s="650" t="n"/>
      <c r="AC400" s="613" t="n"/>
      <c r="AD400" s="613" t="n"/>
      <c r="AE400" s="613" t="n"/>
      <c r="AF400" s="613" t="n"/>
      <c r="AG400" s="626" t="n"/>
      <c r="AH400" s="626" t="n"/>
      <c r="AI400" s="626" t="n"/>
      <c r="AJ400" s="626" t="n"/>
      <c r="AK400" s="626" t="n"/>
      <c r="AL400" s="626" t="n"/>
      <c r="AM400" s="626" t="n"/>
      <c r="AN400" s="626" t="n"/>
      <c r="AO400" s="626" t="n"/>
      <c r="AP400" s="369" t="n"/>
      <c r="AQ400" s="369" t="n"/>
      <c r="AR400" s="369" t="n"/>
      <c r="AS400" s="369" t="n"/>
      <c r="AT400" s="370" t="n"/>
      <c r="AU400" s="370" t="n"/>
      <c r="AV400" s="370" t="n"/>
      <c r="AW400" s="370" t="n"/>
      <c r="BJ400">
        <f>O400</f>
        <v/>
      </c>
      <c r="BK400">
        <f>SUM(AG400:AW400)</f>
        <v/>
      </c>
      <c r="BL400" s="531">
        <f>BJ400-BK400</f>
        <v/>
      </c>
      <c r="BM400" s="201">
        <f>SUM(BL401:BL499)</f>
        <v/>
      </c>
    </row>
    <row r="401" hidden="1" outlineLevel="1" s="191">
      <c r="A401">
        <f>IV_Baza_BDCB!A4</f>
        <v/>
      </c>
      <c r="B401">
        <f>IV_Baza_BDCB!B4</f>
        <v/>
      </c>
      <c r="C401">
        <f>IV_Baza_BDCB!C4</f>
        <v/>
      </c>
      <c r="D401">
        <f>IV_Baza_BDCB!D4</f>
        <v/>
      </c>
      <c r="E401">
        <f>IV_Baza_BDCB!E4</f>
        <v/>
      </c>
      <c r="F401">
        <f>IV_Baza_BDCB!F4</f>
        <v/>
      </c>
      <c r="G401">
        <f>IV_Baza_BDCB!G4</f>
        <v/>
      </c>
      <c r="H401">
        <f>IV_Baza_BDCB!H4</f>
        <v/>
      </c>
      <c r="I401">
        <f>IV_Baza_BDCB!I4</f>
        <v/>
      </c>
      <c r="J401">
        <f>IV_Baza_BDCB!J4</f>
        <v/>
      </c>
      <c r="K401">
        <f>IV_Baza_BDCB!K4</f>
        <v/>
      </c>
      <c r="L401">
        <f>IV_Baza_BDCB!L4</f>
        <v/>
      </c>
      <c r="M401">
        <f>IV_Baza_BDCB!M4</f>
        <v/>
      </c>
      <c r="N401">
        <f>IV_Baza_BDCB!N4</f>
        <v/>
      </c>
      <c r="O401">
        <f>IV_Baza_BDCB!O4</f>
        <v/>
      </c>
      <c r="P401" s="628">
        <f>IV_Baza_BDCB!P4</f>
        <v/>
      </c>
      <c r="Q401" s="628">
        <f>IV_Baza_BDCB!Q4</f>
        <v/>
      </c>
      <c r="R401" s="628">
        <f>IV_Baza_BDCB!R4</f>
        <v/>
      </c>
      <c r="S401" s="628">
        <f>IV_Baza_BDCB!S4</f>
        <v/>
      </c>
      <c r="T401" s="628">
        <f>IV_Baza_BDCB!T4</f>
        <v/>
      </c>
      <c r="U401" s="628">
        <f>IV_Baza_BDCB!U4</f>
        <v/>
      </c>
      <c r="V401" s="628">
        <f>IV_Baza_BDCB!V4</f>
        <v/>
      </c>
      <c r="W401" s="628">
        <f>IV_Baza_BDCB!W4</f>
        <v/>
      </c>
      <c r="X401" s="628">
        <f>IV_Baza_BDCB!X4</f>
        <v/>
      </c>
      <c r="Y401" s="650">
        <f>IV_Baza_BDCB!Y4</f>
        <v/>
      </c>
      <c r="Z401" s="650">
        <f>IV_Baza_BDCB!Z4</f>
        <v/>
      </c>
      <c r="AA401" s="650">
        <f>IV_Baza_BDCB!AA4</f>
        <v/>
      </c>
      <c r="AB401" s="650">
        <f>IV_Baza_BDCB!AB4</f>
        <v/>
      </c>
      <c r="AC401" s="613">
        <f>IV_Baza_BDCB!AC4</f>
        <v/>
      </c>
      <c r="AD401" s="613">
        <f>IV_Baza_BDCB!AD4</f>
        <v/>
      </c>
      <c r="AE401" s="613">
        <f>IV_Baza_BDCB!AE4</f>
        <v/>
      </c>
      <c r="AF401" s="613">
        <f>IV_Baza_BDCB!AF4</f>
        <v/>
      </c>
      <c r="AG401" s="626">
        <f>IV_Baza_BDCB!AG4</f>
        <v/>
      </c>
      <c r="AH401" s="626">
        <f>IV_Baza_BDCB!AH4</f>
        <v/>
      </c>
      <c r="AI401" s="626">
        <f>IV_Baza_BDCB!AI4</f>
        <v/>
      </c>
      <c r="AJ401" s="626">
        <f>IV_Baza_BDCB!AJ4</f>
        <v/>
      </c>
      <c r="AK401" s="626">
        <f>IV_Baza_BDCB!AK4</f>
        <v/>
      </c>
      <c r="AL401" s="626">
        <f>IV_Baza_BDCB!AL4</f>
        <v/>
      </c>
      <c r="AM401" s="626">
        <f>IV_Baza_BDCB!AM4</f>
        <v/>
      </c>
      <c r="AN401" s="626">
        <f>IV_Baza_BDCB!AN4</f>
        <v/>
      </c>
      <c r="AO401" s="626">
        <f>IV_Baza_BDCB!AO4</f>
        <v/>
      </c>
      <c r="AP401" s="369">
        <f>IV_Baza_BDCB!AP4</f>
        <v/>
      </c>
      <c r="AQ401" s="369">
        <f>IV_Baza_BDCB!AQ4</f>
        <v/>
      </c>
      <c r="AR401" s="369">
        <f>IV_Baza_BDCB!AR4</f>
        <v/>
      </c>
      <c r="AS401" s="369">
        <f>IV_Baza_BDCB!AS4</f>
        <v/>
      </c>
      <c r="AT401" s="370">
        <f>IV_Baza_BDCB!AT4</f>
        <v/>
      </c>
      <c r="AU401" s="370">
        <f>IV_Baza_BDCB!AU4</f>
        <v/>
      </c>
      <c r="AV401" s="370">
        <f>IV_Baza_BDCB!AV4</f>
        <v/>
      </c>
      <c r="AW401" s="370">
        <f>IV_Baza_BDCB!AW4</f>
        <v/>
      </c>
      <c r="AX401">
        <f>IV_Baza_BDCB!AX4</f>
        <v/>
      </c>
      <c r="AY401">
        <f>IV_Baza_BDCB!AY4</f>
        <v/>
      </c>
      <c r="AZ401">
        <f>IV_Baza_BDCB!AZ4</f>
        <v/>
      </c>
      <c r="BA401">
        <f>IV_Baza_BDCB!BA4</f>
        <v/>
      </c>
      <c r="BB401">
        <f>IV_Baza_BDCB!BB4</f>
        <v/>
      </c>
      <c r="BC401">
        <f>IV_Baza_BDCB!BC4</f>
        <v/>
      </c>
      <c r="BD401">
        <f>IV_Baza_BDCB!BD4</f>
        <v/>
      </c>
      <c r="BE401">
        <f>IV_Baza_BDCB!BE4</f>
        <v/>
      </c>
      <c r="BF401">
        <f>IV_Baza_BDCB!BF4</f>
        <v/>
      </c>
      <c r="BG401">
        <f>IV_Baza_BDCB!BG4</f>
        <v/>
      </c>
      <c r="BH401">
        <f>IV_Baza_BDCB!BH4</f>
        <v/>
      </c>
      <c r="BI401">
        <f>IV_Baza_BDCB!BI4</f>
        <v/>
      </c>
      <c r="BJ401">
        <f>O401</f>
        <v/>
      </c>
      <c r="BK401">
        <f>SUM(AG401:AW401)</f>
        <v/>
      </c>
      <c r="BL401" s="531">
        <f>BJ401-BK401</f>
        <v/>
      </c>
      <c r="BM401" s="201" t="n"/>
    </row>
    <row r="402" hidden="1" outlineLevel="1" s="191">
      <c r="A402">
        <f>IV_Baza_BDCB!A5</f>
        <v/>
      </c>
      <c r="B402">
        <f>IV_Baza_BDCB!B5</f>
        <v/>
      </c>
      <c r="C402">
        <f>IV_Baza_BDCB!C5</f>
        <v/>
      </c>
      <c r="D402">
        <f>IV_Baza_BDCB!D5</f>
        <v/>
      </c>
      <c r="E402">
        <f>IV_Baza_BDCB!E5</f>
        <v/>
      </c>
      <c r="F402">
        <f>IV_Baza_BDCB!F5</f>
        <v/>
      </c>
      <c r="G402">
        <f>IV_Baza_BDCB!G5</f>
        <v/>
      </c>
      <c r="H402">
        <f>IV_Baza_BDCB!H5</f>
        <v/>
      </c>
      <c r="I402">
        <f>IV_Baza_BDCB!I5</f>
        <v/>
      </c>
      <c r="J402">
        <f>IV_Baza_BDCB!J5</f>
        <v/>
      </c>
      <c r="K402">
        <f>IV_Baza_BDCB!K5</f>
        <v/>
      </c>
      <c r="L402">
        <f>IV_Baza_BDCB!L5</f>
        <v/>
      </c>
      <c r="M402">
        <f>IV_Baza_BDCB!M5</f>
        <v/>
      </c>
      <c r="N402">
        <f>IV_Baza_BDCB!N5</f>
        <v/>
      </c>
      <c r="O402">
        <f>IV_Baza_BDCB!O5</f>
        <v/>
      </c>
      <c r="P402" s="628">
        <f>IV_Baza_BDCB!P5</f>
        <v/>
      </c>
      <c r="Q402" s="628">
        <f>IV_Baza_BDCB!Q5</f>
        <v/>
      </c>
      <c r="R402" s="628">
        <f>IV_Baza_BDCB!R5</f>
        <v/>
      </c>
      <c r="S402" s="628">
        <f>IV_Baza_BDCB!S5</f>
        <v/>
      </c>
      <c r="T402" s="628">
        <f>IV_Baza_BDCB!T5</f>
        <v/>
      </c>
      <c r="U402" s="628">
        <f>IV_Baza_BDCB!U5</f>
        <v/>
      </c>
      <c r="V402" s="628">
        <f>IV_Baza_BDCB!V5</f>
        <v/>
      </c>
      <c r="W402" s="628">
        <f>IV_Baza_BDCB!W5</f>
        <v/>
      </c>
      <c r="X402" s="628">
        <f>IV_Baza_BDCB!X5</f>
        <v/>
      </c>
      <c r="Y402" s="650">
        <f>IV_Baza_BDCB!Y5</f>
        <v/>
      </c>
      <c r="Z402" s="650">
        <f>IV_Baza_BDCB!Z5</f>
        <v/>
      </c>
      <c r="AA402" s="650">
        <f>IV_Baza_BDCB!AA5</f>
        <v/>
      </c>
      <c r="AB402" s="650">
        <f>IV_Baza_BDCB!AB5</f>
        <v/>
      </c>
      <c r="AC402" s="613">
        <f>IV_Baza_BDCB!AC5</f>
        <v/>
      </c>
      <c r="AD402" s="613">
        <f>IV_Baza_BDCB!AD5</f>
        <v/>
      </c>
      <c r="AE402" s="613">
        <f>IV_Baza_BDCB!AE5</f>
        <v/>
      </c>
      <c r="AF402" s="613">
        <f>IV_Baza_BDCB!AF5</f>
        <v/>
      </c>
      <c r="AG402" s="626">
        <f>IV_Baza_BDCB!AG5</f>
        <v/>
      </c>
      <c r="AH402" s="626">
        <f>IV_Baza_BDCB!AH5</f>
        <v/>
      </c>
      <c r="AI402" s="626">
        <f>IV_Baza_BDCB!AI5</f>
        <v/>
      </c>
      <c r="AJ402" s="626">
        <f>IV_Baza_BDCB!AJ5</f>
        <v/>
      </c>
      <c r="AK402" s="626">
        <f>IV_Baza_BDCB!AK5</f>
        <v/>
      </c>
      <c r="AL402" s="626">
        <f>IV_Baza_BDCB!AL5</f>
        <v/>
      </c>
      <c r="AM402" s="626">
        <f>IV_Baza_BDCB!AM5</f>
        <v/>
      </c>
      <c r="AN402" s="626">
        <f>IV_Baza_BDCB!AN5</f>
        <v/>
      </c>
      <c r="AO402" s="626">
        <f>IV_Baza_BDCB!AO5</f>
        <v/>
      </c>
      <c r="AP402" s="369">
        <f>IV_Baza_BDCB!AP5</f>
        <v/>
      </c>
      <c r="AQ402" s="369">
        <f>IV_Baza_BDCB!AQ5</f>
        <v/>
      </c>
      <c r="AR402" s="369">
        <f>IV_Baza_BDCB!AR5</f>
        <v/>
      </c>
      <c r="AS402" s="369">
        <f>IV_Baza_BDCB!AS5</f>
        <v/>
      </c>
      <c r="AT402" s="370">
        <f>IV_Baza_BDCB!AT5</f>
        <v/>
      </c>
      <c r="AU402" s="370">
        <f>IV_Baza_BDCB!AU5</f>
        <v/>
      </c>
      <c r="AV402" s="370">
        <f>IV_Baza_BDCB!AV5</f>
        <v/>
      </c>
      <c r="AW402" s="370">
        <f>IV_Baza_BDCB!AW5</f>
        <v/>
      </c>
      <c r="AX402">
        <f>IV_Baza_BDCB!AX5</f>
        <v/>
      </c>
      <c r="AY402">
        <f>IV_Baza_BDCB!AY5</f>
        <v/>
      </c>
      <c r="AZ402">
        <f>IV_Baza_BDCB!AZ5</f>
        <v/>
      </c>
      <c r="BA402">
        <f>IV_Baza_BDCB!BA5</f>
        <v/>
      </c>
      <c r="BB402">
        <f>IV_Baza_BDCB!BB5</f>
        <v/>
      </c>
      <c r="BC402">
        <f>IV_Baza_BDCB!BC5</f>
        <v/>
      </c>
      <c r="BD402">
        <f>IV_Baza_BDCB!BD5</f>
        <v/>
      </c>
      <c r="BE402">
        <f>IV_Baza_BDCB!BE5</f>
        <v/>
      </c>
      <c r="BF402">
        <f>IV_Baza_BDCB!BF5</f>
        <v/>
      </c>
      <c r="BG402">
        <f>IV_Baza_BDCB!BG5</f>
        <v/>
      </c>
      <c r="BH402">
        <f>IV_Baza_BDCB!BH5</f>
        <v/>
      </c>
      <c r="BI402">
        <f>IV_Baza_BDCB!BI5</f>
        <v/>
      </c>
      <c r="BJ402">
        <f>O402</f>
        <v/>
      </c>
      <c r="BK402">
        <f>SUM(AG402:AW402)</f>
        <v/>
      </c>
      <c r="BL402" s="531">
        <f>BJ402-BK402</f>
        <v/>
      </c>
      <c r="BM402" s="201" t="n"/>
    </row>
    <row r="403" hidden="1" outlineLevel="1" s="191">
      <c r="A403">
        <f>IV_Baza_BDCB!A6</f>
        <v/>
      </c>
      <c r="B403">
        <f>IV_Baza_BDCB!B6</f>
        <v/>
      </c>
      <c r="C403">
        <f>IV_Baza_BDCB!C6</f>
        <v/>
      </c>
      <c r="D403">
        <f>IV_Baza_BDCB!D6</f>
        <v/>
      </c>
      <c r="E403">
        <f>IV_Baza_BDCB!E6</f>
        <v/>
      </c>
      <c r="F403">
        <f>IV_Baza_BDCB!F6</f>
        <v/>
      </c>
      <c r="G403">
        <f>IV_Baza_BDCB!G6</f>
        <v/>
      </c>
      <c r="H403">
        <f>IV_Baza_BDCB!H6</f>
        <v/>
      </c>
      <c r="I403">
        <f>IV_Baza_BDCB!I6</f>
        <v/>
      </c>
      <c r="J403">
        <f>IV_Baza_BDCB!J6</f>
        <v/>
      </c>
      <c r="K403" s="672">
        <f>IV_Baza_BDCB!K6</f>
        <v/>
      </c>
      <c r="L403" s="672">
        <f>IV_Baza_BDCB!L6</f>
        <v/>
      </c>
      <c r="M403">
        <f>IV_Baza_BDCB!M6</f>
        <v/>
      </c>
      <c r="N403">
        <f>IV_Baza_BDCB!N6</f>
        <v/>
      </c>
      <c r="O403">
        <f>IV_Baza_BDCB!O6</f>
        <v/>
      </c>
      <c r="P403" s="628">
        <f>IV_Baza_BDCB!P6</f>
        <v/>
      </c>
      <c r="Q403" s="628">
        <f>IV_Baza_BDCB!Q6</f>
        <v/>
      </c>
      <c r="R403" s="628">
        <f>IV_Baza_BDCB!R6</f>
        <v/>
      </c>
      <c r="S403" s="628">
        <f>IV_Baza_BDCB!S6</f>
        <v/>
      </c>
      <c r="T403" s="628">
        <f>IV_Baza_BDCB!T6</f>
        <v/>
      </c>
      <c r="U403" s="628">
        <f>IV_Baza_BDCB!U6</f>
        <v/>
      </c>
      <c r="V403" s="628">
        <f>IV_Baza_BDCB!V6</f>
        <v/>
      </c>
      <c r="W403" s="628">
        <f>IV_Baza_BDCB!W6</f>
        <v/>
      </c>
      <c r="X403" s="628">
        <f>IV_Baza_BDCB!X6</f>
        <v/>
      </c>
      <c r="Y403" s="650">
        <f>IV_Baza_BDCB!Y6</f>
        <v/>
      </c>
      <c r="Z403" s="650">
        <f>IV_Baza_BDCB!Z6</f>
        <v/>
      </c>
      <c r="AA403" s="650">
        <f>IV_Baza_BDCB!AA6</f>
        <v/>
      </c>
      <c r="AB403" s="650">
        <f>IV_Baza_BDCB!AB6</f>
        <v/>
      </c>
      <c r="AC403" s="613">
        <f>IV_Baza_BDCB!AC6</f>
        <v/>
      </c>
      <c r="AD403" s="613">
        <f>IV_Baza_BDCB!AD6</f>
        <v/>
      </c>
      <c r="AE403" s="613">
        <f>IV_Baza_BDCB!AE6</f>
        <v/>
      </c>
      <c r="AF403" s="613">
        <f>IV_Baza_BDCB!AF6</f>
        <v/>
      </c>
      <c r="AG403" s="626">
        <f>IV_Baza_BDCB!AG6</f>
        <v/>
      </c>
      <c r="AH403" s="626">
        <f>IV_Baza_BDCB!AH6</f>
        <v/>
      </c>
      <c r="AI403" s="626">
        <f>IV_Baza_BDCB!AI6</f>
        <v/>
      </c>
      <c r="AJ403" s="626">
        <f>IV_Baza_BDCB!AJ6</f>
        <v/>
      </c>
      <c r="AK403" s="626">
        <f>IV_Baza_BDCB!AK6</f>
        <v/>
      </c>
      <c r="AL403" s="626">
        <f>IV_Baza_BDCB!AL6</f>
        <v/>
      </c>
      <c r="AM403" s="626">
        <f>IV_Baza_BDCB!AM6</f>
        <v/>
      </c>
      <c r="AN403" s="626">
        <f>IV_Baza_BDCB!AN6</f>
        <v/>
      </c>
      <c r="AO403" s="626">
        <f>IV_Baza_BDCB!AO6</f>
        <v/>
      </c>
      <c r="AP403" s="369">
        <f>IV_Baza_BDCB!AP6</f>
        <v/>
      </c>
      <c r="AQ403" s="369">
        <f>IV_Baza_BDCB!AQ6</f>
        <v/>
      </c>
      <c r="AR403" s="369">
        <f>IV_Baza_BDCB!AR6</f>
        <v/>
      </c>
      <c r="AS403" s="369">
        <f>IV_Baza_BDCB!AS6</f>
        <v/>
      </c>
      <c r="AT403" s="370">
        <f>IV_Baza_BDCB!AT6</f>
        <v/>
      </c>
      <c r="AU403" s="370">
        <f>IV_Baza_BDCB!AU6</f>
        <v/>
      </c>
      <c r="AV403" s="370">
        <f>IV_Baza_BDCB!AV6</f>
        <v/>
      </c>
      <c r="AW403" s="370">
        <f>IV_Baza_BDCB!AW6</f>
        <v/>
      </c>
      <c r="AX403">
        <f>IV_Baza_BDCB!AX6</f>
        <v/>
      </c>
      <c r="AY403">
        <f>IV_Baza_BDCB!AY6</f>
        <v/>
      </c>
      <c r="AZ403">
        <f>IV_Baza_BDCB!AZ6</f>
        <v/>
      </c>
      <c r="BA403">
        <f>IV_Baza_BDCB!BA6</f>
        <v/>
      </c>
      <c r="BB403">
        <f>IV_Baza_BDCB!BB6</f>
        <v/>
      </c>
      <c r="BC403">
        <f>IV_Baza_BDCB!BC6</f>
        <v/>
      </c>
      <c r="BD403">
        <f>IV_Baza_BDCB!BD6</f>
        <v/>
      </c>
      <c r="BE403">
        <f>IV_Baza_BDCB!BE6</f>
        <v/>
      </c>
      <c r="BF403">
        <f>IV_Baza_BDCB!BF6</f>
        <v/>
      </c>
      <c r="BG403">
        <f>IV_Baza_BDCB!BG6</f>
        <v/>
      </c>
      <c r="BH403">
        <f>IV_Baza_BDCB!BH6</f>
        <v/>
      </c>
      <c r="BI403">
        <f>IV_Baza_BDCB!BI6</f>
        <v/>
      </c>
      <c r="BJ403">
        <f>O403</f>
        <v/>
      </c>
      <c r="BK403">
        <f>SUM(AG403:AW403)</f>
        <v/>
      </c>
      <c r="BL403" s="531">
        <f>BJ403-BK403</f>
        <v/>
      </c>
      <c r="BM403" s="201" t="n"/>
    </row>
    <row r="404" hidden="1" outlineLevel="1" s="191">
      <c r="A404">
        <f>IV_Baza_BDCB!A7</f>
        <v/>
      </c>
      <c r="B404">
        <f>IV_Baza_BDCB!B7</f>
        <v/>
      </c>
      <c r="C404">
        <f>IV_Baza_BDCB!C7</f>
        <v/>
      </c>
      <c r="D404">
        <f>IV_Baza_BDCB!D7</f>
        <v/>
      </c>
      <c r="E404">
        <f>IV_Baza_BDCB!E7</f>
        <v/>
      </c>
      <c r="F404">
        <f>IV_Baza_BDCB!F7</f>
        <v/>
      </c>
      <c r="G404">
        <f>IV_Baza_BDCB!G7</f>
        <v/>
      </c>
      <c r="H404">
        <f>IV_Baza_BDCB!H7</f>
        <v/>
      </c>
      <c r="I404">
        <f>IV_Baza_BDCB!I7</f>
        <v/>
      </c>
      <c r="J404">
        <f>IV_Baza_BDCB!J7</f>
        <v/>
      </c>
      <c r="K404" s="672">
        <f>IV_Baza_BDCB!K7</f>
        <v/>
      </c>
      <c r="L404" s="672">
        <f>IV_Baza_BDCB!L7</f>
        <v/>
      </c>
      <c r="M404">
        <f>IV_Baza_BDCB!M7</f>
        <v/>
      </c>
      <c r="N404">
        <f>IV_Baza_BDCB!N7</f>
        <v/>
      </c>
      <c r="O404">
        <f>IV_Baza_BDCB!O7</f>
        <v/>
      </c>
      <c r="P404" s="628">
        <f>IV_Baza_BDCB!P7</f>
        <v/>
      </c>
      <c r="Q404" s="628">
        <f>IV_Baza_BDCB!Q7</f>
        <v/>
      </c>
      <c r="R404" s="628">
        <f>IV_Baza_BDCB!R7</f>
        <v/>
      </c>
      <c r="S404" s="628">
        <f>IV_Baza_BDCB!S7</f>
        <v/>
      </c>
      <c r="T404" s="628">
        <f>IV_Baza_BDCB!T7</f>
        <v/>
      </c>
      <c r="U404" s="628">
        <f>IV_Baza_BDCB!U7</f>
        <v/>
      </c>
      <c r="V404" s="628">
        <f>IV_Baza_BDCB!V7</f>
        <v/>
      </c>
      <c r="W404" s="628">
        <f>IV_Baza_BDCB!W7</f>
        <v/>
      </c>
      <c r="X404" s="628">
        <f>IV_Baza_BDCB!X7</f>
        <v/>
      </c>
      <c r="Y404" s="650">
        <f>IV_Baza_BDCB!Y7</f>
        <v/>
      </c>
      <c r="Z404" s="650">
        <f>IV_Baza_BDCB!Z7</f>
        <v/>
      </c>
      <c r="AA404" s="650">
        <f>IV_Baza_BDCB!AA7</f>
        <v/>
      </c>
      <c r="AB404" s="650">
        <f>IV_Baza_BDCB!AB7</f>
        <v/>
      </c>
      <c r="AC404" s="613">
        <f>IV_Baza_BDCB!AC7</f>
        <v/>
      </c>
      <c r="AD404" s="613">
        <f>IV_Baza_BDCB!AD7</f>
        <v/>
      </c>
      <c r="AE404" s="613">
        <f>IV_Baza_BDCB!AE7</f>
        <v/>
      </c>
      <c r="AF404" s="613">
        <f>IV_Baza_BDCB!AF7</f>
        <v/>
      </c>
      <c r="AG404" s="626">
        <f>IV_Baza_BDCB!AG7</f>
        <v/>
      </c>
      <c r="AH404" s="626">
        <f>IV_Baza_BDCB!AH7</f>
        <v/>
      </c>
      <c r="AI404" s="626">
        <f>IV_Baza_BDCB!AI7</f>
        <v/>
      </c>
      <c r="AJ404" s="626">
        <f>IV_Baza_BDCB!AJ7</f>
        <v/>
      </c>
      <c r="AK404" s="626">
        <f>IV_Baza_BDCB!AK7</f>
        <v/>
      </c>
      <c r="AL404" s="626">
        <f>IV_Baza_BDCB!AL7</f>
        <v/>
      </c>
      <c r="AM404" s="626">
        <f>IV_Baza_BDCB!AM7</f>
        <v/>
      </c>
      <c r="AN404" s="626">
        <f>IV_Baza_BDCB!AN7</f>
        <v/>
      </c>
      <c r="AO404" s="626">
        <f>IV_Baza_BDCB!AO7</f>
        <v/>
      </c>
      <c r="AP404" s="369">
        <f>IV_Baza_BDCB!AP7</f>
        <v/>
      </c>
      <c r="AQ404" s="369">
        <f>IV_Baza_BDCB!AQ7</f>
        <v/>
      </c>
      <c r="AR404" s="369">
        <f>IV_Baza_BDCB!AR7</f>
        <v/>
      </c>
      <c r="AS404" s="369">
        <f>IV_Baza_BDCB!AS7</f>
        <v/>
      </c>
      <c r="AT404" s="370">
        <f>IV_Baza_BDCB!AT7</f>
        <v/>
      </c>
      <c r="AU404" s="370">
        <f>IV_Baza_BDCB!AU7</f>
        <v/>
      </c>
      <c r="AV404" s="370">
        <f>IV_Baza_BDCB!AV7</f>
        <v/>
      </c>
      <c r="AW404" s="370">
        <f>IV_Baza_BDCB!AW7</f>
        <v/>
      </c>
      <c r="AX404">
        <f>IV_Baza_BDCB!AX7</f>
        <v/>
      </c>
      <c r="AY404">
        <f>IV_Baza_BDCB!AY7</f>
        <v/>
      </c>
      <c r="AZ404">
        <f>IV_Baza_BDCB!AZ7</f>
        <v/>
      </c>
      <c r="BA404">
        <f>IV_Baza_BDCB!BA7</f>
        <v/>
      </c>
      <c r="BB404">
        <f>IV_Baza_BDCB!BB7</f>
        <v/>
      </c>
      <c r="BC404">
        <f>IV_Baza_BDCB!BC7</f>
        <v/>
      </c>
      <c r="BD404">
        <f>IV_Baza_BDCB!BD7</f>
        <v/>
      </c>
      <c r="BE404">
        <f>IV_Baza_BDCB!BE7</f>
        <v/>
      </c>
      <c r="BF404">
        <f>IV_Baza_BDCB!BF7</f>
        <v/>
      </c>
      <c r="BG404">
        <f>IV_Baza_BDCB!BG7</f>
        <v/>
      </c>
      <c r="BH404">
        <f>IV_Baza_BDCB!BH7</f>
        <v/>
      </c>
      <c r="BI404">
        <f>IV_Baza_BDCB!BI7</f>
        <v/>
      </c>
      <c r="BJ404">
        <f>O404</f>
        <v/>
      </c>
      <c r="BK404">
        <f>SUM(AG404:AW404)</f>
        <v/>
      </c>
      <c r="BL404" s="531">
        <f>BJ404-BK404</f>
        <v/>
      </c>
      <c r="BM404" s="201" t="n"/>
    </row>
    <row r="405" hidden="1" outlineLevel="1" s="191">
      <c r="A405">
        <f>IV_Baza_BDCB!A8</f>
        <v/>
      </c>
      <c r="B405">
        <f>IV_Baza_BDCB!B8</f>
        <v/>
      </c>
      <c r="C405">
        <f>IV_Baza_BDCB!C8</f>
        <v/>
      </c>
      <c r="D405">
        <f>IV_Baza_BDCB!D8</f>
        <v/>
      </c>
      <c r="E405">
        <f>IV_Baza_BDCB!E8</f>
        <v/>
      </c>
      <c r="F405">
        <f>IV_Baza_BDCB!F8</f>
        <v/>
      </c>
      <c r="G405">
        <f>IV_Baza_BDCB!G8</f>
        <v/>
      </c>
      <c r="H405">
        <f>IV_Baza_BDCB!H8</f>
        <v/>
      </c>
      <c r="I405">
        <f>IV_Baza_BDCB!I8</f>
        <v/>
      </c>
      <c r="J405">
        <f>IV_Baza_BDCB!J8</f>
        <v/>
      </c>
      <c r="K405" s="672">
        <f>IV_Baza_BDCB!K8</f>
        <v/>
      </c>
      <c r="L405" s="672">
        <f>IV_Baza_BDCB!L8</f>
        <v/>
      </c>
      <c r="M405">
        <f>IV_Baza_BDCB!M8</f>
        <v/>
      </c>
      <c r="N405">
        <f>IV_Baza_BDCB!N8</f>
        <v/>
      </c>
      <c r="O405">
        <f>IV_Baza_BDCB!O8</f>
        <v/>
      </c>
      <c r="P405" s="628">
        <f>IV_Baza_BDCB!P8</f>
        <v/>
      </c>
      <c r="Q405" s="628">
        <f>IV_Baza_BDCB!Q8</f>
        <v/>
      </c>
      <c r="R405" s="628">
        <f>IV_Baza_BDCB!R8</f>
        <v/>
      </c>
      <c r="S405" s="628">
        <f>IV_Baza_BDCB!S8</f>
        <v/>
      </c>
      <c r="T405" s="628">
        <f>IV_Baza_BDCB!T8</f>
        <v/>
      </c>
      <c r="U405" s="628">
        <f>IV_Baza_BDCB!U8</f>
        <v/>
      </c>
      <c r="V405" s="628">
        <f>IV_Baza_BDCB!V8</f>
        <v/>
      </c>
      <c r="W405" s="628">
        <f>IV_Baza_BDCB!W8</f>
        <v/>
      </c>
      <c r="X405" s="628">
        <f>IV_Baza_BDCB!X8</f>
        <v/>
      </c>
      <c r="Y405" s="650">
        <f>IV_Baza_BDCB!Y8</f>
        <v/>
      </c>
      <c r="Z405" s="650">
        <f>IV_Baza_BDCB!Z8</f>
        <v/>
      </c>
      <c r="AA405" s="650">
        <f>IV_Baza_BDCB!AA8</f>
        <v/>
      </c>
      <c r="AB405" s="650">
        <f>IV_Baza_BDCB!AB8</f>
        <v/>
      </c>
      <c r="AC405" s="613">
        <f>IV_Baza_BDCB!AC8</f>
        <v/>
      </c>
      <c r="AD405" s="613">
        <f>IV_Baza_BDCB!AD8</f>
        <v/>
      </c>
      <c r="AE405" s="613">
        <f>IV_Baza_BDCB!AE8</f>
        <v/>
      </c>
      <c r="AF405" s="613">
        <f>IV_Baza_BDCB!AF8</f>
        <v/>
      </c>
      <c r="AG405" s="626">
        <f>IV_Baza_BDCB!AG8</f>
        <v/>
      </c>
      <c r="AH405" s="626">
        <f>IV_Baza_BDCB!AH8</f>
        <v/>
      </c>
      <c r="AI405" s="626">
        <f>IV_Baza_BDCB!AI8</f>
        <v/>
      </c>
      <c r="AJ405" s="626">
        <f>IV_Baza_BDCB!AJ8</f>
        <v/>
      </c>
      <c r="AK405" s="626">
        <f>IV_Baza_BDCB!AK8</f>
        <v/>
      </c>
      <c r="AL405" s="626">
        <f>IV_Baza_BDCB!AL8</f>
        <v/>
      </c>
      <c r="AM405" s="626">
        <f>IV_Baza_BDCB!AM8</f>
        <v/>
      </c>
      <c r="AN405" s="626">
        <f>IV_Baza_BDCB!AN8</f>
        <v/>
      </c>
      <c r="AO405" s="626">
        <f>IV_Baza_BDCB!AO8</f>
        <v/>
      </c>
      <c r="AP405" s="369">
        <f>IV_Baza_BDCB!AP8</f>
        <v/>
      </c>
      <c r="AQ405" s="369">
        <f>IV_Baza_BDCB!AQ8</f>
        <v/>
      </c>
      <c r="AR405" s="369">
        <f>IV_Baza_BDCB!AR8</f>
        <v/>
      </c>
      <c r="AS405" s="369">
        <f>IV_Baza_BDCB!AS8</f>
        <v/>
      </c>
      <c r="AT405" s="370">
        <f>IV_Baza_BDCB!AT8</f>
        <v/>
      </c>
      <c r="AU405" s="370">
        <f>IV_Baza_BDCB!AU8</f>
        <v/>
      </c>
      <c r="AV405" s="370">
        <f>IV_Baza_BDCB!AV8</f>
        <v/>
      </c>
      <c r="AW405" s="370">
        <f>IV_Baza_BDCB!AW8</f>
        <v/>
      </c>
      <c r="AX405">
        <f>IV_Baza_BDCB!AX8</f>
        <v/>
      </c>
      <c r="AY405">
        <f>IV_Baza_BDCB!AY8</f>
        <v/>
      </c>
      <c r="AZ405">
        <f>IV_Baza_BDCB!AZ8</f>
        <v/>
      </c>
      <c r="BA405">
        <f>IV_Baza_BDCB!BA8</f>
        <v/>
      </c>
      <c r="BB405">
        <f>IV_Baza_BDCB!BB8</f>
        <v/>
      </c>
      <c r="BC405">
        <f>IV_Baza_BDCB!BC8</f>
        <v/>
      </c>
      <c r="BD405">
        <f>IV_Baza_BDCB!BD8</f>
        <v/>
      </c>
      <c r="BE405">
        <f>IV_Baza_BDCB!BE8</f>
        <v/>
      </c>
      <c r="BF405">
        <f>IV_Baza_BDCB!BF8</f>
        <v/>
      </c>
      <c r="BG405">
        <f>IV_Baza_BDCB!BG8</f>
        <v/>
      </c>
      <c r="BH405">
        <f>IV_Baza_BDCB!BH8</f>
        <v/>
      </c>
      <c r="BI405">
        <f>IV_Baza_BDCB!BI8</f>
        <v/>
      </c>
      <c r="BJ405">
        <f>O405</f>
        <v/>
      </c>
      <c r="BK405">
        <f>SUM(AG405:AW405)</f>
        <v/>
      </c>
      <c r="BL405" s="531">
        <f>BJ405-BK405</f>
        <v/>
      </c>
      <c r="BM405" s="201" t="n"/>
    </row>
    <row r="406" hidden="1" outlineLevel="1" s="191">
      <c r="A406">
        <f>IV_Baza_BDCB!A9</f>
        <v/>
      </c>
      <c r="B406">
        <f>IV_Baza_BDCB!B9</f>
        <v/>
      </c>
      <c r="C406">
        <f>IV_Baza_BDCB!C9</f>
        <v/>
      </c>
      <c r="D406">
        <f>IV_Baza_BDCB!D9</f>
        <v/>
      </c>
      <c r="E406">
        <f>IV_Baza_BDCB!E9</f>
        <v/>
      </c>
      <c r="F406">
        <f>IV_Baza_BDCB!F9</f>
        <v/>
      </c>
      <c r="G406">
        <f>IV_Baza_BDCB!G9</f>
        <v/>
      </c>
      <c r="H406">
        <f>IV_Baza_BDCB!H9</f>
        <v/>
      </c>
      <c r="I406">
        <f>IV_Baza_BDCB!I9</f>
        <v/>
      </c>
      <c r="J406">
        <f>IV_Baza_BDCB!J9</f>
        <v/>
      </c>
      <c r="K406" s="672">
        <f>IV_Baza_BDCB!K9</f>
        <v/>
      </c>
      <c r="L406" s="672">
        <f>IV_Baza_BDCB!L9</f>
        <v/>
      </c>
      <c r="M406">
        <f>IV_Baza_BDCB!M9</f>
        <v/>
      </c>
      <c r="N406">
        <f>IV_Baza_BDCB!N9</f>
        <v/>
      </c>
      <c r="O406">
        <f>IV_Baza_BDCB!O9</f>
        <v/>
      </c>
      <c r="P406" s="628">
        <f>IV_Baza_BDCB!P9</f>
        <v/>
      </c>
      <c r="Q406" s="628">
        <f>IV_Baza_BDCB!Q9</f>
        <v/>
      </c>
      <c r="R406" s="628">
        <f>IV_Baza_BDCB!R9</f>
        <v/>
      </c>
      <c r="S406" s="628">
        <f>IV_Baza_BDCB!S9</f>
        <v/>
      </c>
      <c r="T406" s="628">
        <f>IV_Baza_BDCB!T9</f>
        <v/>
      </c>
      <c r="U406" s="628">
        <f>IV_Baza_BDCB!U9</f>
        <v/>
      </c>
      <c r="V406" s="628">
        <f>IV_Baza_BDCB!V9</f>
        <v/>
      </c>
      <c r="W406" s="628">
        <f>IV_Baza_BDCB!W9</f>
        <v/>
      </c>
      <c r="X406" s="628">
        <f>IV_Baza_BDCB!X9</f>
        <v/>
      </c>
      <c r="Y406" s="650">
        <f>IV_Baza_BDCB!Y9</f>
        <v/>
      </c>
      <c r="Z406" s="650">
        <f>IV_Baza_BDCB!Z9</f>
        <v/>
      </c>
      <c r="AA406" s="650">
        <f>IV_Baza_BDCB!AA9</f>
        <v/>
      </c>
      <c r="AB406" s="650">
        <f>IV_Baza_BDCB!AB9</f>
        <v/>
      </c>
      <c r="AC406" s="613">
        <f>IV_Baza_BDCB!AC9</f>
        <v/>
      </c>
      <c r="AD406" s="613">
        <f>IV_Baza_BDCB!AD9</f>
        <v/>
      </c>
      <c r="AE406" s="613">
        <f>IV_Baza_BDCB!AE9</f>
        <v/>
      </c>
      <c r="AF406" s="613">
        <f>IV_Baza_BDCB!AF9</f>
        <v/>
      </c>
      <c r="AG406" s="626">
        <f>IV_Baza_BDCB!AG9</f>
        <v/>
      </c>
      <c r="AH406" s="626">
        <f>IV_Baza_BDCB!AH9</f>
        <v/>
      </c>
      <c r="AI406" s="626">
        <f>IV_Baza_BDCB!AI9</f>
        <v/>
      </c>
      <c r="AJ406" s="626">
        <f>IV_Baza_BDCB!AJ9</f>
        <v/>
      </c>
      <c r="AK406" s="626">
        <f>IV_Baza_BDCB!AK9</f>
        <v/>
      </c>
      <c r="AL406" s="626">
        <f>IV_Baza_BDCB!AL9</f>
        <v/>
      </c>
      <c r="AM406" s="626">
        <f>IV_Baza_BDCB!AM9</f>
        <v/>
      </c>
      <c r="AN406" s="626">
        <f>IV_Baza_BDCB!AN9</f>
        <v/>
      </c>
      <c r="AO406" s="626">
        <f>IV_Baza_BDCB!AO9</f>
        <v/>
      </c>
      <c r="AP406" s="369">
        <f>IV_Baza_BDCB!AP9</f>
        <v/>
      </c>
      <c r="AQ406" s="369">
        <f>IV_Baza_BDCB!AQ9</f>
        <v/>
      </c>
      <c r="AR406" s="369">
        <f>IV_Baza_BDCB!AR9</f>
        <v/>
      </c>
      <c r="AS406" s="369">
        <f>IV_Baza_BDCB!AS9</f>
        <v/>
      </c>
      <c r="AT406" s="370">
        <f>IV_Baza_BDCB!AT9</f>
        <v/>
      </c>
      <c r="AU406" s="370">
        <f>IV_Baza_BDCB!AU9</f>
        <v/>
      </c>
      <c r="AV406" s="370">
        <f>IV_Baza_BDCB!AV9</f>
        <v/>
      </c>
      <c r="AW406" s="370">
        <f>IV_Baza_BDCB!AW9</f>
        <v/>
      </c>
      <c r="AX406">
        <f>IV_Baza_BDCB!AX9</f>
        <v/>
      </c>
      <c r="AY406">
        <f>IV_Baza_BDCB!AY9</f>
        <v/>
      </c>
      <c r="AZ406">
        <f>IV_Baza_BDCB!AZ9</f>
        <v/>
      </c>
      <c r="BA406">
        <f>IV_Baza_BDCB!BA9</f>
        <v/>
      </c>
      <c r="BB406">
        <f>IV_Baza_BDCB!BB9</f>
        <v/>
      </c>
      <c r="BC406">
        <f>IV_Baza_BDCB!BC9</f>
        <v/>
      </c>
      <c r="BD406">
        <f>IV_Baza_BDCB!BD9</f>
        <v/>
      </c>
      <c r="BE406">
        <f>IV_Baza_BDCB!BE9</f>
        <v/>
      </c>
      <c r="BF406">
        <f>IV_Baza_BDCB!BF9</f>
        <v/>
      </c>
      <c r="BG406">
        <f>IV_Baza_BDCB!BG9</f>
        <v/>
      </c>
      <c r="BH406">
        <f>IV_Baza_BDCB!BH9</f>
        <v/>
      </c>
      <c r="BI406">
        <f>IV_Baza_BDCB!BI9</f>
        <v/>
      </c>
      <c r="BJ406">
        <f>O406</f>
        <v/>
      </c>
      <c r="BK406">
        <f>SUM(AG406:AW406)</f>
        <v/>
      </c>
      <c r="BL406" s="531">
        <f>BJ406-BK406</f>
        <v/>
      </c>
      <c r="BM406" s="201" t="n"/>
    </row>
    <row r="407" hidden="1" outlineLevel="1" s="191">
      <c r="A407">
        <f>IV_Baza_BDCB!A10</f>
        <v/>
      </c>
      <c r="B407">
        <f>IV_Baza_BDCB!B10</f>
        <v/>
      </c>
      <c r="C407">
        <f>IV_Baza_BDCB!C10</f>
        <v/>
      </c>
      <c r="D407">
        <f>IV_Baza_BDCB!D10</f>
        <v/>
      </c>
      <c r="E407">
        <f>IV_Baza_BDCB!E10</f>
        <v/>
      </c>
      <c r="F407">
        <f>IV_Baza_BDCB!F10</f>
        <v/>
      </c>
      <c r="G407">
        <f>IV_Baza_BDCB!G10</f>
        <v/>
      </c>
      <c r="H407">
        <f>IV_Baza_BDCB!H10</f>
        <v/>
      </c>
      <c r="I407">
        <f>IV_Baza_BDCB!I10</f>
        <v/>
      </c>
      <c r="J407">
        <f>IV_Baza_BDCB!J10</f>
        <v/>
      </c>
      <c r="K407" s="672">
        <f>IV_Baza_BDCB!K10</f>
        <v/>
      </c>
      <c r="L407" s="672">
        <f>IV_Baza_BDCB!L10</f>
        <v/>
      </c>
      <c r="M407">
        <f>IV_Baza_BDCB!M10</f>
        <v/>
      </c>
      <c r="N407">
        <f>IV_Baza_BDCB!N10</f>
        <v/>
      </c>
      <c r="O407">
        <f>IV_Baza_BDCB!O10</f>
        <v/>
      </c>
      <c r="P407" s="628">
        <f>IV_Baza_BDCB!P10</f>
        <v/>
      </c>
      <c r="Q407" s="628">
        <f>IV_Baza_BDCB!Q10</f>
        <v/>
      </c>
      <c r="R407" s="628">
        <f>IV_Baza_BDCB!R10</f>
        <v/>
      </c>
      <c r="S407" s="628">
        <f>IV_Baza_BDCB!S10</f>
        <v/>
      </c>
      <c r="T407" s="628">
        <f>IV_Baza_BDCB!T10</f>
        <v/>
      </c>
      <c r="U407" s="628">
        <f>IV_Baza_BDCB!U10</f>
        <v/>
      </c>
      <c r="V407" s="628">
        <f>IV_Baza_BDCB!V10</f>
        <v/>
      </c>
      <c r="W407" s="628">
        <f>IV_Baza_BDCB!W10</f>
        <v/>
      </c>
      <c r="X407" s="628">
        <f>IV_Baza_BDCB!X10</f>
        <v/>
      </c>
      <c r="Y407" s="650">
        <f>IV_Baza_BDCB!Y10</f>
        <v/>
      </c>
      <c r="Z407" s="650">
        <f>IV_Baza_BDCB!Z10</f>
        <v/>
      </c>
      <c r="AA407" s="650">
        <f>IV_Baza_BDCB!AA10</f>
        <v/>
      </c>
      <c r="AB407" s="650">
        <f>IV_Baza_BDCB!AB10</f>
        <v/>
      </c>
      <c r="AC407" s="613">
        <f>IV_Baza_BDCB!AC10</f>
        <v/>
      </c>
      <c r="AD407" s="613">
        <f>IV_Baza_BDCB!AD10</f>
        <v/>
      </c>
      <c r="AE407" s="613">
        <f>IV_Baza_BDCB!AE10</f>
        <v/>
      </c>
      <c r="AF407" s="613">
        <f>IV_Baza_BDCB!AF10</f>
        <v/>
      </c>
      <c r="AG407" s="626">
        <f>IV_Baza_BDCB!AG10</f>
        <v/>
      </c>
      <c r="AH407" s="626">
        <f>IV_Baza_BDCB!AH10</f>
        <v/>
      </c>
      <c r="AI407" s="626">
        <f>IV_Baza_BDCB!AI10</f>
        <v/>
      </c>
      <c r="AJ407" s="626">
        <f>IV_Baza_BDCB!AJ10</f>
        <v/>
      </c>
      <c r="AK407" s="626">
        <f>IV_Baza_BDCB!AK10</f>
        <v/>
      </c>
      <c r="AL407" s="626">
        <f>IV_Baza_BDCB!AL10</f>
        <v/>
      </c>
      <c r="AM407" s="626">
        <f>IV_Baza_BDCB!AM10</f>
        <v/>
      </c>
      <c r="AN407" s="626">
        <f>IV_Baza_BDCB!AN10</f>
        <v/>
      </c>
      <c r="AO407" s="626">
        <f>IV_Baza_BDCB!AO10</f>
        <v/>
      </c>
      <c r="AP407" s="369">
        <f>IV_Baza_BDCB!AP10</f>
        <v/>
      </c>
      <c r="AQ407" s="369">
        <f>IV_Baza_BDCB!AQ10</f>
        <v/>
      </c>
      <c r="AR407" s="369">
        <f>IV_Baza_BDCB!AR10</f>
        <v/>
      </c>
      <c r="AS407" s="369">
        <f>IV_Baza_BDCB!AS10</f>
        <v/>
      </c>
      <c r="AT407" s="370">
        <f>IV_Baza_BDCB!AT10</f>
        <v/>
      </c>
      <c r="AU407" s="370">
        <f>IV_Baza_BDCB!AU10</f>
        <v/>
      </c>
      <c r="AV407" s="370">
        <f>IV_Baza_BDCB!AV10</f>
        <v/>
      </c>
      <c r="AW407" s="370">
        <f>IV_Baza_BDCB!AW10</f>
        <v/>
      </c>
      <c r="AX407">
        <f>IV_Baza_BDCB!AX10</f>
        <v/>
      </c>
      <c r="AY407">
        <f>IV_Baza_BDCB!AY10</f>
        <v/>
      </c>
      <c r="AZ407">
        <f>IV_Baza_BDCB!AZ10</f>
        <v/>
      </c>
      <c r="BA407">
        <f>IV_Baza_BDCB!BA10</f>
        <v/>
      </c>
      <c r="BB407">
        <f>IV_Baza_BDCB!BB10</f>
        <v/>
      </c>
      <c r="BC407">
        <f>IV_Baza_BDCB!BC10</f>
        <v/>
      </c>
      <c r="BD407">
        <f>IV_Baza_BDCB!BD10</f>
        <v/>
      </c>
      <c r="BE407">
        <f>IV_Baza_BDCB!BE10</f>
        <v/>
      </c>
      <c r="BF407">
        <f>IV_Baza_BDCB!BF10</f>
        <v/>
      </c>
      <c r="BG407">
        <f>IV_Baza_BDCB!BG10</f>
        <v/>
      </c>
      <c r="BH407">
        <f>IV_Baza_BDCB!BH10</f>
        <v/>
      </c>
      <c r="BI407">
        <f>IV_Baza_BDCB!BI10</f>
        <v/>
      </c>
      <c r="BJ407">
        <f>O407</f>
        <v/>
      </c>
      <c r="BK407">
        <f>SUM(AG407:AW407)</f>
        <v/>
      </c>
      <c r="BL407" s="531">
        <f>BJ407-BK407</f>
        <v/>
      </c>
      <c r="BM407" s="201" t="n"/>
    </row>
    <row r="408" hidden="1" outlineLevel="1" s="191">
      <c r="A408">
        <f>IV_Baza_BDCB!A11</f>
        <v/>
      </c>
      <c r="B408">
        <f>IV_Baza_BDCB!B11</f>
        <v/>
      </c>
      <c r="C408">
        <f>IV_Baza_BDCB!C11</f>
        <v/>
      </c>
      <c r="D408">
        <f>IV_Baza_BDCB!D11</f>
        <v/>
      </c>
      <c r="E408">
        <f>IV_Baza_BDCB!E11</f>
        <v/>
      </c>
      <c r="F408">
        <f>IV_Baza_BDCB!F11</f>
        <v/>
      </c>
      <c r="G408">
        <f>IV_Baza_BDCB!G11</f>
        <v/>
      </c>
      <c r="H408">
        <f>IV_Baza_BDCB!H11</f>
        <v/>
      </c>
      <c r="I408">
        <f>IV_Baza_BDCB!I11</f>
        <v/>
      </c>
      <c r="J408">
        <f>IV_Baza_BDCB!J11</f>
        <v/>
      </c>
      <c r="K408" s="672">
        <f>IV_Baza_BDCB!K11</f>
        <v/>
      </c>
      <c r="L408" s="672">
        <f>IV_Baza_BDCB!L11</f>
        <v/>
      </c>
      <c r="M408">
        <f>IV_Baza_BDCB!M11</f>
        <v/>
      </c>
      <c r="N408">
        <f>IV_Baza_BDCB!N11</f>
        <v/>
      </c>
      <c r="O408">
        <f>IV_Baza_BDCB!O11</f>
        <v/>
      </c>
      <c r="P408" s="628">
        <f>IV_Baza_BDCB!P11</f>
        <v/>
      </c>
      <c r="Q408" s="628">
        <f>IV_Baza_BDCB!Q11</f>
        <v/>
      </c>
      <c r="R408" s="628">
        <f>IV_Baza_BDCB!R11</f>
        <v/>
      </c>
      <c r="S408" s="628">
        <f>IV_Baza_BDCB!S11</f>
        <v/>
      </c>
      <c r="T408" s="628">
        <f>IV_Baza_BDCB!T11</f>
        <v/>
      </c>
      <c r="U408" s="628">
        <f>IV_Baza_BDCB!U11</f>
        <v/>
      </c>
      <c r="V408" s="628">
        <f>IV_Baza_BDCB!V11</f>
        <v/>
      </c>
      <c r="W408" s="628">
        <f>IV_Baza_BDCB!W11</f>
        <v/>
      </c>
      <c r="X408" s="628">
        <f>IV_Baza_BDCB!X11</f>
        <v/>
      </c>
      <c r="Y408" s="650">
        <f>IV_Baza_BDCB!Y11</f>
        <v/>
      </c>
      <c r="Z408" s="650">
        <f>IV_Baza_BDCB!Z11</f>
        <v/>
      </c>
      <c r="AA408" s="650">
        <f>IV_Baza_BDCB!AA11</f>
        <v/>
      </c>
      <c r="AB408" s="650">
        <f>IV_Baza_BDCB!AB11</f>
        <v/>
      </c>
      <c r="AC408" s="613">
        <f>IV_Baza_BDCB!AC11</f>
        <v/>
      </c>
      <c r="AD408" s="613">
        <f>IV_Baza_BDCB!AD11</f>
        <v/>
      </c>
      <c r="AE408" s="613">
        <f>IV_Baza_BDCB!AE11</f>
        <v/>
      </c>
      <c r="AF408" s="613">
        <f>IV_Baza_BDCB!AF11</f>
        <v/>
      </c>
      <c r="AG408" s="626">
        <f>IV_Baza_BDCB!AG11</f>
        <v/>
      </c>
      <c r="AH408" s="626">
        <f>IV_Baza_BDCB!AH11</f>
        <v/>
      </c>
      <c r="AI408" s="626">
        <f>IV_Baza_BDCB!AI11</f>
        <v/>
      </c>
      <c r="AJ408" s="626">
        <f>IV_Baza_BDCB!AJ11</f>
        <v/>
      </c>
      <c r="AK408" s="626">
        <f>IV_Baza_BDCB!AK11</f>
        <v/>
      </c>
      <c r="AL408" s="626">
        <f>IV_Baza_BDCB!AL11</f>
        <v/>
      </c>
      <c r="AM408" s="626">
        <f>IV_Baza_BDCB!AM11</f>
        <v/>
      </c>
      <c r="AN408" s="626">
        <f>IV_Baza_BDCB!AN11</f>
        <v/>
      </c>
      <c r="AO408" s="626">
        <f>IV_Baza_BDCB!AO11</f>
        <v/>
      </c>
      <c r="AP408" s="369">
        <f>IV_Baza_BDCB!AP11</f>
        <v/>
      </c>
      <c r="AQ408" s="369">
        <f>IV_Baza_BDCB!AQ11</f>
        <v/>
      </c>
      <c r="AR408" s="369">
        <f>IV_Baza_BDCB!AR11</f>
        <v/>
      </c>
      <c r="AS408" s="369">
        <f>IV_Baza_BDCB!AS11</f>
        <v/>
      </c>
      <c r="AT408" s="370">
        <f>IV_Baza_BDCB!AT11</f>
        <v/>
      </c>
      <c r="AU408" s="370">
        <f>IV_Baza_BDCB!AU11</f>
        <v/>
      </c>
      <c r="AV408" s="370">
        <f>IV_Baza_BDCB!AV11</f>
        <v/>
      </c>
      <c r="AW408" s="370">
        <f>IV_Baza_BDCB!AW11</f>
        <v/>
      </c>
      <c r="AX408">
        <f>IV_Baza_BDCB!AX11</f>
        <v/>
      </c>
      <c r="AY408">
        <f>IV_Baza_BDCB!AY11</f>
        <v/>
      </c>
      <c r="AZ408">
        <f>IV_Baza_BDCB!AZ11</f>
        <v/>
      </c>
      <c r="BA408">
        <f>IV_Baza_BDCB!BA11</f>
        <v/>
      </c>
      <c r="BB408">
        <f>IV_Baza_BDCB!BB11</f>
        <v/>
      </c>
      <c r="BC408">
        <f>IV_Baza_BDCB!BC11</f>
        <v/>
      </c>
      <c r="BD408">
        <f>IV_Baza_BDCB!BD11</f>
        <v/>
      </c>
      <c r="BE408">
        <f>IV_Baza_BDCB!BE11</f>
        <v/>
      </c>
      <c r="BF408">
        <f>IV_Baza_BDCB!BF11</f>
        <v/>
      </c>
      <c r="BG408">
        <f>IV_Baza_BDCB!BG11</f>
        <v/>
      </c>
      <c r="BH408">
        <f>IV_Baza_BDCB!BH11</f>
        <v/>
      </c>
      <c r="BI408">
        <f>IV_Baza_BDCB!BI11</f>
        <v/>
      </c>
      <c r="BJ408">
        <f>O408</f>
        <v/>
      </c>
      <c r="BK408">
        <f>SUM(AG408:AW408)</f>
        <v/>
      </c>
      <c r="BL408" s="531">
        <f>BJ408-BK408</f>
        <v/>
      </c>
      <c r="BM408" s="201" t="n"/>
    </row>
    <row r="409" hidden="1" outlineLevel="1" s="191">
      <c r="A409">
        <f>IV_Baza_BDCB!A12</f>
        <v/>
      </c>
      <c r="B409">
        <f>IV_Baza_BDCB!B12</f>
        <v/>
      </c>
      <c r="C409">
        <f>IV_Baza_BDCB!C12</f>
        <v/>
      </c>
      <c r="D409">
        <f>IV_Baza_BDCB!D12</f>
        <v/>
      </c>
      <c r="E409">
        <f>IV_Baza_BDCB!E12</f>
        <v/>
      </c>
      <c r="F409">
        <f>IV_Baza_BDCB!F12</f>
        <v/>
      </c>
      <c r="G409">
        <f>IV_Baza_BDCB!G12</f>
        <v/>
      </c>
      <c r="H409">
        <f>IV_Baza_BDCB!H12</f>
        <v/>
      </c>
      <c r="I409">
        <f>IV_Baza_BDCB!I12</f>
        <v/>
      </c>
      <c r="J409">
        <f>IV_Baza_BDCB!J12</f>
        <v/>
      </c>
      <c r="K409" s="672">
        <f>IV_Baza_BDCB!K12</f>
        <v/>
      </c>
      <c r="L409" s="672">
        <f>IV_Baza_BDCB!L12</f>
        <v/>
      </c>
      <c r="M409">
        <f>IV_Baza_BDCB!M12</f>
        <v/>
      </c>
      <c r="N409">
        <f>IV_Baza_BDCB!N12</f>
        <v/>
      </c>
      <c r="O409">
        <f>IV_Baza_BDCB!O12</f>
        <v/>
      </c>
      <c r="P409" s="628">
        <f>IV_Baza_BDCB!P12</f>
        <v/>
      </c>
      <c r="Q409" s="628">
        <f>IV_Baza_BDCB!Q12</f>
        <v/>
      </c>
      <c r="R409" s="628">
        <f>IV_Baza_BDCB!R12</f>
        <v/>
      </c>
      <c r="S409" s="628">
        <f>IV_Baza_BDCB!S12</f>
        <v/>
      </c>
      <c r="T409" s="628">
        <f>IV_Baza_BDCB!T12</f>
        <v/>
      </c>
      <c r="U409" s="628">
        <f>IV_Baza_BDCB!U12</f>
        <v/>
      </c>
      <c r="V409" s="628">
        <f>IV_Baza_BDCB!V12</f>
        <v/>
      </c>
      <c r="W409" s="628">
        <f>IV_Baza_BDCB!W12</f>
        <v/>
      </c>
      <c r="X409" s="628">
        <f>IV_Baza_BDCB!X12</f>
        <v/>
      </c>
      <c r="Y409" s="650">
        <f>IV_Baza_BDCB!Y12</f>
        <v/>
      </c>
      <c r="Z409" s="650">
        <f>IV_Baza_BDCB!Z12</f>
        <v/>
      </c>
      <c r="AA409" s="650">
        <f>IV_Baza_BDCB!AA12</f>
        <v/>
      </c>
      <c r="AB409" s="650">
        <f>IV_Baza_BDCB!AB12</f>
        <v/>
      </c>
      <c r="AC409" s="613">
        <f>IV_Baza_BDCB!AC12</f>
        <v/>
      </c>
      <c r="AD409" s="613">
        <f>IV_Baza_BDCB!AD12</f>
        <v/>
      </c>
      <c r="AE409" s="613">
        <f>IV_Baza_BDCB!AE12</f>
        <v/>
      </c>
      <c r="AF409" s="613">
        <f>IV_Baza_BDCB!AF12</f>
        <v/>
      </c>
      <c r="AG409" s="626">
        <f>IV_Baza_BDCB!AG12</f>
        <v/>
      </c>
      <c r="AH409" s="626">
        <f>IV_Baza_BDCB!AH12</f>
        <v/>
      </c>
      <c r="AI409" s="626">
        <f>IV_Baza_BDCB!AI12</f>
        <v/>
      </c>
      <c r="AJ409" s="626">
        <f>IV_Baza_BDCB!AJ12</f>
        <v/>
      </c>
      <c r="AK409" s="626">
        <f>IV_Baza_BDCB!AK12</f>
        <v/>
      </c>
      <c r="AL409" s="626">
        <f>IV_Baza_BDCB!AL12</f>
        <v/>
      </c>
      <c r="AM409" s="626">
        <f>IV_Baza_BDCB!AM12</f>
        <v/>
      </c>
      <c r="AN409" s="626">
        <f>IV_Baza_BDCB!AN12</f>
        <v/>
      </c>
      <c r="AO409" s="626">
        <f>IV_Baza_BDCB!AO12</f>
        <v/>
      </c>
      <c r="AP409" s="369">
        <f>IV_Baza_BDCB!AP12</f>
        <v/>
      </c>
      <c r="AQ409" s="369">
        <f>IV_Baza_BDCB!AQ12</f>
        <v/>
      </c>
      <c r="AR409" s="369">
        <f>IV_Baza_BDCB!AR12</f>
        <v/>
      </c>
      <c r="AS409" s="369">
        <f>IV_Baza_BDCB!AS12</f>
        <v/>
      </c>
      <c r="AT409" s="370">
        <f>IV_Baza_BDCB!AT12</f>
        <v/>
      </c>
      <c r="AU409" s="370">
        <f>IV_Baza_BDCB!AU12</f>
        <v/>
      </c>
      <c r="AV409" s="370">
        <f>IV_Baza_BDCB!AV12</f>
        <v/>
      </c>
      <c r="AW409" s="370">
        <f>IV_Baza_BDCB!AW12</f>
        <v/>
      </c>
      <c r="AX409">
        <f>IV_Baza_BDCB!AX12</f>
        <v/>
      </c>
      <c r="AY409">
        <f>IV_Baza_BDCB!AY12</f>
        <v/>
      </c>
      <c r="AZ409">
        <f>IV_Baza_BDCB!AZ12</f>
        <v/>
      </c>
      <c r="BA409">
        <f>IV_Baza_BDCB!BA12</f>
        <v/>
      </c>
      <c r="BB409">
        <f>IV_Baza_BDCB!BB12</f>
        <v/>
      </c>
      <c r="BC409">
        <f>IV_Baza_BDCB!BC12</f>
        <v/>
      </c>
      <c r="BD409">
        <f>IV_Baza_BDCB!BD12</f>
        <v/>
      </c>
      <c r="BE409">
        <f>IV_Baza_BDCB!BE12</f>
        <v/>
      </c>
      <c r="BF409">
        <f>IV_Baza_BDCB!BF12</f>
        <v/>
      </c>
      <c r="BG409">
        <f>IV_Baza_BDCB!BG12</f>
        <v/>
      </c>
      <c r="BH409">
        <f>IV_Baza_BDCB!BH12</f>
        <v/>
      </c>
      <c r="BI409">
        <f>IV_Baza_BDCB!BI12</f>
        <v/>
      </c>
      <c r="BJ409">
        <f>O409</f>
        <v/>
      </c>
      <c r="BK409">
        <f>SUM(AG409:AW409)</f>
        <v/>
      </c>
      <c r="BL409" s="531">
        <f>BJ409-BK409</f>
        <v/>
      </c>
      <c r="BM409" s="201" t="n"/>
    </row>
    <row r="410" hidden="1" outlineLevel="1" s="191">
      <c r="A410">
        <f>IV_Baza_BDCB!A13</f>
        <v/>
      </c>
      <c r="B410">
        <f>IV_Baza_BDCB!B13</f>
        <v/>
      </c>
      <c r="C410">
        <f>IV_Baza_BDCB!C13</f>
        <v/>
      </c>
      <c r="D410">
        <f>IV_Baza_BDCB!D13</f>
        <v/>
      </c>
      <c r="E410">
        <f>IV_Baza_BDCB!E13</f>
        <v/>
      </c>
      <c r="F410">
        <f>IV_Baza_BDCB!F13</f>
        <v/>
      </c>
      <c r="G410">
        <f>IV_Baza_BDCB!G13</f>
        <v/>
      </c>
      <c r="H410">
        <f>IV_Baza_BDCB!H13</f>
        <v/>
      </c>
      <c r="I410">
        <f>IV_Baza_BDCB!I13</f>
        <v/>
      </c>
      <c r="J410">
        <f>IV_Baza_BDCB!J13</f>
        <v/>
      </c>
      <c r="K410" s="672">
        <f>IV_Baza_BDCB!K13</f>
        <v/>
      </c>
      <c r="L410" s="672">
        <f>IV_Baza_BDCB!L13</f>
        <v/>
      </c>
      <c r="M410">
        <f>IV_Baza_BDCB!M13</f>
        <v/>
      </c>
      <c r="N410">
        <f>IV_Baza_BDCB!N13</f>
        <v/>
      </c>
      <c r="O410">
        <f>IV_Baza_BDCB!O13</f>
        <v/>
      </c>
      <c r="P410" s="628">
        <f>IV_Baza_BDCB!P13</f>
        <v/>
      </c>
      <c r="Q410" s="628">
        <f>IV_Baza_BDCB!Q13</f>
        <v/>
      </c>
      <c r="R410" s="628">
        <f>IV_Baza_BDCB!R13</f>
        <v/>
      </c>
      <c r="S410" s="628">
        <f>IV_Baza_BDCB!S13</f>
        <v/>
      </c>
      <c r="T410" s="628">
        <f>IV_Baza_BDCB!T13</f>
        <v/>
      </c>
      <c r="U410" s="628">
        <f>IV_Baza_BDCB!U13</f>
        <v/>
      </c>
      <c r="V410" s="628">
        <f>IV_Baza_BDCB!V13</f>
        <v/>
      </c>
      <c r="W410" s="628">
        <f>IV_Baza_BDCB!W13</f>
        <v/>
      </c>
      <c r="X410" s="628">
        <f>IV_Baza_BDCB!X13</f>
        <v/>
      </c>
      <c r="Y410" s="650">
        <f>IV_Baza_BDCB!Y13</f>
        <v/>
      </c>
      <c r="Z410" s="650">
        <f>IV_Baza_BDCB!Z13</f>
        <v/>
      </c>
      <c r="AA410" s="650">
        <f>IV_Baza_BDCB!AA13</f>
        <v/>
      </c>
      <c r="AB410" s="650">
        <f>IV_Baza_BDCB!AB13</f>
        <v/>
      </c>
      <c r="AC410" s="613">
        <f>IV_Baza_BDCB!AC13</f>
        <v/>
      </c>
      <c r="AD410" s="613">
        <f>IV_Baza_BDCB!AD13</f>
        <v/>
      </c>
      <c r="AE410" s="613">
        <f>IV_Baza_BDCB!AE13</f>
        <v/>
      </c>
      <c r="AF410" s="613">
        <f>IV_Baza_BDCB!AF13</f>
        <v/>
      </c>
      <c r="AG410" s="626">
        <f>IV_Baza_BDCB!AG13</f>
        <v/>
      </c>
      <c r="AH410" s="626">
        <f>IV_Baza_BDCB!AH13</f>
        <v/>
      </c>
      <c r="AI410" s="626">
        <f>IV_Baza_BDCB!AI13</f>
        <v/>
      </c>
      <c r="AJ410" s="626">
        <f>IV_Baza_BDCB!AJ13</f>
        <v/>
      </c>
      <c r="AK410" s="626">
        <f>IV_Baza_BDCB!AK13</f>
        <v/>
      </c>
      <c r="AL410" s="626">
        <f>IV_Baza_BDCB!AL13</f>
        <v/>
      </c>
      <c r="AM410" s="626">
        <f>IV_Baza_BDCB!AM13</f>
        <v/>
      </c>
      <c r="AN410" s="626">
        <f>IV_Baza_BDCB!AN13</f>
        <v/>
      </c>
      <c r="AO410" s="626">
        <f>IV_Baza_BDCB!AO13</f>
        <v/>
      </c>
      <c r="AP410" s="369">
        <f>IV_Baza_BDCB!AP13</f>
        <v/>
      </c>
      <c r="AQ410" s="369">
        <f>IV_Baza_BDCB!AQ13</f>
        <v/>
      </c>
      <c r="AR410" s="369">
        <f>IV_Baza_BDCB!AR13</f>
        <v/>
      </c>
      <c r="AS410" s="369">
        <f>IV_Baza_BDCB!AS13</f>
        <v/>
      </c>
      <c r="AT410" s="370">
        <f>IV_Baza_BDCB!AT13</f>
        <v/>
      </c>
      <c r="AU410" s="370">
        <f>IV_Baza_BDCB!AU13</f>
        <v/>
      </c>
      <c r="AV410" s="370">
        <f>IV_Baza_BDCB!AV13</f>
        <v/>
      </c>
      <c r="AW410" s="370">
        <f>IV_Baza_BDCB!AW13</f>
        <v/>
      </c>
      <c r="AX410">
        <f>IV_Baza_BDCB!AX13</f>
        <v/>
      </c>
      <c r="AY410">
        <f>IV_Baza_BDCB!AY13</f>
        <v/>
      </c>
      <c r="AZ410">
        <f>IV_Baza_BDCB!AZ13</f>
        <v/>
      </c>
      <c r="BA410">
        <f>IV_Baza_BDCB!BA13</f>
        <v/>
      </c>
      <c r="BB410">
        <f>IV_Baza_BDCB!BB13</f>
        <v/>
      </c>
      <c r="BC410">
        <f>IV_Baza_BDCB!BC13</f>
        <v/>
      </c>
      <c r="BD410">
        <f>IV_Baza_BDCB!BD13</f>
        <v/>
      </c>
      <c r="BE410">
        <f>IV_Baza_BDCB!BE13</f>
        <v/>
      </c>
      <c r="BF410">
        <f>IV_Baza_BDCB!BF13</f>
        <v/>
      </c>
      <c r="BG410">
        <f>IV_Baza_BDCB!BG13</f>
        <v/>
      </c>
      <c r="BH410">
        <f>IV_Baza_BDCB!BH13</f>
        <v/>
      </c>
      <c r="BI410">
        <f>IV_Baza_BDCB!BI13</f>
        <v/>
      </c>
      <c r="BJ410">
        <f>O410</f>
        <v/>
      </c>
      <c r="BK410">
        <f>SUM(AG410:AW410)</f>
        <v/>
      </c>
      <c r="BL410" s="531">
        <f>BJ410-BK410</f>
        <v/>
      </c>
      <c r="BM410" s="201" t="n"/>
    </row>
    <row r="411" hidden="1" outlineLevel="1" s="191">
      <c r="A411">
        <f>IV_Baza_BDCB!A14</f>
        <v/>
      </c>
      <c r="B411">
        <f>IV_Baza_BDCB!B14</f>
        <v/>
      </c>
      <c r="C411">
        <f>IV_Baza_BDCB!C14</f>
        <v/>
      </c>
      <c r="D411">
        <f>IV_Baza_BDCB!D14</f>
        <v/>
      </c>
      <c r="E411">
        <f>IV_Baza_BDCB!E14</f>
        <v/>
      </c>
      <c r="F411">
        <f>IV_Baza_BDCB!F14</f>
        <v/>
      </c>
      <c r="G411">
        <f>IV_Baza_BDCB!G14</f>
        <v/>
      </c>
      <c r="H411">
        <f>IV_Baza_BDCB!H14</f>
        <v/>
      </c>
      <c r="I411">
        <f>IV_Baza_BDCB!I14</f>
        <v/>
      </c>
      <c r="J411">
        <f>IV_Baza_BDCB!J14</f>
        <v/>
      </c>
      <c r="K411" s="672">
        <f>IV_Baza_BDCB!K14</f>
        <v/>
      </c>
      <c r="L411" s="672">
        <f>IV_Baza_BDCB!L14</f>
        <v/>
      </c>
      <c r="M411">
        <f>IV_Baza_BDCB!M14</f>
        <v/>
      </c>
      <c r="N411">
        <f>IV_Baza_BDCB!N14</f>
        <v/>
      </c>
      <c r="O411">
        <f>IV_Baza_BDCB!O14</f>
        <v/>
      </c>
      <c r="P411" s="628">
        <f>IV_Baza_BDCB!P14</f>
        <v/>
      </c>
      <c r="Q411" s="628">
        <f>IV_Baza_BDCB!Q14</f>
        <v/>
      </c>
      <c r="R411" s="628">
        <f>IV_Baza_BDCB!R14</f>
        <v/>
      </c>
      <c r="S411" s="628">
        <f>IV_Baza_BDCB!S14</f>
        <v/>
      </c>
      <c r="T411" s="628">
        <f>IV_Baza_BDCB!T14</f>
        <v/>
      </c>
      <c r="U411" s="628">
        <f>IV_Baza_BDCB!U14</f>
        <v/>
      </c>
      <c r="V411" s="628">
        <f>IV_Baza_BDCB!V14</f>
        <v/>
      </c>
      <c r="W411" s="628">
        <f>IV_Baza_BDCB!W14</f>
        <v/>
      </c>
      <c r="X411" s="628">
        <f>IV_Baza_BDCB!X14</f>
        <v/>
      </c>
      <c r="Y411" s="650">
        <f>IV_Baza_BDCB!Y14</f>
        <v/>
      </c>
      <c r="Z411" s="650">
        <f>IV_Baza_BDCB!Z14</f>
        <v/>
      </c>
      <c r="AA411" s="650">
        <f>IV_Baza_BDCB!AA14</f>
        <v/>
      </c>
      <c r="AB411" s="650">
        <f>IV_Baza_BDCB!AB14</f>
        <v/>
      </c>
      <c r="AC411" s="613">
        <f>IV_Baza_BDCB!AC14</f>
        <v/>
      </c>
      <c r="AD411" s="613">
        <f>IV_Baza_BDCB!AD14</f>
        <v/>
      </c>
      <c r="AE411" s="613">
        <f>IV_Baza_BDCB!AE14</f>
        <v/>
      </c>
      <c r="AF411" s="613">
        <f>IV_Baza_BDCB!AF14</f>
        <v/>
      </c>
      <c r="AG411" s="626">
        <f>IV_Baza_BDCB!AG14</f>
        <v/>
      </c>
      <c r="AH411" s="626">
        <f>IV_Baza_BDCB!AH14</f>
        <v/>
      </c>
      <c r="AI411" s="626">
        <f>IV_Baza_BDCB!AI14</f>
        <v/>
      </c>
      <c r="AJ411" s="626">
        <f>IV_Baza_BDCB!AJ14</f>
        <v/>
      </c>
      <c r="AK411" s="626">
        <f>IV_Baza_BDCB!AK14</f>
        <v/>
      </c>
      <c r="AL411" s="626">
        <f>IV_Baza_BDCB!AL14</f>
        <v/>
      </c>
      <c r="AM411" s="626">
        <f>IV_Baza_BDCB!AM14</f>
        <v/>
      </c>
      <c r="AN411" s="626">
        <f>IV_Baza_BDCB!AN14</f>
        <v/>
      </c>
      <c r="AO411" s="626">
        <f>IV_Baza_BDCB!AO14</f>
        <v/>
      </c>
      <c r="AP411" s="369">
        <f>IV_Baza_BDCB!AP14</f>
        <v/>
      </c>
      <c r="AQ411" s="369">
        <f>IV_Baza_BDCB!AQ14</f>
        <v/>
      </c>
      <c r="AR411" s="369">
        <f>IV_Baza_BDCB!AR14</f>
        <v/>
      </c>
      <c r="AS411" s="369">
        <f>IV_Baza_BDCB!AS14</f>
        <v/>
      </c>
      <c r="AT411" s="370">
        <f>IV_Baza_BDCB!AT14</f>
        <v/>
      </c>
      <c r="AU411" s="370">
        <f>IV_Baza_BDCB!AU14</f>
        <v/>
      </c>
      <c r="AV411" s="370">
        <f>IV_Baza_BDCB!AV14</f>
        <v/>
      </c>
      <c r="AW411" s="370">
        <f>IV_Baza_BDCB!AW14</f>
        <v/>
      </c>
      <c r="AX411">
        <f>IV_Baza_BDCB!AX14</f>
        <v/>
      </c>
      <c r="AY411">
        <f>IV_Baza_BDCB!AY14</f>
        <v/>
      </c>
      <c r="AZ411">
        <f>IV_Baza_BDCB!AZ14</f>
        <v/>
      </c>
      <c r="BA411">
        <f>IV_Baza_BDCB!BA14</f>
        <v/>
      </c>
      <c r="BB411">
        <f>IV_Baza_BDCB!BB14</f>
        <v/>
      </c>
      <c r="BC411">
        <f>IV_Baza_BDCB!BC14</f>
        <v/>
      </c>
      <c r="BD411">
        <f>IV_Baza_BDCB!BD14</f>
        <v/>
      </c>
      <c r="BE411">
        <f>IV_Baza_BDCB!BE14</f>
        <v/>
      </c>
      <c r="BF411">
        <f>IV_Baza_BDCB!BF14</f>
        <v/>
      </c>
      <c r="BG411">
        <f>IV_Baza_BDCB!BG14</f>
        <v/>
      </c>
      <c r="BH411">
        <f>IV_Baza_BDCB!BH14</f>
        <v/>
      </c>
      <c r="BI411">
        <f>IV_Baza_BDCB!BI14</f>
        <v/>
      </c>
      <c r="BJ411">
        <f>O411</f>
        <v/>
      </c>
      <c r="BK411">
        <f>SUM(AG411:AW411)</f>
        <v/>
      </c>
      <c r="BL411" s="531">
        <f>BJ411-BK411</f>
        <v/>
      </c>
      <c r="BM411" s="201" t="n"/>
    </row>
    <row r="412" hidden="1" outlineLevel="1" s="191">
      <c r="A412">
        <f>IV_Baza_BDCB!A15</f>
        <v/>
      </c>
      <c r="B412">
        <f>IV_Baza_BDCB!B15</f>
        <v/>
      </c>
      <c r="C412">
        <f>IV_Baza_BDCB!C15</f>
        <v/>
      </c>
      <c r="D412">
        <f>IV_Baza_BDCB!D15</f>
        <v/>
      </c>
      <c r="E412">
        <f>IV_Baza_BDCB!E15</f>
        <v/>
      </c>
      <c r="F412">
        <f>IV_Baza_BDCB!F15</f>
        <v/>
      </c>
      <c r="G412">
        <f>IV_Baza_BDCB!G15</f>
        <v/>
      </c>
      <c r="H412">
        <f>IV_Baza_BDCB!H15</f>
        <v/>
      </c>
      <c r="I412">
        <f>IV_Baza_BDCB!I15</f>
        <v/>
      </c>
      <c r="J412">
        <f>IV_Baza_BDCB!J15</f>
        <v/>
      </c>
      <c r="K412" s="672">
        <f>IV_Baza_BDCB!K15</f>
        <v/>
      </c>
      <c r="L412" s="672">
        <f>IV_Baza_BDCB!L15</f>
        <v/>
      </c>
      <c r="M412">
        <f>IV_Baza_BDCB!M15</f>
        <v/>
      </c>
      <c r="N412">
        <f>IV_Baza_BDCB!N15</f>
        <v/>
      </c>
      <c r="O412">
        <f>IV_Baza_BDCB!O15</f>
        <v/>
      </c>
      <c r="P412" s="628">
        <f>IV_Baza_BDCB!P15</f>
        <v/>
      </c>
      <c r="Q412" s="628">
        <f>IV_Baza_BDCB!Q15</f>
        <v/>
      </c>
      <c r="R412" s="628">
        <f>IV_Baza_BDCB!R15</f>
        <v/>
      </c>
      <c r="S412" s="628">
        <f>IV_Baza_BDCB!S15</f>
        <v/>
      </c>
      <c r="T412" s="628">
        <f>IV_Baza_BDCB!T15</f>
        <v/>
      </c>
      <c r="U412" s="628">
        <f>IV_Baza_BDCB!U15</f>
        <v/>
      </c>
      <c r="V412" s="628">
        <f>IV_Baza_BDCB!V15</f>
        <v/>
      </c>
      <c r="W412" s="628">
        <f>IV_Baza_BDCB!W15</f>
        <v/>
      </c>
      <c r="X412" s="628">
        <f>IV_Baza_BDCB!X15</f>
        <v/>
      </c>
      <c r="Y412" s="650">
        <f>IV_Baza_BDCB!Y15</f>
        <v/>
      </c>
      <c r="Z412" s="650">
        <f>IV_Baza_BDCB!Z15</f>
        <v/>
      </c>
      <c r="AA412" s="650">
        <f>IV_Baza_BDCB!AA15</f>
        <v/>
      </c>
      <c r="AB412" s="650">
        <f>IV_Baza_BDCB!AB15</f>
        <v/>
      </c>
      <c r="AC412" s="613">
        <f>IV_Baza_BDCB!AC15</f>
        <v/>
      </c>
      <c r="AD412" s="613">
        <f>IV_Baza_BDCB!AD15</f>
        <v/>
      </c>
      <c r="AE412" s="613">
        <f>IV_Baza_BDCB!AE15</f>
        <v/>
      </c>
      <c r="AF412" s="613">
        <f>IV_Baza_BDCB!AF15</f>
        <v/>
      </c>
      <c r="AG412" s="626">
        <f>IV_Baza_BDCB!AG15</f>
        <v/>
      </c>
      <c r="AH412" s="626">
        <f>IV_Baza_BDCB!AH15</f>
        <v/>
      </c>
      <c r="AI412" s="626">
        <f>IV_Baza_BDCB!AI15</f>
        <v/>
      </c>
      <c r="AJ412" s="626">
        <f>IV_Baza_BDCB!AJ15</f>
        <v/>
      </c>
      <c r="AK412" s="626">
        <f>IV_Baza_BDCB!AK15</f>
        <v/>
      </c>
      <c r="AL412" s="626">
        <f>IV_Baza_BDCB!AL15</f>
        <v/>
      </c>
      <c r="AM412" s="626">
        <f>IV_Baza_BDCB!AM15</f>
        <v/>
      </c>
      <c r="AN412" s="626">
        <f>IV_Baza_BDCB!AN15</f>
        <v/>
      </c>
      <c r="AO412" s="626">
        <f>IV_Baza_BDCB!AO15</f>
        <v/>
      </c>
      <c r="AP412" s="369">
        <f>IV_Baza_BDCB!AP15</f>
        <v/>
      </c>
      <c r="AQ412" s="369">
        <f>IV_Baza_BDCB!AQ15</f>
        <v/>
      </c>
      <c r="AR412" s="369">
        <f>IV_Baza_BDCB!AR15</f>
        <v/>
      </c>
      <c r="AS412" s="369">
        <f>IV_Baza_BDCB!AS15</f>
        <v/>
      </c>
      <c r="AT412" s="370">
        <f>IV_Baza_BDCB!AT15</f>
        <v/>
      </c>
      <c r="AU412" s="370">
        <f>IV_Baza_BDCB!AU15</f>
        <v/>
      </c>
      <c r="AV412" s="370">
        <f>IV_Baza_BDCB!AV15</f>
        <v/>
      </c>
      <c r="AW412" s="370">
        <f>IV_Baza_BDCB!AW15</f>
        <v/>
      </c>
      <c r="AX412">
        <f>IV_Baza_BDCB!AX15</f>
        <v/>
      </c>
      <c r="AY412">
        <f>IV_Baza_BDCB!AY15</f>
        <v/>
      </c>
      <c r="AZ412">
        <f>IV_Baza_BDCB!AZ15</f>
        <v/>
      </c>
      <c r="BA412">
        <f>IV_Baza_BDCB!BA15</f>
        <v/>
      </c>
      <c r="BB412">
        <f>IV_Baza_BDCB!BB15</f>
        <v/>
      </c>
      <c r="BC412">
        <f>IV_Baza_BDCB!BC15</f>
        <v/>
      </c>
      <c r="BD412">
        <f>IV_Baza_BDCB!BD15</f>
        <v/>
      </c>
      <c r="BE412">
        <f>IV_Baza_BDCB!BE15</f>
        <v/>
      </c>
      <c r="BF412">
        <f>IV_Baza_BDCB!BF15</f>
        <v/>
      </c>
      <c r="BG412">
        <f>IV_Baza_BDCB!BG15</f>
        <v/>
      </c>
      <c r="BH412">
        <f>IV_Baza_BDCB!BH15</f>
        <v/>
      </c>
      <c r="BI412">
        <f>IV_Baza_BDCB!BI15</f>
        <v/>
      </c>
      <c r="BJ412">
        <f>O412</f>
        <v/>
      </c>
      <c r="BK412">
        <f>SUM(AG412:AW412)</f>
        <v/>
      </c>
      <c r="BL412" s="531">
        <f>BJ412-BK412</f>
        <v/>
      </c>
      <c r="BM412" s="201" t="n"/>
    </row>
    <row r="413" hidden="1" outlineLevel="1" s="191">
      <c r="A413">
        <f>IV_Baza_BDCB!A16</f>
        <v/>
      </c>
      <c r="B413">
        <f>IV_Baza_BDCB!B16</f>
        <v/>
      </c>
      <c r="C413">
        <f>IV_Baza_BDCB!C16</f>
        <v/>
      </c>
      <c r="D413">
        <f>IV_Baza_BDCB!D16</f>
        <v/>
      </c>
      <c r="E413">
        <f>IV_Baza_BDCB!E16</f>
        <v/>
      </c>
      <c r="F413">
        <f>IV_Baza_BDCB!F16</f>
        <v/>
      </c>
      <c r="G413">
        <f>IV_Baza_BDCB!G16</f>
        <v/>
      </c>
      <c r="H413">
        <f>IV_Baza_BDCB!H16</f>
        <v/>
      </c>
      <c r="I413">
        <f>IV_Baza_BDCB!I16</f>
        <v/>
      </c>
      <c r="J413">
        <f>IV_Baza_BDCB!J16</f>
        <v/>
      </c>
      <c r="K413" s="672">
        <f>IV_Baza_BDCB!K16</f>
        <v/>
      </c>
      <c r="L413" s="672">
        <f>IV_Baza_BDCB!L16</f>
        <v/>
      </c>
      <c r="M413">
        <f>IV_Baza_BDCB!M16</f>
        <v/>
      </c>
      <c r="N413">
        <f>IV_Baza_BDCB!N16</f>
        <v/>
      </c>
      <c r="O413">
        <f>IV_Baza_BDCB!O16</f>
        <v/>
      </c>
      <c r="P413" s="628">
        <f>IV_Baza_BDCB!P16</f>
        <v/>
      </c>
      <c r="Q413" s="628">
        <f>IV_Baza_BDCB!Q16</f>
        <v/>
      </c>
      <c r="R413" s="628">
        <f>IV_Baza_BDCB!R16</f>
        <v/>
      </c>
      <c r="S413" s="628">
        <f>IV_Baza_BDCB!S16</f>
        <v/>
      </c>
      <c r="T413" s="628">
        <f>IV_Baza_BDCB!T16</f>
        <v/>
      </c>
      <c r="U413" s="628">
        <f>IV_Baza_BDCB!U16</f>
        <v/>
      </c>
      <c r="V413" s="628">
        <f>IV_Baza_BDCB!V16</f>
        <v/>
      </c>
      <c r="W413" s="628">
        <f>IV_Baza_BDCB!W16</f>
        <v/>
      </c>
      <c r="X413" s="628">
        <f>IV_Baza_BDCB!X16</f>
        <v/>
      </c>
      <c r="Y413" s="650">
        <f>IV_Baza_BDCB!Y16</f>
        <v/>
      </c>
      <c r="Z413" s="650">
        <f>IV_Baza_BDCB!Z16</f>
        <v/>
      </c>
      <c r="AA413" s="650">
        <f>IV_Baza_BDCB!AA16</f>
        <v/>
      </c>
      <c r="AB413" s="650">
        <f>IV_Baza_BDCB!AB16</f>
        <v/>
      </c>
      <c r="AC413" s="613">
        <f>IV_Baza_BDCB!AC16</f>
        <v/>
      </c>
      <c r="AD413" s="613">
        <f>IV_Baza_BDCB!AD16</f>
        <v/>
      </c>
      <c r="AE413" s="613">
        <f>IV_Baza_BDCB!AE16</f>
        <v/>
      </c>
      <c r="AF413" s="613">
        <f>IV_Baza_BDCB!AF16</f>
        <v/>
      </c>
      <c r="AG413" s="626">
        <f>IV_Baza_BDCB!AG16</f>
        <v/>
      </c>
      <c r="AH413" s="626">
        <f>IV_Baza_BDCB!AH16</f>
        <v/>
      </c>
      <c r="AI413" s="626">
        <f>IV_Baza_BDCB!AI16</f>
        <v/>
      </c>
      <c r="AJ413" s="626">
        <f>IV_Baza_BDCB!AJ16</f>
        <v/>
      </c>
      <c r="AK413" s="626">
        <f>IV_Baza_BDCB!AK16</f>
        <v/>
      </c>
      <c r="AL413" s="626">
        <f>IV_Baza_BDCB!AL16</f>
        <v/>
      </c>
      <c r="AM413" s="626">
        <f>IV_Baza_BDCB!AM16</f>
        <v/>
      </c>
      <c r="AN413" s="626">
        <f>IV_Baza_BDCB!AN16</f>
        <v/>
      </c>
      <c r="AO413" s="626">
        <f>IV_Baza_BDCB!AO16</f>
        <v/>
      </c>
      <c r="AP413" s="369">
        <f>IV_Baza_BDCB!AP16</f>
        <v/>
      </c>
      <c r="AQ413" s="369">
        <f>IV_Baza_BDCB!AQ16</f>
        <v/>
      </c>
      <c r="AR413" s="369">
        <f>IV_Baza_BDCB!AR16</f>
        <v/>
      </c>
      <c r="AS413" s="369">
        <f>IV_Baza_BDCB!AS16</f>
        <v/>
      </c>
      <c r="AT413" s="370">
        <f>IV_Baza_BDCB!AT16</f>
        <v/>
      </c>
      <c r="AU413" s="370">
        <f>IV_Baza_BDCB!AU16</f>
        <v/>
      </c>
      <c r="AV413" s="370">
        <f>IV_Baza_BDCB!AV16</f>
        <v/>
      </c>
      <c r="AW413" s="370">
        <f>IV_Baza_BDCB!AW16</f>
        <v/>
      </c>
      <c r="AX413">
        <f>IV_Baza_BDCB!AX16</f>
        <v/>
      </c>
      <c r="AY413">
        <f>IV_Baza_BDCB!AY16</f>
        <v/>
      </c>
      <c r="AZ413">
        <f>IV_Baza_BDCB!AZ16</f>
        <v/>
      </c>
      <c r="BA413">
        <f>IV_Baza_BDCB!BA16</f>
        <v/>
      </c>
      <c r="BB413">
        <f>IV_Baza_BDCB!BB16</f>
        <v/>
      </c>
      <c r="BC413">
        <f>IV_Baza_BDCB!BC16</f>
        <v/>
      </c>
      <c r="BD413">
        <f>IV_Baza_BDCB!BD16</f>
        <v/>
      </c>
      <c r="BE413">
        <f>IV_Baza_BDCB!BE16</f>
        <v/>
      </c>
      <c r="BF413">
        <f>IV_Baza_BDCB!BF16</f>
        <v/>
      </c>
      <c r="BG413">
        <f>IV_Baza_BDCB!BG16</f>
        <v/>
      </c>
      <c r="BH413">
        <f>IV_Baza_BDCB!BH16</f>
        <v/>
      </c>
      <c r="BI413">
        <f>IV_Baza_BDCB!BI16</f>
        <v/>
      </c>
      <c r="BJ413">
        <f>O413</f>
        <v/>
      </c>
      <c r="BK413">
        <f>SUM(AG413:AW413)</f>
        <v/>
      </c>
      <c r="BL413" s="531">
        <f>BJ413-BK413</f>
        <v/>
      </c>
      <c r="BM413" s="201" t="n"/>
    </row>
    <row r="414" hidden="1" outlineLevel="1" s="191">
      <c r="A414">
        <f>IV_Baza_BDCB!A17</f>
        <v/>
      </c>
      <c r="B414">
        <f>IV_Baza_BDCB!B17</f>
        <v/>
      </c>
      <c r="C414">
        <f>IV_Baza_BDCB!C17</f>
        <v/>
      </c>
      <c r="D414">
        <f>IV_Baza_BDCB!D17</f>
        <v/>
      </c>
      <c r="E414">
        <f>IV_Baza_BDCB!E17</f>
        <v/>
      </c>
      <c r="F414">
        <f>IV_Baza_BDCB!F17</f>
        <v/>
      </c>
      <c r="G414">
        <f>IV_Baza_BDCB!G17</f>
        <v/>
      </c>
      <c r="H414">
        <f>IV_Baza_BDCB!H17</f>
        <v/>
      </c>
      <c r="I414">
        <f>IV_Baza_BDCB!I17</f>
        <v/>
      </c>
      <c r="J414">
        <f>IV_Baza_BDCB!J17</f>
        <v/>
      </c>
      <c r="K414" s="672">
        <f>IV_Baza_BDCB!K17</f>
        <v/>
      </c>
      <c r="L414" s="672">
        <f>IV_Baza_BDCB!L17</f>
        <v/>
      </c>
      <c r="M414">
        <f>IV_Baza_BDCB!M17</f>
        <v/>
      </c>
      <c r="N414">
        <f>IV_Baza_BDCB!N17</f>
        <v/>
      </c>
      <c r="O414">
        <f>IV_Baza_BDCB!O17</f>
        <v/>
      </c>
      <c r="P414" s="628">
        <f>IV_Baza_BDCB!P17</f>
        <v/>
      </c>
      <c r="Q414" s="628">
        <f>IV_Baza_BDCB!Q17</f>
        <v/>
      </c>
      <c r="R414" s="628">
        <f>IV_Baza_BDCB!R17</f>
        <v/>
      </c>
      <c r="S414" s="628">
        <f>IV_Baza_BDCB!S17</f>
        <v/>
      </c>
      <c r="T414" s="628">
        <f>IV_Baza_BDCB!T17</f>
        <v/>
      </c>
      <c r="U414" s="628">
        <f>IV_Baza_BDCB!U17</f>
        <v/>
      </c>
      <c r="V414" s="628">
        <f>IV_Baza_BDCB!V17</f>
        <v/>
      </c>
      <c r="W414" s="628">
        <f>IV_Baza_BDCB!W17</f>
        <v/>
      </c>
      <c r="X414" s="628">
        <f>IV_Baza_BDCB!X17</f>
        <v/>
      </c>
      <c r="Y414" s="650">
        <f>IV_Baza_BDCB!Y17</f>
        <v/>
      </c>
      <c r="Z414" s="650">
        <f>IV_Baza_BDCB!Z17</f>
        <v/>
      </c>
      <c r="AA414" s="650">
        <f>IV_Baza_BDCB!AA17</f>
        <v/>
      </c>
      <c r="AB414" s="650">
        <f>IV_Baza_BDCB!AB17</f>
        <v/>
      </c>
      <c r="AC414" s="613">
        <f>IV_Baza_BDCB!AC17</f>
        <v/>
      </c>
      <c r="AD414" s="613">
        <f>IV_Baza_BDCB!AD17</f>
        <v/>
      </c>
      <c r="AE414" s="613">
        <f>IV_Baza_BDCB!AE17</f>
        <v/>
      </c>
      <c r="AF414" s="613">
        <f>IV_Baza_BDCB!AF17</f>
        <v/>
      </c>
      <c r="AG414" s="626">
        <f>IV_Baza_BDCB!AG17</f>
        <v/>
      </c>
      <c r="AH414" s="626">
        <f>IV_Baza_BDCB!AH17</f>
        <v/>
      </c>
      <c r="AI414" s="626">
        <f>IV_Baza_BDCB!AI17</f>
        <v/>
      </c>
      <c r="AJ414" s="626">
        <f>IV_Baza_BDCB!AJ17</f>
        <v/>
      </c>
      <c r="AK414" s="626">
        <f>IV_Baza_BDCB!AK17</f>
        <v/>
      </c>
      <c r="AL414" s="626">
        <f>IV_Baza_BDCB!AL17</f>
        <v/>
      </c>
      <c r="AM414" s="626">
        <f>IV_Baza_BDCB!AM17</f>
        <v/>
      </c>
      <c r="AN414" s="626">
        <f>IV_Baza_BDCB!AN17</f>
        <v/>
      </c>
      <c r="AO414" s="626">
        <f>IV_Baza_BDCB!AO17</f>
        <v/>
      </c>
      <c r="AP414" s="369">
        <f>IV_Baza_BDCB!AP17</f>
        <v/>
      </c>
      <c r="AQ414" s="369">
        <f>IV_Baza_BDCB!AQ17</f>
        <v/>
      </c>
      <c r="AR414" s="369">
        <f>IV_Baza_BDCB!AR17</f>
        <v/>
      </c>
      <c r="AS414" s="369">
        <f>IV_Baza_BDCB!AS17</f>
        <v/>
      </c>
      <c r="AT414" s="370">
        <f>IV_Baza_BDCB!AT17</f>
        <v/>
      </c>
      <c r="AU414" s="370">
        <f>IV_Baza_BDCB!AU17</f>
        <v/>
      </c>
      <c r="AV414" s="370">
        <f>IV_Baza_BDCB!AV17</f>
        <v/>
      </c>
      <c r="AW414" s="370">
        <f>IV_Baza_BDCB!AW17</f>
        <v/>
      </c>
      <c r="AX414">
        <f>IV_Baza_BDCB!AX17</f>
        <v/>
      </c>
      <c r="AY414">
        <f>IV_Baza_BDCB!AY17</f>
        <v/>
      </c>
      <c r="AZ414">
        <f>IV_Baza_BDCB!AZ17</f>
        <v/>
      </c>
      <c r="BA414">
        <f>IV_Baza_BDCB!BA17</f>
        <v/>
      </c>
      <c r="BB414">
        <f>IV_Baza_BDCB!BB17</f>
        <v/>
      </c>
      <c r="BC414">
        <f>IV_Baza_BDCB!BC17</f>
        <v/>
      </c>
      <c r="BD414">
        <f>IV_Baza_BDCB!BD17</f>
        <v/>
      </c>
      <c r="BE414">
        <f>IV_Baza_BDCB!BE17</f>
        <v/>
      </c>
      <c r="BF414">
        <f>IV_Baza_BDCB!BF17</f>
        <v/>
      </c>
      <c r="BG414">
        <f>IV_Baza_BDCB!BG17</f>
        <v/>
      </c>
      <c r="BH414">
        <f>IV_Baza_BDCB!BH17</f>
        <v/>
      </c>
      <c r="BI414">
        <f>IV_Baza_BDCB!BI17</f>
        <v/>
      </c>
      <c r="BJ414">
        <f>O414</f>
        <v/>
      </c>
      <c r="BK414">
        <f>SUM(AG414:AW414)</f>
        <v/>
      </c>
      <c r="BL414" s="531">
        <f>BJ414-BK414</f>
        <v/>
      </c>
      <c r="BM414" s="201" t="n"/>
    </row>
    <row r="415" hidden="1" outlineLevel="1" s="191">
      <c r="A415">
        <f>IV_Baza_BDCB!A18</f>
        <v/>
      </c>
      <c r="B415">
        <f>IV_Baza_BDCB!B18</f>
        <v/>
      </c>
      <c r="C415">
        <f>IV_Baza_BDCB!C18</f>
        <v/>
      </c>
      <c r="D415">
        <f>IV_Baza_BDCB!D18</f>
        <v/>
      </c>
      <c r="E415">
        <f>IV_Baza_BDCB!E18</f>
        <v/>
      </c>
      <c r="F415">
        <f>IV_Baza_BDCB!F18</f>
        <v/>
      </c>
      <c r="G415">
        <f>IV_Baza_BDCB!G18</f>
        <v/>
      </c>
      <c r="H415">
        <f>IV_Baza_BDCB!H18</f>
        <v/>
      </c>
      <c r="I415">
        <f>IV_Baza_BDCB!I18</f>
        <v/>
      </c>
      <c r="J415">
        <f>IV_Baza_BDCB!J18</f>
        <v/>
      </c>
      <c r="K415" s="672">
        <f>IV_Baza_BDCB!K18</f>
        <v/>
      </c>
      <c r="L415" s="672">
        <f>IV_Baza_BDCB!L18</f>
        <v/>
      </c>
      <c r="M415">
        <f>IV_Baza_BDCB!M18</f>
        <v/>
      </c>
      <c r="N415">
        <f>IV_Baza_BDCB!N18</f>
        <v/>
      </c>
      <c r="O415">
        <f>IV_Baza_BDCB!O18</f>
        <v/>
      </c>
      <c r="P415" s="628">
        <f>IV_Baza_BDCB!P18</f>
        <v/>
      </c>
      <c r="Q415" s="628">
        <f>IV_Baza_BDCB!Q18</f>
        <v/>
      </c>
      <c r="R415" s="628">
        <f>IV_Baza_BDCB!R18</f>
        <v/>
      </c>
      <c r="S415" s="628">
        <f>IV_Baza_BDCB!S18</f>
        <v/>
      </c>
      <c r="T415" s="628">
        <f>IV_Baza_BDCB!T18</f>
        <v/>
      </c>
      <c r="U415" s="628">
        <f>IV_Baza_BDCB!U18</f>
        <v/>
      </c>
      <c r="V415" s="628">
        <f>IV_Baza_BDCB!V18</f>
        <v/>
      </c>
      <c r="W415" s="628">
        <f>IV_Baza_BDCB!W18</f>
        <v/>
      </c>
      <c r="X415" s="628">
        <f>IV_Baza_BDCB!X18</f>
        <v/>
      </c>
      <c r="Y415" s="650">
        <f>IV_Baza_BDCB!Y18</f>
        <v/>
      </c>
      <c r="Z415" s="650">
        <f>IV_Baza_BDCB!Z18</f>
        <v/>
      </c>
      <c r="AA415" s="650">
        <f>IV_Baza_BDCB!AA18</f>
        <v/>
      </c>
      <c r="AB415" s="650">
        <f>IV_Baza_BDCB!AB18</f>
        <v/>
      </c>
      <c r="AC415" s="613">
        <f>IV_Baza_BDCB!AC18</f>
        <v/>
      </c>
      <c r="AD415" s="613">
        <f>IV_Baza_BDCB!AD18</f>
        <v/>
      </c>
      <c r="AE415" s="613">
        <f>IV_Baza_BDCB!AE18</f>
        <v/>
      </c>
      <c r="AF415" s="613">
        <f>IV_Baza_BDCB!AF18</f>
        <v/>
      </c>
      <c r="AG415" s="626">
        <f>IV_Baza_BDCB!AG18</f>
        <v/>
      </c>
      <c r="AH415" s="626">
        <f>IV_Baza_BDCB!AH18</f>
        <v/>
      </c>
      <c r="AI415" s="626">
        <f>IV_Baza_BDCB!AI18</f>
        <v/>
      </c>
      <c r="AJ415" s="626">
        <f>IV_Baza_BDCB!AJ18</f>
        <v/>
      </c>
      <c r="AK415" s="626">
        <f>IV_Baza_BDCB!AK18</f>
        <v/>
      </c>
      <c r="AL415" s="626">
        <f>IV_Baza_BDCB!AL18</f>
        <v/>
      </c>
      <c r="AM415" s="626">
        <f>IV_Baza_BDCB!AM18</f>
        <v/>
      </c>
      <c r="AN415" s="626">
        <f>IV_Baza_BDCB!AN18</f>
        <v/>
      </c>
      <c r="AO415" s="626">
        <f>IV_Baza_BDCB!AO18</f>
        <v/>
      </c>
      <c r="AP415" s="369">
        <f>IV_Baza_BDCB!AP18</f>
        <v/>
      </c>
      <c r="AQ415" s="369">
        <f>IV_Baza_BDCB!AQ18</f>
        <v/>
      </c>
      <c r="AR415" s="369">
        <f>IV_Baza_BDCB!AR18</f>
        <v/>
      </c>
      <c r="AS415" s="369">
        <f>IV_Baza_BDCB!AS18</f>
        <v/>
      </c>
      <c r="AT415" s="370">
        <f>IV_Baza_BDCB!AT18</f>
        <v/>
      </c>
      <c r="AU415" s="370">
        <f>IV_Baza_BDCB!AU18</f>
        <v/>
      </c>
      <c r="AV415" s="370">
        <f>IV_Baza_BDCB!AV18</f>
        <v/>
      </c>
      <c r="AW415" s="370">
        <f>IV_Baza_BDCB!AW18</f>
        <v/>
      </c>
      <c r="AX415">
        <f>IV_Baza_BDCB!AX18</f>
        <v/>
      </c>
      <c r="AY415">
        <f>IV_Baza_BDCB!AY18</f>
        <v/>
      </c>
      <c r="AZ415">
        <f>IV_Baza_BDCB!AZ18</f>
        <v/>
      </c>
      <c r="BA415">
        <f>IV_Baza_BDCB!BA18</f>
        <v/>
      </c>
      <c r="BB415">
        <f>IV_Baza_BDCB!BB18</f>
        <v/>
      </c>
      <c r="BC415">
        <f>IV_Baza_BDCB!BC18</f>
        <v/>
      </c>
      <c r="BD415">
        <f>IV_Baza_BDCB!BD18</f>
        <v/>
      </c>
      <c r="BE415">
        <f>IV_Baza_BDCB!BE18</f>
        <v/>
      </c>
      <c r="BF415">
        <f>IV_Baza_BDCB!BF18</f>
        <v/>
      </c>
      <c r="BG415">
        <f>IV_Baza_BDCB!BG18</f>
        <v/>
      </c>
      <c r="BH415">
        <f>IV_Baza_BDCB!BH18</f>
        <v/>
      </c>
      <c r="BI415">
        <f>IV_Baza_BDCB!BI18</f>
        <v/>
      </c>
      <c r="BJ415">
        <f>O415</f>
        <v/>
      </c>
      <c r="BK415">
        <f>SUM(AG415:AW415)</f>
        <v/>
      </c>
      <c r="BL415" s="531">
        <f>BJ415-BK415</f>
        <v/>
      </c>
      <c r="BM415" s="201" t="n"/>
    </row>
    <row r="416" hidden="1" outlineLevel="1" s="191">
      <c r="A416">
        <f>IV_Baza_BDCB!A19</f>
        <v/>
      </c>
      <c r="B416">
        <f>IV_Baza_BDCB!B19</f>
        <v/>
      </c>
      <c r="C416">
        <f>IV_Baza_BDCB!C19</f>
        <v/>
      </c>
      <c r="D416">
        <f>IV_Baza_BDCB!D19</f>
        <v/>
      </c>
      <c r="E416">
        <f>IV_Baza_BDCB!E19</f>
        <v/>
      </c>
      <c r="F416">
        <f>IV_Baza_BDCB!F19</f>
        <v/>
      </c>
      <c r="G416">
        <f>IV_Baza_BDCB!G19</f>
        <v/>
      </c>
      <c r="H416">
        <f>IV_Baza_BDCB!H19</f>
        <v/>
      </c>
      <c r="I416">
        <f>IV_Baza_BDCB!I19</f>
        <v/>
      </c>
      <c r="J416">
        <f>IV_Baza_BDCB!J19</f>
        <v/>
      </c>
      <c r="K416" s="672">
        <f>IV_Baza_BDCB!K19</f>
        <v/>
      </c>
      <c r="L416" s="672">
        <f>IV_Baza_BDCB!L19</f>
        <v/>
      </c>
      <c r="M416">
        <f>IV_Baza_BDCB!M19</f>
        <v/>
      </c>
      <c r="N416">
        <f>IV_Baza_BDCB!N19</f>
        <v/>
      </c>
      <c r="O416">
        <f>IV_Baza_BDCB!O19</f>
        <v/>
      </c>
      <c r="P416" s="628">
        <f>IV_Baza_BDCB!P19</f>
        <v/>
      </c>
      <c r="Q416" s="628">
        <f>IV_Baza_BDCB!Q19</f>
        <v/>
      </c>
      <c r="R416" s="628">
        <f>IV_Baza_BDCB!R19</f>
        <v/>
      </c>
      <c r="S416" s="628">
        <f>IV_Baza_BDCB!S19</f>
        <v/>
      </c>
      <c r="T416" s="628">
        <f>IV_Baza_BDCB!T19</f>
        <v/>
      </c>
      <c r="U416" s="628">
        <f>IV_Baza_BDCB!U19</f>
        <v/>
      </c>
      <c r="V416" s="628">
        <f>IV_Baza_BDCB!V19</f>
        <v/>
      </c>
      <c r="W416" s="628">
        <f>IV_Baza_BDCB!W19</f>
        <v/>
      </c>
      <c r="X416" s="628">
        <f>IV_Baza_BDCB!X19</f>
        <v/>
      </c>
      <c r="Y416" s="650">
        <f>IV_Baza_BDCB!Y19</f>
        <v/>
      </c>
      <c r="Z416" s="650">
        <f>IV_Baza_BDCB!Z19</f>
        <v/>
      </c>
      <c r="AA416" s="650">
        <f>IV_Baza_BDCB!AA19</f>
        <v/>
      </c>
      <c r="AB416" s="650">
        <f>IV_Baza_BDCB!AB19</f>
        <v/>
      </c>
      <c r="AC416" s="613">
        <f>IV_Baza_BDCB!AC19</f>
        <v/>
      </c>
      <c r="AD416" s="613">
        <f>IV_Baza_BDCB!AD19</f>
        <v/>
      </c>
      <c r="AE416" s="613">
        <f>IV_Baza_BDCB!AE19</f>
        <v/>
      </c>
      <c r="AF416" s="613">
        <f>IV_Baza_BDCB!AF19</f>
        <v/>
      </c>
      <c r="AG416" s="626">
        <f>IV_Baza_BDCB!AG19</f>
        <v/>
      </c>
      <c r="AH416" s="626">
        <f>IV_Baza_BDCB!AH19</f>
        <v/>
      </c>
      <c r="AI416" s="626">
        <f>IV_Baza_BDCB!AI19</f>
        <v/>
      </c>
      <c r="AJ416" s="626">
        <f>IV_Baza_BDCB!AJ19</f>
        <v/>
      </c>
      <c r="AK416" s="626">
        <f>IV_Baza_BDCB!AK19</f>
        <v/>
      </c>
      <c r="AL416" s="626">
        <f>IV_Baza_BDCB!AL19</f>
        <v/>
      </c>
      <c r="AM416" s="626">
        <f>IV_Baza_BDCB!AM19</f>
        <v/>
      </c>
      <c r="AN416" s="626">
        <f>IV_Baza_BDCB!AN19</f>
        <v/>
      </c>
      <c r="AO416" s="626">
        <f>IV_Baza_BDCB!AO19</f>
        <v/>
      </c>
      <c r="AP416" s="369">
        <f>IV_Baza_BDCB!AP19</f>
        <v/>
      </c>
      <c r="AQ416" s="369">
        <f>IV_Baza_BDCB!AQ19</f>
        <v/>
      </c>
      <c r="AR416" s="369">
        <f>IV_Baza_BDCB!AR19</f>
        <v/>
      </c>
      <c r="AS416" s="369">
        <f>IV_Baza_BDCB!AS19</f>
        <v/>
      </c>
      <c r="AT416" s="370">
        <f>IV_Baza_BDCB!AT19</f>
        <v/>
      </c>
      <c r="AU416" s="370">
        <f>IV_Baza_BDCB!AU19</f>
        <v/>
      </c>
      <c r="AV416" s="370">
        <f>IV_Baza_BDCB!AV19</f>
        <v/>
      </c>
      <c r="AW416" s="370">
        <f>IV_Baza_BDCB!AW19</f>
        <v/>
      </c>
      <c r="AX416">
        <f>IV_Baza_BDCB!AX19</f>
        <v/>
      </c>
      <c r="AY416">
        <f>IV_Baza_BDCB!AY19</f>
        <v/>
      </c>
      <c r="AZ416">
        <f>IV_Baza_BDCB!AZ19</f>
        <v/>
      </c>
      <c r="BA416">
        <f>IV_Baza_BDCB!BA19</f>
        <v/>
      </c>
      <c r="BB416">
        <f>IV_Baza_BDCB!BB19</f>
        <v/>
      </c>
      <c r="BC416">
        <f>IV_Baza_BDCB!BC19</f>
        <v/>
      </c>
      <c r="BD416">
        <f>IV_Baza_BDCB!BD19</f>
        <v/>
      </c>
      <c r="BE416">
        <f>IV_Baza_BDCB!BE19</f>
        <v/>
      </c>
      <c r="BF416">
        <f>IV_Baza_BDCB!BF19</f>
        <v/>
      </c>
      <c r="BG416">
        <f>IV_Baza_BDCB!BG19</f>
        <v/>
      </c>
      <c r="BH416">
        <f>IV_Baza_BDCB!BH19</f>
        <v/>
      </c>
      <c r="BI416">
        <f>IV_Baza_BDCB!BI19</f>
        <v/>
      </c>
      <c r="BJ416">
        <f>O416</f>
        <v/>
      </c>
      <c r="BK416">
        <f>SUM(AG416:AW416)</f>
        <v/>
      </c>
      <c r="BL416" s="531">
        <f>BJ416-BK416</f>
        <v/>
      </c>
      <c r="BM416" s="201" t="n"/>
    </row>
    <row r="417" hidden="1" outlineLevel="1" s="191">
      <c r="A417">
        <f>IV_Baza_BDCB!A20</f>
        <v/>
      </c>
      <c r="B417">
        <f>IV_Baza_BDCB!B20</f>
        <v/>
      </c>
      <c r="C417">
        <f>IV_Baza_BDCB!C20</f>
        <v/>
      </c>
      <c r="D417">
        <f>IV_Baza_BDCB!D20</f>
        <v/>
      </c>
      <c r="E417">
        <f>IV_Baza_BDCB!E20</f>
        <v/>
      </c>
      <c r="F417">
        <f>IV_Baza_BDCB!F20</f>
        <v/>
      </c>
      <c r="G417">
        <f>IV_Baza_BDCB!G20</f>
        <v/>
      </c>
      <c r="H417">
        <f>IV_Baza_BDCB!H20</f>
        <v/>
      </c>
      <c r="I417">
        <f>IV_Baza_BDCB!I20</f>
        <v/>
      </c>
      <c r="J417">
        <f>IV_Baza_BDCB!J20</f>
        <v/>
      </c>
      <c r="K417" s="672">
        <f>IV_Baza_BDCB!K20</f>
        <v/>
      </c>
      <c r="L417" s="672">
        <f>IV_Baza_BDCB!L20</f>
        <v/>
      </c>
      <c r="M417">
        <f>IV_Baza_BDCB!M20</f>
        <v/>
      </c>
      <c r="N417">
        <f>IV_Baza_BDCB!N20</f>
        <v/>
      </c>
      <c r="O417">
        <f>IV_Baza_BDCB!O20</f>
        <v/>
      </c>
      <c r="P417" s="628">
        <f>IV_Baza_BDCB!P20</f>
        <v/>
      </c>
      <c r="Q417" s="628">
        <f>IV_Baza_BDCB!Q20</f>
        <v/>
      </c>
      <c r="R417" s="628">
        <f>IV_Baza_BDCB!R20</f>
        <v/>
      </c>
      <c r="S417" s="628">
        <f>IV_Baza_BDCB!S20</f>
        <v/>
      </c>
      <c r="T417" s="628">
        <f>IV_Baza_BDCB!T20</f>
        <v/>
      </c>
      <c r="U417" s="628">
        <f>IV_Baza_BDCB!U20</f>
        <v/>
      </c>
      <c r="V417" s="628">
        <f>IV_Baza_BDCB!V20</f>
        <v/>
      </c>
      <c r="W417" s="628">
        <f>IV_Baza_BDCB!W20</f>
        <v/>
      </c>
      <c r="X417" s="628">
        <f>IV_Baza_BDCB!X20</f>
        <v/>
      </c>
      <c r="Y417" s="650">
        <f>IV_Baza_BDCB!Y20</f>
        <v/>
      </c>
      <c r="Z417" s="650">
        <f>IV_Baza_BDCB!Z20</f>
        <v/>
      </c>
      <c r="AA417" s="650">
        <f>IV_Baza_BDCB!AA20</f>
        <v/>
      </c>
      <c r="AB417" s="650">
        <f>IV_Baza_BDCB!AB20</f>
        <v/>
      </c>
      <c r="AC417" s="613">
        <f>IV_Baza_BDCB!AC20</f>
        <v/>
      </c>
      <c r="AD417" s="613">
        <f>IV_Baza_BDCB!AD20</f>
        <v/>
      </c>
      <c r="AE417" s="613">
        <f>IV_Baza_BDCB!AE20</f>
        <v/>
      </c>
      <c r="AF417" s="613">
        <f>IV_Baza_BDCB!AF20</f>
        <v/>
      </c>
      <c r="AG417" s="626">
        <f>IV_Baza_BDCB!AG20</f>
        <v/>
      </c>
      <c r="AH417" s="626">
        <f>IV_Baza_BDCB!AH20</f>
        <v/>
      </c>
      <c r="AI417" s="626">
        <f>IV_Baza_BDCB!AI20</f>
        <v/>
      </c>
      <c r="AJ417" s="626">
        <f>IV_Baza_BDCB!AJ20</f>
        <v/>
      </c>
      <c r="AK417" s="626">
        <f>IV_Baza_BDCB!AK20</f>
        <v/>
      </c>
      <c r="AL417" s="626">
        <f>IV_Baza_BDCB!AL20</f>
        <v/>
      </c>
      <c r="AM417" s="626">
        <f>IV_Baza_BDCB!AM20</f>
        <v/>
      </c>
      <c r="AN417" s="626">
        <f>IV_Baza_BDCB!AN20</f>
        <v/>
      </c>
      <c r="AO417" s="626">
        <f>IV_Baza_BDCB!AO20</f>
        <v/>
      </c>
      <c r="AP417" s="369">
        <f>IV_Baza_BDCB!AP20</f>
        <v/>
      </c>
      <c r="AQ417" s="369">
        <f>IV_Baza_BDCB!AQ20</f>
        <v/>
      </c>
      <c r="AR417" s="369">
        <f>IV_Baza_BDCB!AR20</f>
        <v/>
      </c>
      <c r="AS417" s="369">
        <f>IV_Baza_BDCB!AS20</f>
        <v/>
      </c>
      <c r="AT417" s="370">
        <f>IV_Baza_BDCB!AT20</f>
        <v/>
      </c>
      <c r="AU417" s="370">
        <f>IV_Baza_BDCB!AU20</f>
        <v/>
      </c>
      <c r="AV417" s="370">
        <f>IV_Baza_BDCB!AV20</f>
        <v/>
      </c>
      <c r="AW417" s="370">
        <f>IV_Baza_BDCB!AW20</f>
        <v/>
      </c>
      <c r="AX417">
        <f>IV_Baza_BDCB!AX20</f>
        <v/>
      </c>
      <c r="AY417">
        <f>IV_Baza_BDCB!AY20</f>
        <v/>
      </c>
      <c r="AZ417">
        <f>IV_Baza_BDCB!AZ20</f>
        <v/>
      </c>
      <c r="BA417">
        <f>IV_Baza_BDCB!BA20</f>
        <v/>
      </c>
      <c r="BB417">
        <f>IV_Baza_BDCB!BB20</f>
        <v/>
      </c>
      <c r="BC417">
        <f>IV_Baza_BDCB!BC20</f>
        <v/>
      </c>
      <c r="BD417">
        <f>IV_Baza_BDCB!BD20</f>
        <v/>
      </c>
      <c r="BE417">
        <f>IV_Baza_BDCB!BE20</f>
        <v/>
      </c>
      <c r="BF417">
        <f>IV_Baza_BDCB!BF20</f>
        <v/>
      </c>
      <c r="BG417">
        <f>IV_Baza_BDCB!BG20</f>
        <v/>
      </c>
      <c r="BH417">
        <f>IV_Baza_BDCB!BH20</f>
        <v/>
      </c>
      <c r="BI417">
        <f>IV_Baza_BDCB!BI20</f>
        <v/>
      </c>
      <c r="BJ417">
        <f>O417</f>
        <v/>
      </c>
      <c r="BK417">
        <f>SUM(AG417:AW417)</f>
        <v/>
      </c>
      <c r="BL417" s="531">
        <f>BJ417-BK417</f>
        <v/>
      </c>
      <c r="BM417" s="201" t="n"/>
    </row>
    <row r="418" hidden="1" outlineLevel="1" s="191">
      <c r="A418">
        <f>IV_Baza_BDCB!A21</f>
        <v/>
      </c>
      <c r="B418">
        <f>IV_Baza_BDCB!B21</f>
        <v/>
      </c>
      <c r="C418">
        <f>IV_Baza_BDCB!C21</f>
        <v/>
      </c>
      <c r="D418">
        <f>IV_Baza_BDCB!D21</f>
        <v/>
      </c>
      <c r="E418">
        <f>IV_Baza_BDCB!E21</f>
        <v/>
      </c>
      <c r="F418">
        <f>IV_Baza_BDCB!F21</f>
        <v/>
      </c>
      <c r="G418">
        <f>IV_Baza_BDCB!G21</f>
        <v/>
      </c>
      <c r="H418">
        <f>IV_Baza_BDCB!H21</f>
        <v/>
      </c>
      <c r="I418">
        <f>IV_Baza_BDCB!I21</f>
        <v/>
      </c>
      <c r="J418">
        <f>IV_Baza_BDCB!J21</f>
        <v/>
      </c>
      <c r="K418" s="672">
        <f>IV_Baza_BDCB!K21</f>
        <v/>
      </c>
      <c r="L418" s="672">
        <f>IV_Baza_BDCB!L21</f>
        <v/>
      </c>
      <c r="M418">
        <f>IV_Baza_BDCB!M21</f>
        <v/>
      </c>
      <c r="N418">
        <f>IV_Baza_BDCB!N21</f>
        <v/>
      </c>
      <c r="O418">
        <f>IV_Baza_BDCB!O21</f>
        <v/>
      </c>
      <c r="P418" s="628">
        <f>IV_Baza_BDCB!P21</f>
        <v/>
      </c>
      <c r="Q418" s="628">
        <f>IV_Baza_BDCB!Q21</f>
        <v/>
      </c>
      <c r="R418" s="628">
        <f>IV_Baza_BDCB!R21</f>
        <v/>
      </c>
      <c r="S418" s="628">
        <f>IV_Baza_BDCB!S21</f>
        <v/>
      </c>
      <c r="T418" s="628">
        <f>IV_Baza_BDCB!T21</f>
        <v/>
      </c>
      <c r="U418" s="628">
        <f>IV_Baza_BDCB!U21</f>
        <v/>
      </c>
      <c r="V418" s="628">
        <f>IV_Baza_BDCB!V21</f>
        <v/>
      </c>
      <c r="W418" s="628">
        <f>IV_Baza_BDCB!W21</f>
        <v/>
      </c>
      <c r="X418" s="628">
        <f>IV_Baza_BDCB!X21</f>
        <v/>
      </c>
      <c r="Y418" s="650">
        <f>IV_Baza_BDCB!Y21</f>
        <v/>
      </c>
      <c r="Z418" s="650">
        <f>IV_Baza_BDCB!Z21</f>
        <v/>
      </c>
      <c r="AA418" s="650">
        <f>IV_Baza_BDCB!AA21</f>
        <v/>
      </c>
      <c r="AB418" s="650">
        <f>IV_Baza_BDCB!AB21</f>
        <v/>
      </c>
      <c r="AC418" s="613">
        <f>IV_Baza_BDCB!AC21</f>
        <v/>
      </c>
      <c r="AD418" s="613">
        <f>IV_Baza_BDCB!AD21</f>
        <v/>
      </c>
      <c r="AE418" s="613">
        <f>IV_Baza_BDCB!AE21</f>
        <v/>
      </c>
      <c r="AF418" s="613">
        <f>IV_Baza_BDCB!AF21</f>
        <v/>
      </c>
      <c r="AG418" s="626">
        <f>IV_Baza_BDCB!AG21</f>
        <v/>
      </c>
      <c r="AH418" s="626">
        <f>IV_Baza_BDCB!AH21</f>
        <v/>
      </c>
      <c r="AI418" s="626">
        <f>IV_Baza_BDCB!AI21</f>
        <v/>
      </c>
      <c r="AJ418" s="626">
        <f>IV_Baza_BDCB!AJ21</f>
        <v/>
      </c>
      <c r="AK418" s="626">
        <f>IV_Baza_BDCB!AK21</f>
        <v/>
      </c>
      <c r="AL418" s="626">
        <f>IV_Baza_BDCB!AL21</f>
        <v/>
      </c>
      <c r="AM418" s="626">
        <f>IV_Baza_BDCB!AM21</f>
        <v/>
      </c>
      <c r="AN418" s="626">
        <f>IV_Baza_BDCB!AN21</f>
        <v/>
      </c>
      <c r="AO418" s="626">
        <f>IV_Baza_BDCB!AO21</f>
        <v/>
      </c>
      <c r="AP418" s="369">
        <f>IV_Baza_BDCB!AP21</f>
        <v/>
      </c>
      <c r="AQ418" s="369">
        <f>IV_Baza_BDCB!AQ21</f>
        <v/>
      </c>
      <c r="AR418" s="369">
        <f>IV_Baza_BDCB!AR21</f>
        <v/>
      </c>
      <c r="AS418" s="369">
        <f>IV_Baza_BDCB!AS21</f>
        <v/>
      </c>
      <c r="AT418" s="370">
        <f>IV_Baza_BDCB!AT21</f>
        <v/>
      </c>
      <c r="AU418" s="370">
        <f>IV_Baza_BDCB!AU21</f>
        <v/>
      </c>
      <c r="AV418" s="370">
        <f>IV_Baza_BDCB!AV21</f>
        <v/>
      </c>
      <c r="AW418" s="370">
        <f>IV_Baza_BDCB!AW21</f>
        <v/>
      </c>
      <c r="AX418">
        <f>IV_Baza_BDCB!AX21</f>
        <v/>
      </c>
      <c r="AY418">
        <f>IV_Baza_BDCB!AY21</f>
        <v/>
      </c>
      <c r="AZ418">
        <f>IV_Baza_BDCB!AZ21</f>
        <v/>
      </c>
      <c r="BA418">
        <f>IV_Baza_BDCB!BA21</f>
        <v/>
      </c>
      <c r="BB418">
        <f>IV_Baza_BDCB!BB21</f>
        <v/>
      </c>
      <c r="BC418">
        <f>IV_Baza_BDCB!BC21</f>
        <v/>
      </c>
      <c r="BD418">
        <f>IV_Baza_BDCB!BD21</f>
        <v/>
      </c>
      <c r="BE418">
        <f>IV_Baza_BDCB!BE21</f>
        <v/>
      </c>
      <c r="BF418">
        <f>IV_Baza_BDCB!BF21</f>
        <v/>
      </c>
      <c r="BG418">
        <f>IV_Baza_BDCB!BG21</f>
        <v/>
      </c>
      <c r="BH418">
        <f>IV_Baza_BDCB!BH21</f>
        <v/>
      </c>
      <c r="BI418">
        <f>IV_Baza_BDCB!BI21</f>
        <v/>
      </c>
      <c r="BJ418">
        <f>O418</f>
        <v/>
      </c>
      <c r="BK418">
        <f>SUM(AG418:AW418)</f>
        <v/>
      </c>
      <c r="BL418" s="531">
        <f>BJ418-BK418</f>
        <v/>
      </c>
      <c r="BM418" s="201" t="n"/>
    </row>
    <row r="419" hidden="1" outlineLevel="1" s="191">
      <c r="A419">
        <f>IV_Baza_BDCB!A22</f>
        <v/>
      </c>
      <c r="B419">
        <f>IV_Baza_BDCB!B22</f>
        <v/>
      </c>
      <c r="C419">
        <f>IV_Baza_BDCB!C22</f>
        <v/>
      </c>
      <c r="D419">
        <f>IV_Baza_BDCB!D22</f>
        <v/>
      </c>
      <c r="E419">
        <f>IV_Baza_BDCB!E22</f>
        <v/>
      </c>
      <c r="F419">
        <f>IV_Baza_BDCB!F22</f>
        <v/>
      </c>
      <c r="G419">
        <f>IV_Baza_BDCB!G22</f>
        <v/>
      </c>
      <c r="H419">
        <f>IV_Baza_BDCB!H22</f>
        <v/>
      </c>
      <c r="I419">
        <f>IV_Baza_BDCB!I22</f>
        <v/>
      </c>
      <c r="J419">
        <f>IV_Baza_BDCB!J22</f>
        <v/>
      </c>
      <c r="K419" s="672">
        <f>IV_Baza_BDCB!K22</f>
        <v/>
      </c>
      <c r="L419" s="672">
        <f>IV_Baza_BDCB!L22</f>
        <v/>
      </c>
      <c r="M419">
        <f>IV_Baza_BDCB!M22</f>
        <v/>
      </c>
      <c r="N419">
        <f>IV_Baza_BDCB!N22</f>
        <v/>
      </c>
      <c r="O419">
        <f>IV_Baza_BDCB!O22</f>
        <v/>
      </c>
      <c r="P419" s="628">
        <f>IV_Baza_BDCB!P22</f>
        <v/>
      </c>
      <c r="Q419" s="628">
        <f>IV_Baza_BDCB!Q22</f>
        <v/>
      </c>
      <c r="R419" s="628">
        <f>IV_Baza_BDCB!R22</f>
        <v/>
      </c>
      <c r="S419" s="628">
        <f>IV_Baza_BDCB!S22</f>
        <v/>
      </c>
      <c r="T419" s="628">
        <f>IV_Baza_BDCB!T22</f>
        <v/>
      </c>
      <c r="U419" s="628">
        <f>IV_Baza_BDCB!U22</f>
        <v/>
      </c>
      <c r="V419" s="628">
        <f>IV_Baza_BDCB!V22</f>
        <v/>
      </c>
      <c r="W419" s="628">
        <f>IV_Baza_BDCB!W22</f>
        <v/>
      </c>
      <c r="X419" s="628">
        <f>IV_Baza_BDCB!X22</f>
        <v/>
      </c>
      <c r="Y419" s="650">
        <f>IV_Baza_BDCB!Y22</f>
        <v/>
      </c>
      <c r="Z419" s="650">
        <f>IV_Baza_BDCB!Z22</f>
        <v/>
      </c>
      <c r="AA419" s="650">
        <f>IV_Baza_BDCB!AA22</f>
        <v/>
      </c>
      <c r="AB419" s="650">
        <f>IV_Baza_BDCB!AB22</f>
        <v/>
      </c>
      <c r="AC419" s="613">
        <f>IV_Baza_BDCB!AC22</f>
        <v/>
      </c>
      <c r="AD419" s="613">
        <f>IV_Baza_BDCB!AD22</f>
        <v/>
      </c>
      <c r="AE419" s="613">
        <f>IV_Baza_BDCB!AE22</f>
        <v/>
      </c>
      <c r="AF419" s="613">
        <f>IV_Baza_BDCB!AF22</f>
        <v/>
      </c>
      <c r="AG419" s="626">
        <f>IV_Baza_BDCB!AG22</f>
        <v/>
      </c>
      <c r="AH419" s="626">
        <f>IV_Baza_BDCB!AH22</f>
        <v/>
      </c>
      <c r="AI419" s="626">
        <f>IV_Baza_BDCB!AI22</f>
        <v/>
      </c>
      <c r="AJ419" s="626">
        <f>IV_Baza_BDCB!AJ22</f>
        <v/>
      </c>
      <c r="AK419" s="626">
        <f>IV_Baza_BDCB!AK22</f>
        <v/>
      </c>
      <c r="AL419" s="626">
        <f>IV_Baza_BDCB!AL22</f>
        <v/>
      </c>
      <c r="AM419" s="626">
        <f>IV_Baza_BDCB!AM22</f>
        <v/>
      </c>
      <c r="AN419" s="626">
        <f>IV_Baza_BDCB!AN22</f>
        <v/>
      </c>
      <c r="AO419" s="626">
        <f>IV_Baza_BDCB!AO22</f>
        <v/>
      </c>
      <c r="AP419" s="369">
        <f>IV_Baza_BDCB!AP22</f>
        <v/>
      </c>
      <c r="AQ419" s="369">
        <f>IV_Baza_BDCB!AQ22</f>
        <v/>
      </c>
      <c r="AR419" s="369">
        <f>IV_Baza_BDCB!AR22</f>
        <v/>
      </c>
      <c r="AS419" s="369">
        <f>IV_Baza_BDCB!AS22</f>
        <v/>
      </c>
      <c r="AT419" s="370">
        <f>IV_Baza_BDCB!AT22</f>
        <v/>
      </c>
      <c r="AU419" s="370">
        <f>IV_Baza_BDCB!AU22</f>
        <v/>
      </c>
      <c r="AV419" s="370">
        <f>IV_Baza_BDCB!AV22</f>
        <v/>
      </c>
      <c r="AW419" s="370">
        <f>IV_Baza_BDCB!AW22</f>
        <v/>
      </c>
      <c r="AX419">
        <f>IV_Baza_BDCB!AX22</f>
        <v/>
      </c>
      <c r="AY419">
        <f>IV_Baza_BDCB!AY22</f>
        <v/>
      </c>
      <c r="AZ419">
        <f>IV_Baza_BDCB!AZ22</f>
        <v/>
      </c>
      <c r="BA419">
        <f>IV_Baza_BDCB!BA22</f>
        <v/>
      </c>
      <c r="BB419">
        <f>IV_Baza_BDCB!BB22</f>
        <v/>
      </c>
      <c r="BC419">
        <f>IV_Baza_BDCB!BC22</f>
        <v/>
      </c>
      <c r="BD419">
        <f>IV_Baza_BDCB!BD22</f>
        <v/>
      </c>
      <c r="BE419">
        <f>IV_Baza_BDCB!BE22</f>
        <v/>
      </c>
      <c r="BF419">
        <f>IV_Baza_BDCB!BF22</f>
        <v/>
      </c>
      <c r="BG419">
        <f>IV_Baza_BDCB!BG22</f>
        <v/>
      </c>
      <c r="BH419">
        <f>IV_Baza_BDCB!BH22</f>
        <v/>
      </c>
      <c r="BI419">
        <f>IV_Baza_BDCB!BI22</f>
        <v/>
      </c>
      <c r="BJ419">
        <f>O419</f>
        <v/>
      </c>
      <c r="BK419">
        <f>SUM(AG419:AW419)</f>
        <v/>
      </c>
      <c r="BL419" s="531">
        <f>BJ419-BK419</f>
        <v/>
      </c>
      <c r="BM419" s="201" t="n"/>
    </row>
    <row r="420" hidden="1" outlineLevel="1" s="191">
      <c r="A420">
        <f>IV_Baza_BDCB!A23</f>
        <v/>
      </c>
      <c r="B420">
        <f>IV_Baza_BDCB!B23</f>
        <v/>
      </c>
      <c r="C420">
        <f>IV_Baza_BDCB!C23</f>
        <v/>
      </c>
      <c r="D420">
        <f>IV_Baza_BDCB!D23</f>
        <v/>
      </c>
      <c r="E420">
        <f>IV_Baza_BDCB!E23</f>
        <v/>
      </c>
      <c r="F420">
        <f>IV_Baza_BDCB!F23</f>
        <v/>
      </c>
      <c r="G420">
        <f>IV_Baza_BDCB!G23</f>
        <v/>
      </c>
      <c r="H420">
        <f>IV_Baza_BDCB!H23</f>
        <v/>
      </c>
      <c r="I420">
        <f>IV_Baza_BDCB!I23</f>
        <v/>
      </c>
      <c r="J420">
        <f>IV_Baza_BDCB!J23</f>
        <v/>
      </c>
      <c r="K420" s="672">
        <f>IV_Baza_BDCB!K23</f>
        <v/>
      </c>
      <c r="L420" s="672">
        <f>IV_Baza_BDCB!L23</f>
        <v/>
      </c>
      <c r="M420">
        <f>IV_Baza_BDCB!M23</f>
        <v/>
      </c>
      <c r="N420">
        <f>IV_Baza_BDCB!N23</f>
        <v/>
      </c>
      <c r="O420">
        <f>IV_Baza_BDCB!O23</f>
        <v/>
      </c>
      <c r="P420" s="628">
        <f>IV_Baza_BDCB!P23</f>
        <v/>
      </c>
      <c r="Q420" s="628">
        <f>IV_Baza_BDCB!Q23</f>
        <v/>
      </c>
      <c r="R420" s="628">
        <f>IV_Baza_BDCB!R23</f>
        <v/>
      </c>
      <c r="S420" s="628">
        <f>IV_Baza_BDCB!S23</f>
        <v/>
      </c>
      <c r="T420" s="628">
        <f>IV_Baza_BDCB!T23</f>
        <v/>
      </c>
      <c r="U420" s="628">
        <f>IV_Baza_BDCB!U23</f>
        <v/>
      </c>
      <c r="V420" s="628">
        <f>IV_Baza_BDCB!V23</f>
        <v/>
      </c>
      <c r="W420" s="628">
        <f>IV_Baza_BDCB!W23</f>
        <v/>
      </c>
      <c r="X420" s="628">
        <f>IV_Baza_BDCB!X23</f>
        <v/>
      </c>
      <c r="Y420" s="650">
        <f>IV_Baza_BDCB!Y23</f>
        <v/>
      </c>
      <c r="Z420" s="650">
        <f>IV_Baza_BDCB!Z23</f>
        <v/>
      </c>
      <c r="AA420" s="650">
        <f>IV_Baza_BDCB!AA23</f>
        <v/>
      </c>
      <c r="AB420" s="650">
        <f>IV_Baza_BDCB!AB23</f>
        <v/>
      </c>
      <c r="AC420" s="613">
        <f>IV_Baza_BDCB!AC23</f>
        <v/>
      </c>
      <c r="AD420" s="613">
        <f>IV_Baza_BDCB!AD23</f>
        <v/>
      </c>
      <c r="AE420" s="613">
        <f>IV_Baza_BDCB!AE23</f>
        <v/>
      </c>
      <c r="AF420" s="613">
        <f>IV_Baza_BDCB!AF23</f>
        <v/>
      </c>
      <c r="AG420" s="626">
        <f>IV_Baza_BDCB!AG23</f>
        <v/>
      </c>
      <c r="AH420" s="626">
        <f>IV_Baza_BDCB!AH23</f>
        <v/>
      </c>
      <c r="AI420" s="626">
        <f>IV_Baza_BDCB!AI23</f>
        <v/>
      </c>
      <c r="AJ420" s="626">
        <f>IV_Baza_BDCB!AJ23</f>
        <v/>
      </c>
      <c r="AK420" s="626">
        <f>IV_Baza_BDCB!AK23</f>
        <v/>
      </c>
      <c r="AL420" s="626">
        <f>IV_Baza_BDCB!AL23</f>
        <v/>
      </c>
      <c r="AM420" s="626">
        <f>IV_Baza_BDCB!AM23</f>
        <v/>
      </c>
      <c r="AN420" s="626">
        <f>IV_Baza_BDCB!AN23</f>
        <v/>
      </c>
      <c r="AO420" s="626">
        <f>IV_Baza_BDCB!AO23</f>
        <v/>
      </c>
      <c r="AP420" s="369">
        <f>IV_Baza_BDCB!AP23</f>
        <v/>
      </c>
      <c r="AQ420" s="369">
        <f>IV_Baza_BDCB!AQ23</f>
        <v/>
      </c>
      <c r="AR420" s="369">
        <f>IV_Baza_BDCB!AR23</f>
        <v/>
      </c>
      <c r="AS420" s="369">
        <f>IV_Baza_BDCB!AS23</f>
        <v/>
      </c>
      <c r="AT420" s="370">
        <f>IV_Baza_BDCB!AT23</f>
        <v/>
      </c>
      <c r="AU420" s="370">
        <f>IV_Baza_BDCB!AU23</f>
        <v/>
      </c>
      <c r="AV420" s="370">
        <f>IV_Baza_BDCB!AV23</f>
        <v/>
      </c>
      <c r="AW420" s="370">
        <f>IV_Baza_BDCB!AW23</f>
        <v/>
      </c>
      <c r="AX420">
        <f>IV_Baza_BDCB!AX23</f>
        <v/>
      </c>
      <c r="AY420">
        <f>IV_Baza_BDCB!AY23</f>
        <v/>
      </c>
      <c r="AZ420">
        <f>IV_Baza_BDCB!AZ23</f>
        <v/>
      </c>
      <c r="BA420">
        <f>IV_Baza_BDCB!BA23</f>
        <v/>
      </c>
      <c r="BB420">
        <f>IV_Baza_BDCB!BB23</f>
        <v/>
      </c>
      <c r="BC420">
        <f>IV_Baza_BDCB!BC23</f>
        <v/>
      </c>
      <c r="BD420">
        <f>IV_Baza_BDCB!BD23</f>
        <v/>
      </c>
      <c r="BE420">
        <f>IV_Baza_BDCB!BE23</f>
        <v/>
      </c>
      <c r="BF420">
        <f>IV_Baza_BDCB!BF23</f>
        <v/>
      </c>
      <c r="BG420">
        <f>IV_Baza_BDCB!BG23</f>
        <v/>
      </c>
      <c r="BH420">
        <f>IV_Baza_BDCB!BH23</f>
        <v/>
      </c>
      <c r="BI420">
        <f>IV_Baza_BDCB!BI23</f>
        <v/>
      </c>
      <c r="BJ420">
        <f>O420</f>
        <v/>
      </c>
      <c r="BK420">
        <f>SUM(AG420:AW420)</f>
        <v/>
      </c>
      <c r="BL420" s="531">
        <f>BJ420-BK420</f>
        <v/>
      </c>
      <c r="BM420" s="201" t="n"/>
    </row>
    <row r="421" hidden="1" outlineLevel="1" s="191">
      <c r="A421">
        <f>IV_Baza_BDCB!A24</f>
        <v/>
      </c>
      <c r="B421">
        <f>IV_Baza_BDCB!B24</f>
        <v/>
      </c>
      <c r="C421">
        <f>IV_Baza_BDCB!C24</f>
        <v/>
      </c>
      <c r="D421">
        <f>IV_Baza_BDCB!D24</f>
        <v/>
      </c>
      <c r="E421">
        <f>IV_Baza_BDCB!E24</f>
        <v/>
      </c>
      <c r="F421">
        <f>IV_Baza_BDCB!F24</f>
        <v/>
      </c>
      <c r="G421">
        <f>IV_Baza_BDCB!G24</f>
        <v/>
      </c>
      <c r="H421">
        <f>IV_Baza_BDCB!H24</f>
        <v/>
      </c>
      <c r="I421">
        <f>IV_Baza_BDCB!I24</f>
        <v/>
      </c>
      <c r="J421">
        <f>IV_Baza_BDCB!J24</f>
        <v/>
      </c>
      <c r="K421" s="672">
        <f>IV_Baza_BDCB!K24</f>
        <v/>
      </c>
      <c r="L421" s="672">
        <f>IV_Baza_BDCB!L24</f>
        <v/>
      </c>
      <c r="M421">
        <f>IV_Baza_BDCB!M24</f>
        <v/>
      </c>
      <c r="N421">
        <f>IV_Baza_BDCB!N24</f>
        <v/>
      </c>
      <c r="O421">
        <f>IV_Baza_BDCB!O24</f>
        <v/>
      </c>
      <c r="P421" s="628">
        <f>IV_Baza_BDCB!P24</f>
        <v/>
      </c>
      <c r="Q421" s="628">
        <f>IV_Baza_BDCB!Q24</f>
        <v/>
      </c>
      <c r="R421" s="628">
        <f>IV_Baza_BDCB!R24</f>
        <v/>
      </c>
      <c r="S421" s="628">
        <f>IV_Baza_BDCB!S24</f>
        <v/>
      </c>
      <c r="T421" s="628">
        <f>IV_Baza_BDCB!T24</f>
        <v/>
      </c>
      <c r="U421" s="628">
        <f>IV_Baza_BDCB!U24</f>
        <v/>
      </c>
      <c r="V421" s="628">
        <f>IV_Baza_BDCB!V24</f>
        <v/>
      </c>
      <c r="W421" s="628">
        <f>IV_Baza_BDCB!W24</f>
        <v/>
      </c>
      <c r="X421" s="628">
        <f>IV_Baza_BDCB!X24</f>
        <v/>
      </c>
      <c r="Y421" s="650">
        <f>IV_Baza_BDCB!Y24</f>
        <v/>
      </c>
      <c r="Z421" s="650">
        <f>IV_Baza_BDCB!Z24</f>
        <v/>
      </c>
      <c r="AA421" s="650">
        <f>IV_Baza_BDCB!AA24</f>
        <v/>
      </c>
      <c r="AB421" s="650">
        <f>IV_Baza_BDCB!AB24</f>
        <v/>
      </c>
      <c r="AC421" s="613">
        <f>IV_Baza_BDCB!AC24</f>
        <v/>
      </c>
      <c r="AD421" s="613">
        <f>IV_Baza_BDCB!AD24</f>
        <v/>
      </c>
      <c r="AE421" s="613">
        <f>IV_Baza_BDCB!AE24</f>
        <v/>
      </c>
      <c r="AF421" s="613">
        <f>IV_Baza_BDCB!AF24</f>
        <v/>
      </c>
      <c r="AG421" s="626">
        <f>IV_Baza_BDCB!AG24</f>
        <v/>
      </c>
      <c r="AH421" s="626">
        <f>IV_Baza_BDCB!AH24</f>
        <v/>
      </c>
      <c r="AI421" s="626">
        <f>IV_Baza_BDCB!AI24</f>
        <v/>
      </c>
      <c r="AJ421" s="626">
        <f>IV_Baza_BDCB!AJ24</f>
        <v/>
      </c>
      <c r="AK421" s="626">
        <f>IV_Baza_BDCB!AK24</f>
        <v/>
      </c>
      <c r="AL421" s="626">
        <f>IV_Baza_BDCB!AL24</f>
        <v/>
      </c>
      <c r="AM421" s="626">
        <f>IV_Baza_BDCB!AM24</f>
        <v/>
      </c>
      <c r="AN421" s="626">
        <f>IV_Baza_BDCB!AN24</f>
        <v/>
      </c>
      <c r="AO421" s="626">
        <f>IV_Baza_BDCB!AO24</f>
        <v/>
      </c>
      <c r="AP421" s="369">
        <f>IV_Baza_BDCB!AP24</f>
        <v/>
      </c>
      <c r="AQ421" s="369">
        <f>IV_Baza_BDCB!AQ24</f>
        <v/>
      </c>
      <c r="AR421" s="369">
        <f>IV_Baza_BDCB!AR24</f>
        <v/>
      </c>
      <c r="AS421" s="369">
        <f>IV_Baza_BDCB!AS24</f>
        <v/>
      </c>
      <c r="AT421" s="370">
        <f>IV_Baza_BDCB!AT24</f>
        <v/>
      </c>
      <c r="AU421" s="370">
        <f>IV_Baza_BDCB!AU24</f>
        <v/>
      </c>
      <c r="AV421" s="370">
        <f>IV_Baza_BDCB!AV24</f>
        <v/>
      </c>
      <c r="AW421" s="370">
        <f>IV_Baza_BDCB!AW24</f>
        <v/>
      </c>
      <c r="AX421">
        <f>IV_Baza_BDCB!AX24</f>
        <v/>
      </c>
      <c r="AY421">
        <f>IV_Baza_BDCB!AY24</f>
        <v/>
      </c>
      <c r="AZ421">
        <f>IV_Baza_BDCB!AZ24</f>
        <v/>
      </c>
      <c r="BA421">
        <f>IV_Baza_BDCB!BA24</f>
        <v/>
      </c>
      <c r="BB421">
        <f>IV_Baza_BDCB!BB24</f>
        <v/>
      </c>
      <c r="BC421">
        <f>IV_Baza_BDCB!BC24</f>
        <v/>
      </c>
      <c r="BD421">
        <f>IV_Baza_BDCB!BD24</f>
        <v/>
      </c>
      <c r="BE421">
        <f>IV_Baza_BDCB!BE24</f>
        <v/>
      </c>
      <c r="BF421">
        <f>IV_Baza_BDCB!BF24</f>
        <v/>
      </c>
      <c r="BG421">
        <f>IV_Baza_BDCB!BG24</f>
        <v/>
      </c>
      <c r="BH421">
        <f>IV_Baza_BDCB!BH24</f>
        <v/>
      </c>
      <c r="BI421">
        <f>IV_Baza_BDCB!BI24</f>
        <v/>
      </c>
      <c r="BJ421">
        <f>O421</f>
        <v/>
      </c>
      <c r="BK421">
        <f>SUM(AG421:AW421)</f>
        <v/>
      </c>
      <c r="BL421" s="531">
        <f>BJ421-BK421</f>
        <v/>
      </c>
      <c r="BM421" s="201" t="n"/>
    </row>
    <row r="422" hidden="1" outlineLevel="1" s="191">
      <c r="A422">
        <f>IV_Baza_BDCB!A25</f>
        <v/>
      </c>
      <c r="B422">
        <f>IV_Baza_BDCB!B25</f>
        <v/>
      </c>
      <c r="C422">
        <f>IV_Baza_BDCB!C25</f>
        <v/>
      </c>
      <c r="D422">
        <f>IV_Baza_BDCB!D25</f>
        <v/>
      </c>
      <c r="E422">
        <f>IV_Baza_BDCB!E25</f>
        <v/>
      </c>
      <c r="F422">
        <f>IV_Baza_BDCB!F25</f>
        <v/>
      </c>
      <c r="G422">
        <f>IV_Baza_BDCB!G25</f>
        <v/>
      </c>
      <c r="H422">
        <f>IV_Baza_BDCB!H25</f>
        <v/>
      </c>
      <c r="I422">
        <f>IV_Baza_BDCB!I25</f>
        <v/>
      </c>
      <c r="J422">
        <f>IV_Baza_BDCB!J25</f>
        <v/>
      </c>
      <c r="K422" s="672">
        <f>IV_Baza_BDCB!K25</f>
        <v/>
      </c>
      <c r="L422" s="672">
        <f>IV_Baza_BDCB!L25</f>
        <v/>
      </c>
      <c r="M422">
        <f>IV_Baza_BDCB!M25</f>
        <v/>
      </c>
      <c r="N422">
        <f>IV_Baza_BDCB!N25</f>
        <v/>
      </c>
      <c r="O422">
        <f>IV_Baza_BDCB!O25</f>
        <v/>
      </c>
      <c r="P422" s="628">
        <f>IV_Baza_BDCB!P25</f>
        <v/>
      </c>
      <c r="Q422" s="628">
        <f>IV_Baza_BDCB!Q25</f>
        <v/>
      </c>
      <c r="R422" s="628">
        <f>IV_Baza_BDCB!R25</f>
        <v/>
      </c>
      <c r="S422" s="628">
        <f>IV_Baza_BDCB!S25</f>
        <v/>
      </c>
      <c r="T422" s="628">
        <f>IV_Baza_BDCB!T25</f>
        <v/>
      </c>
      <c r="U422" s="628">
        <f>IV_Baza_BDCB!U25</f>
        <v/>
      </c>
      <c r="V422" s="628">
        <f>IV_Baza_BDCB!V25</f>
        <v/>
      </c>
      <c r="W422" s="628">
        <f>IV_Baza_BDCB!W25</f>
        <v/>
      </c>
      <c r="X422" s="628">
        <f>IV_Baza_BDCB!X25</f>
        <v/>
      </c>
      <c r="Y422" s="650">
        <f>IV_Baza_BDCB!Y25</f>
        <v/>
      </c>
      <c r="Z422" s="650">
        <f>IV_Baza_BDCB!Z25</f>
        <v/>
      </c>
      <c r="AA422" s="650">
        <f>IV_Baza_BDCB!AA25</f>
        <v/>
      </c>
      <c r="AB422" s="650">
        <f>IV_Baza_BDCB!AB25</f>
        <v/>
      </c>
      <c r="AC422" s="613">
        <f>IV_Baza_BDCB!AC25</f>
        <v/>
      </c>
      <c r="AD422" s="613">
        <f>IV_Baza_BDCB!AD25</f>
        <v/>
      </c>
      <c r="AE422" s="613">
        <f>IV_Baza_BDCB!AE25</f>
        <v/>
      </c>
      <c r="AF422" s="613">
        <f>IV_Baza_BDCB!AF25</f>
        <v/>
      </c>
      <c r="AG422" s="626">
        <f>IV_Baza_BDCB!AG25</f>
        <v/>
      </c>
      <c r="AH422" s="626">
        <f>IV_Baza_BDCB!AH25</f>
        <v/>
      </c>
      <c r="AI422" s="626">
        <f>IV_Baza_BDCB!AI25</f>
        <v/>
      </c>
      <c r="AJ422" s="626">
        <f>IV_Baza_BDCB!AJ25</f>
        <v/>
      </c>
      <c r="AK422" s="626">
        <f>IV_Baza_BDCB!AK25</f>
        <v/>
      </c>
      <c r="AL422" s="626">
        <f>IV_Baza_BDCB!AL25</f>
        <v/>
      </c>
      <c r="AM422" s="626">
        <f>IV_Baza_BDCB!AM25</f>
        <v/>
      </c>
      <c r="AN422" s="626">
        <f>IV_Baza_BDCB!AN25</f>
        <v/>
      </c>
      <c r="AO422" s="626">
        <f>IV_Baza_BDCB!AO25</f>
        <v/>
      </c>
      <c r="AP422" s="369">
        <f>IV_Baza_BDCB!AP25</f>
        <v/>
      </c>
      <c r="AQ422" s="369">
        <f>IV_Baza_BDCB!AQ25</f>
        <v/>
      </c>
      <c r="AR422" s="369">
        <f>IV_Baza_BDCB!AR25</f>
        <v/>
      </c>
      <c r="AS422" s="369">
        <f>IV_Baza_BDCB!AS25</f>
        <v/>
      </c>
      <c r="AT422" s="370">
        <f>IV_Baza_BDCB!AT25</f>
        <v/>
      </c>
      <c r="AU422" s="370">
        <f>IV_Baza_BDCB!AU25</f>
        <v/>
      </c>
      <c r="AV422" s="370">
        <f>IV_Baza_BDCB!AV25</f>
        <v/>
      </c>
      <c r="AW422" s="370">
        <f>IV_Baza_BDCB!AW25</f>
        <v/>
      </c>
      <c r="AX422">
        <f>IV_Baza_BDCB!AX25</f>
        <v/>
      </c>
      <c r="AY422">
        <f>IV_Baza_BDCB!AY25</f>
        <v/>
      </c>
      <c r="AZ422">
        <f>IV_Baza_BDCB!AZ25</f>
        <v/>
      </c>
      <c r="BA422">
        <f>IV_Baza_BDCB!BA25</f>
        <v/>
      </c>
      <c r="BB422">
        <f>IV_Baza_BDCB!BB25</f>
        <v/>
      </c>
      <c r="BC422">
        <f>IV_Baza_BDCB!BC25</f>
        <v/>
      </c>
      <c r="BD422">
        <f>IV_Baza_BDCB!BD25</f>
        <v/>
      </c>
      <c r="BE422">
        <f>IV_Baza_BDCB!BE25</f>
        <v/>
      </c>
      <c r="BF422">
        <f>IV_Baza_BDCB!BF25</f>
        <v/>
      </c>
      <c r="BG422">
        <f>IV_Baza_BDCB!BG25</f>
        <v/>
      </c>
      <c r="BH422">
        <f>IV_Baza_BDCB!BH25</f>
        <v/>
      </c>
      <c r="BI422">
        <f>IV_Baza_BDCB!BI25</f>
        <v/>
      </c>
      <c r="BJ422">
        <f>O422</f>
        <v/>
      </c>
      <c r="BK422">
        <f>SUM(AG422:AW422)</f>
        <v/>
      </c>
      <c r="BL422" s="531">
        <f>BJ422-BK422</f>
        <v/>
      </c>
      <c r="BM422" s="201" t="n"/>
    </row>
    <row r="423" hidden="1" outlineLevel="1" s="191">
      <c r="A423">
        <f>IV_Baza_BDCB!A26</f>
        <v/>
      </c>
      <c r="B423">
        <f>IV_Baza_BDCB!B26</f>
        <v/>
      </c>
      <c r="C423">
        <f>IV_Baza_BDCB!C26</f>
        <v/>
      </c>
      <c r="D423">
        <f>IV_Baza_BDCB!D26</f>
        <v/>
      </c>
      <c r="E423">
        <f>IV_Baza_BDCB!E26</f>
        <v/>
      </c>
      <c r="F423">
        <f>IV_Baza_BDCB!F26</f>
        <v/>
      </c>
      <c r="G423">
        <f>IV_Baza_BDCB!G26</f>
        <v/>
      </c>
      <c r="H423">
        <f>IV_Baza_BDCB!H26</f>
        <v/>
      </c>
      <c r="I423">
        <f>IV_Baza_BDCB!I26</f>
        <v/>
      </c>
      <c r="J423">
        <f>IV_Baza_BDCB!J26</f>
        <v/>
      </c>
      <c r="K423" s="672">
        <f>IV_Baza_BDCB!K26</f>
        <v/>
      </c>
      <c r="L423" s="672">
        <f>IV_Baza_BDCB!L26</f>
        <v/>
      </c>
      <c r="M423">
        <f>IV_Baza_BDCB!M26</f>
        <v/>
      </c>
      <c r="N423">
        <f>IV_Baza_BDCB!N26</f>
        <v/>
      </c>
      <c r="O423">
        <f>IV_Baza_BDCB!O26</f>
        <v/>
      </c>
      <c r="P423" s="628">
        <f>IV_Baza_BDCB!P26</f>
        <v/>
      </c>
      <c r="Q423" s="628">
        <f>IV_Baza_BDCB!Q26</f>
        <v/>
      </c>
      <c r="R423" s="628">
        <f>IV_Baza_BDCB!R26</f>
        <v/>
      </c>
      <c r="S423" s="628">
        <f>IV_Baza_BDCB!S26</f>
        <v/>
      </c>
      <c r="T423" s="628">
        <f>IV_Baza_BDCB!T26</f>
        <v/>
      </c>
      <c r="U423" s="628">
        <f>IV_Baza_BDCB!U26</f>
        <v/>
      </c>
      <c r="V423" s="628">
        <f>IV_Baza_BDCB!V26</f>
        <v/>
      </c>
      <c r="W423" s="628">
        <f>IV_Baza_BDCB!W26</f>
        <v/>
      </c>
      <c r="X423" s="628">
        <f>IV_Baza_BDCB!X26</f>
        <v/>
      </c>
      <c r="Y423" s="650">
        <f>IV_Baza_BDCB!Y26</f>
        <v/>
      </c>
      <c r="Z423" s="650">
        <f>IV_Baza_BDCB!Z26</f>
        <v/>
      </c>
      <c r="AA423" s="650">
        <f>IV_Baza_BDCB!AA26</f>
        <v/>
      </c>
      <c r="AB423" s="650">
        <f>IV_Baza_BDCB!AB26</f>
        <v/>
      </c>
      <c r="AC423" s="613">
        <f>IV_Baza_BDCB!AC26</f>
        <v/>
      </c>
      <c r="AD423" s="613">
        <f>IV_Baza_BDCB!AD26</f>
        <v/>
      </c>
      <c r="AE423" s="613">
        <f>IV_Baza_BDCB!AE26</f>
        <v/>
      </c>
      <c r="AF423" s="613">
        <f>IV_Baza_BDCB!AF26</f>
        <v/>
      </c>
      <c r="AG423" s="626">
        <f>IV_Baza_BDCB!AG26</f>
        <v/>
      </c>
      <c r="AH423" s="626">
        <f>IV_Baza_BDCB!AH26</f>
        <v/>
      </c>
      <c r="AI423" s="626">
        <f>IV_Baza_BDCB!AI26</f>
        <v/>
      </c>
      <c r="AJ423" s="626">
        <f>IV_Baza_BDCB!AJ26</f>
        <v/>
      </c>
      <c r="AK423" s="626">
        <f>IV_Baza_BDCB!AK26</f>
        <v/>
      </c>
      <c r="AL423" s="626">
        <f>IV_Baza_BDCB!AL26</f>
        <v/>
      </c>
      <c r="AM423" s="626">
        <f>IV_Baza_BDCB!AM26</f>
        <v/>
      </c>
      <c r="AN423" s="626">
        <f>IV_Baza_BDCB!AN26</f>
        <v/>
      </c>
      <c r="AO423" s="626">
        <f>IV_Baza_BDCB!AO26</f>
        <v/>
      </c>
      <c r="AP423" s="369">
        <f>IV_Baza_BDCB!AP26</f>
        <v/>
      </c>
      <c r="AQ423" s="369">
        <f>IV_Baza_BDCB!AQ26</f>
        <v/>
      </c>
      <c r="AR423" s="369">
        <f>IV_Baza_BDCB!AR26</f>
        <v/>
      </c>
      <c r="AS423" s="369">
        <f>IV_Baza_BDCB!AS26</f>
        <v/>
      </c>
      <c r="AT423" s="370">
        <f>IV_Baza_BDCB!AT26</f>
        <v/>
      </c>
      <c r="AU423" s="370">
        <f>IV_Baza_BDCB!AU26</f>
        <v/>
      </c>
      <c r="AV423" s="370">
        <f>IV_Baza_BDCB!AV26</f>
        <v/>
      </c>
      <c r="AW423" s="370">
        <f>IV_Baza_BDCB!AW26</f>
        <v/>
      </c>
      <c r="AX423">
        <f>IV_Baza_BDCB!AX26</f>
        <v/>
      </c>
      <c r="AY423">
        <f>IV_Baza_BDCB!AY26</f>
        <v/>
      </c>
      <c r="AZ423">
        <f>IV_Baza_BDCB!AZ26</f>
        <v/>
      </c>
      <c r="BA423">
        <f>IV_Baza_BDCB!BA26</f>
        <v/>
      </c>
      <c r="BB423">
        <f>IV_Baza_BDCB!BB26</f>
        <v/>
      </c>
      <c r="BC423">
        <f>IV_Baza_BDCB!BC26</f>
        <v/>
      </c>
      <c r="BD423">
        <f>IV_Baza_BDCB!BD26</f>
        <v/>
      </c>
      <c r="BE423">
        <f>IV_Baza_BDCB!BE26</f>
        <v/>
      </c>
      <c r="BF423">
        <f>IV_Baza_BDCB!BF26</f>
        <v/>
      </c>
      <c r="BG423">
        <f>IV_Baza_BDCB!BG26</f>
        <v/>
      </c>
      <c r="BH423">
        <f>IV_Baza_BDCB!BH26</f>
        <v/>
      </c>
      <c r="BI423">
        <f>IV_Baza_BDCB!BI26</f>
        <v/>
      </c>
      <c r="BJ423">
        <f>O423</f>
        <v/>
      </c>
      <c r="BK423">
        <f>SUM(AG423:AW423)</f>
        <v/>
      </c>
      <c r="BL423" s="531">
        <f>BJ423-BK423</f>
        <v/>
      </c>
      <c r="BM423" s="201" t="n"/>
    </row>
    <row r="424" hidden="1" outlineLevel="1" s="191">
      <c r="A424">
        <f>IV_Baza_BDCB!A27</f>
        <v/>
      </c>
      <c r="B424">
        <f>IV_Baza_BDCB!B27</f>
        <v/>
      </c>
      <c r="C424">
        <f>IV_Baza_BDCB!C27</f>
        <v/>
      </c>
      <c r="D424">
        <f>IV_Baza_BDCB!D27</f>
        <v/>
      </c>
      <c r="E424">
        <f>IV_Baza_BDCB!E27</f>
        <v/>
      </c>
      <c r="F424">
        <f>IV_Baza_BDCB!F27</f>
        <v/>
      </c>
      <c r="G424">
        <f>IV_Baza_BDCB!G27</f>
        <v/>
      </c>
      <c r="H424">
        <f>IV_Baza_BDCB!H27</f>
        <v/>
      </c>
      <c r="I424">
        <f>IV_Baza_BDCB!I27</f>
        <v/>
      </c>
      <c r="J424">
        <f>IV_Baza_BDCB!J27</f>
        <v/>
      </c>
      <c r="K424" s="672">
        <f>IV_Baza_BDCB!K27</f>
        <v/>
      </c>
      <c r="L424" s="672">
        <f>IV_Baza_BDCB!L27</f>
        <v/>
      </c>
      <c r="M424">
        <f>IV_Baza_BDCB!M27</f>
        <v/>
      </c>
      <c r="N424">
        <f>IV_Baza_BDCB!N27</f>
        <v/>
      </c>
      <c r="O424">
        <f>IV_Baza_BDCB!O27</f>
        <v/>
      </c>
      <c r="P424" s="628">
        <f>IV_Baza_BDCB!P27</f>
        <v/>
      </c>
      <c r="Q424" s="628">
        <f>IV_Baza_BDCB!Q27</f>
        <v/>
      </c>
      <c r="R424" s="628">
        <f>IV_Baza_BDCB!R27</f>
        <v/>
      </c>
      <c r="S424" s="628">
        <f>IV_Baza_BDCB!S27</f>
        <v/>
      </c>
      <c r="T424" s="628">
        <f>IV_Baza_BDCB!T27</f>
        <v/>
      </c>
      <c r="U424" s="628">
        <f>IV_Baza_BDCB!U27</f>
        <v/>
      </c>
      <c r="V424" s="628">
        <f>IV_Baza_BDCB!V27</f>
        <v/>
      </c>
      <c r="W424" s="628">
        <f>IV_Baza_BDCB!W27</f>
        <v/>
      </c>
      <c r="X424" s="628">
        <f>IV_Baza_BDCB!X27</f>
        <v/>
      </c>
      <c r="Y424" s="650">
        <f>IV_Baza_BDCB!Y27</f>
        <v/>
      </c>
      <c r="Z424" s="650">
        <f>IV_Baza_BDCB!Z27</f>
        <v/>
      </c>
      <c r="AA424" s="650">
        <f>IV_Baza_BDCB!AA27</f>
        <v/>
      </c>
      <c r="AB424" s="650">
        <f>IV_Baza_BDCB!AB27</f>
        <v/>
      </c>
      <c r="AC424" s="613">
        <f>IV_Baza_BDCB!AC27</f>
        <v/>
      </c>
      <c r="AD424" s="613">
        <f>IV_Baza_BDCB!AD27</f>
        <v/>
      </c>
      <c r="AE424" s="613">
        <f>IV_Baza_BDCB!AE27</f>
        <v/>
      </c>
      <c r="AF424" s="613">
        <f>IV_Baza_BDCB!AF27</f>
        <v/>
      </c>
      <c r="AG424" s="626">
        <f>IV_Baza_BDCB!AG27</f>
        <v/>
      </c>
      <c r="AH424" s="626">
        <f>IV_Baza_BDCB!AH27</f>
        <v/>
      </c>
      <c r="AI424" s="626">
        <f>IV_Baza_BDCB!AI27</f>
        <v/>
      </c>
      <c r="AJ424" s="626">
        <f>IV_Baza_BDCB!AJ27</f>
        <v/>
      </c>
      <c r="AK424" s="626">
        <f>IV_Baza_BDCB!AK27</f>
        <v/>
      </c>
      <c r="AL424" s="626">
        <f>IV_Baza_BDCB!AL27</f>
        <v/>
      </c>
      <c r="AM424" s="626">
        <f>IV_Baza_BDCB!AM27</f>
        <v/>
      </c>
      <c r="AN424" s="626">
        <f>IV_Baza_BDCB!AN27</f>
        <v/>
      </c>
      <c r="AO424" s="626">
        <f>IV_Baza_BDCB!AO27</f>
        <v/>
      </c>
      <c r="AP424" s="369">
        <f>IV_Baza_BDCB!AP27</f>
        <v/>
      </c>
      <c r="AQ424" s="369">
        <f>IV_Baza_BDCB!AQ27</f>
        <v/>
      </c>
      <c r="AR424" s="369">
        <f>IV_Baza_BDCB!AR27</f>
        <v/>
      </c>
      <c r="AS424" s="369">
        <f>IV_Baza_BDCB!AS27</f>
        <v/>
      </c>
      <c r="AT424" s="370">
        <f>IV_Baza_BDCB!AT27</f>
        <v/>
      </c>
      <c r="AU424" s="370">
        <f>IV_Baza_BDCB!AU27</f>
        <v/>
      </c>
      <c r="AV424" s="370">
        <f>IV_Baza_BDCB!AV27</f>
        <v/>
      </c>
      <c r="AW424" s="370">
        <f>IV_Baza_BDCB!AW27</f>
        <v/>
      </c>
      <c r="AX424">
        <f>IV_Baza_BDCB!AX27</f>
        <v/>
      </c>
      <c r="AY424">
        <f>IV_Baza_BDCB!AY27</f>
        <v/>
      </c>
      <c r="AZ424">
        <f>IV_Baza_BDCB!AZ27</f>
        <v/>
      </c>
      <c r="BA424">
        <f>IV_Baza_BDCB!BA27</f>
        <v/>
      </c>
      <c r="BB424">
        <f>IV_Baza_BDCB!BB27</f>
        <v/>
      </c>
      <c r="BC424">
        <f>IV_Baza_BDCB!BC27</f>
        <v/>
      </c>
      <c r="BD424">
        <f>IV_Baza_BDCB!BD27</f>
        <v/>
      </c>
      <c r="BE424">
        <f>IV_Baza_BDCB!BE27</f>
        <v/>
      </c>
      <c r="BF424">
        <f>IV_Baza_BDCB!BF27</f>
        <v/>
      </c>
      <c r="BG424">
        <f>IV_Baza_BDCB!BG27</f>
        <v/>
      </c>
      <c r="BH424">
        <f>IV_Baza_BDCB!BH27</f>
        <v/>
      </c>
      <c r="BI424">
        <f>IV_Baza_BDCB!BI27</f>
        <v/>
      </c>
      <c r="BJ424">
        <f>O424</f>
        <v/>
      </c>
      <c r="BK424">
        <f>SUM(AG424:AW424)</f>
        <v/>
      </c>
      <c r="BL424" s="531">
        <f>BJ424-BK424</f>
        <v/>
      </c>
      <c r="BM424" s="201" t="n"/>
    </row>
    <row r="425" hidden="1" outlineLevel="1" s="191">
      <c r="A425">
        <f>IV_Baza_BDCB!A28</f>
        <v/>
      </c>
      <c r="B425">
        <f>IV_Baza_BDCB!B28</f>
        <v/>
      </c>
      <c r="C425">
        <f>IV_Baza_BDCB!C28</f>
        <v/>
      </c>
      <c r="D425">
        <f>IV_Baza_BDCB!D28</f>
        <v/>
      </c>
      <c r="E425">
        <f>IV_Baza_BDCB!E28</f>
        <v/>
      </c>
      <c r="F425">
        <f>IV_Baza_BDCB!F28</f>
        <v/>
      </c>
      <c r="G425">
        <f>IV_Baza_BDCB!G28</f>
        <v/>
      </c>
      <c r="H425">
        <f>IV_Baza_BDCB!H28</f>
        <v/>
      </c>
      <c r="I425">
        <f>IV_Baza_BDCB!I28</f>
        <v/>
      </c>
      <c r="J425">
        <f>IV_Baza_BDCB!J28</f>
        <v/>
      </c>
      <c r="K425" s="672">
        <f>IV_Baza_BDCB!K28</f>
        <v/>
      </c>
      <c r="L425" s="672">
        <f>IV_Baza_BDCB!L28</f>
        <v/>
      </c>
      <c r="M425">
        <f>IV_Baza_BDCB!M28</f>
        <v/>
      </c>
      <c r="N425">
        <f>IV_Baza_BDCB!N28</f>
        <v/>
      </c>
      <c r="O425">
        <f>IV_Baza_BDCB!O28</f>
        <v/>
      </c>
      <c r="P425" s="628">
        <f>IV_Baza_BDCB!P28</f>
        <v/>
      </c>
      <c r="Q425" s="628">
        <f>IV_Baza_BDCB!Q28</f>
        <v/>
      </c>
      <c r="R425" s="628">
        <f>IV_Baza_BDCB!R28</f>
        <v/>
      </c>
      <c r="S425" s="628">
        <f>IV_Baza_BDCB!S28</f>
        <v/>
      </c>
      <c r="T425" s="628">
        <f>IV_Baza_BDCB!T28</f>
        <v/>
      </c>
      <c r="U425" s="628">
        <f>IV_Baza_BDCB!U28</f>
        <v/>
      </c>
      <c r="V425" s="628">
        <f>IV_Baza_BDCB!V28</f>
        <v/>
      </c>
      <c r="W425" s="628">
        <f>IV_Baza_BDCB!W28</f>
        <v/>
      </c>
      <c r="X425" s="628">
        <f>IV_Baza_BDCB!X28</f>
        <v/>
      </c>
      <c r="Y425" s="650">
        <f>IV_Baza_BDCB!Y28</f>
        <v/>
      </c>
      <c r="Z425" s="650">
        <f>IV_Baza_BDCB!Z28</f>
        <v/>
      </c>
      <c r="AA425" s="650">
        <f>IV_Baza_BDCB!AA28</f>
        <v/>
      </c>
      <c r="AB425" s="650">
        <f>IV_Baza_BDCB!AB28</f>
        <v/>
      </c>
      <c r="AC425" s="613">
        <f>IV_Baza_BDCB!AC28</f>
        <v/>
      </c>
      <c r="AD425" s="613">
        <f>IV_Baza_BDCB!AD28</f>
        <v/>
      </c>
      <c r="AE425" s="613">
        <f>IV_Baza_BDCB!AE28</f>
        <v/>
      </c>
      <c r="AF425" s="613">
        <f>IV_Baza_BDCB!AF28</f>
        <v/>
      </c>
      <c r="AG425" s="626">
        <f>IV_Baza_BDCB!AG28</f>
        <v/>
      </c>
      <c r="AH425" s="626">
        <f>IV_Baza_BDCB!AH28</f>
        <v/>
      </c>
      <c r="AI425" s="626">
        <f>IV_Baza_BDCB!AI28</f>
        <v/>
      </c>
      <c r="AJ425" s="626">
        <f>IV_Baza_BDCB!AJ28</f>
        <v/>
      </c>
      <c r="AK425" s="626">
        <f>IV_Baza_BDCB!AK28</f>
        <v/>
      </c>
      <c r="AL425" s="626">
        <f>IV_Baza_BDCB!AL28</f>
        <v/>
      </c>
      <c r="AM425" s="626">
        <f>IV_Baza_BDCB!AM28</f>
        <v/>
      </c>
      <c r="AN425" s="626">
        <f>IV_Baza_BDCB!AN28</f>
        <v/>
      </c>
      <c r="AO425" s="626">
        <f>IV_Baza_BDCB!AO28</f>
        <v/>
      </c>
      <c r="AP425" s="369">
        <f>IV_Baza_BDCB!AP28</f>
        <v/>
      </c>
      <c r="AQ425" s="369">
        <f>IV_Baza_BDCB!AQ28</f>
        <v/>
      </c>
      <c r="AR425" s="369">
        <f>IV_Baza_BDCB!AR28</f>
        <v/>
      </c>
      <c r="AS425" s="369">
        <f>IV_Baza_BDCB!AS28</f>
        <v/>
      </c>
      <c r="AT425" s="370">
        <f>IV_Baza_BDCB!AT28</f>
        <v/>
      </c>
      <c r="AU425" s="370">
        <f>IV_Baza_BDCB!AU28</f>
        <v/>
      </c>
      <c r="AV425" s="370">
        <f>IV_Baza_BDCB!AV28</f>
        <v/>
      </c>
      <c r="AW425" s="370">
        <f>IV_Baza_BDCB!AW28</f>
        <v/>
      </c>
      <c r="AX425">
        <f>IV_Baza_BDCB!AX28</f>
        <v/>
      </c>
      <c r="AY425">
        <f>IV_Baza_BDCB!AY28</f>
        <v/>
      </c>
      <c r="AZ425">
        <f>IV_Baza_BDCB!AZ28</f>
        <v/>
      </c>
      <c r="BA425">
        <f>IV_Baza_BDCB!BA28</f>
        <v/>
      </c>
      <c r="BB425">
        <f>IV_Baza_BDCB!BB28</f>
        <v/>
      </c>
      <c r="BC425">
        <f>IV_Baza_BDCB!BC28</f>
        <v/>
      </c>
      <c r="BD425">
        <f>IV_Baza_BDCB!BD28</f>
        <v/>
      </c>
      <c r="BE425">
        <f>IV_Baza_BDCB!BE28</f>
        <v/>
      </c>
      <c r="BF425">
        <f>IV_Baza_BDCB!BF28</f>
        <v/>
      </c>
      <c r="BG425">
        <f>IV_Baza_BDCB!BG28</f>
        <v/>
      </c>
      <c r="BH425">
        <f>IV_Baza_BDCB!BH28</f>
        <v/>
      </c>
      <c r="BI425">
        <f>IV_Baza_BDCB!BI28</f>
        <v/>
      </c>
      <c r="BJ425">
        <f>O425</f>
        <v/>
      </c>
      <c r="BK425">
        <f>SUM(AG425:AW425)</f>
        <v/>
      </c>
      <c r="BL425" s="531">
        <f>BJ425-BK425</f>
        <v/>
      </c>
      <c r="BM425" s="201" t="n"/>
    </row>
    <row r="426" hidden="1" outlineLevel="1" s="191">
      <c r="A426">
        <f>IV_Baza_BDCB!A29</f>
        <v/>
      </c>
      <c r="B426">
        <f>IV_Baza_BDCB!B29</f>
        <v/>
      </c>
      <c r="C426">
        <f>IV_Baza_BDCB!C29</f>
        <v/>
      </c>
      <c r="D426">
        <f>IV_Baza_BDCB!D29</f>
        <v/>
      </c>
      <c r="E426">
        <f>IV_Baza_BDCB!E29</f>
        <v/>
      </c>
      <c r="F426">
        <f>IV_Baza_BDCB!F29</f>
        <v/>
      </c>
      <c r="G426">
        <f>IV_Baza_BDCB!G29</f>
        <v/>
      </c>
      <c r="H426">
        <f>IV_Baza_BDCB!H29</f>
        <v/>
      </c>
      <c r="I426">
        <f>IV_Baza_BDCB!I29</f>
        <v/>
      </c>
      <c r="J426">
        <f>IV_Baza_BDCB!J29</f>
        <v/>
      </c>
      <c r="K426" s="672">
        <f>IV_Baza_BDCB!K29</f>
        <v/>
      </c>
      <c r="L426" s="672">
        <f>IV_Baza_BDCB!L29</f>
        <v/>
      </c>
      <c r="M426">
        <f>IV_Baza_BDCB!M29</f>
        <v/>
      </c>
      <c r="N426">
        <f>IV_Baza_BDCB!N29</f>
        <v/>
      </c>
      <c r="O426">
        <f>IV_Baza_BDCB!O29</f>
        <v/>
      </c>
      <c r="P426" s="628">
        <f>IV_Baza_BDCB!P29</f>
        <v/>
      </c>
      <c r="Q426" s="628">
        <f>IV_Baza_BDCB!Q29</f>
        <v/>
      </c>
      <c r="R426" s="628">
        <f>IV_Baza_BDCB!R29</f>
        <v/>
      </c>
      <c r="S426" s="628">
        <f>IV_Baza_BDCB!S29</f>
        <v/>
      </c>
      <c r="T426" s="628">
        <f>IV_Baza_BDCB!T29</f>
        <v/>
      </c>
      <c r="U426" s="628">
        <f>IV_Baza_BDCB!U29</f>
        <v/>
      </c>
      <c r="V426" s="628">
        <f>IV_Baza_BDCB!V29</f>
        <v/>
      </c>
      <c r="W426" s="628">
        <f>IV_Baza_BDCB!W29</f>
        <v/>
      </c>
      <c r="X426" s="628">
        <f>IV_Baza_BDCB!X29</f>
        <v/>
      </c>
      <c r="Y426" s="650">
        <f>IV_Baza_BDCB!Y29</f>
        <v/>
      </c>
      <c r="Z426" s="650">
        <f>IV_Baza_BDCB!Z29</f>
        <v/>
      </c>
      <c r="AA426" s="650">
        <f>IV_Baza_BDCB!AA29</f>
        <v/>
      </c>
      <c r="AB426" s="650">
        <f>IV_Baza_BDCB!AB29</f>
        <v/>
      </c>
      <c r="AC426" s="613">
        <f>IV_Baza_BDCB!AC29</f>
        <v/>
      </c>
      <c r="AD426" s="613">
        <f>IV_Baza_BDCB!AD29</f>
        <v/>
      </c>
      <c r="AE426" s="613">
        <f>IV_Baza_BDCB!AE29</f>
        <v/>
      </c>
      <c r="AF426" s="613">
        <f>IV_Baza_BDCB!AF29</f>
        <v/>
      </c>
      <c r="AG426" s="626">
        <f>IV_Baza_BDCB!AG29</f>
        <v/>
      </c>
      <c r="AH426" s="626">
        <f>IV_Baza_BDCB!AH29</f>
        <v/>
      </c>
      <c r="AI426" s="626">
        <f>IV_Baza_BDCB!AI29</f>
        <v/>
      </c>
      <c r="AJ426" s="626">
        <f>IV_Baza_BDCB!AJ29</f>
        <v/>
      </c>
      <c r="AK426" s="626">
        <f>IV_Baza_BDCB!AK29</f>
        <v/>
      </c>
      <c r="AL426" s="626">
        <f>IV_Baza_BDCB!AL29</f>
        <v/>
      </c>
      <c r="AM426" s="626">
        <f>IV_Baza_BDCB!AM29</f>
        <v/>
      </c>
      <c r="AN426" s="626">
        <f>IV_Baza_BDCB!AN29</f>
        <v/>
      </c>
      <c r="AO426" s="626">
        <f>IV_Baza_BDCB!AO29</f>
        <v/>
      </c>
      <c r="AP426" s="369">
        <f>IV_Baza_BDCB!AP29</f>
        <v/>
      </c>
      <c r="AQ426" s="369">
        <f>IV_Baza_BDCB!AQ29</f>
        <v/>
      </c>
      <c r="AR426" s="369">
        <f>IV_Baza_BDCB!AR29</f>
        <v/>
      </c>
      <c r="AS426" s="369">
        <f>IV_Baza_BDCB!AS29</f>
        <v/>
      </c>
      <c r="AT426" s="370">
        <f>IV_Baza_BDCB!AT29</f>
        <v/>
      </c>
      <c r="AU426" s="370">
        <f>IV_Baza_BDCB!AU29</f>
        <v/>
      </c>
      <c r="AV426" s="370">
        <f>IV_Baza_BDCB!AV29</f>
        <v/>
      </c>
      <c r="AW426" s="370">
        <f>IV_Baza_BDCB!AW29</f>
        <v/>
      </c>
      <c r="AX426">
        <f>IV_Baza_BDCB!AX29</f>
        <v/>
      </c>
      <c r="AY426">
        <f>IV_Baza_BDCB!AY29</f>
        <v/>
      </c>
      <c r="AZ426">
        <f>IV_Baza_BDCB!AZ29</f>
        <v/>
      </c>
      <c r="BA426">
        <f>IV_Baza_BDCB!BA29</f>
        <v/>
      </c>
      <c r="BB426">
        <f>IV_Baza_BDCB!BB29</f>
        <v/>
      </c>
      <c r="BC426">
        <f>IV_Baza_BDCB!BC29</f>
        <v/>
      </c>
      <c r="BD426">
        <f>IV_Baza_BDCB!BD29</f>
        <v/>
      </c>
      <c r="BE426">
        <f>IV_Baza_BDCB!BE29</f>
        <v/>
      </c>
      <c r="BF426">
        <f>IV_Baza_BDCB!BF29</f>
        <v/>
      </c>
      <c r="BG426">
        <f>IV_Baza_BDCB!BG29</f>
        <v/>
      </c>
      <c r="BH426">
        <f>IV_Baza_BDCB!BH29</f>
        <v/>
      </c>
      <c r="BI426">
        <f>IV_Baza_BDCB!BI29</f>
        <v/>
      </c>
      <c r="BJ426">
        <f>O426</f>
        <v/>
      </c>
      <c r="BK426">
        <f>SUM(AG426:AW426)</f>
        <v/>
      </c>
      <c r="BL426" s="531">
        <f>BJ426-BK426</f>
        <v/>
      </c>
      <c r="BM426" s="201" t="n"/>
    </row>
    <row r="427" hidden="1" outlineLevel="1" s="191">
      <c r="P427" s="628" t="n"/>
      <c r="Q427" s="628" t="n"/>
      <c r="R427" s="628" t="n"/>
      <c r="S427" s="628" t="n"/>
      <c r="T427" s="628" t="n"/>
      <c r="U427" s="628" t="n"/>
      <c r="V427" s="628" t="n"/>
      <c r="W427" s="628" t="n"/>
      <c r="X427" s="628" t="n"/>
      <c r="Y427" s="650" t="n"/>
      <c r="Z427" s="650" t="n"/>
      <c r="AA427" s="650" t="n"/>
      <c r="AB427" s="650" t="n"/>
      <c r="AC427" s="613" t="n"/>
      <c r="AD427" s="613" t="n"/>
      <c r="AE427" s="613" t="n"/>
      <c r="AF427" s="613" t="n"/>
      <c r="AG427" s="626" t="n"/>
      <c r="AH427" s="626" t="n"/>
      <c r="AI427" s="626" t="n"/>
      <c r="AJ427" s="626" t="n"/>
      <c r="AK427" s="626" t="n"/>
      <c r="AL427" s="626" t="n"/>
      <c r="AM427" s="626" t="n"/>
      <c r="AN427" s="626" t="n"/>
      <c r="AO427" s="626" t="n"/>
      <c r="AP427" s="369" t="n"/>
      <c r="AQ427" s="369" t="n"/>
      <c r="AR427" s="369" t="n"/>
      <c r="AS427" s="369" t="n"/>
      <c r="AT427" s="370" t="n"/>
      <c r="AU427" s="370" t="n"/>
      <c r="AV427" s="370" t="n"/>
      <c r="AW427" s="370" t="n"/>
      <c r="BJ427">
        <f>O427</f>
        <v/>
      </c>
      <c r="BK427">
        <f>SUM(AG427:AW427)</f>
        <v/>
      </c>
      <c r="BL427" s="531">
        <f>BJ427-BK427</f>
        <v/>
      </c>
      <c r="BM427" s="201" t="n"/>
    </row>
    <row r="428" hidden="1" outlineLevel="1" s="191">
      <c r="P428" s="628" t="n"/>
      <c r="Q428" s="628" t="n"/>
      <c r="R428" s="628" t="n"/>
      <c r="S428" s="628" t="n"/>
      <c r="T428" s="628" t="n"/>
      <c r="U428" s="628" t="n"/>
      <c r="V428" s="628" t="n"/>
      <c r="W428" s="628" t="n"/>
      <c r="X428" s="628" t="n"/>
      <c r="Y428" s="650" t="n"/>
      <c r="Z428" s="650" t="n"/>
      <c r="AA428" s="650" t="n"/>
      <c r="AB428" s="650" t="n"/>
      <c r="AC428" s="613" t="n"/>
      <c r="AD428" s="613" t="n"/>
      <c r="AE428" s="613" t="n"/>
      <c r="AF428" s="613" t="n"/>
      <c r="AG428" s="626" t="n"/>
      <c r="AH428" s="626" t="n"/>
      <c r="AI428" s="626" t="n"/>
      <c r="AJ428" s="626" t="n"/>
      <c r="AK428" s="626" t="n"/>
      <c r="AL428" s="626" t="n"/>
      <c r="AM428" s="626" t="n"/>
      <c r="AN428" s="626" t="n"/>
      <c r="AO428" s="626" t="n"/>
      <c r="AP428" s="369" t="n"/>
      <c r="AQ428" s="369" t="n"/>
      <c r="AR428" s="369" t="n"/>
      <c r="AS428" s="369" t="n"/>
      <c r="AT428" s="370" t="n"/>
      <c r="AU428" s="370" t="n"/>
      <c r="AV428" s="370" t="n"/>
      <c r="AW428" s="370" t="n"/>
      <c r="BJ428">
        <f>O428</f>
        <v/>
      </c>
      <c r="BK428">
        <f>SUM(AG428:AW428)</f>
        <v/>
      </c>
      <c r="BL428" s="531">
        <f>BJ428-BK428</f>
        <v/>
      </c>
      <c r="BM428" s="201" t="n"/>
    </row>
    <row r="429" hidden="1" outlineLevel="1" s="191">
      <c r="P429" s="628" t="n"/>
      <c r="Q429" s="628" t="n"/>
      <c r="R429" s="628" t="n"/>
      <c r="S429" s="628" t="n"/>
      <c r="T429" s="628" t="n"/>
      <c r="U429" s="628" t="n"/>
      <c r="V429" s="628" t="n"/>
      <c r="W429" s="628" t="n"/>
      <c r="X429" s="628" t="n"/>
      <c r="Y429" s="650" t="n"/>
      <c r="Z429" s="650" t="n"/>
      <c r="AA429" s="650" t="n"/>
      <c r="AB429" s="650" t="n"/>
      <c r="AC429" s="613" t="n"/>
      <c r="AD429" s="613" t="n"/>
      <c r="AE429" s="613" t="n"/>
      <c r="AF429" s="613" t="n"/>
      <c r="AG429" s="626" t="n"/>
      <c r="AH429" s="626" t="n"/>
      <c r="AI429" s="626" t="n"/>
      <c r="AJ429" s="626" t="n"/>
      <c r="AK429" s="626" t="n"/>
      <c r="AL429" s="626" t="n"/>
      <c r="AM429" s="626" t="n"/>
      <c r="AN429" s="626" t="n"/>
      <c r="AO429" s="626" t="n"/>
      <c r="AP429" s="369" t="n"/>
      <c r="AQ429" s="369" t="n"/>
      <c r="AR429" s="369" t="n"/>
      <c r="AS429" s="369" t="n"/>
      <c r="AT429" s="370" t="n"/>
      <c r="AU429" s="370" t="n"/>
      <c r="AV429" s="370" t="n"/>
      <c r="AW429" s="370" t="n"/>
      <c r="BJ429">
        <f>O429</f>
        <v/>
      </c>
      <c r="BK429">
        <f>SUM(AG429:AW429)</f>
        <v/>
      </c>
      <c r="BL429" s="531">
        <f>BJ429-BK429</f>
        <v/>
      </c>
      <c r="BM429" s="201" t="n"/>
    </row>
    <row r="430" hidden="1" outlineLevel="1" s="191">
      <c r="P430" s="628" t="n"/>
      <c r="Q430" s="628" t="n"/>
      <c r="R430" s="628" t="n"/>
      <c r="S430" s="628" t="n"/>
      <c r="T430" s="628" t="n"/>
      <c r="U430" s="628" t="n"/>
      <c r="V430" s="628" t="n"/>
      <c r="W430" s="628" t="n"/>
      <c r="X430" s="628" t="n"/>
      <c r="Y430" s="650" t="n"/>
      <c r="Z430" s="650" t="n"/>
      <c r="AA430" s="650" t="n"/>
      <c r="AB430" s="650" t="n"/>
      <c r="AC430" s="613" t="n"/>
      <c r="AD430" s="613" t="n"/>
      <c r="AE430" s="613" t="n"/>
      <c r="AF430" s="613" t="n"/>
      <c r="AG430" s="626" t="n"/>
      <c r="AH430" s="626" t="n"/>
      <c r="AI430" s="626" t="n"/>
      <c r="AJ430" s="626" t="n"/>
      <c r="AK430" s="626" t="n"/>
      <c r="AL430" s="626" t="n"/>
      <c r="AM430" s="626" t="n"/>
      <c r="AN430" s="626" t="n"/>
      <c r="AO430" s="626" t="n"/>
      <c r="AP430" s="369" t="n"/>
      <c r="AQ430" s="369" t="n"/>
      <c r="AR430" s="369" t="n"/>
      <c r="AS430" s="369" t="n"/>
      <c r="AT430" s="370" t="n"/>
      <c r="AU430" s="370" t="n"/>
      <c r="AV430" s="370" t="n"/>
      <c r="AW430" s="370" t="n"/>
      <c r="BJ430">
        <f>O430</f>
        <v/>
      </c>
      <c r="BK430">
        <f>SUM(AG430:AW430)</f>
        <v/>
      </c>
      <c r="BL430" s="531">
        <f>BJ430-BK430</f>
        <v/>
      </c>
      <c r="BM430" s="201" t="n"/>
    </row>
    <row r="431" hidden="1" outlineLevel="1" s="191">
      <c r="P431" s="628" t="n"/>
      <c r="Q431" s="628" t="n"/>
      <c r="R431" s="628" t="n"/>
      <c r="S431" s="628" t="n"/>
      <c r="T431" s="628" t="n"/>
      <c r="U431" s="628" t="n"/>
      <c r="V431" s="628" t="n"/>
      <c r="W431" s="628" t="n"/>
      <c r="X431" s="628" t="n"/>
      <c r="Y431" s="650" t="n"/>
      <c r="Z431" s="650" t="n"/>
      <c r="AA431" s="650" t="n"/>
      <c r="AB431" s="650" t="n"/>
      <c r="AC431" s="613" t="n"/>
      <c r="AD431" s="613" t="n"/>
      <c r="AE431" s="613" t="n"/>
      <c r="AF431" s="613" t="n"/>
      <c r="AG431" s="626" t="n"/>
      <c r="AH431" s="626" t="n"/>
      <c r="AI431" s="626" t="n"/>
      <c r="AJ431" s="626" t="n"/>
      <c r="AK431" s="626" t="n"/>
      <c r="AL431" s="626" t="n"/>
      <c r="AM431" s="626" t="n"/>
      <c r="AN431" s="626" t="n"/>
      <c r="AO431" s="626" t="n"/>
      <c r="AP431" s="369" t="n"/>
      <c r="AQ431" s="369" t="n"/>
      <c r="AR431" s="369" t="n"/>
      <c r="AS431" s="369" t="n"/>
      <c r="AT431" s="370" t="n"/>
      <c r="AU431" s="370" t="n"/>
      <c r="AV431" s="370" t="n"/>
      <c r="AW431" s="370" t="n"/>
      <c r="BJ431">
        <f>O431</f>
        <v/>
      </c>
      <c r="BK431">
        <f>SUM(AG431:AW431)</f>
        <v/>
      </c>
      <c r="BL431" s="531">
        <f>BJ431-BK431</f>
        <v/>
      </c>
      <c r="BM431" s="201" t="n"/>
    </row>
    <row r="432" hidden="1" outlineLevel="1" s="191">
      <c r="P432" s="628" t="n"/>
      <c r="Q432" s="628" t="n"/>
      <c r="R432" s="628" t="n"/>
      <c r="S432" s="628" t="n"/>
      <c r="T432" s="628" t="n"/>
      <c r="U432" s="628" t="n"/>
      <c r="V432" s="628" t="n"/>
      <c r="W432" s="628" t="n"/>
      <c r="X432" s="628" t="n"/>
      <c r="Y432" s="650" t="n"/>
      <c r="Z432" s="650" t="n"/>
      <c r="AA432" s="650" t="n"/>
      <c r="AB432" s="650" t="n"/>
      <c r="AC432" s="613" t="n"/>
      <c r="AD432" s="613" t="n"/>
      <c r="AE432" s="613" t="n"/>
      <c r="AF432" s="613" t="n"/>
      <c r="AG432" s="626" t="n"/>
      <c r="AH432" s="626" t="n"/>
      <c r="AI432" s="626" t="n"/>
      <c r="AJ432" s="626" t="n"/>
      <c r="AK432" s="626" t="n"/>
      <c r="AL432" s="626" t="n"/>
      <c r="AM432" s="626" t="n"/>
      <c r="AN432" s="626" t="n"/>
      <c r="AO432" s="626" t="n"/>
      <c r="AP432" s="369" t="n"/>
      <c r="AQ432" s="369" t="n"/>
      <c r="AR432" s="369" t="n"/>
      <c r="AS432" s="369" t="n"/>
      <c r="AT432" s="370" t="n"/>
      <c r="AU432" s="370" t="n"/>
      <c r="AV432" s="370" t="n"/>
      <c r="AW432" s="370" t="n"/>
      <c r="BJ432">
        <f>O432</f>
        <v/>
      </c>
      <c r="BK432">
        <f>SUM(AG432:AW432)</f>
        <v/>
      </c>
      <c r="BL432" s="531">
        <f>BJ432-BK432</f>
        <v/>
      </c>
      <c r="BM432" s="201" t="n"/>
    </row>
    <row r="433" hidden="1" outlineLevel="1" s="191">
      <c r="P433" s="628" t="n"/>
      <c r="Q433" s="628" t="n"/>
      <c r="R433" s="628" t="n"/>
      <c r="S433" s="628" t="n"/>
      <c r="T433" s="628" t="n"/>
      <c r="U433" s="628" t="n"/>
      <c r="V433" s="628" t="n"/>
      <c r="W433" s="628" t="n"/>
      <c r="X433" s="628" t="n"/>
      <c r="Y433" s="650" t="n"/>
      <c r="Z433" s="650" t="n"/>
      <c r="AA433" s="650" t="n"/>
      <c r="AB433" s="650" t="n"/>
      <c r="AC433" s="613" t="n"/>
      <c r="AD433" s="613" t="n"/>
      <c r="AE433" s="613" t="n"/>
      <c r="AF433" s="613" t="n"/>
      <c r="AG433" s="626" t="n"/>
      <c r="AH433" s="626" t="n"/>
      <c r="AI433" s="626" t="n"/>
      <c r="AJ433" s="626" t="n"/>
      <c r="AK433" s="626" t="n"/>
      <c r="AL433" s="626" t="n"/>
      <c r="AM433" s="626" t="n"/>
      <c r="AN433" s="626" t="n"/>
      <c r="AO433" s="626" t="n"/>
      <c r="AP433" s="369" t="n"/>
      <c r="AQ433" s="369" t="n"/>
      <c r="AR433" s="369" t="n"/>
      <c r="AS433" s="369" t="n"/>
      <c r="AT433" s="370" t="n"/>
      <c r="AU433" s="370" t="n"/>
      <c r="AV433" s="370" t="n"/>
      <c r="AW433" s="370" t="n"/>
      <c r="BJ433">
        <f>O433</f>
        <v/>
      </c>
      <c r="BK433">
        <f>SUM(AG433:AW433)</f>
        <v/>
      </c>
      <c r="BL433" s="531">
        <f>BJ433-BK433</f>
        <v/>
      </c>
      <c r="BM433" s="201" t="n"/>
    </row>
    <row r="434" hidden="1" outlineLevel="1" s="191">
      <c r="P434" s="628" t="n"/>
      <c r="Q434" s="628" t="n"/>
      <c r="R434" s="628" t="n"/>
      <c r="S434" s="628" t="n"/>
      <c r="T434" s="628" t="n"/>
      <c r="U434" s="628" t="n"/>
      <c r="V434" s="628" t="n"/>
      <c r="W434" s="628" t="n"/>
      <c r="X434" s="628" t="n"/>
      <c r="Y434" s="650" t="n"/>
      <c r="Z434" s="650" t="n"/>
      <c r="AA434" s="650" t="n"/>
      <c r="AB434" s="650" t="n"/>
      <c r="AC434" s="613" t="n"/>
      <c r="AD434" s="613" t="n"/>
      <c r="AE434" s="613" t="n"/>
      <c r="AF434" s="613" t="n"/>
      <c r="AG434" s="626" t="n"/>
      <c r="AH434" s="626" t="n"/>
      <c r="AI434" s="626" t="n"/>
      <c r="AJ434" s="626" t="n"/>
      <c r="AK434" s="626" t="n"/>
      <c r="AL434" s="626" t="n"/>
      <c r="AM434" s="626" t="n"/>
      <c r="AN434" s="626" t="n"/>
      <c r="AO434" s="626" t="n"/>
      <c r="AP434" s="369" t="n"/>
      <c r="AQ434" s="369" t="n"/>
      <c r="AR434" s="369" t="n"/>
      <c r="AS434" s="369" t="n"/>
      <c r="AT434" s="370" t="n"/>
      <c r="AU434" s="370" t="n"/>
      <c r="AV434" s="370" t="n"/>
      <c r="AW434" s="370" t="n"/>
      <c r="BJ434">
        <f>O434</f>
        <v/>
      </c>
      <c r="BK434">
        <f>SUM(AG434:AW434)</f>
        <v/>
      </c>
      <c r="BL434" s="531">
        <f>BJ434-BK434</f>
        <v/>
      </c>
      <c r="BM434" s="201" t="n"/>
    </row>
    <row r="435" hidden="1" outlineLevel="1" s="191">
      <c r="P435" s="628" t="n"/>
      <c r="Q435" s="628" t="n"/>
      <c r="R435" s="628" t="n"/>
      <c r="S435" s="628" t="n"/>
      <c r="T435" s="628" t="n"/>
      <c r="U435" s="628" t="n"/>
      <c r="V435" s="628" t="n"/>
      <c r="W435" s="628" t="n"/>
      <c r="X435" s="628" t="n"/>
      <c r="Y435" s="650" t="n"/>
      <c r="Z435" s="650" t="n"/>
      <c r="AA435" s="650" t="n"/>
      <c r="AB435" s="650" t="n"/>
      <c r="AC435" s="613" t="n"/>
      <c r="AD435" s="613" t="n"/>
      <c r="AE435" s="613" t="n"/>
      <c r="AF435" s="613" t="n"/>
      <c r="AG435" s="626" t="n"/>
      <c r="AH435" s="626" t="n"/>
      <c r="AI435" s="626" t="n"/>
      <c r="AJ435" s="626" t="n"/>
      <c r="AK435" s="626" t="n"/>
      <c r="AL435" s="626" t="n"/>
      <c r="AM435" s="626" t="n"/>
      <c r="AN435" s="626" t="n"/>
      <c r="AO435" s="626" t="n"/>
      <c r="AP435" s="369" t="n"/>
      <c r="AQ435" s="369" t="n"/>
      <c r="AR435" s="369" t="n"/>
      <c r="AS435" s="369" t="n"/>
      <c r="AT435" s="370" t="n"/>
      <c r="AU435" s="370" t="n"/>
      <c r="AV435" s="370" t="n"/>
      <c r="AW435" s="370" t="n"/>
      <c r="BJ435">
        <f>O435</f>
        <v/>
      </c>
      <c r="BK435">
        <f>SUM(AG435:AW435)</f>
        <v/>
      </c>
      <c r="BL435" s="531">
        <f>BJ435-BK435</f>
        <v/>
      </c>
      <c r="BM435" s="201" t="n"/>
    </row>
    <row r="436" hidden="1" outlineLevel="1" s="191">
      <c r="P436" s="628" t="n"/>
      <c r="Q436" s="628" t="n"/>
      <c r="R436" s="628" t="n"/>
      <c r="S436" s="628" t="n"/>
      <c r="T436" s="628" t="n"/>
      <c r="U436" s="628" t="n"/>
      <c r="V436" s="628" t="n"/>
      <c r="W436" s="628" t="n"/>
      <c r="X436" s="628" t="n"/>
      <c r="Y436" s="650" t="n"/>
      <c r="Z436" s="650" t="n"/>
      <c r="AA436" s="650" t="n"/>
      <c r="AB436" s="650" t="n"/>
      <c r="AC436" s="613" t="n"/>
      <c r="AD436" s="613" t="n"/>
      <c r="AE436" s="613" t="n"/>
      <c r="AF436" s="613" t="n"/>
      <c r="AG436" s="626" t="n"/>
      <c r="AH436" s="626" t="n"/>
      <c r="AI436" s="626" t="n"/>
      <c r="AJ436" s="626" t="n"/>
      <c r="AK436" s="626" t="n"/>
      <c r="AL436" s="626" t="n"/>
      <c r="AM436" s="626" t="n"/>
      <c r="AN436" s="626" t="n"/>
      <c r="AO436" s="626" t="n"/>
      <c r="AP436" s="369" t="n"/>
      <c r="AQ436" s="369" t="n"/>
      <c r="AR436" s="369" t="n"/>
      <c r="AS436" s="369" t="n"/>
      <c r="AT436" s="370" t="n"/>
      <c r="AU436" s="370" t="n"/>
      <c r="AV436" s="370" t="n"/>
      <c r="AW436" s="370" t="n"/>
      <c r="BJ436">
        <f>O436</f>
        <v/>
      </c>
      <c r="BK436">
        <f>SUM(AG436:AW436)</f>
        <v/>
      </c>
      <c r="BL436" s="531">
        <f>BJ436-BK436</f>
        <v/>
      </c>
      <c r="BM436" s="201" t="n"/>
    </row>
    <row r="437" hidden="1" outlineLevel="1" s="191">
      <c r="P437" s="628" t="n"/>
      <c r="Q437" s="628" t="n"/>
      <c r="R437" s="628" t="n"/>
      <c r="S437" s="628" t="n"/>
      <c r="T437" s="628" t="n"/>
      <c r="U437" s="628" t="n"/>
      <c r="V437" s="628" t="n"/>
      <c r="W437" s="628" t="n"/>
      <c r="X437" s="628" t="n"/>
      <c r="Y437" s="650" t="n"/>
      <c r="Z437" s="650" t="n"/>
      <c r="AA437" s="650" t="n"/>
      <c r="AB437" s="650" t="n"/>
      <c r="AC437" s="613" t="n"/>
      <c r="AD437" s="613" t="n"/>
      <c r="AE437" s="613" t="n"/>
      <c r="AF437" s="613" t="n"/>
      <c r="AG437" s="626" t="n"/>
      <c r="AH437" s="626" t="n"/>
      <c r="AI437" s="626" t="n"/>
      <c r="AJ437" s="626" t="n"/>
      <c r="AK437" s="626" t="n"/>
      <c r="AL437" s="626" t="n"/>
      <c r="AM437" s="626" t="n"/>
      <c r="AN437" s="626" t="n"/>
      <c r="AO437" s="626" t="n"/>
      <c r="AP437" s="369" t="n"/>
      <c r="AQ437" s="369" t="n"/>
      <c r="AR437" s="369" t="n"/>
      <c r="AS437" s="369" t="n"/>
      <c r="AT437" s="370" t="n"/>
      <c r="AU437" s="370" t="n"/>
      <c r="AV437" s="370" t="n"/>
      <c r="AW437" s="370" t="n"/>
      <c r="BJ437">
        <f>O437</f>
        <v/>
      </c>
      <c r="BK437">
        <f>SUM(AG437:AW437)</f>
        <v/>
      </c>
      <c r="BL437" s="531">
        <f>BJ437-BK437</f>
        <v/>
      </c>
      <c r="BM437" s="201" t="n"/>
    </row>
    <row r="438" hidden="1" outlineLevel="1" s="191">
      <c r="P438" s="628" t="n"/>
      <c r="Q438" s="628" t="n"/>
      <c r="R438" s="628" t="n"/>
      <c r="S438" s="628" t="n"/>
      <c r="T438" s="628" t="n"/>
      <c r="U438" s="628" t="n"/>
      <c r="V438" s="628" t="n"/>
      <c r="W438" s="628" t="n"/>
      <c r="X438" s="628" t="n"/>
      <c r="Y438" s="650" t="n"/>
      <c r="Z438" s="650" t="n"/>
      <c r="AA438" s="650" t="n"/>
      <c r="AB438" s="650" t="n"/>
      <c r="AC438" s="613" t="n"/>
      <c r="AD438" s="613" t="n"/>
      <c r="AE438" s="613" t="n"/>
      <c r="AF438" s="613" t="n"/>
      <c r="AG438" s="626" t="n"/>
      <c r="AH438" s="626" t="n"/>
      <c r="AI438" s="626" t="n"/>
      <c r="AJ438" s="626" t="n"/>
      <c r="AK438" s="626" t="n"/>
      <c r="AL438" s="626" t="n"/>
      <c r="AM438" s="626" t="n"/>
      <c r="AN438" s="626" t="n"/>
      <c r="AO438" s="626" t="n"/>
      <c r="AP438" s="369" t="n"/>
      <c r="AQ438" s="369" t="n"/>
      <c r="AR438" s="369" t="n"/>
      <c r="AS438" s="369" t="n"/>
      <c r="AT438" s="370" t="n"/>
      <c r="AU438" s="370" t="n"/>
      <c r="AV438" s="370" t="n"/>
      <c r="AW438" s="370" t="n"/>
      <c r="BJ438">
        <f>O438</f>
        <v/>
      </c>
      <c r="BK438">
        <f>SUM(AG438:AW438)</f>
        <v/>
      </c>
      <c r="BL438" s="531">
        <f>BJ438-BK438</f>
        <v/>
      </c>
      <c r="BM438" s="201" t="n"/>
    </row>
    <row r="439" hidden="1" outlineLevel="1" s="191">
      <c r="P439" s="628" t="n"/>
      <c r="Q439" s="628" t="n"/>
      <c r="R439" s="628" t="n"/>
      <c r="S439" s="628" t="n"/>
      <c r="T439" s="628" t="n"/>
      <c r="U439" s="628" t="n"/>
      <c r="V439" s="628" t="n"/>
      <c r="W439" s="628" t="n"/>
      <c r="X439" s="628" t="n"/>
      <c r="Y439" s="650" t="n"/>
      <c r="Z439" s="650" t="n"/>
      <c r="AA439" s="650" t="n"/>
      <c r="AB439" s="650" t="n"/>
      <c r="AC439" s="613" t="n"/>
      <c r="AD439" s="613" t="n"/>
      <c r="AE439" s="613" t="n"/>
      <c r="AF439" s="613" t="n"/>
      <c r="AG439" s="626" t="n"/>
      <c r="AH439" s="626" t="n"/>
      <c r="AI439" s="626" t="n"/>
      <c r="AJ439" s="626" t="n"/>
      <c r="AK439" s="626" t="n"/>
      <c r="AL439" s="626" t="n"/>
      <c r="AM439" s="626" t="n"/>
      <c r="AN439" s="626" t="n"/>
      <c r="AO439" s="626" t="n"/>
      <c r="AP439" s="369" t="n"/>
      <c r="AQ439" s="369" t="n"/>
      <c r="AR439" s="369" t="n"/>
      <c r="AS439" s="369" t="n"/>
      <c r="AT439" s="370" t="n"/>
      <c r="AU439" s="370" t="n"/>
      <c r="AV439" s="370" t="n"/>
      <c r="AW439" s="370" t="n"/>
      <c r="BJ439">
        <f>O439</f>
        <v/>
      </c>
      <c r="BK439">
        <f>SUM(AG439:AW439)</f>
        <v/>
      </c>
      <c r="BL439" s="531">
        <f>BJ439-BK439</f>
        <v/>
      </c>
      <c r="BM439" s="201" t="n"/>
    </row>
    <row r="440" hidden="1" outlineLevel="1" s="191">
      <c r="P440" s="628" t="n"/>
      <c r="Q440" s="628" t="n"/>
      <c r="R440" s="628" t="n"/>
      <c r="S440" s="628" t="n"/>
      <c r="T440" s="628" t="n"/>
      <c r="U440" s="628" t="n"/>
      <c r="V440" s="628" t="n"/>
      <c r="W440" s="628" t="n"/>
      <c r="X440" s="628" t="n"/>
      <c r="Y440" s="650" t="n"/>
      <c r="Z440" s="650" t="n"/>
      <c r="AA440" s="650" t="n"/>
      <c r="AB440" s="650" t="n"/>
      <c r="AC440" s="613" t="n"/>
      <c r="AD440" s="613" t="n"/>
      <c r="AE440" s="613" t="n"/>
      <c r="AF440" s="613" t="n"/>
      <c r="AG440" s="626" t="n"/>
      <c r="AH440" s="626" t="n"/>
      <c r="AI440" s="626" t="n"/>
      <c r="AJ440" s="626" t="n"/>
      <c r="AK440" s="626" t="n"/>
      <c r="AL440" s="626" t="n"/>
      <c r="AM440" s="626" t="n"/>
      <c r="AN440" s="626" t="n"/>
      <c r="AO440" s="626" t="n"/>
      <c r="AP440" s="369" t="n"/>
      <c r="AQ440" s="369" t="n"/>
      <c r="AR440" s="369" t="n"/>
      <c r="AS440" s="369" t="n"/>
      <c r="AT440" s="370" t="n"/>
      <c r="AU440" s="370" t="n"/>
      <c r="AV440" s="370" t="n"/>
      <c r="AW440" s="370" t="n"/>
      <c r="BJ440">
        <f>O440</f>
        <v/>
      </c>
      <c r="BK440">
        <f>SUM(AG440:AW440)</f>
        <v/>
      </c>
      <c r="BL440" s="531">
        <f>BJ440-BK440</f>
        <v/>
      </c>
      <c r="BM440" s="201" t="n"/>
    </row>
    <row r="441" hidden="1" outlineLevel="1" s="191">
      <c r="P441" s="628" t="n"/>
      <c r="Q441" s="628" t="n"/>
      <c r="R441" s="628" t="n"/>
      <c r="S441" s="628" t="n"/>
      <c r="T441" s="628" t="n"/>
      <c r="U441" s="628" t="n"/>
      <c r="V441" s="628" t="n"/>
      <c r="W441" s="628" t="n"/>
      <c r="X441" s="628" t="n"/>
      <c r="Y441" s="650" t="n"/>
      <c r="Z441" s="650" t="n"/>
      <c r="AA441" s="650" t="n"/>
      <c r="AB441" s="650" t="n"/>
      <c r="AC441" s="613" t="n"/>
      <c r="AD441" s="613" t="n"/>
      <c r="AE441" s="613" t="n"/>
      <c r="AF441" s="613" t="n"/>
      <c r="AG441" s="626" t="n"/>
      <c r="AH441" s="626" t="n"/>
      <c r="AI441" s="626" t="n"/>
      <c r="AJ441" s="626" t="n"/>
      <c r="AK441" s="626" t="n"/>
      <c r="AL441" s="626" t="n"/>
      <c r="AM441" s="626" t="n"/>
      <c r="AN441" s="626" t="n"/>
      <c r="AO441" s="626" t="n"/>
      <c r="AP441" s="369" t="n"/>
      <c r="AQ441" s="369" t="n"/>
      <c r="AR441" s="369" t="n"/>
      <c r="AS441" s="369" t="n"/>
      <c r="AT441" s="370" t="n"/>
      <c r="AU441" s="370" t="n"/>
      <c r="AV441" s="370" t="n"/>
      <c r="AW441" s="370" t="n"/>
      <c r="BJ441">
        <f>O441</f>
        <v/>
      </c>
      <c r="BK441">
        <f>SUM(AG441:AW441)</f>
        <v/>
      </c>
      <c r="BL441" s="531">
        <f>BJ441-BK441</f>
        <v/>
      </c>
      <c r="BM441" s="201" t="n"/>
    </row>
    <row r="442" hidden="1" outlineLevel="1" s="191">
      <c r="P442" s="628" t="n"/>
      <c r="Q442" s="628" t="n"/>
      <c r="R442" s="628" t="n"/>
      <c r="S442" s="628" t="n"/>
      <c r="T442" s="628" t="n"/>
      <c r="U442" s="628" t="n"/>
      <c r="V442" s="628" t="n"/>
      <c r="W442" s="628" t="n"/>
      <c r="X442" s="628" t="n"/>
      <c r="Y442" s="650" t="n"/>
      <c r="Z442" s="650" t="n"/>
      <c r="AA442" s="650" t="n"/>
      <c r="AB442" s="650" t="n"/>
      <c r="AC442" s="613" t="n"/>
      <c r="AD442" s="613" t="n"/>
      <c r="AE442" s="613" t="n"/>
      <c r="AF442" s="613" t="n"/>
      <c r="AG442" s="626" t="n"/>
      <c r="AH442" s="626" t="n"/>
      <c r="AI442" s="626" t="n"/>
      <c r="AJ442" s="626" t="n"/>
      <c r="AK442" s="626" t="n"/>
      <c r="AL442" s="626" t="n"/>
      <c r="AM442" s="626" t="n"/>
      <c r="AN442" s="626" t="n"/>
      <c r="AO442" s="626" t="n"/>
      <c r="AP442" s="369" t="n"/>
      <c r="AQ442" s="369" t="n"/>
      <c r="AR442" s="369" t="n"/>
      <c r="AS442" s="369" t="n"/>
      <c r="AT442" s="370" t="n"/>
      <c r="AU442" s="370" t="n"/>
      <c r="AV442" s="370" t="n"/>
      <c r="AW442" s="370" t="n"/>
      <c r="BJ442">
        <f>O442</f>
        <v/>
      </c>
      <c r="BK442">
        <f>SUM(AG442:AW442)</f>
        <v/>
      </c>
      <c r="BL442" s="531">
        <f>BJ442-BK442</f>
        <v/>
      </c>
      <c r="BM442" s="201" t="n"/>
    </row>
    <row r="443" hidden="1" outlineLevel="1" s="191">
      <c r="P443" s="628" t="n"/>
      <c r="Q443" s="628" t="n"/>
      <c r="R443" s="628" t="n"/>
      <c r="S443" s="628" t="n"/>
      <c r="T443" s="628" t="n"/>
      <c r="U443" s="628" t="n"/>
      <c r="V443" s="628" t="n"/>
      <c r="W443" s="628" t="n"/>
      <c r="X443" s="628" t="n"/>
      <c r="Y443" s="650" t="n"/>
      <c r="Z443" s="650" t="n"/>
      <c r="AA443" s="650" t="n"/>
      <c r="AB443" s="650" t="n"/>
      <c r="AC443" s="613" t="n"/>
      <c r="AD443" s="613" t="n"/>
      <c r="AE443" s="613" t="n"/>
      <c r="AF443" s="613" t="n"/>
      <c r="AG443" s="626" t="n"/>
      <c r="AH443" s="626" t="n"/>
      <c r="AI443" s="626" t="n"/>
      <c r="AJ443" s="626" t="n"/>
      <c r="AK443" s="626" t="n"/>
      <c r="AL443" s="626" t="n"/>
      <c r="AM443" s="626" t="n"/>
      <c r="AN443" s="626" t="n"/>
      <c r="AO443" s="626" t="n"/>
      <c r="AP443" s="369" t="n"/>
      <c r="AQ443" s="369" t="n"/>
      <c r="AR443" s="369" t="n"/>
      <c r="AS443" s="369" t="n"/>
      <c r="AT443" s="370" t="n"/>
      <c r="AU443" s="370" t="n"/>
      <c r="AV443" s="370" t="n"/>
      <c r="AW443" s="370" t="n"/>
      <c r="BJ443">
        <f>O443</f>
        <v/>
      </c>
      <c r="BK443">
        <f>SUM(AG443:AW443)</f>
        <v/>
      </c>
      <c r="BL443" s="531">
        <f>BJ443-BK443</f>
        <v/>
      </c>
      <c r="BM443" s="201" t="n"/>
    </row>
    <row r="444" hidden="1" outlineLevel="1" s="191">
      <c r="P444" s="628" t="n"/>
      <c r="Q444" s="628" t="n"/>
      <c r="R444" s="628" t="n"/>
      <c r="S444" s="628" t="n"/>
      <c r="T444" s="628" t="n"/>
      <c r="U444" s="628" t="n"/>
      <c r="V444" s="628" t="n"/>
      <c r="W444" s="628" t="n"/>
      <c r="X444" s="628" t="n"/>
      <c r="Y444" s="650" t="n"/>
      <c r="Z444" s="650" t="n"/>
      <c r="AA444" s="650" t="n"/>
      <c r="AB444" s="650" t="n"/>
      <c r="AC444" s="613" t="n"/>
      <c r="AD444" s="613" t="n"/>
      <c r="AE444" s="613" t="n"/>
      <c r="AF444" s="613" t="n"/>
      <c r="AG444" s="626" t="n"/>
      <c r="AH444" s="626" t="n"/>
      <c r="AI444" s="626" t="n"/>
      <c r="AJ444" s="626" t="n"/>
      <c r="AK444" s="626" t="n"/>
      <c r="AL444" s="626" t="n"/>
      <c r="AM444" s="626" t="n"/>
      <c r="AN444" s="626" t="n"/>
      <c r="AO444" s="626" t="n"/>
      <c r="AP444" s="369" t="n"/>
      <c r="AQ444" s="369" t="n"/>
      <c r="AR444" s="369" t="n"/>
      <c r="AS444" s="369" t="n"/>
      <c r="AT444" s="370" t="n"/>
      <c r="AU444" s="370" t="n"/>
      <c r="AV444" s="370" t="n"/>
      <c r="AW444" s="370" t="n"/>
      <c r="BJ444">
        <f>O444</f>
        <v/>
      </c>
      <c r="BK444">
        <f>SUM(AG444:AW444)</f>
        <v/>
      </c>
      <c r="BL444" s="531">
        <f>BJ444-BK444</f>
        <v/>
      </c>
      <c r="BM444" s="201" t="n"/>
    </row>
    <row r="445" hidden="1" outlineLevel="1" s="191">
      <c r="P445" s="628" t="n"/>
      <c r="Q445" s="628" t="n"/>
      <c r="R445" s="628" t="n"/>
      <c r="S445" s="628" t="n"/>
      <c r="T445" s="628" t="n"/>
      <c r="U445" s="628" t="n"/>
      <c r="V445" s="628" t="n"/>
      <c r="W445" s="628" t="n"/>
      <c r="X445" s="628" t="n"/>
      <c r="Y445" s="650" t="n"/>
      <c r="Z445" s="650" t="n"/>
      <c r="AA445" s="650" t="n"/>
      <c r="AB445" s="650" t="n"/>
      <c r="AC445" s="613" t="n"/>
      <c r="AD445" s="613" t="n"/>
      <c r="AE445" s="613" t="n"/>
      <c r="AF445" s="613" t="n"/>
      <c r="AG445" s="626" t="n"/>
      <c r="AH445" s="626" t="n"/>
      <c r="AI445" s="626" t="n"/>
      <c r="AJ445" s="626" t="n"/>
      <c r="AK445" s="626" t="n"/>
      <c r="AL445" s="626" t="n"/>
      <c r="AM445" s="626" t="n"/>
      <c r="AN445" s="626" t="n"/>
      <c r="AO445" s="626" t="n"/>
      <c r="AP445" s="369" t="n"/>
      <c r="AQ445" s="369" t="n"/>
      <c r="AR445" s="369" t="n"/>
      <c r="AS445" s="369" t="n"/>
      <c r="AT445" s="370" t="n"/>
      <c r="AU445" s="370" t="n"/>
      <c r="AV445" s="370" t="n"/>
      <c r="AW445" s="370" t="n"/>
      <c r="BJ445">
        <f>O445</f>
        <v/>
      </c>
      <c r="BK445">
        <f>SUM(AG445:AW445)</f>
        <v/>
      </c>
      <c r="BL445" s="531">
        <f>BJ445-BK445</f>
        <v/>
      </c>
      <c r="BM445" s="201" t="n"/>
    </row>
    <row r="446" hidden="1" outlineLevel="1" s="191">
      <c r="P446" s="628" t="n"/>
      <c r="Q446" s="628" t="n"/>
      <c r="R446" s="628" t="n"/>
      <c r="S446" s="628" t="n"/>
      <c r="T446" s="628" t="n"/>
      <c r="U446" s="628" t="n"/>
      <c r="V446" s="628" t="n"/>
      <c r="W446" s="628" t="n"/>
      <c r="X446" s="628" t="n"/>
      <c r="Y446" s="650" t="n"/>
      <c r="Z446" s="650" t="n"/>
      <c r="AA446" s="650" t="n"/>
      <c r="AB446" s="650" t="n"/>
      <c r="AC446" s="613" t="n"/>
      <c r="AD446" s="613" t="n"/>
      <c r="AE446" s="613" t="n"/>
      <c r="AF446" s="613" t="n"/>
      <c r="AG446" s="626" t="n"/>
      <c r="AH446" s="626" t="n"/>
      <c r="AI446" s="626" t="n"/>
      <c r="AJ446" s="626" t="n"/>
      <c r="AK446" s="626" t="n"/>
      <c r="AL446" s="626" t="n"/>
      <c r="AM446" s="626" t="n"/>
      <c r="AN446" s="626" t="n"/>
      <c r="AO446" s="626" t="n"/>
      <c r="AP446" s="369" t="n"/>
      <c r="AQ446" s="369" t="n"/>
      <c r="AR446" s="369" t="n"/>
      <c r="AS446" s="369" t="n"/>
      <c r="AT446" s="370" t="n"/>
      <c r="AU446" s="370" t="n"/>
      <c r="AV446" s="370" t="n"/>
      <c r="AW446" s="370" t="n"/>
      <c r="BJ446">
        <f>O446</f>
        <v/>
      </c>
      <c r="BK446">
        <f>SUM(AG446:AW446)</f>
        <v/>
      </c>
      <c r="BL446" s="531">
        <f>BJ446-BK446</f>
        <v/>
      </c>
      <c r="BM446" s="201" t="n"/>
    </row>
    <row r="447" hidden="1" outlineLevel="1" s="191">
      <c r="P447" s="628" t="n"/>
      <c r="Q447" s="628" t="n"/>
      <c r="R447" s="628" t="n"/>
      <c r="S447" s="628" t="n"/>
      <c r="T447" s="628" t="n"/>
      <c r="U447" s="628" t="n"/>
      <c r="V447" s="628" t="n"/>
      <c r="W447" s="628" t="n"/>
      <c r="X447" s="628" t="n"/>
      <c r="Y447" s="650" t="n"/>
      <c r="Z447" s="650" t="n"/>
      <c r="AA447" s="650" t="n"/>
      <c r="AB447" s="650" t="n"/>
      <c r="AC447" s="613" t="n"/>
      <c r="AD447" s="613" t="n"/>
      <c r="AE447" s="613" t="n"/>
      <c r="AF447" s="613" t="n"/>
      <c r="AG447" s="626" t="n"/>
      <c r="AH447" s="626" t="n"/>
      <c r="AI447" s="626" t="n"/>
      <c r="AJ447" s="626" t="n"/>
      <c r="AK447" s="626" t="n"/>
      <c r="AL447" s="626" t="n"/>
      <c r="AM447" s="626" t="n"/>
      <c r="AN447" s="626" t="n"/>
      <c r="AO447" s="626" t="n"/>
      <c r="AP447" s="369" t="n"/>
      <c r="AQ447" s="369" t="n"/>
      <c r="AR447" s="369" t="n"/>
      <c r="AS447" s="369" t="n"/>
      <c r="AT447" s="370" t="n"/>
      <c r="AU447" s="370" t="n"/>
      <c r="AV447" s="370" t="n"/>
      <c r="AW447" s="370" t="n"/>
      <c r="BJ447">
        <f>O447</f>
        <v/>
      </c>
      <c r="BK447">
        <f>SUM(AG447:AW447)</f>
        <v/>
      </c>
      <c r="BL447" s="531">
        <f>BJ447-BK447</f>
        <v/>
      </c>
      <c r="BM447" s="201" t="n"/>
    </row>
    <row r="448" hidden="1" outlineLevel="1" s="191">
      <c r="P448" s="628" t="n"/>
      <c r="Q448" s="628" t="n"/>
      <c r="R448" s="628" t="n"/>
      <c r="S448" s="628" t="n"/>
      <c r="T448" s="628" t="n"/>
      <c r="U448" s="628" t="n"/>
      <c r="V448" s="628" t="n"/>
      <c r="W448" s="628" t="n"/>
      <c r="X448" s="628" t="n"/>
      <c r="Y448" s="650" t="n"/>
      <c r="Z448" s="650" t="n"/>
      <c r="AA448" s="650" t="n"/>
      <c r="AB448" s="650" t="n"/>
      <c r="AC448" s="613" t="n"/>
      <c r="AD448" s="613" t="n"/>
      <c r="AE448" s="613" t="n"/>
      <c r="AF448" s="613" t="n"/>
      <c r="AG448" s="626" t="n"/>
      <c r="AH448" s="626" t="n"/>
      <c r="AI448" s="626" t="n"/>
      <c r="AJ448" s="626" t="n"/>
      <c r="AK448" s="626" t="n"/>
      <c r="AL448" s="626" t="n"/>
      <c r="AM448" s="626" t="n"/>
      <c r="AN448" s="626" t="n"/>
      <c r="AO448" s="626" t="n"/>
      <c r="AP448" s="369" t="n"/>
      <c r="AQ448" s="369" t="n"/>
      <c r="AR448" s="369" t="n"/>
      <c r="AS448" s="369" t="n"/>
      <c r="AT448" s="370" t="n"/>
      <c r="AU448" s="370" t="n"/>
      <c r="AV448" s="370" t="n"/>
      <c r="AW448" s="370" t="n"/>
      <c r="BJ448">
        <f>O448</f>
        <v/>
      </c>
      <c r="BK448">
        <f>SUM(AG448:AW448)</f>
        <v/>
      </c>
      <c r="BL448" s="531">
        <f>BJ448-BK448</f>
        <v/>
      </c>
      <c r="BM448" s="201" t="n"/>
    </row>
    <row r="449" hidden="1" outlineLevel="1" s="191">
      <c r="P449" s="628" t="n"/>
      <c r="Q449" s="628" t="n"/>
      <c r="R449" s="628" t="n"/>
      <c r="S449" s="628" t="n"/>
      <c r="T449" s="628" t="n"/>
      <c r="U449" s="628" t="n"/>
      <c r="V449" s="628" t="n"/>
      <c r="W449" s="628" t="n"/>
      <c r="X449" s="628" t="n"/>
      <c r="Y449" s="650" t="n"/>
      <c r="Z449" s="650" t="n"/>
      <c r="AA449" s="650" t="n"/>
      <c r="AB449" s="650" t="n"/>
      <c r="AC449" s="613" t="n"/>
      <c r="AD449" s="613" t="n"/>
      <c r="AE449" s="613" t="n"/>
      <c r="AF449" s="613" t="n"/>
      <c r="AG449" s="626" t="n"/>
      <c r="AH449" s="626" t="n"/>
      <c r="AI449" s="626" t="n"/>
      <c r="AJ449" s="626" t="n"/>
      <c r="AK449" s="626" t="n"/>
      <c r="AL449" s="626" t="n"/>
      <c r="AM449" s="626" t="n"/>
      <c r="AN449" s="626" t="n"/>
      <c r="AO449" s="626" t="n"/>
      <c r="AP449" s="369" t="n"/>
      <c r="AQ449" s="369" t="n"/>
      <c r="AR449" s="369" t="n"/>
      <c r="AS449" s="369" t="n"/>
      <c r="AT449" s="370" t="n"/>
      <c r="AU449" s="370" t="n"/>
      <c r="AV449" s="370" t="n"/>
      <c r="AW449" s="370" t="n"/>
      <c r="BJ449">
        <f>O449</f>
        <v/>
      </c>
      <c r="BK449">
        <f>SUM(AG449:AW449)</f>
        <v/>
      </c>
      <c r="BL449" s="531">
        <f>BJ449-BK449</f>
        <v/>
      </c>
      <c r="BM449" s="201" t="n"/>
    </row>
    <row r="450" hidden="1" outlineLevel="1" s="191">
      <c r="P450" s="628" t="n"/>
      <c r="Q450" s="628" t="n"/>
      <c r="R450" s="628" t="n"/>
      <c r="S450" s="628" t="n"/>
      <c r="T450" s="628" t="n"/>
      <c r="U450" s="628" t="n"/>
      <c r="V450" s="628" t="n"/>
      <c r="W450" s="628" t="n"/>
      <c r="X450" s="628" t="n"/>
      <c r="Y450" s="650" t="n"/>
      <c r="Z450" s="650" t="n"/>
      <c r="AA450" s="650" t="n"/>
      <c r="AB450" s="650" t="n"/>
      <c r="AC450" s="613" t="n"/>
      <c r="AD450" s="613" t="n"/>
      <c r="AE450" s="613" t="n"/>
      <c r="AF450" s="613" t="n"/>
      <c r="AG450" s="626" t="n"/>
      <c r="AH450" s="626" t="n"/>
      <c r="AI450" s="626" t="n"/>
      <c r="AJ450" s="626" t="n"/>
      <c r="AK450" s="626" t="n"/>
      <c r="AL450" s="626" t="n"/>
      <c r="AM450" s="626" t="n"/>
      <c r="AN450" s="626" t="n"/>
      <c r="AO450" s="626" t="n"/>
      <c r="AP450" s="369" t="n"/>
      <c r="AQ450" s="369" t="n"/>
      <c r="AR450" s="369" t="n"/>
      <c r="AS450" s="369" t="n"/>
      <c r="AT450" s="370" t="n"/>
      <c r="AU450" s="370" t="n"/>
      <c r="AV450" s="370" t="n"/>
      <c r="AW450" s="370" t="n"/>
      <c r="BJ450">
        <f>O450</f>
        <v/>
      </c>
      <c r="BK450">
        <f>SUM(AG450:AW450)</f>
        <v/>
      </c>
      <c r="BL450" s="531">
        <f>BJ450-BK450</f>
        <v/>
      </c>
      <c r="BM450" s="201" t="n"/>
    </row>
    <row r="451" hidden="1" outlineLevel="1" s="191">
      <c r="P451" s="628" t="n"/>
      <c r="Q451" s="628" t="n"/>
      <c r="R451" s="628" t="n"/>
      <c r="S451" s="628" t="n"/>
      <c r="T451" s="628" t="n"/>
      <c r="U451" s="628" t="n"/>
      <c r="V451" s="628" t="n"/>
      <c r="W451" s="628" t="n"/>
      <c r="X451" s="628" t="n"/>
      <c r="Y451" s="650" t="n"/>
      <c r="Z451" s="650" t="n"/>
      <c r="AA451" s="650" t="n"/>
      <c r="AB451" s="650" t="n"/>
      <c r="AC451" s="613" t="n"/>
      <c r="AD451" s="613" t="n"/>
      <c r="AE451" s="613" t="n"/>
      <c r="AF451" s="613" t="n"/>
      <c r="AG451" s="626" t="n"/>
      <c r="AH451" s="626" t="n"/>
      <c r="AI451" s="626" t="n"/>
      <c r="AJ451" s="626" t="n"/>
      <c r="AK451" s="626" t="n"/>
      <c r="AL451" s="626" t="n"/>
      <c r="AM451" s="626" t="n"/>
      <c r="AN451" s="626" t="n"/>
      <c r="AO451" s="626" t="n"/>
      <c r="AP451" s="369" t="n"/>
      <c r="AQ451" s="369" t="n"/>
      <c r="AR451" s="369" t="n"/>
      <c r="AS451" s="369" t="n"/>
      <c r="AT451" s="370" t="n"/>
      <c r="AU451" s="370" t="n"/>
      <c r="AV451" s="370" t="n"/>
      <c r="AW451" s="370" t="n"/>
      <c r="BJ451">
        <f>O451</f>
        <v/>
      </c>
      <c r="BK451">
        <f>SUM(AG451:AW451)</f>
        <v/>
      </c>
      <c r="BL451" s="531">
        <f>BJ451-BK451</f>
        <v/>
      </c>
      <c r="BM451" s="201" t="n"/>
    </row>
    <row r="452" hidden="1" outlineLevel="1" s="191">
      <c r="P452" s="628" t="n"/>
      <c r="Q452" s="628" t="n"/>
      <c r="R452" s="628" t="n"/>
      <c r="S452" s="628" t="n"/>
      <c r="T452" s="628" t="n"/>
      <c r="U452" s="628" t="n"/>
      <c r="V452" s="628" t="n"/>
      <c r="W452" s="628" t="n"/>
      <c r="X452" s="628" t="n"/>
      <c r="Y452" s="650" t="n"/>
      <c r="Z452" s="650" t="n"/>
      <c r="AA452" s="650" t="n"/>
      <c r="AB452" s="650" t="n"/>
      <c r="AC452" s="613" t="n"/>
      <c r="AD452" s="613" t="n"/>
      <c r="AE452" s="613" t="n"/>
      <c r="AF452" s="613" t="n"/>
      <c r="AG452" s="626" t="n"/>
      <c r="AH452" s="626" t="n"/>
      <c r="AI452" s="626" t="n"/>
      <c r="AJ452" s="626" t="n"/>
      <c r="AK452" s="626" t="n"/>
      <c r="AL452" s="626" t="n"/>
      <c r="AM452" s="626" t="n"/>
      <c r="AN452" s="626" t="n"/>
      <c r="AO452" s="626" t="n"/>
      <c r="AP452" s="369" t="n"/>
      <c r="AQ452" s="369" t="n"/>
      <c r="AR452" s="369" t="n"/>
      <c r="AS452" s="369" t="n"/>
      <c r="AT452" s="370" t="n"/>
      <c r="AU452" s="370" t="n"/>
      <c r="AV452" s="370" t="n"/>
      <c r="AW452" s="370" t="n"/>
      <c r="BJ452">
        <f>O452</f>
        <v/>
      </c>
      <c r="BK452">
        <f>SUM(AG452:AW452)</f>
        <v/>
      </c>
      <c r="BL452" s="531">
        <f>BJ452-BK452</f>
        <v/>
      </c>
      <c r="BM452" s="201" t="n"/>
    </row>
    <row r="453" hidden="1" outlineLevel="1" s="191">
      <c r="P453" s="628" t="n"/>
      <c r="Q453" s="628" t="n"/>
      <c r="R453" s="628" t="n"/>
      <c r="S453" s="628" t="n"/>
      <c r="T453" s="628" t="n"/>
      <c r="U453" s="628" t="n"/>
      <c r="V453" s="628" t="n"/>
      <c r="W453" s="628" t="n"/>
      <c r="X453" s="628" t="n"/>
      <c r="Y453" s="650" t="n"/>
      <c r="Z453" s="650" t="n"/>
      <c r="AA453" s="650" t="n"/>
      <c r="AB453" s="650" t="n"/>
      <c r="AC453" s="613" t="n"/>
      <c r="AD453" s="613" t="n"/>
      <c r="AE453" s="613" t="n"/>
      <c r="AF453" s="613" t="n"/>
      <c r="AG453" s="626" t="n"/>
      <c r="AH453" s="626" t="n"/>
      <c r="AI453" s="626" t="n"/>
      <c r="AJ453" s="626" t="n"/>
      <c r="AK453" s="626" t="n"/>
      <c r="AL453" s="626" t="n"/>
      <c r="AM453" s="626" t="n"/>
      <c r="AN453" s="626" t="n"/>
      <c r="AO453" s="626" t="n"/>
      <c r="AP453" s="369" t="n"/>
      <c r="AQ453" s="369" t="n"/>
      <c r="AR453" s="369" t="n"/>
      <c r="AS453" s="369" t="n"/>
      <c r="AT453" s="370" t="n"/>
      <c r="AU453" s="370" t="n"/>
      <c r="AV453" s="370" t="n"/>
      <c r="AW453" s="370" t="n"/>
      <c r="BJ453">
        <f>O453</f>
        <v/>
      </c>
      <c r="BK453">
        <f>SUM(AG453:AW453)</f>
        <v/>
      </c>
      <c r="BL453" s="531">
        <f>BJ453-BK453</f>
        <v/>
      </c>
      <c r="BM453" s="201" t="n"/>
    </row>
    <row r="454" hidden="1" outlineLevel="1" s="191">
      <c r="P454" s="628" t="n"/>
      <c r="Q454" s="628" t="n"/>
      <c r="R454" s="628" t="n"/>
      <c r="S454" s="628" t="n"/>
      <c r="T454" s="628" t="n"/>
      <c r="U454" s="628" t="n"/>
      <c r="V454" s="628" t="n"/>
      <c r="W454" s="628" t="n"/>
      <c r="X454" s="628" t="n"/>
      <c r="Y454" s="650" t="n"/>
      <c r="Z454" s="650" t="n"/>
      <c r="AA454" s="650" t="n"/>
      <c r="AB454" s="650" t="n"/>
      <c r="AC454" s="613" t="n"/>
      <c r="AD454" s="613" t="n"/>
      <c r="AE454" s="613" t="n"/>
      <c r="AF454" s="613" t="n"/>
      <c r="AG454" s="626" t="n"/>
      <c r="AH454" s="626" t="n"/>
      <c r="AI454" s="626" t="n"/>
      <c r="AJ454" s="626" t="n"/>
      <c r="AK454" s="626" t="n"/>
      <c r="AL454" s="626" t="n"/>
      <c r="AM454" s="626" t="n"/>
      <c r="AN454" s="626" t="n"/>
      <c r="AO454" s="626" t="n"/>
      <c r="AP454" s="369" t="n"/>
      <c r="AQ454" s="369" t="n"/>
      <c r="AR454" s="369" t="n"/>
      <c r="AS454" s="369" t="n"/>
      <c r="AT454" s="370" t="n"/>
      <c r="AU454" s="370" t="n"/>
      <c r="AV454" s="370" t="n"/>
      <c r="AW454" s="370" t="n"/>
      <c r="BJ454">
        <f>O454</f>
        <v/>
      </c>
      <c r="BK454">
        <f>SUM(AG454:AW454)</f>
        <v/>
      </c>
      <c r="BL454" s="531">
        <f>BJ454-BK454</f>
        <v/>
      </c>
      <c r="BM454" s="201" t="n"/>
    </row>
    <row r="455" hidden="1" outlineLevel="1" s="191">
      <c r="P455" s="628" t="n"/>
      <c r="Q455" s="628" t="n"/>
      <c r="R455" s="628" t="n"/>
      <c r="S455" s="628" t="n"/>
      <c r="T455" s="628" t="n"/>
      <c r="U455" s="628" t="n"/>
      <c r="V455" s="628" t="n"/>
      <c r="W455" s="628" t="n"/>
      <c r="X455" s="628" t="n"/>
      <c r="Y455" s="650" t="n"/>
      <c r="Z455" s="650" t="n"/>
      <c r="AA455" s="650" t="n"/>
      <c r="AB455" s="650" t="n"/>
      <c r="AC455" s="613" t="n"/>
      <c r="AD455" s="613" t="n"/>
      <c r="AE455" s="613" t="n"/>
      <c r="AF455" s="613" t="n"/>
      <c r="AG455" s="626" t="n"/>
      <c r="AH455" s="626" t="n"/>
      <c r="AI455" s="626" t="n"/>
      <c r="AJ455" s="626" t="n"/>
      <c r="AK455" s="626" t="n"/>
      <c r="AL455" s="626" t="n"/>
      <c r="AM455" s="626" t="n"/>
      <c r="AN455" s="626" t="n"/>
      <c r="AO455" s="626" t="n"/>
      <c r="AP455" s="369" t="n"/>
      <c r="AQ455" s="369" t="n"/>
      <c r="AR455" s="369" t="n"/>
      <c r="AS455" s="369" t="n"/>
      <c r="AT455" s="370" t="n"/>
      <c r="AU455" s="370" t="n"/>
      <c r="AV455" s="370" t="n"/>
      <c r="AW455" s="370" t="n"/>
      <c r="BJ455">
        <f>O455</f>
        <v/>
      </c>
      <c r="BK455">
        <f>SUM(AG455:AW455)</f>
        <v/>
      </c>
      <c r="BL455" s="531">
        <f>BJ455-BK455</f>
        <v/>
      </c>
      <c r="BM455" s="201" t="n"/>
    </row>
    <row r="456" hidden="1" outlineLevel="1" s="191">
      <c r="P456" s="628" t="n"/>
      <c r="Q456" s="628" t="n"/>
      <c r="R456" s="628" t="n"/>
      <c r="S456" s="628" t="n"/>
      <c r="T456" s="628" t="n"/>
      <c r="U456" s="628" t="n"/>
      <c r="V456" s="628" t="n"/>
      <c r="W456" s="628" t="n"/>
      <c r="X456" s="628" t="n"/>
      <c r="Y456" s="650" t="n"/>
      <c r="Z456" s="650" t="n"/>
      <c r="AA456" s="650" t="n"/>
      <c r="AB456" s="650" t="n"/>
      <c r="AC456" s="613" t="n"/>
      <c r="AD456" s="613" t="n"/>
      <c r="AE456" s="613" t="n"/>
      <c r="AF456" s="613" t="n"/>
      <c r="AG456" s="626" t="n"/>
      <c r="AH456" s="626" t="n"/>
      <c r="AI456" s="626" t="n"/>
      <c r="AJ456" s="626" t="n"/>
      <c r="AK456" s="626" t="n"/>
      <c r="AL456" s="626" t="n"/>
      <c r="AM456" s="626" t="n"/>
      <c r="AN456" s="626" t="n"/>
      <c r="AO456" s="626" t="n"/>
      <c r="AP456" s="369" t="n"/>
      <c r="AQ456" s="369" t="n"/>
      <c r="AR456" s="369" t="n"/>
      <c r="AS456" s="369" t="n"/>
      <c r="AT456" s="370" t="n"/>
      <c r="AU456" s="370" t="n"/>
      <c r="AV456" s="370" t="n"/>
      <c r="AW456" s="370" t="n"/>
      <c r="BJ456">
        <f>O456</f>
        <v/>
      </c>
      <c r="BK456">
        <f>SUM(AG456:AW456)</f>
        <v/>
      </c>
      <c r="BL456" s="531">
        <f>BJ456-BK456</f>
        <v/>
      </c>
      <c r="BM456" s="201" t="n"/>
    </row>
    <row r="457" hidden="1" outlineLevel="1" s="191">
      <c r="P457" s="628" t="n"/>
      <c r="Q457" s="628" t="n"/>
      <c r="R457" s="628" t="n"/>
      <c r="S457" s="628" t="n"/>
      <c r="T457" s="628" t="n"/>
      <c r="U457" s="628" t="n"/>
      <c r="V457" s="628" t="n"/>
      <c r="W457" s="628" t="n"/>
      <c r="X457" s="628" t="n"/>
      <c r="Y457" s="650" t="n"/>
      <c r="Z457" s="650" t="n"/>
      <c r="AA457" s="650" t="n"/>
      <c r="AB457" s="650" t="n"/>
      <c r="AC457" s="613" t="n"/>
      <c r="AD457" s="613" t="n"/>
      <c r="AE457" s="613" t="n"/>
      <c r="AF457" s="613" t="n"/>
      <c r="AG457" s="626" t="n"/>
      <c r="AH457" s="626" t="n"/>
      <c r="AI457" s="626" t="n"/>
      <c r="AJ457" s="626" t="n"/>
      <c r="AK457" s="626" t="n"/>
      <c r="AL457" s="626" t="n"/>
      <c r="AM457" s="626" t="n"/>
      <c r="AN457" s="626" t="n"/>
      <c r="AO457" s="626" t="n"/>
      <c r="AP457" s="369" t="n"/>
      <c r="AQ457" s="369" t="n"/>
      <c r="AR457" s="369" t="n"/>
      <c r="AS457" s="369" t="n"/>
      <c r="AT457" s="370" t="n"/>
      <c r="AU457" s="370" t="n"/>
      <c r="AV457" s="370" t="n"/>
      <c r="AW457" s="370" t="n"/>
      <c r="BJ457">
        <f>O457</f>
        <v/>
      </c>
      <c r="BK457">
        <f>SUM(AG457:AW457)</f>
        <v/>
      </c>
      <c r="BL457" s="531">
        <f>BJ457-BK457</f>
        <v/>
      </c>
      <c r="BM457" s="201" t="n"/>
    </row>
    <row r="458" hidden="1" outlineLevel="1" s="191">
      <c r="P458" s="628" t="n"/>
      <c r="Q458" s="628" t="n"/>
      <c r="R458" s="628" t="n"/>
      <c r="S458" s="628" t="n"/>
      <c r="T458" s="628" t="n"/>
      <c r="U458" s="628" t="n"/>
      <c r="V458" s="628" t="n"/>
      <c r="W458" s="628" t="n"/>
      <c r="X458" s="628" t="n"/>
      <c r="Y458" s="650" t="n"/>
      <c r="Z458" s="650" t="n"/>
      <c r="AA458" s="650" t="n"/>
      <c r="AB458" s="650" t="n"/>
      <c r="AC458" s="613" t="n"/>
      <c r="AD458" s="613" t="n"/>
      <c r="AE458" s="613" t="n"/>
      <c r="AF458" s="613" t="n"/>
      <c r="AG458" s="626" t="n"/>
      <c r="AH458" s="626" t="n"/>
      <c r="AI458" s="626" t="n"/>
      <c r="AJ458" s="626" t="n"/>
      <c r="AK458" s="626" t="n"/>
      <c r="AL458" s="626" t="n"/>
      <c r="AM458" s="626" t="n"/>
      <c r="AN458" s="626" t="n"/>
      <c r="AO458" s="626" t="n"/>
      <c r="AP458" s="369" t="n"/>
      <c r="AQ458" s="369" t="n"/>
      <c r="AR458" s="369" t="n"/>
      <c r="AS458" s="369" t="n"/>
      <c r="AT458" s="370" t="n"/>
      <c r="AU458" s="370" t="n"/>
      <c r="AV458" s="370" t="n"/>
      <c r="AW458" s="370" t="n"/>
      <c r="BJ458">
        <f>O458</f>
        <v/>
      </c>
      <c r="BK458">
        <f>SUM(AG458:AW458)</f>
        <v/>
      </c>
      <c r="BL458" s="531">
        <f>BJ458-BK458</f>
        <v/>
      </c>
      <c r="BM458" s="201" t="n"/>
    </row>
    <row r="459" hidden="1" outlineLevel="1" s="191">
      <c r="P459" s="628" t="n"/>
      <c r="Q459" s="628" t="n"/>
      <c r="R459" s="628" t="n"/>
      <c r="S459" s="628" t="n"/>
      <c r="T459" s="628" t="n"/>
      <c r="U459" s="628" t="n"/>
      <c r="V459" s="628" t="n"/>
      <c r="W459" s="628" t="n"/>
      <c r="X459" s="628" t="n"/>
      <c r="Y459" s="650" t="n"/>
      <c r="Z459" s="650" t="n"/>
      <c r="AA459" s="650" t="n"/>
      <c r="AB459" s="650" t="n"/>
      <c r="AC459" s="613" t="n"/>
      <c r="AD459" s="613" t="n"/>
      <c r="AE459" s="613" t="n"/>
      <c r="AF459" s="613" t="n"/>
      <c r="AG459" s="626" t="n"/>
      <c r="AH459" s="626" t="n"/>
      <c r="AI459" s="626" t="n"/>
      <c r="AJ459" s="626" t="n"/>
      <c r="AK459" s="626" t="n"/>
      <c r="AL459" s="626" t="n"/>
      <c r="AM459" s="626" t="n"/>
      <c r="AN459" s="626" t="n"/>
      <c r="AO459" s="626" t="n"/>
      <c r="AP459" s="369" t="n"/>
      <c r="AQ459" s="369" t="n"/>
      <c r="AR459" s="369" t="n"/>
      <c r="AS459" s="369" t="n"/>
      <c r="AT459" s="370" t="n"/>
      <c r="AU459" s="370" t="n"/>
      <c r="AV459" s="370" t="n"/>
      <c r="AW459" s="370" t="n"/>
      <c r="BJ459">
        <f>O459</f>
        <v/>
      </c>
      <c r="BK459">
        <f>SUM(AG459:AW459)</f>
        <v/>
      </c>
      <c r="BL459" s="531">
        <f>BJ459-BK459</f>
        <v/>
      </c>
      <c r="BM459" s="201" t="n"/>
    </row>
    <row r="460" hidden="1" outlineLevel="1" s="191">
      <c r="P460" s="628" t="n"/>
      <c r="Q460" s="628" t="n"/>
      <c r="R460" s="628" t="n"/>
      <c r="S460" s="628" t="n"/>
      <c r="T460" s="628" t="n"/>
      <c r="U460" s="628" t="n"/>
      <c r="V460" s="628" t="n"/>
      <c r="W460" s="628" t="n"/>
      <c r="X460" s="628" t="n"/>
      <c r="Y460" s="650" t="n"/>
      <c r="Z460" s="650" t="n"/>
      <c r="AA460" s="650" t="n"/>
      <c r="AB460" s="650" t="n"/>
      <c r="AC460" s="613" t="n"/>
      <c r="AD460" s="613" t="n"/>
      <c r="AE460" s="613" t="n"/>
      <c r="AF460" s="613" t="n"/>
      <c r="AG460" s="626" t="n"/>
      <c r="AH460" s="626" t="n"/>
      <c r="AI460" s="626" t="n"/>
      <c r="AJ460" s="626" t="n"/>
      <c r="AK460" s="626" t="n"/>
      <c r="AL460" s="626" t="n"/>
      <c r="AM460" s="626" t="n"/>
      <c r="AN460" s="626" t="n"/>
      <c r="AO460" s="626" t="n"/>
      <c r="AP460" s="369" t="n"/>
      <c r="AQ460" s="369" t="n"/>
      <c r="AR460" s="369" t="n"/>
      <c r="AS460" s="369" t="n"/>
      <c r="AT460" s="370" t="n"/>
      <c r="AU460" s="370" t="n"/>
      <c r="AV460" s="370" t="n"/>
      <c r="AW460" s="370" t="n"/>
      <c r="BJ460">
        <f>O460</f>
        <v/>
      </c>
      <c r="BK460">
        <f>SUM(AG460:AW460)</f>
        <v/>
      </c>
      <c r="BL460" s="531">
        <f>BJ460-BK460</f>
        <v/>
      </c>
      <c r="BM460" s="201" t="n"/>
    </row>
    <row r="461" hidden="1" outlineLevel="1" s="191">
      <c r="P461" s="628" t="n"/>
      <c r="Q461" s="628" t="n"/>
      <c r="R461" s="628" t="n"/>
      <c r="S461" s="628" t="n"/>
      <c r="T461" s="628" t="n"/>
      <c r="U461" s="628" t="n"/>
      <c r="V461" s="628" t="n"/>
      <c r="W461" s="628" t="n"/>
      <c r="X461" s="628" t="n"/>
      <c r="Y461" s="650" t="n"/>
      <c r="Z461" s="650" t="n"/>
      <c r="AA461" s="650" t="n"/>
      <c r="AB461" s="650" t="n"/>
      <c r="AC461" s="613" t="n"/>
      <c r="AD461" s="613" t="n"/>
      <c r="AE461" s="613" t="n"/>
      <c r="AF461" s="613" t="n"/>
      <c r="AG461" s="626" t="n"/>
      <c r="AH461" s="626" t="n"/>
      <c r="AI461" s="626" t="n"/>
      <c r="AJ461" s="626" t="n"/>
      <c r="AK461" s="626" t="n"/>
      <c r="AL461" s="626" t="n"/>
      <c r="AM461" s="626" t="n"/>
      <c r="AN461" s="626" t="n"/>
      <c r="AO461" s="626" t="n"/>
      <c r="AP461" s="369" t="n"/>
      <c r="AQ461" s="369" t="n"/>
      <c r="AR461" s="369" t="n"/>
      <c r="AS461" s="369" t="n"/>
      <c r="AT461" s="370" t="n"/>
      <c r="AU461" s="370" t="n"/>
      <c r="AV461" s="370" t="n"/>
      <c r="AW461" s="370" t="n"/>
      <c r="BJ461">
        <f>O461</f>
        <v/>
      </c>
      <c r="BK461">
        <f>SUM(AG461:AW461)</f>
        <v/>
      </c>
      <c r="BL461" s="531">
        <f>BJ461-BK461</f>
        <v/>
      </c>
      <c r="BM461" s="201" t="n"/>
    </row>
    <row r="462" hidden="1" outlineLevel="1" s="191">
      <c r="P462" s="628" t="n"/>
      <c r="Q462" s="628" t="n"/>
      <c r="R462" s="628" t="n"/>
      <c r="S462" s="628" t="n"/>
      <c r="T462" s="628" t="n"/>
      <c r="U462" s="628" t="n"/>
      <c r="V462" s="628" t="n"/>
      <c r="W462" s="628" t="n"/>
      <c r="X462" s="628" t="n"/>
      <c r="Y462" s="650" t="n"/>
      <c r="Z462" s="650" t="n"/>
      <c r="AA462" s="650" t="n"/>
      <c r="AB462" s="650" t="n"/>
      <c r="AC462" s="613" t="n"/>
      <c r="AD462" s="613" t="n"/>
      <c r="AE462" s="613" t="n"/>
      <c r="AF462" s="613" t="n"/>
      <c r="AG462" s="626" t="n"/>
      <c r="AH462" s="626" t="n"/>
      <c r="AI462" s="626" t="n"/>
      <c r="AJ462" s="626" t="n"/>
      <c r="AK462" s="626" t="n"/>
      <c r="AL462" s="626" t="n"/>
      <c r="AM462" s="626" t="n"/>
      <c r="AN462" s="626" t="n"/>
      <c r="AO462" s="626" t="n"/>
      <c r="AP462" s="369" t="n"/>
      <c r="AQ462" s="369" t="n"/>
      <c r="AR462" s="369" t="n"/>
      <c r="AS462" s="369" t="n"/>
      <c r="AT462" s="370" t="n"/>
      <c r="AU462" s="370" t="n"/>
      <c r="AV462" s="370" t="n"/>
      <c r="AW462" s="370" t="n"/>
      <c r="BJ462">
        <f>O462</f>
        <v/>
      </c>
      <c r="BK462">
        <f>SUM(AG462:AW462)</f>
        <v/>
      </c>
      <c r="BL462" s="531">
        <f>BJ462-BK462</f>
        <v/>
      </c>
      <c r="BM462" s="201" t="n"/>
    </row>
    <row r="463" hidden="1" outlineLevel="1" s="191">
      <c r="P463" s="628" t="n"/>
      <c r="Q463" s="628" t="n"/>
      <c r="R463" s="628" t="n"/>
      <c r="S463" s="628" t="n"/>
      <c r="T463" s="628" t="n"/>
      <c r="U463" s="628" t="n"/>
      <c r="V463" s="628" t="n"/>
      <c r="W463" s="628" t="n"/>
      <c r="X463" s="628" t="n"/>
      <c r="Y463" s="650" t="n"/>
      <c r="Z463" s="650" t="n"/>
      <c r="AA463" s="650" t="n"/>
      <c r="AB463" s="650" t="n"/>
      <c r="AC463" s="613" t="n"/>
      <c r="AD463" s="613" t="n"/>
      <c r="AE463" s="613" t="n"/>
      <c r="AF463" s="613" t="n"/>
      <c r="AG463" s="626" t="n"/>
      <c r="AH463" s="626" t="n"/>
      <c r="AI463" s="626" t="n"/>
      <c r="AJ463" s="626" t="n"/>
      <c r="AK463" s="626" t="n"/>
      <c r="AL463" s="626" t="n"/>
      <c r="AM463" s="626" t="n"/>
      <c r="AN463" s="626" t="n"/>
      <c r="AO463" s="626" t="n"/>
      <c r="AP463" s="369" t="n"/>
      <c r="AQ463" s="369" t="n"/>
      <c r="AR463" s="369" t="n"/>
      <c r="AS463" s="369" t="n"/>
      <c r="AT463" s="370" t="n"/>
      <c r="AU463" s="370" t="n"/>
      <c r="AV463" s="370" t="n"/>
      <c r="AW463" s="370" t="n"/>
      <c r="BJ463">
        <f>O463</f>
        <v/>
      </c>
      <c r="BK463">
        <f>SUM(AG463:AW463)</f>
        <v/>
      </c>
      <c r="BL463" s="531">
        <f>BJ463-BK463</f>
        <v/>
      </c>
      <c r="BM463" s="201" t="n"/>
    </row>
    <row r="464" hidden="1" outlineLevel="1" s="191">
      <c r="P464" s="628" t="n"/>
      <c r="Q464" s="628" t="n"/>
      <c r="R464" s="628" t="n"/>
      <c r="S464" s="628" t="n"/>
      <c r="T464" s="628" t="n"/>
      <c r="U464" s="628" t="n"/>
      <c r="V464" s="628" t="n"/>
      <c r="W464" s="628" t="n"/>
      <c r="X464" s="628" t="n"/>
      <c r="Y464" s="650" t="n"/>
      <c r="Z464" s="650" t="n"/>
      <c r="AA464" s="650" t="n"/>
      <c r="AB464" s="650" t="n"/>
      <c r="AC464" s="613" t="n"/>
      <c r="AD464" s="613" t="n"/>
      <c r="AE464" s="613" t="n"/>
      <c r="AF464" s="613" t="n"/>
      <c r="AG464" s="626" t="n"/>
      <c r="AH464" s="626" t="n"/>
      <c r="AI464" s="626" t="n"/>
      <c r="AJ464" s="626" t="n"/>
      <c r="AK464" s="626" t="n"/>
      <c r="AL464" s="626" t="n"/>
      <c r="AM464" s="626" t="n"/>
      <c r="AN464" s="626" t="n"/>
      <c r="AO464" s="626" t="n"/>
      <c r="AP464" s="369" t="n"/>
      <c r="AQ464" s="369" t="n"/>
      <c r="AR464" s="369" t="n"/>
      <c r="AS464" s="369" t="n"/>
      <c r="AT464" s="370" t="n"/>
      <c r="AU464" s="370" t="n"/>
      <c r="AV464" s="370" t="n"/>
      <c r="AW464" s="370" t="n"/>
      <c r="BJ464">
        <f>O464</f>
        <v/>
      </c>
      <c r="BK464">
        <f>SUM(AG464:AW464)</f>
        <v/>
      </c>
      <c r="BL464" s="531">
        <f>BJ464-BK464</f>
        <v/>
      </c>
      <c r="BM464" s="201" t="n"/>
    </row>
    <row r="465" hidden="1" outlineLevel="1" s="191">
      <c r="P465" s="628" t="n"/>
      <c r="Q465" s="628" t="n"/>
      <c r="R465" s="628" t="n"/>
      <c r="S465" s="628" t="n"/>
      <c r="T465" s="628" t="n"/>
      <c r="U465" s="628" t="n"/>
      <c r="V465" s="628" t="n"/>
      <c r="W465" s="628" t="n"/>
      <c r="X465" s="628" t="n"/>
      <c r="Y465" s="650" t="n"/>
      <c r="Z465" s="650" t="n"/>
      <c r="AA465" s="650" t="n"/>
      <c r="AB465" s="650" t="n"/>
      <c r="AC465" s="613" t="n"/>
      <c r="AD465" s="613" t="n"/>
      <c r="AE465" s="613" t="n"/>
      <c r="AF465" s="613" t="n"/>
      <c r="AG465" s="626" t="n"/>
      <c r="AH465" s="626" t="n"/>
      <c r="AI465" s="626" t="n"/>
      <c r="AJ465" s="626" t="n"/>
      <c r="AK465" s="626" t="n"/>
      <c r="AL465" s="626" t="n"/>
      <c r="AM465" s="626" t="n"/>
      <c r="AN465" s="626" t="n"/>
      <c r="AO465" s="626" t="n"/>
      <c r="AP465" s="369" t="n"/>
      <c r="AQ465" s="369" t="n"/>
      <c r="AR465" s="369" t="n"/>
      <c r="AS465" s="369" t="n"/>
      <c r="AT465" s="370" t="n"/>
      <c r="AU465" s="370" t="n"/>
      <c r="AV465" s="370" t="n"/>
      <c r="AW465" s="370" t="n"/>
      <c r="BJ465">
        <f>O465</f>
        <v/>
      </c>
      <c r="BK465">
        <f>SUM(AG465:AW465)</f>
        <v/>
      </c>
      <c r="BL465" s="531">
        <f>BJ465-BK465</f>
        <v/>
      </c>
      <c r="BM465" s="201" t="n"/>
    </row>
    <row r="466" hidden="1" outlineLevel="1" s="191">
      <c r="P466" s="628" t="n"/>
      <c r="Q466" s="628" t="n"/>
      <c r="R466" s="628" t="n"/>
      <c r="S466" s="628" t="n"/>
      <c r="T466" s="628" t="n"/>
      <c r="U466" s="628" t="n"/>
      <c r="V466" s="628" t="n"/>
      <c r="W466" s="628" t="n"/>
      <c r="X466" s="628" t="n"/>
      <c r="Y466" s="650" t="n"/>
      <c r="Z466" s="650" t="n"/>
      <c r="AA466" s="650" t="n"/>
      <c r="AB466" s="650" t="n"/>
      <c r="AC466" s="613" t="n"/>
      <c r="AD466" s="613" t="n"/>
      <c r="AE466" s="613" t="n"/>
      <c r="AF466" s="613" t="n"/>
      <c r="AG466" s="626" t="n"/>
      <c r="AH466" s="626" t="n"/>
      <c r="AI466" s="626" t="n"/>
      <c r="AJ466" s="626" t="n"/>
      <c r="AK466" s="626" t="n"/>
      <c r="AL466" s="626" t="n"/>
      <c r="AM466" s="626" t="n"/>
      <c r="AN466" s="626" t="n"/>
      <c r="AO466" s="626" t="n"/>
      <c r="AP466" s="369" t="n"/>
      <c r="AQ466" s="369" t="n"/>
      <c r="AR466" s="369" t="n"/>
      <c r="AS466" s="369" t="n"/>
      <c r="AT466" s="370" t="n"/>
      <c r="AU466" s="370" t="n"/>
      <c r="AV466" s="370" t="n"/>
      <c r="AW466" s="370" t="n"/>
      <c r="BJ466">
        <f>O466</f>
        <v/>
      </c>
      <c r="BK466">
        <f>SUM(AG466:AW466)</f>
        <v/>
      </c>
      <c r="BL466" s="531">
        <f>BJ466-BK466</f>
        <v/>
      </c>
      <c r="BM466" s="201" t="n"/>
    </row>
    <row r="467" hidden="1" outlineLevel="1" s="191">
      <c r="P467" s="628" t="n"/>
      <c r="Q467" s="628" t="n"/>
      <c r="R467" s="628" t="n"/>
      <c r="S467" s="628" t="n"/>
      <c r="T467" s="628" t="n"/>
      <c r="U467" s="628" t="n"/>
      <c r="V467" s="628" t="n"/>
      <c r="W467" s="628" t="n"/>
      <c r="X467" s="628" t="n"/>
      <c r="Y467" s="650" t="n"/>
      <c r="Z467" s="650" t="n"/>
      <c r="AA467" s="650" t="n"/>
      <c r="AB467" s="650" t="n"/>
      <c r="AC467" s="613" t="n"/>
      <c r="AD467" s="613" t="n"/>
      <c r="AE467" s="613" t="n"/>
      <c r="AF467" s="613" t="n"/>
      <c r="AG467" s="626" t="n"/>
      <c r="AH467" s="626" t="n"/>
      <c r="AI467" s="626" t="n"/>
      <c r="AJ467" s="626" t="n"/>
      <c r="AK467" s="626" t="n"/>
      <c r="AL467" s="626" t="n"/>
      <c r="AM467" s="626" t="n"/>
      <c r="AN467" s="626" t="n"/>
      <c r="AO467" s="626" t="n"/>
      <c r="AP467" s="369" t="n"/>
      <c r="AQ467" s="369" t="n"/>
      <c r="AR467" s="369" t="n"/>
      <c r="AS467" s="369" t="n"/>
      <c r="AT467" s="370" t="n"/>
      <c r="AU467" s="370" t="n"/>
      <c r="AV467" s="370" t="n"/>
      <c r="AW467" s="370" t="n"/>
      <c r="BJ467">
        <f>O467</f>
        <v/>
      </c>
      <c r="BK467">
        <f>SUM(AG467:AW467)</f>
        <v/>
      </c>
      <c r="BL467" s="531">
        <f>BJ467-BK467</f>
        <v/>
      </c>
      <c r="BM467" s="201" t="n"/>
    </row>
    <row r="468" hidden="1" outlineLevel="1" s="191">
      <c r="P468" s="628" t="n"/>
      <c r="Q468" s="628" t="n"/>
      <c r="R468" s="628" t="n"/>
      <c r="S468" s="628" t="n"/>
      <c r="T468" s="628" t="n"/>
      <c r="U468" s="628" t="n"/>
      <c r="V468" s="628" t="n"/>
      <c r="W468" s="628" t="n"/>
      <c r="X468" s="628" t="n"/>
      <c r="Y468" s="650" t="n"/>
      <c r="Z468" s="650" t="n"/>
      <c r="AA468" s="650" t="n"/>
      <c r="AB468" s="650" t="n"/>
      <c r="AC468" s="613" t="n"/>
      <c r="AD468" s="613" t="n"/>
      <c r="AE468" s="613" t="n"/>
      <c r="AF468" s="613" t="n"/>
      <c r="AG468" s="626" t="n"/>
      <c r="AH468" s="626" t="n"/>
      <c r="AI468" s="626" t="n"/>
      <c r="AJ468" s="626" t="n"/>
      <c r="AK468" s="626" t="n"/>
      <c r="AL468" s="626" t="n"/>
      <c r="AM468" s="626" t="n"/>
      <c r="AN468" s="626" t="n"/>
      <c r="AO468" s="626" t="n"/>
      <c r="AP468" s="369" t="n"/>
      <c r="AQ468" s="369" t="n"/>
      <c r="AR468" s="369" t="n"/>
      <c r="AS468" s="369" t="n"/>
      <c r="AT468" s="370" t="n"/>
      <c r="AU468" s="370" t="n"/>
      <c r="AV468" s="370" t="n"/>
      <c r="AW468" s="370" t="n"/>
      <c r="BJ468">
        <f>O468</f>
        <v/>
      </c>
      <c r="BK468">
        <f>SUM(AG468:AW468)</f>
        <v/>
      </c>
      <c r="BL468" s="531">
        <f>BJ468-BK468</f>
        <v/>
      </c>
      <c r="BM468" s="201" t="n"/>
    </row>
    <row r="469" hidden="1" outlineLevel="1" s="191">
      <c r="P469" s="628" t="n"/>
      <c r="Q469" s="628" t="n"/>
      <c r="R469" s="628" t="n"/>
      <c r="S469" s="628" t="n"/>
      <c r="T469" s="628" t="n"/>
      <c r="U469" s="628" t="n"/>
      <c r="V469" s="628" t="n"/>
      <c r="W469" s="628" t="n"/>
      <c r="X469" s="628" t="n"/>
      <c r="Y469" s="650" t="n"/>
      <c r="Z469" s="650" t="n"/>
      <c r="AA469" s="650" t="n"/>
      <c r="AB469" s="650" t="n"/>
      <c r="AC469" s="613" t="n"/>
      <c r="AD469" s="613" t="n"/>
      <c r="AE469" s="613" t="n"/>
      <c r="AF469" s="613" t="n"/>
      <c r="AG469" s="626" t="n"/>
      <c r="AH469" s="626" t="n"/>
      <c r="AI469" s="626" t="n"/>
      <c r="AJ469" s="626" t="n"/>
      <c r="AK469" s="626" t="n"/>
      <c r="AL469" s="626" t="n"/>
      <c r="AM469" s="626" t="n"/>
      <c r="AN469" s="626" t="n"/>
      <c r="AO469" s="626" t="n"/>
      <c r="AP469" s="369" t="n"/>
      <c r="AQ469" s="369" t="n"/>
      <c r="AR469" s="369" t="n"/>
      <c r="AS469" s="369" t="n"/>
      <c r="AT469" s="370" t="n"/>
      <c r="AU469" s="370" t="n"/>
      <c r="AV469" s="370" t="n"/>
      <c r="AW469" s="370" t="n"/>
      <c r="BJ469">
        <f>O469</f>
        <v/>
      </c>
      <c r="BK469">
        <f>SUM(AG469:AW469)</f>
        <v/>
      </c>
      <c r="BL469" s="531">
        <f>BJ469-BK469</f>
        <v/>
      </c>
      <c r="BM469" s="201" t="n"/>
    </row>
    <row r="470" hidden="1" outlineLevel="1" s="191">
      <c r="P470" s="628" t="n"/>
      <c r="Q470" s="628" t="n"/>
      <c r="R470" s="628" t="n"/>
      <c r="S470" s="628" t="n"/>
      <c r="T470" s="628" t="n"/>
      <c r="U470" s="628" t="n"/>
      <c r="V470" s="628" t="n"/>
      <c r="W470" s="628" t="n"/>
      <c r="X470" s="628" t="n"/>
      <c r="Y470" s="650" t="n"/>
      <c r="Z470" s="650" t="n"/>
      <c r="AA470" s="650" t="n"/>
      <c r="AB470" s="650" t="n"/>
      <c r="AC470" s="613" t="n"/>
      <c r="AD470" s="613" t="n"/>
      <c r="AE470" s="613" t="n"/>
      <c r="AF470" s="613" t="n"/>
      <c r="AG470" s="626" t="n"/>
      <c r="AH470" s="626" t="n"/>
      <c r="AI470" s="626" t="n"/>
      <c r="AJ470" s="626" t="n"/>
      <c r="AK470" s="626" t="n"/>
      <c r="AL470" s="626" t="n"/>
      <c r="AM470" s="626" t="n"/>
      <c r="AN470" s="626" t="n"/>
      <c r="AO470" s="626" t="n"/>
      <c r="AP470" s="369" t="n"/>
      <c r="AQ470" s="369" t="n"/>
      <c r="AR470" s="369" t="n"/>
      <c r="AS470" s="369" t="n"/>
      <c r="AT470" s="370" t="n"/>
      <c r="AU470" s="370" t="n"/>
      <c r="AV470" s="370" t="n"/>
      <c r="AW470" s="370" t="n"/>
      <c r="BJ470">
        <f>O470</f>
        <v/>
      </c>
      <c r="BK470">
        <f>SUM(AG470:AW470)</f>
        <v/>
      </c>
      <c r="BL470" s="531">
        <f>BJ470-BK470</f>
        <v/>
      </c>
      <c r="BM470" s="201" t="n"/>
    </row>
    <row r="471" hidden="1" outlineLevel="1" s="191">
      <c r="P471" s="628" t="n"/>
      <c r="Q471" s="628" t="n"/>
      <c r="R471" s="628" t="n"/>
      <c r="S471" s="628" t="n"/>
      <c r="T471" s="628" t="n"/>
      <c r="U471" s="628" t="n"/>
      <c r="V471" s="628" t="n"/>
      <c r="W471" s="628" t="n"/>
      <c r="X471" s="628" t="n"/>
      <c r="Y471" s="650" t="n"/>
      <c r="Z471" s="650" t="n"/>
      <c r="AA471" s="650" t="n"/>
      <c r="AB471" s="650" t="n"/>
      <c r="AC471" s="613" t="n"/>
      <c r="AD471" s="613" t="n"/>
      <c r="AE471" s="613" t="n"/>
      <c r="AF471" s="613" t="n"/>
      <c r="AG471" s="626" t="n"/>
      <c r="AH471" s="626" t="n"/>
      <c r="AI471" s="626" t="n"/>
      <c r="AJ471" s="626" t="n"/>
      <c r="AK471" s="626" t="n"/>
      <c r="AL471" s="626" t="n"/>
      <c r="AM471" s="626" t="n"/>
      <c r="AN471" s="626" t="n"/>
      <c r="AO471" s="626" t="n"/>
      <c r="AP471" s="369" t="n"/>
      <c r="AQ471" s="369" t="n"/>
      <c r="AR471" s="369" t="n"/>
      <c r="AS471" s="369" t="n"/>
      <c r="AT471" s="370" t="n"/>
      <c r="AU471" s="370" t="n"/>
      <c r="AV471" s="370" t="n"/>
      <c r="AW471" s="370" t="n"/>
      <c r="BJ471">
        <f>O471</f>
        <v/>
      </c>
      <c r="BK471">
        <f>SUM(AG471:AW471)</f>
        <v/>
      </c>
      <c r="BL471" s="531">
        <f>BJ471-BK471</f>
        <v/>
      </c>
      <c r="BM471" s="201" t="n"/>
    </row>
    <row r="472" hidden="1" outlineLevel="1" s="191">
      <c r="P472" s="628" t="n"/>
      <c r="Q472" s="628" t="n"/>
      <c r="R472" s="628" t="n"/>
      <c r="S472" s="628" t="n"/>
      <c r="T472" s="628" t="n"/>
      <c r="U472" s="628" t="n"/>
      <c r="V472" s="628" t="n"/>
      <c r="W472" s="628" t="n"/>
      <c r="X472" s="628" t="n"/>
      <c r="Y472" s="650" t="n"/>
      <c r="Z472" s="650" t="n"/>
      <c r="AA472" s="650" t="n"/>
      <c r="AB472" s="650" t="n"/>
      <c r="AC472" s="613" t="n"/>
      <c r="AD472" s="613" t="n"/>
      <c r="AE472" s="613" t="n"/>
      <c r="AF472" s="613" t="n"/>
      <c r="AG472" s="626" t="n"/>
      <c r="AH472" s="626" t="n"/>
      <c r="AI472" s="626" t="n"/>
      <c r="AJ472" s="626" t="n"/>
      <c r="AK472" s="626" t="n"/>
      <c r="AL472" s="626" t="n"/>
      <c r="AM472" s="626" t="n"/>
      <c r="AN472" s="626" t="n"/>
      <c r="AO472" s="626" t="n"/>
      <c r="AP472" s="369" t="n"/>
      <c r="AQ472" s="369" t="n"/>
      <c r="AR472" s="369" t="n"/>
      <c r="AS472" s="369" t="n"/>
      <c r="AT472" s="370" t="n"/>
      <c r="AU472" s="370" t="n"/>
      <c r="AV472" s="370" t="n"/>
      <c r="AW472" s="370" t="n"/>
      <c r="BJ472">
        <f>O472</f>
        <v/>
      </c>
      <c r="BK472">
        <f>SUM(AG472:AW472)</f>
        <v/>
      </c>
      <c r="BL472" s="531">
        <f>BJ472-BK472</f>
        <v/>
      </c>
      <c r="BM472" s="201" t="n"/>
    </row>
    <row r="473" hidden="1" outlineLevel="1" s="191">
      <c r="P473" s="628" t="n"/>
      <c r="Q473" s="628" t="n"/>
      <c r="R473" s="628" t="n"/>
      <c r="S473" s="628" t="n"/>
      <c r="T473" s="628" t="n"/>
      <c r="U473" s="628" t="n"/>
      <c r="V473" s="628" t="n"/>
      <c r="W473" s="628" t="n"/>
      <c r="X473" s="628" t="n"/>
      <c r="Y473" s="650" t="n"/>
      <c r="Z473" s="650" t="n"/>
      <c r="AA473" s="650" t="n"/>
      <c r="AB473" s="650" t="n"/>
      <c r="AC473" s="613" t="n"/>
      <c r="AD473" s="613" t="n"/>
      <c r="AE473" s="613" t="n"/>
      <c r="AF473" s="613" t="n"/>
      <c r="AG473" s="626" t="n"/>
      <c r="AH473" s="626" t="n"/>
      <c r="AI473" s="626" t="n"/>
      <c r="AJ473" s="626" t="n"/>
      <c r="AK473" s="626" t="n"/>
      <c r="AL473" s="626" t="n"/>
      <c r="AM473" s="626" t="n"/>
      <c r="AN473" s="626" t="n"/>
      <c r="AO473" s="626" t="n"/>
      <c r="AP473" s="369" t="n"/>
      <c r="AQ473" s="369" t="n"/>
      <c r="AR473" s="369" t="n"/>
      <c r="AS473" s="369" t="n"/>
      <c r="AT473" s="370" t="n"/>
      <c r="AU473" s="370" t="n"/>
      <c r="AV473" s="370" t="n"/>
      <c r="AW473" s="370" t="n"/>
      <c r="BJ473">
        <f>O473</f>
        <v/>
      </c>
      <c r="BK473">
        <f>SUM(AG473:AW473)</f>
        <v/>
      </c>
      <c r="BL473" s="531">
        <f>BJ473-BK473</f>
        <v/>
      </c>
      <c r="BM473" s="201" t="n"/>
    </row>
    <row r="474" hidden="1" outlineLevel="1" s="191">
      <c r="P474" s="628" t="n"/>
      <c r="Q474" s="628" t="n"/>
      <c r="R474" s="628" t="n"/>
      <c r="S474" s="628" t="n"/>
      <c r="T474" s="628" t="n"/>
      <c r="U474" s="628" t="n"/>
      <c r="V474" s="628" t="n"/>
      <c r="W474" s="628" t="n"/>
      <c r="X474" s="628" t="n"/>
      <c r="Y474" s="650" t="n"/>
      <c r="Z474" s="650" t="n"/>
      <c r="AA474" s="650" t="n"/>
      <c r="AB474" s="650" t="n"/>
      <c r="AC474" s="613" t="n"/>
      <c r="AD474" s="613" t="n"/>
      <c r="AE474" s="613" t="n"/>
      <c r="AF474" s="613" t="n"/>
      <c r="AG474" s="626" t="n"/>
      <c r="AH474" s="626" t="n"/>
      <c r="AI474" s="626" t="n"/>
      <c r="AJ474" s="626" t="n"/>
      <c r="AK474" s="626" t="n"/>
      <c r="AL474" s="626" t="n"/>
      <c r="AM474" s="626" t="n"/>
      <c r="AN474" s="626" t="n"/>
      <c r="AO474" s="626" t="n"/>
      <c r="AP474" s="369" t="n"/>
      <c r="AQ474" s="369" t="n"/>
      <c r="AR474" s="369" t="n"/>
      <c r="AS474" s="369" t="n"/>
      <c r="AT474" s="370" t="n"/>
      <c r="AU474" s="370" t="n"/>
      <c r="AV474" s="370" t="n"/>
      <c r="AW474" s="370" t="n"/>
      <c r="BJ474">
        <f>O474</f>
        <v/>
      </c>
      <c r="BK474">
        <f>SUM(AG474:AW474)</f>
        <v/>
      </c>
      <c r="BL474" s="531">
        <f>BJ474-BK474</f>
        <v/>
      </c>
      <c r="BM474" s="201" t="n"/>
    </row>
    <row r="475" hidden="1" outlineLevel="1" s="191">
      <c r="P475" s="628" t="n"/>
      <c r="Q475" s="628" t="n"/>
      <c r="R475" s="628" t="n"/>
      <c r="S475" s="628" t="n"/>
      <c r="T475" s="628" t="n"/>
      <c r="U475" s="628" t="n"/>
      <c r="V475" s="628" t="n"/>
      <c r="W475" s="628" t="n"/>
      <c r="X475" s="628" t="n"/>
      <c r="Y475" s="650" t="n"/>
      <c r="Z475" s="650" t="n"/>
      <c r="AA475" s="650" t="n"/>
      <c r="AB475" s="650" t="n"/>
      <c r="AC475" s="613" t="n"/>
      <c r="AD475" s="613" t="n"/>
      <c r="AE475" s="613" t="n"/>
      <c r="AF475" s="613" t="n"/>
      <c r="AG475" s="626" t="n"/>
      <c r="AH475" s="626" t="n"/>
      <c r="AI475" s="626" t="n"/>
      <c r="AJ475" s="626" t="n"/>
      <c r="AK475" s="626" t="n"/>
      <c r="AL475" s="626" t="n"/>
      <c r="AM475" s="626" t="n"/>
      <c r="AN475" s="626" t="n"/>
      <c r="AO475" s="626" t="n"/>
      <c r="AP475" s="369" t="n"/>
      <c r="AQ475" s="369" t="n"/>
      <c r="AR475" s="369" t="n"/>
      <c r="AS475" s="369" t="n"/>
      <c r="AT475" s="370" t="n"/>
      <c r="AU475" s="370" t="n"/>
      <c r="AV475" s="370" t="n"/>
      <c r="AW475" s="370" t="n"/>
      <c r="BJ475">
        <f>O475</f>
        <v/>
      </c>
      <c r="BK475">
        <f>SUM(AG475:AW475)</f>
        <v/>
      </c>
      <c r="BL475" s="531">
        <f>BJ475-BK475</f>
        <v/>
      </c>
      <c r="BM475" s="201" t="n"/>
    </row>
    <row r="476" hidden="1" outlineLevel="1" s="191">
      <c r="P476" s="628" t="n"/>
      <c r="Q476" s="628" t="n"/>
      <c r="R476" s="628" t="n"/>
      <c r="S476" s="628" t="n"/>
      <c r="T476" s="628" t="n"/>
      <c r="U476" s="628" t="n"/>
      <c r="V476" s="628" t="n"/>
      <c r="W476" s="628" t="n"/>
      <c r="X476" s="628" t="n"/>
      <c r="Y476" s="650" t="n"/>
      <c r="Z476" s="650" t="n"/>
      <c r="AA476" s="650" t="n"/>
      <c r="AB476" s="650" t="n"/>
      <c r="AC476" s="613" t="n"/>
      <c r="AD476" s="613" t="n"/>
      <c r="AE476" s="613" t="n"/>
      <c r="AF476" s="613" t="n"/>
      <c r="AG476" s="626" t="n"/>
      <c r="AH476" s="626" t="n"/>
      <c r="AI476" s="626" t="n"/>
      <c r="AJ476" s="626" t="n"/>
      <c r="AK476" s="626" t="n"/>
      <c r="AL476" s="626" t="n"/>
      <c r="AM476" s="626" t="n"/>
      <c r="AN476" s="626" t="n"/>
      <c r="AO476" s="626" t="n"/>
      <c r="AP476" s="369" t="n"/>
      <c r="AQ476" s="369" t="n"/>
      <c r="AR476" s="369" t="n"/>
      <c r="AS476" s="369" t="n"/>
      <c r="AT476" s="370" t="n"/>
      <c r="AU476" s="370" t="n"/>
      <c r="AV476" s="370" t="n"/>
      <c r="AW476" s="370" t="n"/>
      <c r="BJ476">
        <f>O476</f>
        <v/>
      </c>
      <c r="BK476">
        <f>SUM(AG476:AW476)</f>
        <v/>
      </c>
      <c r="BL476" s="531">
        <f>BJ476-BK476</f>
        <v/>
      </c>
      <c r="BM476" s="201" t="n"/>
    </row>
    <row r="477" hidden="1" outlineLevel="1" s="191">
      <c r="P477" s="628" t="n"/>
      <c r="Q477" s="628" t="n"/>
      <c r="R477" s="628" t="n"/>
      <c r="S477" s="628" t="n"/>
      <c r="T477" s="628" t="n"/>
      <c r="U477" s="628" t="n"/>
      <c r="V477" s="628" t="n"/>
      <c r="W477" s="628" t="n"/>
      <c r="X477" s="628" t="n"/>
      <c r="Y477" s="650" t="n"/>
      <c r="Z477" s="650" t="n"/>
      <c r="AA477" s="650" t="n"/>
      <c r="AB477" s="650" t="n"/>
      <c r="AC477" s="613" t="n"/>
      <c r="AD477" s="613" t="n"/>
      <c r="AE477" s="613" t="n"/>
      <c r="AF477" s="613" t="n"/>
      <c r="AG477" s="626" t="n"/>
      <c r="AH477" s="626" t="n"/>
      <c r="AI477" s="626" t="n"/>
      <c r="AJ477" s="626" t="n"/>
      <c r="AK477" s="626" t="n"/>
      <c r="AL477" s="626" t="n"/>
      <c r="AM477" s="626" t="n"/>
      <c r="AN477" s="626" t="n"/>
      <c r="AO477" s="626" t="n"/>
      <c r="AP477" s="369" t="n"/>
      <c r="AQ477" s="369" t="n"/>
      <c r="AR477" s="369" t="n"/>
      <c r="AS477" s="369" t="n"/>
      <c r="AT477" s="370" t="n"/>
      <c r="AU477" s="370" t="n"/>
      <c r="AV477" s="370" t="n"/>
      <c r="AW477" s="370" t="n"/>
      <c r="BJ477">
        <f>O477</f>
        <v/>
      </c>
      <c r="BK477">
        <f>SUM(AG477:AW477)</f>
        <v/>
      </c>
      <c r="BL477" s="531">
        <f>BJ477-BK477</f>
        <v/>
      </c>
      <c r="BM477" s="201" t="n"/>
    </row>
    <row r="478" hidden="1" outlineLevel="1" s="191">
      <c r="P478" s="628" t="n"/>
      <c r="Q478" s="628" t="n"/>
      <c r="R478" s="628" t="n"/>
      <c r="S478" s="628" t="n"/>
      <c r="T478" s="628" t="n"/>
      <c r="U478" s="628" t="n"/>
      <c r="V478" s="628" t="n"/>
      <c r="W478" s="628" t="n"/>
      <c r="X478" s="628" t="n"/>
      <c r="Y478" s="650" t="n"/>
      <c r="Z478" s="650" t="n"/>
      <c r="AA478" s="650" t="n"/>
      <c r="AB478" s="650" t="n"/>
      <c r="AC478" s="613" t="n"/>
      <c r="AD478" s="613" t="n"/>
      <c r="AE478" s="613" t="n"/>
      <c r="AF478" s="613" t="n"/>
      <c r="AG478" s="626" t="n"/>
      <c r="AH478" s="626" t="n"/>
      <c r="AI478" s="626" t="n"/>
      <c r="AJ478" s="626" t="n"/>
      <c r="AK478" s="626" t="n"/>
      <c r="AL478" s="626" t="n"/>
      <c r="AM478" s="626" t="n"/>
      <c r="AN478" s="626" t="n"/>
      <c r="AO478" s="626" t="n"/>
      <c r="AP478" s="369" t="n"/>
      <c r="AQ478" s="369" t="n"/>
      <c r="AR478" s="369" t="n"/>
      <c r="AS478" s="369" t="n"/>
      <c r="AT478" s="370" t="n"/>
      <c r="AU478" s="370" t="n"/>
      <c r="AV478" s="370" t="n"/>
      <c r="AW478" s="370" t="n"/>
      <c r="BJ478">
        <f>O478</f>
        <v/>
      </c>
      <c r="BK478">
        <f>SUM(AG478:AW478)</f>
        <v/>
      </c>
      <c r="BL478" s="531">
        <f>BJ478-BK478</f>
        <v/>
      </c>
      <c r="BM478" s="201" t="n"/>
    </row>
    <row r="479" hidden="1" outlineLevel="1" s="191">
      <c r="P479" s="628" t="n"/>
      <c r="Q479" s="628" t="n"/>
      <c r="R479" s="628" t="n"/>
      <c r="S479" s="628" t="n"/>
      <c r="T479" s="628" t="n"/>
      <c r="U479" s="628" t="n"/>
      <c r="V479" s="628" t="n"/>
      <c r="W479" s="628" t="n"/>
      <c r="X479" s="628" t="n"/>
      <c r="Y479" s="650" t="n"/>
      <c r="Z479" s="650" t="n"/>
      <c r="AA479" s="650" t="n"/>
      <c r="AB479" s="650" t="n"/>
      <c r="AC479" s="613" t="n"/>
      <c r="AD479" s="613" t="n"/>
      <c r="AE479" s="613" t="n"/>
      <c r="AF479" s="613" t="n"/>
      <c r="AG479" s="626" t="n"/>
      <c r="AH479" s="626" t="n"/>
      <c r="AI479" s="626" t="n"/>
      <c r="AJ479" s="626" t="n"/>
      <c r="AK479" s="626" t="n"/>
      <c r="AL479" s="626" t="n"/>
      <c r="AM479" s="626" t="n"/>
      <c r="AN479" s="626" t="n"/>
      <c r="AO479" s="626" t="n"/>
      <c r="AP479" s="369" t="n"/>
      <c r="AQ479" s="369" t="n"/>
      <c r="AR479" s="369" t="n"/>
      <c r="AS479" s="369" t="n"/>
      <c r="AT479" s="370" t="n"/>
      <c r="AU479" s="370" t="n"/>
      <c r="AV479" s="370" t="n"/>
      <c r="AW479" s="370" t="n"/>
      <c r="BJ479">
        <f>O479</f>
        <v/>
      </c>
      <c r="BK479">
        <f>SUM(AG479:AW479)</f>
        <v/>
      </c>
      <c r="BL479" s="531">
        <f>BJ479-BK479</f>
        <v/>
      </c>
      <c r="BM479" s="201" t="n"/>
    </row>
    <row r="480" hidden="1" outlineLevel="1" s="191">
      <c r="P480" s="628" t="n"/>
      <c r="Q480" s="628" t="n"/>
      <c r="R480" s="628" t="n"/>
      <c r="S480" s="628" t="n"/>
      <c r="T480" s="628" t="n"/>
      <c r="U480" s="628" t="n"/>
      <c r="V480" s="628" t="n"/>
      <c r="W480" s="628" t="n"/>
      <c r="X480" s="628" t="n"/>
      <c r="Y480" s="650" t="n"/>
      <c r="Z480" s="650" t="n"/>
      <c r="AA480" s="650" t="n"/>
      <c r="AB480" s="650" t="n"/>
      <c r="AC480" s="613" t="n"/>
      <c r="AD480" s="613" t="n"/>
      <c r="AE480" s="613" t="n"/>
      <c r="AF480" s="613" t="n"/>
      <c r="AG480" s="626" t="n"/>
      <c r="AH480" s="626" t="n"/>
      <c r="AI480" s="626" t="n"/>
      <c r="AJ480" s="626" t="n"/>
      <c r="AK480" s="626" t="n"/>
      <c r="AL480" s="626" t="n"/>
      <c r="AM480" s="626" t="n"/>
      <c r="AN480" s="626" t="n"/>
      <c r="AO480" s="626" t="n"/>
      <c r="AP480" s="369" t="n"/>
      <c r="AQ480" s="369" t="n"/>
      <c r="AR480" s="369" t="n"/>
      <c r="AS480" s="369" t="n"/>
      <c r="AT480" s="370" t="n"/>
      <c r="AU480" s="370" t="n"/>
      <c r="AV480" s="370" t="n"/>
      <c r="AW480" s="370" t="n"/>
      <c r="BJ480">
        <f>O480</f>
        <v/>
      </c>
      <c r="BK480">
        <f>SUM(AG480:AW480)</f>
        <v/>
      </c>
      <c r="BL480" s="531">
        <f>BJ480-BK480</f>
        <v/>
      </c>
      <c r="BM480" s="201" t="n"/>
    </row>
    <row r="481" hidden="1" outlineLevel="1" s="191">
      <c r="P481" s="628" t="n"/>
      <c r="Q481" s="628" t="n"/>
      <c r="R481" s="628" t="n"/>
      <c r="S481" s="628" t="n"/>
      <c r="T481" s="628" t="n"/>
      <c r="U481" s="628" t="n"/>
      <c r="V481" s="628" t="n"/>
      <c r="W481" s="628" t="n"/>
      <c r="X481" s="628" t="n"/>
      <c r="Y481" s="650" t="n"/>
      <c r="Z481" s="650" t="n"/>
      <c r="AA481" s="650" t="n"/>
      <c r="AB481" s="650" t="n"/>
      <c r="AC481" s="613" t="n"/>
      <c r="AD481" s="613" t="n"/>
      <c r="AE481" s="613" t="n"/>
      <c r="AF481" s="613" t="n"/>
      <c r="AG481" s="626" t="n"/>
      <c r="AH481" s="626" t="n"/>
      <c r="AI481" s="626" t="n"/>
      <c r="AJ481" s="626" t="n"/>
      <c r="AK481" s="626" t="n"/>
      <c r="AL481" s="626" t="n"/>
      <c r="AM481" s="626" t="n"/>
      <c r="AN481" s="626" t="n"/>
      <c r="AO481" s="626" t="n"/>
      <c r="AP481" s="369" t="n"/>
      <c r="AQ481" s="369" t="n"/>
      <c r="AR481" s="369" t="n"/>
      <c r="AS481" s="369" t="n"/>
      <c r="AT481" s="370" t="n"/>
      <c r="AU481" s="370" t="n"/>
      <c r="AV481" s="370" t="n"/>
      <c r="AW481" s="370" t="n"/>
      <c r="BJ481">
        <f>O481</f>
        <v/>
      </c>
      <c r="BK481">
        <f>SUM(AG481:AW481)</f>
        <v/>
      </c>
      <c r="BL481" s="531">
        <f>BJ481-BK481</f>
        <v/>
      </c>
      <c r="BM481" s="201" t="n"/>
    </row>
    <row r="482" hidden="1" outlineLevel="1" s="191">
      <c r="P482" s="628" t="n"/>
      <c r="Q482" s="628" t="n"/>
      <c r="R482" s="628" t="n"/>
      <c r="S482" s="628" t="n"/>
      <c r="T482" s="628" t="n"/>
      <c r="U482" s="628" t="n"/>
      <c r="V482" s="628" t="n"/>
      <c r="W482" s="628" t="n"/>
      <c r="X482" s="628" t="n"/>
      <c r="Y482" s="650" t="n"/>
      <c r="Z482" s="650" t="n"/>
      <c r="AA482" s="650" t="n"/>
      <c r="AB482" s="650" t="n"/>
      <c r="AC482" s="613" t="n"/>
      <c r="AD482" s="613" t="n"/>
      <c r="AE482" s="613" t="n"/>
      <c r="AF482" s="613" t="n"/>
      <c r="AG482" s="626" t="n"/>
      <c r="AH482" s="626" t="n"/>
      <c r="AI482" s="626" t="n"/>
      <c r="AJ482" s="626" t="n"/>
      <c r="AK482" s="626" t="n"/>
      <c r="AL482" s="626" t="n"/>
      <c r="AM482" s="626" t="n"/>
      <c r="AN482" s="626" t="n"/>
      <c r="AO482" s="626" t="n"/>
      <c r="AP482" s="369" t="n"/>
      <c r="AQ482" s="369" t="n"/>
      <c r="AR482" s="369" t="n"/>
      <c r="AS482" s="369" t="n"/>
      <c r="AT482" s="370" t="n"/>
      <c r="AU482" s="370" t="n"/>
      <c r="AV482" s="370" t="n"/>
      <c r="AW482" s="370" t="n"/>
      <c r="BJ482">
        <f>O482</f>
        <v/>
      </c>
      <c r="BK482">
        <f>SUM(AG482:AW482)</f>
        <v/>
      </c>
      <c r="BL482" s="531">
        <f>BJ482-BK482</f>
        <v/>
      </c>
      <c r="BM482" s="201" t="n"/>
    </row>
    <row r="483" hidden="1" outlineLevel="1" s="191">
      <c r="P483" s="628" t="n"/>
      <c r="Q483" s="628" t="n"/>
      <c r="R483" s="628" t="n"/>
      <c r="S483" s="628" t="n"/>
      <c r="T483" s="628" t="n"/>
      <c r="U483" s="628" t="n"/>
      <c r="V483" s="628" t="n"/>
      <c r="W483" s="628" t="n"/>
      <c r="X483" s="628" t="n"/>
      <c r="Y483" s="650" t="n"/>
      <c r="Z483" s="650" t="n"/>
      <c r="AA483" s="650" t="n"/>
      <c r="AB483" s="650" t="n"/>
      <c r="AC483" s="613" t="n"/>
      <c r="AD483" s="613" t="n"/>
      <c r="AE483" s="613" t="n"/>
      <c r="AF483" s="613" t="n"/>
      <c r="AG483" s="626" t="n"/>
      <c r="AH483" s="626" t="n"/>
      <c r="AI483" s="626" t="n"/>
      <c r="AJ483" s="626" t="n"/>
      <c r="AK483" s="626" t="n"/>
      <c r="AL483" s="626" t="n"/>
      <c r="AM483" s="626" t="n"/>
      <c r="AN483" s="626" t="n"/>
      <c r="AO483" s="626" t="n"/>
      <c r="AP483" s="369" t="n"/>
      <c r="AQ483" s="369" t="n"/>
      <c r="AR483" s="369" t="n"/>
      <c r="AS483" s="369" t="n"/>
      <c r="AT483" s="370" t="n"/>
      <c r="AU483" s="370" t="n"/>
      <c r="AV483" s="370" t="n"/>
      <c r="AW483" s="370" t="n"/>
      <c r="BJ483">
        <f>O483</f>
        <v/>
      </c>
      <c r="BK483">
        <f>SUM(AG483:AW483)</f>
        <v/>
      </c>
      <c r="BL483" s="531">
        <f>BJ483-BK483</f>
        <v/>
      </c>
      <c r="BM483" s="201" t="n"/>
    </row>
    <row r="484" hidden="1" outlineLevel="1" s="191">
      <c r="P484" s="628" t="n"/>
      <c r="Q484" s="628" t="n"/>
      <c r="R484" s="628" t="n"/>
      <c r="S484" s="628" t="n"/>
      <c r="T484" s="628" t="n"/>
      <c r="U484" s="628" t="n"/>
      <c r="V484" s="628" t="n"/>
      <c r="W484" s="628" t="n"/>
      <c r="X484" s="628" t="n"/>
      <c r="Y484" s="650" t="n"/>
      <c r="Z484" s="650" t="n"/>
      <c r="AA484" s="650" t="n"/>
      <c r="AB484" s="650" t="n"/>
      <c r="AC484" s="613" t="n"/>
      <c r="AD484" s="613" t="n"/>
      <c r="AE484" s="613" t="n"/>
      <c r="AF484" s="613" t="n"/>
      <c r="AG484" s="626" t="n"/>
      <c r="AH484" s="626" t="n"/>
      <c r="AI484" s="626" t="n"/>
      <c r="AJ484" s="626" t="n"/>
      <c r="AK484" s="626" t="n"/>
      <c r="AL484" s="626" t="n"/>
      <c r="AM484" s="626" t="n"/>
      <c r="AN484" s="626" t="n"/>
      <c r="AO484" s="626" t="n"/>
      <c r="AP484" s="369" t="n"/>
      <c r="AQ484" s="369" t="n"/>
      <c r="AR484" s="369" t="n"/>
      <c r="AS484" s="369" t="n"/>
      <c r="AT484" s="370" t="n"/>
      <c r="AU484" s="370" t="n"/>
      <c r="AV484" s="370" t="n"/>
      <c r="AW484" s="370" t="n"/>
      <c r="BJ484">
        <f>O484</f>
        <v/>
      </c>
      <c r="BK484">
        <f>SUM(AG484:AW484)</f>
        <v/>
      </c>
      <c r="BL484" s="531">
        <f>BJ484-BK484</f>
        <v/>
      </c>
      <c r="BM484" s="201" t="n"/>
    </row>
    <row r="485" hidden="1" outlineLevel="1" s="191">
      <c r="P485" s="628" t="n"/>
      <c r="Q485" s="628" t="n"/>
      <c r="R485" s="628" t="n"/>
      <c r="S485" s="628" t="n"/>
      <c r="T485" s="628" t="n"/>
      <c r="U485" s="628" t="n"/>
      <c r="V485" s="628" t="n"/>
      <c r="W485" s="628" t="n"/>
      <c r="X485" s="628" t="n"/>
      <c r="Y485" s="650" t="n"/>
      <c r="Z485" s="650" t="n"/>
      <c r="AA485" s="650" t="n"/>
      <c r="AB485" s="650" t="n"/>
      <c r="AC485" s="613" t="n"/>
      <c r="AD485" s="613" t="n"/>
      <c r="AE485" s="613" t="n"/>
      <c r="AF485" s="613" t="n"/>
      <c r="AG485" s="626" t="n"/>
      <c r="AH485" s="626" t="n"/>
      <c r="AI485" s="626" t="n"/>
      <c r="AJ485" s="626" t="n"/>
      <c r="AK485" s="626" t="n"/>
      <c r="AL485" s="626" t="n"/>
      <c r="AM485" s="626" t="n"/>
      <c r="AN485" s="626" t="n"/>
      <c r="AO485" s="626" t="n"/>
      <c r="AP485" s="369" t="n"/>
      <c r="AQ485" s="369" t="n"/>
      <c r="AR485" s="369" t="n"/>
      <c r="AS485" s="369" t="n"/>
      <c r="AT485" s="370" t="n"/>
      <c r="AU485" s="370" t="n"/>
      <c r="AV485" s="370" t="n"/>
      <c r="AW485" s="370" t="n"/>
      <c r="BJ485">
        <f>O485</f>
        <v/>
      </c>
      <c r="BK485">
        <f>SUM(AG485:AW485)</f>
        <v/>
      </c>
      <c r="BL485" s="531">
        <f>BJ485-BK485</f>
        <v/>
      </c>
      <c r="BM485" s="201" t="n"/>
    </row>
    <row r="486" hidden="1" outlineLevel="1" s="191">
      <c r="P486" s="628" t="n"/>
      <c r="Q486" s="628" t="n"/>
      <c r="R486" s="628" t="n"/>
      <c r="S486" s="628" t="n"/>
      <c r="T486" s="628" t="n"/>
      <c r="U486" s="628" t="n"/>
      <c r="V486" s="628" t="n"/>
      <c r="W486" s="628" t="n"/>
      <c r="X486" s="628" t="n"/>
      <c r="Y486" s="650" t="n"/>
      <c r="Z486" s="650" t="n"/>
      <c r="AA486" s="650" t="n"/>
      <c r="AB486" s="650" t="n"/>
      <c r="AC486" s="613" t="n"/>
      <c r="AD486" s="613" t="n"/>
      <c r="AE486" s="613" t="n"/>
      <c r="AF486" s="613" t="n"/>
      <c r="AG486" s="626" t="n"/>
      <c r="AH486" s="626" t="n"/>
      <c r="AI486" s="626" t="n"/>
      <c r="AJ486" s="626" t="n"/>
      <c r="AK486" s="626" t="n"/>
      <c r="AL486" s="626" t="n"/>
      <c r="AM486" s="626" t="n"/>
      <c r="AN486" s="626" t="n"/>
      <c r="AO486" s="626" t="n"/>
      <c r="AP486" s="369" t="n"/>
      <c r="AQ486" s="369" t="n"/>
      <c r="AR486" s="369" t="n"/>
      <c r="AS486" s="369" t="n"/>
      <c r="AT486" s="370" t="n"/>
      <c r="AU486" s="370" t="n"/>
      <c r="AV486" s="370" t="n"/>
      <c r="AW486" s="370" t="n"/>
      <c r="BJ486">
        <f>O486</f>
        <v/>
      </c>
      <c r="BK486">
        <f>SUM(AG486:AW486)</f>
        <v/>
      </c>
      <c r="BL486" s="531">
        <f>BJ486-BK486</f>
        <v/>
      </c>
      <c r="BM486" s="201" t="n"/>
    </row>
    <row r="487" hidden="1" outlineLevel="1" s="191">
      <c r="P487" s="628" t="n"/>
      <c r="Q487" s="628" t="n"/>
      <c r="R487" s="628" t="n"/>
      <c r="S487" s="628" t="n"/>
      <c r="T487" s="628" t="n"/>
      <c r="U487" s="628" t="n"/>
      <c r="V487" s="628" t="n"/>
      <c r="W487" s="628" t="n"/>
      <c r="X487" s="628" t="n"/>
      <c r="Y487" s="650" t="n"/>
      <c r="Z487" s="650" t="n"/>
      <c r="AA487" s="650" t="n"/>
      <c r="AB487" s="650" t="n"/>
      <c r="AC487" s="613" t="n"/>
      <c r="AD487" s="613" t="n"/>
      <c r="AE487" s="613" t="n"/>
      <c r="AF487" s="613" t="n"/>
      <c r="AG487" s="626" t="n"/>
      <c r="AH487" s="626" t="n"/>
      <c r="AI487" s="626" t="n"/>
      <c r="AJ487" s="626" t="n"/>
      <c r="AK487" s="626" t="n"/>
      <c r="AL487" s="626" t="n"/>
      <c r="AM487" s="626" t="n"/>
      <c r="AN487" s="626" t="n"/>
      <c r="AO487" s="626" t="n"/>
      <c r="AP487" s="369" t="n"/>
      <c r="AQ487" s="369" t="n"/>
      <c r="AR487" s="369" t="n"/>
      <c r="AS487" s="369" t="n"/>
      <c r="AT487" s="370" t="n"/>
      <c r="AU487" s="370" t="n"/>
      <c r="AV487" s="370" t="n"/>
      <c r="AW487" s="370" t="n"/>
      <c r="BJ487">
        <f>O487</f>
        <v/>
      </c>
      <c r="BK487">
        <f>SUM(AG487:AW487)</f>
        <v/>
      </c>
      <c r="BL487" s="531">
        <f>BJ487-BK487</f>
        <v/>
      </c>
      <c r="BM487" s="201" t="n"/>
    </row>
    <row r="488" hidden="1" outlineLevel="1" s="191">
      <c r="P488" s="628" t="n"/>
      <c r="Q488" s="628" t="n"/>
      <c r="R488" s="628" t="n"/>
      <c r="S488" s="628" t="n"/>
      <c r="T488" s="628" t="n"/>
      <c r="U488" s="628" t="n"/>
      <c r="V488" s="628" t="n"/>
      <c r="W488" s="628" t="n"/>
      <c r="X488" s="628" t="n"/>
      <c r="Y488" s="650" t="n"/>
      <c r="Z488" s="650" t="n"/>
      <c r="AA488" s="650" t="n"/>
      <c r="AB488" s="650" t="n"/>
      <c r="AC488" s="613" t="n"/>
      <c r="AD488" s="613" t="n"/>
      <c r="AE488" s="613" t="n"/>
      <c r="AF488" s="613" t="n"/>
      <c r="AG488" s="626" t="n"/>
      <c r="AH488" s="626" t="n"/>
      <c r="AI488" s="626" t="n"/>
      <c r="AJ488" s="626" t="n"/>
      <c r="AK488" s="626" t="n"/>
      <c r="AL488" s="626" t="n"/>
      <c r="AM488" s="626" t="n"/>
      <c r="AN488" s="626" t="n"/>
      <c r="AO488" s="626" t="n"/>
      <c r="AP488" s="369" t="n"/>
      <c r="AQ488" s="369" t="n"/>
      <c r="AR488" s="369" t="n"/>
      <c r="AS488" s="369" t="n"/>
      <c r="AT488" s="370" t="n"/>
      <c r="AU488" s="370" t="n"/>
      <c r="AV488" s="370" t="n"/>
      <c r="AW488" s="370" t="n"/>
      <c r="BJ488">
        <f>O488</f>
        <v/>
      </c>
      <c r="BK488">
        <f>SUM(AG488:AW488)</f>
        <v/>
      </c>
      <c r="BL488" s="531">
        <f>BJ488-BK488</f>
        <v/>
      </c>
      <c r="BM488" s="201" t="n"/>
    </row>
    <row r="489" hidden="1" outlineLevel="1" s="191">
      <c r="P489" s="628" t="n"/>
      <c r="Q489" s="628" t="n"/>
      <c r="R489" s="628" t="n"/>
      <c r="S489" s="628" t="n"/>
      <c r="T489" s="628" t="n"/>
      <c r="U489" s="628" t="n"/>
      <c r="V489" s="628" t="n"/>
      <c r="W489" s="628" t="n"/>
      <c r="X489" s="628" t="n"/>
      <c r="Y489" s="650" t="n"/>
      <c r="Z489" s="650" t="n"/>
      <c r="AA489" s="650" t="n"/>
      <c r="AB489" s="650" t="n"/>
      <c r="AC489" s="613" t="n"/>
      <c r="AD489" s="613" t="n"/>
      <c r="AE489" s="613" t="n"/>
      <c r="AF489" s="613" t="n"/>
      <c r="AG489" s="626" t="n"/>
      <c r="AH489" s="626" t="n"/>
      <c r="AI489" s="626" t="n"/>
      <c r="AJ489" s="626" t="n"/>
      <c r="AK489" s="626" t="n"/>
      <c r="AL489" s="626" t="n"/>
      <c r="AM489" s="626" t="n"/>
      <c r="AN489" s="626" t="n"/>
      <c r="AO489" s="626" t="n"/>
      <c r="AP489" s="369" t="n"/>
      <c r="AQ489" s="369" t="n"/>
      <c r="AR489" s="369" t="n"/>
      <c r="AS489" s="369" t="n"/>
      <c r="AT489" s="370" t="n"/>
      <c r="AU489" s="370" t="n"/>
      <c r="AV489" s="370" t="n"/>
      <c r="AW489" s="370" t="n"/>
      <c r="BJ489">
        <f>O489</f>
        <v/>
      </c>
      <c r="BK489">
        <f>SUM(AG489:AW489)</f>
        <v/>
      </c>
      <c r="BL489" s="531">
        <f>BJ489-BK489</f>
        <v/>
      </c>
      <c r="BM489" s="201" t="n"/>
    </row>
    <row r="490" hidden="1" outlineLevel="1" s="191">
      <c r="P490" s="628" t="n"/>
      <c r="Q490" s="628" t="n"/>
      <c r="R490" s="628" t="n"/>
      <c r="S490" s="628" t="n"/>
      <c r="T490" s="628" t="n"/>
      <c r="U490" s="628" t="n"/>
      <c r="V490" s="628" t="n"/>
      <c r="W490" s="628" t="n"/>
      <c r="X490" s="628" t="n"/>
      <c r="Y490" s="650" t="n"/>
      <c r="Z490" s="650" t="n"/>
      <c r="AA490" s="650" t="n"/>
      <c r="AB490" s="650" t="n"/>
      <c r="AC490" s="613" t="n"/>
      <c r="AD490" s="613" t="n"/>
      <c r="AE490" s="613" t="n"/>
      <c r="AF490" s="613" t="n"/>
      <c r="AG490" s="626" t="n"/>
      <c r="AH490" s="626" t="n"/>
      <c r="AI490" s="626" t="n"/>
      <c r="AJ490" s="626" t="n"/>
      <c r="AK490" s="626" t="n"/>
      <c r="AL490" s="626" t="n"/>
      <c r="AM490" s="626" t="n"/>
      <c r="AN490" s="626" t="n"/>
      <c r="AO490" s="626" t="n"/>
      <c r="AP490" s="369" t="n"/>
      <c r="AQ490" s="369" t="n"/>
      <c r="AR490" s="369" t="n"/>
      <c r="AS490" s="369" t="n"/>
      <c r="AT490" s="370" t="n"/>
      <c r="AU490" s="370" t="n"/>
      <c r="AV490" s="370" t="n"/>
      <c r="AW490" s="370" t="n"/>
      <c r="BJ490">
        <f>O490</f>
        <v/>
      </c>
      <c r="BK490">
        <f>SUM(AG490:AW490)</f>
        <v/>
      </c>
      <c r="BL490" s="531">
        <f>BJ490-BK490</f>
        <v/>
      </c>
      <c r="BM490" s="201" t="n"/>
    </row>
    <row r="491" hidden="1" outlineLevel="1" s="191">
      <c r="P491" s="628" t="n"/>
      <c r="Q491" s="628" t="n"/>
      <c r="R491" s="628" t="n"/>
      <c r="S491" s="628" t="n"/>
      <c r="T491" s="628" t="n"/>
      <c r="U491" s="628" t="n"/>
      <c r="V491" s="628" t="n"/>
      <c r="W491" s="628" t="n"/>
      <c r="X491" s="628" t="n"/>
      <c r="Y491" s="650" t="n"/>
      <c r="Z491" s="650" t="n"/>
      <c r="AA491" s="650" t="n"/>
      <c r="AB491" s="650" t="n"/>
      <c r="AC491" s="613" t="n"/>
      <c r="AD491" s="613" t="n"/>
      <c r="AE491" s="613" t="n"/>
      <c r="AF491" s="613" t="n"/>
      <c r="AG491" s="626" t="n"/>
      <c r="AH491" s="626" t="n"/>
      <c r="AI491" s="626" t="n"/>
      <c r="AJ491" s="626" t="n"/>
      <c r="AK491" s="626" t="n"/>
      <c r="AL491" s="626" t="n"/>
      <c r="AM491" s="626" t="n"/>
      <c r="AN491" s="626" t="n"/>
      <c r="AO491" s="626" t="n"/>
      <c r="AP491" s="369" t="n"/>
      <c r="AQ491" s="369" t="n"/>
      <c r="AR491" s="369" t="n"/>
      <c r="AS491" s="369" t="n"/>
      <c r="AT491" s="370" t="n"/>
      <c r="AU491" s="370" t="n"/>
      <c r="AV491" s="370" t="n"/>
      <c r="AW491" s="370" t="n"/>
      <c r="BJ491">
        <f>O491</f>
        <v/>
      </c>
      <c r="BK491">
        <f>SUM(AG491:AW491)</f>
        <v/>
      </c>
      <c r="BL491" s="531">
        <f>BJ491-BK491</f>
        <v/>
      </c>
      <c r="BM491" s="201" t="n"/>
    </row>
    <row r="492" hidden="1" outlineLevel="1" s="191">
      <c r="P492" s="628" t="n"/>
      <c r="Q492" s="628" t="n"/>
      <c r="R492" s="628" t="n"/>
      <c r="S492" s="628" t="n"/>
      <c r="T492" s="628" t="n"/>
      <c r="U492" s="628" t="n"/>
      <c r="V492" s="628" t="n"/>
      <c r="W492" s="628" t="n"/>
      <c r="X492" s="628" t="n"/>
      <c r="Y492" s="650" t="n"/>
      <c r="Z492" s="650" t="n"/>
      <c r="AA492" s="650" t="n"/>
      <c r="AB492" s="650" t="n"/>
      <c r="AC492" s="613" t="n"/>
      <c r="AD492" s="613" t="n"/>
      <c r="AE492" s="613" t="n"/>
      <c r="AF492" s="613" t="n"/>
      <c r="AG492" s="626" t="n"/>
      <c r="AH492" s="626" t="n"/>
      <c r="AI492" s="626" t="n"/>
      <c r="AJ492" s="626" t="n"/>
      <c r="AK492" s="626" t="n"/>
      <c r="AL492" s="626" t="n"/>
      <c r="AM492" s="626" t="n"/>
      <c r="AN492" s="626" t="n"/>
      <c r="AO492" s="626" t="n"/>
      <c r="AP492" s="369" t="n"/>
      <c r="AQ492" s="369" t="n"/>
      <c r="AR492" s="369" t="n"/>
      <c r="AS492" s="369" t="n"/>
      <c r="AT492" s="370" t="n"/>
      <c r="AU492" s="370" t="n"/>
      <c r="AV492" s="370" t="n"/>
      <c r="AW492" s="370" t="n"/>
      <c r="BJ492">
        <f>O492</f>
        <v/>
      </c>
      <c r="BK492">
        <f>SUM(AG492:AW492)</f>
        <v/>
      </c>
      <c r="BL492" s="531">
        <f>BJ492-BK492</f>
        <v/>
      </c>
      <c r="BM492" s="201" t="n"/>
    </row>
    <row r="493" hidden="1" outlineLevel="1" s="191">
      <c r="P493" s="628" t="n"/>
      <c r="Q493" s="628" t="n"/>
      <c r="R493" s="628" t="n"/>
      <c r="S493" s="628" t="n"/>
      <c r="T493" s="628" t="n"/>
      <c r="U493" s="628" t="n"/>
      <c r="V493" s="628" t="n"/>
      <c r="W493" s="628" t="n"/>
      <c r="X493" s="628" t="n"/>
      <c r="Y493" s="650" t="n"/>
      <c r="Z493" s="650" t="n"/>
      <c r="AA493" s="650" t="n"/>
      <c r="AB493" s="650" t="n"/>
      <c r="AC493" s="613" t="n"/>
      <c r="AD493" s="613" t="n"/>
      <c r="AE493" s="613" t="n"/>
      <c r="AF493" s="613" t="n"/>
      <c r="AG493" s="626" t="n"/>
      <c r="AH493" s="626" t="n"/>
      <c r="AI493" s="626" t="n"/>
      <c r="AJ493" s="626" t="n"/>
      <c r="AK493" s="626" t="n"/>
      <c r="AL493" s="626" t="n"/>
      <c r="AM493" s="626" t="n"/>
      <c r="AN493" s="626" t="n"/>
      <c r="AO493" s="626" t="n"/>
      <c r="AP493" s="369" t="n"/>
      <c r="AQ493" s="369" t="n"/>
      <c r="AR493" s="369" t="n"/>
      <c r="AS493" s="369" t="n"/>
      <c r="AT493" s="370" t="n"/>
      <c r="AU493" s="370" t="n"/>
      <c r="AV493" s="370" t="n"/>
      <c r="AW493" s="370" t="n"/>
      <c r="BJ493">
        <f>O493</f>
        <v/>
      </c>
      <c r="BK493">
        <f>SUM(AG493:AW493)</f>
        <v/>
      </c>
      <c r="BL493" s="531">
        <f>BJ493-BK493</f>
        <v/>
      </c>
      <c r="BM493" s="201" t="n"/>
    </row>
    <row r="494" hidden="1" outlineLevel="1" s="191">
      <c r="P494" s="628" t="n"/>
      <c r="Q494" s="628" t="n"/>
      <c r="R494" s="628" t="n"/>
      <c r="S494" s="628" t="n"/>
      <c r="T494" s="628" t="n"/>
      <c r="U494" s="628" t="n"/>
      <c r="V494" s="628" t="n"/>
      <c r="W494" s="628" t="n"/>
      <c r="X494" s="628" t="n"/>
      <c r="Y494" s="650" t="n"/>
      <c r="Z494" s="650" t="n"/>
      <c r="AA494" s="650" t="n"/>
      <c r="AB494" s="650" t="n"/>
      <c r="AC494" s="613" t="n"/>
      <c r="AD494" s="613" t="n"/>
      <c r="AE494" s="613" t="n"/>
      <c r="AF494" s="613" t="n"/>
      <c r="AG494" s="626" t="n"/>
      <c r="AH494" s="626" t="n"/>
      <c r="AI494" s="626" t="n"/>
      <c r="AJ494" s="626" t="n"/>
      <c r="AK494" s="626" t="n"/>
      <c r="AL494" s="626" t="n"/>
      <c r="AM494" s="626" t="n"/>
      <c r="AN494" s="626" t="n"/>
      <c r="AO494" s="626" t="n"/>
      <c r="AP494" s="369" t="n"/>
      <c r="AQ494" s="369" t="n"/>
      <c r="AR494" s="369" t="n"/>
      <c r="AS494" s="369" t="n"/>
      <c r="AT494" s="370" t="n"/>
      <c r="AU494" s="370" t="n"/>
      <c r="AV494" s="370" t="n"/>
      <c r="AW494" s="370" t="n"/>
      <c r="BJ494">
        <f>O494</f>
        <v/>
      </c>
      <c r="BK494">
        <f>SUM(AG494:AW494)</f>
        <v/>
      </c>
      <c r="BL494" s="531">
        <f>BJ494-BK494</f>
        <v/>
      </c>
      <c r="BM494" s="201" t="n"/>
    </row>
    <row r="495" hidden="1" outlineLevel="1" s="191">
      <c r="P495" s="628" t="n"/>
      <c r="Q495" s="628" t="n"/>
      <c r="R495" s="628" t="n"/>
      <c r="S495" s="628" t="n"/>
      <c r="T495" s="628" t="n"/>
      <c r="U495" s="628" t="n"/>
      <c r="V495" s="628" t="n"/>
      <c r="W495" s="628" t="n"/>
      <c r="X495" s="628" t="n"/>
      <c r="Y495" s="650" t="n"/>
      <c r="Z495" s="650" t="n"/>
      <c r="AA495" s="650" t="n"/>
      <c r="AB495" s="650" t="n"/>
      <c r="AC495" s="613" t="n"/>
      <c r="AD495" s="613" t="n"/>
      <c r="AE495" s="613" t="n"/>
      <c r="AF495" s="613" t="n"/>
      <c r="AG495" s="626" t="n"/>
      <c r="AH495" s="626" t="n"/>
      <c r="AI495" s="626" t="n"/>
      <c r="AJ495" s="626" t="n"/>
      <c r="AK495" s="626" t="n"/>
      <c r="AL495" s="626" t="n"/>
      <c r="AM495" s="626" t="n"/>
      <c r="AN495" s="626" t="n"/>
      <c r="AO495" s="626" t="n"/>
      <c r="AP495" s="369" t="n"/>
      <c r="AQ495" s="369" t="n"/>
      <c r="AR495" s="369" t="n"/>
      <c r="AS495" s="369" t="n"/>
      <c r="AT495" s="370" t="n"/>
      <c r="AU495" s="370" t="n"/>
      <c r="AV495" s="370" t="n"/>
      <c r="AW495" s="370" t="n"/>
      <c r="BJ495">
        <f>O495</f>
        <v/>
      </c>
      <c r="BK495">
        <f>SUM(AG495:AW495)</f>
        <v/>
      </c>
      <c r="BL495" s="531">
        <f>BJ495-BK495</f>
        <v/>
      </c>
      <c r="BM495" s="201" t="n"/>
    </row>
    <row r="496" hidden="1" outlineLevel="1" s="191">
      <c r="P496" s="628" t="n"/>
      <c r="Q496" s="628" t="n"/>
      <c r="R496" s="628" t="n"/>
      <c r="S496" s="628" t="n"/>
      <c r="T496" s="628" t="n"/>
      <c r="U496" s="628" t="n"/>
      <c r="V496" s="628" t="n"/>
      <c r="W496" s="628" t="n"/>
      <c r="X496" s="628" t="n"/>
      <c r="Y496" s="650" t="n"/>
      <c r="Z496" s="650" t="n"/>
      <c r="AA496" s="650" t="n"/>
      <c r="AB496" s="650" t="n"/>
      <c r="AC496" s="613" t="n"/>
      <c r="AD496" s="613" t="n"/>
      <c r="AE496" s="613" t="n"/>
      <c r="AF496" s="613" t="n"/>
      <c r="AG496" s="626" t="n"/>
      <c r="AH496" s="626" t="n"/>
      <c r="AI496" s="626" t="n"/>
      <c r="AJ496" s="626" t="n"/>
      <c r="AK496" s="626" t="n"/>
      <c r="AL496" s="626" t="n"/>
      <c r="AM496" s="626" t="n"/>
      <c r="AN496" s="626" t="n"/>
      <c r="AO496" s="626" t="n"/>
      <c r="AP496" s="369" t="n"/>
      <c r="AQ496" s="369" t="n"/>
      <c r="AR496" s="369" t="n"/>
      <c r="AS496" s="369" t="n"/>
      <c r="AT496" s="370" t="n"/>
      <c r="AU496" s="370" t="n"/>
      <c r="AV496" s="370" t="n"/>
      <c r="AW496" s="370" t="n"/>
      <c r="BJ496">
        <f>O496</f>
        <v/>
      </c>
      <c r="BK496">
        <f>SUM(AG496:AW496)</f>
        <v/>
      </c>
      <c r="BL496" s="531">
        <f>BJ496-BK496</f>
        <v/>
      </c>
      <c r="BM496" s="201" t="n"/>
    </row>
    <row r="497" hidden="1" outlineLevel="1" s="191">
      <c r="P497" s="628" t="n"/>
      <c r="Q497" s="628" t="n"/>
      <c r="R497" s="628" t="n"/>
      <c r="S497" s="628" t="n"/>
      <c r="T497" s="628" t="n"/>
      <c r="U497" s="628" t="n"/>
      <c r="V497" s="628" t="n"/>
      <c r="W497" s="628" t="n"/>
      <c r="X497" s="628" t="n"/>
      <c r="Y497" s="650" t="n"/>
      <c r="Z497" s="650" t="n"/>
      <c r="AA497" s="650" t="n"/>
      <c r="AB497" s="650" t="n"/>
      <c r="AC497" s="613" t="n"/>
      <c r="AD497" s="613" t="n"/>
      <c r="AE497" s="613" t="n"/>
      <c r="AF497" s="613" t="n"/>
      <c r="AG497" s="626" t="n"/>
      <c r="AH497" s="626" t="n"/>
      <c r="AI497" s="626" t="n"/>
      <c r="AJ497" s="626" t="n"/>
      <c r="AK497" s="626" t="n"/>
      <c r="AL497" s="626" t="n"/>
      <c r="AM497" s="626" t="n"/>
      <c r="AN497" s="626" t="n"/>
      <c r="AO497" s="626" t="n"/>
      <c r="AP497" s="369" t="n"/>
      <c r="AQ497" s="369" t="n"/>
      <c r="AR497" s="369" t="n"/>
      <c r="AS497" s="369" t="n"/>
      <c r="AT497" s="370" t="n"/>
      <c r="AU497" s="370" t="n"/>
      <c r="AV497" s="370" t="n"/>
      <c r="AW497" s="370" t="n"/>
      <c r="BJ497">
        <f>O497</f>
        <v/>
      </c>
      <c r="BK497">
        <f>SUM(AG497:AW497)</f>
        <v/>
      </c>
      <c r="BL497" s="531">
        <f>BJ497-BK497</f>
        <v/>
      </c>
      <c r="BM497" s="201" t="n"/>
    </row>
    <row r="498" hidden="1" outlineLevel="1" s="191">
      <c r="A498" s="264">
        <f>A400</f>
        <v/>
      </c>
      <c r="P498" s="628" t="n"/>
      <c r="Q498" s="628" t="n"/>
      <c r="R498" s="628" t="n"/>
      <c r="S498" s="628" t="n"/>
      <c r="T498" s="628" t="n"/>
      <c r="U498" s="628" t="n"/>
      <c r="V498" s="628" t="n"/>
      <c r="W498" s="628" t="n"/>
      <c r="X498" s="628" t="n"/>
      <c r="Y498" s="650" t="n"/>
      <c r="Z498" s="650" t="n"/>
      <c r="AA498" s="650" t="n"/>
      <c r="AB498" s="650" t="n"/>
      <c r="AC498" s="613" t="n"/>
      <c r="AD498" s="613" t="n"/>
      <c r="AE498" s="613" t="n"/>
      <c r="AF498" s="613" t="n"/>
      <c r="AG498" s="626" t="n"/>
      <c r="AH498" s="626" t="n"/>
      <c r="AI498" s="626" t="n"/>
      <c r="AJ498" s="626" t="n"/>
      <c r="AK498" s="626" t="n"/>
      <c r="AL498" s="626" t="n"/>
      <c r="AM498" s="626" t="n"/>
      <c r="AN498" s="626" t="n"/>
      <c r="AO498" s="626" t="n"/>
      <c r="AP498" s="369" t="n"/>
      <c r="AQ498" s="369" t="n"/>
      <c r="AR498" s="369" t="n"/>
      <c r="AS498" s="369" t="n"/>
      <c r="AT498" s="370" t="n"/>
      <c r="AU498" s="370" t="n"/>
      <c r="AV498" s="370" t="n"/>
      <c r="AW498" s="370" t="n"/>
      <c r="BJ498">
        <f>O498</f>
        <v/>
      </c>
      <c r="BK498">
        <f>SUM(AG498:AW498)</f>
        <v/>
      </c>
      <c r="BL498" s="531">
        <f>BJ498-BK498</f>
        <v/>
      </c>
      <c r="BM498" s="201" t="n"/>
    </row>
    <row r="499" collapsed="1" s="191">
      <c r="P499" s="628" t="n"/>
      <c r="Q499" s="628" t="n"/>
      <c r="R499" s="628" t="n"/>
      <c r="S499" s="628" t="n"/>
      <c r="T499" s="628" t="n"/>
      <c r="U499" s="628" t="n"/>
      <c r="V499" s="628" t="n"/>
      <c r="W499" s="628" t="n"/>
      <c r="X499" s="628" t="n"/>
      <c r="Y499" s="650" t="n"/>
      <c r="Z499" s="650" t="n"/>
      <c r="AA499" s="650" t="n"/>
      <c r="AB499" s="650" t="n"/>
      <c r="AC499" s="613" t="n"/>
      <c r="AD499" s="613" t="n"/>
      <c r="AE499" s="613" t="n"/>
      <c r="AF499" s="613" t="n"/>
      <c r="AG499" s="626" t="n"/>
      <c r="AH499" s="626" t="n"/>
      <c r="AI499" s="626" t="n"/>
      <c r="AJ499" s="626" t="n"/>
      <c r="AK499" s="626" t="n"/>
      <c r="AL499" s="626" t="n"/>
      <c r="AM499" s="626" t="n"/>
      <c r="AN499" s="626" t="n"/>
      <c r="AO499" s="626" t="n"/>
      <c r="AP499" s="369" t="n"/>
      <c r="AQ499" s="369" t="n"/>
      <c r="AR499" s="369" t="n"/>
      <c r="AS499" s="369" t="n"/>
      <c r="AT499" s="370" t="n"/>
      <c r="AU499" s="370" t="n"/>
      <c r="AV499" s="370" t="n"/>
      <c r="AW499" s="370" t="n"/>
      <c r="BJ499">
        <f>O499</f>
        <v/>
      </c>
      <c r="BK499">
        <f>SUM(AG499:AW499)</f>
        <v/>
      </c>
      <c r="BL499" s="531">
        <f>BJ499-BK499</f>
        <v/>
      </c>
      <c r="BM499" s="201">
        <f>SUM(BL500:BL598)</f>
        <v/>
      </c>
    </row>
    <row r="500" ht="15.6" customHeight="1" s="191">
      <c r="A500" s="259">
        <f>V_Model_CB!A3</f>
        <v/>
      </c>
      <c r="B500" s="260" t="n"/>
      <c r="C500" s="261" t="n"/>
      <c r="D500" s="276" t="n"/>
      <c r="E500" s="277">
        <f>VLOOKUP(A500,Listy!A:C,2,FALSE) &amp; "   :  " &amp; VLOOKUP(A500,Listy!A:C,3,FALSE)</f>
        <v/>
      </c>
      <c r="F500" s="538" t="n"/>
      <c r="P500" s="628" t="n"/>
      <c r="Q500" s="628" t="n"/>
      <c r="R500" s="628" t="n"/>
      <c r="S500" s="628" t="n"/>
      <c r="T500" s="628" t="n"/>
      <c r="U500" s="628" t="n"/>
      <c r="V500" s="628" t="n"/>
      <c r="W500" s="628" t="n"/>
      <c r="X500" s="628" t="n"/>
      <c r="Y500" s="650" t="n"/>
      <c r="Z500" s="650" t="n"/>
      <c r="AA500" s="650" t="n"/>
      <c r="AB500" s="650" t="n"/>
      <c r="AC500" s="613" t="n"/>
      <c r="AD500" s="613" t="n"/>
      <c r="AE500" s="613" t="n"/>
      <c r="AF500" s="613" t="n"/>
      <c r="AG500" s="626" t="n"/>
      <c r="AH500" s="626" t="n"/>
      <c r="AI500" s="626" t="n"/>
      <c r="AJ500" s="626" t="n"/>
      <c r="AK500" s="626" t="n"/>
      <c r="AL500" s="626" t="n"/>
      <c r="AM500" s="626" t="n"/>
      <c r="AN500" s="626" t="n"/>
      <c r="AO500" s="626" t="n"/>
      <c r="AP500" s="369" t="n"/>
      <c r="AQ500" s="369" t="n"/>
      <c r="AR500" s="369" t="n"/>
      <c r="AS500" s="369" t="n"/>
      <c r="AT500" s="370" t="n"/>
      <c r="AU500" s="370" t="n"/>
      <c r="AV500" s="370" t="n"/>
      <c r="AW500" s="370" t="n"/>
      <c r="BJ500">
        <f>O500</f>
        <v/>
      </c>
      <c r="BK500">
        <f>SUM(AG500:AW500)</f>
        <v/>
      </c>
      <c r="BL500" s="531">
        <f>BJ500-BK500</f>
        <v/>
      </c>
      <c r="BM500" s="201">
        <f>SUM(BL501:BL599)</f>
        <v/>
      </c>
    </row>
    <row r="501" hidden="1" outlineLevel="1" s="191">
      <c r="A501">
        <f>V_Model_CB!A4</f>
        <v/>
      </c>
      <c r="B501">
        <f>V_Model_CB!B4</f>
        <v/>
      </c>
      <c r="C501">
        <f>V_Model_CB!C4</f>
        <v/>
      </c>
      <c r="D501">
        <f>V_Model_CB!D4</f>
        <v/>
      </c>
      <c r="E501">
        <f>V_Model_CB!E4</f>
        <v/>
      </c>
      <c r="F501">
        <f>V_Model_CB!F4</f>
        <v/>
      </c>
      <c r="G501">
        <f>V_Model_CB!G4</f>
        <v/>
      </c>
      <c r="H501">
        <f>V_Model_CB!H4</f>
        <v/>
      </c>
      <c r="I501">
        <f>V_Model_CB!I4</f>
        <v/>
      </c>
      <c r="J501">
        <f>V_Model_CB!J4</f>
        <v/>
      </c>
      <c r="K501">
        <f>V_Model_CB!K4</f>
        <v/>
      </c>
      <c r="L501">
        <f>V_Model_CB!L4</f>
        <v/>
      </c>
      <c r="M501">
        <f>V_Model_CB!M4</f>
        <v/>
      </c>
      <c r="N501">
        <f>V_Model_CB!N4</f>
        <v/>
      </c>
      <c r="O501">
        <f>V_Model_CB!O4</f>
        <v/>
      </c>
      <c r="P501" s="628">
        <f>V_Model_CB!P4</f>
        <v/>
      </c>
      <c r="Q501" s="628">
        <f>V_Model_CB!Q4</f>
        <v/>
      </c>
      <c r="R501" s="628">
        <f>V_Model_CB!R4</f>
        <v/>
      </c>
      <c r="S501" s="628">
        <f>V_Model_CB!S4</f>
        <v/>
      </c>
      <c r="T501" s="628">
        <f>V_Model_CB!T4</f>
        <v/>
      </c>
      <c r="U501" s="628">
        <f>V_Model_CB!U4</f>
        <v/>
      </c>
      <c r="V501" s="628">
        <f>V_Model_CB!V4</f>
        <v/>
      </c>
      <c r="W501" s="628">
        <f>V_Model_CB!W4</f>
        <v/>
      </c>
      <c r="X501" s="628">
        <f>V_Model_CB!X4</f>
        <v/>
      </c>
      <c r="Y501" s="650">
        <f>V_Model_CB!Y4</f>
        <v/>
      </c>
      <c r="Z501" s="650">
        <f>V_Model_CB!Z4</f>
        <v/>
      </c>
      <c r="AA501" s="650">
        <f>V_Model_CB!AA4</f>
        <v/>
      </c>
      <c r="AB501" s="650">
        <f>V_Model_CB!AB4</f>
        <v/>
      </c>
      <c r="AC501" s="613">
        <f>V_Model_CB!AC4</f>
        <v/>
      </c>
      <c r="AD501" s="613">
        <f>V_Model_CB!AD4</f>
        <v/>
      </c>
      <c r="AE501" s="613">
        <f>V_Model_CB!AE4</f>
        <v/>
      </c>
      <c r="AF501" s="613">
        <f>V_Model_CB!AF4</f>
        <v/>
      </c>
      <c r="AG501" s="626">
        <f>V_Model_CB!AG4</f>
        <v/>
      </c>
      <c r="AH501" s="626">
        <f>V_Model_CB!AH4</f>
        <v/>
      </c>
      <c r="AI501" s="626">
        <f>V_Model_CB!AI4</f>
        <v/>
      </c>
      <c r="AJ501" s="626">
        <f>V_Model_CB!AJ4</f>
        <v/>
      </c>
      <c r="AK501" s="626">
        <f>V_Model_CB!AK4</f>
        <v/>
      </c>
      <c r="AL501" s="626">
        <f>V_Model_CB!AL4</f>
        <v/>
      </c>
      <c r="AM501" s="626">
        <f>V_Model_CB!AM4</f>
        <v/>
      </c>
      <c r="AN501" s="626">
        <f>V_Model_CB!AN4</f>
        <v/>
      </c>
      <c r="AO501" s="626">
        <f>V_Model_CB!AO4</f>
        <v/>
      </c>
      <c r="AP501" s="369">
        <f>V_Model_CB!AP4</f>
        <v/>
      </c>
      <c r="AQ501" s="369">
        <f>V_Model_CB!AQ4</f>
        <v/>
      </c>
      <c r="AR501" s="369">
        <f>V_Model_CB!AR4</f>
        <v/>
      </c>
      <c r="AS501" s="369">
        <f>V_Model_CB!AS4</f>
        <v/>
      </c>
      <c r="AT501" s="370">
        <f>V_Model_CB!AT4</f>
        <v/>
      </c>
      <c r="AU501" s="370">
        <f>V_Model_CB!AU4</f>
        <v/>
      </c>
      <c r="AV501" s="370">
        <f>V_Model_CB!AV4</f>
        <v/>
      </c>
      <c r="AW501" s="370">
        <f>V_Model_CB!AW4</f>
        <v/>
      </c>
      <c r="AX501">
        <f>V_Model_CB!AX4</f>
        <v/>
      </c>
      <c r="AY501">
        <f>V_Model_CB!AY4</f>
        <v/>
      </c>
      <c r="AZ501">
        <f>V_Model_CB!AZ4</f>
        <v/>
      </c>
      <c r="BA501">
        <f>V_Model_CB!BA4</f>
        <v/>
      </c>
      <c r="BB501">
        <f>V_Model_CB!BB4</f>
        <v/>
      </c>
      <c r="BC501">
        <f>V_Model_CB!BC4</f>
        <v/>
      </c>
      <c r="BD501">
        <f>V_Model_CB!BD4</f>
        <v/>
      </c>
      <c r="BE501">
        <f>V_Model_CB!BE4</f>
        <v/>
      </c>
      <c r="BF501">
        <f>V_Model_CB!BF4</f>
        <v/>
      </c>
      <c r="BG501">
        <f>V_Model_CB!BG4</f>
        <v/>
      </c>
      <c r="BH501">
        <f>V_Model_CB!BH4</f>
        <v/>
      </c>
      <c r="BI501">
        <f>V_Model_CB!BI4</f>
        <v/>
      </c>
      <c r="BJ501">
        <f>O501</f>
        <v/>
      </c>
      <c r="BK501">
        <f>SUM(AG501:AW501)</f>
        <v/>
      </c>
      <c r="BL501" s="531">
        <f>BJ501-BK501</f>
        <v/>
      </c>
      <c r="BM501" s="201" t="n"/>
    </row>
    <row r="502" hidden="1" outlineLevel="1" s="191">
      <c r="A502">
        <f>V_Model_CB!A5</f>
        <v/>
      </c>
      <c r="B502">
        <f>V_Model_CB!B5</f>
        <v/>
      </c>
      <c r="C502">
        <f>V_Model_CB!C5</f>
        <v/>
      </c>
      <c r="D502">
        <f>V_Model_CB!D5</f>
        <v/>
      </c>
      <c r="E502">
        <f>V_Model_CB!E5</f>
        <v/>
      </c>
      <c r="F502">
        <f>V_Model_CB!F5</f>
        <v/>
      </c>
      <c r="G502">
        <f>V_Model_CB!G5</f>
        <v/>
      </c>
      <c r="H502">
        <f>V_Model_CB!H5</f>
        <v/>
      </c>
      <c r="I502">
        <f>V_Model_CB!I5</f>
        <v/>
      </c>
      <c r="J502">
        <f>V_Model_CB!J5</f>
        <v/>
      </c>
      <c r="K502">
        <f>V_Model_CB!K5</f>
        <v/>
      </c>
      <c r="L502">
        <f>V_Model_CB!L5</f>
        <v/>
      </c>
      <c r="M502">
        <f>V_Model_CB!M5</f>
        <v/>
      </c>
      <c r="N502">
        <f>V_Model_CB!N5</f>
        <v/>
      </c>
      <c r="O502">
        <f>V_Model_CB!O5</f>
        <v/>
      </c>
      <c r="P502" s="628">
        <f>V_Model_CB!P5</f>
        <v/>
      </c>
      <c r="Q502" s="628">
        <f>V_Model_CB!Q5</f>
        <v/>
      </c>
      <c r="R502" s="628">
        <f>V_Model_CB!R5</f>
        <v/>
      </c>
      <c r="S502" s="628">
        <f>V_Model_CB!S5</f>
        <v/>
      </c>
      <c r="T502" s="628">
        <f>V_Model_CB!T5</f>
        <v/>
      </c>
      <c r="U502" s="628">
        <f>V_Model_CB!U5</f>
        <v/>
      </c>
      <c r="V502" s="628">
        <f>V_Model_CB!V5</f>
        <v/>
      </c>
      <c r="W502" s="628">
        <f>V_Model_CB!W5</f>
        <v/>
      </c>
      <c r="X502" s="628">
        <f>V_Model_CB!X5</f>
        <v/>
      </c>
      <c r="Y502" s="650">
        <f>V_Model_CB!Y5</f>
        <v/>
      </c>
      <c r="Z502" s="650">
        <f>V_Model_CB!Z5</f>
        <v/>
      </c>
      <c r="AA502" s="650">
        <f>V_Model_CB!AA5</f>
        <v/>
      </c>
      <c r="AB502" s="650">
        <f>V_Model_CB!AB5</f>
        <v/>
      </c>
      <c r="AC502" s="613">
        <f>V_Model_CB!AC5</f>
        <v/>
      </c>
      <c r="AD502" s="613">
        <f>V_Model_CB!AD5</f>
        <v/>
      </c>
      <c r="AE502" s="613">
        <f>V_Model_CB!AE5</f>
        <v/>
      </c>
      <c r="AF502" s="613">
        <f>V_Model_CB!AF5</f>
        <v/>
      </c>
      <c r="AG502" s="626">
        <f>V_Model_CB!AG5</f>
        <v/>
      </c>
      <c r="AH502" s="626">
        <f>V_Model_CB!AH5</f>
        <v/>
      </c>
      <c r="AI502" s="626">
        <f>V_Model_CB!AI5</f>
        <v/>
      </c>
      <c r="AJ502" s="626">
        <f>V_Model_CB!AJ5</f>
        <v/>
      </c>
      <c r="AK502" s="626">
        <f>V_Model_CB!AK5</f>
        <v/>
      </c>
      <c r="AL502" s="626">
        <f>V_Model_CB!AL5</f>
        <v/>
      </c>
      <c r="AM502" s="626">
        <f>V_Model_CB!AM5</f>
        <v/>
      </c>
      <c r="AN502" s="626">
        <f>V_Model_CB!AN5</f>
        <v/>
      </c>
      <c r="AO502" s="626">
        <f>V_Model_CB!AO5</f>
        <v/>
      </c>
      <c r="AP502" s="369">
        <f>V_Model_CB!AP5</f>
        <v/>
      </c>
      <c r="AQ502" s="369">
        <f>V_Model_CB!AQ5</f>
        <v/>
      </c>
      <c r="AR502" s="369">
        <f>V_Model_CB!AR5</f>
        <v/>
      </c>
      <c r="AS502" s="369">
        <f>V_Model_CB!AS5</f>
        <v/>
      </c>
      <c r="AT502" s="370">
        <f>V_Model_CB!AT5</f>
        <v/>
      </c>
      <c r="AU502" s="370">
        <f>V_Model_CB!AU5</f>
        <v/>
      </c>
      <c r="AV502" s="370">
        <f>V_Model_CB!AV5</f>
        <v/>
      </c>
      <c r="AW502" s="370">
        <f>V_Model_CB!AW5</f>
        <v/>
      </c>
      <c r="AX502">
        <f>V_Model_CB!AX5</f>
        <v/>
      </c>
      <c r="AY502">
        <f>V_Model_CB!AY5</f>
        <v/>
      </c>
      <c r="AZ502">
        <f>V_Model_CB!AZ5</f>
        <v/>
      </c>
      <c r="BA502">
        <f>V_Model_CB!BA5</f>
        <v/>
      </c>
      <c r="BB502">
        <f>V_Model_CB!BB5</f>
        <v/>
      </c>
      <c r="BC502">
        <f>V_Model_CB!BC5</f>
        <v/>
      </c>
      <c r="BD502">
        <f>V_Model_CB!BD5</f>
        <v/>
      </c>
      <c r="BE502">
        <f>V_Model_CB!BE5</f>
        <v/>
      </c>
      <c r="BF502">
        <f>V_Model_CB!BF5</f>
        <v/>
      </c>
      <c r="BG502">
        <f>V_Model_CB!BG5</f>
        <v/>
      </c>
      <c r="BH502">
        <f>V_Model_CB!BH5</f>
        <v/>
      </c>
      <c r="BI502">
        <f>V_Model_CB!BI5</f>
        <v/>
      </c>
      <c r="BJ502">
        <f>O502</f>
        <v/>
      </c>
      <c r="BK502">
        <f>SUM(AG502:AW502)</f>
        <v/>
      </c>
      <c r="BL502" s="531">
        <f>BJ502-BK502</f>
        <v/>
      </c>
      <c r="BM502" s="201" t="n"/>
    </row>
    <row r="503" hidden="1" outlineLevel="1" s="191">
      <c r="A503">
        <f>V_Model_CB!A6</f>
        <v/>
      </c>
      <c r="B503">
        <f>V_Model_CB!B6</f>
        <v/>
      </c>
      <c r="C503">
        <f>V_Model_CB!C6</f>
        <v/>
      </c>
      <c r="D503">
        <f>V_Model_CB!D6</f>
        <v/>
      </c>
      <c r="E503">
        <f>V_Model_CB!E6</f>
        <v/>
      </c>
      <c r="F503">
        <f>V_Model_CB!F6</f>
        <v/>
      </c>
      <c r="G503">
        <f>V_Model_CB!G6</f>
        <v/>
      </c>
      <c r="H503">
        <f>V_Model_CB!H6</f>
        <v/>
      </c>
      <c r="I503">
        <f>V_Model_CB!I6</f>
        <v/>
      </c>
      <c r="J503">
        <f>V_Model_CB!J6</f>
        <v/>
      </c>
      <c r="K503" s="672">
        <f>V_Model_CB!K6</f>
        <v/>
      </c>
      <c r="L503" s="672">
        <f>V_Model_CB!L6</f>
        <v/>
      </c>
      <c r="M503">
        <f>V_Model_CB!M6</f>
        <v/>
      </c>
      <c r="N503">
        <f>V_Model_CB!N6</f>
        <v/>
      </c>
      <c r="O503">
        <f>V_Model_CB!O6</f>
        <v/>
      </c>
      <c r="P503" s="628">
        <f>V_Model_CB!P6</f>
        <v/>
      </c>
      <c r="Q503" s="628">
        <f>V_Model_CB!Q6</f>
        <v/>
      </c>
      <c r="R503" s="628">
        <f>V_Model_CB!R6</f>
        <v/>
      </c>
      <c r="S503" s="628">
        <f>V_Model_CB!S6</f>
        <v/>
      </c>
      <c r="T503" s="628">
        <f>V_Model_CB!T6</f>
        <v/>
      </c>
      <c r="U503" s="628">
        <f>V_Model_CB!U6</f>
        <v/>
      </c>
      <c r="V503" s="628">
        <f>V_Model_CB!V6</f>
        <v/>
      </c>
      <c r="W503" s="628">
        <f>V_Model_CB!W6</f>
        <v/>
      </c>
      <c r="X503" s="628">
        <f>V_Model_CB!X6</f>
        <v/>
      </c>
      <c r="Y503" s="650">
        <f>V_Model_CB!Y6</f>
        <v/>
      </c>
      <c r="Z503" s="650">
        <f>V_Model_CB!Z6</f>
        <v/>
      </c>
      <c r="AA503" s="650">
        <f>V_Model_CB!AA6</f>
        <v/>
      </c>
      <c r="AB503" s="650">
        <f>V_Model_CB!AB6</f>
        <v/>
      </c>
      <c r="AC503" s="613">
        <f>V_Model_CB!AC6</f>
        <v/>
      </c>
      <c r="AD503" s="613">
        <f>V_Model_CB!AD6</f>
        <v/>
      </c>
      <c r="AE503" s="613">
        <f>V_Model_CB!AE6</f>
        <v/>
      </c>
      <c r="AF503" s="613">
        <f>V_Model_CB!AF6</f>
        <v/>
      </c>
      <c r="AG503" s="626">
        <f>V_Model_CB!AG6</f>
        <v/>
      </c>
      <c r="AH503" s="626">
        <f>V_Model_CB!AH6</f>
        <v/>
      </c>
      <c r="AI503" s="626">
        <f>V_Model_CB!AI6</f>
        <v/>
      </c>
      <c r="AJ503" s="626">
        <f>V_Model_CB!AJ6</f>
        <v/>
      </c>
      <c r="AK503" s="626">
        <f>V_Model_CB!AK6</f>
        <v/>
      </c>
      <c r="AL503" s="626">
        <f>V_Model_CB!AL6</f>
        <v/>
      </c>
      <c r="AM503" s="626">
        <f>V_Model_CB!AM6</f>
        <v/>
      </c>
      <c r="AN503" s="626">
        <f>V_Model_CB!AN6</f>
        <v/>
      </c>
      <c r="AO503" s="626">
        <f>V_Model_CB!AO6</f>
        <v/>
      </c>
      <c r="AP503" s="369">
        <f>V_Model_CB!AP6</f>
        <v/>
      </c>
      <c r="AQ503" s="369">
        <f>V_Model_CB!AQ6</f>
        <v/>
      </c>
      <c r="AR503" s="369">
        <f>V_Model_CB!AR6</f>
        <v/>
      </c>
      <c r="AS503" s="369">
        <f>V_Model_CB!AS6</f>
        <v/>
      </c>
      <c r="AT503" s="370">
        <f>V_Model_CB!AT6</f>
        <v/>
      </c>
      <c r="AU503" s="370">
        <f>V_Model_CB!AU6</f>
        <v/>
      </c>
      <c r="AV503" s="370">
        <f>V_Model_CB!AV6</f>
        <v/>
      </c>
      <c r="AW503" s="370">
        <f>V_Model_CB!AW6</f>
        <v/>
      </c>
      <c r="AX503">
        <f>V_Model_CB!AX6</f>
        <v/>
      </c>
      <c r="AY503">
        <f>V_Model_CB!AY6</f>
        <v/>
      </c>
      <c r="AZ503">
        <f>V_Model_CB!AZ6</f>
        <v/>
      </c>
      <c r="BA503">
        <f>V_Model_CB!BA6</f>
        <v/>
      </c>
      <c r="BB503">
        <f>V_Model_CB!BB6</f>
        <v/>
      </c>
      <c r="BC503">
        <f>V_Model_CB!BC6</f>
        <v/>
      </c>
      <c r="BD503">
        <f>V_Model_CB!BD6</f>
        <v/>
      </c>
      <c r="BE503">
        <f>V_Model_CB!BE6</f>
        <v/>
      </c>
      <c r="BF503">
        <f>V_Model_CB!BF6</f>
        <v/>
      </c>
      <c r="BG503">
        <f>V_Model_CB!BG6</f>
        <v/>
      </c>
      <c r="BH503">
        <f>V_Model_CB!BH6</f>
        <v/>
      </c>
      <c r="BI503">
        <f>V_Model_CB!BI6</f>
        <v/>
      </c>
      <c r="BJ503">
        <f>O503</f>
        <v/>
      </c>
      <c r="BK503">
        <f>SUM(AG503:AW503)</f>
        <v/>
      </c>
      <c r="BL503" s="531">
        <f>BJ503-BK503</f>
        <v/>
      </c>
      <c r="BM503" s="201" t="n"/>
    </row>
    <row r="504" hidden="1" outlineLevel="1" s="191">
      <c r="A504">
        <f>V_Model_CB!A7</f>
        <v/>
      </c>
      <c r="B504">
        <f>V_Model_CB!B7</f>
        <v/>
      </c>
      <c r="C504">
        <f>V_Model_CB!C7</f>
        <v/>
      </c>
      <c r="D504">
        <f>V_Model_CB!D7</f>
        <v/>
      </c>
      <c r="E504">
        <f>V_Model_CB!E7</f>
        <v/>
      </c>
      <c r="F504">
        <f>V_Model_CB!F7</f>
        <v/>
      </c>
      <c r="G504">
        <f>V_Model_CB!G7</f>
        <v/>
      </c>
      <c r="H504">
        <f>V_Model_CB!H7</f>
        <v/>
      </c>
      <c r="I504">
        <f>V_Model_CB!I7</f>
        <v/>
      </c>
      <c r="J504">
        <f>V_Model_CB!J7</f>
        <v/>
      </c>
      <c r="K504" s="672">
        <f>V_Model_CB!K7</f>
        <v/>
      </c>
      <c r="L504" s="672">
        <f>V_Model_CB!L7</f>
        <v/>
      </c>
      <c r="M504">
        <f>V_Model_CB!M7</f>
        <v/>
      </c>
      <c r="N504">
        <f>V_Model_CB!N7</f>
        <v/>
      </c>
      <c r="O504">
        <f>V_Model_CB!O7</f>
        <v/>
      </c>
      <c r="P504" s="628">
        <f>V_Model_CB!P7</f>
        <v/>
      </c>
      <c r="Q504" s="628">
        <f>V_Model_CB!Q7</f>
        <v/>
      </c>
      <c r="R504" s="628">
        <f>V_Model_CB!R7</f>
        <v/>
      </c>
      <c r="S504" s="628">
        <f>V_Model_CB!S7</f>
        <v/>
      </c>
      <c r="T504" s="628">
        <f>V_Model_CB!T7</f>
        <v/>
      </c>
      <c r="U504" s="628">
        <f>V_Model_CB!U7</f>
        <v/>
      </c>
      <c r="V504" s="628">
        <f>V_Model_CB!V7</f>
        <v/>
      </c>
      <c r="W504" s="628">
        <f>V_Model_CB!W7</f>
        <v/>
      </c>
      <c r="X504" s="628">
        <f>V_Model_CB!X7</f>
        <v/>
      </c>
      <c r="Y504" s="650">
        <f>V_Model_CB!Y7</f>
        <v/>
      </c>
      <c r="Z504" s="650">
        <f>V_Model_CB!Z7</f>
        <v/>
      </c>
      <c r="AA504" s="650">
        <f>V_Model_CB!AA7</f>
        <v/>
      </c>
      <c r="AB504" s="650">
        <f>V_Model_CB!AB7</f>
        <v/>
      </c>
      <c r="AC504" s="613">
        <f>V_Model_CB!AC7</f>
        <v/>
      </c>
      <c r="AD504" s="613">
        <f>V_Model_CB!AD7</f>
        <v/>
      </c>
      <c r="AE504" s="613">
        <f>V_Model_CB!AE7</f>
        <v/>
      </c>
      <c r="AF504" s="613">
        <f>V_Model_CB!AF7</f>
        <v/>
      </c>
      <c r="AG504" s="626">
        <f>V_Model_CB!AG7</f>
        <v/>
      </c>
      <c r="AH504" s="626">
        <f>V_Model_CB!AH7</f>
        <v/>
      </c>
      <c r="AI504" s="626">
        <f>V_Model_CB!AI7</f>
        <v/>
      </c>
      <c r="AJ504" s="626">
        <f>V_Model_CB!AJ7</f>
        <v/>
      </c>
      <c r="AK504" s="626">
        <f>V_Model_CB!AK7</f>
        <v/>
      </c>
      <c r="AL504" s="626">
        <f>V_Model_CB!AL7</f>
        <v/>
      </c>
      <c r="AM504" s="626">
        <f>V_Model_CB!AM7</f>
        <v/>
      </c>
      <c r="AN504" s="626">
        <f>V_Model_CB!AN7</f>
        <v/>
      </c>
      <c r="AO504" s="626">
        <f>V_Model_CB!AO7</f>
        <v/>
      </c>
      <c r="AP504" s="369">
        <f>V_Model_CB!AP7</f>
        <v/>
      </c>
      <c r="AQ504" s="369">
        <f>V_Model_CB!AQ7</f>
        <v/>
      </c>
      <c r="AR504" s="369">
        <f>V_Model_CB!AR7</f>
        <v/>
      </c>
      <c r="AS504" s="369">
        <f>V_Model_CB!AS7</f>
        <v/>
      </c>
      <c r="AT504" s="370">
        <f>V_Model_CB!AT7</f>
        <v/>
      </c>
      <c r="AU504" s="370">
        <f>V_Model_CB!AU7</f>
        <v/>
      </c>
      <c r="AV504" s="370">
        <f>V_Model_CB!AV7</f>
        <v/>
      </c>
      <c r="AW504" s="370">
        <f>V_Model_CB!AW7</f>
        <v/>
      </c>
      <c r="AX504">
        <f>V_Model_CB!AX7</f>
        <v/>
      </c>
      <c r="AY504">
        <f>V_Model_CB!AY7</f>
        <v/>
      </c>
      <c r="AZ504">
        <f>V_Model_CB!AZ7</f>
        <v/>
      </c>
      <c r="BA504">
        <f>V_Model_CB!BA7</f>
        <v/>
      </c>
      <c r="BB504">
        <f>V_Model_CB!BB7</f>
        <v/>
      </c>
      <c r="BC504">
        <f>V_Model_CB!BC7</f>
        <v/>
      </c>
      <c r="BD504">
        <f>V_Model_CB!BD7</f>
        <v/>
      </c>
      <c r="BE504">
        <f>V_Model_CB!BE7</f>
        <v/>
      </c>
      <c r="BF504">
        <f>V_Model_CB!BF7</f>
        <v/>
      </c>
      <c r="BG504">
        <f>V_Model_CB!BG7</f>
        <v/>
      </c>
      <c r="BH504">
        <f>V_Model_CB!BH7</f>
        <v/>
      </c>
      <c r="BI504">
        <f>V_Model_CB!BI7</f>
        <v/>
      </c>
      <c r="BJ504">
        <f>O504</f>
        <v/>
      </c>
      <c r="BK504">
        <f>SUM(AG504:AW504)</f>
        <v/>
      </c>
      <c r="BL504" s="531">
        <f>BJ504-BK504</f>
        <v/>
      </c>
      <c r="BM504" s="201" t="n"/>
    </row>
    <row r="505" hidden="1" outlineLevel="1" s="191">
      <c r="A505">
        <f>V_Model_CB!A8</f>
        <v/>
      </c>
      <c r="B505">
        <f>V_Model_CB!B8</f>
        <v/>
      </c>
      <c r="C505">
        <f>V_Model_CB!C8</f>
        <v/>
      </c>
      <c r="D505">
        <f>V_Model_CB!D8</f>
        <v/>
      </c>
      <c r="E505">
        <f>V_Model_CB!E8</f>
        <v/>
      </c>
      <c r="F505">
        <f>V_Model_CB!F8</f>
        <v/>
      </c>
      <c r="G505">
        <f>V_Model_CB!G8</f>
        <v/>
      </c>
      <c r="H505">
        <f>V_Model_CB!H8</f>
        <v/>
      </c>
      <c r="I505">
        <f>V_Model_CB!I8</f>
        <v/>
      </c>
      <c r="J505">
        <f>V_Model_CB!J8</f>
        <v/>
      </c>
      <c r="K505" s="672">
        <f>V_Model_CB!K8</f>
        <v/>
      </c>
      <c r="L505" s="672">
        <f>V_Model_CB!L8</f>
        <v/>
      </c>
      <c r="M505">
        <f>V_Model_CB!M8</f>
        <v/>
      </c>
      <c r="N505">
        <f>V_Model_CB!N8</f>
        <v/>
      </c>
      <c r="O505">
        <f>V_Model_CB!O8</f>
        <v/>
      </c>
      <c r="P505" s="628">
        <f>V_Model_CB!P8</f>
        <v/>
      </c>
      <c r="Q505" s="628">
        <f>V_Model_CB!Q8</f>
        <v/>
      </c>
      <c r="R505" s="628">
        <f>V_Model_CB!R8</f>
        <v/>
      </c>
      <c r="S505" s="628">
        <f>V_Model_CB!S8</f>
        <v/>
      </c>
      <c r="T505" s="628">
        <f>V_Model_CB!T8</f>
        <v/>
      </c>
      <c r="U505" s="628">
        <f>V_Model_CB!U8</f>
        <v/>
      </c>
      <c r="V505" s="628">
        <f>V_Model_CB!V8</f>
        <v/>
      </c>
      <c r="W505" s="628">
        <f>V_Model_CB!W8</f>
        <v/>
      </c>
      <c r="X505" s="628">
        <f>V_Model_CB!X8</f>
        <v/>
      </c>
      <c r="Y505" s="650">
        <f>V_Model_CB!Y8</f>
        <v/>
      </c>
      <c r="Z505" s="650">
        <f>V_Model_CB!Z8</f>
        <v/>
      </c>
      <c r="AA505" s="650">
        <f>V_Model_CB!AA8</f>
        <v/>
      </c>
      <c r="AB505" s="650">
        <f>V_Model_CB!AB8</f>
        <v/>
      </c>
      <c r="AC505" s="613">
        <f>V_Model_CB!AC8</f>
        <v/>
      </c>
      <c r="AD505" s="613">
        <f>V_Model_CB!AD8</f>
        <v/>
      </c>
      <c r="AE505" s="613">
        <f>V_Model_CB!AE8</f>
        <v/>
      </c>
      <c r="AF505" s="613">
        <f>V_Model_CB!AF8</f>
        <v/>
      </c>
      <c r="AG505" s="626">
        <f>V_Model_CB!AG8</f>
        <v/>
      </c>
      <c r="AH505" s="626">
        <f>V_Model_CB!AH8</f>
        <v/>
      </c>
      <c r="AI505" s="626">
        <f>V_Model_CB!AI8</f>
        <v/>
      </c>
      <c r="AJ505" s="626">
        <f>V_Model_CB!AJ8</f>
        <v/>
      </c>
      <c r="AK505" s="626">
        <f>V_Model_CB!AK8</f>
        <v/>
      </c>
      <c r="AL505" s="626">
        <f>V_Model_CB!AL8</f>
        <v/>
      </c>
      <c r="AM505" s="626">
        <f>V_Model_CB!AM8</f>
        <v/>
      </c>
      <c r="AN505" s="626">
        <f>V_Model_CB!AN8</f>
        <v/>
      </c>
      <c r="AO505" s="626">
        <f>V_Model_CB!AO8</f>
        <v/>
      </c>
      <c r="AP505" s="369">
        <f>V_Model_CB!AP8</f>
        <v/>
      </c>
      <c r="AQ505" s="369">
        <f>V_Model_CB!AQ8</f>
        <v/>
      </c>
      <c r="AR505" s="369">
        <f>V_Model_CB!AR8</f>
        <v/>
      </c>
      <c r="AS505" s="369">
        <f>V_Model_CB!AS8</f>
        <v/>
      </c>
      <c r="AT505" s="370">
        <f>V_Model_CB!AT8</f>
        <v/>
      </c>
      <c r="AU505" s="370">
        <f>V_Model_CB!AU8</f>
        <v/>
      </c>
      <c r="AV505" s="370">
        <f>V_Model_CB!AV8</f>
        <v/>
      </c>
      <c r="AW505" s="370">
        <f>V_Model_CB!AW8</f>
        <v/>
      </c>
      <c r="AX505">
        <f>V_Model_CB!AX8</f>
        <v/>
      </c>
      <c r="AY505">
        <f>V_Model_CB!AY8</f>
        <v/>
      </c>
      <c r="AZ505">
        <f>V_Model_CB!AZ8</f>
        <v/>
      </c>
      <c r="BA505">
        <f>V_Model_CB!BA8</f>
        <v/>
      </c>
      <c r="BB505">
        <f>V_Model_CB!BB8</f>
        <v/>
      </c>
      <c r="BC505">
        <f>V_Model_CB!BC8</f>
        <v/>
      </c>
      <c r="BD505">
        <f>V_Model_CB!BD8</f>
        <v/>
      </c>
      <c r="BE505">
        <f>V_Model_CB!BE8</f>
        <v/>
      </c>
      <c r="BF505">
        <f>V_Model_CB!BF8</f>
        <v/>
      </c>
      <c r="BG505">
        <f>V_Model_CB!BG8</f>
        <v/>
      </c>
      <c r="BH505">
        <f>V_Model_CB!BH8</f>
        <v/>
      </c>
      <c r="BI505">
        <f>V_Model_CB!BI8</f>
        <v/>
      </c>
      <c r="BJ505">
        <f>O505</f>
        <v/>
      </c>
      <c r="BK505">
        <f>SUM(AG505:AW505)</f>
        <v/>
      </c>
      <c r="BL505" s="531">
        <f>BJ505-BK505</f>
        <v/>
      </c>
      <c r="BM505" s="201" t="n"/>
    </row>
    <row r="506" hidden="1" outlineLevel="1" s="191">
      <c r="A506">
        <f>V_Model_CB!A9</f>
        <v/>
      </c>
      <c r="B506">
        <f>V_Model_CB!B9</f>
        <v/>
      </c>
      <c r="C506">
        <f>V_Model_CB!C9</f>
        <v/>
      </c>
      <c r="D506">
        <f>V_Model_CB!D9</f>
        <v/>
      </c>
      <c r="E506">
        <f>V_Model_CB!E9</f>
        <v/>
      </c>
      <c r="F506">
        <f>V_Model_CB!F9</f>
        <v/>
      </c>
      <c r="G506">
        <f>V_Model_CB!G9</f>
        <v/>
      </c>
      <c r="H506">
        <f>V_Model_CB!H9</f>
        <v/>
      </c>
      <c r="I506">
        <f>V_Model_CB!I9</f>
        <v/>
      </c>
      <c r="J506">
        <f>V_Model_CB!J9</f>
        <v/>
      </c>
      <c r="K506" s="672">
        <f>V_Model_CB!K9</f>
        <v/>
      </c>
      <c r="L506" s="672">
        <f>V_Model_CB!L9</f>
        <v/>
      </c>
      <c r="M506">
        <f>V_Model_CB!M9</f>
        <v/>
      </c>
      <c r="N506">
        <f>V_Model_CB!N9</f>
        <v/>
      </c>
      <c r="O506">
        <f>V_Model_CB!O9</f>
        <v/>
      </c>
      <c r="P506" s="628">
        <f>V_Model_CB!P9</f>
        <v/>
      </c>
      <c r="Q506" s="628">
        <f>V_Model_CB!Q9</f>
        <v/>
      </c>
      <c r="R506" s="628">
        <f>V_Model_CB!R9</f>
        <v/>
      </c>
      <c r="S506" s="628">
        <f>V_Model_CB!S9</f>
        <v/>
      </c>
      <c r="T506" s="628">
        <f>V_Model_CB!T9</f>
        <v/>
      </c>
      <c r="U506" s="628">
        <f>V_Model_CB!U9</f>
        <v/>
      </c>
      <c r="V506" s="628">
        <f>V_Model_CB!V9</f>
        <v/>
      </c>
      <c r="W506" s="628">
        <f>V_Model_CB!W9</f>
        <v/>
      </c>
      <c r="X506" s="628">
        <f>V_Model_CB!X9</f>
        <v/>
      </c>
      <c r="Y506" s="650">
        <f>V_Model_CB!Y9</f>
        <v/>
      </c>
      <c r="Z506" s="650">
        <f>V_Model_CB!Z9</f>
        <v/>
      </c>
      <c r="AA506" s="650">
        <f>V_Model_CB!AA9</f>
        <v/>
      </c>
      <c r="AB506" s="650">
        <f>V_Model_CB!AB9</f>
        <v/>
      </c>
      <c r="AC506" s="613">
        <f>V_Model_CB!AC9</f>
        <v/>
      </c>
      <c r="AD506" s="613">
        <f>V_Model_CB!AD9</f>
        <v/>
      </c>
      <c r="AE506" s="613">
        <f>V_Model_CB!AE9</f>
        <v/>
      </c>
      <c r="AF506" s="613">
        <f>V_Model_CB!AF9</f>
        <v/>
      </c>
      <c r="AG506" s="626">
        <f>V_Model_CB!AG9</f>
        <v/>
      </c>
      <c r="AH506" s="626">
        <f>V_Model_CB!AH9</f>
        <v/>
      </c>
      <c r="AI506" s="626">
        <f>V_Model_CB!AI9</f>
        <v/>
      </c>
      <c r="AJ506" s="626">
        <f>V_Model_CB!AJ9</f>
        <v/>
      </c>
      <c r="AK506" s="626">
        <f>V_Model_CB!AK9</f>
        <v/>
      </c>
      <c r="AL506" s="626">
        <f>V_Model_CB!AL9</f>
        <v/>
      </c>
      <c r="AM506" s="626">
        <f>V_Model_CB!AM9</f>
        <v/>
      </c>
      <c r="AN506" s="626">
        <f>V_Model_CB!AN9</f>
        <v/>
      </c>
      <c r="AO506" s="626">
        <f>V_Model_CB!AO9</f>
        <v/>
      </c>
      <c r="AP506" s="369">
        <f>V_Model_CB!AP9</f>
        <v/>
      </c>
      <c r="AQ506" s="369">
        <f>V_Model_CB!AQ9</f>
        <v/>
      </c>
      <c r="AR506" s="369">
        <f>V_Model_CB!AR9</f>
        <v/>
      </c>
      <c r="AS506" s="369">
        <f>V_Model_CB!AS9</f>
        <v/>
      </c>
      <c r="AT506" s="370">
        <f>V_Model_CB!AT9</f>
        <v/>
      </c>
      <c r="AU506" s="370">
        <f>V_Model_CB!AU9</f>
        <v/>
      </c>
      <c r="AV506" s="370">
        <f>V_Model_CB!AV9</f>
        <v/>
      </c>
      <c r="AW506" s="370">
        <f>V_Model_CB!AW9</f>
        <v/>
      </c>
      <c r="AX506">
        <f>V_Model_CB!AX9</f>
        <v/>
      </c>
      <c r="AY506">
        <f>V_Model_CB!AY9</f>
        <v/>
      </c>
      <c r="AZ506">
        <f>V_Model_CB!AZ9</f>
        <v/>
      </c>
      <c r="BA506">
        <f>V_Model_CB!BA9</f>
        <v/>
      </c>
      <c r="BB506">
        <f>V_Model_CB!BB9</f>
        <v/>
      </c>
      <c r="BC506">
        <f>V_Model_CB!BC9</f>
        <v/>
      </c>
      <c r="BD506">
        <f>V_Model_CB!BD9</f>
        <v/>
      </c>
      <c r="BE506">
        <f>V_Model_CB!BE9</f>
        <v/>
      </c>
      <c r="BF506">
        <f>V_Model_CB!BF9</f>
        <v/>
      </c>
      <c r="BG506">
        <f>V_Model_CB!BG9</f>
        <v/>
      </c>
      <c r="BH506">
        <f>V_Model_CB!BH9</f>
        <v/>
      </c>
      <c r="BI506">
        <f>V_Model_CB!BI9</f>
        <v/>
      </c>
      <c r="BJ506">
        <f>O506</f>
        <v/>
      </c>
      <c r="BK506">
        <f>SUM(AG506:AW506)</f>
        <v/>
      </c>
      <c r="BL506" s="531">
        <f>BJ506-BK506</f>
        <v/>
      </c>
      <c r="BM506" s="201" t="n"/>
    </row>
    <row r="507" hidden="1" outlineLevel="1" s="191">
      <c r="A507">
        <f>V_Model_CB!A10</f>
        <v/>
      </c>
      <c r="B507">
        <f>V_Model_CB!B10</f>
        <v/>
      </c>
      <c r="C507">
        <f>V_Model_CB!C10</f>
        <v/>
      </c>
      <c r="D507">
        <f>V_Model_CB!D10</f>
        <v/>
      </c>
      <c r="E507">
        <f>V_Model_CB!E10</f>
        <v/>
      </c>
      <c r="F507">
        <f>V_Model_CB!F10</f>
        <v/>
      </c>
      <c r="G507">
        <f>V_Model_CB!G10</f>
        <v/>
      </c>
      <c r="H507">
        <f>V_Model_CB!H10</f>
        <v/>
      </c>
      <c r="I507">
        <f>V_Model_CB!I10</f>
        <v/>
      </c>
      <c r="J507">
        <f>V_Model_CB!J10</f>
        <v/>
      </c>
      <c r="K507" s="672">
        <f>V_Model_CB!K10</f>
        <v/>
      </c>
      <c r="L507" s="672">
        <f>V_Model_CB!L10</f>
        <v/>
      </c>
      <c r="M507">
        <f>V_Model_CB!M10</f>
        <v/>
      </c>
      <c r="N507">
        <f>V_Model_CB!N10</f>
        <v/>
      </c>
      <c r="O507">
        <f>V_Model_CB!O10</f>
        <v/>
      </c>
      <c r="P507" s="628">
        <f>V_Model_CB!P10</f>
        <v/>
      </c>
      <c r="Q507" s="628">
        <f>V_Model_CB!Q10</f>
        <v/>
      </c>
      <c r="R507" s="628">
        <f>V_Model_CB!R10</f>
        <v/>
      </c>
      <c r="S507" s="628">
        <f>V_Model_CB!S10</f>
        <v/>
      </c>
      <c r="T507" s="628">
        <f>V_Model_CB!T10</f>
        <v/>
      </c>
      <c r="U507" s="628">
        <f>V_Model_CB!U10</f>
        <v/>
      </c>
      <c r="V507" s="628">
        <f>V_Model_CB!V10</f>
        <v/>
      </c>
      <c r="W507" s="628">
        <f>V_Model_CB!W10</f>
        <v/>
      </c>
      <c r="X507" s="628">
        <f>V_Model_CB!X10</f>
        <v/>
      </c>
      <c r="Y507" s="650">
        <f>V_Model_CB!Y10</f>
        <v/>
      </c>
      <c r="Z507" s="650">
        <f>V_Model_CB!Z10</f>
        <v/>
      </c>
      <c r="AA507" s="650">
        <f>V_Model_CB!AA10</f>
        <v/>
      </c>
      <c r="AB507" s="650">
        <f>V_Model_CB!AB10</f>
        <v/>
      </c>
      <c r="AC507" s="613">
        <f>V_Model_CB!AC10</f>
        <v/>
      </c>
      <c r="AD507" s="613">
        <f>V_Model_CB!AD10</f>
        <v/>
      </c>
      <c r="AE507" s="613">
        <f>V_Model_CB!AE10</f>
        <v/>
      </c>
      <c r="AF507" s="613">
        <f>V_Model_CB!AF10</f>
        <v/>
      </c>
      <c r="AG507" s="626">
        <f>V_Model_CB!AG10</f>
        <v/>
      </c>
      <c r="AH507" s="626">
        <f>V_Model_CB!AH10</f>
        <v/>
      </c>
      <c r="AI507" s="626">
        <f>V_Model_CB!AI10</f>
        <v/>
      </c>
      <c r="AJ507" s="626">
        <f>V_Model_CB!AJ10</f>
        <v/>
      </c>
      <c r="AK507" s="626">
        <f>V_Model_CB!AK10</f>
        <v/>
      </c>
      <c r="AL507" s="626">
        <f>V_Model_CB!AL10</f>
        <v/>
      </c>
      <c r="AM507" s="626">
        <f>V_Model_CB!AM10</f>
        <v/>
      </c>
      <c r="AN507" s="626">
        <f>V_Model_CB!AN10</f>
        <v/>
      </c>
      <c r="AO507" s="626">
        <f>V_Model_CB!AO10</f>
        <v/>
      </c>
      <c r="AP507" s="369">
        <f>V_Model_CB!AP10</f>
        <v/>
      </c>
      <c r="AQ507" s="369">
        <f>V_Model_CB!AQ10</f>
        <v/>
      </c>
      <c r="AR507" s="369">
        <f>V_Model_CB!AR10</f>
        <v/>
      </c>
      <c r="AS507" s="369">
        <f>V_Model_CB!AS10</f>
        <v/>
      </c>
      <c r="AT507" s="370">
        <f>V_Model_CB!AT10</f>
        <v/>
      </c>
      <c r="AU507" s="370">
        <f>V_Model_CB!AU10</f>
        <v/>
      </c>
      <c r="AV507" s="370">
        <f>V_Model_CB!AV10</f>
        <v/>
      </c>
      <c r="AW507" s="370">
        <f>V_Model_CB!AW10</f>
        <v/>
      </c>
      <c r="AX507">
        <f>V_Model_CB!AX10</f>
        <v/>
      </c>
      <c r="AY507">
        <f>V_Model_CB!AY10</f>
        <v/>
      </c>
      <c r="AZ507">
        <f>V_Model_CB!AZ10</f>
        <v/>
      </c>
      <c r="BA507">
        <f>V_Model_CB!BA10</f>
        <v/>
      </c>
      <c r="BB507">
        <f>V_Model_CB!BB10</f>
        <v/>
      </c>
      <c r="BC507">
        <f>V_Model_CB!BC10</f>
        <v/>
      </c>
      <c r="BD507">
        <f>V_Model_CB!BD10</f>
        <v/>
      </c>
      <c r="BE507">
        <f>V_Model_CB!BE10</f>
        <v/>
      </c>
      <c r="BF507">
        <f>V_Model_CB!BF10</f>
        <v/>
      </c>
      <c r="BG507">
        <f>V_Model_CB!BG10</f>
        <v/>
      </c>
      <c r="BH507">
        <f>V_Model_CB!BH10</f>
        <v/>
      </c>
      <c r="BI507">
        <f>V_Model_CB!BI10</f>
        <v/>
      </c>
      <c r="BJ507">
        <f>O507</f>
        <v/>
      </c>
      <c r="BK507">
        <f>SUM(AG507:AW507)</f>
        <v/>
      </c>
      <c r="BL507" s="531">
        <f>BJ507-BK507</f>
        <v/>
      </c>
      <c r="BM507" s="201" t="n"/>
    </row>
    <row r="508" hidden="1" outlineLevel="1" s="191">
      <c r="A508">
        <f>V_Model_CB!A11</f>
        <v/>
      </c>
      <c r="B508">
        <f>V_Model_CB!B11</f>
        <v/>
      </c>
      <c r="C508">
        <f>V_Model_CB!C11</f>
        <v/>
      </c>
      <c r="D508">
        <f>V_Model_CB!D11</f>
        <v/>
      </c>
      <c r="E508">
        <f>V_Model_CB!E11</f>
        <v/>
      </c>
      <c r="F508">
        <f>V_Model_CB!F11</f>
        <v/>
      </c>
      <c r="G508">
        <f>V_Model_CB!G11</f>
        <v/>
      </c>
      <c r="H508">
        <f>V_Model_CB!H11</f>
        <v/>
      </c>
      <c r="I508">
        <f>V_Model_CB!I11</f>
        <v/>
      </c>
      <c r="J508">
        <f>V_Model_CB!J11</f>
        <v/>
      </c>
      <c r="K508" s="672">
        <f>V_Model_CB!K11</f>
        <v/>
      </c>
      <c r="L508" s="672">
        <f>V_Model_CB!L11</f>
        <v/>
      </c>
      <c r="M508">
        <f>V_Model_CB!M11</f>
        <v/>
      </c>
      <c r="N508">
        <f>V_Model_CB!N11</f>
        <v/>
      </c>
      <c r="O508">
        <f>V_Model_CB!O11</f>
        <v/>
      </c>
      <c r="P508" s="628">
        <f>V_Model_CB!P11</f>
        <v/>
      </c>
      <c r="Q508" s="628">
        <f>V_Model_CB!Q11</f>
        <v/>
      </c>
      <c r="R508" s="628">
        <f>V_Model_CB!R11</f>
        <v/>
      </c>
      <c r="S508" s="628">
        <f>V_Model_CB!S11</f>
        <v/>
      </c>
      <c r="T508" s="628">
        <f>V_Model_CB!T11</f>
        <v/>
      </c>
      <c r="U508" s="628">
        <f>V_Model_CB!U11</f>
        <v/>
      </c>
      <c r="V508" s="628">
        <f>V_Model_CB!V11</f>
        <v/>
      </c>
      <c r="W508" s="628">
        <f>V_Model_CB!W11</f>
        <v/>
      </c>
      <c r="X508" s="628">
        <f>V_Model_CB!X11</f>
        <v/>
      </c>
      <c r="Y508" s="650">
        <f>V_Model_CB!Y11</f>
        <v/>
      </c>
      <c r="Z508" s="650">
        <f>V_Model_CB!Z11</f>
        <v/>
      </c>
      <c r="AA508" s="650">
        <f>V_Model_CB!AA11</f>
        <v/>
      </c>
      <c r="AB508" s="650">
        <f>V_Model_CB!AB11</f>
        <v/>
      </c>
      <c r="AC508" s="613">
        <f>V_Model_CB!AC11</f>
        <v/>
      </c>
      <c r="AD508" s="613">
        <f>V_Model_CB!AD11</f>
        <v/>
      </c>
      <c r="AE508" s="613">
        <f>V_Model_CB!AE11</f>
        <v/>
      </c>
      <c r="AF508" s="613">
        <f>V_Model_CB!AF11</f>
        <v/>
      </c>
      <c r="AG508" s="626">
        <f>V_Model_CB!AG11</f>
        <v/>
      </c>
      <c r="AH508" s="626">
        <f>V_Model_CB!AH11</f>
        <v/>
      </c>
      <c r="AI508" s="626">
        <f>V_Model_CB!AI11</f>
        <v/>
      </c>
      <c r="AJ508" s="626">
        <f>V_Model_CB!AJ11</f>
        <v/>
      </c>
      <c r="AK508" s="626">
        <f>V_Model_CB!AK11</f>
        <v/>
      </c>
      <c r="AL508" s="626">
        <f>V_Model_CB!AL11</f>
        <v/>
      </c>
      <c r="AM508" s="626">
        <f>V_Model_CB!AM11</f>
        <v/>
      </c>
      <c r="AN508" s="626">
        <f>V_Model_CB!AN11</f>
        <v/>
      </c>
      <c r="AO508" s="626">
        <f>V_Model_CB!AO11</f>
        <v/>
      </c>
      <c r="AP508" s="369">
        <f>V_Model_CB!AP11</f>
        <v/>
      </c>
      <c r="AQ508" s="369">
        <f>V_Model_CB!AQ11</f>
        <v/>
      </c>
      <c r="AR508" s="369">
        <f>V_Model_CB!AR11</f>
        <v/>
      </c>
      <c r="AS508" s="369">
        <f>V_Model_CB!AS11</f>
        <v/>
      </c>
      <c r="AT508" s="370">
        <f>V_Model_CB!AT11</f>
        <v/>
      </c>
      <c r="AU508" s="370">
        <f>V_Model_CB!AU11</f>
        <v/>
      </c>
      <c r="AV508" s="370">
        <f>V_Model_CB!AV11</f>
        <v/>
      </c>
      <c r="AW508" s="370">
        <f>V_Model_CB!AW11</f>
        <v/>
      </c>
      <c r="AX508">
        <f>V_Model_CB!AX11</f>
        <v/>
      </c>
      <c r="AY508">
        <f>V_Model_CB!AY11</f>
        <v/>
      </c>
      <c r="AZ508">
        <f>V_Model_CB!AZ11</f>
        <v/>
      </c>
      <c r="BA508">
        <f>V_Model_CB!BA11</f>
        <v/>
      </c>
      <c r="BB508">
        <f>V_Model_CB!BB11</f>
        <v/>
      </c>
      <c r="BC508">
        <f>V_Model_CB!BC11</f>
        <v/>
      </c>
      <c r="BD508">
        <f>V_Model_CB!BD11</f>
        <v/>
      </c>
      <c r="BE508">
        <f>V_Model_CB!BE11</f>
        <v/>
      </c>
      <c r="BF508">
        <f>V_Model_CB!BF11</f>
        <v/>
      </c>
      <c r="BG508">
        <f>V_Model_CB!BG11</f>
        <v/>
      </c>
      <c r="BH508">
        <f>V_Model_CB!BH11</f>
        <v/>
      </c>
      <c r="BI508">
        <f>V_Model_CB!BI11</f>
        <v/>
      </c>
      <c r="BJ508">
        <f>O508</f>
        <v/>
      </c>
      <c r="BK508">
        <f>SUM(AG508:AW508)</f>
        <v/>
      </c>
      <c r="BL508" s="531">
        <f>BJ508-BK508</f>
        <v/>
      </c>
      <c r="BM508" s="201" t="n"/>
    </row>
    <row r="509" hidden="1" outlineLevel="1" s="191">
      <c r="A509">
        <f>V_Model_CB!A12</f>
        <v/>
      </c>
      <c r="B509">
        <f>V_Model_CB!B12</f>
        <v/>
      </c>
      <c r="C509">
        <f>V_Model_CB!C12</f>
        <v/>
      </c>
      <c r="D509">
        <f>V_Model_CB!D12</f>
        <v/>
      </c>
      <c r="E509">
        <f>V_Model_CB!E12</f>
        <v/>
      </c>
      <c r="F509">
        <f>V_Model_CB!F12</f>
        <v/>
      </c>
      <c r="G509">
        <f>V_Model_CB!G12</f>
        <v/>
      </c>
      <c r="H509">
        <f>V_Model_CB!H12</f>
        <v/>
      </c>
      <c r="I509">
        <f>V_Model_CB!I12</f>
        <v/>
      </c>
      <c r="J509">
        <f>V_Model_CB!J12</f>
        <v/>
      </c>
      <c r="K509" s="672">
        <f>V_Model_CB!K12</f>
        <v/>
      </c>
      <c r="L509" s="672">
        <f>V_Model_CB!L12</f>
        <v/>
      </c>
      <c r="M509">
        <f>V_Model_CB!M12</f>
        <v/>
      </c>
      <c r="N509">
        <f>V_Model_CB!N12</f>
        <v/>
      </c>
      <c r="O509">
        <f>V_Model_CB!O12</f>
        <v/>
      </c>
      <c r="P509" s="628">
        <f>V_Model_CB!P12</f>
        <v/>
      </c>
      <c r="Q509" s="628">
        <f>V_Model_CB!Q12</f>
        <v/>
      </c>
      <c r="R509" s="628">
        <f>V_Model_CB!R12</f>
        <v/>
      </c>
      <c r="S509" s="628">
        <f>V_Model_CB!S12</f>
        <v/>
      </c>
      <c r="T509" s="628">
        <f>V_Model_CB!T12</f>
        <v/>
      </c>
      <c r="U509" s="628">
        <f>V_Model_CB!U12</f>
        <v/>
      </c>
      <c r="V509" s="628">
        <f>V_Model_CB!V12</f>
        <v/>
      </c>
      <c r="W509" s="628">
        <f>V_Model_CB!W12</f>
        <v/>
      </c>
      <c r="X509" s="628">
        <f>V_Model_CB!X12</f>
        <v/>
      </c>
      <c r="Y509" s="650">
        <f>V_Model_CB!Y12</f>
        <v/>
      </c>
      <c r="Z509" s="650">
        <f>V_Model_CB!Z12</f>
        <v/>
      </c>
      <c r="AA509" s="650">
        <f>V_Model_CB!AA12</f>
        <v/>
      </c>
      <c r="AB509" s="650">
        <f>V_Model_CB!AB12</f>
        <v/>
      </c>
      <c r="AC509" s="613">
        <f>V_Model_CB!AC12</f>
        <v/>
      </c>
      <c r="AD509" s="613">
        <f>V_Model_CB!AD12</f>
        <v/>
      </c>
      <c r="AE509" s="613">
        <f>V_Model_CB!AE12</f>
        <v/>
      </c>
      <c r="AF509" s="613">
        <f>V_Model_CB!AF12</f>
        <v/>
      </c>
      <c r="AG509" s="626">
        <f>V_Model_CB!AG12</f>
        <v/>
      </c>
      <c r="AH509" s="626">
        <f>V_Model_CB!AH12</f>
        <v/>
      </c>
      <c r="AI509" s="626">
        <f>V_Model_CB!AI12</f>
        <v/>
      </c>
      <c r="AJ509" s="626">
        <f>V_Model_CB!AJ12</f>
        <v/>
      </c>
      <c r="AK509" s="626">
        <f>V_Model_CB!AK12</f>
        <v/>
      </c>
      <c r="AL509" s="626">
        <f>V_Model_CB!AL12</f>
        <v/>
      </c>
      <c r="AM509" s="626">
        <f>V_Model_CB!AM12</f>
        <v/>
      </c>
      <c r="AN509" s="626">
        <f>V_Model_CB!AN12</f>
        <v/>
      </c>
      <c r="AO509" s="626">
        <f>V_Model_CB!AO12</f>
        <v/>
      </c>
      <c r="AP509" s="369">
        <f>V_Model_CB!AP12</f>
        <v/>
      </c>
      <c r="AQ509" s="369">
        <f>V_Model_CB!AQ12</f>
        <v/>
      </c>
      <c r="AR509" s="369">
        <f>V_Model_CB!AR12</f>
        <v/>
      </c>
      <c r="AS509" s="369">
        <f>V_Model_CB!AS12</f>
        <v/>
      </c>
      <c r="AT509" s="370">
        <f>V_Model_CB!AT12</f>
        <v/>
      </c>
      <c r="AU509" s="370">
        <f>V_Model_CB!AU12</f>
        <v/>
      </c>
      <c r="AV509" s="370">
        <f>V_Model_CB!AV12</f>
        <v/>
      </c>
      <c r="AW509" s="370">
        <f>V_Model_CB!AW12</f>
        <v/>
      </c>
      <c r="AX509">
        <f>V_Model_CB!AX12</f>
        <v/>
      </c>
      <c r="AY509">
        <f>V_Model_CB!AY12</f>
        <v/>
      </c>
      <c r="AZ509">
        <f>V_Model_CB!AZ12</f>
        <v/>
      </c>
      <c r="BA509">
        <f>V_Model_CB!BA12</f>
        <v/>
      </c>
      <c r="BB509">
        <f>V_Model_CB!BB12</f>
        <v/>
      </c>
      <c r="BC509">
        <f>V_Model_CB!BC12</f>
        <v/>
      </c>
      <c r="BD509">
        <f>V_Model_CB!BD12</f>
        <v/>
      </c>
      <c r="BE509">
        <f>V_Model_CB!BE12</f>
        <v/>
      </c>
      <c r="BF509">
        <f>V_Model_CB!BF12</f>
        <v/>
      </c>
      <c r="BG509">
        <f>V_Model_CB!BG12</f>
        <v/>
      </c>
      <c r="BH509">
        <f>V_Model_CB!BH12</f>
        <v/>
      </c>
      <c r="BI509">
        <f>V_Model_CB!BI12</f>
        <v/>
      </c>
      <c r="BJ509">
        <f>O509</f>
        <v/>
      </c>
      <c r="BK509">
        <f>SUM(AG509:AW509)</f>
        <v/>
      </c>
      <c r="BL509" s="531">
        <f>BJ509-BK509</f>
        <v/>
      </c>
      <c r="BM509" s="201" t="n"/>
    </row>
    <row r="510" hidden="1" outlineLevel="1" s="191">
      <c r="A510">
        <f>V_Model_CB!A13</f>
        <v/>
      </c>
      <c r="B510">
        <f>V_Model_CB!B13</f>
        <v/>
      </c>
      <c r="C510">
        <f>V_Model_CB!C13</f>
        <v/>
      </c>
      <c r="D510">
        <f>V_Model_CB!D13</f>
        <v/>
      </c>
      <c r="E510">
        <f>V_Model_CB!E13</f>
        <v/>
      </c>
      <c r="F510">
        <f>V_Model_CB!F13</f>
        <v/>
      </c>
      <c r="G510">
        <f>V_Model_CB!G13</f>
        <v/>
      </c>
      <c r="H510">
        <f>V_Model_CB!H13</f>
        <v/>
      </c>
      <c r="I510">
        <f>V_Model_CB!I13</f>
        <v/>
      </c>
      <c r="J510">
        <f>V_Model_CB!J13</f>
        <v/>
      </c>
      <c r="K510" s="672">
        <f>V_Model_CB!K13</f>
        <v/>
      </c>
      <c r="L510" s="672">
        <f>V_Model_CB!L13</f>
        <v/>
      </c>
      <c r="M510">
        <f>V_Model_CB!M13</f>
        <v/>
      </c>
      <c r="N510">
        <f>V_Model_CB!N13</f>
        <v/>
      </c>
      <c r="O510">
        <f>V_Model_CB!O13</f>
        <v/>
      </c>
      <c r="P510" s="628">
        <f>V_Model_CB!P13</f>
        <v/>
      </c>
      <c r="Q510" s="628">
        <f>V_Model_CB!Q13</f>
        <v/>
      </c>
      <c r="R510" s="628">
        <f>V_Model_CB!R13</f>
        <v/>
      </c>
      <c r="S510" s="628">
        <f>V_Model_CB!S13</f>
        <v/>
      </c>
      <c r="T510" s="628">
        <f>V_Model_CB!T13</f>
        <v/>
      </c>
      <c r="U510" s="628">
        <f>V_Model_CB!U13</f>
        <v/>
      </c>
      <c r="V510" s="628">
        <f>V_Model_CB!V13</f>
        <v/>
      </c>
      <c r="W510" s="628">
        <f>V_Model_CB!W13</f>
        <v/>
      </c>
      <c r="X510" s="628">
        <f>V_Model_CB!X13</f>
        <v/>
      </c>
      <c r="Y510" s="650">
        <f>V_Model_CB!Y13</f>
        <v/>
      </c>
      <c r="Z510" s="650">
        <f>V_Model_CB!Z13</f>
        <v/>
      </c>
      <c r="AA510" s="650">
        <f>V_Model_CB!AA13</f>
        <v/>
      </c>
      <c r="AB510" s="650">
        <f>V_Model_CB!AB13</f>
        <v/>
      </c>
      <c r="AC510" s="613">
        <f>V_Model_CB!AC13</f>
        <v/>
      </c>
      <c r="AD510" s="613">
        <f>V_Model_CB!AD13</f>
        <v/>
      </c>
      <c r="AE510" s="613">
        <f>V_Model_CB!AE13</f>
        <v/>
      </c>
      <c r="AF510" s="613">
        <f>V_Model_CB!AF13</f>
        <v/>
      </c>
      <c r="AG510" s="626">
        <f>V_Model_CB!AG13</f>
        <v/>
      </c>
      <c r="AH510" s="626">
        <f>V_Model_CB!AH13</f>
        <v/>
      </c>
      <c r="AI510" s="626">
        <f>V_Model_CB!AI13</f>
        <v/>
      </c>
      <c r="AJ510" s="626">
        <f>V_Model_CB!AJ13</f>
        <v/>
      </c>
      <c r="AK510" s="626">
        <f>V_Model_CB!AK13</f>
        <v/>
      </c>
      <c r="AL510" s="626">
        <f>V_Model_CB!AL13</f>
        <v/>
      </c>
      <c r="AM510" s="626">
        <f>V_Model_CB!AM13</f>
        <v/>
      </c>
      <c r="AN510" s="626">
        <f>V_Model_CB!AN13</f>
        <v/>
      </c>
      <c r="AO510" s="626">
        <f>V_Model_CB!AO13</f>
        <v/>
      </c>
      <c r="AP510" s="369">
        <f>V_Model_CB!AP13</f>
        <v/>
      </c>
      <c r="AQ510" s="369">
        <f>V_Model_CB!AQ13</f>
        <v/>
      </c>
      <c r="AR510" s="369">
        <f>V_Model_CB!AR13</f>
        <v/>
      </c>
      <c r="AS510" s="369">
        <f>V_Model_CB!AS13</f>
        <v/>
      </c>
      <c r="AT510" s="370">
        <f>V_Model_CB!AT13</f>
        <v/>
      </c>
      <c r="AU510" s="370">
        <f>V_Model_CB!AU13</f>
        <v/>
      </c>
      <c r="AV510" s="370">
        <f>V_Model_CB!AV13</f>
        <v/>
      </c>
      <c r="AW510" s="370">
        <f>V_Model_CB!AW13</f>
        <v/>
      </c>
      <c r="AX510">
        <f>V_Model_CB!AX13</f>
        <v/>
      </c>
      <c r="AY510">
        <f>V_Model_CB!AY13</f>
        <v/>
      </c>
      <c r="AZ510">
        <f>V_Model_CB!AZ13</f>
        <v/>
      </c>
      <c r="BA510">
        <f>V_Model_CB!BA13</f>
        <v/>
      </c>
      <c r="BB510">
        <f>V_Model_CB!BB13</f>
        <v/>
      </c>
      <c r="BC510">
        <f>V_Model_CB!BC13</f>
        <v/>
      </c>
      <c r="BD510">
        <f>V_Model_CB!BD13</f>
        <v/>
      </c>
      <c r="BE510">
        <f>V_Model_CB!BE13</f>
        <v/>
      </c>
      <c r="BF510">
        <f>V_Model_CB!BF13</f>
        <v/>
      </c>
      <c r="BG510">
        <f>V_Model_CB!BG13</f>
        <v/>
      </c>
      <c r="BH510">
        <f>V_Model_CB!BH13</f>
        <v/>
      </c>
      <c r="BI510">
        <f>V_Model_CB!BI13</f>
        <v/>
      </c>
      <c r="BJ510">
        <f>O510</f>
        <v/>
      </c>
      <c r="BK510">
        <f>SUM(AG510:AW510)</f>
        <v/>
      </c>
      <c r="BL510" s="531">
        <f>BJ510-BK510</f>
        <v/>
      </c>
      <c r="BM510" s="201" t="n"/>
    </row>
    <row r="511" hidden="1" outlineLevel="1" s="191">
      <c r="A511">
        <f>V_Model_CB!A14</f>
        <v/>
      </c>
      <c r="B511">
        <f>V_Model_CB!B14</f>
        <v/>
      </c>
      <c r="C511">
        <f>V_Model_CB!C14</f>
        <v/>
      </c>
      <c r="D511">
        <f>V_Model_CB!D14</f>
        <v/>
      </c>
      <c r="E511">
        <f>V_Model_CB!E14</f>
        <v/>
      </c>
      <c r="F511">
        <f>V_Model_CB!F14</f>
        <v/>
      </c>
      <c r="G511">
        <f>V_Model_CB!G14</f>
        <v/>
      </c>
      <c r="H511">
        <f>V_Model_CB!H14</f>
        <v/>
      </c>
      <c r="I511">
        <f>V_Model_CB!I14</f>
        <v/>
      </c>
      <c r="J511">
        <f>V_Model_CB!J14</f>
        <v/>
      </c>
      <c r="K511" s="672">
        <f>V_Model_CB!K14</f>
        <v/>
      </c>
      <c r="L511" s="672">
        <f>V_Model_CB!L14</f>
        <v/>
      </c>
      <c r="M511">
        <f>V_Model_CB!M14</f>
        <v/>
      </c>
      <c r="N511">
        <f>V_Model_CB!N14</f>
        <v/>
      </c>
      <c r="O511">
        <f>V_Model_CB!O14</f>
        <v/>
      </c>
      <c r="P511" s="628">
        <f>V_Model_CB!P14</f>
        <v/>
      </c>
      <c r="Q511" s="628">
        <f>V_Model_CB!Q14</f>
        <v/>
      </c>
      <c r="R511" s="628">
        <f>V_Model_CB!R14</f>
        <v/>
      </c>
      <c r="S511" s="628">
        <f>V_Model_CB!S14</f>
        <v/>
      </c>
      <c r="T511" s="628">
        <f>V_Model_CB!T14</f>
        <v/>
      </c>
      <c r="U511" s="628">
        <f>V_Model_CB!U14</f>
        <v/>
      </c>
      <c r="V511" s="628">
        <f>V_Model_CB!V14</f>
        <v/>
      </c>
      <c r="W511" s="628">
        <f>V_Model_CB!W14</f>
        <v/>
      </c>
      <c r="X511" s="628">
        <f>V_Model_CB!X14</f>
        <v/>
      </c>
      <c r="Y511" s="650">
        <f>V_Model_CB!Y14</f>
        <v/>
      </c>
      <c r="Z511" s="650">
        <f>V_Model_CB!Z14</f>
        <v/>
      </c>
      <c r="AA511" s="650">
        <f>V_Model_CB!AA14</f>
        <v/>
      </c>
      <c r="AB511" s="650">
        <f>V_Model_CB!AB14</f>
        <v/>
      </c>
      <c r="AC511" s="613">
        <f>V_Model_CB!AC14</f>
        <v/>
      </c>
      <c r="AD511" s="613">
        <f>V_Model_CB!AD14</f>
        <v/>
      </c>
      <c r="AE511" s="613">
        <f>V_Model_CB!AE14</f>
        <v/>
      </c>
      <c r="AF511" s="613">
        <f>V_Model_CB!AF14</f>
        <v/>
      </c>
      <c r="AG511" s="626">
        <f>V_Model_CB!AG14</f>
        <v/>
      </c>
      <c r="AH511" s="626">
        <f>V_Model_CB!AH14</f>
        <v/>
      </c>
      <c r="AI511" s="626">
        <f>V_Model_CB!AI14</f>
        <v/>
      </c>
      <c r="AJ511" s="626">
        <f>V_Model_CB!AJ14</f>
        <v/>
      </c>
      <c r="AK511" s="626">
        <f>V_Model_CB!AK14</f>
        <v/>
      </c>
      <c r="AL511" s="626">
        <f>V_Model_CB!AL14</f>
        <v/>
      </c>
      <c r="AM511" s="626">
        <f>V_Model_CB!AM14</f>
        <v/>
      </c>
      <c r="AN511" s="626">
        <f>V_Model_CB!AN14</f>
        <v/>
      </c>
      <c r="AO511" s="626">
        <f>V_Model_CB!AO14</f>
        <v/>
      </c>
      <c r="AP511" s="369">
        <f>V_Model_CB!AP14</f>
        <v/>
      </c>
      <c r="AQ511" s="369">
        <f>V_Model_CB!AQ14</f>
        <v/>
      </c>
      <c r="AR511" s="369">
        <f>V_Model_CB!AR14</f>
        <v/>
      </c>
      <c r="AS511" s="369">
        <f>V_Model_CB!AS14</f>
        <v/>
      </c>
      <c r="AT511" s="370">
        <f>V_Model_CB!AT14</f>
        <v/>
      </c>
      <c r="AU511" s="370">
        <f>V_Model_CB!AU14</f>
        <v/>
      </c>
      <c r="AV511" s="370">
        <f>V_Model_CB!AV14</f>
        <v/>
      </c>
      <c r="AW511" s="370">
        <f>V_Model_CB!AW14</f>
        <v/>
      </c>
      <c r="AX511">
        <f>V_Model_CB!AX14</f>
        <v/>
      </c>
      <c r="AY511">
        <f>V_Model_CB!AY14</f>
        <v/>
      </c>
      <c r="AZ511">
        <f>V_Model_CB!AZ14</f>
        <v/>
      </c>
      <c r="BA511">
        <f>V_Model_CB!BA14</f>
        <v/>
      </c>
      <c r="BB511">
        <f>V_Model_CB!BB14</f>
        <v/>
      </c>
      <c r="BC511">
        <f>V_Model_CB!BC14</f>
        <v/>
      </c>
      <c r="BD511">
        <f>V_Model_CB!BD14</f>
        <v/>
      </c>
      <c r="BE511">
        <f>V_Model_CB!BE14</f>
        <v/>
      </c>
      <c r="BF511">
        <f>V_Model_CB!BF14</f>
        <v/>
      </c>
      <c r="BG511">
        <f>V_Model_CB!BG14</f>
        <v/>
      </c>
      <c r="BH511">
        <f>V_Model_CB!BH14</f>
        <v/>
      </c>
      <c r="BI511">
        <f>V_Model_CB!BI14</f>
        <v/>
      </c>
      <c r="BJ511">
        <f>O511</f>
        <v/>
      </c>
      <c r="BK511">
        <f>SUM(AG511:AW511)</f>
        <v/>
      </c>
      <c r="BL511" s="531">
        <f>BJ511-BK511</f>
        <v/>
      </c>
      <c r="BM511" s="201" t="n"/>
    </row>
    <row r="512" hidden="1" outlineLevel="1" s="191">
      <c r="A512">
        <f>V_Model_CB!A15</f>
        <v/>
      </c>
      <c r="B512">
        <f>V_Model_CB!B15</f>
        <v/>
      </c>
      <c r="C512">
        <f>V_Model_CB!C15</f>
        <v/>
      </c>
      <c r="D512">
        <f>V_Model_CB!D15</f>
        <v/>
      </c>
      <c r="E512">
        <f>V_Model_CB!E15</f>
        <v/>
      </c>
      <c r="F512">
        <f>V_Model_CB!F15</f>
        <v/>
      </c>
      <c r="G512">
        <f>V_Model_CB!G15</f>
        <v/>
      </c>
      <c r="H512">
        <f>V_Model_CB!H15</f>
        <v/>
      </c>
      <c r="I512">
        <f>V_Model_CB!I15</f>
        <v/>
      </c>
      <c r="J512">
        <f>V_Model_CB!J15</f>
        <v/>
      </c>
      <c r="K512" s="672">
        <f>V_Model_CB!K15</f>
        <v/>
      </c>
      <c r="L512" s="672">
        <f>V_Model_CB!L15</f>
        <v/>
      </c>
      <c r="M512">
        <f>V_Model_CB!M15</f>
        <v/>
      </c>
      <c r="N512">
        <f>V_Model_CB!N15</f>
        <v/>
      </c>
      <c r="O512">
        <f>V_Model_CB!O15</f>
        <v/>
      </c>
      <c r="P512" s="628">
        <f>V_Model_CB!P15</f>
        <v/>
      </c>
      <c r="Q512" s="628">
        <f>V_Model_CB!Q15</f>
        <v/>
      </c>
      <c r="R512" s="628">
        <f>V_Model_CB!R15</f>
        <v/>
      </c>
      <c r="S512" s="628">
        <f>V_Model_CB!S15</f>
        <v/>
      </c>
      <c r="T512" s="628">
        <f>V_Model_CB!T15</f>
        <v/>
      </c>
      <c r="U512" s="628">
        <f>V_Model_CB!U15</f>
        <v/>
      </c>
      <c r="V512" s="628">
        <f>V_Model_CB!V15</f>
        <v/>
      </c>
      <c r="W512" s="628">
        <f>V_Model_CB!W15</f>
        <v/>
      </c>
      <c r="X512" s="628">
        <f>V_Model_CB!X15</f>
        <v/>
      </c>
      <c r="Y512" s="650">
        <f>V_Model_CB!Y15</f>
        <v/>
      </c>
      <c r="Z512" s="650">
        <f>V_Model_CB!Z15</f>
        <v/>
      </c>
      <c r="AA512" s="650">
        <f>V_Model_CB!AA15</f>
        <v/>
      </c>
      <c r="AB512" s="650">
        <f>V_Model_CB!AB15</f>
        <v/>
      </c>
      <c r="AC512" s="613">
        <f>V_Model_CB!AC15</f>
        <v/>
      </c>
      <c r="AD512" s="613">
        <f>V_Model_CB!AD15</f>
        <v/>
      </c>
      <c r="AE512" s="613">
        <f>V_Model_CB!AE15</f>
        <v/>
      </c>
      <c r="AF512" s="613">
        <f>V_Model_CB!AF15</f>
        <v/>
      </c>
      <c r="AG512" s="626">
        <f>V_Model_CB!AG15</f>
        <v/>
      </c>
      <c r="AH512" s="626">
        <f>V_Model_CB!AH15</f>
        <v/>
      </c>
      <c r="AI512" s="626">
        <f>V_Model_CB!AI15</f>
        <v/>
      </c>
      <c r="AJ512" s="626">
        <f>V_Model_CB!AJ15</f>
        <v/>
      </c>
      <c r="AK512" s="626">
        <f>V_Model_CB!AK15</f>
        <v/>
      </c>
      <c r="AL512" s="626">
        <f>V_Model_CB!AL15</f>
        <v/>
      </c>
      <c r="AM512" s="626">
        <f>V_Model_CB!AM15</f>
        <v/>
      </c>
      <c r="AN512" s="626">
        <f>V_Model_CB!AN15</f>
        <v/>
      </c>
      <c r="AO512" s="626">
        <f>V_Model_CB!AO15</f>
        <v/>
      </c>
      <c r="AP512" s="369">
        <f>V_Model_CB!AP15</f>
        <v/>
      </c>
      <c r="AQ512" s="369">
        <f>V_Model_CB!AQ15</f>
        <v/>
      </c>
      <c r="AR512" s="369">
        <f>V_Model_CB!AR15</f>
        <v/>
      </c>
      <c r="AS512" s="369">
        <f>V_Model_CB!AS15</f>
        <v/>
      </c>
      <c r="AT512" s="370">
        <f>V_Model_CB!AT15</f>
        <v/>
      </c>
      <c r="AU512" s="370">
        <f>V_Model_CB!AU15</f>
        <v/>
      </c>
      <c r="AV512" s="370">
        <f>V_Model_CB!AV15</f>
        <v/>
      </c>
      <c r="AW512" s="370">
        <f>V_Model_CB!AW15</f>
        <v/>
      </c>
      <c r="AX512">
        <f>V_Model_CB!AX15</f>
        <v/>
      </c>
      <c r="AY512">
        <f>V_Model_CB!AY15</f>
        <v/>
      </c>
      <c r="AZ512">
        <f>V_Model_CB!AZ15</f>
        <v/>
      </c>
      <c r="BA512">
        <f>V_Model_CB!BA15</f>
        <v/>
      </c>
      <c r="BB512">
        <f>V_Model_CB!BB15</f>
        <v/>
      </c>
      <c r="BC512">
        <f>V_Model_CB!BC15</f>
        <v/>
      </c>
      <c r="BD512">
        <f>V_Model_CB!BD15</f>
        <v/>
      </c>
      <c r="BE512">
        <f>V_Model_CB!BE15</f>
        <v/>
      </c>
      <c r="BF512">
        <f>V_Model_CB!BF15</f>
        <v/>
      </c>
      <c r="BG512">
        <f>V_Model_CB!BG15</f>
        <v/>
      </c>
      <c r="BH512">
        <f>V_Model_CB!BH15</f>
        <v/>
      </c>
      <c r="BI512">
        <f>V_Model_CB!BI15</f>
        <v/>
      </c>
      <c r="BJ512">
        <f>O512</f>
        <v/>
      </c>
      <c r="BK512">
        <f>SUM(AG512:AW512)</f>
        <v/>
      </c>
      <c r="BL512" s="531">
        <f>BJ512-BK512</f>
        <v/>
      </c>
      <c r="BM512" s="201" t="n"/>
    </row>
    <row r="513" hidden="1" outlineLevel="1" s="191">
      <c r="A513">
        <f>V_Model_CB!A16</f>
        <v/>
      </c>
      <c r="B513">
        <f>V_Model_CB!B16</f>
        <v/>
      </c>
      <c r="C513">
        <f>V_Model_CB!C16</f>
        <v/>
      </c>
      <c r="D513">
        <f>V_Model_CB!D16</f>
        <v/>
      </c>
      <c r="E513">
        <f>V_Model_CB!E16</f>
        <v/>
      </c>
      <c r="F513">
        <f>V_Model_CB!F16</f>
        <v/>
      </c>
      <c r="G513">
        <f>V_Model_CB!G16</f>
        <v/>
      </c>
      <c r="H513">
        <f>V_Model_CB!H16</f>
        <v/>
      </c>
      <c r="I513">
        <f>V_Model_CB!I16</f>
        <v/>
      </c>
      <c r="J513">
        <f>V_Model_CB!J16</f>
        <v/>
      </c>
      <c r="K513" s="672">
        <f>V_Model_CB!K16</f>
        <v/>
      </c>
      <c r="L513" s="672">
        <f>V_Model_CB!L16</f>
        <v/>
      </c>
      <c r="M513">
        <f>V_Model_CB!M16</f>
        <v/>
      </c>
      <c r="N513">
        <f>V_Model_CB!N16</f>
        <v/>
      </c>
      <c r="O513">
        <f>V_Model_CB!O16</f>
        <v/>
      </c>
      <c r="P513" s="628">
        <f>V_Model_CB!P16</f>
        <v/>
      </c>
      <c r="Q513" s="628">
        <f>V_Model_CB!Q16</f>
        <v/>
      </c>
      <c r="R513" s="628">
        <f>V_Model_CB!R16</f>
        <v/>
      </c>
      <c r="S513" s="628">
        <f>V_Model_CB!S16</f>
        <v/>
      </c>
      <c r="T513" s="628">
        <f>V_Model_CB!T16</f>
        <v/>
      </c>
      <c r="U513" s="628">
        <f>V_Model_CB!U16</f>
        <v/>
      </c>
      <c r="V513" s="628">
        <f>V_Model_CB!V16</f>
        <v/>
      </c>
      <c r="W513" s="628">
        <f>V_Model_CB!W16</f>
        <v/>
      </c>
      <c r="X513" s="628">
        <f>V_Model_CB!X16</f>
        <v/>
      </c>
      <c r="Y513" s="650">
        <f>V_Model_CB!Y16</f>
        <v/>
      </c>
      <c r="Z513" s="650">
        <f>V_Model_CB!Z16</f>
        <v/>
      </c>
      <c r="AA513" s="650">
        <f>V_Model_CB!AA16</f>
        <v/>
      </c>
      <c r="AB513" s="650">
        <f>V_Model_CB!AB16</f>
        <v/>
      </c>
      <c r="AC513" s="613">
        <f>V_Model_CB!AC16</f>
        <v/>
      </c>
      <c r="AD513" s="613">
        <f>V_Model_CB!AD16</f>
        <v/>
      </c>
      <c r="AE513" s="613">
        <f>V_Model_CB!AE16</f>
        <v/>
      </c>
      <c r="AF513" s="613">
        <f>V_Model_CB!AF16</f>
        <v/>
      </c>
      <c r="AG513" s="626">
        <f>V_Model_CB!AG16</f>
        <v/>
      </c>
      <c r="AH513" s="626">
        <f>V_Model_CB!AH16</f>
        <v/>
      </c>
      <c r="AI513" s="626">
        <f>V_Model_CB!AI16</f>
        <v/>
      </c>
      <c r="AJ513" s="626">
        <f>V_Model_CB!AJ16</f>
        <v/>
      </c>
      <c r="AK513" s="626">
        <f>V_Model_CB!AK16</f>
        <v/>
      </c>
      <c r="AL513" s="626">
        <f>V_Model_CB!AL16</f>
        <v/>
      </c>
      <c r="AM513" s="626">
        <f>V_Model_CB!AM16</f>
        <v/>
      </c>
      <c r="AN513" s="626">
        <f>V_Model_CB!AN16</f>
        <v/>
      </c>
      <c r="AO513" s="626">
        <f>V_Model_CB!AO16</f>
        <v/>
      </c>
      <c r="AP513" s="369">
        <f>V_Model_CB!AP16</f>
        <v/>
      </c>
      <c r="AQ513" s="369">
        <f>V_Model_CB!AQ16</f>
        <v/>
      </c>
      <c r="AR513" s="369">
        <f>V_Model_CB!AR16</f>
        <v/>
      </c>
      <c r="AS513" s="369">
        <f>V_Model_CB!AS16</f>
        <v/>
      </c>
      <c r="AT513" s="370">
        <f>V_Model_CB!AT16</f>
        <v/>
      </c>
      <c r="AU513" s="370">
        <f>V_Model_CB!AU16</f>
        <v/>
      </c>
      <c r="AV513" s="370">
        <f>V_Model_CB!AV16</f>
        <v/>
      </c>
      <c r="AW513" s="370">
        <f>V_Model_CB!AW16</f>
        <v/>
      </c>
      <c r="AX513">
        <f>V_Model_CB!AX16</f>
        <v/>
      </c>
      <c r="AY513">
        <f>V_Model_CB!AY16</f>
        <v/>
      </c>
      <c r="AZ513">
        <f>V_Model_CB!AZ16</f>
        <v/>
      </c>
      <c r="BA513">
        <f>V_Model_CB!BA16</f>
        <v/>
      </c>
      <c r="BB513">
        <f>V_Model_CB!BB16</f>
        <v/>
      </c>
      <c r="BC513">
        <f>V_Model_CB!BC16</f>
        <v/>
      </c>
      <c r="BD513">
        <f>V_Model_CB!BD16</f>
        <v/>
      </c>
      <c r="BE513">
        <f>V_Model_CB!BE16</f>
        <v/>
      </c>
      <c r="BF513">
        <f>V_Model_CB!BF16</f>
        <v/>
      </c>
      <c r="BG513">
        <f>V_Model_CB!BG16</f>
        <v/>
      </c>
      <c r="BH513">
        <f>V_Model_CB!BH16</f>
        <v/>
      </c>
      <c r="BI513">
        <f>V_Model_CB!BI16</f>
        <v/>
      </c>
      <c r="BJ513">
        <f>O513</f>
        <v/>
      </c>
      <c r="BK513">
        <f>SUM(AG513:AW513)</f>
        <v/>
      </c>
      <c r="BL513" s="531">
        <f>BJ513-BK513</f>
        <v/>
      </c>
      <c r="BM513" s="201" t="n"/>
    </row>
    <row r="514" hidden="1" outlineLevel="1" s="191">
      <c r="A514">
        <f>V_Model_CB!A17</f>
        <v/>
      </c>
      <c r="B514">
        <f>V_Model_CB!B17</f>
        <v/>
      </c>
      <c r="C514">
        <f>V_Model_CB!C17</f>
        <v/>
      </c>
      <c r="D514">
        <f>V_Model_CB!D17</f>
        <v/>
      </c>
      <c r="E514">
        <f>V_Model_CB!E17</f>
        <v/>
      </c>
      <c r="F514">
        <f>V_Model_CB!F17</f>
        <v/>
      </c>
      <c r="G514">
        <f>V_Model_CB!G17</f>
        <v/>
      </c>
      <c r="H514">
        <f>V_Model_CB!H17</f>
        <v/>
      </c>
      <c r="I514">
        <f>V_Model_CB!I17</f>
        <v/>
      </c>
      <c r="J514">
        <f>V_Model_CB!J17</f>
        <v/>
      </c>
      <c r="K514" s="672">
        <f>V_Model_CB!K17</f>
        <v/>
      </c>
      <c r="L514" s="672">
        <f>V_Model_CB!L17</f>
        <v/>
      </c>
      <c r="M514">
        <f>V_Model_CB!M17</f>
        <v/>
      </c>
      <c r="N514">
        <f>V_Model_CB!N17</f>
        <v/>
      </c>
      <c r="O514">
        <f>V_Model_CB!O17</f>
        <v/>
      </c>
      <c r="P514" s="628">
        <f>V_Model_CB!P17</f>
        <v/>
      </c>
      <c r="Q514" s="628">
        <f>V_Model_CB!Q17</f>
        <v/>
      </c>
      <c r="R514" s="628">
        <f>V_Model_CB!R17</f>
        <v/>
      </c>
      <c r="S514" s="628">
        <f>V_Model_CB!S17</f>
        <v/>
      </c>
      <c r="T514" s="628">
        <f>V_Model_CB!T17</f>
        <v/>
      </c>
      <c r="U514" s="628">
        <f>V_Model_CB!U17</f>
        <v/>
      </c>
      <c r="V514" s="628">
        <f>V_Model_CB!V17</f>
        <v/>
      </c>
      <c r="W514" s="628">
        <f>V_Model_CB!W17</f>
        <v/>
      </c>
      <c r="X514" s="628">
        <f>V_Model_CB!X17</f>
        <v/>
      </c>
      <c r="Y514" s="650">
        <f>V_Model_CB!Y17</f>
        <v/>
      </c>
      <c r="Z514" s="650">
        <f>V_Model_CB!Z17</f>
        <v/>
      </c>
      <c r="AA514" s="650">
        <f>V_Model_CB!AA17</f>
        <v/>
      </c>
      <c r="AB514" s="650">
        <f>V_Model_CB!AB17</f>
        <v/>
      </c>
      <c r="AC514" s="613">
        <f>V_Model_CB!AC17</f>
        <v/>
      </c>
      <c r="AD514" s="613">
        <f>V_Model_CB!AD17</f>
        <v/>
      </c>
      <c r="AE514" s="613">
        <f>V_Model_CB!AE17</f>
        <v/>
      </c>
      <c r="AF514" s="613">
        <f>V_Model_CB!AF17</f>
        <v/>
      </c>
      <c r="AG514" s="626">
        <f>V_Model_CB!AG17</f>
        <v/>
      </c>
      <c r="AH514" s="626">
        <f>V_Model_CB!AH17</f>
        <v/>
      </c>
      <c r="AI514" s="626">
        <f>V_Model_CB!AI17</f>
        <v/>
      </c>
      <c r="AJ514" s="626">
        <f>V_Model_CB!AJ17</f>
        <v/>
      </c>
      <c r="AK514" s="626">
        <f>V_Model_CB!AK17</f>
        <v/>
      </c>
      <c r="AL514" s="626">
        <f>V_Model_CB!AL17</f>
        <v/>
      </c>
      <c r="AM514" s="626">
        <f>V_Model_CB!AM17</f>
        <v/>
      </c>
      <c r="AN514" s="626">
        <f>V_Model_CB!AN17</f>
        <v/>
      </c>
      <c r="AO514" s="626">
        <f>V_Model_CB!AO17</f>
        <v/>
      </c>
      <c r="AP514" s="369">
        <f>V_Model_CB!AP17</f>
        <v/>
      </c>
      <c r="AQ514" s="369">
        <f>V_Model_CB!AQ17</f>
        <v/>
      </c>
      <c r="AR514" s="369">
        <f>V_Model_CB!AR17</f>
        <v/>
      </c>
      <c r="AS514" s="369">
        <f>V_Model_CB!AS17</f>
        <v/>
      </c>
      <c r="AT514" s="370">
        <f>V_Model_CB!AT17</f>
        <v/>
      </c>
      <c r="AU514" s="370">
        <f>V_Model_CB!AU17</f>
        <v/>
      </c>
      <c r="AV514" s="370">
        <f>V_Model_CB!AV17</f>
        <v/>
      </c>
      <c r="AW514" s="370">
        <f>V_Model_CB!AW17</f>
        <v/>
      </c>
      <c r="AX514">
        <f>V_Model_CB!AX17</f>
        <v/>
      </c>
      <c r="AY514">
        <f>V_Model_CB!AY17</f>
        <v/>
      </c>
      <c r="AZ514">
        <f>V_Model_CB!AZ17</f>
        <v/>
      </c>
      <c r="BA514">
        <f>V_Model_CB!BA17</f>
        <v/>
      </c>
      <c r="BB514">
        <f>V_Model_CB!BB17</f>
        <v/>
      </c>
      <c r="BC514">
        <f>V_Model_CB!BC17</f>
        <v/>
      </c>
      <c r="BD514">
        <f>V_Model_CB!BD17</f>
        <v/>
      </c>
      <c r="BE514">
        <f>V_Model_CB!BE17</f>
        <v/>
      </c>
      <c r="BF514">
        <f>V_Model_CB!BF17</f>
        <v/>
      </c>
      <c r="BG514">
        <f>V_Model_CB!BG17</f>
        <v/>
      </c>
      <c r="BH514">
        <f>V_Model_CB!BH17</f>
        <v/>
      </c>
      <c r="BI514">
        <f>V_Model_CB!BI17</f>
        <v/>
      </c>
      <c r="BJ514">
        <f>O514</f>
        <v/>
      </c>
      <c r="BK514">
        <f>SUM(AG514:AW514)</f>
        <v/>
      </c>
      <c r="BL514" s="531">
        <f>BJ514-BK514</f>
        <v/>
      </c>
      <c r="BM514" s="201" t="n"/>
    </row>
    <row r="515" hidden="1" outlineLevel="1" s="191">
      <c r="A515">
        <f>V_Model_CB!A18</f>
        <v/>
      </c>
      <c r="B515">
        <f>V_Model_CB!B18</f>
        <v/>
      </c>
      <c r="C515">
        <f>V_Model_CB!C18</f>
        <v/>
      </c>
      <c r="D515">
        <f>V_Model_CB!D18</f>
        <v/>
      </c>
      <c r="E515">
        <f>V_Model_CB!E18</f>
        <v/>
      </c>
      <c r="F515">
        <f>V_Model_CB!F18</f>
        <v/>
      </c>
      <c r="G515">
        <f>V_Model_CB!G18</f>
        <v/>
      </c>
      <c r="H515">
        <f>V_Model_CB!#REF!</f>
        <v/>
      </c>
      <c r="I515">
        <f>V_Model_CB!I18</f>
        <v/>
      </c>
      <c r="J515">
        <f>V_Model_CB!J18</f>
        <v/>
      </c>
      <c r="K515" s="672">
        <f>V_Model_CB!K18</f>
        <v/>
      </c>
      <c r="L515" s="672">
        <f>V_Model_CB!L18</f>
        <v/>
      </c>
      <c r="M515">
        <f>V_Model_CB!M18</f>
        <v/>
      </c>
      <c r="N515">
        <f>V_Model_CB!N18</f>
        <v/>
      </c>
      <c r="O515">
        <f>V_Model_CB!O18</f>
        <v/>
      </c>
      <c r="P515" s="628">
        <f>V_Model_CB!P18</f>
        <v/>
      </c>
      <c r="Q515" s="628">
        <f>V_Model_CB!Q18</f>
        <v/>
      </c>
      <c r="R515" s="628">
        <f>V_Model_CB!R18</f>
        <v/>
      </c>
      <c r="S515" s="628">
        <f>V_Model_CB!S18</f>
        <v/>
      </c>
      <c r="T515" s="628">
        <f>V_Model_CB!T18</f>
        <v/>
      </c>
      <c r="U515" s="628">
        <f>V_Model_CB!U18</f>
        <v/>
      </c>
      <c r="V515" s="628">
        <f>V_Model_CB!V18</f>
        <v/>
      </c>
      <c r="W515" s="628">
        <f>V_Model_CB!W18</f>
        <v/>
      </c>
      <c r="X515" s="628">
        <f>V_Model_CB!X18</f>
        <v/>
      </c>
      <c r="Y515" s="650">
        <f>V_Model_CB!Y18</f>
        <v/>
      </c>
      <c r="Z515" s="650">
        <f>V_Model_CB!Z18</f>
        <v/>
      </c>
      <c r="AA515" s="650">
        <f>V_Model_CB!AA18</f>
        <v/>
      </c>
      <c r="AB515" s="650">
        <f>V_Model_CB!AB18</f>
        <v/>
      </c>
      <c r="AC515" s="613">
        <f>V_Model_CB!AC18</f>
        <v/>
      </c>
      <c r="AD515" s="613">
        <f>V_Model_CB!AD18</f>
        <v/>
      </c>
      <c r="AE515" s="613">
        <f>V_Model_CB!AE18</f>
        <v/>
      </c>
      <c r="AF515" s="613">
        <f>V_Model_CB!AF18</f>
        <v/>
      </c>
      <c r="AG515" s="626">
        <f>V_Model_CB!AG18</f>
        <v/>
      </c>
      <c r="AH515" s="626">
        <f>V_Model_CB!AH18</f>
        <v/>
      </c>
      <c r="AI515" s="626">
        <f>V_Model_CB!AI18</f>
        <v/>
      </c>
      <c r="AJ515" s="626">
        <f>V_Model_CB!AJ18</f>
        <v/>
      </c>
      <c r="AK515" s="626">
        <f>V_Model_CB!AK18</f>
        <v/>
      </c>
      <c r="AL515" s="626">
        <f>V_Model_CB!AL18</f>
        <v/>
      </c>
      <c r="AM515" s="626">
        <f>V_Model_CB!AM18</f>
        <v/>
      </c>
      <c r="AN515" s="626">
        <f>V_Model_CB!AN18</f>
        <v/>
      </c>
      <c r="AO515" s="626">
        <f>V_Model_CB!AO18</f>
        <v/>
      </c>
      <c r="AP515" s="369">
        <f>V_Model_CB!AP18</f>
        <v/>
      </c>
      <c r="AQ515" s="369">
        <f>V_Model_CB!AQ18</f>
        <v/>
      </c>
      <c r="AR515" s="369">
        <f>V_Model_CB!AR18</f>
        <v/>
      </c>
      <c r="AS515" s="369">
        <f>V_Model_CB!AS18</f>
        <v/>
      </c>
      <c r="AT515" s="370">
        <f>V_Model_CB!AT18</f>
        <v/>
      </c>
      <c r="AU515" s="370">
        <f>V_Model_CB!AU18</f>
        <v/>
      </c>
      <c r="AV515" s="370">
        <f>V_Model_CB!AV18</f>
        <v/>
      </c>
      <c r="AW515" s="370">
        <f>V_Model_CB!AW18</f>
        <v/>
      </c>
      <c r="AX515">
        <f>V_Model_CB!AX18</f>
        <v/>
      </c>
      <c r="AY515">
        <f>V_Model_CB!AY18</f>
        <v/>
      </c>
      <c r="AZ515">
        <f>V_Model_CB!AZ18</f>
        <v/>
      </c>
      <c r="BA515">
        <f>V_Model_CB!BA18</f>
        <v/>
      </c>
      <c r="BB515">
        <f>V_Model_CB!BB18</f>
        <v/>
      </c>
      <c r="BC515">
        <f>V_Model_CB!BC18</f>
        <v/>
      </c>
      <c r="BD515">
        <f>V_Model_CB!BD18</f>
        <v/>
      </c>
      <c r="BE515">
        <f>V_Model_CB!BE18</f>
        <v/>
      </c>
      <c r="BF515">
        <f>V_Model_CB!BF18</f>
        <v/>
      </c>
      <c r="BG515">
        <f>V_Model_CB!BG18</f>
        <v/>
      </c>
      <c r="BH515">
        <f>V_Model_CB!BH18</f>
        <v/>
      </c>
      <c r="BI515">
        <f>V_Model_CB!BI18</f>
        <v/>
      </c>
      <c r="BJ515">
        <f>O515</f>
        <v/>
      </c>
      <c r="BK515">
        <f>SUM(AG515:AW515)</f>
        <v/>
      </c>
      <c r="BL515" s="531">
        <f>BJ515-BK515</f>
        <v/>
      </c>
      <c r="BM515" s="201" t="n"/>
    </row>
    <row r="516" hidden="1" outlineLevel="1" s="191">
      <c r="A516">
        <f>V_Model_CB!A19</f>
        <v/>
      </c>
      <c r="B516">
        <f>V_Model_CB!B19</f>
        <v/>
      </c>
      <c r="C516">
        <f>V_Model_CB!C19</f>
        <v/>
      </c>
      <c r="D516">
        <f>V_Model_CB!D19</f>
        <v/>
      </c>
      <c r="E516">
        <f>V_Model_CB!E19</f>
        <v/>
      </c>
      <c r="F516">
        <f>V_Model_CB!F19</f>
        <v/>
      </c>
      <c r="G516">
        <f>V_Model_CB!G19</f>
        <v/>
      </c>
      <c r="H516">
        <f>V_Model_CB!H18</f>
        <v/>
      </c>
      <c r="I516">
        <f>V_Model_CB!I19</f>
        <v/>
      </c>
      <c r="J516">
        <f>V_Model_CB!J19</f>
        <v/>
      </c>
      <c r="K516" s="672">
        <f>V_Model_CB!K19</f>
        <v/>
      </c>
      <c r="L516" s="672">
        <f>V_Model_CB!L19</f>
        <v/>
      </c>
      <c r="M516">
        <f>V_Model_CB!M19</f>
        <v/>
      </c>
      <c r="N516">
        <f>V_Model_CB!N19</f>
        <v/>
      </c>
      <c r="O516">
        <f>V_Model_CB!O19</f>
        <v/>
      </c>
      <c r="P516" s="628">
        <f>V_Model_CB!P19</f>
        <v/>
      </c>
      <c r="Q516" s="628">
        <f>V_Model_CB!Q19</f>
        <v/>
      </c>
      <c r="R516" s="628">
        <f>V_Model_CB!R19</f>
        <v/>
      </c>
      <c r="S516" s="628">
        <f>V_Model_CB!S19</f>
        <v/>
      </c>
      <c r="T516" s="628">
        <f>V_Model_CB!T19</f>
        <v/>
      </c>
      <c r="U516" s="628">
        <f>V_Model_CB!U19</f>
        <v/>
      </c>
      <c r="V516" s="628">
        <f>V_Model_CB!V19</f>
        <v/>
      </c>
      <c r="W516" s="628">
        <f>V_Model_CB!W19</f>
        <v/>
      </c>
      <c r="X516" s="628">
        <f>V_Model_CB!X19</f>
        <v/>
      </c>
      <c r="Y516" s="650">
        <f>V_Model_CB!Y19</f>
        <v/>
      </c>
      <c r="Z516" s="650">
        <f>V_Model_CB!Z19</f>
        <v/>
      </c>
      <c r="AA516" s="650">
        <f>V_Model_CB!AA19</f>
        <v/>
      </c>
      <c r="AB516" s="650">
        <f>V_Model_CB!AB19</f>
        <v/>
      </c>
      <c r="AC516" s="613">
        <f>V_Model_CB!AC19</f>
        <v/>
      </c>
      <c r="AD516" s="613">
        <f>V_Model_CB!AD19</f>
        <v/>
      </c>
      <c r="AE516" s="613">
        <f>V_Model_CB!AE19</f>
        <v/>
      </c>
      <c r="AF516" s="613">
        <f>V_Model_CB!AF19</f>
        <v/>
      </c>
      <c r="AG516" s="626">
        <f>V_Model_CB!AG19</f>
        <v/>
      </c>
      <c r="AH516" s="626">
        <f>V_Model_CB!AH19</f>
        <v/>
      </c>
      <c r="AI516" s="626">
        <f>V_Model_CB!AI19</f>
        <v/>
      </c>
      <c r="AJ516" s="626">
        <f>V_Model_CB!AJ19</f>
        <v/>
      </c>
      <c r="AK516" s="626">
        <f>V_Model_CB!AK19</f>
        <v/>
      </c>
      <c r="AL516" s="626">
        <f>V_Model_CB!AL19</f>
        <v/>
      </c>
      <c r="AM516" s="626">
        <f>V_Model_CB!AM19</f>
        <v/>
      </c>
      <c r="AN516" s="626">
        <f>V_Model_CB!AN19</f>
        <v/>
      </c>
      <c r="AO516" s="626">
        <f>V_Model_CB!AO19</f>
        <v/>
      </c>
      <c r="AP516" s="369">
        <f>V_Model_CB!AP19</f>
        <v/>
      </c>
      <c r="AQ516" s="369">
        <f>V_Model_CB!AQ19</f>
        <v/>
      </c>
      <c r="AR516" s="369">
        <f>V_Model_CB!AR19</f>
        <v/>
      </c>
      <c r="AS516" s="369">
        <f>V_Model_CB!AS19</f>
        <v/>
      </c>
      <c r="AT516" s="370">
        <f>V_Model_CB!AT19</f>
        <v/>
      </c>
      <c r="AU516" s="370">
        <f>V_Model_CB!AU19</f>
        <v/>
      </c>
      <c r="AV516" s="370">
        <f>V_Model_CB!AV19</f>
        <v/>
      </c>
      <c r="AW516" s="370">
        <f>V_Model_CB!AW19</f>
        <v/>
      </c>
      <c r="AX516">
        <f>V_Model_CB!AX19</f>
        <v/>
      </c>
      <c r="AY516">
        <f>V_Model_CB!AY19</f>
        <v/>
      </c>
      <c r="AZ516">
        <f>V_Model_CB!AZ19</f>
        <v/>
      </c>
      <c r="BA516">
        <f>V_Model_CB!BA19</f>
        <v/>
      </c>
      <c r="BB516">
        <f>V_Model_CB!BB19</f>
        <v/>
      </c>
      <c r="BC516">
        <f>V_Model_CB!BC19</f>
        <v/>
      </c>
      <c r="BD516">
        <f>V_Model_CB!BD19</f>
        <v/>
      </c>
      <c r="BE516">
        <f>V_Model_CB!BE19</f>
        <v/>
      </c>
      <c r="BF516">
        <f>V_Model_CB!BF19</f>
        <v/>
      </c>
      <c r="BG516">
        <f>V_Model_CB!BG19</f>
        <v/>
      </c>
      <c r="BH516">
        <f>V_Model_CB!BH19</f>
        <v/>
      </c>
      <c r="BI516">
        <f>V_Model_CB!BI19</f>
        <v/>
      </c>
      <c r="BJ516">
        <f>O516</f>
        <v/>
      </c>
      <c r="BK516">
        <f>SUM(AG516:AW516)</f>
        <v/>
      </c>
      <c r="BL516" s="531">
        <f>BJ516-BK516</f>
        <v/>
      </c>
      <c r="BM516" s="201" t="n"/>
    </row>
    <row r="517" hidden="1" outlineLevel="1" s="191">
      <c r="A517">
        <f>V_Model_CB!A20</f>
        <v/>
      </c>
      <c r="B517">
        <f>V_Model_CB!B20</f>
        <v/>
      </c>
      <c r="C517">
        <f>V_Model_CB!C20</f>
        <v/>
      </c>
      <c r="D517">
        <f>V_Model_CB!D20</f>
        <v/>
      </c>
      <c r="E517">
        <f>V_Model_CB!E20</f>
        <v/>
      </c>
      <c r="F517">
        <f>V_Model_CB!F20</f>
        <v/>
      </c>
      <c r="G517">
        <f>V_Model_CB!G20</f>
        <v/>
      </c>
      <c r="H517">
        <f>V_Model_CB!H19</f>
        <v/>
      </c>
      <c r="I517">
        <f>V_Model_CB!I20</f>
        <v/>
      </c>
      <c r="J517">
        <f>V_Model_CB!J20</f>
        <v/>
      </c>
      <c r="K517" s="672">
        <f>V_Model_CB!K20</f>
        <v/>
      </c>
      <c r="L517" s="672">
        <f>V_Model_CB!L20</f>
        <v/>
      </c>
      <c r="M517">
        <f>V_Model_CB!M20</f>
        <v/>
      </c>
      <c r="N517">
        <f>V_Model_CB!N20</f>
        <v/>
      </c>
      <c r="O517">
        <f>V_Model_CB!O20</f>
        <v/>
      </c>
      <c r="P517" s="628">
        <f>V_Model_CB!P20</f>
        <v/>
      </c>
      <c r="Q517" s="628">
        <f>V_Model_CB!Q20</f>
        <v/>
      </c>
      <c r="R517" s="628">
        <f>V_Model_CB!R20</f>
        <v/>
      </c>
      <c r="S517" s="628">
        <f>V_Model_CB!S20</f>
        <v/>
      </c>
      <c r="T517" s="628">
        <f>V_Model_CB!T20</f>
        <v/>
      </c>
      <c r="U517" s="628">
        <f>V_Model_CB!U20</f>
        <v/>
      </c>
      <c r="V517" s="628">
        <f>V_Model_CB!V20</f>
        <v/>
      </c>
      <c r="W517" s="628">
        <f>V_Model_CB!W20</f>
        <v/>
      </c>
      <c r="X517" s="628">
        <f>V_Model_CB!X20</f>
        <v/>
      </c>
      <c r="Y517" s="650">
        <f>V_Model_CB!Y20</f>
        <v/>
      </c>
      <c r="Z517" s="650">
        <f>V_Model_CB!Z20</f>
        <v/>
      </c>
      <c r="AA517" s="650">
        <f>V_Model_CB!AA20</f>
        <v/>
      </c>
      <c r="AB517" s="650">
        <f>V_Model_CB!AB20</f>
        <v/>
      </c>
      <c r="AC517" s="613">
        <f>V_Model_CB!AC20</f>
        <v/>
      </c>
      <c r="AD517" s="613">
        <f>V_Model_CB!AD20</f>
        <v/>
      </c>
      <c r="AE517" s="613">
        <f>V_Model_CB!AE20</f>
        <v/>
      </c>
      <c r="AF517" s="613">
        <f>V_Model_CB!AF20</f>
        <v/>
      </c>
      <c r="AG517" s="626">
        <f>V_Model_CB!AG20</f>
        <v/>
      </c>
      <c r="AH517" s="626">
        <f>V_Model_CB!AH20</f>
        <v/>
      </c>
      <c r="AI517" s="626">
        <f>V_Model_CB!AI20</f>
        <v/>
      </c>
      <c r="AJ517" s="626">
        <f>V_Model_CB!AJ20</f>
        <v/>
      </c>
      <c r="AK517" s="626">
        <f>V_Model_CB!AK20</f>
        <v/>
      </c>
      <c r="AL517" s="626">
        <f>V_Model_CB!AL20</f>
        <v/>
      </c>
      <c r="AM517" s="626">
        <f>V_Model_CB!AM20</f>
        <v/>
      </c>
      <c r="AN517" s="626">
        <f>V_Model_CB!AN20</f>
        <v/>
      </c>
      <c r="AO517" s="626">
        <f>V_Model_CB!AO20</f>
        <v/>
      </c>
      <c r="AP517" s="369">
        <f>V_Model_CB!AP20</f>
        <v/>
      </c>
      <c r="AQ517" s="369">
        <f>V_Model_CB!AQ20</f>
        <v/>
      </c>
      <c r="AR517" s="369">
        <f>V_Model_CB!AR20</f>
        <v/>
      </c>
      <c r="AS517" s="369">
        <f>V_Model_CB!AS20</f>
        <v/>
      </c>
      <c r="AT517" s="370">
        <f>V_Model_CB!AT20</f>
        <v/>
      </c>
      <c r="AU517" s="370">
        <f>V_Model_CB!AU20</f>
        <v/>
      </c>
      <c r="AV517" s="370">
        <f>V_Model_CB!AV20</f>
        <v/>
      </c>
      <c r="AW517" s="370">
        <f>V_Model_CB!AW20</f>
        <v/>
      </c>
      <c r="AX517">
        <f>V_Model_CB!AX20</f>
        <v/>
      </c>
      <c r="AY517">
        <f>V_Model_CB!AY20</f>
        <v/>
      </c>
      <c r="AZ517">
        <f>V_Model_CB!AZ20</f>
        <v/>
      </c>
      <c r="BA517">
        <f>V_Model_CB!BA20</f>
        <v/>
      </c>
      <c r="BB517">
        <f>V_Model_CB!BB20</f>
        <v/>
      </c>
      <c r="BC517">
        <f>V_Model_CB!BC20</f>
        <v/>
      </c>
      <c r="BD517">
        <f>V_Model_CB!BD20</f>
        <v/>
      </c>
      <c r="BE517">
        <f>V_Model_CB!BE20</f>
        <v/>
      </c>
      <c r="BF517">
        <f>V_Model_CB!BF20</f>
        <v/>
      </c>
      <c r="BG517">
        <f>V_Model_CB!BG20</f>
        <v/>
      </c>
      <c r="BH517">
        <f>V_Model_CB!BH20</f>
        <v/>
      </c>
      <c r="BI517">
        <f>V_Model_CB!BI20</f>
        <v/>
      </c>
      <c r="BJ517">
        <f>O517</f>
        <v/>
      </c>
      <c r="BK517">
        <f>SUM(AG517:AW517)</f>
        <v/>
      </c>
      <c r="BL517" s="531">
        <f>BJ517-BK517</f>
        <v/>
      </c>
      <c r="BM517" s="201" t="n"/>
    </row>
    <row r="518" hidden="1" outlineLevel="1" s="191">
      <c r="A518">
        <f>V_Model_CB!A21</f>
        <v/>
      </c>
      <c r="B518">
        <f>V_Model_CB!B21</f>
        <v/>
      </c>
      <c r="C518">
        <f>V_Model_CB!C21</f>
        <v/>
      </c>
      <c r="D518">
        <f>V_Model_CB!D21</f>
        <v/>
      </c>
      <c r="E518">
        <f>V_Model_CB!E21</f>
        <v/>
      </c>
      <c r="F518">
        <f>V_Model_CB!F21</f>
        <v/>
      </c>
      <c r="G518">
        <f>V_Model_CB!G21</f>
        <v/>
      </c>
      <c r="H518">
        <f>V_Model_CB!H20</f>
        <v/>
      </c>
      <c r="I518">
        <f>V_Model_CB!I21</f>
        <v/>
      </c>
      <c r="J518">
        <f>V_Model_CB!J21</f>
        <v/>
      </c>
      <c r="K518" s="672">
        <f>V_Model_CB!K21</f>
        <v/>
      </c>
      <c r="L518" s="672">
        <f>V_Model_CB!L21</f>
        <v/>
      </c>
      <c r="M518">
        <f>V_Model_CB!M21</f>
        <v/>
      </c>
      <c r="N518">
        <f>V_Model_CB!N21</f>
        <v/>
      </c>
      <c r="O518">
        <f>V_Model_CB!O21</f>
        <v/>
      </c>
      <c r="P518" s="628">
        <f>V_Model_CB!P21</f>
        <v/>
      </c>
      <c r="Q518" s="628">
        <f>V_Model_CB!Q21</f>
        <v/>
      </c>
      <c r="R518" s="628">
        <f>V_Model_CB!R21</f>
        <v/>
      </c>
      <c r="S518" s="628">
        <f>V_Model_CB!S21</f>
        <v/>
      </c>
      <c r="T518" s="628">
        <f>V_Model_CB!T21</f>
        <v/>
      </c>
      <c r="U518" s="628">
        <f>V_Model_CB!U21</f>
        <v/>
      </c>
      <c r="V518" s="628">
        <f>V_Model_CB!V21</f>
        <v/>
      </c>
      <c r="W518" s="628">
        <f>V_Model_CB!W21</f>
        <v/>
      </c>
      <c r="X518" s="628">
        <f>V_Model_CB!X21</f>
        <v/>
      </c>
      <c r="Y518" s="650">
        <f>V_Model_CB!Y21</f>
        <v/>
      </c>
      <c r="Z518" s="650">
        <f>V_Model_CB!Z21</f>
        <v/>
      </c>
      <c r="AA518" s="650">
        <f>V_Model_CB!AA21</f>
        <v/>
      </c>
      <c r="AB518" s="650">
        <f>V_Model_CB!AB21</f>
        <v/>
      </c>
      <c r="AC518" s="613">
        <f>V_Model_CB!AC21</f>
        <v/>
      </c>
      <c r="AD518" s="613">
        <f>V_Model_CB!AD21</f>
        <v/>
      </c>
      <c r="AE518" s="613">
        <f>V_Model_CB!AE21</f>
        <v/>
      </c>
      <c r="AF518" s="613">
        <f>V_Model_CB!AF21</f>
        <v/>
      </c>
      <c r="AG518" s="626">
        <f>V_Model_CB!AG21</f>
        <v/>
      </c>
      <c r="AH518" s="626">
        <f>V_Model_CB!AH21</f>
        <v/>
      </c>
      <c r="AI518" s="626">
        <f>V_Model_CB!AI21</f>
        <v/>
      </c>
      <c r="AJ518" s="626">
        <f>V_Model_CB!AJ21</f>
        <v/>
      </c>
      <c r="AK518" s="626">
        <f>V_Model_CB!AK21</f>
        <v/>
      </c>
      <c r="AL518" s="626">
        <f>V_Model_CB!AL21</f>
        <v/>
      </c>
      <c r="AM518" s="626">
        <f>V_Model_CB!AM21</f>
        <v/>
      </c>
      <c r="AN518" s="626">
        <f>V_Model_CB!AN21</f>
        <v/>
      </c>
      <c r="AO518" s="626">
        <f>V_Model_CB!AO21</f>
        <v/>
      </c>
      <c r="AP518" s="369">
        <f>V_Model_CB!AP21</f>
        <v/>
      </c>
      <c r="AQ518" s="369">
        <f>V_Model_CB!AQ21</f>
        <v/>
      </c>
      <c r="AR518" s="369">
        <f>V_Model_CB!AR21</f>
        <v/>
      </c>
      <c r="AS518" s="369">
        <f>V_Model_CB!AS21</f>
        <v/>
      </c>
      <c r="AT518" s="370">
        <f>V_Model_CB!AT21</f>
        <v/>
      </c>
      <c r="AU518" s="370">
        <f>V_Model_CB!AU21</f>
        <v/>
      </c>
      <c r="AV518" s="370">
        <f>V_Model_CB!AV21</f>
        <v/>
      </c>
      <c r="AW518" s="370">
        <f>V_Model_CB!AW21</f>
        <v/>
      </c>
      <c r="AX518">
        <f>V_Model_CB!AX21</f>
        <v/>
      </c>
      <c r="AY518">
        <f>V_Model_CB!AY21</f>
        <v/>
      </c>
      <c r="AZ518">
        <f>V_Model_CB!AZ21</f>
        <v/>
      </c>
      <c r="BA518">
        <f>V_Model_CB!BA21</f>
        <v/>
      </c>
      <c r="BB518">
        <f>V_Model_CB!BB21</f>
        <v/>
      </c>
      <c r="BC518">
        <f>V_Model_CB!BC21</f>
        <v/>
      </c>
      <c r="BD518">
        <f>V_Model_CB!BD21</f>
        <v/>
      </c>
      <c r="BE518">
        <f>V_Model_CB!BE21</f>
        <v/>
      </c>
      <c r="BF518">
        <f>V_Model_CB!BF21</f>
        <v/>
      </c>
      <c r="BG518">
        <f>V_Model_CB!BG21</f>
        <v/>
      </c>
      <c r="BH518">
        <f>V_Model_CB!BH21</f>
        <v/>
      </c>
      <c r="BI518">
        <f>V_Model_CB!BI21</f>
        <v/>
      </c>
      <c r="BJ518">
        <f>O518</f>
        <v/>
      </c>
      <c r="BK518">
        <f>SUM(AG518:AW518)</f>
        <v/>
      </c>
      <c r="BL518" s="531">
        <f>BJ518-BK518</f>
        <v/>
      </c>
      <c r="BM518" s="201" t="n"/>
    </row>
    <row r="519" hidden="1" outlineLevel="1" s="191">
      <c r="A519">
        <f>V_Model_CB!A22</f>
        <v/>
      </c>
      <c r="B519">
        <f>V_Model_CB!B22</f>
        <v/>
      </c>
      <c r="C519">
        <f>V_Model_CB!C22</f>
        <v/>
      </c>
      <c r="D519">
        <f>V_Model_CB!D22</f>
        <v/>
      </c>
      <c r="E519">
        <f>V_Model_CB!E22</f>
        <v/>
      </c>
      <c r="F519">
        <f>V_Model_CB!F22</f>
        <v/>
      </c>
      <c r="G519">
        <f>V_Model_CB!G22</f>
        <v/>
      </c>
      <c r="H519">
        <f>V_Model_CB!H21</f>
        <v/>
      </c>
      <c r="I519">
        <f>V_Model_CB!I22</f>
        <v/>
      </c>
      <c r="J519">
        <f>V_Model_CB!J22</f>
        <v/>
      </c>
      <c r="K519" s="672">
        <f>V_Model_CB!K22</f>
        <v/>
      </c>
      <c r="L519" s="672">
        <f>V_Model_CB!L22</f>
        <v/>
      </c>
      <c r="M519">
        <f>V_Model_CB!M22</f>
        <v/>
      </c>
      <c r="N519">
        <f>V_Model_CB!N22</f>
        <v/>
      </c>
      <c r="O519">
        <f>V_Model_CB!O22</f>
        <v/>
      </c>
      <c r="P519" s="628">
        <f>V_Model_CB!P22</f>
        <v/>
      </c>
      <c r="Q519" s="628">
        <f>V_Model_CB!Q22</f>
        <v/>
      </c>
      <c r="R519" s="628">
        <f>V_Model_CB!R22</f>
        <v/>
      </c>
      <c r="S519" s="628">
        <f>V_Model_CB!S22</f>
        <v/>
      </c>
      <c r="T519" s="628">
        <f>V_Model_CB!T22</f>
        <v/>
      </c>
      <c r="U519" s="628">
        <f>V_Model_CB!U22</f>
        <v/>
      </c>
      <c r="V519" s="628">
        <f>V_Model_CB!V22</f>
        <v/>
      </c>
      <c r="W519" s="628">
        <f>V_Model_CB!W22</f>
        <v/>
      </c>
      <c r="X519" s="628">
        <f>V_Model_CB!X22</f>
        <v/>
      </c>
      <c r="Y519" s="650">
        <f>V_Model_CB!Y22</f>
        <v/>
      </c>
      <c r="Z519" s="650">
        <f>V_Model_CB!Z22</f>
        <v/>
      </c>
      <c r="AA519" s="650">
        <f>V_Model_CB!AA22</f>
        <v/>
      </c>
      <c r="AB519" s="650">
        <f>V_Model_CB!AB22</f>
        <v/>
      </c>
      <c r="AC519" s="613">
        <f>V_Model_CB!AC22</f>
        <v/>
      </c>
      <c r="AD519" s="613">
        <f>V_Model_CB!AD22</f>
        <v/>
      </c>
      <c r="AE519" s="613">
        <f>V_Model_CB!AE22</f>
        <v/>
      </c>
      <c r="AF519" s="613">
        <f>V_Model_CB!AF22</f>
        <v/>
      </c>
      <c r="AG519" s="626">
        <f>V_Model_CB!AG22</f>
        <v/>
      </c>
      <c r="AH519" s="626">
        <f>V_Model_CB!AH22</f>
        <v/>
      </c>
      <c r="AI519" s="626">
        <f>V_Model_CB!AI22</f>
        <v/>
      </c>
      <c r="AJ519" s="626">
        <f>V_Model_CB!AJ22</f>
        <v/>
      </c>
      <c r="AK519" s="626">
        <f>V_Model_CB!AK22</f>
        <v/>
      </c>
      <c r="AL519" s="626">
        <f>V_Model_CB!AL22</f>
        <v/>
      </c>
      <c r="AM519" s="626">
        <f>V_Model_CB!AM22</f>
        <v/>
      </c>
      <c r="AN519" s="626">
        <f>V_Model_CB!AN22</f>
        <v/>
      </c>
      <c r="AO519" s="626">
        <f>V_Model_CB!AO22</f>
        <v/>
      </c>
      <c r="AP519" s="369">
        <f>V_Model_CB!AP22</f>
        <v/>
      </c>
      <c r="AQ519" s="369">
        <f>V_Model_CB!AQ22</f>
        <v/>
      </c>
      <c r="AR519" s="369">
        <f>V_Model_CB!AR22</f>
        <v/>
      </c>
      <c r="AS519" s="369">
        <f>V_Model_CB!AS22</f>
        <v/>
      </c>
      <c r="AT519" s="370">
        <f>V_Model_CB!AT22</f>
        <v/>
      </c>
      <c r="AU519" s="370">
        <f>V_Model_CB!AU22</f>
        <v/>
      </c>
      <c r="AV519" s="370">
        <f>V_Model_CB!AV22</f>
        <v/>
      </c>
      <c r="AW519" s="370">
        <f>V_Model_CB!AW22</f>
        <v/>
      </c>
      <c r="AX519">
        <f>V_Model_CB!AX22</f>
        <v/>
      </c>
      <c r="AY519">
        <f>V_Model_CB!AY22</f>
        <v/>
      </c>
      <c r="AZ519">
        <f>V_Model_CB!AZ22</f>
        <v/>
      </c>
      <c r="BA519">
        <f>V_Model_CB!BA22</f>
        <v/>
      </c>
      <c r="BB519">
        <f>V_Model_CB!BB22</f>
        <v/>
      </c>
      <c r="BC519">
        <f>V_Model_CB!BC22</f>
        <v/>
      </c>
      <c r="BD519">
        <f>V_Model_CB!BD22</f>
        <v/>
      </c>
      <c r="BE519">
        <f>V_Model_CB!BE22</f>
        <v/>
      </c>
      <c r="BF519">
        <f>V_Model_CB!BF22</f>
        <v/>
      </c>
      <c r="BG519">
        <f>V_Model_CB!BG22</f>
        <v/>
      </c>
      <c r="BH519">
        <f>V_Model_CB!BH22</f>
        <v/>
      </c>
      <c r="BI519">
        <f>V_Model_CB!BI22</f>
        <v/>
      </c>
      <c r="BJ519">
        <f>O519</f>
        <v/>
      </c>
      <c r="BK519">
        <f>SUM(AG519:AW519)</f>
        <v/>
      </c>
      <c r="BL519" s="531">
        <f>BJ519-BK519</f>
        <v/>
      </c>
      <c r="BM519" s="201" t="n"/>
    </row>
    <row r="520" hidden="1" outlineLevel="1" s="191">
      <c r="A520">
        <f>V_Model_CB!A23</f>
        <v/>
      </c>
      <c r="B520">
        <f>V_Model_CB!B23</f>
        <v/>
      </c>
      <c r="C520">
        <f>V_Model_CB!C23</f>
        <v/>
      </c>
      <c r="D520">
        <f>V_Model_CB!D23</f>
        <v/>
      </c>
      <c r="E520">
        <f>V_Model_CB!E23</f>
        <v/>
      </c>
      <c r="F520">
        <f>V_Model_CB!F23</f>
        <v/>
      </c>
      <c r="G520">
        <f>V_Model_CB!G23</f>
        <v/>
      </c>
      <c r="H520">
        <f>V_Model_CB!#REF!</f>
        <v/>
      </c>
      <c r="I520">
        <f>V_Model_CB!I23</f>
        <v/>
      </c>
      <c r="J520">
        <f>V_Model_CB!J23</f>
        <v/>
      </c>
      <c r="K520" s="672">
        <f>V_Model_CB!K23</f>
        <v/>
      </c>
      <c r="L520" s="672">
        <f>V_Model_CB!L23</f>
        <v/>
      </c>
      <c r="M520">
        <f>V_Model_CB!M23</f>
        <v/>
      </c>
      <c r="N520">
        <f>V_Model_CB!N23</f>
        <v/>
      </c>
      <c r="O520">
        <f>V_Model_CB!O23</f>
        <v/>
      </c>
      <c r="P520" s="628">
        <f>V_Model_CB!P23</f>
        <v/>
      </c>
      <c r="Q520" s="628">
        <f>V_Model_CB!Q23</f>
        <v/>
      </c>
      <c r="R520" s="628">
        <f>V_Model_CB!R23</f>
        <v/>
      </c>
      <c r="S520" s="628">
        <f>V_Model_CB!S23</f>
        <v/>
      </c>
      <c r="T520" s="628">
        <f>V_Model_CB!T23</f>
        <v/>
      </c>
      <c r="U520" s="628">
        <f>V_Model_CB!U23</f>
        <v/>
      </c>
      <c r="V520" s="628">
        <f>V_Model_CB!V23</f>
        <v/>
      </c>
      <c r="W520" s="628">
        <f>V_Model_CB!W23</f>
        <v/>
      </c>
      <c r="X520" s="628">
        <f>V_Model_CB!X23</f>
        <v/>
      </c>
      <c r="Y520" s="650">
        <f>V_Model_CB!Y23</f>
        <v/>
      </c>
      <c r="Z520" s="650">
        <f>V_Model_CB!Z23</f>
        <v/>
      </c>
      <c r="AA520" s="650">
        <f>V_Model_CB!AA23</f>
        <v/>
      </c>
      <c r="AB520" s="650">
        <f>V_Model_CB!AB23</f>
        <v/>
      </c>
      <c r="AC520" s="613">
        <f>V_Model_CB!AC23</f>
        <v/>
      </c>
      <c r="AD520" s="613">
        <f>V_Model_CB!AD23</f>
        <v/>
      </c>
      <c r="AE520" s="613">
        <f>V_Model_CB!AE23</f>
        <v/>
      </c>
      <c r="AF520" s="613">
        <f>V_Model_CB!AF23</f>
        <v/>
      </c>
      <c r="AG520" s="626">
        <f>V_Model_CB!AG23</f>
        <v/>
      </c>
      <c r="AH520" s="626">
        <f>V_Model_CB!AH23</f>
        <v/>
      </c>
      <c r="AI520" s="626">
        <f>V_Model_CB!AI23</f>
        <v/>
      </c>
      <c r="AJ520" s="626">
        <f>V_Model_CB!AJ23</f>
        <v/>
      </c>
      <c r="AK520" s="626">
        <f>V_Model_CB!AK23</f>
        <v/>
      </c>
      <c r="AL520" s="626">
        <f>V_Model_CB!AL23</f>
        <v/>
      </c>
      <c r="AM520" s="626">
        <f>V_Model_CB!AM23</f>
        <v/>
      </c>
      <c r="AN520" s="626">
        <f>V_Model_CB!AN23</f>
        <v/>
      </c>
      <c r="AO520" s="626">
        <f>V_Model_CB!AO23</f>
        <v/>
      </c>
      <c r="AP520" s="369">
        <f>V_Model_CB!AP23</f>
        <v/>
      </c>
      <c r="AQ520" s="369">
        <f>V_Model_CB!AQ23</f>
        <v/>
      </c>
      <c r="AR520" s="369">
        <f>V_Model_CB!AR23</f>
        <v/>
      </c>
      <c r="AS520" s="369">
        <f>V_Model_CB!AS23</f>
        <v/>
      </c>
      <c r="AT520" s="370">
        <f>V_Model_CB!AT23</f>
        <v/>
      </c>
      <c r="AU520" s="370">
        <f>V_Model_CB!AU23</f>
        <v/>
      </c>
      <c r="AV520" s="370">
        <f>V_Model_CB!AV23</f>
        <v/>
      </c>
      <c r="AW520" s="370">
        <f>V_Model_CB!AW23</f>
        <v/>
      </c>
      <c r="AX520">
        <f>V_Model_CB!AX23</f>
        <v/>
      </c>
      <c r="AY520">
        <f>V_Model_CB!AY23</f>
        <v/>
      </c>
      <c r="AZ520">
        <f>V_Model_CB!AZ23</f>
        <v/>
      </c>
      <c r="BA520">
        <f>V_Model_CB!BA23</f>
        <v/>
      </c>
      <c r="BB520">
        <f>V_Model_CB!BB23</f>
        <v/>
      </c>
      <c r="BC520">
        <f>V_Model_CB!BC23</f>
        <v/>
      </c>
      <c r="BD520">
        <f>V_Model_CB!BD23</f>
        <v/>
      </c>
      <c r="BE520">
        <f>V_Model_CB!BE23</f>
        <v/>
      </c>
      <c r="BF520">
        <f>V_Model_CB!BF23</f>
        <v/>
      </c>
      <c r="BG520">
        <f>V_Model_CB!BG23</f>
        <v/>
      </c>
      <c r="BH520">
        <f>V_Model_CB!BH23</f>
        <v/>
      </c>
      <c r="BI520">
        <f>V_Model_CB!BI23</f>
        <v/>
      </c>
      <c r="BJ520">
        <f>O520</f>
        <v/>
      </c>
      <c r="BK520">
        <f>SUM(AG520:AW520)</f>
        <v/>
      </c>
      <c r="BL520" s="531">
        <f>BJ520-BK520</f>
        <v/>
      </c>
      <c r="BM520" s="201" t="n"/>
    </row>
    <row r="521" hidden="1" outlineLevel="1" s="191">
      <c r="A521">
        <f>V_Model_CB!A24</f>
        <v/>
      </c>
      <c r="B521">
        <f>V_Model_CB!B24</f>
        <v/>
      </c>
      <c r="C521">
        <f>V_Model_CB!C24</f>
        <v/>
      </c>
      <c r="D521">
        <f>V_Model_CB!D24</f>
        <v/>
      </c>
      <c r="E521">
        <f>V_Model_CB!E24</f>
        <v/>
      </c>
      <c r="F521">
        <f>V_Model_CB!F24</f>
        <v/>
      </c>
      <c r="G521">
        <f>V_Model_CB!G24</f>
        <v/>
      </c>
      <c r="H521">
        <f>V_Model_CB!H23</f>
        <v/>
      </c>
      <c r="I521">
        <f>V_Model_CB!I24</f>
        <v/>
      </c>
      <c r="J521">
        <f>V_Model_CB!J24</f>
        <v/>
      </c>
      <c r="K521" s="672">
        <f>V_Model_CB!K24</f>
        <v/>
      </c>
      <c r="L521" s="672">
        <f>V_Model_CB!L24</f>
        <v/>
      </c>
      <c r="M521">
        <f>V_Model_CB!M24</f>
        <v/>
      </c>
      <c r="N521">
        <f>V_Model_CB!N24</f>
        <v/>
      </c>
      <c r="O521">
        <f>V_Model_CB!O24</f>
        <v/>
      </c>
      <c r="P521" s="628">
        <f>V_Model_CB!P24</f>
        <v/>
      </c>
      <c r="Q521" s="628">
        <f>V_Model_CB!Q24</f>
        <v/>
      </c>
      <c r="R521" s="628">
        <f>V_Model_CB!R24</f>
        <v/>
      </c>
      <c r="S521" s="628">
        <f>V_Model_CB!S24</f>
        <v/>
      </c>
      <c r="T521" s="628">
        <f>V_Model_CB!T24</f>
        <v/>
      </c>
      <c r="U521" s="628">
        <f>V_Model_CB!U24</f>
        <v/>
      </c>
      <c r="V521" s="628">
        <f>V_Model_CB!V24</f>
        <v/>
      </c>
      <c r="W521" s="628">
        <f>V_Model_CB!W24</f>
        <v/>
      </c>
      <c r="X521" s="628">
        <f>V_Model_CB!X24</f>
        <v/>
      </c>
      <c r="Y521" s="650">
        <f>V_Model_CB!Y24</f>
        <v/>
      </c>
      <c r="Z521" s="650">
        <f>V_Model_CB!Z24</f>
        <v/>
      </c>
      <c r="AA521" s="650">
        <f>V_Model_CB!AA24</f>
        <v/>
      </c>
      <c r="AB521" s="650">
        <f>V_Model_CB!AB24</f>
        <v/>
      </c>
      <c r="AC521" s="613">
        <f>V_Model_CB!AC24</f>
        <v/>
      </c>
      <c r="AD521" s="613">
        <f>V_Model_CB!AD24</f>
        <v/>
      </c>
      <c r="AE521" s="613">
        <f>V_Model_CB!AE24</f>
        <v/>
      </c>
      <c r="AF521" s="613">
        <f>V_Model_CB!AF24</f>
        <v/>
      </c>
      <c r="AG521" s="626">
        <f>V_Model_CB!AG24</f>
        <v/>
      </c>
      <c r="AH521" s="626">
        <f>V_Model_CB!AH24</f>
        <v/>
      </c>
      <c r="AI521" s="626">
        <f>V_Model_CB!AI24</f>
        <v/>
      </c>
      <c r="AJ521" s="626">
        <f>V_Model_CB!AJ24</f>
        <v/>
      </c>
      <c r="AK521" s="626">
        <f>V_Model_CB!AK24</f>
        <v/>
      </c>
      <c r="AL521" s="626">
        <f>V_Model_CB!AL24</f>
        <v/>
      </c>
      <c r="AM521" s="626">
        <f>V_Model_CB!AM24</f>
        <v/>
      </c>
      <c r="AN521" s="626">
        <f>V_Model_CB!AN24</f>
        <v/>
      </c>
      <c r="AO521" s="626">
        <f>V_Model_CB!AO24</f>
        <v/>
      </c>
      <c r="AP521" s="369">
        <f>V_Model_CB!AP24</f>
        <v/>
      </c>
      <c r="AQ521" s="369">
        <f>V_Model_CB!AQ24</f>
        <v/>
      </c>
      <c r="AR521" s="369">
        <f>V_Model_CB!AR24</f>
        <v/>
      </c>
      <c r="AS521" s="369">
        <f>V_Model_CB!AS24</f>
        <v/>
      </c>
      <c r="AT521" s="370">
        <f>V_Model_CB!AT24</f>
        <v/>
      </c>
      <c r="AU521" s="370">
        <f>V_Model_CB!AU24</f>
        <v/>
      </c>
      <c r="AV521" s="370">
        <f>V_Model_CB!AV24</f>
        <v/>
      </c>
      <c r="AW521" s="370">
        <f>V_Model_CB!AW24</f>
        <v/>
      </c>
      <c r="AX521">
        <f>V_Model_CB!AX24</f>
        <v/>
      </c>
      <c r="AY521">
        <f>V_Model_CB!AY24</f>
        <v/>
      </c>
      <c r="AZ521">
        <f>V_Model_CB!AZ24</f>
        <v/>
      </c>
      <c r="BA521">
        <f>V_Model_CB!BA24</f>
        <v/>
      </c>
      <c r="BB521">
        <f>V_Model_CB!BB24</f>
        <v/>
      </c>
      <c r="BC521">
        <f>V_Model_CB!BC24</f>
        <v/>
      </c>
      <c r="BD521">
        <f>V_Model_CB!BD24</f>
        <v/>
      </c>
      <c r="BE521">
        <f>V_Model_CB!BE24</f>
        <v/>
      </c>
      <c r="BF521">
        <f>V_Model_CB!BF24</f>
        <v/>
      </c>
      <c r="BG521">
        <f>V_Model_CB!BG24</f>
        <v/>
      </c>
      <c r="BH521">
        <f>V_Model_CB!BH24</f>
        <v/>
      </c>
      <c r="BI521">
        <f>V_Model_CB!BI24</f>
        <v/>
      </c>
      <c r="BJ521">
        <f>O521</f>
        <v/>
      </c>
      <c r="BK521">
        <f>SUM(AG521:AW521)</f>
        <v/>
      </c>
      <c r="BL521" s="531">
        <f>BJ521-BK521</f>
        <v/>
      </c>
      <c r="BM521" s="201" t="n"/>
    </row>
    <row r="522" hidden="1" outlineLevel="1" s="191">
      <c r="A522">
        <f>V_Model_CB!A25</f>
        <v/>
      </c>
      <c r="B522">
        <f>V_Model_CB!B25</f>
        <v/>
      </c>
      <c r="C522">
        <f>V_Model_CB!C25</f>
        <v/>
      </c>
      <c r="D522">
        <f>V_Model_CB!D25</f>
        <v/>
      </c>
      <c r="E522">
        <f>V_Model_CB!E25</f>
        <v/>
      </c>
      <c r="F522">
        <f>V_Model_CB!F25</f>
        <v/>
      </c>
      <c r="G522">
        <f>V_Model_CB!G25</f>
        <v/>
      </c>
      <c r="H522">
        <f>V_Model_CB!H24</f>
        <v/>
      </c>
      <c r="I522">
        <f>V_Model_CB!I25</f>
        <v/>
      </c>
      <c r="J522">
        <f>V_Model_CB!J25</f>
        <v/>
      </c>
      <c r="K522" s="672">
        <f>V_Model_CB!K25</f>
        <v/>
      </c>
      <c r="L522" s="672">
        <f>V_Model_CB!L25</f>
        <v/>
      </c>
      <c r="M522">
        <f>V_Model_CB!M25</f>
        <v/>
      </c>
      <c r="N522">
        <f>V_Model_CB!N25</f>
        <v/>
      </c>
      <c r="O522">
        <f>V_Model_CB!O25</f>
        <v/>
      </c>
      <c r="P522" s="628">
        <f>V_Model_CB!P25</f>
        <v/>
      </c>
      <c r="Q522" s="628">
        <f>V_Model_CB!Q25</f>
        <v/>
      </c>
      <c r="R522" s="628">
        <f>V_Model_CB!R25</f>
        <v/>
      </c>
      <c r="S522" s="628">
        <f>V_Model_CB!S25</f>
        <v/>
      </c>
      <c r="T522" s="628">
        <f>V_Model_CB!T25</f>
        <v/>
      </c>
      <c r="U522" s="628">
        <f>V_Model_CB!U25</f>
        <v/>
      </c>
      <c r="V522" s="628">
        <f>V_Model_CB!V25</f>
        <v/>
      </c>
      <c r="W522" s="628">
        <f>V_Model_CB!W25</f>
        <v/>
      </c>
      <c r="X522" s="628">
        <f>V_Model_CB!X25</f>
        <v/>
      </c>
      <c r="Y522" s="650">
        <f>V_Model_CB!Y25</f>
        <v/>
      </c>
      <c r="Z522" s="650">
        <f>V_Model_CB!Z25</f>
        <v/>
      </c>
      <c r="AA522" s="650">
        <f>V_Model_CB!AA25</f>
        <v/>
      </c>
      <c r="AB522" s="650">
        <f>V_Model_CB!AB25</f>
        <v/>
      </c>
      <c r="AC522" s="613">
        <f>V_Model_CB!AC25</f>
        <v/>
      </c>
      <c r="AD522" s="613">
        <f>V_Model_CB!AD25</f>
        <v/>
      </c>
      <c r="AE522" s="613">
        <f>V_Model_CB!AE25</f>
        <v/>
      </c>
      <c r="AF522" s="613">
        <f>V_Model_CB!AF25</f>
        <v/>
      </c>
      <c r="AG522" s="626">
        <f>V_Model_CB!AG25</f>
        <v/>
      </c>
      <c r="AH522" s="626">
        <f>V_Model_CB!AH25</f>
        <v/>
      </c>
      <c r="AI522" s="626">
        <f>V_Model_CB!AI25</f>
        <v/>
      </c>
      <c r="AJ522" s="626">
        <f>V_Model_CB!AJ25</f>
        <v/>
      </c>
      <c r="AK522" s="626">
        <f>V_Model_CB!AK25</f>
        <v/>
      </c>
      <c r="AL522" s="626">
        <f>V_Model_CB!AL25</f>
        <v/>
      </c>
      <c r="AM522" s="626">
        <f>V_Model_CB!AM25</f>
        <v/>
      </c>
      <c r="AN522" s="626">
        <f>V_Model_CB!AN25</f>
        <v/>
      </c>
      <c r="AO522" s="626">
        <f>V_Model_CB!AO25</f>
        <v/>
      </c>
      <c r="AP522" s="369">
        <f>V_Model_CB!AP25</f>
        <v/>
      </c>
      <c r="AQ522" s="369">
        <f>V_Model_CB!AQ25</f>
        <v/>
      </c>
      <c r="AR522" s="369">
        <f>V_Model_CB!AR25</f>
        <v/>
      </c>
      <c r="AS522" s="369">
        <f>V_Model_CB!AS25</f>
        <v/>
      </c>
      <c r="AT522" s="370">
        <f>V_Model_CB!AT25</f>
        <v/>
      </c>
      <c r="AU522" s="370">
        <f>V_Model_CB!AU25</f>
        <v/>
      </c>
      <c r="AV522" s="370">
        <f>V_Model_CB!AV25</f>
        <v/>
      </c>
      <c r="AW522" s="370">
        <f>V_Model_CB!AW25</f>
        <v/>
      </c>
      <c r="AX522">
        <f>V_Model_CB!AX25</f>
        <v/>
      </c>
      <c r="AY522">
        <f>V_Model_CB!AY25</f>
        <v/>
      </c>
      <c r="AZ522">
        <f>V_Model_CB!AZ25</f>
        <v/>
      </c>
      <c r="BA522">
        <f>V_Model_CB!BA25</f>
        <v/>
      </c>
      <c r="BB522">
        <f>V_Model_CB!BB25</f>
        <v/>
      </c>
      <c r="BC522">
        <f>V_Model_CB!BC25</f>
        <v/>
      </c>
      <c r="BD522">
        <f>V_Model_CB!BD25</f>
        <v/>
      </c>
      <c r="BE522">
        <f>V_Model_CB!BE25</f>
        <v/>
      </c>
      <c r="BF522">
        <f>V_Model_CB!BF25</f>
        <v/>
      </c>
      <c r="BG522">
        <f>V_Model_CB!BG25</f>
        <v/>
      </c>
      <c r="BH522">
        <f>V_Model_CB!BH25</f>
        <v/>
      </c>
      <c r="BI522">
        <f>V_Model_CB!BI25</f>
        <v/>
      </c>
      <c r="BJ522">
        <f>O522</f>
        <v/>
      </c>
      <c r="BK522">
        <f>SUM(AG522:AW522)</f>
        <v/>
      </c>
      <c r="BL522" s="531">
        <f>BJ522-BK522</f>
        <v/>
      </c>
      <c r="BM522" s="201" t="n"/>
    </row>
    <row r="523" hidden="1" outlineLevel="1" s="191">
      <c r="A523">
        <f>V_Model_CB!A26</f>
        <v/>
      </c>
      <c r="B523">
        <f>V_Model_CB!B26</f>
        <v/>
      </c>
      <c r="C523">
        <f>V_Model_CB!C26</f>
        <v/>
      </c>
      <c r="D523">
        <f>V_Model_CB!D26</f>
        <v/>
      </c>
      <c r="E523">
        <f>V_Model_CB!E26</f>
        <v/>
      </c>
      <c r="F523">
        <f>V_Model_CB!F26</f>
        <v/>
      </c>
      <c r="G523">
        <f>V_Model_CB!G26</f>
        <v/>
      </c>
      <c r="H523">
        <f>V_Model_CB!H25</f>
        <v/>
      </c>
      <c r="I523">
        <f>V_Model_CB!I26</f>
        <v/>
      </c>
      <c r="J523">
        <f>V_Model_CB!J26</f>
        <v/>
      </c>
      <c r="K523" s="672">
        <f>V_Model_CB!K26</f>
        <v/>
      </c>
      <c r="L523" s="672">
        <f>V_Model_CB!L26</f>
        <v/>
      </c>
      <c r="M523">
        <f>V_Model_CB!M26</f>
        <v/>
      </c>
      <c r="N523">
        <f>V_Model_CB!N26</f>
        <v/>
      </c>
      <c r="O523">
        <f>V_Model_CB!O26</f>
        <v/>
      </c>
      <c r="P523" s="628">
        <f>V_Model_CB!P26</f>
        <v/>
      </c>
      <c r="Q523" s="628">
        <f>V_Model_CB!Q26</f>
        <v/>
      </c>
      <c r="R523" s="628">
        <f>V_Model_CB!R26</f>
        <v/>
      </c>
      <c r="S523" s="628">
        <f>V_Model_CB!S26</f>
        <v/>
      </c>
      <c r="T523" s="628">
        <f>V_Model_CB!T26</f>
        <v/>
      </c>
      <c r="U523" s="628">
        <f>V_Model_CB!U26</f>
        <v/>
      </c>
      <c r="V523" s="628">
        <f>V_Model_CB!V26</f>
        <v/>
      </c>
      <c r="W523" s="628">
        <f>V_Model_CB!W26</f>
        <v/>
      </c>
      <c r="X523" s="628">
        <f>V_Model_CB!X26</f>
        <v/>
      </c>
      <c r="Y523" s="650">
        <f>V_Model_CB!Y26</f>
        <v/>
      </c>
      <c r="Z523" s="650">
        <f>V_Model_CB!Z26</f>
        <v/>
      </c>
      <c r="AA523" s="650">
        <f>V_Model_CB!AA26</f>
        <v/>
      </c>
      <c r="AB523" s="650">
        <f>V_Model_CB!AB26</f>
        <v/>
      </c>
      <c r="AC523" s="613">
        <f>V_Model_CB!AC26</f>
        <v/>
      </c>
      <c r="AD523" s="613">
        <f>V_Model_CB!AD26</f>
        <v/>
      </c>
      <c r="AE523" s="613">
        <f>V_Model_CB!AE26</f>
        <v/>
      </c>
      <c r="AF523" s="613">
        <f>V_Model_CB!AF26</f>
        <v/>
      </c>
      <c r="AG523" s="626">
        <f>V_Model_CB!AG26</f>
        <v/>
      </c>
      <c r="AH523" s="626">
        <f>V_Model_CB!AH26</f>
        <v/>
      </c>
      <c r="AI523" s="626">
        <f>V_Model_CB!AI26</f>
        <v/>
      </c>
      <c r="AJ523" s="626">
        <f>V_Model_CB!AJ26</f>
        <v/>
      </c>
      <c r="AK523" s="626">
        <f>V_Model_CB!AK26</f>
        <v/>
      </c>
      <c r="AL523" s="626">
        <f>V_Model_CB!AL26</f>
        <v/>
      </c>
      <c r="AM523" s="626">
        <f>V_Model_CB!AM26</f>
        <v/>
      </c>
      <c r="AN523" s="626">
        <f>V_Model_CB!AN26</f>
        <v/>
      </c>
      <c r="AO523" s="626">
        <f>V_Model_CB!AO26</f>
        <v/>
      </c>
      <c r="AP523" s="369">
        <f>V_Model_CB!AP26</f>
        <v/>
      </c>
      <c r="AQ523" s="369">
        <f>V_Model_CB!AQ26</f>
        <v/>
      </c>
      <c r="AR523" s="369">
        <f>V_Model_CB!AR26</f>
        <v/>
      </c>
      <c r="AS523" s="369">
        <f>V_Model_CB!AS26</f>
        <v/>
      </c>
      <c r="AT523" s="370">
        <f>V_Model_CB!AT26</f>
        <v/>
      </c>
      <c r="AU523" s="370">
        <f>V_Model_CB!AU26</f>
        <v/>
      </c>
      <c r="AV523" s="370">
        <f>V_Model_CB!AV26</f>
        <v/>
      </c>
      <c r="AW523" s="370">
        <f>V_Model_CB!AW26</f>
        <v/>
      </c>
      <c r="AX523">
        <f>V_Model_CB!AX26</f>
        <v/>
      </c>
      <c r="AY523">
        <f>V_Model_CB!AY26</f>
        <v/>
      </c>
      <c r="AZ523">
        <f>V_Model_CB!AZ26</f>
        <v/>
      </c>
      <c r="BA523">
        <f>V_Model_CB!BA26</f>
        <v/>
      </c>
      <c r="BB523">
        <f>V_Model_CB!BB26</f>
        <v/>
      </c>
      <c r="BC523">
        <f>V_Model_CB!BC26</f>
        <v/>
      </c>
      <c r="BD523">
        <f>V_Model_CB!BD26</f>
        <v/>
      </c>
      <c r="BE523">
        <f>V_Model_CB!BE26</f>
        <v/>
      </c>
      <c r="BF523">
        <f>V_Model_CB!BF26</f>
        <v/>
      </c>
      <c r="BG523">
        <f>V_Model_CB!BG26</f>
        <v/>
      </c>
      <c r="BH523">
        <f>V_Model_CB!BH26</f>
        <v/>
      </c>
      <c r="BI523">
        <f>V_Model_CB!BI26</f>
        <v/>
      </c>
      <c r="BJ523">
        <f>O523</f>
        <v/>
      </c>
      <c r="BK523">
        <f>SUM(AG523:AW523)</f>
        <v/>
      </c>
      <c r="BL523" s="531">
        <f>BJ523-BK523</f>
        <v/>
      </c>
      <c r="BM523" s="201" t="n"/>
    </row>
    <row r="524" hidden="1" outlineLevel="1" s="191">
      <c r="A524">
        <f>V_Model_CB!A27</f>
        <v/>
      </c>
      <c r="B524">
        <f>V_Model_CB!B27</f>
        <v/>
      </c>
      <c r="C524">
        <f>V_Model_CB!C27</f>
        <v/>
      </c>
      <c r="D524">
        <f>V_Model_CB!D27</f>
        <v/>
      </c>
      <c r="E524">
        <f>V_Model_CB!E27</f>
        <v/>
      </c>
      <c r="F524">
        <f>V_Model_CB!F27</f>
        <v/>
      </c>
      <c r="G524">
        <f>V_Model_CB!G27</f>
        <v/>
      </c>
      <c r="H524">
        <f>V_Model_CB!H26</f>
        <v/>
      </c>
      <c r="I524">
        <f>V_Model_CB!I27</f>
        <v/>
      </c>
      <c r="J524">
        <f>V_Model_CB!J27</f>
        <v/>
      </c>
      <c r="K524" s="672">
        <f>V_Model_CB!K27</f>
        <v/>
      </c>
      <c r="L524" s="672">
        <f>V_Model_CB!L27</f>
        <v/>
      </c>
      <c r="M524">
        <f>V_Model_CB!M27</f>
        <v/>
      </c>
      <c r="N524">
        <f>V_Model_CB!N27</f>
        <v/>
      </c>
      <c r="O524">
        <f>V_Model_CB!O27</f>
        <v/>
      </c>
      <c r="P524" s="628">
        <f>V_Model_CB!P27</f>
        <v/>
      </c>
      <c r="Q524" s="628">
        <f>V_Model_CB!Q27</f>
        <v/>
      </c>
      <c r="R524" s="628">
        <f>V_Model_CB!R27</f>
        <v/>
      </c>
      <c r="S524" s="628">
        <f>V_Model_CB!S27</f>
        <v/>
      </c>
      <c r="T524" s="628">
        <f>V_Model_CB!T27</f>
        <v/>
      </c>
      <c r="U524" s="628">
        <f>V_Model_CB!U27</f>
        <v/>
      </c>
      <c r="V524" s="628">
        <f>V_Model_CB!V27</f>
        <v/>
      </c>
      <c r="W524" s="628">
        <f>V_Model_CB!W27</f>
        <v/>
      </c>
      <c r="X524" s="628">
        <f>V_Model_CB!X27</f>
        <v/>
      </c>
      <c r="Y524" s="650">
        <f>V_Model_CB!Y27</f>
        <v/>
      </c>
      <c r="Z524" s="650">
        <f>V_Model_CB!Z27</f>
        <v/>
      </c>
      <c r="AA524" s="650">
        <f>V_Model_CB!AA27</f>
        <v/>
      </c>
      <c r="AB524" s="650">
        <f>V_Model_CB!AB27</f>
        <v/>
      </c>
      <c r="AC524" s="613">
        <f>V_Model_CB!AC27</f>
        <v/>
      </c>
      <c r="AD524" s="613">
        <f>V_Model_CB!AD27</f>
        <v/>
      </c>
      <c r="AE524" s="613">
        <f>V_Model_CB!AE27</f>
        <v/>
      </c>
      <c r="AF524" s="613">
        <f>V_Model_CB!AF27</f>
        <v/>
      </c>
      <c r="AG524" s="626">
        <f>V_Model_CB!AG27</f>
        <v/>
      </c>
      <c r="AH524" s="626">
        <f>V_Model_CB!AH27</f>
        <v/>
      </c>
      <c r="AI524" s="626">
        <f>V_Model_CB!AI27</f>
        <v/>
      </c>
      <c r="AJ524" s="626">
        <f>V_Model_CB!AJ27</f>
        <v/>
      </c>
      <c r="AK524" s="626">
        <f>V_Model_CB!AK27</f>
        <v/>
      </c>
      <c r="AL524" s="626">
        <f>V_Model_CB!AL27</f>
        <v/>
      </c>
      <c r="AM524" s="626">
        <f>V_Model_CB!AM27</f>
        <v/>
      </c>
      <c r="AN524" s="626">
        <f>V_Model_CB!AN27</f>
        <v/>
      </c>
      <c r="AO524" s="626">
        <f>V_Model_CB!AO27</f>
        <v/>
      </c>
      <c r="AP524" s="369">
        <f>V_Model_CB!AP27</f>
        <v/>
      </c>
      <c r="AQ524" s="369">
        <f>V_Model_CB!AQ27</f>
        <v/>
      </c>
      <c r="AR524" s="369">
        <f>V_Model_CB!AR27</f>
        <v/>
      </c>
      <c r="AS524" s="369">
        <f>V_Model_CB!AS27</f>
        <v/>
      </c>
      <c r="AT524" s="370">
        <f>V_Model_CB!AT27</f>
        <v/>
      </c>
      <c r="AU524" s="370">
        <f>V_Model_CB!AU27</f>
        <v/>
      </c>
      <c r="AV524" s="370">
        <f>V_Model_CB!AV27</f>
        <v/>
      </c>
      <c r="AW524" s="370">
        <f>V_Model_CB!AW27</f>
        <v/>
      </c>
      <c r="AX524">
        <f>V_Model_CB!AX27</f>
        <v/>
      </c>
      <c r="AY524">
        <f>V_Model_CB!AY27</f>
        <v/>
      </c>
      <c r="AZ524">
        <f>V_Model_CB!AZ27</f>
        <v/>
      </c>
      <c r="BA524">
        <f>V_Model_CB!BA27</f>
        <v/>
      </c>
      <c r="BB524">
        <f>V_Model_CB!BB27</f>
        <v/>
      </c>
      <c r="BC524">
        <f>V_Model_CB!BC27</f>
        <v/>
      </c>
      <c r="BD524">
        <f>V_Model_CB!BD27</f>
        <v/>
      </c>
      <c r="BE524">
        <f>V_Model_CB!BE27</f>
        <v/>
      </c>
      <c r="BF524">
        <f>V_Model_CB!BF27</f>
        <v/>
      </c>
      <c r="BG524">
        <f>V_Model_CB!BG27</f>
        <v/>
      </c>
      <c r="BH524">
        <f>V_Model_CB!BH27</f>
        <v/>
      </c>
      <c r="BI524">
        <f>V_Model_CB!BI27</f>
        <v/>
      </c>
      <c r="BJ524">
        <f>O524</f>
        <v/>
      </c>
      <c r="BK524">
        <f>SUM(AG524:AW524)</f>
        <v/>
      </c>
      <c r="BL524" s="531">
        <f>BJ524-BK524</f>
        <v/>
      </c>
      <c r="BM524" s="201" t="n"/>
    </row>
    <row r="525" hidden="1" outlineLevel="1" s="191">
      <c r="A525">
        <f>V_Model_CB!A28</f>
        <v/>
      </c>
      <c r="B525">
        <f>V_Model_CB!B28</f>
        <v/>
      </c>
      <c r="C525">
        <f>V_Model_CB!C28</f>
        <v/>
      </c>
      <c r="D525">
        <f>V_Model_CB!D28</f>
        <v/>
      </c>
      <c r="E525">
        <f>V_Model_CB!E28</f>
        <v/>
      </c>
      <c r="F525">
        <f>V_Model_CB!F28</f>
        <v/>
      </c>
      <c r="G525">
        <f>V_Model_CB!G28</f>
        <v/>
      </c>
      <c r="H525">
        <f>V_Model_CB!H27</f>
        <v/>
      </c>
      <c r="I525">
        <f>V_Model_CB!I28</f>
        <v/>
      </c>
      <c r="J525">
        <f>V_Model_CB!J28</f>
        <v/>
      </c>
      <c r="K525" s="672">
        <f>V_Model_CB!K28</f>
        <v/>
      </c>
      <c r="L525" s="672">
        <f>V_Model_CB!L28</f>
        <v/>
      </c>
      <c r="M525">
        <f>V_Model_CB!M28</f>
        <v/>
      </c>
      <c r="N525">
        <f>V_Model_CB!N28</f>
        <v/>
      </c>
      <c r="O525">
        <f>V_Model_CB!O28</f>
        <v/>
      </c>
      <c r="P525" s="628">
        <f>V_Model_CB!P28</f>
        <v/>
      </c>
      <c r="Q525" s="628">
        <f>V_Model_CB!Q28</f>
        <v/>
      </c>
      <c r="R525" s="628">
        <f>V_Model_CB!R28</f>
        <v/>
      </c>
      <c r="S525" s="628">
        <f>V_Model_CB!S28</f>
        <v/>
      </c>
      <c r="T525" s="628">
        <f>V_Model_CB!T28</f>
        <v/>
      </c>
      <c r="U525" s="628">
        <f>V_Model_CB!U28</f>
        <v/>
      </c>
      <c r="V525" s="628">
        <f>V_Model_CB!V28</f>
        <v/>
      </c>
      <c r="W525" s="628">
        <f>V_Model_CB!W28</f>
        <v/>
      </c>
      <c r="X525" s="628">
        <f>V_Model_CB!X28</f>
        <v/>
      </c>
      <c r="Y525" s="650">
        <f>V_Model_CB!Y28</f>
        <v/>
      </c>
      <c r="Z525" s="650">
        <f>V_Model_CB!Z28</f>
        <v/>
      </c>
      <c r="AA525" s="650">
        <f>V_Model_CB!AA28</f>
        <v/>
      </c>
      <c r="AB525" s="650">
        <f>V_Model_CB!AB28</f>
        <v/>
      </c>
      <c r="AC525" s="613">
        <f>V_Model_CB!AC28</f>
        <v/>
      </c>
      <c r="AD525" s="613">
        <f>V_Model_CB!AD28</f>
        <v/>
      </c>
      <c r="AE525" s="613">
        <f>V_Model_CB!AE28</f>
        <v/>
      </c>
      <c r="AF525" s="613">
        <f>V_Model_CB!AF28</f>
        <v/>
      </c>
      <c r="AG525" s="626">
        <f>V_Model_CB!AG28</f>
        <v/>
      </c>
      <c r="AH525" s="626">
        <f>V_Model_CB!AH28</f>
        <v/>
      </c>
      <c r="AI525" s="626">
        <f>V_Model_CB!AI28</f>
        <v/>
      </c>
      <c r="AJ525" s="626">
        <f>V_Model_CB!AJ28</f>
        <v/>
      </c>
      <c r="AK525" s="626">
        <f>V_Model_CB!AK28</f>
        <v/>
      </c>
      <c r="AL525" s="626">
        <f>V_Model_CB!AL28</f>
        <v/>
      </c>
      <c r="AM525" s="626">
        <f>V_Model_CB!AM28</f>
        <v/>
      </c>
      <c r="AN525" s="626">
        <f>V_Model_CB!AN28</f>
        <v/>
      </c>
      <c r="AO525" s="626">
        <f>V_Model_CB!AO28</f>
        <v/>
      </c>
      <c r="AP525" s="369">
        <f>V_Model_CB!AP28</f>
        <v/>
      </c>
      <c r="AQ525" s="369">
        <f>V_Model_CB!AQ28</f>
        <v/>
      </c>
      <c r="AR525" s="369">
        <f>V_Model_CB!AR28</f>
        <v/>
      </c>
      <c r="AS525" s="369">
        <f>V_Model_CB!AS28</f>
        <v/>
      </c>
      <c r="AT525" s="370">
        <f>V_Model_CB!AT28</f>
        <v/>
      </c>
      <c r="AU525" s="370">
        <f>V_Model_CB!AU28</f>
        <v/>
      </c>
      <c r="AV525" s="370">
        <f>V_Model_CB!AV28</f>
        <v/>
      </c>
      <c r="AW525" s="370">
        <f>V_Model_CB!AW28</f>
        <v/>
      </c>
      <c r="AX525">
        <f>V_Model_CB!AX28</f>
        <v/>
      </c>
      <c r="AY525">
        <f>V_Model_CB!AY28</f>
        <v/>
      </c>
      <c r="AZ525">
        <f>V_Model_CB!AZ28</f>
        <v/>
      </c>
      <c r="BA525">
        <f>V_Model_CB!BA28</f>
        <v/>
      </c>
      <c r="BB525">
        <f>V_Model_CB!BB28</f>
        <v/>
      </c>
      <c r="BC525">
        <f>V_Model_CB!BC28</f>
        <v/>
      </c>
      <c r="BD525">
        <f>V_Model_CB!BD28</f>
        <v/>
      </c>
      <c r="BE525">
        <f>V_Model_CB!BE28</f>
        <v/>
      </c>
      <c r="BF525">
        <f>V_Model_CB!BF28</f>
        <v/>
      </c>
      <c r="BG525">
        <f>V_Model_CB!BG28</f>
        <v/>
      </c>
      <c r="BH525">
        <f>V_Model_CB!BH28</f>
        <v/>
      </c>
      <c r="BI525">
        <f>V_Model_CB!BI28</f>
        <v/>
      </c>
      <c r="BJ525">
        <f>O525</f>
        <v/>
      </c>
      <c r="BK525">
        <f>SUM(AG525:AW525)</f>
        <v/>
      </c>
      <c r="BL525" s="531">
        <f>BJ525-BK525</f>
        <v/>
      </c>
      <c r="BM525" s="201" t="n"/>
    </row>
    <row r="526" hidden="1" outlineLevel="1" s="191">
      <c r="A526">
        <f>V_Model_CB!A29</f>
        <v/>
      </c>
      <c r="B526">
        <f>V_Model_CB!B29</f>
        <v/>
      </c>
      <c r="C526">
        <f>V_Model_CB!C29</f>
        <v/>
      </c>
      <c r="D526">
        <f>V_Model_CB!D29</f>
        <v/>
      </c>
      <c r="E526">
        <f>V_Model_CB!E29</f>
        <v/>
      </c>
      <c r="F526">
        <f>V_Model_CB!F29</f>
        <v/>
      </c>
      <c r="G526">
        <f>V_Model_CB!G29</f>
        <v/>
      </c>
      <c r="H526">
        <f>V_Model_CB!H28</f>
        <v/>
      </c>
      <c r="I526">
        <f>V_Model_CB!I29</f>
        <v/>
      </c>
      <c r="J526">
        <f>V_Model_CB!J29</f>
        <v/>
      </c>
      <c r="K526" s="672">
        <f>V_Model_CB!K29</f>
        <v/>
      </c>
      <c r="L526" s="672">
        <f>V_Model_CB!L29</f>
        <v/>
      </c>
      <c r="M526">
        <f>V_Model_CB!M29</f>
        <v/>
      </c>
      <c r="N526">
        <f>V_Model_CB!N29</f>
        <v/>
      </c>
      <c r="O526">
        <f>V_Model_CB!O29</f>
        <v/>
      </c>
      <c r="P526" s="628">
        <f>V_Model_CB!P29</f>
        <v/>
      </c>
      <c r="Q526" s="628">
        <f>V_Model_CB!Q29</f>
        <v/>
      </c>
      <c r="R526" s="628">
        <f>V_Model_CB!R29</f>
        <v/>
      </c>
      <c r="S526" s="628">
        <f>V_Model_CB!S29</f>
        <v/>
      </c>
      <c r="T526" s="628">
        <f>V_Model_CB!T29</f>
        <v/>
      </c>
      <c r="U526" s="628">
        <f>V_Model_CB!U29</f>
        <v/>
      </c>
      <c r="V526" s="628">
        <f>V_Model_CB!V29</f>
        <v/>
      </c>
      <c r="W526" s="628">
        <f>V_Model_CB!W29</f>
        <v/>
      </c>
      <c r="X526" s="628">
        <f>V_Model_CB!X29</f>
        <v/>
      </c>
      <c r="Y526" s="650">
        <f>V_Model_CB!Y29</f>
        <v/>
      </c>
      <c r="Z526" s="650">
        <f>V_Model_CB!Z29</f>
        <v/>
      </c>
      <c r="AA526" s="650">
        <f>V_Model_CB!AA29</f>
        <v/>
      </c>
      <c r="AB526" s="650">
        <f>V_Model_CB!AB29</f>
        <v/>
      </c>
      <c r="AC526" s="613">
        <f>V_Model_CB!AC29</f>
        <v/>
      </c>
      <c r="AD526" s="613">
        <f>V_Model_CB!AD29</f>
        <v/>
      </c>
      <c r="AE526" s="613">
        <f>V_Model_CB!AE29</f>
        <v/>
      </c>
      <c r="AF526" s="613">
        <f>V_Model_CB!AF29</f>
        <v/>
      </c>
      <c r="AG526" s="626">
        <f>V_Model_CB!AG29</f>
        <v/>
      </c>
      <c r="AH526" s="626">
        <f>V_Model_CB!AH29</f>
        <v/>
      </c>
      <c r="AI526" s="626">
        <f>V_Model_CB!AI29</f>
        <v/>
      </c>
      <c r="AJ526" s="626">
        <f>V_Model_CB!AJ29</f>
        <v/>
      </c>
      <c r="AK526" s="626">
        <f>V_Model_CB!AK29</f>
        <v/>
      </c>
      <c r="AL526" s="626">
        <f>V_Model_CB!AL29</f>
        <v/>
      </c>
      <c r="AM526" s="626">
        <f>V_Model_CB!AM29</f>
        <v/>
      </c>
      <c r="AN526" s="626">
        <f>V_Model_CB!AN29</f>
        <v/>
      </c>
      <c r="AO526" s="626">
        <f>V_Model_CB!AO29</f>
        <v/>
      </c>
      <c r="AP526" s="369">
        <f>V_Model_CB!AP29</f>
        <v/>
      </c>
      <c r="AQ526" s="369">
        <f>V_Model_CB!AQ29</f>
        <v/>
      </c>
      <c r="AR526" s="369">
        <f>V_Model_CB!AR29</f>
        <v/>
      </c>
      <c r="AS526" s="369">
        <f>V_Model_CB!AS29</f>
        <v/>
      </c>
      <c r="AT526" s="370">
        <f>V_Model_CB!AT29</f>
        <v/>
      </c>
      <c r="AU526" s="370">
        <f>V_Model_CB!AU29</f>
        <v/>
      </c>
      <c r="AV526" s="370">
        <f>V_Model_CB!AV29</f>
        <v/>
      </c>
      <c r="AW526" s="370">
        <f>V_Model_CB!AW29</f>
        <v/>
      </c>
      <c r="AX526">
        <f>V_Model_CB!AX29</f>
        <v/>
      </c>
      <c r="AY526">
        <f>V_Model_CB!AY29</f>
        <v/>
      </c>
      <c r="AZ526">
        <f>V_Model_CB!AZ29</f>
        <v/>
      </c>
      <c r="BA526">
        <f>V_Model_CB!BA29</f>
        <v/>
      </c>
      <c r="BB526">
        <f>V_Model_CB!BB29</f>
        <v/>
      </c>
      <c r="BC526">
        <f>V_Model_CB!BC29</f>
        <v/>
      </c>
      <c r="BD526">
        <f>V_Model_CB!BD29</f>
        <v/>
      </c>
      <c r="BE526">
        <f>V_Model_CB!BE29</f>
        <v/>
      </c>
      <c r="BF526">
        <f>V_Model_CB!BF29</f>
        <v/>
      </c>
      <c r="BG526">
        <f>V_Model_CB!BG29</f>
        <v/>
      </c>
      <c r="BH526">
        <f>V_Model_CB!BH29</f>
        <v/>
      </c>
      <c r="BI526">
        <f>V_Model_CB!BI29</f>
        <v/>
      </c>
      <c r="BJ526">
        <f>O526</f>
        <v/>
      </c>
      <c r="BK526">
        <f>SUM(AG526:AW526)</f>
        <v/>
      </c>
      <c r="BL526" s="531">
        <f>BJ526-BK526</f>
        <v/>
      </c>
      <c r="BM526" s="201" t="n"/>
    </row>
    <row r="527" hidden="1" outlineLevel="1" s="191">
      <c r="A527">
        <f>V_Model_CB!A30</f>
        <v/>
      </c>
      <c r="B527">
        <f>V_Model_CB!B30</f>
        <v/>
      </c>
      <c r="C527">
        <f>V_Model_CB!C30</f>
        <v/>
      </c>
      <c r="D527">
        <f>V_Model_CB!D30</f>
        <v/>
      </c>
      <c r="E527">
        <f>V_Model_CB!E30</f>
        <v/>
      </c>
      <c r="F527">
        <f>V_Model_CB!F30</f>
        <v/>
      </c>
      <c r="G527">
        <f>V_Model_CB!G30</f>
        <v/>
      </c>
      <c r="H527">
        <f>V_Model_CB!H29</f>
        <v/>
      </c>
      <c r="I527">
        <f>V_Model_CB!I30</f>
        <v/>
      </c>
      <c r="J527">
        <f>V_Model_CB!J30</f>
        <v/>
      </c>
      <c r="K527" s="672">
        <f>V_Model_CB!K30</f>
        <v/>
      </c>
      <c r="L527" s="672">
        <f>V_Model_CB!L30</f>
        <v/>
      </c>
      <c r="M527">
        <f>V_Model_CB!M30</f>
        <v/>
      </c>
      <c r="N527">
        <f>V_Model_CB!N30</f>
        <v/>
      </c>
      <c r="O527">
        <f>V_Model_CB!O30</f>
        <v/>
      </c>
      <c r="P527" s="628">
        <f>V_Model_CB!P30</f>
        <v/>
      </c>
      <c r="Q527" s="628">
        <f>V_Model_CB!Q30</f>
        <v/>
      </c>
      <c r="R527" s="628">
        <f>V_Model_CB!R30</f>
        <v/>
      </c>
      <c r="S527" s="628">
        <f>V_Model_CB!S30</f>
        <v/>
      </c>
      <c r="T527" s="628">
        <f>V_Model_CB!T30</f>
        <v/>
      </c>
      <c r="U527" s="628">
        <f>V_Model_CB!U30</f>
        <v/>
      </c>
      <c r="V527" s="628">
        <f>V_Model_CB!V30</f>
        <v/>
      </c>
      <c r="W527" s="628">
        <f>V_Model_CB!W30</f>
        <v/>
      </c>
      <c r="X527" s="628">
        <f>V_Model_CB!X30</f>
        <v/>
      </c>
      <c r="Y527" s="650">
        <f>V_Model_CB!Y30</f>
        <v/>
      </c>
      <c r="Z527" s="650">
        <f>V_Model_CB!Z30</f>
        <v/>
      </c>
      <c r="AA527" s="650">
        <f>V_Model_CB!AA30</f>
        <v/>
      </c>
      <c r="AB527" s="650">
        <f>V_Model_CB!AB30</f>
        <v/>
      </c>
      <c r="AC527" s="613">
        <f>V_Model_CB!AC30</f>
        <v/>
      </c>
      <c r="AD527" s="613">
        <f>V_Model_CB!AD30</f>
        <v/>
      </c>
      <c r="AE527" s="613">
        <f>V_Model_CB!AE30</f>
        <v/>
      </c>
      <c r="AF527" s="613">
        <f>V_Model_CB!AF30</f>
        <v/>
      </c>
      <c r="AG527" s="626">
        <f>V_Model_CB!AG30</f>
        <v/>
      </c>
      <c r="AH527" s="626">
        <f>V_Model_CB!AH30</f>
        <v/>
      </c>
      <c r="AI527" s="626">
        <f>V_Model_CB!AI30</f>
        <v/>
      </c>
      <c r="AJ527" s="626">
        <f>V_Model_CB!AJ30</f>
        <v/>
      </c>
      <c r="AK527" s="626">
        <f>V_Model_CB!AK30</f>
        <v/>
      </c>
      <c r="AL527" s="626">
        <f>V_Model_CB!AL30</f>
        <v/>
      </c>
      <c r="AM527" s="626">
        <f>V_Model_CB!AM30</f>
        <v/>
      </c>
      <c r="AN527" s="626">
        <f>V_Model_CB!AN30</f>
        <v/>
      </c>
      <c r="AO527" s="626">
        <f>V_Model_CB!AO30</f>
        <v/>
      </c>
      <c r="AP527" s="369">
        <f>V_Model_CB!AP30</f>
        <v/>
      </c>
      <c r="AQ527" s="369">
        <f>V_Model_CB!AQ30</f>
        <v/>
      </c>
      <c r="AR527" s="369">
        <f>V_Model_CB!AR30</f>
        <v/>
      </c>
      <c r="AS527" s="369">
        <f>V_Model_CB!AS30</f>
        <v/>
      </c>
      <c r="AT527" s="370">
        <f>V_Model_CB!AT30</f>
        <v/>
      </c>
      <c r="AU527" s="370">
        <f>V_Model_CB!AU30</f>
        <v/>
      </c>
      <c r="AV527" s="370">
        <f>V_Model_CB!AV30</f>
        <v/>
      </c>
      <c r="AW527" s="370">
        <f>V_Model_CB!AW30</f>
        <v/>
      </c>
      <c r="AX527">
        <f>V_Model_CB!AX30</f>
        <v/>
      </c>
      <c r="AY527">
        <f>V_Model_CB!AY30</f>
        <v/>
      </c>
      <c r="AZ527">
        <f>V_Model_CB!AZ30</f>
        <v/>
      </c>
      <c r="BA527">
        <f>V_Model_CB!BA30</f>
        <v/>
      </c>
      <c r="BB527">
        <f>V_Model_CB!BB30</f>
        <v/>
      </c>
      <c r="BC527">
        <f>V_Model_CB!BC30</f>
        <v/>
      </c>
      <c r="BD527">
        <f>V_Model_CB!BD30</f>
        <v/>
      </c>
      <c r="BE527">
        <f>V_Model_CB!BE30</f>
        <v/>
      </c>
      <c r="BF527">
        <f>V_Model_CB!BF30</f>
        <v/>
      </c>
      <c r="BG527">
        <f>V_Model_CB!BG30</f>
        <v/>
      </c>
      <c r="BH527">
        <f>V_Model_CB!BH30</f>
        <v/>
      </c>
      <c r="BI527">
        <f>V_Model_CB!BI30</f>
        <v/>
      </c>
      <c r="BJ527">
        <f>O527</f>
        <v/>
      </c>
      <c r="BK527">
        <f>SUM(AG527:AW527)</f>
        <v/>
      </c>
      <c r="BL527" s="531">
        <f>BJ527-BK527</f>
        <v/>
      </c>
      <c r="BM527" s="201" t="n"/>
    </row>
    <row r="528" hidden="1" outlineLevel="1" s="191">
      <c r="A528">
        <f>V_Model_CB!A31</f>
        <v/>
      </c>
      <c r="B528">
        <f>V_Model_CB!B31</f>
        <v/>
      </c>
      <c r="C528">
        <f>V_Model_CB!C31</f>
        <v/>
      </c>
      <c r="D528">
        <f>V_Model_CB!D31</f>
        <v/>
      </c>
      <c r="E528">
        <f>V_Model_CB!E31</f>
        <v/>
      </c>
      <c r="F528">
        <f>V_Model_CB!F31</f>
        <v/>
      </c>
      <c r="G528">
        <f>V_Model_CB!G31</f>
        <v/>
      </c>
      <c r="H528">
        <f>V_Model_CB!H30</f>
        <v/>
      </c>
      <c r="I528">
        <f>V_Model_CB!I31</f>
        <v/>
      </c>
      <c r="J528">
        <f>V_Model_CB!J31</f>
        <v/>
      </c>
      <c r="K528" s="672">
        <f>V_Model_CB!K31</f>
        <v/>
      </c>
      <c r="L528" s="672">
        <f>V_Model_CB!L31</f>
        <v/>
      </c>
      <c r="M528">
        <f>V_Model_CB!M31</f>
        <v/>
      </c>
      <c r="N528">
        <f>V_Model_CB!N31</f>
        <v/>
      </c>
      <c r="O528">
        <f>V_Model_CB!O31</f>
        <v/>
      </c>
      <c r="P528" s="628">
        <f>V_Model_CB!P31</f>
        <v/>
      </c>
      <c r="Q528" s="628">
        <f>V_Model_CB!Q31</f>
        <v/>
      </c>
      <c r="R528" s="628">
        <f>V_Model_CB!R31</f>
        <v/>
      </c>
      <c r="S528" s="628">
        <f>V_Model_CB!S31</f>
        <v/>
      </c>
      <c r="T528" s="628">
        <f>V_Model_CB!T31</f>
        <v/>
      </c>
      <c r="U528" s="628">
        <f>V_Model_CB!U31</f>
        <v/>
      </c>
      <c r="V528" s="628">
        <f>V_Model_CB!V31</f>
        <v/>
      </c>
      <c r="W528" s="628">
        <f>V_Model_CB!W31</f>
        <v/>
      </c>
      <c r="X528" s="628">
        <f>V_Model_CB!X31</f>
        <v/>
      </c>
      <c r="Y528" s="650">
        <f>V_Model_CB!Y31</f>
        <v/>
      </c>
      <c r="Z528" s="650">
        <f>V_Model_CB!Z31</f>
        <v/>
      </c>
      <c r="AA528" s="650">
        <f>V_Model_CB!AA31</f>
        <v/>
      </c>
      <c r="AB528" s="650">
        <f>V_Model_CB!AB31</f>
        <v/>
      </c>
      <c r="AC528" s="613">
        <f>V_Model_CB!AC31</f>
        <v/>
      </c>
      <c r="AD528" s="613">
        <f>V_Model_CB!AD31</f>
        <v/>
      </c>
      <c r="AE528" s="613">
        <f>V_Model_CB!AE31</f>
        <v/>
      </c>
      <c r="AF528" s="613">
        <f>V_Model_CB!AF31</f>
        <v/>
      </c>
      <c r="AG528" s="626">
        <f>V_Model_CB!AG31</f>
        <v/>
      </c>
      <c r="AH528" s="626">
        <f>V_Model_CB!AH31</f>
        <v/>
      </c>
      <c r="AI528" s="626">
        <f>V_Model_CB!AI31</f>
        <v/>
      </c>
      <c r="AJ528" s="626">
        <f>V_Model_CB!AJ31</f>
        <v/>
      </c>
      <c r="AK528" s="626">
        <f>V_Model_CB!AK31</f>
        <v/>
      </c>
      <c r="AL528" s="626">
        <f>V_Model_CB!AL31</f>
        <v/>
      </c>
      <c r="AM528" s="626">
        <f>V_Model_CB!AM31</f>
        <v/>
      </c>
      <c r="AN528" s="626">
        <f>V_Model_CB!AN31</f>
        <v/>
      </c>
      <c r="AO528" s="626">
        <f>V_Model_CB!AO31</f>
        <v/>
      </c>
      <c r="AP528" s="369">
        <f>V_Model_CB!AP31</f>
        <v/>
      </c>
      <c r="AQ528" s="369">
        <f>V_Model_CB!AQ31</f>
        <v/>
      </c>
      <c r="AR528" s="369">
        <f>V_Model_CB!AR31</f>
        <v/>
      </c>
      <c r="AS528" s="369">
        <f>V_Model_CB!AS31</f>
        <v/>
      </c>
      <c r="AT528" s="370">
        <f>V_Model_CB!AT31</f>
        <v/>
      </c>
      <c r="AU528" s="370">
        <f>V_Model_CB!AU31</f>
        <v/>
      </c>
      <c r="AV528" s="370">
        <f>V_Model_CB!AV31</f>
        <v/>
      </c>
      <c r="AW528" s="370">
        <f>V_Model_CB!AW31</f>
        <v/>
      </c>
      <c r="AX528">
        <f>V_Model_CB!AX31</f>
        <v/>
      </c>
      <c r="AY528">
        <f>V_Model_CB!AY31</f>
        <v/>
      </c>
      <c r="AZ528">
        <f>V_Model_CB!AZ31</f>
        <v/>
      </c>
      <c r="BA528">
        <f>V_Model_CB!BA31</f>
        <v/>
      </c>
      <c r="BB528">
        <f>V_Model_CB!BB31</f>
        <v/>
      </c>
      <c r="BC528">
        <f>V_Model_CB!BC31</f>
        <v/>
      </c>
      <c r="BD528">
        <f>V_Model_CB!BD31</f>
        <v/>
      </c>
      <c r="BE528">
        <f>V_Model_CB!BE31</f>
        <v/>
      </c>
      <c r="BF528">
        <f>V_Model_CB!BF31</f>
        <v/>
      </c>
      <c r="BG528">
        <f>V_Model_CB!BG31</f>
        <v/>
      </c>
      <c r="BH528">
        <f>V_Model_CB!BH31</f>
        <v/>
      </c>
      <c r="BI528">
        <f>V_Model_CB!BI31</f>
        <v/>
      </c>
      <c r="BJ528">
        <f>O528</f>
        <v/>
      </c>
      <c r="BK528">
        <f>SUM(AG528:AW528)</f>
        <v/>
      </c>
      <c r="BL528" s="531">
        <f>BJ528-BK528</f>
        <v/>
      </c>
      <c r="BM528" s="201" t="n"/>
    </row>
    <row r="529" hidden="1" outlineLevel="1" s="191">
      <c r="A529">
        <f>V_Model_CB!A32</f>
        <v/>
      </c>
      <c r="B529">
        <f>V_Model_CB!B32</f>
        <v/>
      </c>
      <c r="C529">
        <f>V_Model_CB!C32</f>
        <v/>
      </c>
      <c r="D529">
        <f>V_Model_CB!D32</f>
        <v/>
      </c>
      <c r="E529">
        <f>V_Model_CB!E32</f>
        <v/>
      </c>
      <c r="F529">
        <f>V_Model_CB!F32</f>
        <v/>
      </c>
      <c r="G529">
        <f>V_Model_CB!G32</f>
        <v/>
      </c>
      <c r="H529">
        <f>V_Model_CB!H31</f>
        <v/>
      </c>
      <c r="I529">
        <f>V_Model_CB!I32</f>
        <v/>
      </c>
      <c r="J529">
        <f>V_Model_CB!J32</f>
        <v/>
      </c>
      <c r="K529" s="672">
        <f>V_Model_CB!K32</f>
        <v/>
      </c>
      <c r="L529" s="672">
        <f>V_Model_CB!L32</f>
        <v/>
      </c>
      <c r="M529">
        <f>V_Model_CB!M32</f>
        <v/>
      </c>
      <c r="N529">
        <f>V_Model_CB!N32</f>
        <v/>
      </c>
      <c r="O529">
        <f>V_Model_CB!O32</f>
        <v/>
      </c>
      <c r="P529" s="628">
        <f>V_Model_CB!P32</f>
        <v/>
      </c>
      <c r="Q529" s="628">
        <f>V_Model_CB!Q32</f>
        <v/>
      </c>
      <c r="R529" s="628">
        <f>V_Model_CB!R32</f>
        <v/>
      </c>
      <c r="S529" s="628">
        <f>V_Model_CB!S32</f>
        <v/>
      </c>
      <c r="T529" s="628">
        <f>V_Model_CB!T32</f>
        <v/>
      </c>
      <c r="U529" s="628">
        <f>V_Model_CB!U32</f>
        <v/>
      </c>
      <c r="V529" s="628">
        <f>V_Model_CB!V32</f>
        <v/>
      </c>
      <c r="W529" s="628">
        <f>V_Model_CB!W32</f>
        <v/>
      </c>
      <c r="X529" s="628">
        <f>V_Model_CB!X32</f>
        <v/>
      </c>
      <c r="Y529" s="650">
        <f>V_Model_CB!Y32</f>
        <v/>
      </c>
      <c r="Z529" s="650">
        <f>V_Model_CB!Z32</f>
        <v/>
      </c>
      <c r="AA529" s="650">
        <f>V_Model_CB!AA32</f>
        <v/>
      </c>
      <c r="AB529" s="650">
        <f>V_Model_CB!AB32</f>
        <v/>
      </c>
      <c r="AC529" s="613">
        <f>V_Model_CB!AC32</f>
        <v/>
      </c>
      <c r="AD529" s="613">
        <f>V_Model_CB!AD32</f>
        <v/>
      </c>
      <c r="AE529" s="613">
        <f>V_Model_CB!AE32</f>
        <v/>
      </c>
      <c r="AF529" s="613">
        <f>V_Model_CB!AF32</f>
        <v/>
      </c>
      <c r="AG529" s="626">
        <f>V_Model_CB!AG32</f>
        <v/>
      </c>
      <c r="AH529" s="626">
        <f>V_Model_CB!AH32</f>
        <v/>
      </c>
      <c r="AI529" s="626">
        <f>V_Model_CB!AI32</f>
        <v/>
      </c>
      <c r="AJ529" s="626">
        <f>V_Model_CB!AJ32</f>
        <v/>
      </c>
      <c r="AK529" s="626">
        <f>V_Model_CB!AK32</f>
        <v/>
      </c>
      <c r="AL529" s="626">
        <f>V_Model_CB!AL32</f>
        <v/>
      </c>
      <c r="AM529" s="626">
        <f>V_Model_CB!AM32</f>
        <v/>
      </c>
      <c r="AN529" s="626">
        <f>V_Model_CB!AN32</f>
        <v/>
      </c>
      <c r="AO529" s="626">
        <f>V_Model_CB!AO32</f>
        <v/>
      </c>
      <c r="AP529" s="369">
        <f>V_Model_CB!AP32</f>
        <v/>
      </c>
      <c r="AQ529" s="369">
        <f>V_Model_CB!AQ32</f>
        <v/>
      </c>
      <c r="AR529" s="369">
        <f>V_Model_CB!AR32</f>
        <v/>
      </c>
      <c r="AS529" s="369">
        <f>V_Model_CB!AS32</f>
        <v/>
      </c>
      <c r="AT529" s="370">
        <f>V_Model_CB!AT32</f>
        <v/>
      </c>
      <c r="AU529" s="370">
        <f>V_Model_CB!AU32</f>
        <v/>
      </c>
      <c r="AV529" s="370">
        <f>V_Model_CB!AV32</f>
        <v/>
      </c>
      <c r="AW529" s="370">
        <f>V_Model_CB!AW32</f>
        <v/>
      </c>
      <c r="AX529">
        <f>V_Model_CB!AX32</f>
        <v/>
      </c>
      <c r="AY529">
        <f>V_Model_CB!AY32</f>
        <v/>
      </c>
      <c r="AZ529">
        <f>V_Model_CB!AZ32</f>
        <v/>
      </c>
      <c r="BA529">
        <f>V_Model_CB!BA32</f>
        <v/>
      </c>
      <c r="BB529">
        <f>V_Model_CB!BB32</f>
        <v/>
      </c>
      <c r="BC529">
        <f>V_Model_CB!BC32</f>
        <v/>
      </c>
      <c r="BD529">
        <f>V_Model_CB!BD32</f>
        <v/>
      </c>
      <c r="BE529">
        <f>V_Model_CB!BE32</f>
        <v/>
      </c>
      <c r="BF529">
        <f>V_Model_CB!BF32</f>
        <v/>
      </c>
      <c r="BG529">
        <f>V_Model_CB!BG32</f>
        <v/>
      </c>
      <c r="BH529">
        <f>V_Model_CB!BH32</f>
        <v/>
      </c>
      <c r="BI529">
        <f>V_Model_CB!BI32</f>
        <v/>
      </c>
      <c r="BJ529">
        <f>O529</f>
        <v/>
      </c>
      <c r="BK529">
        <f>SUM(AG529:AW529)</f>
        <v/>
      </c>
      <c r="BL529" s="531">
        <f>BJ529-BK529</f>
        <v/>
      </c>
      <c r="BM529" s="201" t="n"/>
    </row>
    <row r="530" hidden="1" outlineLevel="1" s="191">
      <c r="A530">
        <f>V_Model_CB!A33</f>
        <v/>
      </c>
      <c r="B530">
        <f>V_Model_CB!B33</f>
        <v/>
      </c>
      <c r="C530">
        <f>V_Model_CB!C33</f>
        <v/>
      </c>
      <c r="D530">
        <f>V_Model_CB!D33</f>
        <v/>
      </c>
      <c r="E530">
        <f>V_Model_CB!E33</f>
        <v/>
      </c>
      <c r="F530">
        <f>V_Model_CB!F33</f>
        <v/>
      </c>
      <c r="G530">
        <f>V_Model_CB!G33</f>
        <v/>
      </c>
      <c r="H530">
        <f>V_Model_CB!H32</f>
        <v/>
      </c>
      <c r="I530">
        <f>V_Model_CB!I33</f>
        <v/>
      </c>
      <c r="J530">
        <f>V_Model_CB!J33</f>
        <v/>
      </c>
      <c r="K530" s="672">
        <f>V_Model_CB!K33</f>
        <v/>
      </c>
      <c r="L530" s="672">
        <f>V_Model_CB!L33</f>
        <v/>
      </c>
      <c r="M530">
        <f>V_Model_CB!M33</f>
        <v/>
      </c>
      <c r="N530">
        <f>V_Model_CB!N33</f>
        <v/>
      </c>
      <c r="O530">
        <f>V_Model_CB!O33</f>
        <v/>
      </c>
      <c r="P530" s="628">
        <f>V_Model_CB!P33</f>
        <v/>
      </c>
      <c r="Q530" s="628">
        <f>V_Model_CB!Q33</f>
        <v/>
      </c>
      <c r="R530" s="628">
        <f>V_Model_CB!R33</f>
        <v/>
      </c>
      <c r="S530" s="628">
        <f>V_Model_CB!S33</f>
        <v/>
      </c>
      <c r="T530" s="628">
        <f>V_Model_CB!T33</f>
        <v/>
      </c>
      <c r="U530" s="628">
        <f>V_Model_CB!U33</f>
        <v/>
      </c>
      <c r="V530" s="628">
        <f>V_Model_CB!V33</f>
        <v/>
      </c>
      <c r="W530" s="628">
        <f>V_Model_CB!W33</f>
        <v/>
      </c>
      <c r="X530" s="628">
        <f>V_Model_CB!X33</f>
        <v/>
      </c>
      <c r="Y530" s="650">
        <f>V_Model_CB!Y33</f>
        <v/>
      </c>
      <c r="Z530" s="650">
        <f>V_Model_CB!Z33</f>
        <v/>
      </c>
      <c r="AA530" s="650">
        <f>V_Model_CB!AA33</f>
        <v/>
      </c>
      <c r="AB530" s="650">
        <f>V_Model_CB!AB33</f>
        <v/>
      </c>
      <c r="AC530" s="613">
        <f>V_Model_CB!AC33</f>
        <v/>
      </c>
      <c r="AD530" s="613">
        <f>V_Model_CB!AD33</f>
        <v/>
      </c>
      <c r="AE530" s="613">
        <f>V_Model_CB!AE33</f>
        <v/>
      </c>
      <c r="AF530" s="613">
        <f>V_Model_CB!AF33</f>
        <v/>
      </c>
      <c r="AG530" s="626">
        <f>V_Model_CB!AG33</f>
        <v/>
      </c>
      <c r="AH530" s="626">
        <f>V_Model_CB!AH33</f>
        <v/>
      </c>
      <c r="AI530" s="626">
        <f>V_Model_CB!AI33</f>
        <v/>
      </c>
      <c r="AJ530" s="626">
        <f>V_Model_CB!AJ33</f>
        <v/>
      </c>
      <c r="AK530" s="626">
        <f>V_Model_CB!AK33</f>
        <v/>
      </c>
      <c r="AL530" s="626">
        <f>V_Model_CB!AL33</f>
        <v/>
      </c>
      <c r="AM530" s="626">
        <f>V_Model_CB!AM33</f>
        <v/>
      </c>
      <c r="AN530" s="626">
        <f>V_Model_CB!AN33</f>
        <v/>
      </c>
      <c r="AO530" s="626">
        <f>V_Model_CB!AO33</f>
        <v/>
      </c>
      <c r="AP530" s="369">
        <f>V_Model_CB!AP33</f>
        <v/>
      </c>
      <c r="AQ530" s="369">
        <f>V_Model_CB!AQ33</f>
        <v/>
      </c>
      <c r="AR530" s="369">
        <f>V_Model_CB!AR33</f>
        <v/>
      </c>
      <c r="AS530" s="369">
        <f>V_Model_CB!AS33</f>
        <v/>
      </c>
      <c r="AT530" s="370">
        <f>V_Model_CB!AT33</f>
        <v/>
      </c>
      <c r="AU530" s="370">
        <f>V_Model_CB!AU33</f>
        <v/>
      </c>
      <c r="AV530" s="370">
        <f>V_Model_CB!AV33</f>
        <v/>
      </c>
      <c r="AW530" s="370">
        <f>V_Model_CB!AW33</f>
        <v/>
      </c>
      <c r="AX530">
        <f>V_Model_CB!AX33</f>
        <v/>
      </c>
      <c r="AY530">
        <f>V_Model_CB!AY33</f>
        <v/>
      </c>
      <c r="AZ530">
        <f>V_Model_CB!AZ33</f>
        <v/>
      </c>
      <c r="BA530">
        <f>V_Model_CB!BA33</f>
        <v/>
      </c>
      <c r="BB530">
        <f>V_Model_CB!BB33</f>
        <v/>
      </c>
      <c r="BC530">
        <f>V_Model_CB!BC33</f>
        <v/>
      </c>
      <c r="BD530">
        <f>V_Model_CB!BD33</f>
        <v/>
      </c>
      <c r="BE530">
        <f>V_Model_CB!BE33</f>
        <v/>
      </c>
      <c r="BF530">
        <f>V_Model_CB!BF33</f>
        <v/>
      </c>
      <c r="BG530">
        <f>V_Model_CB!BG33</f>
        <v/>
      </c>
      <c r="BH530">
        <f>V_Model_CB!BH33</f>
        <v/>
      </c>
      <c r="BI530">
        <f>V_Model_CB!BI33</f>
        <v/>
      </c>
      <c r="BJ530">
        <f>O530</f>
        <v/>
      </c>
      <c r="BK530">
        <f>SUM(AG530:AW530)</f>
        <v/>
      </c>
      <c r="BL530" s="531">
        <f>BJ530-BK530</f>
        <v/>
      </c>
      <c r="BM530" s="201" t="n"/>
    </row>
    <row r="531" hidden="1" outlineLevel="1" s="191">
      <c r="A531">
        <f>V_Model_CB!A34</f>
        <v/>
      </c>
      <c r="B531">
        <f>V_Model_CB!B34</f>
        <v/>
      </c>
      <c r="C531">
        <f>V_Model_CB!C34</f>
        <v/>
      </c>
      <c r="D531">
        <f>V_Model_CB!D34</f>
        <v/>
      </c>
      <c r="E531">
        <f>V_Model_CB!E34</f>
        <v/>
      </c>
      <c r="F531">
        <f>V_Model_CB!F34</f>
        <v/>
      </c>
      <c r="G531">
        <f>V_Model_CB!G34</f>
        <v/>
      </c>
      <c r="H531">
        <f>V_Model_CB!H33</f>
        <v/>
      </c>
      <c r="I531">
        <f>V_Model_CB!I34</f>
        <v/>
      </c>
      <c r="J531">
        <f>V_Model_CB!J34</f>
        <v/>
      </c>
      <c r="K531" s="672">
        <f>V_Model_CB!K34</f>
        <v/>
      </c>
      <c r="L531" s="672">
        <f>V_Model_CB!L34</f>
        <v/>
      </c>
      <c r="M531">
        <f>V_Model_CB!M34</f>
        <v/>
      </c>
      <c r="N531">
        <f>V_Model_CB!N34</f>
        <v/>
      </c>
      <c r="O531">
        <f>V_Model_CB!O34</f>
        <v/>
      </c>
      <c r="P531" s="628">
        <f>V_Model_CB!P34</f>
        <v/>
      </c>
      <c r="Q531" s="628">
        <f>V_Model_CB!Q34</f>
        <v/>
      </c>
      <c r="R531" s="628">
        <f>V_Model_CB!R34</f>
        <v/>
      </c>
      <c r="S531" s="628">
        <f>V_Model_CB!S34</f>
        <v/>
      </c>
      <c r="T531" s="628">
        <f>V_Model_CB!T34</f>
        <v/>
      </c>
      <c r="U531" s="628">
        <f>V_Model_CB!U34</f>
        <v/>
      </c>
      <c r="V531" s="628">
        <f>V_Model_CB!V34</f>
        <v/>
      </c>
      <c r="W531" s="628">
        <f>V_Model_CB!W34</f>
        <v/>
      </c>
      <c r="X531" s="628">
        <f>V_Model_CB!X34</f>
        <v/>
      </c>
      <c r="Y531" s="650">
        <f>V_Model_CB!Y34</f>
        <v/>
      </c>
      <c r="Z531" s="650">
        <f>V_Model_CB!Z34</f>
        <v/>
      </c>
      <c r="AA531" s="650">
        <f>V_Model_CB!AA34</f>
        <v/>
      </c>
      <c r="AB531" s="650">
        <f>V_Model_CB!AB34</f>
        <v/>
      </c>
      <c r="AC531" s="613">
        <f>V_Model_CB!AC34</f>
        <v/>
      </c>
      <c r="AD531" s="613">
        <f>V_Model_CB!AD34</f>
        <v/>
      </c>
      <c r="AE531" s="613">
        <f>V_Model_CB!AE34</f>
        <v/>
      </c>
      <c r="AF531" s="613">
        <f>V_Model_CB!AF34</f>
        <v/>
      </c>
      <c r="AG531" s="626">
        <f>V_Model_CB!AG34</f>
        <v/>
      </c>
      <c r="AH531" s="626">
        <f>V_Model_CB!AH34</f>
        <v/>
      </c>
      <c r="AI531" s="626">
        <f>V_Model_CB!AI34</f>
        <v/>
      </c>
      <c r="AJ531" s="626">
        <f>V_Model_CB!AJ34</f>
        <v/>
      </c>
      <c r="AK531" s="626">
        <f>V_Model_CB!AK34</f>
        <v/>
      </c>
      <c r="AL531" s="626">
        <f>V_Model_CB!AL34</f>
        <v/>
      </c>
      <c r="AM531" s="626">
        <f>V_Model_CB!AM34</f>
        <v/>
      </c>
      <c r="AN531" s="626">
        <f>V_Model_CB!AN34</f>
        <v/>
      </c>
      <c r="AO531" s="626">
        <f>V_Model_CB!AO34</f>
        <v/>
      </c>
      <c r="AP531" s="369">
        <f>V_Model_CB!AP34</f>
        <v/>
      </c>
      <c r="AQ531" s="369">
        <f>V_Model_CB!AQ34</f>
        <v/>
      </c>
      <c r="AR531" s="369">
        <f>V_Model_CB!AR34</f>
        <v/>
      </c>
      <c r="AS531" s="369">
        <f>V_Model_CB!AS34</f>
        <v/>
      </c>
      <c r="AT531" s="370">
        <f>V_Model_CB!AT34</f>
        <v/>
      </c>
      <c r="AU531" s="370">
        <f>V_Model_CB!AU34</f>
        <v/>
      </c>
      <c r="AV531" s="370">
        <f>V_Model_CB!AV34</f>
        <v/>
      </c>
      <c r="AW531" s="370">
        <f>V_Model_CB!AW34</f>
        <v/>
      </c>
      <c r="AX531">
        <f>V_Model_CB!AX34</f>
        <v/>
      </c>
      <c r="AY531">
        <f>V_Model_CB!AY34</f>
        <v/>
      </c>
      <c r="AZ531">
        <f>V_Model_CB!AZ34</f>
        <v/>
      </c>
      <c r="BA531">
        <f>V_Model_CB!BA34</f>
        <v/>
      </c>
      <c r="BB531">
        <f>V_Model_CB!BB34</f>
        <v/>
      </c>
      <c r="BC531">
        <f>V_Model_CB!BC34</f>
        <v/>
      </c>
      <c r="BD531">
        <f>V_Model_CB!BD34</f>
        <v/>
      </c>
      <c r="BE531">
        <f>V_Model_CB!BE34</f>
        <v/>
      </c>
      <c r="BF531">
        <f>V_Model_CB!BF34</f>
        <v/>
      </c>
      <c r="BG531">
        <f>V_Model_CB!BG34</f>
        <v/>
      </c>
      <c r="BH531">
        <f>V_Model_CB!BH34</f>
        <v/>
      </c>
      <c r="BI531">
        <f>V_Model_CB!BI34</f>
        <v/>
      </c>
      <c r="BJ531">
        <f>O531</f>
        <v/>
      </c>
      <c r="BK531">
        <f>SUM(AG531:AW531)</f>
        <v/>
      </c>
      <c r="BL531" s="531">
        <f>BJ531-BK531</f>
        <v/>
      </c>
      <c r="BM531" s="201" t="n"/>
    </row>
    <row r="532" hidden="1" outlineLevel="1" s="191">
      <c r="A532">
        <f>V_Model_CB!A35</f>
        <v/>
      </c>
      <c r="B532">
        <f>V_Model_CB!B35</f>
        <v/>
      </c>
      <c r="C532">
        <f>V_Model_CB!C35</f>
        <v/>
      </c>
      <c r="D532">
        <f>V_Model_CB!D35</f>
        <v/>
      </c>
      <c r="E532">
        <f>V_Model_CB!E35</f>
        <v/>
      </c>
      <c r="F532">
        <f>V_Model_CB!F35</f>
        <v/>
      </c>
      <c r="G532">
        <f>V_Model_CB!G35</f>
        <v/>
      </c>
      <c r="H532">
        <f>V_Model_CB!H35</f>
        <v/>
      </c>
      <c r="I532">
        <f>V_Model_CB!I35</f>
        <v/>
      </c>
      <c r="J532">
        <f>V_Model_CB!J35</f>
        <v/>
      </c>
      <c r="K532" s="672">
        <f>V_Model_CB!K35</f>
        <v/>
      </c>
      <c r="L532" s="672">
        <f>V_Model_CB!L35</f>
        <v/>
      </c>
      <c r="M532">
        <f>V_Model_CB!M35</f>
        <v/>
      </c>
      <c r="N532">
        <f>V_Model_CB!N35</f>
        <v/>
      </c>
      <c r="O532">
        <f>V_Model_CB!O35</f>
        <v/>
      </c>
      <c r="P532" s="628">
        <f>V_Model_CB!P35</f>
        <v/>
      </c>
      <c r="Q532" s="628">
        <f>V_Model_CB!Q35</f>
        <v/>
      </c>
      <c r="R532" s="628">
        <f>V_Model_CB!R35</f>
        <v/>
      </c>
      <c r="S532" s="628">
        <f>V_Model_CB!S35</f>
        <v/>
      </c>
      <c r="T532" s="628">
        <f>V_Model_CB!T35</f>
        <v/>
      </c>
      <c r="U532" s="628">
        <f>V_Model_CB!U35</f>
        <v/>
      </c>
      <c r="V532" s="628">
        <f>V_Model_CB!V35</f>
        <v/>
      </c>
      <c r="W532" s="628">
        <f>V_Model_CB!W35</f>
        <v/>
      </c>
      <c r="X532" s="628">
        <f>V_Model_CB!X35</f>
        <v/>
      </c>
      <c r="Y532" s="650">
        <f>V_Model_CB!Y35</f>
        <v/>
      </c>
      <c r="Z532" s="650">
        <f>V_Model_CB!Z35</f>
        <v/>
      </c>
      <c r="AA532" s="650">
        <f>V_Model_CB!AA35</f>
        <v/>
      </c>
      <c r="AB532" s="650">
        <f>V_Model_CB!AB35</f>
        <v/>
      </c>
      <c r="AC532" s="613">
        <f>V_Model_CB!AC35</f>
        <v/>
      </c>
      <c r="AD532" s="613">
        <f>V_Model_CB!AD35</f>
        <v/>
      </c>
      <c r="AE532" s="613">
        <f>V_Model_CB!AE35</f>
        <v/>
      </c>
      <c r="AF532" s="613">
        <f>V_Model_CB!AF35</f>
        <v/>
      </c>
      <c r="AG532" s="626">
        <f>V_Model_CB!AG35</f>
        <v/>
      </c>
      <c r="AH532" s="626">
        <f>V_Model_CB!AH35</f>
        <v/>
      </c>
      <c r="AI532" s="626">
        <f>V_Model_CB!AI35</f>
        <v/>
      </c>
      <c r="AJ532" s="626">
        <f>V_Model_CB!AJ35</f>
        <v/>
      </c>
      <c r="AK532" s="626">
        <f>V_Model_CB!AK35</f>
        <v/>
      </c>
      <c r="AL532" s="626">
        <f>V_Model_CB!AL35</f>
        <v/>
      </c>
      <c r="AM532" s="626">
        <f>V_Model_CB!AM35</f>
        <v/>
      </c>
      <c r="AN532" s="626">
        <f>V_Model_CB!AN35</f>
        <v/>
      </c>
      <c r="AO532" s="626">
        <f>V_Model_CB!AO35</f>
        <v/>
      </c>
      <c r="AP532" s="369">
        <f>V_Model_CB!AP35</f>
        <v/>
      </c>
      <c r="AQ532" s="369">
        <f>V_Model_CB!AQ35</f>
        <v/>
      </c>
      <c r="AR532" s="369">
        <f>V_Model_CB!AR35</f>
        <v/>
      </c>
      <c r="AS532" s="369">
        <f>V_Model_CB!AS35</f>
        <v/>
      </c>
      <c r="AT532" s="370">
        <f>V_Model_CB!AT35</f>
        <v/>
      </c>
      <c r="AU532" s="370">
        <f>V_Model_CB!AU35</f>
        <v/>
      </c>
      <c r="AV532" s="370">
        <f>V_Model_CB!AV35</f>
        <v/>
      </c>
      <c r="AW532" s="370">
        <f>V_Model_CB!AW35</f>
        <v/>
      </c>
      <c r="AX532">
        <f>V_Model_CB!AX35</f>
        <v/>
      </c>
      <c r="AY532">
        <f>V_Model_CB!AY35</f>
        <v/>
      </c>
      <c r="AZ532">
        <f>V_Model_CB!AZ35</f>
        <v/>
      </c>
      <c r="BA532">
        <f>V_Model_CB!BA35</f>
        <v/>
      </c>
      <c r="BB532">
        <f>V_Model_CB!BB35</f>
        <v/>
      </c>
      <c r="BC532">
        <f>V_Model_CB!BC35</f>
        <v/>
      </c>
      <c r="BD532">
        <f>V_Model_CB!BD35</f>
        <v/>
      </c>
      <c r="BE532">
        <f>V_Model_CB!BE35</f>
        <v/>
      </c>
      <c r="BF532">
        <f>V_Model_CB!BF35</f>
        <v/>
      </c>
      <c r="BG532">
        <f>V_Model_CB!BG35</f>
        <v/>
      </c>
      <c r="BH532">
        <f>V_Model_CB!BH35</f>
        <v/>
      </c>
      <c r="BI532">
        <f>V_Model_CB!BI35</f>
        <v/>
      </c>
      <c r="BJ532">
        <f>O532</f>
        <v/>
      </c>
      <c r="BK532">
        <f>SUM(AG532:AW532)</f>
        <v/>
      </c>
      <c r="BL532" s="531">
        <f>BJ532-BK532</f>
        <v/>
      </c>
      <c r="BM532" s="201" t="n"/>
    </row>
    <row r="533" hidden="1" outlineLevel="1" s="191">
      <c r="A533">
        <f>V_Model_CB!A36</f>
        <v/>
      </c>
      <c r="B533">
        <f>V_Model_CB!B36</f>
        <v/>
      </c>
      <c r="C533">
        <f>V_Model_CB!C36</f>
        <v/>
      </c>
      <c r="D533">
        <f>V_Model_CB!D36</f>
        <v/>
      </c>
      <c r="E533">
        <f>V_Model_CB!E36</f>
        <v/>
      </c>
      <c r="F533">
        <f>V_Model_CB!F36</f>
        <v/>
      </c>
      <c r="G533">
        <f>V_Model_CB!G36</f>
        <v/>
      </c>
      <c r="H533">
        <f>V_Model_CB!H36</f>
        <v/>
      </c>
      <c r="I533">
        <f>V_Model_CB!I36</f>
        <v/>
      </c>
      <c r="J533">
        <f>V_Model_CB!J36</f>
        <v/>
      </c>
      <c r="K533" s="672">
        <f>V_Model_CB!K36</f>
        <v/>
      </c>
      <c r="L533" s="672">
        <f>V_Model_CB!L36</f>
        <v/>
      </c>
      <c r="M533">
        <f>V_Model_CB!M36</f>
        <v/>
      </c>
      <c r="N533">
        <f>V_Model_CB!N36</f>
        <v/>
      </c>
      <c r="O533">
        <f>V_Model_CB!O36</f>
        <v/>
      </c>
      <c r="P533" s="628">
        <f>V_Model_CB!P36</f>
        <v/>
      </c>
      <c r="Q533" s="628">
        <f>V_Model_CB!Q36</f>
        <v/>
      </c>
      <c r="R533" s="628">
        <f>V_Model_CB!R36</f>
        <v/>
      </c>
      <c r="S533" s="628">
        <f>V_Model_CB!S36</f>
        <v/>
      </c>
      <c r="T533" s="628">
        <f>V_Model_CB!T36</f>
        <v/>
      </c>
      <c r="U533" s="628">
        <f>V_Model_CB!U36</f>
        <v/>
      </c>
      <c r="V533" s="628">
        <f>V_Model_CB!V36</f>
        <v/>
      </c>
      <c r="W533" s="628">
        <f>V_Model_CB!W36</f>
        <v/>
      </c>
      <c r="X533" s="628">
        <f>V_Model_CB!X36</f>
        <v/>
      </c>
      <c r="Y533" s="650">
        <f>V_Model_CB!Y36</f>
        <v/>
      </c>
      <c r="Z533" s="650">
        <f>V_Model_CB!Z36</f>
        <v/>
      </c>
      <c r="AA533" s="650">
        <f>V_Model_CB!AA36</f>
        <v/>
      </c>
      <c r="AB533" s="650">
        <f>V_Model_CB!AB36</f>
        <v/>
      </c>
      <c r="AC533" s="613">
        <f>V_Model_CB!AC36</f>
        <v/>
      </c>
      <c r="AD533" s="613">
        <f>V_Model_CB!AD36</f>
        <v/>
      </c>
      <c r="AE533" s="613">
        <f>V_Model_CB!AE36</f>
        <v/>
      </c>
      <c r="AF533" s="613">
        <f>V_Model_CB!AF36</f>
        <v/>
      </c>
      <c r="AG533" s="626">
        <f>V_Model_CB!AG36</f>
        <v/>
      </c>
      <c r="AH533" s="626">
        <f>V_Model_CB!AH36</f>
        <v/>
      </c>
      <c r="AI533" s="626">
        <f>V_Model_CB!AI36</f>
        <v/>
      </c>
      <c r="AJ533" s="626">
        <f>V_Model_CB!AJ36</f>
        <v/>
      </c>
      <c r="AK533" s="626">
        <f>V_Model_CB!AK36</f>
        <v/>
      </c>
      <c r="AL533" s="626">
        <f>V_Model_CB!AL36</f>
        <v/>
      </c>
      <c r="AM533" s="626">
        <f>V_Model_CB!AM36</f>
        <v/>
      </c>
      <c r="AN533" s="626">
        <f>V_Model_CB!AN36</f>
        <v/>
      </c>
      <c r="AO533" s="626">
        <f>V_Model_CB!AO36</f>
        <v/>
      </c>
      <c r="AP533" s="369">
        <f>V_Model_CB!AP36</f>
        <v/>
      </c>
      <c r="AQ533" s="369">
        <f>V_Model_CB!AQ36</f>
        <v/>
      </c>
      <c r="AR533" s="369">
        <f>V_Model_CB!AR36</f>
        <v/>
      </c>
      <c r="AS533" s="369">
        <f>V_Model_CB!AS36</f>
        <v/>
      </c>
      <c r="AT533" s="370">
        <f>V_Model_CB!AT36</f>
        <v/>
      </c>
      <c r="AU533" s="370">
        <f>V_Model_CB!AU36</f>
        <v/>
      </c>
      <c r="AV533" s="370">
        <f>V_Model_CB!AV36</f>
        <v/>
      </c>
      <c r="AW533" s="370">
        <f>V_Model_CB!AW36</f>
        <v/>
      </c>
      <c r="AX533">
        <f>V_Model_CB!AX36</f>
        <v/>
      </c>
      <c r="AY533">
        <f>V_Model_CB!AY36</f>
        <v/>
      </c>
      <c r="AZ533">
        <f>V_Model_CB!AZ36</f>
        <v/>
      </c>
      <c r="BA533">
        <f>V_Model_CB!BA36</f>
        <v/>
      </c>
      <c r="BB533">
        <f>V_Model_CB!BB36</f>
        <v/>
      </c>
      <c r="BC533">
        <f>V_Model_CB!BC36</f>
        <v/>
      </c>
      <c r="BD533">
        <f>V_Model_CB!BD36</f>
        <v/>
      </c>
      <c r="BE533">
        <f>V_Model_CB!BE36</f>
        <v/>
      </c>
      <c r="BF533">
        <f>V_Model_CB!BF36</f>
        <v/>
      </c>
      <c r="BG533">
        <f>V_Model_CB!BG36</f>
        <v/>
      </c>
      <c r="BH533">
        <f>V_Model_CB!BH36</f>
        <v/>
      </c>
      <c r="BI533">
        <f>V_Model_CB!BI36</f>
        <v/>
      </c>
      <c r="BJ533">
        <f>O533</f>
        <v/>
      </c>
      <c r="BK533">
        <f>SUM(AG533:AW533)</f>
        <v/>
      </c>
      <c r="BL533" s="531">
        <f>BJ533-BK533</f>
        <v/>
      </c>
      <c r="BM533" s="201" t="n"/>
    </row>
    <row r="534" hidden="1" outlineLevel="1" s="191">
      <c r="A534">
        <f>V_Model_CB!A37</f>
        <v/>
      </c>
      <c r="B534">
        <f>V_Model_CB!B37</f>
        <v/>
      </c>
      <c r="C534">
        <f>V_Model_CB!C37</f>
        <v/>
      </c>
      <c r="D534">
        <f>V_Model_CB!D37</f>
        <v/>
      </c>
      <c r="E534">
        <f>V_Model_CB!E37</f>
        <v/>
      </c>
      <c r="F534">
        <f>V_Model_CB!F37</f>
        <v/>
      </c>
      <c r="G534">
        <f>V_Model_CB!G37</f>
        <v/>
      </c>
      <c r="H534">
        <f>V_Model_CB!#REF!</f>
        <v/>
      </c>
      <c r="I534">
        <f>V_Model_CB!I37</f>
        <v/>
      </c>
      <c r="J534">
        <f>V_Model_CB!J37</f>
        <v/>
      </c>
      <c r="K534" s="672">
        <f>V_Model_CB!K37</f>
        <v/>
      </c>
      <c r="L534" s="672">
        <f>V_Model_CB!L37</f>
        <v/>
      </c>
      <c r="M534">
        <f>V_Model_CB!M37</f>
        <v/>
      </c>
      <c r="N534">
        <f>V_Model_CB!N37</f>
        <v/>
      </c>
      <c r="O534">
        <f>V_Model_CB!O37</f>
        <v/>
      </c>
      <c r="P534" s="628">
        <f>V_Model_CB!P37</f>
        <v/>
      </c>
      <c r="Q534" s="628">
        <f>V_Model_CB!Q37</f>
        <v/>
      </c>
      <c r="R534" s="628">
        <f>V_Model_CB!R37</f>
        <v/>
      </c>
      <c r="S534" s="628">
        <f>V_Model_CB!S37</f>
        <v/>
      </c>
      <c r="T534" s="628">
        <f>V_Model_CB!T37</f>
        <v/>
      </c>
      <c r="U534" s="628">
        <f>V_Model_CB!U37</f>
        <v/>
      </c>
      <c r="V534" s="628">
        <f>V_Model_CB!V37</f>
        <v/>
      </c>
      <c r="W534" s="628">
        <f>V_Model_CB!W37</f>
        <v/>
      </c>
      <c r="X534" s="628">
        <f>V_Model_CB!X37</f>
        <v/>
      </c>
      <c r="Y534" s="650">
        <f>V_Model_CB!Y37</f>
        <v/>
      </c>
      <c r="Z534" s="650">
        <f>V_Model_CB!Z37</f>
        <v/>
      </c>
      <c r="AA534" s="650">
        <f>V_Model_CB!AA37</f>
        <v/>
      </c>
      <c r="AB534" s="650">
        <f>V_Model_CB!AB37</f>
        <v/>
      </c>
      <c r="AC534" s="613">
        <f>V_Model_CB!AC37</f>
        <v/>
      </c>
      <c r="AD534" s="613">
        <f>V_Model_CB!AD37</f>
        <v/>
      </c>
      <c r="AE534" s="613">
        <f>V_Model_CB!AE37</f>
        <v/>
      </c>
      <c r="AF534" s="613">
        <f>V_Model_CB!AF37</f>
        <v/>
      </c>
      <c r="AG534" s="626">
        <f>V_Model_CB!AG37</f>
        <v/>
      </c>
      <c r="AH534" s="626">
        <f>V_Model_CB!AH37</f>
        <v/>
      </c>
      <c r="AI534" s="626">
        <f>V_Model_CB!AI37</f>
        <v/>
      </c>
      <c r="AJ534" s="626">
        <f>V_Model_CB!AJ37</f>
        <v/>
      </c>
      <c r="AK534" s="626">
        <f>V_Model_CB!AK37</f>
        <v/>
      </c>
      <c r="AL534" s="626">
        <f>V_Model_CB!AL37</f>
        <v/>
      </c>
      <c r="AM534" s="626">
        <f>V_Model_CB!AM37</f>
        <v/>
      </c>
      <c r="AN534" s="626">
        <f>V_Model_CB!AN37</f>
        <v/>
      </c>
      <c r="AO534" s="626">
        <f>V_Model_CB!AO37</f>
        <v/>
      </c>
      <c r="AP534" s="369">
        <f>V_Model_CB!AP37</f>
        <v/>
      </c>
      <c r="AQ534" s="369">
        <f>V_Model_CB!AQ37</f>
        <v/>
      </c>
      <c r="AR534" s="369">
        <f>V_Model_CB!AR37</f>
        <v/>
      </c>
      <c r="AS534" s="369">
        <f>V_Model_CB!AS37</f>
        <v/>
      </c>
      <c r="AT534" s="370">
        <f>V_Model_CB!AT37</f>
        <v/>
      </c>
      <c r="AU534" s="370">
        <f>V_Model_CB!AU37</f>
        <v/>
      </c>
      <c r="AV534" s="370">
        <f>V_Model_CB!AV37</f>
        <v/>
      </c>
      <c r="AW534" s="370">
        <f>V_Model_CB!AW37</f>
        <v/>
      </c>
      <c r="AX534">
        <f>V_Model_CB!AX37</f>
        <v/>
      </c>
      <c r="AY534">
        <f>V_Model_CB!AY37</f>
        <v/>
      </c>
      <c r="AZ534">
        <f>V_Model_CB!AZ37</f>
        <v/>
      </c>
      <c r="BA534">
        <f>V_Model_CB!BA37</f>
        <v/>
      </c>
      <c r="BB534">
        <f>V_Model_CB!BB37</f>
        <v/>
      </c>
      <c r="BC534">
        <f>V_Model_CB!BC37</f>
        <v/>
      </c>
      <c r="BD534">
        <f>V_Model_CB!BD37</f>
        <v/>
      </c>
      <c r="BE534">
        <f>V_Model_CB!BE37</f>
        <v/>
      </c>
      <c r="BF534">
        <f>V_Model_CB!BF37</f>
        <v/>
      </c>
      <c r="BG534">
        <f>V_Model_CB!BG37</f>
        <v/>
      </c>
      <c r="BH534">
        <f>V_Model_CB!BH37</f>
        <v/>
      </c>
      <c r="BI534">
        <f>V_Model_CB!BI37</f>
        <v/>
      </c>
      <c r="BJ534">
        <f>O534</f>
        <v/>
      </c>
      <c r="BK534">
        <f>SUM(AG534:AW534)</f>
        <v/>
      </c>
      <c r="BL534" s="531">
        <f>BJ534-BK534</f>
        <v/>
      </c>
      <c r="BM534" s="201" t="n"/>
    </row>
    <row r="535" hidden="1" outlineLevel="1" s="191">
      <c r="A535">
        <f>V_Model_CB!A38</f>
        <v/>
      </c>
      <c r="B535">
        <f>V_Model_CB!B38</f>
        <v/>
      </c>
      <c r="C535">
        <f>V_Model_CB!C38</f>
        <v/>
      </c>
      <c r="D535">
        <f>V_Model_CB!D38</f>
        <v/>
      </c>
      <c r="E535">
        <f>V_Model_CB!E38</f>
        <v/>
      </c>
      <c r="F535">
        <f>V_Model_CB!F38</f>
        <v/>
      </c>
      <c r="G535">
        <f>V_Model_CB!G38</f>
        <v/>
      </c>
      <c r="H535">
        <f>V_Model_CB!H37</f>
        <v/>
      </c>
      <c r="I535">
        <f>V_Model_CB!I38</f>
        <v/>
      </c>
      <c r="J535">
        <f>V_Model_CB!J38</f>
        <v/>
      </c>
      <c r="K535" s="672">
        <f>V_Model_CB!K38</f>
        <v/>
      </c>
      <c r="L535" s="672">
        <f>V_Model_CB!L38</f>
        <v/>
      </c>
      <c r="M535">
        <f>V_Model_CB!M38</f>
        <v/>
      </c>
      <c r="N535">
        <f>V_Model_CB!N38</f>
        <v/>
      </c>
      <c r="O535">
        <f>V_Model_CB!O38</f>
        <v/>
      </c>
      <c r="P535" s="628">
        <f>V_Model_CB!P38</f>
        <v/>
      </c>
      <c r="Q535" s="628">
        <f>V_Model_CB!Q38</f>
        <v/>
      </c>
      <c r="R535" s="628">
        <f>V_Model_CB!R38</f>
        <v/>
      </c>
      <c r="S535" s="628">
        <f>V_Model_CB!S38</f>
        <v/>
      </c>
      <c r="T535" s="628">
        <f>V_Model_CB!T38</f>
        <v/>
      </c>
      <c r="U535" s="628">
        <f>V_Model_CB!U38</f>
        <v/>
      </c>
      <c r="V535" s="628">
        <f>V_Model_CB!V38</f>
        <v/>
      </c>
      <c r="W535" s="628">
        <f>V_Model_CB!W38</f>
        <v/>
      </c>
      <c r="X535" s="628">
        <f>V_Model_CB!X38</f>
        <v/>
      </c>
      <c r="Y535" s="650">
        <f>V_Model_CB!Y38</f>
        <v/>
      </c>
      <c r="Z535" s="650">
        <f>V_Model_CB!Z38</f>
        <v/>
      </c>
      <c r="AA535" s="650">
        <f>V_Model_CB!AA38</f>
        <v/>
      </c>
      <c r="AB535" s="650">
        <f>V_Model_CB!AB38</f>
        <v/>
      </c>
      <c r="AC535" s="613">
        <f>V_Model_CB!AC38</f>
        <v/>
      </c>
      <c r="AD535" s="613">
        <f>V_Model_CB!AD38</f>
        <v/>
      </c>
      <c r="AE535" s="613">
        <f>V_Model_CB!AE38</f>
        <v/>
      </c>
      <c r="AF535" s="613">
        <f>V_Model_CB!AF38</f>
        <v/>
      </c>
      <c r="AG535" s="626">
        <f>V_Model_CB!AG38</f>
        <v/>
      </c>
      <c r="AH535" s="626">
        <f>V_Model_CB!AH38</f>
        <v/>
      </c>
      <c r="AI535" s="626">
        <f>V_Model_CB!AI38</f>
        <v/>
      </c>
      <c r="AJ535" s="626">
        <f>V_Model_CB!AJ38</f>
        <v/>
      </c>
      <c r="AK535" s="626">
        <f>V_Model_CB!AK38</f>
        <v/>
      </c>
      <c r="AL535" s="626">
        <f>V_Model_CB!AL38</f>
        <v/>
      </c>
      <c r="AM535" s="626">
        <f>V_Model_CB!AM38</f>
        <v/>
      </c>
      <c r="AN535" s="626">
        <f>V_Model_CB!AN38</f>
        <v/>
      </c>
      <c r="AO535" s="626">
        <f>V_Model_CB!AO38</f>
        <v/>
      </c>
      <c r="AP535" s="369">
        <f>V_Model_CB!AP38</f>
        <v/>
      </c>
      <c r="AQ535" s="369">
        <f>V_Model_CB!AQ38</f>
        <v/>
      </c>
      <c r="AR535" s="369">
        <f>V_Model_CB!AR38</f>
        <v/>
      </c>
      <c r="AS535" s="369">
        <f>V_Model_CB!AS38</f>
        <v/>
      </c>
      <c r="AT535" s="370">
        <f>V_Model_CB!AT38</f>
        <v/>
      </c>
      <c r="AU535" s="370">
        <f>V_Model_CB!AU38</f>
        <v/>
      </c>
      <c r="AV535" s="370">
        <f>V_Model_CB!AV38</f>
        <v/>
      </c>
      <c r="AW535" s="370">
        <f>V_Model_CB!AW38</f>
        <v/>
      </c>
      <c r="AX535">
        <f>V_Model_CB!AX38</f>
        <v/>
      </c>
      <c r="AY535">
        <f>V_Model_CB!AY38</f>
        <v/>
      </c>
      <c r="AZ535">
        <f>V_Model_CB!AZ38</f>
        <v/>
      </c>
      <c r="BA535">
        <f>V_Model_CB!BA38</f>
        <v/>
      </c>
      <c r="BB535">
        <f>V_Model_CB!BB38</f>
        <v/>
      </c>
      <c r="BC535">
        <f>V_Model_CB!BC38</f>
        <v/>
      </c>
      <c r="BD535">
        <f>V_Model_CB!BD38</f>
        <v/>
      </c>
      <c r="BE535">
        <f>V_Model_CB!BE38</f>
        <v/>
      </c>
      <c r="BF535">
        <f>V_Model_CB!BF38</f>
        <v/>
      </c>
      <c r="BG535">
        <f>V_Model_CB!BG38</f>
        <v/>
      </c>
      <c r="BH535">
        <f>V_Model_CB!BH38</f>
        <v/>
      </c>
      <c r="BI535">
        <f>V_Model_CB!BI38</f>
        <v/>
      </c>
      <c r="BJ535">
        <f>O535</f>
        <v/>
      </c>
      <c r="BK535">
        <f>SUM(AG535:AW535)</f>
        <v/>
      </c>
      <c r="BL535" s="531">
        <f>BJ535-BK535</f>
        <v/>
      </c>
      <c r="BM535" s="201" t="n"/>
    </row>
    <row r="536" hidden="1" outlineLevel="1" s="191">
      <c r="A536">
        <f>V_Model_CB!A39</f>
        <v/>
      </c>
      <c r="B536">
        <f>V_Model_CB!B39</f>
        <v/>
      </c>
      <c r="C536">
        <f>V_Model_CB!C39</f>
        <v/>
      </c>
      <c r="D536">
        <f>V_Model_CB!D39</f>
        <v/>
      </c>
      <c r="E536">
        <f>V_Model_CB!E39</f>
        <v/>
      </c>
      <c r="F536">
        <f>V_Model_CB!F39</f>
        <v/>
      </c>
      <c r="G536">
        <f>V_Model_CB!G39</f>
        <v/>
      </c>
      <c r="H536">
        <f>V_Model_CB!H38</f>
        <v/>
      </c>
      <c r="I536">
        <f>V_Model_CB!I39</f>
        <v/>
      </c>
      <c r="J536">
        <f>V_Model_CB!J39</f>
        <v/>
      </c>
      <c r="K536" s="672">
        <f>V_Model_CB!K39</f>
        <v/>
      </c>
      <c r="L536" s="672">
        <f>V_Model_CB!L39</f>
        <v/>
      </c>
      <c r="M536">
        <f>V_Model_CB!M39</f>
        <v/>
      </c>
      <c r="N536">
        <f>V_Model_CB!N39</f>
        <v/>
      </c>
      <c r="O536">
        <f>V_Model_CB!O39</f>
        <v/>
      </c>
      <c r="P536" s="628">
        <f>V_Model_CB!P39</f>
        <v/>
      </c>
      <c r="Q536" s="628">
        <f>V_Model_CB!Q39</f>
        <v/>
      </c>
      <c r="R536" s="628">
        <f>V_Model_CB!R39</f>
        <v/>
      </c>
      <c r="S536" s="628">
        <f>V_Model_CB!S39</f>
        <v/>
      </c>
      <c r="T536" s="628">
        <f>V_Model_CB!T39</f>
        <v/>
      </c>
      <c r="U536" s="628">
        <f>V_Model_CB!U39</f>
        <v/>
      </c>
      <c r="V536" s="628">
        <f>V_Model_CB!V39</f>
        <v/>
      </c>
      <c r="W536" s="628">
        <f>V_Model_CB!W39</f>
        <v/>
      </c>
      <c r="X536" s="628">
        <f>V_Model_CB!X39</f>
        <v/>
      </c>
      <c r="Y536" s="650">
        <f>V_Model_CB!Y39</f>
        <v/>
      </c>
      <c r="Z536" s="650">
        <f>V_Model_CB!Z39</f>
        <v/>
      </c>
      <c r="AA536" s="650">
        <f>V_Model_CB!AA39</f>
        <v/>
      </c>
      <c r="AB536" s="650">
        <f>V_Model_CB!AB39</f>
        <v/>
      </c>
      <c r="AC536" s="613">
        <f>V_Model_CB!AC39</f>
        <v/>
      </c>
      <c r="AD536" s="613">
        <f>V_Model_CB!AD39</f>
        <v/>
      </c>
      <c r="AE536" s="613">
        <f>V_Model_CB!AE39</f>
        <v/>
      </c>
      <c r="AF536" s="613">
        <f>V_Model_CB!AF39</f>
        <v/>
      </c>
      <c r="AG536" s="626">
        <f>V_Model_CB!AG39</f>
        <v/>
      </c>
      <c r="AH536" s="626">
        <f>V_Model_CB!AH39</f>
        <v/>
      </c>
      <c r="AI536" s="626">
        <f>V_Model_CB!AI39</f>
        <v/>
      </c>
      <c r="AJ536" s="626">
        <f>V_Model_CB!AJ39</f>
        <v/>
      </c>
      <c r="AK536" s="626">
        <f>V_Model_CB!AK39</f>
        <v/>
      </c>
      <c r="AL536" s="626">
        <f>V_Model_CB!AL39</f>
        <v/>
      </c>
      <c r="AM536" s="626">
        <f>V_Model_CB!AM39</f>
        <v/>
      </c>
      <c r="AN536" s="626">
        <f>V_Model_CB!AN39</f>
        <v/>
      </c>
      <c r="AO536" s="626">
        <f>V_Model_CB!AO39</f>
        <v/>
      </c>
      <c r="AP536" s="369">
        <f>V_Model_CB!AP39</f>
        <v/>
      </c>
      <c r="AQ536" s="369">
        <f>V_Model_CB!AQ39</f>
        <v/>
      </c>
      <c r="AR536" s="369">
        <f>V_Model_CB!AR39</f>
        <v/>
      </c>
      <c r="AS536" s="369">
        <f>V_Model_CB!AS39</f>
        <v/>
      </c>
      <c r="AT536" s="370">
        <f>V_Model_CB!AT39</f>
        <v/>
      </c>
      <c r="AU536" s="370">
        <f>V_Model_CB!AU39</f>
        <v/>
      </c>
      <c r="AV536" s="370">
        <f>V_Model_CB!AV39</f>
        <v/>
      </c>
      <c r="AW536" s="370">
        <f>V_Model_CB!AW39</f>
        <v/>
      </c>
      <c r="AX536">
        <f>V_Model_CB!AX39</f>
        <v/>
      </c>
      <c r="AY536">
        <f>V_Model_CB!AY39</f>
        <v/>
      </c>
      <c r="AZ536">
        <f>V_Model_CB!AZ39</f>
        <v/>
      </c>
      <c r="BA536">
        <f>V_Model_CB!BA39</f>
        <v/>
      </c>
      <c r="BB536">
        <f>V_Model_CB!BB39</f>
        <v/>
      </c>
      <c r="BC536">
        <f>V_Model_CB!BC39</f>
        <v/>
      </c>
      <c r="BD536">
        <f>V_Model_CB!BD39</f>
        <v/>
      </c>
      <c r="BE536">
        <f>V_Model_CB!BE39</f>
        <v/>
      </c>
      <c r="BF536">
        <f>V_Model_CB!BF39</f>
        <v/>
      </c>
      <c r="BG536">
        <f>V_Model_CB!BG39</f>
        <v/>
      </c>
      <c r="BH536">
        <f>V_Model_CB!BH39</f>
        <v/>
      </c>
      <c r="BI536">
        <f>V_Model_CB!BI39</f>
        <v/>
      </c>
      <c r="BJ536">
        <f>O536</f>
        <v/>
      </c>
      <c r="BK536">
        <f>SUM(AG536:AW536)</f>
        <v/>
      </c>
      <c r="BL536" s="531">
        <f>BJ536-BK536</f>
        <v/>
      </c>
      <c r="BM536" s="201" t="n"/>
    </row>
    <row r="537" hidden="1" outlineLevel="1" s="191">
      <c r="A537">
        <f>V_Model_CB!A40</f>
        <v/>
      </c>
      <c r="B537">
        <f>V_Model_CB!B40</f>
        <v/>
      </c>
      <c r="C537">
        <f>V_Model_CB!C40</f>
        <v/>
      </c>
      <c r="D537">
        <f>V_Model_CB!D40</f>
        <v/>
      </c>
      <c r="E537">
        <f>V_Model_CB!E40</f>
        <v/>
      </c>
      <c r="F537">
        <f>V_Model_CB!F40</f>
        <v/>
      </c>
      <c r="G537">
        <f>V_Model_CB!G40</f>
        <v/>
      </c>
      <c r="H537">
        <f>V_Model_CB!H39</f>
        <v/>
      </c>
      <c r="I537">
        <f>V_Model_CB!I40</f>
        <v/>
      </c>
      <c r="J537">
        <f>V_Model_CB!J40</f>
        <v/>
      </c>
      <c r="K537" s="672">
        <f>V_Model_CB!K40</f>
        <v/>
      </c>
      <c r="L537" s="672">
        <f>V_Model_CB!L40</f>
        <v/>
      </c>
      <c r="M537">
        <f>V_Model_CB!M40</f>
        <v/>
      </c>
      <c r="N537">
        <f>V_Model_CB!N40</f>
        <v/>
      </c>
      <c r="O537">
        <f>V_Model_CB!O40</f>
        <v/>
      </c>
      <c r="P537" s="628">
        <f>V_Model_CB!P40</f>
        <v/>
      </c>
      <c r="Q537" s="628">
        <f>V_Model_CB!Q40</f>
        <v/>
      </c>
      <c r="R537" s="628">
        <f>V_Model_CB!R40</f>
        <v/>
      </c>
      <c r="S537" s="628">
        <f>V_Model_CB!S40</f>
        <v/>
      </c>
      <c r="T537" s="628">
        <f>V_Model_CB!T40</f>
        <v/>
      </c>
      <c r="U537" s="628">
        <f>V_Model_CB!U40</f>
        <v/>
      </c>
      <c r="V537" s="628">
        <f>V_Model_CB!V40</f>
        <v/>
      </c>
      <c r="W537" s="628">
        <f>V_Model_CB!W40</f>
        <v/>
      </c>
      <c r="X537" s="628">
        <f>V_Model_CB!X40</f>
        <v/>
      </c>
      <c r="Y537" s="650">
        <f>V_Model_CB!Y40</f>
        <v/>
      </c>
      <c r="Z537" s="650">
        <f>V_Model_CB!Z40</f>
        <v/>
      </c>
      <c r="AA537" s="650">
        <f>V_Model_CB!AA40</f>
        <v/>
      </c>
      <c r="AB537" s="650">
        <f>V_Model_CB!AB40</f>
        <v/>
      </c>
      <c r="AC537" s="613">
        <f>V_Model_CB!AC40</f>
        <v/>
      </c>
      <c r="AD537" s="613">
        <f>V_Model_CB!AD40</f>
        <v/>
      </c>
      <c r="AE537" s="613">
        <f>V_Model_CB!AE40</f>
        <v/>
      </c>
      <c r="AF537" s="613">
        <f>V_Model_CB!AF40</f>
        <v/>
      </c>
      <c r="AG537" s="626">
        <f>V_Model_CB!AG40</f>
        <v/>
      </c>
      <c r="AH537" s="626">
        <f>V_Model_CB!AH40</f>
        <v/>
      </c>
      <c r="AI537" s="626">
        <f>V_Model_CB!AI40</f>
        <v/>
      </c>
      <c r="AJ537" s="626">
        <f>V_Model_CB!AJ40</f>
        <v/>
      </c>
      <c r="AK537" s="626">
        <f>V_Model_CB!AK40</f>
        <v/>
      </c>
      <c r="AL537" s="626">
        <f>V_Model_CB!AL40</f>
        <v/>
      </c>
      <c r="AM537" s="626">
        <f>V_Model_CB!AM40</f>
        <v/>
      </c>
      <c r="AN537" s="626">
        <f>V_Model_CB!AN40</f>
        <v/>
      </c>
      <c r="AO537" s="626">
        <f>V_Model_CB!AO40</f>
        <v/>
      </c>
      <c r="AP537" s="369">
        <f>V_Model_CB!AP40</f>
        <v/>
      </c>
      <c r="AQ537" s="369">
        <f>V_Model_CB!AQ40</f>
        <v/>
      </c>
      <c r="AR537" s="369">
        <f>V_Model_CB!AR40</f>
        <v/>
      </c>
      <c r="AS537" s="369">
        <f>V_Model_CB!AS40</f>
        <v/>
      </c>
      <c r="AT537" s="370">
        <f>V_Model_CB!AT40</f>
        <v/>
      </c>
      <c r="AU537" s="370">
        <f>V_Model_CB!AU40</f>
        <v/>
      </c>
      <c r="AV537" s="370">
        <f>V_Model_CB!AV40</f>
        <v/>
      </c>
      <c r="AW537" s="370">
        <f>V_Model_CB!AW40</f>
        <v/>
      </c>
      <c r="AX537">
        <f>V_Model_CB!AX40</f>
        <v/>
      </c>
      <c r="AY537">
        <f>V_Model_CB!AY40</f>
        <v/>
      </c>
      <c r="AZ537">
        <f>V_Model_CB!AZ40</f>
        <v/>
      </c>
      <c r="BA537">
        <f>V_Model_CB!BA40</f>
        <v/>
      </c>
      <c r="BB537">
        <f>V_Model_CB!BB40</f>
        <v/>
      </c>
      <c r="BC537">
        <f>V_Model_CB!BC40</f>
        <v/>
      </c>
      <c r="BD537">
        <f>V_Model_CB!BD40</f>
        <v/>
      </c>
      <c r="BE537">
        <f>V_Model_CB!BE40</f>
        <v/>
      </c>
      <c r="BF537">
        <f>V_Model_CB!BF40</f>
        <v/>
      </c>
      <c r="BG537">
        <f>V_Model_CB!BG40</f>
        <v/>
      </c>
      <c r="BH537">
        <f>V_Model_CB!BH40</f>
        <v/>
      </c>
      <c r="BI537">
        <f>V_Model_CB!BI40</f>
        <v/>
      </c>
      <c r="BJ537">
        <f>O537</f>
        <v/>
      </c>
      <c r="BK537">
        <f>SUM(AG537:AW537)</f>
        <v/>
      </c>
      <c r="BL537" s="531">
        <f>BJ537-BK537</f>
        <v/>
      </c>
      <c r="BM537" s="201" t="n"/>
    </row>
    <row r="538" hidden="1" outlineLevel="1" s="191">
      <c r="A538">
        <f>V_Model_CB!A41</f>
        <v/>
      </c>
      <c r="B538">
        <f>V_Model_CB!B41</f>
        <v/>
      </c>
      <c r="C538">
        <f>V_Model_CB!C41</f>
        <v/>
      </c>
      <c r="D538">
        <f>V_Model_CB!D41</f>
        <v/>
      </c>
      <c r="E538">
        <f>V_Model_CB!E41</f>
        <v/>
      </c>
      <c r="F538">
        <f>V_Model_CB!F41</f>
        <v/>
      </c>
      <c r="G538">
        <f>V_Model_CB!G41</f>
        <v/>
      </c>
      <c r="H538">
        <f>V_Model_CB!H40</f>
        <v/>
      </c>
      <c r="I538">
        <f>V_Model_CB!I41</f>
        <v/>
      </c>
      <c r="J538">
        <f>V_Model_CB!J41</f>
        <v/>
      </c>
      <c r="K538" s="672">
        <f>V_Model_CB!K41</f>
        <v/>
      </c>
      <c r="L538" s="672">
        <f>V_Model_CB!L41</f>
        <v/>
      </c>
      <c r="M538">
        <f>V_Model_CB!M41</f>
        <v/>
      </c>
      <c r="N538">
        <f>V_Model_CB!N41</f>
        <v/>
      </c>
      <c r="O538">
        <f>V_Model_CB!O41</f>
        <v/>
      </c>
      <c r="P538" s="628">
        <f>V_Model_CB!P41</f>
        <v/>
      </c>
      <c r="Q538" s="628">
        <f>V_Model_CB!Q41</f>
        <v/>
      </c>
      <c r="R538" s="628">
        <f>V_Model_CB!R41</f>
        <v/>
      </c>
      <c r="S538" s="628">
        <f>V_Model_CB!S41</f>
        <v/>
      </c>
      <c r="T538" s="628">
        <f>V_Model_CB!T41</f>
        <v/>
      </c>
      <c r="U538" s="628">
        <f>V_Model_CB!U41</f>
        <v/>
      </c>
      <c r="V538" s="628">
        <f>V_Model_CB!V41</f>
        <v/>
      </c>
      <c r="W538" s="628">
        <f>V_Model_CB!W41</f>
        <v/>
      </c>
      <c r="X538" s="628">
        <f>V_Model_CB!X41</f>
        <v/>
      </c>
      <c r="Y538" s="650">
        <f>V_Model_CB!Y41</f>
        <v/>
      </c>
      <c r="Z538" s="650">
        <f>V_Model_CB!Z41</f>
        <v/>
      </c>
      <c r="AA538" s="650">
        <f>V_Model_CB!AA41</f>
        <v/>
      </c>
      <c r="AB538" s="650">
        <f>V_Model_CB!AB41</f>
        <v/>
      </c>
      <c r="AC538" s="613">
        <f>V_Model_CB!AC41</f>
        <v/>
      </c>
      <c r="AD538" s="613">
        <f>V_Model_CB!AD41</f>
        <v/>
      </c>
      <c r="AE538" s="613">
        <f>V_Model_CB!AE41</f>
        <v/>
      </c>
      <c r="AF538" s="613">
        <f>V_Model_CB!AF41</f>
        <v/>
      </c>
      <c r="AG538" s="626">
        <f>V_Model_CB!AG41</f>
        <v/>
      </c>
      <c r="AH538" s="626">
        <f>V_Model_CB!AH41</f>
        <v/>
      </c>
      <c r="AI538" s="626">
        <f>V_Model_CB!AI41</f>
        <v/>
      </c>
      <c r="AJ538" s="626">
        <f>V_Model_CB!AJ41</f>
        <v/>
      </c>
      <c r="AK538" s="626">
        <f>V_Model_CB!AK41</f>
        <v/>
      </c>
      <c r="AL538" s="626">
        <f>V_Model_CB!AL41</f>
        <v/>
      </c>
      <c r="AM538" s="626">
        <f>V_Model_CB!AM41</f>
        <v/>
      </c>
      <c r="AN538" s="626">
        <f>V_Model_CB!AN41</f>
        <v/>
      </c>
      <c r="AO538" s="626">
        <f>V_Model_CB!AO41</f>
        <v/>
      </c>
      <c r="AP538" s="369">
        <f>V_Model_CB!AP41</f>
        <v/>
      </c>
      <c r="AQ538" s="369">
        <f>V_Model_CB!AQ41</f>
        <v/>
      </c>
      <c r="AR538" s="369">
        <f>V_Model_CB!AR41</f>
        <v/>
      </c>
      <c r="AS538" s="369">
        <f>V_Model_CB!AS41</f>
        <v/>
      </c>
      <c r="AT538" s="370">
        <f>V_Model_CB!AT41</f>
        <v/>
      </c>
      <c r="AU538" s="370">
        <f>V_Model_CB!AU41</f>
        <v/>
      </c>
      <c r="AV538" s="370">
        <f>V_Model_CB!AV41</f>
        <v/>
      </c>
      <c r="AW538" s="370">
        <f>V_Model_CB!AW41</f>
        <v/>
      </c>
      <c r="AX538">
        <f>V_Model_CB!AX41</f>
        <v/>
      </c>
      <c r="AY538">
        <f>V_Model_CB!AY41</f>
        <v/>
      </c>
      <c r="AZ538">
        <f>V_Model_CB!AZ41</f>
        <v/>
      </c>
      <c r="BA538">
        <f>V_Model_CB!BA41</f>
        <v/>
      </c>
      <c r="BB538">
        <f>V_Model_CB!BB41</f>
        <v/>
      </c>
      <c r="BC538">
        <f>V_Model_CB!BC41</f>
        <v/>
      </c>
      <c r="BD538">
        <f>V_Model_CB!BD41</f>
        <v/>
      </c>
      <c r="BE538">
        <f>V_Model_CB!BE41</f>
        <v/>
      </c>
      <c r="BF538">
        <f>V_Model_CB!BF41</f>
        <v/>
      </c>
      <c r="BG538">
        <f>V_Model_CB!BG41</f>
        <v/>
      </c>
      <c r="BH538">
        <f>V_Model_CB!BH41</f>
        <v/>
      </c>
      <c r="BI538">
        <f>V_Model_CB!BI41</f>
        <v/>
      </c>
      <c r="BJ538">
        <f>O538</f>
        <v/>
      </c>
      <c r="BK538">
        <f>SUM(AG538:AW538)</f>
        <v/>
      </c>
      <c r="BL538" s="531">
        <f>BJ538-BK538</f>
        <v/>
      </c>
      <c r="BM538" s="201" t="n"/>
    </row>
    <row r="539" hidden="1" outlineLevel="1" s="191">
      <c r="A539">
        <f>V_Model_CB!A42</f>
        <v/>
      </c>
      <c r="B539">
        <f>V_Model_CB!B42</f>
        <v/>
      </c>
      <c r="C539">
        <f>V_Model_CB!C42</f>
        <v/>
      </c>
      <c r="D539">
        <f>V_Model_CB!D42</f>
        <v/>
      </c>
      <c r="E539">
        <f>V_Model_CB!E42</f>
        <v/>
      </c>
      <c r="F539">
        <f>V_Model_CB!F42</f>
        <v/>
      </c>
      <c r="G539">
        <f>V_Model_CB!G42</f>
        <v/>
      </c>
      <c r="H539">
        <f>V_Model_CB!H41</f>
        <v/>
      </c>
      <c r="I539">
        <f>V_Model_CB!I42</f>
        <v/>
      </c>
      <c r="J539">
        <f>V_Model_CB!J42</f>
        <v/>
      </c>
      <c r="K539" s="672">
        <f>V_Model_CB!K42</f>
        <v/>
      </c>
      <c r="L539" s="672">
        <f>V_Model_CB!L42</f>
        <v/>
      </c>
      <c r="M539">
        <f>V_Model_CB!M42</f>
        <v/>
      </c>
      <c r="N539">
        <f>V_Model_CB!N42</f>
        <v/>
      </c>
      <c r="O539">
        <f>V_Model_CB!O42</f>
        <v/>
      </c>
      <c r="P539" s="628">
        <f>V_Model_CB!P42</f>
        <v/>
      </c>
      <c r="Q539" s="628">
        <f>V_Model_CB!Q42</f>
        <v/>
      </c>
      <c r="R539" s="628">
        <f>V_Model_CB!R42</f>
        <v/>
      </c>
      <c r="S539" s="628">
        <f>V_Model_CB!S42</f>
        <v/>
      </c>
      <c r="T539" s="628">
        <f>V_Model_CB!T42</f>
        <v/>
      </c>
      <c r="U539" s="628">
        <f>V_Model_CB!U42</f>
        <v/>
      </c>
      <c r="V539" s="628">
        <f>V_Model_CB!V42</f>
        <v/>
      </c>
      <c r="W539" s="628">
        <f>V_Model_CB!W42</f>
        <v/>
      </c>
      <c r="X539" s="628">
        <f>V_Model_CB!X42</f>
        <v/>
      </c>
      <c r="Y539" s="650">
        <f>V_Model_CB!Y42</f>
        <v/>
      </c>
      <c r="Z539" s="650">
        <f>V_Model_CB!Z42</f>
        <v/>
      </c>
      <c r="AA539" s="650">
        <f>V_Model_CB!AA42</f>
        <v/>
      </c>
      <c r="AB539" s="650">
        <f>V_Model_CB!AB42</f>
        <v/>
      </c>
      <c r="AC539" s="613">
        <f>V_Model_CB!AC42</f>
        <v/>
      </c>
      <c r="AD539" s="613">
        <f>V_Model_CB!AD42</f>
        <v/>
      </c>
      <c r="AE539" s="613">
        <f>V_Model_CB!AE42</f>
        <v/>
      </c>
      <c r="AF539" s="613">
        <f>V_Model_CB!AF42</f>
        <v/>
      </c>
      <c r="AG539" s="626">
        <f>V_Model_CB!AG42</f>
        <v/>
      </c>
      <c r="AH539" s="626">
        <f>V_Model_CB!AH42</f>
        <v/>
      </c>
      <c r="AI539" s="626">
        <f>V_Model_CB!AI42</f>
        <v/>
      </c>
      <c r="AJ539" s="626">
        <f>V_Model_CB!AJ42</f>
        <v/>
      </c>
      <c r="AK539" s="626">
        <f>V_Model_CB!AK42</f>
        <v/>
      </c>
      <c r="AL539" s="626">
        <f>V_Model_CB!AL42</f>
        <v/>
      </c>
      <c r="AM539" s="626">
        <f>V_Model_CB!AM42</f>
        <v/>
      </c>
      <c r="AN539" s="626">
        <f>V_Model_CB!AN42</f>
        <v/>
      </c>
      <c r="AO539" s="626">
        <f>V_Model_CB!AO42</f>
        <v/>
      </c>
      <c r="AP539" s="369">
        <f>V_Model_CB!AP42</f>
        <v/>
      </c>
      <c r="AQ539" s="369">
        <f>V_Model_CB!AQ42</f>
        <v/>
      </c>
      <c r="AR539" s="369">
        <f>V_Model_CB!AR42</f>
        <v/>
      </c>
      <c r="AS539" s="369">
        <f>V_Model_CB!AS42</f>
        <v/>
      </c>
      <c r="AT539" s="370">
        <f>V_Model_CB!AT42</f>
        <v/>
      </c>
      <c r="AU539" s="370">
        <f>V_Model_CB!AU42</f>
        <v/>
      </c>
      <c r="AV539" s="370">
        <f>V_Model_CB!AV42</f>
        <v/>
      </c>
      <c r="AW539" s="370">
        <f>V_Model_CB!AW42</f>
        <v/>
      </c>
      <c r="AX539">
        <f>V_Model_CB!AX42</f>
        <v/>
      </c>
      <c r="AY539">
        <f>V_Model_CB!AY42</f>
        <v/>
      </c>
      <c r="AZ539">
        <f>V_Model_CB!AZ42</f>
        <v/>
      </c>
      <c r="BA539">
        <f>V_Model_CB!BA42</f>
        <v/>
      </c>
      <c r="BB539">
        <f>V_Model_CB!BB42</f>
        <v/>
      </c>
      <c r="BC539">
        <f>V_Model_CB!BC42</f>
        <v/>
      </c>
      <c r="BD539">
        <f>V_Model_CB!BD42</f>
        <v/>
      </c>
      <c r="BE539">
        <f>V_Model_CB!BE42</f>
        <v/>
      </c>
      <c r="BF539">
        <f>V_Model_CB!BF42</f>
        <v/>
      </c>
      <c r="BG539">
        <f>V_Model_CB!BG42</f>
        <v/>
      </c>
      <c r="BH539">
        <f>V_Model_CB!BH42</f>
        <v/>
      </c>
      <c r="BI539">
        <f>V_Model_CB!BI42</f>
        <v/>
      </c>
      <c r="BJ539">
        <f>O539</f>
        <v/>
      </c>
      <c r="BK539">
        <f>SUM(AG539:AW539)</f>
        <v/>
      </c>
      <c r="BL539" s="531">
        <f>BJ539-BK539</f>
        <v/>
      </c>
      <c r="BM539" s="201" t="n"/>
    </row>
    <row r="540" hidden="1" outlineLevel="1" s="191">
      <c r="A540">
        <f>V_Model_CB!A43</f>
        <v/>
      </c>
      <c r="B540">
        <f>V_Model_CB!B43</f>
        <v/>
      </c>
      <c r="C540">
        <f>V_Model_CB!C43</f>
        <v/>
      </c>
      <c r="D540">
        <f>V_Model_CB!D43</f>
        <v/>
      </c>
      <c r="E540">
        <f>V_Model_CB!E43</f>
        <v/>
      </c>
      <c r="F540">
        <f>V_Model_CB!F43</f>
        <v/>
      </c>
      <c r="G540">
        <f>V_Model_CB!G43</f>
        <v/>
      </c>
      <c r="H540">
        <f>V_Model_CB!H42</f>
        <v/>
      </c>
      <c r="I540">
        <f>V_Model_CB!I43</f>
        <v/>
      </c>
      <c r="J540">
        <f>V_Model_CB!J43</f>
        <v/>
      </c>
      <c r="K540" s="672">
        <f>V_Model_CB!K43</f>
        <v/>
      </c>
      <c r="L540" s="672">
        <f>V_Model_CB!L43</f>
        <v/>
      </c>
      <c r="M540">
        <f>V_Model_CB!M43</f>
        <v/>
      </c>
      <c r="N540">
        <f>V_Model_CB!N43</f>
        <v/>
      </c>
      <c r="O540">
        <f>V_Model_CB!O43</f>
        <v/>
      </c>
      <c r="P540" s="628">
        <f>V_Model_CB!P43</f>
        <v/>
      </c>
      <c r="Q540" s="628">
        <f>V_Model_CB!Q43</f>
        <v/>
      </c>
      <c r="R540" s="628">
        <f>V_Model_CB!R43</f>
        <v/>
      </c>
      <c r="S540" s="628">
        <f>V_Model_CB!S43</f>
        <v/>
      </c>
      <c r="T540" s="628">
        <f>V_Model_CB!T43</f>
        <v/>
      </c>
      <c r="U540" s="628">
        <f>V_Model_CB!U43</f>
        <v/>
      </c>
      <c r="V540" s="628">
        <f>V_Model_CB!V43</f>
        <v/>
      </c>
      <c r="W540" s="628">
        <f>V_Model_CB!W43</f>
        <v/>
      </c>
      <c r="X540" s="628">
        <f>V_Model_CB!X43</f>
        <v/>
      </c>
      <c r="Y540" s="650">
        <f>V_Model_CB!Y43</f>
        <v/>
      </c>
      <c r="Z540" s="650">
        <f>V_Model_CB!Z43</f>
        <v/>
      </c>
      <c r="AA540" s="650">
        <f>V_Model_CB!AA43</f>
        <v/>
      </c>
      <c r="AB540" s="650">
        <f>V_Model_CB!AB43</f>
        <v/>
      </c>
      <c r="AC540" s="613">
        <f>V_Model_CB!AC43</f>
        <v/>
      </c>
      <c r="AD540" s="613">
        <f>V_Model_CB!AD43</f>
        <v/>
      </c>
      <c r="AE540" s="613">
        <f>V_Model_CB!AE43</f>
        <v/>
      </c>
      <c r="AF540" s="613">
        <f>V_Model_CB!AF43</f>
        <v/>
      </c>
      <c r="AG540" s="626">
        <f>V_Model_CB!AG43</f>
        <v/>
      </c>
      <c r="AH540" s="626">
        <f>V_Model_CB!AH43</f>
        <v/>
      </c>
      <c r="AI540" s="626">
        <f>V_Model_CB!AI43</f>
        <v/>
      </c>
      <c r="AJ540" s="626">
        <f>V_Model_CB!AJ43</f>
        <v/>
      </c>
      <c r="AK540" s="626">
        <f>V_Model_CB!AK43</f>
        <v/>
      </c>
      <c r="AL540" s="626">
        <f>V_Model_CB!AL43</f>
        <v/>
      </c>
      <c r="AM540" s="626">
        <f>V_Model_CB!AM43</f>
        <v/>
      </c>
      <c r="AN540" s="626">
        <f>V_Model_CB!AN43</f>
        <v/>
      </c>
      <c r="AO540" s="626">
        <f>V_Model_CB!AO43</f>
        <v/>
      </c>
      <c r="AP540" s="369">
        <f>V_Model_CB!AP43</f>
        <v/>
      </c>
      <c r="AQ540" s="369">
        <f>V_Model_CB!AQ43</f>
        <v/>
      </c>
      <c r="AR540" s="369">
        <f>V_Model_CB!AR43</f>
        <v/>
      </c>
      <c r="AS540" s="369">
        <f>V_Model_CB!AS43</f>
        <v/>
      </c>
      <c r="AT540" s="370">
        <f>V_Model_CB!AT43</f>
        <v/>
      </c>
      <c r="AU540" s="370">
        <f>V_Model_CB!AU43</f>
        <v/>
      </c>
      <c r="AV540" s="370">
        <f>V_Model_CB!AV43</f>
        <v/>
      </c>
      <c r="AW540" s="370">
        <f>V_Model_CB!AW43</f>
        <v/>
      </c>
      <c r="AX540">
        <f>V_Model_CB!AX43</f>
        <v/>
      </c>
      <c r="AY540">
        <f>V_Model_CB!AY43</f>
        <v/>
      </c>
      <c r="AZ540">
        <f>V_Model_CB!AZ43</f>
        <v/>
      </c>
      <c r="BA540">
        <f>V_Model_CB!BA43</f>
        <v/>
      </c>
      <c r="BB540">
        <f>V_Model_CB!BB43</f>
        <v/>
      </c>
      <c r="BC540">
        <f>V_Model_CB!BC43</f>
        <v/>
      </c>
      <c r="BD540">
        <f>V_Model_CB!BD43</f>
        <v/>
      </c>
      <c r="BE540">
        <f>V_Model_CB!BE43</f>
        <v/>
      </c>
      <c r="BF540">
        <f>V_Model_CB!BF43</f>
        <v/>
      </c>
      <c r="BG540">
        <f>V_Model_CB!BG43</f>
        <v/>
      </c>
      <c r="BH540">
        <f>V_Model_CB!BH43</f>
        <v/>
      </c>
      <c r="BI540">
        <f>V_Model_CB!BI43</f>
        <v/>
      </c>
      <c r="BJ540">
        <f>O540</f>
        <v/>
      </c>
      <c r="BK540">
        <f>SUM(AG540:AW540)</f>
        <v/>
      </c>
      <c r="BL540" s="531">
        <f>BJ540-BK540</f>
        <v/>
      </c>
      <c r="BM540" s="201" t="n"/>
    </row>
    <row r="541" hidden="1" outlineLevel="1" s="191">
      <c r="A541">
        <f>V_Model_CB!A44</f>
        <v/>
      </c>
      <c r="B541">
        <f>V_Model_CB!B44</f>
        <v/>
      </c>
      <c r="C541">
        <f>V_Model_CB!C44</f>
        <v/>
      </c>
      <c r="D541">
        <f>V_Model_CB!D44</f>
        <v/>
      </c>
      <c r="E541">
        <f>V_Model_CB!E44</f>
        <v/>
      </c>
      <c r="F541">
        <f>V_Model_CB!F44</f>
        <v/>
      </c>
      <c r="G541">
        <f>V_Model_CB!G44</f>
        <v/>
      </c>
      <c r="H541">
        <f>V_Model_CB!H43</f>
        <v/>
      </c>
      <c r="I541">
        <f>V_Model_CB!I44</f>
        <v/>
      </c>
      <c r="J541">
        <f>V_Model_CB!J44</f>
        <v/>
      </c>
      <c r="K541" s="672">
        <f>V_Model_CB!K44</f>
        <v/>
      </c>
      <c r="L541" s="672">
        <f>V_Model_CB!L44</f>
        <v/>
      </c>
      <c r="M541">
        <f>V_Model_CB!M44</f>
        <v/>
      </c>
      <c r="N541">
        <f>V_Model_CB!N44</f>
        <v/>
      </c>
      <c r="O541">
        <f>V_Model_CB!O44</f>
        <v/>
      </c>
      <c r="P541" s="628">
        <f>V_Model_CB!P44</f>
        <v/>
      </c>
      <c r="Q541" s="628">
        <f>V_Model_CB!Q44</f>
        <v/>
      </c>
      <c r="R541" s="628">
        <f>V_Model_CB!R44</f>
        <v/>
      </c>
      <c r="S541" s="628">
        <f>V_Model_CB!S44</f>
        <v/>
      </c>
      <c r="T541" s="628">
        <f>V_Model_CB!T44</f>
        <v/>
      </c>
      <c r="U541" s="628">
        <f>V_Model_CB!U44</f>
        <v/>
      </c>
      <c r="V541" s="628">
        <f>V_Model_CB!V44</f>
        <v/>
      </c>
      <c r="W541" s="628">
        <f>V_Model_CB!W44</f>
        <v/>
      </c>
      <c r="X541" s="628">
        <f>V_Model_CB!X44</f>
        <v/>
      </c>
      <c r="Y541" s="650">
        <f>V_Model_CB!Y44</f>
        <v/>
      </c>
      <c r="Z541" s="650">
        <f>V_Model_CB!Z44</f>
        <v/>
      </c>
      <c r="AA541" s="650">
        <f>V_Model_CB!AA44</f>
        <v/>
      </c>
      <c r="AB541" s="650">
        <f>V_Model_CB!AB44</f>
        <v/>
      </c>
      <c r="AC541" s="613">
        <f>V_Model_CB!AC44</f>
        <v/>
      </c>
      <c r="AD541" s="613">
        <f>V_Model_CB!AD44</f>
        <v/>
      </c>
      <c r="AE541" s="613">
        <f>V_Model_CB!AE44</f>
        <v/>
      </c>
      <c r="AF541" s="613">
        <f>V_Model_CB!AF44</f>
        <v/>
      </c>
      <c r="AG541" s="626">
        <f>V_Model_CB!AG44</f>
        <v/>
      </c>
      <c r="AH541" s="626">
        <f>V_Model_CB!AH44</f>
        <v/>
      </c>
      <c r="AI541" s="626">
        <f>V_Model_CB!AI44</f>
        <v/>
      </c>
      <c r="AJ541" s="626">
        <f>V_Model_CB!AJ44</f>
        <v/>
      </c>
      <c r="AK541" s="626">
        <f>V_Model_CB!AK44</f>
        <v/>
      </c>
      <c r="AL541" s="626">
        <f>V_Model_CB!AL44</f>
        <v/>
      </c>
      <c r="AM541" s="626">
        <f>V_Model_CB!AM44</f>
        <v/>
      </c>
      <c r="AN541" s="626">
        <f>V_Model_CB!AN44</f>
        <v/>
      </c>
      <c r="AO541" s="626">
        <f>V_Model_CB!AO44</f>
        <v/>
      </c>
      <c r="AP541" s="369">
        <f>V_Model_CB!AP44</f>
        <v/>
      </c>
      <c r="AQ541" s="369">
        <f>V_Model_CB!AQ44</f>
        <v/>
      </c>
      <c r="AR541" s="369">
        <f>V_Model_CB!AR44</f>
        <v/>
      </c>
      <c r="AS541" s="369">
        <f>V_Model_CB!AS44</f>
        <v/>
      </c>
      <c r="AT541" s="370">
        <f>V_Model_CB!AT44</f>
        <v/>
      </c>
      <c r="AU541" s="370">
        <f>V_Model_CB!AU44</f>
        <v/>
      </c>
      <c r="AV541" s="370">
        <f>V_Model_CB!AV44</f>
        <v/>
      </c>
      <c r="AW541" s="370">
        <f>V_Model_CB!AW44</f>
        <v/>
      </c>
      <c r="AX541">
        <f>V_Model_CB!AX44</f>
        <v/>
      </c>
      <c r="AY541">
        <f>V_Model_CB!AY44</f>
        <v/>
      </c>
      <c r="AZ541">
        <f>V_Model_CB!AZ44</f>
        <v/>
      </c>
      <c r="BA541">
        <f>V_Model_CB!BA44</f>
        <v/>
      </c>
      <c r="BB541">
        <f>V_Model_CB!BB44</f>
        <v/>
      </c>
      <c r="BC541">
        <f>V_Model_CB!BC44</f>
        <v/>
      </c>
      <c r="BD541">
        <f>V_Model_CB!BD44</f>
        <v/>
      </c>
      <c r="BE541">
        <f>V_Model_CB!BE44</f>
        <v/>
      </c>
      <c r="BF541">
        <f>V_Model_CB!BF44</f>
        <v/>
      </c>
      <c r="BG541">
        <f>V_Model_CB!BG44</f>
        <v/>
      </c>
      <c r="BH541">
        <f>V_Model_CB!BH44</f>
        <v/>
      </c>
      <c r="BI541">
        <f>V_Model_CB!BI44</f>
        <v/>
      </c>
      <c r="BJ541">
        <f>O541</f>
        <v/>
      </c>
      <c r="BK541">
        <f>SUM(AG541:AW541)</f>
        <v/>
      </c>
      <c r="BL541" s="531">
        <f>BJ541-BK541</f>
        <v/>
      </c>
      <c r="BM541" s="201" t="n"/>
    </row>
    <row r="542" hidden="1" outlineLevel="1" s="191">
      <c r="A542">
        <f>V_Model_CB!A45</f>
        <v/>
      </c>
      <c r="B542">
        <f>V_Model_CB!B45</f>
        <v/>
      </c>
      <c r="C542">
        <f>V_Model_CB!C45</f>
        <v/>
      </c>
      <c r="D542">
        <f>V_Model_CB!D45</f>
        <v/>
      </c>
      <c r="E542">
        <f>V_Model_CB!E45</f>
        <v/>
      </c>
      <c r="F542">
        <f>V_Model_CB!F45</f>
        <v/>
      </c>
      <c r="G542">
        <f>V_Model_CB!G45</f>
        <v/>
      </c>
      <c r="H542">
        <f>V_Model_CB!H44</f>
        <v/>
      </c>
      <c r="I542">
        <f>V_Model_CB!I45</f>
        <v/>
      </c>
      <c r="J542">
        <f>V_Model_CB!J45</f>
        <v/>
      </c>
      <c r="K542" s="672">
        <f>V_Model_CB!K45</f>
        <v/>
      </c>
      <c r="L542" s="672">
        <f>V_Model_CB!L45</f>
        <v/>
      </c>
      <c r="M542">
        <f>V_Model_CB!M45</f>
        <v/>
      </c>
      <c r="N542">
        <f>V_Model_CB!N45</f>
        <v/>
      </c>
      <c r="O542">
        <f>V_Model_CB!O45</f>
        <v/>
      </c>
      <c r="P542" s="628">
        <f>V_Model_CB!P45</f>
        <v/>
      </c>
      <c r="Q542" s="628">
        <f>V_Model_CB!Q45</f>
        <v/>
      </c>
      <c r="R542" s="628">
        <f>V_Model_CB!R45</f>
        <v/>
      </c>
      <c r="S542" s="628">
        <f>V_Model_CB!S45</f>
        <v/>
      </c>
      <c r="T542" s="628">
        <f>V_Model_CB!T45</f>
        <v/>
      </c>
      <c r="U542" s="628">
        <f>V_Model_CB!U45</f>
        <v/>
      </c>
      <c r="V542" s="628">
        <f>V_Model_CB!V45</f>
        <v/>
      </c>
      <c r="W542" s="628">
        <f>V_Model_CB!W45</f>
        <v/>
      </c>
      <c r="X542" s="628">
        <f>V_Model_CB!X45</f>
        <v/>
      </c>
      <c r="Y542" s="650">
        <f>V_Model_CB!Y45</f>
        <v/>
      </c>
      <c r="Z542" s="650">
        <f>V_Model_CB!Z45</f>
        <v/>
      </c>
      <c r="AA542" s="650">
        <f>V_Model_CB!AA45</f>
        <v/>
      </c>
      <c r="AB542" s="650">
        <f>V_Model_CB!AB45</f>
        <v/>
      </c>
      <c r="AC542" s="613">
        <f>V_Model_CB!AC45</f>
        <v/>
      </c>
      <c r="AD542" s="613">
        <f>V_Model_CB!AD45</f>
        <v/>
      </c>
      <c r="AE542" s="613">
        <f>V_Model_CB!AE45</f>
        <v/>
      </c>
      <c r="AF542" s="613">
        <f>V_Model_CB!AF45</f>
        <v/>
      </c>
      <c r="AG542" s="626">
        <f>V_Model_CB!AG45</f>
        <v/>
      </c>
      <c r="AH542" s="626">
        <f>V_Model_CB!AH45</f>
        <v/>
      </c>
      <c r="AI542" s="626">
        <f>V_Model_CB!AI45</f>
        <v/>
      </c>
      <c r="AJ542" s="626">
        <f>V_Model_CB!AJ45</f>
        <v/>
      </c>
      <c r="AK542" s="626">
        <f>V_Model_CB!AK45</f>
        <v/>
      </c>
      <c r="AL542" s="626">
        <f>V_Model_CB!AL45</f>
        <v/>
      </c>
      <c r="AM542" s="626">
        <f>V_Model_CB!AM45</f>
        <v/>
      </c>
      <c r="AN542" s="626">
        <f>V_Model_CB!AN45</f>
        <v/>
      </c>
      <c r="AO542" s="626">
        <f>V_Model_CB!AO45</f>
        <v/>
      </c>
      <c r="AP542" s="369">
        <f>V_Model_CB!AP45</f>
        <v/>
      </c>
      <c r="AQ542" s="369">
        <f>V_Model_CB!AQ45</f>
        <v/>
      </c>
      <c r="AR542" s="369">
        <f>V_Model_CB!AR45</f>
        <v/>
      </c>
      <c r="AS542" s="369">
        <f>V_Model_CB!AS45</f>
        <v/>
      </c>
      <c r="AT542" s="370">
        <f>V_Model_CB!AT45</f>
        <v/>
      </c>
      <c r="AU542" s="370">
        <f>V_Model_CB!AU45</f>
        <v/>
      </c>
      <c r="AV542" s="370">
        <f>V_Model_CB!AV45</f>
        <v/>
      </c>
      <c r="AW542" s="370">
        <f>V_Model_CB!AW45</f>
        <v/>
      </c>
      <c r="AX542">
        <f>V_Model_CB!AX45</f>
        <v/>
      </c>
      <c r="AY542">
        <f>V_Model_CB!AY45</f>
        <v/>
      </c>
      <c r="AZ542">
        <f>V_Model_CB!AZ45</f>
        <v/>
      </c>
      <c r="BA542">
        <f>V_Model_CB!BA45</f>
        <v/>
      </c>
      <c r="BB542">
        <f>V_Model_CB!BB45</f>
        <v/>
      </c>
      <c r="BC542">
        <f>V_Model_CB!BC45</f>
        <v/>
      </c>
      <c r="BD542">
        <f>V_Model_CB!BD45</f>
        <v/>
      </c>
      <c r="BE542">
        <f>V_Model_CB!BE45</f>
        <v/>
      </c>
      <c r="BF542">
        <f>V_Model_CB!BF45</f>
        <v/>
      </c>
      <c r="BG542">
        <f>V_Model_CB!BG45</f>
        <v/>
      </c>
      <c r="BH542">
        <f>V_Model_CB!BH45</f>
        <v/>
      </c>
      <c r="BI542">
        <f>V_Model_CB!BI45</f>
        <v/>
      </c>
      <c r="BJ542">
        <f>O542</f>
        <v/>
      </c>
      <c r="BK542">
        <f>SUM(AG542:AW542)</f>
        <v/>
      </c>
      <c r="BL542" s="531">
        <f>BJ542-BK542</f>
        <v/>
      </c>
      <c r="BM542" s="201" t="n"/>
    </row>
    <row r="543" hidden="1" outlineLevel="1" s="191">
      <c r="A543">
        <f>V_Model_CB!A46</f>
        <v/>
      </c>
      <c r="B543">
        <f>V_Model_CB!B46</f>
        <v/>
      </c>
      <c r="C543">
        <f>V_Model_CB!C46</f>
        <v/>
      </c>
      <c r="D543">
        <f>V_Model_CB!D46</f>
        <v/>
      </c>
      <c r="E543">
        <f>V_Model_CB!E46</f>
        <v/>
      </c>
      <c r="F543">
        <f>V_Model_CB!F46</f>
        <v/>
      </c>
      <c r="G543">
        <f>V_Model_CB!G46</f>
        <v/>
      </c>
      <c r="H543">
        <f>V_Model_CB!H45</f>
        <v/>
      </c>
      <c r="I543">
        <f>V_Model_CB!I46</f>
        <v/>
      </c>
      <c r="J543">
        <f>V_Model_CB!J46</f>
        <v/>
      </c>
      <c r="K543" s="672">
        <f>V_Model_CB!K46</f>
        <v/>
      </c>
      <c r="L543" s="672">
        <f>V_Model_CB!L46</f>
        <v/>
      </c>
      <c r="M543">
        <f>V_Model_CB!M46</f>
        <v/>
      </c>
      <c r="N543">
        <f>V_Model_CB!N46</f>
        <v/>
      </c>
      <c r="O543">
        <f>V_Model_CB!O46</f>
        <v/>
      </c>
      <c r="P543" s="628">
        <f>V_Model_CB!P46</f>
        <v/>
      </c>
      <c r="Q543" s="628">
        <f>V_Model_CB!Q46</f>
        <v/>
      </c>
      <c r="R543" s="628">
        <f>V_Model_CB!R46</f>
        <v/>
      </c>
      <c r="S543" s="628">
        <f>V_Model_CB!S46</f>
        <v/>
      </c>
      <c r="T543" s="628">
        <f>V_Model_CB!T46</f>
        <v/>
      </c>
      <c r="U543" s="628">
        <f>V_Model_CB!U46</f>
        <v/>
      </c>
      <c r="V543" s="628">
        <f>V_Model_CB!V46</f>
        <v/>
      </c>
      <c r="W543" s="628">
        <f>V_Model_CB!W46</f>
        <v/>
      </c>
      <c r="X543" s="628">
        <f>V_Model_CB!X46</f>
        <v/>
      </c>
      <c r="Y543" s="650">
        <f>V_Model_CB!Y46</f>
        <v/>
      </c>
      <c r="Z543" s="650">
        <f>V_Model_CB!Z46</f>
        <v/>
      </c>
      <c r="AA543" s="650">
        <f>V_Model_CB!AA46</f>
        <v/>
      </c>
      <c r="AB543" s="650">
        <f>V_Model_CB!AB46</f>
        <v/>
      </c>
      <c r="AC543" s="613">
        <f>V_Model_CB!AC46</f>
        <v/>
      </c>
      <c r="AD543" s="613">
        <f>V_Model_CB!AD46</f>
        <v/>
      </c>
      <c r="AE543" s="613">
        <f>V_Model_CB!AE46</f>
        <v/>
      </c>
      <c r="AF543" s="613">
        <f>V_Model_CB!AF46</f>
        <v/>
      </c>
      <c r="AG543" s="626">
        <f>V_Model_CB!AG46</f>
        <v/>
      </c>
      <c r="AH543" s="626">
        <f>V_Model_CB!AH46</f>
        <v/>
      </c>
      <c r="AI543" s="626">
        <f>V_Model_CB!AI46</f>
        <v/>
      </c>
      <c r="AJ543" s="626">
        <f>V_Model_CB!AJ46</f>
        <v/>
      </c>
      <c r="AK543" s="626">
        <f>V_Model_CB!AK46</f>
        <v/>
      </c>
      <c r="AL543" s="626">
        <f>V_Model_CB!AL46</f>
        <v/>
      </c>
      <c r="AM543" s="626">
        <f>V_Model_CB!AM46</f>
        <v/>
      </c>
      <c r="AN543" s="626">
        <f>V_Model_CB!AN46</f>
        <v/>
      </c>
      <c r="AO543" s="626">
        <f>V_Model_CB!AO46</f>
        <v/>
      </c>
      <c r="AP543" s="369">
        <f>V_Model_CB!AP46</f>
        <v/>
      </c>
      <c r="AQ543" s="369">
        <f>V_Model_CB!AQ46</f>
        <v/>
      </c>
      <c r="AR543" s="369">
        <f>V_Model_CB!AR46</f>
        <v/>
      </c>
      <c r="AS543" s="369">
        <f>V_Model_CB!AS46</f>
        <v/>
      </c>
      <c r="AT543" s="370">
        <f>V_Model_CB!AT46</f>
        <v/>
      </c>
      <c r="AU543" s="370">
        <f>V_Model_CB!AU46</f>
        <v/>
      </c>
      <c r="AV543" s="370">
        <f>V_Model_CB!AV46</f>
        <v/>
      </c>
      <c r="AW543" s="370">
        <f>V_Model_CB!AW46</f>
        <v/>
      </c>
      <c r="AX543">
        <f>V_Model_CB!AX46</f>
        <v/>
      </c>
      <c r="AY543">
        <f>V_Model_CB!AY46</f>
        <v/>
      </c>
      <c r="AZ543">
        <f>V_Model_CB!AZ46</f>
        <v/>
      </c>
      <c r="BA543">
        <f>V_Model_CB!BA46</f>
        <v/>
      </c>
      <c r="BB543">
        <f>V_Model_CB!BB46</f>
        <v/>
      </c>
      <c r="BC543">
        <f>V_Model_CB!BC46</f>
        <v/>
      </c>
      <c r="BD543">
        <f>V_Model_CB!BD46</f>
        <v/>
      </c>
      <c r="BE543">
        <f>V_Model_CB!BE46</f>
        <v/>
      </c>
      <c r="BF543">
        <f>V_Model_CB!BF46</f>
        <v/>
      </c>
      <c r="BG543">
        <f>V_Model_CB!BG46</f>
        <v/>
      </c>
      <c r="BH543">
        <f>V_Model_CB!BH46</f>
        <v/>
      </c>
      <c r="BI543">
        <f>V_Model_CB!BI46</f>
        <v/>
      </c>
      <c r="BJ543">
        <f>O543</f>
        <v/>
      </c>
      <c r="BK543">
        <f>SUM(AG543:AW543)</f>
        <v/>
      </c>
      <c r="BL543" s="531">
        <f>BJ543-BK543</f>
        <v/>
      </c>
      <c r="BM543" s="201" t="n"/>
    </row>
    <row r="544" hidden="1" outlineLevel="1" s="191">
      <c r="A544">
        <f>V_Model_CB!A47</f>
        <v/>
      </c>
      <c r="B544">
        <f>V_Model_CB!B47</f>
        <v/>
      </c>
      <c r="C544">
        <f>V_Model_CB!C47</f>
        <v/>
      </c>
      <c r="D544">
        <f>V_Model_CB!D47</f>
        <v/>
      </c>
      <c r="E544">
        <f>V_Model_CB!E47</f>
        <v/>
      </c>
      <c r="F544">
        <f>V_Model_CB!F47</f>
        <v/>
      </c>
      <c r="G544">
        <f>V_Model_CB!G47</f>
        <v/>
      </c>
      <c r="H544">
        <f>V_Model_CB!H46</f>
        <v/>
      </c>
      <c r="I544">
        <f>V_Model_CB!I47</f>
        <v/>
      </c>
      <c r="J544">
        <f>V_Model_CB!J47</f>
        <v/>
      </c>
      <c r="K544" s="672">
        <f>V_Model_CB!K47</f>
        <v/>
      </c>
      <c r="L544" s="672">
        <f>V_Model_CB!L47</f>
        <v/>
      </c>
      <c r="M544">
        <f>V_Model_CB!M47</f>
        <v/>
      </c>
      <c r="N544">
        <f>V_Model_CB!N47</f>
        <v/>
      </c>
      <c r="O544">
        <f>V_Model_CB!O47</f>
        <v/>
      </c>
      <c r="P544" s="628">
        <f>V_Model_CB!P47</f>
        <v/>
      </c>
      <c r="Q544" s="628">
        <f>V_Model_CB!Q47</f>
        <v/>
      </c>
      <c r="R544" s="628">
        <f>V_Model_CB!R47</f>
        <v/>
      </c>
      <c r="S544" s="628">
        <f>V_Model_CB!S47</f>
        <v/>
      </c>
      <c r="T544" s="628">
        <f>V_Model_CB!T47</f>
        <v/>
      </c>
      <c r="U544" s="628">
        <f>V_Model_CB!U47</f>
        <v/>
      </c>
      <c r="V544" s="628">
        <f>V_Model_CB!V47</f>
        <v/>
      </c>
      <c r="W544" s="628">
        <f>V_Model_CB!W47</f>
        <v/>
      </c>
      <c r="X544" s="628">
        <f>V_Model_CB!X47</f>
        <v/>
      </c>
      <c r="Y544" s="650">
        <f>V_Model_CB!Y47</f>
        <v/>
      </c>
      <c r="Z544" s="650">
        <f>V_Model_CB!Z47</f>
        <v/>
      </c>
      <c r="AA544" s="650">
        <f>V_Model_CB!AA47</f>
        <v/>
      </c>
      <c r="AB544" s="650">
        <f>V_Model_CB!AB47</f>
        <v/>
      </c>
      <c r="AC544" s="613">
        <f>V_Model_CB!AC47</f>
        <v/>
      </c>
      <c r="AD544" s="613">
        <f>V_Model_CB!AD47</f>
        <v/>
      </c>
      <c r="AE544" s="613">
        <f>V_Model_CB!AE47</f>
        <v/>
      </c>
      <c r="AF544" s="613">
        <f>V_Model_CB!AF47</f>
        <v/>
      </c>
      <c r="AG544" s="626">
        <f>V_Model_CB!AG47</f>
        <v/>
      </c>
      <c r="AH544" s="626">
        <f>V_Model_CB!AH47</f>
        <v/>
      </c>
      <c r="AI544" s="626">
        <f>V_Model_CB!AI47</f>
        <v/>
      </c>
      <c r="AJ544" s="626">
        <f>V_Model_CB!AJ47</f>
        <v/>
      </c>
      <c r="AK544" s="626">
        <f>V_Model_CB!AK47</f>
        <v/>
      </c>
      <c r="AL544" s="626">
        <f>V_Model_CB!AL47</f>
        <v/>
      </c>
      <c r="AM544" s="626">
        <f>V_Model_CB!AM47</f>
        <v/>
      </c>
      <c r="AN544" s="626">
        <f>V_Model_CB!AN47</f>
        <v/>
      </c>
      <c r="AO544" s="626">
        <f>V_Model_CB!AO47</f>
        <v/>
      </c>
      <c r="AP544" s="369">
        <f>V_Model_CB!AP47</f>
        <v/>
      </c>
      <c r="AQ544" s="369">
        <f>V_Model_CB!AQ47</f>
        <v/>
      </c>
      <c r="AR544" s="369">
        <f>V_Model_CB!AR47</f>
        <v/>
      </c>
      <c r="AS544" s="369">
        <f>V_Model_CB!AS47</f>
        <v/>
      </c>
      <c r="AT544" s="370">
        <f>V_Model_CB!AT47</f>
        <v/>
      </c>
      <c r="AU544" s="370">
        <f>V_Model_CB!AU47</f>
        <v/>
      </c>
      <c r="AV544" s="370">
        <f>V_Model_CB!AV47</f>
        <v/>
      </c>
      <c r="AW544" s="370">
        <f>V_Model_CB!AW47</f>
        <v/>
      </c>
      <c r="AX544">
        <f>V_Model_CB!AX47</f>
        <v/>
      </c>
      <c r="AY544">
        <f>V_Model_CB!AY47</f>
        <v/>
      </c>
      <c r="AZ544">
        <f>V_Model_CB!AZ47</f>
        <v/>
      </c>
      <c r="BA544">
        <f>V_Model_CB!BA47</f>
        <v/>
      </c>
      <c r="BB544">
        <f>V_Model_CB!BB47</f>
        <v/>
      </c>
      <c r="BC544">
        <f>V_Model_CB!BC47</f>
        <v/>
      </c>
      <c r="BD544">
        <f>V_Model_CB!BD47</f>
        <v/>
      </c>
      <c r="BE544">
        <f>V_Model_CB!BE47</f>
        <v/>
      </c>
      <c r="BF544">
        <f>V_Model_CB!BF47</f>
        <v/>
      </c>
      <c r="BG544">
        <f>V_Model_CB!BG47</f>
        <v/>
      </c>
      <c r="BH544">
        <f>V_Model_CB!BH47</f>
        <v/>
      </c>
      <c r="BI544">
        <f>V_Model_CB!BI47</f>
        <v/>
      </c>
      <c r="BJ544">
        <f>O544</f>
        <v/>
      </c>
      <c r="BK544">
        <f>SUM(AG544:AW544)</f>
        <v/>
      </c>
      <c r="BL544" s="531">
        <f>BJ544-BK544</f>
        <v/>
      </c>
      <c r="BM544" s="201" t="n"/>
    </row>
    <row r="545" hidden="1" outlineLevel="1" s="191">
      <c r="A545">
        <f>V_Model_CB!A48</f>
        <v/>
      </c>
      <c r="B545">
        <f>V_Model_CB!B48</f>
        <v/>
      </c>
      <c r="C545">
        <f>V_Model_CB!C48</f>
        <v/>
      </c>
      <c r="D545">
        <f>V_Model_CB!D48</f>
        <v/>
      </c>
      <c r="E545">
        <f>V_Model_CB!E48</f>
        <v/>
      </c>
      <c r="F545">
        <f>V_Model_CB!F48</f>
        <v/>
      </c>
      <c r="G545">
        <f>V_Model_CB!G48</f>
        <v/>
      </c>
      <c r="H545">
        <f>V_Model_CB!H47</f>
        <v/>
      </c>
      <c r="I545">
        <f>V_Model_CB!I48</f>
        <v/>
      </c>
      <c r="J545">
        <f>V_Model_CB!J48</f>
        <v/>
      </c>
      <c r="K545" s="672">
        <f>V_Model_CB!K48</f>
        <v/>
      </c>
      <c r="L545" s="672">
        <f>V_Model_CB!L48</f>
        <v/>
      </c>
      <c r="M545">
        <f>V_Model_CB!M48</f>
        <v/>
      </c>
      <c r="N545">
        <f>V_Model_CB!N48</f>
        <v/>
      </c>
      <c r="O545">
        <f>V_Model_CB!O48</f>
        <v/>
      </c>
      <c r="P545" s="628">
        <f>V_Model_CB!P48</f>
        <v/>
      </c>
      <c r="Q545" s="628">
        <f>V_Model_CB!Q48</f>
        <v/>
      </c>
      <c r="R545" s="628">
        <f>V_Model_CB!R48</f>
        <v/>
      </c>
      <c r="S545" s="628">
        <f>V_Model_CB!S48</f>
        <v/>
      </c>
      <c r="T545" s="628">
        <f>V_Model_CB!T48</f>
        <v/>
      </c>
      <c r="U545" s="628">
        <f>V_Model_CB!U48</f>
        <v/>
      </c>
      <c r="V545" s="628">
        <f>V_Model_CB!V48</f>
        <v/>
      </c>
      <c r="W545" s="628">
        <f>V_Model_CB!W48</f>
        <v/>
      </c>
      <c r="X545" s="628">
        <f>V_Model_CB!X48</f>
        <v/>
      </c>
      <c r="Y545" s="650">
        <f>V_Model_CB!Y48</f>
        <v/>
      </c>
      <c r="Z545" s="650">
        <f>V_Model_CB!Z48</f>
        <v/>
      </c>
      <c r="AA545" s="650">
        <f>V_Model_CB!AA48</f>
        <v/>
      </c>
      <c r="AB545" s="650">
        <f>V_Model_CB!AB48</f>
        <v/>
      </c>
      <c r="AC545" s="613">
        <f>V_Model_CB!AC48</f>
        <v/>
      </c>
      <c r="AD545" s="613">
        <f>V_Model_CB!AD48</f>
        <v/>
      </c>
      <c r="AE545" s="613">
        <f>V_Model_CB!AE48</f>
        <v/>
      </c>
      <c r="AF545" s="613">
        <f>V_Model_CB!AF48</f>
        <v/>
      </c>
      <c r="AG545" s="626">
        <f>V_Model_CB!AG48</f>
        <v/>
      </c>
      <c r="AH545" s="626">
        <f>V_Model_CB!AH48</f>
        <v/>
      </c>
      <c r="AI545" s="626">
        <f>V_Model_CB!AI48</f>
        <v/>
      </c>
      <c r="AJ545" s="626">
        <f>V_Model_CB!AJ48</f>
        <v/>
      </c>
      <c r="AK545" s="626">
        <f>V_Model_CB!AK48</f>
        <v/>
      </c>
      <c r="AL545" s="626">
        <f>V_Model_CB!AL48</f>
        <v/>
      </c>
      <c r="AM545" s="626">
        <f>V_Model_CB!AM48</f>
        <v/>
      </c>
      <c r="AN545" s="626">
        <f>V_Model_CB!AN48</f>
        <v/>
      </c>
      <c r="AO545" s="626">
        <f>V_Model_CB!AO48</f>
        <v/>
      </c>
      <c r="AP545" s="369">
        <f>V_Model_CB!AP48</f>
        <v/>
      </c>
      <c r="AQ545" s="369">
        <f>V_Model_CB!AQ48</f>
        <v/>
      </c>
      <c r="AR545" s="369">
        <f>V_Model_CB!AR48</f>
        <v/>
      </c>
      <c r="AS545" s="369">
        <f>V_Model_CB!AS48</f>
        <v/>
      </c>
      <c r="AT545" s="370">
        <f>V_Model_CB!AT48</f>
        <v/>
      </c>
      <c r="AU545" s="370">
        <f>V_Model_CB!AU48</f>
        <v/>
      </c>
      <c r="AV545" s="370">
        <f>V_Model_CB!AV48</f>
        <v/>
      </c>
      <c r="AW545" s="370">
        <f>V_Model_CB!AW48</f>
        <v/>
      </c>
      <c r="AX545">
        <f>V_Model_CB!AX48</f>
        <v/>
      </c>
      <c r="AY545">
        <f>V_Model_CB!AY48</f>
        <v/>
      </c>
      <c r="AZ545">
        <f>V_Model_CB!AZ48</f>
        <v/>
      </c>
      <c r="BA545">
        <f>V_Model_CB!BA48</f>
        <v/>
      </c>
      <c r="BB545">
        <f>V_Model_CB!BB48</f>
        <v/>
      </c>
      <c r="BC545">
        <f>V_Model_CB!BC48</f>
        <v/>
      </c>
      <c r="BD545">
        <f>V_Model_CB!BD48</f>
        <v/>
      </c>
      <c r="BE545">
        <f>V_Model_CB!BE48</f>
        <v/>
      </c>
      <c r="BF545">
        <f>V_Model_CB!BF48</f>
        <v/>
      </c>
      <c r="BG545">
        <f>V_Model_CB!BG48</f>
        <v/>
      </c>
      <c r="BH545">
        <f>V_Model_CB!BH48</f>
        <v/>
      </c>
      <c r="BI545">
        <f>V_Model_CB!BI48</f>
        <v/>
      </c>
      <c r="BJ545">
        <f>O545</f>
        <v/>
      </c>
      <c r="BK545">
        <f>SUM(AG545:AW545)</f>
        <v/>
      </c>
      <c r="BL545" s="531">
        <f>BJ545-BK545</f>
        <v/>
      </c>
      <c r="BM545" s="201" t="n"/>
    </row>
    <row r="546" hidden="1" outlineLevel="1" s="191">
      <c r="A546">
        <f>V_Model_CB!A49</f>
        <v/>
      </c>
      <c r="B546">
        <f>V_Model_CB!B49</f>
        <v/>
      </c>
      <c r="C546">
        <f>V_Model_CB!C49</f>
        <v/>
      </c>
      <c r="D546">
        <f>V_Model_CB!D49</f>
        <v/>
      </c>
      <c r="E546">
        <f>V_Model_CB!E49</f>
        <v/>
      </c>
      <c r="F546">
        <f>V_Model_CB!F49</f>
        <v/>
      </c>
      <c r="G546">
        <f>V_Model_CB!G49</f>
        <v/>
      </c>
      <c r="H546">
        <f>V_Model_CB!H48</f>
        <v/>
      </c>
      <c r="I546">
        <f>V_Model_CB!I49</f>
        <v/>
      </c>
      <c r="J546">
        <f>V_Model_CB!J49</f>
        <v/>
      </c>
      <c r="K546" s="672">
        <f>V_Model_CB!K49</f>
        <v/>
      </c>
      <c r="L546" s="672">
        <f>V_Model_CB!L49</f>
        <v/>
      </c>
      <c r="M546">
        <f>V_Model_CB!M49</f>
        <v/>
      </c>
      <c r="N546">
        <f>V_Model_CB!N49</f>
        <v/>
      </c>
      <c r="O546">
        <f>V_Model_CB!O49</f>
        <v/>
      </c>
      <c r="P546" s="628">
        <f>V_Model_CB!P49</f>
        <v/>
      </c>
      <c r="Q546" s="628">
        <f>V_Model_CB!Q49</f>
        <v/>
      </c>
      <c r="R546" s="628">
        <f>V_Model_CB!R49</f>
        <v/>
      </c>
      <c r="S546" s="628">
        <f>V_Model_CB!S49</f>
        <v/>
      </c>
      <c r="T546" s="628">
        <f>V_Model_CB!T49</f>
        <v/>
      </c>
      <c r="U546" s="628">
        <f>V_Model_CB!U49</f>
        <v/>
      </c>
      <c r="V546" s="628">
        <f>V_Model_CB!V49</f>
        <v/>
      </c>
      <c r="W546" s="628">
        <f>V_Model_CB!W49</f>
        <v/>
      </c>
      <c r="X546" s="628">
        <f>V_Model_CB!X49</f>
        <v/>
      </c>
      <c r="Y546" s="650">
        <f>V_Model_CB!Y49</f>
        <v/>
      </c>
      <c r="Z546" s="650">
        <f>V_Model_CB!Z49</f>
        <v/>
      </c>
      <c r="AA546" s="650">
        <f>V_Model_CB!AA49</f>
        <v/>
      </c>
      <c r="AB546" s="650">
        <f>V_Model_CB!AB49</f>
        <v/>
      </c>
      <c r="AC546" s="613">
        <f>V_Model_CB!AC49</f>
        <v/>
      </c>
      <c r="AD546" s="613">
        <f>V_Model_CB!AD49</f>
        <v/>
      </c>
      <c r="AE546" s="613">
        <f>V_Model_CB!AE49</f>
        <v/>
      </c>
      <c r="AF546" s="613">
        <f>V_Model_CB!AF49</f>
        <v/>
      </c>
      <c r="AG546" s="626">
        <f>V_Model_CB!AG49</f>
        <v/>
      </c>
      <c r="AH546" s="626">
        <f>V_Model_CB!AH49</f>
        <v/>
      </c>
      <c r="AI546" s="626">
        <f>V_Model_CB!AI49</f>
        <v/>
      </c>
      <c r="AJ546" s="626">
        <f>V_Model_CB!AJ49</f>
        <v/>
      </c>
      <c r="AK546" s="626">
        <f>V_Model_CB!AK49</f>
        <v/>
      </c>
      <c r="AL546" s="626">
        <f>V_Model_CB!AL49</f>
        <v/>
      </c>
      <c r="AM546" s="626">
        <f>V_Model_CB!AM49</f>
        <v/>
      </c>
      <c r="AN546" s="626">
        <f>V_Model_CB!AN49</f>
        <v/>
      </c>
      <c r="AO546" s="626">
        <f>V_Model_CB!AO49</f>
        <v/>
      </c>
      <c r="AP546" s="369">
        <f>V_Model_CB!AP49</f>
        <v/>
      </c>
      <c r="AQ546" s="369">
        <f>V_Model_CB!AQ49</f>
        <v/>
      </c>
      <c r="AR546" s="369">
        <f>V_Model_CB!AR49</f>
        <v/>
      </c>
      <c r="AS546" s="369">
        <f>V_Model_CB!AS49</f>
        <v/>
      </c>
      <c r="AT546" s="370">
        <f>V_Model_CB!AT49</f>
        <v/>
      </c>
      <c r="AU546" s="370">
        <f>V_Model_CB!AU49</f>
        <v/>
      </c>
      <c r="AV546" s="370">
        <f>V_Model_CB!AV49</f>
        <v/>
      </c>
      <c r="AW546" s="370">
        <f>V_Model_CB!AW49</f>
        <v/>
      </c>
      <c r="AX546">
        <f>V_Model_CB!AX49</f>
        <v/>
      </c>
      <c r="AY546">
        <f>V_Model_CB!AY49</f>
        <v/>
      </c>
      <c r="AZ546">
        <f>V_Model_CB!AZ49</f>
        <v/>
      </c>
      <c r="BA546">
        <f>V_Model_CB!BA49</f>
        <v/>
      </c>
      <c r="BB546">
        <f>V_Model_CB!BB49</f>
        <v/>
      </c>
      <c r="BC546">
        <f>V_Model_CB!BC49</f>
        <v/>
      </c>
      <c r="BD546">
        <f>V_Model_CB!BD49</f>
        <v/>
      </c>
      <c r="BE546">
        <f>V_Model_CB!BE49</f>
        <v/>
      </c>
      <c r="BF546">
        <f>V_Model_CB!BF49</f>
        <v/>
      </c>
      <c r="BG546">
        <f>V_Model_CB!BG49</f>
        <v/>
      </c>
      <c r="BH546">
        <f>V_Model_CB!BH49</f>
        <v/>
      </c>
      <c r="BI546">
        <f>V_Model_CB!BI49</f>
        <v/>
      </c>
      <c r="BJ546">
        <f>O546</f>
        <v/>
      </c>
      <c r="BK546">
        <f>SUM(AG546:AW546)</f>
        <v/>
      </c>
      <c r="BL546" s="531">
        <f>BJ546-BK546</f>
        <v/>
      </c>
      <c r="BM546" s="201" t="n"/>
    </row>
    <row r="547" hidden="1" outlineLevel="1" s="191">
      <c r="A547">
        <f>V_Model_CB!A50</f>
        <v/>
      </c>
      <c r="B547">
        <f>V_Model_CB!B50</f>
        <v/>
      </c>
      <c r="C547">
        <f>V_Model_CB!C50</f>
        <v/>
      </c>
      <c r="D547">
        <f>V_Model_CB!D50</f>
        <v/>
      </c>
      <c r="E547">
        <f>V_Model_CB!E50</f>
        <v/>
      </c>
      <c r="F547">
        <f>V_Model_CB!F50</f>
        <v/>
      </c>
      <c r="G547">
        <f>V_Model_CB!G50</f>
        <v/>
      </c>
      <c r="H547">
        <f>V_Model_CB!H49</f>
        <v/>
      </c>
      <c r="I547">
        <f>V_Model_CB!I50</f>
        <v/>
      </c>
      <c r="J547">
        <f>V_Model_CB!J50</f>
        <v/>
      </c>
      <c r="K547" s="672">
        <f>V_Model_CB!K50</f>
        <v/>
      </c>
      <c r="L547" s="672">
        <f>V_Model_CB!L50</f>
        <v/>
      </c>
      <c r="M547">
        <f>V_Model_CB!M50</f>
        <v/>
      </c>
      <c r="N547">
        <f>V_Model_CB!N50</f>
        <v/>
      </c>
      <c r="O547">
        <f>V_Model_CB!O50</f>
        <v/>
      </c>
      <c r="P547" s="628">
        <f>V_Model_CB!P50</f>
        <v/>
      </c>
      <c r="Q547" s="628">
        <f>V_Model_CB!Q50</f>
        <v/>
      </c>
      <c r="R547" s="628">
        <f>V_Model_CB!R50</f>
        <v/>
      </c>
      <c r="S547" s="628">
        <f>V_Model_CB!S50</f>
        <v/>
      </c>
      <c r="T547" s="628">
        <f>V_Model_CB!T50</f>
        <v/>
      </c>
      <c r="U547" s="628">
        <f>V_Model_CB!U50</f>
        <v/>
      </c>
      <c r="V547" s="628">
        <f>V_Model_CB!V50</f>
        <v/>
      </c>
      <c r="W547" s="628">
        <f>V_Model_CB!W50</f>
        <v/>
      </c>
      <c r="X547" s="628">
        <f>V_Model_CB!X50</f>
        <v/>
      </c>
      <c r="Y547" s="650">
        <f>V_Model_CB!Y50</f>
        <v/>
      </c>
      <c r="Z547" s="650">
        <f>V_Model_CB!Z50</f>
        <v/>
      </c>
      <c r="AA547" s="650">
        <f>V_Model_CB!AA50</f>
        <v/>
      </c>
      <c r="AB547" s="650">
        <f>V_Model_CB!AB50</f>
        <v/>
      </c>
      <c r="AC547" s="613">
        <f>V_Model_CB!AC50</f>
        <v/>
      </c>
      <c r="AD547" s="613">
        <f>V_Model_CB!AD50</f>
        <v/>
      </c>
      <c r="AE547" s="613">
        <f>V_Model_CB!AE50</f>
        <v/>
      </c>
      <c r="AF547" s="613">
        <f>V_Model_CB!AF50</f>
        <v/>
      </c>
      <c r="AG547" s="626">
        <f>V_Model_CB!AG50</f>
        <v/>
      </c>
      <c r="AH547" s="626">
        <f>V_Model_CB!AH50</f>
        <v/>
      </c>
      <c r="AI547" s="626">
        <f>V_Model_CB!AI50</f>
        <v/>
      </c>
      <c r="AJ547" s="626">
        <f>V_Model_CB!AJ50</f>
        <v/>
      </c>
      <c r="AK547" s="626">
        <f>V_Model_CB!AK50</f>
        <v/>
      </c>
      <c r="AL547" s="626">
        <f>V_Model_CB!AL50</f>
        <v/>
      </c>
      <c r="AM547" s="626">
        <f>V_Model_CB!AM50</f>
        <v/>
      </c>
      <c r="AN547" s="626">
        <f>V_Model_CB!AN50</f>
        <v/>
      </c>
      <c r="AO547" s="626">
        <f>V_Model_CB!AO50</f>
        <v/>
      </c>
      <c r="AP547" s="369">
        <f>V_Model_CB!AP50</f>
        <v/>
      </c>
      <c r="AQ547" s="369">
        <f>V_Model_CB!AQ50</f>
        <v/>
      </c>
      <c r="AR547" s="369">
        <f>V_Model_CB!AR50</f>
        <v/>
      </c>
      <c r="AS547" s="369">
        <f>V_Model_CB!AS50</f>
        <v/>
      </c>
      <c r="AT547" s="370">
        <f>V_Model_CB!AT50</f>
        <v/>
      </c>
      <c r="AU547" s="370">
        <f>V_Model_CB!AU50</f>
        <v/>
      </c>
      <c r="AV547" s="370">
        <f>V_Model_CB!AV50</f>
        <v/>
      </c>
      <c r="AW547" s="370">
        <f>V_Model_CB!AW50</f>
        <v/>
      </c>
      <c r="AX547">
        <f>V_Model_CB!AX50</f>
        <v/>
      </c>
      <c r="AY547">
        <f>V_Model_CB!AY50</f>
        <v/>
      </c>
      <c r="AZ547">
        <f>V_Model_CB!AZ50</f>
        <v/>
      </c>
      <c r="BA547">
        <f>V_Model_CB!BA50</f>
        <v/>
      </c>
      <c r="BB547">
        <f>V_Model_CB!BB50</f>
        <v/>
      </c>
      <c r="BC547">
        <f>V_Model_CB!BC50</f>
        <v/>
      </c>
      <c r="BD547">
        <f>V_Model_CB!BD50</f>
        <v/>
      </c>
      <c r="BE547">
        <f>V_Model_CB!BE50</f>
        <v/>
      </c>
      <c r="BF547">
        <f>V_Model_CB!BF50</f>
        <v/>
      </c>
      <c r="BG547">
        <f>V_Model_CB!BG50</f>
        <v/>
      </c>
      <c r="BH547">
        <f>V_Model_CB!BH50</f>
        <v/>
      </c>
      <c r="BI547">
        <f>V_Model_CB!BI50</f>
        <v/>
      </c>
      <c r="BJ547">
        <f>O547</f>
        <v/>
      </c>
      <c r="BK547">
        <f>SUM(AG547:AW547)</f>
        <v/>
      </c>
      <c r="BL547" s="531">
        <f>BJ547-BK547</f>
        <v/>
      </c>
      <c r="BM547" s="201" t="n"/>
    </row>
    <row r="548" hidden="1" outlineLevel="1" s="191">
      <c r="A548">
        <f>V_Model_CB!A51</f>
        <v/>
      </c>
      <c r="B548">
        <f>V_Model_CB!B51</f>
        <v/>
      </c>
      <c r="C548">
        <f>V_Model_CB!C51</f>
        <v/>
      </c>
      <c r="D548">
        <f>V_Model_CB!D51</f>
        <v/>
      </c>
      <c r="E548">
        <f>V_Model_CB!E51</f>
        <v/>
      </c>
      <c r="F548">
        <f>V_Model_CB!F51</f>
        <v/>
      </c>
      <c r="G548">
        <f>V_Model_CB!G51</f>
        <v/>
      </c>
      <c r="H548">
        <f>V_Model_CB!H50</f>
        <v/>
      </c>
      <c r="I548">
        <f>V_Model_CB!I51</f>
        <v/>
      </c>
      <c r="J548">
        <f>V_Model_CB!J51</f>
        <v/>
      </c>
      <c r="K548" s="672">
        <f>V_Model_CB!K51</f>
        <v/>
      </c>
      <c r="L548" s="672">
        <f>V_Model_CB!L51</f>
        <v/>
      </c>
      <c r="M548">
        <f>V_Model_CB!M51</f>
        <v/>
      </c>
      <c r="N548">
        <f>V_Model_CB!N51</f>
        <v/>
      </c>
      <c r="O548">
        <f>V_Model_CB!O51</f>
        <v/>
      </c>
      <c r="P548" s="628">
        <f>V_Model_CB!P51</f>
        <v/>
      </c>
      <c r="Q548" s="628">
        <f>V_Model_CB!Q51</f>
        <v/>
      </c>
      <c r="R548" s="628">
        <f>V_Model_CB!R51</f>
        <v/>
      </c>
      <c r="S548" s="628">
        <f>V_Model_CB!S51</f>
        <v/>
      </c>
      <c r="T548" s="628">
        <f>V_Model_CB!T51</f>
        <v/>
      </c>
      <c r="U548" s="628">
        <f>V_Model_CB!U51</f>
        <v/>
      </c>
      <c r="V548" s="628">
        <f>V_Model_CB!V51</f>
        <v/>
      </c>
      <c r="W548" s="628">
        <f>V_Model_CB!W51</f>
        <v/>
      </c>
      <c r="X548" s="628">
        <f>V_Model_CB!X51</f>
        <v/>
      </c>
      <c r="Y548" s="650">
        <f>V_Model_CB!Y51</f>
        <v/>
      </c>
      <c r="Z548" s="650">
        <f>V_Model_CB!Z51</f>
        <v/>
      </c>
      <c r="AA548" s="650">
        <f>V_Model_CB!AA51</f>
        <v/>
      </c>
      <c r="AB548" s="650">
        <f>V_Model_CB!AB51</f>
        <v/>
      </c>
      <c r="AC548" s="613">
        <f>V_Model_CB!AC51</f>
        <v/>
      </c>
      <c r="AD548" s="613">
        <f>V_Model_CB!AD51</f>
        <v/>
      </c>
      <c r="AE548" s="613">
        <f>V_Model_CB!AE51</f>
        <v/>
      </c>
      <c r="AF548" s="613">
        <f>V_Model_CB!AF51</f>
        <v/>
      </c>
      <c r="AG548" s="626">
        <f>V_Model_CB!AG51</f>
        <v/>
      </c>
      <c r="AH548" s="626">
        <f>V_Model_CB!AH51</f>
        <v/>
      </c>
      <c r="AI548" s="626">
        <f>V_Model_CB!AI51</f>
        <v/>
      </c>
      <c r="AJ548" s="626">
        <f>V_Model_CB!AJ51</f>
        <v/>
      </c>
      <c r="AK548" s="626">
        <f>V_Model_CB!AK51</f>
        <v/>
      </c>
      <c r="AL548" s="626">
        <f>V_Model_CB!AL51</f>
        <v/>
      </c>
      <c r="AM548" s="626">
        <f>V_Model_CB!AM51</f>
        <v/>
      </c>
      <c r="AN548" s="626">
        <f>V_Model_CB!AN51</f>
        <v/>
      </c>
      <c r="AO548" s="626">
        <f>V_Model_CB!AO51</f>
        <v/>
      </c>
      <c r="AP548" s="369">
        <f>V_Model_CB!AP51</f>
        <v/>
      </c>
      <c r="AQ548" s="369">
        <f>V_Model_CB!AQ51</f>
        <v/>
      </c>
      <c r="AR548" s="369">
        <f>V_Model_CB!AR51</f>
        <v/>
      </c>
      <c r="AS548" s="369">
        <f>V_Model_CB!AS51</f>
        <v/>
      </c>
      <c r="AT548" s="370">
        <f>V_Model_CB!AT51</f>
        <v/>
      </c>
      <c r="AU548" s="370">
        <f>V_Model_CB!AU51</f>
        <v/>
      </c>
      <c r="AV548" s="370">
        <f>V_Model_CB!AV51</f>
        <v/>
      </c>
      <c r="AW548" s="370">
        <f>V_Model_CB!AW51</f>
        <v/>
      </c>
      <c r="AX548">
        <f>V_Model_CB!AX51</f>
        <v/>
      </c>
      <c r="AY548">
        <f>V_Model_CB!AY51</f>
        <v/>
      </c>
      <c r="AZ548">
        <f>V_Model_CB!AZ51</f>
        <v/>
      </c>
      <c r="BA548">
        <f>V_Model_CB!BA51</f>
        <v/>
      </c>
      <c r="BB548">
        <f>V_Model_CB!BB51</f>
        <v/>
      </c>
      <c r="BC548">
        <f>V_Model_CB!BC51</f>
        <v/>
      </c>
      <c r="BD548">
        <f>V_Model_CB!BD51</f>
        <v/>
      </c>
      <c r="BE548">
        <f>V_Model_CB!BE51</f>
        <v/>
      </c>
      <c r="BF548">
        <f>V_Model_CB!BF51</f>
        <v/>
      </c>
      <c r="BG548">
        <f>V_Model_CB!BG51</f>
        <v/>
      </c>
      <c r="BH548">
        <f>V_Model_CB!BH51</f>
        <v/>
      </c>
      <c r="BI548">
        <f>V_Model_CB!BI51</f>
        <v/>
      </c>
      <c r="BJ548">
        <f>O548</f>
        <v/>
      </c>
      <c r="BK548">
        <f>SUM(AG548:AW548)</f>
        <v/>
      </c>
      <c r="BL548" s="531">
        <f>BJ548-BK548</f>
        <v/>
      </c>
      <c r="BM548" s="201" t="n"/>
    </row>
    <row r="549" hidden="1" outlineLevel="1" s="191">
      <c r="A549">
        <f>V_Model_CB!A52</f>
        <v/>
      </c>
      <c r="B549">
        <f>V_Model_CB!B52</f>
        <v/>
      </c>
      <c r="C549">
        <f>V_Model_CB!C52</f>
        <v/>
      </c>
      <c r="D549">
        <f>V_Model_CB!D52</f>
        <v/>
      </c>
      <c r="E549">
        <f>V_Model_CB!E52</f>
        <v/>
      </c>
      <c r="F549">
        <f>V_Model_CB!F52</f>
        <v/>
      </c>
      <c r="G549">
        <f>V_Model_CB!G52</f>
        <v/>
      </c>
      <c r="H549">
        <f>V_Model_CB!H51</f>
        <v/>
      </c>
      <c r="I549">
        <f>V_Model_CB!I52</f>
        <v/>
      </c>
      <c r="J549">
        <f>V_Model_CB!J52</f>
        <v/>
      </c>
      <c r="K549" s="672">
        <f>V_Model_CB!K52</f>
        <v/>
      </c>
      <c r="L549" s="672">
        <f>V_Model_CB!L52</f>
        <v/>
      </c>
      <c r="M549">
        <f>V_Model_CB!M52</f>
        <v/>
      </c>
      <c r="N549">
        <f>V_Model_CB!N52</f>
        <v/>
      </c>
      <c r="O549">
        <f>V_Model_CB!O52</f>
        <v/>
      </c>
      <c r="P549" s="628">
        <f>V_Model_CB!P52</f>
        <v/>
      </c>
      <c r="Q549" s="628">
        <f>V_Model_CB!Q52</f>
        <v/>
      </c>
      <c r="R549" s="628">
        <f>V_Model_CB!R52</f>
        <v/>
      </c>
      <c r="S549" s="628">
        <f>V_Model_CB!S52</f>
        <v/>
      </c>
      <c r="T549" s="628">
        <f>V_Model_CB!T52</f>
        <v/>
      </c>
      <c r="U549" s="628">
        <f>V_Model_CB!U52</f>
        <v/>
      </c>
      <c r="V549" s="628">
        <f>V_Model_CB!V52</f>
        <v/>
      </c>
      <c r="W549" s="628">
        <f>V_Model_CB!W52</f>
        <v/>
      </c>
      <c r="X549" s="628">
        <f>V_Model_CB!X52</f>
        <v/>
      </c>
      <c r="Y549" s="650">
        <f>V_Model_CB!Y52</f>
        <v/>
      </c>
      <c r="Z549" s="650">
        <f>V_Model_CB!Z52</f>
        <v/>
      </c>
      <c r="AA549" s="650">
        <f>V_Model_CB!AA52</f>
        <v/>
      </c>
      <c r="AB549" s="650">
        <f>V_Model_CB!AB52</f>
        <v/>
      </c>
      <c r="AC549" s="613">
        <f>V_Model_CB!AC52</f>
        <v/>
      </c>
      <c r="AD549" s="613">
        <f>V_Model_CB!AD52</f>
        <v/>
      </c>
      <c r="AE549" s="613">
        <f>V_Model_CB!AE52</f>
        <v/>
      </c>
      <c r="AF549" s="613">
        <f>V_Model_CB!AF52</f>
        <v/>
      </c>
      <c r="AG549" s="626">
        <f>V_Model_CB!AG52</f>
        <v/>
      </c>
      <c r="AH549" s="626">
        <f>V_Model_CB!AH52</f>
        <v/>
      </c>
      <c r="AI549" s="626">
        <f>V_Model_CB!AI52</f>
        <v/>
      </c>
      <c r="AJ549" s="626">
        <f>V_Model_CB!AJ52</f>
        <v/>
      </c>
      <c r="AK549" s="626">
        <f>V_Model_CB!AK52</f>
        <v/>
      </c>
      <c r="AL549" s="626">
        <f>V_Model_CB!AL52</f>
        <v/>
      </c>
      <c r="AM549" s="626">
        <f>V_Model_CB!AM52</f>
        <v/>
      </c>
      <c r="AN549" s="626">
        <f>V_Model_CB!AN52</f>
        <v/>
      </c>
      <c r="AO549" s="626">
        <f>V_Model_CB!AO52</f>
        <v/>
      </c>
      <c r="AP549" s="369">
        <f>V_Model_CB!AP52</f>
        <v/>
      </c>
      <c r="AQ549" s="369">
        <f>V_Model_CB!AQ52</f>
        <v/>
      </c>
      <c r="AR549" s="369">
        <f>V_Model_CB!AR52</f>
        <v/>
      </c>
      <c r="AS549" s="369">
        <f>V_Model_CB!AS52</f>
        <v/>
      </c>
      <c r="AT549" s="370">
        <f>V_Model_CB!AT52</f>
        <v/>
      </c>
      <c r="AU549" s="370">
        <f>V_Model_CB!AU52</f>
        <v/>
      </c>
      <c r="AV549" s="370">
        <f>V_Model_CB!AV52</f>
        <v/>
      </c>
      <c r="AW549" s="370">
        <f>V_Model_CB!AW52</f>
        <v/>
      </c>
      <c r="AX549">
        <f>V_Model_CB!AX52</f>
        <v/>
      </c>
      <c r="AY549">
        <f>V_Model_CB!AY52</f>
        <v/>
      </c>
      <c r="AZ549">
        <f>V_Model_CB!AZ52</f>
        <v/>
      </c>
      <c r="BA549">
        <f>V_Model_CB!BA52</f>
        <v/>
      </c>
      <c r="BB549">
        <f>V_Model_CB!BB52</f>
        <v/>
      </c>
      <c r="BC549">
        <f>V_Model_CB!BC52</f>
        <v/>
      </c>
      <c r="BD549">
        <f>V_Model_CB!BD52</f>
        <v/>
      </c>
      <c r="BE549">
        <f>V_Model_CB!BE52</f>
        <v/>
      </c>
      <c r="BF549">
        <f>V_Model_CB!BF52</f>
        <v/>
      </c>
      <c r="BG549">
        <f>V_Model_CB!BG52</f>
        <v/>
      </c>
      <c r="BH549">
        <f>V_Model_CB!BH52</f>
        <v/>
      </c>
      <c r="BI549">
        <f>V_Model_CB!BI52</f>
        <v/>
      </c>
      <c r="BJ549">
        <f>O549</f>
        <v/>
      </c>
      <c r="BK549">
        <f>SUM(AG549:AW549)</f>
        <v/>
      </c>
      <c r="BL549" s="531">
        <f>BJ549-BK549</f>
        <v/>
      </c>
      <c r="BM549" s="201" t="n"/>
    </row>
    <row r="550" hidden="1" outlineLevel="1" s="191">
      <c r="A550">
        <f>V_Model_CB!A53</f>
        <v/>
      </c>
      <c r="B550">
        <f>V_Model_CB!B53</f>
        <v/>
      </c>
      <c r="C550">
        <f>V_Model_CB!C53</f>
        <v/>
      </c>
      <c r="D550">
        <f>V_Model_CB!D53</f>
        <v/>
      </c>
      <c r="E550">
        <f>V_Model_CB!E53</f>
        <v/>
      </c>
      <c r="F550">
        <f>V_Model_CB!F53</f>
        <v/>
      </c>
      <c r="G550">
        <f>V_Model_CB!G53</f>
        <v/>
      </c>
      <c r="H550">
        <f>V_Model_CB!H52</f>
        <v/>
      </c>
      <c r="I550">
        <f>V_Model_CB!I53</f>
        <v/>
      </c>
      <c r="J550">
        <f>V_Model_CB!J53</f>
        <v/>
      </c>
      <c r="K550" s="672">
        <f>V_Model_CB!K53</f>
        <v/>
      </c>
      <c r="L550" s="672">
        <f>V_Model_CB!L53</f>
        <v/>
      </c>
      <c r="M550">
        <f>V_Model_CB!M53</f>
        <v/>
      </c>
      <c r="N550">
        <f>V_Model_CB!N53</f>
        <v/>
      </c>
      <c r="O550">
        <f>V_Model_CB!O53</f>
        <v/>
      </c>
      <c r="P550" s="628">
        <f>V_Model_CB!P53</f>
        <v/>
      </c>
      <c r="Q550" s="628">
        <f>V_Model_CB!Q53</f>
        <v/>
      </c>
      <c r="R550" s="628">
        <f>V_Model_CB!R53</f>
        <v/>
      </c>
      <c r="S550" s="628">
        <f>V_Model_CB!S53</f>
        <v/>
      </c>
      <c r="T550" s="628">
        <f>V_Model_CB!T53</f>
        <v/>
      </c>
      <c r="U550" s="628">
        <f>V_Model_CB!U53</f>
        <v/>
      </c>
      <c r="V550" s="628">
        <f>V_Model_CB!V53</f>
        <v/>
      </c>
      <c r="W550" s="628">
        <f>V_Model_CB!W53</f>
        <v/>
      </c>
      <c r="X550" s="628">
        <f>V_Model_CB!X53</f>
        <v/>
      </c>
      <c r="Y550" s="650">
        <f>V_Model_CB!Y53</f>
        <v/>
      </c>
      <c r="Z550" s="650">
        <f>V_Model_CB!Z53</f>
        <v/>
      </c>
      <c r="AA550" s="650">
        <f>V_Model_CB!AA53</f>
        <v/>
      </c>
      <c r="AB550" s="650">
        <f>V_Model_CB!AB53</f>
        <v/>
      </c>
      <c r="AC550" s="613">
        <f>V_Model_CB!AC53</f>
        <v/>
      </c>
      <c r="AD550" s="613">
        <f>V_Model_CB!AD53</f>
        <v/>
      </c>
      <c r="AE550" s="613">
        <f>V_Model_CB!AE53</f>
        <v/>
      </c>
      <c r="AF550" s="613">
        <f>V_Model_CB!AF53</f>
        <v/>
      </c>
      <c r="AG550" s="626">
        <f>V_Model_CB!AG53</f>
        <v/>
      </c>
      <c r="AH550" s="626">
        <f>V_Model_CB!AH53</f>
        <v/>
      </c>
      <c r="AI550" s="626">
        <f>V_Model_CB!AI53</f>
        <v/>
      </c>
      <c r="AJ550" s="626">
        <f>V_Model_CB!AJ53</f>
        <v/>
      </c>
      <c r="AK550" s="626">
        <f>V_Model_CB!AK53</f>
        <v/>
      </c>
      <c r="AL550" s="626">
        <f>V_Model_CB!AL53</f>
        <v/>
      </c>
      <c r="AM550" s="626">
        <f>V_Model_CB!AM53</f>
        <v/>
      </c>
      <c r="AN550" s="626">
        <f>V_Model_CB!AN53</f>
        <v/>
      </c>
      <c r="AO550" s="626">
        <f>V_Model_CB!AO53</f>
        <v/>
      </c>
      <c r="AP550" s="369">
        <f>V_Model_CB!AP53</f>
        <v/>
      </c>
      <c r="AQ550" s="369">
        <f>V_Model_CB!AQ53</f>
        <v/>
      </c>
      <c r="AR550" s="369">
        <f>V_Model_CB!AR53</f>
        <v/>
      </c>
      <c r="AS550" s="369">
        <f>V_Model_CB!AS53</f>
        <v/>
      </c>
      <c r="AT550" s="370">
        <f>V_Model_CB!AT53</f>
        <v/>
      </c>
      <c r="AU550" s="370">
        <f>V_Model_CB!AU53</f>
        <v/>
      </c>
      <c r="AV550" s="370">
        <f>V_Model_CB!AV53</f>
        <v/>
      </c>
      <c r="AW550" s="370">
        <f>V_Model_CB!AW53</f>
        <v/>
      </c>
      <c r="AX550">
        <f>V_Model_CB!AX53</f>
        <v/>
      </c>
      <c r="AY550">
        <f>V_Model_CB!AY53</f>
        <v/>
      </c>
      <c r="AZ550">
        <f>V_Model_CB!AZ53</f>
        <v/>
      </c>
      <c r="BA550">
        <f>V_Model_CB!BA53</f>
        <v/>
      </c>
      <c r="BB550">
        <f>V_Model_CB!BB53</f>
        <v/>
      </c>
      <c r="BC550">
        <f>V_Model_CB!BC53</f>
        <v/>
      </c>
      <c r="BD550">
        <f>V_Model_CB!BD53</f>
        <v/>
      </c>
      <c r="BE550">
        <f>V_Model_CB!BE53</f>
        <v/>
      </c>
      <c r="BF550">
        <f>V_Model_CB!BF53</f>
        <v/>
      </c>
      <c r="BG550">
        <f>V_Model_CB!BG53</f>
        <v/>
      </c>
      <c r="BH550">
        <f>V_Model_CB!BH53</f>
        <v/>
      </c>
      <c r="BI550">
        <f>V_Model_CB!BI53</f>
        <v/>
      </c>
      <c r="BJ550">
        <f>O550</f>
        <v/>
      </c>
      <c r="BK550">
        <f>SUM(AG550:AW550)</f>
        <v/>
      </c>
      <c r="BL550" s="531">
        <f>BJ550-BK550</f>
        <v/>
      </c>
      <c r="BM550" s="201" t="n"/>
    </row>
    <row r="551" hidden="1" outlineLevel="1" s="191">
      <c r="A551">
        <f>V_Model_CB!A54</f>
        <v/>
      </c>
      <c r="B551">
        <f>V_Model_CB!B54</f>
        <v/>
      </c>
      <c r="C551">
        <f>V_Model_CB!C54</f>
        <v/>
      </c>
      <c r="D551">
        <f>V_Model_CB!D54</f>
        <v/>
      </c>
      <c r="E551">
        <f>V_Model_CB!E54</f>
        <v/>
      </c>
      <c r="F551">
        <f>V_Model_CB!F54</f>
        <v/>
      </c>
      <c r="G551">
        <f>V_Model_CB!G54</f>
        <v/>
      </c>
      <c r="H551">
        <f>V_Model_CB!H53</f>
        <v/>
      </c>
      <c r="I551">
        <f>V_Model_CB!I54</f>
        <v/>
      </c>
      <c r="J551">
        <f>V_Model_CB!J54</f>
        <v/>
      </c>
      <c r="K551" s="672">
        <f>V_Model_CB!K54</f>
        <v/>
      </c>
      <c r="L551" s="672">
        <f>V_Model_CB!L54</f>
        <v/>
      </c>
      <c r="M551">
        <f>V_Model_CB!M54</f>
        <v/>
      </c>
      <c r="N551">
        <f>V_Model_CB!N54</f>
        <v/>
      </c>
      <c r="O551">
        <f>V_Model_CB!O54</f>
        <v/>
      </c>
      <c r="P551" s="628">
        <f>V_Model_CB!P54</f>
        <v/>
      </c>
      <c r="Q551" s="628">
        <f>V_Model_CB!Q54</f>
        <v/>
      </c>
      <c r="R551" s="628">
        <f>V_Model_CB!R54</f>
        <v/>
      </c>
      <c r="S551" s="628">
        <f>V_Model_CB!S54</f>
        <v/>
      </c>
      <c r="T551" s="628">
        <f>V_Model_CB!T54</f>
        <v/>
      </c>
      <c r="U551" s="628">
        <f>V_Model_CB!U54</f>
        <v/>
      </c>
      <c r="V551" s="628">
        <f>V_Model_CB!V54</f>
        <v/>
      </c>
      <c r="W551" s="628">
        <f>V_Model_CB!W54</f>
        <v/>
      </c>
      <c r="X551" s="628">
        <f>V_Model_CB!X54</f>
        <v/>
      </c>
      <c r="Y551" s="650">
        <f>V_Model_CB!Y54</f>
        <v/>
      </c>
      <c r="Z551" s="650">
        <f>V_Model_CB!Z54</f>
        <v/>
      </c>
      <c r="AA551" s="650">
        <f>V_Model_CB!AA54</f>
        <v/>
      </c>
      <c r="AB551" s="650">
        <f>V_Model_CB!AB54</f>
        <v/>
      </c>
      <c r="AC551" s="613">
        <f>V_Model_CB!AC54</f>
        <v/>
      </c>
      <c r="AD551" s="613">
        <f>V_Model_CB!AD54</f>
        <v/>
      </c>
      <c r="AE551" s="613">
        <f>V_Model_CB!AE54</f>
        <v/>
      </c>
      <c r="AF551" s="613">
        <f>V_Model_CB!AF54</f>
        <v/>
      </c>
      <c r="AG551" s="626">
        <f>V_Model_CB!AG54</f>
        <v/>
      </c>
      <c r="AH551" s="626">
        <f>V_Model_CB!AH54</f>
        <v/>
      </c>
      <c r="AI551" s="626">
        <f>V_Model_CB!AI54</f>
        <v/>
      </c>
      <c r="AJ551" s="626">
        <f>V_Model_CB!AJ54</f>
        <v/>
      </c>
      <c r="AK551" s="626">
        <f>V_Model_CB!AK54</f>
        <v/>
      </c>
      <c r="AL551" s="626">
        <f>V_Model_CB!AL54</f>
        <v/>
      </c>
      <c r="AM551" s="626">
        <f>V_Model_CB!AM54</f>
        <v/>
      </c>
      <c r="AN551" s="626">
        <f>V_Model_CB!AN54</f>
        <v/>
      </c>
      <c r="AO551" s="626">
        <f>V_Model_CB!AO54</f>
        <v/>
      </c>
      <c r="AP551" s="369">
        <f>V_Model_CB!AP54</f>
        <v/>
      </c>
      <c r="AQ551" s="369">
        <f>V_Model_CB!AQ54</f>
        <v/>
      </c>
      <c r="AR551" s="369">
        <f>V_Model_CB!AR54</f>
        <v/>
      </c>
      <c r="AS551" s="369">
        <f>V_Model_CB!AS54</f>
        <v/>
      </c>
      <c r="AT551" s="370">
        <f>V_Model_CB!AT54</f>
        <v/>
      </c>
      <c r="AU551" s="370">
        <f>V_Model_CB!AU54</f>
        <v/>
      </c>
      <c r="AV551" s="370">
        <f>V_Model_CB!AV54</f>
        <v/>
      </c>
      <c r="AW551" s="370">
        <f>V_Model_CB!AW54</f>
        <v/>
      </c>
      <c r="AX551">
        <f>V_Model_CB!AX54</f>
        <v/>
      </c>
      <c r="AY551">
        <f>V_Model_CB!AY54</f>
        <v/>
      </c>
      <c r="AZ551">
        <f>V_Model_CB!AZ54</f>
        <v/>
      </c>
      <c r="BA551">
        <f>V_Model_CB!BA54</f>
        <v/>
      </c>
      <c r="BB551">
        <f>V_Model_CB!BB54</f>
        <v/>
      </c>
      <c r="BC551">
        <f>V_Model_CB!BC54</f>
        <v/>
      </c>
      <c r="BD551">
        <f>V_Model_CB!BD54</f>
        <v/>
      </c>
      <c r="BE551">
        <f>V_Model_CB!BE54</f>
        <v/>
      </c>
      <c r="BF551">
        <f>V_Model_CB!BF54</f>
        <v/>
      </c>
      <c r="BG551">
        <f>V_Model_CB!BG54</f>
        <v/>
      </c>
      <c r="BH551">
        <f>V_Model_CB!BH54</f>
        <v/>
      </c>
      <c r="BI551">
        <f>V_Model_CB!BI54</f>
        <v/>
      </c>
      <c r="BJ551">
        <f>O551</f>
        <v/>
      </c>
      <c r="BK551">
        <f>SUM(AG551:AW551)</f>
        <v/>
      </c>
      <c r="BL551" s="531">
        <f>BJ551-BK551</f>
        <v/>
      </c>
      <c r="BM551" s="201" t="n"/>
    </row>
    <row r="552" hidden="1" outlineLevel="1" s="191">
      <c r="A552">
        <f>V_Model_CB!A55</f>
        <v/>
      </c>
      <c r="B552">
        <f>V_Model_CB!B55</f>
        <v/>
      </c>
      <c r="C552">
        <f>V_Model_CB!C55</f>
        <v/>
      </c>
      <c r="D552">
        <f>V_Model_CB!D55</f>
        <v/>
      </c>
      <c r="E552">
        <f>V_Model_CB!E55</f>
        <v/>
      </c>
      <c r="F552">
        <f>V_Model_CB!F55</f>
        <v/>
      </c>
      <c r="G552">
        <f>V_Model_CB!G55</f>
        <v/>
      </c>
      <c r="H552">
        <f>V_Model_CB!H54</f>
        <v/>
      </c>
      <c r="I552">
        <f>V_Model_CB!I55</f>
        <v/>
      </c>
      <c r="J552">
        <f>V_Model_CB!J55</f>
        <v/>
      </c>
      <c r="K552" s="672">
        <f>V_Model_CB!K55</f>
        <v/>
      </c>
      <c r="L552" s="672">
        <f>V_Model_CB!L55</f>
        <v/>
      </c>
      <c r="M552">
        <f>V_Model_CB!M55</f>
        <v/>
      </c>
      <c r="N552">
        <f>V_Model_CB!N55</f>
        <v/>
      </c>
      <c r="O552">
        <f>V_Model_CB!O55</f>
        <v/>
      </c>
      <c r="P552" s="628">
        <f>V_Model_CB!P55</f>
        <v/>
      </c>
      <c r="Q552" s="628">
        <f>V_Model_CB!Q55</f>
        <v/>
      </c>
      <c r="R552" s="628">
        <f>V_Model_CB!R55</f>
        <v/>
      </c>
      <c r="S552" s="628">
        <f>V_Model_CB!S55</f>
        <v/>
      </c>
      <c r="T552" s="628">
        <f>V_Model_CB!T55</f>
        <v/>
      </c>
      <c r="U552" s="628">
        <f>V_Model_CB!U55</f>
        <v/>
      </c>
      <c r="V552" s="628">
        <f>V_Model_CB!V55</f>
        <v/>
      </c>
      <c r="W552" s="628">
        <f>V_Model_CB!W55</f>
        <v/>
      </c>
      <c r="X552" s="628">
        <f>V_Model_CB!X55</f>
        <v/>
      </c>
      <c r="Y552" s="650">
        <f>V_Model_CB!Y55</f>
        <v/>
      </c>
      <c r="Z552" s="650">
        <f>V_Model_CB!Z55</f>
        <v/>
      </c>
      <c r="AA552" s="650">
        <f>V_Model_CB!AA55</f>
        <v/>
      </c>
      <c r="AB552" s="650">
        <f>V_Model_CB!AB55</f>
        <v/>
      </c>
      <c r="AC552" s="613">
        <f>V_Model_CB!AC55</f>
        <v/>
      </c>
      <c r="AD552" s="613">
        <f>V_Model_CB!AD55</f>
        <v/>
      </c>
      <c r="AE552" s="613">
        <f>V_Model_CB!AE55</f>
        <v/>
      </c>
      <c r="AF552" s="613">
        <f>V_Model_CB!AF55</f>
        <v/>
      </c>
      <c r="AG552" s="626">
        <f>V_Model_CB!AG55</f>
        <v/>
      </c>
      <c r="AH552" s="626">
        <f>V_Model_CB!AH55</f>
        <v/>
      </c>
      <c r="AI552" s="626">
        <f>V_Model_CB!AI55</f>
        <v/>
      </c>
      <c r="AJ552" s="626">
        <f>V_Model_CB!AJ55</f>
        <v/>
      </c>
      <c r="AK552" s="626">
        <f>V_Model_CB!AK55</f>
        <v/>
      </c>
      <c r="AL552" s="626">
        <f>V_Model_CB!AL55</f>
        <v/>
      </c>
      <c r="AM552" s="626">
        <f>V_Model_CB!AM55</f>
        <v/>
      </c>
      <c r="AN552" s="626">
        <f>V_Model_CB!AN55</f>
        <v/>
      </c>
      <c r="AO552" s="626">
        <f>V_Model_CB!AO55</f>
        <v/>
      </c>
      <c r="AP552" s="369">
        <f>V_Model_CB!AP55</f>
        <v/>
      </c>
      <c r="AQ552" s="369">
        <f>V_Model_CB!AQ55</f>
        <v/>
      </c>
      <c r="AR552" s="369">
        <f>V_Model_CB!AR55</f>
        <v/>
      </c>
      <c r="AS552" s="369">
        <f>V_Model_CB!AS55</f>
        <v/>
      </c>
      <c r="AT552" s="370">
        <f>V_Model_CB!AT55</f>
        <v/>
      </c>
      <c r="AU552" s="370">
        <f>V_Model_CB!AU55</f>
        <v/>
      </c>
      <c r="AV552" s="370">
        <f>V_Model_CB!AV55</f>
        <v/>
      </c>
      <c r="AW552" s="370">
        <f>V_Model_CB!AW55</f>
        <v/>
      </c>
      <c r="AX552">
        <f>V_Model_CB!AX55</f>
        <v/>
      </c>
      <c r="AY552">
        <f>V_Model_CB!AY55</f>
        <v/>
      </c>
      <c r="AZ552">
        <f>V_Model_CB!AZ55</f>
        <v/>
      </c>
      <c r="BA552">
        <f>V_Model_CB!BA55</f>
        <v/>
      </c>
      <c r="BB552">
        <f>V_Model_CB!BB55</f>
        <v/>
      </c>
      <c r="BC552">
        <f>V_Model_CB!BC55</f>
        <v/>
      </c>
      <c r="BD552">
        <f>V_Model_CB!BD55</f>
        <v/>
      </c>
      <c r="BE552">
        <f>V_Model_CB!BE55</f>
        <v/>
      </c>
      <c r="BF552">
        <f>V_Model_CB!BF55</f>
        <v/>
      </c>
      <c r="BG552">
        <f>V_Model_CB!BG55</f>
        <v/>
      </c>
      <c r="BH552">
        <f>V_Model_CB!BH55</f>
        <v/>
      </c>
      <c r="BI552">
        <f>V_Model_CB!BI55</f>
        <v/>
      </c>
      <c r="BJ552">
        <f>O552</f>
        <v/>
      </c>
      <c r="BK552">
        <f>SUM(AG552:AW552)</f>
        <v/>
      </c>
      <c r="BL552" s="531">
        <f>BJ552-BK552</f>
        <v/>
      </c>
      <c r="BM552" s="201" t="n"/>
    </row>
    <row r="553" hidden="1" outlineLevel="1" s="191">
      <c r="A553">
        <f>V_Model_CB!A56</f>
        <v/>
      </c>
      <c r="B553">
        <f>V_Model_CB!B56</f>
        <v/>
      </c>
      <c r="C553">
        <f>V_Model_CB!C56</f>
        <v/>
      </c>
      <c r="D553">
        <f>V_Model_CB!D56</f>
        <v/>
      </c>
      <c r="E553">
        <f>V_Model_CB!E56</f>
        <v/>
      </c>
      <c r="F553">
        <f>V_Model_CB!F56</f>
        <v/>
      </c>
      <c r="G553">
        <f>V_Model_CB!G56</f>
        <v/>
      </c>
      <c r="H553">
        <f>V_Model_CB!H55</f>
        <v/>
      </c>
      <c r="I553">
        <f>V_Model_CB!I56</f>
        <v/>
      </c>
      <c r="J553">
        <f>V_Model_CB!J56</f>
        <v/>
      </c>
      <c r="K553" s="672">
        <f>V_Model_CB!K56</f>
        <v/>
      </c>
      <c r="L553" s="672">
        <f>V_Model_CB!L56</f>
        <v/>
      </c>
      <c r="M553">
        <f>V_Model_CB!M56</f>
        <v/>
      </c>
      <c r="N553">
        <f>V_Model_CB!N56</f>
        <v/>
      </c>
      <c r="O553">
        <f>V_Model_CB!O56</f>
        <v/>
      </c>
      <c r="P553" s="628">
        <f>V_Model_CB!P56</f>
        <v/>
      </c>
      <c r="Q553" s="628">
        <f>V_Model_CB!Q56</f>
        <v/>
      </c>
      <c r="R553" s="628">
        <f>V_Model_CB!R56</f>
        <v/>
      </c>
      <c r="S553" s="628">
        <f>V_Model_CB!S56</f>
        <v/>
      </c>
      <c r="T553" s="628">
        <f>V_Model_CB!T56</f>
        <v/>
      </c>
      <c r="U553" s="628">
        <f>V_Model_CB!U56</f>
        <v/>
      </c>
      <c r="V553" s="628">
        <f>V_Model_CB!V56</f>
        <v/>
      </c>
      <c r="W553" s="628">
        <f>V_Model_CB!W56</f>
        <v/>
      </c>
      <c r="X553" s="628">
        <f>V_Model_CB!X56</f>
        <v/>
      </c>
      <c r="Y553" s="650">
        <f>V_Model_CB!Y56</f>
        <v/>
      </c>
      <c r="Z553" s="650">
        <f>V_Model_CB!Z56</f>
        <v/>
      </c>
      <c r="AA553" s="650">
        <f>V_Model_CB!AA56</f>
        <v/>
      </c>
      <c r="AB553" s="650">
        <f>V_Model_CB!AB56</f>
        <v/>
      </c>
      <c r="AC553" s="613">
        <f>V_Model_CB!AC56</f>
        <v/>
      </c>
      <c r="AD553" s="613">
        <f>V_Model_CB!AD56</f>
        <v/>
      </c>
      <c r="AE553" s="613">
        <f>V_Model_CB!AE56</f>
        <v/>
      </c>
      <c r="AF553" s="613">
        <f>V_Model_CB!AF56</f>
        <v/>
      </c>
      <c r="AG553" s="626">
        <f>V_Model_CB!AG56</f>
        <v/>
      </c>
      <c r="AH553" s="626">
        <f>V_Model_CB!AH56</f>
        <v/>
      </c>
      <c r="AI553" s="626">
        <f>V_Model_CB!AI56</f>
        <v/>
      </c>
      <c r="AJ553" s="626">
        <f>V_Model_CB!AJ56</f>
        <v/>
      </c>
      <c r="AK553" s="626">
        <f>V_Model_CB!AK56</f>
        <v/>
      </c>
      <c r="AL553" s="626">
        <f>V_Model_CB!AL56</f>
        <v/>
      </c>
      <c r="AM553" s="626">
        <f>V_Model_CB!AM56</f>
        <v/>
      </c>
      <c r="AN553" s="626">
        <f>V_Model_CB!AN56</f>
        <v/>
      </c>
      <c r="AO553" s="626">
        <f>V_Model_CB!AO56</f>
        <v/>
      </c>
      <c r="AP553" s="369">
        <f>V_Model_CB!AP56</f>
        <v/>
      </c>
      <c r="AQ553" s="369">
        <f>V_Model_CB!AQ56</f>
        <v/>
      </c>
      <c r="AR553" s="369">
        <f>V_Model_CB!AR56</f>
        <v/>
      </c>
      <c r="AS553" s="369">
        <f>V_Model_CB!AS56</f>
        <v/>
      </c>
      <c r="AT553" s="370">
        <f>V_Model_CB!AT56</f>
        <v/>
      </c>
      <c r="AU553" s="370">
        <f>V_Model_CB!AU56</f>
        <v/>
      </c>
      <c r="AV553" s="370">
        <f>V_Model_CB!AV56</f>
        <v/>
      </c>
      <c r="AW553" s="370">
        <f>V_Model_CB!AW56</f>
        <v/>
      </c>
      <c r="AX553">
        <f>V_Model_CB!AX56</f>
        <v/>
      </c>
      <c r="AY553">
        <f>V_Model_CB!AY56</f>
        <v/>
      </c>
      <c r="AZ553">
        <f>V_Model_CB!AZ56</f>
        <v/>
      </c>
      <c r="BA553">
        <f>V_Model_CB!BA56</f>
        <v/>
      </c>
      <c r="BB553">
        <f>V_Model_CB!BB56</f>
        <v/>
      </c>
      <c r="BC553">
        <f>V_Model_CB!BC56</f>
        <v/>
      </c>
      <c r="BD553">
        <f>V_Model_CB!BD56</f>
        <v/>
      </c>
      <c r="BE553">
        <f>V_Model_CB!BE56</f>
        <v/>
      </c>
      <c r="BF553">
        <f>V_Model_CB!BF56</f>
        <v/>
      </c>
      <c r="BG553">
        <f>V_Model_CB!BG56</f>
        <v/>
      </c>
      <c r="BH553">
        <f>V_Model_CB!BH56</f>
        <v/>
      </c>
      <c r="BI553">
        <f>V_Model_CB!BI56</f>
        <v/>
      </c>
      <c r="BJ553">
        <f>O553</f>
        <v/>
      </c>
      <c r="BK553">
        <f>SUM(AG553:AW553)</f>
        <v/>
      </c>
      <c r="BL553" s="531">
        <f>BJ553-BK553</f>
        <v/>
      </c>
      <c r="BM553" s="201" t="n"/>
    </row>
    <row r="554" hidden="1" outlineLevel="1" s="191">
      <c r="A554">
        <f>V_Model_CB!A57</f>
        <v/>
      </c>
      <c r="B554">
        <f>V_Model_CB!B57</f>
        <v/>
      </c>
      <c r="C554">
        <f>V_Model_CB!C57</f>
        <v/>
      </c>
      <c r="D554">
        <f>V_Model_CB!D57</f>
        <v/>
      </c>
      <c r="E554">
        <f>V_Model_CB!E57</f>
        <v/>
      </c>
      <c r="F554">
        <f>V_Model_CB!F57</f>
        <v/>
      </c>
      <c r="G554">
        <f>V_Model_CB!G57</f>
        <v/>
      </c>
      <c r="H554">
        <f>V_Model_CB!H56</f>
        <v/>
      </c>
      <c r="I554">
        <f>V_Model_CB!I57</f>
        <v/>
      </c>
      <c r="J554">
        <f>V_Model_CB!J57</f>
        <v/>
      </c>
      <c r="K554" s="672">
        <f>V_Model_CB!K57</f>
        <v/>
      </c>
      <c r="L554" s="672">
        <f>V_Model_CB!L57</f>
        <v/>
      </c>
      <c r="M554">
        <f>V_Model_CB!M57</f>
        <v/>
      </c>
      <c r="N554">
        <f>V_Model_CB!N57</f>
        <v/>
      </c>
      <c r="O554">
        <f>V_Model_CB!O57</f>
        <v/>
      </c>
      <c r="P554" s="628">
        <f>V_Model_CB!P57</f>
        <v/>
      </c>
      <c r="Q554" s="628">
        <f>V_Model_CB!Q57</f>
        <v/>
      </c>
      <c r="R554" s="628">
        <f>V_Model_CB!R57</f>
        <v/>
      </c>
      <c r="S554" s="628">
        <f>V_Model_CB!S57</f>
        <v/>
      </c>
      <c r="T554" s="628">
        <f>V_Model_CB!T57</f>
        <v/>
      </c>
      <c r="U554" s="628">
        <f>V_Model_CB!U57</f>
        <v/>
      </c>
      <c r="V554" s="628">
        <f>V_Model_CB!V57</f>
        <v/>
      </c>
      <c r="W554" s="628">
        <f>V_Model_CB!W57</f>
        <v/>
      </c>
      <c r="X554" s="628">
        <f>V_Model_CB!X57</f>
        <v/>
      </c>
      <c r="Y554" s="650">
        <f>V_Model_CB!Y57</f>
        <v/>
      </c>
      <c r="Z554" s="650">
        <f>V_Model_CB!Z57</f>
        <v/>
      </c>
      <c r="AA554" s="650">
        <f>V_Model_CB!AA57</f>
        <v/>
      </c>
      <c r="AB554" s="650">
        <f>V_Model_CB!AB57</f>
        <v/>
      </c>
      <c r="AC554" s="613">
        <f>V_Model_CB!AC57</f>
        <v/>
      </c>
      <c r="AD554" s="613">
        <f>V_Model_CB!AD57</f>
        <v/>
      </c>
      <c r="AE554" s="613">
        <f>V_Model_CB!AE57</f>
        <v/>
      </c>
      <c r="AF554" s="613">
        <f>V_Model_CB!AF57</f>
        <v/>
      </c>
      <c r="AG554" s="626">
        <f>V_Model_CB!AG57</f>
        <v/>
      </c>
      <c r="AH554" s="626">
        <f>V_Model_CB!AH57</f>
        <v/>
      </c>
      <c r="AI554" s="626">
        <f>V_Model_CB!AI57</f>
        <v/>
      </c>
      <c r="AJ554" s="626">
        <f>V_Model_CB!AJ57</f>
        <v/>
      </c>
      <c r="AK554" s="626">
        <f>V_Model_CB!AK57</f>
        <v/>
      </c>
      <c r="AL554" s="626">
        <f>V_Model_CB!AL57</f>
        <v/>
      </c>
      <c r="AM554" s="626">
        <f>V_Model_CB!AM57</f>
        <v/>
      </c>
      <c r="AN554" s="626">
        <f>V_Model_CB!AN57</f>
        <v/>
      </c>
      <c r="AO554" s="626">
        <f>V_Model_CB!AO57</f>
        <v/>
      </c>
      <c r="AP554" s="369">
        <f>V_Model_CB!AP57</f>
        <v/>
      </c>
      <c r="AQ554" s="369">
        <f>V_Model_CB!AQ57</f>
        <v/>
      </c>
      <c r="AR554" s="369">
        <f>V_Model_CB!AR57</f>
        <v/>
      </c>
      <c r="AS554" s="369">
        <f>V_Model_CB!AS57</f>
        <v/>
      </c>
      <c r="AT554" s="370">
        <f>V_Model_CB!AT57</f>
        <v/>
      </c>
      <c r="AU554" s="370">
        <f>V_Model_CB!AU57</f>
        <v/>
      </c>
      <c r="AV554" s="370">
        <f>V_Model_CB!AV57</f>
        <v/>
      </c>
      <c r="AW554" s="370">
        <f>V_Model_CB!AW57</f>
        <v/>
      </c>
      <c r="AX554">
        <f>V_Model_CB!AX57</f>
        <v/>
      </c>
      <c r="AY554">
        <f>V_Model_CB!AY57</f>
        <v/>
      </c>
      <c r="AZ554">
        <f>V_Model_CB!AZ57</f>
        <v/>
      </c>
      <c r="BA554">
        <f>V_Model_CB!BA57</f>
        <v/>
      </c>
      <c r="BB554">
        <f>V_Model_CB!BB57</f>
        <v/>
      </c>
      <c r="BC554">
        <f>V_Model_CB!BC57</f>
        <v/>
      </c>
      <c r="BD554">
        <f>V_Model_CB!BD57</f>
        <v/>
      </c>
      <c r="BE554">
        <f>V_Model_CB!BE57</f>
        <v/>
      </c>
      <c r="BF554">
        <f>V_Model_CB!BF57</f>
        <v/>
      </c>
      <c r="BG554">
        <f>V_Model_CB!BG57</f>
        <v/>
      </c>
      <c r="BH554">
        <f>V_Model_CB!BH57</f>
        <v/>
      </c>
      <c r="BI554">
        <f>V_Model_CB!BI57</f>
        <v/>
      </c>
      <c r="BJ554">
        <f>O554</f>
        <v/>
      </c>
      <c r="BK554">
        <f>SUM(AG554:AW554)</f>
        <v/>
      </c>
      <c r="BL554" s="531">
        <f>BJ554-BK554</f>
        <v/>
      </c>
      <c r="BM554" s="201" t="n"/>
    </row>
    <row r="555" hidden="1" outlineLevel="1" s="191">
      <c r="A555">
        <f>V_Model_CB!A58</f>
        <v/>
      </c>
      <c r="B555">
        <f>V_Model_CB!B58</f>
        <v/>
      </c>
      <c r="C555">
        <f>V_Model_CB!C58</f>
        <v/>
      </c>
      <c r="D555">
        <f>V_Model_CB!D58</f>
        <v/>
      </c>
      <c r="E555">
        <f>V_Model_CB!E58</f>
        <v/>
      </c>
      <c r="F555">
        <f>V_Model_CB!F58</f>
        <v/>
      </c>
      <c r="G555">
        <f>V_Model_CB!G58</f>
        <v/>
      </c>
      <c r="H555">
        <f>V_Model_CB!H57</f>
        <v/>
      </c>
      <c r="I555">
        <f>V_Model_CB!I58</f>
        <v/>
      </c>
      <c r="J555">
        <f>V_Model_CB!J58</f>
        <v/>
      </c>
      <c r="K555" s="672">
        <f>V_Model_CB!K58</f>
        <v/>
      </c>
      <c r="L555" s="672">
        <f>V_Model_CB!L58</f>
        <v/>
      </c>
      <c r="M555">
        <f>V_Model_CB!M58</f>
        <v/>
      </c>
      <c r="N555">
        <f>V_Model_CB!N58</f>
        <v/>
      </c>
      <c r="O555">
        <f>V_Model_CB!O58</f>
        <v/>
      </c>
      <c r="P555" s="628">
        <f>V_Model_CB!P58</f>
        <v/>
      </c>
      <c r="Q555" s="628">
        <f>V_Model_CB!Q58</f>
        <v/>
      </c>
      <c r="R555" s="628">
        <f>V_Model_CB!R58</f>
        <v/>
      </c>
      <c r="S555" s="628">
        <f>V_Model_CB!S58</f>
        <v/>
      </c>
      <c r="T555" s="628">
        <f>V_Model_CB!T58</f>
        <v/>
      </c>
      <c r="U555" s="628">
        <f>V_Model_CB!U58</f>
        <v/>
      </c>
      <c r="V555" s="628">
        <f>V_Model_CB!V58</f>
        <v/>
      </c>
      <c r="W555" s="628">
        <f>V_Model_CB!W58</f>
        <v/>
      </c>
      <c r="X555" s="628">
        <f>V_Model_CB!X58</f>
        <v/>
      </c>
      <c r="Y555" s="650">
        <f>V_Model_CB!Y58</f>
        <v/>
      </c>
      <c r="Z555" s="650">
        <f>V_Model_CB!Z58</f>
        <v/>
      </c>
      <c r="AA555" s="650">
        <f>V_Model_CB!AA58</f>
        <v/>
      </c>
      <c r="AB555" s="650">
        <f>V_Model_CB!AB58</f>
        <v/>
      </c>
      <c r="AC555" s="613">
        <f>V_Model_CB!AC58</f>
        <v/>
      </c>
      <c r="AD555" s="613">
        <f>V_Model_CB!AD58</f>
        <v/>
      </c>
      <c r="AE555" s="613">
        <f>V_Model_CB!AE58</f>
        <v/>
      </c>
      <c r="AF555" s="613">
        <f>V_Model_CB!AF58</f>
        <v/>
      </c>
      <c r="AG555" s="626">
        <f>V_Model_CB!AG58</f>
        <v/>
      </c>
      <c r="AH555" s="626">
        <f>V_Model_CB!AH58</f>
        <v/>
      </c>
      <c r="AI555" s="626">
        <f>V_Model_CB!AI58</f>
        <v/>
      </c>
      <c r="AJ555" s="626">
        <f>V_Model_CB!AJ58</f>
        <v/>
      </c>
      <c r="AK555" s="626">
        <f>V_Model_CB!AK58</f>
        <v/>
      </c>
      <c r="AL555" s="626">
        <f>V_Model_CB!AL58</f>
        <v/>
      </c>
      <c r="AM555" s="626">
        <f>V_Model_CB!AM58</f>
        <v/>
      </c>
      <c r="AN555" s="626">
        <f>V_Model_CB!AN58</f>
        <v/>
      </c>
      <c r="AO555" s="626">
        <f>V_Model_CB!AO58</f>
        <v/>
      </c>
      <c r="AP555" s="369">
        <f>V_Model_CB!AP58</f>
        <v/>
      </c>
      <c r="AQ555" s="369">
        <f>V_Model_CB!AQ58</f>
        <v/>
      </c>
      <c r="AR555" s="369">
        <f>V_Model_CB!AR58</f>
        <v/>
      </c>
      <c r="AS555" s="369">
        <f>V_Model_CB!AS58</f>
        <v/>
      </c>
      <c r="AT555" s="370">
        <f>V_Model_CB!AT58</f>
        <v/>
      </c>
      <c r="AU555" s="370">
        <f>V_Model_CB!AU58</f>
        <v/>
      </c>
      <c r="AV555" s="370">
        <f>V_Model_CB!AV58</f>
        <v/>
      </c>
      <c r="AW555" s="370">
        <f>V_Model_CB!AW58</f>
        <v/>
      </c>
      <c r="AX555">
        <f>V_Model_CB!AX58</f>
        <v/>
      </c>
      <c r="AY555">
        <f>V_Model_CB!AY58</f>
        <v/>
      </c>
      <c r="AZ555">
        <f>V_Model_CB!AZ58</f>
        <v/>
      </c>
      <c r="BA555">
        <f>V_Model_CB!BA58</f>
        <v/>
      </c>
      <c r="BB555">
        <f>V_Model_CB!BB58</f>
        <v/>
      </c>
      <c r="BC555">
        <f>V_Model_CB!BC58</f>
        <v/>
      </c>
      <c r="BD555">
        <f>V_Model_CB!BD58</f>
        <v/>
      </c>
      <c r="BE555">
        <f>V_Model_CB!BE58</f>
        <v/>
      </c>
      <c r="BF555">
        <f>V_Model_CB!BF58</f>
        <v/>
      </c>
      <c r="BG555">
        <f>V_Model_CB!BG58</f>
        <v/>
      </c>
      <c r="BH555">
        <f>V_Model_CB!BH58</f>
        <v/>
      </c>
      <c r="BI555">
        <f>V_Model_CB!BI58</f>
        <v/>
      </c>
      <c r="BJ555">
        <f>O555</f>
        <v/>
      </c>
      <c r="BK555">
        <f>SUM(AG555:AW555)</f>
        <v/>
      </c>
      <c r="BL555" s="531">
        <f>BJ555-BK555</f>
        <v/>
      </c>
      <c r="BM555" s="201" t="n"/>
    </row>
    <row r="556" hidden="1" outlineLevel="1" s="191">
      <c r="A556">
        <f>V_Model_CB!A59</f>
        <v/>
      </c>
      <c r="B556">
        <f>V_Model_CB!B59</f>
        <v/>
      </c>
      <c r="C556">
        <f>V_Model_CB!C59</f>
        <v/>
      </c>
      <c r="D556">
        <f>V_Model_CB!D59</f>
        <v/>
      </c>
      <c r="E556">
        <f>V_Model_CB!E59</f>
        <v/>
      </c>
      <c r="F556">
        <f>V_Model_CB!F59</f>
        <v/>
      </c>
      <c r="G556">
        <f>V_Model_CB!G59</f>
        <v/>
      </c>
      <c r="H556">
        <f>V_Model_CB!H58</f>
        <v/>
      </c>
      <c r="I556">
        <f>V_Model_CB!I59</f>
        <v/>
      </c>
      <c r="J556">
        <f>V_Model_CB!J59</f>
        <v/>
      </c>
      <c r="K556" s="672">
        <f>V_Model_CB!K59</f>
        <v/>
      </c>
      <c r="L556" s="672">
        <f>V_Model_CB!L59</f>
        <v/>
      </c>
      <c r="M556">
        <f>V_Model_CB!M59</f>
        <v/>
      </c>
      <c r="N556">
        <f>V_Model_CB!N59</f>
        <v/>
      </c>
      <c r="O556">
        <f>V_Model_CB!O59</f>
        <v/>
      </c>
      <c r="P556" s="628">
        <f>V_Model_CB!P59</f>
        <v/>
      </c>
      <c r="Q556" s="628">
        <f>V_Model_CB!Q59</f>
        <v/>
      </c>
      <c r="R556" s="628">
        <f>V_Model_CB!R59</f>
        <v/>
      </c>
      <c r="S556" s="628">
        <f>V_Model_CB!S59</f>
        <v/>
      </c>
      <c r="T556" s="628">
        <f>V_Model_CB!T59</f>
        <v/>
      </c>
      <c r="U556" s="628">
        <f>V_Model_CB!U59</f>
        <v/>
      </c>
      <c r="V556" s="628">
        <f>V_Model_CB!V59</f>
        <v/>
      </c>
      <c r="W556" s="628">
        <f>V_Model_CB!W59</f>
        <v/>
      </c>
      <c r="X556" s="628">
        <f>V_Model_CB!X59</f>
        <v/>
      </c>
      <c r="Y556" s="650">
        <f>V_Model_CB!Y59</f>
        <v/>
      </c>
      <c r="Z556" s="650">
        <f>V_Model_CB!Z59</f>
        <v/>
      </c>
      <c r="AA556" s="650">
        <f>V_Model_CB!AA59</f>
        <v/>
      </c>
      <c r="AB556" s="650">
        <f>V_Model_CB!AB59</f>
        <v/>
      </c>
      <c r="AC556" s="613">
        <f>V_Model_CB!AC59</f>
        <v/>
      </c>
      <c r="AD556" s="613">
        <f>V_Model_CB!AD59</f>
        <v/>
      </c>
      <c r="AE556" s="613">
        <f>V_Model_CB!AE59</f>
        <v/>
      </c>
      <c r="AF556" s="613">
        <f>V_Model_CB!AF59</f>
        <v/>
      </c>
      <c r="AG556" s="626">
        <f>V_Model_CB!AG59</f>
        <v/>
      </c>
      <c r="AH556" s="626">
        <f>V_Model_CB!AH59</f>
        <v/>
      </c>
      <c r="AI556" s="626">
        <f>V_Model_CB!AI59</f>
        <v/>
      </c>
      <c r="AJ556" s="626">
        <f>V_Model_CB!AJ59</f>
        <v/>
      </c>
      <c r="AK556" s="626">
        <f>V_Model_CB!AK59</f>
        <v/>
      </c>
      <c r="AL556" s="626">
        <f>V_Model_CB!AL59</f>
        <v/>
      </c>
      <c r="AM556" s="626">
        <f>V_Model_CB!AM59</f>
        <v/>
      </c>
      <c r="AN556" s="626">
        <f>V_Model_CB!AN59</f>
        <v/>
      </c>
      <c r="AO556" s="626">
        <f>V_Model_CB!AO59</f>
        <v/>
      </c>
      <c r="AP556" s="369">
        <f>V_Model_CB!AP59</f>
        <v/>
      </c>
      <c r="AQ556" s="369">
        <f>V_Model_CB!AQ59</f>
        <v/>
      </c>
      <c r="AR556" s="369">
        <f>V_Model_CB!AR59</f>
        <v/>
      </c>
      <c r="AS556" s="369">
        <f>V_Model_CB!AS59</f>
        <v/>
      </c>
      <c r="AT556" s="370">
        <f>V_Model_CB!AT59</f>
        <v/>
      </c>
      <c r="AU556" s="370">
        <f>V_Model_CB!AU59</f>
        <v/>
      </c>
      <c r="AV556" s="370">
        <f>V_Model_CB!AV59</f>
        <v/>
      </c>
      <c r="AW556" s="370">
        <f>V_Model_CB!AW59</f>
        <v/>
      </c>
      <c r="AX556">
        <f>V_Model_CB!AX59</f>
        <v/>
      </c>
      <c r="AY556">
        <f>V_Model_CB!AY59</f>
        <v/>
      </c>
      <c r="AZ556">
        <f>V_Model_CB!AZ59</f>
        <v/>
      </c>
      <c r="BA556">
        <f>V_Model_CB!BA59</f>
        <v/>
      </c>
      <c r="BB556">
        <f>V_Model_CB!BB59</f>
        <v/>
      </c>
      <c r="BC556">
        <f>V_Model_CB!BC59</f>
        <v/>
      </c>
      <c r="BD556">
        <f>V_Model_CB!BD59</f>
        <v/>
      </c>
      <c r="BE556">
        <f>V_Model_CB!BE59</f>
        <v/>
      </c>
      <c r="BF556">
        <f>V_Model_CB!BF59</f>
        <v/>
      </c>
      <c r="BG556">
        <f>V_Model_CB!BG59</f>
        <v/>
      </c>
      <c r="BH556">
        <f>V_Model_CB!BH59</f>
        <v/>
      </c>
      <c r="BI556">
        <f>V_Model_CB!BI59</f>
        <v/>
      </c>
      <c r="BJ556">
        <f>O556</f>
        <v/>
      </c>
      <c r="BK556">
        <f>SUM(AG556:AW556)</f>
        <v/>
      </c>
      <c r="BL556" s="531">
        <f>BJ556-BK556</f>
        <v/>
      </c>
      <c r="BM556" s="201" t="n"/>
    </row>
    <row r="557" hidden="1" outlineLevel="1" s="191">
      <c r="A557">
        <f>V_Model_CB!A60</f>
        <v/>
      </c>
      <c r="B557">
        <f>V_Model_CB!B60</f>
        <v/>
      </c>
      <c r="C557">
        <f>V_Model_CB!C60</f>
        <v/>
      </c>
      <c r="D557">
        <f>V_Model_CB!D60</f>
        <v/>
      </c>
      <c r="E557">
        <f>V_Model_CB!E60</f>
        <v/>
      </c>
      <c r="F557">
        <f>V_Model_CB!F60</f>
        <v/>
      </c>
      <c r="G557">
        <f>V_Model_CB!G60</f>
        <v/>
      </c>
      <c r="H557">
        <f>V_Model_CB!H59</f>
        <v/>
      </c>
      <c r="I557">
        <f>V_Model_CB!I60</f>
        <v/>
      </c>
      <c r="J557">
        <f>V_Model_CB!J60</f>
        <v/>
      </c>
      <c r="K557" s="672">
        <f>V_Model_CB!K60</f>
        <v/>
      </c>
      <c r="L557" s="672">
        <f>V_Model_CB!L60</f>
        <v/>
      </c>
      <c r="M557">
        <f>V_Model_CB!M60</f>
        <v/>
      </c>
      <c r="N557">
        <f>V_Model_CB!N60</f>
        <v/>
      </c>
      <c r="O557">
        <f>V_Model_CB!O60</f>
        <v/>
      </c>
      <c r="P557" s="628">
        <f>V_Model_CB!P60</f>
        <v/>
      </c>
      <c r="Q557" s="628">
        <f>V_Model_CB!Q60</f>
        <v/>
      </c>
      <c r="R557" s="628">
        <f>V_Model_CB!R60</f>
        <v/>
      </c>
      <c r="S557" s="628">
        <f>V_Model_CB!S60</f>
        <v/>
      </c>
      <c r="T557" s="628">
        <f>V_Model_CB!T60</f>
        <v/>
      </c>
      <c r="U557" s="628">
        <f>V_Model_CB!U60</f>
        <v/>
      </c>
      <c r="V557" s="628">
        <f>V_Model_CB!V60</f>
        <v/>
      </c>
      <c r="W557" s="628">
        <f>V_Model_CB!W60</f>
        <v/>
      </c>
      <c r="X557" s="628">
        <f>V_Model_CB!X60</f>
        <v/>
      </c>
      <c r="Y557" s="650">
        <f>V_Model_CB!Y60</f>
        <v/>
      </c>
      <c r="Z557" s="650">
        <f>V_Model_CB!Z60</f>
        <v/>
      </c>
      <c r="AA557" s="650">
        <f>V_Model_CB!AA60</f>
        <v/>
      </c>
      <c r="AB557" s="650">
        <f>V_Model_CB!AB60</f>
        <v/>
      </c>
      <c r="AC557" s="613">
        <f>V_Model_CB!AC60</f>
        <v/>
      </c>
      <c r="AD557" s="613">
        <f>V_Model_CB!AD60</f>
        <v/>
      </c>
      <c r="AE557" s="613">
        <f>V_Model_CB!AE60</f>
        <v/>
      </c>
      <c r="AF557" s="613">
        <f>V_Model_CB!AF60</f>
        <v/>
      </c>
      <c r="AG557" s="626">
        <f>V_Model_CB!AG60</f>
        <v/>
      </c>
      <c r="AH557" s="626">
        <f>V_Model_CB!AH60</f>
        <v/>
      </c>
      <c r="AI557" s="626">
        <f>V_Model_CB!AI60</f>
        <v/>
      </c>
      <c r="AJ557" s="626">
        <f>V_Model_CB!AJ60</f>
        <v/>
      </c>
      <c r="AK557" s="626">
        <f>V_Model_CB!AK60</f>
        <v/>
      </c>
      <c r="AL557" s="626">
        <f>V_Model_CB!AL60</f>
        <v/>
      </c>
      <c r="AM557" s="626">
        <f>V_Model_CB!AM60</f>
        <v/>
      </c>
      <c r="AN557" s="626">
        <f>V_Model_CB!AN60</f>
        <v/>
      </c>
      <c r="AO557" s="626">
        <f>V_Model_CB!AO60</f>
        <v/>
      </c>
      <c r="AP557" s="369">
        <f>V_Model_CB!AP60</f>
        <v/>
      </c>
      <c r="AQ557" s="369">
        <f>V_Model_CB!AQ60</f>
        <v/>
      </c>
      <c r="AR557" s="369">
        <f>V_Model_CB!AR60</f>
        <v/>
      </c>
      <c r="AS557" s="369">
        <f>V_Model_CB!AS60</f>
        <v/>
      </c>
      <c r="AT557" s="370">
        <f>V_Model_CB!AT60</f>
        <v/>
      </c>
      <c r="AU557" s="370">
        <f>V_Model_CB!AU60</f>
        <v/>
      </c>
      <c r="AV557" s="370">
        <f>V_Model_CB!AV60</f>
        <v/>
      </c>
      <c r="AW557" s="370">
        <f>V_Model_CB!AW60</f>
        <v/>
      </c>
      <c r="AX557">
        <f>V_Model_CB!AX60</f>
        <v/>
      </c>
      <c r="AY557">
        <f>V_Model_CB!AY60</f>
        <v/>
      </c>
      <c r="AZ557">
        <f>V_Model_CB!AZ60</f>
        <v/>
      </c>
      <c r="BA557">
        <f>V_Model_CB!BA60</f>
        <v/>
      </c>
      <c r="BB557">
        <f>V_Model_CB!BB60</f>
        <v/>
      </c>
      <c r="BC557">
        <f>V_Model_CB!BC60</f>
        <v/>
      </c>
      <c r="BD557">
        <f>V_Model_CB!BD60</f>
        <v/>
      </c>
      <c r="BE557">
        <f>V_Model_CB!BE60</f>
        <v/>
      </c>
      <c r="BF557">
        <f>V_Model_CB!BF60</f>
        <v/>
      </c>
      <c r="BG557">
        <f>V_Model_CB!BG60</f>
        <v/>
      </c>
      <c r="BH557">
        <f>V_Model_CB!BH60</f>
        <v/>
      </c>
      <c r="BI557">
        <f>V_Model_CB!BI60</f>
        <v/>
      </c>
      <c r="BJ557">
        <f>O557</f>
        <v/>
      </c>
      <c r="BK557">
        <f>SUM(AG557:AW557)</f>
        <v/>
      </c>
      <c r="BL557" s="531">
        <f>BJ557-BK557</f>
        <v/>
      </c>
      <c r="BM557" s="201" t="n"/>
    </row>
    <row r="558" hidden="1" outlineLevel="1" s="191">
      <c r="A558">
        <f>V_Model_CB!A61</f>
        <v/>
      </c>
      <c r="B558">
        <f>V_Model_CB!B61</f>
        <v/>
      </c>
      <c r="C558">
        <f>V_Model_CB!C61</f>
        <v/>
      </c>
      <c r="D558">
        <f>V_Model_CB!D61</f>
        <v/>
      </c>
      <c r="E558">
        <f>V_Model_CB!E61</f>
        <v/>
      </c>
      <c r="F558">
        <f>V_Model_CB!F61</f>
        <v/>
      </c>
      <c r="G558">
        <f>V_Model_CB!G61</f>
        <v/>
      </c>
      <c r="H558">
        <f>V_Model_CB!H60</f>
        <v/>
      </c>
      <c r="I558">
        <f>V_Model_CB!I61</f>
        <v/>
      </c>
      <c r="J558">
        <f>V_Model_CB!J61</f>
        <v/>
      </c>
      <c r="K558" s="672">
        <f>V_Model_CB!K61</f>
        <v/>
      </c>
      <c r="L558" s="672">
        <f>V_Model_CB!L61</f>
        <v/>
      </c>
      <c r="M558">
        <f>V_Model_CB!M61</f>
        <v/>
      </c>
      <c r="N558">
        <f>V_Model_CB!N61</f>
        <v/>
      </c>
      <c r="O558">
        <f>V_Model_CB!O61</f>
        <v/>
      </c>
      <c r="P558" s="628">
        <f>V_Model_CB!P61</f>
        <v/>
      </c>
      <c r="Q558" s="628">
        <f>V_Model_CB!Q61</f>
        <v/>
      </c>
      <c r="R558" s="628">
        <f>V_Model_CB!R61</f>
        <v/>
      </c>
      <c r="S558" s="628">
        <f>V_Model_CB!S61</f>
        <v/>
      </c>
      <c r="T558" s="628">
        <f>V_Model_CB!T61</f>
        <v/>
      </c>
      <c r="U558" s="628">
        <f>V_Model_CB!U61</f>
        <v/>
      </c>
      <c r="V558" s="628">
        <f>V_Model_CB!V61</f>
        <v/>
      </c>
      <c r="W558" s="628">
        <f>V_Model_CB!W61</f>
        <v/>
      </c>
      <c r="X558" s="628">
        <f>V_Model_CB!X61</f>
        <v/>
      </c>
      <c r="Y558" s="650">
        <f>V_Model_CB!Y61</f>
        <v/>
      </c>
      <c r="Z558" s="650">
        <f>V_Model_CB!Z61</f>
        <v/>
      </c>
      <c r="AA558" s="650">
        <f>V_Model_CB!AA61</f>
        <v/>
      </c>
      <c r="AB558" s="650">
        <f>V_Model_CB!AB61</f>
        <v/>
      </c>
      <c r="AC558" s="613">
        <f>V_Model_CB!AC61</f>
        <v/>
      </c>
      <c r="AD558" s="613">
        <f>V_Model_CB!AD61</f>
        <v/>
      </c>
      <c r="AE558" s="613">
        <f>V_Model_CB!AE61</f>
        <v/>
      </c>
      <c r="AF558" s="613">
        <f>V_Model_CB!AF61</f>
        <v/>
      </c>
      <c r="AG558" s="626">
        <f>V_Model_CB!AG61</f>
        <v/>
      </c>
      <c r="AH558" s="626">
        <f>V_Model_CB!AH61</f>
        <v/>
      </c>
      <c r="AI558" s="626">
        <f>V_Model_CB!AI61</f>
        <v/>
      </c>
      <c r="AJ558" s="626">
        <f>V_Model_CB!AJ61</f>
        <v/>
      </c>
      <c r="AK558" s="626">
        <f>V_Model_CB!AK61</f>
        <v/>
      </c>
      <c r="AL558" s="626">
        <f>V_Model_CB!AL61</f>
        <v/>
      </c>
      <c r="AM558" s="626">
        <f>V_Model_CB!AM61</f>
        <v/>
      </c>
      <c r="AN558" s="626">
        <f>V_Model_CB!AN61</f>
        <v/>
      </c>
      <c r="AO558" s="626">
        <f>V_Model_CB!AO61</f>
        <v/>
      </c>
      <c r="AP558" s="369">
        <f>V_Model_CB!AP61</f>
        <v/>
      </c>
      <c r="AQ558" s="369">
        <f>V_Model_CB!AQ61</f>
        <v/>
      </c>
      <c r="AR558" s="369">
        <f>V_Model_CB!AR61</f>
        <v/>
      </c>
      <c r="AS558" s="369">
        <f>V_Model_CB!AS61</f>
        <v/>
      </c>
      <c r="AT558" s="370">
        <f>V_Model_CB!AT61</f>
        <v/>
      </c>
      <c r="AU558" s="370">
        <f>V_Model_CB!AU61</f>
        <v/>
      </c>
      <c r="AV558" s="370">
        <f>V_Model_CB!AV61</f>
        <v/>
      </c>
      <c r="AW558" s="370">
        <f>V_Model_CB!AW61</f>
        <v/>
      </c>
      <c r="AX558">
        <f>V_Model_CB!AX61</f>
        <v/>
      </c>
      <c r="AY558">
        <f>V_Model_CB!AY61</f>
        <v/>
      </c>
      <c r="AZ558">
        <f>V_Model_CB!AZ61</f>
        <v/>
      </c>
      <c r="BA558">
        <f>V_Model_CB!BA61</f>
        <v/>
      </c>
      <c r="BB558">
        <f>V_Model_CB!BB61</f>
        <v/>
      </c>
      <c r="BC558">
        <f>V_Model_CB!BC61</f>
        <v/>
      </c>
      <c r="BD558">
        <f>V_Model_CB!BD61</f>
        <v/>
      </c>
      <c r="BE558">
        <f>V_Model_CB!BE61</f>
        <v/>
      </c>
      <c r="BF558">
        <f>V_Model_CB!BF61</f>
        <v/>
      </c>
      <c r="BG558">
        <f>V_Model_CB!BG61</f>
        <v/>
      </c>
      <c r="BH558">
        <f>V_Model_CB!BH61</f>
        <v/>
      </c>
      <c r="BI558">
        <f>V_Model_CB!BI61</f>
        <v/>
      </c>
      <c r="BJ558">
        <f>O558</f>
        <v/>
      </c>
      <c r="BK558">
        <f>SUM(AG558:AW558)</f>
        <v/>
      </c>
      <c r="BL558" s="531">
        <f>BJ558-BK558</f>
        <v/>
      </c>
      <c r="BM558" s="201" t="n"/>
    </row>
    <row r="559" hidden="1" outlineLevel="1" s="191">
      <c r="A559">
        <f>V_Model_CB!A62</f>
        <v/>
      </c>
      <c r="B559">
        <f>V_Model_CB!B62</f>
        <v/>
      </c>
      <c r="C559">
        <f>V_Model_CB!C62</f>
        <v/>
      </c>
      <c r="D559">
        <f>V_Model_CB!D62</f>
        <v/>
      </c>
      <c r="E559">
        <f>V_Model_CB!E62</f>
        <v/>
      </c>
      <c r="F559">
        <f>V_Model_CB!F62</f>
        <v/>
      </c>
      <c r="G559">
        <f>V_Model_CB!G62</f>
        <v/>
      </c>
      <c r="H559">
        <f>V_Model_CB!H61</f>
        <v/>
      </c>
      <c r="I559">
        <f>V_Model_CB!I62</f>
        <v/>
      </c>
      <c r="J559">
        <f>V_Model_CB!J62</f>
        <v/>
      </c>
      <c r="K559" s="672">
        <f>V_Model_CB!K62</f>
        <v/>
      </c>
      <c r="L559" s="672">
        <f>V_Model_CB!L62</f>
        <v/>
      </c>
      <c r="M559">
        <f>V_Model_CB!M62</f>
        <v/>
      </c>
      <c r="N559">
        <f>V_Model_CB!N62</f>
        <v/>
      </c>
      <c r="O559">
        <f>V_Model_CB!O62</f>
        <v/>
      </c>
      <c r="P559" s="628">
        <f>V_Model_CB!P62</f>
        <v/>
      </c>
      <c r="Q559" s="628">
        <f>V_Model_CB!Q62</f>
        <v/>
      </c>
      <c r="R559" s="628">
        <f>V_Model_CB!R62</f>
        <v/>
      </c>
      <c r="S559" s="628">
        <f>V_Model_CB!S62</f>
        <v/>
      </c>
      <c r="T559" s="628">
        <f>V_Model_CB!T62</f>
        <v/>
      </c>
      <c r="U559" s="628">
        <f>V_Model_CB!U62</f>
        <v/>
      </c>
      <c r="V559" s="628">
        <f>V_Model_CB!V62</f>
        <v/>
      </c>
      <c r="W559" s="628">
        <f>V_Model_CB!W62</f>
        <v/>
      </c>
      <c r="X559" s="628">
        <f>V_Model_CB!X62</f>
        <v/>
      </c>
      <c r="Y559" s="650">
        <f>V_Model_CB!Y62</f>
        <v/>
      </c>
      <c r="Z559" s="650">
        <f>V_Model_CB!Z62</f>
        <v/>
      </c>
      <c r="AA559" s="650">
        <f>V_Model_CB!AA62</f>
        <v/>
      </c>
      <c r="AB559" s="650">
        <f>V_Model_CB!AB62</f>
        <v/>
      </c>
      <c r="AC559" s="613">
        <f>V_Model_CB!AC62</f>
        <v/>
      </c>
      <c r="AD559" s="613">
        <f>V_Model_CB!AD62</f>
        <v/>
      </c>
      <c r="AE559" s="613">
        <f>V_Model_CB!AE62</f>
        <v/>
      </c>
      <c r="AF559" s="613">
        <f>V_Model_CB!AF62</f>
        <v/>
      </c>
      <c r="AG559" s="626">
        <f>V_Model_CB!AG62</f>
        <v/>
      </c>
      <c r="AH559" s="626">
        <f>V_Model_CB!AH62</f>
        <v/>
      </c>
      <c r="AI559" s="626">
        <f>V_Model_CB!AI62</f>
        <v/>
      </c>
      <c r="AJ559" s="626">
        <f>V_Model_CB!AJ62</f>
        <v/>
      </c>
      <c r="AK559" s="626">
        <f>V_Model_CB!AK62</f>
        <v/>
      </c>
      <c r="AL559" s="626">
        <f>V_Model_CB!AL62</f>
        <v/>
      </c>
      <c r="AM559" s="626">
        <f>V_Model_CB!AM62</f>
        <v/>
      </c>
      <c r="AN559" s="626">
        <f>V_Model_CB!AN62</f>
        <v/>
      </c>
      <c r="AO559" s="626">
        <f>V_Model_CB!AO62</f>
        <v/>
      </c>
      <c r="AP559" s="369">
        <f>V_Model_CB!AP62</f>
        <v/>
      </c>
      <c r="AQ559" s="369">
        <f>V_Model_CB!AQ62</f>
        <v/>
      </c>
      <c r="AR559" s="369">
        <f>V_Model_CB!AR62</f>
        <v/>
      </c>
      <c r="AS559" s="369">
        <f>V_Model_CB!AS62</f>
        <v/>
      </c>
      <c r="AT559" s="370">
        <f>V_Model_CB!AT62</f>
        <v/>
      </c>
      <c r="AU559" s="370">
        <f>V_Model_CB!AU62</f>
        <v/>
      </c>
      <c r="AV559" s="370">
        <f>V_Model_CB!AV62</f>
        <v/>
      </c>
      <c r="AW559" s="370">
        <f>V_Model_CB!AW62</f>
        <v/>
      </c>
      <c r="AX559">
        <f>V_Model_CB!AX62</f>
        <v/>
      </c>
      <c r="AY559">
        <f>V_Model_CB!AY62</f>
        <v/>
      </c>
      <c r="AZ559">
        <f>V_Model_CB!AZ62</f>
        <v/>
      </c>
      <c r="BA559">
        <f>V_Model_CB!BA62</f>
        <v/>
      </c>
      <c r="BB559">
        <f>V_Model_CB!BB62</f>
        <v/>
      </c>
      <c r="BC559">
        <f>V_Model_CB!BC62</f>
        <v/>
      </c>
      <c r="BD559">
        <f>V_Model_CB!BD62</f>
        <v/>
      </c>
      <c r="BE559">
        <f>V_Model_CB!BE62</f>
        <v/>
      </c>
      <c r="BF559">
        <f>V_Model_CB!BF62</f>
        <v/>
      </c>
      <c r="BG559">
        <f>V_Model_CB!BG62</f>
        <v/>
      </c>
      <c r="BH559">
        <f>V_Model_CB!BH62</f>
        <v/>
      </c>
      <c r="BI559">
        <f>V_Model_CB!BI62</f>
        <v/>
      </c>
      <c r="BJ559">
        <f>O559</f>
        <v/>
      </c>
      <c r="BK559">
        <f>SUM(AG559:AW559)</f>
        <v/>
      </c>
      <c r="BL559" s="531">
        <f>BJ559-BK559</f>
        <v/>
      </c>
      <c r="BM559" s="201" t="n"/>
    </row>
    <row r="560" hidden="1" outlineLevel="1" s="191">
      <c r="A560">
        <f>V_Model_CB!A63</f>
        <v/>
      </c>
      <c r="B560">
        <f>V_Model_CB!B63</f>
        <v/>
      </c>
      <c r="C560">
        <f>V_Model_CB!C63</f>
        <v/>
      </c>
      <c r="D560">
        <f>V_Model_CB!D63</f>
        <v/>
      </c>
      <c r="E560">
        <f>V_Model_CB!E63</f>
        <v/>
      </c>
      <c r="F560">
        <f>V_Model_CB!F63</f>
        <v/>
      </c>
      <c r="G560">
        <f>V_Model_CB!G63</f>
        <v/>
      </c>
      <c r="H560">
        <f>V_Model_CB!H62</f>
        <v/>
      </c>
      <c r="I560">
        <f>V_Model_CB!I63</f>
        <v/>
      </c>
      <c r="J560">
        <f>V_Model_CB!J63</f>
        <v/>
      </c>
      <c r="K560" s="672">
        <f>V_Model_CB!K63</f>
        <v/>
      </c>
      <c r="L560" s="672">
        <f>V_Model_CB!L63</f>
        <v/>
      </c>
      <c r="M560">
        <f>V_Model_CB!M63</f>
        <v/>
      </c>
      <c r="N560">
        <f>V_Model_CB!N63</f>
        <v/>
      </c>
      <c r="O560">
        <f>V_Model_CB!O63</f>
        <v/>
      </c>
      <c r="P560" s="628">
        <f>V_Model_CB!P63</f>
        <v/>
      </c>
      <c r="Q560" s="628">
        <f>V_Model_CB!Q63</f>
        <v/>
      </c>
      <c r="R560" s="628">
        <f>V_Model_CB!R63</f>
        <v/>
      </c>
      <c r="S560" s="628">
        <f>V_Model_CB!S63</f>
        <v/>
      </c>
      <c r="T560" s="628">
        <f>V_Model_CB!T63</f>
        <v/>
      </c>
      <c r="U560" s="628">
        <f>V_Model_CB!U63</f>
        <v/>
      </c>
      <c r="V560" s="628">
        <f>V_Model_CB!V63</f>
        <v/>
      </c>
      <c r="W560" s="628">
        <f>V_Model_CB!W63</f>
        <v/>
      </c>
      <c r="X560" s="628">
        <f>V_Model_CB!X63</f>
        <v/>
      </c>
      <c r="Y560" s="650">
        <f>V_Model_CB!Y63</f>
        <v/>
      </c>
      <c r="Z560" s="650">
        <f>V_Model_CB!Z63</f>
        <v/>
      </c>
      <c r="AA560" s="650">
        <f>V_Model_CB!AA63</f>
        <v/>
      </c>
      <c r="AB560" s="650">
        <f>V_Model_CB!AB63</f>
        <v/>
      </c>
      <c r="AC560" s="613">
        <f>V_Model_CB!AC63</f>
        <v/>
      </c>
      <c r="AD560" s="613">
        <f>V_Model_CB!AD63</f>
        <v/>
      </c>
      <c r="AE560" s="613">
        <f>V_Model_CB!AE63</f>
        <v/>
      </c>
      <c r="AF560" s="613">
        <f>V_Model_CB!AF63</f>
        <v/>
      </c>
      <c r="AG560" s="626">
        <f>V_Model_CB!AG63</f>
        <v/>
      </c>
      <c r="AH560" s="626">
        <f>V_Model_CB!AH63</f>
        <v/>
      </c>
      <c r="AI560" s="626">
        <f>V_Model_CB!AI63</f>
        <v/>
      </c>
      <c r="AJ560" s="626">
        <f>V_Model_CB!AJ63</f>
        <v/>
      </c>
      <c r="AK560" s="626">
        <f>V_Model_CB!AK63</f>
        <v/>
      </c>
      <c r="AL560" s="626">
        <f>V_Model_CB!AL63</f>
        <v/>
      </c>
      <c r="AM560" s="626">
        <f>V_Model_CB!AM63</f>
        <v/>
      </c>
      <c r="AN560" s="626">
        <f>V_Model_CB!AN63</f>
        <v/>
      </c>
      <c r="AO560" s="626">
        <f>V_Model_CB!AO63</f>
        <v/>
      </c>
      <c r="AP560" s="369">
        <f>V_Model_CB!AP63</f>
        <v/>
      </c>
      <c r="AQ560" s="369">
        <f>V_Model_CB!AQ63</f>
        <v/>
      </c>
      <c r="AR560" s="369">
        <f>V_Model_CB!AR63</f>
        <v/>
      </c>
      <c r="AS560" s="369">
        <f>V_Model_CB!AS63</f>
        <v/>
      </c>
      <c r="AT560" s="370">
        <f>V_Model_CB!AT63</f>
        <v/>
      </c>
      <c r="AU560" s="370">
        <f>V_Model_CB!AU63</f>
        <v/>
      </c>
      <c r="AV560" s="370">
        <f>V_Model_CB!AV63</f>
        <v/>
      </c>
      <c r="AW560" s="370">
        <f>V_Model_CB!AW63</f>
        <v/>
      </c>
      <c r="AX560">
        <f>V_Model_CB!AX63</f>
        <v/>
      </c>
      <c r="AY560">
        <f>V_Model_CB!AY63</f>
        <v/>
      </c>
      <c r="AZ560">
        <f>V_Model_CB!AZ63</f>
        <v/>
      </c>
      <c r="BA560">
        <f>V_Model_CB!BA63</f>
        <v/>
      </c>
      <c r="BB560">
        <f>V_Model_CB!BB63</f>
        <v/>
      </c>
      <c r="BC560">
        <f>V_Model_CB!BC63</f>
        <v/>
      </c>
      <c r="BD560">
        <f>V_Model_CB!BD63</f>
        <v/>
      </c>
      <c r="BE560">
        <f>V_Model_CB!BE63</f>
        <v/>
      </c>
      <c r="BF560">
        <f>V_Model_CB!BF63</f>
        <v/>
      </c>
      <c r="BG560">
        <f>V_Model_CB!BG63</f>
        <v/>
      </c>
      <c r="BH560">
        <f>V_Model_CB!BH63</f>
        <v/>
      </c>
      <c r="BI560">
        <f>V_Model_CB!BI63</f>
        <v/>
      </c>
      <c r="BJ560">
        <f>O560</f>
        <v/>
      </c>
      <c r="BK560">
        <f>SUM(AG560:AW560)</f>
        <v/>
      </c>
      <c r="BL560" s="531">
        <f>BJ560-BK560</f>
        <v/>
      </c>
      <c r="BM560" s="201" t="n"/>
    </row>
    <row r="561" hidden="1" outlineLevel="1" s="191">
      <c r="A561">
        <f>V_Model_CB!A64</f>
        <v/>
      </c>
      <c r="B561">
        <f>V_Model_CB!B64</f>
        <v/>
      </c>
      <c r="C561">
        <f>V_Model_CB!C64</f>
        <v/>
      </c>
      <c r="D561">
        <f>V_Model_CB!D64</f>
        <v/>
      </c>
      <c r="E561">
        <f>V_Model_CB!E64</f>
        <v/>
      </c>
      <c r="F561">
        <f>V_Model_CB!F64</f>
        <v/>
      </c>
      <c r="G561">
        <f>V_Model_CB!G64</f>
        <v/>
      </c>
      <c r="H561">
        <f>V_Model_CB!H63</f>
        <v/>
      </c>
      <c r="I561">
        <f>V_Model_CB!I64</f>
        <v/>
      </c>
      <c r="J561">
        <f>V_Model_CB!J64</f>
        <v/>
      </c>
      <c r="K561" s="672">
        <f>V_Model_CB!K64</f>
        <v/>
      </c>
      <c r="L561" s="672">
        <f>V_Model_CB!L64</f>
        <v/>
      </c>
      <c r="M561">
        <f>V_Model_CB!M64</f>
        <v/>
      </c>
      <c r="N561">
        <f>V_Model_CB!N64</f>
        <v/>
      </c>
      <c r="O561">
        <f>V_Model_CB!O64</f>
        <v/>
      </c>
      <c r="P561" s="628">
        <f>V_Model_CB!P64</f>
        <v/>
      </c>
      <c r="Q561" s="628">
        <f>V_Model_CB!Q64</f>
        <v/>
      </c>
      <c r="R561" s="628">
        <f>V_Model_CB!R64</f>
        <v/>
      </c>
      <c r="S561" s="628">
        <f>V_Model_CB!S64</f>
        <v/>
      </c>
      <c r="T561" s="628">
        <f>V_Model_CB!T64</f>
        <v/>
      </c>
      <c r="U561" s="628">
        <f>V_Model_CB!U64</f>
        <v/>
      </c>
      <c r="V561" s="628">
        <f>V_Model_CB!V64</f>
        <v/>
      </c>
      <c r="W561" s="628">
        <f>V_Model_CB!W64</f>
        <v/>
      </c>
      <c r="X561" s="628">
        <f>V_Model_CB!X64</f>
        <v/>
      </c>
      <c r="Y561" s="650">
        <f>V_Model_CB!Y64</f>
        <v/>
      </c>
      <c r="Z561" s="650">
        <f>V_Model_CB!Z64</f>
        <v/>
      </c>
      <c r="AA561" s="650">
        <f>V_Model_CB!AA64</f>
        <v/>
      </c>
      <c r="AB561" s="650">
        <f>V_Model_CB!AB64</f>
        <v/>
      </c>
      <c r="AC561" s="613">
        <f>V_Model_CB!AC64</f>
        <v/>
      </c>
      <c r="AD561" s="613">
        <f>V_Model_CB!AD64</f>
        <v/>
      </c>
      <c r="AE561" s="613">
        <f>V_Model_CB!AE64</f>
        <v/>
      </c>
      <c r="AF561" s="613">
        <f>V_Model_CB!AF64</f>
        <v/>
      </c>
      <c r="AG561" s="626">
        <f>V_Model_CB!AG64</f>
        <v/>
      </c>
      <c r="AH561" s="626">
        <f>V_Model_CB!AH64</f>
        <v/>
      </c>
      <c r="AI561" s="626">
        <f>V_Model_CB!AI64</f>
        <v/>
      </c>
      <c r="AJ561" s="626">
        <f>V_Model_CB!AJ64</f>
        <v/>
      </c>
      <c r="AK561" s="626">
        <f>V_Model_CB!AK64</f>
        <v/>
      </c>
      <c r="AL561" s="626">
        <f>V_Model_CB!AL64</f>
        <v/>
      </c>
      <c r="AM561" s="626">
        <f>V_Model_CB!AM64</f>
        <v/>
      </c>
      <c r="AN561" s="626">
        <f>V_Model_CB!AN64</f>
        <v/>
      </c>
      <c r="AO561" s="626">
        <f>V_Model_CB!AO64</f>
        <v/>
      </c>
      <c r="AP561" s="369">
        <f>V_Model_CB!AP64</f>
        <v/>
      </c>
      <c r="AQ561" s="369">
        <f>V_Model_CB!AQ64</f>
        <v/>
      </c>
      <c r="AR561" s="369">
        <f>V_Model_CB!AR64</f>
        <v/>
      </c>
      <c r="AS561" s="369">
        <f>V_Model_CB!AS64</f>
        <v/>
      </c>
      <c r="AT561" s="370">
        <f>V_Model_CB!AT64</f>
        <v/>
      </c>
      <c r="AU561" s="370">
        <f>V_Model_CB!AU64</f>
        <v/>
      </c>
      <c r="AV561" s="370">
        <f>V_Model_CB!AV64</f>
        <v/>
      </c>
      <c r="AW561" s="370">
        <f>V_Model_CB!AW64</f>
        <v/>
      </c>
      <c r="AX561">
        <f>V_Model_CB!AX64</f>
        <v/>
      </c>
      <c r="AY561">
        <f>V_Model_CB!AY64</f>
        <v/>
      </c>
      <c r="AZ561">
        <f>V_Model_CB!AZ64</f>
        <v/>
      </c>
      <c r="BA561">
        <f>V_Model_CB!BA64</f>
        <v/>
      </c>
      <c r="BB561">
        <f>V_Model_CB!BB64</f>
        <v/>
      </c>
      <c r="BC561">
        <f>V_Model_CB!BC64</f>
        <v/>
      </c>
      <c r="BD561">
        <f>V_Model_CB!BD64</f>
        <v/>
      </c>
      <c r="BE561">
        <f>V_Model_CB!BE64</f>
        <v/>
      </c>
      <c r="BF561">
        <f>V_Model_CB!BF64</f>
        <v/>
      </c>
      <c r="BG561">
        <f>V_Model_CB!BG64</f>
        <v/>
      </c>
      <c r="BH561">
        <f>V_Model_CB!BH64</f>
        <v/>
      </c>
      <c r="BI561">
        <f>V_Model_CB!BI64</f>
        <v/>
      </c>
      <c r="BJ561">
        <f>O561</f>
        <v/>
      </c>
      <c r="BK561">
        <f>SUM(AG561:AW561)</f>
        <v/>
      </c>
      <c r="BL561" s="531">
        <f>BJ561-BK561</f>
        <v/>
      </c>
      <c r="BM561" s="201" t="n"/>
    </row>
    <row r="562" hidden="1" outlineLevel="1" s="191">
      <c r="A562">
        <f>V_Model_CB!A65</f>
        <v/>
      </c>
      <c r="B562">
        <f>V_Model_CB!B65</f>
        <v/>
      </c>
      <c r="C562">
        <f>V_Model_CB!C65</f>
        <v/>
      </c>
      <c r="D562">
        <f>V_Model_CB!D65</f>
        <v/>
      </c>
      <c r="E562">
        <f>V_Model_CB!E65</f>
        <v/>
      </c>
      <c r="F562">
        <f>V_Model_CB!F65</f>
        <v/>
      </c>
      <c r="G562">
        <f>V_Model_CB!G65</f>
        <v/>
      </c>
      <c r="H562">
        <f>V_Model_CB!H64</f>
        <v/>
      </c>
      <c r="I562">
        <f>V_Model_CB!I65</f>
        <v/>
      </c>
      <c r="J562">
        <f>V_Model_CB!J65</f>
        <v/>
      </c>
      <c r="K562" s="672">
        <f>V_Model_CB!K65</f>
        <v/>
      </c>
      <c r="L562" s="672">
        <f>V_Model_CB!L65</f>
        <v/>
      </c>
      <c r="M562">
        <f>V_Model_CB!M65</f>
        <v/>
      </c>
      <c r="N562">
        <f>V_Model_CB!N65</f>
        <v/>
      </c>
      <c r="O562">
        <f>V_Model_CB!O65</f>
        <v/>
      </c>
      <c r="P562" s="628">
        <f>V_Model_CB!P65</f>
        <v/>
      </c>
      <c r="Q562" s="628">
        <f>V_Model_CB!Q65</f>
        <v/>
      </c>
      <c r="R562" s="628">
        <f>V_Model_CB!R65</f>
        <v/>
      </c>
      <c r="S562" s="628">
        <f>V_Model_CB!S65</f>
        <v/>
      </c>
      <c r="T562" s="628">
        <f>V_Model_CB!T65</f>
        <v/>
      </c>
      <c r="U562" s="628">
        <f>V_Model_CB!U65</f>
        <v/>
      </c>
      <c r="V562" s="628">
        <f>V_Model_CB!V65</f>
        <v/>
      </c>
      <c r="W562" s="628">
        <f>V_Model_CB!W65</f>
        <v/>
      </c>
      <c r="X562" s="628">
        <f>V_Model_CB!X65</f>
        <v/>
      </c>
      <c r="Y562" s="650">
        <f>V_Model_CB!Y65</f>
        <v/>
      </c>
      <c r="Z562" s="650">
        <f>V_Model_CB!Z65</f>
        <v/>
      </c>
      <c r="AA562" s="650">
        <f>V_Model_CB!AA65</f>
        <v/>
      </c>
      <c r="AB562" s="650">
        <f>V_Model_CB!AB65</f>
        <v/>
      </c>
      <c r="AC562" s="613">
        <f>V_Model_CB!AC65</f>
        <v/>
      </c>
      <c r="AD562" s="613">
        <f>V_Model_CB!AD65</f>
        <v/>
      </c>
      <c r="AE562" s="613">
        <f>V_Model_CB!AE65</f>
        <v/>
      </c>
      <c r="AF562" s="613">
        <f>V_Model_CB!AF65</f>
        <v/>
      </c>
      <c r="AG562" s="626">
        <f>V_Model_CB!AG65</f>
        <v/>
      </c>
      <c r="AH562" s="626">
        <f>V_Model_CB!AH65</f>
        <v/>
      </c>
      <c r="AI562" s="626">
        <f>V_Model_CB!AI65</f>
        <v/>
      </c>
      <c r="AJ562" s="626">
        <f>V_Model_CB!AJ65</f>
        <v/>
      </c>
      <c r="AK562" s="626">
        <f>V_Model_CB!AK65</f>
        <v/>
      </c>
      <c r="AL562" s="626">
        <f>V_Model_CB!AL65</f>
        <v/>
      </c>
      <c r="AM562" s="626">
        <f>V_Model_CB!AM65</f>
        <v/>
      </c>
      <c r="AN562" s="626">
        <f>V_Model_CB!AN65</f>
        <v/>
      </c>
      <c r="AO562" s="626">
        <f>V_Model_CB!AO65</f>
        <v/>
      </c>
      <c r="AP562" s="369">
        <f>V_Model_CB!AP65</f>
        <v/>
      </c>
      <c r="AQ562" s="369">
        <f>V_Model_CB!AQ65</f>
        <v/>
      </c>
      <c r="AR562" s="369">
        <f>V_Model_CB!AR65</f>
        <v/>
      </c>
      <c r="AS562" s="369">
        <f>V_Model_CB!AS65</f>
        <v/>
      </c>
      <c r="AT562" s="370">
        <f>V_Model_CB!AT65</f>
        <v/>
      </c>
      <c r="AU562" s="370">
        <f>V_Model_CB!AU65</f>
        <v/>
      </c>
      <c r="AV562" s="370">
        <f>V_Model_CB!AV65</f>
        <v/>
      </c>
      <c r="AW562" s="370">
        <f>V_Model_CB!AW65</f>
        <v/>
      </c>
      <c r="AX562">
        <f>V_Model_CB!AX65</f>
        <v/>
      </c>
      <c r="AY562">
        <f>V_Model_CB!AY65</f>
        <v/>
      </c>
      <c r="AZ562">
        <f>V_Model_CB!AZ65</f>
        <v/>
      </c>
      <c r="BA562">
        <f>V_Model_CB!BA65</f>
        <v/>
      </c>
      <c r="BB562">
        <f>V_Model_CB!BB65</f>
        <v/>
      </c>
      <c r="BC562">
        <f>V_Model_CB!BC65</f>
        <v/>
      </c>
      <c r="BD562">
        <f>V_Model_CB!BD65</f>
        <v/>
      </c>
      <c r="BE562">
        <f>V_Model_CB!BE65</f>
        <v/>
      </c>
      <c r="BF562">
        <f>V_Model_CB!BF65</f>
        <v/>
      </c>
      <c r="BG562">
        <f>V_Model_CB!BG65</f>
        <v/>
      </c>
      <c r="BH562">
        <f>V_Model_CB!BH65</f>
        <v/>
      </c>
      <c r="BI562">
        <f>V_Model_CB!BI65</f>
        <v/>
      </c>
      <c r="BJ562">
        <f>O562</f>
        <v/>
      </c>
      <c r="BK562">
        <f>SUM(AG562:AW562)</f>
        <v/>
      </c>
      <c r="BL562" s="531">
        <f>BJ562-BK562</f>
        <v/>
      </c>
      <c r="BM562" s="201" t="n"/>
    </row>
    <row r="563" hidden="1" outlineLevel="1" s="191">
      <c r="A563">
        <f>V_Model_CB!A66</f>
        <v/>
      </c>
      <c r="B563">
        <f>V_Model_CB!B66</f>
        <v/>
      </c>
      <c r="C563">
        <f>V_Model_CB!C66</f>
        <v/>
      </c>
      <c r="D563">
        <f>V_Model_CB!D66</f>
        <v/>
      </c>
      <c r="E563">
        <f>V_Model_CB!E66</f>
        <v/>
      </c>
      <c r="F563">
        <f>V_Model_CB!F66</f>
        <v/>
      </c>
      <c r="G563">
        <f>V_Model_CB!G66</f>
        <v/>
      </c>
      <c r="H563">
        <f>V_Model_CB!H65</f>
        <v/>
      </c>
      <c r="I563">
        <f>V_Model_CB!I66</f>
        <v/>
      </c>
      <c r="J563">
        <f>V_Model_CB!J66</f>
        <v/>
      </c>
      <c r="K563" s="672">
        <f>V_Model_CB!K66</f>
        <v/>
      </c>
      <c r="L563" s="672">
        <f>V_Model_CB!L66</f>
        <v/>
      </c>
      <c r="M563">
        <f>V_Model_CB!M66</f>
        <v/>
      </c>
      <c r="N563">
        <f>V_Model_CB!N66</f>
        <v/>
      </c>
      <c r="O563">
        <f>V_Model_CB!O66</f>
        <v/>
      </c>
      <c r="P563" s="628">
        <f>V_Model_CB!P66</f>
        <v/>
      </c>
      <c r="Q563" s="628">
        <f>V_Model_CB!Q66</f>
        <v/>
      </c>
      <c r="R563" s="628">
        <f>V_Model_CB!R66</f>
        <v/>
      </c>
      <c r="S563" s="628">
        <f>V_Model_CB!S66</f>
        <v/>
      </c>
      <c r="T563" s="628">
        <f>V_Model_CB!T66</f>
        <v/>
      </c>
      <c r="U563" s="628">
        <f>V_Model_CB!U66</f>
        <v/>
      </c>
      <c r="V563" s="628">
        <f>V_Model_CB!V66</f>
        <v/>
      </c>
      <c r="W563" s="628">
        <f>V_Model_CB!W66</f>
        <v/>
      </c>
      <c r="X563" s="628">
        <f>V_Model_CB!X66</f>
        <v/>
      </c>
      <c r="Y563" s="650">
        <f>V_Model_CB!Y66</f>
        <v/>
      </c>
      <c r="Z563" s="650">
        <f>V_Model_CB!Z66</f>
        <v/>
      </c>
      <c r="AA563" s="650">
        <f>V_Model_CB!AA66</f>
        <v/>
      </c>
      <c r="AB563" s="650">
        <f>V_Model_CB!AB66</f>
        <v/>
      </c>
      <c r="AC563" s="613">
        <f>V_Model_CB!AC66</f>
        <v/>
      </c>
      <c r="AD563" s="613">
        <f>V_Model_CB!AD66</f>
        <v/>
      </c>
      <c r="AE563" s="613">
        <f>V_Model_CB!AE66</f>
        <v/>
      </c>
      <c r="AF563" s="613">
        <f>V_Model_CB!AF66</f>
        <v/>
      </c>
      <c r="AG563" s="626">
        <f>V_Model_CB!AG66</f>
        <v/>
      </c>
      <c r="AH563" s="626">
        <f>V_Model_CB!AH66</f>
        <v/>
      </c>
      <c r="AI563" s="626">
        <f>V_Model_CB!AI66</f>
        <v/>
      </c>
      <c r="AJ563" s="626">
        <f>V_Model_CB!AJ66</f>
        <v/>
      </c>
      <c r="AK563" s="626">
        <f>V_Model_CB!AK66</f>
        <v/>
      </c>
      <c r="AL563" s="626">
        <f>V_Model_CB!AL66</f>
        <v/>
      </c>
      <c r="AM563" s="626">
        <f>V_Model_CB!AM66</f>
        <v/>
      </c>
      <c r="AN563" s="626">
        <f>V_Model_CB!AN66</f>
        <v/>
      </c>
      <c r="AO563" s="626">
        <f>V_Model_CB!AO66</f>
        <v/>
      </c>
      <c r="AP563" s="369">
        <f>V_Model_CB!AP66</f>
        <v/>
      </c>
      <c r="AQ563" s="369">
        <f>V_Model_CB!AQ66</f>
        <v/>
      </c>
      <c r="AR563" s="369">
        <f>V_Model_CB!AR66</f>
        <v/>
      </c>
      <c r="AS563" s="369">
        <f>V_Model_CB!AS66</f>
        <v/>
      </c>
      <c r="AT563" s="370">
        <f>V_Model_CB!AT66</f>
        <v/>
      </c>
      <c r="AU563" s="370">
        <f>V_Model_CB!AU66</f>
        <v/>
      </c>
      <c r="AV563" s="370">
        <f>V_Model_CB!AV66</f>
        <v/>
      </c>
      <c r="AW563" s="370">
        <f>V_Model_CB!AW66</f>
        <v/>
      </c>
      <c r="AX563">
        <f>V_Model_CB!AX66</f>
        <v/>
      </c>
      <c r="AY563">
        <f>V_Model_CB!AY66</f>
        <v/>
      </c>
      <c r="AZ563">
        <f>V_Model_CB!AZ66</f>
        <v/>
      </c>
      <c r="BA563">
        <f>V_Model_CB!BA66</f>
        <v/>
      </c>
      <c r="BB563">
        <f>V_Model_CB!BB66</f>
        <v/>
      </c>
      <c r="BC563">
        <f>V_Model_CB!BC66</f>
        <v/>
      </c>
      <c r="BD563">
        <f>V_Model_CB!BD66</f>
        <v/>
      </c>
      <c r="BE563">
        <f>V_Model_CB!BE66</f>
        <v/>
      </c>
      <c r="BF563">
        <f>V_Model_CB!BF66</f>
        <v/>
      </c>
      <c r="BG563">
        <f>V_Model_CB!BG66</f>
        <v/>
      </c>
      <c r="BH563">
        <f>V_Model_CB!BH66</f>
        <v/>
      </c>
      <c r="BI563">
        <f>V_Model_CB!BI66</f>
        <v/>
      </c>
      <c r="BJ563">
        <f>O563</f>
        <v/>
      </c>
      <c r="BK563">
        <f>SUM(AG563:AW563)</f>
        <v/>
      </c>
      <c r="BL563" s="531">
        <f>BJ563-BK563</f>
        <v/>
      </c>
      <c r="BM563" s="201" t="n"/>
    </row>
    <row r="564" hidden="1" outlineLevel="1" s="191">
      <c r="A564">
        <f>V_Model_CB!A67</f>
        <v/>
      </c>
      <c r="B564">
        <f>V_Model_CB!B67</f>
        <v/>
      </c>
      <c r="C564">
        <f>V_Model_CB!C67</f>
        <v/>
      </c>
      <c r="D564">
        <f>V_Model_CB!D67</f>
        <v/>
      </c>
      <c r="E564">
        <f>V_Model_CB!E67</f>
        <v/>
      </c>
      <c r="F564">
        <f>V_Model_CB!F67</f>
        <v/>
      </c>
      <c r="G564">
        <f>V_Model_CB!G67</f>
        <v/>
      </c>
      <c r="H564">
        <f>V_Model_CB!H66</f>
        <v/>
      </c>
      <c r="I564">
        <f>V_Model_CB!I67</f>
        <v/>
      </c>
      <c r="J564">
        <f>V_Model_CB!J67</f>
        <v/>
      </c>
      <c r="K564" s="672">
        <f>V_Model_CB!K67</f>
        <v/>
      </c>
      <c r="L564" s="672">
        <f>V_Model_CB!L67</f>
        <v/>
      </c>
      <c r="M564">
        <f>V_Model_CB!M67</f>
        <v/>
      </c>
      <c r="N564">
        <f>V_Model_CB!N67</f>
        <v/>
      </c>
      <c r="O564">
        <f>V_Model_CB!O67</f>
        <v/>
      </c>
      <c r="P564" s="628">
        <f>V_Model_CB!P67</f>
        <v/>
      </c>
      <c r="Q564" s="628">
        <f>V_Model_CB!Q67</f>
        <v/>
      </c>
      <c r="R564" s="628">
        <f>V_Model_CB!R67</f>
        <v/>
      </c>
      <c r="S564" s="628">
        <f>V_Model_CB!S67</f>
        <v/>
      </c>
      <c r="T564" s="628">
        <f>V_Model_CB!T67</f>
        <v/>
      </c>
      <c r="U564" s="628">
        <f>V_Model_CB!U67</f>
        <v/>
      </c>
      <c r="V564" s="628">
        <f>V_Model_CB!V67</f>
        <v/>
      </c>
      <c r="W564" s="628">
        <f>V_Model_CB!W67</f>
        <v/>
      </c>
      <c r="X564" s="628">
        <f>V_Model_CB!X67</f>
        <v/>
      </c>
      <c r="Y564" s="650">
        <f>V_Model_CB!Y67</f>
        <v/>
      </c>
      <c r="Z564" s="650">
        <f>V_Model_CB!Z67</f>
        <v/>
      </c>
      <c r="AA564" s="650">
        <f>V_Model_CB!AA67</f>
        <v/>
      </c>
      <c r="AB564" s="650">
        <f>V_Model_CB!AB67</f>
        <v/>
      </c>
      <c r="AC564" s="613">
        <f>V_Model_CB!AC67</f>
        <v/>
      </c>
      <c r="AD564" s="613">
        <f>V_Model_CB!AD67</f>
        <v/>
      </c>
      <c r="AE564" s="613">
        <f>V_Model_CB!AE67</f>
        <v/>
      </c>
      <c r="AF564" s="613">
        <f>V_Model_CB!AF67</f>
        <v/>
      </c>
      <c r="AG564" s="626">
        <f>V_Model_CB!AG67</f>
        <v/>
      </c>
      <c r="AH564" s="626">
        <f>V_Model_CB!AH67</f>
        <v/>
      </c>
      <c r="AI564" s="626">
        <f>V_Model_CB!AI67</f>
        <v/>
      </c>
      <c r="AJ564" s="626">
        <f>V_Model_CB!AJ67</f>
        <v/>
      </c>
      <c r="AK564" s="626">
        <f>V_Model_CB!AK67</f>
        <v/>
      </c>
      <c r="AL564" s="626">
        <f>V_Model_CB!AL67</f>
        <v/>
      </c>
      <c r="AM564" s="626">
        <f>V_Model_CB!AM67</f>
        <v/>
      </c>
      <c r="AN564" s="626">
        <f>V_Model_CB!AN67</f>
        <v/>
      </c>
      <c r="AO564" s="626">
        <f>V_Model_CB!AO67</f>
        <v/>
      </c>
      <c r="AP564" s="369">
        <f>V_Model_CB!AP67</f>
        <v/>
      </c>
      <c r="AQ564" s="369">
        <f>V_Model_CB!AQ67</f>
        <v/>
      </c>
      <c r="AR564" s="369">
        <f>V_Model_CB!AR67</f>
        <v/>
      </c>
      <c r="AS564" s="369">
        <f>V_Model_CB!AS67</f>
        <v/>
      </c>
      <c r="AT564" s="370">
        <f>V_Model_CB!AT67</f>
        <v/>
      </c>
      <c r="AU564" s="370">
        <f>V_Model_CB!AU67</f>
        <v/>
      </c>
      <c r="AV564" s="370">
        <f>V_Model_CB!AV67</f>
        <v/>
      </c>
      <c r="AW564" s="370">
        <f>V_Model_CB!AW67</f>
        <v/>
      </c>
      <c r="AX564">
        <f>V_Model_CB!AX67</f>
        <v/>
      </c>
      <c r="AY564">
        <f>V_Model_CB!AY67</f>
        <v/>
      </c>
      <c r="AZ564">
        <f>V_Model_CB!AZ67</f>
        <v/>
      </c>
      <c r="BA564">
        <f>V_Model_CB!BA67</f>
        <v/>
      </c>
      <c r="BB564">
        <f>V_Model_CB!BB67</f>
        <v/>
      </c>
      <c r="BC564">
        <f>V_Model_CB!BC67</f>
        <v/>
      </c>
      <c r="BD564">
        <f>V_Model_CB!BD67</f>
        <v/>
      </c>
      <c r="BE564">
        <f>V_Model_CB!BE67</f>
        <v/>
      </c>
      <c r="BF564">
        <f>V_Model_CB!BF67</f>
        <v/>
      </c>
      <c r="BG564">
        <f>V_Model_CB!BG67</f>
        <v/>
      </c>
      <c r="BH564">
        <f>V_Model_CB!BH67</f>
        <v/>
      </c>
      <c r="BI564">
        <f>V_Model_CB!BI67</f>
        <v/>
      </c>
      <c r="BJ564">
        <f>O564</f>
        <v/>
      </c>
      <c r="BK564">
        <f>SUM(AG564:AW564)</f>
        <v/>
      </c>
      <c r="BL564" s="531">
        <f>BJ564-BK564</f>
        <v/>
      </c>
      <c r="BM564" s="201" t="n"/>
    </row>
    <row r="565" hidden="1" outlineLevel="1" s="191">
      <c r="A565">
        <f>V_Model_CB!A68</f>
        <v/>
      </c>
      <c r="B565">
        <f>V_Model_CB!B68</f>
        <v/>
      </c>
      <c r="C565">
        <f>V_Model_CB!C68</f>
        <v/>
      </c>
      <c r="D565">
        <f>V_Model_CB!D68</f>
        <v/>
      </c>
      <c r="E565">
        <f>V_Model_CB!E68</f>
        <v/>
      </c>
      <c r="F565">
        <f>V_Model_CB!F68</f>
        <v/>
      </c>
      <c r="G565">
        <f>V_Model_CB!G68</f>
        <v/>
      </c>
      <c r="H565">
        <f>V_Model_CB!H67</f>
        <v/>
      </c>
      <c r="I565">
        <f>V_Model_CB!I68</f>
        <v/>
      </c>
      <c r="J565">
        <f>V_Model_CB!J68</f>
        <v/>
      </c>
      <c r="K565" s="672">
        <f>V_Model_CB!K68</f>
        <v/>
      </c>
      <c r="L565" s="672">
        <f>V_Model_CB!L68</f>
        <v/>
      </c>
      <c r="M565">
        <f>V_Model_CB!M68</f>
        <v/>
      </c>
      <c r="N565">
        <f>V_Model_CB!N68</f>
        <v/>
      </c>
      <c r="O565">
        <f>V_Model_CB!O68</f>
        <v/>
      </c>
      <c r="P565" s="628">
        <f>V_Model_CB!P68</f>
        <v/>
      </c>
      <c r="Q565" s="628">
        <f>V_Model_CB!Q68</f>
        <v/>
      </c>
      <c r="R565" s="628">
        <f>V_Model_CB!R68</f>
        <v/>
      </c>
      <c r="S565" s="628">
        <f>V_Model_CB!S68</f>
        <v/>
      </c>
      <c r="T565" s="628">
        <f>V_Model_CB!T68</f>
        <v/>
      </c>
      <c r="U565" s="628">
        <f>V_Model_CB!U68</f>
        <v/>
      </c>
      <c r="V565" s="628">
        <f>V_Model_CB!V68</f>
        <v/>
      </c>
      <c r="W565" s="628">
        <f>V_Model_CB!W68</f>
        <v/>
      </c>
      <c r="X565" s="628">
        <f>V_Model_CB!X68</f>
        <v/>
      </c>
      <c r="Y565" s="650">
        <f>V_Model_CB!Y68</f>
        <v/>
      </c>
      <c r="Z565" s="650">
        <f>V_Model_CB!Z68</f>
        <v/>
      </c>
      <c r="AA565" s="650">
        <f>V_Model_CB!AA68</f>
        <v/>
      </c>
      <c r="AB565" s="650">
        <f>V_Model_CB!AB68</f>
        <v/>
      </c>
      <c r="AC565" s="613">
        <f>V_Model_CB!AC68</f>
        <v/>
      </c>
      <c r="AD565" s="613">
        <f>V_Model_CB!AD68</f>
        <v/>
      </c>
      <c r="AE565" s="613">
        <f>V_Model_CB!AE68</f>
        <v/>
      </c>
      <c r="AF565" s="613">
        <f>V_Model_CB!AF68</f>
        <v/>
      </c>
      <c r="AG565" s="626">
        <f>V_Model_CB!AG68</f>
        <v/>
      </c>
      <c r="AH565" s="626">
        <f>V_Model_CB!AH68</f>
        <v/>
      </c>
      <c r="AI565" s="626">
        <f>V_Model_CB!AI68</f>
        <v/>
      </c>
      <c r="AJ565" s="626">
        <f>V_Model_CB!AJ68</f>
        <v/>
      </c>
      <c r="AK565" s="626">
        <f>V_Model_CB!AK68</f>
        <v/>
      </c>
      <c r="AL565" s="626">
        <f>V_Model_CB!AL68</f>
        <v/>
      </c>
      <c r="AM565" s="626">
        <f>V_Model_CB!AM68</f>
        <v/>
      </c>
      <c r="AN565" s="626">
        <f>V_Model_CB!AN68</f>
        <v/>
      </c>
      <c r="AO565" s="626">
        <f>V_Model_CB!AO68</f>
        <v/>
      </c>
      <c r="AP565" s="369">
        <f>V_Model_CB!AP68</f>
        <v/>
      </c>
      <c r="AQ565" s="369">
        <f>V_Model_CB!AQ68</f>
        <v/>
      </c>
      <c r="AR565" s="369">
        <f>V_Model_CB!AR68</f>
        <v/>
      </c>
      <c r="AS565" s="369">
        <f>V_Model_CB!AS68</f>
        <v/>
      </c>
      <c r="AT565" s="370">
        <f>V_Model_CB!AT68</f>
        <v/>
      </c>
      <c r="AU565" s="370">
        <f>V_Model_CB!AU68</f>
        <v/>
      </c>
      <c r="AV565" s="370">
        <f>V_Model_CB!AV68</f>
        <v/>
      </c>
      <c r="AW565" s="370">
        <f>V_Model_CB!AW68</f>
        <v/>
      </c>
      <c r="AX565">
        <f>V_Model_CB!AX68</f>
        <v/>
      </c>
      <c r="AY565">
        <f>V_Model_CB!AY68</f>
        <v/>
      </c>
      <c r="AZ565">
        <f>V_Model_CB!AZ68</f>
        <v/>
      </c>
      <c r="BA565">
        <f>V_Model_CB!BA68</f>
        <v/>
      </c>
      <c r="BB565">
        <f>V_Model_CB!BB68</f>
        <v/>
      </c>
      <c r="BC565">
        <f>V_Model_CB!BC68</f>
        <v/>
      </c>
      <c r="BD565">
        <f>V_Model_CB!BD68</f>
        <v/>
      </c>
      <c r="BE565">
        <f>V_Model_CB!BE68</f>
        <v/>
      </c>
      <c r="BF565">
        <f>V_Model_CB!BF68</f>
        <v/>
      </c>
      <c r="BG565">
        <f>V_Model_CB!BG68</f>
        <v/>
      </c>
      <c r="BH565">
        <f>V_Model_CB!BH68</f>
        <v/>
      </c>
      <c r="BI565">
        <f>V_Model_CB!BI68</f>
        <v/>
      </c>
      <c r="BJ565">
        <f>O565</f>
        <v/>
      </c>
      <c r="BK565">
        <f>SUM(AG565:AW565)</f>
        <v/>
      </c>
      <c r="BL565" s="531">
        <f>BJ565-BK565</f>
        <v/>
      </c>
      <c r="BM565" s="201" t="n"/>
    </row>
    <row r="566" hidden="1" outlineLevel="1" s="191">
      <c r="A566">
        <f>V_Model_CB!A69</f>
        <v/>
      </c>
      <c r="B566">
        <f>V_Model_CB!B69</f>
        <v/>
      </c>
      <c r="C566">
        <f>V_Model_CB!C69</f>
        <v/>
      </c>
      <c r="D566">
        <f>V_Model_CB!D69</f>
        <v/>
      </c>
      <c r="E566">
        <f>V_Model_CB!E69</f>
        <v/>
      </c>
      <c r="F566">
        <f>V_Model_CB!F69</f>
        <v/>
      </c>
      <c r="G566">
        <f>V_Model_CB!G69</f>
        <v/>
      </c>
      <c r="H566">
        <f>V_Model_CB!H68</f>
        <v/>
      </c>
      <c r="I566">
        <f>V_Model_CB!I69</f>
        <v/>
      </c>
      <c r="J566">
        <f>V_Model_CB!J69</f>
        <v/>
      </c>
      <c r="K566" s="672">
        <f>V_Model_CB!K69</f>
        <v/>
      </c>
      <c r="L566" s="672">
        <f>V_Model_CB!L69</f>
        <v/>
      </c>
      <c r="M566">
        <f>V_Model_CB!M69</f>
        <v/>
      </c>
      <c r="N566">
        <f>V_Model_CB!N69</f>
        <v/>
      </c>
      <c r="O566">
        <f>V_Model_CB!O69</f>
        <v/>
      </c>
      <c r="P566" s="628">
        <f>V_Model_CB!P69</f>
        <v/>
      </c>
      <c r="Q566" s="628">
        <f>V_Model_CB!Q69</f>
        <v/>
      </c>
      <c r="R566" s="628">
        <f>V_Model_CB!R69</f>
        <v/>
      </c>
      <c r="S566" s="628">
        <f>V_Model_CB!S69</f>
        <v/>
      </c>
      <c r="T566" s="628">
        <f>V_Model_CB!T69</f>
        <v/>
      </c>
      <c r="U566" s="628">
        <f>V_Model_CB!U69</f>
        <v/>
      </c>
      <c r="V566" s="628">
        <f>V_Model_CB!V69</f>
        <v/>
      </c>
      <c r="W566" s="628">
        <f>V_Model_CB!W69</f>
        <v/>
      </c>
      <c r="X566" s="628">
        <f>V_Model_CB!X69</f>
        <v/>
      </c>
      <c r="Y566" s="650">
        <f>V_Model_CB!Y69</f>
        <v/>
      </c>
      <c r="Z566" s="650">
        <f>V_Model_CB!Z69</f>
        <v/>
      </c>
      <c r="AA566" s="650">
        <f>V_Model_CB!AA69</f>
        <v/>
      </c>
      <c r="AB566" s="650">
        <f>V_Model_CB!AB69</f>
        <v/>
      </c>
      <c r="AC566" s="613">
        <f>V_Model_CB!AC69</f>
        <v/>
      </c>
      <c r="AD566" s="613">
        <f>V_Model_CB!AD69</f>
        <v/>
      </c>
      <c r="AE566" s="613">
        <f>V_Model_CB!AE69</f>
        <v/>
      </c>
      <c r="AF566" s="613">
        <f>V_Model_CB!AF69</f>
        <v/>
      </c>
      <c r="AG566" s="626">
        <f>V_Model_CB!AG69</f>
        <v/>
      </c>
      <c r="AH566" s="626">
        <f>V_Model_CB!AH69</f>
        <v/>
      </c>
      <c r="AI566" s="626">
        <f>V_Model_CB!AI69</f>
        <v/>
      </c>
      <c r="AJ566" s="626">
        <f>V_Model_CB!AJ69</f>
        <v/>
      </c>
      <c r="AK566" s="626">
        <f>V_Model_CB!AK69</f>
        <v/>
      </c>
      <c r="AL566" s="626">
        <f>V_Model_CB!AL69</f>
        <v/>
      </c>
      <c r="AM566" s="626">
        <f>V_Model_CB!AM69</f>
        <v/>
      </c>
      <c r="AN566" s="626">
        <f>V_Model_CB!AN69</f>
        <v/>
      </c>
      <c r="AO566" s="626">
        <f>V_Model_CB!AO69</f>
        <v/>
      </c>
      <c r="AP566" s="369">
        <f>V_Model_CB!AP69</f>
        <v/>
      </c>
      <c r="AQ566" s="369">
        <f>V_Model_CB!AQ69</f>
        <v/>
      </c>
      <c r="AR566" s="369">
        <f>V_Model_CB!AR69</f>
        <v/>
      </c>
      <c r="AS566" s="369">
        <f>V_Model_CB!AS69</f>
        <v/>
      </c>
      <c r="AT566" s="370">
        <f>V_Model_CB!AT69</f>
        <v/>
      </c>
      <c r="AU566" s="370">
        <f>V_Model_CB!AU69</f>
        <v/>
      </c>
      <c r="AV566" s="370">
        <f>V_Model_CB!AV69</f>
        <v/>
      </c>
      <c r="AW566" s="370">
        <f>V_Model_CB!AW69</f>
        <v/>
      </c>
      <c r="AX566">
        <f>V_Model_CB!AX69</f>
        <v/>
      </c>
      <c r="AY566">
        <f>V_Model_CB!AY69</f>
        <v/>
      </c>
      <c r="AZ566">
        <f>V_Model_CB!AZ69</f>
        <v/>
      </c>
      <c r="BA566">
        <f>V_Model_CB!BA69</f>
        <v/>
      </c>
      <c r="BB566">
        <f>V_Model_CB!BB69</f>
        <v/>
      </c>
      <c r="BC566">
        <f>V_Model_CB!BC69</f>
        <v/>
      </c>
      <c r="BD566">
        <f>V_Model_CB!BD69</f>
        <v/>
      </c>
      <c r="BE566">
        <f>V_Model_CB!BE69</f>
        <v/>
      </c>
      <c r="BF566">
        <f>V_Model_CB!BF69</f>
        <v/>
      </c>
      <c r="BG566">
        <f>V_Model_CB!BG69</f>
        <v/>
      </c>
      <c r="BH566">
        <f>V_Model_CB!BH69</f>
        <v/>
      </c>
      <c r="BI566">
        <f>V_Model_CB!BI69</f>
        <v/>
      </c>
      <c r="BJ566">
        <f>O566</f>
        <v/>
      </c>
      <c r="BK566">
        <f>SUM(AG566:AW566)</f>
        <v/>
      </c>
      <c r="BL566" s="531">
        <f>BJ566-BK566</f>
        <v/>
      </c>
      <c r="BM566" s="201" t="n"/>
    </row>
    <row r="567" hidden="1" outlineLevel="1" s="191">
      <c r="A567">
        <f>V_Model_CB!A70</f>
        <v/>
      </c>
      <c r="B567">
        <f>V_Model_CB!B70</f>
        <v/>
      </c>
      <c r="C567">
        <f>V_Model_CB!C70</f>
        <v/>
      </c>
      <c r="D567">
        <f>V_Model_CB!D70</f>
        <v/>
      </c>
      <c r="E567">
        <f>V_Model_CB!E70</f>
        <v/>
      </c>
      <c r="F567">
        <f>V_Model_CB!F70</f>
        <v/>
      </c>
      <c r="G567">
        <f>V_Model_CB!G70</f>
        <v/>
      </c>
      <c r="H567">
        <f>V_Model_CB!H69</f>
        <v/>
      </c>
      <c r="I567">
        <f>V_Model_CB!I70</f>
        <v/>
      </c>
      <c r="J567">
        <f>V_Model_CB!J70</f>
        <v/>
      </c>
      <c r="K567" s="672">
        <f>V_Model_CB!K70</f>
        <v/>
      </c>
      <c r="L567" s="672">
        <f>V_Model_CB!L70</f>
        <v/>
      </c>
      <c r="M567">
        <f>V_Model_CB!M70</f>
        <v/>
      </c>
      <c r="N567">
        <f>V_Model_CB!N70</f>
        <v/>
      </c>
      <c r="O567">
        <f>V_Model_CB!O70</f>
        <v/>
      </c>
      <c r="P567" s="628">
        <f>V_Model_CB!P70</f>
        <v/>
      </c>
      <c r="Q567" s="628">
        <f>V_Model_CB!Q70</f>
        <v/>
      </c>
      <c r="R567" s="628">
        <f>V_Model_CB!R70</f>
        <v/>
      </c>
      <c r="S567" s="628">
        <f>V_Model_CB!S70</f>
        <v/>
      </c>
      <c r="T567" s="628">
        <f>V_Model_CB!T70</f>
        <v/>
      </c>
      <c r="U567" s="628">
        <f>V_Model_CB!U70</f>
        <v/>
      </c>
      <c r="V567" s="628">
        <f>V_Model_CB!V70</f>
        <v/>
      </c>
      <c r="W567" s="628">
        <f>V_Model_CB!W70</f>
        <v/>
      </c>
      <c r="X567" s="628">
        <f>V_Model_CB!X70</f>
        <v/>
      </c>
      <c r="Y567" s="650">
        <f>V_Model_CB!Y70</f>
        <v/>
      </c>
      <c r="Z567" s="650">
        <f>V_Model_CB!Z70</f>
        <v/>
      </c>
      <c r="AA567" s="650">
        <f>V_Model_CB!AA70</f>
        <v/>
      </c>
      <c r="AB567" s="650">
        <f>V_Model_CB!AB70</f>
        <v/>
      </c>
      <c r="AC567" s="613">
        <f>V_Model_CB!AC70</f>
        <v/>
      </c>
      <c r="AD567" s="613">
        <f>V_Model_CB!AD70</f>
        <v/>
      </c>
      <c r="AE567" s="613">
        <f>V_Model_CB!AE70</f>
        <v/>
      </c>
      <c r="AF567" s="613">
        <f>V_Model_CB!AF70</f>
        <v/>
      </c>
      <c r="AG567" s="626">
        <f>V_Model_CB!AG70</f>
        <v/>
      </c>
      <c r="AH567" s="626">
        <f>V_Model_CB!AH70</f>
        <v/>
      </c>
      <c r="AI567" s="626">
        <f>V_Model_CB!AI70</f>
        <v/>
      </c>
      <c r="AJ567" s="626">
        <f>V_Model_CB!AJ70</f>
        <v/>
      </c>
      <c r="AK567" s="626">
        <f>V_Model_CB!AK70</f>
        <v/>
      </c>
      <c r="AL567" s="626">
        <f>V_Model_CB!AL70</f>
        <v/>
      </c>
      <c r="AM567" s="626">
        <f>V_Model_CB!AM70</f>
        <v/>
      </c>
      <c r="AN567" s="626">
        <f>V_Model_CB!AN70</f>
        <v/>
      </c>
      <c r="AO567" s="626">
        <f>V_Model_CB!AO70</f>
        <v/>
      </c>
      <c r="AP567" s="369">
        <f>V_Model_CB!AP70</f>
        <v/>
      </c>
      <c r="AQ567" s="369">
        <f>V_Model_CB!AQ70</f>
        <v/>
      </c>
      <c r="AR567" s="369">
        <f>V_Model_CB!AR70</f>
        <v/>
      </c>
      <c r="AS567" s="369">
        <f>V_Model_CB!AS70</f>
        <v/>
      </c>
      <c r="AT567" s="370">
        <f>V_Model_CB!AT70</f>
        <v/>
      </c>
      <c r="AU567" s="370">
        <f>V_Model_CB!AU70</f>
        <v/>
      </c>
      <c r="AV567" s="370">
        <f>V_Model_CB!AV70</f>
        <v/>
      </c>
      <c r="AW567" s="370">
        <f>V_Model_CB!AW70</f>
        <v/>
      </c>
      <c r="AX567">
        <f>V_Model_CB!AX70</f>
        <v/>
      </c>
      <c r="AY567">
        <f>V_Model_CB!AY70</f>
        <v/>
      </c>
      <c r="AZ567">
        <f>V_Model_CB!AZ70</f>
        <v/>
      </c>
      <c r="BA567">
        <f>V_Model_CB!BA70</f>
        <v/>
      </c>
      <c r="BB567">
        <f>V_Model_CB!BB70</f>
        <v/>
      </c>
      <c r="BC567">
        <f>V_Model_CB!BC70</f>
        <v/>
      </c>
      <c r="BD567">
        <f>V_Model_CB!BD70</f>
        <v/>
      </c>
      <c r="BE567">
        <f>V_Model_CB!BE70</f>
        <v/>
      </c>
      <c r="BF567">
        <f>V_Model_CB!BF70</f>
        <v/>
      </c>
      <c r="BG567">
        <f>V_Model_CB!BG70</f>
        <v/>
      </c>
      <c r="BH567">
        <f>V_Model_CB!BH70</f>
        <v/>
      </c>
      <c r="BI567">
        <f>V_Model_CB!BI70</f>
        <v/>
      </c>
      <c r="BJ567">
        <f>O567</f>
        <v/>
      </c>
      <c r="BK567">
        <f>SUM(AG567:AW567)</f>
        <v/>
      </c>
      <c r="BL567" s="531">
        <f>BJ567-BK567</f>
        <v/>
      </c>
      <c r="BM567" s="201" t="n"/>
    </row>
    <row r="568" hidden="1" outlineLevel="1" s="191">
      <c r="A568">
        <f>V_Model_CB!A71</f>
        <v/>
      </c>
      <c r="B568">
        <f>V_Model_CB!B71</f>
        <v/>
      </c>
      <c r="C568">
        <f>V_Model_CB!C71</f>
        <v/>
      </c>
      <c r="D568">
        <f>V_Model_CB!D71</f>
        <v/>
      </c>
      <c r="E568">
        <f>V_Model_CB!E71</f>
        <v/>
      </c>
      <c r="F568">
        <f>V_Model_CB!F71</f>
        <v/>
      </c>
      <c r="G568">
        <f>V_Model_CB!G71</f>
        <v/>
      </c>
      <c r="H568">
        <f>V_Model_CB!H70</f>
        <v/>
      </c>
      <c r="I568">
        <f>V_Model_CB!I71</f>
        <v/>
      </c>
      <c r="J568">
        <f>V_Model_CB!J71</f>
        <v/>
      </c>
      <c r="K568" s="672">
        <f>V_Model_CB!K71</f>
        <v/>
      </c>
      <c r="L568" s="672">
        <f>V_Model_CB!L71</f>
        <v/>
      </c>
      <c r="M568">
        <f>V_Model_CB!M71</f>
        <v/>
      </c>
      <c r="N568">
        <f>V_Model_CB!N71</f>
        <v/>
      </c>
      <c r="O568">
        <f>V_Model_CB!O71</f>
        <v/>
      </c>
      <c r="P568" s="628">
        <f>V_Model_CB!P71</f>
        <v/>
      </c>
      <c r="Q568" s="628">
        <f>V_Model_CB!Q71</f>
        <v/>
      </c>
      <c r="R568" s="628">
        <f>V_Model_CB!R71</f>
        <v/>
      </c>
      <c r="S568" s="628">
        <f>V_Model_CB!S71</f>
        <v/>
      </c>
      <c r="T568" s="628">
        <f>V_Model_CB!T71</f>
        <v/>
      </c>
      <c r="U568" s="628">
        <f>V_Model_CB!U71</f>
        <v/>
      </c>
      <c r="V568" s="628">
        <f>V_Model_CB!V71</f>
        <v/>
      </c>
      <c r="W568" s="628">
        <f>V_Model_CB!W71</f>
        <v/>
      </c>
      <c r="X568" s="628">
        <f>V_Model_CB!X71</f>
        <v/>
      </c>
      <c r="Y568" s="650">
        <f>V_Model_CB!Y71</f>
        <v/>
      </c>
      <c r="Z568" s="650">
        <f>V_Model_CB!Z71</f>
        <v/>
      </c>
      <c r="AA568" s="650">
        <f>V_Model_CB!AA71</f>
        <v/>
      </c>
      <c r="AB568" s="650">
        <f>V_Model_CB!AB71</f>
        <v/>
      </c>
      <c r="AC568" s="613">
        <f>V_Model_CB!AC71</f>
        <v/>
      </c>
      <c r="AD568" s="613">
        <f>V_Model_CB!AD71</f>
        <v/>
      </c>
      <c r="AE568" s="613">
        <f>V_Model_CB!AE71</f>
        <v/>
      </c>
      <c r="AF568" s="613">
        <f>V_Model_CB!AF71</f>
        <v/>
      </c>
      <c r="AG568" s="626">
        <f>V_Model_CB!AG71</f>
        <v/>
      </c>
      <c r="AH568" s="626">
        <f>V_Model_CB!AH71</f>
        <v/>
      </c>
      <c r="AI568" s="626">
        <f>V_Model_CB!AI71</f>
        <v/>
      </c>
      <c r="AJ568" s="626">
        <f>V_Model_CB!AJ71</f>
        <v/>
      </c>
      <c r="AK568" s="626">
        <f>V_Model_CB!AK71</f>
        <v/>
      </c>
      <c r="AL568" s="626">
        <f>V_Model_CB!AL71</f>
        <v/>
      </c>
      <c r="AM568" s="626">
        <f>V_Model_CB!AM71</f>
        <v/>
      </c>
      <c r="AN568" s="626">
        <f>V_Model_CB!AN71</f>
        <v/>
      </c>
      <c r="AO568" s="626">
        <f>V_Model_CB!AO71</f>
        <v/>
      </c>
      <c r="AP568" s="369">
        <f>V_Model_CB!AP71</f>
        <v/>
      </c>
      <c r="AQ568" s="369">
        <f>V_Model_CB!AQ71</f>
        <v/>
      </c>
      <c r="AR568" s="369">
        <f>V_Model_CB!AR71</f>
        <v/>
      </c>
      <c r="AS568" s="369">
        <f>V_Model_CB!AS71</f>
        <v/>
      </c>
      <c r="AT568" s="370">
        <f>V_Model_CB!AT71</f>
        <v/>
      </c>
      <c r="AU568" s="370">
        <f>V_Model_CB!AU71</f>
        <v/>
      </c>
      <c r="AV568" s="370">
        <f>V_Model_CB!AV71</f>
        <v/>
      </c>
      <c r="AW568" s="370">
        <f>V_Model_CB!AW71</f>
        <v/>
      </c>
      <c r="AX568">
        <f>V_Model_CB!AX71</f>
        <v/>
      </c>
      <c r="AY568">
        <f>V_Model_CB!AY71</f>
        <v/>
      </c>
      <c r="AZ568">
        <f>V_Model_CB!AZ71</f>
        <v/>
      </c>
      <c r="BA568">
        <f>V_Model_CB!BA71</f>
        <v/>
      </c>
      <c r="BB568">
        <f>V_Model_CB!BB71</f>
        <v/>
      </c>
      <c r="BC568">
        <f>V_Model_CB!BC71</f>
        <v/>
      </c>
      <c r="BD568">
        <f>V_Model_CB!BD71</f>
        <v/>
      </c>
      <c r="BE568">
        <f>V_Model_CB!BE71</f>
        <v/>
      </c>
      <c r="BF568">
        <f>V_Model_CB!BF71</f>
        <v/>
      </c>
      <c r="BG568">
        <f>V_Model_CB!BG71</f>
        <v/>
      </c>
      <c r="BH568">
        <f>V_Model_CB!BH71</f>
        <v/>
      </c>
      <c r="BI568">
        <f>V_Model_CB!BI71</f>
        <v/>
      </c>
      <c r="BJ568">
        <f>O568</f>
        <v/>
      </c>
      <c r="BK568">
        <f>SUM(AG568:AW568)</f>
        <v/>
      </c>
      <c r="BL568" s="531">
        <f>BJ568-BK568</f>
        <v/>
      </c>
      <c r="BM568" s="201" t="n"/>
    </row>
    <row r="569" hidden="1" outlineLevel="1" s="191">
      <c r="A569">
        <f>V_Model_CB!A72</f>
        <v/>
      </c>
      <c r="B569">
        <f>V_Model_CB!B72</f>
        <v/>
      </c>
      <c r="C569">
        <f>V_Model_CB!C72</f>
        <v/>
      </c>
      <c r="D569">
        <f>V_Model_CB!D72</f>
        <v/>
      </c>
      <c r="E569">
        <f>V_Model_CB!E72</f>
        <v/>
      </c>
      <c r="F569">
        <f>V_Model_CB!F72</f>
        <v/>
      </c>
      <c r="G569">
        <f>V_Model_CB!G72</f>
        <v/>
      </c>
      <c r="H569">
        <f>V_Model_CB!H71</f>
        <v/>
      </c>
      <c r="I569">
        <f>V_Model_CB!I72</f>
        <v/>
      </c>
      <c r="J569">
        <f>V_Model_CB!J72</f>
        <v/>
      </c>
      <c r="K569" s="672">
        <f>V_Model_CB!K72</f>
        <v/>
      </c>
      <c r="L569" s="672">
        <f>V_Model_CB!L72</f>
        <v/>
      </c>
      <c r="M569">
        <f>V_Model_CB!M72</f>
        <v/>
      </c>
      <c r="N569">
        <f>V_Model_CB!N72</f>
        <v/>
      </c>
      <c r="O569">
        <f>V_Model_CB!O72</f>
        <v/>
      </c>
      <c r="P569" s="628">
        <f>V_Model_CB!P72</f>
        <v/>
      </c>
      <c r="Q569" s="628">
        <f>V_Model_CB!Q72</f>
        <v/>
      </c>
      <c r="R569" s="628">
        <f>V_Model_CB!R72</f>
        <v/>
      </c>
      <c r="S569" s="628">
        <f>V_Model_CB!S72</f>
        <v/>
      </c>
      <c r="T569" s="628">
        <f>V_Model_CB!T72</f>
        <v/>
      </c>
      <c r="U569" s="628">
        <f>V_Model_CB!U72</f>
        <v/>
      </c>
      <c r="V569" s="628">
        <f>V_Model_CB!V72</f>
        <v/>
      </c>
      <c r="W569" s="628">
        <f>V_Model_CB!W72</f>
        <v/>
      </c>
      <c r="X569" s="628">
        <f>V_Model_CB!X72</f>
        <v/>
      </c>
      <c r="Y569" s="650">
        <f>V_Model_CB!Y72</f>
        <v/>
      </c>
      <c r="Z569" s="650">
        <f>V_Model_CB!Z72</f>
        <v/>
      </c>
      <c r="AA569" s="650">
        <f>V_Model_CB!AA72</f>
        <v/>
      </c>
      <c r="AB569" s="650">
        <f>V_Model_CB!AB72</f>
        <v/>
      </c>
      <c r="AC569" s="613">
        <f>V_Model_CB!AC72</f>
        <v/>
      </c>
      <c r="AD569" s="613">
        <f>V_Model_CB!AD72</f>
        <v/>
      </c>
      <c r="AE569" s="613">
        <f>V_Model_CB!AE72</f>
        <v/>
      </c>
      <c r="AF569" s="613">
        <f>V_Model_CB!AF72</f>
        <v/>
      </c>
      <c r="AG569" s="626">
        <f>V_Model_CB!AG72</f>
        <v/>
      </c>
      <c r="AH569" s="626">
        <f>V_Model_CB!AH72</f>
        <v/>
      </c>
      <c r="AI569" s="626">
        <f>V_Model_CB!AI72</f>
        <v/>
      </c>
      <c r="AJ569" s="626">
        <f>V_Model_CB!AJ72</f>
        <v/>
      </c>
      <c r="AK569" s="626">
        <f>V_Model_CB!AK72</f>
        <v/>
      </c>
      <c r="AL569" s="626">
        <f>V_Model_CB!AL72</f>
        <v/>
      </c>
      <c r="AM569" s="626">
        <f>V_Model_CB!AM72</f>
        <v/>
      </c>
      <c r="AN569" s="626">
        <f>V_Model_CB!AN72</f>
        <v/>
      </c>
      <c r="AO569" s="626">
        <f>V_Model_CB!AO72</f>
        <v/>
      </c>
      <c r="AP569" s="369">
        <f>V_Model_CB!AP72</f>
        <v/>
      </c>
      <c r="AQ569" s="369">
        <f>V_Model_CB!AQ72</f>
        <v/>
      </c>
      <c r="AR569" s="369">
        <f>V_Model_CB!AR72</f>
        <v/>
      </c>
      <c r="AS569" s="369">
        <f>V_Model_CB!AS72</f>
        <v/>
      </c>
      <c r="AT569" s="370">
        <f>V_Model_CB!AT72</f>
        <v/>
      </c>
      <c r="AU569" s="370">
        <f>V_Model_CB!AU72</f>
        <v/>
      </c>
      <c r="AV569" s="370">
        <f>V_Model_CB!AV72</f>
        <v/>
      </c>
      <c r="AW569" s="370">
        <f>V_Model_CB!AW72</f>
        <v/>
      </c>
      <c r="AX569">
        <f>V_Model_CB!AX72</f>
        <v/>
      </c>
      <c r="AY569">
        <f>V_Model_CB!AY72</f>
        <v/>
      </c>
      <c r="AZ569">
        <f>V_Model_CB!AZ72</f>
        <v/>
      </c>
      <c r="BA569">
        <f>V_Model_CB!BA72</f>
        <v/>
      </c>
      <c r="BB569">
        <f>V_Model_CB!BB72</f>
        <v/>
      </c>
      <c r="BC569">
        <f>V_Model_CB!BC72</f>
        <v/>
      </c>
      <c r="BD569">
        <f>V_Model_CB!BD72</f>
        <v/>
      </c>
      <c r="BE569">
        <f>V_Model_CB!BE72</f>
        <v/>
      </c>
      <c r="BF569">
        <f>V_Model_CB!BF72</f>
        <v/>
      </c>
      <c r="BG569">
        <f>V_Model_CB!BG72</f>
        <v/>
      </c>
      <c r="BH569">
        <f>V_Model_CB!BH72</f>
        <v/>
      </c>
      <c r="BI569">
        <f>V_Model_CB!BI72</f>
        <v/>
      </c>
      <c r="BJ569">
        <f>O569</f>
        <v/>
      </c>
      <c r="BK569">
        <f>SUM(AG569:AW569)</f>
        <v/>
      </c>
      <c r="BL569" s="531">
        <f>BJ569-BK569</f>
        <v/>
      </c>
      <c r="BM569" s="201" t="n"/>
    </row>
    <row r="570" hidden="1" outlineLevel="1" s="191">
      <c r="A570">
        <f>V_Model_CB!A73</f>
        <v/>
      </c>
      <c r="B570">
        <f>V_Model_CB!B73</f>
        <v/>
      </c>
      <c r="C570">
        <f>V_Model_CB!C73</f>
        <v/>
      </c>
      <c r="D570">
        <f>V_Model_CB!D73</f>
        <v/>
      </c>
      <c r="E570">
        <f>V_Model_CB!E73</f>
        <v/>
      </c>
      <c r="F570">
        <f>V_Model_CB!F73</f>
        <v/>
      </c>
      <c r="G570">
        <f>V_Model_CB!G73</f>
        <v/>
      </c>
      <c r="H570">
        <f>V_Model_CB!H72</f>
        <v/>
      </c>
      <c r="I570">
        <f>V_Model_CB!I73</f>
        <v/>
      </c>
      <c r="J570">
        <f>V_Model_CB!J73</f>
        <v/>
      </c>
      <c r="K570" s="672">
        <f>V_Model_CB!K73</f>
        <v/>
      </c>
      <c r="L570" s="672">
        <f>V_Model_CB!L73</f>
        <v/>
      </c>
      <c r="M570">
        <f>V_Model_CB!M73</f>
        <v/>
      </c>
      <c r="N570">
        <f>V_Model_CB!N73</f>
        <v/>
      </c>
      <c r="O570">
        <f>V_Model_CB!O73</f>
        <v/>
      </c>
      <c r="P570" s="628">
        <f>V_Model_CB!P73</f>
        <v/>
      </c>
      <c r="Q570" s="628">
        <f>V_Model_CB!Q73</f>
        <v/>
      </c>
      <c r="R570" s="628">
        <f>V_Model_CB!R73</f>
        <v/>
      </c>
      <c r="S570" s="628">
        <f>V_Model_CB!S73</f>
        <v/>
      </c>
      <c r="T570" s="628">
        <f>V_Model_CB!T73</f>
        <v/>
      </c>
      <c r="U570" s="628">
        <f>V_Model_CB!U73</f>
        <v/>
      </c>
      <c r="V570" s="628">
        <f>V_Model_CB!V73</f>
        <v/>
      </c>
      <c r="W570" s="628">
        <f>V_Model_CB!W73</f>
        <v/>
      </c>
      <c r="X570" s="628">
        <f>V_Model_CB!X73</f>
        <v/>
      </c>
      <c r="Y570" s="650">
        <f>V_Model_CB!Y73</f>
        <v/>
      </c>
      <c r="Z570" s="650">
        <f>V_Model_CB!Z73</f>
        <v/>
      </c>
      <c r="AA570" s="650">
        <f>V_Model_CB!AA73</f>
        <v/>
      </c>
      <c r="AB570" s="650">
        <f>V_Model_CB!AB73</f>
        <v/>
      </c>
      <c r="AC570" s="613">
        <f>V_Model_CB!AC73</f>
        <v/>
      </c>
      <c r="AD570" s="613">
        <f>V_Model_CB!AD73</f>
        <v/>
      </c>
      <c r="AE570" s="613">
        <f>V_Model_CB!AE73</f>
        <v/>
      </c>
      <c r="AF570" s="613">
        <f>V_Model_CB!AF73</f>
        <v/>
      </c>
      <c r="AG570" s="626">
        <f>V_Model_CB!AG73</f>
        <v/>
      </c>
      <c r="AH570" s="626">
        <f>V_Model_CB!AH73</f>
        <v/>
      </c>
      <c r="AI570" s="626">
        <f>V_Model_CB!AI73</f>
        <v/>
      </c>
      <c r="AJ570" s="626">
        <f>V_Model_CB!AJ73</f>
        <v/>
      </c>
      <c r="AK570" s="626">
        <f>V_Model_CB!AK73</f>
        <v/>
      </c>
      <c r="AL570" s="626">
        <f>V_Model_CB!AL73</f>
        <v/>
      </c>
      <c r="AM570" s="626">
        <f>V_Model_CB!AM73</f>
        <v/>
      </c>
      <c r="AN570" s="626">
        <f>V_Model_CB!AN73</f>
        <v/>
      </c>
      <c r="AO570" s="626">
        <f>V_Model_CB!AO73</f>
        <v/>
      </c>
      <c r="AP570" s="369">
        <f>V_Model_CB!AP73</f>
        <v/>
      </c>
      <c r="AQ570" s="369">
        <f>V_Model_CB!AQ73</f>
        <v/>
      </c>
      <c r="AR570" s="369">
        <f>V_Model_CB!AR73</f>
        <v/>
      </c>
      <c r="AS570" s="369">
        <f>V_Model_CB!AS73</f>
        <v/>
      </c>
      <c r="AT570" s="370">
        <f>V_Model_CB!AT73</f>
        <v/>
      </c>
      <c r="AU570" s="370">
        <f>V_Model_CB!AU73</f>
        <v/>
      </c>
      <c r="AV570" s="370">
        <f>V_Model_CB!AV73</f>
        <v/>
      </c>
      <c r="AW570" s="370">
        <f>V_Model_CB!AW73</f>
        <v/>
      </c>
      <c r="AX570">
        <f>V_Model_CB!AX73</f>
        <v/>
      </c>
      <c r="AY570">
        <f>V_Model_CB!AY73</f>
        <v/>
      </c>
      <c r="AZ570">
        <f>V_Model_CB!AZ73</f>
        <v/>
      </c>
      <c r="BA570">
        <f>V_Model_CB!BA73</f>
        <v/>
      </c>
      <c r="BB570">
        <f>V_Model_CB!BB73</f>
        <v/>
      </c>
      <c r="BC570">
        <f>V_Model_CB!BC73</f>
        <v/>
      </c>
      <c r="BD570">
        <f>V_Model_CB!BD73</f>
        <v/>
      </c>
      <c r="BE570">
        <f>V_Model_CB!BE73</f>
        <v/>
      </c>
      <c r="BF570">
        <f>V_Model_CB!BF73</f>
        <v/>
      </c>
      <c r="BG570">
        <f>V_Model_CB!BG73</f>
        <v/>
      </c>
      <c r="BH570">
        <f>V_Model_CB!BH73</f>
        <v/>
      </c>
      <c r="BI570">
        <f>V_Model_CB!BI73</f>
        <v/>
      </c>
      <c r="BJ570">
        <f>O570</f>
        <v/>
      </c>
      <c r="BK570">
        <f>SUM(AG570:AW570)</f>
        <v/>
      </c>
      <c r="BL570" s="531">
        <f>BJ570-BK570</f>
        <v/>
      </c>
      <c r="BM570" s="201" t="n"/>
    </row>
    <row r="571" hidden="1" outlineLevel="1" s="191">
      <c r="A571">
        <f>V_Model_CB!A74</f>
        <v/>
      </c>
      <c r="B571">
        <f>V_Model_CB!B74</f>
        <v/>
      </c>
      <c r="C571">
        <f>V_Model_CB!C74</f>
        <v/>
      </c>
      <c r="D571">
        <f>V_Model_CB!D74</f>
        <v/>
      </c>
      <c r="E571">
        <f>V_Model_CB!E74</f>
        <v/>
      </c>
      <c r="F571">
        <f>V_Model_CB!F74</f>
        <v/>
      </c>
      <c r="G571">
        <f>V_Model_CB!G74</f>
        <v/>
      </c>
      <c r="H571">
        <f>V_Model_CB!H73</f>
        <v/>
      </c>
      <c r="I571">
        <f>V_Model_CB!I74</f>
        <v/>
      </c>
      <c r="J571">
        <f>V_Model_CB!J74</f>
        <v/>
      </c>
      <c r="K571" s="672">
        <f>V_Model_CB!K74</f>
        <v/>
      </c>
      <c r="L571" s="672">
        <f>V_Model_CB!L74</f>
        <v/>
      </c>
      <c r="M571">
        <f>V_Model_CB!M74</f>
        <v/>
      </c>
      <c r="N571">
        <f>V_Model_CB!N74</f>
        <v/>
      </c>
      <c r="O571">
        <f>V_Model_CB!O74</f>
        <v/>
      </c>
      <c r="P571" s="628">
        <f>V_Model_CB!P74</f>
        <v/>
      </c>
      <c r="Q571" s="628">
        <f>V_Model_CB!Q74</f>
        <v/>
      </c>
      <c r="R571" s="628">
        <f>V_Model_CB!R74</f>
        <v/>
      </c>
      <c r="S571" s="628">
        <f>V_Model_CB!S74</f>
        <v/>
      </c>
      <c r="T571" s="628">
        <f>V_Model_CB!T74</f>
        <v/>
      </c>
      <c r="U571" s="628">
        <f>V_Model_CB!U74</f>
        <v/>
      </c>
      <c r="V571" s="628">
        <f>V_Model_CB!V74</f>
        <v/>
      </c>
      <c r="W571" s="628">
        <f>V_Model_CB!W74</f>
        <v/>
      </c>
      <c r="X571" s="628">
        <f>V_Model_CB!X74</f>
        <v/>
      </c>
      <c r="Y571" s="650">
        <f>V_Model_CB!Y74</f>
        <v/>
      </c>
      <c r="Z571" s="650">
        <f>V_Model_CB!Z74</f>
        <v/>
      </c>
      <c r="AA571" s="650">
        <f>V_Model_CB!AA74</f>
        <v/>
      </c>
      <c r="AB571" s="650">
        <f>V_Model_CB!AB74</f>
        <v/>
      </c>
      <c r="AC571" s="613">
        <f>V_Model_CB!AC74</f>
        <v/>
      </c>
      <c r="AD571" s="613">
        <f>V_Model_CB!AD74</f>
        <v/>
      </c>
      <c r="AE571" s="613">
        <f>V_Model_CB!AE74</f>
        <v/>
      </c>
      <c r="AF571" s="613">
        <f>V_Model_CB!AF74</f>
        <v/>
      </c>
      <c r="AG571" s="626">
        <f>V_Model_CB!AG74</f>
        <v/>
      </c>
      <c r="AH571" s="626">
        <f>V_Model_CB!AH74</f>
        <v/>
      </c>
      <c r="AI571" s="626">
        <f>V_Model_CB!AI74</f>
        <v/>
      </c>
      <c r="AJ571" s="626">
        <f>V_Model_CB!AJ74</f>
        <v/>
      </c>
      <c r="AK571" s="626">
        <f>V_Model_CB!AK74</f>
        <v/>
      </c>
      <c r="AL571" s="626">
        <f>V_Model_CB!AL74</f>
        <v/>
      </c>
      <c r="AM571" s="626">
        <f>V_Model_CB!AM74</f>
        <v/>
      </c>
      <c r="AN571" s="626">
        <f>V_Model_CB!AN74</f>
        <v/>
      </c>
      <c r="AO571" s="626">
        <f>V_Model_CB!AO74</f>
        <v/>
      </c>
      <c r="AP571" s="369">
        <f>V_Model_CB!AP74</f>
        <v/>
      </c>
      <c r="AQ571" s="369">
        <f>V_Model_CB!AQ74</f>
        <v/>
      </c>
      <c r="AR571" s="369">
        <f>V_Model_CB!AR74</f>
        <v/>
      </c>
      <c r="AS571" s="369">
        <f>V_Model_CB!AS74</f>
        <v/>
      </c>
      <c r="AT571" s="370">
        <f>V_Model_CB!AT74</f>
        <v/>
      </c>
      <c r="AU571" s="370">
        <f>V_Model_CB!AU74</f>
        <v/>
      </c>
      <c r="AV571" s="370">
        <f>V_Model_CB!AV74</f>
        <v/>
      </c>
      <c r="AW571" s="370">
        <f>V_Model_CB!AW74</f>
        <v/>
      </c>
      <c r="AX571">
        <f>V_Model_CB!AX74</f>
        <v/>
      </c>
      <c r="AY571">
        <f>V_Model_CB!AY74</f>
        <v/>
      </c>
      <c r="AZ571">
        <f>V_Model_CB!AZ74</f>
        <v/>
      </c>
      <c r="BA571">
        <f>V_Model_CB!BA74</f>
        <v/>
      </c>
      <c r="BB571">
        <f>V_Model_CB!BB74</f>
        <v/>
      </c>
      <c r="BC571">
        <f>V_Model_CB!BC74</f>
        <v/>
      </c>
      <c r="BD571">
        <f>V_Model_CB!BD74</f>
        <v/>
      </c>
      <c r="BE571">
        <f>V_Model_CB!BE74</f>
        <v/>
      </c>
      <c r="BF571">
        <f>V_Model_CB!BF74</f>
        <v/>
      </c>
      <c r="BG571">
        <f>V_Model_CB!BG74</f>
        <v/>
      </c>
      <c r="BH571">
        <f>V_Model_CB!BH74</f>
        <v/>
      </c>
      <c r="BI571">
        <f>V_Model_CB!BI74</f>
        <v/>
      </c>
      <c r="BJ571">
        <f>O571</f>
        <v/>
      </c>
      <c r="BK571">
        <f>SUM(AG571:AW571)</f>
        <v/>
      </c>
      <c r="BL571" s="531">
        <f>BJ571-BK571</f>
        <v/>
      </c>
      <c r="BM571" s="201" t="n"/>
    </row>
    <row r="572" hidden="1" outlineLevel="1" s="191">
      <c r="A572">
        <f>V_Model_CB!A75</f>
        <v/>
      </c>
      <c r="B572">
        <f>V_Model_CB!B75</f>
        <v/>
      </c>
      <c r="C572">
        <f>V_Model_CB!C75</f>
        <v/>
      </c>
      <c r="D572">
        <f>V_Model_CB!D75</f>
        <v/>
      </c>
      <c r="E572">
        <f>V_Model_CB!E75</f>
        <v/>
      </c>
      <c r="F572">
        <f>V_Model_CB!F75</f>
        <v/>
      </c>
      <c r="G572">
        <f>V_Model_CB!G75</f>
        <v/>
      </c>
      <c r="H572">
        <f>V_Model_CB!H74</f>
        <v/>
      </c>
      <c r="I572">
        <f>V_Model_CB!I75</f>
        <v/>
      </c>
      <c r="J572">
        <f>V_Model_CB!J75</f>
        <v/>
      </c>
      <c r="K572" s="672">
        <f>V_Model_CB!K75</f>
        <v/>
      </c>
      <c r="L572" s="672">
        <f>V_Model_CB!L75</f>
        <v/>
      </c>
      <c r="M572">
        <f>V_Model_CB!M75</f>
        <v/>
      </c>
      <c r="N572">
        <f>V_Model_CB!N75</f>
        <v/>
      </c>
      <c r="O572">
        <f>V_Model_CB!O75</f>
        <v/>
      </c>
      <c r="P572" s="628">
        <f>V_Model_CB!P75</f>
        <v/>
      </c>
      <c r="Q572" s="628">
        <f>V_Model_CB!Q75</f>
        <v/>
      </c>
      <c r="R572" s="628">
        <f>V_Model_CB!R75</f>
        <v/>
      </c>
      <c r="S572" s="628">
        <f>V_Model_CB!S75</f>
        <v/>
      </c>
      <c r="T572" s="628">
        <f>V_Model_CB!T75</f>
        <v/>
      </c>
      <c r="U572" s="628">
        <f>V_Model_CB!U75</f>
        <v/>
      </c>
      <c r="V572" s="628">
        <f>V_Model_CB!V75</f>
        <v/>
      </c>
      <c r="W572" s="628">
        <f>V_Model_CB!W75</f>
        <v/>
      </c>
      <c r="X572" s="628">
        <f>V_Model_CB!X75</f>
        <v/>
      </c>
      <c r="Y572" s="650">
        <f>V_Model_CB!Y75</f>
        <v/>
      </c>
      <c r="Z572" s="650">
        <f>V_Model_CB!Z75</f>
        <v/>
      </c>
      <c r="AA572" s="650">
        <f>V_Model_CB!AA75</f>
        <v/>
      </c>
      <c r="AB572" s="650">
        <f>V_Model_CB!AB75</f>
        <v/>
      </c>
      <c r="AC572" s="613">
        <f>V_Model_CB!AC75</f>
        <v/>
      </c>
      <c r="AD572" s="613">
        <f>V_Model_CB!AD75</f>
        <v/>
      </c>
      <c r="AE572" s="613">
        <f>V_Model_CB!AE75</f>
        <v/>
      </c>
      <c r="AF572" s="613">
        <f>V_Model_CB!AF75</f>
        <v/>
      </c>
      <c r="AG572" s="626">
        <f>V_Model_CB!AG75</f>
        <v/>
      </c>
      <c r="AH572" s="626">
        <f>V_Model_CB!AH75</f>
        <v/>
      </c>
      <c r="AI572" s="626">
        <f>V_Model_CB!AI75</f>
        <v/>
      </c>
      <c r="AJ572" s="626">
        <f>V_Model_CB!AJ75</f>
        <v/>
      </c>
      <c r="AK572" s="626">
        <f>V_Model_CB!AK75</f>
        <v/>
      </c>
      <c r="AL572" s="626">
        <f>V_Model_CB!AL75</f>
        <v/>
      </c>
      <c r="AM572" s="626">
        <f>V_Model_CB!AM75</f>
        <v/>
      </c>
      <c r="AN572" s="626">
        <f>V_Model_CB!AN75</f>
        <v/>
      </c>
      <c r="AO572" s="626">
        <f>V_Model_CB!AO75</f>
        <v/>
      </c>
      <c r="AP572" s="369">
        <f>V_Model_CB!AP75</f>
        <v/>
      </c>
      <c r="AQ572" s="369">
        <f>V_Model_CB!AQ75</f>
        <v/>
      </c>
      <c r="AR572" s="369">
        <f>V_Model_CB!AR75</f>
        <v/>
      </c>
      <c r="AS572" s="369">
        <f>V_Model_CB!AS75</f>
        <v/>
      </c>
      <c r="AT572" s="370">
        <f>V_Model_CB!AT75</f>
        <v/>
      </c>
      <c r="AU572" s="370">
        <f>V_Model_CB!AU75</f>
        <v/>
      </c>
      <c r="AV572" s="370">
        <f>V_Model_CB!AV75</f>
        <v/>
      </c>
      <c r="AW572" s="370">
        <f>V_Model_CB!AW75</f>
        <v/>
      </c>
      <c r="AX572">
        <f>V_Model_CB!AX75</f>
        <v/>
      </c>
      <c r="AY572">
        <f>V_Model_CB!AY75</f>
        <v/>
      </c>
      <c r="AZ572">
        <f>V_Model_CB!AZ75</f>
        <v/>
      </c>
      <c r="BA572">
        <f>V_Model_CB!BA75</f>
        <v/>
      </c>
      <c r="BB572">
        <f>V_Model_CB!BB75</f>
        <v/>
      </c>
      <c r="BC572">
        <f>V_Model_CB!BC75</f>
        <v/>
      </c>
      <c r="BD572">
        <f>V_Model_CB!BD75</f>
        <v/>
      </c>
      <c r="BE572">
        <f>V_Model_CB!BE75</f>
        <v/>
      </c>
      <c r="BF572">
        <f>V_Model_CB!BF75</f>
        <v/>
      </c>
      <c r="BG572">
        <f>V_Model_CB!BG75</f>
        <v/>
      </c>
      <c r="BH572">
        <f>V_Model_CB!BH75</f>
        <v/>
      </c>
      <c r="BI572">
        <f>V_Model_CB!BI75</f>
        <v/>
      </c>
      <c r="BJ572">
        <f>O572</f>
        <v/>
      </c>
      <c r="BK572">
        <f>SUM(AG572:AW572)</f>
        <v/>
      </c>
      <c r="BL572" s="531">
        <f>BJ572-BK572</f>
        <v/>
      </c>
      <c r="BM572" s="201" t="n"/>
    </row>
    <row r="573" hidden="1" outlineLevel="1" s="191">
      <c r="A573">
        <f>V_Model_CB!A76</f>
        <v/>
      </c>
      <c r="B573">
        <f>V_Model_CB!B76</f>
        <v/>
      </c>
      <c r="C573">
        <f>V_Model_CB!C76</f>
        <v/>
      </c>
      <c r="D573">
        <f>V_Model_CB!D76</f>
        <v/>
      </c>
      <c r="E573">
        <f>V_Model_CB!E76</f>
        <v/>
      </c>
      <c r="F573">
        <f>V_Model_CB!F76</f>
        <v/>
      </c>
      <c r="G573">
        <f>V_Model_CB!G76</f>
        <v/>
      </c>
      <c r="H573">
        <f>V_Model_CB!H75</f>
        <v/>
      </c>
      <c r="I573">
        <f>V_Model_CB!I76</f>
        <v/>
      </c>
      <c r="J573">
        <f>V_Model_CB!J76</f>
        <v/>
      </c>
      <c r="K573" s="672">
        <f>V_Model_CB!K76</f>
        <v/>
      </c>
      <c r="L573" s="672">
        <f>V_Model_CB!L76</f>
        <v/>
      </c>
      <c r="M573">
        <f>V_Model_CB!M76</f>
        <v/>
      </c>
      <c r="N573">
        <f>V_Model_CB!N76</f>
        <v/>
      </c>
      <c r="O573">
        <f>V_Model_CB!O76</f>
        <v/>
      </c>
      <c r="P573" s="628">
        <f>V_Model_CB!P76</f>
        <v/>
      </c>
      <c r="Q573" s="628">
        <f>V_Model_CB!Q76</f>
        <v/>
      </c>
      <c r="R573" s="628">
        <f>V_Model_CB!R76</f>
        <v/>
      </c>
      <c r="S573" s="628">
        <f>V_Model_CB!S76</f>
        <v/>
      </c>
      <c r="T573" s="628">
        <f>V_Model_CB!T76</f>
        <v/>
      </c>
      <c r="U573" s="628">
        <f>V_Model_CB!U76</f>
        <v/>
      </c>
      <c r="V573" s="628">
        <f>V_Model_CB!V76</f>
        <v/>
      </c>
      <c r="W573" s="628">
        <f>V_Model_CB!W76</f>
        <v/>
      </c>
      <c r="X573" s="628">
        <f>V_Model_CB!X76</f>
        <v/>
      </c>
      <c r="Y573" s="650">
        <f>V_Model_CB!Y76</f>
        <v/>
      </c>
      <c r="Z573" s="650">
        <f>V_Model_CB!Z76</f>
        <v/>
      </c>
      <c r="AA573" s="650">
        <f>V_Model_CB!AA76</f>
        <v/>
      </c>
      <c r="AB573" s="650">
        <f>V_Model_CB!AB76</f>
        <v/>
      </c>
      <c r="AC573" s="613">
        <f>V_Model_CB!AC76</f>
        <v/>
      </c>
      <c r="AD573" s="613">
        <f>V_Model_CB!AD76</f>
        <v/>
      </c>
      <c r="AE573" s="613">
        <f>V_Model_CB!AE76</f>
        <v/>
      </c>
      <c r="AF573" s="613">
        <f>V_Model_CB!AF76</f>
        <v/>
      </c>
      <c r="AG573" s="626">
        <f>V_Model_CB!AG76</f>
        <v/>
      </c>
      <c r="AH573" s="626">
        <f>V_Model_CB!AH76</f>
        <v/>
      </c>
      <c r="AI573" s="626">
        <f>V_Model_CB!AI76</f>
        <v/>
      </c>
      <c r="AJ573" s="626">
        <f>V_Model_CB!AJ76</f>
        <v/>
      </c>
      <c r="AK573" s="626">
        <f>V_Model_CB!AK76</f>
        <v/>
      </c>
      <c r="AL573" s="626">
        <f>V_Model_CB!AL76</f>
        <v/>
      </c>
      <c r="AM573" s="626">
        <f>V_Model_CB!AM76</f>
        <v/>
      </c>
      <c r="AN573" s="626">
        <f>V_Model_CB!AN76</f>
        <v/>
      </c>
      <c r="AO573" s="626">
        <f>V_Model_CB!AO76</f>
        <v/>
      </c>
      <c r="AP573" s="369">
        <f>V_Model_CB!AP76</f>
        <v/>
      </c>
      <c r="AQ573" s="369">
        <f>V_Model_CB!AQ76</f>
        <v/>
      </c>
      <c r="AR573" s="369">
        <f>V_Model_CB!AR76</f>
        <v/>
      </c>
      <c r="AS573" s="369">
        <f>V_Model_CB!AS76</f>
        <v/>
      </c>
      <c r="AT573" s="370">
        <f>V_Model_CB!AT76</f>
        <v/>
      </c>
      <c r="AU573" s="370">
        <f>V_Model_CB!AU76</f>
        <v/>
      </c>
      <c r="AV573" s="370">
        <f>V_Model_CB!AV76</f>
        <v/>
      </c>
      <c r="AW573" s="370">
        <f>V_Model_CB!AW76</f>
        <v/>
      </c>
      <c r="AX573">
        <f>V_Model_CB!AX76</f>
        <v/>
      </c>
      <c r="AY573">
        <f>V_Model_CB!AY76</f>
        <v/>
      </c>
      <c r="AZ573">
        <f>V_Model_CB!AZ76</f>
        <v/>
      </c>
      <c r="BA573">
        <f>V_Model_CB!BA76</f>
        <v/>
      </c>
      <c r="BB573">
        <f>V_Model_CB!BB76</f>
        <v/>
      </c>
      <c r="BC573">
        <f>V_Model_CB!BC76</f>
        <v/>
      </c>
      <c r="BD573">
        <f>V_Model_CB!BD76</f>
        <v/>
      </c>
      <c r="BE573">
        <f>V_Model_CB!BE76</f>
        <v/>
      </c>
      <c r="BF573">
        <f>V_Model_CB!BF76</f>
        <v/>
      </c>
      <c r="BG573">
        <f>V_Model_CB!BG76</f>
        <v/>
      </c>
      <c r="BH573">
        <f>V_Model_CB!BH76</f>
        <v/>
      </c>
      <c r="BI573">
        <f>V_Model_CB!BI76</f>
        <v/>
      </c>
      <c r="BJ573">
        <f>O573</f>
        <v/>
      </c>
      <c r="BK573">
        <f>SUM(AG573:AW573)</f>
        <v/>
      </c>
      <c r="BL573" s="531">
        <f>BJ573-BK573</f>
        <v/>
      </c>
      <c r="BM573" s="201" t="n"/>
    </row>
    <row r="574" hidden="1" outlineLevel="1" s="191">
      <c r="A574">
        <f>V_Model_CB!A77</f>
        <v/>
      </c>
      <c r="B574">
        <f>V_Model_CB!B77</f>
        <v/>
      </c>
      <c r="C574">
        <f>V_Model_CB!C77</f>
        <v/>
      </c>
      <c r="D574">
        <f>V_Model_CB!D77</f>
        <v/>
      </c>
      <c r="E574">
        <f>V_Model_CB!E77</f>
        <v/>
      </c>
      <c r="F574">
        <f>V_Model_CB!F77</f>
        <v/>
      </c>
      <c r="G574">
        <f>V_Model_CB!G77</f>
        <v/>
      </c>
      <c r="H574">
        <f>V_Model_CB!H76</f>
        <v/>
      </c>
      <c r="I574">
        <f>V_Model_CB!I77</f>
        <v/>
      </c>
      <c r="J574">
        <f>V_Model_CB!J77</f>
        <v/>
      </c>
      <c r="K574" s="672">
        <f>V_Model_CB!K77</f>
        <v/>
      </c>
      <c r="L574" s="672">
        <f>V_Model_CB!L77</f>
        <v/>
      </c>
      <c r="M574">
        <f>V_Model_CB!M77</f>
        <v/>
      </c>
      <c r="N574">
        <f>V_Model_CB!N77</f>
        <v/>
      </c>
      <c r="O574">
        <f>V_Model_CB!O77</f>
        <v/>
      </c>
      <c r="P574" s="628">
        <f>V_Model_CB!P77</f>
        <v/>
      </c>
      <c r="Q574" s="628">
        <f>V_Model_CB!Q77</f>
        <v/>
      </c>
      <c r="R574" s="628">
        <f>V_Model_CB!R77</f>
        <v/>
      </c>
      <c r="S574" s="628">
        <f>V_Model_CB!S77</f>
        <v/>
      </c>
      <c r="T574" s="628">
        <f>V_Model_CB!T77</f>
        <v/>
      </c>
      <c r="U574" s="628">
        <f>V_Model_CB!U77</f>
        <v/>
      </c>
      <c r="V574" s="628">
        <f>V_Model_CB!V77</f>
        <v/>
      </c>
      <c r="W574" s="628">
        <f>V_Model_CB!W77</f>
        <v/>
      </c>
      <c r="X574" s="628">
        <f>V_Model_CB!X77</f>
        <v/>
      </c>
      <c r="Y574" s="650">
        <f>V_Model_CB!Y77</f>
        <v/>
      </c>
      <c r="Z574" s="650">
        <f>V_Model_CB!Z77</f>
        <v/>
      </c>
      <c r="AA574" s="650">
        <f>V_Model_CB!AA77</f>
        <v/>
      </c>
      <c r="AB574" s="650">
        <f>V_Model_CB!AB77</f>
        <v/>
      </c>
      <c r="AC574" s="613">
        <f>V_Model_CB!AC77</f>
        <v/>
      </c>
      <c r="AD574" s="613">
        <f>V_Model_CB!AD77</f>
        <v/>
      </c>
      <c r="AE574" s="613">
        <f>V_Model_CB!AE77</f>
        <v/>
      </c>
      <c r="AF574" s="613">
        <f>V_Model_CB!AF77</f>
        <v/>
      </c>
      <c r="AG574" s="626">
        <f>V_Model_CB!AG77</f>
        <v/>
      </c>
      <c r="AH574" s="626">
        <f>V_Model_CB!AH77</f>
        <v/>
      </c>
      <c r="AI574" s="626">
        <f>V_Model_CB!AI77</f>
        <v/>
      </c>
      <c r="AJ574" s="626">
        <f>V_Model_CB!AJ77</f>
        <v/>
      </c>
      <c r="AK574" s="626">
        <f>V_Model_CB!AK77</f>
        <v/>
      </c>
      <c r="AL574" s="626">
        <f>V_Model_CB!AL77</f>
        <v/>
      </c>
      <c r="AM574" s="626">
        <f>V_Model_CB!AM77</f>
        <v/>
      </c>
      <c r="AN574" s="626">
        <f>V_Model_CB!AN77</f>
        <v/>
      </c>
      <c r="AO574" s="626">
        <f>V_Model_CB!AO77</f>
        <v/>
      </c>
      <c r="AP574" s="369">
        <f>V_Model_CB!AP77</f>
        <v/>
      </c>
      <c r="AQ574" s="369">
        <f>V_Model_CB!AQ77</f>
        <v/>
      </c>
      <c r="AR574" s="369">
        <f>V_Model_CB!AR77</f>
        <v/>
      </c>
      <c r="AS574" s="369">
        <f>V_Model_CB!AS77</f>
        <v/>
      </c>
      <c r="AT574" s="370">
        <f>V_Model_CB!AT77</f>
        <v/>
      </c>
      <c r="AU574" s="370">
        <f>V_Model_CB!AU77</f>
        <v/>
      </c>
      <c r="AV574" s="370">
        <f>V_Model_CB!AV77</f>
        <v/>
      </c>
      <c r="AW574" s="370">
        <f>V_Model_CB!AW77</f>
        <v/>
      </c>
      <c r="AX574">
        <f>V_Model_CB!AX77</f>
        <v/>
      </c>
      <c r="AY574">
        <f>V_Model_CB!AY77</f>
        <v/>
      </c>
      <c r="AZ574">
        <f>V_Model_CB!AZ77</f>
        <v/>
      </c>
      <c r="BA574">
        <f>V_Model_CB!BA77</f>
        <v/>
      </c>
      <c r="BB574">
        <f>V_Model_CB!BB77</f>
        <v/>
      </c>
      <c r="BC574">
        <f>V_Model_CB!BC77</f>
        <v/>
      </c>
      <c r="BD574">
        <f>V_Model_CB!BD77</f>
        <v/>
      </c>
      <c r="BE574">
        <f>V_Model_CB!BE77</f>
        <v/>
      </c>
      <c r="BF574">
        <f>V_Model_CB!BF77</f>
        <v/>
      </c>
      <c r="BG574">
        <f>V_Model_CB!BG77</f>
        <v/>
      </c>
      <c r="BH574">
        <f>V_Model_CB!BH77</f>
        <v/>
      </c>
      <c r="BI574">
        <f>V_Model_CB!BI77</f>
        <v/>
      </c>
      <c r="BJ574">
        <f>O574</f>
        <v/>
      </c>
      <c r="BK574">
        <f>SUM(AG574:AW574)</f>
        <v/>
      </c>
      <c r="BL574" s="531">
        <f>BJ574-BK574</f>
        <v/>
      </c>
      <c r="BM574" s="201" t="n"/>
    </row>
    <row r="575" hidden="1" outlineLevel="1" s="191">
      <c r="A575">
        <f>V_Model_CB!A78</f>
        <v/>
      </c>
      <c r="B575">
        <f>V_Model_CB!B78</f>
        <v/>
      </c>
      <c r="C575">
        <f>V_Model_CB!C78</f>
        <v/>
      </c>
      <c r="D575">
        <f>V_Model_CB!D78</f>
        <v/>
      </c>
      <c r="E575">
        <f>V_Model_CB!E78</f>
        <v/>
      </c>
      <c r="F575">
        <f>V_Model_CB!F78</f>
        <v/>
      </c>
      <c r="G575">
        <f>V_Model_CB!G78</f>
        <v/>
      </c>
      <c r="H575">
        <f>V_Model_CB!H77</f>
        <v/>
      </c>
      <c r="I575">
        <f>V_Model_CB!I78</f>
        <v/>
      </c>
      <c r="J575">
        <f>V_Model_CB!J78</f>
        <v/>
      </c>
      <c r="K575" s="672">
        <f>V_Model_CB!K78</f>
        <v/>
      </c>
      <c r="L575" s="672">
        <f>V_Model_CB!L78</f>
        <v/>
      </c>
      <c r="M575">
        <f>V_Model_CB!M78</f>
        <v/>
      </c>
      <c r="N575">
        <f>V_Model_CB!N78</f>
        <v/>
      </c>
      <c r="O575">
        <f>V_Model_CB!O78</f>
        <v/>
      </c>
      <c r="P575" s="628">
        <f>V_Model_CB!P78</f>
        <v/>
      </c>
      <c r="Q575" s="628">
        <f>V_Model_CB!Q78</f>
        <v/>
      </c>
      <c r="R575" s="628">
        <f>V_Model_CB!R78</f>
        <v/>
      </c>
      <c r="S575" s="628">
        <f>V_Model_CB!S78</f>
        <v/>
      </c>
      <c r="T575" s="628">
        <f>V_Model_CB!T78</f>
        <v/>
      </c>
      <c r="U575" s="628">
        <f>V_Model_CB!U78</f>
        <v/>
      </c>
      <c r="V575" s="628">
        <f>V_Model_CB!V78</f>
        <v/>
      </c>
      <c r="W575" s="628">
        <f>V_Model_CB!W78</f>
        <v/>
      </c>
      <c r="X575" s="628">
        <f>V_Model_CB!X78</f>
        <v/>
      </c>
      <c r="Y575" s="650">
        <f>V_Model_CB!Y78</f>
        <v/>
      </c>
      <c r="Z575" s="650">
        <f>V_Model_CB!Z78</f>
        <v/>
      </c>
      <c r="AA575" s="650">
        <f>V_Model_CB!AA78</f>
        <v/>
      </c>
      <c r="AB575" s="650">
        <f>V_Model_CB!AB78</f>
        <v/>
      </c>
      <c r="AC575" s="613">
        <f>V_Model_CB!AC78</f>
        <v/>
      </c>
      <c r="AD575" s="613">
        <f>V_Model_CB!AD78</f>
        <v/>
      </c>
      <c r="AE575" s="613">
        <f>V_Model_CB!AE78</f>
        <v/>
      </c>
      <c r="AF575" s="613">
        <f>V_Model_CB!AF78</f>
        <v/>
      </c>
      <c r="AG575" s="626">
        <f>V_Model_CB!AG78</f>
        <v/>
      </c>
      <c r="AH575" s="626">
        <f>V_Model_CB!AH78</f>
        <v/>
      </c>
      <c r="AI575" s="626">
        <f>V_Model_CB!AI78</f>
        <v/>
      </c>
      <c r="AJ575" s="626">
        <f>V_Model_CB!AJ78</f>
        <v/>
      </c>
      <c r="AK575" s="626">
        <f>V_Model_CB!AK78</f>
        <v/>
      </c>
      <c r="AL575" s="626">
        <f>V_Model_CB!AL78</f>
        <v/>
      </c>
      <c r="AM575" s="626">
        <f>V_Model_CB!AM78</f>
        <v/>
      </c>
      <c r="AN575" s="626">
        <f>V_Model_CB!AN78</f>
        <v/>
      </c>
      <c r="AO575" s="626">
        <f>V_Model_CB!AO78</f>
        <v/>
      </c>
      <c r="AP575" s="369">
        <f>V_Model_CB!AP78</f>
        <v/>
      </c>
      <c r="AQ575" s="369">
        <f>V_Model_CB!AQ78</f>
        <v/>
      </c>
      <c r="AR575" s="369">
        <f>V_Model_CB!AR78</f>
        <v/>
      </c>
      <c r="AS575" s="369">
        <f>V_Model_CB!AS78</f>
        <v/>
      </c>
      <c r="AT575" s="370">
        <f>V_Model_CB!AT78</f>
        <v/>
      </c>
      <c r="AU575" s="370">
        <f>V_Model_CB!AU78</f>
        <v/>
      </c>
      <c r="AV575" s="370">
        <f>V_Model_CB!AV78</f>
        <v/>
      </c>
      <c r="AW575" s="370">
        <f>V_Model_CB!AW78</f>
        <v/>
      </c>
      <c r="AX575">
        <f>V_Model_CB!AX78</f>
        <v/>
      </c>
      <c r="AY575">
        <f>V_Model_CB!AY78</f>
        <v/>
      </c>
      <c r="AZ575">
        <f>V_Model_CB!AZ78</f>
        <v/>
      </c>
      <c r="BA575">
        <f>V_Model_CB!BA78</f>
        <v/>
      </c>
      <c r="BB575">
        <f>V_Model_CB!BB78</f>
        <v/>
      </c>
      <c r="BC575">
        <f>V_Model_CB!BC78</f>
        <v/>
      </c>
      <c r="BD575">
        <f>V_Model_CB!BD78</f>
        <v/>
      </c>
      <c r="BE575">
        <f>V_Model_CB!BE78</f>
        <v/>
      </c>
      <c r="BF575">
        <f>V_Model_CB!BF78</f>
        <v/>
      </c>
      <c r="BG575">
        <f>V_Model_CB!BG78</f>
        <v/>
      </c>
      <c r="BH575">
        <f>V_Model_CB!BH78</f>
        <v/>
      </c>
      <c r="BI575">
        <f>V_Model_CB!BI78</f>
        <v/>
      </c>
      <c r="BJ575">
        <f>O575</f>
        <v/>
      </c>
      <c r="BK575">
        <f>SUM(AG575:AW575)</f>
        <v/>
      </c>
      <c r="BL575" s="531">
        <f>BJ575-BK575</f>
        <v/>
      </c>
      <c r="BM575" s="201" t="n"/>
    </row>
    <row r="576" hidden="1" outlineLevel="1" s="191">
      <c r="A576">
        <f>V_Model_CB!A79</f>
        <v/>
      </c>
      <c r="B576">
        <f>V_Model_CB!B79</f>
        <v/>
      </c>
      <c r="C576">
        <f>V_Model_CB!C79</f>
        <v/>
      </c>
      <c r="D576">
        <f>V_Model_CB!D79</f>
        <v/>
      </c>
      <c r="E576">
        <f>V_Model_CB!E79</f>
        <v/>
      </c>
      <c r="F576">
        <f>V_Model_CB!F79</f>
        <v/>
      </c>
      <c r="G576">
        <f>V_Model_CB!G79</f>
        <v/>
      </c>
      <c r="H576">
        <f>V_Model_CB!H78</f>
        <v/>
      </c>
      <c r="I576">
        <f>V_Model_CB!I79</f>
        <v/>
      </c>
      <c r="J576">
        <f>V_Model_CB!J79</f>
        <v/>
      </c>
      <c r="K576" s="672">
        <f>V_Model_CB!K79</f>
        <v/>
      </c>
      <c r="L576" s="672">
        <f>V_Model_CB!L79</f>
        <v/>
      </c>
      <c r="M576">
        <f>V_Model_CB!M79</f>
        <v/>
      </c>
      <c r="N576">
        <f>V_Model_CB!N79</f>
        <v/>
      </c>
      <c r="O576">
        <f>V_Model_CB!O79</f>
        <v/>
      </c>
      <c r="P576" s="628">
        <f>V_Model_CB!P79</f>
        <v/>
      </c>
      <c r="Q576" s="628">
        <f>V_Model_CB!Q79</f>
        <v/>
      </c>
      <c r="R576" s="628">
        <f>V_Model_CB!R79</f>
        <v/>
      </c>
      <c r="S576" s="628">
        <f>V_Model_CB!S79</f>
        <v/>
      </c>
      <c r="T576" s="628">
        <f>V_Model_CB!T79</f>
        <v/>
      </c>
      <c r="U576" s="628">
        <f>V_Model_CB!U79</f>
        <v/>
      </c>
      <c r="V576" s="628">
        <f>V_Model_CB!V79</f>
        <v/>
      </c>
      <c r="W576" s="628">
        <f>V_Model_CB!W79</f>
        <v/>
      </c>
      <c r="X576" s="628">
        <f>V_Model_CB!X79</f>
        <v/>
      </c>
      <c r="Y576" s="650">
        <f>V_Model_CB!Y79</f>
        <v/>
      </c>
      <c r="Z576" s="650">
        <f>V_Model_CB!Z79</f>
        <v/>
      </c>
      <c r="AA576" s="650">
        <f>V_Model_CB!AA79</f>
        <v/>
      </c>
      <c r="AB576" s="650">
        <f>V_Model_CB!AB79</f>
        <v/>
      </c>
      <c r="AC576" s="613">
        <f>V_Model_CB!AC79</f>
        <v/>
      </c>
      <c r="AD576" s="613">
        <f>V_Model_CB!AD79</f>
        <v/>
      </c>
      <c r="AE576" s="613">
        <f>V_Model_CB!AE79</f>
        <v/>
      </c>
      <c r="AF576" s="613">
        <f>V_Model_CB!AF79</f>
        <v/>
      </c>
      <c r="AG576" s="626">
        <f>V_Model_CB!AG79</f>
        <v/>
      </c>
      <c r="AH576" s="626">
        <f>V_Model_CB!AH79</f>
        <v/>
      </c>
      <c r="AI576" s="626">
        <f>V_Model_CB!AI79</f>
        <v/>
      </c>
      <c r="AJ576" s="626">
        <f>V_Model_CB!AJ79</f>
        <v/>
      </c>
      <c r="AK576" s="626">
        <f>V_Model_CB!AK79</f>
        <v/>
      </c>
      <c r="AL576" s="626">
        <f>V_Model_CB!AL79</f>
        <v/>
      </c>
      <c r="AM576" s="626">
        <f>V_Model_CB!AM79</f>
        <v/>
      </c>
      <c r="AN576" s="626">
        <f>V_Model_CB!AN79</f>
        <v/>
      </c>
      <c r="AO576" s="626">
        <f>V_Model_CB!AO79</f>
        <v/>
      </c>
      <c r="AP576" s="369">
        <f>V_Model_CB!AP79</f>
        <v/>
      </c>
      <c r="AQ576" s="369">
        <f>V_Model_CB!AQ79</f>
        <v/>
      </c>
      <c r="AR576" s="369">
        <f>V_Model_CB!AR79</f>
        <v/>
      </c>
      <c r="AS576" s="369">
        <f>V_Model_CB!AS79</f>
        <v/>
      </c>
      <c r="AT576" s="370">
        <f>V_Model_CB!AT79</f>
        <v/>
      </c>
      <c r="AU576" s="370">
        <f>V_Model_CB!AU79</f>
        <v/>
      </c>
      <c r="AV576" s="370">
        <f>V_Model_CB!AV79</f>
        <v/>
      </c>
      <c r="AW576" s="370">
        <f>V_Model_CB!AW79</f>
        <v/>
      </c>
      <c r="AX576">
        <f>V_Model_CB!AX79</f>
        <v/>
      </c>
      <c r="AY576">
        <f>V_Model_CB!AY79</f>
        <v/>
      </c>
      <c r="AZ576">
        <f>V_Model_CB!AZ79</f>
        <v/>
      </c>
      <c r="BA576">
        <f>V_Model_CB!BA79</f>
        <v/>
      </c>
      <c r="BB576">
        <f>V_Model_CB!BB79</f>
        <v/>
      </c>
      <c r="BC576">
        <f>V_Model_CB!BC79</f>
        <v/>
      </c>
      <c r="BD576">
        <f>V_Model_CB!BD79</f>
        <v/>
      </c>
      <c r="BE576">
        <f>V_Model_CB!BE79</f>
        <v/>
      </c>
      <c r="BF576">
        <f>V_Model_CB!BF79</f>
        <v/>
      </c>
      <c r="BG576">
        <f>V_Model_CB!BG79</f>
        <v/>
      </c>
      <c r="BH576">
        <f>V_Model_CB!BH79</f>
        <v/>
      </c>
      <c r="BI576">
        <f>V_Model_CB!BI79</f>
        <v/>
      </c>
      <c r="BJ576">
        <f>O576</f>
        <v/>
      </c>
      <c r="BK576">
        <f>SUM(AG576:AW576)</f>
        <v/>
      </c>
      <c r="BL576" s="531">
        <f>BJ576-BK576</f>
        <v/>
      </c>
      <c r="BM576" s="201" t="n"/>
    </row>
    <row r="577" hidden="1" outlineLevel="1" s="191">
      <c r="A577">
        <f>V_Model_CB!A80</f>
        <v/>
      </c>
      <c r="B577">
        <f>V_Model_CB!B80</f>
        <v/>
      </c>
      <c r="C577">
        <f>V_Model_CB!C80</f>
        <v/>
      </c>
      <c r="D577">
        <f>V_Model_CB!D80</f>
        <v/>
      </c>
      <c r="E577">
        <f>V_Model_CB!E80</f>
        <v/>
      </c>
      <c r="F577">
        <f>V_Model_CB!F80</f>
        <v/>
      </c>
      <c r="G577">
        <f>V_Model_CB!G80</f>
        <v/>
      </c>
      <c r="H577">
        <f>V_Model_CB!H79</f>
        <v/>
      </c>
      <c r="I577">
        <f>V_Model_CB!I80</f>
        <v/>
      </c>
      <c r="J577">
        <f>V_Model_CB!J80</f>
        <v/>
      </c>
      <c r="K577" s="672">
        <f>V_Model_CB!K80</f>
        <v/>
      </c>
      <c r="L577" s="672">
        <f>V_Model_CB!L80</f>
        <v/>
      </c>
      <c r="M577">
        <f>V_Model_CB!M80</f>
        <v/>
      </c>
      <c r="N577">
        <f>V_Model_CB!N80</f>
        <v/>
      </c>
      <c r="O577">
        <f>V_Model_CB!O80</f>
        <v/>
      </c>
      <c r="P577" s="628">
        <f>V_Model_CB!P80</f>
        <v/>
      </c>
      <c r="Q577" s="628">
        <f>V_Model_CB!Q80</f>
        <v/>
      </c>
      <c r="R577" s="628">
        <f>V_Model_CB!R80</f>
        <v/>
      </c>
      <c r="S577" s="628">
        <f>V_Model_CB!S80</f>
        <v/>
      </c>
      <c r="T577" s="628">
        <f>V_Model_CB!T80</f>
        <v/>
      </c>
      <c r="U577" s="628">
        <f>V_Model_CB!U80</f>
        <v/>
      </c>
      <c r="V577" s="628">
        <f>V_Model_CB!V80</f>
        <v/>
      </c>
      <c r="W577" s="628">
        <f>V_Model_CB!W80</f>
        <v/>
      </c>
      <c r="X577" s="628">
        <f>V_Model_CB!X80</f>
        <v/>
      </c>
      <c r="Y577" s="650">
        <f>V_Model_CB!Y80</f>
        <v/>
      </c>
      <c r="Z577" s="650">
        <f>V_Model_CB!Z80</f>
        <v/>
      </c>
      <c r="AA577" s="650">
        <f>V_Model_CB!AA80</f>
        <v/>
      </c>
      <c r="AB577" s="650">
        <f>V_Model_CB!AB80</f>
        <v/>
      </c>
      <c r="AC577" s="613">
        <f>V_Model_CB!AC80</f>
        <v/>
      </c>
      <c r="AD577" s="613">
        <f>V_Model_CB!AD80</f>
        <v/>
      </c>
      <c r="AE577" s="613">
        <f>V_Model_CB!AE80</f>
        <v/>
      </c>
      <c r="AF577" s="613">
        <f>V_Model_CB!AF80</f>
        <v/>
      </c>
      <c r="AG577" s="626">
        <f>V_Model_CB!AG80</f>
        <v/>
      </c>
      <c r="AH577" s="626">
        <f>V_Model_CB!AH80</f>
        <v/>
      </c>
      <c r="AI577" s="626">
        <f>V_Model_CB!AI80</f>
        <v/>
      </c>
      <c r="AJ577" s="626">
        <f>V_Model_CB!AJ80</f>
        <v/>
      </c>
      <c r="AK577" s="626">
        <f>V_Model_CB!AK80</f>
        <v/>
      </c>
      <c r="AL577" s="626">
        <f>V_Model_CB!AL80</f>
        <v/>
      </c>
      <c r="AM577" s="626">
        <f>V_Model_CB!AM80</f>
        <v/>
      </c>
      <c r="AN577" s="626">
        <f>V_Model_CB!AN80</f>
        <v/>
      </c>
      <c r="AO577" s="626">
        <f>V_Model_CB!AO80</f>
        <v/>
      </c>
      <c r="AP577" s="369">
        <f>V_Model_CB!AP80</f>
        <v/>
      </c>
      <c r="AQ577" s="369">
        <f>V_Model_CB!AQ80</f>
        <v/>
      </c>
      <c r="AR577" s="369">
        <f>V_Model_CB!AR80</f>
        <v/>
      </c>
      <c r="AS577" s="369">
        <f>V_Model_CB!AS80</f>
        <v/>
      </c>
      <c r="AT577" s="370">
        <f>V_Model_CB!AT80</f>
        <v/>
      </c>
      <c r="AU577" s="370">
        <f>V_Model_CB!AU80</f>
        <v/>
      </c>
      <c r="AV577" s="370">
        <f>V_Model_CB!AV80</f>
        <v/>
      </c>
      <c r="AW577" s="370">
        <f>V_Model_CB!AW80</f>
        <v/>
      </c>
      <c r="AX577">
        <f>V_Model_CB!AX80</f>
        <v/>
      </c>
      <c r="AY577">
        <f>V_Model_CB!AY80</f>
        <v/>
      </c>
      <c r="AZ577">
        <f>V_Model_CB!AZ80</f>
        <v/>
      </c>
      <c r="BA577">
        <f>V_Model_CB!BA80</f>
        <v/>
      </c>
      <c r="BB577">
        <f>V_Model_CB!BB80</f>
        <v/>
      </c>
      <c r="BC577">
        <f>V_Model_CB!BC80</f>
        <v/>
      </c>
      <c r="BD577">
        <f>V_Model_CB!BD80</f>
        <v/>
      </c>
      <c r="BE577">
        <f>V_Model_CB!BE80</f>
        <v/>
      </c>
      <c r="BF577">
        <f>V_Model_CB!BF80</f>
        <v/>
      </c>
      <c r="BG577">
        <f>V_Model_CB!BG80</f>
        <v/>
      </c>
      <c r="BH577">
        <f>V_Model_CB!BH80</f>
        <v/>
      </c>
      <c r="BI577">
        <f>V_Model_CB!BI80</f>
        <v/>
      </c>
      <c r="BJ577">
        <f>O577</f>
        <v/>
      </c>
      <c r="BK577">
        <f>SUM(AG577:AW577)</f>
        <v/>
      </c>
      <c r="BL577" s="531">
        <f>BJ577-BK577</f>
        <v/>
      </c>
      <c r="BM577" s="201" t="n"/>
    </row>
    <row r="578" hidden="1" outlineLevel="1" s="191">
      <c r="A578">
        <f>V_Model_CB!A81</f>
        <v/>
      </c>
      <c r="B578">
        <f>V_Model_CB!B81</f>
        <v/>
      </c>
      <c r="C578">
        <f>V_Model_CB!C81</f>
        <v/>
      </c>
      <c r="D578">
        <f>V_Model_CB!D81</f>
        <v/>
      </c>
      <c r="E578">
        <f>V_Model_CB!E81</f>
        <v/>
      </c>
      <c r="F578">
        <f>V_Model_CB!F81</f>
        <v/>
      </c>
      <c r="G578">
        <f>V_Model_CB!G81</f>
        <v/>
      </c>
      <c r="H578">
        <f>V_Model_CB!H80</f>
        <v/>
      </c>
      <c r="I578">
        <f>V_Model_CB!I81</f>
        <v/>
      </c>
      <c r="J578">
        <f>V_Model_CB!J81</f>
        <v/>
      </c>
      <c r="K578" s="672">
        <f>V_Model_CB!K81</f>
        <v/>
      </c>
      <c r="L578" s="672">
        <f>V_Model_CB!L81</f>
        <v/>
      </c>
      <c r="M578">
        <f>V_Model_CB!M81</f>
        <v/>
      </c>
      <c r="N578">
        <f>V_Model_CB!N81</f>
        <v/>
      </c>
      <c r="O578">
        <f>V_Model_CB!O81</f>
        <v/>
      </c>
      <c r="P578" s="628">
        <f>V_Model_CB!P81</f>
        <v/>
      </c>
      <c r="Q578" s="628">
        <f>V_Model_CB!Q81</f>
        <v/>
      </c>
      <c r="R578" s="628">
        <f>V_Model_CB!R81</f>
        <v/>
      </c>
      <c r="S578" s="628">
        <f>V_Model_CB!S81</f>
        <v/>
      </c>
      <c r="T578" s="628">
        <f>V_Model_CB!T81</f>
        <v/>
      </c>
      <c r="U578" s="628">
        <f>V_Model_CB!U81</f>
        <v/>
      </c>
      <c r="V578" s="628">
        <f>V_Model_CB!V81</f>
        <v/>
      </c>
      <c r="W578" s="628">
        <f>V_Model_CB!W81</f>
        <v/>
      </c>
      <c r="X578" s="628">
        <f>V_Model_CB!X81</f>
        <v/>
      </c>
      <c r="Y578" s="650">
        <f>V_Model_CB!Y81</f>
        <v/>
      </c>
      <c r="Z578" s="650">
        <f>V_Model_CB!Z81</f>
        <v/>
      </c>
      <c r="AA578" s="650">
        <f>V_Model_CB!AA81</f>
        <v/>
      </c>
      <c r="AB578" s="650">
        <f>V_Model_CB!AB81</f>
        <v/>
      </c>
      <c r="AC578" s="613">
        <f>V_Model_CB!AC81</f>
        <v/>
      </c>
      <c r="AD578" s="613">
        <f>V_Model_CB!AD81</f>
        <v/>
      </c>
      <c r="AE578" s="613">
        <f>V_Model_CB!AE81</f>
        <v/>
      </c>
      <c r="AF578" s="613">
        <f>V_Model_CB!AF81</f>
        <v/>
      </c>
      <c r="AG578" s="626">
        <f>V_Model_CB!AG81</f>
        <v/>
      </c>
      <c r="AH578" s="626">
        <f>V_Model_CB!AH81</f>
        <v/>
      </c>
      <c r="AI578" s="626">
        <f>V_Model_CB!AI81</f>
        <v/>
      </c>
      <c r="AJ578" s="626">
        <f>V_Model_CB!AJ81</f>
        <v/>
      </c>
      <c r="AK578" s="626">
        <f>V_Model_CB!AK81</f>
        <v/>
      </c>
      <c r="AL578" s="626">
        <f>V_Model_CB!AL81</f>
        <v/>
      </c>
      <c r="AM578" s="626">
        <f>V_Model_CB!AM81</f>
        <v/>
      </c>
      <c r="AN578" s="626">
        <f>V_Model_CB!AN81</f>
        <v/>
      </c>
      <c r="AO578" s="626">
        <f>V_Model_CB!AO81</f>
        <v/>
      </c>
      <c r="AP578" s="369">
        <f>V_Model_CB!AP81</f>
        <v/>
      </c>
      <c r="AQ578" s="369">
        <f>V_Model_CB!AQ81</f>
        <v/>
      </c>
      <c r="AR578" s="369">
        <f>V_Model_CB!AR81</f>
        <v/>
      </c>
      <c r="AS578" s="369">
        <f>V_Model_CB!AS81</f>
        <v/>
      </c>
      <c r="AT578" s="370">
        <f>V_Model_CB!AT81</f>
        <v/>
      </c>
      <c r="AU578" s="370">
        <f>V_Model_CB!AU81</f>
        <v/>
      </c>
      <c r="AV578" s="370">
        <f>V_Model_CB!AV81</f>
        <v/>
      </c>
      <c r="AW578" s="370">
        <f>V_Model_CB!AW81</f>
        <v/>
      </c>
      <c r="AX578">
        <f>V_Model_CB!AX81</f>
        <v/>
      </c>
      <c r="AY578">
        <f>V_Model_CB!AY81</f>
        <v/>
      </c>
      <c r="AZ578">
        <f>V_Model_CB!AZ81</f>
        <v/>
      </c>
      <c r="BA578">
        <f>V_Model_CB!BA81</f>
        <v/>
      </c>
      <c r="BB578">
        <f>V_Model_CB!BB81</f>
        <v/>
      </c>
      <c r="BC578">
        <f>V_Model_CB!BC81</f>
        <v/>
      </c>
      <c r="BD578">
        <f>V_Model_CB!BD81</f>
        <v/>
      </c>
      <c r="BE578">
        <f>V_Model_CB!BE81</f>
        <v/>
      </c>
      <c r="BF578">
        <f>V_Model_CB!BF81</f>
        <v/>
      </c>
      <c r="BG578">
        <f>V_Model_CB!BG81</f>
        <v/>
      </c>
      <c r="BH578">
        <f>V_Model_CB!BH81</f>
        <v/>
      </c>
      <c r="BI578">
        <f>V_Model_CB!BI81</f>
        <v/>
      </c>
      <c r="BJ578">
        <f>O578</f>
        <v/>
      </c>
      <c r="BK578">
        <f>SUM(AG578:AW578)</f>
        <v/>
      </c>
      <c r="BL578" s="531">
        <f>BJ578-BK578</f>
        <v/>
      </c>
      <c r="BM578" s="201" t="n"/>
    </row>
    <row r="579" hidden="1" outlineLevel="1" s="191">
      <c r="A579">
        <f>V_Model_CB!A82</f>
        <v/>
      </c>
      <c r="B579">
        <f>V_Model_CB!B82</f>
        <v/>
      </c>
      <c r="C579">
        <f>V_Model_CB!C82</f>
        <v/>
      </c>
      <c r="D579">
        <f>V_Model_CB!D82</f>
        <v/>
      </c>
      <c r="E579">
        <f>V_Model_CB!E82</f>
        <v/>
      </c>
      <c r="F579">
        <f>V_Model_CB!F82</f>
        <v/>
      </c>
      <c r="G579">
        <f>V_Model_CB!G82</f>
        <v/>
      </c>
      <c r="H579">
        <f>V_Model_CB!H81</f>
        <v/>
      </c>
      <c r="I579">
        <f>V_Model_CB!I82</f>
        <v/>
      </c>
      <c r="J579">
        <f>V_Model_CB!J82</f>
        <v/>
      </c>
      <c r="K579" s="672">
        <f>V_Model_CB!K82</f>
        <v/>
      </c>
      <c r="L579" s="672">
        <f>V_Model_CB!L82</f>
        <v/>
      </c>
      <c r="M579">
        <f>V_Model_CB!M82</f>
        <v/>
      </c>
      <c r="N579">
        <f>V_Model_CB!N82</f>
        <v/>
      </c>
      <c r="O579">
        <f>V_Model_CB!O82</f>
        <v/>
      </c>
      <c r="P579" s="628">
        <f>V_Model_CB!P82</f>
        <v/>
      </c>
      <c r="Q579" s="628">
        <f>V_Model_CB!Q82</f>
        <v/>
      </c>
      <c r="R579" s="628">
        <f>V_Model_CB!R82</f>
        <v/>
      </c>
      <c r="S579" s="628">
        <f>V_Model_CB!S82</f>
        <v/>
      </c>
      <c r="T579" s="628">
        <f>V_Model_CB!T82</f>
        <v/>
      </c>
      <c r="U579" s="628">
        <f>V_Model_CB!U82</f>
        <v/>
      </c>
      <c r="V579" s="628">
        <f>V_Model_CB!V82</f>
        <v/>
      </c>
      <c r="W579" s="628">
        <f>V_Model_CB!W82</f>
        <v/>
      </c>
      <c r="X579" s="628">
        <f>V_Model_CB!X82</f>
        <v/>
      </c>
      <c r="Y579" s="650">
        <f>V_Model_CB!Y82</f>
        <v/>
      </c>
      <c r="Z579" s="650">
        <f>V_Model_CB!Z82</f>
        <v/>
      </c>
      <c r="AA579" s="650">
        <f>V_Model_CB!AA82</f>
        <v/>
      </c>
      <c r="AB579" s="650">
        <f>V_Model_CB!AB82</f>
        <v/>
      </c>
      <c r="AC579" s="613">
        <f>V_Model_CB!AC82</f>
        <v/>
      </c>
      <c r="AD579" s="613">
        <f>V_Model_CB!AD82</f>
        <v/>
      </c>
      <c r="AE579" s="613">
        <f>V_Model_CB!AE82</f>
        <v/>
      </c>
      <c r="AF579" s="613">
        <f>V_Model_CB!AF82</f>
        <v/>
      </c>
      <c r="AG579" s="626">
        <f>V_Model_CB!AG82</f>
        <v/>
      </c>
      <c r="AH579" s="626">
        <f>V_Model_CB!AH82</f>
        <v/>
      </c>
      <c r="AI579" s="626">
        <f>V_Model_CB!AI82</f>
        <v/>
      </c>
      <c r="AJ579" s="626">
        <f>V_Model_CB!AJ82</f>
        <v/>
      </c>
      <c r="AK579" s="626">
        <f>V_Model_CB!AK82</f>
        <v/>
      </c>
      <c r="AL579" s="626">
        <f>V_Model_CB!AL82</f>
        <v/>
      </c>
      <c r="AM579" s="626">
        <f>V_Model_CB!AM82</f>
        <v/>
      </c>
      <c r="AN579" s="626">
        <f>V_Model_CB!AN82</f>
        <v/>
      </c>
      <c r="AO579" s="626">
        <f>V_Model_CB!AO82</f>
        <v/>
      </c>
      <c r="AP579" s="369">
        <f>V_Model_CB!AP82</f>
        <v/>
      </c>
      <c r="AQ579" s="369">
        <f>V_Model_CB!AQ82</f>
        <v/>
      </c>
      <c r="AR579" s="369">
        <f>V_Model_CB!AR82</f>
        <v/>
      </c>
      <c r="AS579" s="369">
        <f>V_Model_CB!AS82</f>
        <v/>
      </c>
      <c r="AT579" s="370">
        <f>V_Model_CB!AT82</f>
        <v/>
      </c>
      <c r="AU579" s="370">
        <f>V_Model_CB!AU82</f>
        <v/>
      </c>
      <c r="AV579" s="370">
        <f>V_Model_CB!AV82</f>
        <v/>
      </c>
      <c r="AW579" s="370">
        <f>V_Model_CB!AW82</f>
        <v/>
      </c>
      <c r="AX579">
        <f>V_Model_CB!AX82</f>
        <v/>
      </c>
      <c r="AY579">
        <f>V_Model_CB!AY82</f>
        <v/>
      </c>
      <c r="AZ579">
        <f>V_Model_CB!AZ82</f>
        <v/>
      </c>
      <c r="BA579">
        <f>V_Model_CB!BA82</f>
        <v/>
      </c>
      <c r="BB579">
        <f>V_Model_CB!BB82</f>
        <v/>
      </c>
      <c r="BC579">
        <f>V_Model_CB!BC82</f>
        <v/>
      </c>
      <c r="BD579">
        <f>V_Model_CB!BD82</f>
        <v/>
      </c>
      <c r="BE579">
        <f>V_Model_CB!BE82</f>
        <v/>
      </c>
      <c r="BF579">
        <f>V_Model_CB!BF82</f>
        <v/>
      </c>
      <c r="BG579">
        <f>V_Model_CB!BG82</f>
        <v/>
      </c>
      <c r="BH579">
        <f>V_Model_CB!BH82</f>
        <v/>
      </c>
      <c r="BI579">
        <f>V_Model_CB!BI82</f>
        <v/>
      </c>
      <c r="BJ579">
        <f>O579</f>
        <v/>
      </c>
      <c r="BK579">
        <f>SUM(AG579:AW579)</f>
        <v/>
      </c>
      <c r="BL579" s="531">
        <f>BJ579-BK579</f>
        <v/>
      </c>
      <c r="BM579" s="201" t="n"/>
    </row>
    <row r="580" hidden="1" outlineLevel="1" s="191">
      <c r="A580">
        <f>V_Model_CB!A83</f>
        <v/>
      </c>
      <c r="B580">
        <f>V_Model_CB!B83</f>
        <v/>
      </c>
      <c r="C580">
        <f>V_Model_CB!C83</f>
        <v/>
      </c>
      <c r="D580">
        <f>V_Model_CB!D83</f>
        <v/>
      </c>
      <c r="E580">
        <f>V_Model_CB!E83</f>
        <v/>
      </c>
      <c r="F580">
        <f>V_Model_CB!F83</f>
        <v/>
      </c>
      <c r="G580">
        <f>V_Model_CB!G83</f>
        <v/>
      </c>
      <c r="H580">
        <f>V_Model_CB!H82</f>
        <v/>
      </c>
      <c r="I580">
        <f>V_Model_CB!I83</f>
        <v/>
      </c>
      <c r="J580">
        <f>V_Model_CB!J83</f>
        <v/>
      </c>
      <c r="K580" s="672">
        <f>V_Model_CB!K83</f>
        <v/>
      </c>
      <c r="L580" s="672">
        <f>V_Model_CB!L83</f>
        <v/>
      </c>
      <c r="M580">
        <f>V_Model_CB!M83</f>
        <v/>
      </c>
      <c r="N580">
        <f>V_Model_CB!N83</f>
        <v/>
      </c>
      <c r="O580">
        <f>V_Model_CB!O83</f>
        <v/>
      </c>
      <c r="P580" s="628">
        <f>V_Model_CB!P83</f>
        <v/>
      </c>
      <c r="Q580" s="628">
        <f>V_Model_CB!Q83</f>
        <v/>
      </c>
      <c r="R580" s="628">
        <f>V_Model_CB!R83</f>
        <v/>
      </c>
      <c r="S580" s="628">
        <f>V_Model_CB!S83</f>
        <v/>
      </c>
      <c r="T580" s="628">
        <f>V_Model_CB!T83</f>
        <v/>
      </c>
      <c r="U580" s="628">
        <f>V_Model_CB!U83</f>
        <v/>
      </c>
      <c r="V580" s="628">
        <f>V_Model_CB!V83</f>
        <v/>
      </c>
      <c r="W580" s="628">
        <f>V_Model_CB!W83</f>
        <v/>
      </c>
      <c r="X580" s="628">
        <f>V_Model_CB!X83</f>
        <v/>
      </c>
      <c r="Y580" s="650">
        <f>V_Model_CB!Y83</f>
        <v/>
      </c>
      <c r="Z580" s="650">
        <f>V_Model_CB!Z83</f>
        <v/>
      </c>
      <c r="AA580" s="650">
        <f>V_Model_CB!AA83</f>
        <v/>
      </c>
      <c r="AB580" s="650">
        <f>V_Model_CB!AB83</f>
        <v/>
      </c>
      <c r="AC580" s="613">
        <f>V_Model_CB!AC83</f>
        <v/>
      </c>
      <c r="AD580" s="613">
        <f>V_Model_CB!AD83</f>
        <v/>
      </c>
      <c r="AE580" s="613">
        <f>V_Model_CB!AE83</f>
        <v/>
      </c>
      <c r="AF580" s="613">
        <f>V_Model_CB!AF83</f>
        <v/>
      </c>
      <c r="AG580" s="626">
        <f>V_Model_CB!AG83</f>
        <v/>
      </c>
      <c r="AH580" s="626">
        <f>V_Model_CB!AH83</f>
        <v/>
      </c>
      <c r="AI580" s="626">
        <f>V_Model_CB!AI83</f>
        <v/>
      </c>
      <c r="AJ580" s="626">
        <f>V_Model_CB!AJ83</f>
        <v/>
      </c>
      <c r="AK580" s="626">
        <f>V_Model_CB!AK83</f>
        <v/>
      </c>
      <c r="AL580" s="626">
        <f>V_Model_CB!AL83</f>
        <v/>
      </c>
      <c r="AM580" s="626">
        <f>V_Model_CB!AM83</f>
        <v/>
      </c>
      <c r="AN580" s="626">
        <f>V_Model_CB!AN83</f>
        <v/>
      </c>
      <c r="AO580" s="626">
        <f>V_Model_CB!AO83</f>
        <v/>
      </c>
      <c r="AP580" s="369">
        <f>V_Model_CB!AP83</f>
        <v/>
      </c>
      <c r="AQ580" s="369">
        <f>V_Model_CB!AQ83</f>
        <v/>
      </c>
      <c r="AR580" s="369">
        <f>V_Model_CB!AR83</f>
        <v/>
      </c>
      <c r="AS580" s="369">
        <f>V_Model_CB!AS83</f>
        <v/>
      </c>
      <c r="AT580" s="370">
        <f>V_Model_CB!AT83</f>
        <v/>
      </c>
      <c r="AU580" s="370">
        <f>V_Model_CB!AU83</f>
        <v/>
      </c>
      <c r="AV580" s="370">
        <f>V_Model_CB!AV83</f>
        <v/>
      </c>
      <c r="AW580" s="370">
        <f>V_Model_CB!AW83</f>
        <v/>
      </c>
      <c r="AX580">
        <f>V_Model_CB!AX83</f>
        <v/>
      </c>
      <c r="AY580">
        <f>V_Model_CB!AY83</f>
        <v/>
      </c>
      <c r="AZ580">
        <f>V_Model_CB!AZ83</f>
        <v/>
      </c>
      <c r="BA580">
        <f>V_Model_CB!BA83</f>
        <v/>
      </c>
      <c r="BB580">
        <f>V_Model_CB!BB83</f>
        <v/>
      </c>
      <c r="BC580">
        <f>V_Model_CB!BC83</f>
        <v/>
      </c>
      <c r="BD580">
        <f>V_Model_CB!BD83</f>
        <v/>
      </c>
      <c r="BE580">
        <f>V_Model_CB!BE83</f>
        <v/>
      </c>
      <c r="BF580">
        <f>V_Model_CB!BF83</f>
        <v/>
      </c>
      <c r="BG580">
        <f>V_Model_CB!BG83</f>
        <v/>
      </c>
      <c r="BH580">
        <f>V_Model_CB!BH83</f>
        <v/>
      </c>
      <c r="BI580">
        <f>V_Model_CB!BI83</f>
        <v/>
      </c>
      <c r="BJ580">
        <f>O580</f>
        <v/>
      </c>
      <c r="BK580">
        <f>SUM(AG580:AW580)</f>
        <v/>
      </c>
      <c r="BL580" s="531">
        <f>BJ580-BK580</f>
        <v/>
      </c>
      <c r="BM580" s="201" t="n"/>
    </row>
    <row r="581" hidden="1" outlineLevel="1" s="191">
      <c r="A581">
        <f>V_Model_CB!A84</f>
        <v/>
      </c>
      <c r="B581">
        <f>V_Model_CB!B84</f>
        <v/>
      </c>
      <c r="C581">
        <f>V_Model_CB!C84</f>
        <v/>
      </c>
      <c r="D581">
        <f>V_Model_CB!D84</f>
        <v/>
      </c>
      <c r="E581">
        <f>V_Model_CB!E84</f>
        <v/>
      </c>
      <c r="F581">
        <f>V_Model_CB!F84</f>
        <v/>
      </c>
      <c r="G581">
        <f>V_Model_CB!G84</f>
        <v/>
      </c>
      <c r="H581">
        <f>V_Model_CB!H83</f>
        <v/>
      </c>
      <c r="I581">
        <f>V_Model_CB!I84</f>
        <v/>
      </c>
      <c r="J581">
        <f>V_Model_CB!J84</f>
        <v/>
      </c>
      <c r="K581" s="672">
        <f>V_Model_CB!K84</f>
        <v/>
      </c>
      <c r="L581" s="672">
        <f>V_Model_CB!L84</f>
        <v/>
      </c>
      <c r="M581">
        <f>V_Model_CB!M84</f>
        <v/>
      </c>
      <c r="N581">
        <f>V_Model_CB!N84</f>
        <v/>
      </c>
      <c r="O581">
        <f>V_Model_CB!O84</f>
        <v/>
      </c>
      <c r="P581" s="628">
        <f>V_Model_CB!P84</f>
        <v/>
      </c>
      <c r="Q581" s="628">
        <f>V_Model_CB!Q84</f>
        <v/>
      </c>
      <c r="R581" s="628">
        <f>V_Model_CB!R84</f>
        <v/>
      </c>
      <c r="S581" s="628">
        <f>V_Model_CB!S84</f>
        <v/>
      </c>
      <c r="T581" s="628">
        <f>V_Model_CB!T84</f>
        <v/>
      </c>
      <c r="U581" s="628">
        <f>V_Model_CB!U84</f>
        <v/>
      </c>
      <c r="V581" s="628">
        <f>V_Model_CB!V84</f>
        <v/>
      </c>
      <c r="W581" s="628">
        <f>V_Model_CB!W84</f>
        <v/>
      </c>
      <c r="X581" s="628">
        <f>V_Model_CB!X84</f>
        <v/>
      </c>
      <c r="Y581" s="650">
        <f>V_Model_CB!Y84</f>
        <v/>
      </c>
      <c r="Z581" s="650">
        <f>V_Model_CB!Z84</f>
        <v/>
      </c>
      <c r="AA581" s="650">
        <f>V_Model_CB!AA84</f>
        <v/>
      </c>
      <c r="AB581" s="650">
        <f>V_Model_CB!AB84</f>
        <v/>
      </c>
      <c r="AC581" s="613">
        <f>V_Model_CB!AC84</f>
        <v/>
      </c>
      <c r="AD581" s="613">
        <f>V_Model_CB!AD84</f>
        <v/>
      </c>
      <c r="AE581" s="613">
        <f>V_Model_CB!AE84</f>
        <v/>
      </c>
      <c r="AF581" s="613">
        <f>V_Model_CB!AF84</f>
        <v/>
      </c>
      <c r="AG581" s="626">
        <f>V_Model_CB!AG84</f>
        <v/>
      </c>
      <c r="AH581" s="626">
        <f>V_Model_CB!AH84</f>
        <v/>
      </c>
      <c r="AI581" s="626">
        <f>V_Model_CB!AI84</f>
        <v/>
      </c>
      <c r="AJ581" s="626">
        <f>V_Model_CB!AJ84</f>
        <v/>
      </c>
      <c r="AK581" s="626">
        <f>V_Model_CB!AK84</f>
        <v/>
      </c>
      <c r="AL581" s="626">
        <f>V_Model_CB!AL84</f>
        <v/>
      </c>
      <c r="AM581" s="626">
        <f>V_Model_CB!AM84</f>
        <v/>
      </c>
      <c r="AN581" s="626">
        <f>V_Model_CB!AN84</f>
        <v/>
      </c>
      <c r="AO581" s="626">
        <f>V_Model_CB!AO84</f>
        <v/>
      </c>
      <c r="AP581" s="369">
        <f>V_Model_CB!AP84</f>
        <v/>
      </c>
      <c r="AQ581" s="369">
        <f>V_Model_CB!AQ84</f>
        <v/>
      </c>
      <c r="AR581" s="369">
        <f>V_Model_CB!AR84</f>
        <v/>
      </c>
      <c r="AS581" s="369">
        <f>V_Model_CB!AS84</f>
        <v/>
      </c>
      <c r="AT581" s="370">
        <f>V_Model_CB!AT84</f>
        <v/>
      </c>
      <c r="AU581" s="370">
        <f>V_Model_CB!AU84</f>
        <v/>
      </c>
      <c r="AV581" s="370">
        <f>V_Model_CB!AV84</f>
        <v/>
      </c>
      <c r="AW581" s="370">
        <f>V_Model_CB!AW84</f>
        <v/>
      </c>
      <c r="AX581">
        <f>V_Model_CB!AX84</f>
        <v/>
      </c>
      <c r="AY581">
        <f>V_Model_CB!AY84</f>
        <v/>
      </c>
      <c r="AZ581">
        <f>V_Model_CB!AZ84</f>
        <v/>
      </c>
      <c r="BA581">
        <f>V_Model_CB!BA84</f>
        <v/>
      </c>
      <c r="BB581">
        <f>V_Model_CB!BB84</f>
        <v/>
      </c>
      <c r="BC581">
        <f>V_Model_CB!BC84</f>
        <v/>
      </c>
      <c r="BD581">
        <f>V_Model_CB!BD84</f>
        <v/>
      </c>
      <c r="BE581">
        <f>V_Model_CB!BE84</f>
        <v/>
      </c>
      <c r="BF581">
        <f>V_Model_CB!BF84</f>
        <v/>
      </c>
      <c r="BG581">
        <f>V_Model_CB!BG84</f>
        <v/>
      </c>
      <c r="BH581">
        <f>V_Model_CB!BH84</f>
        <v/>
      </c>
      <c r="BI581">
        <f>V_Model_CB!BI84</f>
        <v/>
      </c>
      <c r="BJ581">
        <f>O581</f>
        <v/>
      </c>
      <c r="BK581">
        <f>SUM(AG581:AW581)</f>
        <v/>
      </c>
      <c r="BL581" s="531">
        <f>BJ581-BK581</f>
        <v/>
      </c>
      <c r="BM581" s="201" t="n"/>
    </row>
    <row r="582" hidden="1" outlineLevel="1" s="191">
      <c r="A582">
        <f>V_Model_CB!A85</f>
        <v/>
      </c>
      <c r="B582">
        <f>V_Model_CB!B85</f>
        <v/>
      </c>
      <c r="C582">
        <f>V_Model_CB!C85</f>
        <v/>
      </c>
      <c r="D582">
        <f>V_Model_CB!D85</f>
        <v/>
      </c>
      <c r="E582">
        <f>V_Model_CB!E85</f>
        <v/>
      </c>
      <c r="F582">
        <f>V_Model_CB!F85</f>
        <v/>
      </c>
      <c r="G582">
        <f>V_Model_CB!G85</f>
        <v/>
      </c>
      <c r="H582">
        <f>V_Model_CB!H84</f>
        <v/>
      </c>
      <c r="I582">
        <f>V_Model_CB!I85</f>
        <v/>
      </c>
      <c r="J582">
        <f>V_Model_CB!J85</f>
        <v/>
      </c>
      <c r="K582" s="672">
        <f>V_Model_CB!K85</f>
        <v/>
      </c>
      <c r="L582" s="672">
        <f>V_Model_CB!L85</f>
        <v/>
      </c>
      <c r="M582">
        <f>V_Model_CB!M85</f>
        <v/>
      </c>
      <c r="N582">
        <f>V_Model_CB!N85</f>
        <v/>
      </c>
      <c r="O582">
        <f>V_Model_CB!O85</f>
        <v/>
      </c>
      <c r="P582" s="628">
        <f>V_Model_CB!P85</f>
        <v/>
      </c>
      <c r="Q582" s="628">
        <f>V_Model_CB!Q85</f>
        <v/>
      </c>
      <c r="R582" s="628">
        <f>V_Model_CB!R85</f>
        <v/>
      </c>
      <c r="S582" s="628">
        <f>V_Model_CB!S85</f>
        <v/>
      </c>
      <c r="T582" s="628">
        <f>V_Model_CB!T85</f>
        <v/>
      </c>
      <c r="U582" s="628">
        <f>V_Model_CB!U85</f>
        <v/>
      </c>
      <c r="V582" s="628">
        <f>V_Model_CB!V85</f>
        <v/>
      </c>
      <c r="W582" s="628">
        <f>V_Model_CB!W85</f>
        <v/>
      </c>
      <c r="X582" s="628">
        <f>V_Model_CB!X85</f>
        <v/>
      </c>
      <c r="Y582" s="650">
        <f>V_Model_CB!Y85</f>
        <v/>
      </c>
      <c r="Z582" s="650">
        <f>V_Model_CB!Z85</f>
        <v/>
      </c>
      <c r="AA582" s="650">
        <f>V_Model_CB!AA85</f>
        <v/>
      </c>
      <c r="AB582" s="650">
        <f>V_Model_CB!AB85</f>
        <v/>
      </c>
      <c r="AC582" s="613">
        <f>V_Model_CB!AC85</f>
        <v/>
      </c>
      <c r="AD582" s="613">
        <f>V_Model_CB!AD85</f>
        <v/>
      </c>
      <c r="AE582" s="613">
        <f>V_Model_CB!AE85</f>
        <v/>
      </c>
      <c r="AF582" s="613">
        <f>V_Model_CB!AF85</f>
        <v/>
      </c>
      <c r="AG582" s="626">
        <f>V_Model_CB!AG85</f>
        <v/>
      </c>
      <c r="AH582" s="626">
        <f>V_Model_CB!AH85</f>
        <v/>
      </c>
      <c r="AI582" s="626">
        <f>V_Model_CB!AI85</f>
        <v/>
      </c>
      <c r="AJ582" s="626">
        <f>V_Model_CB!AJ85</f>
        <v/>
      </c>
      <c r="AK582" s="626">
        <f>V_Model_CB!AK85</f>
        <v/>
      </c>
      <c r="AL582" s="626">
        <f>V_Model_CB!AL85</f>
        <v/>
      </c>
      <c r="AM582" s="626">
        <f>V_Model_CB!AM85</f>
        <v/>
      </c>
      <c r="AN582" s="626">
        <f>V_Model_CB!AN85</f>
        <v/>
      </c>
      <c r="AO582" s="626">
        <f>V_Model_CB!AO85</f>
        <v/>
      </c>
      <c r="AP582" s="369">
        <f>V_Model_CB!AP85</f>
        <v/>
      </c>
      <c r="AQ582" s="369">
        <f>V_Model_CB!AQ85</f>
        <v/>
      </c>
      <c r="AR582" s="369">
        <f>V_Model_CB!AR85</f>
        <v/>
      </c>
      <c r="AS582" s="369">
        <f>V_Model_CB!AS85</f>
        <v/>
      </c>
      <c r="AT582" s="370">
        <f>V_Model_CB!AT85</f>
        <v/>
      </c>
      <c r="AU582" s="370">
        <f>V_Model_CB!AU85</f>
        <v/>
      </c>
      <c r="AV582" s="370">
        <f>V_Model_CB!AV85</f>
        <v/>
      </c>
      <c r="AW582" s="370">
        <f>V_Model_CB!AW85</f>
        <v/>
      </c>
      <c r="AX582">
        <f>V_Model_CB!AX85</f>
        <v/>
      </c>
      <c r="AY582">
        <f>V_Model_CB!AY85</f>
        <v/>
      </c>
      <c r="AZ582">
        <f>V_Model_CB!AZ85</f>
        <v/>
      </c>
      <c r="BA582">
        <f>V_Model_CB!BA85</f>
        <v/>
      </c>
      <c r="BB582">
        <f>V_Model_CB!BB85</f>
        <v/>
      </c>
      <c r="BC582">
        <f>V_Model_CB!BC85</f>
        <v/>
      </c>
      <c r="BD582">
        <f>V_Model_CB!BD85</f>
        <v/>
      </c>
      <c r="BE582">
        <f>V_Model_CB!BE85</f>
        <v/>
      </c>
      <c r="BF582">
        <f>V_Model_CB!BF85</f>
        <v/>
      </c>
      <c r="BG582">
        <f>V_Model_CB!BG85</f>
        <v/>
      </c>
      <c r="BH582">
        <f>V_Model_CB!BH85</f>
        <v/>
      </c>
      <c r="BI582">
        <f>V_Model_CB!BI85</f>
        <v/>
      </c>
      <c r="BJ582">
        <f>O582</f>
        <v/>
      </c>
      <c r="BK582">
        <f>SUM(AG582:AW582)</f>
        <v/>
      </c>
      <c r="BL582" s="531">
        <f>BJ582-BK582</f>
        <v/>
      </c>
      <c r="BM582" s="201" t="n"/>
    </row>
    <row r="583" hidden="1" outlineLevel="1" s="191">
      <c r="A583">
        <f>V_Model_CB!A86</f>
        <v/>
      </c>
      <c r="B583">
        <f>V_Model_CB!B86</f>
        <v/>
      </c>
      <c r="C583">
        <f>V_Model_CB!C86</f>
        <v/>
      </c>
      <c r="D583">
        <f>V_Model_CB!D86</f>
        <v/>
      </c>
      <c r="E583">
        <f>V_Model_CB!E86</f>
        <v/>
      </c>
      <c r="F583">
        <f>V_Model_CB!F86</f>
        <v/>
      </c>
      <c r="G583">
        <f>V_Model_CB!G86</f>
        <v/>
      </c>
      <c r="H583">
        <f>V_Model_CB!H85</f>
        <v/>
      </c>
      <c r="I583">
        <f>V_Model_CB!I86</f>
        <v/>
      </c>
      <c r="J583">
        <f>V_Model_CB!J86</f>
        <v/>
      </c>
      <c r="K583" s="672">
        <f>V_Model_CB!K86</f>
        <v/>
      </c>
      <c r="L583" s="672">
        <f>V_Model_CB!L86</f>
        <v/>
      </c>
      <c r="M583">
        <f>V_Model_CB!M86</f>
        <v/>
      </c>
      <c r="N583">
        <f>V_Model_CB!N86</f>
        <v/>
      </c>
      <c r="O583">
        <f>V_Model_CB!O86</f>
        <v/>
      </c>
      <c r="P583" s="628">
        <f>V_Model_CB!P86</f>
        <v/>
      </c>
      <c r="Q583" s="628">
        <f>V_Model_CB!Q86</f>
        <v/>
      </c>
      <c r="R583" s="628">
        <f>V_Model_CB!R86</f>
        <v/>
      </c>
      <c r="S583" s="628">
        <f>V_Model_CB!S86</f>
        <v/>
      </c>
      <c r="T583" s="628">
        <f>V_Model_CB!T86</f>
        <v/>
      </c>
      <c r="U583" s="628">
        <f>V_Model_CB!U86</f>
        <v/>
      </c>
      <c r="V583" s="628">
        <f>V_Model_CB!V86</f>
        <v/>
      </c>
      <c r="W583" s="628">
        <f>V_Model_CB!W86</f>
        <v/>
      </c>
      <c r="X583" s="628">
        <f>V_Model_CB!X86</f>
        <v/>
      </c>
      <c r="Y583" s="650">
        <f>V_Model_CB!Y86</f>
        <v/>
      </c>
      <c r="Z583" s="650">
        <f>V_Model_CB!Z86</f>
        <v/>
      </c>
      <c r="AA583" s="650">
        <f>V_Model_CB!AA86</f>
        <v/>
      </c>
      <c r="AB583" s="650">
        <f>V_Model_CB!AB86</f>
        <v/>
      </c>
      <c r="AC583" s="613">
        <f>V_Model_CB!AC86</f>
        <v/>
      </c>
      <c r="AD583" s="613">
        <f>V_Model_CB!AD86</f>
        <v/>
      </c>
      <c r="AE583" s="613">
        <f>V_Model_CB!AE86</f>
        <v/>
      </c>
      <c r="AF583" s="613">
        <f>V_Model_CB!AF86</f>
        <v/>
      </c>
      <c r="AG583" s="626">
        <f>V_Model_CB!AG86</f>
        <v/>
      </c>
      <c r="AH583" s="626">
        <f>V_Model_CB!AH86</f>
        <v/>
      </c>
      <c r="AI583" s="626">
        <f>V_Model_CB!AI86</f>
        <v/>
      </c>
      <c r="AJ583" s="626">
        <f>V_Model_CB!AJ86</f>
        <v/>
      </c>
      <c r="AK583" s="626">
        <f>V_Model_CB!AK86</f>
        <v/>
      </c>
      <c r="AL583" s="626">
        <f>V_Model_CB!AL86</f>
        <v/>
      </c>
      <c r="AM583" s="626">
        <f>V_Model_CB!AM86</f>
        <v/>
      </c>
      <c r="AN583" s="626">
        <f>V_Model_CB!AN86</f>
        <v/>
      </c>
      <c r="AO583" s="626">
        <f>V_Model_CB!AO86</f>
        <v/>
      </c>
      <c r="AP583" s="369">
        <f>V_Model_CB!AP86</f>
        <v/>
      </c>
      <c r="AQ583" s="369">
        <f>V_Model_CB!AQ86</f>
        <v/>
      </c>
      <c r="AR583" s="369">
        <f>V_Model_CB!AR86</f>
        <v/>
      </c>
      <c r="AS583" s="369">
        <f>V_Model_CB!AS86</f>
        <v/>
      </c>
      <c r="AT583" s="370">
        <f>V_Model_CB!AT86</f>
        <v/>
      </c>
      <c r="AU583" s="370">
        <f>V_Model_CB!AU86</f>
        <v/>
      </c>
      <c r="AV583" s="370">
        <f>V_Model_CB!AV86</f>
        <v/>
      </c>
      <c r="AW583" s="370">
        <f>V_Model_CB!AW86</f>
        <v/>
      </c>
      <c r="AX583">
        <f>V_Model_CB!AX86</f>
        <v/>
      </c>
      <c r="AY583">
        <f>V_Model_CB!AY86</f>
        <v/>
      </c>
      <c r="AZ583">
        <f>V_Model_CB!AZ86</f>
        <v/>
      </c>
      <c r="BA583">
        <f>V_Model_CB!BA86</f>
        <v/>
      </c>
      <c r="BB583">
        <f>V_Model_CB!BB86</f>
        <v/>
      </c>
      <c r="BC583">
        <f>V_Model_CB!BC86</f>
        <v/>
      </c>
      <c r="BD583">
        <f>V_Model_CB!BD86</f>
        <v/>
      </c>
      <c r="BE583">
        <f>V_Model_CB!BE86</f>
        <v/>
      </c>
      <c r="BF583">
        <f>V_Model_CB!BF86</f>
        <v/>
      </c>
      <c r="BG583">
        <f>V_Model_CB!BG86</f>
        <v/>
      </c>
      <c r="BH583">
        <f>V_Model_CB!BH86</f>
        <v/>
      </c>
      <c r="BI583">
        <f>V_Model_CB!BI86</f>
        <v/>
      </c>
      <c r="BJ583">
        <f>O583</f>
        <v/>
      </c>
      <c r="BK583">
        <f>SUM(AG583:AW583)</f>
        <v/>
      </c>
      <c r="BL583" s="531">
        <f>BJ583-BK583</f>
        <v/>
      </c>
      <c r="BM583" s="201" t="n"/>
    </row>
    <row r="584" hidden="1" outlineLevel="1" s="191">
      <c r="A584">
        <f>V_Model_CB!A87</f>
        <v/>
      </c>
      <c r="B584">
        <f>V_Model_CB!B87</f>
        <v/>
      </c>
      <c r="C584">
        <f>V_Model_CB!C87</f>
        <v/>
      </c>
      <c r="D584">
        <f>V_Model_CB!D87</f>
        <v/>
      </c>
      <c r="E584">
        <f>V_Model_CB!E87</f>
        <v/>
      </c>
      <c r="F584">
        <f>V_Model_CB!F87</f>
        <v/>
      </c>
      <c r="G584">
        <f>V_Model_CB!G87</f>
        <v/>
      </c>
      <c r="H584">
        <f>V_Model_CB!H86</f>
        <v/>
      </c>
      <c r="I584">
        <f>V_Model_CB!I87</f>
        <v/>
      </c>
      <c r="J584">
        <f>V_Model_CB!J87</f>
        <v/>
      </c>
      <c r="K584" s="672">
        <f>V_Model_CB!K87</f>
        <v/>
      </c>
      <c r="L584" s="672">
        <f>V_Model_CB!L87</f>
        <v/>
      </c>
      <c r="M584">
        <f>V_Model_CB!M87</f>
        <v/>
      </c>
      <c r="N584">
        <f>V_Model_CB!N87</f>
        <v/>
      </c>
      <c r="O584">
        <f>V_Model_CB!O87</f>
        <v/>
      </c>
      <c r="P584" s="628">
        <f>V_Model_CB!P87</f>
        <v/>
      </c>
      <c r="Q584" s="628">
        <f>V_Model_CB!Q87</f>
        <v/>
      </c>
      <c r="R584" s="628">
        <f>V_Model_CB!R87</f>
        <v/>
      </c>
      <c r="S584" s="628">
        <f>V_Model_CB!S87</f>
        <v/>
      </c>
      <c r="T584" s="628">
        <f>V_Model_CB!T87</f>
        <v/>
      </c>
      <c r="U584" s="628">
        <f>V_Model_CB!U87</f>
        <v/>
      </c>
      <c r="V584" s="628">
        <f>V_Model_CB!V87</f>
        <v/>
      </c>
      <c r="W584" s="628">
        <f>V_Model_CB!W87</f>
        <v/>
      </c>
      <c r="X584" s="628">
        <f>V_Model_CB!X87</f>
        <v/>
      </c>
      <c r="Y584" s="650">
        <f>V_Model_CB!Y87</f>
        <v/>
      </c>
      <c r="Z584" s="650">
        <f>V_Model_CB!Z87</f>
        <v/>
      </c>
      <c r="AA584" s="650">
        <f>V_Model_CB!AA87</f>
        <v/>
      </c>
      <c r="AB584" s="650">
        <f>V_Model_CB!AB87</f>
        <v/>
      </c>
      <c r="AC584" s="613">
        <f>V_Model_CB!AC87</f>
        <v/>
      </c>
      <c r="AD584" s="613">
        <f>V_Model_CB!AD87</f>
        <v/>
      </c>
      <c r="AE584" s="613">
        <f>V_Model_CB!AE87</f>
        <v/>
      </c>
      <c r="AF584" s="613">
        <f>V_Model_CB!AF87</f>
        <v/>
      </c>
      <c r="AG584" s="626">
        <f>V_Model_CB!AG87</f>
        <v/>
      </c>
      <c r="AH584" s="626">
        <f>V_Model_CB!AH87</f>
        <v/>
      </c>
      <c r="AI584" s="626">
        <f>V_Model_CB!AI87</f>
        <v/>
      </c>
      <c r="AJ584" s="626">
        <f>V_Model_CB!AJ87</f>
        <v/>
      </c>
      <c r="AK584" s="626">
        <f>V_Model_CB!AK87</f>
        <v/>
      </c>
      <c r="AL584" s="626">
        <f>V_Model_CB!AL87</f>
        <v/>
      </c>
      <c r="AM584" s="626">
        <f>V_Model_CB!AM87</f>
        <v/>
      </c>
      <c r="AN584" s="626">
        <f>V_Model_CB!AN87</f>
        <v/>
      </c>
      <c r="AO584" s="626">
        <f>V_Model_CB!AO87</f>
        <v/>
      </c>
      <c r="AP584" s="369">
        <f>V_Model_CB!AP87</f>
        <v/>
      </c>
      <c r="AQ584" s="369">
        <f>V_Model_CB!AQ87</f>
        <v/>
      </c>
      <c r="AR584" s="369">
        <f>V_Model_CB!AR87</f>
        <v/>
      </c>
      <c r="AS584" s="369">
        <f>V_Model_CB!AS87</f>
        <v/>
      </c>
      <c r="AT584" s="370">
        <f>V_Model_CB!AT87</f>
        <v/>
      </c>
      <c r="AU584" s="370">
        <f>V_Model_CB!AU87</f>
        <v/>
      </c>
      <c r="AV584" s="370">
        <f>V_Model_CB!AV87</f>
        <v/>
      </c>
      <c r="AW584" s="370">
        <f>V_Model_CB!AW87</f>
        <v/>
      </c>
      <c r="AX584">
        <f>V_Model_CB!AX87</f>
        <v/>
      </c>
      <c r="AY584">
        <f>V_Model_CB!AY87</f>
        <v/>
      </c>
      <c r="AZ584">
        <f>V_Model_CB!AZ87</f>
        <v/>
      </c>
      <c r="BA584">
        <f>V_Model_CB!BA87</f>
        <v/>
      </c>
      <c r="BB584">
        <f>V_Model_CB!BB87</f>
        <v/>
      </c>
      <c r="BC584">
        <f>V_Model_CB!BC87</f>
        <v/>
      </c>
      <c r="BD584">
        <f>V_Model_CB!BD87</f>
        <v/>
      </c>
      <c r="BE584">
        <f>V_Model_CB!BE87</f>
        <v/>
      </c>
      <c r="BF584">
        <f>V_Model_CB!BF87</f>
        <v/>
      </c>
      <c r="BG584">
        <f>V_Model_CB!BG87</f>
        <v/>
      </c>
      <c r="BH584">
        <f>V_Model_CB!BH87</f>
        <v/>
      </c>
      <c r="BI584">
        <f>V_Model_CB!BI87</f>
        <v/>
      </c>
      <c r="BJ584">
        <f>O584</f>
        <v/>
      </c>
      <c r="BK584">
        <f>SUM(AG584:AW584)</f>
        <v/>
      </c>
      <c r="BL584" s="531">
        <f>BJ584-BK584</f>
        <v/>
      </c>
      <c r="BM584" s="201" t="n"/>
    </row>
    <row r="585" hidden="1" outlineLevel="1" s="191">
      <c r="A585">
        <f>V_Model_CB!A88</f>
        <v/>
      </c>
      <c r="B585">
        <f>V_Model_CB!B88</f>
        <v/>
      </c>
      <c r="C585">
        <f>V_Model_CB!C88</f>
        <v/>
      </c>
      <c r="D585">
        <f>V_Model_CB!D88</f>
        <v/>
      </c>
      <c r="E585">
        <f>V_Model_CB!E88</f>
        <v/>
      </c>
      <c r="F585">
        <f>V_Model_CB!F88</f>
        <v/>
      </c>
      <c r="G585">
        <f>V_Model_CB!G88</f>
        <v/>
      </c>
      <c r="H585">
        <f>V_Model_CB!H87</f>
        <v/>
      </c>
      <c r="I585">
        <f>V_Model_CB!I88</f>
        <v/>
      </c>
      <c r="J585">
        <f>V_Model_CB!J88</f>
        <v/>
      </c>
      <c r="K585" s="672">
        <f>V_Model_CB!K88</f>
        <v/>
      </c>
      <c r="L585" s="672">
        <f>V_Model_CB!L88</f>
        <v/>
      </c>
      <c r="M585">
        <f>V_Model_CB!M88</f>
        <v/>
      </c>
      <c r="N585">
        <f>V_Model_CB!N88</f>
        <v/>
      </c>
      <c r="O585">
        <f>V_Model_CB!O88</f>
        <v/>
      </c>
      <c r="P585" s="628">
        <f>V_Model_CB!P88</f>
        <v/>
      </c>
      <c r="Q585" s="628">
        <f>V_Model_CB!Q88</f>
        <v/>
      </c>
      <c r="R585" s="628">
        <f>V_Model_CB!R88</f>
        <v/>
      </c>
      <c r="S585" s="628">
        <f>V_Model_CB!S88</f>
        <v/>
      </c>
      <c r="T585" s="628">
        <f>V_Model_CB!T88</f>
        <v/>
      </c>
      <c r="U585" s="628">
        <f>V_Model_CB!U88</f>
        <v/>
      </c>
      <c r="V585" s="628">
        <f>V_Model_CB!V88</f>
        <v/>
      </c>
      <c r="W585" s="628">
        <f>V_Model_CB!W88</f>
        <v/>
      </c>
      <c r="X585" s="628">
        <f>V_Model_CB!X88</f>
        <v/>
      </c>
      <c r="Y585" s="650">
        <f>V_Model_CB!Y88</f>
        <v/>
      </c>
      <c r="Z585" s="650">
        <f>V_Model_CB!Z88</f>
        <v/>
      </c>
      <c r="AA585" s="650">
        <f>V_Model_CB!AA88</f>
        <v/>
      </c>
      <c r="AB585" s="650">
        <f>V_Model_CB!AB88</f>
        <v/>
      </c>
      <c r="AC585" s="613">
        <f>V_Model_CB!AC88</f>
        <v/>
      </c>
      <c r="AD585" s="613">
        <f>V_Model_CB!AD88</f>
        <v/>
      </c>
      <c r="AE585" s="613">
        <f>V_Model_CB!AE88</f>
        <v/>
      </c>
      <c r="AF585" s="613">
        <f>V_Model_CB!AF88</f>
        <v/>
      </c>
      <c r="AG585" s="626">
        <f>V_Model_CB!AG88</f>
        <v/>
      </c>
      <c r="AH585" s="626">
        <f>V_Model_CB!AH88</f>
        <v/>
      </c>
      <c r="AI585" s="626">
        <f>V_Model_CB!AI88</f>
        <v/>
      </c>
      <c r="AJ585" s="626">
        <f>V_Model_CB!AJ88</f>
        <v/>
      </c>
      <c r="AK585" s="626">
        <f>V_Model_CB!AK88</f>
        <v/>
      </c>
      <c r="AL585" s="626">
        <f>V_Model_CB!AL88</f>
        <v/>
      </c>
      <c r="AM585" s="626">
        <f>V_Model_CB!AM88</f>
        <v/>
      </c>
      <c r="AN585" s="626">
        <f>V_Model_CB!AN88</f>
        <v/>
      </c>
      <c r="AO585" s="626">
        <f>V_Model_CB!AO88</f>
        <v/>
      </c>
      <c r="AP585" s="369">
        <f>V_Model_CB!AP88</f>
        <v/>
      </c>
      <c r="AQ585" s="369">
        <f>V_Model_CB!AQ88</f>
        <v/>
      </c>
      <c r="AR585" s="369">
        <f>V_Model_CB!AR88</f>
        <v/>
      </c>
      <c r="AS585" s="369">
        <f>V_Model_CB!AS88</f>
        <v/>
      </c>
      <c r="AT585" s="370">
        <f>V_Model_CB!AT88</f>
        <v/>
      </c>
      <c r="AU585" s="370">
        <f>V_Model_CB!AU88</f>
        <v/>
      </c>
      <c r="AV585" s="370">
        <f>V_Model_CB!AV88</f>
        <v/>
      </c>
      <c r="AW585" s="370">
        <f>V_Model_CB!AW88</f>
        <v/>
      </c>
      <c r="AX585">
        <f>V_Model_CB!AX88</f>
        <v/>
      </c>
      <c r="AY585">
        <f>V_Model_CB!AY88</f>
        <v/>
      </c>
      <c r="AZ585">
        <f>V_Model_CB!AZ88</f>
        <v/>
      </c>
      <c r="BA585">
        <f>V_Model_CB!BA88</f>
        <v/>
      </c>
      <c r="BB585">
        <f>V_Model_CB!BB88</f>
        <v/>
      </c>
      <c r="BC585">
        <f>V_Model_CB!BC88</f>
        <v/>
      </c>
      <c r="BD585">
        <f>V_Model_CB!BD88</f>
        <v/>
      </c>
      <c r="BE585">
        <f>V_Model_CB!BE88</f>
        <v/>
      </c>
      <c r="BF585">
        <f>V_Model_CB!BF88</f>
        <v/>
      </c>
      <c r="BG585">
        <f>V_Model_CB!BG88</f>
        <v/>
      </c>
      <c r="BH585">
        <f>V_Model_CB!BH88</f>
        <v/>
      </c>
      <c r="BI585">
        <f>V_Model_CB!BI88</f>
        <v/>
      </c>
      <c r="BJ585">
        <f>O585</f>
        <v/>
      </c>
      <c r="BK585">
        <f>SUM(AG585:AW585)</f>
        <v/>
      </c>
      <c r="BL585" s="531">
        <f>BJ585-BK585</f>
        <v/>
      </c>
      <c r="BM585" s="201" t="n"/>
    </row>
    <row r="586" hidden="1" outlineLevel="1" s="191">
      <c r="A586">
        <f>V_Model_CB!A89</f>
        <v/>
      </c>
      <c r="B586">
        <f>V_Model_CB!B89</f>
        <v/>
      </c>
      <c r="C586">
        <f>V_Model_CB!C89</f>
        <v/>
      </c>
      <c r="D586">
        <f>V_Model_CB!D89</f>
        <v/>
      </c>
      <c r="E586">
        <f>V_Model_CB!E89</f>
        <v/>
      </c>
      <c r="F586">
        <f>V_Model_CB!F89</f>
        <v/>
      </c>
      <c r="G586">
        <f>V_Model_CB!G89</f>
        <v/>
      </c>
      <c r="H586">
        <f>V_Model_CB!H88</f>
        <v/>
      </c>
      <c r="I586">
        <f>V_Model_CB!I89</f>
        <v/>
      </c>
      <c r="J586">
        <f>V_Model_CB!J89</f>
        <v/>
      </c>
      <c r="K586" s="672">
        <f>V_Model_CB!K89</f>
        <v/>
      </c>
      <c r="L586" s="672">
        <f>V_Model_CB!L89</f>
        <v/>
      </c>
      <c r="M586">
        <f>V_Model_CB!M89</f>
        <v/>
      </c>
      <c r="N586">
        <f>V_Model_CB!N89</f>
        <v/>
      </c>
      <c r="O586">
        <f>V_Model_CB!O89</f>
        <v/>
      </c>
      <c r="P586" s="628">
        <f>V_Model_CB!P89</f>
        <v/>
      </c>
      <c r="Q586" s="628">
        <f>V_Model_CB!Q89</f>
        <v/>
      </c>
      <c r="R586" s="628">
        <f>V_Model_CB!R89</f>
        <v/>
      </c>
      <c r="S586" s="628">
        <f>V_Model_CB!S89</f>
        <v/>
      </c>
      <c r="T586" s="628">
        <f>V_Model_CB!T89</f>
        <v/>
      </c>
      <c r="U586" s="628">
        <f>V_Model_CB!U89</f>
        <v/>
      </c>
      <c r="V586" s="628">
        <f>V_Model_CB!V89</f>
        <v/>
      </c>
      <c r="W586" s="628">
        <f>V_Model_CB!W89</f>
        <v/>
      </c>
      <c r="X586" s="628">
        <f>V_Model_CB!X89</f>
        <v/>
      </c>
      <c r="Y586" s="650">
        <f>V_Model_CB!Y89</f>
        <v/>
      </c>
      <c r="Z586" s="650">
        <f>V_Model_CB!Z89</f>
        <v/>
      </c>
      <c r="AA586" s="650">
        <f>V_Model_CB!AA89</f>
        <v/>
      </c>
      <c r="AB586" s="650">
        <f>V_Model_CB!AB89</f>
        <v/>
      </c>
      <c r="AC586" s="613">
        <f>V_Model_CB!AC89</f>
        <v/>
      </c>
      <c r="AD586" s="613">
        <f>V_Model_CB!AD89</f>
        <v/>
      </c>
      <c r="AE586" s="613">
        <f>V_Model_CB!AE89</f>
        <v/>
      </c>
      <c r="AF586" s="613">
        <f>V_Model_CB!AF89</f>
        <v/>
      </c>
      <c r="AG586" s="626">
        <f>V_Model_CB!AG89</f>
        <v/>
      </c>
      <c r="AH586" s="626">
        <f>V_Model_CB!AH89</f>
        <v/>
      </c>
      <c r="AI586" s="626">
        <f>V_Model_CB!AI89</f>
        <v/>
      </c>
      <c r="AJ586" s="626">
        <f>V_Model_CB!AJ89</f>
        <v/>
      </c>
      <c r="AK586" s="626">
        <f>V_Model_CB!AK89</f>
        <v/>
      </c>
      <c r="AL586" s="626">
        <f>V_Model_CB!AL89</f>
        <v/>
      </c>
      <c r="AM586" s="626">
        <f>V_Model_CB!AM89</f>
        <v/>
      </c>
      <c r="AN586" s="626">
        <f>V_Model_CB!AN89</f>
        <v/>
      </c>
      <c r="AO586" s="626">
        <f>V_Model_CB!AO89</f>
        <v/>
      </c>
      <c r="AP586" s="369">
        <f>V_Model_CB!AP89</f>
        <v/>
      </c>
      <c r="AQ586" s="369">
        <f>V_Model_CB!AQ89</f>
        <v/>
      </c>
      <c r="AR586" s="369">
        <f>V_Model_CB!AR89</f>
        <v/>
      </c>
      <c r="AS586" s="369">
        <f>V_Model_CB!AS89</f>
        <v/>
      </c>
      <c r="AT586" s="370">
        <f>V_Model_CB!AT89</f>
        <v/>
      </c>
      <c r="AU586" s="370">
        <f>V_Model_CB!AU89</f>
        <v/>
      </c>
      <c r="AV586" s="370">
        <f>V_Model_CB!AV89</f>
        <v/>
      </c>
      <c r="AW586" s="370">
        <f>V_Model_CB!AW89</f>
        <v/>
      </c>
      <c r="AX586">
        <f>V_Model_CB!AX89</f>
        <v/>
      </c>
      <c r="AY586">
        <f>V_Model_CB!AY89</f>
        <v/>
      </c>
      <c r="AZ586">
        <f>V_Model_CB!AZ89</f>
        <v/>
      </c>
      <c r="BA586">
        <f>V_Model_CB!BA89</f>
        <v/>
      </c>
      <c r="BB586">
        <f>V_Model_CB!BB89</f>
        <v/>
      </c>
      <c r="BC586">
        <f>V_Model_CB!BC89</f>
        <v/>
      </c>
      <c r="BD586">
        <f>V_Model_CB!BD89</f>
        <v/>
      </c>
      <c r="BE586">
        <f>V_Model_CB!BE89</f>
        <v/>
      </c>
      <c r="BF586">
        <f>V_Model_CB!BF89</f>
        <v/>
      </c>
      <c r="BG586">
        <f>V_Model_CB!BG89</f>
        <v/>
      </c>
      <c r="BH586">
        <f>V_Model_CB!BH89</f>
        <v/>
      </c>
      <c r="BI586">
        <f>V_Model_CB!BI89</f>
        <v/>
      </c>
      <c r="BJ586">
        <f>O586</f>
        <v/>
      </c>
      <c r="BK586">
        <f>SUM(AG586:AW586)</f>
        <v/>
      </c>
      <c r="BL586" s="531">
        <f>BJ586-BK586</f>
        <v/>
      </c>
      <c r="BM586" s="201" t="n"/>
    </row>
    <row r="587" hidden="1" outlineLevel="1" s="191">
      <c r="P587" s="628" t="n"/>
      <c r="Q587" s="628" t="n"/>
      <c r="R587" s="628" t="n"/>
      <c r="S587" s="628" t="n"/>
      <c r="T587" s="628" t="n"/>
      <c r="U587" s="628" t="n"/>
      <c r="V587" s="628" t="n"/>
      <c r="W587" s="628" t="n"/>
      <c r="X587" s="628" t="n"/>
      <c r="Y587" s="650" t="n"/>
      <c r="Z587" s="650" t="n"/>
      <c r="AA587" s="650" t="n"/>
      <c r="AB587" s="650" t="n"/>
      <c r="AC587" s="613" t="n"/>
      <c r="AD587" s="613" t="n"/>
      <c r="AE587" s="613" t="n"/>
      <c r="AF587" s="613" t="n"/>
      <c r="AG587" s="626" t="n"/>
      <c r="AH587" s="626" t="n"/>
      <c r="AI587" s="626" t="n"/>
      <c r="AJ587" s="626" t="n"/>
      <c r="AK587" s="626" t="n"/>
      <c r="AL587" s="626" t="n"/>
      <c r="AM587" s="626" t="n"/>
      <c r="AN587" s="626" t="n"/>
      <c r="AO587" s="626" t="n"/>
      <c r="AP587" s="369" t="n"/>
      <c r="AQ587" s="369" t="n"/>
      <c r="AR587" s="369" t="n"/>
      <c r="AS587" s="369" t="n"/>
      <c r="AT587" s="370" t="n"/>
      <c r="AU587" s="370" t="n"/>
      <c r="AV587" s="370" t="n"/>
      <c r="AW587" s="370" t="n"/>
      <c r="BJ587">
        <f>O587</f>
        <v/>
      </c>
      <c r="BK587">
        <f>SUM(AG587:AW587)</f>
        <v/>
      </c>
      <c r="BL587" s="531">
        <f>BJ587-BK587</f>
        <v/>
      </c>
      <c r="BM587" s="201" t="n"/>
    </row>
    <row r="588" hidden="1" outlineLevel="1" s="191">
      <c r="P588" s="628" t="n"/>
      <c r="Q588" s="628" t="n"/>
      <c r="R588" s="628" t="n"/>
      <c r="S588" s="628" t="n"/>
      <c r="T588" s="628" t="n"/>
      <c r="U588" s="628" t="n"/>
      <c r="V588" s="628" t="n"/>
      <c r="W588" s="628" t="n"/>
      <c r="X588" s="628" t="n"/>
      <c r="Y588" s="650" t="n"/>
      <c r="Z588" s="650" t="n"/>
      <c r="AA588" s="650" t="n"/>
      <c r="AB588" s="650" t="n"/>
      <c r="AC588" s="613" t="n"/>
      <c r="AD588" s="613" t="n"/>
      <c r="AE588" s="613" t="n"/>
      <c r="AF588" s="613" t="n"/>
      <c r="AG588" s="626" t="n"/>
      <c r="AH588" s="626" t="n"/>
      <c r="AI588" s="626" t="n"/>
      <c r="AJ588" s="626" t="n"/>
      <c r="AK588" s="626" t="n"/>
      <c r="AL588" s="626" t="n"/>
      <c r="AM588" s="626" t="n"/>
      <c r="AN588" s="626" t="n"/>
      <c r="AO588" s="626" t="n"/>
      <c r="AP588" s="369" t="n"/>
      <c r="AQ588" s="369" t="n"/>
      <c r="AR588" s="369" t="n"/>
      <c r="AS588" s="369" t="n"/>
      <c r="AT588" s="370" t="n"/>
      <c r="AU588" s="370" t="n"/>
      <c r="AV588" s="370" t="n"/>
      <c r="AW588" s="370" t="n"/>
      <c r="BJ588">
        <f>O588</f>
        <v/>
      </c>
      <c r="BK588">
        <f>SUM(AG588:AW588)</f>
        <v/>
      </c>
      <c r="BL588" s="531">
        <f>BJ588-BK588</f>
        <v/>
      </c>
      <c r="BM588" s="201" t="n"/>
    </row>
    <row r="589" hidden="1" outlineLevel="1" s="191">
      <c r="P589" s="628" t="n"/>
      <c r="Q589" s="628" t="n"/>
      <c r="R589" s="628" t="n"/>
      <c r="S589" s="628" t="n"/>
      <c r="T589" s="628" t="n"/>
      <c r="U589" s="628" t="n"/>
      <c r="V589" s="628" t="n"/>
      <c r="W589" s="628" t="n"/>
      <c r="X589" s="628" t="n"/>
      <c r="Y589" s="650" t="n"/>
      <c r="Z589" s="650" t="n"/>
      <c r="AA589" s="650" t="n"/>
      <c r="AB589" s="650" t="n"/>
      <c r="AC589" s="613" t="n"/>
      <c r="AD589" s="613" t="n"/>
      <c r="AE589" s="613" t="n"/>
      <c r="AF589" s="613" t="n"/>
      <c r="AG589" s="626" t="n"/>
      <c r="AH589" s="626" t="n"/>
      <c r="AI589" s="626" t="n"/>
      <c r="AJ589" s="626" t="n"/>
      <c r="AK589" s="626" t="n"/>
      <c r="AL589" s="626" t="n"/>
      <c r="AM589" s="626" t="n"/>
      <c r="AN589" s="626" t="n"/>
      <c r="AO589" s="626" t="n"/>
      <c r="AP589" s="369" t="n"/>
      <c r="AQ589" s="369" t="n"/>
      <c r="AR589" s="369" t="n"/>
      <c r="AS589" s="369" t="n"/>
      <c r="AT589" s="370" t="n"/>
      <c r="AU589" s="370" t="n"/>
      <c r="AV589" s="370" t="n"/>
      <c r="AW589" s="370" t="n"/>
      <c r="BJ589">
        <f>O589</f>
        <v/>
      </c>
      <c r="BK589">
        <f>SUM(AG589:AW589)</f>
        <v/>
      </c>
      <c r="BL589" s="531">
        <f>BJ589-BK589</f>
        <v/>
      </c>
      <c r="BM589" s="201" t="n"/>
    </row>
    <row r="590" hidden="1" outlineLevel="1" s="191">
      <c r="P590" s="628" t="n"/>
      <c r="Q590" s="628" t="n"/>
      <c r="R590" s="628" t="n"/>
      <c r="S590" s="628" t="n"/>
      <c r="T590" s="628" t="n"/>
      <c r="U590" s="628" t="n"/>
      <c r="V590" s="628" t="n"/>
      <c r="W590" s="628" t="n"/>
      <c r="X590" s="628" t="n"/>
      <c r="Y590" s="650" t="n"/>
      <c r="Z590" s="650" t="n"/>
      <c r="AA590" s="650" t="n"/>
      <c r="AB590" s="650" t="n"/>
      <c r="AC590" s="613" t="n"/>
      <c r="AD590" s="613" t="n"/>
      <c r="AE590" s="613" t="n"/>
      <c r="AF590" s="613" t="n"/>
      <c r="AG590" s="626" t="n"/>
      <c r="AH590" s="626" t="n"/>
      <c r="AI590" s="626" t="n"/>
      <c r="AJ590" s="626" t="n"/>
      <c r="AK590" s="626" t="n"/>
      <c r="AL590" s="626" t="n"/>
      <c r="AM590" s="626" t="n"/>
      <c r="AN590" s="626" t="n"/>
      <c r="AO590" s="626" t="n"/>
      <c r="AP590" s="369" t="n"/>
      <c r="AQ590" s="369" t="n"/>
      <c r="AR590" s="369" t="n"/>
      <c r="AS590" s="369" t="n"/>
      <c r="AT590" s="370" t="n"/>
      <c r="AU590" s="370" t="n"/>
      <c r="AV590" s="370" t="n"/>
      <c r="AW590" s="370" t="n"/>
      <c r="BJ590">
        <f>O590</f>
        <v/>
      </c>
      <c r="BK590">
        <f>SUM(AG590:AW590)</f>
        <v/>
      </c>
      <c r="BL590" s="531">
        <f>BJ590-BK590</f>
        <v/>
      </c>
      <c r="BM590" s="201" t="n"/>
    </row>
    <row r="591" hidden="1" outlineLevel="1" s="191">
      <c r="P591" s="628" t="n"/>
      <c r="Q591" s="628" t="n"/>
      <c r="R591" s="628" t="n"/>
      <c r="S591" s="628" t="n"/>
      <c r="T591" s="628" t="n"/>
      <c r="U591" s="628" t="n"/>
      <c r="V591" s="628" t="n"/>
      <c r="W591" s="628" t="n"/>
      <c r="X591" s="628" t="n"/>
      <c r="Y591" s="650" t="n"/>
      <c r="Z591" s="650" t="n"/>
      <c r="AA591" s="650" t="n"/>
      <c r="AB591" s="650" t="n"/>
      <c r="AC591" s="613" t="n"/>
      <c r="AD591" s="613" t="n"/>
      <c r="AE591" s="613" t="n"/>
      <c r="AF591" s="613" t="n"/>
      <c r="AG591" s="626" t="n"/>
      <c r="AH591" s="626" t="n"/>
      <c r="AI591" s="626" t="n"/>
      <c r="AJ591" s="626" t="n"/>
      <c r="AK591" s="626" t="n"/>
      <c r="AL591" s="626" t="n"/>
      <c r="AM591" s="626" t="n"/>
      <c r="AN591" s="626" t="n"/>
      <c r="AO591" s="626" t="n"/>
      <c r="AP591" s="369" t="n"/>
      <c r="AQ591" s="369" t="n"/>
      <c r="AR591" s="369" t="n"/>
      <c r="AS591" s="369" t="n"/>
      <c r="AT591" s="370" t="n"/>
      <c r="AU591" s="370" t="n"/>
      <c r="AV591" s="370" t="n"/>
      <c r="AW591" s="370" t="n"/>
      <c r="BJ591">
        <f>O591</f>
        <v/>
      </c>
      <c r="BK591">
        <f>SUM(AG591:AW591)</f>
        <v/>
      </c>
      <c r="BL591" s="531">
        <f>BJ591-BK591</f>
        <v/>
      </c>
      <c r="BM591" s="201" t="n"/>
    </row>
    <row r="592" hidden="1" outlineLevel="1" s="191">
      <c r="P592" s="628" t="n"/>
      <c r="Q592" s="628" t="n"/>
      <c r="R592" s="628" t="n"/>
      <c r="S592" s="628" t="n"/>
      <c r="T592" s="628" t="n"/>
      <c r="U592" s="628" t="n"/>
      <c r="V592" s="628" t="n"/>
      <c r="W592" s="628" t="n"/>
      <c r="X592" s="628" t="n"/>
      <c r="Y592" s="650" t="n"/>
      <c r="Z592" s="650" t="n"/>
      <c r="AA592" s="650" t="n"/>
      <c r="AB592" s="650" t="n"/>
      <c r="AC592" s="613" t="n"/>
      <c r="AD592" s="613" t="n"/>
      <c r="AE592" s="613" t="n"/>
      <c r="AF592" s="613" t="n"/>
      <c r="AG592" s="626" t="n"/>
      <c r="AH592" s="626" t="n"/>
      <c r="AI592" s="626" t="n"/>
      <c r="AJ592" s="626" t="n"/>
      <c r="AK592" s="626" t="n"/>
      <c r="AL592" s="626" t="n"/>
      <c r="AM592" s="626" t="n"/>
      <c r="AN592" s="626" t="n"/>
      <c r="AO592" s="626" t="n"/>
      <c r="AP592" s="369" t="n"/>
      <c r="AQ592" s="369" t="n"/>
      <c r="AR592" s="369" t="n"/>
      <c r="AS592" s="369" t="n"/>
      <c r="AT592" s="370" t="n"/>
      <c r="AU592" s="370" t="n"/>
      <c r="AV592" s="370" t="n"/>
      <c r="AW592" s="370" t="n"/>
      <c r="BJ592">
        <f>O592</f>
        <v/>
      </c>
      <c r="BK592">
        <f>SUM(AG592:AW592)</f>
        <v/>
      </c>
      <c r="BL592" s="531">
        <f>BJ592-BK592</f>
        <v/>
      </c>
      <c r="BM592" s="201" t="n"/>
    </row>
    <row r="593" hidden="1" outlineLevel="1" s="191">
      <c r="P593" s="628" t="n"/>
      <c r="Q593" s="628" t="n"/>
      <c r="R593" s="628" t="n"/>
      <c r="S593" s="628" t="n"/>
      <c r="T593" s="628" t="n"/>
      <c r="U593" s="628" t="n"/>
      <c r="V593" s="628" t="n"/>
      <c r="W593" s="628" t="n"/>
      <c r="X593" s="628" t="n"/>
      <c r="Y593" s="650" t="n"/>
      <c r="Z593" s="650" t="n"/>
      <c r="AA593" s="650" t="n"/>
      <c r="AB593" s="650" t="n"/>
      <c r="AC593" s="613" t="n"/>
      <c r="AD593" s="613" t="n"/>
      <c r="AE593" s="613" t="n"/>
      <c r="AF593" s="613" t="n"/>
      <c r="AG593" s="626" t="n"/>
      <c r="AH593" s="626" t="n"/>
      <c r="AI593" s="626" t="n"/>
      <c r="AJ593" s="626" t="n"/>
      <c r="AK593" s="626" t="n"/>
      <c r="AL593" s="626" t="n"/>
      <c r="AM593" s="626" t="n"/>
      <c r="AN593" s="626" t="n"/>
      <c r="AO593" s="626" t="n"/>
      <c r="AP593" s="369" t="n"/>
      <c r="AQ593" s="369" t="n"/>
      <c r="AR593" s="369" t="n"/>
      <c r="AS593" s="369" t="n"/>
      <c r="AT593" s="370" t="n"/>
      <c r="AU593" s="370" t="n"/>
      <c r="AV593" s="370" t="n"/>
      <c r="AW593" s="370" t="n"/>
      <c r="BJ593">
        <f>O593</f>
        <v/>
      </c>
      <c r="BK593">
        <f>SUM(AG593:AW593)</f>
        <v/>
      </c>
      <c r="BL593" s="531">
        <f>BJ593-BK593</f>
        <v/>
      </c>
      <c r="BM593" s="201" t="n"/>
    </row>
    <row r="594" hidden="1" outlineLevel="1" s="191">
      <c r="P594" s="628" t="n"/>
      <c r="Q594" s="628" t="n"/>
      <c r="R594" s="628" t="n"/>
      <c r="S594" s="628" t="n"/>
      <c r="T594" s="628" t="n"/>
      <c r="U594" s="628" t="n"/>
      <c r="V594" s="628" t="n"/>
      <c r="W594" s="628" t="n"/>
      <c r="X594" s="628" t="n"/>
      <c r="Y594" s="650" t="n"/>
      <c r="Z594" s="650" t="n"/>
      <c r="AA594" s="650" t="n"/>
      <c r="AB594" s="650" t="n"/>
      <c r="AC594" s="613" t="n"/>
      <c r="AD594" s="613" t="n"/>
      <c r="AE594" s="613" t="n"/>
      <c r="AF594" s="613" t="n"/>
      <c r="AG594" s="626" t="n"/>
      <c r="AH594" s="626" t="n"/>
      <c r="AI594" s="626" t="n"/>
      <c r="AJ594" s="626" t="n"/>
      <c r="AK594" s="626" t="n"/>
      <c r="AL594" s="626" t="n"/>
      <c r="AM594" s="626" t="n"/>
      <c r="AN594" s="626" t="n"/>
      <c r="AO594" s="626" t="n"/>
      <c r="AP594" s="369" t="n"/>
      <c r="AQ594" s="369" t="n"/>
      <c r="AR594" s="369" t="n"/>
      <c r="AS594" s="369" t="n"/>
      <c r="AT594" s="370" t="n"/>
      <c r="AU594" s="370" t="n"/>
      <c r="AV594" s="370" t="n"/>
      <c r="AW594" s="370" t="n"/>
      <c r="BJ594">
        <f>O594</f>
        <v/>
      </c>
      <c r="BK594">
        <f>SUM(AG594:AW594)</f>
        <v/>
      </c>
      <c r="BL594" s="531">
        <f>BJ594-BK594</f>
        <v/>
      </c>
      <c r="BM594" s="201" t="n"/>
    </row>
    <row r="595" hidden="1" outlineLevel="1" s="191">
      <c r="P595" s="628" t="n"/>
      <c r="Q595" s="628" t="n"/>
      <c r="R595" s="628" t="n"/>
      <c r="S595" s="628" t="n"/>
      <c r="T595" s="628" t="n"/>
      <c r="U595" s="628" t="n"/>
      <c r="V595" s="628" t="n"/>
      <c r="W595" s="628" t="n"/>
      <c r="X595" s="628" t="n"/>
      <c r="Y595" s="650" t="n"/>
      <c r="Z595" s="650" t="n"/>
      <c r="AA595" s="650" t="n"/>
      <c r="AB595" s="650" t="n"/>
      <c r="AC595" s="613" t="n"/>
      <c r="AD595" s="613" t="n"/>
      <c r="AE595" s="613" t="n"/>
      <c r="AF595" s="613" t="n"/>
      <c r="AG595" s="626" t="n"/>
      <c r="AH595" s="626" t="n"/>
      <c r="AI595" s="626" t="n"/>
      <c r="AJ595" s="626" t="n"/>
      <c r="AK595" s="626" t="n"/>
      <c r="AL595" s="626" t="n"/>
      <c r="AM595" s="626" t="n"/>
      <c r="AN595" s="626" t="n"/>
      <c r="AO595" s="626" t="n"/>
      <c r="AP595" s="369" t="n"/>
      <c r="AQ595" s="369" t="n"/>
      <c r="AR595" s="369" t="n"/>
      <c r="AS595" s="369" t="n"/>
      <c r="AT595" s="370" t="n"/>
      <c r="AU595" s="370" t="n"/>
      <c r="AV595" s="370" t="n"/>
      <c r="AW595" s="370" t="n"/>
      <c r="BJ595">
        <f>O595</f>
        <v/>
      </c>
      <c r="BK595">
        <f>SUM(AG595:AW595)</f>
        <v/>
      </c>
      <c r="BL595" s="531">
        <f>BJ595-BK595</f>
        <v/>
      </c>
      <c r="BM595" s="201" t="n"/>
    </row>
    <row r="596" hidden="1" outlineLevel="1" s="191">
      <c r="P596" s="628" t="n"/>
      <c r="Q596" s="628" t="n"/>
      <c r="R596" s="628" t="n"/>
      <c r="S596" s="628" t="n"/>
      <c r="T596" s="628" t="n"/>
      <c r="U596" s="628" t="n"/>
      <c r="V596" s="628" t="n"/>
      <c r="W596" s="628" t="n"/>
      <c r="X596" s="628" t="n"/>
      <c r="Y596" s="650" t="n"/>
      <c r="Z596" s="650" t="n"/>
      <c r="AA596" s="650" t="n"/>
      <c r="AB596" s="650" t="n"/>
      <c r="AC596" s="613" t="n"/>
      <c r="AD596" s="613" t="n"/>
      <c r="AE596" s="613" t="n"/>
      <c r="AF596" s="613" t="n"/>
      <c r="AG596" s="626" t="n"/>
      <c r="AH596" s="626" t="n"/>
      <c r="AI596" s="626" t="n"/>
      <c r="AJ596" s="626" t="n"/>
      <c r="AK596" s="626" t="n"/>
      <c r="AL596" s="626" t="n"/>
      <c r="AM596" s="626" t="n"/>
      <c r="AN596" s="626" t="n"/>
      <c r="AO596" s="626" t="n"/>
      <c r="AP596" s="369" t="n"/>
      <c r="AQ596" s="369" t="n"/>
      <c r="AR596" s="369" t="n"/>
      <c r="AS596" s="369" t="n"/>
      <c r="AT596" s="370" t="n"/>
      <c r="AU596" s="370" t="n"/>
      <c r="AV596" s="370" t="n"/>
      <c r="AW596" s="370" t="n"/>
      <c r="BJ596">
        <f>O596</f>
        <v/>
      </c>
      <c r="BK596">
        <f>SUM(AG596:AW596)</f>
        <v/>
      </c>
      <c r="BL596" s="531">
        <f>BJ596-BK596</f>
        <v/>
      </c>
      <c r="BM596" s="201" t="n"/>
    </row>
    <row r="597" hidden="1" outlineLevel="1" s="191">
      <c r="P597" s="628" t="n"/>
      <c r="Q597" s="628" t="n"/>
      <c r="R597" s="628" t="n"/>
      <c r="S597" s="628" t="n"/>
      <c r="T597" s="628" t="n"/>
      <c r="U597" s="628" t="n"/>
      <c r="V597" s="628" t="n"/>
      <c r="W597" s="628" t="n"/>
      <c r="X597" s="628" t="n"/>
      <c r="Y597" s="650" t="n"/>
      <c r="Z597" s="650" t="n"/>
      <c r="AA597" s="650" t="n"/>
      <c r="AB597" s="650" t="n"/>
      <c r="AC597" s="613" t="n"/>
      <c r="AD597" s="613" t="n"/>
      <c r="AE597" s="613" t="n"/>
      <c r="AF597" s="613" t="n"/>
      <c r="AG597" s="626" t="n"/>
      <c r="AH597" s="626" t="n"/>
      <c r="AI597" s="626" t="n"/>
      <c r="AJ597" s="626" t="n"/>
      <c r="AK597" s="626" t="n"/>
      <c r="AL597" s="626" t="n"/>
      <c r="AM597" s="626" t="n"/>
      <c r="AN597" s="626" t="n"/>
      <c r="AO597" s="626" t="n"/>
      <c r="AP597" s="369" t="n"/>
      <c r="AQ597" s="369" t="n"/>
      <c r="AR597" s="369" t="n"/>
      <c r="AS597" s="369" t="n"/>
      <c r="AT597" s="370" t="n"/>
      <c r="AU597" s="370" t="n"/>
      <c r="AV597" s="370" t="n"/>
      <c r="AW597" s="370" t="n"/>
      <c r="BJ597">
        <f>O597</f>
        <v/>
      </c>
      <c r="BK597">
        <f>SUM(AG597:AW597)</f>
        <v/>
      </c>
      <c r="BL597" s="531">
        <f>BJ597-BK597</f>
        <v/>
      </c>
      <c r="BM597" s="201" t="n"/>
    </row>
    <row r="598" hidden="1" outlineLevel="1" s="191">
      <c r="A598" s="264">
        <f>A500</f>
        <v/>
      </c>
      <c r="P598" s="628" t="n"/>
      <c r="Q598" s="628" t="n"/>
      <c r="R598" s="628" t="n"/>
      <c r="S598" s="628" t="n"/>
      <c r="T598" s="628" t="n"/>
      <c r="U598" s="628" t="n"/>
      <c r="V598" s="628" t="n"/>
      <c r="W598" s="628" t="n"/>
      <c r="X598" s="628" t="n"/>
      <c r="Y598" s="650" t="n"/>
      <c r="Z598" s="650" t="n"/>
      <c r="AA598" s="650" t="n"/>
      <c r="AB598" s="650" t="n"/>
      <c r="AC598" s="613" t="n"/>
      <c r="AD598" s="613" t="n"/>
      <c r="AE598" s="613" t="n"/>
      <c r="AF598" s="613" t="n"/>
      <c r="AG598" s="626" t="n"/>
      <c r="AH598" s="626" t="n"/>
      <c r="AI598" s="626" t="n"/>
      <c r="AJ598" s="626" t="n"/>
      <c r="AK598" s="626" t="n"/>
      <c r="AL598" s="626" t="n"/>
      <c r="AM598" s="626" t="n"/>
      <c r="AN598" s="626" t="n"/>
      <c r="AO598" s="626" t="n"/>
      <c r="AP598" s="369" t="n"/>
      <c r="AQ598" s="369" t="n"/>
      <c r="AR598" s="369" t="n"/>
      <c r="AS598" s="369" t="n"/>
      <c r="AT598" s="370" t="n"/>
      <c r="AU598" s="370" t="n"/>
      <c r="AV598" s="370" t="n"/>
      <c r="AW598" s="370" t="n"/>
      <c r="BJ598">
        <f>O598</f>
        <v/>
      </c>
      <c r="BK598">
        <f>SUM(AG598:AW598)</f>
        <v/>
      </c>
      <c r="BL598" s="531">
        <f>BJ598-BK598</f>
        <v/>
      </c>
      <c r="BM598" s="201" t="n"/>
    </row>
    <row r="599" collapsed="1" s="191">
      <c r="P599" s="628" t="n"/>
      <c r="Q599" s="628" t="n"/>
      <c r="R599" s="628" t="n"/>
      <c r="S599" s="628" t="n"/>
      <c r="T599" s="628" t="n"/>
      <c r="U599" s="628" t="n"/>
      <c r="V599" s="628" t="n"/>
      <c r="W599" s="628" t="n"/>
      <c r="X599" s="628" t="n"/>
      <c r="Y599" s="650" t="n"/>
      <c r="Z599" s="650" t="n"/>
      <c r="AA599" s="650" t="n"/>
      <c r="AB599" s="650" t="n"/>
      <c r="AC599" s="613" t="n"/>
      <c r="AD599" s="613" t="n"/>
      <c r="AE599" s="613" t="n"/>
      <c r="AF599" s="613" t="n"/>
      <c r="AG599" s="626" t="n"/>
      <c r="AH599" s="626" t="n"/>
      <c r="AI599" s="626" t="n"/>
      <c r="AJ599" s="626" t="n"/>
      <c r="AK599" s="626" t="n"/>
      <c r="AL599" s="626" t="n"/>
      <c r="AM599" s="626" t="n"/>
      <c r="AN599" s="626" t="n"/>
      <c r="AO599" s="626" t="n"/>
      <c r="AP599" s="369" t="n"/>
      <c r="AQ599" s="369" t="n"/>
      <c r="AR599" s="369" t="n"/>
      <c r="AS599" s="369" t="n"/>
      <c r="AT599" s="370" t="n"/>
      <c r="AU599" s="370" t="n"/>
      <c r="AV599" s="370" t="n"/>
      <c r="AW599" s="370" t="n"/>
      <c r="BJ599">
        <f>O599</f>
        <v/>
      </c>
      <c r="BK599">
        <f>SUM(AG599:AW599)</f>
        <v/>
      </c>
      <c r="BL599" s="531">
        <f>BJ599-BK599</f>
        <v/>
      </c>
      <c r="BM599" s="201">
        <f>SUM(BL600:BL698)</f>
        <v/>
      </c>
    </row>
    <row r="600" ht="15.6" customHeight="1" s="191">
      <c r="A600" s="259">
        <f>VI_Baza_BDKZ!A3</f>
        <v/>
      </c>
      <c r="B600" s="260" t="n"/>
      <c r="C600" s="261" t="n"/>
      <c r="D600" s="276" t="n"/>
      <c r="E600" s="277">
        <f>VLOOKUP(A600,Listy!A:C,2,FALSE) &amp; "   :  " &amp; VLOOKUP(A600,Listy!A:C,3,FALSE)</f>
        <v/>
      </c>
      <c r="P600" s="628" t="n"/>
      <c r="Q600" s="628" t="n"/>
      <c r="R600" s="628" t="n"/>
      <c r="S600" s="628" t="n"/>
      <c r="T600" s="628" t="n"/>
      <c r="U600" s="628" t="n"/>
      <c r="V600" s="628" t="n"/>
      <c r="W600" s="628" t="n"/>
      <c r="X600" s="628" t="n"/>
      <c r="Y600" s="650" t="n"/>
      <c r="Z600" s="650" t="n"/>
      <c r="AA600" s="650" t="n"/>
      <c r="AB600" s="650" t="n"/>
      <c r="AC600" s="613" t="n"/>
      <c r="AD600" s="613" t="n"/>
      <c r="AE600" s="613" t="n"/>
      <c r="AF600" s="613" t="n"/>
      <c r="AG600" s="626" t="n"/>
      <c r="AH600" s="626" t="n"/>
      <c r="AI600" s="626" t="n"/>
      <c r="AJ600" s="626" t="n"/>
      <c r="AK600" s="626" t="n"/>
      <c r="AL600" s="626" t="n"/>
      <c r="AM600" s="626" t="n"/>
      <c r="AN600" s="626" t="n"/>
      <c r="AO600" s="626" t="n"/>
      <c r="AP600" s="369" t="n"/>
      <c r="AQ600" s="369" t="n"/>
      <c r="AR600" s="369" t="n"/>
      <c r="AS600" s="369" t="n"/>
      <c r="AT600" s="370" t="n"/>
      <c r="AU600" s="370" t="n"/>
      <c r="AV600" s="370" t="n"/>
      <c r="AW600" s="370" t="n"/>
      <c r="BJ600">
        <f>O600</f>
        <v/>
      </c>
      <c r="BK600">
        <f>SUM(AG600:AW600)</f>
        <v/>
      </c>
      <c r="BL600" s="531">
        <f>BJ600-BK600</f>
        <v/>
      </c>
      <c r="BM600" s="201">
        <f>SUM(BL601:BL699)</f>
        <v/>
      </c>
    </row>
    <row r="601" hidden="1" outlineLevel="1" s="191">
      <c r="A601">
        <f>VI_Baza_BDKZ!A4</f>
        <v/>
      </c>
      <c r="B601">
        <f>VI_Baza_BDKZ!B4</f>
        <v/>
      </c>
      <c r="C601">
        <f>VI_Baza_BDKZ!C4</f>
        <v/>
      </c>
      <c r="D601">
        <f>VI_Baza_BDKZ!D4</f>
        <v/>
      </c>
      <c r="E601">
        <f>VI_Baza_BDKZ!E4</f>
        <v/>
      </c>
      <c r="F601">
        <f>VI_Baza_BDKZ!F4</f>
        <v/>
      </c>
      <c r="G601">
        <f>VI_Baza_BDKZ!G4</f>
        <v/>
      </c>
      <c r="H601">
        <f>VI_Baza_BDKZ!H4</f>
        <v/>
      </c>
      <c r="I601">
        <f>VI_Baza_BDKZ!I4</f>
        <v/>
      </c>
      <c r="J601">
        <f>VI_Baza_BDKZ!J4</f>
        <v/>
      </c>
      <c r="K601">
        <f>VI_Baza_BDKZ!K4</f>
        <v/>
      </c>
      <c r="L601">
        <f>VI_Baza_BDKZ!L4</f>
        <v/>
      </c>
      <c r="M601">
        <f>VI_Baza_BDKZ!M4</f>
        <v/>
      </c>
      <c r="N601">
        <f>VI_Baza_BDKZ!N4</f>
        <v/>
      </c>
      <c r="O601">
        <f>VI_Baza_BDKZ!O4</f>
        <v/>
      </c>
      <c r="P601" s="628">
        <f>VI_Baza_BDKZ!P4</f>
        <v/>
      </c>
      <c r="Q601" s="628">
        <f>VI_Baza_BDKZ!Q4</f>
        <v/>
      </c>
      <c r="R601" s="628">
        <f>VI_Baza_BDKZ!R4</f>
        <v/>
      </c>
      <c r="S601" s="628">
        <f>VI_Baza_BDKZ!S4</f>
        <v/>
      </c>
      <c r="T601" s="628">
        <f>VI_Baza_BDKZ!T4</f>
        <v/>
      </c>
      <c r="U601" s="628">
        <f>VI_Baza_BDKZ!U4</f>
        <v/>
      </c>
      <c r="V601" s="628">
        <f>VI_Baza_BDKZ!V4</f>
        <v/>
      </c>
      <c r="W601" s="628">
        <f>VI_Baza_BDKZ!W4</f>
        <v/>
      </c>
      <c r="X601" s="628">
        <f>VI_Baza_BDKZ!X4</f>
        <v/>
      </c>
      <c r="Y601" s="650">
        <f>VI_Baza_BDKZ!Y4</f>
        <v/>
      </c>
      <c r="Z601" s="650">
        <f>VI_Baza_BDKZ!Z4</f>
        <v/>
      </c>
      <c r="AA601" s="650">
        <f>VI_Baza_BDKZ!AA4</f>
        <v/>
      </c>
      <c r="AB601" s="650">
        <f>VI_Baza_BDKZ!AB4</f>
        <v/>
      </c>
      <c r="AC601" s="613">
        <f>VI_Baza_BDKZ!AC4</f>
        <v/>
      </c>
      <c r="AD601" s="613">
        <f>VI_Baza_BDKZ!AD4</f>
        <v/>
      </c>
      <c r="AE601" s="613">
        <f>VI_Baza_BDKZ!AE4</f>
        <v/>
      </c>
      <c r="AF601" s="613">
        <f>VI_Baza_BDKZ!AF4</f>
        <v/>
      </c>
      <c r="AG601" s="626">
        <f>VI_Baza_BDKZ!AG4</f>
        <v/>
      </c>
      <c r="AH601" s="626">
        <f>VI_Baza_BDKZ!AH4</f>
        <v/>
      </c>
      <c r="AI601" s="626">
        <f>VI_Baza_BDKZ!AI4</f>
        <v/>
      </c>
      <c r="AJ601" s="626">
        <f>VI_Baza_BDKZ!AJ4</f>
        <v/>
      </c>
      <c r="AK601" s="626">
        <f>VI_Baza_BDKZ!AK4</f>
        <v/>
      </c>
      <c r="AL601" s="626">
        <f>VI_Baza_BDKZ!AL4</f>
        <v/>
      </c>
      <c r="AM601" s="626">
        <f>VI_Baza_BDKZ!AM4</f>
        <v/>
      </c>
      <c r="AN601" s="626">
        <f>VI_Baza_BDKZ!AN4</f>
        <v/>
      </c>
      <c r="AO601" s="626">
        <f>VI_Baza_BDKZ!AO4</f>
        <v/>
      </c>
      <c r="AP601" s="369">
        <f>VI_Baza_BDKZ!AP4</f>
        <v/>
      </c>
      <c r="AQ601" s="369">
        <f>VI_Baza_BDKZ!AQ4</f>
        <v/>
      </c>
      <c r="AR601" s="369">
        <f>VI_Baza_BDKZ!AR4</f>
        <v/>
      </c>
      <c r="AS601" s="369">
        <f>VI_Baza_BDKZ!AS4</f>
        <v/>
      </c>
      <c r="AT601" s="370">
        <f>VI_Baza_BDKZ!AT4</f>
        <v/>
      </c>
      <c r="AU601" s="370">
        <f>VI_Baza_BDKZ!AU4</f>
        <v/>
      </c>
      <c r="AV601" s="370">
        <f>VI_Baza_BDKZ!AV4</f>
        <v/>
      </c>
      <c r="AW601" s="370">
        <f>VI_Baza_BDKZ!AW4</f>
        <v/>
      </c>
      <c r="AX601">
        <f>VI_Baza_BDKZ!AX4</f>
        <v/>
      </c>
      <c r="AY601">
        <f>VI_Baza_BDKZ!AY4</f>
        <v/>
      </c>
      <c r="AZ601">
        <f>VI_Baza_BDKZ!AZ4</f>
        <v/>
      </c>
      <c r="BA601">
        <f>VI_Baza_BDKZ!BA4</f>
        <v/>
      </c>
      <c r="BB601">
        <f>VI_Baza_BDKZ!BB4</f>
        <v/>
      </c>
      <c r="BC601">
        <f>VI_Baza_BDKZ!BC4</f>
        <v/>
      </c>
      <c r="BD601">
        <f>VI_Baza_BDKZ!BD4</f>
        <v/>
      </c>
      <c r="BE601">
        <f>VI_Baza_BDKZ!BE4</f>
        <v/>
      </c>
      <c r="BF601">
        <f>VI_Baza_BDKZ!BF4</f>
        <v/>
      </c>
      <c r="BG601">
        <f>VI_Baza_BDKZ!BG4</f>
        <v/>
      </c>
      <c r="BH601">
        <f>VI_Baza_BDKZ!BH4</f>
        <v/>
      </c>
      <c r="BI601">
        <f>VI_Baza_BDKZ!BI4</f>
        <v/>
      </c>
      <c r="BJ601">
        <f>O601</f>
        <v/>
      </c>
      <c r="BK601">
        <f>SUM(AG601:AW601)</f>
        <v/>
      </c>
      <c r="BL601" s="531">
        <f>BJ601-BK601</f>
        <v/>
      </c>
      <c r="BM601" s="201" t="n"/>
    </row>
    <row r="602" hidden="1" outlineLevel="1" s="191">
      <c r="A602">
        <f>VI_Baza_BDKZ!A5</f>
        <v/>
      </c>
      <c r="B602">
        <f>VI_Baza_BDKZ!B5</f>
        <v/>
      </c>
      <c r="C602">
        <f>VI_Baza_BDKZ!C5</f>
        <v/>
      </c>
      <c r="D602">
        <f>VI_Baza_BDKZ!D5</f>
        <v/>
      </c>
      <c r="E602">
        <f>VI_Baza_BDKZ!E5</f>
        <v/>
      </c>
      <c r="F602">
        <f>VI_Baza_BDKZ!F5</f>
        <v/>
      </c>
      <c r="G602">
        <f>VI_Baza_BDKZ!G5</f>
        <v/>
      </c>
      <c r="H602">
        <f>VI_Baza_BDKZ!H5</f>
        <v/>
      </c>
      <c r="I602">
        <f>VI_Baza_BDKZ!I5</f>
        <v/>
      </c>
      <c r="J602">
        <f>VI_Baza_BDKZ!J5</f>
        <v/>
      </c>
      <c r="K602">
        <f>VI_Baza_BDKZ!K5</f>
        <v/>
      </c>
      <c r="L602">
        <f>VI_Baza_BDKZ!L5</f>
        <v/>
      </c>
      <c r="M602">
        <f>VI_Baza_BDKZ!M5</f>
        <v/>
      </c>
      <c r="N602">
        <f>VI_Baza_BDKZ!N5</f>
        <v/>
      </c>
      <c r="O602">
        <f>VI_Baza_BDKZ!O5</f>
        <v/>
      </c>
      <c r="P602" s="628">
        <f>VI_Baza_BDKZ!P5</f>
        <v/>
      </c>
      <c r="Q602" s="628">
        <f>VI_Baza_BDKZ!Q5</f>
        <v/>
      </c>
      <c r="R602" s="628">
        <f>VI_Baza_BDKZ!R5</f>
        <v/>
      </c>
      <c r="S602" s="628">
        <f>VI_Baza_BDKZ!S5</f>
        <v/>
      </c>
      <c r="T602" s="628">
        <f>VI_Baza_BDKZ!T5</f>
        <v/>
      </c>
      <c r="U602" s="628">
        <f>VI_Baza_BDKZ!U5</f>
        <v/>
      </c>
      <c r="V602" s="628">
        <f>VI_Baza_BDKZ!V5</f>
        <v/>
      </c>
      <c r="W602" s="628">
        <f>VI_Baza_BDKZ!W5</f>
        <v/>
      </c>
      <c r="X602" s="628">
        <f>VI_Baza_BDKZ!X5</f>
        <v/>
      </c>
      <c r="Y602" s="650">
        <f>VI_Baza_BDKZ!Y5</f>
        <v/>
      </c>
      <c r="Z602" s="650">
        <f>VI_Baza_BDKZ!Z5</f>
        <v/>
      </c>
      <c r="AA602" s="650">
        <f>VI_Baza_BDKZ!AA5</f>
        <v/>
      </c>
      <c r="AB602" s="650">
        <f>VI_Baza_BDKZ!AB5</f>
        <v/>
      </c>
      <c r="AC602" s="613">
        <f>VI_Baza_BDKZ!AC5</f>
        <v/>
      </c>
      <c r="AD602" s="613">
        <f>VI_Baza_BDKZ!AD5</f>
        <v/>
      </c>
      <c r="AE602" s="613">
        <f>VI_Baza_BDKZ!AE5</f>
        <v/>
      </c>
      <c r="AF602" s="613">
        <f>VI_Baza_BDKZ!AF5</f>
        <v/>
      </c>
      <c r="AG602" s="626">
        <f>VI_Baza_BDKZ!AG5</f>
        <v/>
      </c>
      <c r="AH602" s="626">
        <f>VI_Baza_BDKZ!AH5</f>
        <v/>
      </c>
      <c r="AI602" s="626">
        <f>VI_Baza_BDKZ!AI5</f>
        <v/>
      </c>
      <c r="AJ602" s="626">
        <f>VI_Baza_BDKZ!AJ5</f>
        <v/>
      </c>
      <c r="AK602" s="626">
        <f>VI_Baza_BDKZ!AK5</f>
        <v/>
      </c>
      <c r="AL602" s="626">
        <f>VI_Baza_BDKZ!AL5</f>
        <v/>
      </c>
      <c r="AM602" s="626">
        <f>VI_Baza_BDKZ!AM5</f>
        <v/>
      </c>
      <c r="AN602" s="626">
        <f>VI_Baza_BDKZ!AN5</f>
        <v/>
      </c>
      <c r="AO602" s="626">
        <f>VI_Baza_BDKZ!AO5</f>
        <v/>
      </c>
      <c r="AP602" s="369">
        <f>VI_Baza_BDKZ!AP5</f>
        <v/>
      </c>
      <c r="AQ602" s="369">
        <f>VI_Baza_BDKZ!AQ5</f>
        <v/>
      </c>
      <c r="AR602" s="369">
        <f>VI_Baza_BDKZ!AR5</f>
        <v/>
      </c>
      <c r="AS602" s="369">
        <f>VI_Baza_BDKZ!AS5</f>
        <v/>
      </c>
      <c r="AT602" s="370">
        <f>VI_Baza_BDKZ!AT5</f>
        <v/>
      </c>
      <c r="AU602" s="370">
        <f>VI_Baza_BDKZ!AU5</f>
        <v/>
      </c>
      <c r="AV602" s="370">
        <f>VI_Baza_BDKZ!AV5</f>
        <v/>
      </c>
      <c r="AW602" s="370">
        <f>VI_Baza_BDKZ!AW5</f>
        <v/>
      </c>
      <c r="AX602">
        <f>VI_Baza_BDKZ!AX5</f>
        <v/>
      </c>
      <c r="AY602">
        <f>VI_Baza_BDKZ!AY5</f>
        <v/>
      </c>
      <c r="AZ602">
        <f>VI_Baza_BDKZ!AZ5</f>
        <v/>
      </c>
      <c r="BA602">
        <f>VI_Baza_BDKZ!BA5</f>
        <v/>
      </c>
      <c r="BB602">
        <f>VI_Baza_BDKZ!BB5</f>
        <v/>
      </c>
      <c r="BC602">
        <f>VI_Baza_BDKZ!BC5</f>
        <v/>
      </c>
      <c r="BD602">
        <f>VI_Baza_BDKZ!BD5</f>
        <v/>
      </c>
      <c r="BE602">
        <f>VI_Baza_BDKZ!BE5</f>
        <v/>
      </c>
      <c r="BF602">
        <f>VI_Baza_BDKZ!BF5</f>
        <v/>
      </c>
      <c r="BG602">
        <f>VI_Baza_BDKZ!BG5</f>
        <v/>
      </c>
      <c r="BH602">
        <f>VI_Baza_BDKZ!BH5</f>
        <v/>
      </c>
      <c r="BI602">
        <f>VI_Baza_BDKZ!BI5</f>
        <v/>
      </c>
      <c r="BJ602">
        <f>O602</f>
        <v/>
      </c>
      <c r="BK602">
        <f>SUM(AG602:AW602)</f>
        <v/>
      </c>
      <c r="BL602" s="531">
        <f>BJ602-BK602</f>
        <v/>
      </c>
      <c r="BM602" s="201" t="n"/>
    </row>
    <row r="603" hidden="1" outlineLevel="1" s="191">
      <c r="A603">
        <f>VI_Baza_BDKZ!A6</f>
        <v/>
      </c>
      <c r="B603">
        <f>VI_Baza_BDKZ!B6</f>
        <v/>
      </c>
      <c r="C603">
        <f>VI_Baza_BDKZ!C6</f>
        <v/>
      </c>
      <c r="D603">
        <f>VI_Baza_BDKZ!D6</f>
        <v/>
      </c>
      <c r="E603">
        <f>VI_Baza_BDKZ!E6</f>
        <v/>
      </c>
      <c r="F603">
        <f>VI_Baza_BDKZ!F6</f>
        <v/>
      </c>
      <c r="G603">
        <f>VI_Baza_BDKZ!G6</f>
        <v/>
      </c>
      <c r="H603">
        <f>VI_Baza_BDKZ!H6</f>
        <v/>
      </c>
      <c r="I603">
        <f>VI_Baza_BDKZ!I6</f>
        <v/>
      </c>
      <c r="J603">
        <f>VI_Baza_BDKZ!J6</f>
        <v/>
      </c>
      <c r="K603" s="672">
        <f>VI_Baza_BDKZ!K6</f>
        <v/>
      </c>
      <c r="L603" s="672">
        <f>VI_Baza_BDKZ!L6</f>
        <v/>
      </c>
      <c r="M603">
        <f>VI_Baza_BDKZ!M6</f>
        <v/>
      </c>
      <c r="N603">
        <f>VI_Baza_BDKZ!N6</f>
        <v/>
      </c>
      <c r="O603">
        <f>VI_Baza_BDKZ!O6</f>
        <v/>
      </c>
      <c r="P603" s="628">
        <f>VI_Baza_BDKZ!P6</f>
        <v/>
      </c>
      <c r="Q603" s="628">
        <f>VI_Baza_BDKZ!Q6</f>
        <v/>
      </c>
      <c r="R603" s="628">
        <f>VI_Baza_BDKZ!R6</f>
        <v/>
      </c>
      <c r="S603" s="628">
        <f>VI_Baza_BDKZ!S6</f>
        <v/>
      </c>
      <c r="T603" s="628">
        <f>VI_Baza_BDKZ!T6</f>
        <v/>
      </c>
      <c r="U603" s="628">
        <f>VI_Baza_BDKZ!U6</f>
        <v/>
      </c>
      <c r="V603" s="628">
        <f>VI_Baza_BDKZ!V6</f>
        <v/>
      </c>
      <c r="W603" s="628">
        <f>VI_Baza_BDKZ!W6</f>
        <v/>
      </c>
      <c r="X603" s="628">
        <f>VI_Baza_BDKZ!X6</f>
        <v/>
      </c>
      <c r="Y603" s="650">
        <f>VI_Baza_BDKZ!Y6</f>
        <v/>
      </c>
      <c r="Z603" s="650">
        <f>VI_Baza_BDKZ!Z6</f>
        <v/>
      </c>
      <c r="AA603" s="650">
        <f>VI_Baza_BDKZ!AA6</f>
        <v/>
      </c>
      <c r="AB603" s="650">
        <f>VI_Baza_BDKZ!AB6</f>
        <v/>
      </c>
      <c r="AC603" s="613">
        <f>VI_Baza_BDKZ!AC6</f>
        <v/>
      </c>
      <c r="AD603" s="613">
        <f>VI_Baza_BDKZ!AD6</f>
        <v/>
      </c>
      <c r="AE603" s="613">
        <f>VI_Baza_BDKZ!AE6</f>
        <v/>
      </c>
      <c r="AF603" s="613">
        <f>VI_Baza_BDKZ!AF6</f>
        <v/>
      </c>
      <c r="AG603" s="626">
        <f>VI_Baza_BDKZ!AG6</f>
        <v/>
      </c>
      <c r="AH603" s="626">
        <f>VI_Baza_BDKZ!AH6</f>
        <v/>
      </c>
      <c r="AI603" s="626">
        <f>VI_Baza_BDKZ!AI6</f>
        <v/>
      </c>
      <c r="AJ603" s="626">
        <f>VI_Baza_BDKZ!AJ6</f>
        <v/>
      </c>
      <c r="AK603" s="626">
        <f>VI_Baza_BDKZ!AK6</f>
        <v/>
      </c>
      <c r="AL603" s="626">
        <f>VI_Baza_BDKZ!AL6</f>
        <v/>
      </c>
      <c r="AM603" s="626">
        <f>VI_Baza_BDKZ!AM6</f>
        <v/>
      </c>
      <c r="AN603" s="626">
        <f>VI_Baza_BDKZ!AN6</f>
        <v/>
      </c>
      <c r="AO603" s="626">
        <f>VI_Baza_BDKZ!AO6</f>
        <v/>
      </c>
      <c r="AP603" s="369">
        <f>VI_Baza_BDKZ!AP6</f>
        <v/>
      </c>
      <c r="AQ603" s="369">
        <f>VI_Baza_BDKZ!AQ6</f>
        <v/>
      </c>
      <c r="AR603" s="369">
        <f>VI_Baza_BDKZ!AR6</f>
        <v/>
      </c>
      <c r="AS603" s="369">
        <f>VI_Baza_BDKZ!AS6</f>
        <v/>
      </c>
      <c r="AT603" s="370">
        <f>VI_Baza_BDKZ!AT6</f>
        <v/>
      </c>
      <c r="AU603" s="370">
        <f>VI_Baza_BDKZ!AU6</f>
        <v/>
      </c>
      <c r="AV603" s="370">
        <f>VI_Baza_BDKZ!AV6</f>
        <v/>
      </c>
      <c r="AW603" s="370">
        <f>VI_Baza_BDKZ!AW6</f>
        <v/>
      </c>
      <c r="AX603">
        <f>VI_Baza_BDKZ!AX6</f>
        <v/>
      </c>
      <c r="AY603">
        <f>VI_Baza_BDKZ!AY6</f>
        <v/>
      </c>
      <c r="AZ603">
        <f>VI_Baza_BDKZ!AZ6</f>
        <v/>
      </c>
      <c r="BA603">
        <f>VI_Baza_BDKZ!BA6</f>
        <v/>
      </c>
      <c r="BB603">
        <f>VI_Baza_BDKZ!BB6</f>
        <v/>
      </c>
      <c r="BC603">
        <f>VI_Baza_BDKZ!BC6</f>
        <v/>
      </c>
      <c r="BD603">
        <f>VI_Baza_BDKZ!BD6</f>
        <v/>
      </c>
      <c r="BE603">
        <f>VI_Baza_BDKZ!BE6</f>
        <v/>
      </c>
      <c r="BF603">
        <f>VI_Baza_BDKZ!BF6</f>
        <v/>
      </c>
      <c r="BG603">
        <f>VI_Baza_BDKZ!BG6</f>
        <v/>
      </c>
      <c r="BH603">
        <f>VI_Baza_BDKZ!BH6</f>
        <v/>
      </c>
      <c r="BI603">
        <f>VI_Baza_BDKZ!BI6</f>
        <v/>
      </c>
      <c r="BJ603">
        <f>O603</f>
        <v/>
      </c>
      <c r="BK603">
        <f>SUM(AG603:AW603)</f>
        <v/>
      </c>
      <c r="BL603" s="531">
        <f>BJ603-BK603</f>
        <v/>
      </c>
      <c r="BM603" s="201" t="n"/>
    </row>
    <row r="604" hidden="1" outlineLevel="1" s="191">
      <c r="A604">
        <f>VI_Baza_BDKZ!A7</f>
        <v/>
      </c>
      <c r="B604">
        <f>VI_Baza_BDKZ!B7</f>
        <v/>
      </c>
      <c r="C604">
        <f>VI_Baza_BDKZ!C7</f>
        <v/>
      </c>
      <c r="D604">
        <f>VI_Baza_BDKZ!D7</f>
        <v/>
      </c>
      <c r="E604">
        <f>VI_Baza_BDKZ!E7</f>
        <v/>
      </c>
      <c r="F604">
        <f>VI_Baza_BDKZ!F7</f>
        <v/>
      </c>
      <c r="G604">
        <f>VI_Baza_BDKZ!G7</f>
        <v/>
      </c>
      <c r="H604">
        <f>VI_Baza_BDKZ!H7</f>
        <v/>
      </c>
      <c r="I604">
        <f>VI_Baza_BDKZ!I7</f>
        <v/>
      </c>
      <c r="J604">
        <f>VI_Baza_BDKZ!J7</f>
        <v/>
      </c>
      <c r="K604" s="672">
        <f>VI_Baza_BDKZ!K7</f>
        <v/>
      </c>
      <c r="L604" s="672">
        <f>VI_Baza_BDKZ!L7</f>
        <v/>
      </c>
      <c r="M604">
        <f>VI_Baza_BDKZ!M7</f>
        <v/>
      </c>
      <c r="N604">
        <f>VI_Baza_BDKZ!N7</f>
        <v/>
      </c>
      <c r="O604">
        <f>VI_Baza_BDKZ!O7</f>
        <v/>
      </c>
      <c r="P604" s="628">
        <f>VI_Baza_BDKZ!P7</f>
        <v/>
      </c>
      <c r="Q604" s="628">
        <f>VI_Baza_BDKZ!Q7</f>
        <v/>
      </c>
      <c r="R604" s="628">
        <f>VI_Baza_BDKZ!R7</f>
        <v/>
      </c>
      <c r="S604" s="628">
        <f>VI_Baza_BDKZ!S7</f>
        <v/>
      </c>
      <c r="T604" s="628">
        <f>VI_Baza_BDKZ!T7</f>
        <v/>
      </c>
      <c r="U604" s="628">
        <f>VI_Baza_BDKZ!U7</f>
        <v/>
      </c>
      <c r="V604" s="628">
        <f>VI_Baza_BDKZ!V7</f>
        <v/>
      </c>
      <c r="W604" s="628">
        <f>VI_Baza_BDKZ!W7</f>
        <v/>
      </c>
      <c r="X604" s="628">
        <f>VI_Baza_BDKZ!X7</f>
        <v/>
      </c>
      <c r="Y604" s="650">
        <f>VI_Baza_BDKZ!Y7</f>
        <v/>
      </c>
      <c r="Z604" s="650">
        <f>VI_Baza_BDKZ!Z7</f>
        <v/>
      </c>
      <c r="AA604" s="650">
        <f>VI_Baza_BDKZ!AA7</f>
        <v/>
      </c>
      <c r="AB604" s="650">
        <f>VI_Baza_BDKZ!AB7</f>
        <v/>
      </c>
      <c r="AC604" s="613">
        <f>VI_Baza_BDKZ!AC7</f>
        <v/>
      </c>
      <c r="AD604" s="613">
        <f>VI_Baza_BDKZ!AD7</f>
        <v/>
      </c>
      <c r="AE604" s="613">
        <f>VI_Baza_BDKZ!AE7</f>
        <v/>
      </c>
      <c r="AF604" s="613">
        <f>VI_Baza_BDKZ!AF7</f>
        <v/>
      </c>
      <c r="AG604" s="626">
        <f>VI_Baza_BDKZ!AG7</f>
        <v/>
      </c>
      <c r="AH604" s="626">
        <f>VI_Baza_BDKZ!AH7</f>
        <v/>
      </c>
      <c r="AI604" s="626">
        <f>VI_Baza_BDKZ!AI7</f>
        <v/>
      </c>
      <c r="AJ604" s="626">
        <f>VI_Baza_BDKZ!AJ7</f>
        <v/>
      </c>
      <c r="AK604" s="626">
        <f>VI_Baza_BDKZ!AK7</f>
        <v/>
      </c>
      <c r="AL604" s="626">
        <f>VI_Baza_BDKZ!AL7</f>
        <v/>
      </c>
      <c r="AM604" s="626">
        <f>VI_Baza_BDKZ!AM7</f>
        <v/>
      </c>
      <c r="AN604" s="626">
        <f>VI_Baza_BDKZ!AN7</f>
        <v/>
      </c>
      <c r="AO604" s="626">
        <f>VI_Baza_BDKZ!AO7</f>
        <v/>
      </c>
      <c r="AP604" s="369">
        <f>VI_Baza_BDKZ!AP7</f>
        <v/>
      </c>
      <c r="AQ604" s="369">
        <f>VI_Baza_BDKZ!AQ7</f>
        <v/>
      </c>
      <c r="AR604" s="369">
        <f>VI_Baza_BDKZ!AR7</f>
        <v/>
      </c>
      <c r="AS604" s="369">
        <f>VI_Baza_BDKZ!AS7</f>
        <v/>
      </c>
      <c r="AT604" s="370">
        <f>VI_Baza_BDKZ!AT7</f>
        <v/>
      </c>
      <c r="AU604" s="370">
        <f>VI_Baza_BDKZ!AU7</f>
        <v/>
      </c>
      <c r="AV604" s="370">
        <f>VI_Baza_BDKZ!AV7</f>
        <v/>
      </c>
      <c r="AW604" s="370">
        <f>VI_Baza_BDKZ!AW7</f>
        <v/>
      </c>
      <c r="AX604">
        <f>VI_Baza_BDKZ!AX7</f>
        <v/>
      </c>
      <c r="AY604">
        <f>VI_Baza_BDKZ!AY7</f>
        <v/>
      </c>
      <c r="AZ604">
        <f>VI_Baza_BDKZ!AZ7</f>
        <v/>
      </c>
      <c r="BA604">
        <f>VI_Baza_BDKZ!BA7</f>
        <v/>
      </c>
      <c r="BB604">
        <f>VI_Baza_BDKZ!BB7</f>
        <v/>
      </c>
      <c r="BC604">
        <f>VI_Baza_BDKZ!BC7</f>
        <v/>
      </c>
      <c r="BD604">
        <f>VI_Baza_BDKZ!BD7</f>
        <v/>
      </c>
      <c r="BE604">
        <f>VI_Baza_BDKZ!BE7</f>
        <v/>
      </c>
      <c r="BF604">
        <f>VI_Baza_BDKZ!BF7</f>
        <v/>
      </c>
      <c r="BG604">
        <f>VI_Baza_BDKZ!BG7</f>
        <v/>
      </c>
      <c r="BH604">
        <f>VI_Baza_BDKZ!BH7</f>
        <v/>
      </c>
      <c r="BI604">
        <f>VI_Baza_BDKZ!BI7</f>
        <v/>
      </c>
      <c r="BJ604">
        <f>O604</f>
        <v/>
      </c>
      <c r="BK604">
        <f>SUM(AG604:AW604)</f>
        <v/>
      </c>
      <c r="BL604" s="531">
        <f>BJ604-BK604</f>
        <v/>
      </c>
      <c r="BM604" s="201" t="n"/>
    </row>
    <row r="605" hidden="1" outlineLevel="1" s="191">
      <c r="A605">
        <f>VI_Baza_BDKZ!A8</f>
        <v/>
      </c>
      <c r="B605">
        <f>VI_Baza_BDKZ!B8</f>
        <v/>
      </c>
      <c r="C605">
        <f>VI_Baza_BDKZ!C8</f>
        <v/>
      </c>
      <c r="D605">
        <f>VI_Baza_BDKZ!D8</f>
        <v/>
      </c>
      <c r="E605">
        <f>VI_Baza_BDKZ!E8</f>
        <v/>
      </c>
      <c r="F605">
        <f>VI_Baza_BDKZ!F8</f>
        <v/>
      </c>
      <c r="G605">
        <f>VI_Baza_BDKZ!G8</f>
        <v/>
      </c>
      <c r="H605">
        <f>VI_Baza_BDKZ!H8</f>
        <v/>
      </c>
      <c r="I605">
        <f>VI_Baza_BDKZ!I8</f>
        <v/>
      </c>
      <c r="J605">
        <f>VI_Baza_BDKZ!J8</f>
        <v/>
      </c>
      <c r="K605" s="672">
        <f>VI_Baza_BDKZ!K8</f>
        <v/>
      </c>
      <c r="L605" s="672">
        <f>VI_Baza_BDKZ!L8</f>
        <v/>
      </c>
      <c r="M605">
        <f>VI_Baza_BDKZ!M8</f>
        <v/>
      </c>
      <c r="N605">
        <f>VI_Baza_BDKZ!N8</f>
        <v/>
      </c>
      <c r="O605">
        <f>VI_Baza_BDKZ!O8</f>
        <v/>
      </c>
      <c r="P605" s="628">
        <f>VI_Baza_BDKZ!P8</f>
        <v/>
      </c>
      <c r="Q605" s="628">
        <f>VI_Baza_BDKZ!Q8</f>
        <v/>
      </c>
      <c r="R605" s="628">
        <f>VI_Baza_BDKZ!R8</f>
        <v/>
      </c>
      <c r="S605" s="628">
        <f>VI_Baza_BDKZ!S8</f>
        <v/>
      </c>
      <c r="T605" s="628">
        <f>VI_Baza_BDKZ!T8</f>
        <v/>
      </c>
      <c r="U605" s="628">
        <f>VI_Baza_BDKZ!U8</f>
        <v/>
      </c>
      <c r="V605" s="628">
        <f>VI_Baza_BDKZ!V8</f>
        <v/>
      </c>
      <c r="W605" s="628">
        <f>VI_Baza_BDKZ!W8</f>
        <v/>
      </c>
      <c r="X605" s="628">
        <f>VI_Baza_BDKZ!X8</f>
        <v/>
      </c>
      <c r="Y605" s="650">
        <f>VI_Baza_BDKZ!Y8</f>
        <v/>
      </c>
      <c r="Z605" s="650">
        <f>VI_Baza_BDKZ!Z8</f>
        <v/>
      </c>
      <c r="AA605" s="650">
        <f>VI_Baza_BDKZ!AA8</f>
        <v/>
      </c>
      <c r="AB605" s="650">
        <f>VI_Baza_BDKZ!AB8</f>
        <v/>
      </c>
      <c r="AC605" s="613">
        <f>VI_Baza_BDKZ!AC8</f>
        <v/>
      </c>
      <c r="AD605" s="613">
        <f>VI_Baza_BDKZ!AD8</f>
        <v/>
      </c>
      <c r="AE605" s="613">
        <f>VI_Baza_BDKZ!AE8</f>
        <v/>
      </c>
      <c r="AF605" s="613">
        <f>VI_Baza_BDKZ!AF8</f>
        <v/>
      </c>
      <c r="AG605" s="626">
        <f>VI_Baza_BDKZ!AG8</f>
        <v/>
      </c>
      <c r="AH605" s="626">
        <f>VI_Baza_BDKZ!AH8</f>
        <v/>
      </c>
      <c r="AI605" s="626">
        <f>VI_Baza_BDKZ!AI8</f>
        <v/>
      </c>
      <c r="AJ605" s="626">
        <f>VI_Baza_BDKZ!AJ8</f>
        <v/>
      </c>
      <c r="AK605" s="626">
        <f>VI_Baza_BDKZ!AK8</f>
        <v/>
      </c>
      <c r="AL605" s="626">
        <f>VI_Baza_BDKZ!AL8</f>
        <v/>
      </c>
      <c r="AM605" s="626">
        <f>VI_Baza_BDKZ!AM8</f>
        <v/>
      </c>
      <c r="AN605" s="626">
        <f>VI_Baza_BDKZ!AN8</f>
        <v/>
      </c>
      <c r="AO605" s="626">
        <f>VI_Baza_BDKZ!AO8</f>
        <v/>
      </c>
      <c r="AP605" s="369">
        <f>VI_Baza_BDKZ!AP8</f>
        <v/>
      </c>
      <c r="AQ605" s="369">
        <f>VI_Baza_BDKZ!AQ8</f>
        <v/>
      </c>
      <c r="AR605" s="369">
        <f>VI_Baza_BDKZ!AR8</f>
        <v/>
      </c>
      <c r="AS605" s="369">
        <f>VI_Baza_BDKZ!AS8</f>
        <v/>
      </c>
      <c r="AT605" s="370">
        <f>VI_Baza_BDKZ!AT8</f>
        <v/>
      </c>
      <c r="AU605" s="370">
        <f>VI_Baza_BDKZ!AU8</f>
        <v/>
      </c>
      <c r="AV605" s="370">
        <f>VI_Baza_BDKZ!AV8</f>
        <v/>
      </c>
      <c r="AW605" s="370">
        <f>VI_Baza_BDKZ!AW8</f>
        <v/>
      </c>
      <c r="AX605">
        <f>VI_Baza_BDKZ!AX8</f>
        <v/>
      </c>
      <c r="AY605">
        <f>VI_Baza_BDKZ!AY8</f>
        <v/>
      </c>
      <c r="AZ605">
        <f>VI_Baza_BDKZ!AZ8</f>
        <v/>
      </c>
      <c r="BA605">
        <f>VI_Baza_BDKZ!BA8</f>
        <v/>
      </c>
      <c r="BB605">
        <f>VI_Baza_BDKZ!BB8</f>
        <v/>
      </c>
      <c r="BC605">
        <f>VI_Baza_BDKZ!BC8</f>
        <v/>
      </c>
      <c r="BD605">
        <f>VI_Baza_BDKZ!BD8</f>
        <v/>
      </c>
      <c r="BE605">
        <f>VI_Baza_BDKZ!BE8</f>
        <v/>
      </c>
      <c r="BF605">
        <f>VI_Baza_BDKZ!BF8</f>
        <v/>
      </c>
      <c r="BG605">
        <f>VI_Baza_BDKZ!BG8</f>
        <v/>
      </c>
      <c r="BH605">
        <f>VI_Baza_BDKZ!BH8</f>
        <v/>
      </c>
      <c r="BI605">
        <f>VI_Baza_BDKZ!BI8</f>
        <v/>
      </c>
      <c r="BJ605">
        <f>O605</f>
        <v/>
      </c>
      <c r="BK605">
        <f>SUM(AG605:AW605)</f>
        <v/>
      </c>
      <c r="BL605" s="531">
        <f>BJ605-BK605</f>
        <v/>
      </c>
      <c r="BM605" s="201" t="n"/>
    </row>
    <row r="606" hidden="1" outlineLevel="1" s="191">
      <c r="A606">
        <f>VI_Baza_BDKZ!A9</f>
        <v/>
      </c>
      <c r="B606">
        <f>VI_Baza_BDKZ!B9</f>
        <v/>
      </c>
      <c r="C606">
        <f>VI_Baza_BDKZ!C9</f>
        <v/>
      </c>
      <c r="D606">
        <f>VI_Baza_BDKZ!D9</f>
        <v/>
      </c>
      <c r="E606">
        <f>VI_Baza_BDKZ!E9</f>
        <v/>
      </c>
      <c r="F606">
        <f>VI_Baza_BDKZ!F9</f>
        <v/>
      </c>
      <c r="G606">
        <f>VI_Baza_BDKZ!G9</f>
        <v/>
      </c>
      <c r="H606">
        <f>VI_Baza_BDKZ!H9</f>
        <v/>
      </c>
      <c r="I606">
        <f>VI_Baza_BDKZ!I9</f>
        <v/>
      </c>
      <c r="J606">
        <f>VI_Baza_BDKZ!J9</f>
        <v/>
      </c>
      <c r="K606" s="672">
        <f>VI_Baza_BDKZ!K9</f>
        <v/>
      </c>
      <c r="L606" s="672">
        <f>VI_Baza_BDKZ!L9</f>
        <v/>
      </c>
      <c r="M606">
        <f>VI_Baza_BDKZ!M9</f>
        <v/>
      </c>
      <c r="N606">
        <f>VI_Baza_BDKZ!N9</f>
        <v/>
      </c>
      <c r="O606">
        <f>VI_Baza_BDKZ!O9</f>
        <v/>
      </c>
      <c r="P606" s="628">
        <f>VI_Baza_BDKZ!P9</f>
        <v/>
      </c>
      <c r="Q606" s="628">
        <f>VI_Baza_BDKZ!Q9</f>
        <v/>
      </c>
      <c r="R606" s="628">
        <f>VI_Baza_BDKZ!R9</f>
        <v/>
      </c>
      <c r="S606" s="628">
        <f>VI_Baza_BDKZ!S9</f>
        <v/>
      </c>
      <c r="T606" s="628">
        <f>VI_Baza_BDKZ!T9</f>
        <v/>
      </c>
      <c r="U606" s="628">
        <f>VI_Baza_BDKZ!U9</f>
        <v/>
      </c>
      <c r="V606" s="628">
        <f>VI_Baza_BDKZ!V9</f>
        <v/>
      </c>
      <c r="W606" s="628">
        <f>VI_Baza_BDKZ!W9</f>
        <v/>
      </c>
      <c r="X606" s="628">
        <f>VI_Baza_BDKZ!X9</f>
        <v/>
      </c>
      <c r="Y606" s="650">
        <f>VI_Baza_BDKZ!Y9</f>
        <v/>
      </c>
      <c r="Z606" s="650">
        <f>VI_Baza_BDKZ!Z9</f>
        <v/>
      </c>
      <c r="AA606" s="650">
        <f>VI_Baza_BDKZ!AA9</f>
        <v/>
      </c>
      <c r="AB606" s="650">
        <f>VI_Baza_BDKZ!AB9</f>
        <v/>
      </c>
      <c r="AC606" s="613">
        <f>VI_Baza_BDKZ!AC9</f>
        <v/>
      </c>
      <c r="AD606" s="613">
        <f>VI_Baza_BDKZ!AD9</f>
        <v/>
      </c>
      <c r="AE606" s="613">
        <f>VI_Baza_BDKZ!AE9</f>
        <v/>
      </c>
      <c r="AF606" s="613">
        <f>VI_Baza_BDKZ!AF9</f>
        <v/>
      </c>
      <c r="AG606" s="626">
        <f>VI_Baza_BDKZ!AG9</f>
        <v/>
      </c>
      <c r="AH606" s="626">
        <f>VI_Baza_BDKZ!AH9</f>
        <v/>
      </c>
      <c r="AI606" s="626">
        <f>VI_Baza_BDKZ!AI9</f>
        <v/>
      </c>
      <c r="AJ606" s="626">
        <f>VI_Baza_BDKZ!AJ9</f>
        <v/>
      </c>
      <c r="AK606" s="626">
        <f>VI_Baza_BDKZ!AK9</f>
        <v/>
      </c>
      <c r="AL606" s="626">
        <f>VI_Baza_BDKZ!AL9</f>
        <v/>
      </c>
      <c r="AM606" s="626">
        <f>VI_Baza_BDKZ!AM9</f>
        <v/>
      </c>
      <c r="AN606" s="626">
        <f>VI_Baza_BDKZ!AN9</f>
        <v/>
      </c>
      <c r="AO606" s="626">
        <f>VI_Baza_BDKZ!AO9</f>
        <v/>
      </c>
      <c r="AP606" s="369">
        <f>VI_Baza_BDKZ!AP9</f>
        <v/>
      </c>
      <c r="AQ606" s="369">
        <f>VI_Baza_BDKZ!AQ9</f>
        <v/>
      </c>
      <c r="AR606" s="369">
        <f>VI_Baza_BDKZ!AR9</f>
        <v/>
      </c>
      <c r="AS606" s="369">
        <f>VI_Baza_BDKZ!AS9</f>
        <v/>
      </c>
      <c r="AT606" s="370">
        <f>VI_Baza_BDKZ!AT9</f>
        <v/>
      </c>
      <c r="AU606" s="370">
        <f>VI_Baza_BDKZ!AU9</f>
        <v/>
      </c>
      <c r="AV606" s="370">
        <f>VI_Baza_BDKZ!AV9</f>
        <v/>
      </c>
      <c r="AW606" s="370">
        <f>VI_Baza_BDKZ!AW9</f>
        <v/>
      </c>
      <c r="AX606">
        <f>VI_Baza_BDKZ!AX9</f>
        <v/>
      </c>
      <c r="AY606">
        <f>VI_Baza_BDKZ!AY9</f>
        <v/>
      </c>
      <c r="AZ606">
        <f>VI_Baza_BDKZ!AZ9</f>
        <v/>
      </c>
      <c r="BA606">
        <f>VI_Baza_BDKZ!BA9</f>
        <v/>
      </c>
      <c r="BB606">
        <f>VI_Baza_BDKZ!BB9</f>
        <v/>
      </c>
      <c r="BC606">
        <f>VI_Baza_BDKZ!BC9</f>
        <v/>
      </c>
      <c r="BD606">
        <f>VI_Baza_BDKZ!BD9</f>
        <v/>
      </c>
      <c r="BE606">
        <f>VI_Baza_BDKZ!BE9</f>
        <v/>
      </c>
      <c r="BF606">
        <f>VI_Baza_BDKZ!BF9</f>
        <v/>
      </c>
      <c r="BG606">
        <f>VI_Baza_BDKZ!BG9</f>
        <v/>
      </c>
      <c r="BH606">
        <f>VI_Baza_BDKZ!BH9</f>
        <v/>
      </c>
      <c r="BI606">
        <f>VI_Baza_BDKZ!BI9</f>
        <v/>
      </c>
      <c r="BJ606">
        <f>O606</f>
        <v/>
      </c>
      <c r="BK606">
        <f>SUM(AG606:AW606)</f>
        <v/>
      </c>
      <c r="BL606" s="531">
        <f>BJ606-BK606</f>
        <v/>
      </c>
      <c r="BM606" s="201" t="n"/>
    </row>
    <row r="607" hidden="1" outlineLevel="1" s="191">
      <c r="A607">
        <f>VI_Baza_BDKZ!A10</f>
        <v/>
      </c>
      <c r="B607">
        <f>VI_Baza_BDKZ!B10</f>
        <v/>
      </c>
      <c r="C607">
        <f>VI_Baza_BDKZ!C10</f>
        <v/>
      </c>
      <c r="D607">
        <f>VI_Baza_BDKZ!D10</f>
        <v/>
      </c>
      <c r="E607">
        <f>VI_Baza_BDKZ!E10</f>
        <v/>
      </c>
      <c r="F607">
        <f>VI_Baza_BDKZ!F10</f>
        <v/>
      </c>
      <c r="G607">
        <f>VI_Baza_BDKZ!G10</f>
        <v/>
      </c>
      <c r="H607">
        <f>VI_Baza_BDKZ!H10</f>
        <v/>
      </c>
      <c r="I607">
        <f>VI_Baza_BDKZ!I10</f>
        <v/>
      </c>
      <c r="J607">
        <f>VI_Baza_BDKZ!J10</f>
        <v/>
      </c>
      <c r="K607" s="672">
        <f>VI_Baza_BDKZ!K10</f>
        <v/>
      </c>
      <c r="L607" s="672">
        <f>VI_Baza_BDKZ!L10</f>
        <v/>
      </c>
      <c r="M607">
        <f>VI_Baza_BDKZ!M10</f>
        <v/>
      </c>
      <c r="N607">
        <f>VI_Baza_BDKZ!N10</f>
        <v/>
      </c>
      <c r="O607">
        <f>VI_Baza_BDKZ!O10</f>
        <v/>
      </c>
      <c r="P607" s="628">
        <f>VI_Baza_BDKZ!P10</f>
        <v/>
      </c>
      <c r="Q607" s="628">
        <f>VI_Baza_BDKZ!Q10</f>
        <v/>
      </c>
      <c r="R607" s="628">
        <f>VI_Baza_BDKZ!R10</f>
        <v/>
      </c>
      <c r="S607" s="628">
        <f>VI_Baza_BDKZ!S10</f>
        <v/>
      </c>
      <c r="T607" s="628">
        <f>VI_Baza_BDKZ!T10</f>
        <v/>
      </c>
      <c r="U607" s="628">
        <f>VI_Baza_BDKZ!U10</f>
        <v/>
      </c>
      <c r="V607" s="628">
        <f>VI_Baza_BDKZ!V10</f>
        <v/>
      </c>
      <c r="W607" s="628">
        <f>VI_Baza_BDKZ!W10</f>
        <v/>
      </c>
      <c r="X607" s="628">
        <f>VI_Baza_BDKZ!X10</f>
        <v/>
      </c>
      <c r="Y607" s="650">
        <f>VI_Baza_BDKZ!Y10</f>
        <v/>
      </c>
      <c r="Z607" s="650">
        <f>VI_Baza_BDKZ!Z10</f>
        <v/>
      </c>
      <c r="AA607" s="650">
        <f>VI_Baza_BDKZ!AA10</f>
        <v/>
      </c>
      <c r="AB607" s="650">
        <f>VI_Baza_BDKZ!AB10</f>
        <v/>
      </c>
      <c r="AC607" s="613">
        <f>VI_Baza_BDKZ!AC10</f>
        <v/>
      </c>
      <c r="AD607" s="613">
        <f>VI_Baza_BDKZ!AD10</f>
        <v/>
      </c>
      <c r="AE607" s="613">
        <f>VI_Baza_BDKZ!AE10</f>
        <v/>
      </c>
      <c r="AF607" s="613">
        <f>VI_Baza_BDKZ!AF10</f>
        <v/>
      </c>
      <c r="AG607" s="626">
        <f>VI_Baza_BDKZ!AG10</f>
        <v/>
      </c>
      <c r="AH607" s="626">
        <f>VI_Baza_BDKZ!AH10</f>
        <v/>
      </c>
      <c r="AI607" s="626">
        <f>VI_Baza_BDKZ!AI10</f>
        <v/>
      </c>
      <c r="AJ607" s="626">
        <f>VI_Baza_BDKZ!AJ10</f>
        <v/>
      </c>
      <c r="AK607" s="626">
        <f>VI_Baza_BDKZ!AK10</f>
        <v/>
      </c>
      <c r="AL607" s="626">
        <f>VI_Baza_BDKZ!AL10</f>
        <v/>
      </c>
      <c r="AM607" s="626">
        <f>VI_Baza_BDKZ!AM10</f>
        <v/>
      </c>
      <c r="AN607" s="626">
        <f>VI_Baza_BDKZ!AN10</f>
        <v/>
      </c>
      <c r="AO607" s="626">
        <f>VI_Baza_BDKZ!AO10</f>
        <v/>
      </c>
      <c r="AP607" s="369">
        <f>VI_Baza_BDKZ!AP10</f>
        <v/>
      </c>
      <c r="AQ607" s="369">
        <f>VI_Baza_BDKZ!AQ10</f>
        <v/>
      </c>
      <c r="AR607" s="369">
        <f>VI_Baza_BDKZ!AR10</f>
        <v/>
      </c>
      <c r="AS607" s="369">
        <f>VI_Baza_BDKZ!AS10</f>
        <v/>
      </c>
      <c r="AT607" s="370">
        <f>VI_Baza_BDKZ!AT10</f>
        <v/>
      </c>
      <c r="AU607" s="370">
        <f>VI_Baza_BDKZ!AU10</f>
        <v/>
      </c>
      <c r="AV607" s="370">
        <f>VI_Baza_BDKZ!AV10</f>
        <v/>
      </c>
      <c r="AW607" s="370">
        <f>VI_Baza_BDKZ!AW10</f>
        <v/>
      </c>
      <c r="AX607">
        <f>VI_Baza_BDKZ!AX10</f>
        <v/>
      </c>
      <c r="AY607">
        <f>VI_Baza_BDKZ!AY10</f>
        <v/>
      </c>
      <c r="AZ607">
        <f>VI_Baza_BDKZ!AZ10</f>
        <v/>
      </c>
      <c r="BA607">
        <f>VI_Baza_BDKZ!BA10</f>
        <v/>
      </c>
      <c r="BB607">
        <f>VI_Baza_BDKZ!BB10</f>
        <v/>
      </c>
      <c r="BC607">
        <f>VI_Baza_BDKZ!BC10</f>
        <v/>
      </c>
      <c r="BD607">
        <f>VI_Baza_BDKZ!BD10</f>
        <v/>
      </c>
      <c r="BE607">
        <f>VI_Baza_BDKZ!BE10</f>
        <v/>
      </c>
      <c r="BF607">
        <f>VI_Baza_BDKZ!BF10</f>
        <v/>
      </c>
      <c r="BG607">
        <f>VI_Baza_BDKZ!BG10</f>
        <v/>
      </c>
      <c r="BH607">
        <f>VI_Baza_BDKZ!BH10</f>
        <v/>
      </c>
      <c r="BI607">
        <f>VI_Baza_BDKZ!BI10</f>
        <v/>
      </c>
      <c r="BJ607">
        <f>O607</f>
        <v/>
      </c>
      <c r="BK607">
        <f>SUM(AG607:AW607)</f>
        <v/>
      </c>
      <c r="BL607" s="531">
        <f>BJ607-BK607</f>
        <v/>
      </c>
      <c r="BM607" s="201" t="n"/>
    </row>
    <row r="608" hidden="1" outlineLevel="1" s="191">
      <c r="A608">
        <f>VI_Baza_BDKZ!A11</f>
        <v/>
      </c>
      <c r="B608">
        <f>VI_Baza_BDKZ!B11</f>
        <v/>
      </c>
      <c r="C608">
        <f>VI_Baza_BDKZ!C11</f>
        <v/>
      </c>
      <c r="D608">
        <f>VI_Baza_BDKZ!D11</f>
        <v/>
      </c>
      <c r="E608">
        <f>VI_Baza_BDKZ!E11</f>
        <v/>
      </c>
      <c r="F608">
        <f>VI_Baza_BDKZ!F11</f>
        <v/>
      </c>
      <c r="G608">
        <f>VI_Baza_BDKZ!G11</f>
        <v/>
      </c>
      <c r="H608">
        <f>VI_Baza_BDKZ!H11</f>
        <v/>
      </c>
      <c r="I608">
        <f>VI_Baza_BDKZ!I11</f>
        <v/>
      </c>
      <c r="J608">
        <f>VI_Baza_BDKZ!J11</f>
        <v/>
      </c>
      <c r="K608" s="672">
        <f>VI_Baza_BDKZ!K11</f>
        <v/>
      </c>
      <c r="L608" s="672">
        <f>VI_Baza_BDKZ!L11</f>
        <v/>
      </c>
      <c r="M608">
        <f>VI_Baza_BDKZ!M11</f>
        <v/>
      </c>
      <c r="N608">
        <f>VI_Baza_BDKZ!N11</f>
        <v/>
      </c>
      <c r="O608">
        <f>VI_Baza_BDKZ!O11</f>
        <v/>
      </c>
      <c r="P608" s="628">
        <f>VI_Baza_BDKZ!P11</f>
        <v/>
      </c>
      <c r="Q608" s="628">
        <f>VI_Baza_BDKZ!Q11</f>
        <v/>
      </c>
      <c r="R608" s="628">
        <f>VI_Baza_BDKZ!R11</f>
        <v/>
      </c>
      <c r="S608" s="628">
        <f>VI_Baza_BDKZ!S11</f>
        <v/>
      </c>
      <c r="T608" s="628">
        <f>VI_Baza_BDKZ!T11</f>
        <v/>
      </c>
      <c r="U608" s="628">
        <f>VI_Baza_BDKZ!U11</f>
        <v/>
      </c>
      <c r="V608" s="628">
        <f>VI_Baza_BDKZ!V11</f>
        <v/>
      </c>
      <c r="W608" s="628">
        <f>VI_Baza_BDKZ!W11</f>
        <v/>
      </c>
      <c r="X608" s="628">
        <f>VI_Baza_BDKZ!X11</f>
        <v/>
      </c>
      <c r="Y608" s="650">
        <f>VI_Baza_BDKZ!Y11</f>
        <v/>
      </c>
      <c r="Z608" s="650">
        <f>VI_Baza_BDKZ!Z11</f>
        <v/>
      </c>
      <c r="AA608" s="650">
        <f>VI_Baza_BDKZ!AA11</f>
        <v/>
      </c>
      <c r="AB608" s="650">
        <f>VI_Baza_BDKZ!AB11</f>
        <v/>
      </c>
      <c r="AC608" s="613">
        <f>VI_Baza_BDKZ!AC11</f>
        <v/>
      </c>
      <c r="AD608" s="613">
        <f>VI_Baza_BDKZ!AD11</f>
        <v/>
      </c>
      <c r="AE608" s="613">
        <f>VI_Baza_BDKZ!AE11</f>
        <v/>
      </c>
      <c r="AF608" s="613">
        <f>VI_Baza_BDKZ!AF11</f>
        <v/>
      </c>
      <c r="AG608" s="626">
        <f>VI_Baza_BDKZ!AG11</f>
        <v/>
      </c>
      <c r="AH608" s="626">
        <f>VI_Baza_BDKZ!AH11</f>
        <v/>
      </c>
      <c r="AI608" s="626">
        <f>VI_Baza_BDKZ!AI11</f>
        <v/>
      </c>
      <c r="AJ608" s="626">
        <f>VI_Baza_BDKZ!AJ11</f>
        <v/>
      </c>
      <c r="AK608" s="626">
        <f>VI_Baza_BDKZ!AK11</f>
        <v/>
      </c>
      <c r="AL608" s="626">
        <f>VI_Baza_BDKZ!AL11</f>
        <v/>
      </c>
      <c r="AM608" s="626">
        <f>VI_Baza_BDKZ!AM11</f>
        <v/>
      </c>
      <c r="AN608" s="626">
        <f>VI_Baza_BDKZ!AN11</f>
        <v/>
      </c>
      <c r="AO608" s="626">
        <f>VI_Baza_BDKZ!AO11</f>
        <v/>
      </c>
      <c r="AP608" s="369">
        <f>VI_Baza_BDKZ!AP11</f>
        <v/>
      </c>
      <c r="AQ608" s="369">
        <f>VI_Baza_BDKZ!AQ11</f>
        <v/>
      </c>
      <c r="AR608" s="369">
        <f>VI_Baza_BDKZ!AR11</f>
        <v/>
      </c>
      <c r="AS608" s="369">
        <f>VI_Baza_BDKZ!AS11</f>
        <v/>
      </c>
      <c r="AT608" s="370">
        <f>VI_Baza_BDKZ!AT11</f>
        <v/>
      </c>
      <c r="AU608" s="370">
        <f>VI_Baza_BDKZ!AU11</f>
        <v/>
      </c>
      <c r="AV608" s="370">
        <f>VI_Baza_BDKZ!AV11</f>
        <v/>
      </c>
      <c r="AW608" s="370">
        <f>VI_Baza_BDKZ!AW11</f>
        <v/>
      </c>
      <c r="AX608">
        <f>VI_Baza_BDKZ!AX11</f>
        <v/>
      </c>
      <c r="AY608">
        <f>VI_Baza_BDKZ!AY11</f>
        <v/>
      </c>
      <c r="AZ608">
        <f>VI_Baza_BDKZ!AZ11</f>
        <v/>
      </c>
      <c r="BA608">
        <f>VI_Baza_BDKZ!BA11</f>
        <v/>
      </c>
      <c r="BB608">
        <f>VI_Baza_BDKZ!BB11</f>
        <v/>
      </c>
      <c r="BC608">
        <f>VI_Baza_BDKZ!BC11</f>
        <v/>
      </c>
      <c r="BD608">
        <f>VI_Baza_BDKZ!BD11</f>
        <v/>
      </c>
      <c r="BE608">
        <f>VI_Baza_BDKZ!BE11</f>
        <v/>
      </c>
      <c r="BF608">
        <f>VI_Baza_BDKZ!BF11</f>
        <v/>
      </c>
      <c r="BG608">
        <f>VI_Baza_BDKZ!BG11</f>
        <v/>
      </c>
      <c r="BH608">
        <f>VI_Baza_BDKZ!BH11</f>
        <v/>
      </c>
      <c r="BI608">
        <f>VI_Baza_BDKZ!BI11</f>
        <v/>
      </c>
      <c r="BJ608">
        <f>O608</f>
        <v/>
      </c>
      <c r="BK608">
        <f>SUM(AG608:AW608)</f>
        <v/>
      </c>
      <c r="BL608" s="531">
        <f>BJ608-BK608</f>
        <v/>
      </c>
      <c r="BM608" s="201" t="n"/>
    </row>
    <row r="609" hidden="1" outlineLevel="1" s="191">
      <c r="A609">
        <f>VI_Baza_BDKZ!A12</f>
        <v/>
      </c>
      <c r="B609">
        <f>VI_Baza_BDKZ!B12</f>
        <v/>
      </c>
      <c r="C609">
        <f>VI_Baza_BDKZ!C12</f>
        <v/>
      </c>
      <c r="D609">
        <f>VI_Baza_BDKZ!D12</f>
        <v/>
      </c>
      <c r="E609">
        <f>VI_Baza_BDKZ!E12</f>
        <v/>
      </c>
      <c r="F609">
        <f>VI_Baza_BDKZ!F12</f>
        <v/>
      </c>
      <c r="G609">
        <f>VI_Baza_BDKZ!G12</f>
        <v/>
      </c>
      <c r="H609">
        <f>VI_Baza_BDKZ!H12</f>
        <v/>
      </c>
      <c r="I609">
        <f>VI_Baza_BDKZ!I12</f>
        <v/>
      </c>
      <c r="J609">
        <f>VI_Baza_BDKZ!J12</f>
        <v/>
      </c>
      <c r="K609" s="672">
        <f>VI_Baza_BDKZ!K12</f>
        <v/>
      </c>
      <c r="L609" s="672">
        <f>VI_Baza_BDKZ!L12</f>
        <v/>
      </c>
      <c r="M609">
        <f>VI_Baza_BDKZ!M12</f>
        <v/>
      </c>
      <c r="N609">
        <f>VI_Baza_BDKZ!N12</f>
        <v/>
      </c>
      <c r="O609">
        <f>VI_Baza_BDKZ!O12</f>
        <v/>
      </c>
      <c r="P609" s="628">
        <f>VI_Baza_BDKZ!P12</f>
        <v/>
      </c>
      <c r="Q609" s="628">
        <f>VI_Baza_BDKZ!Q12</f>
        <v/>
      </c>
      <c r="R609" s="628">
        <f>VI_Baza_BDKZ!R12</f>
        <v/>
      </c>
      <c r="S609" s="628">
        <f>VI_Baza_BDKZ!S12</f>
        <v/>
      </c>
      <c r="T609" s="628">
        <f>VI_Baza_BDKZ!T12</f>
        <v/>
      </c>
      <c r="U609" s="628">
        <f>VI_Baza_BDKZ!U12</f>
        <v/>
      </c>
      <c r="V609" s="628">
        <f>VI_Baza_BDKZ!V12</f>
        <v/>
      </c>
      <c r="W609" s="628">
        <f>VI_Baza_BDKZ!W12</f>
        <v/>
      </c>
      <c r="X609" s="628">
        <f>VI_Baza_BDKZ!X12</f>
        <v/>
      </c>
      <c r="Y609" s="650">
        <f>VI_Baza_BDKZ!Y12</f>
        <v/>
      </c>
      <c r="Z609" s="650">
        <f>VI_Baza_BDKZ!Z12</f>
        <v/>
      </c>
      <c r="AA609" s="650">
        <f>VI_Baza_BDKZ!AA12</f>
        <v/>
      </c>
      <c r="AB609" s="650">
        <f>VI_Baza_BDKZ!AB12</f>
        <v/>
      </c>
      <c r="AC609" s="613">
        <f>VI_Baza_BDKZ!AC12</f>
        <v/>
      </c>
      <c r="AD609" s="613">
        <f>VI_Baza_BDKZ!AD12</f>
        <v/>
      </c>
      <c r="AE609" s="613">
        <f>VI_Baza_BDKZ!AE12</f>
        <v/>
      </c>
      <c r="AF609" s="613">
        <f>VI_Baza_BDKZ!AF12</f>
        <v/>
      </c>
      <c r="AG609" s="626">
        <f>VI_Baza_BDKZ!AG12</f>
        <v/>
      </c>
      <c r="AH609" s="626">
        <f>VI_Baza_BDKZ!AH12</f>
        <v/>
      </c>
      <c r="AI609" s="626">
        <f>VI_Baza_BDKZ!AI12</f>
        <v/>
      </c>
      <c r="AJ609" s="626">
        <f>VI_Baza_BDKZ!AJ12</f>
        <v/>
      </c>
      <c r="AK609" s="626">
        <f>VI_Baza_BDKZ!AK12</f>
        <v/>
      </c>
      <c r="AL609" s="626">
        <f>VI_Baza_BDKZ!AL12</f>
        <v/>
      </c>
      <c r="AM609" s="626">
        <f>VI_Baza_BDKZ!AM12</f>
        <v/>
      </c>
      <c r="AN609" s="626">
        <f>VI_Baza_BDKZ!AN12</f>
        <v/>
      </c>
      <c r="AO609" s="626">
        <f>VI_Baza_BDKZ!AO12</f>
        <v/>
      </c>
      <c r="AP609" s="369">
        <f>VI_Baza_BDKZ!AP12</f>
        <v/>
      </c>
      <c r="AQ609" s="369">
        <f>VI_Baza_BDKZ!AQ12</f>
        <v/>
      </c>
      <c r="AR609" s="369">
        <f>VI_Baza_BDKZ!AR12</f>
        <v/>
      </c>
      <c r="AS609" s="369">
        <f>VI_Baza_BDKZ!AS12</f>
        <v/>
      </c>
      <c r="AT609" s="370">
        <f>VI_Baza_BDKZ!AT12</f>
        <v/>
      </c>
      <c r="AU609" s="370">
        <f>VI_Baza_BDKZ!AU12</f>
        <v/>
      </c>
      <c r="AV609" s="370">
        <f>VI_Baza_BDKZ!AV12</f>
        <v/>
      </c>
      <c r="AW609" s="370">
        <f>VI_Baza_BDKZ!AW12</f>
        <v/>
      </c>
      <c r="AX609">
        <f>VI_Baza_BDKZ!AX12</f>
        <v/>
      </c>
      <c r="AY609">
        <f>VI_Baza_BDKZ!AY12</f>
        <v/>
      </c>
      <c r="AZ609">
        <f>VI_Baza_BDKZ!AZ12</f>
        <v/>
      </c>
      <c r="BA609">
        <f>VI_Baza_BDKZ!BA12</f>
        <v/>
      </c>
      <c r="BB609">
        <f>VI_Baza_BDKZ!BB12</f>
        <v/>
      </c>
      <c r="BC609">
        <f>VI_Baza_BDKZ!BC12</f>
        <v/>
      </c>
      <c r="BD609">
        <f>VI_Baza_BDKZ!BD12</f>
        <v/>
      </c>
      <c r="BE609">
        <f>VI_Baza_BDKZ!BE12</f>
        <v/>
      </c>
      <c r="BF609">
        <f>VI_Baza_BDKZ!BF12</f>
        <v/>
      </c>
      <c r="BG609">
        <f>VI_Baza_BDKZ!BG12</f>
        <v/>
      </c>
      <c r="BH609">
        <f>VI_Baza_BDKZ!BH12</f>
        <v/>
      </c>
      <c r="BI609">
        <f>VI_Baza_BDKZ!BI12</f>
        <v/>
      </c>
      <c r="BJ609">
        <f>O609</f>
        <v/>
      </c>
      <c r="BK609">
        <f>SUM(AG609:AW609)</f>
        <v/>
      </c>
      <c r="BL609" s="531">
        <f>BJ609-BK609</f>
        <v/>
      </c>
      <c r="BM609" s="201" t="n"/>
    </row>
    <row r="610" hidden="1" outlineLevel="1" s="191">
      <c r="A610">
        <f>VI_Baza_BDKZ!A13</f>
        <v/>
      </c>
      <c r="B610">
        <f>VI_Baza_BDKZ!B13</f>
        <v/>
      </c>
      <c r="C610">
        <f>VI_Baza_BDKZ!C13</f>
        <v/>
      </c>
      <c r="D610">
        <f>VI_Baza_BDKZ!D13</f>
        <v/>
      </c>
      <c r="E610">
        <f>VI_Baza_BDKZ!E13</f>
        <v/>
      </c>
      <c r="F610">
        <f>VI_Baza_BDKZ!F13</f>
        <v/>
      </c>
      <c r="G610">
        <f>VI_Baza_BDKZ!G13</f>
        <v/>
      </c>
      <c r="H610">
        <f>VI_Baza_BDKZ!H13</f>
        <v/>
      </c>
      <c r="I610">
        <f>VI_Baza_BDKZ!I13</f>
        <v/>
      </c>
      <c r="J610">
        <f>VI_Baza_BDKZ!J13</f>
        <v/>
      </c>
      <c r="K610" s="672">
        <f>VI_Baza_BDKZ!K13</f>
        <v/>
      </c>
      <c r="L610" s="672">
        <f>VI_Baza_BDKZ!L13</f>
        <v/>
      </c>
      <c r="M610">
        <f>VI_Baza_BDKZ!M13</f>
        <v/>
      </c>
      <c r="N610">
        <f>VI_Baza_BDKZ!N13</f>
        <v/>
      </c>
      <c r="O610">
        <f>VI_Baza_BDKZ!O13</f>
        <v/>
      </c>
      <c r="P610" s="628">
        <f>VI_Baza_BDKZ!P13</f>
        <v/>
      </c>
      <c r="Q610" s="628">
        <f>VI_Baza_BDKZ!Q13</f>
        <v/>
      </c>
      <c r="R610" s="628">
        <f>VI_Baza_BDKZ!R13</f>
        <v/>
      </c>
      <c r="S610" s="628">
        <f>VI_Baza_BDKZ!S13</f>
        <v/>
      </c>
      <c r="T610" s="628">
        <f>VI_Baza_BDKZ!T13</f>
        <v/>
      </c>
      <c r="U610" s="628">
        <f>VI_Baza_BDKZ!U13</f>
        <v/>
      </c>
      <c r="V610" s="628">
        <f>VI_Baza_BDKZ!V13</f>
        <v/>
      </c>
      <c r="W610" s="628">
        <f>VI_Baza_BDKZ!W13</f>
        <v/>
      </c>
      <c r="X610" s="628">
        <f>VI_Baza_BDKZ!X13</f>
        <v/>
      </c>
      <c r="Y610" s="650">
        <f>VI_Baza_BDKZ!Y13</f>
        <v/>
      </c>
      <c r="Z610" s="650">
        <f>VI_Baza_BDKZ!Z13</f>
        <v/>
      </c>
      <c r="AA610" s="650">
        <f>VI_Baza_BDKZ!AA13</f>
        <v/>
      </c>
      <c r="AB610" s="650">
        <f>VI_Baza_BDKZ!AB13</f>
        <v/>
      </c>
      <c r="AC610" s="613">
        <f>VI_Baza_BDKZ!AC13</f>
        <v/>
      </c>
      <c r="AD610" s="613">
        <f>VI_Baza_BDKZ!AD13</f>
        <v/>
      </c>
      <c r="AE610" s="613">
        <f>VI_Baza_BDKZ!AE13</f>
        <v/>
      </c>
      <c r="AF610" s="613">
        <f>VI_Baza_BDKZ!AF13</f>
        <v/>
      </c>
      <c r="AG610" s="626">
        <f>VI_Baza_BDKZ!AG13</f>
        <v/>
      </c>
      <c r="AH610" s="626">
        <f>VI_Baza_BDKZ!AH13</f>
        <v/>
      </c>
      <c r="AI610" s="626">
        <f>VI_Baza_BDKZ!AI13</f>
        <v/>
      </c>
      <c r="AJ610" s="626">
        <f>VI_Baza_BDKZ!AJ13</f>
        <v/>
      </c>
      <c r="AK610" s="626">
        <f>VI_Baza_BDKZ!AK13</f>
        <v/>
      </c>
      <c r="AL610" s="626">
        <f>VI_Baza_BDKZ!AL13</f>
        <v/>
      </c>
      <c r="AM610" s="626">
        <f>VI_Baza_BDKZ!AM13</f>
        <v/>
      </c>
      <c r="AN610" s="626">
        <f>VI_Baza_BDKZ!AN13</f>
        <v/>
      </c>
      <c r="AO610" s="626">
        <f>VI_Baza_BDKZ!AO13</f>
        <v/>
      </c>
      <c r="AP610" s="369">
        <f>VI_Baza_BDKZ!AP13</f>
        <v/>
      </c>
      <c r="AQ610" s="369">
        <f>VI_Baza_BDKZ!AQ13</f>
        <v/>
      </c>
      <c r="AR610" s="369">
        <f>VI_Baza_BDKZ!AR13</f>
        <v/>
      </c>
      <c r="AS610" s="369">
        <f>VI_Baza_BDKZ!AS13</f>
        <v/>
      </c>
      <c r="AT610" s="370">
        <f>VI_Baza_BDKZ!AT13</f>
        <v/>
      </c>
      <c r="AU610" s="370">
        <f>VI_Baza_BDKZ!AU13</f>
        <v/>
      </c>
      <c r="AV610" s="370">
        <f>VI_Baza_BDKZ!AV13</f>
        <v/>
      </c>
      <c r="AW610" s="370">
        <f>VI_Baza_BDKZ!AW13</f>
        <v/>
      </c>
      <c r="AX610">
        <f>VI_Baza_BDKZ!AX13</f>
        <v/>
      </c>
      <c r="AY610">
        <f>VI_Baza_BDKZ!AY13</f>
        <v/>
      </c>
      <c r="AZ610">
        <f>VI_Baza_BDKZ!AZ13</f>
        <v/>
      </c>
      <c r="BA610">
        <f>VI_Baza_BDKZ!BA13</f>
        <v/>
      </c>
      <c r="BB610">
        <f>VI_Baza_BDKZ!BB13</f>
        <v/>
      </c>
      <c r="BC610">
        <f>VI_Baza_BDKZ!BC13</f>
        <v/>
      </c>
      <c r="BD610">
        <f>VI_Baza_BDKZ!BD13</f>
        <v/>
      </c>
      <c r="BE610">
        <f>VI_Baza_BDKZ!BE13</f>
        <v/>
      </c>
      <c r="BF610">
        <f>VI_Baza_BDKZ!BF13</f>
        <v/>
      </c>
      <c r="BG610">
        <f>VI_Baza_BDKZ!BG13</f>
        <v/>
      </c>
      <c r="BH610">
        <f>VI_Baza_BDKZ!BH13</f>
        <v/>
      </c>
      <c r="BI610">
        <f>VI_Baza_BDKZ!BI13</f>
        <v/>
      </c>
      <c r="BJ610">
        <f>O610</f>
        <v/>
      </c>
      <c r="BK610">
        <f>SUM(AG610:AW610)</f>
        <v/>
      </c>
      <c r="BL610" s="531">
        <f>BJ610-BK610</f>
        <v/>
      </c>
      <c r="BM610" s="201" t="n"/>
    </row>
    <row r="611" hidden="1" outlineLevel="1" s="191">
      <c r="A611">
        <f>VI_Baza_BDKZ!A14</f>
        <v/>
      </c>
      <c r="B611">
        <f>VI_Baza_BDKZ!B14</f>
        <v/>
      </c>
      <c r="C611">
        <f>VI_Baza_BDKZ!C14</f>
        <v/>
      </c>
      <c r="D611">
        <f>VI_Baza_BDKZ!D14</f>
        <v/>
      </c>
      <c r="E611">
        <f>VI_Baza_BDKZ!E14</f>
        <v/>
      </c>
      <c r="F611">
        <f>VI_Baza_BDKZ!F14</f>
        <v/>
      </c>
      <c r="G611">
        <f>VI_Baza_BDKZ!G14</f>
        <v/>
      </c>
      <c r="H611">
        <f>VI_Baza_BDKZ!H14</f>
        <v/>
      </c>
      <c r="I611">
        <f>VI_Baza_BDKZ!I14</f>
        <v/>
      </c>
      <c r="J611">
        <f>VI_Baza_BDKZ!J14</f>
        <v/>
      </c>
      <c r="K611" s="672">
        <f>VI_Baza_BDKZ!K14</f>
        <v/>
      </c>
      <c r="L611" s="672">
        <f>VI_Baza_BDKZ!L14</f>
        <v/>
      </c>
      <c r="M611">
        <f>VI_Baza_BDKZ!M14</f>
        <v/>
      </c>
      <c r="N611">
        <f>VI_Baza_BDKZ!N14</f>
        <v/>
      </c>
      <c r="O611">
        <f>VI_Baza_BDKZ!O14</f>
        <v/>
      </c>
      <c r="P611" s="628">
        <f>VI_Baza_BDKZ!P14</f>
        <v/>
      </c>
      <c r="Q611" s="628">
        <f>VI_Baza_BDKZ!Q14</f>
        <v/>
      </c>
      <c r="R611" s="628">
        <f>VI_Baza_BDKZ!R14</f>
        <v/>
      </c>
      <c r="S611" s="628">
        <f>VI_Baza_BDKZ!S14</f>
        <v/>
      </c>
      <c r="T611" s="628">
        <f>VI_Baza_BDKZ!T14</f>
        <v/>
      </c>
      <c r="U611" s="628">
        <f>VI_Baza_BDKZ!U14</f>
        <v/>
      </c>
      <c r="V611" s="628">
        <f>VI_Baza_BDKZ!V14</f>
        <v/>
      </c>
      <c r="W611" s="628">
        <f>VI_Baza_BDKZ!W14</f>
        <v/>
      </c>
      <c r="X611" s="628">
        <f>VI_Baza_BDKZ!X14</f>
        <v/>
      </c>
      <c r="Y611" s="650">
        <f>VI_Baza_BDKZ!Y14</f>
        <v/>
      </c>
      <c r="Z611" s="650">
        <f>VI_Baza_BDKZ!Z14</f>
        <v/>
      </c>
      <c r="AA611" s="650">
        <f>VI_Baza_BDKZ!AA14</f>
        <v/>
      </c>
      <c r="AB611" s="650">
        <f>VI_Baza_BDKZ!AB14</f>
        <v/>
      </c>
      <c r="AC611" s="613">
        <f>VI_Baza_BDKZ!AC14</f>
        <v/>
      </c>
      <c r="AD611" s="613">
        <f>VI_Baza_BDKZ!AD14</f>
        <v/>
      </c>
      <c r="AE611" s="613">
        <f>VI_Baza_BDKZ!AE14</f>
        <v/>
      </c>
      <c r="AF611" s="613">
        <f>VI_Baza_BDKZ!AF14</f>
        <v/>
      </c>
      <c r="AG611" s="626">
        <f>VI_Baza_BDKZ!AG14</f>
        <v/>
      </c>
      <c r="AH611" s="626">
        <f>VI_Baza_BDKZ!AH14</f>
        <v/>
      </c>
      <c r="AI611" s="626">
        <f>VI_Baza_BDKZ!AI14</f>
        <v/>
      </c>
      <c r="AJ611" s="626">
        <f>VI_Baza_BDKZ!AJ14</f>
        <v/>
      </c>
      <c r="AK611" s="626">
        <f>VI_Baza_BDKZ!AK14</f>
        <v/>
      </c>
      <c r="AL611" s="626">
        <f>VI_Baza_BDKZ!AL14</f>
        <v/>
      </c>
      <c r="AM611" s="626">
        <f>VI_Baza_BDKZ!AM14</f>
        <v/>
      </c>
      <c r="AN611" s="626">
        <f>VI_Baza_BDKZ!AN14</f>
        <v/>
      </c>
      <c r="AO611" s="626">
        <f>VI_Baza_BDKZ!AO14</f>
        <v/>
      </c>
      <c r="AP611" s="369">
        <f>VI_Baza_BDKZ!AP14</f>
        <v/>
      </c>
      <c r="AQ611" s="369">
        <f>VI_Baza_BDKZ!AQ14</f>
        <v/>
      </c>
      <c r="AR611" s="369">
        <f>VI_Baza_BDKZ!AR14</f>
        <v/>
      </c>
      <c r="AS611" s="369">
        <f>VI_Baza_BDKZ!AS14</f>
        <v/>
      </c>
      <c r="AT611" s="370">
        <f>VI_Baza_BDKZ!AT14</f>
        <v/>
      </c>
      <c r="AU611" s="370">
        <f>VI_Baza_BDKZ!AU14</f>
        <v/>
      </c>
      <c r="AV611" s="370">
        <f>VI_Baza_BDKZ!AV14</f>
        <v/>
      </c>
      <c r="AW611" s="370">
        <f>VI_Baza_BDKZ!AW14</f>
        <v/>
      </c>
      <c r="AX611">
        <f>VI_Baza_BDKZ!AX14</f>
        <v/>
      </c>
      <c r="AY611">
        <f>VI_Baza_BDKZ!AY14</f>
        <v/>
      </c>
      <c r="AZ611">
        <f>VI_Baza_BDKZ!AZ14</f>
        <v/>
      </c>
      <c r="BA611">
        <f>VI_Baza_BDKZ!BA14</f>
        <v/>
      </c>
      <c r="BB611">
        <f>VI_Baza_BDKZ!BB14</f>
        <v/>
      </c>
      <c r="BC611">
        <f>VI_Baza_BDKZ!BC14</f>
        <v/>
      </c>
      <c r="BD611">
        <f>VI_Baza_BDKZ!BD14</f>
        <v/>
      </c>
      <c r="BE611">
        <f>VI_Baza_BDKZ!BE14</f>
        <v/>
      </c>
      <c r="BF611">
        <f>VI_Baza_BDKZ!BF14</f>
        <v/>
      </c>
      <c r="BG611">
        <f>VI_Baza_BDKZ!BG14</f>
        <v/>
      </c>
      <c r="BH611">
        <f>VI_Baza_BDKZ!BH14</f>
        <v/>
      </c>
      <c r="BI611">
        <f>VI_Baza_BDKZ!BI14</f>
        <v/>
      </c>
      <c r="BJ611">
        <f>O611</f>
        <v/>
      </c>
      <c r="BK611">
        <f>SUM(AG611:AW611)</f>
        <v/>
      </c>
      <c r="BL611" s="531">
        <f>BJ611-BK611</f>
        <v/>
      </c>
      <c r="BM611" s="201" t="n"/>
    </row>
    <row r="612" hidden="1" outlineLevel="1" s="191">
      <c r="A612">
        <f>VI_Baza_BDKZ!A15</f>
        <v/>
      </c>
      <c r="B612">
        <f>VI_Baza_BDKZ!B15</f>
        <v/>
      </c>
      <c r="C612">
        <f>VI_Baza_BDKZ!C15</f>
        <v/>
      </c>
      <c r="D612">
        <f>VI_Baza_BDKZ!D15</f>
        <v/>
      </c>
      <c r="E612">
        <f>VI_Baza_BDKZ!E15</f>
        <v/>
      </c>
      <c r="F612">
        <f>VI_Baza_BDKZ!F15</f>
        <v/>
      </c>
      <c r="G612">
        <f>VI_Baza_BDKZ!G15</f>
        <v/>
      </c>
      <c r="H612">
        <f>VI_Baza_BDKZ!H15</f>
        <v/>
      </c>
      <c r="I612">
        <f>VI_Baza_BDKZ!I15</f>
        <v/>
      </c>
      <c r="J612">
        <f>VI_Baza_BDKZ!J15</f>
        <v/>
      </c>
      <c r="K612" s="672">
        <f>VI_Baza_BDKZ!K15</f>
        <v/>
      </c>
      <c r="L612" s="672">
        <f>VI_Baza_BDKZ!L15</f>
        <v/>
      </c>
      <c r="M612">
        <f>VI_Baza_BDKZ!M15</f>
        <v/>
      </c>
      <c r="N612">
        <f>VI_Baza_BDKZ!N15</f>
        <v/>
      </c>
      <c r="O612">
        <f>VI_Baza_BDKZ!O15</f>
        <v/>
      </c>
      <c r="P612" s="628">
        <f>VI_Baza_BDKZ!P15</f>
        <v/>
      </c>
      <c r="Q612" s="628">
        <f>VI_Baza_BDKZ!Q15</f>
        <v/>
      </c>
      <c r="R612" s="628">
        <f>VI_Baza_BDKZ!R15</f>
        <v/>
      </c>
      <c r="S612" s="628">
        <f>VI_Baza_BDKZ!S15</f>
        <v/>
      </c>
      <c r="T612" s="628">
        <f>VI_Baza_BDKZ!T15</f>
        <v/>
      </c>
      <c r="U612" s="628">
        <f>VI_Baza_BDKZ!U15</f>
        <v/>
      </c>
      <c r="V612" s="628">
        <f>VI_Baza_BDKZ!V15</f>
        <v/>
      </c>
      <c r="W612" s="628">
        <f>VI_Baza_BDKZ!W15</f>
        <v/>
      </c>
      <c r="X612" s="628">
        <f>VI_Baza_BDKZ!X15</f>
        <v/>
      </c>
      <c r="Y612" s="650">
        <f>VI_Baza_BDKZ!Y15</f>
        <v/>
      </c>
      <c r="Z612" s="650">
        <f>VI_Baza_BDKZ!Z15</f>
        <v/>
      </c>
      <c r="AA612" s="650">
        <f>VI_Baza_BDKZ!AA15</f>
        <v/>
      </c>
      <c r="AB612" s="650">
        <f>VI_Baza_BDKZ!AB15</f>
        <v/>
      </c>
      <c r="AC612" s="613">
        <f>VI_Baza_BDKZ!AC15</f>
        <v/>
      </c>
      <c r="AD612" s="613">
        <f>VI_Baza_BDKZ!AD15</f>
        <v/>
      </c>
      <c r="AE612" s="613">
        <f>VI_Baza_BDKZ!AE15</f>
        <v/>
      </c>
      <c r="AF612" s="613">
        <f>VI_Baza_BDKZ!AF15</f>
        <v/>
      </c>
      <c r="AG612" s="626">
        <f>VI_Baza_BDKZ!AG15</f>
        <v/>
      </c>
      <c r="AH612" s="626">
        <f>VI_Baza_BDKZ!AH15</f>
        <v/>
      </c>
      <c r="AI612" s="626">
        <f>VI_Baza_BDKZ!AI15</f>
        <v/>
      </c>
      <c r="AJ612" s="626">
        <f>VI_Baza_BDKZ!AJ15</f>
        <v/>
      </c>
      <c r="AK612" s="626">
        <f>VI_Baza_BDKZ!AK15</f>
        <v/>
      </c>
      <c r="AL612" s="626">
        <f>VI_Baza_BDKZ!AL15</f>
        <v/>
      </c>
      <c r="AM612" s="626">
        <f>VI_Baza_BDKZ!AM15</f>
        <v/>
      </c>
      <c r="AN612" s="626">
        <f>VI_Baza_BDKZ!AN15</f>
        <v/>
      </c>
      <c r="AO612" s="626">
        <f>VI_Baza_BDKZ!AO15</f>
        <v/>
      </c>
      <c r="AP612" s="369">
        <f>VI_Baza_BDKZ!AP15</f>
        <v/>
      </c>
      <c r="AQ612" s="369">
        <f>VI_Baza_BDKZ!AQ15</f>
        <v/>
      </c>
      <c r="AR612" s="369">
        <f>VI_Baza_BDKZ!AR15</f>
        <v/>
      </c>
      <c r="AS612" s="369">
        <f>VI_Baza_BDKZ!AS15</f>
        <v/>
      </c>
      <c r="AT612" s="370">
        <f>VI_Baza_BDKZ!AT15</f>
        <v/>
      </c>
      <c r="AU612" s="370">
        <f>VI_Baza_BDKZ!AU15</f>
        <v/>
      </c>
      <c r="AV612" s="370">
        <f>VI_Baza_BDKZ!AV15</f>
        <v/>
      </c>
      <c r="AW612" s="370">
        <f>VI_Baza_BDKZ!AW15</f>
        <v/>
      </c>
      <c r="AX612">
        <f>VI_Baza_BDKZ!AX15</f>
        <v/>
      </c>
      <c r="AY612">
        <f>VI_Baza_BDKZ!AY15</f>
        <v/>
      </c>
      <c r="AZ612">
        <f>VI_Baza_BDKZ!AZ15</f>
        <v/>
      </c>
      <c r="BA612">
        <f>VI_Baza_BDKZ!BA15</f>
        <v/>
      </c>
      <c r="BB612">
        <f>VI_Baza_BDKZ!BB15</f>
        <v/>
      </c>
      <c r="BC612">
        <f>VI_Baza_BDKZ!BC15</f>
        <v/>
      </c>
      <c r="BD612">
        <f>VI_Baza_BDKZ!BD15</f>
        <v/>
      </c>
      <c r="BE612">
        <f>VI_Baza_BDKZ!BE15</f>
        <v/>
      </c>
      <c r="BF612">
        <f>VI_Baza_BDKZ!BF15</f>
        <v/>
      </c>
      <c r="BG612">
        <f>VI_Baza_BDKZ!BG15</f>
        <v/>
      </c>
      <c r="BH612">
        <f>VI_Baza_BDKZ!BH15</f>
        <v/>
      </c>
      <c r="BI612">
        <f>VI_Baza_BDKZ!BI15</f>
        <v/>
      </c>
      <c r="BJ612">
        <f>O612</f>
        <v/>
      </c>
      <c r="BK612">
        <f>SUM(AG612:AW612)</f>
        <v/>
      </c>
      <c r="BL612" s="531">
        <f>BJ612-BK612</f>
        <v/>
      </c>
      <c r="BM612" s="201" t="n"/>
    </row>
    <row r="613" hidden="1" outlineLevel="1" s="191">
      <c r="A613">
        <f>VI_Baza_BDKZ!A16</f>
        <v/>
      </c>
      <c r="B613">
        <f>VI_Baza_BDKZ!B16</f>
        <v/>
      </c>
      <c r="C613">
        <f>VI_Baza_BDKZ!C16</f>
        <v/>
      </c>
      <c r="D613">
        <f>VI_Baza_BDKZ!D16</f>
        <v/>
      </c>
      <c r="E613">
        <f>VI_Baza_BDKZ!E16</f>
        <v/>
      </c>
      <c r="F613">
        <f>VI_Baza_BDKZ!F16</f>
        <v/>
      </c>
      <c r="G613">
        <f>VI_Baza_BDKZ!G16</f>
        <v/>
      </c>
      <c r="H613">
        <f>VI_Baza_BDKZ!H16</f>
        <v/>
      </c>
      <c r="I613">
        <f>VI_Baza_BDKZ!I16</f>
        <v/>
      </c>
      <c r="J613">
        <f>VI_Baza_BDKZ!J16</f>
        <v/>
      </c>
      <c r="K613" s="672">
        <f>VI_Baza_BDKZ!K16</f>
        <v/>
      </c>
      <c r="L613" s="672">
        <f>VI_Baza_BDKZ!L16</f>
        <v/>
      </c>
      <c r="M613">
        <f>VI_Baza_BDKZ!M16</f>
        <v/>
      </c>
      <c r="N613">
        <f>VI_Baza_BDKZ!N16</f>
        <v/>
      </c>
      <c r="O613">
        <f>VI_Baza_BDKZ!O16</f>
        <v/>
      </c>
      <c r="P613" s="628">
        <f>VI_Baza_BDKZ!P16</f>
        <v/>
      </c>
      <c r="Q613" s="628">
        <f>VI_Baza_BDKZ!Q16</f>
        <v/>
      </c>
      <c r="R613" s="628">
        <f>VI_Baza_BDKZ!R16</f>
        <v/>
      </c>
      <c r="S613" s="628">
        <f>VI_Baza_BDKZ!S16</f>
        <v/>
      </c>
      <c r="T613" s="628">
        <f>VI_Baza_BDKZ!T16</f>
        <v/>
      </c>
      <c r="U613" s="628">
        <f>VI_Baza_BDKZ!U16</f>
        <v/>
      </c>
      <c r="V613" s="628">
        <f>VI_Baza_BDKZ!V16</f>
        <v/>
      </c>
      <c r="W613" s="628">
        <f>VI_Baza_BDKZ!W16</f>
        <v/>
      </c>
      <c r="X613" s="628">
        <f>VI_Baza_BDKZ!X16</f>
        <v/>
      </c>
      <c r="Y613" s="650">
        <f>VI_Baza_BDKZ!Y16</f>
        <v/>
      </c>
      <c r="Z613" s="650">
        <f>VI_Baza_BDKZ!Z16</f>
        <v/>
      </c>
      <c r="AA613" s="650">
        <f>VI_Baza_BDKZ!AA16</f>
        <v/>
      </c>
      <c r="AB613" s="650">
        <f>VI_Baza_BDKZ!AB16</f>
        <v/>
      </c>
      <c r="AC613" s="613">
        <f>VI_Baza_BDKZ!AC16</f>
        <v/>
      </c>
      <c r="AD613" s="613">
        <f>VI_Baza_BDKZ!AD16</f>
        <v/>
      </c>
      <c r="AE613" s="613">
        <f>VI_Baza_BDKZ!AE16</f>
        <v/>
      </c>
      <c r="AF613" s="613">
        <f>VI_Baza_BDKZ!AF16</f>
        <v/>
      </c>
      <c r="AG613" s="626">
        <f>VI_Baza_BDKZ!AG16</f>
        <v/>
      </c>
      <c r="AH613" s="626">
        <f>VI_Baza_BDKZ!AH16</f>
        <v/>
      </c>
      <c r="AI613" s="626">
        <f>VI_Baza_BDKZ!AI16</f>
        <v/>
      </c>
      <c r="AJ613" s="626">
        <f>VI_Baza_BDKZ!AJ16</f>
        <v/>
      </c>
      <c r="AK613" s="626">
        <f>VI_Baza_BDKZ!AK16</f>
        <v/>
      </c>
      <c r="AL613" s="626">
        <f>VI_Baza_BDKZ!AL16</f>
        <v/>
      </c>
      <c r="AM613" s="626">
        <f>VI_Baza_BDKZ!AM16</f>
        <v/>
      </c>
      <c r="AN613" s="626">
        <f>VI_Baza_BDKZ!AN16</f>
        <v/>
      </c>
      <c r="AO613" s="626">
        <f>VI_Baza_BDKZ!AO16</f>
        <v/>
      </c>
      <c r="AP613" s="369">
        <f>VI_Baza_BDKZ!AP16</f>
        <v/>
      </c>
      <c r="AQ613" s="369">
        <f>VI_Baza_BDKZ!AQ16</f>
        <v/>
      </c>
      <c r="AR613" s="369">
        <f>VI_Baza_BDKZ!AR16</f>
        <v/>
      </c>
      <c r="AS613" s="369">
        <f>VI_Baza_BDKZ!AS16</f>
        <v/>
      </c>
      <c r="AT613" s="370">
        <f>VI_Baza_BDKZ!AT16</f>
        <v/>
      </c>
      <c r="AU613" s="370">
        <f>VI_Baza_BDKZ!AU16</f>
        <v/>
      </c>
      <c r="AV613" s="370">
        <f>VI_Baza_BDKZ!AV16</f>
        <v/>
      </c>
      <c r="AW613" s="370">
        <f>VI_Baza_BDKZ!AW16</f>
        <v/>
      </c>
      <c r="AX613">
        <f>VI_Baza_BDKZ!AX16</f>
        <v/>
      </c>
      <c r="AY613">
        <f>VI_Baza_BDKZ!AY16</f>
        <v/>
      </c>
      <c r="AZ613">
        <f>VI_Baza_BDKZ!AZ16</f>
        <v/>
      </c>
      <c r="BA613">
        <f>VI_Baza_BDKZ!BA16</f>
        <v/>
      </c>
      <c r="BB613">
        <f>VI_Baza_BDKZ!BB16</f>
        <v/>
      </c>
      <c r="BC613">
        <f>VI_Baza_BDKZ!BC16</f>
        <v/>
      </c>
      <c r="BD613">
        <f>VI_Baza_BDKZ!BD16</f>
        <v/>
      </c>
      <c r="BE613">
        <f>VI_Baza_BDKZ!BE16</f>
        <v/>
      </c>
      <c r="BF613">
        <f>VI_Baza_BDKZ!BF16</f>
        <v/>
      </c>
      <c r="BG613">
        <f>VI_Baza_BDKZ!BG16</f>
        <v/>
      </c>
      <c r="BH613">
        <f>VI_Baza_BDKZ!BH16</f>
        <v/>
      </c>
      <c r="BI613">
        <f>VI_Baza_BDKZ!BI16</f>
        <v/>
      </c>
      <c r="BJ613">
        <f>O613</f>
        <v/>
      </c>
      <c r="BK613">
        <f>SUM(AG613:AW613)</f>
        <v/>
      </c>
      <c r="BL613" s="531">
        <f>BJ613-BK613</f>
        <v/>
      </c>
      <c r="BM613" s="201" t="n"/>
    </row>
    <row r="614" hidden="1" outlineLevel="1" s="191">
      <c r="A614">
        <f>VI_Baza_BDKZ!A17</f>
        <v/>
      </c>
      <c r="B614">
        <f>VI_Baza_BDKZ!B17</f>
        <v/>
      </c>
      <c r="C614">
        <f>VI_Baza_BDKZ!C17</f>
        <v/>
      </c>
      <c r="D614">
        <f>VI_Baza_BDKZ!D17</f>
        <v/>
      </c>
      <c r="E614">
        <f>VI_Baza_BDKZ!E17</f>
        <v/>
      </c>
      <c r="F614">
        <f>VI_Baza_BDKZ!F17</f>
        <v/>
      </c>
      <c r="G614">
        <f>VI_Baza_BDKZ!G17</f>
        <v/>
      </c>
      <c r="H614">
        <f>VI_Baza_BDKZ!H17</f>
        <v/>
      </c>
      <c r="I614">
        <f>VI_Baza_BDKZ!I17</f>
        <v/>
      </c>
      <c r="J614">
        <f>VI_Baza_BDKZ!J17</f>
        <v/>
      </c>
      <c r="K614" s="672">
        <f>VI_Baza_BDKZ!K17</f>
        <v/>
      </c>
      <c r="L614" s="672">
        <f>VI_Baza_BDKZ!L17</f>
        <v/>
      </c>
      <c r="M614">
        <f>VI_Baza_BDKZ!M17</f>
        <v/>
      </c>
      <c r="N614">
        <f>VI_Baza_BDKZ!N17</f>
        <v/>
      </c>
      <c r="O614">
        <f>VI_Baza_BDKZ!O17</f>
        <v/>
      </c>
      <c r="P614" s="628">
        <f>VI_Baza_BDKZ!P17</f>
        <v/>
      </c>
      <c r="Q614" s="628">
        <f>VI_Baza_BDKZ!Q17</f>
        <v/>
      </c>
      <c r="R614" s="628">
        <f>VI_Baza_BDKZ!R17</f>
        <v/>
      </c>
      <c r="S614" s="628">
        <f>VI_Baza_BDKZ!S17</f>
        <v/>
      </c>
      <c r="T614" s="628">
        <f>VI_Baza_BDKZ!T17</f>
        <v/>
      </c>
      <c r="U614" s="628">
        <f>VI_Baza_BDKZ!U17</f>
        <v/>
      </c>
      <c r="V614" s="628">
        <f>VI_Baza_BDKZ!V17</f>
        <v/>
      </c>
      <c r="W614" s="628">
        <f>VI_Baza_BDKZ!W17</f>
        <v/>
      </c>
      <c r="X614" s="628">
        <f>VI_Baza_BDKZ!X17</f>
        <v/>
      </c>
      <c r="Y614" s="650">
        <f>VI_Baza_BDKZ!Y17</f>
        <v/>
      </c>
      <c r="Z614" s="650">
        <f>VI_Baza_BDKZ!Z17</f>
        <v/>
      </c>
      <c r="AA614" s="650">
        <f>VI_Baza_BDKZ!AA17</f>
        <v/>
      </c>
      <c r="AB614" s="650">
        <f>VI_Baza_BDKZ!AB17</f>
        <v/>
      </c>
      <c r="AC614" s="613">
        <f>VI_Baza_BDKZ!AC17</f>
        <v/>
      </c>
      <c r="AD614" s="613">
        <f>VI_Baza_BDKZ!AD17</f>
        <v/>
      </c>
      <c r="AE614" s="613">
        <f>VI_Baza_BDKZ!AE17</f>
        <v/>
      </c>
      <c r="AF614" s="613">
        <f>VI_Baza_BDKZ!AF17</f>
        <v/>
      </c>
      <c r="AG614" s="626">
        <f>VI_Baza_BDKZ!AG17</f>
        <v/>
      </c>
      <c r="AH614" s="626">
        <f>VI_Baza_BDKZ!AH17</f>
        <v/>
      </c>
      <c r="AI614" s="626">
        <f>VI_Baza_BDKZ!AI17</f>
        <v/>
      </c>
      <c r="AJ614" s="626">
        <f>VI_Baza_BDKZ!AJ17</f>
        <v/>
      </c>
      <c r="AK614" s="626">
        <f>VI_Baza_BDKZ!AK17</f>
        <v/>
      </c>
      <c r="AL614" s="626">
        <f>VI_Baza_BDKZ!AL17</f>
        <v/>
      </c>
      <c r="AM614" s="626">
        <f>VI_Baza_BDKZ!AM17</f>
        <v/>
      </c>
      <c r="AN614" s="626">
        <f>VI_Baza_BDKZ!AN17</f>
        <v/>
      </c>
      <c r="AO614" s="626">
        <f>VI_Baza_BDKZ!AO17</f>
        <v/>
      </c>
      <c r="AP614" s="369">
        <f>VI_Baza_BDKZ!AP17</f>
        <v/>
      </c>
      <c r="AQ614" s="369">
        <f>VI_Baza_BDKZ!AQ17</f>
        <v/>
      </c>
      <c r="AR614" s="369">
        <f>VI_Baza_BDKZ!AR17</f>
        <v/>
      </c>
      <c r="AS614" s="369">
        <f>VI_Baza_BDKZ!AS17</f>
        <v/>
      </c>
      <c r="AT614" s="370">
        <f>VI_Baza_BDKZ!AT17</f>
        <v/>
      </c>
      <c r="AU614" s="370">
        <f>VI_Baza_BDKZ!AU17</f>
        <v/>
      </c>
      <c r="AV614" s="370">
        <f>VI_Baza_BDKZ!AV17</f>
        <v/>
      </c>
      <c r="AW614" s="370">
        <f>VI_Baza_BDKZ!AW17</f>
        <v/>
      </c>
      <c r="AX614">
        <f>VI_Baza_BDKZ!AX17</f>
        <v/>
      </c>
      <c r="AY614">
        <f>VI_Baza_BDKZ!AY17</f>
        <v/>
      </c>
      <c r="AZ614">
        <f>VI_Baza_BDKZ!AZ17</f>
        <v/>
      </c>
      <c r="BA614">
        <f>VI_Baza_BDKZ!BA17</f>
        <v/>
      </c>
      <c r="BB614">
        <f>VI_Baza_BDKZ!BB17</f>
        <v/>
      </c>
      <c r="BC614">
        <f>VI_Baza_BDKZ!BC17</f>
        <v/>
      </c>
      <c r="BD614">
        <f>VI_Baza_BDKZ!BD17</f>
        <v/>
      </c>
      <c r="BE614">
        <f>VI_Baza_BDKZ!BE17</f>
        <v/>
      </c>
      <c r="BF614">
        <f>VI_Baza_BDKZ!BF17</f>
        <v/>
      </c>
      <c r="BG614">
        <f>VI_Baza_BDKZ!BG17</f>
        <v/>
      </c>
      <c r="BH614">
        <f>VI_Baza_BDKZ!BH17</f>
        <v/>
      </c>
      <c r="BI614">
        <f>VI_Baza_BDKZ!BI17</f>
        <v/>
      </c>
      <c r="BJ614">
        <f>O614</f>
        <v/>
      </c>
      <c r="BK614">
        <f>SUM(AG614:AW614)</f>
        <v/>
      </c>
      <c r="BL614" s="531">
        <f>BJ614-BK614</f>
        <v/>
      </c>
      <c r="BM614" s="201" t="n"/>
    </row>
    <row r="615" hidden="1" outlineLevel="1" s="191">
      <c r="A615">
        <f>VI_Baza_BDKZ!A18</f>
        <v/>
      </c>
      <c r="B615">
        <f>VI_Baza_BDKZ!B18</f>
        <v/>
      </c>
      <c r="C615">
        <f>VI_Baza_BDKZ!C18</f>
        <v/>
      </c>
      <c r="D615">
        <f>VI_Baza_BDKZ!D18</f>
        <v/>
      </c>
      <c r="E615">
        <f>VI_Baza_BDKZ!E18</f>
        <v/>
      </c>
      <c r="F615">
        <f>VI_Baza_BDKZ!F18</f>
        <v/>
      </c>
      <c r="G615">
        <f>VI_Baza_BDKZ!G18</f>
        <v/>
      </c>
      <c r="H615">
        <f>VI_Baza_BDKZ!H18</f>
        <v/>
      </c>
      <c r="I615">
        <f>VI_Baza_BDKZ!I18</f>
        <v/>
      </c>
      <c r="J615">
        <f>VI_Baza_BDKZ!J18</f>
        <v/>
      </c>
      <c r="K615" s="672">
        <f>VI_Baza_BDKZ!K18</f>
        <v/>
      </c>
      <c r="L615" s="672">
        <f>VI_Baza_BDKZ!L18</f>
        <v/>
      </c>
      <c r="M615">
        <f>VI_Baza_BDKZ!M18</f>
        <v/>
      </c>
      <c r="N615">
        <f>VI_Baza_BDKZ!N18</f>
        <v/>
      </c>
      <c r="O615">
        <f>VI_Baza_BDKZ!O18</f>
        <v/>
      </c>
      <c r="P615" s="628">
        <f>VI_Baza_BDKZ!P18</f>
        <v/>
      </c>
      <c r="Q615" s="628">
        <f>VI_Baza_BDKZ!Q18</f>
        <v/>
      </c>
      <c r="R615" s="628">
        <f>VI_Baza_BDKZ!R18</f>
        <v/>
      </c>
      <c r="S615" s="628">
        <f>VI_Baza_BDKZ!S18</f>
        <v/>
      </c>
      <c r="T615" s="628">
        <f>VI_Baza_BDKZ!T18</f>
        <v/>
      </c>
      <c r="U615" s="628">
        <f>VI_Baza_BDKZ!U18</f>
        <v/>
      </c>
      <c r="V615" s="628">
        <f>VI_Baza_BDKZ!V18</f>
        <v/>
      </c>
      <c r="W615" s="628">
        <f>VI_Baza_BDKZ!W18</f>
        <v/>
      </c>
      <c r="X615" s="628">
        <f>VI_Baza_BDKZ!X18</f>
        <v/>
      </c>
      <c r="Y615" s="650">
        <f>VI_Baza_BDKZ!Y18</f>
        <v/>
      </c>
      <c r="Z615" s="650">
        <f>VI_Baza_BDKZ!Z18</f>
        <v/>
      </c>
      <c r="AA615" s="650">
        <f>VI_Baza_BDKZ!AA18</f>
        <v/>
      </c>
      <c r="AB615" s="650">
        <f>VI_Baza_BDKZ!AB18</f>
        <v/>
      </c>
      <c r="AC615" s="613">
        <f>VI_Baza_BDKZ!AC18</f>
        <v/>
      </c>
      <c r="AD615" s="613">
        <f>VI_Baza_BDKZ!AD18</f>
        <v/>
      </c>
      <c r="AE615" s="613">
        <f>VI_Baza_BDKZ!AE18</f>
        <v/>
      </c>
      <c r="AF615" s="613">
        <f>VI_Baza_BDKZ!AF18</f>
        <v/>
      </c>
      <c r="AG615" s="626">
        <f>VI_Baza_BDKZ!AG18</f>
        <v/>
      </c>
      <c r="AH615" s="626">
        <f>VI_Baza_BDKZ!AH18</f>
        <v/>
      </c>
      <c r="AI615" s="626">
        <f>VI_Baza_BDKZ!AI18</f>
        <v/>
      </c>
      <c r="AJ615" s="626">
        <f>VI_Baza_BDKZ!AJ18</f>
        <v/>
      </c>
      <c r="AK615" s="626">
        <f>VI_Baza_BDKZ!AK18</f>
        <v/>
      </c>
      <c r="AL615" s="626">
        <f>VI_Baza_BDKZ!AL18</f>
        <v/>
      </c>
      <c r="AM615" s="626">
        <f>VI_Baza_BDKZ!AM18</f>
        <v/>
      </c>
      <c r="AN615" s="626">
        <f>VI_Baza_BDKZ!AN18</f>
        <v/>
      </c>
      <c r="AO615" s="626">
        <f>VI_Baza_BDKZ!AO18</f>
        <v/>
      </c>
      <c r="AP615" s="369">
        <f>VI_Baza_BDKZ!AP18</f>
        <v/>
      </c>
      <c r="AQ615" s="369">
        <f>VI_Baza_BDKZ!AQ18</f>
        <v/>
      </c>
      <c r="AR615" s="369">
        <f>VI_Baza_BDKZ!AR18</f>
        <v/>
      </c>
      <c r="AS615" s="369">
        <f>VI_Baza_BDKZ!AS18</f>
        <v/>
      </c>
      <c r="AT615" s="370">
        <f>VI_Baza_BDKZ!AT18</f>
        <v/>
      </c>
      <c r="AU615" s="370">
        <f>VI_Baza_BDKZ!AU18</f>
        <v/>
      </c>
      <c r="AV615" s="370">
        <f>VI_Baza_BDKZ!AV18</f>
        <v/>
      </c>
      <c r="AW615" s="370">
        <f>VI_Baza_BDKZ!AW18</f>
        <v/>
      </c>
      <c r="AX615">
        <f>VI_Baza_BDKZ!AX18</f>
        <v/>
      </c>
      <c r="AY615">
        <f>VI_Baza_BDKZ!AY18</f>
        <v/>
      </c>
      <c r="AZ615">
        <f>VI_Baza_BDKZ!AZ18</f>
        <v/>
      </c>
      <c r="BA615">
        <f>VI_Baza_BDKZ!BA18</f>
        <v/>
      </c>
      <c r="BB615">
        <f>VI_Baza_BDKZ!BB18</f>
        <v/>
      </c>
      <c r="BC615">
        <f>VI_Baza_BDKZ!BC18</f>
        <v/>
      </c>
      <c r="BD615">
        <f>VI_Baza_BDKZ!BD18</f>
        <v/>
      </c>
      <c r="BE615">
        <f>VI_Baza_BDKZ!BE18</f>
        <v/>
      </c>
      <c r="BF615">
        <f>VI_Baza_BDKZ!BF18</f>
        <v/>
      </c>
      <c r="BG615">
        <f>VI_Baza_BDKZ!BG18</f>
        <v/>
      </c>
      <c r="BH615">
        <f>VI_Baza_BDKZ!BH18</f>
        <v/>
      </c>
      <c r="BI615">
        <f>VI_Baza_BDKZ!BI18</f>
        <v/>
      </c>
      <c r="BJ615">
        <f>O615</f>
        <v/>
      </c>
      <c r="BK615">
        <f>SUM(AG615:AW615)</f>
        <v/>
      </c>
      <c r="BL615" s="531">
        <f>BJ615-BK615</f>
        <v/>
      </c>
      <c r="BM615" s="201" t="n"/>
    </row>
    <row r="616" hidden="1" outlineLevel="1" s="191">
      <c r="A616">
        <f>VI_Baza_BDKZ!A19</f>
        <v/>
      </c>
      <c r="B616">
        <f>VI_Baza_BDKZ!B19</f>
        <v/>
      </c>
      <c r="C616">
        <f>VI_Baza_BDKZ!C19</f>
        <v/>
      </c>
      <c r="D616">
        <f>VI_Baza_BDKZ!D19</f>
        <v/>
      </c>
      <c r="E616">
        <f>VI_Baza_BDKZ!E19</f>
        <v/>
      </c>
      <c r="F616">
        <f>VI_Baza_BDKZ!F19</f>
        <v/>
      </c>
      <c r="G616">
        <f>VI_Baza_BDKZ!G19</f>
        <v/>
      </c>
      <c r="H616">
        <f>VI_Baza_BDKZ!H19</f>
        <v/>
      </c>
      <c r="I616">
        <f>VI_Baza_BDKZ!I19</f>
        <v/>
      </c>
      <c r="J616">
        <f>VI_Baza_BDKZ!J19</f>
        <v/>
      </c>
      <c r="K616" s="672">
        <f>VI_Baza_BDKZ!K19</f>
        <v/>
      </c>
      <c r="L616" s="672">
        <f>VI_Baza_BDKZ!L19</f>
        <v/>
      </c>
      <c r="M616">
        <f>VI_Baza_BDKZ!M19</f>
        <v/>
      </c>
      <c r="N616">
        <f>VI_Baza_BDKZ!N19</f>
        <v/>
      </c>
      <c r="O616">
        <f>VI_Baza_BDKZ!O19</f>
        <v/>
      </c>
      <c r="P616" s="628">
        <f>VI_Baza_BDKZ!P19</f>
        <v/>
      </c>
      <c r="Q616" s="628">
        <f>VI_Baza_BDKZ!Q19</f>
        <v/>
      </c>
      <c r="R616" s="628">
        <f>VI_Baza_BDKZ!R19</f>
        <v/>
      </c>
      <c r="S616" s="628">
        <f>VI_Baza_BDKZ!S19</f>
        <v/>
      </c>
      <c r="T616" s="628">
        <f>VI_Baza_BDKZ!T19</f>
        <v/>
      </c>
      <c r="U616" s="628">
        <f>VI_Baza_BDKZ!U19</f>
        <v/>
      </c>
      <c r="V616" s="628">
        <f>VI_Baza_BDKZ!V19</f>
        <v/>
      </c>
      <c r="W616" s="628">
        <f>VI_Baza_BDKZ!W19</f>
        <v/>
      </c>
      <c r="X616" s="628">
        <f>VI_Baza_BDKZ!X19</f>
        <v/>
      </c>
      <c r="Y616" s="650">
        <f>VI_Baza_BDKZ!Y19</f>
        <v/>
      </c>
      <c r="Z616" s="650">
        <f>VI_Baza_BDKZ!Z19</f>
        <v/>
      </c>
      <c r="AA616" s="650">
        <f>VI_Baza_BDKZ!AA19</f>
        <v/>
      </c>
      <c r="AB616" s="650">
        <f>VI_Baza_BDKZ!AB19</f>
        <v/>
      </c>
      <c r="AC616" s="613">
        <f>VI_Baza_BDKZ!AC19</f>
        <v/>
      </c>
      <c r="AD616" s="613">
        <f>VI_Baza_BDKZ!AD19</f>
        <v/>
      </c>
      <c r="AE616" s="613">
        <f>VI_Baza_BDKZ!AE19</f>
        <v/>
      </c>
      <c r="AF616" s="613">
        <f>VI_Baza_BDKZ!AF19</f>
        <v/>
      </c>
      <c r="AG616" s="626">
        <f>VI_Baza_BDKZ!AG19</f>
        <v/>
      </c>
      <c r="AH616" s="626">
        <f>VI_Baza_BDKZ!AH19</f>
        <v/>
      </c>
      <c r="AI616" s="626">
        <f>VI_Baza_BDKZ!AI19</f>
        <v/>
      </c>
      <c r="AJ616" s="626">
        <f>VI_Baza_BDKZ!AJ19</f>
        <v/>
      </c>
      <c r="AK616" s="626">
        <f>VI_Baza_BDKZ!AK19</f>
        <v/>
      </c>
      <c r="AL616" s="626">
        <f>VI_Baza_BDKZ!AL19</f>
        <v/>
      </c>
      <c r="AM616" s="626">
        <f>VI_Baza_BDKZ!AM19</f>
        <v/>
      </c>
      <c r="AN616" s="626">
        <f>VI_Baza_BDKZ!AN19</f>
        <v/>
      </c>
      <c r="AO616" s="626">
        <f>VI_Baza_BDKZ!AO19</f>
        <v/>
      </c>
      <c r="AP616" s="369">
        <f>VI_Baza_BDKZ!AP19</f>
        <v/>
      </c>
      <c r="AQ616" s="369">
        <f>VI_Baza_BDKZ!AQ19</f>
        <v/>
      </c>
      <c r="AR616" s="369">
        <f>VI_Baza_BDKZ!AR19</f>
        <v/>
      </c>
      <c r="AS616" s="369">
        <f>VI_Baza_BDKZ!AS19</f>
        <v/>
      </c>
      <c r="AT616" s="370">
        <f>VI_Baza_BDKZ!AT19</f>
        <v/>
      </c>
      <c r="AU616" s="370">
        <f>VI_Baza_BDKZ!AU19</f>
        <v/>
      </c>
      <c r="AV616" s="370">
        <f>VI_Baza_BDKZ!AV19</f>
        <v/>
      </c>
      <c r="AW616" s="370">
        <f>VI_Baza_BDKZ!AW19</f>
        <v/>
      </c>
      <c r="AX616">
        <f>VI_Baza_BDKZ!AX19</f>
        <v/>
      </c>
      <c r="AY616">
        <f>VI_Baza_BDKZ!AY19</f>
        <v/>
      </c>
      <c r="AZ616">
        <f>VI_Baza_BDKZ!AZ19</f>
        <v/>
      </c>
      <c r="BA616">
        <f>VI_Baza_BDKZ!BA19</f>
        <v/>
      </c>
      <c r="BB616">
        <f>VI_Baza_BDKZ!BB19</f>
        <v/>
      </c>
      <c r="BC616">
        <f>VI_Baza_BDKZ!BC19</f>
        <v/>
      </c>
      <c r="BD616">
        <f>VI_Baza_BDKZ!BD19</f>
        <v/>
      </c>
      <c r="BE616">
        <f>VI_Baza_BDKZ!BE19</f>
        <v/>
      </c>
      <c r="BF616">
        <f>VI_Baza_BDKZ!BF19</f>
        <v/>
      </c>
      <c r="BG616">
        <f>VI_Baza_BDKZ!BG19</f>
        <v/>
      </c>
      <c r="BH616">
        <f>VI_Baza_BDKZ!BH19</f>
        <v/>
      </c>
      <c r="BI616">
        <f>VI_Baza_BDKZ!BI19</f>
        <v/>
      </c>
      <c r="BJ616">
        <f>O616</f>
        <v/>
      </c>
      <c r="BK616">
        <f>SUM(AG616:AW616)</f>
        <v/>
      </c>
      <c r="BL616" s="531">
        <f>BJ616-BK616</f>
        <v/>
      </c>
      <c r="BM616" s="201" t="n"/>
    </row>
    <row r="617" hidden="1" outlineLevel="1" s="191">
      <c r="A617">
        <f>VI_Baza_BDKZ!A20</f>
        <v/>
      </c>
      <c r="B617">
        <f>VI_Baza_BDKZ!B20</f>
        <v/>
      </c>
      <c r="C617">
        <f>VI_Baza_BDKZ!C20</f>
        <v/>
      </c>
      <c r="D617">
        <f>VI_Baza_BDKZ!D20</f>
        <v/>
      </c>
      <c r="E617">
        <f>VI_Baza_BDKZ!E20</f>
        <v/>
      </c>
      <c r="F617">
        <f>VI_Baza_BDKZ!F20</f>
        <v/>
      </c>
      <c r="G617">
        <f>VI_Baza_BDKZ!G20</f>
        <v/>
      </c>
      <c r="H617">
        <f>VI_Baza_BDKZ!H20</f>
        <v/>
      </c>
      <c r="I617">
        <f>VI_Baza_BDKZ!I20</f>
        <v/>
      </c>
      <c r="J617">
        <f>VI_Baza_BDKZ!J20</f>
        <v/>
      </c>
      <c r="K617" s="672">
        <f>VI_Baza_BDKZ!K20</f>
        <v/>
      </c>
      <c r="L617" s="672">
        <f>VI_Baza_BDKZ!L20</f>
        <v/>
      </c>
      <c r="M617">
        <f>VI_Baza_BDKZ!M20</f>
        <v/>
      </c>
      <c r="N617">
        <f>VI_Baza_BDKZ!N20</f>
        <v/>
      </c>
      <c r="O617">
        <f>VI_Baza_BDKZ!O20</f>
        <v/>
      </c>
      <c r="P617" s="628">
        <f>VI_Baza_BDKZ!P20</f>
        <v/>
      </c>
      <c r="Q617" s="628">
        <f>VI_Baza_BDKZ!Q20</f>
        <v/>
      </c>
      <c r="R617" s="628">
        <f>VI_Baza_BDKZ!R20</f>
        <v/>
      </c>
      <c r="S617" s="628">
        <f>VI_Baza_BDKZ!S20</f>
        <v/>
      </c>
      <c r="T617" s="628">
        <f>VI_Baza_BDKZ!T20</f>
        <v/>
      </c>
      <c r="U617" s="628">
        <f>VI_Baza_BDKZ!U20</f>
        <v/>
      </c>
      <c r="V617" s="628">
        <f>VI_Baza_BDKZ!V20</f>
        <v/>
      </c>
      <c r="W617" s="628">
        <f>VI_Baza_BDKZ!W20</f>
        <v/>
      </c>
      <c r="X617" s="628">
        <f>VI_Baza_BDKZ!X20</f>
        <v/>
      </c>
      <c r="Y617" s="650">
        <f>VI_Baza_BDKZ!Y20</f>
        <v/>
      </c>
      <c r="Z617" s="650">
        <f>VI_Baza_BDKZ!Z20</f>
        <v/>
      </c>
      <c r="AA617" s="650">
        <f>VI_Baza_BDKZ!AA20</f>
        <v/>
      </c>
      <c r="AB617" s="650">
        <f>VI_Baza_BDKZ!AB20</f>
        <v/>
      </c>
      <c r="AC617" s="613">
        <f>VI_Baza_BDKZ!AC20</f>
        <v/>
      </c>
      <c r="AD617" s="613">
        <f>VI_Baza_BDKZ!AD20</f>
        <v/>
      </c>
      <c r="AE617" s="613">
        <f>VI_Baza_BDKZ!AE20</f>
        <v/>
      </c>
      <c r="AF617" s="613">
        <f>VI_Baza_BDKZ!AF20</f>
        <v/>
      </c>
      <c r="AG617" s="626">
        <f>VI_Baza_BDKZ!AG20</f>
        <v/>
      </c>
      <c r="AH617" s="626">
        <f>VI_Baza_BDKZ!AH20</f>
        <v/>
      </c>
      <c r="AI617" s="626">
        <f>VI_Baza_BDKZ!AI20</f>
        <v/>
      </c>
      <c r="AJ617" s="626">
        <f>VI_Baza_BDKZ!AJ20</f>
        <v/>
      </c>
      <c r="AK617" s="626">
        <f>VI_Baza_BDKZ!AK20</f>
        <v/>
      </c>
      <c r="AL617" s="626">
        <f>VI_Baza_BDKZ!AL20</f>
        <v/>
      </c>
      <c r="AM617" s="626">
        <f>VI_Baza_BDKZ!AM20</f>
        <v/>
      </c>
      <c r="AN617" s="626">
        <f>VI_Baza_BDKZ!AN20</f>
        <v/>
      </c>
      <c r="AO617" s="626">
        <f>VI_Baza_BDKZ!AO20</f>
        <v/>
      </c>
      <c r="AP617" s="369">
        <f>VI_Baza_BDKZ!AP20</f>
        <v/>
      </c>
      <c r="AQ617" s="369">
        <f>VI_Baza_BDKZ!AQ20</f>
        <v/>
      </c>
      <c r="AR617" s="369">
        <f>VI_Baza_BDKZ!AR20</f>
        <v/>
      </c>
      <c r="AS617" s="369">
        <f>VI_Baza_BDKZ!AS20</f>
        <v/>
      </c>
      <c r="AT617" s="370">
        <f>VI_Baza_BDKZ!AT20</f>
        <v/>
      </c>
      <c r="AU617" s="370">
        <f>VI_Baza_BDKZ!AU20</f>
        <v/>
      </c>
      <c r="AV617" s="370">
        <f>VI_Baza_BDKZ!AV20</f>
        <v/>
      </c>
      <c r="AW617" s="370">
        <f>VI_Baza_BDKZ!AW20</f>
        <v/>
      </c>
      <c r="AX617">
        <f>VI_Baza_BDKZ!AX20</f>
        <v/>
      </c>
      <c r="AY617">
        <f>VI_Baza_BDKZ!AY20</f>
        <v/>
      </c>
      <c r="AZ617">
        <f>VI_Baza_BDKZ!AZ20</f>
        <v/>
      </c>
      <c r="BA617">
        <f>VI_Baza_BDKZ!BA20</f>
        <v/>
      </c>
      <c r="BB617">
        <f>VI_Baza_BDKZ!BB20</f>
        <v/>
      </c>
      <c r="BC617">
        <f>VI_Baza_BDKZ!BC20</f>
        <v/>
      </c>
      <c r="BD617">
        <f>VI_Baza_BDKZ!BD20</f>
        <v/>
      </c>
      <c r="BE617">
        <f>VI_Baza_BDKZ!BE20</f>
        <v/>
      </c>
      <c r="BF617">
        <f>VI_Baza_BDKZ!BF20</f>
        <v/>
      </c>
      <c r="BG617">
        <f>VI_Baza_BDKZ!BG20</f>
        <v/>
      </c>
      <c r="BH617">
        <f>VI_Baza_BDKZ!BH20</f>
        <v/>
      </c>
      <c r="BI617">
        <f>VI_Baza_BDKZ!BI20</f>
        <v/>
      </c>
      <c r="BJ617">
        <f>O617</f>
        <v/>
      </c>
      <c r="BK617">
        <f>SUM(AG617:AW617)</f>
        <v/>
      </c>
      <c r="BL617" s="531">
        <f>BJ617-BK617</f>
        <v/>
      </c>
      <c r="BM617" s="201" t="n"/>
    </row>
    <row r="618" hidden="1" outlineLevel="1" s="191">
      <c r="A618">
        <f>VI_Baza_BDKZ!A21</f>
        <v/>
      </c>
      <c r="B618">
        <f>VI_Baza_BDKZ!B21</f>
        <v/>
      </c>
      <c r="C618">
        <f>VI_Baza_BDKZ!C21</f>
        <v/>
      </c>
      <c r="D618">
        <f>VI_Baza_BDKZ!D21</f>
        <v/>
      </c>
      <c r="E618">
        <f>VI_Baza_BDKZ!E21</f>
        <v/>
      </c>
      <c r="F618">
        <f>VI_Baza_BDKZ!F21</f>
        <v/>
      </c>
      <c r="G618">
        <f>VI_Baza_BDKZ!G21</f>
        <v/>
      </c>
      <c r="H618">
        <f>VI_Baza_BDKZ!H21</f>
        <v/>
      </c>
      <c r="I618">
        <f>VI_Baza_BDKZ!I21</f>
        <v/>
      </c>
      <c r="J618">
        <f>VI_Baza_BDKZ!J21</f>
        <v/>
      </c>
      <c r="K618" s="672">
        <f>VI_Baza_BDKZ!K21</f>
        <v/>
      </c>
      <c r="L618" s="672">
        <f>VI_Baza_BDKZ!L21</f>
        <v/>
      </c>
      <c r="M618">
        <f>VI_Baza_BDKZ!M21</f>
        <v/>
      </c>
      <c r="N618">
        <f>VI_Baza_BDKZ!N21</f>
        <v/>
      </c>
      <c r="O618">
        <f>VI_Baza_BDKZ!O21</f>
        <v/>
      </c>
      <c r="P618" s="628">
        <f>VI_Baza_BDKZ!P21</f>
        <v/>
      </c>
      <c r="Q618" s="628">
        <f>VI_Baza_BDKZ!Q21</f>
        <v/>
      </c>
      <c r="R618" s="628">
        <f>VI_Baza_BDKZ!R21</f>
        <v/>
      </c>
      <c r="S618" s="628">
        <f>VI_Baza_BDKZ!S21</f>
        <v/>
      </c>
      <c r="T618" s="628">
        <f>VI_Baza_BDKZ!T21</f>
        <v/>
      </c>
      <c r="U618" s="628">
        <f>VI_Baza_BDKZ!U21</f>
        <v/>
      </c>
      <c r="V618" s="628">
        <f>VI_Baza_BDKZ!V21</f>
        <v/>
      </c>
      <c r="W618" s="628">
        <f>VI_Baza_BDKZ!W21</f>
        <v/>
      </c>
      <c r="X618" s="628">
        <f>VI_Baza_BDKZ!X21</f>
        <v/>
      </c>
      <c r="Y618" s="650">
        <f>VI_Baza_BDKZ!Y21</f>
        <v/>
      </c>
      <c r="Z618" s="650">
        <f>VI_Baza_BDKZ!Z21</f>
        <v/>
      </c>
      <c r="AA618" s="650">
        <f>VI_Baza_BDKZ!AA21</f>
        <v/>
      </c>
      <c r="AB618" s="650">
        <f>VI_Baza_BDKZ!AB21</f>
        <v/>
      </c>
      <c r="AC618" s="613">
        <f>VI_Baza_BDKZ!AC21</f>
        <v/>
      </c>
      <c r="AD618" s="613">
        <f>VI_Baza_BDKZ!AD21</f>
        <v/>
      </c>
      <c r="AE618" s="613">
        <f>VI_Baza_BDKZ!AE21</f>
        <v/>
      </c>
      <c r="AF618" s="613">
        <f>VI_Baza_BDKZ!AF21</f>
        <v/>
      </c>
      <c r="AG618" s="626">
        <f>VI_Baza_BDKZ!AG21</f>
        <v/>
      </c>
      <c r="AH618" s="626">
        <f>VI_Baza_BDKZ!AH21</f>
        <v/>
      </c>
      <c r="AI618" s="626">
        <f>VI_Baza_BDKZ!AI21</f>
        <v/>
      </c>
      <c r="AJ618" s="626">
        <f>VI_Baza_BDKZ!AJ21</f>
        <v/>
      </c>
      <c r="AK618" s="626">
        <f>VI_Baza_BDKZ!AK21</f>
        <v/>
      </c>
      <c r="AL618" s="626">
        <f>VI_Baza_BDKZ!AL21</f>
        <v/>
      </c>
      <c r="AM618" s="626">
        <f>VI_Baza_BDKZ!AM21</f>
        <v/>
      </c>
      <c r="AN618" s="626">
        <f>VI_Baza_BDKZ!AN21</f>
        <v/>
      </c>
      <c r="AO618" s="626">
        <f>VI_Baza_BDKZ!AO21</f>
        <v/>
      </c>
      <c r="AP618" s="369">
        <f>VI_Baza_BDKZ!AP21</f>
        <v/>
      </c>
      <c r="AQ618" s="369">
        <f>VI_Baza_BDKZ!AQ21</f>
        <v/>
      </c>
      <c r="AR618" s="369">
        <f>VI_Baza_BDKZ!AR21</f>
        <v/>
      </c>
      <c r="AS618" s="369">
        <f>VI_Baza_BDKZ!AS21</f>
        <v/>
      </c>
      <c r="AT618" s="370">
        <f>VI_Baza_BDKZ!AT21</f>
        <v/>
      </c>
      <c r="AU618" s="370">
        <f>VI_Baza_BDKZ!AU21</f>
        <v/>
      </c>
      <c r="AV618" s="370">
        <f>VI_Baza_BDKZ!AV21</f>
        <v/>
      </c>
      <c r="AW618" s="370">
        <f>VI_Baza_BDKZ!AW21</f>
        <v/>
      </c>
      <c r="AX618">
        <f>VI_Baza_BDKZ!AX21</f>
        <v/>
      </c>
      <c r="AY618">
        <f>VI_Baza_BDKZ!AY21</f>
        <v/>
      </c>
      <c r="AZ618">
        <f>VI_Baza_BDKZ!AZ21</f>
        <v/>
      </c>
      <c r="BA618">
        <f>VI_Baza_BDKZ!BA21</f>
        <v/>
      </c>
      <c r="BB618">
        <f>VI_Baza_BDKZ!BB21</f>
        <v/>
      </c>
      <c r="BC618">
        <f>VI_Baza_BDKZ!BC21</f>
        <v/>
      </c>
      <c r="BD618">
        <f>VI_Baza_BDKZ!BD21</f>
        <v/>
      </c>
      <c r="BE618">
        <f>VI_Baza_BDKZ!BE21</f>
        <v/>
      </c>
      <c r="BF618">
        <f>VI_Baza_BDKZ!BF21</f>
        <v/>
      </c>
      <c r="BG618">
        <f>VI_Baza_BDKZ!BG21</f>
        <v/>
      </c>
      <c r="BH618">
        <f>VI_Baza_BDKZ!BH21</f>
        <v/>
      </c>
      <c r="BI618">
        <f>VI_Baza_BDKZ!BI21</f>
        <v/>
      </c>
      <c r="BJ618">
        <f>O618</f>
        <v/>
      </c>
      <c r="BK618">
        <f>SUM(AG618:AW618)</f>
        <v/>
      </c>
      <c r="BL618" s="531">
        <f>BJ618-BK618</f>
        <v/>
      </c>
      <c r="BM618" s="201" t="n"/>
    </row>
    <row r="619" hidden="1" outlineLevel="1" s="191">
      <c r="A619">
        <f>VI_Baza_BDKZ!A22</f>
        <v/>
      </c>
      <c r="B619">
        <f>VI_Baza_BDKZ!B22</f>
        <v/>
      </c>
      <c r="C619">
        <f>VI_Baza_BDKZ!C22</f>
        <v/>
      </c>
      <c r="D619">
        <f>VI_Baza_BDKZ!D22</f>
        <v/>
      </c>
      <c r="E619">
        <f>VI_Baza_BDKZ!E22</f>
        <v/>
      </c>
      <c r="F619">
        <f>VI_Baza_BDKZ!F22</f>
        <v/>
      </c>
      <c r="G619">
        <f>VI_Baza_BDKZ!G22</f>
        <v/>
      </c>
      <c r="H619">
        <f>VI_Baza_BDKZ!H22</f>
        <v/>
      </c>
      <c r="I619">
        <f>VI_Baza_BDKZ!I22</f>
        <v/>
      </c>
      <c r="J619">
        <f>VI_Baza_BDKZ!J22</f>
        <v/>
      </c>
      <c r="K619" s="672">
        <f>VI_Baza_BDKZ!K22</f>
        <v/>
      </c>
      <c r="L619" s="672">
        <f>VI_Baza_BDKZ!L22</f>
        <v/>
      </c>
      <c r="M619">
        <f>VI_Baza_BDKZ!M22</f>
        <v/>
      </c>
      <c r="N619">
        <f>VI_Baza_BDKZ!N22</f>
        <v/>
      </c>
      <c r="O619">
        <f>VI_Baza_BDKZ!O22</f>
        <v/>
      </c>
      <c r="P619" s="628">
        <f>VI_Baza_BDKZ!P22</f>
        <v/>
      </c>
      <c r="Q619" s="628">
        <f>VI_Baza_BDKZ!Q22</f>
        <v/>
      </c>
      <c r="R619" s="628">
        <f>VI_Baza_BDKZ!R22</f>
        <v/>
      </c>
      <c r="S619" s="628">
        <f>VI_Baza_BDKZ!S22</f>
        <v/>
      </c>
      <c r="T619" s="628">
        <f>VI_Baza_BDKZ!T22</f>
        <v/>
      </c>
      <c r="U619" s="628">
        <f>VI_Baza_BDKZ!U22</f>
        <v/>
      </c>
      <c r="V619" s="628">
        <f>VI_Baza_BDKZ!V22</f>
        <v/>
      </c>
      <c r="W619" s="628">
        <f>VI_Baza_BDKZ!W22</f>
        <v/>
      </c>
      <c r="X619" s="628">
        <f>VI_Baza_BDKZ!X22</f>
        <v/>
      </c>
      <c r="Y619" s="650">
        <f>VI_Baza_BDKZ!Y22</f>
        <v/>
      </c>
      <c r="Z619" s="650">
        <f>VI_Baza_BDKZ!Z22</f>
        <v/>
      </c>
      <c r="AA619" s="650">
        <f>VI_Baza_BDKZ!AA22</f>
        <v/>
      </c>
      <c r="AB619" s="650">
        <f>VI_Baza_BDKZ!AB22</f>
        <v/>
      </c>
      <c r="AC619" s="613">
        <f>VI_Baza_BDKZ!AC22</f>
        <v/>
      </c>
      <c r="AD619" s="613">
        <f>VI_Baza_BDKZ!AD22</f>
        <v/>
      </c>
      <c r="AE619" s="613">
        <f>VI_Baza_BDKZ!AE22</f>
        <v/>
      </c>
      <c r="AF619" s="613">
        <f>VI_Baza_BDKZ!AF22</f>
        <v/>
      </c>
      <c r="AG619" s="626">
        <f>VI_Baza_BDKZ!AG22</f>
        <v/>
      </c>
      <c r="AH619" s="626">
        <f>VI_Baza_BDKZ!AH22</f>
        <v/>
      </c>
      <c r="AI619" s="626">
        <f>VI_Baza_BDKZ!AI22</f>
        <v/>
      </c>
      <c r="AJ619" s="626">
        <f>VI_Baza_BDKZ!AJ22</f>
        <v/>
      </c>
      <c r="AK619" s="626">
        <f>VI_Baza_BDKZ!AK22</f>
        <v/>
      </c>
      <c r="AL619" s="626">
        <f>VI_Baza_BDKZ!AL22</f>
        <v/>
      </c>
      <c r="AM619" s="626">
        <f>VI_Baza_BDKZ!AM22</f>
        <v/>
      </c>
      <c r="AN619" s="626">
        <f>VI_Baza_BDKZ!AN22</f>
        <v/>
      </c>
      <c r="AO619" s="626">
        <f>VI_Baza_BDKZ!AO22</f>
        <v/>
      </c>
      <c r="AP619" s="369">
        <f>VI_Baza_BDKZ!AP22</f>
        <v/>
      </c>
      <c r="AQ619" s="369">
        <f>VI_Baza_BDKZ!AQ22</f>
        <v/>
      </c>
      <c r="AR619" s="369">
        <f>VI_Baza_BDKZ!AR22</f>
        <v/>
      </c>
      <c r="AS619" s="369">
        <f>VI_Baza_BDKZ!AS22</f>
        <v/>
      </c>
      <c r="AT619" s="370">
        <f>VI_Baza_BDKZ!AT22</f>
        <v/>
      </c>
      <c r="AU619" s="370">
        <f>VI_Baza_BDKZ!AU22</f>
        <v/>
      </c>
      <c r="AV619" s="370">
        <f>VI_Baza_BDKZ!AV22</f>
        <v/>
      </c>
      <c r="AW619" s="370">
        <f>VI_Baza_BDKZ!AW22</f>
        <v/>
      </c>
      <c r="AX619">
        <f>VI_Baza_BDKZ!AX22</f>
        <v/>
      </c>
      <c r="AY619">
        <f>VI_Baza_BDKZ!AY22</f>
        <v/>
      </c>
      <c r="AZ619">
        <f>VI_Baza_BDKZ!AZ22</f>
        <v/>
      </c>
      <c r="BA619">
        <f>VI_Baza_BDKZ!BA22</f>
        <v/>
      </c>
      <c r="BB619">
        <f>VI_Baza_BDKZ!BB22</f>
        <v/>
      </c>
      <c r="BC619">
        <f>VI_Baza_BDKZ!BC22</f>
        <v/>
      </c>
      <c r="BD619">
        <f>VI_Baza_BDKZ!BD22</f>
        <v/>
      </c>
      <c r="BE619">
        <f>VI_Baza_BDKZ!BE22</f>
        <v/>
      </c>
      <c r="BF619">
        <f>VI_Baza_BDKZ!BF22</f>
        <v/>
      </c>
      <c r="BG619">
        <f>VI_Baza_BDKZ!BG22</f>
        <v/>
      </c>
      <c r="BH619">
        <f>VI_Baza_BDKZ!BH22</f>
        <v/>
      </c>
      <c r="BI619">
        <f>VI_Baza_BDKZ!BI22</f>
        <v/>
      </c>
      <c r="BJ619">
        <f>O619</f>
        <v/>
      </c>
      <c r="BK619">
        <f>SUM(AG619:AW619)</f>
        <v/>
      </c>
      <c r="BL619" s="531">
        <f>BJ619-BK619</f>
        <v/>
      </c>
      <c r="BM619" s="201" t="n"/>
    </row>
    <row r="620" hidden="1" outlineLevel="1" s="191">
      <c r="A620">
        <f>VI_Baza_BDKZ!A23</f>
        <v/>
      </c>
      <c r="B620">
        <f>VI_Baza_BDKZ!B23</f>
        <v/>
      </c>
      <c r="C620">
        <f>VI_Baza_BDKZ!C23</f>
        <v/>
      </c>
      <c r="D620">
        <f>VI_Baza_BDKZ!D23</f>
        <v/>
      </c>
      <c r="E620">
        <f>VI_Baza_BDKZ!E23</f>
        <v/>
      </c>
      <c r="F620">
        <f>VI_Baza_BDKZ!F23</f>
        <v/>
      </c>
      <c r="G620">
        <f>VI_Baza_BDKZ!G23</f>
        <v/>
      </c>
      <c r="H620">
        <f>VI_Baza_BDKZ!H23</f>
        <v/>
      </c>
      <c r="I620">
        <f>VI_Baza_BDKZ!I23</f>
        <v/>
      </c>
      <c r="J620">
        <f>VI_Baza_BDKZ!J23</f>
        <v/>
      </c>
      <c r="K620" s="672">
        <f>VI_Baza_BDKZ!K23</f>
        <v/>
      </c>
      <c r="L620" s="672">
        <f>VI_Baza_BDKZ!L23</f>
        <v/>
      </c>
      <c r="M620">
        <f>VI_Baza_BDKZ!M23</f>
        <v/>
      </c>
      <c r="N620">
        <f>VI_Baza_BDKZ!N23</f>
        <v/>
      </c>
      <c r="O620">
        <f>VI_Baza_BDKZ!O23</f>
        <v/>
      </c>
      <c r="P620" s="628">
        <f>VI_Baza_BDKZ!P23</f>
        <v/>
      </c>
      <c r="Q620" s="628">
        <f>VI_Baza_BDKZ!Q23</f>
        <v/>
      </c>
      <c r="R620" s="628">
        <f>VI_Baza_BDKZ!R23</f>
        <v/>
      </c>
      <c r="S620" s="628">
        <f>VI_Baza_BDKZ!S23</f>
        <v/>
      </c>
      <c r="T620" s="628">
        <f>VI_Baza_BDKZ!T23</f>
        <v/>
      </c>
      <c r="U620" s="628">
        <f>VI_Baza_BDKZ!U23</f>
        <v/>
      </c>
      <c r="V620" s="628">
        <f>VI_Baza_BDKZ!V23</f>
        <v/>
      </c>
      <c r="W620" s="628">
        <f>VI_Baza_BDKZ!W23</f>
        <v/>
      </c>
      <c r="X620" s="628">
        <f>VI_Baza_BDKZ!X23</f>
        <v/>
      </c>
      <c r="Y620" s="650">
        <f>VI_Baza_BDKZ!Y23</f>
        <v/>
      </c>
      <c r="Z620" s="650">
        <f>VI_Baza_BDKZ!Z23</f>
        <v/>
      </c>
      <c r="AA620" s="650">
        <f>VI_Baza_BDKZ!AA23</f>
        <v/>
      </c>
      <c r="AB620" s="650">
        <f>VI_Baza_BDKZ!AB23</f>
        <v/>
      </c>
      <c r="AC620" s="613">
        <f>VI_Baza_BDKZ!AC23</f>
        <v/>
      </c>
      <c r="AD620" s="613">
        <f>VI_Baza_BDKZ!AD23</f>
        <v/>
      </c>
      <c r="AE620" s="613">
        <f>VI_Baza_BDKZ!AE23</f>
        <v/>
      </c>
      <c r="AF620" s="613">
        <f>VI_Baza_BDKZ!AF23</f>
        <v/>
      </c>
      <c r="AG620" s="626">
        <f>VI_Baza_BDKZ!AG23</f>
        <v/>
      </c>
      <c r="AH620" s="626">
        <f>VI_Baza_BDKZ!AH23</f>
        <v/>
      </c>
      <c r="AI620" s="626">
        <f>VI_Baza_BDKZ!AI23</f>
        <v/>
      </c>
      <c r="AJ620" s="626">
        <f>VI_Baza_BDKZ!AJ23</f>
        <v/>
      </c>
      <c r="AK620" s="626">
        <f>VI_Baza_BDKZ!AK23</f>
        <v/>
      </c>
      <c r="AL620" s="626">
        <f>VI_Baza_BDKZ!AL23</f>
        <v/>
      </c>
      <c r="AM620" s="626">
        <f>VI_Baza_BDKZ!AM23</f>
        <v/>
      </c>
      <c r="AN620" s="626">
        <f>VI_Baza_BDKZ!AN23</f>
        <v/>
      </c>
      <c r="AO620" s="626">
        <f>VI_Baza_BDKZ!AO23</f>
        <v/>
      </c>
      <c r="AP620" s="369">
        <f>VI_Baza_BDKZ!AP23</f>
        <v/>
      </c>
      <c r="AQ620" s="369">
        <f>VI_Baza_BDKZ!AQ23</f>
        <v/>
      </c>
      <c r="AR620" s="369">
        <f>VI_Baza_BDKZ!AR23</f>
        <v/>
      </c>
      <c r="AS620" s="369">
        <f>VI_Baza_BDKZ!AS23</f>
        <v/>
      </c>
      <c r="AT620" s="370">
        <f>VI_Baza_BDKZ!AT23</f>
        <v/>
      </c>
      <c r="AU620" s="370">
        <f>VI_Baza_BDKZ!AU23</f>
        <v/>
      </c>
      <c r="AV620" s="370">
        <f>VI_Baza_BDKZ!AV23</f>
        <v/>
      </c>
      <c r="AW620" s="370">
        <f>VI_Baza_BDKZ!AW23</f>
        <v/>
      </c>
      <c r="AX620">
        <f>VI_Baza_BDKZ!AX23</f>
        <v/>
      </c>
      <c r="AY620">
        <f>VI_Baza_BDKZ!AY23</f>
        <v/>
      </c>
      <c r="AZ620">
        <f>VI_Baza_BDKZ!AZ23</f>
        <v/>
      </c>
      <c r="BA620">
        <f>VI_Baza_BDKZ!BA23</f>
        <v/>
      </c>
      <c r="BB620">
        <f>VI_Baza_BDKZ!BB23</f>
        <v/>
      </c>
      <c r="BC620">
        <f>VI_Baza_BDKZ!BC23</f>
        <v/>
      </c>
      <c r="BD620">
        <f>VI_Baza_BDKZ!BD23</f>
        <v/>
      </c>
      <c r="BE620">
        <f>VI_Baza_BDKZ!BE23</f>
        <v/>
      </c>
      <c r="BF620">
        <f>VI_Baza_BDKZ!BF23</f>
        <v/>
      </c>
      <c r="BG620">
        <f>VI_Baza_BDKZ!BG23</f>
        <v/>
      </c>
      <c r="BH620">
        <f>VI_Baza_BDKZ!BH23</f>
        <v/>
      </c>
      <c r="BI620">
        <f>VI_Baza_BDKZ!BI23</f>
        <v/>
      </c>
      <c r="BJ620">
        <f>O620</f>
        <v/>
      </c>
      <c r="BK620">
        <f>SUM(AG620:AW620)</f>
        <v/>
      </c>
      <c r="BL620" s="531">
        <f>BJ620-BK620</f>
        <v/>
      </c>
      <c r="BM620" s="201" t="n"/>
    </row>
    <row r="621" hidden="1" outlineLevel="1" s="191">
      <c r="A621">
        <f>VI_Baza_BDKZ!A24</f>
        <v/>
      </c>
      <c r="B621">
        <f>VI_Baza_BDKZ!B24</f>
        <v/>
      </c>
      <c r="C621">
        <f>VI_Baza_BDKZ!C24</f>
        <v/>
      </c>
      <c r="D621">
        <f>VI_Baza_BDKZ!D24</f>
        <v/>
      </c>
      <c r="E621">
        <f>VI_Baza_BDKZ!E24</f>
        <v/>
      </c>
      <c r="F621">
        <f>VI_Baza_BDKZ!F24</f>
        <v/>
      </c>
      <c r="G621">
        <f>VI_Baza_BDKZ!G24</f>
        <v/>
      </c>
      <c r="H621">
        <f>VI_Baza_BDKZ!H24</f>
        <v/>
      </c>
      <c r="I621">
        <f>VI_Baza_BDKZ!I24</f>
        <v/>
      </c>
      <c r="J621">
        <f>VI_Baza_BDKZ!J24</f>
        <v/>
      </c>
      <c r="K621" s="672">
        <f>VI_Baza_BDKZ!K24</f>
        <v/>
      </c>
      <c r="L621" s="672">
        <f>VI_Baza_BDKZ!L24</f>
        <v/>
      </c>
      <c r="M621">
        <f>VI_Baza_BDKZ!M24</f>
        <v/>
      </c>
      <c r="N621">
        <f>VI_Baza_BDKZ!N24</f>
        <v/>
      </c>
      <c r="O621">
        <f>VI_Baza_BDKZ!O24</f>
        <v/>
      </c>
      <c r="P621" s="628">
        <f>VI_Baza_BDKZ!P24</f>
        <v/>
      </c>
      <c r="Q621" s="628">
        <f>VI_Baza_BDKZ!Q24</f>
        <v/>
      </c>
      <c r="R621" s="628">
        <f>VI_Baza_BDKZ!R24</f>
        <v/>
      </c>
      <c r="S621" s="628">
        <f>VI_Baza_BDKZ!S24</f>
        <v/>
      </c>
      <c r="T621" s="628">
        <f>VI_Baza_BDKZ!T24</f>
        <v/>
      </c>
      <c r="U621" s="628">
        <f>VI_Baza_BDKZ!U24</f>
        <v/>
      </c>
      <c r="V621" s="628">
        <f>VI_Baza_BDKZ!V24</f>
        <v/>
      </c>
      <c r="W621" s="628">
        <f>VI_Baza_BDKZ!W24</f>
        <v/>
      </c>
      <c r="X621" s="628">
        <f>VI_Baza_BDKZ!X24</f>
        <v/>
      </c>
      <c r="Y621" s="650">
        <f>VI_Baza_BDKZ!Y24</f>
        <v/>
      </c>
      <c r="Z621" s="650">
        <f>VI_Baza_BDKZ!Z24</f>
        <v/>
      </c>
      <c r="AA621" s="650">
        <f>VI_Baza_BDKZ!AA24</f>
        <v/>
      </c>
      <c r="AB621" s="650">
        <f>VI_Baza_BDKZ!AB24</f>
        <v/>
      </c>
      <c r="AC621" s="613">
        <f>VI_Baza_BDKZ!AC24</f>
        <v/>
      </c>
      <c r="AD621" s="613">
        <f>VI_Baza_BDKZ!AD24</f>
        <v/>
      </c>
      <c r="AE621" s="613">
        <f>VI_Baza_BDKZ!AE24</f>
        <v/>
      </c>
      <c r="AF621" s="613">
        <f>VI_Baza_BDKZ!AF24</f>
        <v/>
      </c>
      <c r="AG621" s="626">
        <f>VI_Baza_BDKZ!AG24</f>
        <v/>
      </c>
      <c r="AH621" s="626">
        <f>VI_Baza_BDKZ!AH24</f>
        <v/>
      </c>
      <c r="AI621" s="626">
        <f>VI_Baza_BDKZ!AI24</f>
        <v/>
      </c>
      <c r="AJ621" s="626">
        <f>VI_Baza_BDKZ!AJ24</f>
        <v/>
      </c>
      <c r="AK621" s="626">
        <f>VI_Baza_BDKZ!AK24</f>
        <v/>
      </c>
      <c r="AL621" s="626">
        <f>VI_Baza_BDKZ!AL24</f>
        <v/>
      </c>
      <c r="AM621" s="626">
        <f>VI_Baza_BDKZ!AM24</f>
        <v/>
      </c>
      <c r="AN621" s="626">
        <f>VI_Baza_BDKZ!AN24</f>
        <v/>
      </c>
      <c r="AO621" s="626">
        <f>VI_Baza_BDKZ!AO24</f>
        <v/>
      </c>
      <c r="AP621" s="369">
        <f>VI_Baza_BDKZ!AP24</f>
        <v/>
      </c>
      <c r="AQ621" s="369">
        <f>VI_Baza_BDKZ!AQ24</f>
        <v/>
      </c>
      <c r="AR621" s="369">
        <f>VI_Baza_BDKZ!AR24</f>
        <v/>
      </c>
      <c r="AS621" s="369">
        <f>VI_Baza_BDKZ!AS24</f>
        <v/>
      </c>
      <c r="AT621" s="370">
        <f>VI_Baza_BDKZ!AT24</f>
        <v/>
      </c>
      <c r="AU621" s="370">
        <f>VI_Baza_BDKZ!AU24</f>
        <v/>
      </c>
      <c r="AV621" s="370">
        <f>VI_Baza_BDKZ!AV24</f>
        <v/>
      </c>
      <c r="AW621" s="370">
        <f>VI_Baza_BDKZ!AW24</f>
        <v/>
      </c>
      <c r="AX621">
        <f>VI_Baza_BDKZ!AX24</f>
        <v/>
      </c>
      <c r="AY621">
        <f>VI_Baza_BDKZ!AY24</f>
        <v/>
      </c>
      <c r="AZ621">
        <f>VI_Baza_BDKZ!AZ24</f>
        <v/>
      </c>
      <c r="BA621">
        <f>VI_Baza_BDKZ!BA24</f>
        <v/>
      </c>
      <c r="BB621">
        <f>VI_Baza_BDKZ!BB24</f>
        <v/>
      </c>
      <c r="BC621">
        <f>VI_Baza_BDKZ!BC24</f>
        <v/>
      </c>
      <c r="BD621">
        <f>VI_Baza_BDKZ!BD24</f>
        <v/>
      </c>
      <c r="BE621">
        <f>VI_Baza_BDKZ!BE24</f>
        <v/>
      </c>
      <c r="BF621">
        <f>VI_Baza_BDKZ!BF24</f>
        <v/>
      </c>
      <c r="BG621">
        <f>VI_Baza_BDKZ!BG24</f>
        <v/>
      </c>
      <c r="BH621">
        <f>VI_Baza_BDKZ!BH24</f>
        <v/>
      </c>
      <c r="BI621">
        <f>VI_Baza_BDKZ!BI24</f>
        <v/>
      </c>
      <c r="BJ621">
        <f>O621</f>
        <v/>
      </c>
      <c r="BK621">
        <f>SUM(AG621:AW621)</f>
        <v/>
      </c>
      <c r="BL621" s="531">
        <f>BJ621-BK621</f>
        <v/>
      </c>
      <c r="BM621" s="201" t="n"/>
    </row>
    <row r="622" hidden="1" outlineLevel="1" s="191">
      <c r="A622">
        <f>VI_Baza_BDKZ!A25</f>
        <v/>
      </c>
      <c r="B622">
        <f>VI_Baza_BDKZ!B25</f>
        <v/>
      </c>
      <c r="C622">
        <f>VI_Baza_BDKZ!C25</f>
        <v/>
      </c>
      <c r="D622">
        <f>VI_Baza_BDKZ!D25</f>
        <v/>
      </c>
      <c r="E622">
        <f>VI_Baza_BDKZ!E25</f>
        <v/>
      </c>
      <c r="F622">
        <f>VI_Baza_BDKZ!F25</f>
        <v/>
      </c>
      <c r="G622">
        <f>VI_Baza_BDKZ!G25</f>
        <v/>
      </c>
      <c r="H622">
        <f>VI_Baza_BDKZ!H25</f>
        <v/>
      </c>
      <c r="I622">
        <f>VI_Baza_BDKZ!I25</f>
        <v/>
      </c>
      <c r="J622">
        <f>VI_Baza_BDKZ!J25</f>
        <v/>
      </c>
      <c r="K622" s="672">
        <f>VI_Baza_BDKZ!K25</f>
        <v/>
      </c>
      <c r="L622" s="672">
        <f>VI_Baza_BDKZ!L25</f>
        <v/>
      </c>
      <c r="M622">
        <f>VI_Baza_BDKZ!M25</f>
        <v/>
      </c>
      <c r="N622">
        <f>VI_Baza_BDKZ!N25</f>
        <v/>
      </c>
      <c r="O622">
        <f>VI_Baza_BDKZ!O25</f>
        <v/>
      </c>
      <c r="P622" s="628">
        <f>VI_Baza_BDKZ!P25</f>
        <v/>
      </c>
      <c r="Q622" s="628">
        <f>VI_Baza_BDKZ!Q25</f>
        <v/>
      </c>
      <c r="R622" s="628">
        <f>VI_Baza_BDKZ!R25</f>
        <v/>
      </c>
      <c r="S622" s="628">
        <f>VI_Baza_BDKZ!S25</f>
        <v/>
      </c>
      <c r="T622" s="628">
        <f>VI_Baza_BDKZ!T25</f>
        <v/>
      </c>
      <c r="U622" s="628">
        <f>VI_Baza_BDKZ!U25</f>
        <v/>
      </c>
      <c r="V622" s="628">
        <f>VI_Baza_BDKZ!V25</f>
        <v/>
      </c>
      <c r="W622" s="628">
        <f>VI_Baza_BDKZ!W25</f>
        <v/>
      </c>
      <c r="X622" s="628">
        <f>VI_Baza_BDKZ!X25</f>
        <v/>
      </c>
      <c r="Y622" s="650">
        <f>VI_Baza_BDKZ!Y25</f>
        <v/>
      </c>
      <c r="Z622" s="650">
        <f>VI_Baza_BDKZ!Z25</f>
        <v/>
      </c>
      <c r="AA622" s="650">
        <f>VI_Baza_BDKZ!AA25</f>
        <v/>
      </c>
      <c r="AB622" s="650">
        <f>VI_Baza_BDKZ!AB25</f>
        <v/>
      </c>
      <c r="AC622" s="613">
        <f>VI_Baza_BDKZ!AC25</f>
        <v/>
      </c>
      <c r="AD622" s="613">
        <f>VI_Baza_BDKZ!AD25</f>
        <v/>
      </c>
      <c r="AE622" s="613">
        <f>VI_Baza_BDKZ!AE25</f>
        <v/>
      </c>
      <c r="AF622" s="613">
        <f>VI_Baza_BDKZ!AF25</f>
        <v/>
      </c>
      <c r="AG622" s="626">
        <f>VI_Baza_BDKZ!AG25</f>
        <v/>
      </c>
      <c r="AH622" s="626">
        <f>VI_Baza_BDKZ!AH25</f>
        <v/>
      </c>
      <c r="AI622" s="626">
        <f>VI_Baza_BDKZ!AI25</f>
        <v/>
      </c>
      <c r="AJ622" s="626">
        <f>VI_Baza_BDKZ!AJ25</f>
        <v/>
      </c>
      <c r="AK622" s="626">
        <f>VI_Baza_BDKZ!AK25</f>
        <v/>
      </c>
      <c r="AL622" s="626">
        <f>VI_Baza_BDKZ!AL25</f>
        <v/>
      </c>
      <c r="AM622" s="626">
        <f>VI_Baza_BDKZ!AM25</f>
        <v/>
      </c>
      <c r="AN622" s="626">
        <f>VI_Baza_BDKZ!AN25</f>
        <v/>
      </c>
      <c r="AO622" s="626">
        <f>VI_Baza_BDKZ!AO25</f>
        <v/>
      </c>
      <c r="AP622" s="369">
        <f>VI_Baza_BDKZ!AP25</f>
        <v/>
      </c>
      <c r="AQ622" s="369">
        <f>VI_Baza_BDKZ!AQ25</f>
        <v/>
      </c>
      <c r="AR622" s="369">
        <f>VI_Baza_BDKZ!AR25</f>
        <v/>
      </c>
      <c r="AS622" s="369">
        <f>VI_Baza_BDKZ!AS25</f>
        <v/>
      </c>
      <c r="AT622" s="370">
        <f>VI_Baza_BDKZ!AT25</f>
        <v/>
      </c>
      <c r="AU622" s="370">
        <f>VI_Baza_BDKZ!AU25</f>
        <v/>
      </c>
      <c r="AV622" s="370">
        <f>VI_Baza_BDKZ!AV25</f>
        <v/>
      </c>
      <c r="AW622" s="370">
        <f>VI_Baza_BDKZ!AW25</f>
        <v/>
      </c>
      <c r="AX622">
        <f>VI_Baza_BDKZ!AX25</f>
        <v/>
      </c>
      <c r="AY622">
        <f>VI_Baza_BDKZ!AY25</f>
        <v/>
      </c>
      <c r="AZ622">
        <f>VI_Baza_BDKZ!AZ25</f>
        <v/>
      </c>
      <c r="BA622">
        <f>VI_Baza_BDKZ!BA25</f>
        <v/>
      </c>
      <c r="BB622">
        <f>VI_Baza_BDKZ!BB25</f>
        <v/>
      </c>
      <c r="BC622">
        <f>VI_Baza_BDKZ!BC25</f>
        <v/>
      </c>
      <c r="BD622">
        <f>VI_Baza_BDKZ!BD25</f>
        <v/>
      </c>
      <c r="BE622">
        <f>VI_Baza_BDKZ!BE25</f>
        <v/>
      </c>
      <c r="BF622">
        <f>VI_Baza_BDKZ!BF25</f>
        <v/>
      </c>
      <c r="BG622">
        <f>VI_Baza_BDKZ!BG25</f>
        <v/>
      </c>
      <c r="BH622">
        <f>VI_Baza_BDKZ!BH25</f>
        <v/>
      </c>
      <c r="BI622">
        <f>VI_Baza_BDKZ!BI25</f>
        <v/>
      </c>
      <c r="BJ622">
        <f>O622</f>
        <v/>
      </c>
      <c r="BK622">
        <f>SUM(AG622:AW622)</f>
        <v/>
      </c>
      <c r="BL622" s="531">
        <f>BJ622-BK622</f>
        <v/>
      </c>
      <c r="BM622" s="201" t="n"/>
    </row>
    <row r="623" hidden="1" outlineLevel="1" s="191">
      <c r="A623">
        <f>VI_Baza_BDKZ!A26</f>
        <v/>
      </c>
      <c r="B623">
        <f>VI_Baza_BDKZ!B26</f>
        <v/>
      </c>
      <c r="C623">
        <f>VI_Baza_BDKZ!C26</f>
        <v/>
      </c>
      <c r="D623">
        <f>VI_Baza_BDKZ!D26</f>
        <v/>
      </c>
      <c r="E623">
        <f>VI_Baza_BDKZ!E26</f>
        <v/>
      </c>
      <c r="F623">
        <f>VI_Baza_BDKZ!F26</f>
        <v/>
      </c>
      <c r="G623">
        <f>VI_Baza_BDKZ!G26</f>
        <v/>
      </c>
      <c r="H623">
        <f>VI_Baza_BDKZ!H26</f>
        <v/>
      </c>
      <c r="I623">
        <f>VI_Baza_BDKZ!I26</f>
        <v/>
      </c>
      <c r="J623">
        <f>VI_Baza_BDKZ!J26</f>
        <v/>
      </c>
      <c r="K623" s="672">
        <f>VI_Baza_BDKZ!K26</f>
        <v/>
      </c>
      <c r="L623" s="672">
        <f>VI_Baza_BDKZ!L26</f>
        <v/>
      </c>
      <c r="M623">
        <f>VI_Baza_BDKZ!M26</f>
        <v/>
      </c>
      <c r="N623">
        <f>VI_Baza_BDKZ!N26</f>
        <v/>
      </c>
      <c r="O623">
        <f>VI_Baza_BDKZ!O26</f>
        <v/>
      </c>
      <c r="P623" s="628">
        <f>VI_Baza_BDKZ!P26</f>
        <v/>
      </c>
      <c r="Q623" s="628">
        <f>VI_Baza_BDKZ!Q26</f>
        <v/>
      </c>
      <c r="R623" s="628">
        <f>VI_Baza_BDKZ!R26</f>
        <v/>
      </c>
      <c r="S623" s="628">
        <f>VI_Baza_BDKZ!S26</f>
        <v/>
      </c>
      <c r="T623" s="628">
        <f>VI_Baza_BDKZ!T26</f>
        <v/>
      </c>
      <c r="U623" s="628">
        <f>VI_Baza_BDKZ!U26</f>
        <v/>
      </c>
      <c r="V623" s="628">
        <f>VI_Baza_BDKZ!V26</f>
        <v/>
      </c>
      <c r="W623" s="628">
        <f>VI_Baza_BDKZ!W26</f>
        <v/>
      </c>
      <c r="X623" s="628">
        <f>VI_Baza_BDKZ!X26</f>
        <v/>
      </c>
      <c r="Y623" s="650">
        <f>VI_Baza_BDKZ!Y26</f>
        <v/>
      </c>
      <c r="Z623" s="650">
        <f>VI_Baza_BDKZ!Z26</f>
        <v/>
      </c>
      <c r="AA623" s="650">
        <f>VI_Baza_BDKZ!AA26</f>
        <v/>
      </c>
      <c r="AB623" s="650">
        <f>VI_Baza_BDKZ!AB26</f>
        <v/>
      </c>
      <c r="AC623" s="613">
        <f>VI_Baza_BDKZ!AC26</f>
        <v/>
      </c>
      <c r="AD623" s="613">
        <f>VI_Baza_BDKZ!AD26</f>
        <v/>
      </c>
      <c r="AE623" s="613">
        <f>VI_Baza_BDKZ!AE26</f>
        <v/>
      </c>
      <c r="AF623" s="613">
        <f>VI_Baza_BDKZ!AF26</f>
        <v/>
      </c>
      <c r="AG623" s="626">
        <f>VI_Baza_BDKZ!AG26</f>
        <v/>
      </c>
      <c r="AH623" s="626">
        <f>VI_Baza_BDKZ!AH26</f>
        <v/>
      </c>
      <c r="AI623" s="626">
        <f>VI_Baza_BDKZ!AI26</f>
        <v/>
      </c>
      <c r="AJ623" s="626">
        <f>VI_Baza_BDKZ!AJ26</f>
        <v/>
      </c>
      <c r="AK623" s="626">
        <f>VI_Baza_BDKZ!AK26</f>
        <v/>
      </c>
      <c r="AL623" s="626">
        <f>VI_Baza_BDKZ!AL26</f>
        <v/>
      </c>
      <c r="AM623" s="626">
        <f>VI_Baza_BDKZ!AM26</f>
        <v/>
      </c>
      <c r="AN623" s="626">
        <f>VI_Baza_BDKZ!AN26</f>
        <v/>
      </c>
      <c r="AO623" s="626">
        <f>VI_Baza_BDKZ!AO26</f>
        <v/>
      </c>
      <c r="AP623" s="369">
        <f>VI_Baza_BDKZ!AP26</f>
        <v/>
      </c>
      <c r="AQ623" s="369">
        <f>VI_Baza_BDKZ!AQ26</f>
        <v/>
      </c>
      <c r="AR623" s="369">
        <f>VI_Baza_BDKZ!AR26</f>
        <v/>
      </c>
      <c r="AS623" s="369">
        <f>VI_Baza_BDKZ!AS26</f>
        <v/>
      </c>
      <c r="AT623" s="370">
        <f>VI_Baza_BDKZ!AT26</f>
        <v/>
      </c>
      <c r="AU623" s="370">
        <f>VI_Baza_BDKZ!AU26</f>
        <v/>
      </c>
      <c r="AV623" s="370">
        <f>VI_Baza_BDKZ!AV26</f>
        <v/>
      </c>
      <c r="AW623" s="370">
        <f>VI_Baza_BDKZ!AW26</f>
        <v/>
      </c>
      <c r="AX623">
        <f>VI_Baza_BDKZ!AX26</f>
        <v/>
      </c>
      <c r="AY623">
        <f>VI_Baza_BDKZ!AY26</f>
        <v/>
      </c>
      <c r="AZ623">
        <f>VI_Baza_BDKZ!AZ26</f>
        <v/>
      </c>
      <c r="BA623">
        <f>VI_Baza_BDKZ!BA26</f>
        <v/>
      </c>
      <c r="BB623">
        <f>VI_Baza_BDKZ!BB26</f>
        <v/>
      </c>
      <c r="BC623">
        <f>VI_Baza_BDKZ!BC26</f>
        <v/>
      </c>
      <c r="BD623">
        <f>VI_Baza_BDKZ!BD26</f>
        <v/>
      </c>
      <c r="BE623">
        <f>VI_Baza_BDKZ!BE26</f>
        <v/>
      </c>
      <c r="BF623">
        <f>VI_Baza_BDKZ!BF26</f>
        <v/>
      </c>
      <c r="BG623">
        <f>VI_Baza_BDKZ!BG26</f>
        <v/>
      </c>
      <c r="BH623">
        <f>VI_Baza_BDKZ!BH26</f>
        <v/>
      </c>
      <c r="BI623">
        <f>VI_Baza_BDKZ!BI26</f>
        <v/>
      </c>
      <c r="BJ623">
        <f>O623</f>
        <v/>
      </c>
      <c r="BK623">
        <f>SUM(AG623:AW623)</f>
        <v/>
      </c>
      <c r="BL623" s="531">
        <f>BJ623-BK623</f>
        <v/>
      </c>
      <c r="BM623" s="201" t="n"/>
    </row>
    <row r="624" hidden="1" outlineLevel="1" s="191">
      <c r="A624">
        <f>VI_Baza_BDKZ!A27</f>
        <v/>
      </c>
      <c r="B624">
        <f>VI_Baza_BDKZ!B27</f>
        <v/>
      </c>
      <c r="C624">
        <f>VI_Baza_BDKZ!C27</f>
        <v/>
      </c>
      <c r="D624">
        <f>VI_Baza_BDKZ!D27</f>
        <v/>
      </c>
      <c r="E624">
        <f>VI_Baza_BDKZ!E27</f>
        <v/>
      </c>
      <c r="F624">
        <f>VI_Baza_BDKZ!F27</f>
        <v/>
      </c>
      <c r="G624">
        <f>VI_Baza_BDKZ!G27</f>
        <v/>
      </c>
      <c r="H624">
        <f>VI_Baza_BDKZ!H27</f>
        <v/>
      </c>
      <c r="I624">
        <f>VI_Baza_BDKZ!I27</f>
        <v/>
      </c>
      <c r="J624">
        <f>VI_Baza_BDKZ!J27</f>
        <v/>
      </c>
      <c r="K624" s="672">
        <f>VI_Baza_BDKZ!K27</f>
        <v/>
      </c>
      <c r="L624" s="672">
        <f>VI_Baza_BDKZ!L27</f>
        <v/>
      </c>
      <c r="M624">
        <f>VI_Baza_BDKZ!M27</f>
        <v/>
      </c>
      <c r="N624">
        <f>VI_Baza_BDKZ!N27</f>
        <v/>
      </c>
      <c r="O624">
        <f>VI_Baza_BDKZ!O27</f>
        <v/>
      </c>
      <c r="P624" s="628">
        <f>VI_Baza_BDKZ!P27</f>
        <v/>
      </c>
      <c r="Q624" s="628">
        <f>VI_Baza_BDKZ!Q27</f>
        <v/>
      </c>
      <c r="R624" s="628">
        <f>VI_Baza_BDKZ!R27</f>
        <v/>
      </c>
      <c r="S624" s="628">
        <f>VI_Baza_BDKZ!S27</f>
        <v/>
      </c>
      <c r="T624" s="628">
        <f>VI_Baza_BDKZ!T27</f>
        <v/>
      </c>
      <c r="U624" s="628">
        <f>VI_Baza_BDKZ!U27</f>
        <v/>
      </c>
      <c r="V624" s="628">
        <f>VI_Baza_BDKZ!V27</f>
        <v/>
      </c>
      <c r="W624" s="628">
        <f>VI_Baza_BDKZ!W27</f>
        <v/>
      </c>
      <c r="X624" s="628">
        <f>VI_Baza_BDKZ!X27</f>
        <v/>
      </c>
      <c r="Y624" s="650">
        <f>VI_Baza_BDKZ!Y27</f>
        <v/>
      </c>
      <c r="Z624" s="650">
        <f>VI_Baza_BDKZ!Z27</f>
        <v/>
      </c>
      <c r="AA624" s="650">
        <f>VI_Baza_BDKZ!AA27</f>
        <v/>
      </c>
      <c r="AB624" s="650">
        <f>VI_Baza_BDKZ!AB27</f>
        <v/>
      </c>
      <c r="AC624" s="613">
        <f>VI_Baza_BDKZ!AC27</f>
        <v/>
      </c>
      <c r="AD624" s="613">
        <f>VI_Baza_BDKZ!AD27</f>
        <v/>
      </c>
      <c r="AE624" s="613">
        <f>VI_Baza_BDKZ!AE27</f>
        <v/>
      </c>
      <c r="AF624" s="613">
        <f>VI_Baza_BDKZ!AF27</f>
        <v/>
      </c>
      <c r="AG624" s="626">
        <f>VI_Baza_BDKZ!AG27</f>
        <v/>
      </c>
      <c r="AH624" s="626">
        <f>VI_Baza_BDKZ!AH27</f>
        <v/>
      </c>
      <c r="AI624" s="626">
        <f>VI_Baza_BDKZ!AI27</f>
        <v/>
      </c>
      <c r="AJ624" s="626">
        <f>VI_Baza_BDKZ!AJ27</f>
        <v/>
      </c>
      <c r="AK624" s="626">
        <f>VI_Baza_BDKZ!AK27</f>
        <v/>
      </c>
      <c r="AL624" s="626">
        <f>VI_Baza_BDKZ!AL27</f>
        <v/>
      </c>
      <c r="AM624" s="626">
        <f>VI_Baza_BDKZ!AM27</f>
        <v/>
      </c>
      <c r="AN624" s="626">
        <f>VI_Baza_BDKZ!AN27</f>
        <v/>
      </c>
      <c r="AO624" s="626">
        <f>VI_Baza_BDKZ!AO27</f>
        <v/>
      </c>
      <c r="AP624" s="369">
        <f>VI_Baza_BDKZ!AP27</f>
        <v/>
      </c>
      <c r="AQ624" s="369">
        <f>VI_Baza_BDKZ!AQ27</f>
        <v/>
      </c>
      <c r="AR624" s="369">
        <f>VI_Baza_BDKZ!AR27</f>
        <v/>
      </c>
      <c r="AS624" s="369">
        <f>VI_Baza_BDKZ!AS27</f>
        <v/>
      </c>
      <c r="AT624" s="370">
        <f>VI_Baza_BDKZ!AT27</f>
        <v/>
      </c>
      <c r="AU624" s="370">
        <f>VI_Baza_BDKZ!AU27</f>
        <v/>
      </c>
      <c r="AV624" s="370">
        <f>VI_Baza_BDKZ!AV27</f>
        <v/>
      </c>
      <c r="AW624" s="370">
        <f>VI_Baza_BDKZ!AW27</f>
        <v/>
      </c>
      <c r="AX624">
        <f>VI_Baza_BDKZ!AX27</f>
        <v/>
      </c>
      <c r="AY624">
        <f>VI_Baza_BDKZ!AY27</f>
        <v/>
      </c>
      <c r="AZ624">
        <f>VI_Baza_BDKZ!AZ27</f>
        <v/>
      </c>
      <c r="BA624">
        <f>VI_Baza_BDKZ!BA27</f>
        <v/>
      </c>
      <c r="BB624">
        <f>VI_Baza_BDKZ!BB27</f>
        <v/>
      </c>
      <c r="BC624">
        <f>VI_Baza_BDKZ!BC27</f>
        <v/>
      </c>
      <c r="BD624">
        <f>VI_Baza_BDKZ!BD27</f>
        <v/>
      </c>
      <c r="BE624">
        <f>VI_Baza_BDKZ!BE27</f>
        <v/>
      </c>
      <c r="BF624">
        <f>VI_Baza_BDKZ!BF27</f>
        <v/>
      </c>
      <c r="BG624">
        <f>VI_Baza_BDKZ!BG27</f>
        <v/>
      </c>
      <c r="BH624">
        <f>VI_Baza_BDKZ!BH27</f>
        <v/>
      </c>
      <c r="BI624">
        <f>VI_Baza_BDKZ!BI27</f>
        <v/>
      </c>
      <c r="BJ624">
        <f>O624</f>
        <v/>
      </c>
      <c r="BK624">
        <f>SUM(AG624:AW624)</f>
        <v/>
      </c>
      <c r="BL624" s="531">
        <f>BJ624-BK624</f>
        <v/>
      </c>
      <c r="BM624" s="201" t="n"/>
    </row>
    <row r="625" hidden="1" outlineLevel="1" s="191">
      <c r="A625">
        <f>VI_Baza_BDKZ!A28</f>
        <v/>
      </c>
      <c r="B625">
        <f>VI_Baza_BDKZ!B28</f>
        <v/>
      </c>
      <c r="C625">
        <f>VI_Baza_BDKZ!C28</f>
        <v/>
      </c>
      <c r="D625">
        <f>VI_Baza_BDKZ!D28</f>
        <v/>
      </c>
      <c r="E625">
        <f>VI_Baza_BDKZ!E28</f>
        <v/>
      </c>
      <c r="F625">
        <f>VI_Baza_BDKZ!F28</f>
        <v/>
      </c>
      <c r="G625">
        <f>VI_Baza_BDKZ!G28</f>
        <v/>
      </c>
      <c r="H625">
        <f>VI_Baza_BDKZ!H28</f>
        <v/>
      </c>
      <c r="I625">
        <f>VI_Baza_BDKZ!I28</f>
        <v/>
      </c>
      <c r="J625">
        <f>VI_Baza_BDKZ!J28</f>
        <v/>
      </c>
      <c r="K625" s="672">
        <f>VI_Baza_BDKZ!K28</f>
        <v/>
      </c>
      <c r="L625" s="672">
        <f>VI_Baza_BDKZ!L28</f>
        <v/>
      </c>
      <c r="M625">
        <f>VI_Baza_BDKZ!M28</f>
        <v/>
      </c>
      <c r="N625">
        <f>VI_Baza_BDKZ!N28</f>
        <v/>
      </c>
      <c r="O625">
        <f>VI_Baza_BDKZ!O28</f>
        <v/>
      </c>
      <c r="P625" s="628">
        <f>VI_Baza_BDKZ!P28</f>
        <v/>
      </c>
      <c r="Q625" s="628">
        <f>VI_Baza_BDKZ!Q28</f>
        <v/>
      </c>
      <c r="R625" s="628">
        <f>VI_Baza_BDKZ!R28</f>
        <v/>
      </c>
      <c r="S625" s="628">
        <f>VI_Baza_BDKZ!S28</f>
        <v/>
      </c>
      <c r="T625" s="628">
        <f>VI_Baza_BDKZ!T28</f>
        <v/>
      </c>
      <c r="U625" s="628">
        <f>VI_Baza_BDKZ!U28</f>
        <v/>
      </c>
      <c r="V625" s="628">
        <f>VI_Baza_BDKZ!V28</f>
        <v/>
      </c>
      <c r="W625" s="628">
        <f>VI_Baza_BDKZ!W28</f>
        <v/>
      </c>
      <c r="X625" s="628">
        <f>VI_Baza_BDKZ!X28</f>
        <v/>
      </c>
      <c r="Y625" s="650">
        <f>VI_Baza_BDKZ!Y28</f>
        <v/>
      </c>
      <c r="Z625" s="650">
        <f>VI_Baza_BDKZ!Z28</f>
        <v/>
      </c>
      <c r="AA625" s="650">
        <f>VI_Baza_BDKZ!AA28</f>
        <v/>
      </c>
      <c r="AB625" s="650">
        <f>VI_Baza_BDKZ!AB28</f>
        <v/>
      </c>
      <c r="AC625" s="613">
        <f>VI_Baza_BDKZ!AC28</f>
        <v/>
      </c>
      <c r="AD625" s="613">
        <f>VI_Baza_BDKZ!AD28</f>
        <v/>
      </c>
      <c r="AE625" s="613">
        <f>VI_Baza_BDKZ!AE28</f>
        <v/>
      </c>
      <c r="AF625" s="613">
        <f>VI_Baza_BDKZ!AF28</f>
        <v/>
      </c>
      <c r="AG625" s="626">
        <f>VI_Baza_BDKZ!AG28</f>
        <v/>
      </c>
      <c r="AH625" s="626">
        <f>VI_Baza_BDKZ!AH28</f>
        <v/>
      </c>
      <c r="AI625" s="626">
        <f>VI_Baza_BDKZ!AI28</f>
        <v/>
      </c>
      <c r="AJ625" s="626">
        <f>VI_Baza_BDKZ!AJ28</f>
        <v/>
      </c>
      <c r="AK625" s="626">
        <f>VI_Baza_BDKZ!AK28</f>
        <v/>
      </c>
      <c r="AL625" s="626">
        <f>VI_Baza_BDKZ!AL28</f>
        <v/>
      </c>
      <c r="AM625" s="626">
        <f>VI_Baza_BDKZ!AM28</f>
        <v/>
      </c>
      <c r="AN625" s="626">
        <f>VI_Baza_BDKZ!AN28</f>
        <v/>
      </c>
      <c r="AO625" s="626">
        <f>VI_Baza_BDKZ!AO28</f>
        <v/>
      </c>
      <c r="AP625" s="369">
        <f>VI_Baza_BDKZ!AP28</f>
        <v/>
      </c>
      <c r="AQ625" s="369">
        <f>VI_Baza_BDKZ!AQ28</f>
        <v/>
      </c>
      <c r="AR625" s="369">
        <f>VI_Baza_BDKZ!AR28</f>
        <v/>
      </c>
      <c r="AS625" s="369">
        <f>VI_Baza_BDKZ!AS28</f>
        <v/>
      </c>
      <c r="AT625" s="370">
        <f>VI_Baza_BDKZ!AT28</f>
        <v/>
      </c>
      <c r="AU625" s="370">
        <f>VI_Baza_BDKZ!AU28</f>
        <v/>
      </c>
      <c r="AV625" s="370">
        <f>VI_Baza_BDKZ!AV28</f>
        <v/>
      </c>
      <c r="AW625" s="370">
        <f>VI_Baza_BDKZ!AW28</f>
        <v/>
      </c>
      <c r="AX625">
        <f>VI_Baza_BDKZ!AX28</f>
        <v/>
      </c>
      <c r="AY625">
        <f>VI_Baza_BDKZ!AY28</f>
        <v/>
      </c>
      <c r="AZ625">
        <f>VI_Baza_BDKZ!AZ28</f>
        <v/>
      </c>
      <c r="BA625">
        <f>VI_Baza_BDKZ!BA28</f>
        <v/>
      </c>
      <c r="BB625">
        <f>VI_Baza_BDKZ!BB28</f>
        <v/>
      </c>
      <c r="BC625">
        <f>VI_Baza_BDKZ!BC28</f>
        <v/>
      </c>
      <c r="BD625">
        <f>VI_Baza_BDKZ!BD28</f>
        <v/>
      </c>
      <c r="BE625">
        <f>VI_Baza_BDKZ!BE28</f>
        <v/>
      </c>
      <c r="BF625">
        <f>VI_Baza_BDKZ!BF28</f>
        <v/>
      </c>
      <c r="BG625">
        <f>VI_Baza_BDKZ!BG28</f>
        <v/>
      </c>
      <c r="BH625">
        <f>VI_Baza_BDKZ!BH28</f>
        <v/>
      </c>
      <c r="BI625">
        <f>VI_Baza_BDKZ!BI28</f>
        <v/>
      </c>
      <c r="BJ625">
        <f>O625</f>
        <v/>
      </c>
      <c r="BK625">
        <f>SUM(AG625:AW625)</f>
        <v/>
      </c>
      <c r="BL625" s="531">
        <f>BJ625-BK625</f>
        <v/>
      </c>
      <c r="BM625" s="201" t="n"/>
    </row>
    <row r="626" hidden="1" outlineLevel="1" s="191">
      <c r="A626">
        <f>VI_Baza_BDKZ!A29</f>
        <v/>
      </c>
      <c r="B626">
        <f>VI_Baza_BDKZ!B29</f>
        <v/>
      </c>
      <c r="C626">
        <f>VI_Baza_BDKZ!C29</f>
        <v/>
      </c>
      <c r="D626">
        <f>VI_Baza_BDKZ!D29</f>
        <v/>
      </c>
      <c r="E626">
        <f>VI_Baza_BDKZ!E29</f>
        <v/>
      </c>
      <c r="F626">
        <f>VI_Baza_BDKZ!F29</f>
        <v/>
      </c>
      <c r="G626">
        <f>VI_Baza_BDKZ!G29</f>
        <v/>
      </c>
      <c r="H626">
        <f>VI_Baza_BDKZ!H29</f>
        <v/>
      </c>
      <c r="I626">
        <f>VI_Baza_BDKZ!I29</f>
        <v/>
      </c>
      <c r="J626">
        <f>VI_Baza_BDKZ!J29</f>
        <v/>
      </c>
      <c r="K626" s="672">
        <f>VI_Baza_BDKZ!K29</f>
        <v/>
      </c>
      <c r="L626" s="672">
        <f>VI_Baza_BDKZ!L29</f>
        <v/>
      </c>
      <c r="M626">
        <f>VI_Baza_BDKZ!M29</f>
        <v/>
      </c>
      <c r="N626">
        <f>VI_Baza_BDKZ!N29</f>
        <v/>
      </c>
      <c r="O626">
        <f>VI_Baza_BDKZ!O29</f>
        <v/>
      </c>
      <c r="P626" s="628">
        <f>VI_Baza_BDKZ!P29</f>
        <v/>
      </c>
      <c r="Q626" s="628">
        <f>VI_Baza_BDKZ!Q29</f>
        <v/>
      </c>
      <c r="R626" s="628">
        <f>VI_Baza_BDKZ!R29</f>
        <v/>
      </c>
      <c r="S626" s="628">
        <f>VI_Baza_BDKZ!S29</f>
        <v/>
      </c>
      <c r="T626" s="628">
        <f>VI_Baza_BDKZ!T29</f>
        <v/>
      </c>
      <c r="U626" s="628">
        <f>VI_Baza_BDKZ!U29</f>
        <v/>
      </c>
      <c r="V626" s="628">
        <f>VI_Baza_BDKZ!V29</f>
        <v/>
      </c>
      <c r="W626" s="628">
        <f>VI_Baza_BDKZ!W29</f>
        <v/>
      </c>
      <c r="X626" s="628">
        <f>VI_Baza_BDKZ!X29</f>
        <v/>
      </c>
      <c r="Y626" s="650">
        <f>VI_Baza_BDKZ!Y29</f>
        <v/>
      </c>
      <c r="Z626" s="650">
        <f>VI_Baza_BDKZ!Z29</f>
        <v/>
      </c>
      <c r="AA626" s="650">
        <f>VI_Baza_BDKZ!AA29</f>
        <v/>
      </c>
      <c r="AB626" s="650">
        <f>VI_Baza_BDKZ!AB29</f>
        <v/>
      </c>
      <c r="AC626" s="613">
        <f>VI_Baza_BDKZ!AC29</f>
        <v/>
      </c>
      <c r="AD626" s="613">
        <f>VI_Baza_BDKZ!AD29</f>
        <v/>
      </c>
      <c r="AE626" s="613">
        <f>VI_Baza_BDKZ!AE29</f>
        <v/>
      </c>
      <c r="AF626" s="613">
        <f>VI_Baza_BDKZ!AF29</f>
        <v/>
      </c>
      <c r="AG626" s="626">
        <f>VI_Baza_BDKZ!AG29</f>
        <v/>
      </c>
      <c r="AH626" s="626">
        <f>VI_Baza_BDKZ!AH29</f>
        <v/>
      </c>
      <c r="AI626" s="626">
        <f>VI_Baza_BDKZ!AI29</f>
        <v/>
      </c>
      <c r="AJ626" s="626">
        <f>VI_Baza_BDKZ!AJ29</f>
        <v/>
      </c>
      <c r="AK626" s="626">
        <f>VI_Baza_BDKZ!AK29</f>
        <v/>
      </c>
      <c r="AL626" s="626">
        <f>VI_Baza_BDKZ!AL29</f>
        <v/>
      </c>
      <c r="AM626" s="626">
        <f>VI_Baza_BDKZ!AM29</f>
        <v/>
      </c>
      <c r="AN626" s="626">
        <f>VI_Baza_BDKZ!AN29</f>
        <v/>
      </c>
      <c r="AO626" s="626">
        <f>VI_Baza_BDKZ!AO29</f>
        <v/>
      </c>
      <c r="AP626" s="369">
        <f>VI_Baza_BDKZ!AP29</f>
        <v/>
      </c>
      <c r="AQ626" s="369">
        <f>VI_Baza_BDKZ!AQ29</f>
        <v/>
      </c>
      <c r="AR626" s="369">
        <f>VI_Baza_BDKZ!AR29</f>
        <v/>
      </c>
      <c r="AS626" s="369">
        <f>VI_Baza_BDKZ!AS29</f>
        <v/>
      </c>
      <c r="AT626" s="370">
        <f>VI_Baza_BDKZ!AT29</f>
        <v/>
      </c>
      <c r="AU626" s="370">
        <f>VI_Baza_BDKZ!AU29</f>
        <v/>
      </c>
      <c r="AV626" s="370">
        <f>VI_Baza_BDKZ!AV29</f>
        <v/>
      </c>
      <c r="AW626" s="370">
        <f>VI_Baza_BDKZ!AW29</f>
        <v/>
      </c>
      <c r="AX626">
        <f>VI_Baza_BDKZ!AX29</f>
        <v/>
      </c>
      <c r="AY626">
        <f>VI_Baza_BDKZ!AY29</f>
        <v/>
      </c>
      <c r="AZ626">
        <f>VI_Baza_BDKZ!AZ29</f>
        <v/>
      </c>
      <c r="BA626">
        <f>VI_Baza_BDKZ!BA29</f>
        <v/>
      </c>
      <c r="BB626">
        <f>VI_Baza_BDKZ!BB29</f>
        <v/>
      </c>
      <c r="BC626">
        <f>VI_Baza_BDKZ!BC29</f>
        <v/>
      </c>
      <c r="BD626">
        <f>VI_Baza_BDKZ!BD29</f>
        <v/>
      </c>
      <c r="BE626">
        <f>VI_Baza_BDKZ!BE29</f>
        <v/>
      </c>
      <c r="BF626">
        <f>VI_Baza_BDKZ!BF29</f>
        <v/>
      </c>
      <c r="BG626">
        <f>VI_Baza_BDKZ!BG29</f>
        <v/>
      </c>
      <c r="BH626">
        <f>VI_Baza_BDKZ!BH29</f>
        <v/>
      </c>
      <c r="BI626">
        <f>VI_Baza_BDKZ!BI29</f>
        <v/>
      </c>
      <c r="BJ626">
        <f>O626</f>
        <v/>
      </c>
      <c r="BK626">
        <f>SUM(AG626:AW626)</f>
        <v/>
      </c>
      <c r="BL626" s="531">
        <f>BJ626-BK626</f>
        <v/>
      </c>
      <c r="BM626" s="201" t="n"/>
    </row>
    <row r="627" hidden="1" outlineLevel="1" s="191">
      <c r="P627" s="628" t="n"/>
      <c r="Q627" s="628" t="n"/>
      <c r="R627" s="628" t="n"/>
      <c r="S627" s="628" t="n"/>
      <c r="T627" s="628" t="n"/>
      <c r="U627" s="628" t="n"/>
      <c r="V627" s="628" t="n"/>
      <c r="W627" s="628" t="n"/>
      <c r="X627" s="628" t="n"/>
      <c r="Y627" s="650" t="n"/>
      <c r="Z627" s="650" t="n"/>
      <c r="AA627" s="650" t="n"/>
      <c r="AB627" s="650" t="n"/>
      <c r="AC627" s="613" t="n"/>
      <c r="AD627" s="613" t="n"/>
      <c r="AE627" s="613" t="n"/>
      <c r="AF627" s="613" t="n"/>
      <c r="AG627" s="626" t="n"/>
      <c r="AH627" s="626" t="n"/>
      <c r="AI627" s="626" t="n"/>
      <c r="AJ627" s="626" t="n"/>
      <c r="AK627" s="626" t="n"/>
      <c r="AL627" s="626" t="n"/>
      <c r="AM627" s="626" t="n"/>
      <c r="AN627" s="626" t="n"/>
      <c r="AO627" s="626" t="n"/>
      <c r="AP627" s="369" t="n"/>
      <c r="AQ627" s="369" t="n"/>
      <c r="AR627" s="369" t="n"/>
      <c r="AS627" s="369" t="n"/>
      <c r="AT627" s="370" t="n"/>
      <c r="AU627" s="370" t="n"/>
      <c r="AV627" s="370" t="n"/>
      <c r="AW627" s="370" t="n"/>
      <c r="BJ627">
        <f>O627</f>
        <v/>
      </c>
      <c r="BK627">
        <f>SUM(AG627:AW627)</f>
        <v/>
      </c>
      <c r="BL627" s="531">
        <f>BJ627-BK627</f>
        <v/>
      </c>
      <c r="BM627" s="201" t="n"/>
    </row>
    <row r="628" hidden="1" outlineLevel="1" s="191">
      <c r="P628" s="628" t="n"/>
      <c r="Q628" s="628" t="n"/>
      <c r="R628" s="628" t="n"/>
      <c r="S628" s="628" t="n"/>
      <c r="T628" s="628" t="n"/>
      <c r="U628" s="628" t="n"/>
      <c r="V628" s="628" t="n"/>
      <c r="W628" s="628" t="n"/>
      <c r="X628" s="628" t="n"/>
      <c r="Y628" s="650" t="n"/>
      <c r="Z628" s="650" t="n"/>
      <c r="AA628" s="650" t="n"/>
      <c r="AB628" s="650" t="n"/>
      <c r="AC628" s="613" t="n"/>
      <c r="AD628" s="613" t="n"/>
      <c r="AE628" s="613" t="n"/>
      <c r="AF628" s="613" t="n"/>
      <c r="AG628" s="626" t="n"/>
      <c r="AH628" s="626" t="n"/>
      <c r="AI628" s="626" t="n"/>
      <c r="AJ628" s="626" t="n"/>
      <c r="AK628" s="626" t="n"/>
      <c r="AL628" s="626" t="n"/>
      <c r="AM628" s="626" t="n"/>
      <c r="AN628" s="626" t="n"/>
      <c r="AO628" s="626" t="n"/>
      <c r="AP628" s="369" t="n"/>
      <c r="AQ628" s="369" t="n"/>
      <c r="AR628" s="369" t="n"/>
      <c r="AS628" s="369" t="n"/>
      <c r="AT628" s="370" t="n"/>
      <c r="AU628" s="370" t="n"/>
      <c r="AV628" s="370" t="n"/>
      <c r="AW628" s="370" t="n"/>
      <c r="BJ628">
        <f>O628</f>
        <v/>
      </c>
      <c r="BK628">
        <f>SUM(AG628:AW628)</f>
        <v/>
      </c>
      <c r="BL628" s="531">
        <f>BJ628-BK628</f>
        <v/>
      </c>
      <c r="BM628" s="201" t="n"/>
    </row>
    <row r="629" hidden="1" outlineLevel="1" s="191">
      <c r="P629" s="628" t="n"/>
      <c r="Q629" s="628" t="n"/>
      <c r="R629" s="628" t="n"/>
      <c r="S629" s="628" t="n"/>
      <c r="T629" s="628" t="n"/>
      <c r="U629" s="628" t="n"/>
      <c r="V629" s="628" t="n"/>
      <c r="W629" s="628" t="n"/>
      <c r="X629" s="628" t="n"/>
      <c r="Y629" s="650" t="n"/>
      <c r="Z629" s="650" t="n"/>
      <c r="AA629" s="650" t="n"/>
      <c r="AB629" s="650" t="n"/>
      <c r="AC629" s="613" t="n"/>
      <c r="AD629" s="613" t="n"/>
      <c r="AE629" s="613" t="n"/>
      <c r="AF629" s="613" t="n"/>
      <c r="AG629" s="626" t="n"/>
      <c r="AH629" s="626" t="n"/>
      <c r="AI629" s="626" t="n"/>
      <c r="AJ629" s="626" t="n"/>
      <c r="AK629" s="626" t="n"/>
      <c r="AL629" s="626" t="n"/>
      <c r="AM629" s="626" t="n"/>
      <c r="AN629" s="626" t="n"/>
      <c r="AO629" s="626" t="n"/>
      <c r="AP629" s="369" t="n"/>
      <c r="AQ629" s="369" t="n"/>
      <c r="AR629" s="369" t="n"/>
      <c r="AS629" s="369" t="n"/>
      <c r="AT629" s="370" t="n"/>
      <c r="AU629" s="370" t="n"/>
      <c r="AV629" s="370" t="n"/>
      <c r="AW629" s="370" t="n"/>
      <c r="BJ629">
        <f>O629</f>
        <v/>
      </c>
      <c r="BK629">
        <f>SUM(AG629:AW629)</f>
        <v/>
      </c>
      <c r="BL629" s="531">
        <f>BJ629-BK629</f>
        <v/>
      </c>
      <c r="BM629" s="201" t="n"/>
    </row>
    <row r="630" hidden="1" outlineLevel="1" s="191">
      <c r="P630" s="628" t="n"/>
      <c r="Q630" s="628" t="n"/>
      <c r="R630" s="628" t="n"/>
      <c r="S630" s="628" t="n"/>
      <c r="T630" s="628" t="n"/>
      <c r="U630" s="628" t="n"/>
      <c r="V630" s="628" t="n"/>
      <c r="W630" s="628" t="n"/>
      <c r="X630" s="628" t="n"/>
      <c r="Y630" s="650" t="n"/>
      <c r="Z630" s="650" t="n"/>
      <c r="AA630" s="650" t="n"/>
      <c r="AB630" s="650" t="n"/>
      <c r="AC630" s="613" t="n"/>
      <c r="AD630" s="613" t="n"/>
      <c r="AE630" s="613" t="n"/>
      <c r="AF630" s="613" t="n"/>
      <c r="AG630" s="626" t="n"/>
      <c r="AH630" s="626" t="n"/>
      <c r="AI630" s="626" t="n"/>
      <c r="AJ630" s="626" t="n"/>
      <c r="AK630" s="626" t="n"/>
      <c r="AL630" s="626" t="n"/>
      <c r="AM630" s="626" t="n"/>
      <c r="AN630" s="626" t="n"/>
      <c r="AO630" s="626" t="n"/>
      <c r="AP630" s="369" t="n"/>
      <c r="AQ630" s="369" t="n"/>
      <c r="AR630" s="369" t="n"/>
      <c r="AS630" s="369" t="n"/>
      <c r="AT630" s="370" t="n"/>
      <c r="AU630" s="370" t="n"/>
      <c r="AV630" s="370" t="n"/>
      <c r="AW630" s="370" t="n"/>
      <c r="BJ630">
        <f>O630</f>
        <v/>
      </c>
      <c r="BK630">
        <f>SUM(AG630:AW630)</f>
        <v/>
      </c>
      <c r="BL630" s="531">
        <f>BJ630-BK630</f>
        <v/>
      </c>
      <c r="BM630" s="201" t="n"/>
    </row>
    <row r="631" hidden="1" outlineLevel="1" s="191">
      <c r="P631" s="628" t="n"/>
      <c r="Q631" s="628" t="n"/>
      <c r="R631" s="628" t="n"/>
      <c r="S631" s="628" t="n"/>
      <c r="T631" s="628" t="n"/>
      <c r="U631" s="628" t="n"/>
      <c r="V631" s="628" t="n"/>
      <c r="W631" s="628" t="n"/>
      <c r="X631" s="628" t="n"/>
      <c r="Y631" s="650" t="n"/>
      <c r="Z631" s="650" t="n"/>
      <c r="AA631" s="650" t="n"/>
      <c r="AB631" s="650" t="n"/>
      <c r="AC631" s="613" t="n"/>
      <c r="AD631" s="613" t="n"/>
      <c r="AE631" s="613" t="n"/>
      <c r="AF631" s="613" t="n"/>
      <c r="AG631" s="626" t="n"/>
      <c r="AH631" s="626" t="n"/>
      <c r="AI631" s="626" t="n"/>
      <c r="AJ631" s="626" t="n"/>
      <c r="AK631" s="626" t="n"/>
      <c r="AL631" s="626" t="n"/>
      <c r="AM631" s="626" t="n"/>
      <c r="AN631" s="626" t="n"/>
      <c r="AO631" s="626" t="n"/>
      <c r="AP631" s="369" t="n"/>
      <c r="AQ631" s="369" t="n"/>
      <c r="AR631" s="369" t="n"/>
      <c r="AS631" s="369" t="n"/>
      <c r="AT631" s="370" t="n"/>
      <c r="AU631" s="370" t="n"/>
      <c r="AV631" s="370" t="n"/>
      <c r="AW631" s="370" t="n"/>
      <c r="BJ631">
        <f>O631</f>
        <v/>
      </c>
      <c r="BK631">
        <f>SUM(AG631:AW631)</f>
        <v/>
      </c>
      <c r="BL631" s="531">
        <f>BJ631-BK631</f>
        <v/>
      </c>
      <c r="BM631" s="201" t="n"/>
    </row>
    <row r="632" hidden="1" outlineLevel="1" s="191">
      <c r="P632" s="628" t="n"/>
      <c r="Q632" s="628" t="n"/>
      <c r="R632" s="628" t="n"/>
      <c r="S632" s="628" t="n"/>
      <c r="T632" s="628" t="n"/>
      <c r="U632" s="628" t="n"/>
      <c r="V632" s="628" t="n"/>
      <c r="W632" s="628" t="n"/>
      <c r="X632" s="628" t="n"/>
      <c r="Y632" s="650" t="n"/>
      <c r="Z632" s="650" t="n"/>
      <c r="AA632" s="650" t="n"/>
      <c r="AB632" s="650" t="n"/>
      <c r="AC632" s="613" t="n"/>
      <c r="AD632" s="613" t="n"/>
      <c r="AE632" s="613" t="n"/>
      <c r="AF632" s="613" t="n"/>
      <c r="AG632" s="626" t="n"/>
      <c r="AH632" s="626" t="n"/>
      <c r="AI632" s="626" t="n"/>
      <c r="AJ632" s="626" t="n"/>
      <c r="AK632" s="626" t="n"/>
      <c r="AL632" s="626" t="n"/>
      <c r="AM632" s="626" t="n"/>
      <c r="AN632" s="626" t="n"/>
      <c r="AO632" s="626" t="n"/>
      <c r="AP632" s="369" t="n"/>
      <c r="AQ632" s="369" t="n"/>
      <c r="AR632" s="369" t="n"/>
      <c r="AS632" s="369" t="n"/>
      <c r="AT632" s="370" t="n"/>
      <c r="AU632" s="370" t="n"/>
      <c r="AV632" s="370" t="n"/>
      <c r="AW632" s="370" t="n"/>
      <c r="BJ632">
        <f>O632</f>
        <v/>
      </c>
      <c r="BK632">
        <f>SUM(AG632:AW632)</f>
        <v/>
      </c>
      <c r="BL632" s="531">
        <f>BJ632-BK632</f>
        <v/>
      </c>
      <c r="BM632" s="201" t="n"/>
    </row>
    <row r="633" hidden="1" outlineLevel="1" s="191">
      <c r="P633" s="628" t="n"/>
      <c r="Q633" s="628" t="n"/>
      <c r="R633" s="628" t="n"/>
      <c r="S633" s="628" t="n"/>
      <c r="T633" s="628" t="n"/>
      <c r="U633" s="628" t="n"/>
      <c r="V633" s="628" t="n"/>
      <c r="W633" s="628" t="n"/>
      <c r="X633" s="628" t="n"/>
      <c r="Y633" s="650" t="n"/>
      <c r="Z633" s="650" t="n"/>
      <c r="AA633" s="650" t="n"/>
      <c r="AB633" s="650" t="n"/>
      <c r="AC633" s="613" t="n"/>
      <c r="AD633" s="613" t="n"/>
      <c r="AE633" s="613" t="n"/>
      <c r="AF633" s="613" t="n"/>
      <c r="AG633" s="626" t="n"/>
      <c r="AH633" s="626" t="n"/>
      <c r="AI633" s="626" t="n"/>
      <c r="AJ633" s="626" t="n"/>
      <c r="AK633" s="626" t="n"/>
      <c r="AL633" s="626" t="n"/>
      <c r="AM633" s="626" t="n"/>
      <c r="AN633" s="626" t="n"/>
      <c r="AO633" s="626" t="n"/>
      <c r="AP633" s="369" t="n"/>
      <c r="AQ633" s="369" t="n"/>
      <c r="AR633" s="369" t="n"/>
      <c r="AS633" s="369" t="n"/>
      <c r="AT633" s="370" t="n"/>
      <c r="AU633" s="370" t="n"/>
      <c r="AV633" s="370" t="n"/>
      <c r="AW633" s="370" t="n"/>
      <c r="BJ633">
        <f>O633</f>
        <v/>
      </c>
      <c r="BK633">
        <f>SUM(AG633:AW633)</f>
        <v/>
      </c>
      <c r="BL633" s="531">
        <f>BJ633-BK633</f>
        <v/>
      </c>
      <c r="BM633" s="201" t="n"/>
    </row>
    <row r="634" hidden="1" outlineLevel="1" s="191">
      <c r="P634" s="628" t="n"/>
      <c r="Q634" s="628" t="n"/>
      <c r="R634" s="628" t="n"/>
      <c r="S634" s="628" t="n"/>
      <c r="T634" s="628" t="n"/>
      <c r="U634" s="628" t="n"/>
      <c r="V634" s="628" t="n"/>
      <c r="W634" s="628" t="n"/>
      <c r="X634" s="628" t="n"/>
      <c r="Y634" s="650" t="n"/>
      <c r="Z634" s="650" t="n"/>
      <c r="AA634" s="650" t="n"/>
      <c r="AB634" s="650" t="n"/>
      <c r="AC634" s="613" t="n"/>
      <c r="AD634" s="613" t="n"/>
      <c r="AE634" s="613" t="n"/>
      <c r="AF634" s="613" t="n"/>
      <c r="AG634" s="626" t="n"/>
      <c r="AH634" s="626" t="n"/>
      <c r="AI634" s="626" t="n"/>
      <c r="AJ634" s="626" t="n"/>
      <c r="AK634" s="626" t="n"/>
      <c r="AL634" s="626" t="n"/>
      <c r="AM634" s="626" t="n"/>
      <c r="AN634" s="626" t="n"/>
      <c r="AO634" s="626" t="n"/>
      <c r="AP634" s="369" t="n"/>
      <c r="AQ634" s="369" t="n"/>
      <c r="AR634" s="369" t="n"/>
      <c r="AS634" s="369" t="n"/>
      <c r="AT634" s="370" t="n"/>
      <c r="AU634" s="370" t="n"/>
      <c r="AV634" s="370" t="n"/>
      <c r="AW634" s="370" t="n"/>
      <c r="BJ634">
        <f>O634</f>
        <v/>
      </c>
      <c r="BK634">
        <f>SUM(AG634:AW634)</f>
        <v/>
      </c>
      <c r="BL634" s="531">
        <f>BJ634-BK634</f>
        <v/>
      </c>
      <c r="BM634" s="201" t="n"/>
    </row>
    <row r="635" hidden="1" outlineLevel="1" s="191">
      <c r="P635" s="628" t="n"/>
      <c r="Q635" s="628" t="n"/>
      <c r="R635" s="628" t="n"/>
      <c r="S635" s="628" t="n"/>
      <c r="T635" s="628" t="n"/>
      <c r="U635" s="628" t="n"/>
      <c r="V635" s="628" t="n"/>
      <c r="W635" s="628" t="n"/>
      <c r="X635" s="628" t="n"/>
      <c r="Y635" s="650" t="n"/>
      <c r="Z635" s="650" t="n"/>
      <c r="AA635" s="650" t="n"/>
      <c r="AB635" s="650" t="n"/>
      <c r="AC635" s="613" t="n"/>
      <c r="AD635" s="613" t="n"/>
      <c r="AE635" s="613" t="n"/>
      <c r="AF635" s="613" t="n"/>
      <c r="AG635" s="626" t="n"/>
      <c r="AH635" s="626" t="n"/>
      <c r="AI635" s="626" t="n"/>
      <c r="AJ635" s="626" t="n"/>
      <c r="AK635" s="626" t="n"/>
      <c r="AL635" s="626" t="n"/>
      <c r="AM635" s="626" t="n"/>
      <c r="AN635" s="626" t="n"/>
      <c r="AO635" s="626" t="n"/>
      <c r="AP635" s="369" t="n"/>
      <c r="AQ635" s="369" t="n"/>
      <c r="AR635" s="369" t="n"/>
      <c r="AS635" s="369" t="n"/>
      <c r="AT635" s="370" t="n"/>
      <c r="AU635" s="370" t="n"/>
      <c r="AV635" s="370" t="n"/>
      <c r="AW635" s="370" t="n"/>
      <c r="BJ635">
        <f>O635</f>
        <v/>
      </c>
      <c r="BK635">
        <f>SUM(AG635:AW635)</f>
        <v/>
      </c>
      <c r="BL635" s="531">
        <f>BJ635-BK635</f>
        <v/>
      </c>
      <c r="BM635" s="201" t="n"/>
    </row>
    <row r="636" hidden="1" outlineLevel="1" s="191">
      <c r="P636" s="628" t="n"/>
      <c r="Q636" s="628" t="n"/>
      <c r="R636" s="628" t="n"/>
      <c r="S636" s="628" t="n"/>
      <c r="T636" s="628" t="n"/>
      <c r="U636" s="628" t="n"/>
      <c r="V636" s="628" t="n"/>
      <c r="W636" s="628" t="n"/>
      <c r="X636" s="628" t="n"/>
      <c r="Y636" s="650" t="n"/>
      <c r="Z636" s="650" t="n"/>
      <c r="AA636" s="650" t="n"/>
      <c r="AB636" s="650" t="n"/>
      <c r="AC636" s="613" t="n"/>
      <c r="AD636" s="613" t="n"/>
      <c r="AE636" s="613" t="n"/>
      <c r="AF636" s="613" t="n"/>
      <c r="AG636" s="626" t="n"/>
      <c r="AH636" s="626" t="n"/>
      <c r="AI636" s="626" t="n"/>
      <c r="AJ636" s="626" t="n"/>
      <c r="AK636" s="626" t="n"/>
      <c r="AL636" s="626" t="n"/>
      <c r="AM636" s="626" t="n"/>
      <c r="AN636" s="626" t="n"/>
      <c r="AO636" s="626" t="n"/>
      <c r="AP636" s="369" t="n"/>
      <c r="AQ636" s="369" t="n"/>
      <c r="AR636" s="369" t="n"/>
      <c r="AS636" s="369" t="n"/>
      <c r="AT636" s="370" t="n"/>
      <c r="AU636" s="370" t="n"/>
      <c r="AV636" s="370" t="n"/>
      <c r="AW636" s="370" t="n"/>
      <c r="BJ636">
        <f>O636</f>
        <v/>
      </c>
      <c r="BK636">
        <f>SUM(AG636:AW636)</f>
        <v/>
      </c>
      <c r="BL636" s="531">
        <f>BJ636-BK636</f>
        <v/>
      </c>
      <c r="BM636" s="201" t="n"/>
    </row>
    <row r="637" hidden="1" outlineLevel="1" s="191">
      <c r="P637" s="628" t="n"/>
      <c r="Q637" s="628" t="n"/>
      <c r="R637" s="628" t="n"/>
      <c r="S637" s="628" t="n"/>
      <c r="T637" s="628" t="n"/>
      <c r="U637" s="628" t="n"/>
      <c r="V637" s="628" t="n"/>
      <c r="W637" s="628" t="n"/>
      <c r="X637" s="628" t="n"/>
      <c r="Y637" s="650" t="n"/>
      <c r="Z637" s="650" t="n"/>
      <c r="AA637" s="650" t="n"/>
      <c r="AB637" s="650" t="n"/>
      <c r="AC637" s="613" t="n"/>
      <c r="AD637" s="613" t="n"/>
      <c r="AE637" s="613" t="n"/>
      <c r="AF637" s="613" t="n"/>
      <c r="AG637" s="626" t="n"/>
      <c r="AH637" s="626" t="n"/>
      <c r="AI637" s="626" t="n"/>
      <c r="AJ637" s="626" t="n"/>
      <c r="AK637" s="626" t="n"/>
      <c r="AL637" s="626" t="n"/>
      <c r="AM637" s="626" t="n"/>
      <c r="AN637" s="626" t="n"/>
      <c r="AO637" s="626" t="n"/>
      <c r="AP637" s="369" t="n"/>
      <c r="AQ637" s="369" t="n"/>
      <c r="AR637" s="369" t="n"/>
      <c r="AS637" s="369" t="n"/>
      <c r="AT637" s="370" t="n"/>
      <c r="AU637" s="370" t="n"/>
      <c r="AV637" s="370" t="n"/>
      <c r="AW637" s="370" t="n"/>
      <c r="BJ637">
        <f>O637</f>
        <v/>
      </c>
      <c r="BK637">
        <f>SUM(AG637:AW637)</f>
        <v/>
      </c>
      <c r="BL637" s="531">
        <f>BJ637-BK637</f>
        <v/>
      </c>
      <c r="BM637" s="201" t="n"/>
    </row>
    <row r="638" hidden="1" outlineLevel="1" s="191">
      <c r="P638" s="628" t="n"/>
      <c r="Q638" s="628" t="n"/>
      <c r="R638" s="628" t="n"/>
      <c r="S638" s="628" t="n"/>
      <c r="T638" s="628" t="n"/>
      <c r="U638" s="628" t="n"/>
      <c r="V638" s="628" t="n"/>
      <c r="W638" s="628" t="n"/>
      <c r="X638" s="628" t="n"/>
      <c r="Y638" s="650" t="n"/>
      <c r="Z638" s="650" t="n"/>
      <c r="AA638" s="650" t="n"/>
      <c r="AB638" s="650" t="n"/>
      <c r="AC638" s="613" t="n"/>
      <c r="AD638" s="613" t="n"/>
      <c r="AE638" s="613" t="n"/>
      <c r="AF638" s="613" t="n"/>
      <c r="AG638" s="626" t="n"/>
      <c r="AH638" s="626" t="n"/>
      <c r="AI638" s="626" t="n"/>
      <c r="AJ638" s="626" t="n"/>
      <c r="AK638" s="626" t="n"/>
      <c r="AL638" s="626" t="n"/>
      <c r="AM638" s="626" t="n"/>
      <c r="AN638" s="626" t="n"/>
      <c r="AO638" s="626" t="n"/>
      <c r="AP638" s="369" t="n"/>
      <c r="AQ638" s="369" t="n"/>
      <c r="AR638" s="369" t="n"/>
      <c r="AS638" s="369" t="n"/>
      <c r="AT638" s="370" t="n"/>
      <c r="AU638" s="370" t="n"/>
      <c r="AV638" s="370" t="n"/>
      <c r="AW638" s="370" t="n"/>
      <c r="BJ638">
        <f>O638</f>
        <v/>
      </c>
      <c r="BK638">
        <f>SUM(AG638:AW638)</f>
        <v/>
      </c>
      <c r="BL638" s="531">
        <f>BJ638-BK638</f>
        <v/>
      </c>
      <c r="BM638" s="201" t="n"/>
    </row>
    <row r="639" hidden="1" outlineLevel="1" s="191">
      <c r="P639" s="628" t="n"/>
      <c r="Q639" s="628" t="n"/>
      <c r="R639" s="628" t="n"/>
      <c r="S639" s="628" t="n"/>
      <c r="T639" s="628" t="n"/>
      <c r="U639" s="628" t="n"/>
      <c r="V639" s="628" t="n"/>
      <c r="W639" s="628" t="n"/>
      <c r="X639" s="628" t="n"/>
      <c r="Y639" s="650" t="n"/>
      <c r="Z639" s="650" t="n"/>
      <c r="AA639" s="650" t="n"/>
      <c r="AB639" s="650" t="n"/>
      <c r="AC639" s="613" t="n"/>
      <c r="AD639" s="613" t="n"/>
      <c r="AE639" s="613" t="n"/>
      <c r="AF639" s="613" t="n"/>
      <c r="AG639" s="626" t="n"/>
      <c r="AH639" s="626" t="n"/>
      <c r="AI639" s="626" t="n"/>
      <c r="AJ639" s="626" t="n"/>
      <c r="AK639" s="626" t="n"/>
      <c r="AL639" s="626" t="n"/>
      <c r="AM639" s="626" t="n"/>
      <c r="AN639" s="626" t="n"/>
      <c r="AO639" s="626" t="n"/>
      <c r="AP639" s="369" t="n"/>
      <c r="AQ639" s="369" t="n"/>
      <c r="AR639" s="369" t="n"/>
      <c r="AS639" s="369" t="n"/>
      <c r="AT639" s="370" t="n"/>
      <c r="AU639" s="370" t="n"/>
      <c r="AV639" s="370" t="n"/>
      <c r="AW639" s="370" t="n"/>
      <c r="BJ639">
        <f>O639</f>
        <v/>
      </c>
      <c r="BK639">
        <f>SUM(AG639:AW639)</f>
        <v/>
      </c>
      <c r="BL639" s="531">
        <f>BJ639-BK639</f>
        <v/>
      </c>
      <c r="BM639" s="201" t="n"/>
    </row>
    <row r="640" hidden="1" outlineLevel="1" s="191">
      <c r="P640" s="628" t="n"/>
      <c r="Q640" s="628" t="n"/>
      <c r="R640" s="628" t="n"/>
      <c r="S640" s="628" t="n"/>
      <c r="T640" s="628" t="n"/>
      <c r="U640" s="628" t="n"/>
      <c r="V640" s="628" t="n"/>
      <c r="W640" s="628" t="n"/>
      <c r="X640" s="628" t="n"/>
      <c r="Y640" s="650" t="n"/>
      <c r="Z640" s="650" t="n"/>
      <c r="AA640" s="650" t="n"/>
      <c r="AB640" s="650" t="n"/>
      <c r="AC640" s="613" t="n"/>
      <c r="AD640" s="613" t="n"/>
      <c r="AE640" s="613" t="n"/>
      <c r="AF640" s="613" t="n"/>
      <c r="AG640" s="626" t="n"/>
      <c r="AH640" s="626" t="n"/>
      <c r="AI640" s="626" t="n"/>
      <c r="AJ640" s="626" t="n"/>
      <c r="AK640" s="626" t="n"/>
      <c r="AL640" s="626" t="n"/>
      <c r="AM640" s="626" t="n"/>
      <c r="AN640" s="626" t="n"/>
      <c r="AO640" s="626" t="n"/>
      <c r="AP640" s="369" t="n"/>
      <c r="AQ640" s="369" t="n"/>
      <c r="AR640" s="369" t="n"/>
      <c r="AS640" s="369" t="n"/>
      <c r="AT640" s="370" t="n"/>
      <c r="AU640" s="370" t="n"/>
      <c r="AV640" s="370" t="n"/>
      <c r="AW640" s="370" t="n"/>
      <c r="BJ640">
        <f>O640</f>
        <v/>
      </c>
      <c r="BK640">
        <f>SUM(AG640:AW640)</f>
        <v/>
      </c>
      <c r="BL640" s="531">
        <f>BJ640-BK640</f>
        <v/>
      </c>
      <c r="BM640" s="201" t="n"/>
    </row>
    <row r="641" hidden="1" outlineLevel="1" s="191">
      <c r="P641" s="628" t="n"/>
      <c r="Q641" s="628" t="n"/>
      <c r="R641" s="628" t="n"/>
      <c r="S641" s="628" t="n"/>
      <c r="T641" s="628" t="n"/>
      <c r="U641" s="628" t="n"/>
      <c r="V641" s="628" t="n"/>
      <c r="W641" s="628" t="n"/>
      <c r="X641" s="628" t="n"/>
      <c r="Y641" s="650" t="n"/>
      <c r="Z641" s="650" t="n"/>
      <c r="AA641" s="650" t="n"/>
      <c r="AB641" s="650" t="n"/>
      <c r="AC641" s="613" t="n"/>
      <c r="AD641" s="613" t="n"/>
      <c r="AE641" s="613" t="n"/>
      <c r="AF641" s="613" t="n"/>
      <c r="AG641" s="626" t="n"/>
      <c r="AH641" s="626" t="n"/>
      <c r="AI641" s="626" t="n"/>
      <c r="AJ641" s="626" t="n"/>
      <c r="AK641" s="626" t="n"/>
      <c r="AL641" s="626" t="n"/>
      <c r="AM641" s="626" t="n"/>
      <c r="AN641" s="626" t="n"/>
      <c r="AO641" s="626" t="n"/>
      <c r="AP641" s="369" t="n"/>
      <c r="AQ641" s="369" t="n"/>
      <c r="AR641" s="369" t="n"/>
      <c r="AS641" s="369" t="n"/>
      <c r="AT641" s="370" t="n"/>
      <c r="AU641" s="370" t="n"/>
      <c r="AV641" s="370" t="n"/>
      <c r="AW641" s="370" t="n"/>
      <c r="BJ641">
        <f>O641</f>
        <v/>
      </c>
      <c r="BK641">
        <f>SUM(AG641:AW641)</f>
        <v/>
      </c>
      <c r="BL641" s="531">
        <f>BJ641-BK641</f>
        <v/>
      </c>
      <c r="BM641" s="201" t="n"/>
    </row>
    <row r="642" hidden="1" outlineLevel="1" s="191">
      <c r="P642" s="628" t="n"/>
      <c r="Q642" s="628" t="n"/>
      <c r="R642" s="628" t="n"/>
      <c r="S642" s="628" t="n"/>
      <c r="T642" s="628" t="n"/>
      <c r="U642" s="628" t="n"/>
      <c r="V642" s="628" t="n"/>
      <c r="W642" s="628" t="n"/>
      <c r="X642" s="628" t="n"/>
      <c r="Y642" s="650" t="n"/>
      <c r="Z642" s="650" t="n"/>
      <c r="AA642" s="650" t="n"/>
      <c r="AB642" s="650" t="n"/>
      <c r="AC642" s="613" t="n"/>
      <c r="AD642" s="613" t="n"/>
      <c r="AE642" s="613" t="n"/>
      <c r="AF642" s="613" t="n"/>
      <c r="AG642" s="626" t="n"/>
      <c r="AH642" s="626" t="n"/>
      <c r="AI642" s="626" t="n"/>
      <c r="AJ642" s="626" t="n"/>
      <c r="AK642" s="626" t="n"/>
      <c r="AL642" s="626" t="n"/>
      <c r="AM642" s="626" t="n"/>
      <c r="AN642" s="626" t="n"/>
      <c r="AO642" s="626" t="n"/>
      <c r="AP642" s="369" t="n"/>
      <c r="AQ642" s="369" t="n"/>
      <c r="AR642" s="369" t="n"/>
      <c r="AS642" s="369" t="n"/>
      <c r="AT642" s="370" t="n"/>
      <c r="AU642" s="370" t="n"/>
      <c r="AV642" s="370" t="n"/>
      <c r="AW642" s="370" t="n"/>
      <c r="BJ642">
        <f>O642</f>
        <v/>
      </c>
      <c r="BK642">
        <f>SUM(AG642:AW642)</f>
        <v/>
      </c>
      <c r="BL642" s="531">
        <f>BJ642-BK642</f>
        <v/>
      </c>
      <c r="BM642" s="201" t="n"/>
    </row>
    <row r="643" hidden="1" outlineLevel="1" s="191">
      <c r="P643" s="628" t="n"/>
      <c r="Q643" s="628" t="n"/>
      <c r="R643" s="628" t="n"/>
      <c r="S643" s="628" t="n"/>
      <c r="T643" s="628" t="n"/>
      <c r="U643" s="628" t="n"/>
      <c r="V643" s="628" t="n"/>
      <c r="W643" s="628" t="n"/>
      <c r="X643" s="628" t="n"/>
      <c r="Y643" s="650" t="n"/>
      <c r="Z643" s="650" t="n"/>
      <c r="AA643" s="650" t="n"/>
      <c r="AB643" s="650" t="n"/>
      <c r="AC643" s="613" t="n"/>
      <c r="AD643" s="613" t="n"/>
      <c r="AE643" s="613" t="n"/>
      <c r="AF643" s="613" t="n"/>
      <c r="AG643" s="626" t="n"/>
      <c r="AH643" s="626" t="n"/>
      <c r="AI643" s="626" t="n"/>
      <c r="AJ643" s="626" t="n"/>
      <c r="AK643" s="626" t="n"/>
      <c r="AL643" s="626" t="n"/>
      <c r="AM643" s="626" t="n"/>
      <c r="AN643" s="626" t="n"/>
      <c r="AO643" s="626" t="n"/>
      <c r="AP643" s="369" t="n"/>
      <c r="AQ643" s="369" t="n"/>
      <c r="AR643" s="369" t="n"/>
      <c r="AS643" s="369" t="n"/>
      <c r="AT643" s="370" t="n"/>
      <c r="AU643" s="370" t="n"/>
      <c r="AV643" s="370" t="n"/>
      <c r="AW643" s="370" t="n"/>
      <c r="BJ643">
        <f>O643</f>
        <v/>
      </c>
      <c r="BK643">
        <f>SUM(AG643:AW643)</f>
        <v/>
      </c>
      <c r="BL643" s="531">
        <f>BJ643-BK643</f>
        <v/>
      </c>
      <c r="BM643" s="201" t="n"/>
    </row>
    <row r="644" hidden="1" outlineLevel="1" s="191">
      <c r="P644" s="628" t="n"/>
      <c r="Q644" s="628" t="n"/>
      <c r="R644" s="628" t="n"/>
      <c r="S644" s="628" t="n"/>
      <c r="T644" s="628" t="n"/>
      <c r="U644" s="628" t="n"/>
      <c r="V644" s="628" t="n"/>
      <c r="W644" s="628" t="n"/>
      <c r="X644" s="628" t="n"/>
      <c r="Y644" s="650" t="n"/>
      <c r="Z644" s="650" t="n"/>
      <c r="AA644" s="650" t="n"/>
      <c r="AB644" s="650" t="n"/>
      <c r="AC644" s="613" t="n"/>
      <c r="AD644" s="613" t="n"/>
      <c r="AE644" s="613" t="n"/>
      <c r="AF644" s="613" t="n"/>
      <c r="AG644" s="626" t="n"/>
      <c r="AH644" s="626" t="n"/>
      <c r="AI644" s="626" t="n"/>
      <c r="AJ644" s="626" t="n"/>
      <c r="AK644" s="626" t="n"/>
      <c r="AL644" s="626" t="n"/>
      <c r="AM644" s="626" t="n"/>
      <c r="AN644" s="626" t="n"/>
      <c r="AO644" s="626" t="n"/>
      <c r="AP644" s="369" t="n"/>
      <c r="AQ644" s="369" t="n"/>
      <c r="AR644" s="369" t="n"/>
      <c r="AS644" s="369" t="n"/>
      <c r="AT644" s="370" t="n"/>
      <c r="AU644" s="370" t="n"/>
      <c r="AV644" s="370" t="n"/>
      <c r="AW644" s="370" t="n"/>
      <c r="BJ644">
        <f>O644</f>
        <v/>
      </c>
      <c r="BK644">
        <f>SUM(AG644:AW644)</f>
        <v/>
      </c>
      <c r="BL644" s="531">
        <f>BJ644-BK644</f>
        <v/>
      </c>
      <c r="BM644" s="201" t="n"/>
    </row>
    <row r="645" hidden="1" outlineLevel="1" s="191">
      <c r="P645" s="628" t="n"/>
      <c r="Q645" s="628" t="n"/>
      <c r="R645" s="628" t="n"/>
      <c r="S645" s="628" t="n"/>
      <c r="T645" s="628" t="n"/>
      <c r="U645" s="628" t="n"/>
      <c r="V645" s="628" t="n"/>
      <c r="W645" s="628" t="n"/>
      <c r="X645" s="628" t="n"/>
      <c r="Y645" s="650" t="n"/>
      <c r="Z645" s="650" t="n"/>
      <c r="AA645" s="650" t="n"/>
      <c r="AB645" s="650" t="n"/>
      <c r="AC645" s="613" t="n"/>
      <c r="AD645" s="613" t="n"/>
      <c r="AE645" s="613" t="n"/>
      <c r="AF645" s="613" t="n"/>
      <c r="AG645" s="626" t="n"/>
      <c r="AH645" s="626" t="n"/>
      <c r="AI645" s="626" t="n"/>
      <c r="AJ645" s="626" t="n"/>
      <c r="AK645" s="626" t="n"/>
      <c r="AL645" s="626" t="n"/>
      <c r="AM645" s="626" t="n"/>
      <c r="AN645" s="626" t="n"/>
      <c r="AO645" s="626" t="n"/>
      <c r="AP645" s="369" t="n"/>
      <c r="AQ645" s="369" t="n"/>
      <c r="AR645" s="369" t="n"/>
      <c r="AS645" s="369" t="n"/>
      <c r="AT645" s="370" t="n"/>
      <c r="AU645" s="370" t="n"/>
      <c r="AV645" s="370" t="n"/>
      <c r="AW645" s="370" t="n"/>
      <c r="BJ645">
        <f>O645</f>
        <v/>
      </c>
      <c r="BK645">
        <f>SUM(AG645:AW645)</f>
        <v/>
      </c>
      <c r="BL645" s="531">
        <f>BJ645-BK645</f>
        <v/>
      </c>
      <c r="BM645" s="201" t="n"/>
    </row>
    <row r="646" hidden="1" outlineLevel="1" s="191">
      <c r="P646" s="628" t="n"/>
      <c r="Q646" s="628" t="n"/>
      <c r="R646" s="628" t="n"/>
      <c r="S646" s="628" t="n"/>
      <c r="T646" s="628" t="n"/>
      <c r="U646" s="628" t="n"/>
      <c r="V646" s="628" t="n"/>
      <c r="W646" s="628" t="n"/>
      <c r="X646" s="628" t="n"/>
      <c r="Y646" s="650" t="n"/>
      <c r="Z646" s="650" t="n"/>
      <c r="AA646" s="650" t="n"/>
      <c r="AB646" s="650" t="n"/>
      <c r="AC646" s="613" t="n"/>
      <c r="AD646" s="613" t="n"/>
      <c r="AE646" s="613" t="n"/>
      <c r="AF646" s="613" t="n"/>
      <c r="AG646" s="626" t="n"/>
      <c r="AH646" s="626" t="n"/>
      <c r="AI646" s="626" t="n"/>
      <c r="AJ646" s="626" t="n"/>
      <c r="AK646" s="626" t="n"/>
      <c r="AL646" s="626" t="n"/>
      <c r="AM646" s="626" t="n"/>
      <c r="AN646" s="626" t="n"/>
      <c r="AO646" s="626" t="n"/>
      <c r="AP646" s="369" t="n"/>
      <c r="AQ646" s="369" t="n"/>
      <c r="AR646" s="369" t="n"/>
      <c r="AS646" s="369" t="n"/>
      <c r="AT646" s="370" t="n"/>
      <c r="AU646" s="370" t="n"/>
      <c r="AV646" s="370" t="n"/>
      <c r="AW646" s="370" t="n"/>
      <c r="BJ646">
        <f>O646</f>
        <v/>
      </c>
      <c r="BK646">
        <f>SUM(AG646:AW646)</f>
        <v/>
      </c>
      <c r="BL646" s="531">
        <f>BJ646-BK646</f>
        <v/>
      </c>
      <c r="BM646" s="201" t="n"/>
    </row>
    <row r="647" hidden="1" outlineLevel="1" s="191">
      <c r="P647" s="628" t="n"/>
      <c r="Q647" s="628" t="n"/>
      <c r="R647" s="628" t="n"/>
      <c r="S647" s="628" t="n"/>
      <c r="T647" s="628" t="n"/>
      <c r="U647" s="628" t="n"/>
      <c r="V647" s="628" t="n"/>
      <c r="W647" s="628" t="n"/>
      <c r="X647" s="628" t="n"/>
      <c r="Y647" s="650" t="n"/>
      <c r="Z647" s="650" t="n"/>
      <c r="AA647" s="650" t="n"/>
      <c r="AB647" s="650" t="n"/>
      <c r="AC647" s="613" t="n"/>
      <c r="AD647" s="613" t="n"/>
      <c r="AE647" s="613" t="n"/>
      <c r="AF647" s="613" t="n"/>
      <c r="AG647" s="626" t="n"/>
      <c r="AH647" s="626" t="n"/>
      <c r="AI647" s="626" t="n"/>
      <c r="AJ647" s="626" t="n"/>
      <c r="AK647" s="626" t="n"/>
      <c r="AL647" s="626" t="n"/>
      <c r="AM647" s="626" t="n"/>
      <c r="AN647" s="626" t="n"/>
      <c r="AO647" s="626" t="n"/>
      <c r="AP647" s="369" t="n"/>
      <c r="AQ647" s="369" t="n"/>
      <c r="AR647" s="369" t="n"/>
      <c r="AS647" s="369" t="n"/>
      <c r="AT647" s="370" t="n"/>
      <c r="AU647" s="370" t="n"/>
      <c r="AV647" s="370" t="n"/>
      <c r="AW647" s="370" t="n"/>
      <c r="BJ647">
        <f>O647</f>
        <v/>
      </c>
      <c r="BK647">
        <f>SUM(AG647:AW647)</f>
        <v/>
      </c>
      <c r="BL647" s="531">
        <f>BJ647-BK647</f>
        <v/>
      </c>
      <c r="BM647" s="201" t="n"/>
    </row>
    <row r="648" hidden="1" outlineLevel="1" s="191">
      <c r="P648" s="628" t="n"/>
      <c r="Q648" s="628" t="n"/>
      <c r="R648" s="628" t="n"/>
      <c r="S648" s="628" t="n"/>
      <c r="T648" s="628" t="n"/>
      <c r="U648" s="628" t="n"/>
      <c r="V648" s="628" t="n"/>
      <c r="W648" s="628" t="n"/>
      <c r="X648" s="628" t="n"/>
      <c r="Y648" s="650" t="n"/>
      <c r="Z648" s="650" t="n"/>
      <c r="AA648" s="650" t="n"/>
      <c r="AB648" s="650" t="n"/>
      <c r="AC648" s="613" t="n"/>
      <c r="AD648" s="613" t="n"/>
      <c r="AE648" s="613" t="n"/>
      <c r="AF648" s="613" t="n"/>
      <c r="AG648" s="626" t="n"/>
      <c r="AH648" s="626" t="n"/>
      <c r="AI648" s="626" t="n"/>
      <c r="AJ648" s="626" t="n"/>
      <c r="AK648" s="626" t="n"/>
      <c r="AL648" s="626" t="n"/>
      <c r="AM648" s="626" t="n"/>
      <c r="AN648" s="626" t="n"/>
      <c r="AO648" s="626" t="n"/>
      <c r="AP648" s="369" t="n"/>
      <c r="AQ648" s="369" t="n"/>
      <c r="AR648" s="369" t="n"/>
      <c r="AS648" s="369" t="n"/>
      <c r="AT648" s="370" t="n"/>
      <c r="AU648" s="370" t="n"/>
      <c r="AV648" s="370" t="n"/>
      <c r="AW648" s="370" t="n"/>
      <c r="BJ648">
        <f>O648</f>
        <v/>
      </c>
      <c r="BK648">
        <f>SUM(AG648:AW648)</f>
        <v/>
      </c>
      <c r="BL648" s="531">
        <f>BJ648-BK648</f>
        <v/>
      </c>
      <c r="BM648" s="201" t="n"/>
    </row>
    <row r="649" hidden="1" outlineLevel="1" s="191">
      <c r="P649" s="628" t="n"/>
      <c r="Q649" s="628" t="n"/>
      <c r="R649" s="628" t="n"/>
      <c r="S649" s="628" t="n"/>
      <c r="T649" s="628" t="n"/>
      <c r="U649" s="628" t="n"/>
      <c r="V649" s="628" t="n"/>
      <c r="W649" s="628" t="n"/>
      <c r="X649" s="628" t="n"/>
      <c r="Y649" s="650" t="n"/>
      <c r="Z649" s="650" t="n"/>
      <c r="AA649" s="650" t="n"/>
      <c r="AB649" s="650" t="n"/>
      <c r="AC649" s="613" t="n"/>
      <c r="AD649" s="613" t="n"/>
      <c r="AE649" s="613" t="n"/>
      <c r="AF649" s="613" t="n"/>
      <c r="AG649" s="626" t="n"/>
      <c r="AH649" s="626" t="n"/>
      <c r="AI649" s="626" t="n"/>
      <c r="AJ649" s="626" t="n"/>
      <c r="AK649" s="626" t="n"/>
      <c r="AL649" s="626" t="n"/>
      <c r="AM649" s="626" t="n"/>
      <c r="AN649" s="626" t="n"/>
      <c r="AO649" s="626" t="n"/>
      <c r="AP649" s="369" t="n"/>
      <c r="AQ649" s="369" t="n"/>
      <c r="AR649" s="369" t="n"/>
      <c r="AS649" s="369" t="n"/>
      <c r="AT649" s="370" t="n"/>
      <c r="AU649" s="370" t="n"/>
      <c r="AV649" s="370" t="n"/>
      <c r="AW649" s="370" t="n"/>
      <c r="BJ649">
        <f>O649</f>
        <v/>
      </c>
      <c r="BK649">
        <f>SUM(AG649:AW649)</f>
        <v/>
      </c>
      <c r="BL649" s="531">
        <f>BJ649-BK649</f>
        <v/>
      </c>
      <c r="BM649" s="201" t="n"/>
    </row>
    <row r="650" hidden="1" outlineLevel="1" s="191">
      <c r="P650" s="628" t="n"/>
      <c r="Q650" s="628" t="n"/>
      <c r="R650" s="628" t="n"/>
      <c r="S650" s="628" t="n"/>
      <c r="T650" s="628" t="n"/>
      <c r="U650" s="628" t="n"/>
      <c r="V650" s="628" t="n"/>
      <c r="W650" s="628" t="n"/>
      <c r="X650" s="628" t="n"/>
      <c r="Y650" s="650" t="n"/>
      <c r="Z650" s="650" t="n"/>
      <c r="AA650" s="650" t="n"/>
      <c r="AB650" s="650" t="n"/>
      <c r="AC650" s="613" t="n"/>
      <c r="AD650" s="613" t="n"/>
      <c r="AE650" s="613" t="n"/>
      <c r="AF650" s="613" t="n"/>
      <c r="AG650" s="626" t="n"/>
      <c r="AH650" s="626" t="n"/>
      <c r="AI650" s="626" t="n"/>
      <c r="AJ650" s="626" t="n"/>
      <c r="AK650" s="626" t="n"/>
      <c r="AL650" s="626" t="n"/>
      <c r="AM650" s="626" t="n"/>
      <c r="AN650" s="626" t="n"/>
      <c r="AO650" s="626" t="n"/>
      <c r="AP650" s="369" t="n"/>
      <c r="AQ650" s="369" t="n"/>
      <c r="AR650" s="369" t="n"/>
      <c r="AS650" s="369" t="n"/>
      <c r="AT650" s="370" t="n"/>
      <c r="AU650" s="370" t="n"/>
      <c r="AV650" s="370" t="n"/>
      <c r="AW650" s="370" t="n"/>
      <c r="BJ650">
        <f>O650</f>
        <v/>
      </c>
      <c r="BK650">
        <f>SUM(AG650:AW650)</f>
        <v/>
      </c>
      <c r="BL650" s="531">
        <f>BJ650-BK650</f>
        <v/>
      </c>
      <c r="BM650" s="201" t="n"/>
    </row>
    <row r="651" hidden="1" outlineLevel="1" s="191">
      <c r="P651" s="628" t="n"/>
      <c r="Q651" s="628" t="n"/>
      <c r="R651" s="628" t="n"/>
      <c r="S651" s="628" t="n"/>
      <c r="T651" s="628" t="n"/>
      <c r="U651" s="628" t="n"/>
      <c r="V651" s="628" t="n"/>
      <c r="W651" s="628" t="n"/>
      <c r="X651" s="628" t="n"/>
      <c r="Y651" s="650" t="n"/>
      <c r="Z651" s="650" t="n"/>
      <c r="AA651" s="650" t="n"/>
      <c r="AB651" s="650" t="n"/>
      <c r="AC651" s="613" t="n"/>
      <c r="AD651" s="613" t="n"/>
      <c r="AE651" s="613" t="n"/>
      <c r="AF651" s="613" t="n"/>
      <c r="AG651" s="626" t="n"/>
      <c r="AH651" s="626" t="n"/>
      <c r="AI651" s="626" t="n"/>
      <c r="AJ651" s="626" t="n"/>
      <c r="AK651" s="626" t="n"/>
      <c r="AL651" s="626" t="n"/>
      <c r="AM651" s="626" t="n"/>
      <c r="AN651" s="626" t="n"/>
      <c r="AO651" s="626" t="n"/>
      <c r="AP651" s="369" t="n"/>
      <c r="AQ651" s="369" t="n"/>
      <c r="AR651" s="369" t="n"/>
      <c r="AS651" s="369" t="n"/>
      <c r="AT651" s="370" t="n"/>
      <c r="AU651" s="370" t="n"/>
      <c r="AV651" s="370" t="n"/>
      <c r="AW651" s="370" t="n"/>
      <c r="BJ651">
        <f>O651</f>
        <v/>
      </c>
      <c r="BK651">
        <f>SUM(AG651:AW651)</f>
        <v/>
      </c>
      <c r="BL651" s="531">
        <f>BJ651-BK651</f>
        <v/>
      </c>
      <c r="BM651" s="201" t="n"/>
    </row>
    <row r="652" hidden="1" outlineLevel="1" s="191">
      <c r="P652" s="628" t="n"/>
      <c r="Q652" s="628" t="n"/>
      <c r="R652" s="628" t="n"/>
      <c r="S652" s="628" t="n"/>
      <c r="T652" s="628" t="n"/>
      <c r="U652" s="628" t="n"/>
      <c r="V652" s="628" t="n"/>
      <c r="W652" s="628" t="n"/>
      <c r="X652" s="628" t="n"/>
      <c r="Y652" s="650" t="n"/>
      <c r="Z652" s="650" t="n"/>
      <c r="AA652" s="650" t="n"/>
      <c r="AB652" s="650" t="n"/>
      <c r="AC652" s="613" t="n"/>
      <c r="AD652" s="613" t="n"/>
      <c r="AE652" s="613" t="n"/>
      <c r="AF652" s="613" t="n"/>
      <c r="AG652" s="626" t="n"/>
      <c r="AH652" s="626" t="n"/>
      <c r="AI652" s="626" t="n"/>
      <c r="AJ652" s="626" t="n"/>
      <c r="AK652" s="626" t="n"/>
      <c r="AL652" s="626" t="n"/>
      <c r="AM652" s="626" t="n"/>
      <c r="AN652" s="626" t="n"/>
      <c r="AO652" s="626" t="n"/>
      <c r="AP652" s="369" t="n"/>
      <c r="AQ652" s="369" t="n"/>
      <c r="AR652" s="369" t="n"/>
      <c r="AS652" s="369" t="n"/>
      <c r="AT652" s="370" t="n"/>
      <c r="AU652" s="370" t="n"/>
      <c r="AV652" s="370" t="n"/>
      <c r="AW652" s="370" t="n"/>
      <c r="BJ652">
        <f>O652</f>
        <v/>
      </c>
      <c r="BK652">
        <f>SUM(AG652:AW652)</f>
        <v/>
      </c>
      <c r="BL652" s="531">
        <f>BJ652-BK652</f>
        <v/>
      </c>
      <c r="BM652" s="201" t="n"/>
    </row>
    <row r="653" hidden="1" outlineLevel="1" s="191">
      <c r="P653" s="628" t="n"/>
      <c r="Q653" s="628" t="n"/>
      <c r="R653" s="628" t="n"/>
      <c r="S653" s="628" t="n"/>
      <c r="T653" s="628" t="n"/>
      <c r="U653" s="628" t="n"/>
      <c r="V653" s="628" t="n"/>
      <c r="W653" s="628" t="n"/>
      <c r="X653" s="628" t="n"/>
      <c r="Y653" s="650" t="n"/>
      <c r="Z653" s="650" t="n"/>
      <c r="AA653" s="650" t="n"/>
      <c r="AB653" s="650" t="n"/>
      <c r="AC653" s="613" t="n"/>
      <c r="AD653" s="613" t="n"/>
      <c r="AE653" s="613" t="n"/>
      <c r="AF653" s="613" t="n"/>
      <c r="AG653" s="626" t="n"/>
      <c r="AH653" s="626" t="n"/>
      <c r="AI653" s="626" t="n"/>
      <c r="AJ653" s="626" t="n"/>
      <c r="AK653" s="626" t="n"/>
      <c r="AL653" s="626" t="n"/>
      <c r="AM653" s="626" t="n"/>
      <c r="AN653" s="626" t="n"/>
      <c r="AO653" s="626" t="n"/>
      <c r="AP653" s="369" t="n"/>
      <c r="AQ653" s="369" t="n"/>
      <c r="AR653" s="369" t="n"/>
      <c r="AS653" s="369" t="n"/>
      <c r="AT653" s="370" t="n"/>
      <c r="AU653" s="370" t="n"/>
      <c r="AV653" s="370" t="n"/>
      <c r="AW653" s="370" t="n"/>
      <c r="BJ653">
        <f>O653</f>
        <v/>
      </c>
      <c r="BK653">
        <f>SUM(AG653:AW653)</f>
        <v/>
      </c>
      <c r="BL653" s="531">
        <f>BJ653-BK653</f>
        <v/>
      </c>
      <c r="BM653" s="201" t="n"/>
    </row>
    <row r="654" hidden="1" outlineLevel="1" s="191">
      <c r="P654" s="628" t="n"/>
      <c r="Q654" s="628" t="n"/>
      <c r="R654" s="628" t="n"/>
      <c r="S654" s="628" t="n"/>
      <c r="T654" s="628" t="n"/>
      <c r="U654" s="628" t="n"/>
      <c r="V654" s="628" t="n"/>
      <c r="W654" s="628" t="n"/>
      <c r="X654" s="628" t="n"/>
      <c r="Y654" s="650" t="n"/>
      <c r="Z654" s="650" t="n"/>
      <c r="AA654" s="650" t="n"/>
      <c r="AB654" s="650" t="n"/>
      <c r="AC654" s="613" t="n"/>
      <c r="AD654" s="613" t="n"/>
      <c r="AE654" s="613" t="n"/>
      <c r="AF654" s="613" t="n"/>
      <c r="AG654" s="626" t="n"/>
      <c r="AH654" s="626" t="n"/>
      <c r="AI654" s="626" t="n"/>
      <c r="AJ654" s="626" t="n"/>
      <c r="AK654" s="626" t="n"/>
      <c r="AL654" s="626" t="n"/>
      <c r="AM654" s="626" t="n"/>
      <c r="AN654" s="626" t="n"/>
      <c r="AO654" s="626" t="n"/>
      <c r="AP654" s="369" t="n"/>
      <c r="AQ654" s="369" t="n"/>
      <c r="AR654" s="369" t="n"/>
      <c r="AS654" s="369" t="n"/>
      <c r="AT654" s="370" t="n"/>
      <c r="AU654" s="370" t="n"/>
      <c r="AV654" s="370" t="n"/>
      <c r="AW654" s="370" t="n"/>
      <c r="BJ654">
        <f>O654</f>
        <v/>
      </c>
      <c r="BK654">
        <f>SUM(AG654:AW654)</f>
        <v/>
      </c>
      <c r="BL654" s="531">
        <f>BJ654-BK654</f>
        <v/>
      </c>
      <c r="BM654" s="201" t="n"/>
    </row>
    <row r="655" hidden="1" outlineLevel="1" s="191">
      <c r="P655" s="628" t="n"/>
      <c r="Q655" s="628" t="n"/>
      <c r="R655" s="628" t="n"/>
      <c r="S655" s="628" t="n"/>
      <c r="T655" s="628" t="n"/>
      <c r="U655" s="628" t="n"/>
      <c r="V655" s="628" t="n"/>
      <c r="W655" s="628" t="n"/>
      <c r="X655" s="628" t="n"/>
      <c r="Y655" s="650" t="n"/>
      <c r="Z655" s="650" t="n"/>
      <c r="AA655" s="650" t="n"/>
      <c r="AB655" s="650" t="n"/>
      <c r="AC655" s="613" t="n"/>
      <c r="AD655" s="613" t="n"/>
      <c r="AE655" s="613" t="n"/>
      <c r="AF655" s="613" t="n"/>
      <c r="AG655" s="626" t="n"/>
      <c r="AH655" s="626" t="n"/>
      <c r="AI655" s="626" t="n"/>
      <c r="AJ655" s="626" t="n"/>
      <c r="AK655" s="626" t="n"/>
      <c r="AL655" s="626" t="n"/>
      <c r="AM655" s="626" t="n"/>
      <c r="AN655" s="626" t="n"/>
      <c r="AO655" s="626" t="n"/>
      <c r="AP655" s="369" t="n"/>
      <c r="AQ655" s="369" t="n"/>
      <c r="AR655" s="369" t="n"/>
      <c r="AS655" s="369" t="n"/>
      <c r="AT655" s="370" t="n"/>
      <c r="AU655" s="370" t="n"/>
      <c r="AV655" s="370" t="n"/>
      <c r="AW655" s="370" t="n"/>
      <c r="BJ655">
        <f>O655</f>
        <v/>
      </c>
      <c r="BK655">
        <f>SUM(AG655:AW655)</f>
        <v/>
      </c>
      <c r="BL655" s="531">
        <f>BJ655-BK655</f>
        <v/>
      </c>
      <c r="BM655" s="201" t="n"/>
    </row>
    <row r="656" hidden="1" outlineLevel="1" s="191">
      <c r="P656" s="628" t="n"/>
      <c r="Q656" s="628" t="n"/>
      <c r="R656" s="628" t="n"/>
      <c r="S656" s="628" t="n"/>
      <c r="T656" s="628" t="n"/>
      <c r="U656" s="628" t="n"/>
      <c r="V656" s="628" t="n"/>
      <c r="W656" s="628" t="n"/>
      <c r="X656" s="628" t="n"/>
      <c r="Y656" s="650" t="n"/>
      <c r="Z656" s="650" t="n"/>
      <c r="AA656" s="650" t="n"/>
      <c r="AB656" s="650" t="n"/>
      <c r="AC656" s="613" t="n"/>
      <c r="AD656" s="613" t="n"/>
      <c r="AE656" s="613" t="n"/>
      <c r="AF656" s="613" t="n"/>
      <c r="AG656" s="626" t="n"/>
      <c r="AH656" s="626" t="n"/>
      <c r="AI656" s="626" t="n"/>
      <c r="AJ656" s="626" t="n"/>
      <c r="AK656" s="626" t="n"/>
      <c r="AL656" s="626" t="n"/>
      <c r="AM656" s="626" t="n"/>
      <c r="AN656" s="626" t="n"/>
      <c r="AO656" s="626" t="n"/>
      <c r="AP656" s="369" t="n"/>
      <c r="AQ656" s="369" t="n"/>
      <c r="AR656" s="369" t="n"/>
      <c r="AS656" s="369" t="n"/>
      <c r="AT656" s="370" t="n"/>
      <c r="AU656" s="370" t="n"/>
      <c r="AV656" s="370" t="n"/>
      <c r="AW656" s="370" t="n"/>
      <c r="BJ656">
        <f>O656</f>
        <v/>
      </c>
      <c r="BK656">
        <f>SUM(AG656:AW656)</f>
        <v/>
      </c>
      <c r="BL656" s="531">
        <f>BJ656-BK656</f>
        <v/>
      </c>
      <c r="BM656" s="201" t="n"/>
    </row>
    <row r="657" hidden="1" outlineLevel="1" s="191">
      <c r="P657" s="628" t="n"/>
      <c r="Q657" s="628" t="n"/>
      <c r="R657" s="628" t="n"/>
      <c r="S657" s="628" t="n"/>
      <c r="T657" s="628" t="n"/>
      <c r="U657" s="628" t="n"/>
      <c r="V657" s="628" t="n"/>
      <c r="W657" s="628" t="n"/>
      <c r="X657" s="628" t="n"/>
      <c r="Y657" s="650" t="n"/>
      <c r="Z657" s="650" t="n"/>
      <c r="AA657" s="650" t="n"/>
      <c r="AB657" s="650" t="n"/>
      <c r="AC657" s="613" t="n"/>
      <c r="AD657" s="613" t="n"/>
      <c r="AE657" s="613" t="n"/>
      <c r="AF657" s="613" t="n"/>
      <c r="AG657" s="626" t="n"/>
      <c r="AH657" s="626" t="n"/>
      <c r="AI657" s="626" t="n"/>
      <c r="AJ657" s="626" t="n"/>
      <c r="AK657" s="626" t="n"/>
      <c r="AL657" s="626" t="n"/>
      <c r="AM657" s="626" t="n"/>
      <c r="AN657" s="626" t="n"/>
      <c r="AO657" s="626" t="n"/>
      <c r="AP657" s="369" t="n"/>
      <c r="AQ657" s="369" t="n"/>
      <c r="AR657" s="369" t="n"/>
      <c r="AS657" s="369" t="n"/>
      <c r="AT657" s="370" t="n"/>
      <c r="AU657" s="370" t="n"/>
      <c r="AV657" s="370" t="n"/>
      <c r="AW657" s="370" t="n"/>
      <c r="BJ657">
        <f>O657</f>
        <v/>
      </c>
      <c r="BK657">
        <f>SUM(AG657:AW657)</f>
        <v/>
      </c>
      <c r="BL657" s="531">
        <f>BJ657-BK657</f>
        <v/>
      </c>
      <c r="BM657" s="201" t="n"/>
    </row>
    <row r="658" hidden="1" outlineLevel="1" s="191">
      <c r="P658" s="628" t="n"/>
      <c r="Q658" s="628" t="n"/>
      <c r="R658" s="628" t="n"/>
      <c r="S658" s="628" t="n"/>
      <c r="T658" s="628" t="n"/>
      <c r="U658" s="628" t="n"/>
      <c r="V658" s="628" t="n"/>
      <c r="W658" s="628" t="n"/>
      <c r="X658" s="628" t="n"/>
      <c r="Y658" s="650" t="n"/>
      <c r="Z658" s="650" t="n"/>
      <c r="AA658" s="650" t="n"/>
      <c r="AB658" s="650" t="n"/>
      <c r="AC658" s="613" t="n"/>
      <c r="AD658" s="613" t="n"/>
      <c r="AE658" s="613" t="n"/>
      <c r="AF658" s="613" t="n"/>
      <c r="AG658" s="626" t="n"/>
      <c r="AH658" s="626" t="n"/>
      <c r="AI658" s="626" t="n"/>
      <c r="AJ658" s="626" t="n"/>
      <c r="AK658" s="626" t="n"/>
      <c r="AL658" s="626" t="n"/>
      <c r="AM658" s="626" t="n"/>
      <c r="AN658" s="626" t="n"/>
      <c r="AO658" s="626" t="n"/>
      <c r="AP658" s="369" t="n"/>
      <c r="AQ658" s="369" t="n"/>
      <c r="AR658" s="369" t="n"/>
      <c r="AS658" s="369" t="n"/>
      <c r="AT658" s="370" t="n"/>
      <c r="AU658" s="370" t="n"/>
      <c r="AV658" s="370" t="n"/>
      <c r="AW658" s="370" t="n"/>
      <c r="BJ658">
        <f>O658</f>
        <v/>
      </c>
      <c r="BK658">
        <f>SUM(AG658:AW658)</f>
        <v/>
      </c>
      <c r="BL658" s="531">
        <f>BJ658-BK658</f>
        <v/>
      </c>
      <c r="BM658" s="201" t="n"/>
    </row>
    <row r="659" hidden="1" outlineLevel="1" s="191">
      <c r="P659" s="628" t="n"/>
      <c r="Q659" s="628" t="n"/>
      <c r="R659" s="628" t="n"/>
      <c r="S659" s="628" t="n"/>
      <c r="T659" s="628" t="n"/>
      <c r="U659" s="628" t="n"/>
      <c r="V659" s="628" t="n"/>
      <c r="W659" s="628" t="n"/>
      <c r="X659" s="628" t="n"/>
      <c r="Y659" s="650" t="n"/>
      <c r="Z659" s="650" t="n"/>
      <c r="AA659" s="650" t="n"/>
      <c r="AB659" s="650" t="n"/>
      <c r="AC659" s="613" t="n"/>
      <c r="AD659" s="613" t="n"/>
      <c r="AE659" s="613" t="n"/>
      <c r="AF659" s="613" t="n"/>
      <c r="AG659" s="626" t="n"/>
      <c r="AH659" s="626" t="n"/>
      <c r="AI659" s="626" t="n"/>
      <c r="AJ659" s="626" t="n"/>
      <c r="AK659" s="626" t="n"/>
      <c r="AL659" s="626" t="n"/>
      <c r="AM659" s="626" t="n"/>
      <c r="AN659" s="626" t="n"/>
      <c r="AO659" s="626" t="n"/>
      <c r="AP659" s="369" t="n"/>
      <c r="AQ659" s="369" t="n"/>
      <c r="AR659" s="369" t="n"/>
      <c r="AS659" s="369" t="n"/>
      <c r="AT659" s="370" t="n"/>
      <c r="AU659" s="370" t="n"/>
      <c r="AV659" s="370" t="n"/>
      <c r="AW659" s="370" t="n"/>
      <c r="BJ659">
        <f>O659</f>
        <v/>
      </c>
      <c r="BK659">
        <f>SUM(AG659:AW659)</f>
        <v/>
      </c>
      <c r="BL659" s="531">
        <f>BJ659-BK659</f>
        <v/>
      </c>
      <c r="BM659" s="201" t="n"/>
    </row>
    <row r="660" hidden="1" outlineLevel="1" s="191">
      <c r="P660" s="628" t="n"/>
      <c r="Q660" s="628" t="n"/>
      <c r="R660" s="628" t="n"/>
      <c r="S660" s="628" t="n"/>
      <c r="T660" s="628" t="n"/>
      <c r="U660" s="628" t="n"/>
      <c r="V660" s="628" t="n"/>
      <c r="W660" s="628" t="n"/>
      <c r="X660" s="628" t="n"/>
      <c r="Y660" s="650" t="n"/>
      <c r="Z660" s="650" t="n"/>
      <c r="AA660" s="650" t="n"/>
      <c r="AB660" s="650" t="n"/>
      <c r="AC660" s="613" t="n"/>
      <c r="AD660" s="613" t="n"/>
      <c r="AE660" s="613" t="n"/>
      <c r="AF660" s="613" t="n"/>
      <c r="AG660" s="626" t="n"/>
      <c r="AH660" s="626" t="n"/>
      <c r="AI660" s="626" t="n"/>
      <c r="AJ660" s="626" t="n"/>
      <c r="AK660" s="626" t="n"/>
      <c r="AL660" s="626" t="n"/>
      <c r="AM660" s="626" t="n"/>
      <c r="AN660" s="626" t="n"/>
      <c r="AO660" s="626" t="n"/>
      <c r="AP660" s="369" t="n"/>
      <c r="AQ660" s="369" t="n"/>
      <c r="AR660" s="369" t="n"/>
      <c r="AS660" s="369" t="n"/>
      <c r="AT660" s="370" t="n"/>
      <c r="AU660" s="370" t="n"/>
      <c r="AV660" s="370" t="n"/>
      <c r="AW660" s="370" t="n"/>
      <c r="BJ660">
        <f>O660</f>
        <v/>
      </c>
      <c r="BK660">
        <f>SUM(AG660:AW660)</f>
        <v/>
      </c>
      <c r="BL660" s="531">
        <f>BJ660-BK660</f>
        <v/>
      </c>
      <c r="BM660" s="201" t="n"/>
    </row>
    <row r="661" hidden="1" outlineLevel="1" s="191">
      <c r="P661" s="628" t="n"/>
      <c r="Q661" s="628" t="n"/>
      <c r="R661" s="628" t="n"/>
      <c r="S661" s="628" t="n"/>
      <c r="T661" s="628" t="n"/>
      <c r="U661" s="628" t="n"/>
      <c r="V661" s="628" t="n"/>
      <c r="W661" s="628" t="n"/>
      <c r="X661" s="628" t="n"/>
      <c r="Y661" s="650" t="n"/>
      <c r="Z661" s="650" t="n"/>
      <c r="AA661" s="650" t="n"/>
      <c r="AB661" s="650" t="n"/>
      <c r="AC661" s="613" t="n"/>
      <c r="AD661" s="613" t="n"/>
      <c r="AE661" s="613" t="n"/>
      <c r="AF661" s="613" t="n"/>
      <c r="AG661" s="626" t="n"/>
      <c r="AH661" s="626" t="n"/>
      <c r="AI661" s="626" t="n"/>
      <c r="AJ661" s="626" t="n"/>
      <c r="AK661" s="626" t="n"/>
      <c r="AL661" s="626" t="n"/>
      <c r="AM661" s="626" t="n"/>
      <c r="AN661" s="626" t="n"/>
      <c r="AO661" s="626" t="n"/>
      <c r="AP661" s="369" t="n"/>
      <c r="AQ661" s="369" t="n"/>
      <c r="AR661" s="369" t="n"/>
      <c r="AS661" s="369" t="n"/>
      <c r="AT661" s="370" t="n"/>
      <c r="AU661" s="370" t="n"/>
      <c r="AV661" s="370" t="n"/>
      <c r="AW661" s="370" t="n"/>
      <c r="BJ661">
        <f>O661</f>
        <v/>
      </c>
      <c r="BK661">
        <f>SUM(AG661:AW661)</f>
        <v/>
      </c>
      <c r="BL661" s="531">
        <f>BJ661-BK661</f>
        <v/>
      </c>
      <c r="BM661" s="201" t="n"/>
    </row>
    <row r="662" hidden="1" outlineLevel="1" s="191">
      <c r="P662" s="628" t="n"/>
      <c r="Q662" s="628" t="n"/>
      <c r="R662" s="628" t="n"/>
      <c r="S662" s="628" t="n"/>
      <c r="T662" s="628" t="n"/>
      <c r="U662" s="628" t="n"/>
      <c r="V662" s="628" t="n"/>
      <c r="W662" s="628" t="n"/>
      <c r="X662" s="628" t="n"/>
      <c r="Y662" s="650" t="n"/>
      <c r="Z662" s="650" t="n"/>
      <c r="AA662" s="650" t="n"/>
      <c r="AB662" s="650" t="n"/>
      <c r="AC662" s="613" t="n"/>
      <c r="AD662" s="613" t="n"/>
      <c r="AE662" s="613" t="n"/>
      <c r="AF662" s="613" t="n"/>
      <c r="AG662" s="626" t="n"/>
      <c r="AH662" s="626" t="n"/>
      <c r="AI662" s="626" t="n"/>
      <c r="AJ662" s="626" t="n"/>
      <c r="AK662" s="626" t="n"/>
      <c r="AL662" s="626" t="n"/>
      <c r="AM662" s="626" t="n"/>
      <c r="AN662" s="626" t="n"/>
      <c r="AO662" s="626" t="n"/>
      <c r="AP662" s="369" t="n"/>
      <c r="AQ662" s="369" t="n"/>
      <c r="AR662" s="369" t="n"/>
      <c r="AS662" s="369" t="n"/>
      <c r="AT662" s="370" t="n"/>
      <c r="AU662" s="370" t="n"/>
      <c r="AV662" s="370" t="n"/>
      <c r="AW662" s="370" t="n"/>
      <c r="BJ662">
        <f>O662</f>
        <v/>
      </c>
      <c r="BK662">
        <f>SUM(AG662:AW662)</f>
        <v/>
      </c>
      <c r="BL662" s="531">
        <f>BJ662-BK662</f>
        <v/>
      </c>
      <c r="BM662" s="201" t="n"/>
    </row>
    <row r="663" hidden="1" outlineLevel="1" s="191">
      <c r="P663" s="628" t="n"/>
      <c r="Q663" s="628" t="n"/>
      <c r="R663" s="628" t="n"/>
      <c r="S663" s="628" t="n"/>
      <c r="T663" s="628" t="n"/>
      <c r="U663" s="628" t="n"/>
      <c r="V663" s="628" t="n"/>
      <c r="W663" s="628" t="n"/>
      <c r="X663" s="628" t="n"/>
      <c r="Y663" s="650" t="n"/>
      <c r="Z663" s="650" t="n"/>
      <c r="AA663" s="650" t="n"/>
      <c r="AB663" s="650" t="n"/>
      <c r="AC663" s="613" t="n"/>
      <c r="AD663" s="613" t="n"/>
      <c r="AE663" s="613" t="n"/>
      <c r="AF663" s="613" t="n"/>
      <c r="AG663" s="626" t="n"/>
      <c r="AH663" s="626" t="n"/>
      <c r="AI663" s="626" t="n"/>
      <c r="AJ663" s="626" t="n"/>
      <c r="AK663" s="626" t="n"/>
      <c r="AL663" s="626" t="n"/>
      <c r="AM663" s="626" t="n"/>
      <c r="AN663" s="626" t="n"/>
      <c r="AO663" s="626" t="n"/>
      <c r="AP663" s="369" t="n"/>
      <c r="AQ663" s="369" t="n"/>
      <c r="AR663" s="369" t="n"/>
      <c r="AS663" s="369" t="n"/>
      <c r="AT663" s="370" t="n"/>
      <c r="AU663" s="370" t="n"/>
      <c r="AV663" s="370" t="n"/>
      <c r="AW663" s="370" t="n"/>
      <c r="BJ663">
        <f>O663</f>
        <v/>
      </c>
      <c r="BK663">
        <f>SUM(AG663:AW663)</f>
        <v/>
      </c>
      <c r="BL663" s="531">
        <f>BJ663-BK663</f>
        <v/>
      </c>
      <c r="BM663" s="201" t="n"/>
    </row>
    <row r="664" hidden="1" outlineLevel="1" s="191">
      <c r="P664" s="628" t="n"/>
      <c r="Q664" s="628" t="n"/>
      <c r="R664" s="628" t="n"/>
      <c r="S664" s="628" t="n"/>
      <c r="T664" s="628" t="n"/>
      <c r="U664" s="628" t="n"/>
      <c r="V664" s="628" t="n"/>
      <c r="W664" s="628" t="n"/>
      <c r="X664" s="628" t="n"/>
      <c r="Y664" s="650" t="n"/>
      <c r="Z664" s="650" t="n"/>
      <c r="AA664" s="650" t="n"/>
      <c r="AB664" s="650" t="n"/>
      <c r="AC664" s="613" t="n"/>
      <c r="AD664" s="613" t="n"/>
      <c r="AE664" s="613" t="n"/>
      <c r="AF664" s="613" t="n"/>
      <c r="AG664" s="626" t="n"/>
      <c r="AH664" s="626" t="n"/>
      <c r="AI664" s="626" t="n"/>
      <c r="AJ664" s="626" t="n"/>
      <c r="AK664" s="626" t="n"/>
      <c r="AL664" s="626" t="n"/>
      <c r="AM664" s="626" t="n"/>
      <c r="AN664" s="626" t="n"/>
      <c r="AO664" s="626" t="n"/>
      <c r="AP664" s="369" t="n"/>
      <c r="AQ664" s="369" t="n"/>
      <c r="AR664" s="369" t="n"/>
      <c r="AS664" s="369" t="n"/>
      <c r="AT664" s="370" t="n"/>
      <c r="AU664" s="370" t="n"/>
      <c r="AV664" s="370" t="n"/>
      <c r="AW664" s="370" t="n"/>
      <c r="BJ664">
        <f>O664</f>
        <v/>
      </c>
      <c r="BK664">
        <f>SUM(AG664:AW664)</f>
        <v/>
      </c>
      <c r="BL664" s="531">
        <f>BJ664-BK664</f>
        <v/>
      </c>
      <c r="BM664" s="201" t="n"/>
    </row>
    <row r="665" hidden="1" outlineLevel="1" s="191">
      <c r="P665" s="628" t="n"/>
      <c r="Q665" s="628" t="n"/>
      <c r="R665" s="628" t="n"/>
      <c r="S665" s="628" t="n"/>
      <c r="T665" s="628" t="n"/>
      <c r="U665" s="628" t="n"/>
      <c r="V665" s="628" t="n"/>
      <c r="W665" s="628" t="n"/>
      <c r="X665" s="628" t="n"/>
      <c r="Y665" s="650" t="n"/>
      <c r="Z665" s="650" t="n"/>
      <c r="AA665" s="650" t="n"/>
      <c r="AB665" s="650" t="n"/>
      <c r="AC665" s="613" t="n"/>
      <c r="AD665" s="613" t="n"/>
      <c r="AE665" s="613" t="n"/>
      <c r="AF665" s="613" t="n"/>
      <c r="AG665" s="626" t="n"/>
      <c r="AH665" s="626" t="n"/>
      <c r="AI665" s="626" t="n"/>
      <c r="AJ665" s="626" t="n"/>
      <c r="AK665" s="626" t="n"/>
      <c r="AL665" s="626" t="n"/>
      <c r="AM665" s="626" t="n"/>
      <c r="AN665" s="626" t="n"/>
      <c r="AO665" s="626" t="n"/>
      <c r="AP665" s="369" t="n"/>
      <c r="AQ665" s="369" t="n"/>
      <c r="AR665" s="369" t="n"/>
      <c r="AS665" s="369" t="n"/>
      <c r="AT665" s="370" t="n"/>
      <c r="AU665" s="370" t="n"/>
      <c r="AV665" s="370" t="n"/>
      <c r="AW665" s="370" t="n"/>
      <c r="BJ665">
        <f>O665</f>
        <v/>
      </c>
      <c r="BK665">
        <f>SUM(AG665:AW665)</f>
        <v/>
      </c>
      <c r="BL665" s="531">
        <f>BJ665-BK665</f>
        <v/>
      </c>
      <c r="BM665" s="201" t="n"/>
    </row>
    <row r="666" hidden="1" outlineLevel="1" s="191">
      <c r="P666" s="628" t="n"/>
      <c r="Q666" s="628" t="n"/>
      <c r="R666" s="628" t="n"/>
      <c r="S666" s="628" t="n"/>
      <c r="T666" s="628" t="n"/>
      <c r="U666" s="628" t="n"/>
      <c r="V666" s="628" t="n"/>
      <c r="W666" s="628" t="n"/>
      <c r="X666" s="628" t="n"/>
      <c r="Y666" s="650" t="n"/>
      <c r="Z666" s="650" t="n"/>
      <c r="AA666" s="650" t="n"/>
      <c r="AB666" s="650" t="n"/>
      <c r="AC666" s="613" t="n"/>
      <c r="AD666" s="613" t="n"/>
      <c r="AE666" s="613" t="n"/>
      <c r="AF666" s="613" t="n"/>
      <c r="AG666" s="626" t="n"/>
      <c r="AH666" s="626" t="n"/>
      <c r="AI666" s="626" t="n"/>
      <c r="AJ666" s="626" t="n"/>
      <c r="AK666" s="626" t="n"/>
      <c r="AL666" s="626" t="n"/>
      <c r="AM666" s="626" t="n"/>
      <c r="AN666" s="626" t="n"/>
      <c r="AO666" s="626" t="n"/>
      <c r="AP666" s="369" t="n"/>
      <c r="AQ666" s="369" t="n"/>
      <c r="AR666" s="369" t="n"/>
      <c r="AS666" s="369" t="n"/>
      <c r="AT666" s="370" t="n"/>
      <c r="AU666" s="370" t="n"/>
      <c r="AV666" s="370" t="n"/>
      <c r="AW666" s="370" t="n"/>
      <c r="BJ666">
        <f>O666</f>
        <v/>
      </c>
      <c r="BK666">
        <f>SUM(AG666:AW666)</f>
        <v/>
      </c>
      <c r="BL666" s="531">
        <f>BJ666-BK666</f>
        <v/>
      </c>
      <c r="BM666" s="201" t="n"/>
    </row>
    <row r="667" hidden="1" outlineLevel="1" s="191">
      <c r="P667" s="628" t="n"/>
      <c r="Q667" s="628" t="n"/>
      <c r="R667" s="628" t="n"/>
      <c r="S667" s="628" t="n"/>
      <c r="T667" s="628" t="n"/>
      <c r="U667" s="628" t="n"/>
      <c r="V667" s="628" t="n"/>
      <c r="W667" s="628" t="n"/>
      <c r="X667" s="628" t="n"/>
      <c r="Y667" s="650" t="n"/>
      <c r="Z667" s="650" t="n"/>
      <c r="AA667" s="650" t="n"/>
      <c r="AB667" s="650" t="n"/>
      <c r="AC667" s="613" t="n"/>
      <c r="AD667" s="613" t="n"/>
      <c r="AE667" s="613" t="n"/>
      <c r="AF667" s="613" t="n"/>
      <c r="AG667" s="626" t="n"/>
      <c r="AH667" s="626" t="n"/>
      <c r="AI667" s="626" t="n"/>
      <c r="AJ667" s="626" t="n"/>
      <c r="AK667" s="626" t="n"/>
      <c r="AL667" s="626" t="n"/>
      <c r="AM667" s="626" t="n"/>
      <c r="AN667" s="626" t="n"/>
      <c r="AO667" s="626" t="n"/>
      <c r="AP667" s="369" t="n"/>
      <c r="AQ667" s="369" t="n"/>
      <c r="AR667" s="369" t="n"/>
      <c r="AS667" s="369" t="n"/>
      <c r="AT667" s="370" t="n"/>
      <c r="AU667" s="370" t="n"/>
      <c r="AV667" s="370" t="n"/>
      <c r="AW667" s="370" t="n"/>
      <c r="BJ667">
        <f>O667</f>
        <v/>
      </c>
      <c r="BK667">
        <f>SUM(AG667:AW667)</f>
        <v/>
      </c>
      <c r="BL667" s="531">
        <f>BJ667-BK667</f>
        <v/>
      </c>
      <c r="BM667" s="201" t="n"/>
    </row>
    <row r="668" hidden="1" outlineLevel="1" s="191">
      <c r="P668" s="628" t="n"/>
      <c r="Q668" s="628" t="n"/>
      <c r="R668" s="628" t="n"/>
      <c r="S668" s="628" t="n"/>
      <c r="T668" s="628" t="n"/>
      <c r="U668" s="628" t="n"/>
      <c r="V668" s="628" t="n"/>
      <c r="W668" s="628" t="n"/>
      <c r="X668" s="628" t="n"/>
      <c r="Y668" s="650" t="n"/>
      <c r="Z668" s="650" t="n"/>
      <c r="AA668" s="650" t="n"/>
      <c r="AB668" s="650" t="n"/>
      <c r="AC668" s="613" t="n"/>
      <c r="AD668" s="613" t="n"/>
      <c r="AE668" s="613" t="n"/>
      <c r="AF668" s="613" t="n"/>
      <c r="AG668" s="626" t="n"/>
      <c r="AH668" s="626" t="n"/>
      <c r="AI668" s="626" t="n"/>
      <c r="AJ668" s="626" t="n"/>
      <c r="AK668" s="626" t="n"/>
      <c r="AL668" s="626" t="n"/>
      <c r="AM668" s="626" t="n"/>
      <c r="AN668" s="626" t="n"/>
      <c r="AO668" s="626" t="n"/>
      <c r="AP668" s="369" t="n"/>
      <c r="AQ668" s="369" t="n"/>
      <c r="AR668" s="369" t="n"/>
      <c r="AS668" s="369" t="n"/>
      <c r="AT668" s="370" t="n"/>
      <c r="AU668" s="370" t="n"/>
      <c r="AV668" s="370" t="n"/>
      <c r="AW668" s="370" t="n"/>
      <c r="BJ668">
        <f>O668</f>
        <v/>
      </c>
      <c r="BK668">
        <f>SUM(AG668:AW668)</f>
        <v/>
      </c>
      <c r="BL668" s="531">
        <f>BJ668-BK668</f>
        <v/>
      </c>
      <c r="BM668" s="201" t="n"/>
    </row>
    <row r="669" hidden="1" outlineLevel="1" s="191">
      <c r="P669" s="628" t="n"/>
      <c r="Q669" s="628" t="n"/>
      <c r="R669" s="628" t="n"/>
      <c r="S669" s="628" t="n"/>
      <c r="T669" s="628" t="n"/>
      <c r="U669" s="628" t="n"/>
      <c r="V669" s="628" t="n"/>
      <c r="W669" s="628" t="n"/>
      <c r="X669" s="628" t="n"/>
      <c r="Y669" s="650" t="n"/>
      <c r="Z669" s="650" t="n"/>
      <c r="AA669" s="650" t="n"/>
      <c r="AB669" s="650" t="n"/>
      <c r="AC669" s="613" t="n"/>
      <c r="AD669" s="613" t="n"/>
      <c r="AE669" s="613" t="n"/>
      <c r="AF669" s="613" t="n"/>
      <c r="AG669" s="626" t="n"/>
      <c r="AH669" s="626" t="n"/>
      <c r="AI669" s="626" t="n"/>
      <c r="AJ669" s="626" t="n"/>
      <c r="AK669" s="626" t="n"/>
      <c r="AL669" s="626" t="n"/>
      <c r="AM669" s="626" t="n"/>
      <c r="AN669" s="626" t="n"/>
      <c r="AO669" s="626" t="n"/>
      <c r="AP669" s="369" t="n"/>
      <c r="AQ669" s="369" t="n"/>
      <c r="AR669" s="369" t="n"/>
      <c r="AS669" s="369" t="n"/>
      <c r="AT669" s="370" t="n"/>
      <c r="AU669" s="370" t="n"/>
      <c r="AV669" s="370" t="n"/>
      <c r="AW669" s="370" t="n"/>
      <c r="BJ669">
        <f>O669</f>
        <v/>
      </c>
      <c r="BK669">
        <f>SUM(AG669:AW669)</f>
        <v/>
      </c>
      <c r="BL669" s="531">
        <f>BJ669-BK669</f>
        <v/>
      </c>
      <c r="BM669" s="201" t="n"/>
    </row>
    <row r="670" hidden="1" outlineLevel="1" s="191">
      <c r="P670" s="628" t="n"/>
      <c r="Q670" s="628" t="n"/>
      <c r="R670" s="628" t="n"/>
      <c r="S670" s="628" t="n"/>
      <c r="T670" s="628" t="n"/>
      <c r="U670" s="628" t="n"/>
      <c r="V670" s="628" t="n"/>
      <c r="W670" s="628" t="n"/>
      <c r="X670" s="628" t="n"/>
      <c r="Y670" s="650" t="n"/>
      <c r="Z670" s="650" t="n"/>
      <c r="AA670" s="650" t="n"/>
      <c r="AB670" s="650" t="n"/>
      <c r="AC670" s="613" t="n"/>
      <c r="AD670" s="613" t="n"/>
      <c r="AE670" s="613" t="n"/>
      <c r="AF670" s="613" t="n"/>
      <c r="AG670" s="626" t="n"/>
      <c r="AH670" s="626" t="n"/>
      <c r="AI670" s="626" t="n"/>
      <c r="AJ670" s="626" t="n"/>
      <c r="AK670" s="626" t="n"/>
      <c r="AL670" s="626" t="n"/>
      <c r="AM670" s="626" t="n"/>
      <c r="AN670" s="626" t="n"/>
      <c r="AO670" s="626" t="n"/>
      <c r="AP670" s="369" t="n"/>
      <c r="AQ670" s="369" t="n"/>
      <c r="AR670" s="369" t="n"/>
      <c r="AS670" s="369" t="n"/>
      <c r="AT670" s="370" t="n"/>
      <c r="AU670" s="370" t="n"/>
      <c r="AV670" s="370" t="n"/>
      <c r="AW670" s="370" t="n"/>
      <c r="BJ670">
        <f>O670</f>
        <v/>
      </c>
      <c r="BK670">
        <f>SUM(AG670:AW670)</f>
        <v/>
      </c>
      <c r="BL670" s="531">
        <f>BJ670-BK670</f>
        <v/>
      </c>
      <c r="BM670" s="201" t="n"/>
    </row>
    <row r="671" hidden="1" outlineLevel="1" s="191">
      <c r="P671" s="628" t="n"/>
      <c r="Q671" s="628" t="n"/>
      <c r="R671" s="628" t="n"/>
      <c r="S671" s="628" t="n"/>
      <c r="T671" s="628" t="n"/>
      <c r="U671" s="628" t="n"/>
      <c r="V671" s="628" t="n"/>
      <c r="W671" s="628" t="n"/>
      <c r="X671" s="628" t="n"/>
      <c r="Y671" s="650" t="n"/>
      <c r="Z671" s="650" t="n"/>
      <c r="AA671" s="650" t="n"/>
      <c r="AB671" s="650" t="n"/>
      <c r="AC671" s="613" t="n"/>
      <c r="AD671" s="613" t="n"/>
      <c r="AE671" s="613" t="n"/>
      <c r="AF671" s="613" t="n"/>
      <c r="AG671" s="626" t="n"/>
      <c r="AH671" s="626" t="n"/>
      <c r="AI671" s="626" t="n"/>
      <c r="AJ671" s="626" t="n"/>
      <c r="AK671" s="626" t="n"/>
      <c r="AL671" s="626" t="n"/>
      <c r="AM671" s="626" t="n"/>
      <c r="AN671" s="626" t="n"/>
      <c r="AO671" s="626" t="n"/>
      <c r="AP671" s="369" t="n"/>
      <c r="AQ671" s="369" t="n"/>
      <c r="AR671" s="369" t="n"/>
      <c r="AS671" s="369" t="n"/>
      <c r="AT671" s="370" t="n"/>
      <c r="AU671" s="370" t="n"/>
      <c r="AV671" s="370" t="n"/>
      <c r="AW671" s="370" t="n"/>
      <c r="BJ671">
        <f>O671</f>
        <v/>
      </c>
      <c r="BK671">
        <f>SUM(AG671:AW671)</f>
        <v/>
      </c>
      <c r="BL671" s="531">
        <f>BJ671-BK671</f>
        <v/>
      </c>
      <c r="BM671" s="201" t="n"/>
    </row>
    <row r="672" hidden="1" outlineLevel="1" s="191">
      <c r="P672" s="628" t="n"/>
      <c r="Q672" s="628" t="n"/>
      <c r="R672" s="628" t="n"/>
      <c r="S672" s="628" t="n"/>
      <c r="T672" s="628" t="n"/>
      <c r="U672" s="628" t="n"/>
      <c r="V672" s="628" t="n"/>
      <c r="W672" s="628" t="n"/>
      <c r="X672" s="628" t="n"/>
      <c r="Y672" s="650" t="n"/>
      <c r="Z672" s="650" t="n"/>
      <c r="AA672" s="650" t="n"/>
      <c r="AB672" s="650" t="n"/>
      <c r="AC672" s="613" t="n"/>
      <c r="AD672" s="613" t="n"/>
      <c r="AE672" s="613" t="n"/>
      <c r="AF672" s="613" t="n"/>
      <c r="AG672" s="626" t="n"/>
      <c r="AH672" s="626" t="n"/>
      <c r="AI672" s="626" t="n"/>
      <c r="AJ672" s="626" t="n"/>
      <c r="AK672" s="626" t="n"/>
      <c r="AL672" s="626" t="n"/>
      <c r="AM672" s="626" t="n"/>
      <c r="AN672" s="626" t="n"/>
      <c r="AO672" s="626" t="n"/>
      <c r="AP672" s="369" t="n"/>
      <c r="AQ672" s="369" t="n"/>
      <c r="AR672" s="369" t="n"/>
      <c r="AS672" s="369" t="n"/>
      <c r="AT672" s="370" t="n"/>
      <c r="AU672" s="370" t="n"/>
      <c r="AV672" s="370" t="n"/>
      <c r="AW672" s="370" t="n"/>
      <c r="BJ672">
        <f>O672</f>
        <v/>
      </c>
      <c r="BK672">
        <f>SUM(AG672:AW672)</f>
        <v/>
      </c>
      <c r="BL672" s="531">
        <f>BJ672-BK672</f>
        <v/>
      </c>
      <c r="BM672" s="201" t="n"/>
    </row>
    <row r="673" hidden="1" outlineLevel="1" s="191">
      <c r="P673" s="628" t="n"/>
      <c r="Q673" s="628" t="n"/>
      <c r="R673" s="628" t="n"/>
      <c r="S673" s="628" t="n"/>
      <c r="T673" s="628" t="n"/>
      <c r="U673" s="628" t="n"/>
      <c r="V673" s="628" t="n"/>
      <c r="W673" s="628" t="n"/>
      <c r="X673" s="628" t="n"/>
      <c r="Y673" s="650" t="n"/>
      <c r="Z673" s="650" t="n"/>
      <c r="AA673" s="650" t="n"/>
      <c r="AB673" s="650" t="n"/>
      <c r="AC673" s="613" t="n"/>
      <c r="AD673" s="613" t="n"/>
      <c r="AE673" s="613" t="n"/>
      <c r="AF673" s="613" t="n"/>
      <c r="AG673" s="626" t="n"/>
      <c r="AH673" s="626" t="n"/>
      <c r="AI673" s="626" t="n"/>
      <c r="AJ673" s="626" t="n"/>
      <c r="AK673" s="626" t="n"/>
      <c r="AL673" s="626" t="n"/>
      <c r="AM673" s="626" t="n"/>
      <c r="AN673" s="626" t="n"/>
      <c r="AO673" s="626" t="n"/>
      <c r="AP673" s="369" t="n"/>
      <c r="AQ673" s="369" t="n"/>
      <c r="AR673" s="369" t="n"/>
      <c r="AS673" s="369" t="n"/>
      <c r="AT673" s="370" t="n"/>
      <c r="AU673" s="370" t="n"/>
      <c r="AV673" s="370" t="n"/>
      <c r="AW673" s="370" t="n"/>
      <c r="BJ673">
        <f>O673</f>
        <v/>
      </c>
      <c r="BK673">
        <f>SUM(AG673:AW673)</f>
        <v/>
      </c>
      <c r="BL673" s="531">
        <f>BJ673-BK673</f>
        <v/>
      </c>
      <c r="BM673" s="201" t="n"/>
    </row>
    <row r="674" hidden="1" outlineLevel="1" s="191">
      <c r="P674" s="628" t="n"/>
      <c r="Q674" s="628" t="n"/>
      <c r="R674" s="628" t="n"/>
      <c r="S674" s="628" t="n"/>
      <c r="T674" s="628" t="n"/>
      <c r="U674" s="628" t="n"/>
      <c r="V674" s="628" t="n"/>
      <c r="W674" s="628" t="n"/>
      <c r="X674" s="628" t="n"/>
      <c r="Y674" s="650" t="n"/>
      <c r="Z674" s="650" t="n"/>
      <c r="AA674" s="650" t="n"/>
      <c r="AB674" s="650" t="n"/>
      <c r="AC674" s="613" t="n"/>
      <c r="AD674" s="613" t="n"/>
      <c r="AE674" s="613" t="n"/>
      <c r="AF674" s="613" t="n"/>
      <c r="AG674" s="626" t="n"/>
      <c r="AH674" s="626" t="n"/>
      <c r="AI674" s="626" t="n"/>
      <c r="AJ674" s="626" t="n"/>
      <c r="AK674" s="626" t="n"/>
      <c r="AL674" s="626" t="n"/>
      <c r="AM674" s="626" t="n"/>
      <c r="AN674" s="626" t="n"/>
      <c r="AO674" s="626" t="n"/>
      <c r="AP674" s="369" t="n"/>
      <c r="AQ674" s="369" t="n"/>
      <c r="AR674" s="369" t="n"/>
      <c r="AS674" s="369" t="n"/>
      <c r="AT674" s="370" t="n"/>
      <c r="AU674" s="370" t="n"/>
      <c r="AV674" s="370" t="n"/>
      <c r="AW674" s="370" t="n"/>
      <c r="BJ674">
        <f>O674</f>
        <v/>
      </c>
      <c r="BK674">
        <f>SUM(AG674:AW674)</f>
        <v/>
      </c>
      <c r="BL674" s="531">
        <f>BJ674-BK674</f>
        <v/>
      </c>
      <c r="BM674" s="201" t="n"/>
    </row>
    <row r="675" hidden="1" outlineLevel="1" s="191">
      <c r="P675" s="628" t="n"/>
      <c r="Q675" s="628" t="n"/>
      <c r="R675" s="628" t="n"/>
      <c r="S675" s="628" t="n"/>
      <c r="T675" s="628" t="n"/>
      <c r="U675" s="628" t="n"/>
      <c r="V675" s="628" t="n"/>
      <c r="W675" s="628" t="n"/>
      <c r="X675" s="628" t="n"/>
      <c r="Y675" s="650" t="n"/>
      <c r="Z675" s="650" t="n"/>
      <c r="AA675" s="650" t="n"/>
      <c r="AB675" s="650" t="n"/>
      <c r="AC675" s="613" t="n"/>
      <c r="AD675" s="613" t="n"/>
      <c r="AE675" s="613" t="n"/>
      <c r="AF675" s="613" t="n"/>
      <c r="AG675" s="626" t="n"/>
      <c r="AH675" s="626" t="n"/>
      <c r="AI675" s="626" t="n"/>
      <c r="AJ675" s="626" t="n"/>
      <c r="AK675" s="626" t="n"/>
      <c r="AL675" s="626" t="n"/>
      <c r="AM675" s="626" t="n"/>
      <c r="AN675" s="626" t="n"/>
      <c r="AO675" s="626" t="n"/>
      <c r="AP675" s="369" t="n"/>
      <c r="AQ675" s="369" t="n"/>
      <c r="AR675" s="369" t="n"/>
      <c r="AS675" s="369" t="n"/>
      <c r="AT675" s="370" t="n"/>
      <c r="AU675" s="370" t="n"/>
      <c r="AV675" s="370" t="n"/>
      <c r="AW675" s="370" t="n"/>
      <c r="BJ675">
        <f>O675</f>
        <v/>
      </c>
      <c r="BK675">
        <f>SUM(AG675:AW675)</f>
        <v/>
      </c>
      <c r="BL675" s="531">
        <f>BJ675-BK675</f>
        <v/>
      </c>
      <c r="BM675" s="201" t="n"/>
    </row>
    <row r="676" hidden="1" outlineLevel="1" s="191">
      <c r="P676" s="628" t="n"/>
      <c r="Q676" s="628" t="n"/>
      <c r="R676" s="628" t="n"/>
      <c r="S676" s="628" t="n"/>
      <c r="T676" s="628" t="n"/>
      <c r="U676" s="628" t="n"/>
      <c r="V676" s="628" t="n"/>
      <c r="W676" s="628" t="n"/>
      <c r="X676" s="628" t="n"/>
      <c r="Y676" s="650" t="n"/>
      <c r="Z676" s="650" t="n"/>
      <c r="AA676" s="650" t="n"/>
      <c r="AB676" s="650" t="n"/>
      <c r="AC676" s="613" t="n"/>
      <c r="AD676" s="613" t="n"/>
      <c r="AE676" s="613" t="n"/>
      <c r="AF676" s="613" t="n"/>
      <c r="AG676" s="626" t="n"/>
      <c r="AH676" s="626" t="n"/>
      <c r="AI676" s="626" t="n"/>
      <c r="AJ676" s="626" t="n"/>
      <c r="AK676" s="626" t="n"/>
      <c r="AL676" s="626" t="n"/>
      <c r="AM676" s="626" t="n"/>
      <c r="AN676" s="626" t="n"/>
      <c r="AO676" s="626" t="n"/>
      <c r="AP676" s="369" t="n"/>
      <c r="AQ676" s="369" t="n"/>
      <c r="AR676" s="369" t="n"/>
      <c r="AS676" s="369" t="n"/>
      <c r="AT676" s="370" t="n"/>
      <c r="AU676" s="370" t="n"/>
      <c r="AV676" s="370" t="n"/>
      <c r="AW676" s="370" t="n"/>
      <c r="BJ676">
        <f>O676</f>
        <v/>
      </c>
      <c r="BK676">
        <f>SUM(AG676:AW676)</f>
        <v/>
      </c>
      <c r="BL676" s="531">
        <f>BJ676-BK676</f>
        <v/>
      </c>
      <c r="BM676" s="201" t="n"/>
    </row>
    <row r="677" hidden="1" outlineLevel="1" s="191">
      <c r="P677" s="628" t="n"/>
      <c r="Q677" s="628" t="n"/>
      <c r="R677" s="628" t="n"/>
      <c r="S677" s="628" t="n"/>
      <c r="T677" s="628" t="n"/>
      <c r="U677" s="628" t="n"/>
      <c r="V677" s="628" t="n"/>
      <c r="W677" s="628" t="n"/>
      <c r="X677" s="628" t="n"/>
      <c r="Y677" s="650" t="n"/>
      <c r="Z677" s="650" t="n"/>
      <c r="AA677" s="650" t="n"/>
      <c r="AB677" s="650" t="n"/>
      <c r="AC677" s="613" t="n"/>
      <c r="AD677" s="613" t="n"/>
      <c r="AE677" s="613" t="n"/>
      <c r="AF677" s="613" t="n"/>
      <c r="AG677" s="626" t="n"/>
      <c r="AH677" s="626" t="n"/>
      <c r="AI677" s="626" t="n"/>
      <c r="AJ677" s="626" t="n"/>
      <c r="AK677" s="626" t="n"/>
      <c r="AL677" s="626" t="n"/>
      <c r="AM677" s="626" t="n"/>
      <c r="AN677" s="626" t="n"/>
      <c r="AO677" s="626" t="n"/>
      <c r="AP677" s="369" t="n"/>
      <c r="AQ677" s="369" t="n"/>
      <c r="AR677" s="369" t="n"/>
      <c r="AS677" s="369" t="n"/>
      <c r="AT677" s="370" t="n"/>
      <c r="AU677" s="370" t="n"/>
      <c r="AV677" s="370" t="n"/>
      <c r="AW677" s="370" t="n"/>
      <c r="BJ677">
        <f>O677</f>
        <v/>
      </c>
      <c r="BK677">
        <f>SUM(AG677:AW677)</f>
        <v/>
      </c>
      <c r="BL677" s="531">
        <f>BJ677-BK677</f>
        <v/>
      </c>
      <c r="BM677" s="201" t="n"/>
    </row>
    <row r="678" hidden="1" outlineLevel="1" s="191">
      <c r="P678" s="628" t="n"/>
      <c r="Q678" s="628" t="n"/>
      <c r="R678" s="628" t="n"/>
      <c r="S678" s="628" t="n"/>
      <c r="T678" s="628" t="n"/>
      <c r="U678" s="628" t="n"/>
      <c r="V678" s="628" t="n"/>
      <c r="W678" s="628" t="n"/>
      <c r="X678" s="628" t="n"/>
      <c r="Y678" s="650" t="n"/>
      <c r="Z678" s="650" t="n"/>
      <c r="AA678" s="650" t="n"/>
      <c r="AB678" s="650" t="n"/>
      <c r="AC678" s="613" t="n"/>
      <c r="AD678" s="613" t="n"/>
      <c r="AE678" s="613" t="n"/>
      <c r="AF678" s="613" t="n"/>
      <c r="AG678" s="626" t="n"/>
      <c r="AH678" s="626" t="n"/>
      <c r="AI678" s="626" t="n"/>
      <c r="AJ678" s="626" t="n"/>
      <c r="AK678" s="626" t="n"/>
      <c r="AL678" s="626" t="n"/>
      <c r="AM678" s="626" t="n"/>
      <c r="AN678" s="626" t="n"/>
      <c r="AO678" s="626" t="n"/>
      <c r="AP678" s="369" t="n"/>
      <c r="AQ678" s="369" t="n"/>
      <c r="AR678" s="369" t="n"/>
      <c r="AS678" s="369" t="n"/>
      <c r="AT678" s="370" t="n"/>
      <c r="AU678" s="370" t="n"/>
      <c r="AV678" s="370" t="n"/>
      <c r="AW678" s="370" t="n"/>
      <c r="BJ678">
        <f>O678</f>
        <v/>
      </c>
      <c r="BK678">
        <f>SUM(AG678:AW678)</f>
        <v/>
      </c>
      <c r="BL678" s="531">
        <f>BJ678-BK678</f>
        <v/>
      </c>
      <c r="BM678" s="201" t="n"/>
    </row>
    <row r="679" hidden="1" outlineLevel="1" s="191">
      <c r="P679" s="628" t="n"/>
      <c r="Q679" s="628" t="n"/>
      <c r="R679" s="628" t="n"/>
      <c r="S679" s="628" t="n"/>
      <c r="T679" s="628" t="n"/>
      <c r="U679" s="628" t="n"/>
      <c r="V679" s="628" t="n"/>
      <c r="W679" s="628" t="n"/>
      <c r="X679" s="628" t="n"/>
      <c r="Y679" s="650" t="n"/>
      <c r="Z679" s="650" t="n"/>
      <c r="AA679" s="650" t="n"/>
      <c r="AB679" s="650" t="n"/>
      <c r="AC679" s="613" t="n"/>
      <c r="AD679" s="613" t="n"/>
      <c r="AE679" s="613" t="n"/>
      <c r="AF679" s="613" t="n"/>
      <c r="AG679" s="626" t="n"/>
      <c r="AH679" s="626" t="n"/>
      <c r="AI679" s="626" t="n"/>
      <c r="AJ679" s="626" t="n"/>
      <c r="AK679" s="626" t="n"/>
      <c r="AL679" s="626" t="n"/>
      <c r="AM679" s="626" t="n"/>
      <c r="AN679" s="626" t="n"/>
      <c r="AO679" s="626" t="n"/>
      <c r="AP679" s="369" t="n"/>
      <c r="AQ679" s="369" t="n"/>
      <c r="AR679" s="369" t="n"/>
      <c r="AS679" s="369" t="n"/>
      <c r="AT679" s="370" t="n"/>
      <c r="AU679" s="370" t="n"/>
      <c r="AV679" s="370" t="n"/>
      <c r="AW679" s="370" t="n"/>
      <c r="BJ679">
        <f>O679</f>
        <v/>
      </c>
      <c r="BK679">
        <f>SUM(AG679:AW679)</f>
        <v/>
      </c>
      <c r="BL679" s="531">
        <f>BJ679-BK679</f>
        <v/>
      </c>
      <c r="BM679" s="201" t="n"/>
    </row>
    <row r="680" hidden="1" outlineLevel="1" s="191">
      <c r="P680" s="628" t="n"/>
      <c r="Q680" s="628" t="n"/>
      <c r="R680" s="628" t="n"/>
      <c r="S680" s="628" t="n"/>
      <c r="T680" s="628" t="n"/>
      <c r="U680" s="628" t="n"/>
      <c r="V680" s="628" t="n"/>
      <c r="W680" s="628" t="n"/>
      <c r="X680" s="628" t="n"/>
      <c r="Y680" s="650" t="n"/>
      <c r="Z680" s="650" t="n"/>
      <c r="AA680" s="650" t="n"/>
      <c r="AB680" s="650" t="n"/>
      <c r="AC680" s="613" t="n"/>
      <c r="AD680" s="613" t="n"/>
      <c r="AE680" s="613" t="n"/>
      <c r="AF680" s="613" t="n"/>
      <c r="AG680" s="626" t="n"/>
      <c r="AH680" s="626" t="n"/>
      <c r="AI680" s="626" t="n"/>
      <c r="AJ680" s="626" t="n"/>
      <c r="AK680" s="626" t="n"/>
      <c r="AL680" s="626" t="n"/>
      <c r="AM680" s="626" t="n"/>
      <c r="AN680" s="626" t="n"/>
      <c r="AO680" s="626" t="n"/>
      <c r="AP680" s="369" t="n"/>
      <c r="AQ680" s="369" t="n"/>
      <c r="AR680" s="369" t="n"/>
      <c r="AS680" s="369" t="n"/>
      <c r="AT680" s="370" t="n"/>
      <c r="AU680" s="370" t="n"/>
      <c r="AV680" s="370" t="n"/>
      <c r="AW680" s="370" t="n"/>
      <c r="BJ680">
        <f>O680</f>
        <v/>
      </c>
      <c r="BK680">
        <f>SUM(AG680:AW680)</f>
        <v/>
      </c>
      <c r="BL680" s="531">
        <f>BJ680-BK680</f>
        <v/>
      </c>
      <c r="BM680" s="201" t="n"/>
    </row>
    <row r="681" hidden="1" outlineLevel="1" s="191">
      <c r="P681" s="628" t="n"/>
      <c r="Q681" s="628" t="n"/>
      <c r="R681" s="628" t="n"/>
      <c r="S681" s="628" t="n"/>
      <c r="T681" s="628" t="n"/>
      <c r="U681" s="628" t="n"/>
      <c r="V681" s="628" t="n"/>
      <c r="W681" s="628" t="n"/>
      <c r="X681" s="628" t="n"/>
      <c r="Y681" s="650" t="n"/>
      <c r="Z681" s="650" t="n"/>
      <c r="AA681" s="650" t="n"/>
      <c r="AB681" s="650" t="n"/>
      <c r="AC681" s="613" t="n"/>
      <c r="AD681" s="613" t="n"/>
      <c r="AE681" s="613" t="n"/>
      <c r="AF681" s="613" t="n"/>
      <c r="AG681" s="626" t="n"/>
      <c r="AH681" s="626" t="n"/>
      <c r="AI681" s="626" t="n"/>
      <c r="AJ681" s="626" t="n"/>
      <c r="AK681" s="626" t="n"/>
      <c r="AL681" s="626" t="n"/>
      <c r="AM681" s="626" t="n"/>
      <c r="AN681" s="626" t="n"/>
      <c r="AO681" s="626" t="n"/>
      <c r="AP681" s="369" t="n"/>
      <c r="AQ681" s="369" t="n"/>
      <c r="AR681" s="369" t="n"/>
      <c r="AS681" s="369" t="n"/>
      <c r="AT681" s="370" t="n"/>
      <c r="AU681" s="370" t="n"/>
      <c r="AV681" s="370" t="n"/>
      <c r="AW681" s="370" t="n"/>
      <c r="BJ681">
        <f>O681</f>
        <v/>
      </c>
      <c r="BK681">
        <f>SUM(AG681:AW681)</f>
        <v/>
      </c>
      <c r="BL681" s="531">
        <f>BJ681-BK681</f>
        <v/>
      </c>
      <c r="BM681" s="201" t="n"/>
    </row>
    <row r="682" hidden="1" outlineLevel="1" s="191">
      <c r="P682" s="628" t="n"/>
      <c r="Q682" s="628" t="n"/>
      <c r="R682" s="628" t="n"/>
      <c r="S682" s="628" t="n"/>
      <c r="T682" s="628" t="n"/>
      <c r="U682" s="628" t="n"/>
      <c r="V682" s="628" t="n"/>
      <c r="W682" s="628" t="n"/>
      <c r="X682" s="628" t="n"/>
      <c r="Y682" s="650" t="n"/>
      <c r="Z682" s="650" t="n"/>
      <c r="AA682" s="650" t="n"/>
      <c r="AB682" s="650" t="n"/>
      <c r="AC682" s="613" t="n"/>
      <c r="AD682" s="613" t="n"/>
      <c r="AE682" s="613" t="n"/>
      <c r="AF682" s="613" t="n"/>
      <c r="AG682" s="626" t="n"/>
      <c r="AH682" s="626" t="n"/>
      <c r="AI682" s="626" t="n"/>
      <c r="AJ682" s="626" t="n"/>
      <c r="AK682" s="626" t="n"/>
      <c r="AL682" s="626" t="n"/>
      <c r="AM682" s="626" t="n"/>
      <c r="AN682" s="626" t="n"/>
      <c r="AO682" s="626" t="n"/>
      <c r="AP682" s="369" t="n"/>
      <c r="AQ682" s="369" t="n"/>
      <c r="AR682" s="369" t="n"/>
      <c r="AS682" s="369" t="n"/>
      <c r="AT682" s="370" t="n"/>
      <c r="AU682" s="370" t="n"/>
      <c r="AV682" s="370" t="n"/>
      <c r="AW682" s="370" t="n"/>
      <c r="BJ682">
        <f>O682</f>
        <v/>
      </c>
      <c r="BK682">
        <f>SUM(AG682:AW682)</f>
        <v/>
      </c>
      <c r="BL682" s="531">
        <f>BJ682-BK682</f>
        <v/>
      </c>
      <c r="BM682" s="201" t="n"/>
    </row>
    <row r="683" hidden="1" outlineLevel="1" s="191">
      <c r="P683" s="628" t="n"/>
      <c r="Q683" s="628" t="n"/>
      <c r="R683" s="628" t="n"/>
      <c r="S683" s="628" t="n"/>
      <c r="T683" s="628" t="n"/>
      <c r="U683" s="628" t="n"/>
      <c r="V683" s="628" t="n"/>
      <c r="W683" s="628" t="n"/>
      <c r="X683" s="628" t="n"/>
      <c r="Y683" s="650" t="n"/>
      <c r="Z683" s="650" t="n"/>
      <c r="AA683" s="650" t="n"/>
      <c r="AB683" s="650" t="n"/>
      <c r="AC683" s="613" t="n"/>
      <c r="AD683" s="613" t="n"/>
      <c r="AE683" s="613" t="n"/>
      <c r="AF683" s="613" t="n"/>
      <c r="AG683" s="626" t="n"/>
      <c r="AH683" s="626" t="n"/>
      <c r="AI683" s="626" t="n"/>
      <c r="AJ683" s="626" t="n"/>
      <c r="AK683" s="626" t="n"/>
      <c r="AL683" s="626" t="n"/>
      <c r="AM683" s="626" t="n"/>
      <c r="AN683" s="626" t="n"/>
      <c r="AO683" s="626" t="n"/>
      <c r="AP683" s="369" t="n"/>
      <c r="AQ683" s="369" t="n"/>
      <c r="AR683" s="369" t="n"/>
      <c r="AS683" s="369" t="n"/>
      <c r="AT683" s="370" t="n"/>
      <c r="AU683" s="370" t="n"/>
      <c r="AV683" s="370" t="n"/>
      <c r="AW683" s="370" t="n"/>
      <c r="BJ683">
        <f>O683</f>
        <v/>
      </c>
      <c r="BK683">
        <f>SUM(AG683:AW683)</f>
        <v/>
      </c>
      <c r="BL683" s="531">
        <f>BJ683-BK683</f>
        <v/>
      </c>
      <c r="BM683" s="201" t="n"/>
    </row>
    <row r="684" hidden="1" outlineLevel="1" s="191">
      <c r="P684" s="628" t="n"/>
      <c r="Q684" s="628" t="n"/>
      <c r="R684" s="628" t="n"/>
      <c r="S684" s="628" t="n"/>
      <c r="T684" s="628" t="n"/>
      <c r="U684" s="628" t="n"/>
      <c r="V684" s="628" t="n"/>
      <c r="W684" s="628" t="n"/>
      <c r="X684" s="628" t="n"/>
      <c r="Y684" s="650" t="n"/>
      <c r="Z684" s="650" t="n"/>
      <c r="AA684" s="650" t="n"/>
      <c r="AB684" s="650" t="n"/>
      <c r="AC684" s="613" t="n"/>
      <c r="AD684" s="613" t="n"/>
      <c r="AE684" s="613" t="n"/>
      <c r="AF684" s="613" t="n"/>
      <c r="AG684" s="626" t="n"/>
      <c r="AH684" s="626" t="n"/>
      <c r="AI684" s="626" t="n"/>
      <c r="AJ684" s="626" t="n"/>
      <c r="AK684" s="626" t="n"/>
      <c r="AL684" s="626" t="n"/>
      <c r="AM684" s="626" t="n"/>
      <c r="AN684" s="626" t="n"/>
      <c r="AO684" s="626" t="n"/>
      <c r="AP684" s="369" t="n"/>
      <c r="AQ684" s="369" t="n"/>
      <c r="AR684" s="369" t="n"/>
      <c r="AS684" s="369" t="n"/>
      <c r="AT684" s="370" t="n"/>
      <c r="AU684" s="370" t="n"/>
      <c r="AV684" s="370" t="n"/>
      <c r="AW684" s="370" t="n"/>
      <c r="BJ684">
        <f>O684</f>
        <v/>
      </c>
      <c r="BK684">
        <f>SUM(AG684:AW684)</f>
        <v/>
      </c>
      <c r="BL684" s="531">
        <f>BJ684-BK684</f>
        <v/>
      </c>
      <c r="BM684" s="201" t="n"/>
    </row>
    <row r="685" hidden="1" outlineLevel="1" s="191">
      <c r="P685" s="628" t="n"/>
      <c r="Q685" s="628" t="n"/>
      <c r="R685" s="628" t="n"/>
      <c r="S685" s="628" t="n"/>
      <c r="T685" s="628" t="n"/>
      <c r="U685" s="628" t="n"/>
      <c r="V685" s="628" t="n"/>
      <c r="W685" s="628" t="n"/>
      <c r="X685" s="628" t="n"/>
      <c r="Y685" s="650" t="n"/>
      <c r="Z685" s="650" t="n"/>
      <c r="AA685" s="650" t="n"/>
      <c r="AB685" s="650" t="n"/>
      <c r="AC685" s="613" t="n"/>
      <c r="AD685" s="613" t="n"/>
      <c r="AE685" s="613" t="n"/>
      <c r="AF685" s="613" t="n"/>
      <c r="AG685" s="626" t="n"/>
      <c r="AH685" s="626" t="n"/>
      <c r="AI685" s="626" t="n"/>
      <c r="AJ685" s="626" t="n"/>
      <c r="AK685" s="626" t="n"/>
      <c r="AL685" s="626" t="n"/>
      <c r="AM685" s="626" t="n"/>
      <c r="AN685" s="626" t="n"/>
      <c r="AO685" s="626" t="n"/>
      <c r="AP685" s="369" t="n"/>
      <c r="AQ685" s="369" t="n"/>
      <c r="AR685" s="369" t="n"/>
      <c r="AS685" s="369" t="n"/>
      <c r="AT685" s="370" t="n"/>
      <c r="AU685" s="370" t="n"/>
      <c r="AV685" s="370" t="n"/>
      <c r="AW685" s="370" t="n"/>
      <c r="BJ685">
        <f>O685</f>
        <v/>
      </c>
      <c r="BK685">
        <f>SUM(AG685:AW685)</f>
        <v/>
      </c>
      <c r="BL685" s="531">
        <f>BJ685-BK685</f>
        <v/>
      </c>
      <c r="BM685" s="201" t="n"/>
    </row>
    <row r="686" hidden="1" outlineLevel="1" s="191">
      <c r="P686" s="628" t="n"/>
      <c r="Q686" s="628" t="n"/>
      <c r="R686" s="628" t="n"/>
      <c r="S686" s="628" t="n"/>
      <c r="T686" s="628" t="n"/>
      <c r="U686" s="628" t="n"/>
      <c r="V686" s="628" t="n"/>
      <c r="W686" s="628" t="n"/>
      <c r="X686" s="628" t="n"/>
      <c r="Y686" s="650" t="n"/>
      <c r="Z686" s="650" t="n"/>
      <c r="AA686" s="650" t="n"/>
      <c r="AB686" s="650" t="n"/>
      <c r="AC686" s="613" t="n"/>
      <c r="AD686" s="613" t="n"/>
      <c r="AE686" s="613" t="n"/>
      <c r="AF686" s="613" t="n"/>
      <c r="AG686" s="626" t="n"/>
      <c r="AH686" s="626" t="n"/>
      <c r="AI686" s="626" t="n"/>
      <c r="AJ686" s="626" t="n"/>
      <c r="AK686" s="626" t="n"/>
      <c r="AL686" s="626" t="n"/>
      <c r="AM686" s="626" t="n"/>
      <c r="AN686" s="626" t="n"/>
      <c r="AO686" s="626" t="n"/>
      <c r="AP686" s="369" t="n"/>
      <c r="AQ686" s="369" t="n"/>
      <c r="AR686" s="369" t="n"/>
      <c r="AS686" s="369" t="n"/>
      <c r="AT686" s="370" t="n"/>
      <c r="AU686" s="370" t="n"/>
      <c r="AV686" s="370" t="n"/>
      <c r="AW686" s="370" t="n"/>
      <c r="BJ686">
        <f>O686</f>
        <v/>
      </c>
      <c r="BK686">
        <f>SUM(AG686:AW686)</f>
        <v/>
      </c>
      <c r="BL686" s="531">
        <f>BJ686-BK686</f>
        <v/>
      </c>
      <c r="BM686" s="201" t="n"/>
    </row>
    <row r="687" hidden="1" outlineLevel="1" s="191">
      <c r="P687" s="628" t="n"/>
      <c r="Q687" s="628" t="n"/>
      <c r="R687" s="628" t="n"/>
      <c r="S687" s="628" t="n"/>
      <c r="T687" s="628" t="n"/>
      <c r="U687" s="628" t="n"/>
      <c r="V687" s="628" t="n"/>
      <c r="W687" s="628" t="n"/>
      <c r="X687" s="628" t="n"/>
      <c r="Y687" s="650" t="n"/>
      <c r="Z687" s="650" t="n"/>
      <c r="AA687" s="650" t="n"/>
      <c r="AB687" s="650" t="n"/>
      <c r="AC687" s="613" t="n"/>
      <c r="AD687" s="613" t="n"/>
      <c r="AE687" s="613" t="n"/>
      <c r="AF687" s="613" t="n"/>
      <c r="AG687" s="626" t="n"/>
      <c r="AH687" s="626" t="n"/>
      <c r="AI687" s="626" t="n"/>
      <c r="AJ687" s="626" t="n"/>
      <c r="AK687" s="626" t="n"/>
      <c r="AL687" s="626" t="n"/>
      <c r="AM687" s="626" t="n"/>
      <c r="AN687" s="626" t="n"/>
      <c r="AO687" s="626" t="n"/>
      <c r="AP687" s="369" t="n"/>
      <c r="AQ687" s="369" t="n"/>
      <c r="AR687" s="369" t="n"/>
      <c r="AS687" s="369" t="n"/>
      <c r="AT687" s="370" t="n"/>
      <c r="AU687" s="370" t="n"/>
      <c r="AV687" s="370" t="n"/>
      <c r="AW687" s="370" t="n"/>
      <c r="BJ687">
        <f>O687</f>
        <v/>
      </c>
      <c r="BK687">
        <f>SUM(AG687:AW687)</f>
        <v/>
      </c>
      <c r="BL687" s="531">
        <f>BJ687-BK687</f>
        <v/>
      </c>
      <c r="BM687" s="201" t="n"/>
    </row>
    <row r="688" hidden="1" outlineLevel="1" s="191">
      <c r="P688" s="628" t="n"/>
      <c r="Q688" s="628" t="n"/>
      <c r="R688" s="628" t="n"/>
      <c r="S688" s="628" t="n"/>
      <c r="T688" s="628" t="n"/>
      <c r="U688" s="628" t="n"/>
      <c r="V688" s="628" t="n"/>
      <c r="W688" s="628" t="n"/>
      <c r="X688" s="628" t="n"/>
      <c r="Y688" s="650" t="n"/>
      <c r="Z688" s="650" t="n"/>
      <c r="AA688" s="650" t="n"/>
      <c r="AB688" s="650" t="n"/>
      <c r="AC688" s="613" t="n"/>
      <c r="AD688" s="613" t="n"/>
      <c r="AE688" s="613" t="n"/>
      <c r="AF688" s="613" t="n"/>
      <c r="AG688" s="626" t="n"/>
      <c r="AH688" s="626" t="n"/>
      <c r="AI688" s="626" t="n"/>
      <c r="AJ688" s="626" t="n"/>
      <c r="AK688" s="626" t="n"/>
      <c r="AL688" s="626" t="n"/>
      <c r="AM688" s="626" t="n"/>
      <c r="AN688" s="626" t="n"/>
      <c r="AO688" s="626" t="n"/>
      <c r="AP688" s="369" t="n"/>
      <c r="AQ688" s="369" t="n"/>
      <c r="AR688" s="369" t="n"/>
      <c r="AS688" s="369" t="n"/>
      <c r="AT688" s="370" t="n"/>
      <c r="AU688" s="370" t="n"/>
      <c r="AV688" s="370" t="n"/>
      <c r="AW688" s="370" t="n"/>
      <c r="BJ688">
        <f>O688</f>
        <v/>
      </c>
      <c r="BK688">
        <f>SUM(AG688:AW688)</f>
        <v/>
      </c>
      <c r="BL688" s="531">
        <f>BJ688-BK688</f>
        <v/>
      </c>
      <c r="BM688" s="201" t="n"/>
    </row>
    <row r="689" hidden="1" outlineLevel="1" s="191">
      <c r="P689" s="628" t="n"/>
      <c r="Q689" s="628" t="n"/>
      <c r="R689" s="628" t="n"/>
      <c r="S689" s="628" t="n"/>
      <c r="T689" s="628" t="n"/>
      <c r="U689" s="628" t="n"/>
      <c r="V689" s="628" t="n"/>
      <c r="W689" s="628" t="n"/>
      <c r="X689" s="628" t="n"/>
      <c r="Y689" s="650" t="n"/>
      <c r="Z689" s="650" t="n"/>
      <c r="AA689" s="650" t="n"/>
      <c r="AB689" s="650" t="n"/>
      <c r="AC689" s="613" t="n"/>
      <c r="AD689" s="613" t="n"/>
      <c r="AE689" s="613" t="n"/>
      <c r="AF689" s="613" t="n"/>
      <c r="AG689" s="626" t="n"/>
      <c r="AH689" s="626" t="n"/>
      <c r="AI689" s="626" t="n"/>
      <c r="AJ689" s="626" t="n"/>
      <c r="AK689" s="626" t="n"/>
      <c r="AL689" s="626" t="n"/>
      <c r="AM689" s="626" t="n"/>
      <c r="AN689" s="626" t="n"/>
      <c r="AO689" s="626" t="n"/>
      <c r="AP689" s="369" t="n"/>
      <c r="AQ689" s="369" t="n"/>
      <c r="AR689" s="369" t="n"/>
      <c r="AS689" s="369" t="n"/>
      <c r="AT689" s="370" t="n"/>
      <c r="AU689" s="370" t="n"/>
      <c r="AV689" s="370" t="n"/>
      <c r="AW689" s="370" t="n"/>
      <c r="BJ689">
        <f>O689</f>
        <v/>
      </c>
      <c r="BK689">
        <f>SUM(AG689:AW689)</f>
        <v/>
      </c>
      <c r="BL689" s="531">
        <f>BJ689-BK689</f>
        <v/>
      </c>
      <c r="BM689" s="201" t="n"/>
    </row>
    <row r="690" hidden="1" outlineLevel="1" s="191">
      <c r="P690" s="628" t="n"/>
      <c r="Q690" s="628" t="n"/>
      <c r="R690" s="628" t="n"/>
      <c r="S690" s="628" t="n"/>
      <c r="T690" s="628" t="n"/>
      <c r="U690" s="628" t="n"/>
      <c r="V690" s="628" t="n"/>
      <c r="W690" s="628" t="n"/>
      <c r="X690" s="628" t="n"/>
      <c r="Y690" s="650" t="n"/>
      <c r="Z690" s="650" t="n"/>
      <c r="AA690" s="650" t="n"/>
      <c r="AB690" s="650" t="n"/>
      <c r="AC690" s="613" t="n"/>
      <c r="AD690" s="613" t="n"/>
      <c r="AE690" s="613" t="n"/>
      <c r="AF690" s="613" t="n"/>
      <c r="AG690" s="626" t="n"/>
      <c r="AH690" s="626" t="n"/>
      <c r="AI690" s="626" t="n"/>
      <c r="AJ690" s="626" t="n"/>
      <c r="AK690" s="626" t="n"/>
      <c r="AL690" s="626" t="n"/>
      <c r="AM690" s="626" t="n"/>
      <c r="AN690" s="626" t="n"/>
      <c r="AO690" s="626" t="n"/>
      <c r="AP690" s="369" t="n"/>
      <c r="AQ690" s="369" t="n"/>
      <c r="AR690" s="369" t="n"/>
      <c r="AS690" s="369" t="n"/>
      <c r="AT690" s="370" t="n"/>
      <c r="AU690" s="370" t="n"/>
      <c r="AV690" s="370" t="n"/>
      <c r="AW690" s="370" t="n"/>
      <c r="BJ690">
        <f>O690</f>
        <v/>
      </c>
      <c r="BK690">
        <f>SUM(AG690:AW690)</f>
        <v/>
      </c>
      <c r="BL690" s="531">
        <f>BJ690-BK690</f>
        <v/>
      </c>
      <c r="BM690" s="201" t="n"/>
    </row>
    <row r="691" hidden="1" outlineLevel="1" s="191">
      <c r="P691" s="628" t="n"/>
      <c r="Q691" s="628" t="n"/>
      <c r="R691" s="628" t="n"/>
      <c r="S691" s="628" t="n"/>
      <c r="T691" s="628" t="n"/>
      <c r="U691" s="628" t="n"/>
      <c r="V691" s="628" t="n"/>
      <c r="W691" s="628" t="n"/>
      <c r="X691" s="628" t="n"/>
      <c r="Y691" s="650" t="n"/>
      <c r="Z691" s="650" t="n"/>
      <c r="AA691" s="650" t="n"/>
      <c r="AB691" s="650" t="n"/>
      <c r="AC691" s="613" t="n"/>
      <c r="AD691" s="613" t="n"/>
      <c r="AE691" s="613" t="n"/>
      <c r="AF691" s="613" t="n"/>
      <c r="AG691" s="626" t="n"/>
      <c r="AH691" s="626" t="n"/>
      <c r="AI691" s="626" t="n"/>
      <c r="AJ691" s="626" t="n"/>
      <c r="AK691" s="626" t="n"/>
      <c r="AL691" s="626" t="n"/>
      <c r="AM691" s="626" t="n"/>
      <c r="AN691" s="626" t="n"/>
      <c r="AO691" s="626" t="n"/>
      <c r="AP691" s="369" t="n"/>
      <c r="AQ691" s="369" t="n"/>
      <c r="AR691" s="369" t="n"/>
      <c r="AS691" s="369" t="n"/>
      <c r="AT691" s="370" t="n"/>
      <c r="AU691" s="370" t="n"/>
      <c r="AV691" s="370" t="n"/>
      <c r="AW691" s="370" t="n"/>
      <c r="BJ691">
        <f>O691</f>
        <v/>
      </c>
      <c r="BK691">
        <f>SUM(AG691:AW691)</f>
        <v/>
      </c>
      <c r="BL691" s="531">
        <f>BJ691-BK691</f>
        <v/>
      </c>
      <c r="BM691" s="201" t="n"/>
    </row>
    <row r="692" hidden="1" outlineLevel="1" s="191">
      <c r="P692" s="628" t="n"/>
      <c r="Q692" s="628" t="n"/>
      <c r="R692" s="628" t="n"/>
      <c r="S692" s="628" t="n"/>
      <c r="T692" s="628" t="n"/>
      <c r="U692" s="628" t="n"/>
      <c r="V692" s="628" t="n"/>
      <c r="W692" s="628" t="n"/>
      <c r="X692" s="628" t="n"/>
      <c r="Y692" s="650" t="n"/>
      <c r="Z692" s="650" t="n"/>
      <c r="AA692" s="650" t="n"/>
      <c r="AB692" s="650" t="n"/>
      <c r="AC692" s="613" t="n"/>
      <c r="AD692" s="613" t="n"/>
      <c r="AE692" s="613" t="n"/>
      <c r="AF692" s="613" t="n"/>
      <c r="AG692" s="626" t="n"/>
      <c r="AH692" s="626" t="n"/>
      <c r="AI692" s="626" t="n"/>
      <c r="AJ692" s="626" t="n"/>
      <c r="AK692" s="626" t="n"/>
      <c r="AL692" s="626" t="n"/>
      <c r="AM692" s="626" t="n"/>
      <c r="AN692" s="626" t="n"/>
      <c r="AO692" s="626" t="n"/>
      <c r="AP692" s="369" t="n"/>
      <c r="AQ692" s="369" t="n"/>
      <c r="AR692" s="369" t="n"/>
      <c r="AS692" s="369" t="n"/>
      <c r="AT692" s="370" t="n"/>
      <c r="AU692" s="370" t="n"/>
      <c r="AV692" s="370" t="n"/>
      <c r="AW692" s="370" t="n"/>
      <c r="BJ692">
        <f>O692</f>
        <v/>
      </c>
      <c r="BK692">
        <f>SUM(AG692:AW692)</f>
        <v/>
      </c>
      <c r="BL692" s="531">
        <f>BJ692-BK692</f>
        <v/>
      </c>
      <c r="BM692" s="201" t="n"/>
    </row>
    <row r="693" hidden="1" outlineLevel="1" s="191">
      <c r="P693" s="628" t="n"/>
      <c r="Q693" s="628" t="n"/>
      <c r="R693" s="628" t="n"/>
      <c r="S693" s="628" t="n"/>
      <c r="T693" s="628" t="n"/>
      <c r="U693" s="628" t="n"/>
      <c r="V693" s="628" t="n"/>
      <c r="W693" s="628" t="n"/>
      <c r="X693" s="628" t="n"/>
      <c r="Y693" s="650" t="n"/>
      <c r="Z693" s="650" t="n"/>
      <c r="AA693" s="650" t="n"/>
      <c r="AB693" s="650" t="n"/>
      <c r="AC693" s="613" t="n"/>
      <c r="AD693" s="613" t="n"/>
      <c r="AE693" s="613" t="n"/>
      <c r="AF693" s="613" t="n"/>
      <c r="AG693" s="626" t="n"/>
      <c r="AH693" s="626" t="n"/>
      <c r="AI693" s="626" t="n"/>
      <c r="AJ693" s="626" t="n"/>
      <c r="AK693" s="626" t="n"/>
      <c r="AL693" s="626" t="n"/>
      <c r="AM693" s="626" t="n"/>
      <c r="AN693" s="626" t="n"/>
      <c r="AO693" s="626" t="n"/>
      <c r="AP693" s="369" t="n"/>
      <c r="AQ693" s="369" t="n"/>
      <c r="AR693" s="369" t="n"/>
      <c r="AS693" s="369" t="n"/>
      <c r="AT693" s="370" t="n"/>
      <c r="AU693" s="370" t="n"/>
      <c r="AV693" s="370" t="n"/>
      <c r="AW693" s="370" t="n"/>
      <c r="BJ693">
        <f>O693</f>
        <v/>
      </c>
      <c r="BK693">
        <f>SUM(AG693:AW693)</f>
        <v/>
      </c>
      <c r="BL693" s="531">
        <f>BJ693-BK693</f>
        <v/>
      </c>
      <c r="BM693" s="201" t="n"/>
    </row>
    <row r="694" hidden="1" outlineLevel="1" s="191">
      <c r="P694" s="628" t="n"/>
      <c r="Q694" s="628" t="n"/>
      <c r="R694" s="628" t="n"/>
      <c r="S694" s="628" t="n"/>
      <c r="T694" s="628" t="n"/>
      <c r="U694" s="628" t="n"/>
      <c r="V694" s="628" t="n"/>
      <c r="W694" s="628" t="n"/>
      <c r="X694" s="628" t="n"/>
      <c r="Y694" s="650" t="n"/>
      <c r="Z694" s="650" t="n"/>
      <c r="AA694" s="650" t="n"/>
      <c r="AB694" s="650" t="n"/>
      <c r="AC694" s="613" t="n"/>
      <c r="AD694" s="613" t="n"/>
      <c r="AE694" s="613" t="n"/>
      <c r="AF694" s="613" t="n"/>
      <c r="AG694" s="626" t="n"/>
      <c r="AH694" s="626" t="n"/>
      <c r="AI694" s="626" t="n"/>
      <c r="AJ694" s="626" t="n"/>
      <c r="AK694" s="626" t="n"/>
      <c r="AL694" s="626" t="n"/>
      <c r="AM694" s="626" t="n"/>
      <c r="AN694" s="626" t="n"/>
      <c r="AO694" s="626" t="n"/>
      <c r="AP694" s="369" t="n"/>
      <c r="AQ694" s="369" t="n"/>
      <c r="AR694" s="369" t="n"/>
      <c r="AS694" s="369" t="n"/>
      <c r="AT694" s="370" t="n"/>
      <c r="AU694" s="370" t="n"/>
      <c r="AV694" s="370" t="n"/>
      <c r="AW694" s="370" t="n"/>
      <c r="BJ694">
        <f>O694</f>
        <v/>
      </c>
      <c r="BK694">
        <f>SUM(AG694:AW694)</f>
        <v/>
      </c>
      <c r="BL694" s="531">
        <f>BJ694-BK694</f>
        <v/>
      </c>
      <c r="BM694" s="201" t="n"/>
    </row>
    <row r="695" hidden="1" outlineLevel="1" s="191">
      <c r="P695" s="628" t="n"/>
      <c r="Q695" s="628" t="n"/>
      <c r="R695" s="628" t="n"/>
      <c r="S695" s="628" t="n"/>
      <c r="T695" s="628" t="n"/>
      <c r="U695" s="628" t="n"/>
      <c r="V695" s="628" t="n"/>
      <c r="W695" s="628" t="n"/>
      <c r="X695" s="628" t="n"/>
      <c r="Y695" s="650" t="n"/>
      <c r="Z695" s="650" t="n"/>
      <c r="AA695" s="650" t="n"/>
      <c r="AB695" s="650" t="n"/>
      <c r="AC695" s="613" t="n"/>
      <c r="AD695" s="613" t="n"/>
      <c r="AE695" s="613" t="n"/>
      <c r="AF695" s="613" t="n"/>
      <c r="AG695" s="626" t="n"/>
      <c r="AH695" s="626" t="n"/>
      <c r="AI695" s="626" t="n"/>
      <c r="AJ695" s="626" t="n"/>
      <c r="AK695" s="626" t="n"/>
      <c r="AL695" s="626" t="n"/>
      <c r="AM695" s="626" t="n"/>
      <c r="AN695" s="626" t="n"/>
      <c r="AO695" s="626" t="n"/>
      <c r="AP695" s="369" t="n"/>
      <c r="AQ695" s="369" t="n"/>
      <c r="AR695" s="369" t="n"/>
      <c r="AS695" s="369" t="n"/>
      <c r="AT695" s="370" t="n"/>
      <c r="AU695" s="370" t="n"/>
      <c r="AV695" s="370" t="n"/>
      <c r="AW695" s="370" t="n"/>
      <c r="BJ695">
        <f>O695</f>
        <v/>
      </c>
      <c r="BK695">
        <f>SUM(AG695:AW695)</f>
        <v/>
      </c>
      <c r="BL695" s="531">
        <f>BJ695-BK695</f>
        <v/>
      </c>
      <c r="BM695" s="201" t="n"/>
    </row>
    <row r="696" hidden="1" outlineLevel="1" s="191">
      <c r="P696" s="628" t="n"/>
      <c r="Q696" s="628" t="n"/>
      <c r="R696" s="628" t="n"/>
      <c r="S696" s="628" t="n"/>
      <c r="T696" s="628" t="n"/>
      <c r="U696" s="628" t="n"/>
      <c r="V696" s="628" t="n"/>
      <c r="W696" s="628" t="n"/>
      <c r="X696" s="628" t="n"/>
      <c r="Y696" s="650" t="n"/>
      <c r="Z696" s="650" t="n"/>
      <c r="AA696" s="650" t="n"/>
      <c r="AB696" s="650" t="n"/>
      <c r="AC696" s="613" t="n"/>
      <c r="AD696" s="613" t="n"/>
      <c r="AE696" s="613" t="n"/>
      <c r="AF696" s="613" t="n"/>
      <c r="AG696" s="626" t="n"/>
      <c r="AH696" s="626" t="n"/>
      <c r="AI696" s="626" t="n"/>
      <c r="AJ696" s="626" t="n"/>
      <c r="AK696" s="626" t="n"/>
      <c r="AL696" s="626" t="n"/>
      <c r="AM696" s="626" t="n"/>
      <c r="AN696" s="626" t="n"/>
      <c r="AO696" s="626" t="n"/>
      <c r="AP696" s="369" t="n"/>
      <c r="AQ696" s="369" t="n"/>
      <c r="AR696" s="369" t="n"/>
      <c r="AS696" s="369" t="n"/>
      <c r="AT696" s="370" t="n"/>
      <c r="AU696" s="370" t="n"/>
      <c r="AV696" s="370" t="n"/>
      <c r="AW696" s="370" t="n"/>
      <c r="BJ696">
        <f>O696</f>
        <v/>
      </c>
      <c r="BK696">
        <f>SUM(AG696:AW696)</f>
        <v/>
      </c>
      <c r="BL696" s="531">
        <f>BJ696-BK696</f>
        <v/>
      </c>
      <c r="BM696" s="201" t="n"/>
    </row>
    <row r="697" hidden="1" outlineLevel="1" s="191">
      <c r="P697" s="628" t="n"/>
      <c r="Q697" s="628" t="n"/>
      <c r="R697" s="628" t="n"/>
      <c r="S697" s="628" t="n"/>
      <c r="T697" s="628" t="n"/>
      <c r="U697" s="628" t="n"/>
      <c r="V697" s="628" t="n"/>
      <c r="W697" s="628" t="n"/>
      <c r="X697" s="628" t="n"/>
      <c r="Y697" s="650" t="n"/>
      <c r="Z697" s="650" t="n"/>
      <c r="AA697" s="650" t="n"/>
      <c r="AB697" s="650" t="n"/>
      <c r="AC697" s="613" t="n"/>
      <c r="AD697" s="613" t="n"/>
      <c r="AE697" s="613" t="n"/>
      <c r="AF697" s="613" t="n"/>
      <c r="AG697" s="626" t="n"/>
      <c r="AH697" s="626" t="n"/>
      <c r="AI697" s="626" t="n"/>
      <c r="AJ697" s="626" t="n"/>
      <c r="AK697" s="626" t="n"/>
      <c r="AL697" s="626" t="n"/>
      <c r="AM697" s="626" t="n"/>
      <c r="AN697" s="626" t="n"/>
      <c r="AO697" s="626" t="n"/>
      <c r="AP697" s="369" t="n"/>
      <c r="AQ697" s="369" t="n"/>
      <c r="AR697" s="369" t="n"/>
      <c r="AS697" s="369" t="n"/>
      <c r="AT697" s="370" t="n"/>
      <c r="AU697" s="370" t="n"/>
      <c r="AV697" s="370" t="n"/>
      <c r="AW697" s="370" t="n"/>
      <c r="BJ697">
        <f>O697</f>
        <v/>
      </c>
      <c r="BK697">
        <f>SUM(AG697:AW697)</f>
        <v/>
      </c>
      <c r="BL697" s="531">
        <f>BJ697-BK697</f>
        <v/>
      </c>
      <c r="BM697" s="201" t="n"/>
    </row>
    <row r="698" hidden="1" outlineLevel="1" s="191">
      <c r="A698" s="264">
        <f>A600</f>
        <v/>
      </c>
      <c r="P698" s="628" t="n"/>
      <c r="Q698" s="628" t="n"/>
      <c r="R698" s="628" t="n"/>
      <c r="S698" s="628" t="n"/>
      <c r="T698" s="628" t="n"/>
      <c r="U698" s="628" t="n"/>
      <c r="V698" s="628" t="n"/>
      <c r="W698" s="628" t="n"/>
      <c r="X698" s="628" t="n"/>
      <c r="Y698" s="650" t="n"/>
      <c r="Z698" s="650" t="n"/>
      <c r="AA698" s="650" t="n"/>
      <c r="AB698" s="650" t="n"/>
      <c r="AC698" s="613" t="n"/>
      <c r="AD698" s="613" t="n"/>
      <c r="AE698" s="613" t="n"/>
      <c r="AF698" s="613" t="n"/>
      <c r="AG698" s="626" t="n"/>
      <c r="AH698" s="626" t="n"/>
      <c r="AI698" s="626" t="n"/>
      <c r="AJ698" s="626" t="n"/>
      <c r="AK698" s="626" t="n"/>
      <c r="AL698" s="626" t="n"/>
      <c r="AM698" s="626" t="n"/>
      <c r="AN698" s="626" t="n"/>
      <c r="AO698" s="626" t="n"/>
      <c r="AP698" s="369" t="n"/>
      <c r="AQ698" s="369" t="n"/>
      <c r="AR698" s="369" t="n"/>
      <c r="AS698" s="369" t="n"/>
      <c r="AT698" s="370" t="n"/>
      <c r="AU698" s="370" t="n"/>
      <c r="AV698" s="370" t="n"/>
      <c r="AW698" s="370" t="n"/>
      <c r="BJ698">
        <f>O698</f>
        <v/>
      </c>
      <c r="BK698">
        <f>SUM(AG698:AW698)</f>
        <v/>
      </c>
      <c r="BL698" s="531">
        <f>BJ698-BK698</f>
        <v/>
      </c>
      <c r="BM698" s="201" t="n"/>
    </row>
    <row r="699" collapsed="1" s="191">
      <c r="P699" s="628" t="n"/>
      <c r="Q699" s="628" t="n"/>
      <c r="R699" s="628" t="n"/>
      <c r="S699" s="628" t="n"/>
      <c r="T699" s="628" t="n"/>
      <c r="U699" s="628" t="n"/>
      <c r="V699" s="628" t="n"/>
      <c r="W699" s="628" t="n"/>
      <c r="X699" s="628" t="n"/>
      <c r="Y699" s="650" t="n"/>
      <c r="Z699" s="650" t="n"/>
      <c r="AA699" s="650" t="n"/>
      <c r="AB699" s="650" t="n"/>
      <c r="AC699" s="613" t="n"/>
      <c r="AD699" s="613" t="n"/>
      <c r="AE699" s="613" t="n"/>
      <c r="AF699" s="613" t="n"/>
      <c r="AG699" s="626" t="n"/>
      <c r="AH699" s="626" t="n"/>
      <c r="AI699" s="626" t="n"/>
      <c r="AJ699" s="626" t="n"/>
      <c r="AK699" s="626" t="n"/>
      <c r="AL699" s="626" t="n"/>
      <c r="AM699" s="626" t="n"/>
      <c r="AN699" s="626" t="n"/>
      <c r="AO699" s="626" t="n"/>
      <c r="AP699" s="369" t="n"/>
      <c r="AQ699" s="369" t="n"/>
      <c r="AR699" s="369" t="n"/>
      <c r="AS699" s="369" t="n"/>
      <c r="AT699" s="370" t="n"/>
      <c r="AU699" s="370" t="n"/>
      <c r="AV699" s="370" t="n"/>
      <c r="AW699" s="370" t="n"/>
      <c r="BJ699">
        <f>O699</f>
        <v/>
      </c>
      <c r="BK699">
        <f>SUM(AG699:AW699)</f>
        <v/>
      </c>
      <c r="BL699" s="531">
        <f>BJ699-BK699</f>
        <v/>
      </c>
      <c r="BM699" s="201">
        <f>SUM(BL700:BL798)</f>
        <v/>
      </c>
    </row>
    <row r="700" ht="15.6" customHeight="1" s="191">
      <c r="A700" s="259">
        <f>VII_Model_PKZ!A3</f>
        <v/>
      </c>
      <c r="B700" s="260" t="n"/>
      <c r="C700" s="261" t="n"/>
      <c r="D700" s="276" t="n"/>
      <c r="E700" s="277">
        <f>VLOOKUP(A700,Listy!A:C,2,FALSE) &amp; "   :  " &amp; VLOOKUP(A700,Listy!A:C,3,FALSE)</f>
        <v/>
      </c>
      <c r="F700" s="538" t="n"/>
      <c r="P700" s="628" t="n"/>
      <c r="Q700" s="628" t="n"/>
      <c r="R700" s="628" t="n"/>
      <c r="S700" s="628" t="n"/>
      <c r="T700" s="628" t="n"/>
      <c r="U700" s="628" t="n"/>
      <c r="V700" s="628" t="n"/>
      <c r="W700" s="628" t="n"/>
      <c r="X700" s="628" t="n"/>
      <c r="Y700" s="650" t="n"/>
      <c r="Z700" s="650" t="n"/>
      <c r="AA700" s="650" t="n"/>
      <c r="AB700" s="650" t="n"/>
      <c r="AC700" s="613" t="n"/>
      <c r="AD700" s="613" t="n"/>
      <c r="AE700" s="613" t="n"/>
      <c r="AF700" s="613" t="n"/>
      <c r="AG700" s="626" t="n"/>
      <c r="AH700" s="626" t="n"/>
      <c r="AI700" s="626" t="n"/>
      <c r="AJ700" s="626" t="n"/>
      <c r="AK700" s="626" t="n"/>
      <c r="AL700" s="626" t="n"/>
      <c r="AM700" s="626" t="n"/>
      <c r="AN700" s="626" t="n"/>
      <c r="AO700" s="626" t="n"/>
      <c r="AP700" s="369" t="n"/>
      <c r="AQ700" s="369" t="n"/>
      <c r="AR700" s="369" t="n"/>
      <c r="AS700" s="369" t="n"/>
      <c r="AT700" s="370" t="n"/>
      <c r="AU700" s="370" t="n"/>
      <c r="AV700" s="370" t="n"/>
      <c r="AW700" s="370" t="n"/>
      <c r="BJ700">
        <f>O700</f>
        <v/>
      </c>
      <c r="BK700">
        <f>SUM(AG700:AW700)</f>
        <v/>
      </c>
      <c r="BL700" s="531">
        <f>BJ700-BK700</f>
        <v/>
      </c>
      <c r="BM700" s="201">
        <f>SUM(BL701:BL799)</f>
        <v/>
      </c>
    </row>
    <row r="701" hidden="1" outlineLevel="1" s="191">
      <c r="A701">
        <f>VII_Model_PKZ!A4</f>
        <v/>
      </c>
      <c r="B701">
        <f>VII_Model_PKZ!B4</f>
        <v/>
      </c>
      <c r="C701">
        <f>VII_Model_PKZ!C4</f>
        <v/>
      </c>
      <c r="D701">
        <f>VII_Model_PKZ!D4</f>
        <v/>
      </c>
      <c r="E701">
        <f>VII_Model_PKZ!E4</f>
        <v/>
      </c>
      <c r="F701">
        <f>VII_Model_PKZ!F4</f>
        <v/>
      </c>
      <c r="G701">
        <f>VII_Model_PKZ!G4</f>
        <v/>
      </c>
      <c r="H701">
        <f>VII_Model_PKZ!H4</f>
        <v/>
      </c>
      <c r="I701">
        <f>VII_Model_PKZ!I4</f>
        <v/>
      </c>
      <c r="J701">
        <f>VII_Model_PKZ!J4</f>
        <v/>
      </c>
      <c r="K701">
        <f>VII_Model_PKZ!K4</f>
        <v/>
      </c>
      <c r="L701">
        <f>VII_Model_PKZ!L4</f>
        <v/>
      </c>
      <c r="M701">
        <f>VII_Model_PKZ!M4</f>
        <v/>
      </c>
      <c r="N701">
        <f>VII_Model_PKZ!N4</f>
        <v/>
      </c>
      <c r="O701">
        <f>VII_Model_PKZ!O4</f>
        <v/>
      </c>
      <c r="P701" s="628">
        <f>VII_Model_PKZ!P4</f>
        <v/>
      </c>
      <c r="Q701" s="628">
        <f>VII_Model_PKZ!Q4</f>
        <v/>
      </c>
      <c r="R701" s="628">
        <f>VII_Model_PKZ!R4</f>
        <v/>
      </c>
      <c r="S701" s="628">
        <f>VII_Model_PKZ!S4</f>
        <v/>
      </c>
      <c r="T701" s="628">
        <f>VII_Model_PKZ!T4</f>
        <v/>
      </c>
      <c r="U701" s="628">
        <f>VII_Model_PKZ!U4</f>
        <v/>
      </c>
      <c r="V701" s="628">
        <f>VII_Model_PKZ!V4</f>
        <v/>
      </c>
      <c r="W701" s="628">
        <f>VII_Model_PKZ!W4</f>
        <v/>
      </c>
      <c r="X701" s="628">
        <f>VII_Model_PKZ!X4</f>
        <v/>
      </c>
      <c r="Y701" s="650">
        <f>VII_Model_PKZ!Y4</f>
        <v/>
      </c>
      <c r="Z701" s="650">
        <f>VII_Model_PKZ!Z4</f>
        <v/>
      </c>
      <c r="AA701" s="650">
        <f>VII_Model_PKZ!AA4</f>
        <v/>
      </c>
      <c r="AB701" s="650">
        <f>VII_Model_PKZ!AB4</f>
        <v/>
      </c>
      <c r="AC701" s="613">
        <f>VII_Model_PKZ!AC4</f>
        <v/>
      </c>
      <c r="AD701" s="613">
        <f>VII_Model_PKZ!AD4</f>
        <v/>
      </c>
      <c r="AE701" s="613">
        <f>VII_Model_PKZ!AE4</f>
        <v/>
      </c>
      <c r="AF701" s="613">
        <f>VII_Model_PKZ!AF4</f>
        <v/>
      </c>
      <c r="AG701" s="626">
        <f>VII_Model_PKZ!AG4</f>
        <v/>
      </c>
      <c r="AH701" s="626">
        <f>VII_Model_PKZ!AH4</f>
        <v/>
      </c>
      <c r="AI701" s="626">
        <f>VII_Model_PKZ!AI4</f>
        <v/>
      </c>
      <c r="AJ701" s="626">
        <f>VII_Model_PKZ!AJ4</f>
        <v/>
      </c>
      <c r="AK701" s="626">
        <f>VII_Model_PKZ!AK4</f>
        <v/>
      </c>
      <c r="AL701" s="626">
        <f>VII_Model_PKZ!AL4</f>
        <v/>
      </c>
      <c r="AM701" s="626">
        <f>VII_Model_PKZ!AM4</f>
        <v/>
      </c>
      <c r="AN701" s="626">
        <f>VII_Model_PKZ!AN4</f>
        <v/>
      </c>
      <c r="AO701" s="626">
        <f>VII_Model_PKZ!AO4</f>
        <v/>
      </c>
      <c r="AP701" s="369">
        <f>VII_Model_PKZ!AP4</f>
        <v/>
      </c>
      <c r="AQ701" s="369">
        <f>VII_Model_PKZ!AQ4</f>
        <v/>
      </c>
      <c r="AR701" s="369">
        <f>VII_Model_PKZ!AR4</f>
        <v/>
      </c>
      <c r="AS701" s="369">
        <f>VII_Model_PKZ!AS4</f>
        <v/>
      </c>
      <c r="AT701" s="370">
        <f>VII_Model_PKZ!AT4</f>
        <v/>
      </c>
      <c r="AU701" s="370">
        <f>VII_Model_PKZ!AU4</f>
        <v/>
      </c>
      <c r="AV701" s="370">
        <f>VII_Model_PKZ!AV4</f>
        <v/>
      </c>
      <c r="AW701" s="370">
        <f>VII_Model_PKZ!AW4</f>
        <v/>
      </c>
      <c r="AX701">
        <f>VII_Model_PKZ!AX4</f>
        <v/>
      </c>
      <c r="AY701">
        <f>VII_Model_PKZ!AY4</f>
        <v/>
      </c>
      <c r="AZ701">
        <f>VII_Model_PKZ!AZ4</f>
        <v/>
      </c>
      <c r="BA701">
        <f>VII_Model_PKZ!BA4</f>
        <v/>
      </c>
      <c r="BB701">
        <f>VII_Model_PKZ!BB4</f>
        <v/>
      </c>
      <c r="BC701">
        <f>VII_Model_PKZ!BC4</f>
        <v/>
      </c>
      <c r="BD701">
        <f>VII_Model_PKZ!BD4</f>
        <v/>
      </c>
      <c r="BE701">
        <f>VII_Model_PKZ!BE4</f>
        <v/>
      </c>
      <c r="BF701">
        <f>VII_Model_PKZ!BF4</f>
        <v/>
      </c>
      <c r="BG701">
        <f>VII_Model_PKZ!BG4</f>
        <v/>
      </c>
      <c r="BH701">
        <f>VII_Model_PKZ!BH4</f>
        <v/>
      </c>
      <c r="BI701">
        <f>VII_Model_PKZ!BI4</f>
        <v/>
      </c>
      <c r="BJ701">
        <f>O701</f>
        <v/>
      </c>
      <c r="BK701">
        <f>SUM(AG701:AW701)</f>
        <v/>
      </c>
      <c r="BL701" s="531">
        <f>BJ701-BK701</f>
        <v/>
      </c>
      <c r="BM701" s="201" t="n"/>
    </row>
    <row r="702" hidden="1" outlineLevel="1" s="191">
      <c r="A702">
        <f>VII_Model_PKZ!A5</f>
        <v/>
      </c>
      <c r="B702">
        <f>VII_Model_PKZ!B5</f>
        <v/>
      </c>
      <c r="C702">
        <f>VII_Model_PKZ!C5</f>
        <v/>
      </c>
      <c r="D702">
        <f>VII_Model_PKZ!D5</f>
        <v/>
      </c>
      <c r="E702">
        <f>VII_Model_PKZ!E5</f>
        <v/>
      </c>
      <c r="F702">
        <f>VII_Model_PKZ!F5</f>
        <v/>
      </c>
      <c r="G702">
        <f>VII_Model_PKZ!G5</f>
        <v/>
      </c>
      <c r="H702">
        <f>VII_Model_PKZ!H5</f>
        <v/>
      </c>
      <c r="I702">
        <f>VII_Model_PKZ!I5</f>
        <v/>
      </c>
      <c r="J702">
        <f>VII_Model_PKZ!J5</f>
        <v/>
      </c>
      <c r="K702" s="672">
        <f>VII_Model_PKZ!K5</f>
        <v/>
      </c>
      <c r="L702" s="672">
        <f>VII_Model_PKZ!L5</f>
        <v/>
      </c>
      <c r="M702">
        <f>VII_Model_PKZ!M5</f>
        <v/>
      </c>
      <c r="N702">
        <f>VII_Model_PKZ!N5</f>
        <v/>
      </c>
      <c r="O702">
        <f>VII_Model_PKZ!O5</f>
        <v/>
      </c>
      <c r="P702" s="628">
        <f>VII_Model_PKZ!P5</f>
        <v/>
      </c>
      <c r="Q702" s="628">
        <f>VII_Model_PKZ!Q5</f>
        <v/>
      </c>
      <c r="R702" s="628">
        <f>VII_Model_PKZ!R5</f>
        <v/>
      </c>
      <c r="S702" s="628">
        <f>VII_Model_PKZ!S5</f>
        <v/>
      </c>
      <c r="T702" s="628">
        <f>VII_Model_PKZ!T5</f>
        <v/>
      </c>
      <c r="U702" s="628">
        <f>VII_Model_PKZ!U5</f>
        <v/>
      </c>
      <c r="V702" s="628">
        <f>VII_Model_PKZ!V5</f>
        <v/>
      </c>
      <c r="W702" s="628">
        <f>VII_Model_PKZ!W5</f>
        <v/>
      </c>
      <c r="X702" s="628">
        <f>VII_Model_PKZ!X5</f>
        <v/>
      </c>
      <c r="Y702" s="650">
        <f>VII_Model_PKZ!Y5</f>
        <v/>
      </c>
      <c r="Z702" s="650">
        <f>VII_Model_PKZ!Z5</f>
        <v/>
      </c>
      <c r="AA702" s="650">
        <f>VII_Model_PKZ!AA5</f>
        <v/>
      </c>
      <c r="AB702" s="650">
        <f>VII_Model_PKZ!AB5</f>
        <v/>
      </c>
      <c r="AC702" s="613">
        <f>VII_Model_PKZ!AC5</f>
        <v/>
      </c>
      <c r="AD702" s="613">
        <f>VII_Model_PKZ!AD5</f>
        <v/>
      </c>
      <c r="AE702" s="613">
        <f>VII_Model_PKZ!AE5</f>
        <v/>
      </c>
      <c r="AF702" s="613">
        <f>VII_Model_PKZ!AF5</f>
        <v/>
      </c>
      <c r="AG702" s="626">
        <f>VII_Model_PKZ!AG5</f>
        <v/>
      </c>
      <c r="AH702" s="626">
        <f>VII_Model_PKZ!AH5</f>
        <v/>
      </c>
      <c r="AI702" s="626">
        <f>VII_Model_PKZ!AI5</f>
        <v/>
      </c>
      <c r="AJ702" s="626">
        <f>VII_Model_PKZ!AJ5</f>
        <v/>
      </c>
      <c r="AK702" s="626">
        <f>VII_Model_PKZ!AK5</f>
        <v/>
      </c>
      <c r="AL702" s="626">
        <f>VII_Model_PKZ!AL5</f>
        <v/>
      </c>
      <c r="AM702" s="626">
        <f>VII_Model_PKZ!AM5</f>
        <v/>
      </c>
      <c r="AN702" s="626">
        <f>VII_Model_PKZ!AN5</f>
        <v/>
      </c>
      <c r="AO702" s="626">
        <f>VII_Model_PKZ!AO5</f>
        <v/>
      </c>
      <c r="AP702" s="369">
        <f>VII_Model_PKZ!AP5</f>
        <v/>
      </c>
      <c r="AQ702" s="369">
        <f>VII_Model_PKZ!AQ5</f>
        <v/>
      </c>
      <c r="AR702" s="369">
        <f>VII_Model_PKZ!AR5</f>
        <v/>
      </c>
      <c r="AS702" s="369">
        <f>VII_Model_PKZ!AS5</f>
        <v/>
      </c>
      <c r="AT702" s="370">
        <f>VII_Model_PKZ!AT5</f>
        <v/>
      </c>
      <c r="AU702" s="370">
        <f>VII_Model_PKZ!AU5</f>
        <v/>
      </c>
      <c r="AV702" s="370">
        <f>VII_Model_PKZ!AV5</f>
        <v/>
      </c>
      <c r="AW702" s="370">
        <f>VII_Model_PKZ!AW5</f>
        <v/>
      </c>
      <c r="AX702">
        <f>VII_Model_PKZ!AX5</f>
        <v/>
      </c>
      <c r="AY702">
        <f>VII_Model_PKZ!AY5</f>
        <v/>
      </c>
      <c r="AZ702">
        <f>VII_Model_PKZ!AZ5</f>
        <v/>
      </c>
      <c r="BA702">
        <f>VII_Model_PKZ!BA5</f>
        <v/>
      </c>
      <c r="BB702">
        <f>VII_Model_PKZ!BB5</f>
        <v/>
      </c>
      <c r="BC702">
        <f>VII_Model_PKZ!BC5</f>
        <v/>
      </c>
      <c r="BD702">
        <f>VII_Model_PKZ!BD5</f>
        <v/>
      </c>
      <c r="BE702">
        <f>VII_Model_PKZ!BE5</f>
        <v/>
      </c>
      <c r="BF702">
        <f>VII_Model_PKZ!BF5</f>
        <v/>
      </c>
      <c r="BG702">
        <f>VII_Model_PKZ!BG5</f>
        <v/>
      </c>
      <c r="BH702">
        <f>VII_Model_PKZ!BH5</f>
        <v/>
      </c>
      <c r="BI702">
        <f>VII_Model_PKZ!BI5</f>
        <v/>
      </c>
      <c r="BJ702">
        <f>O702</f>
        <v/>
      </c>
      <c r="BK702">
        <f>SUM(AG702:AW702)</f>
        <v/>
      </c>
      <c r="BL702" s="531">
        <f>BJ702-BK702</f>
        <v/>
      </c>
      <c r="BM702" s="201" t="n"/>
    </row>
    <row r="703" hidden="1" outlineLevel="1" s="191">
      <c r="A703">
        <f>VII_Model_PKZ!A6</f>
        <v/>
      </c>
      <c r="B703">
        <f>VII_Model_PKZ!B6</f>
        <v/>
      </c>
      <c r="C703">
        <f>VII_Model_PKZ!C6</f>
        <v/>
      </c>
      <c r="D703">
        <f>VII_Model_PKZ!D6</f>
        <v/>
      </c>
      <c r="E703">
        <f>VII_Model_PKZ!E6</f>
        <v/>
      </c>
      <c r="F703">
        <f>VII_Model_PKZ!F6</f>
        <v/>
      </c>
      <c r="G703">
        <f>VII_Model_PKZ!G6</f>
        <v/>
      </c>
      <c r="H703">
        <f>VII_Model_PKZ!H6</f>
        <v/>
      </c>
      <c r="I703">
        <f>VII_Model_PKZ!I6</f>
        <v/>
      </c>
      <c r="J703">
        <f>VII_Model_PKZ!J6</f>
        <v/>
      </c>
      <c r="K703" s="672">
        <f>VII_Model_PKZ!K6</f>
        <v/>
      </c>
      <c r="L703" s="672">
        <f>VII_Model_PKZ!L6</f>
        <v/>
      </c>
      <c r="M703">
        <f>VII_Model_PKZ!M6</f>
        <v/>
      </c>
      <c r="N703">
        <f>VII_Model_PKZ!N6</f>
        <v/>
      </c>
      <c r="O703">
        <f>VII_Model_PKZ!O6</f>
        <v/>
      </c>
      <c r="P703" s="628">
        <f>VII_Model_PKZ!P6</f>
        <v/>
      </c>
      <c r="Q703" s="628">
        <f>VII_Model_PKZ!Q6</f>
        <v/>
      </c>
      <c r="R703" s="628">
        <f>VII_Model_PKZ!R6</f>
        <v/>
      </c>
      <c r="S703" s="628">
        <f>VII_Model_PKZ!S6</f>
        <v/>
      </c>
      <c r="T703" s="628">
        <f>VII_Model_PKZ!T6</f>
        <v/>
      </c>
      <c r="U703" s="628">
        <f>VII_Model_PKZ!U6</f>
        <v/>
      </c>
      <c r="V703" s="628">
        <f>VII_Model_PKZ!V6</f>
        <v/>
      </c>
      <c r="W703" s="628">
        <f>VII_Model_PKZ!W6</f>
        <v/>
      </c>
      <c r="X703" s="628">
        <f>VII_Model_PKZ!X6</f>
        <v/>
      </c>
      <c r="Y703" s="650">
        <f>VII_Model_PKZ!Y6</f>
        <v/>
      </c>
      <c r="Z703" s="650">
        <f>VII_Model_PKZ!Z6</f>
        <v/>
      </c>
      <c r="AA703" s="650">
        <f>VII_Model_PKZ!AA6</f>
        <v/>
      </c>
      <c r="AB703" s="650">
        <f>VII_Model_PKZ!AB6</f>
        <v/>
      </c>
      <c r="AC703" s="613">
        <f>VII_Model_PKZ!AC6</f>
        <v/>
      </c>
      <c r="AD703" s="613">
        <f>VII_Model_PKZ!AD6</f>
        <v/>
      </c>
      <c r="AE703" s="613">
        <f>VII_Model_PKZ!AE6</f>
        <v/>
      </c>
      <c r="AF703" s="613">
        <f>VII_Model_PKZ!AF6</f>
        <v/>
      </c>
      <c r="AG703" s="626">
        <f>VII_Model_PKZ!AG6</f>
        <v/>
      </c>
      <c r="AH703" s="626">
        <f>VII_Model_PKZ!AH6</f>
        <v/>
      </c>
      <c r="AI703" s="626">
        <f>VII_Model_PKZ!AI6</f>
        <v/>
      </c>
      <c r="AJ703" s="626">
        <f>VII_Model_PKZ!AJ6</f>
        <v/>
      </c>
      <c r="AK703" s="626">
        <f>VII_Model_PKZ!AK6</f>
        <v/>
      </c>
      <c r="AL703" s="626">
        <f>VII_Model_PKZ!AL6</f>
        <v/>
      </c>
      <c r="AM703" s="626">
        <f>VII_Model_PKZ!AM6</f>
        <v/>
      </c>
      <c r="AN703" s="626">
        <f>VII_Model_PKZ!AN6</f>
        <v/>
      </c>
      <c r="AO703" s="626">
        <f>VII_Model_PKZ!AO6</f>
        <v/>
      </c>
      <c r="AP703" s="369">
        <f>VII_Model_PKZ!AP6</f>
        <v/>
      </c>
      <c r="AQ703" s="369">
        <f>VII_Model_PKZ!AQ6</f>
        <v/>
      </c>
      <c r="AR703" s="369">
        <f>VII_Model_PKZ!AR6</f>
        <v/>
      </c>
      <c r="AS703" s="369">
        <f>VII_Model_PKZ!AS6</f>
        <v/>
      </c>
      <c r="AT703" s="370">
        <f>VII_Model_PKZ!AT6</f>
        <v/>
      </c>
      <c r="AU703" s="370">
        <f>VII_Model_PKZ!AU6</f>
        <v/>
      </c>
      <c r="AV703" s="370">
        <f>VII_Model_PKZ!AV6</f>
        <v/>
      </c>
      <c r="AW703" s="370">
        <f>VII_Model_PKZ!AW6</f>
        <v/>
      </c>
      <c r="AX703">
        <f>VII_Model_PKZ!AX6</f>
        <v/>
      </c>
      <c r="AY703">
        <f>VII_Model_PKZ!AY6</f>
        <v/>
      </c>
      <c r="AZ703">
        <f>VII_Model_PKZ!AZ6</f>
        <v/>
      </c>
      <c r="BA703">
        <f>VII_Model_PKZ!BA6</f>
        <v/>
      </c>
      <c r="BB703">
        <f>VII_Model_PKZ!BB6</f>
        <v/>
      </c>
      <c r="BC703">
        <f>VII_Model_PKZ!BC6</f>
        <v/>
      </c>
      <c r="BD703">
        <f>VII_Model_PKZ!BD6</f>
        <v/>
      </c>
      <c r="BE703">
        <f>VII_Model_PKZ!BE6</f>
        <v/>
      </c>
      <c r="BF703">
        <f>VII_Model_PKZ!BF6</f>
        <v/>
      </c>
      <c r="BG703">
        <f>VII_Model_PKZ!BG6</f>
        <v/>
      </c>
      <c r="BH703">
        <f>VII_Model_PKZ!BH6</f>
        <v/>
      </c>
      <c r="BI703">
        <f>VII_Model_PKZ!BI6</f>
        <v/>
      </c>
      <c r="BJ703">
        <f>O703</f>
        <v/>
      </c>
      <c r="BK703">
        <f>SUM(AG703:AW703)</f>
        <v/>
      </c>
      <c r="BL703" s="531">
        <f>BJ703-BK703</f>
        <v/>
      </c>
      <c r="BM703" s="201" t="n"/>
    </row>
    <row r="704" hidden="1" outlineLevel="1" s="191">
      <c r="A704">
        <f>VII_Model_PKZ!A7</f>
        <v/>
      </c>
      <c r="B704">
        <f>VII_Model_PKZ!B7</f>
        <v/>
      </c>
      <c r="C704">
        <f>VII_Model_PKZ!C7</f>
        <v/>
      </c>
      <c r="D704">
        <f>VII_Model_PKZ!D7</f>
        <v/>
      </c>
      <c r="E704">
        <f>VII_Model_PKZ!E7</f>
        <v/>
      </c>
      <c r="F704">
        <f>VII_Model_PKZ!F7</f>
        <v/>
      </c>
      <c r="G704">
        <f>VII_Model_PKZ!G7</f>
        <v/>
      </c>
      <c r="H704">
        <f>VII_Model_PKZ!H7</f>
        <v/>
      </c>
      <c r="I704">
        <f>VII_Model_PKZ!I7</f>
        <v/>
      </c>
      <c r="J704">
        <f>VII_Model_PKZ!J7</f>
        <v/>
      </c>
      <c r="K704" s="672">
        <f>VII_Model_PKZ!K7</f>
        <v/>
      </c>
      <c r="L704" s="672">
        <f>VII_Model_PKZ!L7</f>
        <v/>
      </c>
      <c r="M704">
        <f>VII_Model_PKZ!M7</f>
        <v/>
      </c>
      <c r="N704">
        <f>VII_Model_PKZ!N7</f>
        <v/>
      </c>
      <c r="O704">
        <f>VII_Model_PKZ!O7</f>
        <v/>
      </c>
      <c r="P704" s="628">
        <f>VII_Model_PKZ!P7</f>
        <v/>
      </c>
      <c r="Q704" s="628">
        <f>VII_Model_PKZ!Q7</f>
        <v/>
      </c>
      <c r="R704" s="628">
        <f>VII_Model_PKZ!R7</f>
        <v/>
      </c>
      <c r="S704" s="628">
        <f>VII_Model_PKZ!S7</f>
        <v/>
      </c>
      <c r="T704" s="628">
        <f>VII_Model_PKZ!T7</f>
        <v/>
      </c>
      <c r="U704" s="628">
        <f>VII_Model_PKZ!U7</f>
        <v/>
      </c>
      <c r="V704" s="628">
        <f>VII_Model_PKZ!V7</f>
        <v/>
      </c>
      <c r="W704" s="628">
        <f>VII_Model_PKZ!W7</f>
        <v/>
      </c>
      <c r="X704" s="628">
        <f>VII_Model_PKZ!X7</f>
        <v/>
      </c>
      <c r="Y704" s="650">
        <f>VII_Model_PKZ!Y7</f>
        <v/>
      </c>
      <c r="Z704" s="650">
        <f>VII_Model_PKZ!Z7</f>
        <v/>
      </c>
      <c r="AA704" s="650">
        <f>VII_Model_PKZ!AA7</f>
        <v/>
      </c>
      <c r="AB704" s="650">
        <f>VII_Model_PKZ!AB7</f>
        <v/>
      </c>
      <c r="AC704" s="613">
        <f>VII_Model_PKZ!AC7</f>
        <v/>
      </c>
      <c r="AD704" s="613">
        <f>VII_Model_PKZ!AD7</f>
        <v/>
      </c>
      <c r="AE704" s="613">
        <f>VII_Model_PKZ!AE7</f>
        <v/>
      </c>
      <c r="AF704" s="613">
        <f>VII_Model_PKZ!AF7</f>
        <v/>
      </c>
      <c r="AG704" s="626">
        <f>VII_Model_PKZ!AG7</f>
        <v/>
      </c>
      <c r="AH704" s="626">
        <f>VII_Model_PKZ!AH7</f>
        <v/>
      </c>
      <c r="AI704" s="626">
        <f>VII_Model_PKZ!AI7</f>
        <v/>
      </c>
      <c r="AJ704" s="626">
        <f>VII_Model_PKZ!AJ7</f>
        <v/>
      </c>
      <c r="AK704" s="626">
        <f>VII_Model_PKZ!AK7</f>
        <v/>
      </c>
      <c r="AL704" s="626">
        <f>VII_Model_PKZ!AL7</f>
        <v/>
      </c>
      <c r="AM704" s="626">
        <f>VII_Model_PKZ!AM7</f>
        <v/>
      </c>
      <c r="AN704" s="626">
        <f>VII_Model_PKZ!AN7</f>
        <v/>
      </c>
      <c r="AO704" s="626">
        <f>VII_Model_PKZ!AO7</f>
        <v/>
      </c>
      <c r="AP704" s="369">
        <f>VII_Model_PKZ!AP7</f>
        <v/>
      </c>
      <c r="AQ704" s="369">
        <f>VII_Model_PKZ!AQ7</f>
        <v/>
      </c>
      <c r="AR704" s="369">
        <f>VII_Model_PKZ!AR7</f>
        <v/>
      </c>
      <c r="AS704" s="369">
        <f>VII_Model_PKZ!AS7</f>
        <v/>
      </c>
      <c r="AT704" s="370">
        <f>VII_Model_PKZ!AT7</f>
        <v/>
      </c>
      <c r="AU704" s="370">
        <f>VII_Model_PKZ!AU7</f>
        <v/>
      </c>
      <c r="AV704" s="370">
        <f>VII_Model_PKZ!AV7</f>
        <v/>
      </c>
      <c r="AW704" s="370">
        <f>VII_Model_PKZ!AW7</f>
        <v/>
      </c>
      <c r="AX704">
        <f>VII_Model_PKZ!AX7</f>
        <v/>
      </c>
      <c r="AY704">
        <f>VII_Model_PKZ!AY7</f>
        <v/>
      </c>
      <c r="AZ704">
        <f>VII_Model_PKZ!AZ7</f>
        <v/>
      </c>
      <c r="BA704">
        <f>VII_Model_PKZ!BA7</f>
        <v/>
      </c>
      <c r="BB704">
        <f>VII_Model_PKZ!BB7</f>
        <v/>
      </c>
      <c r="BC704">
        <f>VII_Model_PKZ!BC7</f>
        <v/>
      </c>
      <c r="BD704">
        <f>VII_Model_PKZ!BD7</f>
        <v/>
      </c>
      <c r="BE704">
        <f>VII_Model_PKZ!BE7</f>
        <v/>
      </c>
      <c r="BF704">
        <f>VII_Model_PKZ!BF7</f>
        <v/>
      </c>
      <c r="BG704">
        <f>VII_Model_PKZ!BG7</f>
        <v/>
      </c>
      <c r="BH704">
        <f>VII_Model_PKZ!BH7</f>
        <v/>
      </c>
      <c r="BI704">
        <f>VII_Model_PKZ!BI7</f>
        <v/>
      </c>
      <c r="BJ704">
        <f>O704</f>
        <v/>
      </c>
      <c r="BK704">
        <f>SUM(AG704:AW704)</f>
        <v/>
      </c>
      <c r="BL704" s="531">
        <f>BJ704-BK704</f>
        <v/>
      </c>
      <c r="BM704" s="201" t="n"/>
    </row>
    <row r="705" hidden="1" outlineLevel="1" s="191">
      <c r="A705">
        <f>VII_Model_PKZ!A8</f>
        <v/>
      </c>
      <c r="B705">
        <f>VII_Model_PKZ!B8</f>
        <v/>
      </c>
      <c r="C705">
        <f>VII_Model_PKZ!C8</f>
        <v/>
      </c>
      <c r="D705">
        <f>VII_Model_PKZ!D8</f>
        <v/>
      </c>
      <c r="E705">
        <f>VII_Model_PKZ!E8</f>
        <v/>
      </c>
      <c r="F705">
        <f>VII_Model_PKZ!F8</f>
        <v/>
      </c>
      <c r="G705">
        <f>VII_Model_PKZ!G8</f>
        <v/>
      </c>
      <c r="H705">
        <f>VII_Model_PKZ!H8</f>
        <v/>
      </c>
      <c r="I705">
        <f>VII_Model_PKZ!I8</f>
        <v/>
      </c>
      <c r="J705">
        <f>VII_Model_PKZ!J8</f>
        <v/>
      </c>
      <c r="K705" s="672">
        <f>VII_Model_PKZ!K8</f>
        <v/>
      </c>
      <c r="L705" s="672">
        <f>VII_Model_PKZ!L8</f>
        <v/>
      </c>
      <c r="M705">
        <f>VII_Model_PKZ!M8</f>
        <v/>
      </c>
      <c r="N705">
        <f>VII_Model_PKZ!N8</f>
        <v/>
      </c>
      <c r="O705">
        <f>VII_Model_PKZ!O8</f>
        <v/>
      </c>
      <c r="P705" s="628">
        <f>VII_Model_PKZ!P8</f>
        <v/>
      </c>
      <c r="Q705" s="628">
        <f>VII_Model_PKZ!Q8</f>
        <v/>
      </c>
      <c r="R705" s="628">
        <f>VII_Model_PKZ!R8</f>
        <v/>
      </c>
      <c r="S705" s="628">
        <f>VII_Model_PKZ!S8</f>
        <v/>
      </c>
      <c r="T705" s="628">
        <f>VII_Model_PKZ!T8</f>
        <v/>
      </c>
      <c r="U705" s="628">
        <f>VII_Model_PKZ!U8</f>
        <v/>
      </c>
      <c r="V705" s="628">
        <f>VII_Model_PKZ!V8</f>
        <v/>
      </c>
      <c r="W705" s="628">
        <f>VII_Model_PKZ!W8</f>
        <v/>
      </c>
      <c r="X705" s="628">
        <f>VII_Model_PKZ!X8</f>
        <v/>
      </c>
      <c r="Y705" s="650">
        <f>VII_Model_PKZ!Y8</f>
        <v/>
      </c>
      <c r="Z705" s="650">
        <f>VII_Model_PKZ!Z8</f>
        <v/>
      </c>
      <c r="AA705" s="650">
        <f>VII_Model_PKZ!AA8</f>
        <v/>
      </c>
      <c r="AB705" s="650">
        <f>VII_Model_PKZ!AB8</f>
        <v/>
      </c>
      <c r="AC705" s="613">
        <f>VII_Model_PKZ!AC8</f>
        <v/>
      </c>
      <c r="AD705" s="613">
        <f>VII_Model_PKZ!AD8</f>
        <v/>
      </c>
      <c r="AE705" s="613">
        <f>VII_Model_PKZ!AE8</f>
        <v/>
      </c>
      <c r="AF705" s="613">
        <f>VII_Model_PKZ!AF8</f>
        <v/>
      </c>
      <c r="AG705" s="626">
        <f>VII_Model_PKZ!AG8</f>
        <v/>
      </c>
      <c r="AH705" s="626">
        <f>VII_Model_PKZ!AH8</f>
        <v/>
      </c>
      <c r="AI705" s="626">
        <f>VII_Model_PKZ!AI8</f>
        <v/>
      </c>
      <c r="AJ705" s="626">
        <f>VII_Model_PKZ!AJ8</f>
        <v/>
      </c>
      <c r="AK705" s="626">
        <f>VII_Model_PKZ!AK8</f>
        <v/>
      </c>
      <c r="AL705" s="626">
        <f>VII_Model_PKZ!AL8</f>
        <v/>
      </c>
      <c r="AM705" s="626">
        <f>VII_Model_PKZ!AM8</f>
        <v/>
      </c>
      <c r="AN705" s="626">
        <f>VII_Model_PKZ!AN8</f>
        <v/>
      </c>
      <c r="AO705" s="626">
        <f>VII_Model_PKZ!AO8</f>
        <v/>
      </c>
      <c r="AP705" s="369">
        <f>VII_Model_PKZ!AP8</f>
        <v/>
      </c>
      <c r="AQ705" s="369">
        <f>VII_Model_PKZ!AQ8</f>
        <v/>
      </c>
      <c r="AR705" s="369">
        <f>VII_Model_PKZ!AR8</f>
        <v/>
      </c>
      <c r="AS705" s="369">
        <f>VII_Model_PKZ!AS8</f>
        <v/>
      </c>
      <c r="AT705" s="370">
        <f>VII_Model_PKZ!AT8</f>
        <v/>
      </c>
      <c r="AU705" s="370">
        <f>VII_Model_PKZ!AU8</f>
        <v/>
      </c>
      <c r="AV705" s="370">
        <f>VII_Model_PKZ!AV8</f>
        <v/>
      </c>
      <c r="AW705" s="370">
        <f>VII_Model_PKZ!AW8</f>
        <v/>
      </c>
      <c r="AX705">
        <f>VII_Model_PKZ!AX8</f>
        <v/>
      </c>
      <c r="AY705">
        <f>VII_Model_PKZ!AY8</f>
        <v/>
      </c>
      <c r="AZ705">
        <f>VII_Model_PKZ!AZ8</f>
        <v/>
      </c>
      <c r="BA705">
        <f>VII_Model_PKZ!BA8</f>
        <v/>
      </c>
      <c r="BB705">
        <f>VII_Model_PKZ!BB8</f>
        <v/>
      </c>
      <c r="BC705">
        <f>VII_Model_PKZ!BC8</f>
        <v/>
      </c>
      <c r="BD705">
        <f>VII_Model_PKZ!BD8</f>
        <v/>
      </c>
      <c r="BE705">
        <f>VII_Model_PKZ!BE8</f>
        <v/>
      </c>
      <c r="BF705">
        <f>VII_Model_PKZ!BF8</f>
        <v/>
      </c>
      <c r="BG705">
        <f>VII_Model_PKZ!BG8</f>
        <v/>
      </c>
      <c r="BH705">
        <f>VII_Model_PKZ!BH8</f>
        <v/>
      </c>
      <c r="BI705">
        <f>VII_Model_PKZ!BI8</f>
        <v/>
      </c>
      <c r="BJ705">
        <f>O705</f>
        <v/>
      </c>
      <c r="BK705">
        <f>SUM(AG705:AW705)</f>
        <v/>
      </c>
      <c r="BL705" s="531">
        <f>BJ705-BK705</f>
        <v/>
      </c>
      <c r="BM705" s="201" t="n"/>
    </row>
    <row r="706" hidden="1" outlineLevel="1" s="191">
      <c r="A706">
        <f>VII_Model_PKZ!A9</f>
        <v/>
      </c>
      <c r="B706">
        <f>VII_Model_PKZ!B9</f>
        <v/>
      </c>
      <c r="C706">
        <f>VII_Model_PKZ!C9</f>
        <v/>
      </c>
      <c r="D706">
        <f>VII_Model_PKZ!D9</f>
        <v/>
      </c>
      <c r="E706">
        <f>VII_Model_PKZ!E9</f>
        <v/>
      </c>
      <c r="F706">
        <f>VII_Model_PKZ!F9</f>
        <v/>
      </c>
      <c r="G706">
        <f>VII_Model_PKZ!G9</f>
        <v/>
      </c>
      <c r="H706">
        <f>VII_Model_PKZ!H9</f>
        <v/>
      </c>
      <c r="I706">
        <f>VII_Model_PKZ!I9</f>
        <v/>
      </c>
      <c r="J706">
        <f>VII_Model_PKZ!J9</f>
        <v/>
      </c>
      <c r="K706" s="672">
        <f>VII_Model_PKZ!K9</f>
        <v/>
      </c>
      <c r="L706" s="672">
        <f>VII_Model_PKZ!L9</f>
        <v/>
      </c>
      <c r="M706">
        <f>VII_Model_PKZ!M9</f>
        <v/>
      </c>
      <c r="N706">
        <f>VII_Model_PKZ!N9</f>
        <v/>
      </c>
      <c r="O706">
        <f>VII_Model_PKZ!O9</f>
        <v/>
      </c>
      <c r="P706" s="628">
        <f>VII_Model_PKZ!P9</f>
        <v/>
      </c>
      <c r="Q706" s="628">
        <f>VII_Model_PKZ!Q9</f>
        <v/>
      </c>
      <c r="R706" s="628">
        <f>VII_Model_PKZ!R9</f>
        <v/>
      </c>
      <c r="S706" s="628">
        <f>VII_Model_PKZ!S9</f>
        <v/>
      </c>
      <c r="T706" s="628">
        <f>VII_Model_PKZ!T9</f>
        <v/>
      </c>
      <c r="U706" s="628">
        <f>VII_Model_PKZ!U9</f>
        <v/>
      </c>
      <c r="V706" s="628">
        <f>VII_Model_PKZ!V9</f>
        <v/>
      </c>
      <c r="W706" s="628">
        <f>VII_Model_PKZ!W9</f>
        <v/>
      </c>
      <c r="X706" s="628">
        <f>VII_Model_PKZ!X9</f>
        <v/>
      </c>
      <c r="Y706" s="650">
        <f>VII_Model_PKZ!Y9</f>
        <v/>
      </c>
      <c r="Z706" s="650">
        <f>VII_Model_PKZ!Z9</f>
        <v/>
      </c>
      <c r="AA706" s="650">
        <f>VII_Model_PKZ!AA9</f>
        <v/>
      </c>
      <c r="AB706" s="650">
        <f>VII_Model_PKZ!AB9</f>
        <v/>
      </c>
      <c r="AC706" s="613">
        <f>VII_Model_PKZ!AC9</f>
        <v/>
      </c>
      <c r="AD706" s="613">
        <f>VII_Model_PKZ!AD9</f>
        <v/>
      </c>
      <c r="AE706" s="613">
        <f>VII_Model_PKZ!AE9</f>
        <v/>
      </c>
      <c r="AF706" s="613">
        <f>VII_Model_PKZ!AF9</f>
        <v/>
      </c>
      <c r="AG706" s="626">
        <f>VII_Model_PKZ!AG9</f>
        <v/>
      </c>
      <c r="AH706" s="626">
        <f>VII_Model_PKZ!AH9</f>
        <v/>
      </c>
      <c r="AI706" s="626">
        <f>VII_Model_PKZ!AI9</f>
        <v/>
      </c>
      <c r="AJ706" s="626">
        <f>VII_Model_PKZ!AJ9</f>
        <v/>
      </c>
      <c r="AK706" s="626">
        <f>VII_Model_PKZ!AK9</f>
        <v/>
      </c>
      <c r="AL706" s="626">
        <f>VII_Model_PKZ!AL9</f>
        <v/>
      </c>
      <c r="AM706" s="626">
        <f>VII_Model_PKZ!AM9</f>
        <v/>
      </c>
      <c r="AN706" s="626">
        <f>VII_Model_PKZ!AN9</f>
        <v/>
      </c>
      <c r="AO706" s="626">
        <f>VII_Model_PKZ!AO9</f>
        <v/>
      </c>
      <c r="AP706" s="369">
        <f>VII_Model_PKZ!AP9</f>
        <v/>
      </c>
      <c r="AQ706" s="369">
        <f>VII_Model_PKZ!AQ9</f>
        <v/>
      </c>
      <c r="AR706" s="369">
        <f>VII_Model_PKZ!AR9</f>
        <v/>
      </c>
      <c r="AS706" s="369">
        <f>VII_Model_PKZ!AS9</f>
        <v/>
      </c>
      <c r="AT706" s="370">
        <f>VII_Model_PKZ!AT9</f>
        <v/>
      </c>
      <c r="AU706" s="370">
        <f>VII_Model_PKZ!AU9</f>
        <v/>
      </c>
      <c r="AV706" s="370">
        <f>VII_Model_PKZ!AV9</f>
        <v/>
      </c>
      <c r="AW706" s="370">
        <f>VII_Model_PKZ!AW9</f>
        <v/>
      </c>
      <c r="AX706">
        <f>VII_Model_PKZ!AX9</f>
        <v/>
      </c>
      <c r="AY706">
        <f>VII_Model_PKZ!AY9</f>
        <v/>
      </c>
      <c r="AZ706">
        <f>VII_Model_PKZ!AZ9</f>
        <v/>
      </c>
      <c r="BA706">
        <f>VII_Model_PKZ!BA9</f>
        <v/>
      </c>
      <c r="BB706">
        <f>VII_Model_PKZ!BB9</f>
        <v/>
      </c>
      <c r="BC706">
        <f>VII_Model_PKZ!BC9</f>
        <v/>
      </c>
      <c r="BD706">
        <f>VII_Model_PKZ!BD9</f>
        <v/>
      </c>
      <c r="BE706">
        <f>VII_Model_PKZ!BE9</f>
        <v/>
      </c>
      <c r="BF706">
        <f>VII_Model_PKZ!BF9</f>
        <v/>
      </c>
      <c r="BG706">
        <f>VII_Model_PKZ!BG9</f>
        <v/>
      </c>
      <c r="BH706">
        <f>VII_Model_PKZ!BH9</f>
        <v/>
      </c>
      <c r="BI706">
        <f>VII_Model_PKZ!BI9</f>
        <v/>
      </c>
      <c r="BJ706">
        <f>O706</f>
        <v/>
      </c>
      <c r="BK706">
        <f>SUM(AG706:AW706)</f>
        <v/>
      </c>
      <c r="BL706" s="531">
        <f>BJ706-BK706</f>
        <v/>
      </c>
      <c r="BM706" s="201" t="n"/>
    </row>
    <row r="707" hidden="1" outlineLevel="1" s="191">
      <c r="A707">
        <f>VII_Model_PKZ!A10</f>
        <v/>
      </c>
      <c r="B707">
        <f>VII_Model_PKZ!B10</f>
        <v/>
      </c>
      <c r="C707">
        <f>VII_Model_PKZ!C10</f>
        <v/>
      </c>
      <c r="D707">
        <f>VII_Model_PKZ!D10</f>
        <v/>
      </c>
      <c r="E707">
        <f>VII_Model_PKZ!E10</f>
        <v/>
      </c>
      <c r="F707">
        <f>VII_Model_PKZ!F10</f>
        <v/>
      </c>
      <c r="G707">
        <f>VII_Model_PKZ!G10</f>
        <v/>
      </c>
      <c r="H707">
        <f>VII_Model_PKZ!H10</f>
        <v/>
      </c>
      <c r="I707">
        <f>VII_Model_PKZ!I10</f>
        <v/>
      </c>
      <c r="J707">
        <f>VII_Model_PKZ!J10</f>
        <v/>
      </c>
      <c r="K707" s="672">
        <f>VII_Model_PKZ!K10</f>
        <v/>
      </c>
      <c r="L707" s="672">
        <f>VII_Model_PKZ!L10</f>
        <v/>
      </c>
      <c r="M707">
        <f>VII_Model_PKZ!M10</f>
        <v/>
      </c>
      <c r="N707">
        <f>VII_Model_PKZ!N10</f>
        <v/>
      </c>
      <c r="O707">
        <f>VII_Model_PKZ!O10</f>
        <v/>
      </c>
      <c r="P707" s="628">
        <f>VII_Model_PKZ!P10</f>
        <v/>
      </c>
      <c r="Q707" s="628">
        <f>VII_Model_PKZ!Q10</f>
        <v/>
      </c>
      <c r="R707" s="628">
        <f>VII_Model_PKZ!R10</f>
        <v/>
      </c>
      <c r="S707" s="628">
        <f>VII_Model_PKZ!S10</f>
        <v/>
      </c>
      <c r="T707" s="628">
        <f>VII_Model_PKZ!T10</f>
        <v/>
      </c>
      <c r="U707" s="628">
        <f>VII_Model_PKZ!U10</f>
        <v/>
      </c>
      <c r="V707" s="628">
        <f>VII_Model_PKZ!V10</f>
        <v/>
      </c>
      <c r="W707" s="628">
        <f>VII_Model_PKZ!W10</f>
        <v/>
      </c>
      <c r="X707" s="628">
        <f>VII_Model_PKZ!X10</f>
        <v/>
      </c>
      <c r="Y707" s="650">
        <f>VII_Model_PKZ!Y10</f>
        <v/>
      </c>
      <c r="Z707" s="650">
        <f>VII_Model_PKZ!Z10</f>
        <v/>
      </c>
      <c r="AA707" s="650">
        <f>VII_Model_PKZ!AA10</f>
        <v/>
      </c>
      <c r="AB707" s="650">
        <f>VII_Model_PKZ!AB10</f>
        <v/>
      </c>
      <c r="AC707" s="613">
        <f>VII_Model_PKZ!AC10</f>
        <v/>
      </c>
      <c r="AD707" s="613">
        <f>VII_Model_PKZ!AD10</f>
        <v/>
      </c>
      <c r="AE707" s="613">
        <f>VII_Model_PKZ!AE10</f>
        <v/>
      </c>
      <c r="AF707" s="613">
        <f>VII_Model_PKZ!AF10</f>
        <v/>
      </c>
      <c r="AG707" s="626">
        <f>VII_Model_PKZ!AG10</f>
        <v/>
      </c>
      <c r="AH707" s="626">
        <f>VII_Model_PKZ!AH10</f>
        <v/>
      </c>
      <c r="AI707" s="626">
        <f>VII_Model_PKZ!AI10</f>
        <v/>
      </c>
      <c r="AJ707" s="626">
        <f>VII_Model_PKZ!AJ10</f>
        <v/>
      </c>
      <c r="AK707" s="626">
        <f>VII_Model_PKZ!AK10</f>
        <v/>
      </c>
      <c r="AL707" s="626">
        <f>VII_Model_PKZ!AL10</f>
        <v/>
      </c>
      <c r="AM707" s="626">
        <f>VII_Model_PKZ!AM10</f>
        <v/>
      </c>
      <c r="AN707" s="626">
        <f>VII_Model_PKZ!AN10</f>
        <v/>
      </c>
      <c r="AO707" s="626">
        <f>VII_Model_PKZ!AO10</f>
        <v/>
      </c>
      <c r="AP707" s="369">
        <f>VII_Model_PKZ!AP10</f>
        <v/>
      </c>
      <c r="AQ707" s="369">
        <f>VII_Model_PKZ!AQ10</f>
        <v/>
      </c>
      <c r="AR707" s="369">
        <f>VII_Model_PKZ!AR10</f>
        <v/>
      </c>
      <c r="AS707" s="369">
        <f>VII_Model_PKZ!AS10</f>
        <v/>
      </c>
      <c r="AT707" s="370">
        <f>VII_Model_PKZ!AT10</f>
        <v/>
      </c>
      <c r="AU707" s="370">
        <f>VII_Model_PKZ!AU10</f>
        <v/>
      </c>
      <c r="AV707" s="370">
        <f>VII_Model_PKZ!AV10</f>
        <v/>
      </c>
      <c r="AW707" s="370">
        <f>VII_Model_PKZ!AW10</f>
        <v/>
      </c>
      <c r="AX707">
        <f>VII_Model_PKZ!AX10</f>
        <v/>
      </c>
      <c r="AY707">
        <f>VII_Model_PKZ!AY10</f>
        <v/>
      </c>
      <c r="AZ707">
        <f>VII_Model_PKZ!AZ10</f>
        <v/>
      </c>
      <c r="BA707">
        <f>VII_Model_PKZ!BA10</f>
        <v/>
      </c>
      <c r="BB707">
        <f>VII_Model_PKZ!BB10</f>
        <v/>
      </c>
      <c r="BC707">
        <f>VII_Model_PKZ!BC10</f>
        <v/>
      </c>
      <c r="BD707">
        <f>VII_Model_PKZ!BD10</f>
        <v/>
      </c>
      <c r="BE707">
        <f>VII_Model_PKZ!BE10</f>
        <v/>
      </c>
      <c r="BF707">
        <f>VII_Model_PKZ!BF10</f>
        <v/>
      </c>
      <c r="BG707">
        <f>VII_Model_PKZ!BG10</f>
        <v/>
      </c>
      <c r="BH707">
        <f>VII_Model_PKZ!BH10</f>
        <v/>
      </c>
      <c r="BI707">
        <f>VII_Model_PKZ!BI10</f>
        <v/>
      </c>
      <c r="BJ707">
        <f>O707</f>
        <v/>
      </c>
      <c r="BK707">
        <f>SUM(AG707:AW707)</f>
        <v/>
      </c>
      <c r="BL707" s="531">
        <f>BJ707-BK707</f>
        <v/>
      </c>
      <c r="BM707" s="201" t="n"/>
    </row>
    <row r="708" hidden="1" outlineLevel="1" s="191">
      <c r="A708">
        <f>VII_Model_PKZ!A11</f>
        <v/>
      </c>
      <c r="B708">
        <f>VII_Model_PKZ!B11</f>
        <v/>
      </c>
      <c r="C708">
        <f>VII_Model_PKZ!C11</f>
        <v/>
      </c>
      <c r="D708">
        <f>VII_Model_PKZ!D11</f>
        <v/>
      </c>
      <c r="E708">
        <f>VII_Model_PKZ!E11</f>
        <v/>
      </c>
      <c r="F708">
        <f>VII_Model_PKZ!F11</f>
        <v/>
      </c>
      <c r="G708">
        <f>VII_Model_PKZ!G11</f>
        <v/>
      </c>
      <c r="H708">
        <f>VII_Model_PKZ!H11</f>
        <v/>
      </c>
      <c r="I708">
        <f>VII_Model_PKZ!I11</f>
        <v/>
      </c>
      <c r="J708">
        <f>VII_Model_PKZ!J11</f>
        <v/>
      </c>
      <c r="K708" s="672">
        <f>VII_Model_PKZ!K11</f>
        <v/>
      </c>
      <c r="L708" s="672">
        <f>VII_Model_PKZ!L11</f>
        <v/>
      </c>
      <c r="M708">
        <f>VII_Model_PKZ!M11</f>
        <v/>
      </c>
      <c r="N708">
        <f>VII_Model_PKZ!N11</f>
        <v/>
      </c>
      <c r="O708">
        <f>VII_Model_PKZ!O11</f>
        <v/>
      </c>
      <c r="P708" s="628">
        <f>VII_Model_PKZ!P11</f>
        <v/>
      </c>
      <c r="Q708" s="628">
        <f>VII_Model_PKZ!Q11</f>
        <v/>
      </c>
      <c r="R708" s="628">
        <f>VII_Model_PKZ!R11</f>
        <v/>
      </c>
      <c r="S708" s="628">
        <f>VII_Model_PKZ!S11</f>
        <v/>
      </c>
      <c r="T708" s="628">
        <f>VII_Model_PKZ!T11</f>
        <v/>
      </c>
      <c r="U708" s="628">
        <f>VII_Model_PKZ!U11</f>
        <v/>
      </c>
      <c r="V708" s="628">
        <f>VII_Model_PKZ!V11</f>
        <v/>
      </c>
      <c r="W708" s="628">
        <f>VII_Model_PKZ!W11</f>
        <v/>
      </c>
      <c r="X708" s="628">
        <f>VII_Model_PKZ!X11</f>
        <v/>
      </c>
      <c r="Y708" s="650">
        <f>VII_Model_PKZ!Y11</f>
        <v/>
      </c>
      <c r="Z708" s="650">
        <f>VII_Model_PKZ!Z11</f>
        <v/>
      </c>
      <c r="AA708" s="650">
        <f>VII_Model_PKZ!AA11</f>
        <v/>
      </c>
      <c r="AB708" s="650">
        <f>VII_Model_PKZ!AB11</f>
        <v/>
      </c>
      <c r="AC708" s="613">
        <f>VII_Model_PKZ!AC11</f>
        <v/>
      </c>
      <c r="AD708" s="613">
        <f>VII_Model_PKZ!AD11</f>
        <v/>
      </c>
      <c r="AE708" s="613">
        <f>VII_Model_PKZ!AE11</f>
        <v/>
      </c>
      <c r="AF708" s="613">
        <f>VII_Model_PKZ!AF11</f>
        <v/>
      </c>
      <c r="AG708" s="626">
        <f>VII_Model_PKZ!AG11</f>
        <v/>
      </c>
      <c r="AH708" s="626">
        <f>VII_Model_PKZ!AH11</f>
        <v/>
      </c>
      <c r="AI708" s="626">
        <f>VII_Model_PKZ!AI11</f>
        <v/>
      </c>
      <c r="AJ708" s="626">
        <f>VII_Model_PKZ!AJ11</f>
        <v/>
      </c>
      <c r="AK708" s="626">
        <f>VII_Model_PKZ!AK11</f>
        <v/>
      </c>
      <c r="AL708" s="626">
        <f>VII_Model_PKZ!AL11</f>
        <v/>
      </c>
      <c r="AM708" s="626">
        <f>VII_Model_PKZ!AM11</f>
        <v/>
      </c>
      <c r="AN708" s="626">
        <f>VII_Model_PKZ!AN11</f>
        <v/>
      </c>
      <c r="AO708" s="626">
        <f>VII_Model_PKZ!AO11</f>
        <v/>
      </c>
      <c r="AP708" s="369">
        <f>VII_Model_PKZ!AP11</f>
        <v/>
      </c>
      <c r="AQ708" s="369">
        <f>VII_Model_PKZ!AQ11</f>
        <v/>
      </c>
      <c r="AR708" s="369">
        <f>VII_Model_PKZ!AR11</f>
        <v/>
      </c>
      <c r="AS708" s="369">
        <f>VII_Model_PKZ!AS11</f>
        <v/>
      </c>
      <c r="AT708" s="370">
        <f>VII_Model_PKZ!AT11</f>
        <v/>
      </c>
      <c r="AU708" s="370">
        <f>VII_Model_PKZ!AU11</f>
        <v/>
      </c>
      <c r="AV708" s="370">
        <f>VII_Model_PKZ!AV11</f>
        <v/>
      </c>
      <c r="AW708" s="370">
        <f>VII_Model_PKZ!AW11</f>
        <v/>
      </c>
      <c r="AX708">
        <f>VII_Model_PKZ!AX11</f>
        <v/>
      </c>
      <c r="AY708">
        <f>VII_Model_PKZ!AY11</f>
        <v/>
      </c>
      <c r="AZ708">
        <f>VII_Model_PKZ!AZ11</f>
        <v/>
      </c>
      <c r="BA708">
        <f>VII_Model_PKZ!BA11</f>
        <v/>
      </c>
      <c r="BB708">
        <f>VII_Model_PKZ!BB11</f>
        <v/>
      </c>
      <c r="BC708">
        <f>VII_Model_PKZ!BC11</f>
        <v/>
      </c>
      <c r="BD708">
        <f>VII_Model_PKZ!BD11</f>
        <v/>
      </c>
      <c r="BE708">
        <f>VII_Model_PKZ!BE11</f>
        <v/>
      </c>
      <c r="BF708">
        <f>VII_Model_PKZ!BF11</f>
        <v/>
      </c>
      <c r="BG708">
        <f>VII_Model_PKZ!BG11</f>
        <v/>
      </c>
      <c r="BH708">
        <f>VII_Model_PKZ!BH11</f>
        <v/>
      </c>
      <c r="BI708">
        <f>VII_Model_PKZ!BI11</f>
        <v/>
      </c>
      <c r="BJ708">
        <f>O708</f>
        <v/>
      </c>
      <c r="BK708">
        <f>SUM(AG708:AW708)</f>
        <v/>
      </c>
      <c r="BL708" s="531">
        <f>BJ708-BK708</f>
        <v/>
      </c>
      <c r="BM708" s="201" t="n"/>
    </row>
    <row r="709" hidden="1" outlineLevel="1" s="191">
      <c r="A709">
        <f>VII_Model_PKZ!A12</f>
        <v/>
      </c>
      <c r="B709">
        <f>VII_Model_PKZ!B12</f>
        <v/>
      </c>
      <c r="C709">
        <f>VII_Model_PKZ!C12</f>
        <v/>
      </c>
      <c r="D709">
        <f>VII_Model_PKZ!D12</f>
        <v/>
      </c>
      <c r="E709">
        <f>VII_Model_PKZ!E12</f>
        <v/>
      </c>
      <c r="F709">
        <f>VII_Model_PKZ!F12</f>
        <v/>
      </c>
      <c r="G709">
        <f>VII_Model_PKZ!G12</f>
        <v/>
      </c>
      <c r="H709">
        <f>VII_Model_PKZ!H12</f>
        <v/>
      </c>
      <c r="I709">
        <f>VII_Model_PKZ!I12</f>
        <v/>
      </c>
      <c r="J709">
        <f>VII_Model_PKZ!J12</f>
        <v/>
      </c>
      <c r="K709" s="672">
        <f>VII_Model_PKZ!K12</f>
        <v/>
      </c>
      <c r="L709" s="672">
        <f>VII_Model_PKZ!L12</f>
        <v/>
      </c>
      <c r="M709">
        <f>VII_Model_PKZ!M12</f>
        <v/>
      </c>
      <c r="N709">
        <f>VII_Model_PKZ!N12</f>
        <v/>
      </c>
      <c r="O709">
        <f>VII_Model_PKZ!O12</f>
        <v/>
      </c>
      <c r="P709" s="628">
        <f>VII_Model_PKZ!P12</f>
        <v/>
      </c>
      <c r="Q709" s="628">
        <f>VII_Model_PKZ!Q12</f>
        <v/>
      </c>
      <c r="R709" s="628">
        <f>VII_Model_PKZ!R12</f>
        <v/>
      </c>
      <c r="S709" s="628">
        <f>VII_Model_PKZ!S12</f>
        <v/>
      </c>
      <c r="T709" s="628">
        <f>VII_Model_PKZ!T12</f>
        <v/>
      </c>
      <c r="U709" s="628">
        <f>VII_Model_PKZ!U12</f>
        <v/>
      </c>
      <c r="V709" s="628">
        <f>VII_Model_PKZ!V12</f>
        <v/>
      </c>
      <c r="W709" s="628">
        <f>VII_Model_PKZ!W12</f>
        <v/>
      </c>
      <c r="X709" s="628">
        <f>VII_Model_PKZ!X12</f>
        <v/>
      </c>
      <c r="Y709" s="650">
        <f>VII_Model_PKZ!Y12</f>
        <v/>
      </c>
      <c r="Z709" s="650">
        <f>VII_Model_PKZ!Z12</f>
        <v/>
      </c>
      <c r="AA709" s="650">
        <f>VII_Model_PKZ!AA12</f>
        <v/>
      </c>
      <c r="AB709" s="650">
        <f>VII_Model_PKZ!AB12</f>
        <v/>
      </c>
      <c r="AC709" s="613">
        <f>VII_Model_PKZ!AC12</f>
        <v/>
      </c>
      <c r="AD709" s="613">
        <f>VII_Model_PKZ!AD12</f>
        <v/>
      </c>
      <c r="AE709" s="613">
        <f>VII_Model_PKZ!AE12</f>
        <v/>
      </c>
      <c r="AF709" s="613">
        <f>VII_Model_PKZ!AF12</f>
        <v/>
      </c>
      <c r="AG709" s="626">
        <f>VII_Model_PKZ!AG12</f>
        <v/>
      </c>
      <c r="AH709" s="626">
        <f>VII_Model_PKZ!AH12</f>
        <v/>
      </c>
      <c r="AI709" s="626">
        <f>VII_Model_PKZ!AI12</f>
        <v/>
      </c>
      <c r="AJ709" s="626">
        <f>VII_Model_PKZ!AJ12</f>
        <v/>
      </c>
      <c r="AK709" s="626">
        <f>VII_Model_PKZ!AK12</f>
        <v/>
      </c>
      <c r="AL709" s="626">
        <f>VII_Model_PKZ!AL12</f>
        <v/>
      </c>
      <c r="AM709" s="626">
        <f>VII_Model_PKZ!AM12</f>
        <v/>
      </c>
      <c r="AN709" s="626">
        <f>VII_Model_PKZ!AN12</f>
        <v/>
      </c>
      <c r="AO709" s="626">
        <f>VII_Model_PKZ!AO12</f>
        <v/>
      </c>
      <c r="AP709" s="369">
        <f>VII_Model_PKZ!AP12</f>
        <v/>
      </c>
      <c r="AQ709" s="369">
        <f>VII_Model_PKZ!AQ12</f>
        <v/>
      </c>
      <c r="AR709" s="369">
        <f>VII_Model_PKZ!AR12</f>
        <v/>
      </c>
      <c r="AS709" s="369">
        <f>VII_Model_PKZ!AS12</f>
        <v/>
      </c>
      <c r="AT709" s="370">
        <f>VII_Model_PKZ!AT12</f>
        <v/>
      </c>
      <c r="AU709" s="370">
        <f>VII_Model_PKZ!AU12</f>
        <v/>
      </c>
      <c r="AV709" s="370">
        <f>VII_Model_PKZ!AV12</f>
        <v/>
      </c>
      <c r="AW709" s="370">
        <f>VII_Model_PKZ!AW12</f>
        <v/>
      </c>
      <c r="AX709">
        <f>VII_Model_PKZ!AX12</f>
        <v/>
      </c>
      <c r="AY709">
        <f>VII_Model_PKZ!AY12</f>
        <v/>
      </c>
      <c r="AZ709">
        <f>VII_Model_PKZ!AZ12</f>
        <v/>
      </c>
      <c r="BA709">
        <f>VII_Model_PKZ!BA12</f>
        <v/>
      </c>
      <c r="BB709">
        <f>VII_Model_PKZ!BB12</f>
        <v/>
      </c>
      <c r="BC709">
        <f>VII_Model_PKZ!BC12</f>
        <v/>
      </c>
      <c r="BD709">
        <f>VII_Model_PKZ!BD12</f>
        <v/>
      </c>
      <c r="BE709">
        <f>VII_Model_PKZ!BE12</f>
        <v/>
      </c>
      <c r="BF709">
        <f>VII_Model_PKZ!BF12</f>
        <v/>
      </c>
      <c r="BG709">
        <f>VII_Model_PKZ!BG12</f>
        <v/>
      </c>
      <c r="BH709">
        <f>VII_Model_PKZ!BH12</f>
        <v/>
      </c>
      <c r="BI709">
        <f>VII_Model_PKZ!BI12</f>
        <v/>
      </c>
      <c r="BJ709">
        <f>O709</f>
        <v/>
      </c>
      <c r="BK709">
        <f>SUM(AG709:AW709)</f>
        <v/>
      </c>
      <c r="BL709" s="531">
        <f>BJ709-BK709</f>
        <v/>
      </c>
      <c r="BM709" s="201" t="n"/>
    </row>
    <row r="710" hidden="1" outlineLevel="1" s="191">
      <c r="A710">
        <f>VII_Model_PKZ!A13</f>
        <v/>
      </c>
      <c r="B710">
        <f>VII_Model_PKZ!B13</f>
        <v/>
      </c>
      <c r="C710">
        <f>VII_Model_PKZ!C13</f>
        <v/>
      </c>
      <c r="D710">
        <f>VII_Model_PKZ!D13</f>
        <v/>
      </c>
      <c r="E710">
        <f>VII_Model_PKZ!E13</f>
        <v/>
      </c>
      <c r="F710">
        <f>VII_Model_PKZ!F13</f>
        <v/>
      </c>
      <c r="G710">
        <f>VII_Model_PKZ!G13</f>
        <v/>
      </c>
      <c r="H710">
        <f>VII_Model_PKZ!H13</f>
        <v/>
      </c>
      <c r="I710">
        <f>VII_Model_PKZ!I13</f>
        <v/>
      </c>
      <c r="J710">
        <f>VII_Model_PKZ!J13</f>
        <v/>
      </c>
      <c r="K710" s="672">
        <f>VII_Model_PKZ!K13</f>
        <v/>
      </c>
      <c r="L710" s="672">
        <f>VII_Model_PKZ!L13</f>
        <v/>
      </c>
      <c r="M710">
        <f>VII_Model_PKZ!M13</f>
        <v/>
      </c>
      <c r="N710">
        <f>VII_Model_PKZ!N13</f>
        <v/>
      </c>
      <c r="O710">
        <f>VII_Model_PKZ!O13</f>
        <v/>
      </c>
      <c r="P710" s="628">
        <f>VII_Model_PKZ!P13</f>
        <v/>
      </c>
      <c r="Q710" s="628">
        <f>VII_Model_PKZ!Q13</f>
        <v/>
      </c>
      <c r="R710" s="628">
        <f>VII_Model_PKZ!R13</f>
        <v/>
      </c>
      <c r="S710" s="628">
        <f>VII_Model_PKZ!S13</f>
        <v/>
      </c>
      <c r="T710" s="628">
        <f>VII_Model_PKZ!T13</f>
        <v/>
      </c>
      <c r="U710" s="628">
        <f>VII_Model_PKZ!U13</f>
        <v/>
      </c>
      <c r="V710" s="628">
        <f>VII_Model_PKZ!V13</f>
        <v/>
      </c>
      <c r="W710" s="628">
        <f>VII_Model_PKZ!W13</f>
        <v/>
      </c>
      <c r="X710" s="628">
        <f>VII_Model_PKZ!X13</f>
        <v/>
      </c>
      <c r="Y710" s="650">
        <f>VII_Model_PKZ!Y13</f>
        <v/>
      </c>
      <c r="Z710" s="650">
        <f>VII_Model_PKZ!Z13</f>
        <v/>
      </c>
      <c r="AA710" s="650">
        <f>VII_Model_PKZ!AA13</f>
        <v/>
      </c>
      <c r="AB710" s="650">
        <f>VII_Model_PKZ!AB13</f>
        <v/>
      </c>
      <c r="AC710" s="613">
        <f>VII_Model_PKZ!AC13</f>
        <v/>
      </c>
      <c r="AD710" s="613">
        <f>VII_Model_PKZ!AD13</f>
        <v/>
      </c>
      <c r="AE710" s="613">
        <f>VII_Model_PKZ!AE13</f>
        <v/>
      </c>
      <c r="AF710" s="613">
        <f>VII_Model_PKZ!AF13</f>
        <v/>
      </c>
      <c r="AG710" s="626">
        <f>VII_Model_PKZ!AG13</f>
        <v/>
      </c>
      <c r="AH710" s="626">
        <f>VII_Model_PKZ!AH13</f>
        <v/>
      </c>
      <c r="AI710" s="626">
        <f>VII_Model_PKZ!AI13</f>
        <v/>
      </c>
      <c r="AJ710" s="626">
        <f>VII_Model_PKZ!AJ13</f>
        <v/>
      </c>
      <c r="AK710" s="626">
        <f>VII_Model_PKZ!AK13</f>
        <v/>
      </c>
      <c r="AL710" s="626">
        <f>VII_Model_PKZ!AL13</f>
        <v/>
      </c>
      <c r="AM710" s="626">
        <f>VII_Model_PKZ!AM13</f>
        <v/>
      </c>
      <c r="AN710" s="626">
        <f>VII_Model_PKZ!AN13</f>
        <v/>
      </c>
      <c r="AO710" s="626">
        <f>VII_Model_PKZ!AO13</f>
        <v/>
      </c>
      <c r="AP710" s="369">
        <f>VII_Model_PKZ!AP13</f>
        <v/>
      </c>
      <c r="AQ710" s="369">
        <f>VII_Model_PKZ!AQ13</f>
        <v/>
      </c>
      <c r="AR710" s="369">
        <f>VII_Model_PKZ!AR13</f>
        <v/>
      </c>
      <c r="AS710" s="369">
        <f>VII_Model_PKZ!AS13</f>
        <v/>
      </c>
      <c r="AT710" s="370">
        <f>VII_Model_PKZ!AT13</f>
        <v/>
      </c>
      <c r="AU710" s="370">
        <f>VII_Model_PKZ!AU13</f>
        <v/>
      </c>
      <c r="AV710" s="370">
        <f>VII_Model_PKZ!AV13</f>
        <v/>
      </c>
      <c r="AW710" s="370">
        <f>VII_Model_PKZ!AW13</f>
        <v/>
      </c>
      <c r="AX710">
        <f>VII_Model_PKZ!AX13</f>
        <v/>
      </c>
      <c r="AY710">
        <f>VII_Model_PKZ!AY13</f>
        <v/>
      </c>
      <c r="AZ710">
        <f>VII_Model_PKZ!AZ13</f>
        <v/>
      </c>
      <c r="BA710">
        <f>VII_Model_PKZ!BA13</f>
        <v/>
      </c>
      <c r="BB710">
        <f>VII_Model_PKZ!BB13</f>
        <v/>
      </c>
      <c r="BC710">
        <f>VII_Model_PKZ!BC13</f>
        <v/>
      </c>
      <c r="BD710">
        <f>VII_Model_PKZ!BD13</f>
        <v/>
      </c>
      <c r="BE710">
        <f>VII_Model_PKZ!BE13</f>
        <v/>
      </c>
      <c r="BF710">
        <f>VII_Model_PKZ!BF13</f>
        <v/>
      </c>
      <c r="BG710">
        <f>VII_Model_PKZ!BG13</f>
        <v/>
      </c>
      <c r="BH710">
        <f>VII_Model_PKZ!BH13</f>
        <v/>
      </c>
      <c r="BI710">
        <f>VII_Model_PKZ!BI13</f>
        <v/>
      </c>
      <c r="BJ710">
        <f>O710</f>
        <v/>
      </c>
      <c r="BK710">
        <f>SUM(AG710:AW710)</f>
        <v/>
      </c>
      <c r="BL710" s="531">
        <f>BJ710-BK710</f>
        <v/>
      </c>
      <c r="BM710" s="201" t="n"/>
    </row>
    <row r="711" hidden="1" outlineLevel="1" s="191">
      <c r="A711">
        <f>VII_Model_PKZ!A14</f>
        <v/>
      </c>
      <c r="B711">
        <f>VII_Model_PKZ!B14</f>
        <v/>
      </c>
      <c r="C711">
        <f>VII_Model_PKZ!C14</f>
        <v/>
      </c>
      <c r="D711">
        <f>VII_Model_PKZ!D14</f>
        <v/>
      </c>
      <c r="E711">
        <f>VII_Model_PKZ!E14</f>
        <v/>
      </c>
      <c r="F711">
        <f>VII_Model_PKZ!F14</f>
        <v/>
      </c>
      <c r="G711">
        <f>VII_Model_PKZ!G14</f>
        <v/>
      </c>
      <c r="H711">
        <f>VII_Model_PKZ!H14</f>
        <v/>
      </c>
      <c r="I711">
        <f>VII_Model_PKZ!I14</f>
        <v/>
      </c>
      <c r="J711">
        <f>VII_Model_PKZ!J14</f>
        <v/>
      </c>
      <c r="K711" s="672">
        <f>VII_Model_PKZ!K14</f>
        <v/>
      </c>
      <c r="L711" s="672">
        <f>VII_Model_PKZ!L14</f>
        <v/>
      </c>
      <c r="M711">
        <f>VII_Model_PKZ!M14</f>
        <v/>
      </c>
      <c r="N711">
        <f>VII_Model_PKZ!N14</f>
        <v/>
      </c>
      <c r="O711">
        <f>VII_Model_PKZ!O14</f>
        <v/>
      </c>
      <c r="P711" s="628">
        <f>VII_Model_PKZ!P14</f>
        <v/>
      </c>
      <c r="Q711" s="628">
        <f>VII_Model_PKZ!Q14</f>
        <v/>
      </c>
      <c r="R711" s="628">
        <f>VII_Model_PKZ!R14</f>
        <v/>
      </c>
      <c r="S711" s="628">
        <f>VII_Model_PKZ!S14</f>
        <v/>
      </c>
      <c r="T711" s="628">
        <f>VII_Model_PKZ!T14</f>
        <v/>
      </c>
      <c r="U711" s="628">
        <f>VII_Model_PKZ!U14</f>
        <v/>
      </c>
      <c r="V711" s="628">
        <f>VII_Model_PKZ!V14</f>
        <v/>
      </c>
      <c r="W711" s="628">
        <f>VII_Model_PKZ!W14</f>
        <v/>
      </c>
      <c r="X711" s="628">
        <f>VII_Model_PKZ!X14</f>
        <v/>
      </c>
      <c r="Y711" s="650">
        <f>VII_Model_PKZ!Y14</f>
        <v/>
      </c>
      <c r="Z711" s="650">
        <f>VII_Model_PKZ!Z14</f>
        <v/>
      </c>
      <c r="AA711" s="650">
        <f>VII_Model_PKZ!AA14</f>
        <v/>
      </c>
      <c r="AB711" s="650">
        <f>VII_Model_PKZ!AB14</f>
        <v/>
      </c>
      <c r="AC711" s="613">
        <f>VII_Model_PKZ!AC14</f>
        <v/>
      </c>
      <c r="AD711" s="613">
        <f>VII_Model_PKZ!AD14</f>
        <v/>
      </c>
      <c r="AE711" s="613">
        <f>VII_Model_PKZ!AE14</f>
        <v/>
      </c>
      <c r="AF711" s="613">
        <f>VII_Model_PKZ!AF14</f>
        <v/>
      </c>
      <c r="AG711" s="626">
        <f>VII_Model_PKZ!AG14</f>
        <v/>
      </c>
      <c r="AH711" s="626">
        <f>VII_Model_PKZ!AH14</f>
        <v/>
      </c>
      <c r="AI711" s="626">
        <f>VII_Model_PKZ!AI14</f>
        <v/>
      </c>
      <c r="AJ711" s="626">
        <f>VII_Model_PKZ!AJ14</f>
        <v/>
      </c>
      <c r="AK711" s="626">
        <f>VII_Model_PKZ!AK14</f>
        <v/>
      </c>
      <c r="AL711" s="626">
        <f>VII_Model_PKZ!AL14</f>
        <v/>
      </c>
      <c r="AM711" s="626">
        <f>VII_Model_PKZ!AM14</f>
        <v/>
      </c>
      <c r="AN711" s="626">
        <f>VII_Model_PKZ!AN14</f>
        <v/>
      </c>
      <c r="AO711" s="626">
        <f>VII_Model_PKZ!AO14</f>
        <v/>
      </c>
      <c r="AP711" s="369">
        <f>VII_Model_PKZ!AP14</f>
        <v/>
      </c>
      <c r="AQ711" s="369">
        <f>VII_Model_PKZ!AQ14</f>
        <v/>
      </c>
      <c r="AR711" s="369">
        <f>VII_Model_PKZ!AR14</f>
        <v/>
      </c>
      <c r="AS711" s="369">
        <f>VII_Model_PKZ!AS14</f>
        <v/>
      </c>
      <c r="AT711" s="370">
        <f>VII_Model_PKZ!AT14</f>
        <v/>
      </c>
      <c r="AU711" s="370">
        <f>VII_Model_PKZ!AU14</f>
        <v/>
      </c>
      <c r="AV711" s="370">
        <f>VII_Model_PKZ!AV14</f>
        <v/>
      </c>
      <c r="AW711" s="370">
        <f>VII_Model_PKZ!AW14</f>
        <v/>
      </c>
      <c r="AX711">
        <f>VII_Model_PKZ!AX14</f>
        <v/>
      </c>
      <c r="AY711">
        <f>VII_Model_PKZ!AY14</f>
        <v/>
      </c>
      <c r="AZ711">
        <f>VII_Model_PKZ!AZ14</f>
        <v/>
      </c>
      <c r="BA711">
        <f>VII_Model_PKZ!BA14</f>
        <v/>
      </c>
      <c r="BB711">
        <f>VII_Model_PKZ!BB14</f>
        <v/>
      </c>
      <c r="BC711">
        <f>VII_Model_PKZ!BC14</f>
        <v/>
      </c>
      <c r="BD711">
        <f>VII_Model_PKZ!BD14</f>
        <v/>
      </c>
      <c r="BE711">
        <f>VII_Model_PKZ!BE14</f>
        <v/>
      </c>
      <c r="BF711">
        <f>VII_Model_PKZ!BF14</f>
        <v/>
      </c>
      <c r="BG711">
        <f>VII_Model_PKZ!BG14</f>
        <v/>
      </c>
      <c r="BH711">
        <f>VII_Model_PKZ!BH14</f>
        <v/>
      </c>
      <c r="BI711">
        <f>VII_Model_PKZ!BI14</f>
        <v/>
      </c>
      <c r="BJ711">
        <f>O711</f>
        <v/>
      </c>
      <c r="BK711">
        <f>SUM(AG711:AW711)</f>
        <v/>
      </c>
      <c r="BL711" s="531">
        <f>BJ711-BK711</f>
        <v/>
      </c>
      <c r="BM711" s="201" t="n"/>
    </row>
    <row r="712" hidden="1" outlineLevel="1" s="191">
      <c r="A712">
        <f>VII_Model_PKZ!A15</f>
        <v/>
      </c>
      <c r="B712">
        <f>VII_Model_PKZ!B15</f>
        <v/>
      </c>
      <c r="C712">
        <f>VII_Model_PKZ!C15</f>
        <v/>
      </c>
      <c r="D712">
        <f>VII_Model_PKZ!D15</f>
        <v/>
      </c>
      <c r="E712">
        <f>VII_Model_PKZ!E15</f>
        <v/>
      </c>
      <c r="F712">
        <f>VII_Model_PKZ!F15</f>
        <v/>
      </c>
      <c r="G712">
        <f>VII_Model_PKZ!G15</f>
        <v/>
      </c>
      <c r="H712">
        <f>VII_Model_PKZ!H15</f>
        <v/>
      </c>
      <c r="I712">
        <f>VII_Model_PKZ!I15</f>
        <v/>
      </c>
      <c r="J712">
        <f>VII_Model_PKZ!J15</f>
        <v/>
      </c>
      <c r="K712" s="672">
        <f>VII_Model_PKZ!K15</f>
        <v/>
      </c>
      <c r="L712" s="672">
        <f>VII_Model_PKZ!L15</f>
        <v/>
      </c>
      <c r="M712">
        <f>VII_Model_PKZ!M15</f>
        <v/>
      </c>
      <c r="N712">
        <f>VII_Model_PKZ!N15</f>
        <v/>
      </c>
      <c r="O712">
        <f>VII_Model_PKZ!O15</f>
        <v/>
      </c>
      <c r="P712" s="628">
        <f>VII_Model_PKZ!P15</f>
        <v/>
      </c>
      <c r="Q712" s="628">
        <f>VII_Model_PKZ!Q15</f>
        <v/>
      </c>
      <c r="R712" s="628">
        <f>VII_Model_PKZ!R15</f>
        <v/>
      </c>
      <c r="S712" s="628">
        <f>VII_Model_PKZ!S15</f>
        <v/>
      </c>
      <c r="T712" s="628">
        <f>VII_Model_PKZ!T15</f>
        <v/>
      </c>
      <c r="U712" s="628">
        <f>VII_Model_PKZ!U15</f>
        <v/>
      </c>
      <c r="V712" s="628">
        <f>VII_Model_PKZ!V15</f>
        <v/>
      </c>
      <c r="W712" s="628">
        <f>VII_Model_PKZ!W15</f>
        <v/>
      </c>
      <c r="X712" s="628">
        <f>VII_Model_PKZ!X15</f>
        <v/>
      </c>
      <c r="Y712" s="650">
        <f>VII_Model_PKZ!Y15</f>
        <v/>
      </c>
      <c r="Z712" s="650">
        <f>VII_Model_PKZ!Z15</f>
        <v/>
      </c>
      <c r="AA712" s="650">
        <f>VII_Model_PKZ!AA15</f>
        <v/>
      </c>
      <c r="AB712" s="650">
        <f>VII_Model_PKZ!AB15</f>
        <v/>
      </c>
      <c r="AC712" s="613">
        <f>VII_Model_PKZ!AC15</f>
        <v/>
      </c>
      <c r="AD712" s="613">
        <f>VII_Model_PKZ!AD15</f>
        <v/>
      </c>
      <c r="AE712" s="613">
        <f>VII_Model_PKZ!AE15</f>
        <v/>
      </c>
      <c r="AF712" s="613">
        <f>VII_Model_PKZ!AF15</f>
        <v/>
      </c>
      <c r="AG712" s="626">
        <f>VII_Model_PKZ!AG15</f>
        <v/>
      </c>
      <c r="AH712" s="626">
        <f>VII_Model_PKZ!AH15</f>
        <v/>
      </c>
      <c r="AI712" s="626">
        <f>VII_Model_PKZ!AI15</f>
        <v/>
      </c>
      <c r="AJ712" s="626">
        <f>VII_Model_PKZ!AJ15</f>
        <v/>
      </c>
      <c r="AK712" s="626">
        <f>VII_Model_PKZ!AK15</f>
        <v/>
      </c>
      <c r="AL712" s="626">
        <f>VII_Model_PKZ!AL15</f>
        <v/>
      </c>
      <c r="AM712" s="626">
        <f>VII_Model_PKZ!AM15</f>
        <v/>
      </c>
      <c r="AN712" s="626">
        <f>VII_Model_PKZ!AN15</f>
        <v/>
      </c>
      <c r="AO712" s="626">
        <f>VII_Model_PKZ!AO15</f>
        <v/>
      </c>
      <c r="AP712" s="369">
        <f>VII_Model_PKZ!AP15</f>
        <v/>
      </c>
      <c r="AQ712" s="369">
        <f>VII_Model_PKZ!AQ15</f>
        <v/>
      </c>
      <c r="AR712" s="369">
        <f>VII_Model_PKZ!AR15</f>
        <v/>
      </c>
      <c r="AS712" s="369">
        <f>VII_Model_PKZ!AS15</f>
        <v/>
      </c>
      <c r="AT712" s="370">
        <f>VII_Model_PKZ!AT15</f>
        <v/>
      </c>
      <c r="AU712" s="370">
        <f>VII_Model_PKZ!AU15</f>
        <v/>
      </c>
      <c r="AV712" s="370">
        <f>VII_Model_PKZ!AV15</f>
        <v/>
      </c>
      <c r="AW712" s="370">
        <f>VII_Model_PKZ!AW15</f>
        <v/>
      </c>
      <c r="AX712">
        <f>VII_Model_PKZ!AX15</f>
        <v/>
      </c>
      <c r="AY712">
        <f>VII_Model_PKZ!AY15</f>
        <v/>
      </c>
      <c r="AZ712">
        <f>VII_Model_PKZ!AZ15</f>
        <v/>
      </c>
      <c r="BA712">
        <f>VII_Model_PKZ!BA15</f>
        <v/>
      </c>
      <c r="BB712">
        <f>VII_Model_PKZ!BB15</f>
        <v/>
      </c>
      <c r="BC712">
        <f>VII_Model_PKZ!BC15</f>
        <v/>
      </c>
      <c r="BD712">
        <f>VII_Model_PKZ!BD15</f>
        <v/>
      </c>
      <c r="BE712">
        <f>VII_Model_PKZ!BE15</f>
        <v/>
      </c>
      <c r="BF712">
        <f>VII_Model_PKZ!BF15</f>
        <v/>
      </c>
      <c r="BG712">
        <f>VII_Model_PKZ!BG15</f>
        <v/>
      </c>
      <c r="BH712">
        <f>VII_Model_PKZ!BH15</f>
        <v/>
      </c>
      <c r="BI712">
        <f>VII_Model_PKZ!BI15</f>
        <v/>
      </c>
      <c r="BJ712">
        <f>O712</f>
        <v/>
      </c>
      <c r="BK712">
        <f>SUM(AG712:AW712)</f>
        <v/>
      </c>
      <c r="BL712" s="531">
        <f>BJ712-BK712</f>
        <v/>
      </c>
      <c r="BM712" s="201" t="n"/>
    </row>
    <row r="713" hidden="1" outlineLevel="1" s="191">
      <c r="A713">
        <f>VII_Model_PKZ!A16</f>
        <v/>
      </c>
      <c r="B713">
        <f>VII_Model_PKZ!B16</f>
        <v/>
      </c>
      <c r="C713">
        <f>VII_Model_PKZ!C16</f>
        <v/>
      </c>
      <c r="D713">
        <f>VII_Model_PKZ!D16</f>
        <v/>
      </c>
      <c r="E713">
        <f>VII_Model_PKZ!E16</f>
        <v/>
      </c>
      <c r="F713">
        <f>VII_Model_PKZ!F16</f>
        <v/>
      </c>
      <c r="G713">
        <f>VII_Model_PKZ!G16</f>
        <v/>
      </c>
      <c r="H713">
        <f>VII_Model_PKZ!H16</f>
        <v/>
      </c>
      <c r="I713">
        <f>VII_Model_PKZ!I16</f>
        <v/>
      </c>
      <c r="J713">
        <f>VII_Model_PKZ!J16</f>
        <v/>
      </c>
      <c r="K713" s="672">
        <f>VII_Model_PKZ!K16</f>
        <v/>
      </c>
      <c r="L713" s="672">
        <f>VII_Model_PKZ!L16</f>
        <v/>
      </c>
      <c r="M713">
        <f>VII_Model_PKZ!M16</f>
        <v/>
      </c>
      <c r="N713">
        <f>VII_Model_PKZ!N16</f>
        <v/>
      </c>
      <c r="O713">
        <f>VII_Model_PKZ!O16</f>
        <v/>
      </c>
      <c r="P713" s="628">
        <f>VII_Model_PKZ!P16</f>
        <v/>
      </c>
      <c r="Q713" s="628">
        <f>VII_Model_PKZ!Q16</f>
        <v/>
      </c>
      <c r="R713" s="628">
        <f>VII_Model_PKZ!R16</f>
        <v/>
      </c>
      <c r="S713" s="628">
        <f>VII_Model_PKZ!S16</f>
        <v/>
      </c>
      <c r="T713" s="628">
        <f>VII_Model_PKZ!T16</f>
        <v/>
      </c>
      <c r="U713" s="628">
        <f>VII_Model_PKZ!U16</f>
        <v/>
      </c>
      <c r="V713" s="628">
        <f>VII_Model_PKZ!V16</f>
        <v/>
      </c>
      <c r="W713" s="628">
        <f>VII_Model_PKZ!W16</f>
        <v/>
      </c>
      <c r="X713" s="628">
        <f>VII_Model_PKZ!X16</f>
        <v/>
      </c>
      <c r="Y713" s="650">
        <f>VII_Model_PKZ!Y16</f>
        <v/>
      </c>
      <c r="Z713" s="650">
        <f>VII_Model_PKZ!Z16</f>
        <v/>
      </c>
      <c r="AA713" s="650">
        <f>VII_Model_PKZ!AA16</f>
        <v/>
      </c>
      <c r="AB713" s="650">
        <f>VII_Model_PKZ!AB16</f>
        <v/>
      </c>
      <c r="AC713" s="613">
        <f>VII_Model_PKZ!AC16</f>
        <v/>
      </c>
      <c r="AD713" s="613">
        <f>VII_Model_PKZ!AD16</f>
        <v/>
      </c>
      <c r="AE713" s="613">
        <f>VII_Model_PKZ!AE16</f>
        <v/>
      </c>
      <c r="AF713" s="613">
        <f>VII_Model_PKZ!AF16</f>
        <v/>
      </c>
      <c r="AG713" s="626">
        <f>VII_Model_PKZ!AG16</f>
        <v/>
      </c>
      <c r="AH713" s="626">
        <f>VII_Model_PKZ!AH16</f>
        <v/>
      </c>
      <c r="AI713" s="626">
        <f>VII_Model_PKZ!AI16</f>
        <v/>
      </c>
      <c r="AJ713" s="626">
        <f>VII_Model_PKZ!AJ16</f>
        <v/>
      </c>
      <c r="AK713" s="626">
        <f>VII_Model_PKZ!AK16</f>
        <v/>
      </c>
      <c r="AL713" s="626">
        <f>VII_Model_PKZ!AL16</f>
        <v/>
      </c>
      <c r="AM713" s="626">
        <f>VII_Model_PKZ!AM16</f>
        <v/>
      </c>
      <c r="AN713" s="626">
        <f>VII_Model_PKZ!AN16</f>
        <v/>
      </c>
      <c r="AO713" s="626">
        <f>VII_Model_PKZ!AO16</f>
        <v/>
      </c>
      <c r="AP713" s="369">
        <f>VII_Model_PKZ!AP16</f>
        <v/>
      </c>
      <c r="AQ713" s="369">
        <f>VII_Model_PKZ!AQ16</f>
        <v/>
      </c>
      <c r="AR713" s="369">
        <f>VII_Model_PKZ!AR16</f>
        <v/>
      </c>
      <c r="AS713" s="369">
        <f>VII_Model_PKZ!AS16</f>
        <v/>
      </c>
      <c r="AT713" s="370">
        <f>VII_Model_PKZ!AT16</f>
        <v/>
      </c>
      <c r="AU713" s="370">
        <f>VII_Model_PKZ!AU16</f>
        <v/>
      </c>
      <c r="AV713" s="370">
        <f>VII_Model_PKZ!AV16</f>
        <v/>
      </c>
      <c r="AW713" s="370">
        <f>VII_Model_PKZ!AW16</f>
        <v/>
      </c>
      <c r="AX713">
        <f>VII_Model_PKZ!AX16</f>
        <v/>
      </c>
      <c r="AY713">
        <f>VII_Model_PKZ!AY16</f>
        <v/>
      </c>
      <c r="AZ713">
        <f>VII_Model_PKZ!AZ16</f>
        <v/>
      </c>
      <c r="BA713">
        <f>VII_Model_PKZ!BA16</f>
        <v/>
      </c>
      <c r="BB713">
        <f>VII_Model_PKZ!BB16</f>
        <v/>
      </c>
      <c r="BC713">
        <f>VII_Model_PKZ!BC16</f>
        <v/>
      </c>
      <c r="BD713">
        <f>VII_Model_PKZ!BD16</f>
        <v/>
      </c>
      <c r="BE713">
        <f>VII_Model_PKZ!BE16</f>
        <v/>
      </c>
      <c r="BF713">
        <f>VII_Model_PKZ!BF16</f>
        <v/>
      </c>
      <c r="BG713">
        <f>VII_Model_PKZ!BG16</f>
        <v/>
      </c>
      <c r="BH713">
        <f>VII_Model_PKZ!BH16</f>
        <v/>
      </c>
      <c r="BI713">
        <f>VII_Model_PKZ!BI16</f>
        <v/>
      </c>
      <c r="BJ713">
        <f>O713</f>
        <v/>
      </c>
      <c r="BK713">
        <f>SUM(AG713:AW713)</f>
        <v/>
      </c>
      <c r="BL713" s="531">
        <f>BJ713-BK713</f>
        <v/>
      </c>
      <c r="BM713" s="201" t="n"/>
    </row>
    <row r="714" hidden="1" outlineLevel="1" s="191">
      <c r="A714">
        <f>VII_Model_PKZ!A17</f>
        <v/>
      </c>
      <c r="B714">
        <f>VII_Model_PKZ!B17</f>
        <v/>
      </c>
      <c r="C714">
        <f>VII_Model_PKZ!C17</f>
        <v/>
      </c>
      <c r="D714">
        <f>VII_Model_PKZ!D17</f>
        <v/>
      </c>
      <c r="E714">
        <f>VII_Model_PKZ!E17</f>
        <v/>
      </c>
      <c r="F714">
        <f>VII_Model_PKZ!F17</f>
        <v/>
      </c>
      <c r="G714">
        <f>VII_Model_PKZ!G17</f>
        <v/>
      </c>
      <c r="H714">
        <f>VII_Model_PKZ!H17</f>
        <v/>
      </c>
      <c r="I714">
        <f>VII_Model_PKZ!I17</f>
        <v/>
      </c>
      <c r="J714">
        <f>VII_Model_PKZ!J17</f>
        <v/>
      </c>
      <c r="K714" s="672">
        <f>VII_Model_PKZ!K17</f>
        <v/>
      </c>
      <c r="L714" s="672">
        <f>VII_Model_PKZ!L17</f>
        <v/>
      </c>
      <c r="M714">
        <f>VII_Model_PKZ!M17</f>
        <v/>
      </c>
      <c r="N714">
        <f>VII_Model_PKZ!N17</f>
        <v/>
      </c>
      <c r="O714">
        <f>VII_Model_PKZ!O17</f>
        <v/>
      </c>
      <c r="P714" s="628">
        <f>VII_Model_PKZ!P17</f>
        <v/>
      </c>
      <c r="Q714" s="628">
        <f>VII_Model_PKZ!Q17</f>
        <v/>
      </c>
      <c r="R714" s="628">
        <f>VII_Model_PKZ!R17</f>
        <v/>
      </c>
      <c r="S714" s="628">
        <f>VII_Model_PKZ!S17</f>
        <v/>
      </c>
      <c r="T714" s="628">
        <f>VII_Model_PKZ!T17</f>
        <v/>
      </c>
      <c r="U714" s="628">
        <f>VII_Model_PKZ!U17</f>
        <v/>
      </c>
      <c r="V714" s="628">
        <f>VII_Model_PKZ!V17</f>
        <v/>
      </c>
      <c r="W714" s="628">
        <f>VII_Model_PKZ!W17</f>
        <v/>
      </c>
      <c r="X714" s="628">
        <f>VII_Model_PKZ!X17</f>
        <v/>
      </c>
      <c r="Y714" s="650">
        <f>VII_Model_PKZ!Y17</f>
        <v/>
      </c>
      <c r="Z714" s="650">
        <f>VII_Model_PKZ!Z17</f>
        <v/>
      </c>
      <c r="AA714" s="650">
        <f>VII_Model_PKZ!AA17</f>
        <v/>
      </c>
      <c r="AB714" s="650">
        <f>VII_Model_PKZ!AB17</f>
        <v/>
      </c>
      <c r="AC714" s="613">
        <f>VII_Model_PKZ!AC17</f>
        <v/>
      </c>
      <c r="AD714" s="613">
        <f>VII_Model_PKZ!AD17</f>
        <v/>
      </c>
      <c r="AE714" s="613">
        <f>VII_Model_PKZ!AE17</f>
        <v/>
      </c>
      <c r="AF714" s="613">
        <f>VII_Model_PKZ!AF17</f>
        <v/>
      </c>
      <c r="AG714" s="626">
        <f>VII_Model_PKZ!AG17</f>
        <v/>
      </c>
      <c r="AH714" s="626">
        <f>VII_Model_PKZ!AH17</f>
        <v/>
      </c>
      <c r="AI714" s="626">
        <f>VII_Model_PKZ!AI17</f>
        <v/>
      </c>
      <c r="AJ714" s="626">
        <f>VII_Model_PKZ!AJ17</f>
        <v/>
      </c>
      <c r="AK714" s="626">
        <f>VII_Model_PKZ!AK17</f>
        <v/>
      </c>
      <c r="AL714" s="626">
        <f>VII_Model_PKZ!AL17</f>
        <v/>
      </c>
      <c r="AM714" s="626">
        <f>VII_Model_PKZ!AM17</f>
        <v/>
      </c>
      <c r="AN714" s="626">
        <f>VII_Model_PKZ!AN17</f>
        <v/>
      </c>
      <c r="AO714" s="626">
        <f>VII_Model_PKZ!AO17</f>
        <v/>
      </c>
      <c r="AP714" s="369">
        <f>VII_Model_PKZ!AP17</f>
        <v/>
      </c>
      <c r="AQ714" s="369">
        <f>VII_Model_PKZ!AQ17</f>
        <v/>
      </c>
      <c r="AR714" s="369">
        <f>VII_Model_PKZ!AR17</f>
        <v/>
      </c>
      <c r="AS714" s="369">
        <f>VII_Model_PKZ!AS17</f>
        <v/>
      </c>
      <c r="AT714" s="370">
        <f>VII_Model_PKZ!AT17</f>
        <v/>
      </c>
      <c r="AU714" s="370">
        <f>VII_Model_PKZ!AU17</f>
        <v/>
      </c>
      <c r="AV714" s="370">
        <f>VII_Model_PKZ!AV17</f>
        <v/>
      </c>
      <c r="AW714" s="370">
        <f>VII_Model_PKZ!AW17</f>
        <v/>
      </c>
      <c r="AX714">
        <f>VII_Model_PKZ!AX17</f>
        <v/>
      </c>
      <c r="AY714">
        <f>VII_Model_PKZ!AY17</f>
        <v/>
      </c>
      <c r="AZ714">
        <f>VII_Model_PKZ!AZ17</f>
        <v/>
      </c>
      <c r="BA714">
        <f>VII_Model_PKZ!BA17</f>
        <v/>
      </c>
      <c r="BB714">
        <f>VII_Model_PKZ!BB17</f>
        <v/>
      </c>
      <c r="BC714">
        <f>VII_Model_PKZ!BC17</f>
        <v/>
      </c>
      <c r="BD714">
        <f>VII_Model_PKZ!BD17</f>
        <v/>
      </c>
      <c r="BE714">
        <f>VII_Model_PKZ!BE17</f>
        <v/>
      </c>
      <c r="BF714">
        <f>VII_Model_PKZ!BF17</f>
        <v/>
      </c>
      <c r="BG714">
        <f>VII_Model_PKZ!BG17</f>
        <v/>
      </c>
      <c r="BH714">
        <f>VII_Model_PKZ!BH17</f>
        <v/>
      </c>
      <c r="BI714">
        <f>VII_Model_PKZ!BI17</f>
        <v/>
      </c>
      <c r="BJ714">
        <f>O714</f>
        <v/>
      </c>
      <c r="BK714">
        <f>SUM(AG714:AW714)</f>
        <v/>
      </c>
      <c r="BL714" s="531">
        <f>BJ714-BK714</f>
        <v/>
      </c>
      <c r="BM714" s="201" t="n"/>
    </row>
    <row r="715" hidden="1" outlineLevel="1" s="191">
      <c r="A715">
        <f>VII_Model_PKZ!A18</f>
        <v/>
      </c>
      <c r="B715">
        <f>VII_Model_PKZ!B18</f>
        <v/>
      </c>
      <c r="C715">
        <f>VII_Model_PKZ!C18</f>
        <v/>
      </c>
      <c r="D715">
        <f>VII_Model_PKZ!D18</f>
        <v/>
      </c>
      <c r="E715">
        <f>VII_Model_PKZ!E18</f>
        <v/>
      </c>
      <c r="F715">
        <f>VII_Model_PKZ!F18</f>
        <v/>
      </c>
      <c r="G715">
        <f>VII_Model_PKZ!G18</f>
        <v/>
      </c>
      <c r="H715">
        <f>VII_Model_PKZ!H18</f>
        <v/>
      </c>
      <c r="I715">
        <f>VII_Model_PKZ!I18</f>
        <v/>
      </c>
      <c r="J715">
        <f>VII_Model_PKZ!J18</f>
        <v/>
      </c>
      <c r="K715" s="672">
        <f>VII_Model_PKZ!K18</f>
        <v/>
      </c>
      <c r="L715" s="672">
        <f>VII_Model_PKZ!L18</f>
        <v/>
      </c>
      <c r="M715">
        <f>VII_Model_PKZ!M18</f>
        <v/>
      </c>
      <c r="N715">
        <f>VII_Model_PKZ!N18</f>
        <v/>
      </c>
      <c r="O715">
        <f>VII_Model_PKZ!O18</f>
        <v/>
      </c>
      <c r="P715" s="628">
        <f>VII_Model_PKZ!P18</f>
        <v/>
      </c>
      <c r="Q715" s="628">
        <f>VII_Model_PKZ!Q18</f>
        <v/>
      </c>
      <c r="R715" s="628">
        <f>VII_Model_PKZ!R18</f>
        <v/>
      </c>
      <c r="S715" s="628">
        <f>VII_Model_PKZ!S18</f>
        <v/>
      </c>
      <c r="T715" s="628">
        <f>VII_Model_PKZ!T18</f>
        <v/>
      </c>
      <c r="U715" s="628">
        <f>VII_Model_PKZ!U18</f>
        <v/>
      </c>
      <c r="V715" s="628">
        <f>VII_Model_PKZ!V18</f>
        <v/>
      </c>
      <c r="W715" s="628">
        <f>VII_Model_PKZ!W18</f>
        <v/>
      </c>
      <c r="X715" s="628">
        <f>VII_Model_PKZ!X18</f>
        <v/>
      </c>
      <c r="Y715" s="650">
        <f>VII_Model_PKZ!Y18</f>
        <v/>
      </c>
      <c r="Z715" s="650">
        <f>VII_Model_PKZ!Z18</f>
        <v/>
      </c>
      <c r="AA715" s="650">
        <f>VII_Model_PKZ!AA18</f>
        <v/>
      </c>
      <c r="AB715" s="650">
        <f>VII_Model_PKZ!AB18</f>
        <v/>
      </c>
      <c r="AC715" s="613">
        <f>VII_Model_PKZ!AC18</f>
        <v/>
      </c>
      <c r="AD715" s="613">
        <f>VII_Model_PKZ!AD18</f>
        <v/>
      </c>
      <c r="AE715" s="613">
        <f>VII_Model_PKZ!AE18</f>
        <v/>
      </c>
      <c r="AF715" s="613">
        <f>VII_Model_PKZ!AF18</f>
        <v/>
      </c>
      <c r="AG715" s="626">
        <f>VII_Model_PKZ!AG18</f>
        <v/>
      </c>
      <c r="AH715" s="626">
        <f>VII_Model_PKZ!AH18</f>
        <v/>
      </c>
      <c r="AI715" s="626">
        <f>VII_Model_PKZ!AI18</f>
        <v/>
      </c>
      <c r="AJ715" s="626">
        <f>VII_Model_PKZ!AJ18</f>
        <v/>
      </c>
      <c r="AK715" s="626">
        <f>VII_Model_PKZ!AK18</f>
        <v/>
      </c>
      <c r="AL715" s="626">
        <f>VII_Model_PKZ!AL18</f>
        <v/>
      </c>
      <c r="AM715" s="626">
        <f>VII_Model_PKZ!AM18</f>
        <v/>
      </c>
      <c r="AN715" s="626">
        <f>VII_Model_PKZ!AN18</f>
        <v/>
      </c>
      <c r="AO715" s="626">
        <f>VII_Model_PKZ!AO18</f>
        <v/>
      </c>
      <c r="AP715" s="369">
        <f>VII_Model_PKZ!AP18</f>
        <v/>
      </c>
      <c r="AQ715" s="369">
        <f>VII_Model_PKZ!AQ18</f>
        <v/>
      </c>
      <c r="AR715" s="369">
        <f>VII_Model_PKZ!AR18</f>
        <v/>
      </c>
      <c r="AS715" s="369">
        <f>VII_Model_PKZ!AS18</f>
        <v/>
      </c>
      <c r="AT715" s="370">
        <f>VII_Model_PKZ!AT18</f>
        <v/>
      </c>
      <c r="AU715" s="370">
        <f>VII_Model_PKZ!AU18</f>
        <v/>
      </c>
      <c r="AV715" s="370">
        <f>VII_Model_PKZ!AV18</f>
        <v/>
      </c>
      <c r="AW715" s="370">
        <f>VII_Model_PKZ!AW18</f>
        <v/>
      </c>
      <c r="AX715">
        <f>VII_Model_PKZ!AX18</f>
        <v/>
      </c>
      <c r="AY715">
        <f>VII_Model_PKZ!AY18</f>
        <v/>
      </c>
      <c r="AZ715">
        <f>VII_Model_PKZ!AZ18</f>
        <v/>
      </c>
      <c r="BA715">
        <f>VII_Model_PKZ!BA18</f>
        <v/>
      </c>
      <c r="BB715">
        <f>VII_Model_PKZ!BB18</f>
        <v/>
      </c>
      <c r="BC715">
        <f>VII_Model_PKZ!BC18</f>
        <v/>
      </c>
      <c r="BD715">
        <f>VII_Model_PKZ!BD18</f>
        <v/>
      </c>
      <c r="BE715">
        <f>VII_Model_PKZ!BE18</f>
        <v/>
      </c>
      <c r="BF715">
        <f>VII_Model_PKZ!BF18</f>
        <v/>
      </c>
      <c r="BG715">
        <f>VII_Model_PKZ!BG18</f>
        <v/>
      </c>
      <c r="BH715">
        <f>VII_Model_PKZ!BH18</f>
        <v/>
      </c>
      <c r="BI715">
        <f>VII_Model_PKZ!BI18</f>
        <v/>
      </c>
      <c r="BJ715">
        <f>O715</f>
        <v/>
      </c>
      <c r="BK715">
        <f>SUM(AG715:AW715)</f>
        <v/>
      </c>
      <c r="BL715" s="531">
        <f>BJ715-BK715</f>
        <v/>
      </c>
      <c r="BM715" s="201" t="n"/>
    </row>
    <row r="716" hidden="1" outlineLevel="1" s="191">
      <c r="A716">
        <f>VII_Model_PKZ!A19</f>
        <v/>
      </c>
      <c r="B716">
        <f>VII_Model_PKZ!B19</f>
        <v/>
      </c>
      <c r="C716">
        <f>VII_Model_PKZ!C19</f>
        <v/>
      </c>
      <c r="D716">
        <f>VII_Model_PKZ!D19</f>
        <v/>
      </c>
      <c r="E716">
        <f>VII_Model_PKZ!E19</f>
        <v/>
      </c>
      <c r="F716">
        <f>VII_Model_PKZ!F19</f>
        <v/>
      </c>
      <c r="G716">
        <f>VII_Model_PKZ!G19</f>
        <v/>
      </c>
      <c r="H716">
        <f>VII_Model_PKZ!H19</f>
        <v/>
      </c>
      <c r="I716">
        <f>VII_Model_PKZ!I19</f>
        <v/>
      </c>
      <c r="J716">
        <f>VII_Model_PKZ!J19</f>
        <v/>
      </c>
      <c r="K716" s="672">
        <f>VII_Model_PKZ!K19</f>
        <v/>
      </c>
      <c r="L716" s="672">
        <f>VII_Model_PKZ!L19</f>
        <v/>
      </c>
      <c r="M716">
        <f>VII_Model_PKZ!M19</f>
        <v/>
      </c>
      <c r="N716">
        <f>VII_Model_PKZ!N19</f>
        <v/>
      </c>
      <c r="O716">
        <f>VII_Model_PKZ!O19</f>
        <v/>
      </c>
      <c r="P716" s="628">
        <f>VII_Model_PKZ!P19</f>
        <v/>
      </c>
      <c r="Q716" s="628">
        <f>VII_Model_PKZ!Q19</f>
        <v/>
      </c>
      <c r="R716" s="628">
        <f>VII_Model_PKZ!R19</f>
        <v/>
      </c>
      <c r="S716" s="628">
        <f>VII_Model_PKZ!S19</f>
        <v/>
      </c>
      <c r="T716" s="628">
        <f>VII_Model_PKZ!T19</f>
        <v/>
      </c>
      <c r="U716" s="628">
        <f>VII_Model_PKZ!U19</f>
        <v/>
      </c>
      <c r="V716" s="628">
        <f>VII_Model_PKZ!V19</f>
        <v/>
      </c>
      <c r="W716" s="628">
        <f>VII_Model_PKZ!W19</f>
        <v/>
      </c>
      <c r="X716" s="628">
        <f>VII_Model_PKZ!X19</f>
        <v/>
      </c>
      <c r="Y716" s="650">
        <f>VII_Model_PKZ!Y19</f>
        <v/>
      </c>
      <c r="Z716" s="650">
        <f>VII_Model_PKZ!Z19</f>
        <v/>
      </c>
      <c r="AA716" s="650">
        <f>VII_Model_PKZ!AA19</f>
        <v/>
      </c>
      <c r="AB716" s="650">
        <f>VII_Model_PKZ!AB19</f>
        <v/>
      </c>
      <c r="AC716" s="613">
        <f>VII_Model_PKZ!AC19</f>
        <v/>
      </c>
      <c r="AD716" s="613">
        <f>VII_Model_PKZ!AD19</f>
        <v/>
      </c>
      <c r="AE716" s="613">
        <f>VII_Model_PKZ!AE19</f>
        <v/>
      </c>
      <c r="AF716" s="613">
        <f>VII_Model_PKZ!AF19</f>
        <v/>
      </c>
      <c r="AG716" s="626">
        <f>VII_Model_PKZ!AG19</f>
        <v/>
      </c>
      <c r="AH716" s="626">
        <f>VII_Model_PKZ!AH19</f>
        <v/>
      </c>
      <c r="AI716" s="626">
        <f>VII_Model_PKZ!AI19</f>
        <v/>
      </c>
      <c r="AJ716" s="626">
        <f>VII_Model_PKZ!AJ19</f>
        <v/>
      </c>
      <c r="AK716" s="626">
        <f>VII_Model_PKZ!AK19</f>
        <v/>
      </c>
      <c r="AL716" s="626">
        <f>VII_Model_PKZ!AL19</f>
        <v/>
      </c>
      <c r="AM716" s="626">
        <f>VII_Model_PKZ!AM19</f>
        <v/>
      </c>
      <c r="AN716" s="626">
        <f>VII_Model_PKZ!AN19</f>
        <v/>
      </c>
      <c r="AO716" s="626">
        <f>VII_Model_PKZ!AO19</f>
        <v/>
      </c>
      <c r="AP716" s="369">
        <f>VII_Model_PKZ!AP19</f>
        <v/>
      </c>
      <c r="AQ716" s="369">
        <f>VII_Model_PKZ!AQ19</f>
        <v/>
      </c>
      <c r="AR716" s="369">
        <f>VII_Model_PKZ!AR19</f>
        <v/>
      </c>
      <c r="AS716" s="369">
        <f>VII_Model_PKZ!AS19</f>
        <v/>
      </c>
      <c r="AT716" s="370">
        <f>VII_Model_PKZ!AT19</f>
        <v/>
      </c>
      <c r="AU716" s="370">
        <f>VII_Model_PKZ!AU19</f>
        <v/>
      </c>
      <c r="AV716" s="370">
        <f>VII_Model_PKZ!AV19</f>
        <v/>
      </c>
      <c r="AW716" s="370">
        <f>VII_Model_PKZ!AW19</f>
        <v/>
      </c>
      <c r="AX716">
        <f>VII_Model_PKZ!AX19</f>
        <v/>
      </c>
      <c r="AY716">
        <f>VII_Model_PKZ!AY19</f>
        <v/>
      </c>
      <c r="AZ716">
        <f>VII_Model_PKZ!AZ19</f>
        <v/>
      </c>
      <c r="BA716">
        <f>VII_Model_PKZ!BA19</f>
        <v/>
      </c>
      <c r="BB716">
        <f>VII_Model_PKZ!BB19</f>
        <v/>
      </c>
      <c r="BC716">
        <f>VII_Model_PKZ!BC19</f>
        <v/>
      </c>
      <c r="BD716">
        <f>VII_Model_PKZ!BD19</f>
        <v/>
      </c>
      <c r="BE716">
        <f>VII_Model_PKZ!BE19</f>
        <v/>
      </c>
      <c r="BF716">
        <f>VII_Model_PKZ!BF19</f>
        <v/>
      </c>
      <c r="BG716">
        <f>VII_Model_PKZ!BG19</f>
        <v/>
      </c>
      <c r="BH716">
        <f>VII_Model_PKZ!BH19</f>
        <v/>
      </c>
      <c r="BI716">
        <f>VII_Model_PKZ!BI19</f>
        <v/>
      </c>
      <c r="BJ716">
        <f>O716</f>
        <v/>
      </c>
      <c r="BK716">
        <f>SUM(AG716:AW716)</f>
        <v/>
      </c>
      <c r="BL716" s="531">
        <f>BJ716-BK716</f>
        <v/>
      </c>
      <c r="BM716" s="201" t="n"/>
    </row>
    <row r="717" hidden="1" outlineLevel="1" s="191">
      <c r="A717">
        <f>VII_Model_PKZ!A20</f>
        <v/>
      </c>
      <c r="B717">
        <f>VII_Model_PKZ!B20</f>
        <v/>
      </c>
      <c r="C717">
        <f>VII_Model_PKZ!C20</f>
        <v/>
      </c>
      <c r="D717">
        <f>VII_Model_PKZ!D20</f>
        <v/>
      </c>
      <c r="E717">
        <f>VII_Model_PKZ!E20</f>
        <v/>
      </c>
      <c r="F717">
        <f>VII_Model_PKZ!F20</f>
        <v/>
      </c>
      <c r="G717">
        <f>VII_Model_PKZ!G20</f>
        <v/>
      </c>
      <c r="H717">
        <f>VII_Model_PKZ!H20</f>
        <v/>
      </c>
      <c r="I717">
        <f>VII_Model_PKZ!I20</f>
        <v/>
      </c>
      <c r="J717">
        <f>VII_Model_PKZ!J20</f>
        <v/>
      </c>
      <c r="K717" s="672">
        <f>VII_Model_PKZ!K20</f>
        <v/>
      </c>
      <c r="L717" s="672">
        <f>VII_Model_PKZ!L20</f>
        <v/>
      </c>
      <c r="M717">
        <f>VII_Model_PKZ!M20</f>
        <v/>
      </c>
      <c r="N717">
        <f>VII_Model_PKZ!N20</f>
        <v/>
      </c>
      <c r="O717">
        <f>VII_Model_PKZ!O20</f>
        <v/>
      </c>
      <c r="P717" s="628">
        <f>VII_Model_PKZ!P20</f>
        <v/>
      </c>
      <c r="Q717" s="628">
        <f>VII_Model_PKZ!Q20</f>
        <v/>
      </c>
      <c r="R717" s="628">
        <f>VII_Model_PKZ!R20</f>
        <v/>
      </c>
      <c r="S717" s="628">
        <f>VII_Model_PKZ!S20</f>
        <v/>
      </c>
      <c r="T717" s="628">
        <f>VII_Model_PKZ!T20</f>
        <v/>
      </c>
      <c r="U717" s="628">
        <f>VII_Model_PKZ!U20</f>
        <v/>
      </c>
      <c r="V717" s="628">
        <f>VII_Model_PKZ!V20</f>
        <v/>
      </c>
      <c r="W717" s="628">
        <f>VII_Model_PKZ!W20</f>
        <v/>
      </c>
      <c r="X717" s="628">
        <f>VII_Model_PKZ!X20</f>
        <v/>
      </c>
      <c r="Y717" s="650">
        <f>VII_Model_PKZ!Y20</f>
        <v/>
      </c>
      <c r="Z717" s="650">
        <f>VII_Model_PKZ!Z20</f>
        <v/>
      </c>
      <c r="AA717" s="650">
        <f>VII_Model_PKZ!AA20</f>
        <v/>
      </c>
      <c r="AB717" s="650">
        <f>VII_Model_PKZ!AB20</f>
        <v/>
      </c>
      <c r="AC717" s="613">
        <f>VII_Model_PKZ!AC20</f>
        <v/>
      </c>
      <c r="AD717" s="613">
        <f>VII_Model_PKZ!AD20</f>
        <v/>
      </c>
      <c r="AE717" s="613">
        <f>VII_Model_PKZ!AE20</f>
        <v/>
      </c>
      <c r="AF717" s="613">
        <f>VII_Model_PKZ!AF20</f>
        <v/>
      </c>
      <c r="AG717" s="626">
        <f>VII_Model_PKZ!AG20</f>
        <v/>
      </c>
      <c r="AH717" s="626">
        <f>VII_Model_PKZ!AH20</f>
        <v/>
      </c>
      <c r="AI717" s="626">
        <f>VII_Model_PKZ!AI20</f>
        <v/>
      </c>
      <c r="AJ717" s="626">
        <f>VII_Model_PKZ!AJ20</f>
        <v/>
      </c>
      <c r="AK717" s="626">
        <f>VII_Model_PKZ!AK20</f>
        <v/>
      </c>
      <c r="AL717" s="626">
        <f>VII_Model_PKZ!AL20</f>
        <v/>
      </c>
      <c r="AM717" s="626">
        <f>VII_Model_PKZ!AM20</f>
        <v/>
      </c>
      <c r="AN717" s="626">
        <f>VII_Model_PKZ!AN20</f>
        <v/>
      </c>
      <c r="AO717" s="626">
        <f>VII_Model_PKZ!AO20</f>
        <v/>
      </c>
      <c r="AP717" s="369">
        <f>VII_Model_PKZ!AP20</f>
        <v/>
      </c>
      <c r="AQ717" s="369">
        <f>VII_Model_PKZ!AQ20</f>
        <v/>
      </c>
      <c r="AR717" s="369">
        <f>VII_Model_PKZ!AR20</f>
        <v/>
      </c>
      <c r="AS717" s="369">
        <f>VII_Model_PKZ!AS20</f>
        <v/>
      </c>
      <c r="AT717" s="370">
        <f>VII_Model_PKZ!AT20</f>
        <v/>
      </c>
      <c r="AU717" s="370">
        <f>VII_Model_PKZ!AU20</f>
        <v/>
      </c>
      <c r="AV717" s="370">
        <f>VII_Model_PKZ!AV20</f>
        <v/>
      </c>
      <c r="AW717" s="370">
        <f>VII_Model_PKZ!AW20</f>
        <v/>
      </c>
      <c r="AX717">
        <f>VII_Model_PKZ!AX20</f>
        <v/>
      </c>
      <c r="AY717">
        <f>VII_Model_PKZ!AY20</f>
        <v/>
      </c>
      <c r="AZ717">
        <f>VII_Model_PKZ!AZ20</f>
        <v/>
      </c>
      <c r="BA717">
        <f>VII_Model_PKZ!BA20</f>
        <v/>
      </c>
      <c r="BB717">
        <f>VII_Model_PKZ!BB20</f>
        <v/>
      </c>
      <c r="BC717">
        <f>VII_Model_PKZ!BC20</f>
        <v/>
      </c>
      <c r="BD717">
        <f>VII_Model_PKZ!BD20</f>
        <v/>
      </c>
      <c r="BE717">
        <f>VII_Model_PKZ!BE20</f>
        <v/>
      </c>
      <c r="BF717">
        <f>VII_Model_PKZ!BF20</f>
        <v/>
      </c>
      <c r="BG717">
        <f>VII_Model_PKZ!BG20</f>
        <v/>
      </c>
      <c r="BH717">
        <f>VII_Model_PKZ!BH20</f>
        <v/>
      </c>
      <c r="BI717">
        <f>VII_Model_PKZ!BI20</f>
        <v/>
      </c>
      <c r="BJ717">
        <f>O717</f>
        <v/>
      </c>
      <c r="BK717">
        <f>SUM(AG717:AW717)</f>
        <v/>
      </c>
      <c r="BL717" s="531">
        <f>BJ717-BK717</f>
        <v/>
      </c>
      <c r="BM717" s="201" t="n"/>
    </row>
    <row r="718" hidden="1" outlineLevel="1" s="191">
      <c r="A718">
        <f>VII_Model_PKZ!A21</f>
        <v/>
      </c>
      <c r="B718">
        <f>VII_Model_PKZ!B21</f>
        <v/>
      </c>
      <c r="C718">
        <f>VII_Model_PKZ!C21</f>
        <v/>
      </c>
      <c r="D718">
        <f>VII_Model_PKZ!D21</f>
        <v/>
      </c>
      <c r="E718">
        <f>VII_Model_PKZ!E21</f>
        <v/>
      </c>
      <c r="F718">
        <f>VII_Model_PKZ!F21</f>
        <v/>
      </c>
      <c r="G718">
        <f>VII_Model_PKZ!G21</f>
        <v/>
      </c>
      <c r="H718">
        <f>VII_Model_PKZ!H21</f>
        <v/>
      </c>
      <c r="I718">
        <f>VII_Model_PKZ!I21</f>
        <v/>
      </c>
      <c r="J718">
        <f>VII_Model_PKZ!J21</f>
        <v/>
      </c>
      <c r="K718" s="672">
        <f>VII_Model_PKZ!K21</f>
        <v/>
      </c>
      <c r="L718" s="672">
        <f>VII_Model_PKZ!L21</f>
        <v/>
      </c>
      <c r="M718">
        <f>VII_Model_PKZ!M21</f>
        <v/>
      </c>
      <c r="N718">
        <f>VII_Model_PKZ!N21</f>
        <v/>
      </c>
      <c r="O718">
        <f>VII_Model_PKZ!O21</f>
        <v/>
      </c>
      <c r="P718" s="628">
        <f>VII_Model_PKZ!P21</f>
        <v/>
      </c>
      <c r="Q718" s="628">
        <f>VII_Model_PKZ!Q21</f>
        <v/>
      </c>
      <c r="R718" s="628">
        <f>VII_Model_PKZ!R21</f>
        <v/>
      </c>
      <c r="S718" s="628">
        <f>VII_Model_PKZ!S21</f>
        <v/>
      </c>
      <c r="T718" s="628">
        <f>VII_Model_PKZ!T21</f>
        <v/>
      </c>
      <c r="U718" s="628">
        <f>VII_Model_PKZ!U21</f>
        <v/>
      </c>
      <c r="V718" s="628">
        <f>VII_Model_PKZ!V21</f>
        <v/>
      </c>
      <c r="W718" s="628">
        <f>VII_Model_PKZ!W21</f>
        <v/>
      </c>
      <c r="X718" s="628">
        <f>VII_Model_PKZ!X21</f>
        <v/>
      </c>
      <c r="Y718" s="650">
        <f>VII_Model_PKZ!Y21</f>
        <v/>
      </c>
      <c r="Z718" s="650">
        <f>VII_Model_PKZ!Z21</f>
        <v/>
      </c>
      <c r="AA718" s="650">
        <f>VII_Model_PKZ!AA21</f>
        <v/>
      </c>
      <c r="AB718" s="650">
        <f>VII_Model_PKZ!AB21</f>
        <v/>
      </c>
      <c r="AC718" s="613">
        <f>VII_Model_PKZ!AC21</f>
        <v/>
      </c>
      <c r="AD718" s="613">
        <f>VII_Model_PKZ!AD21</f>
        <v/>
      </c>
      <c r="AE718" s="613">
        <f>VII_Model_PKZ!AE21</f>
        <v/>
      </c>
      <c r="AF718" s="613">
        <f>VII_Model_PKZ!AF21</f>
        <v/>
      </c>
      <c r="AG718" s="626">
        <f>VII_Model_PKZ!AG21</f>
        <v/>
      </c>
      <c r="AH718" s="626">
        <f>VII_Model_PKZ!AH21</f>
        <v/>
      </c>
      <c r="AI718" s="626">
        <f>VII_Model_PKZ!AI21</f>
        <v/>
      </c>
      <c r="AJ718" s="626">
        <f>VII_Model_PKZ!AJ21</f>
        <v/>
      </c>
      <c r="AK718" s="626">
        <f>VII_Model_PKZ!AK21</f>
        <v/>
      </c>
      <c r="AL718" s="626">
        <f>VII_Model_PKZ!AL21</f>
        <v/>
      </c>
      <c r="AM718" s="626">
        <f>VII_Model_PKZ!AM21</f>
        <v/>
      </c>
      <c r="AN718" s="626">
        <f>VII_Model_PKZ!AN21</f>
        <v/>
      </c>
      <c r="AO718" s="626">
        <f>VII_Model_PKZ!AO21</f>
        <v/>
      </c>
      <c r="AP718" s="369">
        <f>VII_Model_PKZ!AP21</f>
        <v/>
      </c>
      <c r="AQ718" s="369">
        <f>VII_Model_PKZ!AQ21</f>
        <v/>
      </c>
      <c r="AR718" s="369">
        <f>VII_Model_PKZ!AR21</f>
        <v/>
      </c>
      <c r="AS718" s="369">
        <f>VII_Model_PKZ!AS21</f>
        <v/>
      </c>
      <c r="AT718" s="370">
        <f>VII_Model_PKZ!AT21</f>
        <v/>
      </c>
      <c r="AU718" s="370">
        <f>VII_Model_PKZ!AU21</f>
        <v/>
      </c>
      <c r="AV718" s="370">
        <f>VII_Model_PKZ!AV21</f>
        <v/>
      </c>
      <c r="AW718" s="370">
        <f>VII_Model_PKZ!AW21</f>
        <v/>
      </c>
      <c r="AX718">
        <f>VII_Model_PKZ!AX21</f>
        <v/>
      </c>
      <c r="AY718">
        <f>VII_Model_PKZ!AY21</f>
        <v/>
      </c>
      <c r="AZ718">
        <f>VII_Model_PKZ!AZ21</f>
        <v/>
      </c>
      <c r="BA718">
        <f>VII_Model_PKZ!BA21</f>
        <v/>
      </c>
      <c r="BB718">
        <f>VII_Model_PKZ!BB21</f>
        <v/>
      </c>
      <c r="BC718">
        <f>VII_Model_PKZ!BC21</f>
        <v/>
      </c>
      <c r="BD718">
        <f>VII_Model_PKZ!BD21</f>
        <v/>
      </c>
      <c r="BE718">
        <f>VII_Model_PKZ!BE21</f>
        <v/>
      </c>
      <c r="BF718">
        <f>VII_Model_PKZ!BF21</f>
        <v/>
      </c>
      <c r="BG718">
        <f>VII_Model_PKZ!BG21</f>
        <v/>
      </c>
      <c r="BH718">
        <f>VII_Model_PKZ!BH21</f>
        <v/>
      </c>
      <c r="BI718">
        <f>VII_Model_PKZ!BI21</f>
        <v/>
      </c>
      <c r="BJ718">
        <f>O718</f>
        <v/>
      </c>
      <c r="BK718">
        <f>SUM(AG718:AW718)</f>
        <v/>
      </c>
      <c r="BL718" s="531">
        <f>BJ718-BK718</f>
        <v/>
      </c>
      <c r="BM718" s="201" t="n"/>
    </row>
    <row r="719" hidden="1" outlineLevel="1" s="191">
      <c r="A719">
        <f>VII_Model_PKZ!A22</f>
        <v/>
      </c>
      <c r="B719">
        <f>VII_Model_PKZ!B22</f>
        <v/>
      </c>
      <c r="C719">
        <f>VII_Model_PKZ!C22</f>
        <v/>
      </c>
      <c r="D719">
        <f>VII_Model_PKZ!D22</f>
        <v/>
      </c>
      <c r="E719">
        <f>VII_Model_PKZ!E22</f>
        <v/>
      </c>
      <c r="F719">
        <f>VII_Model_PKZ!F22</f>
        <v/>
      </c>
      <c r="G719">
        <f>VII_Model_PKZ!G22</f>
        <v/>
      </c>
      <c r="H719">
        <f>VII_Model_PKZ!H22</f>
        <v/>
      </c>
      <c r="I719">
        <f>VII_Model_PKZ!I22</f>
        <v/>
      </c>
      <c r="J719">
        <f>VII_Model_PKZ!J22</f>
        <v/>
      </c>
      <c r="K719" s="672">
        <f>VII_Model_PKZ!K22</f>
        <v/>
      </c>
      <c r="L719" s="672">
        <f>VII_Model_PKZ!L22</f>
        <v/>
      </c>
      <c r="M719">
        <f>VII_Model_PKZ!M22</f>
        <v/>
      </c>
      <c r="N719">
        <f>VII_Model_PKZ!N22</f>
        <v/>
      </c>
      <c r="O719">
        <f>VII_Model_PKZ!O22</f>
        <v/>
      </c>
      <c r="P719" s="628">
        <f>VII_Model_PKZ!P22</f>
        <v/>
      </c>
      <c r="Q719" s="628">
        <f>VII_Model_PKZ!Q22</f>
        <v/>
      </c>
      <c r="R719" s="628">
        <f>VII_Model_PKZ!R22</f>
        <v/>
      </c>
      <c r="S719" s="628">
        <f>VII_Model_PKZ!S22</f>
        <v/>
      </c>
      <c r="T719" s="628">
        <f>VII_Model_PKZ!T22</f>
        <v/>
      </c>
      <c r="U719" s="628">
        <f>VII_Model_PKZ!U22</f>
        <v/>
      </c>
      <c r="V719" s="628">
        <f>VII_Model_PKZ!V22</f>
        <v/>
      </c>
      <c r="W719" s="628">
        <f>VII_Model_PKZ!W22</f>
        <v/>
      </c>
      <c r="X719" s="628">
        <f>VII_Model_PKZ!X22</f>
        <v/>
      </c>
      <c r="Y719" s="650">
        <f>VII_Model_PKZ!Y22</f>
        <v/>
      </c>
      <c r="Z719" s="650">
        <f>VII_Model_PKZ!Z22</f>
        <v/>
      </c>
      <c r="AA719" s="650">
        <f>VII_Model_PKZ!AA22</f>
        <v/>
      </c>
      <c r="AB719" s="650">
        <f>VII_Model_PKZ!AB22</f>
        <v/>
      </c>
      <c r="AC719" s="613">
        <f>VII_Model_PKZ!AC22</f>
        <v/>
      </c>
      <c r="AD719" s="613">
        <f>VII_Model_PKZ!AD22</f>
        <v/>
      </c>
      <c r="AE719" s="613">
        <f>VII_Model_PKZ!AE22</f>
        <v/>
      </c>
      <c r="AF719" s="613">
        <f>VII_Model_PKZ!AF22</f>
        <v/>
      </c>
      <c r="AG719" s="626">
        <f>VII_Model_PKZ!AG22</f>
        <v/>
      </c>
      <c r="AH719" s="626">
        <f>VII_Model_PKZ!AH22</f>
        <v/>
      </c>
      <c r="AI719" s="626">
        <f>VII_Model_PKZ!AI22</f>
        <v/>
      </c>
      <c r="AJ719" s="626">
        <f>VII_Model_PKZ!AJ22</f>
        <v/>
      </c>
      <c r="AK719" s="626">
        <f>VII_Model_PKZ!AK22</f>
        <v/>
      </c>
      <c r="AL719" s="626">
        <f>VII_Model_PKZ!AL22</f>
        <v/>
      </c>
      <c r="AM719" s="626">
        <f>VII_Model_PKZ!AM22</f>
        <v/>
      </c>
      <c r="AN719" s="626">
        <f>VII_Model_PKZ!AN22</f>
        <v/>
      </c>
      <c r="AO719" s="626">
        <f>VII_Model_PKZ!AO22</f>
        <v/>
      </c>
      <c r="AP719" s="369">
        <f>VII_Model_PKZ!AP22</f>
        <v/>
      </c>
      <c r="AQ719" s="369">
        <f>VII_Model_PKZ!AQ22</f>
        <v/>
      </c>
      <c r="AR719" s="369">
        <f>VII_Model_PKZ!AR22</f>
        <v/>
      </c>
      <c r="AS719" s="369">
        <f>VII_Model_PKZ!AS22</f>
        <v/>
      </c>
      <c r="AT719" s="370">
        <f>VII_Model_PKZ!AT22</f>
        <v/>
      </c>
      <c r="AU719" s="370">
        <f>VII_Model_PKZ!AU22</f>
        <v/>
      </c>
      <c r="AV719" s="370">
        <f>VII_Model_PKZ!AV22</f>
        <v/>
      </c>
      <c r="AW719" s="370">
        <f>VII_Model_PKZ!AW22</f>
        <v/>
      </c>
      <c r="AX719">
        <f>VII_Model_PKZ!AX22</f>
        <v/>
      </c>
      <c r="AY719">
        <f>VII_Model_PKZ!AY22</f>
        <v/>
      </c>
      <c r="AZ719">
        <f>VII_Model_PKZ!AZ22</f>
        <v/>
      </c>
      <c r="BA719">
        <f>VII_Model_PKZ!BA22</f>
        <v/>
      </c>
      <c r="BB719">
        <f>VII_Model_PKZ!BB22</f>
        <v/>
      </c>
      <c r="BC719">
        <f>VII_Model_PKZ!BC22</f>
        <v/>
      </c>
      <c r="BD719">
        <f>VII_Model_PKZ!BD22</f>
        <v/>
      </c>
      <c r="BE719">
        <f>VII_Model_PKZ!BE22</f>
        <v/>
      </c>
      <c r="BF719">
        <f>VII_Model_PKZ!BF22</f>
        <v/>
      </c>
      <c r="BG719">
        <f>VII_Model_PKZ!BG22</f>
        <v/>
      </c>
      <c r="BH719">
        <f>VII_Model_PKZ!BH22</f>
        <v/>
      </c>
      <c r="BI719">
        <f>VII_Model_PKZ!BI22</f>
        <v/>
      </c>
      <c r="BJ719">
        <f>O719</f>
        <v/>
      </c>
      <c r="BK719">
        <f>SUM(AG719:AW719)</f>
        <v/>
      </c>
      <c r="BL719" s="531">
        <f>BJ719-BK719</f>
        <v/>
      </c>
      <c r="BM719" s="201" t="n"/>
    </row>
    <row r="720" hidden="1" outlineLevel="1" s="191">
      <c r="A720">
        <f>VII_Model_PKZ!A23</f>
        <v/>
      </c>
      <c r="B720">
        <f>VII_Model_PKZ!B23</f>
        <v/>
      </c>
      <c r="C720">
        <f>VII_Model_PKZ!C23</f>
        <v/>
      </c>
      <c r="D720">
        <f>VII_Model_PKZ!D23</f>
        <v/>
      </c>
      <c r="E720">
        <f>VII_Model_PKZ!E23</f>
        <v/>
      </c>
      <c r="F720">
        <f>VII_Model_PKZ!F23</f>
        <v/>
      </c>
      <c r="G720">
        <f>VII_Model_PKZ!G23</f>
        <v/>
      </c>
      <c r="H720">
        <f>VII_Model_PKZ!H23</f>
        <v/>
      </c>
      <c r="I720">
        <f>VII_Model_PKZ!I23</f>
        <v/>
      </c>
      <c r="J720">
        <f>VII_Model_PKZ!J23</f>
        <v/>
      </c>
      <c r="K720" s="672">
        <f>VII_Model_PKZ!K23</f>
        <v/>
      </c>
      <c r="L720" s="672">
        <f>VII_Model_PKZ!L23</f>
        <v/>
      </c>
      <c r="M720">
        <f>VII_Model_PKZ!M23</f>
        <v/>
      </c>
      <c r="N720">
        <f>VII_Model_PKZ!N23</f>
        <v/>
      </c>
      <c r="O720">
        <f>VII_Model_PKZ!O23</f>
        <v/>
      </c>
      <c r="P720" s="628">
        <f>VII_Model_PKZ!P23</f>
        <v/>
      </c>
      <c r="Q720" s="628">
        <f>VII_Model_PKZ!Q23</f>
        <v/>
      </c>
      <c r="R720" s="628">
        <f>VII_Model_PKZ!R23</f>
        <v/>
      </c>
      <c r="S720" s="628">
        <f>VII_Model_PKZ!S23</f>
        <v/>
      </c>
      <c r="T720" s="628">
        <f>VII_Model_PKZ!T23</f>
        <v/>
      </c>
      <c r="U720" s="628">
        <f>VII_Model_PKZ!U23</f>
        <v/>
      </c>
      <c r="V720" s="628">
        <f>VII_Model_PKZ!V23</f>
        <v/>
      </c>
      <c r="W720" s="628">
        <f>VII_Model_PKZ!W23</f>
        <v/>
      </c>
      <c r="X720" s="628">
        <f>VII_Model_PKZ!X23</f>
        <v/>
      </c>
      <c r="Y720" s="650">
        <f>VII_Model_PKZ!Y23</f>
        <v/>
      </c>
      <c r="Z720" s="650">
        <f>VII_Model_PKZ!Z23</f>
        <v/>
      </c>
      <c r="AA720" s="650">
        <f>VII_Model_PKZ!AA23</f>
        <v/>
      </c>
      <c r="AB720" s="650">
        <f>VII_Model_PKZ!AB23</f>
        <v/>
      </c>
      <c r="AC720" s="613">
        <f>VII_Model_PKZ!AC23</f>
        <v/>
      </c>
      <c r="AD720" s="613">
        <f>VII_Model_PKZ!AD23</f>
        <v/>
      </c>
      <c r="AE720" s="613">
        <f>VII_Model_PKZ!AE23</f>
        <v/>
      </c>
      <c r="AF720" s="613">
        <f>VII_Model_PKZ!AF23</f>
        <v/>
      </c>
      <c r="AG720" s="626">
        <f>VII_Model_PKZ!AG23</f>
        <v/>
      </c>
      <c r="AH720" s="626">
        <f>VII_Model_PKZ!AH23</f>
        <v/>
      </c>
      <c r="AI720" s="626">
        <f>VII_Model_PKZ!AI23</f>
        <v/>
      </c>
      <c r="AJ720" s="626">
        <f>VII_Model_PKZ!AJ23</f>
        <v/>
      </c>
      <c r="AK720" s="626">
        <f>VII_Model_PKZ!AK23</f>
        <v/>
      </c>
      <c r="AL720" s="626">
        <f>VII_Model_PKZ!AL23</f>
        <v/>
      </c>
      <c r="AM720" s="626">
        <f>VII_Model_PKZ!AM23</f>
        <v/>
      </c>
      <c r="AN720" s="626">
        <f>VII_Model_PKZ!AN23</f>
        <v/>
      </c>
      <c r="AO720" s="626">
        <f>VII_Model_PKZ!AO23</f>
        <v/>
      </c>
      <c r="AP720" s="369">
        <f>VII_Model_PKZ!AP23</f>
        <v/>
      </c>
      <c r="AQ720" s="369">
        <f>VII_Model_PKZ!AQ23</f>
        <v/>
      </c>
      <c r="AR720" s="369">
        <f>VII_Model_PKZ!AR23</f>
        <v/>
      </c>
      <c r="AS720" s="369">
        <f>VII_Model_PKZ!AS23</f>
        <v/>
      </c>
      <c r="AT720" s="370">
        <f>VII_Model_PKZ!AT23</f>
        <v/>
      </c>
      <c r="AU720" s="370">
        <f>VII_Model_PKZ!AU23</f>
        <v/>
      </c>
      <c r="AV720" s="370">
        <f>VII_Model_PKZ!AV23</f>
        <v/>
      </c>
      <c r="AW720" s="370">
        <f>VII_Model_PKZ!AW23</f>
        <v/>
      </c>
      <c r="AX720">
        <f>VII_Model_PKZ!AX23</f>
        <v/>
      </c>
      <c r="AY720">
        <f>VII_Model_PKZ!AY23</f>
        <v/>
      </c>
      <c r="AZ720">
        <f>VII_Model_PKZ!AZ23</f>
        <v/>
      </c>
      <c r="BA720">
        <f>VII_Model_PKZ!BA23</f>
        <v/>
      </c>
      <c r="BB720">
        <f>VII_Model_PKZ!BB23</f>
        <v/>
      </c>
      <c r="BC720">
        <f>VII_Model_PKZ!BC23</f>
        <v/>
      </c>
      <c r="BD720">
        <f>VII_Model_PKZ!BD23</f>
        <v/>
      </c>
      <c r="BE720">
        <f>VII_Model_PKZ!BE23</f>
        <v/>
      </c>
      <c r="BF720">
        <f>VII_Model_PKZ!BF23</f>
        <v/>
      </c>
      <c r="BG720">
        <f>VII_Model_PKZ!BG23</f>
        <v/>
      </c>
      <c r="BH720">
        <f>VII_Model_PKZ!BH23</f>
        <v/>
      </c>
      <c r="BI720">
        <f>VII_Model_PKZ!BI23</f>
        <v/>
      </c>
      <c r="BJ720">
        <f>O720</f>
        <v/>
      </c>
      <c r="BK720">
        <f>SUM(AG720:AW720)</f>
        <v/>
      </c>
      <c r="BL720" s="531">
        <f>BJ720-BK720</f>
        <v/>
      </c>
      <c r="BM720" s="201" t="n"/>
    </row>
    <row r="721" hidden="1" outlineLevel="1" s="191">
      <c r="A721">
        <f>VII_Model_PKZ!A24</f>
        <v/>
      </c>
      <c r="B721">
        <f>VII_Model_PKZ!B24</f>
        <v/>
      </c>
      <c r="C721">
        <f>VII_Model_PKZ!C24</f>
        <v/>
      </c>
      <c r="D721">
        <f>VII_Model_PKZ!D24</f>
        <v/>
      </c>
      <c r="E721">
        <f>VII_Model_PKZ!E24</f>
        <v/>
      </c>
      <c r="F721">
        <f>VII_Model_PKZ!F24</f>
        <v/>
      </c>
      <c r="G721">
        <f>VII_Model_PKZ!G24</f>
        <v/>
      </c>
      <c r="H721">
        <f>VII_Model_PKZ!H24</f>
        <v/>
      </c>
      <c r="I721">
        <f>VII_Model_PKZ!I24</f>
        <v/>
      </c>
      <c r="J721">
        <f>VII_Model_PKZ!J24</f>
        <v/>
      </c>
      <c r="K721" s="672">
        <f>VII_Model_PKZ!K24</f>
        <v/>
      </c>
      <c r="L721" s="672">
        <f>VII_Model_PKZ!L24</f>
        <v/>
      </c>
      <c r="M721">
        <f>VII_Model_PKZ!M24</f>
        <v/>
      </c>
      <c r="N721">
        <f>VII_Model_PKZ!N24</f>
        <v/>
      </c>
      <c r="O721">
        <f>VII_Model_PKZ!O24</f>
        <v/>
      </c>
      <c r="P721" s="628">
        <f>VII_Model_PKZ!P24</f>
        <v/>
      </c>
      <c r="Q721" s="628">
        <f>VII_Model_PKZ!Q24</f>
        <v/>
      </c>
      <c r="R721" s="628">
        <f>VII_Model_PKZ!R24</f>
        <v/>
      </c>
      <c r="S721" s="628">
        <f>VII_Model_PKZ!S24</f>
        <v/>
      </c>
      <c r="T721" s="628">
        <f>VII_Model_PKZ!T24</f>
        <v/>
      </c>
      <c r="U721" s="628">
        <f>VII_Model_PKZ!U24</f>
        <v/>
      </c>
      <c r="V721" s="628">
        <f>VII_Model_PKZ!V24</f>
        <v/>
      </c>
      <c r="W721" s="628">
        <f>VII_Model_PKZ!W24</f>
        <v/>
      </c>
      <c r="X721" s="628">
        <f>VII_Model_PKZ!X24</f>
        <v/>
      </c>
      <c r="Y721" s="650">
        <f>VII_Model_PKZ!Y24</f>
        <v/>
      </c>
      <c r="Z721" s="650">
        <f>VII_Model_PKZ!Z24</f>
        <v/>
      </c>
      <c r="AA721" s="650">
        <f>VII_Model_PKZ!AA24</f>
        <v/>
      </c>
      <c r="AB721" s="650">
        <f>VII_Model_PKZ!AB24</f>
        <v/>
      </c>
      <c r="AC721" s="613">
        <f>VII_Model_PKZ!AC24</f>
        <v/>
      </c>
      <c r="AD721" s="613">
        <f>VII_Model_PKZ!AD24</f>
        <v/>
      </c>
      <c r="AE721" s="613">
        <f>VII_Model_PKZ!AE24</f>
        <v/>
      </c>
      <c r="AF721" s="613">
        <f>VII_Model_PKZ!AF24</f>
        <v/>
      </c>
      <c r="AG721" s="626">
        <f>VII_Model_PKZ!AG24</f>
        <v/>
      </c>
      <c r="AH721" s="626">
        <f>VII_Model_PKZ!AH24</f>
        <v/>
      </c>
      <c r="AI721" s="626">
        <f>VII_Model_PKZ!AI24</f>
        <v/>
      </c>
      <c r="AJ721" s="626">
        <f>VII_Model_PKZ!AJ24</f>
        <v/>
      </c>
      <c r="AK721" s="626">
        <f>VII_Model_PKZ!AK24</f>
        <v/>
      </c>
      <c r="AL721" s="626">
        <f>VII_Model_PKZ!AL24</f>
        <v/>
      </c>
      <c r="AM721" s="626">
        <f>VII_Model_PKZ!AM24</f>
        <v/>
      </c>
      <c r="AN721" s="626">
        <f>VII_Model_PKZ!AN24</f>
        <v/>
      </c>
      <c r="AO721" s="626">
        <f>VII_Model_PKZ!AO24</f>
        <v/>
      </c>
      <c r="AP721" s="369">
        <f>VII_Model_PKZ!AP24</f>
        <v/>
      </c>
      <c r="AQ721" s="369">
        <f>VII_Model_PKZ!AQ24</f>
        <v/>
      </c>
      <c r="AR721" s="369">
        <f>VII_Model_PKZ!AR24</f>
        <v/>
      </c>
      <c r="AS721" s="369">
        <f>VII_Model_PKZ!AS24</f>
        <v/>
      </c>
      <c r="AT721" s="370">
        <f>VII_Model_PKZ!AT24</f>
        <v/>
      </c>
      <c r="AU721" s="370">
        <f>VII_Model_PKZ!AU24</f>
        <v/>
      </c>
      <c r="AV721" s="370">
        <f>VII_Model_PKZ!AV24</f>
        <v/>
      </c>
      <c r="AW721" s="370">
        <f>VII_Model_PKZ!AW24</f>
        <v/>
      </c>
      <c r="AX721">
        <f>VII_Model_PKZ!AX24</f>
        <v/>
      </c>
      <c r="AY721">
        <f>VII_Model_PKZ!AY24</f>
        <v/>
      </c>
      <c r="AZ721">
        <f>VII_Model_PKZ!AZ24</f>
        <v/>
      </c>
      <c r="BA721">
        <f>VII_Model_PKZ!BA24</f>
        <v/>
      </c>
      <c r="BB721">
        <f>VII_Model_PKZ!BB24</f>
        <v/>
      </c>
      <c r="BC721">
        <f>VII_Model_PKZ!BC24</f>
        <v/>
      </c>
      <c r="BD721">
        <f>VII_Model_PKZ!BD24</f>
        <v/>
      </c>
      <c r="BE721">
        <f>VII_Model_PKZ!BE24</f>
        <v/>
      </c>
      <c r="BF721">
        <f>VII_Model_PKZ!BF24</f>
        <v/>
      </c>
      <c r="BG721">
        <f>VII_Model_PKZ!BG24</f>
        <v/>
      </c>
      <c r="BH721">
        <f>VII_Model_PKZ!BH24</f>
        <v/>
      </c>
      <c r="BI721">
        <f>VII_Model_PKZ!BI24</f>
        <v/>
      </c>
      <c r="BJ721">
        <f>O721</f>
        <v/>
      </c>
      <c r="BK721">
        <f>SUM(AG721:AW721)</f>
        <v/>
      </c>
      <c r="BL721" s="531">
        <f>BJ721-BK721</f>
        <v/>
      </c>
      <c r="BM721" s="201" t="n"/>
    </row>
    <row r="722" hidden="1" outlineLevel="1" s="191">
      <c r="A722">
        <f>VII_Model_PKZ!A25</f>
        <v/>
      </c>
      <c r="B722">
        <f>VII_Model_PKZ!B25</f>
        <v/>
      </c>
      <c r="C722">
        <f>VII_Model_PKZ!C25</f>
        <v/>
      </c>
      <c r="D722">
        <f>VII_Model_PKZ!D25</f>
        <v/>
      </c>
      <c r="E722">
        <f>VII_Model_PKZ!E25</f>
        <v/>
      </c>
      <c r="F722">
        <f>VII_Model_PKZ!F25</f>
        <v/>
      </c>
      <c r="G722">
        <f>VII_Model_PKZ!G25</f>
        <v/>
      </c>
      <c r="H722">
        <f>VII_Model_PKZ!H25</f>
        <v/>
      </c>
      <c r="I722">
        <f>VII_Model_PKZ!I25</f>
        <v/>
      </c>
      <c r="J722">
        <f>VII_Model_PKZ!J25</f>
        <v/>
      </c>
      <c r="K722" s="672">
        <f>VII_Model_PKZ!K25</f>
        <v/>
      </c>
      <c r="L722" s="672">
        <f>VII_Model_PKZ!L25</f>
        <v/>
      </c>
      <c r="M722">
        <f>VII_Model_PKZ!M25</f>
        <v/>
      </c>
      <c r="N722">
        <f>VII_Model_PKZ!N25</f>
        <v/>
      </c>
      <c r="O722">
        <f>VII_Model_PKZ!O25</f>
        <v/>
      </c>
      <c r="P722" s="628">
        <f>VII_Model_PKZ!P25</f>
        <v/>
      </c>
      <c r="Q722" s="628">
        <f>VII_Model_PKZ!Q25</f>
        <v/>
      </c>
      <c r="R722" s="628">
        <f>VII_Model_PKZ!R25</f>
        <v/>
      </c>
      <c r="S722" s="628">
        <f>VII_Model_PKZ!S25</f>
        <v/>
      </c>
      <c r="T722" s="628">
        <f>VII_Model_PKZ!T25</f>
        <v/>
      </c>
      <c r="U722" s="628">
        <f>VII_Model_PKZ!U25</f>
        <v/>
      </c>
      <c r="V722" s="628">
        <f>VII_Model_PKZ!V25</f>
        <v/>
      </c>
      <c r="W722" s="628">
        <f>VII_Model_PKZ!W25</f>
        <v/>
      </c>
      <c r="X722" s="628">
        <f>VII_Model_PKZ!X25</f>
        <v/>
      </c>
      <c r="Y722" s="650">
        <f>VII_Model_PKZ!Y25</f>
        <v/>
      </c>
      <c r="Z722" s="650">
        <f>VII_Model_PKZ!Z25</f>
        <v/>
      </c>
      <c r="AA722" s="650">
        <f>VII_Model_PKZ!AA25</f>
        <v/>
      </c>
      <c r="AB722" s="650">
        <f>VII_Model_PKZ!AB25</f>
        <v/>
      </c>
      <c r="AC722" s="613">
        <f>VII_Model_PKZ!AC25</f>
        <v/>
      </c>
      <c r="AD722" s="613">
        <f>VII_Model_PKZ!AD25</f>
        <v/>
      </c>
      <c r="AE722" s="613">
        <f>VII_Model_PKZ!AE25</f>
        <v/>
      </c>
      <c r="AF722" s="613">
        <f>VII_Model_PKZ!AF25</f>
        <v/>
      </c>
      <c r="AG722" s="626">
        <f>VII_Model_PKZ!AG25</f>
        <v/>
      </c>
      <c r="AH722" s="626">
        <f>VII_Model_PKZ!AH25</f>
        <v/>
      </c>
      <c r="AI722" s="626">
        <f>VII_Model_PKZ!AI25</f>
        <v/>
      </c>
      <c r="AJ722" s="626">
        <f>VII_Model_PKZ!AJ25</f>
        <v/>
      </c>
      <c r="AK722" s="626">
        <f>VII_Model_PKZ!AK25</f>
        <v/>
      </c>
      <c r="AL722" s="626">
        <f>VII_Model_PKZ!AL25</f>
        <v/>
      </c>
      <c r="AM722" s="626">
        <f>VII_Model_PKZ!AM25</f>
        <v/>
      </c>
      <c r="AN722" s="626">
        <f>VII_Model_PKZ!AN25</f>
        <v/>
      </c>
      <c r="AO722" s="626">
        <f>VII_Model_PKZ!AO25</f>
        <v/>
      </c>
      <c r="AP722" s="369">
        <f>VII_Model_PKZ!AP25</f>
        <v/>
      </c>
      <c r="AQ722" s="369">
        <f>VII_Model_PKZ!AQ25</f>
        <v/>
      </c>
      <c r="AR722" s="369">
        <f>VII_Model_PKZ!AR25</f>
        <v/>
      </c>
      <c r="AS722" s="369">
        <f>VII_Model_PKZ!AS25</f>
        <v/>
      </c>
      <c r="AT722" s="370">
        <f>VII_Model_PKZ!AT25</f>
        <v/>
      </c>
      <c r="AU722" s="370">
        <f>VII_Model_PKZ!AU25</f>
        <v/>
      </c>
      <c r="AV722" s="370">
        <f>VII_Model_PKZ!AV25</f>
        <v/>
      </c>
      <c r="AW722" s="370">
        <f>VII_Model_PKZ!AW25</f>
        <v/>
      </c>
      <c r="AX722">
        <f>VII_Model_PKZ!AX25</f>
        <v/>
      </c>
      <c r="AY722">
        <f>VII_Model_PKZ!AY25</f>
        <v/>
      </c>
      <c r="AZ722">
        <f>VII_Model_PKZ!AZ25</f>
        <v/>
      </c>
      <c r="BA722">
        <f>VII_Model_PKZ!BA25</f>
        <v/>
      </c>
      <c r="BB722">
        <f>VII_Model_PKZ!BB25</f>
        <v/>
      </c>
      <c r="BC722">
        <f>VII_Model_PKZ!BC25</f>
        <v/>
      </c>
      <c r="BD722">
        <f>VII_Model_PKZ!BD25</f>
        <v/>
      </c>
      <c r="BE722">
        <f>VII_Model_PKZ!BE25</f>
        <v/>
      </c>
      <c r="BF722">
        <f>VII_Model_PKZ!BF25</f>
        <v/>
      </c>
      <c r="BG722">
        <f>VII_Model_PKZ!BG25</f>
        <v/>
      </c>
      <c r="BH722">
        <f>VII_Model_PKZ!BH25</f>
        <v/>
      </c>
      <c r="BI722">
        <f>VII_Model_PKZ!BI25</f>
        <v/>
      </c>
      <c r="BJ722">
        <f>O722</f>
        <v/>
      </c>
      <c r="BK722">
        <f>SUM(AG722:AW722)</f>
        <v/>
      </c>
      <c r="BL722" s="531">
        <f>BJ722-BK722</f>
        <v/>
      </c>
      <c r="BM722" s="201" t="n"/>
    </row>
    <row r="723" hidden="1" outlineLevel="1" s="191">
      <c r="A723">
        <f>VII_Model_PKZ!A26</f>
        <v/>
      </c>
      <c r="B723">
        <f>VII_Model_PKZ!B26</f>
        <v/>
      </c>
      <c r="C723">
        <f>VII_Model_PKZ!C26</f>
        <v/>
      </c>
      <c r="D723">
        <f>VII_Model_PKZ!D26</f>
        <v/>
      </c>
      <c r="E723">
        <f>VII_Model_PKZ!E26</f>
        <v/>
      </c>
      <c r="F723">
        <f>VII_Model_PKZ!F26</f>
        <v/>
      </c>
      <c r="G723">
        <f>VII_Model_PKZ!G26</f>
        <v/>
      </c>
      <c r="H723">
        <f>VII_Model_PKZ!H26</f>
        <v/>
      </c>
      <c r="I723">
        <f>VII_Model_PKZ!I26</f>
        <v/>
      </c>
      <c r="J723">
        <f>VII_Model_PKZ!J26</f>
        <v/>
      </c>
      <c r="K723" s="672">
        <f>VII_Model_PKZ!K26</f>
        <v/>
      </c>
      <c r="L723" s="672">
        <f>VII_Model_PKZ!L26</f>
        <v/>
      </c>
      <c r="M723">
        <f>VII_Model_PKZ!M26</f>
        <v/>
      </c>
      <c r="N723">
        <f>VII_Model_PKZ!N26</f>
        <v/>
      </c>
      <c r="O723">
        <f>VII_Model_PKZ!O26</f>
        <v/>
      </c>
      <c r="P723" s="628">
        <f>VII_Model_PKZ!P26</f>
        <v/>
      </c>
      <c r="Q723" s="628">
        <f>VII_Model_PKZ!Q26</f>
        <v/>
      </c>
      <c r="R723" s="628">
        <f>VII_Model_PKZ!R26</f>
        <v/>
      </c>
      <c r="S723" s="628">
        <f>VII_Model_PKZ!S26</f>
        <v/>
      </c>
      <c r="T723" s="628">
        <f>VII_Model_PKZ!T26</f>
        <v/>
      </c>
      <c r="U723" s="628">
        <f>VII_Model_PKZ!U26</f>
        <v/>
      </c>
      <c r="V723" s="628">
        <f>VII_Model_PKZ!V26</f>
        <v/>
      </c>
      <c r="W723" s="628">
        <f>VII_Model_PKZ!W26</f>
        <v/>
      </c>
      <c r="X723" s="628">
        <f>VII_Model_PKZ!X26</f>
        <v/>
      </c>
      <c r="Y723" s="650">
        <f>VII_Model_PKZ!Y26</f>
        <v/>
      </c>
      <c r="Z723" s="650">
        <f>VII_Model_PKZ!Z26</f>
        <v/>
      </c>
      <c r="AA723" s="650">
        <f>VII_Model_PKZ!AA26</f>
        <v/>
      </c>
      <c r="AB723" s="650">
        <f>VII_Model_PKZ!AB26</f>
        <v/>
      </c>
      <c r="AC723" s="613">
        <f>VII_Model_PKZ!AC26</f>
        <v/>
      </c>
      <c r="AD723" s="613">
        <f>VII_Model_PKZ!AD26</f>
        <v/>
      </c>
      <c r="AE723" s="613">
        <f>VII_Model_PKZ!AE26</f>
        <v/>
      </c>
      <c r="AF723" s="613">
        <f>VII_Model_PKZ!AF26</f>
        <v/>
      </c>
      <c r="AG723" s="626">
        <f>VII_Model_PKZ!AG26</f>
        <v/>
      </c>
      <c r="AH723" s="626">
        <f>VII_Model_PKZ!AH26</f>
        <v/>
      </c>
      <c r="AI723" s="626">
        <f>VII_Model_PKZ!AI26</f>
        <v/>
      </c>
      <c r="AJ723" s="626">
        <f>VII_Model_PKZ!AJ26</f>
        <v/>
      </c>
      <c r="AK723" s="626">
        <f>VII_Model_PKZ!AK26</f>
        <v/>
      </c>
      <c r="AL723" s="626">
        <f>VII_Model_PKZ!AL26</f>
        <v/>
      </c>
      <c r="AM723" s="626">
        <f>VII_Model_PKZ!AM26</f>
        <v/>
      </c>
      <c r="AN723" s="626">
        <f>VII_Model_PKZ!AN26</f>
        <v/>
      </c>
      <c r="AO723" s="626">
        <f>VII_Model_PKZ!AO26</f>
        <v/>
      </c>
      <c r="AP723" s="369">
        <f>VII_Model_PKZ!AP26</f>
        <v/>
      </c>
      <c r="AQ723" s="369">
        <f>VII_Model_PKZ!AQ26</f>
        <v/>
      </c>
      <c r="AR723" s="369">
        <f>VII_Model_PKZ!AR26</f>
        <v/>
      </c>
      <c r="AS723" s="369">
        <f>VII_Model_PKZ!AS26</f>
        <v/>
      </c>
      <c r="AT723" s="370">
        <f>VII_Model_PKZ!AT26</f>
        <v/>
      </c>
      <c r="AU723" s="370">
        <f>VII_Model_PKZ!AU26</f>
        <v/>
      </c>
      <c r="AV723" s="370">
        <f>VII_Model_PKZ!AV26</f>
        <v/>
      </c>
      <c r="AW723" s="370">
        <f>VII_Model_PKZ!AW26</f>
        <v/>
      </c>
      <c r="AX723">
        <f>VII_Model_PKZ!AX26</f>
        <v/>
      </c>
      <c r="AY723">
        <f>VII_Model_PKZ!AY26</f>
        <v/>
      </c>
      <c r="AZ723">
        <f>VII_Model_PKZ!AZ26</f>
        <v/>
      </c>
      <c r="BA723">
        <f>VII_Model_PKZ!BA26</f>
        <v/>
      </c>
      <c r="BB723">
        <f>VII_Model_PKZ!BB26</f>
        <v/>
      </c>
      <c r="BC723">
        <f>VII_Model_PKZ!BC26</f>
        <v/>
      </c>
      <c r="BD723">
        <f>VII_Model_PKZ!BD26</f>
        <v/>
      </c>
      <c r="BE723">
        <f>VII_Model_PKZ!BE26</f>
        <v/>
      </c>
      <c r="BF723">
        <f>VII_Model_PKZ!BF26</f>
        <v/>
      </c>
      <c r="BG723">
        <f>VII_Model_PKZ!BG26</f>
        <v/>
      </c>
      <c r="BH723">
        <f>VII_Model_PKZ!BH26</f>
        <v/>
      </c>
      <c r="BI723">
        <f>VII_Model_PKZ!BI26</f>
        <v/>
      </c>
      <c r="BJ723">
        <f>O723</f>
        <v/>
      </c>
      <c r="BK723">
        <f>SUM(AG723:AW723)</f>
        <v/>
      </c>
      <c r="BL723" s="531">
        <f>BJ723-BK723</f>
        <v/>
      </c>
      <c r="BM723" s="201" t="n"/>
    </row>
    <row r="724" hidden="1" outlineLevel="1" s="191">
      <c r="A724">
        <f>VII_Model_PKZ!A27</f>
        <v/>
      </c>
      <c r="B724">
        <f>VII_Model_PKZ!B27</f>
        <v/>
      </c>
      <c r="C724">
        <f>VII_Model_PKZ!C27</f>
        <v/>
      </c>
      <c r="D724">
        <f>VII_Model_PKZ!D27</f>
        <v/>
      </c>
      <c r="E724">
        <f>VII_Model_PKZ!E27</f>
        <v/>
      </c>
      <c r="F724">
        <f>VII_Model_PKZ!F27</f>
        <v/>
      </c>
      <c r="G724">
        <f>VII_Model_PKZ!G27</f>
        <v/>
      </c>
      <c r="H724">
        <f>VII_Model_PKZ!H27</f>
        <v/>
      </c>
      <c r="I724">
        <f>VII_Model_PKZ!I27</f>
        <v/>
      </c>
      <c r="J724">
        <f>VII_Model_PKZ!J27</f>
        <v/>
      </c>
      <c r="K724" s="672">
        <f>VII_Model_PKZ!K27</f>
        <v/>
      </c>
      <c r="L724" s="672">
        <f>VII_Model_PKZ!L27</f>
        <v/>
      </c>
      <c r="M724">
        <f>VII_Model_PKZ!M27</f>
        <v/>
      </c>
      <c r="N724">
        <f>VII_Model_PKZ!N27</f>
        <v/>
      </c>
      <c r="O724">
        <f>VII_Model_PKZ!O27</f>
        <v/>
      </c>
      <c r="P724" s="628">
        <f>VII_Model_PKZ!P27</f>
        <v/>
      </c>
      <c r="Q724" s="628">
        <f>VII_Model_PKZ!Q27</f>
        <v/>
      </c>
      <c r="R724" s="628">
        <f>VII_Model_PKZ!R27</f>
        <v/>
      </c>
      <c r="S724" s="628">
        <f>VII_Model_PKZ!S27</f>
        <v/>
      </c>
      <c r="T724" s="628">
        <f>VII_Model_PKZ!T27</f>
        <v/>
      </c>
      <c r="U724" s="628">
        <f>VII_Model_PKZ!U27</f>
        <v/>
      </c>
      <c r="V724" s="628">
        <f>VII_Model_PKZ!V27</f>
        <v/>
      </c>
      <c r="W724" s="628">
        <f>VII_Model_PKZ!W27</f>
        <v/>
      </c>
      <c r="X724" s="628">
        <f>VII_Model_PKZ!X27</f>
        <v/>
      </c>
      <c r="Y724" s="650">
        <f>VII_Model_PKZ!Y27</f>
        <v/>
      </c>
      <c r="Z724" s="650">
        <f>VII_Model_PKZ!Z27</f>
        <v/>
      </c>
      <c r="AA724" s="650">
        <f>VII_Model_PKZ!AA27</f>
        <v/>
      </c>
      <c r="AB724" s="650">
        <f>VII_Model_PKZ!AB27</f>
        <v/>
      </c>
      <c r="AC724" s="613">
        <f>VII_Model_PKZ!AC27</f>
        <v/>
      </c>
      <c r="AD724" s="613">
        <f>VII_Model_PKZ!AD27</f>
        <v/>
      </c>
      <c r="AE724" s="613">
        <f>VII_Model_PKZ!AE27</f>
        <v/>
      </c>
      <c r="AF724" s="613">
        <f>VII_Model_PKZ!AF27</f>
        <v/>
      </c>
      <c r="AG724" s="626">
        <f>VII_Model_PKZ!AG27</f>
        <v/>
      </c>
      <c r="AH724" s="626">
        <f>VII_Model_PKZ!AH27</f>
        <v/>
      </c>
      <c r="AI724" s="626">
        <f>VII_Model_PKZ!AI27</f>
        <v/>
      </c>
      <c r="AJ724" s="626">
        <f>VII_Model_PKZ!AJ27</f>
        <v/>
      </c>
      <c r="AK724" s="626">
        <f>VII_Model_PKZ!AK27</f>
        <v/>
      </c>
      <c r="AL724" s="626">
        <f>VII_Model_PKZ!AL27</f>
        <v/>
      </c>
      <c r="AM724" s="626">
        <f>VII_Model_PKZ!AM27</f>
        <v/>
      </c>
      <c r="AN724" s="626">
        <f>VII_Model_PKZ!AN27</f>
        <v/>
      </c>
      <c r="AO724" s="626">
        <f>VII_Model_PKZ!AO27</f>
        <v/>
      </c>
      <c r="AP724" s="369">
        <f>VII_Model_PKZ!AP27</f>
        <v/>
      </c>
      <c r="AQ724" s="369">
        <f>VII_Model_PKZ!AQ27</f>
        <v/>
      </c>
      <c r="AR724" s="369">
        <f>VII_Model_PKZ!AR27</f>
        <v/>
      </c>
      <c r="AS724" s="369">
        <f>VII_Model_PKZ!AS27</f>
        <v/>
      </c>
      <c r="AT724" s="370">
        <f>VII_Model_PKZ!AT27</f>
        <v/>
      </c>
      <c r="AU724" s="370">
        <f>VII_Model_PKZ!AU27</f>
        <v/>
      </c>
      <c r="AV724" s="370">
        <f>VII_Model_PKZ!AV27</f>
        <v/>
      </c>
      <c r="AW724" s="370">
        <f>VII_Model_PKZ!AW27</f>
        <v/>
      </c>
      <c r="AX724">
        <f>VII_Model_PKZ!AX27</f>
        <v/>
      </c>
      <c r="AY724">
        <f>VII_Model_PKZ!AY27</f>
        <v/>
      </c>
      <c r="AZ724">
        <f>VII_Model_PKZ!AZ27</f>
        <v/>
      </c>
      <c r="BA724">
        <f>VII_Model_PKZ!BA27</f>
        <v/>
      </c>
      <c r="BB724">
        <f>VII_Model_PKZ!BB27</f>
        <v/>
      </c>
      <c r="BC724">
        <f>VII_Model_PKZ!BC27</f>
        <v/>
      </c>
      <c r="BD724">
        <f>VII_Model_PKZ!BD27</f>
        <v/>
      </c>
      <c r="BE724">
        <f>VII_Model_PKZ!BE27</f>
        <v/>
      </c>
      <c r="BF724">
        <f>VII_Model_PKZ!BF27</f>
        <v/>
      </c>
      <c r="BG724">
        <f>VII_Model_PKZ!BG27</f>
        <v/>
      </c>
      <c r="BH724">
        <f>VII_Model_PKZ!BH27</f>
        <v/>
      </c>
      <c r="BI724">
        <f>VII_Model_PKZ!BI27</f>
        <v/>
      </c>
      <c r="BJ724">
        <f>O724</f>
        <v/>
      </c>
      <c r="BK724">
        <f>SUM(AG724:AW724)</f>
        <v/>
      </c>
      <c r="BL724" s="531">
        <f>BJ724-BK724</f>
        <v/>
      </c>
      <c r="BM724" s="201" t="n"/>
    </row>
    <row r="725" hidden="1" outlineLevel="1" s="191">
      <c r="A725">
        <f>VII_Model_PKZ!A28</f>
        <v/>
      </c>
      <c r="B725">
        <f>VII_Model_PKZ!B28</f>
        <v/>
      </c>
      <c r="C725">
        <f>VII_Model_PKZ!C28</f>
        <v/>
      </c>
      <c r="D725">
        <f>VII_Model_PKZ!D28</f>
        <v/>
      </c>
      <c r="E725">
        <f>VII_Model_PKZ!E28</f>
        <v/>
      </c>
      <c r="F725">
        <f>VII_Model_PKZ!F28</f>
        <v/>
      </c>
      <c r="G725">
        <f>VII_Model_PKZ!G28</f>
        <v/>
      </c>
      <c r="H725">
        <f>VII_Model_PKZ!H28</f>
        <v/>
      </c>
      <c r="I725">
        <f>VII_Model_PKZ!I28</f>
        <v/>
      </c>
      <c r="J725">
        <f>VII_Model_PKZ!J28</f>
        <v/>
      </c>
      <c r="K725" s="672">
        <f>VII_Model_PKZ!K28</f>
        <v/>
      </c>
      <c r="L725" s="672">
        <f>VII_Model_PKZ!L28</f>
        <v/>
      </c>
      <c r="M725">
        <f>VII_Model_PKZ!M28</f>
        <v/>
      </c>
      <c r="N725">
        <f>VII_Model_PKZ!N28</f>
        <v/>
      </c>
      <c r="O725">
        <f>VII_Model_PKZ!O28</f>
        <v/>
      </c>
      <c r="P725" s="628">
        <f>VII_Model_PKZ!P28</f>
        <v/>
      </c>
      <c r="Q725" s="628">
        <f>VII_Model_PKZ!Q28</f>
        <v/>
      </c>
      <c r="R725" s="628">
        <f>VII_Model_PKZ!R28</f>
        <v/>
      </c>
      <c r="S725" s="628">
        <f>VII_Model_PKZ!S28</f>
        <v/>
      </c>
      <c r="T725" s="628">
        <f>VII_Model_PKZ!T28</f>
        <v/>
      </c>
      <c r="U725" s="628">
        <f>VII_Model_PKZ!U28</f>
        <v/>
      </c>
      <c r="V725" s="628">
        <f>VII_Model_PKZ!V28</f>
        <v/>
      </c>
      <c r="W725" s="628">
        <f>VII_Model_PKZ!W28</f>
        <v/>
      </c>
      <c r="X725" s="628">
        <f>VII_Model_PKZ!X28</f>
        <v/>
      </c>
      <c r="Y725" s="650">
        <f>VII_Model_PKZ!Y28</f>
        <v/>
      </c>
      <c r="Z725" s="650">
        <f>VII_Model_PKZ!Z28</f>
        <v/>
      </c>
      <c r="AA725" s="650">
        <f>VII_Model_PKZ!AA28</f>
        <v/>
      </c>
      <c r="AB725" s="650">
        <f>VII_Model_PKZ!AB28</f>
        <v/>
      </c>
      <c r="AC725" s="613">
        <f>VII_Model_PKZ!AC28</f>
        <v/>
      </c>
      <c r="AD725" s="613">
        <f>VII_Model_PKZ!AD28</f>
        <v/>
      </c>
      <c r="AE725" s="613">
        <f>VII_Model_PKZ!AE28</f>
        <v/>
      </c>
      <c r="AF725" s="613">
        <f>VII_Model_PKZ!AF28</f>
        <v/>
      </c>
      <c r="AG725" s="626">
        <f>VII_Model_PKZ!AG28</f>
        <v/>
      </c>
      <c r="AH725" s="626">
        <f>VII_Model_PKZ!AH28</f>
        <v/>
      </c>
      <c r="AI725" s="626">
        <f>VII_Model_PKZ!AI28</f>
        <v/>
      </c>
      <c r="AJ725" s="626">
        <f>VII_Model_PKZ!AJ28</f>
        <v/>
      </c>
      <c r="AK725" s="626">
        <f>VII_Model_PKZ!AK28</f>
        <v/>
      </c>
      <c r="AL725" s="626">
        <f>VII_Model_PKZ!AL28</f>
        <v/>
      </c>
      <c r="AM725" s="626">
        <f>VII_Model_PKZ!AM28</f>
        <v/>
      </c>
      <c r="AN725" s="626">
        <f>VII_Model_PKZ!AN28</f>
        <v/>
      </c>
      <c r="AO725" s="626">
        <f>VII_Model_PKZ!AO28</f>
        <v/>
      </c>
      <c r="AP725" s="369">
        <f>VII_Model_PKZ!AP28</f>
        <v/>
      </c>
      <c r="AQ725" s="369">
        <f>VII_Model_PKZ!AQ28</f>
        <v/>
      </c>
      <c r="AR725" s="369">
        <f>VII_Model_PKZ!AR28</f>
        <v/>
      </c>
      <c r="AS725" s="369">
        <f>VII_Model_PKZ!AS28</f>
        <v/>
      </c>
      <c r="AT725" s="370">
        <f>VII_Model_PKZ!AT28</f>
        <v/>
      </c>
      <c r="AU725" s="370">
        <f>VII_Model_PKZ!AU28</f>
        <v/>
      </c>
      <c r="AV725" s="370">
        <f>VII_Model_PKZ!AV28</f>
        <v/>
      </c>
      <c r="AW725" s="370">
        <f>VII_Model_PKZ!AW28</f>
        <v/>
      </c>
      <c r="AX725">
        <f>VII_Model_PKZ!AX28</f>
        <v/>
      </c>
      <c r="AY725">
        <f>VII_Model_PKZ!AY28</f>
        <v/>
      </c>
      <c r="AZ725">
        <f>VII_Model_PKZ!AZ28</f>
        <v/>
      </c>
      <c r="BA725">
        <f>VII_Model_PKZ!BA28</f>
        <v/>
      </c>
      <c r="BB725">
        <f>VII_Model_PKZ!BB28</f>
        <v/>
      </c>
      <c r="BC725">
        <f>VII_Model_PKZ!BC28</f>
        <v/>
      </c>
      <c r="BD725">
        <f>VII_Model_PKZ!BD28</f>
        <v/>
      </c>
      <c r="BE725">
        <f>VII_Model_PKZ!BE28</f>
        <v/>
      </c>
      <c r="BF725">
        <f>VII_Model_PKZ!BF28</f>
        <v/>
      </c>
      <c r="BG725">
        <f>VII_Model_PKZ!BG28</f>
        <v/>
      </c>
      <c r="BH725">
        <f>VII_Model_PKZ!BH28</f>
        <v/>
      </c>
      <c r="BI725">
        <f>VII_Model_PKZ!BI28</f>
        <v/>
      </c>
      <c r="BJ725">
        <f>O725</f>
        <v/>
      </c>
      <c r="BK725">
        <f>SUM(AG725:AW725)</f>
        <v/>
      </c>
      <c r="BL725" s="531">
        <f>BJ725-BK725</f>
        <v/>
      </c>
      <c r="BM725" s="201" t="n"/>
    </row>
    <row r="726" hidden="1" outlineLevel="1" s="191">
      <c r="A726">
        <f>VII_Model_PKZ!A29</f>
        <v/>
      </c>
      <c r="B726">
        <f>VII_Model_PKZ!B29</f>
        <v/>
      </c>
      <c r="C726">
        <f>VII_Model_PKZ!C29</f>
        <v/>
      </c>
      <c r="D726">
        <f>VII_Model_PKZ!D29</f>
        <v/>
      </c>
      <c r="E726">
        <f>VII_Model_PKZ!E29</f>
        <v/>
      </c>
      <c r="F726">
        <f>VII_Model_PKZ!F29</f>
        <v/>
      </c>
      <c r="G726">
        <f>VII_Model_PKZ!G29</f>
        <v/>
      </c>
      <c r="H726">
        <f>VII_Model_PKZ!H29</f>
        <v/>
      </c>
      <c r="I726">
        <f>VII_Model_PKZ!I29</f>
        <v/>
      </c>
      <c r="J726">
        <f>VII_Model_PKZ!J29</f>
        <v/>
      </c>
      <c r="K726" s="672">
        <f>VII_Model_PKZ!K29</f>
        <v/>
      </c>
      <c r="L726" s="672">
        <f>VII_Model_PKZ!L29</f>
        <v/>
      </c>
      <c r="M726">
        <f>VII_Model_PKZ!M29</f>
        <v/>
      </c>
      <c r="N726">
        <f>VII_Model_PKZ!N29</f>
        <v/>
      </c>
      <c r="O726">
        <f>VII_Model_PKZ!O29</f>
        <v/>
      </c>
      <c r="P726" s="628">
        <f>VII_Model_PKZ!P29</f>
        <v/>
      </c>
      <c r="Q726" s="628">
        <f>VII_Model_PKZ!Q29</f>
        <v/>
      </c>
      <c r="R726" s="628">
        <f>VII_Model_PKZ!R29</f>
        <v/>
      </c>
      <c r="S726" s="628">
        <f>VII_Model_PKZ!S29</f>
        <v/>
      </c>
      <c r="T726" s="628">
        <f>VII_Model_PKZ!T29</f>
        <v/>
      </c>
      <c r="U726" s="628">
        <f>VII_Model_PKZ!U29</f>
        <v/>
      </c>
      <c r="V726" s="628">
        <f>VII_Model_PKZ!V29</f>
        <v/>
      </c>
      <c r="W726" s="628">
        <f>VII_Model_PKZ!W29</f>
        <v/>
      </c>
      <c r="X726" s="628">
        <f>VII_Model_PKZ!X29</f>
        <v/>
      </c>
      <c r="Y726" s="650">
        <f>VII_Model_PKZ!Y29</f>
        <v/>
      </c>
      <c r="Z726" s="650">
        <f>VII_Model_PKZ!Z29</f>
        <v/>
      </c>
      <c r="AA726" s="650">
        <f>VII_Model_PKZ!AA29</f>
        <v/>
      </c>
      <c r="AB726" s="650">
        <f>VII_Model_PKZ!AB29</f>
        <v/>
      </c>
      <c r="AC726" s="613">
        <f>VII_Model_PKZ!AC29</f>
        <v/>
      </c>
      <c r="AD726" s="613">
        <f>VII_Model_PKZ!AD29</f>
        <v/>
      </c>
      <c r="AE726" s="613">
        <f>VII_Model_PKZ!AE29</f>
        <v/>
      </c>
      <c r="AF726" s="613">
        <f>VII_Model_PKZ!AF29</f>
        <v/>
      </c>
      <c r="AG726" s="626">
        <f>VII_Model_PKZ!AG29</f>
        <v/>
      </c>
      <c r="AH726" s="626">
        <f>VII_Model_PKZ!AH29</f>
        <v/>
      </c>
      <c r="AI726" s="626">
        <f>VII_Model_PKZ!AI29</f>
        <v/>
      </c>
      <c r="AJ726" s="626">
        <f>VII_Model_PKZ!AJ29</f>
        <v/>
      </c>
      <c r="AK726" s="626">
        <f>VII_Model_PKZ!AK29</f>
        <v/>
      </c>
      <c r="AL726" s="626">
        <f>VII_Model_PKZ!AL29</f>
        <v/>
      </c>
      <c r="AM726" s="626">
        <f>VII_Model_PKZ!AM29</f>
        <v/>
      </c>
      <c r="AN726" s="626">
        <f>VII_Model_PKZ!AN29</f>
        <v/>
      </c>
      <c r="AO726" s="626">
        <f>VII_Model_PKZ!AO29</f>
        <v/>
      </c>
      <c r="AP726" s="369">
        <f>VII_Model_PKZ!AP29</f>
        <v/>
      </c>
      <c r="AQ726" s="369">
        <f>VII_Model_PKZ!AQ29</f>
        <v/>
      </c>
      <c r="AR726" s="369">
        <f>VII_Model_PKZ!AR29</f>
        <v/>
      </c>
      <c r="AS726" s="369">
        <f>VII_Model_PKZ!AS29</f>
        <v/>
      </c>
      <c r="AT726" s="370">
        <f>VII_Model_PKZ!AT29</f>
        <v/>
      </c>
      <c r="AU726" s="370">
        <f>VII_Model_PKZ!AU29</f>
        <v/>
      </c>
      <c r="AV726" s="370">
        <f>VII_Model_PKZ!AV29</f>
        <v/>
      </c>
      <c r="AW726" s="370">
        <f>VII_Model_PKZ!AW29</f>
        <v/>
      </c>
      <c r="AX726">
        <f>VII_Model_PKZ!AX29</f>
        <v/>
      </c>
      <c r="AY726">
        <f>VII_Model_PKZ!AY29</f>
        <v/>
      </c>
      <c r="AZ726">
        <f>VII_Model_PKZ!AZ29</f>
        <v/>
      </c>
      <c r="BA726">
        <f>VII_Model_PKZ!BA29</f>
        <v/>
      </c>
      <c r="BB726">
        <f>VII_Model_PKZ!BB29</f>
        <v/>
      </c>
      <c r="BC726">
        <f>VII_Model_PKZ!BC29</f>
        <v/>
      </c>
      <c r="BD726">
        <f>VII_Model_PKZ!BD29</f>
        <v/>
      </c>
      <c r="BE726">
        <f>VII_Model_PKZ!BE29</f>
        <v/>
      </c>
      <c r="BF726">
        <f>VII_Model_PKZ!BF29</f>
        <v/>
      </c>
      <c r="BG726">
        <f>VII_Model_PKZ!BG29</f>
        <v/>
      </c>
      <c r="BH726">
        <f>VII_Model_PKZ!BH29</f>
        <v/>
      </c>
      <c r="BI726">
        <f>VII_Model_PKZ!BI29</f>
        <v/>
      </c>
      <c r="BJ726">
        <f>O726</f>
        <v/>
      </c>
      <c r="BK726">
        <f>SUM(AG726:AW726)</f>
        <v/>
      </c>
      <c r="BL726" s="531">
        <f>BJ726-BK726</f>
        <v/>
      </c>
      <c r="BM726" s="201" t="n"/>
    </row>
    <row r="727" hidden="1" outlineLevel="1" s="191">
      <c r="A727">
        <f>VII_Model_PKZ!A30</f>
        <v/>
      </c>
      <c r="B727">
        <f>VII_Model_PKZ!B30</f>
        <v/>
      </c>
      <c r="C727">
        <f>VII_Model_PKZ!C30</f>
        <v/>
      </c>
      <c r="D727">
        <f>VII_Model_PKZ!D30</f>
        <v/>
      </c>
      <c r="E727">
        <f>VII_Model_PKZ!E30</f>
        <v/>
      </c>
      <c r="F727">
        <f>VII_Model_PKZ!F30</f>
        <v/>
      </c>
      <c r="G727">
        <f>VII_Model_PKZ!G30</f>
        <v/>
      </c>
      <c r="H727">
        <f>VII_Model_PKZ!H30</f>
        <v/>
      </c>
      <c r="I727">
        <f>VII_Model_PKZ!I30</f>
        <v/>
      </c>
      <c r="J727">
        <f>VII_Model_PKZ!J30</f>
        <v/>
      </c>
      <c r="K727" s="672">
        <f>VII_Model_PKZ!K30</f>
        <v/>
      </c>
      <c r="L727" s="672">
        <f>VII_Model_PKZ!L30</f>
        <v/>
      </c>
      <c r="M727">
        <f>VII_Model_PKZ!M30</f>
        <v/>
      </c>
      <c r="N727">
        <f>VII_Model_PKZ!N30</f>
        <v/>
      </c>
      <c r="O727">
        <f>VII_Model_PKZ!O30</f>
        <v/>
      </c>
      <c r="P727" s="628">
        <f>VII_Model_PKZ!P30</f>
        <v/>
      </c>
      <c r="Q727" s="628">
        <f>VII_Model_PKZ!Q30</f>
        <v/>
      </c>
      <c r="R727" s="628">
        <f>VII_Model_PKZ!R30</f>
        <v/>
      </c>
      <c r="S727" s="628">
        <f>VII_Model_PKZ!S30</f>
        <v/>
      </c>
      <c r="T727" s="628">
        <f>VII_Model_PKZ!T30</f>
        <v/>
      </c>
      <c r="U727" s="628">
        <f>VII_Model_PKZ!U30</f>
        <v/>
      </c>
      <c r="V727" s="628">
        <f>VII_Model_PKZ!V30</f>
        <v/>
      </c>
      <c r="W727" s="628">
        <f>VII_Model_PKZ!W30</f>
        <v/>
      </c>
      <c r="X727" s="628">
        <f>VII_Model_PKZ!X30</f>
        <v/>
      </c>
      <c r="Y727" s="650">
        <f>VII_Model_PKZ!Y30</f>
        <v/>
      </c>
      <c r="Z727" s="650">
        <f>VII_Model_PKZ!Z30</f>
        <v/>
      </c>
      <c r="AA727" s="650">
        <f>VII_Model_PKZ!AA30</f>
        <v/>
      </c>
      <c r="AB727" s="650">
        <f>VII_Model_PKZ!AB30</f>
        <v/>
      </c>
      <c r="AC727" s="613">
        <f>VII_Model_PKZ!AC30</f>
        <v/>
      </c>
      <c r="AD727" s="613">
        <f>VII_Model_PKZ!AD30</f>
        <v/>
      </c>
      <c r="AE727" s="613">
        <f>VII_Model_PKZ!AE30</f>
        <v/>
      </c>
      <c r="AF727" s="613">
        <f>VII_Model_PKZ!AF30</f>
        <v/>
      </c>
      <c r="AG727" s="626">
        <f>VII_Model_PKZ!AG30</f>
        <v/>
      </c>
      <c r="AH727" s="626">
        <f>VII_Model_PKZ!AH30</f>
        <v/>
      </c>
      <c r="AI727" s="626">
        <f>VII_Model_PKZ!AI30</f>
        <v/>
      </c>
      <c r="AJ727" s="626">
        <f>VII_Model_PKZ!AJ30</f>
        <v/>
      </c>
      <c r="AK727" s="626">
        <f>VII_Model_PKZ!AK30</f>
        <v/>
      </c>
      <c r="AL727" s="626">
        <f>VII_Model_PKZ!AL30</f>
        <v/>
      </c>
      <c r="AM727" s="626">
        <f>VII_Model_PKZ!AM30</f>
        <v/>
      </c>
      <c r="AN727" s="626">
        <f>VII_Model_PKZ!AN30</f>
        <v/>
      </c>
      <c r="AO727" s="626">
        <f>VII_Model_PKZ!AO30</f>
        <v/>
      </c>
      <c r="AP727" s="369">
        <f>VII_Model_PKZ!AP30</f>
        <v/>
      </c>
      <c r="AQ727" s="369">
        <f>VII_Model_PKZ!AQ30</f>
        <v/>
      </c>
      <c r="AR727" s="369">
        <f>VII_Model_PKZ!AR30</f>
        <v/>
      </c>
      <c r="AS727" s="369">
        <f>VII_Model_PKZ!AS30</f>
        <v/>
      </c>
      <c r="AT727" s="370">
        <f>VII_Model_PKZ!AT30</f>
        <v/>
      </c>
      <c r="AU727" s="370">
        <f>VII_Model_PKZ!AU30</f>
        <v/>
      </c>
      <c r="AV727" s="370">
        <f>VII_Model_PKZ!AV30</f>
        <v/>
      </c>
      <c r="AW727" s="370">
        <f>VII_Model_PKZ!AW30</f>
        <v/>
      </c>
      <c r="AX727">
        <f>VII_Model_PKZ!AX30</f>
        <v/>
      </c>
      <c r="AY727">
        <f>VII_Model_PKZ!AY30</f>
        <v/>
      </c>
      <c r="AZ727">
        <f>VII_Model_PKZ!AZ30</f>
        <v/>
      </c>
      <c r="BA727">
        <f>VII_Model_PKZ!BA30</f>
        <v/>
      </c>
      <c r="BB727">
        <f>VII_Model_PKZ!BB30</f>
        <v/>
      </c>
      <c r="BC727">
        <f>VII_Model_PKZ!BC30</f>
        <v/>
      </c>
      <c r="BD727">
        <f>VII_Model_PKZ!BD30</f>
        <v/>
      </c>
      <c r="BE727">
        <f>VII_Model_PKZ!BE30</f>
        <v/>
      </c>
      <c r="BF727">
        <f>VII_Model_PKZ!BF30</f>
        <v/>
      </c>
      <c r="BG727">
        <f>VII_Model_PKZ!BG30</f>
        <v/>
      </c>
      <c r="BH727">
        <f>VII_Model_PKZ!BH30</f>
        <v/>
      </c>
      <c r="BI727">
        <f>VII_Model_PKZ!BI30</f>
        <v/>
      </c>
      <c r="BJ727">
        <f>O727</f>
        <v/>
      </c>
      <c r="BK727">
        <f>SUM(AG727:AW727)</f>
        <v/>
      </c>
      <c r="BL727" s="531">
        <f>BJ727-BK727</f>
        <v/>
      </c>
      <c r="BM727" s="201" t="n"/>
    </row>
    <row r="728" hidden="1" outlineLevel="1" s="191">
      <c r="A728">
        <f>VII_Model_PKZ!A31</f>
        <v/>
      </c>
      <c r="B728">
        <f>VII_Model_PKZ!B31</f>
        <v/>
      </c>
      <c r="C728">
        <f>VII_Model_PKZ!C31</f>
        <v/>
      </c>
      <c r="D728">
        <f>VII_Model_PKZ!D31</f>
        <v/>
      </c>
      <c r="E728">
        <f>VII_Model_PKZ!E31</f>
        <v/>
      </c>
      <c r="F728">
        <f>VII_Model_PKZ!F31</f>
        <v/>
      </c>
      <c r="G728">
        <f>VII_Model_PKZ!G31</f>
        <v/>
      </c>
      <c r="H728">
        <f>VII_Model_PKZ!H31</f>
        <v/>
      </c>
      <c r="I728">
        <f>VII_Model_PKZ!I31</f>
        <v/>
      </c>
      <c r="J728">
        <f>VII_Model_PKZ!J31</f>
        <v/>
      </c>
      <c r="K728" s="672">
        <f>VII_Model_PKZ!K31</f>
        <v/>
      </c>
      <c r="L728" s="672">
        <f>VII_Model_PKZ!L31</f>
        <v/>
      </c>
      <c r="M728">
        <f>VII_Model_PKZ!M31</f>
        <v/>
      </c>
      <c r="N728">
        <f>VII_Model_PKZ!N31</f>
        <v/>
      </c>
      <c r="O728">
        <f>VII_Model_PKZ!O31</f>
        <v/>
      </c>
      <c r="P728" s="628">
        <f>VII_Model_PKZ!P31</f>
        <v/>
      </c>
      <c r="Q728" s="628">
        <f>VII_Model_PKZ!Q31</f>
        <v/>
      </c>
      <c r="R728" s="628">
        <f>VII_Model_PKZ!R31</f>
        <v/>
      </c>
      <c r="S728" s="628">
        <f>VII_Model_PKZ!S31</f>
        <v/>
      </c>
      <c r="T728" s="628">
        <f>VII_Model_PKZ!T31</f>
        <v/>
      </c>
      <c r="U728" s="628">
        <f>VII_Model_PKZ!U31</f>
        <v/>
      </c>
      <c r="V728" s="628">
        <f>VII_Model_PKZ!V31</f>
        <v/>
      </c>
      <c r="W728" s="628">
        <f>VII_Model_PKZ!W31</f>
        <v/>
      </c>
      <c r="X728" s="628">
        <f>VII_Model_PKZ!X31</f>
        <v/>
      </c>
      <c r="Y728" s="650">
        <f>VII_Model_PKZ!Y31</f>
        <v/>
      </c>
      <c r="Z728" s="650">
        <f>VII_Model_PKZ!Z31</f>
        <v/>
      </c>
      <c r="AA728" s="650">
        <f>VII_Model_PKZ!AA31</f>
        <v/>
      </c>
      <c r="AB728" s="650">
        <f>VII_Model_PKZ!AB31</f>
        <v/>
      </c>
      <c r="AC728" s="613">
        <f>VII_Model_PKZ!AC31</f>
        <v/>
      </c>
      <c r="AD728" s="613">
        <f>VII_Model_PKZ!AD31</f>
        <v/>
      </c>
      <c r="AE728" s="613">
        <f>VII_Model_PKZ!AE31</f>
        <v/>
      </c>
      <c r="AF728" s="613">
        <f>VII_Model_PKZ!AF31</f>
        <v/>
      </c>
      <c r="AG728" s="626">
        <f>VII_Model_PKZ!AG31</f>
        <v/>
      </c>
      <c r="AH728" s="626">
        <f>VII_Model_PKZ!AH31</f>
        <v/>
      </c>
      <c r="AI728" s="626">
        <f>VII_Model_PKZ!AI31</f>
        <v/>
      </c>
      <c r="AJ728" s="626">
        <f>VII_Model_PKZ!AJ31</f>
        <v/>
      </c>
      <c r="AK728" s="626">
        <f>VII_Model_PKZ!AK31</f>
        <v/>
      </c>
      <c r="AL728" s="626">
        <f>VII_Model_PKZ!AL31</f>
        <v/>
      </c>
      <c r="AM728" s="626">
        <f>VII_Model_PKZ!AM31</f>
        <v/>
      </c>
      <c r="AN728" s="626">
        <f>VII_Model_PKZ!AN31</f>
        <v/>
      </c>
      <c r="AO728" s="626">
        <f>VII_Model_PKZ!AO31</f>
        <v/>
      </c>
      <c r="AP728" s="369">
        <f>VII_Model_PKZ!AP31</f>
        <v/>
      </c>
      <c r="AQ728" s="369">
        <f>VII_Model_PKZ!AQ31</f>
        <v/>
      </c>
      <c r="AR728" s="369">
        <f>VII_Model_PKZ!AR31</f>
        <v/>
      </c>
      <c r="AS728" s="369">
        <f>VII_Model_PKZ!AS31</f>
        <v/>
      </c>
      <c r="AT728" s="370">
        <f>VII_Model_PKZ!AT31</f>
        <v/>
      </c>
      <c r="AU728" s="370">
        <f>VII_Model_PKZ!AU31</f>
        <v/>
      </c>
      <c r="AV728" s="370">
        <f>VII_Model_PKZ!AV31</f>
        <v/>
      </c>
      <c r="AW728" s="370">
        <f>VII_Model_PKZ!AW31</f>
        <v/>
      </c>
      <c r="AX728">
        <f>VII_Model_PKZ!AX31</f>
        <v/>
      </c>
      <c r="AY728">
        <f>VII_Model_PKZ!AY31</f>
        <v/>
      </c>
      <c r="AZ728">
        <f>VII_Model_PKZ!AZ31</f>
        <v/>
      </c>
      <c r="BA728">
        <f>VII_Model_PKZ!BA31</f>
        <v/>
      </c>
      <c r="BB728">
        <f>VII_Model_PKZ!BB31</f>
        <v/>
      </c>
      <c r="BC728">
        <f>VII_Model_PKZ!BC31</f>
        <v/>
      </c>
      <c r="BD728">
        <f>VII_Model_PKZ!BD31</f>
        <v/>
      </c>
      <c r="BE728">
        <f>VII_Model_PKZ!BE31</f>
        <v/>
      </c>
      <c r="BF728">
        <f>VII_Model_PKZ!BF31</f>
        <v/>
      </c>
      <c r="BG728">
        <f>VII_Model_PKZ!BG31</f>
        <v/>
      </c>
      <c r="BH728">
        <f>VII_Model_PKZ!BH31</f>
        <v/>
      </c>
      <c r="BI728">
        <f>VII_Model_PKZ!BI31</f>
        <v/>
      </c>
      <c r="BJ728">
        <f>O728</f>
        <v/>
      </c>
      <c r="BK728">
        <f>SUM(AG728:AW728)</f>
        <v/>
      </c>
      <c r="BL728" s="531">
        <f>BJ728-BK728</f>
        <v/>
      </c>
      <c r="BM728" s="201" t="n"/>
    </row>
    <row r="729" hidden="1" outlineLevel="1" s="191">
      <c r="A729">
        <f>VII_Model_PKZ!A32</f>
        <v/>
      </c>
      <c r="B729">
        <f>VII_Model_PKZ!B32</f>
        <v/>
      </c>
      <c r="C729">
        <f>VII_Model_PKZ!C32</f>
        <v/>
      </c>
      <c r="D729">
        <f>VII_Model_PKZ!D32</f>
        <v/>
      </c>
      <c r="E729">
        <f>VII_Model_PKZ!E32</f>
        <v/>
      </c>
      <c r="F729">
        <f>VII_Model_PKZ!F32</f>
        <v/>
      </c>
      <c r="G729">
        <f>VII_Model_PKZ!G32</f>
        <v/>
      </c>
      <c r="H729">
        <f>VII_Model_PKZ!H32</f>
        <v/>
      </c>
      <c r="I729">
        <f>VII_Model_PKZ!I32</f>
        <v/>
      </c>
      <c r="J729">
        <f>VII_Model_PKZ!J32</f>
        <v/>
      </c>
      <c r="K729" s="672">
        <f>VII_Model_PKZ!K32</f>
        <v/>
      </c>
      <c r="L729" s="672">
        <f>VII_Model_PKZ!L32</f>
        <v/>
      </c>
      <c r="M729">
        <f>VII_Model_PKZ!M32</f>
        <v/>
      </c>
      <c r="N729">
        <f>VII_Model_PKZ!N32</f>
        <v/>
      </c>
      <c r="O729">
        <f>VII_Model_PKZ!O32</f>
        <v/>
      </c>
      <c r="P729" s="628">
        <f>VII_Model_PKZ!P32</f>
        <v/>
      </c>
      <c r="Q729" s="628">
        <f>VII_Model_PKZ!Q32</f>
        <v/>
      </c>
      <c r="R729" s="628">
        <f>VII_Model_PKZ!R32</f>
        <v/>
      </c>
      <c r="S729" s="628">
        <f>VII_Model_PKZ!S32</f>
        <v/>
      </c>
      <c r="T729" s="628">
        <f>VII_Model_PKZ!T32</f>
        <v/>
      </c>
      <c r="U729" s="628">
        <f>VII_Model_PKZ!U32</f>
        <v/>
      </c>
      <c r="V729" s="628">
        <f>VII_Model_PKZ!V32</f>
        <v/>
      </c>
      <c r="W729" s="628">
        <f>VII_Model_PKZ!W32</f>
        <v/>
      </c>
      <c r="X729" s="628">
        <f>VII_Model_PKZ!X32</f>
        <v/>
      </c>
      <c r="Y729" s="650">
        <f>VII_Model_PKZ!Y32</f>
        <v/>
      </c>
      <c r="Z729" s="650">
        <f>VII_Model_PKZ!Z32</f>
        <v/>
      </c>
      <c r="AA729" s="650">
        <f>VII_Model_PKZ!AA32</f>
        <v/>
      </c>
      <c r="AB729" s="650">
        <f>VII_Model_PKZ!AB32</f>
        <v/>
      </c>
      <c r="AC729" s="613">
        <f>VII_Model_PKZ!AC32</f>
        <v/>
      </c>
      <c r="AD729" s="613">
        <f>VII_Model_PKZ!AD32</f>
        <v/>
      </c>
      <c r="AE729" s="613">
        <f>VII_Model_PKZ!AE32</f>
        <v/>
      </c>
      <c r="AF729" s="613">
        <f>VII_Model_PKZ!AF32</f>
        <v/>
      </c>
      <c r="AG729" s="626">
        <f>VII_Model_PKZ!AG32</f>
        <v/>
      </c>
      <c r="AH729" s="626">
        <f>VII_Model_PKZ!AH32</f>
        <v/>
      </c>
      <c r="AI729" s="626">
        <f>VII_Model_PKZ!AI32</f>
        <v/>
      </c>
      <c r="AJ729" s="626">
        <f>VII_Model_PKZ!AJ32</f>
        <v/>
      </c>
      <c r="AK729" s="626">
        <f>VII_Model_PKZ!AK32</f>
        <v/>
      </c>
      <c r="AL729" s="626">
        <f>VII_Model_PKZ!AL32</f>
        <v/>
      </c>
      <c r="AM729" s="626">
        <f>VII_Model_PKZ!AM32</f>
        <v/>
      </c>
      <c r="AN729" s="626">
        <f>VII_Model_PKZ!AN32</f>
        <v/>
      </c>
      <c r="AO729" s="626">
        <f>VII_Model_PKZ!AO32</f>
        <v/>
      </c>
      <c r="AP729" s="369">
        <f>VII_Model_PKZ!AP32</f>
        <v/>
      </c>
      <c r="AQ729" s="369">
        <f>VII_Model_PKZ!AQ32</f>
        <v/>
      </c>
      <c r="AR729" s="369">
        <f>VII_Model_PKZ!AR32</f>
        <v/>
      </c>
      <c r="AS729" s="369">
        <f>VII_Model_PKZ!AS32</f>
        <v/>
      </c>
      <c r="AT729" s="370">
        <f>VII_Model_PKZ!AT32</f>
        <v/>
      </c>
      <c r="AU729" s="370">
        <f>VII_Model_PKZ!AU32</f>
        <v/>
      </c>
      <c r="AV729" s="370">
        <f>VII_Model_PKZ!AV32</f>
        <v/>
      </c>
      <c r="AW729" s="370">
        <f>VII_Model_PKZ!AW32</f>
        <v/>
      </c>
      <c r="AX729">
        <f>VII_Model_PKZ!AX32</f>
        <v/>
      </c>
      <c r="AY729">
        <f>VII_Model_PKZ!AY32</f>
        <v/>
      </c>
      <c r="AZ729">
        <f>VII_Model_PKZ!AZ32</f>
        <v/>
      </c>
      <c r="BA729">
        <f>VII_Model_PKZ!BA32</f>
        <v/>
      </c>
      <c r="BB729">
        <f>VII_Model_PKZ!BB32</f>
        <v/>
      </c>
      <c r="BC729">
        <f>VII_Model_PKZ!BC32</f>
        <v/>
      </c>
      <c r="BD729">
        <f>VII_Model_PKZ!BD32</f>
        <v/>
      </c>
      <c r="BE729">
        <f>VII_Model_PKZ!BE32</f>
        <v/>
      </c>
      <c r="BF729">
        <f>VII_Model_PKZ!BF32</f>
        <v/>
      </c>
      <c r="BG729">
        <f>VII_Model_PKZ!BG32</f>
        <v/>
      </c>
      <c r="BH729">
        <f>VII_Model_PKZ!BH32</f>
        <v/>
      </c>
      <c r="BI729">
        <f>VII_Model_PKZ!BI32</f>
        <v/>
      </c>
      <c r="BJ729">
        <f>O729</f>
        <v/>
      </c>
      <c r="BK729">
        <f>SUM(AG729:AW729)</f>
        <v/>
      </c>
      <c r="BL729" s="531">
        <f>BJ729-BK729</f>
        <v/>
      </c>
      <c r="BM729" s="201" t="n"/>
    </row>
    <row r="730" hidden="1" outlineLevel="1" s="191">
      <c r="A730">
        <f>VII_Model_PKZ!A33</f>
        <v/>
      </c>
      <c r="B730">
        <f>VII_Model_PKZ!B33</f>
        <v/>
      </c>
      <c r="C730">
        <f>VII_Model_PKZ!C33</f>
        <v/>
      </c>
      <c r="D730">
        <f>VII_Model_PKZ!D33</f>
        <v/>
      </c>
      <c r="E730">
        <f>VII_Model_PKZ!E33</f>
        <v/>
      </c>
      <c r="F730">
        <f>VII_Model_PKZ!F33</f>
        <v/>
      </c>
      <c r="G730">
        <f>VII_Model_PKZ!G33</f>
        <v/>
      </c>
      <c r="H730">
        <f>VII_Model_PKZ!H33</f>
        <v/>
      </c>
      <c r="I730">
        <f>VII_Model_PKZ!I33</f>
        <v/>
      </c>
      <c r="J730">
        <f>VII_Model_PKZ!J33</f>
        <v/>
      </c>
      <c r="K730" s="672">
        <f>VII_Model_PKZ!K33</f>
        <v/>
      </c>
      <c r="L730" s="672">
        <f>VII_Model_PKZ!L33</f>
        <v/>
      </c>
      <c r="M730">
        <f>VII_Model_PKZ!M33</f>
        <v/>
      </c>
      <c r="N730">
        <f>VII_Model_PKZ!N33</f>
        <v/>
      </c>
      <c r="O730">
        <f>VII_Model_PKZ!O33</f>
        <v/>
      </c>
      <c r="P730" s="628">
        <f>VII_Model_PKZ!P33</f>
        <v/>
      </c>
      <c r="Q730" s="628">
        <f>VII_Model_PKZ!Q33</f>
        <v/>
      </c>
      <c r="R730" s="628">
        <f>VII_Model_PKZ!R33</f>
        <v/>
      </c>
      <c r="S730" s="628">
        <f>VII_Model_PKZ!S33</f>
        <v/>
      </c>
      <c r="T730" s="628">
        <f>VII_Model_PKZ!T33</f>
        <v/>
      </c>
      <c r="U730" s="628">
        <f>VII_Model_PKZ!U33</f>
        <v/>
      </c>
      <c r="V730" s="628">
        <f>VII_Model_PKZ!V33</f>
        <v/>
      </c>
      <c r="W730" s="628">
        <f>VII_Model_PKZ!W33</f>
        <v/>
      </c>
      <c r="X730" s="628">
        <f>VII_Model_PKZ!X33</f>
        <v/>
      </c>
      <c r="Y730" s="650">
        <f>VII_Model_PKZ!Y33</f>
        <v/>
      </c>
      <c r="Z730" s="650">
        <f>VII_Model_PKZ!Z33</f>
        <v/>
      </c>
      <c r="AA730" s="650">
        <f>VII_Model_PKZ!AA33</f>
        <v/>
      </c>
      <c r="AB730" s="650">
        <f>VII_Model_PKZ!AB33</f>
        <v/>
      </c>
      <c r="AC730" s="613">
        <f>VII_Model_PKZ!AC33</f>
        <v/>
      </c>
      <c r="AD730" s="613">
        <f>VII_Model_PKZ!AD33</f>
        <v/>
      </c>
      <c r="AE730" s="613">
        <f>VII_Model_PKZ!AE33</f>
        <v/>
      </c>
      <c r="AF730" s="613">
        <f>VII_Model_PKZ!AF33</f>
        <v/>
      </c>
      <c r="AG730" s="626">
        <f>VII_Model_PKZ!AG33</f>
        <v/>
      </c>
      <c r="AH730" s="626">
        <f>VII_Model_PKZ!AH33</f>
        <v/>
      </c>
      <c r="AI730" s="626">
        <f>VII_Model_PKZ!AI33</f>
        <v/>
      </c>
      <c r="AJ730" s="626">
        <f>VII_Model_PKZ!AJ33</f>
        <v/>
      </c>
      <c r="AK730" s="626">
        <f>VII_Model_PKZ!AK33</f>
        <v/>
      </c>
      <c r="AL730" s="626">
        <f>VII_Model_PKZ!AL33</f>
        <v/>
      </c>
      <c r="AM730" s="626">
        <f>VII_Model_PKZ!AM33</f>
        <v/>
      </c>
      <c r="AN730" s="626">
        <f>VII_Model_PKZ!AN33</f>
        <v/>
      </c>
      <c r="AO730" s="626">
        <f>VII_Model_PKZ!AO33</f>
        <v/>
      </c>
      <c r="AP730" s="369">
        <f>VII_Model_PKZ!AP33</f>
        <v/>
      </c>
      <c r="AQ730" s="369">
        <f>VII_Model_PKZ!AQ33</f>
        <v/>
      </c>
      <c r="AR730" s="369">
        <f>VII_Model_PKZ!AR33</f>
        <v/>
      </c>
      <c r="AS730" s="369">
        <f>VII_Model_PKZ!AS33</f>
        <v/>
      </c>
      <c r="AT730" s="370">
        <f>VII_Model_PKZ!AT33</f>
        <v/>
      </c>
      <c r="AU730" s="370">
        <f>VII_Model_PKZ!AU33</f>
        <v/>
      </c>
      <c r="AV730" s="370">
        <f>VII_Model_PKZ!AV33</f>
        <v/>
      </c>
      <c r="AW730" s="370">
        <f>VII_Model_PKZ!AW33</f>
        <v/>
      </c>
      <c r="AX730">
        <f>VII_Model_PKZ!AX33</f>
        <v/>
      </c>
      <c r="AY730">
        <f>VII_Model_PKZ!AY33</f>
        <v/>
      </c>
      <c r="AZ730">
        <f>VII_Model_PKZ!AZ33</f>
        <v/>
      </c>
      <c r="BA730">
        <f>VII_Model_PKZ!BA33</f>
        <v/>
      </c>
      <c r="BB730">
        <f>VII_Model_PKZ!BB33</f>
        <v/>
      </c>
      <c r="BC730">
        <f>VII_Model_PKZ!BC33</f>
        <v/>
      </c>
      <c r="BD730">
        <f>VII_Model_PKZ!BD33</f>
        <v/>
      </c>
      <c r="BE730">
        <f>VII_Model_PKZ!BE33</f>
        <v/>
      </c>
      <c r="BF730">
        <f>VII_Model_PKZ!BF33</f>
        <v/>
      </c>
      <c r="BG730">
        <f>VII_Model_PKZ!BG33</f>
        <v/>
      </c>
      <c r="BH730">
        <f>VII_Model_PKZ!BH33</f>
        <v/>
      </c>
      <c r="BI730">
        <f>VII_Model_PKZ!BI33</f>
        <v/>
      </c>
      <c r="BJ730">
        <f>O730</f>
        <v/>
      </c>
      <c r="BK730">
        <f>SUM(AG730:AW730)</f>
        <v/>
      </c>
      <c r="BL730" s="531">
        <f>BJ730-BK730</f>
        <v/>
      </c>
      <c r="BM730" s="201" t="n"/>
    </row>
    <row r="731" hidden="1" outlineLevel="1" s="191">
      <c r="A731">
        <f>VII_Model_PKZ!A34</f>
        <v/>
      </c>
      <c r="B731">
        <f>VII_Model_PKZ!B34</f>
        <v/>
      </c>
      <c r="C731">
        <f>VII_Model_PKZ!C34</f>
        <v/>
      </c>
      <c r="D731">
        <f>VII_Model_PKZ!D34</f>
        <v/>
      </c>
      <c r="E731">
        <f>VII_Model_PKZ!E34</f>
        <v/>
      </c>
      <c r="F731">
        <f>VII_Model_PKZ!F34</f>
        <v/>
      </c>
      <c r="G731">
        <f>VII_Model_PKZ!G34</f>
        <v/>
      </c>
      <c r="H731">
        <f>VII_Model_PKZ!H34</f>
        <v/>
      </c>
      <c r="I731">
        <f>VII_Model_PKZ!I34</f>
        <v/>
      </c>
      <c r="J731">
        <f>VII_Model_PKZ!J34</f>
        <v/>
      </c>
      <c r="K731" s="672">
        <f>VII_Model_PKZ!K34</f>
        <v/>
      </c>
      <c r="L731" s="672">
        <f>VII_Model_PKZ!L34</f>
        <v/>
      </c>
      <c r="M731">
        <f>VII_Model_PKZ!M34</f>
        <v/>
      </c>
      <c r="N731">
        <f>VII_Model_PKZ!N34</f>
        <v/>
      </c>
      <c r="O731">
        <f>VII_Model_PKZ!O34</f>
        <v/>
      </c>
      <c r="P731" s="628">
        <f>VII_Model_PKZ!P34</f>
        <v/>
      </c>
      <c r="Q731" s="628">
        <f>VII_Model_PKZ!Q34</f>
        <v/>
      </c>
      <c r="R731" s="628">
        <f>VII_Model_PKZ!R34</f>
        <v/>
      </c>
      <c r="S731" s="628">
        <f>VII_Model_PKZ!S34</f>
        <v/>
      </c>
      <c r="T731" s="628">
        <f>VII_Model_PKZ!T34</f>
        <v/>
      </c>
      <c r="U731" s="628">
        <f>VII_Model_PKZ!U34</f>
        <v/>
      </c>
      <c r="V731" s="628">
        <f>VII_Model_PKZ!V34</f>
        <v/>
      </c>
      <c r="W731" s="628">
        <f>VII_Model_PKZ!W34</f>
        <v/>
      </c>
      <c r="X731" s="628">
        <f>VII_Model_PKZ!X34</f>
        <v/>
      </c>
      <c r="Y731" s="650">
        <f>VII_Model_PKZ!Y34</f>
        <v/>
      </c>
      <c r="Z731" s="650">
        <f>VII_Model_PKZ!Z34</f>
        <v/>
      </c>
      <c r="AA731" s="650">
        <f>VII_Model_PKZ!AA34</f>
        <v/>
      </c>
      <c r="AB731" s="650">
        <f>VII_Model_PKZ!AB34</f>
        <v/>
      </c>
      <c r="AC731" s="613">
        <f>VII_Model_PKZ!AC34</f>
        <v/>
      </c>
      <c r="AD731" s="613">
        <f>VII_Model_PKZ!AD34</f>
        <v/>
      </c>
      <c r="AE731" s="613">
        <f>VII_Model_PKZ!AE34</f>
        <v/>
      </c>
      <c r="AF731" s="613">
        <f>VII_Model_PKZ!AF34</f>
        <v/>
      </c>
      <c r="AG731" s="626">
        <f>VII_Model_PKZ!AG34</f>
        <v/>
      </c>
      <c r="AH731" s="626">
        <f>VII_Model_PKZ!AH34</f>
        <v/>
      </c>
      <c r="AI731" s="626">
        <f>VII_Model_PKZ!AI34</f>
        <v/>
      </c>
      <c r="AJ731" s="626">
        <f>VII_Model_PKZ!AJ34</f>
        <v/>
      </c>
      <c r="AK731" s="626">
        <f>VII_Model_PKZ!AK34</f>
        <v/>
      </c>
      <c r="AL731" s="626">
        <f>VII_Model_PKZ!AL34</f>
        <v/>
      </c>
      <c r="AM731" s="626">
        <f>VII_Model_PKZ!AM34</f>
        <v/>
      </c>
      <c r="AN731" s="626">
        <f>VII_Model_PKZ!AN34</f>
        <v/>
      </c>
      <c r="AO731" s="626">
        <f>VII_Model_PKZ!AO34</f>
        <v/>
      </c>
      <c r="AP731" s="369">
        <f>VII_Model_PKZ!AP34</f>
        <v/>
      </c>
      <c r="AQ731" s="369">
        <f>VII_Model_PKZ!AQ34</f>
        <v/>
      </c>
      <c r="AR731" s="369">
        <f>VII_Model_PKZ!AR34</f>
        <v/>
      </c>
      <c r="AS731" s="369">
        <f>VII_Model_PKZ!AS34</f>
        <v/>
      </c>
      <c r="AT731" s="370">
        <f>VII_Model_PKZ!AT34</f>
        <v/>
      </c>
      <c r="AU731" s="370">
        <f>VII_Model_PKZ!AU34</f>
        <v/>
      </c>
      <c r="AV731" s="370">
        <f>VII_Model_PKZ!AV34</f>
        <v/>
      </c>
      <c r="AW731" s="370">
        <f>VII_Model_PKZ!AW34</f>
        <v/>
      </c>
      <c r="AX731">
        <f>VII_Model_PKZ!AX34</f>
        <v/>
      </c>
      <c r="AY731">
        <f>VII_Model_PKZ!AY34</f>
        <v/>
      </c>
      <c r="AZ731">
        <f>VII_Model_PKZ!AZ34</f>
        <v/>
      </c>
      <c r="BA731">
        <f>VII_Model_PKZ!BA34</f>
        <v/>
      </c>
      <c r="BB731">
        <f>VII_Model_PKZ!BB34</f>
        <v/>
      </c>
      <c r="BC731">
        <f>VII_Model_PKZ!BC34</f>
        <v/>
      </c>
      <c r="BD731">
        <f>VII_Model_PKZ!BD34</f>
        <v/>
      </c>
      <c r="BE731">
        <f>VII_Model_PKZ!BE34</f>
        <v/>
      </c>
      <c r="BF731">
        <f>VII_Model_PKZ!BF34</f>
        <v/>
      </c>
      <c r="BG731">
        <f>VII_Model_PKZ!BG34</f>
        <v/>
      </c>
      <c r="BH731">
        <f>VII_Model_PKZ!BH34</f>
        <v/>
      </c>
      <c r="BI731">
        <f>VII_Model_PKZ!BI34</f>
        <v/>
      </c>
      <c r="BJ731">
        <f>O731</f>
        <v/>
      </c>
      <c r="BK731">
        <f>SUM(AG731:AW731)</f>
        <v/>
      </c>
      <c r="BL731" s="531">
        <f>BJ731-BK731</f>
        <v/>
      </c>
      <c r="BM731" s="201" t="n"/>
    </row>
    <row r="732" hidden="1" outlineLevel="1" s="191">
      <c r="A732">
        <f>VII_Model_PKZ!A35</f>
        <v/>
      </c>
      <c r="B732">
        <f>VII_Model_PKZ!B35</f>
        <v/>
      </c>
      <c r="C732">
        <f>VII_Model_PKZ!C35</f>
        <v/>
      </c>
      <c r="D732">
        <f>VII_Model_PKZ!D35</f>
        <v/>
      </c>
      <c r="E732">
        <f>VII_Model_PKZ!E35</f>
        <v/>
      </c>
      <c r="F732">
        <f>VII_Model_PKZ!F35</f>
        <v/>
      </c>
      <c r="G732">
        <f>VII_Model_PKZ!G35</f>
        <v/>
      </c>
      <c r="H732">
        <f>VII_Model_PKZ!H35</f>
        <v/>
      </c>
      <c r="I732">
        <f>VII_Model_PKZ!I35</f>
        <v/>
      </c>
      <c r="J732">
        <f>VII_Model_PKZ!J35</f>
        <v/>
      </c>
      <c r="K732" s="672">
        <f>VII_Model_PKZ!K35</f>
        <v/>
      </c>
      <c r="L732" s="672">
        <f>VII_Model_PKZ!L35</f>
        <v/>
      </c>
      <c r="M732">
        <f>VII_Model_PKZ!M35</f>
        <v/>
      </c>
      <c r="N732">
        <f>VII_Model_PKZ!N35</f>
        <v/>
      </c>
      <c r="O732">
        <f>VII_Model_PKZ!O35</f>
        <v/>
      </c>
      <c r="P732" s="628">
        <f>VII_Model_PKZ!P35</f>
        <v/>
      </c>
      <c r="Q732" s="628">
        <f>VII_Model_PKZ!Q35</f>
        <v/>
      </c>
      <c r="R732" s="628">
        <f>VII_Model_PKZ!R35</f>
        <v/>
      </c>
      <c r="S732" s="628">
        <f>VII_Model_PKZ!S35</f>
        <v/>
      </c>
      <c r="T732" s="628">
        <f>VII_Model_PKZ!T35</f>
        <v/>
      </c>
      <c r="U732" s="628">
        <f>VII_Model_PKZ!U35</f>
        <v/>
      </c>
      <c r="V732" s="628">
        <f>VII_Model_PKZ!V35</f>
        <v/>
      </c>
      <c r="W732" s="628">
        <f>VII_Model_PKZ!W35</f>
        <v/>
      </c>
      <c r="X732" s="628">
        <f>VII_Model_PKZ!X35</f>
        <v/>
      </c>
      <c r="Y732" s="650">
        <f>VII_Model_PKZ!Y35</f>
        <v/>
      </c>
      <c r="Z732" s="650">
        <f>VII_Model_PKZ!Z35</f>
        <v/>
      </c>
      <c r="AA732" s="650">
        <f>VII_Model_PKZ!AA35</f>
        <v/>
      </c>
      <c r="AB732" s="650">
        <f>VII_Model_PKZ!AB35</f>
        <v/>
      </c>
      <c r="AC732" s="613">
        <f>VII_Model_PKZ!AC35</f>
        <v/>
      </c>
      <c r="AD732" s="613">
        <f>VII_Model_PKZ!AD35</f>
        <v/>
      </c>
      <c r="AE732" s="613">
        <f>VII_Model_PKZ!AE35</f>
        <v/>
      </c>
      <c r="AF732" s="613">
        <f>VII_Model_PKZ!AF35</f>
        <v/>
      </c>
      <c r="AG732" s="626">
        <f>VII_Model_PKZ!AG35</f>
        <v/>
      </c>
      <c r="AH732" s="626">
        <f>VII_Model_PKZ!AH35</f>
        <v/>
      </c>
      <c r="AI732" s="626">
        <f>VII_Model_PKZ!AI35</f>
        <v/>
      </c>
      <c r="AJ732" s="626">
        <f>VII_Model_PKZ!AJ35</f>
        <v/>
      </c>
      <c r="AK732" s="626">
        <f>VII_Model_PKZ!AK35</f>
        <v/>
      </c>
      <c r="AL732" s="626">
        <f>VII_Model_PKZ!AL35</f>
        <v/>
      </c>
      <c r="AM732" s="626">
        <f>VII_Model_PKZ!AM35</f>
        <v/>
      </c>
      <c r="AN732" s="626">
        <f>VII_Model_PKZ!AN35</f>
        <v/>
      </c>
      <c r="AO732" s="626">
        <f>VII_Model_PKZ!AO35</f>
        <v/>
      </c>
      <c r="AP732" s="369">
        <f>VII_Model_PKZ!AP35</f>
        <v/>
      </c>
      <c r="AQ732" s="369">
        <f>VII_Model_PKZ!AQ35</f>
        <v/>
      </c>
      <c r="AR732" s="369">
        <f>VII_Model_PKZ!AR35</f>
        <v/>
      </c>
      <c r="AS732" s="369">
        <f>VII_Model_PKZ!AS35</f>
        <v/>
      </c>
      <c r="AT732" s="370">
        <f>VII_Model_PKZ!AT35</f>
        <v/>
      </c>
      <c r="AU732" s="370">
        <f>VII_Model_PKZ!AU35</f>
        <v/>
      </c>
      <c r="AV732" s="370">
        <f>VII_Model_PKZ!AV35</f>
        <v/>
      </c>
      <c r="AW732" s="370">
        <f>VII_Model_PKZ!AW35</f>
        <v/>
      </c>
      <c r="AX732">
        <f>VII_Model_PKZ!AX35</f>
        <v/>
      </c>
      <c r="AY732">
        <f>VII_Model_PKZ!AY35</f>
        <v/>
      </c>
      <c r="AZ732">
        <f>VII_Model_PKZ!AZ35</f>
        <v/>
      </c>
      <c r="BA732">
        <f>VII_Model_PKZ!BA35</f>
        <v/>
      </c>
      <c r="BB732">
        <f>VII_Model_PKZ!BB35</f>
        <v/>
      </c>
      <c r="BC732">
        <f>VII_Model_PKZ!BC35</f>
        <v/>
      </c>
      <c r="BD732">
        <f>VII_Model_PKZ!BD35</f>
        <v/>
      </c>
      <c r="BE732">
        <f>VII_Model_PKZ!BE35</f>
        <v/>
      </c>
      <c r="BF732">
        <f>VII_Model_PKZ!BF35</f>
        <v/>
      </c>
      <c r="BG732">
        <f>VII_Model_PKZ!BG35</f>
        <v/>
      </c>
      <c r="BH732">
        <f>VII_Model_PKZ!BH35</f>
        <v/>
      </c>
      <c r="BI732">
        <f>VII_Model_PKZ!BI35</f>
        <v/>
      </c>
      <c r="BJ732">
        <f>O732</f>
        <v/>
      </c>
      <c r="BK732">
        <f>SUM(AG732:AW732)</f>
        <v/>
      </c>
      <c r="BL732" s="531">
        <f>BJ732-BK732</f>
        <v/>
      </c>
      <c r="BM732" s="201" t="n"/>
    </row>
    <row r="733" hidden="1" outlineLevel="1" s="191">
      <c r="A733">
        <f>VII_Model_PKZ!A36</f>
        <v/>
      </c>
      <c r="B733">
        <f>VII_Model_PKZ!B36</f>
        <v/>
      </c>
      <c r="C733">
        <f>VII_Model_PKZ!C36</f>
        <v/>
      </c>
      <c r="D733">
        <f>VII_Model_PKZ!D36</f>
        <v/>
      </c>
      <c r="E733">
        <f>VII_Model_PKZ!E36</f>
        <v/>
      </c>
      <c r="F733">
        <f>VII_Model_PKZ!F36</f>
        <v/>
      </c>
      <c r="G733">
        <f>VII_Model_PKZ!G36</f>
        <v/>
      </c>
      <c r="H733">
        <f>VII_Model_PKZ!H36</f>
        <v/>
      </c>
      <c r="I733">
        <f>VII_Model_PKZ!I36</f>
        <v/>
      </c>
      <c r="J733">
        <f>VII_Model_PKZ!J36</f>
        <v/>
      </c>
      <c r="K733" s="672">
        <f>VII_Model_PKZ!K36</f>
        <v/>
      </c>
      <c r="L733" s="672">
        <f>VII_Model_PKZ!L36</f>
        <v/>
      </c>
      <c r="M733">
        <f>VII_Model_PKZ!M36</f>
        <v/>
      </c>
      <c r="N733">
        <f>VII_Model_PKZ!N36</f>
        <v/>
      </c>
      <c r="O733">
        <f>VII_Model_PKZ!O36</f>
        <v/>
      </c>
      <c r="P733" s="628">
        <f>VII_Model_PKZ!P36</f>
        <v/>
      </c>
      <c r="Q733" s="628">
        <f>VII_Model_PKZ!Q36</f>
        <v/>
      </c>
      <c r="R733" s="628">
        <f>VII_Model_PKZ!R36</f>
        <v/>
      </c>
      <c r="S733" s="628">
        <f>VII_Model_PKZ!S36</f>
        <v/>
      </c>
      <c r="T733" s="628">
        <f>VII_Model_PKZ!T36</f>
        <v/>
      </c>
      <c r="U733" s="628">
        <f>VII_Model_PKZ!U36</f>
        <v/>
      </c>
      <c r="V733" s="628">
        <f>VII_Model_PKZ!V36</f>
        <v/>
      </c>
      <c r="W733" s="628">
        <f>VII_Model_PKZ!W36</f>
        <v/>
      </c>
      <c r="X733" s="628">
        <f>VII_Model_PKZ!X36</f>
        <v/>
      </c>
      <c r="Y733" s="650">
        <f>VII_Model_PKZ!Y36</f>
        <v/>
      </c>
      <c r="Z733" s="650">
        <f>VII_Model_PKZ!Z36</f>
        <v/>
      </c>
      <c r="AA733" s="650">
        <f>VII_Model_PKZ!AA36</f>
        <v/>
      </c>
      <c r="AB733" s="650">
        <f>VII_Model_PKZ!AB36</f>
        <v/>
      </c>
      <c r="AC733" s="613">
        <f>VII_Model_PKZ!AC36</f>
        <v/>
      </c>
      <c r="AD733" s="613">
        <f>VII_Model_PKZ!AD36</f>
        <v/>
      </c>
      <c r="AE733" s="613">
        <f>VII_Model_PKZ!AE36</f>
        <v/>
      </c>
      <c r="AF733" s="613">
        <f>VII_Model_PKZ!AF36</f>
        <v/>
      </c>
      <c r="AG733" s="626">
        <f>VII_Model_PKZ!AG36</f>
        <v/>
      </c>
      <c r="AH733" s="626">
        <f>VII_Model_PKZ!AH36</f>
        <v/>
      </c>
      <c r="AI733" s="626">
        <f>VII_Model_PKZ!AI36</f>
        <v/>
      </c>
      <c r="AJ733" s="626">
        <f>VII_Model_PKZ!AJ36</f>
        <v/>
      </c>
      <c r="AK733" s="626">
        <f>VII_Model_PKZ!AK36</f>
        <v/>
      </c>
      <c r="AL733" s="626">
        <f>VII_Model_PKZ!AL36</f>
        <v/>
      </c>
      <c r="AM733" s="626">
        <f>VII_Model_PKZ!AM36</f>
        <v/>
      </c>
      <c r="AN733" s="626">
        <f>VII_Model_PKZ!AN36</f>
        <v/>
      </c>
      <c r="AO733" s="626">
        <f>VII_Model_PKZ!AO36</f>
        <v/>
      </c>
      <c r="AP733" s="369">
        <f>VII_Model_PKZ!AP36</f>
        <v/>
      </c>
      <c r="AQ733" s="369">
        <f>VII_Model_PKZ!AQ36</f>
        <v/>
      </c>
      <c r="AR733" s="369">
        <f>VII_Model_PKZ!AR36</f>
        <v/>
      </c>
      <c r="AS733" s="369">
        <f>VII_Model_PKZ!AS36</f>
        <v/>
      </c>
      <c r="AT733" s="370">
        <f>VII_Model_PKZ!AT36</f>
        <v/>
      </c>
      <c r="AU733" s="370">
        <f>VII_Model_PKZ!AU36</f>
        <v/>
      </c>
      <c r="AV733" s="370">
        <f>VII_Model_PKZ!AV36</f>
        <v/>
      </c>
      <c r="AW733" s="370">
        <f>VII_Model_PKZ!AW36</f>
        <v/>
      </c>
      <c r="AX733">
        <f>VII_Model_PKZ!AX36</f>
        <v/>
      </c>
      <c r="AY733">
        <f>VII_Model_PKZ!AY36</f>
        <v/>
      </c>
      <c r="AZ733">
        <f>VII_Model_PKZ!AZ36</f>
        <v/>
      </c>
      <c r="BA733">
        <f>VII_Model_PKZ!BA36</f>
        <v/>
      </c>
      <c r="BB733">
        <f>VII_Model_PKZ!BB36</f>
        <v/>
      </c>
      <c r="BC733">
        <f>VII_Model_PKZ!BC36</f>
        <v/>
      </c>
      <c r="BD733">
        <f>VII_Model_PKZ!BD36</f>
        <v/>
      </c>
      <c r="BE733">
        <f>VII_Model_PKZ!BE36</f>
        <v/>
      </c>
      <c r="BF733">
        <f>VII_Model_PKZ!BF36</f>
        <v/>
      </c>
      <c r="BG733">
        <f>VII_Model_PKZ!BG36</f>
        <v/>
      </c>
      <c r="BH733">
        <f>VII_Model_PKZ!BH36</f>
        <v/>
      </c>
      <c r="BI733">
        <f>VII_Model_PKZ!BI36</f>
        <v/>
      </c>
      <c r="BJ733">
        <f>O733</f>
        <v/>
      </c>
      <c r="BK733">
        <f>SUM(AG733:AW733)</f>
        <v/>
      </c>
      <c r="BL733" s="531">
        <f>BJ733-BK733</f>
        <v/>
      </c>
      <c r="BM733" s="201" t="n"/>
    </row>
    <row r="734" hidden="1" outlineLevel="1" s="191">
      <c r="A734">
        <f>VII_Model_PKZ!A37</f>
        <v/>
      </c>
      <c r="B734">
        <f>VII_Model_PKZ!B37</f>
        <v/>
      </c>
      <c r="C734">
        <f>VII_Model_PKZ!C37</f>
        <v/>
      </c>
      <c r="D734">
        <f>VII_Model_PKZ!D37</f>
        <v/>
      </c>
      <c r="E734">
        <f>VII_Model_PKZ!E37</f>
        <v/>
      </c>
      <c r="F734">
        <f>VII_Model_PKZ!F37</f>
        <v/>
      </c>
      <c r="G734">
        <f>VII_Model_PKZ!G37</f>
        <v/>
      </c>
      <c r="H734">
        <f>VII_Model_PKZ!H37</f>
        <v/>
      </c>
      <c r="I734">
        <f>VII_Model_PKZ!I37</f>
        <v/>
      </c>
      <c r="J734">
        <f>VII_Model_PKZ!J37</f>
        <v/>
      </c>
      <c r="K734" s="672">
        <f>VII_Model_PKZ!K37</f>
        <v/>
      </c>
      <c r="L734" s="672">
        <f>VII_Model_PKZ!L37</f>
        <v/>
      </c>
      <c r="M734">
        <f>VII_Model_PKZ!M37</f>
        <v/>
      </c>
      <c r="N734">
        <f>VII_Model_PKZ!N37</f>
        <v/>
      </c>
      <c r="O734">
        <f>VII_Model_PKZ!O37</f>
        <v/>
      </c>
      <c r="P734" s="628">
        <f>VII_Model_PKZ!P37</f>
        <v/>
      </c>
      <c r="Q734" s="628">
        <f>VII_Model_PKZ!Q37</f>
        <v/>
      </c>
      <c r="R734" s="628">
        <f>VII_Model_PKZ!R37</f>
        <v/>
      </c>
      <c r="S734" s="628">
        <f>VII_Model_PKZ!S37</f>
        <v/>
      </c>
      <c r="T734" s="628">
        <f>VII_Model_PKZ!T37</f>
        <v/>
      </c>
      <c r="U734" s="628">
        <f>VII_Model_PKZ!U37</f>
        <v/>
      </c>
      <c r="V734" s="628">
        <f>VII_Model_PKZ!V37</f>
        <v/>
      </c>
      <c r="W734" s="628">
        <f>VII_Model_PKZ!W37</f>
        <v/>
      </c>
      <c r="X734" s="628">
        <f>VII_Model_PKZ!X37</f>
        <v/>
      </c>
      <c r="Y734" s="650">
        <f>VII_Model_PKZ!Y37</f>
        <v/>
      </c>
      <c r="Z734" s="650">
        <f>VII_Model_PKZ!Z37</f>
        <v/>
      </c>
      <c r="AA734" s="650">
        <f>VII_Model_PKZ!AA37</f>
        <v/>
      </c>
      <c r="AB734" s="650">
        <f>VII_Model_PKZ!AB37</f>
        <v/>
      </c>
      <c r="AC734" s="613">
        <f>VII_Model_PKZ!AC37</f>
        <v/>
      </c>
      <c r="AD734" s="613">
        <f>VII_Model_PKZ!AD37</f>
        <v/>
      </c>
      <c r="AE734" s="613">
        <f>VII_Model_PKZ!AE37</f>
        <v/>
      </c>
      <c r="AF734" s="613">
        <f>VII_Model_PKZ!AF37</f>
        <v/>
      </c>
      <c r="AG734" s="626">
        <f>VII_Model_PKZ!AG37</f>
        <v/>
      </c>
      <c r="AH734" s="626">
        <f>VII_Model_PKZ!AH37</f>
        <v/>
      </c>
      <c r="AI734" s="626">
        <f>VII_Model_PKZ!AI37</f>
        <v/>
      </c>
      <c r="AJ734" s="626">
        <f>VII_Model_PKZ!AJ37</f>
        <v/>
      </c>
      <c r="AK734" s="626">
        <f>VII_Model_PKZ!AK37</f>
        <v/>
      </c>
      <c r="AL734" s="626">
        <f>VII_Model_PKZ!AL37</f>
        <v/>
      </c>
      <c r="AM734" s="626">
        <f>VII_Model_PKZ!AM37</f>
        <v/>
      </c>
      <c r="AN734" s="626">
        <f>VII_Model_PKZ!AN37</f>
        <v/>
      </c>
      <c r="AO734" s="626">
        <f>VII_Model_PKZ!AO37</f>
        <v/>
      </c>
      <c r="AP734" s="369">
        <f>VII_Model_PKZ!AP37</f>
        <v/>
      </c>
      <c r="AQ734" s="369">
        <f>VII_Model_PKZ!AQ37</f>
        <v/>
      </c>
      <c r="AR734" s="369">
        <f>VII_Model_PKZ!AR37</f>
        <v/>
      </c>
      <c r="AS734" s="369">
        <f>VII_Model_PKZ!AS37</f>
        <v/>
      </c>
      <c r="AT734" s="370">
        <f>VII_Model_PKZ!AT37</f>
        <v/>
      </c>
      <c r="AU734" s="370">
        <f>VII_Model_PKZ!AU37</f>
        <v/>
      </c>
      <c r="AV734" s="370">
        <f>VII_Model_PKZ!AV37</f>
        <v/>
      </c>
      <c r="AW734" s="370">
        <f>VII_Model_PKZ!AW37</f>
        <v/>
      </c>
      <c r="AX734">
        <f>VII_Model_PKZ!AX37</f>
        <v/>
      </c>
      <c r="AY734">
        <f>VII_Model_PKZ!AY37</f>
        <v/>
      </c>
      <c r="AZ734">
        <f>VII_Model_PKZ!AZ37</f>
        <v/>
      </c>
      <c r="BA734">
        <f>VII_Model_PKZ!BA37</f>
        <v/>
      </c>
      <c r="BB734">
        <f>VII_Model_PKZ!BB37</f>
        <v/>
      </c>
      <c r="BC734">
        <f>VII_Model_PKZ!BC37</f>
        <v/>
      </c>
      <c r="BD734">
        <f>VII_Model_PKZ!BD37</f>
        <v/>
      </c>
      <c r="BE734">
        <f>VII_Model_PKZ!BE37</f>
        <v/>
      </c>
      <c r="BF734">
        <f>VII_Model_PKZ!BF37</f>
        <v/>
      </c>
      <c r="BG734">
        <f>VII_Model_PKZ!BG37</f>
        <v/>
      </c>
      <c r="BH734">
        <f>VII_Model_PKZ!BH37</f>
        <v/>
      </c>
      <c r="BI734">
        <f>VII_Model_PKZ!BI37</f>
        <v/>
      </c>
      <c r="BJ734">
        <f>O734</f>
        <v/>
      </c>
      <c r="BK734">
        <f>SUM(AG734:AW734)</f>
        <v/>
      </c>
      <c r="BL734" s="531">
        <f>BJ734-BK734</f>
        <v/>
      </c>
      <c r="BM734" s="201" t="n"/>
    </row>
    <row r="735" hidden="1" outlineLevel="1" s="191">
      <c r="A735">
        <f>VII_Model_PKZ!A38</f>
        <v/>
      </c>
      <c r="B735">
        <f>VII_Model_PKZ!B38</f>
        <v/>
      </c>
      <c r="C735">
        <f>VII_Model_PKZ!C38</f>
        <v/>
      </c>
      <c r="D735">
        <f>VII_Model_PKZ!D38</f>
        <v/>
      </c>
      <c r="E735">
        <f>VII_Model_PKZ!E38</f>
        <v/>
      </c>
      <c r="F735">
        <f>VII_Model_PKZ!F38</f>
        <v/>
      </c>
      <c r="G735">
        <f>VII_Model_PKZ!G38</f>
        <v/>
      </c>
      <c r="H735">
        <f>VII_Model_PKZ!H38</f>
        <v/>
      </c>
      <c r="I735">
        <f>VII_Model_PKZ!I38</f>
        <v/>
      </c>
      <c r="J735">
        <f>VII_Model_PKZ!J38</f>
        <v/>
      </c>
      <c r="K735" s="672">
        <f>VII_Model_PKZ!K38</f>
        <v/>
      </c>
      <c r="L735" s="672">
        <f>VII_Model_PKZ!L38</f>
        <v/>
      </c>
      <c r="M735">
        <f>VII_Model_PKZ!M38</f>
        <v/>
      </c>
      <c r="N735">
        <f>VII_Model_PKZ!N38</f>
        <v/>
      </c>
      <c r="O735">
        <f>VII_Model_PKZ!O38</f>
        <v/>
      </c>
      <c r="P735" s="628">
        <f>VII_Model_PKZ!P38</f>
        <v/>
      </c>
      <c r="Q735" s="628">
        <f>VII_Model_PKZ!Q38</f>
        <v/>
      </c>
      <c r="R735" s="628">
        <f>VII_Model_PKZ!R38</f>
        <v/>
      </c>
      <c r="S735" s="628">
        <f>VII_Model_PKZ!S38</f>
        <v/>
      </c>
      <c r="T735" s="628">
        <f>VII_Model_PKZ!T38</f>
        <v/>
      </c>
      <c r="U735" s="628">
        <f>VII_Model_PKZ!U38</f>
        <v/>
      </c>
      <c r="V735" s="628">
        <f>VII_Model_PKZ!V38</f>
        <v/>
      </c>
      <c r="W735" s="628">
        <f>VII_Model_PKZ!W38</f>
        <v/>
      </c>
      <c r="X735" s="628">
        <f>VII_Model_PKZ!X38</f>
        <v/>
      </c>
      <c r="Y735" s="650">
        <f>VII_Model_PKZ!Y38</f>
        <v/>
      </c>
      <c r="Z735" s="650">
        <f>VII_Model_PKZ!Z38</f>
        <v/>
      </c>
      <c r="AA735" s="650">
        <f>VII_Model_PKZ!AA38</f>
        <v/>
      </c>
      <c r="AB735" s="650">
        <f>VII_Model_PKZ!AB38</f>
        <v/>
      </c>
      <c r="AC735" s="613">
        <f>VII_Model_PKZ!AC38</f>
        <v/>
      </c>
      <c r="AD735" s="613">
        <f>VII_Model_PKZ!AD38</f>
        <v/>
      </c>
      <c r="AE735" s="613">
        <f>VII_Model_PKZ!AE38</f>
        <v/>
      </c>
      <c r="AF735" s="613">
        <f>VII_Model_PKZ!AF38</f>
        <v/>
      </c>
      <c r="AG735" s="626">
        <f>VII_Model_PKZ!AG38</f>
        <v/>
      </c>
      <c r="AH735" s="626">
        <f>VII_Model_PKZ!AH38</f>
        <v/>
      </c>
      <c r="AI735" s="626">
        <f>VII_Model_PKZ!AI38</f>
        <v/>
      </c>
      <c r="AJ735" s="626">
        <f>VII_Model_PKZ!AJ38</f>
        <v/>
      </c>
      <c r="AK735" s="626">
        <f>VII_Model_PKZ!AK38</f>
        <v/>
      </c>
      <c r="AL735" s="626">
        <f>VII_Model_PKZ!AL38</f>
        <v/>
      </c>
      <c r="AM735" s="626">
        <f>VII_Model_PKZ!AM38</f>
        <v/>
      </c>
      <c r="AN735" s="626">
        <f>VII_Model_PKZ!AN38</f>
        <v/>
      </c>
      <c r="AO735" s="626">
        <f>VII_Model_PKZ!AO38</f>
        <v/>
      </c>
      <c r="AP735" s="369">
        <f>VII_Model_PKZ!AP38</f>
        <v/>
      </c>
      <c r="AQ735" s="369">
        <f>VII_Model_PKZ!AQ38</f>
        <v/>
      </c>
      <c r="AR735" s="369">
        <f>VII_Model_PKZ!AR38</f>
        <v/>
      </c>
      <c r="AS735" s="369">
        <f>VII_Model_PKZ!AS38</f>
        <v/>
      </c>
      <c r="AT735" s="370">
        <f>VII_Model_PKZ!AT38</f>
        <v/>
      </c>
      <c r="AU735" s="370">
        <f>VII_Model_PKZ!AU38</f>
        <v/>
      </c>
      <c r="AV735" s="370">
        <f>VII_Model_PKZ!AV38</f>
        <v/>
      </c>
      <c r="AW735" s="370">
        <f>VII_Model_PKZ!AW38</f>
        <v/>
      </c>
      <c r="AX735">
        <f>VII_Model_PKZ!AX38</f>
        <v/>
      </c>
      <c r="AY735">
        <f>VII_Model_PKZ!AY38</f>
        <v/>
      </c>
      <c r="AZ735">
        <f>VII_Model_PKZ!AZ38</f>
        <v/>
      </c>
      <c r="BA735">
        <f>VII_Model_PKZ!BA38</f>
        <v/>
      </c>
      <c r="BB735">
        <f>VII_Model_PKZ!BB38</f>
        <v/>
      </c>
      <c r="BC735">
        <f>VII_Model_PKZ!BC38</f>
        <v/>
      </c>
      <c r="BD735">
        <f>VII_Model_PKZ!BD38</f>
        <v/>
      </c>
      <c r="BE735">
        <f>VII_Model_PKZ!BE38</f>
        <v/>
      </c>
      <c r="BF735">
        <f>VII_Model_PKZ!BF38</f>
        <v/>
      </c>
      <c r="BG735">
        <f>VII_Model_PKZ!BG38</f>
        <v/>
      </c>
      <c r="BH735">
        <f>VII_Model_PKZ!BH38</f>
        <v/>
      </c>
      <c r="BI735">
        <f>VII_Model_PKZ!BI38</f>
        <v/>
      </c>
      <c r="BJ735">
        <f>O735</f>
        <v/>
      </c>
      <c r="BK735">
        <f>SUM(AG735:AW735)</f>
        <v/>
      </c>
      <c r="BL735" s="531">
        <f>BJ735-BK735</f>
        <v/>
      </c>
      <c r="BM735" s="201" t="n"/>
    </row>
    <row r="736" hidden="1" outlineLevel="1" s="191">
      <c r="A736">
        <f>VII_Model_PKZ!A39</f>
        <v/>
      </c>
      <c r="B736">
        <f>VII_Model_PKZ!B39</f>
        <v/>
      </c>
      <c r="C736">
        <f>VII_Model_PKZ!C39</f>
        <v/>
      </c>
      <c r="D736">
        <f>VII_Model_PKZ!D39</f>
        <v/>
      </c>
      <c r="E736">
        <f>VII_Model_PKZ!E39</f>
        <v/>
      </c>
      <c r="F736">
        <f>VII_Model_PKZ!F39</f>
        <v/>
      </c>
      <c r="G736">
        <f>VII_Model_PKZ!G39</f>
        <v/>
      </c>
      <c r="H736">
        <f>VII_Model_PKZ!H39</f>
        <v/>
      </c>
      <c r="I736">
        <f>VII_Model_PKZ!I39</f>
        <v/>
      </c>
      <c r="J736">
        <f>VII_Model_PKZ!J39</f>
        <v/>
      </c>
      <c r="K736" s="672">
        <f>VII_Model_PKZ!K39</f>
        <v/>
      </c>
      <c r="L736" s="672">
        <f>VII_Model_PKZ!L39</f>
        <v/>
      </c>
      <c r="M736">
        <f>VII_Model_PKZ!M39</f>
        <v/>
      </c>
      <c r="N736">
        <f>VII_Model_PKZ!N39</f>
        <v/>
      </c>
      <c r="O736">
        <f>VII_Model_PKZ!O39</f>
        <v/>
      </c>
      <c r="P736" s="628">
        <f>VII_Model_PKZ!P39</f>
        <v/>
      </c>
      <c r="Q736" s="628">
        <f>VII_Model_PKZ!Q39</f>
        <v/>
      </c>
      <c r="R736" s="628">
        <f>VII_Model_PKZ!R39</f>
        <v/>
      </c>
      <c r="S736" s="628">
        <f>VII_Model_PKZ!S39</f>
        <v/>
      </c>
      <c r="T736" s="628">
        <f>VII_Model_PKZ!T39</f>
        <v/>
      </c>
      <c r="U736" s="628">
        <f>VII_Model_PKZ!U39</f>
        <v/>
      </c>
      <c r="V736" s="628">
        <f>VII_Model_PKZ!V39</f>
        <v/>
      </c>
      <c r="W736" s="628">
        <f>VII_Model_PKZ!W39</f>
        <v/>
      </c>
      <c r="X736" s="628">
        <f>VII_Model_PKZ!X39</f>
        <v/>
      </c>
      <c r="Y736" s="650">
        <f>VII_Model_PKZ!Y39</f>
        <v/>
      </c>
      <c r="Z736" s="650">
        <f>VII_Model_PKZ!Z39</f>
        <v/>
      </c>
      <c r="AA736" s="650">
        <f>VII_Model_PKZ!AA39</f>
        <v/>
      </c>
      <c r="AB736" s="650">
        <f>VII_Model_PKZ!AB39</f>
        <v/>
      </c>
      <c r="AC736" s="613">
        <f>VII_Model_PKZ!AC39</f>
        <v/>
      </c>
      <c r="AD736" s="613">
        <f>VII_Model_PKZ!AD39</f>
        <v/>
      </c>
      <c r="AE736" s="613">
        <f>VII_Model_PKZ!AE39</f>
        <v/>
      </c>
      <c r="AF736" s="613">
        <f>VII_Model_PKZ!AF39</f>
        <v/>
      </c>
      <c r="AG736" s="626">
        <f>VII_Model_PKZ!AG39</f>
        <v/>
      </c>
      <c r="AH736" s="626">
        <f>VII_Model_PKZ!AH39</f>
        <v/>
      </c>
      <c r="AI736" s="626">
        <f>VII_Model_PKZ!AI39</f>
        <v/>
      </c>
      <c r="AJ736" s="626">
        <f>VII_Model_PKZ!AJ39</f>
        <v/>
      </c>
      <c r="AK736" s="626">
        <f>VII_Model_PKZ!AK39</f>
        <v/>
      </c>
      <c r="AL736" s="626">
        <f>VII_Model_PKZ!AL39</f>
        <v/>
      </c>
      <c r="AM736" s="626">
        <f>VII_Model_PKZ!AM39</f>
        <v/>
      </c>
      <c r="AN736" s="626">
        <f>VII_Model_PKZ!AN39</f>
        <v/>
      </c>
      <c r="AO736" s="626">
        <f>VII_Model_PKZ!AO39</f>
        <v/>
      </c>
      <c r="AP736" s="369">
        <f>VII_Model_PKZ!AP39</f>
        <v/>
      </c>
      <c r="AQ736" s="369">
        <f>VII_Model_PKZ!AQ39</f>
        <v/>
      </c>
      <c r="AR736" s="369">
        <f>VII_Model_PKZ!AR39</f>
        <v/>
      </c>
      <c r="AS736" s="369">
        <f>VII_Model_PKZ!AS39</f>
        <v/>
      </c>
      <c r="AT736" s="370">
        <f>VII_Model_PKZ!AT39</f>
        <v/>
      </c>
      <c r="AU736" s="370">
        <f>VII_Model_PKZ!AU39</f>
        <v/>
      </c>
      <c r="AV736" s="370">
        <f>VII_Model_PKZ!AV39</f>
        <v/>
      </c>
      <c r="AW736" s="370">
        <f>VII_Model_PKZ!AW39</f>
        <v/>
      </c>
      <c r="AX736">
        <f>VII_Model_PKZ!AX39</f>
        <v/>
      </c>
      <c r="AY736">
        <f>VII_Model_PKZ!AY39</f>
        <v/>
      </c>
      <c r="AZ736">
        <f>VII_Model_PKZ!AZ39</f>
        <v/>
      </c>
      <c r="BA736">
        <f>VII_Model_PKZ!BA39</f>
        <v/>
      </c>
      <c r="BB736">
        <f>VII_Model_PKZ!BB39</f>
        <v/>
      </c>
      <c r="BC736">
        <f>VII_Model_PKZ!BC39</f>
        <v/>
      </c>
      <c r="BD736">
        <f>VII_Model_PKZ!BD39</f>
        <v/>
      </c>
      <c r="BE736">
        <f>VII_Model_PKZ!BE39</f>
        <v/>
      </c>
      <c r="BF736">
        <f>VII_Model_PKZ!BF39</f>
        <v/>
      </c>
      <c r="BG736">
        <f>VII_Model_PKZ!BG39</f>
        <v/>
      </c>
      <c r="BH736">
        <f>VII_Model_PKZ!BH39</f>
        <v/>
      </c>
      <c r="BI736">
        <f>VII_Model_PKZ!BI39</f>
        <v/>
      </c>
      <c r="BJ736">
        <f>O736</f>
        <v/>
      </c>
      <c r="BK736">
        <f>SUM(AG736:AW736)</f>
        <v/>
      </c>
      <c r="BL736" s="531">
        <f>BJ736-BK736</f>
        <v/>
      </c>
      <c r="BM736" s="201" t="n"/>
    </row>
    <row r="737" hidden="1" outlineLevel="1" s="191">
      <c r="A737">
        <f>VII_Model_PKZ!A40</f>
        <v/>
      </c>
      <c r="B737">
        <f>VII_Model_PKZ!B40</f>
        <v/>
      </c>
      <c r="C737">
        <f>VII_Model_PKZ!C40</f>
        <v/>
      </c>
      <c r="D737">
        <f>VII_Model_PKZ!D40</f>
        <v/>
      </c>
      <c r="E737">
        <f>VII_Model_PKZ!E40</f>
        <v/>
      </c>
      <c r="F737">
        <f>VII_Model_PKZ!F40</f>
        <v/>
      </c>
      <c r="G737">
        <f>VII_Model_PKZ!G40</f>
        <v/>
      </c>
      <c r="H737">
        <f>VII_Model_PKZ!H40</f>
        <v/>
      </c>
      <c r="I737">
        <f>VII_Model_PKZ!I40</f>
        <v/>
      </c>
      <c r="J737">
        <f>VII_Model_PKZ!J40</f>
        <v/>
      </c>
      <c r="K737" s="672">
        <f>VII_Model_PKZ!K40</f>
        <v/>
      </c>
      <c r="L737" s="672">
        <f>VII_Model_PKZ!L40</f>
        <v/>
      </c>
      <c r="M737">
        <f>VII_Model_PKZ!M40</f>
        <v/>
      </c>
      <c r="N737">
        <f>VII_Model_PKZ!N40</f>
        <v/>
      </c>
      <c r="O737">
        <f>VII_Model_PKZ!O40</f>
        <v/>
      </c>
      <c r="P737" s="628">
        <f>VII_Model_PKZ!P40</f>
        <v/>
      </c>
      <c r="Q737" s="628">
        <f>VII_Model_PKZ!Q40</f>
        <v/>
      </c>
      <c r="R737" s="628">
        <f>VII_Model_PKZ!R40</f>
        <v/>
      </c>
      <c r="S737" s="628">
        <f>VII_Model_PKZ!S40</f>
        <v/>
      </c>
      <c r="T737" s="628">
        <f>VII_Model_PKZ!T40</f>
        <v/>
      </c>
      <c r="U737" s="628">
        <f>VII_Model_PKZ!U40</f>
        <v/>
      </c>
      <c r="V737" s="628">
        <f>VII_Model_PKZ!V40</f>
        <v/>
      </c>
      <c r="W737" s="628">
        <f>VII_Model_PKZ!W40</f>
        <v/>
      </c>
      <c r="X737" s="628">
        <f>VII_Model_PKZ!X40</f>
        <v/>
      </c>
      <c r="Y737" s="650">
        <f>VII_Model_PKZ!Y40</f>
        <v/>
      </c>
      <c r="Z737" s="650">
        <f>VII_Model_PKZ!Z40</f>
        <v/>
      </c>
      <c r="AA737" s="650">
        <f>VII_Model_PKZ!AA40</f>
        <v/>
      </c>
      <c r="AB737" s="650">
        <f>VII_Model_PKZ!AB40</f>
        <v/>
      </c>
      <c r="AC737" s="613">
        <f>VII_Model_PKZ!AC40</f>
        <v/>
      </c>
      <c r="AD737" s="613">
        <f>VII_Model_PKZ!AD40</f>
        <v/>
      </c>
      <c r="AE737" s="613">
        <f>VII_Model_PKZ!AE40</f>
        <v/>
      </c>
      <c r="AF737" s="613">
        <f>VII_Model_PKZ!AF40</f>
        <v/>
      </c>
      <c r="AG737" s="626">
        <f>VII_Model_PKZ!AG40</f>
        <v/>
      </c>
      <c r="AH737" s="626">
        <f>VII_Model_PKZ!AH40</f>
        <v/>
      </c>
      <c r="AI737" s="626">
        <f>VII_Model_PKZ!AI40</f>
        <v/>
      </c>
      <c r="AJ737" s="626">
        <f>VII_Model_PKZ!AJ40</f>
        <v/>
      </c>
      <c r="AK737" s="626">
        <f>VII_Model_PKZ!AK40</f>
        <v/>
      </c>
      <c r="AL737" s="626">
        <f>VII_Model_PKZ!AL40</f>
        <v/>
      </c>
      <c r="AM737" s="626">
        <f>VII_Model_PKZ!AM40</f>
        <v/>
      </c>
      <c r="AN737" s="626">
        <f>VII_Model_PKZ!AN40</f>
        <v/>
      </c>
      <c r="AO737" s="626">
        <f>VII_Model_PKZ!AO40</f>
        <v/>
      </c>
      <c r="AP737" s="369">
        <f>VII_Model_PKZ!AP40</f>
        <v/>
      </c>
      <c r="AQ737" s="369">
        <f>VII_Model_PKZ!AQ40</f>
        <v/>
      </c>
      <c r="AR737" s="369">
        <f>VII_Model_PKZ!AR40</f>
        <v/>
      </c>
      <c r="AS737" s="369">
        <f>VII_Model_PKZ!AS40</f>
        <v/>
      </c>
      <c r="AT737" s="370">
        <f>VII_Model_PKZ!AT40</f>
        <v/>
      </c>
      <c r="AU737" s="370">
        <f>VII_Model_PKZ!AU40</f>
        <v/>
      </c>
      <c r="AV737" s="370">
        <f>VII_Model_PKZ!AV40</f>
        <v/>
      </c>
      <c r="AW737" s="370">
        <f>VII_Model_PKZ!AW40</f>
        <v/>
      </c>
      <c r="AX737">
        <f>VII_Model_PKZ!AX40</f>
        <v/>
      </c>
      <c r="AY737">
        <f>VII_Model_PKZ!AY40</f>
        <v/>
      </c>
      <c r="AZ737">
        <f>VII_Model_PKZ!AZ40</f>
        <v/>
      </c>
      <c r="BA737">
        <f>VII_Model_PKZ!BA40</f>
        <v/>
      </c>
      <c r="BB737">
        <f>VII_Model_PKZ!BB40</f>
        <v/>
      </c>
      <c r="BC737">
        <f>VII_Model_PKZ!BC40</f>
        <v/>
      </c>
      <c r="BD737">
        <f>VII_Model_PKZ!BD40</f>
        <v/>
      </c>
      <c r="BE737">
        <f>VII_Model_PKZ!BE40</f>
        <v/>
      </c>
      <c r="BF737">
        <f>VII_Model_PKZ!BF40</f>
        <v/>
      </c>
      <c r="BG737">
        <f>VII_Model_PKZ!BG40</f>
        <v/>
      </c>
      <c r="BH737">
        <f>VII_Model_PKZ!BH40</f>
        <v/>
      </c>
      <c r="BI737">
        <f>VII_Model_PKZ!BI40</f>
        <v/>
      </c>
      <c r="BJ737">
        <f>O737</f>
        <v/>
      </c>
      <c r="BK737">
        <f>SUM(AG737:AW737)</f>
        <v/>
      </c>
      <c r="BL737" s="531">
        <f>BJ737-BK737</f>
        <v/>
      </c>
      <c r="BM737" s="201" t="n"/>
    </row>
    <row r="738" hidden="1" outlineLevel="1" s="191">
      <c r="A738">
        <f>VII_Model_PKZ!A41</f>
        <v/>
      </c>
      <c r="B738">
        <f>VII_Model_PKZ!B41</f>
        <v/>
      </c>
      <c r="C738">
        <f>VII_Model_PKZ!C41</f>
        <v/>
      </c>
      <c r="D738">
        <f>VII_Model_PKZ!D41</f>
        <v/>
      </c>
      <c r="E738">
        <f>VII_Model_PKZ!E41</f>
        <v/>
      </c>
      <c r="F738">
        <f>VII_Model_PKZ!F41</f>
        <v/>
      </c>
      <c r="G738">
        <f>VII_Model_PKZ!G41</f>
        <v/>
      </c>
      <c r="H738">
        <f>VII_Model_PKZ!H41</f>
        <v/>
      </c>
      <c r="I738">
        <f>VII_Model_PKZ!I41</f>
        <v/>
      </c>
      <c r="J738">
        <f>VII_Model_PKZ!J41</f>
        <v/>
      </c>
      <c r="K738" s="672">
        <f>VII_Model_PKZ!K41</f>
        <v/>
      </c>
      <c r="L738" s="672">
        <f>VII_Model_PKZ!L41</f>
        <v/>
      </c>
      <c r="M738">
        <f>VII_Model_PKZ!M41</f>
        <v/>
      </c>
      <c r="N738">
        <f>VII_Model_PKZ!N41</f>
        <v/>
      </c>
      <c r="O738">
        <f>VII_Model_PKZ!O41</f>
        <v/>
      </c>
      <c r="P738" s="628">
        <f>VII_Model_PKZ!P41</f>
        <v/>
      </c>
      <c r="Q738" s="628">
        <f>VII_Model_PKZ!Q41</f>
        <v/>
      </c>
      <c r="R738" s="628">
        <f>VII_Model_PKZ!R41</f>
        <v/>
      </c>
      <c r="S738" s="628">
        <f>VII_Model_PKZ!S41</f>
        <v/>
      </c>
      <c r="T738" s="628">
        <f>VII_Model_PKZ!T41</f>
        <v/>
      </c>
      <c r="U738" s="628">
        <f>VII_Model_PKZ!U41</f>
        <v/>
      </c>
      <c r="V738" s="628">
        <f>VII_Model_PKZ!V41</f>
        <v/>
      </c>
      <c r="W738" s="628">
        <f>VII_Model_PKZ!W41</f>
        <v/>
      </c>
      <c r="X738" s="628">
        <f>VII_Model_PKZ!X41</f>
        <v/>
      </c>
      <c r="Y738" s="650">
        <f>VII_Model_PKZ!Y41</f>
        <v/>
      </c>
      <c r="Z738" s="650">
        <f>VII_Model_PKZ!Z41</f>
        <v/>
      </c>
      <c r="AA738" s="650">
        <f>VII_Model_PKZ!AA41</f>
        <v/>
      </c>
      <c r="AB738" s="650">
        <f>VII_Model_PKZ!AB41</f>
        <v/>
      </c>
      <c r="AC738" s="613">
        <f>VII_Model_PKZ!AC41</f>
        <v/>
      </c>
      <c r="AD738" s="613">
        <f>VII_Model_PKZ!AD41</f>
        <v/>
      </c>
      <c r="AE738" s="613">
        <f>VII_Model_PKZ!AE41</f>
        <v/>
      </c>
      <c r="AF738" s="613">
        <f>VII_Model_PKZ!AF41</f>
        <v/>
      </c>
      <c r="AG738" s="626">
        <f>VII_Model_PKZ!AG41</f>
        <v/>
      </c>
      <c r="AH738" s="626">
        <f>VII_Model_PKZ!AH41</f>
        <v/>
      </c>
      <c r="AI738" s="626">
        <f>VII_Model_PKZ!AI41</f>
        <v/>
      </c>
      <c r="AJ738" s="626">
        <f>VII_Model_PKZ!AJ41</f>
        <v/>
      </c>
      <c r="AK738" s="626">
        <f>VII_Model_PKZ!AK41</f>
        <v/>
      </c>
      <c r="AL738" s="626">
        <f>VII_Model_PKZ!AL41</f>
        <v/>
      </c>
      <c r="AM738" s="626">
        <f>VII_Model_PKZ!AM41</f>
        <v/>
      </c>
      <c r="AN738" s="626">
        <f>VII_Model_PKZ!AN41</f>
        <v/>
      </c>
      <c r="AO738" s="626">
        <f>VII_Model_PKZ!AO41</f>
        <v/>
      </c>
      <c r="AP738" s="369">
        <f>VII_Model_PKZ!AP41</f>
        <v/>
      </c>
      <c r="AQ738" s="369">
        <f>VII_Model_PKZ!AQ41</f>
        <v/>
      </c>
      <c r="AR738" s="369">
        <f>VII_Model_PKZ!AR41</f>
        <v/>
      </c>
      <c r="AS738" s="369">
        <f>VII_Model_PKZ!AS41</f>
        <v/>
      </c>
      <c r="AT738" s="370">
        <f>VII_Model_PKZ!AT41</f>
        <v/>
      </c>
      <c r="AU738" s="370">
        <f>VII_Model_PKZ!AU41</f>
        <v/>
      </c>
      <c r="AV738" s="370">
        <f>VII_Model_PKZ!AV41</f>
        <v/>
      </c>
      <c r="AW738" s="370">
        <f>VII_Model_PKZ!AW41</f>
        <v/>
      </c>
      <c r="AX738">
        <f>VII_Model_PKZ!AX41</f>
        <v/>
      </c>
      <c r="AY738">
        <f>VII_Model_PKZ!AY41</f>
        <v/>
      </c>
      <c r="AZ738">
        <f>VII_Model_PKZ!AZ41</f>
        <v/>
      </c>
      <c r="BA738">
        <f>VII_Model_PKZ!BA41</f>
        <v/>
      </c>
      <c r="BB738">
        <f>VII_Model_PKZ!BB41</f>
        <v/>
      </c>
      <c r="BC738">
        <f>VII_Model_PKZ!BC41</f>
        <v/>
      </c>
      <c r="BD738">
        <f>VII_Model_PKZ!BD41</f>
        <v/>
      </c>
      <c r="BE738">
        <f>VII_Model_PKZ!BE41</f>
        <v/>
      </c>
      <c r="BF738">
        <f>VII_Model_PKZ!BF41</f>
        <v/>
      </c>
      <c r="BG738">
        <f>VII_Model_PKZ!BG41</f>
        <v/>
      </c>
      <c r="BH738">
        <f>VII_Model_PKZ!BH41</f>
        <v/>
      </c>
      <c r="BI738">
        <f>VII_Model_PKZ!BI41</f>
        <v/>
      </c>
      <c r="BJ738">
        <f>O738</f>
        <v/>
      </c>
      <c r="BK738">
        <f>SUM(AG738:AW738)</f>
        <v/>
      </c>
      <c r="BL738" s="531">
        <f>BJ738-BK738</f>
        <v/>
      </c>
      <c r="BM738" s="201" t="n"/>
    </row>
    <row r="739" hidden="1" outlineLevel="1" s="191">
      <c r="A739">
        <f>VII_Model_PKZ!A42</f>
        <v/>
      </c>
      <c r="B739">
        <f>VII_Model_PKZ!B42</f>
        <v/>
      </c>
      <c r="C739">
        <f>VII_Model_PKZ!C42</f>
        <v/>
      </c>
      <c r="D739">
        <f>VII_Model_PKZ!D42</f>
        <v/>
      </c>
      <c r="E739">
        <f>VII_Model_PKZ!E42</f>
        <v/>
      </c>
      <c r="F739">
        <f>VII_Model_PKZ!F42</f>
        <v/>
      </c>
      <c r="G739">
        <f>VII_Model_PKZ!G42</f>
        <v/>
      </c>
      <c r="H739">
        <f>VII_Model_PKZ!H42</f>
        <v/>
      </c>
      <c r="I739">
        <f>VII_Model_PKZ!I42</f>
        <v/>
      </c>
      <c r="J739">
        <f>VII_Model_PKZ!J42</f>
        <v/>
      </c>
      <c r="K739" s="672">
        <f>VII_Model_PKZ!K42</f>
        <v/>
      </c>
      <c r="L739" s="672">
        <f>VII_Model_PKZ!L42</f>
        <v/>
      </c>
      <c r="M739">
        <f>VII_Model_PKZ!M42</f>
        <v/>
      </c>
      <c r="N739">
        <f>VII_Model_PKZ!N42</f>
        <v/>
      </c>
      <c r="O739">
        <f>VII_Model_PKZ!O42</f>
        <v/>
      </c>
      <c r="P739" s="628">
        <f>VII_Model_PKZ!P42</f>
        <v/>
      </c>
      <c r="Q739" s="628">
        <f>VII_Model_PKZ!Q42</f>
        <v/>
      </c>
      <c r="R739" s="628">
        <f>VII_Model_PKZ!R42</f>
        <v/>
      </c>
      <c r="S739" s="628">
        <f>VII_Model_PKZ!S42</f>
        <v/>
      </c>
      <c r="T739" s="628">
        <f>VII_Model_PKZ!T42</f>
        <v/>
      </c>
      <c r="U739" s="628">
        <f>VII_Model_PKZ!U42</f>
        <v/>
      </c>
      <c r="V739" s="628">
        <f>VII_Model_PKZ!V42</f>
        <v/>
      </c>
      <c r="W739" s="628">
        <f>VII_Model_PKZ!W42</f>
        <v/>
      </c>
      <c r="X739" s="628">
        <f>VII_Model_PKZ!X42</f>
        <v/>
      </c>
      <c r="Y739" s="650">
        <f>VII_Model_PKZ!Y42</f>
        <v/>
      </c>
      <c r="Z739" s="650">
        <f>VII_Model_PKZ!Z42</f>
        <v/>
      </c>
      <c r="AA739" s="650">
        <f>VII_Model_PKZ!AA42</f>
        <v/>
      </c>
      <c r="AB739" s="650">
        <f>VII_Model_PKZ!AB42</f>
        <v/>
      </c>
      <c r="AC739" s="613">
        <f>VII_Model_PKZ!AC42</f>
        <v/>
      </c>
      <c r="AD739" s="613">
        <f>VII_Model_PKZ!AD42</f>
        <v/>
      </c>
      <c r="AE739" s="613">
        <f>VII_Model_PKZ!AE42</f>
        <v/>
      </c>
      <c r="AF739" s="613">
        <f>VII_Model_PKZ!AF42</f>
        <v/>
      </c>
      <c r="AG739" s="626">
        <f>VII_Model_PKZ!AG42</f>
        <v/>
      </c>
      <c r="AH739" s="626">
        <f>VII_Model_PKZ!AH42</f>
        <v/>
      </c>
      <c r="AI739" s="626">
        <f>VII_Model_PKZ!AI42</f>
        <v/>
      </c>
      <c r="AJ739" s="626">
        <f>VII_Model_PKZ!AJ42</f>
        <v/>
      </c>
      <c r="AK739" s="626">
        <f>VII_Model_PKZ!AK42</f>
        <v/>
      </c>
      <c r="AL739" s="626">
        <f>VII_Model_PKZ!AL42</f>
        <v/>
      </c>
      <c r="AM739" s="626">
        <f>VII_Model_PKZ!AM42</f>
        <v/>
      </c>
      <c r="AN739" s="626">
        <f>VII_Model_PKZ!AN42</f>
        <v/>
      </c>
      <c r="AO739" s="626">
        <f>VII_Model_PKZ!AO42</f>
        <v/>
      </c>
      <c r="AP739" s="369">
        <f>VII_Model_PKZ!AP42</f>
        <v/>
      </c>
      <c r="AQ739" s="369">
        <f>VII_Model_PKZ!AQ42</f>
        <v/>
      </c>
      <c r="AR739" s="369">
        <f>VII_Model_PKZ!AR42</f>
        <v/>
      </c>
      <c r="AS739" s="369">
        <f>VII_Model_PKZ!AS42</f>
        <v/>
      </c>
      <c r="AT739" s="370">
        <f>VII_Model_PKZ!AT42</f>
        <v/>
      </c>
      <c r="AU739" s="370">
        <f>VII_Model_PKZ!AU42</f>
        <v/>
      </c>
      <c r="AV739" s="370">
        <f>VII_Model_PKZ!AV42</f>
        <v/>
      </c>
      <c r="AW739" s="370">
        <f>VII_Model_PKZ!AW42</f>
        <v/>
      </c>
      <c r="AX739">
        <f>VII_Model_PKZ!AX42</f>
        <v/>
      </c>
      <c r="AY739">
        <f>VII_Model_PKZ!AY42</f>
        <v/>
      </c>
      <c r="AZ739">
        <f>VII_Model_PKZ!AZ42</f>
        <v/>
      </c>
      <c r="BA739">
        <f>VII_Model_PKZ!BA42</f>
        <v/>
      </c>
      <c r="BB739">
        <f>VII_Model_PKZ!BB42</f>
        <v/>
      </c>
      <c r="BC739">
        <f>VII_Model_PKZ!BC42</f>
        <v/>
      </c>
      <c r="BD739">
        <f>VII_Model_PKZ!BD42</f>
        <v/>
      </c>
      <c r="BE739">
        <f>VII_Model_PKZ!BE42</f>
        <v/>
      </c>
      <c r="BF739">
        <f>VII_Model_PKZ!BF42</f>
        <v/>
      </c>
      <c r="BG739">
        <f>VII_Model_PKZ!BG42</f>
        <v/>
      </c>
      <c r="BH739">
        <f>VII_Model_PKZ!BH42</f>
        <v/>
      </c>
      <c r="BI739">
        <f>VII_Model_PKZ!BI42</f>
        <v/>
      </c>
      <c r="BJ739">
        <f>O739</f>
        <v/>
      </c>
      <c r="BK739">
        <f>SUM(AG739:AW739)</f>
        <v/>
      </c>
      <c r="BL739" s="531">
        <f>BJ739-BK739</f>
        <v/>
      </c>
      <c r="BM739" s="201" t="n"/>
    </row>
    <row r="740" hidden="1" outlineLevel="1" s="191">
      <c r="A740">
        <f>VII_Model_PKZ!A43</f>
        <v/>
      </c>
      <c r="B740">
        <f>VII_Model_PKZ!B43</f>
        <v/>
      </c>
      <c r="C740">
        <f>VII_Model_PKZ!C43</f>
        <v/>
      </c>
      <c r="D740">
        <f>VII_Model_PKZ!D43</f>
        <v/>
      </c>
      <c r="E740">
        <f>VII_Model_PKZ!E43</f>
        <v/>
      </c>
      <c r="F740">
        <f>VII_Model_PKZ!F43</f>
        <v/>
      </c>
      <c r="G740">
        <f>VII_Model_PKZ!G43</f>
        <v/>
      </c>
      <c r="H740">
        <f>VII_Model_PKZ!H43</f>
        <v/>
      </c>
      <c r="I740">
        <f>VII_Model_PKZ!I43</f>
        <v/>
      </c>
      <c r="J740">
        <f>VII_Model_PKZ!J43</f>
        <v/>
      </c>
      <c r="K740" s="672">
        <f>VII_Model_PKZ!K43</f>
        <v/>
      </c>
      <c r="L740" s="672">
        <f>VII_Model_PKZ!L43</f>
        <v/>
      </c>
      <c r="M740">
        <f>VII_Model_PKZ!M43</f>
        <v/>
      </c>
      <c r="N740">
        <f>VII_Model_PKZ!N43</f>
        <v/>
      </c>
      <c r="O740">
        <f>VII_Model_PKZ!O43</f>
        <v/>
      </c>
      <c r="P740" s="628">
        <f>VII_Model_PKZ!P43</f>
        <v/>
      </c>
      <c r="Q740" s="628">
        <f>VII_Model_PKZ!Q43</f>
        <v/>
      </c>
      <c r="R740" s="628">
        <f>VII_Model_PKZ!R43</f>
        <v/>
      </c>
      <c r="S740" s="628">
        <f>VII_Model_PKZ!S43</f>
        <v/>
      </c>
      <c r="T740" s="628">
        <f>VII_Model_PKZ!T43</f>
        <v/>
      </c>
      <c r="U740" s="628">
        <f>VII_Model_PKZ!U43</f>
        <v/>
      </c>
      <c r="V740" s="628">
        <f>VII_Model_PKZ!V43</f>
        <v/>
      </c>
      <c r="W740" s="628">
        <f>VII_Model_PKZ!W43</f>
        <v/>
      </c>
      <c r="X740" s="628">
        <f>VII_Model_PKZ!X43</f>
        <v/>
      </c>
      <c r="Y740" s="650">
        <f>VII_Model_PKZ!Y43</f>
        <v/>
      </c>
      <c r="Z740" s="650">
        <f>VII_Model_PKZ!Z43</f>
        <v/>
      </c>
      <c r="AA740" s="650">
        <f>VII_Model_PKZ!AA43</f>
        <v/>
      </c>
      <c r="AB740" s="650">
        <f>VII_Model_PKZ!AB43</f>
        <v/>
      </c>
      <c r="AC740" s="613">
        <f>VII_Model_PKZ!AC43</f>
        <v/>
      </c>
      <c r="AD740" s="613">
        <f>VII_Model_PKZ!AD43</f>
        <v/>
      </c>
      <c r="AE740" s="613">
        <f>VII_Model_PKZ!AE43</f>
        <v/>
      </c>
      <c r="AF740" s="613">
        <f>VII_Model_PKZ!AF43</f>
        <v/>
      </c>
      <c r="AG740" s="626">
        <f>VII_Model_PKZ!AG43</f>
        <v/>
      </c>
      <c r="AH740" s="626">
        <f>VII_Model_PKZ!AH43</f>
        <v/>
      </c>
      <c r="AI740" s="626">
        <f>VII_Model_PKZ!AI43</f>
        <v/>
      </c>
      <c r="AJ740" s="626">
        <f>VII_Model_PKZ!AJ43</f>
        <v/>
      </c>
      <c r="AK740" s="626">
        <f>VII_Model_PKZ!AK43</f>
        <v/>
      </c>
      <c r="AL740" s="626">
        <f>VII_Model_PKZ!AL43</f>
        <v/>
      </c>
      <c r="AM740" s="626">
        <f>VII_Model_PKZ!AM43</f>
        <v/>
      </c>
      <c r="AN740" s="626">
        <f>VII_Model_PKZ!AN43</f>
        <v/>
      </c>
      <c r="AO740" s="626">
        <f>VII_Model_PKZ!AO43</f>
        <v/>
      </c>
      <c r="AP740" s="369">
        <f>VII_Model_PKZ!AP43</f>
        <v/>
      </c>
      <c r="AQ740" s="369">
        <f>VII_Model_PKZ!AQ43</f>
        <v/>
      </c>
      <c r="AR740" s="369">
        <f>VII_Model_PKZ!AR43</f>
        <v/>
      </c>
      <c r="AS740" s="369">
        <f>VII_Model_PKZ!AS43</f>
        <v/>
      </c>
      <c r="AT740" s="370">
        <f>VII_Model_PKZ!AT43</f>
        <v/>
      </c>
      <c r="AU740" s="370">
        <f>VII_Model_PKZ!AU43</f>
        <v/>
      </c>
      <c r="AV740" s="370">
        <f>VII_Model_PKZ!AV43</f>
        <v/>
      </c>
      <c r="AW740" s="370">
        <f>VII_Model_PKZ!AW43</f>
        <v/>
      </c>
      <c r="AX740">
        <f>VII_Model_PKZ!AX43</f>
        <v/>
      </c>
      <c r="AY740">
        <f>VII_Model_PKZ!AY43</f>
        <v/>
      </c>
      <c r="AZ740">
        <f>VII_Model_PKZ!AZ43</f>
        <v/>
      </c>
      <c r="BA740">
        <f>VII_Model_PKZ!BA43</f>
        <v/>
      </c>
      <c r="BB740">
        <f>VII_Model_PKZ!BB43</f>
        <v/>
      </c>
      <c r="BC740">
        <f>VII_Model_PKZ!BC43</f>
        <v/>
      </c>
      <c r="BD740">
        <f>VII_Model_PKZ!BD43</f>
        <v/>
      </c>
      <c r="BE740">
        <f>VII_Model_PKZ!BE43</f>
        <v/>
      </c>
      <c r="BF740">
        <f>VII_Model_PKZ!BF43</f>
        <v/>
      </c>
      <c r="BG740">
        <f>VII_Model_PKZ!BG43</f>
        <v/>
      </c>
      <c r="BH740">
        <f>VII_Model_PKZ!BH43</f>
        <v/>
      </c>
      <c r="BI740">
        <f>VII_Model_PKZ!BI43</f>
        <v/>
      </c>
      <c r="BJ740">
        <f>O740</f>
        <v/>
      </c>
      <c r="BK740">
        <f>SUM(AG740:AW740)</f>
        <v/>
      </c>
      <c r="BL740" s="531">
        <f>BJ740-BK740</f>
        <v/>
      </c>
      <c r="BM740" s="201" t="n"/>
    </row>
    <row r="741" hidden="1" outlineLevel="1" s="191">
      <c r="A741">
        <f>VII_Model_PKZ!A44</f>
        <v/>
      </c>
      <c r="B741">
        <f>VII_Model_PKZ!B44</f>
        <v/>
      </c>
      <c r="C741">
        <f>VII_Model_PKZ!C44</f>
        <v/>
      </c>
      <c r="D741">
        <f>VII_Model_PKZ!D44</f>
        <v/>
      </c>
      <c r="E741">
        <f>VII_Model_PKZ!E44</f>
        <v/>
      </c>
      <c r="F741">
        <f>VII_Model_PKZ!F44</f>
        <v/>
      </c>
      <c r="G741">
        <f>VII_Model_PKZ!G44</f>
        <v/>
      </c>
      <c r="H741">
        <f>VII_Model_PKZ!H44</f>
        <v/>
      </c>
      <c r="I741">
        <f>VII_Model_PKZ!I44</f>
        <v/>
      </c>
      <c r="J741">
        <f>VII_Model_PKZ!J44</f>
        <v/>
      </c>
      <c r="K741" s="672">
        <f>VII_Model_PKZ!K44</f>
        <v/>
      </c>
      <c r="L741" s="672">
        <f>VII_Model_PKZ!L44</f>
        <v/>
      </c>
      <c r="M741">
        <f>VII_Model_PKZ!M44</f>
        <v/>
      </c>
      <c r="N741">
        <f>VII_Model_PKZ!N44</f>
        <v/>
      </c>
      <c r="O741">
        <f>VII_Model_PKZ!O44</f>
        <v/>
      </c>
      <c r="P741" s="628">
        <f>VII_Model_PKZ!P44</f>
        <v/>
      </c>
      <c r="Q741" s="628">
        <f>VII_Model_PKZ!Q44</f>
        <v/>
      </c>
      <c r="R741" s="628">
        <f>VII_Model_PKZ!R44</f>
        <v/>
      </c>
      <c r="S741" s="628">
        <f>VII_Model_PKZ!S44</f>
        <v/>
      </c>
      <c r="T741" s="628">
        <f>VII_Model_PKZ!T44</f>
        <v/>
      </c>
      <c r="U741" s="628">
        <f>VII_Model_PKZ!U44</f>
        <v/>
      </c>
      <c r="V741" s="628">
        <f>VII_Model_PKZ!V44</f>
        <v/>
      </c>
      <c r="W741" s="628">
        <f>VII_Model_PKZ!W44</f>
        <v/>
      </c>
      <c r="X741" s="628">
        <f>VII_Model_PKZ!X44</f>
        <v/>
      </c>
      <c r="Y741" s="650">
        <f>VII_Model_PKZ!Y44</f>
        <v/>
      </c>
      <c r="Z741" s="650">
        <f>VII_Model_PKZ!Z44</f>
        <v/>
      </c>
      <c r="AA741" s="650">
        <f>VII_Model_PKZ!AA44</f>
        <v/>
      </c>
      <c r="AB741" s="650">
        <f>VII_Model_PKZ!AB44</f>
        <v/>
      </c>
      <c r="AC741" s="613">
        <f>VII_Model_PKZ!AC44</f>
        <v/>
      </c>
      <c r="AD741" s="613">
        <f>VII_Model_PKZ!AD44</f>
        <v/>
      </c>
      <c r="AE741" s="613">
        <f>VII_Model_PKZ!AE44</f>
        <v/>
      </c>
      <c r="AF741" s="613">
        <f>VII_Model_PKZ!AF44</f>
        <v/>
      </c>
      <c r="AG741" s="626">
        <f>VII_Model_PKZ!AG44</f>
        <v/>
      </c>
      <c r="AH741" s="626">
        <f>VII_Model_PKZ!AH44</f>
        <v/>
      </c>
      <c r="AI741" s="626">
        <f>VII_Model_PKZ!AI44</f>
        <v/>
      </c>
      <c r="AJ741" s="626">
        <f>VII_Model_PKZ!AJ44</f>
        <v/>
      </c>
      <c r="AK741" s="626">
        <f>VII_Model_PKZ!AK44</f>
        <v/>
      </c>
      <c r="AL741" s="626">
        <f>VII_Model_PKZ!AL44</f>
        <v/>
      </c>
      <c r="AM741" s="626">
        <f>VII_Model_PKZ!AM44</f>
        <v/>
      </c>
      <c r="AN741" s="626">
        <f>VII_Model_PKZ!AN44</f>
        <v/>
      </c>
      <c r="AO741" s="626">
        <f>VII_Model_PKZ!AO44</f>
        <v/>
      </c>
      <c r="AP741" s="369">
        <f>VII_Model_PKZ!AP44</f>
        <v/>
      </c>
      <c r="AQ741" s="369">
        <f>VII_Model_PKZ!AQ44</f>
        <v/>
      </c>
      <c r="AR741" s="369">
        <f>VII_Model_PKZ!AR44</f>
        <v/>
      </c>
      <c r="AS741" s="369">
        <f>VII_Model_PKZ!AS44</f>
        <v/>
      </c>
      <c r="AT741" s="370">
        <f>VII_Model_PKZ!AT44</f>
        <v/>
      </c>
      <c r="AU741" s="370">
        <f>VII_Model_PKZ!AU44</f>
        <v/>
      </c>
      <c r="AV741" s="370">
        <f>VII_Model_PKZ!AV44</f>
        <v/>
      </c>
      <c r="AW741" s="370">
        <f>VII_Model_PKZ!AW44</f>
        <v/>
      </c>
      <c r="AX741">
        <f>VII_Model_PKZ!AX44</f>
        <v/>
      </c>
      <c r="AY741">
        <f>VII_Model_PKZ!AY44</f>
        <v/>
      </c>
      <c r="AZ741">
        <f>VII_Model_PKZ!AZ44</f>
        <v/>
      </c>
      <c r="BA741">
        <f>VII_Model_PKZ!BA44</f>
        <v/>
      </c>
      <c r="BB741">
        <f>VII_Model_PKZ!BB44</f>
        <v/>
      </c>
      <c r="BC741">
        <f>VII_Model_PKZ!BC44</f>
        <v/>
      </c>
      <c r="BD741">
        <f>VII_Model_PKZ!BD44</f>
        <v/>
      </c>
      <c r="BE741">
        <f>VII_Model_PKZ!BE44</f>
        <v/>
      </c>
      <c r="BF741">
        <f>VII_Model_PKZ!BF44</f>
        <v/>
      </c>
      <c r="BG741">
        <f>VII_Model_PKZ!BG44</f>
        <v/>
      </c>
      <c r="BH741">
        <f>VII_Model_PKZ!BH44</f>
        <v/>
      </c>
      <c r="BI741">
        <f>VII_Model_PKZ!BI44</f>
        <v/>
      </c>
      <c r="BJ741">
        <f>O741</f>
        <v/>
      </c>
      <c r="BK741">
        <f>SUM(AG741:AW741)</f>
        <v/>
      </c>
      <c r="BL741" s="531">
        <f>BJ741-BK741</f>
        <v/>
      </c>
      <c r="BM741" s="201" t="n"/>
    </row>
    <row r="742" hidden="1" outlineLevel="1" s="191">
      <c r="A742">
        <f>VII_Model_PKZ!A45</f>
        <v/>
      </c>
      <c r="B742">
        <f>VII_Model_PKZ!B45</f>
        <v/>
      </c>
      <c r="C742">
        <f>VII_Model_PKZ!C45</f>
        <v/>
      </c>
      <c r="D742">
        <f>VII_Model_PKZ!D45</f>
        <v/>
      </c>
      <c r="E742">
        <f>VII_Model_PKZ!E45</f>
        <v/>
      </c>
      <c r="F742">
        <f>VII_Model_PKZ!F45</f>
        <v/>
      </c>
      <c r="G742">
        <f>VII_Model_PKZ!G45</f>
        <v/>
      </c>
      <c r="H742">
        <f>VII_Model_PKZ!H45</f>
        <v/>
      </c>
      <c r="I742">
        <f>VII_Model_PKZ!I45</f>
        <v/>
      </c>
      <c r="J742">
        <f>VII_Model_PKZ!J45</f>
        <v/>
      </c>
      <c r="K742" s="672">
        <f>VII_Model_PKZ!K45</f>
        <v/>
      </c>
      <c r="L742" s="672">
        <f>VII_Model_PKZ!L45</f>
        <v/>
      </c>
      <c r="M742">
        <f>VII_Model_PKZ!M45</f>
        <v/>
      </c>
      <c r="N742">
        <f>VII_Model_PKZ!N45</f>
        <v/>
      </c>
      <c r="O742">
        <f>VII_Model_PKZ!O45</f>
        <v/>
      </c>
      <c r="P742" s="628">
        <f>VII_Model_PKZ!P45</f>
        <v/>
      </c>
      <c r="Q742" s="628">
        <f>VII_Model_PKZ!Q45</f>
        <v/>
      </c>
      <c r="R742" s="628">
        <f>VII_Model_PKZ!R45</f>
        <v/>
      </c>
      <c r="S742" s="628">
        <f>VII_Model_PKZ!S45</f>
        <v/>
      </c>
      <c r="T742" s="628">
        <f>VII_Model_PKZ!T45</f>
        <v/>
      </c>
      <c r="U742" s="628">
        <f>VII_Model_PKZ!U45</f>
        <v/>
      </c>
      <c r="V742" s="628">
        <f>VII_Model_PKZ!V45</f>
        <v/>
      </c>
      <c r="W742" s="628">
        <f>VII_Model_PKZ!W45</f>
        <v/>
      </c>
      <c r="X742" s="628">
        <f>VII_Model_PKZ!X45</f>
        <v/>
      </c>
      <c r="Y742" s="650">
        <f>VII_Model_PKZ!Y45</f>
        <v/>
      </c>
      <c r="Z742" s="650">
        <f>VII_Model_PKZ!Z45</f>
        <v/>
      </c>
      <c r="AA742" s="650">
        <f>VII_Model_PKZ!AA45</f>
        <v/>
      </c>
      <c r="AB742" s="650">
        <f>VII_Model_PKZ!AB45</f>
        <v/>
      </c>
      <c r="AC742" s="613">
        <f>VII_Model_PKZ!AC45</f>
        <v/>
      </c>
      <c r="AD742" s="613">
        <f>VII_Model_PKZ!AD45</f>
        <v/>
      </c>
      <c r="AE742" s="613">
        <f>VII_Model_PKZ!AE45</f>
        <v/>
      </c>
      <c r="AF742" s="613">
        <f>VII_Model_PKZ!AF45</f>
        <v/>
      </c>
      <c r="AG742" s="626">
        <f>VII_Model_PKZ!AG45</f>
        <v/>
      </c>
      <c r="AH742" s="626">
        <f>VII_Model_PKZ!AH45</f>
        <v/>
      </c>
      <c r="AI742" s="626">
        <f>VII_Model_PKZ!AI45</f>
        <v/>
      </c>
      <c r="AJ742" s="626">
        <f>VII_Model_PKZ!AJ45</f>
        <v/>
      </c>
      <c r="AK742" s="626">
        <f>VII_Model_PKZ!AK45</f>
        <v/>
      </c>
      <c r="AL742" s="626">
        <f>VII_Model_PKZ!AL45</f>
        <v/>
      </c>
      <c r="AM742" s="626">
        <f>VII_Model_PKZ!AM45</f>
        <v/>
      </c>
      <c r="AN742" s="626">
        <f>VII_Model_PKZ!AN45</f>
        <v/>
      </c>
      <c r="AO742" s="626">
        <f>VII_Model_PKZ!AO45</f>
        <v/>
      </c>
      <c r="AP742" s="369">
        <f>VII_Model_PKZ!AP45</f>
        <v/>
      </c>
      <c r="AQ742" s="369">
        <f>VII_Model_PKZ!AQ45</f>
        <v/>
      </c>
      <c r="AR742" s="369">
        <f>VII_Model_PKZ!AR45</f>
        <v/>
      </c>
      <c r="AS742" s="369">
        <f>VII_Model_PKZ!AS45</f>
        <v/>
      </c>
      <c r="AT742" s="370">
        <f>VII_Model_PKZ!AT45</f>
        <v/>
      </c>
      <c r="AU742" s="370">
        <f>VII_Model_PKZ!AU45</f>
        <v/>
      </c>
      <c r="AV742" s="370">
        <f>VII_Model_PKZ!AV45</f>
        <v/>
      </c>
      <c r="AW742" s="370">
        <f>VII_Model_PKZ!AW45</f>
        <v/>
      </c>
      <c r="AX742">
        <f>VII_Model_PKZ!AX45</f>
        <v/>
      </c>
      <c r="AY742">
        <f>VII_Model_PKZ!AY45</f>
        <v/>
      </c>
      <c r="AZ742">
        <f>VII_Model_PKZ!AZ45</f>
        <v/>
      </c>
      <c r="BA742">
        <f>VII_Model_PKZ!BA45</f>
        <v/>
      </c>
      <c r="BB742">
        <f>VII_Model_PKZ!BB45</f>
        <v/>
      </c>
      <c r="BC742">
        <f>VII_Model_PKZ!BC45</f>
        <v/>
      </c>
      <c r="BD742">
        <f>VII_Model_PKZ!BD45</f>
        <v/>
      </c>
      <c r="BE742">
        <f>VII_Model_PKZ!BE45</f>
        <v/>
      </c>
      <c r="BF742">
        <f>VII_Model_PKZ!BF45</f>
        <v/>
      </c>
      <c r="BG742">
        <f>VII_Model_PKZ!BG45</f>
        <v/>
      </c>
      <c r="BH742">
        <f>VII_Model_PKZ!BH45</f>
        <v/>
      </c>
      <c r="BI742">
        <f>VII_Model_PKZ!BI45</f>
        <v/>
      </c>
      <c r="BJ742">
        <f>O742</f>
        <v/>
      </c>
      <c r="BK742">
        <f>SUM(AG742:AW742)</f>
        <v/>
      </c>
      <c r="BL742" s="531">
        <f>BJ742-BK742</f>
        <v/>
      </c>
      <c r="BM742" s="201" t="n"/>
    </row>
    <row r="743" hidden="1" outlineLevel="1" s="191">
      <c r="A743">
        <f>VII_Model_PKZ!A46</f>
        <v/>
      </c>
      <c r="B743">
        <f>VII_Model_PKZ!B46</f>
        <v/>
      </c>
      <c r="C743">
        <f>VII_Model_PKZ!C46</f>
        <v/>
      </c>
      <c r="D743">
        <f>VII_Model_PKZ!D46</f>
        <v/>
      </c>
      <c r="E743">
        <f>VII_Model_PKZ!E46</f>
        <v/>
      </c>
      <c r="F743">
        <f>VII_Model_PKZ!F46</f>
        <v/>
      </c>
      <c r="G743">
        <f>VII_Model_PKZ!G46</f>
        <v/>
      </c>
      <c r="H743">
        <f>VII_Model_PKZ!H46</f>
        <v/>
      </c>
      <c r="I743">
        <f>VII_Model_PKZ!I46</f>
        <v/>
      </c>
      <c r="J743">
        <f>VII_Model_PKZ!J46</f>
        <v/>
      </c>
      <c r="K743" s="672">
        <f>VII_Model_PKZ!K46</f>
        <v/>
      </c>
      <c r="L743" s="672">
        <f>VII_Model_PKZ!L46</f>
        <v/>
      </c>
      <c r="M743">
        <f>VII_Model_PKZ!M46</f>
        <v/>
      </c>
      <c r="N743">
        <f>VII_Model_PKZ!N46</f>
        <v/>
      </c>
      <c r="O743">
        <f>VII_Model_PKZ!O46</f>
        <v/>
      </c>
      <c r="P743" s="628">
        <f>VII_Model_PKZ!P46</f>
        <v/>
      </c>
      <c r="Q743" s="628">
        <f>VII_Model_PKZ!Q46</f>
        <v/>
      </c>
      <c r="R743" s="628">
        <f>VII_Model_PKZ!R46</f>
        <v/>
      </c>
      <c r="S743" s="628">
        <f>VII_Model_PKZ!S46</f>
        <v/>
      </c>
      <c r="T743" s="628">
        <f>VII_Model_PKZ!T46</f>
        <v/>
      </c>
      <c r="U743" s="628">
        <f>VII_Model_PKZ!U46</f>
        <v/>
      </c>
      <c r="V743" s="628">
        <f>VII_Model_PKZ!V46</f>
        <v/>
      </c>
      <c r="W743" s="628">
        <f>VII_Model_PKZ!W46</f>
        <v/>
      </c>
      <c r="X743" s="628">
        <f>VII_Model_PKZ!X46</f>
        <v/>
      </c>
      <c r="Y743" s="650">
        <f>VII_Model_PKZ!Y46</f>
        <v/>
      </c>
      <c r="Z743" s="650">
        <f>VII_Model_PKZ!Z46</f>
        <v/>
      </c>
      <c r="AA743" s="650">
        <f>VII_Model_PKZ!AA46</f>
        <v/>
      </c>
      <c r="AB743" s="650">
        <f>VII_Model_PKZ!AB46</f>
        <v/>
      </c>
      <c r="AC743" s="613">
        <f>VII_Model_PKZ!AC46</f>
        <v/>
      </c>
      <c r="AD743" s="613">
        <f>VII_Model_PKZ!AD46</f>
        <v/>
      </c>
      <c r="AE743" s="613">
        <f>VII_Model_PKZ!AE46</f>
        <v/>
      </c>
      <c r="AF743" s="613">
        <f>VII_Model_PKZ!AF46</f>
        <v/>
      </c>
      <c r="AG743" s="626">
        <f>VII_Model_PKZ!AG46</f>
        <v/>
      </c>
      <c r="AH743" s="626">
        <f>VII_Model_PKZ!AH46</f>
        <v/>
      </c>
      <c r="AI743" s="626">
        <f>VII_Model_PKZ!AI46</f>
        <v/>
      </c>
      <c r="AJ743" s="626">
        <f>VII_Model_PKZ!AJ46</f>
        <v/>
      </c>
      <c r="AK743" s="626">
        <f>VII_Model_PKZ!AK46</f>
        <v/>
      </c>
      <c r="AL743" s="626">
        <f>VII_Model_PKZ!AL46</f>
        <v/>
      </c>
      <c r="AM743" s="626">
        <f>VII_Model_PKZ!AM46</f>
        <v/>
      </c>
      <c r="AN743" s="626">
        <f>VII_Model_PKZ!AN46</f>
        <v/>
      </c>
      <c r="AO743" s="626">
        <f>VII_Model_PKZ!AO46</f>
        <v/>
      </c>
      <c r="AP743" s="369">
        <f>VII_Model_PKZ!AP46</f>
        <v/>
      </c>
      <c r="AQ743" s="369">
        <f>VII_Model_PKZ!AQ46</f>
        <v/>
      </c>
      <c r="AR743" s="369">
        <f>VII_Model_PKZ!AR46</f>
        <v/>
      </c>
      <c r="AS743" s="369">
        <f>VII_Model_PKZ!AS46</f>
        <v/>
      </c>
      <c r="AT743" s="370">
        <f>VII_Model_PKZ!AT46</f>
        <v/>
      </c>
      <c r="AU743" s="370">
        <f>VII_Model_PKZ!AU46</f>
        <v/>
      </c>
      <c r="AV743" s="370">
        <f>VII_Model_PKZ!AV46</f>
        <v/>
      </c>
      <c r="AW743" s="370">
        <f>VII_Model_PKZ!AW46</f>
        <v/>
      </c>
      <c r="AX743">
        <f>VII_Model_PKZ!AX46</f>
        <v/>
      </c>
      <c r="AY743">
        <f>VII_Model_PKZ!AY46</f>
        <v/>
      </c>
      <c r="AZ743">
        <f>VII_Model_PKZ!AZ46</f>
        <v/>
      </c>
      <c r="BA743">
        <f>VII_Model_PKZ!BA46</f>
        <v/>
      </c>
      <c r="BB743">
        <f>VII_Model_PKZ!BB46</f>
        <v/>
      </c>
      <c r="BC743">
        <f>VII_Model_PKZ!BC46</f>
        <v/>
      </c>
      <c r="BD743">
        <f>VII_Model_PKZ!BD46</f>
        <v/>
      </c>
      <c r="BE743">
        <f>VII_Model_PKZ!BE46</f>
        <v/>
      </c>
      <c r="BF743">
        <f>VII_Model_PKZ!BF46</f>
        <v/>
      </c>
      <c r="BG743">
        <f>VII_Model_PKZ!BG46</f>
        <v/>
      </c>
      <c r="BH743">
        <f>VII_Model_PKZ!BH46</f>
        <v/>
      </c>
      <c r="BI743">
        <f>VII_Model_PKZ!BI46</f>
        <v/>
      </c>
      <c r="BJ743">
        <f>O743</f>
        <v/>
      </c>
      <c r="BK743">
        <f>SUM(AG743:AW743)</f>
        <v/>
      </c>
      <c r="BL743" s="531">
        <f>BJ743-BK743</f>
        <v/>
      </c>
      <c r="BM743" s="201" t="n"/>
    </row>
    <row r="744" hidden="1" outlineLevel="1" s="191">
      <c r="A744">
        <f>VII_Model_PKZ!A47</f>
        <v/>
      </c>
      <c r="B744">
        <f>VII_Model_PKZ!B47</f>
        <v/>
      </c>
      <c r="C744">
        <f>VII_Model_PKZ!C47</f>
        <v/>
      </c>
      <c r="D744">
        <f>VII_Model_PKZ!D47</f>
        <v/>
      </c>
      <c r="E744">
        <f>VII_Model_PKZ!E47</f>
        <v/>
      </c>
      <c r="F744">
        <f>VII_Model_PKZ!F47</f>
        <v/>
      </c>
      <c r="G744">
        <f>VII_Model_PKZ!G47</f>
        <v/>
      </c>
      <c r="H744">
        <f>VII_Model_PKZ!H47</f>
        <v/>
      </c>
      <c r="I744">
        <f>VII_Model_PKZ!I47</f>
        <v/>
      </c>
      <c r="J744">
        <f>VII_Model_PKZ!J47</f>
        <v/>
      </c>
      <c r="K744" s="672">
        <f>VII_Model_PKZ!K47</f>
        <v/>
      </c>
      <c r="L744" s="672">
        <f>VII_Model_PKZ!L47</f>
        <v/>
      </c>
      <c r="M744">
        <f>VII_Model_PKZ!M47</f>
        <v/>
      </c>
      <c r="N744">
        <f>VII_Model_PKZ!N47</f>
        <v/>
      </c>
      <c r="O744">
        <f>VII_Model_PKZ!O47</f>
        <v/>
      </c>
      <c r="P744" s="628">
        <f>VII_Model_PKZ!P47</f>
        <v/>
      </c>
      <c r="Q744" s="628">
        <f>VII_Model_PKZ!Q47</f>
        <v/>
      </c>
      <c r="R744" s="628">
        <f>VII_Model_PKZ!R47</f>
        <v/>
      </c>
      <c r="S744" s="628">
        <f>VII_Model_PKZ!S47</f>
        <v/>
      </c>
      <c r="T744" s="628">
        <f>VII_Model_PKZ!T47</f>
        <v/>
      </c>
      <c r="U744" s="628">
        <f>VII_Model_PKZ!U47</f>
        <v/>
      </c>
      <c r="V744" s="628">
        <f>VII_Model_PKZ!V47</f>
        <v/>
      </c>
      <c r="W744" s="628">
        <f>VII_Model_PKZ!W47</f>
        <v/>
      </c>
      <c r="X744" s="628">
        <f>VII_Model_PKZ!X47</f>
        <v/>
      </c>
      <c r="Y744" s="650">
        <f>VII_Model_PKZ!Y47</f>
        <v/>
      </c>
      <c r="Z744" s="650">
        <f>VII_Model_PKZ!Z47</f>
        <v/>
      </c>
      <c r="AA744" s="650">
        <f>VII_Model_PKZ!AA47</f>
        <v/>
      </c>
      <c r="AB744" s="650">
        <f>VII_Model_PKZ!AB47</f>
        <v/>
      </c>
      <c r="AC744" s="613">
        <f>VII_Model_PKZ!AC47</f>
        <v/>
      </c>
      <c r="AD744" s="613">
        <f>VII_Model_PKZ!AD47</f>
        <v/>
      </c>
      <c r="AE744" s="613">
        <f>VII_Model_PKZ!AE47</f>
        <v/>
      </c>
      <c r="AF744" s="613">
        <f>VII_Model_PKZ!AF47</f>
        <v/>
      </c>
      <c r="AG744" s="626">
        <f>VII_Model_PKZ!AG47</f>
        <v/>
      </c>
      <c r="AH744" s="626">
        <f>VII_Model_PKZ!AH47</f>
        <v/>
      </c>
      <c r="AI744" s="626">
        <f>VII_Model_PKZ!AI47</f>
        <v/>
      </c>
      <c r="AJ744" s="626">
        <f>VII_Model_PKZ!AJ47</f>
        <v/>
      </c>
      <c r="AK744" s="626">
        <f>VII_Model_PKZ!AK47</f>
        <v/>
      </c>
      <c r="AL744" s="626">
        <f>VII_Model_PKZ!AL47</f>
        <v/>
      </c>
      <c r="AM744" s="626">
        <f>VII_Model_PKZ!AM47</f>
        <v/>
      </c>
      <c r="AN744" s="626">
        <f>VII_Model_PKZ!AN47</f>
        <v/>
      </c>
      <c r="AO744" s="626">
        <f>VII_Model_PKZ!AO47</f>
        <v/>
      </c>
      <c r="AP744" s="369">
        <f>VII_Model_PKZ!AP47</f>
        <v/>
      </c>
      <c r="AQ744" s="369">
        <f>VII_Model_PKZ!AQ47</f>
        <v/>
      </c>
      <c r="AR744" s="369">
        <f>VII_Model_PKZ!AR47</f>
        <v/>
      </c>
      <c r="AS744" s="369">
        <f>VII_Model_PKZ!AS47</f>
        <v/>
      </c>
      <c r="AT744" s="370">
        <f>VII_Model_PKZ!AT47</f>
        <v/>
      </c>
      <c r="AU744" s="370">
        <f>VII_Model_PKZ!AU47</f>
        <v/>
      </c>
      <c r="AV744" s="370">
        <f>VII_Model_PKZ!AV47</f>
        <v/>
      </c>
      <c r="AW744" s="370">
        <f>VII_Model_PKZ!AW47</f>
        <v/>
      </c>
      <c r="AX744">
        <f>VII_Model_PKZ!AX47</f>
        <v/>
      </c>
      <c r="AY744">
        <f>VII_Model_PKZ!AY47</f>
        <v/>
      </c>
      <c r="AZ744">
        <f>VII_Model_PKZ!AZ47</f>
        <v/>
      </c>
      <c r="BA744">
        <f>VII_Model_PKZ!BA47</f>
        <v/>
      </c>
      <c r="BB744">
        <f>VII_Model_PKZ!BB47</f>
        <v/>
      </c>
      <c r="BC744">
        <f>VII_Model_PKZ!BC47</f>
        <v/>
      </c>
      <c r="BD744">
        <f>VII_Model_PKZ!BD47</f>
        <v/>
      </c>
      <c r="BE744">
        <f>VII_Model_PKZ!BE47</f>
        <v/>
      </c>
      <c r="BF744">
        <f>VII_Model_PKZ!BF47</f>
        <v/>
      </c>
      <c r="BG744">
        <f>VII_Model_PKZ!BG47</f>
        <v/>
      </c>
      <c r="BH744">
        <f>VII_Model_PKZ!BH47</f>
        <v/>
      </c>
      <c r="BI744">
        <f>VII_Model_PKZ!BI47</f>
        <v/>
      </c>
      <c r="BJ744">
        <f>O744</f>
        <v/>
      </c>
      <c r="BK744">
        <f>SUM(AG744:AW744)</f>
        <v/>
      </c>
      <c r="BL744" s="531">
        <f>BJ744-BK744</f>
        <v/>
      </c>
      <c r="BM744" s="201" t="n"/>
    </row>
    <row r="745" hidden="1" outlineLevel="1" s="191">
      <c r="A745">
        <f>VII_Model_PKZ!A48</f>
        <v/>
      </c>
      <c r="B745">
        <f>VII_Model_PKZ!B48</f>
        <v/>
      </c>
      <c r="C745">
        <f>VII_Model_PKZ!C48</f>
        <v/>
      </c>
      <c r="D745">
        <f>VII_Model_PKZ!D48</f>
        <v/>
      </c>
      <c r="E745">
        <f>VII_Model_PKZ!E48</f>
        <v/>
      </c>
      <c r="F745">
        <f>VII_Model_PKZ!F48</f>
        <v/>
      </c>
      <c r="G745">
        <f>VII_Model_PKZ!G48</f>
        <v/>
      </c>
      <c r="H745">
        <f>VII_Model_PKZ!H48</f>
        <v/>
      </c>
      <c r="I745">
        <f>VII_Model_PKZ!I48</f>
        <v/>
      </c>
      <c r="J745">
        <f>VII_Model_PKZ!J48</f>
        <v/>
      </c>
      <c r="K745" s="672">
        <f>VII_Model_PKZ!K48</f>
        <v/>
      </c>
      <c r="L745" s="672">
        <f>VII_Model_PKZ!L48</f>
        <v/>
      </c>
      <c r="M745">
        <f>VII_Model_PKZ!M48</f>
        <v/>
      </c>
      <c r="N745">
        <f>VII_Model_PKZ!N48</f>
        <v/>
      </c>
      <c r="O745">
        <f>VII_Model_PKZ!O48</f>
        <v/>
      </c>
      <c r="P745" s="628">
        <f>VII_Model_PKZ!P48</f>
        <v/>
      </c>
      <c r="Q745" s="628">
        <f>VII_Model_PKZ!Q48</f>
        <v/>
      </c>
      <c r="R745" s="628">
        <f>VII_Model_PKZ!R48</f>
        <v/>
      </c>
      <c r="S745" s="628">
        <f>VII_Model_PKZ!S48</f>
        <v/>
      </c>
      <c r="T745" s="628">
        <f>VII_Model_PKZ!T48</f>
        <v/>
      </c>
      <c r="U745" s="628">
        <f>VII_Model_PKZ!U48</f>
        <v/>
      </c>
      <c r="V745" s="628">
        <f>VII_Model_PKZ!V48</f>
        <v/>
      </c>
      <c r="W745" s="628">
        <f>VII_Model_PKZ!W48</f>
        <v/>
      </c>
      <c r="X745" s="628">
        <f>VII_Model_PKZ!X48</f>
        <v/>
      </c>
      <c r="Y745" s="650">
        <f>VII_Model_PKZ!Y48</f>
        <v/>
      </c>
      <c r="Z745" s="650">
        <f>VII_Model_PKZ!Z48</f>
        <v/>
      </c>
      <c r="AA745" s="650">
        <f>VII_Model_PKZ!AA48</f>
        <v/>
      </c>
      <c r="AB745" s="650">
        <f>VII_Model_PKZ!AB48</f>
        <v/>
      </c>
      <c r="AC745" s="613">
        <f>VII_Model_PKZ!AC48</f>
        <v/>
      </c>
      <c r="AD745" s="613">
        <f>VII_Model_PKZ!AD48</f>
        <v/>
      </c>
      <c r="AE745" s="613">
        <f>VII_Model_PKZ!AE48</f>
        <v/>
      </c>
      <c r="AF745" s="613">
        <f>VII_Model_PKZ!AF48</f>
        <v/>
      </c>
      <c r="AG745" s="626">
        <f>VII_Model_PKZ!AG48</f>
        <v/>
      </c>
      <c r="AH745" s="626">
        <f>VII_Model_PKZ!AH48</f>
        <v/>
      </c>
      <c r="AI745" s="626">
        <f>VII_Model_PKZ!AI48</f>
        <v/>
      </c>
      <c r="AJ745" s="626">
        <f>VII_Model_PKZ!AJ48</f>
        <v/>
      </c>
      <c r="AK745" s="626">
        <f>VII_Model_PKZ!AK48</f>
        <v/>
      </c>
      <c r="AL745" s="626">
        <f>VII_Model_PKZ!AL48</f>
        <v/>
      </c>
      <c r="AM745" s="626">
        <f>VII_Model_PKZ!AM48</f>
        <v/>
      </c>
      <c r="AN745" s="626">
        <f>VII_Model_PKZ!AN48</f>
        <v/>
      </c>
      <c r="AO745" s="626">
        <f>VII_Model_PKZ!AO48</f>
        <v/>
      </c>
      <c r="AP745" s="369">
        <f>VII_Model_PKZ!AP48</f>
        <v/>
      </c>
      <c r="AQ745" s="369">
        <f>VII_Model_PKZ!AQ48</f>
        <v/>
      </c>
      <c r="AR745" s="369">
        <f>VII_Model_PKZ!AR48</f>
        <v/>
      </c>
      <c r="AS745" s="369">
        <f>VII_Model_PKZ!AS48</f>
        <v/>
      </c>
      <c r="AT745" s="370">
        <f>VII_Model_PKZ!AT48</f>
        <v/>
      </c>
      <c r="AU745" s="370">
        <f>VII_Model_PKZ!AU48</f>
        <v/>
      </c>
      <c r="AV745" s="370">
        <f>VII_Model_PKZ!AV48</f>
        <v/>
      </c>
      <c r="AW745" s="370">
        <f>VII_Model_PKZ!AW48</f>
        <v/>
      </c>
      <c r="AX745">
        <f>VII_Model_PKZ!AX48</f>
        <v/>
      </c>
      <c r="AY745">
        <f>VII_Model_PKZ!AY48</f>
        <v/>
      </c>
      <c r="AZ745">
        <f>VII_Model_PKZ!AZ48</f>
        <v/>
      </c>
      <c r="BA745">
        <f>VII_Model_PKZ!BA48</f>
        <v/>
      </c>
      <c r="BB745">
        <f>VII_Model_PKZ!BB48</f>
        <v/>
      </c>
      <c r="BC745">
        <f>VII_Model_PKZ!BC48</f>
        <v/>
      </c>
      <c r="BD745">
        <f>VII_Model_PKZ!BD48</f>
        <v/>
      </c>
      <c r="BE745">
        <f>VII_Model_PKZ!BE48</f>
        <v/>
      </c>
      <c r="BF745">
        <f>VII_Model_PKZ!BF48</f>
        <v/>
      </c>
      <c r="BG745">
        <f>VII_Model_PKZ!BG48</f>
        <v/>
      </c>
      <c r="BH745">
        <f>VII_Model_PKZ!BH48</f>
        <v/>
      </c>
      <c r="BI745">
        <f>VII_Model_PKZ!BI48</f>
        <v/>
      </c>
      <c r="BJ745">
        <f>O745</f>
        <v/>
      </c>
      <c r="BK745">
        <f>SUM(AG745:AW745)</f>
        <v/>
      </c>
      <c r="BL745" s="531">
        <f>BJ745-BK745</f>
        <v/>
      </c>
      <c r="BM745" s="201" t="n"/>
    </row>
    <row r="746" hidden="1" outlineLevel="1" s="191">
      <c r="A746">
        <f>VII_Model_PKZ!A49</f>
        <v/>
      </c>
      <c r="B746">
        <f>VII_Model_PKZ!B49</f>
        <v/>
      </c>
      <c r="C746">
        <f>VII_Model_PKZ!C49</f>
        <v/>
      </c>
      <c r="D746">
        <f>VII_Model_PKZ!D49</f>
        <v/>
      </c>
      <c r="E746">
        <f>VII_Model_PKZ!E49</f>
        <v/>
      </c>
      <c r="F746">
        <f>VII_Model_PKZ!F49</f>
        <v/>
      </c>
      <c r="G746">
        <f>VII_Model_PKZ!G49</f>
        <v/>
      </c>
      <c r="H746">
        <f>VII_Model_PKZ!H49</f>
        <v/>
      </c>
      <c r="I746">
        <f>VII_Model_PKZ!I49</f>
        <v/>
      </c>
      <c r="J746">
        <f>VII_Model_PKZ!J49</f>
        <v/>
      </c>
      <c r="K746" s="672">
        <f>VII_Model_PKZ!K49</f>
        <v/>
      </c>
      <c r="L746" s="672">
        <f>VII_Model_PKZ!L49</f>
        <v/>
      </c>
      <c r="M746">
        <f>VII_Model_PKZ!M49</f>
        <v/>
      </c>
      <c r="N746">
        <f>VII_Model_PKZ!N49</f>
        <v/>
      </c>
      <c r="O746">
        <f>VII_Model_PKZ!O49</f>
        <v/>
      </c>
      <c r="P746" s="628">
        <f>VII_Model_PKZ!P49</f>
        <v/>
      </c>
      <c r="Q746" s="628">
        <f>VII_Model_PKZ!Q49</f>
        <v/>
      </c>
      <c r="R746" s="628">
        <f>VII_Model_PKZ!R49</f>
        <v/>
      </c>
      <c r="S746" s="628">
        <f>VII_Model_PKZ!S49</f>
        <v/>
      </c>
      <c r="T746" s="628">
        <f>VII_Model_PKZ!T49</f>
        <v/>
      </c>
      <c r="U746" s="628">
        <f>VII_Model_PKZ!U49</f>
        <v/>
      </c>
      <c r="V746" s="628">
        <f>VII_Model_PKZ!V49</f>
        <v/>
      </c>
      <c r="W746" s="628">
        <f>VII_Model_PKZ!W49</f>
        <v/>
      </c>
      <c r="X746" s="628">
        <f>VII_Model_PKZ!X49</f>
        <v/>
      </c>
      <c r="Y746" s="650">
        <f>VII_Model_PKZ!Y49</f>
        <v/>
      </c>
      <c r="Z746" s="650">
        <f>VII_Model_PKZ!Z49</f>
        <v/>
      </c>
      <c r="AA746" s="650">
        <f>VII_Model_PKZ!AA49</f>
        <v/>
      </c>
      <c r="AB746" s="650">
        <f>VII_Model_PKZ!AB49</f>
        <v/>
      </c>
      <c r="AC746" s="613">
        <f>VII_Model_PKZ!AC49</f>
        <v/>
      </c>
      <c r="AD746" s="613">
        <f>VII_Model_PKZ!AD49</f>
        <v/>
      </c>
      <c r="AE746" s="613">
        <f>VII_Model_PKZ!AE49</f>
        <v/>
      </c>
      <c r="AF746" s="613">
        <f>VII_Model_PKZ!AF49</f>
        <v/>
      </c>
      <c r="AG746" s="626">
        <f>VII_Model_PKZ!AG49</f>
        <v/>
      </c>
      <c r="AH746" s="626">
        <f>VII_Model_PKZ!AH49</f>
        <v/>
      </c>
      <c r="AI746" s="626">
        <f>VII_Model_PKZ!AI49</f>
        <v/>
      </c>
      <c r="AJ746" s="626">
        <f>VII_Model_PKZ!AJ49</f>
        <v/>
      </c>
      <c r="AK746" s="626">
        <f>VII_Model_PKZ!AK49</f>
        <v/>
      </c>
      <c r="AL746" s="626">
        <f>VII_Model_PKZ!AL49</f>
        <v/>
      </c>
      <c r="AM746" s="626">
        <f>VII_Model_PKZ!AM49</f>
        <v/>
      </c>
      <c r="AN746" s="626">
        <f>VII_Model_PKZ!AN49</f>
        <v/>
      </c>
      <c r="AO746" s="626">
        <f>VII_Model_PKZ!AO49</f>
        <v/>
      </c>
      <c r="AP746" s="369">
        <f>VII_Model_PKZ!AP49</f>
        <v/>
      </c>
      <c r="AQ746" s="369">
        <f>VII_Model_PKZ!AQ49</f>
        <v/>
      </c>
      <c r="AR746" s="369">
        <f>VII_Model_PKZ!AR49</f>
        <v/>
      </c>
      <c r="AS746" s="369">
        <f>VII_Model_PKZ!AS49</f>
        <v/>
      </c>
      <c r="AT746" s="370">
        <f>VII_Model_PKZ!AT49</f>
        <v/>
      </c>
      <c r="AU746" s="370">
        <f>VII_Model_PKZ!AU49</f>
        <v/>
      </c>
      <c r="AV746" s="370">
        <f>VII_Model_PKZ!AV49</f>
        <v/>
      </c>
      <c r="AW746" s="370">
        <f>VII_Model_PKZ!AW49</f>
        <v/>
      </c>
      <c r="AX746">
        <f>VII_Model_PKZ!AX49</f>
        <v/>
      </c>
      <c r="AY746">
        <f>VII_Model_PKZ!AY49</f>
        <v/>
      </c>
      <c r="AZ746">
        <f>VII_Model_PKZ!AZ49</f>
        <v/>
      </c>
      <c r="BA746">
        <f>VII_Model_PKZ!BA49</f>
        <v/>
      </c>
      <c r="BB746">
        <f>VII_Model_PKZ!BB49</f>
        <v/>
      </c>
      <c r="BC746">
        <f>VII_Model_PKZ!BC49</f>
        <v/>
      </c>
      <c r="BD746">
        <f>VII_Model_PKZ!BD49</f>
        <v/>
      </c>
      <c r="BE746">
        <f>VII_Model_PKZ!BE49</f>
        <v/>
      </c>
      <c r="BF746">
        <f>VII_Model_PKZ!BF49</f>
        <v/>
      </c>
      <c r="BG746">
        <f>VII_Model_PKZ!BG49</f>
        <v/>
      </c>
      <c r="BH746">
        <f>VII_Model_PKZ!BH49</f>
        <v/>
      </c>
      <c r="BI746">
        <f>VII_Model_PKZ!BI49</f>
        <v/>
      </c>
      <c r="BJ746">
        <f>O746</f>
        <v/>
      </c>
      <c r="BK746">
        <f>SUM(AG746:AW746)</f>
        <v/>
      </c>
      <c r="BL746" s="531">
        <f>BJ746-BK746</f>
        <v/>
      </c>
      <c r="BM746" s="201" t="n"/>
    </row>
    <row r="747" hidden="1" outlineLevel="1" s="191">
      <c r="A747">
        <f>VII_Model_PKZ!A50</f>
        <v/>
      </c>
      <c r="B747">
        <f>VII_Model_PKZ!B50</f>
        <v/>
      </c>
      <c r="C747">
        <f>VII_Model_PKZ!C50</f>
        <v/>
      </c>
      <c r="D747">
        <f>VII_Model_PKZ!D50</f>
        <v/>
      </c>
      <c r="E747">
        <f>VII_Model_PKZ!E50</f>
        <v/>
      </c>
      <c r="F747">
        <f>VII_Model_PKZ!F50</f>
        <v/>
      </c>
      <c r="G747">
        <f>VII_Model_PKZ!G50</f>
        <v/>
      </c>
      <c r="H747">
        <f>VII_Model_PKZ!H50</f>
        <v/>
      </c>
      <c r="I747">
        <f>VII_Model_PKZ!I50</f>
        <v/>
      </c>
      <c r="J747">
        <f>VII_Model_PKZ!J50</f>
        <v/>
      </c>
      <c r="K747" s="672">
        <f>VII_Model_PKZ!K50</f>
        <v/>
      </c>
      <c r="L747" s="672">
        <f>VII_Model_PKZ!L50</f>
        <v/>
      </c>
      <c r="M747">
        <f>VII_Model_PKZ!M50</f>
        <v/>
      </c>
      <c r="N747">
        <f>VII_Model_PKZ!N50</f>
        <v/>
      </c>
      <c r="O747">
        <f>VII_Model_PKZ!O50</f>
        <v/>
      </c>
      <c r="P747" s="628">
        <f>VII_Model_PKZ!P50</f>
        <v/>
      </c>
      <c r="Q747" s="628">
        <f>VII_Model_PKZ!Q50</f>
        <v/>
      </c>
      <c r="R747" s="628">
        <f>VII_Model_PKZ!R50</f>
        <v/>
      </c>
      <c r="S747" s="628">
        <f>VII_Model_PKZ!S50</f>
        <v/>
      </c>
      <c r="T747" s="628">
        <f>VII_Model_PKZ!T50</f>
        <v/>
      </c>
      <c r="U747" s="628">
        <f>VII_Model_PKZ!U50</f>
        <v/>
      </c>
      <c r="V747" s="628">
        <f>VII_Model_PKZ!V50</f>
        <v/>
      </c>
      <c r="W747" s="628">
        <f>VII_Model_PKZ!W50</f>
        <v/>
      </c>
      <c r="X747" s="628">
        <f>VII_Model_PKZ!X50</f>
        <v/>
      </c>
      <c r="Y747" s="650">
        <f>VII_Model_PKZ!Y50</f>
        <v/>
      </c>
      <c r="Z747" s="650">
        <f>VII_Model_PKZ!Z50</f>
        <v/>
      </c>
      <c r="AA747" s="650">
        <f>VII_Model_PKZ!AA50</f>
        <v/>
      </c>
      <c r="AB747" s="650">
        <f>VII_Model_PKZ!AB50</f>
        <v/>
      </c>
      <c r="AC747" s="613">
        <f>VII_Model_PKZ!AC50</f>
        <v/>
      </c>
      <c r="AD747" s="613">
        <f>VII_Model_PKZ!AD50</f>
        <v/>
      </c>
      <c r="AE747" s="613">
        <f>VII_Model_PKZ!AE50</f>
        <v/>
      </c>
      <c r="AF747" s="613">
        <f>VII_Model_PKZ!AF50</f>
        <v/>
      </c>
      <c r="AG747" s="626">
        <f>VII_Model_PKZ!AG50</f>
        <v/>
      </c>
      <c r="AH747" s="626">
        <f>VII_Model_PKZ!AH50</f>
        <v/>
      </c>
      <c r="AI747" s="626">
        <f>VII_Model_PKZ!AI50</f>
        <v/>
      </c>
      <c r="AJ747" s="626">
        <f>VII_Model_PKZ!AJ50</f>
        <v/>
      </c>
      <c r="AK747" s="626">
        <f>VII_Model_PKZ!AK50</f>
        <v/>
      </c>
      <c r="AL747" s="626">
        <f>VII_Model_PKZ!AL50</f>
        <v/>
      </c>
      <c r="AM747" s="626">
        <f>VII_Model_PKZ!AM50</f>
        <v/>
      </c>
      <c r="AN747" s="626">
        <f>VII_Model_PKZ!AN50</f>
        <v/>
      </c>
      <c r="AO747" s="626">
        <f>VII_Model_PKZ!AO50</f>
        <v/>
      </c>
      <c r="AP747" s="369">
        <f>VII_Model_PKZ!AP50</f>
        <v/>
      </c>
      <c r="AQ747" s="369">
        <f>VII_Model_PKZ!AQ50</f>
        <v/>
      </c>
      <c r="AR747" s="369">
        <f>VII_Model_PKZ!AR50</f>
        <v/>
      </c>
      <c r="AS747" s="369">
        <f>VII_Model_PKZ!AS50</f>
        <v/>
      </c>
      <c r="AT747" s="370">
        <f>VII_Model_PKZ!AT50</f>
        <v/>
      </c>
      <c r="AU747" s="370">
        <f>VII_Model_PKZ!AU50</f>
        <v/>
      </c>
      <c r="AV747" s="370">
        <f>VII_Model_PKZ!AV50</f>
        <v/>
      </c>
      <c r="AW747" s="370">
        <f>VII_Model_PKZ!AW50</f>
        <v/>
      </c>
      <c r="AX747">
        <f>VII_Model_PKZ!AX50</f>
        <v/>
      </c>
      <c r="AY747">
        <f>VII_Model_PKZ!AY50</f>
        <v/>
      </c>
      <c r="AZ747">
        <f>VII_Model_PKZ!AZ50</f>
        <v/>
      </c>
      <c r="BA747">
        <f>VII_Model_PKZ!BA50</f>
        <v/>
      </c>
      <c r="BB747">
        <f>VII_Model_PKZ!BB50</f>
        <v/>
      </c>
      <c r="BC747">
        <f>VII_Model_PKZ!BC50</f>
        <v/>
      </c>
      <c r="BD747">
        <f>VII_Model_PKZ!BD50</f>
        <v/>
      </c>
      <c r="BE747">
        <f>VII_Model_PKZ!BE50</f>
        <v/>
      </c>
      <c r="BF747">
        <f>VII_Model_PKZ!BF50</f>
        <v/>
      </c>
      <c r="BG747">
        <f>VII_Model_PKZ!BG50</f>
        <v/>
      </c>
      <c r="BH747">
        <f>VII_Model_PKZ!BH50</f>
        <v/>
      </c>
      <c r="BI747">
        <f>VII_Model_PKZ!BI50</f>
        <v/>
      </c>
      <c r="BJ747">
        <f>O747</f>
        <v/>
      </c>
      <c r="BK747">
        <f>SUM(AG747:AW747)</f>
        <v/>
      </c>
      <c r="BL747" s="531">
        <f>BJ747-BK747</f>
        <v/>
      </c>
      <c r="BM747" s="201" t="n"/>
    </row>
    <row r="748" hidden="1" outlineLevel="1" s="191">
      <c r="A748">
        <f>VII_Model_PKZ!A51</f>
        <v/>
      </c>
      <c r="B748">
        <f>VII_Model_PKZ!B51</f>
        <v/>
      </c>
      <c r="C748">
        <f>VII_Model_PKZ!C51</f>
        <v/>
      </c>
      <c r="D748">
        <f>VII_Model_PKZ!D51</f>
        <v/>
      </c>
      <c r="E748">
        <f>VII_Model_PKZ!E51</f>
        <v/>
      </c>
      <c r="F748">
        <f>VII_Model_PKZ!F51</f>
        <v/>
      </c>
      <c r="G748">
        <f>VII_Model_PKZ!G51</f>
        <v/>
      </c>
      <c r="H748">
        <f>VII_Model_PKZ!H51</f>
        <v/>
      </c>
      <c r="I748">
        <f>VII_Model_PKZ!I51</f>
        <v/>
      </c>
      <c r="J748">
        <f>VII_Model_PKZ!J51</f>
        <v/>
      </c>
      <c r="K748" s="672">
        <f>VII_Model_PKZ!K51</f>
        <v/>
      </c>
      <c r="L748" s="672">
        <f>VII_Model_PKZ!L51</f>
        <v/>
      </c>
      <c r="M748">
        <f>VII_Model_PKZ!M51</f>
        <v/>
      </c>
      <c r="N748">
        <f>VII_Model_PKZ!N51</f>
        <v/>
      </c>
      <c r="O748">
        <f>VII_Model_PKZ!O51</f>
        <v/>
      </c>
      <c r="P748" s="628">
        <f>VII_Model_PKZ!P51</f>
        <v/>
      </c>
      <c r="Q748" s="628">
        <f>VII_Model_PKZ!Q51</f>
        <v/>
      </c>
      <c r="R748" s="628">
        <f>VII_Model_PKZ!R51</f>
        <v/>
      </c>
      <c r="S748" s="628">
        <f>VII_Model_PKZ!S51</f>
        <v/>
      </c>
      <c r="T748" s="628">
        <f>VII_Model_PKZ!T51</f>
        <v/>
      </c>
      <c r="U748" s="628">
        <f>VII_Model_PKZ!U51</f>
        <v/>
      </c>
      <c r="V748" s="628">
        <f>VII_Model_PKZ!V51</f>
        <v/>
      </c>
      <c r="W748" s="628">
        <f>VII_Model_PKZ!W51</f>
        <v/>
      </c>
      <c r="X748" s="628">
        <f>VII_Model_PKZ!X51</f>
        <v/>
      </c>
      <c r="Y748" s="650">
        <f>VII_Model_PKZ!Y51</f>
        <v/>
      </c>
      <c r="Z748" s="650">
        <f>VII_Model_PKZ!Z51</f>
        <v/>
      </c>
      <c r="AA748" s="650">
        <f>VII_Model_PKZ!AA51</f>
        <v/>
      </c>
      <c r="AB748" s="650">
        <f>VII_Model_PKZ!AB51</f>
        <v/>
      </c>
      <c r="AC748" s="613">
        <f>VII_Model_PKZ!AC51</f>
        <v/>
      </c>
      <c r="AD748" s="613">
        <f>VII_Model_PKZ!AD51</f>
        <v/>
      </c>
      <c r="AE748" s="613">
        <f>VII_Model_PKZ!AE51</f>
        <v/>
      </c>
      <c r="AF748" s="613">
        <f>VII_Model_PKZ!AF51</f>
        <v/>
      </c>
      <c r="AG748" s="626">
        <f>VII_Model_PKZ!AG51</f>
        <v/>
      </c>
      <c r="AH748" s="626">
        <f>VII_Model_PKZ!AH51</f>
        <v/>
      </c>
      <c r="AI748" s="626">
        <f>VII_Model_PKZ!AI51</f>
        <v/>
      </c>
      <c r="AJ748" s="626">
        <f>VII_Model_PKZ!AJ51</f>
        <v/>
      </c>
      <c r="AK748" s="626">
        <f>VII_Model_PKZ!AK51</f>
        <v/>
      </c>
      <c r="AL748" s="626">
        <f>VII_Model_PKZ!AL51</f>
        <v/>
      </c>
      <c r="AM748" s="626">
        <f>VII_Model_PKZ!AM51</f>
        <v/>
      </c>
      <c r="AN748" s="626">
        <f>VII_Model_PKZ!AN51</f>
        <v/>
      </c>
      <c r="AO748" s="626">
        <f>VII_Model_PKZ!AO51</f>
        <v/>
      </c>
      <c r="AP748" s="369">
        <f>VII_Model_PKZ!AP51</f>
        <v/>
      </c>
      <c r="AQ748" s="369">
        <f>VII_Model_PKZ!AQ51</f>
        <v/>
      </c>
      <c r="AR748" s="369">
        <f>VII_Model_PKZ!AR51</f>
        <v/>
      </c>
      <c r="AS748" s="369">
        <f>VII_Model_PKZ!AS51</f>
        <v/>
      </c>
      <c r="AT748" s="370">
        <f>VII_Model_PKZ!AT51</f>
        <v/>
      </c>
      <c r="AU748" s="370">
        <f>VII_Model_PKZ!AU51</f>
        <v/>
      </c>
      <c r="AV748" s="370">
        <f>VII_Model_PKZ!AV51</f>
        <v/>
      </c>
      <c r="AW748" s="370">
        <f>VII_Model_PKZ!AW51</f>
        <v/>
      </c>
      <c r="AX748">
        <f>VII_Model_PKZ!AX51</f>
        <v/>
      </c>
      <c r="AY748">
        <f>VII_Model_PKZ!AY51</f>
        <v/>
      </c>
      <c r="AZ748">
        <f>VII_Model_PKZ!AZ51</f>
        <v/>
      </c>
      <c r="BA748">
        <f>VII_Model_PKZ!BA51</f>
        <v/>
      </c>
      <c r="BB748">
        <f>VII_Model_PKZ!BB51</f>
        <v/>
      </c>
      <c r="BC748">
        <f>VII_Model_PKZ!BC51</f>
        <v/>
      </c>
      <c r="BD748">
        <f>VII_Model_PKZ!BD51</f>
        <v/>
      </c>
      <c r="BE748">
        <f>VII_Model_PKZ!BE51</f>
        <v/>
      </c>
      <c r="BF748">
        <f>VII_Model_PKZ!BF51</f>
        <v/>
      </c>
      <c r="BG748">
        <f>VII_Model_PKZ!BG51</f>
        <v/>
      </c>
      <c r="BH748">
        <f>VII_Model_PKZ!BH51</f>
        <v/>
      </c>
      <c r="BI748">
        <f>VII_Model_PKZ!BI51</f>
        <v/>
      </c>
      <c r="BJ748">
        <f>O748</f>
        <v/>
      </c>
      <c r="BK748">
        <f>SUM(AG748:AW748)</f>
        <v/>
      </c>
      <c r="BL748" s="531">
        <f>BJ748-BK748</f>
        <v/>
      </c>
      <c r="BM748" s="201" t="n"/>
    </row>
    <row r="749" hidden="1" outlineLevel="1" s="191">
      <c r="A749">
        <f>VII_Model_PKZ!A52</f>
        <v/>
      </c>
      <c r="B749">
        <f>VII_Model_PKZ!B52</f>
        <v/>
      </c>
      <c r="C749">
        <f>VII_Model_PKZ!C52</f>
        <v/>
      </c>
      <c r="D749">
        <f>VII_Model_PKZ!D52</f>
        <v/>
      </c>
      <c r="E749">
        <f>VII_Model_PKZ!E52</f>
        <v/>
      </c>
      <c r="F749">
        <f>VII_Model_PKZ!F52</f>
        <v/>
      </c>
      <c r="G749">
        <f>VII_Model_PKZ!G52</f>
        <v/>
      </c>
      <c r="H749">
        <f>VII_Model_PKZ!H52</f>
        <v/>
      </c>
      <c r="I749">
        <f>VII_Model_PKZ!I52</f>
        <v/>
      </c>
      <c r="J749">
        <f>VII_Model_PKZ!J52</f>
        <v/>
      </c>
      <c r="K749" s="672">
        <f>VII_Model_PKZ!K52</f>
        <v/>
      </c>
      <c r="L749" s="672">
        <f>VII_Model_PKZ!L52</f>
        <v/>
      </c>
      <c r="M749">
        <f>VII_Model_PKZ!M52</f>
        <v/>
      </c>
      <c r="N749">
        <f>VII_Model_PKZ!N52</f>
        <v/>
      </c>
      <c r="O749">
        <f>VII_Model_PKZ!O52</f>
        <v/>
      </c>
      <c r="P749" s="628">
        <f>VII_Model_PKZ!P52</f>
        <v/>
      </c>
      <c r="Q749" s="628">
        <f>VII_Model_PKZ!Q52</f>
        <v/>
      </c>
      <c r="R749" s="628">
        <f>VII_Model_PKZ!R52</f>
        <v/>
      </c>
      <c r="S749" s="628">
        <f>VII_Model_PKZ!S52</f>
        <v/>
      </c>
      <c r="T749" s="628">
        <f>VII_Model_PKZ!T52</f>
        <v/>
      </c>
      <c r="U749" s="628">
        <f>VII_Model_PKZ!U52</f>
        <v/>
      </c>
      <c r="V749" s="628">
        <f>VII_Model_PKZ!V52</f>
        <v/>
      </c>
      <c r="W749" s="628">
        <f>VII_Model_PKZ!W52</f>
        <v/>
      </c>
      <c r="X749" s="628">
        <f>VII_Model_PKZ!X52</f>
        <v/>
      </c>
      <c r="Y749" s="650">
        <f>VII_Model_PKZ!Y52</f>
        <v/>
      </c>
      <c r="Z749" s="650">
        <f>VII_Model_PKZ!Z52</f>
        <v/>
      </c>
      <c r="AA749" s="650">
        <f>VII_Model_PKZ!AA52</f>
        <v/>
      </c>
      <c r="AB749" s="650">
        <f>VII_Model_PKZ!AB52</f>
        <v/>
      </c>
      <c r="AC749" s="613">
        <f>VII_Model_PKZ!AC52</f>
        <v/>
      </c>
      <c r="AD749" s="613">
        <f>VII_Model_PKZ!AD52</f>
        <v/>
      </c>
      <c r="AE749" s="613">
        <f>VII_Model_PKZ!AE52</f>
        <v/>
      </c>
      <c r="AF749" s="613">
        <f>VII_Model_PKZ!AF52</f>
        <v/>
      </c>
      <c r="AG749" s="626">
        <f>VII_Model_PKZ!AG52</f>
        <v/>
      </c>
      <c r="AH749" s="626">
        <f>VII_Model_PKZ!AH52</f>
        <v/>
      </c>
      <c r="AI749" s="626">
        <f>VII_Model_PKZ!AI52</f>
        <v/>
      </c>
      <c r="AJ749" s="626">
        <f>VII_Model_PKZ!AJ52</f>
        <v/>
      </c>
      <c r="AK749" s="626">
        <f>VII_Model_PKZ!AK52</f>
        <v/>
      </c>
      <c r="AL749" s="626">
        <f>VII_Model_PKZ!AL52</f>
        <v/>
      </c>
      <c r="AM749" s="626">
        <f>VII_Model_PKZ!AM52</f>
        <v/>
      </c>
      <c r="AN749" s="626">
        <f>VII_Model_PKZ!AN52</f>
        <v/>
      </c>
      <c r="AO749" s="626">
        <f>VII_Model_PKZ!AO52</f>
        <v/>
      </c>
      <c r="AP749" s="369">
        <f>VII_Model_PKZ!AP52</f>
        <v/>
      </c>
      <c r="AQ749" s="369">
        <f>VII_Model_PKZ!AQ52</f>
        <v/>
      </c>
      <c r="AR749" s="369">
        <f>VII_Model_PKZ!AR52</f>
        <v/>
      </c>
      <c r="AS749" s="369">
        <f>VII_Model_PKZ!AS52</f>
        <v/>
      </c>
      <c r="AT749" s="370">
        <f>VII_Model_PKZ!AT52</f>
        <v/>
      </c>
      <c r="AU749" s="370">
        <f>VII_Model_PKZ!AU52</f>
        <v/>
      </c>
      <c r="AV749" s="370">
        <f>VII_Model_PKZ!AV52</f>
        <v/>
      </c>
      <c r="AW749" s="370">
        <f>VII_Model_PKZ!AW52</f>
        <v/>
      </c>
      <c r="AX749">
        <f>VII_Model_PKZ!AX52</f>
        <v/>
      </c>
      <c r="AY749">
        <f>VII_Model_PKZ!AY52</f>
        <v/>
      </c>
      <c r="AZ749">
        <f>VII_Model_PKZ!AZ52</f>
        <v/>
      </c>
      <c r="BA749">
        <f>VII_Model_PKZ!BA52</f>
        <v/>
      </c>
      <c r="BB749">
        <f>VII_Model_PKZ!BB52</f>
        <v/>
      </c>
      <c r="BC749">
        <f>VII_Model_PKZ!BC52</f>
        <v/>
      </c>
      <c r="BD749">
        <f>VII_Model_PKZ!BD52</f>
        <v/>
      </c>
      <c r="BE749">
        <f>VII_Model_PKZ!BE52</f>
        <v/>
      </c>
      <c r="BF749">
        <f>VII_Model_PKZ!BF52</f>
        <v/>
      </c>
      <c r="BG749">
        <f>VII_Model_PKZ!BG52</f>
        <v/>
      </c>
      <c r="BH749">
        <f>VII_Model_PKZ!BH52</f>
        <v/>
      </c>
      <c r="BI749">
        <f>VII_Model_PKZ!BI52</f>
        <v/>
      </c>
      <c r="BJ749">
        <f>O749</f>
        <v/>
      </c>
      <c r="BK749">
        <f>SUM(AG749:AW749)</f>
        <v/>
      </c>
      <c r="BL749" s="531">
        <f>BJ749-BK749</f>
        <v/>
      </c>
      <c r="BM749" s="201" t="n"/>
    </row>
    <row r="750" hidden="1" outlineLevel="1" s="191">
      <c r="A750">
        <f>VII_Model_PKZ!A53</f>
        <v/>
      </c>
      <c r="B750">
        <f>VII_Model_PKZ!B53</f>
        <v/>
      </c>
      <c r="C750">
        <f>VII_Model_PKZ!C53</f>
        <v/>
      </c>
      <c r="D750">
        <f>VII_Model_PKZ!D53</f>
        <v/>
      </c>
      <c r="E750">
        <f>VII_Model_PKZ!E53</f>
        <v/>
      </c>
      <c r="F750">
        <f>VII_Model_PKZ!F53</f>
        <v/>
      </c>
      <c r="G750">
        <f>VII_Model_PKZ!G53</f>
        <v/>
      </c>
      <c r="H750">
        <f>VII_Model_PKZ!H53</f>
        <v/>
      </c>
      <c r="I750">
        <f>VII_Model_PKZ!I53</f>
        <v/>
      </c>
      <c r="J750">
        <f>VII_Model_PKZ!J53</f>
        <v/>
      </c>
      <c r="K750" s="672">
        <f>VII_Model_PKZ!K53</f>
        <v/>
      </c>
      <c r="L750" s="672">
        <f>VII_Model_PKZ!L53</f>
        <v/>
      </c>
      <c r="M750">
        <f>VII_Model_PKZ!M53</f>
        <v/>
      </c>
      <c r="N750">
        <f>VII_Model_PKZ!N53</f>
        <v/>
      </c>
      <c r="O750">
        <f>VII_Model_PKZ!O53</f>
        <v/>
      </c>
      <c r="P750" s="628">
        <f>VII_Model_PKZ!P53</f>
        <v/>
      </c>
      <c r="Q750" s="628">
        <f>VII_Model_PKZ!Q53</f>
        <v/>
      </c>
      <c r="R750" s="628">
        <f>VII_Model_PKZ!R53</f>
        <v/>
      </c>
      <c r="S750" s="628">
        <f>VII_Model_PKZ!S53</f>
        <v/>
      </c>
      <c r="T750" s="628">
        <f>VII_Model_PKZ!T53</f>
        <v/>
      </c>
      <c r="U750" s="628">
        <f>VII_Model_PKZ!U53</f>
        <v/>
      </c>
      <c r="V750" s="628">
        <f>VII_Model_PKZ!V53</f>
        <v/>
      </c>
      <c r="W750" s="628">
        <f>VII_Model_PKZ!W53</f>
        <v/>
      </c>
      <c r="X750" s="628">
        <f>VII_Model_PKZ!X53</f>
        <v/>
      </c>
      <c r="Y750" s="650">
        <f>VII_Model_PKZ!Y53</f>
        <v/>
      </c>
      <c r="Z750" s="650">
        <f>VII_Model_PKZ!Z53</f>
        <v/>
      </c>
      <c r="AA750" s="650">
        <f>VII_Model_PKZ!AA53</f>
        <v/>
      </c>
      <c r="AB750" s="650">
        <f>VII_Model_PKZ!AB53</f>
        <v/>
      </c>
      <c r="AC750" s="613">
        <f>VII_Model_PKZ!AC53</f>
        <v/>
      </c>
      <c r="AD750" s="613">
        <f>VII_Model_PKZ!AD53</f>
        <v/>
      </c>
      <c r="AE750" s="613">
        <f>VII_Model_PKZ!AE53</f>
        <v/>
      </c>
      <c r="AF750" s="613">
        <f>VII_Model_PKZ!AF53</f>
        <v/>
      </c>
      <c r="AG750" s="626">
        <f>VII_Model_PKZ!AG53</f>
        <v/>
      </c>
      <c r="AH750" s="626">
        <f>VII_Model_PKZ!AH53</f>
        <v/>
      </c>
      <c r="AI750" s="626">
        <f>VII_Model_PKZ!AI53</f>
        <v/>
      </c>
      <c r="AJ750" s="626">
        <f>VII_Model_PKZ!AJ53</f>
        <v/>
      </c>
      <c r="AK750" s="626">
        <f>VII_Model_PKZ!AK53</f>
        <v/>
      </c>
      <c r="AL750" s="626">
        <f>VII_Model_PKZ!AL53</f>
        <v/>
      </c>
      <c r="AM750" s="626">
        <f>VII_Model_PKZ!AM53</f>
        <v/>
      </c>
      <c r="AN750" s="626">
        <f>VII_Model_PKZ!AN53</f>
        <v/>
      </c>
      <c r="AO750" s="626">
        <f>VII_Model_PKZ!AO53</f>
        <v/>
      </c>
      <c r="AP750" s="369">
        <f>VII_Model_PKZ!AP53</f>
        <v/>
      </c>
      <c r="AQ750" s="369">
        <f>VII_Model_PKZ!AQ53</f>
        <v/>
      </c>
      <c r="AR750" s="369">
        <f>VII_Model_PKZ!AR53</f>
        <v/>
      </c>
      <c r="AS750" s="369">
        <f>VII_Model_PKZ!AS53</f>
        <v/>
      </c>
      <c r="AT750" s="370">
        <f>VII_Model_PKZ!AT53</f>
        <v/>
      </c>
      <c r="AU750" s="370">
        <f>VII_Model_PKZ!AU53</f>
        <v/>
      </c>
      <c r="AV750" s="370">
        <f>VII_Model_PKZ!AV53</f>
        <v/>
      </c>
      <c r="AW750" s="370">
        <f>VII_Model_PKZ!AW53</f>
        <v/>
      </c>
      <c r="AX750">
        <f>VII_Model_PKZ!AX53</f>
        <v/>
      </c>
      <c r="AY750">
        <f>VII_Model_PKZ!AY53</f>
        <v/>
      </c>
      <c r="AZ750">
        <f>VII_Model_PKZ!AZ53</f>
        <v/>
      </c>
      <c r="BA750">
        <f>VII_Model_PKZ!BA53</f>
        <v/>
      </c>
      <c r="BB750">
        <f>VII_Model_PKZ!BB53</f>
        <v/>
      </c>
      <c r="BC750">
        <f>VII_Model_PKZ!BC53</f>
        <v/>
      </c>
      <c r="BD750">
        <f>VII_Model_PKZ!BD53</f>
        <v/>
      </c>
      <c r="BE750">
        <f>VII_Model_PKZ!BE53</f>
        <v/>
      </c>
      <c r="BF750">
        <f>VII_Model_PKZ!BF53</f>
        <v/>
      </c>
      <c r="BG750">
        <f>VII_Model_PKZ!BG53</f>
        <v/>
      </c>
      <c r="BH750">
        <f>VII_Model_PKZ!BH53</f>
        <v/>
      </c>
      <c r="BI750">
        <f>VII_Model_PKZ!BI53</f>
        <v/>
      </c>
      <c r="BJ750">
        <f>O750</f>
        <v/>
      </c>
      <c r="BK750">
        <f>SUM(AG750:AW750)</f>
        <v/>
      </c>
      <c r="BL750" s="531">
        <f>BJ750-BK750</f>
        <v/>
      </c>
      <c r="BM750" s="201" t="n"/>
    </row>
    <row r="751" hidden="1" outlineLevel="1" s="191">
      <c r="A751">
        <f>VII_Model_PKZ!A54</f>
        <v/>
      </c>
      <c r="B751">
        <f>VII_Model_PKZ!B54</f>
        <v/>
      </c>
      <c r="C751">
        <f>VII_Model_PKZ!C54</f>
        <v/>
      </c>
      <c r="D751">
        <f>VII_Model_PKZ!D54</f>
        <v/>
      </c>
      <c r="E751">
        <f>VII_Model_PKZ!E54</f>
        <v/>
      </c>
      <c r="F751">
        <f>VII_Model_PKZ!F54</f>
        <v/>
      </c>
      <c r="G751">
        <f>VII_Model_PKZ!G54</f>
        <v/>
      </c>
      <c r="H751">
        <f>VII_Model_PKZ!H54</f>
        <v/>
      </c>
      <c r="I751">
        <f>VII_Model_PKZ!I54</f>
        <v/>
      </c>
      <c r="J751">
        <f>VII_Model_PKZ!J54</f>
        <v/>
      </c>
      <c r="K751" s="672">
        <f>VII_Model_PKZ!K54</f>
        <v/>
      </c>
      <c r="L751" s="672">
        <f>VII_Model_PKZ!L54</f>
        <v/>
      </c>
      <c r="M751">
        <f>VII_Model_PKZ!M54</f>
        <v/>
      </c>
      <c r="N751">
        <f>VII_Model_PKZ!N54</f>
        <v/>
      </c>
      <c r="O751">
        <f>VII_Model_PKZ!O54</f>
        <v/>
      </c>
      <c r="P751" s="628">
        <f>VII_Model_PKZ!P54</f>
        <v/>
      </c>
      <c r="Q751" s="628">
        <f>VII_Model_PKZ!Q54</f>
        <v/>
      </c>
      <c r="R751" s="628">
        <f>VII_Model_PKZ!R54</f>
        <v/>
      </c>
      <c r="S751" s="628">
        <f>VII_Model_PKZ!S54</f>
        <v/>
      </c>
      <c r="T751" s="628">
        <f>VII_Model_PKZ!T54</f>
        <v/>
      </c>
      <c r="U751" s="628">
        <f>VII_Model_PKZ!U54</f>
        <v/>
      </c>
      <c r="V751" s="628">
        <f>VII_Model_PKZ!V54</f>
        <v/>
      </c>
      <c r="W751" s="628">
        <f>VII_Model_PKZ!W54</f>
        <v/>
      </c>
      <c r="X751" s="628">
        <f>VII_Model_PKZ!X54</f>
        <v/>
      </c>
      <c r="Y751" s="650">
        <f>VII_Model_PKZ!Y54</f>
        <v/>
      </c>
      <c r="Z751" s="650">
        <f>VII_Model_PKZ!Z54</f>
        <v/>
      </c>
      <c r="AA751" s="650">
        <f>VII_Model_PKZ!AA54</f>
        <v/>
      </c>
      <c r="AB751" s="650">
        <f>VII_Model_PKZ!AB54</f>
        <v/>
      </c>
      <c r="AC751" s="613">
        <f>VII_Model_PKZ!AC54</f>
        <v/>
      </c>
      <c r="AD751" s="613">
        <f>VII_Model_PKZ!AD54</f>
        <v/>
      </c>
      <c r="AE751" s="613">
        <f>VII_Model_PKZ!AE54</f>
        <v/>
      </c>
      <c r="AF751" s="613">
        <f>VII_Model_PKZ!AF54</f>
        <v/>
      </c>
      <c r="AG751" s="626">
        <f>VII_Model_PKZ!AG54</f>
        <v/>
      </c>
      <c r="AH751" s="626">
        <f>VII_Model_PKZ!AH54</f>
        <v/>
      </c>
      <c r="AI751" s="626">
        <f>VII_Model_PKZ!AI54</f>
        <v/>
      </c>
      <c r="AJ751" s="626">
        <f>VII_Model_PKZ!AJ54</f>
        <v/>
      </c>
      <c r="AK751" s="626">
        <f>VII_Model_PKZ!AK54</f>
        <v/>
      </c>
      <c r="AL751" s="626">
        <f>VII_Model_PKZ!AL54</f>
        <v/>
      </c>
      <c r="AM751" s="626">
        <f>VII_Model_PKZ!AM54</f>
        <v/>
      </c>
      <c r="AN751" s="626">
        <f>VII_Model_PKZ!AN54</f>
        <v/>
      </c>
      <c r="AO751" s="626">
        <f>VII_Model_PKZ!AO54</f>
        <v/>
      </c>
      <c r="AP751" s="369">
        <f>VII_Model_PKZ!AP54</f>
        <v/>
      </c>
      <c r="AQ751" s="369">
        <f>VII_Model_PKZ!AQ54</f>
        <v/>
      </c>
      <c r="AR751" s="369">
        <f>VII_Model_PKZ!AR54</f>
        <v/>
      </c>
      <c r="AS751" s="369">
        <f>VII_Model_PKZ!AS54</f>
        <v/>
      </c>
      <c r="AT751" s="370">
        <f>VII_Model_PKZ!AT54</f>
        <v/>
      </c>
      <c r="AU751" s="370">
        <f>VII_Model_PKZ!AU54</f>
        <v/>
      </c>
      <c r="AV751" s="370">
        <f>VII_Model_PKZ!AV54</f>
        <v/>
      </c>
      <c r="AW751" s="370">
        <f>VII_Model_PKZ!AW54</f>
        <v/>
      </c>
      <c r="AX751">
        <f>VII_Model_PKZ!AX54</f>
        <v/>
      </c>
      <c r="AY751">
        <f>VII_Model_PKZ!AY54</f>
        <v/>
      </c>
      <c r="AZ751">
        <f>VII_Model_PKZ!AZ54</f>
        <v/>
      </c>
      <c r="BA751">
        <f>VII_Model_PKZ!BA54</f>
        <v/>
      </c>
      <c r="BB751">
        <f>VII_Model_PKZ!BB54</f>
        <v/>
      </c>
      <c r="BC751">
        <f>VII_Model_PKZ!BC54</f>
        <v/>
      </c>
      <c r="BD751">
        <f>VII_Model_PKZ!BD54</f>
        <v/>
      </c>
      <c r="BE751">
        <f>VII_Model_PKZ!BE54</f>
        <v/>
      </c>
      <c r="BF751">
        <f>VII_Model_PKZ!BF54</f>
        <v/>
      </c>
      <c r="BG751">
        <f>VII_Model_PKZ!BG54</f>
        <v/>
      </c>
      <c r="BH751">
        <f>VII_Model_PKZ!BH54</f>
        <v/>
      </c>
      <c r="BI751">
        <f>VII_Model_PKZ!BI54</f>
        <v/>
      </c>
      <c r="BJ751">
        <f>O751</f>
        <v/>
      </c>
      <c r="BK751">
        <f>SUM(AG751:AW751)</f>
        <v/>
      </c>
      <c r="BL751" s="531">
        <f>BJ751-BK751</f>
        <v/>
      </c>
      <c r="BM751" s="201" t="n"/>
    </row>
    <row r="752" hidden="1" outlineLevel="1" s="191">
      <c r="A752">
        <f>VII_Model_PKZ!A55</f>
        <v/>
      </c>
      <c r="B752">
        <f>VII_Model_PKZ!B55</f>
        <v/>
      </c>
      <c r="C752">
        <f>VII_Model_PKZ!C55</f>
        <v/>
      </c>
      <c r="D752">
        <f>VII_Model_PKZ!D55</f>
        <v/>
      </c>
      <c r="E752">
        <f>VII_Model_PKZ!E55</f>
        <v/>
      </c>
      <c r="F752">
        <f>VII_Model_PKZ!F55</f>
        <v/>
      </c>
      <c r="G752">
        <f>VII_Model_PKZ!G55</f>
        <v/>
      </c>
      <c r="H752">
        <f>VII_Model_PKZ!H55</f>
        <v/>
      </c>
      <c r="I752">
        <f>VII_Model_PKZ!I55</f>
        <v/>
      </c>
      <c r="J752">
        <f>VII_Model_PKZ!J55</f>
        <v/>
      </c>
      <c r="K752" s="672">
        <f>VII_Model_PKZ!K55</f>
        <v/>
      </c>
      <c r="L752" s="672">
        <f>VII_Model_PKZ!L55</f>
        <v/>
      </c>
      <c r="M752">
        <f>VII_Model_PKZ!M55</f>
        <v/>
      </c>
      <c r="N752">
        <f>VII_Model_PKZ!N55</f>
        <v/>
      </c>
      <c r="O752">
        <f>VII_Model_PKZ!O55</f>
        <v/>
      </c>
      <c r="P752" s="628">
        <f>VII_Model_PKZ!P55</f>
        <v/>
      </c>
      <c r="Q752" s="628">
        <f>VII_Model_PKZ!Q55</f>
        <v/>
      </c>
      <c r="R752" s="628">
        <f>VII_Model_PKZ!R55</f>
        <v/>
      </c>
      <c r="S752" s="628">
        <f>VII_Model_PKZ!S55</f>
        <v/>
      </c>
      <c r="T752" s="628">
        <f>VII_Model_PKZ!T55</f>
        <v/>
      </c>
      <c r="U752" s="628">
        <f>VII_Model_PKZ!U55</f>
        <v/>
      </c>
      <c r="V752" s="628">
        <f>VII_Model_PKZ!V55</f>
        <v/>
      </c>
      <c r="W752" s="628">
        <f>VII_Model_PKZ!W55</f>
        <v/>
      </c>
      <c r="X752" s="628">
        <f>VII_Model_PKZ!X55</f>
        <v/>
      </c>
      <c r="Y752" s="650">
        <f>VII_Model_PKZ!Y55</f>
        <v/>
      </c>
      <c r="Z752" s="650">
        <f>VII_Model_PKZ!Z55</f>
        <v/>
      </c>
      <c r="AA752" s="650">
        <f>VII_Model_PKZ!AA55</f>
        <v/>
      </c>
      <c r="AB752" s="650">
        <f>VII_Model_PKZ!AB55</f>
        <v/>
      </c>
      <c r="AC752" s="613">
        <f>VII_Model_PKZ!AC55</f>
        <v/>
      </c>
      <c r="AD752" s="613">
        <f>VII_Model_PKZ!AD55</f>
        <v/>
      </c>
      <c r="AE752" s="613">
        <f>VII_Model_PKZ!AE55</f>
        <v/>
      </c>
      <c r="AF752" s="613">
        <f>VII_Model_PKZ!AF55</f>
        <v/>
      </c>
      <c r="AG752" s="626">
        <f>VII_Model_PKZ!AG55</f>
        <v/>
      </c>
      <c r="AH752" s="626">
        <f>VII_Model_PKZ!AH55</f>
        <v/>
      </c>
      <c r="AI752" s="626">
        <f>VII_Model_PKZ!AI55</f>
        <v/>
      </c>
      <c r="AJ752" s="626">
        <f>VII_Model_PKZ!AJ55</f>
        <v/>
      </c>
      <c r="AK752" s="626">
        <f>VII_Model_PKZ!AK55</f>
        <v/>
      </c>
      <c r="AL752" s="626">
        <f>VII_Model_PKZ!AL55</f>
        <v/>
      </c>
      <c r="AM752" s="626">
        <f>VII_Model_PKZ!AM55</f>
        <v/>
      </c>
      <c r="AN752" s="626">
        <f>VII_Model_PKZ!AN55</f>
        <v/>
      </c>
      <c r="AO752" s="626">
        <f>VII_Model_PKZ!AO55</f>
        <v/>
      </c>
      <c r="AP752" s="369">
        <f>VII_Model_PKZ!AP55</f>
        <v/>
      </c>
      <c r="AQ752" s="369">
        <f>VII_Model_PKZ!AQ55</f>
        <v/>
      </c>
      <c r="AR752" s="369">
        <f>VII_Model_PKZ!AR55</f>
        <v/>
      </c>
      <c r="AS752" s="369">
        <f>VII_Model_PKZ!AS55</f>
        <v/>
      </c>
      <c r="AT752" s="370">
        <f>VII_Model_PKZ!AT55</f>
        <v/>
      </c>
      <c r="AU752" s="370">
        <f>VII_Model_PKZ!AU55</f>
        <v/>
      </c>
      <c r="AV752" s="370">
        <f>VII_Model_PKZ!AV55</f>
        <v/>
      </c>
      <c r="AW752" s="370">
        <f>VII_Model_PKZ!AW55</f>
        <v/>
      </c>
      <c r="AX752">
        <f>VII_Model_PKZ!AX55</f>
        <v/>
      </c>
      <c r="AY752">
        <f>VII_Model_PKZ!AY55</f>
        <v/>
      </c>
      <c r="AZ752">
        <f>VII_Model_PKZ!AZ55</f>
        <v/>
      </c>
      <c r="BA752">
        <f>VII_Model_PKZ!BA55</f>
        <v/>
      </c>
      <c r="BB752">
        <f>VII_Model_PKZ!BB55</f>
        <v/>
      </c>
      <c r="BC752">
        <f>VII_Model_PKZ!BC55</f>
        <v/>
      </c>
      <c r="BD752">
        <f>VII_Model_PKZ!BD55</f>
        <v/>
      </c>
      <c r="BE752">
        <f>VII_Model_PKZ!BE55</f>
        <v/>
      </c>
      <c r="BF752">
        <f>VII_Model_PKZ!BF55</f>
        <v/>
      </c>
      <c r="BG752">
        <f>VII_Model_PKZ!BG55</f>
        <v/>
      </c>
      <c r="BH752">
        <f>VII_Model_PKZ!BH55</f>
        <v/>
      </c>
      <c r="BI752">
        <f>VII_Model_PKZ!BI55</f>
        <v/>
      </c>
      <c r="BJ752">
        <f>O752</f>
        <v/>
      </c>
      <c r="BK752">
        <f>SUM(AG752:AW752)</f>
        <v/>
      </c>
      <c r="BL752" s="531">
        <f>BJ752-BK752</f>
        <v/>
      </c>
      <c r="BM752" s="201" t="n"/>
    </row>
    <row r="753" hidden="1" outlineLevel="1" s="191">
      <c r="A753">
        <f>VII_Model_PKZ!A56</f>
        <v/>
      </c>
      <c r="B753">
        <f>VII_Model_PKZ!B56</f>
        <v/>
      </c>
      <c r="C753">
        <f>VII_Model_PKZ!C56</f>
        <v/>
      </c>
      <c r="D753">
        <f>VII_Model_PKZ!D56</f>
        <v/>
      </c>
      <c r="E753">
        <f>VII_Model_PKZ!E56</f>
        <v/>
      </c>
      <c r="F753">
        <f>VII_Model_PKZ!F56</f>
        <v/>
      </c>
      <c r="G753">
        <f>VII_Model_PKZ!G56</f>
        <v/>
      </c>
      <c r="H753">
        <f>VII_Model_PKZ!H56</f>
        <v/>
      </c>
      <c r="I753">
        <f>VII_Model_PKZ!I56</f>
        <v/>
      </c>
      <c r="J753">
        <f>VII_Model_PKZ!J56</f>
        <v/>
      </c>
      <c r="K753" s="672">
        <f>VII_Model_PKZ!K56</f>
        <v/>
      </c>
      <c r="L753" s="672">
        <f>VII_Model_PKZ!L56</f>
        <v/>
      </c>
      <c r="M753">
        <f>VII_Model_PKZ!M56</f>
        <v/>
      </c>
      <c r="N753">
        <f>VII_Model_PKZ!N56</f>
        <v/>
      </c>
      <c r="O753">
        <f>VII_Model_PKZ!O56</f>
        <v/>
      </c>
      <c r="P753" s="628">
        <f>VII_Model_PKZ!P56</f>
        <v/>
      </c>
      <c r="Q753" s="628">
        <f>VII_Model_PKZ!Q56</f>
        <v/>
      </c>
      <c r="R753" s="628">
        <f>VII_Model_PKZ!R56</f>
        <v/>
      </c>
      <c r="S753" s="628">
        <f>VII_Model_PKZ!S56</f>
        <v/>
      </c>
      <c r="T753" s="628">
        <f>VII_Model_PKZ!T56</f>
        <v/>
      </c>
      <c r="U753" s="628">
        <f>VII_Model_PKZ!U56</f>
        <v/>
      </c>
      <c r="V753" s="628">
        <f>VII_Model_PKZ!V56</f>
        <v/>
      </c>
      <c r="W753" s="628">
        <f>VII_Model_PKZ!W56</f>
        <v/>
      </c>
      <c r="X753" s="628">
        <f>VII_Model_PKZ!X56</f>
        <v/>
      </c>
      <c r="Y753" s="650">
        <f>VII_Model_PKZ!Y56</f>
        <v/>
      </c>
      <c r="Z753" s="650">
        <f>VII_Model_PKZ!Z56</f>
        <v/>
      </c>
      <c r="AA753" s="650">
        <f>VII_Model_PKZ!AA56</f>
        <v/>
      </c>
      <c r="AB753" s="650">
        <f>VII_Model_PKZ!AB56</f>
        <v/>
      </c>
      <c r="AC753" s="613">
        <f>VII_Model_PKZ!AC56</f>
        <v/>
      </c>
      <c r="AD753" s="613">
        <f>VII_Model_PKZ!AD56</f>
        <v/>
      </c>
      <c r="AE753" s="613">
        <f>VII_Model_PKZ!AE56</f>
        <v/>
      </c>
      <c r="AF753" s="613">
        <f>VII_Model_PKZ!AF56</f>
        <v/>
      </c>
      <c r="AG753" s="626">
        <f>VII_Model_PKZ!AG56</f>
        <v/>
      </c>
      <c r="AH753" s="626">
        <f>VII_Model_PKZ!AH56</f>
        <v/>
      </c>
      <c r="AI753" s="626">
        <f>VII_Model_PKZ!AI56</f>
        <v/>
      </c>
      <c r="AJ753" s="626">
        <f>VII_Model_PKZ!AJ56</f>
        <v/>
      </c>
      <c r="AK753" s="626">
        <f>VII_Model_PKZ!AK56</f>
        <v/>
      </c>
      <c r="AL753" s="626">
        <f>VII_Model_PKZ!AL56</f>
        <v/>
      </c>
      <c r="AM753" s="626">
        <f>VII_Model_PKZ!AM56</f>
        <v/>
      </c>
      <c r="AN753" s="626">
        <f>VII_Model_PKZ!AN56</f>
        <v/>
      </c>
      <c r="AO753" s="626">
        <f>VII_Model_PKZ!AO56</f>
        <v/>
      </c>
      <c r="AP753" s="369">
        <f>VII_Model_PKZ!AP56</f>
        <v/>
      </c>
      <c r="AQ753" s="369">
        <f>VII_Model_PKZ!AQ56</f>
        <v/>
      </c>
      <c r="AR753" s="369">
        <f>VII_Model_PKZ!AR56</f>
        <v/>
      </c>
      <c r="AS753" s="369">
        <f>VII_Model_PKZ!AS56</f>
        <v/>
      </c>
      <c r="AT753" s="370">
        <f>VII_Model_PKZ!AT56</f>
        <v/>
      </c>
      <c r="AU753" s="370">
        <f>VII_Model_PKZ!AU56</f>
        <v/>
      </c>
      <c r="AV753" s="370">
        <f>VII_Model_PKZ!AV56</f>
        <v/>
      </c>
      <c r="AW753" s="370">
        <f>VII_Model_PKZ!AW56</f>
        <v/>
      </c>
      <c r="AX753">
        <f>VII_Model_PKZ!AX56</f>
        <v/>
      </c>
      <c r="AY753">
        <f>VII_Model_PKZ!AY56</f>
        <v/>
      </c>
      <c r="AZ753">
        <f>VII_Model_PKZ!AZ56</f>
        <v/>
      </c>
      <c r="BA753">
        <f>VII_Model_PKZ!BA56</f>
        <v/>
      </c>
      <c r="BB753">
        <f>VII_Model_PKZ!BB56</f>
        <v/>
      </c>
      <c r="BC753">
        <f>VII_Model_PKZ!BC56</f>
        <v/>
      </c>
      <c r="BD753">
        <f>VII_Model_PKZ!BD56</f>
        <v/>
      </c>
      <c r="BE753">
        <f>VII_Model_PKZ!BE56</f>
        <v/>
      </c>
      <c r="BF753">
        <f>VII_Model_PKZ!BF56</f>
        <v/>
      </c>
      <c r="BG753">
        <f>VII_Model_PKZ!BG56</f>
        <v/>
      </c>
      <c r="BH753">
        <f>VII_Model_PKZ!BH56</f>
        <v/>
      </c>
      <c r="BI753">
        <f>VII_Model_PKZ!BI56</f>
        <v/>
      </c>
      <c r="BJ753">
        <f>O753</f>
        <v/>
      </c>
      <c r="BK753">
        <f>SUM(AG753:AW753)</f>
        <v/>
      </c>
      <c r="BL753" s="531">
        <f>BJ753-BK753</f>
        <v/>
      </c>
      <c r="BM753" s="201" t="n"/>
    </row>
    <row r="754" hidden="1" outlineLevel="1" s="191">
      <c r="A754">
        <f>VII_Model_PKZ!A57</f>
        <v/>
      </c>
      <c r="B754">
        <f>VII_Model_PKZ!B57</f>
        <v/>
      </c>
      <c r="C754">
        <f>VII_Model_PKZ!C57</f>
        <v/>
      </c>
      <c r="D754">
        <f>VII_Model_PKZ!D57</f>
        <v/>
      </c>
      <c r="E754">
        <f>VII_Model_PKZ!E57</f>
        <v/>
      </c>
      <c r="F754">
        <f>VII_Model_PKZ!F57</f>
        <v/>
      </c>
      <c r="G754">
        <f>VII_Model_PKZ!G57</f>
        <v/>
      </c>
      <c r="H754">
        <f>VII_Model_PKZ!H57</f>
        <v/>
      </c>
      <c r="I754">
        <f>VII_Model_PKZ!I57</f>
        <v/>
      </c>
      <c r="J754">
        <f>VII_Model_PKZ!J57</f>
        <v/>
      </c>
      <c r="K754" s="672">
        <f>VII_Model_PKZ!K57</f>
        <v/>
      </c>
      <c r="L754" s="672">
        <f>VII_Model_PKZ!L57</f>
        <v/>
      </c>
      <c r="M754">
        <f>VII_Model_PKZ!M57</f>
        <v/>
      </c>
      <c r="N754">
        <f>VII_Model_PKZ!N57</f>
        <v/>
      </c>
      <c r="O754">
        <f>VII_Model_PKZ!O57</f>
        <v/>
      </c>
      <c r="P754" s="628">
        <f>VII_Model_PKZ!P57</f>
        <v/>
      </c>
      <c r="Q754" s="628">
        <f>VII_Model_PKZ!Q57</f>
        <v/>
      </c>
      <c r="R754" s="628">
        <f>VII_Model_PKZ!R57</f>
        <v/>
      </c>
      <c r="S754" s="628">
        <f>VII_Model_PKZ!S57</f>
        <v/>
      </c>
      <c r="T754" s="628">
        <f>VII_Model_PKZ!T57</f>
        <v/>
      </c>
      <c r="U754" s="628">
        <f>VII_Model_PKZ!U57</f>
        <v/>
      </c>
      <c r="V754" s="628">
        <f>VII_Model_PKZ!V57</f>
        <v/>
      </c>
      <c r="W754" s="628">
        <f>VII_Model_PKZ!W57</f>
        <v/>
      </c>
      <c r="X754" s="628">
        <f>VII_Model_PKZ!X57</f>
        <v/>
      </c>
      <c r="Y754" s="650">
        <f>VII_Model_PKZ!Y57</f>
        <v/>
      </c>
      <c r="Z754" s="650">
        <f>VII_Model_PKZ!Z57</f>
        <v/>
      </c>
      <c r="AA754" s="650">
        <f>VII_Model_PKZ!AA57</f>
        <v/>
      </c>
      <c r="AB754" s="650">
        <f>VII_Model_PKZ!AB57</f>
        <v/>
      </c>
      <c r="AC754" s="613">
        <f>VII_Model_PKZ!AC57</f>
        <v/>
      </c>
      <c r="AD754" s="613">
        <f>VII_Model_PKZ!AD57</f>
        <v/>
      </c>
      <c r="AE754" s="613">
        <f>VII_Model_PKZ!AE57</f>
        <v/>
      </c>
      <c r="AF754" s="613">
        <f>VII_Model_PKZ!AF57</f>
        <v/>
      </c>
      <c r="AG754" s="626">
        <f>VII_Model_PKZ!AG57</f>
        <v/>
      </c>
      <c r="AH754" s="626">
        <f>VII_Model_PKZ!AH57</f>
        <v/>
      </c>
      <c r="AI754" s="626">
        <f>VII_Model_PKZ!AI57</f>
        <v/>
      </c>
      <c r="AJ754" s="626">
        <f>VII_Model_PKZ!AJ57</f>
        <v/>
      </c>
      <c r="AK754" s="626">
        <f>VII_Model_PKZ!AK57</f>
        <v/>
      </c>
      <c r="AL754" s="626">
        <f>VII_Model_PKZ!AL57</f>
        <v/>
      </c>
      <c r="AM754" s="626">
        <f>VII_Model_PKZ!AM57</f>
        <v/>
      </c>
      <c r="AN754" s="626">
        <f>VII_Model_PKZ!AN57</f>
        <v/>
      </c>
      <c r="AO754" s="626">
        <f>VII_Model_PKZ!AO57</f>
        <v/>
      </c>
      <c r="AP754" s="369">
        <f>VII_Model_PKZ!AP57</f>
        <v/>
      </c>
      <c r="AQ754" s="369">
        <f>VII_Model_PKZ!AQ57</f>
        <v/>
      </c>
      <c r="AR754" s="369">
        <f>VII_Model_PKZ!AR57</f>
        <v/>
      </c>
      <c r="AS754" s="369">
        <f>VII_Model_PKZ!AS57</f>
        <v/>
      </c>
      <c r="AT754" s="370">
        <f>VII_Model_PKZ!AT57</f>
        <v/>
      </c>
      <c r="AU754" s="370">
        <f>VII_Model_PKZ!AU57</f>
        <v/>
      </c>
      <c r="AV754" s="370">
        <f>VII_Model_PKZ!AV57</f>
        <v/>
      </c>
      <c r="AW754" s="370">
        <f>VII_Model_PKZ!AW57</f>
        <v/>
      </c>
      <c r="AX754">
        <f>VII_Model_PKZ!AX57</f>
        <v/>
      </c>
      <c r="AY754">
        <f>VII_Model_PKZ!AY57</f>
        <v/>
      </c>
      <c r="AZ754">
        <f>VII_Model_PKZ!AZ57</f>
        <v/>
      </c>
      <c r="BA754">
        <f>VII_Model_PKZ!BA57</f>
        <v/>
      </c>
      <c r="BB754">
        <f>VII_Model_PKZ!BB57</f>
        <v/>
      </c>
      <c r="BC754">
        <f>VII_Model_PKZ!BC57</f>
        <v/>
      </c>
      <c r="BD754">
        <f>VII_Model_PKZ!BD57</f>
        <v/>
      </c>
      <c r="BE754">
        <f>VII_Model_PKZ!BE57</f>
        <v/>
      </c>
      <c r="BF754">
        <f>VII_Model_PKZ!BF57</f>
        <v/>
      </c>
      <c r="BG754">
        <f>VII_Model_PKZ!BG57</f>
        <v/>
      </c>
      <c r="BH754">
        <f>VII_Model_PKZ!BH57</f>
        <v/>
      </c>
      <c r="BI754">
        <f>VII_Model_PKZ!BI57</f>
        <v/>
      </c>
      <c r="BJ754">
        <f>O754</f>
        <v/>
      </c>
      <c r="BK754">
        <f>SUM(AG754:AW754)</f>
        <v/>
      </c>
      <c r="BL754" s="531">
        <f>BJ754-BK754</f>
        <v/>
      </c>
      <c r="BM754" s="201" t="n"/>
    </row>
    <row r="755" hidden="1" outlineLevel="1" s="191">
      <c r="A755">
        <f>VII_Model_PKZ!A58</f>
        <v/>
      </c>
      <c r="B755">
        <f>VII_Model_PKZ!B58</f>
        <v/>
      </c>
      <c r="C755">
        <f>VII_Model_PKZ!C58</f>
        <v/>
      </c>
      <c r="D755">
        <f>VII_Model_PKZ!D58</f>
        <v/>
      </c>
      <c r="E755">
        <f>VII_Model_PKZ!E58</f>
        <v/>
      </c>
      <c r="F755">
        <f>VII_Model_PKZ!F58</f>
        <v/>
      </c>
      <c r="G755">
        <f>VII_Model_PKZ!G58</f>
        <v/>
      </c>
      <c r="H755">
        <f>VII_Model_PKZ!H58</f>
        <v/>
      </c>
      <c r="I755">
        <f>VII_Model_PKZ!I58</f>
        <v/>
      </c>
      <c r="J755">
        <f>VII_Model_PKZ!J58</f>
        <v/>
      </c>
      <c r="K755" s="672">
        <f>VII_Model_PKZ!K58</f>
        <v/>
      </c>
      <c r="L755" s="672">
        <f>VII_Model_PKZ!L58</f>
        <v/>
      </c>
      <c r="M755">
        <f>VII_Model_PKZ!M58</f>
        <v/>
      </c>
      <c r="N755">
        <f>VII_Model_PKZ!N58</f>
        <v/>
      </c>
      <c r="O755">
        <f>VII_Model_PKZ!O58</f>
        <v/>
      </c>
      <c r="P755" s="628">
        <f>VII_Model_PKZ!P58</f>
        <v/>
      </c>
      <c r="Q755" s="628">
        <f>VII_Model_PKZ!Q58</f>
        <v/>
      </c>
      <c r="R755" s="628">
        <f>VII_Model_PKZ!R58</f>
        <v/>
      </c>
      <c r="S755" s="628">
        <f>VII_Model_PKZ!S58</f>
        <v/>
      </c>
      <c r="T755" s="628">
        <f>VII_Model_PKZ!T58</f>
        <v/>
      </c>
      <c r="U755" s="628">
        <f>VII_Model_PKZ!U58</f>
        <v/>
      </c>
      <c r="V755" s="628">
        <f>VII_Model_PKZ!V58</f>
        <v/>
      </c>
      <c r="W755" s="628">
        <f>VII_Model_PKZ!W58</f>
        <v/>
      </c>
      <c r="X755" s="628">
        <f>VII_Model_PKZ!X58</f>
        <v/>
      </c>
      <c r="Y755" s="650">
        <f>VII_Model_PKZ!Y58</f>
        <v/>
      </c>
      <c r="Z755" s="650">
        <f>VII_Model_PKZ!Z58</f>
        <v/>
      </c>
      <c r="AA755" s="650">
        <f>VII_Model_PKZ!AA58</f>
        <v/>
      </c>
      <c r="AB755" s="650">
        <f>VII_Model_PKZ!AB58</f>
        <v/>
      </c>
      <c r="AC755" s="613">
        <f>VII_Model_PKZ!AC58</f>
        <v/>
      </c>
      <c r="AD755" s="613">
        <f>VII_Model_PKZ!AD58</f>
        <v/>
      </c>
      <c r="AE755" s="613">
        <f>VII_Model_PKZ!AE58</f>
        <v/>
      </c>
      <c r="AF755" s="613">
        <f>VII_Model_PKZ!AF58</f>
        <v/>
      </c>
      <c r="AG755" s="626">
        <f>VII_Model_PKZ!AG58</f>
        <v/>
      </c>
      <c r="AH755" s="626">
        <f>VII_Model_PKZ!AH58</f>
        <v/>
      </c>
      <c r="AI755" s="626">
        <f>VII_Model_PKZ!AI58</f>
        <v/>
      </c>
      <c r="AJ755" s="626">
        <f>VII_Model_PKZ!AJ58</f>
        <v/>
      </c>
      <c r="AK755" s="626">
        <f>VII_Model_PKZ!AK58</f>
        <v/>
      </c>
      <c r="AL755" s="626">
        <f>VII_Model_PKZ!AL58</f>
        <v/>
      </c>
      <c r="AM755" s="626">
        <f>VII_Model_PKZ!AM58</f>
        <v/>
      </c>
      <c r="AN755" s="626">
        <f>VII_Model_PKZ!AN58</f>
        <v/>
      </c>
      <c r="AO755" s="626">
        <f>VII_Model_PKZ!AO58</f>
        <v/>
      </c>
      <c r="AP755" s="369">
        <f>VII_Model_PKZ!AP58</f>
        <v/>
      </c>
      <c r="AQ755" s="369">
        <f>VII_Model_PKZ!AQ58</f>
        <v/>
      </c>
      <c r="AR755" s="369">
        <f>VII_Model_PKZ!AR58</f>
        <v/>
      </c>
      <c r="AS755" s="369">
        <f>VII_Model_PKZ!AS58</f>
        <v/>
      </c>
      <c r="AT755" s="370">
        <f>VII_Model_PKZ!AT58</f>
        <v/>
      </c>
      <c r="AU755" s="370">
        <f>VII_Model_PKZ!AU58</f>
        <v/>
      </c>
      <c r="AV755" s="370">
        <f>VII_Model_PKZ!AV58</f>
        <v/>
      </c>
      <c r="AW755" s="370">
        <f>VII_Model_PKZ!AW58</f>
        <v/>
      </c>
      <c r="AX755">
        <f>VII_Model_PKZ!AX58</f>
        <v/>
      </c>
      <c r="AY755">
        <f>VII_Model_PKZ!AY58</f>
        <v/>
      </c>
      <c r="AZ755">
        <f>VII_Model_PKZ!AZ58</f>
        <v/>
      </c>
      <c r="BA755">
        <f>VII_Model_PKZ!BA58</f>
        <v/>
      </c>
      <c r="BB755">
        <f>VII_Model_PKZ!BB58</f>
        <v/>
      </c>
      <c r="BC755">
        <f>VII_Model_PKZ!BC58</f>
        <v/>
      </c>
      <c r="BD755">
        <f>VII_Model_PKZ!BD58</f>
        <v/>
      </c>
      <c r="BE755">
        <f>VII_Model_PKZ!BE58</f>
        <v/>
      </c>
      <c r="BF755">
        <f>VII_Model_PKZ!BF58</f>
        <v/>
      </c>
      <c r="BG755">
        <f>VII_Model_PKZ!BG58</f>
        <v/>
      </c>
      <c r="BH755">
        <f>VII_Model_PKZ!BH58</f>
        <v/>
      </c>
      <c r="BI755">
        <f>VII_Model_PKZ!BI58</f>
        <v/>
      </c>
      <c r="BJ755">
        <f>O755</f>
        <v/>
      </c>
      <c r="BK755">
        <f>SUM(AG755:AW755)</f>
        <v/>
      </c>
      <c r="BL755" s="531">
        <f>BJ755-BK755</f>
        <v/>
      </c>
      <c r="BM755" s="201" t="n"/>
    </row>
    <row r="756" hidden="1" outlineLevel="1" s="191">
      <c r="A756">
        <f>VII_Model_PKZ!A59</f>
        <v/>
      </c>
      <c r="B756">
        <f>VII_Model_PKZ!B59</f>
        <v/>
      </c>
      <c r="C756">
        <f>VII_Model_PKZ!C59</f>
        <v/>
      </c>
      <c r="D756">
        <f>VII_Model_PKZ!D59</f>
        <v/>
      </c>
      <c r="E756">
        <f>VII_Model_PKZ!E59</f>
        <v/>
      </c>
      <c r="F756">
        <f>VII_Model_PKZ!F59</f>
        <v/>
      </c>
      <c r="G756">
        <f>VII_Model_PKZ!G59</f>
        <v/>
      </c>
      <c r="H756">
        <f>VII_Model_PKZ!H59</f>
        <v/>
      </c>
      <c r="I756">
        <f>VII_Model_PKZ!I59</f>
        <v/>
      </c>
      <c r="J756">
        <f>VII_Model_PKZ!J59</f>
        <v/>
      </c>
      <c r="K756" s="672">
        <f>VII_Model_PKZ!K59</f>
        <v/>
      </c>
      <c r="L756" s="672">
        <f>VII_Model_PKZ!L59</f>
        <v/>
      </c>
      <c r="M756">
        <f>VII_Model_PKZ!M59</f>
        <v/>
      </c>
      <c r="N756">
        <f>VII_Model_PKZ!N59</f>
        <v/>
      </c>
      <c r="O756">
        <f>VII_Model_PKZ!O59</f>
        <v/>
      </c>
      <c r="P756" s="628">
        <f>VII_Model_PKZ!P59</f>
        <v/>
      </c>
      <c r="Q756" s="628">
        <f>VII_Model_PKZ!Q59</f>
        <v/>
      </c>
      <c r="R756" s="628">
        <f>VII_Model_PKZ!R59</f>
        <v/>
      </c>
      <c r="S756" s="628">
        <f>VII_Model_PKZ!S59</f>
        <v/>
      </c>
      <c r="T756" s="628">
        <f>VII_Model_PKZ!T59</f>
        <v/>
      </c>
      <c r="U756" s="628">
        <f>VII_Model_PKZ!U59</f>
        <v/>
      </c>
      <c r="V756" s="628">
        <f>VII_Model_PKZ!V59</f>
        <v/>
      </c>
      <c r="W756" s="628">
        <f>VII_Model_PKZ!W59</f>
        <v/>
      </c>
      <c r="X756" s="628">
        <f>VII_Model_PKZ!X59</f>
        <v/>
      </c>
      <c r="Y756" s="650">
        <f>VII_Model_PKZ!Y59</f>
        <v/>
      </c>
      <c r="Z756" s="650">
        <f>VII_Model_PKZ!Z59</f>
        <v/>
      </c>
      <c r="AA756" s="650">
        <f>VII_Model_PKZ!AA59</f>
        <v/>
      </c>
      <c r="AB756" s="650">
        <f>VII_Model_PKZ!AB59</f>
        <v/>
      </c>
      <c r="AC756" s="613">
        <f>VII_Model_PKZ!AC59</f>
        <v/>
      </c>
      <c r="AD756" s="613">
        <f>VII_Model_PKZ!AD59</f>
        <v/>
      </c>
      <c r="AE756" s="613">
        <f>VII_Model_PKZ!AE59</f>
        <v/>
      </c>
      <c r="AF756" s="613">
        <f>VII_Model_PKZ!AF59</f>
        <v/>
      </c>
      <c r="AG756" s="626">
        <f>VII_Model_PKZ!AG59</f>
        <v/>
      </c>
      <c r="AH756" s="626">
        <f>VII_Model_PKZ!AH59</f>
        <v/>
      </c>
      <c r="AI756" s="626">
        <f>VII_Model_PKZ!AI59</f>
        <v/>
      </c>
      <c r="AJ756" s="626">
        <f>VII_Model_PKZ!AJ59</f>
        <v/>
      </c>
      <c r="AK756" s="626">
        <f>VII_Model_PKZ!AK59</f>
        <v/>
      </c>
      <c r="AL756" s="626">
        <f>VII_Model_PKZ!AL59</f>
        <v/>
      </c>
      <c r="AM756" s="626">
        <f>VII_Model_PKZ!AM59</f>
        <v/>
      </c>
      <c r="AN756" s="626">
        <f>VII_Model_PKZ!AN59</f>
        <v/>
      </c>
      <c r="AO756" s="626">
        <f>VII_Model_PKZ!AO59</f>
        <v/>
      </c>
      <c r="AP756" s="369">
        <f>VII_Model_PKZ!AP59</f>
        <v/>
      </c>
      <c r="AQ756" s="369">
        <f>VII_Model_PKZ!AQ59</f>
        <v/>
      </c>
      <c r="AR756" s="369">
        <f>VII_Model_PKZ!AR59</f>
        <v/>
      </c>
      <c r="AS756" s="369">
        <f>VII_Model_PKZ!AS59</f>
        <v/>
      </c>
      <c r="AT756" s="370">
        <f>VII_Model_PKZ!AT59</f>
        <v/>
      </c>
      <c r="AU756" s="370">
        <f>VII_Model_PKZ!AU59</f>
        <v/>
      </c>
      <c r="AV756" s="370">
        <f>VII_Model_PKZ!AV59</f>
        <v/>
      </c>
      <c r="AW756" s="370">
        <f>VII_Model_PKZ!AW59</f>
        <v/>
      </c>
      <c r="AX756">
        <f>VII_Model_PKZ!AX59</f>
        <v/>
      </c>
      <c r="AY756">
        <f>VII_Model_PKZ!AY59</f>
        <v/>
      </c>
      <c r="AZ756">
        <f>VII_Model_PKZ!AZ59</f>
        <v/>
      </c>
      <c r="BA756">
        <f>VII_Model_PKZ!BA59</f>
        <v/>
      </c>
      <c r="BB756">
        <f>VII_Model_PKZ!BB59</f>
        <v/>
      </c>
      <c r="BC756">
        <f>VII_Model_PKZ!BC59</f>
        <v/>
      </c>
      <c r="BD756">
        <f>VII_Model_PKZ!BD59</f>
        <v/>
      </c>
      <c r="BE756">
        <f>VII_Model_PKZ!BE59</f>
        <v/>
      </c>
      <c r="BF756">
        <f>VII_Model_PKZ!BF59</f>
        <v/>
      </c>
      <c r="BG756">
        <f>VII_Model_PKZ!BG59</f>
        <v/>
      </c>
      <c r="BH756">
        <f>VII_Model_PKZ!BH59</f>
        <v/>
      </c>
      <c r="BI756">
        <f>VII_Model_PKZ!BI59</f>
        <v/>
      </c>
      <c r="BJ756">
        <f>O756</f>
        <v/>
      </c>
      <c r="BK756">
        <f>SUM(AG756:AW756)</f>
        <v/>
      </c>
      <c r="BL756" s="531">
        <f>BJ756-BK756</f>
        <v/>
      </c>
      <c r="BM756" s="201" t="n"/>
    </row>
    <row r="757" hidden="1" outlineLevel="1" s="191">
      <c r="A757">
        <f>VII_Model_PKZ!A60</f>
        <v/>
      </c>
      <c r="B757">
        <f>VII_Model_PKZ!B60</f>
        <v/>
      </c>
      <c r="C757">
        <f>VII_Model_PKZ!C60</f>
        <v/>
      </c>
      <c r="D757">
        <f>VII_Model_PKZ!D60</f>
        <v/>
      </c>
      <c r="E757">
        <f>VII_Model_PKZ!E60</f>
        <v/>
      </c>
      <c r="F757">
        <f>VII_Model_PKZ!F60</f>
        <v/>
      </c>
      <c r="G757">
        <f>VII_Model_PKZ!G60</f>
        <v/>
      </c>
      <c r="H757">
        <f>VII_Model_PKZ!H60</f>
        <v/>
      </c>
      <c r="I757">
        <f>VII_Model_PKZ!I60</f>
        <v/>
      </c>
      <c r="J757">
        <f>VII_Model_PKZ!J60</f>
        <v/>
      </c>
      <c r="K757" s="672">
        <f>VII_Model_PKZ!K60</f>
        <v/>
      </c>
      <c r="L757" s="672">
        <f>VII_Model_PKZ!L60</f>
        <v/>
      </c>
      <c r="M757">
        <f>VII_Model_PKZ!M60</f>
        <v/>
      </c>
      <c r="N757">
        <f>VII_Model_PKZ!N60</f>
        <v/>
      </c>
      <c r="O757">
        <f>VII_Model_PKZ!O60</f>
        <v/>
      </c>
      <c r="P757" s="628">
        <f>VII_Model_PKZ!P60</f>
        <v/>
      </c>
      <c r="Q757" s="628">
        <f>VII_Model_PKZ!Q60</f>
        <v/>
      </c>
      <c r="R757" s="628">
        <f>VII_Model_PKZ!R60</f>
        <v/>
      </c>
      <c r="S757" s="628">
        <f>VII_Model_PKZ!S60</f>
        <v/>
      </c>
      <c r="T757" s="628">
        <f>VII_Model_PKZ!T60</f>
        <v/>
      </c>
      <c r="U757" s="628">
        <f>VII_Model_PKZ!U60</f>
        <v/>
      </c>
      <c r="V757" s="628">
        <f>VII_Model_PKZ!V60</f>
        <v/>
      </c>
      <c r="W757" s="628">
        <f>VII_Model_PKZ!W60</f>
        <v/>
      </c>
      <c r="X757" s="628">
        <f>VII_Model_PKZ!X60</f>
        <v/>
      </c>
      <c r="Y757" s="650">
        <f>VII_Model_PKZ!Y60</f>
        <v/>
      </c>
      <c r="Z757" s="650">
        <f>VII_Model_PKZ!Z60</f>
        <v/>
      </c>
      <c r="AA757" s="650">
        <f>VII_Model_PKZ!AA60</f>
        <v/>
      </c>
      <c r="AB757" s="650">
        <f>VII_Model_PKZ!AB60</f>
        <v/>
      </c>
      <c r="AC757" s="613">
        <f>VII_Model_PKZ!AC60</f>
        <v/>
      </c>
      <c r="AD757" s="613">
        <f>VII_Model_PKZ!AD60</f>
        <v/>
      </c>
      <c r="AE757" s="613">
        <f>VII_Model_PKZ!AE60</f>
        <v/>
      </c>
      <c r="AF757" s="613">
        <f>VII_Model_PKZ!AF60</f>
        <v/>
      </c>
      <c r="AG757" s="626">
        <f>VII_Model_PKZ!AG60</f>
        <v/>
      </c>
      <c r="AH757" s="626">
        <f>VII_Model_PKZ!AH60</f>
        <v/>
      </c>
      <c r="AI757" s="626">
        <f>VII_Model_PKZ!AI60</f>
        <v/>
      </c>
      <c r="AJ757" s="626">
        <f>VII_Model_PKZ!AJ60</f>
        <v/>
      </c>
      <c r="AK757" s="626">
        <f>VII_Model_PKZ!AK60</f>
        <v/>
      </c>
      <c r="AL757" s="626">
        <f>VII_Model_PKZ!AL60</f>
        <v/>
      </c>
      <c r="AM757" s="626">
        <f>VII_Model_PKZ!AM60</f>
        <v/>
      </c>
      <c r="AN757" s="626">
        <f>VII_Model_PKZ!AN60</f>
        <v/>
      </c>
      <c r="AO757" s="626">
        <f>VII_Model_PKZ!AO60</f>
        <v/>
      </c>
      <c r="AP757" s="369">
        <f>VII_Model_PKZ!AP60</f>
        <v/>
      </c>
      <c r="AQ757" s="369">
        <f>VII_Model_PKZ!AQ60</f>
        <v/>
      </c>
      <c r="AR757" s="369">
        <f>VII_Model_PKZ!AR60</f>
        <v/>
      </c>
      <c r="AS757" s="369">
        <f>VII_Model_PKZ!AS60</f>
        <v/>
      </c>
      <c r="AT757" s="370">
        <f>VII_Model_PKZ!AT60</f>
        <v/>
      </c>
      <c r="AU757" s="370">
        <f>VII_Model_PKZ!AU60</f>
        <v/>
      </c>
      <c r="AV757" s="370">
        <f>VII_Model_PKZ!AV60</f>
        <v/>
      </c>
      <c r="AW757" s="370">
        <f>VII_Model_PKZ!AW60</f>
        <v/>
      </c>
      <c r="AX757">
        <f>VII_Model_PKZ!AX60</f>
        <v/>
      </c>
      <c r="AY757">
        <f>VII_Model_PKZ!AY60</f>
        <v/>
      </c>
      <c r="AZ757">
        <f>VII_Model_PKZ!AZ60</f>
        <v/>
      </c>
      <c r="BA757">
        <f>VII_Model_PKZ!BA60</f>
        <v/>
      </c>
      <c r="BB757">
        <f>VII_Model_PKZ!BB60</f>
        <v/>
      </c>
      <c r="BC757">
        <f>VII_Model_PKZ!BC60</f>
        <v/>
      </c>
      <c r="BD757">
        <f>VII_Model_PKZ!BD60</f>
        <v/>
      </c>
      <c r="BE757">
        <f>VII_Model_PKZ!BE60</f>
        <v/>
      </c>
      <c r="BF757">
        <f>VII_Model_PKZ!BF60</f>
        <v/>
      </c>
      <c r="BG757">
        <f>VII_Model_PKZ!BG60</f>
        <v/>
      </c>
      <c r="BH757">
        <f>VII_Model_PKZ!BH60</f>
        <v/>
      </c>
      <c r="BI757">
        <f>VII_Model_PKZ!BI60</f>
        <v/>
      </c>
      <c r="BJ757">
        <f>O757</f>
        <v/>
      </c>
      <c r="BK757">
        <f>SUM(AG757:AW757)</f>
        <v/>
      </c>
      <c r="BL757" s="531">
        <f>BJ757-BK757</f>
        <v/>
      </c>
      <c r="BM757" s="201" t="n"/>
    </row>
    <row r="758" hidden="1" outlineLevel="1" s="191">
      <c r="A758">
        <f>VII_Model_PKZ!A61</f>
        <v/>
      </c>
      <c r="B758">
        <f>VII_Model_PKZ!B61</f>
        <v/>
      </c>
      <c r="C758">
        <f>VII_Model_PKZ!C61</f>
        <v/>
      </c>
      <c r="D758">
        <f>VII_Model_PKZ!D61</f>
        <v/>
      </c>
      <c r="E758">
        <f>VII_Model_PKZ!E61</f>
        <v/>
      </c>
      <c r="F758">
        <f>VII_Model_PKZ!F61</f>
        <v/>
      </c>
      <c r="G758">
        <f>VII_Model_PKZ!G61</f>
        <v/>
      </c>
      <c r="H758">
        <f>VII_Model_PKZ!H61</f>
        <v/>
      </c>
      <c r="I758">
        <f>VII_Model_PKZ!I61</f>
        <v/>
      </c>
      <c r="J758">
        <f>VII_Model_PKZ!J61</f>
        <v/>
      </c>
      <c r="K758" s="672">
        <f>VII_Model_PKZ!K61</f>
        <v/>
      </c>
      <c r="L758" s="672">
        <f>VII_Model_PKZ!L61</f>
        <v/>
      </c>
      <c r="M758">
        <f>VII_Model_PKZ!M61</f>
        <v/>
      </c>
      <c r="N758">
        <f>VII_Model_PKZ!N61</f>
        <v/>
      </c>
      <c r="O758">
        <f>VII_Model_PKZ!O61</f>
        <v/>
      </c>
      <c r="P758" s="628">
        <f>VII_Model_PKZ!P61</f>
        <v/>
      </c>
      <c r="Q758" s="628">
        <f>VII_Model_PKZ!Q61</f>
        <v/>
      </c>
      <c r="R758" s="628">
        <f>VII_Model_PKZ!R61</f>
        <v/>
      </c>
      <c r="S758" s="628">
        <f>VII_Model_PKZ!S61</f>
        <v/>
      </c>
      <c r="T758" s="628">
        <f>VII_Model_PKZ!T61</f>
        <v/>
      </c>
      <c r="U758" s="628">
        <f>VII_Model_PKZ!U61</f>
        <v/>
      </c>
      <c r="V758" s="628">
        <f>VII_Model_PKZ!V61</f>
        <v/>
      </c>
      <c r="W758" s="628">
        <f>VII_Model_PKZ!W61</f>
        <v/>
      </c>
      <c r="X758" s="628">
        <f>VII_Model_PKZ!X61</f>
        <v/>
      </c>
      <c r="Y758" s="650">
        <f>VII_Model_PKZ!Y61</f>
        <v/>
      </c>
      <c r="Z758" s="650">
        <f>VII_Model_PKZ!Z61</f>
        <v/>
      </c>
      <c r="AA758" s="650">
        <f>VII_Model_PKZ!AA61</f>
        <v/>
      </c>
      <c r="AB758" s="650">
        <f>VII_Model_PKZ!AB61</f>
        <v/>
      </c>
      <c r="AC758" s="613">
        <f>VII_Model_PKZ!AC61</f>
        <v/>
      </c>
      <c r="AD758" s="613">
        <f>VII_Model_PKZ!AD61</f>
        <v/>
      </c>
      <c r="AE758" s="613">
        <f>VII_Model_PKZ!AE61</f>
        <v/>
      </c>
      <c r="AF758" s="613">
        <f>VII_Model_PKZ!AF61</f>
        <v/>
      </c>
      <c r="AG758" s="626">
        <f>VII_Model_PKZ!AG61</f>
        <v/>
      </c>
      <c r="AH758" s="626">
        <f>VII_Model_PKZ!AH61</f>
        <v/>
      </c>
      <c r="AI758" s="626">
        <f>VII_Model_PKZ!AI61</f>
        <v/>
      </c>
      <c r="AJ758" s="626">
        <f>VII_Model_PKZ!AJ61</f>
        <v/>
      </c>
      <c r="AK758" s="626">
        <f>VII_Model_PKZ!AK61</f>
        <v/>
      </c>
      <c r="AL758" s="626">
        <f>VII_Model_PKZ!AL61</f>
        <v/>
      </c>
      <c r="AM758" s="626">
        <f>VII_Model_PKZ!AM61</f>
        <v/>
      </c>
      <c r="AN758" s="626">
        <f>VII_Model_PKZ!AN61</f>
        <v/>
      </c>
      <c r="AO758" s="626">
        <f>VII_Model_PKZ!AO61</f>
        <v/>
      </c>
      <c r="AP758" s="369">
        <f>VII_Model_PKZ!AP61</f>
        <v/>
      </c>
      <c r="AQ758" s="369">
        <f>VII_Model_PKZ!AQ61</f>
        <v/>
      </c>
      <c r="AR758" s="369">
        <f>VII_Model_PKZ!AR61</f>
        <v/>
      </c>
      <c r="AS758" s="369">
        <f>VII_Model_PKZ!AS61</f>
        <v/>
      </c>
      <c r="AT758" s="370">
        <f>VII_Model_PKZ!AT61</f>
        <v/>
      </c>
      <c r="AU758" s="370">
        <f>VII_Model_PKZ!AU61</f>
        <v/>
      </c>
      <c r="AV758" s="370">
        <f>VII_Model_PKZ!AV61</f>
        <v/>
      </c>
      <c r="AW758" s="370">
        <f>VII_Model_PKZ!AW61</f>
        <v/>
      </c>
      <c r="AX758">
        <f>VII_Model_PKZ!AX61</f>
        <v/>
      </c>
      <c r="AY758">
        <f>VII_Model_PKZ!AY61</f>
        <v/>
      </c>
      <c r="AZ758">
        <f>VII_Model_PKZ!AZ61</f>
        <v/>
      </c>
      <c r="BA758">
        <f>VII_Model_PKZ!BA61</f>
        <v/>
      </c>
      <c r="BB758">
        <f>VII_Model_PKZ!BB61</f>
        <v/>
      </c>
      <c r="BC758">
        <f>VII_Model_PKZ!BC61</f>
        <v/>
      </c>
      <c r="BD758">
        <f>VII_Model_PKZ!BD61</f>
        <v/>
      </c>
      <c r="BE758">
        <f>VII_Model_PKZ!BE61</f>
        <v/>
      </c>
      <c r="BF758">
        <f>VII_Model_PKZ!BF61</f>
        <v/>
      </c>
      <c r="BG758">
        <f>VII_Model_PKZ!BG61</f>
        <v/>
      </c>
      <c r="BH758">
        <f>VII_Model_PKZ!BH61</f>
        <v/>
      </c>
      <c r="BI758">
        <f>VII_Model_PKZ!BI61</f>
        <v/>
      </c>
      <c r="BJ758">
        <f>O758</f>
        <v/>
      </c>
      <c r="BK758">
        <f>SUM(AG758:AW758)</f>
        <v/>
      </c>
      <c r="BL758" s="531">
        <f>BJ758-BK758</f>
        <v/>
      </c>
      <c r="BM758" s="201" t="n"/>
    </row>
    <row r="759" hidden="1" outlineLevel="1" s="191">
      <c r="A759">
        <f>VII_Model_PKZ!A62</f>
        <v/>
      </c>
      <c r="B759">
        <f>VII_Model_PKZ!B62</f>
        <v/>
      </c>
      <c r="C759">
        <f>VII_Model_PKZ!C62</f>
        <v/>
      </c>
      <c r="D759">
        <f>VII_Model_PKZ!D62</f>
        <v/>
      </c>
      <c r="E759">
        <f>VII_Model_PKZ!E62</f>
        <v/>
      </c>
      <c r="F759">
        <f>VII_Model_PKZ!F62</f>
        <v/>
      </c>
      <c r="G759">
        <f>VII_Model_PKZ!G62</f>
        <v/>
      </c>
      <c r="H759">
        <f>VII_Model_PKZ!H62</f>
        <v/>
      </c>
      <c r="I759">
        <f>VII_Model_PKZ!I62</f>
        <v/>
      </c>
      <c r="J759">
        <f>VII_Model_PKZ!J62</f>
        <v/>
      </c>
      <c r="K759" s="672">
        <f>VII_Model_PKZ!K62</f>
        <v/>
      </c>
      <c r="L759" s="672">
        <f>VII_Model_PKZ!L62</f>
        <v/>
      </c>
      <c r="M759">
        <f>VII_Model_PKZ!M62</f>
        <v/>
      </c>
      <c r="N759">
        <f>VII_Model_PKZ!N62</f>
        <v/>
      </c>
      <c r="O759">
        <f>VII_Model_PKZ!O62</f>
        <v/>
      </c>
      <c r="P759" s="628">
        <f>VII_Model_PKZ!P62</f>
        <v/>
      </c>
      <c r="Q759" s="628">
        <f>VII_Model_PKZ!Q62</f>
        <v/>
      </c>
      <c r="R759" s="628">
        <f>VII_Model_PKZ!R62</f>
        <v/>
      </c>
      <c r="S759" s="628">
        <f>VII_Model_PKZ!S62</f>
        <v/>
      </c>
      <c r="T759" s="628">
        <f>VII_Model_PKZ!T62</f>
        <v/>
      </c>
      <c r="U759" s="628">
        <f>VII_Model_PKZ!U62</f>
        <v/>
      </c>
      <c r="V759" s="628">
        <f>VII_Model_PKZ!V62</f>
        <v/>
      </c>
      <c r="W759" s="628">
        <f>VII_Model_PKZ!W62</f>
        <v/>
      </c>
      <c r="X759" s="628">
        <f>VII_Model_PKZ!X62</f>
        <v/>
      </c>
      <c r="Y759" s="650">
        <f>VII_Model_PKZ!Y62</f>
        <v/>
      </c>
      <c r="Z759" s="650">
        <f>VII_Model_PKZ!Z62</f>
        <v/>
      </c>
      <c r="AA759" s="650">
        <f>VII_Model_PKZ!AA62</f>
        <v/>
      </c>
      <c r="AB759" s="650">
        <f>VII_Model_PKZ!AB62</f>
        <v/>
      </c>
      <c r="AC759" s="613">
        <f>VII_Model_PKZ!AC62</f>
        <v/>
      </c>
      <c r="AD759" s="613">
        <f>VII_Model_PKZ!AD62</f>
        <v/>
      </c>
      <c r="AE759" s="613">
        <f>VII_Model_PKZ!AE62</f>
        <v/>
      </c>
      <c r="AF759" s="613">
        <f>VII_Model_PKZ!AF62</f>
        <v/>
      </c>
      <c r="AG759" s="626">
        <f>VII_Model_PKZ!AG62</f>
        <v/>
      </c>
      <c r="AH759" s="626">
        <f>VII_Model_PKZ!AH62</f>
        <v/>
      </c>
      <c r="AI759" s="626">
        <f>VII_Model_PKZ!AI62</f>
        <v/>
      </c>
      <c r="AJ759" s="626">
        <f>VII_Model_PKZ!AJ62</f>
        <v/>
      </c>
      <c r="AK759" s="626">
        <f>VII_Model_PKZ!AK62</f>
        <v/>
      </c>
      <c r="AL759" s="626">
        <f>VII_Model_PKZ!AL62</f>
        <v/>
      </c>
      <c r="AM759" s="626">
        <f>VII_Model_PKZ!AM62</f>
        <v/>
      </c>
      <c r="AN759" s="626">
        <f>VII_Model_PKZ!AN62</f>
        <v/>
      </c>
      <c r="AO759" s="626">
        <f>VII_Model_PKZ!AO62</f>
        <v/>
      </c>
      <c r="AP759" s="369">
        <f>VII_Model_PKZ!AP62</f>
        <v/>
      </c>
      <c r="AQ759" s="369">
        <f>VII_Model_PKZ!AQ62</f>
        <v/>
      </c>
      <c r="AR759" s="369">
        <f>VII_Model_PKZ!AR62</f>
        <v/>
      </c>
      <c r="AS759" s="369">
        <f>VII_Model_PKZ!AS62</f>
        <v/>
      </c>
      <c r="AT759" s="370">
        <f>VII_Model_PKZ!AT62</f>
        <v/>
      </c>
      <c r="AU759" s="370">
        <f>VII_Model_PKZ!AU62</f>
        <v/>
      </c>
      <c r="AV759" s="370">
        <f>VII_Model_PKZ!AV62</f>
        <v/>
      </c>
      <c r="AW759" s="370">
        <f>VII_Model_PKZ!AW62</f>
        <v/>
      </c>
      <c r="AX759">
        <f>VII_Model_PKZ!AX62</f>
        <v/>
      </c>
      <c r="AY759">
        <f>VII_Model_PKZ!AY62</f>
        <v/>
      </c>
      <c r="AZ759">
        <f>VII_Model_PKZ!AZ62</f>
        <v/>
      </c>
      <c r="BA759">
        <f>VII_Model_PKZ!BA62</f>
        <v/>
      </c>
      <c r="BB759">
        <f>VII_Model_PKZ!BB62</f>
        <v/>
      </c>
      <c r="BC759">
        <f>VII_Model_PKZ!BC62</f>
        <v/>
      </c>
      <c r="BD759">
        <f>VII_Model_PKZ!BD62</f>
        <v/>
      </c>
      <c r="BE759">
        <f>VII_Model_PKZ!BE62</f>
        <v/>
      </c>
      <c r="BF759">
        <f>VII_Model_PKZ!BF62</f>
        <v/>
      </c>
      <c r="BG759">
        <f>VII_Model_PKZ!BG62</f>
        <v/>
      </c>
      <c r="BH759">
        <f>VII_Model_PKZ!BH62</f>
        <v/>
      </c>
      <c r="BI759">
        <f>VII_Model_PKZ!BI62</f>
        <v/>
      </c>
      <c r="BJ759">
        <f>O759</f>
        <v/>
      </c>
      <c r="BK759">
        <f>SUM(AG759:AW759)</f>
        <v/>
      </c>
      <c r="BL759" s="531">
        <f>BJ759-BK759</f>
        <v/>
      </c>
      <c r="BM759" s="201" t="n"/>
    </row>
    <row r="760" hidden="1" outlineLevel="1" s="191">
      <c r="A760">
        <f>VII_Model_PKZ!A63</f>
        <v/>
      </c>
      <c r="B760">
        <f>VII_Model_PKZ!B63</f>
        <v/>
      </c>
      <c r="C760">
        <f>VII_Model_PKZ!C63</f>
        <v/>
      </c>
      <c r="D760">
        <f>VII_Model_PKZ!D63</f>
        <v/>
      </c>
      <c r="E760">
        <f>VII_Model_PKZ!E63</f>
        <v/>
      </c>
      <c r="F760">
        <f>VII_Model_PKZ!F63</f>
        <v/>
      </c>
      <c r="G760">
        <f>VII_Model_PKZ!G63</f>
        <v/>
      </c>
      <c r="H760">
        <f>VII_Model_PKZ!H63</f>
        <v/>
      </c>
      <c r="I760">
        <f>VII_Model_PKZ!I63</f>
        <v/>
      </c>
      <c r="J760">
        <f>VII_Model_PKZ!J63</f>
        <v/>
      </c>
      <c r="K760" s="672">
        <f>VII_Model_PKZ!K63</f>
        <v/>
      </c>
      <c r="L760" s="672">
        <f>VII_Model_PKZ!L63</f>
        <v/>
      </c>
      <c r="M760">
        <f>VII_Model_PKZ!M63</f>
        <v/>
      </c>
      <c r="N760">
        <f>VII_Model_PKZ!N63</f>
        <v/>
      </c>
      <c r="O760">
        <f>VII_Model_PKZ!O63</f>
        <v/>
      </c>
      <c r="P760" s="628">
        <f>VII_Model_PKZ!P63</f>
        <v/>
      </c>
      <c r="Q760" s="628">
        <f>VII_Model_PKZ!Q63</f>
        <v/>
      </c>
      <c r="R760" s="628">
        <f>VII_Model_PKZ!R63</f>
        <v/>
      </c>
      <c r="S760" s="628">
        <f>VII_Model_PKZ!S63</f>
        <v/>
      </c>
      <c r="T760" s="628">
        <f>VII_Model_PKZ!T63</f>
        <v/>
      </c>
      <c r="U760" s="628">
        <f>VII_Model_PKZ!U63</f>
        <v/>
      </c>
      <c r="V760" s="628">
        <f>VII_Model_PKZ!V63</f>
        <v/>
      </c>
      <c r="W760" s="628">
        <f>VII_Model_PKZ!W63</f>
        <v/>
      </c>
      <c r="X760" s="628">
        <f>VII_Model_PKZ!X63</f>
        <v/>
      </c>
      <c r="Y760" s="650">
        <f>VII_Model_PKZ!Y63</f>
        <v/>
      </c>
      <c r="Z760" s="650">
        <f>VII_Model_PKZ!Z63</f>
        <v/>
      </c>
      <c r="AA760" s="650">
        <f>VII_Model_PKZ!AA63</f>
        <v/>
      </c>
      <c r="AB760" s="650">
        <f>VII_Model_PKZ!AB63</f>
        <v/>
      </c>
      <c r="AC760" s="613">
        <f>VII_Model_PKZ!AC63</f>
        <v/>
      </c>
      <c r="AD760" s="613">
        <f>VII_Model_PKZ!AD63</f>
        <v/>
      </c>
      <c r="AE760" s="613">
        <f>VII_Model_PKZ!AE63</f>
        <v/>
      </c>
      <c r="AF760" s="613">
        <f>VII_Model_PKZ!AF63</f>
        <v/>
      </c>
      <c r="AG760" s="626">
        <f>VII_Model_PKZ!AG63</f>
        <v/>
      </c>
      <c r="AH760" s="626">
        <f>VII_Model_PKZ!AH63</f>
        <v/>
      </c>
      <c r="AI760" s="626">
        <f>VII_Model_PKZ!AI63</f>
        <v/>
      </c>
      <c r="AJ760" s="626">
        <f>VII_Model_PKZ!AJ63</f>
        <v/>
      </c>
      <c r="AK760" s="626">
        <f>VII_Model_PKZ!AK63</f>
        <v/>
      </c>
      <c r="AL760" s="626">
        <f>VII_Model_PKZ!AL63</f>
        <v/>
      </c>
      <c r="AM760" s="626">
        <f>VII_Model_PKZ!AM63</f>
        <v/>
      </c>
      <c r="AN760" s="626">
        <f>VII_Model_PKZ!AN63</f>
        <v/>
      </c>
      <c r="AO760" s="626">
        <f>VII_Model_PKZ!AO63</f>
        <v/>
      </c>
      <c r="AP760" s="369">
        <f>VII_Model_PKZ!AP63</f>
        <v/>
      </c>
      <c r="AQ760" s="369">
        <f>VII_Model_PKZ!AQ63</f>
        <v/>
      </c>
      <c r="AR760" s="369">
        <f>VII_Model_PKZ!AR63</f>
        <v/>
      </c>
      <c r="AS760" s="369">
        <f>VII_Model_PKZ!AS63</f>
        <v/>
      </c>
      <c r="AT760" s="370">
        <f>VII_Model_PKZ!AT63</f>
        <v/>
      </c>
      <c r="AU760" s="370">
        <f>VII_Model_PKZ!AU63</f>
        <v/>
      </c>
      <c r="AV760" s="370">
        <f>VII_Model_PKZ!AV63</f>
        <v/>
      </c>
      <c r="AW760" s="370">
        <f>VII_Model_PKZ!AW63</f>
        <v/>
      </c>
      <c r="AX760">
        <f>VII_Model_PKZ!AX63</f>
        <v/>
      </c>
      <c r="AY760">
        <f>VII_Model_PKZ!AY63</f>
        <v/>
      </c>
      <c r="AZ760">
        <f>VII_Model_PKZ!AZ63</f>
        <v/>
      </c>
      <c r="BA760">
        <f>VII_Model_PKZ!BA63</f>
        <v/>
      </c>
      <c r="BB760">
        <f>VII_Model_PKZ!BB63</f>
        <v/>
      </c>
      <c r="BC760">
        <f>VII_Model_PKZ!BC63</f>
        <v/>
      </c>
      <c r="BD760">
        <f>VII_Model_PKZ!BD63</f>
        <v/>
      </c>
      <c r="BE760">
        <f>VII_Model_PKZ!BE63</f>
        <v/>
      </c>
      <c r="BF760">
        <f>VII_Model_PKZ!BF63</f>
        <v/>
      </c>
      <c r="BG760">
        <f>VII_Model_PKZ!BG63</f>
        <v/>
      </c>
      <c r="BH760">
        <f>VII_Model_PKZ!BH63</f>
        <v/>
      </c>
      <c r="BI760">
        <f>VII_Model_PKZ!BI63</f>
        <v/>
      </c>
      <c r="BJ760">
        <f>O760</f>
        <v/>
      </c>
      <c r="BK760">
        <f>SUM(AG760:AW760)</f>
        <v/>
      </c>
      <c r="BL760" s="531">
        <f>BJ760-BK760</f>
        <v/>
      </c>
      <c r="BM760" s="201" t="n"/>
    </row>
    <row r="761" hidden="1" outlineLevel="1" s="191">
      <c r="A761">
        <f>VII_Model_PKZ!A64</f>
        <v/>
      </c>
      <c r="B761">
        <f>VII_Model_PKZ!B64</f>
        <v/>
      </c>
      <c r="C761">
        <f>VII_Model_PKZ!C64</f>
        <v/>
      </c>
      <c r="D761">
        <f>VII_Model_PKZ!D64</f>
        <v/>
      </c>
      <c r="E761">
        <f>VII_Model_PKZ!E64</f>
        <v/>
      </c>
      <c r="F761">
        <f>VII_Model_PKZ!F64</f>
        <v/>
      </c>
      <c r="G761">
        <f>VII_Model_PKZ!G64</f>
        <v/>
      </c>
      <c r="H761">
        <f>VII_Model_PKZ!H64</f>
        <v/>
      </c>
      <c r="I761">
        <f>VII_Model_PKZ!I64</f>
        <v/>
      </c>
      <c r="J761">
        <f>VII_Model_PKZ!J64</f>
        <v/>
      </c>
      <c r="K761" s="672">
        <f>VII_Model_PKZ!K64</f>
        <v/>
      </c>
      <c r="L761" s="672">
        <f>VII_Model_PKZ!L64</f>
        <v/>
      </c>
      <c r="M761">
        <f>VII_Model_PKZ!M64</f>
        <v/>
      </c>
      <c r="N761">
        <f>VII_Model_PKZ!N64</f>
        <v/>
      </c>
      <c r="O761">
        <f>VII_Model_PKZ!O64</f>
        <v/>
      </c>
      <c r="P761" s="628">
        <f>VII_Model_PKZ!P64</f>
        <v/>
      </c>
      <c r="Q761" s="628">
        <f>VII_Model_PKZ!Q64</f>
        <v/>
      </c>
      <c r="R761" s="628">
        <f>VII_Model_PKZ!R64</f>
        <v/>
      </c>
      <c r="S761" s="628">
        <f>VII_Model_PKZ!S64</f>
        <v/>
      </c>
      <c r="T761" s="628">
        <f>VII_Model_PKZ!T64</f>
        <v/>
      </c>
      <c r="U761" s="628">
        <f>VII_Model_PKZ!U64</f>
        <v/>
      </c>
      <c r="V761" s="628">
        <f>VII_Model_PKZ!V64</f>
        <v/>
      </c>
      <c r="W761" s="628">
        <f>VII_Model_PKZ!W64</f>
        <v/>
      </c>
      <c r="X761" s="628">
        <f>VII_Model_PKZ!X64</f>
        <v/>
      </c>
      <c r="Y761" s="650">
        <f>VII_Model_PKZ!Y64</f>
        <v/>
      </c>
      <c r="Z761" s="650">
        <f>VII_Model_PKZ!Z64</f>
        <v/>
      </c>
      <c r="AA761" s="650">
        <f>VII_Model_PKZ!AA64</f>
        <v/>
      </c>
      <c r="AB761" s="650">
        <f>VII_Model_PKZ!AB64</f>
        <v/>
      </c>
      <c r="AC761" s="613">
        <f>VII_Model_PKZ!AC64</f>
        <v/>
      </c>
      <c r="AD761" s="613">
        <f>VII_Model_PKZ!AD64</f>
        <v/>
      </c>
      <c r="AE761" s="613">
        <f>VII_Model_PKZ!AE64</f>
        <v/>
      </c>
      <c r="AF761" s="613">
        <f>VII_Model_PKZ!AF64</f>
        <v/>
      </c>
      <c r="AG761" s="626">
        <f>VII_Model_PKZ!AG64</f>
        <v/>
      </c>
      <c r="AH761" s="626">
        <f>VII_Model_PKZ!AH64</f>
        <v/>
      </c>
      <c r="AI761" s="626">
        <f>VII_Model_PKZ!AI64</f>
        <v/>
      </c>
      <c r="AJ761" s="626">
        <f>VII_Model_PKZ!AJ64</f>
        <v/>
      </c>
      <c r="AK761" s="626">
        <f>VII_Model_PKZ!AK64</f>
        <v/>
      </c>
      <c r="AL761" s="626">
        <f>VII_Model_PKZ!AL64</f>
        <v/>
      </c>
      <c r="AM761" s="626">
        <f>VII_Model_PKZ!AM64</f>
        <v/>
      </c>
      <c r="AN761" s="626">
        <f>VII_Model_PKZ!AN64</f>
        <v/>
      </c>
      <c r="AO761" s="626">
        <f>VII_Model_PKZ!AO64</f>
        <v/>
      </c>
      <c r="AP761" s="369">
        <f>VII_Model_PKZ!AP64</f>
        <v/>
      </c>
      <c r="AQ761" s="369">
        <f>VII_Model_PKZ!AQ64</f>
        <v/>
      </c>
      <c r="AR761" s="369">
        <f>VII_Model_PKZ!AR64</f>
        <v/>
      </c>
      <c r="AS761" s="369">
        <f>VII_Model_PKZ!AS64</f>
        <v/>
      </c>
      <c r="AT761" s="370">
        <f>VII_Model_PKZ!AT64</f>
        <v/>
      </c>
      <c r="AU761" s="370">
        <f>VII_Model_PKZ!AU64</f>
        <v/>
      </c>
      <c r="AV761" s="370">
        <f>VII_Model_PKZ!AV64</f>
        <v/>
      </c>
      <c r="AW761" s="370">
        <f>VII_Model_PKZ!AW64</f>
        <v/>
      </c>
      <c r="AX761">
        <f>VII_Model_PKZ!AX64</f>
        <v/>
      </c>
      <c r="AY761">
        <f>VII_Model_PKZ!AY64</f>
        <v/>
      </c>
      <c r="AZ761">
        <f>VII_Model_PKZ!AZ64</f>
        <v/>
      </c>
      <c r="BA761">
        <f>VII_Model_PKZ!BA64</f>
        <v/>
      </c>
      <c r="BB761">
        <f>VII_Model_PKZ!BB64</f>
        <v/>
      </c>
      <c r="BC761">
        <f>VII_Model_PKZ!BC64</f>
        <v/>
      </c>
      <c r="BD761">
        <f>VII_Model_PKZ!BD64</f>
        <v/>
      </c>
      <c r="BE761">
        <f>VII_Model_PKZ!BE64</f>
        <v/>
      </c>
      <c r="BF761">
        <f>VII_Model_PKZ!BF64</f>
        <v/>
      </c>
      <c r="BG761">
        <f>VII_Model_PKZ!BG64</f>
        <v/>
      </c>
      <c r="BH761">
        <f>VII_Model_PKZ!BH64</f>
        <v/>
      </c>
      <c r="BI761">
        <f>VII_Model_PKZ!BI64</f>
        <v/>
      </c>
      <c r="BJ761">
        <f>O761</f>
        <v/>
      </c>
      <c r="BK761">
        <f>SUM(AG761:AW761)</f>
        <v/>
      </c>
      <c r="BL761" s="531">
        <f>BJ761-BK761</f>
        <v/>
      </c>
      <c r="BM761" s="201" t="n"/>
    </row>
    <row r="762" hidden="1" outlineLevel="1" s="191">
      <c r="A762">
        <f>VII_Model_PKZ!A65</f>
        <v/>
      </c>
      <c r="B762">
        <f>VII_Model_PKZ!B65</f>
        <v/>
      </c>
      <c r="C762">
        <f>VII_Model_PKZ!C65</f>
        <v/>
      </c>
      <c r="D762">
        <f>VII_Model_PKZ!D65</f>
        <v/>
      </c>
      <c r="E762">
        <f>VII_Model_PKZ!E65</f>
        <v/>
      </c>
      <c r="F762">
        <f>VII_Model_PKZ!F65</f>
        <v/>
      </c>
      <c r="G762">
        <f>VII_Model_PKZ!G65</f>
        <v/>
      </c>
      <c r="H762">
        <f>VII_Model_PKZ!H65</f>
        <v/>
      </c>
      <c r="I762">
        <f>VII_Model_PKZ!I65</f>
        <v/>
      </c>
      <c r="J762">
        <f>VII_Model_PKZ!J65</f>
        <v/>
      </c>
      <c r="K762" s="672">
        <f>VII_Model_PKZ!K65</f>
        <v/>
      </c>
      <c r="L762" s="672">
        <f>VII_Model_PKZ!L65</f>
        <v/>
      </c>
      <c r="M762">
        <f>VII_Model_PKZ!M65</f>
        <v/>
      </c>
      <c r="N762">
        <f>VII_Model_PKZ!N65</f>
        <v/>
      </c>
      <c r="O762">
        <f>VII_Model_PKZ!O65</f>
        <v/>
      </c>
      <c r="P762" s="628">
        <f>VII_Model_PKZ!P65</f>
        <v/>
      </c>
      <c r="Q762" s="628">
        <f>VII_Model_PKZ!Q65</f>
        <v/>
      </c>
      <c r="R762" s="628">
        <f>VII_Model_PKZ!R65</f>
        <v/>
      </c>
      <c r="S762" s="628">
        <f>VII_Model_PKZ!S65</f>
        <v/>
      </c>
      <c r="T762" s="628">
        <f>VII_Model_PKZ!T65</f>
        <v/>
      </c>
      <c r="U762" s="628">
        <f>VII_Model_PKZ!U65</f>
        <v/>
      </c>
      <c r="V762" s="628">
        <f>VII_Model_PKZ!V65</f>
        <v/>
      </c>
      <c r="W762" s="628">
        <f>VII_Model_PKZ!W65</f>
        <v/>
      </c>
      <c r="X762" s="628">
        <f>VII_Model_PKZ!X65</f>
        <v/>
      </c>
      <c r="Y762" s="650">
        <f>VII_Model_PKZ!Y65</f>
        <v/>
      </c>
      <c r="Z762" s="650">
        <f>VII_Model_PKZ!Z65</f>
        <v/>
      </c>
      <c r="AA762" s="650">
        <f>VII_Model_PKZ!AA65</f>
        <v/>
      </c>
      <c r="AB762" s="650">
        <f>VII_Model_PKZ!AB65</f>
        <v/>
      </c>
      <c r="AC762" s="613">
        <f>VII_Model_PKZ!AC65</f>
        <v/>
      </c>
      <c r="AD762" s="613">
        <f>VII_Model_PKZ!AD65</f>
        <v/>
      </c>
      <c r="AE762" s="613">
        <f>VII_Model_PKZ!AE65</f>
        <v/>
      </c>
      <c r="AF762" s="613">
        <f>VII_Model_PKZ!AF65</f>
        <v/>
      </c>
      <c r="AG762" s="626">
        <f>VII_Model_PKZ!AG65</f>
        <v/>
      </c>
      <c r="AH762" s="626">
        <f>VII_Model_PKZ!AH65</f>
        <v/>
      </c>
      <c r="AI762" s="626">
        <f>VII_Model_PKZ!AI65</f>
        <v/>
      </c>
      <c r="AJ762" s="626">
        <f>VII_Model_PKZ!AJ65</f>
        <v/>
      </c>
      <c r="AK762" s="626">
        <f>VII_Model_PKZ!AK65</f>
        <v/>
      </c>
      <c r="AL762" s="626">
        <f>VII_Model_PKZ!AL65</f>
        <v/>
      </c>
      <c r="AM762" s="626">
        <f>VII_Model_PKZ!AM65</f>
        <v/>
      </c>
      <c r="AN762" s="626">
        <f>VII_Model_PKZ!AN65</f>
        <v/>
      </c>
      <c r="AO762" s="626">
        <f>VII_Model_PKZ!AO65</f>
        <v/>
      </c>
      <c r="AP762" s="369">
        <f>VII_Model_PKZ!AP65</f>
        <v/>
      </c>
      <c r="AQ762" s="369">
        <f>VII_Model_PKZ!AQ65</f>
        <v/>
      </c>
      <c r="AR762" s="369">
        <f>VII_Model_PKZ!AR65</f>
        <v/>
      </c>
      <c r="AS762" s="369">
        <f>VII_Model_PKZ!AS65</f>
        <v/>
      </c>
      <c r="AT762" s="370">
        <f>VII_Model_PKZ!AT65</f>
        <v/>
      </c>
      <c r="AU762" s="370">
        <f>VII_Model_PKZ!AU65</f>
        <v/>
      </c>
      <c r="AV762" s="370">
        <f>VII_Model_PKZ!AV65</f>
        <v/>
      </c>
      <c r="AW762" s="370">
        <f>VII_Model_PKZ!AW65</f>
        <v/>
      </c>
      <c r="AX762">
        <f>VII_Model_PKZ!AX65</f>
        <v/>
      </c>
      <c r="AY762">
        <f>VII_Model_PKZ!AY65</f>
        <v/>
      </c>
      <c r="AZ762">
        <f>VII_Model_PKZ!AZ65</f>
        <v/>
      </c>
      <c r="BA762">
        <f>VII_Model_PKZ!BA65</f>
        <v/>
      </c>
      <c r="BB762">
        <f>VII_Model_PKZ!BB65</f>
        <v/>
      </c>
      <c r="BC762">
        <f>VII_Model_PKZ!BC65</f>
        <v/>
      </c>
      <c r="BD762">
        <f>VII_Model_PKZ!BD65</f>
        <v/>
      </c>
      <c r="BE762">
        <f>VII_Model_PKZ!BE65</f>
        <v/>
      </c>
      <c r="BF762">
        <f>VII_Model_PKZ!BF65</f>
        <v/>
      </c>
      <c r="BG762">
        <f>VII_Model_PKZ!BG65</f>
        <v/>
      </c>
      <c r="BH762">
        <f>VII_Model_PKZ!BH65</f>
        <v/>
      </c>
      <c r="BI762">
        <f>VII_Model_PKZ!BI65</f>
        <v/>
      </c>
      <c r="BJ762">
        <f>O762</f>
        <v/>
      </c>
      <c r="BK762">
        <f>SUM(AG762:AW762)</f>
        <v/>
      </c>
      <c r="BL762" s="531">
        <f>BJ762-BK762</f>
        <v/>
      </c>
      <c r="BM762" s="201" t="n"/>
    </row>
    <row r="763" hidden="1" outlineLevel="1" s="191">
      <c r="A763">
        <f>VII_Model_PKZ!A66</f>
        <v/>
      </c>
      <c r="B763">
        <f>VII_Model_PKZ!B66</f>
        <v/>
      </c>
      <c r="C763">
        <f>VII_Model_PKZ!C66</f>
        <v/>
      </c>
      <c r="D763">
        <f>VII_Model_PKZ!D66</f>
        <v/>
      </c>
      <c r="E763">
        <f>VII_Model_PKZ!E66</f>
        <v/>
      </c>
      <c r="F763">
        <f>VII_Model_PKZ!F66</f>
        <v/>
      </c>
      <c r="G763">
        <f>VII_Model_PKZ!G66</f>
        <v/>
      </c>
      <c r="H763">
        <f>VII_Model_PKZ!H66</f>
        <v/>
      </c>
      <c r="I763">
        <f>VII_Model_PKZ!I66</f>
        <v/>
      </c>
      <c r="J763">
        <f>VII_Model_PKZ!J66</f>
        <v/>
      </c>
      <c r="K763" s="672">
        <f>VII_Model_PKZ!K66</f>
        <v/>
      </c>
      <c r="L763" s="672">
        <f>VII_Model_PKZ!L66</f>
        <v/>
      </c>
      <c r="M763">
        <f>VII_Model_PKZ!M66</f>
        <v/>
      </c>
      <c r="N763">
        <f>VII_Model_PKZ!N66</f>
        <v/>
      </c>
      <c r="O763">
        <f>VII_Model_PKZ!O66</f>
        <v/>
      </c>
      <c r="P763" s="628">
        <f>VII_Model_PKZ!P66</f>
        <v/>
      </c>
      <c r="Q763" s="628">
        <f>VII_Model_PKZ!Q66</f>
        <v/>
      </c>
      <c r="R763" s="628">
        <f>VII_Model_PKZ!R66</f>
        <v/>
      </c>
      <c r="S763" s="628">
        <f>VII_Model_PKZ!S66</f>
        <v/>
      </c>
      <c r="T763" s="628">
        <f>VII_Model_PKZ!T66</f>
        <v/>
      </c>
      <c r="U763" s="628">
        <f>VII_Model_PKZ!U66</f>
        <v/>
      </c>
      <c r="V763" s="628">
        <f>VII_Model_PKZ!V66</f>
        <v/>
      </c>
      <c r="W763" s="628">
        <f>VII_Model_PKZ!W66</f>
        <v/>
      </c>
      <c r="X763" s="628">
        <f>VII_Model_PKZ!X66</f>
        <v/>
      </c>
      <c r="Y763" s="650">
        <f>VII_Model_PKZ!Y66</f>
        <v/>
      </c>
      <c r="Z763" s="650">
        <f>VII_Model_PKZ!Z66</f>
        <v/>
      </c>
      <c r="AA763" s="650">
        <f>VII_Model_PKZ!AA66</f>
        <v/>
      </c>
      <c r="AB763" s="650">
        <f>VII_Model_PKZ!AB66</f>
        <v/>
      </c>
      <c r="AC763" s="613">
        <f>VII_Model_PKZ!AC66</f>
        <v/>
      </c>
      <c r="AD763" s="613">
        <f>VII_Model_PKZ!AD66</f>
        <v/>
      </c>
      <c r="AE763" s="613">
        <f>VII_Model_PKZ!AE66</f>
        <v/>
      </c>
      <c r="AF763" s="613">
        <f>VII_Model_PKZ!AF66</f>
        <v/>
      </c>
      <c r="AG763" s="626">
        <f>VII_Model_PKZ!AG66</f>
        <v/>
      </c>
      <c r="AH763" s="626">
        <f>VII_Model_PKZ!AH66</f>
        <v/>
      </c>
      <c r="AI763" s="626">
        <f>VII_Model_PKZ!AI66</f>
        <v/>
      </c>
      <c r="AJ763" s="626">
        <f>VII_Model_PKZ!AJ66</f>
        <v/>
      </c>
      <c r="AK763" s="626">
        <f>VII_Model_PKZ!AK66</f>
        <v/>
      </c>
      <c r="AL763" s="626">
        <f>VII_Model_PKZ!AL66</f>
        <v/>
      </c>
      <c r="AM763" s="626">
        <f>VII_Model_PKZ!AM66</f>
        <v/>
      </c>
      <c r="AN763" s="626">
        <f>VII_Model_PKZ!AN66</f>
        <v/>
      </c>
      <c r="AO763" s="626">
        <f>VII_Model_PKZ!AO66</f>
        <v/>
      </c>
      <c r="AP763" s="369">
        <f>VII_Model_PKZ!AP66</f>
        <v/>
      </c>
      <c r="AQ763" s="369">
        <f>VII_Model_PKZ!AQ66</f>
        <v/>
      </c>
      <c r="AR763" s="369">
        <f>VII_Model_PKZ!AR66</f>
        <v/>
      </c>
      <c r="AS763" s="369">
        <f>VII_Model_PKZ!AS66</f>
        <v/>
      </c>
      <c r="AT763" s="370">
        <f>VII_Model_PKZ!AT66</f>
        <v/>
      </c>
      <c r="AU763" s="370">
        <f>VII_Model_PKZ!AU66</f>
        <v/>
      </c>
      <c r="AV763" s="370">
        <f>VII_Model_PKZ!AV66</f>
        <v/>
      </c>
      <c r="AW763" s="370">
        <f>VII_Model_PKZ!AW66</f>
        <v/>
      </c>
      <c r="AX763">
        <f>VII_Model_PKZ!AX66</f>
        <v/>
      </c>
      <c r="AY763">
        <f>VII_Model_PKZ!AY66</f>
        <v/>
      </c>
      <c r="AZ763">
        <f>VII_Model_PKZ!AZ66</f>
        <v/>
      </c>
      <c r="BA763">
        <f>VII_Model_PKZ!BA66</f>
        <v/>
      </c>
      <c r="BB763">
        <f>VII_Model_PKZ!BB66</f>
        <v/>
      </c>
      <c r="BC763">
        <f>VII_Model_PKZ!BC66</f>
        <v/>
      </c>
      <c r="BD763">
        <f>VII_Model_PKZ!BD66</f>
        <v/>
      </c>
      <c r="BE763">
        <f>VII_Model_PKZ!BE66</f>
        <v/>
      </c>
      <c r="BF763">
        <f>VII_Model_PKZ!BF66</f>
        <v/>
      </c>
      <c r="BG763">
        <f>VII_Model_PKZ!BG66</f>
        <v/>
      </c>
      <c r="BH763">
        <f>VII_Model_PKZ!BH66</f>
        <v/>
      </c>
      <c r="BI763">
        <f>VII_Model_PKZ!BI66</f>
        <v/>
      </c>
      <c r="BJ763">
        <f>O763</f>
        <v/>
      </c>
      <c r="BK763">
        <f>SUM(AG763:AW763)</f>
        <v/>
      </c>
      <c r="BL763" s="531">
        <f>BJ763-BK763</f>
        <v/>
      </c>
      <c r="BM763" s="201" t="n"/>
    </row>
    <row r="764" hidden="1" outlineLevel="1" s="191">
      <c r="A764">
        <f>VII_Model_PKZ!A67</f>
        <v/>
      </c>
      <c r="B764">
        <f>VII_Model_PKZ!B67</f>
        <v/>
      </c>
      <c r="C764">
        <f>VII_Model_PKZ!C67</f>
        <v/>
      </c>
      <c r="D764">
        <f>VII_Model_PKZ!D67</f>
        <v/>
      </c>
      <c r="E764">
        <f>VII_Model_PKZ!E67</f>
        <v/>
      </c>
      <c r="F764">
        <f>VII_Model_PKZ!F67</f>
        <v/>
      </c>
      <c r="G764">
        <f>VII_Model_PKZ!G67</f>
        <v/>
      </c>
      <c r="H764">
        <f>VII_Model_PKZ!H67</f>
        <v/>
      </c>
      <c r="I764">
        <f>VII_Model_PKZ!I67</f>
        <v/>
      </c>
      <c r="J764">
        <f>VII_Model_PKZ!J67</f>
        <v/>
      </c>
      <c r="K764" s="672">
        <f>VII_Model_PKZ!K67</f>
        <v/>
      </c>
      <c r="L764" s="672">
        <f>VII_Model_PKZ!L67</f>
        <v/>
      </c>
      <c r="M764">
        <f>VII_Model_PKZ!M67</f>
        <v/>
      </c>
      <c r="N764">
        <f>VII_Model_PKZ!N67</f>
        <v/>
      </c>
      <c r="O764">
        <f>VII_Model_PKZ!O67</f>
        <v/>
      </c>
      <c r="P764" s="628">
        <f>VII_Model_PKZ!P67</f>
        <v/>
      </c>
      <c r="Q764" s="628">
        <f>VII_Model_PKZ!Q67</f>
        <v/>
      </c>
      <c r="R764" s="628">
        <f>VII_Model_PKZ!R67</f>
        <v/>
      </c>
      <c r="S764" s="628">
        <f>VII_Model_PKZ!S67</f>
        <v/>
      </c>
      <c r="T764" s="628">
        <f>VII_Model_PKZ!T67</f>
        <v/>
      </c>
      <c r="U764" s="628">
        <f>VII_Model_PKZ!U67</f>
        <v/>
      </c>
      <c r="V764" s="628">
        <f>VII_Model_PKZ!V67</f>
        <v/>
      </c>
      <c r="W764" s="628">
        <f>VII_Model_PKZ!W67</f>
        <v/>
      </c>
      <c r="X764" s="628">
        <f>VII_Model_PKZ!X67</f>
        <v/>
      </c>
      <c r="Y764" s="650">
        <f>VII_Model_PKZ!Y67</f>
        <v/>
      </c>
      <c r="Z764" s="650">
        <f>VII_Model_PKZ!Z67</f>
        <v/>
      </c>
      <c r="AA764" s="650">
        <f>VII_Model_PKZ!AA67</f>
        <v/>
      </c>
      <c r="AB764" s="650">
        <f>VII_Model_PKZ!AB67</f>
        <v/>
      </c>
      <c r="AC764" s="613">
        <f>VII_Model_PKZ!AC67</f>
        <v/>
      </c>
      <c r="AD764" s="613">
        <f>VII_Model_PKZ!AD67</f>
        <v/>
      </c>
      <c r="AE764" s="613">
        <f>VII_Model_PKZ!AE67</f>
        <v/>
      </c>
      <c r="AF764" s="613">
        <f>VII_Model_PKZ!AF67</f>
        <v/>
      </c>
      <c r="AG764" s="626">
        <f>VII_Model_PKZ!AG67</f>
        <v/>
      </c>
      <c r="AH764" s="626">
        <f>VII_Model_PKZ!AH67</f>
        <v/>
      </c>
      <c r="AI764" s="626">
        <f>VII_Model_PKZ!AI67</f>
        <v/>
      </c>
      <c r="AJ764" s="626">
        <f>VII_Model_PKZ!AJ67</f>
        <v/>
      </c>
      <c r="AK764" s="626">
        <f>VII_Model_PKZ!AK67</f>
        <v/>
      </c>
      <c r="AL764" s="626">
        <f>VII_Model_PKZ!AL67</f>
        <v/>
      </c>
      <c r="AM764" s="626">
        <f>VII_Model_PKZ!AM67</f>
        <v/>
      </c>
      <c r="AN764" s="626">
        <f>VII_Model_PKZ!AN67</f>
        <v/>
      </c>
      <c r="AO764" s="626">
        <f>VII_Model_PKZ!AO67</f>
        <v/>
      </c>
      <c r="AP764" s="369">
        <f>VII_Model_PKZ!AP67</f>
        <v/>
      </c>
      <c r="AQ764" s="369">
        <f>VII_Model_PKZ!AQ67</f>
        <v/>
      </c>
      <c r="AR764" s="369">
        <f>VII_Model_PKZ!AR67</f>
        <v/>
      </c>
      <c r="AS764" s="369">
        <f>VII_Model_PKZ!AS67</f>
        <v/>
      </c>
      <c r="AT764" s="370">
        <f>VII_Model_PKZ!AT67</f>
        <v/>
      </c>
      <c r="AU764" s="370">
        <f>VII_Model_PKZ!AU67</f>
        <v/>
      </c>
      <c r="AV764" s="370">
        <f>VII_Model_PKZ!AV67</f>
        <v/>
      </c>
      <c r="AW764" s="370">
        <f>VII_Model_PKZ!AW67</f>
        <v/>
      </c>
      <c r="AX764">
        <f>VII_Model_PKZ!AX67</f>
        <v/>
      </c>
      <c r="AY764">
        <f>VII_Model_PKZ!AY67</f>
        <v/>
      </c>
      <c r="AZ764">
        <f>VII_Model_PKZ!AZ67</f>
        <v/>
      </c>
      <c r="BA764">
        <f>VII_Model_PKZ!BA67</f>
        <v/>
      </c>
      <c r="BB764">
        <f>VII_Model_PKZ!BB67</f>
        <v/>
      </c>
      <c r="BC764">
        <f>VII_Model_PKZ!BC67</f>
        <v/>
      </c>
      <c r="BD764">
        <f>VII_Model_PKZ!BD67</f>
        <v/>
      </c>
      <c r="BE764">
        <f>VII_Model_PKZ!BE67</f>
        <v/>
      </c>
      <c r="BF764">
        <f>VII_Model_PKZ!BF67</f>
        <v/>
      </c>
      <c r="BG764">
        <f>VII_Model_PKZ!BG67</f>
        <v/>
      </c>
      <c r="BH764">
        <f>VII_Model_PKZ!BH67</f>
        <v/>
      </c>
      <c r="BI764">
        <f>VII_Model_PKZ!BI67</f>
        <v/>
      </c>
      <c r="BJ764">
        <f>O764</f>
        <v/>
      </c>
      <c r="BK764">
        <f>SUM(AG764:AW764)</f>
        <v/>
      </c>
      <c r="BL764" s="531">
        <f>BJ764-BK764</f>
        <v/>
      </c>
      <c r="BM764" s="201" t="n"/>
    </row>
    <row r="765" hidden="1" outlineLevel="1" s="191">
      <c r="A765">
        <f>VII_Model_PKZ!A68</f>
        <v/>
      </c>
      <c r="B765">
        <f>VII_Model_PKZ!B68</f>
        <v/>
      </c>
      <c r="C765">
        <f>VII_Model_PKZ!C68</f>
        <v/>
      </c>
      <c r="D765">
        <f>VII_Model_PKZ!D68</f>
        <v/>
      </c>
      <c r="E765">
        <f>VII_Model_PKZ!E68</f>
        <v/>
      </c>
      <c r="F765">
        <f>VII_Model_PKZ!F68</f>
        <v/>
      </c>
      <c r="G765">
        <f>VII_Model_PKZ!G68</f>
        <v/>
      </c>
      <c r="H765">
        <f>VII_Model_PKZ!H68</f>
        <v/>
      </c>
      <c r="I765">
        <f>VII_Model_PKZ!I68</f>
        <v/>
      </c>
      <c r="J765">
        <f>VII_Model_PKZ!J68</f>
        <v/>
      </c>
      <c r="K765" s="672">
        <f>VII_Model_PKZ!K68</f>
        <v/>
      </c>
      <c r="L765" s="672">
        <f>VII_Model_PKZ!L68</f>
        <v/>
      </c>
      <c r="M765">
        <f>VII_Model_PKZ!M68</f>
        <v/>
      </c>
      <c r="N765">
        <f>VII_Model_PKZ!N68</f>
        <v/>
      </c>
      <c r="O765">
        <f>VII_Model_PKZ!O68</f>
        <v/>
      </c>
      <c r="P765" s="628">
        <f>VII_Model_PKZ!P68</f>
        <v/>
      </c>
      <c r="Q765" s="628">
        <f>VII_Model_PKZ!Q68</f>
        <v/>
      </c>
      <c r="R765" s="628">
        <f>VII_Model_PKZ!R68</f>
        <v/>
      </c>
      <c r="S765" s="628">
        <f>VII_Model_PKZ!S68</f>
        <v/>
      </c>
      <c r="T765" s="628">
        <f>VII_Model_PKZ!T68</f>
        <v/>
      </c>
      <c r="U765" s="628">
        <f>VII_Model_PKZ!U68</f>
        <v/>
      </c>
      <c r="V765" s="628">
        <f>VII_Model_PKZ!V68</f>
        <v/>
      </c>
      <c r="W765" s="628">
        <f>VII_Model_PKZ!W68</f>
        <v/>
      </c>
      <c r="X765" s="628">
        <f>VII_Model_PKZ!X68</f>
        <v/>
      </c>
      <c r="Y765" s="650">
        <f>VII_Model_PKZ!Y68</f>
        <v/>
      </c>
      <c r="Z765" s="650">
        <f>VII_Model_PKZ!Z68</f>
        <v/>
      </c>
      <c r="AA765" s="650">
        <f>VII_Model_PKZ!AA68</f>
        <v/>
      </c>
      <c r="AB765" s="650">
        <f>VII_Model_PKZ!AB68</f>
        <v/>
      </c>
      <c r="AC765" s="613">
        <f>VII_Model_PKZ!AC68</f>
        <v/>
      </c>
      <c r="AD765" s="613">
        <f>VII_Model_PKZ!AD68</f>
        <v/>
      </c>
      <c r="AE765" s="613">
        <f>VII_Model_PKZ!AE68</f>
        <v/>
      </c>
      <c r="AF765" s="613">
        <f>VII_Model_PKZ!AF68</f>
        <v/>
      </c>
      <c r="AG765" s="626">
        <f>VII_Model_PKZ!AG68</f>
        <v/>
      </c>
      <c r="AH765" s="626">
        <f>VII_Model_PKZ!AH68</f>
        <v/>
      </c>
      <c r="AI765" s="626">
        <f>VII_Model_PKZ!AI68</f>
        <v/>
      </c>
      <c r="AJ765" s="626">
        <f>VII_Model_PKZ!AJ68</f>
        <v/>
      </c>
      <c r="AK765" s="626">
        <f>VII_Model_PKZ!AK68</f>
        <v/>
      </c>
      <c r="AL765" s="626">
        <f>VII_Model_PKZ!AL68</f>
        <v/>
      </c>
      <c r="AM765" s="626">
        <f>VII_Model_PKZ!AM68</f>
        <v/>
      </c>
      <c r="AN765" s="626">
        <f>VII_Model_PKZ!AN68</f>
        <v/>
      </c>
      <c r="AO765" s="626">
        <f>VII_Model_PKZ!AO68</f>
        <v/>
      </c>
      <c r="AP765" s="369">
        <f>VII_Model_PKZ!AP68</f>
        <v/>
      </c>
      <c r="AQ765" s="369">
        <f>VII_Model_PKZ!AQ68</f>
        <v/>
      </c>
      <c r="AR765" s="369">
        <f>VII_Model_PKZ!AR68</f>
        <v/>
      </c>
      <c r="AS765" s="369">
        <f>VII_Model_PKZ!AS68</f>
        <v/>
      </c>
      <c r="AT765" s="370">
        <f>VII_Model_PKZ!AT68</f>
        <v/>
      </c>
      <c r="AU765" s="370">
        <f>VII_Model_PKZ!AU68</f>
        <v/>
      </c>
      <c r="AV765" s="370">
        <f>VII_Model_PKZ!AV68</f>
        <v/>
      </c>
      <c r="AW765" s="370">
        <f>VII_Model_PKZ!AW68</f>
        <v/>
      </c>
      <c r="AX765">
        <f>VII_Model_PKZ!AX68</f>
        <v/>
      </c>
      <c r="AY765">
        <f>VII_Model_PKZ!AY68</f>
        <v/>
      </c>
      <c r="AZ765">
        <f>VII_Model_PKZ!AZ68</f>
        <v/>
      </c>
      <c r="BA765">
        <f>VII_Model_PKZ!BA68</f>
        <v/>
      </c>
      <c r="BB765">
        <f>VII_Model_PKZ!BB68</f>
        <v/>
      </c>
      <c r="BC765">
        <f>VII_Model_PKZ!BC68</f>
        <v/>
      </c>
      <c r="BD765">
        <f>VII_Model_PKZ!BD68</f>
        <v/>
      </c>
      <c r="BE765">
        <f>VII_Model_PKZ!BE68</f>
        <v/>
      </c>
      <c r="BF765">
        <f>VII_Model_PKZ!BF68</f>
        <v/>
      </c>
      <c r="BG765">
        <f>VII_Model_PKZ!BG68</f>
        <v/>
      </c>
      <c r="BH765">
        <f>VII_Model_PKZ!BH68</f>
        <v/>
      </c>
      <c r="BI765">
        <f>VII_Model_PKZ!BI68</f>
        <v/>
      </c>
      <c r="BJ765">
        <f>O765</f>
        <v/>
      </c>
      <c r="BK765">
        <f>SUM(AG765:AW765)</f>
        <v/>
      </c>
      <c r="BL765" s="531">
        <f>BJ765-BK765</f>
        <v/>
      </c>
      <c r="BM765" s="201" t="n"/>
    </row>
    <row r="766" hidden="1" outlineLevel="1" s="191">
      <c r="A766">
        <f>VII_Model_PKZ!A69</f>
        <v/>
      </c>
      <c r="B766">
        <f>VII_Model_PKZ!B69</f>
        <v/>
      </c>
      <c r="C766">
        <f>VII_Model_PKZ!C69</f>
        <v/>
      </c>
      <c r="D766">
        <f>VII_Model_PKZ!D69</f>
        <v/>
      </c>
      <c r="E766">
        <f>VII_Model_PKZ!E69</f>
        <v/>
      </c>
      <c r="F766">
        <f>VII_Model_PKZ!F69</f>
        <v/>
      </c>
      <c r="G766">
        <f>VII_Model_PKZ!G69</f>
        <v/>
      </c>
      <c r="H766">
        <f>VII_Model_PKZ!H69</f>
        <v/>
      </c>
      <c r="I766">
        <f>VII_Model_PKZ!I69</f>
        <v/>
      </c>
      <c r="J766">
        <f>VII_Model_PKZ!J69</f>
        <v/>
      </c>
      <c r="K766" s="672">
        <f>VII_Model_PKZ!K69</f>
        <v/>
      </c>
      <c r="L766" s="672">
        <f>VII_Model_PKZ!L69</f>
        <v/>
      </c>
      <c r="M766">
        <f>VII_Model_PKZ!M69</f>
        <v/>
      </c>
      <c r="N766">
        <f>VII_Model_PKZ!N69</f>
        <v/>
      </c>
      <c r="O766">
        <f>VII_Model_PKZ!O69</f>
        <v/>
      </c>
      <c r="P766" s="628">
        <f>VII_Model_PKZ!P69</f>
        <v/>
      </c>
      <c r="Q766" s="628">
        <f>VII_Model_PKZ!Q69</f>
        <v/>
      </c>
      <c r="R766" s="628">
        <f>VII_Model_PKZ!R69</f>
        <v/>
      </c>
      <c r="S766" s="628">
        <f>VII_Model_PKZ!S69</f>
        <v/>
      </c>
      <c r="T766" s="628">
        <f>VII_Model_PKZ!T69</f>
        <v/>
      </c>
      <c r="U766" s="628">
        <f>VII_Model_PKZ!U69</f>
        <v/>
      </c>
      <c r="V766" s="628">
        <f>VII_Model_PKZ!V69</f>
        <v/>
      </c>
      <c r="W766" s="628">
        <f>VII_Model_PKZ!W69</f>
        <v/>
      </c>
      <c r="X766" s="628">
        <f>VII_Model_PKZ!X69</f>
        <v/>
      </c>
      <c r="Y766" s="650">
        <f>VII_Model_PKZ!Y69</f>
        <v/>
      </c>
      <c r="Z766" s="650">
        <f>VII_Model_PKZ!Z69</f>
        <v/>
      </c>
      <c r="AA766" s="650">
        <f>VII_Model_PKZ!AA69</f>
        <v/>
      </c>
      <c r="AB766" s="650">
        <f>VII_Model_PKZ!AB69</f>
        <v/>
      </c>
      <c r="AC766" s="613">
        <f>VII_Model_PKZ!AC69</f>
        <v/>
      </c>
      <c r="AD766" s="613">
        <f>VII_Model_PKZ!AD69</f>
        <v/>
      </c>
      <c r="AE766" s="613">
        <f>VII_Model_PKZ!AE69</f>
        <v/>
      </c>
      <c r="AF766" s="613">
        <f>VII_Model_PKZ!AF69</f>
        <v/>
      </c>
      <c r="AG766" s="626">
        <f>VII_Model_PKZ!AG69</f>
        <v/>
      </c>
      <c r="AH766" s="626">
        <f>VII_Model_PKZ!AH69</f>
        <v/>
      </c>
      <c r="AI766" s="626">
        <f>VII_Model_PKZ!AI69</f>
        <v/>
      </c>
      <c r="AJ766" s="626">
        <f>VII_Model_PKZ!AJ69</f>
        <v/>
      </c>
      <c r="AK766" s="626">
        <f>VII_Model_PKZ!AK69</f>
        <v/>
      </c>
      <c r="AL766" s="626">
        <f>VII_Model_PKZ!AL69</f>
        <v/>
      </c>
      <c r="AM766" s="626">
        <f>VII_Model_PKZ!AM69</f>
        <v/>
      </c>
      <c r="AN766" s="626">
        <f>VII_Model_PKZ!AN69</f>
        <v/>
      </c>
      <c r="AO766" s="626">
        <f>VII_Model_PKZ!AO69</f>
        <v/>
      </c>
      <c r="AP766" s="369">
        <f>VII_Model_PKZ!AP69</f>
        <v/>
      </c>
      <c r="AQ766" s="369">
        <f>VII_Model_PKZ!AQ69</f>
        <v/>
      </c>
      <c r="AR766" s="369">
        <f>VII_Model_PKZ!AR69</f>
        <v/>
      </c>
      <c r="AS766" s="369">
        <f>VII_Model_PKZ!AS69</f>
        <v/>
      </c>
      <c r="AT766" s="370">
        <f>VII_Model_PKZ!AT69</f>
        <v/>
      </c>
      <c r="AU766" s="370">
        <f>VII_Model_PKZ!AU69</f>
        <v/>
      </c>
      <c r="AV766" s="370">
        <f>VII_Model_PKZ!AV69</f>
        <v/>
      </c>
      <c r="AW766" s="370">
        <f>VII_Model_PKZ!AW69</f>
        <v/>
      </c>
      <c r="AX766">
        <f>VII_Model_PKZ!AX69</f>
        <v/>
      </c>
      <c r="AY766">
        <f>VII_Model_PKZ!AY69</f>
        <v/>
      </c>
      <c r="AZ766">
        <f>VII_Model_PKZ!AZ69</f>
        <v/>
      </c>
      <c r="BA766">
        <f>VII_Model_PKZ!BA69</f>
        <v/>
      </c>
      <c r="BB766">
        <f>VII_Model_PKZ!BB69</f>
        <v/>
      </c>
      <c r="BC766">
        <f>VII_Model_PKZ!BC69</f>
        <v/>
      </c>
      <c r="BD766">
        <f>VII_Model_PKZ!BD69</f>
        <v/>
      </c>
      <c r="BE766">
        <f>VII_Model_PKZ!BE69</f>
        <v/>
      </c>
      <c r="BF766">
        <f>VII_Model_PKZ!BF69</f>
        <v/>
      </c>
      <c r="BG766">
        <f>VII_Model_PKZ!BG69</f>
        <v/>
      </c>
      <c r="BH766">
        <f>VII_Model_PKZ!BH69</f>
        <v/>
      </c>
      <c r="BI766">
        <f>VII_Model_PKZ!BI69</f>
        <v/>
      </c>
      <c r="BJ766">
        <f>O766</f>
        <v/>
      </c>
      <c r="BK766">
        <f>SUM(AG766:AW766)</f>
        <v/>
      </c>
      <c r="BL766" s="531">
        <f>BJ766-BK766</f>
        <v/>
      </c>
      <c r="BM766" s="201" t="n"/>
    </row>
    <row r="767" hidden="1" outlineLevel="1" s="191">
      <c r="A767">
        <f>VII_Model_PKZ!A70</f>
        <v/>
      </c>
      <c r="B767">
        <f>VII_Model_PKZ!B70</f>
        <v/>
      </c>
      <c r="C767">
        <f>VII_Model_PKZ!C70</f>
        <v/>
      </c>
      <c r="D767">
        <f>VII_Model_PKZ!D70</f>
        <v/>
      </c>
      <c r="E767">
        <f>VII_Model_PKZ!E70</f>
        <v/>
      </c>
      <c r="F767">
        <f>VII_Model_PKZ!F70</f>
        <v/>
      </c>
      <c r="G767">
        <f>VII_Model_PKZ!G70</f>
        <v/>
      </c>
      <c r="H767">
        <f>VII_Model_PKZ!H70</f>
        <v/>
      </c>
      <c r="I767">
        <f>VII_Model_PKZ!I70</f>
        <v/>
      </c>
      <c r="J767">
        <f>VII_Model_PKZ!J70</f>
        <v/>
      </c>
      <c r="K767" s="672">
        <f>VII_Model_PKZ!K70</f>
        <v/>
      </c>
      <c r="L767" s="672">
        <f>VII_Model_PKZ!L70</f>
        <v/>
      </c>
      <c r="M767">
        <f>VII_Model_PKZ!M70</f>
        <v/>
      </c>
      <c r="N767">
        <f>VII_Model_PKZ!N70</f>
        <v/>
      </c>
      <c r="O767">
        <f>VII_Model_PKZ!O70</f>
        <v/>
      </c>
      <c r="P767" s="628">
        <f>VII_Model_PKZ!P70</f>
        <v/>
      </c>
      <c r="Q767" s="628">
        <f>VII_Model_PKZ!Q70</f>
        <v/>
      </c>
      <c r="R767" s="628">
        <f>VII_Model_PKZ!R70</f>
        <v/>
      </c>
      <c r="S767" s="628">
        <f>VII_Model_PKZ!S70</f>
        <v/>
      </c>
      <c r="T767" s="628">
        <f>VII_Model_PKZ!T70</f>
        <v/>
      </c>
      <c r="U767" s="628">
        <f>VII_Model_PKZ!U70</f>
        <v/>
      </c>
      <c r="V767" s="628">
        <f>VII_Model_PKZ!V70</f>
        <v/>
      </c>
      <c r="W767" s="628">
        <f>VII_Model_PKZ!W70</f>
        <v/>
      </c>
      <c r="X767" s="628">
        <f>VII_Model_PKZ!X70</f>
        <v/>
      </c>
      <c r="Y767" s="650">
        <f>VII_Model_PKZ!Y70</f>
        <v/>
      </c>
      <c r="Z767" s="650">
        <f>VII_Model_PKZ!Z70</f>
        <v/>
      </c>
      <c r="AA767" s="650">
        <f>VII_Model_PKZ!AA70</f>
        <v/>
      </c>
      <c r="AB767" s="650">
        <f>VII_Model_PKZ!AB70</f>
        <v/>
      </c>
      <c r="AC767" s="613">
        <f>VII_Model_PKZ!AC70</f>
        <v/>
      </c>
      <c r="AD767" s="613">
        <f>VII_Model_PKZ!AD70</f>
        <v/>
      </c>
      <c r="AE767" s="613">
        <f>VII_Model_PKZ!AE70</f>
        <v/>
      </c>
      <c r="AF767" s="613">
        <f>VII_Model_PKZ!AF70</f>
        <v/>
      </c>
      <c r="AG767" s="626">
        <f>VII_Model_PKZ!AG70</f>
        <v/>
      </c>
      <c r="AH767" s="626">
        <f>VII_Model_PKZ!AH70</f>
        <v/>
      </c>
      <c r="AI767" s="626">
        <f>VII_Model_PKZ!AI70</f>
        <v/>
      </c>
      <c r="AJ767" s="626">
        <f>VII_Model_PKZ!AJ70</f>
        <v/>
      </c>
      <c r="AK767" s="626">
        <f>VII_Model_PKZ!AK70</f>
        <v/>
      </c>
      <c r="AL767" s="626">
        <f>VII_Model_PKZ!AL70</f>
        <v/>
      </c>
      <c r="AM767" s="626">
        <f>VII_Model_PKZ!AM70</f>
        <v/>
      </c>
      <c r="AN767" s="626">
        <f>VII_Model_PKZ!AN70</f>
        <v/>
      </c>
      <c r="AO767" s="626">
        <f>VII_Model_PKZ!AO70</f>
        <v/>
      </c>
      <c r="AP767" s="369">
        <f>VII_Model_PKZ!AP70</f>
        <v/>
      </c>
      <c r="AQ767" s="369">
        <f>VII_Model_PKZ!AQ70</f>
        <v/>
      </c>
      <c r="AR767" s="369">
        <f>VII_Model_PKZ!AR70</f>
        <v/>
      </c>
      <c r="AS767" s="369">
        <f>VII_Model_PKZ!AS70</f>
        <v/>
      </c>
      <c r="AT767" s="370">
        <f>VII_Model_PKZ!AT70</f>
        <v/>
      </c>
      <c r="AU767" s="370">
        <f>VII_Model_PKZ!AU70</f>
        <v/>
      </c>
      <c r="AV767" s="370">
        <f>VII_Model_PKZ!AV70</f>
        <v/>
      </c>
      <c r="AW767" s="370">
        <f>VII_Model_PKZ!AW70</f>
        <v/>
      </c>
      <c r="AX767">
        <f>VII_Model_PKZ!AX70</f>
        <v/>
      </c>
      <c r="AY767">
        <f>VII_Model_PKZ!AY70</f>
        <v/>
      </c>
      <c r="AZ767">
        <f>VII_Model_PKZ!AZ70</f>
        <v/>
      </c>
      <c r="BA767">
        <f>VII_Model_PKZ!BA70</f>
        <v/>
      </c>
      <c r="BB767">
        <f>VII_Model_PKZ!BB70</f>
        <v/>
      </c>
      <c r="BC767">
        <f>VII_Model_PKZ!BC70</f>
        <v/>
      </c>
      <c r="BD767">
        <f>VII_Model_PKZ!BD70</f>
        <v/>
      </c>
      <c r="BE767">
        <f>VII_Model_PKZ!BE70</f>
        <v/>
      </c>
      <c r="BF767">
        <f>VII_Model_PKZ!BF70</f>
        <v/>
      </c>
      <c r="BG767">
        <f>VII_Model_PKZ!BG70</f>
        <v/>
      </c>
      <c r="BH767">
        <f>VII_Model_PKZ!BH70</f>
        <v/>
      </c>
      <c r="BI767">
        <f>VII_Model_PKZ!BI70</f>
        <v/>
      </c>
      <c r="BJ767">
        <f>O767</f>
        <v/>
      </c>
      <c r="BK767">
        <f>SUM(AG767:AW767)</f>
        <v/>
      </c>
      <c r="BL767" s="531">
        <f>BJ767-BK767</f>
        <v/>
      </c>
      <c r="BM767" s="201" t="n"/>
    </row>
    <row r="768" hidden="1" outlineLevel="1" s="191">
      <c r="A768">
        <f>VII_Model_PKZ!A71</f>
        <v/>
      </c>
      <c r="B768">
        <f>VII_Model_PKZ!B71</f>
        <v/>
      </c>
      <c r="C768">
        <f>VII_Model_PKZ!C71</f>
        <v/>
      </c>
      <c r="D768">
        <f>VII_Model_PKZ!D71</f>
        <v/>
      </c>
      <c r="E768">
        <f>VII_Model_PKZ!E71</f>
        <v/>
      </c>
      <c r="F768">
        <f>VII_Model_PKZ!F71</f>
        <v/>
      </c>
      <c r="G768">
        <f>VII_Model_PKZ!G71</f>
        <v/>
      </c>
      <c r="H768">
        <f>VII_Model_PKZ!H71</f>
        <v/>
      </c>
      <c r="I768">
        <f>VII_Model_PKZ!I71</f>
        <v/>
      </c>
      <c r="J768">
        <f>VII_Model_PKZ!J71</f>
        <v/>
      </c>
      <c r="K768" s="672">
        <f>VII_Model_PKZ!K71</f>
        <v/>
      </c>
      <c r="L768" s="672">
        <f>VII_Model_PKZ!L71</f>
        <v/>
      </c>
      <c r="M768">
        <f>VII_Model_PKZ!M71</f>
        <v/>
      </c>
      <c r="N768">
        <f>VII_Model_PKZ!N71</f>
        <v/>
      </c>
      <c r="O768">
        <f>VII_Model_PKZ!O71</f>
        <v/>
      </c>
      <c r="P768" s="628">
        <f>VII_Model_PKZ!P71</f>
        <v/>
      </c>
      <c r="Q768" s="628">
        <f>VII_Model_PKZ!Q71</f>
        <v/>
      </c>
      <c r="R768" s="628">
        <f>VII_Model_PKZ!R71</f>
        <v/>
      </c>
      <c r="S768" s="628">
        <f>VII_Model_PKZ!S71</f>
        <v/>
      </c>
      <c r="T768" s="628">
        <f>VII_Model_PKZ!T71</f>
        <v/>
      </c>
      <c r="U768" s="628">
        <f>VII_Model_PKZ!U71</f>
        <v/>
      </c>
      <c r="V768" s="628">
        <f>VII_Model_PKZ!V71</f>
        <v/>
      </c>
      <c r="W768" s="628">
        <f>VII_Model_PKZ!W71</f>
        <v/>
      </c>
      <c r="X768" s="628">
        <f>VII_Model_PKZ!X71</f>
        <v/>
      </c>
      <c r="Y768" s="650">
        <f>VII_Model_PKZ!Y71</f>
        <v/>
      </c>
      <c r="Z768" s="650">
        <f>VII_Model_PKZ!Z71</f>
        <v/>
      </c>
      <c r="AA768" s="650">
        <f>VII_Model_PKZ!AA71</f>
        <v/>
      </c>
      <c r="AB768" s="650">
        <f>VII_Model_PKZ!AB71</f>
        <v/>
      </c>
      <c r="AC768" s="613">
        <f>VII_Model_PKZ!AC71</f>
        <v/>
      </c>
      <c r="AD768" s="613">
        <f>VII_Model_PKZ!AD71</f>
        <v/>
      </c>
      <c r="AE768" s="613">
        <f>VII_Model_PKZ!AE71</f>
        <v/>
      </c>
      <c r="AF768" s="613">
        <f>VII_Model_PKZ!AF71</f>
        <v/>
      </c>
      <c r="AG768" s="626">
        <f>VII_Model_PKZ!AG71</f>
        <v/>
      </c>
      <c r="AH768" s="626">
        <f>VII_Model_PKZ!AH71</f>
        <v/>
      </c>
      <c r="AI768" s="626">
        <f>VII_Model_PKZ!AI71</f>
        <v/>
      </c>
      <c r="AJ768" s="626">
        <f>VII_Model_PKZ!AJ71</f>
        <v/>
      </c>
      <c r="AK768" s="626">
        <f>VII_Model_PKZ!AK71</f>
        <v/>
      </c>
      <c r="AL768" s="626">
        <f>VII_Model_PKZ!AL71</f>
        <v/>
      </c>
      <c r="AM768" s="626">
        <f>VII_Model_PKZ!AM71</f>
        <v/>
      </c>
      <c r="AN768" s="626">
        <f>VII_Model_PKZ!AN71</f>
        <v/>
      </c>
      <c r="AO768" s="626">
        <f>VII_Model_PKZ!AO71</f>
        <v/>
      </c>
      <c r="AP768" s="369">
        <f>VII_Model_PKZ!AP71</f>
        <v/>
      </c>
      <c r="AQ768" s="369">
        <f>VII_Model_PKZ!AQ71</f>
        <v/>
      </c>
      <c r="AR768" s="369">
        <f>VII_Model_PKZ!AR71</f>
        <v/>
      </c>
      <c r="AS768" s="369">
        <f>VII_Model_PKZ!AS71</f>
        <v/>
      </c>
      <c r="AT768" s="370">
        <f>VII_Model_PKZ!AT71</f>
        <v/>
      </c>
      <c r="AU768" s="370">
        <f>VII_Model_PKZ!AU71</f>
        <v/>
      </c>
      <c r="AV768" s="370">
        <f>VII_Model_PKZ!AV71</f>
        <v/>
      </c>
      <c r="AW768" s="370">
        <f>VII_Model_PKZ!AW71</f>
        <v/>
      </c>
      <c r="AX768">
        <f>VII_Model_PKZ!AX71</f>
        <v/>
      </c>
      <c r="AY768">
        <f>VII_Model_PKZ!AY71</f>
        <v/>
      </c>
      <c r="AZ768">
        <f>VII_Model_PKZ!AZ71</f>
        <v/>
      </c>
      <c r="BA768">
        <f>VII_Model_PKZ!BA71</f>
        <v/>
      </c>
      <c r="BB768">
        <f>VII_Model_PKZ!BB71</f>
        <v/>
      </c>
      <c r="BC768">
        <f>VII_Model_PKZ!BC71</f>
        <v/>
      </c>
      <c r="BD768">
        <f>VII_Model_PKZ!BD71</f>
        <v/>
      </c>
      <c r="BE768">
        <f>VII_Model_PKZ!BE71</f>
        <v/>
      </c>
      <c r="BF768">
        <f>VII_Model_PKZ!BF71</f>
        <v/>
      </c>
      <c r="BG768">
        <f>VII_Model_PKZ!BG71</f>
        <v/>
      </c>
      <c r="BH768">
        <f>VII_Model_PKZ!BH71</f>
        <v/>
      </c>
      <c r="BI768">
        <f>VII_Model_PKZ!BI71</f>
        <v/>
      </c>
      <c r="BJ768">
        <f>O768</f>
        <v/>
      </c>
      <c r="BK768">
        <f>SUM(AG768:AW768)</f>
        <v/>
      </c>
      <c r="BL768" s="531">
        <f>BJ768-BK768</f>
        <v/>
      </c>
      <c r="BM768" s="201" t="n"/>
    </row>
    <row r="769" hidden="1" outlineLevel="1" s="191">
      <c r="A769">
        <f>VII_Model_PKZ!A72</f>
        <v/>
      </c>
      <c r="B769">
        <f>VII_Model_PKZ!B72</f>
        <v/>
      </c>
      <c r="C769">
        <f>VII_Model_PKZ!C72</f>
        <v/>
      </c>
      <c r="D769">
        <f>VII_Model_PKZ!D72</f>
        <v/>
      </c>
      <c r="E769">
        <f>VII_Model_PKZ!E72</f>
        <v/>
      </c>
      <c r="F769">
        <f>VII_Model_PKZ!F72</f>
        <v/>
      </c>
      <c r="G769">
        <f>VII_Model_PKZ!G72</f>
        <v/>
      </c>
      <c r="H769">
        <f>VII_Model_PKZ!H72</f>
        <v/>
      </c>
      <c r="I769">
        <f>VII_Model_PKZ!I72</f>
        <v/>
      </c>
      <c r="J769">
        <f>VII_Model_PKZ!J72</f>
        <v/>
      </c>
      <c r="K769" s="672">
        <f>VII_Model_PKZ!K72</f>
        <v/>
      </c>
      <c r="L769" s="672">
        <f>VII_Model_PKZ!L72</f>
        <v/>
      </c>
      <c r="M769">
        <f>VII_Model_PKZ!M72</f>
        <v/>
      </c>
      <c r="N769">
        <f>VII_Model_PKZ!N72</f>
        <v/>
      </c>
      <c r="O769">
        <f>VII_Model_PKZ!O72</f>
        <v/>
      </c>
      <c r="P769" s="628">
        <f>VII_Model_PKZ!P72</f>
        <v/>
      </c>
      <c r="Q769" s="628">
        <f>VII_Model_PKZ!Q72</f>
        <v/>
      </c>
      <c r="R769" s="628">
        <f>VII_Model_PKZ!R72</f>
        <v/>
      </c>
      <c r="S769" s="628">
        <f>VII_Model_PKZ!S72</f>
        <v/>
      </c>
      <c r="T769" s="628">
        <f>VII_Model_PKZ!T72</f>
        <v/>
      </c>
      <c r="U769" s="628">
        <f>VII_Model_PKZ!U72</f>
        <v/>
      </c>
      <c r="V769" s="628">
        <f>VII_Model_PKZ!V72</f>
        <v/>
      </c>
      <c r="W769" s="628">
        <f>VII_Model_PKZ!W72</f>
        <v/>
      </c>
      <c r="X769" s="628">
        <f>VII_Model_PKZ!X72</f>
        <v/>
      </c>
      <c r="Y769" s="650">
        <f>VII_Model_PKZ!Y72</f>
        <v/>
      </c>
      <c r="Z769" s="650">
        <f>VII_Model_PKZ!Z72</f>
        <v/>
      </c>
      <c r="AA769" s="650">
        <f>VII_Model_PKZ!AA72</f>
        <v/>
      </c>
      <c r="AB769" s="650">
        <f>VII_Model_PKZ!AB72</f>
        <v/>
      </c>
      <c r="AC769" s="613">
        <f>VII_Model_PKZ!AC72</f>
        <v/>
      </c>
      <c r="AD769" s="613">
        <f>VII_Model_PKZ!AD72</f>
        <v/>
      </c>
      <c r="AE769" s="613">
        <f>VII_Model_PKZ!AE72</f>
        <v/>
      </c>
      <c r="AF769" s="613">
        <f>VII_Model_PKZ!AF72</f>
        <v/>
      </c>
      <c r="AG769" s="626">
        <f>VII_Model_PKZ!AG72</f>
        <v/>
      </c>
      <c r="AH769" s="626">
        <f>VII_Model_PKZ!AH72</f>
        <v/>
      </c>
      <c r="AI769" s="626">
        <f>VII_Model_PKZ!AI72</f>
        <v/>
      </c>
      <c r="AJ769" s="626">
        <f>VII_Model_PKZ!AJ72</f>
        <v/>
      </c>
      <c r="AK769" s="626">
        <f>VII_Model_PKZ!AK72</f>
        <v/>
      </c>
      <c r="AL769" s="626">
        <f>VII_Model_PKZ!AL72</f>
        <v/>
      </c>
      <c r="AM769" s="626">
        <f>VII_Model_PKZ!AM72</f>
        <v/>
      </c>
      <c r="AN769" s="626">
        <f>VII_Model_PKZ!AN72</f>
        <v/>
      </c>
      <c r="AO769" s="626">
        <f>VII_Model_PKZ!AO72</f>
        <v/>
      </c>
      <c r="AP769" s="369">
        <f>VII_Model_PKZ!AP72</f>
        <v/>
      </c>
      <c r="AQ769" s="369">
        <f>VII_Model_PKZ!AQ72</f>
        <v/>
      </c>
      <c r="AR769" s="369">
        <f>VII_Model_PKZ!AR72</f>
        <v/>
      </c>
      <c r="AS769" s="369">
        <f>VII_Model_PKZ!AS72</f>
        <v/>
      </c>
      <c r="AT769" s="370">
        <f>VII_Model_PKZ!AT72</f>
        <v/>
      </c>
      <c r="AU769" s="370">
        <f>VII_Model_PKZ!AU72</f>
        <v/>
      </c>
      <c r="AV769" s="370">
        <f>VII_Model_PKZ!AV72</f>
        <v/>
      </c>
      <c r="AW769" s="370">
        <f>VII_Model_PKZ!AW72</f>
        <v/>
      </c>
      <c r="AX769">
        <f>VII_Model_PKZ!AX72</f>
        <v/>
      </c>
      <c r="AY769">
        <f>VII_Model_PKZ!AY72</f>
        <v/>
      </c>
      <c r="AZ769">
        <f>VII_Model_PKZ!AZ72</f>
        <v/>
      </c>
      <c r="BA769">
        <f>VII_Model_PKZ!BA72</f>
        <v/>
      </c>
      <c r="BB769">
        <f>VII_Model_PKZ!BB72</f>
        <v/>
      </c>
      <c r="BC769">
        <f>VII_Model_PKZ!BC72</f>
        <v/>
      </c>
      <c r="BD769">
        <f>VII_Model_PKZ!BD72</f>
        <v/>
      </c>
      <c r="BE769">
        <f>VII_Model_PKZ!BE72</f>
        <v/>
      </c>
      <c r="BF769">
        <f>VII_Model_PKZ!BF72</f>
        <v/>
      </c>
      <c r="BG769">
        <f>VII_Model_PKZ!BG72</f>
        <v/>
      </c>
      <c r="BH769">
        <f>VII_Model_PKZ!BH72</f>
        <v/>
      </c>
      <c r="BI769">
        <f>VII_Model_PKZ!BI72</f>
        <v/>
      </c>
      <c r="BJ769">
        <f>O769</f>
        <v/>
      </c>
      <c r="BK769">
        <f>SUM(AG769:AW769)</f>
        <v/>
      </c>
      <c r="BL769" s="531">
        <f>BJ769-BK769</f>
        <v/>
      </c>
      <c r="BM769" s="201" t="n"/>
    </row>
    <row r="770" hidden="1" outlineLevel="1" s="191">
      <c r="A770">
        <f>VII_Model_PKZ!A73</f>
        <v/>
      </c>
      <c r="B770">
        <f>VII_Model_PKZ!B73</f>
        <v/>
      </c>
      <c r="C770">
        <f>VII_Model_PKZ!C73</f>
        <v/>
      </c>
      <c r="D770">
        <f>VII_Model_PKZ!D73</f>
        <v/>
      </c>
      <c r="E770">
        <f>VII_Model_PKZ!E73</f>
        <v/>
      </c>
      <c r="F770">
        <f>VII_Model_PKZ!F73</f>
        <v/>
      </c>
      <c r="G770">
        <f>VII_Model_PKZ!G73</f>
        <v/>
      </c>
      <c r="H770">
        <f>VII_Model_PKZ!H73</f>
        <v/>
      </c>
      <c r="I770">
        <f>VII_Model_PKZ!I73</f>
        <v/>
      </c>
      <c r="J770">
        <f>VII_Model_PKZ!J73</f>
        <v/>
      </c>
      <c r="K770" s="672">
        <f>VII_Model_PKZ!K73</f>
        <v/>
      </c>
      <c r="L770" s="672">
        <f>VII_Model_PKZ!L73</f>
        <v/>
      </c>
      <c r="M770">
        <f>VII_Model_PKZ!M73</f>
        <v/>
      </c>
      <c r="N770">
        <f>VII_Model_PKZ!N73</f>
        <v/>
      </c>
      <c r="O770">
        <f>VII_Model_PKZ!O73</f>
        <v/>
      </c>
      <c r="P770" s="628">
        <f>VII_Model_PKZ!P73</f>
        <v/>
      </c>
      <c r="Q770" s="628">
        <f>VII_Model_PKZ!Q73</f>
        <v/>
      </c>
      <c r="R770" s="628">
        <f>VII_Model_PKZ!R73</f>
        <v/>
      </c>
      <c r="S770" s="628">
        <f>VII_Model_PKZ!S73</f>
        <v/>
      </c>
      <c r="T770" s="628">
        <f>VII_Model_PKZ!T73</f>
        <v/>
      </c>
      <c r="U770" s="628">
        <f>VII_Model_PKZ!U73</f>
        <v/>
      </c>
      <c r="V770" s="628">
        <f>VII_Model_PKZ!V73</f>
        <v/>
      </c>
      <c r="W770" s="628">
        <f>VII_Model_PKZ!W73</f>
        <v/>
      </c>
      <c r="X770" s="628">
        <f>VII_Model_PKZ!X73</f>
        <v/>
      </c>
      <c r="Y770" s="650">
        <f>VII_Model_PKZ!Y73</f>
        <v/>
      </c>
      <c r="Z770" s="650">
        <f>VII_Model_PKZ!Z73</f>
        <v/>
      </c>
      <c r="AA770" s="650">
        <f>VII_Model_PKZ!AA73</f>
        <v/>
      </c>
      <c r="AB770" s="650">
        <f>VII_Model_PKZ!AB73</f>
        <v/>
      </c>
      <c r="AC770" s="613">
        <f>VII_Model_PKZ!AC73</f>
        <v/>
      </c>
      <c r="AD770" s="613">
        <f>VII_Model_PKZ!AD73</f>
        <v/>
      </c>
      <c r="AE770" s="613">
        <f>VII_Model_PKZ!AE73</f>
        <v/>
      </c>
      <c r="AF770" s="613">
        <f>VII_Model_PKZ!AF73</f>
        <v/>
      </c>
      <c r="AG770" s="626">
        <f>VII_Model_PKZ!AG73</f>
        <v/>
      </c>
      <c r="AH770" s="626">
        <f>VII_Model_PKZ!AH73</f>
        <v/>
      </c>
      <c r="AI770" s="626">
        <f>VII_Model_PKZ!AI73</f>
        <v/>
      </c>
      <c r="AJ770" s="626">
        <f>VII_Model_PKZ!AJ73</f>
        <v/>
      </c>
      <c r="AK770" s="626">
        <f>VII_Model_PKZ!AK73</f>
        <v/>
      </c>
      <c r="AL770" s="626">
        <f>VII_Model_PKZ!AL73</f>
        <v/>
      </c>
      <c r="AM770" s="626">
        <f>VII_Model_PKZ!AM73</f>
        <v/>
      </c>
      <c r="AN770" s="626">
        <f>VII_Model_PKZ!AN73</f>
        <v/>
      </c>
      <c r="AO770" s="626">
        <f>VII_Model_PKZ!AO73</f>
        <v/>
      </c>
      <c r="AP770" s="369">
        <f>VII_Model_PKZ!AP73</f>
        <v/>
      </c>
      <c r="AQ770" s="369">
        <f>VII_Model_PKZ!AQ73</f>
        <v/>
      </c>
      <c r="AR770" s="369">
        <f>VII_Model_PKZ!AR73</f>
        <v/>
      </c>
      <c r="AS770" s="369">
        <f>VII_Model_PKZ!AS73</f>
        <v/>
      </c>
      <c r="AT770" s="370">
        <f>VII_Model_PKZ!AT73</f>
        <v/>
      </c>
      <c r="AU770" s="370">
        <f>VII_Model_PKZ!AU73</f>
        <v/>
      </c>
      <c r="AV770" s="370">
        <f>VII_Model_PKZ!AV73</f>
        <v/>
      </c>
      <c r="AW770" s="370">
        <f>VII_Model_PKZ!AW73</f>
        <v/>
      </c>
      <c r="AX770">
        <f>VII_Model_PKZ!AX73</f>
        <v/>
      </c>
      <c r="AY770">
        <f>VII_Model_PKZ!AY73</f>
        <v/>
      </c>
      <c r="AZ770">
        <f>VII_Model_PKZ!AZ73</f>
        <v/>
      </c>
      <c r="BA770">
        <f>VII_Model_PKZ!BA73</f>
        <v/>
      </c>
      <c r="BB770">
        <f>VII_Model_PKZ!BB73</f>
        <v/>
      </c>
      <c r="BC770">
        <f>VII_Model_PKZ!BC73</f>
        <v/>
      </c>
      <c r="BD770">
        <f>VII_Model_PKZ!BD73</f>
        <v/>
      </c>
      <c r="BE770">
        <f>VII_Model_PKZ!BE73</f>
        <v/>
      </c>
      <c r="BF770">
        <f>VII_Model_PKZ!BF73</f>
        <v/>
      </c>
      <c r="BG770">
        <f>VII_Model_PKZ!BG73</f>
        <v/>
      </c>
      <c r="BH770">
        <f>VII_Model_PKZ!BH73</f>
        <v/>
      </c>
      <c r="BI770">
        <f>VII_Model_PKZ!BI73</f>
        <v/>
      </c>
      <c r="BJ770">
        <f>O770</f>
        <v/>
      </c>
      <c r="BK770">
        <f>SUM(AG770:AW770)</f>
        <v/>
      </c>
      <c r="BL770" s="531">
        <f>BJ770-BK770</f>
        <v/>
      </c>
      <c r="BM770" s="201" t="n"/>
    </row>
    <row r="771" hidden="1" outlineLevel="1" s="191">
      <c r="A771">
        <f>VII_Model_PKZ!A74</f>
        <v/>
      </c>
      <c r="B771">
        <f>VII_Model_PKZ!B74</f>
        <v/>
      </c>
      <c r="C771">
        <f>VII_Model_PKZ!C74</f>
        <v/>
      </c>
      <c r="D771">
        <f>VII_Model_PKZ!D74</f>
        <v/>
      </c>
      <c r="E771">
        <f>VII_Model_PKZ!E74</f>
        <v/>
      </c>
      <c r="F771">
        <f>VII_Model_PKZ!F74</f>
        <v/>
      </c>
      <c r="G771">
        <f>VII_Model_PKZ!G74</f>
        <v/>
      </c>
      <c r="H771">
        <f>VII_Model_PKZ!H74</f>
        <v/>
      </c>
      <c r="I771">
        <f>VII_Model_PKZ!I74</f>
        <v/>
      </c>
      <c r="J771">
        <f>VII_Model_PKZ!J74</f>
        <v/>
      </c>
      <c r="K771" s="672">
        <f>VII_Model_PKZ!K74</f>
        <v/>
      </c>
      <c r="L771" s="672">
        <f>VII_Model_PKZ!L74</f>
        <v/>
      </c>
      <c r="M771">
        <f>VII_Model_PKZ!M74</f>
        <v/>
      </c>
      <c r="N771">
        <f>VII_Model_PKZ!N74</f>
        <v/>
      </c>
      <c r="O771">
        <f>VII_Model_PKZ!O74</f>
        <v/>
      </c>
      <c r="P771" s="628">
        <f>VII_Model_PKZ!P74</f>
        <v/>
      </c>
      <c r="Q771" s="628">
        <f>VII_Model_PKZ!Q74</f>
        <v/>
      </c>
      <c r="R771" s="628">
        <f>VII_Model_PKZ!R74</f>
        <v/>
      </c>
      <c r="S771" s="628">
        <f>VII_Model_PKZ!S74</f>
        <v/>
      </c>
      <c r="T771" s="628">
        <f>VII_Model_PKZ!T74</f>
        <v/>
      </c>
      <c r="U771" s="628">
        <f>VII_Model_PKZ!U74</f>
        <v/>
      </c>
      <c r="V771" s="628">
        <f>VII_Model_PKZ!V74</f>
        <v/>
      </c>
      <c r="W771" s="628">
        <f>VII_Model_PKZ!W74</f>
        <v/>
      </c>
      <c r="X771" s="628">
        <f>VII_Model_PKZ!X74</f>
        <v/>
      </c>
      <c r="Y771" s="650">
        <f>VII_Model_PKZ!Y74</f>
        <v/>
      </c>
      <c r="Z771" s="650">
        <f>VII_Model_PKZ!Z74</f>
        <v/>
      </c>
      <c r="AA771" s="650">
        <f>VII_Model_PKZ!AA74</f>
        <v/>
      </c>
      <c r="AB771" s="650">
        <f>VII_Model_PKZ!AB74</f>
        <v/>
      </c>
      <c r="AC771" s="613">
        <f>VII_Model_PKZ!AC74</f>
        <v/>
      </c>
      <c r="AD771" s="613">
        <f>VII_Model_PKZ!AD74</f>
        <v/>
      </c>
      <c r="AE771" s="613">
        <f>VII_Model_PKZ!AE74</f>
        <v/>
      </c>
      <c r="AF771" s="613">
        <f>VII_Model_PKZ!AF74</f>
        <v/>
      </c>
      <c r="AG771" s="626">
        <f>VII_Model_PKZ!AG74</f>
        <v/>
      </c>
      <c r="AH771" s="626">
        <f>VII_Model_PKZ!AH74</f>
        <v/>
      </c>
      <c r="AI771" s="626">
        <f>VII_Model_PKZ!AI74</f>
        <v/>
      </c>
      <c r="AJ771" s="626">
        <f>VII_Model_PKZ!AJ74</f>
        <v/>
      </c>
      <c r="AK771" s="626">
        <f>VII_Model_PKZ!AK74</f>
        <v/>
      </c>
      <c r="AL771" s="626">
        <f>VII_Model_PKZ!AL74</f>
        <v/>
      </c>
      <c r="AM771" s="626">
        <f>VII_Model_PKZ!AM74</f>
        <v/>
      </c>
      <c r="AN771" s="626">
        <f>VII_Model_PKZ!AN74</f>
        <v/>
      </c>
      <c r="AO771" s="626">
        <f>VII_Model_PKZ!AO74</f>
        <v/>
      </c>
      <c r="AP771" s="369">
        <f>VII_Model_PKZ!AP74</f>
        <v/>
      </c>
      <c r="AQ771" s="369">
        <f>VII_Model_PKZ!AQ74</f>
        <v/>
      </c>
      <c r="AR771" s="369">
        <f>VII_Model_PKZ!AR74</f>
        <v/>
      </c>
      <c r="AS771" s="369">
        <f>VII_Model_PKZ!AS74</f>
        <v/>
      </c>
      <c r="AT771" s="370">
        <f>VII_Model_PKZ!AT74</f>
        <v/>
      </c>
      <c r="AU771" s="370">
        <f>VII_Model_PKZ!AU74</f>
        <v/>
      </c>
      <c r="AV771" s="370">
        <f>VII_Model_PKZ!AV74</f>
        <v/>
      </c>
      <c r="AW771" s="370">
        <f>VII_Model_PKZ!AW74</f>
        <v/>
      </c>
      <c r="AX771">
        <f>VII_Model_PKZ!AX74</f>
        <v/>
      </c>
      <c r="AY771">
        <f>VII_Model_PKZ!AY74</f>
        <v/>
      </c>
      <c r="AZ771">
        <f>VII_Model_PKZ!AZ74</f>
        <v/>
      </c>
      <c r="BA771">
        <f>VII_Model_PKZ!BA74</f>
        <v/>
      </c>
      <c r="BB771">
        <f>VII_Model_PKZ!BB74</f>
        <v/>
      </c>
      <c r="BC771">
        <f>VII_Model_PKZ!BC74</f>
        <v/>
      </c>
      <c r="BD771">
        <f>VII_Model_PKZ!BD74</f>
        <v/>
      </c>
      <c r="BE771">
        <f>VII_Model_PKZ!BE74</f>
        <v/>
      </c>
      <c r="BF771">
        <f>VII_Model_PKZ!BF74</f>
        <v/>
      </c>
      <c r="BG771">
        <f>VII_Model_PKZ!BG74</f>
        <v/>
      </c>
      <c r="BH771">
        <f>VII_Model_PKZ!BH74</f>
        <v/>
      </c>
      <c r="BI771">
        <f>VII_Model_PKZ!BI74</f>
        <v/>
      </c>
      <c r="BJ771">
        <f>O771</f>
        <v/>
      </c>
      <c r="BK771">
        <f>SUM(AG771:AW771)</f>
        <v/>
      </c>
      <c r="BL771" s="531">
        <f>BJ771-BK771</f>
        <v/>
      </c>
      <c r="BM771" s="201" t="n"/>
    </row>
    <row r="772" hidden="1" outlineLevel="1" s="191">
      <c r="A772">
        <f>VII_Model_PKZ!A75</f>
        <v/>
      </c>
      <c r="B772">
        <f>VII_Model_PKZ!B75</f>
        <v/>
      </c>
      <c r="C772">
        <f>VII_Model_PKZ!C75</f>
        <v/>
      </c>
      <c r="D772">
        <f>VII_Model_PKZ!D75</f>
        <v/>
      </c>
      <c r="E772">
        <f>VII_Model_PKZ!E75</f>
        <v/>
      </c>
      <c r="F772">
        <f>VII_Model_PKZ!F75</f>
        <v/>
      </c>
      <c r="G772">
        <f>VII_Model_PKZ!G75</f>
        <v/>
      </c>
      <c r="H772">
        <f>VII_Model_PKZ!H75</f>
        <v/>
      </c>
      <c r="I772">
        <f>VII_Model_PKZ!I75</f>
        <v/>
      </c>
      <c r="J772">
        <f>VII_Model_PKZ!J75</f>
        <v/>
      </c>
      <c r="K772" s="672">
        <f>VII_Model_PKZ!K75</f>
        <v/>
      </c>
      <c r="L772" s="672">
        <f>VII_Model_PKZ!L75</f>
        <v/>
      </c>
      <c r="M772">
        <f>VII_Model_PKZ!M75</f>
        <v/>
      </c>
      <c r="N772">
        <f>VII_Model_PKZ!N75</f>
        <v/>
      </c>
      <c r="O772">
        <f>VII_Model_PKZ!O75</f>
        <v/>
      </c>
      <c r="P772" s="628">
        <f>VII_Model_PKZ!P75</f>
        <v/>
      </c>
      <c r="Q772" s="628">
        <f>VII_Model_PKZ!Q75</f>
        <v/>
      </c>
      <c r="R772" s="628">
        <f>VII_Model_PKZ!R75</f>
        <v/>
      </c>
      <c r="S772" s="628">
        <f>VII_Model_PKZ!S75</f>
        <v/>
      </c>
      <c r="T772" s="628">
        <f>VII_Model_PKZ!T75</f>
        <v/>
      </c>
      <c r="U772" s="628">
        <f>VII_Model_PKZ!U75</f>
        <v/>
      </c>
      <c r="V772" s="628">
        <f>VII_Model_PKZ!V75</f>
        <v/>
      </c>
      <c r="W772" s="628">
        <f>VII_Model_PKZ!W75</f>
        <v/>
      </c>
      <c r="X772" s="628">
        <f>VII_Model_PKZ!X75</f>
        <v/>
      </c>
      <c r="Y772" s="650">
        <f>VII_Model_PKZ!Y75</f>
        <v/>
      </c>
      <c r="Z772" s="650">
        <f>VII_Model_PKZ!Z75</f>
        <v/>
      </c>
      <c r="AA772" s="650">
        <f>VII_Model_PKZ!AA75</f>
        <v/>
      </c>
      <c r="AB772" s="650">
        <f>VII_Model_PKZ!AB75</f>
        <v/>
      </c>
      <c r="AC772" s="613">
        <f>VII_Model_PKZ!AC75</f>
        <v/>
      </c>
      <c r="AD772" s="613">
        <f>VII_Model_PKZ!AD75</f>
        <v/>
      </c>
      <c r="AE772" s="613">
        <f>VII_Model_PKZ!AE75</f>
        <v/>
      </c>
      <c r="AF772" s="613">
        <f>VII_Model_PKZ!AF75</f>
        <v/>
      </c>
      <c r="AG772" s="626">
        <f>VII_Model_PKZ!AG75</f>
        <v/>
      </c>
      <c r="AH772" s="626">
        <f>VII_Model_PKZ!AH75</f>
        <v/>
      </c>
      <c r="AI772" s="626">
        <f>VII_Model_PKZ!AI75</f>
        <v/>
      </c>
      <c r="AJ772" s="626">
        <f>VII_Model_PKZ!AJ75</f>
        <v/>
      </c>
      <c r="AK772" s="626">
        <f>VII_Model_PKZ!AK75</f>
        <v/>
      </c>
      <c r="AL772" s="626">
        <f>VII_Model_PKZ!AL75</f>
        <v/>
      </c>
      <c r="AM772" s="626">
        <f>VII_Model_PKZ!AM75</f>
        <v/>
      </c>
      <c r="AN772" s="626">
        <f>VII_Model_PKZ!AN75</f>
        <v/>
      </c>
      <c r="AO772" s="626">
        <f>VII_Model_PKZ!AO75</f>
        <v/>
      </c>
      <c r="AP772" s="369">
        <f>VII_Model_PKZ!AP75</f>
        <v/>
      </c>
      <c r="AQ772" s="369">
        <f>VII_Model_PKZ!AQ75</f>
        <v/>
      </c>
      <c r="AR772" s="369">
        <f>VII_Model_PKZ!AR75</f>
        <v/>
      </c>
      <c r="AS772" s="369">
        <f>VII_Model_PKZ!AS75</f>
        <v/>
      </c>
      <c r="AT772" s="370">
        <f>VII_Model_PKZ!AT75</f>
        <v/>
      </c>
      <c r="AU772" s="370">
        <f>VII_Model_PKZ!AU75</f>
        <v/>
      </c>
      <c r="AV772" s="370">
        <f>VII_Model_PKZ!AV75</f>
        <v/>
      </c>
      <c r="AW772" s="370">
        <f>VII_Model_PKZ!AW75</f>
        <v/>
      </c>
      <c r="AX772">
        <f>VII_Model_PKZ!AX75</f>
        <v/>
      </c>
      <c r="AY772">
        <f>VII_Model_PKZ!AY75</f>
        <v/>
      </c>
      <c r="AZ772">
        <f>VII_Model_PKZ!AZ75</f>
        <v/>
      </c>
      <c r="BA772">
        <f>VII_Model_PKZ!BA75</f>
        <v/>
      </c>
      <c r="BB772">
        <f>VII_Model_PKZ!BB75</f>
        <v/>
      </c>
      <c r="BC772">
        <f>VII_Model_PKZ!BC75</f>
        <v/>
      </c>
      <c r="BD772">
        <f>VII_Model_PKZ!BD75</f>
        <v/>
      </c>
      <c r="BE772">
        <f>VII_Model_PKZ!BE75</f>
        <v/>
      </c>
      <c r="BF772">
        <f>VII_Model_PKZ!BF75</f>
        <v/>
      </c>
      <c r="BG772">
        <f>VII_Model_PKZ!BG75</f>
        <v/>
      </c>
      <c r="BH772">
        <f>VII_Model_PKZ!BH75</f>
        <v/>
      </c>
      <c r="BI772">
        <f>VII_Model_PKZ!BI75</f>
        <v/>
      </c>
      <c r="BJ772">
        <f>O772</f>
        <v/>
      </c>
      <c r="BK772">
        <f>SUM(AG772:AW772)</f>
        <v/>
      </c>
      <c r="BL772" s="531">
        <f>BJ772-BK772</f>
        <v/>
      </c>
      <c r="BM772" s="201" t="n"/>
    </row>
    <row r="773" hidden="1" outlineLevel="1" s="191">
      <c r="P773" s="628" t="n"/>
      <c r="Q773" s="628" t="n"/>
      <c r="R773" s="628" t="n"/>
      <c r="S773" s="628" t="n"/>
      <c r="T773" s="628" t="n"/>
      <c r="U773" s="628" t="n"/>
      <c r="V773" s="628" t="n"/>
      <c r="W773" s="628" t="n"/>
      <c r="X773" s="628" t="n"/>
      <c r="Y773" s="650" t="n"/>
      <c r="Z773" s="650" t="n"/>
      <c r="AA773" s="650" t="n"/>
      <c r="AB773" s="650" t="n"/>
      <c r="AC773" s="613" t="n"/>
      <c r="AD773" s="613" t="n"/>
      <c r="AE773" s="613" t="n"/>
      <c r="AF773" s="613" t="n"/>
      <c r="AG773" s="626" t="n"/>
      <c r="AH773" s="626" t="n"/>
      <c r="AI773" s="626" t="n"/>
      <c r="AJ773" s="626" t="n"/>
      <c r="AK773" s="626" t="n"/>
      <c r="AL773" s="626" t="n"/>
      <c r="AM773" s="626" t="n"/>
      <c r="AN773" s="626" t="n"/>
      <c r="AO773" s="626" t="n"/>
      <c r="AP773" s="369" t="n"/>
      <c r="AQ773" s="369" t="n"/>
      <c r="AR773" s="369" t="n"/>
      <c r="AS773" s="369" t="n"/>
      <c r="AT773" s="370" t="n"/>
      <c r="AU773" s="370" t="n"/>
      <c r="AV773" s="370" t="n"/>
      <c r="AW773" s="370" t="n"/>
      <c r="BJ773">
        <f>O773</f>
        <v/>
      </c>
      <c r="BK773">
        <f>SUM(AG773:AW773)</f>
        <v/>
      </c>
      <c r="BL773" s="531">
        <f>BJ773-BK773</f>
        <v/>
      </c>
      <c r="BM773" s="201" t="n"/>
    </row>
    <row r="774" hidden="1" outlineLevel="1" s="191">
      <c r="P774" s="628" t="n"/>
      <c r="Q774" s="628" t="n"/>
      <c r="R774" s="628" t="n"/>
      <c r="S774" s="628" t="n"/>
      <c r="T774" s="628" t="n"/>
      <c r="U774" s="628" t="n"/>
      <c r="V774" s="628" t="n"/>
      <c r="W774" s="628" t="n"/>
      <c r="X774" s="628" t="n"/>
      <c r="Y774" s="650" t="n"/>
      <c r="Z774" s="650" t="n"/>
      <c r="AA774" s="650" t="n"/>
      <c r="AB774" s="650" t="n"/>
      <c r="AC774" s="613" t="n"/>
      <c r="AD774" s="613" t="n"/>
      <c r="AE774" s="613" t="n"/>
      <c r="AF774" s="613" t="n"/>
      <c r="AG774" s="626" t="n"/>
      <c r="AH774" s="626" t="n"/>
      <c r="AI774" s="626" t="n"/>
      <c r="AJ774" s="626" t="n"/>
      <c r="AK774" s="626" t="n"/>
      <c r="AL774" s="626" t="n"/>
      <c r="AM774" s="626" t="n"/>
      <c r="AN774" s="626" t="n"/>
      <c r="AO774" s="626" t="n"/>
      <c r="AP774" s="369" t="n"/>
      <c r="AQ774" s="369" t="n"/>
      <c r="AR774" s="369" t="n"/>
      <c r="AS774" s="369" t="n"/>
      <c r="AT774" s="370" t="n"/>
      <c r="AU774" s="370" t="n"/>
      <c r="AV774" s="370" t="n"/>
      <c r="AW774" s="370" t="n"/>
      <c r="BJ774">
        <f>O774</f>
        <v/>
      </c>
      <c r="BK774">
        <f>SUM(AG774:AW774)</f>
        <v/>
      </c>
      <c r="BL774" s="531">
        <f>BJ774-BK774</f>
        <v/>
      </c>
      <c r="BM774" s="201" t="n"/>
    </row>
    <row r="775" hidden="1" outlineLevel="1" s="191">
      <c r="P775" s="628" t="n"/>
      <c r="Q775" s="628" t="n"/>
      <c r="R775" s="628" t="n"/>
      <c r="S775" s="628" t="n"/>
      <c r="T775" s="628" t="n"/>
      <c r="U775" s="628" t="n"/>
      <c r="V775" s="628" t="n"/>
      <c r="W775" s="628" t="n"/>
      <c r="X775" s="628" t="n"/>
      <c r="Y775" s="650" t="n"/>
      <c r="Z775" s="650" t="n"/>
      <c r="AA775" s="650" t="n"/>
      <c r="AB775" s="650" t="n"/>
      <c r="AC775" s="613" t="n"/>
      <c r="AD775" s="613" t="n"/>
      <c r="AE775" s="613" t="n"/>
      <c r="AF775" s="613" t="n"/>
      <c r="AG775" s="626" t="n"/>
      <c r="AH775" s="626" t="n"/>
      <c r="AI775" s="626" t="n"/>
      <c r="AJ775" s="626" t="n"/>
      <c r="AK775" s="626" t="n"/>
      <c r="AL775" s="626" t="n"/>
      <c r="AM775" s="626" t="n"/>
      <c r="AN775" s="626" t="n"/>
      <c r="AO775" s="626" t="n"/>
      <c r="AP775" s="369" t="n"/>
      <c r="AQ775" s="369" t="n"/>
      <c r="AR775" s="369" t="n"/>
      <c r="AS775" s="369" t="n"/>
      <c r="AT775" s="370" t="n"/>
      <c r="AU775" s="370" t="n"/>
      <c r="AV775" s="370" t="n"/>
      <c r="AW775" s="370" t="n"/>
      <c r="BJ775">
        <f>O775</f>
        <v/>
      </c>
      <c r="BK775">
        <f>SUM(AG775:AW775)</f>
        <v/>
      </c>
      <c r="BL775" s="531">
        <f>BJ775-BK775</f>
        <v/>
      </c>
      <c r="BM775" s="201" t="n"/>
    </row>
    <row r="776" hidden="1" outlineLevel="1" s="191">
      <c r="P776" s="628" t="n"/>
      <c r="Q776" s="628" t="n"/>
      <c r="R776" s="628" t="n"/>
      <c r="S776" s="628" t="n"/>
      <c r="T776" s="628" t="n"/>
      <c r="U776" s="628" t="n"/>
      <c r="V776" s="628" t="n"/>
      <c r="W776" s="628" t="n"/>
      <c r="X776" s="628" t="n"/>
      <c r="Y776" s="650" t="n"/>
      <c r="Z776" s="650" t="n"/>
      <c r="AA776" s="650" t="n"/>
      <c r="AB776" s="650" t="n"/>
      <c r="AC776" s="613" t="n"/>
      <c r="AD776" s="613" t="n"/>
      <c r="AE776" s="613" t="n"/>
      <c r="AF776" s="613" t="n"/>
      <c r="AG776" s="626" t="n"/>
      <c r="AH776" s="626" t="n"/>
      <c r="AI776" s="626" t="n"/>
      <c r="AJ776" s="626" t="n"/>
      <c r="AK776" s="626" t="n"/>
      <c r="AL776" s="626" t="n"/>
      <c r="AM776" s="626" t="n"/>
      <c r="AN776" s="626" t="n"/>
      <c r="AO776" s="626" t="n"/>
      <c r="AP776" s="369" t="n"/>
      <c r="AQ776" s="369" t="n"/>
      <c r="AR776" s="369" t="n"/>
      <c r="AS776" s="369" t="n"/>
      <c r="AT776" s="370" t="n"/>
      <c r="AU776" s="370" t="n"/>
      <c r="AV776" s="370" t="n"/>
      <c r="AW776" s="370" t="n"/>
      <c r="BJ776">
        <f>O776</f>
        <v/>
      </c>
      <c r="BK776">
        <f>SUM(AG776:AW776)</f>
        <v/>
      </c>
      <c r="BL776" s="531">
        <f>BJ776-BK776</f>
        <v/>
      </c>
      <c r="BM776" s="201" t="n"/>
    </row>
    <row r="777" hidden="1" outlineLevel="1" s="191">
      <c r="P777" s="628" t="n"/>
      <c r="Q777" s="628" t="n"/>
      <c r="R777" s="628" t="n"/>
      <c r="S777" s="628" t="n"/>
      <c r="T777" s="628" t="n"/>
      <c r="U777" s="628" t="n"/>
      <c r="V777" s="628" t="n"/>
      <c r="W777" s="628" t="n"/>
      <c r="X777" s="628" t="n"/>
      <c r="Y777" s="650" t="n"/>
      <c r="Z777" s="650" t="n"/>
      <c r="AA777" s="650" t="n"/>
      <c r="AB777" s="650" t="n"/>
      <c r="AC777" s="613" t="n"/>
      <c r="AD777" s="613" t="n"/>
      <c r="AE777" s="613" t="n"/>
      <c r="AF777" s="613" t="n"/>
      <c r="AG777" s="626" t="n"/>
      <c r="AH777" s="626" t="n"/>
      <c r="AI777" s="626" t="n"/>
      <c r="AJ777" s="626" t="n"/>
      <c r="AK777" s="626" t="n"/>
      <c r="AL777" s="626" t="n"/>
      <c r="AM777" s="626" t="n"/>
      <c r="AN777" s="626" t="n"/>
      <c r="AO777" s="626" t="n"/>
      <c r="AP777" s="369" t="n"/>
      <c r="AQ777" s="369" t="n"/>
      <c r="AR777" s="369" t="n"/>
      <c r="AS777" s="369" t="n"/>
      <c r="AT777" s="370" t="n"/>
      <c r="AU777" s="370" t="n"/>
      <c r="AV777" s="370" t="n"/>
      <c r="AW777" s="370" t="n"/>
      <c r="BJ777">
        <f>O777</f>
        <v/>
      </c>
      <c r="BK777">
        <f>SUM(AG777:AW777)</f>
        <v/>
      </c>
      <c r="BL777" s="531">
        <f>BJ777-BK777</f>
        <v/>
      </c>
      <c r="BM777" s="201" t="n"/>
    </row>
    <row r="778" hidden="1" outlineLevel="1" s="191">
      <c r="P778" s="628" t="n"/>
      <c r="Q778" s="628" t="n"/>
      <c r="R778" s="628" t="n"/>
      <c r="S778" s="628" t="n"/>
      <c r="T778" s="628" t="n"/>
      <c r="U778" s="628" t="n"/>
      <c r="V778" s="628" t="n"/>
      <c r="W778" s="628" t="n"/>
      <c r="X778" s="628" t="n"/>
      <c r="Y778" s="650" t="n"/>
      <c r="Z778" s="650" t="n"/>
      <c r="AA778" s="650" t="n"/>
      <c r="AB778" s="650" t="n"/>
      <c r="AC778" s="613" t="n"/>
      <c r="AD778" s="613" t="n"/>
      <c r="AE778" s="613" t="n"/>
      <c r="AF778" s="613" t="n"/>
      <c r="AG778" s="626" t="n"/>
      <c r="AH778" s="626" t="n"/>
      <c r="AI778" s="626" t="n"/>
      <c r="AJ778" s="626" t="n"/>
      <c r="AK778" s="626" t="n"/>
      <c r="AL778" s="626" t="n"/>
      <c r="AM778" s="626" t="n"/>
      <c r="AN778" s="626" t="n"/>
      <c r="AO778" s="626" t="n"/>
      <c r="AP778" s="369" t="n"/>
      <c r="AQ778" s="369" t="n"/>
      <c r="AR778" s="369" t="n"/>
      <c r="AS778" s="369" t="n"/>
      <c r="AT778" s="370" t="n"/>
      <c r="AU778" s="370" t="n"/>
      <c r="AV778" s="370" t="n"/>
      <c r="AW778" s="370" t="n"/>
      <c r="BJ778">
        <f>O778</f>
        <v/>
      </c>
      <c r="BK778">
        <f>SUM(AG778:AW778)</f>
        <v/>
      </c>
      <c r="BL778" s="531">
        <f>BJ778-BK778</f>
        <v/>
      </c>
      <c r="BM778" s="201" t="n"/>
    </row>
    <row r="779" hidden="1" outlineLevel="1" s="191">
      <c r="P779" s="628" t="n"/>
      <c r="Q779" s="628" t="n"/>
      <c r="R779" s="628" t="n"/>
      <c r="S779" s="628" t="n"/>
      <c r="T779" s="628" t="n"/>
      <c r="U779" s="628" t="n"/>
      <c r="V779" s="628" t="n"/>
      <c r="W779" s="628" t="n"/>
      <c r="X779" s="628" t="n"/>
      <c r="Y779" s="650" t="n"/>
      <c r="Z779" s="650" t="n"/>
      <c r="AA779" s="650" t="n"/>
      <c r="AB779" s="650" t="n"/>
      <c r="AC779" s="613" t="n"/>
      <c r="AD779" s="613" t="n"/>
      <c r="AE779" s="613" t="n"/>
      <c r="AF779" s="613" t="n"/>
      <c r="AG779" s="626" t="n"/>
      <c r="AH779" s="626" t="n"/>
      <c r="AI779" s="626" t="n"/>
      <c r="AJ779" s="626" t="n"/>
      <c r="AK779" s="626" t="n"/>
      <c r="AL779" s="626" t="n"/>
      <c r="AM779" s="626" t="n"/>
      <c r="AN779" s="626" t="n"/>
      <c r="AO779" s="626" t="n"/>
      <c r="AP779" s="369" t="n"/>
      <c r="AQ779" s="369" t="n"/>
      <c r="AR779" s="369" t="n"/>
      <c r="AS779" s="369" t="n"/>
      <c r="AT779" s="370" t="n"/>
      <c r="AU779" s="370" t="n"/>
      <c r="AV779" s="370" t="n"/>
      <c r="AW779" s="370" t="n"/>
      <c r="BJ779">
        <f>O779</f>
        <v/>
      </c>
      <c r="BK779">
        <f>SUM(AG779:AW779)</f>
        <v/>
      </c>
      <c r="BL779" s="531">
        <f>BJ779-BK779</f>
        <v/>
      </c>
      <c r="BM779" s="201" t="n"/>
    </row>
    <row r="780" hidden="1" outlineLevel="1" s="191">
      <c r="P780" s="628" t="n"/>
      <c r="Q780" s="628" t="n"/>
      <c r="R780" s="628" t="n"/>
      <c r="S780" s="628" t="n"/>
      <c r="T780" s="628" t="n"/>
      <c r="U780" s="628" t="n"/>
      <c r="V780" s="628" t="n"/>
      <c r="W780" s="628" t="n"/>
      <c r="X780" s="628" t="n"/>
      <c r="Y780" s="650" t="n"/>
      <c r="Z780" s="650" t="n"/>
      <c r="AA780" s="650" t="n"/>
      <c r="AB780" s="650" t="n"/>
      <c r="AC780" s="613" t="n"/>
      <c r="AD780" s="613" t="n"/>
      <c r="AE780" s="613" t="n"/>
      <c r="AF780" s="613" t="n"/>
      <c r="AG780" s="626" t="n"/>
      <c r="AH780" s="626" t="n"/>
      <c r="AI780" s="626" t="n"/>
      <c r="AJ780" s="626" t="n"/>
      <c r="AK780" s="626" t="n"/>
      <c r="AL780" s="626" t="n"/>
      <c r="AM780" s="626" t="n"/>
      <c r="AN780" s="626" t="n"/>
      <c r="AO780" s="626" t="n"/>
      <c r="AP780" s="369" t="n"/>
      <c r="AQ780" s="369" t="n"/>
      <c r="AR780" s="369" t="n"/>
      <c r="AS780" s="369" t="n"/>
      <c r="AT780" s="370" t="n"/>
      <c r="AU780" s="370" t="n"/>
      <c r="AV780" s="370" t="n"/>
      <c r="AW780" s="370" t="n"/>
      <c r="BJ780">
        <f>O780</f>
        <v/>
      </c>
      <c r="BK780">
        <f>SUM(AG780:AW780)</f>
        <v/>
      </c>
      <c r="BL780" s="531">
        <f>BJ780-BK780</f>
        <v/>
      </c>
      <c r="BM780" s="201" t="n"/>
    </row>
    <row r="781" hidden="1" outlineLevel="1" s="191">
      <c r="P781" s="628" t="n"/>
      <c r="Q781" s="628" t="n"/>
      <c r="R781" s="628" t="n"/>
      <c r="S781" s="628" t="n"/>
      <c r="T781" s="628" t="n"/>
      <c r="U781" s="628" t="n"/>
      <c r="V781" s="628" t="n"/>
      <c r="W781" s="628" t="n"/>
      <c r="X781" s="628" t="n"/>
      <c r="Y781" s="650" t="n"/>
      <c r="Z781" s="650" t="n"/>
      <c r="AA781" s="650" t="n"/>
      <c r="AB781" s="650" t="n"/>
      <c r="AC781" s="613" t="n"/>
      <c r="AD781" s="613" t="n"/>
      <c r="AE781" s="613" t="n"/>
      <c r="AF781" s="613" t="n"/>
      <c r="AG781" s="626" t="n"/>
      <c r="AH781" s="626" t="n"/>
      <c r="AI781" s="626" t="n"/>
      <c r="AJ781" s="626" t="n"/>
      <c r="AK781" s="626" t="n"/>
      <c r="AL781" s="626" t="n"/>
      <c r="AM781" s="626" t="n"/>
      <c r="AN781" s="626" t="n"/>
      <c r="AO781" s="626" t="n"/>
      <c r="AP781" s="369" t="n"/>
      <c r="AQ781" s="369" t="n"/>
      <c r="AR781" s="369" t="n"/>
      <c r="AS781" s="369" t="n"/>
      <c r="AT781" s="370" t="n"/>
      <c r="AU781" s="370" t="n"/>
      <c r="AV781" s="370" t="n"/>
      <c r="AW781" s="370" t="n"/>
      <c r="BJ781">
        <f>O781</f>
        <v/>
      </c>
      <c r="BK781">
        <f>SUM(AG781:AW781)</f>
        <v/>
      </c>
      <c r="BL781" s="531">
        <f>BJ781-BK781</f>
        <v/>
      </c>
      <c r="BM781" s="201" t="n"/>
    </row>
    <row r="782" hidden="1" outlineLevel="1" s="191">
      <c r="P782" s="628" t="n"/>
      <c r="Q782" s="628" t="n"/>
      <c r="R782" s="628" t="n"/>
      <c r="S782" s="628" t="n"/>
      <c r="T782" s="628" t="n"/>
      <c r="U782" s="628" t="n"/>
      <c r="V782" s="628" t="n"/>
      <c r="W782" s="628" t="n"/>
      <c r="X782" s="628" t="n"/>
      <c r="Y782" s="650" t="n"/>
      <c r="Z782" s="650" t="n"/>
      <c r="AA782" s="650" t="n"/>
      <c r="AB782" s="650" t="n"/>
      <c r="AC782" s="613" t="n"/>
      <c r="AD782" s="613" t="n"/>
      <c r="AE782" s="613" t="n"/>
      <c r="AF782" s="613" t="n"/>
      <c r="AG782" s="626" t="n"/>
      <c r="AH782" s="626" t="n"/>
      <c r="AI782" s="626" t="n"/>
      <c r="AJ782" s="626" t="n"/>
      <c r="AK782" s="626" t="n"/>
      <c r="AL782" s="626" t="n"/>
      <c r="AM782" s="626" t="n"/>
      <c r="AN782" s="626" t="n"/>
      <c r="AO782" s="626" t="n"/>
      <c r="AP782" s="369" t="n"/>
      <c r="AQ782" s="369" t="n"/>
      <c r="AR782" s="369" t="n"/>
      <c r="AS782" s="369" t="n"/>
      <c r="AT782" s="370" t="n"/>
      <c r="AU782" s="370" t="n"/>
      <c r="AV782" s="370" t="n"/>
      <c r="AW782" s="370" t="n"/>
      <c r="BJ782">
        <f>O782</f>
        <v/>
      </c>
      <c r="BK782">
        <f>SUM(AG782:AW782)</f>
        <v/>
      </c>
      <c r="BL782" s="531">
        <f>BJ782-BK782</f>
        <v/>
      </c>
      <c r="BM782" s="201" t="n"/>
    </row>
    <row r="783" hidden="1" outlineLevel="1" s="191">
      <c r="P783" s="628" t="n"/>
      <c r="Q783" s="628" t="n"/>
      <c r="R783" s="628" t="n"/>
      <c r="S783" s="628" t="n"/>
      <c r="T783" s="628" t="n"/>
      <c r="U783" s="628" t="n"/>
      <c r="V783" s="628" t="n"/>
      <c r="W783" s="628" t="n"/>
      <c r="X783" s="628" t="n"/>
      <c r="Y783" s="650" t="n"/>
      <c r="Z783" s="650" t="n"/>
      <c r="AA783" s="650" t="n"/>
      <c r="AB783" s="650" t="n"/>
      <c r="AC783" s="613" t="n"/>
      <c r="AD783" s="613" t="n"/>
      <c r="AE783" s="613" t="n"/>
      <c r="AF783" s="613" t="n"/>
      <c r="AG783" s="626" t="n"/>
      <c r="AH783" s="626" t="n"/>
      <c r="AI783" s="626" t="n"/>
      <c r="AJ783" s="626" t="n"/>
      <c r="AK783" s="626" t="n"/>
      <c r="AL783" s="626" t="n"/>
      <c r="AM783" s="626" t="n"/>
      <c r="AN783" s="626" t="n"/>
      <c r="AO783" s="626" t="n"/>
      <c r="AP783" s="369" t="n"/>
      <c r="AQ783" s="369" t="n"/>
      <c r="AR783" s="369" t="n"/>
      <c r="AS783" s="369" t="n"/>
      <c r="AT783" s="370" t="n"/>
      <c r="AU783" s="370" t="n"/>
      <c r="AV783" s="370" t="n"/>
      <c r="AW783" s="370" t="n"/>
      <c r="BJ783">
        <f>O783</f>
        <v/>
      </c>
      <c r="BK783">
        <f>SUM(AG783:AW783)</f>
        <v/>
      </c>
      <c r="BL783" s="531">
        <f>BJ783-BK783</f>
        <v/>
      </c>
      <c r="BM783" s="201" t="n"/>
    </row>
    <row r="784" hidden="1" outlineLevel="1" s="191">
      <c r="P784" s="628" t="n"/>
      <c r="Q784" s="628" t="n"/>
      <c r="R784" s="628" t="n"/>
      <c r="S784" s="628" t="n"/>
      <c r="T784" s="628" t="n"/>
      <c r="U784" s="628" t="n"/>
      <c r="V784" s="628" t="n"/>
      <c r="W784" s="628" t="n"/>
      <c r="X784" s="628" t="n"/>
      <c r="Y784" s="650" t="n"/>
      <c r="Z784" s="650" t="n"/>
      <c r="AA784" s="650" t="n"/>
      <c r="AB784" s="650" t="n"/>
      <c r="AC784" s="613" t="n"/>
      <c r="AD784" s="613" t="n"/>
      <c r="AE784" s="613" t="n"/>
      <c r="AF784" s="613" t="n"/>
      <c r="AG784" s="626" t="n"/>
      <c r="AH784" s="626" t="n"/>
      <c r="AI784" s="626" t="n"/>
      <c r="AJ784" s="626" t="n"/>
      <c r="AK784" s="626" t="n"/>
      <c r="AL784" s="626" t="n"/>
      <c r="AM784" s="626" t="n"/>
      <c r="AN784" s="626" t="n"/>
      <c r="AO784" s="626" t="n"/>
      <c r="AP784" s="369" t="n"/>
      <c r="AQ784" s="369" t="n"/>
      <c r="AR784" s="369" t="n"/>
      <c r="AS784" s="369" t="n"/>
      <c r="AT784" s="370" t="n"/>
      <c r="AU784" s="370" t="n"/>
      <c r="AV784" s="370" t="n"/>
      <c r="AW784" s="370" t="n"/>
      <c r="BJ784">
        <f>O784</f>
        <v/>
      </c>
      <c r="BK784">
        <f>SUM(AG784:AW784)</f>
        <v/>
      </c>
      <c r="BL784" s="531">
        <f>BJ784-BK784</f>
        <v/>
      </c>
      <c r="BM784" s="201" t="n"/>
    </row>
    <row r="785" hidden="1" outlineLevel="1" s="191">
      <c r="P785" s="628" t="n"/>
      <c r="Q785" s="628" t="n"/>
      <c r="R785" s="628" t="n"/>
      <c r="S785" s="628" t="n"/>
      <c r="T785" s="628" t="n"/>
      <c r="U785" s="628" t="n"/>
      <c r="V785" s="628" t="n"/>
      <c r="W785" s="628" t="n"/>
      <c r="X785" s="628" t="n"/>
      <c r="Y785" s="650" t="n"/>
      <c r="Z785" s="650" t="n"/>
      <c r="AA785" s="650" t="n"/>
      <c r="AB785" s="650" t="n"/>
      <c r="AC785" s="613" t="n"/>
      <c r="AD785" s="613" t="n"/>
      <c r="AE785" s="613" t="n"/>
      <c r="AF785" s="613" t="n"/>
      <c r="AG785" s="626" t="n"/>
      <c r="AH785" s="626" t="n"/>
      <c r="AI785" s="626" t="n"/>
      <c r="AJ785" s="626" t="n"/>
      <c r="AK785" s="626" t="n"/>
      <c r="AL785" s="626" t="n"/>
      <c r="AM785" s="626" t="n"/>
      <c r="AN785" s="626" t="n"/>
      <c r="AO785" s="626" t="n"/>
      <c r="AP785" s="369" t="n"/>
      <c r="AQ785" s="369" t="n"/>
      <c r="AR785" s="369" t="n"/>
      <c r="AS785" s="369" t="n"/>
      <c r="AT785" s="370" t="n"/>
      <c r="AU785" s="370" t="n"/>
      <c r="AV785" s="370" t="n"/>
      <c r="AW785" s="370" t="n"/>
      <c r="BJ785">
        <f>O785</f>
        <v/>
      </c>
      <c r="BK785">
        <f>SUM(AG785:AW785)</f>
        <v/>
      </c>
      <c r="BL785" s="531">
        <f>BJ785-BK785</f>
        <v/>
      </c>
      <c r="BM785" s="201" t="n"/>
    </row>
    <row r="786" hidden="1" outlineLevel="1" s="191">
      <c r="P786" s="628" t="n"/>
      <c r="Q786" s="628" t="n"/>
      <c r="R786" s="628" t="n"/>
      <c r="S786" s="628" t="n"/>
      <c r="T786" s="628" t="n"/>
      <c r="U786" s="628" t="n"/>
      <c r="V786" s="628" t="n"/>
      <c r="W786" s="628" t="n"/>
      <c r="X786" s="628" t="n"/>
      <c r="Y786" s="650" t="n"/>
      <c r="Z786" s="650" t="n"/>
      <c r="AA786" s="650" t="n"/>
      <c r="AB786" s="650" t="n"/>
      <c r="AC786" s="613" t="n"/>
      <c r="AD786" s="613" t="n"/>
      <c r="AE786" s="613" t="n"/>
      <c r="AF786" s="613" t="n"/>
      <c r="AG786" s="626" t="n"/>
      <c r="AH786" s="626" t="n"/>
      <c r="AI786" s="626" t="n"/>
      <c r="AJ786" s="626" t="n"/>
      <c r="AK786" s="626" t="n"/>
      <c r="AL786" s="626" t="n"/>
      <c r="AM786" s="626" t="n"/>
      <c r="AN786" s="626" t="n"/>
      <c r="AO786" s="626" t="n"/>
      <c r="AP786" s="369" t="n"/>
      <c r="AQ786" s="369" t="n"/>
      <c r="AR786" s="369" t="n"/>
      <c r="AS786" s="369" t="n"/>
      <c r="AT786" s="370" t="n"/>
      <c r="AU786" s="370" t="n"/>
      <c r="AV786" s="370" t="n"/>
      <c r="AW786" s="370" t="n"/>
      <c r="BJ786">
        <f>O786</f>
        <v/>
      </c>
      <c r="BK786">
        <f>SUM(AG786:AW786)</f>
        <v/>
      </c>
      <c r="BL786" s="531">
        <f>BJ786-BK786</f>
        <v/>
      </c>
      <c r="BM786" s="201" t="n"/>
    </row>
    <row r="787" hidden="1" outlineLevel="1" s="191">
      <c r="P787" s="628" t="n"/>
      <c r="Q787" s="628" t="n"/>
      <c r="R787" s="628" t="n"/>
      <c r="S787" s="628" t="n"/>
      <c r="T787" s="628" t="n"/>
      <c r="U787" s="628" t="n"/>
      <c r="V787" s="628" t="n"/>
      <c r="W787" s="628" t="n"/>
      <c r="X787" s="628" t="n"/>
      <c r="Y787" s="650" t="n"/>
      <c r="Z787" s="650" t="n"/>
      <c r="AA787" s="650" t="n"/>
      <c r="AB787" s="650" t="n"/>
      <c r="AC787" s="613" t="n"/>
      <c r="AD787" s="613" t="n"/>
      <c r="AE787" s="613" t="n"/>
      <c r="AF787" s="613" t="n"/>
      <c r="AG787" s="626" t="n"/>
      <c r="AH787" s="626" t="n"/>
      <c r="AI787" s="626" t="n"/>
      <c r="AJ787" s="626" t="n"/>
      <c r="AK787" s="626" t="n"/>
      <c r="AL787" s="626" t="n"/>
      <c r="AM787" s="626" t="n"/>
      <c r="AN787" s="626" t="n"/>
      <c r="AO787" s="626" t="n"/>
      <c r="AP787" s="369" t="n"/>
      <c r="AQ787" s="369" t="n"/>
      <c r="AR787" s="369" t="n"/>
      <c r="AS787" s="369" t="n"/>
      <c r="AT787" s="370" t="n"/>
      <c r="AU787" s="370" t="n"/>
      <c r="AV787" s="370" t="n"/>
      <c r="AW787" s="370" t="n"/>
      <c r="BJ787">
        <f>O787</f>
        <v/>
      </c>
      <c r="BK787">
        <f>SUM(AG787:AW787)</f>
        <v/>
      </c>
      <c r="BL787" s="531">
        <f>BJ787-BK787</f>
        <v/>
      </c>
      <c r="BM787" s="201" t="n"/>
    </row>
    <row r="788" hidden="1" outlineLevel="1" s="191">
      <c r="P788" s="628" t="n"/>
      <c r="Q788" s="628" t="n"/>
      <c r="R788" s="628" t="n"/>
      <c r="S788" s="628" t="n"/>
      <c r="T788" s="628" t="n"/>
      <c r="U788" s="628" t="n"/>
      <c r="V788" s="628" t="n"/>
      <c r="W788" s="628" t="n"/>
      <c r="X788" s="628" t="n"/>
      <c r="Y788" s="650" t="n"/>
      <c r="Z788" s="650" t="n"/>
      <c r="AA788" s="650" t="n"/>
      <c r="AB788" s="650" t="n"/>
      <c r="AC788" s="613" t="n"/>
      <c r="AD788" s="613" t="n"/>
      <c r="AE788" s="613" t="n"/>
      <c r="AF788" s="613" t="n"/>
      <c r="AG788" s="626" t="n"/>
      <c r="AH788" s="626" t="n"/>
      <c r="AI788" s="626" t="n"/>
      <c r="AJ788" s="626" t="n"/>
      <c r="AK788" s="626" t="n"/>
      <c r="AL788" s="626" t="n"/>
      <c r="AM788" s="626" t="n"/>
      <c r="AN788" s="626" t="n"/>
      <c r="AO788" s="626" t="n"/>
      <c r="AP788" s="369" t="n"/>
      <c r="AQ788" s="369" t="n"/>
      <c r="AR788" s="369" t="n"/>
      <c r="AS788" s="369" t="n"/>
      <c r="AT788" s="370" t="n"/>
      <c r="AU788" s="370" t="n"/>
      <c r="AV788" s="370" t="n"/>
      <c r="AW788" s="370" t="n"/>
      <c r="BJ788">
        <f>O788</f>
        <v/>
      </c>
      <c r="BK788">
        <f>SUM(AG788:AW788)</f>
        <v/>
      </c>
      <c r="BL788" s="531">
        <f>BJ788-BK788</f>
        <v/>
      </c>
      <c r="BM788" s="201" t="n"/>
    </row>
    <row r="789" hidden="1" outlineLevel="1" s="191">
      <c r="P789" s="628" t="n"/>
      <c r="Q789" s="628" t="n"/>
      <c r="R789" s="628" t="n"/>
      <c r="S789" s="628" t="n"/>
      <c r="T789" s="628" t="n"/>
      <c r="U789" s="628" t="n"/>
      <c r="V789" s="628" t="n"/>
      <c r="W789" s="628" t="n"/>
      <c r="X789" s="628" t="n"/>
      <c r="Y789" s="650" t="n"/>
      <c r="Z789" s="650" t="n"/>
      <c r="AA789" s="650" t="n"/>
      <c r="AB789" s="650" t="n"/>
      <c r="AC789" s="613" t="n"/>
      <c r="AD789" s="613" t="n"/>
      <c r="AE789" s="613" t="n"/>
      <c r="AF789" s="613" t="n"/>
      <c r="AG789" s="626" t="n"/>
      <c r="AH789" s="626" t="n"/>
      <c r="AI789" s="626" t="n"/>
      <c r="AJ789" s="626" t="n"/>
      <c r="AK789" s="626" t="n"/>
      <c r="AL789" s="626" t="n"/>
      <c r="AM789" s="626" t="n"/>
      <c r="AN789" s="626" t="n"/>
      <c r="AO789" s="626" t="n"/>
      <c r="AP789" s="369" t="n"/>
      <c r="AQ789" s="369" t="n"/>
      <c r="AR789" s="369" t="n"/>
      <c r="AS789" s="369" t="n"/>
      <c r="AT789" s="370" t="n"/>
      <c r="AU789" s="370" t="n"/>
      <c r="AV789" s="370" t="n"/>
      <c r="AW789" s="370" t="n"/>
      <c r="BJ789">
        <f>O789</f>
        <v/>
      </c>
      <c r="BK789">
        <f>SUM(AG789:AW789)</f>
        <v/>
      </c>
      <c r="BL789" s="531">
        <f>BJ789-BK789</f>
        <v/>
      </c>
      <c r="BM789" s="201" t="n"/>
    </row>
    <row r="790" hidden="1" outlineLevel="1" s="191">
      <c r="P790" s="628" t="n"/>
      <c r="Q790" s="628" t="n"/>
      <c r="R790" s="628" t="n"/>
      <c r="S790" s="628" t="n"/>
      <c r="T790" s="628" t="n"/>
      <c r="U790" s="628" t="n"/>
      <c r="V790" s="628" t="n"/>
      <c r="W790" s="628" t="n"/>
      <c r="X790" s="628" t="n"/>
      <c r="Y790" s="650" t="n"/>
      <c r="Z790" s="650" t="n"/>
      <c r="AA790" s="650" t="n"/>
      <c r="AB790" s="650" t="n"/>
      <c r="AC790" s="613" t="n"/>
      <c r="AD790" s="613" t="n"/>
      <c r="AE790" s="613" t="n"/>
      <c r="AF790" s="613" t="n"/>
      <c r="AG790" s="626" t="n"/>
      <c r="AH790" s="626" t="n"/>
      <c r="AI790" s="626" t="n"/>
      <c r="AJ790" s="626" t="n"/>
      <c r="AK790" s="626" t="n"/>
      <c r="AL790" s="626" t="n"/>
      <c r="AM790" s="626" t="n"/>
      <c r="AN790" s="626" t="n"/>
      <c r="AO790" s="626" t="n"/>
      <c r="AP790" s="369" t="n"/>
      <c r="AQ790" s="369" t="n"/>
      <c r="AR790" s="369" t="n"/>
      <c r="AS790" s="369" t="n"/>
      <c r="AT790" s="370" t="n"/>
      <c r="AU790" s="370" t="n"/>
      <c r="AV790" s="370" t="n"/>
      <c r="AW790" s="370" t="n"/>
      <c r="BJ790">
        <f>O790</f>
        <v/>
      </c>
      <c r="BK790">
        <f>SUM(AG790:AW790)</f>
        <v/>
      </c>
      <c r="BL790" s="531">
        <f>BJ790-BK790</f>
        <v/>
      </c>
      <c r="BM790" s="201" t="n"/>
    </row>
    <row r="791" hidden="1" outlineLevel="1" s="191">
      <c r="P791" s="628" t="n"/>
      <c r="Q791" s="628" t="n"/>
      <c r="R791" s="628" t="n"/>
      <c r="S791" s="628" t="n"/>
      <c r="T791" s="628" t="n"/>
      <c r="U791" s="628" t="n"/>
      <c r="V791" s="628" t="n"/>
      <c r="W791" s="628" t="n"/>
      <c r="X791" s="628" t="n"/>
      <c r="Y791" s="650" t="n"/>
      <c r="Z791" s="650" t="n"/>
      <c r="AA791" s="650" t="n"/>
      <c r="AB791" s="650" t="n"/>
      <c r="AC791" s="613" t="n"/>
      <c r="AD791" s="613" t="n"/>
      <c r="AE791" s="613" t="n"/>
      <c r="AF791" s="613" t="n"/>
      <c r="AG791" s="626" t="n"/>
      <c r="AH791" s="626" t="n"/>
      <c r="AI791" s="626" t="n"/>
      <c r="AJ791" s="626" t="n"/>
      <c r="AK791" s="626" t="n"/>
      <c r="AL791" s="626" t="n"/>
      <c r="AM791" s="626" t="n"/>
      <c r="AN791" s="626" t="n"/>
      <c r="AO791" s="626" t="n"/>
      <c r="AP791" s="369" t="n"/>
      <c r="AQ791" s="369" t="n"/>
      <c r="AR791" s="369" t="n"/>
      <c r="AS791" s="369" t="n"/>
      <c r="AT791" s="370" t="n"/>
      <c r="AU791" s="370" t="n"/>
      <c r="AV791" s="370" t="n"/>
      <c r="AW791" s="370" t="n"/>
      <c r="BJ791">
        <f>O791</f>
        <v/>
      </c>
      <c r="BK791">
        <f>SUM(AG791:AW791)</f>
        <v/>
      </c>
      <c r="BL791" s="531">
        <f>BJ791-BK791</f>
        <v/>
      </c>
      <c r="BM791" s="201" t="n"/>
    </row>
    <row r="792" hidden="1" outlineLevel="1" s="191">
      <c r="P792" s="628" t="n"/>
      <c r="Q792" s="628" t="n"/>
      <c r="R792" s="628" t="n"/>
      <c r="S792" s="628" t="n"/>
      <c r="T792" s="628" t="n"/>
      <c r="U792" s="628" t="n"/>
      <c r="V792" s="628" t="n"/>
      <c r="W792" s="628" t="n"/>
      <c r="X792" s="628" t="n"/>
      <c r="Y792" s="650" t="n"/>
      <c r="Z792" s="650" t="n"/>
      <c r="AA792" s="650" t="n"/>
      <c r="AB792" s="650" t="n"/>
      <c r="AC792" s="613" t="n"/>
      <c r="AD792" s="613" t="n"/>
      <c r="AE792" s="613" t="n"/>
      <c r="AF792" s="613" t="n"/>
      <c r="AG792" s="626" t="n"/>
      <c r="AH792" s="626" t="n"/>
      <c r="AI792" s="626" t="n"/>
      <c r="AJ792" s="626" t="n"/>
      <c r="AK792" s="626" t="n"/>
      <c r="AL792" s="626" t="n"/>
      <c r="AM792" s="626" t="n"/>
      <c r="AN792" s="626" t="n"/>
      <c r="AO792" s="626" t="n"/>
      <c r="AP792" s="369" t="n"/>
      <c r="AQ792" s="369" t="n"/>
      <c r="AR792" s="369" t="n"/>
      <c r="AS792" s="369" t="n"/>
      <c r="AT792" s="370" t="n"/>
      <c r="AU792" s="370" t="n"/>
      <c r="AV792" s="370" t="n"/>
      <c r="AW792" s="370" t="n"/>
      <c r="BJ792">
        <f>O792</f>
        <v/>
      </c>
      <c r="BK792">
        <f>SUM(AG792:AW792)</f>
        <v/>
      </c>
      <c r="BL792" s="531">
        <f>BJ792-BK792</f>
        <v/>
      </c>
      <c r="BM792" s="201" t="n"/>
    </row>
    <row r="793" hidden="1" outlineLevel="1" s="191">
      <c r="P793" s="628" t="n"/>
      <c r="Q793" s="628" t="n"/>
      <c r="R793" s="628" t="n"/>
      <c r="S793" s="628" t="n"/>
      <c r="T793" s="628" t="n"/>
      <c r="U793" s="628" t="n"/>
      <c r="V793" s="628" t="n"/>
      <c r="W793" s="628" t="n"/>
      <c r="X793" s="628" t="n"/>
      <c r="Y793" s="650" t="n"/>
      <c r="Z793" s="650" t="n"/>
      <c r="AA793" s="650" t="n"/>
      <c r="AB793" s="650" t="n"/>
      <c r="AC793" s="613" t="n"/>
      <c r="AD793" s="613" t="n"/>
      <c r="AE793" s="613" t="n"/>
      <c r="AF793" s="613" t="n"/>
      <c r="AG793" s="626" t="n"/>
      <c r="AH793" s="626" t="n"/>
      <c r="AI793" s="626" t="n"/>
      <c r="AJ793" s="626" t="n"/>
      <c r="AK793" s="626" t="n"/>
      <c r="AL793" s="626" t="n"/>
      <c r="AM793" s="626" t="n"/>
      <c r="AN793" s="626" t="n"/>
      <c r="AO793" s="626" t="n"/>
      <c r="AP793" s="369" t="n"/>
      <c r="AQ793" s="369" t="n"/>
      <c r="AR793" s="369" t="n"/>
      <c r="AS793" s="369" t="n"/>
      <c r="AT793" s="370" t="n"/>
      <c r="AU793" s="370" t="n"/>
      <c r="AV793" s="370" t="n"/>
      <c r="AW793" s="370" t="n"/>
      <c r="BJ793">
        <f>O793</f>
        <v/>
      </c>
      <c r="BK793">
        <f>SUM(AG793:AW793)</f>
        <v/>
      </c>
      <c r="BL793" s="531">
        <f>BJ793-BK793</f>
        <v/>
      </c>
      <c r="BM793" s="201" t="n"/>
    </row>
    <row r="794" hidden="1" outlineLevel="1" s="191">
      <c r="P794" s="628" t="n"/>
      <c r="Q794" s="628" t="n"/>
      <c r="R794" s="628" t="n"/>
      <c r="S794" s="628" t="n"/>
      <c r="T794" s="628" t="n"/>
      <c r="U794" s="628" t="n"/>
      <c r="V794" s="628" t="n"/>
      <c r="W794" s="628" t="n"/>
      <c r="X794" s="628" t="n"/>
      <c r="Y794" s="650" t="n"/>
      <c r="Z794" s="650" t="n"/>
      <c r="AA794" s="650" t="n"/>
      <c r="AB794" s="650" t="n"/>
      <c r="AC794" s="613" t="n"/>
      <c r="AD794" s="613" t="n"/>
      <c r="AE794" s="613" t="n"/>
      <c r="AF794" s="613" t="n"/>
      <c r="AG794" s="626" t="n"/>
      <c r="AH794" s="626" t="n"/>
      <c r="AI794" s="626" t="n"/>
      <c r="AJ794" s="626" t="n"/>
      <c r="AK794" s="626" t="n"/>
      <c r="AL794" s="626" t="n"/>
      <c r="AM794" s="626" t="n"/>
      <c r="AN794" s="626" t="n"/>
      <c r="AO794" s="626" t="n"/>
      <c r="AP794" s="369" t="n"/>
      <c r="AQ794" s="369" t="n"/>
      <c r="AR794" s="369" t="n"/>
      <c r="AS794" s="369" t="n"/>
      <c r="AT794" s="370" t="n"/>
      <c r="AU794" s="370" t="n"/>
      <c r="AV794" s="370" t="n"/>
      <c r="AW794" s="370" t="n"/>
      <c r="BJ794">
        <f>O794</f>
        <v/>
      </c>
      <c r="BK794">
        <f>SUM(AG794:AW794)</f>
        <v/>
      </c>
      <c r="BL794" s="531">
        <f>BJ794-BK794</f>
        <v/>
      </c>
      <c r="BM794" s="201" t="n"/>
    </row>
    <row r="795" hidden="1" outlineLevel="1" s="191">
      <c r="P795" s="628" t="n"/>
      <c r="Q795" s="628" t="n"/>
      <c r="R795" s="628" t="n"/>
      <c r="S795" s="628" t="n"/>
      <c r="T795" s="628" t="n"/>
      <c r="U795" s="628" t="n"/>
      <c r="V795" s="628" t="n"/>
      <c r="W795" s="628" t="n"/>
      <c r="X795" s="628" t="n"/>
      <c r="Y795" s="650" t="n"/>
      <c r="Z795" s="650" t="n"/>
      <c r="AA795" s="650" t="n"/>
      <c r="AB795" s="650" t="n"/>
      <c r="AC795" s="613" t="n"/>
      <c r="AD795" s="613" t="n"/>
      <c r="AE795" s="613" t="n"/>
      <c r="AF795" s="613" t="n"/>
      <c r="AG795" s="626" t="n"/>
      <c r="AH795" s="626" t="n"/>
      <c r="AI795" s="626" t="n"/>
      <c r="AJ795" s="626" t="n"/>
      <c r="AK795" s="626" t="n"/>
      <c r="AL795" s="626" t="n"/>
      <c r="AM795" s="626" t="n"/>
      <c r="AN795" s="626" t="n"/>
      <c r="AO795" s="626" t="n"/>
      <c r="AP795" s="369" t="n"/>
      <c r="AQ795" s="369" t="n"/>
      <c r="AR795" s="369" t="n"/>
      <c r="AS795" s="369" t="n"/>
      <c r="AT795" s="370" t="n"/>
      <c r="AU795" s="370" t="n"/>
      <c r="AV795" s="370" t="n"/>
      <c r="AW795" s="370" t="n"/>
      <c r="BJ795">
        <f>O795</f>
        <v/>
      </c>
      <c r="BK795">
        <f>SUM(AG795:AW795)</f>
        <v/>
      </c>
      <c r="BL795" s="531">
        <f>BJ795-BK795</f>
        <v/>
      </c>
      <c r="BM795" s="201" t="n"/>
    </row>
    <row r="796" hidden="1" outlineLevel="1" s="191">
      <c r="P796" s="628" t="n"/>
      <c r="Q796" s="628" t="n"/>
      <c r="R796" s="628" t="n"/>
      <c r="S796" s="628" t="n"/>
      <c r="T796" s="628" t="n"/>
      <c r="U796" s="628" t="n"/>
      <c r="V796" s="628" t="n"/>
      <c r="W796" s="628" t="n"/>
      <c r="X796" s="628" t="n"/>
      <c r="Y796" s="650" t="n"/>
      <c r="Z796" s="650" t="n"/>
      <c r="AA796" s="650" t="n"/>
      <c r="AB796" s="650" t="n"/>
      <c r="AC796" s="613" t="n"/>
      <c r="AD796" s="613" t="n"/>
      <c r="AE796" s="613" t="n"/>
      <c r="AF796" s="613" t="n"/>
      <c r="AG796" s="626" t="n"/>
      <c r="AH796" s="626" t="n"/>
      <c r="AI796" s="626" t="n"/>
      <c r="AJ796" s="626" t="n"/>
      <c r="AK796" s="626" t="n"/>
      <c r="AL796" s="626" t="n"/>
      <c r="AM796" s="626" t="n"/>
      <c r="AN796" s="626" t="n"/>
      <c r="AO796" s="626" t="n"/>
      <c r="AP796" s="369" t="n"/>
      <c r="AQ796" s="369" t="n"/>
      <c r="AR796" s="369" t="n"/>
      <c r="AS796" s="369" t="n"/>
      <c r="AT796" s="370" t="n"/>
      <c r="AU796" s="370" t="n"/>
      <c r="AV796" s="370" t="n"/>
      <c r="AW796" s="370" t="n"/>
      <c r="BJ796">
        <f>O796</f>
        <v/>
      </c>
      <c r="BK796">
        <f>SUM(AG796:AW796)</f>
        <v/>
      </c>
      <c r="BL796" s="531">
        <f>BJ796-BK796</f>
        <v/>
      </c>
      <c r="BM796" s="201" t="n"/>
    </row>
    <row r="797" hidden="1" outlineLevel="1" s="191">
      <c r="P797" s="628" t="n"/>
      <c r="Q797" s="628" t="n"/>
      <c r="R797" s="628" t="n"/>
      <c r="S797" s="628" t="n"/>
      <c r="T797" s="628" t="n"/>
      <c r="U797" s="628" t="n"/>
      <c r="V797" s="628" t="n"/>
      <c r="W797" s="628" t="n"/>
      <c r="X797" s="628" t="n"/>
      <c r="Y797" s="650" t="n"/>
      <c r="Z797" s="650" t="n"/>
      <c r="AA797" s="650" t="n"/>
      <c r="AB797" s="650" t="n"/>
      <c r="AC797" s="613" t="n"/>
      <c r="AD797" s="613" t="n"/>
      <c r="AE797" s="613" t="n"/>
      <c r="AF797" s="613" t="n"/>
      <c r="AG797" s="626" t="n"/>
      <c r="AH797" s="626" t="n"/>
      <c r="AI797" s="626" t="n"/>
      <c r="AJ797" s="626" t="n"/>
      <c r="AK797" s="626" t="n"/>
      <c r="AL797" s="626" t="n"/>
      <c r="AM797" s="626" t="n"/>
      <c r="AN797" s="626" t="n"/>
      <c r="AO797" s="626" t="n"/>
      <c r="AP797" s="369" t="n"/>
      <c r="AQ797" s="369" t="n"/>
      <c r="AR797" s="369" t="n"/>
      <c r="AS797" s="369" t="n"/>
      <c r="AT797" s="370" t="n"/>
      <c r="AU797" s="370" t="n"/>
      <c r="AV797" s="370" t="n"/>
      <c r="AW797" s="370" t="n"/>
      <c r="BJ797">
        <f>O797</f>
        <v/>
      </c>
      <c r="BK797">
        <f>SUM(AG797:AW797)</f>
        <v/>
      </c>
      <c r="BL797" s="531">
        <f>BJ797-BK797</f>
        <v/>
      </c>
      <c r="BM797" s="201" t="n"/>
    </row>
    <row r="798" hidden="1" outlineLevel="1" s="191">
      <c r="A798" s="264">
        <f>A700</f>
        <v/>
      </c>
      <c r="P798" s="628" t="n"/>
      <c r="Q798" s="628" t="n"/>
      <c r="R798" s="628" t="n"/>
      <c r="S798" s="628" t="n"/>
      <c r="T798" s="628" t="n"/>
      <c r="U798" s="628" t="n"/>
      <c r="V798" s="628" t="n"/>
      <c r="W798" s="628" t="n"/>
      <c r="X798" s="628" t="n"/>
      <c r="Y798" s="650" t="n"/>
      <c r="Z798" s="650" t="n"/>
      <c r="AA798" s="650" t="n"/>
      <c r="AB798" s="650" t="n"/>
      <c r="AC798" s="613" t="n"/>
      <c r="AD798" s="613" t="n"/>
      <c r="AE798" s="613" t="n"/>
      <c r="AF798" s="613" t="n"/>
      <c r="AG798" s="626" t="n"/>
      <c r="AH798" s="626" t="n"/>
      <c r="AI798" s="626" t="n"/>
      <c r="AJ798" s="626" t="n"/>
      <c r="AK798" s="626" t="n"/>
      <c r="AL798" s="626" t="n"/>
      <c r="AM798" s="626" t="n"/>
      <c r="AN798" s="626" t="n"/>
      <c r="AO798" s="626" t="n"/>
      <c r="AP798" s="369" t="n"/>
      <c r="AQ798" s="369" t="n"/>
      <c r="AR798" s="369" t="n"/>
      <c r="AS798" s="369" t="n"/>
      <c r="AT798" s="370" t="n"/>
      <c r="AU798" s="370" t="n"/>
      <c r="AV798" s="370" t="n"/>
      <c r="AW798" s="370" t="n"/>
      <c r="BJ798">
        <f>O798</f>
        <v/>
      </c>
      <c r="BK798">
        <f>SUM(AG798:AW798)</f>
        <v/>
      </c>
      <c r="BL798" s="531">
        <f>BJ798-BK798</f>
        <v/>
      </c>
      <c r="BM798" s="201" t="n"/>
    </row>
    <row r="799" collapsed="1" s="191">
      <c r="P799" s="628" t="n"/>
      <c r="Q799" s="628" t="n"/>
      <c r="R799" s="628" t="n"/>
      <c r="S799" s="628" t="n"/>
      <c r="T799" s="628" t="n"/>
      <c r="U799" s="628" t="n"/>
      <c r="V799" s="628" t="n"/>
      <c r="W799" s="628" t="n"/>
      <c r="X799" s="628" t="n"/>
      <c r="Y799" s="650" t="n"/>
      <c r="Z799" s="650" t="n"/>
      <c r="AA799" s="650" t="n"/>
      <c r="AB799" s="650" t="n"/>
      <c r="AC799" s="613" t="n"/>
      <c r="AD799" s="613" t="n"/>
      <c r="AE799" s="613" t="n"/>
      <c r="AF799" s="613" t="n"/>
      <c r="AG799" s="626" t="n"/>
      <c r="AH799" s="626" t="n"/>
      <c r="AI799" s="626" t="n"/>
      <c r="AJ799" s="626" t="n"/>
      <c r="AK799" s="626" t="n"/>
      <c r="AL799" s="626" t="n"/>
      <c r="AM799" s="626" t="n"/>
      <c r="AN799" s="626" t="n"/>
      <c r="AO799" s="626" t="n"/>
      <c r="AP799" s="369" t="n"/>
      <c r="AQ799" s="369" t="n"/>
      <c r="AR799" s="369" t="n"/>
      <c r="AS799" s="369" t="n"/>
      <c r="AT799" s="370" t="n"/>
      <c r="AU799" s="370" t="n"/>
      <c r="AV799" s="370" t="n"/>
      <c r="AW799" s="370" t="n"/>
      <c r="BJ799">
        <f>O799</f>
        <v/>
      </c>
      <c r="BK799">
        <f>SUM(AG799:AW799)</f>
        <v/>
      </c>
      <c r="BL799" s="531">
        <f>BJ799-BK799</f>
        <v/>
      </c>
      <c r="BM799" s="201">
        <f>SUM(BL800:BL898)</f>
        <v/>
      </c>
    </row>
    <row r="800" ht="15.6" customHeight="1" s="191">
      <c r="A800" s="259">
        <f>VIII_Baza_BDWMS!A3</f>
        <v/>
      </c>
      <c r="B800" s="260" t="n"/>
      <c r="C800" s="261" t="n"/>
      <c r="D800" s="276" t="n"/>
      <c r="E800" s="277">
        <f>VLOOKUP(A800,Listy!A:C,2,FALSE) &amp; "   :  " &amp; VLOOKUP(A800,Listy!A:C,3,FALSE)</f>
        <v/>
      </c>
      <c r="F800" s="538" t="n"/>
      <c r="P800" s="628" t="n"/>
      <c r="Q800" s="628" t="n"/>
      <c r="R800" s="628" t="n"/>
      <c r="S800" s="628" t="n"/>
      <c r="T800" s="628" t="n"/>
      <c r="U800" s="628" t="n"/>
      <c r="V800" s="628" t="n"/>
      <c r="W800" s="628" t="n"/>
      <c r="X800" s="628" t="n"/>
      <c r="Y800" s="650" t="n"/>
      <c r="Z800" s="650" t="n"/>
      <c r="AA800" s="650" t="n"/>
      <c r="AB800" s="650" t="n"/>
      <c r="AC800" s="613" t="n"/>
      <c r="AD800" s="613" t="n"/>
      <c r="AE800" s="613" t="n"/>
      <c r="AF800" s="613" t="n"/>
      <c r="AG800" s="626" t="n"/>
      <c r="AH800" s="626" t="n"/>
      <c r="AI800" s="626" t="n"/>
      <c r="AJ800" s="626" t="n"/>
      <c r="AK800" s="626" t="n"/>
      <c r="AL800" s="626" t="n"/>
      <c r="AM800" s="626" t="n"/>
      <c r="AN800" s="626" t="n"/>
      <c r="AO800" s="626" t="n"/>
      <c r="AP800" s="369" t="n"/>
      <c r="AQ800" s="369" t="n"/>
      <c r="AR800" s="369" t="n"/>
      <c r="AS800" s="369" t="n"/>
      <c r="AT800" s="370" t="n"/>
      <c r="AU800" s="370" t="n"/>
      <c r="AV800" s="370" t="n"/>
      <c r="AW800" s="370" t="n"/>
      <c r="BJ800">
        <f>O800</f>
        <v/>
      </c>
      <c r="BK800">
        <f>SUM(AG800:AW800)</f>
        <v/>
      </c>
      <c r="BL800" s="531">
        <f>BJ800-BK800</f>
        <v/>
      </c>
      <c r="BM800" s="201">
        <f>SUM(BL801:BL899)</f>
        <v/>
      </c>
    </row>
    <row r="801" hidden="1" outlineLevel="1" s="191">
      <c r="A801" s="275">
        <f>VIII_Baza_BDWMS!A4</f>
        <v/>
      </c>
      <c r="B801" s="275">
        <f>VIII_Baza_BDWMS!B4</f>
        <v/>
      </c>
      <c r="C801" s="275">
        <f>VIII_Baza_BDWMS!C4</f>
        <v/>
      </c>
      <c r="D801" s="275">
        <f>VIII_Baza_BDWMS!D4</f>
        <v/>
      </c>
      <c r="E801" s="275">
        <f>VIII_Baza_BDWMS!E4</f>
        <v/>
      </c>
      <c r="F801" s="275">
        <f>VIII_Baza_BDWMS!F4</f>
        <v/>
      </c>
      <c r="G801" s="275">
        <f>VIII_Baza_BDWMS!G4</f>
        <v/>
      </c>
      <c r="H801" s="275">
        <f>VIII_Baza_BDWMS!H4</f>
        <v/>
      </c>
      <c r="I801" s="275">
        <f>VIII_Baza_BDWMS!I4</f>
        <v/>
      </c>
      <c r="J801" s="275">
        <f>VIII_Baza_BDWMS!J4</f>
        <v/>
      </c>
      <c r="K801" s="672">
        <f>VIII_Baza_BDWMS!K4</f>
        <v/>
      </c>
      <c r="L801" s="672">
        <f>VIII_Baza_BDWMS!L4</f>
        <v/>
      </c>
      <c r="M801" s="275">
        <f>VIII_Baza_BDWMS!M4</f>
        <v/>
      </c>
      <c r="N801" s="275">
        <f>VIII_Baza_BDWMS!N4</f>
        <v/>
      </c>
      <c r="O801" s="275">
        <f>VIII_Baza_BDWMS!O4</f>
        <v/>
      </c>
      <c r="P801" s="632">
        <f>VIII_Baza_BDWMS!P4</f>
        <v/>
      </c>
      <c r="Q801" s="632">
        <f>VIII_Baza_BDWMS!Q4</f>
        <v/>
      </c>
      <c r="R801" s="632">
        <f>VIII_Baza_BDWMS!R4</f>
        <v/>
      </c>
      <c r="S801" s="632">
        <f>VIII_Baza_BDWMS!S4</f>
        <v/>
      </c>
      <c r="T801" s="632">
        <f>VIII_Baza_BDWMS!T4</f>
        <v/>
      </c>
      <c r="U801" s="632">
        <f>VIII_Baza_BDWMS!U4</f>
        <v/>
      </c>
      <c r="V801" s="632">
        <f>VIII_Baza_BDWMS!V4</f>
        <v/>
      </c>
      <c r="W801" s="632">
        <f>VIII_Baza_BDWMS!W4</f>
        <v/>
      </c>
      <c r="X801" s="632">
        <f>VIII_Baza_BDWMS!X4</f>
        <v/>
      </c>
      <c r="Y801" s="654">
        <f>VIII_Baza_BDWMS!Y4</f>
        <v/>
      </c>
      <c r="Z801" s="654">
        <f>VIII_Baza_BDWMS!Z4</f>
        <v/>
      </c>
      <c r="AA801" s="654">
        <f>VIII_Baza_BDWMS!AA4</f>
        <v/>
      </c>
      <c r="AB801" s="654">
        <f>VIII_Baza_BDWMS!AB4</f>
        <v/>
      </c>
      <c r="AC801" s="617">
        <f>VIII_Baza_BDWMS!AC4</f>
        <v/>
      </c>
      <c r="AD801" s="617">
        <f>VIII_Baza_BDWMS!AD4</f>
        <v/>
      </c>
      <c r="AE801" s="617">
        <f>VIII_Baza_BDWMS!AE4</f>
        <v/>
      </c>
      <c r="AF801" s="617">
        <f>VIII_Baza_BDWMS!AF4</f>
        <v/>
      </c>
      <c r="AG801" s="259">
        <f>VIII_Baza_BDWMS!AG4</f>
        <v/>
      </c>
      <c r="AH801" s="259">
        <f>VIII_Baza_BDWMS!AH4</f>
        <v/>
      </c>
      <c r="AI801" s="259">
        <f>VIII_Baza_BDWMS!AI4</f>
        <v/>
      </c>
      <c r="AJ801" s="259">
        <f>VIII_Baza_BDWMS!AJ4</f>
        <v/>
      </c>
      <c r="AK801" s="259">
        <f>VIII_Baza_BDWMS!AK4</f>
        <v/>
      </c>
      <c r="AL801" s="259">
        <f>VIII_Baza_BDWMS!AL4</f>
        <v/>
      </c>
      <c r="AM801" s="259">
        <f>VIII_Baza_BDWMS!AM4</f>
        <v/>
      </c>
      <c r="AN801" s="259">
        <f>VIII_Baza_BDWMS!AN4</f>
        <v/>
      </c>
      <c r="AO801" s="259">
        <f>VIII_Baza_BDWMS!AO4</f>
        <v/>
      </c>
      <c r="AP801" s="647">
        <f>VIII_Baza_BDWMS!AP4</f>
        <v/>
      </c>
      <c r="AQ801" s="647">
        <f>VIII_Baza_BDWMS!AQ4</f>
        <v/>
      </c>
      <c r="AR801" s="647">
        <f>VIII_Baza_BDWMS!AR4</f>
        <v/>
      </c>
      <c r="AS801" s="647">
        <f>VIII_Baza_BDWMS!AS4</f>
        <v/>
      </c>
      <c r="AT801" s="623">
        <f>VIII_Baza_BDWMS!AT4</f>
        <v/>
      </c>
      <c r="AU801" s="623">
        <f>VIII_Baza_BDWMS!AU4</f>
        <v/>
      </c>
      <c r="AV801" s="623">
        <f>VIII_Baza_BDWMS!AV4</f>
        <v/>
      </c>
      <c r="AW801" s="623">
        <f>VIII_Baza_BDWMS!AW4</f>
        <v/>
      </c>
      <c r="AX801" s="275">
        <f>VIII_Baza_BDWMS!AX4</f>
        <v/>
      </c>
      <c r="AY801" s="275">
        <f>VIII_Baza_BDWMS!AY4</f>
        <v/>
      </c>
      <c r="AZ801" s="275">
        <f>VIII_Baza_BDWMS!AZ4</f>
        <v/>
      </c>
      <c r="BA801" s="275">
        <f>VIII_Baza_BDWMS!BA4</f>
        <v/>
      </c>
      <c r="BB801" s="275">
        <f>VIII_Baza_BDWMS!BB4</f>
        <v/>
      </c>
      <c r="BC801" s="275">
        <f>VIII_Baza_BDWMS!BC4</f>
        <v/>
      </c>
      <c r="BD801" s="275">
        <f>VIII_Baza_BDWMS!BD4</f>
        <v/>
      </c>
      <c r="BE801" s="275">
        <f>VIII_Baza_BDWMS!BE4</f>
        <v/>
      </c>
      <c r="BF801" s="275">
        <f>VIII_Baza_BDWMS!BF4</f>
        <v/>
      </c>
      <c r="BG801" s="275">
        <f>VIII_Baza_BDWMS!BG4</f>
        <v/>
      </c>
      <c r="BH801" s="275">
        <f>VIII_Baza_BDWMS!BH4</f>
        <v/>
      </c>
      <c r="BI801" s="275">
        <f>VIII_Baza_BDWMS!BI4</f>
        <v/>
      </c>
      <c r="BJ801">
        <f>O801</f>
        <v/>
      </c>
      <c r="BK801">
        <f>SUM(AG801:AW801)</f>
        <v/>
      </c>
      <c r="BL801" s="531">
        <f>BJ801-BK801</f>
        <v/>
      </c>
      <c r="BM801" s="201" t="n"/>
    </row>
    <row r="802" hidden="1" outlineLevel="1" s="191">
      <c r="A802" s="275">
        <f>VIII_Baza_BDWMS!A5</f>
        <v/>
      </c>
      <c r="B802" s="275">
        <f>VIII_Baza_BDWMS!B5</f>
        <v/>
      </c>
      <c r="C802" s="275">
        <f>VIII_Baza_BDWMS!C5</f>
        <v/>
      </c>
      <c r="D802" s="275">
        <f>VIII_Baza_BDWMS!D5</f>
        <v/>
      </c>
      <c r="E802" s="275">
        <f>VIII_Baza_BDWMS!E5</f>
        <v/>
      </c>
      <c r="F802" s="275">
        <f>VIII_Baza_BDWMS!F5</f>
        <v/>
      </c>
      <c r="G802" s="275">
        <f>VIII_Baza_BDWMS!G5</f>
        <v/>
      </c>
      <c r="H802" s="275">
        <f>VIII_Baza_BDWMS!H5</f>
        <v/>
      </c>
      <c r="I802" s="275">
        <f>VIII_Baza_BDWMS!I5</f>
        <v/>
      </c>
      <c r="J802" s="275">
        <f>VIII_Baza_BDWMS!J5</f>
        <v/>
      </c>
      <c r="K802" s="672">
        <f>VIII_Baza_BDWMS!K5</f>
        <v/>
      </c>
      <c r="L802" s="672">
        <f>VIII_Baza_BDWMS!L5</f>
        <v/>
      </c>
      <c r="M802" s="275">
        <f>VIII_Baza_BDWMS!M5</f>
        <v/>
      </c>
      <c r="N802" s="275">
        <f>VIII_Baza_BDWMS!N5</f>
        <v/>
      </c>
      <c r="O802" s="275">
        <f>VIII_Baza_BDWMS!O5</f>
        <v/>
      </c>
      <c r="P802" s="632">
        <f>VIII_Baza_BDWMS!P5</f>
        <v/>
      </c>
      <c r="Q802" s="632">
        <f>VIII_Baza_BDWMS!Q5</f>
        <v/>
      </c>
      <c r="R802" s="632">
        <f>VIII_Baza_BDWMS!R5</f>
        <v/>
      </c>
      <c r="S802" s="632">
        <f>VIII_Baza_BDWMS!S5</f>
        <v/>
      </c>
      <c r="T802" s="632">
        <f>VIII_Baza_BDWMS!T5</f>
        <v/>
      </c>
      <c r="U802" s="632">
        <f>VIII_Baza_BDWMS!U5</f>
        <v/>
      </c>
      <c r="V802" s="632">
        <f>VIII_Baza_BDWMS!V5</f>
        <v/>
      </c>
      <c r="W802" s="632">
        <f>VIII_Baza_BDWMS!W5</f>
        <v/>
      </c>
      <c r="X802" s="632">
        <f>VIII_Baza_BDWMS!X5</f>
        <v/>
      </c>
      <c r="Y802" s="654">
        <f>VIII_Baza_BDWMS!Y5</f>
        <v/>
      </c>
      <c r="Z802" s="654">
        <f>VIII_Baza_BDWMS!Z5</f>
        <v/>
      </c>
      <c r="AA802" s="654">
        <f>VIII_Baza_BDWMS!AA5</f>
        <v/>
      </c>
      <c r="AB802" s="654">
        <f>VIII_Baza_BDWMS!AB5</f>
        <v/>
      </c>
      <c r="AC802" s="617">
        <f>VIII_Baza_BDWMS!AC5</f>
        <v/>
      </c>
      <c r="AD802" s="617">
        <f>VIII_Baza_BDWMS!AD5</f>
        <v/>
      </c>
      <c r="AE802" s="617">
        <f>VIII_Baza_BDWMS!AE5</f>
        <v/>
      </c>
      <c r="AF802" s="617">
        <f>VIII_Baza_BDWMS!AF5</f>
        <v/>
      </c>
      <c r="AG802" s="259">
        <f>VIII_Baza_BDWMS!AG5</f>
        <v/>
      </c>
      <c r="AH802" s="259">
        <f>VIII_Baza_BDWMS!AH5</f>
        <v/>
      </c>
      <c r="AI802" s="259">
        <f>VIII_Baza_BDWMS!AI5</f>
        <v/>
      </c>
      <c r="AJ802" s="259">
        <f>VIII_Baza_BDWMS!AJ5</f>
        <v/>
      </c>
      <c r="AK802" s="259">
        <f>VIII_Baza_BDWMS!AK5</f>
        <v/>
      </c>
      <c r="AL802" s="259">
        <f>VIII_Baza_BDWMS!AL5</f>
        <v/>
      </c>
      <c r="AM802" s="259">
        <f>VIII_Baza_BDWMS!AM5</f>
        <v/>
      </c>
      <c r="AN802" s="259">
        <f>VIII_Baza_BDWMS!AN5</f>
        <v/>
      </c>
      <c r="AO802" s="259">
        <f>VIII_Baza_BDWMS!AO5</f>
        <v/>
      </c>
      <c r="AP802" s="647">
        <f>VIII_Baza_BDWMS!AP5</f>
        <v/>
      </c>
      <c r="AQ802" s="647">
        <f>VIII_Baza_BDWMS!AQ5</f>
        <v/>
      </c>
      <c r="AR802" s="647">
        <f>VIII_Baza_BDWMS!AR5</f>
        <v/>
      </c>
      <c r="AS802" s="647">
        <f>VIII_Baza_BDWMS!AS5</f>
        <v/>
      </c>
      <c r="AT802" s="623">
        <f>VIII_Baza_BDWMS!AT5</f>
        <v/>
      </c>
      <c r="AU802" s="623">
        <f>VIII_Baza_BDWMS!AU5</f>
        <v/>
      </c>
      <c r="AV802" s="623">
        <f>VIII_Baza_BDWMS!AV5</f>
        <v/>
      </c>
      <c r="AW802" s="623">
        <f>VIII_Baza_BDWMS!AW5</f>
        <v/>
      </c>
      <c r="AX802" s="275">
        <f>VIII_Baza_BDWMS!AX5</f>
        <v/>
      </c>
      <c r="AY802" s="275">
        <f>VIII_Baza_BDWMS!AY5</f>
        <v/>
      </c>
      <c r="AZ802" s="275">
        <f>VIII_Baza_BDWMS!AZ5</f>
        <v/>
      </c>
      <c r="BA802" s="275">
        <f>VIII_Baza_BDWMS!BA5</f>
        <v/>
      </c>
      <c r="BB802" s="275">
        <f>VIII_Baza_BDWMS!BB5</f>
        <v/>
      </c>
      <c r="BC802" s="275">
        <f>VIII_Baza_BDWMS!BC5</f>
        <v/>
      </c>
      <c r="BD802" s="275">
        <f>VIII_Baza_BDWMS!BD5</f>
        <v/>
      </c>
      <c r="BE802" s="275">
        <f>VIII_Baza_BDWMS!BE5</f>
        <v/>
      </c>
      <c r="BF802" s="275">
        <f>VIII_Baza_BDWMS!BF5</f>
        <v/>
      </c>
      <c r="BG802" s="275">
        <f>VIII_Baza_BDWMS!BG5</f>
        <v/>
      </c>
      <c r="BH802" s="275">
        <f>VIII_Baza_BDWMS!BH5</f>
        <v/>
      </c>
      <c r="BI802" s="275">
        <f>VIII_Baza_BDWMS!BI5</f>
        <v/>
      </c>
      <c r="BJ802">
        <f>O802</f>
        <v/>
      </c>
      <c r="BK802">
        <f>SUM(AG802:AW802)</f>
        <v/>
      </c>
      <c r="BL802" s="531">
        <f>BJ802-BK802</f>
        <v/>
      </c>
      <c r="BM802" s="201" t="n"/>
    </row>
    <row r="803" hidden="1" outlineLevel="1" s="191">
      <c r="A803" s="275">
        <f>VIII_Baza_BDWMS!A6</f>
        <v/>
      </c>
      <c r="B803" s="275">
        <f>VIII_Baza_BDWMS!B6</f>
        <v/>
      </c>
      <c r="C803" s="275">
        <f>VIII_Baza_BDWMS!C6</f>
        <v/>
      </c>
      <c r="D803" s="275">
        <f>VIII_Baza_BDWMS!D6</f>
        <v/>
      </c>
      <c r="E803" s="275">
        <f>VIII_Baza_BDWMS!E6</f>
        <v/>
      </c>
      <c r="F803" s="275">
        <f>VIII_Baza_BDWMS!F6</f>
        <v/>
      </c>
      <c r="G803" s="275">
        <f>VIII_Baza_BDWMS!G6</f>
        <v/>
      </c>
      <c r="H803" s="275">
        <f>VIII_Baza_BDWMS!H6</f>
        <v/>
      </c>
      <c r="I803" s="275">
        <f>VIII_Baza_BDWMS!I6</f>
        <v/>
      </c>
      <c r="J803" s="275">
        <f>VIII_Baza_BDWMS!J6</f>
        <v/>
      </c>
      <c r="K803" s="672">
        <f>VIII_Baza_BDWMS!K6</f>
        <v/>
      </c>
      <c r="L803" s="672">
        <f>VIII_Baza_BDWMS!L6</f>
        <v/>
      </c>
      <c r="M803" s="275">
        <f>VIII_Baza_BDWMS!M6</f>
        <v/>
      </c>
      <c r="N803" s="275">
        <f>VIII_Baza_BDWMS!N6</f>
        <v/>
      </c>
      <c r="O803" s="275">
        <f>VIII_Baza_BDWMS!O6</f>
        <v/>
      </c>
      <c r="P803" s="632">
        <f>VIII_Baza_BDWMS!P6</f>
        <v/>
      </c>
      <c r="Q803" s="632">
        <f>VIII_Baza_BDWMS!Q6</f>
        <v/>
      </c>
      <c r="R803" s="632">
        <f>VIII_Baza_BDWMS!R6</f>
        <v/>
      </c>
      <c r="S803" s="632">
        <f>VIII_Baza_BDWMS!S6</f>
        <v/>
      </c>
      <c r="T803" s="632">
        <f>VIII_Baza_BDWMS!T6</f>
        <v/>
      </c>
      <c r="U803" s="632">
        <f>VIII_Baza_BDWMS!U6</f>
        <v/>
      </c>
      <c r="V803" s="632">
        <f>VIII_Baza_BDWMS!V6</f>
        <v/>
      </c>
      <c r="W803" s="632">
        <f>VIII_Baza_BDWMS!W6</f>
        <v/>
      </c>
      <c r="X803" s="632">
        <f>VIII_Baza_BDWMS!X6</f>
        <v/>
      </c>
      <c r="Y803" s="654">
        <f>VIII_Baza_BDWMS!Y6</f>
        <v/>
      </c>
      <c r="Z803" s="654">
        <f>VIII_Baza_BDWMS!Z6</f>
        <v/>
      </c>
      <c r="AA803" s="654">
        <f>VIII_Baza_BDWMS!AA6</f>
        <v/>
      </c>
      <c r="AB803" s="654">
        <f>VIII_Baza_BDWMS!AB6</f>
        <v/>
      </c>
      <c r="AC803" s="617">
        <f>VIII_Baza_BDWMS!AC6</f>
        <v/>
      </c>
      <c r="AD803" s="617">
        <f>VIII_Baza_BDWMS!AD6</f>
        <v/>
      </c>
      <c r="AE803" s="617">
        <f>VIII_Baza_BDWMS!AE6</f>
        <v/>
      </c>
      <c r="AF803" s="617">
        <f>VIII_Baza_BDWMS!AF6</f>
        <v/>
      </c>
      <c r="AG803" s="259">
        <f>VIII_Baza_BDWMS!AG6</f>
        <v/>
      </c>
      <c r="AH803" s="259">
        <f>VIII_Baza_BDWMS!AH6</f>
        <v/>
      </c>
      <c r="AI803" s="259">
        <f>VIII_Baza_BDWMS!AI6</f>
        <v/>
      </c>
      <c r="AJ803" s="259">
        <f>VIII_Baza_BDWMS!AJ6</f>
        <v/>
      </c>
      <c r="AK803" s="259">
        <f>VIII_Baza_BDWMS!AK6</f>
        <v/>
      </c>
      <c r="AL803" s="259">
        <f>VIII_Baza_BDWMS!AL6</f>
        <v/>
      </c>
      <c r="AM803" s="259">
        <f>VIII_Baza_BDWMS!AM6</f>
        <v/>
      </c>
      <c r="AN803" s="259">
        <f>VIII_Baza_BDWMS!AN6</f>
        <v/>
      </c>
      <c r="AO803" s="259">
        <f>VIII_Baza_BDWMS!AO6</f>
        <v/>
      </c>
      <c r="AP803" s="647">
        <f>VIII_Baza_BDWMS!AP6</f>
        <v/>
      </c>
      <c r="AQ803" s="647">
        <f>VIII_Baza_BDWMS!AQ6</f>
        <v/>
      </c>
      <c r="AR803" s="647">
        <f>VIII_Baza_BDWMS!AR6</f>
        <v/>
      </c>
      <c r="AS803" s="647">
        <f>VIII_Baza_BDWMS!AS6</f>
        <v/>
      </c>
      <c r="AT803" s="623">
        <f>VIII_Baza_BDWMS!AT6</f>
        <v/>
      </c>
      <c r="AU803" s="623">
        <f>VIII_Baza_BDWMS!AU6</f>
        <v/>
      </c>
      <c r="AV803" s="623">
        <f>VIII_Baza_BDWMS!AV6</f>
        <v/>
      </c>
      <c r="AW803" s="623">
        <f>VIII_Baza_BDWMS!AW6</f>
        <v/>
      </c>
      <c r="AX803" s="275">
        <f>VIII_Baza_BDWMS!AX6</f>
        <v/>
      </c>
      <c r="AY803" s="275">
        <f>VIII_Baza_BDWMS!AY6</f>
        <v/>
      </c>
      <c r="AZ803" s="275">
        <f>VIII_Baza_BDWMS!AZ6</f>
        <v/>
      </c>
      <c r="BA803" s="275">
        <f>VIII_Baza_BDWMS!BA6</f>
        <v/>
      </c>
      <c r="BB803" s="275">
        <f>VIII_Baza_BDWMS!BB6</f>
        <v/>
      </c>
      <c r="BC803" s="275">
        <f>VIII_Baza_BDWMS!BC6</f>
        <v/>
      </c>
      <c r="BD803" s="275">
        <f>VIII_Baza_BDWMS!BD6</f>
        <v/>
      </c>
      <c r="BE803" s="275">
        <f>VIII_Baza_BDWMS!BE6</f>
        <v/>
      </c>
      <c r="BF803" s="275">
        <f>VIII_Baza_BDWMS!BF6</f>
        <v/>
      </c>
      <c r="BG803" s="275">
        <f>VIII_Baza_BDWMS!BG6</f>
        <v/>
      </c>
      <c r="BH803" s="275">
        <f>VIII_Baza_BDWMS!BH6</f>
        <v/>
      </c>
      <c r="BI803" s="275">
        <f>VIII_Baza_BDWMS!BI6</f>
        <v/>
      </c>
      <c r="BJ803">
        <f>O803</f>
        <v/>
      </c>
      <c r="BK803">
        <f>SUM(AG803:AW803)</f>
        <v/>
      </c>
      <c r="BL803" s="531">
        <f>BJ803-BK803</f>
        <v/>
      </c>
      <c r="BM803" s="201" t="n"/>
    </row>
    <row r="804" hidden="1" outlineLevel="1" s="191">
      <c r="A804" s="275">
        <f>VIII_Baza_BDWMS!A7</f>
        <v/>
      </c>
      <c r="B804" s="275">
        <f>VIII_Baza_BDWMS!B7</f>
        <v/>
      </c>
      <c r="C804" s="275">
        <f>VIII_Baza_BDWMS!C7</f>
        <v/>
      </c>
      <c r="D804" s="275">
        <f>VIII_Baza_BDWMS!D7</f>
        <v/>
      </c>
      <c r="E804" s="275">
        <f>VIII_Baza_BDWMS!E7</f>
        <v/>
      </c>
      <c r="F804" s="275">
        <f>VIII_Baza_BDWMS!F7</f>
        <v/>
      </c>
      <c r="G804" s="275">
        <f>VIII_Baza_BDWMS!G7</f>
        <v/>
      </c>
      <c r="H804" s="275">
        <f>VIII_Baza_BDWMS!H7</f>
        <v/>
      </c>
      <c r="I804" s="275">
        <f>VIII_Baza_BDWMS!I7</f>
        <v/>
      </c>
      <c r="J804" s="275">
        <f>VIII_Baza_BDWMS!J7</f>
        <v/>
      </c>
      <c r="K804" s="672">
        <f>VIII_Baza_BDWMS!K7</f>
        <v/>
      </c>
      <c r="L804" s="672">
        <f>VIII_Baza_BDWMS!L7</f>
        <v/>
      </c>
      <c r="M804" s="275">
        <f>VIII_Baza_BDWMS!M7</f>
        <v/>
      </c>
      <c r="N804" s="275">
        <f>VIII_Baza_BDWMS!N7</f>
        <v/>
      </c>
      <c r="O804" s="275">
        <f>VIII_Baza_BDWMS!O7</f>
        <v/>
      </c>
      <c r="P804" s="632">
        <f>VIII_Baza_BDWMS!P7</f>
        <v/>
      </c>
      <c r="Q804" s="632">
        <f>VIII_Baza_BDWMS!Q7</f>
        <v/>
      </c>
      <c r="R804" s="632">
        <f>VIII_Baza_BDWMS!R7</f>
        <v/>
      </c>
      <c r="S804" s="632">
        <f>VIII_Baza_BDWMS!S7</f>
        <v/>
      </c>
      <c r="T804" s="632">
        <f>VIII_Baza_BDWMS!T7</f>
        <v/>
      </c>
      <c r="U804" s="632">
        <f>VIII_Baza_BDWMS!U7</f>
        <v/>
      </c>
      <c r="V804" s="632">
        <f>VIII_Baza_BDWMS!V7</f>
        <v/>
      </c>
      <c r="W804" s="632">
        <f>VIII_Baza_BDWMS!W7</f>
        <v/>
      </c>
      <c r="X804" s="632">
        <f>VIII_Baza_BDWMS!X7</f>
        <v/>
      </c>
      <c r="Y804" s="654">
        <f>VIII_Baza_BDWMS!Y7</f>
        <v/>
      </c>
      <c r="Z804" s="654">
        <f>VIII_Baza_BDWMS!Z7</f>
        <v/>
      </c>
      <c r="AA804" s="654">
        <f>VIII_Baza_BDWMS!AA7</f>
        <v/>
      </c>
      <c r="AB804" s="654">
        <f>VIII_Baza_BDWMS!AB7</f>
        <v/>
      </c>
      <c r="AC804" s="617">
        <f>VIII_Baza_BDWMS!AC7</f>
        <v/>
      </c>
      <c r="AD804" s="617">
        <f>VIII_Baza_BDWMS!AD7</f>
        <v/>
      </c>
      <c r="AE804" s="617">
        <f>VIII_Baza_BDWMS!AE7</f>
        <v/>
      </c>
      <c r="AF804" s="617">
        <f>VIII_Baza_BDWMS!AF7</f>
        <v/>
      </c>
      <c r="AG804" s="259">
        <f>VIII_Baza_BDWMS!AG7</f>
        <v/>
      </c>
      <c r="AH804" s="259">
        <f>VIII_Baza_BDWMS!AH7</f>
        <v/>
      </c>
      <c r="AI804" s="259">
        <f>VIII_Baza_BDWMS!AI7</f>
        <v/>
      </c>
      <c r="AJ804" s="259">
        <f>VIII_Baza_BDWMS!AJ7</f>
        <v/>
      </c>
      <c r="AK804" s="259">
        <f>VIII_Baza_BDWMS!AK7</f>
        <v/>
      </c>
      <c r="AL804" s="259">
        <f>VIII_Baza_BDWMS!AL7</f>
        <v/>
      </c>
      <c r="AM804" s="259">
        <f>VIII_Baza_BDWMS!AM7</f>
        <v/>
      </c>
      <c r="AN804" s="259">
        <f>VIII_Baza_BDWMS!AN7</f>
        <v/>
      </c>
      <c r="AO804" s="259">
        <f>VIII_Baza_BDWMS!AO7</f>
        <v/>
      </c>
      <c r="AP804" s="647">
        <f>VIII_Baza_BDWMS!AP7</f>
        <v/>
      </c>
      <c r="AQ804" s="647">
        <f>VIII_Baza_BDWMS!AQ7</f>
        <v/>
      </c>
      <c r="AR804" s="647">
        <f>VIII_Baza_BDWMS!AR7</f>
        <v/>
      </c>
      <c r="AS804" s="647">
        <f>VIII_Baza_BDWMS!AS7</f>
        <v/>
      </c>
      <c r="AT804" s="623">
        <f>VIII_Baza_BDWMS!AT7</f>
        <v/>
      </c>
      <c r="AU804" s="623">
        <f>VIII_Baza_BDWMS!AU7</f>
        <v/>
      </c>
      <c r="AV804" s="623">
        <f>VIII_Baza_BDWMS!AV7</f>
        <v/>
      </c>
      <c r="AW804" s="623">
        <f>VIII_Baza_BDWMS!AW7</f>
        <v/>
      </c>
      <c r="AX804" s="275">
        <f>VIII_Baza_BDWMS!AX7</f>
        <v/>
      </c>
      <c r="AY804" s="275">
        <f>VIII_Baza_BDWMS!AY7</f>
        <v/>
      </c>
      <c r="AZ804" s="275">
        <f>VIII_Baza_BDWMS!AZ7</f>
        <v/>
      </c>
      <c r="BA804" s="275">
        <f>VIII_Baza_BDWMS!BA7</f>
        <v/>
      </c>
      <c r="BB804" s="275">
        <f>VIII_Baza_BDWMS!BB7</f>
        <v/>
      </c>
      <c r="BC804" s="275">
        <f>VIII_Baza_BDWMS!BC7</f>
        <v/>
      </c>
      <c r="BD804" s="275">
        <f>VIII_Baza_BDWMS!BD7</f>
        <v/>
      </c>
      <c r="BE804" s="275">
        <f>VIII_Baza_BDWMS!BE7</f>
        <v/>
      </c>
      <c r="BF804" s="275">
        <f>VIII_Baza_BDWMS!BF7</f>
        <v/>
      </c>
      <c r="BG804" s="275">
        <f>VIII_Baza_BDWMS!BG7</f>
        <v/>
      </c>
      <c r="BH804" s="275">
        <f>VIII_Baza_BDWMS!BH7</f>
        <v/>
      </c>
      <c r="BI804" s="275">
        <f>VIII_Baza_BDWMS!BI7</f>
        <v/>
      </c>
      <c r="BJ804">
        <f>O804</f>
        <v/>
      </c>
      <c r="BK804">
        <f>SUM(AG804:AW804)</f>
        <v/>
      </c>
      <c r="BL804" s="531">
        <f>BJ804-BK804</f>
        <v/>
      </c>
      <c r="BM804" s="201" t="n"/>
    </row>
    <row r="805" hidden="1" outlineLevel="1" s="191">
      <c r="A805" s="275">
        <f>VIII_Baza_BDWMS!A8</f>
        <v/>
      </c>
      <c r="B805" s="275">
        <f>VIII_Baza_BDWMS!B8</f>
        <v/>
      </c>
      <c r="C805" s="275">
        <f>VIII_Baza_BDWMS!C8</f>
        <v/>
      </c>
      <c r="D805" s="275">
        <f>VIII_Baza_BDWMS!D8</f>
        <v/>
      </c>
      <c r="E805" s="275">
        <f>VIII_Baza_BDWMS!E8</f>
        <v/>
      </c>
      <c r="F805" s="275">
        <f>VIII_Baza_BDWMS!F8</f>
        <v/>
      </c>
      <c r="G805" s="275">
        <f>VIII_Baza_BDWMS!G8</f>
        <v/>
      </c>
      <c r="H805" s="275">
        <f>VIII_Baza_BDWMS!H8</f>
        <v/>
      </c>
      <c r="I805" s="275">
        <f>VIII_Baza_BDWMS!I8</f>
        <v/>
      </c>
      <c r="J805" s="275">
        <f>VIII_Baza_BDWMS!J8</f>
        <v/>
      </c>
      <c r="K805" s="672">
        <f>VIII_Baza_BDWMS!K8</f>
        <v/>
      </c>
      <c r="L805" s="672">
        <f>VIII_Baza_BDWMS!L8</f>
        <v/>
      </c>
      <c r="M805" s="275">
        <f>VIII_Baza_BDWMS!M8</f>
        <v/>
      </c>
      <c r="N805" s="275">
        <f>VIII_Baza_BDWMS!N8</f>
        <v/>
      </c>
      <c r="O805" s="275">
        <f>VIII_Baza_BDWMS!O8</f>
        <v/>
      </c>
      <c r="P805" s="632">
        <f>VIII_Baza_BDWMS!P8</f>
        <v/>
      </c>
      <c r="Q805" s="632">
        <f>VIII_Baza_BDWMS!Q8</f>
        <v/>
      </c>
      <c r="R805" s="632">
        <f>VIII_Baza_BDWMS!R8</f>
        <v/>
      </c>
      <c r="S805" s="632">
        <f>VIII_Baza_BDWMS!S8</f>
        <v/>
      </c>
      <c r="T805" s="632">
        <f>VIII_Baza_BDWMS!T8</f>
        <v/>
      </c>
      <c r="U805" s="632">
        <f>VIII_Baza_BDWMS!U8</f>
        <v/>
      </c>
      <c r="V805" s="632">
        <f>VIII_Baza_BDWMS!V8</f>
        <v/>
      </c>
      <c r="W805" s="632">
        <f>VIII_Baza_BDWMS!W8</f>
        <v/>
      </c>
      <c r="X805" s="632">
        <f>VIII_Baza_BDWMS!X8</f>
        <v/>
      </c>
      <c r="Y805" s="654">
        <f>VIII_Baza_BDWMS!Y8</f>
        <v/>
      </c>
      <c r="Z805" s="654">
        <f>VIII_Baza_BDWMS!Z8</f>
        <v/>
      </c>
      <c r="AA805" s="654">
        <f>VIII_Baza_BDWMS!AA8</f>
        <v/>
      </c>
      <c r="AB805" s="654">
        <f>VIII_Baza_BDWMS!AB8</f>
        <v/>
      </c>
      <c r="AC805" s="617">
        <f>VIII_Baza_BDWMS!AC8</f>
        <v/>
      </c>
      <c r="AD805" s="617">
        <f>VIII_Baza_BDWMS!AD8</f>
        <v/>
      </c>
      <c r="AE805" s="617">
        <f>VIII_Baza_BDWMS!AE8</f>
        <v/>
      </c>
      <c r="AF805" s="617">
        <f>VIII_Baza_BDWMS!AF8</f>
        <v/>
      </c>
      <c r="AG805" s="259">
        <f>VIII_Baza_BDWMS!AG8</f>
        <v/>
      </c>
      <c r="AH805" s="259">
        <f>VIII_Baza_BDWMS!AH8</f>
        <v/>
      </c>
      <c r="AI805" s="259">
        <f>VIII_Baza_BDWMS!AI8</f>
        <v/>
      </c>
      <c r="AJ805" s="259">
        <f>VIII_Baza_BDWMS!AJ8</f>
        <v/>
      </c>
      <c r="AK805" s="259">
        <f>VIII_Baza_BDWMS!AK8</f>
        <v/>
      </c>
      <c r="AL805" s="259">
        <f>VIII_Baza_BDWMS!AL8</f>
        <v/>
      </c>
      <c r="AM805" s="259">
        <f>VIII_Baza_BDWMS!AM8</f>
        <v/>
      </c>
      <c r="AN805" s="259">
        <f>VIII_Baza_BDWMS!AN8</f>
        <v/>
      </c>
      <c r="AO805" s="259">
        <f>VIII_Baza_BDWMS!AO8</f>
        <v/>
      </c>
      <c r="AP805" s="647">
        <f>VIII_Baza_BDWMS!AP8</f>
        <v/>
      </c>
      <c r="AQ805" s="647">
        <f>VIII_Baza_BDWMS!AQ8</f>
        <v/>
      </c>
      <c r="AR805" s="647">
        <f>VIII_Baza_BDWMS!AR8</f>
        <v/>
      </c>
      <c r="AS805" s="647">
        <f>VIII_Baza_BDWMS!AS8</f>
        <v/>
      </c>
      <c r="AT805" s="623">
        <f>VIII_Baza_BDWMS!AT8</f>
        <v/>
      </c>
      <c r="AU805" s="623">
        <f>VIII_Baza_BDWMS!AU8</f>
        <v/>
      </c>
      <c r="AV805" s="623">
        <f>VIII_Baza_BDWMS!AV8</f>
        <v/>
      </c>
      <c r="AW805" s="623">
        <f>VIII_Baza_BDWMS!AW8</f>
        <v/>
      </c>
      <c r="AX805" s="275">
        <f>VIII_Baza_BDWMS!AX8</f>
        <v/>
      </c>
      <c r="AY805" s="275">
        <f>VIII_Baza_BDWMS!AY8</f>
        <v/>
      </c>
      <c r="AZ805" s="275">
        <f>VIII_Baza_BDWMS!AZ8</f>
        <v/>
      </c>
      <c r="BA805" s="275">
        <f>VIII_Baza_BDWMS!BA8</f>
        <v/>
      </c>
      <c r="BB805" s="275">
        <f>VIII_Baza_BDWMS!BB8</f>
        <v/>
      </c>
      <c r="BC805" s="275">
        <f>VIII_Baza_BDWMS!BC8</f>
        <v/>
      </c>
      <c r="BD805" s="275">
        <f>VIII_Baza_BDWMS!BD8</f>
        <v/>
      </c>
      <c r="BE805" s="275">
        <f>VIII_Baza_BDWMS!BE8</f>
        <v/>
      </c>
      <c r="BF805" s="275">
        <f>VIII_Baza_BDWMS!BF8</f>
        <v/>
      </c>
      <c r="BG805" s="275">
        <f>VIII_Baza_BDWMS!BG8</f>
        <v/>
      </c>
      <c r="BH805" s="275">
        <f>VIII_Baza_BDWMS!BH8</f>
        <v/>
      </c>
      <c r="BI805" s="275">
        <f>VIII_Baza_BDWMS!BI8</f>
        <v/>
      </c>
      <c r="BJ805">
        <f>O805</f>
        <v/>
      </c>
      <c r="BK805">
        <f>SUM(AG805:AW805)</f>
        <v/>
      </c>
      <c r="BL805" s="531">
        <f>BJ805-BK805</f>
        <v/>
      </c>
      <c r="BM805" s="201" t="n"/>
    </row>
    <row r="806" hidden="1" outlineLevel="1" s="191">
      <c r="A806" s="275">
        <f>VIII_Baza_BDWMS!A9</f>
        <v/>
      </c>
      <c r="B806" s="275">
        <f>VIII_Baza_BDWMS!B9</f>
        <v/>
      </c>
      <c r="C806" s="275">
        <f>VIII_Baza_BDWMS!C9</f>
        <v/>
      </c>
      <c r="D806" s="275">
        <f>VIII_Baza_BDWMS!D9</f>
        <v/>
      </c>
      <c r="E806" s="275">
        <f>VIII_Baza_BDWMS!E9</f>
        <v/>
      </c>
      <c r="F806" s="275">
        <f>VIII_Baza_BDWMS!F9</f>
        <v/>
      </c>
      <c r="G806" s="275">
        <f>VIII_Baza_BDWMS!G9</f>
        <v/>
      </c>
      <c r="H806" s="275">
        <f>VIII_Baza_BDWMS!H9</f>
        <v/>
      </c>
      <c r="I806" s="275">
        <f>VIII_Baza_BDWMS!I9</f>
        <v/>
      </c>
      <c r="J806" s="275">
        <f>VIII_Baza_BDWMS!J9</f>
        <v/>
      </c>
      <c r="K806" s="672">
        <f>VIII_Baza_BDWMS!K9</f>
        <v/>
      </c>
      <c r="L806" s="672">
        <f>VIII_Baza_BDWMS!L9</f>
        <v/>
      </c>
      <c r="M806" s="275">
        <f>VIII_Baza_BDWMS!M9</f>
        <v/>
      </c>
      <c r="N806" s="275">
        <f>VIII_Baza_BDWMS!N9</f>
        <v/>
      </c>
      <c r="O806" s="275">
        <f>VIII_Baza_BDWMS!O9</f>
        <v/>
      </c>
      <c r="P806" s="632">
        <f>VIII_Baza_BDWMS!P9</f>
        <v/>
      </c>
      <c r="Q806" s="632">
        <f>VIII_Baza_BDWMS!Q9</f>
        <v/>
      </c>
      <c r="R806" s="632">
        <f>VIII_Baza_BDWMS!R9</f>
        <v/>
      </c>
      <c r="S806" s="632">
        <f>VIII_Baza_BDWMS!S9</f>
        <v/>
      </c>
      <c r="T806" s="632">
        <f>VIII_Baza_BDWMS!T9</f>
        <v/>
      </c>
      <c r="U806" s="632">
        <f>VIII_Baza_BDWMS!U9</f>
        <v/>
      </c>
      <c r="V806" s="632">
        <f>VIII_Baza_BDWMS!V9</f>
        <v/>
      </c>
      <c r="W806" s="632">
        <f>VIII_Baza_BDWMS!W9</f>
        <v/>
      </c>
      <c r="X806" s="632">
        <f>VIII_Baza_BDWMS!X9</f>
        <v/>
      </c>
      <c r="Y806" s="654">
        <f>VIII_Baza_BDWMS!Y9</f>
        <v/>
      </c>
      <c r="Z806" s="654">
        <f>VIII_Baza_BDWMS!Z9</f>
        <v/>
      </c>
      <c r="AA806" s="654">
        <f>VIII_Baza_BDWMS!AA9</f>
        <v/>
      </c>
      <c r="AB806" s="654">
        <f>VIII_Baza_BDWMS!AB9</f>
        <v/>
      </c>
      <c r="AC806" s="617">
        <f>VIII_Baza_BDWMS!AC9</f>
        <v/>
      </c>
      <c r="AD806" s="617">
        <f>VIII_Baza_BDWMS!AD9</f>
        <v/>
      </c>
      <c r="AE806" s="617">
        <f>VIII_Baza_BDWMS!AE9</f>
        <v/>
      </c>
      <c r="AF806" s="617">
        <f>VIII_Baza_BDWMS!AF9</f>
        <v/>
      </c>
      <c r="AG806" s="259">
        <f>VIII_Baza_BDWMS!AG9</f>
        <v/>
      </c>
      <c r="AH806" s="259">
        <f>VIII_Baza_BDWMS!AH9</f>
        <v/>
      </c>
      <c r="AI806" s="259">
        <f>VIII_Baza_BDWMS!AI9</f>
        <v/>
      </c>
      <c r="AJ806" s="259">
        <f>VIII_Baza_BDWMS!AJ9</f>
        <v/>
      </c>
      <c r="AK806" s="259">
        <f>VIII_Baza_BDWMS!AK9</f>
        <v/>
      </c>
      <c r="AL806" s="259">
        <f>VIII_Baza_BDWMS!AL9</f>
        <v/>
      </c>
      <c r="AM806" s="259">
        <f>VIII_Baza_BDWMS!AM9</f>
        <v/>
      </c>
      <c r="AN806" s="259">
        <f>VIII_Baza_BDWMS!AN9</f>
        <v/>
      </c>
      <c r="AO806" s="259">
        <f>VIII_Baza_BDWMS!AO9</f>
        <v/>
      </c>
      <c r="AP806" s="647">
        <f>VIII_Baza_BDWMS!AP9</f>
        <v/>
      </c>
      <c r="AQ806" s="647">
        <f>VIII_Baza_BDWMS!AQ9</f>
        <v/>
      </c>
      <c r="AR806" s="647">
        <f>VIII_Baza_BDWMS!AR9</f>
        <v/>
      </c>
      <c r="AS806" s="647">
        <f>VIII_Baza_BDWMS!AS9</f>
        <v/>
      </c>
      <c r="AT806" s="623">
        <f>VIII_Baza_BDWMS!AT9</f>
        <v/>
      </c>
      <c r="AU806" s="623">
        <f>VIII_Baza_BDWMS!AU9</f>
        <v/>
      </c>
      <c r="AV806" s="623">
        <f>VIII_Baza_BDWMS!AV9</f>
        <v/>
      </c>
      <c r="AW806" s="623">
        <f>VIII_Baza_BDWMS!AW9</f>
        <v/>
      </c>
      <c r="AX806" s="275">
        <f>VIII_Baza_BDWMS!AX9</f>
        <v/>
      </c>
      <c r="AY806" s="275">
        <f>VIII_Baza_BDWMS!AY9</f>
        <v/>
      </c>
      <c r="AZ806" s="275">
        <f>VIII_Baza_BDWMS!AZ9</f>
        <v/>
      </c>
      <c r="BA806" s="275">
        <f>VIII_Baza_BDWMS!BA9</f>
        <v/>
      </c>
      <c r="BB806" s="275">
        <f>VIII_Baza_BDWMS!BB9</f>
        <v/>
      </c>
      <c r="BC806" s="275">
        <f>VIII_Baza_BDWMS!BC9</f>
        <v/>
      </c>
      <c r="BD806" s="275">
        <f>VIII_Baza_BDWMS!BD9</f>
        <v/>
      </c>
      <c r="BE806" s="275">
        <f>VIII_Baza_BDWMS!BE9</f>
        <v/>
      </c>
      <c r="BF806" s="275">
        <f>VIII_Baza_BDWMS!BF9</f>
        <v/>
      </c>
      <c r="BG806" s="275">
        <f>VIII_Baza_BDWMS!BG9</f>
        <v/>
      </c>
      <c r="BH806" s="275">
        <f>VIII_Baza_BDWMS!BH9</f>
        <v/>
      </c>
      <c r="BI806" s="275">
        <f>VIII_Baza_BDWMS!BI9</f>
        <v/>
      </c>
      <c r="BJ806">
        <f>O806</f>
        <v/>
      </c>
      <c r="BK806">
        <f>SUM(AG806:AW806)</f>
        <v/>
      </c>
      <c r="BL806" s="531">
        <f>BJ806-BK806</f>
        <v/>
      </c>
      <c r="BM806" s="201" t="n"/>
    </row>
    <row r="807" hidden="1" outlineLevel="1" s="191">
      <c r="A807" s="275">
        <f>VIII_Baza_BDWMS!A10</f>
        <v/>
      </c>
      <c r="B807" s="275">
        <f>VIII_Baza_BDWMS!B10</f>
        <v/>
      </c>
      <c r="C807" s="275">
        <f>VIII_Baza_BDWMS!C10</f>
        <v/>
      </c>
      <c r="D807" s="275">
        <f>VIII_Baza_BDWMS!D10</f>
        <v/>
      </c>
      <c r="E807" s="275">
        <f>VIII_Baza_BDWMS!E10</f>
        <v/>
      </c>
      <c r="F807" s="275">
        <f>VIII_Baza_BDWMS!F10</f>
        <v/>
      </c>
      <c r="G807" s="275">
        <f>VIII_Baza_BDWMS!G10</f>
        <v/>
      </c>
      <c r="H807" s="275">
        <f>VIII_Baza_BDWMS!H10</f>
        <v/>
      </c>
      <c r="I807" s="275">
        <f>VIII_Baza_BDWMS!I10</f>
        <v/>
      </c>
      <c r="J807" s="275">
        <f>VIII_Baza_BDWMS!J10</f>
        <v/>
      </c>
      <c r="K807" s="672">
        <f>VIII_Baza_BDWMS!K10</f>
        <v/>
      </c>
      <c r="L807" s="672">
        <f>VIII_Baza_BDWMS!L10</f>
        <v/>
      </c>
      <c r="M807" s="275">
        <f>VIII_Baza_BDWMS!M10</f>
        <v/>
      </c>
      <c r="N807" s="275">
        <f>VIII_Baza_BDWMS!N10</f>
        <v/>
      </c>
      <c r="O807" s="275">
        <f>VIII_Baza_BDWMS!O10</f>
        <v/>
      </c>
      <c r="P807" s="632">
        <f>VIII_Baza_BDWMS!P10</f>
        <v/>
      </c>
      <c r="Q807" s="632">
        <f>VIII_Baza_BDWMS!Q10</f>
        <v/>
      </c>
      <c r="R807" s="632">
        <f>VIII_Baza_BDWMS!R10</f>
        <v/>
      </c>
      <c r="S807" s="632">
        <f>VIII_Baza_BDWMS!S10</f>
        <v/>
      </c>
      <c r="T807" s="632">
        <f>VIII_Baza_BDWMS!T10</f>
        <v/>
      </c>
      <c r="U807" s="632">
        <f>VIII_Baza_BDWMS!U10</f>
        <v/>
      </c>
      <c r="V807" s="632">
        <f>VIII_Baza_BDWMS!V10</f>
        <v/>
      </c>
      <c r="W807" s="632">
        <f>VIII_Baza_BDWMS!W10</f>
        <v/>
      </c>
      <c r="X807" s="632">
        <f>VIII_Baza_BDWMS!X10</f>
        <v/>
      </c>
      <c r="Y807" s="654">
        <f>VIII_Baza_BDWMS!Y10</f>
        <v/>
      </c>
      <c r="Z807" s="654">
        <f>VIII_Baza_BDWMS!Z10</f>
        <v/>
      </c>
      <c r="AA807" s="654">
        <f>VIII_Baza_BDWMS!AA10</f>
        <v/>
      </c>
      <c r="AB807" s="654">
        <f>VIII_Baza_BDWMS!AB10</f>
        <v/>
      </c>
      <c r="AC807" s="617">
        <f>VIII_Baza_BDWMS!AC10</f>
        <v/>
      </c>
      <c r="AD807" s="617">
        <f>VIII_Baza_BDWMS!AD10</f>
        <v/>
      </c>
      <c r="AE807" s="617">
        <f>VIII_Baza_BDWMS!AE10</f>
        <v/>
      </c>
      <c r="AF807" s="617">
        <f>VIII_Baza_BDWMS!AF10</f>
        <v/>
      </c>
      <c r="AG807" s="259">
        <f>VIII_Baza_BDWMS!AG10</f>
        <v/>
      </c>
      <c r="AH807" s="259">
        <f>VIII_Baza_BDWMS!AH10</f>
        <v/>
      </c>
      <c r="AI807" s="259">
        <f>VIII_Baza_BDWMS!AI10</f>
        <v/>
      </c>
      <c r="AJ807" s="259">
        <f>VIII_Baza_BDWMS!AJ10</f>
        <v/>
      </c>
      <c r="AK807" s="259">
        <f>VIII_Baza_BDWMS!AK10</f>
        <v/>
      </c>
      <c r="AL807" s="259">
        <f>VIII_Baza_BDWMS!AL10</f>
        <v/>
      </c>
      <c r="AM807" s="259">
        <f>VIII_Baza_BDWMS!AM10</f>
        <v/>
      </c>
      <c r="AN807" s="259">
        <f>VIII_Baza_BDWMS!AN10</f>
        <v/>
      </c>
      <c r="AO807" s="259">
        <f>VIII_Baza_BDWMS!AO10</f>
        <v/>
      </c>
      <c r="AP807" s="647">
        <f>VIII_Baza_BDWMS!AP10</f>
        <v/>
      </c>
      <c r="AQ807" s="647">
        <f>VIII_Baza_BDWMS!AQ10</f>
        <v/>
      </c>
      <c r="AR807" s="647">
        <f>VIII_Baza_BDWMS!AR10</f>
        <v/>
      </c>
      <c r="AS807" s="647">
        <f>VIII_Baza_BDWMS!AS10</f>
        <v/>
      </c>
      <c r="AT807" s="623">
        <f>VIII_Baza_BDWMS!AT10</f>
        <v/>
      </c>
      <c r="AU807" s="623">
        <f>VIII_Baza_BDWMS!AU10</f>
        <v/>
      </c>
      <c r="AV807" s="623">
        <f>VIII_Baza_BDWMS!AV10</f>
        <v/>
      </c>
      <c r="AW807" s="623">
        <f>VIII_Baza_BDWMS!AW10</f>
        <v/>
      </c>
      <c r="AX807" s="275">
        <f>VIII_Baza_BDWMS!AX10</f>
        <v/>
      </c>
      <c r="AY807" s="275">
        <f>VIII_Baza_BDWMS!AY10</f>
        <v/>
      </c>
      <c r="AZ807" s="275">
        <f>VIII_Baza_BDWMS!AZ10</f>
        <v/>
      </c>
      <c r="BA807" s="275">
        <f>VIII_Baza_BDWMS!BA10</f>
        <v/>
      </c>
      <c r="BB807" s="275">
        <f>VIII_Baza_BDWMS!BB10</f>
        <v/>
      </c>
      <c r="BC807" s="275">
        <f>VIII_Baza_BDWMS!BC10</f>
        <v/>
      </c>
      <c r="BD807" s="275">
        <f>VIII_Baza_BDWMS!BD10</f>
        <v/>
      </c>
      <c r="BE807" s="275">
        <f>VIII_Baza_BDWMS!BE10</f>
        <v/>
      </c>
      <c r="BF807" s="275">
        <f>VIII_Baza_BDWMS!BF10</f>
        <v/>
      </c>
      <c r="BG807" s="275">
        <f>VIII_Baza_BDWMS!BG10</f>
        <v/>
      </c>
      <c r="BH807" s="275">
        <f>VIII_Baza_BDWMS!BH10</f>
        <v/>
      </c>
      <c r="BI807" s="275">
        <f>VIII_Baza_BDWMS!BI10</f>
        <v/>
      </c>
      <c r="BJ807">
        <f>O807</f>
        <v/>
      </c>
      <c r="BK807">
        <f>SUM(AG807:AW807)</f>
        <v/>
      </c>
      <c r="BL807" s="531">
        <f>BJ807-BK807</f>
        <v/>
      </c>
      <c r="BM807" s="201" t="n"/>
    </row>
    <row r="808" hidden="1" outlineLevel="1" s="191">
      <c r="A808" s="275">
        <f>VIII_Baza_BDWMS!A11</f>
        <v/>
      </c>
      <c r="B808" s="275">
        <f>VIII_Baza_BDWMS!B11</f>
        <v/>
      </c>
      <c r="C808" s="275">
        <f>VIII_Baza_BDWMS!C11</f>
        <v/>
      </c>
      <c r="D808" s="275">
        <f>VIII_Baza_BDWMS!D11</f>
        <v/>
      </c>
      <c r="E808" s="275">
        <f>VIII_Baza_BDWMS!E11</f>
        <v/>
      </c>
      <c r="F808" s="275">
        <f>VIII_Baza_BDWMS!F11</f>
        <v/>
      </c>
      <c r="G808" s="275">
        <f>VIII_Baza_BDWMS!G11</f>
        <v/>
      </c>
      <c r="H808" s="275">
        <f>VIII_Baza_BDWMS!H11</f>
        <v/>
      </c>
      <c r="I808" s="275">
        <f>VIII_Baza_BDWMS!I11</f>
        <v/>
      </c>
      <c r="J808" s="275">
        <f>VIII_Baza_BDWMS!J11</f>
        <v/>
      </c>
      <c r="K808" s="672">
        <f>VIII_Baza_BDWMS!K11</f>
        <v/>
      </c>
      <c r="L808" s="672">
        <f>VIII_Baza_BDWMS!L11</f>
        <v/>
      </c>
      <c r="M808" s="275">
        <f>VIII_Baza_BDWMS!M11</f>
        <v/>
      </c>
      <c r="N808" s="275">
        <f>VIII_Baza_BDWMS!N11</f>
        <v/>
      </c>
      <c r="O808" s="275">
        <f>VIII_Baza_BDWMS!O11</f>
        <v/>
      </c>
      <c r="P808" s="632">
        <f>VIII_Baza_BDWMS!P11</f>
        <v/>
      </c>
      <c r="Q808" s="632">
        <f>VIII_Baza_BDWMS!Q11</f>
        <v/>
      </c>
      <c r="R808" s="632">
        <f>VIII_Baza_BDWMS!R11</f>
        <v/>
      </c>
      <c r="S808" s="632">
        <f>VIII_Baza_BDWMS!S11</f>
        <v/>
      </c>
      <c r="T808" s="632">
        <f>VIII_Baza_BDWMS!T11</f>
        <v/>
      </c>
      <c r="U808" s="632">
        <f>VIII_Baza_BDWMS!U11</f>
        <v/>
      </c>
      <c r="V808" s="632">
        <f>VIII_Baza_BDWMS!V11</f>
        <v/>
      </c>
      <c r="W808" s="632">
        <f>VIII_Baza_BDWMS!W11</f>
        <v/>
      </c>
      <c r="X808" s="632">
        <f>VIII_Baza_BDWMS!X11</f>
        <v/>
      </c>
      <c r="Y808" s="654">
        <f>VIII_Baza_BDWMS!Y11</f>
        <v/>
      </c>
      <c r="Z808" s="654">
        <f>VIII_Baza_BDWMS!Z11</f>
        <v/>
      </c>
      <c r="AA808" s="654">
        <f>VIII_Baza_BDWMS!AA11</f>
        <v/>
      </c>
      <c r="AB808" s="654">
        <f>VIII_Baza_BDWMS!AB11</f>
        <v/>
      </c>
      <c r="AC808" s="617">
        <f>VIII_Baza_BDWMS!AC11</f>
        <v/>
      </c>
      <c r="AD808" s="617">
        <f>VIII_Baza_BDWMS!AD11</f>
        <v/>
      </c>
      <c r="AE808" s="617">
        <f>VIII_Baza_BDWMS!AE11</f>
        <v/>
      </c>
      <c r="AF808" s="617">
        <f>VIII_Baza_BDWMS!AF11</f>
        <v/>
      </c>
      <c r="AG808" s="259">
        <f>VIII_Baza_BDWMS!AG11</f>
        <v/>
      </c>
      <c r="AH808" s="259">
        <f>VIII_Baza_BDWMS!AH11</f>
        <v/>
      </c>
      <c r="AI808" s="259">
        <f>VIII_Baza_BDWMS!AI11</f>
        <v/>
      </c>
      <c r="AJ808" s="259">
        <f>VIII_Baza_BDWMS!AJ11</f>
        <v/>
      </c>
      <c r="AK808" s="259">
        <f>VIII_Baza_BDWMS!AK11</f>
        <v/>
      </c>
      <c r="AL808" s="259">
        <f>VIII_Baza_BDWMS!AL11</f>
        <v/>
      </c>
      <c r="AM808" s="259">
        <f>VIII_Baza_BDWMS!AM11</f>
        <v/>
      </c>
      <c r="AN808" s="259">
        <f>VIII_Baza_BDWMS!AN11</f>
        <v/>
      </c>
      <c r="AO808" s="259">
        <f>VIII_Baza_BDWMS!AO11</f>
        <v/>
      </c>
      <c r="AP808" s="647">
        <f>VIII_Baza_BDWMS!AP11</f>
        <v/>
      </c>
      <c r="AQ808" s="647">
        <f>VIII_Baza_BDWMS!AQ11</f>
        <v/>
      </c>
      <c r="AR808" s="647">
        <f>VIII_Baza_BDWMS!AR11</f>
        <v/>
      </c>
      <c r="AS808" s="647">
        <f>VIII_Baza_BDWMS!AS11</f>
        <v/>
      </c>
      <c r="AT808" s="623">
        <f>VIII_Baza_BDWMS!AT11</f>
        <v/>
      </c>
      <c r="AU808" s="623">
        <f>VIII_Baza_BDWMS!AU11</f>
        <v/>
      </c>
      <c r="AV808" s="623">
        <f>VIII_Baza_BDWMS!AV11</f>
        <v/>
      </c>
      <c r="AW808" s="623">
        <f>VIII_Baza_BDWMS!AW11</f>
        <v/>
      </c>
      <c r="AX808" s="275">
        <f>VIII_Baza_BDWMS!AX11</f>
        <v/>
      </c>
      <c r="AY808" s="275">
        <f>VIII_Baza_BDWMS!AY11</f>
        <v/>
      </c>
      <c r="AZ808" s="275">
        <f>VIII_Baza_BDWMS!AZ11</f>
        <v/>
      </c>
      <c r="BA808" s="275">
        <f>VIII_Baza_BDWMS!BA11</f>
        <v/>
      </c>
      <c r="BB808" s="275">
        <f>VIII_Baza_BDWMS!BB11</f>
        <v/>
      </c>
      <c r="BC808" s="275">
        <f>VIII_Baza_BDWMS!BC11</f>
        <v/>
      </c>
      <c r="BD808" s="275">
        <f>VIII_Baza_BDWMS!BD11</f>
        <v/>
      </c>
      <c r="BE808" s="275">
        <f>VIII_Baza_BDWMS!BE11</f>
        <v/>
      </c>
      <c r="BF808" s="275">
        <f>VIII_Baza_BDWMS!BF11</f>
        <v/>
      </c>
      <c r="BG808" s="275">
        <f>VIII_Baza_BDWMS!BG11</f>
        <v/>
      </c>
      <c r="BH808" s="275">
        <f>VIII_Baza_BDWMS!BH11</f>
        <v/>
      </c>
      <c r="BI808" s="275">
        <f>VIII_Baza_BDWMS!BI11</f>
        <v/>
      </c>
      <c r="BJ808">
        <f>O808</f>
        <v/>
      </c>
      <c r="BK808">
        <f>SUM(AG808:AW808)</f>
        <v/>
      </c>
      <c r="BL808" s="531">
        <f>BJ808-BK808</f>
        <v/>
      </c>
      <c r="BM808" s="201" t="n"/>
    </row>
    <row r="809" hidden="1" outlineLevel="1" s="191">
      <c r="A809" s="275">
        <f>VIII_Baza_BDWMS!A12</f>
        <v/>
      </c>
      <c r="B809" s="275">
        <f>VIII_Baza_BDWMS!B12</f>
        <v/>
      </c>
      <c r="C809" s="275">
        <f>VIII_Baza_BDWMS!C12</f>
        <v/>
      </c>
      <c r="D809" s="275">
        <f>VIII_Baza_BDWMS!D12</f>
        <v/>
      </c>
      <c r="E809" s="275">
        <f>VIII_Baza_BDWMS!E12</f>
        <v/>
      </c>
      <c r="F809" s="275">
        <f>VIII_Baza_BDWMS!F12</f>
        <v/>
      </c>
      <c r="G809" s="275">
        <f>VIII_Baza_BDWMS!G12</f>
        <v/>
      </c>
      <c r="H809" s="275">
        <f>VIII_Baza_BDWMS!H12</f>
        <v/>
      </c>
      <c r="I809" s="275">
        <f>VIII_Baza_BDWMS!I12</f>
        <v/>
      </c>
      <c r="J809" s="275">
        <f>VIII_Baza_BDWMS!J12</f>
        <v/>
      </c>
      <c r="K809" s="672">
        <f>VIII_Baza_BDWMS!K12</f>
        <v/>
      </c>
      <c r="L809" s="672">
        <f>VIII_Baza_BDWMS!L12</f>
        <v/>
      </c>
      <c r="M809" s="275">
        <f>VIII_Baza_BDWMS!M12</f>
        <v/>
      </c>
      <c r="N809" s="275">
        <f>VIII_Baza_BDWMS!N12</f>
        <v/>
      </c>
      <c r="O809" s="275">
        <f>VIII_Baza_BDWMS!O12</f>
        <v/>
      </c>
      <c r="P809" s="632">
        <f>VIII_Baza_BDWMS!P12</f>
        <v/>
      </c>
      <c r="Q809" s="632">
        <f>VIII_Baza_BDWMS!Q12</f>
        <v/>
      </c>
      <c r="R809" s="632">
        <f>VIII_Baza_BDWMS!R12</f>
        <v/>
      </c>
      <c r="S809" s="632">
        <f>VIII_Baza_BDWMS!S12</f>
        <v/>
      </c>
      <c r="T809" s="632">
        <f>VIII_Baza_BDWMS!T12</f>
        <v/>
      </c>
      <c r="U809" s="632">
        <f>VIII_Baza_BDWMS!U12</f>
        <v/>
      </c>
      <c r="V809" s="632">
        <f>VIII_Baza_BDWMS!V12</f>
        <v/>
      </c>
      <c r="W809" s="632">
        <f>VIII_Baza_BDWMS!W12</f>
        <v/>
      </c>
      <c r="X809" s="632">
        <f>VIII_Baza_BDWMS!X12</f>
        <v/>
      </c>
      <c r="Y809" s="654">
        <f>VIII_Baza_BDWMS!Y12</f>
        <v/>
      </c>
      <c r="Z809" s="654">
        <f>VIII_Baza_BDWMS!Z12</f>
        <v/>
      </c>
      <c r="AA809" s="654">
        <f>VIII_Baza_BDWMS!AA12</f>
        <v/>
      </c>
      <c r="AB809" s="654">
        <f>VIII_Baza_BDWMS!AB12</f>
        <v/>
      </c>
      <c r="AC809" s="617">
        <f>VIII_Baza_BDWMS!AC12</f>
        <v/>
      </c>
      <c r="AD809" s="617">
        <f>VIII_Baza_BDWMS!AD12</f>
        <v/>
      </c>
      <c r="AE809" s="617">
        <f>VIII_Baza_BDWMS!AE12</f>
        <v/>
      </c>
      <c r="AF809" s="617">
        <f>VIII_Baza_BDWMS!AF12</f>
        <v/>
      </c>
      <c r="AG809" s="259">
        <f>VIII_Baza_BDWMS!AG12</f>
        <v/>
      </c>
      <c r="AH809" s="259">
        <f>VIII_Baza_BDWMS!AH12</f>
        <v/>
      </c>
      <c r="AI809" s="259">
        <f>VIII_Baza_BDWMS!AI12</f>
        <v/>
      </c>
      <c r="AJ809" s="259">
        <f>VIII_Baza_BDWMS!AJ12</f>
        <v/>
      </c>
      <c r="AK809" s="259">
        <f>VIII_Baza_BDWMS!AK12</f>
        <v/>
      </c>
      <c r="AL809" s="259">
        <f>VIII_Baza_BDWMS!AL12</f>
        <v/>
      </c>
      <c r="AM809" s="259">
        <f>VIII_Baza_BDWMS!AM12</f>
        <v/>
      </c>
      <c r="AN809" s="259">
        <f>VIII_Baza_BDWMS!AN12</f>
        <v/>
      </c>
      <c r="AO809" s="259">
        <f>VIII_Baza_BDWMS!AO12</f>
        <v/>
      </c>
      <c r="AP809" s="647">
        <f>VIII_Baza_BDWMS!AP12</f>
        <v/>
      </c>
      <c r="AQ809" s="647">
        <f>VIII_Baza_BDWMS!AQ12</f>
        <v/>
      </c>
      <c r="AR809" s="647">
        <f>VIII_Baza_BDWMS!AR12</f>
        <v/>
      </c>
      <c r="AS809" s="647">
        <f>VIII_Baza_BDWMS!AS12</f>
        <v/>
      </c>
      <c r="AT809" s="623">
        <f>VIII_Baza_BDWMS!AT12</f>
        <v/>
      </c>
      <c r="AU809" s="623">
        <f>VIII_Baza_BDWMS!AU12</f>
        <v/>
      </c>
      <c r="AV809" s="623">
        <f>VIII_Baza_BDWMS!AV12</f>
        <v/>
      </c>
      <c r="AW809" s="623">
        <f>VIII_Baza_BDWMS!AW12</f>
        <v/>
      </c>
      <c r="AX809" s="275">
        <f>VIII_Baza_BDWMS!AX12</f>
        <v/>
      </c>
      <c r="AY809" s="275">
        <f>VIII_Baza_BDWMS!AY12</f>
        <v/>
      </c>
      <c r="AZ809" s="275">
        <f>VIII_Baza_BDWMS!AZ12</f>
        <v/>
      </c>
      <c r="BA809" s="275">
        <f>VIII_Baza_BDWMS!BA12</f>
        <v/>
      </c>
      <c r="BB809" s="275">
        <f>VIII_Baza_BDWMS!BB12</f>
        <v/>
      </c>
      <c r="BC809" s="275">
        <f>VIII_Baza_BDWMS!BC12</f>
        <v/>
      </c>
      <c r="BD809" s="275">
        <f>VIII_Baza_BDWMS!BD12</f>
        <v/>
      </c>
      <c r="BE809" s="275">
        <f>VIII_Baza_BDWMS!BE12</f>
        <v/>
      </c>
      <c r="BF809" s="275">
        <f>VIII_Baza_BDWMS!BF12</f>
        <v/>
      </c>
      <c r="BG809" s="275">
        <f>VIII_Baza_BDWMS!BG12</f>
        <v/>
      </c>
      <c r="BH809" s="275">
        <f>VIII_Baza_BDWMS!BH12</f>
        <v/>
      </c>
      <c r="BI809" s="275">
        <f>VIII_Baza_BDWMS!BI12</f>
        <v/>
      </c>
      <c r="BJ809">
        <f>O809</f>
        <v/>
      </c>
      <c r="BK809">
        <f>SUM(AG809:AW809)</f>
        <v/>
      </c>
      <c r="BL809" s="531">
        <f>BJ809-BK809</f>
        <v/>
      </c>
      <c r="BM809" s="201" t="n"/>
    </row>
    <row r="810" hidden="1" outlineLevel="1" s="191">
      <c r="A810" s="275">
        <f>VIII_Baza_BDWMS!A13</f>
        <v/>
      </c>
      <c r="B810" s="275">
        <f>VIII_Baza_BDWMS!B13</f>
        <v/>
      </c>
      <c r="C810" s="275">
        <f>VIII_Baza_BDWMS!C13</f>
        <v/>
      </c>
      <c r="D810" s="275">
        <f>VIII_Baza_BDWMS!D13</f>
        <v/>
      </c>
      <c r="E810" s="275">
        <f>VIII_Baza_BDWMS!E13</f>
        <v/>
      </c>
      <c r="F810" s="275">
        <f>VIII_Baza_BDWMS!F13</f>
        <v/>
      </c>
      <c r="G810" s="275">
        <f>VIII_Baza_BDWMS!G13</f>
        <v/>
      </c>
      <c r="H810" s="275">
        <f>VIII_Baza_BDWMS!H13</f>
        <v/>
      </c>
      <c r="I810" s="275">
        <f>VIII_Baza_BDWMS!I13</f>
        <v/>
      </c>
      <c r="J810" s="275">
        <f>VIII_Baza_BDWMS!J13</f>
        <v/>
      </c>
      <c r="K810" s="672">
        <f>VIII_Baza_BDWMS!K13</f>
        <v/>
      </c>
      <c r="L810" s="672">
        <f>VIII_Baza_BDWMS!L13</f>
        <v/>
      </c>
      <c r="M810" s="275">
        <f>VIII_Baza_BDWMS!M13</f>
        <v/>
      </c>
      <c r="N810" s="275">
        <f>VIII_Baza_BDWMS!N13</f>
        <v/>
      </c>
      <c r="O810" s="275">
        <f>VIII_Baza_BDWMS!O13</f>
        <v/>
      </c>
      <c r="P810" s="632">
        <f>VIII_Baza_BDWMS!P13</f>
        <v/>
      </c>
      <c r="Q810" s="632">
        <f>VIII_Baza_BDWMS!Q13</f>
        <v/>
      </c>
      <c r="R810" s="632">
        <f>VIII_Baza_BDWMS!R13</f>
        <v/>
      </c>
      <c r="S810" s="632">
        <f>VIII_Baza_BDWMS!S13</f>
        <v/>
      </c>
      <c r="T810" s="632">
        <f>VIII_Baza_BDWMS!T13</f>
        <v/>
      </c>
      <c r="U810" s="632">
        <f>VIII_Baza_BDWMS!U13</f>
        <v/>
      </c>
      <c r="V810" s="632">
        <f>VIII_Baza_BDWMS!V13</f>
        <v/>
      </c>
      <c r="W810" s="632">
        <f>VIII_Baza_BDWMS!W13</f>
        <v/>
      </c>
      <c r="X810" s="632">
        <f>VIII_Baza_BDWMS!X13</f>
        <v/>
      </c>
      <c r="Y810" s="654">
        <f>VIII_Baza_BDWMS!Y13</f>
        <v/>
      </c>
      <c r="Z810" s="654">
        <f>VIII_Baza_BDWMS!Z13</f>
        <v/>
      </c>
      <c r="AA810" s="654">
        <f>VIII_Baza_BDWMS!AA13</f>
        <v/>
      </c>
      <c r="AB810" s="654">
        <f>VIII_Baza_BDWMS!AB13</f>
        <v/>
      </c>
      <c r="AC810" s="617">
        <f>VIII_Baza_BDWMS!AC13</f>
        <v/>
      </c>
      <c r="AD810" s="617">
        <f>VIII_Baza_BDWMS!AD13</f>
        <v/>
      </c>
      <c r="AE810" s="617">
        <f>VIII_Baza_BDWMS!AE13</f>
        <v/>
      </c>
      <c r="AF810" s="617">
        <f>VIII_Baza_BDWMS!AF13</f>
        <v/>
      </c>
      <c r="AG810" s="259">
        <f>VIII_Baza_BDWMS!AG13</f>
        <v/>
      </c>
      <c r="AH810" s="259">
        <f>VIII_Baza_BDWMS!AH13</f>
        <v/>
      </c>
      <c r="AI810" s="259">
        <f>VIII_Baza_BDWMS!AI13</f>
        <v/>
      </c>
      <c r="AJ810" s="259">
        <f>VIII_Baza_BDWMS!AJ13</f>
        <v/>
      </c>
      <c r="AK810" s="259">
        <f>VIII_Baza_BDWMS!AK13</f>
        <v/>
      </c>
      <c r="AL810" s="259">
        <f>VIII_Baza_BDWMS!AL13</f>
        <v/>
      </c>
      <c r="AM810" s="259">
        <f>VIII_Baza_BDWMS!AM13</f>
        <v/>
      </c>
      <c r="AN810" s="259">
        <f>VIII_Baza_BDWMS!AN13</f>
        <v/>
      </c>
      <c r="AO810" s="259">
        <f>VIII_Baza_BDWMS!AO13</f>
        <v/>
      </c>
      <c r="AP810" s="647">
        <f>VIII_Baza_BDWMS!AP13</f>
        <v/>
      </c>
      <c r="AQ810" s="647">
        <f>VIII_Baza_BDWMS!AQ13</f>
        <v/>
      </c>
      <c r="AR810" s="647">
        <f>VIII_Baza_BDWMS!AR13</f>
        <v/>
      </c>
      <c r="AS810" s="647">
        <f>VIII_Baza_BDWMS!AS13</f>
        <v/>
      </c>
      <c r="AT810" s="623">
        <f>VIII_Baza_BDWMS!AT13</f>
        <v/>
      </c>
      <c r="AU810" s="623">
        <f>VIII_Baza_BDWMS!AU13</f>
        <v/>
      </c>
      <c r="AV810" s="623">
        <f>VIII_Baza_BDWMS!AV13</f>
        <v/>
      </c>
      <c r="AW810" s="623">
        <f>VIII_Baza_BDWMS!AW13</f>
        <v/>
      </c>
      <c r="AX810" s="275">
        <f>VIII_Baza_BDWMS!AX13</f>
        <v/>
      </c>
      <c r="AY810" s="275">
        <f>VIII_Baza_BDWMS!AY13</f>
        <v/>
      </c>
      <c r="AZ810" s="275">
        <f>VIII_Baza_BDWMS!AZ13</f>
        <v/>
      </c>
      <c r="BA810" s="275">
        <f>VIII_Baza_BDWMS!BA13</f>
        <v/>
      </c>
      <c r="BB810" s="275">
        <f>VIII_Baza_BDWMS!BB13</f>
        <v/>
      </c>
      <c r="BC810" s="275">
        <f>VIII_Baza_BDWMS!BC13</f>
        <v/>
      </c>
      <c r="BD810" s="275">
        <f>VIII_Baza_BDWMS!BD13</f>
        <v/>
      </c>
      <c r="BE810" s="275">
        <f>VIII_Baza_BDWMS!BE13</f>
        <v/>
      </c>
      <c r="BF810" s="275">
        <f>VIII_Baza_BDWMS!BF13</f>
        <v/>
      </c>
      <c r="BG810" s="275">
        <f>VIII_Baza_BDWMS!BG13</f>
        <v/>
      </c>
      <c r="BH810" s="275">
        <f>VIII_Baza_BDWMS!BH13</f>
        <v/>
      </c>
      <c r="BI810" s="275">
        <f>VIII_Baza_BDWMS!BI13</f>
        <v/>
      </c>
      <c r="BJ810">
        <f>O810</f>
        <v/>
      </c>
      <c r="BK810">
        <f>SUM(AG810:AW810)</f>
        <v/>
      </c>
      <c r="BL810" s="531">
        <f>BJ810-BK810</f>
        <v/>
      </c>
      <c r="BM810" s="201" t="n"/>
    </row>
    <row r="811" hidden="1" outlineLevel="1" s="191">
      <c r="A811" s="275">
        <f>VIII_Baza_BDWMS!A14</f>
        <v/>
      </c>
      <c r="B811" s="275">
        <f>VIII_Baza_BDWMS!B14</f>
        <v/>
      </c>
      <c r="C811" s="275">
        <f>VIII_Baza_BDWMS!C14</f>
        <v/>
      </c>
      <c r="D811" s="275">
        <f>VIII_Baza_BDWMS!D14</f>
        <v/>
      </c>
      <c r="E811" s="275">
        <f>VIII_Baza_BDWMS!E14</f>
        <v/>
      </c>
      <c r="F811" s="275">
        <f>VIII_Baza_BDWMS!F14</f>
        <v/>
      </c>
      <c r="G811" s="275">
        <f>VIII_Baza_BDWMS!G14</f>
        <v/>
      </c>
      <c r="H811" s="275">
        <f>VIII_Baza_BDWMS!H14</f>
        <v/>
      </c>
      <c r="I811" s="275">
        <f>VIII_Baza_BDWMS!I14</f>
        <v/>
      </c>
      <c r="J811" s="275">
        <f>VIII_Baza_BDWMS!J14</f>
        <v/>
      </c>
      <c r="K811" s="672">
        <f>VIII_Baza_BDWMS!K14</f>
        <v/>
      </c>
      <c r="L811" s="672">
        <f>VIII_Baza_BDWMS!L14</f>
        <v/>
      </c>
      <c r="M811" s="275">
        <f>VIII_Baza_BDWMS!M14</f>
        <v/>
      </c>
      <c r="N811" s="275">
        <f>VIII_Baza_BDWMS!N14</f>
        <v/>
      </c>
      <c r="O811" s="275">
        <f>VIII_Baza_BDWMS!O14</f>
        <v/>
      </c>
      <c r="P811" s="632">
        <f>VIII_Baza_BDWMS!P14</f>
        <v/>
      </c>
      <c r="Q811" s="632">
        <f>VIII_Baza_BDWMS!Q14</f>
        <v/>
      </c>
      <c r="R811" s="632">
        <f>VIII_Baza_BDWMS!R14</f>
        <v/>
      </c>
      <c r="S811" s="632">
        <f>VIII_Baza_BDWMS!S14</f>
        <v/>
      </c>
      <c r="T811" s="632">
        <f>VIII_Baza_BDWMS!T14</f>
        <v/>
      </c>
      <c r="U811" s="632">
        <f>VIII_Baza_BDWMS!U14</f>
        <v/>
      </c>
      <c r="V811" s="632">
        <f>VIII_Baza_BDWMS!V14</f>
        <v/>
      </c>
      <c r="W811" s="632">
        <f>VIII_Baza_BDWMS!W14</f>
        <v/>
      </c>
      <c r="X811" s="632">
        <f>VIII_Baza_BDWMS!X14</f>
        <v/>
      </c>
      <c r="Y811" s="654">
        <f>VIII_Baza_BDWMS!Y14</f>
        <v/>
      </c>
      <c r="Z811" s="654">
        <f>VIII_Baza_BDWMS!Z14</f>
        <v/>
      </c>
      <c r="AA811" s="654">
        <f>VIII_Baza_BDWMS!AA14</f>
        <v/>
      </c>
      <c r="AB811" s="654">
        <f>VIII_Baza_BDWMS!AB14</f>
        <v/>
      </c>
      <c r="AC811" s="617">
        <f>VIII_Baza_BDWMS!AC14</f>
        <v/>
      </c>
      <c r="AD811" s="617">
        <f>VIII_Baza_BDWMS!AD14</f>
        <v/>
      </c>
      <c r="AE811" s="617">
        <f>VIII_Baza_BDWMS!AE14</f>
        <v/>
      </c>
      <c r="AF811" s="617">
        <f>VIII_Baza_BDWMS!AF14</f>
        <v/>
      </c>
      <c r="AG811" s="259">
        <f>VIII_Baza_BDWMS!AG14</f>
        <v/>
      </c>
      <c r="AH811" s="259">
        <f>VIII_Baza_BDWMS!AH14</f>
        <v/>
      </c>
      <c r="AI811" s="259">
        <f>VIII_Baza_BDWMS!AI14</f>
        <v/>
      </c>
      <c r="AJ811" s="259">
        <f>VIII_Baza_BDWMS!AJ14</f>
        <v/>
      </c>
      <c r="AK811" s="259">
        <f>VIII_Baza_BDWMS!AK14</f>
        <v/>
      </c>
      <c r="AL811" s="259">
        <f>VIII_Baza_BDWMS!AL14</f>
        <v/>
      </c>
      <c r="AM811" s="259">
        <f>VIII_Baza_BDWMS!AM14</f>
        <v/>
      </c>
      <c r="AN811" s="259">
        <f>VIII_Baza_BDWMS!AN14</f>
        <v/>
      </c>
      <c r="AO811" s="259">
        <f>VIII_Baza_BDWMS!AO14</f>
        <v/>
      </c>
      <c r="AP811" s="647">
        <f>VIII_Baza_BDWMS!AP14</f>
        <v/>
      </c>
      <c r="AQ811" s="647">
        <f>VIII_Baza_BDWMS!AQ14</f>
        <v/>
      </c>
      <c r="AR811" s="647">
        <f>VIII_Baza_BDWMS!AR14</f>
        <v/>
      </c>
      <c r="AS811" s="647">
        <f>VIII_Baza_BDWMS!AS14</f>
        <v/>
      </c>
      <c r="AT811" s="623">
        <f>VIII_Baza_BDWMS!AT14</f>
        <v/>
      </c>
      <c r="AU811" s="623">
        <f>VIII_Baza_BDWMS!AU14</f>
        <v/>
      </c>
      <c r="AV811" s="623">
        <f>VIII_Baza_BDWMS!AV14</f>
        <v/>
      </c>
      <c r="AW811" s="623">
        <f>VIII_Baza_BDWMS!AW14</f>
        <v/>
      </c>
      <c r="AX811" s="275">
        <f>VIII_Baza_BDWMS!AX14</f>
        <v/>
      </c>
      <c r="AY811" s="275">
        <f>VIII_Baza_BDWMS!AY14</f>
        <v/>
      </c>
      <c r="AZ811" s="275">
        <f>VIII_Baza_BDWMS!AZ14</f>
        <v/>
      </c>
      <c r="BA811" s="275">
        <f>VIII_Baza_BDWMS!BA14</f>
        <v/>
      </c>
      <c r="BB811" s="275">
        <f>VIII_Baza_BDWMS!BB14</f>
        <v/>
      </c>
      <c r="BC811" s="275">
        <f>VIII_Baza_BDWMS!BC14</f>
        <v/>
      </c>
      <c r="BD811" s="275">
        <f>VIII_Baza_BDWMS!BD14</f>
        <v/>
      </c>
      <c r="BE811" s="275">
        <f>VIII_Baza_BDWMS!BE14</f>
        <v/>
      </c>
      <c r="BF811" s="275">
        <f>VIII_Baza_BDWMS!BF14</f>
        <v/>
      </c>
      <c r="BG811" s="275">
        <f>VIII_Baza_BDWMS!BG14</f>
        <v/>
      </c>
      <c r="BH811" s="275">
        <f>VIII_Baza_BDWMS!BH14</f>
        <v/>
      </c>
      <c r="BI811" s="275">
        <f>VIII_Baza_BDWMS!BI14</f>
        <v/>
      </c>
      <c r="BJ811">
        <f>O811</f>
        <v/>
      </c>
      <c r="BK811">
        <f>SUM(AG811:AW811)</f>
        <v/>
      </c>
      <c r="BL811" s="531">
        <f>BJ811-BK811</f>
        <v/>
      </c>
      <c r="BM811" s="201" t="n"/>
    </row>
    <row r="812" hidden="1" outlineLevel="1" s="191">
      <c r="A812" s="275">
        <f>VIII_Baza_BDWMS!A15</f>
        <v/>
      </c>
      <c r="B812" s="275">
        <f>VIII_Baza_BDWMS!B15</f>
        <v/>
      </c>
      <c r="C812" s="275">
        <f>VIII_Baza_BDWMS!C15</f>
        <v/>
      </c>
      <c r="D812" s="275">
        <f>VIII_Baza_BDWMS!D15</f>
        <v/>
      </c>
      <c r="E812" s="275">
        <f>VIII_Baza_BDWMS!E15</f>
        <v/>
      </c>
      <c r="F812" s="275">
        <f>VIII_Baza_BDWMS!F15</f>
        <v/>
      </c>
      <c r="G812" s="275">
        <f>VIII_Baza_BDWMS!G15</f>
        <v/>
      </c>
      <c r="H812" s="275">
        <f>VIII_Baza_BDWMS!H15</f>
        <v/>
      </c>
      <c r="I812" s="275">
        <f>VIII_Baza_BDWMS!I15</f>
        <v/>
      </c>
      <c r="J812" s="275">
        <f>VIII_Baza_BDWMS!J15</f>
        <v/>
      </c>
      <c r="K812" s="672">
        <f>VIII_Baza_BDWMS!K15</f>
        <v/>
      </c>
      <c r="L812" s="672">
        <f>VIII_Baza_BDWMS!L15</f>
        <v/>
      </c>
      <c r="M812" s="275">
        <f>VIII_Baza_BDWMS!M15</f>
        <v/>
      </c>
      <c r="N812" s="275">
        <f>VIII_Baza_BDWMS!N15</f>
        <v/>
      </c>
      <c r="O812" s="275">
        <f>VIII_Baza_BDWMS!O15</f>
        <v/>
      </c>
      <c r="P812" s="632">
        <f>VIII_Baza_BDWMS!P15</f>
        <v/>
      </c>
      <c r="Q812" s="632">
        <f>VIII_Baza_BDWMS!Q15</f>
        <v/>
      </c>
      <c r="R812" s="632">
        <f>VIII_Baza_BDWMS!R15</f>
        <v/>
      </c>
      <c r="S812" s="632">
        <f>VIII_Baza_BDWMS!S15</f>
        <v/>
      </c>
      <c r="T812" s="632">
        <f>VIII_Baza_BDWMS!T15</f>
        <v/>
      </c>
      <c r="U812" s="632">
        <f>VIII_Baza_BDWMS!U15</f>
        <v/>
      </c>
      <c r="V812" s="632">
        <f>VIII_Baza_BDWMS!V15</f>
        <v/>
      </c>
      <c r="W812" s="632">
        <f>VIII_Baza_BDWMS!W15</f>
        <v/>
      </c>
      <c r="X812" s="632">
        <f>VIII_Baza_BDWMS!X15</f>
        <v/>
      </c>
      <c r="Y812" s="654">
        <f>VIII_Baza_BDWMS!Y15</f>
        <v/>
      </c>
      <c r="Z812" s="654">
        <f>VIII_Baza_BDWMS!Z15</f>
        <v/>
      </c>
      <c r="AA812" s="654">
        <f>VIII_Baza_BDWMS!AA15</f>
        <v/>
      </c>
      <c r="AB812" s="654">
        <f>VIII_Baza_BDWMS!AB15</f>
        <v/>
      </c>
      <c r="AC812" s="617">
        <f>VIII_Baza_BDWMS!AC15</f>
        <v/>
      </c>
      <c r="AD812" s="617">
        <f>VIII_Baza_BDWMS!AD15</f>
        <v/>
      </c>
      <c r="AE812" s="617">
        <f>VIII_Baza_BDWMS!AE15</f>
        <v/>
      </c>
      <c r="AF812" s="617">
        <f>VIII_Baza_BDWMS!AF15</f>
        <v/>
      </c>
      <c r="AG812" s="259">
        <f>VIII_Baza_BDWMS!AG15</f>
        <v/>
      </c>
      <c r="AH812" s="259">
        <f>VIII_Baza_BDWMS!AH15</f>
        <v/>
      </c>
      <c r="AI812" s="259">
        <f>VIII_Baza_BDWMS!AI15</f>
        <v/>
      </c>
      <c r="AJ812" s="259">
        <f>VIII_Baza_BDWMS!AJ15</f>
        <v/>
      </c>
      <c r="AK812" s="259">
        <f>VIII_Baza_BDWMS!AK15</f>
        <v/>
      </c>
      <c r="AL812" s="259">
        <f>VIII_Baza_BDWMS!AL15</f>
        <v/>
      </c>
      <c r="AM812" s="259">
        <f>VIII_Baza_BDWMS!AM15</f>
        <v/>
      </c>
      <c r="AN812" s="259">
        <f>VIII_Baza_BDWMS!AN15</f>
        <v/>
      </c>
      <c r="AO812" s="259">
        <f>VIII_Baza_BDWMS!AO15</f>
        <v/>
      </c>
      <c r="AP812" s="647">
        <f>VIII_Baza_BDWMS!AP15</f>
        <v/>
      </c>
      <c r="AQ812" s="647">
        <f>VIII_Baza_BDWMS!AQ15</f>
        <v/>
      </c>
      <c r="AR812" s="647">
        <f>VIII_Baza_BDWMS!AR15</f>
        <v/>
      </c>
      <c r="AS812" s="647">
        <f>VIII_Baza_BDWMS!AS15</f>
        <v/>
      </c>
      <c r="AT812" s="623">
        <f>VIII_Baza_BDWMS!AT15</f>
        <v/>
      </c>
      <c r="AU812" s="623">
        <f>VIII_Baza_BDWMS!AU15</f>
        <v/>
      </c>
      <c r="AV812" s="623">
        <f>VIII_Baza_BDWMS!AV15</f>
        <v/>
      </c>
      <c r="AW812" s="623">
        <f>VIII_Baza_BDWMS!AW15</f>
        <v/>
      </c>
      <c r="AX812" s="275">
        <f>VIII_Baza_BDWMS!AX15</f>
        <v/>
      </c>
      <c r="AY812" s="275">
        <f>VIII_Baza_BDWMS!AY15</f>
        <v/>
      </c>
      <c r="AZ812" s="275">
        <f>VIII_Baza_BDWMS!AZ15</f>
        <v/>
      </c>
      <c r="BA812" s="275">
        <f>VIII_Baza_BDWMS!BA15</f>
        <v/>
      </c>
      <c r="BB812" s="275">
        <f>VIII_Baza_BDWMS!BB15</f>
        <v/>
      </c>
      <c r="BC812" s="275">
        <f>VIII_Baza_BDWMS!BC15</f>
        <v/>
      </c>
      <c r="BD812" s="275">
        <f>VIII_Baza_BDWMS!BD15</f>
        <v/>
      </c>
      <c r="BE812" s="275">
        <f>VIII_Baza_BDWMS!BE15</f>
        <v/>
      </c>
      <c r="BF812" s="275">
        <f>VIII_Baza_BDWMS!BF15</f>
        <v/>
      </c>
      <c r="BG812" s="275">
        <f>VIII_Baza_BDWMS!BG15</f>
        <v/>
      </c>
      <c r="BH812" s="275">
        <f>VIII_Baza_BDWMS!BH15</f>
        <v/>
      </c>
      <c r="BI812" s="275">
        <f>VIII_Baza_BDWMS!BI15</f>
        <v/>
      </c>
      <c r="BJ812">
        <f>O812</f>
        <v/>
      </c>
      <c r="BK812">
        <f>SUM(AG812:AW812)</f>
        <v/>
      </c>
      <c r="BL812" s="531">
        <f>BJ812-BK812</f>
        <v/>
      </c>
      <c r="BM812" s="201" t="n"/>
    </row>
    <row r="813" hidden="1" outlineLevel="1" s="191">
      <c r="A813" s="275">
        <f>VIII_Baza_BDWMS!A16</f>
        <v/>
      </c>
      <c r="B813" s="275">
        <f>VIII_Baza_BDWMS!B16</f>
        <v/>
      </c>
      <c r="C813" s="275">
        <f>VIII_Baza_BDWMS!C16</f>
        <v/>
      </c>
      <c r="D813" s="275">
        <f>VIII_Baza_BDWMS!D16</f>
        <v/>
      </c>
      <c r="E813" s="275">
        <f>VIII_Baza_BDWMS!E16</f>
        <v/>
      </c>
      <c r="F813" s="275">
        <f>VIII_Baza_BDWMS!F16</f>
        <v/>
      </c>
      <c r="G813" s="275">
        <f>VIII_Baza_BDWMS!G16</f>
        <v/>
      </c>
      <c r="H813" s="275">
        <f>VIII_Baza_BDWMS!H16</f>
        <v/>
      </c>
      <c r="I813" s="275">
        <f>VIII_Baza_BDWMS!I16</f>
        <v/>
      </c>
      <c r="J813" s="275">
        <f>VIII_Baza_BDWMS!J16</f>
        <v/>
      </c>
      <c r="K813" s="672">
        <f>VIII_Baza_BDWMS!K16</f>
        <v/>
      </c>
      <c r="L813" s="672">
        <f>VIII_Baza_BDWMS!L16</f>
        <v/>
      </c>
      <c r="M813" s="275">
        <f>VIII_Baza_BDWMS!M16</f>
        <v/>
      </c>
      <c r="N813" s="275">
        <f>VIII_Baza_BDWMS!N16</f>
        <v/>
      </c>
      <c r="O813" s="275">
        <f>VIII_Baza_BDWMS!O16</f>
        <v/>
      </c>
      <c r="P813" s="632">
        <f>VIII_Baza_BDWMS!P16</f>
        <v/>
      </c>
      <c r="Q813" s="632">
        <f>VIII_Baza_BDWMS!Q16</f>
        <v/>
      </c>
      <c r="R813" s="632">
        <f>VIII_Baza_BDWMS!R16</f>
        <v/>
      </c>
      <c r="S813" s="632">
        <f>VIII_Baza_BDWMS!S16</f>
        <v/>
      </c>
      <c r="T813" s="632">
        <f>VIII_Baza_BDWMS!T16</f>
        <v/>
      </c>
      <c r="U813" s="632">
        <f>VIII_Baza_BDWMS!U16</f>
        <v/>
      </c>
      <c r="V813" s="632">
        <f>VIII_Baza_BDWMS!V16</f>
        <v/>
      </c>
      <c r="W813" s="632">
        <f>VIII_Baza_BDWMS!W16</f>
        <v/>
      </c>
      <c r="X813" s="632">
        <f>VIII_Baza_BDWMS!X16</f>
        <v/>
      </c>
      <c r="Y813" s="654">
        <f>VIII_Baza_BDWMS!Y16</f>
        <v/>
      </c>
      <c r="Z813" s="654">
        <f>VIII_Baza_BDWMS!Z16</f>
        <v/>
      </c>
      <c r="AA813" s="654">
        <f>VIII_Baza_BDWMS!AA16</f>
        <v/>
      </c>
      <c r="AB813" s="654">
        <f>VIII_Baza_BDWMS!AB16</f>
        <v/>
      </c>
      <c r="AC813" s="617">
        <f>VIII_Baza_BDWMS!AC16</f>
        <v/>
      </c>
      <c r="AD813" s="617">
        <f>VIII_Baza_BDWMS!AD16</f>
        <v/>
      </c>
      <c r="AE813" s="617">
        <f>VIII_Baza_BDWMS!AE16</f>
        <v/>
      </c>
      <c r="AF813" s="617">
        <f>VIII_Baza_BDWMS!AF16</f>
        <v/>
      </c>
      <c r="AG813" s="259">
        <f>VIII_Baza_BDWMS!AG16</f>
        <v/>
      </c>
      <c r="AH813" s="259">
        <f>VIII_Baza_BDWMS!AH16</f>
        <v/>
      </c>
      <c r="AI813" s="259">
        <f>VIII_Baza_BDWMS!AI16</f>
        <v/>
      </c>
      <c r="AJ813" s="259">
        <f>VIII_Baza_BDWMS!AJ16</f>
        <v/>
      </c>
      <c r="AK813" s="259">
        <f>VIII_Baza_BDWMS!AK16</f>
        <v/>
      </c>
      <c r="AL813" s="259">
        <f>VIII_Baza_BDWMS!AL16</f>
        <v/>
      </c>
      <c r="AM813" s="259">
        <f>VIII_Baza_BDWMS!AM16</f>
        <v/>
      </c>
      <c r="AN813" s="259">
        <f>VIII_Baza_BDWMS!AN16</f>
        <v/>
      </c>
      <c r="AO813" s="259">
        <f>VIII_Baza_BDWMS!AO16</f>
        <v/>
      </c>
      <c r="AP813" s="647">
        <f>VIII_Baza_BDWMS!AP16</f>
        <v/>
      </c>
      <c r="AQ813" s="647">
        <f>VIII_Baza_BDWMS!AQ16</f>
        <v/>
      </c>
      <c r="AR813" s="647">
        <f>VIII_Baza_BDWMS!AR16</f>
        <v/>
      </c>
      <c r="AS813" s="647">
        <f>VIII_Baza_BDWMS!AS16</f>
        <v/>
      </c>
      <c r="AT813" s="623">
        <f>VIII_Baza_BDWMS!AT16</f>
        <v/>
      </c>
      <c r="AU813" s="623">
        <f>VIII_Baza_BDWMS!AU16</f>
        <v/>
      </c>
      <c r="AV813" s="623">
        <f>VIII_Baza_BDWMS!AV16</f>
        <v/>
      </c>
      <c r="AW813" s="623">
        <f>VIII_Baza_BDWMS!AW16</f>
        <v/>
      </c>
      <c r="AX813" s="275">
        <f>VIII_Baza_BDWMS!AX16</f>
        <v/>
      </c>
      <c r="AY813" s="275">
        <f>VIII_Baza_BDWMS!AY16</f>
        <v/>
      </c>
      <c r="AZ813" s="275">
        <f>VIII_Baza_BDWMS!AZ16</f>
        <v/>
      </c>
      <c r="BA813" s="275">
        <f>VIII_Baza_BDWMS!BA16</f>
        <v/>
      </c>
      <c r="BB813" s="275">
        <f>VIII_Baza_BDWMS!BB16</f>
        <v/>
      </c>
      <c r="BC813" s="275">
        <f>VIII_Baza_BDWMS!BC16</f>
        <v/>
      </c>
      <c r="BD813" s="275">
        <f>VIII_Baza_BDWMS!BD16</f>
        <v/>
      </c>
      <c r="BE813" s="275">
        <f>VIII_Baza_BDWMS!BE16</f>
        <v/>
      </c>
      <c r="BF813" s="275">
        <f>VIII_Baza_BDWMS!BF16</f>
        <v/>
      </c>
      <c r="BG813" s="275">
        <f>VIII_Baza_BDWMS!BG16</f>
        <v/>
      </c>
      <c r="BH813" s="275">
        <f>VIII_Baza_BDWMS!BH16</f>
        <v/>
      </c>
      <c r="BI813" s="275">
        <f>VIII_Baza_BDWMS!BI16</f>
        <v/>
      </c>
      <c r="BJ813">
        <f>O813</f>
        <v/>
      </c>
      <c r="BK813">
        <f>SUM(AG813:AW813)</f>
        <v/>
      </c>
      <c r="BL813" s="531">
        <f>BJ813-BK813</f>
        <v/>
      </c>
      <c r="BM813" s="201" t="n"/>
    </row>
    <row r="814" hidden="1" outlineLevel="1" s="191">
      <c r="A814" s="275">
        <f>VIII_Baza_BDWMS!A17</f>
        <v/>
      </c>
      <c r="B814" s="275">
        <f>VIII_Baza_BDWMS!B17</f>
        <v/>
      </c>
      <c r="C814" s="275">
        <f>VIII_Baza_BDWMS!C17</f>
        <v/>
      </c>
      <c r="D814" s="275">
        <f>VIII_Baza_BDWMS!D17</f>
        <v/>
      </c>
      <c r="E814" s="275">
        <f>VIII_Baza_BDWMS!E17</f>
        <v/>
      </c>
      <c r="F814" s="275">
        <f>VIII_Baza_BDWMS!F17</f>
        <v/>
      </c>
      <c r="G814" s="275">
        <f>VIII_Baza_BDWMS!G17</f>
        <v/>
      </c>
      <c r="H814" s="275">
        <f>VIII_Baza_BDWMS!H17</f>
        <v/>
      </c>
      <c r="I814" s="275">
        <f>VIII_Baza_BDWMS!I17</f>
        <v/>
      </c>
      <c r="J814" s="275">
        <f>VIII_Baza_BDWMS!J17</f>
        <v/>
      </c>
      <c r="K814" s="672">
        <f>VIII_Baza_BDWMS!K17</f>
        <v/>
      </c>
      <c r="L814" s="672">
        <f>VIII_Baza_BDWMS!L17</f>
        <v/>
      </c>
      <c r="M814" s="275">
        <f>VIII_Baza_BDWMS!M17</f>
        <v/>
      </c>
      <c r="N814" s="275">
        <f>VIII_Baza_BDWMS!N17</f>
        <v/>
      </c>
      <c r="O814" s="275">
        <f>VIII_Baza_BDWMS!O17</f>
        <v/>
      </c>
      <c r="P814" s="632">
        <f>VIII_Baza_BDWMS!P17</f>
        <v/>
      </c>
      <c r="Q814" s="632">
        <f>VIII_Baza_BDWMS!Q17</f>
        <v/>
      </c>
      <c r="R814" s="632">
        <f>VIII_Baza_BDWMS!R17</f>
        <v/>
      </c>
      <c r="S814" s="632">
        <f>VIII_Baza_BDWMS!S17</f>
        <v/>
      </c>
      <c r="T814" s="632">
        <f>VIII_Baza_BDWMS!T17</f>
        <v/>
      </c>
      <c r="U814" s="632">
        <f>VIII_Baza_BDWMS!U17</f>
        <v/>
      </c>
      <c r="V814" s="632">
        <f>VIII_Baza_BDWMS!V17</f>
        <v/>
      </c>
      <c r="W814" s="632">
        <f>VIII_Baza_BDWMS!W17</f>
        <v/>
      </c>
      <c r="X814" s="632">
        <f>VIII_Baza_BDWMS!X17</f>
        <v/>
      </c>
      <c r="Y814" s="654">
        <f>VIII_Baza_BDWMS!Y17</f>
        <v/>
      </c>
      <c r="Z814" s="654">
        <f>VIII_Baza_BDWMS!Z17</f>
        <v/>
      </c>
      <c r="AA814" s="654">
        <f>VIII_Baza_BDWMS!AA17</f>
        <v/>
      </c>
      <c r="AB814" s="654">
        <f>VIII_Baza_BDWMS!AB17</f>
        <v/>
      </c>
      <c r="AC814" s="617">
        <f>VIII_Baza_BDWMS!AC17</f>
        <v/>
      </c>
      <c r="AD814" s="617">
        <f>VIII_Baza_BDWMS!AD17</f>
        <v/>
      </c>
      <c r="AE814" s="617">
        <f>VIII_Baza_BDWMS!AE17</f>
        <v/>
      </c>
      <c r="AF814" s="617">
        <f>VIII_Baza_BDWMS!AF17</f>
        <v/>
      </c>
      <c r="AG814" s="259">
        <f>VIII_Baza_BDWMS!AG17</f>
        <v/>
      </c>
      <c r="AH814" s="259">
        <f>VIII_Baza_BDWMS!AH17</f>
        <v/>
      </c>
      <c r="AI814" s="259">
        <f>VIII_Baza_BDWMS!AI17</f>
        <v/>
      </c>
      <c r="AJ814" s="259">
        <f>VIII_Baza_BDWMS!AJ17</f>
        <v/>
      </c>
      <c r="AK814" s="259">
        <f>VIII_Baza_BDWMS!AK17</f>
        <v/>
      </c>
      <c r="AL814" s="259">
        <f>VIII_Baza_BDWMS!AL17</f>
        <v/>
      </c>
      <c r="AM814" s="259">
        <f>VIII_Baza_BDWMS!AM17</f>
        <v/>
      </c>
      <c r="AN814" s="259">
        <f>VIII_Baza_BDWMS!AN17</f>
        <v/>
      </c>
      <c r="AO814" s="259">
        <f>VIII_Baza_BDWMS!AO17</f>
        <v/>
      </c>
      <c r="AP814" s="647">
        <f>VIII_Baza_BDWMS!AP17</f>
        <v/>
      </c>
      <c r="AQ814" s="647">
        <f>VIII_Baza_BDWMS!AQ17</f>
        <v/>
      </c>
      <c r="AR814" s="647">
        <f>VIII_Baza_BDWMS!AR17</f>
        <v/>
      </c>
      <c r="AS814" s="647">
        <f>VIII_Baza_BDWMS!AS17</f>
        <v/>
      </c>
      <c r="AT814" s="623">
        <f>VIII_Baza_BDWMS!AT17</f>
        <v/>
      </c>
      <c r="AU814" s="623">
        <f>VIII_Baza_BDWMS!AU17</f>
        <v/>
      </c>
      <c r="AV814" s="623">
        <f>VIII_Baza_BDWMS!AV17</f>
        <v/>
      </c>
      <c r="AW814" s="623">
        <f>VIII_Baza_BDWMS!AW17</f>
        <v/>
      </c>
      <c r="AX814" s="275">
        <f>VIII_Baza_BDWMS!AX17</f>
        <v/>
      </c>
      <c r="AY814" s="275">
        <f>VIII_Baza_BDWMS!AY17</f>
        <v/>
      </c>
      <c r="AZ814" s="275">
        <f>VIII_Baza_BDWMS!AZ17</f>
        <v/>
      </c>
      <c r="BA814" s="275">
        <f>VIII_Baza_BDWMS!BA17</f>
        <v/>
      </c>
      <c r="BB814" s="275">
        <f>VIII_Baza_BDWMS!BB17</f>
        <v/>
      </c>
      <c r="BC814" s="275">
        <f>VIII_Baza_BDWMS!BC17</f>
        <v/>
      </c>
      <c r="BD814" s="275">
        <f>VIII_Baza_BDWMS!BD17</f>
        <v/>
      </c>
      <c r="BE814" s="275">
        <f>VIII_Baza_BDWMS!BE17</f>
        <v/>
      </c>
      <c r="BF814" s="275">
        <f>VIII_Baza_BDWMS!BF17</f>
        <v/>
      </c>
      <c r="BG814" s="275">
        <f>VIII_Baza_BDWMS!BG17</f>
        <v/>
      </c>
      <c r="BH814" s="275">
        <f>VIII_Baza_BDWMS!BH17</f>
        <v/>
      </c>
      <c r="BI814" s="275">
        <f>VIII_Baza_BDWMS!BI17</f>
        <v/>
      </c>
      <c r="BJ814">
        <f>O814</f>
        <v/>
      </c>
      <c r="BK814">
        <f>SUM(AG814:AW814)</f>
        <v/>
      </c>
      <c r="BL814" s="531">
        <f>BJ814-BK814</f>
        <v/>
      </c>
      <c r="BM814" s="201" t="n"/>
    </row>
    <row r="815" hidden="1" outlineLevel="1" s="191">
      <c r="A815" s="275">
        <f>VIII_Baza_BDWMS!A18</f>
        <v/>
      </c>
      <c r="B815" s="275">
        <f>VIII_Baza_BDWMS!B18</f>
        <v/>
      </c>
      <c r="C815" s="275">
        <f>VIII_Baza_BDWMS!C18</f>
        <v/>
      </c>
      <c r="D815" s="275">
        <f>VIII_Baza_BDWMS!D18</f>
        <v/>
      </c>
      <c r="E815" s="275">
        <f>VIII_Baza_BDWMS!E18</f>
        <v/>
      </c>
      <c r="F815" s="275">
        <f>VIII_Baza_BDWMS!F18</f>
        <v/>
      </c>
      <c r="G815" s="275">
        <f>VIII_Baza_BDWMS!G18</f>
        <v/>
      </c>
      <c r="H815" s="275">
        <f>VIII_Baza_BDWMS!H18</f>
        <v/>
      </c>
      <c r="I815" s="275">
        <f>VIII_Baza_BDWMS!I18</f>
        <v/>
      </c>
      <c r="J815" s="275">
        <f>VIII_Baza_BDWMS!J18</f>
        <v/>
      </c>
      <c r="K815" s="672">
        <f>VIII_Baza_BDWMS!K18</f>
        <v/>
      </c>
      <c r="L815" s="672">
        <f>VIII_Baza_BDWMS!L18</f>
        <v/>
      </c>
      <c r="M815" s="275">
        <f>VIII_Baza_BDWMS!M18</f>
        <v/>
      </c>
      <c r="N815" s="275">
        <f>VIII_Baza_BDWMS!N18</f>
        <v/>
      </c>
      <c r="O815" s="275">
        <f>VIII_Baza_BDWMS!O18</f>
        <v/>
      </c>
      <c r="P815" s="632">
        <f>VIII_Baza_BDWMS!P18</f>
        <v/>
      </c>
      <c r="Q815" s="632">
        <f>VIII_Baza_BDWMS!Q18</f>
        <v/>
      </c>
      <c r="R815" s="632">
        <f>VIII_Baza_BDWMS!R18</f>
        <v/>
      </c>
      <c r="S815" s="632">
        <f>VIII_Baza_BDWMS!S18</f>
        <v/>
      </c>
      <c r="T815" s="632">
        <f>VIII_Baza_BDWMS!T18</f>
        <v/>
      </c>
      <c r="U815" s="632">
        <f>VIII_Baza_BDWMS!U18</f>
        <v/>
      </c>
      <c r="V815" s="632">
        <f>VIII_Baza_BDWMS!V18</f>
        <v/>
      </c>
      <c r="W815" s="632">
        <f>VIII_Baza_BDWMS!W18</f>
        <v/>
      </c>
      <c r="X815" s="632">
        <f>VIII_Baza_BDWMS!X18</f>
        <v/>
      </c>
      <c r="Y815" s="654">
        <f>VIII_Baza_BDWMS!Y18</f>
        <v/>
      </c>
      <c r="Z815" s="654">
        <f>VIII_Baza_BDWMS!Z18</f>
        <v/>
      </c>
      <c r="AA815" s="654">
        <f>VIII_Baza_BDWMS!AA18</f>
        <v/>
      </c>
      <c r="AB815" s="654">
        <f>VIII_Baza_BDWMS!AB18</f>
        <v/>
      </c>
      <c r="AC815" s="617">
        <f>VIII_Baza_BDWMS!AC18</f>
        <v/>
      </c>
      <c r="AD815" s="617">
        <f>VIII_Baza_BDWMS!AD18</f>
        <v/>
      </c>
      <c r="AE815" s="617">
        <f>VIII_Baza_BDWMS!AE18</f>
        <v/>
      </c>
      <c r="AF815" s="617">
        <f>VIII_Baza_BDWMS!AF18</f>
        <v/>
      </c>
      <c r="AG815" s="259">
        <f>VIII_Baza_BDWMS!AG18</f>
        <v/>
      </c>
      <c r="AH815" s="259">
        <f>VIII_Baza_BDWMS!AH18</f>
        <v/>
      </c>
      <c r="AI815" s="259">
        <f>VIII_Baza_BDWMS!AI18</f>
        <v/>
      </c>
      <c r="AJ815" s="259">
        <f>VIII_Baza_BDWMS!AJ18</f>
        <v/>
      </c>
      <c r="AK815" s="259">
        <f>VIII_Baza_BDWMS!AK18</f>
        <v/>
      </c>
      <c r="AL815" s="259">
        <f>VIII_Baza_BDWMS!AL18</f>
        <v/>
      </c>
      <c r="AM815" s="259">
        <f>VIII_Baza_BDWMS!AM18</f>
        <v/>
      </c>
      <c r="AN815" s="259">
        <f>VIII_Baza_BDWMS!AN18</f>
        <v/>
      </c>
      <c r="AO815" s="259">
        <f>VIII_Baza_BDWMS!AO18</f>
        <v/>
      </c>
      <c r="AP815" s="647">
        <f>VIII_Baza_BDWMS!AP18</f>
        <v/>
      </c>
      <c r="AQ815" s="647">
        <f>VIII_Baza_BDWMS!AQ18</f>
        <v/>
      </c>
      <c r="AR815" s="647">
        <f>VIII_Baza_BDWMS!AR18</f>
        <v/>
      </c>
      <c r="AS815" s="647">
        <f>VIII_Baza_BDWMS!AS18</f>
        <v/>
      </c>
      <c r="AT815" s="623">
        <f>VIII_Baza_BDWMS!AT18</f>
        <v/>
      </c>
      <c r="AU815" s="623">
        <f>VIII_Baza_BDWMS!AU18</f>
        <v/>
      </c>
      <c r="AV815" s="623">
        <f>VIII_Baza_BDWMS!AV18</f>
        <v/>
      </c>
      <c r="AW815" s="623">
        <f>VIII_Baza_BDWMS!AW18</f>
        <v/>
      </c>
      <c r="AX815" s="275">
        <f>VIII_Baza_BDWMS!AX18</f>
        <v/>
      </c>
      <c r="AY815" s="275">
        <f>VIII_Baza_BDWMS!AY18</f>
        <v/>
      </c>
      <c r="AZ815" s="275">
        <f>VIII_Baza_BDWMS!AZ18</f>
        <v/>
      </c>
      <c r="BA815" s="275">
        <f>VIII_Baza_BDWMS!BA18</f>
        <v/>
      </c>
      <c r="BB815" s="275">
        <f>VIII_Baza_BDWMS!BB18</f>
        <v/>
      </c>
      <c r="BC815" s="275">
        <f>VIII_Baza_BDWMS!BC18</f>
        <v/>
      </c>
      <c r="BD815" s="275">
        <f>VIII_Baza_BDWMS!BD18</f>
        <v/>
      </c>
      <c r="BE815" s="275">
        <f>VIII_Baza_BDWMS!BE18</f>
        <v/>
      </c>
      <c r="BF815" s="275">
        <f>VIII_Baza_BDWMS!BF18</f>
        <v/>
      </c>
      <c r="BG815" s="275">
        <f>VIII_Baza_BDWMS!BG18</f>
        <v/>
      </c>
      <c r="BH815" s="275">
        <f>VIII_Baza_BDWMS!BH18</f>
        <v/>
      </c>
      <c r="BI815" s="275">
        <f>VIII_Baza_BDWMS!BI18</f>
        <v/>
      </c>
      <c r="BJ815">
        <f>O815</f>
        <v/>
      </c>
      <c r="BK815">
        <f>SUM(AG815:AW815)</f>
        <v/>
      </c>
      <c r="BL815" s="531">
        <f>BJ815-BK815</f>
        <v/>
      </c>
      <c r="BM815" s="201" t="n"/>
    </row>
    <row r="816" hidden="1" outlineLevel="1" s="191">
      <c r="A816" s="275">
        <f>VIII_Baza_BDWMS!A19</f>
        <v/>
      </c>
      <c r="B816" s="275">
        <f>VIII_Baza_BDWMS!B19</f>
        <v/>
      </c>
      <c r="C816" s="275">
        <f>VIII_Baza_BDWMS!C19</f>
        <v/>
      </c>
      <c r="D816" s="275">
        <f>VIII_Baza_BDWMS!D19</f>
        <v/>
      </c>
      <c r="E816" s="275">
        <f>VIII_Baza_BDWMS!E19</f>
        <v/>
      </c>
      <c r="F816" s="275">
        <f>VIII_Baza_BDWMS!F19</f>
        <v/>
      </c>
      <c r="G816" s="275">
        <f>VIII_Baza_BDWMS!G19</f>
        <v/>
      </c>
      <c r="H816" s="275">
        <f>VIII_Baza_BDWMS!H19</f>
        <v/>
      </c>
      <c r="I816" s="275">
        <f>VIII_Baza_BDWMS!I19</f>
        <v/>
      </c>
      <c r="J816" s="275">
        <f>VIII_Baza_BDWMS!J19</f>
        <v/>
      </c>
      <c r="K816" s="672">
        <f>VIII_Baza_BDWMS!K19</f>
        <v/>
      </c>
      <c r="L816" s="672">
        <f>VIII_Baza_BDWMS!L19</f>
        <v/>
      </c>
      <c r="M816" s="275">
        <f>VIII_Baza_BDWMS!M19</f>
        <v/>
      </c>
      <c r="N816" s="275">
        <f>VIII_Baza_BDWMS!N19</f>
        <v/>
      </c>
      <c r="O816" s="275">
        <f>VIII_Baza_BDWMS!O19</f>
        <v/>
      </c>
      <c r="P816" s="632">
        <f>VIII_Baza_BDWMS!P19</f>
        <v/>
      </c>
      <c r="Q816" s="632">
        <f>VIII_Baza_BDWMS!Q19</f>
        <v/>
      </c>
      <c r="R816" s="632">
        <f>VIII_Baza_BDWMS!R19</f>
        <v/>
      </c>
      <c r="S816" s="632">
        <f>VIII_Baza_BDWMS!S19</f>
        <v/>
      </c>
      <c r="T816" s="632">
        <f>VIII_Baza_BDWMS!T19</f>
        <v/>
      </c>
      <c r="U816" s="632">
        <f>VIII_Baza_BDWMS!U19</f>
        <v/>
      </c>
      <c r="V816" s="632">
        <f>VIII_Baza_BDWMS!V19</f>
        <v/>
      </c>
      <c r="W816" s="632">
        <f>VIII_Baza_BDWMS!W19</f>
        <v/>
      </c>
      <c r="X816" s="632">
        <f>VIII_Baza_BDWMS!X19</f>
        <v/>
      </c>
      <c r="Y816" s="654">
        <f>VIII_Baza_BDWMS!Y19</f>
        <v/>
      </c>
      <c r="Z816" s="654">
        <f>VIII_Baza_BDWMS!Z19</f>
        <v/>
      </c>
      <c r="AA816" s="654">
        <f>VIII_Baza_BDWMS!AA19</f>
        <v/>
      </c>
      <c r="AB816" s="654">
        <f>VIII_Baza_BDWMS!AB19</f>
        <v/>
      </c>
      <c r="AC816" s="617">
        <f>VIII_Baza_BDWMS!AC19</f>
        <v/>
      </c>
      <c r="AD816" s="617">
        <f>VIII_Baza_BDWMS!AD19</f>
        <v/>
      </c>
      <c r="AE816" s="617">
        <f>VIII_Baza_BDWMS!AE19</f>
        <v/>
      </c>
      <c r="AF816" s="617">
        <f>VIII_Baza_BDWMS!AF19</f>
        <v/>
      </c>
      <c r="AG816" s="259">
        <f>VIII_Baza_BDWMS!AG19</f>
        <v/>
      </c>
      <c r="AH816" s="259">
        <f>VIII_Baza_BDWMS!AH19</f>
        <v/>
      </c>
      <c r="AI816" s="259">
        <f>VIII_Baza_BDWMS!AI19</f>
        <v/>
      </c>
      <c r="AJ816" s="259">
        <f>VIII_Baza_BDWMS!AJ19</f>
        <v/>
      </c>
      <c r="AK816" s="259">
        <f>VIII_Baza_BDWMS!AK19</f>
        <v/>
      </c>
      <c r="AL816" s="259">
        <f>VIII_Baza_BDWMS!AL19</f>
        <v/>
      </c>
      <c r="AM816" s="259">
        <f>VIII_Baza_BDWMS!AM19</f>
        <v/>
      </c>
      <c r="AN816" s="259">
        <f>VIII_Baza_BDWMS!AN19</f>
        <v/>
      </c>
      <c r="AO816" s="259">
        <f>VIII_Baza_BDWMS!AO19</f>
        <v/>
      </c>
      <c r="AP816" s="647">
        <f>VIII_Baza_BDWMS!AP19</f>
        <v/>
      </c>
      <c r="AQ816" s="647">
        <f>VIII_Baza_BDWMS!AQ19</f>
        <v/>
      </c>
      <c r="AR816" s="647">
        <f>VIII_Baza_BDWMS!AR19</f>
        <v/>
      </c>
      <c r="AS816" s="647">
        <f>VIII_Baza_BDWMS!AS19</f>
        <v/>
      </c>
      <c r="AT816" s="623">
        <f>VIII_Baza_BDWMS!AT19</f>
        <v/>
      </c>
      <c r="AU816" s="623">
        <f>VIII_Baza_BDWMS!AU19</f>
        <v/>
      </c>
      <c r="AV816" s="623">
        <f>VIII_Baza_BDWMS!AV19</f>
        <v/>
      </c>
      <c r="AW816" s="623">
        <f>VIII_Baza_BDWMS!AW19</f>
        <v/>
      </c>
      <c r="AX816" s="275">
        <f>VIII_Baza_BDWMS!AX19</f>
        <v/>
      </c>
      <c r="AY816" s="275">
        <f>VIII_Baza_BDWMS!AY19</f>
        <v/>
      </c>
      <c r="AZ816" s="275">
        <f>VIII_Baza_BDWMS!AZ19</f>
        <v/>
      </c>
      <c r="BA816" s="275">
        <f>VIII_Baza_BDWMS!BA19</f>
        <v/>
      </c>
      <c r="BB816" s="275">
        <f>VIII_Baza_BDWMS!BB19</f>
        <v/>
      </c>
      <c r="BC816" s="275">
        <f>VIII_Baza_BDWMS!BC19</f>
        <v/>
      </c>
      <c r="BD816" s="275">
        <f>VIII_Baza_BDWMS!BD19</f>
        <v/>
      </c>
      <c r="BE816" s="275">
        <f>VIII_Baza_BDWMS!BE19</f>
        <v/>
      </c>
      <c r="BF816" s="275">
        <f>VIII_Baza_BDWMS!BF19</f>
        <v/>
      </c>
      <c r="BG816" s="275">
        <f>VIII_Baza_BDWMS!BG19</f>
        <v/>
      </c>
      <c r="BH816" s="275">
        <f>VIII_Baza_BDWMS!BH19</f>
        <v/>
      </c>
      <c r="BI816" s="275">
        <f>VIII_Baza_BDWMS!BI19</f>
        <v/>
      </c>
      <c r="BJ816">
        <f>O816</f>
        <v/>
      </c>
      <c r="BK816">
        <f>SUM(AG816:AW816)</f>
        <v/>
      </c>
      <c r="BL816" s="531">
        <f>BJ816-BK816</f>
        <v/>
      </c>
      <c r="BM816" s="201" t="n"/>
    </row>
    <row r="817" hidden="1" outlineLevel="1" s="191">
      <c r="A817" s="275">
        <f>VIII_Baza_BDWMS!A20</f>
        <v/>
      </c>
      <c r="B817" s="275">
        <f>VIII_Baza_BDWMS!B20</f>
        <v/>
      </c>
      <c r="C817" s="275">
        <f>VIII_Baza_BDWMS!C20</f>
        <v/>
      </c>
      <c r="D817" s="275">
        <f>VIII_Baza_BDWMS!D20</f>
        <v/>
      </c>
      <c r="E817" s="275">
        <f>VIII_Baza_BDWMS!E20</f>
        <v/>
      </c>
      <c r="F817" s="275">
        <f>VIII_Baza_BDWMS!F20</f>
        <v/>
      </c>
      <c r="G817" s="275">
        <f>VIII_Baza_BDWMS!G20</f>
        <v/>
      </c>
      <c r="H817" s="275">
        <f>VIII_Baza_BDWMS!H20</f>
        <v/>
      </c>
      <c r="I817" s="275">
        <f>VIII_Baza_BDWMS!I20</f>
        <v/>
      </c>
      <c r="J817" s="275">
        <f>VIII_Baza_BDWMS!J20</f>
        <v/>
      </c>
      <c r="K817" s="672">
        <f>VIII_Baza_BDWMS!K20</f>
        <v/>
      </c>
      <c r="L817" s="672">
        <f>VIII_Baza_BDWMS!L20</f>
        <v/>
      </c>
      <c r="M817" s="275">
        <f>VIII_Baza_BDWMS!M20</f>
        <v/>
      </c>
      <c r="N817" s="275">
        <f>VIII_Baza_BDWMS!N20</f>
        <v/>
      </c>
      <c r="O817" s="275">
        <f>VIII_Baza_BDWMS!O20</f>
        <v/>
      </c>
      <c r="P817" s="632">
        <f>VIII_Baza_BDWMS!P20</f>
        <v/>
      </c>
      <c r="Q817" s="632">
        <f>VIII_Baza_BDWMS!Q20</f>
        <v/>
      </c>
      <c r="R817" s="632">
        <f>VIII_Baza_BDWMS!R20</f>
        <v/>
      </c>
      <c r="S817" s="632">
        <f>VIII_Baza_BDWMS!S20</f>
        <v/>
      </c>
      <c r="T817" s="632">
        <f>VIII_Baza_BDWMS!T20</f>
        <v/>
      </c>
      <c r="U817" s="632">
        <f>VIII_Baza_BDWMS!U20</f>
        <v/>
      </c>
      <c r="V817" s="632">
        <f>VIII_Baza_BDWMS!V20</f>
        <v/>
      </c>
      <c r="W817" s="632">
        <f>VIII_Baza_BDWMS!W20</f>
        <v/>
      </c>
      <c r="X817" s="632">
        <f>VIII_Baza_BDWMS!X20</f>
        <v/>
      </c>
      <c r="Y817" s="654">
        <f>VIII_Baza_BDWMS!Y20</f>
        <v/>
      </c>
      <c r="Z817" s="654">
        <f>VIII_Baza_BDWMS!Z20</f>
        <v/>
      </c>
      <c r="AA817" s="654">
        <f>VIII_Baza_BDWMS!AA20</f>
        <v/>
      </c>
      <c r="AB817" s="654">
        <f>VIII_Baza_BDWMS!AB20</f>
        <v/>
      </c>
      <c r="AC817" s="617">
        <f>VIII_Baza_BDWMS!AC20</f>
        <v/>
      </c>
      <c r="AD817" s="617">
        <f>VIII_Baza_BDWMS!AD20</f>
        <v/>
      </c>
      <c r="AE817" s="617">
        <f>VIII_Baza_BDWMS!AE20</f>
        <v/>
      </c>
      <c r="AF817" s="617">
        <f>VIII_Baza_BDWMS!AF20</f>
        <v/>
      </c>
      <c r="AG817" s="259">
        <f>VIII_Baza_BDWMS!AG20</f>
        <v/>
      </c>
      <c r="AH817" s="259">
        <f>VIII_Baza_BDWMS!AH20</f>
        <v/>
      </c>
      <c r="AI817" s="259">
        <f>VIII_Baza_BDWMS!AI20</f>
        <v/>
      </c>
      <c r="AJ817" s="259">
        <f>VIII_Baza_BDWMS!AJ20</f>
        <v/>
      </c>
      <c r="AK817" s="259">
        <f>VIII_Baza_BDWMS!AK20</f>
        <v/>
      </c>
      <c r="AL817" s="259">
        <f>VIII_Baza_BDWMS!AL20</f>
        <v/>
      </c>
      <c r="AM817" s="259">
        <f>VIII_Baza_BDWMS!AM20</f>
        <v/>
      </c>
      <c r="AN817" s="259">
        <f>VIII_Baza_BDWMS!AN20</f>
        <v/>
      </c>
      <c r="AO817" s="259">
        <f>VIII_Baza_BDWMS!AO20</f>
        <v/>
      </c>
      <c r="AP817" s="647">
        <f>VIII_Baza_BDWMS!AP20</f>
        <v/>
      </c>
      <c r="AQ817" s="647">
        <f>VIII_Baza_BDWMS!AQ20</f>
        <v/>
      </c>
      <c r="AR817" s="647">
        <f>VIII_Baza_BDWMS!AR20</f>
        <v/>
      </c>
      <c r="AS817" s="647">
        <f>VIII_Baza_BDWMS!AS20</f>
        <v/>
      </c>
      <c r="AT817" s="623">
        <f>VIII_Baza_BDWMS!AT20</f>
        <v/>
      </c>
      <c r="AU817" s="623">
        <f>VIII_Baza_BDWMS!AU20</f>
        <v/>
      </c>
      <c r="AV817" s="623">
        <f>VIII_Baza_BDWMS!AV20</f>
        <v/>
      </c>
      <c r="AW817" s="623">
        <f>VIII_Baza_BDWMS!AW20</f>
        <v/>
      </c>
      <c r="AX817" s="275">
        <f>VIII_Baza_BDWMS!AX20</f>
        <v/>
      </c>
      <c r="AY817" s="275">
        <f>VIII_Baza_BDWMS!AY20</f>
        <v/>
      </c>
      <c r="AZ817" s="275">
        <f>VIII_Baza_BDWMS!AZ20</f>
        <v/>
      </c>
      <c r="BA817" s="275">
        <f>VIII_Baza_BDWMS!BA20</f>
        <v/>
      </c>
      <c r="BB817" s="275">
        <f>VIII_Baza_BDWMS!BB20</f>
        <v/>
      </c>
      <c r="BC817" s="275">
        <f>VIII_Baza_BDWMS!BC20</f>
        <v/>
      </c>
      <c r="BD817" s="275">
        <f>VIII_Baza_BDWMS!BD20</f>
        <v/>
      </c>
      <c r="BE817" s="275">
        <f>VIII_Baza_BDWMS!BE20</f>
        <v/>
      </c>
      <c r="BF817" s="275">
        <f>VIII_Baza_BDWMS!BF20</f>
        <v/>
      </c>
      <c r="BG817" s="275">
        <f>VIII_Baza_BDWMS!BG20</f>
        <v/>
      </c>
      <c r="BH817" s="275">
        <f>VIII_Baza_BDWMS!BH20</f>
        <v/>
      </c>
      <c r="BI817" s="275">
        <f>VIII_Baza_BDWMS!BI20</f>
        <v/>
      </c>
      <c r="BJ817">
        <f>O817</f>
        <v/>
      </c>
      <c r="BK817">
        <f>SUM(AG817:AW817)</f>
        <v/>
      </c>
      <c r="BL817" s="531">
        <f>BJ817-BK817</f>
        <v/>
      </c>
      <c r="BM817" s="201" t="n"/>
    </row>
    <row r="818" hidden="1" outlineLevel="1" s="191">
      <c r="A818" s="275">
        <f>VIII_Baza_BDWMS!A21</f>
        <v/>
      </c>
      <c r="B818" s="275">
        <f>VIII_Baza_BDWMS!B21</f>
        <v/>
      </c>
      <c r="C818" s="275">
        <f>VIII_Baza_BDWMS!C21</f>
        <v/>
      </c>
      <c r="D818" s="275">
        <f>VIII_Baza_BDWMS!D21</f>
        <v/>
      </c>
      <c r="E818" s="275">
        <f>VIII_Baza_BDWMS!E21</f>
        <v/>
      </c>
      <c r="F818" s="275">
        <f>VIII_Baza_BDWMS!F21</f>
        <v/>
      </c>
      <c r="G818" s="275">
        <f>VIII_Baza_BDWMS!G21</f>
        <v/>
      </c>
      <c r="H818" s="275">
        <f>VIII_Baza_BDWMS!H21</f>
        <v/>
      </c>
      <c r="I818" s="275">
        <f>VIII_Baza_BDWMS!I21</f>
        <v/>
      </c>
      <c r="J818" s="275">
        <f>VIII_Baza_BDWMS!J21</f>
        <v/>
      </c>
      <c r="K818" s="672">
        <f>VIII_Baza_BDWMS!K21</f>
        <v/>
      </c>
      <c r="L818" s="672">
        <f>VIII_Baza_BDWMS!L21</f>
        <v/>
      </c>
      <c r="M818" s="275">
        <f>VIII_Baza_BDWMS!M21</f>
        <v/>
      </c>
      <c r="N818" s="275">
        <f>VIII_Baza_BDWMS!N21</f>
        <v/>
      </c>
      <c r="O818" s="275">
        <f>VIII_Baza_BDWMS!O21</f>
        <v/>
      </c>
      <c r="P818" s="632">
        <f>VIII_Baza_BDWMS!P21</f>
        <v/>
      </c>
      <c r="Q818" s="632">
        <f>VIII_Baza_BDWMS!Q21</f>
        <v/>
      </c>
      <c r="R818" s="632">
        <f>VIII_Baza_BDWMS!R21</f>
        <v/>
      </c>
      <c r="S818" s="632">
        <f>VIII_Baza_BDWMS!S21</f>
        <v/>
      </c>
      <c r="T818" s="632">
        <f>VIII_Baza_BDWMS!T21</f>
        <v/>
      </c>
      <c r="U818" s="632">
        <f>VIII_Baza_BDWMS!U21</f>
        <v/>
      </c>
      <c r="V818" s="632">
        <f>VIII_Baza_BDWMS!V21</f>
        <v/>
      </c>
      <c r="W818" s="632">
        <f>VIII_Baza_BDWMS!W21</f>
        <v/>
      </c>
      <c r="X818" s="632">
        <f>VIII_Baza_BDWMS!X21</f>
        <v/>
      </c>
      <c r="Y818" s="654">
        <f>VIII_Baza_BDWMS!Y21</f>
        <v/>
      </c>
      <c r="Z818" s="654">
        <f>VIII_Baza_BDWMS!Z21</f>
        <v/>
      </c>
      <c r="AA818" s="654">
        <f>VIII_Baza_BDWMS!AA21</f>
        <v/>
      </c>
      <c r="AB818" s="654">
        <f>VIII_Baza_BDWMS!AB21</f>
        <v/>
      </c>
      <c r="AC818" s="617">
        <f>VIII_Baza_BDWMS!AC21</f>
        <v/>
      </c>
      <c r="AD818" s="617">
        <f>VIII_Baza_BDWMS!AD21</f>
        <v/>
      </c>
      <c r="AE818" s="617">
        <f>VIII_Baza_BDWMS!AE21</f>
        <v/>
      </c>
      <c r="AF818" s="617">
        <f>VIII_Baza_BDWMS!AF21</f>
        <v/>
      </c>
      <c r="AG818" s="259">
        <f>VIII_Baza_BDWMS!AG21</f>
        <v/>
      </c>
      <c r="AH818" s="259">
        <f>VIII_Baza_BDWMS!AH21</f>
        <v/>
      </c>
      <c r="AI818" s="259">
        <f>VIII_Baza_BDWMS!AI21</f>
        <v/>
      </c>
      <c r="AJ818" s="259">
        <f>VIII_Baza_BDWMS!AJ21</f>
        <v/>
      </c>
      <c r="AK818" s="259">
        <f>VIII_Baza_BDWMS!AK21</f>
        <v/>
      </c>
      <c r="AL818" s="259">
        <f>VIII_Baza_BDWMS!AL21</f>
        <v/>
      </c>
      <c r="AM818" s="259">
        <f>VIII_Baza_BDWMS!AM21</f>
        <v/>
      </c>
      <c r="AN818" s="259">
        <f>VIII_Baza_BDWMS!AN21</f>
        <v/>
      </c>
      <c r="AO818" s="259">
        <f>VIII_Baza_BDWMS!AO21</f>
        <v/>
      </c>
      <c r="AP818" s="647">
        <f>VIII_Baza_BDWMS!AP21</f>
        <v/>
      </c>
      <c r="AQ818" s="647">
        <f>VIII_Baza_BDWMS!AQ21</f>
        <v/>
      </c>
      <c r="AR818" s="647">
        <f>VIII_Baza_BDWMS!AR21</f>
        <v/>
      </c>
      <c r="AS818" s="647">
        <f>VIII_Baza_BDWMS!AS21</f>
        <v/>
      </c>
      <c r="AT818" s="623">
        <f>VIII_Baza_BDWMS!AT21</f>
        <v/>
      </c>
      <c r="AU818" s="623">
        <f>VIII_Baza_BDWMS!AU21</f>
        <v/>
      </c>
      <c r="AV818" s="623">
        <f>VIII_Baza_BDWMS!AV21</f>
        <v/>
      </c>
      <c r="AW818" s="623">
        <f>VIII_Baza_BDWMS!AW21</f>
        <v/>
      </c>
      <c r="AX818" s="275">
        <f>VIII_Baza_BDWMS!AX21</f>
        <v/>
      </c>
      <c r="AY818" s="275">
        <f>VIII_Baza_BDWMS!AY21</f>
        <v/>
      </c>
      <c r="AZ818" s="275">
        <f>VIII_Baza_BDWMS!AZ21</f>
        <v/>
      </c>
      <c r="BA818" s="275">
        <f>VIII_Baza_BDWMS!BA21</f>
        <v/>
      </c>
      <c r="BB818" s="275">
        <f>VIII_Baza_BDWMS!BB21</f>
        <v/>
      </c>
      <c r="BC818" s="275">
        <f>VIII_Baza_BDWMS!BC21</f>
        <v/>
      </c>
      <c r="BD818" s="275">
        <f>VIII_Baza_BDWMS!BD21</f>
        <v/>
      </c>
      <c r="BE818" s="275">
        <f>VIII_Baza_BDWMS!BE21</f>
        <v/>
      </c>
      <c r="BF818" s="275">
        <f>VIII_Baza_BDWMS!BF21</f>
        <v/>
      </c>
      <c r="BG818" s="275">
        <f>VIII_Baza_BDWMS!BG21</f>
        <v/>
      </c>
      <c r="BH818" s="275">
        <f>VIII_Baza_BDWMS!BH21</f>
        <v/>
      </c>
      <c r="BI818" s="275">
        <f>VIII_Baza_BDWMS!BI21</f>
        <v/>
      </c>
      <c r="BJ818">
        <f>O818</f>
        <v/>
      </c>
      <c r="BK818">
        <f>SUM(AG818:AW818)</f>
        <v/>
      </c>
      <c r="BL818" s="531">
        <f>BJ818-BK818</f>
        <v/>
      </c>
      <c r="BM818" s="201" t="n"/>
    </row>
    <row r="819" hidden="1" outlineLevel="1" s="191">
      <c r="A819" s="275">
        <f>VIII_Baza_BDWMS!A22</f>
        <v/>
      </c>
      <c r="B819" s="275">
        <f>VIII_Baza_BDWMS!B22</f>
        <v/>
      </c>
      <c r="C819" s="275">
        <f>VIII_Baza_BDWMS!C22</f>
        <v/>
      </c>
      <c r="D819" s="275">
        <f>VIII_Baza_BDWMS!D22</f>
        <v/>
      </c>
      <c r="E819" s="275">
        <f>VIII_Baza_BDWMS!E22</f>
        <v/>
      </c>
      <c r="F819" s="275">
        <f>VIII_Baza_BDWMS!F22</f>
        <v/>
      </c>
      <c r="G819" s="275">
        <f>VIII_Baza_BDWMS!G22</f>
        <v/>
      </c>
      <c r="H819" s="275">
        <f>VIII_Baza_BDWMS!H22</f>
        <v/>
      </c>
      <c r="I819" s="275">
        <f>VIII_Baza_BDWMS!I22</f>
        <v/>
      </c>
      <c r="J819" s="275">
        <f>VIII_Baza_BDWMS!J22</f>
        <v/>
      </c>
      <c r="K819" s="672">
        <f>VIII_Baza_BDWMS!K22</f>
        <v/>
      </c>
      <c r="L819" s="672">
        <f>VIII_Baza_BDWMS!L22</f>
        <v/>
      </c>
      <c r="M819" s="275">
        <f>VIII_Baza_BDWMS!M22</f>
        <v/>
      </c>
      <c r="N819" s="275">
        <f>VIII_Baza_BDWMS!N22</f>
        <v/>
      </c>
      <c r="O819" s="275">
        <f>VIII_Baza_BDWMS!O22</f>
        <v/>
      </c>
      <c r="P819" s="632">
        <f>VIII_Baza_BDWMS!P22</f>
        <v/>
      </c>
      <c r="Q819" s="632">
        <f>VIII_Baza_BDWMS!Q22</f>
        <v/>
      </c>
      <c r="R819" s="632">
        <f>VIII_Baza_BDWMS!R22</f>
        <v/>
      </c>
      <c r="S819" s="632">
        <f>VIII_Baza_BDWMS!S22</f>
        <v/>
      </c>
      <c r="T819" s="632">
        <f>VIII_Baza_BDWMS!T22</f>
        <v/>
      </c>
      <c r="U819" s="632">
        <f>VIII_Baza_BDWMS!U22</f>
        <v/>
      </c>
      <c r="V819" s="632">
        <f>VIII_Baza_BDWMS!V22</f>
        <v/>
      </c>
      <c r="W819" s="632">
        <f>VIII_Baza_BDWMS!W22</f>
        <v/>
      </c>
      <c r="X819" s="632">
        <f>VIII_Baza_BDWMS!X22</f>
        <v/>
      </c>
      <c r="Y819" s="654">
        <f>VIII_Baza_BDWMS!Y22</f>
        <v/>
      </c>
      <c r="Z819" s="654">
        <f>VIII_Baza_BDWMS!Z22</f>
        <v/>
      </c>
      <c r="AA819" s="654">
        <f>VIII_Baza_BDWMS!AA22</f>
        <v/>
      </c>
      <c r="AB819" s="654">
        <f>VIII_Baza_BDWMS!AB22</f>
        <v/>
      </c>
      <c r="AC819" s="617">
        <f>VIII_Baza_BDWMS!AC22</f>
        <v/>
      </c>
      <c r="AD819" s="617">
        <f>VIII_Baza_BDWMS!AD22</f>
        <v/>
      </c>
      <c r="AE819" s="617">
        <f>VIII_Baza_BDWMS!AE22</f>
        <v/>
      </c>
      <c r="AF819" s="617">
        <f>VIII_Baza_BDWMS!AF22</f>
        <v/>
      </c>
      <c r="AG819" s="259">
        <f>VIII_Baza_BDWMS!AG22</f>
        <v/>
      </c>
      <c r="AH819" s="259">
        <f>VIII_Baza_BDWMS!AH22</f>
        <v/>
      </c>
      <c r="AI819" s="259">
        <f>VIII_Baza_BDWMS!AI22</f>
        <v/>
      </c>
      <c r="AJ819" s="259">
        <f>VIII_Baza_BDWMS!AJ22</f>
        <v/>
      </c>
      <c r="AK819" s="259">
        <f>VIII_Baza_BDWMS!AK22</f>
        <v/>
      </c>
      <c r="AL819" s="259">
        <f>VIII_Baza_BDWMS!AL22</f>
        <v/>
      </c>
      <c r="AM819" s="259">
        <f>VIII_Baza_BDWMS!AM22</f>
        <v/>
      </c>
      <c r="AN819" s="259">
        <f>VIII_Baza_BDWMS!AN22</f>
        <v/>
      </c>
      <c r="AO819" s="259">
        <f>VIII_Baza_BDWMS!AO22</f>
        <v/>
      </c>
      <c r="AP819" s="647">
        <f>VIII_Baza_BDWMS!AP22</f>
        <v/>
      </c>
      <c r="AQ819" s="647">
        <f>VIII_Baza_BDWMS!AQ22</f>
        <v/>
      </c>
      <c r="AR819" s="647">
        <f>VIII_Baza_BDWMS!AR22</f>
        <v/>
      </c>
      <c r="AS819" s="647">
        <f>VIII_Baza_BDWMS!AS22</f>
        <v/>
      </c>
      <c r="AT819" s="623">
        <f>VIII_Baza_BDWMS!AT22</f>
        <v/>
      </c>
      <c r="AU819" s="623">
        <f>VIII_Baza_BDWMS!AU22</f>
        <v/>
      </c>
      <c r="AV819" s="623">
        <f>VIII_Baza_BDWMS!AV22</f>
        <v/>
      </c>
      <c r="AW819" s="623">
        <f>VIII_Baza_BDWMS!AW22</f>
        <v/>
      </c>
      <c r="AX819" s="275">
        <f>VIII_Baza_BDWMS!AX22</f>
        <v/>
      </c>
      <c r="AY819" s="275">
        <f>VIII_Baza_BDWMS!AY22</f>
        <v/>
      </c>
      <c r="AZ819" s="275">
        <f>VIII_Baza_BDWMS!AZ22</f>
        <v/>
      </c>
      <c r="BA819" s="275">
        <f>VIII_Baza_BDWMS!BA22</f>
        <v/>
      </c>
      <c r="BB819" s="275">
        <f>VIII_Baza_BDWMS!BB22</f>
        <v/>
      </c>
      <c r="BC819" s="275">
        <f>VIII_Baza_BDWMS!BC22</f>
        <v/>
      </c>
      <c r="BD819" s="275">
        <f>VIII_Baza_BDWMS!BD22</f>
        <v/>
      </c>
      <c r="BE819" s="275">
        <f>VIII_Baza_BDWMS!BE22</f>
        <v/>
      </c>
      <c r="BF819" s="275">
        <f>VIII_Baza_BDWMS!BF22</f>
        <v/>
      </c>
      <c r="BG819" s="275">
        <f>VIII_Baza_BDWMS!BG22</f>
        <v/>
      </c>
      <c r="BH819" s="275">
        <f>VIII_Baza_BDWMS!BH22</f>
        <v/>
      </c>
      <c r="BI819" s="275">
        <f>VIII_Baza_BDWMS!BI22</f>
        <v/>
      </c>
      <c r="BJ819">
        <f>O819</f>
        <v/>
      </c>
      <c r="BK819">
        <f>SUM(AG819:AW819)</f>
        <v/>
      </c>
      <c r="BL819" s="531">
        <f>BJ819-BK819</f>
        <v/>
      </c>
      <c r="BM819" s="201" t="n"/>
    </row>
    <row r="820" hidden="1" outlineLevel="1" s="191">
      <c r="A820" s="275">
        <f>VIII_Baza_BDWMS!A23</f>
        <v/>
      </c>
      <c r="B820" s="275">
        <f>VIII_Baza_BDWMS!B23</f>
        <v/>
      </c>
      <c r="C820" s="275">
        <f>VIII_Baza_BDWMS!C23</f>
        <v/>
      </c>
      <c r="D820" s="275">
        <f>VIII_Baza_BDWMS!D23</f>
        <v/>
      </c>
      <c r="E820" s="275">
        <f>VIII_Baza_BDWMS!E23</f>
        <v/>
      </c>
      <c r="F820" s="275">
        <f>VIII_Baza_BDWMS!F23</f>
        <v/>
      </c>
      <c r="G820" s="275">
        <f>VIII_Baza_BDWMS!G23</f>
        <v/>
      </c>
      <c r="H820" s="275">
        <f>VIII_Baza_BDWMS!H23</f>
        <v/>
      </c>
      <c r="I820" s="275">
        <f>VIII_Baza_BDWMS!I23</f>
        <v/>
      </c>
      <c r="J820" s="275">
        <f>VIII_Baza_BDWMS!J23</f>
        <v/>
      </c>
      <c r="K820" s="672">
        <f>VIII_Baza_BDWMS!K23</f>
        <v/>
      </c>
      <c r="L820" s="672">
        <f>VIII_Baza_BDWMS!L23</f>
        <v/>
      </c>
      <c r="M820" s="275">
        <f>VIII_Baza_BDWMS!M23</f>
        <v/>
      </c>
      <c r="N820" s="275">
        <f>VIII_Baza_BDWMS!N23</f>
        <v/>
      </c>
      <c r="O820" s="275">
        <f>VIII_Baza_BDWMS!O23</f>
        <v/>
      </c>
      <c r="P820" s="632">
        <f>VIII_Baza_BDWMS!P23</f>
        <v/>
      </c>
      <c r="Q820" s="632">
        <f>VIII_Baza_BDWMS!Q23</f>
        <v/>
      </c>
      <c r="R820" s="632">
        <f>VIII_Baza_BDWMS!R23</f>
        <v/>
      </c>
      <c r="S820" s="632">
        <f>VIII_Baza_BDWMS!S23</f>
        <v/>
      </c>
      <c r="T820" s="632">
        <f>VIII_Baza_BDWMS!T23</f>
        <v/>
      </c>
      <c r="U820" s="632">
        <f>VIII_Baza_BDWMS!U23</f>
        <v/>
      </c>
      <c r="V820" s="632">
        <f>VIII_Baza_BDWMS!V23</f>
        <v/>
      </c>
      <c r="W820" s="632">
        <f>VIII_Baza_BDWMS!W23</f>
        <v/>
      </c>
      <c r="X820" s="632">
        <f>VIII_Baza_BDWMS!X23</f>
        <v/>
      </c>
      <c r="Y820" s="654">
        <f>VIII_Baza_BDWMS!Y23</f>
        <v/>
      </c>
      <c r="Z820" s="654">
        <f>VIII_Baza_BDWMS!Z23</f>
        <v/>
      </c>
      <c r="AA820" s="654">
        <f>VIII_Baza_BDWMS!AA23</f>
        <v/>
      </c>
      <c r="AB820" s="654">
        <f>VIII_Baza_BDWMS!AB23</f>
        <v/>
      </c>
      <c r="AC820" s="617">
        <f>VIII_Baza_BDWMS!AC23</f>
        <v/>
      </c>
      <c r="AD820" s="617">
        <f>VIII_Baza_BDWMS!AD23</f>
        <v/>
      </c>
      <c r="AE820" s="617">
        <f>VIII_Baza_BDWMS!AE23</f>
        <v/>
      </c>
      <c r="AF820" s="617">
        <f>VIII_Baza_BDWMS!AF23</f>
        <v/>
      </c>
      <c r="AG820" s="259">
        <f>VIII_Baza_BDWMS!AG23</f>
        <v/>
      </c>
      <c r="AH820" s="259">
        <f>VIII_Baza_BDWMS!AH23</f>
        <v/>
      </c>
      <c r="AI820" s="259">
        <f>VIII_Baza_BDWMS!AI23</f>
        <v/>
      </c>
      <c r="AJ820" s="259">
        <f>VIII_Baza_BDWMS!AJ23</f>
        <v/>
      </c>
      <c r="AK820" s="259">
        <f>VIII_Baza_BDWMS!AK23</f>
        <v/>
      </c>
      <c r="AL820" s="259">
        <f>VIII_Baza_BDWMS!AL23</f>
        <v/>
      </c>
      <c r="AM820" s="259">
        <f>VIII_Baza_BDWMS!AM23</f>
        <v/>
      </c>
      <c r="AN820" s="259">
        <f>VIII_Baza_BDWMS!AN23</f>
        <v/>
      </c>
      <c r="AO820" s="259">
        <f>VIII_Baza_BDWMS!AO23</f>
        <v/>
      </c>
      <c r="AP820" s="647">
        <f>VIII_Baza_BDWMS!AP23</f>
        <v/>
      </c>
      <c r="AQ820" s="647">
        <f>VIII_Baza_BDWMS!AQ23</f>
        <v/>
      </c>
      <c r="AR820" s="647">
        <f>VIII_Baza_BDWMS!AR23</f>
        <v/>
      </c>
      <c r="AS820" s="647">
        <f>VIII_Baza_BDWMS!AS23</f>
        <v/>
      </c>
      <c r="AT820" s="623">
        <f>VIII_Baza_BDWMS!AT23</f>
        <v/>
      </c>
      <c r="AU820" s="623">
        <f>VIII_Baza_BDWMS!AU23</f>
        <v/>
      </c>
      <c r="AV820" s="623">
        <f>VIII_Baza_BDWMS!AV23</f>
        <v/>
      </c>
      <c r="AW820" s="623">
        <f>VIII_Baza_BDWMS!AW23</f>
        <v/>
      </c>
      <c r="AX820" s="275">
        <f>VIII_Baza_BDWMS!AX23</f>
        <v/>
      </c>
      <c r="AY820" s="275">
        <f>VIII_Baza_BDWMS!AY23</f>
        <v/>
      </c>
      <c r="AZ820" s="275">
        <f>VIII_Baza_BDWMS!AZ23</f>
        <v/>
      </c>
      <c r="BA820" s="275">
        <f>VIII_Baza_BDWMS!BA23</f>
        <v/>
      </c>
      <c r="BB820" s="275">
        <f>VIII_Baza_BDWMS!BB23</f>
        <v/>
      </c>
      <c r="BC820" s="275">
        <f>VIII_Baza_BDWMS!BC23</f>
        <v/>
      </c>
      <c r="BD820" s="275">
        <f>VIII_Baza_BDWMS!BD23</f>
        <v/>
      </c>
      <c r="BE820" s="275">
        <f>VIII_Baza_BDWMS!BE23</f>
        <v/>
      </c>
      <c r="BF820" s="275">
        <f>VIII_Baza_BDWMS!BF23</f>
        <v/>
      </c>
      <c r="BG820" s="275">
        <f>VIII_Baza_BDWMS!BG23</f>
        <v/>
      </c>
      <c r="BH820" s="275">
        <f>VIII_Baza_BDWMS!BH23</f>
        <v/>
      </c>
      <c r="BI820" s="275">
        <f>VIII_Baza_BDWMS!BI23</f>
        <v/>
      </c>
      <c r="BJ820">
        <f>O820</f>
        <v/>
      </c>
      <c r="BK820">
        <f>SUM(AG820:AW820)</f>
        <v/>
      </c>
      <c r="BL820" s="531">
        <f>BJ820-BK820</f>
        <v/>
      </c>
      <c r="BM820" s="201" t="n"/>
    </row>
    <row r="821" hidden="1" outlineLevel="1" s="191">
      <c r="A821" s="275">
        <f>VIII_Baza_BDWMS!A24</f>
        <v/>
      </c>
      <c r="B821" s="275">
        <f>VIII_Baza_BDWMS!B24</f>
        <v/>
      </c>
      <c r="C821" s="275">
        <f>VIII_Baza_BDWMS!C24</f>
        <v/>
      </c>
      <c r="D821" s="275">
        <f>VIII_Baza_BDWMS!D24</f>
        <v/>
      </c>
      <c r="E821" s="275">
        <f>VIII_Baza_BDWMS!E24</f>
        <v/>
      </c>
      <c r="F821" s="275">
        <f>VIII_Baza_BDWMS!F24</f>
        <v/>
      </c>
      <c r="G821" s="275">
        <f>VIII_Baza_BDWMS!G24</f>
        <v/>
      </c>
      <c r="H821" s="275">
        <f>VIII_Baza_BDWMS!H24</f>
        <v/>
      </c>
      <c r="I821" s="275">
        <f>VIII_Baza_BDWMS!I24</f>
        <v/>
      </c>
      <c r="J821" s="275">
        <f>VIII_Baza_BDWMS!J24</f>
        <v/>
      </c>
      <c r="K821" s="672">
        <f>VIII_Baza_BDWMS!K24</f>
        <v/>
      </c>
      <c r="L821" s="672">
        <f>VIII_Baza_BDWMS!L24</f>
        <v/>
      </c>
      <c r="M821" s="275">
        <f>VIII_Baza_BDWMS!M24</f>
        <v/>
      </c>
      <c r="N821" s="275">
        <f>VIII_Baza_BDWMS!N24</f>
        <v/>
      </c>
      <c r="O821" s="275">
        <f>VIII_Baza_BDWMS!O24</f>
        <v/>
      </c>
      <c r="P821" s="632">
        <f>VIII_Baza_BDWMS!P24</f>
        <v/>
      </c>
      <c r="Q821" s="632">
        <f>VIII_Baza_BDWMS!Q24</f>
        <v/>
      </c>
      <c r="R821" s="632">
        <f>VIII_Baza_BDWMS!R24</f>
        <v/>
      </c>
      <c r="S821" s="632">
        <f>VIII_Baza_BDWMS!S24</f>
        <v/>
      </c>
      <c r="T821" s="632">
        <f>VIII_Baza_BDWMS!T24</f>
        <v/>
      </c>
      <c r="U821" s="632">
        <f>VIII_Baza_BDWMS!U24</f>
        <v/>
      </c>
      <c r="V821" s="632">
        <f>VIII_Baza_BDWMS!V24</f>
        <v/>
      </c>
      <c r="W821" s="632">
        <f>VIII_Baza_BDWMS!W24</f>
        <v/>
      </c>
      <c r="X821" s="632">
        <f>VIII_Baza_BDWMS!X24</f>
        <v/>
      </c>
      <c r="Y821" s="654">
        <f>VIII_Baza_BDWMS!Y24</f>
        <v/>
      </c>
      <c r="Z821" s="654">
        <f>VIII_Baza_BDWMS!Z24</f>
        <v/>
      </c>
      <c r="AA821" s="654">
        <f>VIII_Baza_BDWMS!AA24</f>
        <v/>
      </c>
      <c r="AB821" s="654">
        <f>VIII_Baza_BDWMS!AB24</f>
        <v/>
      </c>
      <c r="AC821" s="617">
        <f>VIII_Baza_BDWMS!AC24</f>
        <v/>
      </c>
      <c r="AD821" s="617">
        <f>VIII_Baza_BDWMS!AD24</f>
        <v/>
      </c>
      <c r="AE821" s="617">
        <f>VIII_Baza_BDWMS!AE24</f>
        <v/>
      </c>
      <c r="AF821" s="617">
        <f>VIII_Baza_BDWMS!AF24</f>
        <v/>
      </c>
      <c r="AG821" s="259">
        <f>VIII_Baza_BDWMS!AG24</f>
        <v/>
      </c>
      <c r="AH821" s="259">
        <f>VIII_Baza_BDWMS!AH24</f>
        <v/>
      </c>
      <c r="AI821" s="259">
        <f>VIII_Baza_BDWMS!AI24</f>
        <v/>
      </c>
      <c r="AJ821" s="259">
        <f>VIII_Baza_BDWMS!AJ24</f>
        <v/>
      </c>
      <c r="AK821" s="259">
        <f>VIII_Baza_BDWMS!AK24</f>
        <v/>
      </c>
      <c r="AL821" s="259">
        <f>VIII_Baza_BDWMS!AL24</f>
        <v/>
      </c>
      <c r="AM821" s="259">
        <f>VIII_Baza_BDWMS!AM24</f>
        <v/>
      </c>
      <c r="AN821" s="259">
        <f>VIII_Baza_BDWMS!AN24</f>
        <v/>
      </c>
      <c r="AO821" s="259">
        <f>VIII_Baza_BDWMS!AO24</f>
        <v/>
      </c>
      <c r="AP821" s="647">
        <f>VIII_Baza_BDWMS!AP24</f>
        <v/>
      </c>
      <c r="AQ821" s="647">
        <f>VIII_Baza_BDWMS!AQ24</f>
        <v/>
      </c>
      <c r="AR821" s="647">
        <f>VIII_Baza_BDWMS!AR24</f>
        <v/>
      </c>
      <c r="AS821" s="647">
        <f>VIII_Baza_BDWMS!AS24</f>
        <v/>
      </c>
      <c r="AT821" s="623">
        <f>VIII_Baza_BDWMS!AT24</f>
        <v/>
      </c>
      <c r="AU821" s="623">
        <f>VIII_Baza_BDWMS!AU24</f>
        <v/>
      </c>
      <c r="AV821" s="623">
        <f>VIII_Baza_BDWMS!AV24</f>
        <v/>
      </c>
      <c r="AW821" s="623">
        <f>VIII_Baza_BDWMS!AW24</f>
        <v/>
      </c>
      <c r="AX821" s="275">
        <f>VIII_Baza_BDWMS!AX24</f>
        <v/>
      </c>
      <c r="AY821" s="275">
        <f>VIII_Baza_BDWMS!AY24</f>
        <v/>
      </c>
      <c r="AZ821" s="275">
        <f>VIII_Baza_BDWMS!AZ24</f>
        <v/>
      </c>
      <c r="BA821" s="275">
        <f>VIII_Baza_BDWMS!BA24</f>
        <v/>
      </c>
      <c r="BB821" s="275">
        <f>VIII_Baza_BDWMS!BB24</f>
        <v/>
      </c>
      <c r="BC821" s="275">
        <f>VIII_Baza_BDWMS!BC24</f>
        <v/>
      </c>
      <c r="BD821" s="275">
        <f>VIII_Baza_BDWMS!BD24</f>
        <v/>
      </c>
      <c r="BE821" s="275">
        <f>VIII_Baza_BDWMS!BE24</f>
        <v/>
      </c>
      <c r="BF821" s="275">
        <f>VIII_Baza_BDWMS!BF24</f>
        <v/>
      </c>
      <c r="BG821" s="275">
        <f>VIII_Baza_BDWMS!BG24</f>
        <v/>
      </c>
      <c r="BH821" s="275">
        <f>VIII_Baza_BDWMS!BH24</f>
        <v/>
      </c>
      <c r="BI821" s="275">
        <f>VIII_Baza_BDWMS!BI24</f>
        <v/>
      </c>
      <c r="BJ821">
        <f>O821</f>
        <v/>
      </c>
      <c r="BK821">
        <f>SUM(AG821:AW821)</f>
        <v/>
      </c>
      <c r="BL821" s="531">
        <f>BJ821-BK821</f>
        <v/>
      </c>
      <c r="BM821" s="201" t="n"/>
    </row>
    <row r="822" hidden="1" outlineLevel="1" s="191">
      <c r="A822" s="275">
        <f>VIII_Baza_BDWMS!A25</f>
        <v/>
      </c>
      <c r="B822" s="275">
        <f>VIII_Baza_BDWMS!B25</f>
        <v/>
      </c>
      <c r="C822" s="275">
        <f>VIII_Baza_BDWMS!C25</f>
        <v/>
      </c>
      <c r="D822" s="275">
        <f>VIII_Baza_BDWMS!D25</f>
        <v/>
      </c>
      <c r="E822" s="275">
        <f>VIII_Baza_BDWMS!E25</f>
        <v/>
      </c>
      <c r="F822" s="275">
        <f>VIII_Baza_BDWMS!F25</f>
        <v/>
      </c>
      <c r="G822" s="275">
        <f>VIII_Baza_BDWMS!G25</f>
        <v/>
      </c>
      <c r="H822" s="275">
        <f>VIII_Baza_BDWMS!H25</f>
        <v/>
      </c>
      <c r="I822" s="275">
        <f>VIII_Baza_BDWMS!I25</f>
        <v/>
      </c>
      <c r="J822" s="275">
        <f>VIII_Baza_BDWMS!J25</f>
        <v/>
      </c>
      <c r="K822" s="672">
        <f>VIII_Baza_BDWMS!K25</f>
        <v/>
      </c>
      <c r="L822" s="672">
        <f>VIII_Baza_BDWMS!L25</f>
        <v/>
      </c>
      <c r="M822" s="275">
        <f>VIII_Baza_BDWMS!M25</f>
        <v/>
      </c>
      <c r="N822" s="275">
        <f>VIII_Baza_BDWMS!N25</f>
        <v/>
      </c>
      <c r="O822" s="275">
        <f>VIII_Baza_BDWMS!O25</f>
        <v/>
      </c>
      <c r="P822" s="632">
        <f>VIII_Baza_BDWMS!P25</f>
        <v/>
      </c>
      <c r="Q822" s="632">
        <f>VIII_Baza_BDWMS!Q25</f>
        <v/>
      </c>
      <c r="R822" s="632">
        <f>VIII_Baza_BDWMS!R25</f>
        <v/>
      </c>
      <c r="S822" s="632">
        <f>VIII_Baza_BDWMS!S25</f>
        <v/>
      </c>
      <c r="T822" s="632">
        <f>VIII_Baza_BDWMS!T25</f>
        <v/>
      </c>
      <c r="U822" s="632">
        <f>VIII_Baza_BDWMS!U25</f>
        <v/>
      </c>
      <c r="V822" s="632">
        <f>VIII_Baza_BDWMS!V25</f>
        <v/>
      </c>
      <c r="W822" s="632">
        <f>VIII_Baza_BDWMS!W25</f>
        <v/>
      </c>
      <c r="X822" s="632">
        <f>VIII_Baza_BDWMS!X25</f>
        <v/>
      </c>
      <c r="Y822" s="654">
        <f>VIII_Baza_BDWMS!Y25</f>
        <v/>
      </c>
      <c r="Z822" s="654">
        <f>VIII_Baza_BDWMS!Z25</f>
        <v/>
      </c>
      <c r="AA822" s="654">
        <f>VIII_Baza_BDWMS!AA25</f>
        <v/>
      </c>
      <c r="AB822" s="654">
        <f>VIII_Baza_BDWMS!AB25</f>
        <v/>
      </c>
      <c r="AC822" s="617">
        <f>VIII_Baza_BDWMS!AC25</f>
        <v/>
      </c>
      <c r="AD822" s="617">
        <f>VIII_Baza_BDWMS!AD25</f>
        <v/>
      </c>
      <c r="AE822" s="617">
        <f>VIII_Baza_BDWMS!AE25</f>
        <v/>
      </c>
      <c r="AF822" s="617">
        <f>VIII_Baza_BDWMS!AF25</f>
        <v/>
      </c>
      <c r="AG822" s="259">
        <f>VIII_Baza_BDWMS!AG25</f>
        <v/>
      </c>
      <c r="AH822" s="259">
        <f>VIII_Baza_BDWMS!AH25</f>
        <v/>
      </c>
      <c r="AI822" s="259">
        <f>VIII_Baza_BDWMS!AI25</f>
        <v/>
      </c>
      <c r="AJ822" s="259">
        <f>VIII_Baza_BDWMS!AJ25</f>
        <v/>
      </c>
      <c r="AK822" s="259">
        <f>VIII_Baza_BDWMS!AK25</f>
        <v/>
      </c>
      <c r="AL822" s="259">
        <f>VIII_Baza_BDWMS!AL25</f>
        <v/>
      </c>
      <c r="AM822" s="259">
        <f>VIII_Baza_BDWMS!AM25</f>
        <v/>
      </c>
      <c r="AN822" s="259">
        <f>VIII_Baza_BDWMS!AN25</f>
        <v/>
      </c>
      <c r="AO822" s="259">
        <f>VIII_Baza_BDWMS!AO25</f>
        <v/>
      </c>
      <c r="AP822" s="647">
        <f>VIII_Baza_BDWMS!AP25</f>
        <v/>
      </c>
      <c r="AQ822" s="647">
        <f>VIII_Baza_BDWMS!AQ25</f>
        <v/>
      </c>
      <c r="AR822" s="647">
        <f>VIII_Baza_BDWMS!AR25</f>
        <v/>
      </c>
      <c r="AS822" s="647">
        <f>VIII_Baza_BDWMS!AS25</f>
        <v/>
      </c>
      <c r="AT822" s="623">
        <f>VIII_Baza_BDWMS!AT25</f>
        <v/>
      </c>
      <c r="AU822" s="623">
        <f>VIII_Baza_BDWMS!AU25</f>
        <v/>
      </c>
      <c r="AV822" s="623">
        <f>VIII_Baza_BDWMS!AV25</f>
        <v/>
      </c>
      <c r="AW822" s="623">
        <f>VIII_Baza_BDWMS!AW25</f>
        <v/>
      </c>
      <c r="AX822" s="275">
        <f>VIII_Baza_BDWMS!AX25</f>
        <v/>
      </c>
      <c r="AY822" s="275">
        <f>VIII_Baza_BDWMS!AY25</f>
        <v/>
      </c>
      <c r="AZ822" s="275">
        <f>VIII_Baza_BDWMS!AZ25</f>
        <v/>
      </c>
      <c r="BA822" s="275">
        <f>VIII_Baza_BDWMS!BA25</f>
        <v/>
      </c>
      <c r="BB822" s="275">
        <f>VIII_Baza_BDWMS!BB25</f>
        <v/>
      </c>
      <c r="BC822" s="275">
        <f>VIII_Baza_BDWMS!BC25</f>
        <v/>
      </c>
      <c r="BD822" s="275">
        <f>VIII_Baza_BDWMS!BD25</f>
        <v/>
      </c>
      <c r="BE822" s="275">
        <f>VIII_Baza_BDWMS!BE25</f>
        <v/>
      </c>
      <c r="BF822" s="275">
        <f>VIII_Baza_BDWMS!BF25</f>
        <v/>
      </c>
      <c r="BG822" s="275">
        <f>VIII_Baza_BDWMS!BG25</f>
        <v/>
      </c>
      <c r="BH822" s="275">
        <f>VIII_Baza_BDWMS!BH25</f>
        <v/>
      </c>
      <c r="BI822" s="275">
        <f>VIII_Baza_BDWMS!BI25</f>
        <v/>
      </c>
      <c r="BJ822">
        <f>O822</f>
        <v/>
      </c>
      <c r="BK822">
        <f>SUM(AG822:AW822)</f>
        <v/>
      </c>
      <c r="BL822" s="531">
        <f>BJ822-BK822</f>
        <v/>
      </c>
      <c r="BM822" s="201" t="n"/>
    </row>
    <row r="823" hidden="1" outlineLevel="1" s="191">
      <c r="A823" s="275">
        <f>VIII_Baza_BDWMS!A26</f>
        <v/>
      </c>
      <c r="B823" s="275">
        <f>VIII_Baza_BDWMS!B26</f>
        <v/>
      </c>
      <c r="C823" s="275">
        <f>VIII_Baza_BDWMS!C26</f>
        <v/>
      </c>
      <c r="D823" s="275">
        <f>VIII_Baza_BDWMS!D26</f>
        <v/>
      </c>
      <c r="E823" s="275">
        <f>VIII_Baza_BDWMS!E26</f>
        <v/>
      </c>
      <c r="F823" s="275">
        <f>VIII_Baza_BDWMS!F26</f>
        <v/>
      </c>
      <c r="G823" s="275">
        <f>VIII_Baza_BDWMS!G26</f>
        <v/>
      </c>
      <c r="H823" s="275">
        <f>VIII_Baza_BDWMS!H26</f>
        <v/>
      </c>
      <c r="I823" s="275">
        <f>VIII_Baza_BDWMS!I26</f>
        <v/>
      </c>
      <c r="J823" s="275">
        <f>VIII_Baza_BDWMS!J26</f>
        <v/>
      </c>
      <c r="K823" s="672">
        <f>VIII_Baza_BDWMS!K26</f>
        <v/>
      </c>
      <c r="L823" s="672">
        <f>VIII_Baza_BDWMS!L26</f>
        <v/>
      </c>
      <c r="M823" s="275">
        <f>VIII_Baza_BDWMS!M26</f>
        <v/>
      </c>
      <c r="N823" s="275">
        <f>VIII_Baza_BDWMS!N26</f>
        <v/>
      </c>
      <c r="O823" s="275">
        <f>VIII_Baza_BDWMS!O26</f>
        <v/>
      </c>
      <c r="P823" s="632">
        <f>VIII_Baza_BDWMS!P26</f>
        <v/>
      </c>
      <c r="Q823" s="632">
        <f>VIII_Baza_BDWMS!Q26</f>
        <v/>
      </c>
      <c r="R823" s="632">
        <f>VIII_Baza_BDWMS!R26</f>
        <v/>
      </c>
      <c r="S823" s="632">
        <f>VIII_Baza_BDWMS!S26</f>
        <v/>
      </c>
      <c r="T823" s="632">
        <f>VIII_Baza_BDWMS!T26</f>
        <v/>
      </c>
      <c r="U823" s="632">
        <f>VIII_Baza_BDWMS!U26</f>
        <v/>
      </c>
      <c r="V823" s="632">
        <f>VIII_Baza_BDWMS!V26</f>
        <v/>
      </c>
      <c r="W823" s="632">
        <f>VIII_Baza_BDWMS!W26</f>
        <v/>
      </c>
      <c r="X823" s="632">
        <f>VIII_Baza_BDWMS!X26</f>
        <v/>
      </c>
      <c r="Y823" s="654">
        <f>VIII_Baza_BDWMS!Y26</f>
        <v/>
      </c>
      <c r="Z823" s="654">
        <f>VIII_Baza_BDWMS!Z26</f>
        <v/>
      </c>
      <c r="AA823" s="654">
        <f>VIII_Baza_BDWMS!AA26</f>
        <v/>
      </c>
      <c r="AB823" s="654">
        <f>VIII_Baza_BDWMS!AB26</f>
        <v/>
      </c>
      <c r="AC823" s="617">
        <f>VIII_Baza_BDWMS!AC26</f>
        <v/>
      </c>
      <c r="AD823" s="617">
        <f>VIII_Baza_BDWMS!AD26</f>
        <v/>
      </c>
      <c r="AE823" s="617">
        <f>VIII_Baza_BDWMS!AE26</f>
        <v/>
      </c>
      <c r="AF823" s="617">
        <f>VIII_Baza_BDWMS!AF26</f>
        <v/>
      </c>
      <c r="AG823" s="259">
        <f>VIII_Baza_BDWMS!AG26</f>
        <v/>
      </c>
      <c r="AH823" s="259">
        <f>VIII_Baza_BDWMS!AH26</f>
        <v/>
      </c>
      <c r="AI823" s="259">
        <f>VIII_Baza_BDWMS!AI26</f>
        <v/>
      </c>
      <c r="AJ823" s="259">
        <f>VIII_Baza_BDWMS!AJ26</f>
        <v/>
      </c>
      <c r="AK823" s="259">
        <f>VIII_Baza_BDWMS!AK26</f>
        <v/>
      </c>
      <c r="AL823" s="259">
        <f>VIII_Baza_BDWMS!AL26</f>
        <v/>
      </c>
      <c r="AM823" s="259">
        <f>VIII_Baza_BDWMS!AM26</f>
        <v/>
      </c>
      <c r="AN823" s="259">
        <f>VIII_Baza_BDWMS!AN26</f>
        <v/>
      </c>
      <c r="AO823" s="259">
        <f>VIII_Baza_BDWMS!AO26</f>
        <v/>
      </c>
      <c r="AP823" s="647">
        <f>VIII_Baza_BDWMS!AP26</f>
        <v/>
      </c>
      <c r="AQ823" s="647">
        <f>VIII_Baza_BDWMS!AQ26</f>
        <v/>
      </c>
      <c r="AR823" s="647">
        <f>VIII_Baza_BDWMS!AR26</f>
        <v/>
      </c>
      <c r="AS823" s="647">
        <f>VIII_Baza_BDWMS!AS26</f>
        <v/>
      </c>
      <c r="AT823" s="623">
        <f>VIII_Baza_BDWMS!AT26</f>
        <v/>
      </c>
      <c r="AU823" s="623">
        <f>VIII_Baza_BDWMS!AU26</f>
        <v/>
      </c>
      <c r="AV823" s="623">
        <f>VIII_Baza_BDWMS!AV26</f>
        <v/>
      </c>
      <c r="AW823" s="623">
        <f>VIII_Baza_BDWMS!AW26</f>
        <v/>
      </c>
      <c r="AX823" s="275">
        <f>VIII_Baza_BDWMS!AX26</f>
        <v/>
      </c>
      <c r="AY823" s="275">
        <f>VIII_Baza_BDWMS!AY26</f>
        <v/>
      </c>
      <c r="AZ823" s="275">
        <f>VIII_Baza_BDWMS!AZ26</f>
        <v/>
      </c>
      <c r="BA823" s="275">
        <f>VIII_Baza_BDWMS!BA26</f>
        <v/>
      </c>
      <c r="BB823" s="275">
        <f>VIII_Baza_BDWMS!BB26</f>
        <v/>
      </c>
      <c r="BC823" s="275">
        <f>VIII_Baza_BDWMS!BC26</f>
        <v/>
      </c>
      <c r="BD823" s="275">
        <f>VIII_Baza_BDWMS!BD26</f>
        <v/>
      </c>
      <c r="BE823" s="275">
        <f>VIII_Baza_BDWMS!BE26</f>
        <v/>
      </c>
      <c r="BF823" s="275">
        <f>VIII_Baza_BDWMS!BF26</f>
        <v/>
      </c>
      <c r="BG823" s="275">
        <f>VIII_Baza_BDWMS!BG26</f>
        <v/>
      </c>
      <c r="BH823" s="275">
        <f>VIII_Baza_BDWMS!BH26</f>
        <v/>
      </c>
      <c r="BI823" s="275">
        <f>VIII_Baza_BDWMS!BI26</f>
        <v/>
      </c>
      <c r="BJ823">
        <f>O823</f>
        <v/>
      </c>
      <c r="BK823">
        <f>SUM(AG823:AW823)</f>
        <v/>
      </c>
      <c r="BL823" s="531">
        <f>BJ823-BK823</f>
        <v/>
      </c>
      <c r="BM823" s="201" t="n"/>
    </row>
    <row r="824" hidden="1" outlineLevel="1" s="191">
      <c r="A824" s="275">
        <f>VIII_Baza_BDWMS!A27</f>
        <v/>
      </c>
      <c r="B824" s="275">
        <f>VIII_Baza_BDWMS!B27</f>
        <v/>
      </c>
      <c r="C824" s="275">
        <f>VIII_Baza_BDWMS!C27</f>
        <v/>
      </c>
      <c r="D824" s="275">
        <f>VIII_Baza_BDWMS!D27</f>
        <v/>
      </c>
      <c r="E824" s="275">
        <f>VIII_Baza_BDWMS!E27</f>
        <v/>
      </c>
      <c r="F824" s="275">
        <f>VIII_Baza_BDWMS!F27</f>
        <v/>
      </c>
      <c r="G824" s="275">
        <f>VIII_Baza_BDWMS!G27</f>
        <v/>
      </c>
      <c r="H824" s="275">
        <f>VIII_Baza_BDWMS!H27</f>
        <v/>
      </c>
      <c r="I824" s="275">
        <f>VIII_Baza_BDWMS!I27</f>
        <v/>
      </c>
      <c r="J824" s="275">
        <f>VIII_Baza_BDWMS!J27</f>
        <v/>
      </c>
      <c r="K824" s="672">
        <f>VIII_Baza_BDWMS!K27</f>
        <v/>
      </c>
      <c r="L824" s="672">
        <f>VIII_Baza_BDWMS!L27</f>
        <v/>
      </c>
      <c r="M824" s="275">
        <f>VIII_Baza_BDWMS!M27</f>
        <v/>
      </c>
      <c r="N824" s="275">
        <f>VIII_Baza_BDWMS!N27</f>
        <v/>
      </c>
      <c r="O824" s="275">
        <f>VIII_Baza_BDWMS!O27</f>
        <v/>
      </c>
      <c r="P824" s="632">
        <f>VIII_Baza_BDWMS!P27</f>
        <v/>
      </c>
      <c r="Q824" s="632">
        <f>VIII_Baza_BDWMS!Q27</f>
        <v/>
      </c>
      <c r="R824" s="632">
        <f>VIII_Baza_BDWMS!R27</f>
        <v/>
      </c>
      <c r="S824" s="632">
        <f>VIII_Baza_BDWMS!S27</f>
        <v/>
      </c>
      <c r="T824" s="632">
        <f>VIII_Baza_BDWMS!T27</f>
        <v/>
      </c>
      <c r="U824" s="632">
        <f>VIII_Baza_BDWMS!U27</f>
        <v/>
      </c>
      <c r="V824" s="632">
        <f>VIII_Baza_BDWMS!V27</f>
        <v/>
      </c>
      <c r="W824" s="632">
        <f>VIII_Baza_BDWMS!W27</f>
        <v/>
      </c>
      <c r="X824" s="632">
        <f>VIII_Baza_BDWMS!X27</f>
        <v/>
      </c>
      <c r="Y824" s="654">
        <f>VIII_Baza_BDWMS!Y27</f>
        <v/>
      </c>
      <c r="Z824" s="654">
        <f>VIII_Baza_BDWMS!Z27</f>
        <v/>
      </c>
      <c r="AA824" s="654">
        <f>VIII_Baza_BDWMS!AA27</f>
        <v/>
      </c>
      <c r="AB824" s="654">
        <f>VIII_Baza_BDWMS!AB27</f>
        <v/>
      </c>
      <c r="AC824" s="617">
        <f>VIII_Baza_BDWMS!AC27</f>
        <v/>
      </c>
      <c r="AD824" s="617">
        <f>VIII_Baza_BDWMS!AD27</f>
        <v/>
      </c>
      <c r="AE824" s="617">
        <f>VIII_Baza_BDWMS!AE27</f>
        <v/>
      </c>
      <c r="AF824" s="617">
        <f>VIII_Baza_BDWMS!AF27</f>
        <v/>
      </c>
      <c r="AG824" s="259">
        <f>VIII_Baza_BDWMS!AG27</f>
        <v/>
      </c>
      <c r="AH824" s="259">
        <f>VIII_Baza_BDWMS!AH27</f>
        <v/>
      </c>
      <c r="AI824" s="259">
        <f>VIII_Baza_BDWMS!AI27</f>
        <v/>
      </c>
      <c r="AJ824" s="259">
        <f>VIII_Baza_BDWMS!AJ27</f>
        <v/>
      </c>
      <c r="AK824" s="259">
        <f>VIII_Baza_BDWMS!AK27</f>
        <v/>
      </c>
      <c r="AL824" s="259">
        <f>VIII_Baza_BDWMS!AL27</f>
        <v/>
      </c>
      <c r="AM824" s="259">
        <f>VIII_Baza_BDWMS!AM27</f>
        <v/>
      </c>
      <c r="AN824" s="259">
        <f>VIII_Baza_BDWMS!AN27</f>
        <v/>
      </c>
      <c r="AO824" s="259">
        <f>VIII_Baza_BDWMS!AO27</f>
        <v/>
      </c>
      <c r="AP824" s="647">
        <f>VIII_Baza_BDWMS!AP27</f>
        <v/>
      </c>
      <c r="AQ824" s="647">
        <f>VIII_Baza_BDWMS!AQ27</f>
        <v/>
      </c>
      <c r="AR824" s="647">
        <f>VIII_Baza_BDWMS!AR27</f>
        <v/>
      </c>
      <c r="AS824" s="647">
        <f>VIII_Baza_BDWMS!AS27</f>
        <v/>
      </c>
      <c r="AT824" s="623">
        <f>VIII_Baza_BDWMS!AT27</f>
        <v/>
      </c>
      <c r="AU824" s="623">
        <f>VIII_Baza_BDWMS!AU27</f>
        <v/>
      </c>
      <c r="AV824" s="623">
        <f>VIII_Baza_BDWMS!AV27</f>
        <v/>
      </c>
      <c r="AW824" s="623">
        <f>VIII_Baza_BDWMS!AW27</f>
        <v/>
      </c>
      <c r="AX824" s="275">
        <f>VIII_Baza_BDWMS!AX27</f>
        <v/>
      </c>
      <c r="AY824" s="275">
        <f>VIII_Baza_BDWMS!AY27</f>
        <v/>
      </c>
      <c r="AZ824" s="275">
        <f>VIII_Baza_BDWMS!AZ27</f>
        <v/>
      </c>
      <c r="BA824" s="275">
        <f>VIII_Baza_BDWMS!BA27</f>
        <v/>
      </c>
      <c r="BB824" s="275">
        <f>VIII_Baza_BDWMS!BB27</f>
        <v/>
      </c>
      <c r="BC824" s="275">
        <f>VIII_Baza_BDWMS!BC27</f>
        <v/>
      </c>
      <c r="BD824" s="275">
        <f>VIII_Baza_BDWMS!BD27</f>
        <v/>
      </c>
      <c r="BE824" s="275">
        <f>VIII_Baza_BDWMS!BE27</f>
        <v/>
      </c>
      <c r="BF824" s="275">
        <f>VIII_Baza_BDWMS!BF27</f>
        <v/>
      </c>
      <c r="BG824" s="275">
        <f>VIII_Baza_BDWMS!BG27</f>
        <v/>
      </c>
      <c r="BH824" s="275">
        <f>VIII_Baza_BDWMS!BH27</f>
        <v/>
      </c>
      <c r="BI824" s="275">
        <f>VIII_Baza_BDWMS!BI27</f>
        <v/>
      </c>
      <c r="BJ824">
        <f>O824</f>
        <v/>
      </c>
      <c r="BK824">
        <f>SUM(AG824:AW824)</f>
        <v/>
      </c>
      <c r="BL824" s="531">
        <f>BJ824-BK824</f>
        <v/>
      </c>
      <c r="BM824" s="201" t="n"/>
    </row>
    <row r="825" hidden="1" outlineLevel="1" s="191">
      <c r="A825" s="275">
        <f>VIII_Baza_BDWMS!A28</f>
        <v/>
      </c>
      <c r="B825" s="275">
        <f>VIII_Baza_BDWMS!B28</f>
        <v/>
      </c>
      <c r="C825" s="275">
        <f>VIII_Baza_BDWMS!C28</f>
        <v/>
      </c>
      <c r="D825" s="275">
        <f>VIII_Baza_BDWMS!D28</f>
        <v/>
      </c>
      <c r="E825" s="275">
        <f>VIII_Baza_BDWMS!E28</f>
        <v/>
      </c>
      <c r="F825" s="275">
        <f>VIII_Baza_BDWMS!F28</f>
        <v/>
      </c>
      <c r="G825" s="275">
        <f>VIII_Baza_BDWMS!G28</f>
        <v/>
      </c>
      <c r="H825" s="275">
        <f>VIII_Baza_BDWMS!H28</f>
        <v/>
      </c>
      <c r="I825" s="275">
        <f>VIII_Baza_BDWMS!I28</f>
        <v/>
      </c>
      <c r="J825" s="275">
        <f>VIII_Baza_BDWMS!J28</f>
        <v/>
      </c>
      <c r="K825" s="672">
        <f>VIII_Baza_BDWMS!K28</f>
        <v/>
      </c>
      <c r="L825" s="672">
        <f>VIII_Baza_BDWMS!L28</f>
        <v/>
      </c>
      <c r="M825" s="275">
        <f>VIII_Baza_BDWMS!M28</f>
        <v/>
      </c>
      <c r="N825" s="275">
        <f>VIII_Baza_BDWMS!N28</f>
        <v/>
      </c>
      <c r="O825" s="275">
        <f>VIII_Baza_BDWMS!O28</f>
        <v/>
      </c>
      <c r="P825" s="632">
        <f>VIII_Baza_BDWMS!P28</f>
        <v/>
      </c>
      <c r="Q825" s="632">
        <f>VIII_Baza_BDWMS!Q28</f>
        <v/>
      </c>
      <c r="R825" s="632">
        <f>VIII_Baza_BDWMS!R28</f>
        <v/>
      </c>
      <c r="S825" s="632">
        <f>VIII_Baza_BDWMS!S28</f>
        <v/>
      </c>
      <c r="T825" s="632">
        <f>VIII_Baza_BDWMS!T28</f>
        <v/>
      </c>
      <c r="U825" s="632">
        <f>VIII_Baza_BDWMS!U28</f>
        <v/>
      </c>
      <c r="V825" s="632">
        <f>VIII_Baza_BDWMS!V28</f>
        <v/>
      </c>
      <c r="W825" s="632">
        <f>VIII_Baza_BDWMS!W28</f>
        <v/>
      </c>
      <c r="X825" s="632">
        <f>VIII_Baza_BDWMS!X28</f>
        <v/>
      </c>
      <c r="Y825" s="654">
        <f>VIII_Baza_BDWMS!Y28</f>
        <v/>
      </c>
      <c r="Z825" s="654">
        <f>VIII_Baza_BDWMS!Z28</f>
        <v/>
      </c>
      <c r="AA825" s="654">
        <f>VIII_Baza_BDWMS!AA28</f>
        <v/>
      </c>
      <c r="AB825" s="654">
        <f>VIII_Baza_BDWMS!AB28</f>
        <v/>
      </c>
      <c r="AC825" s="617">
        <f>VIII_Baza_BDWMS!AC28</f>
        <v/>
      </c>
      <c r="AD825" s="617">
        <f>VIII_Baza_BDWMS!AD28</f>
        <v/>
      </c>
      <c r="AE825" s="617">
        <f>VIII_Baza_BDWMS!AE28</f>
        <v/>
      </c>
      <c r="AF825" s="617">
        <f>VIII_Baza_BDWMS!AF28</f>
        <v/>
      </c>
      <c r="AG825" s="259">
        <f>VIII_Baza_BDWMS!AG28</f>
        <v/>
      </c>
      <c r="AH825" s="259">
        <f>VIII_Baza_BDWMS!AH28</f>
        <v/>
      </c>
      <c r="AI825" s="259">
        <f>VIII_Baza_BDWMS!AI28</f>
        <v/>
      </c>
      <c r="AJ825" s="259">
        <f>VIII_Baza_BDWMS!AJ28</f>
        <v/>
      </c>
      <c r="AK825" s="259">
        <f>VIII_Baza_BDWMS!AK28</f>
        <v/>
      </c>
      <c r="AL825" s="259">
        <f>VIII_Baza_BDWMS!AL28</f>
        <v/>
      </c>
      <c r="AM825" s="259">
        <f>VIII_Baza_BDWMS!AM28</f>
        <v/>
      </c>
      <c r="AN825" s="259">
        <f>VIII_Baza_BDWMS!AN28</f>
        <v/>
      </c>
      <c r="AO825" s="259">
        <f>VIII_Baza_BDWMS!AO28</f>
        <v/>
      </c>
      <c r="AP825" s="647">
        <f>VIII_Baza_BDWMS!AP28</f>
        <v/>
      </c>
      <c r="AQ825" s="647">
        <f>VIII_Baza_BDWMS!AQ28</f>
        <v/>
      </c>
      <c r="AR825" s="647">
        <f>VIII_Baza_BDWMS!AR28</f>
        <v/>
      </c>
      <c r="AS825" s="647">
        <f>VIII_Baza_BDWMS!AS28</f>
        <v/>
      </c>
      <c r="AT825" s="623">
        <f>VIII_Baza_BDWMS!AT28</f>
        <v/>
      </c>
      <c r="AU825" s="623">
        <f>VIII_Baza_BDWMS!AU28</f>
        <v/>
      </c>
      <c r="AV825" s="623">
        <f>VIII_Baza_BDWMS!AV28</f>
        <v/>
      </c>
      <c r="AW825" s="623">
        <f>VIII_Baza_BDWMS!AW28</f>
        <v/>
      </c>
      <c r="AX825" s="275">
        <f>VIII_Baza_BDWMS!AX28</f>
        <v/>
      </c>
      <c r="AY825" s="275">
        <f>VIII_Baza_BDWMS!AY28</f>
        <v/>
      </c>
      <c r="AZ825" s="275">
        <f>VIII_Baza_BDWMS!AZ28</f>
        <v/>
      </c>
      <c r="BA825" s="275">
        <f>VIII_Baza_BDWMS!BA28</f>
        <v/>
      </c>
      <c r="BB825" s="275">
        <f>VIII_Baza_BDWMS!BB28</f>
        <v/>
      </c>
      <c r="BC825" s="275">
        <f>VIII_Baza_BDWMS!BC28</f>
        <v/>
      </c>
      <c r="BD825" s="275">
        <f>VIII_Baza_BDWMS!BD28</f>
        <v/>
      </c>
      <c r="BE825" s="275">
        <f>VIII_Baza_BDWMS!BE28</f>
        <v/>
      </c>
      <c r="BF825" s="275">
        <f>VIII_Baza_BDWMS!BF28</f>
        <v/>
      </c>
      <c r="BG825" s="275">
        <f>VIII_Baza_BDWMS!BG28</f>
        <v/>
      </c>
      <c r="BH825" s="275">
        <f>VIII_Baza_BDWMS!BH28</f>
        <v/>
      </c>
      <c r="BI825" s="275">
        <f>VIII_Baza_BDWMS!BI28</f>
        <v/>
      </c>
      <c r="BJ825">
        <f>O825</f>
        <v/>
      </c>
      <c r="BK825">
        <f>SUM(AG825:AW825)</f>
        <v/>
      </c>
      <c r="BL825" s="531">
        <f>BJ825-BK825</f>
        <v/>
      </c>
      <c r="BM825" s="201" t="n"/>
    </row>
    <row r="826" hidden="1" outlineLevel="1" s="191">
      <c r="A826" s="275">
        <f>VIII_Baza_BDWMS!A29</f>
        <v/>
      </c>
      <c r="B826" s="275">
        <f>VIII_Baza_BDWMS!B29</f>
        <v/>
      </c>
      <c r="C826" s="275">
        <f>VIII_Baza_BDWMS!C29</f>
        <v/>
      </c>
      <c r="D826" s="275">
        <f>VIII_Baza_BDWMS!D29</f>
        <v/>
      </c>
      <c r="E826" s="275">
        <f>VIII_Baza_BDWMS!E29</f>
        <v/>
      </c>
      <c r="F826" s="275">
        <f>VIII_Baza_BDWMS!F29</f>
        <v/>
      </c>
      <c r="G826" s="275">
        <f>VIII_Baza_BDWMS!G29</f>
        <v/>
      </c>
      <c r="H826" s="275">
        <f>VIII_Baza_BDWMS!H29</f>
        <v/>
      </c>
      <c r="I826" s="275">
        <f>VIII_Baza_BDWMS!I29</f>
        <v/>
      </c>
      <c r="J826" s="275">
        <f>VIII_Baza_BDWMS!J29</f>
        <v/>
      </c>
      <c r="K826" s="672">
        <f>VIII_Baza_BDWMS!K29</f>
        <v/>
      </c>
      <c r="L826" s="672">
        <f>VIII_Baza_BDWMS!L29</f>
        <v/>
      </c>
      <c r="M826" s="275">
        <f>VIII_Baza_BDWMS!M29</f>
        <v/>
      </c>
      <c r="N826" s="275">
        <f>VIII_Baza_BDWMS!N29</f>
        <v/>
      </c>
      <c r="O826" s="275">
        <f>VIII_Baza_BDWMS!O29</f>
        <v/>
      </c>
      <c r="P826" s="632">
        <f>VIII_Baza_BDWMS!P29</f>
        <v/>
      </c>
      <c r="Q826" s="632">
        <f>VIII_Baza_BDWMS!Q29</f>
        <v/>
      </c>
      <c r="R826" s="632">
        <f>VIII_Baza_BDWMS!R29</f>
        <v/>
      </c>
      <c r="S826" s="632">
        <f>VIII_Baza_BDWMS!S29</f>
        <v/>
      </c>
      <c r="T826" s="632">
        <f>VIII_Baza_BDWMS!T29</f>
        <v/>
      </c>
      <c r="U826" s="632">
        <f>VIII_Baza_BDWMS!U29</f>
        <v/>
      </c>
      <c r="V826" s="632">
        <f>VIII_Baza_BDWMS!V29</f>
        <v/>
      </c>
      <c r="W826" s="632">
        <f>VIII_Baza_BDWMS!W29</f>
        <v/>
      </c>
      <c r="X826" s="632">
        <f>VIII_Baza_BDWMS!X29</f>
        <v/>
      </c>
      <c r="Y826" s="654">
        <f>VIII_Baza_BDWMS!Y29</f>
        <v/>
      </c>
      <c r="Z826" s="654">
        <f>VIII_Baza_BDWMS!Z29</f>
        <v/>
      </c>
      <c r="AA826" s="654">
        <f>VIII_Baza_BDWMS!AA29</f>
        <v/>
      </c>
      <c r="AB826" s="654">
        <f>VIII_Baza_BDWMS!AB29</f>
        <v/>
      </c>
      <c r="AC826" s="617">
        <f>VIII_Baza_BDWMS!AC29</f>
        <v/>
      </c>
      <c r="AD826" s="617">
        <f>VIII_Baza_BDWMS!AD29</f>
        <v/>
      </c>
      <c r="AE826" s="617">
        <f>VIII_Baza_BDWMS!AE29</f>
        <v/>
      </c>
      <c r="AF826" s="617">
        <f>VIII_Baza_BDWMS!AF29</f>
        <v/>
      </c>
      <c r="AG826" s="259">
        <f>VIII_Baza_BDWMS!AG29</f>
        <v/>
      </c>
      <c r="AH826" s="259">
        <f>VIII_Baza_BDWMS!AH29</f>
        <v/>
      </c>
      <c r="AI826" s="259">
        <f>VIII_Baza_BDWMS!AI29</f>
        <v/>
      </c>
      <c r="AJ826" s="259">
        <f>VIII_Baza_BDWMS!AJ29</f>
        <v/>
      </c>
      <c r="AK826" s="259">
        <f>VIII_Baza_BDWMS!AK29</f>
        <v/>
      </c>
      <c r="AL826" s="259">
        <f>VIII_Baza_BDWMS!AL29</f>
        <v/>
      </c>
      <c r="AM826" s="259">
        <f>VIII_Baza_BDWMS!AM29</f>
        <v/>
      </c>
      <c r="AN826" s="259">
        <f>VIII_Baza_BDWMS!AN29</f>
        <v/>
      </c>
      <c r="AO826" s="259">
        <f>VIII_Baza_BDWMS!AO29</f>
        <v/>
      </c>
      <c r="AP826" s="647">
        <f>VIII_Baza_BDWMS!AP29</f>
        <v/>
      </c>
      <c r="AQ826" s="647">
        <f>VIII_Baza_BDWMS!AQ29</f>
        <v/>
      </c>
      <c r="AR826" s="647">
        <f>VIII_Baza_BDWMS!AR29</f>
        <v/>
      </c>
      <c r="AS826" s="647">
        <f>VIII_Baza_BDWMS!AS29</f>
        <v/>
      </c>
      <c r="AT826" s="623">
        <f>VIII_Baza_BDWMS!AT29</f>
        <v/>
      </c>
      <c r="AU826" s="623">
        <f>VIII_Baza_BDWMS!AU29</f>
        <v/>
      </c>
      <c r="AV826" s="623">
        <f>VIII_Baza_BDWMS!AV29</f>
        <v/>
      </c>
      <c r="AW826" s="623">
        <f>VIII_Baza_BDWMS!AW29</f>
        <v/>
      </c>
      <c r="AX826" s="275">
        <f>VIII_Baza_BDWMS!AX29</f>
        <v/>
      </c>
      <c r="AY826" s="275">
        <f>VIII_Baza_BDWMS!AY29</f>
        <v/>
      </c>
      <c r="AZ826" s="275">
        <f>VIII_Baza_BDWMS!AZ29</f>
        <v/>
      </c>
      <c r="BA826" s="275">
        <f>VIII_Baza_BDWMS!BA29</f>
        <v/>
      </c>
      <c r="BB826" s="275">
        <f>VIII_Baza_BDWMS!BB29</f>
        <v/>
      </c>
      <c r="BC826" s="275">
        <f>VIII_Baza_BDWMS!BC29</f>
        <v/>
      </c>
      <c r="BD826" s="275">
        <f>VIII_Baza_BDWMS!BD29</f>
        <v/>
      </c>
      <c r="BE826" s="275">
        <f>VIII_Baza_BDWMS!BE29</f>
        <v/>
      </c>
      <c r="BF826" s="275">
        <f>VIII_Baza_BDWMS!BF29</f>
        <v/>
      </c>
      <c r="BG826" s="275">
        <f>VIII_Baza_BDWMS!BG29</f>
        <v/>
      </c>
      <c r="BH826" s="275">
        <f>VIII_Baza_BDWMS!BH29</f>
        <v/>
      </c>
      <c r="BI826" s="275">
        <f>VIII_Baza_BDWMS!BI29</f>
        <v/>
      </c>
      <c r="BJ826">
        <f>O826</f>
        <v/>
      </c>
      <c r="BK826">
        <f>SUM(AG826:AW826)</f>
        <v/>
      </c>
      <c r="BL826" s="531">
        <f>BJ826-BK826</f>
        <v/>
      </c>
      <c r="BM826" s="201" t="n"/>
    </row>
    <row r="827" hidden="1" outlineLevel="1" s="191">
      <c r="A827" s="275">
        <f>VIII_Baza_BDWMS!A30</f>
        <v/>
      </c>
      <c r="B827" s="275">
        <f>VIII_Baza_BDWMS!B30</f>
        <v/>
      </c>
      <c r="C827" s="275">
        <f>VIII_Baza_BDWMS!C30</f>
        <v/>
      </c>
      <c r="D827" s="275">
        <f>VIII_Baza_BDWMS!D30</f>
        <v/>
      </c>
      <c r="E827" s="275">
        <f>VIII_Baza_BDWMS!E30</f>
        <v/>
      </c>
      <c r="F827" s="275">
        <f>VIII_Baza_BDWMS!F30</f>
        <v/>
      </c>
      <c r="G827" s="275">
        <f>VIII_Baza_BDWMS!G30</f>
        <v/>
      </c>
      <c r="H827" s="275">
        <f>VIII_Baza_BDWMS!H30</f>
        <v/>
      </c>
      <c r="I827" s="275">
        <f>VIII_Baza_BDWMS!I30</f>
        <v/>
      </c>
      <c r="J827" s="275">
        <f>VIII_Baza_BDWMS!J30</f>
        <v/>
      </c>
      <c r="K827" s="672">
        <f>VIII_Baza_BDWMS!K30</f>
        <v/>
      </c>
      <c r="L827" s="672">
        <f>VIII_Baza_BDWMS!L30</f>
        <v/>
      </c>
      <c r="M827" s="275">
        <f>VIII_Baza_BDWMS!M30</f>
        <v/>
      </c>
      <c r="N827" s="275">
        <f>VIII_Baza_BDWMS!N30</f>
        <v/>
      </c>
      <c r="O827" s="275">
        <f>VIII_Baza_BDWMS!O30</f>
        <v/>
      </c>
      <c r="P827" s="632">
        <f>VIII_Baza_BDWMS!P30</f>
        <v/>
      </c>
      <c r="Q827" s="632">
        <f>VIII_Baza_BDWMS!Q30</f>
        <v/>
      </c>
      <c r="R827" s="632">
        <f>VIII_Baza_BDWMS!R30</f>
        <v/>
      </c>
      <c r="S827" s="632">
        <f>VIII_Baza_BDWMS!S30</f>
        <v/>
      </c>
      <c r="T827" s="632">
        <f>VIII_Baza_BDWMS!T30</f>
        <v/>
      </c>
      <c r="U827" s="632">
        <f>VIII_Baza_BDWMS!U30</f>
        <v/>
      </c>
      <c r="V827" s="632">
        <f>VIII_Baza_BDWMS!V30</f>
        <v/>
      </c>
      <c r="W827" s="632">
        <f>VIII_Baza_BDWMS!W30</f>
        <v/>
      </c>
      <c r="X827" s="632">
        <f>VIII_Baza_BDWMS!X30</f>
        <v/>
      </c>
      <c r="Y827" s="654">
        <f>VIII_Baza_BDWMS!Y30</f>
        <v/>
      </c>
      <c r="Z827" s="654">
        <f>VIII_Baza_BDWMS!Z30</f>
        <v/>
      </c>
      <c r="AA827" s="654">
        <f>VIII_Baza_BDWMS!AA30</f>
        <v/>
      </c>
      <c r="AB827" s="654">
        <f>VIII_Baza_BDWMS!AB30</f>
        <v/>
      </c>
      <c r="AC827" s="617">
        <f>VIII_Baza_BDWMS!AC30</f>
        <v/>
      </c>
      <c r="AD827" s="617">
        <f>VIII_Baza_BDWMS!AD30</f>
        <v/>
      </c>
      <c r="AE827" s="617">
        <f>VIII_Baza_BDWMS!AE30</f>
        <v/>
      </c>
      <c r="AF827" s="617">
        <f>VIII_Baza_BDWMS!AF30</f>
        <v/>
      </c>
      <c r="AG827" s="259">
        <f>VIII_Baza_BDWMS!AG30</f>
        <v/>
      </c>
      <c r="AH827" s="259">
        <f>VIII_Baza_BDWMS!AH30</f>
        <v/>
      </c>
      <c r="AI827" s="259">
        <f>VIII_Baza_BDWMS!AI30</f>
        <v/>
      </c>
      <c r="AJ827" s="259">
        <f>VIII_Baza_BDWMS!AJ30</f>
        <v/>
      </c>
      <c r="AK827" s="259">
        <f>VIII_Baza_BDWMS!AK30</f>
        <v/>
      </c>
      <c r="AL827" s="259">
        <f>VIII_Baza_BDWMS!AL30</f>
        <v/>
      </c>
      <c r="AM827" s="259">
        <f>VIII_Baza_BDWMS!AM30</f>
        <v/>
      </c>
      <c r="AN827" s="259">
        <f>VIII_Baza_BDWMS!AN30</f>
        <v/>
      </c>
      <c r="AO827" s="259">
        <f>VIII_Baza_BDWMS!AO30</f>
        <v/>
      </c>
      <c r="AP827" s="647">
        <f>VIII_Baza_BDWMS!AP30</f>
        <v/>
      </c>
      <c r="AQ827" s="647">
        <f>VIII_Baza_BDWMS!AQ30</f>
        <v/>
      </c>
      <c r="AR827" s="647">
        <f>VIII_Baza_BDWMS!AR30</f>
        <v/>
      </c>
      <c r="AS827" s="647">
        <f>VIII_Baza_BDWMS!AS30</f>
        <v/>
      </c>
      <c r="AT827" s="623">
        <f>VIII_Baza_BDWMS!AT30</f>
        <v/>
      </c>
      <c r="AU827" s="623">
        <f>VIII_Baza_BDWMS!AU30</f>
        <v/>
      </c>
      <c r="AV827" s="623">
        <f>VIII_Baza_BDWMS!AV30</f>
        <v/>
      </c>
      <c r="AW827" s="623">
        <f>VIII_Baza_BDWMS!AW30</f>
        <v/>
      </c>
      <c r="AX827" s="275">
        <f>VIII_Baza_BDWMS!AX30</f>
        <v/>
      </c>
      <c r="AY827" s="275">
        <f>VIII_Baza_BDWMS!AY30</f>
        <v/>
      </c>
      <c r="AZ827" s="275">
        <f>VIII_Baza_BDWMS!AZ30</f>
        <v/>
      </c>
      <c r="BA827" s="275">
        <f>VIII_Baza_BDWMS!BA30</f>
        <v/>
      </c>
      <c r="BB827" s="275">
        <f>VIII_Baza_BDWMS!BB30</f>
        <v/>
      </c>
      <c r="BC827" s="275">
        <f>VIII_Baza_BDWMS!BC30</f>
        <v/>
      </c>
      <c r="BD827" s="275">
        <f>VIII_Baza_BDWMS!BD30</f>
        <v/>
      </c>
      <c r="BE827" s="275">
        <f>VIII_Baza_BDWMS!BE30</f>
        <v/>
      </c>
      <c r="BF827" s="275">
        <f>VIII_Baza_BDWMS!BF30</f>
        <v/>
      </c>
      <c r="BG827" s="275">
        <f>VIII_Baza_BDWMS!BG30</f>
        <v/>
      </c>
      <c r="BH827" s="275">
        <f>VIII_Baza_BDWMS!BH30</f>
        <v/>
      </c>
      <c r="BI827" s="275">
        <f>VIII_Baza_BDWMS!BI30</f>
        <v/>
      </c>
      <c r="BJ827">
        <f>O827</f>
        <v/>
      </c>
      <c r="BK827">
        <f>SUM(AG827:AW827)</f>
        <v/>
      </c>
      <c r="BL827" s="531">
        <f>BJ827-BK827</f>
        <v/>
      </c>
      <c r="BM827" s="201" t="n"/>
    </row>
    <row r="828" hidden="1" outlineLevel="1" s="191">
      <c r="A828" s="275">
        <f>VIII_Baza_BDWMS!A31</f>
        <v/>
      </c>
      <c r="B828" s="275">
        <f>VIII_Baza_BDWMS!B31</f>
        <v/>
      </c>
      <c r="C828" s="275">
        <f>VIII_Baza_BDWMS!C31</f>
        <v/>
      </c>
      <c r="D828" s="275">
        <f>VIII_Baza_BDWMS!D31</f>
        <v/>
      </c>
      <c r="E828" s="275">
        <f>VIII_Baza_BDWMS!E31</f>
        <v/>
      </c>
      <c r="F828" s="275">
        <f>VIII_Baza_BDWMS!F31</f>
        <v/>
      </c>
      <c r="G828" s="275">
        <f>VIII_Baza_BDWMS!G31</f>
        <v/>
      </c>
      <c r="H828" s="275">
        <f>VIII_Baza_BDWMS!H31</f>
        <v/>
      </c>
      <c r="I828" s="275">
        <f>VIII_Baza_BDWMS!I31</f>
        <v/>
      </c>
      <c r="J828" s="275">
        <f>VIII_Baza_BDWMS!J31</f>
        <v/>
      </c>
      <c r="K828" s="672">
        <f>VIII_Baza_BDWMS!K31</f>
        <v/>
      </c>
      <c r="L828" s="672">
        <f>VIII_Baza_BDWMS!L31</f>
        <v/>
      </c>
      <c r="M828" s="275">
        <f>VIII_Baza_BDWMS!M31</f>
        <v/>
      </c>
      <c r="N828" s="275">
        <f>VIII_Baza_BDWMS!N31</f>
        <v/>
      </c>
      <c r="O828" s="275">
        <f>VIII_Baza_BDWMS!O31</f>
        <v/>
      </c>
      <c r="P828" s="632">
        <f>VIII_Baza_BDWMS!P31</f>
        <v/>
      </c>
      <c r="Q828" s="632">
        <f>VIII_Baza_BDWMS!Q31</f>
        <v/>
      </c>
      <c r="R828" s="632">
        <f>VIII_Baza_BDWMS!R31</f>
        <v/>
      </c>
      <c r="S828" s="632">
        <f>VIII_Baza_BDWMS!S31</f>
        <v/>
      </c>
      <c r="T828" s="632">
        <f>VIII_Baza_BDWMS!T31</f>
        <v/>
      </c>
      <c r="U828" s="632">
        <f>VIII_Baza_BDWMS!U31</f>
        <v/>
      </c>
      <c r="V828" s="632">
        <f>VIII_Baza_BDWMS!V31</f>
        <v/>
      </c>
      <c r="W828" s="632">
        <f>VIII_Baza_BDWMS!W31</f>
        <v/>
      </c>
      <c r="X828" s="632">
        <f>VIII_Baza_BDWMS!X31</f>
        <v/>
      </c>
      <c r="Y828" s="654">
        <f>VIII_Baza_BDWMS!Y31</f>
        <v/>
      </c>
      <c r="Z828" s="654">
        <f>VIII_Baza_BDWMS!Z31</f>
        <v/>
      </c>
      <c r="AA828" s="654">
        <f>VIII_Baza_BDWMS!AA31</f>
        <v/>
      </c>
      <c r="AB828" s="654">
        <f>VIII_Baza_BDWMS!AB31</f>
        <v/>
      </c>
      <c r="AC828" s="617">
        <f>VIII_Baza_BDWMS!AC31</f>
        <v/>
      </c>
      <c r="AD828" s="617">
        <f>VIII_Baza_BDWMS!AD31</f>
        <v/>
      </c>
      <c r="AE828" s="617">
        <f>VIII_Baza_BDWMS!AE31</f>
        <v/>
      </c>
      <c r="AF828" s="617">
        <f>VIII_Baza_BDWMS!AF31</f>
        <v/>
      </c>
      <c r="AG828" s="259">
        <f>VIII_Baza_BDWMS!AG31</f>
        <v/>
      </c>
      <c r="AH828" s="259">
        <f>VIII_Baza_BDWMS!AH31</f>
        <v/>
      </c>
      <c r="AI828" s="259">
        <f>VIII_Baza_BDWMS!AI31</f>
        <v/>
      </c>
      <c r="AJ828" s="259">
        <f>VIII_Baza_BDWMS!AJ31</f>
        <v/>
      </c>
      <c r="AK828" s="259">
        <f>VIII_Baza_BDWMS!AK31</f>
        <v/>
      </c>
      <c r="AL828" s="259">
        <f>VIII_Baza_BDWMS!AL31</f>
        <v/>
      </c>
      <c r="AM828" s="259">
        <f>VIII_Baza_BDWMS!AM31</f>
        <v/>
      </c>
      <c r="AN828" s="259">
        <f>VIII_Baza_BDWMS!AN31</f>
        <v/>
      </c>
      <c r="AO828" s="259">
        <f>VIII_Baza_BDWMS!AO31</f>
        <v/>
      </c>
      <c r="AP828" s="647">
        <f>VIII_Baza_BDWMS!AP31</f>
        <v/>
      </c>
      <c r="AQ828" s="647">
        <f>VIII_Baza_BDWMS!AQ31</f>
        <v/>
      </c>
      <c r="AR828" s="647">
        <f>VIII_Baza_BDWMS!AR31</f>
        <v/>
      </c>
      <c r="AS828" s="647">
        <f>VIII_Baza_BDWMS!AS31</f>
        <v/>
      </c>
      <c r="AT828" s="623">
        <f>VIII_Baza_BDWMS!AT31</f>
        <v/>
      </c>
      <c r="AU828" s="623">
        <f>VIII_Baza_BDWMS!AU31</f>
        <v/>
      </c>
      <c r="AV828" s="623">
        <f>VIII_Baza_BDWMS!AV31</f>
        <v/>
      </c>
      <c r="AW828" s="623">
        <f>VIII_Baza_BDWMS!AW31</f>
        <v/>
      </c>
      <c r="AX828" s="275">
        <f>VIII_Baza_BDWMS!AX31</f>
        <v/>
      </c>
      <c r="AY828" s="275">
        <f>VIII_Baza_BDWMS!AY31</f>
        <v/>
      </c>
      <c r="AZ828" s="275">
        <f>VIII_Baza_BDWMS!AZ31</f>
        <v/>
      </c>
      <c r="BA828" s="275">
        <f>VIII_Baza_BDWMS!BA31</f>
        <v/>
      </c>
      <c r="BB828" s="275">
        <f>VIII_Baza_BDWMS!BB31</f>
        <v/>
      </c>
      <c r="BC828" s="275">
        <f>VIII_Baza_BDWMS!BC31</f>
        <v/>
      </c>
      <c r="BD828" s="275">
        <f>VIII_Baza_BDWMS!BD31</f>
        <v/>
      </c>
      <c r="BE828" s="275">
        <f>VIII_Baza_BDWMS!BE31</f>
        <v/>
      </c>
      <c r="BF828" s="275">
        <f>VIII_Baza_BDWMS!BF31</f>
        <v/>
      </c>
      <c r="BG828" s="275">
        <f>VIII_Baza_BDWMS!BG31</f>
        <v/>
      </c>
      <c r="BH828" s="275">
        <f>VIII_Baza_BDWMS!BH31</f>
        <v/>
      </c>
      <c r="BI828" s="275">
        <f>VIII_Baza_BDWMS!BI31</f>
        <v/>
      </c>
      <c r="BJ828">
        <f>O828</f>
        <v/>
      </c>
      <c r="BK828">
        <f>SUM(AG828:AW828)</f>
        <v/>
      </c>
      <c r="BL828" s="531">
        <f>BJ828-BK828</f>
        <v/>
      </c>
      <c r="BM828" s="201" t="n"/>
    </row>
    <row r="829" hidden="1" outlineLevel="1" s="191">
      <c r="A829" s="275">
        <f>VIII_Baza_BDWMS!A32</f>
        <v/>
      </c>
      <c r="B829" s="275">
        <f>VIII_Baza_BDWMS!B32</f>
        <v/>
      </c>
      <c r="C829" s="275">
        <f>VIII_Baza_BDWMS!C32</f>
        <v/>
      </c>
      <c r="D829" s="275">
        <f>VIII_Baza_BDWMS!D32</f>
        <v/>
      </c>
      <c r="E829" s="275">
        <f>VIII_Baza_BDWMS!E32</f>
        <v/>
      </c>
      <c r="F829" s="275">
        <f>VIII_Baza_BDWMS!F32</f>
        <v/>
      </c>
      <c r="G829" s="275">
        <f>VIII_Baza_BDWMS!G32</f>
        <v/>
      </c>
      <c r="H829" s="275">
        <f>VIII_Baza_BDWMS!H32</f>
        <v/>
      </c>
      <c r="I829" s="275">
        <f>VIII_Baza_BDWMS!I32</f>
        <v/>
      </c>
      <c r="J829" s="275">
        <f>VIII_Baza_BDWMS!J32</f>
        <v/>
      </c>
      <c r="K829" s="672">
        <f>VIII_Baza_BDWMS!K32</f>
        <v/>
      </c>
      <c r="L829" s="672">
        <f>VIII_Baza_BDWMS!L32</f>
        <v/>
      </c>
      <c r="M829" s="275">
        <f>VIII_Baza_BDWMS!M32</f>
        <v/>
      </c>
      <c r="N829" s="275">
        <f>VIII_Baza_BDWMS!N32</f>
        <v/>
      </c>
      <c r="O829" s="275">
        <f>VIII_Baza_BDWMS!O32</f>
        <v/>
      </c>
      <c r="P829" s="632">
        <f>VIII_Baza_BDWMS!P32</f>
        <v/>
      </c>
      <c r="Q829" s="632">
        <f>VIII_Baza_BDWMS!Q32</f>
        <v/>
      </c>
      <c r="R829" s="632">
        <f>VIII_Baza_BDWMS!R32</f>
        <v/>
      </c>
      <c r="S829" s="632">
        <f>VIII_Baza_BDWMS!S32</f>
        <v/>
      </c>
      <c r="T829" s="632">
        <f>VIII_Baza_BDWMS!T32</f>
        <v/>
      </c>
      <c r="U829" s="632">
        <f>VIII_Baza_BDWMS!U32</f>
        <v/>
      </c>
      <c r="V829" s="632">
        <f>VIII_Baza_BDWMS!V32</f>
        <v/>
      </c>
      <c r="W829" s="632">
        <f>VIII_Baza_BDWMS!W32</f>
        <v/>
      </c>
      <c r="X829" s="632">
        <f>VIII_Baza_BDWMS!X32</f>
        <v/>
      </c>
      <c r="Y829" s="654">
        <f>VIII_Baza_BDWMS!Y32</f>
        <v/>
      </c>
      <c r="Z829" s="654">
        <f>VIII_Baza_BDWMS!Z32</f>
        <v/>
      </c>
      <c r="AA829" s="654">
        <f>VIII_Baza_BDWMS!AA32</f>
        <v/>
      </c>
      <c r="AB829" s="654">
        <f>VIII_Baza_BDWMS!AB32</f>
        <v/>
      </c>
      <c r="AC829" s="617">
        <f>VIII_Baza_BDWMS!AC32</f>
        <v/>
      </c>
      <c r="AD829" s="617">
        <f>VIII_Baza_BDWMS!AD32</f>
        <v/>
      </c>
      <c r="AE829" s="617">
        <f>VIII_Baza_BDWMS!AE32</f>
        <v/>
      </c>
      <c r="AF829" s="617">
        <f>VIII_Baza_BDWMS!AF32</f>
        <v/>
      </c>
      <c r="AG829" s="259">
        <f>VIII_Baza_BDWMS!AG32</f>
        <v/>
      </c>
      <c r="AH829" s="259">
        <f>VIII_Baza_BDWMS!AH32</f>
        <v/>
      </c>
      <c r="AI829" s="259">
        <f>VIII_Baza_BDWMS!AI32</f>
        <v/>
      </c>
      <c r="AJ829" s="259">
        <f>VIII_Baza_BDWMS!AJ32</f>
        <v/>
      </c>
      <c r="AK829" s="259">
        <f>VIII_Baza_BDWMS!AK32</f>
        <v/>
      </c>
      <c r="AL829" s="259">
        <f>VIII_Baza_BDWMS!AL32</f>
        <v/>
      </c>
      <c r="AM829" s="259">
        <f>VIII_Baza_BDWMS!AM32</f>
        <v/>
      </c>
      <c r="AN829" s="259">
        <f>VIII_Baza_BDWMS!AN32</f>
        <v/>
      </c>
      <c r="AO829" s="259">
        <f>VIII_Baza_BDWMS!AO32</f>
        <v/>
      </c>
      <c r="AP829" s="647">
        <f>VIII_Baza_BDWMS!AP32</f>
        <v/>
      </c>
      <c r="AQ829" s="647">
        <f>VIII_Baza_BDWMS!AQ32</f>
        <v/>
      </c>
      <c r="AR829" s="647">
        <f>VIII_Baza_BDWMS!AR32</f>
        <v/>
      </c>
      <c r="AS829" s="647">
        <f>VIII_Baza_BDWMS!AS32</f>
        <v/>
      </c>
      <c r="AT829" s="623">
        <f>VIII_Baza_BDWMS!AT32</f>
        <v/>
      </c>
      <c r="AU829" s="623">
        <f>VIII_Baza_BDWMS!AU32</f>
        <v/>
      </c>
      <c r="AV829" s="623">
        <f>VIII_Baza_BDWMS!AV32</f>
        <v/>
      </c>
      <c r="AW829" s="623">
        <f>VIII_Baza_BDWMS!AW32</f>
        <v/>
      </c>
      <c r="AX829" s="275">
        <f>VIII_Baza_BDWMS!AX32</f>
        <v/>
      </c>
      <c r="AY829" s="275">
        <f>VIII_Baza_BDWMS!AY32</f>
        <v/>
      </c>
      <c r="AZ829" s="275">
        <f>VIII_Baza_BDWMS!AZ32</f>
        <v/>
      </c>
      <c r="BA829" s="275">
        <f>VIII_Baza_BDWMS!BA32</f>
        <v/>
      </c>
      <c r="BB829" s="275">
        <f>VIII_Baza_BDWMS!BB32</f>
        <v/>
      </c>
      <c r="BC829" s="275">
        <f>VIII_Baza_BDWMS!BC32</f>
        <v/>
      </c>
      <c r="BD829" s="275">
        <f>VIII_Baza_BDWMS!BD32</f>
        <v/>
      </c>
      <c r="BE829" s="275">
        <f>VIII_Baza_BDWMS!BE32</f>
        <v/>
      </c>
      <c r="BF829" s="275">
        <f>VIII_Baza_BDWMS!BF32</f>
        <v/>
      </c>
      <c r="BG829" s="275">
        <f>VIII_Baza_BDWMS!BG32</f>
        <v/>
      </c>
      <c r="BH829" s="275">
        <f>VIII_Baza_BDWMS!BH32</f>
        <v/>
      </c>
      <c r="BI829" s="275">
        <f>VIII_Baza_BDWMS!BI32</f>
        <v/>
      </c>
      <c r="BJ829">
        <f>O829</f>
        <v/>
      </c>
      <c r="BK829">
        <f>SUM(AG829:AW829)</f>
        <v/>
      </c>
      <c r="BL829" s="531">
        <f>BJ829-BK829</f>
        <v/>
      </c>
      <c r="BM829" s="201" t="n"/>
    </row>
    <row r="830" hidden="1" outlineLevel="1" s="191">
      <c r="A830" s="275">
        <f>VIII_Baza_BDWMS!A33</f>
        <v/>
      </c>
      <c r="B830" s="275">
        <f>VIII_Baza_BDWMS!B33</f>
        <v/>
      </c>
      <c r="C830" s="275">
        <f>VIII_Baza_BDWMS!C33</f>
        <v/>
      </c>
      <c r="D830" s="275">
        <f>VIII_Baza_BDWMS!D33</f>
        <v/>
      </c>
      <c r="E830" s="275">
        <f>VIII_Baza_BDWMS!E33</f>
        <v/>
      </c>
      <c r="F830" s="275">
        <f>VIII_Baza_BDWMS!F33</f>
        <v/>
      </c>
      <c r="G830" s="275">
        <f>VIII_Baza_BDWMS!G33</f>
        <v/>
      </c>
      <c r="H830" s="275">
        <f>VIII_Baza_BDWMS!H33</f>
        <v/>
      </c>
      <c r="I830" s="275">
        <f>VIII_Baza_BDWMS!I33</f>
        <v/>
      </c>
      <c r="J830" s="275">
        <f>VIII_Baza_BDWMS!J33</f>
        <v/>
      </c>
      <c r="K830" s="672">
        <f>VIII_Baza_BDWMS!K33</f>
        <v/>
      </c>
      <c r="L830" s="672">
        <f>VIII_Baza_BDWMS!L33</f>
        <v/>
      </c>
      <c r="M830" s="275">
        <f>VIII_Baza_BDWMS!M33</f>
        <v/>
      </c>
      <c r="N830" s="275">
        <f>VIII_Baza_BDWMS!N33</f>
        <v/>
      </c>
      <c r="O830" s="275">
        <f>VIII_Baza_BDWMS!O33</f>
        <v/>
      </c>
      <c r="P830" s="632">
        <f>VIII_Baza_BDWMS!P33</f>
        <v/>
      </c>
      <c r="Q830" s="632">
        <f>VIII_Baza_BDWMS!Q33</f>
        <v/>
      </c>
      <c r="R830" s="632">
        <f>VIII_Baza_BDWMS!R33</f>
        <v/>
      </c>
      <c r="S830" s="632">
        <f>VIII_Baza_BDWMS!S33</f>
        <v/>
      </c>
      <c r="T830" s="632">
        <f>VIII_Baza_BDWMS!T33</f>
        <v/>
      </c>
      <c r="U830" s="632">
        <f>VIII_Baza_BDWMS!U33</f>
        <v/>
      </c>
      <c r="V830" s="632">
        <f>VIII_Baza_BDWMS!V33</f>
        <v/>
      </c>
      <c r="W830" s="632">
        <f>VIII_Baza_BDWMS!W33</f>
        <v/>
      </c>
      <c r="X830" s="632">
        <f>VIII_Baza_BDWMS!X33</f>
        <v/>
      </c>
      <c r="Y830" s="654">
        <f>VIII_Baza_BDWMS!Y33</f>
        <v/>
      </c>
      <c r="Z830" s="654">
        <f>VIII_Baza_BDWMS!Z33</f>
        <v/>
      </c>
      <c r="AA830" s="654">
        <f>VIII_Baza_BDWMS!AA33</f>
        <v/>
      </c>
      <c r="AB830" s="654">
        <f>VIII_Baza_BDWMS!AB33</f>
        <v/>
      </c>
      <c r="AC830" s="617">
        <f>VIII_Baza_BDWMS!AC33</f>
        <v/>
      </c>
      <c r="AD830" s="617">
        <f>VIII_Baza_BDWMS!AD33</f>
        <v/>
      </c>
      <c r="AE830" s="617">
        <f>VIII_Baza_BDWMS!AE33</f>
        <v/>
      </c>
      <c r="AF830" s="617">
        <f>VIII_Baza_BDWMS!AF33</f>
        <v/>
      </c>
      <c r="AG830" s="259">
        <f>VIII_Baza_BDWMS!AG33</f>
        <v/>
      </c>
      <c r="AH830" s="259">
        <f>VIII_Baza_BDWMS!AH33</f>
        <v/>
      </c>
      <c r="AI830" s="259">
        <f>VIII_Baza_BDWMS!AI33</f>
        <v/>
      </c>
      <c r="AJ830" s="259">
        <f>VIII_Baza_BDWMS!AJ33</f>
        <v/>
      </c>
      <c r="AK830" s="259">
        <f>VIII_Baza_BDWMS!AK33</f>
        <v/>
      </c>
      <c r="AL830" s="259">
        <f>VIII_Baza_BDWMS!AL33</f>
        <v/>
      </c>
      <c r="AM830" s="259">
        <f>VIII_Baza_BDWMS!AM33</f>
        <v/>
      </c>
      <c r="AN830" s="259">
        <f>VIII_Baza_BDWMS!AN33</f>
        <v/>
      </c>
      <c r="AO830" s="259">
        <f>VIII_Baza_BDWMS!AO33</f>
        <v/>
      </c>
      <c r="AP830" s="647">
        <f>VIII_Baza_BDWMS!AP33</f>
        <v/>
      </c>
      <c r="AQ830" s="647">
        <f>VIII_Baza_BDWMS!AQ33</f>
        <v/>
      </c>
      <c r="AR830" s="647">
        <f>VIII_Baza_BDWMS!AR33</f>
        <v/>
      </c>
      <c r="AS830" s="647">
        <f>VIII_Baza_BDWMS!AS33</f>
        <v/>
      </c>
      <c r="AT830" s="623">
        <f>VIII_Baza_BDWMS!AT33</f>
        <v/>
      </c>
      <c r="AU830" s="623">
        <f>VIII_Baza_BDWMS!AU33</f>
        <v/>
      </c>
      <c r="AV830" s="623">
        <f>VIII_Baza_BDWMS!AV33</f>
        <v/>
      </c>
      <c r="AW830" s="623">
        <f>VIII_Baza_BDWMS!AW33</f>
        <v/>
      </c>
      <c r="AX830" s="275">
        <f>VIII_Baza_BDWMS!AX33</f>
        <v/>
      </c>
      <c r="AY830" s="275">
        <f>VIII_Baza_BDWMS!AY33</f>
        <v/>
      </c>
      <c r="AZ830" s="275">
        <f>VIII_Baza_BDWMS!AZ33</f>
        <v/>
      </c>
      <c r="BA830" s="275">
        <f>VIII_Baza_BDWMS!BA33</f>
        <v/>
      </c>
      <c r="BB830" s="275">
        <f>VIII_Baza_BDWMS!BB33</f>
        <v/>
      </c>
      <c r="BC830" s="275">
        <f>VIII_Baza_BDWMS!BC33</f>
        <v/>
      </c>
      <c r="BD830" s="275">
        <f>VIII_Baza_BDWMS!BD33</f>
        <v/>
      </c>
      <c r="BE830" s="275">
        <f>VIII_Baza_BDWMS!BE33</f>
        <v/>
      </c>
      <c r="BF830" s="275">
        <f>VIII_Baza_BDWMS!BF33</f>
        <v/>
      </c>
      <c r="BG830" s="275">
        <f>VIII_Baza_BDWMS!BG33</f>
        <v/>
      </c>
      <c r="BH830" s="275">
        <f>VIII_Baza_BDWMS!BH33</f>
        <v/>
      </c>
      <c r="BI830" s="275">
        <f>VIII_Baza_BDWMS!BI33</f>
        <v/>
      </c>
      <c r="BJ830">
        <f>O830</f>
        <v/>
      </c>
      <c r="BK830">
        <f>SUM(AG830:AW830)</f>
        <v/>
      </c>
      <c r="BL830" s="531">
        <f>BJ830-BK830</f>
        <v/>
      </c>
      <c r="BM830" s="201" t="n"/>
    </row>
    <row r="831" hidden="1" outlineLevel="1" ht="15.6" customHeight="1" s="191">
      <c r="A831" s="275" t="n"/>
      <c r="B831" s="260" t="n"/>
      <c r="C831" s="261" t="n"/>
      <c r="D831" s="276" t="n"/>
      <c r="E831" s="277" t="n"/>
      <c r="F831" s="538" t="n"/>
      <c r="P831" s="628" t="n"/>
      <c r="Q831" s="628" t="n"/>
      <c r="R831" s="628" t="n"/>
      <c r="S831" s="628" t="n"/>
      <c r="T831" s="628" t="n"/>
      <c r="U831" s="628" t="n"/>
      <c r="V831" s="628" t="n"/>
      <c r="W831" s="628" t="n"/>
      <c r="X831" s="628" t="n"/>
      <c r="Y831" s="650" t="n"/>
      <c r="Z831" s="650" t="n"/>
      <c r="AA831" s="650" t="n"/>
      <c r="AB831" s="650" t="n"/>
      <c r="AC831" s="613" t="n"/>
      <c r="AD831" s="613" t="n"/>
      <c r="AE831" s="613" t="n"/>
      <c r="AF831" s="613" t="n"/>
      <c r="AG831" s="626" t="n"/>
      <c r="AH831" s="626" t="n"/>
      <c r="AI831" s="626" t="n"/>
      <c r="AJ831" s="626" t="n"/>
      <c r="AK831" s="626" t="n"/>
      <c r="AL831" s="626" t="n"/>
      <c r="AM831" s="626" t="n"/>
      <c r="AN831" s="626" t="n"/>
      <c r="AO831" s="626" t="n"/>
      <c r="AP831" s="369" t="n"/>
      <c r="AQ831" s="369" t="n"/>
      <c r="AR831" s="369" t="n"/>
      <c r="AS831" s="369" t="n"/>
      <c r="AT831" s="370" t="n"/>
      <c r="AU831" s="370" t="n"/>
      <c r="AV831" s="370" t="n"/>
      <c r="AW831" s="370" t="n"/>
      <c r="BJ831">
        <f>O831</f>
        <v/>
      </c>
      <c r="BK831">
        <f>SUM(AG831:AW831)</f>
        <v/>
      </c>
      <c r="BL831" s="531">
        <f>BJ831-BK831</f>
        <v/>
      </c>
      <c r="BM831" s="201" t="n"/>
    </row>
    <row r="832" hidden="1" outlineLevel="1" ht="15.6" customHeight="1" s="191">
      <c r="A832" s="275" t="n"/>
      <c r="B832" s="260" t="n"/>
      <c r="C832" s="261" t="n"/>
      <c r="D832" s="276" t="n"/>
      <c r="E832" s="277" t="n"/>
      <c r="F832" s="538" t="n"/>
      <c r="P832" s="628" t="n"/>
      <c r="Q832" s="628" t="n"/>
      <c r="R832" s="628" t="n"/>
      <c r="S832" s="628" t="n"/>
      <c r="T832" s="628" t="n"/>
      <c r="U832" s="628" t="n"/>
      <c r="V832" s="628" t="n"/>
      <c r="W832" s="628" t="n"/>
      <c r="X832" s="628" t="n"/>
      <c r="Y832" s="650" t="n"/>
      <c r="Z832" s="650" t="n"/>
      <c r="AA832" s="650" t="n"/>
      <c r="AB832" s="650" t="n"/>
      <c r="AC832" s="613" t="n"/>
      <c r="AD832" s="613" t="n"/>
      <c r="AE832" s="613" t="n"/>
      <c r="AF832" s="613" t="n"/>
      <c r="AG832" s="626" t="n"/>
      <c r="AH832" s="626" t="n"/>
      <c r="AI832" s="626" t="n"/>
      <c r="AJ832" s="626" t="n"/>
      <c r="AK832" s="626" t="n"/>
      <c r="AL832" s="626" t="n"/>
      <c r="AM832" s="626" t="n"/>
      <c r="AN832" s="626" t="n"/>
      <c r="AO832" s="626" t="n"/>
      <c r="AP832" s="369" t="n"/>
      <c r="AQ832" s="369" t="n"/>
      <c r="AR832" s="369" t="n"/>
      <c r="AS832" s="369" t="n"/>
      <c r="AT832" s="370" t="n"/>
      <c r="AU832" s="370" t="n"/>
      <c r="AV832" s="370" t="n"/>
      <c r="AW832" s="370" t="n"/>
      <c r="BJ832">
        <f>O832</f>
        <v/>
      </c>
      <c r="BK832">
        <f>SUM(AG832:AW832)</f>
        <v/>
      </c>
      <c r="BL832" s="531">
        <f>BJ832-BK832</f>
        <v/>
      </c>
      <c r="BM832" s="201" t="n"/>
    </row>
    <row r="833" hidden="1" outlineLevel="1" ht="15.6" customHeight="1" s="191">
      <c r="A833" s="275" t="n"/>
      <c r="B833" s="260" t="n"/>
      <c r="C833" s="261" t="n"/>
      <c r="D833" s="276" t="n"/>
      <c r="E833" s="277" t="n"/>
      <c r="F833" s="538" t="n"/>
      <c r="P833" s="628" t="n"/>
      <c r="Q833" s="628" t="n"/>
      <c r="R833" s="628" t="n"/>
      <c r="S833" s="628" t="n"/>
      <c r="T833" s="628" t="n"/>
      <c r="U833" s="628" t="n"/>
      <c r="V833" s="628" t="n"/>
      <c r="W833" s="628" t="n"/>
      <c r="X833" s="628" t="n"/>
      <c r="Y833" s="650" t="n"/>
      <c r="Z833" s="650" t="n"/>
      <c r="AA833" s="650" t="n"/>
      <c r="AB833" s="650" t="n"/>
      <c r="AC833" s="613" t="n"/>
      <c r="AD833" s="613" t="n"/>
      <c r="AE833" s="613" t="n"/>
      <c r="AF833" s="613" t="n"/>
      <c r="AG833" s="626" t="n"/>
      <c r="AH833" s="626" t="n"/>
      <c r="AI833" s="626" t="n"/>
      <c r="AJ833" s="626" t="n"/>
      <c r="AK833" s="626" t="n"/>
      <c r="AL833" s="626" t="n"/>
      <c r="AM833" s="626" t="n"/>
      <c r="AN833" s="626" t="n"/>
      <c r="AO833" s="626" t="n"/>
      <c r="AP833" s="369" t="n"/>
      <c r="AQ833" s="369" t="n"/>
      <c r="AR833" s="369" t="n"/>
      <c r="AS833" s="369" t="n"/>
      <c r="AT833" s="370" t="n"/>
      <c r="AU833" s="370" t="n"/>
      <c r="AV833" s="370" t="n"/>
      <c r="AW833" s="370" t="n"/>
      <c r="BJ833">
        <f>O833</f>
        <v/>
      </c>
      <c r="BK833">
        <f>SUM(AG833:AW833)</f>
        <v/>
      </c>
      <c r="BL833" s="531">
        <f>BJ833-BK833</f>
        <v/>
      </c>
      <c r="BM833" s="201" t="n"/>
    </row>
    <row r="834" hidden="1" outlineLevel="1" ht="15.6" customHeight="1" s="191">
      <c r="A834" s="275" t="n"/>
      <c r="B834" s="260" t="n"/>
      <c r="C834" s="261" t="n"/>
      <c r="D834" s="276" t="n"/>
      <c r="E834" s="277" t="n"/>
      <c r="F834" s="538" t="n"/>
      <c r="P834" s="628" t="n"/>
      <c r="Q834" s="628" t="n"/>
      <c r="R834" s="628" t="n"/>
      <c r="S834" s="628" t="n"/>
      <c r="T834" s="628" t="n"/>
      <c r="U834" s="628" t="n"/>
      <c r="V834" s="628" t="n"/>
      <c r="W834" s="628" t="n"/>
      <c r="X834" s="628" t="n"/>
      <c r="Y834" s="650" t="n"/>
      <c r="Z834" s="650" t="n"/>
      <c r="AA834" s="650" t="n"/>
      <c r="AB834" s="650" t="n"/>
      <c r="AC834" s="613" t="n"/>
      <c r="AD834" s="613" t="n"/>
      <c r="AE834" s="613" t="n"/>
      <c r="AF834" s="613" t="n"/>
      <c r="AG834" s="626" t="n"/>
      <c r="AH834" s="626" t="n"/>
      <c r="AI834" s="626" t="n"/>
      <c r="AJ834" s="626" t="n"/>
      <c r="AK834" s="626" t="n"/>
      <c r="AL834" s="626" t="n"/>
      <c r="AM834" s="626" t="n"/>
      <c r="AN834" s="626" t="n"/>
      <c r="AO834" s="626" t="n"/>
      <c r="AP834" s="369" t="n"/>
      <c r="AQ834" s="369" t="n"/>
      <c r="AR834" s="369" t="n"/>
      <c r="AS834" s="369" t="n"/>
      <c r="AT834" s="370" t="n"/>
      <c r="AU834" s="370" t="n"/>
      <c r="AV834" s="370" t="n"/>
      <c r="AW834" s="370" t="n"/>
      <c r="BJ834">
        <f>O834</f>
        <v/>
      </c>
      <c r="BK834">
        <f>SUM(AG834:AW834)</f>
        <v/>
      </c>
      <c r="BL834" s="531">
        <f>BJ834-BK834</f>
        <v/>
      </c>
      <c r="BM834" s="201" t="n"/>
    </row>
    <row r="835" hidden="1" outlineLevel="1" ht="15.6" customHeight="1" s="191">
      <c r="A835" s="275" t="n"/>
      <c r="B835" s="260" t="n"/>
      <c r="C835" s="261" t="n"/>
      <c r="D835" s="276" t="n"/>
      <c r="E835" s="277" t="n"/>
      <c r="F835" s="538" t="n"/>
      <c r="P835" s="628" t="n"/>
      <c r="Q835" s="628" t="n"/>
      <c r="R835" s="628" t="n"/>
      <c r="S835" s="628" t="n"/>
      <c r="T835" s="628" t="n"/>
      <c r="U835" s="628" t="n"/>
      <c r="V835" s="628" t="n"/>
      <c r="W835" s="628" t="n"/>
      <c r="X835" s="628" t="n"/>
      <c r="Y835" s="650" t="n"/>
      <c r="Z835" s="650" t="n"/>
      <c r="AA835" s="650" t="n"/>
      <c r="AB835" s="650" t="n"/>
      <c r="AC835" s="613" t="n"/>
      <c r="AD835" s="613" t="n"/>
      <c r="AE835" s="613" t="n"/>
      <c r="AF835" s="613" t="n"/>
      <c r="AG835" s="626" t="n"/>
      <c r="AH835" s="626" t="n"/>
      <c r="AI835" s="626" t="n"/>
      <c r="AJ835" s="626" t="n"/>
      <c r="AK835" s="626" t="n"/>
      <c r="AL835" s="626" t="n"/>
      <c r="AM835" s="626" t="n"/>
      <c r="AN835" s="626" t="n"/>
      <c r="AO835" s="626" t="n"/>
      <c r="AP835" s="369" t="n"/>
      <c r="AQ835" s="369" t="n"/>
      <c r="AR835" s="369" t="n"/>
      <c r="AS835" s="369" t="n"/>
      <c r="AT835" s="370" t="n"/>
      <c r="AU835" s="370" t="n"/>
      <c r="AV835" s="370" t="n"/>
      <c r="AW835" s="370" t="n"/>
      <c r="BJ835">
        <f>O835</f>
        <v/>
      </c>
      <c r="BK835">
        <f>SUM(AG835:AW835)</f>
        <v/>
      </c>
      <c r="BL835" s="531">
        <f>BJ835-BK835</f>
        <v/>
      </c>
      <c r="BM835" s="201" t="n"/>
    </row>
    <row r="836" hidden="1" outlineLevel="1" ht="15.6" customHeight="1" s="191">
      <c r="A836" s="275" t="n"/>
      <c r="B836" s="260" t="n"/>
      <c r="C836" s="261" t="n"/>
      <c r="D836" s="276" t="n"/>
      <c r="E836" s="277" t="n"/>
      <c r="F836" s="538" t="n"/>
      <c r="P836" s="628" t="n"/>
      <c r="Q836" s="628" t="n"/>
      <c r="R836" s="628" t="n"/>
      <c r="S836" s="628" t="n"/>
      <c r="T836" s="628" t="n"/>
      <c r="U836" s="628" t="n"/>
      <c r="V836" s="628" t="n"/>
      <c r="W836" s="628" t="n"/>
      <c r="X836" s="628" t="n"/>
      <c r="Y836" s="650" t="n"/>
      <c r="Z836" s="650" t="n"/>
      <c r="AA836" s="650" t="n"/>
      <c r="AB836" s="650" t="n"/>
      <c r="AC836" s="613" t="n"/>
      <c r="AD836" s="613" t="n"/>
      <c r="AE836" s="613" t="n"/>
      <c r="AF836" s="613" t="n"/>
      <c r="AG836" s="626" t="n"/>
      <c r="AH836" s="626" t="n"/>
      <c r="AI836" s="626" t="n"/>
      <c r="AJ836" s="626" t="n"/>
      <c r="AK836" s="626" t="n"/>
      <c r="AL836" s="626" t="n"/>
      <c r="AM836" s="626" t="n"/>
      <c r="AN836" s="626" t="n"/>
      <c r="AO836" s="626" t="n"/>
      <c r="AP836" s="369" t="n"/>
      <c r="AQ836" s="369" t="n"/>
      <c r="AR836" s="369" t="n"/>
      <c r="AS836" s="369" t="n"/>
      <c r="AT836" s="370" t="n"/>
      <c r="AU836" s="370" t="n"/>
      <c r="AV836" s="370" t="n"/>
      <c r="AW836" s="370" t="n"/>
      <c r="BJ836">
        <f>O836</f>
        <v/>
      </c>
      <c r="BK836">
        <f>SUM(AG836:AW836)</f>
        <v/>
      </c>
      <c r="BL836" s="531">
        <f>BJ836-BK836</f>
        <v/>
      </c>
      <c r="BM836" s="201" t="n"/>
    </row>
    <row r="837" hidden="1" outlineLevel="1" ht="15.6" customHeight="1" s="191">
      <c r="A837" s="275" t="n"/>
      <c r="B837" s="260" t="n"/>
      <c r="C837" s="261" t="n"/>
      <c r="D837" s="276" t="n"/>
      <c r="E837" s="277" t="n"/>
      <c r="F837" s="538" t="n"/>
      <c r="P837" s="628" t="n"/>
      <c r="Q837" s="628" t="n"/>
      <c r="R837" s="628" t="n"/>
      <c r="S837" s="628" t="n"/>
      <c r="T837" s="628" t="n"/>
      <c r="U837" s="628" t="n"/>
      <c r="V837" s="628" t="n"/>
      <c r="W837" s="628" t="n"/>
      <c r="X837" s="628" t="n"/>
      <c r="Y837" s="650" t="n"/>
      <c r="Z837" s="650" t="n"/>
      <c r="AA837" s="650" t="n"/>
      <c r="AB837" s="650" t="n"/>
      <c r="AC837" s="613" t="n"/>
      <c r="AD837" s="613" t="n"/>
      <c r="AE837" s="613" t="n"/>
      <c r="AF837" s="613" t="n"/>
      <c r="AG837" s="626" t="n"/>
      <c r="AH837" s="626" t="n"/>
      <c r="AI837" s="626" t="n"/>
      <c r="AJ837" s="626" t="n"/>
      <c r="AK837" s="626" t="n"/>
      <c r="AL837" s="626" t="n"/>
      <c r="AM837" s="626" t="n"/>
      <c r="AN837" s="626" t="n"/>
      <c r="AO837" s="626" t="n"/>
      <c r="AP837" s="369" t="n"/>
      <c r="AQ837" s="369" t="n"/>
      <c r="AR837" s="369" t="n"/>
      <c r="AS837" s="369" t="n"/>
      <c r="AT837" s="370" t="n"/>
      <c r="AU837" s="370" t="n"/>
      <c r="AV837" s="370" t="n"/>
      <c r="AW837" s="370" t="n"/>
      <c r="BJ837">
        <f>O837</f>
        <v/>
      </c>
      <c r="BK837">
        <f>SUM(AG837:AW837)</f>
        <v/>
      </c>
      <c r="BL837" s="531">
        <f>BJ837-BK837</f>
        <v/>
      </c>
      <c r="BM837" s="201" t="n"/>
    </row>
    <row r="838" hidden="1" outlineLevel="1" ht="15.6" customHeight="1" s="191">
      <c r="A838" s="275" t="n"/>
      <c r="B838" s="260" t="n"/>
      <c r="C838" s="261" t="n"/>
      <c r="D838" s="276" t="n"/>
      <c r="E838" s="277" t="n"/>
      <c r="F838" s="538" t="n"/>
      <c r="P838" s="628" t="n"/>
      <c r="Q838" s="628" t="n"/>
      <c r="R838" s="628" t="n"/>
      <c r="S838" s="628" t="n"/>
      <c r="T838" s="628" t="n"/>
      <c r="U838" s="628" t="n"/>
      <c r="V838" s="628" t="n"/>
      <c r="W838" s="628" t="n"/>
      <c r="X838" s="628" t="n"/>
      <c r="Y838" s="650" t="n"/>
      <c r="Z838" s="650" t="n"/>
      <c r="AA838" s="650" t="n"/>
      <c r="AB838" s="650" t="n"/>
      <c r="AC838" s="613" t="n"/>
      <c r="AD838" s="613" t="n"/>
      <c r="AE838" s="613" t="n"/>
      <c r="AF838" s="613" t="n"/>
      <c r="AG838" s="626" t="n"/>
      <c r="AH838" s="626" t="n"/>
      <c r="AI838" s="626" t="n"/>
      <c r="AJ838" s="626" t="n"/>
      <c r="AK838" s="626" t="n"/>
      <c r="AL838" s="626" t="n"/>
      <c r="AM838" s="626" t="n"/>
      <c r="AN838" s="626" t="n"/>
      <c r="AO838" s="626" t="n"/>
      <c r="AP838" s="369" t="n"/>
      <c r="AQ838" s="369" t="n"/>
      <c r="AR838" s="369" t="n"/>
      <c r="AS838" s="369" t="n"/>
      <c r="AT838" s="370" t="n"/>
      <c r="AU838" s="370" t="n"/>
      <c r="AV838" s="370" t="n"/>
      <c r="AW838" s="370" t="n"/>
      <c r="BJ838">
        <f>O838</f>
        <v/>
      </c>
      <c r="BK838">
        <f>SUM(AG838:AW838)</f>
        <v/>
      </c>
      <c r="BL838" s="531">
        <f>BJ838-BK838</f>
        <v/>
      </c>
      <c r="BM838" s="201" t="n"/>
    </row>
    <row r="839" hidden="1" outlineLevel="1" ht="15.6" customHeight="1" s="191">
      <c r="A839" s="275" t="n"/>
      <c r="B839" s="260" t="n"/>
      <c r="C839" s="261" t="n"/>
      <c r="D839" s="276" t="n"/>
      <c r="E839" s="277" t="n"/>
      <c r="F839" s="538" t="n"/>
      <c r="P839" s="628" t="n"/>
      <c r="Q839" s="628" t="n"/>
      <c r="R839" s="628" t="n"/>
      <c r="S839" s="628" t="n"/>
      <c r="T839" s="628" t="n"/>
      <c r="U839" s="628" t="n"/>
      <c r="V839" s="628" t="n"/>
      <c r="W839" s="628" t="n"/>
      <c r="X839" s="628" t="n"/>
      <c r="Y839" s="650" t="n"/>
      <c r="Z839" s="650" t="n"/>
      <c r="AA839" s="650" t="n"/>
      <c r="AB839" s="650" t="n"/>
      <c r="AC839" s="613" t="n"/>
      <c r="AD839" s="613" t="n"/>
      <c r="AE839" s="613" t="n"/>
      <c r="AF839" s="613" t="n"/>
      <c r="AG839" s="626" t="n"/>
      <c r="AH839" s="626" t="n"/>
      <c r="AI839" s="626" t="n"/>
      <c r="AJ839" s="626" t="n"/>
      <c r="AK839" s="626" t="n"/>
      <c r="AL839" s="626" t="n"/>
      <c r="AM839" s="626" t="n"/>
      <c r="AN839" s="626" t="n"/>
      <c r="AO839" s="626" t="n"/>
      <c r="AP839" s="369" t="n"/>
      <c r="AQ839" s="369" t="n"/>
      <c r="AR839" s="369" t="n"/>
      <c r="AS839" s="369" t="n"/>
      <c r="AT839" s="370" t="n"/>
      <c r="AU839" s="370" t="n"/>
      <c r="AV839" s="370" t="n"/>
      <c r="AW839" s="370" t="n"/>
      <c r="BJ839">
        <f>O839</f>
        <v/>
      </c>
      <c r="BK839">
        <f>SUM(AG839:AW839)</f>
        <v/>
      </c>
      <c r="BL839" s="531">
        <f>BJ839-BK839</f>
        <v/>
      </c>
      <c r="BM839" s="201" t="n"/>
    </row>
    <row r="840" hidden="1" outlineLevel="1" ht="15.6" customHeight="1" s="191">
      <c r="A840" s="275" t="n"/>
      <c r="B840" s="260" t="n"/>
      <c r="C840" s="261" t="n"/>
      <c r="D840" s="276" t="n"/>
      <c r="E840" s="277" t="n"/>
      <c r="F840" s="538" t="n"/>
      <c r="P840" s="628" t="n"/>
      <c r="Q840" s="628" t="n"/>
      <c r="R840" s="628" t="n"/>
      <c r="S840" s="628" t="n"/>
      <c r="T840" s="628" t="n"/>
      <c r="U840" s="628" t="n"/>
      <c r="V840" s="628" t="n"/>
      <c r="W840" s="628" t="n"/>
      <c r="X840" s="628" t="n"/>
      <c r="Y840" s="650" t="n"/>
      <c r="Z840" s="650" t="n"/>
      <c r="AA840" s="650" t="n"/>
      <c r="AB840" s="650" t="n"/>
      <c r="AC840" s="613" t="n"/>
      <c r="AD840" s="613" t="n"/>
      <c r="AE840" s="613" t="n"/>
      <c r="AF840" s="613" t="n"/>
      <c r="AG840" s="626" t="n"/>
      <c r="AH840" s="626" t="n"/>
      <c r="AI840" s="626" t="n"/>
      <c r="AJ840" s="626" t="n"/>
      <c r="AK840" s="626" t="n"/>
      <c r="AL840" s="626" t="n"/>
      <c r="AM840" s="626" t="n"/>
      <c r="AN840" s="626" t="n"/>
      <c r="AO840" s="626" t="n"/>
      <c r="AP840" s="369" t="n"/>
      <c r="AQ840" s="369" t="n"/>
      <c r="AR840" s="369" t="n"/>
      <c r="AS840" s="369" t="n"/>
      <c r="AT840" s="370" t="n"/>
      <c r="AU840" s="370" t="n"/>
      <c r="AV840" s="370" t="n"/>
      <c r="AW840" s="370" t="n"/>
      <c r="BJ840">
        <f>O840</f>
        <v/>
      </c>
      <c r="BK840">
        <f>SUM(AG840:AW840)</f>
        <v/>
      </c>
      <c r="BL840" s="531">
        <f>BJ840-BK840</f>
        <v/>
      </c>
      <c r="BM840" s="201" t="n"/>
    </row>
    <row r="841" hidden="1" outlineLevel="1" ht="15.6" customHeight="1" s="191">
      <c r="A841" s="275" t="n"/>
      <c r="B841" s="260" t="n"/>
      <c r="C841" s="261" t="n"/>
      <c r="D841" s="276" t="n"/>
      <c r="E841" s="277" t="n"/>
      <c r="F841" s="538" t="n"/>
      <c r="P841" s="628" t="n"/>
      <c r="Q841" s="628" t="n"/>
      <c r="R841" s="628" t="n"/>
      <c r="S841" s="628" t="n"/>
      <c r="T841" s="628" t="n"/>
      <c r="U841" s="628" t="n"/>
      <c r="V841" s="628" t="n"/>
      <c r="W841" s="628" t="n"/>
      <c r="X841" s="628" t="n"/>
      <c r="Y841" s="650" t="n"/>
      <c r="Z841" s="650" t="n"/>
      <c r="AA841" s="650" t="n"/>
      <c r="AB841" s="650" t="n"/>
      <c r="AC841" s="613" t="n"/>
      <c r="AD841" s="613" t="n"/>
      <c r="AE841" s="613" t="n"/>
      <c r="AF841" s="613" t="n"/>
      <c r="AG841" s="626" t="n"/>
      <c r="AH841" s="626" t="n"/>
      <c r="AI841" s="626" t="n"/>
      <c r="AJ841" s="626" t="n"/>
      <c r="AK841" s="626" t="n"/>
      <c r="AL841" s="626" t="n"/>
      <c r="AM841" s="626" t="n"/>
      <c r="AN841" s="626" t="n"/>
      <c r="AO841" s="626" t="n"/>
      <c r="AP841" s="369" t="n"/>
      <c r="AQ841" s="369" t="n"/>
      <c r="AR841" s="369" t="n"/>
      <c r="AS841" s="369" t="n"/>
      <c r="AT841" s="370" t="n"/>
      <c r="AU841" s="370" t="n"/>
      <c r="AV841" s="370" t="n"/>
      <c r="AW841" s="370" t="n"/>
      <c r="BJ841">
        <f>O841</f>
        <v/>
      </c>
      <c r="BK841">
        <f>SUM(AG841:AW841)</f>
        <v/>
      </c>
      <c r="BL841" s="531">
        <f>BJ841-BK841</f>
        <v/>
      </c>
      <c r="BM841" s="201" t="n"/>
    </row>
    <row r="842" hidden="1" outlineLevel="1" ht="15.6" customHeight="1" s="191">
      <c r="A842" s="275" t="n"/>
      <c r="B842" s="260" t="n"/>
      <c r="C842" s="261" t="n"/>
      <c r="D842" s="276" t="n"/>
      <c r="E842" s="277" t="n"/>
      <c r="F842" s="538" t="n"/>
      <c r="P842" s="628" t="n"/>
      <c r="Q842" s="628" t="n"/>
      <c r="R842" s="628" t="n"/>
      <c r="S842" s="628" t="n"/>
      <c r="T842" s="628" t="n"/>
      <c r="U842" s="628" t="n"/>
      <c r="V842" s="628" t="n"/>
      <c r="W842" s="628" t="n"/>
      <c r="X842" s="628" t="n"/>
      <c r="Y842" s="650" t="n"/>
      <c r="Z842" s="650" t="n"/>
      <c r="AA842" s="650" t="n"/>
      <c r="AB842" s="650" t="n"/>
      <c r="AC842" s="613" t="n"/>
      <c r="AD842" s="613" t="n"/>
      <c r="AE842" s="613" t="n"/>
      <c r="AF842" s="613" t="n"/>
      <c r="AG842" s="626" t="n"/>
      <c r="AH842" s="626" t="n"/>
      <c r="AI842" s="626" t="n"/>
      <c r="AJ842" s="626" t="n"/>
      <c r="AK842" s="626" t="n"/>
      <c r="AL842" s="626" t="n"/>
      <c r="AM842" s="626" t="n"/>
      <c r="AN842" s="626" t="n"/>
      <c r="AO842" s="626" t="n"/>
      <c r="AP842" s="369" t="n"/>
      <c r="AQ842" s="369" t="n"/>
      <c r="AR842" s="369" t="n"/>
      <c r="AS842" s="369" t="n"/>
      <c r="AT842" s="370" t="n"/>
      <c r="AU842" s="370" t="n"/>
      <c r="AV842" s="370" t="n"/>
      <c r="AW842" s="370" t="n"/>
      <c r="BJ842">
        <f>O842</f>
        <v/>
      </c>
      <c r="BK842">
        <f>SUM(AG842:AW842)</f>
        <v/>
      </c>
      <c r="BL842" s="531">
        <f>BJ842-BK842</f>
        <v/>
      </c>
      <c r="BM842" s="201" t="n"/>
    </row>
    <row r="843" hidden="1" outlineLevel="1" ht="15.6" customHeight="1" s="191">
      <c r="A843" s="275" t="n"/>
      <c r="B843" s="260" t="n"/>
      <c r="C843" s="261" t="n"/>
      <c r="D843" s="276" t="n"/>
      <c r="E843" s="277" t="n"/>
      <c r="F843" s="538" t="n"/>
      <c r="P843" s="628" t="n"/>
      <c r="Q843" s="628" t="n"/>
      <c r="R843" s="628" t="n"/>
      <c r="S843" s="628" t="n"/>
      <c r="T843" s="628" t="n"/>
      <c r="U843" s="628" t="n"/>
      <c r="V843" s="628" t="n"/>
      <c r="W843" s="628" t="n"/>
      <c r="X843" s="628" t="n"/>
      <c r="Y843" s="650" t="n"/>
      <c r="Z843" s="650" t="n"/>
      <c r="AA843" s="650" t="n"/>
      <c r="AB843" s="650" t="n"/>
      <c r="AC843" s="613" t="n"/>
      <c r="AD843" s="613" t="n"/>
      <c r="AE843" s="613" t="n"/>
      <c r="AF843" s="613" t="n"/>
      <c r="AG843" s="626" t="n"/>
      <c r="AH843" s="626" t="n"/>
      <c r="AI843" s="626" t="n"/>
      <c r="AJ843" s="626" t="n"/>
      <c r="AK843" s="626" t="n"/>
      <c r="AL843" s="626" t="n"/>
      <c r="AM843" s="626" t="n"/>
      <c r="AN843" s="626" t="n"/>
      <c r="AO843" s="626" t="n"/>
      <c r="AP843" s="369" t="n"/>
      <c r="AQ843" s="369" t="n"/>
      <c r="AR843" s="369" t="n"/>
      <c r="AS843" s="369" t="n"/>
      <c r="AT843" s="370" t="n"/>
      <c r="AU843" s="370" t="n"/>
      <c r="AV843" s="370" t="n"/>
      <c r="AW843" s="370" t="n"/>
      <c r="BJ843">
        <f>O843</f>
        <v/>
      </c>
      <c r="BK843">
        <f>SUM(AG843:AW843)</f>
        <v/>
      </c>
      <c r="BL843" s="531">
        <f>BJ843-BK843</f>
        <v/>
      </c>
      <c r="BM843" s="201" t="n"/>
    </row>
    <row r="844" hidden="1" outlineLevel="1" ht="15.6" customHeight="1" s="191">
      <c r="A844" s="275" t="n"/>
      <c r="B844" s="260" t="n"/>
      <c r="C844" s="261" t="n"/>
      <c r="D844" s="276" t="n"/>
      <c r="E844" s="277" t="n"/>
      <c r="F844" s="538" t="n"/>
      <c r="P844" s="628" t="n"/>
      <c r="Q844" s="628" t="n"/>
      <c r="R844" s="628" t="n"/>
      <c r="S844" s="628" t="n"/>
      <c r="T844" s="628" t="n"/>
      <c r="U844" s="628" t="n"/>
      <c r="V844" s="628" t="n"/>
      <c r="W844" s="628" t="n"/>
      <c r="X844" s="628" t="n"/>
      <c r="Y844" s="650" t="n"/>
      <c r="Z844" s="650" t="n"/>
      <c r="AA844" s="650" t="n"/>
      <c r="AB844" s="650" t="n"/>
      <c r="AC844" s="613" t="n"/>
      <c r="AD844" s="613" t="n"/>
      <c r="AE844" s="613" t="n"/>
      <c r="AF844" s="613" t="n"/>
      <c r="AG844" s="626" t="n"/>
      <c r="AH844" s="626" t="n"/>
      <c r="AI844" s="626" t="n"/>
      <c r="AJ844" s="626" t="n"/>
      <c r="AK844" s="626" t="n"/>
      <c r="AL844" s="626" t="n"/>
      <c r="AM844" s="626" t="n"/>
      <c r="AN844" s="626" t="n"/>
      <c r="AO844" s="626" t="n"/>
      <c r="AP844" s="369" t="n"/>
      <c r="AQ844" s="369" t="n"/>
      <c r="AR844" s="369" t="n"/>
      <c r="AS844" s="369" t="n"/>
      <c r="AT844" s="370" t="n"/>
      <c r="AU844" s="370" t="n"/>
      <c r="AV844" s="370" t="n"/>
      <c r="AW844" s="370" t="n"/>
      <c r="BJ844">
        <f>O844</f>
        <v/>
      </c>
      <c r="BK844">
        <f>SUM(AG844:AW844)</f>
        <v/>
      </c>
      <c r="BL844" s="531">
        <f>BJ844-BK844</f>
        <v/>
      </c>
      <c r="BM844" s="201" t="n"/>
    </row>
    <row r="845" hidden="1" outlineLevel="1" ht="15.6" customHeight="1" s="191">
      <c r="A845" s="275" t="n"/>
      <c r="B845" s="260" t="n"/>
      <c r="C845" s="261" t="n"/>
      <c r="D845" s="276" t="n"/>
      <c r="E845" s="277" t="n"/>
      <c r="F845" s="538" t="n"/>
      <c r="P845" s="628" t="n"/>
      <c r="Q845" s="628" t="n"/>
      <c r="R845" s="628" t="n"/>
      <c r="S845" s="628" t="n"/>
      <c r="T845" s="628" t="n"/>
      <c r="U845" s="628" t="n"/>
      <c r="V845" s="628" t="n"/>
      <c r="W845" s="628" t="n"/>
      <c r="X845" s="628" t="n"/>
      <c r="Y845" s="650" t="n"/>
      <c r="Z845" s="650" t="n"/>
      <c r="AA845" s="650" t="n"/>
      <c r="AB845" s="650" t="n"/>
      <c r="AC845" s="613" t="n"/>
      <c r="AD845" s="613" t="n"/>
      <c r="AE845" s="613" t="n"/>
      <c r="AF845" s="613" t="n"/>
      <c r="AG845" s="626" t="n"/>
      <c r="AH845" s="626" t="n"/>
      <c r="AI845" s="626" t="n"/>
      <c r="AJ845" s="626" t="n"/>
      <c r="AK845" s="626" t="n"/>
      <c r="AL845" s="626" t="n"/>
      <c r="AM845" s="626" t="n"/>
      <c r="AN845" s="626" t="n"/>
      <c r="AO845" s="626" t="n"/>
      <c r="AP845" s="369" t="n"/>
      <c r="AQ845" s="369" t="n"/>
      <c r="AR845" s="369" t="n"/>
      <c r="AS845" s="369" t="n"/>
      <c r="AT845" s="370" t="n"/>
      <c r="AU845" s="370" t="n"/>
      <c r="AV845" s="370" t="n"/>
      <c r="AW845" s="370" t="n"/>
      <c r="BJ845">
        <f>O845</f>
        <v/>
      </c>
      <c r="BK845">
        <f>SUM(AG845:AW845)</f>
        <v/>
      </c>
      <c r="BL845" s="531">
        <f>BJ845-BK845</f>
        <v/>
      </c>
      <c r="BM845" s="201" t="n"/>
    </row>
    <row r="846" hidden="1" outlineLevel="1" ht="15.6" customHeight="1" s="191">
      <c r="A846" s="275" t="n"/>
      <c r="B846" s="260" t="n"/>
      <c r="C846" s="261" t="n"/>
      <c r="D846" s="276" t="n"/>
      <c r="E846" s="277" t="n"/>
      <c r="F846" s="538" t="n"/>
      <c r="P846" s="628" t="n"/>
      <c r="Q846" s="628" t="n"/>
      <c r="R846" s="628" t="n"/>
      <c r="S846" s="628" t="n"/>
      <c r="T846" s="628" t="n"/>
      <c r="U846" s="628" t="n"/>
      <c r="V846" s="628" t="n"/>
      <c r="W846" s="628" t="n"/>
      <c r="X846" s="628" t="n"/>
      <c r="Y846" s="650" t="n"/>
      <c r="Z846" s="650" t="n"/>
      <c r="AA846" s="650" t="n"/>
      <c r="AB846" s="650" t="n"/>
      <c r="AC846" s="613" t="n"/>
      <c r="AD846" s="613" t="n"/>
      <c r="AE846" s="613" t="n"/>
      <c r="AF846" s="613" t="n"/>
      <c r="AG846" s="626" t="n"/>
      <c r="AH846" s="626" t="n"/>
      <c r="AI846" s="626" t="n"/>
      <c r="AJ846" s="626" t="n"/>
      <c r="AK846" s="626" t="n"/>
      <c r="AL846" s="626" t="n"/>
      <c r="AM846" s="626" t="n"/>
      <c r="AN846" s="626" t="n"/>
      <c r="AO846" s="626" t="n"/>
      <c r="AP846" s="369" t="n"/>
      <c r="AQ846" s="369" t="n"/>
      <c r="AR846" s="369" t="n"/>
      <c r="AS846" s="369" t="n"/>
      <c r="AT846" s="370" t="n"/>
      <c r="AU846" s="370" t="n"/>
      <c r="AV846" s="370" t="n"/>
      <c r="AW846" s="370" t="n"/>
      <c r="BJ846">
        <f>O846</f>
        <v/>
      </c>
      <c r="BK846">
        <f>SUM(AG846:AW846)</f>
        <v/>
      </c>
      <c r="BL846" s="531">
        <f>BJ846-BK846</f>
        <v/>
      </c>
      <c r="BM846" s="201" t="n"/>
    </row>
    <row r="847" hidden="1" outlineLevel="1" ht="15.6" customHeight="1" s="191">
      <c r="A847" s="275" t="n"/>
      <c r="B847" s="260" t="n"/>
      <c r="C847" s="261" t="n"/>
      <c r="D847" s="276" t="n"/>
      <c r="E847" s="277" t="n"/>
      <c r="F847" s="538" t="n"/>
      <c r="P847" s="628" t="n"/>
      <c r="Q847" s="628" t="n"/>
      <c r="R847" s="628" t="n"/>
      <c r="S847" s="628" t="n"/>
      <c r="T847" s="628" t="n"/>
      <c r="U847" s="628" t="n"/>
      <c r="V847" s="628" t="n"/>
      <c r="W847" s="628" t="n"/>
      <c r="X847" s="628" t="n"/>
      <c r="Y847" s="650" t="n"/>
      <c r="Z847" s="650" t="n"/>
      <c r="AA847" s="650" t="n"/>
      <c r="AB847" s="650" t="n"/>
      <c r="AC847" s="613" t="n"/>
      <c r="AD847" s="613" t="n"/>
      <c r="AE847" s="613" t="n"/>
      <c r="AF847" s="613" t="n"/>
      <c r="AG847" s="626" t="n"/>
      <c r="AH847" s="626" t="n"/>
      <c r="AI847" s="626" t="n"/>
      <c r="AJ847" s="626" t="n"/>
      <c r="AK847" s="626" t="n"/>
      <c r="AL847" s="626" t="n"/>
      <c r="AM847" s="626" t="n"/>
      <c r="AN847" s="626" t="n"/>
      <c r="AO847" s="626" t="n"/>
      <c r="AP847" s="369" t="n"/>
      <c r="AQ847" s="369" t="n"/>
      <c r="AR847" s="369" t="n"/>
      <c r="AS847" s="369" t="n"/>
      <c r="AT847" s="370" t="n"/>
      <c r="AU847" s="370" t="n"/>
      <c r="AV847" s="370" t="n"/>
      <c r="AW847" s="370" t="n"/>
      <c r="BJ847">
        <f>O847</f>
        <v/>
      </c>
      <c r="BK847">
        <f>SUM(AG847:AW847)</f>
        <v/>
      </c>
      <c r="BL847" s="531">
        <f>BJ847-BK847</f>
        <v/>
      </c>
      <c r="BM847" s="201" t="n"/>
    </row>
    <row r="848" hidden="1" outlineLevel="1" ht="15.6" customHeight="1" s="191">
      <c r="A848" s="275" t="n"/>
      <c r="B848" s="260" t="n"/>
      <c r="C848" s="261" t="n"/>
      <c r="D848" s="276" t="n"/>
      <c r="E848" s="277" t="n"/>
      <c r="F848" s="538" t="n"/>
      <c r="P848" s="628" t="n"/>
      <c r="Q848" s="628" t="n"/>
      <c r="R848" s="628" t="n"/>
      <c r="S848" s="628" t="n"/>
      <c r="T848" s="628" t="n"/>
      <c r="U848" s="628" t="n"/>
      <c r="V848" s="628" t="n"/>
      <c r="W848" s="628" t="n"/>
      <c r="X848" s="628" t="n"/>
      <c r="Y848" s="650" t="n"/>
      <c r="Z848" s="650" t="n"/>
      <c r="AA848" s="650" t="n"/>
      <c r="AB848" s="650" t="n"/>
      <c r="AC848" s="613" t="n"/>
      <c r="AD848" s="613" t="n"/>
      <c r="AE848" s="613" t="n"/>
      <c r="AF848" s="613" t="n"/>
      <c r="AG848" s="626" t="n"/>
      <c r="AH848" s="626" t="n"/>
      <c r="AI848" s="626" t="n"/>
      <c r="AJ848" s="626" t="n"/>
      <c r="AK848" s="626" t="n"/>
      <c r="AL848" s="626" t="n"/>
      <c r="AM848" s="626" t="n"/>
      <c r="AN848" s="626" t="n"/>
      <c r="AO848" s="626" t="n"/>
      <c r="AP848" s="369" t="n"/>
      <c r="AQ848" s="369" t="n"/>
      <c r="AR848" s="369" t="n"/>
      <c r="AS848" s="369" t="n"/>
      <c r="AT848" s="370" t="n"/>
      <c r="AU848" s="370" t="n"/>
      <c r="AV848" s="370" t="n"/>
      <c r="AW848" s="370" t="n"/>
      <c r="BJ848">
        <f>O848</f>
        <v/>
      </c>
      <c r="BK848">
        <f>SUM(AG848:AW848)</f>
        <v/>
      </c>
      <c r="BL848" s="531">
        <f>BJ848-BK848</f>
        <v/>
      </c>
      <c r="BM848" s="201" t="n"/>
    </row>
    <row r="849" hidden="1" outlineLevel="1" ht="15.6" customHeight="1" s="191">
      <c r="A849" s="275" t="n"/>
      <c r="B849" s="260" t="n"/>
      <c r="C849" s="261" t="n"/>
      <c r="D849" s="276" t="n"/>
      <c r="E849" s="277" t="n"/>
      <c r="F849" s="538" t="n"/>
      <c r="P849" s="628" t="n"/>
      <c r="Q849" s="628" t="n"/>
      <c r="R849" s="628" t="n"/>
      <c r="S849" s="628" t="n"/>
      <c r="T849" s="628" t="n"/>
      <c r="U849" s="628" t="n"/>
      <c r="V849" s="628" t="n"/>
      <c r="W849" s="628" t="n"/>
      <c r="X849" s="628" t="n"/>
      <c r="Y849" s="650" t="n"/>
      <c r="Z849" s="650" t="n"/>
      <c r="AA849" s="650" t="n"/>
      <c r="AB849" s="650" t="n"/>
      <c r="AC849" s="613" t="n"/>
      <c r="AD849" s="613" t="n"/>
      <c r="AE849" s="613" t="n"/>
      <c r="AF849" s="613" t="n"/>
      <c r="AG849" s="626" t="n"/>
      <c r="AH849" s="626" t="n"/>
      <c r="AI849" s="626" t="n"/>
      <c r="AJ849" s="626" t="n"/>
      <c r="AK849" s="626" t="n"/>
      <c r="AL849" s="626" t="n"/>
      <c r="AM849" s="626" t="n"/>
      <c r="AN849" s="626" t="n"/>
      <c r="AO849" s="626" t="n"/>
      <c r="AP849" s="369" t="n"/>
      <c r="AQ849" s="369" t="n"/>
      <c r="AR849" s="369" t="n"/>
      <c r="AS849" s="369" t="n"/>
      <c r="AT849" s="370" t="n"/>
      <c r="AU849" s="370" t="n"/>
      <c r="AV849" s="370" t="n"/>
      <c r="AW849" s="370" t="n"/>
      <c r="BJ849">
        <f>O849</f>
        <v/>
      </c>
      <c r="BK849">
        <f>SUM(AG849:AW849)</f>
        <v/>
      </c>
      <c r="BL849" s="531">
        <f>BJ849-BK849</f>
        <v/>
      </c>
      <c r="BM849" s="201" t="n"/>
    </row>
    <row r="850" hidden="1" outlineLevel="1" ht="15.6" customHeight="1" s="191">
      <c r="A850" s="275" t="n"/>
      <c r="B850" s="260" t="n"/>
      <c r="C850" s="261" t="n"/>
      <c r="D850" s="276" t="n"/>
      <c r="E850" s="277" t="n"/>
      <c r="F850" s="538" t="n"/>
      <c r="P850" s="628" t="n"/>
      <c r="Q850" s="628" t="n"/>
      <c r="R850" s="628" t="n"/>
      <c r="S850" s="628" t="n"/>
      <c r="T850" s="628" t="n"/>
      <c r="U850" s="628" t="n"/>
      <c r="V850" s="628" t="n"/>
      <c r="W850" s="628" t="n"/>
      <c r="X850" s="628" t="n"/>
      <c r="Y850" s="650" t="n"/>
      <c r="Z850" s="650" t="n"/>
      <c r="AA850" s="650" t="n"/>
      <c r="AB850" s="650" t="n"/>
      <c r="AC850" s="613" t="n"/>
      <c r="AD850" s="613" t="n"/>
      <c r="AE850" s="613" t="n"/>
      <c r="AF850" s="613" t="n"/>
      <c r="AG850" s="626" t="n"/>
      <c r="AH850" s="626" t="n"/>
      <c r="AI850" s="626" t="n"/>
      <c r="AJ850" s="626" t="n"/>
      <c r="AK850" s="626" t="n"/>
      <c r="AL850" s="626" t="n"/>
      <c r="AM850" s="626" t="n"/>
      <c r="AN850" s="626" t="n"/>
      <c r="AO850" s="626" t="n"/>
      <c r="AP850" s="369" t="n"/>
      <c r="AQ850" s="369" t="n"/>
      <c r="AR850" s="369" t="n"/>
      <c r="AS850" s="369" t="n"/>
      <c r="AT850" s="370" t="n"/>
      <c r="AU850" s="370" t="n"/>
      <c r="AV850" s="370" t="n"/>
      <c r="AW850" s="370" t="n"/>
      <c r="BJ850">
        <f>O850</f>
        <v/>
      </c>
      <c r="BK850">
        <f>SUM(AG850:AW850)</f>
        <v/>
      </c>
      <c r="BL850" s="531">
        <f>BJ850-BK850</f>
        <v/>
      </c>
      <c r="BM850" s="201" t="n"/>
    </row>
    <row r="851" hidden="1" outlineLevel="1" ht="15.6" customHeight="1" s="191">
      <c r="A851" s="275" t="n"/>
      <c r="B851" s="260" t="n"/>
      <c r="C851" s="261" t="n"/>
      <c r="D851" s="276" t="n"/>
      <c r="E851" s="277" t="n"/>
      <c r="F851" s="538" t="n"/>
      <c r="P851" s="628" t="n"/>
      <c r="Q851" s="628" t="n"/>
      <c r="R851" s="628" t="n"/>
      <c r="S851" s="628" t="n"/>
      <c r="T851" s="628" t="n"/>
      <c r="U851" s="628" t="n"/>
      <c r="V851" s="628" t="n"/>
      <c r="W851" s="628" t="n"/>
      <c r="X851" s="628" t="n"/>
      <c r="Y851" s="650" t="n"/>
      <c r="Z851" s="650" t="n"/>
      <c r="AA851" s="650" t="n"/>
      <c r="AB851" s="650" t="n"/>
      <c r="AC851" s="613" t="n"/>
      <c r="AD851" s="613" t="n"/>
      <c r="AE851" s="613" t="n"/>
      <c r="AF851" s="613" t="n"/>
      <c r="AG851" s="626" t="n"/>
      <c r="AH851" s="626" t="n"/>
      <c r="AI851" s="626" t="n"/>
      <c r="AJ851" s="626" t="n"/>
      <c r="AK851" s="626" t="n"/>
      <c r="AL851" s="626" t="n"/>
      <c r="AM851" s="626" t="n"/>
      <c r="AN851" s="626" t="n"/>
      <c r="AO851" s="626" t="n"/>
      <c r="AP851" s="369" t="n"/>
      <c r="AQ851" s="369" t="n"/>
      <c r="AR851" s="369" t="n"/>
      <c r="AS851" s="369" t="n"/>
      <c r="AT851" s="370" t="n"/>
      <c r="AU851" s="370" t="n"/>
      <c r="AV851" s="370" t="n"/>
      <c r="AW851" s="370" t="n"/>
      <c r="BJ851">
        <f>O851</f>
        <v/>
      </c>
      <c r="BK851">
        <f>SUM(AG851:AW851)</f>
        <v/>
      </c>
      <c r="BL851" s="531">
        <f>BJ851-BK851</f>
        <v/>
      </c>
      <c r="BM851" s="201" t="n"/>
    </row>
    <row r="852" hidden="1" outlineLevel="1" ht="15.6" customHeight="1" s="191">
      <c r="A852" s="275" t="n"/>
      <c r="B852" s="260" t="n"/>
      <c r="C852" s="261" t="n"/>
      <c r="D852" s="276" t="n"/>
      <c r="E852" s="277" t="n"/>
      <c r="F852" s="538" t="n"/>
      <c r="P852" s="628" t="n"/>
      <c r="Q852" s="628" t="n"/>
      <c r="R852" s="628" t="n"/>
      <c r="S852" s="628" t="n"/>
      <c r="T852" s="628" t="n"/>
      <c r="U852" s="628" t="n"/>
      <c r="V852" s="628" t="n"/>
      <c r="W852" s="628" t="n"/>
      <c r="X852" s="628" t="n"/>
      <c r="Y852" s="650" t="n"/>
      <c r="Z852" s="650" t="n"/>
      <c r="AA852" s="650" t="n"/>
      <c r="AB852" s="650" t="n"/>
      <c r="AC852" s="613" t="n"/>
      <c r="AD852" s="613" t="n"/>
      <c r="AE852" s="613" t="n"/>
      <c r="AF852" s="613" t="n"/>
      <c r="AG852" s="626" t="n"/>
      <c r="AH852" s="626" t="n"/>
      <c r="AI852" s="626" t="n"/>
      <c r="AJ852" s="626" t="n"/>
      <c r="AK852" s="626" t="n"/>
      <c r="AL852" s="626" t="n"/>
      <c r="AM852" s="626" t="n"/>
      <c r="AN852" s="626" t="n"/>
      <c r="AO852" s="626" t="n"/>
      <c r="AP852" s="369" t="n"/>
      <c r="AQ852" s="369" t="n"/>
      <c r="AR852" s="369" t="n"/>
      <c r="AS852" s="369" t="n"/>
      <c r="AT852" s="370" t="n"/>
      <c r="AU852" s="370" t="n"/>
      <c r="AV852" s="370" t="n"/>
      <c r="AW852" s="370" t="n"/>
      <c r="BJ852">
        <f>O852</f>
        <v/>
      </c>
      <c r="BK852">
        <f>SUM(AG852:AW852)</f>
        <v/>
      </c>
      <c r="BL852" s="531">
        <f>BJ852-BK852</f>
        <v/>
      </c>
      <c r="BM852" s="201" t="n"/>
    </row>
    <row r="853" hidden="1" outlineLevel="1" ht="15.6" customHeight="1" s="191">
      <c r="A853" s="275" t="n"/>
      <c r="B853" s="260" t="n"/>
      <c r="C853" s="261" t="n"/>
      <c r="D853" s="276" t="n"/>
      <c r="E853" s="277" t="n"/>
      <c r="F853" s="538" t="n"/>
      <c r="P853" s="628" t="n"/>
      <c r="Q853" s="628" t="n"/>
      <c r="R853" s="628" t="n"/>
      <c r="S853" s="628" t="n"/>
      <c r="T853" s="628" t="n"/>
      <c r="U853" s="628" t="n"/>
      <c r="V853" s="628" t="n"/>
      <c r="W853" s="628" t="n"/>
      <c r="X853" s="628" t="n"/>
      <c r="Y853" s="650" t="n"/>
      <c r="Z853" s="650" t="n"/>
      <c r="AA853" s="650" t="n"/>
      <c r="AB853" s="650" t="n"/>
      <c r="AC853" s="613" t="n"/>
      <c r="AD853" s="613" t="n"/>
      <c r="AE853" s="613" t="n"/>
      <c r="AF853" s="613" t="n"/>
      <c r="AG853" s="626" t="n"/>
      <c r="AH853" s="626" t="n"/>
      <c r="AI853" s="626" t="n"/>
      <c r="AJ853" s="626" t="n"/>
      <c r="AK853" s="626" t="n"/>
      <c r="AL853" s="626" t="n"/>
      <c r="AM853" s="626" t="n"/>
      <c r="AN853" s="626" t="n"/>
      <c r="AO853" s="626" t="n"/>
      <c r="AP853" s="369" t="n"/>
      <c r="AQ853" s="369" t="n"/>
      <c r="AR853" s="369" t="n"/>
      <c r="AS853" s="369" t="n"/>
      <c r="AT853" s="370" t="n"/>
      <c r="AU853" s="370" t="n"/>
      <c r="AV853" s="370" t="n"/>
      <c r="AW853" s="370" t="n"/>
      <c r="BJ853">
        <f>O853</f>
        <v/>
      </c>
      <c r="BK853">
        <f>SUM(AG853:AW853)</f>
        <v/>
      </c>
      <c r="BL853" s="531">
        <f>BJ853-BK853</f>
        <v/>
      </c>
      <c r="BM853" s="201" t="n"/>
    </row>
    <row r="854" hidden="1" outlineLevel="1" ht="15.6" customHeight="1" s="191">
      <c r="A854" s="275" t="n"/>
      <c r="B854" s="260" t="n"/>
      <c r="C854" s="261" t="n"/>
      <c r="D854" s="276" t="n"/>
      <c r="E854" s="277" t="n"/>
      <c r="F854" s="538" t="n"/>
      <c r="P854" s="628" t="n"/>
      <c r="Q854" s="628" t="n"/>
      <c r="R854" s="628" t="n"/>
      <c r="S854" s="628" t="n"/>
      <c r="T854" s="628" t="n"/>
      <c r="U854" s="628" t="n"/>
      <c r="V854" s="628" t="n"/>
      <c r="W854" s="628" t="n"/>
      <c r="X854" s="628" t="n"/>
      <c r="Y854" s="650" t="n"/>
      <c r="Z854" s="650" t="n"/>
      <c r="AA854" s="650" t="n"/>
      <c r="AB854" s="650" t="n"/>
      <c r="AC854" s="613" t="n"/>
      <c r="AD854" s="613" t="n"/>
      <c r="AE854" s="613" t="n"/>
      <c r="AF854" s="613" t="n"/>
      <c r="AG854" s="626" t="n"/>
      <c r="AH854" s="626" t="n"/>
      <c r="AI854" s="626" t="n"/>
      <c r="AJ854" s="626" t="n"/>
      <c r="AK854" s="626" t="n"/>
      <c r="AL854" s="626" t="n"/>
      <c r="AM854" s="626" t="n"/>
      <c r="AN854" s="626" t="n"/>
      <c r="AO854" s="626" t="n"/>
      <c r="AP854" s="369" t="n"/>
      <c r="AQ854" s="369" t="n"/>
      <c r="AR854" s="369" t="n"/>
      <c r="AS854" s="369" t="n"/>
      <c r="AT854" s="370" t="n"/>
      <c r="AU854" s="370" t="n"/>
      <c r="AV854" s="370" t="n"/>
      <c r="AW854" s="370" t="n"/>
      <c r="BJ854">
        <f>O854</f>
        <v/>
      </c>
      <c r="BK854">
        <f>SUM(AG854:AW854)</f>
        <v/>
      </c>
      <c r="BL854" s="531">
        <f>BJ854-BK854</f>
        <v/>
      </c>
      <c r="BM854" s="201" t="n"/>
    </row>
    <row r="855" hidden="1" outlineLevel="1" ht="15.6" customHeight="1" s="191">
      <c r="A855" s="275" t="n"/>
      <c r="B855" s="260" t="n"/>
      <c r="C855" s="261" t="n"/>
      <c r="D855" s="276" t="n"/>
      <c r="E855" s="277" t="n"/>
      <c r="F855" s="538" t="n"/>
      <c r="P855" s="628" t="n"/>
      <c r="Q855" s="628" t="n"/>
      <c r="R855" s="628" t="n"/>
      <c r="S855" s="628" t="n"/>
      <c r="T855" s="628" t="n"/>
      <c r="U855" s="628" t="n"/>
      <c r="V855" s="628" t="n"/>
      <c r="W855" s="628" t="n"/>
      <c r="X855" s="628" t="n"/>
      <c r="Y855" s="650" t="n"/>
      <c r="Z855" s="650" t="n"/>
      <c r="AA855" s="650" t="n"/>
      <c r="AB855" s="650" t="n"/>
      <c r="AC855" s="613" t="n"/>
      <c r="AD855" s="613" t="n"/>
      <c r="AE855" s="613" t="n"/>
      <c r="AF855" s="613" t="n"/>
      <c r="AG855" s="626" t="n"/>
      <c r="AH855" s="626" t="n"/>
      <c r="AI855" s="626" t="n"/>
      <c r="AJ855" s="626" t="n"/>
      <c r="AK855" s="626" t="n"/>
      <c r="AL855" s="626" t="n"/>
      <c r="AM855" s="626" t="n"/>
      <c r="AN855" s="626" t="n"/>
      <c r="AO855" s="626" t="n"/>
      <c r="AP855" s="369" t="n"/>
      <c r="AQ855" s="369" t="n"/>
      <c r="AR855" s="369" t="n"/>
      <c r="AS855" s="369" t="n"/>
      <c r="AT855" s="370" t="n"/>
      <c r="AU855" s="370" t="n"/>
      <c r="AV855" s="370" t="n"/>
      <c r="AW855" s="370" t="n"/>
      <c r="BJ855">
        <f>O855</f>
        <v/>
      </c>
      <c r="BK855">
        <f>SUM(AG855:AW855)</f>
        <v/>
      </c>
      <c r="BL855" s="531">
        <f>BJ855-BK855</f>
        <v/>
      </c>
      <c r="BM855" s="201" t="n"/>
    </row>
    <row r="856" hidden="1" outlineLevel="1" ht="15.6" customHeight="1" s="191">
      <c r="A856" s="275" t="n"/>
      <c r="B856" s="260" t="n"/>
      <c r="C856" s="261" t="n"/>
      <c r="D856" s="276" t="n"/>
      <c r="E856" s="277" t="n"/>
      <c r="F856" s="538" t="n"/>
      <c r="P856" s="628" t="n"/>
      <c r="Q856" s="628" t="n"/>
      <c r="R856" s="628" t="n"/>
      <c r="S856" s="628" t="n"/>
      <c r="T856" s="628" t="n"/>
      <c r="U856" s="628" t="n"/>
      <c r="V856" s="628" t="n"/>
      <c r="W856" s="628" t="n"/>
      <c r="X856" s="628" t="n"/>
      <c r="Y856" s="650" t="n"/>
      <c r="Z856" s="650" t="n"/>
      <c r="AA856" s="650" t="n"/>
      <c r="AB856" s="650" t="n"/>
      <c r="AC856" s="613" t="n"/>
      <c r="AD856" s="613" t="n"/>
      <c r="AE856" s="613" t="n"/>
      <c r="AF856" s="613" t="n"/>
      <c r="AG856" s="626" t="n"/>
      <c r="AH856" s="626" t="n"/>
      <c r="AI856" s="626" t="n"/>
      <c r="AJ856" s="626" t="n"/>
      <c r="AK856" s="626" t="n"/>
      <c r="AL856" s="626" t="n"/>
      <c r="AM856" s="626" t="n"/>
      <c r="AN856" s="626" t="n"/>
      <c r="AO856" s="626" t="n"/>
      <c r="AP856" s="369" t="n"/>
      <c r="AQ856" s="369" t="n"/>
      <c r="AR856" s="369" t="n"/>
      <c r="AS856" s="369" t="n"/>
      <c r="AT856" s="370" t="n"/>
      <c r="AU856" s="370" t="n"/>
      <c r="AV856" s="370" t="n"/>
      <c r="AW856" s="370" t="n"/>
      <c r="BJ856">
        <f>O856</f>
        <v/>
      </c>
      <c r="BK856">
        <f>SUM(AG856:AW856)</f>
        <v/>
      </c>
      <c r="BL856" s="531">
        <f>BJ856-BK856</f>
        <v/>
      </c>
      <c r="BM856" s="201" t="n"/>
    </row>
    <row r="857" hidden="1" outlineLevel="1" ht="15.6" customHeight="1" s="191">
      <c r="A857" s="275" t="n"/>
      <c r="B857" s="260" t="n"/>
      <c r="C857" s="261" t="n"/>
      <c r="D857" s="276" t="n"/>
      <c r="E857" s="277" t="n"/>
      <c r="F857" s="538" t="n"/>
      <c r="P857" s="628" t="n"/>
      <c r="Q857" s="628" t="n"/>
      <c r="R857" s="628" t="n"/>
      <c r="S857" s="628" t="n"/>
      <c r="T857" s="628" t="n"/>
      <c r="U857" s="628" t="n"/>
      <c r="V857" s="628" t="n"/>
      <c r="W857" s="628" t="n"/>
      <c r="X857" s="628" t="n"/>
      <c r="Y857" s="650" t="n"/>
      <c r="Z857" s="650" t="n"/>
      <c r="AA857" s="650" t="n"/>
      <c r="AB857" s="650" t="n"/>
      <c r="AC857" s="613" t="n"/>
      <c r="AD857" s="613" t="n"/>
      <c r="AE857" s="613" t="n"/>
      <c r="AF857" s="613" t="n"/>
      <c r="AG857" s="626" t="n"/>
      <c r="AH857" s="626" t="n"/>
      <c r="AI857" s="626" t="n"/>
      <c r="AJ857" s="626" t="n"/>
      <c r="AK857" s="626" t="n"/>
      <c r="AL857" s="626" t="n"/>
      <c r="AM857" s="626" t="n"/>
      <c r="AN857" s="626" t="n"/>
      <c r="AO857" s="626" t="n"/>
      <c r="AP857" s="369" t="n"/>
      <c r="AQ857" s="369" t="n"/>
      <c r="AR857" s="369" t="n"/>
      <c r="AS857" s="369" t="n"/>
      <c r="AT857" s="370" t="n"/>
      <c r="AU857" s="370" t="n"/>
      <c r="AV857" s="370" t="n"/>
      <c r="AW857" s="370" t="n"/>
      <c r="BJ857">
        <f>O857</f>
        <v/>
      </c>
      <c r="BK857">
        <f>SUM(AG857:AW857)</f>
        <v/>
      </c>
      <c r="BL857" s="531">
        <f>BJ857-BK857</f>
        <v/>
      </c>
      <c r="BM857" s="201" t="n"/>
    </row>
    <row r="858" hidden="1" outlineLevel="1" ht="15.6" customHeight="1" s="191">
      <c r="A858" s="275" t="n"/>
      <c r="B858" s="260" t="n"/>
      <c r="C858" s="261" t="n"/>
      <c r="D858" s="276" t="n"/>
      <c r="E858" s="277" t="n"/>
      <c r="F858" s="538" t="n"/>
      <c r="P858" s="628" t="n"/>
      <c r="Q858" s="628" t="n"/>
      <c r="R858" s="628" t="n"/>
      <c r="S858" s="628" t="n"/>
      <c r="T858" s="628" t="n"/>
      <c r="U858" s="628" t="n"/>
      <c r="V858" s="628" t="n"/>
      <c r="W858" s="628" t="n"/>
      <c r="X858" s="628" t="n"/>
      <c r="Y858" s="650" t="n"/>
      <c r="Z858" s="650" t="n"/>
      <c r="AA858" s="650" t="n"/>
      <c r="AB858" s="650" t="n"/>
      <c r="AC858" s="613" t="n"/>
      <c r="AD858" s="613" t="n"/>
      <c r="AE858" s="613" t="n"/>
      <c r="AF858" s="613" t="n"/>
      <c r="AG858" s="626" t="n"/>
      <c r="AH858" s="626" t="n"/>
      <c r="AI858" s="626" t="n"/>
      <c r="AJ858" s="626" t="n"/>
      <c r="AK858" s="626" t="n"/>
      <c r="AL858" s="626" t="n"/>
      <c r="AM858" s="626" t="n"/>
      <c r="AN858" s="626" t="n"/>
      <c r="AO858" s="626" t="n"/>
      <c r="AP858" s="369" t="n"/>
      <c r="AQ858" s="369" t="n"/>
      <c r="AR858" s="369" t="n"/>
      <c r="AS858" s="369" t="n"/>
      <c r="AT858" s="370" t="n"/>
      <c r="AU858" s="370" t="n"/>
      <c r="AV858" s="370" t="n"/>
      <c r="AW858" s="370" t="n"/>
      <c r="BJ858">
        <f>O858</f>
        <v/>
      </c>
      <c r="BK858">
        <f>SUM(AG858:AW858)</f>
        <v/>
      </c>
      <c r="BL858" s="531">
        <f>BJ858-BK858</f>
        <v/>
      </c>
      <c r="BM858" s="201" t="n"/>
    </row>
    <row r="859" hidden="1" outlineLevel="1" ht="15.6" customHeight="1" s="191">
      <c r="A859" s="275" t="n"/>
      <c r="B859" s="260" t="n"/>
      <c r="C859" s="261" t="n"/>
      <c r="D859" s="276" t="n"/>
      <c r="E859" s="277" t="n"/>
      <c r="F859" s="538" t="n"/>
      <c r="P859" s="628" t="n"/>
      <c r="Q859" s="628" t="n"/>
      <c r="R859" s="628" t="n"/>
      <c r="S859" s="628" t="n"/>
      <c r="T859" s="628" t="n"/>
      <c r="U859" s="628" t="n"/>
      <c r="V859" s="628" t="n"/>
      <c r="W859" s="628" t="n"/>
      <c r="X859" s="628" t="n"/>
      <c r="Y859" s="650" t="n"/>
      <c r="Z859" s="650" t="n"/>
      <c r="AA859" s="650" t="n"/>
      <c r="AB859" s="650" t="n"/>
      <c r="AC859" s="613" t="n"/>
      <c r="AD859" s="613" t="n"/>
      <c r="AE859" s="613" t="n"/>
      <c r="AF859" s="613" t="n"/>
      <c r="AG859" s="626" t="n"/>
      <c r="AH859" s="626" t="n"/>
      <c r="AI859" s="626" t="n"/>
      <c r="AJ859" s="626" t="n"/>
      <c r="AK859" s="626" t="n"/>
      <c r="AL859" s="626" t="n"/>
      <c r="AM859" s="626" t="n"/>
      <c r="AN859" s="626" t="n"/>
      <c r="AO859" s="626" t="n"/>
      <c r="AP859" s="369" t="n"/>
      <c r="AQ859" s="369" t="n"/>
      <c r="AR859" s="369" t="n"/>
      <c r="AS859" s="369" t="n"/>
      <c r="AT859" s="370" t="n"/>
      <c r="AU859" s="370" t="n"/>
      <c r="AV859" s="370" t="n"/>
      <c r="AW859" s="370" t="n"/>
      <c r="BJ859">
        <f>O859</f>
        <v/>
      </c>
      <c r="BK859">
        <f>SUM(AG859:AW859)</f>
        <v/>
      </c>
      <c r="BL859" s="531">
        <f>BJ859-BK859</f>
        <v/>
      </c>
      <c r="BM859" s="201" t="n"/>
    </row>
    <row r="860" hidden="1" outlineLevel="1" ht="15.6" customHeight="1" s="191">
      <c r="A860" s="275" t="n"/>
      <c r="B860" s="260" t="n"/>
      <c r="C860" s="261" t="n"/>
      <c r="D860" s="276" t="n"/>
      <c r="E860" s="277" t="n"/>
      <c r="F860" s="538" t="n"/>
      <c r="P860" s="628" t="n"/>
      <c r="Q860" s="628" t="n"/>
      <c r="R860" s="628" t="n"/>
      <c r="S860" s="628" t="n"/>
      <c r="T860" s="628" t="n"/>
      <c r="U860" s="628" t="n"/>
      <c r="V860" s="628" t="n"/>
      <c r="W860" s="628" t="n"/>
      <c r="X860" s="628" t="n"/>
      <c r="Y860" s="650" t="n"/>
      <c r="Z860" s="650" t="n"/>
      <c r="AA860" s="650" t="n"/>
      <c r="AB860" s="650" t="n"/>
      <c r="AC860" s="613" t="n"/>
      <c r="AD860" s="613" t="n"/>
      <c r="AE860" s="613" t="n"/>
      <c r="AF860" s="613" t="n"/>
      <c r="AG860" s="626" t="n"/>
      <c r="AH860" s="626" t="n"/>
      <c r="AI860" s="626" t="n"/>
      <c r="AJ860" s="626" t="n"/>
      <c r="AK860" s="626" t="n"/>
      <c r="AL860" s="626" t="n"/>
      <c r="AM860" s="626" t="n"/>
      <c r="AN860" s="626" t="n"/>
      <c r="AO860" s="626" t="n"/>
      <c r="AP860" s="369" t="n"/>
      <c r="AQ860" s="369" t="n"/>
      <c r="AR860" s="369" t="n"/>
      <c r="AS860" s="369" t="n"/>
      <c r="AT860" s="370" t="n"/>
      <c r="AU860" s="370" t="n"/>
      <c r="AV860" s="370" t="n"/>
      <c r="AW860" s="370" t="n"/>
      <c r="BJ860">
        <f>O860</f>
        <v/>
      </c>
      <c r="BK860">
        <f>SUM(AG860:AW860)</f>
        <v/>
      </c>
      <c r="BL860" s="531">
        <f>BJ860-BK860</f>
        <v/>
      </c>
      <c r="BM860" s="201" t="n"/>
    </row>
    <row r="861" hidden="1" outlineLevel="1" ht="15.6" customHeight="1" s="191">
      <c r="A861" s="275" t="n"/>
      <c r="B861" s="260" t="n"/>
      <c r="C861" s="261" t="n"/>
      <c r="D861" s="276" t="n"/>
      <c r="E861" s="277" t="n"/>
      <c r="F861" s="538" t="n"/>
      <c r="P861" s="628" t="n"/>
      <c r="Q861" s="628" t="n"/>
      <c r="R861" s="628" t="n"/>
      <c r="S861" s="628" t="n"/>
      <c r="T861" s="628" t="n"/>
      <c r="U861" s="628" t="n"/>
      <c r="V861" s="628" t="n"/>
      <c r="W861" s="628" t="n"/>
      <c r="X861" s="628" t="n"/>
      <c r="Y861" s="650" t="n"/>
      <c r="Z861" s="650" t="n"/>
      <c r="AA861" s="650" t="n"/>
      <c r="AB861" s="650" t="n"/>
      <c r="AC861" s="613" t="n"/>
      <c r="AD861" s="613" t="n"/>
      <c r="AE861" s="613" t="n"/>
      <c r="AF861" s="613" t="n"/>
      <c r="AG861" s="626" t="n"/>
      <c r="AH861" s="626" t="n"/>
      <c r="AI861" s="626" t="n"/>
      <c r="AJ861" s="626" t="n"/>
      <c r="AK861" s="626" t="n"/>
      <c r="AL861" s="626" t="n"/>
      <c r="AM861" s="626" t="n"/>
      <c r="AN861" s="626" t="n"/>
      <c r="AO861" s="626" t="n"/>
      <c r="AP861" s="369" t="n"/>
      <c r="AQ861" s="369" t="n"/>
      <c r="AR861" s="369" t="n"/>
      <c r="AS861" s="369" t="n"/>
      <c r="AT861" s="370" t="n"/>
      <c r="AU861" s="370" t="n"/>
      <c r="AV861" s="370" t="n"/>
      <c r="AW861" s="370" t="n"/>
      <c r="BJ861">
        <f>O861</f>
        <v/>
      </c>
      <c r="BK861">
        <f>SUM(AG861:AW861)</f>
        <v/>
      </c>
      <c r="BL861" s="531">
        <f>BJ861-BK861</f>
        <v/>
      </c>
      <c r="BM861" s="201" t="n"/>
    </row>
    <row r="862" hidden="1" outlineLevel="1" ht="15.6" customHeight="1" s="191">
      <c r="A862" s="275" t="n"/>
      <c r="B862" s="260" t="n"/>
      <c r="C862" s="261" t="n"/>
      <c r="D862" s="276" t="n"/>
      <c r="E862" s="277" t="n"/>
      <c r="F862" s="538" t="n"/>
      <c r="P862" s="628" t="n"/>
      <c r="Q862" s="628" t="n"/>
      <c r="R862" s="628" t="n"/>
      <c r="S862" s="628" t="n"/>
      <c r="T862" s="628" t="n"/>
      <c r="U862" s="628" t="n"/>
      <c r="V862" s="628" t="n"/>
      <c r="W862" s="628" t="n"/>
      <c r="X862" s="628" t="n"/>
      <c r="Y862" s="650" t="n"/>
      <c r="Z862" s="650" t="n"/>
      <c r="AA862" s="650" t="n"/>
      <c r="AB862" s="650" t="n"/>
      <c r="AC862" s="613" t="n"/>
      <c r="AD862" s="613" t="n"/>
      <c r="AE862" s="613" t="n"/>
      <c r="AF862" s="613" t="n"/>
      <c r="AG862" s="626" t="n"/>
      <c r="AH862" s="626" t="n"/>
      <c r="AI862" s="626" t="n"/>
      <c r="AJ862" s="626" t="n"/>
      <c r="AK862" s="626" t="n"/>
      <c r="AL862" s="626" t="n"/>
      <c r="AM862" s="626" t="n"/>
      <c r="AN862" s="626" t="n"/>
      <c r="AO862" s="626" t="n"/>
      <c r="AP862" s="369" t="n"/>
      <c r="AQ862" s="369" t="n"/>
      <c r="AR862" s="369" t="n"/>
      <c r="AS862" s="369" t="n"/>
      <c r="AT862" s="370" t="n"/>
      <c r="AU862" s="370" t="n"/>
      <c r="AV862" s="370" t="n"/>
      <c r="AW862" s="370" t="n"/>
      <c r="BJ862">
        <f>O862</f>
        <v/>
      </c>
      <c r="BK862">
        <f>SUM(AG862:AW862)</f>
        <v/>
      </c>
      <c r="BL862" s="531">
        <f>BJ862-BK862</f>
        <v/>
      </c>
      <c r="BM862" s="201" t="n"/>
    </row>
    <row r="863" hidden="1" outlineLevel="1" ht="15.6" customHeight="1" s="191">
      <c r="A863" s="275" t="n"/>
      <c r="B863" s="260" t="n"/>
      <c r="C863" s="261" t="n"/>
      <c r="D863" s="276" t="n"/>
      <c r="E863" s="277" t="n"/>
      <c r="F863" s="538" t="n"/>
      <c r="P863" s="628" t="n"/>
      <c r="Q863" s="628" t="n"/>
      <c r="R863" s="628" t="n"/>
      <c r="S863" s="628" t="n"/>
      <c r="T863" s="628" t="n"/>
      <c r="U863" s="628" t="n"/>
      <c r="V863" s="628" t="n"/>
      <c r="W863" s="628" t="n"/>
      <c r="X863" s="628" t="n"/>
      <c r="Y863" s="650" t="n"/>
      <c r="Z863" s="650" t="n"/>
      <c r="AA863" s="650" t="n"/>
      <c r="AB863" s="650" t="n"/>
      <c r="AC863" s="613" t="n"/>
      <c r="AD863" s="613" t="n"/>
      <c r="AE863" s="613" t="n"/>
      <c r="AF863" s="613" t="n"/>
      <c r="AG863" s="626" t="n"/>
      <c r="AH863" s="626" t="n"/>
      <c r="AI863" s="626" t="n"/>
      <c r="AJ863" s="626" t="n"/>
      <c r="AK863" s="626" t="n"/>
      <c r="AL863" s="626" t="n"/>
      <c r="AM863" s="626" t="n"/>
      <c r="AN863" s="626" t="n"/>
      <c r="AO863" s="626" t="n"/>
      <c r="AP863" s="369" t="n"/>
      <c r="AQ863" s="369" t="n"/>
      <c r="AR863" s="369" t="n"/>
      <c r="AS863" s="369" t="n"/>
      <c r="AT863" s="370" t="n"/>
      <c r="AU863" s="370" t="n"/>
      <c r="AV863" s="370" t="n"/>
      <c r="AW863" s="370" t="n"/>
      <c r="BJ863">
        <f>O863</f>
        <v/>
      </c>
      <c r="BK863">
        <f>SUM(AG863:AW863)</f>
        <v/>
      </c>
      <c r="BL863" s="531">
        <f>BJ863-BK863</f>
        <v/>
      </c>
      <c r="BM863" s="201" t="n"/>
    </row>
    <row r="864" hidden="1" outlineLevel="1" ht="15.6" customHeight="1" s="191">
      <c r="A864" s="275" t="n"/>
      <c r="B864" s="260" t="n"/>
      <c r="C864" s="261" t="n"/>
      <c r="D864" s="276" t="n"/>
      <c r="E864" s="277" t="n"/>
      <c r="F864" s="538" t="n"/>
      <c r="P864" s="628" t="n"/>
      <c r="Q864" s="628" t="n"/>
      <c r="R864" s="628" t="n"/>
      <c r="S864" s="628" t="n"/>
      <c r="T864" s="628" t="n"/>
      <c r="U864" s="628" t="n"/>
      <c r="V864" s="628" t="n"/>
      <c r="W864" s="628" t="n"/>
      <c r="X864" s="628" t="n"/>
      <c r="Y864" s="650" t="n"/>
      <c r="Z864" s="650" t="n"/>
      <c r="AA864" s="650" t="n"/>
      <c r="AB864" s="650" t="n"/>
      <c r="AC864" s="613" t="n"/>
      <c r="AD864" s="613" t="n"/>
      <c r="AE864" s="613" t="n"/>
      <c r="AF864" s="613" t="n"/>
      <c r="AG864" s="626" t="n"/>
      <c r="AH864" s="626" t="n"/>
      <c r="AI864" s="626" t="n"/>
      <c r="AJ864" s="626" t="n"/>
      <c r="AK864" s="626" t="n"/>
      <c r="AL864" s="626" t="n"/>
      <c r="AM864" s="626" t="n"/>
      <c r="AN864" s="626" t="n"/>
      <c r="AO864" s="626" t="n"/>
      <c r="AP864" s="369" t="n"/>
      <c r="AQ864" s="369" t="n"/>
      <c r="AR864" s="369" t="n"/>
      <c r="AS864" s="369" t="n"/>
      <c r="AT864" s="370" t="n"/>
      <c r="AU864" s="370" t="n"/>
      <c r="AV864" s="370" t="n"/>
      <c r="AW864" s="370" t="n"/>
      <c r="BJ864">
        <f>O864</f>
        <v/>
      </c>
      <c r="BK864">
        <f>SUM(AG864:AW864)</f>
        <v/>
      </c>
      <c r="BL864" s="531">
        <f>BJ864-BK864</f>
        <v/>
      </c>
      <c r="BM864" s="201" t="n"/>
    </row>
    <row r="865" hidden="1" outlineLevel="1" ht="15.6" customHeight="1" s="191">
      <c r="A865" s="275" t="n"/>
      <c r="B865" s="260" t="n"/>
      <c r="C865" s="261" t="n"/>
      <c r="D865" s="276" t="n"/>
      <c r="E865" s="277" t="n"/>
      <c r="F865" s="538" t="n"/>
      <c r="P865" s="628" t="n"/>
      <c r="Q865" s="628" t="n"/>
      <c r="R865" s="628" t="n"/>
      <c r="S865" s="628" t="n"/>
      <c r="T865" s="628" t="n"/>
      <c r="U865" s="628" t="n"/>
      <c r="V865" s="628" t="n"/>
      <c r="W865" s="628" t="n"/>
      <c r="X865" s="628" t="n"/>
      <c r="Y865" s="650" t="n"/>
      <c r="Z865" s="650" t="n"/>
      <c r="AA865" s="650" t="n"/>
      <c r="AB865" s="650" t="n"/>
      <c r="AC865" s="613" t="n"/>
      <c r="AD865" s="613" t="n"/>
      <c r="AE865" s="613" t="n"/>
      <c r="AF865" s="613" t="n"/>
      <c r="AG865" s="626" t="n"/>
      <c r="AH865" s="626" t="n"/>
      <c r="AI865" s="626" t="n"/>
      <c r="AJ865" s="626" t="n"/>
      <c r="AK865" s="626" t="n"/>
      <c r="AL865" s="626" t="n"/>
      <c r="AM865" s="626" t="n"/>
      <c r="AN865" s="626" t="n"/>
      <c r="AO865" s="626" t="n"/>
      <c r="AP865" s="369" t="n"/>
      <c r="AQ865" s="369" t="n"/>
      <c r="AR865" s="369" t="n"/>
      <c r="AS865" s="369" t="n"/>
      <c r="AT865" s="370" t="n"/>
      <c r="AU865" s="370" t="n"/>
      <c r="AV865" s="370" t="n"/>
      <c r="AW865" s="370" t="n"/>
      <c r="BJ865">
        <f>O865</f>
        <v/>
      </c>
      <c r="BK865">
        <f>SUM(AG865:AW865)</f>
        <v/>
      </c>
      <c r="BL865" s="531">
        <f>BJ865-BK865</f>
        <v/>
      </c>
      <c r="BM865" s="201" t="n"/>
    </row>
    <row r="866" hidden="1" outlineLevel="1" ht="15.6" customHeight="1" s="191">
      <c r="A866" s="275" t="n"/>
      <c r="B866" s="260" t="n"/>
      <c r="C866" s="261" t="n"/>
      <c r="D866" s="276" t="n"/>
      <c r="E866" s="277" t="n"/>
      <c r="F866" s="538" t="n"/>
      <c r="P866" s="628" t="n"/>
      <c r="Q866" s="628" t="n"/>
      <c r="R866" s="628" t="n"/>
      <c r="S866" s="628" t="n"/>
      <c r="T866" s="628" t="n"/>
      <c r="U866" s="628" t="n"/>
      <c r="V866" s="628" t="n"/>
      <c r="W866" s="628" t="n"/>
      <c r="X866" s="628" t="n"/>
      <c r="Y866" s="650" t="n"/>
      <c r="Z866" s="650" t="n"/>
      <c r="AA866" s="650" t="n"/>
      <c r="AB866" s="650" t="n"/>
      <c r="AC866" s="613" t="n"/>
      <c r="AD866" s="613" t="n"/>
      <c r="AE866" s="613" t="n"/>
      <c r="AF866" s="613" t="n"/>
      <c r="AG866" s="626" t="n"/>
      <c r="AH866" s="626" t="n"/>
      <c r="AI866" s="626" t="n"/>
      <c r="AJ866" s="626" t="n"/>
      <c r="AK866" s="626" t="n"/>
      <c r="AL866" s="626" t="n"/>
      <c r="AM866" s="626" t="n"/>
      <c r="AN866" s="626" t="n"/>
      <c r="AO866" s="626" t="n"/>
      <c r="AP866" s="369" t="n"/>
      <c r="AQ866" s="369" t="n"/>
      <c r="AR866" s="369" t="n"/>
      <c r="AS866" s="369" t="n"/>
      <c r="AT866" s="370" t="n"/>
      <c r="AU866" s="370" t="n"/>
      <c r="AV866" s="370" t="n"/>
      <c r="AW866" s="370" t="n"/>
      <c r="BJ866">
        <f>O866</f>
        <v/>
      </c>
      <c r="BK866">
        <f>SUM(AG866:AW866)</f>
        <v/>
      </c>
      <c r="BL866" s="531">
        <f>BJ866-BK866</f>
        <v/>
      </c>
      <c r="BM866" s="201" t="n"/>
    </row>
    <row r="867" hidden="1" outlineLevel="1" ht="15.6" customHeight="1" s="191">
      <c r="A867" s="275" t="n"/>
      <c r="B867" s="260" t="n"/>
      <c r="C867" s="261" t="n"/>
      <c r="D867" s="276" t="n"/>
      <c r="E867" s="277" t="n"/>
      <c r="F867" s="538" t="n"/>
      <c r="P867" s="628" t="n"/>
      <c r="Q867" s="628" t="n"/>
      <c r="R867" s="628" t="n"/>
      <c r="S867" s="628" t="n"/>
      <c r="T867" s="628" t="n"/>
      <c r="U867" s="628" t="n"/>
      <c r="V867" s="628" t="n"/>
      <c r="W867" s="628" t="n"/>
      <c r="X867" s="628" t="n"/>
      <c r="Y867" s="650" t="n"/>
      <c r="Z867" s="650" t="n"/>
      <c r="AA867" s="650" t="n"/>
      <c r="AB867" s="650" t="n"/>
      <c r="AC867" s="613" t="n"/>
      <c r="AD867" s="613" t="n"/>
      <c r="AE867" s="613" t="n"/>
      <c r="AF867" s="613" t="n"/>
      <c r="AG867" s="626" t="n"/>
      <c r="AH867" s="626" t="n"/>
      <c r="AI867" s="626" t="n"/>
      <c r="AJ867" s="626" t="n"/>
      <c r="AK867" s="626" t="n"/>
      <c r="AL867" s="626" t="n"/>
      <c r="AM867" s="626" t="n"/>
      <c r="AN867" s="626" t="n"/>
      <c r="AO867" s="626" t="n"/>
      <c r="AP867" s="369" t="n"/>
      <c r="AQ867" s="369" t="n"/>
      <c r="AR867" s="369" t="n"/>
      <c r="AS867" s="369" t="n"/>
      <c r="AT867" s="370" t="n"/>
      <c r="AU867" s="370" t="n"/>
      <c r="AV867" s="370" t="n"/>
      <c r="AW867" s="370" t="n"/>
      <c r="BJ867">
        <f>O867</f>
        <v/>
      </c>
      <c r="BK867">
        <f>SUM(AG867:AW867)</f>
        <v/>
      </c>
      <c r="BL867" s="531">
        <f>BJ867-BK867</f>
        <v/>
      </c>
      <c r="BM867" s="201" t="n"/>
    </row>
    <row r="868" hidden="1" outlineLevel="1" ht="15.6" customHeight="1" s="191">
      <c r="A868" s="275" t="n"/>
      <c r="B868" s="260" t="n"/>
      <c r="C868" s="261" t="n"/>
      <c r="D868" s="276" t="n"/>
      <c r="E868" s="277" t="n"/>
      <c r="F868" s="538" t="n"/>
      <c r="P868" s="628" t="n"/>
      <c r="Q868" s="628" t="n"/>
      <c r="R868" s="628" t="n"/>
      <c r="S868" s="628" t="n"/>
      <c r="T868" s="628" t="n"/>
      <c r="U868" s="628" t="n"/>
      <c r="V868" s="628" t="n"/>
      <c r="W868" s="628" t="n"/>
      <c r="X868" s="628" t="n"/>
      <c r="Y868" s="650" t="n"/>
      <c r="Z868" s="650" t="n"/>
      <c r="AA868" s="650" t="n"/>
      <c r="AB868" s="650" t="n"/>
      <c r="AC868" s="613" t="n"/>
      <c r="AD868" s="613" t="n"/>
      <c r="AE868" s="613" t="n"/>
      <c r="AF868" s="613" t="n"/>
      <c r="AG868" s="626" t="n"/>
      <c r="AH868" s="626" t="n"/>
      <c r="AI868" s="626" t="n"/>
      <c r="AJ868" s="626" t="n"/>
      <c r="AK868" s="626" t="n"/>
      <c r="AL868" s="626" t="n"/>
      <c r="AM868" s="626" t="n"/>
      <c r="AN868" s="626" t="n"/>
      <c r="AO868" s="626" t="n"/>
      <c r="AP868" s="369" t="n"/>
      <c r="AQ868" s="369" t="n"/>
      <c r="AR868" s="369" t="n"/>
      <c r="AS868" s="369" t="n"/>
      <c r="AT868" s="370" t="n"/>
      <c r="AU868" s="370" t="n"/>
      <c r="AV868" s="370" t="n"/>
      <c r="AW868" s="370" t="n"/>
      <c r="BJ868">
        <f>O868</f>
        <v/>
      </c>
      <c r="BK868">
        <f>SUM(AG868:AW868)</f>
        <v/>
      </c>
      <c r="BL868" s="531">
        <f>BJ868-BK868</f>
        <v/>
      </c>
      <c r="BM868" s="201" t="n"/>
    </row>
    <row r="869" hidden="1" outlineLevel="1" ht="15.6" customHeight="1" s="191">
      <c r="A869" s="275" t="n"/>
      <c r="B869" s="260" t="n"/>
      <c r="C869" s="261" t="n"/>
      <c r="D869" s="276" t="n"/>
      <c r="E869" s="277" t="n"/>
      <c r="F869" s="538" t="n"/>
      <c r="P869" s="628" t="n"/>
      <c r="Q869" s="628" t="n"/>
      <c r="R869" s="628" t="n"/>
      <c r="S869" s="628" t="n"/>
      <c r="T869" s="628" t="n"/>
      <c r="U869" s="628" t="n"/>
      <c r="V869" s="628" t="n"/>
      <c r="W869" s="628" t="n"/>
      <c r="X869" s="628" t="n"/>
      <c r="Y869" s="650" t="n"/>
      <c r="Z869" s="650" t="n"/>
      <c r="AA869" s="650" t="n"/>
      <c r="AB869" s="650" t="n"/>
      <c r="AC869" s="613" t="n"/>
      <c r="AD869" s="613" t="n"/>
      <c r="AE869" s="613" t="n"/>
      <c r="AF869" s="613" t="n"/>
      <c r="AG869" s="626" t="n"/>
      <c r="AH869" s="626" t="n"/>
      <c r="AI869" s="626" t="n"/>
      <c r="AJ869" s="626" t="n"/>
      <c r="AK869" s="626" t="n"/>
      <c r="AL869" s="626" t="n"/>
      <c r="AM869" s="626" t="n"/>
      <c r="AN869" s="626" t="n"/>
      <c r="AO869" s="626" t="n"/>
      <c r="AP869" s="369" t="n"/>
      <c r="AQ869" s="369" t="n"/>
      <c r="AR869" s="369" t="n"/>
      <c r="AS869" s="369" t="n"/>
      <c r="AT869" s="370" t="n"/>
      <c r="AU869" s="370" t="n"/>
      <c r="AV869" s="370" t="n"/>
      <c r="AW869" s="370" t="n"/>
      <c r="BJ869">
        <f>O869</f>
        <v/>
      </c>
      <c r="BK869">
        <f>SUM(AG869:AW869)</f>
        <v/>
      </c>
      <c r="BL869" s="531">
        <f>BJ869-BK869</f>
        <v/>
      </c>
      <c r="BM869" s="201" t="n"/>
    </row>
    <row r="870" hidden="1" outlineLevel="1" ht="15.6" customHeight="1" s="191">
      <c r="A870" s="275" t="n"/>
      <c r="B870" s="260" t="n"/>
      <c r="C870" s="261" t="n"/>
      <c r="D870" s="276" t="n"/>
      <c r="E870" s="277" t="n"/>
      <c r="F870" s="538" t="n"/>
      <c r="P870" s="628" t="n"/>
      <c r="Q870" s="628" t="n"/>
      <c r="R870" s="628" t="n"/>
      <c r="S870" s="628" t="n"/>
      <c r="T870" s="628" t="n"/>
      <c r="U870" s="628" t="n"/>
      <c r="V870" s="628" t="n"/>
      <c r="W870" s="628" t="n"/>
      <c r="X870" s="628" t="n"/>
      <c r="Y870" s="650" t="n"/>
      <c r="Z870" s="650" t="n"/>
      <c r="AA870" s="650" t="n"/>
      <c r="AB870" s="650" t="n"/>
      <c r="AC870" s="613" t="n"/>
      <c r="AD870" s="613" t="n"/>
      <c r="AE870" s="613" t="n"/>
      <c r="AF870" s="613" t="n"/>
      <c r="AG870" s="626" t="n"/>
      <c r="AH870" s="626" t="n"/>
      <c r="AI870" s="626" t="n"/>
      <c r="AJ870" s="626" t="n"/>
      <c r="AK870" s="626" t="n"/>
      <c r="AL870" s="626" t="n"/>
      <c r="AM870" s="626" t="n"/>
      <c r="AN870" s="626" t="n"/>
      <c r="AO870" s="626" t="n"/>
      <c r="AP870" s="369" t="n"/>
      <c r="AQ870" s="369" t="n"/>
      <c r="AR870" s="369" t="n"/>
      <c r="AS870" s="369" t="n"/>
      <c r="AT870" s="370" t="n"/>
      <c r="AU870" s="370" t="n"/>
      <c r="AV870" s="370" t="n"/>
      <c r="AW870" s="370" t="n"/>
      <c r="BJ870">
        <f>O870</f>
        <v/>
      </c>
      <c r="BK870">
        <f>SUM(AG870:AW870)</f>
        <v/>
      </c>
      <c r="BL870" s="531">
        <f>BJ870-BK870</f>
        <v/>
      </c>
      <c r="BM870" s="201" t="n"/>
    </row>
    <row r="871" hidden="1" outlineLevel="1" ht="15.6" customHeight="1" s="191">
      <c r="A871" s="275" t="n"/>
      <c r="B871" s="260" t="n"/>
      <c r="C871" s="261" t="n"/>
      <c r="D871" s="276" t="n"/>
      <c r="E871" s="277" t="n"/>
      <c r="F871" s="538" t="n"/>
      <c r="P871" s="628" t="n"/>
      <c r="Q871" s="628" t="n"/>
      <c r="R871" s="628" t="n"/>
      <c r="S871" s="628" t="n"/>
      <c r="T871" s="628" t="n"/>
      <c r="U871" s="628" t="n"/>
      <c r="V871" s="628" t="n"/>
      <c r="W871" s="628" t="n"/>
      <c r="X871" s="628" t="n"/>
      <c r="Y871" s="650" t="n"/>
      <c r="Z871" s="650" t="n"/>
      <c r="AA871" s="650" t="n"/>
      <c r="AB871" s="650" t="n"/>
      <c r="AC871" s="613" t="n"/>
      <c r="AD871" s="613" t="n"/>
      <c r="AE871" s="613" t="n"/>
      <c r="AF871" s="613" t="n"/>
      <c r="AG871" s="626" t="n"/>
      <c r="AH871" s="626" t="n"/>
      <c r="AI871" s="626" t="n"/>
      <c r="AJ871" s="626" t="n"/>
      <c r="AK871" s="626" t="n"/>
      <c r="AL871" s="626" t="n"/>
      <c r="AM871" s="626" t="n"/>
      <c r="AN871" s="626" t="n"/>
      <c r="AO871" s="626" t="n"/>
      <c r="AP871" s="369" t="n"/>
      <c r="AQ871" s="369" t="n"/>
      <c r="AR871" s="369" t="n"/>
      <c r="AS871" s="369" t="n"/>
      <c r="AT871" s="370" t="n"/>
      <c r="AU871" s="370" t="n"/>
      <c r="AV871" s="370" t="n"/>
      <c r="AW871" s="370" t="n"/>
      <c r="BJ871">
        <f>O871</f>
        <v/>
      </c>
      <c r="BK871">
        <f>SUM(AG871:AW871)</f>
        <v/>
      </c>
      <c r="BL871" s="531">
        <f>BJ871-BK871</f>
        <v/>
      </c>
      <c r="BM871" s="201" t="n"/>
    </row>
    <row r="872" hidden="1" outlineLevel="1" ht="15.6" customHeight="1" s="191">
      <c r="A872" s="275" t="n"/>
      <c r="B872" s="260" t="n"/>
      <c r="C872" s="261" t="n"/>
      <c r="D872" s="276" t="n"/>
      <c r="E872" s="277" t="n"/>
      <c r="F872" s="538" t="n"/>
      <c r="P872" s="628" t="n"/>
      <c r="Q872" s="628" t="n"/>
      <c r="R872" s="628" t="n"/>
      <c r="S872" s="628" t="n"/>
      <c r="T872" s="628" t="n"/>
      <c r="U872" s="628" t="n"/>
      <c r="V872" s="628" t="n"/>
      <c r="W872" s="628" t="n"/>
      <c r="X872" s="628" t="n"/>
      <c r="Y872" s="650" t="n"/>
      <c r="Z872" s="650" t="n"/>
      <c r="AA872" s="650" t="n"/>
      <c r="AB872" s="650" t="n"/>
      <c r="AC872" s="613" t="n"/>
      <c r="AD872" s="613" t="n"/>
      <c r="AE872" s="613" t="n"/>
      <c r="AF872" s="613" t="n"/>
      <c r="AG872" s="626" t="n"/>
      <c r="AH872" s="626" t="n"/>
      <c r="AI872" s="626" t="n"/>
      <c r="AJ872" s="626" t="n"/>
      <c r="AK872" s="626" t="n"/>
      <c r="AL872" s="626" t="n"/>
      <c r="AM872" s="626" t="n"/>
      <c r="AN872" s="626" t="n"/>
      <c r="AO872" s="626" t="n"/>
      <c r="AP872" s="369" t="n"/>
      <c r="AQ872" s="369" t="n"/>
      <c r="AR872" s="369" t="n"/>
      <c r="AS872" s="369" t="n"/>
      <c r="AT872" s="370" t="n"/>
      <c r="AU872" s="370" t="n"/>
      <c r="AV872" s="370" t="n"/>
      <c r="AW872" s="370" t="n"/>
      <c r="BJ872">
        <f>O872</f>
        <v/>
      </c>
      <c r="BK872">
        <f>SUM(AG872:AW872)</f>
        <v/>
      </c>
      <c r="BL872" s="531">
        <f>BJ872-BK872</f>
        <v/>
      </c>
      <c r="BM872" s="201" t="n"/>
    </row>
    <row r="873" hidden="1" outlineLevel="1" ht="15.6" customHeight="1" s="191">
      <c r="A873" s="275" t="n"/>
      <c r="B873" s="260" t="n"/>
      <c r="C873" s="261" t="n"/>
      <c r="D873" s="276" t="n"/>
      <c r="E873" s="277" t="n"/>
      <c r="F873" s="538" t="n"/>
      <c r="P873" s="628" t="n"/>
      <c r="Q873" s="628" t="n"/>
      <c r="R873" s="628" t="n"/>
      <c r="S873" s="628" t="n"/>
      <c r="T873" s="628" t="n"/>
      <c r="U873" s="628" t="n"/>
      <c r="V873" s="628" t="n"/>
      <c r="W873" s="628" t="n"/>
      <c r="X873" s="628" t="n"/>
      <c r="Y873" s="650" t="n"/>
      <c r="Z873" s="650" t="n"/>
      <c r="AA873" s="650" t="n"/>
      <c r="AB873" s="650" t="n"/>
      <c r="AC873" s="613" t="n"/>
      <c r="AD873" s="613" t="n"/>
      <c r="AE873" s="613" t="n"/>
      <c r="AF873" s="613" t="n"/>
      <c r="AG873" s="626" t="n"/>
      <c r="AH873" s="626" t="n"/>
      <c r="AI873" s="626" t="n"/>
      <c r="AJ873" s="626" t="n"/>
      <c r="AK873" s="626" t="n"/>
      <c r="AL873" s="626" t="n"/>
      <c r="AM873" s="626" t="n"/>
      <c r="AN873" s="626" t="n"/>
      <c r="AO873" s="626" t="n"/>
      <c r="AP873" s="369" t="n"/>
      <c r="AQ873" s="369" t="n"/>
      <c r="AR873" s="369" t="n"/>
      <c r="AS873" s="369" t="n"/>
      <c r="AT873" s="370" t="n"/>
      <c r="AU873" s="370" t="n"/>
      <c r="AV873" s="370" t="n"/>
      <c r="AW873" s="370" t="n"/>
      <c r="BJ873">
        <f>O873</f>
        <v/>
      </c>
      <c r="BK873">
        <f>SUM(AG873:AW873)</f>
        <v/>
      </c>
      <c r="BL873" s="531">
        <f>BJ873-BK873</f>
        <v/>
      </c>
      <c r="BM873" s="201" t="n"/>
    </row>
    <row r="874" hidden="1" outlineLevel="1" ht="15.6" customHeight="1" s="191">
      <c r="A874" s="275" t="n"/>
      <c r="B874" s="260" t="n"/>
      <c r="C874" s="261" t="n"/>
      <c r="D874" s="276" t="n"/>
      <c r="E874" s="277" t="n"/>
      <c r="F874" s="538" t="n"/>
      <c r="P874" s="628" t="n"/>
      <c r="Q874" s="628" t="n"/>
      <c r="R874" s="628" t="n"/>
      <c r="S874" s="628" t="n"/>
      <c r="T874" s="628" t="n"/>
      <c r="U874" s="628" t="n"/>
      <c r="V874" s="628" t="n"/>
      <c r="W874" s="628" t="n"/>
      <c r="X874" s="628" t="n"/>
      <c r="Y874" s="650" t="n"/>
      <c r="Z874" s="650" t="n"/>
      <c r="AA874" s="650" t="n"/>
      <c r="AB874" s="650" t="n"/>
      <c r="AC874" s="613" t="n"/>
      <c r="AD874" s="613" t="n"/>
      <c r="AE874" s="613" t="n"/>
      <c r="AF874" s="613" t="n"/>
      <c r="AG874" s="626" t="n"/>
      <c r="AH874" s="626" t="n"/>
      <c r="AI874" s="626" t="n"/>
      <c r="AJ874" s="626" t="n"/>
      <c r="AK874" s="626" t="n"/>
      <c r="AL874" s="626" t="n"/>
      <c r="AM874" s="626" t="n"/>
      <c r="AN874" s="626" t="n"/>
      <c r="AO874" s="626" t="n"/>
      <c r="AP874" s="369" t="n"/>
      <c r="AQ874" s="369" t="n"/>
      <c r="AR874" s="369" t="n"/>
      <c r="AS874" s="369" t="n"/>
      <c r="AT874" s="370" t="n"/>
      <c r="AU874" s="370" t="n"/>
      <c r="AV874" s="370" t="n"/>
      <c r="AW874" s="370" t="n"/>
      <c r="BJ874">
        <f>O874</f>
        <v/>
      </c>
      <c r="BK874">
        <f>SUM(AG874:AW874)</f>
        <v/>
      </c>
      <c r="BL874" s="531">
        <f>BJ874-BK874</f>
        <v/>
      </c>
      <c r="BM874" s="201" t="n"/>
    </row>
    <row r="875" hidden="1" outlineLevel="1" ht="15.6" customHeight="1" s="191">
      <c r="A875" s="275" t="n"/>
      <c r="B875" s="260" t="n"/>
      <c r="C875" s="261" t="n"/>
      <c r="D875" s="276" t="n"/>
      <c r="E875" s="277" t="n"/>
      <c r="F875" s="538" t="n"/>
      <c r="P875" s="628" t="n"/>
      <c r="Q875" s="628" t="n"/>
      <c r="R875" s="628" t="n"/>
      <c r="S875" s="628" t="n"/>
      <c r="T875" s="628" t="n"/>
      <c r="U875" s="628" t="n"/>
      <c r="V875" s="628" t="n"/>
      <c r="W875" s="628" t="n"/>
      <c r="X875" s="628" t="n"/>
      <c r="Y875" s="650" t="n"/>
      <c r="Z875" s="650" t="n"/>
      <c r="AA875" s="650" t="n"/>
      <c r="AB875" s="650" t="n"/>
      <c r="AC875" s="613" t="n"/>
      <c r="AD875" s="613" t="n"/>
      <c r="AE875" s="613" t="n"/>
      <c r="AF875" s="613" t="n"/>
      <c r="AG875" s="626" t="n"/>
      <c r="AH875" s="626" t="n"/>
      <c r="AI875" s="626" t="n"/>
      <c r="AJ875" s="626" t="n"/>
      <c r="AK875" s="626" t="n"/>
      <c r="AL875" s="626" t="n"/>
      <c r="AM875" s="626" t="n"/>
      <c r="AN875" s="626" t="n"/>
      <c r="AO875" s="626" t="n"/>
      <c r="AP875" s="369" t="n"/>
      <c r="AQ875" s="369" t="n"/>
      <c r="AR875" s="369" t="n"/>
      <c r="AS875" s="369" t="n"/>
      <c r="AT875" s="370" t="n"/>
      <c r="AU875" s="370" t="n"/>
      <c r="AV875" s="370" t="n"/>
      <c r="AW875" s="370" t="n"/>
      <c r="BJ875">
        <f>O875</f>
        <v/>
      </c>
      <c r="BK875">
        <f>SUM(AG875:AW875)</f>
        <v/>
      </c>
      <c r="BL875" s="531">
        <f>BJ875-BK875</f>
        <v/>
      </c>
      <c r="BM875" s="201" t="n"/>
    </row>
    <row r="876" hidden="1" outlineLevel="1" ht="15.6" customHeight="1" s="191">
      <c r="A876" s="275" t="n"/>
      <c r="B876" s="260" t="n"/>
      <c r="C876" s="261" t="n"/>
      <c r="D876" s="276" t="n"/>
      <c r="E876" s="277" t="n"/>
      <c r="F876" s="538" t="n"/>
      <c r="P876" s="628" t="n"/>
      <c r="Q876" s="628" t="n"/>
      <c r="R876" s="628" t="n"/>
      <c r="S876" s="628" t="n"/>
      <c r="T876" s="628" t="n"/>
      <c r="U876" s="628" t="n"/>
      <c r="V876" s="628" t="n"/>
      <c r="W876" s="628" t="n"/>
      <c r="X876" s="628" t="n"/>
      <c r="Y876" s="650" t="n"/>
      <c r="Z876" s="650" t="n"/>
      <c r="AA876" s="650" t="n"/>
      <c r="AB876" s="650" t="n"/>
      <c r="AC876" s="613" t="n"/>
      <c r="AD876" s="613" t="n"/>
      <c r="AE876" s="613" t="n"/>
      <c r="AF876" s="613" t="n"/>
      <c r="AG876" s="626" t="n"/>
      <c r="AH876" s="626" t="n"/>
      <c r="AI876" s="626" t="n"/>
      <c r="AJ876" s="626" t="n"/>
      <c r="AK876" s="626" t="n"/>
      <c r="AL876" s="626" t="n"/>
      <c r="AM876" s="626" t="n"/>
      <c r="AN876" s="626" t="n"/>
      <c r="AO876" s="626" t="n"/>
      <c r="AP876" s="369" t="n"/>
      <c r="AQ876" s="369" t="n"/>
      <c r="AR876" s="369" t="n"/>
      <c r="AS876" s="369" t="n"/>
      <c r="AT876" s="370" t="n"/>
      <c r="AU876" s="370" t="n"/>
      <c r="AV876" s="370" t="n"/>
      <c r="AW876" s="370" t="n"/>
      <c r="BJ876">
        <f>O876</f>
        <v/>
      </c>
      <c r="BK876">
        <f>SUM(AG876:AW876)</f>
        <v/>
      </c>
      <c r="BL876" s="531">
        <f>BJ876-BK876</f>
        <v/>
      </c>
      <c r="BM876" s="201" t="n"/>
    </row>
    <row r="877" hidden="1" outlineLevel="1" ht="15.6" customHeight="1" s="191">
      <c r="A877" s="275" t="n"/>
      <c r="B877" s="260" t="n"/>
      <c r="C877" s="261" t="n"/>
      <c r="D877" s="276" t="n"/>
      <c r="E877" s="277" t="n"/>
      <c r="F877" s="538" t="n"/>
      <c r="P877" s="628" t="n"/>
      <c r="Q877" s="628" t="n"/>
      <c r="R877" s="628" t="n"/>
      <c r="S877" s="628" t="n"/>
      <c r="T877" s="628" t="n"/>
      <c r="U877" s="628" t="n"/>
      <c r="V877" s="628" t="n"/>
      <c r="W877" s="628" t="n"/>
      <c r="X877" s="628" t="n"/>
      <c r="Y877" s="650" t="n"/>
      <c r="Z877" s="650" t="n"/>
      <c r="AA877" s="650" t="n"/>
      <c r="AB877" s="650" t="n"/>
      <c r="AC877" s="613" t="n"/>
      <c r="AD877" s="613" t="n"/>
      <c r="AE877" s="613" t="n"/>
      <c r="AF877" s="613" t="n"/>
      <c r="AG877" s="626" t="n"/>
      <c r="AH877" s="626" t="n"/>
      <c r="AI877" s="626" t="n"/>
      <c r="AJ877" s="626" t="n"/>
      <c r="AK877" s="626" t="n"/>
      <c r="AL877" s="626" t="n"/>
      <c r="AM877" s="626" t="n"/>
      <c r="AN877" s="626" t="n"/>
      <c r="AO877" s="626" t="n"/>
      <c r="AP877" s="369" t="n"/>
      <c r="AQ877" s="369" t="n"/>
      <c r="AR877" s="369" t="n"/>
      <c r="AS877" s="369" t="n"/>
      <c r="AT877" s="370" t="n"/>
      <c r="AU877" s="370" t="n"/>
      <c r="AV877" s="370" t="n"/>
      <c r="AW877" s="370" t="n"/>
      <c r="BJ877">
        <f>O877</f>
        <v/>
      </c>
      <c r="BK877">
        <f>SUM(AG877:AW877)</f>
        <v/>
      </c>
      <c r="BL877" s="531">
        <f>BJ877-BK877</f>
        <v/>
      </c>
      <c r="BM877" s="201" t="n"/>
    </row>
    <row r="878" hidden="1" outlineLevel="1" ht="15.6" customHeight="1" s="191">
      <c r="A878" s="275" t="n"/>
      <c r="B878" s="260" t="n"/>
      <c r="C878" s="261" t="n"/>
      <c r="D878" s="276" t="n"/>
      <c r="E878" s="277" t="n"/>
      <c r="F878" s="538" t="n"/>
      <c r="P878" s="628" t="n"/>
      <c r="Q878" s="628" t="n"/>
      <c r="R878" s="628" t="n"/>
      <c r="S878" s="628" t="n"/>
      <c r="T878" s="628" t="n"/>
      <c r="U878" s="628" t="n"/>
      <c r="V878" s="628" t="n"/>
      <c r="W878" s="628" t="n"/>
      <c r="X878" s="628" t="n"/>
      <c r="Y878" s="650" t="n"/>
      <c r="Z878" s="650" t="n"/>
      <c r="AA878" s="650" t="n"/>
      <c r="AB878" s="650" t="n"/>
      <c r="AC878" s="613" t="n"/>
      <c r="AD878" s="613" t="n"/>
      <c r="AE878" s="613" t="n"/>
      <c r="AF878" s="613" t="n"/>
      <c r="AG878" s="626" t="n"/>
      <c r="AH878" s="626" t="n"/>
      <c r="AI878" s="626" t="n"/>
      <c r="AJ878" s="626" t="n"/>
      <c r="AK878" s="626" t="n"/>
      <c r="AL878" s="626" t="n"/>
      <c r="AM878" s="626" t="n"/>
      <c r="AN878" s="626" t="n"/>
      <c r="AO878" s="626" t="n"/>
      <c r="AP878" s="369" t="n"/>
      <c r="AQ878" s="369" t="n"/>
      <c r="AR878" s="369" t="n"/>
      <c r="AS878" s="369" t="n"/>
      <c r="AT878" s="370" t="n"/>
      <c r="AU878" s="370" t="n"/>
      <c r="AV878" s="370" t="n"/>
      <c r="AW878" s="370" t="n"/>
      <c r="BJ878">
        <f>O878</f>
        <v/>
      </c>
      <c r="BK878">
        <f>SUM(AG878:AW878)</f>
        <v/>
      </c>
      <c r="BL878" s="531">
        <f>BJ878-BK878</f>
        <v/>
      </c>
      <c r="BM878" s="201" t="n"/>
    </row>
    <row r="879" hidden="1" outlineLevel="1" ht="15.6" customHeight="1" s="191">
      <c r="A879" s="275" t="n"/>
      <c r="B879" s="260" t="n"/>
      <c r="C879" s="261" t="n"/>
      <c r="D879" s="276" t="n"/>
      <c r="E879" s="277" t="n"/>
      <c r="F879" s="538" t="n"/>
      <c r="P879" s="628" t="n"/>
      <c r="Q879" s="628" t="n"/>
      <c r="R879" s="628" t="n"/>
      <c r="S879" s="628" t="n"/>
      <c r="T879" s="628" t="n"/>
      <c r="U879" s="628" t="n"/>
      <c r="V879" s="628" t="n"/>
      <c r="W879" s="628" t="n"/>
      <c r="X879" s="628" t="n"/>
      <c r="Y879" s="650" t="n"/>
      <c r="Z879" s="650" t="n"/>
      <c r="AA879" s="650" t="n"/>
      <c r="AB879" s="650" t="n"/>
      <c r="AC879" s="613" t="n"/>
      <c r="AD879" s="613" t="n"/>
      <c r="AE879" s="613" t="n"/>
      <c r="AF879" s="613" t="n"/>
      <c r="AG879" s="626" t="n"/>
      <c r="AH879" s="626" t="n"/>
      <c r="AI879" s="626" t="n"/>
      <c r="AJ879" s="626" t="n"/>
      <c r="AK879" s="626" t="n"/>
      <c r="AL879" s="626" t="n"/>
      <c r="AM879" s="626" t="n"/>
      <c r="AN879" s="626" t="n"/>
      <c r="AO879" s="626" t="n"/>
      <c r="AP879" s="369" t="n"/>
      <c r="AQ879" s="369" t="n"/>
      <c r="AR879" s="369" t="n"/>
      <c r="AS879" s="369" t="n"/>
      <c r="AT879" s="370" t="n"/>
      <c r="AU879" s="370" t="n"/>
      <c r="AV879" s="370" t="n"/>
      <c r="AW879" s="370" t="n"/>
      <c r="BJ879">
        <f>O879</f>
        <v/>
      </c>
      <c r="BK879">
        <f>SUM(AG879:AW879)</f>
        <v/>
      </c>
      <c r="BL879" s="531">
        <f>BJ879-BK879</f>
        <v/>
      </c>
      <c r="BM879" s="201" t="n"/>
    </row>
    <row r="880" hidden="1" outlineLevel="1" ht="15.6" customHeight="1" s="191">
      <c r="A880" s="275" t="n"/>
      <c r="B880" s="260" t="n"/>
      <c r="C880" s="261" t="n"/>
      <c r="D880" s="276" t="n"/>
      <c r="E880" s="277" t="n"/>
      <c r="F880" s="538" t="n"/>
      <c r="P880" s="628" t="n"/>
      <c r="Q880" s="628" t="n"/>
      <c r="R880" s="628" t="n"/>
      <c r="S880" s="628" t="n"/>
      <c r="T880" s="628" t="n"/>
      <c r="U880" s="628" t="n"/>
      <c r="V880" s="628" t="n"/>
      <c r="W880" s="628" t="n"/>
      <c r="X880" s="628" t="n"/>
      <c r="Y880" s="650" t="n"/>
      <c r="Z880" s="650" t="n"/>
      <c r="AA880" s="650" t="n"/>
      <c r="AB880" s="650" t="n"/>
      <c r="AC880" s="613" t="n"/>
      <c r="AD880" s="613" t="n"/>
      <c r="AE880" s="613" t="n"/>
      <c r="AF880" s="613" t="n"/>
      <c r="AG880" s="626" t="n"/>
      <c r="AH880" s="626" t="n"/>
      <c r="AI880" s="626" t="n"/>
      <c r="AJ880" s="626" t="n"/>
      <c r="AK880" s="626" t="n"/>
      <c r="AL880" s="626" t="n"/>
      <c r="AM880" s="626" t="n"/>
      <c r="AN880" s="626" t="n"/>
      <c r="AO880" s="626" t="n"/>
      <c r="AP880" s="369" t="n"/>
      <c r="AQ880" s="369" t="n"/>
      <c r="AR880" s="369" t="n"/>
      <c r="AS880" s="369" t="n"/>
      <c r="AT880" s="370" t="n"/>
      <c r="AU880" s="370" t="n"/>
      <c r="AV880" s="370" t="n"/>
      <c r="AW880" s="370" t="n"/>
      <c r="BJ880">
        <f>O880</f>
        <v/>
      </c>
      <c r="BK880">
        <f>SUM(AG880:AW880)</f>
        <v/>
      </c>
      <c r="BL880" s="531">
        <f>BJ880-BK880</f>
        <v/>
      </c>
      <c r="BM880" s="201" t="n"/>
    </row>
    <row r="881" hidden="1" outlineLevel="1" ht="15.6" customHeight="1" s="191">
      <c r="A881" s="275" t="n"/>
      <c r="B881" s="260" t="n"/>
      <c r="C881" s="261" t="n"/>
      <c r="D881" s="276" t="n"/>
      <c r="E881" s="277" t="n"/>
      <c r="F881" s="538" t="n"/>
      <c r="P881" s="628" t="n"/>
      <c r="Q881" s="628" t="n"/>
      <c r="R881" s="628" t="n"/>
      <c r="S881" s="628" t="n"/>
      <c r="T881" s="628" t="n"/>
      <c r="U881" s="628" t="n"/>
      <c r="V881" s="628" t="n"/>
      <c r="W881" s="628" t="n"/>
      <c r="X881" s="628" t="n"/>
      <c r="Y881" s="650" t="n"/>
      <c r="Z881" s="650" t="n"/>
      <c r="AA881" s="650" t="n"/>
      <c r="AB881" s="650" t="n"/>
      <c r="AC881" s="613" t="n"/>
      <c r="AD881" s="613" t="n"/>
      <c r="AE881" s="613" t="n"/>
      <c r="AF881" s="613" t="n"/>
      <c r="AG881" s="626" t="n"/>
      <c r="AH881" s="626" t="n"/>
      <c r="AI881" s="626" t="n"/>
      <c r="AJ881" s="626" t="n"/>
      <c r="AK881" s="626" t="n"/>
      <c r="AL881" s="626" t="n"/>
      <c r="AM881" s="626" t="n"/>
      <c r="AN881" s="626" t="n"/>
      <c r="AO881" s="626" t="n"/>
      <c r="AP881" s="369" t="n"/>
      <c r="AQ881" s="369" t="n"/>
      <c r="AR881" s="369" t="n"/>
      <c r="AS881" s="369" t="n"/>
      <c r="AT881" s="370" t="n"/>
      <c r="AU881" s="370" t="n"/>
      <c r="AV881" s="370" t="n"/>
      <c r="AW881" s="370" t="n"/>
      <c r="BJ881">
        <f>O881</f>
        <v/>
      </c>
      <c r="BK881">
        <f>SUM(AG881:AW881)</f>
        <v/>
      </c>
      <c r="BL881" s="531">
        <f>BJ881-BK881</f>
        <v/>
      </c>
      <c r="BM881" s="201" t="n"/>
    </row>
    <row r="882" hidden="1" outlineLevel="1" ht="15.6" customHeight="1" s="191">
      <c r="A882" s="275" t="n"/>
      <c r="B882" s="260" t="n"/>
      <c r="C882" s="261" t="n"/>
      <c r="D882" s="276" t="n"/>
      <c r="E882" s="277" t="n"/>
      <c r="F882" s="538" t="n"/>
      <c r="P882" s="628" t="n"/>
      <c r="Q882" s="628" t="n"/>
      <c r="R882" s="628" t="n"/>
      <c r="S882" s="628" t="n"/>
      <c r="T882" s="628" t="n"/>
      <c r="U882" s="628" t="n"/>
      <c r="V882" s="628" t="n"/>
      <c r="W882" s="628" t="n"/>
      <c r="X882" s="628" t="n"/>
      <c r="Y882" s="650" t="n"/>
      <c r="Z882" s="650" t="n"/>
      <c r="AA882" s="650" t="n"/>
      <c r="AB882" s="650" t="n"/>
      <c r="AC882" s="613" t="n"/>
      <c r="AD882" s="613" t="n"/>
      <c r="AE882" s="613" t="n"/>
      <c r="AF882" s="613" t="n"/>
      <c r="AG882" s="626" t="n"/>
      <c r="AH882" s="626" t="n"/>
      <c r="AI882" s="626" t="n"/>
      <c r="AJ882" s="626" t="n"/>
      <c r="AK882" s="626" t="n"/>
      <c r="AL882" s="626" t="n"/>
      <c r="AM882" s="626" t="n"/>
      <c r="AN882" s="626" t="n"/>
      <c r="AO882" s="626" t="n"/>
      <c r="AP882" s="369" t="n"/>
      <c r="AQ882" s="369" t="n"/>
      <c r="AR882" s="369" t="n"/>
      <c r="AS882" s="369" t="n"/>
      <c r="AT882" s="370" t="n"/>
      <c r="AU882" s="370" t="n"/>
      <c r="AV882" s="370" t="n"/>
      <c r="AW882" s="370" t="n"/>
      <c r="BJ882">
        <f>O882</f>
        <v/>
      </c>
      <c r="BK882">
        <f>SUM(AG882:AW882)</f>
        <v/>
      </c>
      <c r="BL882" s="531">
        <f>BJ882-BK882</f>
        <v/>
      </c>
      <c r="BM882" s="201" t="n"/>
    </row>
    <row r="883" hidden="1" outlineLevel="1" ht="15.6" customHeight="1" s="191">
      <c r="A883" s="275" t="n"/>
      <c r="B883" s="260" t="n"/>
      <c r="C883" s="261" t="n"/>
      <c r="D883" s="276" t="n"/>
      <c r="E883" s="277" t="n"/>
      <c r="F883" s="538" t="n"/>
      <c r="P883" s="628" t="n"/>
      <c r="Q883" s="628" t="n"/>
      <c r="R883" s="628" t="n"/>
      <c r="S883" s="628" t="n"/>
      <c r="T883" s="628" t="n"/>
      <c r="U883" s="628" t="n"/>
      <c r="V883" s="628" t="n"/>
      <c r="W883" s="628" t="n"/>
      <c r="X883" s="628" t="n"/>
      <c r="Y883" s="650" t="n"/>
      <c r="Z883" s="650" t="n"/>
      <c r="AA883" s="650" t="n"/>
      <c r="AB883" s="650" t="n"/>
      <c r="AC883" s="613" t="n"/>
      <c r="AD883" s="613" t="n"/>
      <c r="AE883" s="613" t="n"/>
      <c r="AF883" s="613" t="n"/>
      <c r="AG883" s="626" t="n"/>
      <c r="AH883" s="626" t="n"/>
      <c r="AI883" s="626" t="n"/>
      <c r="AJ883" s="626" t="n"/>
      <c r="AK883" s="626" t="n"/>
      <c r="AL883" s="626" t="n"/>
      <c r="AM883" s="626" t="n"/>
      <c r="AN883" s="626" t="n"/>
      <c r="AO883" s="626" t="n"/>
      <c r="AP883" s="369" t="n"/>
      <c r="AQ883" s="369" t="n"/>
      <c r="AR883" s="369" t="n"/>
      <c r="AS883" s="369" t="n"/>
      <c r="AT883" s="370" t="n"/>
      <c r="AU883" s="370" t="n"/>
      <c r="AV883" s="370" t="n"/>
      <c r="AW883" s="370" t="n"/>
      <c r="BJ883">
        <f>O883</f>
        <v/>
      </c>
      <c r="BK883">
        <f>SUM(AG883:AW883)</f>
        <v/>
      </c>
      <c r="BL883" s="531">
        <f>BJ883-BK883</f>
        <v/>
      </c>
      <c r="BM883" s="201" t="n"/>
    </row>
    <row r="884" hidden="1" outlineLevel="1" ht="15.6" customHeight="1" s="191">
      <c r="A884" s="275" t="n"/>
      <c r="B884" s="260" t="n"/>
      <c r="C884" s="261" t="n"/>
      <c r="D884" s="276" t="n"/>
      <c r="E884" s="277" t="n"/>
      <c r="F884" s="538" t="n"/>
      <c r="P884" s="628" t="n"/>
      <c r="Q884" s="628" t="n"/>
      <c r="R884" s="628" t="n"/>
      <c r="S884" s="628" t="n"/>
      <c r="T884" s="628" t="n"/>
      <c r="U884" s="628" t="n"/>
      <c r="V884" s="628" t="n"/>
      <c r="W884" s="628" t="n"/>
      <c r="X884" s="628" t="n"/>
      <c r="Y884" s="650" t="n"/>
      <c r="Z884" s="650" t="n"/>
      <c r="AA884" s="650" t="n"/>
      <c r="AB884" s="650" t="n"/>
      <c r="AC884" s="613" t="n"/>
      <c r="AD884" s="613" t="n"/>
      <c r="AE884" s="613" t="n"/>
      <c r="AF884" s="613" t="n"/>
      <c r="AG884" s="626" t="n"/>
      <c r="AH884" s="626" t="n"/>
      <c r="AI884" s="626" t="n"/>
      <c r="AJ884" s="626" t="n"/>
      <c r="AK884" s="626" t="n"/>
      <c r="AL884" s="626" t="n"/>
      <c r="AM884" s="626" t="n"/>
      <c r="AN884" s="626" t="n"/>
      <c r="AO884" s="626" t="n"/>
      <c r="AP884" s="369" t="n"/>
      <c r="AQ884" s="369" t="n"/>
      <c r="AR884" s="369" t="n"/>
      <c r="AS884" s="369" t="n"/>
      <c r="AT884" s="370" t="n"/>
      <c r="AU884" s="370" t="n"/>
      <c r="AV884" s="370" t="n"/>
      <c r="AW884" s="370" t="n"/>
      <c r="BJ884">
        <f>O884</f>
        <v/>
      </c>
      <c r="BK884">
        <f>SUM(AG884:AW884)</f>
        <v/>
      </c>
      <c r="BL884" s="531">
        <f>BJ884-BK884</f>
        <v/>
      </c>
      <c r="BM884" s="201" t="n"/>
    </row>
    <row r="885" hidden="1" outlineLevel="1" ht="15.6" customHeight="1" s="191">
      <c r="A885" s="275" t="n"/>
      <c r="B885" s="260" t="n"/>
      <c r="C885" s="261" t="n"/>
      <c r="D885" s="276" t="n"/>
      <c r="E885" s="277" t="n"/>
      <c r="F885" s="538" t="n"/>
      <c r="P885" s="628" t="n"/>
      <c r="Q885" s="628" t="n"/>
      <c r="R885" s="628" t="n"/>
      <c r="S885" s="628" t="n"/>
      <c r="T885" s="628" t="n"/>
      <c r="U885" s="628" t="n"/>
      <c r="V885" s="628" t="n"/>
      <c r="W885" s="628" t="n"/>
      <c r="X885" s="628" t="n"/>
      <c r="Y885" s="650" t="n"/>
      <c r="Z885" s="650" t="n"/>
      <c r="AA885" s="650" t="n"/>
      <c r="AB885" s="650" t="n"/>
      <c r="AC885" s="613" t="n"/>
      <c r="AD885" s="613" t="n"/>
      <c r="AE885" s="613" t="n"/>
      <c r="AF885" s="613" t="n"/>
      <c r="AG885" s="626" t="n"/>
      <c r="AH885" s="626" t="n"/>
      <c r="AI885" s="626" t="n"/>
      <c r="AJ885" s="626" t="n"/>
      <c r="AK885" s="626" t="n"/>
      <c r="AL885" s="626" t="n"/>
      <c r="AM885" s="626" t="n"/>
      <c r="AN885" s="626" t="n"/>
      <c r="AO885" s="626" t="n"/>
      <c r="AP885" s="369" t="n"/>
      <c r="AQ885" s="369" t="n"/>
      <c r="AR885" s="369" t="n"/>
      <c r="AS885" s="369" t="n"/>
      <c r="AT885" s="370" t="n"/>
      <c r="AU885" s="370" t="n"/>
      <c r="AV885" s="370" t="n"/>
      <c r="AW885" s="370" t="n"/>
      <c r="BJ885">
        <f>O885</f>
        <v/>
      </c>
      <c r="BK885">
        <f>SUM(AG885:AW885)</f>
        <v/>
      </c>
      <c r="BL885" s="531">
        <f>BJ885-BK885</f>
        <v/>
      </c>
      <c r="BM885" s="201" t="n"/>
    </row>
    <row r="886" hidden="1" outlineLevel="1" ht="15.6" customHeight="1" s="191">
      <c r="A886" s="275" t="n"/>
      <c r="B886" s="260" t="n"/>
      <c r="C886" s="261" t="n"/>
      <c r="D886" s="276" t="n"/>
      <c r="E886" s="277" t="n"/>
      <c r="F886" s="538" t="n"/>
      <c r="P886" s="628" t="n"/>
      <c r="Q886" s="628" t="n"/>
      <c r="R886" s="628" t="n"/>
      <c r="S886" s="628" t="n"/>
      <c r="T886" s="628" t="n"/>
      <c r="U886" s="628" t="n"/>
      <c r="V886" s="628" t="n"/>
      <c r="W886" s="628" t="n"/>
      <c r="X886" s="628" t="n"/>
      <c r="Y886" s="650" t="n"/>
      <c r="Z886" s="650" t="n"/>
      <c r="AA886" s="650" t="n"/>
      <c r="AB886" s="650" t="n"/>
      <c r="AC886" s="613" t="n"/>
      <c r="AD886" s="613" t="n"/>
      <c r="AE886" s="613" t="n"/>
      <c r="AF886" s="613" t="n"/>
      <c r="AG886" s="626" t="n"/>
      <c r="AH886" s="626" t="n"/>
      <c r="AI886" s="626" t="n"/>
      <c r="AJ886" s="626" t="n"/>
      <c r="AK886" s="626" t="n"/>
      <c r="AL886" s="626" t="n"/>
      <c r="AM886" s="626" t="n"/>
      <c r="AN886" s="626" t="n"/>
      <c r="AO886" s="626" t="n"/>
      <c r="AP886" s="369" t="n"/>
      <c r="AQ886" s="369" t="n"/>
      <c r="AR886" s="369" t="n"/>
      <c r="AS886" s="369" t="n"/>
      <c r="AT886" s="370" t="n"/>
      <c r="AU886" s="370" t="n"/>
      <c r="AV886" s="370" t="n"/>
      <c r="AW886" s="370" t="n"/>
      <c r="BJ886">
        <f>O886</f>
        <v/>
      </c>
      <c r="BK886">
        <f>SUM(AG886:AW886)</f>
        <v/>
      </c>
      <c r="BL886" s="531">
        <f>BJ886-BK886</f>
        <v/>
      </c>
      <c r="BM886" s="201" t="n"/>
    </row>
    <row r="887" hidden="1" outlineLevel="1" ht="15.6" customHeight="1" s="191">
      <c r="A887" s="275" t="n"/>
      <c r="B887" s="260" t="n"/>
      <c r="C887" s="261" t="n"/>
      <c r="D887" s="276" t="n"/>
      <c r="E887" s="277" t="n"/>
      <c r="F887" s="538" t="n"/>
      <c r="P887" s="628" t="n"/>
      <c r="Q887" s="628" t="n"/>
      <c r="R887" s="628" t="n"/>
      <c r="S887" s="628" t="n"/>
      <c r="T887" s="628" t="n"/>
      <c r="U887" s="628" t="n"/>
      <c r="V887" s="628" t="n"/>
      <c r="W887" s="628" t="n"/>
      <c r="X887" s="628" t="n"/>
      <c r="Y887" s="650" t="n"/>
      <c r="Z887" s="650" t="n"/>
      <c r="AA887" s="650" t="n"/>
      <c r="AB887" s="650" t="n"/>
      <c r="AC887" s="613" t="n"/>
      <c r="AD887" s="613" t="n"/>
      <c r="AE887" s="613" t="n"/>
      <c r="AF887" s="613" t="n"/>
      <c r="AG887" s="626" t="n"/>
      <c r="AH887" s="626" t="n"/>
      <c r="AI887" s="626" t="n"/>
      <c r="AJ887" s="626" t="n"/>
      <c r="AK887" s="626" t="n"/>
      <c r="AL887" s="626" t="n"/>
      <c r="AM887" s="626" t="n"/>
      <c r="AN887" s="626" t="n"/>
      <c r="AO887" s="626" t="n"/>
      <c r="AP887" s="369" t="n"/>
      <c r="AQ887" s="369" t="n"/>
      <c r="AR887" s="369" t="n"/>
      <c r="AS887" s="369" t="n"/>
      <c r="AT887" s="370" t="n"/>
      <c r="AU887" s="370" t="n"/>
      <c r="AV887" s="370" t="n"/>
      <c r="AW887" s="370" t="n"/>
      <c r="BJ887">
        <f>O887</f>
        <v/>
      </c>
      <c r="BK887">
        <f>SUM(AG887:AW887)</f>
        <v/>
      </c>
      <c r="BL887" s="531">
        <f>BJ887-BK887</f>
        <v/>
      </c>
      <c r="BM887" s="201" t="n"/>
    </row>
    <row r="888" hidden="1" outlineLevel="1" ht="15.6" customHeight="1" s="191">
      <c r="A888" s="275" t="n"/>
      <c r="B888" s="260" t="n"/>
      <c r="C888" s="261" t="n"/>
      <c r="D888" s="276" t="n"/>
      <c r="E888" s="277" t="n"/>
      <c r="F888" s="538" t="n"/>
      <c r="P888" s="628" t="n"/>
      <c r="Q888" s="628" t="n"/>
      <c r="R888" s="628" t="n"/>
      <c r="S888" s="628" t="n"/>
      <c r="T888" s="628" t="n"/>
      <c r="U888" s="628" t="n"/>
      <c r="V888" s="628" t="n"/>
      <c r="W888" s="628" t="n"/>
      <c r="X888" s="628" t="n"/>
      <c r="Y888" s="650" t="n"/>
      <c r="Z888" s="650" t="n"/>
      <c r="AA888" s="650" t="n"/>
      <c r="AB888" s="650" t="n"/>
      <c r="AC888" s="613" t="n"/>
      <c r="AD888" s="613" t="n"/>
      <c r="AE888" s="613" t="n"/>
      <c r="AF888" s="613" t="n"/>
      <c r="AG888" s="626" t="n"/>
      <c r="AH888" s="626" t="n"/>
      <c r="AI888" s="626" t="n"/>
      <c r="AJ888" s="626" t="n"/>
      <c r="AK888" s="626" t="n"/>
      <c r="AL888" s="626" t="n"/>
      <c r="AM888" s="626" t="n"/>
      <c r="AN888" s="626" t="n"/>
      <c r="AO888" s="626" t="n"/>
      <c r="AP888" s="369" t="n"/>
      <c r="AQ888" s="369" t="n"/>
      <c r="AR888" s="369" t="n"/>
      <c r="AS888" s="369" t="n"/>
      <c r="AT888" s="370" t="n"/>
      <c r="AU888" s="370" t="n"/>
      <c r="AV888" s="370" t="n"/>
      <c r="AW888" s="370" t="n"/>
      <c r="BJ888">
        <f>O888</f>
        <v/>
      </c>
      <c r="BK888">
        <f>SUM(AG888:AW888)</f>
        <v/>
      </c>
      <c r="BL888" s="531">
        <f>BJ888-BK888</f>
        <v/>
      </c>
      <c r="BM888" s="201" t="n"/>
    </row>
    <row r="889" hidden="1" outlineLevel="1" ht="15.6" customHeight="1" s="191">
      <c r="A889" s="275" t="n"/>
      <c r="B889" s="260" t="n"/>
      <c r="C889" s="261" t="n"/>
      <c r="D889" s="276" t="n"/>
      <c r="E889" s="277" t="n"/>
      <c r="F889" s="538" t="n"/>
      <c r="P889" s="628" t="n"/>
      <c r="Q889" s="628" t="n"/>
      <c r="R889" s="628" t="n"/>
      <c r="S889" s="628" t="n"/>
      <c r="T889" s="628" t="n"/>
      <c r="U889" s="628" t="n"/>
      <c r="V889" s="628" t="n"/>
      <c r="W889" s="628" t="n"/>
      <c r="X889" s="628" t="n"/>
      <c r="Y889" s="650" t="n"/>
      <c r="Z889" s="650" t="n"/>
      <c r="AA889" s="650" t="n"/>
      <c r="AB889" s="650" t="n"/>
      <c r="AC889" s="613" t="n"/>
      <c r="AD889" s="613" t="n"/>
      <c r="AE889" s="613" t="n"/>
      <c r="AF889" s="613" t="n"/>
      <c r="AG889" s="626" t="n"/>
      <c r="AH889" s="626" t="n"/>
      <c r="AI889" s="626" t="n"/>
      <c r="AJ889" s="626" t="n"/>
      <c r="AK889" s="626" t="n"/>
      <c r="AL889" s="626" t="n"/>
      <c r="AM889" s="626" t="n"/>
      <c r="AN889" s="626" t="n"/>
      <c r="AO889" s="626" t="n"/>
      <c r="AP889" s="369" t="n"/>
      <c r="AQ889" s="369" t="n"/>
      <c r="AR889" s="369" t="n"/>
      <c r="AS889" s="369" t="n"/>
      <c r="AT889" s="370" t="n"/>
      <c r="AU889" s="370" t="n"/>
      <c r="AV889" s="370" t="n"/>
      <c r="AW889" s="370" t="n"/>
      <c r="BJ889">
        <f>O889</f>
        <v/>
      </c>
      <c r="BK889">
        <f>SUM(AG889:AW889)</f>
        <v/>
      </c>
      <c r="BL889" s="531">
        <f>BJ889-BK889</f>
        <v/>
      </c>
      <c r="BM889" s="201" t="n"/>
    </row>
    <row r="890" hidden="1" outlineLevel="1" ht="15.6" customHeight="1" s="191">
      <c r="A890" s="275" t="n"/>
      <c r="B890" s="260" t="n"/>
      <c r="C890" s="261" t="n"/>
      <c r="D890" s="276" t="n"/>
      <c r="E890" s="277" t="n"/>
      <c r="F890" s="538" t="n"/>
      <c r="P890" s="628" t="n"/>
      <c r="Q890" s="628" t="n"/>
      <c r="R890" s="628" t="n"/>
      <c r="S890" s="628" t="n"/>
      <c r="T890" s="628" t="n"/>
      <c r="U890" s="628" t="n"/>
      <c r="V890" s="628" t="n"/>
      <c r="W890" s="628" t="n"/>
      <c r="X890" s="628" t="n"/>
      <c r="Y890" s="650" t="n"/>
      <c r="Z890" s="650" t="n"/>
      <c r="AA890" s="650" t="n"/>
      <c r="AB890" s="650" t="n"/>
      <c r="AC890" s="613" t="n"/>
      <c r="AD890" s="613" t="n"/>
      <c r="AE890" s="613" t="n"/>
      <c r="AF890" s="613" t="n"/>
      <c r="AG890" s="626" t="n"/>
      <c r="AH890" s="626" t="n"/>
      <c r="AI890" s="626" t="n"/>
      <c r="AJ890" s="626" t="n"/>
      <c r="AK890" s="626" t="n"/>
      <c r="AL890" s="626" t="n"/>
      <c r="AM890" s="626" t="n"/>
      <c r="AN890" s="626" t="n"/>
      <c r="AO890" s="626" t="n"/>
      <c r="AP890" s="369" t="n"/>
      <c r="AQ890" s="369" t="n"/>
      <c r="AR890" s="369" t="n"/>
      <c r="AS890" s="369" t="n"/>
      <c r="AT890" s="370" t="n"/>
      <c r="AU890" s="370" t="n"/>
      <c r="AV890" s="370" t="n"/>
      <c r="AW890" s="370" t="n"/>
      <c r="BJ890">
        <f>O890</f>
        <v/>
      </c>
      <c r="BK890">
        <f>SUM(AG890:AW890)</f>
        <v/>
      </c>
      <c r="BL890" s="531">
        <f>BJ890-BK890</f>
        <v/>
      </c>
      <c r="BM890" s="201" t="n"/>
    </row>
    <row r="891" hidden="1" outlineLevel="1" ht="15.6" customHeight="1" s="191">
      <c r="A891" s="275" t="n"/>
      <c r="B891" s="260" t="n"/>
      <c r="C891" s="261" t="n"/>
      <c r="D891" s="276" t="n"/>
      <c r="E891" s="277" t="n"/>
      <c r="F891" s="538" t="n"/>
      <c r="P891" s="628" t="n"/>
      <c r="Q891" s="628" t="n"/>
      <c r="R891" s="628" t="n"/>
      <c r="S891" s="628" t="n"/>
      <c r="T891" s="628" t="n"/>
      <c r="U891" s="628" t="n"/>
      <c r="V891" s="628" t="n"/>
      <c r="W891" s="628" t="n"/>
      <c r="X891" s="628" t="n"/>
      <c r="Y891" s="650" t="n"/>
      <c r="Z891" s="650" t="n"/>
      <c r="AA891" s="650" t="n"/>
      <c r="AB891" s="650" t="n"/>
      <c r="AC891" s="613" t="n"/>
      <c r="AD891" s="613" t="n"/>
      <c r="AE891" s="613" t="n"/>
      <c r="AF891" s="613" t="n"/>
      <c r="AG891" s="626" t="n"/>
      <c r="AH891" s="626" t="n"/>
      <c r="AI891" s="626" t="n"/>
      <c r="AJ891" s="626" t="n"/>
      <c r="AK891" s="626" t="n"/>
      <c r="AL891" s="626" t="n"/>
      <c r="AM891" s="626" t="n"/>
      <c r="AN891" s="626" t="n"/>
      <c r="AO891" s="626" t="n"/>
      <c r="AP891" s="369" t="n"/>
      <c r="AQ891" s="369" t="n"/>
      <c r="AR891" s="369" t="n"/>
      <c r="AS891" s="369" t="n"/>
      <c r="AT891" s="370" t="n"/>
      <c r="AU891" s="370" t="n"/>
      <c r="AV891" s="370" t="n"/>
      <c r="AW891" s="370" t="n"/>
      <c r="BJ891">
        <f>O891</f>
        <v/>
      </c>
      <c r="BK891">
        <f>SUM(AG891:AW891)</f>
        <v/>
      </c>
      <c r="BL891" s="531">
        <f>BJ891-BK891</f>
        <v/>
      </c>
      <c r="BM891" s="201" t="n"/>
    </row>
    <row r="892" hidden="1" outlineLevel="1" ht="15.6" customHeight="1" s="191">
      <c r="A892" s="275" t="n"/>
      <c r="B892" s="260" t="n"/>
      <c r="C892" s="261" t="n"/>
      <c r="D892" s="276" t="n"/>
      <c r="E892" s="277" t="n"/>
      <c r="F892" s="538" t="n"/>
      <c r="P892" s="628" t="n"/>
      <c r="Q892" s="628" t="n"/>
      <c r="R892" s="628" t="n"/>
      <c r="S892" s="628" t="n"/>
      <c r="T892" s="628" t="n"/>
      <c r="U892" s="628" t="n"/>
      <c r="V892" s="628" t="n"/>
      <c r="W892" s="628" t="n"/>
      <c r="X892" s="628" t="n"/>
      <c r="Y892" s="650" t="n"/>
      <c r="Z892" s="650" t="n"/>
      <c r="AA892" s="650" t="n"/>
      <c r="AB892" s="650" t="n"/>
      <c r="AC892" s="613" t="n"/>
      <c r="AD892" s="613" t="n"/>
      <c r="AE892" s="613" t="n"/>
      <c r="AF892" s="613" t="n"/>
      <c r="AG892" s="626" t="n"/>
      <c r="AH892" s="626" t="n"/>
      <c r="AI892" s="626" t="n"/>
      <c r="AJ892" s="626" t="n"/>
      <c r="AK892" s="626" t="n"/>
      <c r="AL892" s="626" t="n"/>
      <c r="AM892" s="626" t="n"/>
      <c r="AN892" s="626" t="n"/>
      <c r="AO892" s="626" t="n"/>
      <c r="AP892" s="369" t="n"/>
      <c r="AQ892" s="369" t="n"/>
      <c r="AR892" s="369" t="n"/>
      <c r="AS892" s="369" t="n"/>
      <c r="AT892" s="370" t="n"/>
      <c r="AU892" s="370" t="n"/>
      <c r="AV892" s="370" t="n"/>
      <c r="AW892" s="370" t="n"/>
      <c r="BJ892">
        <f>O892</f>
        <v/>
      </c>
      <c r="BK892">
        <f>SUM(AG892:AW892)</f>
        <v/>
      </c>
      <c r="BL892" s="531">
        <f>BJ892-BK892</f>
        <v/>
      </c>
      <c r="BM892" s="201" t="n"/>
    </row>
    <row r="893" hidden="1" outlineLevel="1" ht="15.6" customHeight="1" s="191">
      <c r="A893" s="275" t="n"/>
      <c r="B893" s="260" t="n"/>
      <c r="C893" s="261" t="n"/>
      <c r="D893" s="276" t="n"/>
      <c r="E893" s="277" t="n"/>
      <c r="F893" s="538" t="n"/>
      <c r="P893" s="628" t="n"/>
      <c r="Q893" s="628" t="n"/>
      <c r="R893" s="628" t="n"/>
      <c r="S893" s="628" t="n"/>
      <c r="T893" s="628" t="n"/>
      <c r="U893" s="628" t="n"/>
      <c r="V893" s="628" t="n"/>
      <c r="W893" s="628" t="n"/>
      <c r="X893" s="628" t="n"/>
      <c r="Y893" s="650" t="n"/>
      <c r="Z893" s="650" t="n"/>
      <c r="AA893" s="650" t="n"/>
      <c r="AB893" s="650" t="n"/>
      <c r="AC893" s="613" t="n"/>
      <c r="AD893" s="613" t="n"/>
      <c r="AE893" s="613" t="n"/>
      <c r="AF893" s="613" t="n"/>
      <c r="AG893" s="626" t="n"/>
      <c r="AH893" s="626" t="n"/>
      <c r="AI893" s="626" t="n"/>
      <c r="AJ893" s="626" t="n"/>
      <c r="AK893" s="626" t="n"/>
      <c r="AL893" s="626" t="n"/>
      <c r="AM893" s="626" t="n"/>
      <c r="AN893" s="626" t="n"/>
      <c r="AO893" s="626" t="n"/>
      <c r="AP893" s="369" t="n"/>
      <c r="AQ893" s="369" t="n"/>
      <c r="AR893" s="369" t="n"/>
      <c r="AS893" s="369" t="n"/>
      <c r="AT893" s="370" t="n"/>
      <c r="AU893" s="370" t="n"/>
      <c r="AV893" s="370" t="n"/>
      <c r="AW893" s="370" t="n"/>
      <c r="BJ893">
        <f>O893</f>
        <v/>
      </c>
      <c r="BK893">
        <f>SUM(AG893:AW893)</f>
        <v/>
      </c>
      <c r="BL893" s="531">
        <f>BJ893-BK893</f>
        <v/>
      </c>
      <c r="BM893" s="201" t="n"/>
    </row>
    <row r="894" hidden="1" outlineLevel="1" ht="15.6" customHeight="1" s="191">
      <c r="A894" s="275" t="n"/>
      <c r="B894" s="260" t="n"/>
      <c r="C894" s="261" t="n"/>
      <c r="D894" s="276" t="n"/>
      <c r="E894" s="277" t="n"/>
      <c r="F894" s="538" t="n"/>
      <c r="P894" s="628" t="n"/>
      <c r="Q894" s="628" t="n"/>
      <c r="R894" s="628" t="n"/>
      <c r="S894" s="628" t="n"/>
      <c r="T894" s="628" t="n"/>
      <c r="U894" s="628" t="n"/>
      <c r="V894" s="628" t="n"/>
      <c r="W894" s="628" t="n"/>
      <c r="X894" s="628" t="n"/>
      <c r="Y894" s="650" t="n"/>
      <c r="Z894" s="650" t="n"/>
      <c r="AA894" s="650" t="n"/>
      <c r="AB894" s="650" t="n"/>
      <c r="AC894" s="613" t="n"/>
      <c r="AD894" s="613" t="n"/>
      <c r="AE894" s="613" t="n"/>
      <c r="AF894" s="613" t="n"/>
      <c r="AG894" s="626" t="n"/>
      <c r="AH894" s="626" t="n"/>
      <c r="AI894" s="626" t="n"/>
      <c r="AJ894" s="626" t="n"/>
      <c r="AK894" s="626" t="n"/>
      <c r="AL894" s="626" t="n"/>
      <c r="AM894" s="626" t="n"/>
      <c r="AN894" s="626" t="n"/>
      <c r="AO894" s="626" t="n"/>
      <c r="AP894" s="369" t="n"/>
      <c r="AQ894" s="369" t="n"/>
      <c r="AR894" s="369" t="n"/>
      <c r="AS894" s="369" t="n"/>
      <c r="AT894" s="370" t="n"/>
      <c r="AU894" s="370" t="n"/>
      <c r="AV894" s="370" t="n"/>
      <c r="AW894" s="370" t="n"/>
      <c r="BJ894">
        <f>O894</f>
        <v/>
      </c>
      <c r="BK894">
        <f>SUM(AG894:AW894)</f>
        <v/>
      </c>
      <c r="BL894" s="531">
        <f>BJ894-BK894</f>
        <v/>
      </c>
      <c r="BM894" s="201" t="n"/>
    </row>
    <row r="895" hidden="1" outlineLevel="1" ht="15.6" customHeight="1" s="191">
      <c r="A895" s="275" t="n"/>
      <c r="B895" s="260" t="n"/>
      <c r="C895" s="261" t="n"/>
      <c r="D895" s="276" t="n"/>
      <c r="E895" s="277" t="n"/>
      <c r="F895" s="538" t="n"/>
      <c r="P895" s="628" t="n"/>
      <c r="Q895" s="628" t="n"/>
      <c r="R895" s="628" t="n"/>
      <c r="S895" s="628" t="n"/>
      <c r="T895" s="628" t="n"/>
      <c r="U895" s="628" t="n"/>
      <c r="V895" s="628" t="n"/>
      <c r="W895" s="628" t="n"/>
      <c r="X895" s="628" t="n"/>
      <c r="Y895" s="650" t="n"/>
      <c r="Z895" s="650" t="n"/>
      <c r="AA895" s="650" t="n"/>
      <c r="AB895" s="650" t="n"/>
      <c r="AC895" s="613" t="n"/>
      <c r="AD895" s="613" t="n"/>
      <c r="AE895" s="613" t="n"/>
      <c r="AF895" s="613" t="n"/>
      <c r="AG895" s="626" t="n"/>
      <c r="AH895" s="626" t="n"/>
      <c r="AI895" s="626" t="n"/>
      <c r="AJ895" s="626" t="n"/>
      <c r="AK895" s="626" t="n"/>
      <c r="AL895" s="626" t="n"/>
      <c r="AM895" s="626" t="n"/>
      <c r="AN895" s="626" t="n"/>
      <c r="AO895" s="626" t="n"/>
      <c r="AP895" s="369" t="n"/>
      <c r="AQ895" s="369" t="n"/>
      <c r="AR895" s="369" t="n"/>
      <c r="AS895" s="369" t="n"/>
      <c r="AT895" s="370" t="n"/>
      <c r="AU895" s="370" t="n"/>
      <c r="AV895" s="370" t="n"/>
      <c r="AW895" s="370" t="n"/>
      <c r="BJ895">
        <f>O895</f>
        <v/>
      </c>
      <c r="BK895">
        <f>SUM(AG895:AW895)</f>
        <v/>
      </c>
      <c r="BL895" s="531">
        <f>BJ895-BK895</f>
        <v/>
      </c>
      <c r="BM895" s="201" t="n"/>
    </row>
    <row r="896" hidden="1" outlineLevel="1" ht="15.6" customHeight="1" s="191">
      <c r="A896" s="275" t="n"/>
      <c r="B896" s="260" t="n"/>
      <c r="C896" s="261" t="n"/>
      <c r="D896" s="276" t="n"/>
      <c r="E896" s="277" t="n"/>
      <c r="F896" s="538" t="n"/>
      <c r="P896" s="628" t="n"/>
      <c r="Q896" s="628" t="n"/>
      <c r="R896" s="628" t="n"/>
      <c r="S896" s="628" t="n"/>
      <c r="T896" s="628" t="n"/>
      <c r="U896" s="628" t="n"/>
      <c r="V896" s="628" t="n"/>
      <c r="W896" s="628" t="n"/>
      <c r="X896" s="628" t="n"/>
      <c r="Y896" s="650" t="n"/>
      <c r="Z896" s="650" t="n"/>
      <c r="AA896" s="650" t="n"/>
      <c r="AB896" s="650" t="n"/>
      <c r="AC896" s="613" t="n"/>
      <c r="AD896" s="613" t="n"/>
      <c r="AE896" s="613" t="n"/>
      <c r="AF896" s="613" t="n"/>
      <c r="AG896" s="626" t="n"/>
      <c r="AH896" s="626" t="n"/>
      <c r="AI896" s="626" t="n"/>
      <c r="AJ896" s="626" t="n"/>
      <c r="AK896" s="626" t="n"/>
      <c r="AL896" s="626" t="n"/>
      <c r="AM896" s="626" t="n"/>
      <c r="AN896" s="626" t="n"/>
      <c r="AO896" s="626" t="n"/>
      <c r="AP896" s="369" t="n"/>
      <c r="AQ896" s="369" t="n"/>
      <c r="AR896" s="369" t="n"/>
      <c r="AS896" s="369" t="n"/>
      <c r="AT896" s="370" t="n"/>
      <c r="AU896" s="370" t="n"/>
      <c r="AV896" s="370" t="n"/>
      <c r="AW896" s="370" t="n"/>
      <c r="BJ896">
        <f>O896</f>
        <v/>
      </c>
      <c r="BK896">
        <f>SUM(AG896:AW896)</f>
        <v/>
      </c>
      <c r="BL896" s="531">
        <f>BJ896-BK896</f>
        <v/>
      </c>
      <c r="BM896" s="201" t="n"/>
    </row>
    <row r="897" hidden="1" outlineLevel="1" ht="15.6" customHeight="1" s="191">
      <c r="A897" s="275" t="n"/>
      <c r="B897" s="260" t="n"/>
      <c r="C897" s="261" t="n"/>
      <c r="D897" s="276" t="n"/>
      <c r="E897" s="277" t="n"/>
      <c r="F897" s="538" t="n"/>
      <c r="P897" s="628" t="n"/>
      <c r="Q897" s="628" t="n"/>
      <c r="R897" s="628" t="n"/>
      <c r="S897" s="628" t="n"/>
      <c r="T897" s="628" t="n"/>
      <c r="U897" s="628" t="n"/>
      <c r="V897" s="628" t="n"/>
      <c r="W897" s="628" t="n"/>
      <c r="X897" s="628" t="n"/>
      <c r="Y897" s="650" t="n"/>
      <c r="Z897" s="650" t="n"/>
      <c r="AA897" s="650" t="n"/>
      <c r="AB897" s="650" t="n"/>
      <c r="AC897" s="613" t="n"/>
      <c r="AD897" s="613" t="n"/>
      <c r="AE897" s="613" t="n"/>
      <c r="AF897" s="613" t="n"/>
      <c r="AG897" s="626" t="n"/>
      <c r="AH897" s="626" t="n"/>
      <c r="AI897" s="626" t="n"/>
      <c r="AJ897" s="626" t="n"/>
      <c r="AK897" s="626" t="n"/>
      <c r="AL897" s="626" t="n"/>
      <c r="AM897" s="626" t="n"/>
      <c r="AN897" s="626" t="n"/>
      <c r="AO897" s="626" t="n"/>
      <c r="AP897" s="369" t="n"/>
      <c r="AQ897" s="369" t="n"/>
      <c r="AR897" s="369" t="n"/>
      <c r="AS897" s="369" t="n"/>
      <c r="AT897" s="370" t="n"/>
      <c r="AU897" s="370" t="n"/>
      <c r="AV897" s="370" t="n"/>
      <c r="AW897" s="370" t="n"/>
      <c r="BJ897">
        <f>O897</f>
        <v/>
      </c>
      <c r="BK897">
        <f>SUM(AG897:AW897)</f>
        <v/>
      </c>
      <c r="BL897" s="531">
        <f>BJ897-BK897</f>
        <v/>
      </c>
      <c r="BM897" s="201" t="n"/>
    </row>
    <row r="898" hidden="1" outlineLevel="1" ht="15.6" customHeight="1" s="191">
      <c r="A898" s="279">
        <f>A800</f>
        <v/>
      </c>
      <c r="B898" s="260" t="n"/>
      <c r="C898" s="261" t="n"/>
      <c r="D898" s="276" t="n"/>
      <c r="E898" s="277" t="n"/>
      <c r="F898" s="538" t="n"/>
      <c r="P898" s="628" t="n"/>
      <c r="Q898" s="628" t="n"/>
      <c r="R898" s="628" t="n"/>
      <c r="S898" s="628" t="n"/>
      <c r="T898" s="628" t="n"/>
      <c r="U898" s="628" t="n"/>
      <c r="V898" s="628" t="n"/>
      <c r="W898" s="628" t="n"/>
      <c r="X898" s="628" t="n"/>
      <c r="Y898" s="650" t="n"/>
      <c r="Z898" s="650" t="n"/>
      <c r="AA898" s="650" t="n"/>
      <c r="AB898" s="650" t="n"/>
      <c r="AC898" s="613" t="n"/>
      <c r="AD898" s="613" t="n"/>
      <c r="AE898" s="613" t="n"/>
      <c r="AF898" s="613" t="n"/>
      <c r="AG898" s="626" t="n"/>
      <c r="AH898" s="626" t="n"/>
      <c r="AI898" s="626" t="n"/>
      <c r="AJ898" s="626" t="n"/>
      <c r="AK898" s="626" t="n"/>
      <c r="AL898" s="626" t="n"/>
      <c r="AM898" s="626" t="n"/>
      <c r="AN898" s="626" t="n"/>
      <c r="AO898" s="626" t="n"/>
      <c r="AP898" s="369" t="n"/>
      <c r="AQ898" s="369" t="n"/>
      <c r="AR898" s="369" t="n"/>
      <c r="AS898" s="369" t="n"/>
      <c r="AT898" s="370" t="n"/>
      <c r="AU898" s="370" t="n"/>
      <c r="AV898" s="370" t="n"/>
      <c r="AW898" s="370" t="n"/>
      <c r="BJ898">
        <f>O898</f>
        <v/>
      </c>
      <c r="BK898">
        <f>SUM(AG898:AW898)</f>
        <v/>
      </c>
      <c r="BL898" s="531">
        <f>BJ898-BK898</f>
        <v/>
      </c>
      <c r="BM898" s="201" t="n"/>
    </row>
    <row r="899" collapsed="1" ht="15.6" customHeight="1" s="191">
      <c r="A899" s="260" t="n"/>
      <c r="B899" s="260" t="n"/>
      <c r="C899" s="261" t="n"/>
      <c r="D899" s="276" t="n"/>
      <c r="E899" s="277" t="n"/>
      <c r="F899" s="538" t="n"/>
      <c r="P899" s="628" t="n"/>
      <c r="Q899" s="628" t="n"/>
      <c r="R899" s="628" t="n"/>
      <c r="S899" s="628" t="n"/>
      <c r="T899" s="628" t="n"/>
      <c r="U899" s="628" t="n"/>
      <c r="V899" s="628" t="n"/>
      <c r="W899" s="628" t="n"/>
      <c r="X899" s="628" t="n"/>
      <c r="Y899" s="650" t="n"/>
      <c r="Z899" s="650" t="n"/>
      <c r="AA899" s="650" t="n"/>
      <c r="AB899" s="650" t="n"/>
      <c r="AC899" s="613" t="n"/>
      <c r="AD899" s="613" t="n"/>
      <c r="AE899" s="613" t="n"/>
      <c r="AF899" s="613" t="n"/>
      <c r="AG899" s="626" t="n"/>
      <c r="AH899" s="626" t="n"/>
      <c r="AI899" s="626" t="n"/>
      <c r="AJ899" s="626" t="n"/>
      <c r="AK899" s="626" t="n"/>
      <c r="AL899" s="626" t="n"/>
      <c r="AM899" s="626" t="n"/>
      <c r="AN899" s="626" t="n"/>
      <c r="AO899" s="626" t="n"/>
      <c r="AP899" s="369" t="n"/>
      <c r="AQ899" s="369" t="n"/>
      <c r="AR899" s="369" t="n"/>
      <c r="AS899" s="369" t="n"/>
      <c r="AT899" s="370" t="n"/>
      <c r="AU899" s="370" t="n"/>
      <c r="AV899" s="370" t="n"/>
      <c r="AW899" s="370" t="n"/>
      <c r="BJ899">
        <f>O899</f>
        <v/>
      </c>
      <c r="BK899">
        <f>SUM(AG899:AW899)</f>
        <v/>
      </c>
      <c r="BL899" s="531">
        <f>BJ899-BK899</f>
        <v/>
      </c>
      <c r="BM899" s="201">
        <f>SUM(BL900:BL998)</f>
        <v/>
      </c>
    </row>
    <row r="900" ht="15.6" customHeight="1" s="191">
      <c r="A900" s="259">
        <f>IX_Model_MWS!A3</f>
        <v/>
      </c>
      <c r="B900" s="260" t="n"/>
      <c r="C900" s="261" t="n"/>
      <c r="D900" s="276" t="n"/>
      <c r="E900" s="277">
        <f>VLOOKUP(A900,Listy!A:C,2,FALSE) &amp; "   :  " &amp; VLOOKUP(A900,Listy!A:C,3,FALSE)</f>
        <v/>
      </c>
      <c r="F900" s="538" t="n"/>
      <c r="P900" s="628" t="n"/>
      <c r="Q900" s="628" t="n"/>
      <c r="R900" s="628" t="n"/>
      <c r="S900" s="628" t="n"/>
      <c r="T900" s="628" t="n"/>
      <c r="U900" s="628" t="n"/>
      <c r="V900" s="628" t="n"/>
      <c r="W900" s="628" t="n"/>
      <c r="X900" s="628" t="n"/>
      <c r="Y900" s="650" t="n"/>
      <c r="Z900" s="650" t="n"/>
      <c r="AA900" s="650" t="n"/>
      <c r="AB900" s="650" t="n"/>
      <c r="AC900" s="613" t="n"/>
      <c r="AD900" s="613" t="n"/>
      <c r="AE900" s="613" t="n"/>
      <c r="AF900" s="613" t="n"/>
      <c r="AG900" s="626" t="n"/>
      <c r="AH900" s="626" t="n"/>
      <c r="AI900" s="626" t="n"/>
      <c r="AJ900" s="626" t="n"/>
      <c r="AK900" s="626" t="n"/>
      <c r="AL900" s="626" t="n"/>
      <c r="AM900" s="626" t="n"/>
      <c r="AN900" s="626" t="n"/>
      <c r="AO900" s="626" t="n"/>
      <c r="AP900" s="369" t="n"/>
      <c r="AQ900" s="369" t="n"/>
      <c r="AR900" s="369" t="n"/>
      <c r="AS900" s="369" t="n"/>
      <c r="AT900" s="370" t="n"/>
      <c r="AU900" s="370" t="n"/>
      <c r="AV900" s="370" t="n"/>
      <c r="AW900" s="370" t="n"/>
      <c r="BJ900">
        <f>O900</f>
        <v/>
      </c>
      <c r="BK900">
        <f>SUM(AG900:AW900)</f>
        <v/>
      </c>
      <c r="BL900" s="531">
        <f>BJ900-BK900</f>
        <v/>
      </c>
      <c r="BM900" s="201">
        <f>SUM(BL901:BL999)</f>
        <v/>
      </c>
    </row>
    <row r="901" hidden="1" outlineLevel="1" s="191">
      <c r="A901">
        <f>IX_Model_MWS!A4</f>
        <v/>
      </c>
      <c r="B901">
        <f>IX_Model_MWS!B4</f>
        <v/>
      </c>
      <c r="C901">
        <f>IX_Model_MWS!C4</f>
        <v/>
      </c>
      <c r="D901">
        <f>IX_Model_MWS!D4</f>
        <v/>
      </c>
      <c r="E901">
        <f>IX_Model_MWS!E4</f>
        <v/>
      </c>
      <c r="F901">
        <f>IX_Model_MWS!F4</f>
        <v/>
      </c>
      <c r="G901">
        <f>IX_Model_MWS!G4</f>
        <v/>
      </c>
      <c r="H901">
        <f>IX_Model_MWS!H4</f>
        <v/>
      </c>
      <c r="I901">
        <f>IX_Model_MWS!I4</f>
        <v/>
      </c>
      <c r="J901">
        <f>IX_Model_MWS!J4</f>
        <v/>
      </c>
      <c r="K901">
        <f>IX_Model_MWS!K4</f>
        <v/>
      </c>
      <c r="L901">
        <f>IX_Model_MWS!L4</f>
        <v/>
      </c>
      <c r="M901">
        <f>IX_Model_MWS!M4</f>
        <v/>
      </c>
      <c r="N901">
        <f>IX_Model_MWS!N4</f>
        <v/>
      </c>
      <c r="O901">
        <f>IX_Model_MWS!O4</f>
        <v/>
      </c>
      <c r="P901" s="628">
        <f>IX_Model_MWS!P4</f>
        <v/>
      </c>
      <c r="Q901" s="628">
        <f>IX_Model_MWS!Q4</f>
        <v/>
      </c>
      <c r="R901" s="628">
        <f>IX_Model_MWS!R4</f>
        <v/>
      </c>
      <c r="S901" s="628">
        <f>IX_Model_MWS!S4</f>
        <v/>
      </c>
      <c r="T901" s="628">
        <f>IX_Model_MWS!T4</f>
        <v/>
      </c>
      <c r="U901" s="628">
        <f>IX_Model_MWS!U4</f>
        <v/>
      </c>
      <c r="V901" s="628">
        <f>IX_Model_MWS!V4</f>
        <v/>
      </c>
      <c r="W901" s="628">
        <f>IX_Model_MWS!W4</f>
        <v/>
      </c>
      <c r="X901" s="628">
        <f>IX_Model_MWS!X4</f>
        <v/>
      </c>
      <c r="Y901" s="650">
        <f>IX_Model_MWS!Y4</f>
        <v/>
      </c>
      <c r="Z901" s="650">
        <f>IX_Model_MWS!Z4</f>
        <v/>
      </c>
      <c r="AA901" s="650">
        <f>IX_Model_MWS!AA4</f>
        <v/>
      </c>
      <c r="AB901" s="650">
        <f>IX_Model_MWS!AB4</f>
        <v/>
      </c>
      <c r="AC901" s="613">
        <f>IX_Model_MWS!AC4</f>
        <v/>
      </c>
      <c r="AD901" s="613">
        <f>IX_Model_MWS!AD4</f>
        <v/>
      </c>
      <c r="AE901" s="613">
        <f>IX_Model_MWS!AE4</f>
        <v/>
      </c>
      <c r="AF901" s="613">
        <f>IX_Model_MWS!AF4</f>
        <v/>
      </c>
      <c r="AG901" s="626">
        <f>IX_Model_MWS!AG4</f>
        <v/>
      </c>
      <c r="AH901" s="626">
        <f>IX_Model_MWS!AH4</f>
        <v/>
      </c>
      <c r="AI901" s="626">
        <f>IX_Model_MWS!AI4</f>
        <v/>
      </c>
      <c r="AJ901" s="626">
        <f>IX_Model_MWS!AJ4</f>
        <v/>
      </c>
      <c r="AK901" s="626">
        <f>IX_Model_MWS!AK4</f>
        <v/>
      </c>
      <c r="AL901" s="626">
        <f>IX_Model_MWS!AL4</f>
        <v/>
      </c>
      <c r="AM901" s="626">
        <f>IX_Model_MWS!AM4</f>
        <v/>
      </c>
      <c r="AN901" s="626">
        <f>IX_Model_MWS!AN4</f>
        <v/>
      </c>
      <c r="AO901" s="626">
        <f>IX_Model_MWS!AO4</f>
        <v/>
      </c>
      <c r="AP901" s="369">
        <f>IX_Model_MWS!AP4</f>
        <v/>
      </c>
      <c r="AQ901" s="369">
        <f>IX_Model_MWS!AQ4</f>
        <v/>
      </c>
      <c r="AR901" s="369">
        <f>IX_Model_MWS!AR4</f>
        <v/>
      </c>
      <c r="AS901" s="369">
        <f>IX_Model_MWS!AS4</f>
        <v/>
      </c>
      <c r="AT901" s="370">
        <f>IX_Model_MWS!AT4</f>
        <v/>
      </c>
      <c r="AU901" s="370">
        <f>IX_Model_MWS!AU4</f>
        <v/>
      </c>
      <c r="AV901" s="370">
        <f>IX_Model_MWS!AV4</f>
        <v/>
      </c>
      <c r="AW901" s="370">
        <f>IX_Model_MWS!AW4</f>
        <v/>
      </c>
      <c r="AX901">
        <f>IX_Model_MWS!AX4</f>
        <v/>
      </c>
      <c r="AY901">
        <f>IX_Model_MWS!AY4</f>
        <v/>
      </c>
      <c r="AZ901">
        <f>IX_Model_MWS!AZ4</f>
        <v/>
      </c>
      <c r="BA901">
        <f>IX_Model_MWS!BA4</f>
        <v/>
      </c>
      <c r="BB901">
        <f>IX_Model_MWS!BB4</f>
        <v/>
      </c>
      <c r="BC901">
        <f>IX_Model_MWS!BC4</f>
        <v/>
      </c>
      <c r="BD901">
        <f>IX_Model_MWS!BD4</f>
        <v/>
      </c>
      <c r="BE901">
        <f>IX_Model_MWS!BE4</f>
        <v/>
      </c>
      <c r="BF901">
        <f>IX_Model_MWS!BF4</f>
        <v/>
      </c>
      <c r="BG901">
        <f>IX_Model_MWS!BG4</f>
        <v/>
      </c>
      <c r="BH901">
        <f>IX_Model_MWS!BH4</f>
        <v/>
      </c>
      <c r="BI901">
        <f>IX_Model_MWS!BI4</f>
        <v/>
      </c>
      <c r="BJ901">
        <f>O901</f>
        <v/>
      </c>
      <c r="BK901">
        <f>SUM(AG901:AW901)</f>
        <v/>
      </c>
      <c r="BL901" s="531">
        <f>BJ901-BK901</f>
        <v/>
      </c>
      <c r="BM901" s="201" t="n"/>
    </row>
    <row r="902" hidden="1" outlineLevel="1" s="191">
      <c r="A902">
        <f>IX_Model_MWS!A5</f>
        <v/>
      </c>
      <c r="B902">
        <f>IX_Model_MWS!B5</f>
        <v/>
      </c>
      <c r="C902">
        <f>IX_Model_MWS!C5</f>
        <v/>
      </c>
      <c r="D902">
        <f>IX_Model_MWS!D5</f>
        <v/>
      </c>
      <c r="E902">
        <f>IX_Model_MWS!E5</f>
        <v/>
      </c>
      <c r="F902">
        <f>IX_Model_MWS!F5</f>
        <v/>
      </c>
      <c r="G902">
        <f>IX_Model_MWS!G5</f>
        <v/>
      </c>
      <c r="H902">
        <f>IX_Model_MWS!H5</f>
        <v/>
      </c>
      <c r="I902">
        <f>IX_Model_MWS!I5</f>
        <v/>
      </c>
      <c r="J902">
        <f>IX_Model_MWS!J5</f>
        <v/>
      </c>
      <c r="K902" s="672">
        <f>IX_Model_MWS!K5</f>
        <v/>
      </c>
      <c r="L902" s="672">
        <f>IX_Model_MWS!L5</f>
        <v/>
      </c>
      <c r="M902">
        <f>IX_Model_MWS!M5</f>
        <v/>
      </c>
      <c r="N902">
        <f>IX_Model_MWS!N5</f>
        <v/>
      </c>
      <c r="O902">
        <f>IX_Model_MWS!O5</f>
        <v/>
      </c>
      <c r="P902" s="628">
        <f>IX_Model_MWS!P5</f>
        <v/>
      </c>
      <c r="Q902" s="628">
        <f>IX_Model_MWS!Q5</f>
        <v/>
      </c>
      <c r="R902" s="628">
        <f>IX_Model_MWS!R5</f>
        <v/>
      </c>
      <c r="S902" s="628">
        <f>IX_Model_MWS!S5</f>
        <v/>
      </c>
      <c r="T902" s="628">
        <f>IX_Model_MWS!T5</f>
        <v/>
      </c>
      <c r="U902" s="628">
        <f>IX_Model_MWS!U5</f>
        <v/>
      </c>
      <c r="V902" s="628">
        <f>IX_Model_MWS!V5</f>
        <v/>
      </c>
      <c r="W902" s="628">
        <f>IX_Model_MWS!W5</f>
        <v/>
      </c>
      <c r="X902" s="628">
        <f>IX_Model_MWS!X5</f>
        <v/>
      </c>
      <c r="Y902" s="650">
        <f>IX_Model_MWS!Y5</f>
        <v/>
      </c>
      <c r="Z902" s="650">
        <f>IX_Model_MWS!Z5</f>
        <v/>
      </c>
      <c r="AA902" s="650">
        <f>IX_Model_MWS!AA5</f>
        <v/>
      </c>
      <c r="AB902" s="650">
        <f>IX_Model_MWS!AB5</f>
        <v/>
      </c>
      <c r="AC902" s="613">
        <f>IX_Model_MWS!AC5</f>
        <v/>
      </c>
      <c r="AD902" s="613">
        <f>IX_Model_MWS!AD5</f>
        <v/>
      </c>
      <c r="AE902" s="613">
        <f>IX_Model_MWS!AE5</f>
        <v/>
      </c>
      <c r="AF902" s="613">
        <f>IX_Model_MWS!AF5</f>
        <v/>
      </c>
      <c r="AG902" s="626">
        <f>IX_Model_MWS!AG5</f>
        <v/>
      </c>
      <c r="AH902" s="626">
        <f>IX_Model_MWS!AH5</f>
        <v/>
      </c>
      <c r="AI902" s="626">
        <f>IX_Model_MWS!AI5</f>
        <v/>
      </c>
      <c r="AJ902" s="626">
        <f>IX_Model_MWS!AJ5</f>
        <v/>
      </c>
      <c r="AK902" s="626">
        <f>IX_Model_MWS!AK5</f>
        <v/>
      </c>
      <c r="AL902" s="626">
        <f>IX_Model_MWS!AL5</f>
        <v/>
      </c>
      <c r="AM902" s="626">
        <f>IX_Model_MWS!AM5</f>
        <v/>
      </c>
      <c r="AN902" s="626">
        <f>IX_Model_MWS!AN5</f>
        <v/>
      </c>
      <c r="AO902" s="626">
        <f>IX_Model_MWS!AO5</f>
        <v/>
      </c>
      <c r="AP902" s="369">
        <f>IX_Model_MWS!AP5</f>
        <v/>
      </c>
      <c r="AQ902" s="369">
        <f>IX_Model_MWS!AQ5</f>
        <v/>
      </c>
      <c r="AR902" s="369">
        <f>IX_Model_MWS!AR5</f>
        <v/>
      </c>
      <c r="AS902" s="369">
        <f>IX_Model_MWS!AS5</f>
        <v/>
      </c>
      <c r="AT902" s="370">
        <f>IX_Model_MWS!AT5</f>
        <v/>
      </c>
      <c r="AU902" s="370">
        <f>IX_Model_MWS!AU5</f>
        <v/>
      </c>
      <c r="AV902" s="370">
        <f>IX_Model_MWS!AV5</f>
        <v/>
      </c>
      <c r="AW902" s="370">
        <f>IX_Model_MWS!AW5</f>
        <v/>
      </c>
      <c r="AX902">
        <f>IX_Model_MWS!AX5</f>
        <v/>
      </c>
      <c r="AY902">
        <f>IX_Model_MWS!AY5</f>
        <v/>
      </c>
      <c r="AZ902">
        <f>IX_Model_MWS!AZ5</f>
        <v/>
      </c>
      <c r="BA902">
        <f>IX_Model_MWS!BA5</f>
        <v/>
      </c>
      <c r="BB902">
        <f>IX_Model_MWS!BB5</f>
        <v/>
      </c>
      <c r="BC902">
        <f>IX_Model_MWS!BC5</f>
        <v/>
      </c>
      <c r="BD902">
        <f>IX_Model_MWS!BD5</f>
        <v/>
      </c>
      <c r="BE902">
        <f>IX_Model_MWS!BE5</f>
        <v/>
      </c>
      <c r="BF902">
        <f>IX_Model_MWS!BF5</f>
        <v/>
      </c>
      <c r="BG902">
        <f>IX_Model_MWS!BG5</f>
        <v/>
      </c>
      <c r="BH902">
        <f>IX_Model_MWS!BH5</f>
        <v/>
      </c>
      <c r="BI902">
        <f>IX_Model_MWS!BI5</f>
        <v/>
      </c>
      <c r="BJ902">
        <f>O902</f>
        <v/>
      </c>
      <c r="BK902">
        <f>SUM(AG902:AW902)</f>
        <v/>
      </c>
      <c r="BL902" s="531">
        <f>BJ902-BK902</f>
        <v/>
      </c>
      <c r="BM902" s="201" t="n"/>
    </row>
    <row r="903" hidden="1" outlineLevel="1" s="191">
      <c r="A903">
        <f>IX_Model_MWS!A6</f>
        <v/>
      </c>
      <c r="B903">
        <f>IX_Model_MWS!B6</f>
        <v/>
      </c>
      <c r="C903">
        <f>IX_Model_MWS!C6</f>
        <v/>
      </c>
      <c r="D903">
        <f>IX_Model_MWS!D6</f>
        <v/>
      </c>
      <c r="E903">
        <f>IX_Model_MWS!E6</f>
        <v/>
      </c>
      <c r="F903">
        <f>IX_Model_MWS!F6</f>
        <v/>
      </c>
      <c r="G903">
        <f>IX_Model_MWS!G6</f>
        <v/>
      </c>
      <c r="H903">
        <f>IX_Model_MWS!H6</f>
        <v/>
      </c>
      <c r="I903">
        <f>IX_Model_MWS!I6</f>
        <v/>
      </c>
      <c r="J903">
        <f>IX_Model_MWS!J6</f>
        <v/>
      </c>
      <c r="K903" s="672">
        <f>IX_Model_MWS!K6</f>
        <v/>
      </c>
      <c r="L903" s="672">
        <f>IX_Model_MWS!L6</f>
        <v/>
      </c>
      <c r="M903">
        <f>IX_Model_MWS!M6</f>
        <v/>
      </c>
      <c r="N903">
        <f>IX_Model_MWS!N6</f>
        <v/>
      </c>
      <c r="O903">
        <f>IX_Model_MWS!O6</f>
        <v/>
      </c>
      <c r="P903" s="628">
        <f>IX_Model_MWS!P6</f>
        <v/>
      </c>
      <c r="Q903" s="628">
        <f>IX_Model_MWS!Q6</f>
        <v/>
      </c>
      <c r="R903" s="628">
        <f>IX_Model_MWS!R6</f>
        <v/>
      </c>
      <c r="S903" s="628">
        <f>IX_Model_MWS!S6</f>
        <v/>
      </c>
      <c r="T903" s="628">
        <f>IX_Model_MWS!T6</f>
        <v/>
      </c>
      <c r="U903" s="628">
        <f>IX_Model_MWS!U6</f>
        <v/>
      </c>
      <c r="V903" s="628">
        <f>IX_Model_MWS!V6</f>
        <v/>
      </c>
      <c r="W903" s="628">
        <f>IX_Model_MWS!W6</f>
        <v/>
      </c>
      <c r="X903" s="628">
        <f>IX_Model_MWS!X6</f>
        <v/>
      </c>
      <c r="Y903" s="650">
        <f>IX_Model_MWS!Y6</f>
        <v/>
      </c>
      <c r="Z903" s="650">
        <f>IX_Model_MWS!Z6</f>
        <v/>
      </c>
      <c r="AA903" s="650">
        <f>IX_Model_MWS!AA6</f>
        <v/>
      </c>
      <c r="AB903" s="650">
        <f>IX_Model_MWS!AB6</f>
        <v/>
      </c>
      <c r="AC903" s="613">
        <f>IX_Model_MWS!AC6</f>
        <v/>
      </c>
      <c r="AD903" s="613">
        <f>IX_Model_MWS!AD6</f>
        <v/>
      </c>
      <c r="AE903" s="613">
        <f>IX_Model_MWS!AE6</f>
        <v/>
      </c>
      <c r="AF903" s="613">
        <f>IX_Model_MWS!AF6</f>
        <v/>
      </c>
      <c r="AG903" s="626">
        <f>IX_Model_MWS!AG6</f>
        <v/>
      </c>
      <c r="AH903" s="626">
        <f>IX_Model_MWS!AH6</f>
        <v/>
      </c>
      <c r="AI903" s="626">
        <f>IX_Model_MWS!AI6</f>
        <v/>
      </c>
      <c r="AJ903" s="626">
        <f>IX_Model_MWS!AJ6</f>
        <v/>
      </c>
      <c r="AK903" s="626">
        <f>IX_Model_MWS!AK6</f>
        <v/>
      </c>
      <c r="AL903" s="626">
        <f>IX_Model_MWS!AL6</f>
        <v/>
      </c>
      <c r="AM903" s="626">
        <f>IX_Model_MWS!AM6</f>
        <v/>
      </c>
      <c r="AN903" s="626">
        <f>IX_Model_MWS!AN6</f>
        <v/>
      </c>
      <c r="AO903" s="626">
        <f>IX_Model_MWS!AO6</f>
        <v/>
      </c>
      <c r="AP903" s="369">
        <f>IX_Model_MWS!AP6</f>
        <v/>
      </c>
      <c r="AQ903" s="369">
        <f>IX_Model_MWS!AQ6</f>
        <v/>
      </c>
      <c r="AR903" s="369">
        <f>IX_Model_MWS!AR6</f>
        <v/>
      </c>
      <c r="AS903" s="369">
        <f>IX_Model_MWS!AS6</f>
        <v/>
      </c>
      <c r="AT903" s="370">
        <f>IX_Model_MWS!AT6</f>
        <v/>
      </c>
      <c r="AU903" s="370">
        <f>IX_Model_MWS!AU6</f>
        <v/>
      </c>
      <c r="AV903" s="370">
        <f>IX_Model_MWS!AV6</f>
        <v/>
      </c>
      <c r="AW903" s="370">
        <f>IX_Model_MWS!AW6</f>
        <v/>
      </c>
      <c r="AX903">
        <f>IX_Model_MWS!AX6</f>
        <v/>
      </c>
      <c r="AY903">
        <f>IX_Model_MWS!AY6</f>
        <v/>
      </c>
      <c r="AZ903">
        <f>IX_Model_MWS!AZ6</f>
        <v/>
      </c>
      <c r="BA903">
        <f>IX_Model_MWS!BA6</f>
        <v/>
      </c>
      <c r="BB903">
        <f>IX_Model_MWS!BB6</f>
        <v/>
      </c>
      <c r="BC903">
        <f>IX_Model_MWS!BC6</f>
        <v/>
      </c>
      <c r="BD903">
        <f>IX_Model_MWS!BD6</f>
        <v/>
      </c>
      <c r="BE903">
        <f>IX_Model_MWS!BE6</f>
        <v/>
      </c>
      <c r="BF903">
        <f>IX_Model_MWS!BF6</f>
        <v/>
      </c>
      <c r="BG903">
        <f>IX_Model_MWS!BG6</f>
        <v/>
      </c>
      <c r="BH903">
        <f>IX_Model_MWS!BH6</f>
        <v/>
      </c>
      <c r="BI903">
        <f>IX_Model_MWS!BI6</f>
        <v/>
      </c>
      <c r="BJ903">
        <f>O903</f>
        <v/>
      </c>
      <c r="BK903">
        <f>SUM(AG903:AW903)</f>
        <v/>
      </c>
      <c r="BL903" s="531">
        <f>BJ903-BK903</f>
        <v/>
      </c>
      <c r="BM903" s="201" t="n"/>
    </row>
    <row r="904" hidden="1" outlineLevel="1" s="191">
      <c r="A904">
        <f>IX_Model_MWS!A7</f>
        <v/>
      </c>
      <c r="B904">
        <f>IX_Model_MWS!B7</f>
        <v/>
      </c>
      <c r="C904">
        <f>IX_Model_MWS!C7</f>
        <v/>
      </c>
      <c r="D904">
        <f>IX_Model_MWS!D7</f>
        <v/>
      </c>
      <c r="E904">
        <f>IX_Model_MWS!E7</f>
        <v/>
      </c>
      <c r="F904">
        <f>IX_Model_MWS!F7</f>
        <v/>
      </c>
      <c r="G904">
        <f>IX_Model_MWS!G7</f>
        <v/>
      </c>
      <c r="H904">
        <f>IX_Model_MWS!H7</f>
        <v/>
      </c>
      <c r="I904">
        <f>IX_Model_MWS!I7</f>
        <v/>
      </c>
      <c r="J904">
        <f>IX_Model_MWS!J7</f>
        <v/>
      </c>
      <c r="K904" s="672">
        <f>IX_Model_MWS!K7</f>
        <v/>
      </c>
      <c r="L904" s="672">
        <f>IX_Model_MWS!L7</f>
        <v/>
      </c>
      <c r="M904">
        <f>IX_Model_MWS!M7</f>
        <v/>
      </c>
      <c r="N904">
        <f>IX_Model_MWS!N7</f>
        <v/>
      </c>
      <c r="O904">
        <f>IX_Model_MWS!O7</f>
        <v/>
      </c>
      <c r="P904" s="628">
        <f>IX_Model_MWS!P7</f>
        <v/>
      </c>
      <c r="Q904" s="628">
        <f>IX_Model_MWS!Q7</f>
        <v/>
      </c>
      <c r="R904" s="628">
        <f>IX_Model_MWS!R7</f>
        <v/>
      </c>
      <c r="S904" s="628">
        <f>IX_Model_MWS!S7</f>
        <v/>
      </c>
      <c r="T904" s="628">
        <f>IX_Model_MWS!T7</f>
        <v/>
      </c>
      <c r="U904" s="628">
        <f>IX_Model_MWS!U7</f>
        <v/>
      </c>
      <c r="V904" s="628">
        <f>IX_Model_MWS!V7</f>
        <v/>
      </c>
      <c r="W904" s="628">
        <f>IX_Model_MWS!W7</f>
        <v/>
      </c>
      <c r="X904" s="628">
        <f>IX_Model_MWS!X7</f>
        <v/>
      </c>
      <c r="Y904" s="650">
        <f>IX_Model_MWS!Y7</f>
        <v/>
      </c>
      <c r="Z904" s="650">
        <f>IX_Model_MWS!Z7</f>
        <v/>
      </c>
      <c r="AA904" s="650">
        <f>IX_Model_MWS!AA7</f>
        <v/>
      </c>
      <c r="AB904" s="650">
        <f>IX_Model_MWS!AB7</f>
        <v/>
      </c>
      <c r="AC904" s="613">
        <f>IX_Model_MWS!AC7</f>
        <v/>
      </c>
      <c r="AD904" s="613">
        <f>IX_Model_MWS!AD7</f>
        <v/>
      </c>
      <c r="AE904" s="613">
        <f>IX_Model_MWS!AE7</f>
        <v/>
      </c>
      <c r="AF904" s="613">
        <f>IX_Model_MWS!AF7</f>
        <v/>
      </c>
      <c r="AG904" s="626">
        <f>IX_Model_MWS!AG7</f>
        <v/>
      </c>
      <c r="AH904" s="626">
        <f>IX_Model_MWS!AH7</f>
        <v/>
      </c>
      <c r="AI904" s="626">
        <f>IX_Model_MWS!AI7</f>
        <v/>
      </c>
      <c r="AJ904" s="626">
        <f>IX_Model_MWS!AJ7</f>
        <v/>
      </c>
      <c r="AK904" s="626">
        <f>IX_Model_MWS!AK7</f>
        <v/>
      </c>
      <c r="AL904" s="626">
        <f>IX_Model_MWS!AL7</f>
        <v/>
      </c>
      <c r="AM904" s="626">
        <f>IX_Model_MWS!AM7</f>
        <v/>
      </c>
      <c r="AN904" s="626">
        <f>IX_Model_MWS!AN7</f>
        <v/>
      </c>
      <c r="AO904" s="626">
        <f>IX_Model_MWS!AO7</f>
        <v/>
      </c>
      <c r="AP904" s="369">
        <f>IX_Model_MWS!AP7</f>
        <v/>
      </c>
      <c r="AQ904" s="369">
        <f>IX_Model_MWS!AQ7</f>
        <v/>
      </c>
      <c r="AR904" s="369">
        <f>IX_Model_MWS!AR7</f>
        <v/>
      </c>
      <c r="AS904" s="369">
        <f>IX_Model_MWS!AS7</f>
        <v/>
      </c>
      <c r="AT904" s="370">
        <f>IX_Model_MWS!AT7</f>
        <v/>
      </c>
      <c r="AU904" s="370">
        <f>IX_Model_MWS!AU7</f>
        <v/>
      </c>
      <c r="AV904" s="370">
        <f>IX_Model_MWS!AV7</f>
        <v/>
      </c>
      <c r="AW904" s="370">
        <f>IX_Model_MWS!AW7</f>
        <v/>
      </c>
      <c r="AX904">
        <f>IX_Model_MWS!AX7</f>
        <v/>
      </c>
      <c r="AY904">
        <f>IX_Model_MWS!AY7</f>
        <v/>
      </c>
      <c r="AZ904">
        <f>IX_Model_MWS!AZ7</f>
        <v/>
      </c>
      <c r="BA904">
        <f>IX_Model_MWS!BA7</f>
        <v/>
      </c>
      <c r="BB904">
        <f>IX_Model_MWS!BB7</f>
        <v/>
      </c>
      <c r="BC904">
        <f>IX_Model_MWS!BC7</f>
        <v/>
      </c>
      <c r="BD904">
        <f>IX_Model_MWS!BD7</f>
        <v/>
      </c>
      <c r="BE904">
        <f>IX_Model_MWS!BE7</f>
        <v/>
      </c>
      <c r="BF904">
        <f>IX_Model_MWS!BF7</f>
        <v/>
      </c>
      <c r="BG904">
        <f>IX_Model_MWS!BG7</f>
        <v/>
      </c>
      <c r="BH904">
        <f>IX_Model_MWS!BH7</f>
        <v/>
      </c>
      <c r="BI904">
        <f>IX_Model_MWS!BI7</f>
        <v/>
      </c>
      <c r="BJ904">
        <f>O904</f>
        <v/>
      </c>
      <c r="BK904">
        <f>SUM(AG904:AW904)</f>
        <v/>
      </c>
      <c r="BL904" s="531">
        <f>BJ904-BK904</f>
        <v/>
      </c>
      <c r="BM904" s="201" t="n"/>
    </row>
    <row r="905" hidden="1" outlineLevel="1" s="191">
      <c r="A905">
        <f>IX_Model_MWS!A8</f>
        <v/>
      </c>
      <c r="B905">
        <f>IX_Model_MWS!B8</f>
        <v/>
      </c>
      <c r="C905">
        <f>IX_Model_MWS!C8</f>
        <v/>
      </c>
      <c r="D905">
        <f>IX_Model_MWS!D8</f>
        <v/>
      </c>
      <c r="E905">
        <f>IX_Model_MWS!E8</f>
        <v/>
      </c>
      <c r="F905">
        <f>IX_Model_MWS!F8</f>
        <v/>
      </c>
      <c r="G905">
        <f>IX_Model_MWS!G8</f>
        <v/>
      </c>
      <c r="H905">
        <f>IX_Model_MWS!H8</f>
        <v/>
      </c>
      <c r="I905">
        <f>IX_Model_MWS!I8</f>
        <v/>
      </c>
      <c r="J905">
        <f>IX_Model_MWS!J8</f>
        <v/>
      </c>
      <c r="K905" s="672">
        <f>IX_Model_MWS!K8</f>
        <v/>
      </c>
      <c r="L905" s="672">
        <f>IX_Model_MWS!L8</f>
        <v/>
      </c>
      <c r="M905">
        <f>IX_Model_MWS!M8</f>
        <v/>
      </c>
      <c r="N905">
        <f>IX_Model_MWS!N8</f>
        <v/>
      </c>
      <c r="O905">
        <f>IX_Model_MWS!O8</f>
        <v/>
      </c>
      <c r="P905" s="628">
        <f>IX_Model_MWS!P8</f>
        <v/>
      </c>
      <c r="Q905" s="628">
        <f>IX_Model_MWS!Q8</f>
        <v/>
      </c>
      <c r="R905" s="628">
        <f>IX_Model_MWS!R8</f>
        <v/>
      </c>
      <c r="S905" s="628">
        <f>IX_Model_MWS!S8</f>
        <v/>
      </c>
      <c r="T905" s="628">
        <f>IX_Model_MWS!T8</f>
        <v/>
      </c>
      <c r="U905" s="628">
        <f>IX_Model_MWS!U8</f>
        <v/>
      </c>
      <c r="V905" s="628">
        <f>IX_Model_MWS!V8</f>
        <v/>
      </c>
      <c r="W905" s="628">
        <f>IX_Model_MWS!W8</f>
        <v/>
      </c>
      <c r="X905" s="628">
        <f>IX_Model_MWS!X8</f>
        <v/>
      </c>
      <c r="Y905" s="650">
        <f>IX_Model_MWS!Y8</f>
        <v/>
      </c>
      <c r="Z905" s="650">
        <f>IX_Model_MWS!Z8</f>
        <v/>
      </c>
      <c r="AA905" s="650">
        <f>IX_Model_MWS!AA8</f>
        <v/>
      </c>
      <c r="AB905" s="650">
        <f>IX_Model_MWS!AB8</f>
        <v/>
      </c>
      <c r="AC905" s="613">
        <f>IX_Model_MWS!AC8</f>
        <v/>
      </c>
      <c r="AD905" s="613">
        <f>IX_Model_MWS!AD8</f>
        <v/>
      </c>
      <c r="AE905" s="613">
        <f>IX_Model_MWS!AE8</f>
        <v/>
      </c>
      <c r="AF905" s="613">
        <f>IX_Model_MWS!AF8</f>
        <v/>
      </c>
      <c r="AG905" s="626">
        <f>IX_Model_MWS!AG8</f>
        <v/>
      </c>
      <c r="AH905" s="626">
        <f>IX_Model_MWS!AH8</f>
        <v/>
      </c>
      <c r="AI905" s="626">
        <f>IX_Model_MWS!AI8</f>
        <v/>
      </c>
      <c r="AJ905" s="626">
        <f>IX_Model_MWS!AJ8</f>
        <v/>
      </c>
      <c r="AK905" s="626">
        <f>IX_Model_MWS!AK8</f>
        <v/>
      </c>
      <c r="AL905" s="626">
        <f>IX_Model_MWS!AL8</f>
        <v/>
      </c>
      <c r="AM905" s="626">
        <f>IX_Model_MWS!AM8</f>
        <v/>
      </c>
      <c r="AN905" s="626">
        <f>IX_Model_MWS!AN8</f>
        <v/>
      </c>
      <c r="AO905" s="626">
        <f>IX_Model_MWS!AO8</f>
        <v/>
      </c>
      <c r="AP905" s="369">
        <f>IX_Model_MWS!AP8</f>
        <v/>
      </c>
      <c r="AQ905" s="369">
        <f>IX_Model_MWS!AQ8</f>
        <v/>
      </c>
      <c r="AR905" s="369">
        <f>IX_Model_MWS!AR8</f>
        <v/>
      </c>
      <c r="AS905" s="369">
        <f>IX_Model_MWS!AS8</f>
        <v/>
      </c>
      <c r="AT905" s="370">
        <f>IX_Model_MWS!AT8</f>
        <v/>
      </c>
      <c r="AU905" s="370">
        <f>IX_Model_MWS!AU8</f>
        <v/>
      </c>
      <c r="AV905" s="370">
        <f>IX_Model_MWS!AV8</f>
        <v/>
      </c>
      <c r="AW905" s="370">
        <f>IX_Model_MWS!AW8</f>
        <v/>
      </c>
      <c r="AX905">
        <f>IX_Model_MWS!AX8</f>
        <v/>
      </c>
      <c r="AY905">
        <f>IX_Model_MWS!AY8</f>
        <v/>
      </c>
      <c r="AZ905">
        <f>IX_Model_MWS!AZ8</f>
        <v/>
      </c>
      <c r="BA905">
        <f>IX_Model_MWS!BA8</f>
        <v/>
      </c>
      <c r="BB905">
        <f>IX_Model_MWS!BB8</f>
        <v/>
      </c>
      <c r="BC905">
        <f>IX_Model_MWS!BC8</f>
        <v/>
      </c>
      <c r="BD905">
        <f>IX_Model_MWS!BD8</f>
        <v/>
      </c>
      <c r="BE905">
        <f>IX_Model_MWS!BE8</f>
        <v/>
      </c>
      <c r="BF905">
        <f>IX_Model_MWS!BF8</f>
        <v/>
      </c>
      <c r="BG905">
        <f>IX_Model_MWS!BG8</f>
        <v/>
      </c>
      <c r="BH905">
        <f>IX_Model_MWS!BH8</f>
        <v/>
      </c>
      <c r="BI905">
        <f>IX_Model_MWS!BI8</f>
        <v/>
      </c>
      <c r="BJ905">
        <f>O905</f>
        <v/>
      </c>
      <c r="BK905">
        <f>SUM(AG905:AW905)</f>
        <v/>
      </c>
      <c r="BL905" s="531">
        <f>BJ905-BK905</f>
        <v/>
      </c>
      <c r="BM905" s="201" t="n"/>
    </row>
    <row r="906" hidden="1" outlineLevel="1" s="191">
      <c r="A906">
        <f>IX_Model_MWS!A9</f>
        <v/>
      </c>
      <c r="B906">
        <f>IX_Model_MWS!B9</f>
        <v/>
      </c>
      <c r="C906">
        <f>IX_Model_MWS!C9</f>
        <v/>
      </c>
      <c r="D906">
        <f>IX_Model_MWS!D9</f>
        <v/>
      </c>
      <c r="E906">
        <f>IX_Model_MWS!E9</f>
        <v/>
      </c>
      <c r="F906">
        <f>IX_Model_MWS!F9</f>
        <v/>
      </c>
      <c r="G906">
        <f>IX_Model_MWS!G9</f>
        <v/>
      </c>
      <c r="H906">
        <f>IX_Model_MWS!H9</f>
        <v/>
      </c>
      <c r="I906">
        <f>IX_Model_MWS!I9</f>
        <v/>
      </c>
      <c r="J906">
        <f>IX_Model_MWS!J9</f>
        <v/>
      </c>
      <c r="K906" s="672">
        <f>IX_Model_MWS!K9</f>
        <v/>
      </c>
      <c r="L906" s="672">
        <f>IX_Model_MWS!L9</f>
        <v/>
      </c>
      <c r="M906">
        <f>IX_Model_MWS!M9</f>
        <v/>
      </c>
      <c r="N906">
        <f>IX_Model_MWS!N9</f>
        <v/>
      </c>
      <c r="O906">
        <f>IX_Model_MWS!O9</f>
        <v/>
      </c>
      <c r="P906" s="628">
        <f>IX_Model_MWS!P9</f>
        <v/>
      </c>
      <c r="Q906" s="628">
        <f>IX_Model_MWS!Q9</f>
        <v/>
      </c>
      <c r="R906" s="628">
        <f>IX_Model_MWS!R9</f>
        <v/>
      </c>
      <c r="S906" s="628">
        <f>IX_Model_MWS!S9</f>
        <v/>
      </c>
      <c r="T906" s="628">
        <f>IX_Model_MWS!T9</f>
        <v/>
      </c>
      <c r="U906" s="628">
        <f>IX_Model_MWS!U9</f>
        <v/>
      </c>
      <c r="V906" s="628">
        <f>IX_Model_MWS!V9</f>
        <v/>
      </c>
      <c r="W906" s="628">
        <f>IX_Model_MWS!W9</f>
        <v/>
      </c>
      <c r="X906" s="628">
        <f>IX_Model_MWS!X9</f>
        <v/>
      </c>
      <c r="Y906" s="650">
        <f>IX_Model_MWS!Y9</f>
        <v/>
      </c>
      <c r="Z906" s="650">
        <f>IX_Model_MWS!Z9</f>
        <v/>
      </c>
      <c r="AA906" s="650">
        <f>IX_Model_MWS!AA9</f>
        <v/>
      </c>
      <c r="AB906" s="650">
        <f>IX_Model_MWS!AB9</f>
        <v/>
      </c>
      <c r="AC906" s="613">
        <f>IX_Model_MWS!AC9</f>
        <v/>
      </c>
      <c r="AD906" s="613">
        <f>IX_Model_MWS!AD9</f>
        <v/>
      </c>
      <c r="AE906" s="613">
        <f>IX_Model_MWS!AE9</f>
        <v/>
      </c>
      <c r="AF906" s="613">
        <f>IX_Model_MWS!AF9</f>
        <v/>
      </c>
      <c r="AG906" s="626">
        <f>IX_Model_MWS!AG9</f>
        <v/>
      </c>
      <c r="AH906" s="626">
        <f>IX_Model_MWS!AH9</f>
        <v/>
      </c>
      <c r="AI906" s="626">
        <f>IX_Model_MWS!AI9</f>
        <v/>
      </c>
      <c r="AJ906" s="626">
        <f>IX_Model_MWS!AJ9</f>
        <v/>
      </c>
      <c r="AK906" s="626">
        <f>IX_Model_MWS!AK9</f>
        <v/>
      </c>
      <c r="AL906" s="626">
        <f>IX_Model_MWS!AL9</f>
        <v/>
      </c>
      <c r="AM906" s="626">
        <f>IX_Model_MWS!AM9</f>
        <v/>
      </c>
      <c r="AN906" s="626">
        <f>IX_Model_MWS!AN9</f>
        <v/>
      </c>
      <c r="AO906" s="626">
        <f>IX_Model_MWS!AO9</f>
        <v/>
      </c>
      <c r="AP906" s="369">
        <f>IX_Model_MWS!AP9</f>
        <v/>
      </c>
      <c r="AQ906" s="369">
        <f>IX_Model_MWS!AQ9</f>
        <v/>
      </c>
      <c r="AR906" s="369">
        <f>IX_Model_MWS!AR9</f>
        <v/>
      </c>
      <c r="AS906" s="369">
        <f>IX_Model_MWS!AS9</f>
        <v/>
      </c>
      <c r="AT906" s="370">
        <f>IX_Model_MWS!AT9</f>
        <v/>
      </c>
      <c r="AU906" s="370">
        <f>IX_Model_MWS!AU9</f>
        <v/>
      </c>
      <c r="AV906" s="370">
        <f>IX_Model_MWS!AV9</f>
        <v/>
      </c>
      <c r="AW906" s="370">
        <f>IX_Model_MWS!AW9</f>
        <v/>
      </c>
      <c r="AX906">
        <f>IX_Model_MWS!AX9</f>
        <v/>
      </c>
      <c r="AY906">
        <f>IX_Model_MWS!AY9</f>
        <v/>
      </c>
      <c r="AZ906">
        <f>IX_Model_MWS!AZ9</f>
        <v/>
      </c>
      <c r="BA906">
        <f>IX_Model_MWS!BA9</f>
        <v/>
      </c>
      <c r="BB906">
        <f>IX_Model_MWS!BB9</f>
        <v/>
      </c>
      <c r="BC906">
        <f>IX_Model_MWS!BC9</f>
        <v/>
      </c>
      <c r="BD906">
        <f>IX_Model_MWS!BD9</f>
        <v/>
      </c>
      <c r="BE906">
        <f>IX_Model_MWS!BE9</f>
        <v/>
      </c>
      <c r="BF906">
        <f>IX_Model_MWS!BF9</f>
        <v/>
      </c>
      <c r="BG906">
        <f>IX_Model_MWS!BG9</f>
        <v/>
      </c>
      <c r="BH906">
        <f>IX_Model_MWS!BH9</f>
        <v/>
      </c>
      <c r="BI906">
        <f>IX_Model_MWS!BI9</f>
        <v/>
      </c>
      <c r="BJ906">
        <f>O906</f>
        <v/>
      </c>
      <c r="BK906">
        <f>SUM(AG906:AW906)</f>
        <v/>
      </c>
      <c r="BL906" s="531">
        <f>BJ906-BK906</f>
        <v/>
      </c>
      <c r="BM906" s="201" t="n"/>
    </row>
    <row r="907" hidden="1" outlineLevel="1" s="191">
      <c r="A907">
        <f>IX_Model_MWS!A10</f>
        <v/>
      </c>
      <c r="B907">
        <f>IX_Model_MWS!B10</f>
        <v/>
      </c>
      <c r="C907">
        <f>IX_Model_MWS!C10</f>
        <v/>
      </c>
      <c r="D907">
        <f>IX_Model_MWS!D10</f>
        <v/>
      </c>
      <c r="E907">
        <f>IX_Model_MWS!E10</f>
        <v/>
      </c>
      <c r="F907">
        <f>IX_Model_MWS!F10</f>
        <v/>
      </c>
      <c r="G907">
        <f>IX_Model_MWS!G10</f>
        <v/>
      </c>
      <c r="H907">
        <f>IX_Model_MWS!H10</f>
        <v/>
      </c>
      <c r="I907">
        <f>IX_Model_MWS!I10</f>
        <v/>
      </c>
      <c r="J907">
        <f>IX_Model_MWS!J10</f>
        <v/>
      </c>
      <c r="K907" s="672">
        <f>IX_Model_MWS!K10</f>
        <v/>
      </c>
      <c r="L907" s="672">
        <f>IX_Model_MWS!L10</f>
        <v/>
      </c>
      <c r="M907">
        <f>IX_Model_MWS!M10</f>
        <v/>
      </c>
      <c r="N907">
        <f>IX_Model_MWS!N10</f>
        <v/>
      </c>
      <c r="O907">
        <f>IX_Model_MWS!O10</f>
        <v/>
      </c>
      <c r="P907" s="628">
        <f>IX_Model_MWS!P10</f>
        <v/>
      </c>
      <c r="Q907" s="628">
        <f>IX_Model_MWS!Q10</f>
        <v/>
      </c>
      <c r="R907" s="628">
        <f>IX_Model_MWS!R10</f>
        <v/>
      </c>
      <c r="S907" s="628">
        <f>IX_Model_MWS!S10</f>
        <v/>
      </c>
      <c r="T907" s="628">
        <f>IX_Model_MWS!T10</f>
        <v/>
      </c>
      <c r="U907" s="628">
        <f>IX_Model_MWS!U10</f>
        <v/>
      </c>
      <c r="V907" s="628">
        <f>IX_Model_MWS!V10</f>
        <v/>
      </c>
      <c r="W907" s="628">
        <f>IX_Model_MWS!W10</f>
        <v/>
      </c>
      <c r="X907" s="628">
        <f>IX_Model_MWS!X10</f>
        <v/>
      </c>
      <c r="Y907" s="650">
        <f>IX_Model_MWS!Y10</f>
        <v/>
      </c>
      <c r="Z907" s="650">
        <f>IX_Model_MWS!Z10</f>
        <v/>
      </c>
      <c r="AA907" s="650">
        <f>IX_Model_MWS!AA10</f>
        <v/>
      </c>
      <c r="AB907" s="650">
        <f>IX_Model_MWS!AB10</f>
        <v/>
      </c>
      <c r="AC907" s="613">
        <f>IX_Model_MWS!AC10</f>
        <v/>
      </c>
      <c r="AD907" s="613">
        <f>IX_Model_MWS!AD10</f>
        <v/>
      </c>
      <c r="AE907" s="613">
        <f>IX_Model_MWS!AE10</f>
        <v/>
      </c>
      <c r="AF907" s="613">
        <f>IX_Model_MWS!AF10</f>
        <v/>
      </c>
      <c r="AG907" s="626">
        <f>IX_Model_MWS!AG10</f>
        <v/>
      </c>
      <c r="AH907" s="626">
        <f>IX_Model_MWS!AH10</f>
        <v/>
      </c>
      <c r="AI907" s="626">
        <f>IX_Model_MWS!AI10</f>
        <v/>
      </c>
      <c r="AJ907" s="626">
        <f>IX_Model_MWS!AJ10</f>
        <v/>
      </c>
      <c r="AK907" s="626">
        <f>IX_Model_MWS!AK10</f>
        <v/>
      </c>
      <c r="AL907" s="626">
        <f>IX_Model_MWS!AL10</f>
        <v/>
      </c>
      <c r="AM907" s="626">
        <f>IX_Model_MWS!AM10</f>
        <v/>
      </c>
      <c r="AN907" s="626">
        <f>IX_Model_MWS!AN10</f>
        <v/>
      </c>
      <c r="AO907" s="626">
        <f>IX_Model_MWS!AO10</f>
        <v/>
      </c>
      <c r="AP907" s="369">
        <f>IX_Model_MWS!AP10</f>
        <v/>
      </c>
      <c r="AQ907" s="369">
        <f>IX_Model_MWS!AQ10</f>
        <v/>
      </c>
      <c r="AR907" s="369">
        <f>IX_Model_MWS!AR10</f>
        <v/>
      </c>
      <c r="AS907" s="369">
        <f>IX_Model_MWS!AS10</f>
        <v/>
      </c>
      <c r="AT907" s="370">
        <f>IX_Model_MWS!AT10</f>
        <v/>
      </c>
      <c r="AU907" s="370">
        <f>IX_Model_MWS!AU10</f>
        <v/>
      </c>
      <c r="AV907" s="370">
        <f>IX_Model_MWS!AV10</f>
        <v/>
      </c>
      <c r="AW907" s="370">
        <f>IX_Model_MWS!AW10</f>
        <v/>
      </c>
      <c r="AX907">
        <f>IX_Model_MWS!AX10</f>
        <v/>
      </c>
      <c r="AY907">
        <f>IX_Model_MWS!AY10</f>
        <v/>
      </c>
      <c r="AZ907">
        <f>IX_Model_MWS!AZ10</f>
        <v/>
      </c>
      <c r="BA907">
        <f>IX_Model_MWS!BA10</f>
        <v/>
      </c>
      <c r="BB907">
        <f>IX_Model_MWS!BB10</f>
        <v/>
      </c>
      <c r="BC907">
        <f>IX_Model_MWS!BC10</f>
        <v/>
      </c>
      <c r="BD907">
        <f>IX_Model_MWS!BD10</f>
        <v/>
      </c>
      <c r="BE907">
        <f>IX_Model_MWS!BE10</f>
        <v/>
      </c>
      <c r="BF907">
        <f>IX_Model_MWS!BF10</f>
        <v/>
      </c>
      <c r="BG907">
        <f>IX_Model_MWS!BG10</f>
        <v/>
      </c>
      <c r="BH907">
        <f>IX_Model_MWS!BH10</f>
        <v/>
      </c>
      <c r="BI907">
        <f>IX_Model_MWS!BI10</f>
        <v/>
      </c>
      <c r="BJ907">
        <f>O907</f>
        <v/>
      </c>
      <c r="BK907">
        <f>SUM(AG907:AW907)</f>
        <v/>
      </c>
      <c r="BL907" s="531">
        <f>BJ907-BK907</f>
        <v/>
      </c>
      <c r="BM907" s="201" t="n"/>
    </row>
    <row r="908" hidden="1" outlineLevel="1" s="191">
      <c r="A908">
        <f>IX_Model_MWS!A11</f>
        <v/>
      </c>
      <c r="B908">
        <f>IX_Model_MWS!B11</f>
        <v/>
      </c>
      <c r="C908">
        <f>IX_Model_MWS!C11</f>
        <v/>
      </c>
      <c r="D908">
        <f>IX_Model_MWS!D11</f>
        <v/>
      </c>
      <c r="E908">
        <f>IX_Model_MWS!E11</f>
        <v/>
      </c>
      <c r="F908">
        <f>IX_Model_MWS!F11</f>
        <v/>
      </c>
      <c r="G908">
        <f>IX_Model_MWS!G11</f>
        <v/>
      </c>
      <c r="H908">
        <f>IX_Model_MWS!H11</f>
        <v/>
      </c>
      <c r="I908">
        <f>IX_Model_MWS!I11</f>
        <v/>
      </c>
      <c r="J908">
        <f>IX_Model_MWS!J11</f>
        <v/>
      </c>
      <c r="K908" s="672">
        <f>IX_Model_MWS!K11</f>
        <v/>
      </c>
      <c r="L908" s="672">
        <f>IX_Model_MWS!L11</f>
        <v/>
      </c>
      <c r="M908">
        <f>IX_Model_MWS!M11</f>
        <v/>
      </c>
      <c r="N908">
        <f>IX_Model_MWS!N11</f>
        <v/>
      </c>
      <c r="O908">
        <f>IX_Model_MWS!O11</f>
        <v/>
      </c>
      <c r="P908" s="628">
        <f>IX_Model_MWS!P11</f>
        <v/>
      </c>
      <c r="Q908" s="628">
        <f>IX_Model_MWS!Q11</f>
        <v/>
      </c>
      <c r="R908" s="628">
        <f>IX_Model_MWS!R11</f>
        <v/>
      </c>
      <c r="S908" s="628">
        <f>IX_Model_MWS!S11</f>
        <v/>
      </c>
      <c r="T908" s="628">
        <f>IX_Model_MWS!T11</f>
        <v/>
      </c>
      <c r="U908" s="628">
        <f>IX_Model_MWS!U11</f>
        <v/>
      </c>
      <c r="V908" s="628">
        <f>IX_Model_MWS!V11</f>
        <v/>
      </c>
      <c r="W908" s="628">
        <f>IX_Model_MWS!W11</f>
        <v/>
      </c>
      <c r="X908" s="628">
        <f>IX_Model_MWS!X11</f>
        <v/>
      </c>
      <c r="Y908" s="650">
        <f>IX_Model_MWS!Y11</f>
        <v/>
      </c>
      <c r="Z908" s="650">
        <f>IX_Model_MWS!Z11</f>
        <v/>
      </c>
      <c r="AA908" s="650">
        <f>IX_Model_MWS!AA11</f>
        <v/>
      </c>
      <c r="AB908" s="650">
        <f>IX_Model_MWS!AB11</f>
        <v/>
      </c>
      <c r="AC908" s="613">
        <f>IX_Model_MWS!AC11</f>
        <v/>
      </c>
      <c r="AD908" s="613">
        <f>IX_Model_MWS!AD11</f>
        <v/>
      </c>
      <c r="AE908" s="613">
        <f>IX_Model_MWS!AE11</f>
        <v/>
      </c>
      <c r="AF908" s="613">
        <f>IX_Model_MWS!AF11</f>
        <v/>
      </c>
      <c r="AG908" s="626">
        <f>IX_Model_MWS!AG11</f>
        <v/>
      </c>
      <c r="AH908" s="626">
        <f>IX_Model_MWS!AH11</f>
        <v/>
      </c>
      <c r="AI908" s="626">
        <f>IX_Model_MWS!AI11</f>
        <v/>
      </c>
      <c r="AJ908" s="626">
        <f>IX_Model_MWS!AJ11</f>
        <v/>
      </c>
      <c r="AK908" s="626">
        <f>IX_Model_MWS!AK11</f>
        <v/>
      </c>
      <c r="AL908" s="626">
        <f>IX_Model_MWS!AL11</f>
        <v/>
      </c>
      <c r="AM908" s="626">
        <f>IX_Model_MWS!AM11</f>
        <v/>
      </c>
      <c r="AN908" s="626">
        <f>IX_Model_MWS!AN11</f>
        <v/>
      </c>
      <c r="AO908" s="626">
        <f>IX_Model_MWS!AO11</f>
        <v/>
      </c>
      <c r="AP908" s="369">
        <f>IX_Model_MWS!AP11</f>
        <v/>
      </c>
      <c r="AQ908" s="369">
        <f>IX_Model_MWS!AQ11</f>
        <v/>
      </c>
      <c r="AR908" s="369">
        <f>IX_Model_MWS!AR11</f>
        <v/>
      </c>
      <c r="AS908" s="369">
        <f>IX_Model_MWS!AS11</f>
        <v/>
      </c>
      <c r="AT908" s="370">
        <f>IX_Model_MWS!AT11</f>
        <v/>
      </c>
      <c r="AU908" s="370">
        <f>IX_Model_MWS!AU11</f>
        <v/>
      </c>
      <c r="AV908" s="370">
        <f>IX_Model_MWS!AV11</f>
        <v/>
      </c>
      <c r="AW908" s="370">
        <f>IX_Model_MWS!AW11</f>
        <v/>
      </c>
      <c r="AX908">
        <f>IX_Model_MWS!AX11</f>
        <v/>
      </c>
      <c r="AY908">
        <f>IX_Model_MWS!AY11</f>
        <v/>
      </c>
      <c r="AZ908">
        <f>IX_Model_MWS!AZ11</f>
        <v/>
      </c>
      <c r="BA908">
        <f>IX_Model_MWS!BA11</f>
        <v/>
      </c>
      <c r="BB908">
        <f>IX_Model_MWS!BB11</f>
        <v/>
      </c>
      <c r="BC908">
        <f>IX_Model_MWS!BC11</f>
        <v/>
      </c>
      <c r="BD908">
        <f>IX_Model_MWS!BD11</f>
        <v/>
      </c>
      <c r="BE908">
        <f>IX_Model_MWS!BE11</f>
        <v/>
      </c>
      <c r="BF908">
        <f>IX_Model_MWS!BF11</f>
        <v/>
      </c>
      <c r="BG908">
        <f>IX_Model_MWS!BG11</f>
        <v/>
      </c>
      <c r="BH908">
        <f>IX_Model_MWS!BH11</f>
        <v/>
      </c>
      <c r="BI908">
        <f>IX_Model_MWS!BI11</f>
        <v/>
      </c>
      <c r="BJ908">
        <f>O908</f>
        <v/>
      </c>
      <c r="BK908">
        <f>SUM(AG908:AW908)</f>
        <v/>
      </c>
      <c r="BL908" s="531">
        <f>BJ908-BK908</f>
        <v/>
      </c>
      <c r="BM908" s="201" t="n"/>
    </row>
    <row r="909" hidden="1" outlineLevel="1" s="191">
      <c r="A909">
        <f>IX_Model_MWS!A12</f>
        <v/>
      </c>
      <c r="B909">
        <f>IX_Model_MWS!B12</f>
        <v/>
      </c>
      <c r="C909">
        <f>IX_Model_MWS!C12</f>
        <v/>
      </c>
      <c r="D909">
        <f>IX_Model_MWS!D12</f>
        <v/>
      </c>
      <c r="E909">
        <f>IX_Model_MWS!E12</f>
        <v/>
      </c>
      <c r="F909">
        <f>IX_Model_MWS!F12</f>
        <v/>
      </c>
      <c r="G909">
        <f>IX_Model_MWS!G12</f>
        <v/>
      </c>
      <c r="H909">
        <f>IX_Model_MWS!H12</f>
        <v/>
      </c>
      <c r="I909">
        <f>IX_Model_MWS!I12</f>
        <v/>
      </c>
      <c r="J909">
        <f>IX_Model_MWS!J12</f>
        <v/>
      </c>
      <c r="K909" s="672">
        <f>IX_Model_MWS!K12</f>
        <v/>
      </c>
      <c r="L909" s="672">
        <f>IX_Model_MWS!L12</f>
        <v/>
      </c>
      <c r="M909">
        <f>IX_Model_MWS!M12</f>
        <v/>
      </c>
      <c r="N909">
        <f>IX_Model_MWS!N12</f>
        <v/>
      </c>
      <c r="O909">
        <f>IX_Model_MWS!O12</f>
        <v/>
      </c>
      <c r="P909" s="628">
        <f>IX_Model_MWS!P12</f>
        <v/>
      </c>
      <c r="Q909" s="628">
        <f>IX_Model_MWS!Q12</f>
        <v/>
      </c>
      <c r="R909" s="628">
        <f>IX_Model_MWS!R12</f>
        <v/>
      </c>
      <c r="S909" s="628">
        <f>IX_Model_MWS!S12</f>
        <v/>
      </c>
      <c r="T909" s="628">
        <f>IX_Model_MWS!T12</f>
        <v/>
      </c>
      <c r="U909" s="628">
        <f>IX_Model_MWS!U12</f>
        <v/>
      </c>
      <c r="V909" s="628">
        <f>IX_Model_MWS!V12</f>
        <v/>
      </c>
      <c r="W909" s="628">
        <f>IX_Model_MWS!W12</f>
        <v/>
      </c>
      <c r="X909" s="628">
        <f>IX_Model_MWS!X12</f>
        <v/>
      </c>
      <c r="Y909" s="650">
        <f>IX_Model_MWS!Y12</f>
        <v/>
      </c>
      <c r="Z909" s="650">
        <f>IX_Model_MWS!Z12</f>
        <v/>
      </c>
      <c r="AA909" s="650">
        <f>IX_Model_MWS!AA12</f>
        <v/>
      </c>
      <c r="AB909" s="650">
        <f>IX_Model_MWS!AB12</f>
        <v/>
      </c>
      <c r="AC909" s="613">
        <f>IX_Model_MWS!AC12</f>
        <v/>
      </c>
      <c r="AD909" s="613">
        <f>IX_Model_MWS!AD12</f>
        <v/>
      </c>
      <c r="AE909" s="613">
        <f>IX_Model_MWS!AE12</f>
        <v/>
      </c>
      <c r="AF909" s="613">
        <f>IX_Model_MWS!AF12</f>
        <v/>
      </c>
      <c r="AG909" s="626">
        <f>IX_Model_MWS!AG12</f>
        <v/>
      </c>
      <c r="AH909" s="626">
        <f>IX_Model_MWS!AH12</f>
        <v/>
      </c>
      <c r="AI909" s="626">
        <f>IX_Model_MWS!AI12</f>
        <v/>
      </c>
      <c r="AJ909" s="626">
        <f>IX_Model_MWS!AJ12</f>
        <v/>
      </c>
      <c r="AK909" s="626">
        <f>IX_Model_MWS!AK12</f>
        <v/>
      </c>
      <c r="AL909" s="626">
        <f>IX_Model_MWS!AL12</f>
        <v/>
      </c>
      <c r="AM909" s="626">
        <f>IX_Model_MWS!AM12</f>
        <v/>
      </c>
      <c r="AN909" s="626">
        <f>IX_Model_MWS!AN12</f>
        <v/>
      </c>
      <c r="AO909" s="626">
        <f>IX_Model_MWS!AO12</f>
        <v/>
      </c>
      <c r="AP909" s="369">
        <f>IX_Model_MWS!AP12</f>
        <v/>
      </c>
      <c r="AQ909" s="369">
        <f>IX_Model_MWS!AQ12</f>
        <v/>
      </c>
      <c r="AR909" s="369">
        <f>IX_Model_MWS!AR12</f>
        <v/>
      </c>
      <c r="AS909" s="369">
        <f>IX_Model_MWS!AS12</f>
        <v/>
      </c>
      <c r="AT909" s="370">
        <f>IX_Model_MWS!AT12</f>
        <v/>
      </c>
      <c r="AU909" s="370">
        <f>IX_Model_MWS!AU12</f>
        <v/>
      </c>
      <c r="AV909" s="370">
        <f>IX_Model_MWS!AV12</f>
        <v/>
      </c>
      <c r="AW909" s="370">
        <f>IX_Model_MWS!AW12</f>
        <v/>
      </c>
      <c r="AX909">
        <f>IX_Model_MWS!AX12</f>
        <v/>
      </c>
      <c r="AY909">
        <f>IX_Model_MWS!AY12</f>
        <v/>
      </c>
      <c r="AZ909">
        <f>IX_Model_MWS!AZ12</f>
        <v/>
      </c>
      <c r="BA909">
        <f>IX_Model_MWS!BA12</f>
        <v/>
      </c>
      <c r="BB909">
        <f>IX_Model_MWS!BB12</f>
        <v/>
      </c>
      <c r="BC909">
        <f>IX_Model_MWS!BC12</f>
        <v/>
      </c>
      <c r="BD909">
        <f>IX_Model_MWS!BD12</f>
        <v/>
      </c>
      <c r="BE909">
        <f>IX_Model_MWS!BE12</f>
        <v/>
      </c>
      <c r="BF909">
        <f>IX_Model_MWS!BF12</f>
        <v/>
      </c>
      <c r="BG909">
        <f>IX_Model_MWS!BG12</f>
        <v/>
      </c>
      <c r="BH909">
        <f>IX_Model_MWS!BH12</f>
        <v/>
      </c>
      <c r="BI909">
        <f>IX_Model_MWS!BI12</f>
        <v/>
      </c>
      <c r="BJ909">
        <f>O909</f>
        <v/>
      </c>
      <c r="BK909">
        <f>SUM(AG909:AW909)</f>
        <v/>
      </c>
      <c r="BL909" s="531">
        <f>BJ909-BK909</f>
        <v/>
      </c>
      <c r="BM909" s="201" t="n"/>
    </row>
    <row r="910" hidden="1" outlineLevel="1" s="191">
      <c r="A910">
        <f>IX_Model_MWS!A13</f>
        <v/>
      </c>
      <c r="B910">
        <f>IX_Model_MWS!B13</f>
        <v/>
      </c>
      <c r="C910">
        <f>IX_Model_MWS!C13</f>
        <v/>
      </c>
      <c r="D910">
        <f>IX_Model_MWS!D13</f>
        <v/>
      </c>
      <c r="E910">
        <f>IX_Model_MWS!E13</f>
        <v/>
      </c>
      <c r="F910">
        <f>IX_Model_MWS!F13</f>
        <v/>
      </c>
      <c r="G910">
        <f>IX_Model_MWS!G13</f>
        <v/>
      </c>
      <c r="H910">
        <f>IX_Model_MWS!H13</f>
        <v/>
      </c>
      <c r="I910">
        <f>IX_Model_MWS!I13</f>
        <v/>
      </c>
      <c r="J910">
        <f>IX_Model_MWS!J13</f>
        <v/>
      </c>
      <c r="K910" s="672">
        <f>IX_Model_MWS!K13</f>
        <v/>
      </c>
      <c r="L910" s="672">
        <f>IX_Model_MWS!L13</f>
        <v/>
      </c>
      <c r="M910">
        <f>IX_Model_MWS!M13</f>
        <v/>
      </c>
      <c r="N910">
        <f>IX_Model_MWS!N13</f>
        <v/>
      </c>
      <c r="O910">
        <f>IX_Model_MWS!O13</f>
        <v/>
      </c>
      <c r="P910" s="628">
        <f>IX_Model_MWS!P13</f>
        <v/>
      </c>
      <c r="Q910" s="628">
        <f>IX_Model_MWS!Q13</f>
        <v/>
      </c>
      <c r="R910" s="628">
        <f>IX_Model_MWS!R13</f>
        <v/>
      </c>
      <c r="S910" s="628">
        <f>IX_Model_MWS!S13</f>
        <v/>
      </c>
      <c r="T910" s="628">
        <f>IX_Model_MWS!T13</f>
        <v/>
      </c>
      <c r="U910" s="628">
        <f>IX_Model_MWS!U13</f>
        <v/>
      </c>
      <c r="V910" s="628">
        <f>IX_Model_MWS!V13</f>
        <v/>
      </c>
      <c r="W910" s="628">
        <f>IX_Model_MWS!W13</f>
        <v/>
      </c>
      <c r="X910" s="628">
        <f>IX_Model_MWS!X13</f>
        <v/>
      </c>
      <c r="Y910" s="650">
        <f>IX_Model_MWS!Y13</f>
        <v/>
      </c>
      <c r="Z910" s="650">
        <f>IX_Model_MWS!Z13</f>
        <v/>
      </c>
      <c r="AA910" s="650">
        <f>IX_Model_MWS!AA13</f>
        <v/>
      </c>
      <c r="AB910" s="650">
        <f>IX_Model_MWS!AB13</f>
        <v/>
      </c>
      <c r="AC910" s="613">
        <f>IX_Model_MWS!AC13</f>
        <v/>
      </c>
      <c r="AD910" s="613">
        <f>IX_Model_MWS!AD13</f>
        <v/>
      </c>
      <c r="AE910" s="613">
        <f>IX_Model_MWS!AE13</f>
        <v/>
      </c>
      <c r="AF910" s="613">
        <f>IX_Model_MWS!AF13</f>
        <v/>
      </c>
      <c r="AG910" s="626">
        <f>IX_Model_MWS!AG13</f>
        <v/>
      </c>
      <c r="AH910" s="626">
        <f>IX_Model_MWS!AH13</f>
        <v/>
      </c>
      <c r="AI910" s="626">
        <f>IX_Model_MWS!AI13</f>
        <v/>
      </c>
      <c r="AJ910" s="626">
        <f>IX_Model_MWS!AJ13</f>
        <v/>
      </c>
      <c r="AK910" s="626">
        <f>IX_Model_MWS!AK13</f>
        <v/>
      </c>
      <c r="AL910" s="626">
        <f>IX_Model_MWS!AL13</f>
        <v/>
      </c>
      <c r="AM910" s="626">
        <f>IX_Model_MWS!AM13</f>
        <v/>
      </c>
      <c r="AN910" s="626">
        <f>IX_Model_MWS!AN13</f>
        <v/>
      </c>
      <c r="AO910" s="626">
        <f>IX_Model_MWS!AO13</f>
        <v/>
      </c>
      <c r="AP910" s="369">
        <f>IX_Model_MWS!AP13</f>
        <v/>
      </c>
      <c r="AQ910" s="369">
        <f>IX_Model_MWS!AQ13</f>
        <v/>
      </c>
      <c r="AR910" s="369">
        <f>IX_Model_MWS!AR13</f>
        <v/>
      </c>
      <c r="AS910" s="369">
        <f>IX_Model_MWS!AS13</f>
        <v/>
      </c>
      <c r="AT910" s="370">
        <f>IX_Model_MWS!AT13</f>
        <v/>
      </c>
      <c r="AU910" s="370">
        <f>IX_Model_MWS!AU13</f>
        <v/>
      </c>
      <c r="AV910" s="370">
        <f>IX_Model_MWS!AV13</f>
        <v/>
      </c>
      <c r="AW910" s="370">
        <f>IX_Model_MWS!AW13</f>
        <v/>
      </c>
      <c r="AX910">
        <f>IX_Model_MWS!AX13</f>
        <v/>
      </c>
      <c r="AY910">
        <f>IX_Model_MWS!AY13</f>
        <v/>
      </c>
      <c r="AZ910">
        <f>IX_Model_MWS!AZ13</f>
        <v/>
      </c>
      <c r="BA910">
        <f>IX_Model_MWS!BA13</f>
        <v/>
      </c>
      <c r="BB910">
        <f>IX_Model_MWS!BB13</f>
        <v/>
      </c>
      <c r="BC910">
        <f>IX_Model_MWS!BC13</f>
        <v/>
      </c>
      <c r="BD910">
        <f>IX_Model_MWS!BD13</f>
        <v/>
      </c>
      <c r="BE910">
        <f>IX_Model_MWS!BE13</f>
        <v/>
      </c>
      <c r="BF910">
        <f>IX_Model_MWS!BF13</f>
        <v/>
      </c>
      <c r="BG910">
        <f>IX_Model_MWS!BG13</f>
        <v/>
      </c>
      <c r="BH910">
        <f>IX_Model_MWS!BH13</f>
        <v/>
      </c>
      <c r="BI910">
        <f>IX_Model_MWS!BI13</f>
        <v/>
      </c>
      <c r="BJ910">
        <f>O910</f>
        <v/>
      </c>
      <c r="BK910">
        <f>SUM(AG910:AW910)</f>
        <v/>
      </c>
      <c r="BL910" s="531">
        <f>BJ910-BK910</f>
        <v/>
      </c>
      <c r="BM910" s="201" t="n"/>
    </row>
    <row r="911" hidden="1" outlineLevel="1" s="191">
      <c r="A911">
        <f>IX_Model_MWS!A14</f>
        <v/>
      </c>
      <c r="B911">
        <f>IX_Model_MWS!B14</f>
        <v/>
      </c>
      <c r="C911">
        <f>IX_Model_MWS!C14</f>
        <v/>
      </c>
      <c r="D911">
        <f>IX_Model_MWS!D14</f>
        <v/>
      </c>
      <c r="E911">
        <f>IX_Model_MWS!E14</f>
        <v/>
      </c>
      <c r="F911">
        <f>IX_Model_MWS!F14</f>
        <v/>
      </c>
      <c r="G911">
        <f>IX_Model_MWS!G14</f>
        <v/>
      </c>
      <c r="H911">
        <f>IX_Model_MWS!H14</f>
        <v/>
      </c>
      <c r="I911">
        <f>IX_Model_MWS!I14</f>
        <v/>
      </c>
      <c r="J911">
        <f>IX_Model_MWS!J14</f>
        <v/>
      </c>
      <c r="K911" s="672">
        <f>IX_Model_MWS!K14</f>
        <v/>
      </c>
      <c r="L911" s="672">
        <f>IX_Model_MWS!L14</f>
        <v/>
      </c>
      <c r="M911">
        <f>IX_Model_MWS!M14</f>
        <v/>
      </c>
      <c r="N911">
        <f>IX_Model_MWS!N14</f>
        <v/>
      </c>
      <c r="O911">
        <f>IX_Model_MWS!O14</f>
        <v/>
      </c>
      <c r="P911" s="628">
        <f>IX_Model_MWS!P14</f>
        <v/>
      </c>
      <c r="Q911" s="628">
        <f>IX_Model_MWS!Q14</f>
        <v/>
      </c>
      <c r="R911" s="628">
        <f>IX_Model_MWS!R14</f>
        <v/>
      </c>
      <c r="S911" s="628">
        <f>IX_Model_MWS!S14</f>
        <v/>
      </c>
      <c r="T911" s="628">
        <f>IX_Model_MWS!T14</f>
        <v/>
      </c>
      <c r="U911" s="628">
        <f>IX_Model_MWS!U14</f>
        <v/>
      </c>
      <c r="V911" s="628">
        <f>IX_Model_MWS!V14</f>
        <v/>
      </c>
      <c r="W911" s="628">
        <f>IX_Model_MWS!W14</f>
        <v/>
      </c>
      <c r="X911" s="628">
        <f>IX_Model_MWS!X14</f>
        <v/>
      </c>
      <c r="Y911" s="650">
        <f>IX_Model_MWS!Y14</f>
        <v/>
      </c>
      <c r="Z911" s="650">
        <f>IX_Model_MWS!Z14</f>
        <v/>
      </c>
      <c r="AA911" s="650">
        <f>IX_Model_MWS!AA14</f>
        <v/>
      </c>
      <c r="AB911" s="650">
        <f>IX_Model_MWS!AB14</f>
        <v/>
      </c>
      <c r="AC911" s="613">
        <f>IX_Model_MWS!AC14</f>
        <v/>
      </c>
      <c r="AD911" s="613">
        <f>IX_Model_MWS!AD14</f>
        <v/>
      </c>
      <c r="AE911" s="613">
        <f>IX_Model_MWS!AE14</f>
        <v/>
      </c>
      <c r="AF911" s="613">
        <f>IX_Model_MWS!AF14</f>
        <v/>
      </c>
      <c r="AG911" s="626">
        <f>IX_Model_MWS!AG14</f>
        <v/>
      </c>
      <c r="AH911" s="626">
        <f>IX_Model_MWS!AH14</f>
        <v/>
      </c>
      <c r="AI911" s="626">
        <f>IX_Model_MWS!AI14</f>
        <v/>
      </c>
      <c r="AJ911" s="626">
        <f>IX_Model_MWS!AJ14</f>
        <v/>
      </c>
      <c r="AK911" s="626">
        <f>IX_Model_MWS!AK14</f>
        <v/>
      </c>
      <c r="AL911" s="626">
        <f>IX_Model_MWS!AL14</f>
        <v/>
      </c>
      <c r="AM911" s="626">
        <f>IX_Model_MWS!AM14</f>
        <v/>
      </c>
      <c r="AN911" s="626">
        <f>IX_Model_MWS!AN14</f>
        <v/>
      </c>
      <c r="AO911" s="626">
        <f>IX_Model_MWS!AO14</f>
        <v/>
      </c>
      <c r="AP911" s="369">
        <f>IX_Model_MWS!AP14</f>
        <v/>
      </c>
      <c r="AQ911" s="369">
        <f>IX_Model_MWS!AQ14</f>
        <v/>
      </c>
      <c r="AR911" s="369">
        <f>IX_Model_MWS!AR14</f>
        <v/>
      </c>
      <c r="AS911" s="369">
        <f>IX_Model_MWS!AS14</f>
        <v/>
      </c>
      <c r="AT911" s="370">
        <f>IX_Model_MWS!AT14</f>
        <v/>
      </c>
      <c r="AU911" s="370">
        <f>IX_Model_MWS!AU14</f>
        <v/>
      </c>
      <c r="AV911" s="370">
        <f>IX_Model_MWS!AV14</f>
        <v/>
      </c>
      <c r="AW911" s="370">
        <f>IX_Model_MWS!AW14</f>
        <v/>
      </c>
      <c r="AX911">
        <f>IX_Model_MWS!AX14</f>
        <v/>
      </c>
      <c r="AY911">
        <f>IX_Model_MWS!AY14</f>
        <v/>
      </c>
      <c r="AZ911">
        <f>IX_Model_MWS!AZ14</f>
        <v/>
      </c>
      <c r="BA911">
        <f>IX_Model_MWS!BA14</f>
        <v/>
      </c>
      <c r="BB911">
        <f>IX_Model_MWS!BB14</f>
        <v/>
      </c>
      <c r="BC911">
        <f>IX_Model_MWS!BC14</f>
        <v/>
      </c>
      <c r="BD911">
        <f>IX_Model_MWS!BD14</f>
        <v/>
      </c>
      <c r="BE911">
        <f>IX_Model_MWS!BE14</f>
        <v/>
      </c>
      <c r="BF911">
        <f>IX_Model_MWS!BF14</f>
        <v/>
      </c>
      <c r="BG911">
        <f>IX_Model_MWS!BG14</f>
        <v/>
      </c>
      <c r="BH911">
        <f>IX_Model_MWS!BH14</f>
        <v/>
      </c>
      <c r="BI911">
        <f>IX_Model_MWS!BI14</f>
        <v/>
      </c>
      <c r="BJ911">
        <f>O911</f>
        <v/>
      </c>
      <c r="BK911">
        <f>SUM(AG911:AW911)</f>
        <v/>
      </c>
      <c r="BL911" s="531">
        <f>BJ911-BK911</f>
        <v/>
      </c>
      <c r="BM911" s="201" t="n"/>
    </row>
    <row r="912" hidden="1" outlineLevel="1" s="191">
      <c r="A912">
        <f>IX_Model_MWS!A15</f>
        <v/>
      </c>
      <c r="B912">
        <f>IX_Model_MWS!B15</f>
        <v/>
      </c>
      <c r="C912">
        <f>IX_Model_MWS!C15</f>
        <v/>
      </c>
      <c r="D912">
        <f>IX_Model_MWS!D15</f>
        <v/>
      </c>
      <c r="E912">
        <f>IX_Model_MWS!E15</f>
        <v/>
      </c>
      <c r="F912">
        <f>IX_Model_MWS!F15</f>
        <v/>
      </c>
      <c r="G912">
        <f>IX_Model_MWS!G15</f>
        <v/>
      </c>
      <c r="H912">
        <f>IX_Model_MWS!H15</f>
        <v/>
      </c>
      <c r="I912">
        <f>IX_Model_MWS!I15</f>
        <v/>
      </c>
      <c r="J912">
        <f>IX_Model_MWS!J15</f>
        <v/>
      </c>
      <c r="K912" s="672">
        <f>IX_Model_MWS!K15</f>
        <v/>
      </c>
      <c r="L912" s="672">
        <f>IX_Model_MWS!L15</f>
        <v/>
      </c>
      <c r="M912">
        <f>IX_Model_MWS!M15</f>
        <v/>
      </c>
      <c r="N912">
        <f>IX_Model_MWS!N15</f>
        <v/>
      </c>
      <c r="O912">
        <f>IX_Model_MWS!O15</f>
        <v/>
      </c>
      <c r="P912" s="628">
        <f>IX_Model_MWS!P15</f>
        <v/>
      </c>
      <c r="Q912" s="628">
        <f>IX_Model_MWS!Q15</f>
        <v/>
      </c>
      <c r="R912" s="628">
        <f>IX_Model_MWS!R15</f>
        <v/>
      </c>
      <c r="S912" s="628">
        <f>IX_Model_MWS!S15</f>
        <v/>
      </c>
      <c r="T912" s="628">
        <f>IX_Model_MWS!T15</f>
        <v/>
      </c>
      <c r="U912" s="628">
        <f>IX_Model_MWS!U15</f>
        <v/>
      </c>
      <c r="V912" s="628">
        <f>IX_Model_MWS!V15</f>
        <v/>
      </c>
      <c r="W912" s="628">
        <f>IX_Model_MWS!W15</f>
        <v/>
      </c>
      <c r="X912" s="628">
        <f>IX_Model_MWS!X15</f>
        <v/>
      </c>
      <c r="Y912" s="650">
        <f>IX_Model_MWS!Y15</f>
        <v/>
      </c>
      <c r="Z912" s="650">
        <f>IX_Model_MWS!Z15</f>
        <v/>
      </c>
      <c r="AA912" s="650">
        <f>IX_Model_MWS!AA15</f>
        <v/>
      </c>
      <c r="AB912" s="650">
        <f>IX_Model_MWS!AB15</f>
        <v/>
      </c>
      <c r="AC912" s="613">
        <f>IX_Model_MWS!AC15</f>
        <v/>
      </c>
      <c r="AD912" s="613">
        <f>IX_Model_MWS!AD15</f>
        <v/>
      </c>
      <c r="AE912" s="613">
        <f>IX_Model_MWS!AE15</f>
        <v/>
      </c>
      <c r="AF912" s="613">
        <f>IX_Model_MWS!AF15</f>
        <v/>
      </c>
      <c r="AG912" s="626">
        <f>IX_Model_MWS!AG15</f>
        <v/>
      </c>
      <c r="AH912" s="626">
        <f>IX_Model_MWS!AH15</f>
        <v/>
      </c>
      <c r="AI912" s="626">
        <f>IX_Model_MWS!AI15</f>
        <v/>
      </c>
      <c r="AJ912" s="626">
        <f>IX_Model_MWS!AJ15</f>
        <v/>
      </c>
      <c r="AK912" s="626">
        <f>IX_Model_MWS!AK15</f>
        <v/>
      </c>
      <c r="AL912" s="626">
        <f>IX_Model_MWS!AL15</f>
        <v/>
      </c>
      <c r="AM912" s="626">
        <f>IX_Model_MWS!AM15</f>
        <v/>
      </c>
      <c r="AN912" s="626">
        <f>IX_Model_MWS!AN15</f>
        <v/>
      </c>
      <c r="AO912" s="626">
        <f>IX_Model_MWS!AO15</f>
        <v/>
      </c>
      <c r="AP912" s="369">
        <f>IX_Model_MWS!AP15</f>
        <v/>
      </c>
      <c r="AQ912" s="369">
        <f>IX_Model_MWS!AQ15</f>
        <v/>
      </c>
      <c r="AR912" s="369">
        <f>IX_Model_MWS!AR15</f>
        <v/>
      </c>
      <c r="AS912" s="369">
        <f>IX_Model_MWS!AS15</f>
        <v/>
      </c>
      <c r="AT912" s="370">
        <f>IX_Model_MWS!AT15</f>
        <v/>
      </c>
      <c r="AU912" s="370">
        <f>IX_Model_MWS!AU15</f>
        <v/>
      </c>
      <c r="AV912" s="370">
        <f>IX_Model_MWS!AV15</f>
        <v/>
      </c>
      <c r="AW912" s="370">
        <f>IX_Model_MWS!AW15</f>
        <v/>
      </c>
      <c r="AX912">
        <f>IX_Model_MWS!AX15</f>
        <v/>
      </c>
      <c r="AY912">
        <f>IX_Model_MWS!AY15</f>
        <v/>
      </c>
      <c r="AZ912">
        <f>IX_Model_MWS!AZ15</f>
        <v/>
      </c>
      <c r="BA912">
        <f>IX_Model_MWS!BA15</f>
        <v/>
      </c>
      <c r="BB912">
        <f>IX_Model_MWS!BB15</f>
        <v/>
      </c>
      <c r="BC912">
        <f>IX_Model_MWS!BC15</f>
        <v/>
      </c>
      <c r="BD912">
        <f>IX_Model_MWS!BD15</f>
        <v/>
      </c>
      <c r="BE912">
        <f>IX_Model_MWS!BE15</f>
        <v/>
      </c>
      <c r="BF912">
        <f>IX_Model_MWS!BF15</f>
        <v/>
      </c>
      <c r="BG912">
        <f>IX_Model_MWS!BG15</f>
        <v/>
      </c>
      <c r="BH912">
        <f>IX_Model_MWS!BH15</f>
        <v/>
      </c>
      <c r="BI912">
        <f>IX_Model_MWS!BI15</f>
        <v/>
      </c>
      <c r="BJ912">
        <f>O912</f>
        <v/>
      </c>
      <c r="BK912">
        <f>SUM(AG912:AW912)</f>
        <v/>
      </c>
      <c r="BL912" s="531">
        <f>BJ912-BK912</f>
        <v/>
      </c>
      <c r="BM912" s="201" t="n"/>
    </row>
    <row r="913" hidden="1" outlineLevel="1" s="191">
      <c r="A913">
        <f>IX_Model_MWS!A16</f>
        <v/>
      </c>
      <c r="B913">
        <f>IX_Model_MWS!B16</f>
        <v/>
      </c>
      <c r="C913">
        <f>IX_Model_MWS!C16</f>
        <v/>
      </c>
      <c r="D913">
        <f>IX_Model_MWS!D16</f>
        <v/>
      </c>
      <c r="E913">
        <f>IX_Model_MWS!E16</f>
        <v/>
      </c>
      <c r="F913">
        <f>IX_Model_MWS!F16</f>
        <v/>
      </c>
      <c r="G913">
        <f>IX_Model_MWS!G16</f>
        <v/>
      </c>
      <c r="H913">
        <f>IX_Model_MWS!H16</f>
        <v/>
      </c>
      <c r="I913">
        <f>IX_Model_MWS!I16</f>
        <v/>
      </c>
      <c r="J913">
        <f>IX_Model_MWS!J16</f>
        <v/>
      </c>
      <c r="K913" s="672">
        <f>IX_Model_MWS!K16</f>
        <v/>
      </c>
      <c r="L913" s="672">
        <f>IX_Model_MWS!L16</f>
        <v/>
      </c>
      <c r="M913">
        <f>IX_Model_MWS!M16</f>
        <v/>
      </c>
      <c r="N913">
        <f>IX_Model_MWS!N16</f>
        <v/>
      </c>
      <c r="O913">
        <f>IX_Model_MWS!O16</f>
        <v/>
      </c>
      <c r="P913" s="628">
        <f>IX_Model_MWS!P16</f>
        <v/>
      </c>
      <c r="Q913" s="628">
        <f>IX_Model_MWS!Q16</f>
        <v/>
      </c>
      <c r="R913" s="628">
        <f>IX_Model_MWS!R16</f>
        <v/>
      </c>
      <c r="S913" s="628">
        <f>IX_Model_MWS!S16</f>
        <v/>
      </c>
      <c r="T913" s="628">
        <f>IX_Model_MWS!T16</f>
        <v/>
      </c>
      <c r="U913" s="628">
        <f>IX_Model_MWS!U16</f>
        <v/>
      </c>
      <c r="V913" s="628">
        <f>IX_Model_MWS!V16</f>
        <v/>
      </c>
      <c r="W913" s="628">
        <f>IX_Model_MWS!W16</f>
        <v/>
      </c>
      <c r="X913" s="628">
        <f>IX_Model_MWS!X16</f>
        <v/>
      </c>
      <c r="Y913" s="650">
        <f>IX_Model_MWS!Y16</f>
        <v/>
      </c>
      <c r="Z913" s="650">
        <f>IX_Model_MWS!Z16</f>
        <v/>
      </c>
      <c r="AA913" s="650">
        <f>IX_Model_MWS!AA16</f>
        <v/>
      </c>
      <c r="AB913" s="650">
        <f>IX_Model_MWS!AB16</f>
        <v/>
      </c>
      <c r="AC913" s="613">
        <f>IX_Model_MWS!AC16</f>
        <v/>
      </c>
      <c r="AD913" s="613">
        <f>IX_Model_MWS!AD16</f>
        <v/>
      </c>
      <c r="AE913" s="613">
        <f>IX_Model_MWS!AE16</f>
        <v/>
      </c>
      <c r="AF913" s="613">
        <f>IX_Model_MWS!AF16</f>
        <v/>
      </c>
      <c r="AG913" s="626">
        <f>IX_Model_MWS!AG16</f>
        <v/>
      </c>
      <c r="AH913" s="626">
        <f>IX_Model_MWS!AH16</f>
        <v/>
      </c>
      <c r="AI913" s="626">
        <f>IX_Model_MWS!AI16</f>
        <v/>
      </c>
      <c r="AJ913" s="626">
        <f>IX_Model_MWS!AJ16</f>
        <v/>
      </c>
      <c r="AK913" s="626">
        <f>IX_Model_MWS!AK16</f>
        <v/>
      </c>
      <c r="AL913" s="626">
        <f>IX_Model_MWS!AL16</f>
        <v/>
      </c>
      <c r="AM913" s="626">
        <f>IX_Model_MWS!AM16</f>
        <v/>
      </c>
      <c r="AN913" s="626">
        <f>IX_Model_MWS!AN16</f>
        <v/>
      </c>
      <c r="AO913" s="626">
        <f>IX_Model_MWS!AO16</f>
        <v/>
      </c>
      <c r="AP913" s="369">
        <f>IX_Model_MWS!AP16</f>
        <v/>
      </c>
      <c r="AQ913" s="369">
        <f>IX_Model_MWS!AQ16</f>
        <v/>
      </c>
      <c r="AR913" s="369">
        <f>IX_Model_MWS!AR16</f>
        <v/>
      </c>
      <c r="AS913" s="369">
        <f>IX_Model_MWS!AS16</f>
        <v/>
      </c>
      <c r="AT913" s="370">
        <f>IX_Model_MWS!AT16</f>
        <v/>
      </c>
      <c r="AU913" s="370">
        <f>IX_Model_MWS!AU16</f>
        <v/>
      </c>
      <c r="AV913" s="370">
        <f>IX_Model_MWS!AV16</f>
        <v/>
      </c>
      <c r="AW913" s="370">
        <f>IX_Model_MWS!AW16</f>
        <v/>
      </c>
      <c r="AX913">
        <f>IX_Model_MWS!AX16</f>
        <v/>
      </c>
      <c r="AY913">
        <f>IX_Model_MWS!AY16</f>
        <v/>
      </c>
      <c r="AZ913">
        <f>IX_Model_MWS!AZ16</f>
        <v/>
      </c>
      <c r="BA913">
        <f>IX_Model_MWS!BA16</f>
        <v/>
      </c>
      <c r="BB913">
        <f>IX_Model_MWS!BB16</f>
        <v/>
      </c>
      <c r="BC913">
        <f>IX_Model_MWS!BC16</f>
        <v/>
      </c>
      <c r="BD913">
        <f>IX_Model_MWS!BD16</f>
        <v/>
      </c>
      <c r="BE913">
        <f>IX_Model_MWS!BE16</f>
        <v/>
      </c>
      <c r="BF913">
        <f>IX_Model_MWS!BF16</f>
        <v/>
      </c>
      <c r="BG913">
        <f>IX_Model_MWS!BG16</f>
        <v/>
      </c>
      <c r="BH913">
        <f>IX_Model_MWS!BH16</f>
        <v/>
      </c>
      <c r="BI913">
        <f>IX_Model_MWS!BI16</f>
        <v/>
      </c>
      <c r="BJ913">
        <f>O913</f>
        <v/>
      </c>
      <c r="BK913">
        <f>SUM(AG913:AW913)</f>
        <v/>
      </c>
      <c r="BL913" s="531">
        <f>BJ913-BK913</f>
        <v/>
      </c>
      <c r="BM913" s="201" t="n"/>
    </row>
    <row r="914" hidden="1" outlineLevel="1" s="191">
      <c r="A914">
        <f>IX_Model_MWS!A17</f>
        <v/>
      </c>
      <c r="B914">
        <f>IX_Model_MWS!B17</f>
        <v/>
      </c>
      <c r="C914">
        <f>IX_Model_MWS!C17</f>
        <v/>
      </c>
      <c r="D914">
        <f>IX_Model_MWS!D17</f>
        <v/>
      </c>
      <c r="E914">
        <f>IX_Model_MWS!E17</f>
        <v/>
      </c>
      <c r="F914">
        <f>IX_Model_MWS!F17</f>
        <v/>
      </c>
      <c r="G914">
        <f>IX_Model_MWS!G17</f>
        <v/>
      </c>
      <c r="H914">
        <f>IX_Model_MWS!H17</f>
        <v/>
      </c>
      <c r="I914">
        <f>IX_Model_MWS!I17</f>
        <v/>
      </c>
      <c r="J914">
        <f>IX_Model_MWS!J17</f>
        <v/>
      </c>
      <c r="K914" s="672">
        <f>IX_Model_MWS!K17</f>
        <v/>
      </c>
      <c r="L914" s="672">
        <f>IX_Model_MWS!L17</f>
        <v/>
      </c>
      <c r="M914">
        <f>IX_Model_MWS!M17</f>
        <v/>
      </c>
      <c r="N914">
        <f>IX_Model_MWS!N17</f>
        <v/>
      </c>
      <c r="O914">
        <f>IX_Model_MWS!O17</f>
        <v/>
      </c>
      <c r="P914" s="628">
        <f>IX_Model_MWS!P17</f>
        <v/>
      </c>
      <c r="Q914" s="628">
        <f>IX_Model_MWS!Q17</f>
        <v/>
      </c>
      <c r="R914" s="628">
        <f>IX_Model_MWS!R17</f>
        <v/>
      </c>
      <c r="S914" s="628">
        <f>IX_Model_MWS!S17</f>
        <v/>
      </c>
      <c r="T914" s="628">
        <f>IX_Model_MWS!T17</f>
        <v/>
      </c>
      <c r="U914" s="628">
        <f>IX_Model_MWS!U17</f>
        <v/>
      </c>
      <c r="V914" s="628">
        <f>IX_Model_MWS!V17</f>
        <v/>
      </c>
      <c r="W914" s="628">
        <f>IX_Model_MWS!W17</f>
        <v/>
      </c>
      <c r="X914" s="628">
        <f>IX_Model_MWS!X17</f>
        <v/>
      </c>
      <c r="Y914" s="650">
        <f>IX_Model_MWS!Y17</f>
        <v/>
      </c>
      <c r="Z914" s="650">
        <f>IX_Model_MWS!Z17</f>
        <v/>
      </c>
      <c r="AA914" s="650">
        <f>IX_Model_MWS!AA17</f>
        <v/>
      </c>
      <c r="AB914" s="650">
        <f>IX_Model_MWS!AB17</f>
        <v/>
      </c>
      <c r="AC914" s="613">
        <f>IX_Model_MWS!AC17</f>
        <v/>
      </c>
      <c r="AD914" s="613">
        <f>IX_Model_MWS!AD17</f>
        <v/>
      </c>
      <c r="AE914" s="613">
        <f>IX_Model_MWS!AE17</f>
        <v/>
      </c>
      <c r="AF914" s="613">
        <f>IX_Model_MWS!AF17</f>
        <v/>
      </c>
      <c r="AG914" s="626">
        <f>IX_Model_MWS!AG17</f>
        <v/>
      </c>
      <c r="AH914" s="626">
        <f>IX_Model_MWS!AH17</f>
        <v/>
      </c>
      <c r="AI914" s="626">
        <f>IX_Model_MWS!AI17</f>
        <v/>
      </c>
      <c r="AJ914" s="626">
        <f>IX_Model_MWS!AJ17</f>
        <v/>
      </c>
      <c r="AK914" s="626">
        <f>IX_Model_MWS!AK17</f>
        <v/>
      </c>
      <c r="AL914" s="626">
        <f>IX_Model_MWS!AL17</f>
        <v/>
      </c>
      <c r="AM914" s="626">
        <f>IX_Model_MWS!AM17</f>
        <v/>
      </c>
      <c r="AN914" s="626">
        <f>IX_Model_MWS!AN17</f>
        <v/>
      </c>
      <c r="AO914" s="626">
        <f>IX_Model_MWS!AO17</f>
        <v/>
      </c>
      <c r="AP914" s="369">
        <f>IX_Model_MWS!AP17</f>
        <v/>
      </c>
      <c r="AQ914" s="369">
        <f>IX_Model_MWS!AQ17</f>
        <v/>
      </c>
      <c r="AR914" s="369">
        <f>IX_Model_MWS!AR17</f>
        <v/>
      </c>
      <c r="AS914" s="369">
        <f>IX_Model_MWS!AS17</f>
        <v/>
      </c>
      <c r="AT914" s="370">
        <f>IX_Model_MWS!AT17</f>
        <v/>
      </c>
      <c r="AU914" s="370">
        <f>IX_Model_MWS!AU17</f>
        <v/>
      </c>
      <c r="AV914" s="370">
        <f>IX_Model_MWS!AV17</f>
        <v/>
      </c>
      <c r="AW914" s="370">
        <f>IX_Model_MWS!AW17</f>
        <v/>
      </c>
      <c r="AX914">
        <f>IX_Model_MWS!AX17</f>
        <v/>
      </c>
      <c r="AY914">
        <f>IX_Model_MWS!AY17</f>
        <v/>
      </c>
      <c r="AZ914">
        <f>IX_Model_MWS!AZ17</f>
        <v/>
      </c>
      <c r="BA914">
        <f>IX_Model_MWS!BA17</f>
        <v/>
      </c>
      <c r="BB914">
        <f>IX_Model_MWS!BB17</f>
        <v/>
      </c>
      <c r="BC914">
        <f>IX_Model_MWS!BC17</f>
        <v/>
      </c>
      <c r="BD914">
        <f>IX_Model_MWS!BD17</f>
        <v/>
      </c>
      <c r="BE914">
        <f>IX_Model_MWS!BE17</f>
        <v/>
      </c>
      <c r="BF914">
        <f>IX_Model_MWS!BF17</f>
        <v/>
      </c>
      <c r="BG914">
        <f>IX_Model_MWS!BG17</f>
        <v/>
      </c>
      <c r="BH914">
        <f>IX_Model_MWS!BH17</f>
        <v/>
      </c>
      <c r="BI914">
        <f>IX_Model_MWS!BI17</f>
        <v/>
      </c>
      <c r="BJ914">
        <f>O914</f>
        <v/>
      </c>
      <c r="BK914">
        <f>SUM(AG914:AW914)</f>
        <v/>
      </c>
      <c r="BL914" s="531">
        <f>BJ914-BK914</f>
        <v/>
      </c>
      <c r="BM914" s="201" t="n"/>
    </row>
    <row r="915" hidden="1" outlineLevel="1" s="191">
      <c r="A915">
        <f>IX_Model_MWS!A18</f>
        <v/>
      </c>
      <c r="B915">
        <f>IX_Model_MWS!B18</f>
        <v/>
      </c>
      <c r="C915">
        <f>IX_Model_MWS!C18</f>
        <v/>
      </c>
      <c r="D915">
        <f>IX_Model_MWS!D18</f>
        <v/>
      </c>
      <c r="E915">
        <f>IX_Model_MWS!E18</f>
        <v/>
      </c>
      <c r="F915">
        <f>IX_Model_MWS!F18</f>
        <v/>
      </c>
      <c r="G915">
        <f>IX_Model_MWS!G18</f>
        <v/>
      </c>
      <c r="H915">
        <f>IX_Model_MWS!H18</f>
        <v/>
      </c>
      <c r="I915">
        <f>IX_Model_MWS!I18</f>
        <v/>
      </c>
      <c r="J915">
        <f>IX_Model_MWS!J18</f>
        <v/>
      </c>
      <c r="K915" s="672">
        <f>IX_Model_MWS!K18</f>
        <v/>
      </c>
      <c r="L915" s="672">
        <f>IX_Model_MWS!L18</f>
        <v/>
      </c>
      <c r="M915">
        <f>IX_Model_MWS!M18</f>
        <v/>
      </c>
      <c r="N915">
        <f>IX_Model_MWS!N18</f>
        <v/>
      </c>
      <c r="O915">
        <f>IX_Model_MWS!O18</f>
        <v/>
      </c>
      <c r="P915" s="628">
        <f>IX_Model_MWS!P18</f>
        <v/>
      </c>
      <c r="Q915" s="628">
        <f>IX_Model_MWS!Q18</f>
        <v/>
      </c>
      <c r="R915" s="628">
        <f>IX_Model_MWS!R18</f>
        <v/>
      </c>
      <c r="S915" s="628">
        <f>IX_Model_MWS!S18</f>
        <v/>
      </c>
      <c r="T915" s="628">
        <f>IX_Model_MWS!T18</f>
        <v/>
      </c>
      <c r="U915" s="628">
        <f>IX_Model_MWS!U18</f>
        <v/>
      </c>
      <c r="V915" s="628">
        <f>IX_Model_MWS!V18</f>
        <v/>
      </c>
      <c r="W915" s="628">
        <f>IX_Model_MWS!W18</f>
        <v/>
      </c>
      <c r="X915" s="628">
        <f>IX_Model_MWS!X18</f>
        <v/>
      </c>
      <c r="Y915" s="650">
        <f>IX_Model_MWS!Y18</f>
        <v/>
      </c>
      <c r="Z915" s="650">
        <f>IX_Model_MWS!Z18</f>
        <v/>
      </c>
      <c r="AA915" s="650">
        <f>IX_Model_MWS!AA18</f>
        <v/>
      </c>
      <c r="AB915" s="650">
        <f>IX_Model_MWS!AB18</f>
        <v/>
      </c>
      <c r="AC915" s="613">
        <f>IX_Model_MWS!AC18</f>
        <v/>
      </c>
      <c r="AD915" s="613">
        <f>IX_Model_MWS!AD18</f>
        <v/>
      </c>
      <c r="AE915" s="613">
        <f>IX_Model_MWS!AE18</f>
        <v/>
      </c>
      <c r="AF915" s="613">
        <f>IX_Model_MWS!AF18</f>
        <v/>
      </c>
      <c r="AG915" s="626">
        <f>IX_Model_MWS!AG18</f>
        <v/>
      </c>
      <c r="AH915" s="626">
        <f>IX_Model_MWS!AH18</f>
        <v/>
      </c>
      <c r="AI915" s="626">
        <f>IX_Model_MWS!AI18</f>
        <v/>
      </c>
      <c r="AJ915" s="626">
        <f>IX_Model_MWS!AJ18</f>
        <v/>
      </c>
      <c r="AK915" s="626">
        <f>IX_Model_MWS!AK18</f>
        <v/>
      </c>
      <c r="AL915" s="626">
        <f>IX_Model_MWS!AL18</f>
        <v/>
      </c>
      <c r="AM915" s="626">
        <f>IX_Model_MWS!AM18</f>
        <v/>
      </c>
      <c r="AN915" s="626">
        <f>IX_Model_MWS!AN18</f>
        <v/>
      </c>
      <c r="AO915" s="626">
        <f>IX_Model_MWS!AO18</f>
        <v/>
      </c>
      <c r="AP915" s="369">
        <f>IX_Model_MWS!AP18</f>
        <v/>
      </c>
      <c r="AQ915" s="369">
        <f>IX_Model_MWS!AQ18</f>
        <v/>
      </c>
      <c r="AR915" s="369">
        <f>IX_Model_MWS!AR18</f>
        <v/>
      </c>
      <c r="AS915" s="369">
        <f>IX_Model_MWS!AS18</f>
        <v/>
      </c>
      <c r="AT915" s="370">
        <f>IX_Model_MWS!AT18</f>
        <v/>
      </c>
      <c r="AU915" s="370">
        <f>IX_Model_MWS!AU18</f>
        <v/>
      </c>
      <c r="AV915" s="370">
        <f>IX_Model_MWS!AV18</f>
        <v/>
      </c>
      <c r="AW915" s="370">
        <f>IX_Model_MWS!AW18</f>
        <v/>
      </c>
      <c r="AX915">
        <f>IX_Model_MWS!AX18</f>
        <v/>
      </c>
      <c r="AY915">
        <f>IX_Model_MWS!AY18</f>
        <v/>
      </c>
      <c r="AZ915">
        <f>IX_Model_MWS!AZ18</f>
        <v/>
      </c>
      <c r="BA915">
        <f>IX_Model_MWS!BA18</f>
        <v/>
      </c>
      <c r="BB915">
        <f>IX_Model_MWS!BB18</f>
        <v/>
      </c>
      <c r="BC915">
        <f>IX_Model_MWS!BC18</f>
        <v/>
      </c>
      <c r="BD915">
        <f>IX_Model_MWS!BD18</f>
        <v/>
      </c>
      <c r="BE915">
        <f>IX_Model_MWS!BE18</f>
        <v/>
      </c>
      <c r="BF915">
        <f>IX_Model_MWS!BF18</f>
        <v/>
      </c>
      <c r="BG915">
        <f>IX_Model_MWS!BG18</f>
        <v/>
      </c>
      <c r="BH915">
        <f>IX_Model_MWS!BH18</f>
        <v/>
      </c>
      <c r="BI915">
        <f>IX_Model_MWS!BI18</f>
        <v/>
      </c>
      <c r="BJ915">
        <f>O915</f>
        <v/>
      </c>
      <c r="BK915">
        <f>SUM(AG915:AW915)</f>
        <v/>
      </c>
      <c r="BL915" s="531">
        <f>BJ915-BK915</f>
        <v/>
      </c>
      <c r="BM915" s="201" t="n"/>
    </row>
    <row r="916" hidden="1" outlineLevel="1" s="191">
      <c r="A916">
        <f>IX_Model_MWS!A19</f>
        <v/>
      </c>
      <c r="B916">
        <f>IX_Model_MWS!B19</f>
        <v/>
      </c>
      <c r="C916">
        <f>IX_Model_MWS!C19</f>
        <v/>
      </c>
      <c r="D916">
        <f>IX_Model_MWS!D19</f>
        <v/>
      </c>
      <c r="E916">
        <f>IX_Model_MWS!E19</f>
        <v/>
      </c>
      <c r="F916">
        <f>IX_Model_MWS!F19</f>
        <v/>
      </c>
      <c r="G916">
        <f>IX_Model_MWS!G19</f>
        <v/>
      </c>
      <c r="H916">
        <f>IX_Model_MWS!H19</f>
        <v/>
      </c>
      <c r="I916">
        <f>IX_Model_MWS!I19</f>
        <v/>
      </c>
      <c r="J916">
        <f>IX_Model_MWS!J19</f>
        <v/>
      </c>
      <c r="K916" s="672">
        <f>IX_Model_MWS!K19</f>
        <v/>
      </c>
      <c r="L916" s="672">
        <f>IX_Model_MWS!L19</f>
        <v/>
      </c>
      <c r="M916">
        <f>IX_Model_MWS!M19</f>
        <v/>
      </c>
      <c r="N916">
        <f>IX_Model_MWS!N19</f>
        <v/>
      </c>
      <c r="O916">
        <f>IX_Model_MWS!O19</f>
        <v/>
      </c>
      <c r="P916" s="628">
        <f>IX_Model_MWS!P19</f>
        <v/>
      </c>
      <c r="Q916" s="628">
        <f>IX_Model_MWS!Q19</f>
        <v/>
      </c>
      <c r="R916" s="628">
        <f>IX_Model_MWS!R19</f>
        <v/>
      </c>
      <c r="S916" s="628">
        <f>IX_Model_MWS!S19</f>
        <v/>
      </c>
      <c r="T916" s="628">
        <f>IX_Model_MWS!T19</f>
        <v/>
      </c>
      <c r="U916" s="628">
        <f>IX_Model_MWS!U19</f>
        <v/>
      </c>
      <c r="V916" s="628">
        <f>IX_Model_MWS!V19</f>
        <v/>
      </c>
      <c r="W916" s="628">
        <f>IX_Model_MWS!W19</f>
        <v/>
      </c>
      <c r="X916" s="628">
        <f>IX_Model_MWS!X19</f>
        <v/>
      </c>
      <c r="Y916" s="650">
        <f>IX_Model_MWS!Y19</f>
        <v/>
      </c>
      <c r="Z916" s="650">
        <f>IX_Model_MWS!Z19</f>
        <v/>
      </c>
      <c r="AA916" s="650">
        <f>IX_Model_MWS!AA19</f>
        <v/>
      </c>
      <c r="AB916" s="650">
        <f>IX_Model_MWS!AB19</f>
        <v/>
      </c>
      <c r="AC916" s="613">
        <f>IX_Model_MWS!AC19</f>
        <v/>
      </c>
      <c r="AD916" s="613">
        <f>IX_Model_MWS!AD19</f>
        <v/>
      </c>
      <c r="AE916" s="613">
        <f>IX_Model_MWS!AE19</f>
        <v/>
      </c>
      <c r="AF916" s="613">
        <f>IX_Model_MWS!AF19</f>
        <v/>
      </c>
      <c r="AG916" s="626">
        <f>IX_Model_MWS!AG19</f>
        <v/>
      </c>
      <c r="AH916" s="626">
        <f>IX_Model_MWS!AH19</f>
        <v/>
      </c>
      <c r="AI916" s="626">
        <f>IX_Model_MWS!AI19</f>
        <v/>
      </c>
      <c r="AJ916" s="626">
        <f>IX_Model_MWS!AJ19</f>
        <v/>
      </c>
      <c r="AK916" s="626">
        <f>IX_Model_MWS!AK19</f>
        <v/>
      </c>
      <c r="AL916" s="626">
        <f>IX_Model_MWS!AL19</f>
        <v/>
      </c>
      <c r="AM916" s="626">
        <f>IX_Model_MWS!AM19</f>
        <v/>
      </c>
      <c r="AN916" s="626">
        <f>IX_Model_MWS!AN19</f>
        <v/>
      </c>
      <c r="AO916" s="626">
        <f>IX_Model_MWS!AO19</f>
        <v/>
      </c>
      <c r="AP916" s="369">
        <f>IX_Model_MWS!AP19</f>
        <v/>
      </c>
      <c r="AQ916" s="369">
        <f>IX_Model_MWS!AQ19</f>
        <v/>
      </c>
      <c r="AR916" s="369">
        <f>IX_Model_MWS!AR19</f>
        <v/>
      </c>
      <c r="AS916" s="369">
        <f>IX_Model_MWS!AS19</f>
        <v/>
      </c>
      <c r="AT916" s="370">
        <f>IX_Model_MWS!AT19</f>
        <v/>
      </c>
      <c r="AU916" s="370">
        <f>IX_Model_MWS!AU19</f>
        <v/>
      </c>
      <c r="AV916" s="370">
        <f>IX_Model_MWS!AV19</f>
        <v/>
      </c>
      <c r="AW916" s="370">
        <f>IX_Model_MWS!AW19</f>
        <v/>
      </c>
      <c r="AX916">
        <f>IX_Model_MWS!AX19</f>
        <v/>
      </c>
      <c r="AY916">
        <f>IX_Model_MWS!AY19</f>
        <v/>
      </c>
      <c r="AZ916">
        <f>IX_Model_MWS!AZ19</f>
        <v/>
      </c>
      <c r="BA916">
        <f>IX_Model_MWS!BA19</f>
        <v/>
      </c>
      <c r="BB916">
        <f>IX_Model_MWS!BB19</f>
        <v/>
      </c>
      <c r="BC916">
        <f>IX_Model_MWS!BC19</f>
        <v/>
      </c>
      <c r="BD916">
        <f>IX_Model_MWS!BD19</f>
        <v/>
      </c>
      <c r="BE916">
        <f>IX_Model_MWS!BE19</f>
        <v/>
      </c>
      <c r="BF916">
        <f>IX_Model_MWS!BF19</f>
        <v/>
      </c>
      <c r="BG916">
        <f>IX_Model_MWS!BG19</f>
        <v/>
      </c>
      <c r="BH916">
        <f>IX_Model_MWS!BH19</f>
        <v/>
      </c>
      <c r="BI916">
        <f>IX_Model_MWS!BI19</f>
        <v/>
      </c>
      <c r="BJ916">
        <f>O916</f>
        <v/>
      </c>
      <c r="BK916">
        <f>SUM(AG916:AW916)</f>
        <v/>
      </c>
      <c r="BL916" s="531">
        <f>BJ916-BK916</f>
        <v/>
      </c>
      <c r="BM916" s="201" t="n"/>
    </row>
    <row r="917" hidden="1" outlineLevel="1" s="191">
      <c r="A917">
        <f>IX_Model_MWS!A20</f>
        <v/>
      </c>
      <c r="B917">
        <f>IX_Model_MWS!B20</f>
        <v/>
      </c>
      <c r="C917">
        <f>IX_Model_MWS!C20</f>
        <v/>
      </c>
      <c r="D917">
        <f>IX_Model_MWS!D20</f>
        <v/>
      </c>
      <c r="E917">
        <f>IX_Model_MWS!E20</f>
        <v/>
      </c>
      <c r="F917">
        <f>IX_Model_MWS!F20</f>
        <v/>
      </c>
      <c r="G917">
        <f>IX_Model_MWS!G20</f>
        <v/>
      </c>
      <c r="H917">
        <f>IX_Model_MWS!H20</f>
        <v/>
      </c>
      <c r="I917">
        <f>IX_Model_MWS!I20</f>
        <v/>
      </c>
      <c r="J917">
        <f>IX_Model_MWS!J20</f>
        <v/>
      </c>
      <c r="K917" s="672">
        <f>IX_Model_MWS!K20</f>
        <v/>
      </c>
      <c r="L917" s="672">
        <f>IX_Model_MWS!L20</f>
        <v/>
      </c>
      <c r="M917">
        <f>IX_Model_MWS!M20</f>
        <v/>
      </c>
      <c r="N917">
        <f>IX_Model_MWS!N20</f>
        <v/>
      </c>
      <c r="O917">
        <f>IX_Model_MWS!O20</f>
        <v/>
      </c>
      <c r="P917" s="628">
        <f>IX_Model_MWS!P20</f>
        <v/>
      </c>
      <c r="Q917" s="628">
        <f>IX_Model_MWS!Q20</f>
        <v/>
      </c>
      <c r="R917" s="628">
        <f>IX_Model_MWS!R20</f>
        <v/>
      </c>
      <c r="S917" s="628">
        <f>IX_Model_MWS!S20</f>
        <v/>
      </c>
      <c r="T917" s="628">
        <f>IX_Model_MWS!T20</f>
        <v/>
      </c>
      <c r="U917" s="628">
        <f>IX_Model_MWS!U20</f>
        <v/>
      </c>
      <c r="V917" s="628">
        <f>IX_Model_MWS!V20</f>
        <v/>
      </c>
      <c r="W917" s="628">
        <f>IX_Model_MWS!W20</f>
        <v/>
      </c>
      <c r="X917" s="628">
        <f>IX_Model_MWS!X20</f>
        <v/>
      </c>
      <c r="Y917" s="650">
        <f>IX_Model_MWS!Y20</f>
        <v/>
      </c>
      <c r="Z917" s="650">
        <f>IX_Model_MWS!Z20</f>
        <v/>
      </c>
      <c r="AA917" s="650">
        <f>IX_Model_MWS!AA20</f>
        <v/>
      </c>
      <c r="AB917" s="650">
        <f>IX_Model_MWS!AB20</f>
        <v/>
      </c>
      <c r="AC917" s="613">
        <f>IX_Model_MWS!AC20</f>
        <v/>
      </c>
      <c r="AD917" s="613">
        <f>IX_Model_MWS!AD20</f>
        <v/>
      </c>
      <c r="AE917" s="613">
        <f>IX_Model_MWS!AE20</f>
        <v/>
      </c>
      <c r="AF917" s="613">
        <f>IX_Model_MWS!AF20</f>
        <v/>
      </c>
      <c r="AG917" s="626">
        <f>IX_Model_MWS!AG20</f>
        <v/>
      </c>
      <c r="AH917" s="626">
        <f>IX_Model_MWS!AH20</f>
        <v/>
      </c>
      <c r="AI917" s="626">
        <f>IX_Model_MWS!AI20</f>
        <v/>
      </c>
      <c r="AJ917" s="626">
        <f>IX_Model_MWS!AJ20</f>
        <v/>
      </c>
      <c r="AK917" s="626">
        <f>IX_Model_MWS!AK20</f>
        <v/>
      </c>
      <c r="AL917" s="626">
        <f>IX_Model_MWS!AL20</f>
        <v/>
      </c>
      <c r="AM917" s="626">
        <f>IX_Model_MWS!AM20</f>
        <v/>
      </c>
      <c r="AN917" s="626">
        <f>IX_Model_MWS!AN20</f>
        <v/>
      </c>
      <c r="AO917" s="626">
        <f>IX_Model_MWS!AO20</f>
        <v/>
      </c>
      <c r="AP917" s="369">
        <f>IX_Model_MWS!AP20</f>
        <v/>
      </c>
      <c r="AQ917" s="369">
        <f>IX_Model_MWS!AQ20</f>
        <v/>
      </c>
      <c r="AR917" s="369">
        <f>IX_Model_MWS!AR20</f>
        <v/>
      </c>
      <c r="AS917" s="369">
        <f>IX_Model_MWS!AS20</f>
        <v/>
      </c>
      <c r="AT917" s="370">
        <f>IX_Model_MWS!AT20</f>
        <v/>
      </c>
      <c r="AU917" s="370">
        <f>IX_Model_MWS!AU20</f>
        <v/>
      </c>
      <c r="AV917" s="370">
        <f>IX_Model_MWS!AV20</f>
        <v/>
      </c>
      <c r="AW917" s="370">
        <f>IX_Model_MWS!AW20</f>
        <v/>
      </c>
      <c r="AX917">
        <f>IX_Model_MWS!AX20</f>
        <v/>
      </c>
      <c r="AY917">
        <f>IX_Model_MWS!AY20</f>
        <v/>
      </c>
      <c r="AZ917">
        <f>IX_Model_MWS!AZ20</f>
        <v/>
      </c>
      <c r="BA917">
        <f>IX_Model_MWS!BA20</f>
        <v/>
      </c>
      <c r="BB917">
        <f>IX_Model_MWS!BB20</f>
        <v/>
      </c>
      <c r="BC917">
        <f>IX_Model_MWS!BC20</f>
        <v/>
      </c>
      <c r="BD917">
        <f>IX_Model_MWS!BD20</f>
        <v/>
      </c>
      <c r="BE917">
        <f>IX_Model_MWS!BE20</f>
        <v/>
      </c>
      <c r="BF917">
        <f>IX_Model_MWS!BF20</f>
        <v/>
      </c>
      <c r="BG917">
        <f>IX_Model_MWS!BG20</f>
        <v/>
      </c>
      <c r="BH917">
        <f>IX_Model_MWS!BH20</f>
        <v/>
      </c>
      <c r="BI917">
        <f>IX_Model_MWS!BI20</f>
        <v/>
      </c>
      <c r="BJ917">
        <f>O917</f>
        <v/>
      </c>
      <c r="BK917">
        <f>SUM(AG917:AW917)</f>
        <v/>
      </c>
      <c r="BL917" s="531">
        <f>BJ917-BK917</f>
        <v/>
      </c>
      <c r="BM917" s="201" t="n"/>
    </row>
    <row r="918" hidden="1" outlineLevel="1" s="191">
      <c r="A918">
        <f>IX_Model_MWS!A21</f>
        <v/>
      </c>
      <c r="B918">
        <f>IX_Model_MWS!B21</f>
        <v/>
      </c>
      <c r="C918">
        <f>IX_Model_MWS!C21</f>
        <v/>
      </c>
      <c r="D918">
        <f>IX_Model_MWS!D21</f>
        <v/>
      </c>
      <c r="E918">
        <f>IX_Model_MWS!E21</f>
        <v/>
      </c>
      <c r="F918">
        <f>IX_Model_MWS!F21</f>
        <v/>
      </c>
      <c r="G918">
        <f>IX_Model_MWS!G21</f>
        <v/>
      </c>
      <c r="H918">
        <f>IX_Model_MWS!H21</f>
        <v/>
      </c>
      <c r="I918">
        <f>IX_Model_MWS!I21</f>
        <v/>
      </c>
      <c r="J918">
        <f>IX_Model_MWS!J21</f>
        <v/>
      </c>
      <c r="K918" s="672">
        <f>IX_Model_MWS!K21</f>
        <v/>
      </c>
      <c r="L918" s="672">
        <f>IX_Model_MWS!L21</f>
        <v/>
      </c>
      <c r="M918">
        <f>IX_Model_MWS!M21</f>
        <v/>
      </c>
      <c r="N918">
        <f>IX_Model_MWS!N21</f>
        <v/>
      </c>
      <c r="O918">
        <f>IX_Model_MWS!O21</f>
        <v/>
      </c>
      <c r="P918" s="628">
        <f>IX_Model_MWS!P21</f>
        <v/>
      </c>
      <c r="Q918" s="628">
        <f>IX_Model_MWS!Q21</f>
        <v/>
      </c>
      <c r="R918" s="628">
        <f>IX_Model_MWS!R21</f>
        <v/>
      </c>
      <c r="S918" s="628">
        <f>IX_Model_MWS!S21</f>
        <v/>
      </c>
      <c r="T918" s="628">
        <f>IX_Model_MWS!T21</f>
        <v/>
      </c>
      <c r="U918" s="628">
        <f>IX_Model_MWS!U21</f>
        <v/>
      </c>
      <c r="V918" s="628">
        <f>IX_Model_MWS!V21</f>
        <v/>
      </c>
      <c r="W918" s="628">
        <f>IX_Model_MWS!W21</f>
        <v/>
      </c>
      <c r="X918" s="628">
        <f>IX_Model_MWS!X21</f>
        <v/>
      </c>
      <c r="Y918" s="650">
        <f>IX_Model_MWS!Y21</f>
        <v/>
      </c>
      <c r="Z918" s="650">
        <f>IX_Model_MWS!Z21</f>
        <v/>
      </c>
      <c r="AA918" s="650">
        <f>IX_Model_MWS!AA21</f>
        <v/>
      </c>
      <c r="AB918" s="650">
        <f>IX_Model_MWS!AB21</f>
        <v/>
      </c>
      <c r="AC918" s="613">
        <f>IX_Model_MWS!AC21</f>
        <v/>
      </c>
      <c r="AD918" s="613">
        <f>IX_Model_MWS!AD21</f>
        <v/>
      </c>
      <c r="AE918" s="613">
        <f>IX_Model_MWS!AE21</f>
        <v/>
      </c>
      <c r="AF918" s="613">
        <f>IX_Model_MWS!AF21</f>
        <v/>
      </c>
      <c r="AG918" s="626">
        <f>IX_Model_MWS!AG21</f>
        <v/>
      </c>
      <c r="AH918" s="626">
        <f>IX_Model_MWS!AH21</f>
        <v/>
      </c>
      <c r="AI918" s="626">
        <f>IX_Model_MWS!AI21</f>
        <v/>
      </c>
      <c r="AJ918" s="626">
        <f>IX_Model_MWS!AJ21</f>
        <v/>
      </c>
      <c r="AK918" s="626">
        <f>IX_Model_MWS!AK21</f>
        <v/>
      </c>
      <c r="AL918" s="626">
        <f>IX_Model_MWS!AL21</f>
        <v/>
      </c>
      <c r="AM918" s="626">
        <f>IX_Model_MWS!AM21</f>
        <v/>
      </c>
      <c r="AN918" s="626">
        <f>IX_Model_MWS!AN21</f>
        <v/>
      </c>
      <c r="AO918" s="626">
        <f>IX_Model_MWS!AO21</f>
        <v/>
      </c>
      <c r="AP918" s="369">
        <f>IX_Model_MWS!AP21</f>
        <v/>
      </c>
      <c r="AQ918" s="369">
        <f>IX_Model_MWS!AQ21</f>
        <v/>
      </c>
      <c r="AR918" s="369">
        <f>IX_Model_MWS!AR21</f>
        <v/>
      </c>
      <c r="AS918" s="369">
        <f>IX_Model_MWS!AS21</f>
        <v/>
      </c>
      <c r="AT918" s="370">
        <f>IX_Model_MWS!AT21</f>
        <v/>
      </c>
      <c r="AU918" s="370">
        <f>IX_Model_MWS!AU21</f>
        <v/>
      </c>
      <c r="AV918" s="370">
        <f>IX_Model_MWS!AV21</f>
        <v/>
      </c>
      <c r="AW918" s="370">
        <f>IX_Model_MWS!AW21</f>
        <v/>
      </c>
      <c r="AX918">
        <f>IX_Model_MWS!AX21</f>
        <v/>
      </c>
      <c r="AY918">
        <f>IX_Model_MWS!AY21</f>
        <v/>
      </c>
      <c r="AZ918">
        <f>IX_Model_MWS!AZ21</f>
        <v/>
      </c>
      <c r="BA918">
        <f>IX_Model_MWS!BA21</f>
        <v/>
      </c>
      <c r="BB918">
        <f>IX_Model_MWS!BB21</f>
        <v/>
      </c>
      <c r="BC918">
        <f>IX_Model_MWS!BC21</f>
        <v/>
      </c>
      <c r="BD918">
        <f>IX_Model_MWS!BD21</f>
        <v/>
      </c>
      <c r="BE918">
        <f>IX_Model_MWS!BE21</f>
        <v/>
      </c>
      <c r="BF918">
        <f>IX_Model_MWS!BF21</f>
        <v/>
      </c>
      <c r="BG918">
        <f>IX_Model_MWS!BG21</f>
        <v/>
      </c>
      <c r="BH918">
        <f>IX_Model_MWS!BH21</f>
        <v/>
      </c>
      <c r="BI918">
        <f>IX_Model_MWS!BI21</f>
        <v/>
      </c>
      <c r="BJ918">
        <f>O918</f>
        <v/>
      </c>
      <c r="BK918">
        <f>SUM(AG918:AW918)</f>
        <v/>
      </c>
      <c r="BL918" s="531">
        <f>BJ918-BK918</f>
        <v/>
      </c>
      <c r="BM918" s="201" t="n"/>
    </row>
    <row r="919" hidden="1" outlineLevel="1" s="191">
      <c r="A919">
        <f>IX_Model_MWS!A22</f>
        <v/>
      </c>
      <c r="B919">
        <f>IX_Model_MWS!B22</f>
        <v/>
      </c>
      <c r="C919">
        <f>IX_Model_MWS!C22</f>
        <v/>
      </c>
      <c r="D919">
        <f>IX_Model_MWS!D22</f>
        <v/>
      </c>
      <c r="E919">
        <f>IX_Model_MWS!E22</f>
        <v/>
      </c>
      <c r="F919">
        <f>IX_Model_MWS!F22</f>
        <v/>
      </c>
      <c r="G919">
        <f>IX_Model_MWS!G22</f>
        <v/>
      </c>
      <c r="H919">
        <f>IX_Model_MWS!H22</f>
        <v/>
      </c>
      <c r="I919">
        <f>IX_Model_MWS!I22</f>
        <v/>
      </c>
      <c r="J919">
        <f>IX_Model_MWS!J22</f>
        <v/>
      </c>
      <c r="K919" s="672">
        <f>IX_Model_MWS!K22</f>
        <v/>
      </c>
      <c r="L919" s="672">
        <f>IX_Model_MWS!L22</f>
        <v/>
      </c>
      <c r="M919">
        <f>IX_Model_MWS!M22</f>
        <v/>
      </c>
      <c r="N919">
        <f>IX_Model_MWS!N22</f>
        <v/>
      </c>
      <c r="O919">
        <f>IX_Model_MWS!O22</f>
        <v/>
      </c>
      <c r="P919" s="628">
        <f>IX_Model_MWS!P22</f>
        <v/>
      </c>
      <c r="Q919" s="628">
        <f>IX_Model_MWS!Q22</f>
        <v/>
      </c>
      <c r="R919" s="628">
        <f>IX_Model_MWS!R22</f>
        <v/>
      </c>
      <c r="S919" s="628">
        <f>IX_Model_MWS!S22</f>
        <v/>
      </c>
      <c r="T919" s="628">
        <f>IX_Model_MWS!T22</f>
        <v/>
      </c>
      <c r="U919" s="628">
        <f>IX_Model_MWS!U22</f>
        <v/>
      </c>
      <c r="V919" s="628">
        <f>IX_Model_MWS!V22</f>
        <v/>
      </c>
      <c r="W919" s="628">
        <f>IX_Model_MWS!W22</f>
        <v/>
      </c>
      <c r="X919" s="628">
        <f>IX_Model_MWS!X22</f>
        <v/>
      </c>
      <c r="Y919" s="650">
        <f>IX_Model_MWS!Y22</f>
        <v/>
      </c>
      <c r="Z919" s="650">
        <f>IX_Model_MWS!Z22</f>
        <v/>
      </c>
      <c r="AA919" s="650">
        <f>IX_Model_MWS!AA22</f>
        <v/>
      </c>
      <c r="AB919" s="650">
        <f>IX_Model_MWS!AB22</f>
        <v/>
      </c>
      <c r="AC919" s="613">
        <f>IX_Model_MWS!AC22</f>
        <v/>
      </c>
      <c r="AD919" s="613">
        <f>IX_Model_MWS!AD22</f>
        <v/>
      </c>
      <c r="AE919" s="613">
        <f>IX_Model_MWS!AE22</f>
        <v/>
      </c>
      <c r="AF919" s="613">
        <f>IX_Model_MWS!AF22</f>
        <v/>
      </c>
      <c r="AG919" s="626">
        <f>IX_Model_MWS!AG22</f>
        <v/>
      </c>
      <c r="AH919" s="626">
        <f>IX_Model_MWS!AH22</f>
        <v/>
      </c>
      <c r="AI919" s="626">
        <f>IX_Model_MWS!AI22</f>
        <v/>
      </c>
      <c r="AJ919" s="626">
        <f>IX_Model_MWS!AJ22</f>
        <v/>
      </c>
      <c r="AK919" s="626">
        <f>IX_Model_MWS!AK22</f>
        <v/>
      </c>
      <c r="AL919" s="626">
        <f>IX_Model_MWS!AL22</f>
        <v/>
      </c>
      <c r="AM919" s="626">
        <f>IX_Model_MWS!AM22</f>
        <v/>
      </c>
      <c r="AN919" s="626">
        <f>IX_Model_MWS!AN22</f>
        <v/>
      </c>
      <c r="AO919" s="626">
        <f>IX_Model_MWS!AO22</f>
        <v/>
      </c>
      <c r="AP919" s="369">
        <f>IX_Model_MWS!AP22</f>
        <v/>
      </c>
      <c r="AQ919" s="369">
        <f>IX_Model_MWS!AQ22</f>
        <v/>
      </c>
      <c r="AR919" s="369">
        <f>IX_Model_MWS!AR22</f>
        <v/>
      </c>
      <c r="AS919" s="369">
        <f>IX_Model_MWS!AS22</f>
        <v/>
      </c>
      <c r="AT919" s="370">
        <f>IX_Model_MWS!AT22</f>
        <v/>
      </c>
      <c r="AU919" s="370">
        <f>IX_Model_MWS!AU22</f>
        <v/>
      </c>
      <c r="AV919" s="370">
        <f>IX_Model_MWS!AV22</f>
        <v/>
      </c>
      <c r="AW919" s="370">
        <f>IX_Model_MWS!AW22</f>
        <v/>
      </c>
      <c r="AX919">
        <f>IX_Model_MWS!AX22</f>
        <v/>
      </c>
      <c r="AY919">
        <f>IX_Model_MWS!AY22</f>
        <v/>
      </c>
      <c r="AZ919">
        <f>IX_Model_MWS!AZ22</f>
        <v/>
      </c>
      <c r="BA919">
        <f>IX_Model_MWS!BA22</f>
        <v/>
      </c>
      <c r="BB919">
        <f>IX_Model_MWS!BB22</f>
        <v/>
      </c>
      <c r="BC919">
        <f>IX_Model_MWS!BC22</f>
        <v/>
      </c>
      <c r="BD919">
        <f>IX_Model_MWS!BD22</f>
        <v/>
      </c>
      <c r="BE919">
        <f>IX_Model_MWS!BE22</f>
        <v/>
      </c>
      <c r="BF919">
        <f>IX_Model_MWS!BF22</f>
        <v/>
      </c>
      <c r="BG919">
        <f>IX_Model_MWS!BG22</f>
        <v/>
      </c>
      <c r="BH919">
        <f>IX_Model_MWS!BH22</f>
        <v/>
      </c>
      <c r="BI919">
        <f>IX_Model_MWS!BI22</f>
        <v/>
      </c>
      <c r="BJ919">
        <f>O919</f>
        <v/>
      </c>
      <c r="BK919">
        <f>SUM(AG919:AW919)</f>
        <v/>
      </c>
      <c r="BL919" s="531">
        <f>BJ919-BK919</f>
        <v/>
      </c>
      <c r="BM919" s="201" t="n"/>
    </row>
    <row r="920" hidden="1" outlineLevel="1" s="191">
      <c r="A920">
        <f>IX_Model_MWS!A23</f>
        <v/>
      </c>
      <c r="B920">
        <f>IX_Model_MWS!B23</f>
        <v/>
      </c>
      <c r="C920">
        <f>IX_Model_MWS!C23</f>
        <v/>
      </c>
      <c r="D920">
        <f>IX_Model_MWS!D23</f>
        <v/>
      </c>
      <c r="E920">
        <f>IX_Model_MWS!E23</f>
        <v/>
      </c>
      <c r="F920">
        <f>IX_Model_MWS!F23</f>
        <v/>
      </c>
      <c r="G920">
        <f>IX_Model_MWS!G23</f>
        <v/>
      </c>
      <c r="H920">
        <f>IX_Model_MWS!H23</f>
        <v/>
      </c>
      <c r="I920">
        <f>IX_Model_MWS!I23</f>
        <v/>
      </c>
      <c r="J920">
        <f>IX_Model_MWS!J23</f>
        <v/>
      </c>
      <c r="K920" s="672">
        <f>IX_Model_MWS!K23</f>
        <v/>
      </c>
      <c r="L920" s="672">
        <f>IX_Model_MWS!L23</f>
        <v/>
      </c>
      <c r="M920">
        <f>IX_Model_MWS!M23</f>
        <v/>
      </c>
      <c r="N920">
        <f>IX_Model_MWS!N23</f>
        <v/>
      </c>
      <c r="O920">
        <f>IX_Model_MWS!O23</f>
        <v/>
      </c>
      <c r="P920" s="628">
        <f>IX_Model_MWS!P23</f>
        <v/>
      </c>
      <c r="Q920" s="628">
        <f>IX_Model_MWS!Q23</f>
        <v/>
      </c>
      <c r="R920" s="628">
        <f>IX_Model_MWS!R23</f>
        <v/>
      </c>
      <c r="S920" s="628">
        <f>IX_Model_MWS!S23</f>
        <v/>
      </c>
      <c r="T920" s="628">
        <f>IX_Model_MWS!T23</f>
        <v/>
      </c>
      <c r="U920" s="628">
        <f>IX_Model_MWS!U23</f>
        <v/>
      </c>
      <c r="V920" s="628">
        <f>IX_Model_MWS!V23</f>
        <v/>
      </c>
      <c r="W920" s="628">
        <f>IX_Model_MWS!W23</f>
        <v/>
      </c>
      <c r="X920" s="628">
        <f>IX_Model_MWS!X23</f>
        <v/>
      </c>
      <c r="Y920" s="650">
        <f>IX_Model_MWS!Y23</f>
        <v/>
      </c>
      <c r="Z920" s="650">
        <f>IX_Model_MWS!Z23</f>
        <v/>
      </c>
      <c r="AA920" s="650">
        <f>IX_Model_MWS!AA23</f>
        <v/>
      </c>
      <c r="AB920" s="650">
        <f>IX_Model_MWS!AB23</f>
        <v/>
      </c>
      <c r="AC920" s="613">
        <f>IX_Model_MWS!AC23</f>
        <v/>
      </c>
      <c r="AD920" s="613">
        <f>IX_Model_MWS!AD23</f>
        <v/>
      </c>
      <c r="AE920" s="613">
        <f>IX_Model_MWS!AE23</f>
        <v/>
      </c>
      <c r="AF920" s="613">
        <f>IX_Model_MWS!AF23</f>
        <v/>
      </c>
      <c r="AG920" s="626">
        <f>IX_Model_MWS!AG23</f>
        <v/>
      </c>
      <c r="AH920" s="626">
        <f>IX_Model_MWS!AH23</f>
        <v/>
      </c>
      <c r="AI920" s="626">
        <f>IX_Model_MWS!AI23</f>
        <v/>
      </c>
      <c r="AJ920" s="626">
        <f>IX_Model_MWS!AJ23</f>
        <v/>
      </c>
      <c r="AK920" s="626">
        <f>IX_Model_MWS!AK23</f>
        <v/>
      </c>
      <c r="AL920" s="626">
        <f>IX_Model_MWS!AL23</f>
        <v/>
      </c>
      <c r="AM920" s="626">
        <f>IX_Model_MWS!AM23</f>
        <v/>
      </c>
      <c r="AN920" s="626">
        <f>IX_Model_MWS!AN23</f>
        <v/>
      </c>
      <c r="AO920" s="626">
        <f>IX_Model_MWS!AO23</f>
        <v/>
      </c>
      <c r="AP920" s="369">
        <f>IX_Model_MWS!AP23</f>
        <v/>
      </c>
      <c r="AQ920" s="369">
        <f>IX_Model_MWS!AQ23</f>
        <v/>
      </c>
      <c r="AR920" s="369">
        <f>IX_Model_MWS!AR23</f>
        <v/>
      </c>
      <c r="AS920" s="369">
        <f>IX_Model_MWS!AS23</f>
        <v/>
      </c>
      <c r="AT920" s="370">
        <f>IX_Model_MWS!AT23</f>
        <v/>
      </c>
      <c r="AU920" s="370">
        <f>IX_Model_MWS!AU23</f>
        <v/>
      </c>
      <c r="AV920" s="370">
        <f>IX_Model_MWS!AV23</f>
        <v/>
      </c>
      <c r="AW920" s="370">
        <f>IX_Model_MWS!AW23</f>
        <v/>
      </c>
      <c r="AX920">
        <f>IX_Model_MWS!AX23</f>
        <v/>
      </c>
      <c r="AY920">
        <f>IX_Model_MWS!AY23</f>
        <v/>
      </c>
      <c r="AZ920">
        <f>IX_Model_MWS!AZ23</f>
        <v/>
      </c>
      <c r="BA920">
        <f>IX_Model_MWS!BA23</f>
        <v/>
      </c>
      <c r="BB920">
        <f>IX_Model_MWS!BB23</f>
        <v/>
      </c>
      <c r="BC920">
        <f>IX_Model_MWS!BC23</f>
        <v/>
      </c>
      <c r="BD920">
        <f>IX_Model_MWS!BD23</f>
        <v/>
      </c>
      <c r="BE920">
        <f>IX_Model_MWS!BE23</f>
        <v/>
      </c>
      <c r="BF920">
        <f>IX_Model_MWS!BF23</f>
        <v/>
      </c>
      <c r="BG920">
        <f>IX_Model_MWS!BG23</f>
        <v/>
      </c>
      <c r="BH920">
        <f>IX_Model_MWS!BH23</f>
        <v/>
      </c>
      <c r="BI920">
        <f>IX_Model_MWS!BI23</f>
        <v/>
      </c>
      <c r="BJ920">
        <f>O920</f>
        <v/>
      </c>
      <c r="BK920">
        <f>SUM(AG920:AW920)</f>
        <v/>
      </c>
      <c r="BL920" s="531">
        <f>BJ920-BK920</f>
        <v/>
      </c>
      <c r="BM920" s="201" t="n"/>
    </row>
    <row r="921" hidden="1" outlineLevel="1" s="191">
      <c r="A921">
        <f>IX_Model_MWS!A24</f>
        <v/>
      </c>
      <c r="B921">
        <f>IX_Model_MWS!B24</f>
        <v/>
      </c>
      <c r="C921">
        <f>IX_Model_MWS!C24</f>
        <v/>
      </c>
      <c r="D921">
        <f>IX_Model_MWS!D24</f>
        <v/>
      </c>
      <c r="E921">
        <f>IX_Model_MWS!E24</f>
        <v/>
      </c>
      <c r="F921">
        <f>IX_Model_MWS!F24</f>
        <v/>
      </c>
      <c r="G921">
        <f>IX_Model_MWS!G24</f>
        <v/>
      </c>
      <c r="H921">
        <f>IX_Model_MWS!H24</f>
        <v/>
      </c>
      <c r="I921">
        <f>IX_Model_MWS!I24</f>
        <v/>
      </c>
      <c r="J921">
        <f>IX_Model_MWS!J24</f>
        <v/>
      </c>
      <c r="K921" s="672">
        <f>IX_Model_MWS!K24</f>
        <v/>
      </c>
      <c r="L921" s="672">
        <f>IX_Model_MWS!L24</f>
        <v/>
      </c>
      <c r="M921">
        <f>IX_Model_MWS!M24</f>
        <v/>
      </c>
      <c r="N921">
        <f>IX_Model_MWS!N24</f>
        <v/>
      </c>
      <c r="O921">
        <f>IX_Model_MWS!O24</f>
        <v/>
      </c>
      <c r="P921" s="628">
        <f>IX_Model_MWS!P24</f>
        <v/>
      </c>
      <c r="Q921" s="628">
        <f>IX_Model_MWS!Q24</f>
        <v/>
      </c>
      <c r="R921" s="628">
        <f>IX_Model_MWS!R24</f>
        <v/>
      </c>
      <c r="S921" s="628">
        <f>IX_Model_MWS!S24</f>
        <v/>
      </c>
      <c r="T921" s="628">
        <f>IX_Model_MWS!T24</f>
        <v/>
      </c>
      <c r="U921" s="628">
        <f>IX_Model_MWS!U24</f>
        <v/>
      </c>
      <c r="V921" s="628">
        <f>IX_Model_MWS!V24</f>
        <v/>
      </c>
      <c r="W921" s="628">
        <f>IX_Model_MWS!W24</f>
        <v/>
      </c>
      <c r="X921" s="628">
        <f>IX_Model_MWS!X24</f>
        <v/>
      </c>
      <c r="Y921" s="650">
        <f>IX_Model_MWS!Y24</f>
        <v/>
      </c>
      <c r="Z921" s="650">
        <f>IX_Model_MWS!Z24</f>
        <v/>
      </c>
      <c r="AA921" s="650">
        <f>IX_Model_MWS!AA24</f>
        <v/>
      </c>
      <c r="AB921" s="650">
        <f>IX_Model_MWS!AB24</f>
        <v/>
      </c>
      <c r="AC921" s="613">
        <f>IX_Model_MWS!AC24</f>
        <v/>
      </c>
      <c r="AD921" s="613">
        <f>IX_Model_MWS!AD24</f>
        <v/>
      </c>
      <c r="AE921" s="613">
        <f>IX_Model_MWS!AE24</f>
        <v/>
      </c>
      <c r="AF921" s="613">
        <f>IX_Model_MWS!AF24</f>
        <v/>
      </c>
      <c r="AG921" s="626">
        <f>IX_Model_MWS!AG24</f>
        <v/>
      </c>
      <c r="AH921" s="626">
        <f>IX_Model_MWS!AH24</f>
        <v/>
      </c>
      <c r="AI921" s="626">
        <f>IX_Model_MWS!AI24</f>
        <v/>
      </c>
      <c r="AJ921" s="626">
        <f>IX_Model_MWS!AJ24</f>
        <v/>
      </c>
      <c r="AK921" s="626">
        <f>IX_Model_MWS!AK24</f>
        <v/>
      </c>
      <c r="AL921" s="626">
        <f>IX_Model_MWS!AL24</f>
        <v/>
      </c>
      <c r="AM921" s="626">
        <f>IX_Model_MWS!AM24</f>
        <v/>
      </c>
      <c r="AN921" s="626">
        <f>IX_Model_MWS!AN24</f>
        <v/>
      </c>
      <c r="AO921" s="626">
        <f>IX_Model_MWS!AO24</f>
        <v/>
      </c>
      <c r="AP921" s="369">
        <f>IX_Model_MWS!AP24</f>
        <v/>
      </c>
      <c r="AQ921" s="369">
        <f>IX_Model_MWS!AQ24</f>
        <v/>
      </c>
      <c r="AR921" s="369">
        <f>IX_Model_MWS!AR24</f>
        <v/>
      </c>
      <c r="AS921" s="369">
        <f>IX_Model_MWS!AS24</f>
        <v/>
      </c>
      <c r="AT921" s="370">
        <f>IX_Model_MWS!AT24</f>
        <v/>
      </c>
      <c r="AU921" s="370">
        <f>IX_Model_MWS!AU24</f>
        <v/>
      </c>
      <c r="AV921" s="370">
        <f>IX_Model_MWS!AV24</f>
        <v/>
      </c>
      <c r="AW921" s="370">
        <f>IX_Model_MWS!AW24</f>
        <v/>
      </c>
      <c r="AX921">
        <f>IX_Model_MWS!AX24</f>
        <v/>
      </c>
      <c r="AY921">
        <f>IX_Model_MWS!AY24</f>
        <v/>
      </c>
      <c r="AZ921">
        <f>IX_Model_MWS!AZ24</f>
        <v/>
      </c>
      <c r="BA921">
        <f>IX_Model_MWS!BA24</f>
        <v/>
      </c>
      <c r="BB921">
        <f>IX_Model_MWS!BB24</f>
        <v/>
      </c>
      <c r="BC921">
        <f>IX_Model_MWS!BC24</f>
        <v/>
      </c>
      <c r="BD921">
        <f>IX_Model_MWS!BD24</f>
        <v/>
      </c>
      <c r="BE921">
        <f>IX_Model_MWS!BE24</f>
        <v/>
      </c>
      <c r="BF921">
        <f>IX_Model_MWS!BF24</f>
        <v/>
      </c>
      <c r="BG921">
        <f>IX_Model_MWS!BG24</f>
        <v/>
      </c>
      <c r="BH921">
        <f>IX_Model_MWS!BH24</f>
        <v/>
      </c>
      <c r="BI921">
        <f>IX_Model_MWS!BI24</f>
        <v/>
      </c>
      <c r="BJ921">
        <f>O921</f>
        <v/>
      </c>
      <c r="BK921">
        <f>SUM(AG921:AW921)</f>
        <v/>
      </c>
      <c r="BL921" s="531">
        <f>BJ921-BK921</f>
        <v/>
      </c>
      <c r="BM921" s="201" t="n"/>
    </row>
    <row r="922" hidden="1" outlineLevel="1" s="191">
      <c r="A922">
        <f>IX_Model_MWS!A25</f>
        <v/>
      </c>
      <c r="B922">
        <f>IX_Model_MWS!B25</f>
        <v/>
      </c>
      <c r="C922">
        <f>IX_Model_MWS!C25</f>
        <v/>
      </c>
      <c r="D922">
        <f>IX_Model_MWS!D25</f>
        <v/>
      </c>
      <c r="E922">
        <f>IX_Model_MWS!E25</f>
        <v/>
      </c>
      <c r="F922">
        <f>IX_Model_MWS!F25</f>
        <v/>
      </c>
      <c r="G922">
        <f>IX_Model_MWS!G25</f>
        <v/>
      </c>
      <c r="H922">
        <f>IX_Model_MWS!H25</f>
        <v/>
      </c>
      <c r="I922">
        <f>IX_Model_MWS!I25</f>
        <v/>
      </c>
      <c r="J922">
        <f>IX_Model_MWS!J25</f>
        <v/>
      </c>
      <c r="K922" s="672">
        <f>IX_Model_MWS!K25</f>
        <v/>
      </c>
      <c r="L922" s="672">
        <f>IX_Model_MWS!L25</f>
        <v/>
      </c>
      <c r="M922">
        <f>IX_Model_MWS!M25</f>
        <v/>
      </c>
      <c r="N922">
        <f>IX_Model_MWS!N25</f>
        <v/>
      </c>
      <c r="O922">
        <f>IX_Model_MWS!O25</f>
        <v/>
      </c>
      <c r="P922" s="628">
        <f>IX_Model_MWS!P25</f>
        <v/>
      </c>
      <c r="Q922" s="628">
        <f>IX_Model_MWS!Q25</f>
        <v/>
      </c>
      <c r="R922" s="628">
        <f>IX_Model_MWS!R25</f>
        <v/>
      </c>
      <c r="S922" s="628">
        <f>IX_Model_MWS!S25</f>
        <v/>
      </c>
      <c r="T922" s="628">
        <f>IX_Model_MWS!T25</f>
        <v/>
      </c>
      <c r="U922" s="628">
        <f>IX_Model_MWS!U25</f>
        <v/>
      </c>
      <c r="V922" s="628">
        <f>IX_Model_MWS!V25</f>
        <v/>
      </c>
      <c r="W922" s="628">
        <f>IX_Model_MWS!W25</f>
        <v/>
      </c>
      <c r="X922" s="628">
        <f>IX_Model_MWS!X25</f>
        <v/>
      </c>
      <c r="Y922" s="650">
        <f>IX_Model_MWS!Y25</f>
        <v/>
      </c>
      <c r="Z922" s="650">
        <f>IX_Model_MWS!Z25</f>
        <v/>
      </c>
      <c r="AA922" s="650">
        <f>IX_Model_MWS!AA25</f>
        <v/>
      </c>
      <c r="AB922" s="650">
        <f>IX_Model_MWS!AB25</f>
        <v/>
      </c>
      <c r="AC922" s="613">
        <f>IX_Model_MWS!AC25</f>
        <v/>
      </c>
      <c r="AD922" s="613">
        <f>IX_Model_MWS!AD25</f>
        <v/>
      </c>
      <c r="AE922" s="613">
        <f>IX_Model_MWS!AE25</f>
        <v/>
      </c>
      <c r="AF922" s="613">
        <f>IX_Model_MWS!AF25</f>
        <v/>
      </c>
      <c r="AG922" s="626">
        <f>IX_Model_MWS!AG25</f>
        <v/>
      </c>
      <c r="AH922" s="626">
        <f>IX_Model_MWS!AH25</f>
        <v/>
      </c>
      <c r="AI922" s="626">
        <f>IX_Model_MWS!AI25</f>
        <v/>
      </c>
      <c r="AJ922" s="626">
        <f>IX_Model_MWS!AJ25</f>
        <v/>
      </c>
      <c r="AK922" s="626">
        <f>IX_Model_MWS!AK25</f>
        <v/>
      </c>
      <c r="AL922" s="626">
        <f>IX_Model_MWS!AL25</f>
        <v/>
      </c>
      <c r="AM922" s="626">
        <f>IX_Model_MWS!AM25</f>
        <v/>
      </c>
      <c r="AN922" s="626">
        <f>IX_Model_MWS!AN25</f>
        <v/>
      </c>
      <c r="AO922" s="626">
        <f>IX_Model_MWS!AO25</f>
        <v/>
      </c>
      <c r="AP922" s="369">
        <f>IX_Model_MWS!AP25</f>
        <v/>
      </c>
      <c r="AQ922" s="369">
        <f>IX_Model_MWS!AQ25</f>
        <v/>
      </c>
      <c r="AR922" s="369">
        <f>IX_Model_MWS!AR25</f>
        <v/>
      </c>
      <c r="AS922" s="369">
        <f>IX_Model_MWS!AS25</f>
        <v/>
      </c>
      <c r="AT922" s="370">
        <f>IX_Model_MWS!AT25</f>
        <v/>
      </c>
      <c r="AU922" s="370">
        <f>IX_Model_MWS!AU25</f>
        <v/>
      </c>
      <c r="AV922" s="370">
        <f>IX_Model_MWS!AV25</f>
        <v/>
      </c>
      <c r="AW922" s="370">
        <f>IX_Model_MWS!AW25</f>
        <v/>
      </c>
      <c r="AX922">
        <f>IX_Model_MWS!AX25</f>
        <v/>
      </c>
      <c r="AY922">
        <f>IX_Model_MWS!AY25</f>
        <v/>
      </c>
      <c r="AZ922">
        <f>IX_Model_MWS!AZ25</f>
        <v/>
      </c>
      <c r="BA922">
        <f>IX_Model_MWS!BA25</f>
        <v/>
      </c>
      <c r="BB922">
        <f>IX_Model_MWS!BB25</f>
        <v/>
      </c>
      <c r="BC922">
        <f>IX_Model_MWS!BC25</f>
        <v/>
      </c>
      <c r="BD922">
        <f>IX_Model_MWS!BD25</f>
        <v/>
      </c>
      <c r="BE922">
        <f>IX_Model_MWS!BE25</f>
        <v/>
      </c>
      <c r="BF922">
        <f>IX_Model_MWS!BF25</f>
        <v/>
      </c>
      <c r="BG922">
        <f>IX_Model_MWS!BG25</f>
        <v/>
      </c>
      <c r="BH922">
        <f>IX_Model_MWS!BH25</f>
        <v/>
      </c>
      <c r="BI922">
        <f>IX_Model_MWS!BI25</f>
        <v/>
      </c>
      <c r="BJ922">
        <f>O922</f>
        <v/>
      </c>
      <c r="BK922">
        <f>SUM(AG922:AW922)</f>
        <v/>
      </c>
      <c r="BL922" s="531">
        <f>BJ922-BK922</f>
        <v/>
      </c>
      <c r="BM922" s="201" t="n"/>
    </row>
    <row r="923" hidden="1" outlineLevel="1" s="191">
      <c r="A923">
        <f>IX_Model_MWS!A26</f>
        <v/>
      </c>
      <c r="B923">
        <f>IX_Model_MWS!B26</f>
        <v/>
      </c>
      <c r="C923">
        <f>IX_Model_MWS!C26</f>
        <v/>
      </c>
      <c r="D923">
        <f>IX_Model_MWS!D26</f>
        <v/>
      </c>
      <c r="E923">
        <f>IX_Model_MWS!E26</f>
        <v/>
      </c>
      <c r="F923">
        <f>IX_Model_MWS!F26</f>
        <v/>
      </c>
      <c r="G923">
        <f>IX_Model_MWS!G26</f>
        <v/>
      </c>
      <c r="H923">
        <f>IX_Model_MWS!H26</f>
        <v/>
      </c>
      <c r="I923">
        <f>IX_Model_MWS!I26</f>
        <v/>
      </c>
      <c r="J923">
        <f>IX_Model_MWS!J26</f>
        <v/>
      </c>
      <c r="K923" s="672">
        <f>IX_Model_MWS!K26</f>
        <v/>
      </c>
      <c r="L923" s="672">
        <f>IX_Model_MWS!L26</f>
        <v/>
      </c>
      <c r="M923">
        <f>IX_Model_MWS!M26</f>
        <v/>
      </c>
      <c r="N923">
        <f>IX_Model_MWS!N26</f>
        <v/>
      </c>
      <c r="O923">
        <f>IX_Model_MWS!O26</f>
        <v/>
      </c>
      <c r="P923" s="628">
        <f>IX_Model_MWS!P26</f>
        <v/>
      </c>
      <c r="Q923" s="628">
        <f>IX_Model_MWS!Q26</f>
        <v/>
      </c>
      <c r="R923" s="628">
        <f>IX_Model_MWS!R26</f>
        <v/>
      </c>
      <c r="S923" s="628">
        <f>IX_Model_MWS!S26</f>
        <v/>
      </c>
      <c r="T923" s="628">
        <f>IX_Model_MWS!T26</f>
        <v/>
      </c>
      <c r="U923" s="628">
        <f>IX_Model_MWS!U26</f>
        <v/>
      </c>
      <c r="V923" s="628">
        <f>IX_Model_MWS!V26</f>
        <v/>
      </c>
      <c r="W923" s="628">
        <f>IX_Model_MWS!W26</f>
        <v/>
      </c>
      <c r="X923" s="628">
        <f>IX_Model_MWS!X26</f>
        <v/>
      </c>
      <c r="Y923" s="650">
        <f>IX_Model_MWS!Y26</f>
        <v/>
      </c>
      <c r="Z923" s="650">
        <f>IX_Model_MWS!Z26</f>
        <v/>
      </c>
      <c r="AA923" s="650">
        <f>IX_Model_MWS!AA26</f>
        <v/>
      </c>
      <c r="AB923" s="650">
        <f>IX_Model_MWS!AB26</f>
        <v/>
      </c>
      <c r="AC923" s="613">
        <f>IX_Model_MWS!AC26</f>
        <v/>
      </c>
      <c r="AD923" s="613">
        <f>IX_Model_MWS!AD26</f>
        <v/>
      </c>
      <c r="AE923" s="613">
        <f>IX_Model_MWS!AE26</f>
        <v/>
      </c>
      <c r="AF923" s="613">
        <f>IX_Model_MWS!AF26</f>
        <v/>
      </c>
      <c r="AG923" s="626">
        <f>IX_Model_MWS!AG26</f>
        <v/>
      </c>
      <c r="AH923" s="626">
        <f>IX_Model_MWS!AH26</f>
        <v/>
      </c>
      <c r="AI923" s="626">
        <f>IX_Model_MWS!AI26</f>
        <v/>
      </c>
      <c r="AJ923" s="626">
        <f>IX_Model_MWS!AJ26</f>
        <v/>
      </c>
      <c r="AK923" s="626">
        <f>IX_Model_MWS!AK26</f>
        <v/>
      </c>
      <c r="AL923" s="626">
        <f>IX_Model_MWS!AL26</f>
        <v/>
      </c>
      <c r="AM923" s="626">
        <f>IX_Model_MWS!AM26</f>
        <v/>
      </c>
      <c r="AN923" s="626">
        <f>IX_Model_MWS!AN26</f>
        <v/>
      </c>
      <c r="AO923" s="626">
        <f>IX_Model_MWS!AO26</f>
        <v/>
      </c>
      <c r="AP923" s="369">
        <f>IX_Model_MWS!AP26</f>
        <v/>
      </c>
      <c r="AQ923" s="369">
        <f>IX_Model_MWS!AQ26</f>
        <v/>
      </c>
      <c r="AR923" s="369">
        <f>IX_Model_MWS!AR26</f>
        <v/>
      </c>
      <c r="AS923" s="369">
        <f>IX_Model_MWS!AS26</f>
        <v/>
      </c>
      <c r="AT923" s="370">
        <f>IX_Model_MWS!AT26</f>
        <v/>
      </c>
      <c r="AU923" s="370">
        <f>IX_Model_MWS!AU26</f>
        <v/>
      </c>
      <c r="AV923" s="370">
        <f>IX_Model_MWS!AV26</f>
        <v/>
      </c>
      <c r="AW923" s="370">
        <f>IX_Model_MWS!AW26</f>
        <v/>
      </c>
      <c r="AX923">
        <f>IX_Model_MWS!AX26</f>
        <v/>
      </c>
      <c r="AY923">
        <f>IX_Model_MWS!AY26</f>
        <v/>
      </c>
      <c r="AZ923">
        <f>IX_Model_MWS!AZ26</f>
        <v/>
      </c>
      <c r="BA923">
        <f>IX_Model_MWS!BA26</f>
        <v/>
      </c>
      <c r="BB923">
        <f>IX_Model_MWS!BB26</f>
        <v/>
      </c>
      <c r="BC923">
        <f>IX_Model_MWS!BC26</f>
        <v/>
      </c>
      <c r="BD923">
        <f>IX_Model_MWS!BD26</f>
        <v/>
      </c>
      <c r="BE923">
        <f>IX_Model_MWS!BE26</f>
        <v/>
      </c>
      <c r="BF923">
        <f>IX_Model_MWS!BF26</f>
        <v/>
      </c>
      <c r="BG923">
        <f>IX_Model_MWS!BG26</f>
        <v/>
      </c>
      <c r="BH923">
        <f>IX_Model_MWS!BH26</f>
        <v/>
      </c>
      <c r="BI923">
        <f>IX_Model_MWS!BI26</f>
        <v/>
      </c>
      <c r="BJ923">
        <f>O923</f>
        <v/>
      </c>
      <c r="BK923">
        <f>SUM(AG923:AW923)</f>
        <v/>
      </c>
      <c r="BL923" s="531">
        <f>BJ923-BK923</f>
        <v/>
      </c>
      <c r="BM923" s="201" t="n"/>
    </row>
    <row r="924" hidden="1" outlineLevel="1" s="191">
      <c r="A924">
        <f>IX_Model_MWS!A27</f>
        <v/>
      </c>
      <c r="B924">
        <f>IX_Model_MWS!B27</f>
        <v/>
      </c>
      <c r="C924">
        <f>IX_Model_MWS!C27</f>
        <v/>
      </c>
      <c r="D924">
        <f>IX_Model_MWS!D27</f>
        <v/>
      </c>
      <c r="E924">
        <f>IX_Model_MWS!E27</f>
        <v/>
      </c>
      <c r="F924">
        <f>IX_Model_MWS!F27</f>
        <v/>
      </c>
      <c r="G924">
        <f>IX_Model_MWS!G27</f>
        <v/>
      </c>
      <c r="H924">
        <f>IX_Model_MWS!H27</f>
        <v/>
      </c>
      <c r="I924">
        <f>IX_Model_MWS!I27</f>
        <v/>
      </c>
      <c r="J924">
        <f>IX_Model_MWS!J27</f>
        <v/>
      </c>
      <c r="K924" s="672">
        <f>IX_Model_MWS!K27</f>
        <v/>
      </c>
      <c r="L924" s="672">
        <f>IX_Model_MWS!L27</f>
        <v/>
      </c>
      <c r="M924">
        <f>IX_Model_MWS!M27</f>
        <v/>
      </c>
      <c r="N924">
        <f>IX_Model_MWS!N27</f>
        <v/>
      </c>
      <c r="O924">
        <f>IX_Model_MWS!O27</f>
        <v/>
      </c>
      <c r="P924" s="628">
        <f>IX_Model_MWS!P27</f>
        <v/>
      </c>
      <c r="Q924" s="628">
        <f>IX_Model_MWS!Q27</f>
        <v/>
      </c>
      <c r="R924" s="628">
        <f>IX_Model_MWS!R27</f>
        <v/>
      </c>
      <c r="S924" s="628">
        <f>IX_Model_MWS!S27</f>
        <v/>
      </c>
      <c r="T924" s="628">
        <f>IX_Model_MWS!T27</f>
        <v/>
      </c>
      <c r="U924" s="628">
        <f>IX_Model_MWS!U27</f>
        <v/>
      </c>
      <c r="V924" s="628">
        <f>IX_Model_MWS!V27</f>
        <v/>
      </c>
      <c r="W924" s="628">
        <f>IX_Model_MWS!W27</f>
        <v/>
      </c>
      <c r="X924" s="628">
        <f>IX_Model_MWS!X27</f>
        <v/>
      </c>
      <c r="Y924" s="650">
        <f>IX_Model_MWS!Y27</f>
        <v/>
      </c>
      <c r="Z924" s="650">
        <f>IX_Model_MWS!Z27</f>
        <v/>
      </c>
      <c r="AA924" s="650">
        <f>IX_Model_MWS!AA27</f>
        <v/>
      </c>
      <c r="AB924" s="650">
        <f>IX_Model_MWS!AB27</f>
        <v/>
      </c>
      <c r="AC924" s="613">
        <f>IX_Model_MWS!AC27</f>
        <v/>
      </c>
      <c r="AD924" s="613">
        <f>IX_Model_MWS!AD27</f>
        <v/>
      </c>
      <c r="AE924" s="613">
        <f>IX_Model_MWS!AE27</f>
        <v/>
      </c>
      <c r="AF924" s="613">
        <f>IX_Model_MWS!AF27</f>
        <v/>
      </c>
      <c r="AG924" s="626">
        <f>IX_Model_MWS!AG27</f>
        <v/>
      </c>
      <c r="AH924" s="626">
        <f>IX_Model_MWS!AH27</f>
        <v/>
      </c>
      <c r="AI924" s="626">
        <f>IX_Model_MWS!AI27</f>
        <v/>
      </c>
      <c r="AJ924" s="626">
        <f>IX_Model_MWS!AJ27</f>
        <v/>
      </c>
      <c r="AK924" s="626">
        <f>IX_Model_MWS!AK27</f>
        <v/>
      </c>
      <c r="AL924" s="626">
        <f>IX_Model_MWS!AL27</f>
        <v/>
      </c>
      <c r="AM924" s="626">
        <f>IX_Model_MWS!AM27</f>
        <v/>
      </c>
      <c r="AN924" s="626">
        <f>IX_Model_MWS!AN27</f>
        <v/>
      </c>
      <c r="AO924" s="626">
        <f>IX_Model_MWS!AO27</f>
        <v/>
      </c>
      <c r="AP924" s="369">
        <f>IX_Model_MWS!AP27</f>
        <v/>
      </c>
      <c r="AQ924" s="369">
        <f>IX_Model_MWS!AQ27</f>
        <v/>
      </c>
      <c r="AR924" s="369">
        <f>IX_Model_MWS!AR27</f>
        <v/>
      </c>
      <c r="AS924" s="369">
        <f>IX_Model_MWS!AS27</f>
        <v/>
      </c>
      <c r="AT924" s="370">
        <f>IX_Model_MWS!AT27</f>
        <v/>
      </c>
      <c r="AU924" s="370">
        <f>IX_Model_MWS!AU27</f>
        <v/>
      </c>
      <c r="AV924" s="370">
        <f>IX_Model_MWS!AV27</f>
        <v/>
      </c>
      <c r="AW924" s="370">
        <f>IX_Model_MWS!AW27</f>
        <v/>
      </c>
      <c r="AX924">
        <f>IX_Model_MWS!AX27</f>
        <v/>
      </c>
      <c r="AY924">
        <f>IX_Model_MWS!AY27</f>
        <v/>
      </c>
      <c r="AZ924">
        <f>IX_Model_MWS!AZ27</f>
        <v/>
      </c>
      <c r="BA924">
        <f>IX_Model_MWS!BA27</f>
        <v/>
      </c>
      <c r="BB924">
        <f>IX_Model_MWS!BB27</f>
        <v/>
      </c>
      <c r="BC924">
        <f>IX_Model_MWS!BC27</f>
        <v/>
      </c>
      <c r="BD924">
        <f>IX_Model_MWS!BD27</f>
        <v/>
      </c>
      <c r="BE924">
        <f>IX_Model_MWS!BE27</f>
        <v/>
      </c>
      <c r="BF924">
        <f>IX_Model_MWS!BF27</f>
        <v/>
      </c>
      <c r="BG924">
        <f>IX_Model_MWS!BG27</f>
        <v/>
      </c>
      <c r="BH924">
        <f>IX_Model_MWS!BH27</f>
        <v/>
      </c>
      <c r="BI924">
        <f>IX_Model_MWS!BI27</f>
        <v/>
      </c>
      <c r="BJ924">
        <f>O924</f>
        <v/>
      </c>
      <c r="BK924">
        <f>SUM(AG924:AW924)</f>
        <v/>
      </c>
      <c r="BL924" s="531">
        <f>BJ924-BK924</f>
        <v/>
      </c>
      <c r="BM924" s="201" t="n"/>
    </row>
    <row r="925" hidden="1" outlineLevel="1" s="191">
      <c r="A925">
        <f>IX_Model_MWS!A28</f>
        <v/>
      </c>
      <c r="B925">
        <f>IX_Model_MWS!B28</f>
        <v/>
      </c>
      <c r="C925">
        <f>IX_Model_MWS!C28</f>
        <v/>
      </c>
      <c r="D925">
        <f>IX_Model_MWS!D28</f>
        <v/>
      </c>
      <c r="E925">
        <f>IX_Model_MWS!E28</f>
        <v/>
      </c>
      <c r="F925">
        <f>IX_Model_MWS!F28</f>
        <v/>
      </c>
      <c r="G925">
        <f>IX_Model_MWS!G28</f>
        <v/>
      </c>
      <c r="H925">
        <f>IX_Model_MWS!H28</f>
        <v/>
      </c>
      <c r="I925">
        <f>IX_Model_MWS!I28</f>
        <v/>
      </c>
      <c r="J925">
        <f>IX_Model_MWS!J28</f>
        <v/>
      </c>
      <c r="K925" s="672">
        <f>IX_Model_MWS!K28</f>
        <v/>
      </c>
      <c r="L925" s="672">
        <f>IX_Model_MWS!L28</f>
        <v/>
      </c>
      <c r="M925">
        <f>IX_Model_MWS!M28</f>
        <v/>
      </c>
      <c r="N925">
        <f>IX_Model_MWS!N28</f>
        <v/>
      </c>
      <c r="O925">
        <f>IX_Model_MWS!O28</f>
        <v/>
      </c>
      <c r="P925" s="628">
        <f>IX_Model_MWS!P28</f>
        <v/>
      </c>
      <c r="Q925" s="628">
        <f>IX_Model_MWS!Q28</f>
        <v/>
      </c>
      <c r="R925" s="628">
        <f>IX_Model_MWS!R28</f>
        <v/>
      </c>
      <c r="S925" s="628">
        <f>IX_Model_MWS!S28</f>
        <v/>
      </c>
      <c r="T925" s="628">
        <f>IX_Model_MWS!T28</f>
        <v/>
      </c>
      <c r="U925" s="628">
        <f>IX_Model_MWS!U28</f>
        <v/>
      </c>
      <c r="V925" s="628">
        <f>IX_Model_MWS!V28</f>
        <v/>
      </c>
      <c r="W925" s="628">
        <f>IX_Model_MWS!W28</f>
        <v/>
      </c>
      <c r="X925" s="628">
        <f>IX_Model_MWS!X28</f>
        <v/>
      </c>
      <c r="Y925" s="650">
        <f>IX_Model_MWS!Y28</f>
        <v/>
      </c>
      <c r="Z925" s="650">
        <f>IX_Model_MWS!Z28</f>
        <v/>
      </c>
      <c r="AA925" s="650">
        <f>IX_Model_MWS!AA28</f>
        <v/>
      </c>
      <c r="AB925" s="650">
        <f>IX_Model_MWS!AB28</f>
        <v/>
      </c>
      <c r="AC925" s="613">
        <f>IX_Model_MWS!AC28</f>
        <v/>
      </c>
      <c r="AD925" s="613">
        <f>IX_Model_MWS!AD28</f>
        <v/>
      </c>
      <c r="AE925" s="613">
        <f>IX_Model_MWS!AE28</f>
        <v/>
      </c>
      <c r="AF925" s="613">
        <f>IX_Model_MWS!AF28</f>
        <v/>
      </c>
      <c r="AG925" s="626">
        <f>IX_Model_MWS!AG28</f>
        <v/>
      </c>
      <c r="AH925" s="626">
        <f>IX_Model_MWS!AH28</f>
        <v/>
      </c>
      <c r="AI925" s="626">
        <f>IX_Model_MWS!AI28</f>
        <v/>
      </c>
      <c r="AJ925" s="626">
        <f>IX_Model_MWS!AJ28</f>
        <v/>
      </c>
      <c r="AK925" s="626">
        <f>IX_Model_MWS!AK28</f>
        <v/>
      </c>
      <c r="AL925" s="626">
        <f>IX_Model_MWS!AL28</f>
        <v/>
      </c>
      <c r="AM925" s="626">
        <f>IX_Model_MWS!AM28</f>
        <v/>
      </c>
      <c r="AN925" s="626">
        <f>IX_Model_MWS!AN28</f>
        <v/>
      </c>
      <c r="AO925" s="626">
        <f>IX_Model_MWS!AO28</f>
        <v/>
      </c>
      <c r="AP925" s="369">
        <f>IX_Model_MWS!AP28</f>
        <v/>
      </c>
      <c r="AQ925" s="369">
        <f>IX_Model_MWS!AQ28</f>
        <v/>
      </c>
      <c r="AR925" s="369">
        <f>IX_Model_MWS!AR28</f>
        <v/>
      </c>
      <c r="AS925" s="369">
        <f>IX_Model_MWS!AS28</f>
        <v/>
      </c>
      <c r="AT925" s="370">
        <f>IX_Model_MWS!AT28</f>
        <v/>
      </c>
      <c r="AU925" s="370">
        <f>IX_Model_MWS!AU28</f>
        <v/>
      </c>
      <c r="AV925" s="370">
        <f>IX_Model_MWS!AV28</f>
        <v/>
      </c>
      <c r="AW925" s="370">
        <f>IX_Model_MWS!AW28</f>
        <v/>
      </c>
      <c r="AX925">
        <f>IX_Model_MWS!AX28</f>
        <v/>
      </c>
      <c r="AY925">
        <f>IX_Model_MWS!AY28</f>
        <v/>
      </c>
      <c r="AZ925">
        <f>IX_Model_MWS!AZ28</f>
        <v/>
      </c>
      <c r="BA925">
        <f>IX_Model_MWS!BA28</f>
        <v/>
      </c>
      <c r="BB925">
        <f>IX_Model_MWS!BB28</f>
        <v/>
      </c>
      <c r="BC925">
        <f>IX_Model_MWS!BC28</f>
        <v/>
      </c>
      <c r="BD925">
        <f>IX_Model_MWS!BD28</f>
        <v/>
      </c>
      <c r="BE925">
        <f>IX_Model_MWS!BE28</f>
        <v/>
      </c>
      <c r="BF925">
        <f>IX_Model_MWS!BF28</f>
        <v/>
      </c>
      <c r="BG925">
        <f>IX_Model_MWS!BG28</f>
        <v/>
      </c>
      <c r="BH925">
        <f>IX_Model_MWS!BH28</f>
        <v/>
      </c>
      <c r="BI925">
        <f>IX_Model_MWS!BI28</f>
        <v/>
      </c>
      <c r="BJ925">
        <f>O925</f>
        <v/>
      </c>
      <c r="BK925">
        <f>SUM(AG925:AW925)</f>
        <v/>
      </c>
      <c r="BL925" s="531">
        <f>BJ925-BK925</f>
        <v/>
      </c>
      <c r="BM925" s="201" t="n"/>
    </row>
    <row r="926" hidden="1" outlineLevel="1" s="191">
      <c r="A926">
        <f>IX_Model_MWS!A29</f>
        <v/>
      </c>
      <c r="B926">
        <f>IX_Model_MWS!B29</f>
        <v/>
      </c>
      <c r="C926">
        <f>IX_Model_MWS!C29</f>
        <v/>
      </c>
      <c r="D926">
        <f>IX_Model_MWS!D29</f>
        <v/>
      </c>
      <c r="E926">
        <f>IX_Model_MWS!E29</f>
        <v/>
      </c>
      <c r="F926">
        <f>IX_Model_MWS!F29</f>
        <v/>
      </c>
      <c r="G926">
        <f>IX_Model_MWS!G29</f>
        <v/>
      </c>
      <c r="H926">
        <f>IX_Model_MWS!H29</f>
        <v/>
      </c>
      <c r="I926">
        <f>IX_Model_MWS!I29</f>
        <v/>
      </c>
      <c r="J926">
        <f>IX_Model_MWS!J29</f>
        <v/>
      </c>
      <c r="K926" s="672">
        <f>IX_Model_MWS!K29</f>
        <v/>
      </c>
      <c r="L926" s="672">
        <f>IX_Model_MWS!L29</f>
        <v/>
      </c>
      <c r="M926">
        <f>IX_Model_MWS!M29</f>
        <v/>
      </c>
      <c r="N926">
        <f>IX_Model_MWS!N29</f>
        <v/>
      </c>
      <c r="O926">
        <f>IX_Model_MWS!O29</f>
        <v/>
      </c>
      <c r="P926" s="628">
        <f>IX_Model_MWS!P29</f>
        <v/>
      </c>
      <c r="Q926" s="628">
        <f>IX_Model_MWS!Q29</f>
        <v/>
      </c>
      <c r="R926" s="628">
        <f>IX_Model_MWS!R29</f>
        <v/>
      </c>
      <c r="S926" s="628">
        <f>IX_Model_MWS!S29</f>
        <v/>
      </c>
      <c r="T926" s="628">
        <f>IX_Model_MWS!T29</f>
        <v/>
      </c>
      <c r="U926" s="628">
        <f>IX_Model_MWS!U29</f>
        <v/>
      </c>
      <c r="V926" s="628">
        <f>IX_Model_MWS!V29</f>
        <v/>
      </c>
      <c r="W926" s="628">
        <f>IX_Model_MWS!W29</f>
        <v/>
      </c>
      <c r="X926" s="628">
        <f>IX_Model_MWS!X29</f>
        <v/>
      </c>
      <c r="Y926" s="650">
        <f>IX_Model_MWS!Y29</f>
        <v/>
      </c>
      <c r="Z926" s="650">
        <f>IX_Model_MWS!Z29</f>
        <v/>
      </c>
      <c r="AA926" s="650">
        <f>IX_Model_MWS!AA29</f>
        <v/>
      </c>
      <c r="AB926" s="650">
        <f>IX_Model_MWS!AB29</f>
        <v/>
      </c>
      <c r="AC926" s="613">
        <f>IX_Model_MWS!AC29</f>
        <v/>
      </c>
      <c r="AD926" s="613">
        <f>IX_Model_MWS!AD29</f>
        <v/>
      </c>
      <c r="AE926" s="613">
        <f>IX_Model_MWS!AE29</f>
        <v/>
      </c>
      <c r="AF926" s="613">
        <f>IX_Model_MWS!AF29</f>
        <v/>
      </c>
      <c r="AG926" s="626">
        <f>IX_Model_MWS!AG29</f>
        <v/>
      </c>
      <c r="AH926" s="626">
        <f>IX_Model_MWS!AH29</f>
        <v/>
      </c>
      <c r="AI926" s="626">
        <f>IX_Model_MWS!AI29</f>
        <v/>
      </c>
      <c r="AJ926" s="626">
        <f>IX_Model_MWS!AJ29</f>
        <v/>
      </c>
      <c r="AK926" s="626">
        <f>IX_Model_MWS!AK29</f>
        <v/>
      </c>
      <c r="AL926" s="626">
        <f>IX_Model_MWS!AL29</f>
        <v/>
      </c>
      <c r="AM926" s="626">
        <f>IX_Model_MWS!AM29</f>
        <v/>
      </c>
      <c r="AN926" s="626">
        <f>IX_Model_MWS!AN29</f>
        <v/>
      </c>
      <c r="AO926" s="626">
        <f>IX_Model_MWS!AO29</f>
        <v/>
      </c>
      <c r="AP926" s="369">
        <f>IX_Model_MWS!AP29</f>
        <v/>
      </c>
      <c r="AQ926" s="369">
        <f>IX_Model_MWS!AQ29</f>
        <v/>
      </c>
      <c r="AR926" s="369">
        <f>IX_Model_MWS!AR29</f>
        <v/>
      </c>
      <c r="AS926" s="369">
        <f>IX_Model_MWS!AS29</f>
        <v/>
      </c>
      <c r="AT926" s="370">
        <f>IX_Model_MWS!AT29</f>
        <v/>
      </c>
      <c r="AU926" s="370">
        <f>IX_Model_MWS!AU29</f>
        <v/>
      </c>
      <c r="AV926" s="370">
        <f>IX_Model_MWS!AV29</f>
        <v/>
      </c>
      <c r="AW926" s="370">
        <f>IX_Model_MWS!AW29</f>
        <v/>
      </c>
      <c r="AX926">
        <f>IX_Model_MWS!AX29</f>
        <v/>
      </c>
      <c r="AY926">
        <f>IX_Model_MWS!AY29</f>
        <v/>
      </c>
      <c r="AZ926">
        <f>IX_Model_MWS!AZ29</f>
        <v/>
      </c>
      <c r="BA926">
        <f>IX_Model_MWS!BA29</f>
        <v/>
      </c>
      <c r="BB926">
        <f>IX_Model_MWS!BB29</f>
        <v/>
      </c>
      <c r="BC926">
        <f>IX_Model_MWS!BC29</f>
        <v/>
      </c>
      <c r="BD926">
        <f>IX_Model_MWS!BD29</f>
        <v/>
      </c>
      <c r="BE926">
        <f>IX_Model_MWS!BE29</f>
        <v/>
      </c>
      <c r="BF926">
        <f>IX_Model_MWS!BF29</f>
        <v/>
      </c>
      <c r="BG926">
        <f>IX_Model_MWS!BG29</f>
        <v/>
      </c>
      <c r="BH926">
        <f>IX_Model_MWS!BH29</f>
        <v/>
      </c>
      <c r="BI926">
        <f>IX_Model_MWS!BI29</f>
        <v/>
      </c>
      <c r="BJ926">
        <f>O926</f>
        <v/>
      </c>
      <c r="BK926">
        <f>SUM(AG926:AW926)</f>
        <v/>
      </c>
      <c r="BL926" s="531">
        <f>BJ926-BK926</f>
        <v/>
      </c>
      <c r="BM926" s="201" t="n"/>
    </row>
    <row r="927" hidden="1" outlineLevel="1" s="191">
      <c r="A927">
        <f>IX_Model_MWS!A30</f>
        <v/>
      </c>
      <c r="B927">
        <f>IX_Model_MWS!B30</f>
        <v/>
      </c>
      <c r="C927">
        <f>IX_Model_MWS!C30</f>
        <v/>
      </c>
      <c r="D927">
        <f>IX_Model_MWS!D30</f>
        <v/>
      </c>
      <c r="E927">
        <f>IX_Model_MWS!E30</f>
        <v/>
      </c>
      <c r="F927">
        <f>IX_Model_MWS!F30</f>
        <v/>
      </c>
      <c r="G927">
        <f>IX_Model_MWS!G30</f>
        <v/>
      </c>
      <c r="H927">
        <f>IX_Model_MWS!H30</f>
        <v/>
      </c>
      <c r="I927">
        <f>IX_Model_MWS!I30</f>
        <v/>
      </c>
      <c r="J927">
        <f>IX_Model_MWS!J30</f>
        <v/>
      </c>
      <c r="K927" s="672">
        <f>IX_Model_MWS!K30</f>
        <v/>
      </c>
      <c r="L927" s="672">
        <f>IX_Model_MWS!L30</f>
        <v/>
      </c>
      <c r="M927">
        <f>IX_Model_MWS!M30</f>
        <v/>
      </c>
      <c r="N927">
        <f>IX_Model_MWS!N30</f>
        <v/>
      </c>
      <c r="O927">
        <f>IX_Model_MWS!O30</f>
        <v/>
      </c>
      <c r="P927" s="628">
        <f>IX_Model_MWS!P30</f>
        <v/>
      </c>
      <c r="Q927" s="628">
        <f>IX_Model_MWS!Q30</f>
        <v/>
      </c>
      <c r="R927" s="628">
        <f>IX_Model_MWS!R30</f>
        <v/>
      </c>
      <c r="S927" s="628">
        <f>IX_Model_MWS!S30</f>
        <v/>
      </c>
      <c r="T927" s="628">
        <f>IX_Model_MWS!T30</f>
        <v/>
      </c>
      <c r="U927" s="628">
        <f>IX_Model_MWS!U30</f>
        <v/>
      </c>
      <c r="V927" s="628">
        <f>IX_Model_MWS!V30</f>
        <v/>
      </c>
      <c r="W927" s="628">
        <f>IX_Model_MWS!W30</f>
        <v/>
      </c>
      <c r="X927" s="628">
        <f>IX_Model_MWS!X30</f>
        <v/>
      </c>
      <c r="Y927" s="650">
        <f>IX_Model_MWS!Y30</f>
        <v/>
      </c>
      <c r="Z927" s="650">
        <f>IX_Model_MWS!Z30</f>
        <v/>
      </c>
      <c r="AA927" s="650">
        <f>IX_Model_MWS!AA30</f>
        <v/>
      </c>
      <c r="AB927" s="650">
        <f>IX_Model_MWS!AB30</f>
        <v/>
      </c>
      <c r="AC927" s="613">
        <f>IX_Model_MWS!AC30</f>
        <v/>
      </c>
      <c r="AD927" s="613">
        <f>IX_Model_MWS!AD30</f>
        <v/>
      </c>
      <c r="AE927" s="613">
        <f>IX_Model_MWS!AE30</f>
        <v/>
      </c>
      <c r="AF927" s="613">
        <f>IX_Model_MWS!AF30</f>
        <v/>
      </c>
      <c r="AG927" s="626">
        <f>IX_Model_MWS!AG30</f>
        <v/>
      </c>
      <c r="AH927" s="626">
        <f>IX_Model_MWS!AH30</f>
        <v/>
      </c>
      <c r="AI927" s="626">
        <f>IX_Model_MWS!AI30</f>
        <v/>
      </c>
      <c r="AJ927" s="626">
        <f>IX_Model_MWS!AJ30</f>
        <v/>
      </c>
      <c r="AK927" s="626">
        <f>IX_Model_MWS!AK30</f>
        <v/>
      </c>
      <c r="AL927" s="626">
        <f>IX_Model_MWS!AL30</f>
        <v/>
      </c>
      <c r="AM927" s="626">
        <f>IX_Model_MWS!AM30</f>
        <v/>
      </c>
      <c r="AN927" s="626">
        <f>IX_Model_MWS!AN30</f>
        <v/>
      </c>
      <c r="AO927" s="626">
        <f>IX_Model_MWS!AO30</f>
        <v/>
      </c>
      <c r="AP927" s="369">
        <f>IX_Model_MWS!AP30</f>
        <v/>
      </c>
      <c r="AQ927" s="369">
        <f>IX_Model_MWS!AQ30</f>
        <v/>
      </c>
      <c r="AR927" s="369">
        <f>IX_Model_MWS!AR30</f>
        <v/>
      </c>
      <c r="AS927" s="369">
        <f>IX_Model_MWS!AS30</f>
        <v/>
      </c>
      <c r="AT927" s="370">
        <f>IX_Model_MWS!AT30</f>
        <v/>
      </c>
      <c r="AU927" s="370">
        <f>IX_Model_MWS!AU30</f>
        <v/>
      </c>
      <c r="AV927" s="370">
        <f>IX_Model_MWS!AV30</f>
        <v/>
      </c>
      <c r="AW927" s="370">
        <f>IX_Model_MWS!AW30</f>
        <v/>
      </c>
      <c r="AX927">
        <f>IX_Model_MWS!AX30</f>
        <v/>
      </c>
      <c r="AY927">
        <f>IX_Model_MWS!AY30</f>
        <v/>
      </c>
      <c r="AZ927">
        <f>IX_Model_MWS!AZ30</f>
        <v/>
      </c>
      <c r="BA927">
        <f>IX_Model_MWS!BA30</f>
        <v/>
      </c>
      <c r="BB927">
        <f>IX_Model_MWS!BB30</f>
        <v/>
      </c>
      <c r="BC927">
        <f>IX_Model_MWS!BC30</f>
        <v/>
      </c>
      <c r="BD927">
        <f>IX_Model_MWS!BD30</f>
        <v/>
      </c>
      <c r="BE927">
        <f>IX_Model_MWS!BE30</f>
        <v/>
      </c>
      <c r="BF927">
        <f>IX_Model_MWS!BF30</f>
        <v/>
      </c>
      <c r="BG927">
        <f>IX_Model_MWS!BG30</f>
        <v/>
      </c>
      <c r="BH927">
        <f>IX_Model_MWS!BH30</f>
        <v/>
      </c>
      <c r="BI927">
        <f>IX_Model_MWS!BI30</f>
        <v/>
      </c>
      <c r="BJ927">
        <f>O927</f>
        <v/>
      </c>
      <c r="BK927">
        <f>SUM(AG927:AW927)</f>
        <v/>
      </c>
      <c r="BL927" s="531">
        <f>BJ927-BK927</f>
        <v/>
      </c>
      <c r="BM927" s="201" t="n"/>
    </row>
    <row r="928" hidden="1" outlineLevel="1" s="191">
      <c r="A928">
        <f>IX_Model_MWS!A31</f>
        <v/>
      </c>
      <c r="B928">
        <f>IX_Model_MWS!B31</f>
        <v/>
      </c>
      <c r="C928">
        <f>IX_Model_MWS!C31</f>
        <v/>
      </c>
      <c r="D928">
        <f>IX_Model_MWS!D31</f>
        <v/>
      </c>
      <c r="E928">
        <f>IX_Model_MWS!E31</f>
        <v/>
      </c>
      <c r="F928">
        <f>IX_Model_MWS!F31</f>
        <v/>
      </c>
      <c r="G928">
        <f>IX_Model_MWS!G31</f>
        <v/>
      </c>
      <c r="H928">
        <f>IX_Model_MWS!H31</f>
        <v/>
      </c>
      <c r="I928">
        <f>IX_Model_MWS!I31</f>
        <v/>
      </c>
      <c r="J928">
        <f>IX_Model_MWS!J31</f>
        <v/>
      </c>
      <c r="K928" s="672">
        <f>IX_Model_MWS!K31</f>
        <v/>
      </c>
      <c r="L928" s="672">
        <f>IX_Model_MWS!L31</f>
        <v/>
      </c>
      <c r="M928">
        <f>IX_Model_MWS!M31</f>
        <v/>
      </c>
      <c r="N928">
        <f>IX_Model_MWS!N31</f>
        <v/>
      </c>
      <c r="O928">
        <f>IX_Model_MWS!O31</f>
        <v/>
      </c>
      <c r="P928" s="628">
        <f>IX_Model_MWS!P31</f>
        <v/>
      </c>
      <c r="Q928" s="628">
        <f>IX_Model_MWS!Q31</f>
        <v/>
      </c>
      <c r="R928" s="628">
        <f>IX_Model_MWS!R31</f>
        <v/>
      </c>
      <c r="S928" s="628">
        <f>IX_Model_MWS!S31</f>
        <v/>
      </c>
      <c r="T928" s="628">
        <f>IX_Model_MWS!T31</f>
        <v/>
      </c>
      <c r="U928" s="628">
        <f>IX_Model_MWS!U31</f>
        <v/>
      </c>
      <c r="V928" s="628">
        <f>IX_Model_MWS!V31</f>
        <v/>
      </c>
      <c r="W928" s="628">
        <f>IX_Model_MWS!W31</f>
        <v/>
      </c>
      <c r="X928" s="628">
        <f>IX_Model_MWS!X31</f>
        <v/>
      </c>
      <c r="Y928" s="650">
        <f>IX_Model_MWS!Y31</f>
        <v/>
      </c>
      <c r="Z928" s="650">
        <f>IX_Model_MWS!Z31</f>
        <v/>
      </c>
      <c r="AA928" s="650">
        <f>IX_Model_MWS!AA31</f>
        <v/>
      </c>
      <c r="AB928" s="650">
        <f>IX_Model_MWS!AB31</f>
        <v/>
      </c>
      <c r="AC928" s="613">
        <f>IX_Model_MWS!AC31</f>
        <v/>
      </c>
      <c r="AD928" s="613">
        <f>IX_Model_MWS!AD31</f>
        <v/>
      </c>
      <c r="AE928" s="613">
        <f>IX_Model_MWS!AE31</f>
        <v/>
      </c>
      <c r="AF928" s="613">
        <f>IX_Model_MWS!AF31</f>
        <v/>
      </c>
      <c r="AG928" s="626">
        <f>IX_Model_MWS!AG31</f>
        <v/>
      </c>
      <c r="AH928" s="626">
        <f>IX_Model_MWS!AH31</f>
        <v/>
      </c>
      <c r="AI928" s="626">
        <f>IX_Model_MWS!AI31</f>
        <v/>
      </c>
      <c r="AJ928" s="626">
        <f>IX_Model_MWS!AJ31</f>
        <v/>
      </c>
      <c r="AK928" s="626">
        <f>IX_Model_MWS!AK31</f>
        <v/>
      </c>
      <c r="AL928" s="626">
        <f>IX_Model_MWS!AL31</f>
        <v/>
      </c>
      <c r="AM928" s="626">
        <f>IX_Model_MWS!AM31</f>
        <v/>
      </c>
      <c r="AN928" s="626">
        <f>IX_Model_MWS!AN31</f>
        <v/>
      </c>
      <c r="AO928" s="626">
        <f>IX_Model_MWS!AO31</f>
        <v/>
      </c>
      <c r="AP928" s="369">
        <f>IX_Model_MWS!AP31</f>
        <v/>
      </c>
      <c r="AQ928" s="369">
        <f>IX_Model_MWS!AQ31</f>
        <v/>
      </c>
      <c r="AR928" s="369">
        <f>IX_Model_MWS!AR31</f>
        <v/>
      </c>
      <c r="AS928" s="369">
        <f>IX_Model_MWS!AS31</f>
        <v/>
      </c>
      <c r="AT928" s="370">
        <f>IX_Model_MWS!AT31</f>
        <v/>
      </c>
      <c r="AU928" s="370">
        <f>IX_Model_MWS!AU31</f>
        <v/>
      </c>
      <c r="AV928" s="370">
        <f>IX_Model_MWS!AV31</f>
        <v/>
      </c>
      <c r="AW928" s="370">
        <f>IX_Model_MWS!AW31</f>
        <v/>
      </c>
      <c r="AX928">
        <f>IX_Model_MWS!AX31</f>
        <v/>
      </c>
      <c r="AY928">
        <f>IX_Model_MWS!AY31</f>
        <v/>
      </c>
      <c r="AZ928">
        <f>IX_Model_MWS!AZ31</f>
        <v/>
      </c>
      <c r="BA928">
        <f>IX_Model_MWS!BA31</f>
        <v/>
      </c>
      <c r="BB928">
        <f>IX_Model_MWS!BB31</f>
        <v/>
      </c>
      <c r="BC928">
        <f>IX_Model_MWS!BC31</f>
        <v/>
      </c>
      <c r="BD928">
        <f>IX_Model_MWS!BD31</f>
        <v/>
      </c>
      <c r="BE928">
        <f>IX_Model_MWS!BE31</f>
        <v/>
      </c>
      <c r="BF928">
        <f>IX_Model_MWS!BF31</f>
        <v/>
      </c>
      <c r="BG928">
        <f>IX_Model_MWS!BG31</f>
        <v/>
      </c>
      <c r="BH928">
        <f>IX_Model_MWS!BH31</f>
        <v/>
      </c>
      <c r="BI928">
        <f>IX_Model_MWS!BI31</f>
        <v/>
      </c>
      <c r="BJ928">
        <f>O928</f>
        <v/>
      </c>
      <c r="BK928">
        <f>SUM(AG928:AW928)</f>
        <v/>
      </c>
      <c r="BL928" s="531">
        <f>BJ928-BK928</f>
        <v/>
      </c>
      <c r="BM928" s="201" t="n"/>
    </row>
    <row r="929" hidden="1" outlineLevel="1" s="191">
      <c r="A929">
        <f>IX_Model_MWS!A32</f>
        <v/>
      </c>
      <c r="B929">
        <f>IX_Model_MWS!B32</f>
        <v/>
      </c>
      <c r="C929">
        <f>IX_Model_MWS!C32</f>
        <v/>
      </c>
      <c r="D929">
        <f>IX_Model_MWS!D32</f>
        <v/>
      </c>
      <c r="E929">
        <f>IX_Model_MWS!E32</f>
        <v/>
      </c>
      <c r="F929">
        <f>IX_Model_MWS!F32</f>
        <v/>
      </c>
      <c r="G929">
        <f>IX_Model_MWS!G32</f>
        <v/>
      </c>
      <c r="H929">
        <f>IX_Model_MWS!H32</f>
        <v/>
      </c>
      <c r="I929">
        <f>IX_Model_MWS!I32</f>
        <v/>
      </c>
      <c r="J929">
        <f>IX_Model_MWS!J32</f>
        <v/>
      </c>
      <c r="K929" s="672">
        <f>IX_Model_MWS!K32</f>
        <v/>
      </c>
      <c r="L929" s="672">
        <f>IX_Model_MWS!L32</f>
        <v/>
      </c>
      <c r="M929">
        <f>IX_Model_MWS!M32</f>
        <v/>
      </c>
      <c r="N929">
        <f>IX_Model_MWS!N32</f>
        <v/>
      </c>
      <c r="O929">
        <f>IX_Model_MWS!O32</f>
        <v/>
      </c>
      <c r="P929" s="628">
        <f>IX_Model_MWS!P32</f>
        <v/>
      </c>
      <c r="Q929" s="628">
        <f>IX_Model_MWS!Q32</f>
        <v/>
      </c>
      <c r="R929" s="628">
        <f>IX_Model_MWS!R32</f>
        <v/>
      </c>
      <c r="S929" s="628">
        <f>IX_Model_MWS!S32</f>
        <v/>
      </c>
      <c r="T929" s="628">
        <f>IX_Model_MWS!T32</f>
        <v/>
      </c>
      <c r="U929" s="628">
        <f>IX_Model_MWS!U32</f>
        <v/>
      </c>
      <c r="V929" s="628">
        <f>IX_Model_MWS!V32</f>
        <v/>
      </c>
      <c r="W929" s="628">
        <f>IX_Model_MWS!W32</f>
        <v/>
      </c>
      <c r="X929" s="628">
        <f>IX_Model_MWS!X32</f>
        <v/>
      </c>
      <c r="Y929" s="650">
        <f>IX_Model_MWS!Y32</f>
        <v/>
      </c>
      <c r="Z929" s="650">
        <f>IX_Model_MWS!Z32</f>
        <v/>
      </c>
      <c r="AA929" s="650">
        <f>IX_Model_MWS!AA32</f>
        <v/>
      </c>
      <c r="AB929" s="650">
        <f>IX_Model_MWS!AB32</f>
        <v/>
      </c>
      <c r="AC929" s="613">
        <f>IX_Model_MWS!AC32</f>
        <v/>
      </c>
      <c r="AD929" s="613">
        <f>IX_Model_MWS!AD32</f>
        <v/>
      </c>
      <c r="AE929" s="613">
        <f>IX_Model_MWS!AE32</f>
        <v/>
      </c>
      <c r="AF929" s="613">
        <f>IX_Model_MWS!AF32</f>
        <v/>
      </c>
      <c r="AG929" s="626">
        <f>IX_Model_MWS!AG32</f>
        <v/>
      </c>
      <c r="AH929" s="626">
        <f>IX_Model_MWS!AH32</f>
        <v/>
      </c>
      <c r="AI929" s="626">
        <f>IX_Model_MWS!AI32</f>
        <v/>
      </c>
      <c r="AJ929" s="626">
        <f>IX_Model_MWS!AJ32</f>
        <v/>
      </c>
      <c r="AK929" s="626">
        <f>IX_Model_MWS!AK32</f>
        <v/>
      </c>
      <c r="AL929" s="626">
        <f>IX_Model_MWS!AL32</f>
        <v/>
      </c>
      <c r="AM929" s="626">
        <f>IX_Model_MWS!AM32</f>
        <v/>
      </c>
      <c r="AN929" s="626">
        <f>IX_Model_MWS!AN32</f>
        <v/>
      </c>
      <c r="AO929" s="626">
        <f>IX_Model_MWS!AO32</f>
        <v/>
      </c>
      <c r="AP929" s="369">
        <f>IX_Model_MWS!AP32</f>
        <v/>
      </c>
      <c r="AQ929" s="369">
        <f>IX_Model_MWS!AQ32</f>
        <v/>
      </c>
      <c r="AR929" s="369">
        <f>IX_Model_MWS!AR32</f>
        <v/>
      </c>
      <c r="AS929" s="369">
        <f>IX_Model_MWS!AS32</f>
        <v/>
      </c>
      <c r="AT929" s="370">
        <f>IX_Model_MWS!AT32</f>
        <v/>
      </c>
      <c r="AU929" s="370">
        <f>IX_Model_MWS!AU32</f>
        <v/>
      </c>
      <c r="AV929" s="370">
        <f>IX_Model_MWS!AV32</f>
        <v/>
      </c>
      <c r="AW929" s="370">
        <f>IX_Model_MWS!AW32</f>
        <v/>
      </c>
      <c r="AX929">
        <f>IX_Model_MWS!AX32</f>
        <v/>
      </c>
      <c r="AY929">
        <f>IX_Model_MWS!AY32</f>
        <v/>
      </c>
      <c r="AZ929">
        <f>IX_Model_MWS!AZ32</f>
        <v/>
      </c>
      <c r="BA929">
        <f>IX_Model_MWS!BA32</f>
        <v/>
      </c>
      <c r="BB929">
        <f>IX_Model_MWS!BB32</f>
        <v/>
      </c>
      <c r="BC929">
        <f>IX_Model_MWS!BC32</f>
        <v/>
      </c>
      <c r="BD929">
        <f>IX_Model_MWS!BD32</f>
        <v/>
      </c>
      <c r="BE929">
        <f>IX_Model_MWS!BE32</f>
        <v/>
      </c>
      <c r="BF929">
        <f>IX_Model_MWS!BF32</f>
        <v/>
      </c>
      <c r="BG929">
        <f>IX_Model_MWS!BG32</f>
        <v/>
      </c>
      <c r="BH929">
        <f>IX_Model_MWS!BH32</f>
        <v/>
      </c>
      <c r="BI929">
        <f>IX_Model_MWS!BI32</f>
        <v/>
      </c>
      <c r="BJ929">
        <f>O929</f>
        <v/>
      </c>
      <c r="BK929">
        <f>SUM(AG929:AW929)</f>
        <v/>
      </c>
      <c r="BL929" s="531">
        <f>BJ929-BK929</f>
        <v/>
      </c>
      <c r="BM929" s="201" t="n"/>
    </row>
    <row r="930" hidden="1" outlineLevel="1" s="191">
      <c r="A930">
        <f>IX_Model_MWS!A33</f>
        <v/>
      </c>
      <c r="B930">
        <f>IX_Model_MWS!B33</f>
        <v/>
      </c>
      <c r="C930">
        <f>IX_Model_MWS!C33</f>
        <v/>
      </c>
      <c r="D930">
        <f>IX_Model_MWS!D33</f>
        <v/>
      </c>
      <c r="E930">
        <f>IX_Model_MWS!E33</f>
        <v/>
      </c>
      <c r="F930">
        <f>IX_Model_MWS!F33</f>
        <v/>
      </c>
      <c r="G930">
        <f>IX_Model_MWS!G33</f>
        <v/>
      </c>
      <c r="H930">
        <f>IX_Model_MWS!H33</f>
        <v/>
      </c>
      <c r="I930">
        <f>IX_Model_MWS!I33</f>
        <v/>
      </c>
      <c r="J930">
        <f>IX_Model_MWS!J33</f>
        <v/>
      </c>
      <c r="K930" s="672">
        <f>IX_Model_MWS!K33</f>
        <v/>
      </c>
      <c r="L930" s="672">
        <f>IX_Model_MWS!L33</f>
        <v/>
      </c>
      <c r="M930">
        <f>IX_Model_MWS!M33</f>
        <v/>
      </c>
      <c r="N930">
        <f>IX_Model_MWS!N33</f>
        <v/>
      </c>
      <c r="O930">
        <f>IX_Model_MWS!O33</f>
        <v/>
      </c>
      <c r="P930" s="628">
        <f>IX_Model_MWS!P33</f>
        <v/>
      </c>
      <c r="Q930" s="628">
        <f>IX_Model_MWS!Q33</f>
        <v/>
      </c>
      <c r="R930" s="628">
        <f>IX_Model_MWS!R33</f>
        <v/>
      </c>
      <c r="S930" s="628">
        <f>IX_Model_MWS!S33</f>
        <v/>
      </c>
      <c r="T930" s="628">
        <f>IX_Model_MWS!T33</f>
        <v/>
      </c>
      <c r="U930" s="628">
        <f>IX_Model_MWS!U33</f>
        <v/>
      </c>
      <c r="V930" s="628">
        <f>IX_Model_MWS!V33</f>
        <v/>
      </c>
      <c r="W930" s="628">
        <f>IX_Model_MWS!W33</f>
        <v/>
      </c>
      <c r="X930" s="628">
        <f>IX_Model_MWS!X33</f>
        <v/>
      </c>
      <c r="Y930" s="650">
        <f>IX_Model_MWS!Y33</f>
        <v/>
      </c>
      <c r="Z930" s="650">
        <f>IX_Model_MWS!Z33</f>
        <v/>
      </c>
      <c r="AA930" s="650">
        <f>IX_Model_MWS!AA33</f>
        <v/>
      </c>
      <c r="AB930" s="650">
        <f>IX_Model_MWS!AB33</f>
        <v/>
      </c>
      <c r="AC930" s="613">
        <f>IX_Model_MWS!AC33</f>
        <v/>
      </c>
      <c r="AD930" s="613">
        <f>IX_Model_MWS!AD33</f>
        <v/>
      </c>
      <c r="AE930" s="613">
        <f>IX_Model_MWS!AE33</f>
        <v/>
      </c>
      <c r="AF930" s="613">
        <f>IX_Model_MWS!AF33</f>
        <v/>
      </c>
      <c r="AG930" s="626">
        <f>IX_Model_MWS!AG33</f>
        <v/>
      </c>
      <c r="AH930" s="626">
        <f>IX_Model_MWS!AH33</f>
        <v/>
      </c>
      <c r="AI930" s="626">
        <f>IX_Model_MWS!AI33</f>
        <v/>
      </c>
      <c r="AJ930" s="626">
        <f>IX_Model_MWS!AJ33</f>
        <v/>
      </c>
      <c r="AK930" s="626">
        <f>IX_Model_MWS!AK33</f>
        <v/>
      </c>
      <c r="AL930" s="626">
        <f>IX_Model_MWS!AL33</f>
        <v/>
      </c>
      <c r="AM930" s="626">
        <f>IX_Model_MWS!AM33</f>
        <v/>
      </c>
      <c r="AN930" s="626">
        <f>IX_Model_MWS!AN33</f>
        <v/>
      </c>
      <c r="AO930" s="626">
        <f>IX_Model_MWS!AO33</f>
        <v/>
      </c>
      <c r="AP930" s="369">
        <f>IX_Model_MWS!AP33</f>
        <v/>
      </c>
      <c r="AQ930" s="369">
        <f>IX_Model_MWS!AQ33</f>
        <v/>
      </c>
      <c r="AR930" s="369">
        <f>IX_Model_MWS!AR33</f>
        <v/>
      </c>
      <c r="AS930" s="369">
        <f>IX_Model_MWS!AS33</f>
        <v/>
      </c>
      <c r="AT930" s="370">
        <f>IX_Model_MWS!AT33</f>
        <v/>
      </c>
      <c r="AU930" s="370">
        <f>IX_Model_MWS!AU33</f>
        <v/>
      </c>
      <c r="AV930" s="370">
        <f>IX_Model_MWS!AV33</f>
        <v/>
      </c>
      <c r="AW930" s="370">
        <f>IX_Model_MWS!AW33</f>
        <v/>
      </c>
      <c r="AX930">
        <f>IX_Model_MWS!AX33</f>
        <v/>
      </c>
      <c r="AY930">
        <f>IX_Model_MWS!AY33</f>
        <v/>
      </c>
      <c r="AZ930">
        <f>IX_Model_MWS!AZ33</f>
        <v/>
      </c>
      <c r="BA930">
        <f>IX_Model_MWS!BA33</f>
        <v/>
      </c>
      <c r="BB930">
        <f>IX_Model_MWS!BB33</f>
        <v/>
      </c>
      <c r="BC930">
        <f>IX_Model_MWS!BC33</f>
        <v/>
      </c>
      <c r="BD930">
        <f>IX_Model_MWS!BD33</f>
        <v/>
      </c>
      <c r="BE930">
        <f>IX_Model_MWS!BE33</f>
        <v/>
      </c>
      <c r="BF930">
        <f>IX_Model_MWS!BF33</f>
        <v/>
      </c>
      <c r="BG930">
        <f>IX_Model_MWS!BG33</f>
        <v/>
      </c>
      <c r="BH930">
        <f>IX_Model_MWS!BH33</f>
        <v/>
      </c>
      <c r="BI930">
        <f>IX_Model_MWS!BI33</f>
        <v/>
      </c>
      <c r="BJ930">
        <f>O930</f>
        <v/>
      </c>
      <c r="BK930">
        <f>SUM(AG930:AW930)</f>
        <v/>
      </c>
      <c r="BL930" s="531">
        <f>BJ930-BK930</f>
        <v/>
      </c>
      <c r="BM930" s="201" t="n"/>
    </row>
    <row r="931" hidden="1" outlineLevel="1" s="191">
      <c r="A931">
        <f>IX_Model_MWS!A34</f>
        <v/>
      </c>
      <c r="B931">
        <f>IX_Model_MWS!B34</f>
        <v/>
      </c>
      <c r="C931">
        <f>IX_Model_MWS!C34</f>
        <v/>
      </c>
      <c r="D931">
        <f>IX_Model_MWS!D34</f>
        <v/>
      </c>
      <c r="E931">
        <f>IX_Model_MWS!E34</f>
        <v/>
      </c>
      <c r="F931">
        <f>IX_Model_MWS!F34</f>
        <v/>
      </c>
      <c r="G931">
        <f>IX_Model_MWS!G34</f>
        <v/>
      </c>
      <c r="H931">
        <f>IX_Model_MWS!H34</f>
        <v/>
      </c>
      <c r="I931">
        <f>IX_Model_MWS!I34</f>
        <v/>
      </c>
      <c r="J931">
        <f>IX_Model_MWS!J34</f>
        <v/>
      </c>
      <c r="K931" s="672">
        <f>IX_Model_MWS!K34</f>
        <v/>
      </c>
      <c r="L931" s="672">
        <f>IX_Model_MWS!L34</f>
        <v/>
      </c>
      <c r="M931">
        <f>IX_Model_MWS!M34</f>
        <v/>
      </c>
      <c r="N931">
        <f>IX_Model_MWS!N34</f>
        <v/>
      </c>
      <c r="O931">
        <f>IX_Model_MWS!O34</f>
        <v/>
      </c>
      <c r="P931" s="628">
        <f>IX_Model_MWS!P34</f>
        <v/>
      </c>
      <c r="Q931" s="628">
        <f>IX_Model_MWS!Q34</f>
        <v/>
      </c>
      <c r="R931" s="628">
        <f>IX_Model_MWS!R34</f>
        <v/>
      </c>
      <c r="S931" s="628">
        <f>IX_Model_MWS!S34</f>
        <v/>
      </c>
      <c r="T931" s="628">
        <f>IX_Model_MWS!T34</f>
        <v/>
      </c>
      <c r="U931" s="628">
        <f>IX_Model_MWS!U34</f>
        <v/>
      </c>
      <c r="V931" s="628">
        <f>IX_Model_MWS!V34</f>
        <v/>
      </c>
      <c r="W931" s="628">
        <f>IX_Model_MWS!W34</f>
        <v/>
      </c>
      <c r="X931" s="628">
        <f>IX_Model_MWS!X34</f>
        <v/>
      </c>
      <c r="Y931" s="650">
        <f>IX_Model_MWS!Y34</f>
        <v/>
      </c>
      <c r="Z931" s="650">
        <f>IX_Model_MWS!Z34</f>
        <v/>
      </c>
      <c r="AA931" s="650">
        <f>IX_Model_MWS!AA34</f>
        <v/>
      </c>
      <c r="AB931" s="650">
        <f>IX_Model_MWS!AB34</f>
        <v/>
      </c>
      <c r="AC931" s="613">
        <f>IX_Model_MWS!AC34</f>
        <v/>
      </c>
      <c r="AD931" s="613">
        <f>IX_Model_MWS!AD34</f>
        <v/>
      </c>
      <c r="AE931" s="613">
        <f>IX_Model_MWS!AE34</f>
        <v/>
      </c>
      <c r="AF931" s="613">
        <f>IX_Model_MWS!AF34</f>
        <v/>
      </c>
      <c r="AG931" s="626">
        <f>IX_Model_MWS!AG34</f>
        <v/>
      </c>
      <c r="AH931" s="626">
        <f>IX_Model_MWS!AH34</f>
        <v/>
      </c>
      <c r="AI931" s="626">
        <f>IX_Model_MWS!AI34</f>
        <v/>
      </c>
      <c r="AJ931" s="626">
        <f>IX_Model_MWS!AJ34</f>
        <v/>
      </c>
      <c r="AK931" s="626">
        <f>IX_Model_MWS!AK34</f>
        <v/>
      </c>
      <c r="AL931" s="626">
        <f>IX_Model_MWS!AL34</f>
        <v/>
      </c>
      <c r="AM931" s="626">
        <f>IX_Model_MWS!AM34</f>
        <v/>
      </c>
      <c r="AN931" s="626">
        <f>IX_Model_MWS!AN34</f>
        <v/>
      </c>
      <c r="AO931" s="626">
        <f>IX_Model_MWS!AO34</f>
        <v/>
      </c>
      <c r="AP931" s="369">
        <f>IX_Model_MWS!AP34</f>
        <v/>
      </c>
      <c r="AQ931" s="369">
        <f>IX_Model_MWS!AQ34</f>
        <v/>
      </c>
      <c r="AR931" s="369">
        <f>IX_Model_MWS!AR34</f>
        <v/>
      </c>
      <c r="AS931" s="369">
        <f>IX_Model_MWS!AS34</f>
        <v/>
      </c>
      <c r="AT931" s="370">
        <f>IX_Model_MWS!AT34</f>
        <v/>
      </c>
      <c r="AU931" s="370">
        <f>IX_Model_MWS!AU34</f>
        <v/>
      </c>
      <c r="AV931" s="370">
        <f>IX_Model_MWS!AV34</f>
        <v/>
      </c>
      <c r="AW931" s="370">
        <f>IX_Model_MWS!AW34</f>
        <v/>
      </c>
      <c r="AX931">
        <f>IX_Model_MWS!AX34</f>
        <v/>
      </c>
      <c r="AY931">
        <f>IX_Model_MWS!AY34</f>
        <v/>
      </c>
      <c r="AZ931">
        <f>IX_Model_MWS!AZ34</f>
        <v/>
      </c>
      <c r="BA931">
        <f>IX_Model_MWS!BA34</f>
        <v/>
      </c>
      <c r="BB931">
        <f>IX_Model_MWS!BB34</f>
        <v/>
      </c>
      <c r="BC931">
        <f>IX_Model_MWS!BC34</f>
        <v/>
      </c>
      <c r="BD931">
        <f>IX_Model_MWS!BD34</f>
        <v/>
      </c>
      <c r="BE931">
        <f>IX_Model_MWS!BE34</f>
        <v/>
      </c>
      <c r="BF931">
        <f>IX_Model_MWS!BF34</f>
        <v/>
      </c>
      <c r="BG931">
        <f>IX_Model_MWS!BG34</f>
        <v/>
      </c>
      <c r="BH931">
        <f>IX_Model_MWS!BH34</f>
        <v/>
      </c>
      <c r="BI931">
        <f>IX_Model_MWS!BI34</f>
        <v/>
      </c>
      <c r="BJ931">
        <f>O931</f>
        <v/>
      </c>
      <c r="BK931">
        <f>SUM(AG931:AW931)</f>
        <v/>
      </c>
      <c r="BL931" s="531">
        <f>BJ931-BK931</f>
        <v/>
      </c>
      <c r="BM931" s="201" t="n"/>
    </row>
    <row r="932" hidden="1" outlineLevel="1" s="191">
      <c r="A932">
        <f>IX_Model_MWS!A35</f>
        <v/>
      </c>
      <c r="B932">
        <f>IX_Model_MWS!B35</f>
        <v/>
      </c>
      <c r="C932">
        <f>IX_Model_MWS!C35</f>
        <v/>
      </c>
      <c r="D932">
        <f>IX_Model_MWS!D35</f>
        <v/>
      </c>
      <c r="E932">
        <f>IX_Model_MWS!E35</f>
        <v/>
      </c>
      <c r="F932">
        <f>IX_Model_MWS!F35</f>
        <v/>
      </c>
      <c r="G932">
        <f>IX_Model_MWS!G35</f>
        <v/>
      </c>
      <c r="H932">
        <f>IX_Model_MWS!H35</f>
        <v/>
      </c>
      <c r="I932">
        <f>IX_Model_MWS!I35</f>
        <v/>
      </c>
      <c r="J932">
        <f>IX_Model_MWS!J35</f>
        <v/>
      </c>
      <c r="K932" s="672">
        <f>IX_Model_MWS!K35</f>
        <v/>
      </c>
      <c r="L932" s="672">
        <f>IX_Model_MWS!L35</f>
        <v/>
      </c>
      <c r="M932">
        <f>IX_Model_MWS!M35</f>
        <v/>
      </c>
      <c r="N932">
        <f>IX_Model_MWS!N35</f>
        <v/>
      </c>
      <c r="O932">
        <f>IX_Model_MWS!O35</f>
        <v/>
      </c>
      <c r="P932" s="628">
        <f>IX_Model_MWS!P35</f>
        <v/>
      </c>
      <c r="Q932" s="628">
        <f>IX_Model_MWS!Q35</f>
        <v/>
      </c>
      <c r="R932" s="628">
        <f>IX_Model_MWS!R35</f>
        <v/>
      </c>
      <c r="S932" s="628">
        <f>IX_Model_MWS!S35</f>
        <v/>
      </c>
      <c r="T932" s="628">
        <f>IX_Model_MWS!T35</f>
        <v/>
      </c>
      <c r="U932" s="628">
        <f>IX_Model_MWS!U35</f>
        <v/>
      </c>
      <c r="V932" s="628">
        <f>IX_Model_MWS!V35</f>
        <v/>
      </c>
      <c r="W932" s="628">
        <f>IX_Model_MWS!W35</f>
        <v/>
      </c>
      <c r="X932" s="628">
        <f>IX_Model_MWS!X35</f>
        <v/>
      </c>
      <c r="Y932" s="650">
        <f>IX_Model_MWS!Y35</f>
        <v/>
      </c>
      <c r="Z932" s="650">
        <f>IX_Model_MWS!Z35</f>
        <v/>
      </c>
      <c r="AA932" s="650">
        <f>IX_Model_MWS!AA35</f>
        <v/>
      </c>
      <c r="AB932" s="650">
        <f>IX_Model_MWS!AB35</f>
        <v/>
      </c>
      <c r="AC932" s="613">
        <f>IX_Model_MWS!AC35</f>
        <v/>
      </c>
      <c r="AD932" s="613">
        <f>IX_Model_MWS!AD35</f>
        <v/>
      </c>
      <c r="AE932" s="613">
        <f>IX_Model_MWS!AE35</f>
        <v/>
      </c>
      <c r="AF932" s="613">
        <f>IX_Model_MWS!AF35</f>
        <v/>
      </c>
      <c r="AG932" s="626">
        <f>IX_Model_MWS!AG35</f>
        <v/>
      </c>
      <c r="AH932" s="626">
        <f>IX_Model_MWS!AH35</f>
        <v/>
      </c>
      <c r="AI932" s="626">
        <f>IX_Model_MWS!AI35</f>
        <v/>
      </c>
      <c r="AJ932" s="626">
        <f>IX_Model_MWS!AJ35</f>
        <v/>
      </c>
      <c r="AK932" s="626">
        <f>IX_Model_MWS!AK35</f>
        <v/>
      </c>
      <c r="AL932" s="626">
        <f>IX_Model_MWS!AL35</f>
        <v/>
      </c>
      <c r="AM932" s="626">
        <f>IX_Model_MWS!AM35</f>
        <v/>
      </c>
      <c r="AN932" s="626">
        <f>IX_Model_MWS!AN35</f>
        <v/>
      </c>
      <c r="AO932" s="626">
        <f>IX_Model_MWS!AO35</f>
        <v/>
      </c>
      <c r="AP932" s="369">
        <f>IX_Model_MWS!AP35</f>
        <v/>
      </c>
      <c r="AQ932" s="369">
        <f>IX_Model_MWS!AQ35</f>
        <v/>
      </c>
      <c r="AR932" s="369">
        <f>IX_Model_MWS!AR35</f>
        <v/>
      </c>
      <c r="AS932" s="369">
        <f>IX_Model_MWS!AS35</f>
        <v/>
      </c>
      <c r="AT932" s="370">
        <f>IX_Model_MWS!AT35</f>
        <v/>
      </c>
      <c r="AU932" s="370">
        <f>IX_Model_MWS!AU35</f>
        <v/>
      </c>
      <c r="AV932" s="370">
        <f>IX_Model_MWS!AV35</f>
        <v/>
      </c>
      <c r="AW932" s="370">
        <f>IX_Model_MWS!AW35</f>
        <v/>
      </c>
      <c r="AX932">
        <f>IX_Model_MWS!AX35</f>
        <v/>
      </c>
      <c r="AY932">
        <f>IX_Model_MWS!AY35</f>
        <v/>
      </c>
      <c r="AZ932">
        <f>IX_Model_MWS!AZ35</f>
        <v/>
      </c>
      <c r="BA932">
        <f>IX_Model_MWS!BA35</f>
        <v/>
      </c>
      <c r="BB932">
        <f>IX_Model_MWS!BB35</f>
        <v/>
      </c>
      <c r="BC932">
        <f>IX_Model_MWS!BC35</f>
        <v/>
      </c>
      <c r="BD932">
        <f>IX_Model_MWS!BD35</f>
        <v/>
      </c>
      <c r="BE932">
        <f>IX_Model_MWS!BE35</f>
        <v/>
      </c>
      <c r="BF932">
        <f>IX_Model_MWS!BF35</f>
        <v/>
      </c>
      <c r="BG932">
        <f>IX_Model_MWS!BG35</f>
        <v/>
      </c>
      <c r="BH932">
        <f>IX_Model_MWS!BH35</f>
        <v/>
      </c>
      <c r="BI932">
        <f>IX_Model_MWS!BI35</f>
        <v/>
      </c>
      <c r="BJ932">
        <f>O932</f>
        <v/>
      </c>
      <c r="BK932">
        <f>SUM(AG932:AW932)</f>
        <v/>
      </c>
      <c r="BL932" s="531">
        <f>BJ932-BK932</f>
        <v/>
      </c>
      <c r="BM932" s="201" t="n"/>
    </row>
    <row r="933" hidden="1" outlineLevel="1" s="191">
      <c r="A933">
        <f>IX_Model_MWS!A36</f>
        <v/>
      </c>
      <c r="B933">
        <f>IX_Model_MWS!B36</f>
        <v/>
      </c>
      <c r="C933">
        <f>IX_Model_MWS!C36</f>
        <v/>
      </c>
      <c r="D933">
        <f>IX_Model_MWS!D36</f>
        <v/>
      </c>
      <c r="E933">
        <f>IX_Model_MWS!E36</f>
        <v/>
      </c>
      <c r="F933">
        <f>IX_Model_MWS!F36</f>
        <v/>
      </c>
      <c r="G933">
        <f>IX_Model_MWS!G36</f>
        <v/>
      </c>
      <c r="H933">
        <f>IX_Model_MWS!H36</f>
        <v/>
      </c>
      <c r="I933">
        <f>IX_Model_MWS!I36</f>
        <v/>
      </c>
      <c r="J933">
        <f>IX_Model_MWS!J36</f>
        <v/>
      </c>
      <c r="K933" s="672">
        <f>IX_Model_MWS!K36</f>
        <v/>
      </c>
      <c r="L933" s="672">
        <f>IX_Model_MWS!L36</f>
        <v/>
      </c>
      <c r="M933">
        <f>IX_Model_MWS!M36</f>
        <v/>
      </c>
      <c r="N933">
        <f>IX_Model_MWS!N36</f>
        <v/>
      </c>
      <c r="O933">
        <f>IX_Model_MWS!O36</f>
        <v/>
      </c>
      <c r="P933" s="628">
        <f>IX_Model_MWS!P36</f>
        <v/>
      </c>
      <c r="Q933" s="628">
        <f>IX_Model_MWS!Q36</f>
        <v/>
      </c>
      <c r="R933" s="628">
        <f>IX_Model_MWS!R36</f>
        <v/>
      </c>
      <c r="S933" s="628">
        <f>IX_Model_MWS!S36</f>
        <v/>
      </c>
      <c r="T933" s="628">
        <f>IX_Model_MWS!T36</f>
        <v/>
      </c>
      <c r="U933" s="628">
        <f>IX_Model_MWS!U36</f>
        <v/>
      </c>
      <c r="V933" s="628">
        <f>IX_Model_MWS!V36</f>
        <v/>
      </c>
      <c r="W933" s="628">
        <f>IX_Model_MWS!W36</f>
        <v/>
      </c>
      <c r="X933" s="628">
        <f>IX_Model_MWS!X36</f>
        <v/>
      </c>
      <c r="Y933" s="650">
        <f>IX_Model_MWS!Y36</f>
        <v/>
      </c>
      <c r="Z933" s="650">
        <f>IX_Model_MWS!Z36</f>
        <v/>
      </c>
      <c r="AA933" s="650">
        <f>IX_Model_MWS!AA36</f>
        <v/>
      </c>
      <c r="AB933" s="650">
        <f>IX_Model_MWS!AB36</f>
        <v/>
      </c>
      <c r="AC933" s="613">
        <f>IX_Model_MWS!AC36</f>
        <v/>
      </c>
      <c r="AD933" s="613">
        <f>IX_Model_MWS!AD36</f>
        <v/>
      </c>
      <c r="AE933" s="613">
        <f>IX_Model_MWS!AE36</f>
        <v/>
      </c>
      <c r="AF933" s="613">
        <f>IX_Model_MWS!AF36</f>
        <v/>
      </c>
      <c r="AG933" s="626">
        <f>IX_Model_MWS!AG36</f>
        <v/>
      </c>
      <c r="AH933" s="626">
        <f>IX_Model_MWS!AH36</f>
        <v/>
      </c>
      <c r="AI933" s="626">
        <f>IX_Model_MWS!AI36</f>
        <v/>
      </c>
      <c r="AJ933" s="626">
        <f>IX_Model_MWS!AJ36</f>
        <v/>
      </c>
      <c r="AK933" s="626">
        <f>IX_Model_MWS!AK36</f>
        <v/>
      </c>
      <c r="AL933" s="626">
        <f>IX_Model_MWS!AL36</f>
        <v/>
      </c>
      <c r="AM933" s="626">
        <f>IX_Model_MWS!AM36</f>
        <v/>
      </c>
      <c r="AN933" s="626">
        <f>IX_Model_MWS!AN36</f>
        <v/>
      </c>
      <c r="AO933" s="626">
        <f>IX_Model_MWS!AO36</f>
        <v/>
      </c>
      <c r="AP933" s="369">
        <f>IX_Model_MWS!AP36</f>
        <v/>
      </c>
      <c r="AQ933" s="369">
        <f>IX_Model_MWS!AQ36</f>
        <v/>
      </c>
      <c r="AR933" s="369">
        <f>IX_Model_MWS!AR36</f>
        <v/>
      </c>
      <c r="AS933" s="369">
        <f>IX_Model_MWS!AS36</f>
        <v/>
      </c>
      <c r="AT933" s="370">
        <f>IX_Model_MWS!AT36</f>
        <v/>
      </c>
      <c r="AU933" s="370">
        <f>IX_Model_MWS!AU36</f>
        <v/>
      </c>
      <c r="AV933" s="370">
        <f>IX_Model_MWS!AV36</f>
        <v/>
      </c>
      <c r="AW933" s="370">
        <f>IX_Model_MWS!AW36</f>
        <v/>
      </c>
      <c r="AX933">
        <f>IX_Model_MWS!AX36</f>
        <v/>
      </c>
      <c r="AY933">
        <f>IX_Model_MWS!AY36</f>
        <v/>
      </c>
      <c r="AZ933">
        <f>IX_Model_MWS!AZ36</f>
        <v/>
      </c>
      <c r="BA933">
        <f>IX_Model_MWS!BA36</f>
        <v/>
      </c>
      <c r="BB933">
        <f>IX_Model_MWS!BB36</f>
        <v/>
      </c>
      <c r="BC933">
        <f>IX_Model_MWS!BC36</f>
        <v/>
      </c>
      <c r="BD933">
        <f>IX_Model_MWS!BD36</f>
        <v/>
      </c>
      <c r="BE933">
        <f>IX_Model_MWS!BE36</f>
        <v/>
      </c>
      <c r="BF933">
        <f>IX_Model_MWS!BF36</f>
        <v/>
      </c>
      <c r="BG933">
        <f>IX_Model_MWS!BG36</f>
        <v/>
      </c>
      <c r="BH933">
        <f>IX_Model_MWS!BH36</f>
        <v/>
      </c>
      <c r="BI933">
        <f>IX_Model_MWS!BI36</f>
        <v/>
      </c>
      <c r="BJ933">
        <f>O933</f>
        <v/>
      </c>
      <c r="BK933">
        <f>SUM(AG933:AW933)</f>
        <v/>
      </c>
      <c r="BL933" s="531">
        <f>BJ933-BK933</f>
        <v/>
      </c>
      <c r="BM933" s="201" t="n"/>
    </row>
    <row r="934" hidden="1" outlineLevel="1" s="191">
      <c r="A934">
        <f>IX_Model_MWS!A37</f>
        <v/>
      </c>
      <c r="B934">
        <f>IX_Model_MWS!B37</f>
        <v/>
      </c>
      <c r="C934">
        <f>IX_Model_MWS!C37</f>
        <v/>
      </c>
      <c r="D934">
        <f>IX_Model_MWS!D37</f>
        <v/>
      </c>
      <c r="E934">
        <f>IX_Model_MWS!E37</f>
        <v/>
      </c>
      <c r="F934">
        <f>IX_Model_MWS!F37</f>
        <v/>
      </c>
      <c r="G934">
        <f>IX_Model_MWS!G37</f>
        <v/>
      </c>
      <c r="H934">
        <f>IX_Model_MWS!H37</f>
        <v/>
      </c>
      <c r="I934">
        <f>IX_Model_MWS!I37</f>
        <v/>
      </c>
      <c r="J934">
        <f>IX_Model_MWS!J37</f>
        <v/>
      </c>
      <c r="K934" s="672">
        <f>IX_Model_MWS!K37</f>
        <v/>
      </c>
      <c r="L934" s="672">
        <f>IX_Model_MWS!L37</f>
        <v/>
      </c>
      <c r="M934">
        <f>IX_Model_MWS!M37</f>
        <v/>
      </c>
      <c r="N934">
        <f>IX_Model_MWS!N37</f>
        <v/>
      </c>
      <c r="O934">
        <f>IX_Model_MWS!O37</f>
        <v/>
      </c>
      <c r="P934" s="628">
        <f>IX_Model_MWS!P37</f>
        <v/>
      </c>
      <c r="Q934" s="628">
        <f>IX_Model_MWS!Q37</f>
        <v/>
      </c>
      <c r="R934" s="628">
        <f>IX_Model_MWS!R37</f>
        <v/>
      </c>
      <c r="S934" s="628">
        <f>IX_Model_MWS!S37</f>
        <v/>
      </c>
      <c r="T934" s="628">
        <f>IX_Model_MWS!T37</f>
        <v/>
      </c>
      <c r="U934" s="628">
        <f>IX_Model_MWS!U37</f>
        <v/>
      </c>
      <c r="V934" s="628">
        <f>IX_Model_MWS!V37</f>
        <v/>
      </c>
      <c r="W934" s="628">
        <f>IX_Model_MWS!W37</f>
        <v/>
      </c>
      <c r="X934" s="628">
        <f>IX_Model_MWS!X37</f>
        <v/>
      </c>
      <c r="Y934" s="650">
        <f>IX_Model_MWS!Y37</f>
        <v/>
      </c>
      <c r="Z934" s="650">
        <f>IX_Model_MWS!Z37</f>
        <v/>
      </c>
      <c r="AA934" s="650">
        <f>IX_Model_MWS!AA37</f>
        <v/>
      </c>
      <c r="AB934" s="650">
        <f>IX_Model_MWS!AB37</f>
        <v/>
      </c>
      <c r="AC934" s="613">
        <f>IX_Model_MWS!AC37</f>
        <v/>
      </c>
      <c r="AD934" s="613">
        <f>IX_Model_MWS!AD37</f>
        <v/>
      </c>
      <c r="AE934" s="613">
        <f>IX_Model_MWS!AE37</f>
        <v/>
      </c>
      <c r="AF934" s="613">
        <f>IX_Model_MWS!AF37</f>
        <v/>
      </c>
      <c r="AG934" s="626">
        <f>IX_Model_MWS!AG37</f>
        <v/>
      </c>
      <c r="AH934" s="626">
        <f>IX_Model_MWS!AH37</f>
        <v/>
      </c>
      <c r="AI934" s="626">
        <f>IX_Model_MWS!AI37</f>
        <v/>
      </c>
      <c r="AJ934" s="626">
        <f>IX_Model_MWS!AJ37</f>
        <v/>
      </c>
      <c r="AK934" s="626">
        <f>IX_Model_MWS!AK37</f>
        <v/>
      </c>
      <c r="AL934" s="626">
        <f>IX_Model_MWS!AL37</f>
        <v/>
      </c>
      <c r="AM934" s="626">
        <f>IX_Model_MWS!AM37</f>
        <v/>
      </c>
      <c r="AN934" s="626">
        <f>IX_Model_MWS!AN37</f>
        <v/>
      </c>
      <c r="AO934" s="626">
        <f>IX_Model_MWS!AO37</f>
        <v/>
      </c>
      <c r="AP934" s="369">
        <f>IX_Model_MWS!AP37</f>
        <v/>
      </c>
      <c r="AQ934" s="369">
        <f>IX_Model_MWS!AQ37</f>
        <v/>
      </c>
      <c r="AR934" s="369">
        <f>IX_Model_MWS!AR37</f>
        <v/>
      </c>
      <c r="AS934" s="369">
        <f>IX_Model_MWS!AS37</f>
        <v/>
      </c>
      <c r="AT934" s="370">
        <f>IX_Model_MWS!AT37</f>
        <v/>
      </c>
      <c r="AU934" s="370">
        <f>IX_Model_MWS!AU37</f>
        <v/>
      </c>
      <c r="AV934" s="370">
        <f>IX_Model_MWS!AV37</f>
        <v/>
      </c>
      <c r="AW934" s="370">
        <f>IX_Model_MWS!AW37</f>
        <v/>
      </c>
      <c r="AX934">
        <f>IX_Model_MWS!AX37</f>
        <v/>
      </c>
      <c r="AY934">
        <f>IX_Model_MWS!AY37</f>
        <v/>
      </c>
      <c r="AZ934">
        <f>IX_Model_MWS!AZ37</f>
        <v/>
      </c>
      <c r="BA934">
        <f>IX_Model_MWS!BA37</f>
        <v/>
      </c>
      <c r="BB934">
        <f>IX_Model_MWS!BB37</f>
        <v/>
      </c>
      <c r="BC934">
        <f>IX_Model_MWS!BC37</f>
        <v/>
      </c>
      <c r="BD934">
        <f>IX_Model_MWS!BD37</f>
        <v/>
      </c>
      <c r="BE934">
        <f>IX_Model_MWS!BE37</f>
        <v/>
      </c>
      <c r="BF934">
        <f>IX_Model_MWS!BF37</f>
        <v/>
      </c>
      <c r="BG934">
        <f>IX_Model_MWS!BG37</f>
        <v/>
      </c>
      <c r="BH934">
        <f>IX_Model_MWS!BH37</f>
        <v/>
      </c>
      <c r="BI934">
        <f>IX_Model_MWS!BI37</f>
        <v/>
      </c>
      <c r="BJ934">
        <f>O934</f>
        <v/>
      </c>
      <c r="BK934">
        <f>SUM(AG934:AW934)</f>
        <v/>
      </c>
      <c r="BL934" s="531">
        <f>BJ934-BK934</f>
        <v/>
      </c>
      <c r="BM934" s="201" t="n"/>
    </row>
    <row r="935" hidden="1" outlineLevel="1" s="191">
      <c r="A935">
        <f>IX_Model_MWS!A38</f>
        <v/>
      </c>
      <c r="B935">
        <f>IX_Model_MWS!B38</f>
        <v/>
      </c>
      <c r="C935">
        <f>IX_Model_MWS!C38</f>
        <v/>
      </c>
      <c r="D935">
        <f>IX_Model_MWS!D38</f>
        <v/>
      </c>
      <c r="E935">
        <f>IX_Model_MWS!E38</f>
        <v/>
      </c>
      <c r="F935">
        <f>IX_Model_MWS!F38</f>
        <v/>
      </c>
      <c r="G935">
        <f>IX_Model_MWS!G38</f>
        <v/>
      </c>
      <c r="H935">
        <f>IX_Model_MWS!H38</f>
        <v/>
      </c>
      <c r="I935">
        <f>IX_Model_MWS!I38</f>
        <v/>
      </c>
      <c r="J935">
        <f>IX_Model_MWS!J38</f>
        <v/>
      </c>
      <c r="K935" s="672">
        <f>IX_Model_MWS!K38</f>
        <v/>
      </c>
      <c r="L935" s="672">
        <f>IX_Model_MWS!L38</f>
        <v/>
      </c>
      <c r="M935">
        <f>IX_Model_MWS!M38</f>
        <v/>
      </c>
      <c r="N935">
        <f>IX_Model_MWS!N38</f>
        <v/>
      </c>
      <c r="O935">
        <f>IX_Model_MWS!O38</f>
        <v/>
      </c>
      <c r="P935" s="628">
        <f>IX_Model_MWS!P38</f>
        <v/>
      </c>
      <c r="Q935" s="628">
        <f>IX_Model_MWS!Q38</f>
        <v/>
      </c>
      <c r="R935" s="628">
        <f>IX_Model_MWS!R38</f>
        <v/>
      </c>
      <c r="S935" s="628">
        <f>IX_Model_MWS!S38</f>
        <v/>
      </c>
      <c r="T935" s="628">
        <f>IX_Model_MWS!T38</f>
        <v/>
      </c>
      <c r="U935" s="628">
        <f>IX_Model_MWS!U38</f>
        <v/>
      </c>
      <c r="V935" s="628">
        <f>IX_Model_MWS!V38</f>
        <v/>
      </c>
      <c r="W935" s="628">
        <f>IX_Model_MWS!W38</f>
        <v/>
      </c>
      <c r="X935" s="628">
        <f>IX_Model_MWS!X38</f>
        <v/>
      </c>
      <c r="Y935" s="650">
        <f>IX_Model_MWS!Y38</f>
        <v/>
      </c>
      <c r="Z935" s="650">
        <f>IX_Model_MWS!Z38</f>
        <v/>
      </c>
      <c r="AA935" s="650">
        <f>IX_Model_MWS!AA38</f>
        <v/>
      </c>
      <c r="AB935" s="650">
        <f>IX_Model_MWS!AB38</f>
        <v/>
      </c>
      <c r="AC935" s="613">
        <f>IX_Model_MWS!AC38</f>
        <v/>
      </c>
      <c r="AD935" s="613">
        <f>IX_Model_MWS!AD38</f>
        <v/>
      </c>
      <c r="AE935" s="613">
        <f>IX_Model_MWS!AE38</f>
        <v/>
      </c>
      <c r="AF935" s="613">
        <f>IX_Model_MWS!AF38</f>
        <v/>
      </c>
      <c r="AG935" s="626">
        <f>IX_Model_MWS!AG38</f>
        <v/>
      </c>
      <c r="AH935" s="626">
        <f>IX_Model_MWS!AH38</f>
        <v/>
      </c>
      <c r="AI935" s="626">
        <f>IX_Model_MWS!AI38</f>
        <v/>
      </c>
      <c r="AJ935" s="626">
        <f>IX_Model_MWS!AJ38</f>
        <v/>
      </c>
      <c r="AK935" s="626">
        <f>IX_Model_MWS!AK38</f>
        <v/>
      </c>
      <c r="AL935" s="626">
        <f>IX_Model_MWS!AL38</f>
        <v/>
      </c>
      <c r="AM935" s="626">
        <f>IX_Model_MWS!AM38</f>
        <v/>
      </c>
      <c r="AN935" s="626">
        <f>IX_Model_MWS!AN38</f>
        <v/>
      </c>
      <c r="AO935" s="626">
        <f>IX_Model_MWS!AO38</f>
        <v/>
      </c>
      <c r="AP935" s="369">
        <f>IX_Model_MWS!AP38</f>
        <v/>
      </c>
      <c r="AQ935" s="369">
        <f>IX_Model_MWS!AQ38</f>
        <v/>
      </c>
      <c r="AR935" s="369">
        <f>IX_Model_MWS!AR38</f>
        <v/>
      </c>
      <c r="AS935" s="369">
        <f>IX_Model_MWS!AS38</f>
        <v/>
      </c>
      <c r="AT935" s="370">
        <f>IX_Model_MWS!AT38</f>
        <v/>
      </c>
      <c r="AU935" s="370">
        <f>IX_Model_MWS!AU38</f>
        <v/>
      </c>
      <c r="AV935" s="370">
        <f>IX_Model_MWS!AV38</f>
        <v/>
      </c>
      <c r="AW935" s="370">
        <f>IX_Model_MWS!AW38</f>
        <v/>
      </c>
      <c r="AX935">
        <f>IX_Model_MWS!AX38</f>
        <v/>
      </c>
      <c r="AY935">
        <f>IX_Model_MWS!AY38</f>
        <v/>
      </c>
      <c r="AZ935">
        <f>IX_Model_MWS!AZ38</f>
        <v/>
      </c>
      <c r="BA935">
        <f>IX_Model_MWS!BA38</f>
        <v/>
      </c>
      <c r="BB935">
        <f>IX_Model_MWS!BB38</f>
        <v/>
      </c>
      <c r="BC935">
        <f>IX_Model_MWS!BC38</f>
        <v/>
      </c>
      <c r="BD935">
        <f>IX_Model_MWS!BD38</f>
        <v/>
      </c>
      <c r="BE935">
        <f>IX_Model_MWS!BE38</f>
        <v/>
      </c>
      <c r="BF935">
        <f>IX_Model_MWS!BF38</f>
        <v/>
      </c>
      <c r="BG935">
        <f>IX_Model_MWS!BG38</f>
        <v/>
      </c>
      <c r="BH935">
        <f>IX_Model_MWS!BH38</f>
        <v/>
      </c>
      <c r="BI935">
        <f>IX_Model_MWS!BI38</f>
        <v/>
      </c>
      <c r="BJ935">
        <f>O935</f>
        <v/>
      </c>
      <c r="BK935">
        <f>SUM(AG935:AW935)</f>
        <v/>
      </c>
      <c r="BL935" s="531">
        <f>BJ935-BK935</f>
        <v/>
      </c>
      <c r="BM935" s="201" t="n"/>
    </row>
    <row r="936" hidden="1" outlineLevel="1" s="191">
      <c r="A936">
        <f>IX_Model_MWS!A39</f>
        <v/>
      </c>
      <c r="B936">
        <f>IX_Model_MWS!B39</f>
        <v/>
      </c>
      <c r="C936">
        <f>IX_Model_MWS!C39</f>
        <v/>
      </c>
      <c r="D936">
        <f>IX_Model_MWS!D39</f>
        <v/>
      </c>
      <c r="E936">
        <f>IX_Model_MWS!E39</f>
        <v/>
      </c>
      <c r="F936">
        <f>IX_Model_MWS!F39</f>
        <v/>
      </c>
      <c r="G936">
        <f>IX_Model_MWS!G39</f>
        <v/>
      </c>
      <c r="H936">
        <f>IX_Model_MWS!H39</f>
        <v/>
      </c>
      <c r="I936">
        <f>IX_Model_MWS!I39</f>
        <v/>
      </c>
      <c r="J936">
        <f>IX_Model_MWS!J39</f>
        <v/>
      </c>
      <c r="K936" s="672">
        <f>IX_Model_MWS!K39</f>
        <v/>
      </c>
      <c r="L936" s="672">
        <f>IX_Model_MWS!L39</f>
        <v/>
      </c>
      <c r="M936">
        <f>IX_Model_MWS!M39</f>
        <v/>
      </c>
      <c r="N936">
        <f>IX_Model_MWS!N39</f>
        <v/>
      </c>
      <c r="O936">
        <f>IX_Model_MWS!O39</f>
        <v/>
      </c>
      <c r="P936" s="628">
        <f>IX_Model_MWS!P39</f>
        <v/>
      </c>
      <c r="Q936" s="628">
        <f>IX_Model_MWS!Q39</f>
        <v/>
      </c>
      <c r="R936" s="628">
        <f>IX_Model_MWS!R39</f>
        <v/>
      </c>
      <c r="S936" s="628">
        <f>IX_Model_MWS!S39</f>
        <v/>
      </c>
      <c r="T936" s="628">
        <f>IX_Model_MWS!T39</f>
        <v/>
      </c>
      <c r="U936" s="628">
        <f>IX_Model_MWS!U39</f>
        <v/>
      </c>
      <c r="V936" s="628">
        <f>IX_Model_MWS!V39</f>
        <v/>
      </c>
      <c r="W936" s="628">
        <f>IX_Model_MWS!W39</f>
        <v/>
      </c>
      <c r="X936" s="628">
        <f>IX_Model_MWS!X39</f>
        <v/>
      </c>
      <c r="Y936" s="650">
        <f>IX_Model_MWS!Y39</f>
        <v/>
      </c>
      <c r="Z936" s="650">
        <f>IX_Model_MWS!Z39</f>
        <v/>
      </c>
      <c r="AA936" s="650">
        <f>IX_Model_MWS!AA39</f>
        <v/>
      </c>
      <c r="AB936" s="650">
        <f>IX_Model_MWS!AB39</f>
        <v/>
      </c>
      <c r="AC936" s="613">
        <f>IX_Model_MWS!AC39</f>
        <v/>
      </c>
      <c r="AD936" s="613">
        <f>IX_Model_MWS!AD39</f>
        <v/>
      </c>
      <c r="AE936" s="613">
        <f>IX_Model_MWS!AE39</f>
        <v/>
      </c>
      <c r="AF936" s="613">
        <f>IX_Model_MWS!AF39</f>
        <v/>
      </c>
      <c r="AG936" s="626">
        <f>IX_Model_MWS!AG39</f>
        <v/>
      </c>
      <c r="AH936" s="626">
        <f>IX_Model_MWS!AH39</f>
        <v/>
      </c>
      <c r="AI936" s="626">
        <f>IX_Model_MWS!AI39</f>
        <v/>
      </c>
      <c r="AJ936" s="626">
        <f>IX_Model_MWS!AJ39</f>
        <v/>
      </c>
      <c r="AK936" s="626">
        <f>IX_Model_MWS!AK39</f>
        <v/>
      </c>
      <c r="AL936" s="626">
        <f>IX_Model_MWS!AL39</f>
        <v/>
      </c>
      <c r="AM936" s="626">
        <f>IX_Model_MWS!AM39</f>
        <v/>
      </c>
      <c r="AN936" s="626">
        <f>IX_Model_MWS!AN39</f>
        <v/>
      </c>
      <c r="AO936" s="626">
        <f>IX_Model_MWS!AO39</f>
        <v/>
      </c>
      <c r="AP936" s="369">
        <f>IX_Model_MWS!AP39</f>
        <v/>
      </c>
      <c r="AQ936" s="369">
        <f>IX_Model_MWS!AQ39</f>
        <v/>
      </c>
      <c r="AR936" s="369">
        <f>IX_Model_MWS!AR39</f>
        <v/>
      </c>
      <c r="AS936" s="369">
        <f>IX_Model_MWS!AS39</f>
        <v/>
      </c>
      <c r="AT936" s="370">
        <f>IX_Model_MWS!AT39</f>
        <v/>
      </c>
      <c r="AU936" s="370">
        <f>IX_Model_MWS!AU39</f>
        <v/>
      </c>
      <c r="AV936" s="370">
        <f>IX_Model_MWS!AV39</f>
        <v/>
      </c>
      <c r="AW936" s="370">
        <f>IX_Model_MWS!AW39</f>
        <v/>
      </c>
      <c r="AX936">
        <f>IX_Model_MWS!AX39</f>
        <v/>
      </c>
      <c r="AY936">
        <f>IX_Model_MWS!AY39</f>
        <v/>
      </c>
      <c r="AZ936">
        <f>IX_Model_MWS!AZ39</f>
        <v/>
      </c>
      <c r="BA936">
        <f>IX_Model_MWS!BA39</f>
        <v/>
      </c>
      <c r="BB936">
        <f>IX_Model_MWS!BB39</f>
        <v/>
      </c>
      <c r="BC936">
        <f>IX_Model_MWS!BC39</f>
        <v/>
      </c>
      <c r="BD936">
        <f>IX_Model_MWS!BD39</f>
        <v/>
      </c>
      <c r="BE936">
        <f>IX_Model_MWS!BE39</f>
        <v/>
      </c>
      <c r="BF936">
        <f>IX_Model_MWS!BF39</f>
        <v/>
      </c>
      <c r="BG936">
        <f>IX_Model_MWS!BG39</f>
        <v/>
      </c>
      <c r="BH936">
        <f>IX_Model_MWS!BH39</f>
        <v/>
      </c>
      <c r="BI936">
        <f>IX_Model_MWS!BI39</f>
        <v/>
      </c>
      <c r="BJ936">
        <f>O936</f>
        <v/>
      </c>
      <c r="BK936">
        <f>SUM(AG936:AW936)</f>
        <v/>
      </c>
      <c r="BL936" s="531">
        <f>BJ936-BK936</f>
        <v/>
      </c>
      <c r="BM936" s="201" t="n"/>
    </row>
    <row r="937" hidden="1" outlineLevel="1" s="191">
      <c r="A937">
        <f>IX_Model_MWS!A40</f>
        <v/>
      </c>
      <c r="B937">
        <f>IX_Model_MWS!B40</f>
        <v/>
      </c>
      <c r="C937">
        <f>IX_Model_MWS!C40</f>
        <v/>
      </c>
      <c r="D937">
        <f>IX_Model_MWS!D40</f>
        <v/>
      </c>
      <c r="E937">
        <f>IX_Model_MWS!E40</f>
        <v/>
      </c>
      <c r="F937">
        <f>IX_Model_MWS!F40</f>
        <v/>
      </c>
      <c r="G937">
        <f>IX_Model_MWS!G40</f>
        <v/>
      </c>
      <c r="H937">
        <f>IX_Model_MWS!H40</f>
        <v/>
      </c>
      <c r="I937">
        <f>IX_Model_MWS!I40</f>
        <v/>
      </c>
      <c r="J937">
        <f>IX_Model_MWS!J40</f>
        <v/>
      </c>
      <c r="K937" s="672">
        <f>IX_Model_MWS!K40</f>
        <v/>
      </c>
      <c r="L937" s="672">
        <f>IX_Model_MWS!L40</f>
        <v/>
      </c>
      <c r="M937">
        <f>IX_Model_MWS!M40</f>
        <v/>
      </c>
      <c r="N937">
        <f>IX_Model_MWS!N40</f>
        <v/>
      </c>
      <c r="O937">
        <f>IX_Model_MWS!O40</f>
        <v/>
      </c>
      <c r="P937" s="628">
        <f>IX_Model_MWS!P40</f>
        <v/>
      </c>
      <c r="Q937" s="628">
        <f>IX_Model_MWS!Q40</f>
        <v/>
      </c>
      <c r="R937" s="628">
        <f>IX_Model_MWS!R40</f>
        <v/>
      </c>
      <c r="S937" s="628">
        <f>IX_Model_MWS!S40</f>
        <v/>
      </c>
      <c r="T937" s="628">
        <f>IX_Model_MWS!T40</f>
        <v/>
      </c>
      <c r="U937" s="628">
        <f>IX_Model_MWS!U40</f>
        <v/>
      </c>
      <c r="V937" s="628">
        <f>IX_Model_MWS!V40</f>
        <v/>
      </c>
      <c r="W937" s="628">
        <f>IX_Model_MWS!W40</f>
        <v/>
      </c>
      <c r="X937" s="628">
        <f>IX_Model_MWS!X40</f>
        <v/>
      </c>
      <c r="Y937" s="650">
        <f>IX_Model_MWS!Y40</f>
        <v/>
      </c>
      <c r="Z937" s="650">
        <f>IX_Model_MWS!Z40</f>
        <v/>
      </c>
      <c r="AA937" s="650">
        <f>IX_Model_MWS!AA40</f>
        <v/>
      </c>
      <c r="AB937" s="650">
        <f>IX_Model_MWS!AB40</f>
        <v/>
      </c>
      <c r="AC937" s="613">
        <f>IX_Model_MWS!AC40</f>
        <v/>
      </c>
      <c r="AD937" s="613">
        <f>IX_Model_MWS!AD40</f>
        <v/>
      </c>
      <c r="AE937" s="613">
        <f>IX_Model_MWS!AE40</f>
        <v/>
      </c>
      <c r="AF937" s="613">
        <f>IX_Model_MWS!AF40</f>
        <v/>
      </c>
      <c r="AG937" s="626">
        <f>IX_Model_MWS!AG40</f>
        <v/>
      </c>
      <c r="AH937" s="626">
        <f>IX_Model_MWS!AH40</f>
        <v/>
      </c>
      <c r="AI937" s="626">
        <f>IX_Model_MWS!AI40</f>
        <v/>
      </c>
      <c r="AJ937" s="626">
        <f>IX_Model_MWS!AJ40</f>
        <v/>
      </c>
      <c r="AK937" s="626">
        <f>IX_Model_MWS!AK40</f>
        <v/>
      </c>
      <c r="AL937" s="626">
        <f>IX_Model_MWS!AL40</f>
        <v/>
      </c>
      <c r="AM937" s="626">
        <f>IX_Model_MWS!AM40</f>
        <v/>
      </c>
      <c r="AN937" s="626">
        <f>IX_Model_MWS!AN40</f>
        <v/>
      </c>
      <c r="AO937" s="626">
        <f>IX_Model_MWS!AO40</f>
        <v/>
      </c>
      <c r="AP937" s="369">
        <f>IX_Model_MWS!AP40</f>
        <v/>
      </c>
      <c r="AQ937" s="369">
        <f>IX_Model_MWS!AQ40</f>
        <v/>
      </c>
      <c r="AR937" s="369">
        <f>IX_Model_MWS!AR40</f>
        <v/>
      </c>
      <c r="AS937" s="369">
        <f>IX_Model_MWS!AS40</f>
        <v/>
      </c>
      <c r="AT937" s="370">
        <f>IX_Model_MWS!AT40</f>
        <v/>
      </c>
      <c r="AU937" s="370">
        <f>IX_Model_MWS!AU40</f>
        <v/>
      </c>
      <c r="AV937" s="370">
        <f>IX_Model_MWS!AV40</f>
        <v/>
      </c>
      <c r="AW937" s="370">
        <f>IX_Model_MWS!AW40</f>
        <v/>
      </c>
      <c r="AX937">
        <f>IX_Model_MWS!AX40</f>
        <v/>
      </c>
      <c r="AY937">
        <f>IX_Model_MWS!AY40</f>
        <v/>
      </c>
      <c r="AZ937">
        <f>IX_Model_MWS!AZ40</f>
        <v/>
      </c>
      <c r="BA937">
        <f>IX_Model_MWS!BA40</f>
        <v/>
      </c>
      <c r="BB937">
        <f>IX_Model_MWS!BB40</f>
        <v/>
      </c>
      <c r="BC937">
        <f>IX_Model_MWS!BC40</f>
        <v/>
      </c>
      <c r="BD937">
        <f>IX_Model_MWS!BD40</f>
        <v/>
      </c>
      <c r="BE937">
        <f>IX_Model_MWS!BE40</f>
        <v/>
      </c>
      <c r="BF937">
        <f>IX_Model_MWS!BF40</f>
        <v/>
      </c>
      <c r="BG937">
        <f>IX_Model_MWS!BG40</f>
        <v/>
      </c>
      <c r="BH937">
        <f>IX_Model_MWS!BH40</f>
        <v/>
      </c>
      <c r="BI937">
        <f>IX_Model_MWS!BI40</f>
        <v/>
      </c>
      <c r="BJ937">
        <f>O937</f>
        <v/>
      </c>
      <c r="BK937">
        <f>SUM(AG937:AW937)</f>
        <v/>
      </c>
      <c r="BL937" s="531">
        <f>BJ937-BK937</f>
        <v/>
      </c>
      <c r="BM937" s="201" t="n"/>
    </row>
    <row r="938" hidden="1" outlineLevel="1" s="191">
      <c r="A938">
        <f>IX_Model_MWS!A41</f>
        <v/>
      </c>
      <c r="B938">
        <f>IX_Model_MWS!B41</f>
        <v/>
      </c>
      <c r="C938">
        <f>IX_Model_MWS!C41</f>
        <v/>
      </c>
      <c r="D938">
        <f>IX_Model_MWS!D41</f>
        <v/>
      </c>
      <c r="E938">
        <f>IX_Model_MWS!E41</f>
        <v/>
      </c>
      <c r="F938">
        <f>IX_Model_MWS!F41</f>
        <v/>
      </c>
      <c r="G938">
        <f>IX_Model_MWS!G41</f>
        <v/>
      </c>
      <c r="H938">
        <f>IX_Model_MWS!H41</f>
        <v/>
      </c>
      <c r="I938">
        <f>IX_Model_MWS!I41</f>
        <v/>
      </c>
      <c r="J938">
        <f>IX_Model_MWS!J41</f>
        <v/>
      </c>
      <c r="K938" s="672">
        <f>IX_Model_MWS!K41</f>
        <v/>
      </c>
      <c r="L938" s="672">
        <f>IX_Model_MWS!L41</f>
        <v/>
      </c>
      <c r="M938">
        <f>IX_Model_MWS!M41</f>
        <v/>
      </c>
      <c r="N938">
        <f>IX_Model_MWS!N41</f>
        <v/>
      </c>
      <c r="O938">
        <f>IX_Model_MWS!O41</f>
        <v/>
      </c>
      <c r="P938" s="628">
        <f>IX_Model_MWS!P41</f>
        <v/>
      </c>
      <c r="Q938" s="628">
        <f>IX_Model_MWS!Q41</f>
        <v/>
      </c>
      <c r="R938" s="628">
        <f>IX_Model_MWS!R41</f>
        <v/>
      </c>
      <c r="S938" s="628">
        <f>IX_Model_MWS!S41</f>
        <v/>
      </c>
      <c r="T938" s="628">
        <f>IX_Model_MWS!T41</f>
        <v/>
      </c>
      <c r="U938" s="628">
        <f>IX_Model_MWS!U41</f>
        <v/>
      </c>
      <c r="V938" s="628">
        <f>IX_Model_MWS!V41</f>
        <v/>
      </c>
      <c r="W938" s="628">
        <f>IX_Model_MWS!W41</f>
        <v/>
      </c>
      <c r="X938" s="628">
        <f>IX_Model_MWS!X41</f>
        <v/>
      </c>
      <c r="Y938" s="650">
        <f>IX_Model_MWS!Y41</f>
        <v/>
      </c>
      <c r="Z938" s="650">
        <f>IX_Model_MWS!Z41</f>
        <v/>
      </c>
      <c r="AA938" s="650">
        <f>IX_Model_MWS!AA41</f>
        <v/>
      </c>
      <c r="AB938" s="650">
        <f>IX_Model_MWS!AB41</f>
        <v/>
      </c>
      <c r="AC938" s="613">
        <f>IX_Model_MWS!AC41</f>
        <v/>
      </c>
      <c r="AD938" s="613">
        <f>IX_Model_MWS!AD41</f>
        <v/>
      </c>
      <c r="AE938" s="613">
        <f>IX_Model_MWS!AE41</f>
        <v/>
      </c>
      <c r="AF938" s="613">
        <f>IX_Model_MWS!AF41</f>
        <v/>
      </c>
      <c r="AG938" s="626">
        <f>IX_Model_MWS!AG41</f>
        <v/>
      </c>
      <c r="AH938" s="626">
        <f>IX_Model_MWS!AH41</f>
        <v/>
      </c>
      <c r="AI938" s="626">
        <f>IX_Model_MWS!AI41</f>
        <v/>
      </c>
      <c r="AJ938" s="626">
        <f>IX_Model_MWS!AJ41</f>
        <v/>
      </c>
      <c r="AK938" s="626">
        <f>IX_Model_MWS!AK41</f>
        <v/>
      </c>
      <c r="AL938" s="626">
        <f>IX_Model_MWS!AL41</f>
        <v/>
      </c>
      <c r="AM938" s="626">
        <f>IX_Model_MWS!AM41</f>
        <v/>
      </c>
      <c r="AN938" s="626">
        <f>IX_Model_MWS!AN41</f>
        <v/>
      </c>
      <c r="AO938" s="626">
        <f>IX_Model_MWS!AO41</f>
        <v/>
      </c>
      <c r="AP938" s="369">
        <f>IX_Model_MWS!AP41</f>
        <v/>
      </c>
      <c r="AQ938" s="369">
        <f>IX_Model_MWS!AQ41</f>
        <v/>
      </c>
      <c r="AR938" s="369">
        <f>IX_Model_MWS!AR41</f>
        <v/>
      </c>
      <c r="AS938" s="369">
        <f>IX_Model_MWS!AS41</f>
        <v/>
      </c>
      <c r="AT938" s="370">
        <f>IX_Model_MWS!AT41</f>
        <v/>
      </c>
      <c r="AU938" s="370">
        <f>IX_Model_MWS!AU41</f>
        <v/>
      </c>
      <c r="AV938" s="370">
        <f>IX_Model_MWS!AV41</f>
        <v/>
      </c>
      <c r="AW938" s="370">
        <f>IX_Model_MWS!AW41</f>
        <v/>
      </c>
      <c r="AX938">
        <f>IX_Model_MWS!AX41</f>
        <v/>
      </c>
      <c r="AY938">
        <f>IX_Model_MWS!AY41</f>
        <v/>
      </c>
      <c r="AZ938">
        <f>IX_Model_MWS!AZ41</f>
        <v/>
      </c>
      <c r="BA938">
        <f>IX_Model_MWS!BA41</f>
        <v/>
      </c>
      <c r="BB938">
        <f>IX_Model_MWS!BB41</f>
        <v/>
      </c>
      <c r="BC938">
        <f>IX_Model_MWS!BC41</f>
        <v/>
      </c>
      <c r="BD938">
        <f>IX_Model_MWS!BD41</f>
        <v/>
      </c>
      <c r="BE938">
        <f>IX_Model_MWS!BE41</f>
        <v/>
      </c>
      <c r="BF938">
        <f>IX_Model_MWS!BF41</f>
        <v/>
      </c>
      <c r="BG938">
        <f>IX_Model_MWS!BG41</f>
        <v/>
      </c>
      <c r="BH938">
        <f>IX_Model_MWS!BH41</f>
        <v/>
      </c>
      <c r="BI938">
        <f>IX_Model_MWS!BI41</f>
        <v/>
      </c>
      <c r="BJ938">
        <f>O938</f>
        <v/>
      </c>
      <c r="BK938">
        <f>SUM(AG938:AW938)</f>
        <v/>
      </c>
      <c r="BL938" s="531">
        <f>BJ938-BK938</f>
        <v/>
      </c>
      <c r="BM938" s="201" t="n"/>
    </row>
    <row r="939" hidden="1" outlineLevel="1" s="191">
      <c r="A939">
        <f>IX_Model_MWS!A42</f>
        <v/>
      </c>
      <c r="B939">
        <f>IX_Model_MWS!B42</f>
        <v/>
      </c>
      <c r="C939">
        <f>IX_Model_MWS!C42</f>
        <v/>
      </c>
      <c r="D939">
        <f>IX_Model_MWS!D42</f>
        <v/>
      </c>
      <c r="E939">
        <f>IX_Model_MWS!E42</f>
        <v/>
      </c>
      <c r="F939">
        <f>IX_Model_MWS!F42</f>
        <v/>
      </c>
      <c r="G939">
        <f>IX_Model_MWS!G42</f>
        <v/>
      </c>
      <c r="H939">
        <f>IX_Model_MWS!H42</f>
        <v/>
      </c>
      <c r="I939">
        <f>IX_Model_MWS!I42</f>
        <v/>
      </c>
      <c r="J939">
        <f>IX_Model_MWS!J42</f>
        <v/>
      </c>
      <c r="K939" s="672">
        <f>IX_Model_MWS!K42</f>
        <v/>
      </c>
      <c r="L939" s="672">
        <f>IX_Model_MWS!L42</f>
        <v/>
      </c>
      <c r="M939">
        <f>IX_Model_MWS!M42</f>
        <v/>
      </c>
      <c r="N939">
        <f>IX_Model_MWS!N42</f>
        <v/>
      </c>
      <c r="O939">
        <f>IX_Model_MWS!O42</f>
        <v/>
      </c>
      <c r="P939" s="628">
        <f>IX_Model_MWS!P42</f>
        <v/>
      </c>
      <c r="Q939" s="628">
        <f>IX_Model_MWS!Q42</f>
        <v/>
      </c>
      <c r="R939" s="628">
        <f>IX_Model_MWS!R42</f>
        <v/>
      </c>
      <c r="S939" s="628">
        <f>IX_Model_MWS!S42</f>
        <v/>
      </c>
      <c r="T939" s="628">
        <f>IX_Model_MWS!T42</f>
        <v/>
      </c>
      <c r="U939" s="628">
        <f>IX_Model_MWS!U42</f>
        <v/>
      </c>
      <c r="V939" s="628">
        <f>IX_Model_MWS!V42</f>
        <v/>
      </c>
      <c r="W939" s="628">
        <f>IX_Model_MWS!W42</f>
        <v/>
      </c>
      <c r="X939" s="628">
        <f>IX_Model_MWS!X42</f>
        <v/>
      </c>
      <c r="Y939" s="650">
        <f>IX_Model_MWS!Y42</f>
        <v/>
      </c>
      <c r="Z939" s="650">
        <f>IX_Model_MWS!Z42</f>
        <v/>
      </c>
      <c r="AA939" s="650">
        <f>IX_Model_MWS!AA42</f>
        <v/>
      </c>
      <c r="AB939" s="650">
        <f>IX_Model_MWS!AB42</f>
        <v/>
      </c>
      <c r="AC939" s="613">
        <f>IX_Model_MWS!AC42</f>
        <v/>
      </c>
      <c r="AD939" s="613">
        <f>IX_Model_MWS!AD42</f>
        <v/>
      </c>
      <c r="AE939" s="613">
        <f>IX_Model_MWS!AE42</f>
        <v/>
      </c>
      <c r="AF939" s="613">
        <f>IX_Model_MWS!AF42</f>
        <v/>
      </c>
      <c r="AG939" s="626">
        <f>IX_Model_MWS!AG42</f>
        <v/>
      </c>
      <c r="AH939" s="626">
        <f>IX_Model_MWS!AH42</f>
        <v/>
      </c>
      <c r="AI939" s="626">
        <f>IX_Model_MWS!AI42</f>
        <v/>
      </c>
      <c r="AJ939" s="626">
        <f>IX_Model_MWS!AJ42</f>
        <v/>
      </c>
      <c r="AK939" s="626">
        <f>IX_Model_MWS!AK42</f>
        <v/>
      </c>
      <c r="AL939" s="626">
        <f>IX_Model_MWS!AL42</f>
        <v/>
      </c>
      <c r="AM939" s="626">
        <f>IX_Model_MWS!AM42</f>
        <v/>
      </c>
      <c r="AN939" s="626">
        <f>IX_Model_MWS!AN42</f>
        <v/>
      </c>
      <c r="AO939" s="626">
        <f>IX_Model_MWS!AO42</f>
        <v/>
      </c>
      <c r="AP939" s="369">
        <f>IX_Model_MWS!AP42</f>
        <v/>
      </c>
      <c r="AQ939" s="369">
        <f>IX_Model_MWS!AQ42</f>
        <v/>
      </c>
      <c r="AR939" s="369">
        <f>IX_Model_MWS!AR42</f>
        <v/>
      </c>
      <c r="AS939" s="369">
        <f>IX_Model_MWS!AS42</f>
        <v/>
      </c>
      <c r="AT939" s="370">
        <f>IX_Model_MWS!AT42</f>
        <v/>
      </c>
      <c r="AU939" s="370">
        <f>IX_Model_MWS!AU42</f>
        <v/>
      </c>
      <c r="AV939" s="370">
        <f>IX_Model_MWS!AV42</f>
        <v/>
      </c>
      <c r="AW939" s="370">
        <f>IX_Model_MWS!AW42</f>
        <v/>
      </c>
      <c r="AX939">
        <f>IX_Model_MWS!AX42</f>
        <v/>
      </c>
      <c r="AY939">
        <f>IX_Model_MWS!AY42</f>
        <v/>
      </c>
      <c r="AZ939">
        <f>IX_Model_MWS!AZ42</f>
        <v/>
      </c>
      <c r="BA939">
        <f>IX_Model_MWS!BA42</f>
        <v/>
      </c>
      <c r="BB939">
        <f>IX_Model_MWS!BB42</f>
        <v/>
      </c>
      <c r="BC939">
        <f>IX_Model_MWS!BC42</f>
        <v/>
      </c>
      <c r="BD939">
        <f>IX_Model_MWS!BD42</f>
        <v/>
      </c>
      <c r="BE939">
        <f>IX_Model_MWS!BE42</f>
        <v/>
      </c>
      <c r="BF939">
        <f>IX_Model_MWS!BF42</f>
        <v/>
      </c>
      <c r="BG939">
        <f>IX_Model_MWS!BG42</f>
        <v/>
      </c>
      <c r="BH939">
        <f>IX_Model_MWS!BH42</f>
        <v/>
      </c>
      <c r="BI939">
        <f>IX_Model_MWS!BI42</f>
        <v/>
      </c>
      <c r="BJ939">
        <f>O939</f>
        <v/>
      </c>
      <c r="BK939">
        <f>SUM(AG939:AW939)</f>
        <v/>
      </c>
      <c r="BL939" s="531">
        <f>BJ939-BK939</f>
        <v/>
      </c>
      <c r="BM939" s="201" t="n"/>
    </row>
    <row r="940" hidden="1" outlineLevel="1" s="191">
      <c r="A940">
        <f>IX_Model_MWS!A43</f>
        <v/>
      </c>
      <c r="B940">
        <f>IX_Model_MWS!B43</f>
        <v/>
      </c>
      <c r="C940">
        <f>IX_Model_MWS!C43</f>
        <v/>
      </c>
      <c r="D940">
        <f>IX_Model_MWS!D43</f>
        <v/>
      </c>
      <c r="E940">
        <f>IX_Model_MWS!E43</f>
        <v/>
      </c>
      <c r="F940">
        <f>IX_Model_MWS!F43</f>
        <v/>
      </c>
      <c r="G940">
        <f>IX_Model_MWS!G43</f>
        <v/>
      </c>
      <c r="H940">
        <f>IX_Model_MWS!H43</f>
        <v/>
      </c>
      <c r="I940">
        <f>IX_Model_MWS!I43</f>
        <v/>
      </c>
      <c r="J940">
        <f>IX_Model_MWS!J43</f>
        <v/>
      </c>
      <c r="K940" s="672">
        <f>IX_Model_MWS!K43</f>
        <v/>
      </c>
      <c r="L940" s="672">
        <f>IX_Model_MWS!L43</f>
        <v/>
      </c>
      <c r="M940">
        <f>IX_Model_MWS!M43</f>
        <v/>
      </c>
      <c r="N940">
        <f>IX_Model_MWS!N43</f>
        <v/>
      </c>
      <c r="O940">
        <f>IX_Model_MWS!O43</f>
        <v/>
      </c>
      <c r="P940" s="628">
        <f>IX_Model_MWS!P43</f>
        <v/>
      </c>
      <c r="Q940" s="628">
        <f>IX_Model_MWS!Q43</f>
        <v/>
      </c>
      <c r="R940" s="628">
        <f>IX_Model_MWS!R43</f>
        <v/>
      </c>
      <c r="S940" s="628">
        <f>IX_Model_MWS!S43</f>
        <v/>
      </c>
      <c r="T940" s="628">
        <f>IX_Model_MWS!T43</f>
        <v/>
      </c>
      <c r="U940" s="628">
        <f>IX_Model_MWS!U43</f>
        <v/>
      </c>
      <c r="V940" s="628">
        <f>IX_Model_MWS!V43</f>
        <v/>
      </c>
      <c r="W940" s="628">
        <f>IX_Model_MWS!W43</f>
        <v/>
      </c>
      <c r="X940" s="628">
        <f>IX_Model_MWS!X43</f>
        <v/>
      </c>
      <c r="Y940" s="650">
        <f>IX_Model_MWS!Y43</f>
        <v/>
      </c>
      <c r="Z940" s="650">
        <f>IX_Model_MWS!Z43</f>
        <v/>
      </c>
      <c r="AA940" s="650">
        <f>IX_Model_MWS!AA43</f>
        <v/>
      </c>
      <c r="AB940" s="650">
        <f>IX_Model_MWS!AB43</f>
        <v/>
      </c>
      <c r="AC940" s="613">
        <f>IX_Model_MWS!AC43</f>
        <v/>
      </c>
      <c r="AD940" s="613">
        <f>IX_Model_MWS!AD43</f>
        <v/>
      </c>
      <c r="AE940" s="613">
        <f>IX_Model_MWS!AE43</f>
        <v/>
      </c>
      <c r="AF940" s="613">
        <f>IX_Model_MWS!AF43</f>
        <v/>
      </c>
      <c r="AG940" s="626">
        <f>IX_Model_MWS!AG43</f>
        <v/>
      </c>
      <c r="AH940" s="626">
        <f>IX_Model_MWS!AH43</f>
        <v/>
      </c>
      <c r="AI940" s="626">
        <f>IX_Model_MWS!AI43</f>
        <v/>
      </c>
      <c r="AJ940" s="626">
        <f>IX_Model_MWS!AJ43</f>
        <v/>
      </c>
      <c r="AK940" s="626">
        <f>IX_Model_MWS!AK43</f>
        <v/>
      </c>
      <c r="AL940" s="626">
        <f>IX_Model_MWS!AL43</f>
        <v/>
      </c>
      <c r="AM940" s="626">
        <f>IX_Model_MWS!AM43</f>
        <v/>
      </c>
      <c r="AN940" s="626">
        <f>IX_Model_MWS!AN43</f>
        <v/>
      </c>
      <c r="AO940" s="626">
        <f>IX_Model_MWS!AO43</f>
        <v/>
      </c>
      <c r="AP940" s="369">
        <f>IX_Model_MWS!AP43</f>
        <v/>
      </c>
      <c r="AQ940" s="369">
        <f>IX_Model_MWS!AQ43</f>
        <v/>
      </c>
      <c r="AR940" s="369">
        <f>IX_Model_MWS!AR43</f>
        <v/>
      </c>
      <c r="AS940" s="369">
        <f>IX_Model_MWS!AS43</f>
        <v/>
      </c>
      <c r="AT940" s="370">
        <f>IX_Model_MWS!AT43</f>
        <v/>
      </c>
      <c r="AU940" s="370">
        <f>IX_Model_MWS!AU43</f>
        <v/>
      </c>
      <c r="AV940" s="370">
        <f>IX_Model_MWS!AV43</f>
        <v/>
      </c>
      <c r="AW940" s="370">
        <f>IX_Model_MWS!AW43</f>
        <v/>
      </c>
      <c r="AX940">
        <f>IX_Model_MWS!AX43</f>
        <v/>
      </c>
      <c r="AY940">
        <f>IX_Model_MWS!AY43</f>
        <v/>
      </c>
      <c r="AZ940">
        <f>IX_Model_MWS!AZ43</f>
        <v/>
      </c>
      <c r="BA940">
        <f>IX_Model_MWS!BA43</f>
        <v/>
      </c>
      <c r="BB940">
        <f>IX_Model_MWS!BB43</f>
        <v/>
      </c>
      <c r="BC940">
        <f>IX_Model_MWS!BC43</f>
        <v/>
      </c>
      <c r="BD940">
        <f>IX_Model_MWS!BD43</f>
        <v/>
      </c>
      <c r="BE940">
        <f>IX_Model_MWS!BE43</f>
        <v/>
      </c>
      <c r="BF940">
        <f>IX_Model_MWS!BF43</f>
        <v/>
      </c>
      <c r="BG940">
        <f>IX_Model_MWS!BG43</f>
        <v/>
      </c>
      <c r="BH940">
        <f>IX_Model_MWS!BH43</f>
        <v/>
      </c>
      <c r="BI940">
        <f>IX_Model_MWS!BI43</f>
        <v/>
      </c>
      <c r="BJ940">
        <f>O940</f>
        <v/>
      </c>
      <c r="BK940">
        <f>SUM(AG940:AW940)</f>
        <v/>
      </c>
      <c r="BL940" s="531">
        <f>BJ940-BK940</f>
        <v/>
      </c>
      <c r="BM940" s="201" t="n"/>
    </row>
    <row r="941" hidden="1" outlineLevel="1" s="191">
      <c r="A941">
        <f>IX_Model_MWS!A44</f>
        <v/>
      </c>
      <c r="B941">
        <f>IX_Model_MWS!B44</f>
        <v/>
      </c>
      <c r="C941">
        <f>IX_Model_MWS!C44</f>
        <v/>
      </c>
      <c r="D941">
        <f>IX_Model_MWS!D44</f>
        <v/>
      </c>
      <c r="E941">
        <f>IX_Model_MWS!E44</f>
        <v/>
      </c>
      <c r="F941">
        <f>IX_Model_MWS!F44</f>
        <v/>
      </c>
      <c r="G941">
        <f>IX_Model_MWS!G44</f>
        <v/>
      </c>
      <c r="H941">
        <f>IX_Model_MWS!H44</f>
        <v/>
      </c>
      <c r="I941">
        <f>IX_Model_MWS!I44</f>
        <v/>
      </c>
      <c r="J941">
        <f>IX_Model_MWS!J44</f>
        <v/>
      </c>
      <c r="K941" s="672">
        <f>IX_Model_MWS!K44</f>
        <v/>
      </c>
      <c r="L941" s="672">
        <f>IX_Model_MWS!L44</f>
        <v/>
      </c>
      <c r="M941">
        <f>IX_Model_MWS!M44</f>
        <v/>
      </c>
      <c r="N941">
        <f>IX_Model_MWS!N44</f>
        <v/>
      </c>
      <c r="O941">
        <f>IX_Model_MWS!O44</f>
        <v/>
      </c>
      <c r="P941" s="628">
        <f>IX_Model_MWS!P44</f>
        <v/>
      </c>
      <c r="Q941" s="628">
        <f>IX_Model_MWS!Q44</f>
        <v/>
      </c>
      <c r="R941" s="628">
        <f>IX_Model_MWS!R44</f>
        <v/>
      </c>
      <c r="S941" s="628">
        <f>IX_Model_MWS!S44</f>
        <v/>
      </c>
      <c r="T941" s="628">
        <f>IX_Model_MWS!T44</f>
        <v/>
      </c>
      <c r="U941" s="628">
        <f>IX_Model_MWS!U44</f>
        <v/>
      </c>
      <c r="V941" s="628">
        <f>IX_Model_MWS!V44</f>
        <v/>
      </c>
      <c r="W941" s="628">
        <f>IX_Model_MWS!W44</f>
        <v/>
      </c>
      <c r="X941" s="628">
        <f>IX_Model_MWS!X44</f>
        <v/>
      </c>
      <c r="Y941" s="650">
        <f>IX_Model_MWS!Y44</f>
        <v/>
      </c>
      <c r="Z941" s="650">
        <f>IX_Model_MWS!Z44</f>
        <v/>
      </c>
      <c r="AA941" s="650">
        <f>IX_Model_MWS!AA44</f>
        <v/>
      </c>
      <c r="AB941" s="650">
        <f>IX_Model_MWS!AB44</f>
        <v/>
      </c>
      <c r="AC941" s="613">
        <f>IX_Model_MWS!AC44</f>
        <v/>
      </c>
      <c r="AD941" s="613">
        <f>IX_Model_MWS!AD44</f>
        <v/>
      </c>
      <c r="AE941" s="613">
        <f>IX_Model_MWS!AE44</f>
        <v/>
      </c>
      <c r="AF941" s="613">
        <f>IX_Model_MWS!AF44</f>
        <v/>
      </c>
      <c r="AG941" s="626">
        <f>IX_Model_MWS!AG44</f>
        <v/>
      </c>
      <c r="AH941" s="626">
        <f>IX_Model_MWS!AH44</f>
        <v/>
      </c>
      <c r="AI941" s="626">
        <f>IX_Model_MWS!AI44</f>
        <v/>
      </c>
      <c r="AJ941" s="626">
        <f>IX_Model_MWS!AJ44</f>
        <v/>
      </c>
      <c r="AK941" s="626">
        <f>IX_Model_MWS!AK44</f>
        <v/>
      </c>
      <c r="AL941" s="626">
        <f>IX_Model_MWS!AL44</f>
        <v/>
      </c>
      <c r="AM941" s="626">
        <f>IX_Model_MWS!AM44</f>
        <v/>
      </c>
      <c r="AN941" s="626">
        <f>IX_Model_MWS!AN44</f>
        <v/>
      </c>
      <c r="AO941" s="626">
        <f>IX_Model_MWS!AO44</f>
        <v/>
      </c>
      <c r="AP941" s="369">
        <f>IX_Model_MWS!AP44</f>
        <v/>
      </c>
      <c r="AQ941" s="369">
        <f>IX_Model_MWS!AQ44</f>
        <v/>
      </c>
      <c r="AR941" s="369">
        <f>IX_Model_MWS!AR44</f>
        <v/>
      </c>
      <c r="AS941" s="369">
        <f>IX_Model_MWS!AS44</f>
        <v/>
      </c>
      <c r="AT941" s="370">
        <f>IX_Model_MWS!AT44</f>
        <v/>
      </c>
      <c r="AU941" s="370">
        <f>IX_Model_MWS!AU44</f>
        <v/>
      </c>
      <c r="AV941" s="370">
        <f>IX_Model_MWS!AV44</f>
        <v/>
      </c>
      <c r="AW941" s="370">
        <f>IX_Model_MWS!AW44</f>
        <v/>
      </c>
      <c r="AX941">
        <f>IX_Model_MWS!AX44</f>
        <v/>
      </c>
      <c r="AY941">
        <f>IX_Model_MWS!AY44</f>
        <v/>
      </c>
      <c r="AZ941">
        <f>IX_Model_MWS!AZ44</f>
        <v/>
      </c>
      <c r="BA941">
        <f>IX_Model_MWS!BA44</f>
        <v/>
      </c>
      <c r="BB941">
        <f>IX_Model_MWS!BB44</f>
        <v/>
      </c>
      <c r="BC941">
        <f>IX_Model_MWS!BC44</f>
        <v/>
      </c>
      <c r="BD941">
        <f>IX_Model_MWS!BD44</f>
        <v/>
      </c>
      <c r="BE941">
        <f>IX_Model_MWS!BE44</f>
        <v/>
      </c>
      <c r="BF941">
        <f>IX_Model_MWS!BF44</f>
        <v/>
      </c>
      <c r="BG941">
        <f>IX_Model_MWS!BG44</f>
        <v/>
      </c>
      <c r="BH941">
        <f>IX_Model_MWS!BH44</f>
        <v/>
      </c>
      <c r="BI941">
        <f>IX_Model_MWS!BI44</f>
        <v/>
      </c>
      <c r="BJ941">
        <f>O941</f>
        <v/>
      </c>
      <c r="BK941">
        <f>SUM(AG941:AW941)</f>
        <v/>
      </c>
      <c r="BL941" s="531">
        <f>BJ941-BK941</f>
        <v/>
      </c>
      <c r="BM941" s="201" t="n"/>
    </row>
    <row r="942" hidden="1" outlineLevel="1" s="191">
      <c r="A942">
        <f>IX_Model_MWS!A45</f>
        <v/>
      </c>
      <c r="B942">
        <f>IX_Model_MWS!B45</f>
        <v/>
      </c>
      <c r="C942">
        <f>IX_Model_MWS!C45</f>
        <v/>
      </c>
      <c r="D942">
        <f>IX_Model_MWS!D45</f>
        <v/>
      </c>
      <c r="E942">
        <f>IX_Model_MWS!E45</f>
        <v/>
      </c>
      <c r="F942">
        <f>IX_Model_MWS!F45</f>
        <v/>
      </c>
      <c r="G942">
        <f>IX_Model_MWS!G45</f>
        <v/>
      </c>
      <c r="H942">
        <f>IX_Model_MWS!H45</f>
        <v/>
      </c>
      <c r="I942">
        <f>IX_Model_MWS!I45</f>
        <v/>
      </c>
      <c r="J942">
        <f>IX_Model_MWS!J45</f>
        <v/>
      </c>
      <c r="K942" s="672">
        <f>IX_Model_MWS!K45</f>
        <v/>
      </c>
      <c r="L942" s="672">
        <f>IX_Model_MWS!L45</f>
        <v/>
      </c>
      <c r="M942">
        <f>IX_Model_MWS!M45</f>
        <v/>
      </c>
      <c r="N942">
        <f>IX_Model_MWS!N45</f>
        <v/>
      </c>
      <c r="O942">
        <f>IX_Model_MWS!O45</f>
        <v/>
      </c>
      <c r="P942" s="628">
        <f>IX_Model_MWS!P45</f>
        <v/>
      </c>
      <c r="Q942" s="628">
        <f>IX_Model_MWS!Q45</f>
        <v/>
      </c>
      <c r="R942" s="628">
        <f>IX_Model_MWS!R45</f>
        <v/>
      </c>
      <c r="S942" s="628">
        <f>IX_Model_MWS!S45</f>
        <v/>
      </c>
      <c r="T942" s="628">
        <f>IX_Model_MWS!T45</f>
        <v/>
      </c>
      <c r="U942" s="628">
        <f>IX_Model_MWS!U45</f>
        <v/>
      </c>
      <c r="V942" s="628">
        <f>IX_Model_MWS!V45</f>
        <v/>
      </c>
      <c r="W942" s="628">
        <f>IX_Model_MWS!W45</f>
        <v/>
      </c>
      <c r="X942" s="628">
        <f>IX_Model_MWS!X45</f>
        <v/>
      </c>
      <c r="Y942" s="650">
        <f>IX_Model_MWS!Y45</f>
        <v/>
      </c>
      <c r="Z942" s="650">
        <f>IX_Model_MWS!Z45</f>
        <v/>
      </c>
      <c r="AA942" s="650">
        <f>IX_Model_MWS!AA45</f>
        <v/>
      </c>
      <c r="AB942" s="650">
        <f>IX_Model_MWS!AB45</f>
        <v/>
      </c>
      <c r="AC942" s="613">
        <f>IX_Model_MWS!AC45</f>
        <v/>
      </c>
      <c r="AD942" s="613">
        <f>IX_Model_MWS!AD45</f>
        <v/>
      </c>
      <c r="AE942" s="613">
        <f>IX_Model_MWS!AE45</f>
        <v/>
      </c>
      <c r="AF942" s="613">
        <f>IX_Model_MWS!AF45</f>
        <v/>
      </c>
      <c r="AG942" s="626">
        <f>IX_Model_MWS!AG45</f>
        <v/>
      </c>
      <c r="AH942" s="626">
        <f>IX_Model_MWS!AH45</f>
        <v/>
      </c>
      <c r="AI942" s="626">
        <f>IX_Model_MWS!AI45</f>
        <v/>
      </c>
      <c r="AJ942" s="626">
        <f>IX_Model_MWS!AJ45</f>
        <v/>
      </c>
      <c r="AK942" s="626">
        <f>IX_Model_MWS!AK45</f>
        <v/>
      </c>
      <c r="AL942" s="626">
        <f>IX_Model_MWS!AL45</f>
        <v/>
      </c>
      <c r="AM942" s="626">
        <f>IX_Model_MWS!AM45</f>
        <v/>
      </c>
      <c r="AN942" s="626">
        <f>IX_Model_MWS!AN45</f>
        <v/>
      </c>
      <c r="AO942" s="626">
        <f>IX_Model_MWS!AO45</f>
        <v/>
      </c>
      <c r="AP942" s="369">
        <f>IX_Model_MWS!AP45</f>
        <v/>
      </c>
      <c r="AQ942" s="369">
        <f>IX_Model_MWS!AQ45</f>
        <v/>
      </c>
      <c r="AR942" s="369">
        <f>IX_Model_MWS!AR45</f>
        <v/>
      </c>
      <c r="AS942" s="369">
        <f>IX_Model_MWS!AS45</f>
        <v/>
      </c>
      <c r="AT942" s="370">
        <f>IX_Model_MWS!AT45</f>
        <v/>
      </c>
      <c r="AU942" s="370">
        <f>IX_Model_MWS!AU45</f>
        <v/>
      </c>
      <c r="AV942" s="370">
        <f>IX_Model_MWS!AV45</f>
        <v/>
      </c>
      <c r="AW942" s="370">
        <f>IX_Model_MWS!AW45</f>
        <v/>
      </c>
      <c r="AX942">
        <f>IX_Model_MWS!AX45</f>
        <v/>
      </c>
      <c r="AY942">
        <f>IX_Model_MWS!AY45</f>
        <v/>
      </c>
      <c r="AZ942">
        <f>IX_Model_MWS!AZ45</f>
        <v/>
      </c>
      <c r="BA942">
        <f>IX_Model_MWS!BA45</f>
        <v/>
      </c>
      <c r="BB942">
        <f>IX_Model_MWS!BB45</f>
        <v/>
      </c>
      <c r="BC942">
        <f>IX_Model_MWS!BC45</f>
        <v/>
      </c>
      <c r="BD942">
        <f>IX_Model_MWS!BD45</f>
        <v/>
      </c>
      <c r="BE942">
        <f>IX_Model_MWS!BE45</f>
        <v/>
      </c>
      <c r="BF942">
        <f>IX_Model_MWS!BF45</f>
        <v/>
      </c>
      <c r="BG942">
        <f>IX_Model_MWS!BG45</f>
        <v/>
      </c>
      <c r="BH942">
        <f>IX_Model_MWS!BH45</f>
        <v/>
      </c>
      <c r="BI942">
        <f>IX_Model_MWS!BI45</f>
        <v/>
      </c>
      <c r="BJ942">
        <f>O942</f>
        <v/>
      </c>
      <c r="BK942">
        <f>SUM(AG942:AW942)</f>
        <v/>
      </c>
      <c r="BL942" s="531">
        <f>BJ942-BK942</f>
        <v/>
      </c>
      <c r="BM942" s="201" t="n"/>
    </row>
    <row r="943" hidden="1" outlineLevel="1" s="191">
      <c r="A943">
        <f>IX_Model_MWS!A46</f>
        <v/>
      </c>
      <c r="B943">
        <f>IX_Model_MWS!B46</f>
        <v/>
      </c>
      <c r="C943">
        <f>IX_Model_MWS!C46</f>
        <v/>
      </c>
      <c r="D943">
        <f>IX_Model_MWS!D46</f>
        <v/>
      </c>
      <c r="E943">
        <f>IX_Model_MWS!E46</f>
        <v/>
      </c>
      <c r="F943">
        <f>IX_Model_MWS!F46</f>
        <v/>
      </c>
      <c r="G943">
        <f>IX_Model_MWS!G46</f>
        <v/>
      </c>
      <c r="H943">
        <f>IX_Model_MWS!H46</f>
        <v/>
      </c>
      <c r="I943">
        <f>IX_Model_MWS!I46</f>
        <v/>
      </c>
      <c r="J943">
        <f>IX_Model_MWS!J46</f>
        <v/>
      </c>
      <c r="K943" s="672">
        <f>IX_Model_MWS!K46</f>
        <v/>
      </c>
      <c r="L943" s="672">
        <f>IX_Model_MWS!L46</f>
        <v/>
      </c>
      <c r="M943">
        <f>IX_Model_MWS!M46</f>
        <v/>
      </c>
      <c r="N943">
        <f>IX_Model_MWS!N46</f>
        <v/>
      </c>
      <c r="O943">
        <f>IX_Model_MWS!O46</f>
        <v/>
      </c>
      <c r="P943" s="628">
        <f>IX_Model_MWS!P46</f>
        <v/>
      </c>
      <c r="Q943" s="628">
        <f>IX_Model_MWS!Q46</f>
        <v/>
      </c>
      <c r="R943" s="628">
        <f>IX_Model_MWS!R46</f>
        <v/>
      </c>
      <c r="S943" s="628">
        <f>IX_Model_MWS!S46</f>
        <v/>
      </c>
      <c r="T943" s="628">
        <f>IX_Model_MWS!T46</f>
        <v/>
      </c>
      <c r="U943" s="628">
        <f>IX_Model_MWS!U46</f>
        <v/>
      </c>
      <c r="V943" s="628">
        <f>IX_Model_MWS!V46</f>
        <v/>
      </c>
      <c r="W943" s="628">
        <f>IX_Model_MWS!W46</f>
        <v/>
      </c>
      <c r="X943" s="628">
        <f>IX_Model_MWS!X46</f>
        <v/>
      </c>
      <c r="Y943" s="650">
        <f>IX_Model_MWS!Y46</f>
        <v/>
      </c>
      <c r="Z943" s="650">
        <f>IX_Model_MWS!Z46</f>
        <v/>
      </c>
      <c r="AA943" s="650">
        <f>IX_Model_MWS!AA46</f>
        <v/>
      </c>
      <c r="AB943" s="650">
        <f>IX_Model_MWS!AB46</f>
        <v/>
      </c>
      <c r="AC943" s="613">
        <f>IX_Model_MWS!AC46</f>
        <v/>
      </c>
      <c r="AD943" s="613">
        <f>IX_Model_MWS!AD46</f>
        <v/>
      </c>
      <c r="AE943" s="613">
        <f>IX_Model_MWS!AE46</f>
        <v/>
      </c>
      <c r="AF943" s="613">
        <f>IX_Model_MWS!AF46</f>
        <v/>
      </c>
      <c r="AG943" s="626">
        <f>IX_Model_MWS!AG46</f>
        <v/>
      </c>
      <c r="AH943" s="626">
        <f>IX_Model_MWS!AH46</f>
        <v/>
      </c>
      <c r="AI943" s="626">
        <f>IX_Model_MWS!AI46</f>
        <v/>
      </c>
      <c r="AJ943" s="626">
        <f>IX_Model_MWS!AJ46</f>
        <v/>
      </c>
      <c r="AK943" s="626">
        <f>IX_Model_MWS!AK46</f>
        <v/>
      </c>
      <c r="AL943" s="626">
        <f>IX_Model_MWS!AL46</f>
        <v/>
      </c>
      <c r="AM943" s="626">
        <f>IX_Model_MWS!AM46</f>
        <v/>
      </c>
      <c r="AN943" s="626">
        <f>IX_Model_MWS!AN46</f>
        <v/>
      </c>
      <c r="AO943" s="626">
        <f>IX_Model_MWS!AO46</f>
        <v/>
      </c>
      <c r="AP943" s="369">
        <f>IX_Model_MWS!AP46</f>
        <v/>
      </c>
      <c r="AQ943" s="369">
        <f>IX_Model_MWS!AQ46</f>
        <v/>
      </c>
      <c r="AR943" s="369">
        <f>IX_Model_MWS!AR46</f>
        <v/>
      </c>
      <c r="AS943" s="369">
        <f>IX_Model_MWS!AS46</f>
        <v/>
      </c>
      <c r="AT943" s="370">
        <f>IX_Model_MWS!AT46</f>
        <v/>
      </c>
      <c r="AU943" s="370">
        <f>IX_Model_MWS!AU46</f>
        <v/>
      </c>
      <c r="AV943" s="370">
        <f>IX_Model_MWS!AV46</f>
        <v/>
      </c>
      <c r="AW943" s="370">
        <f>IX_Model_MWS!AW46</f>
        <v/>
      </c>
      <c r="AX943">
        <f>IX_Model_MWS!AX46</f>
        <v/>
      </c>
      <c r="AY943">
        <f>IX_Model_MWS!AY46</f>
        <v/>
      </c>
      <c r="AZ943">
        <f>IX_Model_MWS!AZ46</f>
        <v/>
      </c>
      <c r="BA943">
        <f>IX_Model_MWS!BA46</f>
        <v/>
      </c>
      <c r="BB943">
        <f>IX_Model_MWS!BB46</f>
        <v/>
      </c>
      <c r="BC943">
        <f>IX_Model_MWS!BC46</f>
        <v/>
      </c>
      <c r="BD943">
        <f>IX_Model_MWS!BD46</f>
        <v/>
      </c>
      <c r="BE943">
        <f>IX_Model_MWS!BE46</f>
        <v/>
      </c>
      <c r="BF943">
        <f>IX_Model_MWS!BF46</f>
        <v/>
      </c>
      <c r="BG943">
        <f>IX_Model_MWS!BG46</f>
        <v/>
      </c>
      <c r="BH943">
        <f>IX_Model_MWS!BH46</f>
        <v/>
      </c>
      <c r="BI943">
        <f>IX_Model_MWS!BI46</f>
        <v/>
      </c>
      <c r="BJ943">
        <f>O943</f>
        <v/>
      </c>
      <c r="BK943">
        <f>SUM(AG943:AW943)</f>
        <v/>
      </c>
      <c r="BL943" s="531">
        <f>BJ943-BK943</f>
        <v/>
      </c>
      <c r="BM943" s="201" t="n"/>
    </row>
    <row r="944" hidden="1" outlineLevel="1" s="191">
      <c r="A944">
        <f>IX_Model_MWS!A47</f>
        <v/>
      </c>
      <c r="B944">
        <f>IX_Model_MWS!B47</f>
        <v/>
      </c>
      <c r="C944">
        <f>IX_Model_MWS!C47</f>
        <v/>
      </c>
      <c r="D944">
        <f>IX_Model_MWS!D47</f>
        <v/>
      </c>
      <c r="E944">
        <f>IX_Model_MWS!E47</f>
        <v/>
      </c>
      <c r="F944">
        <f>IX_Model_MWS!F47</f>
        <v/>
      </c>
      <c r="G944">
        <f>IX_Model_MWS!G47</f>
        <v/>
      </c>
      <c r="H944">
        <f>IX_Model_MWS!H47</f>
        <v/>
      </c>
      <c r="I944">
        <f>IX_Model_MWS!I47</f>
        <v/>
      </c>
      <c r="J944">
        <f>IX_Model_MWS!J47</f>
        <v/>
      </c>
      <c r="K944" s="672">
        <f>IX_Model_MWS!K47</f>
        <v/>
      </c>
      <c r="L944" s="672">
        <f>IX_Model_MWS!L47</f>
        <v/>
      </c>
      <c r="M944">
        <f>IX_Model_MWS!M47</f>
        <v/>
      </c>
      <c r="N944">
        <f>IX_Model_MWS!N47</f>
        <v/>
      </c>
      <c r="O944">
        <f>IX_Model_MWS!O47</f>
        <v/>
      </c>
      <c r="P944" s="628">
        <f>IX_Model_MWS!P47</f>
        <v/>
      </c>
      <c r="Q944" s="628">
        <f>IX_Model_MWS!Q47</f>
        <v/>
      </c>
      <c r="R944" s="628">
        <f>IX_Model_MWS!R47</f>
        <v/>
      </c>
      <c r="S944" s="628">
        <f>IX_Model_MWS!S47</f>
        <v/>
      </c>
      <c r="T944" s="628">
        <f>IX_Model_MWS!T47</f>
        <v/>
      </c>
      <c r="U944" s="628">
        <f>IX_Model_MWS!U47</f>
        <v/>
      </c>
      <c r="V944" s="628">
        <f>IX_Model_MWS!V47</f>
        <v/>
      </c>
      <c r="W944" s="628">
        <f>IX_Model_MWS!W47</f>
        <v/>
      </c>
      <c r="X944" s="628">
        <f>IX_Model_MWS!X47</f>
        <v/>
      </c>
      <c r="Y944" s="650">
        <f>IX_Model_MWS!Y47</f>
        <v/>
      </c>
      <c r="Z944" s="650">
        <f>IX_Model_MWS!Z47</f>
        <v/>
      </c>
      <c r="AA944" s="650">
        <f>IX_Model_MWS!AA47</f>
        <v/>
      </c>
      <c r="AB944" s="650">
        <f>IX_Model_MWS!AB47</f>
        <v/>
      </c>
      <c r="AC944" s="613">
        <f>IX_Model_MWS!AC47</f>
        <v/>
      </c>
      <c r="AD944" s="613">
        <f>IX_Model_MWS!AD47</f>
        <v/>
      </c>
      <c r="AE944" s="613">
        <f>IX_Model_MWS!AE47</f>
        <v/>
      </c>
      <c r="AF944" s="613">
        <f>IX_Model_MWS!AF47</f>
        <v/>
      </c>
      <c r="AG944" s="626">
        <f>IX_Model_MWS!AG47</f>
        <v/>
      </c>
      <c r="AH944" s="626">
        <f>IX_Model_MWS!AH47</f>
        <v/>
      </c>
      <c r="AI944" s="626">
        <f>IX_Model_MWS!AI47</f>
        <v/>
      </c>
      <c r="AJ944" s="626">
        <f>IX_Model_MWS!AJ47</f>
        <v/>
      </c>
      <c r="AK944" s="626">
        <f>IX_Model_MWS!AK47</f>
        <v/>
      </c>
      <c r="AL944" s="626">
        <f>IX_Model_MWS!AL47</f>
        <v/>
      </c>
      <c r="AM944" s="626">
        <f>IX_Model_MWS!AM47</f>
        <v/>
      </c>
      <c r="AN944" s="626">
        <f>IX_Model_MWS!AN47</f>
        <v/>
      </c>
      <c r="AO944" s="626">
        <f>IX_Model_MWS!AO47</f>
        <v/>
      </c>
      <c r="AP944" s="369">
        <f>IX_Model_MWS!AP47</f>
        <v/>
      </c>
      <c r="AQ944" s="369">
        <f>IX_Model_MWS!AQ47</f>
        <v/>
      </c>
      <c r="AR944" s="369">
        <f>IX_Model_MWS!AR47</f>
        <v/>
      </c>
      <c r="AS944" s="369">
        <f>IX_Model_MWS!AS47</f>
        <v/>
      </c>
      <c r="AT944" s="370">
        <f>IX_Model_MWS!AT47</f>
        <v/>
      </c>
      <c r="AU944" s="370">
        <f>IX_Model_MWS!AU47</f>
        <v/>
      </c>
      <c r="AV944" s="370">
        <f>IX_Model_MWS!AV47</f>
        <v/>
      </c>
      <c r="AW944" s="370">
        <f>IX_Model_MWS!AW47</f>
        <v/>
      </c>
      <c r="AX944">
        <f>IX_Model_MWS!AX47</f>
        <v/>
      </c>
      <c r="AY944">
        <f>IX_Model_MWS!AY47</f>
        <v/>
      </c>
      <c r="AZ944">
        <f>IX_Model_MWS!AZ47</f>
        <v/>
      </c>
      <c r="BA944">
        <f>IX_Model_MWS!BA47</f>
        <v/>
      </c>
      <c r="BB944">
        <f>IX_Model_MWS!BB47</f>
        <v/>
      </c>
      <c r="BC944">
        <f>IX_Model_MWS!BC47</f>
        <v/>
      </c>
      <c r="BD944">
        <f>IX_Model_MWS!BD47</f>
        <v/>
      </c>
      <c r="BE944">
        <f>IX_Model_MWS!BE47</f>
        <v/>
      </c>
      <c r="BF944">
        <f>IX_Model_MWS!BF47</f>
        <v/>
      </c>
      <c r="BG944">
        <f>IX_Model_MWS!BG47</f>
        <v/>
      </c>
      <c r="BH944">
        <f>IX_Model_MWS!BH47</f>
        <v/>
      </c>
      <c r="BI944">
        <f>IX_Model_MWS!BI47</f>
        <v/>
      </c>
      <c r="BJ944">
        <f>O944</f>
        <v/>
      </c>
      <c r="BK944">
        <f>SUM(AG944:AW944)</f>
        <v/>
      </c>
      <c r="BL944" s="531">
        <f>BJ944-BK944</f>
        <v/>
      </c>
      <c r="BM944" s="201" t="n"/>
    </row>
    <row r="945" hidden="1" outlineLevel="1" s="191">
      <c r="A945">
        <f>IX_Model_MWS!A48</f>
        <v/>
      </c>
      <c r="B945">
        <f>IX_Model_MWS!B48</f>
        <v/>
      </c>
      <c r="C945">
        <f>IX_Model_MWS!C48</f>
        <v/>
      </c>
      <c r="D945">
        <f>IX_Model_MWS!D48</f>
        <v/>
      </c>
      <c r="E945">
        <f>IX_Model_MWS!E48</f>
        <v/>
      </c>
      <c r="F945">
        <f>IX_Model_MWS!F48</f>
        <v/>
      </c>
      <c r="G945">
        <f>IX_Model_MWS!G48</f>
        <v/>
      </c>
      <c r="H945">
        <f>IX_Model_MWS!H48</f>
        <v/>
      </c>
      <c r="I945">
        <f>IX_Model_MWS!I48</f>
        <v/>
      </c>
      <c r="J945">
        <f>IX_Model_MWS!J48</f>
        <v/>
      </c>
      <c r="K945" s="672">
        <f>IX_Model_MWS!K48</f>
        <v/>
      </c>
      <c r="L945" s="672">
        <f>IX_Model_MWS!L48</f>
        <v/>
      </c>
      <c r="M945">
        <f>IX_Model_MWS!M48</f>
        <v/>
      </c>
      <c r="N945">
        <f>IX_Model_MWS!N48</f>
        <v/>
      </c>
      <c r="O945">
        <f>IX_Model_MWS!O48</f>
        <v/>
      </c>
      <c r="P945" s="628">
        <f>IX_Model_MWS!P48</f>
        <v/>
      </c>
      <c r="Q945" s="628">
        <f>IX_Model_MWS!Q48</f>
        <v/>
      </c>
      <c r="R945" s="628">
        <f>IX_Model_MWS!R48</f>
        <v/>
      </c>
      <c r="S945" s="628">
        <f>IX_Model_MWS!S48</f>
        <v/>
      </c>
      <c r="T945" s="628">
        <f>IX_Model_MWS!T48</f>
        <v/>
      </c>
      <c r="U945" s="628">
        <f>IX_Model_MWS!U48</f>
        <v/>
      </c>
      <c r="V945" s="628">
        <f>IX_Model_MWS!V48</f>
        <v/>
      </c>
      <c r="W945" s="628">
        <f>IX_Model_MWS!W48</f>
        <v/>
      </c>
      <c r="X945" s="628">
        <f>IX_Model_MWS!X48</f>
        <v/>
      </c>
      <c r="Y945" s="650">
        <f>IX_Model_MWS!Y48</f>
        <v/>
      </c>
      <c r="Z945" s="650">
        <f>IX_Model_MWS!Z48</f>
        <v/>
      </c>
      <c r="AA945" s="650">
        <f>IX_Model_MWS!AA48</f>
        <v/>
      </c>
      <c r="AB945" s="650">
        <f>IX_Model_MWS!AB48</f>
        <v/>
      </c>
      <c r="AC945" s="613">
        <f>IX_Model_MWS!AC48</f>
        <v/>
      </c>
      <c r="AD945" s="613">
        <f>IX_Model_MWS!AD48</f>
        <v/>
      </c>
      <c r="AE945" s="613">
        <f>IX_Model_MWS!AE48</f>
        <v/>
      </c>
      <c r="AF945" s="613">
        <f>IX_Model_MWS!AF48</f>
        <v/>
      </c>
      <c r="AG945" s="626">
        <f>IX_Model_MWS!AG48</f>
        <v/>
      </c>
      <c r="AH945" s="626">
        <f>IX_Model_MWS!AH48</f>
        <v/>
      </c>
      <c r="AI945" s="626">
        <f>IX_Model_MWS!AI48</f>
        <v/>
      </c>
      <c r="AJ945" s="626">
        <f>IX_Model_MWS!AJ48</f>
        <v/>
      </c>
      <c r="AK945" s="626">
        <f>IX_Model_MWS!AK48</f>
        <v/>
      </c>
      <c r="AL945" s="626">
        <f>IX_Model_MWS!AL48</f>
        <v/>
      </c>
      <c r="AM945" s="626">
        <f>IX_Model_MWS!AM48</f>
        <v/>
      </c>
      <c r="AN945" s="626">
        <f>IX_Model_MWS!AN48</f>
        <v/>
      </c>
      <c r="AO945" s="626">
        <f>IX_Model_MWS!AO48</f>
        <v/>
      </c>
      <c r="AP945" s="369">
        <f>IX_Model_MWS!AP48</f>
        <v/>
      </c>
      <c r="AQ945" s="369">
        <f>IX_Model_MWS!AQ48</f>
        <v/>
      </c>
      <c r="AR945" s="369">
        <f>IX_Model_MWS!AR48</f>
        <v/>
      </c>
      <c r="AS945" s="369">
        <f>IX_Model_MWS!AS48</f>
        <v/>
      </c>
      <c r="AT945" s="370">
        <f>IX_Model_MWS!AT48</f>
        <v/>
      </c>
      <c r="AU945" s="370">
        <f>IX_Model_MWS!AU48</f>
        <v/>
      </c>
      <c r="AV945" s="370">
        <f>IX_Model_MWS!AV48</f>
        <v/>
      </c>
      <c r="AW945" s="370">
        <f>IX_Model_MWS!AW48</f>
        <v/>
      </c>
      <c r="AX945">
        <f>IX_Model_MWS!AX48</f>
        <v/>
      </c>
      <c r="AY945">
        <f>IX_Model_MWS!AY48</f>
        <v/>
      </c>
      <c r="AZ945">
        <f>IX_Model_MWS!AZ48</f>
        <v/>
      </c>
      <c r="BA945">
        <f>IX_Model_MWS!BA48</f>
        <v/>
      </c>
      <c r="BB945">
        <f>IX_Model_MWS!BB48</f>
        <v/>
      </c>
      <c r="BC945">
        <f>IX_Model_MWS!BC48</f>
        <v/>
      </c>
      <c r="BD945">
        <f>IX_Model_MWS!BD48</f>
        <v/>
      </c>
      <c r="BE945">
        <f>IX_Model_MWS!BE48</f>
        <v/>
      </c>
      <c r="BF945">
        <f>IX_Model_MWS!BF48</f>
        <v/>
      </c>
      <c r="BG945">
        <f>IX_Model_MWS!BG48</f>
        <v/>
      </c>
      <c r="BH945">
        <f>IX_Model_MWS!BH48</f>
        <v/>
      </c>
      <c r="BI945">
        <f>IX_Model_MWS!BI48</f>
        <v/>
      </c>
      <c r="BJ945">
        <f>O945</f>
        <v/>
      </c>
      <c r="BK945">
        <f>SUM(AG945:AW945)</f>
        <v/>
      </c>
      <c r="BL945" s="531">
        <f>BJ945-BK945</f>
        <v/>
      </c>
      <c r="BM945" s="201" t="n"/>
    </row>
    <row r="946" hidden="1" outlineLevel="1" s="191">
      <c r="A946">
        <f>IX_Model_MWS!A49</f>
        <v/>
      </c>
      <c r="B946">
        <f>IX_Model_MWS!B49</f>
        <v/>
      </c>
      <c r="C946">
        <f>IX_Model_MWS!C49</f>
        <v/>
      </c>
      <c r="D946">
        <f>IX_Model_MWS!D49</f>
        <v/>
      </c>
      <c r="E946">
        <f>IX_Model_MWS!E49</f>
        <v/>
      </c>
      <c r="F946">
        <f>IX_Model_MWS!F49</f>
        <v/>
      </c>
      <c r="G946">
        <f>IX_Model_MWS!G49</f>
        <v/>
      </c>
      <c r="H946">
        <f>IX_Model_MWS!H49</f>
        <v/>
      </c>
      <c r="I946">
        <f>IX_Model_MWS!I49</f>
        <v/>
      </c>
      <c r="J946">
        <f>IX_Model_MWS!J49</f>
        <v/>
      </c>
      <c r="K946" s="672">
        <f>IX_Model_MWS!K49</f>
        <v/>
      </c>
      <c r="L946" s="672">
        <f>IX_Model_MWS!L49</f>
        <v/>
      </c>
      <c r="M946">
        <f>IX_Model_MWS!M49</f>
        <v/>
      </c>
      <c r="N946">
        <f>IX_Model_MWS!N49</f>
        <v/>
      </c>
      <c r="O946">
        <f>IX_Model_MWS!O49</f>
        <v/>
      </c>
      <c r="P946" s="628">
        <f>IX_Model_MWS!P49</f>
        <v/>
      </c>
      <c r="Q946" s="628">
        <f>IX_Model_MWS!Q49</f>
        <v/>
      </c>
      <c r="R946" s="628">
        <f>IX_Model_MWS!R49</f>
        <v/>
      </c>
      <c r="S946" s="628">
        <f>IX_Model_MWS!S49</f>
        <v/>
      </c>
      <c r="T946" s="628">
        <f>IX_Model_MWS!T49</f>
        <v/>
      </c>
      <c r="U946" s="628">
        <f>IX_Model_MWS!U49</f>
        <v/>
      </c>
      <c r="V946" s="628">
        <f>IX_Model_MWS!V49</f>
        <v/>
      </c>
      <c r="W946" s="628">
        <f>IX_Model_MWS!W49</f>
        <v/>
      </c>
      <c r="X946" s="628">
        <f>IX_Model_MWS!X49</f>
        <v/>
      </c>
      <c r="Y946" s="650">
        <f>IX_Model_MWS!Y49</f>
        <v/>
      </c>
      <c r="Z946" s="650">
        <f>IX_Model_MWS!Z49</f>
        <v/>
      </c>
      <c r="AA946" s="650">
        <f>IX_Model_MWS!AA49</f>
        <v/>
      </c>
      <c r="AB946" s="650">
        <f>IX_Model_MWS!AB49</f>
        <v/>
      </c>
      <c r="AC946" s="613">
        <f>IX_Model_MWS!AC49</f>
        <v/>
      </c>
      <c r="AD946" s="613">
        <f>IX_Model_MWS!AD49</f>
        <v/>
      </c>
      <c r="AE946" s="613">
        <f>IX_Model_MWS!AE49</f>
        <v/>
      </c>
      <c r="AF946" s="613">
        <f>IX_Model_MWS!AF49</f>
        <v/>
      </c>
      <c r="AG946" s="626">
        <f>IX_Model_MWS!AG49</f>
        <v/>
      </c>
      <c r="AH946" s="626">
        <f>IX_Model_MWS!AH49</f>
        <v/>
      </c>
      <c r="AI946" s="626">
        <f>IX_Model_MWS!AI49</f>
        <v/>
      </c>
      <c r="AJ946" s="626">
        <f>IX_Model_MWS!AJ49</f>
        <v/>
      </c>
      <c r="AK946" s="626">
        <f>IX_Model_MWS!AK49</f>
        <v/>
      </c>
      <c r="AL946" s="626">
        <f>IX_Model_MWS!AL49</f>
        <v/>
      </c>
      <c r="AM946" s="626">
        <f>IX_Model_MWS!AM49</f>
        <v/>
      </c>
      <c r="AN946" s="626">
        <f>IX_Model_MWS!AN49</f>
        <v/>
      </c>
      <c r="AO946" s="626">
        <f>IX_Model_MWS!AO49</f>
        <v/>
      </c>
      <c r="AP946" s="369">
        <f>IX_Model_MWS!AP49</f>
        <v/>
      </c>
      <c r="AQ946" s="369">
        <f>IX_Model_MWS!AQ49</f>
        <v/>
      </c>
      <c r="AR946" s="369">
        <f>IX_Model_MWS!AR49</f>
        <v/>
      </c>
      <c r="AS946" s="369">
        <f>IX_Model_MWS!AS49</f>
        <v/>
      </c>
      <c r="AT946" s="370">
        <f>IX_Model_MWS!AT49</f>
        <v/>
      </c>
      <c r="AU946" s="370">
        <f>IX_Model_MWS!AU49</f>
        <v/>
      </c>
      <c r="AV946" s="370">
        <f>IX_Model_MWS!AV49</f>
        <v/>
      </c>
      <c r="AW946" s="370">
        <f>IX_Model_MWS!AW49</f>
        <v/>
      </c>
      <c r="AX946">
        <f>IX_Model_MWS!AX49</f>
        <v/>
      </c>
      <c r="AY946">
        <f>IX_Model_MWS!AY49</f>
        <v/>
      </c>
      <c r="AZ946">
        <f>IX_Model_MWS!AZ49</f>
        <v/>
      </c>
      <c r="BA946">
        <f>IX_Model_MWS!BA49</f>
        <v/>
      </c>
      <c r="BB946">
        <f>IX_Model_MWS!BB49</f>
        <v/>
      </c>
      <c r="BC946">
        <f>IX_Model_MWS!BC49</f>
        <v/>
      </c>
      <c r="BD946">
        <f>IX_Model_MWS!BD49</f>
        <v/>
      </c>
      <c r="BE946">
        <f>IX_Model_MWS!BE49</f>
        <v/>
      </c>
      <c r="BF946">
        <f>IX_Model_MWS!BF49</f>
        <v/>
      </c>
      <c r="BG946">
        <f>IX_Model_MWS!BG49</f>
        <v/>
      </c>
      <c r="BH946">
        <f>IX_Model_MWS!BH49</f>
        <v/>
      </c>
      <c r="BI946">
        <f>IX_Model_MWS!BI49</f>
        <v/>
      </c>
      <c r="BJ946">
        <f>O946</f>
        <v/>
      </c>
      <c r="BK946">
        <f>SUM(AG946:AW946)</f>
        <v/>
      </c>
      <c r="BL946" s="531">
        <f>BJ946-BK946</f>
        <v/>
      </c>
      <c r="BM946" s="201" t="n"/>
    </row>
    <row r="947" hidden="1" outlineLevel="1" s="191">
      <c r="A947">
        <f>IX_Model_MWS!A50</f>
        <v/>
      </c>
      <c r="B947">
        <f>IX_Model_MWS!B50</f>
        <v/>
      </c>
      <c r="C947">
        <f>IX_Model_MWS!C50</f>
        <v/>
      </c>
      <c r="D947">
        <f>IX_Model_MWS!D50</f>
        <v/>
      </c>
      <c r="E947">
        <f>IX_Model_MWS!E50</f>
        <v/>
      </c>
      <c r="F947">
        <f>IX_Model_MWS!F50</f>
        <v/>
      </c>
      <c r="G947">
        <f>IX_Model_MWS!G50</f>
        <v/>
      </c>
      <c r="H947">
        <f>IX_Model_MWS!H50</f>
        <v/>
      </c>
      <c r="I947">
        <f>IX_Model_MWS!I50</f>
        <v/>
      </c>
      <c r="J947">
        <f>IX_Model_MWS!J50</f>
        <v/>
      </c>
      <c r="K947" s="672">
        <f>IX_Model_MWS!K50</f>
        <v/>
      </c>
      <c r="L947" s="672">
        <f>IX_Model_MWS!L50</f>
        <v/>
      </c>
      <c r="M947">
        <f>IX_Model_MWS!M50</f>
        <v/>
      </c>
      <c r="N947">
        <f>IX_Model_MWS!N50</f>
        <v/>
      </c>
      <c r="O947">
        <f>IX_Model_MWS!O50</f>
        <v/>
      </c>
      <c r="P947" s="628">
        <f>IX_Model_MWS!P50</f>
        <v/>
      </c>
      <c r="Q947" s="628">
        <f>IX_Model_MWS!Q50</f>
        <v/>
      </c>
      <c r="R947" s="628">
        <f>IX_Model_MWS!R50</f>
        <v/>
      </c>
      <c r="S947" s="628">
        <f>IX_Model_MWS!S50</f>
        <v/>
      </c>
      <c r="T947" s="628">
        <f>IX_Model_MWS!T50</f>
        <v/>
      </c>
      <c r="U947" s="628">
        <f>IX_Model_MWS!U50</f>
        <v/>
      </c>
      <c r="V947" s="628">
        <f>IX_Model_MWS!V50</f>
        <v/>
      </c>
      <c r="W947" s="628">
        <f>IX_Model_MWS!W50</f>
        <v/>
      </c>
      <c r="X947" s="628">
        <f>IX_Model_MWS!X50</f>
        <v/>
      </c>
      <c r="Y947" s="650">
        <f>IX_Model_MWS!Y50</f>
        <v/>
      </c>
      <c r="Z947" s="650">
        <f>IX_Model_MWS!Z50</f>
        <v/>
      </c>
      <c r="AA947" s="650">
        <f>IX_Model_MWS!AA50</f>
        <v/>
      </c>
      <c r="AB947" s="650">
        <f>IX_Model_MWS!AB50</f>
        <v/>
      </c>
      <c r="AC947" s="613">
        <f>IX_Model_MWS!AC50</f>
        <v/>
      </c>
      <c r="AD947" s="613">
        <f>IX_Model_MWS!AD50</f>
        <v/>
      </c>
      <c r="AE947" s="613">
        <f>IX_Model_MWS!AE50</f>
        <v/>
      </c>
      <c r="AF947" s="613">
        <f>IX_Model_MWS!AF50</f>
        <v/>
      </c>
      <c r="AG947" s="626">
        <f>IX_Model_MWS!AG50</f>
        <v/>
      </c>
      <c r="AH947" s="626">
        <f>IX_Model_MWS!AH50</f>
        <v/>
      </c>
      <c r="AI947" s="626">
        <f>IX_Model_MWS!AI50</f>
        <v/>
      </c>
      <c r="AJ947" s="626">
        <f>IX_Model_MWS!AJ50</f>
        <v/>
      </c>
      <c r="AK947" s="626">
        <f>IX_Model_MWS!AK50</f>
        <v/>
      </c>
      <c r="AL947" s="626">
        <f>IX_Model_MWS!AL50</f>
        <v/>
      </c>
      <c r="AM947" s="626">
        <f>IX_Model_MWS!AM50</f>
        <v/>
      </c>
      <c r="AN947" s="626">
        <f>IX_Model_MWS!AN50</f>
        <v/>
      </c>
      <c r="AO947" s="626">
        <f>IX_Model_MWS!AO50</f>
        <v/>
      </c>
      <c r="AP947" s="369">
        <f>IX_Model_MWS!AP50</f>
        <v/>
      </c>
      <c r="AQ947" s="369">
        <f>IX_Model_MWS!AQ50</f>
        <v/>
      </c>
      <c r="AR947" s="369">
        <f>IX_Model_MWS!AR50</f>
        <v/>
      </c>
      <c r="AS947" s="369">
        <f>IX_Model_MWS!AS50</f>
        <v/>
      </c>
      <c r="AT947" s="370">
        <f>IX_Model_MWS!AT50</f>
        <v/>
      </c>
      <c r="AU947" s="370">
        <f>IX_Model_MWS!AU50</f>
        <v/>
      </c>
      <c r="AV947" s="370">
        <f>IX_Model_MWS!AV50</f>
        <v/>
      </c>
      <c r="AW947" s="370">
        <f>IX_Model_MWS!AW50</f>
        <v/>
      </c>
      <c r="AX947">
        <f>IX_Model_MWS!AX50</f>
        <v/>
      </c>
      <c r="AY947">
        <f>IX_Model_MWS!AY50</f>
        <v/>
      </c>
      <c r="AZ947">
        <f>IX_Model_MWS!AZ50</f>
        <v/>
      </c>
      <c r="BA947">
        <f>IX_Model_MWS!BA50</f>
        <v/>
      </c>
      <c r="BB947">
        <f>IX_Model_MWS!BB50</f>
        <v/>
      </c>
      <c r="BC947">
        <f>IX_Model_MWS!BC50</f>
        <v/>
      </c>
      <c r="BD947">
        <f>IX_Model_MWS!BD50</f>
        <v/>
      </c>
      <c r="BE947">
        <f>IX_Model_MWS!BE50</f>
        <v/>
      </c>
      <c r="BF947">
        <f>IX_Model_MWS!BF50</f>
        <v/>
      </c>
      <c r="BG947">
        <f>IX_Model_MWS!BG50</f>
        <v/>
      </c>
      <c r="BH947">
        <f>IX_Model_MWS!BH50</f>
        <v/>
      </c>
      <c r="BI947">
        <f>IX_Model_MWS!BI50</f>
        <v/>
      </c>
      <c r="BJ947">
        <f>O947</f>
        <v/>
      </c>
      <c r="BK947">
        <f>SUM(AG947:AW947)</f>
        <v/>
      </c>
      <c r="BL947" s="531">
        <f>BJ947-BK947</f>
        <v/>
      </c>
      <c r="BM947" s="201" t="n"/>
    </row>
    <row r="948" hidden="1" outlineLevel="1" s="191">
      <c r="A948">
        <f>IX_Model_MWS!A51</f>
        <v/>
      </c>
      <c r="B948">
        <f>IX_Model_MWS!B51</f>
        <v/>
      </c>
      <c r="C948">
        <f>IX_Model_MWS!C51</f>
        <v/>
      </c>
      <c r="D948">
        <f>IX_Model_MWS!D51</f>
        <v/>
      </c>
      <c r="E948">
        <f>IX_Model_MWS!E51</f>
        <v/>
      </c>
      <c r="F948">
        <f>IX_Model_MWS!F51</f>
        <v/>
      </c>
      <c r="G948">
        <f>IX_Model_MWS!G51</f>
        <v/>
      </c>
      <c r="H948">
        <f>IX_Model_MWS!H51</f>
        <v/>
      </c>
      <c r="I948">
        <f>IX_Model_MWS!I51</f>
        <v/>
      </c>
      <c r="J948">
        <f>IX_Model_MWS!J51</f>
        <v/>
      </c>
      <c r="K948" s="672">
        <f>IX_Model_MWS!K51</f>
        <v/>
      </c>
      <c r="L948" s="672">
        <f>IX_Model_MWS!L51</f>
        <v/>
      </c>
      <c r="M948">
        <f>IX_Model_MWS!M51</f>
        <v/>
      </c>
      <c r="N948">
        <f>IX_Model_MWS!N51</f>
        <v/>
      </c>
      <c r="O948">
        <f>IX_Model_MWS!O51</f>
        <v/>
      </c>
      <c r="P948" s="628">
        <f>IX_Model_MWS!P51</f>
        <v/>
      </c>
      <c r="Q948" s="628">
        <f>IX_Model_MWS!Q51</f>
        <v/>
      </c>
      <c r="R948" s="628">
        <f>IX_Model_MWS!R51</f>
        <v/>
      </c>
      <c r="S948" s="628">
        <f>IX_Model_MWS!S51</f>
        <v/>
      </c>
      <c r="T948" s="628">
        <f>IX_Model_MWS!T51</f>
        <v/>
      </c>
      <c r="U948" s="628">
        <f>IX_Model_MWS!U51</f>
        <v/>
      </c>
      <c r="V948" s="628">
        <f>IX_Model_MWS!V51</f>
        <v/>
      </c>
      <c r="W948" s="628">
        <f>IX_Model_MWS!W51</f>
        <v/>
      </c>
      <c r="X948" s="628">
        <f>IX_Model_MWS!X51</f>
        <v/>
      </c>
      <c r="Y948" s="650">
        <f>IX_Model_MWS!Y51</f>
        <v/>
      </c>
      <c r="Z948" s="650">
        <f>IX_Model_MWS!Z51</f>
        <v/>
      </c>
      <c r="AA948" s="650">
        <f>IX_Model_MWS!AA51</f>
        <v/>
      </c>
      <c r="AB948" s="650">
        <f>IX_Model_MWS!AB51</f>
        <v/>
      </c>
      <c r="AC948" s="613">
        <f>IX_Model_MWS!AC51</f>
        <v/>
      </c>
      <c r="AD948" s="613">
        <f>IX_Model_MWS!AD51</f>
        <v/>
      </c>
      <c r="AE948" s="613">
        <f>IX_Model_MWS!AE51</f>
        <v/>
      </c>
      <c r="AF948" s="613">
        <f>IX_Model_MWS!AF51</f>
        <v/>
      </c>
      <c r="AG948" s="626">
        <f>IX_Model_MWS!AG51</f>
        <v/>
      </c>
      <c r="AH948" s="626">
        <f>IX_Model_MWS!AH51</f>
        <v/>
      </c>
      <c r="AI948" s="626">
        <f>IX_Model_MWS!AI51</f>
        <v/>
      </c>
      <c r="AJ948" s="626">
        <f>IX_Model_MWS!AJ51</f>
        <v/>
      </c>
      <c r="AK948" s="626">
        <f>IX_Model_MWS!AK51</f>
        <v/>
      </c>
      <c r="AL948" s="626">
        <f>IX_Model_MWS!AL51</f>
        <v/>
      </c>
      <c r="AM948" s="626">
        <f>IX_Model_MWS!AM51</f>
        <v/>
      </c>
      <c r="AN948" s="626">
        <f>IX_Model_MWS!AN51</f>
        <v/>
      </c>
      <c r="AO948" s="626">
        <f>IX_Model_MWS!AO51</f>
        <v/>
      </c>
      <c r="AP948" s="369">
        <f>IX_Model_MWS!AP51</f>
        <v/>
      </c>
      <c r="AQ948" s="369">
        <f>IX_Model_MWS!AQ51</f>
        <v/>
      </c>
      <c r="AR948" s="369">
        <f>IX_Model_MWS!AR51</f>
        <v/>
      </c>
      <c r="AS948" s="369">
        <f>IX_Model_MWS!AS51</f>
        <v/>
      </c>
      <c r="AT948" s="370">
        <f>IX_Model_MWS!AT51</f>
        <v/>
      </c>
      <c r="AU948" s="370">
        <f>IX_Model_MWS!AU51</f>
        <v/>
      </c>
      <c r="AV948" s="370">
        <f>IX_Model_MWS!AV51</f>
        <v/>
      </c>
      <c r="AW948" s="370">
        <f>IX_Model_MWS!AW51</f>
        <v/>
      </c>
      <c r="AX948">
        <f>IX_Model_MWS!AX51</f>
        <v/>
      </c>
      <c r="AY948">
        <f>IX_Model_MWS!AY51</f>
        <v/>
      </c>
      <c r="AZ948">
        <f>IX_Model_MWS!AZ51</f>
        <v/>
      </c>
      <c r="BA948">
        <f>IX_Model_MWS!BA51</f>
        <v/>
      </c>
      <c r="BB948">
        <f>IX_Model_MWS!BB51</f>
        <v/>
      </c>
      <c r="BC948">
        <f>IX_Model_MWS!BC51</f>
        <v/>
      </c>
      <c r="BD948">
        <f>IX_Model_MWS!BD51</f>
        <v/>
      </c>
      <c r="BE948">
        <f>IX_Model_MWS!BE51</f>
        <v/>
      </c>
      <c r="BF948">
        <f>IX_Model_MWS!BF51</f>
        <v/>
      </c>
      <c r="BG948">
        <f>IX_Model_MWS!BG51</f>
        <v/>
      </c>
      <c r="BH948">
        <f>IX_Model_MWS!BH51</f>
        <v/>
      </c>
      <c r="BI948">
        <f>IX_Model_MWS!BI51</f>
        <v/>
      </c>
      <c r="BJ948">
        <f>O948</f>
        <v/>
      </c>
      <c r="BK948">
        <f>SUM(AG948:AW948)</f>
        <v/>
      </c>
      <c r="BL948" s="531">
        <f>BJ948-BK948</f>
        <v/>
      </c>
      <c r="BM948" s="201" t="n"/>
    </row>
    <row r="949" hidden="1" outlineLevel="1" s="191">
      <c r="A949">
        <f>IX_Model_MWS!A52</f>
        <v/>
      </c>
      <c r="B949">
        <f>IX_Model_MWS!B52</f>
        <v/>
      </c>
      <c r="C949">
        <f>IX_Model_MWS!C52</f>
        <v/>
      </c>
      <c r="D949">
        <f>IX_Model_MWS!D52</f>
        <v/>
      </c>
      <c r="E949">
        <f>IX_Model_MWS!E52</f>
        <v/>
      </c>
      <c r="F949">
        <f>IX_Model_MWS!F52</f>
        <v/>
      </c>
      <c r="G949">
        <f>IX_Model_MWS!G52</f>
        <v/>
      </c>
      <c r="H949">
        <f>IX_Model_MWS!H52</f>
        <v/>
      </c>
      <c r="I949">
        <f>IX_Model_MWS!I52</f>
        <v/>
      </c>
      <c r="J949">
        <f>IX_Model_MWS!J52</f>
        <v/>
      </c>
      <c r="K949" s="672">
        <f>IX_Model_MWS!K52</f>
        <v/>
      </c>
      <c r="L949" s="672">
        <f>IX_Model_MWS!L52</f>
        <v/>
      </c>
      <c r="M949">
        <f>IX_Model_MWS!M52</f>
        <v/>
      </c>
      <c r="N949">
        <f>IX_Model_MWS!N52</f>
        <v/>
      </c>
      <c r="O949">
        <f>IX_Model_MWS!O52</f>
        <v/>
      </c>
      <c r="P949" s="628">
        <f>IX_Model_MWS!P52</f>
        <v/>
      </c>
      <c r="Q949" s="628">
        <f>IX_Model_MWS!Q52</f>
        <v/>
      </c>
      <c r="R949" s="628">
        <f>IX_Model_MWS!R52</f>
        <v/>
      </c>
      <c r="S949" s="628">
        <f>IX_Model_MWS!S52</f>
        <v/>
      </c>
      <c r="T949" s="628">
        <f>IX_Model_MWS!T52</f>
        <v/>
      </c>
      <c r="U949" s="628">
        <f>IX_Model_MWS!U52</f>
        <v/>
      </c>
      <c r="V949" s="628">
        <f>IX_Model_MWS!V52</f>
        <v/>
      </c>
      <c r="W949" s="628">
        <f>IX_Model_MWS!W52</f>
        <v/>
      </c>
      <c r="X949" s="628">
        <f>IX_Model_MWS!X52</f>
        <v/>
      </c>
      <c r="Y949" s="650">
        <f>IX_Model_MWS!Y52</f>
        <v/>
      </c>
      <c r="Z949" s="650">
        <f>IX_Model_MWS!Z52</f>
        <v/>
      </c>
      <c r="AA949" s="650">
        <f>IX_Model_MWS!AA52</f>
        <v/>
      </c>
      <c r="AB949" s="650">
        <f>IX_Model_MWS!AB52</f>
        <v/>
      </c>
      <c r="AC949" s="613">
        <f>IX_Model_MWS!AC52</f>
        <v/>
      </c>
      <c r="AD949" s="613">
        <f>IX_Model_MWS!AD52</f>
        <v/>
      </c>
      <c r="AE949" s="613">
        <f>IX_Model_MWS!AE52</f>
        <v/>
      </c>
      <c r="AF949" s="613">
        <f>IX_Model_MWS!AF52</f>
        <v/>
      </c>
      <c r="AG949" s="626">
        <f>IX_Model_MWS!AG52</f>
        <v/>
      </c>
      <c r="AH949" s="626">
        <f>IX_Model_MWS!AH52</f>
        <v/>
      </c>
      <c r="AI949" s="626">
        <f>IX_Model_MWS!AI52</f>
        <v/>
      </c>
      <c r="AJ949" s="626">
        <f>IX_Model_MWS!AJ52</f>
        <v/>
      </c>
      <c r="AK949" s="626">
        <f>IX_Model_MWS!AK52</f>
        <v/>
      </c>
      <c r="AL949" s="626">
        <f>IX_Model_MWS!AL52</f>
        <v/>
      </c>
      <c r="AM949" s="626">
        <f>IX_Model_MWS!AM52</f>
        <v/>
      </c>
      <c r="AN949" s="626">
        <f>IX_Model_MWS!AN52</f>
        <v/>
      </c>
      <c r="AO949" s="626">
        <f>IX_Model_MWS!AO52</f>
        <v/>
      </c>
      <c r="AP949" s="369">
        <f>IX_Model_MWS!AP52</f>
        <v/>
      </c>
      <c r="AQ949" s="369">
        <f>IX_Model_MWS!AQ52</f>
        <v/>
      </c>
      <c r="AR949" s="369">
        <f>IX_Model_MWS!AR52</f>
        <v/>
      </c>
      <c r="AS949" s="369">
        <f>IX_Model_MWS!AS52</f>
        <v/>
      </c>
      <c r="AT949" s="370">
        <f>IX_Model_MWS!AT52</f>
        <v/>
      </c>
      <c r="AU949" s="370">
        <f>IX_Model_MWS!AU52</f>
        <v/>
      </c>
      <c r="AV949" s="370">
        <f>IX_Model_MWS!AV52</f>
        <v/>
      </c>
      <c r="AW949" s="370">
        <f>IX_Model_MWS!AW52</f>
        <v/>
      </c>
      <c r="AX949">
        <f>IX_Model_MWS!AX52</f>
        <v/>
      </c>
      <c r="AY949">
        <f>IX_Model_MWS!AY52</f>
        <v/>
      </c>
      <c r="AZ949">
        <f>IX_Model_MWS!AZ52</f>
        <v/>
      </c>
      <c r="BA949">
        <f>IX_Model_MWS!BA52</f>
        <v/>
      </c>
      <c r="BB949">
        <f>IX_Model_MWS!BB52</f>
        <v/>
      </c>
      <c r="BC949">
        <f>IX_Model_MWS!BC52</f>
        <v/>
      </c>
      <c r="BD949">
        <f>IX_Model_MWS!BD52</f>
        <v/>
      </c>
      <c r="BE949">
        <f>IX_Model_MWS!BE52</f>
        <v/>
      </c>
      <c r="BF949">
        <f>IX_Model_MWS!BF52</f>
        <v/>
      </c>
      <c r="BG949">
        <f>IX_Model_MWS!BG52</f>
        <v/>
      </c>
      <c r="BH949">
        <f>IX_Model_MWS!BH52</f>
        <v/>
      </c>
      <c r="BI949">
        <f>IX_Model_MWS!BI52</f>
        <v/>
      </c>
      <c r="BJ949">
        <f>O949</f>
        <v/>
      </c>
      <c r="BK949">
        <f>SUM(AG949:AW949)</f>
        <v/>
      </c>
      <c r="BL949" s="531">
        <f>BJ949-BK949</f>
        <v/>
      </c>
      <c r="BM949" s="201" t="n"/>
    </row>
    <row r="950" hidden="1" outlineLevel="1" s="191">
      <c r="A950">
        <f>IX_Model_MWS!A53</f>
        <v/>
      </c>
      <c r="B950">
        <f>IX_Model_MWS!B53</f>
        <v/>
      </c>
      <c r="C950">
        <f>IX_Model_MWS!C53</f>
        <v/>
      </c>
      <c r="D950">
        <f>IX_Model_MWS!D53</f>
        <v/>
      </c>
      <c r="E950">
        <f>IX_Model_MWS!E53</f>
        <v/>
      </c>
      <c r="F950">
        <f>IX_Model_MWS!F53</f>
        <v/>
      </c>
      <c r="G950">
        <f>IX_Model_MWS!G53</f>
        <v/>
      </c>
      <c r="H950">
        <f>IX_Model_MWS!H53</f>
        <v/>
      </c>
      <c r="I950">
        <f>IX_Model_MWS!I53</f>
        <v/>
      </c>
      <c r="J950">
        <f>IX_Model_MWS!J53</f>
        <v/>
      </c>
      <c r="K950" s="672">
        <f>IX_Model_MWS!K53</f>
        <v/>
      </c>
      <c r="L950" s="672">
        <f>IX_Model_MWS!L53</f>
        <v/>
      </c>
      <c r="M950">
        <f>IX_Model_MWS!M53</f>
        <v/>
      </c>
      <c r="N950">
        <f>IX_Model_MWS!N53</f>
        <v/>
      </c>
      <c r="O950">
        <f>IX_Model_MWS!O53</f>
        <v/>
      </c>
      <c r="P950" s="628">
        <f>IX_Model_MWS!P53</f>
        <v/>
      </c>
      <c r="Q950" s="628">
        <f>IX_Model_MWS!Q53</f>
        <v/>
      </c>
      <c r="R950" s="628">
        <f>IX_Model_MWS!R53</f>
        <v/>
      </c>
      <c r="S950" s="628">
        <f>IX_Model_MWS!S53</f>
        <v/>
      </c>
      <c r="T950" s="628">
        <f>IX_Model_MWS!T53</f>
        <v/>
      </c>
      <c r="U950" s="628">
        <f>IX_Model_MWS!U53</f>
        <v/>
      </c>
      <c r="V950" s="628">
        <f>IX_Model_MWS!V53</f>
        <v/>
      </c>
      <c r="W950" s="628">
        <f>IX_Model_MWS!W53</f>
        <v/>
      </c>
      <c r="X950" s="628">
        <f>IX_Model_MWS!X53</f>
        <v/>
      </c>
      <c r="Y950" s="650">
        <f>IX_Model_MWS!Y53</f>
        <v/>
      </c>
      <c r="Z950" s="650">
        <f>IX_Model_MWS!Z53</f>
        <v/>
      </c>
      <c r="AA950" s="650">
        <f>IX_Model_MWS!AA53</f>
        <v/>
      </c>
      <c r="AB950" s="650">
        <f>IX_Model_MWS!AB53</f>
        <v/>
      </c>
      <c r="AC950" s="613">
        <f>IX_Model_MWS!AC53</f>
        <v/>
      </c>
      <c r="AD950" s="613">
        <f>IX_Model_MWS!AD53</f>
        <v/>
      </c>
      <c r="AE950" s="613">
        <f>IX_Model_MWS!AE53</f>
        <v/>
      </c>
      <c r="AF950" s="613">
        <f>IX_Model_MWS!AF53</f>
        <v/>
      </c>
      <c r="AG950" s="626">
        <f>IX_Model_MWS!AG53</f>
        <v/>
      </c>
      <c r="AH950" s="626">
        <f>IX_Model_MWS!AH53</f>
        <v/>
      </c>
      <c r="AI950" s="626">
        <f>IX_Model_MWS!AI53</f>
        <v/>
      </c>
      <c r="AJ950" s="626">
        <f>IX_Model_MWS!AJ53</f>
        <v/>
      </c>
      <c r="AK950" s="626">
        <f>IX_Model_MWS!AK53</f>
        <v/>
      </c>
      <c r="AL950" s="626">
        <f>IX_Model_MWS!AL53</f>
        <v/>
      </c>
      <c r="AM950" s="626">
        <f>IX_Model_MWS!AM53</f>
        <v/>
      </c>
      <c r="AN950" s="626">
        <f>IX_Model_MWS!AN53</f>
        <v/>
      </c>
      <c r="AO950" s="626">
        <f>IX_Model_MWS!AO53</f>
        <v/>
      </c>
      <c r="AP950" s="369">
        <f>IX_Model_MWS!AP53</f>
        <v/>
      </c>
      <c r="AQ950" s="369">
        <f>IX_Model_MWS!AQ53</f>
        <v/>
      </c>
      <c r="AR950" s="369">
        <f>IX_Model_MWS!AR53</f>
        <v/>
      </c>
      <c r="AS950" s="369">
        <f>IX_Model_MWS!AS53</f>
        <v/>
      </c>
      <c r="AT950" s="370">
        <f>IX_Model_MWS!AT53</f>
        <v/>
      </c>
      <c r="AU950" s="370">
        <f>IX_Model_MWS!AU53</f>
        <v/>
      </c>
      <c r="AV950" s="370">
        <f>IX_Model_MWS!AV53</f>
        <v/>
      </c>
      <c r="AW950" s="370">
        <f>IX_Model_MWS!AW53</f>
        <v/>
      </c>
      <c r="AX950">
        <f>IX_Model_MWS!AX53</f>
        <v/>
      </c>
      <c r="AY950">
        <f>IX_Model_MWS!AY53</f>
        <v/>
      </c>
      <c r="AZ950">
        <f>IX_Model_MWS!AZ53</f>
        <v/>
      </c>
      <c r="BA950">
        <f>IX_Model_MWS!BA53</f>
        <v/>
      </c>
      <c r="BB950">
        <f>IX_Model_MWS!BB53</f>
        <v/>
      </c>
      <c r="BC950">
        <f>IX_Model_MWS!BC53</f>
        <v/>
      </c>
      <c r="BD950">
        <f>IX_Model_MWS!BD53</f>
        <v/>
      </c>
      <c r="BE950">
        <f>IX_Model_MWS!BE53</f>
        <v/>
      </c>
      <c r="BF950">
        <f>IX_Model_MWS!BF53</f>
        <v/>
      </c>
      <c r="BG950">
        <f>IX_Model_MWS!BG53</f>
        <v/>
      </c>
      <c r="BH950">
        <f>IX_Model_MWS!BH53</f>
        <v/>
      </c>
      <c r="BI950">
        <f>IX_Model_MWS!BI53</f>
        <v/>
      </c>
      <c r="BJ950">
        <f>O950</f>
        <v/>
      </c>
      <c r="BK950">
        <f>SUM(AG950:AW950)</f>
        <v/>
      </c>
      <c r="BL950" s="531">
        <f>BJ950-BK950</f>
        <v/>
      </c>
      <c r="BM950" s="201" t="n"/>
    </row>
    <row r="951" hidden="1" outlineLevel="1" s="191">
      <c r="A951">
        <f>IX_Model_MWS!A54</f>
        <v/>
      </c>
      <c r="B951">
        <f>IX_Model_MWS!B54</f>
        <v/>
      </c>
      <c r="C951">
        <f>IX_Model_MWS!C54</f>
        <v/>
      </c>
      <c r="D951">
        <f>IX_Model_MWS!D54</f>
        <v/>
      </c>
      <c r="E951">
        <f>IX_Model_MWS!E54</f>
        <v/>
      </c>
      <c r="F951">
        <f>IX_Model_MWS!F54</f>
        <v/>
      </c>
      <c r="G951">
        <f>IX_Model_MWS!G54</f>
        <v/>
      </c>
      <c r="H951">
        <f>IX_Model_MWS!H54</f>
        <v/>
      </c>
      <c r="I951">
        <f>IX_Model_MWS!I54</f>
        <v/>
      </c>
      <c r="J951">
        <f>IX_Model_MWS!J54</f>
        <v/>
      </c>
      <c r="K951" s="672">
        <f>IX_Model_MWS!K54</f>
        <v/>
      </c>
      <c r="L951" s="672">
        <f>IX_Model_MWS!L54</f>
        <v/>
      </c>
      <c r="M951">
        <f>IX_Model_MWS!M54</f>
        <v/>
      </c>
      <c r="N951">
        <f>IX_Model_MWS!N54</f>
        <v/>
      </c>
      <c r="O951">
        <f>IX_Model_MWS!O54</f>
        <v/>
      </c>
      <c r="P951" s="628">
        <f>IX_Model_MWS!P54</f>
        <v/>
      </c>
      <c r="Q951" s="628">
        <f>IX_Model_MWS!Q54</f>
        <v/>
      </c>
      <c r="R951" s="628">
        <f>IX_Model_MWS!R54</f>
        <v/>
      </c>
      <c r="S951" s="628">
        <f>IX_Model_MWS!S54</f>
        <v/>
      </c>
      <c r="T951" s="628">
        <f>IX_Model_MWS!T54</f>
        <v/>
      </c>
      <c r="U951" s="628">
        <f>IX_Model_MWS!U54</f>
        <v/>
      </c>
      <c r="V951" s="628">
        <f>IX_Model_MWS!V54</f>
        <v/>
      </c>
      <c r="W951" s="628">
        <f>IX_Model_MWS!W54</f>
        <v/>
      </c>
      <c r="X951" s="628">
        <f>IX_Model_MWS!X54</f>
        <v/>
      </c>
      <c r="Y951" s="650">
        <f>IX_Model_MWS!Y54</f>
        <v/>
      </c>
      <c r="Z951" s="650">
        <f>IX_Model_MWS!Z54</f>
        <v/>
      </c>
      <c r="AA951" s="650">
        <f>IX_Model_MWS!AA54</f>
        <v/>
      </c>
      <c r="AB951" s="650">
        <f>IX_Model_MWS!AB54</f>
        <v/>
      </c>
      <c r="AC951" s="613">
        <f>IX_Model_MWS!AC54</f>
        <v/>
      </c>
      <c r="AD951" s="613">
        <f>IX_Model_MWS!AD54</f>
        <v/>
      </c>
      <c r="AE951" s="613">
        <f>IX_Model_MWS!AE54</f>
        <v/>
      </c>
      <c r="AF951" s="613">
        <f>IX_Model_MWS!AF54</f>
        <v/>
      </c>
      <c r="AG951" s="626">
        <f>IX_Model_MWS!AG54</f>
        <v/>
      </c>
      <c r="AH951" s="626">
        <f>IX_Model_MWS!AH54</f>
        <v/>
      </c>
      <c r="AI951" s="626">
        <f>IX_Model_MWS!AI54</f>
        <v/>
      </c>
      <c r="AJ951" s="626">
        <f>IX_Model_MWS!AJ54</f>
        <v/>
      </c>
      <c r="AK951" s="626">
        <f>IX_Model_MWS!AK54</f>
        <v/>
      </c>
      <c r="AL951" s="626">
        <f>IX_Model_MWS!AL54</f>
        <v/>
      </c>
      <c r="AM951" s="626">
        <f>IX_Model_MWS!AM54</f>
        <v/>
      </c>
      <c r="AN951" s="626">
        <f>IX_Model_MWS!AN54</f>
        <v/>
      </c>
      <c r="AO951" s="626">
        <f>IX_Model_MWS!AO54</f>
        <v/>
      </c>
      <c r="AP951" s="369">
        <f>IX_Model_MWS!AP54</f>
        <v/>
      </c>
      <c r="AQ951" s="369">
        <f>IX_Model_MWS!AQ54</f>
        <v/>
      </c>
      <c r="AR951" s="369">
        <f>IX_Model_MWS!AR54</f>
        <v/>
      </c>
      <c r="AS951" s="369">
        <f>IX_Model_MWS!AS54</f>
        <v/>
      </c>
      <c r="AT951" s="370">
        <f>IX_Model_MWS!AT54</f>
        <v/>
      </c>
      <c r="AU951" s="370">
        <f>IX_Model_MWS!AU54</f>
        <v/>
      </c>
      <c r="AV951" s="370">
        <f>IX_Model_MWS!AV54</f>
        <v/>
      </c>
      <c r="AW951" s="370">
        <f>IX_Model_MWS!AW54</f>
        <v/>
      </c>
      <c r="AX951">
        <f>IX_Model_MWS!AX54</f>
        <v/>
      </c>
      <c r="AY951">
        <f>IX_Model_MWS!AY54</f>
        <v/>
      </c>
      <c r="AZ951">
        <f>IX_Model_MWS!AZ54</f>
        <v/>
      </c>
      <c r="BA951">
        <f>IX_Model_MWS!BA54</f>
        <v/>
      </c>
      <c r="BB951">
        <f>IX_Model_MWS!BB54</f>
        <v/>
      </c>
      <c r="BC951">
        <f>IX_Model_MWS!BC54</f>
        <v/>
      </c>
      <c r="BD951">
        <f>IX_Model_MWS!BD54</f>
        <v/>
      </c>
      <c r="BE951">
        <f>IX_Model_MWS!BE54</f>
        <v/>
      </c>
      <c r="BF951">
        <f>IX_Model_MWS!BF54</f>
        <v/>
      </c>
      <c r="BG951">
        <f>IX_Model_MWS!BG54</f>
        <v/>
      </c>
      <c r="BH951">
        <f>IX_Model_MWS!BH54</f>
        <v/>
      </c>
      <c r="BI951">
        <f>IX_Model_MWS!BI54</f>
        <v/>
      </c>
      <c r="BJ951">
        <f>O951</f>
        <v/>
      </c>
      <c r="BK951">
        <f>SUM(AG951:AW951)</f>
        <v/>
      </c>
      <c r="BL951" s="531">
        <f>BJ951-BK951</f>
        <v/>
      </c>
      <c r="BM951" s="201" t="n"/>
    </row>
    <row r="952" hidden="1" outlineLevel="1" s="191">
      <c r="A952">
        <f>IX_Model_MWS!A55</f>
        <v/>
      </c>
      <c r="B952">
        <f>IX_Model_MWS!B55</f>
        <v/>
      </c>
      <c r="C952">
        <f>IX_Model_MWS!C55</f>
        <v/>
      </c>
      <c r="D952">
        <f>IX_Model_MWS!D55</f>
        <v/>
      </c>
      <c r="E952">
        <f>IX_Model_MWS!E55</f>
        <v/>
      </c>
      <c r="F952">
        <f>IX_Model_MWS!F55</f>
        <v/>
      </c>
      <c r="G952">
        <f>IX_Model_MWS!G55</f>
        <v/>
      </c>
      <c r="H952">
        <f>IX_Model_MWS!H55</f>
        <v/>
      </c>
      <c r="I952">
        <f>IX_Model_MWS!I55</f>
        <v/>
      </c>
      <c r="J952">
        <f>IX_Model_MWS!J55</f>
        <v/>
      </c>
      <c r="K952" s="672">
        <f>IX_Model_MWS!K55</f>
        <v/>
      </c>
      <c r="L952" s="672">
        <f>IX_Model_MWS!L55</f>
        <v/>
      </c>
      <c r="M952">
        <f>IX_Model_MWS!M55</f>
        <v/>
      </c>
      <c r="N952">
        <f>IX_Model_MWS!N55</f>
        <v/>
      </c>
      <c r="O952">
        <f>IX_Model_MWS!O55</f>
        <v/>
      </c>
      <c r="P952" s="628">
        <f>IX_Model_MWS!P55</f>
        <v/>
      </c>
      <c r="Q952" s="628">
        <f>IX_Model_MWS!Q55</f>
        <v/>
      </c>
      <c r="R952" s="628">
        <f>IX_Model_MWS!R55</f>
        <v/>
      </c>
      <c r="S952" s="628">
        <f>IX_Model_MWS!S55</f>
        <v/>
      </c>
      <c r="T952" s="628">
        <f>IX_Model_MWS!T55</f>
        <v/>
      </c>
      <c r="U952" s="628">
        <f>IX_Model_MWS!U55</f>
        <v/>
      </c>
      <c r="V952" s="628">
        <f>IX_Model_MWS!V55</f>
        <v/>
      </c>
      <c r="W952" s="628">
        <f>IX_Model_MWS!W55</f>
        <v/>
      </c>
      <c r="X952" s="628">
        <f>IX_Model_MWS!X55</f>
        <v/>
      </c>
      <c r="Y952" s="650">
        <f>IX_Model_MWS!Y55</f>
        <v/>
      </c>
      <c r="Z952" s="650">
        <f>IX_Model_MWS!Z55</f>
        <v/>
      </c>
      <c r="AA952" s="650">
        <f>IX_Model_MWS!AA55</f>
        <v/>
      </c>
      <c r="AB952" s="650">
        <f>IX_Model_MWS!AB55</f>
        <v/>
      </c>
      <c r="AC952" s="613">
        <f>IX_Model_MWS!AC55</f>
        <v/>
      </c>
      <c r="AD952" s="613">
        <f>IX_Model_MWS!AD55</f>
        <v/>
      </c>
      <c r="AE952" s="613">
        <f>IX_Model_MWS!AE55</f>
        <v/>
      </c>
      <c r="AF952" s="613">
        <f>IX_Model_MWS!AF55</f>
        <v/>
      </c>
      <c r="AG952" s="626">
        <f>IX_Model_MWS!AG55</f>
        <v/>
      </c>
      <c r="AH952" s="626">
        <f>IX_Model_MWS!AH55</f>
        <v/>
      </c>
      <c r="AI952" s="626">
        <f>IX_Model_MWS!AI55</f>
        <v/>
      </c>
      <c r="AJ952" s="626">
        <f>IX_Model_MWS!AJ55</f>
        <v/>
      </c>
      <c r="AK952" s="626">
        <f>IX_Model_MWS!AK55</f>
        <v/>
      </c>
      <c r="AL952" s="626">
        <f>IX_Model_MWS!AL55</f>
        <v/>
      </c>
      <c r="AM952" s="626">
        <f>IX_Model_MWS!AM55</f>
        <v/>
      </c>
      <c r="AN952" s="626">
        <f>IX_Model_MWS!AN55</f>
        <v/>
      </c>
      <c r="AO952" s="626">
        <f>IX_Model_MWS!AO55</f>
        <v/>
      </c>
      <c r="AP952" s="369">
        <f>IX_Model_MWS!AP55</f>
        <v/>
      </c>
      <c r="AQ952" s="369">
        <f>IX_Model_MWS!AQ55</f>
        <v/>
      </c>
      <c r="AR952" s="369">
        <f>IX_Model_MWS!AR55</f>
        <v/>
      </c>
      <c r="AS952" s="369">
        <f>IX_Model_MWS!AS55</f>
        <v/>
      </c>
      <c r="AT952" s="370">
        <f>IX_Model_MWS!AT55</f>
        <v/>
      </c>
      <c r="AU952" s="370">
        <f>IX_Model_MWS!AU55</f>
        <v/>
      </c>
      <c r="AV952" s="370">
        <f>IX_Model_MWS!AV55</f>
        <v/>
      </c>
      <c r="AW952" s="370">
        <f>IX_Model_MWS!AW55</f>
        <v/>
      </c>
      <c r="AX952">
        <f>IX_Model_MWS!AX55</f>
        <v/>
      </c>
      <c r="AY952">
        <f>IX_Model_MWS!AY55</f>
        <v/>
      </c>
      <c r="AZ952">
        <f>IX_Model_MWS!AZ55</f>
        <v/>
      </c>
      <c r="BA952">
        <f>IX_Model_MWS!BA55</f>
        <v/>
      </c>
      <c r="BB952">
        <f>IX_Model_MWS!BB55</f>
        <v/>
      </c>
      <c r="BC952">
        <f>IX_Model_MWS!BC55</f>
        <v/>
      </c>
      <c r="BD952">
        <f>IX_Model_MWS!BD55</f>
        <v/>
      </c>
      <c r="BE952">
        <f>IX_Model_MWS!BE55</f>
        <v/>
      </c>
      <c r="BF952">
        <f>IX_Model_MWS!BF55</f>
        <v/>
      </c>
      <c r="BG952">
        <f>IX_Model_MWS!BG55</f>
        <v/>
      </c>
      <c r="BH952">
        <f>IX_Model_MWS!BH55</f>
        <v/>
      </c>
      <c r="BI952">
        <f>IX_Model_MWS!BI55</f>
        <v/>
      </c>
      <c r="BJ952">
        <f>O952</f>
        <v/>
      </c>
      <c r="BK952">
        <f>SUM(AG952:AW952)</f>
        <v/>
      </c>
      <c r="BL952" s="531">
        <f>BJ952-BK952</f>
        <v/>
      </c>
      <c r="BM952" s="201" t="n"/>
    </row>
    <row r="953" hidden="1" outlineLevel="1" s="191">
      <c r="A953">
        <f>IX_Model_MWS!A56</f>
        <v/>
      </c>
      <c r="B953">
        <f>IX_Model_MWS!B56</f>
        <v/>
      </c>
      <c r="C953">
        <f>IX_Model_MWS!C56</f>
        <v/>
      </c>
      <c r="D953">
        <f>IX_Model_MWS!D56</f>
        <v/>
      </c>
      <c r="E953">
        <f>IX_Model_MWS!E56</f>
        <v/>
      </c>
      <c r="F953">
        <f>IX_Model_MWS!F56</f>
        <v/>
      </c>
      <c r="G953">
        <f>IX_Model_MWS!G56</f>
        <v/>
      </c>
      <c r="H953">
        <f>IX_Model_MWS!H56</f>
        <v/>
      </c>
      <c r="I953">
        <f>IX_Model_MWS!I56</f>
        <v/>
      </c>
      <c r="J953">
        <f>IX_Model_MWS!J56</f>
        <v/>
      </c>
      <c r="K953" s="672">
        <f>IX_Model_MWS!K56</f>
        <v/>
      </c>
      <c r="L953" s="672">
        <f>IX_Model_MWS!L56</f>
        <v/>
      </c>
      <c r="M953">
        <f>IX_Model_MWS!M56</f>
        <v/>
      </c>
      <c r="N953">
        <f>IX_Model_MWS!N56</f>
        <v/>
      </c>
      <c r="O953">
        <f>IX_Model_MWS!O56</f>
        <v/>
      </c>
      <c r="P953" s="628">
        <f>IX_Model_MWS!P56</f>
        <v/>
      </c>
      <c r="Q953" s="628">
        <f>IX_Model_MWS!Q56</f>
        <v/>
      </c>
      <c r="R953" s="628">
        <f>IX_Model_MWS!R56</f>
        <v/>
      </c>
      <c r="S953" s="628">
        <f>IX_Model_MWS!S56</f>
        <v/>
      </c>
      <c r="T953" s="628">
        <f>IX_Model_MWS!T56</f>
        <v/>
      </c>
      <c r="U953" s="628">
        <f>IX_Model_MWS!U56</f>
        <v/>
      </c>
      <c r="V953" s="628">
        <f>IX_Model_MWS!V56</f>
        <v/>
      </c>
      <c r="W953" s="628">
        <f>IX_Model_MWS!W56</f>
        <v/>
      </c>
      <c r="X953" s="628">
        <f>IX_Model_MWS!X56</f>
        <v/>
      </c>
      <c r="Y953" s="650">
        <f>IX_Model_MWS!Y56</f>
        <v/>
      </c>
      <c r="Z953" s="650">
        <f>IX_Model_MWS!Z56</f>
        <v/>
      </c>
      <c r="AA953" s="650">
        <f>IX_Model_MWS!AA56</f>
        <v/>
      </c>
      <c r="AB953" s="650">
        <f>IX_Model_MWS!AB56</f>
        <v/>
      </c>
      <c r="AC953" s="613">
        <f>IX_Model_MWS!AC56</f>
        <v/>
      </c>
      <c r="AD953" s="613">
        <f>IX_Model_MWS!AD56</f>
        <v/>
      </c>
      <c r="AE953" s="613">
        <f>IX_Model_MWS!AE56</f>
        <v/>
      </c>
      <c r="AF953" s="613">
        <f>IX_Model_MWS!AF56</f>
        <v/>
      </c>
      <c r="AG953" s="626">
        <f>IX_Model_MWS!AG56</f>
        <v/>
      </c>
      <c r="AH953" s="626">
        <f>IX_Model_MWS!AH56</f>
        <v/>
      </c>
      <c r="AI953" s="626">
        <f>IX_Model_MWS!AI56</f>
        <v/>
      </c>
      <c r="AJ953" s="626">
        <f>IX_Model_MWS!AJ56</f>
        <v/>
      </c>
      <c r="AK953" s="626">
        <f>IX_Model_MWS!AK56</f>
        <v/>
      </c>
      <c r="AL953" s="626">
        <f>IX_Model_MWS!AL56</f>
        <v/>
      </c>
      <c r="AM953" s="626">
        <f>IX_Model_MWS!AM56</f>
        <v/>
      </c>
      <c r="AN953" s="626">
        <f>IX_Model_MWS!AN56</f>
        <v/>
      </c>
      <c r="AO953" s="626">
        <f>IX_Model_MWS!AO56</f>
        <v/>
      </c>
      <c r="AP953" s="369">
        <f>IX_Model_MWS!AP56</f>
        <v/>
      </c>
      <c r="AQ953" s="369">
        <f>IX_Model_MWS!AQ56</f>
        <v/>
      </c>
      <c r="AR953" s="369">
        <f>IX_Model_MWS!AR56</f>
        <v/>
      </c>
      <c r="AS953" s="369">
        <f>IX_Model_MWS!AS56</f>
        <v/>
      </c>
      <c r="AT953" s="370">
        <f>IX_Model_MWS!AT56</f>
        <v/>
      </c>
      <c r="AU953" s="370">
        <f>IX_Model_MWS!AU56</f>
        <v/>
      </c>
      <c r="AV953" s="370">
        <f>IX_Model_MWS!AV56</f>
        <v/>
      </c>
      <c r="AW953" s="370">
        <f>IX_Model_MWS!AW56</f>
        <v/>
      </c>
      <c r="AX953">
        <f>IX_Model_MWS!AX56</f>
        <v/>
      </c>
      <c r="AY953">
        <f>IX_Model_MWS!AY56</f>
        <v/>
      </c>
      <c r="AZ953">
        <f>IX_Model_MWS!AZ56</f>
        <v/>
      </c>
      <c r="BA953">
        <f>IX_Model_MWS!BA56</f>
        <v/>
      </c>
      <c r="BB953">
        <f>IX_Model_MWS!BB56</f>
        <v/>
      </c>
      <c r="BC953">
        <f>IX_Model_MWS!BC56</f>
        <v/>
      </c>
      <c r="BD953">
        <f>IX_Model_MWS!BD56</f>
        <v/>
      </c>
      <c r="BE953">
        <f>IX_Model_MWS!BE56</f>
        <v/>
      </c>
      <c r="BF953">
        <f>IX_Model_MWS!BF56</f>
        <v/>
      </c>
      <c r="BG953">
        <f>IX_Model_MWS!BG56</f>
        <v/>
      </c>
      <c r="BH953">
        <f>IX_Model_MWS!BH56</f>
        <v/>
      </c>
      <c r="BI953">
        <f>IX_Model_MWS!BI56</f>
        <v/>
      </c>
      <c r="BJ953">
        <f>O953</f>
        <v/>
      </c>
      <c r="BK953">
        <f>SUM(AG953:AW953)</f>
        <v/>
      </c>
      <c r="BL953" s="531">
        <f>BJ953-BK953</f>
        <v/>
      </c>
      <c r="BM953" s="201" t="n"/>
    </row>
    <row r="954" hidden="1" outlineLevel="1" s="191">
      <c r="A954">
        <f>IX_Model_MWS!A57</f>
        <v/>
      </c>
      <c r="B954">
        <f>IX_Model_MWS!B57</f>
        <v/>
      </c>
      <c r="C954">
        <f>IX_Model_MWS!C57</f>
        <v/>
      </c>
      <c r="D954">
        <f>IX_Model_MWS!D57</f>
        <v/>
      </c>
      <c r="E954">
        <f>IX_Model_MWS!E57</f>
        <v/>
      </c>
      <c r="F954">
        <f>IX_Model_MWS!F57</f>
        <v/>
      </c>
      <c r="G954">
        <f>IX_Model_MWS!G57</f>
        <v/>
      </c>
      <c r="H954">
        <f>IX_Model_MWS!H57</f>
        <v/>
      </c>
      <c r="I954">
        <f>IX_Model_MWS!I57</f>
        <v/>
      </c>
      <c r="J954">
        <f>IX_Model_MWS!J57</f>
        <v/>
      </c>
      <c r="K954" s="672">
        <f>IX_Model_MWS!K57</f>
        <v/>
      </c>
      <c r="L954" s="672">
        <f>IX_Model_MWS!L57</f>
        <v/>
      </c>
      <c r="M954">
        <f>IX_Model_MWS!M57</f>
        <v/>
      </c>
      <c r="N954">
        <f>IX_Model_MWS!N57</f>
        <v/>
      </c>
      <c r="O954">
        <f>IX_Model_MWS!O57</f>
        <v/>
      </c>
      <c r="P954" s="628">
        <f>IX_Model_MWS!P57</f>
        <v/>
      </c>
      <c r="Q954" s="628">
        <f>IX_Model_MWS!Q57</f>
        <v/>
      </c>
      <c r="R954" s="628">
        <f>IX_Model_MWS!R57</f>
        <v/>
      </c>
      <c r="S954" s="628">
        <f>IX_Model_MWS!S57</f>
        <v/>
      </c>
      <c r="T954" s="628">
        <f>IX_Model_MWS!T57</f>
        <v/>
      </c>
      <c r="U954" s="628">
        <f>IX_Model_MWS!U57</f>
        <v/>
      </c>
      <c r="V954" s="628">
        <f>IX_Model_MWS!V57</f>
        <v/>
      </c>
      <c r="W954" s="628">
        <f>IX_Model_MWS!W57</f>
        <v/>
      </c>
      <c r="X954" s="628">
        <f>IX_Model_MWS!X57</f>
        <v/>
      </c>
      <c r="Y954" s="650">
        <f>IX_Model_MWS!Y57</f>
        <v/>
      </c>
      <c r="Z954" s="650">
        <f>IX_Model_MWS!Z57</f>
        <v/>
      </c>
      <c r="AA954" s="650">
        <f>IX_Model_MWS!AA57</f>
        <v/>
      </c>
      <c r="AB954" s="650">
        <f>IX_Model_MWS!AB57</f>
        <v/>
      </c>
      <c r="AC954" s="613">
        <f>IX_Model_MWS!AC57</f>
        <v/>
      </c>
      <c r="AD954" s="613">
        <f>IX_Model_MWS!AD57</f>
        <v/>
      </c>
      <c r="AE954" s="613">
        <f>IX_Model_MWS!AE57</f>
        <v/>
      </c>
      <c r="AF954" s="613">
        <f>IX_Model_MWS!AF57</f>
        <v/>
      </c>
      <c r="AG954" s="626">
        <f>IX_Model_MWS!AG57</f>
        <v/>
      </c>
      <c r="AH954" s="626">
        <f>IX_Model_MWS!AH57</f>
        <v/>
      </c>
      <c r="AI954" s="626">
        <f>IX_Model_MWS!AI57</f>
        <v/>
      </c>
      <c r="AJ954" s="626">
        <f>IX_Model_MWS!AJ57</f>
        <v/>
      </c>
      <c r="AK954" s="626">
        <f>IX_Model_MWS!AK57</f>
        <v/>
      </c>
      <c r="AL954" s="626">
        <f>IX_Model_MWS!AL57</f>
        <v/>
      </c>
      <c r="AM954" s="626">
        <f>IX_Model_MWS!AM57</f>
        <v/>
      </c>
      <c r="AN954" s="626">
        <f>IX_Model_MWS!AN57</f>
        <v/>
      </c>
      <c r="AO954" s="626">
        <f>IX_Model_MWS!AO57</f>
        <v/>
      </c>
      <c r="AP954" s="369">
        <f>IX_Model_MWS!AP57</f>
        <v/>
      </c>
      <c r="AQ954" s="369">
        <f>IX_Model_MWS!AQ57</f>
        <v/>
      </c>
      <c r="AR954" s="369">
        <f>IX_Model_MWS!AR57</f>
        <v/>
      </c>
      <c r="AS954" s="369">
        <f>IX_Model_MWS!AS57</f>
        <v/>
      </c>
      <c r="AT954" s="370">
        <f>IX_Model_MWS!AT57</f>
        <v/>
      </c>
      <c r="AU954" s="370">
        <f>IX_Model_MWS!AU57</f>
        <v/>
      </c>
      <c r="AV954" s="370">
        <f>IX_Model_MWS!AV57</f>
        <v/>
      </c>
      <c r="AW954" s="370">
        <f>IX_Model_MWS!AW57</f>
        <v/>
      </c>
      <c r="AX954">
        <f>IX_Model_MWS!AX57</f>
        <v/>
      </c>
      <c r="AY954">
        <f>IX_Model_MWS!AY57</f>
        <v/>
      </c>
      <c r="AZ954">
        <f>IX_Model_MWS!AZ57</f>
        <v/>
      </c>
      <c r="BA954">
        <f>IX_Model_MWS!BA57</f>
        <v/>
      </c>
      <c r="BB954">
        <f>IX_Model_MWS!BB57</f>
        <v/>
      </c>
      <c r="BC954">
        <f>IX_Model_MWS!BC57</f>
        <v/>
      </c>
      <c r="BD954">
        <f>IX_Model_MWS!BD57</f>
        <v/>
      </c>
      <c r="BE954">
        <f>IX_Model_MWS!BE57</f>
        <v/>
      </c>
      <c r="BF954">
        <f>IX_Model_MWS!BF57</f>
        <v/>
      </c>
      <c r="BG954">
        <f>IX_Model_MWS!BG57</f>
        <v/>
      </c>
      <c r="BH954">
        <f>IX_Model_MWS!BH57</f>
        <v/>
      </c>
      <c r="BI954">
        <f>IX_Model_MWS!BI57</f>
        <v/>
      </c>
      <c r="BJ954">
        <f>O954</f>
        <v/>
      </c>
      <c r="BK954">
        <f>SUM(AG954:AW954)</f>
        <v/>
      </c>
      <c r="BL954" s="531">
        <f>BJ954-BK954</f>
        <v/>
      </c>
      <c r="BM954" s="201" t="n"/>
    </row>
    <row r="955" hidden="1" outlineLevel="1" s="191">
      <c r="A955">
        <f>IX_Model_MWS!A58</f>
        <v/>
      </c>
      <c r="B955">
        <f>IX_Model_MWS!B58</f>
        <v/>
      </c>
      <c r="C955">
        <f>IX_Model_MWS!C58</f>
        <v/>
      </c>
      <c r="D955">
        <f>IX_Model_MWS!D58</f>
        <v/>
      </c>
      <c r="E955">
        <f>IX_Model_MWS!E58</f>
        <v/>
      </c>
      <c r="F955">
        <f>IX_Model_MWS!F58</f>
        <v/>
      </c>
      <c r="G955">
        <f>IX_Model_MWS!G58</f>
        <v/>
      </c>
      <c r="H955">
        <f>IX_Model_MWS!H58</f>
        <v/>
      </c>
      <c r="I955">
        <f>IX_Model_MWS!I58</f>
        <v/>
      </c>
      <c r="J955">
        <f>IX_Model_MWS!J58</f>
        <v/>
      </c>
      <c r="K955" s="672">
        <f>IX_Model_MWS!K58</f>
        <v/>
      </c>
      <c r="L955" s="672">
        <f>IX_Model_MWS!L58</f>
        <v/>
      </c>
      <c r="M955">
        <f>IX_Model_MWS!M58</f>
        <v/>
      </c>
      <c r="N955">
        <f>IX_Model_MWS!N58</f>
        <v/>
      </c>
      <c r="O955">
        <f>IX_Model_MWS!O58</f>
        <v/>
      </c>
      <c r="P955" s="628">
        <f>IX_Model_MWS!P58</f>
        <v/>
      </c>
      <c r="Q955" s="628">
        <f>IX_Model_MWS!Q58</f>
        <v/>
      </c>
      <c r="R955" s="628">
        <f>IX_Model_MWS!R58</f>
        <v/>
      </c>
      <c r="S955" s="628">
        <f>IX_Model_MWS!S58</f>
        <v/>
      </c>
      <c r="T955" s="628">
        <f>IX_Model_MWS!T58</f>
        <v/>
      </c>
      <c r="U955" s="628">
        <f>IX_Model_MWS!U58</f>
        <v/>
      </c>
      <c r="V955" s="628">
        <f>IX_Model_MWS!V58</f>
        <v/>
      </c>
      <c r="W955" s="628">
        <f>IX_Model_MWS!W58</f>
        <v/>
      </c>
      <c r="X955" s="628">
        <f>IX_Model_MWS!X58</f>
        <v/>
      </c>
      <c r="Y955" s="650">
        <f>IX_Model_MWS!Y58</f>
        <v/>
      </c>
      <c r="Z955" s="650">
        <f>IX_Model_MWS!Z58</f>
        <v/>
      </c>
      <c r="AA955" s="650">
        <f>IX_Model_MWS!AA58</f>
        <v/>
      </c>
      <c r="AB955" s="650">
        <f>IX_Model_MWS!AB58</f>
        <v/>
      </c>
      <c r="AC955" s="613">
        <f>IX_Model_MWS!AC58</f>
        <v/>
      </c>
      <c r="AD955" s="613">
        <f>IX_Model_MWS!AD58</f>
        <v/>
      </c>
      <c r="AE955" s="613">
        <f>IX_Model_MWS!AE58</f>
        <v/>
      </c>
      <c r="AF955" s="613">
        <f>IX_Model_MWS!AF58</f>
        <v/>
      </c>
      <c r="AG955" s="626">
        <f>IX_Model_MWS!AG58</f>
        <v/>
      </c>
      <c r="AH955" s="626">
        <f>IX_Model_MWS!AH58</f>
        <v/>
      </c>
      <c r="AI955" s="626">
        <f>IX_Model_MWS!AI58</f>
        <v/>
      </c>
      <c r="AJ955" s="626">
        <f>IX_Model_MWS!AJ58</f>
        <v/>
      </c>
      <c r="AK955" s="626">
        <f>IX_Model_MWS!AK58</f>
        <v/>
      </c>
      <c r="AL955" s="626">
        <f>IX_Model_MWS!AL58</f>
        <v/>
      </c>
      <c r="AM955" s="626">
        <f>IX_Model_MWS!AM58</f>
        <v/>
      </c>
      <c r="AN955" s="626">
        <f>IX_Model_MWS!AN58</f>
        <v/>
      </c>
      <c r="AO955" s="626">
        <f>IX_Model_MWS!AO58</f>
        <v/>
      </c>
      <c r="AP955" s="369">
        <f>IX_Model_MWS!AP58</f>
        <v/>
      </c>
      <c r="AQ955" s="369">
        <f>IX_Model_MWS!AQ58</f>
        <v/>
      </c>
      <c r="AR955" s="369">
        <f>IX_Model_MWS!AR58</f>
        <v/>
      </c>
      <c r="AS955" s="369">
        <f>IX_Model_MWS!AS58</f>
        <v/>
      </c>
      <c r="AT955" s="370">
        <f>IX_Model_MWS!AT58</f>
        <v/>
      </c>
      <c r="AU955" s="370">
        <f>IX_Model_MWS!AU58</f>
        <v/>
      </c>
      <c r="AV955" s="370">
        <f>IX_Model_MWS!AV58</f>
        <v/>
      </c>
      <c r="AW955" s="370">
        <f>IX_Model_MWS!AW58</f>
        <v/>
      </c>
      <c r="AX955">
        <f>IX_Model_MWS!AX58</f>
        <v/>
      </c>
      <c r="AY955">
        <f>IX_Model_MWS!AY58</f>
        <v/>
      </c>
      <c r="AZ955">
        <f>IX_Model_MWS!AZ58</f>
        <v/>
      </c>
      <c r="BA955">
        <f>IX_Model_MWS!BA58</f>
        <v/>
      </c>
      <c r="BB955">
        <f>IX_Model_MWS!BB58</f>
        <v/>
      </c>
      <c r="BC955">
        <f>IX_Model_MWS!BC58</f>
        <v/>
      </c>
      <c r="BD955">
        <f>IX_Model_MWS!BD58</f>
        <v/>
      </c>
      <c r="BE955">
        <f>IX_Model_MWS!BE58</f>
        <v/>
      </c>
      <c r="BF955">
        <f>IX_Model_MWS!BF58</f>
        <v/>
      </c>
      <c r="BG955">
        <f>IX_Model_MWS!BG58</f>
        <v/>
      </c>
      <c r="BH955">
        <f>IX_Model_MWS!BH58</f>
        <v/>
      </c>
      <c r="BI955">
        <f>IX_Model_MWS!BI58</f>
        <v/>
      </c>
      <c r="BJ955">
        <f>O955</f>
        <v/>
      </c>
      <c r="BK955">
        <f>SUM(AG955:AW955)</f>
        <v/>
      </c>
      <c r="BL955" s="531">
        <f>BJ955-BK955</f>
        <v/>
      </c>
      <c r="BM955" s="201" t="n"/>
    </row>
    <row r="956" hidden="1" outlineLevel="1" s="191">
      <c r="A956">
        <f>IX_Model_MWS!A59</f>
        <v/>
      </c>
      <c r="B956">
        <f>IX_Model_MWS!B59</f>
        <v/>
      </c>
      <c r="C956">
        <f>IX_Model_MWS!C59</f>
        <v/>
      </c>
      <c r="D956">
        <f>IX_Model_MWS!D59</f>
        <v/>
      </c>
      <c r="E956">
        <f>IX_Model_MWS!E59</f>
        <v/>
      </c>
      <c r="F956">
        <f>IX_Model_MWS!F59</f>
        <v/>
      </c>
      <c r="G956">
        <f>IX_Model_MWS!G59</f>
        <v/>
      </c>
      <c r="H956">
        <f>IX_Model_MWS!H59</f>
        <v/>
      </c>
      <c r="I956">
        <f>IX_Model_MWS!I59</f>
        <v/>
      </c>
      <c r="J956">
        <f>IX_Model_MWS!J59</f>
        <v/>
      </c>
      <c r="K956" s="672">
        <f>IX_Model_MWS!K59</f>
        <v/>
      </c>
      <c r="L956" s="672">
        <f>IX_Model_MWS!L59</f>
        <v/>
      </c>
      <c r="M956">
        <f>IX_Model_MWS!M59</f>
        <v/>
      </c>
      <c r="N956">
        <f>IX_Model_MWS!N59</f>
        <v/>
      </c>
      <c r="O956">
        <f>IX_Model_MWS!O59</f>
        <v/>
      </c>
      <c r="P956" s="628">
        <f>IX_Model_MWS!P59</f>
        <v/>
      </c>
      <c r="Q956" s="628">
        <f>IX_Model_MWS!Q59</f>
        <v/>
      </c>
      <c r="R956" s="628">
        <f>IX_Model_MWS!R59</f>
        <v/>
      </c>
      <c r="S956" s="628">
        <f>IX_Model_MWS!S59</f>
        <v/>
      </c>
      <c r="T956" s="628">
        <f>IX_Model_MWS!T59</f>
        <v/>
      </c>
      <c r="U956" s="628">
        <f>IX_Model_MWS!U59</f>
        <v/>
      </c>
      <c r="V956" s="628">
        <f>IX_Model_MWS!V59</f>
        <v/>
      </c>
      <c r="W956" s="628">
        <f>IX_Model_MWS!W59</f>
        <v/>
      </c>
      <c r="X956" s="628">
        <f>IX_Model_MWS!X59</f>
        <v/>
      </c>
      <c r="Y956" s="650">
        <f>IX_Model_MWS!Y59</f>
        <v/>
      </c>
      <c r="Z956" s="650">
        <f>IX_Model_MWS!Z59</f>
        <v/>
      </c>
      <c r="AA956" s="650">
        <f>IX_Model_MWS!AA59</f>
        <v/>
      </c>
      <c r="AB956" s="650">
        <f>IX_Model_MWS!AB59</f>
        <v/>
      </c>
      <c r="AC956" s="613">
        <f>IX_Model_MWS!AC59</f>
        <v/>
      </c>
      <c r="AD956" s="613">
        <f>IX_Model_MWS!AD59</f>
        <v/>
      </c>
      <c r="AE956" s="613">
        <f>IX_Model_MWS!AE59</f>
        <v/>
      </c>
      <c r="AF956" s="613">
        <f>IX_Model_MWS!AF59</f>
        <v/>
      </c>
      <c r="AG956" s="626">
        <f>IX_Model_MWS!AG59</f>
        <v/>
      </c>
      <c r="AH956" s="626">
        <f>IX_Model_MWS!AH59</f>
        <v/>
      </c>
      <c r="AI956" s="626">
        <f>IX_Model_MWS!AI59</f>
        <v/>
      </c>
      <c r="AJ956" s="626">
        <f>IX_Model_MWS!AJ59</f>
        <v/>
      </c>
      <c r="AK956" s="626">
        <f>IX_Model_MWS!AK59</f>
        <v/>
      </c>
      <c r="AL956" s="626">
        <f>IX_Model_MWS!AL59</f>
        <v/>
      </c>
      <c r="AM956" s="626">
        <f>IX_Model_MWS!AM59</f>
        <v/>
      </c>
      <c r="AN956" s="626">
        <f>IX_Model_MWS!AN59</f>
        <v/>
      </c>
      <c r="AO956" s="626">
        <f>IX_Model_MWS!AO59</f>
        <v/>
      </c>
      <c r="AP956" s="369">
        <f>IX_Model_MWS!AP59</f>
        <v/>
      </c>
      <c r="AQ956" s="369">
        <f>IX_Model_MWS!AQ59</f>
        <v/>
      </c>
      <c r="AR956" s="369">
        <f>IX_Model_MWS!AR59</f>
        <v/>
      </c>
      <c r="AS956" s="369">
        <f>IX_Model_MWS!AS59</f>
        <v/>
      </c>
      <c r="AT956" s="370">
        <f>IX_Model_MWS!AT59</f>
        <v/>
      </c>
      <c r="AU956" s="370">
        <f>IX_Model_MWS!AU59</f>
        <v/>
      </c>
      <c r="AV956" s="370">
        <f>IX_Model_MWS!AV59</f>
        <v/>
      </c>
      <c r="AW956" s="370">
        <f>IX_Model_MWS!AW59</f>
        <v/>
      </c>
      <c r="AX956">
        <f>IX_Model_MWS!AX59</f>
        <v/>
      </c>
      <c r="AY956">
        <f>IX_Model_MWS!AY59</f>
        <v/>
      </c>
      <c r="AZ956">
        <f>IX_Model_MWS!AZ59</f>
        <v/>
      </c>
      <c r="BA956">
        <f>IX_Model_MWS!BA59</f>
        <v/>
      </c>
      <c r="BB956">
        <f>IX_Model_MWS!BB59</f>
        <v/>
      </c>
      <c r="BC956">
        <f>IX_Model_MWS!BC59</f>
        <v/>
      </c>
      <c r="BD956">
        <f>IX_Model_MWS!BD59</f>
        <v/>
      </c>
      <c r="BE956">
        <f>IX_Model_MWS!BE59</f>
        <v/>
      </c>
      <c r="BF956">
        <f>IX_Model_MWS!BF59</f>
        <v/>
      </c>
      <c r="BG956">
        <f>IX_Model_MWS!BG59</f>
        <v/>
      </c>
      <c r="BH956">
        <f>IX_Model_MWS!BH59</f>
        <v/>
      </c>
      <c r="BI956">
        <f>IX_Model_MWS!BI59</f>
        <v/>
      </c>
      <c r="BJ956">
        <f>O956</f>
        <v/>
      </c>
      <c r="BK956">
        <f>SUM(AG956:AW956)</f>
        <v/>
      </c>
      <c r="BL956" s="531">
        <f>BJ956-BK956</f>
        <v/>
      </c>
      <c r="BM956" s="201" t="n"/>
    </row>
    <row r="957" hidden="1" outlineLevel="1" s="191">
      <c r="A957">
        <f>IX_Model_MWS!A60</f>
        <v/>
      </c>
      <c r="B957">
        <f>IX_Model_MWS!B60</f>
        <v/>
      </c>
      <c r="C957">
        <f>IX_Model_MWS!C60</f>
        <v/>
      </c>
      <c r="D957">
        <f>IX_Model_MWS!D60</f>
        <v/>
      </c>
      <c r="E957">
        <f>IX_Model_MWS!E60</f>
        <v/>
      </c>
      <c r="F957">
        <f>IX_Model_MWS!F60</f>
        <v/>
      </c>
      <c r="G957">
        <f>IX_Model_MWS!G60</f>
        <v/>
      </c>
      <c r="H957">
        <f>IX_Model_MWS!H60</f>
        <v/>
      </c>
      <c r="I957">
        <f>IX_Model_MWS!I60</f>
        <v/>
      </c>
      <c r="J957">
        <f>IX_Model_MWS!J60</f>
        <v/>
      </c>
      <c r="K957" s="672">
        <f>IX_Model_MWS!K60</f>
        <v/>
      </c>
      <c r="L957" s="672">
        <f>IX_Model_MWS!L60</f>
        <v/>
      </c>
      <c r="M957">
        <f>IX_Model_MWS!M60</f>
        <v/>
      </c>
      <c r="N957">
        <f>IX_Model_MWS!N60</f>
        <v/>
      </c>
      <c r="O957">
        <f>IX_Model_MWS!O60</f>
        <v/>
      </c>
      <c r="P957" s="628">
        <f>IX_Model_MWS!P60</f>
        <v/>
      </c>
      <c r="Q957" s="628">
        <f>IX_Model_MWS!Q60</f>
        <v/>
      </c>
      <c r="R957" s="628">
        <f>IX_Model_MWS!R60</f>
        <v/>
      </c>
      <c r="S957" s="628">
        <f>IX_Model_MWS!S60</f>
        <v/>
      </c>
      <c r="T957" s="628">
        <f>IX_Model_MWS!T60</f>
        <v/>
      </c>
      <c r="U957" s="628">
        <f>IX_Model_MWS!U60</f>
        <v/>
      </c>
      <c r="V957" s="628">
        <f>IX_Model_MWS!V60</f>
        <v/>
      </c>
      <c r="W957" s="628">
        <f>IX_Model_MWS!W60</f>
        <v/>
      </c>
      <c r="X957" s="628">
        <f>IX_Model_MWS!X60</f>
        <v/>
      </c>
      <c r="Y957" s="650">
        <f>IX_Model_MWS!Y60</f>
        <v/>
      </c>
      <c r="Z957" s="650">
        <f>IX_Model_MWS!Z60</f>
        <v/>
      </c>
      <c r="AA957" s="650">
        <f>IX_Model_MWS!AA60</f>
        <v/>
      </c>
      <c r="AB957" s="650">
        <f>IX_Model_MWS!AB60</f>
        <v/>
      </c>
      <c r="AC957" s="613">
        <f>IX_Model_MWS!AC60</f>
        <v/>
      </c>
      <c r="AD957" s="613">
        <f>IX_Model_MWS!AD60</f>
        <v/>
      </c>
      <c r="AE957" s="613">
        <f>IX_Model_MWS!AE60</f>
        <v/>
      </c>
      <c r="AF957" s="613">
        <f>IX_Model_MWS!AF60</f>
        <v/>
      </c>
      <c r="AG957" s="626">
        <f>IX_Model_MWS!AG60</f>
        <v/>
      </c>
      <c r="AH957" s="626">
        <f>IX_Model_MWS!AH60</f>
        <v/>
      </c>
      <c r="AI957" s="626">
        <f>IX_Model_MWS!AI60</f>
        <v/>
      </c>
      <c r="AJ957" s="626">
        <f>IX_Model_MWS!AJ60</f>
        <v/>
      </c>
      <c r="AK957" s="626">
        <f>IX_Model_MWS!AK60</f>
        <v/>
      </c>
      <c r="AL957" s="626">
        <f>IX_Model_MWS!AL60</f>
        <v/>
      </c>
      <c r="AM957" s="626">
        <f>IX_Model_MWS!AM60</f>
        <v/>
      </c>
      <c r="AN957" s="626">
        <f>IX_Model_MWS!AN60</f>
        <v/>
      </c>
      <c r="AO957" s="626">
        <f>IX_Model_MWS!AO60</f>
        <v/>
      </c>
      <c r="AP957" s="369">
        <f>IX_Model_MWS!AP60</f>
        <v/>
      </c>
      <c r="AQ957" s="369">
        <f>IX_Model_MWS!AQ60</f>
        <v/>
      </c>
      <c r="AR957" s="369">
        <f>IX_Model_MWS!AR60</f>
        <v/>
      </c>
      <c r="AS957" s="369">
        <f>IX_Model_MWS!AS60</f>
        <v/>
      </c>
      <c r="AT957" s="370">
        <f>IX_Model_MWS!AT60</f>
        <v/>
      </c>
      <c r="AU957" s="370">
        <f>IX_Model_MWS!AU60</f>
        <v/>
      </c>
      <c r="AV957" s="370">
        <f>IX_Model_MWS!AV60</f>
        <v/>
      </c>
      <c r="AW957" s="370">
        <f>IX_Model_MWS!AW60</f>
        <v/>
      </c>
      <c r="AX957">
        <f>IX_Model_MWS!AX60</f>
        <v/>
      </c>
      <c r="AY957">
        <f>IX_Model_MWS!AY60</f>
        <v/>
      </c>
      <c r="AZ957">
        <f>IX_Model_MWS!AZ60</f>
        <v/>
      </c>
      <c r="BA957">
        <f>IX_Model_MWS!BA60</f>
        <v/>
      </c>
      <c r="BB957">
        <f>IX_Model_MWS!BB60</f>
        <v/>
      </c>
      <c r="BC957">
        <f>IX_Model_MWS!BC60</f>
        <v/>
      </c>
      <c r="BD957">
        <f>IX_Model_MWS!BD60</f>
        <v/>
      </c>
      <c r="BE957">
        <f>IX_Model_MWS!BE60</f>
        <v/>
      </c>
      <c r="BF957">
        <f>IX_Model_MWS!BF60</f>
        <v/>
      </c>
      <c r="BG957">
        <f>IX_Model_MWS!BG60</f>
        <v/>
      </c>
      <c r="BH957">
        <f>IX_Model_MWS!BH60</f>
        <v/>
      </c>
      <c r="BI957">
        <f>IX_Model_MWS!BI60</f>
        <v/>
      </c>
      <c r="BJ957">
        <f>O957</f>
        <v/>
      </c>
      <c r="BK957">
        <f>SUM(AG957:AW957)</f>
        <v/>
      </c>
      <c r="BL957" s="531">
        <f>BJ957-BK957</f>
        <v/>
      </c>
      <c r="BM957" s="201" t="n"/>
    </row>
    <row r="958" hidden="1" outlineLevel="1" s="191">
      <c r="A958">
        <f>IX_Model_MWS!A61</f>
        <v/>
      </c>
      <c r="B958">
        <f>IX_Model_MWS!B61</f>
        <v/>
      </c>
      <c r="C958">
        <f>IX_Model_MWS!C61</f>
        <v/>
      </c>
      <c r="D958">
        <f>IX_Model_MWS!D61</f>
        <v/>
      </c>
      <c r="E958">
        <f>IX_Model_MWS!E61</f>
        <v/>
      </c>
      <c r="F958">
        <f>IX_Model_MWS!F61</f>
        <v/>
      </c>
      <c r="G958">
        <f>IX_Model_MWS!G61</f>
        <v/>
      </c>
      <c r="H958">
        <f>IX_Model_MWS!H61</f>
        <v/>
      </c>
      <c r="I958">
        <f>IX_Model_MWS!I61</f>
        <v/>
      </c>
      <c r="J958">
        <f>IX_Model_MWS!J61</f>
        <v/>
      </c>
      <c r="K958" s="672">
        <f>IX_Model_MWS!K61</f>
        <v/>
      </c>
      <c r="L958" s="672">
        <f>IX_Model_MWS!L61</f>
        <v/>
      </c>
      <c r="M958">
        <f>IX_Model_MWS!M61</f>
        <v/>
      </c>
      <c r="N958">
        <f>IX_Model_MWS!N61</f>
        <v/>
      </c>
      <c r="O958">
        <f>IX_Model_MWS!O61</f>
        <v/>
      </c>
      <c r="P958" s="628">
        <f>IX_Model_MWS!P61</f>
        <v/>
      </c>
      <c r="Q958" s="628">
        <f>IX_Model_MWS!Q61</f>
        <v/>
      </c>
      <c r="R958" s="628">
        <f>IX_Model_MWS!R61</f>
        <v/>
      </c>
      <c r="S958" s="628">
        <f>IX_Model_MWS!S61</f>
        <v/>
      </c>
      <c r="T958" s="628">
        <f>IX_Model_MWS!T61</f>
        <v/>
      </c>
      <c r="U958" s="628">
        <f>IX_Model_MWS!U61</f>
        <v/>
      </c>
      <c r="V958" s="628">
        <f>IX_Model_MWS!V61</f>
        <v/>
      </c>
      <c r="W958" s="628">
        <f>IX_Model_MWS!W61</f>
        <v/>
      </c>
      <c r="X958" s="628">
        <f>IX_Model_MWS!X61</f>
        <v/>
      </c>
      <c r="Y958" s="650">
        <f>IX_Model_MWS!Y61</f>
        <v/>
      </c>
      <c r="Z958" s="650">
        <f>IX_Model_MWS!Z61</f>
        <v/>
      </c>
      <c r="AA958" s="650">
        <f>IX_Model_MWS!AA61</f>
        <v/>
      </c>
      <c r="AB958" s="650">
        <f>IX_Model_MWS!AB61</f>
        <v/>
      </c>
      <c r="AC958" s="613">
        <f>IX_Model_MWS!AC61</f>
        <v/>
      </c>
      <c r="AD958" s="613">
        <f>IX_Model_MWS!AD61</f>
        <v/>
      </c>
      <c r="AE958" s="613">
        <f>IX_Model_MWS!AE61</f>
        <v/>
      </c>
      <c r="AF958" s="613">
        <f>IX_Model_MWS!AF61</f>
        <v/>
      </c>
      <c r="AG958" s="626">
        <f>IX_Model_MWS!AG61</f>
        <v/>
      </c>
      <c r="AH958" s="626">
        <f>IX_Model_MWS!AH61</f>
        <v/>
      </c>
      <c r="AI958" s="626">
        <f>IX_Model_MWS!AI61</f>
        <v/>
      </c>
      <c r="AJ958" s="626">
        <f>IX_Model_MWS!AJ61</f>
        <v/>
      </c>
      <c r="AK958" s="626">
        <f>IX_Model_MWS!AK61</f>
        <v/>
      </c>
      <c r="AL958" s="626">
        <f>IX_Model_MWS!AL61</f>
        <v/>
      </c>
      <c r="AM958" s="626">
        <f>IX_Model_MWS!AM61</f>
        <v/>
      </c>
      <c r="AN958" s="626">
        <f>IX_Model_MWS!AN61</f>
        <v/>
      </c>
      <c r="AO958" s="626">
        <f>IX_Model_MWS!AO61</f>
        <v/>
      </c>
      <c r="AP958" s="369">
        <f>IX_Model_MWS!AP61</f>
        <v/>
      </c>
      <c r="AQ958" s="369">
        <f>IX_Model_MWS!AQ61</f>
        <v/>
      </c>
      <c r="AR958" s="369">
        <f>IX_Model_MWS!AR61</f>
        <v/>
      </c>
      <c r="AS958" s="369">
        <f>IX_Model_MWS!AS61</f>
        <v/>
      </c>
      <c r="AT958" s="370">
        <f>IX_Model_MWS!AT61</f>
        <v/>
      </c>
      <c r="AU958" s="370">
        <f>IX_Model_MWS!AU61</f>
        <v/>
      </c>
      <c r="AV958" s="370">
        <f>IX_Model_MWS!AV61</f>
        <v/>
      </c>
      <c r="AW958" s="370">
        <f>IX_Model_MWS!AW61</f>
        <v/>
      </c>
      <c r="AX958">
        <f>IX_Model_MWS!AX61</f>
        <v/>
      </c>
      <c r="AY958">
        <f>IX_Model_MWS!AY61</f>
        <v/>
      </c>
      <c r="AZ958">
        <f>IX_Model_MWS!AZ61</f>
        <v/>
      </c>
      <c r="BA958">
        <f>IX_Model_MWS!BA61</f>
        <v/>
      </c>
      <c r="BB958">
        <f>IX_Model_MWS!BB61</f>
        <v/>
      </c>
      <c r="BC958">
        <f>IX_Model_MWS!BC61</f>
        <v/>
      </c>
      <c r="BD958">
        <f>IX_Model_MWS!BD61</f>
        <v/>
      </c>
      <c r="BE958">
        <f>IX_Model_MWS!BE61</f>
        <v/>
      </c>
      <c r="BF958">
        <f>IX_Model_MWS!BF61</f>
        <v/>
      </c>
      <c r="BG958">
        <f>IX_Model_MWS!BG61</f>
        <v/>
      </c>
      <c r="BH958">
        <f>IX_Model_MWS!BH61</f>
        <v/>
      </c>
      <c r="BI958">
        <f>IX_Model_MWS!BI61</f>
        <v/>
      </c>
      <c r="BJ958">
        <f>O958</f>
        <v/>
      </c>
      <c r="BK958">
        <f>SUM(AG958:AW958)</f>
        <v/>
      </c>
      <c r="BL958" s="531">
        <f>BJ958-BK958</f>
        <v/>
      </c>
      <c r="BM958" s="201" t="n"/>
    </row>
    <row r="959" hidden="1" outlineLevel="1" s="191">
      <c r="A959">
        <f>IX_Model_MWS!A62</f>
        <v/>
      </c>
      <c r="B959">
        <f>IX_Model_MWS!B62</f>
        <v/>
      </c>
      <c r="C959">
        <f>IX_Model_MWS!C62</f>
        <v/>
      </c>
      <c r="D959">
        <f>IX_Model_MWS!D62</f>
        <v/>
      </c>
      <c r="E959">
        <f>IX_Model_MWS!E62</f>
        <v/>
      </c>
      <c r="F959">
        <f>IX_Model_MWS!F62</f>
        <v/>
      </c>
      <c r="G959">
        <f>IX_Model_MWS!G62</f>
        <v/>
      </c>
      <c r="H959">
        <f>IX_Model_MWS!H62</f>
        <v/>
      </c>
      <c r="I959">
        <f>IX_Model_MWS!I62</f>
        <v/>
      </c>
      <c r="J959">
        <f>IX_Model_MWS!J62</f>
        <v/>
      </c>
      <c r="K959" s="672">
        <f>IX_Model_MWS!K62</f>
        <v/>
      </c>
      <c r="L959" s="672">
        <f>IX_Model_MWS!L62</f>
        <v/>
      </c>
      <c r="M959">
        <f>IX_Model_MWS!M62</f>
        <v/>
      </c>
      <c r="N959">
        <f>IX_Model_MWS!N62</f>
        <v/>
      </c>
      <c r="O959">
        <f>IX_Model_MWS!O62</f>
        <v/>
      </c>
      <c r="P959" s="628">
        <f>IX_Model_MWS!P62</f>
        <v/>
      </c>
      <c r="Q959" s="628">
        <f>IX_Model_MWS!Q62</f>
        <v/>
      </c>
      <c r="R959" s="628">
        <f>IX_Model_MWS!R62</f>
        <v/>
      </c>
      <c r="S959" s="628">
        <f>IX_Model_MWS!S62</f>
        <v/>
      </c>
      <c r="T959" s="628">
        <f>IX_Model_MWS!T62</f>
        <v/>
      </c>
      <c r="U959" s="628">
        <f>IX_Model_MWS!U62</f>
        <v/>
      </c>
      <c r="V959" s="628">
        <f>IX_Model_MWS!V62</f>
        <v/>
      </c>
      <c r="W959" s="628">
        <f>IX_Model_MWS!W62</f>
        <v/>
      </c>
      <c r="X959" s="628">
        <f>IX_Model_MWS!X62</f>
        <v/>
      </c>
      <c r="Y959" s="650">
        <f>IX_Model_MWS!Y62</f>
        <v/>
      </c>
      <c r="Z959" s="650">
        <f>IX_Model_MWS!Z62</f>
        <v/>
      </c>
      <c r="AA959" s="650">
        <f>IX_Model_MWS!AA62</f>
        <v/>
      </c>
      <c r="AB959" s="650">
        <f>IX_Model_MWS!AB62</f>
        <v/>
      </c>
      <c r="AC959" s="613">
        <f>IX_Model_MWS!AC62</f>
        <v/>
      </c>
      <c r="AD959" s="613">
        <f>IX_Model_MWS!AD62</f>
        <v/>
      </c>
      <c r="AE959" s="613">
        <f>IX_Model_MWS!AE62</f>
        <v/>
      </c>
      <c r="AF959" s="613">
        <f>IX_Model_MWS!AF62</f>
        <v/>
      </c>
      <c r="AG959" s="626">
        <f>IX_Model_MWS!AG62</f>
        <v/>
      </c>
      <c r="AH959" s="626">
        <f>IX_Model_MWS!AH62</f>
        <v/>
      </c>
      <c r="AI959" s="626">
        <f>IX_Model_MWS!AI62</f>
        <v/>
      </c>
      <c r="AJ959" s="626">
        <f>IX_Model_MWS!AJ62</f>
        <v/>
      </c>
      <c r="AK959" s="626">
        <f>IX_Model_MWS!AK62</f>
        <v/>
      </c>
      <c r="AL959" s="626">
        <f>IX_Model_MWS!AL62</f>
        <v/>
      </c>
      <c r="AM959" s="626">
        <f>IX_Model_MWS!AM62</f>
        <v/>
      </c>
      <c r="AN959" s="626">
        <f>IX_Model_MWS!AN62</f>
        <v/>
      </c>
      <c r="AO959" s="626">
        <f>IX_Model_MWS!AO62</f>
        <v/>
      </c>
      <c r="AP959" s="369">
        <f>IX_Model_MWS!AP62</f>
        <v/>
      </c>
      <c r="AQ959" s="369">
        <f>IX_Model_MWS!AQ62</f>
        <v/>
      </c>
      <c r="AR959" s="369">
        <f>IX_Model_MWS!AR62</f>
        <v/>
      </c>
      <c r="AS959" s="369">
        <f>IX_Model_MWS!AS62</f>
        <v/>
      </c>
      <c r="AT959" s="370">
        <f>IX_Model_MWS!AT62</f>
        <v/>
      </c>
      <c r="AU959" s="370">
        <f>IX_Model_MWS!AU62</f>
        <v/>
      </c>
      <c r="AV959" s="370">
        <f>IX_Model_MWS!AV62</f>
        <v/>
      </c>
      <c r="AW959" s="370">
        <f>IX_Model_MWS!AW62</f>
        <v/>
      </c>
      <c r="AX959">
        <f>IX_Model_MWS!AX62</f>
        <v/>
      </c>
      <c r="AY959">
        <f>IX_Model_MWS!AY62</f>
        <v/>
      </c>
      <c r="AZ959">
        <f>IX_Model_MWS!AZ62</f>
        <v/>
      </c>
      <c r="BA959">
        <f>IX_Model_MWS!BA62</f>
        <v/>
      </c>
      <c r="BB959">
        <f>IX_Model_MWS!BB62</f>
        <v/>
      </c>
      <c r="BC959">
        <f>IX_Model_MWS!BC62</f>
        <v/>
      </c>
      <c r="BD959">
        <f>IX_Model_MWS!BD62</f>
        <v/>
      </c>
      <c r="BE959">
        <f>IX_Model_MWS!BE62</f>
        <v/>
      </c>
      <c r="BF959">
        <f>IX_Model_MWS!BF62</f>
        <v/>
      </c>
      <c r="BG959">
        <f>IX_Model_MWS!BG62</f>
        <v/>
      </c>
      <c r="BH959">
        <f>IX_Model_MWS!BH62</f>
        <v/>
      </c>
      <c r="BI959">
        <f>IX_Model_MWS!BI62</f>
        <v/>
      </c>
      <c r="BJ959">
        <f>O959</f>
        <v/>
      </c>
      <c r="BK959">
        <f>SUM(AG959:AW959)</f>
        <v/>
      </c>
      <c r="BL959" s="531">
        <f>BJ959-BK959</f>
        <v/>
      </c>
      <c r="BM959" s="201" t="n"/>
    </row>
    <row r="960" hidden="1" outlineLevel="1" s="191">
      <c r="A960">
        <f>IX_Model_MWS!A63</f>
        <v/>
      </c>
      <c r="B960">
        <f>IX_Model_MWS!B63</f>
        <v/>
      </c>
      <c r="C960">
        <f>IX_Model_MWS!C63</f>
        <v/>
      </c>
      <c r="D960">
        <f>IX_Model_MWS!D63</f>
        <v/>
      </c>
      <c r="E960">
        <f>IX_Model_MWS!E63</f>
        <v/>
      </c>
      <c r="F960">
        <f>IX_Model_MWS!F63</f>
        <v/>
      </c>
      <c r="G960">
        <f>IX_Model_MWS!G63</f>
        <v/>
      </c>
      <c r="H960">
        <f>IX_Model_MWS!H63</f>
        <v/>
      </c>
      <c r="I960">
        <f>IX_Model_MWS!I63</f>
        <v/>
      </c>
      <c r="J960">
        <f>IX_Model_MWS!J63</f>
        <v/>
      </c>
      <c r="K960" s="672">
        <f>IX_Model_MWS!K63</f>
        <v/>
      </c>
      <c r="L960" s="672">
        <f>IX_Model_MWS!L63</f>
        <v/>
      </c>
      <c r="M960">
        <f>IX_Model_MWS!M63</f>
        <v/>
      </c>
      <c r="N960">
        <f>IX_Model_MWS!N63</f>
        <v/>
      </c>
      <c r="O960">
        <f>IX_Model_MWS!O63</f>
        <v/>
      </c>
      <c r="P960" s="628">
        <f>IX_Model_MWS!P63</f>
        <v/>
      </c>
      <c r="Q960" s="628">
        <f>IX_Model_MWS!Q63</f>
        <v/>
      </c>
      <c r="R960" s="628">
        <f>IX_Model_MWS!R63</f>
        <v/>
      </c>
      <c r="S960" s="628">
        <f>IX_Model_MWS!S63</f>
        <v/>
      </c>
      <c r="T960" s="628">
        <f>IX_Model_MWS!T63</f>
        <v/>
      </c>
      <c r="U960" s="628">
        <f>IX_Model_MWS!U63</f>
        <v/>
      </c>
      <c r="V960" s="628">
        <f>IX_Model_MWS!V63</f>
        <v/>
      </c>
      <c r="W960" s="628">
        <f>IX_Model_MWS!W63</f>
        <v/>
      </c>
      <c r="X960" s="628">
        <f>IX_Model_MWS!X63</f>
        <v/>
      </c>
      <c r="Y960" s="650">
        <f>IX_Model_MWS!Y63</f>
        <v/>
      </c>
      <c r="Z960" s="650">
        <f>IX_Model_MWS!Z63</f>
        <v/>
      </c>
      <c r="AA960" s="650">
        <f>IX_Model_MWS!AA63</f>
        <v/>
      </c>
      <c r="AB960" s="650">
        <f>IX_Model_MWS!AB63</f>
        <v/>
      </c>
      <c r="AC960" s="613">
        <f>IX_Model_MWS!AC63</f>
        <v/>
      </c>
      <c r="AD960" s="613">
        <f>IX_Model_MWS!AD63</f>
        <v/>
      </c>
      <c r="AE960" s="613">
        <f>IX_Model_MWS!AE63</f>
        <v/>
      </c>
      <c r="AF960" s="613">
        <f>IX_Model_MWS!AF63</f>
        <v/>
      </c>
      <c r="AG960" s="626">
        <f>IX_Model_MWS!AG63</f>
        <v/>
      </c>
      <c r="AH960" s="626">
        <f>IX_Model_MWS!AH63</f>
        <v/>
      </c>
      <c r="AI960" s="626">
        <f>IX_Model_MWS!AI63</f>
        <v/>
      </c>
      <c r="AJ960" s="626">
        <f>IX_Model_MWS!AJ63</f>
        <v/>
      </c>
      <c r="AK960" s="626">
        <f>IX_Model_MWS!AK63</f>
        <v/>
      </c>
      <c r="AL960" s="626">
        <f>IX_Model_MWS!AL63</f>
        <v/>
      </c>
      <c r="AM960" s="626">
        <f>IX_Model_MWS!AM63</f>
        <v/>
      </c>
      <c r="AN960" s="626">
        <f>IX_Model_MWS!AN63</f>
        <v/>
      </c>
      <c r="AO960" s="626">
        <f>IX_Model_MWS!AO63</f>
        <v/>
      </c>
      <c r="AP960" s="369">
        <f>IX_Model_MWS!AP63</f>
        <v/>
      </c>
      <c r="AQ960" s="369">
        <f>IX_Model_MWS!AQ63</f>
        <v/>
      </c>
      <c r="AR960" s="369">
        <f>IX_Model_MWS!AR63</f>
        <v/>
      </c>
      <c r="AS960" s="369">
        <f>IX_Model_MWS!AS63</f>
        <v/>
      </c>
      <c r="AT960" s="370">
        <f>IX_Model_MWS!AT63</f>
        <v/>
      </c>
      <c r="AU960" s="370">
        <f>IX_Model_MWS!AU63</f>
        <v/>
      </c>
      <c r="AV960" s="370">
        <f>IX_Model_MWS!AV63</f>
        <v/>
      </c>
      <c r="AW960" s="370">
        <f>IX_Model_MWS!AW63</f>
        <v/>
      </c>
      <c r="AX960">
        <f>IX_Model_MWS!AX63</f>
        <v/>
      </c>
      <c r="AY960">
        <f>IX_Model_MWS!AY63</f>
        <v/>
      </c>
      <c r="AZ960">
        <f>IX_Model_MWS!AZ63</f>
        <v/>
      </c>
      <c r="BA960">
        <f>IX_Model_MWS!BA63</f>
        <v/>
      </c>
      <c r="BB960">
        <f>IX_Model_MWS!BB63</f>
        <v/>
      </c>
      <c r="BC960">
        <f>IX_Model_MWS!BC63</f>
        <v/>
      </c>
      <c r="BD960">
        <f>IX_Model_MWS!BD63</f>
        <v/>
      </c>
      <c r="BE960">
        <f>IX_Model_MWS!BE63</f>
        <v/>
      </c>
      <c r="BF960">
        <f>IX_Model_MWS!BF63</f>
        <v/>
      </c>
      <c r="BG960">
        <f>IX_Model_MWS!BG63</f>
        <v/>
      </c>
      <c r="BH960">
        <f>IX_Model_MWS!BH63</f>
        <v/>
      </c>
      <c r="BI960">
        <f>IX_Model_MWS!BI63</f>
        <v/>
      </c>
      <c r="BJ960">
        <f>O960</f>
        <v/>
      </c>
      <c r="BK960">
        <f>SUM(AG960:AW960)</f>
        <v/>
      </c>
      <c r="BL960" s="531">
        <f>BJ960-BK960</f>
        <v/>
      </c>
      <c r="BM960" s="201" t="n"/>
    </row>
    <row r="961" hidden="1" outlineLevel="1" s="191">
      <c r="A961">
        <f>IX_Model_MWS!A64</f>
        <v/>
      </c>
      <c r="B961">
        <f>IX_Model_MWS!B64</f>
        <v/>
      </c>
      <c r="C961">
        <f>IX_Model_MWS!C64</f>
        <v/>
      </c>
      <c r="D961">
        <f>IX_Model_MWS!D64</f>
        <v/>
      </c>
      <c r="E961">
        <f>IX_Model_MWS!E64</f>
        <v/>
      </c>
      <c r="F961">
        <f>IX_Model_MWS!F64</f>
        <v/>
      </c>
      <c r="G961">
        <f>IX_Model_MWS!G64</f>
        <v/>
      </c>
      <c r="H961">
        <f>IX_Model_MWS!H64</f>
        <v/>
      </c>
      <c r="I961">
        <f>IX_Model_MWS!I64</f>
        <v/>
      </c>
      <c r="J961">
        <f>IX_Model_MWS!J64</f>
        <v/>
      </c>
      <c r="K961" s="672">
        <f>IX_Model_MWS!K64</f>
        <v/>
      </c>
      <c r="L961" s="672">
        <f>IX_Model_MWS!L64</f>
        <v/>
      </c>
      <c r="M961">
        <f>IX_Model_MWS!M64</f>
        <v/>
      </c>
      <c r="N961">
        <f>IX_Model_MWS!N64</f>
        <v/>
      </c>
      <c r="O961">
        <f>IX_Model_MWS!O64</f>
        <v/>
      </c>
      <c r="P961" s="628">
        <f>IX_Model_MWS!P64</f>
        <v/>
      </c>
      <c r="Q961" s="628">
        <f>IX_Model_MWS!Q64</f>
        <v/>
      </c>
      <c r="R961" s="628">
        <f>IX_Model_MWS!R64</f>
        <v/>
      </c>
      <c r="S961" s="628">
        <f>IX_Model_MWS!S64</f>
        <v/>
      </c>
      <c r="T961" s="628">
        <f>IX_Model_MWS!T64</f>
        <v/>
      </c>
      <c r="U961" s="628">
        <f>IX_Model_MWS!U64</f>
        <v/>
      </c>
      <c r="V961" s="628">
        <f>IX_Model_MWS!V64</f>
        <v/>
      </c>
      <c r="W961" s="628">
        <f>IX_Model_MWS!W64</f>
        <v/>
      </c>
      <c r="X961" s="628">
        <f>IX_Model_MWS!X64</f>
        <v/>
      </c>
      <c r="Y961" s="650">
        <f>IX_Model_MWS!Y64</f>
        <v/>
      </c>
      <c r="Z961" s="650">
        <f>IX_Model_MWS!Z64</f>
        <v/>
      </c>
      <c r="AA961" s="650">
        <f>IX_Model_MWS!AA64</f>
        <v/>
      </c>
      <c r="AB961" s="650">
        <f>IX_Model_MWS!AB64</f>
        <v/>
      </c>
      <c r="AC961" s="613">
        <f>IX_Model_MWS!AC64</f>
        <v/>
      </c>
      <c r="AD961" s="613">
        <f>IX_Model_MWS!AD64</f>
        <v/>
      </c>
      <c r="AE961" s="613">
        <f>IX_Model_MWS!AE64</f>
        <v/>
      </c>
      <c r="AF961" s="613">
        <f>IX_Model_MWS!AF64</f>
        <v/>
      </c>
      <c r="AG961" s="626">
        <f>IX_Model_MWS!AG64</f>
        <v/>
      </c>
      <c r="AH961" s="626">
        <f>IX_Model_MWS!AH64</f>
        <v/>
      </c>
      <c r="AI961" s="626">
        <f>IX_Model_MWS!AI64</f>
        <v/>
      </c>
      <c r="AJ961" s="626">
        <f>IX_Model_MWS!AJ64</f>
        <v/>
      </c>
      <c r="AK961" s="626">
        <f>IX_Model_MWS!AK64</f>
        <v/>
      </c>
      <c r="AL961" s="626">
        <f>IX_Model_MWS!AL64</f>
        <v/>
      </c>
      <c r="AM961" s="626">
        <f>IX_Model_MWS!AM64</f>
        <v/>
      </c>
      <c r="AN961" s="626">
        <f>IX_Model_MWS!AN64</f>
        <v/>
      </c>
      <c r="AO961" s="626">
        <f>IX_Model_MWS!AO64</f>
        <v/>
      </c>
      <c r="AP961" s="369">
        <f>IX_Model_MWS!AP64</f>
        <v/>
      </c>
      <c r="AQ961" s="369">
        <f>IX_Model_MWS!AQ64</f>
        <v/>
      </c>
      <c r="AR961" s="369">
        <f>IX_Model_MWS!AR64</f>
        <v/>
      </c>
      <c r="AS961" s="369">
        <f>IX_Model_MWS!AS64</f>
        <v/>
      </c>
      <c r="AT961" s="370">
        <f>IX_Model_MWS!AT64</f>
        <v/>
      </c>
      <c r="AU961" s="370">
        <f>IX_Model_MWS!AU64</f>
        <v/>
      </c>
      <c r="AV961" s="370">
        <f>IX_Model_MWS!AV64</f>
        <v/>
      </c>
      <c r="AW961" s="370">
        <f>IX_Model_MWS!AW64</f>
        <v/>
      </c>
      <c r="AX961">
        <f>IX_Model_MWS!AX64</f>
        <v/>
      </c>
      <c r="AY961">
        <f>IX_Model_MWS!AY64</f>
        <v/>
      </c>
      <c r="AZ961">
        <f>IX_Model_MWS!AZ64</f>
        <v/>
      </c>
      <c r="BA961">
        <f>IX_Model_MWS!BA64</f>
        <v/>
      </c>
      <c r="BB961">
        <f>IX_Model_MWS!BB64</f>
        <v/>
      </c>
      <c r="BC961">
        <f>IX_Model_MWS!BC64</f>
        <v/>
      </c>
      <c r="BD961">
        <f>IX_Model_MWS!BD64</f>
        <v/>
      </c>
      <c r="BE961">
        <f>IX_Model_MWS!BE64</f>
        <v/>
      </c>
      <c r="BF961">
        <f>IX_Model_MWS!BF64</f>
        <v/>
      </c>
      <c r="BG961">
        <f>IX_Model_MWS!BG64</f>
        <v/>
      </c>
      <c r="BH961">
        <f>IX_Model_MWS!BH64</f>
        <v/>
      </c>
      <c r="BI961">
        <f>IX_Model_MWS!BI64</f>
        <v/>
      </c>
      <c r="BJ961">
        <f>O961</f>
        <v/>
      </c>
      <c r="BK961">
        <f>SUM(AG961:AW961)</f>
        <v/>
      </c>
      <c r="BL961" s="531">
        <f>BJ961-BK961</f>
        <v/>
      </c>
      <c r="BM961" s="201" t="n"/>
    </row>
    <row r="962" hidden="1" outlineLevel="1" s="191">
      <c r="A962">
        <f>IX_Model_MWS!A65</f>
        <v/>
      </c>
      <c r="B962">
        <f>IX_Model_MWS!B65</f>
        <v/>
      </c>
      <c r="C962">
        <f>IX_Model_MWS!C65</f>
        <v/>
      </c>
      <c r="D962">
        <f>IX_Model_MWS!D65</f>
        <v/>
      </c>
      <c r="E962">
        <f>IX_Model_MWS!E65</f>
        <v/>
      </c>
      <c r="F962">
        <f>IX_Model_MWS!F65</f>
        <v/>
      </c>
      <c r="G962">
        <f>IX_Model_MWS!G65</f>
        <v/>
      </c>
      <c r="H962">
        <f>IX_Model_MWS!H65</f>
        <v/>
      </c>
      <c r="I962">
        <f>IX_Model_MWS!I65</f>
        <v/>
      </c>
      <c r="J962">
        <f>IX_Model_MWS!J65</f>
        <v/>
      </c>
      <c r="K962" s="672">
        <f>IX_Model_MWS!K65</f>
        <v/>
      </c>
      <c r="L962" s="672">
        <f>IX_Model_MWS!L65</f>
        <v/>
      </c>
      <c r="M962">
        <f>IX_Model_MWS!M65</f>
        <v/>
      </c>
      <c r="N962">
        <f>IX_Model_MWS!N65</f>
        <v/>
      </c>
      <c r="O962">
        <f>IX_Model_MWS!O65</f>
        <v/>
      </c>
      <c r="P962" s="628">
        <f>IX_Model_MWS!P65</f>
        <v/>
      </c>
      <c r="Q962" s="628">
        <f>IX_Model_MWS!Q65</f>
        <v/>
      </c>
      <c r="R962" s="628">
        <f>IX_Model_MWS!R65</f>
        <v/>
      </c>
      <c r="S962" s="628">
        <f>IX_Model_MWS!S65</f>
        <v/>
      </c>
      <c r="T962" s="628">
        <f>IX_Model_MWS!T65</f>
        <v/>
      </c>
      <c r="U962" s="628">
        <f>IX_Model_MWS!U65</f>
        <v/>
      </c>
      <c r="V962" s="628">
        <f>IX_Model_MWS!V65</f>
        <v/>
      </c>
      <c r="W962" s="628">
        <f>IX_Model_MWS!W65</f>
        <v/>
      </c>
      <c r="X962" s="628">
        <f>IX_Model_MWS!X65</f>
        <v/>
      </c>
      <c r="Y962" s="650">
        <f>IX_Model_MWS!Y65</f>
        <v/>
      </c>
      <c r="Z962" s="650">
        <f>IX_Model_MWS!Z65</f>
        <v/>
      </c>
      <c r="AA962" s="650">
        <f>IX_Model_MWS!AA65</f>
        <v/>
      </c>
      <c r="AB962" s="650">
        <f>IX_Model_MWS!AB65</f>
        <v/>
      </c>
      <c r="AC962" s="613">
        <f>IX_Model_MWS!AC65</f>
        <v/>
      </c>
      <c r="AD962" s="613">
        <f>IX_Model_MWS!AD65</f>
        <v/>
      </c>
      <c r="AE962" s="613">
        <f>IX_Model_MWS!AE65</f>
        <v/>
      </c>
      <c r="AF962" s="613">
        <f>IX_Model_MWS!AF65</f>
        <v/>
      </c>
      <c r="AG962" s="626">
        <f>IX_Model_MWS!AG65</f>
        <v/>
      </c>
      <c r="AH962" s="626">
        <f>IX_Model_MWS!AH65</f>
        <v/>
      </c>
      <c r="AI962" s="626">
        <f>IX_Model_MWS!AI65</f>
        <v/>
      </c>
      <c r="AJ962" s="626">
        <f>IX_Model_MWS!AJ65</f>
        <v/>
      </c>
      <c r="AK962" s="626">
        <f>IX_Model_MWS!AK65</f>
        <v/>
      </c>
      <c r="AL962" s="626">
        <f>IX_Model_MWS!AL65</f>
        <v/>
      </c>
      <c r="AM962" s="626">
        <f>IX_Model_MWS!AM65</f>
        <v/>
      </c>
      <c r="AN962" s="626">
        <f>IX_Model_MWS!AN65</f>
        <v/>
      </c>
      <c r="AO962" s="626">
        <f>IX_Model_MWS!AO65</f>
        <v/>
      </c>
      <c r="AP962" s="369">
        <f>IX_Model_MWS!AP65</f>
        <v/>
      </c>
      <c r="AQ962" s="369">
        <f>IX_Model_MWS!AQ65</f>
        <v/>
      </c>
      <c r="AR962" s="369">
        <f>IX_Model_MWS!AR65</f>
        <v/>
      </c>
      <c r="AS962" s="369">
        <f>IX_Model_MWS!AS65</f>
        <v/>
      </c>
      <c r="AT962" s="370">
        <f>IX_Model_MWS!AT65</f>
        <v/>
      </c>
      <c r="AU962" s="370">
        <f>IX_Model_MWS!AU65</f>
        <v/>
      </c>
      <c r="AV962" s="370">
        <f>IX_Model_MWS!AV65</f>
        <v/>
      </c>
      <c r="AW962" s="370">
        <f>IX_Model_MWS!AW65</f>
        <v/>
      </c>
      <c r="AX962">
        <f>IX_Model_MWS!AX65</f>
        <v/>
      </c>
      <c r="AY962">
        <f>IX_Model_MWS!AY65</f>
        <v/>
      </c>
      <c r="AZ962">
        <f>IX_Model_MWS!AZ65</f>
        <v/>
      </c>
      <c r="BA962">
        <f>IX_Model_MWS!BA65</f>
        <v/>
      </c>
      <c r="BB962">
        <f>IX_Model_MWS!BB65</f>
        <v/>
      </c>
      <c r="BC962">
        <f>IX_Model_MWS!BC65</f>
        <v/>
      </c>
      <c r="BD962">
        <f>IX_Model_MWS!BD65</f>
        <v/>
      </c>
      <c r="BE962">
        <f>IX_Model_MWS!BE65</f>
        <v/>
      </c>
      <c r="BF962">
        <f>IX_Model_MWS!BF65</f>
        <v/>
      </c>
      <c r="BG962">
        <f>IX_Model_MWS!BG65</f>
        <v/>
      </c>
      <c r="BH962">
        <f>IX_Model_MWS!BH65</f>
        <v/>
      </c>
      <c r="BI962">
        <f>IX_Model_MWS!BI65</f>
        <v/>
      </c>
      <c r="BJ962">
        <f>O962</f>
        <v/>
      </c>
      <c r="BK962">
        <f>SUM(AG962:AW962)</f>
        <v/>
      </c>
      <c r="BL962" s="531">
        <f>BJ962-BK962</f>
        <v/>
      </c>
      <c r="BM962" s="201" t="n"/>
    </row>
    <row r="963" hidden="1" outlineLevel="1" s="191">
      <c r="A963">
        <f>IX_Model_MWS!A66</f>
        <v/>
      </c>
      <c r="B963">
        <f>IX_Model_MWS!B66</f>
        <v/>
      </c>
      <c r="C963">
        <f>IX_Model_MWS!C66</f>
        <v/>
      </c>
      <c r="D963">
        <f>IX_Model_MWS!D66</f>
        <v/>
      </c>
      <c r="E963">
        <f>IX_Model_MWS!E66</f>
        <v/>
      </c>
      <c r="F963">
        <f>IX_Model_MWS!F66</f>
        <v/>
      </c>
      <c r="G963">
        <f>IX_Model_MWS!G66</f>
        <v/>
      </c>
      <c r="H963">
        <f>IX_Model_MWS!H66</f>
        <v/>
      </c>
      <c r="I963">
        <f>IX_Model_MWS!I66</f>
        <v/>
      </c>
      <c r="J963">
        <f>IX_Model_MWS!J66</f>
        <v/>
      </c>
      <c r="K963" s="672">
        <f>IX_Model_MWS!K66</f>
        <v/>
      </c>
      <c r="L963" s="672">
        <f>IX_Model_MWS!L66</f>
        <v/>
      </c>
      <c r="M963">
        <f>IX_Model_MWS!M66</f>
        <v/>
      </c>
      <c r="N963">
        <f>IX_Model_MWS!N66</f>
        <v/>
      </c>
      <c r="O963">
        <f>IX_Model_MWS!O66</f>
        <v/>
      </c>
      <c r="P963" s="628">
        <f>IX_Model_MWS!P66</f>
        <v/>
      </c>
      <c r="Q963" s="628">
        <f>IX_Model_MWS!Q66</f>
        <v/>
      </c>
      <c r="R963" s="628">
        <f>IX_Model_MWS!R66</f>
        <v/>
      </c>
      <c r="S963" s="628">
        <f>IX_Model_MWS!S66</f>
        <v/>
      </c>
      <c r="T963" s="628">
        <f>IX_Model_MWS!T66</f>
        <v/>
      </c>
      <c r="U963" s="628">
        <f>IX_Model_MWS!U66</f>
        <v/>
      </c>
      <c r="V963" s="628">
        <f>IX_Model_MWS!V66</f>
        <v/>
      </c>
      <c r="W963" s="628">
        <f>IX_Model_MWS!W66</f>
        <v/>
      </c>
      <c r="X963" s="628">
        <f>IX_Model_MWS!X66</f>
        <v/>
      </c>
      <c r="Y963" s="650">
        <f>IX_Model_MWS!Y66</f>
        <v/>
      </c>
      <c r="Z963" s="650">
        <f>IX_Model_MWS!Z66</f>
        <v/>
      </c>
      <c r="AA963" s="650">
        <f>IX_Model_MWS!AA66</f>
        <v/>
      </c>
      <c r="AB963" s="650">
        <f>IX_Model_MWS!AB66</f>
        <v/>
      </c>
      <c r="AC963" s="613">
        <f>IX_Model_MWS!AC66</f>
        <v/>
      </c>
      <c r="AD963" s="613">
        <f>IX_Model_MWS!AD66</f>
        <v/>
      </c>
      <c r="AE963" s="613">
        <f>IX_Model_MWS!AE66</f>
        <v/>
      </c>
      <c r="AF963" s="613">
        <f>IX_Model_MWS!AF66</f>
        <v/>
      </c>
      <c r="AG963" s="626">
        <f>IX_Model_MWS!AG66</f>
        <v/>
      </c>
      <c r="AH963" s="626">
        <f>IX_Model_MWS!AH66</f>
        <v/>
      </c>
      <c r="AI963" s="626">
        <f>IX_Model_MWS!AI66</f>
        <v/>
      </c>
      <c r="AJ963" s="626">
        <f>IX_Model_MWS!AJ66</f>
        <v/>
      </c>
      <c r="AK963" s="626">
        <f>IX_Model_MWS!AK66</f>
        <v/>
      </c>
      <c r="AL963" s="626">
        <f>IX_Model_MWS!AL66</f>
        <v/>
      </c>
      <c r="AM963" s="626">
        <f>IX_Model_MWS!AM66</f>
        <v/>
      </c>
      <c r="AN963" s="626">
        <f>IX_Model_MWS!AN66</f>
        <v/>
      </c>
      <c r="AO963" s="626">
        <f>IX_Model_MWS!AO66</f>
        <v/>
      </c>
      <c r="AP963" s="369">
        <f>IX_Model_MWS!AP66</f>
        <v/>
      </c>
      <c r="AQ963" s="369">
        <f>IX_Model_MWS!AQ66</f>
        <v/>
      </c>
      <c r="AR963" s="369">
        <f>IX_Model_MWS!AR66</f>
        <v/>
      </c>
      <c r="AS963" s="369">
        <f>IX_Model_MWS!AS66</f>
        <v/>
      </c>
      <c r="AT963" s="370">
        <f>IX_Model_MWS!AT66</f>
        <v/>
      </c>
      <c r="AU963" s="370">
        <f>IX_Model_MWS!AU66</f>
        <v/>
      </c>
      <c r="AV963" s="370">
        <f>IX_Model_MWS!AV66</f>
        <v/>
      </c>
      <c r="AW963" s="370">
        <f>IX_Model_MWS!AW66</f>
        <v/>
      </c>
      <c r="AX963">
        <f>IX_Model_MWS!AX66</f>
        <v/>
      </c>
      <c r="AY963">
        <f>IX_Model_MWS!AY66</f>
        <v/>
      </c>
      <c r="AZ963">
        <f>IX_Model_MWS!AZ66</f>
        <v/>
      </c>
      <c r="BA963">
        <f>IX_Model_MWS!BA66</f>
        <v/>
      </c>
      <c r="BB963">
        <f>IX_Model_MWS!BB66</f>
        <v/>
      </c>
      <c r="BC963">
        <f>IX_Model_MWS!BC66</f>
        <v/>
      </c>
      <c r="BD963">
        <f>IX_Model_MWS!BD66</f>
        <v/>
      </c>
      <c r="BE963">
        <f>IX_Model_MWS!BE66</f>
        <v/>
      </c>
      <c r="BF963">
        <f>IX_Model_MWS!BF66</f>
        <v/>
      </c>
      <c r="BG963">
        <f>IX_Model_MWS!BG66</f>
        <v/>
      </c>
      <c r="BH963">
        <f>IX_Model_MWS!BH66</f>
        <v/>
      </c>
      <c r="BI963">
        <f>IX_Model_MWS!BI66</f>
        <v/>
      </c>
      <c r="BJ963">
        <f>O963</f>
        <v/>
      </c>
      <c r="BK963">
        <f>SUM(AG963:AW963)</f>
        <v/>
      </c>
      <c r="BL963" s="531">
        <f>BJ963-BK963</f>
        <v/>
      </c>
      <c r="BM963" s="201" t="n"/>
    </row>
    <row r="964" hidden="1" outlineLevel="1" s="191">
      <c r="A964">
        <f>IX_Model_MWS!A67</f>
        <v/>
      </c>
      <c r="B964">
        <f>IX_Model_MWS!B67</f>
        <v/>
      </c>
      <c r="C964">
        <f>IX_Model_MWS!C67</f>
        <v/>
      </c>
      <c r="D964">
        <f>IX_Model_MWS!D67</f>
        <v/>
      </c>
      <c r="E964">
        <f>IX_Model_MWS!E67</f>
        <v/>
      </c>
      <c r="F964">
        <f>IX_Model_MWS!F67</f>
        <v/>
      </c>
      <c r="G964">
        <f>IX_Model_MWS!G67</f>
        <v/>
      </c>
      <c r="H964">
        <f>IX_Model_MWS!H67</f>
        <v/>
      </c>
      <c r="I964">
        <f>IX_Model_MWS!I67</f>
        <v/>
      </c>
      <c r="J964">
        <f>IX_Model_MWS!J67</f>
        <v/>
      </c>
      <c r="K964" s="672">
        <f>IX_Model_MWS!K67</f>
        <v/>
      </c>
      <c r="L964" s="672">
        <f>IX_Model_MWS!L67</f>
        <v/>
      </c>
      <c r="M964">
        <f>IX_Model_MWS!M67</f>
        <v/>
      </c>
      <c r="N964">
        <f>IX_Model_MWS!N67</f>
        <v/>
      </c>
      <c r="O964">
        <f>IX_Model_MWS!O67</f>
        <v/>
      </c>
      <c r="P964" s="628">
        <f>IX_Model_MWS!P67</f>
        <v/>
      </c>
      <c r="Q964" s="628">
        <f>IX_Model_MWS!Q67</f>
        <v/>
      </c>
      <c r="R964" s="628">
        <f>IX_Model_MWS!R67</f>
        <v/>
      </c>
      <c r="S964" s="628">
        <f>IX_Model_MWS!S67</f>
        <v/>
      </c>
      <c r="T964" s="628">
        <f>IX_Model_MWS!T67</f>
        <v/>
      </c>
      <c r="U964" s="628">
        <f>IX_Model_MWS!U67</f>
        <v/>
      </c>
      <c r="V964" s="628">
        <f>IX_Model_MWS!V67</f>
        <v/>
      </c>
      <c r="W964" s="628">
        <f>IX_Model_MWS!W67</f>
        <v/>
      </c>
      <c r="X964" s="628">
        <f>IX_Model_MWS!X67</f>
        <v/>
      </c>
      <c r="Y964" s="650">
        <f>IX_Model_MWS!Y67</f>
        <v/>
      </c>
      <c r="Z964" s="650">
        <f>IX_Model_MWS!Z67</f>
        <v/>
      </c>
      <c r="AA964" s="650">
        <f>IX_Model_MWS!AA67</f>
        <v/>
      </c>
      <c r="AB964" s="650">
        <f>IX_Model_MWS!AB67</f>
        <v/>
      </c>
      <c r="AC964" s="613">
        <f>IX_Model_MWS!AC67</f>
        <v/>
      </c>
      <c r="AD964" s="613">
        <f>IX_Model_MWS!AD67</f>
        <v/>
      </c>
      <c r="AE964" s="613">
        <f>IX_Model_MWS!AE67</f>
        <v/>
      </c>
      <c r="AF964" s="613">
        <f>IX_Model_MWS!AF67</f>
        <v/>
      </c>
      <c r="AG964" s="626">
        <f>IX_Model_MWS!AG67</f>
        <v/>
      </c>
      <c r="AH964" s="626">
        <f>IX_Model_MWS!AH67</f>
        <v/>
      </c>
      <c r="AI964" s="626">
        <f>IX_Model_MWS!AI67</f>
        <v/>
      </c>
      <c r="AJ964" s="626">
        <f>IX_Model_MWS!AJ67</f>
        <v/>
      </c>
      <c r="AK964" s="626">
        <f>IX_Model_MWS!AK67</f>
        <v/>
      </c>
      <c r="AL964" s="626">
        <f>IX_Model_MWS!AL67</f>
        <v/>
      </c>
      <c r="AM964" s="626">
        <f>IX_Model_MWS!AM67</f>
        <v/>
      </c>
      <c r="AN964" s="626">
        <f>IX_Model_MWS!AN67</f>
        <v/>
      </c>
      <c r="AO964" s="626">
        <f>IX_Model_MWS!AO67</f>
        <v/>
      </c>
      <c r="AP964" s="369">
        <f>IX_Model_MWS!AP67</f>
        <v/>
      </c>
      <c r="AQ964" s="369">
        <f>IX_Model_MWS!AQ67</f>
        <v/>
      </c>
      <c r="AR964" s="369">
        <f>IX_Model_MWS!AR67</f>
        <v/>
      </c>
      <c r="AS964" s="369">
        <f>IX_Model_MWS!AS67</f>
        <v/>
      </c>
      <c r="AT964" s="370">
        <f>IX_Model_MWS!AT67</f>
        <v/>
      </c>
      <c r="AU964" s="370">
        <f>IX_Model_MWS!AU67</f>
        <v/>
      </c>
      <c r="AV964" s="370">
        <f>IX_Model_MWS!AV67</f>
        <v/>
      </c>
      <c r="AW964" s="370">
        <f>IX_Model_MWS!AW67</f>
        <v/>
      </c>
      <c r="AX964">
        <f>IX_Model_MWS!AX67</f>
        <v/>
      </c>
      <c r="AY964">
        <f>IX_Model_MWS!AY67</f>
        <v/>
      </c>
      <c r="AZ964">
        <f>IX_Model_MWS!AZ67</f>
        <v/>
      </c>
      <c r="BA964">
        <f>IX_Model_MWS!BA67</f>
        <v/>
      </c>
      <c r="BB964">
        <f>IX_Model_MWS!BB67</f>
        <v/>
      </c>
      <c r="BC964">
        <f>IX_Model_MWS!BC67</f>
        <v/>
      </c>
      <c r="BD964">
        <f>IX_Model_MWS!BD67</f>
        <v/>
      </c>
      <c r="BE964">
        <f>IX_Model_MWS!BE67</f>
        <v/>
      </c>
      <c r="BF964">
        <f>IX_Model_MWS!BF67</f>
        <v/>
      </c>
      <c r="BG964">
        <f>IX_Model_MWS!BG67</f>
        <v/>
      </c>
      <c r="BH964">
        <f>IX_Model_MWS!BH67</f>
        <v/>
      </c>
      <c r="BI964">
        <f>IX_Model_MWS!BI67</f>
        <v/>
      </c>
      <c r="BJ964">
        <f>O964</f>
        <v/>
      </c>
      <c r="BK964">
        <f>SUM(AG964:AW964)</f>
        <v/>
      </c>
      <c r="BL964" s="531">
        <f>BJ964-BK964</f>
        <v/>
      </c>
      <c r="BM964" s="201" t="n"/>
    </row>
    <row r="965" hidden="1" outlineLevel="1" s="191">
      <c r="A965">
        <f>IX_Model_MWS!A68</f>
        <v/>
      </c>
      <c r="B965">
        <f>IX_Model_MWS!B68</f>
        <v/>
      </c>
      <c r="C965">
        <f>IX_Model_MWS!C68</f>
        <v/>
      </c>
      <c r="D965">
        <f>IX_Model_MWS!D68</f>
        <v/>
      </c>
      <c r="E965">
        <f>IX_Model_MWS!E68</f>
        <v/>
      </c>
      <c r="F965">
        <f>IX_Model_MWS!F68</f>
        <v/>
      </c>
      <c r="G965">
        <f>IX_Model_MWS!G68</f>
        <v/>
      </c>
      <c r="H965">
        <f>IX_Model_MWS!H68</f>
        <v/>
      </c>
      <c r="I965">
        <f>IX_Model_MWS!I68</f>
        <v/>
      </c>
      <c r="J965">
        <f>IX_Model_MWS!J68</f>
        <v/>
      </c>
      <c r="K965" s="672">
        <f>IX_Model_MWS!K68</f>
        <v/>
      </c>
      <c r="L965" s="672">
        <f>IX_Model_MWS!L68</f>
        <v/>
      </c>
      <c r="M965">
        <f>IX_Model_MWS!M68</f>
        <v/>
      </c>
      <c r="N965">
        <f>IX_Model_MWS!N68</f>
        <v/>
      </c>
      <c r="O965">
        <f>IX_Model_MWS!O68</f>
        <v/>
      </c>
      <c r="P965" s="628">
        <f>IX_Model_MWS!P68</f>
        <v/>
      </c>
      <c r="Q965" s="628">
        <f>IX_Model_MWS!Q68</f>
        <v/>
      </c>
      <c r="R965" s="628">
        <f>IX_Model_MWS!R68</f>
        <v/>
      </c>
      <c r="S965" s="628">
        <f>IX_Model_MWS!S68</f>
        <v/>
      </c>
      <c r="T965" s="628">
        <f>IX_Model_MWS!T68</f>
        <v/>
      </c>
      <c r="U965" s="628">
        <f>IX_Model_MWS!U68</f>
        <v/>
      </c>
      <c r="V965" s="628">
        <f>IX_Model_MWS!V68</f>
        <v/>
      </c>
      <c r="W965" s="628">
        <f>IX_Model_MWS!W68</f>
        <v/>
      </c>
      <c r="X965" s="628">
        <f>IX_Model_MWS!X68</f>
        <v/>
      </c>
      <c r="Y965" s="650">
        <f>IX_Model_MWS!Y68</f>
        <v/>
      </c>
      <c r="Z965" s="650">
        <f>IX_Model_MWS!Z68</f>
        <v/>
      </c>
      <c r="AA965" s="650">
        <f>IX_Model_MWS!AA68</f>
        <v/>
      </c>
      <c r="AB965" s="650">
        <f>IX_Model_MWS!AB68</f>
        <v/>
      </c>
      <c r="AC965" s="613">
        <f>IX_Model_MWS!AC68</f>
        <v/>
      </c>
      <c r="AD965" s="613">
        <f>IX_Model_MWS!AD68</f>
        <v/>
      </c>
      <c r="AE965" s="613">
        <f>IX_Model_MWS!AE68</f>
        <v/>
      </c>
      <c r="AF965" s="613">
        <f>IX_Model_MWS!AF68</f>
        <v/>
      </c>
      <c r="AG965" s="626">
        <f>IX_Model_MWS!AG68</f>
        <v/>
      </c>
      <c r="AH965" s="626">
        <f>IX_Model_MWS!AH68</f>
        <v/>
      </c>
      <c r="AI965" s="626">
        <f>IX_Model_MWS!AI68</f>
        <v/>
      </c>
      <c r="AJ965" s="626">
        <f>IX_Model_MWS!AJ68</f>
        <v/>
      </c>
      <c r="AK965" s="626">
        <f>IX_Model_MWS!AK68</f>
        <v/>
      </c>
      <c r="AL965" s="626">
        <f>IX_Model_MWS!AL68</f>
        <v/>
      </c>
      <c r="AM965" s="626">
        <f>IX_Model_MWS!AM68</f>
        <v/>
      </c>
      <c r="AN965" s="626">
        <f>IX_Model_MWS!AN68</f>
        <v/>
      </c>
      <c r="AO965" s="626">
        <f>IX_Model_MWS!AO68</f>
        <v/>
      </c>
      <c r="AP965" s="369">
        <f>IX_Model_MWS!AP68</f>
        <v/>
      </c>
      <c r="AQ965" s="369">
        <f>IX_Model_MWS!AQ68</f>
        <v/>
      </c>
      <c r="AR965" s="369">
        <f>IX_Model_MWS!AR68</f>
        <v/>
      </c>
      <c r="AS965" s="369">
        <f>IX_Model_MWS!AS68</f>
        <v/>
      </c>
      <c r="AT965" s="370">
        <f>IX_Model_MWS!AT68</f>
        <v/>
      </c>
      <c r="AU965" s="370">
        <f>IX_Model_MWS!AU68</f>
        <v/>
      </c>
      <c r="AV965" s="370">
        <f>IX_Model_MWS!AV68</f>
        <v/>
      </c>
      <c r="AW965" s="370">
        <f>IX_Model_MWS!AW68</f>
        <v/>
      </c>
      <c r="AX965">
        <f>IX_Model_MWS!AX68</f>
        <v/>
      </c>
      <c r="AY965">
        <f>IX_Model_MWS!AY68</f>
        <v/>
      </c>
      <c r="AZ965">
        <f>IX_Model_MWS!AZ68</f>
        <v/>
      </c>
      <c r="BA965">
        <f>IX_Model_MWS!BA68</f>
        <v/>
      </c>
      <c r="BB965">
        <f>IX_Model_MWS!BB68</f>
        <v/>
      </c>
      <c r="BC965">
        <f>IX_Model_MWS!BC68</f>
        <v/>
      </c>
      <c r="BD965">
        <f>IX_Model_MWS!BD68</f>
        <v/>
      </c>
      <c r="BE965">
        <f>IX_Model_MWS!BE68</f>
        <v/>
      </c>
      <c r="BF965">
        <f>IX_Model_MWS!BF68</f>
        <v/>
      </c>
      <c r="BG965">
        <f>IX_Model_MWS!BG68</f>
        <v/>
      </c>
      <c r="BH965">
        <f>IX_Model_MWS!BH68</f>
        <v/>
      </c>
      <c r="BI965">
        <f>IX_Model_MWS!BI68</f>
        <v/>
      </c>
      <c r="BJ965">
        <f>O965</f>
        <v/>
      </c>
      <c r="BK965">
        <f>SUM(AG965:AW965)</f>
        <v/>
      </c>
      <c r="BL965" s="531">
        <f>BJ965-BK965</f>
        <v/>
      </c>
      <c r="BM965" s="201" t="n"/>
    </row>
    <row r="966" hidden="1" outlineLevel="1" s="191">
      <c r="A966">
        <f>IX_Model_MWS!A69</f>
        <v/>
      </c>
      <c r="B966">
        <f>IX_Model_MWS!B69</f>
        <v/>
      </c>
      <c r="C966">
        <f>IX_Model_MWS!C69</f>
        <v/>
      </c>
      <c r="D966">
        <f>IX_Model_MWS!D69</f>
        <v/>
      </c>
      <c r="E966">
        <f>IX_Model_MWS!E69</f>
        <v/>
      </c>
      <c r="F966">
        <f>IX_Model_MWS!F69</f>
        <v/>
      </c>
      <c r="G966">
        <f>IX_Model_MWS!G69</f>
        <v/>
      </c>
      <c r="H966">
        <f>IX_Model_MWS!H69</f>
        <v/>
      </c>
      <c r="I966">
        <f>IX_Model_MWS!I69</f>
        <v/>
      </c>
      <c r="J966">
        <f>IX_Model_MWS!J69</f>
        <v/>
      </c>
      <c r="K966" s="672">
        <f>IX_Model_MWS!K69</f>
        <v/>
      </c>
      <c r="L966" s="672">
        <f>IX_Model_MWS!L69</f>
        <v/>
      </c>
      <c r="M966">
        <f>IX_Model_MWS!M69</f>
        <v/>
      </c>
      <c r="N966">
        <f>IX_Model_MWS!N69</f>
        <v/>
      </c>
      <c r="O966">
        <f>IX_Model_MWS!O69</f>
        <v/>
      </c>
      <c r="P966" s="628">
        <f>IX_Model_MWS!P69</f>
        <v/>
      </c>
      <c r="Q966" s="628">
        <f>IX_Model_MWS!Q69</f>
        <v/>
      </c>
      <c r="R966" s="628">
        <f>IX_Model_MWS!R69</f>
        <v/>
      </c>
      <c r="S966" s="628">
        <f>IX_Model_MWS!S69</f>
        <v/>
      </c>
      <c r="T966" s="628">
        <f>IX_Model_MWS!T69</f>
        <v/>
      </c>
      <c r="U966" s="628">
        <f>IX_Model_MWS!U69</f>
        <v/>
      </c>
      <c r="V966" s="628">
        <f>IX_Model_MWS!V69</f>
        <v/>
      </c>
      <c r="W966" s="628">
        <f>IX_Model_MWS!W69</f>
        <v/>
      </c>
      <c r="X966" s="628">
        <f>IX_Model_MWS!X69</f>
        <v/>
      </c>
      <c r="Y966" s="650">
        <f>IX_Model_MWS!Y69</f>
        <v/>
      </c>
      <c r="Z966" s="650">
        <f>IX_Model_MWS!Z69</f>
        <v/>
      </c>
      <c r="AA966" s="650">
        <f>IX_Model_MWS!AA69</f>
        <v/>
      </c>
      <c r="AB966" s="650">
        <f>IX_Model_MWS!AB69</f>
        <v/>
      </c>
      <c r="AC966" s="613">
        <f>IX_Model_MWS!AC69</f>
        <v/>
      </c>
      <c r="AD966" s="613">
        <f>IX_Model_MWS!AD69</f>
        <v/>
      </c>
      <c r="AE966" s="613">
        <f>IX_Model_MWS!AE69</f>
        <v/>
      </c>
      <c r="AF966" s="613">
        <f>IX_Model_MWS!AF69</f>
        <v/>
      </c>
      <c r="AG966" s="626">
        <f>IX_Model_MWS!AG69</f>
        <v/>
      </c>
      <c r="AH966" s="626">
        <f>IX_Model_MWS!AH69</f>
        <v/>
      </c>
      <c r="AI966" s="626">
        <f>IX_Model_MWS!AI69</f>
        <v/>
      </c>
      <c r="AJ966" s="626">
        <f>IX_Model_MWS!AJ69</f>
        <v/>
      </c>
      <c r="AK966" s="626">
        <f>IX_Model_MWS!AK69</f>
        <v/>
      </c>
      <c r="AL966" s="626">
        <f>IX_Model_MWS!AL69</f>
        <v/>
      </c>
      <c r="AM966" s="626">
        <f>IX_Model_MWS!AM69</f>
        <v/>
      </c>
      <c r="AN966" s="626">
        <f>IX_Model_MWS!AN69</f>
        <v/>
      </c>
      <c r="AO966" s="626">
        <f>IX_Model_MWS!AO69</f>
        <v/>
      </c>
      <c r="AP966" s="369">
        <f>IX_Model_MWS!AP69</f>
        <v/>
      </c>
      <c r="AQ966" s="369">
        <f>IX_Model_MWS!AQ69</f>
        <v/>
      </c>
      <c r="AR966" s="369">
        <f>IX_Model_MWS!AR69</f>
        <v/>
      </c>
      <c r="AS966" s="369">
        <f>IX_Model_MWS!AS69</f>
        <v/>
      </c>
      <c r="AT966" s="370">
        <f>IX_Model_MWS!AT69</f>
        <v/>
      </c>
      <c r="AU966" s="370">
        <f>IX_Model_MWS!AU69</f>
        <v/>
      </c>
      <c r="AV966" s="370">
        <f>IX_Model_MWS!AV69</f>
        <v/>
      </c>
      <c r="AW966" s="370">
        <f>IX_Model_MWS!AW69</f>
        <v/>
      </c>
      <c r="AX966">
        <f>IX_Model_MWS!AX69</f>
        <v/>
      </c>
      <c r="AY966">
        <f>IX_Model_MWS!AY69</f>
        <v/>
      </c>
      <c r="AZ966">
        <f>IX_Model_MWS!AZ69</f>
        <v/>
      </c>
      <c r="BA966">
        <f>IX_Model_MWS!BA69</f>
        <v/>
      </c>
      <c r="BB966">
        <f>IX_Model_MWS!BB69</f>
        <v/>
      </c>
      <c r="BC966">
        <f>IX_Model_MWS!BC69</f>
        <v/>
      </c>
      <c r="BD966">
        <f>IX_Model_MWS!BD69</f>
        <v/>
      </c>
      <c r="BE966">
        <f>IX_Model_MWS!BE69</f>
        <v/>
      </c>
      <c r="BF966">
        <f>IX_Model_MWS!BF69</f>
        <v/>
      </c>
      <c r="BG966">
        <f>IX_Model_MWS!BG69</f>
        <v/>
      </c>
      <c r="BH966">
        <f>IX_Model_MWS!BH69</f>
        <v/>
      </c>
      <c r="BI966">
        <f>IX_Model_MWS!BI69</f>
        <v/>
      </c>
      <c r="BJ966">
        <f>O966</f>
        <v/>
      </c>
      <c r="BK966">
        <f>SUM(AG966:AW966)</f>
        <v/>
      </c>
      <c r="BL966" s="531">
        <f>BJ966-BK966</f>
        <v/>
      </c>
      <c r="BM966" s="201" t="n"/>
    </row>
    <row r="967" hidden="1" outlineLevel="1" s="191">
      <c r="A967">
        <f>IX_Model_MWS!A70</f>
        <v/>
      </c>
      <c r="B967">
        <f>IX_Model_MWS!B70</f>
        <v/>
      </c>
      <c r="C967">
        <f>IX_Model_MWS!C70</f>
        <v/>
      </c>
      <c r="D967">
        <f>IX_Model_MWS!D70</f>
        <v/>
      </c>
      <c r="E967">
        <f>IX_Model_MWS!E70</f>
        <v/>
      </c>
      <c r="F967">
        <f>IX_Model_MWS!F70</f>
        <v/>
      </c>
      <c r="G967">
        <f>IX_Model_MWS!G70</f>
        <v/>
      </c>
      <c r="H967">
        <f>IX_Model_MWS!H70</f>
        <v/>
      </c>
      <c r="I967">
        <f>IX_Model_MWS!I70</f>
        <v/>
      </c>
      <c r="J967">
        <f>IX_Model_MWS!J70</f>
        <v/>
      </c>
      <c r="K967" s="672">
        <f>IX_Model_MWS!K70</f>
        <v/>
      </c>
      <c r="L967" s="672">
        <f>IX_Model_MWS!L70</f>
        <v/>
      </c>
      <c r="M967">
        <f>IX_Model_MWS!M70</f>
        <v/>
      </c>
      <c r="N967">
        <f>IX_Model_MWS!N70</f>
        <v/>
      </c>
      <c r="O967">
        <f>IX_Model_MWS!O70</f>
        <v/>
      </c>
      <c r="P967" s="628">
        <f>IX_Model_MWS!P70</f>
        <v/>
      </c>
      <c r="Q967" s="628">
        <f>IX_Model_MWS!Q70</f>
        <v/>
      </c>
      <c r="R967" s="628">
        <f>IX_Model_MWS!R70</f>
        <v/>
      </c>
      <c r="S967" s="628">
        <f>IX_Model_MWS!S70</f>
        <v/>
      </c>
      <c r="T967" s="628">
        <f>IX_Model_MWS!T70</f>
        <v/>
      </c>
      <c r="U967" s="628">
        <f>IX_Model_MWS!U70</f>
        <v/>
      </c>
      <c r="V967" s="628">
        <f>IX_Model_MWS!V70</f>
        <v/>
      </c>
      <c r="W967" s="628">
        <f>IX_Model_MWS!W70</f>
        <v/>
      </c>
      <c r="X967" s="628">
        <f>IX_Model_MWS!X70</f>
        <v/>
      </c>
      <c r="Y967" s="650">
        <f>IX_Model_MWS!Y70</f>
        <v/>
      </c>
      <c r="Z967" s="650">
        <f>IX_Model_MWS!Z70</f>
        <v/>
      </c>
      <c r="AA967" s="650">
        <f>IX_Model_MWS!AA70</f>
        <v/>
      </c>
      <c r="AB967" s="650">
        <f>IX_Model_MWS!AB70</f>
        <v/>
      </c>
      <c r="AC967" s="613">
        <f>IX_Model_MWS!AC70</f>
        <v/>
      </c>
      <c r="AD967" s="613">
        <f>IX_Model_MWS!AD70</f>
        <v/>
      </c>
      <c r="AE967" s="613">
        <f>IX_Model_MWS!AE70</f>
        <v/>
      </c>
      <c r="AF967" s="613">
        <f>IX_Model_MWS!AF70</f>
        <v/>
      </c>
      <c r="AG967" s="626">
        <f>IX_Model_MWS!AG70</f>
        <v/>
      </c>
      <c r="AH967" s="626">
        <f>IX_Model_MWS!AH70</f>
        <v/>
      </c>
      <c r="AI967" s="626">
        <f>IX_Model_MWS!AI70</f>
        <v/>
      </c>
      <c r="AJ967" s="626">
        <f>IX_Model_MWS!AJ70</f>
        <v/>
      </c>
      <c r="AK967" s="626">
        <f>IX_Model_MWS!AK70</f>
        <v/>
      </c>
      <c r="AL967" s="626">
        <f>IX_Model_MWS!AL70</f>
        <v/>
      </c>
      <c r="AM967" s="626">
        <f>IX_Model_MWS!AM70</f>
        <v/>
      </c>
      <c r="AN967" s="626">
        <f>IX_Model_MWS!AN70</f>
        <v/>
      </c>
      <c r="AO967" s="626">
        <f>IX_Model_MWS!AO70</f>
        <v/>
      </c>
      <c r="AP967" s="369">
        <f>IX_Model_MWS!AP70</f>
        <v/>
      </c>
      <c r="AQ967" s="369">
        <f>IX_Model_MWS!AQ70</f>
        <v/>
      </c>
      <c r="AR967" s="369">
        <f>IX_Model_MWS!AR70</f>
        <v/>
      </c>
      <c r="AS967" s="369">
        <f>IX_Model_MWS!AS70</f>
        <v/>
      </c>
      <c r="AT967" s="370">
        <f>IX_Model_MWS!AT70</f>
        <v/>
      </c>
      <c r="AU967" s="370">
        <f>IX_Model_MWS!AU70</f>
        <v/>
      </c>
      <c r="AV967" s="370">
        <f>IX_Model_MWS!AV70</f>
        <v/>
      </c>
      <c r="AW967" s="370">
        <f>IX_Model_MWS!AW70</f>
        <v/>
      </c>
      <c r="AX967">
        <f>IX_Model_MWS!AX70</f>
        <v/>
      </c>
      <c r="AY967">
        <f>IX_Model_MWS!AY70</f>
        <v/>
      </c>
      <c r="AZ967">
        <f>IX_Model_MWS!AZ70</f>
        <v/>
      </c>
      <c r="BA967">
        <f>IX_Model_MWS!BA70</f>
        <v/>
      </c>
      <c r="BB967">
        <f>IX_Model_MWS!BB70</f>
        <v/>
      </c>
      <c r="BC967">
        <f>IX_Model_MWS!BC70</f>
        <v/>
      </c>
      <c r="BD967">
        <f>IX_Model_MWS!BD70</f>
        <v/>
      </c>
      <c r="BE967">
        <f>IX_Model_MWS!BE70</f>
        <v/>
      </c>
      <c r="BF967">
        <f>IX_Model_MWS!BF70</f>
        <v/>
      </c>
      <c r="BG967">
        <f>IX_Model_MWS!BG70</f>
        <v/>
      </c>
      <c r="BH967">
        <f>IX_Model_MWS!BH70</f>
        <v/>
      </c>
      <c r="BI967">
        <f>IX_Model_MWS!BI70</f>
        <v/>
      </c>
      <c r="BJ967">
        <f>O967</f>
        <v/>
      </c>
      <c r="BK967">
        <f>SUM(AG967:AW967)</f>
        <v/>
      </c>
      <c r="BL967" s="531">
        <f>BJ967-BK967</f>
        <v/>
      </c>
      <c r="BM967" s="201" t="n"/>
    </row>
    <row r="968" hidden="1" outlineLevel="1" s="191">
      <c r="A968">
        <f>IX_Model_MWS!A71</f>
        <v/>
      </c>
      <c r="B968">
        <f>IX_Model_MWS!B71</f>
        <v/>
      </c>
      <c r="C968">
        <f>IX_Model_MWS!C71</f>
        <v/>
      </c>
      <c r="D968">
        <f>IX_Model_MWS!D71</f>
        <v/>
      </c>
      <c r="E968">
        <f>IX_Model_MWS!E71</f>
        <v/>
      </c>
      <c r="F968">
        <f>IX_Model_MWS!F71</f>
        <v/>
      </c>
      <c r="G968">
        <f>IX_Model_MWS!G71</f>
        <v/>
      </c>
      <c r="H968">
        <f>IX_Model_MWS!H71</f>
        <v/>
      </c>
      <c r="I968">
        <f>IX_Model_MWS!I71</f>
        <v/>
      </c>
      <c r="J968">
        <f>IX_Model_MWS!J71</f>
        <v/>
      </c>
      <c r="K968" s="672">
        <f>IX_Model_MWS!K71</f>
        <v/>
      </c>
      <c r="L968" s="672">
        <f>IX_Model_MWS!L71</f>
        <v/>
      </c>
      <c r="M968">
        <f>IX_Model_MWS!M71</f>
        <v/>
      </c>
      <c r="N968">
        <f>IX_Model_MWS!N71</f>
        <v/>
      </c>
      <c r="O968">
        <f>IX_Model_MWS!O71</f>
        <v/>
      </c>
      <c r="P968" s="628">
        <f>IX_Model_MWS!P71</f>
        <v/>
      </c>
      <c r="Q968" s="628">
        <f>IX_Model_MWS!Q71</f>
        <v/>
      </c>
      <c r="R968" s="628">
        <f>IX_Model_MWS!R71</f>
        <v/>
      </c>
      <c r="S968" s="628">
        <f>IX_Model_MWS!S71</f>
        <v/>
      </c>
      <c r="T968" s="628">
        <f>IX_Model_MWS!T71</f>
        <v/>
      </c>
      <c r="U968" s="628">
        <f>IX_Model_MWS!U71</f>
        <v/>
      </c>
      <c r="V968" s="628">
        <f>IX_Model_MWS!V71</f>
        <v/>
      </c>
      <c r="W968" s="628">
        <f>IX_Model_MWS!W71</f>
        <v/>
      </c>
      <c r="X968" s="628">
        <f>IX_Model_MWS!X71</f>
        <v/>
      </c>
      <c r="Y968" s="650">
        <f>IX_Model_MWS!Y71</f>
        <v/>
      </c>
      <c r="Z968" s="650">
        <f>IX_Model_MWS!Z71</f>
        <v/>
      </c>
      <c r="AA968" s="650">
        <f>IX_Model_MWS!AA71</f>
        <v/>
      </c>
      <c r="AB968" s="650">
        <f>IX_Model_MWS!AB71</f>
        <v/>
      </c>
      <c r="AC968" s="613">
        <f>IX_Model_MWS!AC71</f>
        <v/>
      </c>
      <c r="AD968" s="613">
        <f>IX_Model_MWS!AD71</f>
        <v/>
      </c>
      <c r="AE968" s="613">
        <f>IX_Model_MWS!AE71</f>
        <v/>
      </c>
      <c r="AF968" s="613">
        <f>IX_Model_MWS!AF71</f>
        <v/>
      </c>
      <c r="AG968" s="626">
        <f>IX_Model_MWS!AG71</f>
        <v/>
      </c>
      <c r="AH968" s="626">
        <f>IX_Model_MWS!AH71</f>
        <v/>
      </c>
      <c r="AI968" s="626">
        <f>IX_Model_MWS!AI71</f>
        <v/>
      </c>
      <c r="AJ968" s="626">
        <f>IX_Model_MWS!AJ71</f>
        <v/>
      </c>
      <c r="AK968" s="626">
        <f>IX_Model_MWS!AK71</f>
        <v/>
      </c>
      <c r="AL968" s="626">
        <f>IX_Model_MWS!AL71</f>
        <v/>
      </c>
      <c r="AM968" s="626">
        <f>IX_Model_MWS!AM71</f>
        <v/>
      </c>
      <c r="AN968" s="626">
        <f>IX_Model_MWS!AN71</f>
        <v/>
      </c>
      <c r="AO968" s="626">
        <f>IX_Model_MWS!AO71</f>
        <v/>
      </c>
      <c r="AP968" s="369">
        <f>IX_Model_MWS!AP71</f>
        <v/>
      </c>
      <c r="AQ968" s="369">
        <f>IX_Model_MWS!AQ71</f>
        <v/>
      </c>
      <c r="AR968" s="369">
        <f>IX_Model_MWS!AR71</f>
        <v/>
      </c>
      <c r="AS968" s="369">
        <f>IX_Model_MWS!AS71</f>
        <v/>
      </c>
      <c r="AT968" s="370">
        <f>IX_Model_MWS!AT71</f>
        <v/>
      </c>
      <c r="AU968" s="370">
        <f>IX_Model_MWS!AU71</f>
        <v/>
      </c>
      <c r="AV968" s="370">
        <f>IX_Model_MWS!AV71</f>
        <v/>
      </c>
      <c r="AW968" s="370">
        <f>IX_Model_MWS!AW71</f>
        <v/>
      </c>
      <c r="AX968">
        <f>IX_Model_MWS!AX71</f>
        <v/>
      </c>
      <c r="AY968">
        <f>IX_Model_MWS!AY71</f>
        <v/>
      </c>
      <c r="AZ968">
        <f>IX_Model_MWS!AZ71</f>
        <v/>
      </c>
      <c r="BA968">
        <f>IX_Model_MWS!BA71</f>
        <v/>
      </c>
      <c r="BB968">
        <f>IX_Model_MWS!BB71</f>
        <v/>
      </c>
      <c r="BC968">
        <f>IX_Model_MWS!BC71</f>
        <v/>
      </c>
      <c r="BD968">
        <f>IX_Model_MWS!BD71</f>
        <v/>
      </c>
      <c r="BE968">
        <f>IX_Model_MWS!BE71</f>
        <v/>
      </c>
      <c r="BF968">
        <f>IX_Model_MWS!BF71</f>
        <v/>
      </c>
      <c r="BG968">
        <f>IX_Model_MWS!BG71</f>
        <v/>
      </c>
      <c r="BH968">
        <f>IX_Model_MWS!BH71</f>
        <v/>
      </c>
      <c r="BI968">
        <f>IX_Model_MWS!BI71</f>
        <v/>
      </c>
      <c r="BJ968">
        <f>O968</f>
        <v/>
      </c>
      <c r="BK968">
        <f>SUM(AG968:AW968)</f>
        <v/>
      </c>
      <c r="BL968" s="531">
        <f>BJ968-BK968</f>
        <v/>
      </c>
      <c r="BM968" s="201" t="n"/>
    </row>
    <row r="969" hidden="1" outlineLevel="1" s="191">
      <c r="A969">
        <f>IX_Model_MWS!A72</f>
        <v/>
      </c>
      <c r="B969">
        <f>IX_Model_MWS!B72</f>
        <v/>
      </c>
      <c r="C969">
        <f>IX_Model_MWS!C72</f>
        <v/>
      </c>
      <c r="D969">
        <f>IX_Model_MWS!D72</f>
        <v/>
      </c>
      <c r="E969">
        <f>IX_Model_MWS!E72</f>
        <v/>
      </c>
      <c r="F969">
        <f>IX_Model_MWS!F72</f>
        <v/>
      </c>
      <c r="G969">
        <f>IX_Model_MWS!G72</f>
        <v/>
      </c>
      <c r="H969">
        <f>IX_Model_MWS!H72</f>
        <v/>
      </c>
      <c r="I969">
        <f>IX_Model_MWS!I72</f>
        <v/>
      </c>
      <c r="J969">
        <f>IX_Model_MWS!J72</f>
        <v/>
      </c>
      <c r="K969" s="672">
        <f>IX_Model_MWS!K72</f>
        <v/>
      </c>
      <c r="L969" s="672">
        <f>IX_Model_MWS!L72</f>
        <v/>
      </c>
      <c r="M969">
        <f>IX_Model_MWS!M72</f>
        <v/>
      </c>
      <c r="N969">
        <f>IX_Model_MWS!N72</f>
        <v/>
      </c>
      <c r="O969">
        <f>IX_Model_MWS!O72</f>
        <v/>
      </c>
      <c r="P969" s="628">
        <f>IX_Model_MWS!P72</f>
        <v/>
      </c>
      <c r="Q969" s="628">
        <f>IX_Model_MWS!Q72</f>
        <v/>
      </c>
      <c r="R969" s="628">
        <f>IX_Model_MWS!R72</f>
        <v/>
      </c>
      <c r="S969" s="628">
        <f>IX_Model_MWS!S72</f>
        <v/>
      </c>
      <c r="T969" s="628">
        <f>IX_Model_MWS!T72</f>
        <v/>
      </c>
      <c r="U969" s="628">
        <f>IX_Model_MWS!U72</f>
        <v/>
      </c>
      <c r="V969" s="628">
        <f>IX_Model_MWS!V72</f>
        <v/>
      </c>
      <c r="W969" s="628">
        <f>IX_Model_MWS!W72</f>
        <v/>
      </c>
      <c r="X969" s="628">
        <f>IX_Model_MWS!X72</f>
        <v/>
      </c>
      <c r="Y969" s="650">
        <f>IX_Model_MWS!Y72</f>
        <v/>
      </c>
      <c r="Z969" s="650">
        <f>IX_Model_MWS!Z72</f>
        <v/>
      </c>
      <c r="AA969" s="650">
        <f>IX_Model_MWS!AA72</f>
        <v/>
      </c>
      <c r="AB969" s="650">
        <f>IX_Model_MWS!AB72</f>
        <v/>
      </c>
      <c r="AC969" s="613">
        <f>IX_Model_MWS!AC72</f>
        <v/>
      </c>
      <c r="AD969" s="613">
        <f>IX_Model_MWS!AD72</f>
        <v/>
      </c>
      <c r="AE969" s="613">
        <f>IX_Model_MWS!AE72</f>
        <v/>
      </c>
      <c r="AF969" s="613">
        <f>IX_Model_MWS!AF72</f>
        <v/>
      </c>
      <c r="AG969" s="626">
        <f>IX_Model_MWS!AG72</f>
        <v/>
      </c>
      <c r="AH969" s="626">
        <f>IX_Model_MWS!AH72</f>
        <v/>
      </c>
      <c r="AI969" s="626">
        <f>IX_Model_MWS!AI72</f>
        <v/>
      </c>
      <c r="AJ969" s="626">
        <f>IX_Model_MWS!AJ72</f>
        <v/>
      </c>
      <c r="AK969" s="626">
        <f>IX_Model_MWS!AK72</f>
        <v/>
      </c>
      <c r="AL969" s="626">
        <f>IX_Model_MWS!AL72</f>
        <v/>
      </c>
      <c r="AM969" s="626">
        <f>IX_Model_MWS!AM72</f>
        <v/>
      </c>
      <c r="AN969" s="626">
        <f>IX_Model_MWS!AN72</f>
        <v/>
      </c>
      <c r="AO969" s="626">
        <f>IX_Model_MWS!AO72</f>
        <v/>
      </c>
      <c r="AP969" s="369">
        <f>IX_Model_MWS!AP72</f>
        <v/>
      </c>
      <c r="AQ969" s="369">
        <f>IX_Model_MWS!AQ72</f>
        <v/>
      </c>
      <c r="AR969" s="369">
        <f>IX_Model_MWS!AR72</f>
        <v/>
      </c>
      <c r="AS969" s="369">
        <f>IX_Model_MWS!AS72</f>
        <v/>
      </c>
      <c r="AT969" s="370">
        <f>IX_Model_MWS!AT72</f>
        <v/>
      </c>
      <c r="AU969" s="370">
        <f>IX_Model_MWS!AU72</f>
        <v/>
      </c>
      <c r="AV969" s="370">
        <f>IX_Model_MWS!AV72</f>
        <v/>
      </c>
      <c r="AW969" s="370">
        <f>IX_Model_MWS!AW72</f>
        <v/>
      </c>
      <c r="AX969">
        <f>IX_Model_MWS!AX72</f>
        <v/>
      </c>
      <c r="AY969">
        <f>IX_Model_MWS!AY72</f>
        <v/>
      </c>
      <c r="AZ969">
        <f>IX_Model_MWS!AZ72</f>
        <v/>
      </c>
      <c r="BA969">
        <f>IX_Model_MWS!BA72</f>
        <v/>
      </c>
      <c r="BB969">
        <f>IX_Model_MWS!BB72</f>
        <v/>
      </c>
      <c r="BC969">
        <f>IX_Model_MWS!BC72</f>
        <v/>
      </c>
      <c r="BD969">
        <f>IX_Model_MWS!BD72</f>
        <v/>
      </c>
      <c r="BE969">
        <f>IX_Model_MWS!BE72</f>
        <v/>
      </c>
      <c r="BF969">
        <f>IX_Model_MWS!BF72</f>
        <v/>
      </c>
      <c r="BG969">
        <f>IX_Model_MWS!BG72</f>
        <v/>
      </c>
      <c r="BH969">
        <f>IX_Model_MWS!BH72</f>
        <v/>
      </c>
      <c r="BI969">
        <f>IX_Model_MWS!BI72</f>
        <v/>
      </c>
      <c r="BJ969">
        <f>O969</f>
        <v/>
      </c>
      <c r="BK969">
        <f>SUM(AG969:AW969)</f>
        <v/>
      </c>
      <c r="BL969" s="531">
        <f>BJ969-BK969</f>
        <v/>
      </c>
      <c r="BM969" s="201" t="n"/>
    </row>
    <row r="970" hidden="1" outlineLevel="1" s="191">
      <c r="A970">
        <f>IX_Model_MWS!A73</f>
        <v/>
      </c>
      <c r="B970">
        <f>IX_Model_MWS!B73</f>
        <v/>
      </c>
      <c r="C970">
        <f>IX_Model_MWS!C73</f>
        <v/>
      </c>
      <c r="D970">
        <f>IX_Model_MWS!D73</f>
        <v/>
      </c>
      <c r="E970">
        <f>IX_Model_MWS!E73</f>
        <v/>
      </c>
      <c r="F970">
        <f>IX_Model_MWS!F73</f>
        <v/>
      </c>
      <c r="G970">
        <f>IX_Model_MWS!G73</f>
        <v/>
      </c>
      <c r="H970">
        <f>IX_Model_MWS!H73</f>
        <v/>
      </c>
      <c r="I970">
        <f>IX_Model_MWS!I73</f>
        <v/>
      </c>
      <c r="J970">
        <f>IX_Model_MWS!J73</f>
        <v/>
      </c>
      <c r="K970" s="672">
        <f>IX_Model_MWS!K73</f>
        <v/>
      </c>
      <c r="L970" s="672">
        <f>IX_Model_MWS!L73</f>
        <v/>
      </c>
      <c r="M970">
        <f>IX_Model_MWS!M73</f>
        <v/>
      </c>
      <c r="N970">
        <f>IX_Model_MWS!N73</f>
        <v/>
      </c>
      <c r="O970">
        <f>IX_Model_MWS!O73</f>
        <v/>
      </c>
      <c r="P970" s="628">
        <f>IX_Model_MWS!P73</f>
        <v/>
      </c>
      <c r="Q970" s="628">
        <f>IX_Model_MWS!Q73</f>
        <v/>
      </c>
      <c r="R970" s="628">
        <f>IX_Model_MWS!R73</f>
        <v/>
      </c>
      <c r="S970" s="628">
        <f>IX_Model_MWS!S73</f>
        <v/>
      </c>
      <c r="T970" s="628">
        <f>IX_Model_MWS!T73</f>
        <v/>
      </c>
      <c r="U970" s="628">
        <f>IX_Model_MWS!U73</f>
        <v/>
      </c>
      <c r="V970" s="628">
        <f>IX_Model_MWS!V73</f>
        <v/>
      </c>
      <c r="W970" s="628">
        <f>IX_Model_MWS!W73</f>
        <v/>
      </c>
      <c r="X970" s="628">
        <f>IX_Model_MWS!X73</f>
        <v/>
      </c>
      <c r="Y970" s="650">
        <f>IX_Model_MWS!Y73</f>
        <v/>
      </c>
      <c r="Z970" s="650">
        <f>IX_Model_MWS!Z73</f>
        <v/>
      </c>
      <c r="AA970" s="650">
        <f>IX_Model_MWS!AA73</f>
        <v/>
      </c>
      <c r="AB970" s="650">
        <f>IX_Model_MWS!AB73</f>
        <v/>
      </c>
      <c r="AC970" s="613">
        <f>IX_Model_MWS!AC73</f>
        <v/>
      </c>
      <c r="AD970" s="613">
        <f>IX_Model_MWS!AD73</f>
        <v/>
      </c>
      <c r="AE970" s="613">
        <f>IX_Model_MWS!AE73</f>
        <v/>
      </c>
      <c r="AF970" s="613">
        <f>IX_Model_MWS!AF73</f>
        <v/>
      </c>
      <c r="AG970" s="626">
        <f>IX_Model_MWS!AG73</f>
        <v/>
      </c>
      <c r="AH970" s="626">
        <f>IX_Model_MWS!AH73</f>
        <v/>
      </c>
      <c r="AI970" s="626">
        <f>IX_Model_MWS!AI73</f>
        <v/>
      </c>
      <c r="AJ970" s="626">
        <f>IX_Model_MWS!AJ73</f>
        <v/>
      </c>
      <c r="AK970" s="626">
        <f>IX_Model_MWS!AK73</f>
        <v/>
      </c>
      <c r="AL970" s="626">
        <f>IX_Model_MWS!AL73</f>
        <v/>
      </c>
      <c r="AM970" s="626">
        <f>IX_Model_MWS!AM73</f>
        <v/>
      </c>
      <c r="AN970" s="626">
        <f>IX_Model_MWS!AN73</f>
        <v/>
      </c>
      <c r="AO970" s="626">
        <f>IX_Model_MWS!AO73</f>
        <v/>
      </c>
      <c r="AP970" s="369">
        <f>IX_Model_MWS!AP73</f>
        <v/>
      </c>
      <c r="AQ970" s="369">
        <f>IX_Model_MWS!AQ73</f>
        <v/>
      </c>
      <c r="AR970" s="369">
        <f>IX_Model_MWS!AR73</f>
        <v/>
      </c>
      <c r="AS970" s="369">
        <f>IX_Model_MWS!AS73</f>
        <v/>
      </c>
      <c r="AT970" s="370">
        <f>IX_Model_MWS!AT73</f>
        <v/>
      </c>
      <c r="AU970" s="370">
        <f>IX_Model_MWS!AU73</f>
        <v/>
      </c>
      <c r="AV970" s="370">
        <f>IX_Model_MWS!AV73</f>
        <v/>
      </c>
      <c r="AW970" s="370">
        <f>IX_Model_MWS!AW73</f>
        <v/>
      </c>
      <c r="AX970">
        <f>IX_Model_MWS!AX73</f>
        <v/>
      </c>
      <c r="AY970">
        <f>IX_Model_MWS!AY73</f>
        <v/>
      </c>
      <c r="AZ970">
        <f>IX_Model_MWS!AZ73</f>
        <v/>
      </c>
      <c r="BA970">
        <f>IX_Model_MWS!BA73</f>
        <v/>
      </c>
      <c r="BB970">
        <f>IX_Model_MWS!BB73</f>
        <v/>
      </c>
      <c r="BC970">
        <f>IX_Model_MWS!BC73</f>
        <v/>
      </c>
      <c r="BD970">
        <f>IX_Model_MWS!BD73</f>
        <v/>
      </c>
      <c r="BE970">
        <f>IX_Model_MWS!BE73</f>
        <v/>
      </c>
      <c r="BF970">
        <f>IX_Model_MWS!BF73</f>
        <v/>
      </c>
      <c r="BG970">
        <f>IX_Model_MWS!BG73</f>
        <v/>
      </c>
      <c r="BH970">
        <f>IX_Model_MWS!BH73</f>
        <v/>
      </c>
      <c r="BI970">
        <f>IX_Model_MWS!BI73</f>
        <v/>
      </c>
      <c r="BJ970">
        <f>O970</f>
        <v/>
      </c>
      <c r="BK970">
        <f>SUM(AG970:AW970)</f>
        <v/>
      </c>
      <c r="BL970" s="531">
        <f>BJ970-BK970</f>
        <v/>
      </c>
      <c r="BM970" s="201" t="n"/>
    </row>
    <row r="971" hidden="1" outlineLevel="1" s="191">
      <c r="A971">
        <f>IX_Model_MWS!A74</f>
        <v/>
      </c>
      <c r="B971">
        <f>IX_Model_MWS!B74</f>
        <v/>
      </c>
      <c r="C971">
        <f>IX_Model_MWS!C74</f>
        <v/>
      </c>
      <c r="D971">
        <f>IX_Model_MWS!D74</f>
        <v/>
      </c>
      <c r="E971">
        <f>IX_Model_MWS!E74</f>
        <v/>
      </c>
      <c r="F971">
        <f>IX_Model_MWS!F74</f>
        <v/>
      </c>
      <c r="G971">
        <f>IX_Model_MWS!G74</f>
        <v/>
      </c>
      <c r="H971">
        <f>IX_Model_MWS!H74</f>
        <v/>
      </c>
      <c r="I971">
        <f>IX_Model_MWS!I74</f>
        <v/>
      </c>
      <c r="J971">
        <f>IX_Model_MWS!J74</f>
        <v/>
      </c>
      <c r="K971" s="672">
        <f>IX_Model_MWS!K74</f>
        <v/>
      </c>
      <c r="L971" s="672">
        <f>IX_Model_MWS!L74</f>
        <v/>
      </c>
      <c r="M971">
        <f>IX_Model_MWS!M74</f>
        <v/>
      </c>
      <c r="N971">
        <f>IX_Model_MWS!N74</f>
        <v/>
      </c>
      <c r="O971">
        <f>IX_Model_MWS!O74</f>
        <v/>
      </c>
      <c r="P971" s="628">
        <f>IX_Model_MWS!P74</f>
        <v/>
      </c>
      <c r="Q971" s="628">
        <f>IX_Model_MWS!Q74</f>
        <v/>
      </c>
      <c r="R971" s="628">
        <f>IX_Model_MWS!R74</f>
        <v/>
      </c>
      <c r="S971" s="628">
        <f>IX_Model_MWS!S74</f>
        <v/>
      </c>
      <c r="T971" s="628">
        <f>IX_Model_MWS!T74</f>
        <v/>
      </c>
      <c r="U971" s="628">
        <f>IX_Model_MWS!U74</f>
        <v/>
      </c>
      <c r="V971" s="628">
        <f>IX_Model_MWS!V74</f>
        <v/>
      </c>
      <c r="W971" s="628">
        <f>IX_Model_MWS!W74</f>
        <v/>
      </c>
      <c r="X971" s="628">
        <f>IX_Model_MWS!X74</f>
        <v/>
      </c>
      <c r="Y971" s="650">
        <f>IX_Model_MWS!Y74</f>
        <v/>
      </c>
      <c r="Z971" s="650">
        <f>IX_Model_MWS!Z74</f>
        <v/>
      </c>
      <c r="AA971" s="650">
        <f>IX_Model_MWS!AA74</f>
        <v/>
      </c>
      <c r="AB971" s="650">
        <f>IX_Model_MWS!AB74</f>
        <v/>
      </c>
      <c r="AC971" s="613">
        <f>IX_Model_MWS!AC74</f>
        <v/>
      </c>
      <c r="AD971" s="613">
        <f>IX_Model_MWS!AD74</f>
        <v/>
      </c>
      <c r="AE971" s="613">
        <f>IX_Model_MWS!AE74</f>
        <v/>
      </c>
      <c r="AF971" s="613">
        <f>IX_Model_MWS!AF74</f>
        <v/>
      </c>
      <c r="AG971" s="626">
        <f>IX_Model_MWS!AG74</f>
        <v/>
      </c>
      <c r="AH971" s="626">
        <f>IX_Model_MWS!AH74</f>
        <v/>
      </c>
      <c r="AI971" s="626">
        <f>IX_Model_MWS!AI74</f>
        <v/>
      </c>
      <c r="AJ971" s="626">
        <f>IX_Model_MWS!AJ74</f>
        <v/>
      </c>
      <c r="AK971" s="626">
        <f>IX_Model_MWS!AK74</f>
        <v/>
      </c>
      <c r="AL971" s="626">
        <f>IX_Model_MWS!AL74</f>
        <v/>
      </c>
      <c r="AM971" s="626">
        <f>IX_Model_MWS!AM74</f>
        <v/>
      </c>
      <c r="AN971" s="626">
        <f>IX_Model_MWS!AN74</f>
        <v/>
      </c>
      <c r="AO971" s="626">
        <f>IX_Model_MWS!AO74</f>
        <v/>
      </c>
      <c r="AP971" s="369">
        <f>IX_Model_MWS!AP74</f>
        <v/>
      </c>
      <c r="AQ971" s="369">
        <f>IX_Model_MWS!AQ74</f>
        <v/>
      </c>
      <c r="AR971" s="369">
        <f>IX_Model_MWS!AR74</f>
        <v/>
      </c>
      <c r="AS971" s="369">
        <f>IX_Model_MWS!AS74</f>
        <v/>
      </c>
      <c r="AT971" s="370">
        <f>IX_Model_MWS!AT74</f>
        <v/>
      </c>
      <c r="AU971" s="370">
        <f>IX_Model_MWS!AU74</f>
        <v/>
      </c>
      <c r="AV971" s="370">
        <f>IX_Model_MWS!AV74</f>
        <v/>
      </c>
      <c r="AW971" s="370">
        <f>IX_Model_MWS!AW74</f>
        <v/>
      </c>
      <c r="AX971">
        <f>IX_Model_MWS!AX74</f>
        <v/>
      </c>
      <c r="AY971">
        <f>IX_Model_MWS!AY74</f>
        <v/>
      </c>
      <c r="AZ971">
        <f>IX_Model_MWS!AZ74</f>
        <v/>
      </c>
      <c r="BA971">
        <f>IX_Model_MWS!BA74</f>
        <v/>
      </c>
      <c r="BB971">
        <f>IX_Model_MWS!BB74</f>
        <v/>
      </c>
      <c r="BC971">
        <f>IX_Model_MWS!BC74</f>
        <v/>
      </c>
      <c r="BD971">
        <f>IX_Model_MWS!BD74</f>
        <v/>
      </c>
      <c r="BE971">
        <f>IX_Model_MWS!BE74</f>
        <v/>
      </c>
      <c r="BF971">
        <f>IX_Model_MWS!BF74</f>
        <v/>
      </c>
      <c r="BG971">
        <f>IX_Model_MWS!BG74</f>
        <v/>
      </c>
      <c r="BH971">
        <f>IX_Model_MWS!BH74</f>
        <v/>
      </c>
      <c r="BI971">
        <f>IX_Model_MWS!BI74</f>
        <v/>
      </c>
      <c r="BJ971">
        <f>O971</f>
        <v/>
      </c>
      <c r="BK971">
        <f>SUM(AG971:AW971)</f>
        <v/>
      </c>
      <c r="BL971" s="531">
        <f>BJ971-BK971</f>
        <v/>
      </c>
      <c r="BM971" s="201" t="n"/>
    </row>
    <row r="972" hidden="1" outlineLevel="1" s="191">
      <c r="A972">
        <f>IX_Model_MWS!A75</f>
        <v/>
      </c>
      <c r="B972">
        <f>IX_Model_MWS!B75</f>
        <v/>
      </c>
      <c r="C972">
        <f>IX_Model_MWS!C75</f>
        <v/>
      </c>
      <c r="D972">
        <f>IX_Model_MWS!D75</f>
        <v/>
      </c>
      <c r="E972">
        <f>IX_Model_MWS!E75</f>
        <v/>
      </c>
      <c r="F972">
        <f>IX_Model_MWS!F75</f>
        <v/>
      </c>
      <c r="G972">
        <f>IX_Model_MWS!G75</f>
        <v/>
      </c>
      <c r="H972">
        <f>IX_Model_MWS!H75</f>
        <v/>
      </c>
      <c r="I972">
        <f>IX_Model_MWS!I75</f>
        <v/>
      </c>
      <c r="J972">
        <f>IX_Model_MWS!J75</f>
        <v/>
      </c>
      <c r="K972" s="672">
        <f>IX_Model_MWS!K75</f>
        <v/>
      </c>
      <c r="L972" s="672">
        <f>IX_Model_MWS!L75</f>
        <v/>
      </c>
      <c r="M972">
        <f>IX_Model_MWS!M75</f>
        <v/>
      </c>
      <c r="N972">
        <f>IX_Model_MWS!N75</f>
        <v/>
      </c>
      <c r="O972">
        <f>IX_Model_MWS!O75</f>
        <v/>
      </c>
      <c r="P972" s="628">
        <f>IX_Model_MWS!P75</f>
        <v/>
      </c>
      <c r="Q972" s="628">
        <f>IX_Model_MWS!Q75</f>
        <v/>
      </c>
      <c r="R972" s="628">
        <f>IX_Model_MWS!R75</f>
        <v/>
      </c>
      <c r="S972" s="628">
        <f>IX_Model_MWS!S75</f>
        <v/>
      </c>
      <c r="T972" s="628">
        <f>IX_Model_MWS!T75</f>
        <v/>
      </c>
      <c r="U972" s="628">
        <f>IX_Model_MWS!U75</f>
        <v/>
      </c>
      <c r="V972" s="628">
        <f>IX_Model_MWS!V75</f>
        <v/>
      </c>
      <c r="W972" s="628">
        <f>IX_Model_MWS!W75</f>
        <v/>
      </c>
      <c r="X972" s="628">
        <f>IX_Model_MWS!X75</f>
        <v/>
      </c>
      <c r="Y972" s="650">
        <f>IX_Model_MWS!Y75</f>
        <v/>
      </c>
      <c r="Z972" s="650">
        <f>IX_Model_MWS!Z75</f>
        <v/>
      </c>
      <c r="AA972" s="650">
        <f>IX_Model_MWS!AA75</f>
        <v/>
      </c>
      <c r="AB972" s="650">
        <f>IX_Model_MWS!AB75</f>
        <v/>
      </c>
      <c r="AC972" s="613">
        <f>IX_Model_MWS!AC75</f>
        <v/>
      </c>
      <c r="AD972" s="613">
        <f>IX_Model_MWS!AD75</f>
        <v/>
      </c>
      <c r="AE972" s="613">
        <f>IX_Model_MWS!AE75</f>
        <v/>
      </c>
      <c r="AF972" s="613">
        <f>IX_Model_MWS!AF75</f>
        <v/>
      </c>
      <c r="AG972" s="626">
        <f>IX_Model_MWS!AG75</f>
        <v/>
      </c>
      <c r="AH972" s="626">
        <f>IX_Model_MWS!AH75</f>
        <v/>
      </c>
      <c r="AI972" s="626">
        <f>IX_Model_MWS!AI75</f>
        <v/>
      </c>
      <c r="AJ972" s="626">
        <f>IX_Model_MWS!AJ75</f>
        <v/>
      </c>
      <c r="AK972" s="626">
        <f>IX_Model_MWS!AK75</f>
        <v/>
      </c>
      <c r="AL972" s="626">
        <f>IX_Model_MWS!AL75</f>
        <v/>
      </c>
      <c r="AM972" s="626">
        <f>IX_Model_MWS!AM75</f>
        <v/>
      </c>
      <c r="AN972" s="626">
        <f>IX_Model_MWS!AN75</f>
        <v/>
      </c>
      <c r="AO972" s="626">
        <f>IX_Model_MWS!AO75</f>
        <v/>
      </c>
      <c r="AP972" s="369">
        <f>IX_Model_MWS!AP75</f>
        <v/>
      </c>
      <c r="AQ972" s="369">
        <f>IX_Model_MWS!AQ75</f>
        <v/>
      </c>
      <c r="AR972" s="369">
        <f>IX_Model_MWS!AR75</f>
        <v/>
      </c>
      <c r="AS972" s="369">
        <f>IX_Model_MWS!AS75</f>
        <v/>
      </c>
      <c r="AT972" s="370">
        <f>IX_Model_MWS!AT75</f>
        <v/>
      </c>
      <c r="AU972" s="370">
        <f>IX_Model_MWS!AU75</f>
        <v/>
      </c>
      <c r="AV972" s="370">
        <f>IX_Model_MWS!AV75</f>
        <v/>
      </c>
      <c r="AW972" s="370">
        <f>IX_Model_MWS!AW75</f>
        <v/>
      </c>
      <c r="AX972">
        <f>IX_Model_MWS!AX75</f>
        <v/>
      </c>
      <c r="AY972">
        <f>IX_Model_MWS!AY75</f>
        <v/>
      </c>
      <c r="AZ972">
        <f>IX_Model_MWS!AZ75</f>
        <v/>
      </c>
      <c r="BA972">
        <f>IX_Model_MWS!BA75</f>
        <v/>
      </c>
      <c r="BB972">
        <f>IX_Model_MWS!BB75</f>
        <v/>
      </c>
      <c r="BC972">
        <f>IX_Model_MWS!BC75</f>
        <v/>
      </c>
      <c r="BD972">
        <f>IX_Model_MWS!BD75</f>
        <v/>
      </c>
      <c r="BE972">
        <f>IX_Model_MWS!BE75</f>
        <v/>
      </c>
      <c r="BF972">
        <f>IX_Model_MWS!BF75</f>
        <v/>
      </c>
      <c r="BG972">
        <f>IX_Model_MWS!BG75</f>
        <v/>
      </c>
      <c r="BH972">
        <f>IX_Model_MWS!BH75</f>
        <v/>
      </c>
      <c r="BI972">
        <f>IX_Model_MWS!BI75</f>
        <v/>
      </c>
      <c r="BJ972">
        <f>O972</f>
        <v/>
      </c>
      <c r="BK972">
        <f>SUM(AG972:AW972)</f>
        <v/>
      </c>
      <c r="BL972" s="531">
        <f>BJ972-BK972</f>
        <v/>
      </c>
      <c r="BM972" s="201" t="n"/>
    </row>
    <row r="973" hidden="1" outlineLevel="1" s="191">
      <c r="A973">
        <f>IX_Model_MWS!A76</f>
        <v/>
      </c>
      <c r="B973">
        <f>IX_Model_MWS!B76</f>
        <v/>
      </c>
      <c r="C973">
        <f>IX_Model_MWS!C76</f>
        <v/>
      </c>
      <c r="D973">
        <f>IX_Model_MWS!D76</f>
        <v/>
      </c>
      <c r="E973">
        <f>IX_Model_MWS!E76</f>
        <v/>
      </c>
      <c r="F973">
        <f>IX_Model_MWS!F76</f>
        <v/>
      </c>
      <c r="G973">
        <f>IX_Model_MWS!G76</f>
        <v/>
      </c>
      <c r="H973">
        <f>IX_Model_MWS!H76</f>
        <v/>
      </c>
      <c r="I973">
        <f>IX_Model_MWS!I76</f>
        <v/>
      </c>
      <c r="J973">
        <f>IX_Model_MWS!J76</f>
        <v/>
      </c>
      <c r="K973" s="672">
        <f>IX_Model_MWS!K76</f>
        <v/>
      </c>
      <c r="L973" s="672">
        <f>IX_Model_MWS!L76</f>
        <v/>
      </c>
      <c r="M973">
        <f>IX_Model_MWS!M76</f>
        <v/>
      </c>
      <c r="N973">
        <f>IX_Model_MWS!N76</f>
        <v/>
      </c>
      <c r="O973">
        <f>IX_Model_MWS!O76</f>
        <v/>
      </c>
      <c r="P973" s="628">
        <f>IX_Model_MWS!P76</f>
        <v/>
      </c>
      <c r="Q973" s="628">
        <f>IX_Model_MWS!Q76</f>
        <v/>
      </c>
      <c r="R973" s="628">
        <f>IX_Model_MWS!R76</f>
        <v/>
      </c>
      <c r="S973" s="628">
        <f>IX_Model_MWS!S76</f>
        <v/>
      </c>
      <c r="T973" s="628">
        <f>IX_Model_MWS!T76</f>
        <v/>
      </c>
      <c r="U973" s="628">
        <f>IX_Model_MWS!U76</f>
        <v/>
      </c>
      <c r="V973" s="628">
        <f>IX_Model_MWS!V76</f>
        <v/>
      </c>
      <c r="W973" s="628">
        <f>IX_Model_MWS!W76</f>
        <v/>
      </c>
      <c r="X973" s="628">
        <f>IX_Model_MWS!X76</f>
        <v/>
      </c>
      <c r="Y973" s="650">
        <f>IX_Model_MWS!Y76</f>
        <v/>
      </c>
      <c r="Z973" s="650">
        <f>IX_Model_MWS!Z76</f>
        <v/>
      </c>
      <c r="AA973" s="650">
        <f>IX_Model_MWS!AA76</f>
        <v/>
      </c>
      <c r="AB973" s="650">
        <f>IX_Model_MWS!AB76</f>
        <v/>
      </c>
      <c r="AC973" s="613">
        <f>IX_Model_MWS!AC76</f>
        <v/>
      </c>
      <c r="AD973" s="613">
        <f>IX_Model_MWS!AD76</f>
        <v/>
      </c>
      <c r="AE973" s="613">
        <f>IX_Model_MWS!AE76</f>
        <v/>
      </c>
      <c r="AF973" s="613">
        <f>IX_Model_MWS!AF76</f>
        <v/>
      </c>
      <c r="AG973" s="626">
        <f>IX_Model_MWS!AG76</f>
        <v/>
      </c>
      <c r="AH973" s="626">
        <f>IX_Model_MWS!AH76</f>
        <v/>
      </c>
      <c r="AI973" s="626">
        <f>IX_Model_MWS!AI76</f>
        <v/>
      </c>
      <c r="AJ973" s="626">
        <f>IX_Model_MWS!AJ76</f>
        <v/>
      </c>
      <c r="AK973" s="626">
        <f>IX_Model_MWS!AK76</f>
        <v/>
      </c>
      <c r="AL973" s="626">
        <f>IX_Model_MWS!AL76</f>
        <v/>
      </c>
      <c r="AM973" s="626">
        <f>IX_Model_MWS!AM76</f>
        <v/>
      </c>
      <c r="AN973" s="626">
        <f>IX_Model_MWS!AN76</f>
        <v/>
      </c>
      <c r="AO973" s="626">
        <f>IX_Model_MWS!AO76</f>
        <v/>
      </c>
      <c r="AP973" s="369">
        <f>IX_Model_MWS!AP76</f>
        <v/>
      </c>
      <c r="AQ973" s="369">
        <f>IX_Model_MWS!AQ76</f>
        <v/>
      </c>
      <c r="AR973" s="369">
        <f>IX_Model_MWS!AR76</f>
        <v/>
      </c>
      <c r="AS973" s="369">
        <f>IX_Model_MWS!AS76</f>
        <v/>
      </c>
      <c r="AT973" s="370">
        <f>IX_Model_MWS!AT76</f>
        <v/>
      </c>
      <c r="AU973" s="370">
        <f>IX_Model_MWS!AU76</f>
        <v/>
      </c>
      <c r="AV973" s="370">
        <f>IX_Model_MWS!AV76</f>
        <v/>
      </c>
      <c r="AW973" s="370">
        <f>IX_Model_MWS!AW76</f>
        <v/>
      </c>
      <c r="AX973">
        <f>IX_Model_MWS!AX76</f>
        <v/>
      </c>
      <c r="AY973">
        <f>IX_Model_MWS!AY76</f>
        <v/>
      </c>
      <c r="AZ973">
        <f>IX_Model_MWS!AZ76</f>
        <v/>
      </c>
      <c r="BA973">
        <f>IX_Model_MWS!BA76</f>
        <v/>
      </c>
      <c r="BB973">
        <f>IX_Model_MWS!BB76</f>
        <v/>
      </c>
      <c r="BC973">
        <f>IX_Model_MWS!BC76</f>
        <v/>
      </c>
      <c r="BD973">
        <f>IX_Model_MWS!BD76</f>
        <v/>
      </c>
      <c r="BE973">
        <f>IX_Model_MWS!BE76</f>
        <v/>
      </c>
      <c r="BF973">
        <f>IX_Model_MWS!BF76</f>
        <v/>
      </c>
      <c r="BG973">
        <f>IX_Model_MWS!BG76</f>
        <v/>
      </c>
      <c r="BH973">
        <f>IX_Model_MWS!BH76</f>
        <v/>
      </c>
      <c r="BI973">
        <f>IX_Model_MWS!BI76</f>
        <v/>
      </c>
      <c r="BJ973">
        <f>O973</f>
        <v/>
      </c>
      <c r="BK973">
        <f>SUM(AG973:AW973)</f>
        <v/>
      </c>
      <c r="BL973" s="531">
        <f>BJ973-BK973</f>
        <v/>
      </c>
      <c r="BM973" s="201" t="n"/>
    </row>
    <row r="974" hidden="1" outlineLevel="1" s="191">
      <c r="P974" s="628" t="n"/>
      <c r="Q974" s="628" t="n"/>
      <c r="R974" s="628" t="n"/>
      <c r="S974" s="628" t="n"/>
      <c r="T974" s="628" t="n"/>
      <c r="U974" s="628" t="n"/>
      <c r="V974" s="628" t="n"/>
      <c r="W974" s="628" t="n"/>
      <c r="X974" s="628" t="n"/>
      <c r="Y974" s="650" t="n"/>
      <c r="Z974" s="650" t="n"/>
      <c r="AA974" s="650" t="n"/>
      <c r="AB974" s="650" t="n"/>
      <c r="AC974" s="613" t="n"/>
      <c r="AD974" s="613" t="n"/>
      <c r="AE974" s="613" t="n"/>
      <c r="AF974" s="613" t="n"/>
      <c r="AG974" s="626" t="n"/>
      <c r="AH974" s="626" t="n"/>
      <c r="AI974" s="626" t="n"/>
      <c r="AJ974" s="626" t="n"/>
      <c r="AK974" s="626" t="n"/>
      <c r="AL974" s="626" t="n"/>
      <c r="AM974" s="626" t="n"/>
      <c r="AN974" s="626" t="n"/>
      <c r="AO974" s="626" t="n"/>
      <c r="AP974" s="369" t="n"/>
      <c r="AQ974" s="369" t="n"/>
      <c r="AR974" s="369" t="n"/>
      <c r="AS974" s="369" t="n"/>
      <c r="AT974" s="370" t="n"/>
      <c r="AU974" s="370" t="n"/>
      <c r="AV974" s="370" t="n"/>
      <c r="AW974" s="370" t="n"/>
      <c r="BJ974">
        <f>O974</f>
        <v/>
      </c>
      <c r="BK974">
        <f>SUM(AG974:AW974)</f>
        <v/>
      </c>
      <c r="BL974" s="531">
        <f>BJ974-BK974</f>
        <v/>
      </c>
      <c r="BM974" s="201" t="n"/>
    </row>
    <row r="975" hidden="1" outlineLevel="1" s="191">
      <c r="P975" s="628" t="n"/>
      <c r="Q975" s="628" t="n"/>
      <c r="R975" s="628" t="n"/>
      <c r="S975" s="628" t="n"/>
      <c r="T975" s="628" t="n"/>
      <c r="U975" s="628" t="n"/>
      <c r="V975" s="628" t="n"/>
      <c r="W975" s="628" t="n"/>
      <c r="X975" s="628" t="n"/>
      <c r="Y975" s="650" t="n"/>
      <c r="Z975" s="650" t="n"/>
      <c r="AA975" s="650" t="n"/>
      <c r="AB975" s="650" t="n"/>
      <c r="AC975" s="613" t="n"/>
      <c r="AD975" s="613" t="n"/>
      <c r="AE975" s="613" t="n"/>
      <c r="AF975" s="613" t="n"/>
      <c r="AG975" s="626" t="n"/>
      <c r="AH975" s="626" t="n"/>
      <c r="AI975" s="626" t="n"/>
      <c r="AJ975" s="626" t="n"/>
      <c r="AK975" s="626" t="n"/>
      <c r="AL975" s="626" t="n"/>
      <c r="AM975" s="626" t="n"/>
      <c r="AN975" s="626" t="n"/>
      <c r="AO975" s="626" t="n"/>
      <c r="AP975" s="369" t="n"/>
      <c r="AQ975" s="369" t="n"/>
      <c r="AR975" s="369" t="n"/>
      <c r="AS975" s="369" t="n"/>
      <c r="AT975" s="370" t="n"/>
      <c r="AU975" s="370" t="n"/>
      <c r="AV975" s="370" t="n"/>
      <c r="AW975" s="370" t="n"/>
      <c r="BJ975">
        <f>O975</f>
        <v/>
      </c>
      <c r="BK975">
        <f>SUM(AG975:AW975)</f>
        <v/>
      </c>
      <c r="BL975" s="531">
        <f>BJ975-BK975</f>
        <v/>
      </c>
      <c r="BM975" s="201" t="n"/>
    </row>
    <row r="976" hidden="1" outlineLevel="1" s="191">
      <c r="P976" s="628" t="n"/>
      <c r="Q976" s="628" t="n"/>
      <c r="R976" s="628" t="n"/>
      <c r="S976" s="628" t="n"/>
      <c r="T976" s="628" t="n"/>
      <c r="U976" s="628" t="n"/>
      <c r="V976" s="628" t="n"/>
      <c r="W976" s="628" t="n"/>
      <c r="X976" s="628" t="n"/>
      <c r="Y976" s="650" t="n"/>
      <c r="Z976" s="650" t="n"/>
      <c r="AA976" s="650" t="n"/>
      <c r="AB976" s="650" t="n"/>
      <c r="AC976" s="613" t="n"/>
      <c r="AD976" s="613" t="n"/>
      <c r="AE976" s="613" t="n"/>
      <c r="AF976" s="613" t="n"/>
      <c r="AG976" s="626" t="n"/>
      <c r="AH976" s="626" t="n"/>
      <c r="AI976" s="626" t="n"/>
      <c r="AJ976" s="626" t="n"/>
      <c r="AK976" s="626" t="n"/>
      <c r="AL976" s="626" t="n"/>
      <c r="AM976" s="626" t="n"/>
      <c r="AN976" s="626" t="n"/>
      <c r="AO976" s="626" t="n"/>
      <c r="AP976" s="369" t="n"/>
      <c r="AQ976" s="369" t="n"/>
      <c r="AR976" s="369" t="n"/>
      <c r="AS976" s="369" t="n"/>
      <c r="AT976" s="370" t="n"/>
      <c r="AU976" s="370" t="n"/>
      <c r="AV976" s="370" t="n"/>
      <c r="AW976" s="370" t="n"/>
      <c r="BJ976">
        <f>O976</f>
        <v/>
      </c>
      <c r="BK976">
        <f>SUM(AG976:AW976)</f>
        <v/>
      </c>
      <c r="BL976" s="531">
        <f>BJ976-BK976</f>
        <v/>
      </c>
      <c r="BM976" s="201" t="n"/>
    </row>
    <row r="977" hidden="1" outlineLevel="1" s="191">
      <c r="P977" s="628" t="n"/>
      <c r="Q977" s="628" t="n"/>
      <c r="R977" s="628" t="n"/>
      <c r="S977" s="628" t="n"/>
      <c r="T977" s="628" t="n"/>
      <c r="U977" s="628" t="n"/>
      <c r="V977" s="628" t="n"/>
      <c r="W977" s="628" t="n"/>
      <c r="X977" s="628" t="n"/>
      <c r="Y977" s="650" t="n"/>
      <c r="Z977" s="650" t="n"/>
      <c r="AA977" s="650" t="n"/>
      <c r="AB977" s="650" t="n"/>
      <c r="AC977" s="613" t="n"/>
      <c r="AD977" s="613" t="n"/>
      <c r="AE977" s="613" t="n"/>
      <c r="AF977" s="613" t="n"/>
      <c r="AG977" s="626" t="n"/>
      <c r="AH977" s="626" t="n"/>
      <c r="AI977" s="626" t="n"/>
      <c r="AJ977" s="626" t="n"/>
      <c r="AK977" s="626" t="n"/>
      <c r="AL977" s="626" t="n"/>
      <c r="AM977" s="626" t="n"/>
      <c r="AN977" s="626" t="n"/>
      <c r="AO977" s="626" t="n"/>
      <c r="AP977" s="369" t="n"/>
      <c r="AQ977" s="369" t="n"/>
      <c r="AR977" s="369" t="n"/>
      <c r="AS977" s="369" t="n"/>
      <c r="AT977" s="370" t="n"/>
      <c r="AU977" s="370" t="n"/>
      <c r="AV977" s="370" t="n"/>
      <c r="AW977" s="370" t="n"/>
      <c r="BJ977">
        <f>O977</f>
        <v/>
      </c>
      <c r="BK977">
        <f>SUM(AG977:AW977)</f>
        <v/>
      </c>
      <c r="BL977" s="531">
        <f>BJ977-BK977</f>
        <v/>
      </c>
      <c r="BM977" s="201" t="n"/>
    </row>
    <row r="978" hidden="1" outlineLevel="1" s="191">
      <c r="P978" s="628" t="n"/>
      <c r="Q978" s="628" t="n"/>
      <c r="R978" s="628" t="n"/>
      <c r="S978" s="628" t="n"/>
      <c r="T978" s="628" t="n"/>
      <c r="U978" s="628" t="n"/>
      <c r="V978" s="628" t="n"/>
      <c r="W978" s="628" t="n"/>
      <c r="X978" s="628" t="n"/>
      <c r="Y978" s="650" t="n"/>
      <c r="Z978" s="650" t="n"/>
      <c r="AA978" s="650" t="n"/>
      <c r="AB978" s="650" t="n"/>
      <c r="AC978" s="613" t="n"/>
      <c r="AD978" s="613" t="n"/>
      <c r="AE978" s="613" t="n"/>
      <c r="AF978" s="613" t="n"/>
      <c r="AG978" s="626" t="n"/>
      <c r="AH978" s="626" t="n"/>
      <c r="AI978" s="626" t="n"/>
      <c r="AJ978" s="626" t="n"/>
      <c r="AK978" s="626" t="n"/>
      <c r="AL978" s="626" t="n"/>
      <c r="AM978" s="626" t="n"/>
      <c r="AN978" s="626" t="n"/>
      <c r="AO978" s="626" t="n"/>
      <c r="AP978" s="369" t="n"/>
      <c r="AQ978" s="369" t="n"/>
      <c r="AR978" s="369" t="n"/>
      <c r="AS978" s="369" t="n"/>
      <c r="AT978" s="370" t="n"/>
      <c r="AU978" s="370" t="n"/>
      <c r="AV978" s="370" t="n"/>
      <c r="AW978" s="370" t="n"/>
      <c r="BJ978">
        <f>O978</f>
        <v/>
      </c>
      <c r="BK978">
        <f>SUM(AG978:AW978)</f>
        <v/>
      </c>
      <c r="BL978" s="531">
        <f>BJ978-BK978</f>
        <v/>
      </c>
      <c r="BM978" s="201" t="n"/>
    </row>
    <row r="979" hidden="1" outlineLevel="1" s="191">
      <c r="P979" s="628" t="n"/>
      <c r="Q979" s="628" t="n"/>
      <c r="R979" s="628" t="n"/>
      <c r="S979" s="628" t="n"/>
      <c r="T979" s="628" t="n"/>
      <c r="U979" s="628" t="n"/>
      <c r="V979" s="628" t="n"/>
      <c r="W979" s="628" t="n"/>
      <c r="X979" s="628" t="n"/>
      <c r="Y979" s="650" t="n"/>
      <c r="Z979" s="650" t="n"/>
      <c r="AA979" s="650" t="n"/>
      <c r="AB979" s="650" t="n"/>
      <c r="AC979" s="613" t="n"/>
      <c r="AD979" s="613" t="n"/>
      <c r="AE979" s="613" t="n"/>
      <c r="AF979" s="613" t="n"/>
      <c r="AG979" s="626" t="n"/>
      <c r="AH979" s="626" t="n"/>
      <c r="AI979" s="626" t="n"/>
      <c r="AJ979" s="626" t="n"/>
      <c r="AK979" s="626" t="n"/>
      <c r="AL979" s="626" t="n"/>
      <c r="AM979" s="626" t="n"/>
      <c r="AN979" s="626" t="n"/>
      <c r="AO979" s="626" t="n"/>
      <c r="AP979" s="369" t="n"/>
      <c r="AQ979" s="369" t="n"/>
      <c r="AR979" s="369" t="n"/>
      <c r="AS979" s="369" t="n"/>
      <c r="AT979" s="370" t="n"/>
      <c r="AU979" s="370" t="n"/>
      <c r="AV979" s="370" t="n"/>
      <c r="AW979" s="370" t="n"/>
      <c r="BJ979">
        <f>O979</f>
        <v/>
      </c>
      <c r="BK979">
        <f>SUM(AG979:AW979)</f>
        <v/>
      </c>
      <c r="BL979" s="531">
        <f>BJ979-BK979</f>
        <v/>
      </c>
      <c r="BM979" s="201" t="n"/>
    </row>
    <row r="980" hidden="1" outlineLevel="1" s="191">
      <c r="P980" s="628" t="n"/>
      <c r="Q980" s="628" t="n"/>
      <c r="R980" s="628" t="n"/>
      <c r="S980" s="628" t="n"/>
      <c r="T980" s="628" t="n"/>
      <c r="U980" s="628" t="n"/>
      <c r="V980" s="628" t="n"/>
      <c r="W980" s="628" t="n"/>
      <c r="X980" s="628" t="n"/>
      <c r="Y980" s="650" t="n"/>
      <c r="Z980" s="650" t="n"/>
      <c r="AA980" s="650" t="n"/>
      <c r="AB980" s="650" t="n"/>
      <c r="AC980" s="613" t="n"/>
      <c r="AD980" s="613" t="n"/>
      <c r="AE980" s="613" t="n"/>
      <c r="AF980" s="613" t="n"/>
      <c r="AG980" s="626" t="n"/>
      <c r="AH980" s="626" t="n"/>
      <c r="AI980" s="626" t="n"/>
      <c r="AJ980" s="626" t="n"/>
      <c r="AK980" s="626" t="n"/>
      <c r="AL980" s="626" t="n"/>
      <c r="AM980" s="626" t="n"/>
      <c r="AN980" s="626" t="n"/>
      <c r="AO980" s="626" t="n"/>
      <c r="AP980" s="369" t="n"/>
      <c r="AQ980" s="369" t="n"/>
      <c r="AR980" s="369" t="n"/>
      <c r="AS980" s="369" t="n"/>
      <c r="AT980" s="370" t="n"/>
      <c r="AU980" s="370" t="n"/>
      <c r="AV980" s="370" t="n"/>
      <c r="AW980" s="370" t="n"/>
      <c r="BJ980">
        <f>O980</f>
        <v/>
      </c>
      <c r="BK980">
        <f>SUM(AG980:AW980)</f>
        <v/>
      </c>
      <c r="BL980" s="531">
        <f>BJ980-BK980</f>
        <v/>
      </c>
      <c r="BM980" s="201" t="n"/>
    </row>
    <row r="981" hidden="1" outlineLevel="1" s="191">
      <c r="P981" s="628" t="n"/>
      <c r="Q981" s="628" t="n"/>
      <c r="R981" s="628" t="n"/>
      <c r="S981" s="628" t="n"/>
      <c r="T981" s="628" t="n"/>
      <c r="U981" s="628" t="n"/>
      <c r="V981" s="628" t="n"/>
      <c r="W981" s="628" t="n"/>
      <c r="X981" s="628" t="n"/>
      <c r="Y981" s="650" t="n"/>
      <c r="Z981" s="650" t="n"/>
      <c r="AA981" s="650" t="n"/>
      <c r="AB981" s="650" t="n"/>
      <c r="AC981" s="613" t="n"/>
      <c r="AD981" s="613" t="n"/>
      <c r="AE981" s="613" t="n"/>
      <c r="AF981" s="613" t="n"/>
      <c r="AG981" s="626" t="n"/>
      <c r="AH981" s="626" t="n"/>
      <c r="AI981" s="626" t="n"/>
      <c r="AJ981" s="626" t="n"/>
      <c r="AK981" s="626" t="n"/>
      <c r="AL981" s="626" t="n"/>
      <c r="AM981" s="626" t="n"/>
      <c r="AN981" s="626" t="n"/>
      <c r="AO981" s="626" t="n"/>
      <c r="AP981" s="369" t="n"/>
      <c r="AQ981" s="369" t="n"/>
      <c r="AR981" s="369" t="n"/>
      <c r="AS981" s="369" t="n"/>
      <c r="AT981" s="370" t="n"/>
      <c r="AU981" s="370" t="n"/>
      <c r="AV981" s="370" t="n"/>
      <c r="AW981" s="370" t="n"/>
      <c r="BJ981">
        <f>O981</f>
        <v/>
      </c>
      <c r="BK981">
        <f>SUM(AG981:AW981)</f>
        <v/>
      </c>
      <c r="BL981" s="531">
        <f>BJ981-BK981</f>
        <v/>
      </c>
      <c r="BM981" s="201" t="n"/>
    </row>
    <row r="982" hidden="1" outlineLevel="1" s="191">
      <c r="P982" s="628" t="n"/>
      <c r="Q982" s="628" t="n"/>
      <c r="R982" s="628" t="n"/>
      <c r="S982" s="628" t="n"/>
      <c r="T982" s="628" t="n"/>
      <c r="U982" s="628" t="n"/>
      <c r="V982" s="628" t="n"/>
      <c r="W982" s="628" t="n"/>
      <c r="X982" s="628" t="n"/>
      <c r="Y982" s="650" t="n"/>
      <c r="Z982" s="650" t="n"/>
      <c r="AA982" s="650" t="n"/>
      <c r="AB982" s="650" t="n"/>
      <c r="AC982" s="613" t="n"/>
      <c r="AD982" s="613" t="n"/>
      <c r="AE982" s="613" t="n"/>
      <c r="AF982" s="613" t="n"/>
      <c r="AG982" s="626" t="n"/>
      <c r="AH982" s="626" t="n"/>
      <c r="AI982" s="626" t="n"/>
      <c r="AJ982" s="626" t="n"/>
      <c r="AK982" s="626" t="n"/>
      <c r="AL982" s="626" t="n"/>
      <c r="AM982" s="626" t="n"/>
      <c r="AN982" s="626" t="n"/>
      <c r="AO982" s="626" t="n"/>
      <c r="AP982" s="369" t="n"/>
      <c r="AQ982" s="369" t="n"/>
      <c r="AR982" s="369" t="n"/>
      <c r="AS982" s="369" t="n"/>
      <c r="AT982" s="370" t="n"/>
      <c r="AU982" s="370" t="n"/>
      <c r="AV982" s="370" t="n"/>
      <c r="AW982" s="370" t="n"/>
      <c r="BJ982">
        <f>O982</f>
        <v/>
      </c>
      <c r="BK982">
        <f>SUM(AG982:AW982)</f>
        <v/>
      </c>
      <c r="BL982" s="531">
        <f>BJ982-BK982</f>
        <v/>
      </c>
      <c r="BM982" s="201" t="n"/>
    </row>
    <row r="983" hidden="1" outlineLevel="1" s="191">
      <c r="P983" s="628" t="n"/>
      <c r="Q983" s="628" t="n"/>
      <c r="R983" s="628" t="n"/>
      <c r="S983" s="628" t="n"/>
      <c r="T983" s="628" t="n"/>
      <c r="U983" s="628" t="n"/>
      <c r="V983" s="628" t="n"/>
      <c r="W983" s="628" t="n"/>
      <c r="X983" s="628" t="n"/>
      <c r="Y983" s="650" t="n"/>
      <c r="Z983" s="650" t="n"/>
      <c r="AA983" s="650" t="n"/>
      <c r="AB983" s="650" t="n"/>
      <c r="AC983" s="613" t="n"/>
      <c r="AD983" s="613" t="n"/>
      <c r="AE983" s="613" t="n"/>
      <c r="AF983" s="613" t="n"/>
      <c r="AG983" s="626" t="n"/>
      <c r="AH983" s="626" t="n"/>
      <c r="AI983" s="626" t="n"/>
      <c r="AJ983" s="626" t="n"/>
      <c r="AK983" s="626" t="n"/>
      <c r="AL983" s="626" t="n"/>
      <c r="AM983" s="626" t="n"/>
      <c r="AN983" s="626" t="n"/>
      <c r="AO983" s="626" t="n"/>
      <c r="AP983" s="369" t="n"/>
      <c r="AQ983" s="369" t="n"/>
      <c r="AR983" s="369" t="n"/>
      <c r="AS983" s="369" t="n"/>
      <c r="AT983" s="370" t="n"/>
      <c r="AU983" s="370" t="n"/>
      <c r="AV983" s="370" t="n"/>
      <c r="AW983" s="370" t="n"/>
      <c r="BJ983">
        <f>O983</f>
        <v/>
      </c>
      <c r="BK983">
        <f>SUM(AG983:AW983)</f>
        <v/>
      </c>
      <c r="BL983" s="531">
        <f>BJ983-BK983</f>
        <v/>
      </c>
      <c r="BM983" s="201" t="n"/>
    </row>
    <row r="984" hidden="1" outlineLevel="1" s="191">
      <c r="P984" s="628" t="n"/>
      <c r="Q984" s="628" t="n"/>
      <c r="R984" s="628" t="n"/>
      <c r="S984" s="628" t="n"/>
      <c r="T984" s="628" t="n"/>
      <c r="U984" s="628" t="n"/>
      <c r="V984" s="628" t="n"/>
      <c r="W984" s="628" t="n"/>
      <c r="X984" s="628" t="n"/>
      <c r="Y984" s="650" t="n"/>
      <c r="Z984" s="650" t="n"/>
      <c r="AA984" s="650" t="n"/>
      <c r="AB984" s="650" t="n"/>
      <c r="AC984" s="613" t="n"/>
      <c r="AD984" s="613" t="n"/>
      <c r="AE984" s="613" t="n"/>
      <c r="AF984" s="613" t="n"/>
      <c r="AG984" s="626" t="n"/>
      <c r="AH984" s="626" t="n"/>
      <c r="AI984" s="626" t="n"/>
      <c r="AJ984" s="626" t="n"/>
      <c r="AK984" s="626" t="n"/>
      <c r="AL984" s="626" t="n"/>
      <c r="AM984" s="626" t="n"/>
      <c r="AN984" s="626" t="n"/>
      <c r="AO984" s="626" t="n"/>
      <c r="AP984" s="369" t="n"/>
      <c r="AQ984" s="369" t="n"/>
      <c r="AR984" s="369" t="n"/>
      <c r="AS984" s="369" t="n"/>
      <c r="AT984" s="370" t="n"/>
      <c r="AU984" s="370" t="n"/>
      <c r="AV984" s="370" t="n"/>
      <c r="AW984" s="370" t="n"/>
      <c r="BJ984">
        <f>O984</f>
        <v/>
      </c>
      <c r="BK984">
        <f>SUM(AG984:AW984)</f>
        <v/>
      </c>
      <c r="BL984" s="531">
        <f>BJ984-BK984</f>
        <v/>
      </c>
      <c r="BM984" s="201" t="n"/>
    </row>
    <row r="985" hidden="1" outlineLevel="1" s="191">
      <c r="P985" s="628" t="n"/>
      <c r="Q985" s="628" t="n"/>
      <c r="R985" s="628" t="n"/>
      <c r="S985" s="628" t="n"/>
      <c r="T985" s="628" t="n"/>
      <c r="U985" s="628" t="n"/>
      <c r="V985" s="628" t="n"/>
      <c r="W985" s="628" t="n"/>
      <c r="X985" s="628" t="n"/>
      <c r="Y985" s="650" t="n"/>
      <c r="Z985" s="650" t="n"/>
      <c r="AA985" s="650" t="n"/>
      <c r="AB985" s="650" t="n"/>
      <c r="AC985" s="613" t="n"/>
      <c r="AD985" s="613" t="n"/>
      <c r="AE985" s="613" t="n"/>
      <c r="AF985" s="613" t="n"/>
      <c r="AG985" s="626" t="n"/>
      <c r="AH985" s="626" t="n"/>
      <c r="AI985" s="626" t="n"/>
      <c r="AJ985" s="626" t="n"/>
      <c r="AK985" s="626" t="n"/>
      <c r="AL985" s="626" t="n"/>
      <c r="AM985" s="626" t="n"/>
      <c r="AN985" s="626" t="n"/>
      <c r="AO985" s="626" t="n"/>
      <c r="AP985" s="369" t="n"/>
      <c r="AQ985" s="369" t="n"/>
      <c r="AR985" s="369" t="n"/>
      <c r="AS985" s="369" t="n"/>
      <c r="AT985" s="370" t="n"/>
      <c r="AU985" s="370" t="n"/>
      <c r="AV985" s="370" t="n"/>
      <c r="AW985" s="370" t="n"/>
      <c r="BJ985">
        <f>O985</f>
        <v/>
      </c>
      <c r="BK985">
        <f>SUM(AG985:AW985)</f>
        <v/>
      </c>
      <c r="BL985" s="531">
        <f>BJ985-BK985</f>
        <v/>
      </c>
      <c r="BM985" s="201" t="n"/>
    </row>
    <row r="986" hidden="1" outlineLevel="1" s="191">
      <c r="P986" s="628" t="n"/>
      <c r="Q986" s="628" t="n"/>
      <c r="R986" s="628" t="n"/>
      <c r="S986" s="628" t="n"/>
      <c r="T986" s="628" t="n"/>
      <c r="U986" s="628" t="n"/>
      <c r="V986" s="628" t="n"/>
      <c r="W986" s="628" t="n"/>
      <c r="X986" s="628" t="n"/>
      <c r="Y986" s="650" t="n"/>
      <c r="Z986" s="650" t="n"/>
      <c r="AA986" s="650" t="n"/>
      <c r="AB986" s="650" t="n"/>
      <c r="AC986" s="613" t="n"/>
      <c r="AD986" s="613" t="n"/>
      <c r="AE986" s="613" t="n"/>
      <c r="AF986" s="613" t="n"/>
      <c r="AG986" s="626" t="n"/>
      <c r="AH986" s="626" t="n"/>
      <c r="AI986" s="626" t="n"/>
      <c r="AJ986" s="626" t="n"/>
      <c r="AK986" s="626" t="n"/>
      <c r="AL986" s="626" t="n"/>
      <c r="AM986" s="626" t="n"/>
      <c r="AN986" s="626" t="n"/>
      <c r="AO986" s="626" t="n"/>
      <c r="AP986" s="369" t="n"/>
      <c r="AQ986" s="369" t="n"/>
      <c r="AR986" s="369" t="n"/>
      <c r="AS986" s="369" t="n"/>
      <c r="AT986" s="370" t="n"/>
      <c r="AU986" s="370" t="n"/>
      <c r="AV986" s="370" t="n"/>
      <c r="AW986" s="370" t="n"/>
      <c r="BJ986">
        <f>O986</f>
        <v/>
      </c>
      <c r="BK986">
        <f>SUM(AG986:AW986)</f>
        <v/>
      </c>
      <c r="BL986" s="531">
        <f>BJ986-BK986</f>
        <v/>
      </c>
      <c r="BM986" s="201" t="n"/>
    </row>
    <row r="987" hidden="1" outlineLevel="1" s="191">
      <c r="P987" s="628" t="n"/>
      <c r="Q987" s="628" t="n"/>
      <c r="R987" s="628" t="n"/>
      <c r="S987" s="628" t="n"/>
      <c r="T987" s="628" t="n"/>
      <c r="U987" s="628" t="n"/>
      <c r="V987" s="628" t="n"/>
      <c r="W987" s="628" t="n"/>
      <c r="X987" s="628" t="n"/>
      <c r="Y987" s="650" t="n"/>
      <c r="Z987" s="650" t="n"/>
      <c r="AA987" s="650" t="n"/>
      <c r="AB987" s="650" t="n"/>
      <c r="AC987" s="613" t="n"/>
      <c r="AD987" s="613" t="n"/>
      <c r="AE987" s="613" t="n"/>
      <c r="AF987" s="613" t="n"/>
      <c r="AG987" s="626" t="n"/>
      <c r="AH987" s="626" t="n"/>
      <c r="AI987" s="626" t="n"/>
      <c r="AJ987" s="626" t="n"/>
      <c r="AK987" s="626" t="n"/>
      <c r="AL987" s="626" t="n"/>
      <c r="AM987" s="626" t="n"/>
      <c r="AN987" s="626" t="n"/>
      <c r="AO987" s="626" t="n"/>
      <c r="AP987" s="369" t="n"/>
      <c r="AQ987" s="369" t="n"/>
      <c r="AR987" s="369" t="n"/>
      <c r="AS987" s="369" t="n"/>
      <c r="AT987" s="370" t="n"/>
      <c r="AU987" s="370" t="n"/>
      <c r="AV987" s="370" t="n"/>
      <c r="AW987" s="370" t="n"/>
      <c r="BJ987">
        <f>O987</f>
        <v/>
      </c>
      <c r="BK987">
        <f>SUM(AG987:AW987)</f>
        <v/>
      </c>
      <c r="BL987" s="531">
        <f>BJ987-BK987</f>
        <v/>
      </c>
      <c r="BM987" s="201" t="n"/>
    </row>
    <row r="988" hidden="1" outlineLevel="1" s="191">
      <c r="P988" s="628" t="n"/>
      <c r="Q988" s="628" t="n"/>
      <c r="R988" s="628" t="n"/>
      <c r="S988" s="628" t="n"/>
      <c r="T988" s="628" t="n"/>
      <c r="U988" s="628" t="n"/>
      <c r="V988" s="628" t="n"/>
      <c r="W988" s="628" t="n"/>
      <c r="X988" s="628" t="n"/>
      <c r="Y988" s="650" t="n"/>
      <c r="Z988" s="650" t="n"/>
      <c r="AA988" s="650" t="n"/>
      <c r="AB988" s="650" t="n"/>
      <c r="AC988" s="613" t="n"/>
      <c r="AD988" s="613" t="n"/>
      <c r="AE988" s="613" t="n"/>
      <c r="AF988" s="613" t="n"/>
      <c r="AG988" s="626" t="n"/>
      <c r="AH988" s="626" t="n"/>
      <c r="AI988" s="626" t="n"/>
      <c r="AJ988" s="626" t="n"/>
      <c r="AK988" s="626" t="n"/>
      <c r="AL988" s="626" t="n"/>
      <c r="AM988" s="626" t="n"/>
      <c r="AN988" s="626" t="n"/>
      <c r="AO988" s="626" t="n"/>
      <c r="AP988" s="369" t="n"/>
      <c r="AQ988" s="369" t="n"/>
      <c r="AR988" s="369" t="n"/>
      <c r="AS988" s="369" t="n"/>
      <c r="AT988" s="370" t="n"/>
      <c r="AU988" s="370" t="n"/>
      <c r="AV988" s="370" t="n"/>
      <c r="AW988" s="370" t="n"/>
      <c r="BJ988">
        <f>O988</f>
        <v/>
      </c>
      <c r="BK988">
        <f>SUM(AG988:AW988)</f>
        <v/>
      </c>
      <c r="BL988" s="531">
        <f>BJ988-BK988</f>
        <v/>
      </c>
      <c r="BM988" s="201" t="n"/>
    </row>
    <row r="989" hidden="1" outlineLevel="1" s="191">
      <c r="P989" s="628" t="n"/>
      <c r="Q989" s="628" t="n"/>
      <c r="R989" s="628" t="n"/>
      <c r="S989" s="628" t="n"/>
      <c r="T989" s="628" t="n"/>
      <c r="U989" s="628" t="n"/>
      <c r="V989" s="628" t="n"/>
      <c r="W989" s="628" t="n"/>
      <c r="X989" s="628" t="n"/>
      <c r="Y989" s="650" t="n"/>
      <c r="Z989" s="650" t="n"/>
      <c r="AA989" s="650" t="n"/>
      <c r="AB989" s="650" t="n"/>
      <c r="AC989" s="613" t="n"/>
      <c r="AD989" s="613" t="n"/>
      <c r="AE989" s="613" t="n"/>
      <c r="AF989" s="613" t="n"/>
      <c r="AG989" s="626" t="n"/>
      <c r="AH989" s="626" t="n"/>
      <c r="AI989" s="626" t="n"/>
      <c r="AJ989" s="626" t="n"/>
      <c r="AK989" s="626" t="n"/>
      <c r="AL989" s="626" t="n"/>
      <c r="AM989" s="626" t="n"/>
      <c r="AN989" s="626" t="n"/>
      <c r="AO989" s="626" t="n"/>
      <c r="AP989" s="369" t="n"/>
      <c r="AQ989" s="369" t="n"/>
      <c r="AR989" s="369" t="n"/>
      <c r="AS989" s="369" t="n"/>
      <c r="AT989" s="370" t="n"/>
      <c r="AU989" s="370" t="n"/>
      <c r="AV989" s="370" t="n"/>
      <c r="AW989" s="370" t="n"/>
      <c r="BJ989">
        <f>O989</f>
        <v/>
      </c>
      <c r="BK989">
        <f>SUM(AG989:AW989)</f>
        <v/>
      </c>
      <c r="BL989" s="531">
        <f>BJ989-BK989</f>
        <v/>
      </c>
      <c r="BM989" s="201" t="n"/>
    </row>
    <row r="990" hidden="1" outlineLevel="1" s="191">
      <c r="P990" s="628" t="n"/>
      <c r="Q990" s="628" t="n"/>
      <c r="R990" s="628" t="n"/>
      <c r="S990" s="628" t="n"/>
      <c r="T990" s="628" t="n"/>
      <c r="U990" s="628" t="n"/>
      <c r="V990" s="628" t="n"/>
      <c r="W990" s="628" t="n"/>
      <c r="X990" s="628" t="n"/>
      <c r="Y990" s="650" t="n"/>
      <c r="Z990" s="650" t="n"/>
      <c r="AA990" s="650" t="n"/>
      <c r="AB990" s="650" t="n"/>
      <c r="AC990" s="613" t="n"/>
      <c r="AD990" s="613" t="n"/>
      <c r="AE990" s="613" t="n"/>
      <c r="AF990" s="613" t="n"/>
      <c r="AG990" s="626" t="n"/>
      <c r="AH990" s="626" t="n"/>
      <c r="AI990" s="626" t="n"/>
      <c r="AJ990" s="626" t="n"/>
      <c r="AK990" s="626" t="n"/>
      <c r="AL990" s="626" t="n"/>
      <c r="AM990" s="626" t="n"/>
      <c r="AN990" s="626" t="n"/>
      <c r="AO990" s="626" t="n"/>
      <c r="AP990" s="369" t="n"/>
      <c r="AQ990" s="369" t="n"/>
      <c r="AR990" s="369" t="n"/>
      <c r="AS990" s="369" t="n"/>
      <c r="AT990" s="370" t="n"/>
      <c r="AU990" s="370" t="n"/>
      <c r="AV990" s="370" t="n"/>
      <c r="AW990" s="370" t="n"/>
      <c r="BJ990">
        <f>O990</f>
        <v/>
      </c>
      <c r="BK990">
        <f>SUM(AG990:AW990)</f>
        <v/>
      </c>
      <c r="BL990" s="531">
        <f>BJ990-BK990</f>
        <v/>
      </c>
      <c r="BM990" s="201" t="n"/>
    </row>
    <row r="991" hidden="1" outlineLevel="1" s="191">
      <c r="P991" s="628" t="n"/>
      <c r="Q991" s="628" t="n"/>
      <c r="R991" s="628" t="n"/>
      <c r="S991" s="628" t="n"/>
      <c r="T991" s="628" t="n"/>
      <c r="U991" s="628" t="n"/>
      <c r="V991" s="628" t="n"/>
      <c r="W991" s="628" t="n"/>
      <c r="X991" s="628" t="n"/>
      <c r="Y991" s="650" t="n"/>
      <c r="Z991" s="650" t="n"/>
      <c r="AA991" s="650" t="n"/>
      <c r="AB991" s="650" t="n"/>
      <c r="AC991" s="613" t="n"/>
      <c r="AD991" s="613" t="n"/>
      <c r="AE991" s="613" t="n"/>
      <c r="AF991" s="613" t="n"/>
      <c r="AG991" s="626" t="n"/>
      <c r="AH991" s="626" t="n"/>
      <c r="AI991" s="626" t="n"/>
      <c r="AJ991" s="626" t="n"/>
      <c r="AK991" s="626" t="n"/>
      <c r="AL991" s="626" t="n"/>
      <c r="AM991" s="626" t="n"/>
      <c r="AN991" s="626" t="n"/>
      <c r="AO991" s="626" t="n"/>
      <c r="AP991" s="369" t="n"/>
      <c r="AQ991" s="369" t="n"/>
      <c r="AR991" s="369" t="n"/>
      <c r="AS991" s="369" t="n"/>
      <c r="AT991" s="370" t="n"/>
      <c r="AU991" s="370" t="n"/>
      <c r="AV991" s="370" t="n"/>
      <c r="AW991" s="370" t="n"/>
      <c r="BJ991">
        <f>O991</f>
        <v/>
      </c>
      <c r="BK991">
        <f>SUM(AG991:AW991)</f>
        <v/>
      </c>
      <c r="BL991" s="531">
        <f>BJ991-BK991</f>
        <v/>
      </c>
      <c r="BM991" s="201" t="n"/>
    </row>
    <row r="992" hidden="1" outlineLevel="1" s="191">
      <c r="P992" s="628" t="n"/>
      <c r="Q992" s="628" t="n"/>
      <c r="R992" s="628" t="n"/>
      <c r="S992" s="628" t="n"/>
      <c r="T992" s="628" t="n"/>
      <c r="U992" s="628" t="n"/>
      <c r="V992" s="628" t="n"/>
      <c r="W992" s="628" t="n"/>
      <c r="X992" s="628" t="n"/>
      <c r="Y992" s="650" t="n"/>
      <c r="Z992" s="650" t="n"/>
      <c r="AA992" s="650" t="n"/>
      <c r="AB992" s="650" t="n"/>
      <c r="AC992" s="613" t="n"/>
      <c r="AD992" s="613" t="n"/>
      <c r="AE992" s="613" t="n"/>
      <c r="AF992" s="613" t="n"/>
      <c r="AG992" s="626" t="n"/>
      <c r="AH992" s="626" t="n"/>
      <c r="AI992" s="626" t="n"/>
      <c r="AJ992" s="626" t="n"/>
      <c r="AK992" s="626" t="n"/>
      <c r="AL992" s="626" t="n"/>
      <c r="AM992" s="626" t="n"/>
      <c r="AN992" s="626" t="n"/>
      <c r="AO992" s="626" t="n"/>
      <c r="AP992" s="369" t="n"/>
      <c r="AQ992" s="369" t="n"/>
      <c r="AR992" s="369" t="n"/>
      <c r="AS992" s="369" t="n"/>
      <c r="AT992" s="370" t="n"/>
      <c r="AU992" s="370" t="n"/>
      <c r="AV992" s="370" t="n"/>
      <c r="AW992" s="370" t="n"/>
      <c r="BJ992">
        <f>O992</f>
        <v/>
      </c>
      <c r="BK992">
        <f>SUM(AG992:AW992)</f>
        <v/>
      </c>
      <c r="BL992" s="531">
        <f>BJ992-BK992</f>
        <v/>
      </c>
      <c r="BM992" s="201" t="n"/>
    </row>
    <row r="993" hidden="1" outlineLevel="1" s="191">
      <c r="P993" s="628" t="n"/>
      <c r="Q993" s="628" t="n"/>
      <c r="R993" s="628" t="n"/>
      <c r="S993" s="628" t="n"/>
      <c r="T993" s="628" t="n"/>
      <c r="U993" s="628" t="n"/>
      <c r="V993" s="628" t="n"/>
      <c r="W993" s="628" t="n"/>
      <c r="X993" s="628" t="n"/>
      <c r="Y993" s="650" t="n"/>
      <c r="Z993" s="650" t="n"/>
      <c r="AA993" s="650" t="n"/>
      <c r="AB993" s="650" t="n"/>
      <c r="AC993" s="613" t="n"/>
      <c r="AD993" s="613" t="n"/>
      <c r="AE993" s="613" t="n"/>
      <c r="AF993" s="613" t="n"/>
      <c r="AG993" s="626" t="n"/>
      <c r="AH993" s="626" t="n"/>
      <c r="AI993" s="626" t="n"/>
      <c r="AJ993" s="626" t="n"/>
      <c r="AK993" s="626" t="n"/>
      <c r="AL993" s="626" t="n"/>
      <c r="AM993" s="626" t="n"/>
      <c r="AN993" s="626" t="n"/>
      <c r="AO993" s="626" t="n"/>
      <c r="AP993" s="369" t="n"/>
      <c r="AQ993" s="369" t="n"/>
      <c r="AR993" s="369" t="n"/>
      <c r="AS993" s="369" t="n"/>
      <c r="AT993" s="370" t="n"/>
      <c r="AU993" s="370" t="n"/>
      <c r="AV993" s="370" t="n"/>
      <c r="AW993" s="370" t="n"/>
      <c r="BJ993">
        <f>O993</f>
        <v/>
      </c>
      <c r="BK993">
        <f>SUM(AG993:AW993)</f>
        <v/>
      </c>
      <c r="BL993" s="531">
        <f>BJ993-BK993</f>
        <v/>
      </c>
      <c r="BM993" s="201" t="n"/>
    </row>
    <row r="994" hidden="1" outlineLevel="1" s="191">
      <c r="P994" s="628" t="n"/>
      <c r="Q994" s="628" t="n"/>
      <c r="R994" s="628" t="n"/>
      <c r="S994" s="628" t="n"/>
      <c r="T994" s="628" t="n"/>
      <c r="U994" s="628" t="n"/>
      <c r="V994" s="628" t="n"/>
      <c r="W994" s="628" t="n"/>
      <c r="X994" s="628" t="n"/>
      <c r="Y994" s="650" t="n"/>
      <c r="Z994" s="650" t="n"/>
      <c r="AA994" s="650" t="n"/>
      <c r="AB994" s="650" t="n"/>
      <c r="AC994" s="613" t="n"/>
      <c r="AD994" s="613" t="n"/>
      <c r="AE994" s="613" t="n"/>
      <c r="AF994" s="613" t="n"/>
      <c r="AG994" s="626" t="n"/>
      <c r="AH994" s="626" t="n"/>
      <c r="AI994" s="626" t="n"/>
      <c r="AJ994" s="626" t="n"/>
      <c r="AK994" s="626" t="n"/>
      <c r="AL994" s="626" t="n"/>
      <c r="AM994" s="626" t="n"/>
      <c r="AN994" s="626" t="n"/>
      <c r="AO994" s="626" t="n"/>
      <c r="AP994" s="369" t="n"/>
      <c r="AQ994" s="369" t="n"/>
      <c r="AR994" s="369" t="n"/>
      <c r="AS994" s="369" t="n"/>
      <c r="AT994" s="370" t="n"/>
      <c r="AU994" s="370" t="n"/>
      <c r="AV994" s="370" t="n"/>
      <c r="AW994" s="370" t="n"/>
      <c r="BJ994">
        <f>O994</f>
        <v/>
      </c>
      <c r="BK994">
        <f>SUM(AG994:AW994)</f>
        <v/>
      </c>
      <c r="BL994" s="531">
        <f>BJ994-BK994</f>
        <v/>
      </c>
      <c r="BM994" s="201" t="n"/>
    </row>
    <row r="995" hidden="1" outlineLevel="1" s="191">
      <c r="P995" s="628" t="n"/>
      <c r="Q995" s="628" t="n"/>
      <c r="R995" s="628" t="n"/>
      <c r="S995" s="628" t="n"/>
      <c r="T995" s="628" t="n"/>
      <c r="U995" s="628" t="n"/>
      <c r="V995" s="628" t="n"/>
      <c r="W995" s="628" t="n"/>
      <c r="X995" s="628" t="n"/>
      <c r="Y995" s="650" t="n"/>
      <c r="Z995" s="650" t="n"/>
      <c r="AA995" s="650" t="n"/>
      <c r="AB995" s="650" t="n"/>
      <c r="AC995" s="613" t="n"/>
      <c r="AD995" s="613" t="n"/>
      <c r="AE995" s="613" t="n"/>
      <c r="AF995" s="613" t="n"/>
      <c r="AG995" s="626" t="n"/>
      <c r="AH995" s="626" t="n"/>
      <c r="AI995" s="626" t="n"/>
      <c r="AJ995" s="626" t="n"/>
      <c r="AK995" s="626" t="n"/>
      <c r="AL995" s="626" t="n"/>
      <c r="AM995" s="626" t="n"/>
      <c r="AN995" s="626" t="n"/>
      <c r="AO995" s="626" t="n"/>
      <c r="AP995" s="369" t="n"/>
      <c r="AQ995" s="369" t="n"/>
      <c r="AR995" s="369" t="n"/>
      <c r="AS995" s="369" t="n"/>
      <c r="AT995" s="370" t="n"/>
      <c r="AU995" s="370" t="n"/>
      <c r="AV995" s="370" t="n"/>
      <c r="AW995" s="370" t="n"/>
      <c r="BJ995">
        <f>O995</f>
        <v/>
      </c>
      <c r="BK995">
        <f>SUM(AG995:AW995)</f>
        <v/>
      </c>
      <c r="BL995" s="531">
        <f>BJ995-BK995</f>
        <v/>
      </c>
      <c r="BM995" s="201" t="n"/>
    </row>
    <row r="996" hidden="1" outlineLevel="1" s="191">
      <c r="P996" s="628" t="n"/>
      <c r="Q996" s="628" t="n"/>
      <c r="R996" s="628" t="n"/>
      <c r="S996" s="628" t="n"/>
      <c r="T996" s="628" t="n"/>
      <c r="U996" s="628" t="n"/>
      <c r="V996" s="628" t="n"/>
      <c r="W996" s="628" t="n"/>
      <c r="X996" s="628" t="n"/>
      <c r="Y996" s="650" t="n"/>
      <c r="Z996" s="650" t="n"/>
      <c r="AA996" s="650" t="n"/>
      <c r="AB996" s="650" t="n"/>
      <c r="AC996" s="613" t="n"/>
      <c r="AD996" s="613" t="n"/>
      <c r="AE996" s="613" t="n"/>
      <c r="AF996" s="613" t="n"/>
      <c r="AG996" s="626" t="n"/>
      <c r="AH996" s="626" t="n"/>
      <c r="AI996" s="626" t="n"/>
      <c r="AJ996" s="626" t="n"/>
      <c r="AK996" s="626" t="n"/>
      <c r="AL996" s="626" t="n"/>
      <c r="AM996" s="626" t="n"/>
      <c r="AN996" s="626" t="n"/>
      <c r="AO996" s="626" t="n"/>
      <c r="AP996" s="369" t="n"/>
      <c r="AQ996" s="369" t="n"/>
      <c r="AR996" s="369" t="n"/>
      <c r="AS996" s="369" t="n"/>
      <c r="AT996" s="370" t="n"/>
      <c r="AU996" s="370" t="n"/>
      <c r="AV996" s="370" t="n"/>
      <c r="AW996" s="370" t="n"/>
      <c r="BJ996">
        <f>O996</f>
        <v/>
      </c>
      <c r="BK996">
        <f>SUM(AG996:AW996)</f>
        <v/>
      </c>
      <c r="BL996" s="531">
        <f>BJ996-BK996</f>
        <v/>
      </c>
      <c r="BM996" s="201" t="n"/>
    </row>
    <row r="997" hidden="1" outlineLevel="1" s="191">
      <c r="P997" s="628" t="n"/>
      <c r="Q997" s="628" t="n"/>
      <c r="R997" s="628" t="n"/>
      <c r="S997" s="628" t="n"/>
      <c r="T997" s="628" t="n"/>
      <c r="U997" s="628" t="n"/>
      <c r="V997" s="628" t="n"/>
      <c r="W997" s="628" t="n"/>
      <c r="X997" s="628" t="n"/>
      <c r="Y997" s="650" t="n"/>
      <c r="Z997" s="650" t="n"/>
      <c r="AA997" s="650" t="n"/>
      <c r="AB997" s="650" t="n"/>
      <c r="AC997" s="613" t="n"/>
      <c r="AD997" s="613" t="n"/>
      <c r="AE997" s="613" t="n"/>
      <c r="AF997" s="613" t="n"/>
      <c r="AG997" s="626" t="n"/>
      <c r="AH997" s="626" t="n"/>
      <c r="AI997" s="626" t="n"/>
      <c r="AJ997" s="626" t="n"/>
      <c r="AK997" s="626" t="n"/>
      <c r="AL997" s="626" t="n"/>
      <c r="AM997" s="626" t="n"/>
      <c r="AN997" s="626" t="n"/>
      <c r="AO997" s="626" t="n"/>
      <c r="AP997" s="369" t="n"/>
      <c r="AQ997" s="369" t="n"/>
      <c r="AR997" s="369" t="n"/>
      <c r="AS997" s="369" t="n"/>
      <c r="AT997" s="370" t="n"/>
      <c r="AU997" s="370" t="n"/>
      <c r="AV997" s="370" t="n"/>
      <c r="AW997" s="370" t="n"/>
      <c r="BJ997">
        <f>O997</f>
        <v/>
      </c>
      <c r="BK997">
        <f>SUM(AG997:AW997)</f>
        <v/>
      </c>
      <c r="BL997" s="531">
        <f>BJ997-BK997</f>
        <v/>
      </c>
      <c r="BM997" s="201" t="n"/>
    </row>
    <row r="998" hidden="1" outlineLevel="1" s="191">
      <c r="A998" s="264">
        <f>A900</f>
        <v/>
      </c>
      <c r="P998" s="628" t="n"/>
      <c r="Q998" s="628" t="n"/>
      <c r="R998" s="628" t="n"/>
      <c r="S998" s="628" t="n"/>
      <c r="T998" s="628" t="n"/>
      <c r="U998" s="628" t="n"/>
      <c r="V998" s="628" t="n"/>
      <c r="W998" s="628" t="n"/>
      <c r="X998" s="628" t="n"/>
      <c r="Y998" s="650" t="n"/>
      <c r="Z998" s="650" t="n"/>
      <c r="AA998" s="650" t="n"/>
      <c r="AB998" s="650" t="n"/>
      <c r="AC998" s="613" t="n"/>
      <c r="AD998" s="613" t="n"/>
      <c r="AE998" s="613" t="n"/>
      <c r="AF998" s="613" t="n"/>
      <c r="AG998" s="626" t="n"/>
      <c r="AH998" s="626" t="n"/>
      <c r="AI998" s="626" t="n"/>
      <c r="AJ998" s="626" t="n"/>
      <c r="AK998" s="626" t="n"/>
      <c r="AL998" s="626" t="n"/>
      <c r="AM998" s="626" t="n"/>
      <c r="AN998" s="626" t="n"/>
      <c r="AO998" s="626" t="n"/>
      <c r="AP998" s="369" t="n"/>
      <c r="AQ998" s="369" t="n"/>
      <c r="AR998" s="369" t="n"/>
      <c r="AS998" s="369" t="n"/>
      <c r="AT998" s="370" t="n"/>
      <c r="AU998" s="370" t="n"/>
      <c r="AV998" s="370" t="n"/>
      <c r="AW998" s="370" t="n"/>
      <c r="BJ998">
        <f>O998</f>
        <v/>
      </c>
      <c r="BK998">
        <f>SUM(AG998:AW998)</f>
        <v/>
      </c>
      <c r="BL998" s="531">
        <f>BJ998-BK998</f>
        <v/>
      </c>
      <c r="BM998" s="201" t="n"/>
    </row>
    <row r="999" collapsed="1" s="191">
      <c r="P999" s="628" t="n"/>
      <c r="Q999" s="628" t="n"/>
      <c r="R999" s="628" t="n"/>
      <c r="S999" s="628" t="n"/>
      <c r="T999" s="628" t="n"/>
      <c r="U999" s="628" t="n"/>
      <c r="V999" s="628" t="n"/>
      <c r="W999" s="628" t="n"/>
      <c r="X999" s="628" t="n"/>
      <c r="Y999" s="650" t="n"/>
      <c r="Z999" s="650" t="n"/>
      <c r="AA999" s="650" t="n"/>
      <c r="AB999" s="650" t="n"/>
      <c r="AC999" s="613" t="n"/>
      <c r="AD999" s="613" t="n"/>
      <c r="AE999" s="613" t="n"/>
      <c r="AF999" s="613" t="n"/>
      <c r="AG999" s="626" t="n"/>
      <c r="AH999" s="626" t="n"/>
      <c r="AI999" s="626" t="n"/>
      <c r="AJ999" s="626" t="n"/>
      <c r="AK999" s="626" t="n"/>
      <c r="AL999" s="626" t="n"/>
      <c r="AM999" s="626" t="n"/>
      <c r="AN999" s="626" t="n"/>
      <c r="AO999" s="626" t="n"/>
      <c r="AP999" s="369" t="n"/>
      <c r="AQ999" s="369" t="n"/>
      <c r="AR999" s="369" t="n"/>
      <c r="AS999" s="369" t="n"/>
      <c r="AT999" s="370" t="n"/>
      <c r="AU999" s="370" t="n"/>
      <c r="AV999" s="370" t="n"/>
      <c r="AW999" s="370" t="n"/>
      <c r="BJ999">
        <f>O999</f>
        <v/>
      </c>
      <c r="BK999">
        <f>SUM(AG999:AW999)</f>
        <v/>
      </c>
      <c r="BL999" s="531">
        <f>BJ999-BK999</f>
        <v/>
      </c>
      <c r="BM999" s="201">
        <f>SUM(BL1000:BL1098)</f>
        <v/>
      </c>
    </row>
    <row r="1000" ht="15.6" customHeight="1" s="191">
      <c r="A1000" s="259">
        <f>X_Platf_WMS!A3</f>
        <v/>
      </c>
      <c r="B1000" s="260" t="n"/>
      <c r="C1000" s="261" t="n"/>
      <c r="D1000" s="276" t="n"/>
      <c r="E1000" s="277">
        <f>VLOOKUP(A1000,Listy!A:C,2,FALSE) &amp; "   :  " &amp; VLOOKUP(A1000,Listy!A:C,3,FALSE)</f>
        <v/>
      </c>
      <c r="F1000" s="538" t="n"/>
      <c r="P1000" s="628" t="n"/>
      <c r="Q1000" s="628" t="n"/>
      <c r="R1000" s="628" t="n"/>
      <c r="S1000" s="628" t="n"/>
      <c r="T1000" s="628" t="n"/>
      <c r="U1000" s="628" t="n"/>
      <c r="V1000" s="628" t="n"/>
      <c r="W1000" s="628" t="n"/>
      <c r="X1000" s="628" t="n"/>
      <c r="Y1000" s="650" t="n"/>
      <c r="Z1000" s="650" t="n"/>
      <c r="AA1000" s="650" t="n"/>
      <c r="AB1000" s="650" t="n"/>
      <c r="AC1000" s="613" t="n"/>
      <c r="AD1000" s="613" t="n"/>
      <c r="AE1000" s="613" t="n"/>
      <c r="AF1000" s="613" t="n"/>
      <c r="AG1000" s="626" t="n"/>
      <c r="AH1000" s="626" t="n"/>
      <c r="AI1000" s="626" t="n"/>
      <c r="AJ1000" s="626" t="n"/>
      <c r="AK1000" s="626" t="n"/>
      <c r="AL1000" s="626" t="n"/>
      <c r="AM1000" s="626" t="n"/>
      <c r="AN1000" s="626" t="n"/>
      <c r="AO1000" s="626" t="n"/>
      <c r="AP1000" s="369" t="n"/>
      <c r="AQ1000" s="369" t="n"/>
      <c r="AR1000" s="369" t="n"/>
      <c r="AS1000" s="369" t="n"/>
      <c r="AT1000" s="370" t="n"/>
      <c r="AU1000" s="370" t="n"/>
      <c r="AV1000" s="370" t="n"/>
      <c r="AW1000" s="370" t="n"/>
      <c r="BJ1000">
        <f>O1000</f>
        <v/>
      </c>
      <c r="BK1000">
        <f>SUM(AG1000:AW1000)</f>
        <v/>
      </c>
      <c r="BL1000" s="531">
        <f>BJ1000-BK1000</f>
        <v/>
      </c>
      <c r="BM1000" s="201">
        <f>SUM(BL1001:BL1099)</f>
        <v/>
      </c>
    </row>
    <row r="1001" hidden="1" outlineLevel="1" s="191">
      <c r="A1001">
        <f>X_Platf_WMS!A4</f>
        <v/>
      </c>
      <c r="B1001">
        <f>X_Platf_WMS!B4</f>
        <v/>
      </c>
      <c r="C1001">
        <f>X_Platf_WMS!C4</f>
        <v/>
      </c>
      <c r="D1001">
        <f>X_Platf_WMS!D4</f>
        <v/>
      </c>
      <c r="E1001">
        <f>X_Platf_WMS!E4</f>
        <v/>
      </c>
      <c r="F1001">
        <f>X_Platf_WMS!F4</f>
        <v/>
      </c>
      <c r="G1001">
        <f>X_Platf_WMS!G4</f>
        <v/>
      </c>
      <c r="H1001">
        <f>X_Platf_WMS!H4</f>
        <v/>
      </c>
      <c r="I1001">
        <f>X_Platf_WMS!I4</f>
        <v/>
      </c>
      <c r="J1001">
        <f>X_Platf_WMS!J4</f>
        <v/>
      </c>
      <c r="K1001">
        <f>X_Platf_WMS!K4</f>
        <v/>
      </c>
      <c r="L1001">
        <f>X_Platf_WMS!L4</f>
        <v/>
      </c>
      <c r="M1001">
        <f>X_Platf_WMS!M4</f>
        <v/>
      </c>
      <c r="N1001">
        <f>X_Platf_WMS!N4</f>
        <v/>
      </c>
      <c r="O1001">
        <f>X_Platf_WMS!O4</f>
        <v/>
      </c>
      <c r="P1001" s="628">
        <f>X_Platf_WMS!P4</f>
        <v/>
      </c>
      <c r="Q1001" s="628">
        <f>X_Platf_WMS!Q4</f>
        <v/>
      </c>
      <c r="R1001" s="628">
        <f>X_Platf_WMS!R4</f>
        <v/>
      </c>
      <c r="S1001" s="628">
        <f>X_Platf_WMS!S4</f>
        <v/>
      </c>
      <c r="T1001" s="628">
        <f>X_Platf_WMS!T4</f>
        <v/>
      </c>
      <c r="U1001" s="628">
        <f>X_Platf_WMS!U4</f>
        <v/>
      </c>
      <c r="V1001" s="628">
        <f>X_Platf_WMS!V4</f>
        <v/>
      </c>
      <c r="W1001" s="628">
        <f>X_Platf_WMS!W4</f>
        <v/>
      </c>
      <c r="X1001" s="628">
        <f>X_Platf_WMS!X4</f>
        <v/>
      </c>
      <c r="Y1001" s="650">
        <f>X_Platf_WMS!Y4</f>
        <v/>
      </c>
      <c r="Z1001" s="650">
        <f>X_Platf_WMS!Z4</f>
        <v/>
      </c>
      <c r="AA1001" s="650">
        <f>X_Platf_WMS!AA4</f>
        <v/>
      </c>
      <c r="AB1001" s="650">
        <f>X_Platf_WMS!AB4</f>
        <v/>
      </c>
      <c r="AC1001" s="613">
        <f>X_Platf_WMS!AC4</f>
        <v/>
      </c>
      <c r="AD1001" s="613">
        <f>X_Platf_WMS!AD4</f>
        <v/>
      </c>
      <c r="AE1001" s="613">
        <f>X_Platf_WMS!AE4</f>
        <v/>
      </c>
      <c r="AF1001" s="613">
        <f>X_Platf_WMS!AF4</f>
        <v/>
      </c>
      <c r="AG1001" s="626">
        <f>X_Platf_WMS!AG4</f>
        <v/>
      </c>
      <c r="AH1001" s="626">
        <f>X_Platf_WMS!AH4</f>
        <v/>
      </c>
      <c r="AI1001" s="626">
        <f>X_Platf_WMS!AI4</f>
        <v/>
      </c>
      <c r="AJ1001" s="626">
        <f>X_Platf_WMS!AJ4</f>
        <v/>
      </c>
      <c r="AK1001" s="626">
        <f>X_Platf_WMS!AK4</f>
        <v/>
      </c>
      <c r="AL1001" s="626">
        <f>X_Platf_WMS!AL4</f>
        <v/>
      </c>
      <c r="AM1001" s="626">
        <f>X_Platf_WMS!AM4</f>
        <v/>
      </c>
      <c r="AN1001" s="626">
        <f>X_Platf_WMS!AN4</f>
        <v/>
      </c>
      <c r="AO1001" s="626">
        <f>X_Platf_WMS!AO4</f>
        <v/>
      </c>
      <c r="AP1001" s="369">
        <f>X_Platf_WMS!AP4</f>
        <v/>
      </c>
      <c r="AQ1001" s="369">
        <f>X_Platf_WMS!AQ4</f>
        <v/>
      </c>
      <c r="AR1001" s="369">
        <f>X_Platf_WMS!AR4</f>
        <v/>
      </c>
      <c r="AS1001" s="369">
        <f>X_Platf_WMS!AS4</f>
        <v/>
      </c>
      <c r="AT1001" s="370">
        <f>X_Platf_WMS!AT4</f>
        <v/>
      </c>
      <c r="AU1001" s="370">
        <f>X_Platf_WMS!AU4</f>
        <v/>
      </c>
      <c r="AV1001" s="370">
        <f>X_Platf_WMS!AV4</f>
        <v/>
      </c>
      <c r="AW1001" s="370">
        <f>X_Platf_WMS!AW4</f>
        <v/>
      </c>
      <c r="AX1001">
        <f>X_Platf_WMS!AX4</f>
        <v/>
      </c>
      <c r="AY1001">
        <f>X_Platf_WMS!AY4</f>
        <v/>
      </c>
      <c r="AZ1001">
        <f>X_Platf_WMS!AZ4</f>
        <v/>
      </c>
      <c r="BA1001">
        <f>X_Platf_WMS!BA4</f>
        <v/>
      </c>
      <c r="BB1001">
        <f>X_Platf_WMS!BB4</f>
        <v/>
      </c>
      <c r="BC1001">
        <f>X_Platf_WMS!BC4</f>
        <v/>
      </c>
      <c r="BD1001">
        <f>X_Platf_WMS!BD4</f>
        <v/>
      </c>
      <c r="BE1001">
        <f>X_Platf_WMS!BE4</f>
        <v/>
      </c>
      <c r="BF1001">
        <f>X_Platf_WMS!BF4</f>
        <v/>
      </c>
      <c r="BG1001">
        <f>X_Platf_WMS!BG4</f>
        <v/>
      </c>
      <c r="BH1001">
        <f>X_Platf_WMS!BH4</f>
        <v/>
      </c>
      <c r="BI1001">
        <f>X_Platf_WMS!BI4</f>
        <v/>
      </c>
      <c r="BJ1001">
        <f>O1001</f>
        <v/>
      </c>
      <c r="BK1001">
        <f>SUM(AG1001:AW1001)</f>
        <v/>
      </c>
      <c r="BL1001" s="531">
        <f>BJ1001-BK1001</f>
        <v/>
      </c>
      <c r="BM1001" s="201" t="n"/>
    </row>
    <row r="1002" hidden="1" outlineLevel="1" s="191">
      <c r="A1002">
        <f>X_Platf_WMS!A5</f>
        <v/>
      </c>
      <c r="B1002">
        <f>X_Platf_WMS!B5</f>
        <v/>
      </c>
      <c r="C1002">
        <f>X_Platf_WMS!C5</f>
        <v/>
      </c>
      <c r="D1002">
        <f>X_Platf_WMS!D5</f>
        <v/>
      </c>
      <c r="E1002">
        <f>X_Platf_WMS!E5</f>
        <v/>
      </c>
      <c r="F1002">
        <f>X_Platf_WMS!F5</f>
        <v/>
      </c>
      <c r="G1002">
        <f>X_Platf_WMS!G5</f>
        <v/>
      </c>
      <c r="H1002">
        <f>X_Platf_WMS!H5</f>
        <v/>
      </c>
      <c r="I1002">
        <f>X_Platf_WMS!I5</f>
        <v/>
      </c>
      <c r="J1002">
        <f>X_Platf_WMS!J5</f>
        <v/>
      </c>
      <c r="K1002" s="672">
        <f>X_Platf_WMS!K5</f>
        <v/>
      </c>
      <c r="L1002" s="672">
        <f>X_Platf_WMS!L5</f>
        <v/>
      </c>
      <c r="M1002">
        <f>X_Platf_WMS!M5</f>
        <v/>
      </c>
      <c r="N1002">
        <f>X_Platf_WMS!N5</f>
        <v/>
      </c>
      <c r="O1002">
        <f>X_Platf_WMS!O5</f>
        <v/>
      </c>
      <c r="P1002" s="628">
        <f>X_Platf_WMS!P5</f>
        <v/>
      </c>
      <c r="Q1002" s="628">
        <f>X_Platf_WMS!Q5</f>
        <v/>
      </c>
      <c r="R1002" s="628">
        <f>X_Platf_WMS!R5</f>
        <v/>
      </c>
      <c r="S1002" s="628">
        <f>X_Platf_WMS!S5</f>
        <v/>
      </c>
      <c r="T1002" s="628">
        <f>X_Platf_WMS!T5</f>
        <v/>
      </c>
      <c r="U1002" s="628">
        <f>X_Platf_WMS!U5</f>
        <v/>
      </c>
      <c r="V1002" s="628">
        <f>X_Platf_WMS!V5</f>
        <v/>
      </c>
      <c r="W1002" s="628">
        <f>X_Platf_WMS!W5</f>
        <v/>
      </c>
      <c r="X1002" s="628">
        <f>X_Platf_WMS!X5</f>
        <v/>
      </c>
      <c r="Y1002" s="650">
        <f>X_Platf_WMS!Y5</f>
        <v/>
      </c>
      <c r="Z1002" s="650">
        <f>X_Platf_WMS!Z5</f>
        <v/>
      </c>
      <c r="AA1002" s="650">
        <f>X_Platf_WMS!AA5</f>
        <v/>
      </c>
      <c r="AB1002" s="650">
        <f>X_Platf_WMS!AB5</f>
        <v/>
      </c>
      <c r="AC1002" s="613">
        <f>X_Platf_WMS!AC5</f>
        <v/>
      </c>
      <c r="AD1002" s="613">
        <f>X_Platf_WMS!AD5</f>
        <v/>
      </c>
      <c r="AE1002" s="613">
        <f>X_Platf_WMS!AE5</f>
        <v/>
      </c>
      <c r="AF1002" s="613">
        <f>X_Platf_WMS!AF5</f>
        <v/>
      </c>
      <c r="AG1002" s="626">
        <f>X_Platf_WMS!AG5</f>
        <v/>
      </c>
      <c r="AH1002" s="626">
        <f>X_Platf_WMS!AH5</f>
        <v/>
      </c>
      <c r="AI1002" s="626">
        <f>X_Platf_WMS!AI5</f>
        <v/>
      </c>
      <c r="AJ1002" s="626">
        <f>X_Platf_WMS!AJ5</f>
        <v/>
      </c>
      <c r="AK1002" s="626">
        <f>X_Platf_WMS!AK5</f>
        <v/>
      </c>
      <c r="AL1002" s="626">
        <f>X_Platf_WMS!AL5</f>
        <v/>
      </c>
      <c r="AM1002" s="626">
        <f>X_Platf_WMS!AM5</f>
        <v/>
      </c>
      <c r="AN1002" s="626">
        <f>X_Platf_WMS!AN5</f>
        <v/>
      </c>
      <c r="AO1002" s="626">
        <f>X_Platf_WMS!AO5</f>
        <v/>
      </c>
      <c r="AP1002" s="369">
        <f>X_Platf_WMS!AP5</f>
        <v/>
      </c>
      <c r="AQ1002" s="369">
        <f>X_Platf_WMS!AQ5</f>
        <v/>
      </c>
      <c r="AR1002" s="369">
        <f>X_Platf_WMS!AR5</f>
        <v/>
      </c>
      <c r="AS1002" s="369">
        <f>X_Platf_WMS!AS5</f>
        <v/>
      </c>
      <c r="AT1002" s="370">
        <f>X_Platf_WMS!AT5</f>
        <v/>
      </c>
      <c r="AU1002" s="370">
        <f>X_Platf_WMS!AU5</f>
        <v/>
      </c>
      <c r="AV1002" s="370">
        <f>X_Platf_WMS!AV5</f>
        <v/>
      </c>
      <c r="AW1002" s="370">
        <f>X_Platf_WMS!AW5</f>
        <v/>
      </c>
      <c r="AX1002">
        <f>X_Platf_WMS!AX5</f>
        <v/>
      </c>
      <c r="AY1002">
        <f>X_Platf_WMS!AY5</f>
        <v/>
      </c>
      <c r="AZ1002">
        <f>X_Platf_WMS!AZ5</f>
        <v/>
      </c>
      <c r="BA1002">
        <f>X_Platf_WMS!BA5</f>
        <v/>
      </c>
      <c r="BB1002">
        <f>X_Platf_WMS!BB5</f>
        <v/>
      </c>
      <c r="BC1002">
        <f>X_Platf_WMS!BC5</f>
        <v/>
      </c>
      <c r="BD1002">
        <f>X_Platf_WMS!BD5</f>
        <v/>
      </c>
      <c r="BE1002">
        <f>X_Platf_WMS!BE5</f>
        <v/>
      </c>
      <c r="BF1002">
        <f>X_Platf_WMS!BF5</f>
        <v/>
      </c>
      <c r="BG1002">
        <f>X_Platf_WMS!BG5</f>
        <v/>
      </c>
      <c r="BH1002">
        <f>X_Platf_WMS!BH5</f>
        <v/>
      </c>
      <c r="BI1002">
        <f>X_Platf_WMS!BI5</f>
        <v/>
      </c>
      <c r="BJ1002">
        <f>O1002</f>
        <v/>
      </c>
      <c r="BK1002">
        <f>SUM(AG1002:AW1002)</f>
        <v/>
      </c>
      <c r="BL1002" s="531">
        <f>BJ1002-BK1002</f>
        <v/>
      </c>
      <c r="BM1002" s="201" t="n"/>
    </row>
    <row r="1003" hidden="1" outlineLevel="1" s="191">
      <c r="A1003">
        <f>X_Platf_WMS!A6</f>
        <v/>
      </c>
      <c r="B1003">
        <f>X_Platf_WMS!B6</f>
        <v/>
      </c>
      <c r="C1003">
        <f>X_Platf_WMS!C6</f>
        <v/>
      </c>
      <c r="D1003">
        <f>X_Platf_WMS!D6</f>
        <v/>
      </c>
      <c r="E1003">
        <f>X_Platf_WMS!E6</f>
        <v/>
      </c>
      <c r="F1003">
        <f>X_Platf_WMS!F6</f>
        <v/>
      </c>
      <c r="G1003">
        <f>X_Platf_WMS!G6</f>
        <v/>
      </c>
      <c r="H1003">
        <f>X_Platf_WMS!H6</f>
        <v/>
      </c>
      <c r="I1003">
        <f>X_Platf_WMS!I6</f>
        <v/>
      </c>
      <c r="J1003">
        <f>X_Platf_WMS!J6</f>
        <v/>
      </c>
      <c r="K1003" s="672">
        <f>X_Platf_WMS!K6</f>
        <v/>
      </c>
      <c r="L1003" s="672">
        <f>X_Platf_WMS!L6</f>
        <v/>
      </c>
      <c r="M1003">
        <f>X_Platf_WMS!M6</f>
        <v/>
      </c>
      <c r="N1003">
        <f>X_Platf_WMS!N6</f>
        <v/>
      </c>
      <c r="O1003">
        <f>X_Platf_WMS!O6</f>
        <v/>
      </c>
      <c r="P1003" s="628">
        <f>X_Platf_WMS!P6</f>
        <v/>
      </c>
      <c r="Q1003" s="628">
        <f>X_Platf_WMS!Q6</f>
        <v/>
      </c>
      <c r="R1003" s="628">
        <f>X_Platf_WMS!R6</f>
        <v/>
      </c>
      <c r="S1003" s="628">
        <f>X_Platf_WMS!S6</f>
        <v/>
      </c>
      <c r="T1003" s="628">
        <f>X_Platf_WMS!T6</f>
        <v/>
      </c>
      <c r="U1003" s="628">
        <f>X_Platf_WMS!U6</f>
        <v/>
      </c>
      <c r="V1003" s="628">
        <f>X_Platf_WMS!V6</f>
        <v/>
      </c>
      <c r="W1003" s="628">
        <f>X_Platf_WMS!W6</f>
        <v/>
      </c>
      <c r="X1003" s="628">
        <f>X_Platf_WMS!X6</f>
        <v/>
      </c>
      <c r="Y1003" s="650">
        <f>X_Platf_WMS!Y6</f>
        <v/>
      </c>
      <c r="Z1003" s="650">
        <f>X_Platf_WMS!Z6</f>
        <v/>
      </c>
      <c r="AA1003" s="650">
        <f>X_Platf_WMS!AA6</f>
        <v/>
      </c>
      <c r="AB1003" s="650">
        <f>X_Platf_WMS!AB6</f>
        <v/>
      </c>
      <c r="AC1003" s="613">
        <f>X_Platf_WMS!AC6</f>
        <v/>
      </c>
      <c r="AD1003" s="613">
        <f>X_Platf_WMS!AD6</f>
        <v/>
      </c>
      <c r="AE1003" s="613">
        <f>X_Platf_WMS!AE6</f>
        <v/>
      </c>
      <c r="AF1003" s="613">
        <f>X_Platf_WMS!AF6</f>
        <v/>
      </c>
      <c r="AG1003" s="626">
        <f>X_Platf_WMS!AG6</f>
        <v/>
      </c>
      <c r="AH1003" s="626">
        <f>X_Platf_WMS!AH6</f>
        <v/>
      </c>
      <c r="AI1003" s="626">
        <f>X_Platf_WMS!AI6</f>
        <v/>
      </c>
      <c r="AJ1003" s="626">
        <f>X_Platf_WMS!AJ6</f>
        <v/>
      </c>
      <c r="AK1003" s="626">
        <f>X_Platf_WMS!AK6</f>
        <v/>
      </c>
      <c r="AL1003" s="626">
        <f>X_Platf_WMS!AL6</f>
        <v/>
      </c>
      <c r="AM1003" s="626">
        <f>X_Platf_WMS!AM6</f>
        <v/>
      </c>
      <c r="AN1003" s="626">
        <f>X_Platf_WMS!AN6</f>
        <v/>
      </c>
      <c r="AO1003" s="626">
        <f>X_Platf_WMS!AO6</f>
        <v/>
      </c>
      <c r="AP1003" s="369">
        <f>X_Platf_WMS!AP6</f>
        <v/>
      </c>
      <c r="AQ1003" s="369">
        <f>X_Platf_WMS!AQ6</f>
        <v/>
      </c>
      <c r="AR1003" s="369">
        <f>X_Platf_WMS!AR6</f>
        <v/>
      </c>
      <c r="AS1003" s="369">
        <f>X_Platf_WMS!AS6</f>
        <v/>
      </c>
      <c r="AT1003" s="370">
        <f>X_Platf_WMS!AT6</f>
        <v/>
      </c>
      <c r="AU1003" s="370">
        <f>X_Platf_WMS!AU6</f>
        <v/>
      </c>
      <c r="AV1003" s="370">
        <f>X_Platf_WMS!AV6</f>
        <v/>
      </c>
      <c r="AW1003" s="370">
        <f>X_Platf_WMS!AW6</f>
        <v/>
      </c>
      <c r="AX1003">
        <f>X_Platf_WMS!AX6</f>
        <v/>
      </c>
      <c r="AY1003">
        <f>X_Platf_WMS!AY6</f>
        <v/>
      </c>
      <c r="AZ1003">
        <f>X_Platf_WMS!AZ6</f>
        <v/>
      </c>
      <c r="BA1003">
        <f>X_Platf_WMS!BA6</f>
        <v/>
      </c>
      <c r="BB1003">
        <f>X_Platf_WMS!BB6</f>
        <v/>
      </c>
      <c r="BC1003">
        <f>X_Platf_WMS!BC6</f>
        <v/>
      </c>
      <c r="BD1003">
        <f>X_Platf_WMS!BD6</f>
        <v/>
      </c>
      <c r="BE1003">
        <f>X_Platf_WMS!BE6</f>
        <v/>
      </c>
      <c r="BF1003">
        <f>X_Platf_WMS!BF6</f>
        <v/>
      </c>
      <c r="BG1003">
        <f>X_Platf_WMS!BG6</f>
        <v/>
      </c>
      <c r="BH1003">
        <f>X_Platf_WMS!BH6</f>
        <v/>
      </c>
      <c r="BI1003">
        <f>X_Platf_WMS!BI6</f>
        <v/>
      </c>
      <c r="BJ1003">
        <f>O1003</f>
        <v/>
      </c>
      <c r="BK1003">
        <f>SUM(AG1003:AW1003)</f>
        <v/>
      </c>
      <c r="BL1003" s="531">
        <f>BJ1003-BK1003</f>
        <v/>
      </c>
      <c r="BM1003" s="201" t="n"/>
    </row>
    <row r="1004" hidden="1" outlineLevel="1" s="191">
      <c r="A1004">
        <f>X_Platf_WMS!A7</f>
        <v/>
      </c>
      <c r="B1004">
        <f>X_Platf_WMS!B7</f>
        <v/>
      </c>
      <c r="C1004">
        <f>X_Platf_WMS!C7</f>
        <v/>
      </c>
      <c r="D1004">
        <f>X_Platf_WMS!D7</f>
        <v/>
      </c>
      <c r="E1004">
        <f>X_Platf_WMS!E7</f>
        <v/>
      </c>
      <c r="F1004">
        <f>X_Platf_WMS!F7</f>
        <v/>
      </c>
      <c r="G1004">
        <f>X_Platf_WMS!G7</f>
        <v/>
      </c>
      <c r="H1004">
        <f>X_Platf_WMS!H7</f>
        <v/>
      </c>
      <c r="I1004">
        <f>X_Platf_WMS!I7</f>
        <v/>
      </c>
      <c r="J1004">
        <f>X_Platf_WMS!J7</f>
        <v/>
      </c>
      <c r="K1004" s="672">
        <f>X_Platf_WMS!K7</f>
        <v/>
      </c>
      <c r="L1004" s="672">
        <f>X_Platf_WMS!L7</f>
        <v/>
      </c>
      <c r="M1004">
        <f>X_Platf_WMS!M7</f>
        <v/>
      </c>
      <c r="N1004">
        <f>X_Platf_WMS!N7</f>
        <v/>
      </c>
      <c r="O1004">
        <f>X_Platf_WMS!O7</f>
        <v/>
      </c>
      <c r="P1004" s="628">
        <f>X_Platf_WMS!P7</f>
        <v/>
      </c>
      <c r="Q1004" s="628">
        <f>X_Platf_WMS!Q7</f>
        <v/>
      </c>
      <c r="R1004" s="628">
        <f>X_Platf_WMS!R7</f>
        <v/>
      </c>
      <c r="S1004" s="628">
        <f>X_Platf_WMS!S7</f>
        <v/>
      </c>
      <c r="T1004" s="628">
        <f>X_Platf_WMS!T7</f>
        <v/>
      </c>
      <c r="U1004" s="628">
        <f>X_Platf_WMS!U7</f>
        <v/>
      </c>
      <c r="V1004" s="628">
        <f>X_Platf_WMS!V7</f>
        <v/>
      </c>
      <c r="W1004" s="628">
        <f>X_Platf_WMS!W7</f>
        <v/>
      </c>
      <c r="X1004" s="628">
        <f>X_Platf_WMS!X7</f>
        <v/>
      </c>
      <c r="Y1004" s="650">
        <f>X_Platf_WMS!Y7</f>
        <v/>
      </c>
      <c r="Z1004" s="650">
        <f>X_Platf_WMS!Z7</f>
        <v/>
      </c>
      <c r="AA1004" s="650">
        <f>X_Platf_WMS!AA7</f>
        <v/>
      </c>
      <c r="AB1004" s="650">
        <f>X_Platf_WMS!AB7</f>
        <v/>
      </c>
      <c r="AC1004" s="613">
        <f>X_Platf_WMS!AC7</f>
        <v/>
      </c>
      <c r="AD1004" s="613">
        <f>X_Platf_WMS!AD7</f>
        <v/>
      </c>
      <c r="AE1004" s="613">
        <f>X_Platf_WMS!AE7</f>
        <v/>
      </c>
      <c r="AF1004" s="613">
        <f>X_Platf_WMS!AF7</f>
        <v/>
      </c>
      <c r="AG1004" s="626">
        <f>X_Platf_WMS!AG7</f>
        <v/>
      </c>
      <c r="AH1004" s="626">
        <f>X_Platf_WMS!AH7</f>
        <v/>
      </c>
      <c r="AI1004" s="626">
        <f>X_Platf_WMS!AI7</f>
        <v/>
      </c>
      <c r="AJ1004" s="626">
        <f>X_Platf_WMS!AJ7</f>
        <v/>
      </c>
      <c r="AK1004" s="626">
        <f>X_Platf_WMS!AK7</f>
        <v/>
      </c>
      <c r="AL1004" s="626">
        <f>X_Platf_WMS!AL7</f>
        <v/>
      </c>
      <c r="AM1004" s="626">
        <f>X_Platf_WMS!AM7</f>
        <v/>
      </c>
      <c r="AN1004" s="626">
        <f>X_Platf_WMS!AN7</f>
        <v/>
      </c>
      <c r="AO1004" s="626">
        <f>X_Platf_WMS!AO7</f>
        <v/>
      </c>
      <c r="AP1004" s="369">
        <f>X_Platf_WMS!AP7</f>
        <v/>
      </c>
      <c r="AQ1004" s="369">
        <f>X_Platf_WMS!AQ7</f>
        <v/>
      </c>
      <c r="AR1004" s="369">
        <f>X_Platf_WMS!AR7</f>
        <v/>
      </c>
      <c r="AS1004" s="369">
        <f>X_Platf_WMS!AS7</f>
        <v/>
      </c>
      <c r="AT1004" s="370">
        <f>X_Platf_WMS!AT7</f>
        <v/>
      </c>
      <c r="AU1004" s="370">
        <f>X_Platf_WMS!AU7</f>
        <v/>
      </c>
      <c r="AV1004" s="370">
        <f>X_Platf_WMS!AV7</f>
        <v/>
      </c>
      <c r="AW1004" s="370">
        <f>X_Platf_WMS!AW7</f>
        <v/>
      </c>
      <c r="AX1004">
        <f>X_Platf_WMS!AX7</f>
        <v/>
      </c>
      <c r="AY1004">
        <f>X_Platf_WMS!AY7</f>
        <v/>
      </c>
      <c r="AZ1004">
        <f>X_Platf_WMS!AZ7</f>
        <v/>
      </c>
      <c r="BA1004">
        <f>X_Platf_WMS!BA7</f>
        <v/>
      </c>
      <c r="BB1004">
        <f>X_Platf_WMS!BB7</f>
        <v/>
      </c>
      <c r="BC1004">
        <f>X_Platf_WMS!BC7</f>
        <v/>
      </c>
      <c r="BD1004">
        <f>X_Platf_WMS!BD7</f>
        <v/>
      </c>
      <c r="BE1004">
        <f>X_Platf_WMS!BE7</f>
        <v/>
      </c>
      <c r="BF1004">
        <f>X_Platf_WMS!BF7</f>
        <v/>
      </c>
      <c r="BG1004">
        <f>X_Platf_WMS!BG7</f>
        <v/>
      </c>
      <c r="BH1004">
        <f>X_Platf_WMS!BH7</f>
        <v/>
      </c>
      <c r="BI1004">
        <f>X_Platf_WMS!BI7</f>
        <v/>
      </c>
      <c r="BJ1004">
        <f>O1004</f>
        <v/>
      </c>
      <c r="BK1004">
        <f>SUM(AG1004:AW1004)</f>
        <v/>
      </c>
      <c r="BL1004" s="531">
        <f>BJ1004-BK1004</f>
        <v/>
      </c>
      <c r="BM1004" s="201" t="n"/>
    </row>
    <row r="1005" hidden="1" outlineLevel="1" s="191">
      <c r="A1005">
        <f>X_Platf_WMS!A8</f>
        <v/>
      </c>
      <c r="B1005">
        <f>X_Platf_WMS!B8</f>
        <v/>
      </c>
      <c r="C1005">
        <f>X_Platf_WMS!C8</f>
        <v/>
      </c>
      <c r="D1005">
        <f>X_Platf_WMS!D8</f>
        <v/>
      </c>
      <c r="E1005">
        <f>X_Platf_WMS!E8</f>
        <v/>
      </c>
      <c r="F1005">
        <f>X_Platf_WMS!F8</f>
        <v/>
      </c>
      <c r="G1005">
        <f>X_Platf_WMS!G8</f>
        <v/>
      </c>
      <c r="H1005">
        <f>X_Platf_WMS!H8</f>
        <v/>
      </c>
      <c r="I1005">
        <f>X_Platf_WMS!I8</f>
        <v/>
      </c>
      <c r="J1005">
        <f>X_Platf_WMS!J8</f>
        <v/>
      </c>
      <c r="K1005" s="672">
        <f>X_Platf_WMS!K8</f>
        <v/>
      </c>
      <c r="L1005" s="672">
        <f>X_Platf_WMS!L8</f>
        <v/>
      </c>
      <c r="M1005">
        <f>X_Platf_WMS!M8</f>
        <v/>
      </c>
      <c r="N1005">
        <f>X_Platf_WMS!N8</f>
        <v/>
      </c>
      <c r="O1005">
        <f>X_Platf_WMS!O8</f>
        <v/>
      </c>
      <c r="P1005" s="628">
        <f>X_Platf_WMS!P8</f>
        <v/>
      </c>
      <c r="Q1005" s="628">
        <f>X_Platf_WMS!Q8</f>
        <v/>
      </c>
      <c r="R1005" s="628">
        <f>X_Platf_WMS!R8</f>
        <v/>
      </c>
      <c r="S1005" s="628">
        <f>X_Platf_WMS!S8</f>
        <v/>
      </c>
      <c r="T1005" s="628">
        <f>X_Platf_WMS!T8</f>
        <v/>
      </c>
      <c r="U1005" s="628">
        <f>X_Platf_WMS!U8</f>
        <v/>
      </c>
      <c r="V1005" s="628">
        <f>X_Platf_WMS!V8</f>
        <v/>
      </c>
      <c r="W1005" s="628">
        <f>X_Platf_WMS!W8</f>
        <v/>
      </c>
      <c r="X1005" s="628">
        <f>X_Platf_WMS!X8</f>
        <v/>
      </c>
      <c r="Y1005" s="650">
        <f>X_Platf_WMS!Y8</f>
        <v/>
      </c>
      <c r="Z1005" s="650">
        <f>X_Platf_WMS!Z8</f>
        <v/>
      </c>
      <c r="AA1005" s="650">
        <f>X_Platf_WMS!AA8</f>
        <v/>
      </c>
      <c r="AB1005" s="650">
        <f>X_Platf_WMS!AB8</f>
        <v/>
      </c>
      <c r="AC1005" s="613">
        <f>X_Platf_WMS!AC8</f>
        <v/>
      </c>
      <c r="AD1005" s="613">
        <f>X_Platf_WMS!AD8</f>
        <v/>
      </c>
      <c r="AE1005" s="613">
        <f>X_Platf_WMS!AE8</f>
        <v/>
      </c>
      <c r="AF1005" s="613">
        <f>X_Platf_WMS!AF8</f>
        <v/>
      </c>
      <c r="AG1005" s="626">
        <f>X_Platf_WMS!AG8</f>
        <v/>
      </c>
      <c r="AH1005" s="626">
        <f>X_Platf_WMS!AH8</f>
        <v/>
      </c>
      <c r="AI1005" s="626">
        <f>X_Platf_WMS!AI8</f>
        <v/>
      </c>
      <c r="AJ1005" s="626">
        <f>X_Platf_WMS!AJ8</f>
        <v/>
      </c>
      <c r="AK1005" s="626">
        <f>X_Platf_WMS!AK8</f>
        <v/>
      </c>
      <c r="AL1005" s="626">
        <f>X_Platf_WMS!AL8</f>
        <v/>
      </c>
      <c r="AM1005" s="626">
        <f>X_Platf_WMS!AM8</f>
        <v/>
      </c>
      <c r="AN1005" s="626">
        <f>X_Platf_WMS!AN8</f>
        <v/>
      </c>
      <c r="AO1005" s="626">
        <f>X_Platf_WMS!AO8</f>
        <v/>
      </c>
      <c r="AP1005" s="369">
        <f>X_Platf_WMS!AP8</f>
        <v/>
      </c>
      <c r="AQ1005" s="369">
        <f>X_Platf_WMS!AQ8</f>
        <v/>
      </c>
      <c r="AR1005" s="369">
        <f>X_Platf_WMS!AR8</f>
        <v/>
      </c>
      <c r="AS1005" s="369">
        <f>X_Platf_WMS!AS8</f>
        <v/>
      </c>
      <c r="AT1005" s="370">
        <f>X_Platf_WMS!AT8</f>
        <v/>
      </c>
      <c r="AU1005" s="370">
        <f>X_Platf_WMS!AU8</f>
        <v/>
      </c>
      <c r="AV1005" s="370">
        <f>X_Platf_WMS!AV8</f>
        <v/>
      </c>
      <c r="AW1005" s="370">
        <f>X_Platf_WMS!AW8</f>
        <v/>
      </c>
      <c r="AX1005">
        <f>X_Platf_WMS!AX8</f>
        <v/>
      </c>
      <c r="AY1005">
        <f>X_Platf_WMS!AY8</f>
        <v/>
      </c>
      <c r="AZ1005">
        <f>X_Platf_WMS!AZ8</f>
        <v/>
      </c>
      <c r="BA1005">
        <f>X_Platf_WMS!BA8</f>
        <v/>
      </c>
      <c r="BB1005">
        <f>X_Platf_WMS!BB8</f>
        <v/>
      </c>
      <c r="BC1005">
        <f>X_Platf_WMS!BC8</f>
        <v/>
      </c>
      <c r="BD1005">
        <f>X_Platf_WMS!BD8</f>
        <v/>
      </c>
      <c r="BE1005">
        <f>X_Platf_WMS!BE8</f>
        <v/>
      </c>
      <c r="BF1005">
        <f>X_Platf_WMS!BF8</f>
        <v/>
      </c>
      <c r="BG1005">
        <f>X_Platf_WMS!BG8</f>
        <v/>
      </c>
      <c r="BH1005">
        <f>X_Platf_WMS!BH8</f>
        <v/>
      </c>
      <c r="BI1005">
        <f>X_Platf_WMS!BI8</f>
        <v/>
      </c>
      <c r="BJ1005">
        <f>O1005</f>
        <v/>
      </c>
      <c r="BK1005">
        <f>SUM(AG1005:AW1005)</f>
        <v/>
      </c>
      <c r="BL1005" s="531">
        <f>BJ1005-BK1005</f>
        <v/>
      </c>
      <c r="BM1005" s="201" t="n"/>
    </row>
    <row r="1006" hidden="1" outlineLevel="1" s="191">
      <c r="A1006">
        <f>X_Platf_WMS!A9</f>
        <v/>
      </c>
      <c r="B1006">
        <f>X_Platf_WMS!B9</f>
        <v/>
      </c>
      <c r="C1006">
        <f>X_Platf_WMS!C9</f>
        <v/>
      </c>
      <c r="D1006">
        <f>X_Platf_WMS!D9</f>
        <v/>
      </c>
      <c r="E1006">
        <f>X_Platf_WMS!E9</f>
        <v/>
      </c>
      <c r="F1006">
        <f>X_Platf_WMS!F9</f>
        <v/>
      </c>
      <c r="G1006">
        <f>X_Platf_WMS!G9</f>
        <v/>
      </c>
      <c r="H1006">
        <f>X_Platf_WMS!H9</f>
        <v/>
      </c>
      <c r="I1006">
        <f>X_Platf_WMS!I9</f>
        <v/>
      </c>
      <c r="J1006">
        <f>X_Platf_WMS!J9</f>
        <v/>
      </c>
      <c r="K1006" s="672">
        <f>X_Platf_WMS!K9</f>
        <v/>
      </c>
      <c r="L1006" s="672">
        <f>X_Platf_WMS!L9</f>
        <v/>
      </c>
      <c r="M1006">
        <f>X_Platf_WMS!M9</f>
        <v/>
      </c>
      <c r="N1006">
        <f>X_Platf_WMS!N9</f>
        <v/>
      </c>
      <c r="O1006">
        <f>X_Platf_WMS!O9</f>
        <v/>
      </c>
      <c r="P1006" s="628">
        <f>X_Platf_WMS!P9</f>
        <v/>
      </c>
      <c r="Q1006" s="628">
        <f>X_Platf_WMS!Q9</f>
        <v/>
      </c>
      <c r="R1006" s="628">
        <f>X_Platf_WMS!R9</f>
        <v/>
      </c>
      <c r="S1006" s="628">
        <f>X_Platf_WMS!S9</f>
        <v/>
      </c>
      <c r="T1006" s="628">
        <f>X_Platf_WMS!T9</f>
        <v/>
      </c>
      <c r="U1006" s="628">
        <f>X_Platf_WMS!U9</f>
        <v/>
      </c>
      <c r="V1006" s="628">
        <f>X_Platf_WMS!V9</f>
        <v/>
      </c>
      <c r="W1006" s="628">
        <f>X_Platf_WMS!W9</f>
        <v/>
      </c>
      <c r="X1006" s="628">
        <f>X_Platf_WMS!X9</f>
        <v/>
      </c>
      <c r="Y1006" s="650">
        <f>X_Platf_WMS!Y9</f>
        <v/>
      </c>
      <c r="Z1006" s="650">
        <f>X_Platf_WMS!Z9</f>
        <v/>
      </c>
      <c r="AA1006" s="650">
        <f>X_Platf_WMS!AA9</f>
        <v/>
      </c>
      <c r="AB1006" s="650">
        <f>X_Platf_WMS!AB9</f>
        <v/>
      </c>
      <c r="AC1006" s="613">
        <f>X_Platf_WMS!AC9</f>
        <v/>
      </c>
      <c r="AD1006" s="613">
        <f>X_Platf_WMS!AD9</f>
        <v/>
      </c>
      <c r="AE1006" s="613">
        <f>X_Platf_WMS!AE9</f>
        <v/>
      </c>
      <c r="AF1006" s="613">
        <f>X_Platf_WMS!AF9</f>
        <v/>
      </c>
      <c r="AG1006" s="626">
        <f>X_Platf_WMS!AG9</f>
        <v/>
      </c>
      <c r="AH1006" s="626">
        <f>X_Platf_WMS!AH9</f>
        <v/>
      </c>
      <c r="AI1006" s="626">
        <f>X_Platf_WMS!AI9</f>
        <v/>
      </c>
      <c r="AJ1006" s="626">
        <f>X_Platf_WMS!AJ9</f>
        <v/>
      </c>
      <c r="AK1006" s="626">
        <f>X_Platf_WMS!AK9</f>
        <v/>
      </c>
      <c r="AL1006" s="626">
        <f>X_Platf_WMS!AL9</f>
        <v/>
      </c>
      <c r="AM1006" s="626">
        <f>X_Platf_WMS!AM9</f>
        <v/>
      </c>
      <c r="AN1006" s="626">
        <f>X_Platf_WMS!AN9</f>
        <v/>
      </c>
      <c r="AO1006" s="626">
        <f>X_Platf_WMS!AO9</f>
        <v/>
      </c>
      <c r="AP1006" s="369">
        <f>X_Platf_WMS!AP9</f>
        <v/>
      </c>
      <c r="AQ1006" s="369">
        <f>X_Platf_WMS!AQ9</f>
        <v/>
      </c>
      <c r="AR1006" s="369">
        <f>X_Platf_WMS!AR9</f>
        <v/>
      </c>
      <c r="AS1006" s="369">
        <f>X_Platf_WMS!AS9</f>
        <v/>
      </c>
      <c r="AT1006" s="370">
        <f>X_Platf_WMS!AT9</f>
        <v/>
      </c>
      <c r="AU1006" s="370">
        <f>X_Platf_WMS!AU9</f>
        <v/>
      </c>
      <c r="AV1006" s="370">
        <f>X_Platf_WMS!AV9</f>
        <v/>
      </c>
      <c r="AW1006" s="370">
        <f>X_Platf_WMS!AW9</f>
        <v/>
      </c>
      <c r="AX1006">
        <f>X_Platf_WMS!AX9</f>
        <v/>
      </c>
      <c r="AY1006">
        <f>X_Platf_WMS!AY9</f>
        <v/>
      </c>
      <c r="AZ1006">
        <f>X_Platf_WMS!AZ9</f>
        <v/>
      </c>
      <c r="BA1006">
        <f>X_Platf_WMS!BA9</f>
        <v/>
      </c>
      <c r="BB1006">
        <f>X_Platf_WMS!BB9</f>
        <v/>
      </c>
      <c r="BC1006">
        <f>X_Platf_WMS!BC9</f>
        <v/>
      </c>
      <c r="BD1006">
        <f>X_Platf_WMS!BD9</f>
        <v/>
      </c>
      <c r="BE1006">
        <f>X_Platf_WMS!BE9</f>
        <v/>
      </c>
      <c r="BF1006">
        <f>X_Platf_WMS!BF9</f>
        <v/>
      </c>
      <c r="BG1006">
        <f>X_Platf_WMS!BG9</f>
        <v/>
      </c>
      <c r="BH1006">
        <f>X_Platf_WMS!BH9</f>
        <v/>
      </c>
      <c r="BI1006">
        <f>X_Platf_WMS!BI9</f>
        <v/>
      </c>
      <c r="BJ1006">
        <f>O1006</f>
        <v/>
      </c>
      <c r="BK1006">
        <f>SUM(AG1006:AW1006)</f>
        <v/>
      </c>
      <c r="BL1006" s="531">
        <f>BJ1006-BK1006</f>
        <v/>
      </c>
      <c r="BM1006" s="201" t="n"/>
    </row>
    <row r="1007" hidden="1" outlineLevel="1" s="191">
      <c r="A1007">
        <f>X_Platf_WMS!A10</f>
        <v/>
      </c>
      <c r="B1007">
        <f>X_Platf_WMS!B10</f>
        <v/>
      </c>
      <c r="C1007">
        <f>X_Platf_WMS!C10</f>
        <v/>
      </c>
      <c r="D1007">
        <f>X_Platf_WMS!D10</f>
        <v/>
      </c>
      <c r="E1007">
        <f>X_Platf_WMS!E10</f>
        <v/>
      </c>
      <c r="F1007">
        <f>X_Platf_WMS!F10</f>
        <v/>
      </c>
      <c r="G1007">
        <f>X_Platf_WMS!G10</f>
        <v/>
      </c>
      <c r="H1007">
        <f>X_Platf_WMS!H10</f>
        <v/>
      </c>
      <c r="I1007">
        <f>X_Platf_WMS!I10</f>
        <v/>
      </c>
      <c r="J1007">
        <f>X_Platf_WMS!J10</f>
        <v/>
      </c>
      <c r="K1007" s="672">
        <f>X_Platf_WMS!K10</f>
        <v/>
      </c>
      <c r="L1007" s="672">
        <f>X_Platf_WMS!L10</f>
        <v/>
      </c>
      <c r="M1007">
        <f>X_Platf_WMS!M10</f>
        <v/>
      </c>
      <c r="N1007">
        <f>X_Platf_WMS!N10</f>
        <v/>
      </c>
      <c r="O1007">
        <f>X_Platf_WMS!O10</f>
        <v/>
      </c>
      <c r="P1007" s="628">
        <f>X_Platf_WMS!P10</f>
        <v/>
      </c>
      <c r="Q1007" s="628">
        <f>X_Platf_WMS!Q10</f>
        <v/>
      </c>
      <c r="R1007" s="628">
        <f>X_Platf_WMS!R10</f>
        <v/>
      </c>
      <c r="S1007" s="628">
        <f>X_Platf_WMS!S10</f>
        <v/>
      </c>
      <c r="T1007" s="628">
        <f>X_Platf_WMS!T10</f>
        <v/>
      </c>
      <c r="U1007" s="628">
        <f>X_Platf_WMS!U10</f>
        <v/>
      </c>
      <c r="V1007" s="628">
        <f>X_Platf_WMS!V10</f>
        <v/>
      </c>
      <c r="W1007" s="628">
        <f>X_Platf_WMS!W10</f>
        <v/>
      </c>
      <c r="X1007" s="628">
        <f>X_Platf_WMS!X10</f>
        <v/>
      </c>
      <c r="Y1007" s="650">
        <f>X_Platf_WMS!Y10</f>
        <v/>
      </c>
      <c r="Z1007" s="650">
        <f>X_Platf_WMS!Z10</f>
        <v/>
      </c>
      <c r="AA1007" s="650">
        <f>X_Platf_WMS!AA10</f>
        <v/>
      </c>
      <c r="AB1007" s="650">
        <f>X_Platf_WMS!AB10</f>
        <v/>
      </c>
      <c r="AC1007" s="613">
        <f>X_Platf_WMS!AC10</f>
        <v/>
      </c>
      <c r="AD1007" s="613">
        <f>X_Platf_WMS!AD10</f>
        <v/>
      </c>
      <c r="AE1007" s="613">
        <f>X_Platf_WMS!AE10</f>
        <v/>
      </c>
      <c r="AF1007" s="613">
        <f>X_Platf_WMS!AF10</f>
        <v/>
      </c>
      <c r="AG1007" s="626">
        <f>X_Platf_WMS!AG10</f>
        <v/>
      </c>
      <c r="AH1007" s="626">
        <f>X_Platf_WMS!AH10</f>
        <v/>
      </c>
      <c r="AI1007" s="626">
        <f>X_Platf_WMS!AI10</f>
        <v/>
      </c>
      <c r="AJ1007" s="626">
        <f>X_Platf_WMS!AJ10</f>
        <v/>
      </c>
      <c r="AK1007" s="626">
        <f>X_Platf_WMS!AK10</f>
        <v/>
      </c>
      <c r="AL1007" s="626">
        <f>X_Platf_WMS!AL10</f>
        <v/>
      </c>
      <c r="AM1007" s="626">
        <f>X_Platf_WMS!AM10</f>
        <v/>
      </c>
      <c r="AN1007" s="626">
        <f>X_Platf_WMS!AN10</f>
        <v/>
      </c>
      <c r="AO1007" s="626">
        <f>X_Platf_WMS!AO10</f>
        <v/>
      </c>
      <c r="AP1007" s="369">
        <f>X_Platf_WMS!AP10</f>
        <v/>
      </c>
      <c r="AQ1007" s="369">
        <f>X_Platf_WMS!AQ10</f>
        <v/>
      </c>
      <c r="AR1007" s="369">
        <f>X_Platf_WMS!AR10</f>
        <v/>
      </c>
      <c r="AS1007" s="369">
        <f>X_Platf_WMS!AS10</f>
        <v/>
      </c>
      <c r="AT1007" s="370">
        <f>X_Platf_WMS!AT10</f>
        <v/>
      </c>
      <c r="AU1007" s="370">
        <f>X_Platf_WMS!AU10</f>
        <v/>
      </c>
      <c r="AV1007" s="370">
        <f>X_Platf_WMS!AV10</f>
        <v/>
      </c>
      <c r="AW1007" s="370">
        <f>X_Platf_WMS!AW10</f>
        <v/>
      </c>
      <c r="AX1007">
        <f>X_Platf_WMS!AX10</f>
        <v/>
      </c>
      <c r="AY1007">
        <f>X_Platf_WMS!AY10</f>
        <v/>
      </c>
      <c r="AZ1007">
        <f>X_Platf_WMS!AZ10</f>
        <v/>
      </c>
      <c r="BA1007">
        <f>X_Platf_WMS!BA10</f>
        <v/>
      </c>
      <c r="BB1007">
        <f>X_Platf_WMS!BB10</f>
        <v/>
      </c>
      <c r="BC1007">
        <f>X_Platf_WMS!BC10</f>
        <v/>
      </c>
      <c r="BD1007">
        <f>X_Platf_WMS!BD10</f>
        <v/>
      </c>
      <c r="BE1007">
        <f>X_Platf_WMS!BE10</f>
        <v/>
      </c>
      <c r="BF1007">
        <f>X_Platf_WMS!BF10</f>
        <v/>
      </c>
      <c r="BG1007">
        <f>X_Platf_WMS!BG10</f>
        <v/>
      </c>
      <c r="BH1007">
        <f>X_Platf_WMS!BH10</f>
        <v/>
      </c>
      <c r="BI1007">
        <f>X_Platf_WMS!BI10</f>
        <v/>
      </c>
      <c r="BJ1007">
        <f>O1007</f>
        <v/>
      </c>
      <c r="BK1007">
        <f>SUM(AG1007:AW1007)</f>
        <v/>
      </c>
      <c r="BL1007" s="531">
        <f>BJ1007-BK1007</f>
        <v/>
      </c>
      <c r="BM1007" s="201" t="n"/>
    </row>
    <row r="1008" hidden="1" outlineLevel="1" s="191">
      <c r="A1008">
        <f>X_Platf_WMS!A11</f>
        <v/>
      </c>
      <c r="B1008">
        <f>X_Platf_WMS!B11</f>
        <v/>
      </c>
      <c r="C1008">
        <f>X_Platf_WMS!C11</f>
        <v/>
      </c>
      <c r="D1008">
        <f>X_Platf_WMS!D11</f>
        <v/>
      </c>
      <c r="E1008">
        <f>X_Platf_WMS!E11</f>
        <v/>
      </c>
      <c r="F1008">
        <f>X_Platf_WMS!F11</f>
        <v/>
      </c>
      <c r="G1008">
        <f>X_Platf_WMS!G11</f>
        <v/>
      </c>
      <c r="H1008">
        <f>X_Platf_WMS!H11</f>
        <v/>
      </c>
      <c r="I1008">
        <f>X_Platf_WMS!I11</f>
        <v/>
      </c>
      <c r="J1008">
        <f>X_Platf_WMS!J11</f>
        <v/>
      </c>
      <c r="K1008" s="672">
        <f>X_Platf_WMS!K11</f>
        <v/>
      </c>
      <c r="L1008" s="672">
        <f>X_Platf_WMS!L11</f>
        <v/>
      </c>
      <c r="M1008">
        <f>X_Platf_WMS!M11</f>
        <v/>
      </c>
      <c r="N1008">
        <f>X_Platf_WMS!N11</f>
        <v/>
      </c>
      <c r="O1008">
        <f>X_Platf_WMS!O11</f>
        <v/>
      </c>
      <c r="P1008" s="628">
        <f>X_Platf_WMS!P11</f>
        <v/>
      </c>
      <c r="Q1008" s="628">
        <f>X_Platf_WMS!Q11</f>
        <v/>
      </c>
      <c r="R1008" s="628">
        <f>X_Platf_WMS!R11</f>
        <v/>
      </c>
      <c r="S1008" s="628">
        <f>X_Platf_WMS!S11</f>
        <v/>
      </c>
      <c r="T1008" s="628">
        <f>X_Platf_WMS!T11</f>
        <v/>
      </c>
      <c r="U1008" s="628">
        <f>X_Platf_WMS!U11</f>
        <v/>
      </c>
      <c r="V1008" s="628">
        <f>X_Platf_WMS!V11</f>
        <v/>
      </c>
      <c r="W1008" s="628">
        <f>X_Platf_WMS!W11</f>
        <v/>
      </c>
      <c r="X1008" s="628">
        <f>X_Platf_WMS!X11</f>
        <v/>
      </c>
      <c r="Y1008" s="650">
        <f>X_Platf_WMS!Y11</f>
        <v/>
      </c>
      <c r="Z1008" s="650">
        <f>X_Platf_WMS!Z11</f>
        <v/>
      </c>
      <c r="AA1008" s="650">
        <f>X_Platf_WMS!AA11</f>
        <v/>
      </c>
      <c r="AB1008" s="650">
        <f>X_Platf_WMS!AB11</f>
        <v/>
      </c>
      <c r="AC1008" s="613">
        <f>X_Platf_WMS!AC11</f>
        <v/>
      </c>
      <c r="AD1008" s="613">
        <f>X_Platf_WMS!AD11</f>
        <v/>
      </c>
      <c r="AE1008" s="613">
        <f>X_Platf_WMS!AE11</f>
        <v/>
      </c>
      <c r="AF1008" s="613">
        <f>X_Platf_WMS!AF11</f>
        <v/>
      </c>
      <c r="AG1008" s="626">
        <f>X_Platf_WMS!AG11</f>
        <v/>
      </c>
      <c r="AH1008" s="626">
        <f>X_Platf_WMS!AH11</f>
        <v/>
      </c>
      <c r="AI1008" s="626">
        <f>X_Platf_WMS!AI11</f>
        <v/>
      </c>
      <c r="AJ1008" s="626">
        <f>X_Platf_WMS!AJ11</f>
        <v/>
      </c>
      <c r="AK1008" s="626">
        <f>X_Platf_WMS!AK11</f>
        <v/>
      </c>
      <c r="AL1008" s="626">
        <f>X_Platf_WMS!AL11</f>
        <v/>
      </c>
      <c r="AM1008" s="626">
        <f>X_Platf_WMS!AM11</f>
        <v/>
      </c>
      <c r="AN1008" s="626">
        <f>X_Platf_WMS!AN11</f>
        <v/>
      </c>
      <c r="AO1008" s="626">
        <f>X_Platf_WMS!AO11</f>
        <v/>
      </c>
      <c r="AP1008" s="369">
        <f>X_Platf_WMS!AP11</f>
        <v/>
      </c>
      <c r="AQ1008" s="369">
        <f>X_Platf_WMS!AQ11</f>
        <v/>
      </c>
      <c r="AR1008" s="369">
        <f>X_Platf_WMS!AR11</f>
        <v/>
      </c>
      <c r="AS1008" s="369">
        <f>X_Platf_WMS!AS11</f>
        <v/>
      </c>
      <c r="AT1008" s="370">
        <f>X_Platf_WMS!AT11</f>
        <v/>
      </c>
      <c r="AU1008" s="370">
        <f>X_Platf_WMS!AU11</f>
        <v/>
      </c>
      <c r="AV1008" s="370">
        <f>X_Platf_WMS!AV11</f>
        <v/>
      </c>
      <c r="AW1008" s="370">
        <f>X_Platf_WMS!AW11</f>
        <v/>
      </c>
      <c r="AX1008">
        <f>X_Platf_WMS!AX11</f>
        <v/>
      </c>
      <c r="AY1008">
        <f>X_Platf_WMS!AY11</f>
        <v/>
      </c>
      <c r="AZ1008">
        <f>X_Platf_WMS!AZ11</f>
        <v/>
      </c>
      <c r="BA1008">
        <f>X_Platf_WMS!BA11</f>
        <v/>
      </c>
      <c r="BB1008">
        <f>X_Platf_WMS!BB11</f>
        <v/>
      </c>
      <c r="BC1008">
        <f>X_Platf_WMS!BC11</f>
        <v/>
      </c>
      <c r="BD1008">
        <f>X_Platf_WMS!BD11</f>
        <v/>
      </c>
      <c r="BE1008">
        <f>X_Platf_WMS!BE11</f>
        <v/>
      </c>
      <c r="BF1008">
        <f>X_Platf_WMS!BF11</f>
        <v/>
      </c>
      <c r="BG1008">
        <f>X_Platf_WMS!BG11</f>
        <v/>
      </c>
      <c r="BH1008">
        <f>X_Platf_WMS!BH11</f>
        <v/>
      </c>
      <c r="BI1008">
        <f>X_Platf_WMS!BI11</f>
        <v/>
      </c>
      <c r="BJ1008">
        <f>O1008</f>
        <v/>
      </c>
      <c r="BK1008">
        <f>SUM(AG1008:AW1008)</f>
        <v/>
      </c>
      <c r="BL1008" s="531">
        <f>BJ1008-BK1008</f>
        <v/>
      </c>
      <c r="BM1008" s="201" t="n"/>
    </row>
    <row r="1009" hidden="1" outlineLevel="1" s="191">
      <c r="A1009">
        <f>X_Platf_WMS!A12</f>
        <v/>
      </c>
      <c r="B1009">
        <f>X_Platf_WMS!B12</f>
        <v/>
      </c>
      <c r="C1009">
        <f>X_Platf_WMS!C12</f>
        <v/>
      </c>
      <c r="D1009">
        <f>X_Platf_WMS!D12</f>
        <v/>
      </c>
      <c r="E1009">
        <f>X_Platf_WMS!E12</f>
        <v/>
      </c>
      <c r="F1009">
        <f>X_Platf_WMS!F12</f>
        <v/>
      </c>
      <c r="G1009">
        <f>X_Platf_WMS!G12</f>
        <v/>
      </c>
      <c r="H1009">
        <f>X_Platf_WMS!H12</f>
        <v/>
      </c>
      <c r="I1009">
        <f>X_Platf_WMS!I12</f>
        <v/>
      </c>
      <c r="J1009">
        <f>X_Platf_WMS!J12</f>
        <v/>
      </c>
      <c r="K1009" s="672">
        <f>X_Platf_WMS!K12</f>
        <v/>
      </c>
      <c r="L1009" s="672">
        <f>X_Platf_WMS!L12</f>
        <v/>
      </c>
      <c r="M1009">
        <f>X_Platf_WMS!M12</f>
        <v/>
      </c>
      <c r="N1009">
        <f>X_Platf_WMS!N12</f>
        <v/>
      </c>
      <c r="O1009">
        <f>X_Platf_WMS!O12</f>
        <v/>
      </c>
      <c r="P1009" s="628">
        <f>X_Platf_WMS!P12</f>
        <v/>
      </c>
      <c r="Q1009" s="628">
        <f>X_Platf_WMS!Q12</f>
        <v/>
      </c>
      <c r="R1009" s="628">
        <f>X_Platf_WMS!R12</f>
        <v/>
      </c>
      <c r="S1009" s="628">
        <f>X_Platf_WMS!S12</f>
        <v/>
      </c>
      <c r="T1009" s="628">
        <f>X_Platf_WMS!T12</f>
        <v/>
      </c>
      <c r="U1009" s="628">
        <f>X_Platf_WMS!U12</f>
        <v/>
      </c>
      <c r="V1009" s="628">
        <f>X_Platf_WMS!V12</f>
        <v/>
      </c>
      <c r="W1009" s="628">
        <f>X_Platf_WMS!W12</f>
        <v/>
      </c>
      <c r="X1009" s="628">
        <f>X_Platf_WMS!X12</f>
        <v/>
      </c>
      <c r="Y1009" s="650">
        <f>X_Platf_WMS!Y12</f>
        <v/>
      </c>
      <c r="Z1009" s="650">
        <f>X_Platf_WMS!Z12</f>
        <v/>
      </c>
      <c r="AA1009" s="650">
        <f>X_Platf_WMS!AA12</f>
        <v/>
      </c>
      <c r="AB1009" s="650">
        <f>X_Platf_WMS!AB12</f>
        <v/>
      </c>
      <c r="AC1009" s="613">
        <f>X_Platf_WMS!AC12</f>
        <v/>
      </c>
      <c r="AD1009" s="613">
        <f>X_Platf_WMS!AD12</f>
        <v/>
      </c>
      <c r="AE1009" s="613">
        <f>X_Platf_WMS!AE12</f>
        <v/>
      </c>
      <c r="AF1009" s="613">
        <f>X_Platf_WMS!AF12</f>
        <v/>
      </c>
      <c r="AG1009" s="626">
        <f>X_Platf_WMS!AG12</f>
        <v/>
      </c>
      <c r="AH1009" s="626">
        <f>X_Platf_WMS!AH12</f>
        <v/>
      </c>
      <c r="AI1009" s="626">
        <f>X_Platf_WMS!AI12</f>
        <v/>
      </c>
      <c r="AJ1009" s="626">
        <f>X_Platf_WMS!AJ12</f>
        <v/>
      </c>
      <c r="AK1009" s="626">
        <f>X_Platf_WMS!AK12</f>
        <v/>
      </c>
      <c r="AL1009" s="626">
        <f>X_Platf_WMS!AL12</f>
        <v/>
      </c>
      <c r="AM1009" s="626">
        <f>X_Platf_WMS!AM12</f>
        <v/>
      </c>
      <c r="AN1009" s="626">
        <f>X_Platf_WMS!AN12</f>
        <v/>
      </c>
      <c r="AO1009" s="626">
        <f>X_Platf_WMS!AO12</f>
        <v/>
      </c>
      <c r="AP1009" s="369">
        <f>X_Platf_WMS!AP12</f>
        <v/>
      </c>
      <c r="AQ1009" s="369">
        <f>X_Platf_WMS!AQ12</f>
        <v/>
      </c>
      <c r="AR1009" s="369">
        <f>X_Platf_WMS!AR12</f>
        <v/>
      </c>
      <c r="AS1009" s="369">
        <f>X_Platf_WMS!AS12</f>
        <v/>
      </c>
      <c r="AT1009" s="370">
        <f>X_Platf_WMS!AT12</f>
        <v/>
      </c>
      <c r="AU1009" s="370">
        <f>X_Platf_WMS!AU12</f>
        <v/>
      </c>
      <c r="AV1009" s="370">
        <f>X_Platf_WMS!AV12</f>
        <v/>
      </c>
      <c r="AW1009" s="370">
        <f>X_Platf_WMS!AW12</f>
        <v/>
      </c>
      <c r="AX1009">
        <f>X_Platf_WMS!AX12</f>
        <v/>
      </c>
      <c r="AY1009">
        <f>X_Platf_WMS!AY12</f>
        <v/>
      </c>
      <c r="AZ1009">
        <f>X_Platf_WMS!AZ12</f>
        <v/>
      </c>
      <c r="BA1009">
        <f>X_Platf_WMS!BA12</f>
        <v/>
      </c>
      <c r="BB1009">
        <f>X_Platf_WMS!BB12</f>
        <v/>
      </c>
      <c r="BC1009">
        <f>X_Platf_WMS!BC12</f>
        <v/>
      </c>
      <c r="BD1009">
        <f>X_Platf_WMS!BD12</f>
        <v/>
      </c>
      <c r="BE1009">
        <f>X_Platf_WMS!BE12</f>
        <v/>
      </c>
      <c r="BF1009">
        <f>X_Platf_WMS!BF12</f>
        <v/>
      </c>
      <c r="BG1009">
        <f>X_Platf_WMS!BG12</f>
        <v/>
      </c>
      <c r="BH1009">
        <f>X_Platf_WMS!BH12</f>
        <v/>
      </c>
      <c r="BI1009">
        <f>X_Platf_WMS!BI12</f>
        <v/>
      </c>
      <c r="BJ1009">
        <f>O1009</f>
        <v/>
      </c>
      <c r="BK1009">
        <f>SUM(AG1009:AW1009)</f>
        <v/>
      </c>
      <c r="BL1009" s="531">
        <f>BJ1009-BK1009</f>
        <v/>
      </c>
      <c r="BM1009" s="201" t="n"/>
    </row>
    <row r="1010" hidden="1" outlineLevel="1" s="191">
      <c r="A1010">
        <f>X_Platf_WMS!A13</f>
        <v/>
      </c>
      <c r="B1010">
        <f>X_Platf_WMS!B13</f>
        <v/>
      </c>
      <c r="C1010">
        <f>X_Platf_WMS!C13</f>
        <v/>
      </c>
      <c r="D1010">
        <f>X_Platf_WMS!D13</f>
        <v/>
      </c>
      <c r="E1010">
        <f>X_Platf_WMS!E13</f>
        <v/>
      </c>
      <c r="F1010">
        <f>X_Platf_WMS!F13</f>
        <v/>
      </c>
      <c r="G1010">
        <f>X_Platf_WMS!G13</f>
        <v/>
      </c>
      <c r="H1010">
        <f>X_Platf_WMS!H13</f>
        <v/>
      </c>
      <c r="I1010">
        <f>X_Platf_WMS!I13</f>
        <v/>
      </c>
      <c r="J1010">
        <f>X_Platf_WMS!J13</f>
        <v/>
      </c>
      <c r="K1010" s="672">
        <f>X_Platf_WMS!K13</f>
        <v/>
      </c>
      <c r="L1010" s="672">
        <f>X_Platf_WMS!L13</f>
        <v/>
      </c>
      <c r="M1010">
        <f>X_Platf_WMS!M13</f>
        <v/>
      </c>
      <c r="N1010">
        <f>X_Platf_WMS!N13</f>
        <v/>
      </c>
      <c r="O1010">
        <f>X_Platf_WMS!O13</f>
        <v/>
      </c>
      <c r="P1010" s="628">
        <f>X_Platf_WMS!P13</f>
        <v/>
      </c>
      <c r="Q1010" s="628">
        <f>X_Platf_WMS!Q13</f>
        <v/>
      </c>
      <c r="R1010" s="628">
        <f>X_Platf_WMS!R13</f>
        <v/>
      </c>
      <c r="S1010" s="628">
        <f>X_Platf_WMS!S13</f>
        <v/>
      </c>
      <c r="T1010" s="628">
        <f>X_Platf_WMS!T13</f>
        <v/>
      </c>
      <c r="U1010" s="628">
        <f>X_Platf_WMS!U13</f>
        <v/>
      </c>
      <c r="V1010" s="628">
        <f>X_Platf_WMS!V13</f>
        <v/>
      </c>
      <c r="W1010" s="628">
        <f>X_Platf_WMS!W13</f>
        <v/>
      </c>
      <c r="X1010" s="628">
        <f>X_Platf_WMS!X13</f>
        <v/>
      </c>
      <c r="Y1010" s="650">
        <f>X_Platf_WMS!Y13</f>
        <v/>
      </c>
      <c r="Z1010" s="650">
        <f>X_Platf_WMS!Z13</f>
        <v/>
      </c>
      <c r="AA1010" s="650">
        <f>X_Platf_WMS!AA13</f>
        <v/>
      </c>
      <c r="AB1010" s="650">
        <f>X_Platf_WMS!AB13</f>
        <v/>
      </c>
      <c r="AC1010" s="613">
        <f>X_Platf_WMS!AC13</f>
        <v/>
      </c>
      <c r="AD1010" s="613">
        <f>X_Platf_WMS!AD13</f>
        <v/>
      </c>
      <c r="AE1010" s="613">
        <f>X_Platf_WMS!AE13</f>
        <v/>
      </c>
      <c r="AF1010" s="613">
        <f>X_Platf_WMS!AF13</f>
        <v/>
      </c>
      <c r="AG1010" s="626">
        <f>X_Platf_WMS!AG13</f>
        <v/>
      </c>
      <c r="AH1010" s="626">
        <f>X_Platf_WMS!AH13</f>
        <v/>
      </c>
      <c r="AI1010" s="626">
        <f>X_Platf_WMS!AI13</f>
        <v/>
      </c>
      <c r="AJ1010" s="626">
        <f>X_Platf_WMS!AJ13</f>
        <v/>
      </c>
      <c r="AK1010" s="626">
        <f>X_Platf_WMS!AK13</f>
        <v/>
      </c>
      <c r="AL1010" s="626">
        <f>X_Platf_WMS!AL13</f>
        <v/>
      </c>
      <c r="AM1010" s="626">
        <f>X_Platf_WMS!AM13</f>
        <v/>
      </c>
      <c r="AN1010" s="626">
        <f>X_Platf_WMS!AN13</f>
        <v/>
      </c>
      <c r="AO1010" s="626">
        <f>X_Platf_WMS!AO13</f>
        <v/>
      </c>
      <c r="AP1010" s="369">
        <f>X_Platf_WMS!AP13</f>
        <v/>
      </c>
      <c r="AQ1010" s="369">
        <f>X_Platf_WMS!AQ13</f>
        <v/>
      </c>
      <c r="AR1010" s="369">
        <f>X_Platf_WMS!AR13</f>
        <v/>
      </c>
      <c r="AS1010" s="369">
        <f>X_Platf_WMS!AS13</f>
        <v/>
      </c>
      <c r="AT1010" s="370">
        <f>X_Platf_WMS!AT13</f>
        <v/>
      </c>
      <c r="AU1010" s="370">
        <f>X_Platf_WMS!AU13</f>
        <v/>
      </c>
      <c r="AV1010" s="370">
        <f>X_Platf_WMS!AV13</f>
        <v/>
      </c>
      <c r="AW1010" s="370">
        <f>X_Platf_WMS!AW13</f>
        <v/>
      </c>
      <c r="AX1010">
        <f>X_Platf_WMS!AX13</f>
        <v/>
      </c>
      <c r="AY1010">
        <f>X_Platf_WMS!AY13</f>
        <v/>
      </c>
      <c r="AZ1010">
        <f>X_Platf_WMS!AZ13</f>
        <v/>
      </c>
      <c r="BA1010">
        <f>X_Platf_WMS!BA13</f>
        <v/>
      </c>
      <c r="BB1010">
        <f>X_Platf_WMS!BB13</f>
        <v/>
      </c>
      <c r="BC1010">
        <f>X_Platf_WMS!BC13</f>
        <v/>
      </c>
      <c r="BD1010">
        <f>X_Platf_WMS!BD13</f>
        <v/>
      </c>
      <c r="BE1010">
        <f>X_Platf_WMS!BE13</f>
        <v/>
      </c>
      <c r="BF1010">
        <f>X_Platf_WMS!BF13</f>
        <v/>
      </c>
      <c r="BG1010">
        <f>X_Platf_WMS!BG13</f>
        <v/>
      </c>
      <c r="BH1010">
        <f>X_Platf_WMS!BH13</f>
        <v/>
      </c>
      <c r="BI1010">
        <f>X_Platf_WMS!BI13</f>
        <v/>
      </c>
      <c r="BJ1010">
        <f>O1010</f>
        <v/>
      </c>
      <c r="BK1010">
        <f>SUM(AG1010:AW1010)</f>
        <v/>
      </c>
      <c r="BL1010" s="531">
        <f>BJ1010-BK1010</f>
        <v/>
      </c>
      <c r="BM1010" s="201" t="n"/>
    </row>
    <row r="1011" hidden="1" outlineLevel="1" s="191">
      <c r="A1011">
        <f>X_Platf_WMS!A14</f>
        <v/>
      </c>
      <c r="B1011">
        <f>X_Platf_WMS!B14</f>
        <v/>
      </c>
      <c r="C1011">
        <f>X_Platf_WMS!C14</f>
        <v/>
      </c>
      <c r="D1011">
        <f>X_Platf_WMS!D14</f>
        <v/>
      </c>
      <c r="E1011">
        <f>X_Platf_WMS!E14</f>
        <v/>
      </c>
      <c r="F1011">
        <f>X_Platf_WMS!F14</f>
        <v/>
      </c>
      <c r="G1011">
        <f>X_Platf_WMS!G14</f>
        <v/>
      </c>
      <c r="H1011">
        <f>X_Platf_WMS!H14</f>
        <v/>
      </c>
      <c r="I1011">
        <f>X_Platf_WMS!I14</f>
        <v/>
      </c>
      <c r="J1011">
        <f>X_Platf_WMS!J14</f>
        <v/>
      </c>
      <c r="K1011" s="672">
        <f>X_Platf_WMS!K14</f>
        <v/>
      </c>
      <c r="L1011" s="672">
        <f>X_Platf_WMS!L14</f>
        <v/>
      </c>
      <c r="M1011">
        <f>X_Platf_WMS!M14</f>
        <v/>
      </c>
      <c r="N1011">
        <f>X_Platf_WMS!N14</f>
        <v/>
      </c>
      <c r="O1011">
        <f>X_Platf_WMS!O14</f>
        <v/>
      </c>
      <c r="P1011" s="628">
        <f>X_Platf_WMS!P14</f>
        <v/>
      </c>
      <c r="Q1011" s="628">
        <f>X_Platf_WMS!Q14</f>
        <v/>
      </c>
      <c r="R1011" s="628">
        <f>X_Platf_WMS!R14</f>
        <v/>
      </c>
      <c r="S1011" s="628">
        <f>X_Platf_WMS!S14</f>
        <v/>
      </c>
      <c r="T1011" s="628">
        <f>X_Platf_WMS!T14</f>
        <v/>
      </c>
      <c r="U1011" s="628">
        <f>X_Platf_WMS!U14</f>
        <v/>
      </c>
      <c r="V1011" s="628">
        <f>X_Platf_WMS!V14</f>
        <v/>
      </c>
      <c r="W1011" s="628">
        <f>X_Platf_WMS!W14</f>
        <v/>
      </c>
      <c r="X1011" s="628">
        <f>X_Platf_WMS!X14</f>
        <v/>
      </c>
      <c r="Y1011" s="650">
        <f>X_Platf_WMS!Y14</f>
        <v/>
      </c>
      <c r="Z1011" s="650">
        <f>X_Platf_WMS!Z14</f>
        <v/>
      </c>
      <c r="AA1011" s="650">
        <f>X_Platf_WMS!AA14</f>
        <v/>
      </c>
      <c r="AB1011" s="650">
        <f>X_Platf_WMS!AB14</f>
        <v/>
      </c>
      <c r="AC1011" s="613">
        <f>X_Platf_WMS!AC14</f>
        <v/>
      </c>
      <c r="AD1011" s="613">
        <f>X_Platf_WMS!AD14</f>
        <v/>
      </c>
      <c r="AE1011" s="613">
        <f>X_Platf_WMS!AE14</f>
        <v/>
      </c>
      <c r="AF1011" s="613">
        <f>X_Platf_WMS!AF14</f>
        <v/>
      </c>
      <c r="AG1011" s="626">
        <f>X_Platf_WMS!AG14</f>
        <v/>
      </c>
      <c r="AH1011" s="626">
        <f>X_Platf_WMS!AH14</f>
        <v/>
      </c>
      <c r="AI1011" s="626">
        <f>X_Platf_WMS!AI14</f>
        <v/>
      </c>
      <c r="AJ1011" s="626">
        <f>X_Platf_WMS!AJ14</f>
        <v/>
      </c>
      <c r="AK1011" s="626">
        <f>X_Platf_WMS!AK14</f>
        <v/>
      </c>
      <c r="AL1011" s="626">
        <f>X_Platf_WMS!AL14</f>
        <v/>
      </c>
      <c r="AM1011" s="626">
        <f>X_Platf_WMS!AM14</f>
        <v/>
      </c>
      <c r="AN1011" s="626">
        <f>X_Platf_WMS!AN14</f>
        <v/>
      </c>
      <c r="AO1011" s="626">
        <f>X_Platf_WMS!AO14</f>
        <v/>
      </c>
      <c r="AP1011" s="369">
        <f>X_Platf_WMS!AP14</f>
        <v/>
      </c>
      <c r="AQ1011" s="369">
        <f>X_Platf_WMS!AQ14</f>
        <v/>
      </c>
      <c r="AR1011" s="369">
        <f>X_Platf_WMS!AR14</f>
        <v/>
      </c>
      <c r="AS1011" s="369">
        <f>X_Platf_WMS!AS14</f>
        <v/>
      </c>
      <c r="AT1011" s="370">
        <f>X_Platf_WMS!AT14</f>
        <v/>
      </c>
      <c r="AU1011" s="370">
        <f>X_Platf_WMS!AU14</f>
        <v/>
      </c>
      <c r="AV1011" s="370">
        <f>X_Platf_WMS!AV14</f>
        <v/>
      </c>
      <c r="AW1011" s="370">
        <f>X_Platf_WMS!AW14</f>
        <v/>
      </c>
      <c r="AX1011">
        <f>X_Platf_WMS!AX14</f>
        <v/>
      </c>
      <c r="AY1011">
        <f>X_Platf_WMS!AY14</f>
        <v/>
      </c>
      <c r="AZ1011">
        <f>X_Platf_WMS!AZ14</f>
        <v/>
      </c>
      <c r="BA1011">
        <f>X_Platf_WMS!BA14</f>
        <v/>
      </c>
      <c r="BB1011">
        <f>X_Platf_WMS!BB14</f>
        <v/>
      </c>
      <c r="BC1011">
        <f>X_Platf_WMS!BC14</f>
        <v/>
      </c>
      <c r="BD1011">
        <f>X_Platf_WMS!BD14</f>
        <v/>
      </c>
      <c r="BE1011">
        <f>X_Platf_WMS!BE14</f>
        <v/>
      </c>
      <c r="BF1011">
        <f>X_Platf_WMS!BF14</f>
        <v/>
      </c>
      <c r="BG1011">
        <f>X_Platf_WMS!BG14</f>
        <v/>
      </c>
      <c r="BH1011">
        <f>X_Platf_WMS!BH14</f>
        <v/>
      </c>
      <c r="BI1011">
        <f>X_Platf_WMS!BI14</f>
        <v/>
      </c>
      <c r="BJ1011">
        <f>O1011</f>
        <v/>
      </c>
      <c r="BK1011">
        <f>SUM(AG1011:AW1011)</f>
        <v/>
      </c>
      <c r="BL1011" s="531">
        <f>BJ1011-BK1011</f>
        <v/>
      </c>
      <c r="BM1011" s="201" t="n"/>
    </row>
    <row r="1012" hidden="1" outlineLevel="1" s="191">
      <c r="A1012">
        <f>X_Platf_WMS!A15</f>
        <v/>
      </c>
      <c r="B1012">
        <f>X_Platf_WMS!B15</f>
        <v/>
      </c>
      <c r="C1012">
        <f>X_Platf_WMS!C15</f>
        <v/>
      </c>
      <c r="D1012">
        <f>X_Platf_WMS!D15</f>
        <v/>
      </c>
      <c r="E1012">
        <f>X_Platf_WMS!E15</f>
        <v/>
      </c>
      <c r="F1012">
        <f>X_Platf_WMS!F15</f>
        <v/>
      </c>
      <c r="G1012">
        <f>X_Platf_WMS!G15</f>
        <v/>
      </c>
      <c r="H1012">
        <f>X_Platf_WMS!H15</f>
        <v/>
      </c>
      <c r="I1012">
        <f>X_Platf_WMS!I15</f>
        <v/>
      </c>
      <c r="J1012">
        <f>X_Platf_WMS!J15</f>
        <v/>
      </c>
      <c r="K1012" s="672">
        <f>X_Platf_WMS!K15</f>
        <v/>
      </c>
      <c r="L1012" s="672">
        <f>X_Platf_WMS!L15</f>
        <v/>
      </c>
      <c r="M1012">
        <f>X_Platf_WMS!M15</f>
        <v/>
      </c>
      <c r="N1012">
        <f>X_Platf_WMS!N15</f>
        <v/>
      </c>
      <c r="O1012">
        <f>X_Platf_WMS!O15</f>
        <v/>
      </c>
      <c r="P1012" s="628">
        <f>X_Platf_WMS!P15</f>
        <v/>
      </c>
      <c r="Q1012" s="628">
        <f>X_Platf_WMS!Q15</f>
        <v/>
      </c>
      <c r="R1012" s="628">
        <f>X_Platf_WMS!R15</f>
        <v/>
      </c>
      <c r="S1012" s="628">
        <f>X_Platf_WMS!S15</f>
        <v/>
      </c>
      <c r="T1012" s="628">
        <f>X_Platf_WMS!T15</f>
        <v/>
      </c>
      <c r="U1012" s="628">
        <f>X_Platf_WMS!U15</f>
        <v/>
      </c>
      <c r="V1012" s="628">
        <f>X_Platf_WMS!V15</f>
        <v/>
      </c>
      <c r="W1012" s="628">
        <f>X_Platf_WMS!W15</f>
        <v/>
      </c>
      <c r="X1012" s="628">
        <f>X_Platf_WMS!X15</f>
        <v/>
      </c>
      <c r="Y1012" s="650">
        <f>X_Platf_WMS!Y15</f>
        <v/>
      </c>
      <c r="Z1012" s="650">
        <f>X_Platf_WMS!Z15</f>
        <v/>
      </c>
      <c r="AA1012" s="650">
        <f>X_Platf_WMS!AA15</f>
        <v/>
      </c>
      <c r="AB1012" s="650">
        <f>X_Platf_WMS!AB15</f>
        <v/>
      </c>
      <c r="AC1012" s="613">
        <f>X_Platf_WMS!AC15</f>
        <v/>
      </c>
      <c r="AD1012" s="613">
        <f>X_Platf_WMS!AD15</f>
        <v/>
      </c>
      <c r="AE1012" s="613">
        <f>X_Platf_WMS!AE15</f>
        <v/>
      </c>
      <c r="AF1012" s="613">
        <f>X_Platf_WMS!AF15</f>
        <v/>
      </c>
      <c r="AG1012" s="626">
        <f>X_Platf_WMS!AG15</f>
        <v/>
      </c>
      <c r="AH1012" s="626">
        <f>X_Platf_WMS!AH15</f>
        <v/>
      </c>
      <c r="AI1012" s="626">
        <f>X_Platf_WMS!AI15</f>
        <v/>
      </c>
      <c r="AJ1012" s="626">
        <f>X_Platf_WMS!AJ15</f>
        <v/>
      </c>
      <c r="AK1012" s="626">
        <f>X_Platf_WMS!AK15</f>
        <v/>
      </c>
      <c r="AL1012" s="626">
        <f>X_Platf_WMS!AL15</f>
        <v/>
      </c>
      <c r="AM1012" s="626">
        <f>X_Platf_WMS!AM15</f>
        <v/>
      </c>
      <c r="AN1012" s="626">
        <f>X_Platf_WMS!AN15</f>
        <v/>
      </c>
      <c r="AO1012" s="626">
        <f>X_Platf_WMS!AO15</f>
        <v/>
      </c>
      <c r="AP1012" s="369">
        <f>X_Platf_WMS!AP15</f>
        <v/>
      </c>
      <c r="AQ1012" s="369">
        <f>X_Platf_WMS!AQ15</f>
        <v/>
      </c>
      <c r="AR1012" s="369">
        <f>X_Platf_WMS!AR15</f>
        <v/>
      </c>
      <c r="AS1012" s="369">
        <f>X_Platf_WMS!AS15</f>
        <v/>
      </c>
      <c r="AT1012" s="370">
        <f>X_Platf_WMS!AT15</f>
        <v/>
      </c>
      <c r="AU1012" s="370">
        <f>X_Platf_WMS!AU15</f>
        <v/>
      </c>
      <c r="AV1012" s="370">
        <f>X_Platf_WMS!AV15</f>
        <v/>
      </c>
      <c r="AW1012" s="370">
        <f>X_Platf_WMS!AW15</f>
        <v/>
      </c>
      <c r="AX1012">
        <f>X_Platf_WMS!AX15</f>
        <v/>
      </c>
      <c r="AY1012">
        <f>X_Platf_WMS!AY15</f>
        <v/>
      </c>
      <c r="AZ1012">
        <f>X_Platf_WMS!AZ15</f>
        <v/>
      </c>
      <c r="BA1012">
        <f>X_Platf_WMS!BA15</f>
        <v/>
      </c>
      <c r="BB1012">
        <f>X_Platf_WMS!BB15</f>
        <v/>
      </c>
      <c r="BC1012">
        <f>X_Platf_WMS!BC15</f>
        <v/>
      </c>
      <c r="BD1012">
        <f>X_Platf_WMS!BD15</f>
        <v/>
      </c>
      <c r="BE1012">
        <f>X_Platf_WMS!BE15</f>
        <v/>
      </c>
      <c r="BF1012">
        <f>X_Platf_WMS!BF15</f>
        <v/>
      </c>
      <c r="BG1012">
        <f>X_Platf_WMS!BG15</f>
        <v/>
      </c>
      <c r="BH1012">
        <f>X_Platf_WMS!BH15</f>
        <v/>
      </c>
      <c r="BI1012">
        <f>X_Platf_WMS!BI15</f>
        <v/>
      </c>
      <c r="BJ1012">
        <f>O1012</f>
        <v/>
      </c>
      <c r="BK1012">
        <f>SUM(AG1012:AW1012)</f>
        <v/>
      </c>
      <c r="BL1012" s="531">
        <f>BJ1012-BK1012</f>
        <v/>
      </c>
      <c r="BM1012" s="201" t="n"/>
    </row>
    <row r="1013" hidden="1" outlineLevel="1" s="191">
      <c r="A1013">
        <f>X_Platf_WMS!A16</f>
        <v/>
      </c>
      <c r="B1013">
        <f>X_Platf_WMS!B16</f>
        <v/>
      </c>
      <c r="C1013">
        <f>X_Platf_WMS!C16</f>
        <v/>
      </c>
      <c r="D1013">
        <f>X_Platf_WMS!D16</f>
        <v/>
      </c>
      <c r="E1013">
        <f>X_Platf_WMS!E16</f>
        <v/>
      </c>
      <c r="F1013">
        <f>X_Platf_WMS!F16</f>
        <v/>
      </c>
      <c r="G1013">
        <f>X_Platf_WMS!G16</f>
        <v/>
      </c>
      <c r="H1013">
        <f>X_Platf_WMS!H16</f>
        <v/>
      </c>
      <c r="I1013">
        <f>X_Platf_WMS!I16</f>
        <v/>
      </c>
      <c r="J1013">
        <f>X_Platf_WMS!J16</f>
        <v/>
      </c>
      <c r="K1013" s="672">
        <f>X_Platf_WMS!K16</f>
        <v/>
      </c>
      <c r="L1013" s="672">
        <f>X_Platf_WMS!L16</f>
        <v/>
      </c>
      <c r="M1013">
        <f>X_Platf_WMS!M16</f>
        <v/>
      </c>
      <c r="N1013">
        <f>X_Platf_WMS!N16</f>
        <v/>
      </c>
      <c r="O1013">
        <f>X_Platf_WMS!O16</f>
        <v/>
      </c>
      <c r="P1013" s="628">
        <f>X_Platf_WMS!P16</f>
        <v/>
      </c>
      <c r="Q1013" s="628">
        <f>X_Platf_WMS!Q16</f>
        <v/>
      </c>
      <c r="R1013" s="628">
        <f>X_Platf_WMS!R16</f>
        <v/>
      </c>
      <c r="S1013" s="628">
        <f>X_Platf_WMS!S16</f>
        <v/>
      </c>
      <c r="T1013" s="628">
        <f>X_Platf_WMS!T16</f>
        <v/>
      </c>
      <c r="U1013" s="628">
        <f>X_Platf_WMS!U16</f>
        <v/>
      </c>
      <c r="V1013" s="628">
        <f>X_Platf_WMS!V16</f>
        <v/>
      </c>
      <c r="W1013" s="628">
        <f>X_Platf_WMS!W16</f>
        <v/>
      </c>
      <c r="X1013" s="628">
        <f>X_Platf_WMS!X16</f>
        <v/>
      </c>
      <c r="Y1013" s="650">
        <f>X_Platf_WMS!Y16</f>
        <v/>
      </c>
      <c r="Z1013" s="650">
        <f>X_Platf_WMS!Z16</f>
        <v/>
      </c>
      <c r="AA1013" s="650">
        <f>X_Platf_WMS!AA16</f>
        <v/>
      </c>
      <c r="AB1013" s="650">
        <f>X_Platf_WMS!AB16</f>
        <v/>
      </c>
      <c r="AC1013" s="613">
        <f>X_Platf_WMS!AC16</f>
        <v/>
      </c>
      <c r="AD1013" s="613">
        <f>X_Platf_WMS!AD16</f>
        <v/>
      </c>
      <c r="AE1013" s="613">
        <f>X_Platf_WMS!AE16</f>
        <v/>
      </c>
      <c r="AF1013" s="613">
        <f>X_Platf_WMS!AF16</f>
        <v/>
      </c>
      <c r="AG1013" s="626">
        <f>X_Platf_WMS!AG16</f>
        <v/>
      </c>
      <c r="AH1013" s="626">
        <f>X_Platf_WMS!AH16</f>
        <v/>
      </c>
      <c r="AI1013" s="626">
        <f>X_Platf_WMS!AI16</f>
        <v/>
      </c>
      <c r="AJ1013" s="626">
        <f>X_Platf_WMS!AJ16</f>
        <v/>
      </c>
      <c r="AK1013" s="626">
        <f>X_Platf_WMS!AK16</f>
        <v/>
      </c>
      <c r="AL1013" s="626">
        <f>X_Platf_WMS!AL16</f>
        <v/>
      </c>
      <c r="AM1013" s="626">
        <f>X_Platf_WMS!AM16</f>
        <v/>
      </c>
      <c r="AN1013" s="626">
        <f>X_Platf_WMS!AN16</f>
        <v/>
      </c>
      <c r="AO1013" s="626">
        <f>X_Platf_WMS!AO16</f>
        <v/>
      </c>
      <c r="AP1013" s="369">
        <f>X_Platf_WMS!AP16</f>
        <v/>
      </c>
      <c r="AQ1013" s="369">
        <f>X_Platf_WMS!AQ16</f>
        <v/>
      </c>
      <c r="AR1013" s="369">
        <f>X_Platf_WMS!AR16</f>
        <v/>
      </c>
      <c r="AS1013" s="369">
        <f>X_Platf_WMS!AS16</f>
        <v/>
      </c>
      <c r="AT1013" s="370">
        <f>X_Platf_WMS!AT16</f>
        <v/>
      </c>
      <c r="AU1013" s="370">
        <f>X_Platf_WMS!AU16</f>
        <v/>
      </c>
      <c r="AV1013" s="370">
        <f>X_Platf_WMS!AV16</f>
        <v/>
      </c>
      <c r="AW1013" s="370">
        <f>X_Platf_WMS!AW16</f>
        <v/>
      </c>
      <c r="AX1013">
        <f>X_Platf_WMS!AX16</f>
        <v/>
      </c>
      <c r="AY1013">
        <f>X_Platf_WMS!AY16</f>
        <v/>
      </c>
      <c r="AZ1013">
        <f>X_Platf_WMS!AZ16</f>
        <v/>
      </c>
      <c r="BA1013">
        <f>X_Platf_WMS!BA16</f>
        <v/>
      </c>
      <c r="BB1013">
        <f>X_Platf_WMS!BB16</f>
        <v/>
      </c>
      <c r="BC1013">
        <f>X_Platf_WMS!BC16</f>
        <v/>
      </c>
      <c r="BD1013">
        <f>X_Platf_WMS!BD16</f>
        <v/>
      </c>
      <c r="BE1013">
        <f>X_Platf_WMS!BE16</f>
        <v/>
      </c>
      <c r="BF1013">
        <f>X_Platf_WMS!BF16</f>
        <v/>
      </c>
      <c r="BG1013">
        <f>X_Platf_WMS!BG16</f>
        <v/>
      </c>
      <c r="BH1013">
        <f>X_Platf_WMS!BH16</f>
        <v/>
      </c>
      <c r="BI1013">
        <f>X_Platf_WMS!BI16</f>
        <v/>
      </c>
      <c r="BJ1013">
        <f>O1013</f>
        <v/>
      </c>
      <c r="BK1013">
        <f>SUM(AG1013:AW1013)</f>
        <v/>
      </c>
      <c r="BL1013" s="531">
        <f>BJ1013-BK1013</f>
        <v/>
      </c>
      <c r="BM1013" s="201" t="n"/>
    </row>
    <row r="1014" hidden="1" outlineLevel="1" s="191">
      <c r="A1014">
        <f>X_Platf_WMS!A17</f>
        <v/>
      </c>
      <c r="B1014">
        <f>X_Platf_WMS!B17</f>
        <v/>
      </c>
      <c r="C1014">
        <f>X_Platf_WMS!C17</f>
        <v/>
      </c>
      <c r="D1014">
        <f>X_Platf_WMS!D17</f>
        <v/>
      </c>
      <c r="E1014">
        <f>X_Platf_WMS!E17</f>
        <v/>
      </c>
      <c r="F1014">
        <f>X_Platf_WMS!F17</f>
        <v/>
      </c>
      <c r="G1014">
        <f>X_Platf_WMS!G17</f>
        <v/>
      </c>
      <c r="H1014">
        <f>X_Platf_WMS!H17</f>
        <v/>
      </c>
      <c r="I1014">
        <f>X_Platf_WMS!I17</f>
        <v/>
      </c>
      <c r="J1014">
        <f>X_Platf_WMS!J17</f>
        <v/>
      </c>
      <c r="K1014" s="672">
        <f>X_Platf_WMS!K17</f>
        <v/>
      </c>
      <c r="L1014" s="672">
        <f>X_Platf_WMS!L17</f>
        <v/>
      </c>
      <c r="M1014">
        <f>X_Platf_WMS!M17</f>
        <v/>
      </c>
      <c r="N1014">
        <f>X_Platf_WMS!N17</f>
        <v/>
      </c>
      <c r="O1014">
        <f>X_Platf_WMS!O17</f>
        <v/>
      </c>
      <c r="P1014" s="628">
        <f>X_Platf_WMS!P17</f>
        <v/>
      </c>
      <c r="Q1014" s="628">
        <f>X_Platf_WMS!Q17</f>
        <v/>
      </c>
      <c r="R1014" s="628">
        <f>X_Platf_WMS!R17</f>
        <v/>
      </c>
      <c r="S1014" s="628">
        <f>X_Platf_WMS!S17</f>
        <v/>
      </c>
      <c r="T1014" s="628">
        <f>X_Platf_WMS!T17</f>
        <v/>
      </c>
      <c r="U1014" s="628">
        <f>X_Platf_WMS!U17</f>
        <v/>
      </c>
      <c r="V1014" s="628">
        <f>X_Platf_WMS!V17</f>
        <v/>
      </c>
      <c r="W1014" s="628">
        <f>X_Platf_WMS!W17</f>
        <v/>
      </c>
      <c r="X1014" s="628">
        <f>X_Platf_WMS!X17</f>
        <v/>
      </c>
      <c r="Y1014" s="650">
        <f>X_Platf_WMS!Y17</f>
        <v/>
      </c>
      <c r="Z1014" s="650">
        <f>X_Platf_WMS!Z17</f>
        <v/>
      </c>
      <c r="AA1014" s="650">
        <f>X_Platf_WMS!AA17</f>
        <v/>
      </c>
      <c r="AB1014" s="650">
        <f>X_Platf_WMS!AB17</f>
        <v/>
      </c>
      <c r="AC1014" s="613">
        <f>X_Platf_WMS!AC17</f>
        <v/>
      </c>
      <c r="AD1014" s="613">
        <f>X_Platf_WMS!AD17</f>
        <v/>
      </c>
      <c r="AE1014" s="613">
        <f>X_Platf_WMS!AE17</f>
        <v/>
      </c>
      <c r="AF1014" s="613">
        <f>X_Platf_WMS!AF17</f>
        <v/>
      </c>
      <c r="AG1014" s="626">
        <f>X_Platf_WMS!AG17</f>
        <v/>
      </c>
      <c r="AH1014" s="626">
        <f>X_Platf_WMS!AH17</f>
        <v/>
      </c>
      <c r="AI1014" s="626">
        <f>X_Platf_WMS!AI17</f>
        <v/>
      </c>
      <c r="AJ1014" s="626">
        <f>X_Platf_WMS!AJ17</f>
        <v/>
      </c>
      <c r="AK1014" s="626">
        <f>X_Platf_WMS!AK17</f>
        <v/>
      </c>
      <c r="AL1014" s="626">
        <f>X_Platf_WMS!AL17</f>
        <v/>
      </c>
      <c r="AM1014" s="626">
        <f>X_Platf_WMS!AM17</f>
        <v/>
      </c>
      <c r="AN1014" s="626">
        <f>X_Platf_WMS!AN17</f>
        <v/>
      </c>
      <c r="AO1014" s="626">
        <f>X_Platf_WMS!AO17</f>
        <v/>
      </c>
      <c r="AP1014" s="369">
        <f>X_Platf_WMS!AP17</f>
        <v/>
      </c>
      <c r="AQ1014" s="369">
        <f>X_Platf_WMS!AQ17</f>
        <v/>
      </c>
      <c r="AR1014" s="369">
        <f>X_Platf_WMS!AR17</f>
        <v/>
      </c>
      <c r="AS1014" s="369">
        <f>X_Platf_WMS!AS17</f>
        <v/>
      </c>
      <c r="AT1014" s="370">
        <f>X_Platf_WMS!AT17</f>
        <v/>
      </c>
      <c r="AU1014" s="370">
        <f>X_Platf_WMS!AU17</f>
        <v/>
      </c>
      <c r="AV1014" s="370">
        <f>X_Platf_WMS!AV17</f>
        <v/>
      </c>
      <c r="AW1014" s="370">
        <f>X_Platf_WMS!AW17</f>
        <v/>
      </c>
      <c r="AX1014">
        <f>X_Platf_WMS!AX17</f>
        <v/>
      </c>
      <c r="AY1014">
        <f>X_Platf_WMS!AY17</f>
        <v/>
      </c>
      <c r="AZ1014">
        <f>X_Platf_WMS!AZ17</f>
        <v/>
      </c>
      <c r="BA1014">
        <f>X_Platf_WMS!BA17</f>
        <v/>
      </c>
      <c r="BB1014">
        <f>X_Platf_WMS!BB17</f>
        <v/>
      </c>
      <c r="BC1014">
        <f>X_Platf_WMS!BC17</f>
        <v/>
      </c>
      <c r="BD1014">
        <f>X_Platf_WMS!BD17</f>
        <v/>
      </c>
      <c r="BE1014">
        <f>X_Platf_WMS!BE17</f>
        <v/>
      </c>
      <c r="BF1014">
        <f>X_Platf_WMS!BF17</f>
        <v/>
      </c>
      <c r="BG1014">
        <f>X_Platf_WMS!BG17</f>
        <v/>
      </c>
      <c r="BH1014">
        <f>X_Platf_WMS!BH17</f>
        <v/>
      </c>
      <c r="BI1014">
        <f>X_Platf_WMS!BI17</f>
        <v/>
      </c>
      <c r="BJ1014">
        <f>O1014</f>
        <v/>
      </c>
      <c r="BK1014">
        <f>SUM(AG1014:AW1014)</f>
        <v/>
      </c>
      <c r="BL1014" s="531">
        <f>BJ1014-BK1014</f>
        <v/>
      </c>
      <c r="BM1014" s="201" t="n"/>
    </row>
    <row r="1015" hidden="1" outlineLevel="1" s="191">
      <c r="A1015">
        <f>X_Platf_WMS!A18</f>
        <v/>
      </c>
      <c r="B1015">
        <f>X_Platf_WMS!B18</f>
        <v/>
      </c>
      <c r="C1015">
        <f>X_Platf_WMS!C18</f>
        <v/>
      </c>
      <c r="D1015">
        <f>X_Platf_WMS!D18</f>
        <v/>
      </c>
      <c r="E1015">
        <f>X_Platf_WMS!E18</f>
        <v/>
      </c>
      <c r="F1015">
        <f>X_Platf_WMS!F18</f>
        <v/>
      </c>
      <c r="G1015">
        <f>X_Platf_WMS!G18</f>
        <v/>
      </c>
      <c r="H1015">
        <f>X_Platf_WMS!H18</f>
        <v/>
      </c>
      <c r="I1015">
        <f>X_Platf_WMS!I18</f>
        <v/>
      </c>
      <c r="J1015">
        <f>X_Platf_WMS!J18</f>
        <v/>
      </c>
      <c r="K1015" s="672">
        <f>X_Platf_WMS!K18</f>
        <v/>
      </c>
      <c r="L1015" s="672">
        <f>X_Platf_WMS!L18</f>
        <v/>
      </c>
      <c r="M1015">
        <f>X_Platf_WMS!M18</f>
        <v/>
      </c>
      <c r="N1015">
        <f>X_Platf_WMS!N18</f>
        <v/>
      </c>
      <c r="O1015">
        <f>X_Platf_WMS!O18</f>
        <v/>
      </c>
      <c r="P1015" s="628">
        <f>X_Platf_WMS!P18</f>
        <v/>
      </c>
      <c r="Q1015" s="628">
        <f>X_Platf_WMS!Q18</f>
        <v/>
      </c>
      <c r="R1015" s="628">
        <f>X_Platf_WMS!R18</f>
        <v/>
      </c>
      <c r="S1015" s="628">
        <f>X_Platf_WMS!S18</f>
        <v/>
      </c>
      <c r="T1015" s="628">
        <f>X_Platf_WMS!T18</f>
        <v/>
      </c>
      <c r="U1015" s="628">
        <f>X_Platf_WMS!U18</f>
        <v/>
      </c>
      <c r="V1015" s="628">
        <f>X_Platf_WMS!V18</f>
        <v/>
      </c>
      <c r="W1015" s="628">
        <f>X_Platf_WMS!W18</f>
        <v/>
      </c>
      <c r="X1015" s="628">
        <f>X_Platf_WMS!X18</f>
        <v/>
      </c>
      <c r="Y1015" s="650">
        <f>X_Platf_WMS!Y18</f>
        <v/>
      </c>
      <c r="Z1015" s="650">
        <f>X_Platf_WMS!Z18</f>
        <v/>
      </c>
      <c r="AA1015" s="650">
        <f>X_Platf_WMS!AA18</f>
        <v/>
      </c>
      <c r="AB1015" s="650">
        <f>X_Platf_WMS!AB18</f>
        <v/>
      </c>
      <c r="AC1015" s="613">
        <f>X_Platf_WMS!AC18</f>
        <v/>
      </c>
      <c r="AD1015" s="613">
        <f>X_Platf_WMS!AD18</f>
        <v/>
      </c>
      <c r="AE1015" s="613">
        <f>X_Platf_WMS!AE18</f>
        <v/>
      </c>
      <c r="AF1015" s="613">
        <f>X_Platf_WMS!AF18</f>
        <v/>
      </c>
      <c r="AG1015" s="626">
        <f>X_Platf_WMS!AG18</f>
        <v/>
      </c>
      <c r="AH1015" s="626">
        <f>X_Platf_WMS!AH18</f>
        <v/>
      </c>
      <c r="AI1015" s="626">
        <f>X_Platf_WMS!AI18</f>
        <v/>
      </c>
      <c r="AJ1015" s="626">
        <f>X_Platf_WMS!AJ18</f>
        <v/>
      </c>
      <c r="AK1015" s="626">
        <f>X_Platf_WMS!AK18</f>
        <v/>
      </c>
      <c r="AL1015" s="626">
        <f>X_Platf_WMS!AL18</f>
        <v/>
      </c>
      <c r="AM1015" s="626">
        <f>X_Platf_WMS!AM18</f>
        <v/>
      </c>
      <c r="AN1015" s="626">
        <f>X_Platf_WMS!AN18</f>
        <v/>
      </c>
      <c r="AO1015" s="626">
        <f>X_Platf_WMS!AO18</f>
        <v/>
      </c>
      <c r="AP1015" s="369">
        <f>X_Platf_WMS!AP18</f>
        <v/>
      </c>
      <c r="AQ1015" s="369">
        <f>X_Platf_WMS!AQ18</f>
        <v/>
      </c>
      <c r="AR1015" s="369">
        <f>X_Platf_WMS!AR18</f>
        <v/>
      </c>
      <c r="AS1015" s="369">
        <f>X_Platf_WMS!AS18</f>
        <v/>
      </c>
      <c r="AT1015" s="370">
        <f>X_Platf_WMS!AT18</f>
        <v/>
      </c>
      <c r="AU1015" s="370">
        <f>X_Platf_WMS!AU18</f>
        <v/>
      </c>
      <c r="AV1015" s="370">
        <f>X_Platf_WMS!AV18</f>
        <v/>
      </c>
      <c r="AW1015" s="370">
        <f>X_Platf_WMS!AW18</f>
        <v/>
      </c>
      <c r="AX1015">
        <f>X_Platf_WMS!AX18</f>
        <v/>
      </c>
      <c r="AY1015">
        <f>X_Platf_WMS!AY18</f>
        <v/>
      </c>
      <c r="AZ1015">
        <f>X_Platf_WMS!AZ18</f>
        <v/>
      </c>
      <c r="BA1015">
        <f>X_Platf_WMS!BA18</f>
        <v/>
      </c>
      <c r="BB1015">
        <f>X_Platf_WMS!BB18</f>
        <v/>
      </c>
      <c r="BC1015">
        <f>X_Platf_WMS!BC18</f>
        <v/>
      </c>
      <c r="BD1015">
        <f>X_Platf_WMS!BD18</f>
        <v/>
      </c>
      <c r="BE1015">
        <f>X_Platf_WMS!BE18</f>
        <v/>
      </c>
      <c r="BF1015">
        <f>X_Platf_WMS!BF18</f>
        <v/>
      </c>
      <c r="BG1015">
        <f>X_Platf_WMS!BG18</f>
        <v/>
      </c>
      <c r="BH1015">
        <f>X_Platf_WMS!BH18</f>
        <v/>
      </c>
      <c r="BI1015">
        <f>X_Platf_WMS!BI18</f>
        <v/>
      </c>
      <c r="BJ1015">
        <f>O1015</f>
        <v/>
      </c>
      <c r="BK1015">
        <f>SUM(AG1015:AW1015)</f>
        <v/>
      </c>
      <c r="BL1015" s="531">
        <f>BJ1015-BK1015</f>
        <v/>
      </c>
      <c r="BM1015" s="201" t="n"/>
    </row>
    <row r="1016" hidden="1" outlineLevel="1" s="191">
      <c r="A1016">
        <f>X_Platf_WMS!A19</f>
        <v/>
      </c>
      <c r="B1016">
        <f>X_Platf_WMS!B19</f>
        <v/>
      </c>
      <c r="C1016">
        <f>X_Platf_WMS!C19</f>
        <v/>
      </c>
      <c r="D1016">
        <f>X_Platf_WMS!D19</f>
        <v/>
      </c>
      <c r="E1016">
        <f>X_Platf_WMS!E19</f>
        <v/>
      </c>
      <c r="F1016">
        <f>X_Platf_WMS!F19</f>
        <v/>
      </c>
      <c r="G1016">
        <f>X_Platf_WMS!G19</f>
        <v/>
      </c>
      <c r="H1016">
        <f>X_Platf_WMS!H19</f>
        <v/>
      </c>
      <c r="I1016">
        <f>X_Platf_WMS!I19</f>
        <v/>
      </c>
      <c r="J1016">
        <f>X_Platf_WMS!J19</f>
        <v/>
      </c>
      <c r="K1016" s="672">
        <f>X_Platf_WMS!K19</f>
        <v/>
      </c>
      <c r="L1016" s="672">
        <f>X_Platf_WMS!L19</f>
        <v/>
      </c>
      <c r="M1016">
        <f>X_Platf_WMS!M19</f>
        <v/>
      </c>
      <c r="N1016">
        <f>X_Platf_WMS!N19</f>
        <v/>
      </c>
      <c r="O1016">
        <f>X_Platf_WMS!O19</f>
        <v/>
      </c>
      <c r="P1016" s="628">
        <f>X_Platf_WMS!P19</f>
        <v/>
      </c>
      <c r="Q1016" s="628">
        <f>X_Platf_WMS!Q19</f>
        <v/>
      </c>
      <c r="R1016" s="628">
        <f>X_Platf_WMS!R19</f>
        <v/>
      </c>
      <c r="S1016" s="628">
        <f>X_Platf_WMS!S19</f>
        <v/>
      </c>
      <c r="T1016" s="628">
        <f>X_Platf_WMS!T19</f>
        <v/>
      </c>
      <c r="U1016" s="628">
        <f>X_Platf_WMS!U19</f>
        <v/>
      </c>
      <c r="V1016" s="628">
        <f>X_Platf_WMS!V19</f>
        <v/>
      </c>
      <c r="W1016" s="628">
        <f>X_Platf_WMS!W19</f>
        <v/>
      </c>
      <c r="X1016" s="628">
        <f>X_Platf_WMS!X19</f>
        <v/>
      </c>
      <c r="Y1016" s="650">
        <f>X_Platf_WMS!Y19</f>
        <v/>
      </c>
      <c r="Z1016" s="650">
        <f>X_Platf_WMS!Z19</f>
        <v/>
      </c>
      <c r="AA1016" s="650">
        <f>X_Platf_WMS!AA19</f>
        <v/>
      </c>
      <c r="AB1016" s="650">
        <f>X_Platf_WMS!AB19</f>
        <v/>
      </c>
      <c r="AC1016" s="613">
        <f>X_Platf_WMS!AC19</f>
        <v/>
      </c>
      <c r="AD1016" s="613">
        <f>X_Platf_WMS!AD19</f>
        <v/>
      </c>
      <c r="AE1016" s="613">
        <f>X_Platf_WMS!AE19</f>
        <v/>
      </c>
      <c r="AF1016" s="613">
        <f>X_Platf_WMS!AF19</f>
        <v/>
      </c>
      <c r="AG1016" s="626">
        <f>X_Platf_WMS!AG19</f>
        <v/>
      </c>
      <c r="AH1016" s="626">
        <f>X_Platf_WMS!AH19</f>
        <v/>
      </c>
      <c r="AI1016" s="626">
        <f>X_Platf_WMS!AI19</f>
        <v/>
      </c>
      <c r="AJ1016" s="626">
        <f>X_Platf_WMS!AJ19</f>
        <v/>
      </c>
      <c r="AK1016" s="626">
        <f>X_Platf_WMS!AK19</f>
        <v/>
      </c>
      <c r="AL1016" s="626">
        <f>X_Platf_WMS!AL19</f>
        <v/>
      </c>
      <c r="AM1016" s="626">
        <f>X_Platf_WMS!AM19</f>
        <v/>
      </c>
      <c r="AN1016" s="626">
        <f>X_Platf_WMS!AN19</f>
        <v/>
      </c>
      <c r="AO1016" s="626">
        <f>X_Platf_WMS!AO19</f>
        <v/>
      </c>
      <c r="AP1016" s="369">
        <f>X_Platf_WMS!AP19</f>
        <v/>
      </c>
      <c r="AQ1016" s="369">
        <f>X_Platf_WMS!AQ19</f>
        <v/>
      </c>
      <c r="AR1016" s="369">
        <f>X_Platf_WMS!AR19</f>
        <v/>
      </c>
      <c r="AS1016" s="369">
        <f>X_Platf_WMS!AS19</f>
        <v/>
      </c>
      <c r="AT1016" s="370">
        <f>X_Platf_WMS!AT19</f>
        <v/>
      </c>
      <c r="AU1016" s="370">
        <f>X_Platf_WMS!AU19</f>
        <v/>
      </c>
      <c r="AV1016" s="370">
        <f>X_Platf_WMS!AV19</f>
        <v/>
      </c>
      <c r="AW1016" s="370">
        <f>X_Platf_WMS!AW19</f>
        <v/>
      </c>
      <c r="AX1016">
        <f>X_Platf_WMS!AX19</f>
        <v/>
      </c>
      <c r="AY1016">
        <f>X_Platf_WMS!AY19</f>
        <v/>
      </c>
      <c r="AZ1016">
        <f>X_Platf_WMS!AZ19</f>
        <v/>
      </c>
      <c r="BA1016">
        <f>X_Platf_WMS!BA19</f>
        <v/>
      </c>
      <c r="BB1016">
        <f>X_Platf_WMS!BB19</f>
        <v/>
      </c>
      <c r="BC1016">
        <f>X_Platf_WMS!BC19</f>
        <v/>
      </c>
      <c r="BD1016">
        <f>X_Platf_WMS!BD19</f>
        <v/>
      </c>
      <c r="BE1016">
        <f>X_Platf_WMS!BE19</f>
        <v/>
      </c>
      <c r="BF1016">
        <f>X_Platf_WMS!BF19</f>
        <v/>
      </c>
      <c r="BG1016">
        <f>X_Platf_WMS!BG19</f>
        <v/>
      </c>
      <c r="BH1016">
        <f>X_Platf_WMS!BH19</f>
        <v/>
      </c>
      <c r="BI1016">
        <f>X_Platf_WMS!BI19</f>
        <v/>
      </c>
      <c r="BJ1016">
        <f>O1016</f>
        <v/>
      </c>
      <c r="BK1016">
        <f>SUM(AG1016:AW1016)</f>
        <v/>
      </c>
      <c r="BL1016" s="531">
        <f>BJ1016-BK1016</f>
        <v/>
      </c>
      <c r="BM1016" s="201" t="n"/>
    </row>
    <row r="1017" hidden="1" outlineLevel="1" s="191">
      <c r="A1017">
        <f>X_Platf_WMS!A20</f>
        <v/>
      </c>
      <c r="B1017">
        <f>X_Platf_WMS!B20</f>
        <v/>
      </c>
      <c r="C1017">
        <f>X_Platf_WMS!C20</f>
        <v/>
      </c>
      <c r="D1017">
        <f>X_Platf_WMS!D20</f>
        <v/>
      </c>
      <c r="E1017">
        <f>X_Platf_WMS!E20</f>
        <v/>
      </c>
      <c r="F1017">
        <f>X_Platf_WMS!F20</f>
        <v/>
      </c>
      <c r="G1017">
        <f>X_Platf_WMS!G20</f>
        <v/>
      </c>
      <c r="H1017">
        <f>X_Platf_WMS!H20</f>
        <v/>
      </c>
      <c r="I1017">
        <f>X_Platf_WMS!I20</f>
        <v/>
      </c>
      <c r="J1017">
        <f>X_Platf_WMS!J20</f>
        <v/>
      </c>
      <c r="K1017" s="672">
        <f>X_Platf_WMS!K20</f>
        <v/>
      </c>
      <c r="L1017" s="672">
        <f>X_Platf_WMS!L20</f>
        <v/>
      </c>
      <c r="M1017">
        <f>X_Platf_WMS!M20</f>
        <v/>
      </c>
      <c r="N1017">
        <f>X_Platf_WMS!N20</f>
        <v/>
      </c>
      <c r="O1017">
        <f>X_Platf_WMS!O20</f>
        <v/>
      </c>
      <c r="P1017" s="628">
        <f>X_Platf_WMS!P20</f>
        <v/>
      </c>
      <c r="Q1017" s="628">
        <f>X_Platf_WMS!Q20</f>
        <v/>
      </c>
      <c r="R1017" s="628">
        <f>X_Platf_WMS!R20</f>
        <v/>
      </c>
      <c r="S1017" s="628">
        <f>X_Platf_WMS!S20</f>
        <v/>
      </c>
      <c r="T1017" s="628">
        <f>X_Platf_WMS!T20</f>
        <v/>
      </c>
      <c r="U1017" s="628">
        <f>X_Platf_WMS!U20</f>
        <v/>
      </c>
      <c r="V1017" s="628">
        <f>X_Platf_WMS!V20</f>
        <v/>
      </c>
      <c r="W1017" s="628">
        <f>X_Platf_WMS!W20</f>
        <v/>
      </c>
      <c r="X1017" s="628">
        <f>X_Platf_WMS!X20</f>
        <v/>
      </c>
      <c r="Y1017" s="650">
        <f>X_Platf_WMS!Y20</f>
        <v/>
      </c>
      <c r="Z1017" s="650">
        <f>X_Platf_WMS!Z20</f>
        <v/>
      </c>
      <c r="AA1017" s="650">
        <f>X_Platf_WMS!AA20</f>
        <v/>
      </c>
      <c r="AB1017" s="650">
        <f>X_Platf_WMS!AB20</f>
        <v/>
      </c>
      <c r="AC1017" s="613">
        <f>X_Platf_WMS!AC20</f>
        <v/>
      </c>
      <c r="AD1017" s="613">
        <f>X_Platf_WMS!AD20</f>
        <v/>
      </c>
      <c r="AE1017" s="613">
        <f>X_Platf_WMS!AE20</f>
        <v/>
      </c>
      <c r="AF1017" s="613">
        <f>X_Platf_WMS!AF20</f>
        <v/>
      </c>
      <c r="AG1017" s="626">
        <f>X_Platf_WMS!AG20</f>
        <v/>
      </c>
      <c r="AH1017" s="626">
        <f>X_Platf_WMS!AH20</f>
        <v/>
      </c>
      <c r="AI1017" s="626">
        <f>X_Platf_WMS!AI20</f>
        <v/>
      </c>
      <c r="AJ1017" s="626">
        <f>X_Platf_WMS!AJ20</f>
        <v/>
      </c>
      <c r="AK1017" s="626">
        <f>X_Platf_WMS!AK20</f>
        <v/>
      </c>
      <c r="AL1017" s="626">
        <f>X_Platf_WMS!AL20</f>
        <v/>
      </c>
      <c r="AM1017" s="626">
        <f>X_Platf_WMS!AM20</f>
        <v/>
      </c>
      <c r="AN1017" s="626">
        <f>X_Platf_WMS!AN20</f>
        <v/>
      </c>
      <c r="AO1017" s="626">
        <f>X_Platf_WMS!AO20</f>
        <v/>
      </c>
      <c r="AP1017" s="369">
        <f>X_Platf_WMS!AP20</f>
        <v/>
      </c>
      <c r="AQ1017" s="369">
        <f>X_Platf_WMS!AQ20</f>
        <v/>
      </c>
      <c r="AR1017" s="369">
        <f>X_Platf_WMS!AR20</f>
        <v/>
      </c>
      <c r="AS1017" s="369">
        <f>X_Platf_WMS!AS20</f>
        <v/>
      </c>
      <c r="AT1017" s="370">
        <f>X_Platf_WMS!AT20</f>
        <v/>
      </c>
      <c r="AU1017" s="370">
        <f>X_Platf_WMS!AU20</f>
        <v/>
      </c>
      <c r="AV1017" s="370">
        <f>X_Platf_WMS!AV20</f>
        <v/>
      </c>
      <c r="AW1017" s="370">
        <f>X_Platf_WMS!AW20</f>
        <v/>
      </c>
      <c r="AX1017">
        <f>X_Platf_WMS!AX20</f>
        <v/>
      </c>
      <c r="AY1017">
        <f>X_Platf_WMS!AY20</f>
        <v/>
      </c>
      <c r="AZ1017">
        <f>X_Platf_WMS!AZ20</f>
        <v/>
      </c>
      <c r="BA1017">
        <f>X_Platf_WMS!BA20</f>
        <v/>
      </c>
      <c r="BB1017">
        <f>X_Platf_WMS!BB20</f>
        <v/>
      </c>
      <c r="BC1017">
        <f>X_Platf_WMS!BC20</f>
        <v/>
      </c>
      <c r="BD1017">
        <f>X_Platf_WMS!BD20</f>
        <v/>
      </c>
      <c r="BE1017">
        <f>X_Platf_WMS!BE20</f>
        <v/>
      </c>
      <c r="BF1017">
        <f>X_Platf_WMS!BF20</f>
        <v/>
      </c>
      <c r="BG1017">
        <f>X_Platf_WMS!BG20</f>
        <v/>
      </c>
      <c r="BH1017">
        <f>X_Platf_WMS!BH20</f>
        <v/>
      </c>
      <c r="BI1017">
        <f>X_Platf_WMS!BI20</f>
        <v/>
      </c>
      <c r="BJ1017">
        <f>O1017</f>
        <v/>
      </c>
      <c r="BK1017">
        <f>SUM(AG1017:AW1017)</f>
        <v/>
      </c>
      <c r="BL1017" s="531">
        <f>BJ1017-BK1017</f>
        <v/>
      </c>
      <c r="BM1017" s="201" t="n"/>
    </row>
    <row r="1018" hidden="1" outlineLevel="1" s="191">
      <c r="A1018">
        <f>X_Platf_WMS!A21</f>
        <v/>
      </c>
      <c r="B1018">
        <f>X_Platf_WMS!B21</f>
        <v/>
      </c>
      <c r="C1018">
        <f>X_Platf_WMS!C21</f>
        <v/>
      </c>
      <c r="D1018">
        <f>X_Platf_WMS!D21</f>
        <v/>
      </c>
      <c r="E1018">
        <f>X_Platf_WMS!E21</f>
        <v/>
      </c>
      <c r="F1018">
        <f>X_Platf_WMS!F21</f>
        <v/>
      </c>
      <c r="G1018">
        <f>X_Platf_WMS!G21</f>
        <v/>
      </c>
      <c r="H1018">
        <f>X_Platf_WMS!H21</f>
        <v/>
      </c>
      <c r="I1018">
        <f>X_Platf_WMS!I21</f>
        <v/>
      </c>
      <c r="J1018">
        <f>X_Platf_WMS!J21</f>
        <v/>
      </c>
      <c r="K1018" s="672">
        <f>X_Platf_WMS!K21</f>
        <v/>
      </c>
      <c r="L1018" s="672">
        <f>X_Platf_WMS!L21</f>
        <v/>
      </c>
      <c r="M1018">
        <f>X_Platf_WMS!M21</f>
        <v/>
      </c>
      <c r="N1018">
        <f>X_Platf_WMS!N21</f>
        <v/>
      </c>
      <c r="O1018">
        <f>X_Platf_WMS!O21</f>
        <v/>
      </c>
      <c r="P1018" s="628">
        <f>X_Platf_WMS!P21</f>
        <v/>
      </c>
      <c r="Q1018" s="628">
        <f>X_Platf_WMS!Q21</f>
        <v/>
      </c>
      <c r="R1018" s="628">
        <f>X_Platf_WMS!R21</f>
        <v/>
      </c>
      <c r="S1018" s="628">
        <f>X_Platf_WMS!S21</f>
        <v/>
      </c>
      <c r="T1018" s="628">
        <f>X_Platf_WMS!T21</f>
        <v/>
      </c>
      <c r="U1018" s="628">
        <f>X_Platf_WMS!U21</f>
        <v/>
      </c>
      <c r="V1018" s="628">
        <f>X_Platf_WMS!V21</f>
        <v/>
      </c>
      <c r="W1018" s="628">
        <f>X_Platf_WMS!W21</f>
        <v/>
      </c>
      <c r="X1018" s="628">
        <f>X_Platf_WMS!X21</f>
        <v/>
      </c>
      <c r="Y1018" s="650">
        <f>X_Platf_WMS!Y21</f>
        <v/>
      </c>
      <c r="Z1018" s="650">
        <f>X_Platf_WMS!Z21</f>
        <v/>
      </c>
      <c r="AA1018" s="650">
        <f>X_Platf_WMS!AA21</f>
        <v/>
      </c>
      <c r="AB1018" s="650">
        <f>X_Platf_WMS!AB21</f>
        <v/>
      </c>
      <c r="AC1018" s="613">
        <f>X_Platf_WMS!AC21</f>
        <v/>
      </c>
      <c r="AD1018" s="613">
        <f>X_Platf_WMS!AD21</f>
        <v/>
      </c>
      <c r="AE1018" s="613">
        <f>X_Platf_WMS!AE21</f>
        <v/>
      </c>
      <c r="AF1018" s="613">
        <f>X_Platf_WMS!AF21</f>
        <v/>
      </c>
      <c r="AG1018" s="626">
        <f>X_Platf_WMS!AG21</f>
        <v/>
      </c>
      <c r="AH1018" s="626">
        <f>X_Platf_WMS!AH21</f>
        <v/>
      </c>
      <c r="AI1018" s="626">
        <f>X_Platf_WMS!AI21</f>
        <v/>
      </c>
      <c r="AJ1018" s="626">
        <f>X_Platf_WMS!AJ21</f>
        <v/>
      </c>
      <c r="AK1018" s="626">
        <f>X_Platf_WMS!AK21</f>
        <v/>
      </c>
      <c r="AL1018" s="626">
        <f>X_Platf_WMS!AL21</f>
        <v/>
      </c>
      <c r="AM1018" s="626">
        <f>X_Platf_WMS!AM21</f>
        <v/>
      </c>
      <c r="AN1018" s="626">
        <f>X_Platf_WMS!AN21</f>
        <v/>
      </c>
      <c r="AO1018" s="626">
        <f>X_Platf_WMS!AO21</f>
        <v/>
      </c>
      <c r="AP1018" s="369">
        <f>X_Platf_WMS!AP21</f>
        <v/>
      </c>
      <c r="AQ1018" s="369">
        <f>X_Platf_WMS!AQ21</f>
        <v/>
      </c>
      <c r="AR1018" s="369">
        <f>X_Platf_WMS!AR21</f>
        <v/>
      </c>
      <c r="AS1018" s="369">
        <f>X_Platf_WMS!AS21</f>
        <v/>
      </c>
      <c r="AT1018" s="370">
        <f>X_Platf_WMS!AT21</f>
        <v/>
      </c>
      <c r="AU1018" s="370">
        <f>X_Platf_WMS!AU21</f>
        <v/>
      </c>
      <c r="AV1018" s="370">
        <f>X_Platf_WMS!AV21</f>
        <v/>
      </c>
      <c r="AW1018" s="370">
        <f>X_Platf_WMS!AW21</f>
        <v/>
      </c>
      <c r="AX1018">
        <f>X_Platf_WMS!AX21</f>
        <v/>
      </c>
      <c r="AY1018">
        <f>X_Platf_WMS!AY21</f>
        <v/>
      </c>
      <c r="AZ1018">
        <f>X_Platf_WMS!AZ21</f>
        <v/>
      </c>
      <c r="BA1018">
        <f>X_Platf_WMS!BA21</f>
        <v/>
      </c>
      <c r="BB1018">
        <f>X_Platf_WMS!BB21</f>
        <v/>
      </c>
      <c r="BC1018">
        <f>X_Platf_WMS!BC21</f>
        <v/>
      </c>
      <c r="BD1018">
        <f>X_Platf_WMS!BD21</f>
        <v/>
      </c>
      <c r="BE1018">
        <f>X_Platf_WMS!BE21</f>
        <v/>
      </c>
      <c r="BF1018">
        <f>X_Platf_WMS!BF21</f>
        <v/>
      </c>
      <c r="BG1018">
        <f>X_Platf_WMS!BG21</f>
        <v/>
      </c>
      <c r="BH1018">
        <f>X_Platf_WMS!BH21</f>
        <v/>
      </c>
      <c r="BI1018">
        <f>X_Platf_WMS!BI21</f>
        <v/>
      </c>
      <c r="BJ1018">
        <f>O1018</f>
        <v/>
      </c>
      <c r="BK1018">
        <f>SUM(AG1018:AW1018)</f>
        <v/>
      </c>
      <c r="BL1018" s="531">
        <f>BJ1018-BK1018</f>
        <v/>
      </c>
      <c r="BM1018" s="201" t="n"/>
    </row>
    <row r="1019" hidden="1" outlineLevel="1" s="191">
      <c r="A1019">
        <f>X_Platf_WMS!A22</f>
        <v/>
      </c>
      <c r="B1019">
        <f>X_Platf_WMS!B22</f>
        <v/>
      </c>
      <c r="C1019">
        <f>X_Platf_WMS!C22</f>
        <v/>
      </c>
      <c r="D1019">
        <f>X_Platf_WMS!D22</f>
        <v/>
      </c>
      <c r="E1019">
        <f>X_Platf_WMS!E22</f>
        <v/>
      </c>
      <c r="F1019">
        <f>X_Platf_WMS!F22</f>
        <v/>
      </c>
      <c r="G1019">
        <f>X_Platf_WMS!G22</f>
        <v/>
      </c>
      <c r="H1019">
        <f>X_Platf_WMS!H22</f>
        <v/>
      </c>
      <c r="I1019">
        <f>X_Platf_WMS!I22</f>
        <v/>
      </c>
      <c r="J1019">
        <f>X_Platf_WMS!J22</f>
        <v/>
      </c>
      <c r="K1019" s="672">
        <f>X_Platf_WMS!K22</f>
        <v/>
      </c>
      <c r="L1019" s="672">
        <f>X_Platf_WMS!L22</f>
        <v/>
      </c>
      <c r="M1019">
        <f>X_Platf_WMS!M22</f>
        <v/>
      </c>
      <c r="N1019">
        <f>X_Platf_WMS!N22</f>
        <v/>
      </c>
      <c r="O1019">
        <f>X_Platf_WMS!O22</f>
        <v/>
      </c>
      <c r="P1019" s="628">
        <f>X_Platf_WMS!P22</f>
        <v/>
      </c>
      <c r="Q1019" s="628">
        <f>X_Platf_WMS!Q22</f>
        <v/>
      </c>
      <c r="R1019" s="628">
        <f>X_Platf_WMS!R22</f>
        <v/>
      </c>
      <c r="S1019" s="628">
        <f>X_Platf_WMS!S22</f>
        <v/>
      </c>
      <c r="T1019" s="628">
        <f>X_Platf_WMS!T22</f>
        <v/>
      </c>
      <c r="U1019" s="628">
        <f>X_Platf_WMS!U22</f>
        <v/>
      </c>
      <c r="V1019" s="628">
        <f>X_Platf_WMS!V22</f>
        <v/>
      </c>
      <c r="W1019" s="628">
        <f>X_Platf_WMS!W22</f>
        <v/>
      </c>
      <c r="X1019" s="628">
        <f>X_Platf_WMS!X22</f>
        <v/>
      </c>
      <c r="Y1019" s="650">
        <f>X_Platf_WMS!Y22</f>
        <v/>
      </c>
      <c r="Z1019" s="650">
        <f>X_Platf_WMS!Z22</f>
        <v/>
      </c>
      <c r="AA1019" s="650">
        <f>X_Platf_WMS!AA22</f>
        <v/>
      </c>
      <c r="AB1019" s="650">
        <f>X_Platf_WMS!AB22</f>
        <v/>
      </c>
      <c r="AC1019" s="613">
        <f>X_Platf_WMS!AC22</f>
        <v/>
      </c>
      <c r="AD1019" s="613">
        <f>X_Platf_WMS!AD22</f>
        <v/>
      </c>
      <c r="AE1019" s="613">
        <f>X_Platf_WMS!AE22</f>
        <v/>
      </c>
      <c r="AF1019" s="613">
        <f>X_Platf_WMS!AF22</f>
        <v/>
      </c>
      <c r="AG1019" s="626">
        <f>X_Platf_WMS!AG22</f>
        <v/>
      </c>
      <c r="AH1019" s="626">
        <f>X_Platf_WMS!AH22</f>
        <v/>
      </c>
      <c r="AI1019" s="626">
        <f>X_Platf_WMS!AI22</f>
        <v/>
      </c>
      <c r="AJ1019" s="626">
        <f>X_Platf_WMS!AJ22</f>
        <v/>
      </c>
      <c r="AK1019" s="626">
        <f>X_Platf_WMS!AK22</f>
        <v/>
      </c>
      <c r="AL1019" s="626">
        <f>X_Platf_WMS!AL22</f>
        <v/>
      </c>
      <c r="AM1019" s="626">
        <f>X_Platf_WMS!AM22</f>
        <v/>
      </c>
      <c r="AN1019" s="626">
        <f>X_Platf_WMS!AN22</f>
        <v/>
      </c>
      <c r="AO1019" s="626">
        <f>X_Platf_WMS!AO22</f>
        <v/>
      </c>
      <c r="AP1019" s="369">
        <f>X_Platf_WMS!AP22</f>
        <v/>
      </c>
      <c r="AQ1019" s="369">
        <f>X_Platf_WMS!AQ22</f>
        <v/>
      </c>
      <c r="AR1019" s="369">
        <f>X_Platf_WMS!AR22</f>
        <v/>
      </c>
      <c r="AS1019" s="369">
        <f>X_Platf_WMS!AS22</f>
        <v/>
      </c>
      <c r="AT1019" s="370">
        <f>X_Platf_WMS!AT22</f>
        <v/>
      </c>
      <c r="AU1019" s="370">
        <f>X_Platf_WMS!AU22</f>
        <v/>
      </c>
      <c r="AV1019" s="370">
        <f>X_Platf_WMS!AV22</f>
        <v/>
      </c>
      <c r="AW1019" s="370">
        <f>X_Platf_WMS!AW22</f>
        <v/>
      </c>
      <c r="AX1019">
        <f>X_Platf_WMS!AX22</f>
        <v/>
      </c>
      <c r="AY1019">
        <f>X_Platf_WMS!AY22</f>
        <v/>
      </c>
      <c r="AZ1019">
        <f>X_Platf_WMS!AZ22</f>
        <v/>
      </c>
      <c r="BA1019">
        <f>X_Platf_WMS!BA22</f>
        <v/>
      </c>
      <c r="BB1019">
        <f>X_Platf_WMS!BB22</f>
        <v/>
      </c>
      <c r="BC1019">
        <f>X_Platf_WMS!BC22</f>
        <v/>
      </c>
      <c r="BD1019">
        <f>X_Platf_WMS!BD22</f>
        <v/>
      </c>
      <c r="BE1019">
        <f>X_Platf_WMS!BE22</f>
        <v/>
      </c>
      <c r="BF1019">
        <f>X_Platf_WMS!BF22</f>
        <v/>
      </c>
      <c r="BG1019">
        <f>X_Platf_WMS!BG22</f>
        <v/>
      </c>
      <c r="BH1019">
        <f>X_Platf_WMS!BH22</f>
        <v/>
      </c>
      <c r="BI1019">
        <f>X_Platf_WMS!BI22</f>
        <v/>
      </c>
      <c r="BJ1019">
        <f>O1019</f>
        <v/>
      </c>
      <c r="BK1019">
        <f>SUM(AG1019:AW1019)</f>
        <v/>
      </c>
      <c r="BL1019" s="531">
        <f>BJ1019-BK1019</f>
        <v/>
      </c>
      <c r="BM1019" s="201" t="n"/>
    </row>
    <row r="1020" hidden="1" outlineLevel="1" s="191">
      <c r="A1020">
        <f>X_Platf_WMS!A23</f>
        <v/>
      </c>
      <c r="B1020">
        <f>X_Platf_WMS!B23</f>
        <v/>
      </c>
      <c r="C1020">
        <f>X_Platf_WMS!C23</f>
        <v/>
      </c>
      <c r="D1020">
        <f>X_Platf_WMS!D23</f>
        <v/>
      </c>
      <c r="E1020">
        <f>X_Platf_WMS!E23</f>
        <v/>
      </c>
      <c r="F1020">
        <f>X_Platf_WMS!F23</f>
        <v/>
      </c>
      <c r="G1020">
        <f>X_Platf_WMS!G23</f>
        <v/>
      </c>
      <c r="H1020">
        <f>X_Platf_WMS!H23</f>
        <v/>
      </c>
      <c r="I1020">
        <f>X_Platf_WMS!I23</f>
        <v/>
      </c>
      <c r="J1020">
        <f>X_Platf_WMS!J23</f>
        <v/>
      </c>
      <c r="K1020" s="672">
        <f>X_Platf_WMS!K23</f>
        <v/>
      </c>
      <c r="L1020" s="672">
        <f>X_Platf_WMS!L23</f>
        <v/>
      </c>
      <c r="M1020">
        <f>X_Platf_WMS!M23</f>
        <v/>
      </c>
      <c r="N1020">
        <f>X_Platf_WMS!N23</f>
        <v/>
      </c>
      <c r="O1020">
        <f>X_Platf_WMS!O23</f>
        <v/>
      </c>
      <c r="P1020" s="628">
        <f>X_Platf_WMS!P23</f>
        <v/>
      </c>
      <c r="Q1020" s="628">
        <f>X_Platf_WMS!Q23</f>
        <v/>
      </c>
      <c r="R1020" s="628">
        <f>X_Platf_WMS!R23</f>
        <v/>
      </c>
      <c r="S1020" s="628">
        <f>X_Platf_WMS!S23</f>
        <v/>
      </c>
      <c r="T1020" s="628">
        <f>X_Platf_WMS!T23</f>
        <v/>
      </c>
      <c r="U1020" s="628">
        <f>X_Platf_WMS!U23</f>
        <v/>
      </c>
      <c r="V1020" s="628">
        <f>X_Platf_WMS!V23</f>
        <v/>
      </c>
      <c r="W1020" s="628">
        <f>X_Platf_WMS!W23</f>
        <v/>
      </c>
      <c r="X1020" s="628">
        <f>X_Platf_WMS!X23</f>
        <v/>
      </c>
      <c r="Y1020" s="650">
        <f>X_Platf_WMS!Y23</f>
        <v/>
      </c>
      <c r="Z1020" s="650">
        <f>X_Platf_WMS!Z23</f>
        <v/>
      </c>
      <c r="AA1020" s="650">
        <f>X_Platf_WMS!AA23</f>
        <v/>
      </c>
      <c r="AB1020" s="650">
        <f>X_Platf_WMS!AB23</f>
        <v/>
      </c>
      <c r="AC1020" s="613">
        <f>X_Platf_WMS!AC23</f>
        <v/>
      </c>
      <c r="AD1020" s="613">
        <f>X_Platf_WMS!AD23</f>
        <v/>
      </c>
      <c r="AE1020" s="613">
        <f>X_Platf_WMS!AE23</f>
        <v/>
      </c>
      <c r="AF1020" s="613">
        <f>X_Platf_WMS!AF23</f>
        <v/>
      </c>
      <c r="AG1020" s="626">
        <f>X_Platf_WMS!AG23</f>
        <v/>
      </c>
      <c r="AH1020" s="626">
        <f>X_Platf_WMS!AH23</f>
        <v/>
      </c>
      <c r="AI1020" s="626">
        <f>X_Platf_WMS!AI23</f>
        <v/>
      </c>
      <c r="AJ1020" s="626">
        <f>X_Platf_WMS!AJ23</f>
        <v/>
      </c>
      <c r="AK1020" s="626">
        <f>X_Platf_WMS!AK23</f>
        <v/>
      </c>
      <c r="AL1020" s="626">
        <f>X_Platf_WMS!AL23</f>
        <v/>
      </c>
      <c r="AM1020" s="626">
        <f>X_Platf_WMS!AM23</f>
        <v/>
      </c>
      <c r="AN1020" s="626">
        <f>X_Platf_WMS!AN23</f>
        <v/>
      </c>
      <c r="AO1020" s="626">
        <f>X_Platf_WMS!AO23</f>
        <v/>
      </c>
      <c r="AP1020" s="369">
        <f>X_Platf_WMS!AP23</f>
        <v/>
      </c>
      <c r="AQ1020" s="369">
        <f>X_Platf_WMS!AQ23</f>
        <v/>
      </c>
      <c r="AR1020" s="369">
        <f>X_Platf_WMS!AR23</f>
        <v/>
      </c>
      <c r="AS1020" s="369">
        <f>X_Platf_WMS!AS23</f>
        <v/>
      </c>
      <c r="AT1020" s="370">
        <f>X_Platf_WMS!AT23</f>
        <v/>
      </c>
      <c r="AU1020" s="370">
        <f>X_Platf_WMS!AU23</f>
        <v/>
      </c>
      <c r="AV1020" s="370">
        <f>X_Platf_WMS!AV23</f>
        <v/>
      </c>
      <c r="AW1020" s="370">
        <f>X_Platf_WMS!AW23</f>
        <v/>
      </c>
      <c r="AX1020">
        <f>X_Platf_WMS!AX23</f>
        <v/>
      </c>
      <c r="AY1020">
        <f>X_Platf_WMS!AY23</f>
        <v/>
      </c>
      <c r="AZ1020">
        <f>X_Platf_WMS!AZ23</f>
        <v/>
      </c>
      <c r="BA1020">
        <f>X_Platf_WMS!BA23</f>
        <v/>
      </c>
      <c r="BB1020">
        <f>X_Platf_WMS!BB23</f>
        <v/>
      </c>
      <c r="BC1020">
        <f>X_Platf_WMS!BC23</f>
        <v/>
      </c>
      <c r="BD1020">
        <f>X_Platf_WMS!BD23</f>
        <v/>
      </c>
      <c r="BE1020">
        <f>X_Platf_WMS!BE23</f>
        <v/>
      </c>
      <c r="BF1020">
        <f>X_Platf_WMS!BF23</f>
        <v/>
      </c>
      <c r="BG1020">
        <f>X_Platf_WMS!BG23</f>
        <v/>
      </c>
      <c r="BH1020">
        <f>X_Platf_WMS!BH23</f>
        <v/>
      </c>
      <c r="BI1020">
        <f>X_Platf_WMS!BI23</f>
        <v/>
      </c>
      <c r="BJ1020">
        <f>O1020</f>
        <v/>
      </c>
      <c r="BK1020">
        <f>SUM(AG1020:AW1020)</f>
        <v/>
      </c>
      <c r="BL1020" s="531">
        <f>BJ1020-BK1020</f>
        <v/>
      </c>
      <c r="BM1020" s="201" t="n"/>
    </row>
    <row r="1021" hidden="1" outlineLevel="1" s="191">
      <c r="A1021">
        <f>X_Platf_WMS!A24</f>
        <v/>
      </c>
      <c r="B1021">
        <f>X_Platf_WMS!B24</f>
        <v/>
      </c>
      <c r="C1021">
        <f>X_Platf_WMS!C24</f>
        <v/>
      </c>
      <c r="D1021">
        <f>X_Platf_WMS!D24</f>
        <v/>
      </c>
      <c r="E1021">
        <f>X_Platf_WMS!E24</f>
        <v/>
      </c>
      <c r="F1021">
        <f>X_Platf_WMS!F24</f>
        <v/>
      </c>
      <c r="G1021">
        <f>X_Platf_WMS!G24</f>
        <v/>
      </c>
      <c r="H1021">
        <f>X_Platf_WMS!H24</f>
        <v/>
      </c>
      <c r="I1021">
        <f>X_Platf_WMS!I24</f>
        <v/>
      </c>
      <c r="J1021">
        <f>X_Platf_WMS!J24</f>
        <v/>
      </c>
      <c r="K1021" s="672">
        <f>X_Platf_WMS!K24</f>
        <v/>
      </c>
      <c r="L1021" s="672">
        <f>X_Platf_WMS!L24</f>
        <v/>
      </c>
      <c r="M1021">
        <f>X_Platf_WMS!M24</f>
        <v/>
      </c>
      <c r="N1021">
        <f>X_Platf_WMS!N24</f>
        <v/>
      </c>
      <c r="O1021">
        <f>X_Platf_WMS!O24</f>
        <v/>
      </c>
      <c r="P1021" s="628">
        <f>X_Platf_WMS!P24</f>
        <v/>
      </c>
      <c r="Q1021" s="628">
        <f>X_Platf_WMS!Q24</f>
        <v/>
      </c>
      <c r="R1021" s="628">
        <f>X_Platf_WMS!R24</f>
        <v/>
      </c>
      <c r="S1021" s="628">
        <f>X_Platf_WMS!S24</f>
        <v/>
      </c>
      <c r="T1021" s="628">
        <f>X_Platf_WMS!T24</f>
        <v/>
      </c>
      <c r="U1021" s="628">
        <f>X_Platf_WMS!U24</f>
        <v/>
      </c>
      <c r="V1021" s="628">
        <f>X_Platf_WMS!V24</f>
        <v/>
      </c>
      <c r="W1021" s="628">
        <f>X_Platf_WMS!W24</f>
        <v/>
      </c>
      <c r="X1021" s="628">
        <f>X_Platf_WMS!X24</f>
        <v/>
      </c>
      <c r="Y1021" s="650">
        <f>X_Platf_WMS!Y24</f>
        <v/>
      </c>
      <c r="Z1021" s="650">
        <f>X_Platf_WMS!Z24</f>
        <v/>
      </c>
      <c r="AA1021" s="650">
        <f>X_Platf_WMS!AA24</f>
        <v/>
      </c>
      <c r="AB1021" s="650">
        <f>X_Platf_WMS!AB24</f>
        <v/>
      </c>
      <c r="AC1021" s="613">
        <f>X_Platf_WMS!AC24</f>
        <v/>
      </c>
      <c r="AD1021" s="613">
        <f>X_Platf_WMS!AD24</f>
        <v/>
      </c>
      <c r="AE1021" s="613">
        <f>X_Platf_WMS!AE24</f>
        <v/>
      </c>
      <c r="AF1021" s="613">
        <f>X_Platf_WMS!AF24</f>
        <v/>
      </c>
      <c r="AG1021" s="626">
        <f>X_Platf_WMS!AG24</f>
        <v/>
      </c>
      <c r="AH1021" s="626">
        <f>X_Platf_WMS!AH24</f>
        <v/>
      </c>
      <c r="AI1021" s="626">
        <f>X_Platf_WMS!AI24</f>
        <v/>
      </c>
      <c r="AJ1021" s="626">
        <f>X_Platf_WMS!AJ24</f>
        <v/>
      </c>
      <c r="AK1021" s="626">
        <f>X_Platf_WMS!AK24</f>
        <v/>
      </c>
      <c r="AL1021" s="626">
        <f>X_Platf_WMS!AL24</f>
        <v/>
      </c>
      <c r="AM1021" s="626">
        <f>X_Platf_WMS!AM24</f>
        <v/>
      </c>
      <c r="AN1021" s="626">
        <f>X_Platf_WMS!AN24</f>
        <v/>
      </c>
      <c r="AO1021" s="626">
        <f>X_Platf_WMS!AO24</f>
        <v/>
      </c>
      <c r="AP1021" s="369">
        <f>X_Platf_WMS!AP24</f>
        <v/>
      </c>
      <c r="AQ1021" s="369">
        <f>X_Platf_WMS!AQ24</f>
        <v/>
      </c>
      <c r="AR1021" s="369">
        <f>X_Platf_WMS!AR24</f>
        <v/>
      </c>
      <c r="AS1021" s="369">
        <f>X_Platf_WMS!AS24</f>
        <v/>
      </c>
      <c r="AT1021" s="370">
        <f>X_Platf_WMS!AT24</f>
        <v/>
      </c>
      <c r="AU1021" s="370">
        <f>X_Platf_WMS!AU24</f>
        <v/>
      </c>
      <c r="AV1021" s="370">
        <f>X_Platf_WMS!AV24</f>
        <v/>
      </c>
      <c r="AW1021" s="370">
        <f>X_Platf_WMS!AW24</f>
        <v/>
      </c>
      <c r="AX1021">
        <f>X_Platf_WMS!AX24</f>
        <v/>
      </c>
      <c r="AY1021">
        <f>X_Platf_WMS!AY24</f>
        <v/>
      </c>
      <c r="AZ1021">
        <f>X_Platf_WMS!AZ24</f>
        <v/>
      </c>
      <c r="BA1021">
        <f>X_Platf_WMS!BA24</f>
        <v/>
      </c>
      <c r="BB1021">
        <f>X_Platf_WMS!BB24</f>
        <v/>
      </c>
      <c r="BC1021">
        <f>X_Platf_WMS!BC24</f>
        <v/>
      </c>
      <c r="BD1021">
        <f>X_Platf_WMS!BD24</f>
        <v/>
      </c>
      <c r="BE1021">
        <f>X_Platf_WMS!BE24</f>
        <v/>
      </c>
      <c r="BF1021">
        <f>X_Platf_WMS!BF24</f>
        <v/>
      </c>
      <c r="BG1021">
        <f>X_Platf_WMS!BG24</f>
        <v/>
      </c>
      <c r="BH1021">
        <f>X_Platf_WMS!BH24</f>
        <v/>
      </c>
      <c r="BI1021">
        <f>X_Platf_WMS!BI24</f>
        <v/>
      </c>
      <c r="BJ1021">
        <f>O1021</f>
        <v/>
      </c>
      <c r="BK1021">
        <f>SUM(AG1021:AW1021)</f>
        <v/>
      </c>
      <c r="BL1021" s="531">
        <f>BJ1021-BK1021</f>
        <v/>
      </c>
      <c r="BM1021" s="201" t="n"/>
    </row>
    <row r="1022" hidden="1" outlineLevel="1" s="191">
      <c r="A1022">
        <f>X_Platf_WMS!A25</f>
        <v/>
      </c>
      <c r="B1022">
        <f>X_Platf_WMS!B25</f>
        <v/>
      </c>
      <c r="C1022">
        <f>X_Platf_WMS!C25</f>
        <v/>
      </c>
      <c r="D1022">
        <f>X_Platf_WMS!D25</f>
        <v/>
      </c>
      <c r="E1022">
        <f>X_Platf_WMS!E25</f>
        <v/>
      </c>
      <c r="F1022">
        <f>X_Platf_WMS!F25</f>
        <v/>
      </c>
      <c r="G1022">
        <f>X_Platf_WMS!G25</f>
        <v/>
      </c>
      <c r="H1022">
        <f>X_Platf_WMS!H25</f>
        <v/>
      </c>
      <c r="I1022">
        <f>X_Platf_WMS!I25</f>
        <v/>
      </c>
      <c r="J1022">
        <f>X_Platf_WMS!J25</f>
        <v/>
      </c>
      <c r="K1022" s="672">
        <f>X_Platf_WMS!K25</f>
        <v/>
      </c>
      <c r="L1022" s="672">
        <f>X_Platf_WMS!L25</f>
        <v/>
      </c>
      <c r="M1022">
        <f>X_Platf_WMS!M25</f>
        <v/>
      </c>
      <c r="N1022">
        <f>X_Platf_WMS!N25</f>
        <v/>
      </c>
      <c r="O1022">
        <f>X_Platf_WMS!O25</f>
        <v/>
      </c>
      <c r="P1022" s="628">
        <f>X_Platf_WMS!P25</f>
        <v/>
      </c>
      <c r="Q1022" s="628">
        <f>X_Platf_WMS!Q25</f>
        <v/>
      </c>
      <c r="R1022" s="628">
        <f>X_Platf_WMS!R25</f>
        <v/>
      </c>
      <c r="S1022" s="628">
        <f>X_Platf_WMS!S25</f>
        <v/>
      </c>
      <c r="T1022" s="628">
        <f>X_Platf_WMS!T25</f>
        <v/>
      </c>
      <c r="U1022" s="628">
        <f>X_Platf_WMS!U25</f>
        <v/>
      </c>
      <c r="V1022" s="628">
        <f>X_Platf_WMS!V25</f>
        <v/>
      </c>
      <c r="W1022" s="628">
        <f>X_Platf_WMS!W25</f>
        <v/>
      </c>
      <c r="X1022" s="628">
        <f>X_Platf_WMS!X25</f>
        <v/>
      </c>
      <c r="Y1022" s="650">
        <f>X_Platf_WMS!Y25</f>
        <v/>
      </c>
      <c r="Z1022" s="650">
        <f>X_Platf_WMS!Z25</f>
        <v/>
      </c>
      <c r="AA1022" s="650">
        <f>X_Platf_WMS!AA25</f>
        <v/>
      </c>
      <c r="AB1022" s="650">
        <f>X_Platf_WMS!AB25</f>
        <v/>
      </c>
      <c r="AC1022" s="613">
        <f>X_Platf_WMS!AC25</f>
        <v/>
      </c>
      <c r="AD1022" s="613">
        <f>X_Platf_WMS!AD25</f>
        <v/>
      </c>
      <c r="AE1022" s="613">
        <f>X_Platf_WMS!AE25</f>
        <v/>
      </c>
      <c r="AF1022" s="613">
        <f>X_Platf_WMS!AF25</f>
        <v/>
      </c>
      <c r="AG1022" s="626">
        <f>X_Platf_WMS!AG25</f>
        <v/>
      </c>
      <c r="AH1022" s="626">
        <f>X_Platf_WMS!AH25</f>
        <v/>
      </c>
      <c r="AI1022" s="626">
        <f>X_Platf_WMS!AI25</f>
        <v/>
      </c>
      <c r="AJ1022" s="626">
        <f>X_Platf_WMS!AJ25</f>
        <v/>
      </c>
      <c r="AK1022" s="626">
        <f>X_Platf_WMS!AK25</f>
        <v/>
      </c>
      <c r="AL1022" s="626">
        <f>X_Platf_WMS!AL25</f>
        <v/>
      </c>
      <c r="AM1022" s="626">
        <f>X_Platf_WMS!AM25</f>
        <v/>
      </c>
      <c r="AN1022" s="626">
        <f>X_Platf_WMS!AN25</f>
        <v/>
      </c>
      <c r="AO1022" s="626">
        <f>X_Platf_WMS!AO25</f>
        <v/>
      </c>
      <c r="AP1022" s="369">
        <f>X_Platf_WMS!AP25</f>
        <v/>
      </c>
      <c r="AQ1022" s="369">
        <f>X_Platf_WMS!AQ25</f>
        <v/>
      </c>
      <c r="AR1022" s="369">
        <f>X_Platf_WMS!AR25</f>
        <v/>
      </c>
      <c r="AS1022" s="369">
        <f>X_Platf_WMS!AS25</f>
        <v/>
      </c>
      <c r="AT1022" s="370">
        <f>X_Platf_WMS!AT25</f>
        <v/>
      </c>
      <c r="AU1022" s="370">
        <f>X_Platf_WMS!AU25</f>
        <v/>
      </c>
      <c r="AV1022" s="370">
        <f>X_Platf_WMS!AV25</f>
        <v/>
      </c>
      <c r="AW1022" s="370">
        <f>X_Platf_WMS!AW25</f>
        <v/>
      </c>
      <c r="AX1022">
        <f>X_Platf_WMS!AX25</f>
        <v/>
      </c>
      <c r="AY1022">
        <f>X_Platf_WMS!AY25</f>
        <v/>
      </c>
      <c r="AZ1022">
        <f>X_Platf_WMS!AZ25</f>
        <v/>
      </c>
      <c r="BA1022">
        <f>X_Platf_WMS!BA25</f>
        <v/>
      </c>
      <c r="BB1022">
        <f>X_Platf_WMS!BB25</f>
        <v/>
      </c>
      <c r="BC1022">
        <f>X_Platf_WMS!BC25</f>
        <v/>
      </c>
      <c r="BD1022">
        <f>X_Platf_WMS!BD25</f>
        <v/>
      </c>
      <c r="BE1022">
        <f>X_Platf_WMS!BE25</f>
        <v/>
      </c>
      <c r="BF1022">
        <f>X_Platf_WMS!BF25</f>
        <v/>
      </c>
      <c r="BG1022">
        <f>X_Platf_WMS!BG25</f>
        <v/>
      </c>
      <c r="BH1022">
        <f>X_Platf_WMS!BH25</f>
        <v/>
      </c>
      <c r="BI1022">
        <f>X_Platf_WMS!BI25</f>
        <v/>
      </c>
      <c r="BJ1022">
        <f>O1022</f>
        <v/>
      </c>
      <c r="BK1022">
        <f>SUM(AG1022:AW1022)</f>
        <v/>
      </c>
      <c r="BL1022" s="531">
        <f>BJ1022-BK1022</f>
        <v/>
      </c>
      <c r="BM1022" s="201" t="n"/>
    </row>
    <row r="1023" hidden="1" outlineLevel="1" s="191">
      <c r="A1023">
        <f>X_Platf_WMS!A26</f>
        <v/>
      </c>
      <c r="B1023">
        <f>X_Platf_WMS!B26</f>
        <v/>
      </c>
      <c r="C1023">
        <f>X_Platf_WMS!C26</f>
        <v/>
      </c>
      <c r="D1023">
        <f>X_Platf_WMS!D26</f>
        <v/>
      </c>
      <c r="E1023">
        <f>X_Platf_WMS!E26</f>
        <v/>
      </c>
      <c r="F1023">
        <f>X_Platf_WMS!F26</f>
        <v/>
      </c>
      <c r="G1023">
        <f>X_Platf_WMS!G26</f>
        <v/>
      </c>
      <c r="H1023">
        <f>X_Platf_WMS!H26</f>
        <v/>
      </c>
      <c r="I1023">
        <f>X_Platf_WMS!I26</f>
        <v/>
      </c>
      <c r="J1023">
        <f>X_Platf_WMS!J26</f>
        <v/>
      </c>
      <c r="K1023" s="672">
        <f>X_Platf_WMS!K26</f>
        <v/>
      </c>
      <c r="L1023" s="672">
        <f>X_Platf_WMS!L26</f>
        <v/>
      </c>
      <c r="M1023">
        <f>X_Platf_WMS!M26</f>
        <v/>
      </c>
      <c r="N1023">
        <f>X_Platf_WMS!N26</f>
        <v/>
      </c>
      <c r="O1023">
        <f>X_Platf_WMS!O26</f>
        <v/>
      </c>
      <c r="P1023" s="628">
        <f>X_Platf_WMS!P26</f>
        <v/>
      </c>
      <c r="Q1023" s="628">
        <f>X_Platf_WMS!Q26</f>
        <v/>
      </c>
      <c r="R1023" s="628">
        <f>X_Platf_WMS!R26</f>
        <v/>
      </c>
      <c r="S1023" s="628">
        <f>X_Platf_WMS!S26</f>
        <v/>
      </c>
      <c r="T1023" s="628">
        <f>X_Platf_WMS!T26</f>
        <v/>
      </c>
      <c r="U1023" s="628">
        <f>X_Platf_WMS!U26</f>
        <v/>
      </c>
      <c r="V1023" s="628">
        <f>X_Platf_WMS!V26</f>
        <v/>
      </c>
      <c r="W1023" s="628">
        <f>X_Platf_WMS!W26</f>
        <v/>
      </c>
      <c r="X1023" s="628">
        <f>X_Platf_WMS!X26</f>
        <v/>
      </c>
      <c r="Y1023" s="650">
        <f>X_Platf_WMS!Y26</f>
        <v/>
      </c>
      <c r="Z1023" s="650">
        <f>X_Platf_WMS!Z26</f>
        <v/>
      </c>
      <c r="AA1023" s="650">
        <f>X_Platf_WMS!AA26</f>
        <v/>
      </c>
      <c r="AB1023" s="650">
        <f>X_Platf_WMS!AB26</f>
        <v/>
      </c>
      <c r="AC1023" s="613">
        <f>X_Platf_WMS!AC26</f>
        <v/>
      </c>
      <c r="AD1023" s="613">
        <f>X_Platf_WMS!AD26</f>
        <v/>
      </c>
      <c r="AE1023" s="613">
        <f>X_Platf_WMS!AE26</f>
        <v/>
      </c>
      <c r="AF1023" s="613">
        <f>X_Platf_WMS!AF26</f>
        <v/>
      </c>
      <c r="AG1023" s="626">
        <f>X_Platf_WMS!AG26</f>
        <v/>
      </c>
      <c r="AH1023" s="626">
        <f>X_Platf_WMS!AH26</f>
        <v/>
      </c>
      <c r="AI1023" s="626">
        <f>X_Platf_WMS!AI26</f>
        <v/>
      </c>
      <c r="AJ1023" s="626">
        <f>X_Platf_WMS!AJ26</f>
        <v/>
      </c>
      <c r="AK1023" s="626">
        <f>X_Platf_WMS!AK26</f>
        <v/>
      </c>
      <c r="AL1023" s="626">
        <f>X_Platf_WMS!AL26</f>
        <v/>
      </c>
      <c r="AM1023" s="626">
        <f>X_Platf_WMS!AM26</f>
        <v/>
      </c>
      <c r="AN1023" s="626">
        <f>X_Platf_WMS!AN26</f>
        <v/>
      </c>
      <c r="AO1023" s="626">
        <f>X_Platf_WMS!AO26</f>
        <v/>
      </c>
      <c r="AP1023" s="369">
        <f>X_Platf_WMS!AP26</f>
        <v/>
      </c>
      <c r="AQ1023" s="369">
        <f>X_Platf_WMS!AQ26</f>
        <v/>
      </c>
      <c r="AR1023" s="369">
        <f>X_Platf_WMS!AR26</f>
        <v/>
      </c>
      <c r="AS1023" s="369">
        <f>X_Platf_WMS!AS26</f>
        <v/>
      </c>
      <c r="AT1023" s="370">
        <f>X_Platf_WMS!AT26</f>
        <v/>
      </c>
      <c r="AU1023" s="370">
        <f>X_Platf_WMS!AU26</f>
        <v/>
      </c>
      <c r="AV1023" s="370">
        <f>X_Platf_WMS!AV26</f>
        <v/>
      </c>
      <c r="AW1023" s="370">
        <f>X_Platf_WMS!AW26</f>
        <v/>
      </c>
      <c r="AX1023">
        <f>X_Platf_WMS!AX26</f>
        <v/>
      </c>
      <c r="AY1023">
        <f>X_Platf_WMS!AY26</f>
        <v/>
      </c>
      <c r="AZ1023">
        <f>X_Platf_WMS!AZ26</f>
        <v/>
      </c>
      <c r="BA1023">
        <f>X_Platf_WMS!BA26</f>
        <v/>
      </c>
      <c r="BB1023">
        <f>X_Platf_WMS!BB26</f>
        <v/>
      </c>
      <c r="BC1023">
        <f>X_Platf_WMS!BC26</f>
        <v/>
      </c>
      <c r="BD1023">
        <f>X_Platf_WMS!BD26</f>
        <v/>
      </c>
      <c r="BE1023">
        <f>X_Platf_WMS!BE26</f>
        <v/>
      </c>
      <c r="BF1023">
        <f>X_Platf_WMS!BF26</f>
        <v/>
      </c>
      <c r="BG1023">
        <f>X_Platf_WMS!BG26</f>
        <v/>
      </c>
      <c r="BH1023">
        <f>X_Platf_WMS!BH26</f>
        <v/>
      </c>
      <c r="BI1023">
        <f>X_Platf_WMS!BI26</f>
        <v/>
      </c>
      <c r="BJ1023">
        <f>O1023</f>
        <v/>
      </c>
      <c r="BK1023">
        <f>SUM(AG1023:AW1023)</f>
        <v/>
      </c>
      <c r="BL1023" s="531">
        <f>BJ1023-BK1023</f>
        <v/>
      </c>
      <c r="BM1023" s="201" t="n"/>
    </row>
    <row r="1024" hidden="1" outlineLevel="1" s="191">
      <c r="A1024">
        <f>X_Platf_WMS!A27</f>
        <v/>
      </c>
      <c r="B1024">
        <f>X_Platf_WMS!B27</f>
        <v/>
      </c>
      <c r="C1024">
        <f>X_Platf_WMS!C27</f>
        <v/>
      </c>
      <c r="D1024">
        <f>X_Platf_WMS!D27</f>
        <v/>
      </c>
      <c r="E1024">
        <f>X_Platf_WMS!E27</f>
        <v/>
      </c>
      <c r="F1024">
        <f>X_Platf_WMS!F27</f>
        <v/>
      </c>
      <c r="G1024">
        <f>X_Platf_WMS!G27</f>
        <v/>
      </c>
      <c r="H1024">
        <f>X_Platf_WMS!H27</f>
        <v/>
      </c>
      <c r="I1024">
        <f>X_Platf_WMS!I27</f>
        <v/>
      </c>
      <c r="J1024">
        <f>X_Platf_WMS!J27</f>
        <v/>
      </c>
      <c r="K1024" s="672">
        <f>X_Platf_WMS!K27</f>
        <v/>
      </c>
      <c r="L1024" s="672">
        <f>X_Platf_WMS!L27</f>
        <v/>
      </c>
      <c r="M1024">
        <f>X_Platf_WMS!M27</f>
        <v/>
      </c>
      <c r="N1024">
        <f>X_Platf_WMS!N27</f>
        <v/>
      </c>
      <c r="O1024">
        <f>X_Platf_WMS!O27</f>
        <v/>
      </c>
      <c r="P1024" s="628">
        <f>X_Platf_WMS!P27</f>
        <v/>
      </c>
      <c r="Q1024" s="628">
        <f>X_Platf_WMS!Q27</f>
        <v/>
      </c>
      <c r="R1024" s="628">
        <f>X_Platf_WMS!R27</f>
        <v/>
      </c>
      <c r="S1024" s="628">
        <f>X_Platf_WMS!S27</f>
        <v/>
      </c>
      <c r="T1024" s="628">
        <f>X_Platf_WMS!T27</f>
        <v/>
      </c>
      <c r="U1024" s="628">
        <f>X_Platf_WMS!U27</f>
        <v/>
      </c>
      <c r="V1024" s="628">
        <f>X_Platf_WMS!V27</f>
        <v/>
      </c>
      <c r="W1024" s="628">
        <f>X_Platf_WMS!W27</f>
        <v/>
      </c>
      <c r="X1024" s="628">
        <f>X_Platf_WMS!X27</f>
        <v/>
      </c>
      <c r="Y1024" s="650">
        <f>X_Platf_WMS!Y27</f>
        <v/>
      </c>
      <c r="Z1024" s="650">
        <f>X_Platf_WMS!Z27</f>
        <v/>
      </c>
      <c r="AA1024" s="650">
        <f>X_Platf_WMS!AA27</f>
        <v/>
      </c>
      <c r="AB1024" s="650">
        <f>X_Platf_WMS!AB27</f>
        <v/>
      </c>
      <c r="AC1024" s="613">
        <f>X_Platf_WMS!AC27</f>
        <v/>
      </c>
      <c r="AD1024" s="613">
        <f>X_Platf_WMS!AD27</f>
        <v/>
      </c>
      <c r="AE1024" s="613">
        <f>X_Platf_WMS!AE27</f>
        <v/>
      </c>
      <c r="AF1024" s="613">
        <f>X_Platf_WMS!AF27</f>
        <v/>
      </c>
      <c r="AG1024" s="626">
        <f>X_Platf_WMS!AG27</f>
        <v/>
      </c>
      <c r="AH1024" s="626">
        <f>X_Platf_WMS!AH27</f>
        <v/>
      </c>
      <c r="AI1024" s="626">
        <f>X_Platf_WMS!AI27</f>
        <v/>
      </c>
      <c r="AJ1024" s="626">
        <f>X_Platf_WMS!AJ27</f>
        <v/>
      </c>
      <c r="AK1024" s="626">
        <f>X_Platf_WMS!AK27</f>
        <v/>
      </c>
      <c r="AL1024" s="626">
        <f>X_Platf_WMS!AL27</f>
        <v/>
      </c>
      <c r="AM1024" s="626">
        <f>X_Platf_WMS!AM27</f>
        <v/>
      </c>
      <c r="AN1024" s="626">
        <f>X_Platf_WMS!AN27</f>
        <v/>
      </c>
      <c r="AO1024" s="626">
        <f>X_Platf_WMS!AO27</f>
        <v/>
      </c>
      <c r="AP1024" s="369">
        <f>X_Platf_WMS!AP27</f>
        <v/>
      </c>
      <c r="AQ1024" s="369">
        <f>X_Platf_WMS!AQ27</f>
        <v/>
      </c>
      <c r="AR1024" s="369">
        <f>X_Platf_WMS!AR27</f>
        <v/>
      </c>
      <c r="AS1024" s="369">
        <f>X_Platf_WMS!AS27</f>
        <v/>
      </c>
      <c r="AT1024" s="370">
        <f>X_Platf_WMS!AT27</f>
        <v/>
      </c>
      <c r="AU1024" s="370">
        <f>X_Platf_WMS!AU27</f>
        <v/>
      </c>
      <c r="AV1024" s="370">
        <f>X_Platf_WMS!AV27</f>
        <v/>
      </c>
      <c r="AW1024" s="370">
        <f>X_Platf_WMS!AW27</f>
        <v/>
      </c>
      <c r="AX1024">
        <f>X_Platf_WMS!AX27</f>
        <v/>
      </c>
      <c r="AY1024">
        <f>X_Platf_WMS!AY27</f>
        <v/>
      </c>
      <c r="AZ1024">
        <f>X_Platf_WMS!AZ27</f>
        <v/>
      </c>
      <c r="BA1024">
        <f>X_Platf_WMS!BA27</f>
        <v/>
      </c>
      <c r="BB1024">
        <f>X_Platf_WMS!BB27</f>
        <v/>
      </c>
      <c r="BC1024">
        <f>X_Platf_WMS!BC27</f>
        <v/>
      </c>
      <c r="BD1024">
        <f>X_Platf_WMS!BD27</f>
        <v/>
      </c>
      <c r="BE1024">
        <f>X_Platf_WMS!BE27</f>
        <v/>
      </c>
      <c r="BF1024">
        <f>X_Platf_WMS!BF27</f>
        <v/>
      </c>
      <c r="BG1024">
        <f>X_Platf_WMS!BG27</f>
        <v/>
      </c>
      <c r="BH1024">
        <f>X_Platf_WMS!BH27</f>
        <v/>
      </c>
      <c r="BI1024">
        <f>X_Platf_WMS!BI27</f>
        <v/>
      </c>
      <c r="BJ1024">
        <f>O1024</f>
        <v/>
      </c>
      <c r="BK1024">
        <f>SUM(AG1024:AW1024)</f>
        <v/>
      </c>
      <c r="BL1024" s="531">
        <f>BJ1024-BK1024</f>
        <v/>
      </c>
      <c r="BM1024" s="201" t="n"/>
    </row>
    <row r="1025" hidden="1" outlineLevel="1" s="191">
      <c r="A1025">
        <f>X_Platf_WMS!A28</f>
        <v/>
      </c>
      <c r="B1025">
        <f>X_Platf_WMS!B28</f>
        <v/>
      </c>
      <c r="C1025">
        <f>X_Platf_WMS!C28</f>
        <v/>
      </c>
      <c r="D1025">
        <f>X_Platf_WMS!D28</f>
        <v/>
      </c>
      <c r="E1025">
        <f>X_Platf_WMS!E28</f>
        <v/>
      </c>
      <c r="F1025">
        <f>X_Platf_WMS!F28</f>
        <v/>
      </c>
      <c r="G1025">
        <f>X_Platf_WMS!G28</f>
        <v/>
      </c>
      <c r="H1025">
        <f>X_Platf_WMS!H28</f>
        <v/>
      </c>
      <c r="I1025">
        <f>X_Platf_WMS!I28</f>
        <v/>
      </c>
      <c r="J1025">
        <f>X_Platf_WMS!J28</f>
        <v/>
      </c>
      <c r="K1025" s="672">
        <f>X_Platf_WMS!K28</f>
        <v/>
      </c>
      <c r="L1025" s="672">
        <f>X_Platf_WMS!L28</f>
        <v/>
      </c>
      <c r="M1025">
        <f>X_Platf_WMS!M28</f>
        <v/>
      </c>
      <c r="N1025">
        <f>X_Platf_WMS!N28</f>
        <v/>
      </c>
      <c r="O1025">
        <f>X_Platf_WMS!O28</f>
        <v/>
      </c>
      <c r="P1025" s="628">
        <f>X_Platf_WMS!P28</f>
        <v/>
      </c>
      <c r="Q1025" s="628">
        <f>X_Platf_WMS!Q28</f>
        <v/>
      </c>
      <c r="R1025" s="628">
        <f>X_Platf_WMS!R28</f>
        <v/>
      </c>
      <c r="S1025" s="628">
        <f>X_Platf_WMS!S28</f>
        <v/>
      </c>
      <c r="T1025" s="628">
        <f>X_Platf_WMS!T28</f>
        <v/>
      </c>
      <c r="U1025" s="628">
        <f>X_Platf_WMS!U28</f>
        <v/>
      </c>
      <c r="V1025" s="628">
        <f>X_Platf_WMS!V28</f>
        <v/>
      </c>
      <c r="W1025" s="628">
        <f>X_Platf_WMS!W28</f>
        <v/>
      </c>
      <c r="X1025" s="628">
        <f>X_Platf_WMS!X28</f>
        <v/>
      </c>
      <c r="Y1025" s="650">
        <f>X_Platf_WMS!Y28</f>
        <v/>
      </c>
      <c r="Z1025" s="650">
        <f>X_Platf_WMS!Z28</f>
        <v/>
      </c>
      <c r="AA1025" s="650">
        <f>X_Platf_WMS!AA28</f>
        <v/>
      </c>
      <c r="AB1025" s="650">
        <f>X_Platf_WMS!AB28</f>
        <v/>
      </c>
      <c r="AC1025" s="613">
        <f>X_Platf_WMS!AC28</f>
        <v/>
      </c>
      <c r="AD1025" s="613">
        <f>X_Platf_WMS!AD28</f>
        <v/>
      </c>
      <c r="AE1025" s="613">
        <f>X_Platf_WMS!AE28</f>
        <v/>
      </c>
      <c r="AF1025" s="613">
        <f>X_Platf_WMS!AF28</f>
        <v/>
      </c>
      <c r="AG1025" s="626">
        <f>X_Platf_WMS!AG28</f>
        <v/>
      </c>
      <c r="AH1025" s="626">
        <f>X_Platf_WMS!AH28</f>
        <v/>
      </c>
      <c r="AI1025" s="626">
        <f>X_Platf_WMS!AI28</f>
        <v/>
      </c>
      <c r="AJ1025" s="626">
        <f>X_Platf_WMS!AJ28</f>
        <v/>
      </c>
      <c r="AK1025" s="626">
        <f>X_Platf_WMS!AK28</f>
        <v/>
      </c>
      <c r="AL1025" s="626">
        <f>X_Platf_WMS!AL28</f>
        <v/>
      </c>
      <c r="AM1025" s="626">
        <f>X_Platf_WMS!AM28</f>
        <v/>
      </c>
      <c r="AN1025" s="626">
        <f>X_Platf_WMS!AN28</f>
        <v/>
      </c>
      <c r="AO1025" s="626">
        <f>X_Platf_WMS!AO28</f>
        <v/>
      </c>
      <c r="AP1025" s="369">
        <f>X_Platf_WMS!AP28</f>
        <v/>
      </c>
      <c r="AQ1025" s="369">
        <f>X_Platf_WMS!AQ28</f>
        <v/>
      </c>
      <c r="AR1025" s="369">
        <f>X_Platf_WMS!AR28</f>
        <v/>
      </c>
      <c r="AS1025" s="369">
        <f>X_Platf_WMS!AS28</f>
        <v/>
      </c>
      <c r="AT1025" s="370">
        <f>X_Platf_WMS!AT28</f>
        <v/>
      </c>
      <c r="AU1025" s="370">
        <f>X_Platf_WMS!AU28</f>
        <v/>
      </c>
      <c r="AV1025" s="370">
        <f>X_Platf_WMS!AV28</f>
        <v/>
      </c>
      <c r="AW1025" s="370">
        <f>X_Platf_WMS!AW28</f>
        <v/>
      </c>
      <c r="AX1025">
        <f>X_Platf_WMS!AX28</f>
        <v/>
      </c>
      <c r="AY1025">
        <f>X_Platf_WMS!AY28</f>
        <v/>
      </c>
      <c r="AZ1025">
        <f>X_Platf_WMS!AZ28</f>
        <v/>
      </c>
      <c r="BA1025">
        <f>X_Platf_WMS!BA28</f>
        <v/>
      </c>
      <c r="BB1025">
        <f>X_Platf_WMS!BB28</f>
        <v/>
      </c>
      <c r="BC1025">
        <f>X_Platf_WMS!BC28</f>
        <v/>
      </c>
      <c r="BD1025">
        <f>X_Platf_WMS!BD28</f>
        <v/>
      </c>
      <c r="BE1025">
        <f>X_Platf_WMS!BE28</f>
        <v/>
      </c>
      <c r="BF1025">
        <f>X_Platf_WMS!BF28</f>
        <v/>
      </c>
      <c r="BG1025">
        <f>X_Platf_WMS!BG28</f>
        <v/>
      </c>
      <c r="BH1025">
        <f>X_Platf_WMS!BH28</f>
        <v/>
      </c>
      <c r="BI1025">
        <f>X_Platf_WMS!BI28</f>
        <v/>
      </c>
      <c r="BJ1025">
        <f>O1025</f>
        <v/>
      </c>
      <c r="BK1025">
        <f>SUM(AG1025:AW1025)</f>
        <v/>
      </c>
      <c r="BL1025" s="531">
        <f>BJ1025-BK1025</f>
        <v/>
      </c>
      <c r="BM1025" s="201" t="n"/>
    </row>
    <row r="1026" hidden="1" outlineLevel="1" s="191">
      <c r="A1026">
        <f>X_Platf_WMS!A29</f>
        <v/>
      </c>
      <c r="B1026">
        <f>X_Platf_WMS!B29</f>
        <v/>
      </c>
      <c r="C1026">
        <f>X_Platf_WMS!C29</f>
        <v/>
      </c>
      <c r="D1026">
        <f>X_Platf_WMS!D29</f>
        <v/>
      </c>
      <c r="E1026">
        <f>X_Platf_WMS!E29</f>
        <v/>
      </c>
      <c r="F1026">
        <f>X_Platf_WMS!F29</f>
        <v/>
      </c>
      <c r="G1026">
        <f>X_Platf_WMS!G29</f>
        <v/>
      </c>
      <c r="H1026">
        <f>X_Platf_WMS!H29</f>
        <v/>
      </c>
      <c r="I1026">
        <f>X_Platf_WMS!I29</f>
        <v/>
      </c>
      <c r="J1026">
        <f>X_Platf_WMS!J29</f>
        <v/>
      </c>
      <c r="K1026" s="672">
        <f>X_Platf_WMS!K29</f>
        <v/>
      </c>
      <c r="L1026" s="672">
        <f>X_Platf_WMS!L29</f>
        <v/>
      </c>
      <c r="M1026">
        <f>X_Platf_WMS!M29</f>
        <v/>
      </c>
      <c r="N1026">
        <f>X_Platf_WMS!N29</f>
        <v/>
      </c>
      <c r="O1026">
        <f>X_Platf_WMS!O29</f>
        <v/>
      </c>
      <c r="P1026" s="628">
        <f>X_Platf_WMS!P29</f>
        <v/>
      </c>
      <c r="Q1026" s="628">
        <f>X_Platf_WMS!Q29</f>
        <v/>
      </c>
      <c r="R1026" s="628">
        <f>X_Platf_WMS!R29</f>
        <v/>
      </c>
      <c r="S1026" s="628">
        <f>X_Platf_WMS!S29</f>
        <v/>
      </c>
      <c r="T1026" s="628">
        <f>X_Platf_WMS!T29</f>
        <v/>
      </c>
      <c r="U1026" s="628">
        <f>X_Platf_WMS!U29</f>
        <v/>
      </c>
      <c r="V1026" s="628">
        <f>X_Platf_WMS!V29</f>
        <v/>
      </c>
      <c r="W1026" s="628">
        <f>X_Platf_WMS!W29</f>
        <v/>
      </c>
      <c r="X1026" s="628">
        <f>X_Platf_WMS!X29</f>
        <v/>
      </c>
      <c r="Y1026" s="650">
        <f>X_Platf_WMS!Y29</f>
        <v/>
      </c>
      <c r="Z1026" s="650">
        <f>X_Platf_WMS!Z29</f>
        <v/>
      </c>
      <c r="AA1026" s="650">
        <f>X_Platf_WMS!AA29</f>
        <v/>
      </c>
      <c r="AB1026" s="650">
        <f>X_Platf_WMS!AB29</f>
        <v/>
      </c>
      <c r="AC1026" s="613">
        <f>X_Platf_WMS!AC29</f>
        <v/>
      </c>
      <c r="AD1026" s="613">
        <f>X_Platf_WMS!AD29</f>
        <v/>
      </c>
      <c r="AE1026" s="613">
        <f>X_Platf_WMS!AE29</f>
        <v/>
      </c>
      <c r="AF1026" s="613">
        <f>X_Platf_WMS!AF29</f>
        <v/>
      </c>
      <c r="AG1026" s="626">
        <f>X_Platf_WMS!AG29</f>
        <v/>
      </c>
      <c r="AH1026" s="626">
        <f>X_Platf_WMS!AH29</f>
        <v/>
      </c>
      <c r="AI1026" s="626">
        <f>X_Platf_WMS!AI29</f>
        <v/>
      </c>
      <c r="AJ1026" s="626">
        <f>X_Platf_WMS!AJ29</f>
        <v/>
      </c>
      <c r="AK1026" s="626">
        <f>X_Platf_WMS!AK29</f>
        <v/>
      </c>
      <c r="AL1026" s="626">
        <f>X_Platf_WMS!AL29</f>
        <v/>
      </c>
      <c r="AM1026" s="626">
        <f>X_Platf_WMS!AM29</f>
        <v/>
      </c>
      <c r="AN1026" s="626">
        <f>X_Platf_WMS!AN29</f>
        <v/>
      </c>
      <c r="AO1026" s="626">
        <f>X_Platf_WMS!AO29</f>
        <v/>
      </c>
      <c r="AP1026" s="369">
        <f>X_Platf_WMS!AP29</f>
        <v/>
      </c>
      <c r="AQ1026" s="369">
        <f>X_Platf_WMS!AQ29</f>
        <v/>
      </c>
      <c r="AR1026" s="369">
        <f>X_Platf_WMS!AR29</f>
        <v/>
      </c>
      <c r="AS1026" s="369">
        <f>X_Platf_WMS!AS29</f>
        <v/>
      </c>
      <c r="AT1026" s="370">
        <f>X_Platf_WMS!AT29</f>
        <v/>
      </c>
      <c r="AU1026" s="370">
        <f>X_Platf_WMS!AU29</f>
        <v/>
      </c>
      <c r="AV1026" s="370">
        <f>X_Platf_WMS!AV29</f>
        <v/>
      </c>
      <c r="AW1026" s="370">
        <f>X_Platf_WMS!AW29</f>
        <v/>
      </c>
      <c r="AX1026">
        <f>X_Platf_WMS!AX29</f>
        <v/>
      </c>
      <c r="AY1026">
        <f>X_Platf_WMS!AY29</f>
        <v/>
      </c>
      <c r="AZ1026">
        <f>X_Platf_WMS!AZ29</f>
        <v/>
      </c>
      <c r="BA1026">
        <f>X_Platf_WMS!BA29</f>
        <v/>
      </c>
      <c r="BB1026">
        <f>X_Platf_WMS!BB29</f>
        <v/>
      </c>
      <c r="BC1026">
        <f>X_Platf_WMS!BC29</f>
        <v/>
      </c>
      <c r="BD1026">
        <f>X_Platf_WMS!BD29</f>
        <v/>
      </c>
      <c r="BE1026">
        <f>X_Platf_WMS!BE29</f>
        <v/>
      </c>
      <c r="BF1026">
        <f>X_Platf_WMS!BF29</f>
        <v/>
      </c>
      <c r="BG1026">
        <f>X_Platf_WMS!BG29</f>
        <v/>
      </c>
      <c r="BH1026">
        <f>X_Platf_WMS!BH29</f>
        <v/>
      </c>
      <c r="BI1026">
        <f>X_Platf_WMS!BI29</f>
        <v/>
      </c>
      <c r="BJ1026">
        <f>O1026</f>
        <v/>
      </c>
      <c r="BK1026">
        <f>SUM(AG1026:AW1026)</f>
        <v/>
      </c>
      <c r="BL1026" s="531">
        <f>BJ1026-BK1026</f>
        <v/>
      </c>
      <c r="BM1026" s="201" t="n"/>
    </row>
    <row r="1027" hidden="1" outlineLevel="1" s="191">
      <c r="A1027">
        <f>X_Platf_WMS!A30</f>
        <v/>
      </c>
      <c r="B1027">
        <f>X_Platf_WMS!B30</f>
        <v/>
      </c>
      <c r="C1027">
        <f>X_Platf_WMS!C30</f>
        <v/>
      </c>
      <c r="D1027">
        <f>X_Platf_WMS!D30</f>
        <v/>
      </c>
      <c r="E1027">
        <f>X_Platf_WMS!E30</f>
        <v/>
      </c>
      <c r="F1027">
        <f>X_Platf_WMS!F30</f>
        <v/>
      </c>
      <c r="G1027">
        <f>X_Platf_WMS!G30</f>
        <v/>
      </c>
      <c r="H1027">
        <f>X_Platf_WMS!H30</f>
        <v/>
      </c>
      <c r="I1027">
        <f>X_Platf_WMS!I30</f>
        <v/>
      </c>
      <c r="J1027">
        <f>X_Platf_WMS!J30</f>
        <v/>
      </c>
      <c r="K1027" s="672">
        <f>X_Platf_WMS!K30</f>
        <v/>
      </c>
      <c r="L1027" s="672">
        <f>X_Platf_WMS!L30</f>
        <v/>
      </c>
      <c r="M1027">
        <f>X_Platf_WMS!M30</f>
        <v/>
      </c>
      <c r="N1027">
        <f>X_Platf_WMS!N30</f>
        <v/>
      </c>
      <c r="O1027">
        <f>X_Platf_WMS!O30</f>
        <v/>
      </c>
      <c r="P1027" s="628">
        <f>X_Platf_WMS!P30</f>
        <v/>
      </c>
      <c r="Q1027" s="628">
        <f>X_Platf_WMS!Q30</f>
        <v/>
      </c>
      <c r="R1027" s="628">
        <f>X_Platf_WMS!R30</f>
        <v/>
      </c>
      <c r="S1027" s="628">
        <f>X_Platf_WMS!S30</f>
        <v/>
      </c>
      <c r="T1027" s="628">
        <f>X_Platf_WMS!T30</f>
        <v/>
      </c>
      <c r="U1027" s="628">
        <f>X_Platf_WMS!U30</f>
        <v/>
      </c>
      <c r="V1027" s="628">
        <f>X_Platf_WMS!V30</f>
        <v/>
      </c>
      <c r="W1027" s="628">
        <f>X_Platf_WMS!W30</f>
        <v/>
      </c>
      <c r="X1027" s="628">
        <f>X_Platf_WMS!X30</f>
        <v/>
      </c>
      <c r="Y1027" s="650">
        <f>X_Platf_WMS!Y30</f>
        <v/>
      </c>
      <c r="Z1027" s="650">
        <f>X_Platf_WMS!Z30</f>
        <v/>
      </c>
      <c r="AA1027" s="650">
        <f>X_Platf_WMS!AA30</f>
        <v/>
      </c>
      <c r="AB1027" s="650">
        <f>X_Platf_WMS!AB30</f>
        <v/>
      </c>
      <c r="AC1027" s="613">
        <f>X_Platf_WMS!AC30</f>
        <v/>
      </c>
      <c r="AD1027" s="613">
        <f>X_Platf_WMS!AD30</f>
        <v/>
      </c>
      <c r="AE1027" s="613">
        <f>X_Platf_WMS!AE30</f>
        <v/>
      </c>
      <c r="AF1027" s="613">
        <f>X_Platf_WMS!AF30</f>
        <v/>
      </c>
      <c r="AG1027" s="626">
        <f>X_Platf_WMS!AG30</f>
        <v/>
      </c>
      <c r="AH1027" s="626">
        <f>X_Platf_WMS!AH30</f>
        <v/>
      </c>
      <c r="AI1027" s="626">
        <f>X_Platf_WMS!AI30</f>
        <v/>
      </c>
      <c r="AJ1027" s="626">
        <f>X_Platf_WMS!AJ30</f>
        <v/>
      </c>
      <c r="AK1027" s="626">
        <f>X_Platf_WMS!AK30</f>
        <v/>
      </c>
      <c r="AL1027" s="626">
        <f>X_Platf_WMS!AL30</f>
        <v/>
      </c>
      <c r="AM1027" s="626">
        <f>X_Platf_WMS!AM30</f>
        <v/>
      </c>
      <c r="AN1027" s="626">
        <f>X_Platf_WMS!AN30</f>
        <v/>
      </c>
      <c r="AO1027" s="626">
        <f>X_Platf_WMS!AO30</f>
        <v/>
      </c>
      <c r="AP1027" s="369">
        <f>X_Platf_WMS!AP30</f>
        <v/>
      </c>
      <c r="AQ1027" s="369">
        <f>X_Platf_WMS!AQ30</f>
        <v/>
      </c>
      <c r="AR1027" s="369">
        <f>X_Platf_WMS!AR30</f>
        <v/>
      </c>
      <c r="AS1027" s="369">
        <f>X_Platf_WMS!AS30</f>
        <v/>
      </c>
      <c r="AT1027" s="370">
        <f>X_Platf_WMS!AT30</f>
        <v/>
      </c>
      <c r="AU1027" s="370">
        <f>X_Platf_WMS!AU30</f>
        <v/>
      </c>
      <c r="AV1027" s="370">
        <f>X_Platf_WMS!AV30</f>
        <v/>
      </c>
      <c r="AW1027" s="370">
        <f>X_Platf_WMS!AW30</f>
        <v/>
      </c>
      <c r="AX1027">
        <f>X_Platf_WMS!AX30</f>
        <v/>
      </c>
      <c r="AY1027">
        <f>X_Platf_WMS!AY30</f>
        <v/>
      </c>
      <c r="AZ1027">
        <f>X_Platf_WMS!AZ30</f>
        <v/>
      </c>
      <c r="BA1027">
        <f>X_Platf_WMS!BA30</f>
        <v/>
      </c>
      <c r="BB1027">
        <f>X_Platf_WMS!BB30</f>
        <v/>
      </c>
      <c r="BC1027">
        <f>X_Platf_WMS!BC30</f>
        <v/>
      </c>
      <c r="BD1027">
        <f>X_Platf_WMS!BD30</f>
        <v/>
      </c>
      <c r="BE1027">
        <f>X_Platf_WMS!BE30</f>
        <v/>
      </c>
      <c r="BF1027">
        <f>X_Platf_WMS!BF30</f>
        <v/>
      </c>
      <c r="BG1027">
        <f>X_Platf_WMS!BG30</f>
        <v/>
      </c>
      <c r="BH1027">
        <f>X_Platf_WMS!BH30</f>
        <v/>
      </c>
      <c r="BI1027">
        <f>X_Platf_WMS!BI30</f>
        <v/>
      </c>
      <c r="BJ1027">
        <f>O1027</f>
        <v/>
      </c>
      <c r="BK1027">
        <f>SUM(AG1027:AW1027)</f>
        <v/>
      </c>
      <c r="BL1027" s="531">
        <f>BJ1027-BK1027</f>
        <v/>
      </c>
      <c r="BM1027" s="201" t="n"/>
    </row>
    <row r="1028" hidden="1" outlineLevel="1" s="191">
      <c r="A1028">
        <f>X_Platf_WMS!A31</f>
        <v/>
      </c>
      <c r="B1028">
        <f>X_Platf_WMS!B31</f>
        <v/>
      </c>
      <c r="C1028">
        <f>X_Platf_WMS!C31</f>
        <v/>
      </c>
      <c r="D1028">
        <f>X_Platf_WMS!D31</f>
        <v/>
      </c>
      <c r="E1028">
        <f>X_Platf_WMS!E31</f>
        <v/>
      </c>
      <c r="F1028">
        <f>X_Platf_WMS!F31</f>
        <v/>
      </c>
      <c r="G1028">
        <f>X_Platf_WMS!G31</f>
        <v/>
      </c>
      <c r="H1028">
        <f>X_Platf_WMS!H31</f>
        <v/>
      </c>
      <c r="I1028">
        <f>X_Platf_WMS!I31</f>
        <v/>
      </c>
      <c r="J1028">
        <f>X_Platf_WMS!J31</f>
        <v/>
      </c>
      <c r="K1028" s="672">
        <f>X_Platf_WMS!K31</f>
        <v/>
      </c>
      <c r="L1028" s="672">
        <f>X_Platf_WMS!L31</f>
        <v/>
      </c>
      <c r="M1028">
        <f>X_Platf_WMS!M31</f>
        <v/>
      </c>
      <c r="N1028">
        <f>X_Platf_WMS!N31</f>
        <v/>
      </c>
      <c r="O1028">
        <f>X_Platf_WMS!O31</f>
        <v/>
      </c>
      <c r="P1028" s="628">
        <f>X_Platf_WMS!P31</f>
        <v/>
      </c>
      <c r="Q1028" s="628">
        <f>X_Platf_WMS!Q31</f>
        <v/>
      </c>
      <c r="R1028" s="628">
        <f>X_Platf_WMS!R31</f>
        <v/>
      </c>
      <c r="S1028" s="628">
        <f>X_Platf_WMS!S31</f>
        <v/>
      </c>
      <c r="T1028" s="628">
        <f>X_Platf_WMS!T31</f>
        <v/>
      </c>
      <c r="U1028" s="628">
        <f>X_Platf_WMS!U31</f>
        <v/>
      </c>
      <c r="V1028" s="628">
        <f>X_Platf_WMS!V31</f>
        <v/>
      </c>
      <c r="W1028" s="628">
        <f>X_Platf_WMS!W31</f>
        <v/>
      </c>
      <c r="X1028" s="628">
        <f>X_Platf_WMS!X31</f>
        <v/>
      </c>
      <c r="Y1028" s="650">
        <f>X_Platf_WMS!Y31</f>
        <v/>
      </c>
      <c r="Z1028" s="650">
        <f>X_Platf_WMS!Z31</f>
        <v/>
      </c>
      <c r="AA1028" s="650">
        <f>X_Platf_WMS!AA31</f>
        <v/>
      </c>
      <c r="AB1028" s="650">
        <f>X_Platf_WMS!AB31</f>
        <v/>
      </c>
      <c r="AC1028" s="613">
        <f>X_Platf_WMS!AC31</f>
        <v/>
      </c>
      <c r="AD1028" s="613">
        <f>X_Platf_WMS!AD31</f>
        <v/>
      </c>
      <c r="AE1028" s="613">
        <f>X_Platf_WMS!AE31</f>
        <v/>
      </c>
      <c r="AF1028" s="613">
        <f>X_Platf_WMS!AF31</f>
        <v/>
      </c>
      <c r="AG1028" s="626">
        <f>X_Platf_WMS!AG31</f>
        <v/>
      </c>
      <c r="AH1028" s="626">
        <f>X_Platf_WMS!AH31</f>
        <v/>
      </c>
      <c r="AI1028" s="626">
        <f>X_Platf_WMS!AI31</f>
        <v/>
      </c>
      <c r="AJ1028" s="626">
        <f>X_Platf_WMS!AJ31</f>
        <v/>
      </c>
      <c r="AK1028" s="626">
        <f>X_Platf_WMS!AK31</f>
        <v/>
      </c>
      <c r="AL1028" s="626">
        <f>X_Platf_WMS!AL31</f>
        <v/>
      </c>
      <c r="AM1028" s="626">
        <f>X_Platf_WMS!AM31</f>
        <v/>
      </c>
      <c r="AN1028" s="626">
        <f>X_Platf_WMS!AN31</f>
        <v/>
      </c>
      <c r="AO1028" s="626">
        <f>X_Platf_WMS!AO31</f>
        <v/>
      </c>
      <c r="AP1028" s="369">
        <f>X_Platf_WMS!AP31</f>
        <v/>
      </c>
      <c r="AQ1028" s="369">
        <f>X_Platf_WMS!AQ31</f>
        <v/>
      </c>
      <c r="AR1028" s="369">
        <f>X_Platf_WMS!AR31</f>
        <v/>
      </c>
      <c r="AS1028" s="369">
        <f>X_Platf_WMS!AS31</f>
        <v/>
      </c>
      <c r="AT1028" s="370">
        <f>X_Platf_WMS!AT31</f>
        <v/>
      </c>
      <c r="AU1028" s="370">
        <f>X_Platf_WMS!AU31</f>
        <v/>
      </c>
      <c r="AV1028" s="370">
        <f>X_Platf_WMS!AV31</f>
        <v/>
      </c>
      <c r="AW1028" s="370">
        <f>X_Platf_WMS!AW31</f>
        <v/>
      </c>
      <c r="AX1028">
        <f>X_Platf_WMS!AX31</f>
        <v/>
      </c>
      <c r="AY1028">
        <f>X_Platf_WMS!AY31</f>
        <v/>
      </c>
      <c r="AZ1028">
        <f>X_Platf_WMS!AZ31</f>
        <v/>
      </c>
      <c r="BA1028">
        <f>X_Platf_WMS!BA31</f>
        <v/>
      </c>
      <c r="BB1028">
        <f>X_Platf_WMS!BB31</f>
        <v/>
      </c>
      <c r="BC1028">
        <f>X_Platf_WMS!BC31</f>
        <v/>
      </c>
      <c r="BD1028">
        <f>X_Platf_WMS!BD31</f>
        <v/>
      </c>
      <c r="BE1028">
        <f>X_Platf_WMS!BE31</f>
        <v/>
      </c>
      <c r="BF1028">
        <f>X_Platf_WMS!BF31</f>
        <v/>
      </c>
      <c r="BG1028">
        <f>X_Platf_WMS!BG31</f>
        <v/>
      </c>
      <c r="BH1028">
        <f>X_Platf_WMS!BH31</f>
        <v/>
      </c>
      <c r="BI1028">
        <f>X_Platf_WMS!BI31</f>
        <v/>
      </c>
      <c r="BJ1028">
        <f>O1028</f>
        <v/>
      </c>
      <c r="BK1028">
        <f>SUM(AG1028:AW1028)</f>
        <v/>
      </c>
      <c r="BL1028" s="531">
        <f>BJ1028-BK1028</f>
        <v/>
      </c>
      <c r="BM1028" s="201" t="n"/>
    </row>
    <row r="1029" hidden="1" outlineLevel="1" s="191">
      <c r="A1029">
        <f>X_Platf_WMS!A32</f>
        <v/>
      </c>
      <c r="B1029">
        <f>X_Platf_WMS!B32</f>
        <v/>
      </c>
      <c r="C1029">
        <f>X_Platf_WMS!C32</f>
        <v/>
      </c>
      <c r="D1029">
        <f>X_Platf_WMS!D32</f>
        <v/>
      </c>
      <c r="E1029">
        <f>X_Platf_WMS!E32</f>
        <v/>
      </c>
      <c r="F1029">
        <f>X_Platf_WMS!F32</f>
        <v/>
      </c>
      <c r="G1029">
        <f>X_Platf_WMS!G32</f>
        <v/>
      </c>
      <c r="H1029">
        <f>X_Platf_WMS!H32</f>
        <v/>
      </c>
      <c r="I1029">
        <f>X_Platf_WMS!I32</f>
        <v/>
      </c>
      <c r="J1029">
        <f>X_Platf_WMS!J32</f>
        <v/>
      </c>
      <c r="K1029" s="672">
        <f>X_Platf_WMS!K32</f>
        <v/>
      </c>
      <c r="L1029" s="672">
        <f>X_Platf_WMS!L32</f>
        <v/>
      </c>
      <c r="M1029">
        <f>X_Platf_WMS!M32</f>
        <v/>
      </c>
      <c r="N1029">
        <f>X_Platf_WMS!N32</f>
        <v/>
      </c>
      <c r="O1029">
        <f>X_Platf_WMS!O32</f>
        <v/>
      </c>
      <c r="P1029" s="628">
        <f>X_Platf_WMS!P32</f>
        <v/>
      </c>
      <c r="Q1029" s="628">
        <f>X_Platf_WMS!Q32</f>
        <v/>
      </c>
      <c r="R1029" s="628">
        <f>X_Platf_WMS!R32</f>
        <v/>
      </c>
      <c r="S1029" s="628">
        <f>X_Platf_WMS!S32</f>
        <v/>
      </c>
      <c r="T1029" s="628">
        <f>X_Platf_WMS!T32</f>
        <v/>
      </c>
      <c r="U1029" s="628">
        <f>X_Platf_WMS!U32</f>
        <v/>
      </c>
      <c r="V1029" s="628">
        <f>X_Platf_WMS!V32</f>
        <v/>
      </c>
      <c r="W1029" s="628">
        <f>X_Platf_WMS!W32</f>
        <v/>
      </c>
      <c r="X1029" s="628">
        <f>X_Platf_WMS!X32</f>
        <v/>
      </c>
      <c r="Y1029" s="650">
        <f>X_Platf_WMS!Y32</f>
        <v/>
      </c>
      <c r="Z1029" s="650">
        <f>X_Platf_WMS!Z32</f>
        <v/>
      </c>
      <c r="AA1029" s="650">
        <f>X_Platf_WMS!AA32</f>
        <v/>
      </c>
      <c r="AB1029" s="650">
        <f>X_Platf_WMS!AB32</f>
        <v/>
      </c>
      <c r="AC1029" s="613">
        <f>X_Platf_WMS!AC32</f>
        <v/>
      </c>
      <c r="AD1029" s="613">
        <f>X_Platf_WMS!AD32</f>
        <v/>
      </c>
      <c r="AE1029" s="613">
        <f>X_Platf_WMS!AE32</f>
        <v/>
      </c>
      <c r="AF1029" s="613">
        <f>X_Platf_WMS!AF32</f>
        <v/>
      </c>
      <c r="AG1029" s="626">
        <f>X_Platf_WMS!AG32</f>
        <v/>
      </c>
      <c r="AH1029" s="626">
        <f>X_Platf_WMS!AH32</f>
        <v/>
      </c>
      <c r="AI1029" s="626">
        <f>X_Platf_WMS!AI32</f>
        <v/>
      </c>
      <c r="AJ1029" s="626">
        <f>X_Platf_WMS!AJ32</f>
        <v/>
      </c>
      <c r="AK1029" s="626">
        <f>X_Platf_WMS!AK32</f>
        <v/>
      </c>
      <c r="AL1029" s="626">
        <f>X_Platf_WMS!AL32</f>
        <v/>
      </c>
      <c r="AM1029" s="626">
        <f>X_Platf_WMS!AM32</f>
        <v/>
      </c>
      <c r="AN1029" s="626">
        <f>X_Platf_WMS!AN32</f>
        <v/>
      </c>
      <c r="AO1029" s="626">
        <f>X_Platf_WMS!AO32</f>
        <v/>
      </c>
      <c r="AP1029" s="369">
        <f>X_Platf_WMS!AP32</f>
        <v/>
      </c>
      <c r="AQ1029" s="369">
        <f>X_Platf_WMS!AQ32</f>
        <v/>
      </c>
      <c r="AR1029" s="369">
        <f>X_Platf_WMS!AR32</f>
        <v/>
      </c>
      <c r="AS1029" s="369">
        <f>X_Platf_WMS!AS32</f>
        <v/>
      </c>
      <c r="AT1029" s="370">
        <f>X_Platf_WMS!AT32</f>
        <v/>
      </c>
      <c r="AU1029" s="370">
        <f>X_Platf_WMS!AU32</f>
        <v/>
      </c>
      <c r="AV1029" s="370">
        <f>X_Platf_WMS!AV32</f>
        <v/>
      </c>
      <c r="AW1029" s="370">
        <f>X_Platf_WMS!AW32</f>
        <v/>
      </c>
      <c r="AX1029">
        <f>X_Platf_WMS!AX32</f>
        <v/>
      </c>
      <c r="AY1029">
        <f>X_Platf_WMS!AY32</f>
        <v/>
      </c>
      <c r="AZ1029">
        <f>X_Platf_WMS!AZ32</f>
        <v/>
      </c>
      <c r="BA1029">
        <f>X_Platf_WMS!BA32</f>
        <v/>
      </c>
      <c r="BB1029">
        <f>X_Platf_WMS!BB32</f>
        <v/>
      </c>
      <c r="BC1029">
        <f>X_Platf_WMS!BC32</f>
        <v/>
      </c>
      <c r="BD1029">
        <f>X_Platf_WMS!BD32</f>
        <v/>
      </c>
      <c r="BE1029">
        <f>X_Platf_WMS!BE32</f>
        <v/>
      </c>
      <c r="BF1029">
        <f>X_Platf_WMS!BF32</f>
        <v/>
      </c>
      <c r="BG1029">
        <f>X_Platf_WMS!BG32</f>
        <v/>
      </c>
      <c r="BH1029">
        <f>X_Platf_WMS!BH32</f>
        <v/>
      </c>
      <c r="BI1029">
        <f>X_Platf_WMS!BI32</f>
        <v/>
      </c>
      <c r="BJ1029">
        <f>O1029</f>
        <v/>
      </c>
      <c r="BK1029">
        <f>SUM(AG1029:AW1029)</f>
        <v/>
      </c>
      <c r="BL1029" s="531">
        <f>BJ1029-BK1029</f>
        <v/>
      </c>
      <c r="BM1029" s="201" t="n"/>
    </row>
    <row r="1030" hidden="1" outlineLevel="1" s="191">
      <c r="A1030">
        <f>X_Platf_WMS!A33</f>
        <v/>
      </c>
      <c r="B1030">
        <f>X_Platf_WMS!B33</f>
        <v/>
      </c>
      <c r="C1030">
        <f>X_Platf_WMS!C33</f>
        <v/>
      </c>
      <c r="D1030">
        <f>X_Platf_WMS!D33</f>
        <v/>
      </c>
      <c r="E1030">
        <f>X_Platf_WMS!E33</f>
        <v/>
      </c>
      <c r="F1030">
        <f>X_Platf_WMS!F33</f>
        <v/>
      </c>
      <c r="G1030">
        <f>X_Platf_WMS!G33</f>
        <v/>
      </c>
      <c r="H1030">
        <f>X_Platf_WMS!H33</f>
        <v/>
      </c>
      <c r="I1030">
        <f>X_Platf_WMS!I33</f>
        <v/>
      </c>
      <c r="J1030">
        <f>X_Platf_WMS!J33</f>
        <v/>
      </c>
      <c r="K1030" s="672">
        <f>X_Platf_WMS!K33</f>
        <v/>
      </c>
      <c r="L1030" s="672">
        <f>X_Platf_WMS!L33</f>
        <v/>
      </c>
      <c r="M1030">
        <f>X_Platf_WMS!M33</f>
        <v/>
      </c>
      <c r="N1030">
        <f>X_Platf_WMS!N33</f>
        <v/>
      </c>
      <c r="O1030">
        <f>X_Platf_WMS!O33</f>
        <v/>
      </c>
      <c r="P1030" s="628">
        <f>X_Platf_WMS!P33</f>
        <v/>
      </c>
      <c r="Q1030" s="628">
        <f>X_Platf_WMS!Q33</f>
        <v/>
      </c>
      <c r="R1030" s="628">
        <f>X_Platf_WMS!R33</f>
        <v/>
      </c>
      <c r="S1030" s="628">
        <f>X_Platf_WMS!S33</f>
        <v/>
      </c>
      <c r="T1030" s="628">
        <f>X_Platf_WMS!T33</f>
        <v/>
      </c>
      <c r="U1030" s="628">
        <f>X_Platf_WMS!U33</f>
        <v/>
      </c>
      <c r="V1030" s="628">
        <f>X_Platf_WMS!V33</f>
        <v/>
      </c>
      <c r="W1030" s="628">
        <f>X_Platf_WMS!W33</f>
        <v/>
      </c>
      <c r="X1030" s="628">
        <f>X_Platf_WMS!X33</f>
        <v/>
      </c>
      <c r="Y1030" s="650">
        <f>X_Platf_WMS!Y33</f>
        <v/>
      </c>
      <c r="Z1030" s="650">
        <f>X_Platf_WMS!Z33</f>
        <v/>
      </c>
      <c r="AA1030" s="650">
        <f>X_Platf_WMS!AA33</f>
        <v/>
      </c>
      <c r="AB1030" s="650">
        <f>X_Platf_WMS!AB33</f>
        <v/>
      </c>
      <c r="AC1030" s="613">
        <f>X_Platf_WMS!AC33</f>
        <v/>
      </c>
      <c r="AD1030" s="613">
        <f>X_Platf_WMS!AD33</f>
        <v/>
      </c>
      <c r="AE1030" s="613">
        <f>X_Platf_WMS!AE33</f>
        <v/>
      </c>
      <c r="AF1030" s="613">
        <f>X_Platf_WMS!AF33</f>
        <v/>
      </c>
      <c r="AG1030" s="626">
        <f>X_Platf_WMS!AG33</f>
        <v/>
      </c>
      <c r="AH1030" s="626">
        <f>X_Platf_WMS!AH33</f>
        <v/>
      </c>
      <c r="AI1030" s="626">
        <f>X_Platf_WMS!AI33</f>
        <v/>
      </c>
      <c r="AJ1030" s="626">
        <f>X_Platf_WMS!AJ33</f>
        <v/>
      </c>
      <c r="AK1030" s="626">
        <f>X_Platf_WMS!AK33</f>
        <v/>
      </c>
      <c r="AL1030" s="626">
        <f>X_Platf_WMS!AL33</f>
        <v/>
      </c>
      <c r="AM1030" s="626">
        <f>X_Platf_WMS!AM33</f>
        <v/>
      </c>
      <c r="AN1030" s="626">
        <f>X_Platf_WMS!AN33</f>
        <v/>
      </c>
      <c r="AO1030" s="626">
        <f>X_Platf_WMS!AO33</f>
        <v/>
      </c>
      <c r="AP1030" s="369">
        <f>X_Platf_WMS!AP33</f>
        <v/>
      </c>
      <c r="AQ1030" s="369">
        <f>X_Platf_WMS!AQ33</f>
        <v/>
      </c>
      <c r="AR1030" s="369">
        <f>X_Platf_WMS!AR33</f>
        <v/>
      </c>
      <c r="AS1030" s="369">
        <f>X_Platf_WMS!AS33</f>
        <v/>
      </c>
      <c r="AT1030" s="370">
        <f>X_Platf_WMS!AT33</f>
        <v/>
      </c>
      <c r="AU1030" s="370">
        <f>X_Platf_WMS!AU33</f>
        <v/>
      </c>
      <c r="AV1030" s="370">
        <f>X_Platf_WMS!AV33</f>
        <v/>
      </c>
      <c r="AW1030" s="370">
        <f>X_Platf_WMS!AW33</f>
        <v/>
      </c>
      <c r="AX1030">
        <f>X_Platf_WMS!AX33</f>
        <v/>
      </c>
      <c r="AY1030">
        <f>X_Platf_WMS!AY33</f>
        <v/>
      </c>
      <c r="AZ1030">
        <f>X_Platf_WMS!AZ33</f>
        <v/>
      </c>
      <c r="BA1030">
        <f>X_Platf_WMS!BA33</f>
        <v/>
      </c>
      <c r="BB1030">
        <f>X_Platf_WMS!BB33</f>
        <v/>
      </c>
      <c r="BC1030">
        <f>X_Platf_WMS!BC33</f>
        <v/>
      </c>
      <c r="BD1030">
        <f>X_Platf_WMS!BD33</f>
        <v/>
      </c>
      <c r="BE1030">
        <f>X_Platf_WMS!BE33</f>
        <v/>
      </c>
      <c r="BF1030">
        <f>X_Platf_WMS!BF33</f>
        <v/>
      </c>
      <c r="BG1030">
        <f>X_Platf_WMS!BG33</f>
        <v/>
      </c>
      <c r="BH1030">
        <f>X_Platf_WMS!BH33</f>
        <v/>
      </c>
      <c r="BI1030">
        <f>X_Platf_WMS!BI33</f>
        <v/>
      </c>
      <c r="BJ1030">
        <f>O1030</f>
        <v/>
      </c>
      <c r="BK1030">
        <f>SUM(AG1030:AW1030)</f>
        <v/>
      </c>
      <c r="BL1030" s="531">
        <f>BJ1030-BK1030</f>
        <v/>
      </c>
      <c r="BM1030" s="201" t="n"/>
    </row>
    <row r="1031" hidden="1" outlineLevel="1" s="191">
      <c r="A1031">
        <f>X_Platf_WMS!A34</f>
        <v/>
      </c>
      <c r="B1031">
        <f>X_Platf_WMS!B34</f>
        <v/>
      </c>
      <c r="C1031">
        <f>X_Platf_WMS!C34</f>
        <v/>
      </c>
      <c r="D1031">
        <f>X_Platf_WMS!D34</f>
        <v/>
      </c>
      <c r="E1031">
        <f>X_Platf_WMS!E34</f>
        <v/>
      </c>
      <c r="F1031">
        <f>X_Platf_WMS!F34</f>
        <v/>
      </c>
      <c r="G1031">
        <f>X_Platf_WMS!G34</f>
        <v/>
      </c>
      <c r="H1031">
        <f>X_Platf_WMS!H34</f>
        <v/>
      </c>
      <c r="I1031">
        <f>X_Platf_WMS!I34</f>
        <v/>
      </c>
      <c r="J1031">
        <f>X_Platf_WMS!J34</f>
        <v/>
      </c>
      <c r="K1031" s="672">
        <f>X_Platf_WMS!K34</f>
        <v/>
      </c>
      <c r="L1031" s="672">
        <f>X_Platf_WMS!L34</f>
        <v/>
      </c>
      <c r="M1031">
        <f>X_Platf_WMS!M34</f>
        <v/>
      </c>
      <c r="N1031">
        <f>X_Platf_WMS!N34</f>
        <v/>
      </c>
      <c r="O1031">
        <f>X_Platf_WMS!O34</f>
        <v/>
      </c>
      <c r="P1031" s="628">
        <f>X_Platf_WMS!P34</f>
        <v/>
      </c>
      <c r="Q1031" s="628">
        <f>X_Platf_WMS!Q34</f>
        <v/>
      </c>
      <c r="R1031" s="628">
        <f>X_Platf_WMS!R34</f>
        <v/>
      </c>
      <c r="S1031" s="628">
        <f>X_Platf_WMS!S34</f>
        <v/>
      </c>
      <c r="T1031" s="628">
        <f>X_Platf_WMS!T34</f>
        <v/>
      </c>
      <c r="U1031" s="628">
        <f>X_Platf_WMS!U34</f>
        <v/>
      </c>
      <c r="V1031" s="628">
        <f>X_Platf_WMS!V34</f>
        <v/>
      </c>
      <c r="W1031" s="628">
        <f>X_Platf_WMS!W34</f>
        <v/>
      </c>
      <c r="X1031" s="628">
        <f>X_Platf_WMS!X34</f>
        <v/>
      </c>
      <c r="Y1031" s="650">
        <f>X_Platf_WMS!Y34</f>
        <v/>
      </c>
      <c r="Z1031" s="650">
        <f>X_Platf_WMS!Z34</f>
        <v/>
      </c>
      <c r="AA1031" s="650">
        <f>X_Platf_WMS!AA34</f>
        <v/>
      </c>
      <c r="AB1031" s="650">
        <f>X_Platf_WMS!AB34</f>
        <v/>
      </c>
      <c r="AC1031" s="613">
        <f>X_Platf_WMS!AC34</f>
        <v/>
      </c>
      <c r="AD1031" s="613">
        <f>X_Platf_WMS!AD34</f>
        <v/>
      </c>
      <c r="AE1031" s="613">
        <f>X_Platf_WMS!AE34</f>
        <v/>
      </c>
      <c r="AF1031" s="613">
        <f>X_Platf_WMS!AF34</f>
        <v/>
      </c>
      <c r="AG1031" s="626">
        <f>X_Platf_WMS!AG34</f>
        <v/>
      </c>
      <c r="AH1031" s="626">
        <f>X_Platf_WMS!AH34</f>
        <v/>
      </c>
      <c r="AI1031" s="626">
        <f>X_Platf_WMS!AI34</f>
        <v/>
      </c>
      <c r="AJ1031" s="626">
        <f>X_Platf_WMS!AJ34</f>
        <v/>
      </c>
      <c r="AK1031" s="626">
        <f>X_Platf_WMS!AK34</f>
        <v/>
      </c>
      <c r="AL1031" s="626">
        <f>X_Platf_WMS!AL34</f>
        <v/>
      </c>
      <c r="AM1031" s="626">
        <f>X_Platf_WMS!AM34</f>
        <v/>
      </c>
      <c r="AN1031" s="626">
        <f>X_Platf_WMS!AN34</f>
        <v/>
      </c>
      <c r="AO1031" s="626">
        <f>X_Platf_WMS!AO34</f>
        <v/>
      </c>
      <c r="AP1031" s="369">
        <f>X_Platf_WMS!AP34</f>
        <v/>
      </c>
      <c r="AQ1031" s="369">
        <f>X_Platf_WMS!AQ34</f>
        <v/>
      </c>
      <c r="AR1031" s="369">
        <f>X_Platf_WMS!AR34</f>
        <v/>
      </c>
      <c r="AS1031" s="369">
        <f>X_Platf_WMS!AS34</f>
        <v/>
      </c>
      <c r="AT1031" s="370">
        <f>X_Platf_WMS!AT34</f>
        <v/>
      </c>
      <c r="AU1031" s="370">
        <f>X_Platf_WMS!AU34</f>
        <v/>
      </c>
      <c r="AV1031" s="370">
        <f>X_Platf_WMS!AV34</f>
        <v/>
      </c>
      <c r="AW1031" s="370">
        <f>X_Platf_WMS!AW34</f>
        <v/>
      </c>
      <c r="AX1031">
        <f>X_Platf_WMS!AX34</f>
        <v/>
      </c>
      <c r="AY1031">
        <f>X_Platf_WMS!AY34</f>
        <v/>
      </c>
      <c r="AZ1031">
        <f>X_Platf_WMS!AZ34</f>
        <v/>
      </c>
      <c r="BA1031">
        <f>X_Platf_WMS!BA34</f>
        <v/>
      </c>
      <c r="BB1031">
        <f>X_Platf_WMS!BB34</f>
        <v/>
      </c>
      <c r="BC1031">
        <f>X_Platf_WMS!BC34</f>
        <v/>
      </c>
      <c r="BD1031">
        <f>X_Platf_WMS!BD34</f>
        <v/>
      </c>
      <c r="BE1031">
        <f>X_Platf_WMS!BE34</f>
        <v/>
      </c>
      <c r="BF1031">
        <f>X_Platf_WMS!BF34</f>
        <v/>
      </c>
      <c r="BG1031">
        <f>X_Platf_WMS!BG34</f>
        <v/>
      </c>
      <c r="BH1031">
        <f>X_Platf_WMS!BH34</f>
        <v/>
      </c>
      <c r="BI1031">
        <f>X_Platf_WMS!BI34</f>
        <v/>
      </c>
      <c r="BJ1031">
        <f>O1031</f>
        <v/>
      </c>
      <c r="BK1031">
        <f>SUM(AG1031:AW1031)</f>
        <v/>
      </c>
      <c r="BL1031" s="531">
        <f>BJ1031-BK1031</f>
        <v/>
      </c>
      <c r="BM1031" s="201" t="n"/>
    </row>
    <row r="1032" hidden="1" outlineLevel="1" s="191">
      <c r="A1032">
        <f>X_Platf_WMS!A35</f>
        <v/>
      </c>
      <c r="B1032">
        <f>X_Platf_WMS!B35</f>
        <v/>
      </c>
      <c r="C1032">
        <f>X_Platf_WMS!C35</f>
        <v/>
      </c>
      <c r="D1032">
        <f>X_Platf_WMS!D35</f>
        <v/>
      </c>
      <c r="E1032">
        <f>X_Platf_WMS!E35</f>
        <v/>
      </c>
      <c r="F1032">
        <f>X_Platf_WMS!F35</f>
        <v/>
      </c>
      <c r="G1032">
        <f>X_Platf_WMS!G35</f>
        <v/>
      </c>
      <c r="H1032">
        <f>X_Platf_WMS!H35</f>
        <v/>
      </c>
      <c r="I1032">
        <f>X_Platf_WMS!I35</f>
        <v/>
      </c>
      <c r="J1032">
        <f>X_Platf_WMS!J35</f>
        <v/>
      </c>
      <c r="K1032" s="672">
        <f>X_Platf_WMS!K35</f>
        <v/>
      </c>
      <c r="L1032" s="672">
        <f>X_Platf_WMS!L35</f>
        <v/>
      </c>
      <c r="M1032">
        <f>X_Platf_WMS!M35</f>
        <v/>
      </c>
      <c r="N1032">
        <f>X_Platf_WMS!N35</f>
        <v/>
      </c>
      <c r="O1032">
        <f>X_Platf_WMS!O35</f>
        <v/>
      </c>
      <c r="P1032" s="628">
        <f>X_Platf_WMS!P35</f>
        <v/>
      </c>
      <c r="Q1032" s="628">
        <f>X_Platf_WMS!Q35</f>
        <v/>
      </c>
      <c r="R1032" s="628">
        <f>X_Platf_WMS!R35</f>
        <v/>
      </c>
      <c r="S1032" s="628">
        <f>X_Platf_WMS!S35</f>
        <v/>
      </c>
      <c r="T1032" s="628">
        <f>X_Platf_WMS!T35</f>
        <v/>
      </c>
      <c r="U1032" s="628">
        <f>X_Platf_WMS!U35</f>
        <v/>
      </c>
      <c r="V1032" s="628">
        <f>X_Platf_WMS!V35</f>
        <v/>
      </c>
      <c r="W1032" s="628">
        <f>X_Platf_WMS!W35</f>
        <v/>
      </c>
      <c r="X1032" s="628">
        <f>X_Platf_WMS!X35</f>
        <v/>
      </c>
      <c r="Y1032" s="650">
        <f>X_Platf_WMS!Y35</f>
        <v/>
      </c>
      <c r="Z1032" s="650">
        <f>X_Platf_WMS!Z35</f>
        <v/>
      </c>
      <c r="AA1032" s="650">
        <f>X_Platf_WMS!AA35</f>
        <v/>
      </c>
      <c r="AB1032" s="650">
        <f>X_Platf_WMS!AB35</f>
        <v/>
      </c>
      <c r="AC1032" s="613">
        <f>X_Platf_WMS!AC35</f>
        <v/>
      </c>
      <c r="AD1032" s="613">
        <f>X_Platf_WMS!AD35</f>
        <v/>
      </c>
      <c r="AE1032" s="613">
        <f>X_Platf_WMS!AE35</f>
        <v/>
      </c>
      <c r="AF1032" s="613">
        <f>X_Platf_WMS!AF35</f>
        <v/>
      </c>
      <c r="AG1032" s="626">
        <f>X_Platf_WMS!AG35</f>
        <v/>
      </c>
      <c r="AH1032" s="626">
        <f>X_Platf_WMS!AH35</f>
        <v/>
      </c>
      <c r="AI1032" s="626">
        <f>X_Platf_WMS!AI35</f>
        <v/>
      </c>
      <c r="AJ1032" s="626">
        <f>X_Platf_WMS!AJ35</f>
        <v/>
      </c>
      <c r="AK1032" s="626">
        <f>X_Platf_WMS!AK35</f>
        <v/>
      </c>
      <c r="AL1032" s="626">
        <f>X_Platf_WMS!AL35</f>
        <v/>
      </c>
      <c r="AM1032" s="626">
        <f>X_Platf_WMS!AM35</f>
        <v/>
      </c>
      <c r="AN1032" s="626">
        <f>X_Platf_WMS!AN35</f>
        <v/>
      </c>
      <c r="AO1032" s="626">
        <f>X_Platf_WMS!AO35</f>
        <v/>
      </c>
      <c r="AP1032" s="369">
        <f>X_Platf_WMS!AP35</f>
        <v/>
      </c>
      <c r="AQ1032" s="369">
        <f>X_Platf_WMS!AQ35</f>
        <v/>
      </c>
      <c r="AR1032" s="369">
        <f>X_Platf_WMS!AR35</f>
        <v/>
      </c>
      <c r="AS1032" s="369">
        <f>X_Platf_WMS!AS35</f>
        <v/>
      </c>
      <c r="AT1032" s="370">
        <f>X_Platf_WMS!AT35</f>
        <v/>
      </c>
      <c r="AU1032" s="370">
        <f>X_Platf_WMS!AU35</f>
        <v/>
      </c>
      <c r="AV1032" s="370">
        <f>X_Platf_WMS!AV35</f>
        <v/>
      </c>
      <c r="AW1032" s="370">
        <f>X_Platf_WMS!AW35</f>
        <v/>
      </c>
      <c r="AX1032">
        <f>X_Platf_WMS!AX35</f>
        <v/>
      </c>
      <c r="AY1032">
        <f>X_Platf_WMS!AY35</f>
        <v/>
      </c>
      <c r="AZ1032">
        <f>X_Platf_WMS!AZ35</f>
        <v/>
      </c>
      <c r="BA1032">
        <f>X_Platf_WMS!BA35</f>
        <v/>
      </c>
      <c r="BB1032">
        <f>X_Platf_WMS!BB35</f>
        <v/>
      </c>
      <c r="BC1032">
        <f>X_Platf_WMS!BC35</f>
        <v/>
      </c>
      <c r="BD1032">
        <f>X_Platf_WMS!BD35</f>
        <v/>
      </c>
      <c r="BE1032">
        <f>X_Platf_WMS!BE35</f>
        <v/>
      </c>
      <c r="BF1032">
        <f>X_Platf_WMS!BF35</f>
        <v/>
      </c>
      <c r="BG1032">
        <f>X_Platf_WMS!BG35</f>
        <v/>
      </c>
      <c r="BH1032">
        <f>X_Platf_WMS!BH35</f>
        <v/>
      </c>
      <c r="BI1032">
        <f>X_Platf_WMS!BI35</f>
        <v/>
      </c>
      <c r="BJ1032">
        <f>O1032</f>
        <v/>
      </c>
      <c r="BK1032">
        <f>SUM(AG1032:AW1032)</f>
        <v/>
      </c>
      <c r="BL1032" s="531">
        <f>BJ1032-BK1032</f>
        <v/>
      </c>
      <c r="BM1032" s="201" t="n"/>
    </row>
    <row r="1033" hidden="1" outlineLevel="1" s="191">
      <c r="A1033">
        <f>X_Platf_WMS!A36</f>
        <v/>
      </c>
      <c r="B1033">
        <f>X_Platf_WMS!B36</f>
        <v/>
      </c>
      <c r="C1033">
        <f>X_Platf_WMS!C36</f>
        <v/>
      </c>
      <c r="D1033">
        <f>X_Platf_WMS!D36</f>
        <v/>
      </c>
      <c r="E1033">
        <f>X_Platf_WMS!E36</f>
        <v/>
      </c>
      <c r="F1033">
        <f>X_Platf_WMS!F36</f>
        <v/>
      </c>
      <c r="G1033">
        <f>X_Platf_WMS!G36</f>
        <v/>
      </c>
      <c r="H1033">
        <f>X_Platf_WMS!H36</f>
        <v/>
      </c>
      <c r="I1033">
        <f>X_Platf_WMS!I36</f>
        <v/>
      </c>
      <c r="J1033">
        <f>X_Platf_WMS!J36</f>
        <v/>
      </c>
      <c r="K1033" s="672">
        <f>X_Platf_WMS!K36</f>
        <v/>
      </c>
      <c r="L1033" s="672">
        <f>X_Platf_WMS!L36</f>
        <v/>
      </c>
      <c r="M1033">
        <f>X_Platf_WMS!M36</f>
        <v/>
      </c>
      <c r="N1033">
        <f>X_Platf_WMS!N36</f>
        <v/>
      </c>
      <c r="O1033">
        <f>X_Platf_WMS!O36</f>
        <v/>
      </c>
      <c r="P1033" s="628">
        <f>X_Platf_WMS!P36</f>
        <v/>
      </c>
      <c r="Q1033" s="628">
        <f>X_Platf_WMS!Q36</f>
        <v/>
      </c>
      <c r="R1033" s="628">
        <f>X_Platf_WMS!R36</f>
        <v/>
      </c>
      <c r="S1033" s="628">
        <f>X_Platf_WMS!S36</f>
        <v/>
      </c>
      <c r="T1033" s="628">
        <f>X_Platf_WMS!T36</f>
        <v/>
      </c>
      <c r="U1033" s="628">
        <f>X_Platf_WMS!U36</f>
        <v/>
      </c>
      <c r="V1033" s="628">
        <f>X_Platf_WMS!V36</f>
        <v/>
      </c>
      <c r="W1033" s="628">
        <f>X_Platf_WMS!W36</f>
        <v/>
      </c>
      <c r="X1033" s="628">
        <f>X_Platf_WMS!X36</f>
        <v/>
      </c>
      <c r="Y1033" s="650">
        <f>X_Platf_WMS!Y36</f>
        <v/>
      </c>
      <c r="Z1033" s="650">
        <f>X_Platf_WMS!Z36</f>
        <v/>
      </c>
      <c r="AA1033" s="650">
        <f>X_Platf_WMS!AA36</f>
        <v/>
      </c>
      <c r="AB1033" s="650">
        <f>X_Platf_WMS!AB36</f>
        <v/>
      </c>
      <c r="AC1033" s="613">
        <f>X_Platf_WMS!AC36</f>
        <v/>
      </c>
      <c r="AD1033" s="613">
        <f>X_Platf_WMS!AD36</f>
        <v/>
      </c>
      <c r="AE1033" s="613">
        <f>X_Platf_WMS!AE36</f>
        <v/>
      </c>
      <c r="AF1033" s="613">
        <f>X_Platf_WMS!AF36</f>
        <v/>
      </c>
      <c r="AG1033" s="626">
        <f>X_Platf_WMS!AG36</f>
        <v/>
      </c>
      <c r="AH1033" s="626">
        <f>X_Platf_WMS!AH36</f>
        <v/>
      </c>
      <c r="AI1033" s="626">
        <f>X_Platf_WMS!AI36</f>
        <v/>
      </c>
      <c r="AJ1033" s="626">
        <f>X_Platf_WMS!AJ36</f>
        <v/>
      </c>
      <c r="AK1033" s="626">
        <f>X_Platf_WMS!AK36</f>
        <v/>
      </c>
      <c r="AL1033" s="626">
        <f>X_Platf_WMS!AL36</f>
        <v/>
      </c>
      <c r="AM1033" s="626">
        <f>X_Platf_WMS!AM36</f>
        <v/>
      </c>
      <c r="AN1033" s="626">
        <f>X_Platf_WMS!AN36</f>
        <v/>
      </c>
      <c r="AO1033" s="626">
        <f>X_Platf_WMS!AO36</f>
        <v/>
      </c>
      <c r="AP1033" s="369">
        <f>X_Platf_WMS!AP36</f>
        <v/>
      </c>
      <c r="AQ1033" s="369">
        <f>X_Platf_WMS!AQ36</f>
        <v/>
      </c>
      <c r="AR1033" s="369">
        <f>X_Platf_WMS!AR36</f>
        <v/>
      </c>
      <c r="AS1033" s="369">
        <f>X_Platf_WMS!AS36</f>
        <v/>
      </c>
      <c r="AT1033" s="370">
        <f>X_Platf_WMS!AT36</f>
        <v/>
      </c>
      <c r="AU1033" s="370">
        <f>X_Platf_WMS!AU36</f>
        <v/>
      </c>
      <c r="AV1033" s="370">
        <f>X_Platf_WMS!AV36</f>
        <v/>
      </c>
      <c r="AW1033" s="370">
        <f>X_Platf_WMS!AW36</f>
        <v/>
      </c>
      <c r="AX1033">
        <f>X_Platf_WMS!AX36</f>
        <v/>
      </c>
      <c r="AY1033">
        <f>X_Platf_WMS!AY36</f>
        <v/>
      </c>
      <c r="AZ1033">
        <f>X_Platf_WMS!AZ36</f>
        <v/>
      </c>
      <c r="BA1033">
        <f>X_Platf_WMS!BA36</f>
        <v/>
      </c>
      <c r="BB1033">
        <f>X_Platf_WMS!BB36</f>
        <v/>
      </c>
      <c r="BC1033">
        <f>X_Platf_WMS!BC36</f>
        <v/>
      </c>
      <c r="BD1033">
        <f>X_Platf_WMS!BD36</f>
        <v/>
      </c>
      <c r="BE1033">
        <f>X_Platf_WMS!BE36</f>
        <v/>
      </c>
      <c r="BF1033">
        <f>X_Platf_WMS!BF36</f>
        <v/>
      </c>
      <c r="BG1033">
        <f>X_Platf_WMS!BG36</f>
        <v/>
      </c>
      <c r="BH1033">
        <f>X_Platf_WMS!BH36</f>
        <v/>
      </c>
      <c r="BI1033">
        <f>X_Platf_WMS!BI36</f>
        <v/>
      </c>
      <c r="BJ1033">
        <f>O1033</f>
        <v/>
      </c>
      <c r="BK1033">
        <f>SUM(AG1033:AW1033)</f>
        <v/>
      </c>
      <c r="BL1033" s="531">
        <f>BJ1033-BK1033</f>
        <v/>
      </c>
      <c r="BM1033" s="201" t="n"/>
    </row>
    <row r="1034" hidden="1" outlineLevel="1" s="191">
      <c r="A1034">
        <f>X_Platf_WMS!A37</f>
        <v/>
      </c>
      <c r="B1034">
        <f>X_Platf_WMS!B37</f>
        <v/>
      </c>
      <c r="C1034">
        <f>X_Platf_WMS!C37</f>
        <v/>
      </c>
      <c r="D1034">
        <f>X_Platf_WMS!D37</f>
        <v/>
      </c>
      <c r="E1034">
        <f>X_Platf_WMS!E37</f>
        <v/>
      </c>
      <c r="F1034">
        <f>X_Platf_WMS!F37</f>
        <v/>
      </c>
      <c r="G1034">
        <f>X_Platf_WMS!G37</f>
        <v/>
      </c>
      <c r="H1034">
        <f>X_Platf_WMS!H37</f>
        <v/>
      </c>
      <c r="I1034">
        <f>X_Platf_WMS!I37</f>
        <v/>
      </c>
      <c r="J1034">
        <f>X_Platf_WMS!J37</f>
        <v/>
      </c>
      <c r="K1034" s="672">
        <f>X_Platf_WMS!K37</f>
        <v/>
      </c>
      <c r="L1034" s="672">
        <f>X_Platf_WMS!L37</f>
        <v/>
      </c>
      <c r="M1034">
        <f>X_Platf_WMS!M37</f>
        <v/>
      </c>
      <c r="N1034">
        <f>X_Platf_WMS!N37</f>
        <v/>
      </c>
      <c r="O1034">
        <f>X_Platf_WMS!O37</f>
        <v/>
      </c>
      <c r="P1034" s="628">
        <f>X_Platf_WMS!P37</f>
        <v/>
      </c>
      <c r="Q1034" s="628">
        <f>X_Platf_WMS!Q37</f>
        <v/>
      </c>
      <c r="R1034" s="628">
        <f>X_Platf_WMS!R37</f>
        <v/>
      </c>
      <c r="S1034" s="628">
        <f>X_Platf_WMS!S37</f>
        <v/>
      </c>
      <c r="T1034" s="628">
        <f>X_Platf_WMS!T37</f>
        <v/>
      </c>
      <c r="U1034" s="628">
        <f>X_Platf_WMS!U37</f>
        <v/>
      </c>
      <c r="V1034" s="628">
        <f>X_Platf_WMS!V37</f>
        <v/>
      </c>
      <c r="W1034" s="628">
        <f>X_Platf_WMS!W37</f>
        <v/>
      </c>
      <c r="X1034" s="628">
        <f>X_Platf_WMS!X37</f>
        <v/>
      </c>
      <c r="Y1034" s="650">
        <f>X_Platf_WMS!Y37</f>
        <v/>
      </c>
      <c r="Z1034" s="650">
        <f>X_Platf_WMS!Z37</f>
        <v/>
      </c>
      <c r="AA1034" s="650">
        <f>X_Platf_WMS!AA37</f>
        <v/>
      </c>
      <c r="AB1034" s="650">
        <f>X_Platf_WMS!AB37</f>
        <v/>
      </c>
      <c r="AC1034" s="613">
        <f>X_Platf_WMS!AC37</f>
        <v/>
      </c>
      <c r="AD1034" s="613">
        <f>X_Platf_WMS!AD37</f>
        <v/>
      </c>
      <c r="AE1034" s="613">
        <f>X_Platf_WMS!AE37</f>
        <v/>
      </c>
      <c r="AF1034" s="613">
        <f>X_Platf_WMS!AF37</f>
        <v/>
      </c>
      <c r="AG1034" s="626">
        <f>X_Platf_WMS!AG37</f>
        <v/>
      </c>
      <c r="AH1034" s="626">
        <f>X_Platf_WMS!AH37</f>
        <v/>
      </c>
      <c r="AI1034" s="626">
        <f>X_Platf_WMS!AI37</f>
        <v/>
      </c>
      <c r="AJ1034" s="626">
        <f>X_Platf_WMS!AJ37</f>
        <v/>
      </c>
      <c r="AK1034" s="626">
        <f>X_Platf_WMS!AK37</f>
        <v/>
      </c>
      <c r="AL1034" s="626">
        <f>X_Platf_WMS!AL37</f>
        <v/>
      </c>
      <c r="AM1034" s="626">
        <f>X_Platf_WMS!AM37</f>
        <v/>
      </c>
      <c r="AN1034" s="626">
        <f>X_Platf_WMS!AN37</f>
        <v/>
      </c>
      <c r="AO1034" s="626">
        <f>X_Platf_WMS!AO37</f>
        <v/>
      </c>
      <c r="AP1034" s="369">
        <f>X_Platf_WMS!AP37</f>
        <v/>
      </c>
      <c r="AQ1034" s="369">
        <f>X_Platf_WMS!AQ37</f>
        <v/>
      </c>
      <c r="AR1034" s="369">
        <f>X_Platf_WMS!AR37</f>
        <v/>
      </c>
      <c r="AS1034" s="369">
        <f>X_Platf_WMS!AS37</f>
        <v/>
      </c>
      <c r="AT1034" s="370">
        <f>X_Platf_WMS!AT37</f>
        <v/>
      </c>
      <c r="AU1034" s="370">
        <f>X_Platf_WMS!AU37</f>
        <v/>
      </c>
      <c r="AV1034" s="370">
        <f>X_Platf_WMS!AV37</f>
        <v/>
      </c>
      <c r="AW1034" s="370">
        <f>X_Platf_WMS!AW37</f>
        <v/>
      </c>
      <c r="AX1034">
        <f>X_Platf_WMS!AX37</f>
        <v/>
      </c>
      <c r="AY1034">
        <f>X_Platf_WMS!AY37</f>
        <v/>
      </c>
      <c r="AZ1034">
        <f>X_Platf_WMS!AZ37</f>
        <v/>
      </c>
      <c r="BA1034">
        <f>X_Platf_WMS!BA37</f>
        <v/>
      </c>
      <c r="BB1034">
        <f>X_Platf_WMS!BB37</f>
        <v/>
      </c>
      <c r="BC1034">
        <f>X_Platf_WMS!BC37</f>
        <v/>
      </c>
      <c r="BD1034">
        <f>X_Platf_WMS!BD37</f>
        <v/>
      </c>
      <c r="BE1034">
        <f>X_Platf_WMS!BE37</f>
        <v/>
      </c>
      <c r="BF1034">
        <f>X_Platf_WMS!BF37</f>
        <v/>
      </c>
      <c r="BG1034">
        <f>X_Platf_WMS!BG37</f>
        <v/>
      </c>
      <c r="BH1034">
        <f>X_Platf_WMS!BH37</f>
        <v/>
      </c>
      <c r="BI1034">
        <f>X_Platf_WMS!BI37</f>
        <v/>
      </c>
      <c r="BJ1034">
        <f>O1034</f>
        <v/>
      </c>
      <c r="BK1034">
        <f>SUM(AG1034:AW1034)</f>
        <v/>
      </c>
      <c r="BL1034" s="531">
        <f>BJ1034-BK1034</f>
        <v/>
      </c>
      <c r="BM1034" s="201" t="n"/>
    </row>
    <row r="1035" hidden="1" outlineLevel="1" s="191">
      <c r="A1035">
        <f>X_Platf_WMS!A38</f>
        <v/>
      </c>
      <c r="B1035">
        <f>X_Platf_WMS!B38</f>
        <v/>
      </c>
      <c r="C1035">
        <f>X_Platf_WMS!C38</f>
        <v/>
      </c>
      <c r="D1035">
        <f>X_Platf_WMS!D38</f>
        <v/>
      </c>
      <c r="E1035">
        <f>X_Platf_WMS!E38</f>
        <v/>
      </c>
      <c r="F1035">
        <f>X_Platf_WMS!F38</f>
        <v/>
      </c>
      <c r="G1035">
        <f>X_Platf_WMS!G38</f>
        <v/>
      </c>
      <c r="H1035">
        <f>X_Platf_WMS!H38</f>
        <v/>
      </c>
      <c r="I1035">
        <f>X_Platf_WMS!I38</f>
        <v/>
      </c>
      <c r="J1035">
        <f>X_Platf_WMS!J38</f>
        <v/>
      </c>
      <c r="K1035" s="672">
        <f>X_Platf_WMS!K38</f>
        <v/>
      </c>
      <c r="L1035" s="672">
        <f>X_Platf_WMS!L38</f>
        <v/>
      </c>
      <c r="M1035">
        <f>X_Platf_WMS!M38</f>
        <v/>
      </c>
      <c r="N1035">
        <f>X_Platf_WMS!N38</f>
        <v/>
      </c>
      <c r="O1035">
        <f>X_Platf_WMS!O38</f>
        <v/>
      </c>
      <c r="P1035" s="628">
        <f>X_Platf_WMS!P38</f>
        <v/>
      </c>
      <c r="Q1035" s="628">
        <f>X_Platf_WMS!Q38</f>
        <v/>
      </c>
      <c r="R1035" s="628">
        <f>X_Platf_WMS!R38</f>
        <v/>
      </c>
      <c r="S1035" s="628">
        <f>X_Platf_WMS!S38</f>
        <v/>
      </c>
      <c r="T1035" s="628">
        <f>X_Platf_WMS!T38</f>
        <v/>
      </c>
      <c r="U1035" s="628">
        <f>X_Platf_WMS!U38</f>
        <v/>
      </c>
      <c r="V1035" s="628">
        <f>X_Platf_WMS!V38</f>
        <v/>
      </c>
      <c r="W1035" s="628">
        <f>X_Platf_WMS!W38</f>
        <v/>
      </c>
      <c r="X1035" s="628">
        <f>X_Platf_WMS!X38</f>
        <v/>
      </c>
      <c r="Y1035" s="650">
        <f>X_Platf_WMS!Y38</f>
        <v/>
      </c>
      <c r="Z1035" s="650">
        <f>X_Platf_WMS!Z38</f>
        <v/>
      </c>
      <c r="AA1035" s="650">
        <f>X_Platf_WMS!AA38</f>
        <v/>
      </c>
      <c r="AB1035" s="650">
        <f>X_Platf_WMS!AB38</f>
        <v/>
      </c>
      <c r="AC1035" s="613">
        <f>X_Platf_WMS!AC38</f>
        <v/>
      </c>
      <c r="AD1035" s="613">
        <f>X_Platf_WMS!AD38</f>
        <v/>
      </c>
      <c r="AE1035" s="613">
        <f>X_Platf_WMS!AE38</f>
        <v/>
      </c>
      <c r="AF1035" s="613">
        <f>X_Platf_WMS!AF38</f>
        <v/>
      </c>
      <c r="AG1035" s="626">
        <f>X_Platf_WMS!AG38</f>
        <v/>
      </c>
      <c r="AH1035" s="626">
        <f>X_Platf_WMS!AH38</f>
        <v/>
      </c>
      <c r="AI1035" s="626">
        <f>X_Platf_WMS!AI38</f>
        <v/>
      </c>
      <c r="AJ1035" s="626">
        <f>X_Platf_WMS!AJ38</f>
        <v/>
      </c>
      <c r="AK1035" s="626">
        <f>X_Platf_WMS!AK38</f>
        <v/>
      </c>
      <c r="AL1035" s="626">
        <f>X_Platf_WMS!AL38</f>
        <v/>
      </c>
      <c r="AM1035" s="626">
        <f>X_Platf_WMS!AM38</f>
        <v/>
      </c>
      <c r="AN1035" s="626">
        <f>X_Platf_WMS!AN38</f>
        <v/>
      </c>
      <c r="AO1035" s="626">
        <f>X_Platf_WMS!AO38</f>
        <v/>
      </c>
      <c r="AP1035" s="369">
        <f>X_Platf_WMS!AP38</f>
        <v/>
      </c>
      <c r="AQ1035" s="369">
        <f>X_Platf_WMS!AQ38</f>
        <v/>
      </c>
      <c r="AR1035" s="369">
        <f>X_Platf_WMS!AR38</f>
        <v/>
      </c>
      <c r="AS1035" s="369">
        <f>X_Platf_WMS!AS38</f>
        <v/>
      </c>
      <c r="AT1035" s="370">
        <f>X_Platf_WMS!AT38</f>
        <v/>
      </c>
      <c r="AU1035" s="370">
        <f>X_Platf_WMS!AU38</f>
        <v/>
      </c>
      <c r="AV1035" s="370">
        <f>X_Platf_WMS!AV38</f>
        <v/>
      </c>
      <c r="AW1035" s="370">
        <f>X_Platf_WMS!AW38</f>
        <v/>
      </c>
      <c r="AX1035">
        <f>X_Platf_WMS!AX38</f>
        <v/>
      </c>
      <c r="AY1035">
        <f>X_Platf_WMS!AY38</f>
        <v/>
      </c>
      <c r="AZ1035">
        <f>X_Platf_WMS!AZ38</f>
        <v/>
      </c>
      <c r="BA1035">
        <f>X_Platf_WMS!BA38</f>
        <v/>
      </c>
      <c r="BB1035">
        <f>X_Platf_WMS!BB38</f>
        <v/>
      </c>
      <c r="BC1035">
        <f>X_Platf_WMS!BC38</f>
        <v/>
      </c>
      <c r="BD1035">
        <f>X_Platf_WMS!BD38</f>
        <v/>
      </c>
      <c r="BE1035">
        <f>X_Platf_WMS!BE38</f>
        <v/>
      </c>
      <c r="BF1035">
        <f>X_Platf_WMS!BF38</f>
        <v/>
      </c>
      <c r="BG1035">
        <f>X_Platf_WMS!BG38</f>
        <v/>
      </c>
      <c r="BH1035">
        <f>X_Platf_WMS!BH38</f>
        <v/>
      </c>
      <c r="BI1035">
        <f>X_Platf_WMS!BI38</f>
        <v/>
      </c>
      <c r="BJ1035">
        <f>O1035</f>
        <v/>
      </c>
      <c r="BK1035">
        <f>SUM(AG1035:AW1035)</f>
        <v/>
      </c>
      <c r="BL1035" s="531">
        <f>BJ1035-BK1035</f>
        <v/>
      </c>
      <c r="BM1035" s="201" t="n"/>
    </row>
    <row r="1036" hidden="1" outlineLevel="1" s="191">
      <c r="A1036">
        <f>X_Platf_WMS!A39</f>
        <v/>
      </c>
      <c r="B1036">
        <f>X_Platf_WMS!B39</f>
        <v/>
      </c>
      <c r="C1036">
        <f>X_Platf_WMS!C39</f>
        <v/>
      </c>
      <c r="D1036">
        <f>X_Platf_WMS!D39</f>
        <v/>
      </c>
      <c r="E1036">
        <f>X_Platf_WMS!E39</f>
        <v/>
      </c>
      <c r="F1036">
        <f>X_Platf_WMS!F39</f>
        <v/>
      </c>
      <c r="G1036">
        <f>X_Platf_WMS!G39</f>
        <v/>
      </c>
      <c r="H1036">
        <f>X_Platf_WMS!H39</f>
        <v/>
      </c>
      <c r="I1036">
        <f>X_Platf_WMS!I39</f>
        <v/>
      </c>
      <c r="J1036">
        <f>X_Platf_WMS!J39</f>
        <v/>
      </c>
      <c r="K1036" s="672">
        <f>X_Platf_WMS!K39</f>
        <v/>
      </c>
      <c r="L1036" s="672">
        <f>X_Platf_WMS!L39</f>
        <v/>
      </c>
      <c r="M1036">
        <f>X_Platf_WMS!M39</f>
        <v/>
      </c>
      <c r="N1036">
        <f>X_Platf_WMS!N39</f>
        <v/>
      </c>
      <c r="O1036">
        <f>X_Platf_WMS!O39</f>
        <v/>
      </c>
      <c r="P1036" s="628">
        <f>X_Platf_WMS!P39</f>
        <v/>
      </c>
      <c r="Q1036" s="628">
        <f>X_Platf_WMS!Q39</f>
        <v/>
      </c>
      <c r="R1036" s="628">
        <f>X_Platf_WMS!R39</f>
        <v/>
      </c>
      <c r="S1036" s="628">
        <f>X_Platf_WMS!S39</f>
        <v/>
      </c>
      <c r="T1036" s="628">
        <f>X_Platf_WMS!T39</f>
        <v/>
      </c>
      <c r="U1036" s="628">
        <f>X_Platf_WMS!U39</f>
        <v/>
      </c>
      <c r="V1036" s="628">
        <f>X_Platf_WMS!V39</f>
        <v/>
      </c>
      <c r="W1036" s="628">
        <f>X_Platf_WMS!W39</f>
        <v/>
      </c>
      <c r="X1036" s="628">
        <f>X_Platf_WMS!X39</f>
        <v/>
      </c>
      <c r="Y1036" s="650">
        <f>X_Platf_WMS!Y39</f>
        <v/>
      </c>
      <c r="Z1036" s="650">
        <f>X_Platf_WMS!Z39</f>
        <v/>
      </c>
      <c r="AA1036" s="650">
        <f>X_Platf_WMS!AA39</f>
        <v/>
      </c>
      <c r="AB1036" s="650">
        <f>X_Platf_WMS!AB39</f>
        <v/>
      </c>
      <c r="AC1036" s="613">
        <f>X_Platf_WMS!AC39</f>
        <v/>
      </c>
      <c r="AD1036" s="613">
        <f>X_Platf_WMS!AD39</f>
        <v/>
      </c>
      <c r="AE1036" s="613">
        <f>X_Platf_WMS!AE39</f>
        <v/>
      </c>
      <c r="AF1036" s="613">
        <f>X_Platf_WMS!AF39</f>
        <v/>
      </c>
      <c r="AG1036" s="626">
        <f>X_Platf_WMS!AG39</f>
        <v/>
      </c>
      <c r="AH1036" s="626">
        <f>X_Platf_WMS!AH39</f>
        <v/>
      </c>
      <c r="AI1036" s="626">
        <f>X_Platf_WMS!AI39</f>
        <v/>
      </c>
      <c r="AJ1036" s="626">
        <f>X_Platf_WMS!AJ39</f>
        <v/>
      </c>
      <c r="AK1036" s="626">
        <f>X_Platf_WMS!AK39</f>
        <v/>
      </c>
      <c r="AL1036" s="626">
        <f>X_Platf_WMS!AL39</f>
        <v/>
      </c>
      <c r="AM1036" s="626">
        <f>X_Platf_WMS!AM39</f>
        <v/>
      </c>
      <c r="AN1036" s="626">
        <f>X_Platf_WMS!AN39</f>
        <v/>
      </c>
      <c r="AO1036" s="626">
        <f>X_Platf_WMS!AO39</f>
        <v/>
      </c>
      <c r="AP1036" s="369">
        <f>X_Platf_WMS!AP39</f>
        <v/>
      </c>
      <c r="AQ1036" s="369">
        <f>X_Platf_WMS!AQ39</f>
        <v/>
      </c>
      <c r="AR1036" s="369">
        <f>X_Platf_WMS!AR39</f>
        <v/>
      </c>
      <c r="AS1036" s="369">
        <f>X_Platf_WMS!AS39</f>
        <v/>
      </c>
      <c r="AT1036" s="370">
        <f>X_Platf_WMS!AT39</f>
        <v/>
      </c>
      <c r="AU1036" s="370">
        <f>X_Platf_WMS!AU39</f>
        <v/>
      </c>
      <c r="AV1036" s="370">
        <f>X_Platf_WMS!AV39</f>
        <v/>
      </c>
      <c r="AW1036" s="370">
        <f>X_Platf_WMS!AW39</f>
        <v/>
      </c>
      <c r="AX1036">
        <f>X_Platf_WMS!AX39</f>
        <v/>
      </c>
      <c r="AY1036">
        <f>X_Platf_WMS!AY39</f>
        <v/>
      </c>
      <c r="AZ1036">
        <f>X_Platf_WMS!AZ39</f>
        <v/>
      </c>
      <c r="BA1036">
        <f>X_Platf_WMS!BA39</f>
        <v/>
      </c>
      <c r="BB1036">
        <f>X_Platf_WMS!BB39</f>
        <v/>
      </c>
      <c r="BC1036">
        <f>X_Platf_WMS!BC39</f>
        <v/>
      </c>
      <c r="BD1036">
        <f>X_Platf_WMS!BD39</f>
        <v/>
      </c>
      <c r="BE1036">
        <f>X_Platf_WMS!BE39</f>
        <v/>
      </c>
      <c r="BF1036">
        <f>X_Platf_WMS!BF39</f>
        <v/>
      </c>
      <c r="BG1036">
        <f>X_Platf_WMS!BG39</f>
        <v/>
      </c>
      <c r="BH1036">
        <f>X_Platf_WMS!BH39</f>
        <v/>
      </c>
      <c r="BI1036">
        <f>X_Platf_WMS!BI39</f>
        <v/>
      </c>
      <c r="BJ1036">
        <f>O1036</f>
        <v/>
      </c>
      <c r="BK1036">
        <f>SUM(AG1036:AW1036)</f>
        <v/>
      </c>
      <c r="BL1036" s="531">
        <f>BJ1036-BK1036</f>
        <v/>
      </c>
      <c r="BM1036" s="201" t="n"/>
    </row>
    <row r="1037" hidden="1" outlineLevel="1" s="191">
      <c r="A1037">
        <f>X_Platf_WMS!A40</f>
        <v/>
      </c>
      <c r="B1037">
        <f>X_Platf_WMS!B40</f>
        <v/>
      </c>
      <c r="C1037">
        <f>X_Platf_WMS!C40</f>
        <v/>
      </c>
      <c r="D1037">
        <f>X_Platf_WMS!D40</f>
        <v/>
      </c>
      <c r="E1037">
        <f>X_Platf_WMS!E40</f>
        <v/>
      </c>
      <c r="F1037">
        <f>X_Platf_WMS!F40</f>
        <v/>
      </c>
      <c r="G1037">
        <f>X_Platf_WMS!G40</f>
        <v/>
      </c>
      <c r="H1037">
        <f>X_Platf_WMS!H40</f>
        <v/>
      </c>
      <c r="I1037">
        <f>X_Platf_WMS!I40</f>
        <v/>
      </c>
      <c r="J1037">
        <f>X_Platf_WMS!J40</f>
        <v/>
      </c>
      <c r="K1037" s="672">
        <f>X_Platf_WMS!K40</f>
        <v/>
      </c>
      <c r="L1037" s="672">
        <f>X_Platf_WMS!L40</f>
        <v/>
      </c>
      <c r="M1037">
        <f>X_Platf_WMS!M40</f>
        <v/>
      </c>
      <c r="N1037">
        <f>X_Platf_WMS!N40</f>
        <v/>
      </c>
      <c r="O1037">
        <f>X_Platf_WMS!O40</f>
        <v/>
      </c>
      <c r="P1037" s="628">
        <f>X_Platf_WMS!P40</f>
        <v/>
      </c>
      <c r="Q1037" s="628">
        <f>X_Platf_WMS!Q40</f>
        <v/>
      </c>
      <c r="R1037" s="628">
        <f>X_Platf_WMS!R40</f>
        <v/>
      </c>
      <c r="S1037" s="628">
        <f>X_Platf_WMS!S40</f>
        <v/>
      </c>
      <c r="T1037" s="628">
        <f>X_Platf_WMS!T40</f>
        <v/>
      </c>
      <c r="U1037" s="628">
        <f>X_Platf_WMS!U40</f>
        <v/>
      </c>
      <c r="V1037" s="628">
        <f>X_Platf_WMS!V40</f>
        <v/>
      </c>
      <c r="W1037" s="628">
        <f>X_Platf_WMS!W40</f>
        <v/>
      </c>
      <c r="X1037" s="628">
        <f>X_Platf_WMS!X40</f>
        <v/>
      </c>
      <c r="Y1037" s="650">
        <f>X_Platf_WMS!Y40</f>
        <v/>
      </c>
      <c r="Z1037" s="650">
        <f>X_Platf_WMS!Z40</f>
        <v/>
      </c>
      <c r="AA1037" s="650">
        <f>X_Platf_WMS!AA40</f>
        <v/>
      </c>
      <c r="AB1037" s="650">
        <f>X_Platf_WMS!AB40</f>
        <v/>
      </c>
      <c r="AC1037" s="613">
        <f>X_Platf_WMS!AC40</f>
        <v/>
      </c>
      <c r="AD1037" s="613">
        <f>X_Platf_WMS!AD40</f>
        <v/>
      </c>
      <c r="AE1037" s="613">
        <f>X_Platf_WMS!AE40</f>
        <v/>
      </c>
      <c r="AF1037" s="613">
        <f>X_Platf_WMS!AF40</f>
        <v/>
      </c>
      <c r="AG1037" s="626">
        <f>X_Platf_WMS!AG40</f>
        <v/>
      </c>
      <c r="AH1037" s="626">
        <f>X_Platf_WMS!AH40</f>
        <v/>
      </c>
      <c r="AI1037" s="626">
        <f>X_Platf_WMS!AI40</f>
        <v/>
      </c>
      <c r="AJ1037" s="626">
        <f>X_Platf_WMS!AJ40</f>
        <v/>
      </c>
      <c r="AK1037" s="626">
        <f>X_Platf_WMS!AK40</f>
        <v/>
      </c>
      <c r="AL1037" s="626">
        <f>X_Platf_WMS!AL40</f>
        <v/>
      </c>
      <c r="AM1037" s="626">
        <f>X_Platf_WMS!AM40</f>
        <v/>
      </c>
      <c r="AN1037" s="626">
        <f>X_Platf_WMS!AN40</f>
        <v/>
      </c>
      <c r="AO1037" s="626">
        <f>X_Platf_WMS!AO40</f>
        <v/>
      </c>
      <c r="AP1037" s="369">
        <f>X_Platf_WMS!AP40</f>
        <v/>
      </c>
      <c r="AQ1037" s="369">
        <f>X_Platf_WMS!AQ40</f>
        <v/>
      </c>
      <c r="AR1037" s="369">
        <f>X_Platf_WMS!AR40</f>
        <v/>
      </c>
      <c r="AS1037" s="369">
        <f>X_Platf_WMS!AS40</f>
        <v/>
      </c>
      <c r="AT1037" s="370">
        <f>X_Platf_WMS!AT40</f>
        <v/>
      </c>
      <c r="AU1037" s="370">
        <f>X_Platf_WMS!AU40</f>
        <v/>
      </c>
      <c r="AV1037" s="370">
        <f>X_Platf_WMS!AV40</f>
        <v/>
      </c>
      <c r="AW1037" s="370">
        <f>X_Platf_WMS!AW40</f>
        <v/>
      </c>
      <c r="AX1037">
        <f>X_Platf_WMS!AX40</f>
        <v/>
      </c>
      <c r="AY1037">
        <f>X_Platf_WMS!AY40</f>
        <v/>
      </c>
      <c r="AZ1037">
        <f>X_Platf_WMS!AZ40</f>
        <v/>
      </c>
      <c r="BA1037">
        <f>X_Platf_WMS!BA40</f>
        <v/>
      </c>
      <c r="BB1037">
        <f>X_Platf_WMS!BB40</f>
        <v/>
      </c>
      <c r="BC1037">
        <f>X_Platf_WMS!BC40</f>
        <v/>
      </c>
      <c r="BD1037">
        <f>X_Platf_WMS!BD40</f>
        <v/>
      </c>
      <c r="BE1037">
        <f>X_Platf_WMS!BE40</f>
        <v/>
      </c>
      <c r="BF1037">
        <f>X_Platf_WMS!BF40</f>
        <v/>
      </c>
      <c r="BG1037">
        <f>X_Platf_WMS!BG40</f>
        <v/>
      </c>
      <c r="BH1037">
        <f>X_Platf_WMS!BH40</f>
        <v/>
      </c>
      <c r="BI1037">
        <f>X_Platf_WMS!BI40</f>
        <v/>
      </c>
      <c r="BJ1037">
        <f>O1037</f>
        <v/>
      </c>
      <c r="BK1037">
        <f>SUM(AG1037:AW1037)</f>
        <v/>
      </c>
      <c r="BL1037" s="531">
        <f>BJ1037-BK1037</f>
        <v/>
      </c>
      <c r="BM1037" s="201" t="n"/>
    </row>
    <row r="1038" hidden="1" outlineLevel="1" s="191">
      <c r="A1038">
        <f>X_Platf_WMS!A41</f>
        <v/>
      </c>
      <c r="B1038">
        <f>X_Platf_WMS!B41</f>
        <v/>
      </c>
      <c r="C1038">
        <f>X_Platf_WMS!C41</f>
        <v/>
      </c>
      <c r="D1038">
        <f>X_Platf_WMS!D41</f>
        <v/>
      </c>
      <c r="E1038">
        <f>X_Platf_WMS!E41</f>
        <v/>
      </c>
      <c r="F1038">
        <f>X_Platf_WMS!F41</f>
        <v/>
      </c>
      <c r="G1038">
        <f>X_Platf_WMS!G41</f>
        <v/>
      </c>
      <c r="H1038">
        <f>X_Platf_WMS!H41</f>
        <v/>
      </c>
      <c r="I1038">
        <f>X_Platf_WMS!I41</f>
        <v/>
      </c>
      <c r="J1038">
        <f>X_Platf_WMS!J41</f>
        <v/>
      </c>
      <c r="K1038" s="672">
        <f>X_Platf_WMS!K41</f>
        <v/>
      </c>
      <c r="L1038" s="672">
        <f>X_Platf_WMS!L41</f>
        <v/>
      </c>
      <c r="M1038">
        <f>X_Platf_WMS!M41</f>
        <v/>
      </c>
      <c r="N1038">
        <f>X_Platf_WMS!N41</f>
        <v/>
      </c>
      <c r="O1038">
        <f>X_Platf_WMS!O41</f>
        <v/>
      </c>
      <c r="P1038" s="628">
        <f>X_Platf_WMS!P41</f>
        <v/>
      </c>
      <c r="Q1038" s="628">
        <f>X_Platf_WMS!Q41</f>
        <v/>
      </c>
      <c r="R1038" s="628">
        <f>X_Platf_WMS!R41</f>
        <v/>
      </c>
      <c r="S1038" s="628">
        <f>X_Platf_WMS!S41</f>
        <v/>
      </c>
      <c r="T1038" s="628">
        <f>X_Platf_WMS!T41</f>
        <v/>
      </c>
      <c r="U1038" s="628">
        <f>X_Platf_WMS!U41</f>
        <v/>
      </c>
      <c r="V1038" s="628">
        <f>X_Platf_WMS!V41</f>
        <v/>
      </c>
      <c r="W1038" s="628">
        <f>X_Platf_WMS!W41</f>
        <v/>
      </c>
      <c r="X1038" s="628">
        <f>X_Platf_WMS!X41</f>
        <v/>
      </c>
      <c r="Y1038" s="650">
        <f>X_Platf_WMS!Y41</f>
        <v/>
      </c>
      <c r="Z1038" s="650">
        <f>X_Platf_WMS!Z41</f>
        <v/>
      </c>
      <c r="AA1038" s="650">
        <f>X_Platf_WMS!AA41</f>
        <v/>
      </c>
      <c r="AB1038" s="650">
        <f>X_Platf_WMS!AB41</f>
        <v/>
      </c>
      <c r="AC1038" s="613">
        <f>X_Platf_WMS!AC41</f>
        <v/>
      </c>
      <c r="AD1038" s="613">
        <f>X_Platf_WMS!AD41</f>
        <v/>
      </c>
      <c r="AE1038" s="613">
        <f>X_Platf_WMS!AE41</f>
        <v/>
      </c>
      <c r="AF1038" s="613">
        <f>X_Platf_WMS!AF41</f>
        <v/>
      </c>
      <c r="AG1038" s="626">
        <f>X_Platf_WMS!AG41</f>
        <v/>
      </c>
      <c r="AH1038" s="626">
        <f>X_Platf_WMS!AH41</f>
        <v/>
      </c>
      <c r="AI1038" s="626">
        <f>X_Platf_WMS!AI41</f>
        <v/>
      </c>
      <c r="AJ1038" s="626">
        <f>X_Platf_WMS!AJ41</f>
        <v/>
      </c>
      <c r="AK1038" s="626">
        <f>X_Platf_WMS!AK41</f>
        <v/>
      </c>
      <c r="AL1038" s="626">
        <f>X_Platf_WMS!AL41</f>
        <v/>
      </c>
      <c r="AM1038" s="626">
        <f>X_Platf_WMS!AM41</f>
        <v/>
      </c>
      <c r="AN1038" s="626">
        <f>X_Platf_WMS!AN41</f>
        <v/>
      </c>
      <c r="AO1038" s="626">
        <f>X_Platf_WMS!AO41</f>
        <v/>
      </c>
      <c r="AP1038" s="369">
        <f>X_Platf_WMS!AP41</f>
        <v/>
      </c>
      <c r="AQ1038" s="369">
        <f>X_Platf_WMS!AQ41</f>
        <v/>
      </c>
      <c r="AR1038" s="369">
        <f>X_Platf_WMS!AR41</f>
        <v/>
      </c>
      <c r="AS1038" s="369">
        <f>X_Platf_WMS!AS41</f>
        <v/>
      </c>
      <c r="AT1038" s="370">
        <f>X_Platf_WMS!AT41</f>
        <v/>
      </c>
      <c r="AU1038" s="370">
        <f>X_Platf_WMS!AU41</f>
        <v/>
      </c>
      <c r="AV1038" s="370">
        <f>X_Platf_WMS!AV41</f>
        <v/>
      </c>
      <c r="AW1038" s="370">
        <f>X_Platf_WMS!AW41</f>
        <v/>
      </c>
      <c r="AX1038">
        <f>X_Platf_WMS!AX41</f>
        <v/>
      </c>
      <c r="AY1038">
        <f>X_Platf_WMS!AY41</f>
        <v/>
      </c>
      <c r="AZ1038">
        <f>X_Platf_WMS!AZ41</f>
        <v/>
      </c>
      <c r="BA1038">
        <f>X_Platf_WMS!BA41</f>
        <v/>
      </c>
      <c r="BB1038">
        <f>X_Platf_WMS!BB41</f>
        <v/>
      </c>
      <c r="BC1038">
        <f>X_Platf_WMS!BC41</f>
        <v/>
      </c>
      <c r="BD1038">
        <f>X_Platf_WMS!BD41</f>
        <v/>
      </c>
      <c r="BE1038">
        <f>X_Platf_WMS!BE41</f>
        <v/>
      </c>
      <c r="BF1038">
        <f>X_Platf_WMS!BF41</f>
        <v/>
      </c>
      <c r="BG1038">
        <f>X_Platf_WMS!BG41</f>
        <v/>
      </c>
      <c r="BH1038">
        <f>X_Platf_WMS!BH41</f>
        <v/>
      </c>
      <c r="BI1038">
        <f>X_Platf_WMS!BI41</f>
        <v/>
      </c>
      <c r="BJ1038">
        <f>O1038</f>
        <v/>
      </c>
      <c r="BK1038">
        <f>SUM(AG1038:AW1038)</f>
        <v/>
      </c>
      <c r="BL1038" s="531">
        <f>BJ1038-BK1038</f>
        <v/>
      </c>
      <c r="BM1038" s="201" t="n"/>
    </row>
    <row r="1039" hidden="1" outlineLevel="1" s="191">
      <c r="A1039">
        <f>X_Platf_WMS!A42</f>
        <v/>
      </c>
      <c r="B1039">
        <f>X_Platf_WMS!B42</f>
        <v/>
      </c>
      <c r="C1039">
        <f>X_Platf_WMS!C42</f>
        <v/>
      </c>
      <c r="D1039">
        <f>X_Platf_WMS!D42</f>
        <v/>
      </c>
      <c r="E1039">
        <f>X_Platf_WMS!E42</f>
        <v/>
      </c>
      <c r="F1039">
        <f>X_Platf_WMS!F42</f>
        <v/>
      </c>
      <c r="G1039">
        <f>X_Platf_WMS!G42</f>
        <v/>
      </c>
      <c r="H1039">
        <f>X_Platf_WMS!H42</f>
        <v/>
      </c>
      <c r="I1039">
        <f>X_Platf_WMS!I42</f>
        <v/>
      </c>
      <c r="J1039">
        <f>X_Platf_WMS!J42</f>
        <v/>
      </c>
      <c r="K1039" s="672">
        <f>X_Platf_WMS!K42</f>
        <v/>
      </c>
      <c r="L1039" s="672">
        <f>X_Platf_WMS!L42</f>
        <v/>
      </c>
      <c r="M1039">
        <f>X_Platf_WMS!M42</f>
        <v/>
      </c>
      <c r="N1039">
        <f>X_Platf_WMS!N42</f>
        <v/>
      </c>
      <c r="O1039">
        <f>X_Platf_WMS!O42</f>
        <v/>
      </c>
      <c r="P1039" s="628">
        <f>X_Platf_WMS!P42</f>
        <v/>
      </c>
      <c r="Q1039" s="628">
        <f>X_Platf_WMS!Q42</f>
        <v/>
      </c>
      <c r="R1039" s="628">
        <f>X_Platf_WMS!R42</f>
        <v/>
      </c>
      <c r="S1039" s="628">
        <f>X_Platf_WMS!S42</f>
        <v/>
      </c>
      <c r="T1039" s="628">
        <f>X_Platf_WMS!T42</f>
        <v/>
      </c>
      <c r="U1039" s="628">
        <f>X_Platf_WMS!U42</f>
        <v/>
      </c>
      <c r="V1039" s="628">
        <f>X_Platf_WMS!V42</f>
        <v/>
      </c>
      <c r="W1039" s="628">
        <f>X_Platf_WMS!W42</f>
        <v/>
      </c>
      <c r="X1039" s="628">
        <f>X_Platf_WMS!X42</f>
        <v/>
      </c>
      <c r="Y1039" s="650">
        <f>X_Platf_WMS!Y42</f>
        <v/>
      </c>
      <c r="Z1039" s="650">
        <f>X_Platf_WMS!Z42</f>
        <v/>
      </c>
      <c r="AA1039" s="650">
        <f>X_Platf_WMS!AA42</f>
        <v/>
      </c>
      <c r="AB1039" s="650">
        <f>X_Platf_WMS!AB42</f>
        <v/>
      </c>
      <c r="AC1039" s="613">
        <f>X_Platf_WMS!AC42</f>
        <v/>
      </c>
      <c r="AD1039" s="613">
        <f>X_Platf_WMS!AD42</f>
        <v/>
      </c>
      <c r="AE1039" s="613">
        <f>X_Platf_WMS!AE42</f>
        <v/>
      </c>
      <c r="AF1039" s="613">
        <f>X_Platf_WMS!AF42</f>
        <v/>
      </c>
      <c r="AG1039" s="626">
        <f>X_Platf_WMS!AG42</f>
        <v/>
      </c>
      <c r="AH1039" s="626">
        <f>X_Platf_WMS!AH42</f>
        <v/>
      </c>
      <c r="AI1039" s="626">
        <f>X_Platf_WMS!AI42</f>
        <v/>
      </c>
      <c r="AJ1039" s="626">
        <f>X_Platf_WMS!AJ42</f>
        <v/>
      </c>
      <c r="AK1039" s="626">
        <f>X_Platf_WMS!AK42</f>
        <v/>
      </c>
      <c r="AL1039" s="626">
        <f>X_Platf_WMS!AL42</f>
        <v/>
      </c>
      <c r="AM1039" s="626">
        <f>X_Platf_WMS!AM42</f>
        <v/>
      </c>
      <c r="AN1039" s="626">
        <f>X_Platf_WMS!AN42</f>
        <v/>
      </c>
      <c r="AO1039" s="626">
        <f>X_Platf_WMS!AO42</f>
        <v/>
      </c>
      <c r="AP1039" s="369">
        <f>X_Platf_WMS!AP42</f>
        <v/>
      </c>
      <c r="AQ1039" s="369">
        <f>X_Platf_WMS!AQ42</f>
        <v/>
      </c>
      <c r="AR1039" s="369">
        <f>X_Platf_WMS!AR42</f>
        <v/>
      </c>
      <c r="AS1039" s="369">
        <f>X_Platf_WMS!AS42</f>
        <v/>
      </c>
      <c r="AT1039" s="370">
        <f>X_Platf_WMS!AT42</f>
        <v/>
      </c>
      <c r="AU1039" s="370">
        <f>X_Platf_WMS!AU42</f>
        <v/>
      </c>
      <c r="AV1039" s="370">
        <f>X_Platf_WMS!AV42</f>
        <v/>
      </c>
      <c r="AW1039" s="370">
        <f>X_Platf_WMS!AW42</f>
        <v/>
      </c>
      <c r="AX1039">
        <f>X_Platf_WMS!AX42</f>
        <v/>
      </c>
      <c r="AY1039">
        <f>X_Platf_WMS!AY42</f>
        <v/>
      </c>
      <c r="AZ1039">
        <f>X_Platf_WMS!AZ42</f>
        <v/>
      </c>
      <c r="BA1039">
        <f>X_Platf_WMS!BA42</f>
        <v/>
      </c>
      <c r="BB1039">
        <f>X_Platf_WMS!BB42</f>
        <v/>
      </c>
      <c r="BC1039">
        <f>X_Platf_WMS!BC42</f>
        <v/>
      </c>
      <c r="BD1039">
        <f>X_Platf_WMS!BD42</f>
        <v/>
      </c>
      <c r="BE1039">
        <f>X_Platf_WMS!BE42</f>
        <v/>
      </c>
      <c r="BF1039">
        <f>X_Platf_WMS!BF42</f>
        <v/>
      </c>
      <c r="BG1039">
        <f>X_Platf_WMS!BG42</f>
        <v/>
      </c>
      <c r="BH1039">
        <f>X_Platf_WMS!BH42</f>
        <v/>
      </c>
      <c r="BI1039">
        <f>X_Platf_WMS!BI42</f>
        <v/>
      </c>
      <c r="BJ1039">
        <f>O1039</f>
        <v/>
      </c>
      <c r="BK1039">
        <f>SUM(AG1039:AW1039)</f>
        <v/>
      </c>
      <c r="BL1039" s="531">
        <f>BJ1039-BK1039</f>
        <v/>
      </c>
      <c r="BM1039" s="201" t="n"/>
    </row>
    <row r="1040" hidden="1" outlineLevel="1" s="191">
      <c r="A1040">
        <f>X_Platf_WMS!A43</f>
        <v/>
      </c>
      <c r="B1040">
        <f>X_Platf_WMS!B43</f>
        <v/>
      </c>
      <c r="C1040">
        <f>X_Platf_WMS!C43</f>
        <v/>
      </c>
      <c r="D1040">
        <f>X_Platf_WMS!D43</f>
        <v/>
      </c>
      <c r="E1040">
        <f>X_Platf_WMS!E43</f>
        <v/>
      </c>
      <c r="F1040">
        <f>X_Platf_WMS!F43</f>
        <v/>
      </c>
      <c r="G1040">
        <f>X_Platf_WMS!G43</f>
        <v/>
      </c>
      <c r="H1040">
        <f>X_Platf_WMS!H43</f>
        <v/>
      </c>
      <c r="I1040">
        <f>X_Platf_WMS!I43</f>
        <v/>
      </c>
      <c r="J1040">
        <f>X_Platf_WMS!J43</f>
        <v/>
      </c>
      <c r="K1040" s="672">
        <f>X_Platf_WMS!K43</f>
        <v/>
      </c>
      <c r="L1040" s="672">
        <f>X_Platf_WMS!L43</f>
        <v/>
      </c>
      <c r="M1040">
        <f>X_Platf_WMS!M43</f>
        <v/>
      </c>
      <c r="N1040">
        <f>X_Platf_WMS!N43</f>
        <v/>
      </c>
      <c r="O1040">
        <f>X_Platf_WMS!O43</f>
        <v/>
      </c>
      <c r="P1040" s="628">
        <f>X_Platf_WMS!P43</f>
        <v/>
      </c>
      <c r="Q1040" s="628">
        <f>X_Platf_WMS!Q43</f>
        <v/>
      </c>
      <c r="R1040" s="628">
        <f>X_Platf_WMS!R43</f>
        <v/>
      </c>
      <c r="S1040" s="628">
        <f>X_Platf_WMS!S43</f>
        <v/>
      </c>
      <c r="T1040" s="628">
        <f>X_Platf_WMS!T43</f>
        <v/>
      </c>
      <c r="U1040" s="628">
        <f>X_Platf_WMS!U43</f>
        <v/>
      </c>
      <c r="V1040" s="628">
        <f>X_Platf_WMS!V43</f>
        <v/>
      </c>
      <c r="W1040" s="628">
        <f>X_Platf_WMS!W43</f>
        <v/>
      </c>
      <c r="X1040" s="628">
        <f>X_Platf_WMS!X43</f>
        <v/>
      </c>
      <c r="Y1040" s="650">
        <f>X_Platf_WMS!Y43</f>
        <v/>
      </c>
      <c r="Z1040" s="650">
        <f>X_Platf_WMS!Z43</f>
        <v/>
      </c>
      <c r="AA1040" s="650">
        <f>X_Platf_WMS!AA43</f>
        <v/>
      </c>
      <c r="AB1040" s="650">
        <f>X_Platf_WMS!AB43</f>
        <v/>
      </c>
      <c r="AC1040" s="613">
        <f>X_Platf_WMS!AC43</f>
        <v/>
      </c>
      <c r="AD1040" s="613">
        <f>X_Platf_WMS!AD43</f>
        <v/>
      </c>
      <c r="AE1040" s="613">
        <f>X_Platf_WMS!AE43</f>
        <v/>
      </c>
      <c r="AF1040" s="613">
        <f>X_Platf_WMS!AF43</f>
        <v/>
      </c>
      <c r="AG1040" s="626">
        <f>X_Platf_WMS!AG43</f>
        <v/>
      </c>
      <c r="AH1040" s="626">
        <f>X_Platf_WMS!AH43</f>
        <v/>
      </c>
      <c r="AI1040" s="626">
        <f>X_Platf_WMS!AI43</f>
        <v/>
      </c>
      <c r="AJ1040" s="626">
        <f>X_Platf_WMS!AJ43</f>
        <v/>
      </c>
      <c r="AK1040" s="626">
        <f>X_Platf_WMS!AK43</f>
        <v/>
      </c>
      <c r="AL1040" s="626">
        <f>X_Platf_WMS!AL43</f>
        <v/>
      </c>
      <c r="AM1040" s="626">
        <f>X_Platf_WMS!AM43</f>
        <v/>
      </c>
      <c r="AN1040" s="626">
        <f>X_Platf_WMS!AN43</f>
        <v/>
      </c>
      <c r="AO1040" s="626">
        <f>X_Platf_WMS!AO43</f>
        <v/>
      </c>
      <c r="AP1040" s="369">
        <f>X_Platf_WMS!AP43</f>
        <v/>
      </c>
      <c r="AQ1040" s="369">
        <f>X_Platf_WMS!AQ43</f>
        <v/>
      </c>
      <c r="AR1040" s="369">
        <f>X_Platf_WMS!AR43</f>
        <v/>
      </c>
      <c r="AS1040" s="369">
        <f>X_Platf_WMS!AS43</f>
        <v/>
      </c>
      <c r="AT1040" s="370">
        <f>X_Platf_WMS!AT43</f>
        <v/>
      </c>
      <c r="AU1040" s="370">
        <f>X_Platf_WMS!AU43</f>
        <v/>
      </c>
      <c r="AV1040" s="370">
        <f>X_Platf_WMS!AV43</f>
        <v/>
      </c>
      <c r="AW1040" s="370">
        <f>X_Platf_WMS!AW43</f>
        <v/>
      </c>
      <c r="AX1040">
        <f>X_Platf_WMS!AX43</f>
        <v/>
      </c>
      <c r="AY1040">
        <f>X_Platf_WMS!AY43</f>
        <v/>
      </c>
      <c r="AZ1040">
        <f>X_Platf_WMS!AZ43</f>
        <v/>
      </c>
      <c r="BA1040">
        <f>X_Platf_WMS!BA43</f>
        <v/>
      </c>
      <c r="BB1040">
        <f>X_Platf_WMS!BB43</f>
        <v/>
      </c>
      <c r="BC1040">
        <f>X_Platf_WMS!BC43</f>
        <v/>
      </c>
      <c r="BD1040">
        <f>X_Platf_WMS!BD43</f>
        <v/>
      </c>
      <c r="BE1040">
        <f>X_Platf_WMS!BE43</f>
        <v/>
      </c>
      <c r="BF1040">
        <f>X_Platf_WMS!BF43</f>
        <v/>
      </c>
      <c r="BG1040">
        <f>X_Platf_WMS!BG43</f>
        <v/>
      </c>
      <c r="BH1040">
        <f>X_Platf_WMS!BH43</f>
        <v/>
      </c>
      <c r="BI1040">
        <f>X_Platf_WMS!BI43</f>
        <v/>
      </c>
      <c r="BJ1040">
        <f>O1040</f>
        <v/>
      </c>
      <c r="BK1040">
        <f>SUM(AG1040:AW1040)</f>
        <v/>
      </c>
      <c r="BL1040" s="531">
        <f>BJ1040-BK1040</f>
        <v/>
      </c>
      <c r="BM1040" s="201" t="n"/>
    </row>
    <row r="1041" hidden="1" outlineLevel="1" s="191">
      <c r="A1041">
        <f>X_Platf_WMS!A44</f>
        <v/>
      </c>
      <c r="B1041">
        <f>X_Platf_WMS!B44</f>
        <v/>
      </c>
      <c r="C1041">
        <f>X_Platf_WMS!C44</f>
        <v/>
      </c>
      <c r="D1041">
        <f>X_Platf_WMS!D44</f>
        <v/>
      </c>
      <c r="E1041">
        <f>X_Platf_WMS!E44</f>
        <v/>
      </c>
      <c r="F1041">
        <f>X_Platf_WMS!F44</f>
        <v/>
      </c>
      <c r="G1041">
        <f>X_Platf_WMS!G44</f>
        <v/>
      </c>
      <c r="H1041">
        <f>X_Platf_WMS!H44</f>
        <v/>
      </c>
      <c r="I1041">
        <f>X_Platf_WMS!I44</f>
        <v/>
      </c>
      <c r="J1041">
        <f>X_Platf_WMS!J44</f>
        <v/>
      </c>
      <c r="K1041" s="672">
        <f>X_Platf_WMS!K44</f>
        <v/>
      </c>
      <c r="L1041" s="672">
        <f>X_Platf_WMS!L44</f>
        <v/>
      </c>
      <c r="M1041">
        <f>X_Platf_WMS!M44</f>
        <v/>
      </c>
      <c r="N1041">
        <f>X_Platf_WMS!N44</f>
        <v/>
      </c>
      <c r="O1041">
        <f>X_Platf_WMS!O44</f>
        <v/>
      </c>
      <c r="P1041" s="628">
        <f>X_Platf_WMS!P44</f>
        <v/>
      </c>
      <c r="Q1041" s="628">
        <f>X_Platf_WMS!Q44</f>
        <v/>
      </c>
      <c r="R1041" s="628">
        <f>X_Platf_WMS!R44</f>
        <v/>
      </c>
      <c r="S1041" s="628">
        <f>X_Platf_WMS!S44</f>
        <v/>
      </c>
      <c r="T1041" s="628">
        <f>X_Platf_WMS!T44</f>
        <v/>
      </c>
      <c r="U1041" s="628">
        <f>X_Platf_WMS!U44</f>
        <v/>
      </c>
      <c r="V1041" s="628">
        <f>X_Platf_WMS!V44</f>
        <v/>
      </c>
      <c r="W1041" s="628">
        <f>X_Platf_WMS!W44</f>
        <v/>
      </c>
      <c r="X1041" s="628">
        <f>X_Platf_WMS!X44</f>
        <v/>
      </c>
      <c r="Y1041" s="650">
        <f>X_Platf_WMS!Y44</f>
        <v/>
      </c>
      <c r="Z1041" s="650">
        <f>X_Platf_WMS!Z44</f>
        <v/>
      </c>
      <c r="AA1041" s="650">
        <f>X_Platf_WMS!AA44</f>
        <v/>
      </c>
      <c r="AB1041" s="650">
        <f>X_Platf_WMS!AB44</f>
        <v/>
      </c>
      <c r="AC1041" s="613">
        <f>X_Platf_WMS!AC44</f>
        <v/>
      </c>
      <c r="AD1041" s="613">
        <f>X_Platf_WMS!AD44</f>
        <v/>
      </c>
      <c r="AE1041" s="613">
        <f>X_Platf_WMS!AE44</f>
        <v/>
      </c>
      <c r="AF1041" s="613">
        <f>X_Platf_WMS!AF44</f>
        <v/>
      </c>
      <c r="AG1041" s="626">
        <f>X_Platf_WMS!AG44</f>
        <v/>
      </c>
      <c r="AH1041" s="626">
        <f>X_Platf_WMS!AH44</f>
        <v/>
      </c>
      <c r="AI1041" s="626">
        <f>X_Platf_WMS!AI44</f>
        <v/>
      </c>
      <c r="AJ1041" s="626">
        <f>X_Platf_WMS!AJ44</f>
        <v/>
      </c>
      <c r="AK1041" s="626">
        <f>X_Platf_WMS!AK44</f>
        <v/>
      </c>
      <c r="AL1041" s="626">
        <f>X_Platf_WMS!AL44</f>
        <v/>
      </c>
      <c r="AM1041" s="626">
        <f>X_Platf_WMS!AM44</f>
        <v/>
      </c>
      <c r="AN1041" s="626">
        <f>X_Platf_WMS!AN44</f>
        <v/>
      </c>
      <c r="AO1041" s="626">
        <f>X_Platf_WMS!AO44</f>
        <v/>
      </c>
      <c r="AP1041" s="369">
        <f>X_Platf_WMS!AP44</f>
        <v/>
      </c>
      <c r="AQ1041" s="369">
        <f>X_Platf_WMS!AQ44</f>
        <v/>
      </c>
      <c r="AR1041" s="369">
        <f>X_Platf_WMS!AR44</f>
        <v/>
      </c>
      <c r="AS1041" s="369">
        <f>X_Platf_WMS!AS44</f>
        <v/>
      </c>
      <c r="AT1041" s="370">
        <f>X_Platf_WMS!AT44</f>
        <v/>
      </c>
      <c r="AU1041" s="370">
        <f>X_Platf_WMS!AU44</f>
        <v/>
      </c>
      <c r="AV1041" s="370">
        <f>X_Platf_WMS!AV44</f>
        <v/>
      </c>
      <c r="AW1041" s="370">
        <f>X_Platf_WMS!AW44</f>
        <v/>
      </c>
      <c r="AX1041">
        <f>X_Platf_WMS!AX44</f>
        <v/>
      </c>
      <c r="AY1041">
        <f>X_Platf_WMS!AY44</f>
        <v/>
      </c>
      <c r="AZ1041">
        <f>X_Platf_WMS!AZ44</f>
        <v/>
      </c>
      <c r="BA1041">
        <f>X_Platf_WMS!BA44</f>
        <v/>
      </c>
      <c r="BB1041">
        <f>X_Platf_WMS!BB44</f>
        <v/>
      </c>
      <c r="BC1041">
        <f>X_Platf_WMS!BC44</f>
        <v/>
      </c>
      <c r="BD1041">
        <f>X_Platf_WMS!BD44</f>
        <v/>
      </c>
      <c r="BE1041">
        <f>X_Platf_WMS!BE44</f>
        <v/>
      </c>
      <c r="BF1041">
        <f>X_Platf_WMS!BF44</f>
        <v/>
      </c>
      <c r="BG1041">
        <f>X_Platf_WMS!BG44</f>
        <v/>
      </c>
      <c r="BH1041">
        <f>X_Platf_WMS!BH44</f>
        <v/>
      </c>
      <c r="BI1041">
        <f>X_Platf_WMS!BI44</f>
        <v/>
      </c>
      <c r="BJ1041">
        <f>O1041</f>
        <v/>
      </c>
      <c r="BK1041">
        <f>SUM(AG1041:AW1041)</f>
        <v/>
      </c>
      <c r="BL1041" s="531">
        <f>BJ1041-BK1041</f>
        <v/>
      </c>
      <c r="BM1041" s="201" t="n"/>
    </row>
    <row r="1042" hidden="1" outlineLevel="1" s="191">
      <c r="A1042">
        <f>X_Platf_WMS!A45</f>
        <v/>
      </c>
      <c r="B1042">
        <f>X_Platf_WMS!B45</f>
        <v/>
      </c>
      <c r="C1042">
        <f>X_Platf_WMS!C45</f>
        <v/>
      </c>
      <c r="D1042">
        <f>X_Platf_WMS!D45</f>
        <v/>
      </c>
      <c r="E1042">
        <f>X_Platf_WMS!E45</f>
        <v/>
      </c>
      <c r="F1042">
        <f>X_Platf_WMS!F45</f>
        <v/>
      </c>
      <c r="G1042">
        <f>X_Platf_WMS!G45</f>
        <v/>
      </c>
      <c r="H1042">
        <f>X_Platf_WMS!H45</f>
        <v/>
      </c>
      <c r="I1042">
        <f>X_Platf_WMS!I45</f>
        <v/>
      </c>
      <c r="J1042">
        <f>X_Platf_WMS!J45</f>
        <v/>
      </c>
      <c r="K1042" s="672">
        <f>X_Platf_WMS!K45</f>
        <v/>
      </c>
      <c r="L1042" s="672">
        <f>X_Platf_WMS!L45</f>
        <v/>
      </c>
      <c r="M1042">
        <f>X_Platf_WMS!M45</f>
        <v/>
      </c>
      <c r="N1042">
        <f>X_Platf_WMS!N45</f>
        <v/>
      </c>
      <c r="O1042">
        <f>X_Platf_WMS!O45</f>
        <v/>
      </c>
      <c r="P1042" s="628">
        <f>X_Platf_WMS!P45</f>
        <v/>
      </c>
      <c r="Q1042" s="628">
        <f>X_Platf_WMS!Q45</f>
        <v/>
      </c>
      <c r="R1042" s="628">
        <f>X_Platf_WMS!R45</f>
        <v/>
      </c>
      <c r="S1042" s="628">
        <f>X_Platf_WMS!S45</f>
        <v/>
      </c>
      <c r="T1042" s="628">
        <f>X_Platf_WMS!T45</f>
        <v/>
      </c>
      <c r="U1042" s="628">
        <f>X_Platf_WMS!U45</f>
        <v/>
      </c>
      <c r="V1042" s="628">
        <f>X_Platf_WMS!V45</f>
        <v/>
      </c>
      <c r="W1042" s="628">
        <f>X_Platf_WMS!W45</f>
        <v/>
      </c>
      <c r="X1042" s="628">
        <f>X_Platf_WMS!X45</f>
        <v/>
      </c>
      <c r="Y1042" s="650">
        <f>X_Platf_WMS!Y45</f>
        <v/>
      </c>
      <c r="Z1042" s="650">
        <f>X_Platf_WMS!Z45</f>
        <v/>
      </c>
      <c r="AA1042" s="650">
        <f>X_Platf_WMS!AA45</f>
        <v/>
      </c>
      <c r="AB1042" s="650">
        <f>X_Platf_WMS!AB45</f>
        <v/>
      </c>
      <c r="AC1042" s="613">
        <f>X_Platf_WMS!AC45</f>
        <v/>
      </c>
      <c r="AD1042" s="613">
        <f>X_Platf_WMS!AD45</f>
        <v/>
      </c>
      <c r="AE1042" s="613">
        <f>X_Platf_WMS!AE45</f>
        <v/>
      </c>
      <c r="AF1042" s="613">
        <f>X_Platf_WMS!AF45</f>
        <v/>
      </c>
      <c r="AG1042" s="626">
        <f>X_Platf_WMS!AG45</f>
        <v/>
      </c>
      <c r="AH1042" s="626">
        <f>X_Platf_WMS!AH45</f>
        <v/>
      </c>
      <c r="AI1042" s="626">
        <f>X_Platf_WMS!AI45</f>
        <v/>
      </c>
      <c r="AJ1042" s="626">
        <f>X_Platf_WMS!AJ45</f>
        <v/>
      </c>
      <c r="AK1042" s="626">
        <f>X_Platf_WMS!AK45</f>
        <v/>
      </c>
      <c r="AL1042" s="626">
        <f>X_Platf_WMS!AL45</f>
        <v/>
      </c>
      <c r="AM1042" s="626">
        <f>X_Platf_WMS!AM45</f>
        <v/>
      </c>
      <c r="AN1042" s="626">
        <f>X_Platf_WMS!AN45</f>
        <v/>
      </c>
      <c r="AO1042" s="626">
        <f>X_Platf_WMS!AO45</f>
        <v/>
      </c>
      <c r="AP1042" s="369">
        <f>X_Platf_WMS!AP45</f>
        <v/>
      </c>
      <c r="AQ1042" s="369">
        <f>X_Platf_WMS!AQ45</f>
        <v/>
      </c>
      <c r="AR1042" s="369">
        <f>X_Platf_WMS!AR45</f>
        <v/>
      </c>
      <c r="AS1042" s="369">
        <f>X_Platf_WMS!AS45</f>
        <v/>
      </c>
      <c r="AT1042" s="370">
        <f>X_Platf_WMS!AT45</f>
        <v/>
      </c>
      <c r="AU1042" s="370">
        <f>X_Platf_WMS!AU45</f>
        <v/>
      </c>
      <c r="AV1042" s="370">
        <f>X_Platf_WMS!AV45</f>
        <v/>
      </c>
      <c r="AW1042" s="370">
        <f>X_Platf_WMS!AW45</f>
        <v/>
      </c>
      <c r="AX1042">
        <f>X_Platf_WMS!AX45</f>
        <v/>
      </c>
      <c r="AY1042">
        <f>X_Platf_WMS!AY45</f>
        <v/>
      </c>
      <c r="AZ1042">
        <f>X_Platf_WMS!AZ45</f>
        <v/>
      </c>
      <c r="BA1042">
        <f>X_Platf_WMS!BA45</f>
        <v/>
      </c>
      <c r="BB1042">
        <f>X_Platf_WMS!BB45</f>
        <v/>
      </c>
      <c r="BC1042">
        <f>X_Platf_WMS!BC45</f>
        <v/>
      </c>
      <c r="BD1042">
        <f>X_Platf_WMS!BD45</f>
        <v/>
      </c>
      <c r="BE1042">
        <f>X_Platf_WMS!BE45</f>
        <v/>
      </c>
      <c r="BF1042">
        <f>X_Platf_WMS!BF45</f>
        <v/>
      </c>
      <c r="BG1042">
        <f>X_Platf_WMS!BG45</f>
        <v/>
      </c>
      <c r="BH1042">
        <f>X_Platf_WMS!BH45</f>
        <v/>
      </c>
      <c r="BI1042">
        <f>X_Platf_WMS!BI45</f>
        <v/>
      </c>
      <c r="BJ1042">
        <f>O1042</f>
        <v/>
      </c>
      <c r="BK1042">
        <f>SUM(AG1042:AW1042)</f>
        <v/>
      </c>
      <c r="BL1042" s="531">
        <f>BJ1042-BK1042</f>
        <v/>
      </c>
      <c r="BM1042" s="201" t="n"/>
    </row>
    <row r="1043" hidden="1" outlineLevel="1" s="191">
      <c r="A1043">
        <f>X_Platf_WMS!A46</f>
        <v/>
      </c>
      <c r="B1043">
        <f>X_Platf_WMS!B46</f>
        <v/>
      </c>
      <c r="C1043">
        <f>X_Platf_WMS!C46</f>
        <v/>
      </c>
      <c r="D1043">
        <f>X_Platf_WMS!D46</f>
        <v/>
      </c>
      <c r="E1043">
        <f>X_Platf_WMS!E46</f>
        <v/>
      </c>
      <c r="F1043">
        <f>X_Platf_WMS!F46</f>
        <v/>
      </c>
      <c r="G1043">
        <f>X_Platf_WMS!G46</f>
        <v/>
      </c>
      <c r="H1043">
        <f>X_Platf_WMS!H46</f>
        <v/>
      </c>
      <c r="I1043">
        <f>X_Platf_WMS!I46</f>
        <v/>
      </c>
      <c r="J1043">
        <f>X_Platf_WMS!J46</f>
        <v/>
      </c>
      <c r="K1043" s="672">
        <f>X_Platf_WMS!K46</f>
        <v/>
      </c>
      <c r="L1043" s="672">
        <f>X_Platf_WMS!L46</f>
        <v/>
      </c>
      <c r="M1043">
        <f>X_Platf_WMS!M46</f>
        <v/>
      </c>
      <c r="N1043">
        <f>X_Platf_WMS!N46</f>
        <v/>
      </c>
      <c r="O1043">
        <f>X_Platf_WMS!O46</f>
        <v/>
      </c>
      <c r="P1043" s="628">
        <f>X_Platf_WMS!P46</f>
        <v/>
      </c>
      <c r="Q1043" s="628">
        <f>X_Platf_WMS!Q46</f>
        <v/>
      </c>
      <c r="R1043" s="628">
        <f>X_Platf_WMS!R46</f>
        <v/>
      </c>
      <c r="S1043" s="628">
        <f>X_Platf_WMS!S46</f>
        <v/>
      </c>
      <c r="T1043" s="628">
        <f>X_Platf_WMS!T46</f>
        <v/>
      </c>
      <c r="U1043" s="628">
        <f>X_Platf_WMS!U46</f>
        <v/>
      </c>
      <c r="V1043" s="628">
        <f>X_Platf_WMS!V46</f>
        <v/>
      </c>
      <c r="W1043" s="628">
        <f>X_Platf_WMS!W46</f>
        <v/>
      </c>
      <c r="X1043" s="628">
        <f>X_Platf_WMS!X46</f>
        <v/>
      </c>
      <c r="Y1043" s="650">
        <f>X_Platf_WMS!Y46</f>
        <v/>
      </c>
      <c r="Z1043" s="650">
        <f>X_Platf_WMS!Z46</f>
        <v/>
      </c>
      <c r="AA1043" s="650">
        <f>X_Platf_WMS!AA46</f>
        <v/>
      </c>
      <c r="AB1043" s="650">
        <f>X_Platf_WMS!AB46</f>
        <v/>
      </c>
      <c r="AC1043" s="613">
        <f>X_Platf_WMS!AC46</f>
        <v/>
      </c>
      <c r="AD1043" s="613">
        <f>X_Platf_WMS!AD46</f>
        <v/>
      </c>
      <c r="AE1043" s="613">
        <f>X_Platf_WMS!AE46</f>
        <v/>
      </c>
      <c r="AF1043" s="613">
        <f>X_Platf_WMS!AF46</f>
        <v/>
      </c>
      <c r="AG1043" s="626">
        <f>X_Platf_WMS!AG46</f>
        <v/>
      </c>
      <c r="AH1043" s="626">
        <f>X_Platf_WMS!AH46</f>
        <v/>
      </c>
      <c r="AI1043" s="626">
        <f>X_Platf_WMS!AI46</f>
        <v/>
      </c>
      <c r="AJ1043" s="626">
        <f>X_Platf_WMS!AJ46</f>
        <v/>
      </c>
      <c r="AK1043" s="626">
        <f>X_Platf_WMS!AK46</f>
        <v/>
      </c>
      <c r="AL1043" s="626">
        <f>X_Platf_WMS!AL46</f>
        <v/>
      </c>
      <c r="AM1043" s="626">
        <f>X_Platf_WMS!AM46</f>
        <v/>
      </c>
      <c r="AN1043" s="626">
        <f>X_Platf_WMS!AN46</f>
        <v/>
      </c>
      <c r="AO1043" s="626">
        <f>X_Platf_WMS!AO46</f>
        <v/>
      </c>
      <c r="AP1043" s="369">
        <f>X_Platf_WMS!AP46</f>
        <v/>
      </c>
      <c r="AQ1043" s="369">
        <f>X_Platf_WMS!AQ46</f>
        <v/>
      </c>
      <c r="AR1043" s="369">
        <f>X_Platf_WMS!AR46</f>
        <v/>
      </c>
      <c r="AS1043" s="369">
        <f>X_Platf_WMS!AS46</f>
        <v/>
      </c>
      <c r="AT1043" s="370">
        <f>X_Platf_WMS!AT46</f>
        <v/>
      </c>
      <c r="AU1043" s="370">
        <f>X_Platf_WMS!AU46</f>
        <v/>
      </c>
      <c r="AV1043" s="370">
        <f>X_Platf_WMS!AV46</f>
        <v/>
      </c>
      <c r="AW1043" s="370">
        <f>X_Platf_WMS!AW46</f>
        <v/>
      </c>
      <c r="AX1043">
        <f>X_Platf_WMS!AX46</f>
        <v/>
      </c>
      <c r="AY1043">
        <f>X_Platf_WMS!AY46</f>
        <v/>
      </c>
      <c r="AZ1043">
        <f>X_Platf_WMS!AZ46</f>
        <v/>
      </c>
      <c r="BA1043">
        <f>X_Platf_WMS!BA46</f>
        <v/>
      </c>
      <c r="BB1043">
        <f>X_Platf_WMS!BB46</f>
        <v/>
      </c>
      <c r="BC1043">
        <f>X_Platf_WMS!BC46</f>
        <v/>
      </c>
      <c r="BD1043">
        <f>X_Platf_WMS!BD46</f>
        <v/>
      </c>
      <c r="BE1043">
        <f>X_Platf_WMS!BE46</f>
        <v/>
      </c>
      <c r="BF1043">
        <f>X_Platf_WMS!BF46</f>
        <v/>
      </c>
      <c r="BG1043">
        <f>X_Platf_WMS!BG46</f>
        <v/>
      </c>
      <c r="BH1043">
        <f>X_Platf_WMS!BH46</f>
        <v/>
      </c>
      <c r="BI1043">
        <f>X_Platf_WMS!BI46</f>
        <v/>
      </c>
      <c r="BJ1043">
        <f>O1043</f>
        <v/>
      </c>
      <c r="BK1043">
        <f>SUM(AG1043:AW1043)</f>
        <v/>
      </c>
      <c r="BL1043" s="531">
        <f>BJ1043-BK1043</f>
        <v/>
      </c>
      <c r="BM1043" s="201" t="n"/>
    </row>
    <row r="1044" hidden="1" outlineLevel="1" s="191">
      <c r="A1044">
        <f>X_Platf_WMS!A47</f>
        <v/>
      </c>
      <c r="B1044">
        <f>X_Platf_WMS!B47</f>
        <v/>
      </c>
      <c r="C1044">
        <f>X_Platf_WMS!C47</f>
        <v/>
      </c>
      <c r="D1044">
        <f>X_Platf_WMS!D47</f>
        <v/>
      </c>
      <c r="E1044">
        <f>X_Platf_WMS!E47</f>
        <v/>
      </c>
      <c r="F1044">
        <f>X_Platf_WMS!F47</f>
        <v/>
      </c>
      <c r="G1044">
        <f>X_Platf_WMS!G47</f>
        <v/>
      </c>
      <c r="H1044">
        <f>X_Platf_WMS!H47</f>
        <v/>
      </c>
      <c r="I1044">
        <f>X_Platf_WMS!I47</f>
        <v/>
      </c>
      <c r="J1044">
        <f>X_Platf_WMS!J47</f>
        <v/>
      </c>
      <c r="K1044" s="672">
        <f>X_Platf_WMS!K47</f>
        <v/>
      </c>
      <c r="L1044" s="672">
        <f>X_Platf_WMS!L47</f>
        <v/>
      </c>
      <c r="M1044">
        <f>X_Platf_WMS!M47</f>
        <v/>
      </c>
      <c r="N1044">
        <f>X_Platf_WMS!N47</f>
        <v/>
      </c>
      <c r="O1044">
        <f>X_Platf_WMS!O47</f>
        <v/>
      </c>
      <c r="P1044" s="628">
        <f>X_Platf_WMS!P47</f>
        <v/>
      </c>
      <c r="Q1044" s="628">
        <f>X_Platf_WMS!Q47</f>
        <v/>
      </c>
      <c r="R1044" s="628">
        <f>X_Platf_WMS!R47</f>
        <v/>
      </c>
      <c r="S1044" s="628">
        <f>X_Platf_WMS!S47</f>
        <v/>
      </c>
      <c r="T1044" s="628">
        <f>X_Platf_WMS!T47</f>
        <v/>
      </c>
      <c r="U1044" s="628">
        <f>X_Platf_WMS!U47</f>
        <v/>
      </c>
      <c r="V1044" s="628">
        <f>X_Platf_WMS!V47</f>
        <v/>
      </c>
      <c r="W1044" s="628">
        <f>X_Platf_WMS!W47</f>
        <v/>
      </c>
      <c r="X1044" s="628">
        <f>X_Platf_WMS!X47</f>
        <v/>
      </c>
      <c r="Y1044" s="650">
        <f>X_Platf_WMS!Y47</f>
        <v/>
      </c>
      <c r="Z1044" s="650">
        <f>X_Platf_WMS!Z47</f>
        <v/>
      </c>
      <c r="AA1044" s="650">
        <f>X_Platf_WMS!AA47</f>
        <v/>
      </c>
      <c r="AB1044" s="650">
        <f>X_Platf_WMS!AB47</f>
        <v/>
      </c>
      <c r="AC1044" s="613">
        <f>X_Platf_WMS!AC47</f>
        <v/>
      </c>
      <c r="AD1044" s="613">
        <f>X_Platf_WMS!AD47</f>
        <v/>
      </c>
      <c r="AE1044" s="613">
        <f>X_Platf_WMS!AE47</f>
        <v/>
      </c>
      <c r="AF1044" s="613">
        <f>X_Platf_WMS!AF47</f>
        <v/>
      </c>
      <c r="AG1044" s="626">
        <f>X_Platf_WMS!AG47</f>
        <v/>
      </c>
      <c r="AH1044" s="626">
        <f>X_Platf_WMS!AH47</f>
        <v/>
      </c>
      <c r="AI1044" s="626">
        <f>X_Platf_WMS!AI47</f>
        <v/>
      </c>
      <c r="AJ1044" s="626">
        <f>X_Platf_WMS!AJ47</f>
        <v/>
      </c>
      <c r="AK1044" s="626">
        <f>X_Platf_WMS!AK47</f>
        <v/>
      </c>
      <c r="AL1044" s="626">
        <f>X_Platf_WMS!AL47</f>
        <v/>
      </c>
      <c r="AM1044" s="626">
        <f>X_Platf_WMS!AM47</f>
        <v/>
      </c>
      <c r="AN1044" s="626">
        <f>X_Platf_WMS!AN47</f>
        <v/>
      </c>
      <c r="AO1044" s="626">
        <f>X_Platf_WMS!AO47</f>
        <v/>
      </c>
      <c r="AP1044" s="369">
        <f>X_Platf_WMS!AP47</f>
        <v/>
      </c>
      <c r="AQ1044" s="369">
        <f>X_Platf_WMS!AQ47</f>
        <v/>
      </c>
      <c r="AR1044" s="369">
        <f>X_Platf_WMS!AR47</f>
        <v/>
      </c>
      <c r="AS1044" s="369">
        <f>X_Platf_WMS!AS47</f>
        <v/>
      </c>
      <c r="AT1044" s="370">
        <f>X_Platf_WMS!AT47</f>
        <v/>
      </c>
      <c r="AU1044" s="370">
        <f>X_Platf_WMS!AU47</f>
        <v/>
      </c>
      <c r="AV1044" s="370">
        <f>X_Platf_WMS!AV47</f>
        <v/>
      </c>
      <c r="AW1044" s="370">
        <f>X_Platf_WMS!AW47</f>
        <v/>
      </c>
      <c r="AX1044">
        <f>X_Platf_WMS!AX47</f>
        <v/>
      </c>
      <c r="AY1044">
        <f>X_Platf_WMS!AY47</f>
        <v/>
      </c>
      <c r="AZ1044">
        <f>X_Platf_WMS!AZ47</f>
        <v/>
      </c>
      <c r="BA1044">
        <f>X_Platf_WMS!BA47</f>
        <v/>
      </c>
      <c r="BB1044">
        <f>X_Platf_WMS!BB47</f>
        <v/>
      </c>
      <c r="BC1044">
        <f>X_Platf_WMS!BC47</f>
        <v/>
      </c>
      <c r="BD1044">
        <f>X_Platf_WMS!BD47</f>
        <v/>
      </c>
      <c r="BE1044">
        <f>X_Platf_WMS!BE47</f>
        <v/>
      </c>
      <c r="BF1044">
        <f>X_Platf_WMS!BF47</f>
        <v/>
      </c>
      <c r="BG1044">
        <f>X_Platf_WMS!BG47</f>
        <v/>
      </c>
      <c r="BH1044">
        <f>X_Platf_WMS!BH47</f>
        <v/>
      </c>
      <c r="BI1044">
        <f>X_Platf_WMS!BI47</f>
        <v/>
      </c>
      <c r="BJ1044">
        <f>O1044</f>
        <v/>
      </c>
      <c r="BK1044">
        <f>SUM(AG1044:AW1044)</f>
        <v/>
      </c>
      <c r="BL1044" s="531">
        <f>BJ1044-BK1044</f>
        <v/>
      </c>
      <c r="BM1044" s="201" t="n"/>
    </row>
    <row r="1045" hidden="1" outlineLevel="1" s="191">
      <c r="A1045">
        <f>X_Platf_WMS!A48</f>
        <v/>
      </c>
      <c r="B1045">
        <f>X_Platf_WMS!B48</f>
        <v/>
      </c>
      <c r="C1045">
        <f>X_Platf_WMS!C48</f>
        <v/>
      </c>
      <c r="D1045">
        <f>X_Platf_WMS!D48</f>
        <v/>
      </c>
      <c r="E1045">
        <f>X_Platf_WMS!E48</f>
        <v/>
      </c>
      <c r="F1045">
        <f>X_Platf_WMS!F48</f>
        <v/>
      </c>
      <c r="G1045">
        <f>X_Platf_WMS!G48</f>
        <v/>
      </c>
      <c r="H1045">
        <f>X_Platf_WMS!H48</f>
        <v/>
      </c>
      <c r="I1045">
        <f>X_Platf_WMS!I48</f>
        <v/>
      </c>
      <c r="J1045">
        <f>X_Platf_WMS!J48</f>
        <v/>
      </c>
      <c r="K1045" s="672">
        <f>X_Platf_WMS!K48</f>
        <v/>
      </c>
      <c r="L1045" s="672">
        <f>X_Platf_WMS!L48</f>
        <v/>
      </c>
      <c r="M1045">
        <f>X_Platf_WMS!M48</f>
        <v/>
      </c>
      <c r="N1045">
        <f>X_Platf_WMS!N48</f>
        <v/>
      </c>
      <c r="O1045">
        <f>X_Platf_WMS!O48</f>
        <v/>
      </c>
      <c r="P1045" s="628">
        <f>X_Platf_WMS!P48</f>
        <v/>
      </c>
      <c r="Q1045" s="628">
        <f>X_Platf_WMS!Q48</f>
        <v/>
      </c>
      <c r="R1045" s="628">
        <f>X_Platf_WMS!R48</f>
        <v/>
      </c>
      <c r="S1045" s="628">
        <f>X_Platf_WMS!S48</f>
        <v/>
      </c>
      <c r="T1045" s="628">
        <f>X_Platf_WMS!T48</f>
        <v/>
      </c>
      <c r="U1045" s="628">
        <f>X_Platf_WMS!U48</f>
        <v/>
      </c>
      <c r="V1045" s="628">
        <f>X_Platf_WMS!V48</f>
        <v/>
      </c>
      <c r="W1045" s="628">
        <f>X_Platf_WMS!W48</f>
        <v/>
      </c>
      <c r="X1045" s="628">
        <f>X_Platf_WMS!X48</f>
        <v/>
      </c>
      <c r="Y1045" s="650">
        <f>X_Platf_WMS!Y48</f>
        <v/>
      </c>
      <c r="Z1045" s="650">
        <f>X_Platf_WMS!Z48</f>
        <v/>
      </c>
      <c r="AA1045" s="650">
        <f>X_Platf_WMS!AA48</f>
        <v/>
      </c>
      <c r="AB1045" s="650">
        <f>X_Platf_WMS!AB48</f>
        <v/>
      </c>
      <c r="AC1045" s="613">
        <f>X_Platf_WMS!AC48</f>
        <v/>
      </c>
      <c r="AD1045" s="613">
        <f>X_Platf_WMS!AD48</f>
        <v/>
      </c>
      <c r="AE1045" s="613">
        <f>X_Platf_WMS!AE48</f>
        <v/>
      </c>
      <c r="AF1045" s="613">
        <f>X_Platf_WMS!AF48</f>
        <v/>
      </c>
      <c r="AG1045" s="626">
        <f>X_Platf_WMS!AG48</f>
        <v/>
      </c>
      <c r="AH1045" s="626">
        <f>X_Platf_WMS!AH48</f>
        <v/>
      </c>
      <c r="AI1045" s="626">
        <f>X_Platf_WMS!AI48</f>
        <v/>
      </c>
      <c r="AJ1045" s="626">
        <f>X_Platf_WMS!AJ48</f>
        <v/>
      </c>
      <c r="AK1045" s="626">
        <f>X_Platf_WMS!AK48</f>
        <v/>
      </c>
      <c r="AL1045" s="626">
        <f>X_Platf_WMS!AL48</f>
        <v/>
      </c>
      <c r="AM1045" s="626">
        <f>X_Platf_WMS!AM48</f>
        <v/>
      </c>
      <c r="AN1045" s="626">
        <f>X_Platf_WMS!AN48</f>
        <v/>
      </c>
      <c r="AO1045" s="626">
        <f>X_Platf_WMS!AO48</f>
        <v/>
      </c>
      <c r="AP1045" s="369">
        <f>X_Platf_WMS!AP48</f>
        <v/>
      </c>
      <c r="AQ1045" s="369">
        <f>X_Platf_WMS!AQ48</f>
        <v/>
      </c>
      <c r="AR1045" s="369">
        <f>X_Platf_WMS!AR48</f>
        <v/>
      </c>
      <c r="AS1045" s="369">
        <f>X_Platf_WMS!AS48</f>
        <v/>
      </c>
      <c r="AT1045" s="370">
        <f>X_Platf_WMS!AT48</f>
        <v/>
      </c>
      <c r="AU1045" s="370">
        <f>X_Platf_WMS!AU48</f>
        <v/>
      </c>
      <c r="AV1045" s="370">
        <f>X_Platf_WMS!AV48</f>
        <v/>
      </c>
      <c r="AW1045" s="370">
        <f>X_Platf_WMS!AW48</f>
        <v/>
      </c>
      <c r="AX1045">
        <f>X_Platf_WMS!AX48</f>
        <v/>
      </c>
      <c r="AY1045">
        <f>X_Platf_WMS!AY48</f>
        <v/>
      </c>
      <c r="AZ1045">
        <f>X_Platf_WMS!AZ48</f>
        <v/>
      </c>
      <c r="BA1045">
        <f>X_Platf_WMS!BA48</f>
        <v/>
      </c>
      <c r="BB1045">
        <f>X_Platf_WMS!BB48</f>
        <v/>
      </c>
      <c r="BC1045">
        <f>X_Platf_WMS!BC48</f>
        <v/>
      </c>
      <c r="BD1045">
        <f>X_Platf_WMS!BD48</f>
        <v/>
      </c>
      <c r="BE1045">
        <f>X_Platf_WMS!BE48</f>
        <v/>
      </c>
      <c r="BF1045">
        <f>X_Platf_WMS!BF48</f>
        <v/>
      </c>
      <c r="BG1045">
        <f>X_Platf_WMS!BG48</f>
        <v/>
      </c>
      <c r="BH1045">
        <f>X_Platf_WMS!BH48</f>
        <v/>
      </c>
      <c r="BI1045">
        <f>X_Platf_WMS!BI48</f>
        <v/>
      </c>
      <c r="BJ1045">
        <f>O1045</f>
        <v/>
      </c>
      <c r="BK1045">
        <f>SUM(AG1045:AW1045)</f>
        <v/>
      </c>
      <c r="BL1045" s="531">
        <f>BJ1045-BK1045</f>
        <v/>
      </c>
      <c r="BM1045" s="201" t="n"/>
    </row>
    <row r="1046" hidden="1" outlineLevel="1" s="191">
      <c r="A1046">
        <f>X_Platf_WMS!A49</f>
        <v/>
      </c>
      <c r="B1046">
        <f>X_Platf_WMS!B49</f>
        <v/>
      </c>
      <c r="C1046">
        <f>X_Platf_WMS!C49</f>
        <v/>
      </c>
      <c r="D1046">
        <f>X_Platf_WMS!D49</f>
        <v/>
      </c>
      <c r="E1046">
        <f>X_Platf_WMS!E49</f>
        <v/>
      </c>
      <c r="F1046">
        <f>X_Platf_WMS!F49</f>
        <v/>
      </c>
      <c r="G1046">
        <f>X_Platf_WMS!G49</f>
        <v/>
      </c>
      <c r="H1046">
        <f>X_Platf_WMS!H49</f>
        <v/>
      </c>
      <c r="I1046">
        <f>X_Platf_WMS!I49</f>
        <v/>
      </c>
      <c r="J1046">
        <f>X_Platf_WMS!J49</f>
        <v/>
      </c>
      <c r="K1046" s="672">
        <f>X_Platf_WMS!K49</f>
        <v/>
      </c>
      <c r="L1046" s="672">
        <f>X_Platf_WMS!L49</f>
        <v/>
      </c>
      <c r="M1046">
        <f>X_Platf_WMS!M49</f>
        <v/>
      </c>
      <c r="N1046">
        <f>X_Platf_WMS!N49</f>
        <v/>
      </c>
      <c r="O1046">
        <f>X_Platf_WMS!O49</f>
        <v/>
      </c>
      <c r="P1046" s="628">
        <f>X_Platf_WMS!P49</f>
        <v/>
      </c>
      <c r="Q1046" s="628">
        <f>X_Platf_WMS!Q49</f>
        <v/>
      </c>
      <c r="R1046" s="628">
        <f>X_Platf_WMS!R49</f>
        <v/>
      </c>
      <c r="S1046" s="628">
        <f>X_Platf_WMS!S49</f>
        <v/>
      </c>
      <c r="T1046" s="628">
        <f>X_Platf_WMS!T49</f>
        <v/>
      </c>
      <c r="U1046" s="628">
        <f>X_Platf_WMS!U49</f>
        <v/>
      </c>
      <c r="V1046" s="628">
        <f>X_Platf_WMS!V49</f>
        <v/>
      </c>
      <c r="W1046" s="628">
        <f>X_Platf_WMS!W49</f>
        <v/>
      </c>
      <c r="X1046" s="628">
        <f>X_Platf_WMS!X49</f>
        <v/>
      </c>
      <c r="Y1046" s="650">
        <f>X_Platf_WMS!Y49</f>
        <v/>
      </c>
      <c r="Z1046" s="650">
        <f>X_Platf_WMS!Z49</f>
        <v/>
      </c>
      <c r="AA1046" s="650">
        <f>X_Platf_WMS!AA49</f>
        <v/>
      </c>
      <c r="AB1046" s="650">
        <f>X_Platf_WMS!AB49</f>
        <v/>
      </c>
      <c r="AC1046" s="613">
        <f>X_Platf_WMS!AC49</f>
        <v/>
      </c>
      <c r="AD1046" s="613">
        <f>X_Platf_WMS!AD49</f>
        <v/>
      </c>
      <c r="AE1046" s="613">
        <f>X_Platf_WMS!AE49</f>
        <v/>
      </c>
      <c r="AF1046" s="613">
        <f>X_Platf_WMS!AF49</f>
        <v/>
      </c>
      <c r="AG1046" s="626">
        <f>X_Platf_WMS!AG49</f>
        <v/>
      </c>
      <c r="AH1046" s="626">
        <f>X_Platf_WMS!AH49</f>
        <v/>
      </c>
      <c r="AI1046" s="626">
        <f>X_Platf_WMS!AI49</f>
        <v/>
      </c>
      <c r="AJ1046" s="626">
        <f>X_Platf_WMS!AJ49</f>
        <v/>
      </c>
      <c r="AK1046" s="626">
        <f>X_Platf_WMS!AK49</f>
        <v/>
      </c>
      <c r="AL1046" s="626">
        <f>X_Platf_WMS!AL49</f>
        <v/>
      </c>
      <c r="AM1046" s="626">
        <f>X_Platf_WMS!AM49</f>
        <v/>
      </c>
      <c r="AN1046" s="626">
        <f>X_Platf_WMS!AN49</f>
        <v/>
      </c>
      <c r="AO1046" s="626">
        <f>X_Platf_WMS!AO49</f>
        <v/>
      </c>
      <c r="AP1046" s="369">
        <f>X_Platf_WMS!AP49</f>
        <v/>
      </c>
      <c r="AQ1046" s="369">
        <f>X_Platf_WMS!AQ49</f>
        <v/>
      </c>
      <c r="AR1046" s="369">
        <f>X_Platf_WMS!AR49</f>
        <v/>
      </c>
      <c r="AS1046" s="369">
        <f>X_Platf_WMS!AS49</f>
        <v/>
      </c>
      <c r="AT1046" s="370">
        <f>X_Platf_WMS!AT49</f>
        <v/>
      </c>
      <c r="AU1046" s="370">
        <f>X_Platf_WMS!AU49</f>
        <v/>
      </c>
      <c r="AV1046" s="370">
        <f>X_Platf_WMS!AV49</f>
        <v/>
      </c>
      <c r="AW1046" s="370">
        <f>X_Platf_WMS!AW49</f>
        <v/>
      </c>
      <c r="AX1046">
        <f>X_Platf_WMS!AX49</f>
        <v/>
      </c>
      <c r="AY1046">
        <f>X_Platf_WMS!AY49</f>
        <v/>
      </c>
      <c r="AZ1046">
        <f>X_Platf_WMS!AZ49</f>
        <v/>
      </c>
      <c r="BA1046">
        <f>X_Platf_WMS!BA49</f>
        <v/>
      </c>
      <c r="BB1046">
        <f>X_Platf_WMS!BB49</f>
        <v/>
      </c>
      <c r="BC1046">
        <f>X_Platf_WMS!BC49</f>
        <v/>
      </c>
      <c r="BD1046">
        <f>X_Platf_WMS!BD49</f>
        <v/>
      </c>
      <c r="BE1046">
        <f>X_Platf_WMS!BE49</f>
        <v/>
      </c>
      <c r="BF1046">
        <f>X_Platf_WMS!BF49</f>
        <v/>
      </c>
      <c r="BG1046">
        <f>X_Platf_WMS!BG49</f>
        <v/>
      </c>
      <c r="BH1046">
        <f>X_Platf_WMS!BH49</f>
        <v/>
      </c>
      <c r="BI1046">
        <f>X_Platf_WMS!BI49</f>
        <v/>
      </c>
      <c r="BJ1046">
        <f>O1046</f>
        <v/>
      </c>
      <c r="BK1046">
        <f>SUM(AG1046:AW1046)</f>
        <v/>
      </c>
      <c r="BL1046" s="531">
        <f>BJ1046-BK1046</f>
        <v/>
      </c>
      <c r="BM1046" s="201" t="n"/>
    </row>
    <row r="1047" hidden="1" outlineLevel="1" s="191">
      <c r="A1047">
        <f>X_Platf_WMS!A50</f>
        <v/>
      </c>
      <c r="B1047">
        <f>X_Platf_WMS!B50</f>
        <v/>
      </c>
      <c r="C1047">
        <f>X_Platf_WMS!C50</f>
        <v/>
      </c>
      <c r="D1047">
        <f>X_Platf_WMS!D50</f>
        <v/>
      </c>
      <c r="E1047">
        <f>X_Platf_WMS!E50</f>
        <v/>
      </c>
      <c r="F1047">
        <f>X_Platf_WMS!F50</f>
        <v/>
      </c>
      <c r="G1047">
        <f>X_Platf_WMS!G50</f>
        <v/>
      </c>
      <c r="H1047">
        <f>X_Platf_WMS!H50</f>
        <v/>
      </c>
      <c r="I1047">
        <f>X_Platf_WMS!I50</f>
        <v/>
      </c>
      <c r="J1047">
        <f>X_Platf_WMS!J50</f>
        <v/>
      </c>
      <c r="K1047" s="672">
        <f>X_Platf_WMS!K50</f>
        <v/>
      </c>
      <c r="L1047" s="672">
        <f>X_Platf_WMS!L50</f>
        <v/>
      </c>
      <c r="M1047">
        <f>X_Platf_WMS!M50</f>
        <v/>
      </c>
      <c r="N1047">
        <f>X_Platf_WMS!N50</f>
        <v/>
      </c>
      <c r="O1047">
        <f>X_Platf_WMS!O50</f>
        <v/>
      </c>
      <c r="P1047" s="628">
        <f>X_Platf_WMS!P50</f>
        <v/>
      </c>
      <c r="Q1047" s="628">
        <f>X_Platf_WMS!Q50</f>
        <v/>
      </c>
      <c r="R1047" s="628">
        <f>X_Platf_WMS!R50</f>
        <v/>
      </c>
      <c r="S1047" s="628">
        <f>X_Platf_WMS!S50</f>
        <v/>
      </c>
      <c r="T1047" s="628">
        <f>X_Platf_WMS!T50</f>
        <v/>
      </c>
      <c r="U1047" s="628">
        <f>X_Platf_WMS!U50</f>
        <v/>
      </c>
      <c r="V1047" s="628">
        <f>X_Platf_WMS!V50</f>
        <v/>
      </c>
      <c r="W1047" s="628">
        <f>X_Platf_WMS!W50</f>
        <v/>
      </c>
      <c r="X1047" s="628">
        <f>X_Platf_WMS!X50</f>
        <v/>
      </c>
      <c r="Y1047" s="650">
        <f>X_Platf_WMS!Y50</f>
        <v/>
      </c>
      <c r="Z1047" s="650">
        <f>X_Platf_WMS!Z50</f>
        <v/>
      </c>
      <c r="AA1047" s="650">
        <f>X_Platf_WMS!AA50</f>
        <v/>
      </c>
      <c r="AB1047" s="650">
        <f>X_Platf_WMS!AB50</f>
        <v/>
      </c>
      <c r="AC1047" s="613">
        <f>X_Platf_WMS!AC50</f>
        <v/>
      </c>
      <c r="AD1047" s="613">
        <f>X_Platf_WMS!AD50</f>
        <v/>
      </c>
      <c r="AE1047" s="613">
        <f>X_Platf_WMS!AE50</f>
        <v/>
      </c>
      <c r="AF1047" s="613">
        <f>X_Platf_WMS!AF50</f>
        <v/>
      </c>
      <c r="AG1047" s="626">
        <f>X_Platf_WMS!AG50</f>
        <v/>
      </c>
      <c r="AH1047" s="626">
        <f>X_Platf_WMS!AH50</f>
        <v/>
      </c>
      <c r="AI1047" s="626">
        <f>X_Platf_WMS!AI50</f>
        <v/>
      </c>
      <c r="AJ1047" s="626">
        <f>X_Platf_WMS!AJ50</f>
        <v/>
      </c>
      <c r="AK1047" s="626">
        <f>X_Platf_WMS!AK50</f>
        <v/>
      </c>
      <c r="AL1047" s="626">
        <f>X_Platf_WMS!AL50</f>
        <v/>
      </c>
      <c r="AM1047" s="626">
        <f>X_Platf_WMS!AM50</f>
        <v/>
      </c>
      <c r="AN1047" s="626">
        <f>X_Platf_WMS!AN50</f>
        <v/>
      </c>
      <c r="AO1047" s="626">
        <f>X_Platf_WMS!AO50</f>
        <v/>
      </c>
      <c r="AP1047" s="369">
        <f>X_Platf_WMS!AP50</f>
        <v/>
      </c>
      <c r="AQ1047" s="369">
        <f>X_Platf_WMS!AQ50</f>
        <v/>
      </c>
      <c r="AR1047" s="369">
        <f>X_Platf_WMS!AR50</f>
        <v/>
      </c>
      <c r="AS1047" s="369">
        <f>X_Platf_WMS!AS50</f>
        <v/>
      </c>
      <c r="AT1047" s="370">
        <f>X_Platf_WMS!AT50</f>
        <v/>
      </c>
      <c r="AU1047" s="370">
        <f>X_Platf_WMS!AU50</f>
        <v/>
      </c>
      <c r="AV1047" s="370">
        <f>X_Platf_WMS!AV50</f>
        <v/>
      </c>
      <c r="AW1047" s="370">
        <f>X_Platf_WMS!AW50</f>
        <v/>
      </c>
      <c r="AX1047">
        <f>X_Platf_WMS!AX50</f>
        <v/>
      </c>
      <c r="AY1047">
        <f>X_Platf_WMS!AY50</f>
        <v/>
      </c>
      <c r="AZ1047">
        <f>X_Platf_WMS!AZ50</f>
        <v/>
      </c>
      <c r="BA1047">
        <f>X_Platf_WMS!BA50</f>
        <v/>
      </c>
      <c r="BB1047">
        <f>X_Platf_WMS!BB50</f>
        <v/>
      </c>
      <c r="BC1047">
        <f>X_Platf_WMS!BC50</f>
        <v/>
      </c>
      <c r="BD1047">
        <f>X_Platf_WMS!BD50</f>
        <v/>
      </c>
      <c r="BE1047">
        <f>X_Platf_WMS!BE50</f>
        <v/>
      </c>
      <c r="BF1047">
        <f>X_Platf_WMS!BF50</f>
        <v/>
      </c>
      <c r="BG1047">
        <f>X_Platf_WMS!BG50</f>
        <v/>
      </c>
      <c r="BH1047">
        <f>X_Platf_WMS!BH50</f>
        <v/>
      </c>
      <c r="BI1047">
        <f>X_Platf_WMS!BI50</f>
        <v/>
      </c>
      <c r="BJ1047">
        <f>O1047</f>
        <v/>
      </c>
      <c r="BK1047">
        <f>SUM(AG1047:AW1047)</f>
        <v/>
      </c>
      <c r="BL1047" s="531">
        <f>BJ1047-BK1047</f>
        <v/>
      </c>
      <c r="BM1047" s="201" t="n"/>
    </row>
    <row r="1048" hidden="1" outlineLevel="1" s="191">
      <c r="A1048">
        <f>X_Platf_WMS!A51</f>
        <v/>
      </c>
      <c r="B1048">
        <f>X_Platf_WMS!B51</f>
        <v/>
      </c>
      <c r="C1048">
        <f>X_Platf_WMS!C51</f>
        <v/>
      </c>
      <c r="D1048">
        <f>X_Platf_WMS!D51</f>
        <v/>
      </c>
      <c r="E1048">
        <f>X_Platf_WMS!E51</f>
        <v/>
      </c>
      <c r="F1048">
        <f>X_Platf_WMS!F51</f>
        <v/>
      </c>
      <c r="G1048">
        <f>X_Platf_WMS!G51</f>
        <v/>
      </c>
      <c r="H1048">
        <f>X_Platf_WMS!H51</f>
        <v/>
      </c>
      <c r="I1048">
        <f>X_Platf_WMS!I51</f>
        <v/>
      </c>
      <c r="J1048">
        <f>X_Platf_WMS!J51</f>
        <v/>
      </c>
      <c r="K1048" s="672">
        <f>X_Platf_WMS!K51</f>
        <v/>
      </c>
      <c r="L1048" s="672">
        <f>X_Platf_WMS!L51</f>
        <v/>
      </c>
      <c r="M1048">
        <f>X_Platf_WMS!M51</f>
        <v/>
      </c>
      <c r="N1048">
        <f>X_Platf_WMS!N51</f>
        <v/>
      </c>
      <c r="O1048">
        <f>X_Platf_WMS!O51</f>
        <v/>
      </c>
      <c r="P1048" s="628">
        <f>X_Platf_WMS!P51</f>
        <v/>
      </c>
      <c r="Q1048" s="628">
        <f>X_Platf_WMS!Q51</f>
        <v/>
      </c>
      <c r="R1048" s="628">
        <f>X_Platf_WMS!R51</f>
        <v/>
      </c>
      <c r="S1048" s="628">
        <f>X_Platf_WMS!S51</f>
        <v/>
      </c>
      <c r="T1048" s="628">
        <f>X_Platf_WMS!T51</f>
        <v/>
      </c>
      <c r="U1048" s="628">
        <f>X_Platf_WMS!U51</f>
        <v/>
      </c>
      <c r="V1048" s="628">
        <f>X_Platf_WMS!V51</f>
        <v/>
      </c>
      <c r="W1048" s="628">
        <f>X_Platf_WMS!W51</f>
        <v/>
      </c>
      <c r="X1048" s="628">
        <f>X_Platf_WMS!X51</f>
        <v/>
      </c>
      <c r="Y1048" s="650">
        <f>X_Platf_WMS!Y51</f>
        <v/>
      </c>
      <c r="Z1048" s="650">
        <f>X_Platf_WMS!Z51</f>
        <v/>
      </c>
      <c r="AA1048" s="650">
        <f>X_Platf_WMS!AA51</f>
        <v/>
      </c>
      <c r="AB1048" s="650">
        <f>X_Platf_WMS!AB51</f>
        <v/>
      </c>
      <c r="AC1048" s="613">
        <f>X_Platf_WMS!AC51</f>
        <v/>
      </c>
      <c r="AD1048" s="613">
        <f>X_Platf_WMS!AD51</f>
        <v/>
      </c>
      <c r="AE1048" s="613">
        <f>X_Platf_WMS!AE51</f>
        <v/>
      </c>
      <c r="AF1048" s="613">
        <f>X_Platf_WMS!AF51</f>
        <v/>
      </c>
      <c r="AG1048" s="626">
        <f>X_Platf_WMS!AG51</f>
        <v/>
      </c>
      <c r="AH1048" s="626">
        <f>X_Platf_WMS!AH51</f>
        <v/>
      </c>
      <c r="AI1048" s="626">
        <f>X_Platf_WMS!AI51</f>
        <v/>
      </c>
      <c r="AJ1048" s="626">
        <f>X_Platf_WMS!AJ51</f>
        <v/>
      </c>
      <c r="AK1048" s="626">
        <f>X_Platf_WMS!AK51</f>
        <v/>
      </c>
      <c r="AL1048" s="626">
        <f>X_Platf_WMS!AL51</f>
        <v/>
      </c>
      <c r="AM1048" s="626">
        <f>X_Platf_WMS!AM51</f>
        <v/>
      </c>
      <c r="AN1048" s="626">
        <f>X_Platf_WMS!AN51</f>
        <v/>
      </c>
      <c r="AO1048" s="626">
        <f>X_Platf_WMS!AO51</f>
        <v/>
      </c>
      <c r="AP1048" s="369">
        <f>X_Platf_WMS!AP51</f>
        <v/>
      </c>
      <c r="AQ1048" s="369">
        <f>X_Platf_WMS!AQ51</f>
        <v/>
      </c>
      <c r="AR1048" s="369">
        <f>X_Platf_WMS!AR51</f>
        <v/>
      </c>
      <c r="AS1048" s="369">
        <f>X_Platf_WMS!AS51</f>
        <v/>
      </c>
      <c r="AT1048" s="370">
        <f>X_Platf_WMS!AT51</f>
        <v/>
      </c>
      <c r="AU1048" s="370">
        <f>X_Platf_WMS!AU51</f>
        <v/>
      </c>
      <c r="AV1048" s="370">
        <f>X_Platf_WMS!AV51</f>
        <v/>
      </c>
      <c r="AW1048" s="370">
        <f>X_Platf_WMS!AW51</f>
        <v/>
      </c>
      <c r="AX1048">
        <f>X_Platf_WMS!AX51</f>
        <v/>
      </c>
      <c r="AY1048">
        <f>X_Platf_WMS!AY51</f>
        <v/>
      </c>
      <c r="AZ1048">
        <f>X_Platf_WMS!AZ51</f>
        <v/>
      </c>
      <c r="BA1048">
        <f>X_Platf_WMS!BA51</f>
        <v/>
      </c>
      <c r="BB1048">
        <f>X_Platf_WMS!BB51</f>
        <v/>
      </c>
      <c r="BC1048">
        <f>X_Platf_WMS!BC51</f>
        <v/>
      </c>
      <c r="BD1048">
        <f>X_Platf_WMS!BD51</f>
        <v/>
      </c>
      <c r="BE1048">
        <f>X_Platf_WMS!BE51</f>
        <v/>
      </c>
      <c r="BF1048">
        <f>X_Platf_WMS!BF51</f>
        <v/>
      </c>
      <c r="BG1048">
        <f>X_Platf_WMS!BG51</f>
        <v/>
      </c>
      <c r="BH1048">
        <f>X_Platf_WMS!BH51</f>
        <v/>
      </c>
      <c r="BI1048">
        <f>X_Platf_WMS!BI51</f>
        <v/>
      </c>
      <c r="BJ1048">
        <f>O1048</f>
        <v/>
      </c>
      <c r="BK1048">
        <f>SUM(AG1048:AW1048)</f>
        <v/>
      </c>
      <c r="BL1048" s="531">
        <f>BJ1048-BK1048</f>
        <v/>
      </c>
      <c r="BM1048" s="201" t="n"/>
    </row>
    <row r="1049" hidden="1" outlineLevel="1" s="191">
      <c r="A1049">
        <f>X_Platf_WMS!A52</f>
        <v/>
      </c>
      <c r="B1049">
        <f>X_Platf_WMS!B52</f>
        <v/>
      </c>
      <c r="C1049">
        <f>X_Platf_WMS!C52</f>
        <v/>
      </c>
      <c r="D1049">
        <f>X_Platf_WMS!D52</f>
        <v/>
      </c>
      <c r="E1049">
        <f>X_Platf_WMS!E52</f>
        <v/>
      </c>
      <c r="F1049">
        <f>X_Platf_WMS!F52</f>
        <v/>
      </c>
      <c r="G1049">
        <f>X_Platf_WMS!G52</f>
        <v/>
      </c>
      <c r="H1049">
        <f>X_Platf_WMS!H52</f>
        <v/>
      </c>
      <c r="I1049">
        <f>X_Platf_WMS!I52</f>
        <v/>
      </c>
      <c r="J1049">
        <f>X_Platf_WMS!J52</f>
        <v/>
      </c>
      <c r="K1049" s="672">
        <f>X_Platf_WMS!K52</f>
        <v/>
      </c>
      <c r="L1049" s="672">
        <f>X_Platf_WMS!L52</f>
        <v/>
      </c>
      <c r="M1049">
        <f>X_Platf_WMS!M52</f>
        <v/>
      </c>
      <c r="N1049">
        <f>X_Platf_WMS!N52</f>
        <v/>
      </c>
      <c r="O1049">
        <f>X_Platf_WMS!O52</f>
        <v/>
      </c>
      <c r="P1049" s="628">
        <f>X_Platf_WMS!P52</f>
        <v/>
      </c>
      <c r="Q1049" s="628">
        <f>X_Platf_WMS!Q52</f>
        <v/>
      </c>
      <c r="R1049" s="628">
        <f>X_Platf_WMS!R52</f>
        <v/>
      </c>
      <c r="S1049" s="628">
        <f>X_Platf_WMS!S52</f>
        <v/>
      </c>
      <c r="T1049" s="628">
        <f>X_Platf_WMS!T52</f>
        <v/>
      </c>
      <c r="U1049" s="628">
        <f>X_Platf_WMS!U52</f>
        <v/>
      </c>
      <c r="V1049" s="628">
        <f>X_Platf_WMS!V52</f>
        <v/>
      </c>
      <c r="W1049" s="628">
        <f>X_Platf_WMS!W52</f>
        <v/>
      </c>
      <c r="X1049" s="628">
        <f>X_Platf_WMS!X52</f>
        <v/>
      </c>
      <c r="Y1049" s="650">
        <f>X_Platf_WMS!Y52</f>
        <v/>
      </c>
      <c r="Z1049" s="650">
        <f>X_Platf_WMS!Z52</f>
        <v/>
      </c>
      <c r="AA1049" s="650">
        <f>X_Platf_WMS!AA52</f>
        <v/>
      </c>
      <c r="AB1049" s="650">
        <f>X_Platf_WMS!AB52</f>
        <v/>
      </c>
      <c r="AC1049" s="613">
        <f>X_Platf_WMS!AC52</f>
        <v/>
      </c>
      <c r="AD1049" s="613">
        <f>X_Platf_WMS!AD52</f>
        <v/>
      </c>
      <c r="AE1049" s="613">
        <f>X_Platf_WMS!AE52</f>
        <v/>
      </c>
      <c r="AF1049" s="613">
        <f>X_Platf_WMS!AF52</f>
        <v/>
      </c>
      <c r="AG1049" s="626">
        <f>X_Platf_WMS!AG52</f>
        <v/>
      </c>
      <c r="AH1049" s="626">
        <f>X_Platf_WMS!AH52</f>
        <v/>
      </c>
      <c r="AI1049" s="626">
        <f>X_Platf_WMS!AI52</f>
        <v/>
      </c>
      <c r="AJ1049" s="626">
        <f>X_Platf_WMS!AJ52</f>
        <v/>
      </c>
      <c r="AK1049" s="626">
        <f>X_Platf_WMS!AK52</f>
        <v/>
      </c>
      <c r="AL1049" s="626">
        <f>X_Platf_WMS!AL52</f>
        <v/>
      </c>
      <c r="AM1049" s="626">
        <f>X_Platf_WMS!AM52</f>
        <v/>
      </c>
      <c r="AN1049" s="626">
        <f>X_Platf_WMS!AN52</f>
        <v/>
      </c>
      <c r="AO1049" s="626">
        <f>X_Platf_WMS!AO52</f>
        <v/>
      </c>
      <c r="AP1049" s="369">
        <f>X_Platf_WMS!AP52</f>
        <v/>
      </c>
      <c r="AQ1049" s="369">
        <f>X_Platf_WMS!AQ52</f>
        <v/>
      </c>
      <c r="AR1049" s="369">
        <f>X_Platf_WMS!AR52</f>
        <v/>
      </c>
      <c r="AS1049" s="369">
        <f>X_Platf_WMS!AS52</f>
        <v/>
      </c>
      <c r="AT1049" s="370">
        <f>X_Platf_WMS!AT52</f>
        <v/>
      </c>
      <c r="AU1049" s="370">
        <f>X_Platf_WMS!AU52</f>
        <v/>
      </c>
      <c r="AV1049" s="370">
        <f>X_Platf_WMS!AV52</f>
        <v/>
      </c>
      <c r="AW1049" s="370">
        <f>X_Platf_WMS!AW52</f>
        <v/>
      </c>
      <c r="AX1049">
        <f>X_Platf_WMS!AX52</f>
        <v/>
      </c>
      <c r="AY1049">
        <f>X_Platf_WMS!AY52</f>
        <v/>
      </c>
      <c r="AZ1049">
        <f>X_Platf_WMS!AZ52</f>
        <v/>
      </c>
      <c r="BA1049">
        <f>X_Platf_WMS!BA52</f>
        <v/>
      </c>
      <c r="BB1049">
        <f>X_Platf_WMS!BB52</f>
        <v/>
      </c>
      <c r="BC1049">
        <f>X_Platf_WMS!BC52</f>
        <v/>
      </c>
      <c r="BD1049">
        <f>X_Platf_WMS!BD52</f>
        <v/>
      </c>
      <c r="BE1049">
        <f>X_Platf_WMS!BE52</f>
        <v/>
      </c>
      <c r="BF1049">
        <f>X_Platf_WMS!BF52</f>
        <v/>
      </c>
      <c r="BG1049">
        <f>X_Platf_WMS!BG52</f>
        <v/>
      </c>
      <c r="BH1049">
        <f>X_Platf_WMS!BH52</f>
        <v/>
      </c>
      <c r="BI1049">
        <f>X_Platf_WMS!BI52</f>
        <v/>
      </c>
      <c r="BJ1049">
        <f>O1049</f>
        <v/>
      </c>
      <c r="BK1049">
        <f>SUM(AG1049:AW1049)</f>
        <v/>
      </c>
      <c r="BL1049" s="531">
        <f>BJ1049-BK1049</f>
        <v/>
      </c>
      <c r="BM1049" s="201" t="n"/>
    </row>
    <row r="1050" hidden="1" outlineLevel="1" s="191">
      <c r="A1050">
        <f>X_Platf_WMS!A53</f>
        <v/>
      </c>
      <c r="B1050">
        <f>X_Platf_WMS!B53</f>
        <v/>
      </c>
      <c r="C1050">
        <f>X_Platf_WMS!C53</f>
        <v/>
      </c>
      <c r="D1050">
        <f>X_Platf_WMS!D53</f>
        <v/>
      </c>
      <c r="E1050">
        <f>X_Platf_WMS!E53</f>
        <v/>
      </c>
      <c r="F1050">
        <f>X_Platf_WMS!F53</f>
        <v/>
      </c>
      <c r="G1050">
        <f>X_Platf_WMS!G53</f>
        <v/>
      </c>
      <c r="H1050">
        <f>X_Platf_WMS!H53</f>
        <v/>
      </c>
      <c r="I1050">
        <f>X_Platf_WMS!I53</f>
        <v/>
      </c>
      <c r="J1050">
        <f>X_Platf_WMS!J53</f>
        <v/>
      </c>
      <c r="K1050" s="672">
        <f>X_Platf_WMS!K53</f>
        <v/>
      </c>
      <c r="L1050" s="672">
        <f>X_Platf_WMS!L53</f>
        <v/>
      </c>
      <c r="M1050">
        <f>X_Platf_WMS!M53</f>
        <v/>
      </c>
      <c r="N1050">
        <f>X_Platf_WMS!N53</f>
        <v/>
      </c>
      <c r="O1050">
        <f>X_Platf_WMS!O53</f>
        <v/>
      </c>
      <c r="P1050" s="628">
        <f>X_Platf_WMS!P53</f>
        <v/>
      </c>
      <c r="Q1050" s="628">
        <f>X_Platf_WMS!Q53</f>
        <v/>
      </c>
      <c r="R1050" s="628">
        <f>X_Platf_WMS!R53</f>
        <v/>
      </c>
      <c r="S1050" s="628">
        <f>X_Platf_WMS!S53</f>
        <v/>
      </c>
      <c r="T1050" s="628">
        <f>X_Platf_WMS!T53</f>
        <v/>
      </c>
      <c r="U1050" s="628">
        <f>X_Platf_WMS!U53</f>
        <v/>
      </c>
      <c r="V1050" s="628">
        <f>X_Platf_WMS!V53</f>
        <v/>
      </c>
      <c r="W1050" s="628">
        <f>X_Platf_WMS!W53</f>
        <v/>
      </c>
      <c r="X1050" s="628">
        <f>X_Platf_WMS!X53</f>
        <v/>
      </c>
      <c r="Y1050" s="650">
        <f>X_Platf_WMS!Y53</f>
        <v/>
      </c>
      <c r="Z1050" s="650">
        <f>X_Platf_WMS!Z53</f>
        <v/>
      </c>
      <c r="AA1050" s="650">
        <f>X_Platf_WMS!AA53</f>
        <v/>
      </c>
      <c r="AB1050" s="650">
        <f>X_Platf_WMS!AB53</f>
        <v/>
      </c>
      <c r="AC1050" s="613">
        <f>X_Platf_WMS!AC53</f>
        <v/>
      </c>
      <c r="AD1050" s="613">
        <f>X_Platf_WMS!AD53</f>
        <v/>
      </c>
      <c r="AE1050" s="613">
        <f>X_Platf_WMS!AE53</f>
        <v/>
      </c>
      <c r="AF1050" s="613">
        <f>X_Platf_WMS!AF53</f>
        <v/>
      </c>
      <c r="AG1050" s="626">
        <f>X_Platf_WMS!AG53</f>
        <v/>
      </c>
      <c r="AH1050" s="626">
        <f>X_Platf_WMS!AH53</f>
        <v/>
      </c>
      <c r="AI1050" s="626">
        <f>X_Platf_WMS!AI53</f>
        <v/>
      </c>
      <c r="AJ1050" s="626">
        <f>X_Platf_WMS!AJ53</f>
        <v/>
      </c>
      <c r="AK1050" s="626">
        <f>X_Platf_WMS!AK53</f>
        <v/>
      </c>
      <c r="AL1050" s="626">
        <f>X_Platf_WMS!AL53</f>
        <v/>
      </c>
      <c r="AM1050" s="626">
        <f>X_Platf_WMS!AM53</f>
        <v/>
      </c>
      <c r="AN1050" s="626">
        <f>X_Platf_WMS!AN53</f>
        <v/>
      </c>
      <c r="AO1050" s="626">
        <f>X_Platf_WMS!AO53</f>
        <v/>
      </c>
      <c r="AP1050" s="369">
        <f>X_Platf_WMS!AP53</f>
        <v/>
      </c>
      <c r="AQ1050" s="369">
        <f>X_Platf_WMS!AQ53</f>
        <v/>
      </c>
      <c r="AR1050" s="369">
        <f>X_Platf_WMS!AR53</f>
        <v/>
      </c>
      <c r="AS1050" s="369">
        <f>X_Platf_WMS!AS53</f>
        <v/>
      </c>
      <c r="AT1050" s="370">
        <f>X_Platf_WMS!AT53</f>
        <v/>
      </c>
      <c r="AU1050" s="370">
        <f>X_Platf_WMS!AU53</f>
        <v/>
      </c>
      <c r="AV1050" s="370">
        <f>X_Platf_WMS!AV53</f>
        <v/>
      </c>
      <c r="AW1050" s="370">
        <f>X_Platf_WMS!AW53</f>
        <v/>
      </c>
      <c r="AX1050">
        <f>X_Platf_WMS!AX53</f>
        <v/>
      </c>
      <c r="AY1050">
        <f>X_Platf_WMS!AY53</f>
        <v/>
      </c>
      <c r="AZ1050">
        <f>X_Platf_WMS!AZ53</f>
        <v/>
      </c>
      <c r="BA1050">
        <f>X_Platf_WMS!BA53</f>
        <v/>
      </c>
      <c r="BB1050">
        <f>X_Platf_WMS!BB53</f>
        <v/>
      </c>
      <c r="BC1050">
        <f>X_Platf_WMS!BC53</f>
        <v/>
      </c>
      <c r="BD1050">
        <f>X_Platf_WMS!BD53</f>
        <v/>
      </c>
      <c r="BE1050">
        <f>X_Platf_WMS!BE53</f>
        <v/>
      </c>
      <c r="BF1050">
        <f>X_Platf_WMS!BF53</f>
        <v/>
      </c>
      <c r="BG1050">
        <f>X_Platf_WMS!BG53</f>
        <v/>
      </c>
      <c r="BH1050">
        <f>X_Platf_WMS!BH53</f>
        <v/>
      </c>
      <c r="BI1050">
        <f>X_Platf_WMS!BI53</f>
        <v/>
      </c>
      <c r="BJ1050">
        <f>O1050</f>
        <v/>
      </c>
      <c r="BK1050">
        <f>SUM(AG1050:AW1050)</f>
        <v/>
      </c>
      <c r="BL1050" s="531">
        <f>BJ1050-BK1050</f>
        <v/>
      </c>
      <c r="BM1050" s="201" t="n"/>
    </row>
    <row r="1051" hidden="1" outlineLevel="1" s="191">
      <c r="A1051">
        <f>X_Platf_WMS!A54</f>
        <v/>
      </c>
      <c r="B1051">
        <f>X_Platf_WMS!B54</f>
        <v/>
      </c>
      <c r="C1051">
        <f>X_Platf_WMS!C54</f>
        <v/>
      </c>
      <c r="D1051">
        <f>X_Platf_WMS!D54</f>
        <v/>
      </c>
      <c r="E1051">
        <f>X_Platf_WMS!E54</f>
        <v/>
      </c>
      <c r="F1051">
        <f>X_Platf_WMS!F54</f>
        <v/>
      </c>
      <c r="G1051">
        <f>X_Platf_WMS!G54</f>
        <v/>
      </c>
      <c r="H1051">
        <f>X_Platf_WMS!H54</f>
        <v/>
      </c>
      <c r="I1051">
        <f>X_Platf_WMS!I54</f>
        <v/>
      </c>
      <c r="J1051">
        <f>X_Platf_WMS!J54</f>
        <v/>
      </c>
      <c r="K1051" s="672">
        <f>X_Platf_WMS!K54</f>
        <v/>
      </c>
      <c r="L1051" s="672">
        <f>X_Platf_WMS!L54</f>
        <v/>
      </c>
      <c r="M1051">
        <f>X_Platf_WMS!M54</f>
        <v/>
      </c>
      <c r="N1051">
        <f>X_Platf_WMS!N54</f>
        <v/>
      </c>
      <c r="O1051">
        <f>X_Platf_WMS!O54</f>
        <v/>
      </c>
      <c r="P1051" s="628">
        <f>X_Platf_WMS!P54</f>
        <v/>
      </c>
      <c r="Q1051" s="628">
        <f>X_Platf_WMS!Q54</f>
        <v/>
      </c>
      <c r="R1051" s="628">
        <f>X_Platf_WMS!R54</f>
        <v/>
      </c>
      <c r="S1051" s="628">
        <f>X_Platf_WMS!S54</f>
        <v/>
      </c>
      <c r="T1051" s="628">
        <f>X_Platf_WMS!T54</f>
        <v/>
      </c>
      <c r="U1051" s="628">
        <f>X_Platf_WMS!U54</f>
        <v/>
      </c>
      <c r="V1051" s="628">
        <f>X_Platf_WMS!V54</f>
        <v/>
      </c>
      <c r="W1051" s="628">
        <f>X_Platf_WMS!W54</f>
        <v/>
      </c>
      <c r="X1051" s="628">
        <f>X_Platf_WMS!X54</f>
        <v/>
      </c>
      <c r="Y1051" s="650">
        <f>X_Platf_WMS!Y54</f>
        <v/>
      </c>
      <c r="Z1051" s="650">
        <f>X_Platf_WMS!Z54</f>
        <v/>
      </c>
      <c r="AA1051" s="650">
        <f>X_Platf_WMS!AA54</f>
        <v/>
      </c>
      <c r="AB1051" s="650">
        <f>X_Platf_WMS!AB54</f>
        <v/>
      </c>
      <c r="AC1051" s="613">
        <f>X_Platf_WMS!AC54</f>
        <v/>
      </c>
      <c r="AD1051" s="613">
        <f>X_Platf_WMS!AD54</f>
        <v/>
      </c>
      <c r="AE1051" s="613">
        <f>X_Platf_WMS!AE54</f>
        <v/>
      </c>
      <c r="AF1051" s="613">
        <f>X_Platf_WMS!AF54</f>
        <v/>
      </c>
      <c r="AG1051" s="626">
        <f>X_Platf_WMS!AG54</f>
        <v/>
      </c>
      <c r="AH1051" s="626">
        <f>X_Platf_WMS!AH54</f>
        <v/>
      </c>
      <c r="AI1051" s="626">
        <f>X_Platf_WMS!AI54</f>
        <v/>
      </c>
      <c r="AJ1051" s="626">
        <f>X_Platf_WMS!AJ54</f>
        <v/>
      </c>
      <c r="AK1051" s="626">
        <f>X_Platf_WMS!AK54</f>
        <v/>
      </c>
      <c r="AL1051" s="626">
        <f>X_Platf_WMS!AL54</f>
        <v/>
      </c>
      <c r="AM1051" s="626">
        <f>X_Platf_WMS!AM54</f>
        <v/>
      </c>
      <c r="AN1051" s="626">
        <f>X_Platf_WMS!AN54</f>
        <v/>
      </c>
      <c r="AO1051" s="626">
        <f>X_Platf_WMS!AO54</f>
        <v/>
      </c>
      <c r="AP1051" s="369">
        <f>X_Platf_WMS!AP54</f>
        <v/>
      </c>
      <c r="AQ1051" s="369">
        <f>X_Platf_WMS!AQ54</f>
        <v/>
      </c>
      <c r="AR1051" s="369">
        <f>X_Platf_WMS!AR54</f>
        <v/>
      </c>
      <c r="AS1051" s="369">
        <f>X_Platf_WMS!AS54</f>
        <v/>
      </c>
      <c r="AT1051" s="370">
        <f>X_Platf_WMS!AT54</f>
        <v/>
      </c>
      <c r="AU1051" s="370">
        <f>X_Platf_WMS!AU54</f>
        <v/>
      </c>
      <c r="AV1051" s="370">
        <f>X_Platf_WMS!AV54</f>
        <v/>
      </c>
      <c r="AW1051" s="370">
        <f>X_Platf_WMS!AW54</f>
        <v/>
      </c>
      <c r="AX1051">
        <f>X_Platf_WMS!AX54</f>
        <v/>
      </c>
      <c r="AY1051">
        <f>X_Platf_WMS!AY54</f>
        <v/>
      </c>
      <c r="AZ1051">
        <f>X_Platf_WMS!AZ54</f>
        <v/>
      </c>
      <c r="BA1051">
        <f>X_Platf_WMS!BA54</f>
        <v/>
      </c>
      <c r="BB1051">
        <f>X_Platf_WMS!BB54</f>
        <v/>
      </c>
      <c r="BC1051">
        <f>X_Platf_WMS!BC54</f>
        <v/>
      </c>
      <c r="BD1051">
        <f>X_Platf_WMS!BD54</f>
        <v/>
      </c>
      <c r="BE1051">
        <f>X_Platf_WMS!BE54</f>
        <v/>
      </c>
      <c r="BF1051">
        <f>X_Platf_WMS!BF54</f>
        <v/>
      </c>
      <c r="BG1051">
        <f>X_Platf_WMS!BG54</f>
        <v/>
      </c>
      <c r="BH1051">
        <f>X_Platf_WMS!BH54</f>
        <v/>
      </c>
      <c r="BI1051">
        <f>X_Platf_WMS!BI54</f>
        <v/>
      </c>
      <c r="BJ1051">
        <f>O1051</f>
        <v/>
      </c>
      <c r="BK1051">
        <f>SUM(AG1051:AW1051)</f>
        <v/>
      </c>
      <c r="BL1051" s="531">
        <f>BJ1051-BK1051</f>
        <v/>
      </c>
      <c r="BM1051" s="201" t="n"/>
    </row>
    <row r="1052" hidden="1" outlineLevel="1" s="191">
      <c r="A1052">
        <f>X_Platf_WMS!A55</f>
        <v/>
      </c>
      <c r="B1052">
        <f>X_Platf_WMS!B55</f>
        <v/>
      </c>
      <c r="C1052">
        <f>X_Platf_WMS!C55</f>
        <v/>
      </c>
      <c r="D1052">
        <f>X_Platf_WMS!D55</f>
        <v/>
      </c>
      <c r="E1052">
        <f>X_Platf_WMS!E55</f>
        <v/>
      </c>
      <c r="F1052">
        <f>X_Platf_WMS!F55</f>
        <v/>
      </c>
      <c r="G1052">
        <f>X_Platf_WMS!G55</f>
        <v/>
      </c>
      <c r="H1052">
        <f>X_Platf_WMS!H55</f>
        <v/>
      </c>
      <c r="I1052">
        <f>X_Platf_WMS!I55</f>
        <v/>
      </c>
      <c r="J1052">
        <f>X_Platf_WMS!J55</f>
        <v/>
      </c>
      <c r="K1052" s="672">
        <f>X_Platf_WMS!K55</f>
        <v/>
      </c>
      <c r="L1052" s="672">
        <f>X_Platf_WMS!L55</f>
        <v/>
      </c>
      <c r="M1052">
        <f>X_Platf_WMS!M55</f>
        <v/>
      </c>
      <c r="N1052">
        <f>X_Platf_WMS!N55</f>
        <v/>
      </c>
      <c r="O1052">
        <f>X_Platf_WMS!O55</f>
        <v/>
      </c>
      <c r="P1052" s="628">
        <f>X_Platf_WMS!P55</f>
        <v/>
      </c>
      <c r="Q1052" s="628">
        <f>X_Platf_WMS!Q55</f>
        <v/>
      </c>
      <c r="R1052" s="628">
        <f>X_Platf_WMS!R55</f>
        <v/>
      </c>
      <c r="S1052" s="628">
        <f>X_Platf_WMS!S55</f>
        <v/>
      </c>
      <c r="T1052" s="628">
        <f>X_Platf_WMS!T55</f>
        <v/>
      </c>
      <c r="U1052" s="628">
        <f>X_Platf_WMS!U55</f>
        <v/>
      </c>
      <c r="V1052" s="628">
        <f>X_Platf_WMS!V55</f>
        <v/>
      </c>
      <c r="W1052" s="628">
        <f>X_Platf_WMS!W55</f>
        <v/>
      </c>
      <c r="X1052" s="628">
        <f>X_Platf_WMS!X55</f>
        <v/>
      </c>
      <c r="Y1052" s="650">
        <f>X_Platf_WMS!Y55</f>
        <v/>
      </c>
      <c r="Z1052" s="650">
        <f>X_Platf_WMS!Z55</f>
        <v/>
      </c>
      <c r="AA1052" s="650">
        <f>X_Platf_WMS!AA55</f>
        <v/>
      </c>
      <c r="AB1052" s="650">
        <f>X_Platf_WMS!AB55</f>
        <v/>
      </c>
      <c r="AC1052" s="613">
        <f>X_Platf_WMS!AC55</f>
        <v/>
      </c>
      <c r="AD1052" s="613">
        <f>X_Platf_WMS!AD55</f>
        <v/>
      </c>
      <c r="AE1052" s="613">
        <f>X_Platf_WMS!AE55</f>
        <v/>
      </c>
      <c r="AF1052" s="613">
        <f>X_Platf_WMS!AF55</f>
        <v/>
      </c>
      <c r="AG1052" s="626">
        <f>X_Platf_WMS!AG55</f>
        <v/>
      </c>
      <c r="AH1052" s="626">
        <f>X_Platf_WMS!AH55</f>
        <v/>
      </c>
      <c r="AI1052" s="626">
        <f>X_Platf_WMS!AI55</f>
        <v/>
      </c>
      <c r="AJ1052" s="626">
        <f>X_Platf_WMS!AJ55</f>
        <v/>
      </c>
      <c r="AK1052" s="626">
        <f>X_Platf_WMS!AK55</f>
        <v/>
      </c>
      <c r="AL1052" s="626">
        <f>X_Platf_WMS!AL55</f>
        <v/>
      </c>
      <c r="AM1052" s="626">
        <f>X_Platf_WMS!AM55</f>
        <v/>
      </c>
      <c r="AN1052" s="626">
        <f>X_Platf_WMS!AN55</f>
        <v/>
      </c>
      <c r="AO1052" s="626">
        <f>X_Platf_WMS!AO55</f>
        <v/>
      </c>
      <c r="AP1052" s="369">
        <f>X_Platf_WMS!AP55</f>
        <v/>
      </c>
      <c r="AQ1052" s="369">
        <f>X_Platf_WMS!AQ55</f>
        <v/>
      </c>
      <c r="AR1052" s="369">
        <f>X_Platf_WMS!AR55</f>
        <v/>
      </c>
      <c r="AS1052" s="369">
        <f>X_Platf_WMS!AS55</f>
        <v/>
      </c>
      <c r="AT1052" s="370">
        <f>X_Platf_WMS!AT55</f>
        <v/>
      </c>
      <c r="AU1052" s="370">
        <f>X_Platf_WMS!AU55</f>
        <v/>
      </c>
      <c r="AV1052" s="370">
        <f>X_Platf_WMS!AV55</f>
        <v/>
      </c>
      <c r="AW1052" s="370">
        <f>X_Platf_WMS!AW55</f>
        <v/>
      </c>
      <c r="AX1052">
        <f>X_Platf_WMS!AX55</f>
        <v/>
      </c>
      <c r="AY1052">
        <f>X_Platf_WMS!AY55</f>
        <v/>
      </c>
      <c r="AZ1052">
        <f>X_Platf_WMS!AZ55</f>
        <v/>
      </c>
      <c r="BA1052">
        <f>X_Platf_WMS!BA55</f>
        <v/>
      </c>
      <c r="BB1052">
        <f>X_Platf_WMS!BB55</f>
        <v/>
      </c>
      <c r="BC1052">
        <f>X_Platf_WMS!BC55</f>
        <v/>
      </c>
      <c r="BD1052">
        <f>X_Platf_WMS!BD55</f>
        <v/>
      </c>
      <c r="BE1052">
        <f>X_Platf_WMS!BE55</f>
        <v/>
      </c>
      <c r="BF1052">
        <f>X_Platf_WMS!BF55</f>
        <v/>
      </c>
      <c r="BG1052">
        <f>X_Platf_WMS!BG55</f>
        <v/>
      </c>
      <c r="BH1052">
        <f>X_Platf_WMS!BH55</f>
        <v/>
      </c>
      <c r="BI1052">
        <f>X_Platf_WMS!BI55</f>
        <v/>
      </c>
      <c r="BJ1052">
        <f>O1052</f>
        <v/>
      </c>
      <c r="BK1052">
        <f>SUM(AG1052:AW1052)</f>
        <v/>
      </c>
      <c r="BL1052" s="531">
        <f>BJ1052-BK1052</f>
        <v/>
      </c>
      <c r="BM1052" s="201" t="n"/>
    </row>
    <row r="1053" hidden="1" outlineLevel="1" s="191">
      <c r="A1053">
        <f>X_Platf_WMS!A56</f>
        <v/>
      </c>
      <c r="B1053">
        <f>X_Platf_WMS!B56</f>
        <v/>
      </c>
      <c r="C1053">
        <f>X_Platf_WMS!C56</f>
        <v/>
      </c>
      <c r="D1053">
        <f>X_Platf_WMS!D56</f>
        <v/>
      </c>
      <c r="E1053">
        <f>X_Platf_WMS!E56</f>
        <v/>
      </c>
      <c r="F1053">
        <f>X_Platf_WMS!F56</f>
        <v/>
      </c>
      <c r="G1053">
        <f>X_Platf_WMS!G56</f>
        <v/>
      </c>
      <c r="H1053">
        <f>X_Platf_WMS!H56</f>
        <v/>
      </c>
      <c r="I1053">
        <f>X_Platf_WMS!I56</f>
        <v/>
      </c>
      <c r="J1053">
        <f>X_Platf_WMS!J56</f>
        <v/>
      </c>
      <c r="K1053" s="672">
        <f>X_Platf_WMS!K56</f>
        <v/>
      </c>
      <c r="L1053" s="672">
        <f>X_Platf_WMS!L56</f>
        <v/>
      </c>
      <c r="M1053">
        <f>X_Platf_WMS!M56</f>
        <v/>
      </c>
      <c r="N1053">
        <f>X_Platf_WMS!N56</f>
        <v/>
      </c>
      <c r="O1053">
        <f>X_Platf_WMS!O56</f>
        <v/>
      </c>
      <c r="P1053" s="628">
        <f>X_Platf_WMS!P56</f>
        <v/>
      </c>
      <c r="Q1053" s="628">
        <f>X_Platf_WMS!Q56</f>
        <v/>
      </c>
      <c r="R1053" s="628">
        <f>X_Platf_WMS!R56</f>
        <v/>
      </c>
      <c r="S1053" s="628">
        <f>X_Platf_WMS!S56</f>
        <v/>
      </c>
      <c r="T1053" s="628">
        <f>X_Platf_WMS!T56</f>
        <v/>
      </c>
      <c r="U1053" s="628">
        <f>X_Platf_WMS!U56</f>
        <v/>
      </c>
      <c r="V1053" s="628">
        <f>X_Platf_WMS!V56</f>
        <v/>
      </c>
      <c r="W1053" s="628">
        <f>X_Platf_WMS!W56</f>
        <v/>
      </c>
      <c r="X1053" s="628">
        <f>X_Platf_WMS!X56</f>
        <v/>
      </c>
      <c r="Y1053" s="650">
        <f>X_Platf_WMS!Y56</f>
        <v/>
      </c>
      <c r="Z1053" s="650">
        <f>X_Platf_WMS!Z56</f>
        <v/>
      </c>
      <c r="AA1053" s="650">
        <f>X_Platf_WMS!AA56</f>
        <v/>
      </c>
      <c r="AB1053" s="650">
        <f>X_Platf_WMS!AB56</f>
        <v/>
      </c>
      <c r="AC1053" s="613">
        <f>X_Platf_WMS!AC56</f>
        <v/>
      </c>
      <c r="AD1053" s="613">
        <f>X_Platf_WMS!AD56</f>
        <v/>
      </c>
      <c r="AE1053" s="613">
        <f>X_Platf_WMS!AE56</f>
        <v/>
      </c>
      <c r="AF1053" s="613">
        <f>X_Platf_WMS!AF56</f>
        <v/>
      </c>
      <c r="AG1053" s="626">
        <f>X_Platf_WMS!AG56</f>
        <v/>
      </c>
      <c r="AH1053" s="626">
        <f>X_Platf_WMS!AH56</f>
        <v/>
      </c>
      <c r="AI1053" s="626">
        <f>X_Platf_WMS!AI56</f>
        <v/>
      </c>
      <c r="AJ1053" s="626">
        <f>X_Platf_WMS!AJ56</f>
        <v/>
      </c>
      <c r="AK1053" s="626">
        <f>X_Platf_WMS!AK56</f>
        <v/>
      </c>
      <c r="AL1053" s="626">
        <f>X_Platf_WMS!AL56</f>
        <v/>
      </c>
      <c r="AM1053" s="626">
        <f>X_Platf_WMS!AM56</f>
        <v/>
      </c>
      <c r="AN1053" s="626">
        <f>X_Platf_WMS!AN56</f>
        <v/>
      </c>
      <c r="AO1053" s="626">
        <f>X_Platf_WMS!AO56</f>
        <v/>
      </c>
      <c r="AP1053" s="369">
        <f>X_Platf_WMS!AP56</f>
        <v/>
      </c>
      <c r="AQ1053" s="369">
        <f>X_Platf_WMS!AQ56</f>
        <v/>
      </c>
      <c r="AR1053" s="369">
        <f>X_Platf_WMS!AR56</f>
        <v/>
      </c>
      <c r="AS1053" s="369">
        <f>X_Platf_WMS!AS56</f>
        <v/>
      </c>
      <c r="AT1053" s="370">
        <f>X_Platf_WMS!AT56</f>
        <v/>
      </c>
      <c r="AU1053" s="370">
        <f>X_Platf_WMS!AU56</f>
        <v/>
      </c>
      <c r="AV1053" s="370">
        <f>X_Platf_WMS!AV56</f>
        <v/>
      </c>
      <c r="AW1053" s="370">
        <f>X_Platf_WMS!AW56</f>
        <v/>
      </c>
      <c r="AX1053">
        <f>X_Platf_WMS!AX56</f>
        <v/>
      </c>
      <c r="AY1053">
        <f>X_Platf_WMS!AY56</f>
        <v/>
      </c>
      <c r="AZ1053">
        <f>X_Platf_WMS!AZ56</f>
        <v/>
      </c>
      <c r="BA1053">
        <f>X_Platf_WMS!BA56</f>
        <v/>
      </c>
      <c r="BB1053">
        <f>X_Platf_WMS!BB56</f>
        <v/>
      </c>
      <c r="BC1053">
        <f>X_Platf_WMS!BC56</f>
        <v/>
      </c>
      <c r="BD1053">
        <f>X_Platf_WMS!BD56</f>
        <v/>
      </c>
      <c r="BE1053">
        <f>X_Platf_WMS!BE56</f>
        <v/>
      </c>
      <c r="BF1053">
        <f>X_Platf_WMS!BF56</f>
        <v/>
      </c>
      <c r="BG1053">
        <f>X_Platf_WMS!BG56</f>
        <v/>
      </c>
      <c r="BH1053">
        <f>X_Platf_WMS!BH56</f>
        <v/>
      </c>
      <c r="BI1053">
        <f>X_Platf_WMS!BI56</f>
        <v/>
      </c>
      <c r="BJ1053">
        <f>O1053</f>
        <v/>
      </c>
      <c r="BK1053">
        <f>SUM(AG1053:AW1053)</f>
        <v/>
      </c>
      <c r="BL1053" s="531">
        <f>BJ1053-BK1053</f>
        <v/>
      </c>
      <c r="BM1053" s="201" t="n"/>
    </row>
    <row r="1054" hidden="1" outlineLevel="1" s="191">
      <c r="P1054" s="628" t="n"/>
      <c r="Q1054" s="628" t="n"/>
      <c r="R1054" s="628" t="n"/>
      <c r="S1054" s="628" t="n"/>
      <c r="T1054" s="628" t="n"/>
      <c r="U1054" s="628" t="n"/>
      <c r="V1054" s="628" t="n"/>
      <c r="W1054" s="628" t="n"/>
      <c r="X1054" s="628" t="n"/>
      <c r="Y1054" s="650" t="n"/>
      <c r="Z1054" s="650" t="n"/>
      <c r="AA1054" s="650" t="n"/>
      <c r="AB1054" s="650" t="n"/>
      <c r="AC1054" s="613" t="n"/>
      <c r="AD1054" s="613" t="n"/>
      <c r="AE1054" s="613" t="n"/>
      <c r="AF1054" s="613" t="n"/>
      <c r="AG1054" s="626" t="n"/>
      <c r="AH1054" s="626" t="n"/>
      <c r="AI1054" s="626" t="n"/>
      <c r="AJ1054" s="626" t="n"/>
      <c r="AK1054" s="626" t="n"/>
      <c r="AL1054" s="626" t="n"/>
      <c r="AM1054" s="626" t="n"/>
      <c r="AN1054" s="626" t="n"/>
      <c r="AO1054" s="626" t="n"/>
      <c r="AP1054" s="369" t="n"/>
      <c r="AQ1054" s="369" t="n"/>
      <c r="AR1054" s="369" t="n"/>
      <c r="AS1054" s="369" t="n"/>
      <c r="AT1054" s="370" t="n"/>
      <c r="AU1054" s="370" t="n"/>
      <c r="AV1054" s="370" t="n"/>
      <c r="AW1054" s="370" t="n"/>
      <c r="BJ1054">
        <f>O1054</f>
        <v/>
      </c>
      <c r="BK1054">
        <f>SUM(AG1054:AW1054)</f>
        <v/>
      </c>
      <c r="BL1054" s="531">
        <f>BJ1054-BK1054</f>
        <v/>
      </c>
      <c r="BM1054" s="201" t="n"/>
    </row>
    <row r="1055" hidden="1" outlineLevel="1" s="191">
      <c r="P1055" s="628" t="n"/>
      <c r="Q1055" s="628" t="n"/>
      <c r="R1055" s="628" t="n"/>
      <c r="S1055" s="628" t="n"/>
      <c r="T1055" s="628" t="n"/>
      <c r="U1055" s="628" t="n"/>
      <c r="V1055" s="628" t="n"/>
      <c r="W1055" s="628" t="n"/>
      <c r="X1055" s="628" t="n"/>
      <c r="Y1055" s="650" t="n"/>
      <c r="Z1055" s="650" t="n"/>
      <c r="AA1055" s="650" t="n"/>
      <c r="AB1055" s="650" t="n"/>
      <c r="AC1055" s="613" t="n"/>
      <c r="AD1055" s="613" t="n"/>
      <c r="AE1055" s="613" t="n"/>
      <c r="AF1055" s="613" t="n"/>
      <c r="AG1055" s="626" t="n"/>
      <c r="AH1055" s="626" t="n"/>
      <c r="AI1055" s="626" t="n"/>
      <c r="AJ1055" s="626" t="n"/>
      <c r="AK1055" s="626" t="n"/>
      <c r="AL1055" s="626" t="n"/>
      <c r="AM1055" s="626" t="n"/>
      <c r="AN1055" s="626" t="n"/>
      <c r="AO1055" s="626" t="n"/>
      <c r="AP1055" s="369" t="n"/>
      <c r="AQ1055" s="369" t="n"/>
      <c r="AR1055" s="369" t="n"/>
      <c r="AS1055" s="369" t="n"/>
      <c r="AT1055" s="370" t="n"/>
      <c r="AU1055" s="370" t="n"/>
      <c r="AV1055" s="370" t="n"/>
      <c r="AW1055" s="370" t="n"/>
      <c r="BJ1055">
        <f>O1055</f>
        <v/>
      </c>
      <c r="BK1055">
        <f>SUM(AG1055:AW1055)</f>
        <v/>
      </c>
      <c r="BL1055" s="531">
        <f>BJ1055-BK1055</f>
        <v/>
      </c>
      <c r="BM1055" s="201" t="n"/>
    </row>
    <row r="1056" hidden="1" outlineLevel="1" s="191">
      <c r="P1056" s="628" t="n"/>
      <c r="Q1056" s="628" t="n"/>
      <c r="R1056" s="628" t="n"/>
      <c r="S1056" s="628" t="n"/>
      <c r="T1056" s="628" t="n"/>
      <c r="U1056" s="628" t="n"/>
      <c r="V1056" s="628" t="n"/>
      <c r="W1056" s="628" t="n"/>
      <c r="X1056" s="628" t="n"/>
      <c r="Y1056" s="650" t="n"/>
      <c r="Z1056" s="650" t="n"/>
      <c r="AA1056" s="650" t="n"/>
      <c r="AB1056" s="650" t="n"/>
      <c r="AC1056" s="613" t="n"/>
      <c r="AD1056" s="613" t="n"/>
      <c r="AE1056" s="613" t="n"/>
      <c r="AF1056" s="613" t="n"/>
      <c r="AG1056" s="626" t="n"/>
      <c r="AH1056" s="626" t="n"/>
      <c r="AI1056" s="626" t="n"/>
      <c r="AJ1056" s="626" t="n"/>
      <c r="AK1056" s="626" t="n"/>
      <c r="AL1056" s="626" t="n"/>
      <c r="AM1056" s="626" t="n"/>
      <c r="AN1056" s="626" t="n"/>
      <c r="AO1056" s="626" t="n"/>
      <c r="AP1056" s="369" t="n"/>
      <c r="AQ1056" s="369" t="n"/>
      <c r="AR1056" s="369" t="n"/>
      <c r="AS1056" s="369" t="n"/>
      <c r="AT1056" s="370" t="n"/>
      <c r="AU1056" s="370" t="n"/>
      <c r="AV1056" s="370" t="n"/>
      <c r="AW1056" s="370" t="n"/>
      <c r="BJ1056">
        <f>O1056</f>
        <v/>
      </c>
      <c r="BK1056">
        <f>SUM(AG1056:AW1056)</f>
        <v/>
      </c>
      <c r="BL1056" s="531">
        <f>BJ1056-BK1056</f>
        <v/>
      </c>
      <c r="BM1056" s="201" t="n"/>
    </row>
    <row r="1057" hidden="1" outlineLevel="1" s="191">
      <c r="P1057" s="628" t="n"/>
      <c r="Q1057" s="628" t="n"/>
      <c r="R1057" s="628" t="n"/>
      <c r="S1057" s="628" t="n"/>
      <c r="T1057" s="628" t="n"/>
      <c r="U1057" s="628" t="n"/>
      <c r="V1057" s="628" t="n"/>
      <c r="W1057" s="628" t="n"/>
      <c r="X1057" s="628" t="n"/>
      <c r="Y1057" s="650" t="n"/>
      <c r="Z1057" s="650" t="n"/>
      <c r="AA1057" s="650" t="n"/>
      <c r="AB1057" s="650" t="n"/>
      <c r="AC1057" s="613" t="n"/>
      <c r="AD1057" s="613" t="n"/>
      <c r="AE1057" s="613" t="n"/>
      <c r="AF1057" s="613" t="n"/>
      <c r="AG1057" s="626" t="n"/>
      <c r="AH1057" s="626" t="n"/>
      <c r="AI1057" s="626" t="n"/>
      <c r="AJ1057" s="626" t="n"/>
      <c r="AK1057" s="626" t="n"/>
      <c r="AL1057" s="626" t="n"/>
      <c r="AM1057" s="626" t="n"/>
      <c r="AN1057" s="626" t="n"/>
      <c r="AO1057" s="626" t="n"/>
      <c r="AP1057" s="369" t="n"/>
      <c r="AQ1057" s="369" t="n"/>
      <c r="AR1057" s="369" t="n"/>
      <c r="AS1057" s="369" t="n"/>
      <c r="AT1057" s="370" t="n"/>
      <c r="AU1057" s="370" t="n"/>
      <c r="AV1057" s="370" t="n"/>
      <c r="AW1057" s="370" t="n"/>
      <c r="BJ1057">
        <f>O1057</f>
        <v/>
      </c>
      <c r="BK1057">
        <f>SUM(AG1057:AW1057)</f>
        <v/>
      </c>
      <c r="BL1057" s="531">
        <f>BJ1057-BK1057</f>
        <v/>
      </c>
      <c r="BM1057" s="201" t="n"/>
    </row>
    <row r="1058" hidden="1" outlineLevel="1" s="191">
      <c r="P1058" s="628" t="n"/>
      <c r="Q1058" s="628" t="n"/>
      <c r="R1058" s="628" t="n"/>
      <c r="S1058" s="628" t="n"/>
      <c r="T1058" s="628" t="n"/>
      <c r="U1058" s="628" t="n"/>
      <c r="V1058" s="628" t="n"/>
      <c r="W1058" s="628" t="n"/>
      <c r="X1058" s="628" t="n"/>
      <c r="Y1058" s="650" t="n"/>
      <c r="Z1058" s="650" t="n"/>
      <c r="AA1058" s="650" t="n"/>
      <c r="AB1058" s="650" t="n"/>
      <c r="AC1058" s="613" t="n"/>
      <c r="AD1058" s="613" t="n"/>
      <c r="AE1058" s="613" t="n"/>
      <c r="AF1058" s="613" t="n"/>
      <c r="AG1058" s="626" t="n"/>
      <c r="AH1058" s="626" t="n"/>
      <c r="AI1058" s="626" t="n"/>
      <c r="AJ1058" s="626" t="n"/>
      <c r="AK1058" s="626" t="n"/>
      <c r="AL1058" s="626" t="n"/>
      <c r="AM1058" s="626" t="n"/>
      <c r="AN1058" s="626" t="n"/>
      <c r="AO1058" s="626" t="n"/>
      <c r="AP1058" s="369" t="n"/>
      <c r="AQ1058" s="369" t="n"/>
      <c r="AR1058" s="369" t="n"/>
      <c r="AS1058" s="369" t="n"/>
      <c r="AT1058" s="370" t="n"/>
      <c r="AU1058" s="370" t="n"/>
      <c r="AV1058" s="370" t="n"/>
      <c r="AW1058" s="370" t="n"/>
      <c r="BJ1058">
        <f>O1058</f>
        <v/>
      </c>
      <c r="BK1058">
        <f>SUM(AG1058:AW1058)</f>
        <v/>
      </c>
      <c r="BL1058" s="531">
        <f>BJ1058-BK1058</f>
        <v/>
      </c>
      <c r="BM1058" s="201" t="n"/>
    </row>
    <row r="1059" hidden="1" outlineLevel="1" s="191">
      <c r="P1059" s="628" t="n"/>
      <c r="Q1059" s="628" t="n"/>
      <c r="R1059" s="628" t="n"/>
      <c r="S1059" s="628" t="n"/>
      <c r="T1059" s="628" t="n"/>
      <c r="U1059" s="628" t="n"/>
      <c r="V1059" s="628" t="n"/>
      <c r="W1059" s="628" t="n"/>
      <c r="X1059" s="628" t="n"/>
      <c r="Y1059" s="650" t="n"/>
      <c r="Z1059" s="650" t="n"/>
      <c r="AA1059" s="650" t="n"/>
      <c r="AB1059" s="650" t="n"/>
      <c r="AC1059" s="613" t="n"/>
      <c r="AD1059" s="613" t="n"/>
      <c r="AE1059" s="613" t="n"/>
      <c r="AF1059" s="613" t="n"/>
      <c r="AG1059" s="626" t="n"/>
      <c r="AH1059" s="626" t="n"/>
      <c r="AI1059" s="626" t="n"/>
      <c r="AJ1059" s="626" t="n"/>
      <c r="AK1059" s="626" t="n"/>
      <c r="AL1059" s="626" t="n"/>
      <c r="AM1059" s="626" t="n"/>
      <c r="AN1059" s="626" t="n"/>
      <c r="AO1059" s="626" t="n"/>
      <c r="AP1059" s="369" t="n"/>
      <c r="AQ1059" s="369" t="n"/>
      <c r="AR1059" s="369" t="n"/>
      <c r="AS1059" s="369" t="n"/>
      <c r="AT1059" s="370" t="n"/>
      <c r="AU1059" s="370" t="n"/>
      <c r="AV1059" s="370" t="n"/>
      <c r="AW1059" s="370" t="n"/>
      <c r="BJ1059">
        <f>O1059</f>
        <v/>
      </c>
      <c r="BK1059">
        <f>SUM(AG1059:AW1059)</f>
        <v/>
      </c>
      <c r="BL1059" s="531">
        <f>BJ1059-BK1059</f>
        <v/>
      </c>
      <c r="BM1059" s="201" t="n"/>
    </row>
    <row r="1060" hidden="1" outlineLevel="1" s="191">
      <c r="P1060" s="628" t="n"/>
      <c r="Q1060" s="628" t="n"/>
      <c r="R1060" s="628" t="n"/>
      <c r="S1060" s="628" t="n"/>
      <c r="T1060" s="628" t="n"/>
      <c r="U1060" s="628" t="n"/>
      <c r="V1060" s="628" t="n"/>
      <c r="W1060" s="628" t="n"/>
      <c r="X1060" s="628" t="n"/>
      <c r="Y1060" s="650" t="n"/>
      <c r="Z1060" s="650" t="n"/>
      <c r="AA1060" s="650" t="n"/>
      <c r="AB1060" s="650" t="n"/>
      <c r="AC1060" s="613" t="n"/>
      <c r="AD1060" s="613" t="n"/>
      <c r="AE1060" s="613" t="n"/>
      <c r="AF1060" s="613" t="n"/>
      <c r="AG1060" s="626" t="n"/>
      <c r="AH1060" s="626" t="n"/>
      <c r="AI1060" s="626" t="n"/>
      <c r="AJ1060" s="626" t="n"/>
      <c r="AK1060" s="626" t="n"/>
      <c r="AL1060" s="626" t="n"/>
      <c r="AM1060" s="626" t="n"/>
      <c r="AN1060" s="626" t="n"/>
      <c r="AO1060" s="626" t="n"/>
      <c r="AP1060" s="369" t="n"/>
      <c r="AQ1060" s="369" t="n"/>
      <c r="AR1060" s="369" t="n"/>
      <c r="AS1060" s="369" t="n"/>
      <c r="AT1060" s="370" t="n"/>
      <c r="AU1060" s="370" t="n"/>
      <c r="AV1060" s="370" t="n"/>
      <c r="AW1060" s="370" t="n"/>
      <c r="BJ1060">
        <f>O1060</f>
        <v/>
      </c>
      <c r="BK1060">
        <f>SUM(AG1060:AW1060)</f>
        <v/>
      </c>
      <c r="BL1060" s="531">
        <f>BJ1060-BK1060</f>
        <v/>
      </c>
      <c r="BM1060" s="201" t="n"/>
    </row>
    <row r="1061" hidden="1" outlineLevel="1" s="191">
      <c r="P1061" s="628" t="n"/>
      <c r="Q1061" s="628" t="n"/>
      <c r="R1061" s="628" t="n"/>
      <c r="S1061" s="628" t="n"/>
      <c r="T1061" s="628" t="n"/>
      <c r="U1061" s="628" t="n"/>
      <c r="V1061" s="628" t="n"/>
      <c r="W1061" s="628" t="n"/>
      <c r="X1061" s="628" t="n"/>
      <c r="Y1061" s="650" t="n"/>
      <c r="Z1061" s="650" t="n"/>
      <c r="AA1061" s="650" t="n"/>
      <c r="AB1061" s="650" t="n"/>
      <c r="AC1061" s="613" t="n"/>
      <c r="AD1061" s="613" t="n"/>
      <c r="AE1061" s="613" t="n"/>
      <c r="AF1061" s="613" t="n"/>
      <c r="AG1061" s="626" t="n"/>
      <c r="AH1061" s="626" t="n"/>
      <c r="AI1061" s="626" t="n"/>
      <c r="AJ1061" s="626" t="n"/>
      <c r="AK1061" s="626" t="n"/>
      <c r="AL1061" s="626" t="n"/>
      <c r="AM1061" s="626" t="n"/>
      <c r="AN1061" s="626" t="n"/>
      <c r="AO1061" s="626" t="n"/>
      <c r="AP1061" s="369" t="n"/>
      <c r="AQ1061" s="369" t="n"/>
      <c r="AR1061" s="369" t="n"/>
      <c r="AS1061" s="369" t="n"/>
      <c r="AT1061" s="370" t="n"/>
      <c r="AU1061" s="370" t="n"/>
      <c r="AV1061" s="370" t="n"/>
      <c r="AW1061" s="370" t="n"/>
      <c r="BJ1061">
        <f>O1061</f>
        <v/>
      </c>
      <c r="BK1061">
        <f>SUM(AG1061:AW1061)</f>
        <v/>
      </c>
      <c r="BL1061" s="531">
        <f>BJ1061-BK1061</f>
        <v/>
      </c>
      <c r="BM1061" s="201" t="n"/>
    </row>
    <row r="1062" hidden="1" outlineLevel="1" s="191">
      <c r="P1062" s="628" t="n"/>
      <c r="Q1062" s="628" t="n"/>
      <c r="R1062" s="628" t="n"/>
      <c r="S1062" s="628" t="n"/>
      <c r="T1062" s="628" t="n"/>
      <c r="U1062" s="628" t="n"/>
      <c r="V1062" s="628" t="n"/>
      <c r="W1062" s="628" t="n"/>
      <c r="X1062" s="628" t="n"/>
      <c r="Y1062" s="650" t="n"/>
      <c r="Z1062" s="650" t="n"/>
      <c r="AA1062" s="650" t="n"/>
      <c r="AB1062" s="650" t="n"/>
      <c r="AC1062" s="613" t="n"/>
      <c r="AD1062" s="613" t="n"/>
      <c r="AE1062" s="613" t="n"/>
      <c r="AF1062" s="613" t="n"/>
      <c r="AG1062" s="626" t="n"/>
      <c r="AH1062" s="626" t="n"/>
      <c r="AI1062" s="626" t="n"/>
      <c r="AJ1062" s="626" t="n"/>
      <c r="AK1062" s="626" t="n"/>
      <c r="AL1062" s="626" t="n"/>
      <c r="AM1062" s="626" t="n"/>
      <c r="AN1062" s="626" t="n"/>
      <c r="AO1062" s="626" t="n"/>
      <c r="AP1062" s="369" t="n"/>
      <c r="AQ1062" s="369" t="n"/>
      <c r="AR1062" s="369" t="n"/>
      <c r="AS1062" s="369" t="n"/>
      <c r="AT1062" s="370" t="n"/>
      <c r="AU1062" s="370" t="n"/>
      <c r="AV1062" s="370" t="n"/>
      <c r="AW1062" s="370" t="n"/>
      <c r="BJ1062">
        <f>O1062</f>
        <v/>
      </c>
      <c r="BK1062">
        <f>SUM(AG1062:AW1062)</f>
        <v/>
      </c>
      <c r="BL1062" s="531">
        <f>BJ1062-BK1062</f>
        <v/>
      </c>
      <c r="BM1062" s="201" t="n"/>
    </row>
    <row r="1063" hidden="1" outlineLevel="1" s="191">
      <c r="P1063" s="628" t="n"/>
      <c r="Q1063" s="628" t="n"/>
      <c r="R1063" s="628" t="n"/>
      <c r="S1063" s="628" t="n"/>
      <c r="T1063" s="628" t="n"/>
      <c r="U1063" s="628" t="n"/>
      <c r="V1063" s="628" t="n"/>
      <c r="W1063" s="628" t="n"/>
      <c r="X1063" s="628" t="n"/>
      <c r="Y1063" s="650" t="n"/>
      <c r="Z1063" s="650" t="n"/>
      <c r="AA1063" s="650" t="n"/>
      <c r="AB1063" s="650" t="n"/>
      <c r="AC1063" s="613" t="n"/>
      <c r="AD1063" s="613" t="n"/>
      <c r="AE1063" s="613" t="n"/>
      <c r="AF1063" s="613" t="n"/>
      <c r="AG1063" s="626" t="n"/>
      <c r="AH1063" s="626" t="n"/>
      <c r="AI1063" s="626" t="n"/>
      <c r="AJ1063" s="626" t="n"/>
      <c r="AK1063" s="626" t="n"/>
      <c r="AL1063" s="626" t="n"/>
      <c r="AM1063" s="626" t="n"/>
      <c r="AN1063" s="626" t="n"/>
      <c r="AO1063" s="626" t="n"/>
      <c r="AP1063" s="369" t="n"/>
      <c r="AQ1063" s="369" t="n"/>
      <c r="AR1063" s="369" t="n"/>
      <c r="AS1063" s="369" t="n"/>
      <c r="AT1063" s="370" t="n"/>
      <c r="AU1063" s="370" t="n"/>
      <c r="AV1063" s="370" t="n"/>
      <c r="AW1063" s="370" t="n"/>
      <c r="BJ1063">
        <f>O1063</f>
        <v/>
      </c>
      <c r="BK1063">
        <f>SUM(AG1063:AW1063)</f>
        <v/>
      </c>
      <c r="BL1063" s="531">
        <f>BJ1063-BK1063</f>
        <v/>
      </c>
      <c r="BM1063" s="201" t="n"/>
    </row>
    <row r="1064" hidden="1" outlineLevel="1" s="191">
      <c r="P1064" s="628" t="n"/>
      <c r="Q1064" s="628" t="n"/>
      <c r="R1064" s="628" t="n"/>
      <c r="S1064" s="628" t="n"/>
      <c r="T1064" s="628" t="n"/>
      <c r="U1064" s="628" t="n"/>
      <c r="V1064" s="628" t="n"/>
      <c r="W1064" s="628" t="n"/>
      <c r="X1064" s="628" t="n"/>
      <c r="Y1064" s="650" t="n"/>
      <c r="Z1064" s="650" t="n"/>
      <c r="AA1064" s="650" t="n"/>
      <c r="AB1064" s="650" t="n"/>
      <c r="AC1064" s="613" t="n"/>
      <c r="AD1064" s="613" t="n"/>
      <c r="AE1064" s="613" t="n"/>
      <c r="AF1064" s="613" t="n"/>
      <c r="AG1064" s="626" t="n"/>
      <c r="AH1064" s="626" t="n"/>
      <c r="AI1064" s="626" t="n"/>
      <c r="AJ1064" s="626" t="n"/>
      <c r="AK1064" s="626" t="n"/>
      <c r="AL1064" s="626" t="n"/>
      <c r="AM1064" s="626" t="n"/>
      <c r="AN1064" s="626" t="n"/>
      <c r="AO1064" s="626" t="n"/>
      <c r="AP1064" s="369" t="n"/>
      <c r="AQ1064" s="369" t="n"/>
      <c r="AR1064" s="369" t="n"/>
      <c r="AS1064" s="369" t="n"/>
      <c r="AT1064" s="370" t="n"/>
      <c r="AU1064" s="370" t="n"/>
      <c r="AV1064" s="370" t="n"/>
      <c r="AW1064" s="370" t="n"/>
      <c r="BJ1064">
        <f>O1064</f>
        <v/>
      </c>
      <c r="BK1064">
        <f>SUM(AG1064:AW1064)</f>
        <v/>
      </c>
      <c r="BL1064" s="531">
        <f>BJ1064-BK1064</f>
        <v/>
      </c>
      <c r="BM1064" s="201" t="n"/>
    </row>
    <row r="1065" hidden="1" outlineLevel="1" s="191">
      <c r="P1065" s="628" t="n"/>
      <c r="Q1065" s="628" t="n"/>
      <c r="R1065" s="628" t="n"/>
      <c r="S1065" s="628" t="n"/>
      <c r="T1065" s="628" t="n"/>
      <c r="U1065" s="628" t="n"/>
      <c r="V1065" s="628" t="n"/>
      <c r="W1065" s="628" t="n"/>
      <c r="X1065" s="628" t="n"/>
      <c r="Y1065" s="650" t="n"/>
      <c r="Z1065" s="650" t="n"/>
      <c r="AA1065" s="650" t="n"/>
      <c r="AB1065" s="650" t="n"/>
      <c r="AC1065" s="613" t="n"/>
      <c r="AD1065" s="613" t="n"/>
      <c r="AE1065" s="613" t="n"/>
      <c r="AF1065" s="613" t="n"/>
      <c r="AG1065" s="626" t="n"/>
      <c r="AH1065" s="626" t="n"/>
      <c r="AI1065" s="626" t="n"/>
      <c r="AJ1065" s="626" t="n"/>
      <c r="AK1065" s="626" t="n"/>
      <c r="AL1065" s="626" t="n"/>
      <c r="AM1065" s="626" t="n"/>
      <c r="AN1065" s="626" t="n"/>
      <c r="AO1065" s="626" t="n"/>
      <c r="AP1065" s="369" t="n"/>
      <c r="AQ1065" s="369" t="n"/>
      <c r="AR1065" s="369" t="n"/>
      <c r="AS1065" s="369" t="n"/>
      <c r="AT1065" s="370" t="n"/>
      <c r="AU1065" s="370" t="n"/>
      <c r="AV1065" s="370" t="n"/>
      <c r="AW1065" s="370" t="n"/>
      <c r="BJ1065">
        <f>O1065</f>
        <v/>
      </c>
      <c r="BK1065">
        <f>SUM(AG1065:AW1065)</f>
        <v/>
      </c>
      <c r="BL1065" s="531">
        <f>BJ1065-BK1065</f>
        <v/>
      </c>
      <c r="BM1065" s="201" t="n"/>
    </row>
    <row r="1066" hidden="1" outlineLevel="1" s="191">
      <c r="P1066" s="628" t="n"/>
      <c r="Q1066" s="628" t="n"/>
      <c r="R1066" s="628" t="n"/>
      <c r="S1066" s="628" t="n"/>
      <c r="T1066" s="628" t="n"/>
      <c r="U1066" s="628" t="n"/>
      <c r="V1066" s="628" t="n"/>
      <c r="W1066" s="628" t="n"/>
      <c r="X1066" s="628" t="n"/>
      <c r="Y1066" s="650" t="n"/>
      <c r="Z1066" s="650" t="n"/>
      <c r="AA1066" s="650" t="n"/>
      <c r="AB1066" s="650" t="n"/>
      <c r="AC1066" s="613" t="n"/>
      <c r="AD1066" s="613" t="n"/>
      <c r="AE1066" s="613" t="n"/>
      <c r="AF1066" s="613" t="n"/>
      <c r="AG1066" s="626" t="n"/>
      <c r="AH1066" s="626" t="n"/>
      <c r="AI1066" s="626" t="n"/>
      <c r="AJ1066" s="626" t="n"/>
      <c r="AK1066" s="626" t="n"/>
      <c r="AL1066" s="626" t="n"/>
      <c r="AM1066" s="626" t="n"/>
      <c r="AN1066" s="626" t="n"/>
      <c r="AO1066" s="626" t="n"/>
      <c r="AP1066" s="369" t="n"/>
      <c r="AQ1066" s="369" t="n"/>
      <c r="AR1066" s="369" t="n"/>
      <c r="AS1066" s="369" t="n"/>
      <c r="AT1066" s="370" t="n"/>
      <c r="AU1066" s="370" t="n"/>
      <c r="AV1066" s="370" t="n"/>
      <c r="AW1066" s="370" t="n"/>
      <c r="BJ1066">
        <f>O1066</f>
        <v/>
      </c>
      <c r="BK1066">
        <f>SUM(AG1066:AW1066)</f>
        <v/>
      </c>
      <c r="BL1066" s="531">
        <f>BJ1066-BK1066</f>
        <v/>
      </c>
      <c r="BM1066" s="201" t="n"/>
    </row>
    <row r="1067" hidden="1" outlineLevel="1" s="191">
      <c r="P1067" s="628" t="n"/>
      <c r="Q1067" s="628" t="n"/>
      <c r="R1067" s="628" t="n"/>
      <c r="S1067" s="628" t="n"/>
      <c r="T1067" s="628" t="n"/>
      <c r="U1067" s="628" t="n"/>
      <c r="V1067" s="628" t="n"/>
      <c r="W1067" s="628" t="n"/>
      <c r="X1067" s="628" t="n"/>
      <c r="Y1067" s="650" t="n"/>
      <c r="Z1067" s="650" t="n"/>
      <c r="AA1067" s="650" t="n"/>
      <c r="AB1067" s="650" t="n"/>
      <c r="AC1067" s="613" t="n"/>
      <c r="AD1067" s="613" t="n"/>
      <c r="AE1067" s="613" t="n"/>
      <c r="AF1067" s="613" t="n"/>
      <c r="AG1067" s="626" t="n"/>
      <c r="AH1067" s="626" t="n"/>
      <c r="AI1067" s="626" t="n"/>
      <c r="AJ1067" s="626" t="n"/>
      <c r="AK1067" s="626" t="n"/>
      <c r="AL1067" s="626" t="n"/>
      <c r="AM1067" s="626" t="n"/>
      <c r="AN1067" s="626" t="n"/>
      <c r="AO1067" s="626" t="n"/>
      <c r="AP1067" s="369" t="n"/>
      <c r="AQ1067" s="369" t="n"/>
      <c r="AR1067" s="369" t="n"/>
      <c r="AS1067" s="369" t="n"/>
      <c r="AT1067" s="370" t="n"/>
      <c r="AU1067" s="370" t="n"/>
      <c r="AV1067" s="370" t="n"/>
      <c r="AW1067" s="370" t="n"/>
      <c r="BJ1067">
        <f>O1067</f>
        <v/>
      </c>
      <c r="BK1067">
        <f>SUM(AG1067:AW1067)</f>
        <v/>
      </c>
      <c r="BL1067" s="531">
        <f>BJ1067-BK1067</f>
        <v/>
      </c>
      <c r="BM1067" s="201" t="n"/>
    </row>
    <row r="1068" hidden="1" outlineLevel="1" s="191">
      <c r="P1068" s="628" t="n"/>
      <c r="Q1068" s="628" t="n"/>
      <c r="R1068" s="628" t="n"/>
      <c r="S1068" s="628" t="n"/>
      <c r="T1068" s="628" t="n"/>
      <c r="U1068" s="628" t="n"/>
      <c r="V1068" s="628" t="n"/>
      <c r="W1068" s="628" t="n"/>
      <c r="X1068" s="628" t="n"/>
      <c r="Y1068" s="650" t="n"/>
      <c r="Z1068" s="650" t="n"/>
      <c r="AA1068" s="650" t="n"/>
      <c r="AB1068" s="650" t="n"/>
      <c r="AC1068" s="613" t="n"/>
      <c r="AD1068" s="613" t="n"/>
      <c r="AE1068" s="613" t="n"/>
      <c r="AF1068" s="613" t="n"/>
      <c r="AG1068" s="626" t="n"/>
      <c r="AH1068" s="626" t="n"/>
      <c r="AI1068" s="626" t="n"/>
      <c r="AJ1068" s="626" t="n"/>
      <c r="AK1068" s="626" t="n"/>
      <c r="AL1068" s="626" t="n"/>
      <c r="AM1068" s="626" t="n"/>
      <c r="AN1068" s="626" t="n"/>
      <c r="AO1068" s="626" t="n"/>
      <c r="AP1068" s="369" t="n"/>
      <c r="AQ1068" s="369" t="n"/>
      <c r="AR1068" s="369" t="n"/>
      <c r="AS1068" s="369" t="n"/>
      <c r="AT1068" s="370" t="n"/>
      <c r="AU1068" s="370" t="n"/>
      <c r="AV1068" s="370" t="n"/>
      <c r="AW1068" s="370" t="n"/>
      <c r="BJ1068">
        <f>O1068</f>
        <v/>
      </c>
      <c r="BK1068">
        <f>SUM(AG1068:AW1068)</f>
        <v/>
      </c>
      <c r="BL1068" s="531">
        <f>BJ1068-BK1068</f>
        <v/>
      </c>
      <c r="BM1068" s="201" t="n"/>
    </row>
    <row r="1069" hidden="1" outlineLevel="1" s="191">
      <c r="P1069" s="628" t="n"/>
      <c r="Q1069" s="628" t="n"/>
      <c r="R1069" s="628" t="n"/>
      <c r="S1069" s="628" t="n"/>
      <c r="T1069" s="628" t="n"/>
      <c r="U1069" s="628" t="n"/>
      <c r="V1069" s="628" t="n"/>
      <c r="W1069" s="628" t="n"/>
      <c r="X1069" s="628" t="n"/>
      <c r="Y1069" s="650" t="n"/>
      <c r="Z1069" s="650" t="n"/>
      <c r="AA1069" s="650" t="n"/>
      <c r="AB1069" s="650" t="n"/>
      <c r="AC1069" s="613" t="n"/>
      <c r="AD1069" s="613" t="n"/>
      <c r="AE1069" s="613" t="n"/>
      <c r="AF1069" s="613" t="n"/>
      <c r="AG1069" s="626" t="n"/>
      <c r="AH1069" s="626" t="n"/>
      <c r="AI1069" s="626" t="n"/>
      <c r="AJ1069" s="626" t="n"/>
      <c r="AK1069" s="626" t="n"/>
      <c r="AL1069" s="626" t="n"/>
      <c r="AM1069" s="626" t="n"/>
      <c r="AN1069" s="626" t="n"/>
      <c r="AO1069" s="626" t="n"/>
      <c r="AP1069" s="369" t="n"/>
      <c r="AQ1069" s="369" t="n"/>
      <c r="AR1069" s="369" t="n"/>
      <c r="AS1069" s="369" t="n"/>
      <c r="AT1069" s="370" t="n"/>
      <c r="AU1069" s="370" t="n"/>
      <c r="AV1069" s="370" t="n"/>
      <c r="AW1069" s="370" t="n"/>
      <c r="BJ1069">
        <f>O1069</f>
        <v/>
      </c>
      <c r="BK1069">
        <f>SUM(AG1069:AW1069)</f>
        <v/>
      </c>
      <c r="BL1069" s="531">
        <f>BJ1069-BK1069</f>
        <v/>
      </c>
      <c r="BM1069" s="201" t="n"/>
    </row>
    <row r="1070" hidden="1" outlineLevel="1" s="191">
      <c r="P1070" s="628" t="n"/>
      <c r="Q1070" s="628" t="n"/>
      <c r="R1070" s="628" t="n"/>
      <c r="S1070" s="628" t="n"/>
      <c r="T1070" s="628" t="n"/>
      <c r="U1070" s="628" t="n"/>
      <c r="V1070" s="628" t="n"/>
      <c r="W1070" s="628" t="n"/>
      <c r="X1070" s="628" t="n"/>
      <c r="Y1070" s="650" t="n"/>
      <c r="Z1070" s="650" t="n"/>
      <c r="AA1070" s="650" t="n"/>
      <c r="AB1070" s="650" t="n"/>
      <c r="AC1070" s="613" t="n"/>
      <c r="AD1070" s="613" t="n"/>
      <c r="AE1070" s="613" t="n"/>
      <c r="AF1070" s="613" t="n"/>
      <c r="AG1070" s="626" t="n"/>
      <c r="AH1070" s="626" t="n"/>
      <c r="AI1070" s="626" t="n"/>
      <c r="AJ1070" s="626" t="n"/>
      <c r="AK1070" s="626" t="n"/>
      <c r="AL1070" s="626" t="n"/>
      <c r="AM1070" s="626" t="n"/>
      <c r="AN1070" s="626" t="n"/>
      <c r="AO1070" s="626" t="n"/>
      <c r="AP1070" s="369" t="n"/>
      <c r="AQ1070" s="369" t="n"/>
      <c r="AR1070" s="369" t="n"/>
      <c r="AS1070" s="369" t="n"/>
      <c r="AT1070" s="370" t="n"/>
      <c r="AU1070" s="370" t="n"/>
      <c r="AV1070" s="370" t="n"/>
      <c r="AW1070" s="370" t="n"/>
      <c r="BJ1070">
        <f>O1070</f>
        <v/>
      </c>
      <c r="BK1070">
        <f>SUM(AG1070:AW1070)</f>
        <v/>
      </c>
      <c r="BL1070" s="531">
        <f>BJ1070-BK1070</f>
        <v/>
      </c>
      <c r="BM1070" s="201" t="n"/>
    </row>
    <row r="1071" hidden="1" outlineLevel="1" s="191">
      <c r="P1071" s="628" t="n"/>
      <c r="Q1071" s="628" t="n"/>
      <c r="R1071" s="628" t="n"/>
      <c r="S1071" s="628" t="n"/>
      <c r="T1071" s="628" t="n"/>
      <c r="U1071" s="628" t="n"/>
      <c r="V1071" s="628" t="n"/>
      <c r="W1071" s="628" t="n"/>
      <c r="X1071" s="628" t="n"/>
      <c r="Y1071" s="650" t="n"/>
      <c r="Z1071" s="650" t="n"/>
      <c r="AA1071" s="650" t="n"/>
      <c r="AB1071" s="650" t="n"/>
      <c r="AC1071" s="613" t="n"/>
      <c r="AD1071" s="613" t="n"/>
      <c r="AE1071" s="613" t="n"/>
      <c r="AF1071" s="613" t="n"/>
      <c r="AG1071" s="626" t="n"/>
      <c r="AH1071" s="626" t="n"/>
      <c r="AI1071" s="626" t="n"/>
      <c r="AJ1071" s="626" t="n"/>
      <c r="AK1071" s="626" t="n"/>
      <c r="AL1071" s="626" t="n"/>
      <c r="AM1071" s="626" t="n"/>
      <c r="AN1071" s="626" t="n"/>
      <c r="AO1071" s="626" t="n"/>
      <c r="AP1071" s="369" t="n"/>
      <c r="AQ1071" s="369" t="n"/>
      <c r="AR1071" s="369" t="n"/>
      <c r="AS1071" s="369" t="n"/>
      <c r="AT1071" s="370" t="n"/>
      <c r="AU1071" s="370" t="n"/>
      <c r="AV1071" s="370" t="n"/>
      <c r="AW1071" s="370" t="n"/>
      <c r="BJ1071">
        <f>O1071</f>
        <v/>
      </c>
      <c r="BK1071">
        <f>SUM(AG1071:AW1071)</f>
        <v/>
      </c>
      <c r="BL1071" s="531">
        <f>BJ1071-BK1071</f>
        <v/>
      </c>
      <c r="BM1071" s="201" t="n"/>
    </row>
    <row r="1072" hidden="1" outlineLevel="1" s="191">
      <c r="P1072" s="628" t="n"/>
      <c r="Q1072" s="628" t="n"/>
      <c r="R1072" s="628" t="n"/>
      <c r="S1072" s="628" t="n"/>
      <c r="T1072" s="628" t="n"/>
      <c r="U1072" s="628" t="n"/>
      <c r="V1072" s="628" t="n"/>
      <c r="W1072" s="628" t="n"/>
      <c r="X1072" s="628" t="n"/>
      <c r="Y1072" s="650" t="n"/>
      <c r="Z1072" s="650" t="n"/>
      <c r="AA1072" s="650" t="n"/>
      <c r="AB1072" s="650" t="n"/>
      <c r="AC1072" s="613" t="n"/>
      <c r="AD1072" s="613" t="n"/>
      <c r="AE1072" s="613" t="n"/>
      <c r="AF1072" s="613" t="n"/>
      <c r="AG1072" s="626" t="n"/>
      <c r="AH1072" s="626" t="n"/>
      <c r="AI1072" s="626" t="n"/>
      <c r="AJ1072" s="626" t="n"/>
      <c r="AK1072" s="626" t="n"/>
      <c r="AL1072" s="626" t="n"/>
      <c r="AM1072" s="626" t="n"/>
      <c r="AN1072" s="626" t="n"/>
      <c r="AO1072" s="626" t="n"/>
      <c r="AP1072" s="369" t="n"/>
      <c r="AQ1072" s="369" t="n"/>
      <c r="AR1072" s="369" t="n"/>
      <c r="AS1072" s="369" t="n"/>
      <c r="AT1072" s="370" t="n"/>
      <c r="AU1072" s="370" t="n"/>
      <c r="AV1072" s="370" t="n"/>
      <c r="AW1072" s="370" t="n"/>
      <c r="BJ1072">
        <f>O1072</f>
        <v/>
      </c>
      <c r="BK1072">
        <f>SUM(AG1072:AW1072)</f>
        <v/>
      </c>
      <c r="BL1072" s="531">
        <f>BJ1072-BK1072</f>
        <v/>
      </c>
      <c r="BM1072" s="201" t="n"/>
    </row>
    <row r="1073" hidden="1" outlineLevel="1" s="191">
      <c r="P1073" s="628" t="n"/>
      <c r="Q1073" s="628" t="n"/>
      <c r="R1073" s="628" t="n"/>
      <c r="S1073" s="628" t="n"/>
      <c r="T1073" s="628" t="n"/>
      <c r="U1073" s="628" t="n"/>
      <c r="V1073" s="628" t="n"/>
      <c r="W1073" s="628" t="n"/>
      <c r="X1073" s="628" t="n"/>
      <c r="Y1073" s="650" t="n"/>
      <c r="Z1073" s="650" t="n"/>
      <c r="AA1073" s="650" t="n"/>
      <c r="AB1073" s="650" t="n"/>
      <c r="AC1073" s="613" t="n"/>
      <c r="AD1073" s="613" t="n"/>
      <c r="AE1073" s="613" t="n"/>
      <c r="AF1073" s="613" t="n"/>
      <c r="AG1073" s="626" t="n"/>
      <c r="AH1073" s="626" t="n"/>
      <c r="AI1073" s="626" t="n"/>
      <c r="AJ1073" s="626" t="n"/>
      <c r="AK1073" s="626" t="n"/>
      <c r="AL1073" s="626" t="n"/>
      <c r="AM1073" s="626" t="n"/>
      <c r="AN1073" s="626" t="n"/>
      <c r="AO1073" s="626" t="n"/>
      <c r="AP1073" s="369" t="n"/>
      <c r="AQ1073" s="369" t="n"/>
      <c r="AR1073" s="369" t="n"/>
      <c r="AS1073" s="369" t="n"/>
      <c r="AT1073" s="370" t="n"/>
      <c r="AU1073" s="370" t="n"/>
      <c r="AV1073" s="370" t="n"/>
      <c r="AW1073" s="370" t="n"/>
      <c r="BJ1073">
        <f>O1073</f>
        <v/>
      </c>
      <c r="BK1073">
        <f>SUM(AG1073:AW1073)</f>
        <v/>
      </c>
      <c r="BL1073" s="531">
        <f>BJ1073-BK1073</f>
        <v/>
      </c>
      <c r="BM1073" s="201" t="n"/>
    </row>
    <row r="1074" hidden="1" outlineLevel="1" s="191">
      <c r="P1074" s="628" t="n"/>
      <c r="Q1074" s="628" t="n"/>
      <c r="R1074" s="628" t="n"/>
      <c r="S1074" s="628" t="n"/>
      <c r="T1074" s="628" t="n"/>
      <c r="U1074" s="628" t="n"/>
      <c r="V1074" s="628" t="n"/>
      <c r="W1074" s="628" t="n"/>
      <c r="X1074" s="628" t="n"/>
      <c r="Y1074" s="650" t="n"/>
      <c r="Z1074" s="650" t="n"/>
      <c r="AA1074" s="650" t="n"/>
      <c r="AB1074" s="650" t="n"/>
      <c r="AC1074" s="613" t="n"/>
      <c r="AD1074" s="613" t="n"/>
      <c r="AE1074" s="613" t="n"/>
      <c r="AF1074" s="613" t="n"/>
      <c r="AG1074" s="626" t="n"/>
      <c r="AH1074" s="626" t="n"/>
      <c r="AI1074" s="626" t="n"/>
      <c r="AJ1074" s="626" t="n"/>
      <c r="AK1074" s="626" t="n"/>
      <c r="AL1074" s="626" t="n"/>
      <c r="AM1074" s="626" t="n"/>
      <c r="AN1074" s="626" t="n"/>
      <c r="AO1074" s="626" t="n"/>
      <c r="AP1074" s="369" t="n"/>
      <c r="AQ1074" s="369" t="n"/>
      <c r="AR1074" s="369" t="n"/>
      <c r="AS1074" s="369" t="n"/>
      <c r="AT1074" s="370" t="n"/>
      <c r="AU1074" s="370" t="n"/>
      <c r="AV1074" s="370" t="n"/>
      <c r="AW1074" s="370" t="n"/>
      <c r="BJ1074">
        <f>O1074</f>
        <v/>
      </c>
      <c r="BK1074">
        <f>SUM(AG1074:AW1074)</f>
        <v/>
      </c>
      <c r="BL1074" s="531">
        <f>BJ1074-BK1074</f>
        <v/>
      </c>
      <c r="BM1074" s="201" t="n"/>
    </row>
    <row r="1075" hidden="1" outlineLevel="1" s="191">
      <c r="P1075" s="628" t="n"/>
      <c r="Q1075" s="628" t="n"/>
      <c r="R1075" s="628" t="n"/>
      <c r="S1075" s="628" t="n"/>
      <c r="T1075" s="628" t="n"/>
      <c r="U1075" s="628" t="n"/>
      <c r="V1075" s="628" t="n"/>
      <c r="W1075" s="628" t="n"/>
      <c r="X1075" s="628" t="n"/>
      <c r="Y1075" s="650" t="n"/>
      <c r="Z1075" s="650" t="n"/>
      <c r="AA1075" s="650" t="n"/>
      <c r="AB1075" s="650" t="n"/>
      <c r="AC1075" s="613" t="n"/>
      <c r="AD1075" s="613" t="n"/>
      <c r="AE1075" s="613" t="n"/>
      <c r="AF1075" s="613" t="n"/>
      <c r="AG1075" s="626" t="n"/>
      <c r="AH1075" s="626" t="n"/>
      <c r="AI1075" s="626" t="n"/>
      <c r="AJ1075" s="626" t="n"/>
      <c r="AK1075" s="626" t="n"/>
      <c r="AL1075" s="626" t="n"/>
      <c r="AM1075" s="626" t="n"/>
      <c r="AN1075" s="626" t="n"/>
      <c r="AO1075" s="626" t="n"/>
      <c r="AP1075" s="369" t="n"/>
      <c r="AQ1075" s="369" t="n"/>
      <c r="AR1075" s="369" t="n"/>
      <c r="AS1075" s="369" t="n"/>
      <c r="AT1075" s="370" t="n"/>
      <c r="AU1075" s="370" t="n"/>
      <c r="AV1075" s="370" t="n"/>
      <c r="AW1075" s="370" t="n"/>
      <c r="BJ1075">
        <f>O1075</f>
        <v/>
      </c>
      <c r="BK1075">
        <f>SUM(AG1075:AW1075)</f>
        <v/>
      </c>
      <c r="BL1075" s="531">
        <f>BJ1075-BK1075</f>
        <v/>
      </c>
      <c r="BM1075" s="201" t="n"/>
    </row>
    <row r="1076" hidden="1" outlineLevel="1" s="191">
      <c r="P1076" s="628" t="n"/>
      <c r="Q1076" s="628" t="n"/>
      <c r="R1076" s="628" t="n"/>
      <c r="S1076" s="628" t="n"/>
      <c r="T1076" s="628" t="n"/>
      <c r="U1076" s="628" t="n"/>
      <c r="V1076" s="628" t="n"/>
      <c r="W1076" s="628" t="n"/>
      <c r="X1076" s="628" t="n"/>
      <c r="Y1076" s="650" t="n"/>
      <c r="Z1076" s="650" t="n"/>
      <c r="AA1076" s="650" t="n"/>
      <c r="AB1076" s="650" t="n"/>
      <c r="AC1076" s="613" t="n"/>
      <c r="AD1076" s="613" t="n"/>
      <c r="AE1076" s="613" t="n"/>
      <c r="AF1076" s="613" t="n"/>
      <c r="AG1076" s="626" t="n"/>
      <c r="AH1076" s="626" t="n"/>
      <c r="AI1076" s="626" t="n"/>
      <c r="AJ1076" s="626" t="n"/>
      <c r="AK1076" s="626" t="n"/>
      <c r="AL1076" s="626" t="n"/>
      <c r="AM1076" s="626" t="n"/>
      <c r="AN1076" s="626" t="n"/>
      <c r="AO1076" s="626" t="n"/>
      <c r="AP1076" s="369" t="n"/>
      <c r="AQ1076" s="369" t="n"/>
      <c r="AR1076" s="369" t="n"/>
      <c r="AS1076" s="369" t="n"/>
      <c r="AT1076" s="370" t="n"/>
      <c r="AU1076" s="370" t="n"/>
      <c r="AV1076" s="370" t="n"/>
      <c r="AW1076" s="370" t="n"/>
      <c r="BJ1076">
        <f>O1076</f>
        <v/>
      </c>
      <c r="BK1076">
        <f>SUM(AG1076:AW1076)</f>
        <v/>
      </c>
      <c r="BL1076" s="531">
        <f>BJ1076-BK1076</f>
        <v/>
      </c>
      <c r="BM1076" s="201" t="n"/>
    </row>
    <row r="1077" hidden="1" outlineLevel="1" s="191">
      <c r="P1077" s="628" t="n"/>
      <c r="Q1077" s="628" t="n"/>
      <c r="R1077" s="628" t="n"/>
      <c r="S1077" s="628" t="n"/>
      <c r="T1077" s="628" t="n"/>
      <c r="U1077" s="628" t="n"/>
      <c r="V1077" s="628" t="n"/>
      <c r="W1077" s="628" t="n"/>
      <c r="X1077" s="628" t="n"/>
      <c r="Y1077" s="650" t="n"/>
      <c r="Z1077" s="650" t="n"/>
      <c r="AA1077" s="650" t="n"/>
      <c r="AB1077" s="650" t="n"/>
      <c r="AC1077" s="613" t="n"/>
      <c r="AD1077" s="613" t="n"/>
      <c r="AE1077" s="613" t="n"/>
      <c r="AF1077" s="613" t="n"/>
      <c r="AG1077" s="626" t="n"/>
      <c r="AH1077" s="626" t="n"/>
      <c r="AI1077" s="626" t="n"/>
      <c r="AJ1077" s="626" t="n"/>
      <c r="AK1077" s="626" t="n"/>
      <c r="AL1077" s="626" t="n"/>
      <c r="AM1077" s="626" t="n"/>
      <c r="AN1077" s="626" t="n"/>
      <c r="AO1077" s="626" t="n"/>
      <c r="AP1077" s="369" t="n"/>
      <c r="AQ1077" s="369" t="n"/>
      <c r="AR1077" s="369" t="n"/>
      <c r="AS1077" s="369" t="n"/>
      <c r="AT1077" s="370" t="n"/>
      <c r="AU1077" s="370" t="n"/>
      <c r="AV1077" s="370" t="n"/>
      <c r="AW1077" s="370" t="n"/>
      <c r="BJ1077">
        <f>O1077</f>
        <v/>
      </c>
      <c r="BK1077">
        <f>SUM(AG1077:AW1077)</f>
        <v/>
      </c>
      <c r="BL1077" s="531">
        <f>BJ1077-BK1077</f>
        <v/>
      </c>
      <c r="BM1077" s="201" t="n"/>
    </row>
    <row r="1078" hidden="1" outlineLevel="1" s="191">
      <c r="P1078" s="628" t="n"/>
      <c r="Q1078" s="628" t="n"/>
      <c r="R1078" s="628" t="n"/>
      <c r="S1078" s="628" t="n"/>
      <c r="T1078" s="628" t="n"/>
      <c r="U1078" s="628" t="n"/>
      <c r="V1078" s="628" t="n"/>
      <c r="W1078" s="628" t="n"/>
      <c r="X1078" s="628" t="n"/>
      <c r="Y1078" s="650" t="n"/>
      <c r="Z1078" s="650" t="n"/>
      <c r="AA1078" s="650" t="n"/>
      <c r="AB1078" s="650" t="n"/>
      <c r="AC1078" s="613" t="n"/>
      <c r="AD1078" s="613" t="n"/>
      <c r="AE1078" s="613" t="n"/>
      <c r="AF1078" s="613" t="n"/>
      <c r="AG1078" s="626" t="n"/>
      <c r="AH1078" s="626" t="n"/>
      <c r="AI1078" s="626" t="n"/>
      <c r="AJ1078" s="626" t="n"/>
      <c r="AK1078" s="626" t="n"/>
      <c r="AL1078" s="626" t="n"/>
      <c r="AM1078" s="626" t="n"/>
      <c r="AN1078" s="626" t="n"/>
      <c r="AO1078" s="626" t="n"/>
      <c r="AP1078" s="369" t="n"/>
      <c r="AQ1078" s="369" t="n"/>
      <c r="AR1078" s="369" t="n"/>
      <c r="AS1078" s="369" t="n"/>
      <c r="AT1078" s="370" t="n"/>
      <c r="AU1078" s="370" t="n"/>
      <c r="AV1078" s="370" t="n"/>
      <c r="AW1078" s="370" t="n"/>
      <c r="BJ1078">
        <f>O1078</f>
        <v/>
      </c>
      <c r="BK1078">
        <f>SUM(AG1078:AW1078)</f>
        <v/>
      </c>
      <c r="BL1078" s="531">
        <f>BJ1078-BK1078</f>
        <v/>
      </c>
      <c r="BM1078" s="201" t="n"/>
    </row>
    <row r="1079" hidden="1" outlineLevel="1" s="191">
      <c r="P1079" s="628" t="n"/>
      <c r="Q1079" s="628" t="n"/>
      <c r="R1079" s="628" t="n"/>
      <c r="S1079" s="628" t="n"/>
      <c r="T1079" s="628" t="n"/>
      <c r="U1079" s="628" t="n"/>
      <c r="V1079" s="628" t="n"/>
      <c r="W1079" s="628" t="n"/>
      <c r="X1079" s="628" t="n"/>
      <c r="Y1079" s="650" t="n"/>
      <c r="Z1079" s="650" t="n"/>
      <c r="AA1079" s="650" t="n"/>
      <c r="AB1079" s="650" t="n"/>
      <c r="AC1079" s="613" t="n"/>
      <c r="AD1079" s="613" t="n"/>
      <c r="AE1079" s="613" t="n"/>
      <c r="AF1079" s="613" t="n"/>
      <c r="AG1079" s="626" t="n"/>
      <c r="AH1079" s="626" t="n"/>
      <c r="AI1079" s="626" t="n"/>
      <c r="AJ1079" s="626" t="n"/>
      <c r="AK1079" s="626" t="n"/>
      <c r="AL1079" s="626" t="n"/>
      <c r="AM1079" s="626" t="n"/>
      <c r="AN1079" s="626" t="n"/>
      <c r="AO1079" s="626" t="n"/>
      <c r="AP1079" s="369" t="n"/>
      <c r="AQ1079" s="369" t="n"/>
      <c r="AR1079" s="369" t="n"/>
      <c r="AS1079" s="369" t="n"/>
      <c r="AT1079" s="370" t="n"/>
      <c r="AU1079" s="370" t="n"/>
      <c r="AV1079" s="370" t="n"/>
      <c r="AW1079" s="370" t="n"/>
      <c r="BJ1079">
        <f>O1079</f>
        <v/>
      </c>
      <c r="BK1079">
        <f>SUM(AG1079:AW1079)</f>
        <v/>
      </c>
      <c r="BL1079" s="531">
        <f>BJ1079-BK1079</f>
        <v/>
      </c>
      <c r="BM1079" s="201" t="n"/>
    </row>
    <row r="1080" hidden="1" outlineLevel="1" s="191">
      <c r="P1080" s="628" t="n"/>
      <c r="Q1080" s="628" t="n"/>
      <c r="R1080" s="628" t="n"/>
      <c r="S1080" s="628" t="n"/>
      <c r="T1080" s="628" t="n"/>
      <c r="U1080" s="628" t="n"/>
      <c r="V1080" s="628" t="n"/>
      <c r="W1080" s="628" t="n"/>
      <c r="X1080" s="628" t="n"/>
      <c r="Y1080" s="650" t="n"/>
      <c r="Z1080" s="650" t="n"/>
      <c r="AA1080" s="650" t="n"/>
      <c r="AB1080" s="650" t="n"/>
      <c r="AC1080" s="613" t="n"/>
      <c r="AD1080" s="613" t="n"/>
      <c r="AE1080" s="613" t="n"/>
      <c r="AF1080" s="613" t="n"/>
      <c r="AG1080" s="626" t="n"/>
      <c r="AH1080" s="626" t="n"/>
      <c r="AI1080" s="626" t="n"/>
      <c r="AJ1080" s="626" t="n"/>
      <c r="AK1080" s="626" t="n"/>
      <c r="AL1080" s="626" t="n"/>
      <c r="AM1080" s="626" t="n"/>
      <c r="AN1080" s="626" t="n"/>
      <c r="AO1080" s="626" t="n"/>
      <c r="AP1080" s="369" t="n"/>
      <c r="AQ1080" s="369" t="n"/>
      <c r="AR1080" s="369" t="n"/>
      <c r="AS1080" s="369" t="n"/>
      <c r="AT1080" s="370" t="n"/>
      <c r="AU1080" s="370" t="n"/>
      <c r="AV1080" s="370" t="n"/>
      <c r="AW1080" s="370" t="n"/>
      <c r="BJ1080">
        <f>O1080</f>
        <v/>
      </c>
      <c r="BK1080">
        <f>SUM(AG1080:AW1080)</f>
        <v/>
      </c>
      <c r="BL1080" s="531">
        <f>BJ1080-BK1080</f>
        <v/>
      </c>
      <c r="BM1080" s="201" t="n"/>
    </row>
    <row r="1081" hidden="1" outlineLevel="1" s="191">
      <c r="P1081" s="628" t="n"/>
      <c r="Q1081" s="628" t="n"/>
      <c r="R1081" s="628" t="n"/>
      <c r="S1081" s="628" t="n"/>
      <c r="T1081" s="628" t="n"/>
      <c r="U1081" s="628" t="n"/>
      <c r="V1081" s="628" t="n"/>
      <c r="W1081" s="628" t="n"/>
      <c r="X1081" s="628" t="n"/>
      <c r="Y1081" s="650" t="n"/>
      <c r="Z1081" s="650" t="n"/>
      <c r="AA1081" s="650" t="n"/>
      <c r="AB1081" s="650" t="n"/>
      <c r="AC1081" s="613" t="n"/>
      <c r="AD1081" s="613" t="n"/>
      <c r="AE1081" s="613" t="n"/>
      <c r="AF1081" s="613" t="n"/>
      <c r="AG1081" s="626" t="n"/>
      <c r="AH1081" s="626" t="n"/>
      <c r="AI1081" s="626" t="n"/>
      <c r="AJ1081" s="626" t="n"/>
      <c r="AK1081" s="626" t="n"/>
      <c r="AL1081" s="626" t="n"/>
      <c r="AM1081" s="626" t="n"/>
      <c r="AN1081" s="626" t="n"/>
      <c r="AO1081" s="626" t="n"/>
      <c r="AP1081" s="369" t="n"/>
      <c r="AQ1081" s="369" t="n"/>
      <c r="AR1081" s="369" t="n"/>
      <c r="AS1081" s="369" t="n"/>
      <c r="AT1081" s="370" t="n"/>
      <c r="AU1081" s="370" t="n"/>
      <c r="AV1081" s="370" t="n"/>
      <c r="AW1081" s="370" t="n"/>
      <c r="BJ1081">
        <f>O1081</f>
        <v/>
      </c>
      <c r="BK1081">
        <f>SUM(AG1081:AW1081)</f>
        <v/>
      </c>
      <c r="BL1081" s="531">
        <f>BJ1081-BK1081</f>
        <v/>
      </c>
      <c r="BM1081" s="201" t="n"/>
    </row>
    <row r="1082" hidden="1" outlineLevel="1" s="191">
      <c r="P1082" s="628" t="n"/>
      <c r="Q1082" s="628" t="n"/>
      <c r="R1082" s="628" t="n"/>
      <c r="S1082" s="628" t="n"/>
      <c r="T1082" s="628" t="n"/>
      <c r="U1082" s="628" t="n"/>
      <c r="V1082" s="628" t="n"/>
      <c r="W1082" s="628" t="n"/>
      <c r="X1082" s="628" t="n"/>
      <c r="Y1082" s="650" t="n"/>
      <c r="Z1082" s="650" t="n"/>
      <c r="AA1082" s="650" t="n"/>
      <c r="AB1082" s="650" t="n"/>
      <c r="AC1082" s="613" t="n"/>
      <c r="AD1082" s="613" t="n"/>
      <c r="AE1082" s="613" t="n"/>
      <c r="AF1082" s="613" t="n"/>
      <c r="AG1082" s="626" t="n"/>
      <c r="AH1082" s="626" t="n"/>
      <c r="AI1082" s="626" t="n"/>
      <c r="AJ1082" s="626" t="n"/>
      <c r="AK1082" s="626" t="n"/>
      <c r="AL1082" s="626" t="n"/>
      <c r="AM1082" s="626" t="n"/>
      <c r="AN1082" s="626" t="n"/>
      <c r="AO1082" s="626" t="n"/>
      <c r="AP1082" s="369" t="n"/>
      <c r="AQ1082" s="369" t="n"/>
      <c r="AR1082" s="369" t="n"/>
      <c r="AS1082" s="369" t="n"/>
      <c r="AT1082" s="370" t="n"/>
      <c r="AU1082" s="370" t="n"/>
      <c r="AV1082" s="370" t="n"/>
      <c r="AW1082" s="370" t="n"/>
      <c r="BJ1082">
        <f>O1082</f>
        <v/>
      </c>
      <c r="BK1082">
        <f>SUM(AG1082:AW1082)</f>
        <v/>
      </c>
      <c r="BL1082" s="531">
        <f>BJ1082-BK1082</f>
        <v/>
      </c>
      <c r="BM1082" s="201" t="n"/>
    </row>
    <row r="1083" hidden="1" outlineLevel="1" s="191">
      <c r="P1083" s="628" t="n"/>
      <c r="Q1083" s="628" t="n"/>
      <c r="R1083" s="628" t="n"/>
      <c r="S1083" s="628" t="n"/>
      <c r="T1083" s="628" t="n"/>
      <c r="U1083" s="628" t="n"/>
      <c r="V1083" s="628" t="n"/>
      <c r="W1083" s="628" t="n"/>
      <c r="X1083" s="628" t="n"/>
      <c r="Y1083" s="650" t="n"/>
      <c r="Z1083" s="650" t="n"/>
      <c r="AA1083" s="650" t="n"/>
      <c r="AB1083" s="650" t="n"/>
      <c r="AC1083" s="613" t="n"/>
      <c r="AD1083" s="613" t="n"/>
      <c r="AE1083" s="613" t="n"/>
      <c r="AF1083" s="613" t="n"/>
      <c r="AG1083" s="626" t="n"/>
      <c r="AH1083" s="626" t="n"/>
      <c r="AI1083" s="626" t="n"/>
      <c r="AJ1083" s="626" t="n"/>
      <c r="AK1083" s="626" t="n"/>
      <c r="AL1083" s="626" t="n"/>
      <c r="AM1083" s="626" t="n"/>
      <c r="AN1083" s="626" t="n"/>
      <c r="AO1083" s="626" t="n"/>
      <c r="AP1083" s="369" t="n"/>
      <c r="AQ1083" s="369" t="n"/>
      <c r="AR1083" s="369" t="n"/>
      <c r="AS1083" s="369" t="n"/>
      <c r="AT1083" s="370" t="n"/>
      <c r="AU1083" s="370" t="n"/>
      <c r="AV1083" s="370" t="n"/>
      <c r="AW1083" s="370" t="n"/>
      <c r="BJ1083">
        <f>O1083</f>
        <v/>
      </c>
      <c r="BK1083">
        <f>SUM(AG1083:AW1083)</f>
        <v/>
      </c>
      <c r="BL1083" s="531">
        <f>BJ1083-BK1083</f>
        <v/>
      </c>
      <c r="BM1083" s="201" t="n"/>
    </row>
    <row r="1084" hidden="1" outlineLevel="1" s="191">
      <c r="P1084" s="628" t="n"/>
      <c r="Q1084" s="628" t="n"/>
      <c r="R1084" s="628" t="n"/>
      <c r="S1084" s="628" t="n"/>
      <c r="T1084" s="628" t="n"/>
      <c r="U1084" s="628" t="n"/>
      <c r="V1084" s="628" t="n"/>
      <c r="W1084" s="628" t="n"/>
      <c r="X1084" s="628" t="n"/>
      <c r="Y1084" s="650" t="n"/>
      <c r="Z1084" s="650" t="n"/>
      <c r="AA1084" s="650" t="n"/>
      <c r="AB1084" s="650" t="n"/>
      <c r="AC1084" s="613" t="n"/>
      <c r="AD1084" s="613" t="n"/>
      <c r="AE1084" s="613" t="n"/>
      <c r="AF1084" s="613" t="n"/>
      <c r="AG1084" s="626" t="n"/>
      <c r="AH1084" s="626" t="n"/>
      <c r="AI1084" s="626" t="n"/>
      <c r="AJ1084" s="626" t="n"/>
      <c r="AK1084" s="626" t="n"/>
      <c r="AL1084" s="626" t="n"/>
      <c r="AM1084" s="626" t="n"/>
      <c r="AN1084" s="626" t="n"/>
      <c r="AO1084" s="626" t="n"/>
      <c r="AP1084" s="369" t="n"/>
      <c r="AQ1084" s="369" t="n"/>
      <c r="AR1084" s="369" t="n"/>
      <c r="AS1084" s="369" t="n"/>
      <c r="AT1084" s="370" t="n"/>
      <c r="AU1084" s="370" t="n"/>
      <c r="AV1084" s="370" t="n"/>
      <c r="AW1084" s="370" t="n"/>
      <c r="BJ1084">
        <f>O1084</f>
        <v/>
      </c>
      <c r="BK1084">
        <f>SUM(AG1084:AW1084)</f>
        <v/>
      </c>
      <c r="BL1084" s="531">
        <f>BJ1084-BK1084</f>
        <v/>
      </c>
      <c r="BM1084" s="201" t="n"/>
    </row>
    <row r="1085" hidden="1" outlineLevel="1" s="191">
      <c r="P1085" s="628" t="n"/>
      <c r="Q1085" s="628" t="n"/>
      <c r="R1085" s="628" t="n"/>
      <c r="S1085" s="628" t="n"/>
      <c r="T1085" s="628" t="n"/>
      <c r="U1085" s="628" t="n"/>
      <c r="V1085" s="628" t="n"/>
      <c r="W1085" s="628" t="n"/>
      <c r="X1085" s="628" t="n"/>
      <c r="Y1085" s="650" t="n"/>
      <c r="Z1085" s="650" t="n"/>
      <c r="AA1085" s="650" t="n"/>
      <c r="AB1085" s="650" t="n"/>
      <c r="AC1085" s="613" t="n"/>
      <c r="AD1085" s="613" t="n"/>
      <c r="AE1085" s="613" t="n"/>
      <c r="AF1085" s="613" t="n"/>
      <c r="AG1085" s="626" t="n"/>
      <c r="AH1085" s="626" t="n"/>
      <c r="AI1085" s="626" t="n"/>
      <c r="AJ1085" s="626" t="n"/>
      <c r="AK1085" s="626" t="n"/>
      <c r="AL1085" s="626" t="n"/>
      <c r="AM1085" s="626" t="n"/>
      <c r="AN1085" s="626" t="n"/>
      <c r="AO1085" s="626" t="n"/>
      <c r="AP1085" s="369" t="n"/>
      <c r="AQ1085" s="369" t="n"/>
      <c r="AR1085" s="369" t="n"/>
      <c r="AS1085" s="369" t="n"/>
      <c r="AT1085" s="370" t="n"/>
      <c r="AU1085" s="370" t="n"/>
      <c r="AV1085" s="370" t="n"/>
      <c r="AW1085" s="370" t="n"/>
      <c r="BJ1085">
        <f>O1085</f>
        <v/>
      </c>
      <c r="BK1085">
        <f>SUM(AG1085:AW1085)</f>
        <v/>
      </c>
      <c r="BL1085" s="531">
        <f>BJ1085-BK1085</f>
        <v/>
      </c>
      <c r="BM1085" s="201" t="n"/>
    </row>
    <row r="1086" hidden="1" outlineLevel="1" s="191">
      <c r="P1086" s="628" t="n"/>
      <c r="Q1086" s="628" t="n"/>
      <c r="R1086" s="628" t="n"/>
      <c r="S1086" s="628" t="n"/>
      <c r="T1086" s="628" t="n"/>
      <c r="U1086" s="628" t="n"/>
      <c r="V1086" s="628" t="n"/>
      <c r="W1086" s="628" t="n"/>
      <c r="X1086" s="628" t="n"/>
      <c r="Y1086" s="650" t="n"/>
      <c r="Z1086" s="650" t="n"/>
      <c r="AA1086" s="650" t="n"/>
      <c r="AB1086" s="650" t="n"/>
      <c r="AC1086" s="613" t="n"/>
      <c r="AD1086" s="613" t="n"/>
      <c r="AE1086" s="613" t="n"/>
      <c r="AF1086" s="613" t="n"/>
      <c r="AG1086" s="626" t="n"/>
      <c r="AH1086" s="626" t="n"/>
      <c r="AI1086" s="626" t="n"/>
      <c r="AJ1086" s="626" t="n"/>
      <c r="AK1086" s="626" t="n"/>
      <c r="AL1086" s="626" t="n"/>
      <c r="AM1086" s="626" t="n"/>
      <c r="AN1086" s="626" t="n"/>
      <c r="AO1086" s="626" t="n"/>
      <c r="AP1086" s="369" t="n"/>
      <c r="AQ1086" s="369" t="n"/>
      <c r="AR1086" s="369" t="n"/>
      <c r="AS1086" s="369" t="n"/>
      <c r="AT1086" s="370" t="n"/>
      <c r="AU1086" s="370" t="n"/>
      <c r="AV1086" s="370" t="n"/>
      <c r="AW1086" s="370" t="n"/>
      <c r="BJ1086">
        <f>O1086</f>
        <v/>
      </c>
      <c r="BK1086">
        <f>SUM(AG1086:AW1086)</f>
        <v/>
      </c>
      <c r="BL1086" s="531">
        <f>BJ1086-BK1086</f>
        <v/>
      </c>
      <c r="BM1086" s="201" t="n"/>
    </row>
    <row r="1087" hidden="1" outlineLevel="1" s="191">
      <c r="P1087" s="628" t="n"/>
      <c r="Q1087" s="628" t="n"/>
      <c r="R1087" s="628" t="n"/>
      <c r="S1087" s="628" t="n"/>
      <c r="T1087" s="628" t="n"/>
      <c r="U1087" s="628" t="n"/>
      <c r="V1087" s="628" t="n"/>
      <c r="W1087" s="628" t="n"/>
      <c r="X1087" s="628" t="n"/>
      <c r="Y1087" s="650" t="n"/>
      <c r="Z1087" s="650" t="n"/>
      <c r="AA1087" s="650" t="n"/>
      <c r="AB1087" s="650" t="n"/>
      <c r="AC1087" s="613" t="n"/>
      <c r="AD1087" s="613" t="n"/>
      <c r="AE1087" s="613" t="n"/>
      <c r="AF1087" s="613" t="n"/>
      <c r="AG1087" s="626" t="n"/>
      <c r="AH1087" s="626" t="n"/>
      <c r="AI1087" s="626" t="n"/>
      <c r="AJ1087" s="626" t="n"/>
      <c r="AK1087" s="626" t="n"/>
      <c r="AL1087" s="626" t="n"/>
      <c r="AM1087" s="626" t="n"/>
      <c r="AN1087" s="626" t="n"/>
      <c r="AO1087" s="626" t="n"/>
      <c r="AP1087" s="369" t="n"/>
      <c r="AQ1087" s="369" t="n"/>
      <c r="AR1087" s="369" t="n"/>
      <c r="AS1087" s="369" t="n"/>
      <c r="AT1087" s="370" t="n"/>
      <c r="AU1087" s="370" t="n"/>
      <c r="AV1087" s="370" t="n"/>
      <c r="AW1087" s="370" t="n"/>
      <c r="BJ1087">
        <f>O1087</f>
        <v/>
      </c>
      <c r="BK1087">
        <f>SUM(AG1087:AW1087)</f>
        <v/>
      </c>
      <c r="BL1087" s="531">
        <f>BJ1087-BK1087</f>
        <v/>
      </c>
      <c r="BM1087" s="201" t="n"/>
    </row>
    <row r="1088" hidden="1" outlineLevel="1" s="191">
      <c r="P1088" s="628" t="n"/>
      <c r="Q1088" s="628" t="n"/>
      <c r="R1088" s="628" t="n"/>
      <c r="S1088" s="628" t="n"/>
      <c r="T1088" s="628" t="n"/>
      <c r="U1088" s="628" t="n"/>
      <c r="V1088" s="628" t="n"/>
      <c r="W1088" s="628" t="n"/>
      <c r="X1088" s="628" t="n"/>
      <c r="Y1088" s="650" t="n"/>
      <c r="Z1088" s="650" t="n"/>
      <c r="AA1088" s="650" t="n"/>
      <c r="AB1088" s="650" t="n"/>
      <c r="AC1088" s="613" t="n"/>
      <c r="AD1088" s="613" t="n"/>
      <c r="AE1088" s="613" t="n"/>
      <c r="AF1088" s="613" t="n"/>
      <c r="AG1088" s="626" t="n"/>
      <c r="AH1088" s="626" t="n"/>
      <c r="AI1088" s="626" t="n"/>
      <c r="AJ1088" s="626" t="n"/>
      <c r="AK1088" s="626" t="n"/>
      <c r="AL1088" s="626" t="n"/>
      <c r="AM1088" s="626" t="n"/>
      <c r="AN1088" s="626" t="n"/>
      <c r="AO1088" s="626" t="n"/>
      <c r="AP1088" s="369" t="n"/>
      <c r="AQ1088" s="369" t="n"/>
      <c r="AR1088" s="369" t="n"/>
      <c r="AS1088" s="369" t="n"/>
      <c r="AT1088" s="370" t="n"/>
      <c r="AU1088" s="370" t="n"/>
      <c r="AV1088" s="370" t="n"/>
      <c r="AW1088" s="370" t="n"/>
      <c r="BJ1088">
        <f>O1088</f>
        <v/>
      </c>
      <c r="BK1088">
        <f>SUM(AG1088:AW1088)</f>
        <v/>
      </c>
      <c r="BL1088" s="531">
        <f>BJ1088-BK1088</f>
        <v/>
      </c>
      <c r="BM1088" s="201" t="n"/>
    </row>
    <row r="1089" hidden="1" outlineLevel="1" s="191">
      <c r="P1089" s="628" t="n"/>
      <c r="Q1089" s="628" t="n"/>
      <c r="R1089" s="628" t="n"/>
      <c r="S1089" s="628" t="n"/>
      <c r="T1089" s="628" t="n"/>
      <c r="U1089" s="628" t="n"/>
      <c r="V1089" s="628" t="n"/>
      <c r="W1089" s="628" t="n"/>
      <c r="X1089" s="628" t="n"/>
      <c r="Y1089" s="650" t="n"/>
      <c r="Z1089" s="650" t="n"/>
      <c r="AA1089" s="650" t="n"/>
      <c r="AB1089" s="650" t="n"/>
      <c r="AC1089" s="613" t="n"/>
      <c r="AD1089" s="613" t="n"/>
      <c r="AE1089" s="613" t="n"/>
      <c r="AF1089" s="613" t="n"/>
      <c r="AG1089" s="626" t="n"/>
      <c r="AH1089" s="626" t="n"/>
      <c r="AI1089" s="626" t="n"/>
      <c r="AJ1089" s="626" t="n"/>
      <c r="AK1089" s="626" t="n"/>
      <c r="AL1089" s="626" t="n"/>
      <c r="AM1089" s="626" t="n"/>
      <c r="AN1089" s="626" t="n"/>
      <c r="AO1089" s="626" t="n"/>
      <c r="AP1089" s="369" t="n"/>
      <c r="AQ1089" s="369" t="n"/>
      <c r="AR1089" s="369" t="n"/>
      <c r="AS1089" s="369" t="n"/>
      <c r="AT1089" s="370" t="n"/>
      <c r="AU1089" s="370" t="n"/>
      <c r="AV1089" s="370" t="n"/>
      <c r="AW1089" s="370" t="n"/>
      <c r="BJ1089">
        <f>O1089</f>
        <v/>
      </c>
      <c r="BK1089">
        <f>SUM(AG1089:AW1089)</f>
        <v/>
      </c>
      <c r="BL1089" s="531">
        <f>BJ1089-BK1089</f>
        <v/>
      </c>
      <c r="BM1089" s="201" t="n"/>
    </row>
    <row r="1090" hidden="1" outlineLevel="1" s="191">
      <c r="P1090" s="628" t="n"/>
      <c r="Q1090" s="628" t="n"/>
      <c r="R1090" s="628" t="n"/>
      <c r="S1090" s="628" t="n"/>
      <c r="T1090" s="628" t="n"/>
      <c r="U1090" s="628" t="n"/>
      <c r="V1090" s="628" t="n"/>
      <c r="W1090" s="628" t="n"/>
      <c r="X1090" s="628" t="n"/>
      <c r="Y1090" s="650" t="n"/>
      <c r="Z1090" s="650" t="n"/>
      <c r="AA1090" s="650" t="n"/>
      <c r="AB1090" s="650" t="n"/>
      <c r="AC1090" s="613" t="n"/>
      <c r="AD1090" s="613" t="n"/>
      <c r="AE1090" s="613" t="n"/>
      <c r="AF1090" s="613" t="n"/>
      <c r="AG1090" s="626" t="n"/>
      <c r="AH1090" s="626" t="n"/>
      <c r="AI1090" s="626" t="n"/>
      <c r="AJ1090" s="626" t="n"/>
      <c r="AK1090" s="626" t="n"/>
      <c r="AL1090" s="626" t="n"/>
      <c r="AM1090" s="626" t="n"/>
      <c r="AN1090" s="626" t="n"/>
      <c r="AO1090" s="626" t="n"/>
      <c r="AP1090" s="369" t="n"/>
      <c r="AQ1090" s="369" t="n"/>
      <c r="AR1090" s="369" t="n"/>
      <c r="AS1090" s="369" t="n"/>
      <c r="AT1090" s="370" t="n"/>
      <c r="AU1090" s="370" t="n"/>
      <c r="AV1090" s="370" t="n"/>
      <c r="AW1090" s="370" t="n"/>
      <c r="BJ1090">
        <f>O1090</f>
        <v/>
      </c>
      <c r="BK1090">
        <f>SUM(AG1090:AW1090)</f>
        <v/>
      </c>
      <c r="BL1090" s="531">
        <f>BJ1090-BK1090</f>
        <v/>
      </c>
      <c r="BM1090" s="201" t="n"/>
    </row>
    <row r="1091" hidden="1" outlineLevel="1" s="191">
      <c r="P1091" s="628" t="n"/>
      <c r="Q1091" s="628" t="n"/>
      <c r="R1091" s="628" t="n"/>
      <c r="S1091" s="628" t="n"/>
      <c r="T1091" s="628" t="n"/>
      <c r="U1091" s="628" t="n"/>
      <c r="V1091" s="628" t="n"/>
      <c r="W1091" s="628" t="n"/>
      <c r="X1091" s="628" t="n"/>
      <c r="Y1091" s="650" t="n"/>
      <c r="Z1091" s="650" t="n"/>
      <c r="AA1091" s="650" t="n"/>
      <c r="AB1091" s="650" t="n"/>
      <c r="AC1091" s="613" t="n"/>
      <c r="AD1091" s="613" t="n"/>
      <c r="AE1091" s="613" t="n"/>
      <c r="AF1091" s="613" t="n"/>
      <c r="AG1091" s="626" t="n"/>
      <c r="AH1091" s="626" t="n"/>
      <c r="AI1091" s="626" t="n"/>
      <c r="AJ1091" s="626" t="n"/>
      <c r="AK1091" s="626" t="n"/>
      <c r="AL1091" s="626" t="n"/>
      <c r="AM1091" s="626" t="n"/>
      <c r="AN1091" s="626" t="n"/>
      <c r="AO1091" s="626" t="n"/>
      <c r="AP1091" s="369" t="n"/>
      <c r="AQ1091" s="369" t="n"/>
      <c r="AR1091" s="369" t="n"/>
      <c r="AS1091" s="369" t="n"/>
      <c r="AT1091" s="370" t="n"/>
      <c r="AU1091" s="370" t="n"/>
      <c r="AV1091" s="370" t="n"/>
      <c r="AW1091" s="370" t="n"/>
      <c r="BJ1091">
        <f>O1091</f>
        <v/>
      </c>
      <c r="BK1091">
        <f>SUM(AG1091:AW1091)</f>
        <v/>
      </c>
      <c r="BL1091" s="531">
        <f>BJ1091-BK1091</f>
        <v/>
      </c>
      <c r="BM1091" s="201" t="n"/>
    </row>
    <row r="1092" hidden="1" outlineLevel="1" s="191">
      <c r="P1092" s="628" t="n"/>
      <c r="Q1092" s="628" t="n"/>
      <c r="R1092" s="628" t="n"/>
      <c r="S1092" s="628" t="n"/>
      <c r="T1092" s="628" t="n"/>
      <c r="U1092" s="628" t="n"/>
      <c r="V1092" s="628" t="n"/>
      <c r="W1092" s="628" t="n"/>
      <c r="X1092" s="628" t="n"/>
      <c r="Y1092" s="650" t="n"/>
      <c r="Z1092" s="650" t="n"/>
      <c r="AA1092" s="650" t="n"/>
      <c r="AB1092" s="650" t="n"/>
      <c r="AC1092" s="613" t="n"/>
      <c r="AD1092" s="613" t="n"/>
      <c r="AE1092" s="613" t="n"/>
      <c r="AF1092" s="613" t="n"/>
      <c r="AG1092" s="626" t="n"/>
      <c r="AH1092" s="626" t="n"/>
      <c r="AI1092" s="626" t="n"/>
      <c r="AJ1092" s="626" t="n"/>
      <c r="AK1092" s="626" t="n"/>
      <c r="AL1092" s="626" t="n"/>
      <c r="AM1092" s="626" t="n"/>
      <c r="AN1092" s="626" t="n"/>
      <c r="AO1092" s="626" t="n"/>
      <c r="AP1092" s="369" t="n"/>
      <c r="AQ1092" s="369" t="n"/>
      <c r="AR1092" s="369" t="n"/>
      <c r="AS1092" s="369" t="n"/>
      <c r="AT1092" s="370" t="n"/>
      <c r="AU1092" s="370" t="n"/>
      <c r="AV1092" s="370" t="n"/>
      <c r="AW1092" s="370" t="n"/>
      <c r="BJ1092">
        <f>O1092</f>
        <v/>
      </c>
      <c r="BK1092">
        <f>SUM(AG1092:AW1092)</f>
        <v/>
      </c>
      <c r="BL1092" s="531">
        <f>BJ1092-BK1092</f>
        <v/>
      </c>
      <c r="BM1092" s="201" t="n"/>
    </row>
    <row r="1093" hidden="1" outlineLevel="1" s="191">
      <c r="P1093" s="628" t="n"/>
      <c r="Q1093" s="628" t="n"/>
      <c r="R1093" s="628" t="n"/>
      <c r="S1093" s="628" t="n"/>
      <c r="T1093" s="628" t="n"/>
      <c r="U1093" s="628" t="n"/>
      <c r="V1093" s="628" t="n"/>
      <c r="W1093" s="628" t="n"/>
      <c r="X1093" s="628" t="n"/>
      <c r="Y1093" s="650" t="n"/>
      <c r="Z1093" s="650" t="n"/>
      <c r="AA1093" s="650" t="n"/>
      <c r="AB1093" s="650" t="n"/>
      <c r="AC1093" s="613" t="n"/>
      <c r="AD1093" s="613" t="n"/>
      <c r="AE1093" s="613" t="n"/>
      <c r="AF1093" s="613" t="n"/>
      <c r="AG1093" s="626" t="n"/>
      <c r="AH1093" s="626" t="n"/>
      <c r="AI1093" s="626" t="n"/>
      <c r="AJ1093" s="626" t="n"/>
      <c r="AK1093" s="626" t="n"/>
      <c r="AL1093" s="626" t="n"/>
      <c r="AM1093" s="626" t="n"/>
      <c r="AN1093" s="626" t="n"/>
      <c r="AO1093" s="626" t="n"/>
      <c r="AP1093" s="369" t="n"/>
      <c r="AQ1093" s="369" t="n"/>
      <c r="AR1093" s="369" t="n"/>
      <c r="AS1093" s="369" t="n"/>
      <c r="AT1093" s="370" t="n"/>
      <c r="AU1093" s="370" t="n"/>
      <c r="AV1093" s="370" t="n"/>
      <c r="AW1093" s="370" t="n"/>
      <c r="BJ1093">
        <f>O1093</f>
        <v/>
      </c>
      <c r="BK1093">
        <f>SUM(AG1093:AW1093)</f>
        <v/>
      </c>
      <c r="BL1093" s="531">
        <f>BJ1093-BK1093</f>
        <v/>
      </c>
      <c r="BM1093" s="201" t="n"/>
    </row>
    <row r="1094" hidden="1" outlineLevel="1" s="191">
      <c r="P1094" s="628" t="n"/>
      <c r="Q1094" s="628" t="n"/>
      <c r="R1094" s="628" t="n"/>
      <c r="S1094" s="628" t="n"/>
      <c r="T1094" s="628" t="n"/>
      <c r="U1094" s="628" t="n"/>
      <c r="V1094" s="628" t="n"/>
      <c r="W1094" s="628" t="n"/>
      <c r="X1094" s="628" t="n"/>
      <c r="Y1094" s="650" t="n"/>
      <c r="Z1094" s="650" t="n"/>
      <c r="AA1094" s="650" t="n"/>
      <c r="AB1094" s="650" t="n"/>
      <c r="AC1094" s="613" t="n"/>
      <c r="AD1094" s="613" t="n"/>
      <c r="AE1094" s="613" t="n"/>
      <c r="AF1094" s="613" t="n"/>
      <c r="AG1094" s="626" t="n"/>
      <c r="AH1094" s="626" t="n"/>
      <c r="AI1094" s="626" t="n"/>
      <c r="AJ1094" s="626" t="n"/>
      <c r="AK1094" s="626" t="n"/>
      <c r="AL1094" s="626" t="n"/>
      <c r="AM1094" s="626" t="n"/>
      <c r="AN1094" s="626" t="n"/>
      <c r="AO1094" s="626" t="n"/>
      <c r="AP1094" s="369" t="n"/>
      <c r="AQ1094" s="369" t="n"/>
      <c r="AR1094" s="369" t="n"/>
      <c r="AS1094" s="369" t="n"/>
      <c r="AT1094" s="370" t="n"/>
      <c r="AU1094" s="370" t="n"/>
      <c r="AV1094" s="370" t="n"/>
      <c r="AW1094" s="370" t="n"/>
      <c r="BJ1094">
        <f>O1094</f>
        <v/>
      </c>
      <c r="BK1094">
        <f>SUM(AG1094:AW1094)</f>
        <v/>
      </c>
      <c r="BL1094" s="531">
        <f>BJ1094-BK1094</f>
        <v/>
      </c>
      <c r="BM1094" s="201" t="n"/>
    </row>
    <row r="1095" hidden="1" outlineLevel="1" s="191">
      <c r="P1095" s="628" t="n"/>
      <c r="Q1095" s="628" t="n"/>
      <c r="R1095" s="628" t="n"/>
      <c r="S1095" s="628" t="n"/>
      <c r="T1095" s="628" t="n"/>
      <c r="U1095" s="628" t="n"/>
      <c r="V1095" s="628" t="n"/>
      <c r="W1095" s="628" t="n"/>
      <c r="X1095" s="628" t="n"/>
      <c r="Y1095" s="650" t="n"/>
      <c r="Z1095" s="650" t="n"/>
      <c r="AA1095" s="650" t="n"/>
      <c r="AB1095" s="650" t="n"/>
      <c r="AC1095" s="613" t="n"/>
      <c r="AD1095" s="613" t="n"/>
      <c r="AE1095" s="613" t="n"/>
      <c r="AF1095" s="613" t="n"/>
      <c r="AG1095" s="626" t="n"/>
      <c r="AH1095" s="626" t="n"/>
      <c r="AI1095" s="626" t="n"/>
      <c r="AJ1095" s="626" t="n"/>
      <c r="AK1095" s="626" t="n"/>
      <c r="AL1095" s="626" t="n"/>
      <c r="AM1095" s="626" t="n"/>
      <c r="AN1095" s="626" t="n"/>
      <c r="AO1095" s="626" t="n"/>
      <c r="AP1095" s="369" t="n"/>
      <c r="AQ1095" s="369" t="n"/>
      <c r="AR1095" s="369" t="n"/>
      <c r="AS1095" s="369" t="n"/>
      <c r="AT1095" s="370" t="n"/>
      <c r="AU1095" s="370" t="n"/>
      <c r="AV1095" s="370" t="n"/>
      <c r="AW1095" s="370" t="n"/>
      <c r="BJ1095">
        <f>O1095</f>
        <v/>
      </c>
      <c r="BK1095">
        <f>SUM(AG1095:AW1095)</f>
        <v/>
      </c>
      <c r="BL1095" s="531">
        <f>BJ1095-BK1095</f>
        <v/>
      </c>
      <c r="BM1095" s="201" t="n"/>
    </row>
    <row r="1096" hidden="1" outlineLevel="1" s="191">
      <c r="P1096" s="628" t="n"/>
      <c r="Q1096" s="628" t="n"/>
      <c r="R1096" s="628" t="n"/>
      <c r="S1096" s="628" t="n"/>
      <c r="T1096" s="628" t="n"/>
      <c r="U1096" s="628" t="n"/>
      <c r="V1096" s="628" t="n"/>
      <c r="W1096" s="628" t="n"/>
      <c r="X1096" s="628" t="n"/>
      <c r="Y1096" s="650" t="n"/>
      <c r="Z1096" s="650" t="n"/>
      <c r="AA1096" s="650" t="n"/>
      <c r="AB1096" s="650" t="n"/>
      <c r="AC1096" s="613" t="n"/>
      <c r="AD1096" s="613" t="n"/>
      <c r="AE1096" s="613" t="n"/>
      <c r="AF1096" s="613" t="n"/>
      <c r="AG1096" s="626" t="n"/>
      <c r="AH1096" s="626" t="n"/>
      <c r="AI1096" s="626" t="n"/>
      <c r="AJ1096" s="626" t="n"/>
      <c r="AK1096" s="626" t="n"/>
      <c r="AL1096" s="626" t="n"/>
      <c r="AM1096" s="626" t="n"/>
      <c r="AN1096" s="626" t="n"/>
      <c r="AO1096" s="626" t="n"/>
      <c r="AP1096" s="369" t="n"/>
      <c r="AQ1096" s="369" t="n"/>
      <c r="AR1096" s="369" t="n"/>
      <c r="AS1096" s="369" t="n"/>
      <c r="AT1096" s="370" t="n"/>
      <c r="AU1096" s="370" t="n"/>
      <c r="AV1096" s="370" t="n"/>
      <c r="AW1096" s="370" t="n"/>
      <c r="BJ1096">
        <f>O1096</f>
        <v/>
      </c>
      <c r="BK1096">
        <f>SUM(AG1096:AW1096)</f>
        <v/>
      </c>
      <c r="BL1096" s="531">
        <f>BJ1096-BK1096</f>
        <v/>
      </c>
      <c r="BM1096" s="201" t="n"/>
    </row>
    <row r="1097" hidden="1" outlineLevel="1" s="191">
      <c r="P1097" s="628" t="n"/>
      <c r="Q1097" s="628" t="n"/>
      <c r="R1097" s="628" t="n"/>
      <c r="S1097" s="628" t="n"/>
      <c r="T1097" s="628" t="n"/>
      <c r="U1097" s="628" t="n"/>
      <c r="V1097" s="628" t="n"/>
      <c r="W1097" s="628" t="n"/>
      <c r="X1097" s="628" t="n"/>
      <c r="Y1097" s="650" t="n"/>
      <c r="Z1097" s="650" t="n"/>
      <c r="AA1097" s="650" t="n"/>
      <c r="AB1097" s="650" t="n"/>
      <c r="AC1097" s="613" t="n"/>
      <c r="AD1097" s="613" t="n"/>
      <c r="AE1097" s="613" t="n"/>
      <c r="AF1097" s="613" t="n"/>
      <c r="AG1097" s="626" t="n"/>
      <c r="AH1097" s="626" t="n"/>
      <c r="AI1097" s="626" t="n"/>
      <c r="AJ1097" s="626" t="n"/>
      <c r="AK1097" s="626" t="n"/>
      <c r="AL1097" s="626" t="n"/>
      <c r="AM1097" s="626" t="n"/>
      <c r="AN1097" s="626" t="n"/>
      <c r="AO1097" s="626" t="n"/>
      <c r="AP1097" s="369" t="n"/>
      <c r="AQ1097" s="369" t="n"/>
      <c r="AR1097" s="369" t="n"/>
      <c r="AS1097" s="369" t="n"/>
      <c r="AT1097" s="370" t="n"/>
      <c r="AU1097" s="370" t="n"/>
      <c r="AV1097" s="370" t="n"/>
      <c r="AW1097" s="370" t="n"/>
      <c r="BJ1097">
        <f>O1097</f>
        <v/>
      </c>
      <c r="BK1097">
        <f>SUM(AG1097:AW1097)</f>
        <v/>
      </c>
      <c r="BL1097" s="531">
        <f>BJ1097-BK1097</f>
        <v/>
      </c>
      <c r="BM1097" s="201" t="n"/>
    </row>
    <row r="1098" hidden="1" outlineLevel="1" s="191">
      <c r="A1098" s="264">
        <f>A1000</f>
        <v/>
      </c>
      <c r="P1098" s="628" t="n"/>
      <c r="Q1098" s="628" t="n"/>
      <c r="R1098" s="628" t="n"/>
      <c r="S1098" s="628" t="n"/>
      <c r="T1098" s="628" t="n"/>
      <c r="U1098" s="628" t="n"/>
      <c r="V1098" s="628" t="n"/>
      <c r="W1098" s="628" t="n"/>
      <c r="X1098" s="628" t="n"/>
      <c r="Y1098" s="650" t="n"/>
      <c r="Z1098" s="650" t="n"/>
      <c r="AA1098" s="650" t="n"/>
      <c r="AB1098" s="650" t="n"/>
      <c r="AC1098" s="613" t="n"/>
      <c r="AD1098" s="613" t="n"/>
      <c r="AE1098" s="613" t="n"/>
      <c r="AF1098" s="613" t="n"/>
      <c r="AG1098" s="626" t="n"/>
      <c r="AH1098" s="626" t="n"/>
      <c r="AI1098" s="626" t="n"/>
      <c r="AJ1098" s="626" t="n"/>
      <c r="AK1098" s="626" t="n"/>
      <c r="AL1098" s="626" t="n"/>
      <c r="AM1098" s="626" t="n"/>
      <c r="AN1098" s="626" t="n"/>
      <c r="AO1098" s="626" t="n"/>
      <c r="AP1098" s="369" t="n"/>
      <c r="AQ1098" s="369" t="n"/>
      <c r="AR1098" s="369" t="n"/>
      <c r="AS1098" s="369" t="n"/>
      <c r="AT1098" s="370" t="n"/>
      <c r="AU1098" s="370" t="n"/>
      <c r="AV1098" s="370" t="n"/>
      <c r="AW1098" s="370" t="n"/>
      <c r="BJ1098">
        <f>O1098</f>
        <v/>
      </c>
      <c r="BK1098">
        <f>SUM(AG1098:AW1098)</f>
        <v/>
      </c>
      <c r="BL1098" s="531">
        <f>BJ1098-BK1098</f>
        <v/>
      </c>
      <c r="BM1098" s="201" t="n"/>
    </row>
    <row r="1099" collapsed="1" s="191">
      <c r="P1099" s="628" t="n"/>
      <c r="Q1099" s="628" t="n"/>
      <c r="R1099" s="628" t="n"/>
      <c r="S1099" s="628" t="n"/>
      <c r="T1099" s="628" t="n"/>
      <c r="U1099" s="628" t="n"/>
      <c r="V1099" s="628" t="n"/>
      <c r="W1099" s="628" t="n"/>
      <c r="X1099" s="628" t="n"/>
      <c r="Y1099" s="650" t="n"/>
      <c r="Z1099" s="650" t="n"/>
      <c r="AA1099" s="650" t="n"/>
      <c r="AB1099" s="650" t="n"/>
      <c r="AC1099" s="613" t="n"/>
      <c r="AD1099" s="613" t="n"/>
      <c r="AE1099" s="613" t="n"/>
      <c r="AF1099" s="613" t="n"/>
      <c r="AG1099" s="626" t="n"/>
      <c r="AH1099" s="626" t="n"/>
      <c r="AI1099" s="626" t="n"/>
      <c r="AJ1099" s="626" t="n"/>
      <c r="AK1099" s="626" t="n"/>
      <c r="AL1099" s="626" t="n"/>
      <c r="AM1099" s="626" t="n"/>
      <c r="AN1099" s="626" t="n"/>
      <c r="AO1099" s="626" t="n"/>
      <c r="AP1099" s="369" t="n"/>
      <c r="AQ1099" s="369" t="n"/>
      <c r="AR1099" s="369" t="n"/>
      <c r="AS1099" s="369" t="n"/>
      <c r="AT1099" s="370" t="n"/>
      <c r="AU1099" s="370" t="n"/>
      <c r="AV1099" s="370" t="n"/>
      <c r="AW1099" s="370" t="n"/>
      <c r="BJ1099">
        <f>O1099</f>
        <v/>
      </c>
      <c r="BK1099">
        <f>SUM(AG1099:AW1099)</f>
        <v/>
      </c>
      <c r="BL1099" s="531">
        <f>BJ1099-BK1099</f>
        <v/>
      </c>
      <c r="BM1099" s="201">
        <f>SUM(BL1100:BL1198)</f>
        <v/>
      </c>
    </row>
    <row r="1100" ht="15.6" customHeight="1" s="191">
      <c r="A1100" s="259">
        <f>XI_Wdrożenie!A3</f>
        <v/>
      </c>
      <c r="B1100" s="260" t="n"/>
      <c r="C1100" s="261" t="n"/>
      <c r="D1100" s="276" t="n"/>
      <c r="E1100" s="277">
        <f>VLOOKUP(A1100,Listy!A:C,2,FALSE) &amp; "   :  " &amp; VLOOKUP(A1100,Listy!A:C,3,FALSE)</f>
        <v/>
      </c>
      <c r="F1100" s="538" t="n"/>
      <c r="P1100" s="628" t="n"/>
      <c r="Q1100" s="628" t="n"/>
      <c r="R1100" s="628" t="n"/>
      <c r="S1100" s="628" t="n"/>
      <c r="T1100" s="628" t="n"/>
      <c r="U1100" s="628" t="n"/>
      <c r="V1100" s="628" t="n"/>
      <c r="W1100" s="628" t="n"/>
      <c r="X1100" s="628" t="n"/>
      <c r="Y1100" s="650" t="n"/>
      <c r="Z1100" s="650" t="n"/>
      <c r="AA1100" s="650" t="n"/>
      <c r="AB1100" s="650" t="n"/>
      <c r="AC1100" s="613" t="n"/>
      <c r="AD1100" s="613" t="n"/>
      <c r="AE1100" s="613" t="n"/>
      <c r="AF1100" s="613" t="n"/>
      <c r="AG1100" s="626" t="n"/>
      <c r="AH1100" s="626" t="n"/>
      <c r="AI1100" s="626" t="n"/>
      <c r="AJ1100" s="626" t="n"/>
      <c r="AK1100" s="626" t="n"/>
      <c r="AL1100" s="626" t="n"/>
      <c r="AM1100" s="626" t="n"/>
      <c r="AN1100" s="626" t="n"/>
      <c r="AO1100" s="626" t="n"/>
      <c r="AP1100" s="369" t="n"/>
      <c r="AQ1100" s="369" t="n"/>
      <c r="AR1100" s="369" t="n"/>
      <c r="AS1100" s="369" t="n"/>
      <c r="AT1100" s="370" t="n"/>
      <c r="AU1100" s="370" t="n"/>
      <c r="AV1100" s="370" t="n"/>
      <c r="AW1100" s="370" t="n"/>
      <c r="BJ1100">
        <f>O1100</f>
        <v/>
      </c>
      <c r="BK1100">
        <f>SUM(AG1100:AW1100)</f>
        <v/>
      </c>
      <c r="BL1100" s="531">
        <f>BJ1100-BK1100</f>
        <v/>
      </c>
      <c r="BM1100" s="201">
        <f>SUM(BL1101:BL1199)</f>
        <v/>
      </c>
    </row>
    <row r="1101" hidden="1" outlineLevel="1" s="191">
      <c r="A1101" s="275">
        <f>XI_Wdrożenie!A4</f>
        <v/>
      </c>
      <c r="B1101" s="275">
        <f>XI_Wdrożenie!B4</f>
        <v/>
      </c>
      <c r="C1101" s="275">
        <f>XI_Wdrożenie!C4</f>
        <v/>
      </c>
      <c r="D1101" s="275">
        <f>XI_Wdrożenie!D4</f>
        <v/>
      </c>
      <c r="E1101" s="275">
        <f>XI_Wdrożenie!E4</f>
        <v/>
      </c>
      <c r="F1101" s="275">
        <f>XI_Wdrożenie!F4</f>
        <v/>
      </c>
      <c r="G1101" s="275">
        <f>XI_Wdrożenie!G4</f>
        <v/>
      </c>
      <c r="H1101" s="275">
        <f>XI_Wdrożenie!H4</f>
        <v/>
      </c>
      <c r="I1101" s="275">
        <f>XI_Wdrożenie!I4</f>
        <v/>
      </c>
      <c r="J1101" s="275">
        <f>XI_Wdrożenie!J4</f>
        <v/>
      </c>
      <c r="K1101" s="275">
        <f>XI_Wdrożenie!K4</f>
        <v/>
      </c>
      <c r="L1101" s="275">
        <f>XI_Wdrożenie!L4</f>
        <v/>
      </c>
      <c r="M1101" s="275">
        <f>XI_Wdrożenie!M4</f>
        <v/>
      </c>
      <c r="N1101" s="275">
        <f>XI_Wdrożenie!N4</f>
        <v/>
      </c>
      <c r="O1101" s="275">
        <f>XI_Wdrożenie!O4</f>
        <v/>
      </c>
      <c r="P1101" s="632">
        <f>XI_Wdrożenie!P4</f>
        <v/>
      </c>
      <c r="Q1101" s="632">
        <f>XI_Wdrożenie!Q4</f>
        <v/>
      </c>
      <c r="R1101" s="632">
        <f>XI_Wdrożenie!R4</f>
        <v/>
      </c>
      <c r="S1101" s="632">
        <f>XI_Wdrożenie!S4</f>
        <v/>
      </c>
      <c r="T1101" s="632">
        <f>XI_Wdrożenie!T4</f>
        <v/>
      </c>
      <c r="U1101" s="632">
        <f>XI_Wdrożenie!U4</f>
        <v/>
      </c>
      <c r="V1101" s="632">
        <f>XI_Wdrożenie!V4</f>
        <v/>
      </c>
      <c r="W1101" s="632">
        <f>XI_Wdrożenie!W4</f>
        <v/>
      </c>
      <c r="X1101" s="632">
        <f>XI_Wdrożenie!X4</f>
        <v/>
      </c>
      <c r="Y1101" s="654">
        <f>XI_Wdrożenie!Y4</f>
        <v/>
      </c>
      <c r="Z1101" s="654">
        <f>XI_Wdrożenie!Z4</f>
        <v/>
      </c>
      <c r="AA1101" s="654">
        <f>XI_Wdrożenie!AA4</f>
        <v/>
      </c>
      <c r="AB1101" s="654">
        <f>XI_Wdrożenie!AB4</f>
        <v/>
      </c>
      <c r="AC1101" s="617">
        <f>XI_Wdrożenie!AC4</f>
        <v/>
      </c>
      <c r="AD1101" s="617">
        <f>XI_Wdrożenie!AD4</f>
        <v/>
      </c>
      <c r="AE1101" s="617">
        <f>XI_Wdrożenie!AE4</f>
        <v/>
      </c>
      <c r="AF1101" s="617">
        <f>XI_Wdrożenie!AF4</f>
        <v/>
      </c>
      <c r="AG1101" s="259">
        <f>XI_Wdrożenie!AG4</f>
        <v/>
      </c>
      <c r="AH1101" s="259">
        <f>XI_Wdrożenie!AH4</f>
        <v/>
      </c>
      <c r="AI1101" s="259">
        <f>XI_Wdrożenie!AI4</f>
        <v/>
      </c>
      <c r="AJ1101" s="259">
        <f>XI_Wdrożenie!AJ4</f>
        <v/>
      </c>
      <c r="AK1101" s="259">
        <f>XI_Wdrożenie!AK4</f>
        <v/>
      </c>
      <c r="AL1101" s="259">
        <f>XI_Wdrożenie!AL4</f>
        <v/>
      </c>
      <c r="AM1101" s="259">
        <f>XI_Wdrożenie!AM4</f>
        <v/>
      </c>
      <c r="AN1101" s="259">
        <f>XI_Wdrożenie!AN4</f>
        <v/>
      </c>
      <c r="AO1101" s="259">
        <f>XI_Wdrożenie!AO4</f>
        <v/>
      </c>
      <c r="AP1101" s="647">
        <f>XI_Wdrożenie!AP4</f>
        <v/>
      </c>
      <c r="AQ1101" s="647">
        <f>XI_Wdrożenie!AQ4</f>
        <v/>
      </c>
      <c r="AR1101" s="647">
        <f>XI_Wdrożenie!AR4</f>
        <v/>
      </c>
      <c r="AS1101" s="647">
        <f>XI_Wdrożenie!AS4</f>
        <v/>
      </c>
      <c r="AT1101" s="623">
        <f>XI_Wdrożenie!AT4</f>
        <v/>
      </c>
      <c r="AU1101" s="623">
        <f>XI_Wdrożenie!AU4</f>
        <v/>
      </c>
      <c r="AV1101" s="623">
        <f>XI_Wdrożenie!AV4</f>
        <v/>
      </c>
      <c r="AW1101" s="623">
        <f>XI_Wdrożenie!AW4</f>
        <v/>
      </c>
      <c r="AX1101" s="275">
        <f>XI_Wdrożenie!AX4</f>
        <v/>
      </c>
      <c r="AY1101" s="275">
        <f>XI_Wdrożenie!AY4</f>
        <v/>
      </c>
      <c r="AZ1101" s="275">
        <f>XI_Wdrożenie!AZ4</f>
        <v/>
      </c>
      <c r="BA1101" s="275">
        <f>XI_Wdrożenie!BA4</f>
        <v/>
      </c>
      <c r="BB1101" s="275">
        <f>XI_Wdrożenie!BB4</f>
        <v/>
      </c>
      <c r="BC1101" s="275">
        <f>XI_Wdrożenie!BC4</f>
        <v/>
      </c>
      <c r="BD1101" s="275">
        <f>XI_Wdrożenie!BD4</f>
        <v/>
      </c>
      <c r="BE1101" s="275">
        <f>XI_Wdrożenie!BE4</f>
        <v/>
      </c>
      <c r="BF1101" s="275">
        <f>XI_Wdrożenie!BF4</f>
        <v/>
      </c>
      <c r="BG1101" s="275">
        <f>XI_Wdrożenie!BG4</f>
        <v/>
      </c>
      <c r="BH1101" s="275">
        <f>XI_Wdrożenie!BH4</f>
        <v/>
      </c>
      <c r="BI1101" s="275">
        <f>XI_Wdrożenie!BI4</f>
        <v/>
      </c>
      <c r="BJ1101">
        <f>O1101</f>
        <v/>
      </c>
      <c r="BK1101">
        <f>SUM(AG1101:AW1101)</f>
        <v/>
      </c>
      <c r="BL1101" s="531">
        <f>BJ1101-BK1101</f>
        <v/>
      </c>
      <c r="BM1101" s="201" t="n"/>
    </row>
    <row r="1102" hidden="1" outlineLevel="1" s="191">
      <c r="A1102" s="275">
        <f>XI_Wdrożenie!A5</f>
        <v/>
      </c>
      <c r="B1102" s="275">
        <f>XI_Wdrożenie!B5</f>
        <v/>
      </c>
      <c r="C1102" s="275">
        <f>XI_Wdrożenie!C5</f>
        <v/>
      </c>
      <c r="D1102" s="275">
        <f>XI_Wdrożenie!D5</f>
        <v/>
      </c>
      <c r="E1102" s="275">
        <f>XI_Wdrożenie!E5</f>
        <v/>
      </c>
      <c r="F1102" s="275">
        <f>XI_Wdrożenie!F5</f>
        <v/>
      </c>
      <c r="G1102" s="275">
        <f>XI_Wdrożenie!G5</f>
        <v/>
      </c>
      <c r="H1102" s="275">
        <f>XI_Wdrożenie!H5</f>
        <v/>
      </c>
      <c r="I1102" s="275">
        <f>XI_Wdrożenie!I5</f>
        <v/>
      </c>
      <c r="J1102" s="275">
        <f>XI_Wdrożenie!J5</f>
        <v/>
      </c>
      <c r="K1102" s="672">
        <f>XI_Wdrożenie!K5</f>
        <v/>
      </c>
      <c r="L1102" s="672">
        <f>XI_Wdrożenie!L5</f>
        <v/>
      </c>
      <c r="M1102" s="275">
        <f>XI_Wdrożenie!M5</f>
        <v/>
      </c>
      <c r="N1102" s="275">
        <f>XI_Wdrożenie!N5</f>
        <v/>
      </c>
      <c r="O1102" s="275">
        <f>XI_Wdrożenie!O5</f>
        <v/>
      </c>
      <c r="P1102" s="632">
        <f>XI_Wdrożenie!P5</f>
        <v/>
      </c>
      <c r="Q1102" s="632">
        <f>XI_Wdrożenie!Q5</f>
        <v/>
      </c>
      <c r="R1102" s="632">
        <f>XI_Wdrożenie!R5</f>
        <v/>
      </c>
      <c r="S1102" s="632">
        <f>XI_Wdrożenie!S5</f>
        <v/>
      </c>
      <c r="T1102" s="632">
        <f>XI_Wdrożenie!T5</f>
        <v/>
      </c>
      <c r="U1102" s="632">
        <f>XI_Wdrożenie!U5</f>
        <v/>
      </c>
      <c r="V1102" s="632">
        <f>XI_Wdrożenie!V5</f>
        <v/>
      </c>
      <c r="W1102" s="632">
        <f>XI_Wdrożenie!W5</f>
        <v/>
      </c>
      <c r="X1102" s="632">
        <f>XI_Wdrożenie!X5</f>
        <v/>
      </c>
      <c r="Y1102" s="654">
        <f>XI_Wdrożenie!Y5</f>
        <v/>
      </c>
      <c r="Z1102" s="654">
        <f>XI_Wdrożenie!Z5</f>
        <v/>
      </c>
      <c r="AA1102" s="654">
        <f>XI_Wdrożenie!AA5</f>
        <v/>
      </c>
      <c r="AB1102" s="654">
        <f>XI_Wdrożenie!AB5</f>
        <v/>
      </c>
      <c r="AC1102" s="617">
        <f>XI_Wdrożenie!AC5</f>
        <v/>
      </c>
      <c r="AD1102" s="617">
        <f>XI_Wdrożenie!AD5</f>
        <v/>
      </c>
      <c r="AE1102" s="617">
        <f>XI_Wdrożenie!AE5</f>
        <v/>
      </c>
      <c r="AF1102" s="617">
        <f>XI_Wdrożenie!AF5</f>
        <v/>
      </c>
      <c r="AG1102" s="259">
        <f>XI_Wdrożenie!AG5</f>
        <v/>
      </c>
      <c r="AH1102" s="259">
        <f>XI_Wdrożenie!AH5</f>
        <v/>
      </c>
      <c r="AI1102" s="259">
        <f>XI_Wdrożenie!AI5</f>
        <v/>
      </c>
      <c r="AJ1102" s="259">
        <f>XI_Wdrożenie!AJ5</f>
        <v/>
      </c>
      <c r="AK1102" s="259">
        <f>XI_Wdrożenie!AK5</f>
        <v/>
      </c>
      <c r="AL1102" s="259">
        <f>XI_Wdrożenie!AL5</f>
        <v/>
      </c>
      <c r="AM1102" s="259">
        <f>XI_Wdrożenie!AM5</f>
        <v/>
      </c>
      <c r="AN1102" s="259">
        <f>XI_Wdrożenie!AN5</f>
        <v/>
      </c>
      <c r="AO1102" s="259">
        <f>XI_Wdrożenie!AO5</f>
        <v/>
      </c>
      <c r="AP1102" s="647">
        <f>XI_Wdrożenie!AP5</f>
        <v/>
      </c>
      <c r="AQ1102" s="647">
        <f>XI_Wdrożenie!AQ5</f>
        <v/>
      </c>
      <c r="AR1102" s="647">
        <f>XI_Wdrożenie!AR5</f>
        <v/>
      </c>
      <c r="AS1102" s="647">
        <f>XI_Wdrożenie!AS5</f>
        <v/>
      </c>
      <c r="AT1102" s="623">
        <f>XI_Wdrożenie!AT5</f>
        <v/>
      </c>
      <c r="AU1102" s="623">
        <f>XI_Wdrożenie!AU5</f>
        <v/>
      </c>
      <c r="AV1102" s="623">
        <f>XI_Wdrożenie!AV5</f>
        <v/>
      </c>
      <c r="AW1102" s="623">
        <f>XI_Wdrożenie!AW5</f>
        <v/>
      </c>
      <c r="AX1102" s="275">
        <f>XI_Wdrożenie!AX5</f>
        <v/>
      </c>
      <c r="AY1102" s="275">
        <f>XI_Wdrożenie!AY5</f>
        <v/>
      </c>
      <c r="AZ1102" s="275">
        <f>XI_Wdrożenie!AZ5</f>
        <v/>
      </c>
      <c r="BA1102" s="275">
        <f>XI_Wdrożenie!BA5</f>
        <v/>
      </c>
      <c r="BB1102" s="275">
        <f>XI_Wdrożenie!BB5</f>
        <v/>
      </c>
      <c r="BC1102" s="275">
        <f>XI_Wdrożenie!BC5</f>
        <v/>
      </c>
      <c r="BD1102" s="275">
        <f>XI_Wdrożenie!BD5</f>
        <v/>
      </c>
      <c r="BE1102" s="275">
        <f>XI_Wdrożenie!BE5</f>
        <v/>
      </c>
      <c r="BF1102" s="275">
        <f>XI_Wdrożenie!BF5</f>
        <v/>
      </c>
      <c r="BG1102" s="275">
        <f>XI_Wdrożenie!BG5</f>
        <v/>
      </c>
      <c r="BH1102" s="275">
        <f>XI_Wdrożenie!BH5</f>
        <v/>
      </c>
      <c r="BI1102" s="275">
        <f>XI_Wdrożenie!BI5</f>
        <v/>
      </c>
      <c r="BJ1102">
        <f>O1102</f>
        <v/>
      </c>
      <c r="BK1102">
        <f>SUM(AG1102:AW1102)</f>
        <v/>
      </c>
      <c r="BL1102" s="531">
        <f>BJ1102-BK1102</f>
        <v/>
      </c>
      <c r="BM1102" s="201" t="n"/>
    </row>
    <row r="1103" hidden="1" outlineLevel="1" s="191">
      <c r="A1103" s="275">
        <f>XI_Wdrożenie!A6</f>
        <v/>
      </c>
      <c r="B1103" s="275">
        <f>XI_Wdrożenie!B6</f>
        <v/>
      </c>
      <c r="C1103" s="275">
        <f>XI_Wdrożenie!C6</f>
        <v/>
      </c>
      <c r="D1103" s="275">
        <f>XI_Wdrożenie!D6</f>
        <v/>
      </c>
      <c r="E1103" s="275">
        <f>XI_Wdrożenie!E6</f>
        <v/>
      </c>
      <c r="F1103" s="275">
        <f>XI_Wdrożenie!F6</f>
        <v/>
      </c>
      <c r="G1103" s="275">
        <f>XI_Wdrożenie!G6</f>
        <v/>
      </c>
      <c r="H1103" s="275">
        <f>XI_Wdrożenie!H6</f>
        <v/>
      </c>
      <c r="I1103" s="275">
        <f>XI_Wdrożenie!I6</f>
        <v/>
      </c>
      <c r="J1103" s="275">
        <f>XI_Wdrożenie!J6</f>
        <v/>
      </c>
      <c r="K1103" s="672">
        <f>XI_Wdrożenie!K6</f>
        <v/>
      </c>
      <c r="L1103" s="672">
        <f>XI_Wdrożenie!L6</f>
        <v/>
      </c>
      <c r="M1103" s="275">
        <f>XI_Wdrożenie!M6</f>
        <v/>
      </c>
      <c r="N1103" s="275">
        <f>XI_Wdrożenie!N6</f>
        <v/>
      </c>
      <c r="O1103" s="275">
        <f>XI_Wdrożenie!O6</f>
        <v/>
      </c>
      <c r="P1103" s="632">
        <f>XI_Wdrożenie!P6</f>
        <v/>
      </c>
      <c r="Q1103" s="632">
        <f>XI_Wdrożenie!Q6</f>
        <v/>
      </c>
      <c r="R1103" s="632">
        <f>XI_Wdrożenie!R6</f>
        <v/>
      </c>
      <c r="S1103" s="632">
        <f>XI_Wdrożenie!S6</f>
        <v/>
      </c>
      <c r="T1103" s="632">
        <f>XI_Wdrożenie!T6</f>
        <v/>
      </c>
      <c r="U1103" s="632">
        <f>XI_Wdrożenie!U6</f>
        <v/>
      </c>
      <c r="V1103" s="632">
        <f>XI_Wdrożenie!V6</f>
        <v/>
      </c>
      <c r="W1103" s="632">
        <f>XI_Wdrożenie!W6</f>
        <v/>
      </c>
      <c r="X1103" s="632">
        <f>XI_Wdrożenie!X6</f>
        <v/>
      </c>
      <c r="Y1103" s="654">
        <f>XI_Wdrożenie!Y6</f>
        <v/>
      </c>
      <c r="Z1103" s="654">
        <f>XI_Wdrożenie!Z6</f>
        <v/>
      </c>
      <c r="AA1103" s="654">
        <f>XI_Wdrożenie!AA6</f>
        <v/>
      </c>
      <c r="AB1103" s="654">
        <f>XI_Wdrożenie!AB6</f>
        <v/>
      </c>
      <c r="AC1103" s="617">
        <f>XI_Wdrożenie!AC6</f>
        <v/>
      </c>
      <c r="AD1103" s="617">
        <f>XI_Wdrożenie!AD6</f>
        <v/>
      </c>
      <c r="AE1103" s="617">
        <f>XI_Wdrożenie!AE6</f>
        <v/>
      </c>
      <c r="AF1103" s="617">
        <f>XI_Wdrożenie!AF6</f>
        <v/>
      </c>
      <c r="AG1103" s="259">
        <f>XI_Wdrożenie!AG6</f>
        <v/>
      </c>
      <c r="AH1103" s="259">
        <f>XI_Wdrożenie!AH6</f>
        <v/>
      </c>
      <c r="AI1103" s="259">
        <f>XI_Wdrożenie!AI6</f>
        <v/>
      </c>
      <c r="AJ1103" s="259">
        <f>XI_Wdrożenie!AJ6</f>
        <v/>
      </c>
      <c r="AK1103" s="259">
        <f>XI_Wdrożenie!AK6</f>
        <v/>
      </c>
      <c r="AL1103" s="259">
        <f>XI_Wdrożenie!AL6</f>
        <v/>
      </c>
      <c r="AM1103" s="259">
        <f>XI_Wdrożenie!AM6</f>
        <v/>
      </c>
      <c r="AN1103" s="259">
        <f>XI_Wdrożenie!AN6</f>
        <v/>
      </c>
      <c r="AO1103" s="259">
        <f>XI_Wdrożenie!AO6</f>
        <v/>
      </c>
      <c r="AP1103" s="647">
        <f>XI_Wdrożenie!AP6</f>
        <v/>
      </c>
      <c r="AQ1103" s="647">
        <f>XI_Wdrożenie!AQ6</f>
        <v/>
      </c>
      <c r="AR1103" s="647">
        <f>XI_Wdrożenie!AR6</f>
        <v/>
      </c>
      <c r="AS1103" s="647">
        <f>XI_Wdrożenie!AS6</f>
        <v/>
      </c>
      <c r="AT1103" s="623">
        <f>XI_Wdrożenie!AT6</f>
        <v/>
      </c>
      <c r="AU1103" s="623">
        <f>XI_Wdrożenie!AU6</f>
        <v/>
      </c>
      <c r="AV1103" s="623">
        <f>XI_Wdrożenie!AV6</f>
        <v/>
      </c>
      <c r="AW1103" s="623">
        <f>XI_Wdrożenie!AW6</f>
        <v/>
      </c>
      <c r="AX1103" s="275">
        <f>XI_Wdrożenie!AX6</f>
        <v/>
      </c>
      <c r="AY1103" s="275">
        <f>XI_Wdrożenie!AY6</f>
        <v/>
      </c>
      <c r="AZ1103" s="275">
        <f>XI_Wdrożenie!AZ6</f>
        <v/>
      </c>
      <c r="BA1103" s="275">
        <f>XI_Wdrożenie!BA6</f>
        <v/>
      </c>
      <c r="BB1103" s="275">
        <f>XI_Wdrożenie!BB6</f>
        <v/>
      </c>
      <c r="BC1103" s="275">
        <f>XI_Wdrożenie!BC6</f>
        <v/>
      </c>
      <c r="BD1103" s="275">
        <f>XI_Wdrożenie!BD6</f>
        <v/>
      </c>
      <c r="BE1103" s="275">
        <f>XI_Wdrożenie!BE6</f>
        <v/>
      </c>
      <c r="BF1103" s="275">
        <f>XI_Wdrożenie!BF6</f>
        <v/>
      </c>
      <c r="BG1103" s="275">
        <f>XI_Wdrożenie!BG6</f>
        <v/>
      </c>
      <c r="BH1103" s="275">
        <f>XI_Wdrożenie!BH6</f>
        <v/>
      </c>
      <c r="BI1103" s="275">
        <f>XI_Wdrożenie!BI6</f>
        <v/>
      </c>
      <c r="BJ1103">
        <f>O1103</f>
        <v/>
      </c>
      <c r="BK1103">
        <f>SUM(AG1103:AW1103)</f>
        <v/>
      </c>
      <c r="BL1103" s="531">
        <f>BJ1103-BK1103</f>
        <v/>
      </c>
      <c r="BM1103" s="201" t="n"/>
    </row>
    <row r="1104" hidden="1" outlineLevel="1" s="191">
      <c r="A1104" s="275">
        <f>XI_Wdrożenie!A7</f>
        <v/>
      </c>
      <c r="B1104" s="275">
        <f>XI_Wdrożenie!B7</f>
        <v/>
      </c>
      <c r="C1104" s="275">
        <f>XI_Wdrożenie!C7</f>
        <v/>
      </c>
      <c r="D1104" s="275">
        <f>XI_Wdrożenie!D7</f>
        <v/>
      </c>
      <c r="E1104" s="275">
        <f>XI_Wdrożenie!E7</f>
        <v/>
      </c>
      <c r="F1104" s="275">
        <f>XI_Wdrożenie!F7</f>
        <v/>
      </c>
      <c r="G1104" s="275">
        <f>XI_Wdrożenie!G7</f>
        <v/>
      </c>
      <c r="H1104" s="275">
        <f>XI_Wdrożenie!H7</f>
        <v/>
      </c>
      <c r="I1104" s="275">
        <f>XI_Wdrożenie!I7</f>
        <v/>
      </c>
      <c r="J1104" s="275">
        <f>XI_Wdrożenie!J7</f>
        <v/>
      </c>
      <c r="K1104" s="672">
        <f>XI_Wdrożenie!K7</f>
        <v/>
      </c>
      <c r="L1104" s="672">
        <f>XI_Wdrożenie!L7</f>
        <v/>
      </c>
      <c r="M1104" s="275">
        <f>XI_Wdrożenie!M7</f>
        <v/>
      </c>
      <c r="N1104" s="275">
        <f>XI_Wdrożenie!N7</f>
        <v/>
      </c>
      <c r="O1104" s="275">
        <f>XI_Wdrożenie!O7</f>
        <v/>
      </c>
      <c r="P1104" s="632">
        <f>XI_Wdrożenie!P7</f>
        <v/>
      </c>
      <c r="Q1104" s="632">
        <f>XI_Wdrożenie!Q7</f>
        <v/>
      </c>
      <c r="R1104" s="632">
        <f>XI_Wdrożenie!R7</f>
        <v/>
      </c>
      <c r="S1104" s="632">
        <f>XI_Wdrożenie!S7</f>
        <v/>
      </c>
      <c r="T1104" s="632">
        <f>XI_Wdrożenie!T7</f>
        <v/>
      </c>
      <c r="U1104" s="632">
        <f>XI_Wdrożenie!U7</f>
        <v/>
      </c>
      <c r="V1104" s="632">
        <f>XI_Wdrożenie!V7</f>
        <v/>
      </c>
      <c r="W1104" s="632">
        <f>XI_Wdrożenie!W7</f>
        <v/>
      </c>
      <c r="X1104" s="632">
        <f>XI_Wdrożenie!X7</f>
        <v/>
      </c>
      <c r="Y1104" s="654">
        <f>XI_Wdrożenie!Y7</f>
        <v/>
      </c>
      <c r="Z1104" s="654">
        <f>XI_Wdrożenie!Z7</f>
        <v/>
      </c>
      <c r="AA1104" s="654">
        <f>XI_Wdrożenie!AA7</f>
        <v/>
      </c>
      <c r="AB1104" s="654">
        <f>XI_Wdrożenie!AB7</f>
        <v/>
      </c>
      <c r="AC1104" s="617">
        <f>XI_Wdrożenie!AC7</f>
        <v/>
      </c>
      <c r="AD1104" s="617">
        <f>XI_Wdrożenie!AD7</f>
        <v/>
      </c>
      <c r="AE1104" s="617">
        <f>XI_Wdrożenie!AE7</f>
        <v/>
      </c>
      <c r="AF1104" s="617">
        <f>XI_Wdrożenie!AF7</f>
        <v/>
      </c>
      <c r="AG1104" s="259">
        <f>XI_Wdrożenie!AG7</f>
        <v/>
      </c>
      <c r="AH1104" s="259">
        <f>XI_Wdrożenie!AH7</f>
        <v/>
      </c>
      <c r="AI1104" s="259">
        <f>XI_Wdrożenie!AI7</f>
        <v/>
      </c>
      <c r="AJ1104" s="259">
        <f>XI_Wdrożenie!AJ7</f>
        <v/>
      </c>
      <c r="AK1104" s="259">
        <f>XI_Wdrożenie!AK7</f>
        <v/>
      </c>
      <c r="AL1104" s="259">
        <f>XI_Wdrożenie!AL7</f>
        <v/>
      </c>
      <c r="AM1104" s="259">
        <f>XI_Wdrożenie!AM7</f>
        <v/>
      </c>
      <c r="AN1104" s="259">
        <f>XI_Wdrożenie!AN7</f>
        <v/>
      </c>
      <c r="AO1104" s="259">
        <f>XI_Wdrożenie!AO7</f>
        <v/>
      </c>
      <c r="AP1104" s="647">
        <f>XI_Wdrożenie!AP7</f>
        <v/>
      </c>
      <c r="AQ1104" s="647">
        <f>XI_Wdrożenie!AQ7</f>
        <v/>
      </c>
      <c r="AR1104" s="647">
        <f>XI_Wdrożenie!AR7</f>
        <v/>
      </c>
      <c r="AS1104" s="647">
        <f>XI_Wdrożenie!AS7</f>
        <v/>
      </c>
      <c r="AT1104" s="623">
        <f>XI_Wdrożenie!AT7</f>
        <v/>
      </c>
      <c r="AU1104" s="623">
        <f>XI_Wdrożenie!AU7</f>
        <v/>
      </c>
      <c r="AV1104" s="623">
        <f>XI_Wdrożenie!AV7</f>
        <v/>
      </c>
      <c r="AW1104" s="623">
        <f>XI_Wdrożenie!AW7</f>
        <v/>
      </c>
      <c r="AX1104" s="275">
        <f>XI_Wdrożenie!AX7</f>
        <v/>
      </c>
      <c r="AY1104" s="275">
        <f>XI_Wdrożenie!AY7</f>
        <v/>
      </c>
      <c r="AZ1104" s="275">
        <f>XI_Wdrożenie!AZ7</f>
        <v/>
      </c>
      <c r="BA1104" s="275">
        <f>XI_Wdrożenie!BA7</f>
        <v/>
      </c>
      <c r="BB1104" s="275">
        <f>XI_Wdrożenie!BB7</f>
        <v/>
      </c>
      <c r="BC1104" s="275">
        <f>XI_Wdrożenie!BC7</f>
        <v/>
      </c>
      <c r="BD1104" s="275">
        <f>XI_Wdrożenie!BD7</f>
        <v/>
      </c>
      <c r="BE1104" s="275">
        <f>XI_Wdrożenie!BE7</f>
        <v/>
      </c>
      <c r="BF1104" s="275">
        <f>XI_Wdrożenie!BF7</f>
        <v/>
      </c>
      <c r="BG1104" s="275">
        <f>XI_Wdrożenie!BG7</f>
        <v/>
      </c>
      <c r="BH1104" s="275">
        <f>XI_Wdrożenie!BH7</f>
        <v/>
      </c>
      <c r="BI1104" s="275">
        <f>XI_Wdrożenie!BI7</f>
        <v/>
      </c>
      <c r="BJ1104">
        <f>O1104</f>
        <v/>
      </c>
      <c r="BK1104">
        <f>SUM(AG1104:AW1104)</f>
        <v/>
      </c>
      <c r="BL1104" s="531">
        <f>BJ1104-BK1104</f>
        <v/>
      </c>
      <c r="BM1104" s="201" t="n"/>
    </row>
    <row r="1105" hidden="1" outlineLevel="1" s="191">
      <c r="A1105" s="275">
        <f>XI_Wdrożenie!A8</f>
        <v/>
      </c>
      <c r="B1105" s="275">
        <f>XI_Wdrożenie!B8</f>
        <v/>
      </c>
      <c r="C1105" s="275">
        <f>XI_Wdrożenie!C8</f>
        <v/>
      </c>
      <c r="D1105" s="275">
        <f>XI_Wdrożenie!D8</f>
        <v/>
      </c>
      <c r="E1105" s="275">
        <f>XI_Wdrożenie!E8</f>
        <v/>
      </c>
      <c r="F1105" s="275">
        <f>XI_Wdrożenie!F8</f>
        <v/>
      </c>
      <c r="G1105" s="275">
        <f>XI_Wdrożenie!G8</f>
        <v/>
      </c>
      <c r="H1105" s="275">
        <f>XI_Wdrożenie!H8</f>
        <v/>
      </c>
      <c r="I1105" s="275">
        <f>XI_Wdrożenie!I8</f>
        <v/>
      </c>
      <c r="J1105" s="275">
        <f>XI_Wdrożenie!J8</f>
        <v/>
      </c>
      <c r="K1105" s="672">
        <f>XI_Wdrożenie!K8</f>
        <v/>
      </c>
      <c r="L1105" s="672">
        <f>XI_Wdrożenie!L8</f>
        <v/>
      </c>
      <c r="M1105" s="275">
        <f>XI_Wdrożenie!M8</f>
        <v/>
      </c>
      <c r="N1105" s="275">
        <f>XI_Wdrożenie!N8</f>
        <v/>
      </c>
      <c r="O1105" s="275">
        <f>XI_Wdrożenie!O8</f>
        <v/>
      </c>
      <c r="P1105" s="632">
        <f>XI_Wdrożenie!P8</f>
        <v/>
      </c>
      <c r="Q1105" s="632">
        <f>XI_Wdrożenie!Q8</f>
        <v/>
      </c>
      <c r="R1105" s="632">
        <f>XI_Wdrożenie!R8</f>
        <v/>
      </c>
      <c r="S1105" s="632">
        <f>XI_Wdrożenie!S8</f>
        <v/>
      </c>
      <c r="T1105" s="632">
        <f>XI_Wdrożenie!T8</f>
        <v/>
      </c>
      <c r="U1105" s="632">
        <f>XI_Wdrożenie!U8</f>
        <v/>
      </c>
      <c r="V1105" s="632">
        <f>XI_Wdrożenie!V8</f>
        <v/>
      </c>
      <c r="W1105" s="632">
        <f>XI_Wdrożenie!W8</f>
        <v/>
      </c>
      <c r="X1105" s="632">
        <f>XI_Wdrożenie!X8</f>
        <v/>
      </c>
      <c r="Y1105" s="654">
        <f>XI_Wdrożenie!Y8</f>
        <v/>
      </c>
      <c r="Z1105" s="654">
        <f>XI_Wdrożenie!Z8</f>
        <v/>
      </c>
      <c r="AA1105" s="654">
        <f>XI_Wdrożenie!AA8</f>
        <v/>
      </c>
      <c r="AB1105" s="654">
        <f>XI_Wdrożenie!AB8</f>
        <v/>
      </c>
      <c r="AC1105" s="617">
        <f>XI_Wdrożenie!AC8</f>
        <v/>
      </c>
      <c r="AD1105" s="617">
        <f>XI_Wdrożenie!AD8</f>
        <v/>
      </c>
      <c r="AE1105" s="617">
        <f>XI_Wdrożenie!AE8</f>
        <v/>
      </c>
      <c r="AF1105" s="617">
        <f>XI_Wdrożenie!AF8</f>
        <v/>
      </c>
      <c r="AG1105" s="259">
        <f>XI_Wdrożenie!AG8</f>
        <v/>
      </c>
      <c r="AH1105" s="259">
        <f>XI_Wdrożenie!AH8</f>
        <v/>
      </c>
      <c r="AI1105" s="259">
        <f>XI_Wdrożenie!AI8</f>
        <v/>
      </c>
      <c r="AJ1105" s="259">
        <f>XI_Wdrożenie!AJ8</f>
        <v/>
      </c>
      <c r="AK1105" s="259">
        <f>XI_Wdrożenie!AK8</f>
        <v/>
      </c>
      <c r="AL1105" s="259">
        <f>XI_Wdrożenie!AL8</f>
        <v/>
      </c>
      <c r="AM1105" s="259">
        <f>XI_Wdrożenie!AM8</f>
        <v/>
      </c>
      <c r="AN1105" s="259">
        <f>XI_Wdrożenie!AN8</f>
        <v/>
      </c>
      <c r="AO1105" s="259">
        <f>XI_Wdrożenie!AO8</f>
        <v/>
      </c>
      <c r="AP1105" s="647">
        <f>XI_Wdrożenie!AP8</f>
        <v/>
      </c>
      <c r="AQ1105" s="647">
        <f>XI_Wdrożenie!AQ8</f>
        <v/>
      </c>
      <c r="AR1105" s="647">
        <f>XI_Wdrożenie!AR8</f>
        <v/>
      </c>
      <c r="AS1105" s="647">
        <f>XI_Wdrożenie!AS8</f>
        <v/>
      </c>
      <c r="AT1105" s="623">
        <f>XI_Wdrożenie!AT8</f>
        <v/>
      </c>
      <c r="AU1105" s="623">
        <f>XI_Wdrożenie!AU8</f>
        <v/>
      </c>
      <c r="AV1105" s="623">
        <f>XI_Wdrożenie!AV8</f>
        <v/>
      </c>
      <c r="AW1105" s="623">
        <f>XI_Wdrożenie!AW8</f>
        <v/>
      </c>
      <c r="AX1105" s="275">
        <f>XI_Wdrożenie!AX8</f>
        <v/>
      </c>
      <c r="AY1105" s="275">
        <f>XI_Wdrożenie!AY8</f>
        <v/>
      </c>
      <c r="AZ1105" s="275">
        <f>XI_Wdrożenie!AZ8</f>
        <v/>
      </c>
      <c r="BA1105" s="275">
        <f>XI_Wdrożenie!BA8</f>
        <v/>
      </c>
      <c r="BB1105" s="275">
        <f>XI_Wdrożenie!BB8</f>
        <v/>
      </c>
      <c r="BC1105" s="275">
        <f>XI_Wdrożenie!BC8</f>
        <v/>
      </c>
      <c r="BD1105" s="275">
        <f>XI_Wdrożenie!BD8</f>
        <v/>
      </c>
      <c r="BE1105" s="275">
        <f>XI_Wdrożenie!BE8</f>
        <v/>
      </c>
      <c r="BF1105" s="275">
        <f>XI_Wdrożenie!BF8</f>
        <v/>
      </c>
      <c r="BG1105" s="275">
        <f>XI_Wdrożenie!BG8</f>
        <v/>
      </c>
      <c r="BH1105" s="275">
        <f>XI_Wdrożenie!BH8</f>
        <v/>
      </c>
      <c r="BI1105" s="275">
        <f>XI_Wdrożenie!BI8</f>
        <v/>
      </c>
      <c r="BJ1105">
        <f>O1105</f>
        <v/>
      </c>
      <c r="BK1105">
        <f>SUM(AG1105:AW1105)</f>
        <v/>
      </c>
      <c r="BL1105" s="531">
        <f>BJ1105-BK1105</f>
        <v/>
      </c>
      <c r="BM1105" s="201" t="n"/>
    </row>
    <row r="1106" hidden="1" outlineLevel="1" s="191">
      <c r="A1106" s="275">
        <f>XI_Wdrożenie!A9</f>
        <v/>
      </c>
      <c r="B1106" s="275">
        <f>XI_Wdrożenie!B9</f>
        <v/>
      </c>
      <c r="C1106" s="275">
        <f>XI_Wdrożenie!C9</f>
        <v/>
      </c>
      <c r="D1106" s="275">
        <f>XI_Wdrożenie!D9</f>
        <v/>
      </c>
      <c r="E1106" s="275">
        <f>XI_Wdrożenie!E9</f>
        <v/>
      </c>
      <c r="F1106" s="275">
        <f>XI_Wdrożenie!F9</f>
        <v/>
      </c>
      <c r="G1106" s="275">
        <f>XI_Wdrożenie!G9</f>
        <v/>
      </c>
      <c r="H1106" s="275">
        <f>XI_Wdrożenie!H9</f>
        <v/>
      </c>
      <c r="I1106" s="275">
        <f>XI_Wdrożenie!I9</f>
        <v/>
      </c>
      <c r="J1106" s="275">
        <f>XI_Wdrożenie!J9</f>
        <v/>
      </c>
      <c r="K1106" s="672">
        <f>XI_Wdrożenie!K9</f>
        <v/>
      </c>
      <c r="L1106" s="672">
        <f>XI_Wdrożenie!L9</f>
        <v/>
      </c>
      <c r="M1106" s="275">
        <f>XI_Wdrożenie!M9</f>
        <v/>
      </c>
      <c r="N1106" s="275">
        <f>XI_Wdrożenie!N9</f>
        <v/>
      </c>
      <c r="O1106" s="275">
        <f>XI_Wdrożenie!O9</f>
        <v/>
      </c>
      <c r="P1106" s="632">
        <f>XI_Wdrożenie!P9</f>
        <v/>
      </c>
      <c r="Q1106" s="632">
        <f>XI_Wdrożenie!Q9</f>
        <v/>
      </c>
      <c r="R1106" s="632">
        <f>XI_Wdrożenie!R9</f>
        <v/>
      </c>
      <c r="S1106" s="632">
        <f>XI_Wdrożenie!S9</f>
        <v/>
      </c>
      <c r="T1106" s="632">
        <f>XI_Wdrożenie!T9</f>
        <v/>
      </c>
      <c r="U1106" s="632">
        <f>XI_Wdrożenie!U9</f>
        <v/>
      </c>
      <c r="V1106" s="632">
        <f>XI_Wdrożenie!V9</f>
        <v/>
      </c>
      <c r="W1106" s="632">
        <f>XI_Wdrożenie!W9</f>
        <v/>
      </c>
      <c r="X1106" s="632">
        <f>XI_Wdrożenie!X9</f>
        <v/>
      </c>
      <c r="Y1106" s="654">
        <f>XI_Wdrożenie!Y9</f>
        <v/>
      </c>
      <c r="Z1106" s="654">
        <f>XI_Wdrożenie!Z9</f>
        <v/>
      </c>
      <c r="AA1106" s="654">
        <f>XI_Wdrożenie!AA9</f>
        <v/>
      </c>
      <c r="AB1106" s="654">
        <f>XI_Wdrożenie!AB9</f>
        <v/>
      </c>
      <c r="AC1106" s="617">
        <f>XI_Wdrożenie!AC9</f>
        <v/>
      </c>
      <c r="AD1106" s="617">
        <f>XI_Wdrożenie!AD9</f>
        <v/>
      </c>
      <c r="AE1106" s="617">
        <f>XI_Wdrożenie!AE9</f>
        <v/>
      </c>
      <c r="AF1106" s="617">
        <f>XI_Wdrożenie!AF9</f>
        <v/>
      </c>
      <c r="AG1106" s="259">
        <f>XI_Wdrożenie!AG9</f>
        <v/>
      </c>
      <c r="AH1106" s="259">
        <f>XI_Wdrożenie!AH9</f>
        <v/>
      </c>
      <c r="AI1106" s="259">
        <f>XI_Wdrożenie!AI9</f>
        <v/>
      </c>
      <c r="AJ1106" s="259">
        <f>XI_Wdrożenie!AJ9</f>
        <v/>
      </c>
      <c r="AK1106" s="259">
        <f>XI_Wdrożenie!AK9</f>
        <v/>
      </c>
      <c r="AL1106" s="259">
        <f>XI_Wdrożenie!AL9</f>
        <v/>
      </c>
      <c r="AM1106" s="259">
        <f>XI_Wdrożenie!AM9</f>
        <v/>
      </c>
      <c r="AN1106" s="259">
        <f>XI_Wdrożenie!AN9</f>
        <v/>
      </c>
      <c r="AO1106" s="259">
        <f>XI_Wdrożenie!AO9</f>
        <v/>
      </c>
      <c r="AP1106" s="647">
        <f>XI_Wdrożenie!AP9</f>
        <v/>
      </c>
      <c r="AQ1106" s="647">
        <f>XI_Wdrożenie!AQ9</f>
        <v/>
      </c>
      <c r="AR1106" s="647">
        <f>XI_Wdrożenie!AR9</f>
        <v/>
      </c>
      <c r="AS1106" s="647">
        <f>XI_Wdrożenie!AS9</f>
        <v/>
      </c>
      <c r="AT1106" s="623">
        <f>XI_Wdrożenie!AT9</f>
        <v/>
      </c>
      <c r="AU1106" s="623">
        <f>XI_Wdrożenie!AU9</f>
        <v/>
      </c>
      <c r="AV1106" s="623">
        <f>XI_Wdrożenie!AV9</f>
        <v/>
      </c>
      <c r="AW1106" s="623">
        <f>XI_Wdrożenie!AW9</f>
        <v/>
      </c>
      <c r="AX1106" s="275">
        <f>XI_Wdrożenie!AX9</f>
        <v/>
      </c>
      <c r="AY1106" s="275">
        <f>XI_Wdrożenie!AY9</f>
        <v/>
      </c>
      <c r="AZ1106" s="275">
        <f>XI_Wdrożenie!AZ9</f>
        <v/>
      </c>
      <c r="BA1106" s="275">
        <f>XI_Wdrożenie!BA9</f>
        <v/>
      </c>
      <c r="BB1106" s="275">
        <f>XI_Wdrożenie!BB9</f>
        <v/>
      </c>
      <c r="BC1106" s="275">
        <f>XI_Wdrożenie!BC9</f>
        <v/>
      </c>
      <c r="BD1106" s="275">
        <f>XI_Wdrożenie!BD9</f>
        <v/>
      </c>
      <c r="BE1106" s="275">
        <f>XI_Wdrożenie!BE9</f>
        <v/>
      </c>
      <c r="BF1106" s="275">
        <f>XI_Wdrożenie!BF9</f>
        <v/>
      </c>
      <c r="BG1106" s="275">
        <f>XI_Wdrożenie!BG9</f>
        <v/>
      </c>
      <c r="BH1106" s="275">
        <f>XI_Wdrożenie!BH9</f>
        <v/>
      </c>
      <c r="BI1106" s="275">
        <f>XI_Wdrożenie!BI9</f>
        <v/>
      </c>
      <c r="BJ1106">
        <f>O1106</f>
        <v/>
      </c>
      <c r="BK1106">
        <f>SUM(AG1106:AW1106)</f>
        <v/>
      </c>
      <c r="BL1106" s="531">
        <f>BJ1106-BK1106</f>
        <v/>
      </c>
      <c r="BM1106" s="201" t="n"/>
    </row>
    <row r="1107" hidden="1" outlineLevel="1" s="191">
      <c r="A1107" s="275">
        <f>XI_Wdrożenie!A10</f>
        <v/>
      </c>
      <c r="B1107" s="275">
        <f>XI_Wdrożenie!B10</f>
        <v/>
      </c>
      <c r="C1107" s="275">
        <f>XI_Wdrożenie!C10</f>
        <v/>
      </c>
      <c r="D1107" s="275">
        <f>XI_Wdrożenie!D10</f>
        <v/>
      </c>
      <c r="E1107" s="275">
        <f>XI_Wdrożenie!E10</f>
        <v/>
      </c>
      <c r="F1107" s="275">
        <f>XI_Wdrożenie!F10</f>
        <v/>
      </c>
      <c r="G1107" s="275">
        <f>XI_Wdrożenie!G10</f>
        <v/>
      </c>
      <c r="H1107" s="275">
        <f>XI_Wdrożenie!H10</f>
        <v/>
      </c>
      <c r="I1107" s="275">
        <f>XI_Wdrożenie!I10</f>
        <v/>
      </c>
      <c r="J1107" s="275">
        <f>XI_Wdrożenie!J10</f>
        <v/>
      </c>
      <c r="K1107" s="672">
        <f>XI_Wdrożenie!K10</f>
        <v/>
      </c>
      <c r="L1107" s="672">
        <f>XI_Wdrożenie!L10</f>
        <v/>
      </c>
      <c r="M1107" s="275">
        <f>XI_Wdrożenie!M10</f>
        <v/>
      </c>
      <c r="N1107" s="275">
        <f>XI_Wdrożenie!N10</f>
        <v/>
      </c>
      <c r="O1107" s="275">
        <f>XI_Wdrożenie!O10</f>
        <v/>
      </c>
      <c r="P1107" s="632">
        <f>XI_Wdrożenie!P10</f>
        <v/>
      </c>
      <c r="Q1107" s="632">
        <f>XI_Wdrożenie!Q10</f>
        <v/>
      </c>
      <c r="R1107" s="632">
        <f>XI_Wdrożenie!R10</f>
        <v/>
      </c>
      <c r="S1107" s="632">
        <f>XI_Wdrożenie!S10</f>
        <v/>
      </c>
      <c r="T1107" s="632">
        <f>XI_Wdrożenie!T10</f>
        <v/>
      </c>
      <c r="U1107" s="632">
        <f>XI_Wdrożenie!U10</f>
        <v/>
      </c>
      <c r="V1107" s="632">
        <f>XI_Wdrożenie!V10</f>
        <v/>
      </c>
      <c r="W1107" s="632">
        <f>XI_Wdrożenie!W10</f>
        <v/>
      </c>
      <c r="X1107" s="632">
        <f>XI_Wdrożenie!X10</f>
        <v/>
      </c>
      <c r="Y1107" s="654">
        <f>XI_Wdrożenie!Y10</f>
        <v/>
      </c>
      <c r="Z1107" s="654">
        <f>XI_Wdrożenie!Z10</f>
        <v/>
      </c>
      <c r="AA1107" s="654">
        <f>XI_Wdrożenie!AA10</f>
        <v/>
      </c>
      <c r="AB1107" s="654">
        <f>XI_Wdrożenie!AB10</f>
        <v/>
      </c>
      <c r="AC1107" s="617">
        <f>XI_Wdrożenie!AC10</f>
        <v/>
      </c>
      <c r="AD1107" s="617">
        <f>XI_Wdrożenie!AD10</f>
        <v/>
      </c>
      <c r="AE1107" s="617">
        <f>XI_Wdrożenie!AE10</f>
        <v/>
      </c>
      <c r="AF1107" s="617">
        <f>XI_Wdrożenie!AF10</f>
        <v/>
      </c>
      <c r="AG1107" s="259">
        <f>XI_Wdrożenie!AG10</f>
        <v/>
      </c>
      <c r="AH1107" s="259">
        <f>XI_Wdrożenie!AH10</f>
        <v/>
      </c>
      <c r="AI1107" s="259">
        <f>XI_Wdrożenie!AI10</f>
        <v/>
      </c>
      <c r="AJ1107" s="259">
        <f>XI_Wdrożenie!AJ10</f>
        <v/>
      </c>
      <c r="AK1107" s="259">
        <f>XI_Wdrożenie!AK10</f>
        <v/>
      </c>
      <c r="AL1107" s="259">
        <f>XI_Wdrożenie!AL10</f>
        <v/>
      </c>
      <c r="AM1107" s="259">
        <f>XI_Wdrożenie!AM10</f>
        <v/>
      </c>
      <c r="AN1107" s="259">
        <f>XI_Wdrożenie!AN10</f>
        <v/>
      </c>
      <c r="AO1107" s="259">
        <f>XI_Wdrożenie!AO10</f>
        <v/>
      </c>
      <c r="AP1107" s="647">
        <f>XI_Wdrożenie!AP10</f>
        <v/>
      </c>
      <c r="AQ1107" s="647">
        <f>XI_Wdrożenie!AQ10</f>
        <v/>
      </c>
      <c r="AR1107" s="647">
        <f>XI_Wdrożenie!AR10</f>
        <v/>
      </c>
      <c r="AS1107" s="647">
        <f>XI_Wdrożenie!AS10</f>
        <v/>
      </c>
      <c r="AT1107" s="623">
        <f>XI_Wdrożenie!AT10</f>
        <v/>
      </c>
      <c r="AU1107" s="623">
        <f>XI_Wdrożenie!AU10</f>
        <v/>
      </c>
      <c r="AV1107" s="623">
        <f>XI_Wdrożenie!AV10</f>
        <v/>
      </c>
      <c r="AW1107" s="623">
        <f>XI_Wdrożenie!AW10</f>
        <v/>
      </c>
      <c r="AX1107" s="275">
        <f>XI_Wdrożenie!AX10</f>
        <v/>
      </c>
      <c r="AY1107" s="275">
        <f>XI_Wdrożenie!AY10</f>
        <v/>
      </c>
      <c r="AZ1107" s="275">
        <f>XI_Wdrożenie!AZ10</f>
        <v/>
      </c>
      <c r="BA1107" s="275">
        <f>XI_Wdrożenie!BA10</f>
        <v/>
      </c>
      <c r="BB1107" s="275">
        <f>XI_Wdrożenie!BB10</f>
        <v/>
      </c>
      <c r="BC1107" s="275">
        <f>XI_Wdrożenie!BC10</f>
        <v/>
      </c>
      <c r="BD1107" s="275">
        <f>XI_Wdrożenie!BD10</f>
        <v/>
      </c>
      <c r="BE1107" s="275">
        <f>XI_Wdrożenie!BE10</f>
        <v/>
      </c>
      <c r="BF1107" s="275">
        <f>XI_Wdrożenie!BF10</f>
        <v/>
      </c>
      <c r="BG1107" s="275">
        <f>XI_Wdrożenie!BG10</f>
        <v/>
      </c>
      <c r="BH1107" s="275">
        <f>XI_Wdrożenie!BH10</f>
        <v/>
      </c>
      <c r="BI1107" s="275">
        <f>XI_Wdrożenie!BI10</f>
        <v/>
      </c>
      <c r="BJ1107">
        <f>O1107</f>
        <v/>
      </c>
      <c r="BK1107">
        <f>SUM(AG1107:AW1107)</f>
        <v/>
      </c>
      <c r="BL1107" s="531">
        <f>BJ1107-BK1107</f>
        <v/>
      </c>
      <c r="BM1107" s="201" t="n"/>
    </row>
    <row r="1108" hidden="1" outlineLevel="1" s="191">
      <c r="A1108" s="275">
        <f>XI_Wdrożenie!A11</f>
        <v/>
      </c>
      <c r="B1108" s="275">
        <f>XI_Wdrożenie!B11</f>
        <v/>
      </c>
      <c r="C1108" s="275">
        <f>XI_Wdrożenie!C11</f>
        <v/>
      </c>
      <c r="D1108" s="275">
        <f>XI_Wdrożenie!D11</f>
        <v/>
      </c>
      <c r="E1108" s="275">
        <f>XI_Wdrożenie!E11</f>
        <v/>
      </c>
      <c r="F1108" s="275">
        <f>XI_Wdrożenie!F11</f>
        <v/>
      </c>
      <c r="G1108" s="275">
        <f>XI_Wdrożenie!G11</f>
        <v/>
      </c>
      <c r="H1108" s="275">
        <f>XI_Wdrożenie!H11</f>
        <v/>
      </c>
      <c r="I1108" s="275">
        <f>XI_Wdrożenie!I11</f>
        <v/>
      </c>
      <c r="J1108" s="275">
        <f>XI_Wdrożenie!J11</f>
        <v/>
      </c>
      <c r="K1108" s="672">
        <f>XI_Wdrożenie!K11</f>
        <v/>
      </c>
      <c r="L1108" s="672">
        <f>XI_Wdrożenie!L11</f>
        <v/>
      </c>
      <c r="M1108" s="275">
        <f>XI_Wdrożenie!M11</f>
        <v/>
      </c>
      <c r="N1108" s="275">
        <f>XI_Wdrożenie!N11</f>
        <v/>
      </c>
      <c r="O1108" s="275">
        <f>XI_Wdrożenie!O11</f>
        <v/>
      </c>
      <c r="P1108" s="632">
        <f>XI_Wdrożenie!P11</f>
        <v/>
      </c>
      <c r="Q1108" s="632">
        <f>XI_Wdrożenie!Q11</f>
        <v/>
      </c>
      <c r="R1108" s="632">
        <f>XI_Wdrożenie!R11</f>
        <v/>
      </c>
      <c r="S1108" s="632">
        <f>XI_Wdrożenie!S11</f>
        <v/>
      </c>
      <c r="T1108" s="632">
        <f>XI_Wdrożenie!T11</f>
        <v/>
      </c>
      <c r="U1108" s="632">
        <f>XI_Wdrożenie!U11</f>
        <v/>
      </c>
      <c r="V1108" s="632">
        <f>XI_Wdrożenie!V11</f>
        <v/>
      </c>
      <c r="W1108" s="632">
        <f>XI_Wdrożenie!W11</f>
        <v/>
      </c>
      <c r="X1108" s="632">
        <f>XI_Wdrożenie!X11</f>
        <v/>
      </c>
      <c r="Y1108" s="654">
        <f>XI_Wdrożenie!Y11</f>
        <v/>
      </c>
      <c r="Z1108" s="654">
        <f>XI_Wdrożenie!Z11</f>
        <v/>
      </c>
      <c r="AA1108" s="654">
        <f>XI_Wdrożenie!AA11</f>
        <v/>
      </c>
      <c r="AB1108" s="654">
        <f>XI_Wdrożenie!AB11</f>
        <v/>
      </c>
      <c r="AC1108" s="617">
        <f>XI_Wdrożenie!AC11</f>
        <v/>
      </c>
      <c r="AD1108" s="617">
        <f>XI_Wdrożenie!AD11</f>
        <v/>
      </c>
      <c r="AE1108" s="617">
        <f>XI_Wdrożenie!AE11</f>
        <v/>
      </c>
      <c r="AF1108" s="617">
        <f>XI_Wdrożenie!AF11</f>
        <v/>
      </c>
      <c r="AG1108" s="259">
        <f>XI_Wdrożenie!AG11</f>
        <v/>
      </c>
      <c r="AH1108" s="259">
        <f>XI_Wdrożenie!AH11</f>
        <v/>
      </c>
      <c r="AI1108" s="259">
        <f>XI_Wdrożenie!AI11</f>
        <v/>
      </c>
      <c r="AJ1108" s="259">
        <f>XI_Wdrożenie!AJ11</f>
        <v/>
      </c>
      <c r="AK1108" s="259">
        <f>XI_Wdrożenie!AK11</f>
        <v/>
      </c>
      <c r="AL1108" s="259">
        <f>XI_Wdrożenie!AL11</f>
        <v/>
      </c>
      <c r="AM1108" s="259">
        <f>XI_Wdrożenie!AM11</f>
        <v/>
      </c>
      <c r="AN1108" s="259">
        <f>XI_Wdrożenie!AN11</f>
        <v/>
      </c>
      <c r="AO1108" s="259">
        <f>XI_Wdrożenie!AO11</f>
        <v/>
      </c>
      <c r="AP1108" s="647">
        <f>XI_Wdrożenie!AP11</f>
        <v/>
      </c>
      <c r="AQ1108" s="647">
        <f>XI_Wdrożenie!AQ11</f>
        <v/>
      </c>
      <c r="AR1108" s="647">
        <f>XI_Wdrożenie!AR11</f>
        <v/>
      </c>
      <c r="AS1108" s="647">
        <f>XI_Wdrożenie!AS11</f>
        <v/>
      </c>
      <c r="AT1108" s="623">
        <f>XI_Wdrożenie!AT11</f>
        <v/>
      </c>
      <c r="AU1108" s="623">
        <f>XI_Wdrożenie!AU11</f>
        <v/>
      </c>
      <c r="AV1108" s="623">
        <f>XI_Wdrożenie!AV11</f>
        <v/>
      </c>
      <c r="AW1108" s="623">
        <f>XI_Wdrożenie!AW11</f>
        <v/>
      </c>
      <c r="AX1108" s="275">
        <f>XI_Wdrożenie!AX11</f>
        <v/>
      </c>
      <c r="AY1108" s="275">
        <f>XI_Wdrożenie!AY11</f>
        <v/>
      </c>
      <c r="AZ1108" s="275">
        <f>XI_Wdrożenie!AZ11</f>
        <v/>
      </c>
      <c r="BA1108" s="275">
        <f>XI_Wdrożenie!BA11</f>
        <v/>
      </c>
      <c r="BB1108" s="275">
        <f>XI_Wdrożenie!BB11</f>
        <v/>
      </c>
      <c r="BC1108" s="275">
        <f>XI_Wdrożenie!BC11</f>
        <v/>
      </c>
      <c r="BD1108" s="275">
        <f>XI_Wdrożenie!BD11</f>
        <v/>
      </c>
      <c r="BE1108" s="275">
        <f>XI_Wdrożenie!BE11</f>
        <v/>
      </c>
      <c r="BF1108" s="275">
        <f>XI_Wdrożenie!BF11</f>
        <v/>
      </c>
      <c r="BG1108" s="275">
        <f>XI_Wdrożenie!BG11</f>
        <v/>
      </c>
      <c r="BH1108" s="275">
        <f>XI_Wdrożenie!BH11</f>
        <v/>
      </c>
      <c r="BI1108" s="275">
        <f>XI_Wdrożenie!BI11</f>
        <v/>
      </c>
      <c r="BJ1108">
        <f>O1108</f>
        <v/>
      </c>
      <c r="BK1108">
        <f>SUM(AG1108:AW1108)</f>
        <v/>
      </c>
      <c r="BL1108" s="531">
        <f>BJ1108-BK1108</f>
        <v/>
      </c>
      <c r="BM1108" s="201" t="n"/>
    </row>
    <row r="1109" hidden="1" outlineLevel="1" s="191">
      <c r="A1109" s="275">
        <f>XI_Wdrożenie!A12</f>
        <v/>
      </c>
      <c r="B1109" s="275">
        <f>XI_Wdrożenie!B12</f>
        <v/>
      </c>
      <c r="C1109" s="275">
        <f>XI_Wdrożenie!C12</f>
        <v/>
      </c>
      <c r="D1109" s="275">
        <f>XI_Wdrożenie!D12</f>
        <v/>
      </c>
      <c r="E1109" s="275">
        <f>XI_Wdrożenie!E12</f>
        <v/>
      </c>
      <c r="F1109" s="275">
        <f>XI_Wdrożenie!F12</f>
        <v/>
      </c>
      <c r="G1109" s="275">
        <f>XI_Wdrożenie!G12</f>
        <v/>
      </c>
      <c r="H1109" s="275">
        <f>XI_Wdrożenie!H12</f>
        <v/>
      </c>
      <c r="I1109" s="275">
        <f>XI_Wdrożenie!I12</f>
        <v/>
      </c>
      <c r="J1109" s="275">
        <f>XI_Wdrożenie!J12</f>
        <v/>
      </c>
      <c r="K1109" s="672">
        <f>XI_Wdrożenie!K12</f>
        <v/>
      </c>
      <c r="L1109" s="672">
        <f>XI_Wdrożenie!L12</f>
        <v/>
      </c>
      <c r="M1109" s="275">
        <f>XI_Wdrożenie!M12</f>
        <v/>
      </c>
      <c r="N1109" s="275">
        <f>XI_Wdrożenie!N12</f>
        <v/>
      </c>
      <c r="O1109" s="275">
        <f>XI_Wdrożenie!O12</f>
        <v/>
      </c>
      <c r="P1109" s="632">
        <f>XI_Wdrożenie!P12</f>
        <v/>
      </c>
      <c r="Q1109" s="632">
        <f>XI_Wdrożenie!Q12</f>
        <v/>
      </c>
      <c r="R1109" s="632">
        <f>XI_Wdrożenie!R12</f>
        <v/>
      </c>
      <c r="S1109" s="632">
        <f>XI_Wdrożenie!S12</f>
        <v/>
      </c>
      <c r="T1109" s="632">
        <f>XI_Wdrożenie!T12</f>
        <v/>
      </c>
      <c r="U1109" s="632">
        <f>XI_Wdrożenie!U12</f>
        <v/>
      </c>
      <c r="V1109" s="632">
        <f>XI_Wdrożenie!V12</f>
        <v/>
      </c>
      <c r="W1109" s="632">
        <f>XI_Wdrożenie!W12</f>
        <v/>
      </c>
      <c r="X1109" s="632">
        <f>XI_Wdrożenie!X12</f>
        <v/>
      </c>
      <c r="Y1109" s="654">
        <f>XI_Wdrożenie!Y12</f>
        <v/>
      </c>
      <c r="Z1109" s="654">
        <f>XI_Wdrożenie!Z12</f>
        <v/>
      </c>
      <c r="AA1109" s="654">
        <f>XI_Wdrożenie!AA12</f>
        <v/>
      </c>
      <c r="AB1109" s="654">
        <f>XI_Wdrożenie!AB12</f>
        <v/>
      </c>
      <c r="AC1109" s="617">
        <f>XI_Wdrożenie!AC12</f>
        <v/>
      </c>
      <c r="AD1109" s="617">
        <f>XI_Wdrożenie!AD12</f>
        <v/>
      </c>
      <c r="AE1109" s="617">
        <f>XI_Wdrożenie!AE12</f>
        <v/>
      </c>
      <c r="AF1109" s="617">
        <f>XI_Wdrożenie!AF12</f>
        <v/>
      </c>
      <c r="AG1109" s="259">
        <f>XI_Wdrożenie!AG12</f>
        <v/>
      </c>
      <c r="AH1109" s="259">
        <f>XI_Wdrożenie!AH12</f>
        <v/>
      </c>
      <c r="AI1109" s="259">
        <f>XI_Wdrożenie!AI12</f>
        <v/>
      </c>
      <c r="AJ1109" s="259">
        <f>XI_Wdrożenie!AJ12</f>
        <v/>
      </c>
      <c r="AK1109" s="259">
        <f>XI_Wdrożenie!AK12</f>
        <v/>
      </c>
      <c r="AL1109" s="259">
        <f>XI_Wdrożenie!AL12</f>
        <v/>
      </c>
      <c r="AM1109" s="259">
        <f>XI_Wdrożenie!AM12</f>
        <v/>
      </c>
      <c r="AN1109" s="259">
        <f>XI_Wdrożenie!AN12</f>
        <v/>
      </c>
      <c r="AO1109" s="259">
        <f>XI_Wdrożenie!AO12</f>
        <v/>
      </c>
      <c r="AP1109" s="647">
        <f>XI_Wdrożenie!AP12</f>
        <v/>
      </c>
      <c r="AQ1109" s="647">
        <f>XI_Wdrożenie!AQ12</f>
        <v/>
      </c>
      <c r="AR1109" s="647">
        <f>XI_Wdrożenie!AR12</f>
        <v/>
      </c>
      <c r="AS1109" s="647">
        <f>XI_Wdrożenie!AS12</f>
        <v/>
      </c>
      <c r="AT1109" s="623">
        <f>XI_Wdrożenie!AT12</f>
        <v/>
      </c>
      <c r="AU1109" s="623">
        <f>XI_Wdrożenie!AU12</f>
        <v/>
      </c>
      <c r="AV1109" s="623">
        <f>XI_Wdrożenie!AV12</f>
        <v/>
      </c>
      <c r="AW1109" s="623">
        <f>XI_Wdrożenie!AW12</f>
        <v/>
      </c>
      <c r="AX1109" s="275">
        <f>XI_Wdrożenie!AX12</f>
        <v/>
      </c>
      <c r="AY1109" s="275">
        <f>XI_Wdrożenie!AY12</f>
        <v/>
      </c>
      <c r="AZ1109" s="275">
        <f>XI_Wdrożenie!AZ12</f>
        <v/>
      </c>
      <c r="BA1109" s="275">
        <f>XI_Wdrożenie!BA12</f>
        <v/>
      </c>
      <c r="BB1109" s="275">
        <f>XI_Wdrożenie!BB12</f>
        <v/>
      </c>
      <c r="BC1109" s="275">
        <f>XI_Wdrożenie!BC12</f>
        <v/>
      </c>
      <c r="BD1109" s="275">
        <f>XI_Wdrożenie!BD12</f>
        <v/>
      </c>
      <c r="BE1109" s="275">
        <f>XI_Wdrożenie!BE12</f>
        <v/>
      </c>
      <c r="BF1109" s="275">
        <f>XI_Wdrożenie!BF12</f>
        <v/>
      </c>
      <c r="BG1109" s="275">
        <f>XI_Wdrożenie!BG12</f>
        <v/>
      </c>
      <c r="BH1109" s="275">
        <f>XI_Wdrożenie!BH12</f>
        <v/>
      </c>
      <c r="BI1109" s="275">
        <f>XI_Wdrożenie!BI12</f>
        <v/>
      </c>
      <c r="BJ1109">
        <f>O1109</f>
        <v/>
      </c>
      <c r="BK1109">
        <f>SUM(AG1109:AW1109)</f>
        <v/>
      </c>
      <c r="BL1109" s="531">
        <f>BJ1109-BK1109</f>
        <v/>
      </c>
      <c r="BM1109" s="201" t="n"/>
    </row>
    <row r="1110" hidden="1" outlineLevel="1" s="191">
      <c r="A1110" s="275">
        <f>XI_Wdrożenie!A13</f>
        <v/>
      </c>
      <c r="B1110" s="275">
        <f>XI_Wdrożenie!B13</f>
        <v/>
      </c>
      <c r="C1110" s="275">
        <f>XI_Wdrożenie!C13</f>
        <v/>
      </c>
      <c r="D1110" s="275">
        <f>XI_Wdrożenie!D13</f>
        <v/>
      </c>
      <c r="E1110" s="275">
        <f>XI_Wdrożenie!E13</f>
        <v/>
      </c>
      <c r="F1110" s="275">
        <f>XI_Wdrożenie!F13</f>
        <v/>
      </c>
      <c r="G1110" s="275">
        <f>XI_Wdrożenie!G13</f>
        <v/>
      </c>
      <c r="H1110" s="275">
        <f>XI_Wdrożenie!H13</f>
        <v/>
      </c>
      <c r="I1110" s="275">
        <f>XI_Wdrożenie!I13</f>
        <v/>
      </c>
      <c r="J1110" s="275">
        <f>XI_Wdrożenie!J13</f>
        <v/>
      </c>
      <c r="K1110" s="672">
        <f>XI_Wdrożenie!K13</f>
        <v/>
      </c>
      <c r="L1110" s="672">
        <f>XI_Wdrożenie!L13</f>
        <v/>
      </c>
      <c r="M1110" s="275">
        <f>XI_Wdrożenie!M13</f>
        <v/>
      </c>
      <c r="N1110" s="275">
        <f>XI_Wdrożenie!N13</f>
        <v/>
      </c>
      <c r="O1110" s="275">
        <f>XI_Wdrożenie!O13</f>
        <v/>
      </c>
      <c r="P1110" s="632">
        <f>XI_Wdrożenie!P13</f>
        <v/>
      </c>
      <c r="Q1110" s="632">
        <f>XI_Wdrożenie!Q13</f>
        <v/>
      </c>
      <c r="R1110" s="632">
        <f>XI_Wdrożenie!R13</f>
        <v/>
      </c>
      <c r="S1110" s="632">
        <f>XI_Wdrożenie!S13</f>
        <v/>
      </c>
      <c r="T1110" s="632">
        <f>XI_Wdrożenie!T13</f>
        <v/>
      </c>
      <c r="U1110" s="632">
        <f>XI_Wdrożenie!U13</f>
        <v/>
      </c>
      <c r="V1110" s="632">
        <f>XI_Wdrożenie!V13</f>
        <v/>
      </c>
      <c r="W1110" s="632">
        <f>XI_Wdrożenie!W13</f>
        <v/>
      </c>
      <c r="X1110" s="632">
        <f>XI_Wdrożenie!X13</f>
        <v/>
      </c>
      <c r="Y1110" s="654">
        <f>XI_Wdrożenie!Y13</f>
        <v/>
      </c>
      <c r="Z1110" s="654">
        <f>XI_Wdrożenie!Z13</f>
        <v/>
      </c>
      <c r="AA1110" s="654">
        <f>XI_Wdrożenie!AA13</f>
        <v/>
      </c>
      <c r="AB1110" s="654">
        <f>XI_Wdrożenie!AB13</f>
        <v/>
      </c>
      <c r="AC1110" s="617">
        <f>XI_Wdrożenie!AC13</f>
        <v/>
      </c>
      <c r="AD1110" s="617">
        <f>XI_Wdrożenie!AD13</f>
        <v/>
      </c>
      <c r="AE1110" s="617">
        <f>XI_Wdrożenie!AE13</f>
        <v/>
      </c>
      <c r="AF1110" s="617">
        <f>XI_Wdrożenie!AF13</f>
        <v/>
      </c>
      <c r="AG1110" s="259">
        <f>XI_Wdrożenie!AG13</f>
        <v/>
      </c>
      <c r="AH1110" s="259">
        <f>XI_Wdrożenie!AH13</f>
        <v/>
      </c>
      <c r="AI1110" s="259">
        <f>XI_Wdrożenie!AI13</f>
        <v/>
      </c>
      <c r="AJ1110" s="259">
        <f>XI_Wdrożenie!AJ13</f>
        <v/>
      </c>
      <c r="AK1110" s="259">
        <f>XI_Wdrożenie!AK13</f>
        <v/>
      </c>
      <c r="AL1110" s="259">
        <f>XI_Wdrożenie!AL13</f>
        <v/>
      </c>
      <c r="AM1110" s="259">
        <f>XI_Wdrożenie!AM13</f>
        <v/>
      </c>
      <c r="AN1110" s="259">
        <f>XI_Wdrożenie!AN13</f>
        <v/>
      </c>
      <c r="AO1110" s="259">
        <f>XI_Wdrożenie!AO13</f>
        <v/>
      </c>
      <c r="AP1110" s="647">
        <f>XI_Wdrożenie!AP13</f>
        <v/>
      </c>
      <c r="AQ1110" s="647">
        <f>XI_Wdrożenie!AQ13</f>
        <v/>
      </c>
      <c r="AR1110" s="647">
        <f>XI_Wdrożenie!AR13</f>
        <v/>
      </c>
      <c r="AS1110" s="647">
        <f>XI_Wdrożenie!AS13</f>
        <v/>
      </c>
      <c r="AT1110" s="623">
        <f>XI_Wdrożenie!AT13</f>
        <v/>
      </c>
      <c r="AU1110" s="623">
        <f>XI_Wdrożenie!AU13</f>
        <v/>
      </c>
      <c r="AV1110" s="623">
        <f>XI_Wdrożenie!AV13</f>
        <v/>
      </c>
      <c r="AW1110" s="623">
        <f>XI_Wdrożenie!AW13</f>
        <v/>
      </c>
      <c r="AX1110" s="275">
        <f>XI_Wdrożenie!AX13</f>
        <v/>
      </c>
      <c r="AY1110" s="275">
        <f>XI_Wdrożenie!AY13</f>
        <v/>
      </c>
      <c r="AZ1110" s="275">
        <f>XI_Wdrożenie!AZ13</f>
        <v/>
      </c>
      <c r="BA1110" s="275">
        <f>XI_Wdrożenie!BA13</f>
        <v/>
      </c>
      <c r="BB1110" s="275">
        <f>XI_Wdrożenie!BB13</f>
        <v/>
      </c>
      <c r="BC1110" s="275">
        <f>XI_Wdrożenie!BC13</f>
        <v/>
      </c>
      <c r="BD1110" s="275">
        <f>XI_Wdrożenie!BD13</f>
        <v/>
      </c>
      <c r="BE1110" s="275">
        <f>XI_Wdrożenie!BE13</f>
        <v/>
      </c>
      <c r="BF1110" s="275">
        <f>XI_Wdrożenie!BF13</f>
        <v/>
      </c>
      <c r="BG1110" s="275">
        <f>XI_Wdrożenie!BG13</f>
        <v/>
      </c>
      <c r="BH1110" s="275">
        <f>XI_Wdrożenie!BH13</f>
        <v/>
      </c>
      <c r="BI1110" s="275">
        <f>XI_Wdrożenie!BI13</f>
        <v/>
      </c>
      <c r="BJ1110">
        <f>O1110</f>
        <v/>
      </c>
      <c r="BK1110">
        <f>SUM(AG1110:AW1110)</f>
        <v/>
      </c>
      <c r="BL1110" s="531">
        <f>BJ1110-BK1110</f>
        <v/>
      </c>
      <c r="BM1110" s="201" t="n"/>
    </row>
    <row r="1111" hidden="1" outlineLevel="1" s="191">
      <c r="A1111" s="275">
        <f>XI_Wdrożenie!A14</f>
        <v/>
      </c>
      <c r="B1111" s="275">
        <f>XI_Wdrożenie!B14</f>
        <v/>
      </c>
      <c r="C1111" s="275">
        <f>XI_Wdrożenie!C14</f>
        <v/>
      </c>
      <c r="D1111" s="275">
        <f>XI_Wdrożenie!D14</f>
        <v/>
      </c>
      <c r="E1111" s="275">
        <f>XI_Wdrożenie!E14</f>
        <v/>
      </c>
      <c r="F1111" s="275">
        <f>XI_Wdrożenie!F14</f>
        <v/>
      </c>
      <c r="G1111" s="275">
        <f>XI_Wdrożenie!G14</f>
        <v/>
      </c>
      <c r="H1111" s="275">
        <f>XI_Wdrożenie!H14</f>
        <v/>
      </c>
      <c r="I1111" s="275">
        <f>XI_Wdrożenie!I14</f>
        <v/>
      </c>
      <c r="J1111" s="275">
        <f>XI_Wdrożenie!J14</f>
        <v/>
      </c>
      <c r="K1111" s="672">
        <f>XI_Wdrożenie!K14</f>
        <v/>
      </c>
      <c r="L1111" s="672">
        <f>XI_Wdrożenie!L14</f>
        <v/>
      </c>
      <c r="M1111" s="275">
        <f>XI_Wdrożenie!M14</f>
        <v/>
      </c>
      <c r="N1111" s="275">
        <f>XI_Wdrożenie!N14</f>
        <v/>
      </c>
      <c r="O1111" s="275">
        <f>XI_Wdrożenie!O14</f>
        <v/>
      </c>
      <c r="P1111" s="632">
        <f>XI_Wdrożenie!P14</f>
        <v/>
      </c>
      <c r="Q1111" s="632">
        <f>XI_Wdrożenie!Q14</f>
        <v/>
      </c>
      <c r="R1111" s="632">
        <f>XI_Wdrożenie!R14</f>
        <v/>
      </c>
      <c r="S1111" s="632">
        <f>XI_Wdrożenie!S14</f>
        <v/>
      </c>
      <c r="T1111" s="632">
        <f>XI_Wdrożenie!T14</f>
        <v/>
      </c>
      <c r="U1111" s="632">
        <f>XI_Wdrożenie!U14</f>
        <v/>
      </c>
      <c r="V1111" s="632">
        <f>XI_Wdrożenie!V14</f>
        <v/>
      </c>
      <c r="W1111" s="632">
        <f>XI_Wdrożenie!W14</f>
        <v/>
      </c>
      <c r="X1111" s="632">
        <f>XI_Wdrożenie!X14</f>
        <v/>
      </c>
      <c r="Y1111" s="654">
        <f>XI_Wdrożenie!Y14</f>
        <v/>
      </c>
      <c r="Z1111" s="654">
        <f>XI_Wdrożenie!Z14</f>
        <v/>
      </c>
      <c r="AA1111" s="654">
        <f>XI_Wdrożenie!AA14</f>
        <v/>
      </c>
      <c r="AB1111" s="654">
        <f>XI_Wdrożenie!AB14</f>
        <v/>
      </c>
      <c r="AC1111" s="617">
        <f>XI_Wdrożenie!AC14</f>
        <v/>
      </c>
      <c r="AD1111" s="617">
        <f>XI_Wdrożenie!AD14</f>
        <v/>
      </c>
      <c r="AE1111" s="617">
        <f>XI_Wdrożenie!AE14</f>
        <v/>
      </c>
      <c r="AF1111" s="617">
        <f>XI_Wdrożenie!AF14</f>
        <v/>
      </c>
      <c r="AG1111" s="259">
        <f>XI_Wdrożenie!AG14</f>
        <v/>
      </c>
      <c r="AH1111" s="259">
        <f>XI_Wdrożenie!AH14</f>
        <v/>
      </c>
      <c r="AI1111" s="259">
        <f>XI_Wdrożenie!AI14</f>
        <v/>
      </c>
      <c r="AJ1111" s="259">
        <f>XI_Wdrożenie!AJ14</f>
        <v/>
      </c>
      <c r="AK1111" s="259">
        <f>XI_Wdrożenie!AK14</f>
        <v/>
      </c>
      <c r="AL1111" s="259">
        <f>XI_Wdrożenie!AL14</f>
        <v/>
      </c>
      <c r="AM1111" s="259">
        <f>XI_Wdrożenie!AM14</f>
        <v/>
      </c>
      <c r="AN1111" s="259">
        <f>XI_Wdrożenie!AN14</f>
        <v/>
      </c>
      <c r="AO1111" s="259">
        <f>XI_Wdrożenie!AO14</f>
        <v/>
      </c>
      <c r="AP1111" s="647">
        <f>XI_Wdrożenie!AP14</f>
        <v/>
      </c>
      <c r="AQ1111" s="647">
        <f>XI_Wdrożenie!AQ14</f>
        <v/>
      </c>
      <c r="AR1111" s="647">
        <f>XI_Wdrożenie!AR14</f>
        <v/>
      </c>
      <c r="AS1111" s="647">
        <f>XI_Wdrożenie!AS14</f>
        <v/>
      </c>
      <c r="AT1111" s="623">
        <f>XI_Wdrożenie!AT14</f>
        <v/>
      </c>
      <c r="AU1111" s="623">
        <f>XI_Wdrożenie!AU14</f>
        <v/>
      </c>
      <c r="AV1111" s="623">
        <f>XI_Wdrożenie!AV14</f>
        <v/>
      </c>
      <c r="AW1111" s="623">
        <f>XI_Wdrożenie!AW14</f>
        <v/>
      </c>
      <c r="AX1111" s="275">
        <f>XI_Wdrożenie!AX14</f>
        <v/>
      </c>
      <c r="AY1111" s="275">
        <f>XI_Wdrożenie!AY14</f>
        <v/>
      </c>
      <c r="AZ1111" s="275">
        <f>XI_Wdrożenie!AZ14</f>
        <v/>
      </c>
      <c r="BA1111" s="275">
        <f>XI_Wdrożenie!BA14</f>
        <v/>
      </c>
      <c r="BB1111" s="275">
        <f>XI_Wdrożenie!BB14</f>
        <v/>
      </c>
      <c r="BC1111" s="275">
        <f>XI_Wdrożenie!BC14</f>
        <v/>
      </c>
      <c r="BD1111" s="275">
        <f>XI_Wdrożenie!BD14</f>
        <v/>
      </c>
      <c r="BE1111" s="275">
        <f>XI_Wdrożenie!BE14</f>
        <v/>
      </c>
      <c r="BF1111" s="275">
        <f>XI_Wdrożenie!BF14</f>
        <v/>
      </c>
      <c r="BG1111" s="275">
        <f>XI_Wdrożenie!BG14</f>
        <v/>
      </c>
      <c r="BH1111" s="275">
        <f>XI_Wdrożenie!BH14</f>
        <v/>
      </c>
      <c r="BI1111" s="275">
        <f>XI_Wdrożenie!BI14</f>
        <v/>
      </c>
      <c r="BJ1111">
        <f>O1111</f>
        <v/>
      </c>
      <c r="BK1111">
        <f>SUM(AG1111:AW1111)</f>
        <v/>
      </c>
      <c r="BL1111" s="531">
        <f>BJ1111-BK1111</f>
        <v/>
      </c>
      <c r="BM1111" s="201" t="n"/>
    </row>
    <row r="1112" hidden="1" outlineLevel="1" s="191">
      <c r="A1112" s="275">
        <f>XI_Wdrożenie!A15</f>
        <v/>
      </c>
      <c r="B1112" s="275">
        <f>XI_Wdrożenie!B15</f>
        <v/>
      </c>
      <c r="C1112" s="275">
        <f>XI_Wdrożenie!C15</f>
        <v/>
      </c>
      <c r="D1112" s="275">
        <f>XI_Wdrożenie!D15</f>
        <v/>
      </c>
      <c r="E1112" s="275">
        <f>XI_Wdrożenie!E15</f>
        <v/>
      </c>
      <c r="F1112" s="275">
        <f>XI_Wdrożenie!F15</f>
        <v/>
      </c>
      <c r="G1112" s="275">
        <f>XI_Wdrożenie!G15</f>
        <v/>
      </c>
      <c r="H1112" s="275">
        <f>XI_Wdrożenie!H15</f>
        <v/>
      </c>
      <c r="I1112" s="275">
        <f>XI_Wdrożenie!I15</f>
        <v/>
      </c>
      <c r="J1112" s="275">
        <f>XI_Wdrożenie!J15</f>
        <v/>
      </c>
      <c r="K1112" s="672">
        <f>XI_Wdrożenie!K15</f>
        <v/>
      </c>
      <c r="L1112" s="672">
        <f>XI_Wdrożenie!L15</f>
        <v/>
      </c>
      <c r="M1112" s="275">
        <f>XI_Wdrożenie!M15</f>
        <v/>
      </c>
      <c r="N1112" s="275">
        <f>XI_Wdrożenie!N15</f>
        <v/>
      </c>
      <c r="O1112" s="275">
        <f>XI_Wdrożenie!O15</f>
        <v/>
      </c>
      <c r="P1112" s="632">
        <f>XI_Wdrożenie!P15</f>
        <v/>
      </c>
      <c r="Q1112" s="632">
        <f>XI_Wdrożenie!Q15</f>
        <v/>
      </c>
      <c r="R1112" s="632">
        <f>XI_Wdrożenie!R15</f>
        <v/>
      </c>
      <c r="S1112" s="632">
        <f>XI_Wdrożenie!S15</f>
        <v/>
      </c>
      <c r="T1112" s="632">
        <f>XI_Wdrożenie!T15</f>
        <v/>
      </c>
      <c r="U1112" s="632">
        <f>XI_Wdrożenie!U15</f>
        <v/>
      </c>
      <c r="V1112" s="632">
        <f>XI_Wdrożenie!V15</f>
        <v/>
      </c>
      <c r="W1112" s="632">
        <f>XI_Wdrożenie!W15</f>
        <v/>
      </c>
      <c r="X1112" s="632">
        <f>XI_Wdrożenie!X15</f>
        <v/>
      </c>
      <c r="Y1112" s="654">
        <f>XI_Wdrożenie!Y15</f>
        <v/>
      </c>
      <c r="Z1112" s="654">
        <f>XI_Wdrożenie!Z15</f>
        <v/>
      </c>
      <c r="AA1112" s="654">
        <f>XI_Wdrożenie!AA15</f>
        <v/>
      </c>
      <c r="AB1112" s="654">
        <f>XI_Wdrożenie!AB15</f>
        <v/>
      </c>
      <c r="AC1112" s="617">
        <f>XI_Wdrożenie!AC15</f>
        <v/>
      </c>
      <c r="AD1112" s="617">
        <f>XI_Wdrożenie!AD15</f>
        <v/>
      </c>
      <c r="AE1112" s="617">
        <f>XI_Wdrożenie!AE15</f>
        <v/>
      </c>
      <c r="AF1112" s="617">
        <f>XI_Wdrożenie!AF15</f>
        <v/>
      </c>
      <c r="AG1112" s="259">
        <f>XI_Wdrożenie!AG15</f>
        <v/>
      </c>
      <c r="AH1112" s="259">
        <f>XI_Wdrożenie!AH15</f>
        <v/>
      </c>
      <c r="AI1112" s="259">
        <f>XI_Wdrożenie!AI15</f>
        <v/>
      </c>
      <c r="AJ1112" s="259">
        <f>XI_Wdrożenie!AJ15</f>
        <v/>
      </c>
      <c r="AK1112" s="259">
        <f>XI_Wdrożenie!AK15</f>
        <v/>
      </c>
      <c r="AL1112" s="259">
        <f>XI_Wdrożenie!AL15</f>
        <v/>
      </c>
      <c r="AM1112" s="259">
        <f>XI_Wdrożenie!AM15</f>
        <v/>
      </c>
      <c r="AN1112" s="259">
        <f>XI_Wdrożenie!AN15</f>
        <v/>
      </c>
      <c r="AO1112" s="259">
        <f>XI_Wdrożenie!AO15</f>
        <v/>
      </c>
      <c r="AP1112" s="647">
        <f>XI_Wdrożenie!AP15</f>
        <v/>
      </c>
      <c r="AQ1112" s="647">
        <f>XI_Wdrożenie!AQ15</f>
        <v/>
      </c>
      <c r="AR1112" s="647">
        <f>XI_Wdrożenie!AR15</f>
        <v/>
      </c>
      <c r="AS1112" s="647">
        <f>XI_Wdrożenie!AS15</f>
        <v/>
      </c>
      <c r="AT1112" s="623">
        <f>XI_Wdrożenie!AT15</f>
        <v/>
      </c>
      <c r="AU1112" s="623">
        <f>XI_Wdrożenie!AU15</f>
        <v/>
      </c>
      <c r="AV1112" s="623">
        <f>XI_Wdrożenie!AV15</f>
        <v/>
      </c>
      <c r="AW1112" s="623">
        <f>XI_Wdrożenie!AW15</f>
        <v/>
      </c>
      <c r="AX1112" s="275">
        <f>XI_Wdrożenie!AX15</f>
        <v/>
      </c>
      <c r="AY1112" s="275">
        <f>XI_Wdrożenie!AY15</f>
        <v/>
      </c>
      <c r="AZ1112" s="275">
        <f>XI_Wdrożenie!AZ15</f>
        <v/>
      </c>
      <c r="BA1112" s="275">
        <f>XI_Wdrożenie!BA15</f>
        <v/>
      </c>
      <c r="BB1112" s="275">
        <f>XI_Wdrożenie!BB15</f>
        <v/>
      </c>
      <c r="BC1112" s="275">
        <f>XI_Wdrożenie!BC15</f>
        <v/>
      </c>
      <c r="BD1112" s="275">
        <f>XI_Wdrożenie!BD15</f>
        <v/>
      </c>
      <c r="BE1112" s="275">
        <f>XI_Wdrożenie!BE15</f>
        <v/>
      </c>
      <c r="BF1112" s="275">
        <f>XI_Wdrożenie!BF15</f>
        <v/>
      </c>
      <c r="BG1112" s="275">
        <f>XI_Wdrożenie!BG15</f>
        <v/>
      </c>
      <c r="BH1112" s="275">
        <f>XI_Wdrożenie!BH15</f>
        <v/>
      </c>
      <c r="BI1112" s="275">
        <f>XI_Wdrożenie!BI15</f>
        <v/>
      </c>
      <c r="BJ1112">
        <f>O1112</f>
        <v/>
      </c>
      <c r="BK1112">
        <f>SUM(AG1112:AW1112)</f>
        <v/>
      </c>
      <c r="BL1112" s="531">
        <f>BJ1112-BK1112</f>
        <v/>
      </c>
      <c r="BM1112" s="201" t="n"/>
    </row>
    <row r="1113" hidden="1" outlineLevel="1" s="191">
      <c r="A1113" s="275">
        <f>XI_Wdrożenie!A16</f>
        <v/>
      </c>
      <c r="B1113" s="275">
        <f>XI_Wdrożenie!B16</f>
        <v/>
      </c>
      <c r="C1113" s="275">
        <f>XI_Wdrożenie!C16</f>
        <v/>
      </c>
      <c r="D1113" s="275">
        <f>XI_Wdrożenie!D16</f>
        <v/>
      </c>
      <c r="E1113" s="275">
        <f>XI_Wdrożenie!E16</f>
        <v/>
      </c>
      <c r="F1113" s="275">
        <f>XI_Wdrożenie!F16</f>
        <v/>
      </c>
      <c r="G1113" s="275">
        <f>XI_Wdrożenie!G16</f>
        <v/>
      </c>
      <c r="H1113" s="275">
        <f>XI_Wdrożenie!H16</f>
        <v/>
      </c>
      <c r="I1113" s="275">
        <f>XI_Wdrożenie!I16</f>
        <v/>
      </c>
      <c r="J1113" s="275">
        <f>XI_Wdrożenie!J16</f>
        <v/>
      </c>
      <c r="K1113" s="672">
        <f>XI_Wdrożenie!K16</f>
        <v/>
      </c>
      <c r="L1113" s="672">
        <f>XI_Wdrożenie!L16</f>
        <v/>
      </c>
      <c r="M1113" s="275">
        <f>XI_Wdrożenie!M16</f>
        <v/>
      </c>
      <c r="N1113" s="275">
        <f>XI_Wdrożenie!N16</f>
        <v/>
      </c>
      <c r="O1113" s="275">
        <f>XI_Wdrożenie!O16</f>
        <v/>
      </c>
      <c r="P1113" s="632">
        <f>XI_Wdrożenie!P16</f>
        <v/>
      </c>
      <c r="Q1113" s="632">
        <f>XI_Wdrożenie!Q16</f>
        <v/>
      </c>
      <c r="R1113" s="632">
        <f>XI_Wdrożenie!R16</f>
        <v/>
      </c>
      <c r="S1113" s="632">
        <f>XI_Wdrożenie!S16</f>
        <v/>
      </c>
      <c r="T1113" s="632">
        <f>XI_Wdrożenie!T16</f>
        <v/>
      </c>
      <c r="U1113" s="632">
        <f>XI_Wdrożenie!U16</f>
        <v/>
      </c>
      <c r="V1113" s="632">
        <f>XI_Wdrożenie!V16</f>
        <v/>
      </c>
      <c r="W1113" s="632">
        <f>XI_Wdrożenie!W16</f>
        <v/>
      </c>
      <c r="X1113" s="632">
        <f>XI_Wdrożenie!X16</f>
        <v/>
      </c>
      <c r="Y1113" s="654">
        <f>XI_Wdrożenie!Y16</f>
        <v/>
      </c>
      <c r="Z1113" s="654">
        <f>XI_Wdrożenie!Z16</f>
        <v/>
      </c>
      <c r="AA1113" s="654">
        <f>XI_Wdrożenie!AA16</f>
        <v/>
      </c>
      <c r="AB1113" s="654">
        <f>XI_Wdrożenie!AB16</f>
        <v/>
      </c>
      <c r="AC1113" s="617">
        <f>XI_Wdrożenie!AC16</f>
        <v/>
      </c>
      <c r="AD1113" s="617">
        <f>XI_Wdrożenie!AD16</f>
        <v/>
      </c>
      <c r="AE1113" s="617">
        <f>XI_Wdrożenie!AE16</f>
        <v/>
      </c>
      <c r="AF1113" s="617">
        <f>XI_Wdrożenie!AF16</f>
        <v/>
      </c>
      <c r="AG1113" s="259">
        <f>XI_Wdrożenie!AG16</f>
        <v/>
      </c>
      <c r="AH1113" s="259">
        <f>XI_Wdrożenie!AH16</f>
        <v/>
      </c>
      <c r="AI1113" s="259">
        <f>XI_Wdrożenie!AI16</f>
        <v/>
      </c>
      <c r="AJ1113" s="259">
        <f>XI_Wdrożenie!AJ16</f>
        <v/>
      </c>
      <c r="AK1113" s="259">
        <f>XI_Wdrożenie!AK16</f>
        <v/>
      </c>
      <c r="AL1113" s="259">
        <f>XI_Wdrożenie!AL16</f>
        <v/>
      </c>
      <c r="AM1113" s="259">
        <f>XI_Wdrożenie!AM16</f>
        <v/>
      </c>
      <c r="AN1113" s="259">
        <f>XI_Wdrożenie!AN16</f>
        <v/>
      </c>
      <c r="AO1113" s="259">
        <f>XI_Wdrożenie!AO16</f>
        <v/>
      </c>
      <c r="AP1113" s="647">
        <f>XI_Wdrożenie!AP16</f>
        <v/>
      </c>
      <c r="AQ1113" s="647">
        <f>XI_Wdrożenie!AQ16</f>
        <v/>
      </c>
      <c r="AR1113" s="647">
        <f>XI_Wdrożenie!AR16</f>
        <v/>
      </c>
      <c r="AS1113" s="647">
        <f>XI_Wdrożenie!AS16</f>
        <v/>
      </c>
      <c r="AT1113" s="623">
        <f>XI_Wdrożenie!AT16</f>
        <v/>
      </c>
      <c r="AU1113" s="623">
        <f>XI_Wdrożenie!AU16</f>
        <v/>
      </c>
      <c r="AV1113" s="623">
        <f>XI_Wdrożenie!AV16</f>
        <v/>
      </c>
      <c r="AW1113" s="623">
        <f>XI_Wdrożenie!AW16</f>
        <v/>
      </c>
      <c r="AX1113" s="275">
        <f>XI_Wdrożenie!AX16</f>
        <v/>
      </c>
      <c r="AY1113" s="275">
        <f>XI_Wdrożenie!AY16</f>
        <v/>
      </c>
      <c r="AZ1113" s="275">
        <f>XI_Wdrożenie!AZ16</f>
        <v/>
      </c>
      <c r="BA1113" s="275">
        <f>XI_Wdrożenie!BA16</f>
        <v/>
      </c>
      <c r="BB1113" s="275">
        <f>XI_Wdrożenie!BB16</f>
        <v/>
      </c>
      <c r="BC1113" s="275">
        <f>XI_Wdrożenie!BC16</f>
        <v/>
      </c>
      <c r="BD1113" s="275">
        <f>XI_Wdrożenie!BD16</f>
        <v/>
      </c>
      <c r="BE1113" s="275">
        <f>XI_Wdrożenie!BE16</f>
        <v/>
      </c>
      <c r="BF1113" s="275">
        <f>XI_Wdrożenie!BF16</f>
        <v/>
      </c>
      <c r="BG1113" s="275">
        <f>XI_Wdrożenie!BG16</f>
        <v/>
      </c>
      <c r="BH1113" s="275">
        <f>XI_Wdrożenie!BH16</f>
        <v/>
      </c>
      <c r="BI1113" s="275">
        <f>XI_Wdrożenie!BI16</f>
        <v/>
      </c>
      <c r="BJ1113">
        <f>O1113</f>
        <v/>
      </c>
      <c r="BK1113">
        <f>SUM(AG1113:AW1113)</f>
        <v/>
      </c>
      <c r="BL1113" s="531">
        <f>BJ1113-BK1113</f>
        <v/>
      </c>
      <c r="BM1113" s="201" t="n"/>
    </row>
    <row r="1114" hidden="1" outlineLevel="1" s="191">
      <c r="A1114" s="275">
        <f>XI_Wdrożenie!A17</f>
        <v/>
      </c>
      <c r="B1114" s="275">
        <f>XI_Wdrożenie!B17</f>
        <v/>
      </c>
      <c r="C1114" s="275">
        <f>XI_Wdrożenie!C17</f>
        <v/>
      </c>
      <c r="D1114" s="275">
        <f>XI_Wdrożenie!D17</f>
        <v/>
      </c>
      <c r="E1114" s="275">
        <f>XI_Wdrożenie!E17</f>
        <v/>
      </c>
      <c r="F1114" s="275">
        <f>XI_Wdrożenie!F17</f>
        <v/>
      </c>
      <c r="G1114" s="275">
        <f>XI_Wdrożenie!G17</f>
        <v/>
      </c>
      <c r="H1114" s="275">
        <f>XI_Wdrożenie!H17</f>
        <v/>
      </c>
      <c r="I1114" s="275">
        <f>XI_Wdrożenie!I17</f>
        <v/>
      </c>
      <c r="J1114" s="275">
        <f>XI_Wdrożenie!J17</f>
        <v/>
      </c>
      <c r="K1114" s="672">
        <f>XI_Wdrożenie!K17</f>
        <v/>
      </c>
      <c r="L1114" s="672">
        <f>XI_Wdrożenie!L17</f>
        <v/>
      </c>
      <c r="M1114" s="275">
        <f>XI_Wdrożenie!M17</f>
        <v/>
      </c>
      <c r="N1114" s="275">
        <f>XI_Wdrożenie!N17</f>
        <v/>
      </c>
      <c r="O1114" s="275">
        <f>XI_Wdrożenie!O17</f>
        <v/>
      </c>
      <c r="P1114" s="632">
        <f>XI_Wdrożenie!P17</f>
        <v/>
      </c>
      <c r="Q1114" s="632">
        <f>XI_Wdrożenie!Q17</f>
        <v/>
      </c>
      <c r="R1114" s="632">
        <f>XI_Wdrożenie!R17</f>
        <v/>
      </c>
      <c r="S1114" s="632">
        <f>XI_Wdrożenie!S17</f>
        <v/>
      </c>
      <c r="T1114" s="632">
        <f>XI_Wdrożenie!T17</f>
        <v/>
      </c>
      <c r="U1114" s="632">
        <f>XI_Wdrożenie!U17</f>
        <v/>
      </c>
      <c r="V1114" s="632">
        <f>XI_Wdrożenie!V17</f>
        <v/>
      </c>
      <c r="W1114" s="632">
        <f>XI_Wdrożenie!W17</f>
        <v/>
      </c>
      <c r="X1114" s="632">
        <f>XI_Wdrożenie!X17</f>
        <v/>
      </c>
      <c r="Y1114" s="654">
        <f>XI_Wdrożenie!Y17</f>
        <v/>
      </c>
      <c r="Z1114" s="654">
        <f>XI_Wdrożenie!Z17</f>
        <v/>
      </c>
      <c r="AA1114" s="654">
        <f>XI_Wdrożenie!AA17</f>
        <v/>
      </c>
      <c r="AB1114" s="654">
        <f>XI_Wdrożenie!AB17</f>
        <v/>
      </c>
      <c r="AC1114" s="617">
        <f>XI_Wdrożenie!AC17</f>
        <v/>
      </c>
      <c r="AD1114" s="617">
        <f>XI_Wdrożenie!AD17</f>
        <v/>
      </c>
      <c r="AE1114" s="617">
        <f>XI_Wdrożenie!AE17</f>
        <v/>
      </c>
      <c r="AF1114" s="617">
        <f>XI_Wdrożenie!AF17</f>
        <v/>
      </c>
      <c r="AG1114" s="259">
        <f>XI_Wdrożenie!AG17</f>
        <v/>
      </c>
      <c r="AH1114" s="259">
        <f>XI_Wdrożenie!AH17</f>
        <v/>
      </c>
      <c r="AI1114" s="259">
        <f>XI_Wdrożenie!AI17</f>
        <v/>
      </c>
      <c r="AJ1114" s="259">
        <f>XI_Wdrożenie!AJ17</f>
        <v/>
      </c>
      <c r="AK1114" s="259">
        <f>XI_Wdrożenie!AK17</f>
        <v/>
      </c>
      <c r="AL1114" s="259">
        <f>XI_Wdrożenie!AL17</f>
        <v/>
      </c>
      <c r="AM1114" s="259">
        <f>XI_Wdrożenie!AM17</f>
        <v/>
      </c>
      <c r="AN1114" s="259">
        <f>XI_Wdrożenie!AN17</f>
        <v/>
      </c>
      <c r="AO1114" s="259">
        <f>XI_Wdrożenie!AO17</f>
        <v/>
      </c>
      <c r="AP1114" s="647">
        <f>XI_Wdrożenie!AP17</f>
        <v/>
      </c>
      <c r="AQ1114" s="647">
        <f>XI_Wdrożenie!AQ17</f>
        <v/>
      </c>
      <c r="AR1114" s="647">
        <f>XI_Wdrożenie!AR17</f>
        <v/>
      </c>
      <c r="AS1114" s="647">
        <f>XI_Wdrożenie!AS17</f>
        <v/>
      </c>
      <c r="AT1114" s="623">
        <f>XI_Wdrożenie!AT17</f>
        <v/>
      </c>
      <c r="AU1114" s="623">
        <f>XI_Wdrożenie!AU17</f>
        <v/>
      </c>
      <c r="AV1114" s="623">
        <f>XI_Wdrożenie!AV17</f>
        <v/>
      </c>
      <c r="AW1114" s="623">
        <f>XI_Wdrożenie!AW17</f>
        <v/>
      </c>
      <c r="AX1114" s="275">
        <f>XI_Wdrożenie!AX17</f>
        <v/>
      </c>
      <c r="AY1114" s="275">
        <f>XI_Wdrożenie!AY17</f>
        <v/>
      </c>
      <c r="AZ1114" s="275">
        <f>XI_Wdrożenie!AZ17</f>
        <v/>
      </c>
      <c r="BA1114" s="275">
        <f>XI_Wdrożenie!BA17</f>
        <v/>
      </c>
      <c r="BB1114" s="275">
        <f>XI_Wdrożenie!BB17</f>
        <v/>
      </c>
      <c r="BC1114" s="275">
        <f>XI_Wdrożenie!BC17</f>
        <v/>
      </c>
      <c r="BD1114" s="275">
        <f>XI_Wdrożenie!BD17</f>
        <v/>
      </c>
      <c r="BE1114" s="275">
        <f>XI_Wdrożenie!BE17</f>
        <v/>
      </c>
      <c r="BF1114" s="275">
        <f>XI_Wdrożenie!BF17</f>
        <v/>
      </c>
      <c r="BG1114" s="275">
        <f>XI_Wdrożenie!BG17</f>
        <v/>
      </c>
      <c r="BH1114" s="275">
        <f>XI_Wdrożenie!BH17</f>
        <v/>
      </c>
      <c r="BI1114" s="275">
        <f>XI_Wdrożenie!BI17</f>
        <v/>
      </c>
      <c r="BJ1114">
        <f>O1114</f>
        <v/>
      </c>
      <c r="BK1114">
        <f>SUM(AG1114:AW1114)</f>
        <v/>
      </c>
      <c r="BL1114" s="531">
        <f>BJ1114-BK1114</f>
        <v/>
      </c>
      <c r="BM1114" s="201" t="n"/>
    </row>
    <row r="1115" hidden="1" outlineLevel="1" s="191">
      <c r="A1115" s="275">
        <f>XI_Wdrożenie!A18</f>
        <v/>
      </c>
      <c r="B1115" s="275">
        <f>XI_Wdrożenie!B18</f>
        <v/>
      </c>
      <c r="C1115" s="275">
        <f>XI_Wdrożenie!C18</f>
        <v/>
      </c>
      <c r="D1115" s="275">
        <f>XI_Wdrożenie!D18</f>
        <v/>
      </c>
      <c r="E1115" s="275">
        <f>XI_Wdrożenie!E18</f>
        <v/>
      </c>
      <c r="F1115" s="275">
        <f>XI_Wdrożenie!F18</f>
        <v/>
      </c>
      <c r="G1115" s="275">
        <f>XI_Wdrożenie!G18</f>
        <v/>
      </c>
      <c r="H1115" s="275">
        <f>XI_Wdrożenie!H18</f>
        <v/>
      </c>
      <c r="I1115" s="275">
        <f>XI_Wdrożenie!I18</f>
        <v/>
      </c>
      <c r="J1115" s="275">
        <f>XI_Wdrożenie!J18</f>
        <v/>
      </c>
      <c r="K1115" s="672">
        <f>XI_Wdrożenie!K18</f>
        <v/>
      </c>
      <c r="L1115" s="672">
        <f>XI_Wdrożenie!L18</f>
        <v/>
      </c>
      <c r="M1115" s="275">
        <f>XI_Wdrożenie!M18</f>
        <v/>
      </c>
      <c r="N1115" s="275">
        <f>XI_Wdrożenie!N18</f>
        <v/>
      </c>
      <c r="O1115" s="275">
        <f>XI_Wdrożenie!O18</f>
        <v/>
      </c>
      <c r="P1115" s="632">
        <f>XI_Wdrożenie!P18</f>
        <v/>
      </c>
      <c r="Q1115" s="632">
        <f>XI_Wdrożenie!Q18</f>
        <v/>
      </c>
      <c r="R1115" s="632">
        <f>XI_Wdrożenie!R18</f>
        <v/>
      </c>
      <c r="S1115" s="632">
        <f>XI_Wdrożenie!S18</f>
        <v/>
      </c>
      <c r="T1115" s="632">
        <f>XI_Wdrożenie!T18</f>
        <v/>
      </c>
      <c r="U1115" s="632">
        <f>XI_Wdrożenie!U18</f>
        <v/>
      </c>
      <c r="V1115" s="632">
        <f>XI_Wdrożenie!V18</f>
        <v/>
      </c>
      <c r="W1115" s="632">
        <f>XI_Wdrożenie!W18</f>
        <v/>
      </c>
      <c r="X1115" s="632">
        <f>XI_Wdrożenie!X18</f>
        <v/>
      </c>
      <c r="Y1115" s="654">
        <f>XI_Wdrożenie!Y18</f>
        <v/>
      </c>
      <c r="Z1115" s="654">
        <f>XI_Wdrożenie!Z18</f>
        <v/>
      </c>
      <c r="AA1115" s="654">
        <f>XI_Wdrożenie!AA18</f>
        <v/>
      </c>
      <c r="AB1115" s="654">
        <f>XI_Wdrożenie!AB18</f>
        <v/>
      </c>
      <c r="AC1115" s="617">
        <f>XI_Wdrożenie!AC18</f>
        <v/>
      </c>
      <c r="AD1115" s="617">
        <f>XI_Wdrożenie!AD18</f>
        <v/>
      </c>
      <c r="AE1115" s="617">
        <f>XI_Wdrożenie!AE18</f>
        <v/>
      </c>
      <c r="AF1115" s="617">
        <f>XI_Wdrożenie!AF18</f>
        <v/>
      </c>
      <c r="AG1115" s="259">
        <f>XI_Wdrożenie!AG18</f>
        <v/>
      </c>
      <c r="AH1115" s="259">
        <f>XI_Wdrożenie!AH18</f>
        <v/>
      </c>
      <c r="AI1115" s="259">
        <f>XI_Wdrożenie!AI18</f>
        <v/>
      </c>
      <c r="AJ1115" s="259">
        <f>XI_Wdrożenie!AJ18</f>
        <v/>
      </c>
      <c r="AK1115" s="259">
        <f>XI_Wdrożenie!AK18</f>
        <v/>
      </c>
      <c r="AL1115" s="259">
        <f>XI_Wdrożenie!AL18</f>
        <v/>
      </c>
      <c r="AM1115" s="259">
        <f>XI_Wdrożenie!AM18</f>
        <v/>
      </c>
      <c r="AN1115" s="259">
        <f>XI_Wdrożenie!AN18</f>
        <v/>
      </c>
      <c r="AO1115" s="259">
        <f>XI_Wdrożenie!AO18</f>
        <v/>
      </c>
      <c r="AP1115" s="647">
        <f>XI_Wdrożenie!AP18</f>
        <v/>
      </c>
      <c r="AQ1115" s="647">
        <f>XI_Wdrożenie!AQ18</f>
        <v/>
      </c>
      <c r="AR1115" s="647">
        <f>XI_Wdrożenie!AR18</f>
        <v/>
      </c>
      <c r="AS1115" s="647">
        <f>XI_Wdrożenie!AS18</f>
        <v/>
      </c>
      <c r="AT1115" s="623">
        <f>XI_Wdrożenie!AT18</f>
        <v/>
      </c>
      <c r="AU1115" s="623">
        <f>XI_Wdrożenie!AU18</f>
        <v/>
      </c>
      <c r="AV1115" s="623">
        <f>XI_Wdrożenie!AV18</f>
        <v/>
      </c>
      <c r="AW1115" s="623">
        <f>XI_Wdrożenie!AW18</f>
        <v/>
      </c>
      <c r="AX1115" s="275">
        <f>XI_Wdrożenie!AX18</f>
        <v/>
      </c>
      <c r="AY1115" s="275">
        <f>XI_Wdrożenie!AY18</f>
        <v/>
      </c>
      <c r="AZ1115" s="275">
        <f>XI_Wdrożenie!AZ18</f>
        <v/>
      </c>
      <c r="BA1115" s="275">
        <f>XI_Wdrożenie!BA18</f>
        <v/>
      </c>
      <c r="BB1115" s="275">
        <f>XI_Wdrożenie!BB18</f>
        <v/>
      </c>
      <c r="BC1115" s="275">
        <f>XI_Wdrożenie!BC18</f>
        <v/>
      </c>
      <c r="BD1115" s="275">
        <f>XI_Wdrożenie!BD18</f>
        <v/>
      </c>
      <c r="BE1115" s="275">
        <f>XI_Wdrożenie!BE18</f>
        <v/>
      </c>
      <c r="BF1115" s="275">
        <f>XI_Wdrożenie!BF18</f>
        <v/>
      </c>
      <c r="BG1115" s="275">
        <f>XI_Wdrożenie!BG18</f>
        <v/>
      </c>
      <c r="BH1115" s="275">
        <f>XI_Wdrożenie!BH18</f>
        <v/>
      </c>
      <c r="BI1115" s="275">
        <f>XI_Wdrożenie!BI18</f>
        <v/>
      </c>
      <c r="BJ1115">
        <f>O1115</f>
        <v/>
      </c>
      <c r="BK1115">
        <f>SUM(AG1115:AW1115)</f>
        <v/>
      </c>
      <c r="BL1115" s="531">
        <f>BJ1115-BK1115</f>
        <v/>
      </c>
      <c r="BM1115" s="201" t="n"/>
    </row>
    <row r="1116" hidden="1" outlineLevel="1" s="191">
      <c r="A1116" s="275">
        <f>XI_Wdrożenie!A19</f>
        <v/>
      </c>
      <c r="B1116" s="275">
        <f>XI_Wdrożenie!B19</f>
        <v/>
      </c>
      <c r="C1116" s="275">
        <f>XI_Wdrożenie!C19</f>
        <v/>
      </c>
      <c r="D1116" s="275">
        <f>XI_Wdrożenie!D19</f>
        <v/>
      </c>
      <c r="E1116" s="275">
        <f>XI_Wdrożenie!E19</f>
        <v/>
      </c>
      <c r="F1116" s="275">
        <f>XI_Wdrożenie!F19</f>
        <v/>
      </c>
      <c r="G1116" s="275">
        <f>XI_Wdrożenie!G19</f>
        <v/>
      </c>
      <c r="H1116" s="275">
        <f>XI_Wdrożenie!H19</f>
        <v/>
      </c>
      <c r="I1116" s="275">
        <f>XI_Wdrożenie!I19</f>
        <v/>
      </c>
      <c r="J1116" s="275">
        <f>XI_Wdrożenie!J19</f>
        <v/>
      </c>
      <c r="K1116" s="672">
        <f>XI_Wdrożenie!K19</f>
        <v/>
      </c>
      <c r="L1116" s="672">
        <f>XI_Wdrożenie!L19</f>
        <v/>
      </c>
      <c r="M1116" s="275">
        <f>XI_Wdrożenie!M19</f>
        <v/>
      </c>
      <c r="N1116" s="275">
        <f>XI_Wdrożenie!N19</f>
        <v/>
      </c>
      <c r="O1116" s="275">
        <f>XI_Wdrożenie!O19</f>
        <v/>
      </c>
      <c r="P1116" s="632">
        <f>XI_Wdrożenie!P19</f>
        <v/>
      </c>
      <c r="Q1116" s="632">
        <f>XI_Wdrożenie!Q19</f>
        <v/>
      </c>
      <c r="R1116" s="632">
        <f>XI_Wdrożenie!R19</f>
        <v/>
      </c>
      <c r="S1116" s="632">
        <f>XI_Wdrożenie!S19</f>
        <v/>
      </c>
      <c r="T1116" s="632">
        <f>XI_Wdrożenie!T19</f>
        <v/>
      </c>
      <c r="U1116" s="632">
        <f>XI_Wdrożenie!U19</f>
        <v/>
      </c>
      <c r="V1116" s="632">
        <f>XI_Wdrożenie!V19</f>
        <v/>
      </c>
      <c r="W1116" s="632">
        <f>XI_Wdrożenie!W19</f>
        <v/>
      </c>
      <c r="X1116" s="632">
        <f>XI_Wdrożenie!X19</f>
        <v/>
      </c>
      <c r="Y1116" s="654">
        <f>XI_Wdrożenie!Y19</f>
        <v/>
      </c>
      <c r="Z1116" s="654">
        <f>XI_Wdrożenie!Z19</f>
        <v/>
      </c>
      <c r="AA1116" s="654">
        <f>XI_Wdrożenie!AA19</f>
        <v/>
      </c>
      <c r="AB1116" s="654">
        <f>XI_Wdrożenie!AB19</f>
        <v/>
      </c>
      <c r="AC1116" s="617">
        <f>XI_Wdrożenie!AC19</f>
        <v/>
      </c>
      <c r="AD1116" s="617">
        <f>XI_Wdrożenie!AD19</f>
        <v/>
      </c>
      <c r="AE1116" s="617">
        <f>XI_Wdrożenie!AE19</f>
        <v/>
      </c>
      <c r="AF1116" s="617">
        <f>XI_Wdrożenie!AF19</f>
        <v/>
      </c>
      <c r="AG1116" s="259">
        <f>XI_Wdrożenie!AG19</f>
        <v/>
      </c>
      <c r="AH1116" s="259">
        <f>XI_Wdrożenie!AH19</f>
        <v/>
      </c>
      <c r="AI1116" s="259">
        <f>XI_Wdrożenie!AI19</f>
        <v/>
      </c>
      <c r="AJ1116" s="259">
        <f>XI_Wdrożenie!AJ19</f>
        <v/>
      </c>
      <c r="AK1116" s="259">
        <f>XI_Wdrożenie!AK19</f>
        <v/>
      </c>
      <c r="AL1116" s="259">
        <f>XI_Wdrożenie!AL19</f>
        <v/>
      </c>
      <c r="AM1116" s="259">
        <f>XI_Wdrożenie!AM19</f>
        <v/>
      </c>
      <c r="AN1116" s="259">
        <f>XI_Wdrożenie!AN19</f>
        <v/>
      </c>
      <c r="AO1116" s="259">
        <f>XI_Wdrożenie!AO19</f>
        <v/>
      </c>
      <c r="AP1116" s="647">
        <f>XI_Wdrożenie!AP19</f>
        <v/>
      </c>
      <c r="AQ1116" s="647">
        <f>XI_Wdrożenie!AQ19</f>
        <v/>
      </c>
      <c r="AR1116" s="647">
        <f>XI_Wdrożenie!AR19</f>
        <v/>
      </c>
      <c r="AS1116" s="647">
        <f>XI_Wdrożenie!AS19</f>
        <v/>
      </c>
      <c r="AT1116" s="623">
        <f>XI_Wdrożenie!AT19</f>
        <v/>
      </c>
      <c r="AU1116" s="623">
        <f>XI_Wdrożenie!AU19</f>
        <v/>
      </c>
      <c r="AV1116" s="623">
        <f>XI_Wdrożenie!AV19</f>
        <v/>
      </c>
      <c r="AW1116" s="623">
        <f>XI_Wdrożenie!AW19</f>
        <v/>
      </c>
      <c r="AX1116" s="275">
        <f>XI_Wdrożenie!AX19</f>
        <v/>
      </c>
      <c r="AY1116" s="275">
        <f>XI_Wdrożenie!AY19</f>
        <v/>
      </c>
      <c r="AZ1116" s="275">
        <f>XI_Wdrożenie!AZ19</f>
        <v/>
      </c>
      <c r="BA1116" s="275">
        <f>XI_Wdrożenie!BA19</f>
        <v/>
      </c>
      <c r="BB1116" s="275">
        <f>XI_Wdrożenie!BB19</f>
        <v/>
      </c>
      <c r="BC1116" s="275">
        <f>XI_Wdrożenie!BC19</f>
        <v/>
      </c>
      <c r="BD1116" s="275">
        <f>XI_Wdrożenie!BD19</f>
        <v/>
      </c>
      <c r="BE1116" s="275">
        <f>XI_Wdrożenie!BE19</f>
        <v/>
      </c>
      <c r="BF1116" s="275">
        <f>XI_Wdrożenie!BF19</f>
        <v/>
      </c>
      <c r="BG1116" s="275">
        <f>XI_Wdrożenie!BG19</f>
        <v/>
      </c>
      <c r="BH1116" s="275">
        <f>XI_Wdrożenie!BH19</f>
        <v/>
      </c>
      <c r="BI1116" s="275">
        <f>XI_Wdrożenie!BI19</f>
        <v/>
      </c>
      <c r="BJ1116">
        <f>O1116</f>
        <v/>
      </c>
      <c r="BK1116">
        <f>SUM(AG1116:AW1116)</f>
        <v/>
      </c>
      <c r="BL1116" s="531">
        <f>BJ1116-BK1116</f>
        <v/>
      </c>
      <c r="BM1116" s="201" t="n"/>
    </row>
    <row r="1117" hidden="1" outlineLevel="1" s="191">
      <c r="A1117" s="275">
        <f>XI_Wdrożenie!A20</f>
        <v/>
      </c>
      <c r="B1117" s="275">
        <f>XI_Wdrożenie!B20</f>
        <v/>
      </c>
      <c r="C1117" s="275">
        <f>XI_Wdrożenie!C20</f>
        <v/>
      </c>
      <c r="D1117" s="275">
        <f>XI_Wdrożenie!D20</f>
        <v/>
      </c>
      <c r="E1117" s="275">
        <f>XI_Wdrożenie!E20</f>
        <v/>
      </c>
      <c r="F1117" s="275">
        <f>XI_Wdrożenie!F20</f>
        <v/>
      </c>
      <c r="G1117" s="275">
        <f>XI_Wdrożenie!G20</f>
        <v/>
      </c>
      <c r="H1117" s="275">
        <f>XI_Wdrożenie!H20</f>
        <v/>
      </c>
      <c r="I1117" s="275">
        <f>XI_Wdrożenie!I20</f>
        <v/>
      </c>
      <c r="J1117" s="275">
        <f>XI_Wdrożenie!J20</f>
        <v/>
      </c>
      <c r="K1117" s="672">
        <f>XI_Wdrożenie!K20</f>
        <v/>
      </c>
      <c r="L1117" s="672">
        <f>XI_Wdrożenie!L20</f>
        <v/>
      </c>
      <c r="M1117" s="275">
        <f>XI_Wdrożenie!M20</f>
        <v/>
      </c>
      <c r="N1117" s="275">
        <f>XI_Wdrożenie!N20</f>
        <v/>
      </c>
      <c r="O1117" s="275">
        <f>XI_Wdrożenie!O20</f>
        <v/>
      </c>
      <c r="P1117" s="632">
        <f>XI_Wdrożenie!P20</f>
        <v/>
      </c>
      <c r="Q1117" s="632">
        <f>XI_Wdrożenie!Q20</f>
        <v/>
      </c>
      <c r="R1117" s="632">
        <f>XI_Wdrożenie!R20</f>
        <v/>
      </c>
      <c r="S1117" s="632">
        <f>XI_Wdrożenie!S20</f>
        <v/>
      </c>
      <c r="T1117" s="632">
        <f>XI_Wdrożenie!T20</f>
        <v/>
      </c>
      <c r="U1117" s="632">
        <f>XI_Wdrożenie!U20</f>
        <v/>
      </c>
      <c r="V1117" s="632">
        <f>XI_Wdrożenie!V20</f>
        <v/>
      </c>
      <c r="W1117" s="632">
        <f>XI_Wdrożenie!W20</f>
        <v/>
      </c>
      <c r="X1117" s="632">
        <f>XI_Wdrożenie!X20</f>
        <v/>
      </c>
      <c r="Y1117" s="654">
        <f>XI_Wdrożenie!Y20</f>
        <v/>
      </c>
      <c r="Z1117" s="654">
        <f>XI_Wdrożenie!Z20</f>
        <v/>
      </c>
      <c r="AA1117" s="654">
        <f>XI_Wdrożenie!AA20</f>
        <v/>
      </c>
      <c r="AB1117" s="654">
        <f>XI_Wdrożenie!AB20</f>
        <v/>
      </c>
      <c r="AC1117" s="617">
        <f>XI_Wdrożenie!AC20</f>
        <v/>
      </c>
      <c r="AD1117" s="617">
        <f>XI_Wdrożenie!AD20</f>
        <v/>
      </c>
      <c r="AE1117" s="617">
        <f>XI_Wdrożenie!AE20</f>
        <v/>
      </c>
      <c r="AF1117" s="617">
        <f>XI_Wdrożenie!AF20</f>
        <v/>
      </c>
      <c r="AG1117" s="259">
        <f>XI_Wdrożenie!AG20</f>
        <v/>
      </c>
      <c r="AH1117" s="259">
        <f>XI_Wdrożenie!AH20</f>
        <v/>
      </c>
      <c r="AI1117" s="259">
        <f>XI_Wdrożenie!AI20</f>
        <v/>
      </c>
      <c r="AJ1117" s="259">
        <f>XI_Wdrożenie!AJ20</f>
        <v/>
      </c>
      <c r="AK1117" s="259">
        <f>XI_Wdrożenie!AK20</f>
        <v/>
      </c>
      <c r="AL1117" s="259">
        <f>XI_Wdrożenie!AL20</f>
        <v/>
      </c>
      <c r="AM1117" s="259">
        <f>XI_Wdrożenie!AM20</f>
        <v/>
      </c>
      <c r="AN1117" s="259">
        <f>XI_Wdrożenie!AN20</f>
        <v/>
      </c>
      <c r="AO1117" s="259">
        <f>XI_Wdrożenie!AO20</f>
        <v/>
      </c>
      <c r="AP1117" s="647">
        <f>XI_Wdrożenie!AP20</f>
        <v/>
      </c>
      <c r="AQ1117" s="647">
        <f>XI_Wdrożenie!AQ20</f>
        <v/>
      </c>
      <c r="AR1117" s="647">
        <f>XI_Wdrożenie!AR20</f>
        <v/>
      </c>
      <c r="AS1117" s="647">
        <f>XI_Wdrożenie!AS20</f>
        <v/>
      </c>
      <c r="AT1117" s="623">
        <f>XI_Wdrożenie!AT20</f>
        <v/>
      </c>
      <c r="AU1117" s="623">
        <f>XI_Wdrożenie!AU20</f>
        <v/>
      </c>
      <c r="AV1117" s="623">
        <f>XI_Wdrożenie!AV20</f>
        <v/>
      </c>
      <c r="AW1117" s="623">
        <f>XI_Wdrożenie!AW20</f>
        <v/>
      </c>
      <c r="AX1117" s="275">
        <f>XI_Wdrożenie!AX20</f>
        <v/>
      </c>
      <c r="AY1117" s="275">
        <f>XI_Wdrożenie!AY20</f>
        <v/>
      </c>
      <c r="AZ1117" s="275">
        <f>XI_Wdrożenie!AZ20</f>
        <v/>
      </c>
      <c r="BA1117" s="275">
        <f>XI_Wdrożenie!BA20</f>
        <v/>
      </c>
      <c r="BB1117" s="275">
        <f>XI_Wdrożenie!BB20</f>
        <v/>
      </c>
      <c r="BC1117" s="275">
        <f>XI_Wdrożenie!BC20</f>
        <v/>
      </c>
      <c r="BD1117" s="275">
        <f>XI_Wdrożenie!BD20</f>
        <v/>
      </c>
      <c r="BE1117" s="275">
        <f>XI_Wdrożenie!BE20</f>
        <v/>
      </c>
      <c r="BF1117" s="275">
        <f>XI_Wdrożenie!BF20</f>
        <v/>
      </c>
      <c r="BG1117" s="275">
        <f>XI_Wdrożenie!BG20</f>
        <v/>
      </c>
      <c r="BH1117" s="275">
        <f>XI_Wdrożenie!BH20</f>
        <v/>
      </c>
      <c r="BI1117" s="275">
        <f>XI_Wdrożenie!BI20</f>
        <v/>
      </c>
      <c r="BJ1117">
        <f>O1117</f>
        <v/>
      </c>
      <c r="BK1117">
        <f>SUM(AG1117:AW1117)</f>
        <v/>
      </c>
      <c r="BL1117" s="531">
        <f>BJ1117-BK1117</f>
        <v/>
      </c>
      <c r="BM1117" s="201" t="n"/>
    </row>
    <row r="1118" hidden="1" outlineLevel="1" s="191">
      <c r="A1118" s="275">
        <f>XI_Wdrożenie!A21</f>
        <v/>
      </c>
      <c r="B1118" s="275">
        <f>XI_Wdrożenie!B21</f>
        <v/>
      </c>
      <c r="C1118" s="275">
        <f>XI_Wdrożenie!C21</f>
        <v/>
      </c>
      <c r="D1118" s="275">
        <f>XI_Wdrożenie!D21</f>
        <v/>
      </c>
      <c r="E1118" s="275">
        <f>XI_Wdrożenie!E21</f>
        <v/>
      </c>
      <c r="F1118" s="275">
        <f>XI_Wdrożenie!F21</f>
        <v/>
      </c>
      <c r="G1118" s="275">
        <f>XI_Wdrożenie!G21</f>
        <v/>
      </c>
      <c r="H1118" s="275">
        <f>XI_Wdrożenie!H21</f>
        <v/>
      </c>
      <c r="I1118" s="275">
        <f>XI_Wdrożenie!I21</f>
        <v/>
      </c>
      <c r="J1118" s="275">
        <f>XI_Wdrożenie!J21</f>
        <v/>
      </c>
      <c r="K1118" s="672">
        <f>XI_Wdrożenie!K21</f>
        <v/>
      </c>
      <c r="L1118" s="672">
        <f>XI_Wdrożenie!L21</f>
        <v/>
      </c>
      <c r="M1118" s="275">
        <f>XI_Wdrożenie!M21</f>
        <v/>
      </c>
      <c r="N1118" s="275">
        <f>XI_Wdrożenie!N21</f>
        <v/>
      </c>
      <c r="O1118" s="275">
        <f>XI_Wdrożenie!O21</f>
        <v/>
      </c>
      <c r="P1118" s="632">
        <f>XI_Wdrożenie!P21</f>
        <v/>
      </c>
      <c r="Q1118" s="632">
        <f>XI_Wdrożenie!Q21</f>
        <v/>
      </c>
      <c r="R1118" s="632">
        <f>XI_Wdrożenie!R21</f>
        <v/>
      </c>
      <c r="S1118" s="632">
        <f>XI_Wdrożenie!S21</f>
        <v/>
      </c>
      <c r="T1118" s="632">
        <f>XI_Wdrożenie!T21</f>
        <v/>
      </c>
      <c r="U1118" s="632">
        <f>XI_Wdrożenie!U21</f>
        <v/>
      </c>
      <c r="V1118" s="632">
        <f>XI_Wdrożenie!V21</f>
        <v/>
      </c>
      <c r="W1118" s="632">
        <f>XI_Wdrożenie!W21</f>
        <v/>
      </c>
      <c r="X1118" s="632">
        <f>XI_Wdrożenie!X21</f>
        <v/>
      </c>
      <c r="Y1118" s="654">
        <f>XI_Wdrożenie!Y21</f>
        <v/>
      </c>
      <c r="Z1118" s="654">
        <f>XI_Wdrożenie!Z21</f>
        <v/>
      </c>
      <c r="AA1118" s="654">
        <f>XI_Wdrożenie!AA21</f>
        <v/>
      </c>
      <c r="AB1118" s="654">
        <f>XI_Wdrożenie!AB21</f>
        <v/>
      </c>
      <c r="AC1118" s="617">
        <f>XI_Wdrożenie!AC21</f>
        <v/>
      </c>
      <c r="AD1118" s="617">
        <f>XI_Wdrożenie!AD21</f>
        <v/>
      </c>
      <c r="AE1118" s="617">
        <f>XI_Wdrożenie!AE21</f>
        <v/>
      </c>
      <c r="AF1118" s="617">
        <f>XI_Wdrożenie!AF21</f>
        <v/>
      </c>
      <c r="AG1118" s="259">
        <f>XI_Wdrożenie!AG21</f>
        <v/>
      </c>
      <c r="AH1118" s="259">
        <f>XI_Wdrożenie!AH21</f>
        <v/>
      </c>
      <c r="AI1118" s="259">
        <f>XI_Wdrożenie!AI21</f>
        <v/>
      </c>
      <c r="AJ1118" s="259">
        <f>XI_Wdrożenie!AJ21</f>
        <v/>
      </c>
      <c r="AK1118" s="259">
        <f>XI_Wdrożenie!AK21</f>
        <v/>
      </c>
      <c r="AL1118" s="259">
        <f>XI_Wdrożenie!AL21</f>
        <v/>
      </c>
      <c r="AM1118" s="259">
        <f>XI_Wdrożenie!AM21</f>
        <v/>
      </c>
      <c r="AN1118" s="259">
        <f>XI_Wdrożenie!AN21</f>
        <v/>
      </c>
      <c r="AO1118" s="259">
        <f>XI_Wdrożenie!AO21</f>
        <v/>
      </c>
      <c r="AP1118" s="647">
        <f>XI_Wdrożenie!AP21</f>
        <v/>
      </c>
      <c r="AQ1118" s="647">
        <f>XI_Wdrożenie!AQ21</f>
        <v/>
      </c>
      <c r="AR1118" s="647">
        <f>XI_Wdrożenie!AR21</f>
        <v/>
      </c>
      <c r="AS1118" s="647">
        <f>XI_Wdrożenie!AS21</f>
        <v/>
      </c>
      <c r="AT1118" s="623">
        <f>XI_Wdrożenie!AT21</f>
        <v/>
      </c>
      <c r="AU1118" s="623">
        <f>XI_Wdrożenie!AU21</f>
        <v/>
      </c>
      <c r="AV1118" s="623">
        <f>XI_Wdrożenie!AV21</f>
        <v/>
      </c>
      <c r="AW1118" s="623">
        <f>XI_Wdrożenie!AW21</f>
        <v/>
      </c>
      <c r="AX1118" s="275">
        <f>XI_Wdrożenie!AX21</f>
        <v/>
      </c>
      <c r="AY1118" s="275">
        <f>XI_Wdrożenie!AY21</f>
        <v/>
      </c>
      <c r="AZ1118" s="275">
        <f>XI_Wdrożenie!AZ21</f>
        <v/>
      </c>
      <c r="BA1118" s="275">
        <f>XI_Wdrożenie!BA21</f>
        <v/>
      </c>
      <c r="BB1118" s="275">
        <f>XI_Wdrożenie!BB21</f>
        <v/>
      </c>
      <c r="BC1118" s="275">
        <f>XI_Wdrożenie!BC21</f>
        <v/>
      </c>
      <c r="BD1118" s="275">
        <f>XI_Wdrożenie!BD21</f>
        <v/>
      </c>
      <c r="BE1118" s="275">
        <f>XI_Wdrożenie!BE21</f>
        <v/>
      </c>
      <c r="BF1118" s="275">
        <f>XI_Wdrożenie!BF21</f>
        <v/>
      </c>
      <c r="BG1118" s="275">
        <f>XI_Wdrożenie!BG21</f>
        <v/>
      </c>
      <c r="BH1118" s="275">
        <f>XI_Wdrożenie!BH21</f>
        <v/>
      </c>
      <c r="BI1118" s="275">
        <f>XI_Wdrożenie!BI21</f>
        <v/>
      </c>
      <c r="BJ1118">
        <f>O1118</f>
        <v/>
      </c>
      <c r="BK1118">
        <f>SUM(AG1118:AW1118)</f>
        <v/>
      </c>
      <c r="BL1118" s="531">
        <f>BJ1118-BK1118</f>
        <v/>
      </c>
      <c r="BM1118" s="201" t="n"/>
    </row>
    <row r="1119" hidden="1" outlineLevel="1" s="191">
      <c r="A1119" s="275">
        <f>XI_Wdrożenie!A22</f>
        <v/>
      </c>
      <c r="B1119" s="275">
        <f>XI_Wdrożenie!B22</f>
        <v/>
      </c>
      <c r="C1119" s="275">
        <f>XI_Wdrożenie!C22</f>
        <v/>
      </c>
      <c r="D1119" s="275">
        <f>XI_Wdrożenie!D22</f>
        <v/>
      </c>
      <c r="E1119" s="275">
        <f>XI_Wdrożenie!E22</f>
        <v/>
      </c>
      <c r="F1119" s="275">
        <f>XI_Wdrożenie!F22</f>
        <v/>
      </c>
      <c r="G1119" s="275">
        <f>XI_Wdrożenie!G22</f>
        <v/>
      </c>
      <c r="H1119" s="275">
        <f>XI_Wdrożenie!H22</f>
        <v/>
      </c>
      <c r="I1119" s="275">
        <f>XI_Wdrożenie!I22</f>
        <v/>
      </c>
      <c r="J1119" s="275">
        <f>XI_Wdrożenie!J22</f>
        <v/>
      </c>
      <c r="K1119" s="672">
        <f>XI_Wdrożenie!K22</f>
        <v/>
      </c>
      <c r="L1119" s="672">
        <f>XI_Wdrożenie!L22</f>
        <v/>
      </c>
      <c r="M1119" s="275">
        <f>XI_Wdrożenie!M22</f>
        <v/>
      </c>
      <c r="N1119" s="275">
        <f>XI_Wdrożenie!N22</f>
        <v/>
      </c>
      <c r="O1119" s="275">
        <f>XI_Wdrożenie!O22</f>
        <v/>
      </c>
      <c r="P1119" s="632">
        <f>XI_Wdrożenie!P22</f>
        <v/>
      </c>
      <c r="Q1119" s="632">
        <f>XI_Wdrożenie!Q22</f>
        <v/>
      </c>
      <c r="R1119" s="632">
        <f>XI_Wdrożenie!R22</f>
        <v/>
      </c>
      <c r="S1119" s="632">
        <f>XI_Wdrożenie!S22</f>
        <v/>
      </c>
      <c r="T1119" s="632">
        <f>XI_Wdrożenie!T22</f>
        <v/>
      </c>
      <c r="U1119" s="632">
        <f>XI_Wdrożenie!U22</f>
        <v/>
      </c>
      <c r="V1119" s="632">
        <f>XI_Wdrożenie!V22</f>
        <v/>
      </c>
      <c r="W1119" s="632">
        <f>XI_Wdrożenie!W22</f>
        <v/>
      </c>
      <c r="X1119" s="632">
        <f>XI_Wdrożenie!X22</f>
        <v/>
      </c>
      <c r="Y1119" s="654">
        <f>XI_Wdrożenie!Y22</f>
        <v/>
      </c>
      <c r="Z1119" s="654">
        <f>XI_Wdrożenie!Z22</f>
        <v/>
      </c>
      <c r="AA1119" s="654">
        <f>XI_Wdrożenie!AA22</f>
        <v/>
      </c>
      <c r="AB1119" s="654">
        <f>XI_Wdrożenie!AB22</f>
        <v/>
      </c>
      <c r="AC1119" s="617">
        <f>XI_Wdrożenie!AC22</f>
        <v/>
      </c>
      <c r="AD1119" s="617">
        <f>XI_Wdrożenie!AD22</f>
        <v/>
      </c>
      <c r="AE1119" s="617">
        <f>XI_Wdrożenie!AE22</f>
        <v/>
      </c>
      <c r="AF1119" s="617">
        <f>XI_Wdrożenie!AF22</f>
        <v/>
      </c>
      <c r="AG1119" s="259">
        <f>XI_Wdrożenie!AG22</f>
        <v/>
      </c>
      <c r="AH1119" s="259">
        <f>XI_Wdrożenie!AH22</f>
        <v/>
      </c>
      <c r="AI1119" s="259">
        <f>XI_Wdrożenie!AI22</f>
        <v/>
      </c>
      <c r="AJ1119" s="259">
        <f>XI_Wdrożenie!AJ22</f>
        <v/>
      </c>
      <c r="AK1119" s="259">
        <f>XI_Wdrożenie!AK22</f>
        <v/>
      </c>
      <c r="AL1119" s="259">
        <f>XI_Wdrożenie!AL22</f>
        <v/>
      </c>
      <c r="AM1119" s="259">
        <f>XI_Wdrożenie!AM22</f>
        <v/>
      </c>
      <c r="AN1119" s="259">
        <f>XI_Wdrożenie!AN22</f>
        <v/>
      </c>
      <c r="AO1119" s="259">
        <f>XI_Wdrożenie!AO22</f>
        <v/>
      </c>
      <c r="AP1119" s="647">
        <f>XI_Wdrożenie!AP22</f>
        <v/>
      </c>
      <c r="AQ1119" s="647">
        <f>XI_Wdrożenie!AQ22</f>
        <v/>
      </c>
      <c r="AR1119" s="647">
        <f>XI_Wdrożenie!AR22</f>
        <v/>
      </c>
      <c r="AS1119" s="647">
        <f>XI_Wdrożenie!AS22</f>
        <v/>
      </c>
      <c r="AT1119" s="623">
        <f>XI_Wdrożenie!AT22</f>
        <v/>
      </c>
      <c r="AU1119" s="623">
        <f>XI_Wdrożenie!AU22</f>
        <v/>
      </c>
      <c r="AV1119" s="623">
        <f>XI_Wdrożenie!AV22</f>
        <v/>
      </c>
      <c r="AW1119" s="623">
        <f>XI_Wdrożenie!AW22</f>
        <v/>
      </c>
      <c r="AX1119" s="275">
        <f>XI_Wdrożenie!AX22</f>
        <v/>
      </c>
      <c r="AY1119" s="275">
        <f>XI_Wdrożenie!AY22</f>
        <v/>
      </c>
      <c r="AZ1119" s="275">
        <f>XI_Wdrożenie!AZ22</f>
        <v/>
      </c>
      <c r="BA1119" s="275">
        <f>XI_Wdrożenie!BA22</f>
        <v/>
      </c>
      <c r="BB1119" s="275">
        <f>XI_Wdrożenie!BB22</f>
        <v/>
      </c>
      <c r="BC1119" s="275">
        <f>XI_Wdrożenie!BC22</f>
        <v/>
      </c>
      <c r="BD1119" s="275">
        <f>XI_Wdrożenie!BD22</f>
        <v/>
      </c>
      <c r="BE1119" s="275">
        <f>XI_Wdrożenie!BE22</f>
        <v/>
      </c>
      <c r="BF1119" s="275">
        <f>XI_Wdrożenie!BF22</f>
        <v/>
      </c>
      <c r="BG1119" s="275">
        <f>XI_Wdrożenie!BG22</f>
        <v/>
      </c>
      <c r="BH1119" s="275">
        <f>XI_Wdrożenie!BH22</f>
        <v/>
      </c>
      <c r="BI1119" s="275">
        <f>XI_Wdrożenie!BI22</f>
        <v/>
      </c>
      <c r="BJ1119">
        <f>O1119</f>
        <v/>
      </c>
      <c r="BK1119">
        <f>SUM(AG1119:AW1119)</f>
        <v/>
      </c>
      <c r="BL1119" s="531">
        <f>BJ1119-BK1119</f>
        <v/>
      </c>
      <c r="BM1119" s="201" t="n"/>
    </row>
    <row r="1120" hidden="1" outlineLevel="1" s="191">
      <c r="A1120" s="275">
        <f>XI_Wdrożenie!A23</f>
        <v/>
      </c>
      <c r="B1120" s="275">
        <f>XI_Wdrożenie!B23</f>
        <v/>
      </c>
      <c r="C1120" s="275">
        <f>XI_Wdrożenie!C23</f>
        <v/>
      </c>
      <c r="D1120" s="275">
        <f>XI_Wdrożenie!D23</f>
        <v/>
      </c>
      <c r="E1120" s="275">
        <f>XI_Wdrożenie!E23</f>
        <v/>
      </c>
      <c r="F1120" s="275">
        <f>XI_Wdrożenie!F23</f>
        <v/>
      </c>
      <c r="G1120" s="275">
        <f>XI_Wdrożenie!G23</f>
        <v/>
      </c>
      <c r="H1120" s="275">
        <f>XI_Wdrożenie!H23</f>
        <v/>
      </c>
      <c r="I1120" s="275">
        <f>XI_Wdrożenie!I23</f>
        <v/>
      </c>
      <c r="J1120" s="275">
        <f>XI_Wdrożenie!J23</f>
        <v/>
      </c>
      <c r="K1120" s="672">
        <f>XI_Wdrożenie!K23</f>
        <v/>
      </c>
      <c r="L1120" s="672">
        <f>XI_Wdrożenie!L23</f>
        <v/>
      </c>
      <c r="M1120" s="275">
        <f>XI_Wdrożenie!M23</f>
        <v/>
      </c>
      <c r="N1120" s="275">
        <f>XI_Wdrożenie!N23</f>
        <v/>
      </c>
      <c r="O1120" s="275">
        <f>XI_Wdrożenie!O23</f>
        <v/>
      </c>
      <c r="P1120" s="632">
        <f>XI_Wdrożenie!P23</f>
        <v/>
      </c>
      <c r="Q1120" s="632">
        <f>XI_Wdrożenie!Q23</f>
        <v/>
      </c>
      <c r="R1120" s="632">
        <f>XI_Wdrożenie!R23</f>
        <v/>
      </c>
      <c r="S1120" s="632">
        <f>XI_Wdrożenie!S23</f>
        <v/>
      </c>
      <c r="T1120" s="632">
        <f>XI_Wdrożenie!T23</f>
        <v/>
      </c>
      <c r="U1120" s="632">
        <f>XI_Wdrożenie!U23</f>
        <v/>
      </c>
      <c r="V1120" s="632">
        <f>XI_Wdrożenie!V23</f>
        <v/>
      </c>
      <c r="W1120" s="632">
        <f>XI_Wdrożenie!W23</f>
        <v/>
      </c>
      <c r="X1120" s="632">
        <f>XI_Wdrożenie!X23</f>
        <v/>
      </c>
      <c r="Y1120" s="654">
        <f>XI_Wdrożenie!Y23</f>
        <v/>
      </c>
      <c r="Z1120" s="654">
        <f>XI_Wdrożenie!Z23</f>
        <v/>
      </c>
      <c r="AA1120" s="654">
        <f>XI_Wdrożenie!AA23</f>
        <v/>
      </c>
      <c r="AB1120" s="654">
        <f>XI_Wdrożenie!AB23</f>
        <v/>
      </c>
      <c r="AC1120" s="617">
        <f>XI_Wdrożenie!AC23</f>
        <v/>
      </c>
      <c r="AD1120" s="617">
        <f>XI_Wdrożenie!AD23</f>
        <v/>
      </c>
      <c r="AE1120" s="617">
        <f>XI_Wdrożenie!AE23</f>
        <v/>
      </c>
      <c r="AF1120" s="617">
        <f>XI_Wdrożenie!AF23</f>
        <v/>
      </c>
      <c r="AG1120" s="259">
        <f>XI_Wdrożenie!AG23</f>
        <v/>
      </c>
      <c r="AH1120" s="259">
        <f>XI_Wdrożenie!AH23</f>
        <v/>
      </c>
      <c r="AI1120" s="259">
        <f>XI_Wdrożenie!AI23</f>
        <v/>
      </c>
      <c r="AJ1120" s="259">
        <f>XI_Wdrożenie!AJ23</f>
        <v/>
      </c>
      <c r="AK1120" s="259">
        <f>XI_Wdrożenie!AK23</f>
        <v/>
      </c>
      <c r="AL1120" s="259">
        <f>XI_Wdrożenie!AL23</f>
        <v/>
      </c>
      <c r="AM1120" s="259">
        <f>XI_Wdrożenie!AM23</f>
        <v/>
      </c>
      <c r="AN1120" s="259">
        <f>XI_Wdrożenie!AN23</f>
        <v/>
      </c>
      <c r="AO1120" s="259">
        <f>XI_Wdrożenie!AO23</f>
        <v/>
      </c>
      <c r="AP1120" s="647">
        <f>XI_Wdrożenie!AP23</f>
        <v/>
      </c>
      <c r="AQ1120" s="647">
        <f>XI_Wdrożenie!AQ23</f>
        <v/>
      </c>
      <c r="AR1120" s="647">
        <f>XI_Wdrożenie!AR23</f>
        <v/>
      </c>
      <c r="AS1120" s="647">
        <f>XI_Wdrożenie!AS23</f>
        <v/>
      </c>
      <c r="AT1120" s="623">
        <f>XI_Wdrożenie!AT23</f>
        <v/>
      </c>
      <c r="AU1120" s="623">
        <f>XI_Wdrożenie!AU23</f>
        <v/>
      </c>
      <c r="AV1120" s="623">
        <f>XI_Wdrożenie!AV23</f>
        <v/>
      </c>
      <c r="AW1120" s="623">
        <f>XI_Wdrożenie!AW23</f>
        <v/>
      </c>
      <c r="AX1120" s="275">
        <f>XI_Wdrożenie!AX23</f>
        <v/>
      </c>
      <c r="AY1120" s="275">
        <f>XI_Wdrożenie!AY23</f>
        <v/>
      </c>
      <c r="AZ1120" s="275">
        <f>XI_Wdrożenie!AZ23</f>
        <v/>
      </c>
      <c r="BA1120" s="275">
        <f>XI_Wdrożenie!BA23</f>
        <v/>
      </c>
      <c r="BB1120" s="275">
        <f>XI_Wdrożenie!BB23</f>
        <v/>
      </c>
      <c r="BC1120" s="275">
        <f>XI_Wdrożenie!BC23</f>
        <v/>
      </c>
      <c r="BD1120" s="275">
        <f>XI_Wdrożenie!BD23</f>
        <v/>
      </c>
      <c r="BE1120" s="275">
        <f>XI_Wdrożenie!BE23</f>
        <v/>
      </c>
      <c r="BF1120" s="275">
        <f>XI_Wdrożenie!BF23</f>
        <v/>
      </c>
      <c r="BG1120" s="275">
        <f>XI_Wdrożenie!BG23</f>
        <v/>
      </c>
      <c r="BH1120" s="275">
        <f>XI_Wdrożenie!BH23</f>
        <v/>
      </c>
      <c r="BI1120" s="275">
        <f>XI_Wdrożenie!BI23</f>
        <v/>
      </c>
      <c r="BJ1120">
        <f>O1120</f>
        <v/>
      </c>
      <c r="BK1120">
        <f>SUM(AG1120:AW1120)</f>
        <v/>
      </c>
      <c r="BL1120" s="531">
        <f>BJ1120-BK1120</f>
        <v/>
      </c>
      <c r="BM1120" s="201" t="n"/>
    </row>
    <row r="1121" hidden="1" outlineLevel="1" s="191">
      <c r="A1121" s="275">
        <f>XI_Wdrożenie!A24</f>
        <v/>
      </c>
      <c r="B1121" s="275">
        <f>XI_Wdrożenie!B24</f>
        <v/>
      </c>
      <c r="C1121" s="275">
        <f>XI_Wdrożenie!C24</f>
        <v/>
      </c>
      <c r="D1121" s="275">
        <f>XI_Wdrożenie!D24</f>
        <v/>
      </c>
      <c r="E1121" s="275">
        <f>XI_Wdrożenie!E24</f>
        <v/>
      </c>
      <c r="F1121" s="275">
        <f>XI_Wdrożenie!F24</f>
        <v/>
      </c>
      <c r="G1121" s="275">
        <f>XI_Wdrożenie!G24</f>
        <v/>
      </c>
      <c r="H1121" s="275">
        <f>XI_Wdrożenie!H24</f>
        <v/>
      </c>
      <c r="I1121" s="275">
        <f>XI_Wdrożenie!I24</f>
        <v/>
      </c>
      <c r="J1121" s="275">
        <f>XI_Wdrożenie!J24</f>
        <v/>
      </c>
      <c r="K1121" s="672">
        <f>XI_Wdrożenie!K24</f>
        <v/>
      </c>
      <c r="L1121" s="672">
        <f>XI_Wdrożenie!L24</f>
        <v/>
      </c>
      <c r="M1121" s="275">
        <f>XI_Wdrożenie!M24</f>
        <v/>
      </c>
      <c r="N1121" s="275">
        <f>XI_Wdrożenie!N24</f>
        <v/>
      </c>
      <c r="O1121" s="275">
        <f>XI_Wdrożenie!O24</f>
        <v/>
      </c>
      <c r="P1121" s="632">
        <f>XI_Wdrożenie!P24</f>
        <v/>
      </c>
      <c r="Q1121" s="632">
        <f>XI_Wdrożenie!Q24</f>
        <v/>
      </c>
      <c r="R1121" s="632">
        <f>XI_Wdrożenie!R24</f>
        <v/>
      </c>
      <c r="S1121" s="632">
        <f>XI_Wdrożenie!S24</f>
        <v/>
      </c>
      <c r="T1121" s="632">
        <f>XI_Wdrożenie!T24</f>
        <v/>
      </c>
      <c r="U1121" s="632">
        <f>XI_Wdrożenie!U24</f>
        <v/>
      </c>
      <c r="V1121" s="632">
        <f>XI_Wdrożenie!V24</f>
        <v/>
      </c>
      <c r="W1121" s="632">
        <f>XI_Wdrożenie!W24</f>
        <v/>
      </c>
      <c r="X1121" s="632">
        <f>XI_Wdrożenie!X24</f>
        <v/>
      </c>
      <c r="Y1121" s="654">
        <f>XI_Wdrożenie!Y24</f>
        <v/>
      </c>
      <c r="Z1121" s="654">
        <f>XI_Wdrożenie!Z24</f>
        <v/>
      </c>
      <c r="AA1121" s="654">
        <f>XI_Wdrożenie!AA24</f>
        <v/>
      </c>
      <c r="AB1121" s="654">
        <f>XI_Wdrożenie!AB24</f>
        <v/>
      </c>
      <c r="AC1121" s="617">
        <f>XI_Wdrożenie!AC24</f>
        <v/>
      </c>
      <c r="AD1121" s="617">
        <f>XI_Wdrożenie!AD24</f>
        <v/>
      </c>
      <c r="AE1121" s="617">
        <f>XI_Wdrożenie!AE24</f>
        <v/>
      </c>
      <c r="AF1121" s="617">
        <f>XI_Wdrożenie!AF24</f>
        <v/>
      </c>
      <c r="AG1121" s="259">
        <f>XI_Wdrożenie!AG24</f>
        <v/>
      </c>
      <c r="AH1121" s="259">
        <f>XI_Wdrożenie!AH24</f>
        <v/>
      </c>
      <c r="AI1121" s="259">
        <f>XI_Wdrożenie!AI24</f>
        <v/>
      </c>
      <c r="AJ1121" s="259">
        <f>XI_Wdrożenie!AJ24</f>
        <v/>
      </c>
      <c r="AK1121" s="259">
        <f>XI_Wdrożenie!AK24</f>
        <v/>
      </c>
      <c r="AL1121" s="259">
        <f>XI_Wdrożenie!AL24</f>
        <v/>
      </c>
      <c r="AM1121" s="259">
        <f>XI_Wdrożenie!AM24</f>
        <v/>
      </c>
      <c r="AN1121" s="259">
        <f>XI_Wdrożenie!AN24</f>
        <v/>
      </c>
      <c r="AO1121" s="259">
        <f>XI_Wdrożenie!AO24</f>
        <v/>
      </c>
      <c r="AP1121" s="647">
        <f>XI_Wdrożenie!AP24</f>
        <v/>
      </c>
      <c r="AQ1121" s="647">
        <f>XI_Wdrożenie!AQ24</f>
        <v/>
      </c>
      <c r="AR1121" s="647">
        <f>XI_Wdrożenie!AR24</f>
        <v/>
      </c>
      <c r="AS1121" s="647">
        <f>XI_Wdrożenie!AS24</f>
        <v/>
      </c>
      <c r="AT1121" s="623">
        <f>XI_Wdrożenie!AT24</f>
        <v/>
      </c>
      <c r="AU1121" s="623">
        <f>XI_Wdrożenie!AU24</f>
        <v/>
      </c>
      <c r="AV1121" s="623">
        <f>XI_Wdrożenie!AV24</f>
        <v/>
      </c>
      <c r="AW1121" s="623">
        <f>XI_Wdrożenie!AW24</f>
        <v/>
      </c>
      <c r="AX1121" s="275">
        <f>XI_Wdrożenie!AX24</f>
        <v/>
      </c>
      <c r="AY1121" s="275">
        <f>XI_Wdrożenie!AY24</f>
        <v/>
      </c>
      <c r="AZ1121" s="275">
        <f>XI_Wdrożenie!AZ24</f>
        <v/>
      </c>
      <c r="BA1121" s="275">
        <f>XI_Wdrożenie!BA24</f>
        <v/>
      </c>
      <c r="BB1121" s="275">
        <f>XI_Wdrożenie!BB24</f>
        <v/>
      </c>
      <c r="BC1121" s="275">
        <f>XI_Wdrożenie!BC24</f>
        <v/>
      </c>
      <c r="BD1121" s="275">
        <f>XI_Wdrożenie!BD24</f>
        <v/>
      </c>
      <c r="BE1121" s="275">
        <f>XI_Wdrożenie!BE24</f>
        <v/>
      </c>
      <c r="BF1121" s="275">
        <f>XI_Wdrożenie!BF24</f>
        <v/>
      </c>
      <c r="BG1121" s="275">
        <f>XI_Wdrożenie!BG24</f>
        <v/>
      </c>
      <c r="BH1121" s="275">
        <f>XI_Wdrożenie!BH24</f>
        <v/>
      </c>
      <c r="BI1121" s="275">
        <f>XI_Wdrożenie!BI24</f>
        <v/>
      </c>
      <c r="BJ1121">
        <f>O1121</f>
        <v/>
      </c>
      <c r="BK1121">
        <f>SUM(AG1121:AW1121)</f>
        <v/>
      </c>
      <c r="BL1121" s="531">
        <f>BJ1121-BK1121</f>
        <v/>
      </c>
      <c r="BM1121" s="201" t="n"/>
    </row>
    <row r="1122" hidden="1" outlineLevel="1" s="191">
      <c r="A1122" s="275">
        <f>XI_Wdrożenie!A25</f>
        <v/>
      </c>
      <c r="B1122" s="275">
        <f>XI_Wdrożenie!B25</f>
        <v/>
      </c>
      <c r="C1122" s="275">
        <f>XI_Wdrożenie!C25</f>
        <v/>
      </c>
      <c r="D1122" s="275">
        <f>XI_Wdrożenie!D25</f>
        <v/>
      </c>
      <c r="E1122" s="275">
        <f>XI_Wdrożenie!E25</f>
        <v/>
      </c>
      <c r="F1122" s="275">
        <f>XI_Wdrożenie!F25</f>
        <v/>
      </c>
      <c r="G1122" s="275">
        <f>XI_Wdrożenie!G25</f>
        <v/>
      </c>
      <c r="H1122" s="275">
        <f>XI_Wdrożenie!H25</f>
        <v/>
      </c>
      <c r="I1122" s="275">
        <f>XI_Wdrożenie!I25</f>
        <v/>
      </c>
      <c r="J1122" s="275">
        <f>XI_Wdrożenie!J25</f>
        <v/>
      </c>
      <c r="K1122" s="672">
        <f>XI_Wdrożenie!K25</f>
        <v/>
      </c>
      <c r="L1122" s="672">
        <f>XI_Wdrożenie!L25</f>
        <v/>
      </c>
      <c r="M1122" s="275">
        <f>XI_Wdrożenie!M25</f>
        <v/>
      </c>
      <c r="N1122" s="275">
        <f>XI_Wdrożenie!N25</f>
        <v/>
      </c>
      <c r="O1122" s="275">
        <f>XI_Wdrożenie!O25</f>
        <v/>
      </c>
      <c r="P1122" s="632">
        <f>XI_Wdrożenie!P25</f>
        <v/>
      </c>
      <c r="Q1122" s="632">
        <f>XI_Wdrożenie!Q25</f>
        <v/>
      </c>
      <c r="R1122" s="632">
        <f>XI_Wdrożenie!R25</f>
        <v/>
      </c>
      <c r="S1122" s="632">
        <f>XI_Wdrożenie!S25</f>
        <v/>
      </c>
      <c r="T1122" s="632">
        <f>XI_Wdrożenie!T25</f>
        <v/>
      </c>
      <c r="U1122" s="632">
        <f>XI_Wdrożenie!U25</f>
        <v/>
      </c>
      <c r="V1122" s="632">
        <f>XI_Wdrożenie!V25</f>
        <v/>
      </c>
      <c r="W1122" s="632">
        <f>XI_Wdrożenie!W25</f>
        <v/>
      </c>
      <c r="X1122" s="632">
        <f>XI_Wdrożenie!X25</f>
        <v/>
      </c>
      <c r="Y1122" s="654">
        <f>XI_Wdrożenie!Y25</f>
        <v/>
      </c>
      <c r="Z1122" s="654">
        <f>XI_Wdrożenie!Z25</f>
        <v/>
      </c>
      <c r="AA1122" s="654">
        <f>XI_Wdrożenie!AA25</f>
        <v/>
      </c>
      <c r="AB1122" s="654">
        <f>XI_Wdrożenie!AB25</f>
        <v/>
      </c>
      <c r="AC1122" s="617">
        <f>XI_Wdrożenie!AC25</f>
        <v/>
      </c>
      <c r="AD1122" s="617">
        <f>XI_Wdrożenie!AD25</f>
        <v/>
      </c>
      <c r="AE1122" s="617">
        <f>XI_Wdrożenie!AE25</f>
        <v/>
      </c>
      <c r="AF1122" s="617">
        <f>XI_Wdrożenie!AF25</f>
        <v/>
      </c>
      <c r="AG1122" s="259">
        <f>XI_Wdrożenie!AG25</f>
        <v/>
      </c>
      <c r="AH1122" s="259">
        <f>XI_Wdrożenie!AH25</f>
        <v/>
      </c>
      <c r="AI1122" s="259">
        <f>XI_Wdrożenie!AI25</f>
        <v/>
      </c>
      <c r="AJ1122" s="259">
        <f>XI_Wdrożenie!AJ25</f>
        <v/>
      </c>
      <c r="AK1122" s="259">
        <f>XI_Wdrożenie!AK25</f>
        <v/>
      </c>
      <c r="AL1122" s="259">
        <f>XI_Wdrożenie!AL25</f>
        <v/>
      </c>
      <c r="AM1122" s="259">
        <f>XI_Wdrożenie!AM25</f>
        <v/>
      </c>
      <c r="AN1122" s="259">
        <f>XI_Wdrożenie!AN25</f>
        <v/>
      </c>
      <c r="AO1122" s="259">
        <f>XI_Wdrożenie!AO25</f>
        <v/>
      </c>
      <c r="AP1122" s="647">
        <f>XI_Wdrożenie!AP25</f>
        <v/>
      </c>
      <c r="AQ1122" s="647">
        <f>XI_Wdrożenie!AQ25</f>
        <v/>
      </c>
      <c r="AR1122" s="647">
        <f>XI_Wdrożenie!AR25</f>
        <v/>
      </c>
      <c r="AS1122" s="647">
        <f>XI_Wdrożenie!AS25</f>
        <v/>
      </c>
      <c r="AT1122" s="623">
        <f>XI_Wdrożenie!AT25</f>
        <v/>
      </c>
      <c r="AU1122" s="623">
        <f>XI_Wdrożenie!AU25</f>
        <v/>
      </c>
      <c r="AV1122" s="623">
        <f>XI_Wdrożenie!AV25</f>
        <v/>
      </c>
      <c r="AW1122" s="623">
        <f>XI_Wdrożenie!AW25</f>
        <v/>
      </c>
      <c r="AX1122" s="275">
        <f>XI_Wdrożenie!AX25</f>
        <v/>
      </c>
      <c r="AY1122" s="275">
        <f>XI_Wdrożenie!AY25</f>
        <v/>
      </c>
      <c r="AZ1122" s="275">
        <f>XI_Wdrożenie!AZ25</f>
        <v/>
      </c>
      <c r="BA1122" s="275">
        <f>XI_Wdrożenie!BA25</f>
        <v/>
      </c>
      <c r="BB1122" s="275">
        <f>XI_Wdrożenie!BB25</f>
        <v/>
      </c>
      <c r="BC1122" s="275">
        <f>XI_Wdrożenie!BC25</f>
        <v/>
      </c>
      <c r="BD1122" s="275">
        <f>XI_Wdrożenie!BD25</f>
        <v/>
      </c>
      <c r="BE1122" s="275">
        <f>XI_Wdrożenie!BE25</f>
        <v/>
      </c>
      <c r="BF1122" s="275">
        <f>XI_Wdrożenie!BF25</f>
        <v/>
      </c>
      <c r="BG1122" s="275">
        <f>XI_Wdrożenie!BG25</f>
        <v/>
      </c>
      <c r="BH1122" s="275">
        <f>XI_Wdrożenie!BH25</f>
        <v/>
      </c>
      <c r="BI1122" s="275">
        <f>XI_Wdrożenie!BI25</f>
        <v/>
      </c>
      <c r="BJ1122">
        <f>O1122</f>
        <v/>
      </c>
      <c r="BK1122">
        <f>SUM(AG1122:AW1122)</f>
        <v/>
      </c>
      <c r="BL1122" s="531">
        <f>BJ1122-BK1122</f>
        <v/>
      </c>
      <c r="BM1122" s="201" t="n"/>
    </row>
    <row r="1123" hidden="1" outlineLevel="1" s="191">
      <c r="A1123" s="275">
        <f>XI_Wdrożenie!A26</f>
        <v/>
      </c>
      <c r="B1123" s="275">
        <f>XI_Wdrożenie!B26</f>
        <v/>
      </c>
      <c r="C1123" s="275">
        <f>XI_Wdrożenie!C26</f>
        <v/>
      </c>
      <c r="D1123" s="275">
        <f>XI_Wdrożenie!D26</f>
        <v/>
      </c>
      <c r="E1123" s="275">
        <f>XI_Wdrożenie!E26</f>
        <v/>
      </c>
      <c r="F1123" s="275">
        <f>XI_Wdrożenie!F26</f>
        <v/>
      </c>
      <c r="G1123" s="275">
        <f>XI_Wdrożenie!G26</f>
        <v/>
      </c>
      <c r="H1123" s="275">
        <f>XI_Wdrożenie!H26</f>
        <v/>
      </c>
      <c r="I1123" s="275">
        <f>XI_Wdrożenie!I26</f>
        <v/>
      </c>
      <c r="J1123" s="275">
        <f>XI_Wdrożenie!J26</f>
        <v/>
      </c>
      <c r="K1123" s="672">
        <f>XI_Wdrożenie!K26</f>
        <v/>
      </c>
      <c r="L1123" s="672">
        <f>XI_Wdrożenie!L26</f>
        <v/>
      </c>
      <c r="M1123" s="275">
        <f>XI_Wdrożenie!M26</f>
        <v/>
      </c>
      <c r="N1123" s="275">
        <f>XI_Wdrożenie!N26</f>
        <v/>
      </c>
      <c r="O1123" s="275">
        <f>XI_Wdrożenie!O26</f>
        <v/>
      </c>
      <c r="P1123" s="632">
        <f>XI_Wdrożenie!P26</f>
        <v/>
      </c>
      <c r="Q1123" s="632">
        <f>XI_Wdrożenie!Q26</f>
        <v/>
      </c>
      <c r="R1123" s="632">
        <f>XI_Wdrożenie!R26</f>
        <v/>
      </c>
      <c r="S1123" s="632">
        <f>XI_Wdrożenie!S26</f>
        <v/>
      </c>
      <c r="T1123" s="632">
        <f>XI_Wdrożenie!T26</f>
        <v/>
      </c>
      <c r="U1123" s="632">
        <f>XI_Wdrożenie!U26</f>
        <v/>
      </c>
      <c r="V1123" s="632">
        <f>XI_Wdrożenie!V26</f>
        <v/>
      </c>
      <c r="W1123" s="632">
        <f>XI_Wdrożenie!W26</f>
        <v/>
      </c>
      <c r="X1123" s="632">
        <f>XI_Wdrożenie!X26</f>
        <v/>
      </c>
      <c r="Y1123" s="654">
        <f>XI_Wdrożenie!Y26</f>
        <v/>
      </c>
      <c r="Z1123" s="654">
        <f>XI_Wdrożenie!Z26</f>
        <v/>
      </c>
      <c r="AA1123" s="654">
        <f>XI_Wdrożenie!AA26</f>
        <v/>
      </c>
      <c r="AB1123" s="654">
        <f>XI_Wdrożenie!AB26</f>
        <v/>
      </c>
      <c r="AC1123" s="617">
        <f>XI_Wdrożenie!AC26</f>
        <v/>
      </c>
      <c r="AD1123" s="617">
        <f>XI_Wdrożenie!AD26</f>
        <v/>
      </c>
      <c r="AE1123" s="617">
        <f>XI_Wdrożenie!AE26</f>
        <v/>
      </c>
      <c r="AF1123" s="617">
        <f>XI_Wdrożenie!AF26</f>
        <v/>
      </c>
      <c r="AG1123" s="259">
        <f>XI_Wdrożenie!AG26</f>
        <v/>
      </c>
      <c r="AH1123" s="259">
        <f>XI_Wdrożenie!AH26</f>
        <v/>
      </c>
      <c r="AI1123" s="259">
        <f>XI_Wdrożenie!AI26</f>
        <v/>
      </c>
      <c r="AJ1123" s="259">
        <f>XI_Wdrożenie!AJ26</f>
        <v/>
      </c>
      <c r="AK1123" s="259">
        <f>XI_Wdrożenie!AK26</f>
        <v/>
      </c>
      <c r="AL1123" s="259">
        <f>XI_Wdrożenie!AL26</f>
        <v/>
      </c>
      <c r="AM1123" s="259">
        <f>XI_Wdrożenie!AM26</f>
        <v/>
      </c>
      <c r="AN1123" s="259">
        <f>XI_Wdrożenie!AN26</f>
        <v/>
      </c>
      <c r="AO1123" s="259">
        <f>XI_Wdrożenie!AO26</f>
        <v/>
      </c>
      <c r="AP1123" s="647">
        <f>XI_Wdrożenie!AP26</f>
        <v/>
      </c>
      <c r="AQ1123" s="647">
        <f>XI_Wdrożenie!AQ26</f>
        <v/>
      </c>
      <c r="AR1123" s="647">
        <f>XI_Wdrożenie!AR26</f>
        <v/>
      </c>
      <c r="AS1123" s="647">
        <f>XI_Wdrożenie!AS26</f>
        <v/>
      </c>
      <c r="AT1123" s="623">
        <f>XI_Wdrożenie!AT26</f>
        <v/>
      </c>
      <c r="AU1123" s="623">
        <f>XI_Wdrożenie!AU26</f>
        <v/>
      </c>
      <c r="AV1123" s="623">
        <f>XI_Wdrożenie!AV26</f>
        <v/>
      </c>
      <c r="AW1123" s="623">
        <f>XI_Wdrożenie!AW26</f>
        <v/>
      </c>
      <c r="AX1123" s="275">
        <f>XI_Wdrożenie!AX26</f>
        <v/>
      </c>
      <c r="AY1123" s="275">
        <f>XI_Wdrożenie!AY26</f>
        <v/>
      </c>
      <c r="AZ1123" s="275">
        <f>XI_Wdrożenie!AZ26</f>
        <v/>
      </c>
      <c r="BA1123" s="275">
        <f>XI_Wdrożenie!BA26</f>
        <v/>
      </c>
      <c r="BB1123" s="275">
        <f>XI_Wdrożenie!BB26</f>
        <v/>
      </c>
      <c r="BC1123" s="275">
        <f>XI_Wdrożenie!BC26</f>
        <v/>
      </c>
      <c r="BD1123" s="275">
        <f>XI_Wdrożenie!BD26</f>
        <v/>
      </c>
      <c r="BE1123" s="275">
        <f>XI_Wdrożenie!BE26</f>
        <v/>
      </c>
      <c r="BF1123" s="275">
        <f>XI_Wdrożenie!BF26</f>
        <v/>
      </c>
      <c r="BG1123" s="275">
        <f>XI_Wdrożenie!BG26</f>
        <v/>
      </c>
      <c r="BH1123" s="275">
        <f>XI_Wdrożenie!BH26</f>
        <v/>
      </c>
      <c r="BI1123" s="275">
        <f>XI_Wdrożenie!BI26</f>
        <v/>
      </c>
      <c r="BJ1123">
        <f>O1123</f>
        <v/>
      </c>
      <c r="BK1123">
        <f>SUM(AG1123:AW1123)</f>
        <v/>
      </c>
      <c r="BL1123" s="531">
        <f>BJ1123-BK1123</f>
        <v/>
      </c>
      <c r="BM1123" s="201" t="n"/>
    </row>
    <row r="1124" hidden="1" outlineLevel="1" s="191">
      <c r="A1124" s="275">
        <f>XI_Wdrożenie!A27</f>
        <v/>
      </c>
      <c r="B1124" s="275">
        <f>XI_Wdrożenie!B27</f>
        <v/>
      </c>
      <c r="C1124" s="275">
        <f>XI_Wdrożenie!C27</f>
        <v/>
      </c>
      <c r="D1124" s="275">
        <f>XI_Wdrożenie!D27</f>
        <v/>
      </c>
      <c r="E1124" s="275">
        <f>XI_Wdrożenie!E27</f>
        <v/>
      </c>
      <c r="F1124" s="275">
        <f>XI_Wdrożenie!F27</f>
        <v/>
      </c>
      <c r="G1124" s="275">
        <f>XI_Wdrożenie!G27</f>
        <v/>
      </c>
      <c r="H1124" s="275">
        <f>XI_Wdrożenie!H27</f>
        <v/>
      </c>
      <c r="I1124" s="275">
        <f>XI_Wdrożenie!I27</f>
        <v/>
      </c>
      <c r="J1124" s="275">
        <f>XI_Wdrożenie!J27</f>
        <v/>
      </c>
      <c r="K1124" s="672">
        <f>XI_Wdrożenie!K27</f>
        <v/>
      </c>
      <c r="L1124" s="672">
        <f>XI_Wdrożenie!L27</f>
        <v/>
      </c>
      <c r="M1124" s="275">
        <f>XI_Wdrożenie!M27</f>
        <v/>
      </c>
      <c r="N1124" s="275">
        <f>XI_Wdrożenie!N27</f>
        <v/>
      </c>
      <c r="O1124" s="275">
        <f>XI_Wdrożenie!O27</f>
        <v/>
      </c>
      <c r="P1124" s="632">
        <f>XI_Wdrożenie!P27</f>
        <v/>
      </c>
      <c r="Q1124" s="632">
        <f>XI_Wdrożenie!Q27</f>
        <v/>
      </c>
      <c r="R1124" s="632">
        <f>XI_Wdrożenie!R27</f>
        <v/>
      </c>
      <c r="S1124" s="632">
        <f>XI_Wdrożenie!S27</f>
        <v/>
      </c>
      <c r="T1124" s="632">
        <f>XI_Wdrożenie!T27</f>
        <v/>
      </c>
      <c r="U1124" s="632">
        <f>XI_Wdrożenie!U27</f>
        <v/>
      </c>
      <c r="V1124" s="632">
        <f>XI_Wdrożenie!V27</f>
        <v/>
      </c>
      <c r="W1124" s="632">
        <f>XI_Wdrożenie!W27</f>
        <v/>
      </c>
      <c r="X1124" s="632">
        <f>XI_Wdrożenie!X27</f>
        <v/>
      </c>
      <c r="Y1124" s="654">
        <f>XI_Wdrożenie!Y27</f>
        <v/>
      </c>
      <c r="Z1124" s="654">
        <f>XI_Wdrożenie!Z27</f>
        <v/>
      </c>
      <c r="AA1124" s="654">
        <f>XI_Wdrożenie!AA27</f>
        <v/>
      </c>
      <c r="AB1124" s="654">
        <f>XI_Wdrożenie!AB27</f>
        <v/>
      </c>
      <c r="AC1124" s="617">
        <f>XI_Wdrożenie!AC27</f>
        <v/>
      </c>
      <c r="AD1124" s="617">
        <f>XI_Wdrożenie!AD27</f>
        <v/>
      </c>
      <c r="AE1124" s="617">
        <f>XI_Wdrożenie!AE27</f>
        <v/>
      </c>
      <c r="AF1124" s="617">
        <f>XI_Wdrożenie!AF27</f>
        <v/>
      </c>
      <c r="AG1124" s="259">
        <f>XI_Wdrożenie!AG27</f>
        <v/>
      </c>
      <c r="AH1124" s="259">
        <f>XI_Wdrożenie!AH27</f>
        <v/>
      </c>
      <c r="AI1124" s="259">
        <f>XI_Wdrożenie!AI27</f>
        <v/>
      </c>
      <c r="AJ1124" s="259">
        <f>XI_Wdrożenie!AJ27</f>
        <v/>
      </c>
      <c r="AK1124" s="259">
        <f>XI_Wdrożenie!AK27</f>
        <v/>
      </c>
      <c r="AL1124" s="259">
        <f>XI_Wdrożenie!AL27</f>
        <v/>
      </c>
      <c r="AM1124" s="259">
        <f>XI_Wdrożenie!AM27</f>
        <v/>
      </c>
      <c r="AN1124" s="259">
        <f>XI_Wdrożenie!AN27</f>
        <v/>
      </c>
      <c r="AO1124" s="259">
        <f>XI_Wdrożenie!AO27</f>
        <v/>
      </c>
      <c r="AP1124" s="647">
        <f>XI_Wdrożenie!AP27</f>
        <v/>
      </c>
      <c r="AQ1124" s="647">
        <f>XI_Wdrożenie!AQ27</f>
        <v/>
      </c>
      <c r="AR1124" s="647">
        <f>XI_Wdrożenie!AR27</f>
        <v/>
      </c>
      <c r="AS1124" s="647">
        <f>XI_Wdrożenie!AS27</f>
        <v/>
      </c>
      <c r="AT1124" s="623">
        <f>XI_Wdrożenie!AT27</f>
        <v/>
      </c>
      <c r="AU1124" s="623">
        <f>XI_Wdrożenie!AU27</f>
        <v/>
      </c>
      <c r="AV1124" s="623">
        <f>XI_Wdrożenie!AV27</f>
        <v/>
      </c>
      <c r="AW1124" s="623">
        <f>XI_Wdrożenie!AW27</f>
        <v/>
      </c>
      <c r="AX1124" s="275">
        <f>XI_Wdrożenie!AX27</f>
        <v/>
      </c>
      <c r="AY1124" s="275">
        <f>XI_Wdrożenie!AY27</f>
        <v/>
      </c>
      <c r="AZ1124" s="275">
        <f>XI_Wdrożenie!AZ27</f>
        <v/>
      </c>
      <c r="BA1124" s="275">
        <f>XI_Wdrożenie!BA27</f>
        <v/>
      </c>
      <c r="BB1124" s="275">
        <f>XI_Wdrożenie!BB27</f>
        <v/>
      </c>
      <c r="BC1124" s="275">
        <f>XI_Wdrożenie!BC27</f>
        <v/>
      </c>
      <c r="BD1124" s="275">
        <f>XI_Wdrożenie!BD27</f>
        <v/>
      </c>
      <c r="BE1124" s="275">
        <f>XI_Wdrożenie!BE27</f>
        <v/>
      </c>
      <c r="BF1124" s="275">
        <f>XI_Wdrożenie!BF27</f>
        <v/>
      </c>
      <c r="BG1124" s="275">
        <f>XI_Wdrożenie!BG27</f>
        <v/>
      </c>
      <c r="BH1124" s="275">
        <f>XI_Wdrożenie!BH27</f>
        <v/>
      </c>
      <c r="BI1124" s="275">
        <f>XI_Wdrożenie!BI27</f>
        <v/>
      </c>
      <c r="BJ1124">
        <f>O1124</f>
        <v/>
      </c>
      <c r="BK1124">
        <f>SUM(AG1124:AW1124)</f>
        <v/>
      </c>
      <c r="BL1124" s="531">
        <f>BJ1124-BK1124</f>
        <v/>
      </c>
      <c r="BM1124" s="201" t="n"/>
    </row>
    <row r="1125" hidden="1" outlineLevel="1" s="191">
      <c r="A1125" s="275">
        <f>XI_Wdrożenie!A28</f>
        <v/>
      </c>
      <c r="B1125" s="275">
        <f>XI_Wdrożenie!B28</f>
        <v/>
      </c>
      <c r="C1125" s="275">
        <f>XI_Wdrożenie!C28</f>
        <v/>
      </c>
      <c r="D1125" s="275">
        <f>XI_Wdrożenie!D28</f>
        <v/>
      </c>
      <c r="E1125" s="275">
        <f>XI_Wdrożenie!E28</f>
        <v/>
      </c>
      <c r="F1125" s="275">
        <f>XI_Wdrożenie!F28</f>
        <v/>
      </c>
      <c r="G1125" s="275">
        <f>XI_Wdrożenie!G28</f>
        <v/>
      </c>
      <c r="H1125" s="275">
        <f>XI_Wdrożenie!H28</f>
        <v/>
      </c>
      <c r="I1125" s="275">
        <f>XI_Wdrożenie!I28</f>
        <v/>
      </c>
      <c r="J1125" s="275">
        <f>XI_Wdrożenie!J28</f>
        <v/>
      </c>
      <c r="K1125" s="672">
        <f>XI_Wdrożenie!K28</f>
        <v/>
      </c>
      <c r="L1125" s="672">
        <f>XI_Wdrożenie!L28</f>
        <v/>
      </c>
      <c r="M1125" s="275">
        <f>XI_Wdrożenie!M28</f>
        <v/>
      </c>
      <c r="N1125" s="275">
        <f>XI_Wdrożenie!N28</f>
        <v/>
      </c>
      <c r="O1125" s="275">
        <f>XI_Wdrożenie!O28</f>
        <v/>
      </c>
      <c r="P1125" s="632">
        <f>XI_Wdrożenie!P28</f>
        <v/>
      </c>
      <c r="Q1125" s="632">
        <f>XI_Wdrożenie!Q28</f>
        <v/>
      </c>
      <c r="R1125" s="632">
        <f>XI_Wdrożenie!R28</f>
        <v/>
      </c>
      <c r="S1125" s="632">
        <f>XI_Wdrożenie!S28</f>
        <v/>
      </c>
      <c r="T1125" s="632">
        <f>XI_Wdrożenie!T28</f>
        <v/>
      </c>
      <c r="U1125" s="632">
        <f>XI_Wdrożenie!U28</f>
        <v/>
      </c>
      <c r="V1125" s="632">
        <f>XI_Wdrożenie!V28</f>
        <v/>
      </c>
      <c r="W1125" s="632">
        <f>XI_Wdrożenie!W28</f>
        <v/>
      </c>
      <c r="X1125" s="632">
        <f>XI_Wdrożenie!X28</f>
        <v/>
      </c>
      <c r="Y1125" s="654">
        <f>XI_Wdrożenie!Y28</f>
        <v/>
      </c>
      <c r="Z1125" s="654">
        <f>XI_Wdrożenie!Z28</f>
        <v/>
      </c>
      <c r="AA1125" s="654">
        <f>XI_Wdrożenie!AA28</f>
        <v/>
      </c>
      <c r="AB1125" s="654">
        <f>XI_Wdrożenie!AB28</f>
        <v/>
      </c>
      <c r="AC1125" s="617">
        <f>XI_Wdrożenie!AC28</f>
        <v/>
      </c>
      <c r="AD1125" s="617">
        <f>XI_Wdrożenie!AD28</f>
        <v/>
      </c>
      <c r="AE1125" s="617">
        <f>XI_Wdrożenie!AE28</f>
        <v/>
      </c>
      <c r="AF1125" s="617">
        <f>XI_Wdrożenie!AF28</f>
        <v/>
      </c>
      <c r="AG1125" s="259">
        <f>XI_Wdrożenie!AG28</f>
        <v/>
      </c>
      <c r="AH1125" s="259">
        <f>XI_Wdrożenie!AH28</f>
        <v/>
      </c>
      <c r="AI1125" s="259">
        <f>XI_Wdrożenie!AI28</f>
        <v/>
      </c>
      <c r="AJ1125" s="259">
        <f>XI_Wdrożenie!AJ28</f>
        <v/>
      </c>
      <c r="AK1125" s="259">
        <f>XI_Wdrożenie!AK28</f>
        <v/>
      </c>
      <c r="AL1125" s="259">
        <f>XI_Wdrożenie!AL28</f>
        <v/>
      </c>
      <c r="AM1125" s="259">
        <f>XI_Wdrożenie!AM28</f>
        <v/>
      </c>
      <c r="AN1125" s="259">
        <f>XI_Wdrożenie!AN28</f>
        <v/>
      </c>
      <c r="AO1125" s="259">
        <f>XI_Wdrożenie!AO28</f>
        <v/>
      </c>
      <c r="AP1125" s="647">
        <f>XI_Wdrożenie!AP28</f>
        <v/>
      </c>
      <c r="AQ1125" s="647">
        <f>XI_Wdrożenie!AQ28</f>
        <v/>
      </c>
      <c r="AR1125" s="647">
        <f>XI_Wdrożenie!AR28</f>
        <v/>
      </c>
      <c r="AS1125" s="647">
        <f>XI_Wdrożenie!AS28</f>
        <v/>
      </c>
      <c r="AT1125" s="623">
        <f>XI_Wdrożenie!AT28</f>
        <v/>
      </c>
      <c r="AU1125" s="623">
        <f>XI_Wdrożenie!AU28</f>
        <v/>
      </c>
      <c r="AV1125" s="623">
        <f>XI_Wdrożenie!AV28</f>
        <v/>
      </c>
      <c r="AW1125" s="623">
        <f>XI_Wdrożenie!AW28</f>
        <v/>
      </c>
      <c r="AX1125" s="275">
        <f>XI_Wdrożenie!AX28</f>
        <v/>
      </c>
      <c r="AY1125" s="275">
        <f>XI_Wdrożenie!AY28</f>
        <v/>
      </c>
      <c r="AZ1125" s="275">
        <f>XI_Wdrożenie!AZ28</f>
        <v/>
      </c>
      <c r="BA1125" s="275">
        <f>XI_Wdrożenie!BA28</f>
        <v/>
      </c>
      <c r="BB1125" s="275">
        <f>XI_Wdrożenie!BB28</f>
        <v/>
      </c>
      <c r="BC1125" s="275">
        <f>XI_Wdrożenie!BC28</f>
        <v/>
      </c>
      <c r="BD1125" s="275">
        <f>XI_Wdrożenie!BD28</f>
        <v/>
      </c>
      <c r="BE1125" s="275">
        <f>XI_Wdrożenie!BE28</f>
        <v/>
      </c>
      <c r="BF1125" s="275">
        <f>XI_Wdrożenie!BF28</f>
        <v/>
      </c>
      <c r="BG1125" s="275">
        <f>XI_Wdrożenie!BG28</f>
        <v/>
      </c>
      <c r="BH1125" s="275">
        <f>XI_Wdrożenie!BH28</f>
        <v/>
      </c>
      <c r="BI1125" s="275">
        <f>XI_Wdrożenie!BI28</f>
        <v/>
      </c>
      <c r="BJ1125">
        <f>O1125</f>
        <v/>
      </c>
      <c r="BK1125">
        <f>SUM(AG1125:AW1125)</f>
        <v/>
      </c>
      <c r="BL1125" s="531">
        <f>BJ1125-BK1125</f>
        <v/>
      </c>
      <c r="BM1125" s="201" t="n"/>
    </row>
    <row r="1126" hidden="1" outlineLevel="1" s="191">
      <c r="A1126" s="275">
        <f>XI_Wdrożenie!A29</f>
        <v/>
      </c>
      <c r="B1126" s="275">
        <f>XI_Wdrożenie!B29</f>
        <v/>
      </c>
      <c r="C1126" s="275">
        <f>XI_Wdrożenie!C29</f>
        <v/>
      </c>
      <c r="D1126" s="275">
        <f>XI_Wdrożenie!D29</f>
        <v/>
      </c>
      <c r="E1126" s="275">
        <f>XI_Wdrożenie!E29</f>
        <v/>
      </c>
      <c r="F1126" s="275">
        <f>XI_Wdrożenie!F29</f>
        <v/>
      </c>
      <c r="G1126" s="275">
        <f>XI_Wdrożenie!G29</f>
        <v/>
      </c>
      <c r="H1126" s="275">
        <f>XI_Wdrożenie!H29</f>
        <v/>
      </c>
      <c r="I1126" s="275">
        <f>XI_Wdrożenie!I29</f>
        <v/>
      </c>
      <c r="J1126" s="275">
        <f>XI_Wdrożenie!J29</f>
        <v/>
      </c>
      <c r="K1126" s="672">
        <f>XI_Wdrożenie!K29</f>
        <v/>
      </c>
      <c r="L1126" s="672">
        <f>XI_Wdrożenie!L29</f>
        <v/>
      </c>
      <c r="M1126" s="275">
        <f>XI_Wdrożenie!M29</f>
        <v/>
      </c>
      <c r="N1126" s="275">
        <f>XI_Wdrożenie!N29</f>
        <v/>
      </c>
      <c r="O1126" s="275">
        <f>XI_Wdrożenie!O29</f>
        <v/>
      </c>
      <c r="P1126" s="632">
        <f>XI_Wdrożenie!P29</f>
        <v/>
      </c>
      <c r="Q1126" s="632">
        <f>XI_Wdrożenie!Q29</f>
        <v/>
      </c>
      <c r="R1126" s="632">
        <f>XI_Wdrożenie!R29</f>
        <v/>
      </c>
      <c r="S1126" s="632">
        <f>XI_Wdrożenie!S29</f>
        <v/>
      </c>
      <c r="T1126" s="632">
        <f>XI_Wdrożenie!T29</f>
        <v/>
      </c>
      <c r="U1126" s="632">
        <f>XI_Wdrożenie!U29</f>
        <v/>
      </c>
      <c r="V1126" s="632">
        <f>XI_Wdrożenie!V29</f>
        <v/>
      </c>
      <c r="W1126" s="632">
        <f>XI_Wdrożenie!W29</f>
        <v/>
      </c>
      <c r="X1126" s="632">
        <f>XI_Wdrożenie!X29</f>
        <v/>
      </c>
      <c r="Y1126" s="654">
        <f>XI_Wdrożenie!Y29</f>
        <v/>
      </c>
      <c r="Z1126" s="654">
        <f>XI_Wdrożenie!Z29</f>
        <v/>
      </c>
      <c r="AA1126" s="654">
        <f>XI_Wdrożenie!AA29</f>
        <v/>
      </c>
      <c r="AB1126" s="654">
        <f>XI_Wdrożenie!AB29</f>
        <v/>
      </c>
      <c r="AC1126" s="617">
        <f>XI_Wdrożenie!AC29</f>
        <v/>
      </c>
      <c r="AD1126" s="617">
        <f>XI_Wdrożenie!AD29</f>
        <v/>
      </c>
      <c r="AE1126" s="617">
        <f>XI_Wdrożenie!AE29</f>
        <v/>
      </c>
      <c r="AF1126" s="617">
        <f>XI_Wdrożenie!AF29</f>
        <v/>
      </c>
      <c r="AG1126" s="259">
        <f>XI_Wdrożenie!AG29</f>
        <v/>
      </c>
      <c r="AH1126" s="259">
        <f>XI_Wdrożenie!AH29</f>
        <v/>
      </c>
      <c r="AI1126" s="259">
        <f>XI_Wdrożenie!AI29</f>
        <v/>
      </c>
      <c r="AJ1126" s="259">
        <f>XI_Wdrożenie!AJ29</f>
        <v/>
      </c>
      <c r="AK1126" s="259">
        <f>XI_Wdrożenie!AK29</f>
        <v/>
      </c>
      <c r="AL1126" s="259">
        <f>XI_Wdrożenie!AL29</f>
        <v/>
      </c>
      <c r="AM1126" s="259">
        <f>XI_Wdrożenie!AM29</f>
        <v/>
      </c>
      <c r="AN1126" s="259">
        <f>XI_Wdrożenie!AN29</f>
        <v/>
      </c>
      <c r="AO1126" s="259">
        <f>XI_Wdrożenie!AO29</f>
        <v/>
      </c>
      <c r="AP1126" s="647">
        <f>XI_Wdrożenie!AP29</f>
        <v/>
      </c>
      <c r="AQ1126" s="647">
        <f>XI_Wdrożenie!AQ29</f>
        <v/>
      </c>
      <c r="AR1126" s="647">
        <f>XI_Wdrożenie!AR29</f>
        <v/>
      </c>
      <c r="AS1126" s="647">
        <f>XI_Wdrożenie!AS29</f>
        <v/>
      </c>
      <c r="AT1126" s="623">
        <f>XI_Wdrożenie!AT29</f>
        <v/>
      </c>
      <c r="AU1126" s="623">
        <f>XI_Wdrożenie!AU29</f>
        <v/>
      </c>
      <c r="AV1126" s="623">
        <f>XI_Wdrożenie!AV29</f>
        <v/>
      </c>
      <c r="AW1126" s="623">
        <f>XI_Wdrożenie!AW29</f>
        <v/>
      </c>
      <c r="AX1126" s="275">
        <f>XI_Wdrożenie!AX29</f>
        <v/>
      </c>
      <c r="AY1126" s="275">
        <f>XI_Wdrożenie!AY29</f>
        <v/>
      </c>
      <c r="AZ1126" s="275">
        <f>XI_Wdrożenie!AZ29</f>
        <v/>
      </c>
      <c r="BA1126" s="275">
        <f>XI_Wdrożenie!BA29</f>
        <v/>
      </c>
      <c r="BB1126" s="275">
        <f>XI_Wdrożenie!BB29</f>
        <v/>
      </c>
      <c r="BC1126" s="275">
        <f>XI_Wdrożenie!BC29</f>
        <v/>
      </c>
      <c r="BD1126" s="275">
        <f>XI_Wdrożenie!BD29</f>
        <v/>
      </c>
      <c r="BE1126" s="275">
        <f>XI_Wdrożenie!BE29</f>
        <v/>
      </c>
      <c r="BF1126" s="275">
        <f>XI_Wdrożenie!BF29</f>
        <v/>
      </c>
      <c r="BG1126" s="275">
        <f>XI_Wdrożenie!BG29</f>
        <v/>
      </c>
      <c r="BH1126" s="275">
        <f>XI_Wdrożenie!BH29</f>
        <v/>
      </c>
      <c r="BI1126" s="275">
        <f>XI_Wdrożenie!BI29</f>
        <v/>
      </c>
      <c r="BJ1126">
        <f>O1126</f>
        <v/>
      </c>
      <c r="BK1126">
        <f>SUM(AG1126:AW1126)</f>
        <v/>
      </c>
      <c r="BL1126" s="531">
        <f>BJ1126-BK1126</f>
        <v/>
      </c>
      <c r="BM1126" s="201" t="n"/>
    </row>
    <row r="1127" hidden="1" outlineLevel="1" s="191">
      <c r="A1127" s="275">
        <f>XI_Wdrożenie!A30</f>
        <v/>
      </c>
      <c r="B1127" s="275">
        <f>XI_Wdrożenie!B30</f>
        <v/>
      </c>
      <c r="C1127" s="275">
        <f>XI_Wdrożenie!C30</f>
        <v/>
      </c>
      <c r="D1127" s="275">
        <f>XI_Wdrożenie!D30</f>
        <v/>
      </c>
      <c r="E1127" s="275">
        <f>XI_Wdrożenie!E30</f>
        <v/>
      </c>
      <c r="F1127" s="275">
        <f>XI_Wdrożenie!F30</f>
        <v/>
      </c>
      <c r="G1127" s="275">
        <f>XI_Wdrożenie!G30</f>
        <v/>
      </c>
      <c r="H1127" s="275">
        <f>XI_Wdrożenie!H30</f>
        <v/>
      </c>
      <c r="I1127" s="275">
        <f>XI_Wdrożenie!I30</f>
        <v/>
      </c>
      <c r="J1127" s="275">
        <f>XI_Wdrożenie!J30</f>
        <v/>
      </c>
      <c r="K1127" s="672">
        <f>XI_Wdrożenie!K30</f>
        <v/>
      </c>
      <c r="L1127" s="672">
        <f>XI_Wdrożenie!L30</f>
        <v/>
      </c>
      <c r="M1127" s="275">
        <f>XI_Wdrożenie!M30</f>
        <v/>
      </c>
      <c r="N1127" s="275">
        <f>XI_Wdrożenie!N30</f>
        <v/>
      </c>
      <c r="O1127" s="275">
        <f>XI_Wdrożenie!O30</f>
        <v/>
      </c>
      <c r="P1127" s="632">
        <f>XI_Wdrożenie!P30</f>
        <v/>
      </c>
      <c r="Q1127" s="632">
        <f>XI_Wdrożenie!Q30</f>
        <v/>
      </c>
      <c r="R1127" s="632">
        <f>XI_Wdrożenie!R30</f>
        <v/>
      </c>
      <c r="S1127" s="632">
        <f>XI_Wdrożenie!S30</f>
        <v/>
      </c>
      <c r="T1127" s="632">
        <f>XI_Wdrożenie!T30</f>
        <v/>
      </c>
      <c r="U1127" s="632">
        <f>XI_Wdrożenie!U30</f>
        <v/>
      </c>
      <c r="V1127" s="632">
        <f>XI_Wdrożenie!V30</f>
        <v/>
      </c>
      <c r="W1127" s="632">
        <f>XI_Wdrożenie!W30</f>
        <v/>
      </c>
      <c r="X1127" s="632">
        <f>XI_Wdrożenie!X30</f>
        <v/>
      </c>
      <c r="Y1127" s="654">
        <f>XI_Wdrożenie!Y30</f>
        <v/>
      </c>
      <c r="Z1127" s="654">
        <f>XI_Wdrożenie!Z30</f>
        <v/>
      </c>
      <c r="AA1127" s="654">
        <f>XI_Wdrożenie!AA30</f>
        <v/>
      </c>
      <c r="AB1127" s="654">
        <f>XI_Wdrożenie!AB30</f>
        <v/>
      </c>
      <c r="AC1127" s="617">
        <f>XI_Wdrożenie!AC30</f>
        <v/>
      </c>
      <c r="AD1127" s="617">
        <f>XI_Wdrożenie!AD30</f>
        <v/>
      </c>
      <c r="AE1127" s="617">
        <f>XI_Wdrożenie!AE30</f>
        <v/>
      </c>
      <c r="AF1127" s="617">
        <f>XI_Wdrożenie!AF30</f>
        <v/>
      </c>
      <c r="AG1127" s="259">
        <f>XI_Wdrożenie!AG30</f>
        <v/>
      </c>
      <c r="AH1127" s="259">
        <f>XI_Wdrożenie!AH30</f>
        <v/>
      </c>
      <c r="AI1127" s="259">
        <f>XI_Wdrożenie!AI30</f>
        <v/>
      </c>
      <c r="AJ1127" s="259">
        <f>XI_Wdrożenie!AJ30</f>
        <v/>
      </c>
      <c r="AK1127" s="259">
        <f>XI_Wdrożenie!AK30</f>
        <v/>
      </c>
      <c r="AL1127" s="259">
        <f>XI_Wdrożenie!AL30</f>
        <v/>
      </c>
      <c r="AM1127" s="259">
        <f>XI_Wdrożenie!AM30</f>
        <v/>
      </c>
      <c r="AN1127" s="259">
        <f>XI_Wdrożenie!AN30</f>
        <v/>
      </c>
      <c r="AO1127" s="259">
        <f>XI_Wdrożenie!AO30</f>
        <v/>
      </c>
      <c r="AP1127" s="647">
        <f>XI_Wdrożenie!AP30</f>
        <v/>
      </c>
      <c r="AQ1127" s="647">
        <f>XI_Wdrożenie!AQ30</f>
        <v/>
      </c>
      <c r="AR1127" s="647">
        <f>XI_Wdrożenie!AR30</f>
        <v/>
      </c>
      <c r="AS1127" s="647">
        <f>XI_Wdrożenie!AS30</f>
        <v/>
      </c>
      <c r="AT1127" s="623">
        <f>XI_Wdrożenie!AT30</f>
        <v/>
      </c>
      <c r="AU1127" s="623">
        <f>XI_Wdrożenie!AU30</f>
        <v/>
      </c>
      <c r="AV1127" s="623">
        <f>XI_Wdrożenie!AV30</f>
        <v/>
      </c>
      <c r="AW1127" s="623">
        <f>XI_Wdrożenie!AW30</f>
        <v/>
      </c>
      <c r="AX1127" s="275">
        <f>XI_Wdrożenie!AX30</f>
        <v/>
      </c>
      <c r="AY1127" s="275">
        <f>XI_Wdrożenie!AY30</f>
        <v/>
      </c>
      <c r="AZ1127" s="275">
        <f>XI_Wdrożenie!AZ30</f>
        <v/>
      </c>
      <c r="BA1127" s="275">
        <f>XI_Wdrożenie!BA30</f>
        <v/>
      </c>
      <c r="BB1127" s="275">
        <f>XI_Wdrożenie!BB30</f>
        <v/>
      </c>
      <c r="BC1127" s="275">
        <f>XI_Wdrożenie!BC30</f>
        <v/>
      </c>
      <c r="BD1127" s="275">
        <f>XI_Wdrożenie!BD30</f>
        <v/>
      </c>
      <c r="BE1127" s="275">
        <f>XI_Wdrożenie!BE30</f>
        <v/>
      </c>
      <c r="BF1127" s="275">
        <f>XI_Wdrożenie!BF30</f>
        <v/>
      </c>
      <c r="BG1127" s="275">
        <f>XI_Wdrożenie!BG30</f>
        <v/>
      </c>
      <c r="BH1127" s="275">
        <f>XI_Wdrożenie!BH30</f>
        <v/>
      </c>
      <c r="BI1127" s="275">
        <f>XI_Wdrożenie!BI30</f>
        <v/>
      </c>
      <c r="BJ1127">
        <f>O1127</f>
        <v/>
      </c>
      <c r="BK1127">
        <f>SUM(AG1127:AW1127)</f>
        <v/>
      </c>
      <c r="BL1127" s="531">
        <f>BJ1127-BK1127</f>
        <v/>
      </c>
      <c r="BM1127" s="201" t="n"/>
    </row>
    <row r="1128" hidden="1" outlineLevel="1" s="191">
      <c r="A1128" s="275">
        <f>XI_Wdrożenie!A31</f>
        <v/>
      </c>
      <c r="B1128" s="275">
        <f>XI_Wdrożenie!B31</f>
        <v/>
      </c>
      <c r="C1128" s="275">
        <f>XI_Wdrożenie!C31</f>
        <v/>
      </c>
      <c r="D1128" s="275">
        <f>XI_Wdrożenie!D31</f>
        <v/>
      </c>
      <c r="E1128" s="275">
        <f>XI_Wdrożenie!E31</f>
        <v/>
      </c>
      <c r="F1128" s="275">
        <f>XI_Wdrożenie!F31</f>
        <v/>
      </c>
      <c r="G1128" s="275">
        <f>XI_Wdrożenie!G31</f>
        <v/>
      </c>
      <c r="H1128" s="275">
        <f>XI_Wdrożenie!H31</f>
        <v/>
      </c>
      <c r="I1128" s="275">
        <f>XI_Wdrożenie!I31</f>
        <v/>
      </c>
      <c r="J1128" s="275">
        <f>XI_Wdrożenie!J31</f>
        <v/>
      </c>
      <c r="K1128" s="672">
        <f>XI_Wdrożenie!K31</f>
        <v/>
      </c>
      <c r="L1128" s="672">
        <f>XI_Wdrożenie!L31</f>
        <v/>
      </c>
      <c r="M1128" s="275">
        <f>XI_Wdrożenie!M31</f>
        <v/>
      </c>
      <c r="N1128" s="275">
        <f>XI_Wdrożenie!N31</f>
        <v/>
      </c>
      <c r="O1128" s="275">
        <f>XI_Wdrożenie!O31</f>
        <v/>
      </c>
      <c r="P1128" s="632">
        <f>XI_Wdrożenie!P31</f>
        <v/>
      </c>
      <c r="Q1128" s="632">
        <f>XI_Wdrożenie!Q31</f>
        <v/>
      </c>
      <c r="R1128" s="632">
        <f>XI_Wdrożenie!R31</f>
        <v/>
      </c>
      <c r="S1128" s="632">
        <f>XI_Wdrożenie!S31</f>
        <v/>
      </c>
      <c r="T1128" s="632">
        <f>XI_Wdrożenie!T31</f>
        <v/>
      </c>
      <c r="U1128" s="632">
        <f>XI_Wdrożenie!U31</f>
        <v/>
      </c>
      <c r="V1128" s="632">
        <f>XI_Wdrożenie!V31</f>
        <v/>
      </c>
      <c r="W1128" s="632">
        <f>XI_Wdrożenie!W31</f>
        <v/>
      </c>
      <c r="X1128" s="632">
        <f>XI_Wdrożenie!X31</f>
        <v/>
      </c>
      <c r="Y1128" s="654">
        <f>XI_Wdrożenie!Y31</f>
        <v/>
      </c>
      <c r="Z1128" s="654">
        <f>XI_Wdrożenie!Z31</f>
        <v/>
      </c>
      <c r="AA1128" s="654">
        <f>XI_Wdrożenie!AA31</f>
        <v/>
      </c>
      <c r="AB1128" s="654">
        <f>XI_Wdrożenie!AB31</f>
        <v/>
      </c>
      <c r="AC1128" s="617">
        <f>XI_Wdrożenie!AC31</f>
        <v/>
      </c>
      <c r="AD1128" s="617">
        <f>XI_Wdrożenie!AD31</f>
        <v/>
      </c>
      <c r="AE1128" s="617">
        <f>XI_Wdrożenie!AE31</f>
        <v/>
      </c>
      <c r="AF1128" s="617">
        <f>XI_Wdrożenie!AF31</f>
        <v/>
      </c>
      <c r="AG1128" s="259">
        <f>XI_Wdrożenie!AG31</f>
        <v/>
      </c>
      <c r="AH1128" s="259">
        <f>XI_Wdrożenie!AH31</f>
        <v/>
      </c>
      <c r="AI1128" s="259">
        <f>XI_Wdrożenie!AI31</f>
        <v/>
      </c>
      <c r="AJ1128" s="259">
        <f>XI_Wdrożenie!AJ31</f>
        <v/>
      </c>
      <c r="AK1128" s="259">
        <f>XI_Wdrożenie!AK31</f>
        <v/>
      </c>
      <c r="AL1128" s="259">
        <f>XI_Wdrożenie!AL31</f>
        <v/>
      </c>
      <c r="AM1128" s="259">
        <f>XI_Wdrożenie!AM31</f>
        <v/>
      </c>
      <c r="AN1128" s="259">
        <f>XI_Wdrożenie!AN31</f>
        <v/>
      </c>
      <c r="AO1128" s="259">
        <f>XI_Wdrożenie!AO31</f>
        <v/>
      </c>
      <c r="AP1128" s="647">
        <f>XI_Wdrożenie!AP31</f>
        <v/>
      </c>
      <c r="AQ1128" s="647">
        <f>XI_Wdrożenie!AQ31</f>
        <v/>
      </c>
      <c r="AR1128" s="647">
        <f>XI_Wdrożenie!AR31</f>
        <v/>
      </c>
      <c r="AS1128" s="647">
        <f>XI_Wdrożenie!AS31</f>
        <v/>
      </c>
      <c r="AT1128" s="623">
        <f>XI_Wdrożenie!AT31</f>
        <v/>
      </c>
      <c r="AU1128" s="623">
        <f>XI_Wdrożenie!AU31</f>
        <v/>
      </c>
      <c r="AV1128" s="623">
        <f>XI_Wdrożenie!AV31</f>
        <v/>
      </c>
      <c r="AW1128" s="623">
        <f>XI_Wdrożenie!AW31</f>
        <v/>
      </c>
      <c r="AX1128" s="275">
        <f>XI_Wdrożenie!AX31</f>
        <v/>
      </c>
      <c r="AY1128" s="275">
        <f>XI_Wdrożenie!AY31</f>
        <v/>
      </c>
      <c r="AZ1128" s="275">
        <f>XI_Wdrożenie!AZ31</f>
        <v/>
      </c>
      <c r="BA1128" s="275">
        <f>XI_Wdrożenie!BA31</f>
        <v/>
      </c>
      <c r="BB1128" s="275">
        <f>XI_Wdrożenie!BB31</f>
        <v/>
      </c>
      <c r="BC1128" s="275">
        <f>XI_Wdrożenie!BC31</f>
        <v/>
      </c>
      <c r="BD1128" s="275">
        <f>XI_Wdrożenie!BD31</f>
        <v/>
      </c>
      <c r="BE1128" s="275">
        <f>XI_Wdrożenie!BE31</f>
        <v/>
      </c>
      <c r="BF1128" s="275">
        <f>XI_Wdrożenie!BF31</f>
        <v/>
      </c>
      <c r="BG1128" s="275">
        <f>XI_Wdrożenie!BG31</f>
        <v/>
      </c>
      <c r="BH1128" s="275">
        <f>XI_Wdrożenie!BH31</f>
        <v/>
      </c>
      <c r="BI1128" s="275">
        <f>XI_Wdrożenie!BI31</f>
        <v/>
      </c>
      <c r="BJ1128">
        <f>O1128</f>
        <v/>
      </c>
      <c r="BK1128">
        <f>SUM(AG1128:AW1128)</f>
        <v/>
      </c>
      <c r="BL1128" s="531">
        <f>BJ1128-BK1128</f>
        <v/>
      </c>
      <c r="BM1128" s="201" t="n"/>
    </row>
    <row r="1129" hidden="1" outlineLevel="1" s="191">
      <c r="A1129" s="275">
        <f>XI_Wdrożenie!A32</f>
        <v/>
      </c>
      <c r="B1129" s="275">
        <f>XI_Wdrożenie!B32</f>
        <v/>
      </c>
      <c r="C1129" s="275">
        <f>XI_Wdrożenie!C32</f>
        <v/>
      </c>
      <c r="D1129" s="275">
        <f>XI_Wdrożenie!D32</f>
        <v/>
      </c>
      <c r="E1129" s="275">
        <f>XI_Wdrożenie!E32</f>
        <v/>
      </c>
      <c r="F1129" s="275">
        <f>XI_Wdrożenie!F32</f>
        <v/>
      </c>
      <c r="G1129" s="275">
        <f>XI_Wdrożenie!G32</f>
        <v/>
      </c>
      <c r="H1129" s="275">
        <f>XI_Wdrożenie!H32</f>
        <v/>
      </c>
      <c r="I1129" s="275">
        <f>XI_Wdrożenie!I32</f>
        <v/>
      </c>
      <c r="J1129" s="275">
        <f>XI_Wdrożenie!J32</f>
        <v/>
      </c>
      <c r="K1129" s="672">
        <f>XI_Wdrożenie!K32</f>
        <v/>
      </c>
      <c r="L1129" s="672">
        <f>XI_Wdrożenie!L32</f>
        <v/>
      </c>
      <c r="M1129" s="275">
        <f>XI_Wdrożenie!M32</f>
        <v/>
      </c>
      <c r="N1129" s="275">
        <f>XI_Wdrożenie!N32</f>
        <v/>
      </c>
      <c r="O1129" s="275">
        <f>XI_Wdrożenie!O32</f>
        <v/>
      </c>
      <c r="P1129" s="632">
        <f>XI_Wdrożenie!P32</f>
        <v/>
      </c>
      <c r="Q1129" s="632">
        <f>XI_Wdrożenie!Q32</f>
        <v/>
      </c>
      <c r="R1129" s="632">
        <f>XI_Wdrożenie!R32</f>
        <v/>
      </c>
      <c r="S1129" s="632">
        <f>XI_Wdrożenie!S32</f>
        <v/>
      </c>
      <c r="T1129" s="632">
        <f>XI_Wdrożenie!T32</f>
        <v/>
      </c>
      <c r="U1129" s="632">
        <f>XI_Wdrożenie!U32</f>
        <v/>
      </c>
      <c r="V1129" s="632">
        <f>XI_Wdrożenie!V32</f>
        <v/>
      </c>
      <c r="W1129" s="632">
        <f>XI_Wdrożenie!W32</f>
        <v/>
      </c>
      <c r="X1129" s="632">
        <f>XI_Wdrożenie!X32</f>
        <v/>
      </c>
      <c r="Y1129" s="654">
        <f>XI_Wdrożenie!Y32</f>
        <v/>
      </c>
      <c r="Z1129" s="654">
        <f>XI_Wdrożenie!Z32</f>
        <v/>
      </c>
      <c r="AA1129" s="654">
        <f>XI_Wdrożenie!AA32</f>
        <v/>
      </c>
      <c r="AB1129" s="654">
        <f>XI_Wdrożenie!AB32</f>
        <v/>
      </c>
      <c r="AC1129" s="617">
        <f>XI_Wdrożenie!AC32</f>
        <v/>
      </c>
      <c r="AD1129" s="617">
        <f>XI_Wdrożenie!AD32</f>
        <v/>
      </c>
      <c r="AE1129" s="617">
        <f>XI_Wdrożenie!AE32</f>
        <v/>
      </c>
      <c r="AF1129" s="617">
        <f>XI_Wdrożenie!AF32</f>
        <v/>
      </c>
      <c r="AG1129" s="259">
        <f>XI_Wdrożenie!AG32</f>
        <v/>
      </c>
      <c r="AH1129" s="259">
        <f>XI_Wdrożenie!AH32</f>
        <v/>
      </c>
      <c r="AI1129" s="259">
        <f>XI_Wdrożenie!AI32</f>
        <v/>
      </c>
      <c r="AJ1129" s="259">
        <f>XI_Wdrożenie!AJ32</f>
        <v/>
      </c>
      <c r="AK1129" s="259">
        <f>XI_Wdrożenie!AK32</f>
        <v/>
      </c>
      <c r="AL1129" s="259">
        <f>XI_Wdrożenie!AL32</f>
        <v/>
      </c>
      <c r="AM1129" s="259">
        <f>XI_Wdrożenie!AM32</f>
        <v/>
      </c>
      <c r="AN1129" s="259">
        <f>XI_Wdrożenie!AN32</f>
        <v/>
      </c>
      <c r="AO1129" s="259">
        <f>XI_Wdrożenie!AO32</f>
        <v/>
      </c>
      <c r="AP1129" s="647">
        <f>XI_Wdrożenie!AP32</f>
        <v/>
      </c>
      <c r="AQ1129" s="647">
        <f>XI_Wdrożenie!AQ32</f>
        <v/>
      </c>
      <c r="AR1129" s="647">
        <f>XI_Wdrożenie!AR32</f>
        <v/>
      </c>
      <c r="AS1129" s="647">
        <f>XI_Wdrożenie!AS32</f>
        <v/>
      </c>
      <c r="AT1129" s="623">
        <f>XI_Wdrożenie!AT32</f>
        <v/>
      </c>
      <c r="AU1129" s="623">
        <f>XI_Wdrożenie!AU32</f>
        <v/>
      </c>
      <c r="AV1129" s="623">
        <f>XI_Wdrożenie!AV32</f>
        <v/>
      </c>
      <c r="AW1129" s="623">
        <f>XI_Wdrożenie!AW32</f>
        <v/>
      </c>
      <c r="AX1129" s="275">
        <f>XI_Wdrożenie!AX32</f>
        <v/>
      </c>
      <c r="AY1129" s="275">
        <f>XI_Wdrożenie!AY32</f>
        <v/>
      </c>
      <c r="AZ1129" s="275">
        <f>XI_Wdrożenie!AZ32</f>
        <v/>
      </c>
      <c r="BA1129" s="275">
        <f>XI_Wdrożenie!BA32</f>
        <v/>
      </c>
      <c r="BB1129" s="275">
        <f>XI_Wdrożenie!BB32</f>
        <v/>
      </c>
      <c r="BC1129" s="275">
        <f>XI_Wdrożenie!BC32</f>
        <v/>
      </c>
      <c r="BD1129" s="275">
        <f>XI_Wdrożenie!BD32</f>
        <v/>
      </c>
      <c r="BE1129" s="275">
        <f>XI_Wdrożenie!BE32</f>
        <v/>
      </c>
      <c r="BF1129" s="275">
        <f>XI_Wdrożenie!BF32</f>
        <v/>
      </c>
      <c r="BG1129" s="275">
        <f>XI_Wdrożenie!BG32</f>
        <v/>
      </c>
      <c r="BH1129" s="275">
        <f>XI_Wdrożenie!BH32</f>
        <v/>
      </c>
      <c r="BI1129" s="275">
        <f>XI_Wdrożenie!BI32</f>
        <v/>
      </c>
      <c r="BJ1129">
        <f>O1129</f>
        <v/>
      </c>
      <c r="BK1129">
        <f>SUM(AG1129:AW1129)</f>
        <v/>
      </c>
      <c r="BL1129" s="531">
        <f>BJ1129-BK1129</f>
        <v/>
      </c>
      <c r="BM1129" s="201" t="n"/>
    </row>
    <row r="1130" hidden="1" outlineLevel="1" s="191">
      <c r="A1130" s="275">
        <f>XI_Wdrożenie!A33</f>
        <v/>
      </c>
      <c r="B1130" s="275">
        <f>XI_Wdrożenie!B33</f>
        <v/>
      </c>
      <c r="C1130" s="275">
        <f>XI_Wdrożenie!C33</f>
        <v/>
      </c>
      <c r="D1130" s="275">
        <f>XI_Wdrożenie!D33</f>
        <v/>
      </c>
      <c r="E1130" s="275">
        <f>XI_Wdrożenie!E33</f>
        <v/>
      </c>
      <c r="F1130" s="275">
        <f>XI_Wdrożenie!F33</f>
        <v/>
      </c>
      <c r="G1130" s="275">
        <f>XI_Wdrożenie!G33</f>
        <v/>
      </c>
      <c r="H1130" s="275">
        <f>XI_Wdrożenie!H33</f>
        <v/>
      </c>
      <c r="I1130" s="275">
        <f>XI_Wdrożenie!I33</f>
        <v/>
      </c>
      <c r="J1130" s="275">
        <f>XI_Wdrożenie!J33</f>
        <v/>
      </c>
      <c r="K1130" s="672">
        <f>XI_Wdrożenie!K33</f>
        <v/>
      </c>
      <c r="L1130" s="672">
        <f>XI_Wdrożenie!L33</f>
        <v/>
      </c>
      <c r="M1130" s="275">
        <f>XI_Wdrożenie!M33</f>
        <v/>
      </c>
      <c r="N1130" s="275">
        <f>XI_Wdrożenie!N33</f>
        <v/>
      </c>
      <c r="O1130" s="275">
        <f>XI_Wdrożenie!O33</f>
        <v/>
      </c>
      <c r="P1130" s="632">
        <f>XI_Wdrożenie!P33</f>
        <v/>
      </c>
      <c r="Q1130" s="632">
        <f>XI_Wdrożenie!Q33</f>
        <v/>
      </c>
      <c r="R1130" s="632">
        <f>XI_Wdrożenie!R33</f>
        <v/>
      </c>
      <c r="S1130" s="632">
        <f>XI_Wdrożenie!S33</f>
        <v/>
      </c>
      <c r="T1130" s="632">
        <f>XI_Wdrożenie!T33</f>
        <v/>
      </c>
      <c r="U1130" s="632">
        <f>XI_Wdrożenie!U33</f>
        <v/>
      </c>
      <c r="V1130" s="632">
        <f>XI_Wdrożenie!V33</f>
        <v/>
      </c>
      <c r="W1130" s="632">
        <f>XI_Wdrożenie!W33</f>
        <v/>
      </c>
      <c r="X1130" s="632">
        <f>XI_Wdrożenie!X33</f>
        <v/>
      </c>
      <c r="Y1130" s="654">
        <f>XI_Wdrożenie!Y33</f>
        <v/>
      </c>
      <c r="Z1130" s="654">
        <f>XI_Wdrożenie!Z33</f>
        <v/>
      </c>
      <c r="AA1130" s="654">
        <f>XI_Wdrożenie!AA33</f>
        <v/>
      </c>
      <c r="AB1130" s="654">
        <f>XI_Wdrożenie!AB33</f>
        <v/>
      </c>
      <c r="AC1130" s="617">
        <f>XI_Wdrożenie!AC33</f>
        <v/>
      </c>
      <c r="AD1130" s="617">
        <f>XI_Wdrożenie!AD33</f>
        <v/>
      </c>
      <c r="AE1130" s="617">
        <f>XI_Wdrożenie!AE33</f>
        <v/>
      </c>
      <c r="AF1130" s="617">
        <f>XI_Wdrożenie!AF33</f>
        <v/>
      </c>
      <c r="AG1130" s="259">
        <f>XI_Wdrożenie!AG33</f>
        <v/>
      </c>
      <c r="AH1130" s="259">
        <f>XI_Wdrożenie!AH33</f>
        <v/>
      </c>
      <c r="AI1130" s="259">
        <f>XI_Wdrożenie!AI33</f>
        <v/>
      </c>
      <c r="AJ1130" s="259">
        <f>XI_Wdrożenie!AJ33</f>
        <v/>
      </c>
      <c r="AK1130" s="259">
        <f>XI_Wdrożenie!AK33</f>
        <v/>
      </c>
      <c r="AL1130" s="259">
        <f>XI_Wdrożenie!AL33</f>
        <v/>
      </c>
      <c r="AM1130" s="259">
        <f>XI_Wdrożenie!AM33</f>
        <v/>
      </c>
      <c r="AN1130" s="259">
        <f>XI_Wdrożenie!AN33</f>
        <v/>
      </c>
      <c r="AO1130" s="259">
        <f>XI_Wdrożenie!AO33</f>
        <v/>
      </c>
      <c r="AP1130" s="647">
        <f>XI_Wdrożenie!AP33</f>
        <v/>
      </c>
      <c r="AQ1130" s="647">
        <f>XI_Wdrożenie!AQ33</f>
        <v/>
      </c>
      <c r="AR1130" s="647">
        <f>XI_Wdrożenie!AR33</f>
        <v/>
      </c>
      <c r="AS1130" s="647">
        <f>XI_Wdrożenie!AS33</f>
        <v/>
      </c>
      <c r="AT1130" s="623">
        <f>XI_Wdrożenie!AT33</f>
        <v/>
      </c>
      <c r="AU1130" s="623">
        <f>XI_Wdrożenie!AU33</f>
        <v/>
      </c>
      <c r="AV1130" s="623">
        <f>XI_Wdrożenie!AV33</f>
        <v/>
      </c>
      <c r="AW1130" s="623">
        <f>XI_Wdrożenie!AW33</f>
        <v/>
      </c>
      <c r="AX1130" s="275">
        <f>XI_Wdrożenie!AX33</f>
        <v/>
      </c>
      <c r="AY1130" s="275">
        <f>XI_Wdrożenie!AY33</f>
        <v/>
      </c>
      <c r="AZ1130" s="275">
        <f>XI_Wdrożenie!AZ33</f>
        <v/>
      </c>
      <c r="BA1130" s="275">
        <f>XI_Wdrożenie!BA33</f>
        <v/>
      </c>
      <c r="BB1130" s="275">
        <f>XI_Wdrożenie!BB33</f>
        <v/>
      </c>
      <c r="BC1130" s="275">
        <f>XI_Wdrożenie!BC33</f>
        <v/>
      </c>
      <c r="BD1130" s="275">
        <f>XI_Wdrożenie!BD33</f>
        <v/>
      </c>
      <c r="BE1130" s="275">
        <f>XI_Wdrożenie!BE33</f>
        <v/>
      </c>
      <c r="BF1130" s="275">
        <f>XI_Wdrożenie!BF33</f>
        <v/>
      </c>
      <c r="BG1130" s="275">
        <f>XI_Wdrożenie!BG33</f>
        <v/>
      </c>
      <c r="BH1130" s="275">
        <f>XI_Wdrożenie!BH33</f>
        <v/>
      </c>
      <c r="BI1130" s="275">
        <f>XI_Wdrożenie!BI33</f>
        <v/>
      </c>
      <c r="BJ1130">
        <f>O1130</f>
        <v/>
      </c>
      <c r="BK1130">
        <f>SUM(AG1130:AW1130)</f>
        <v/>
      </c>
      <c r="BL1130" s="531">
        <f>BJ1130-BK1130</f>
        <v/>
      </c>
      <c r="BM1130" s="201" t="n"/>
    </row>
    <row r="1131" hidden="1" outlineLevel="1" s="191">
      <c r="A1131" s="275">
        <f>XI_Wdrożenie!A34</f>
        <v/>
      </c>
      <c r="B1131" s="275">
        <f>XI_Wdrożenie!B34</f>
        <v/>
      </c>
      <c r="C1131" s="275">
        <f>XI_Wdrożenie!C34</f>
        <v/>
      </c>
      <c r="D1131" s="275">
        <f>XI_Wdrożenie!D34</f>
        <v/>
      </c>
      <c r="E1131" s="275">
        <f>XI_Wdrożenie!E34</f>
        <v/>
      </c>
      <c r="F1131" s="275">
        <f>XI_Wdrożenie!F34</f>
        <v/>
      </c>
      <c r="G1131" s="275">
        <f>XI_Wdrożenie!G34</f>
        <v/>
      </c>
      <c r="H1131" s="275">
        <f>XI_Wdrożenie!H34</f>
        <v/>
      </c>
      <c r="I1131" s="275">
        <f>XI_Wdrożenie!I34</f>
        <v/>
      </c>
      <c r="J1131" s="275">
        <f>XI_Wdrożenie!J34</f>
        <v/>
      </c>
      <c r="K1131" s="672">
        <f>XI_Wdrożenie!K34</f>
        <v/>
      </c>
      <c r="L1131" s="672">
        <f>XI_Wdrożenie!L34</f>
        <v/>
      </c>
      <c r="M1131" s="275">
        <f>XI_Wdrożenie!M34</f>
        <v/>
      </c>
      <c r="N1131" s="275">
        <f>XI_Wdrożenie!N34</f>
        <v/>
      </c>
      <c r="O1131" s="275">
        <f>XI_Wdrożenie!O34</f>
        <v/>
      </c>
      <c r="P1131" s="632">
        <f>XI_Wdrożenie!P34</f>
        <v/>
      </c>
      <c r="Q1131" s="632">
        <f>XI_Wdrożenie!Q34</f>
        <v/>
      </c>
      <c r="R1131" s="632">
        <f>XI_Wdrożenie!R34</f>
        <v/>
      </c>
      <c r="S1131" s="632">
        <f>XI_Wdrożenie!S34</f>
        <v/>
      </c>
      <c r="T1131" s="632">
        <f>XI_Wdrożenie!T34</f>
        <v/>
      </c>
      <c r="U1131" s="632">
        <f>XI_Wdrożenie!U34</f>
        <v/>
      </c>
      <c r="V1131" s="632">
        <f>XI_Wdrożenie!V34</f>
        <v/>
      </c>
      <c r="W1131" s="632">
        <f>XI_Wdrożenie!W34</f>
        <v/>
      </c>
      <c r="X1131" s="632">
        <f>XI_Wdrożenie!X34</f>
        <v/>
      </c>
      <c r="Y1131" s="654">
        <f>XI_Wdrożenie!Y34</f>
        <v/>
      </c>
      <c r="Z1131" s="654">
        <f>XI_Wdrożenie!Z34</f>
        <v/>
      </c>
      <c r="AA1131" s="654">
        <f>XI_Wdrożenie!AA34</f>
        <v/>
      </c>
      <c r="AB1131" s="654">
        <f>XI_Wdrożenie!AB34</f>
        <v/>
      </c>
      <c r="AC1131" s="617">
        <f>XI_Wdrożenie!AC34</f>
        <v/>
      </c>
      <c r="AD1131" s="617">
        <f>XI_Wdrożenie!AD34</f>
        <v/>
      </c>
      <c r="AE1131" s="617">
        <f>XI_Wdrożenie!AE34</f>
        <v/>
      </c>
      <c r="AF1131" s="617">
        <f>XI_Wdrożenie!AF34</f>
        <v/>
      </c>
      <c r="AG1131" s="259">
        <f>XI_Wdrożenie!AG34</f>
        <v/>
      </c>
      <c r="AH1131" s="259">
        <f>XI_Wdrożenie!AH34</f>
        <v/>
      </c>
      <c r="AI1131" s="259">
        <f>XI_Wdrożenie!AI34</f>
        <v/>
      </c>
      <c r="AJ1131" s="259">
        <f>XI_Wdrożenie!AJ34</f>
        <v/>
      </c>
      <c r="AK1131" s="259">
        <f>XI_Wdrożenie!AK34</f>
        <v/>
      </c>
      <c r="AL1131" s="259">
        <f>XI_Wdrożenie!AL34</f>
        <v/>
      </c>
      <c r="AM1131" s="259">
        <f>XI_Wdrożenie!AM34</f>
        <v/>
      </c>
      <c r="AN1131" s="259">
        <f>XI_Wdrożenie!AN34</f>
        <v/>
      </c>
      <c r="AO1131" s="259">
        <f>XI_Wdrożenie!AO34</f>
        <v/>
      </c>
      <c r="AP1131" s="647">
        <f>XI_Wdrożenie!AP34</f>
        <v/>
      </c>
      <c r="AQ1131" s="647">
        <f>XI_Wdrożenie!AQ34</f>
        <v/>
      </c>
      <c r="AR1131" s="647">
        <f>XI_Wdrożenie!AR34</f>
        <v/>
      </c>
      <c r="AS1131" s="647">
        <f>XI_Wdrożenie!AS34</f>
        <v/>
      </c>
      <c r="AT1131" s="623">
        <f>XI_Wdrożenie!AT34</f>
        <v/>
      </c>
      <c r="AU1131" s="623">
        <f>XI_Wdrożenie!AU34</f>
        <v/>
      </c>
      <c r="AV1131" s="623">
        <f>XI_Wdrożenie!AV34</f>
        <v/>
      </c>
      <c r="AW1131" s="623">
        <f>XI_Wdrożenie!AW34</f>
        <v/>
      </c>
      <c r="AX1131" s="275">
        <f>XI_Wdrożenie!AX34</f>
        <v/>
      </c>
      <c r="AY1131" s="275">
        <f>XI_Wdrożenie!AY34</f>
        <v/>
      </c>
      <c r="AZ1131" s="275">
        <f>XI_Wdrożenie!AZ34</f>
        <v/>
      </c>
      <c r="BA1131" s="275">
        <f>XI_Wdrożenie!BA34</f>
        <v/>
      </c>
      <c r="BB1131" s="275">
        <f>XI_Wdrożenie!BB34</f>
        <v/>
      </c>
      <c r="BC1131" s="275">
        <f>XI_Wdrożenie!BC34</f>
        <v/>
      </c>
      <c r="BD1131" s="275">
        <f>XI_Wdrożenie!BD34</f>
        <v/>
      </c>
      <c r="BE1131" s="275">
        <f>XI_Wdrożenie!BE34</f>
        <v/>
      </c>
      <c r="BF1131" s="275">
        <f>XI_Wdrożenie!BF34</f>
        <v/>
      </c>
      <c r="BG1131" s="275">
        <f>XI_Wdrożenie!BG34</f>
        <v/>
      </c>
      <c r="BH1131" s="275">
        <f>XI_Wdrożenie!BH34</f>
        <v/>
      </c>
      <c r="BI1131" s="275">
        <f>XI_Wdrożenie!BI34</f>
        <v/>
      </c>
      <c r="BJ1131">
        <f>O1131</f>
        <v/>
      </c>
      <c r="BK1131">
        <f>SUM(AG1131:AW1131)</f>
        <v/>
      </c>
      <c r="BL1131" s="531">
        <f>BJ1131-BK1131</f>
        <v/>
      </c>
      <c r="BM1131" s="201" t="n"/>
    </row>
    <row r="1132" hidden="1" outlineLevel="1" s="191">
      <c r="A1132" s="275">
        <f>XI_Wdrożenie!A35</f>
        <v/>
      </c>
      <c r="B1132" s="275">
        <f>XI_Wdrożenie!B35</f>
        <v/>
      </c>
      <c r="C1132" s="275">
        <f>XI_Wdrożenie!C35</f>
        <v/>
      </c>
      <c r="D1132" s="275">
        <f>XI_Wdrożenie!D35</f>
        <v/>
      </c>
      <c r="E1132" s="275">
        <f>XI_Wdrożenie!E35</f>
        <v/>
      </c>
      <c r="F1132" s="275">
        <f>XI_Wdrożenie!F35</f>
        <v/>
      </c>
      <c r="G1132" s="275">
        <f>XI_Wdrożenie!G35</f>
        <v/>
      </c>
      <c r="H1132" s="275">
        <f>XI_Wdrożenie!H35</f>
        <v/>
      </c>
      <c r="I1132" s="275">
        <f>XI_Wdrożenie!I35</f>
        <v/>
      </c>
      <c r="J1132" s="275">
        <f>XI_Wdrożenie!J35</f>
        <v/>
      </c>
      <c r="K1132" s="672">
        <f>XI_Wdrożenie!K35</f>
        <v/>
      </c>
      <c r="L1132" s="672">
        <f>XI_Wdrożenie!L35</f>
        <v/>
      </c>
      <c r="M1132" s="275">
        <f>XI_Wdrożenie!M35</f>
        <v/>
      </c>
      <c r="N1132" s="275">
        <f>XI_Wdrożenie!N35</f>
        <v/>
      </c>
      <c r="O1132" s="275">
        <f>XI_Wdrożenie!O35</f>
        <v/>
      </c>
      <c r="P1132" s="632">
        <f>XI_Wdrożenie!P35</f>
        <v/>
      </c>
      <c r="Q1132" s="632">
        <f>XI_Wdrożenie!Q35</f>
        <v/>
      </c>
      <c r="R1132" s="632">
        <f>XI_Wdrożenie!R35</f>
        <v/>
      </c>
      <c r="S1132" s="632">
        <f>XI_Wdrożenie!S35</f>
        <v/>
      </c>
      <c r="T1132" s="632">
        <f>XI_Wdrożenie!T35</f>
        <v/>
      </c>
      <c r="U1132" s="632">
        <f>XI_Wdrożenie!U35</f>
        <v/>
      </c>
      <c r="V1132" s="632">
        <f>XI_Wdrożenie!V35</f>
        <v/>
      </c>
      <c r="W1132" s="632">
        <f>XI_Wdrożenie!W35</f>
        <v/>
      </c>
      <c r="X1132" s="632">
        <f>XI_Wdrożenie!X35</f>
        <v/>
      </c>
      <c r="Y1132" s="654">
        <f>XI_Wdrożenie!Y35</f>
        <v/>
      </c>
      <c r="Z1132" s="654">
        <f>XI_Wdrożenie!Z35</f>
        <v/>
      </c>
      <c r="AA1132" s="654">
        <f>XI_Wdrożenie!AA35</f>
        <v/>
      </c>
      <c r="AB1132" s="654">
        <f>XI_Wdrożenie!AB35</f>
        <v/>
      </c>
      <c r="AC1132" s="617">
        <f>XI_Wdrożenie!AC35</f>
        <v/>
      </c>
      <c r="AD1132" s="617">
        <f>XI_Wdrożenie!AD35</f>
        <v/>
      </c>
      <c r="AE1132" s="617">
        <f>XI_Wdrożenie!AE35</f>
        <v/>
      </c>
      <c r="AF1132" s="617">
        <f>XI_Wdrożenie!AF35</f>
        <v/>
      </c>
      <c r="AG1132" s="259">
        <f>XI_Wdrożenie!AG35</f>
        <v/>
      </c>
      <c r="AH1132" s="259">
        <f>XI_Wdrożenie!AH35</f>
        <v/>
      </c>
      <c r="AI1132" s="259">
        <f>XI_Wdrożenie!AI35</f>
        <v/>
      </c>
      <c r="AJ1132" s="259">
        <f>XI_Wdrożenie!AJ35</f>
        <v/>
      </c>
      <c r="AK1132" s="259">
        <f>XI_Wdrożenie!AK35</f>
        <v/>
      </c>
      <c r="AL1132" s="259">
        <f>XI_Wdrożenie!AL35</f>
        <v/>
      </c>
      <c r="AM1132" s="259">
        <f>XI_Wdrożenie!AM35</f>
        <v/>
      </c>
      <c r="AN1132" s="259">
        <f>XI_Wdrożenie!AN35</f>
        <v/>
      </c>
      <c r="AO1132" s="259">
        <f>XI_Wdrożenie!AO35</f>
        <v/>
      </c>
      <c r="AP1132" s="647">
        <f>XI_Wdrożenie!AP35</f>
        <v/>
      </c>
      <c r="AQ1132" s="647">
        <f>XI_Wdrożenie!AQ35</f>
        <v/>
      </c>
      <c r="AR1132" s="647">
        <f>XI_Wdrożenie!AR35</f>
        <v/>
      </c>
      <c r="AS1132" s="647">
        <f>XI_Wdrożenie!AS35</f>
        <v/>
      </c>
      <c r="AT1132" s="623">
        <f>XI_Wdrożenie!AT35</f>
        <v/>
      </c>
      <c r="AU1132" s="623">
        <f>XI_Wdrożenie!AU35</f>
        <v/>
      </c>
      <c r="AV1132" s="623">
        <f>XI_Wdrożenie!AV35</f>
        <v/>
      </c>
      <c r="AW1132" s="623">
        <f>XI_Wdrożenie!AW35</f>
        <v/>
      </c>
      <c r="AX1132" s="275">
        <f>XI_Wdrożenie!AX35</f>
        <v/>
      </c>
      <c r="AY1132" s="275">
        <f>XI_Wdrożenie!AY35</f>
        <v/>
      </c>
      <c r="AZ1132" s="275">
        <f>XI_Wdrożenie!AZ35</f>
        <v/>
      </c>
      <c r="BA1132" s="275">
        <f>XI_Wdrożenie!BA35</f>
        <v/>
      </c>
      <c r="BB1132" s="275">
        <f>XI_Wdrożenie!BB35</f>
        <v/>
      </c>
      <c r="BC1132" s="275">
        <f>XI_Wdrożenie!BC35</f>
        <v/>
      </c>
      <c r="BD1132" s="275">
        <f>XI_Wdrożenie!BD35</f>
        <v/>
      </c>
      <c r="BE1132" s="275">
        <f>XI_Wdrożenie!BE35</f>
        <v/>
      </c>
      <c r="BF1132" s="275">
        <f>XI_Wdrożenie!BF35</f>
        <v/>
      </c>
      <c r="BG1132" s="275">
        <f>XI_Wdrożenie!BG35</f>
        <v/>
      </c>
      <c r="BH1132" s="275">
        <f>XI_Wdrożenie!BH35</f>
        <v/>
      </c>
      <c r="BI1132" s="275">
        <f>XI_Wdrożenie!BI35</f>
        <v/>
      </c>
      <c r="BJ1132">
        <f>O1132</f>
        <v/>
      </c>
      <c r="BK1132">
        <f>SUM(AG1132:AW1132)</f>
        <v/>
      </c>
      <c r="BL1132" s="531">
        <f>BJ1132-BK1132</f>
        <v/>
      </c>
      <c r="BM1132" s="201" t="n"/>
    </row>
    <row r="1133" hidden="1" outlineLevel="1" s="191">
      <c r="A1133" s="275">
        <f>XI_Wdrożenie!A36</f>
        <v/>
      </c>
      <c r="B1133" s="275">
        <f>XI_Wdrożenie!B36</f>
        <v/>
      </c>
      <c r="C1133" s="275">
        <f>XI_Wdrożenie!C36</f>
        <v/>
      </c>
      <c r="D1133" s="275">
        <f>XI_Wdrożenie!D36</f>
        <v/>
      </c>
      <c r="E1133" s="275">
        <f>XI_Wdrożenie!E36</f>
        <v/>
      </c>
      <c r="F1133" s="275">
        <f>XI_Wdrożenie!F36</f>
        <v/>
      </c>
      <c r="G1133" s="275">
        <f>XI_Wdrożenie!G36</f>
        <v/>
      </c>
      <c r="H1133" s="275">
        <f>XI_Wdrożenie!H36</f>
        <v/>
      </c>
      <c r="I1133" s="275">
        <f>XI_Wdrożenie!I36</f>
        <v/>
      </c>
      <c r="J1133" s="275">
        <f>XI_Wdrożenie!J36</f>
        <v/>
      </c>
      <c r="K1133" s="672">
        <f>XI_Wdrożenie!K36</f>
        <v/>
      </c>
      <c r="L1133" s="672">
        <f>XI_Wdrożenie!L36</f>
        <v/>
      </c>
      <c r="M1133" s="275">
        <f>XI_Wdrożenie!M36</f>
        <v/>
      </c>
      <c r="N1133" s="275">
        <f>XI_Wdrożenie!N36</f>
        <v/>
      </c>
      <c r="O1133" s="275">
        <f>XI_Wdrożenie!O36</f>
        <v/>
      </c>
      <c r="P1133" s="632">
        <f>XI_Wdrożenie!P36</f>
        <v/>
      </c>
      <c r="Q1133" s="632">
        <f>XI_Wdrożenie!Q36</f>
        <v/>
      </c>
      <c r="R1133" s="632">
        <f>XI_Wdrożenie!R36</f>
        <v/>
      </c>
      <c r="S1133" s="632">
        <f>XI_Wdrożenie!S36</f>
        <v/>
      </c>
      <c r="T1133" s="632">
        <f>XI_Wdrożenie!T36</f>
        <v/>
      </c>
      <c r="U1133" s="632">
        <f>XI_Wdrożenie!U36</f>
        <v/>
      </c>
      <c r="V1133" s="632">
        <f>XI_Wdrożenie!V36</f>
        <v/>
      </c>
      <c r="W1133" s="632">
        <f>XI_Wdrożenie!W36</f>
        <v/>
      </c>
      <c r="X1133" s="632">
        <f>XI_Wdrożenie!X36</f>
        <v/>
      </c>
      <c r="Y1133" s="654">
        <f>XI_Wdrożenie!Y36</f>
        <v/>
      </c>
      <c r="Z1133" s="654">
        <f>XI_Wdrożenie!Z36</f>
        <v/>
      </c>
      <c r="AA1133" s="654">
        <f>XI_Wdrożenie!AA36</f>
        <v/>
      </c>
      <c r="AB1133" s="654">
        <f>XI_Wdrożenie!AB36</f>
        <v/>
      </c>
      <c r="AC1133" s="617">
        <f>XI_Wdrożenie!AC36</f>
        <v/>
      </c>
      <c r="AD1133" s="617">
        <f>XI_Wdrożenie!AD36</f>
        <v/>
      </c>
      <c r="AE1133" s="617">
        <f>XI_Wdrożenie!AE36</f>
        <v/>
      </c>
      <c r="AF1133" s="617">
        <f>XI_Wdrożenie!AF36</f>
        <v/>
      </c>
      <c r="AG1133" s="259">
        <f>XI_Wdrożenie!AG36</f>
        <v/>
      </c>
      <c r="AH1133" s="259">
        <f>XI_Wdrożenie!AH36</f>
        <v/>
      </c>
      <c r="AI1133" s="259">
        <f>XI_Wdrożenie!AI36</f>
        <v/>
      </c>
      <c r="AJ1133" s="259">
        <f>XI_Wdrożenie!AJ36</f>
        <v/>
      </c>
      <c r="AK1133" s="259">
        <f>XI_Wdrożenie!AK36</f>
        <v/>
      </c>
      <c r="AL1133" s="259">
        <f>XI_Wdrożenie!AL36</f>
        <v/>
      </c>
      <c r="AM1133" s="259">
        <f>XI_Wdrożenie!AM36</f>
        <v/>
      </c>
      <c r="AN1133" s="259">
        <f>XI_Wdrożenie!AN36</f>
        <v/>
      </c>
      <c r="AO1133" s="259">
        <f>XI_Wdrożenie!AO36</f>
        <v/>
      </c>
      <c r="AP1133" s="647">
        <f>XI_Wdrożenie!AP36</f>
        <v/>
      </c>
      <c r="AQ1133" s="647">
        <f>XI_Wdrożenie!AQ36</f>
        <v/>
      </c>
      <c r="AR1133" s="647">
        <f>XI_Wdrożenie!AR36</f>
        <v/>
      </c>
      <c r="AS1133" s="647">
        <f>XI_Wdrożenie!AS36</f>
        <v/>
      </c>
      <c r="AT1133" s="623">
        <f>XI_Wdrożenie!AT36</f>
        <v/>
      </c>
      <c r="AU1133" s="623">
        <f>XI_Wdrożenie!AU36</f>
        <v/>
      </c>
      <c r="AV1133" s="623">
        <f>XI_Wdrożenie!AV36</f>
        <v/>
      </c>
      <c r="AW1133" s="623">
        <f>XI_Wdrożenie!AW36</f>
        <v/>
      </c>
      <c r="AX1133" s="275">
        <f>XI_Wdrożenie!AX36</f>
        <v/>
      </c>
      <c r="AY1133" s="275">
        <f>XI_Wdrożenie!AY36</f>
        <v/>
      </c>
      <c r="AZ1133" s="275">
        <f>XI_Wdrożenie!AZ36</f>
        <v/>
      </c>
      <c r="BA1133" s="275">
        <f>XI_Wdrożenie!BA36</f>
        <v/>
      </c>
      <c r="BB1133" s="275">
        <f>XI_Wdrożenie!BB36</f>
        <v/>
      </c>
      <c r="BC1133" s="275">
        <f>XI_Wdrożenie!BC36</f>
        <v/>
      </c>
      <c r="BD1133" s="275">
        <f>XI_Wdrożenie!BD36</f>
        <v/>
      </c>
      <c r="BE1133" s="275">
        <f>XI_Wdrożenie!BE36</f>
        <v/>
      </c>
      <c r="BF1133" s="275">
        <f>XI_Wdrożenie!BF36</f>
        <v/>
      </c>
      <c r="BG1133" s="275">
        <f>XI_Wdrożenie!BG36</f>
        <v/>
      </c>
      <c r="BH1133" s="275">
        <f>XI_Wdrożenie!BH36</f>
        <v/>
      </c>
      <c r="BI1133" s="275">
        <f>XI_Wdrożenie!BI36</f>
        <v/>
      </c>
      <c r="BJ1133">
        <f>O1133</f>
        <v/>
      </c>
      <c r="BK1133">
        <f>SUM(AG1133:AW1133)</f>
        <v/>
      </c>
      <c r="BL1133" s="531">
        <f>BJ1133-BK1133</f>
        <v/>
      </c>
      <c r="BM1133" s="201" t="n"/>
    </row>
    <row r="1134" hidden="1" outlineLevel="1" s="191">
      <c r="A1134" s="275">
        <f>XI_Wdrożenie!A37</f>
        <v/>
      </c>
      <c r="B1134" s="275">
        <f>XI_Wdrożenie!B37</f>
        <v/>
      </c>
      <c r="C1134" s="275">
        <f>XI_Wdrożenie!C37</f>
        <v/>
      </c>
      <c r="D1134" s="275">
        <f>XI_Wdrożenie!D37</f>
        <v/>
      </c>
      <c r="E1134" s="275">
        <f>XI_Wdrożenie!E37</f>
        <v/>
      </c>
      <c r="F1134" s="275">
        <f>XI_Wdrożenie!F37</f>
        <v/>
      </c>
      <c r="G1134" s="275">
        <f>XI_Wdrożenie!G37</f>
        <v/>
      </c>
      <c r="H1134" s="275">
        <f>XI_Wdrożenie!H37</f>
        <v/>
      </c>
      <c r="I1134" s="275">
        <f>XI_Wdrożenie!I37</f>
        <v/>
      </c>
      <c r="J1134" s="275">
        <f>XI_Wdrożenie!J37</f>
        <v/>
      </c>
      <c r="K1134" s="672">
        <f>XI_Wdrożenie!K37</f>
        <v/>
      </c>
      <c r="L1134" s="672">
        <f>XI_Wdrożenie!L37</f>
        <v/>
      </c>
      <c r="M1134" s="275">
        <f>XI_Wdrożenie!M37</f>
        <v/>
      </c>
      <c r="N1134" s="275">
        <f>XI_Wdrożenie!N37</f>
        <v/>
      </c>
      <c r="O1134" s="275">
        <f>XI_Wdrożenie!O37</f>
        <v/>
      </c>
      <c r="P1134" s="632">
        <f>XI_Wdrożenie!P37</f>
        <v/>
      </c>
      <c r="Q1134" s="632">
        <f>XI_Wdrożenie!Q37</f>
        <v/>
      </c>
      <c r="R1134" s="632">
        <f>XI_Wdrożenie!R37</f>
        <v/>
      </c>
      <c r="S1134" s="632">
        <f>XI_Wdrożenie!S37</f>
        <v/>
      </c>
      <c r="T1134" s="632">
        <f>XI_Wdrożenie!T37</f>
        <v/>
      </c>
      <c r="U1134" s="632">
        <f>XI_Wdrożenie!U37</f>
        <v/>
      </c>
      <c r="V1134" s="632">
        <f>XI_Wdrożenie!V37</f>
        <v/>
      </c>
      <c r="W1134" s="632">
        <f>XI_Wdrożenie!W37</f>
        <v/>
      </c>
      <c r="X1134" s="632">
        <f>XI_Wdrożenie!X37</f>
        <v/>
      </c>
      <c r="Y1134" s="654">
        <f>XI_Wdrożenie!Y37</f>
        <v/>
      </c>
      <c r="Z1134" s="654">
        <f>XI_Wdrożenie!Z37</f>
        <v/>
      </c>
      <c r="AA1134" s="654">
        <f>XI_Wdrożenie!AA37</f>
        <v/>
      </c>
      <c r="AB1134" s="654">
        <f>XI_Wdrożenie!AB37</f>
        <v/>
      </c>
      <c r="AC1134" s="617">
        <f>XI_Wdrożenie!AC37</f>
        <v/>
      </c>
      <c r="AD1134" s="617">
        <f>XI_Wdrożenie!AD37</f>
        <v/>
      </c>
      <c r="AE1134" s="617">
        <f>XI_Wdrożenie!AE37</f>
        <v/>
      </c>
      <c r="AF1134" s="617">
        <f>XI_Wdrożenie!AF37</f>
        <v/>
      </c>
      <c r="AG1134" s="259">
        <f>XI_Wdrożenie!AG37</f>
        <v/>
      </c>
      <c r="AH1134" s="259">
        <f>XI_Wdrożenie!AH37</f>
        <v/>
      </c>
      <c r="AI1134" s="259">
        <f>XI_Wdrożenie!AI37</f>
        <v/>
      </c>
      <c r="AJ1134" s="259">
        <f>XI_Wdrożenie!AJ37</f>
        <v/>
      </c>
      <c r="AK1134" s="259">
        <f>XI_Wdrożenie!AK37</f>
        <v/>
      </c>
      <c r="AL1134" s="259">
        <f>XI_Wdrożenie!AL37</f>
        <v/>
      </c>
      <c r="AM1134" s="259">
        <f>XI_Wdrożenie!AM37</f>
        <v/>
      </c>
      <c r="AN1134" s="259">
        <f>XI_Wdrożenie!AN37</f>
        <v/>
      </c>
      <c r="AO1134" s="259">
        <f>XI_Wdrożenie!AO37</f>
        <v/>
      </c>
      <c r="AP1134" s="647">
        <f>XI_Wdrożenie!AP37</f>
        <v/>
      </c>
      <c r="AQ1134" s="647">
        <f>XI_Wdrożenie!AQ37</f>
        <v/>
      </c>
      <c r="AR1134" s="647">
        <f>XI_Wdrożenie!AR37</f>
        <v/>
      </c>
      <c r="AS1134" s="647">
        <f>XI_Wdrożenie!AS37</f>
        <v/>
      </c>
      <c r="AT1134" s="623">
        <f>XI_Wdrożenie!AT37</f>
        <v/>
      </c>
      <c r="AU1134" s="623">
        <f>XI_Wdrożenie!AU37</f>
        <v/>
      </c>
      <c r="AV1134" s="623">
        <f>XI_Wdrożenie!AV37</f>
        <v/>
      </c>
      <c r="AW1134" s="623">
        <f>XI_Wdrożenie!AW37</f>
        <v/>
      </c>
      <c r="AX1134" s="275">
        <f>XI_Wdrożenie!AX37</f>
        <v/>
      </c>
      <c r="AY1134" s="275">
        <f>XI_Wdrożenie!AY37</f>
        <v/>
      </c>
      <c r="AZ1134" s="275">
        <f>XI_Wdrożenie!AZ37</f>
        <v/>
      </c>
      <c r="BA1134" s="275">
        <f>XI_Wdrożenie!BA37</f>
        <v/>
      </c>
      <c r="BB1134" s="275">
        <f>XI_Wdrożenie!BB37</f>
        <v/>
      </c>
      <c r="BC1134" s="275">
        <f>XI_Wdrożenie!BC37</f>
        <v/>
      </c>
      <c r="BD1134" s="275">
        <f>XI_Wdrożenie!BD37</f>
        <v/>
      </c>
      <c r="BE1134" s="275">
        <f>XI_Wdrożenie!BE37</f>
        <v/>
      </c>
      <c r="BF1134" s="275">
        <f>XI_Wdrożenie!BF37</f>
        <v/>
      </c>
      <c r="BG1134" s="275">
        <f>XI_Wdrożenie!BG37</f>
        <v/>
      </c>
      <c r="BH1134" s="275">
        <f>XI_Wdrożenie!BH37</f>
        <v/>
      </c>
      <c r="BI1134" s="275">
        <f>XI_Wdrożenie!BI37</f>
        <v/>
      </c>
      <c r="BJ1134">
        <f>O1134</f>
        <v/>
      </c>
      <c r="BK1134">
        <f>SUM(AG1134:AW1134)</f>
        <v/>
      </c>
      <c r="BL1134" s="531">
        <f>BJ1134-BK1134</f>
        <v/>
      </c>
      <c r="BM1134" s="201" t="n"/>
    </row>
    <row r="1135" hidden="1" outlineLevel="1" ht="15.6" customHeight="1" s="191">
      <c r="A1135" s="275" t="n"/>
      <c r="B1135" s="260" t="n"/>
      <c r="C1135" s="261" t="n"/>
      <c r="D1135" s="276" t="n"/>
      <c r="E1135" s="277" t="n"/>
      <c r="F1135" s="538" t="n"/>
      <c r="P1135" s="626" t="n"/>
      <c r="Q1135" s="626" t="n"/>
      <c r="R1135" s="626" t="n"/>
      <c r="S1135" s="626" t="n"/>
      <c r="T1135" s="626" t="n"/>
      <c r="U1135" s="626" t="n"/>
      <c r="V1135" s="626" t="n"/>
      <c r="W1135" s="626" t="n"/>
      <c r="X1135" s="626" t="n"/>
      <c r="Y1135" s="369" t="n"/>
      <c r="Z1135" s="369" t="n"/>
      <c r="AA1135" s="369" t="n"/>
      <c r="AB1135" s="369" t="n"/>
      <c r="AC1135" s="370" t="n"/>
      <c r="AD1135" s="370" t="n"/>
      <c r="AE1135" s="370" t="n"/>
      <c r="AF1135" s="370" t="n"/>
      <c r="AG1135" s="626" t="n"/>
      <c r="AH1135" s="626" t="n"/>
      <c r="AI1135" s="626" t="n"/>
      <c r="AJ1135" s="626" t="n"/>
      <c r="AK1135" s="626" t="n"/>
      <c r="AL1135" s="626" t="n"/>
      <c r="AM1135" s="626" t="n"/>
      <c r="AN1135" s="626" t="n"/>
      <c r="AO1135" s="626" t="n"/>
      <c r="AP1135" s="369" t="n"/>
      <c r="AQ1135" s="369" t="n"/>
      <c r="AR1135" s="369" t="n"/>
      <c r="AS1135" s="369" t="n"/>
      <c r="AT1135" s="370" t="n"/>
      <c r="AU1135" s="370" t="n"/>
      <c r="AV1135" s="370" t="n"/>
      <c r="AW1135" s="370" t="n"/>
      <c r="BJ1135">
        <f>O1135</f>
        <v/>
      </c>
      <c r="BK1135">
        <f>SUM(AG1135:AW1135)</f>
        <v/>
      </c>
      <c r="BL1135" s="531">
        <f>BJ1135-BK1135</f>
        <v/>
      </c>
      <c r="BM1135" s="201" t="n"/>
    </row>
    <row r="1136" hidden="1" outlineLevel="1" ht="15.6" customHeight="1" s="191">
      <c r="A1136" s="275" t="n"/>
      <c r="B1136" s="260" t="n"/>
      <c r="C1136" s="261" t="n"/>
      <c r="D1136" s="276" t="n"/>
      <c r="E1136" s="277" t="n"/>
      <c r="F1136" s="538" t="n"/>
      <c r="P1136" s="626" t="n"/>
      <c r="Q1136" s="626" t="n"/>
      <c r="R1136" s="626" t="n"/>
      <c r="S1136" s="626" t="n"/>
      <c r="T1136" s="626" t="n"/>
      <c r="U1136" s="626" t="n"/>
      <c r="V1136" s="626" t="n"/>
      <c r="W1136" s="626" t="n"/>
      <c r="X1136" s="626" t="n"/>
      <c r="Y1136" s="369" t="n"/>
      <c r="Z1136" s="369" t="n"/>
      <c r="AA1136" s="369" t="n"/>
      <c r="AB1136" s="369" t="n"/>
      <c r="AC1136" s="370" t="n"/>
      <c r="AD1136" s="370" t="n"/>
      <c r="AE1136" s="370" t="n"/>
      <c r="AF1136" s="370" t="n"/>
      <c r="AG1136" s="626" t="n"/>
      <c r="AH1136" s="626" t="n"/>
      <c r="AI1136" s="626" t="n"/>
      <c r="AJ1136" s="626" t="n"/>
      <c r="AK1136" s="626" t="n"/>
      <c r="AL1136" s="626" t="n"/>
      <c r="AM1136" s="626" t="n"/>
      <c r="AN1136" s="626" t="n"/>
      <c r="AO1136" s="626" t="n"/>
      <c r="AP1136" s="369" t="n"/>
      <c r="AQ1136" s="369" t="n"/>
      <c r="AR1136" s="369" t="n"/>
      <c r="AS1136" s="369" t="n"/>
      <c r="AT1136" s="370" t="n"/>
      <c r="AU1136" s="370" t="n"/>
      <c r="AV1136" s="370" t="n"/>
      <c r="AW1136" s="370" t="n"/>
      <c r="BJ1136">
        <f>O1136</f>
        <v/>
      </c>
      <c r="BK1136">
        <f>SUM(AG1136:AW1136)</f>
        <v/>
      </c>
      <c r="BL1136" s="531">
        <f>BJ1136-BK1136</f>
        <v/>
      </c>
      <c r="BM1136" s="201" t="n"/>
    </row>
    <row r="1137" hidden="1" outlineLevel="1" ht="15.6" customHeight="1" s="191">
      <c r="A1137" s="275" t="n"/>
      <c r="B1137" s="260" t="n"/>
      <c r="C1137" s="261" t="n"/>
      <c r="D1137" s="276" t="n"/>
      <c r="E1137" s="277" t="n"/>
      <c r="F1137" s="538" t="n"/>
      <c r="P1137" s="626" t="n"/>
      <c r="Q1137" s="626" t="n"/>
      <c r="R1137" s="626" t="n"/>
      <c r="S1137" s="626" t="n"/>
      <c r="T1137" s="626" t="n"/>
      <c r="U1137" s="626" t="n"/>
      <c r="V1137" s="626" t="n"/>
      <c r="W1137" s="626" t="n"/>
      <c r="X1137" s="626" t="n"/>
      <c r="Y1137" s="369" t="n"/>
      <c r="Z1137" s="369" t="n"/>
      <c r="AA1137" s="369" t="n"/>
      <c r="AB1137" s="369" t="n"/>
      <c r="AC1137" s="370" t="n"/>
      <c r="AD1137" s="370" t="n"/>
      <c r="AE1137" s="370" t="n"/>
      <c r="AF1137" s="370" t="n"/>
      <c r="AG1137" s="626" t="n"/>
      <c r="AH1137" s="626" t="n"/>
      <c r="AI1137" s="626" t="n"/>
      <c r="AJ1137" s="626" t="n"/>
      <c r="AK1137" s="626" t="n"/>
      <c r="AL1137" s="626" t="n"/>
      <c r="AM1137" s="626" t="n"/>
      <c r="AN1137" s="626" t="n"/>
      <c r="AO1137" s="626" t="n"/>
      <c r="AP1137" s="369" t="n"/>
      <c r="AQ1137" s="369" t="n"/>
      <c r="AR1137" s="369" t="n"/>
      <c r="AS1137" s="369" t="n"/>
      <c r="AT1137" s="370" t="n"/>
      <c r="AU1137" s="370" t="n"/>
      <c r="AV1137" s="370" t="n"/>
      <c r="AW1137" s="370" t="n"/>
      <c r="BJ1137">
        <f>O1137</f>
        <v/>
      </c>
      <c r="BK1137">
        <f>SUM(AG1137:AW1137)</f>
        <v/>
      </c>
      <c r="BL1137" s="531">
        <f>BJ1137-BK1137</f>
        <v/>
      </c>
      <c r="BM1137" s="201" t="n"/>
    </row>
    <row r="1138" hidden="1" outlineLevel="1" ht="15.6" customHeight="1" s="191">
      <c r="A1138" s="275" t="n"/>
      <c r="B1138" s="260" t="n"/>
      <c r="C1138" s="261" t="n"/>
      <c r="D1138" s="276" t="n"/>
      <c r="E1138" s="277" t="n"/>
      <c r="F1138" s="538" t="n"/>
      <c r="P1138" s="626" t="n"/>
      <c r="Q1138" s="626" t="n"/>
      <c r="R1138" s="626" t="n"/>
      <c r="S1138" s="626" t="n"/>
      <c r="T1138" s="626" t="n"/>
      <c r="U1138" s="626" t="n"/>
      <c r="V1138" s="626" t="n"/>
      <c r="W1138" s="626" t="n"/>
      <c r="X1138" s="626" t="n"/>
      <c r="Y1138" s="369" t="n"/>
      <c r="Z1138" s="369" t="n"/>
      <c r="AA1138" s="369" t="n"/>
      <c r="AB1138" s="369" t="n"/>
      <c r="AC1138" s="370" t="n"/>
      <c r="AD1138" s="370" t="n"/>
      <c r="AE1138" s="370" t="n"/>
      <c r="AF1138" s="370" t="n"/>
      <c r="AG1138" s="626" t="n"/>
      <c r="AH1138" s="626" t="n"/>
      <c r="AI1138" s="626" t="n"/>
      <c r="AJ1138" s="626" t="n"/>
      <c r="AK1138" s="626" t="n"/>
      <c r="AL1138" s="626" t="n"/>
      <c r="AM1138" s="626" t="n"/>
      <c r="AN1138" s="626" t="n"/>
      <c r="AO1138" s="626" t="n"/>
      <c r="AP1138" s="369" t="n"/>
      <c r="AQ1138" s="369" t="n"/>
      <c r="AR1138" s="369" t="n"/>
      <c r="AS1138" s="369" t="n"/>
      <c r="AT1138" s="370" t="n"/>
      <c r="AU1138" s="370" t="n"/>
      <c r="AV1138" s="370" t="n"/>
      <c r="AW1138" s="370" t="n"/>
      <c r="BJ1138">
        <f>O1138</f>
        <v/>
      </c>
      <c r="BK1138">
        <f>SUM(AG1138:AW1138)</f>
        <v/>
      </c>
      <c r="BL1138" s="531">
        <f>BJ1138-BK1138</f>
        <v/>
      </c>
      <c r="BM1138" s="201" t="n"/>
    </row>
    <row r="1139" hidden="1" outlineLevel="1" ht="15.6" customHeight="1" s="191">
      <c r="A1139" s="275" t="n"/>
      <c r="B1139" s="260" t="n"/>
      <c r="C1139" s="261" t="n"/>
      <c r="D1139" s="276" t="n"/>
      <c r="E1139" s="277" t="n"/>
      <c r="F1139" s="538" t="n"/>
      <c r="P1139" s="626" t="n"/>
      <c r="Q1139" s="626" t="n"/>
      <c r="R1139" s="626" t="n"/>
      <c r="S1139" s="626" t="n"/>
      <c r="T1139" s="626" t="n"/>
      <c r="U1139" s="626" t="n"/>
      <c r="V1139" s="626" t="n"/>
      <c r="W1139" s="626" t="n"/>
      <c r="X1139" s="626" t="n"/>
      <c r="Y1139" s="369" t="n"/>
      <c r="Z1139" s="369" t="n"/>
      <c r="AA1139" s="369" t="n"/>
      <c r="AB1139" s="369" t="n"/>
      <c r="AC1139" s="370" t="n"/>
      <c r="AD1139" s="370" t="n"/>
      <c r="AE1139" s="370" t="n"/>
      <c r="AF1139" s="370" t="n"/>
      <c r="AG1139" s="626" t="n"/>
      <c r="AH1139" s="626" t="n"/>
      <c r="AI1139" s="626" t="n"/>
      <c r="AJ1139" s="626" t="n"/>
      <c r="AK1139" s="626" t="n"/>
      <c r="AL1139" s="626" t="n"/>
      <c r="AM1139" s="626" t="n"/>
      <c r="AN1139" s="626" t="n"/>
      <c r="AO1139" s="626" t="n"/>
      <c r="AP1139" s="369" t="n"/>
      <c r="AQ1139" s="369" t="n"/>
      <c r="AR1139" s="369" t="n"/>
      <c r="AS1139" s="369" t="n"/>
      <c r="AT1139" s="370" t="n"/>
      <c r="AU1139" s="370" t="n"/>
      <c r="AV1139" s="370" t="n"/>
      <c r="AW1139" s="370" t="n"/>
      <c r="BJ1139">
        <f>O1139</f>
        <v/>
      </c>
      <c r="BK1139">
        <f>SUM(AG1139:AW1139)</f>
        <v/>
      </c>
      <c r="BL1139" s="531">
        <f>BJ1139-BK1139</f>
        <v/>
      </c>
      <c r="BM1139" s="201" t="n"/>
    </row>
    <row r="1140" hidden="1" outlineLevel="1" ht="15.6" customHeight="1" s="191">
      <c r="A1140" s="275" t="n"/>
      <c r="B1140" s="260" t="n"/>
      <c r="C1140" s="261" t="n"/>
      <c r="D1140" s="276" t="n"/>
      <c r="E1140" s="277" t="n"/>
      <c r="F1140" s="538" t="n"/>
      <c r="P1140" s="626" t="n"/>
      <c r="Q1140" s="626" t="n"/>
      <c r="R1140" s="626" t="n"/>
      <c r="S1140" s="626" t="n"/>
      <c r="T1140" s="626" t="n"/>
      <c r="U1140" s="626" t="n"/>
      <c r="V1140" s="626" t="n"/>
      <c r="W1140" s="626" t="n"/>
      <c r="X1140" s="626" t="n"/>
      <c r="Y1140" s="369" t="n"/>
      <c r="Z1140" s="369" t="n"/>
      <c r="AA1140" s="369" t="n"/>
      <c r="AB1140" s="369" t="n"/>
      <c r="AC1140" s="370" t="n"/>
      <c r="AD1140" s="370" t="n"/>
      <c r="AE1140" s="370" t="n"/>
      <c r="AF1140" s="370" t="n"/>
      <c r="AG1140" s="626" t="n"/>
      <c r="AH1140" s="626" t="n"/>
      <c r="AI1140" s="626" t="n"/>
      <c r="AJ1140" s="626" t="n"/>
      <c r="AK1140" s="626" t="n"/>
      <c r="AL1140" s="626" t="n"/>
      <c r="AM1140" s="626" t="n"/>
      <c r="AN1140" s="626" t="n"/>
      <c r="AO1140" s="626" t="n"/>
      <c r="AP1140" s="369" t="n"/>
      <c r="AQ1140" s="369" t="n"/>
      <c r="AR1140" s="369" t="n"/>
      <c r="AS1140" s="369" t="n"/>
      <c r="AT1140" s="370" t="n"/>
      <c r="AU1140" s="370" t="n"/>
      <c r="AV1140" s="370" t="n"/>
      <c r="AW1140" s="370" t="n"/>
      <c r="BJ1140">
        <f>O1140</f>
        <v/>
      </c>
      <c r="BK1140">
        <f>SUM(AG1140:AW1140)</f>
        <v/>
      </c>
      <c r="BL1140" s="531">
        <f>BJ1140-BK1140</f>
        <v/>
      </c>
      <c r="BM1140" s="201" t="n"/>
    </row>
    <row r="1141" hidden="1" outlineLevel="1" ht="15.6" customHeight="1" s="191">
      <c r="A1141" s="275" t="n"/>
      <c r="B1141" s="260" t="n"/>
      <c r="C1141" s="261" t="n"/>
      <c r="D1141" s="276" t="n"/>
      <c r="E1141" s="277" t="n"/>
      <c r="F1141" s="538" t="n"/>
      <c r="P1141" s="626" t="n"/>
      <c r="Q1141" s="626" t="n"/>
      <c r="R1141" s="626" t="n"/>
      <c r="S1141" s="626" t="n"/>
      <c r="T1141" s="626" t="n"/>
      <c r="U1141" s="626" t="n"/>
      <c r="V1141" s="626" t="n"/>
      <c r="W1141" s="626" t="n"/>
      <c r="X1141" s="626" t="n"/>
      <c r="Y1141" s="369" t="n"/>
      <c r="Z1141" s="369" t="n"/>
      <c r="AA1141" s="369" t="n"/>
      <c r="AB1141" s="369" t="n"/>
      <c r="AC1141" s="370" t="n"/>
      <c r="AD1141" s="370" t="n"/>
      <c r="AE1141" s="370" t="n"/>
      <c r="AF1141" s="370" t="n"/>
      <c r="AG1141" s="626" t="n"/>
      <c r="AH1141" s="626" t="n"/>
      <c r="AI1141" s="626" t="n"/>
      <c r="AJ1141" s="626" t="n"/>
      <c r="AK1141" s="626" t="n"/>
      <c r="AL1141" s="626" t="n"/>
      <c r="AM1141" s="626" t="n"/>
      <c r="AN1141" s="626" t="n"/>
      <c r="AO1141" s="626" t="n"/>
      <c r="AP1141" s="369" t="n"/>
      <c r="AQ1141" s="369" t="n"/>
      <c r="AR1141" s="369" t="n"/>
      <c r="AS1141" s="369" t="n"/>
      <c r="AT1141" s="370" t="n"/>
      <c r="AU1141" s="370" t="n"/>
      <c r="AV1141" s="370" t="n"/>
      <c r="AW1141" s="370" t="n"/>
      <c r="BJ1141">
        <f>O1141</f>
        <v/>
      </c>
      <c r="BK1141">
        <f>SUM(AG1141:AW1141)</f>
        <v/>
      </c>
      <c r="BL1141" s="531">
        <f>BJ1141-BK1141</f>
        <v/>
      </c>
      <c r="BM1141" s="201" t="n"/>
    </row>
    <row r="1142" hidden="1" outlineLevel="1" ht="15.6" customHeight="1" s="191">
      <c r="A1142" s="275" t="n"/>
      <c r="B1142" s="260" t="n"/>
      <c r="C1142" s="261" t="n"/>
      <c r="D1142" s="276" t="n"/>
      <c r="E1142" s="277" t="n"/>
      <c r="F1142" s="538" t="n"/>
      <c r="P1142" s="626" t="n"/>
      <c r="Q1142" s="626" t="n"/>
      <c r="R1142" s="626" t="n"/>
      <c r="S1142" s="626" t="n"/>
      <c r="T1142" s="626" t="n"/>
      <c r="U1142" s="626" t="n"/>
      <c r="V1142" s="626" t="n"/>
      <c r="W1142" s="626" t="n"/>
      <c r="X1142" s="626" t="n"/>
      <c r="Y1142" s="369" t="n"/>
      <c r="Z1142" s="369" t="n"/>
      <c r="AA1142" s="369" t="n"/>
      <c r="AB1142" s="369" t="n"/>
      <c r="AC1142" s="370" t="n"/>
      <c r="AD1142" s="370" t="n"/>
      <c r="AE1142" s="370" t="n"/>
      <c r="AF1142" s="370" t="n"/>
      <c r="AG1142" s="626" t="n"/>
      <c r="AH1142" s="626" t="n"/>
      <c r="AI1142" s="626" t="n"/>
      <c r="AJ1142" s="626" t="n"/>
      <c r="AK1142" s="626" t="n"/>
      <c r="AL1142" s="626" t="n"/>
      <c r="AM1142" s="626" t="n"/>
      <c r="AN1142" s="626" t="n"/>
      <c r="AO1142" s="626" t="n"/>
      <c r="AP1142" s="369" t="n"/>
      <c r="AQ1142" s="369" t="n"/>
      <c r="AR1142" s="369" t="n"/>
      <c r="AS1142" s="369" t="n"/>
      <c r="AT1142" s="370" t="n"/>
      <c r="AU1142" s="370" t="n"/>
      <c r="AV1142" s="370" t="n"/>
      <c r="AW1142" s="370" t="n"/>
      <c r="BJ1142">
        <f>O1142</f>
        <v/>
      </c>
      <c r="BK1142">
        <f>SUM(AG1142:AW1142)</f>
        <v/>
      </c>
      <c r="BL1142" s="531">
        <f>BJ1142-BK1142</f>
        <v/>
      </c>
      <c r="BM1142" s="201" t="n"/>
    </row>
    <row r="1143" hidden="1" outlineLevel="1" ht="15.6" customHeight="1" s="191">
      <c r="A1143" s="275" t="n"/>
      <c r="B1143" s="260" t="n"/>
      <c r="C1143" s="261" t="n"/>
      <c r="D1143" s="276" t="n"/>
      <c r="E1143" s="277" t="n"/>
      <c r="F1143" s="538" t="n"/>
      <c r="P1143" s="626" t="n"/>
      <c r="Q1143" s="626" t="n"/>
      <c r="R1143" s="626" t="n"/>
      <c r="S1143" s="626" t="n"/>
      <c r="T1143" s="626" t="n"/>
      <c r="U1143" s="626" t="n"/>
      <c r="V1143" s="626" t="n"/>
      <c r="W1143" s="626" t="n"/>
      <c r="X1143" s="626" t="n"/>
      <c r="Y1143" s="369" t="n"/>
      <c r="Z1143" s="369" t="n"/>
      <c r="AA1143" s="369" t="n"/>
      <c r="AB1143" s="369" t="n"/>
      <c r="AC1143" s="370" t="n"/>
      <c r="AD1143" s="370" t="n"/>
      <c r="AE1143" s="370" t="n"/>
      <c r="AF1143" s="370" t="n"/>
      <c r="AG1143" s="626" t="n"/>
      <c r="AH1143" s="626" t="n"/>
      <c r="AI1143" s="626" t="n"/>
      <c r="AJ1143" s="626" t="n"/>
      <c r="AK1143" s="626" t="n"/>
      <c r="AL1143" s="626" t="n"/>
      <c r="AM1143" s="626" t="n"/>
      <c r="AN1143" s="626" t="n"/>
      <c r="AO1143" s="626" t="n"/>
      <c r="AP1143" s="369" t="n"/>
      <c r="AQ1143" s="369" t="n"/>
      <c r="AR1143" s="369" t="n"/>
      <c r="AS1143" s="369" t="n"/>
      <c r="AT1143" s="370" t="n"/>
      <c r="AU1143" s="370" t="n"/>
      <c r="AV1143" s="370" t="n"/>
      <c r="AW1143" s="370" t="n"/>
      <c r="BJ1143">
        <f>O1143</f>
        <v/>
      </c>
      <c r="BK1143">
        <f>SUM(AG1143:AW1143)</f>
        <v/>
      </c>
      <c r="BL1143" s="531">
        <f>BJ1143-BK1143</f>
        <v/>
      </c>
      <c r="BM1143" s="201" t="n"/>
    </row>
    <row r="1144" hidden="1" outlineLevel="1" ht="15.6" customHeight="1" s="191">
      <c r="A1144" s="275" t="n"/>
      <c r="B1144" s="260" t="n"/>
      <c r="C1144" s="261" t="n"/>
      <c r="D1144" s="276" t="n"/>
      <c r="E1144" s="277" t="n"/>
      <c r="F1144" s="538" t="n"/>
      <c r="P1144" s="626" t="n"/>
      <c r="Q1144" s="626" t="n"/>
      <c r="R1144" s="626" t="n"/>
      <c r="S1144" s="626" t="n"/>
      <c r="T1144" s="626" t="n"/>
      <c r="U1144" s="626" t="n"/>
      <c r="V1144" s="626" t="n"/>
      <c r="W1144" s="626" t="n"/>
      <c r="X1144" s="626" t="n"/>
      <c r="Y1144" s="369" t="n"/>
      <c r="Z1144" s="369" t="n"/>
      <c r="AA1144" s="369" t="n"/>
      <c r="AB1144" s="369" t="n"/>
      <c r="AC1144" s="370" t="n"/>
      <c r="AD1144" s="370" t="n"/>
      <c r="AE1144" s="370" t="n"/>
      <c r="AF1144" s="370" t="n"/>
      <c r="AG1144" s="626" t="n"/>
      <c r="AH1144" s="626" t="n"/>
      <c r="AI1144" s="626" t="n"/>
      <c r="AJ1144" s="626" t="n"/>
      <c r="AK1144" s="626" t="n"/>
      <c r="AL1144" s="626" t="n"/>
      <c r="AM1144" s="626" t="n"/>
      <c r="AN1144" s="626" t="n"/>
      <c r="AO1144" s="626" t="n"/>
      <c r="AP1144" s="369" t="n"/>
      <c r="AQ1144" s="369" t="n"/>
      <c r="AR1144" s="369" t="n"/>
      <c r="AS1144" s="369" t="n"/>
      <c r="AT1144" s="370" t="n"/>
      <c r="AU1144" s="370" t="n"/>
      <c r="AV1144" s="370" t="n"/>
      <c r="AW1144" s="370" t="n"/>
      <c r="BJ1144">
        <f>O1144</f>
        <v/>
      </c>
      <c r="BK1144">
        <f>SUM(AG1144:AW1144)</f>
        <v/>
      </c>
      <c r="BL1144" s="531">
        <f>BJ1144-BK1144</f>
        <v/>
      </c>
      <c r="BM1144" s="201" t="n"/>
    </row>
    <row r="1145" hidden="1" outlineLevel="1" ht="15.6" customHeight="1" s="191">
      <c r="A1145" s="275" t="n"/>
      <c r="B1145" s="260" t="n"/>
      <c r="C1145" s="261" t="n"/>
      <c r="D1145" s="276" t="n"/>
      <c r="E1145" s="277" t="n"/>
      <c r="F1145" s="538" t="n"/>
      <c r="P1145" s="626" t="n"/>
      <c r="Q1145" s="626" t="n"/>
      <c r="R1145" s="626" t="n"/>
      <c r="S1145" s="626" t="n"/>
      <c r="T1145" s="626" t="n"/>
      <c r="U1145" s="626" t="n"/>
      <c r="V1145" s="626" t="n"/>
      <c r="W1145" s="626" t="n"/>
      <c r="X1145" s="626" t="n"/>
      <c r="Y1145" s="369" t="n"/>
      <c r="Z1145" s="369" t="n"/>
      <c r="AA1145" s="369" t="n"/>
      <c r="AB1145" s="369" t="n"/>
      <c r="AC1145" s="370" t="n"/>
      <c r="AD1145" s="370" t="n"/>
      <c r="AE1145" s="370" t="n"/>
      <c r="AF1145" s="370" t="n"/>
      <c r="AG1145" s="626" t="n"/>
      <c r="AH1145" s="626" t="n"/>
      <c r="AI1145" s="626" t="n"/>
      <c r="AJ1145" s="626" t="n"/>
      <c r="AK1145" s="626" t="n"/>
      <c r="AL1145" s="626" t="n"/>
      <c r="AM1145" s="626" t="n"/>
      <c r="AN1145" s="626" t="n"/>
      <c r="AO1145" s="626" t="n"/>
      <c r="AP1145" s="369" t="n"/>
      <c r="AQ1145" s="369" t="n"/>
      <c r="AR1145" s="369" t="n"/>
      <c r="AS1145" s="369" t="n"/>
      <c r="AT1145" s="370" t="n"/>
      <c r="AU1145" s="370" t="n"/>
      <c r="AV1145" s="370" t="n"/>
      <c r="AW1145" s="370" t="n"/>
      <c r="BJ1145">
        <f>O1145</f>
        <v/>
      </c>
      <c r="BK1145">
        <f>SUM(AG1145:AW1145)</f>
        <v/>
      </c>
      <c r="BL1145" s="531">
        <f>BJ1145-BK1145</f>
        <v/>
      </c>
      <c r="BM1145" s="201" t="n"/>
    </row>
    <row r="1146" hidden="1" outlineLevel="1" ht="15.6" customHeight="1" s="191">
      <c r="A1146" s="275" t="n"/>
      <c r="B1146" s="260" t="n"/>
      <c r="C1146" s="261" t="n"/>
      <c r="D1146" s="276" t="n"/>
      <c r="E1146" s="277" t="n"/>
      <c r="F1146" s="538" t="n"/>
      <c r="P1146" s="626" t="n"/>
      <c r="Q1146" s="626" t="n"/>
      <c r="R1146" s="626" t="n"/>
      <c r="S1146" s="626" t="n"/>
      <c r="T1146" s="626" t="n"/>
      <c r="U1146" s="626" t="n"/>
      <c r="V1146" s="626" t="n"/>
      <c r="W1146" s="626" t="n"/>
      <c r="X1146" s="626" t="n"/>
      <c r="Y1146" s="369" t="n"/>
      <c r="Z1146" s="369" t="n"/>
      <c r="AA1146" s="369" t="n"/>
      <c r="AB1146" s="369" t="n"/>
      <c r="AC1146" s="370" t="n"/>
      <c r="AD1146" s="370" t="n"/>
      <c r="AE1146" s="370" t="n"/>
      <c r="AF1146" s="370" t="n"/>
      <c r="AG1146" s="626" t="n"/>
      <c r="AH1146" s="626" t="n"/>
      <c r="AI1146" s="626" t="n"/>
      <c r="AJ1146" s="626" t="n"/>
      <c r="AK1146" s="626" t="n"/>
      <c r="AL1146" s="626" t="n"/>
      <c r="AM1146" s="626" t="n"/>
      <c r="AN1146" s="626" t="n"/>
      <c r="AO1146" s="626" t="n"/>
      <c r="AP1146" s="369" t="n"/>
      <c r="AQ1146" s="369" t="n"/>
      <c r="AR1146" s="369" t="n"/>
      <c r="AS1146" s="369" t="n"/>
      <c r="AT1146" s="370" t="n"/>
      <c r="AU1146" s="370" t="n"/>
      <c r="AV1146" s="370" t="n"/>
      <c r="AW1146" s="370" t="n"/>
      <c r="BJ1146">
        <f>O1146</f>
        <v/>
      </c>
      <c r="BK1146">
        <f>SUM(AG1146:AW1146)</f>
        <v/>
      </c>
      <c r="BL1146" s="531">
        <f>BJ1146-BK1146</f>
        <v/>
      </c>
      <c r="BM1146" s="201" t="n"/>
    </row>
    <row r="1147" hidden="1" outlineLevel="1" ht="15.6" customHeight="1" s="191">
      <c r="A1147" s="275" t="n"/>
      <c r="B1147" s="260" t="n"/>
      <c r="C1147" s="261" t="n"/>
      <c r="D1147" s="276" t="n"/>
      <c r="E1147" s="277" t="n"/>
      <c r="F1147" s="538" t="n"/>
      <c r="P1147" s="626" t="n"/>
      <c r="Q1147" s="626" t="n"/>
      <c r="R1147" s="626" t="n"/>
      <c r="S1147" s="626" t="n"/>
      <c r="T1147" s="626" t="n"/>
      <c r="U1147" s="626" t="n"/>
      <c r="V1147" s="626" t="n"/>
      <c r="W1147" s="626" t="n"/>
      <c r="X1147" s="626" t="n"/>
      <c r="Y1147" s="369" t="n"/>
      <c r="Z1147" s="369" t="n"/>
      <c r="AA1147" s="369" t="n"/>
      <c r="AB1147" s="369" t="n"/>
      <c r="AC1147" s="370" t="n"/>
      <c r="AD1147" s="370" t="n"/>
      <c r="AE1147" s="370" t="n"/>
      <c r="AF1147" s="370" t="n"/>
      <c r="AG1147" s="626" t="n"/>
      <c r="AH1147" s="626" t="n"/>
      <c r="AI1147" s="626" t="n"/>
      <c r="AJ1147" s="626" t="n"/>
      <c r="AK1147" s="626" t="n"/>
      <c r="AL1147" s="626" t="n"/>
      <c r="AM1147" s="626" t="n"/>
      <c r="AN1147" s="626" t="n"/>
      <c r="AO1147" s="626" t="n"/>
      <c r="AP1147" s="369" t="n"/>
      <c r="AQ1147" s="369" t="n"/>
      <c r="AR1147" s="369" t="n"/>
      <c r="AS1147" s="369" t="n"/>
      <c r="AT1147" s="370" t="n"/>
      <c r="AU1147" s="370" t="n"/>
      <c r="AV1147" s="370" t="n"/>
      <c r="AW1147" s="370" t="n"/>
      <c r="BJ1147">
        <f>O1147</f>
        <v/>
      </c>
      <c r="BK1147">
        <f>SUM(AG1147:AW1147)</f>
        <v/>
      </c>
      <c r="BL1147" s="531">
        <f>BJ1147-BK1147</f>
        <v/>
      </c>
      <c r="BM1147" s="201" t="n"/>
    </row>
    <row r="1148" hidden="1" outlineLevel="1" ht="15.6" customHeight="1" s="191">
      <c r="A1148" s="275" t="n"/>
      <c r="B1148" s="260" t="n"/>
      <c r="C1148" s="261" t="n"/>
      <c r="D1148" s="276" t="n"/>
      <c r="E1148" s="277" t="n"/>
      <c r="F1148" s="538" t="n"/>
      <c r="P1148" s="626" t="n"/>
      <c r="Q1148" s="626" t="n"/>
      <c r="R1148" s="626" t="n"/>
      <c r="S1148" s="626" t="n"/>
      <c r="T1148" s="626" t="n"/>
      <c r="U1148" s="626" t="n"/>
      <c r="V1148" s="626" t="n"/>
      <c r="W1148" s="626" t="n"/>
      <c r="X1148" s="626" t="n"/>
      <c r="Y1148" s="369" t="n"/>
      <c r="Z1148" s="369" t="n"/>
      <c r="AA1148" s="369" t="n"/>
      <c r="AB1148" s="369" t="n"/>
      <c r="AC1148" s="370" t="n"/>
      <c r="AD1148" s="370" t="n"/>
      <c r="AE1148" s="370" t="n"/>
      <c r="AF1148" s="370" t="n"/>
      <c r="AG1148" s="626" t="n"/>
      <c r="AH1148" s="626" t="n"/>
      <c r="AI1148" s="626" t="n"/>
      <c r="AJ1148" s="626" t="n"/>
      <c r="AK1148" s="626" t="n"/>
      <c r="AL1148" s="626" t="n"/>
      <c r="AM1148" s="626" t="n"/>
      <c r="AN1148" s="626" t="n"/>
      <c r="AO1148" s="626" t="n"/>
      <c r="AP1148" s="369" t="n"/>
      <c r="AQ1148" s="369" t="n"/>
      <c r="AR1148" s="369" t="n"/>
      <c r="AS1148" s="369" t="n"/>
      <c r="AT1148" s="370" t="n"/>
      <c r="AU1148" s="370" t="n"/>
      <c r="AV1148" s="370" t="n"/>
      <c r="AW1148" s="370" t="n"/>
      <c r="BJ1148">
        <f>O1148</f>
        <v/>
      </c>
      <c r="BK1148">
        <f>SUM(AG1148:AW1148)</f>
        <v/>
      </c>
      <c r="BL1148" s="531">
        <f>BJ1148-BK1148</f>
        <v/>
      </c>
      <c r="BM1148" s="201" t="n"/>
    </row>
    <row r="1149" hidden="1" outlineLevel="1" ht="15.6" customHeight="1" s="191">
      <c r="A1149" s="275" t="n"/>
      <c r="B1149" s="260" t="n"/>
      <c r="C1149" s="261" t="n"/>
      <c r="D1149" s="276" t="n"/>
      <c r="E1149" s="277" t="n"/>
      <c r="F1149" s="538" t="n"/>
      <c r="P1149" s="626" t="n"/>
      <c r="Q1149" s="626" t="n"/>
      <c r="R1149" s="626" t="n"/>
      <c r="S1149" s="626" t="n"/>
      <c r="T1149" s="626" t="n"/>
      <c r="U1149" s="626" t="n"/>
      <c r="V1149" s="626" t="n"/>
      <c r="W1149" s="626" t="n"/>
      <c r="X1149" s="626" t="n"/>
      <c r="Y1149" s="369" t="n"/>
      <c r="Z1149" s="369" t="n"/>
      <c r="AA1149" s="369" t="n"/>
      <c r="AB1149" s="369" t="n"/>
      <c r="AC1149" s="370" t="n"/>
      <c r="AD1149" s="370" t="n"/>
      <c r="AE1149" s="370" t="n"/>
      <c r="AF1149" s="370" t="n"/>
      <c r="AG1149" s="626" t="n"/>
      <c r="AH1149" s="626" t="n"/>
      <c r="AI1149" s="626" t="n"/>
      <c r="AJ1149" s="626" t="n"/>
      <c r="AK1149" s="626" t="n"/>
      <c r="AL1149" s="626" t="n"/>
      <c r="AM1149" s="626" t="n"/>
      <c r="AN1149" s="626" t="n"/>
      <c r="AO1149" s="626" t="n"/>
      <c r="AP1149" s="369" t="n"/>
      <c r="AQ1149" s="369" t="n"/>
      <c r="AR1149" s="369" t="n"/>
      <c r="AS1149" s="369" t="n"/>
      <c r="AT1149" s="370" t="n"/>
      <c r="AU1149" s="370" t="n"/>
      <c r="AV1149" s="370" t="n"/>
      <c r="AW1149" s="370" t="n"/>
      <c r="BJ1149">
        <f>O1149</f>
        <v/>
      </c>
      <c r="BK1149">
        <f>SUM(AG1149:AW1149)</f>
        <v/>
      </c>
      <c r="BL1149" s="531">
        <f>BJ1149-BK1149</f>
        <v/>
      </c>
      <c r="BM1149" s="201" t="n"/>
    </row>
    <row r="1150" hidden="1" outlineLevel="1" ht="15.6" customHeight="1" s="191">
      <c r="A1150" s="275" t="n"/>
      <c r="B1150" s="260" t="n"/>
      <c r="C1150" s="261" t="n"/>
      <c r="D1150" s="276" t="n"/>
      <c r="E1150" s="277" t="n"/>
      <c r="F1150" s="538" t="n"/>
      <c r="P1150" s="626" t="n"/>
      <c r="Q1150" s="626" t="n"/>
      <c r="R1150" s="626" t="n"/>
      <c r="S1150" s="626" t="n"/>
      <c r="T1150" s="626" t="n"/>
      <c r="U1150" s="626" t="n"/>
      <c r="V1150" s="626" t="n"/>
      <c r="W1150" s="626" t="n"/>
      <c r="X1150" s="626" t="n"/>
      <c r="Y1150" s="369" t="n"/>
      <c r="Z1150" s="369" t="n"/>
      <c r="AA1150" s="369" t="n"/>
      <c r="AB1150" s="369" t="n"/>
      <c r="AC1150" s="370" t="n"/>
      <c r="AD1150" s="370" t="n"/>
      <c r="AE1150" s="370" t="n"/>
      <c r="AF1150" s="370" t="n"/>
      <c r="AG1150" s="626" t="n"/>
      <c r="AH1150" s="626" t="n"/>
      <c r="AI1150" s="626" t="n"/>
      <c r="AJ1150" s="626" t="n"/>
      <c r="AK1150" s="626" t="n"/>
      <c r="AL1150" s="626" t="n"/>
      <c r="AM1150" s="626" t="n"/>
      <c r="AN1150" s="626" t="n"/>
      <c r="AO1150" s="626" t="n"/>
      <c r="AP1150" s="369" t="n"/>
      <c r="AQ1150" s="369" t="n"/>
      <c r="AR1150" s="369" t="n"/>
      <c r="AS1150" s="369" t="n"/>
      <c r="AT1150" s="370" t="n"/>
      <c r="AU1150" s="370" t="n"/>
      <c r="AV1150" s="370" t="n"/>
      <c r="AW1150" s="370" t="n"/>
      <c r="BJ1150">
        <f>O1150</f>
        <v/>
      </c>
      <c r="BK1150">
        <f>SUM(AG1150:AW1150)</f>
        <v/>
      </c>
      <c r="BL1150" s="531">
        <f>BJ1150-BK1150</f>
        <v/>
      </c>
      <c r="BM1150" s="201" t="n"/>
    </row>
    <row r="1151" hidden="1" outlineLevel="1" ht="15.6" customHeight="1" s="191">
      <c r="A1151" s="275" t="n"/>
      <c r="B1151" s="260" t="n"/>
      <c r="C1151" s="261" t="n"/>
      <c r="D1151" s="276" t="n"/>
      <c r="E1151" s="277" t="n"/>
      <c r="F1151" s="538" t="n"/>
      <c r="P1151" s="626" t="n"/>
      <c r="Q1151" s="626" t="n"/>
      <c r="R1151" s="626" t="n"/>
      <c r="S1151" s="626" t="n"/>
      <c r="T1151" s="626" t="n"/>
      <c r="U1151" s="626" t="n"/>
      <c r="V1151" s="626" t="n"/>
      <c r="W1151" s="626" t="n"/>
      <c r="X1151" s="626" t="n"/>
      <c r="Y1151" s="369" t="n"/>
      <c r="Z1151" s="369" t="n"/>
      <c r="AA1151" s="369" t="n"/>
      <c r="AB1151" s="369" t="n"/>
      <c r="AC1151" s="370" t="n"/>
      <c r="AD1151" s="370" t="n"/>
      <c r="AE1151" s="370" t="n"/>
      <c r="AF1151" s="370" t="n"/>
      <c r="AG1151" s="626" t="n"/>
      <c r="AH1151" s="626" t="n"/>
      <c r="AI1151" s="626" t="n"/>
      <c r="AJ1151" s="626" t="n"/>
      <c r="AK1151" s="626" t="n"/>
      <c r="AL1151" s="626" t="n"/>
      <c r="AM1151" s="626" t="n"/>
      <c r="AN1151" s="626" t="n"/>
      <c r="AO1151" s="626" t="n"/>
      <c r="AP1151" s="369" t="n"/>
      <c r="AQ1151" s="369" t="n"/>
      <c r="AR1151" s="369" t="n"/>
      <c r="AS1151" s="369" t="n"/>
      <c r="AT1151" s="370" t="n"/>
      <c r="AU1151" s="370" t="n"/>
      <c r="AV1151" s="370" t="n"/>
      <c r="AW1151" s="370" t="n"/>
      <c r="BJ1151">
        <f>O1151</f>
        <v/>
      </c>
      <c r="BK1151">
        <f>SUM(AG1151:AW1151)</f>
        <v/>
      </c>
      <c r="BL1151" s="531">
        <f>BJ1151-BK1151</f>
        <v/>
      </c>
      <c r="BM1151" s="201" t="n"/>
    </row>
    <row r="1152" hidden="1" outlineLevel="1" ht="15.6" customHeight="1" s="191">
      <c r="A1152" s="275" t="n"/>
      <c r="B1152" s="260" t="n"/>
      <c r="C1152" s="261" t="n"/>
      <c r="D1152" s="276" t="n"/>
      <c r="E1152" s="277" t="n"/>
      <c r="F1152" s="538" t="n"/>
      <c r="P1152" s="626" t="n"/>
      <c r="Q1152" s="626" t="n"/>
      <c r="R1152" s="626" t="n"/>
      <c r="S1152" s="626" t="n"/>
      <c r="T1152" s="626" t="n"/>
      <c r="U1152" s="626" t="n"/>
      <c r="V1152" s="626" t="n"/>
      <c r="W1152" s="626" t="n"/>
      <c r="X1152" s="626" t="n"/>
      <c r="Y1152" s="369" t="n"/>
      <c r="Z1152" s="369" t="n"/>
      <c r="AA1152" s="369" t="n"/>
      <c r="AB1152" s="369" t="n"/>
      <c r="AC1152" s="370" t="n"/>
      <c r="AD1152" s="370" t="n"/>
      <c r="AE1152" s="370" t="n"/>
      <c r="AF1152" s="370" t="n"/>
      <c r="AG1152" s="626" t="n"/>
      <c r="AH1152" s="626" t="n"/>
      <c r="AI1152" s="626" t="n"/>
      <c r="AJ1152" s="626" t="n"/>
      <c r="AK1152" s="626" t="n"/>
      <c r="AL1152" s="626" t="n"/>
      <c r="AM1152" s="626" t="n"/>
      <c r="AN1152" s="626" t="n"/>
      <c r="AO1152" s="626" t="n"/>
      <c r="AP1152" s="369" t="n"/>
      <c r="AQ1152" s="369" t="n"/>
      <c r="AR1152" s="369" t="n"/>
      <c r="AS1152" s="369" t="n"/>
      <c r="AT1152" s="370" t="n"/>
      <c r="AU1152" s="370" t="n"/>
      <c r="AV1152" s="370" t="n"/>
      <c r="AW1152" s="370" t="n"/>
      <c r="BJ1152">
        <f>O1152</f>
        <v/>
      </c>
      <c r="BK1152">
        <f>SUM(AG1152:AW1152)</f>
        <v/>
      </c>
      <c r="BL1152" s="531">
        <f>BJ1152-BK1152</f>
        <v/>
      </c>
      <c r="BM1152" s="201" t="n"/>
    </row>
    <row r="1153" hidden="1" outlineLevel="1" ht="15.6" customHeight="1" s="191">
      <c r="A1153" s="275" t="n"/>
      <c r="B1153" s="260" t="n"/>
      <c r="C1153" s="261" t="n"/>
      <c r="D1153" s="276" t="n"/>
      <c r="E1153" s="277" t="n"/>
      <c r="F1153" s="538" t="n"/>
      <c r="P1153" s="626" t="n"/>
      <c r="Q1153" s="626" t="n"/>
      <c r="R1153" s="626" t="n"/>
      <c r="S1153" s="626" t="n"/>
      <c r="T1153" s="626" t="n"/>
      <c r="U1153" s="626" t="n"/>
      <c r="V1153" s="626" t="n"/>
      <c r="W1153" s="626" t="n"/>
      <c r="X1153" s="626" t="n"/>
      <c r="Y1153" s="369" t="n"/>
      <c r="Z1153" s="369" t="n"/>
      <c r="AA1153" s="369" t="n"/>
      <c r="AB1153" s="369" t="n"/>
      <c r="AC1153" s="370" t="n"/>
      <c r="AD1153" s="370" t="n"/>
      <c r="AE1153" s="370" t="n"/>
      <c r="AF1153" s="370" t="n"/>
      <c r="AG1153" s="626" t="n"/>
      <c r="AH1153" s="626" t="n"/>
      <c r="AI1153" s="626" t="n"/>
      <c r="AJ1153" s="626" t="n"/>
      <c r="AK1153" s="626" t="n"/>
      <c r="AL1153" s="626" t="n"/>
      <c r="AM1153" s="626" t="n"/>
      <c r="AN1153" s="626" t="n"/>
      <c r="AO1153" s="626" t="n"/>
      <c r="AP1153" s="369" t="n"/>
      <c r="AQ1153" s="369" t="n"/>
      <c r="AR1153" s="369" t="n"/>
      <c r="AS1153" s="369" t="n"/>
      <c r="AT1153" s="370" t="n"/>
      <c r="AU1153" s="370" t="n"/>
      <c r="AV1153" s="370" t="n"/>
      <c r="AW1153" s="370" t="n"/>
      <c r="BJ1153">
        <f>O1153</f>
        <v/>
      </c>
      <c r="BK1153">
        <f>SUM(AG1153:AW1153)</f>
        <v/>
      </c>
      <c r="BL1153" s="531">
        <f>BJ1153-BK1153</f>
        <v/>
      </c>
      <c r="BM1153" s="201" t="n"/>
    </row>
    <row r="1154" hidden="1" outlineLevel="1" ht="15.6" customHeight="1" s="191">
      <c r="A1154" s="275" t="n"/>
      <c r="B1154" s="260" t="n"/>
      <c r="C1154" s="261" t="n"/>
      <c r="D1154" s="276" t="n"/>
      <c r="E1154" s="277" t="n"/>
      <c r="F1154" s="538" t="n"/>
      <c r="P1154" s="626" t="n"/>
      <c r="Q1154" s="626" t="n"/>
      <c r="R1154" s="626" t="n"/>
      <c r="S1154" s="626" t="n"/>
      <c r="T1154" s="626" t="n"/>
      <c r="U1154" s="626" t="n"/>
      <c r="V1154" s="626" t="n"/>
      <c r="W1154" s="626" t="n"/>
      <c r="X1154" s="626" t="n"/>
      <c r="Y1154" s="369" t="n"/>
      <c r="Z1154" s="369" t="n"/>
      <c r="AA1154" s="369" t="n"/>
      <c r="AB1154" s="369" t="n"/>
      <c r="AC1154" s="370" t="n"/>
      <c r="AD1154" s="370" t="n"/>
      <c r="AE1154" s="370" t="n"/>
      <c r="AF1154" s="370" t="n"/>
      <c r="AG1154" s="626" t="n"/>
      <c r="AH1154" s="626" t="n"/>
      <c r="AI1154" s="626" t="n"/>
      <c r="AJ1154" s="626" t="n"/>
      <c r="AK1154" s="626" t="n"/>
      <c r="AL1154" s="626" t="n"/>
      <c r="AM1154" s="626" t="n"/>
      <c r="AN1154" s="626" t="n"/>
      <c r="AO1154" s="626" t="n"/>
      <c r="AP1154" s="369" t="n"/>
      <c r="AQ1154" s="369" t="n"/>
      <c r="AR1154" s="369" t="n"/>
      <c r="AS1154" s="369" t="n"/>
      <c r="AT1154" s="370" t="n"/>
      <c r="AU1154" s="370" t="n"/>
      <c r="AV1154" s="370" t="n"/>
      <c r="AW1154" s="370" t="n"/>
      <c r="BJ1154">
        <f>O1154</f>
        <v/>
      </c>
      <c r="BK1154">
        <f>SUM(AG1154:AW1154)</f>
        <v/>
      </c>
      <c r="BL1154" s="531">
        <f>BJ1154-BK1154</f>
        <v/>
      </c>
      <c r="BM1154" s="201" t="n"/>
    </row>
    <row r="1155" hidden="1" outlineLevel="1" ht="15.6" customHeight="1" s="191">
      <c r="A1155" s="275" t="n"/>
      <c r="B1155" s="260" t="n"/>
      <c r="C1155" s="261" t="n"/>
      <c r="D1155" s="276" t="n"/>
      <c r="E1155" s="277" t="n"/>
      <c r="F1155" s="538" t="n"/>
      <c r="P1155" s="626" t="n"/>
      <c r="Q1155" s="626" t="n"/>
      <c r="R1155" s="626" t="n"/>
      <c r="S1155" s="626" t="n"/>
      <c r="T1155" s="626" t="n"/>
      <c r="U1155" s="626" t="n"/>
      <c r="V1155" s="626" t="n"/>
      <c r="W1155" s="626" t="n"/>
      <c r="X1155" s="626" t="n"/>
      <c r="Y1155" s="369" t="n"/>
      <c r="Z1155" s="369" t="n"/>
      <c r="AA1155" s="369" t="n"/>
      <c r="AB1155" s="369" t="n"/>
      <c r="AC1155" s="370" t="n"/>
      <c r="AD1155" s="370" t="n"/>
      <c r="AE1155" s="370" t="n"/>
      <c r="AF1155" s="370" t="n"/>
      <c r="AG1155" s="626" t="n"/>
      <c r="AH1155" s="626" t="n"/>
      <c r="AI1155" s="626" t="n"/>
      <c r="AJ1155" s="626" t="n"/>
      <c r="AK1155" s="626" t="n"/>
      <c r="AL1155" s="626" t="n"/>
      <c r="AM1155" s="626" t="n"/>
      <c r="AN1155" s="626" t="n"/>
      <c r="AO1155" s="626" t="n"/>
      <c r="AP1155" s="369" t="n"/>
      <c r="AQ1155" s="369" t="n"/>
      <c r="AR1155" s="369" t="n"/>
      <c r="AS1155" s="369" t="n"/>
      <c r="AT1155" s="370" t="n"/>
      <c r="AU1155" s="370" t="n"/>
      <c r="AV1155" s="370" t="n"/>
      <c r="AW1155" s="370" t="n"/>
      <c r="BJ1155">
        <f>O1155</f>
        <v/>
      </c>
      <c r="BK1155">
        <f>SUM(AG1155:AW1155)</f>
        <v/>
      </c>
      <c r="BL1155" s="531">
        <f>BJ1155-BK1155</f>
        <v/>
      </c>
      <c r="BM1155" s="201" t="n"/>
    </row>
    <row r="1156" hidden="1" outlineLevel="1" ht="15.6" customHeight="1" s="191">
      <c r="A1156" s="275" t="n"/>
      <c r="B1156" s="260" t="n"/>
      <c r="C1156" s="261" t="n"/>
      <c r="D1156" s="276" t="n"/>
      <c r="E1156" s="277" t="n"/>
      <c r="F1156" s="538" t="n"/>
      <c r="P1156" s="626" t="n"/>
      <c r="Q1156" s="626" t="n"/>
      <c r="R1156" s="626" t="n"/>
      <c r="S1156" s="626" t="n"/>
      <c r="T1156" s="626" t="n"/>
      <c r="U1156" s="626" t="n"/>
      <c r="V1156" s="626" t="n"/>
      <c r="W1156" s="626" t="n"/>
      <c r="X1156" s="626" t="n"/>
      <c r="Y1156" s="369" t="n"/>
      <c r="Z1156" s="369" t="n"/>
      <c r="AA1156" s="369" t="n"/>
      <c r="AB1156" s="369" t="n"/>
      <c r="AC1156" s="370" t="n"/>
      <c r="AD1156" s="370" t="n"/>
      <c r="AE1156" s="370" t="n"/>
      <c r="AF1156" s="370" t="n"/>
      <c r="AG1156" s="626" t="n"/>
      <c r="AH1156" s="626" t="n"/>
      <c r="AI1156" s="626" t="n"/>
      <c r="AJ1156" s="626" t="n"/>
      <c r="AK1156" s="626" t="n"/>
      <c r="AL1156" s="626" t="n"/>
      <c r="AM1156" s="626" t="n"/>
      <c r="AN1156" s="626" t="n"/>
      <c r="AO1156" s="626" t="n"/>
      <c r="AP1156" s="369" t="n"/>
      <c r="AQ1156" s="369" t="n"/>
      <c r="AR1156" s="369" t="n"/>
      <c r="AS1156" s="369" t="n"/>
      <c r="AT1156" s="370" t="n"/>
      <c r="AU1156" s="370" t="n"/>
      <c r="AV1156" s="370" t="n"/>
      <c r="AW1156" s="370" t="n"/>
      <c r="BJ1156">
        <f>O1156</f>
        <v/>
      </c>
      <c r="BK1156">
        <f>SUM(AG1156:AW1156)</f>
        <v/>
      </c>
      <c r="BL1156" s="531">
        <f>BJ1156-BK1156</f>
        <v/>
      </c>
      <c r="BM1156" s="201" t="n"/>
    </row>
    <row r="1157" hidden="1" outlineLevel="1" ht="15.6" customHeight="1" s="191">
      <c r="A1157" s="275" t="n"/>
      <c r="B1157" s="260" t="n"/>
      <c r="C1157" s="261" t="n"/>
      <c r="D1157" s="276" t="n"/>
      <c r="E1157" s="277" t="n"/>
      <c r="F1157" s="538" t="n"/>
      <c r="P1157" s="626" t="n"/>
      <c r="Q1157" s="626" t="n"/>
      <c r="R1157" s="626" t="n"/>
      <c r="S1157" s="626" t="n"/>
      <c r="T1157" s="626" t="n"/>
      <c r="U1157" s="626" t="n"/>
      <c r="V1157" s="626" t="n"/>
      <c r="W1157" s="626" t="n"/>
      <c r="X1157" s="626" t="n"/>
      <c r="Y1157" s="369" t="n"/>
      <c r="Z1157" s="369" t="n"/>
      <c r="AA1157" s="369" t="n"/>
      <c r="AB1157" s="369" t="n"/>
      <c r="AC1157" s="370" t="n"/>
      <c r="AD1157" s="370" t="n"/>
      <c r="AE1157" s="370" t="n"/>
      <c r="AF1157" s="370" t="n"/>
      <c r="AG1157" s="626" t="n"/>
      <c r="AH1157" s="626" t="n"/>
      <c r="AI1157" s="626" t="n"/>
      <c r="AJ1157" s="626" t="n"/>
      <c r="AK1157" s="626" t="n"/>
      <c r="AL1157" s="626" t="n"/>
      <c r="AM1157" s="626" t="n"/>
      <c r="AN1157" s="626" t="n"/>
      <c r="AO1157" s="626" t="n"/>
      <c r="AP1157" s="369" t="n"/>
      <c r="AQ1157" s="369" t="n"/>
      <c r="AR1157" s="369" t="n"/>
      <c r="AS1157" s="369" t="n"/>
      <c r="AT1157" s="370" t="n"/>
      <c r="AU1157" s="370" t="n"/>
      <c r="AV1157" s="370" t="n"/>
      <c r="AW1157" s="370" t="n"/>
      <c r="BJ1157">
        <f>O1157</f>
        <v/>
      </c>
      <c r="BK1157">
        <f>SUM(AG1157:AW1157)</f>
        <v/>
      </c>
      <c r="BL1157" s="531">
        <f>BJ1157-BK1157</f>
        <v/>
      </c>
      <c r="BM1157" s="201" t="n"/>
    </row>
    <row r="1158" hidden="1" outlineLevel="1" ht="15.6" customHeight="1" s="191">
      <c r="A1158" s="275" t="n"/>
      <c r="B1158" s="260" t="n"/>
      <c r="C1158" s="261" t="n"/>
      <c r="D1158" s="276" t="n"/>
      <c r="E1158" s="277" t="n"/>
      <c r="F1158" s="538" t="n"/>
      <c r="P1158" s="626" t="n"/>
      <c r="Q1158" s="626" t="n"/>
      <c r="R1158" s="626" t="n"/>
      <c r="S1158" s="626" t="n"/>
      <c r="T1158" s="626" t="n"/>
      <c r="U1158" s="626" t="n"/>
      <c r="V1158" s="626" t="n"/>
      <c r="W1158" s="626" t="n"/>
      <c r="X1158" s="626" t="n"/>
      <c r="Y1158" s="369" t="n"/>
      <c r="Z1158" s="369" t="n"/>
      <c r="AA1158" s="369" t="n"/>
      <c r="AB1158" s="369" t="n"/>
      <c r="AC1158" s="370" t="n"/>
      <c r="AD1158" s="370" t="n"/>
      <c r="AE1158" s="370" t="n"/>
      <c r="AF1158" s="370" t="n"/>
      <c r="AG1158" s="626" t="n"/>
      <c r="AH1158" s="626" t="n"/>
      <c r="AI1158" s="626" t="n"/>
      <c r="AJ1158" s="626" t="n"/>
      <c r="AK1158" s="626" t="n"/>
      <c r="AL1158" s="626" t="n"/>
      <c r="AM1158" s="626" t="n"/>
      <c r="AN1158" s="626" t="n"/>
      <c r="AO1158" s="626" t="n"/>
      <c r="AP1158" s="369" t="n"/>
      <c r="AQ1158" s="369" t="n"/>
      <c r="AR1158" s="369" t="n"/>
      <c r="AS1158" s="369" t="n"/>
      <c r="AT1158" s="370" t="n"/>
      <c r="AU1158" s="370" t="n"/>
      <c r="AV1158" s="370" t="n"/>
      <c r="AW1158" s="370" t="n"/>
      <c r="BJ1158">
        <f>O1158</f>
        <v/>
      </c>
      <c r="BK1158">
        <f>SUM(AG1158:AW1158)</f>
        <v/>
      </c>
      <c r="BL1158" s="531">
        <f>BJ1158-BK1158</f>
        <v/>
      </c>
      <c r="BM1158" s="201" t="n"/>
    </row>
    <row r="1159" hidden="1" outlineLevel="1" ht="15.6" customHeight="1" s="191">
      <c r="A1159" s="275" t="n"/>
      <c r="B1159" s="260" t="n"/>
      <c r="C1159" s="261" t="n"/>
      <c r="D1159" s="276" t="n"/>
      <c r="E1159" s="277" t="n"/>
      <c r="F1159" s="538" t="n"/>
      <c r="P1159" s="626" t="n"/>
      <c r="Q1159" s="626" t="n"/>
      <c r="R1159" s="626" t="n"/>
      <c r="S1159" s="626" t="n"/>
      <c r="T1159" s="626" t="n"/>
      <c r="U1159" s="626" t="n"/>
      <c r="V1159" s="626" t="n"/>
      <c r="W1159" s="626" t="n"/>
      <c r="X1159" s="626" t="n"/>
      <c r="Y1159" s="369" t="n"/>
      <c r="Z1159" s="369" t="n"/>
      <c r="AA1159" s="369" t="n"/>
      <c r="AB1159" s="369" t="n"/>
      <c r="AC1159" s="370" t="n"/>
      <c r="AD1159" s="370" t="n"/>
      <c r="AE1159" s="370" t="n"/>
      <c r="AF1159" s="370" t="n"/>
      <c r="AG1159" s="626" t="n"/>
      <c r="AH1159" s="626" t="n"/>
      <c r="AI1159" s="626" t="n"/>
      <c r="AJ1159" s="626" t="n"/>
      <c r="AK1159" s="626" t="n"/>
      <c r="AL1159" s="626" t="n"/>
      <c r="AM1159" s="626" t="n"/>
      <c r="AN1159" s="626" t="n"/>
      <c r="AO1159" s="626" t="n"/>
      <c r="AP1159" s="369" t="n"/>
      <c r="AQ1159" s="369" t="n"/>
      <c r="AR1159" s="369" t="n"/>
      <c r="AS1159" s="369" t="n"/>
      <c r="AT1159" s="370" t="n"/>
      <c r="AU1159" s="370" t="n"/>
      <c r="AV1159" s="370" t="n"/>
      <c r="AW1159" s="370" t="n"/>
      <c r="BJ1159">
        <f>O1159</f>
        <v/>
      </c>
      <c r="BK1159">
        <f>SUM(AG1159:AW1159)</f>
        <v/>
      </c>
      <c r="BL1159" s="531">
        <f>BJ1159-BK1159</f>
        <v/>
      </c>
      <c r="BM1159" s="201" t="n"/>
    </row>
    <row r="1160" hidden="1" outlineLevel="1" ht="15.6" customHeight="1" s="191">
      <c r="A1160" s="275" t="n"/>
      <c r="B1160" s="260" t="n"/>
      <c r="C1160" s="261" t="n"/>
      <c r="D1160" s="276" t="n"/>
      <c r="E1160" s="277" t="n"/>
      <c r="F1160" s="538" t="n"/>
      <c r="P1160" s="626" t="n"/>
      <c r="Q1160" s="626" t="n"/>
      <c r="R1160" s="626" t="n"/>
      <c r="S1160" s="626" t="n"/>
      <c r="T1160" s="626" t="n"/>
      <c r="U1160" s="626" t="n"/>
      <c r="V1160" s="626" t="n"/>
      <c r="W1160" s="626" t="n"/>
      <c r="X1160" s="626" t="n"/>
      <c r="Y1160" s="369" t="n"/>
      <c r="Z1160" s="369" t="n"/>
      <c r="AA1160" s="369" t="n"/>
      <c r="AB1160" s="369" t="n"/>
      <c r="AC1160" s="370" t="n"/>
      <c r="AD1160" s="370" t="n"/>
      <c r="AE1160" s="370" t="n"/>
      <c r="AF1160" s="370" t="n"/>
      <c r="AG1160" s="626" t="n"/>
      <c r="AH1160" s="626" t="n"/>
      <c r="AI1160" s="626" t="n"/>
      <c r="AJ1160" s="626" t="n"/>
      <c r="AK1160" s="626" t="n"/>
      <c r="AL1160" s="626" t="n"/>
      <c r="AM1160" s="626" t="n"/>
      <c r="AN1160" s="626" t="n"/>
      <c r="AO1160" s="626" t="n"/>
      <c r="AP1160" s="369" t="n"/>
      <c r="AQ1160" s="369" t="n"/>
      <c r="AR1160" s="369" t="n"/>
      <c r="AS1160" s="369" t="n"/>
      <c r="AT1160" s="370" t="n"/>
      <c r="AU1160" s="370" t="n"/>
      <c r="AV1160" s="370" t="n"/>
      <c r="AW1160" s="370" t="n"/>
      <c r="BJ1160">
        <f>O1160</f>
        <v/>
      </c>
      <c r="BK1160">
        <f>SUM(AG1160:AW1160)</f>
        <v/>
      </c>
      <c r="BL1160" s="531">
        <f>BJ1160-BK1160</f>
        <v/>
      </c>
      <c r="BM1160" s="201" t="n"/>
    </row>
    <row r="1161" hidden="1" outlineLevel="1" ht="15.6" customHeight="1" s="191">
      <c r="A1161" s="275" t="n"/>
      <c r="B1161" s="260" t="n"/>
      <c r="C1161" s="261" t="n"/>
      <c r="D1161" s="276" t="n"/>
      <c r="E1161" s="277" t="n"/>
      <c r="F1161" s="538" t="n"/>
      <c r="P1161" s="626" t="n"/>
      <c r="Q1161" s="626" t="n"/>
      <c r="R1161" s="626" t="n"/>
      <c r="S1161" s="626" t="n"/>
      <c r="T1161" s="626" t="n"/>
      <c r="U1161" s="626" t="n"/>
      <c r="V1161" s="626" t="n"/>
      <c r="W1161" s="626" t="n"/>
      <c r="X1161" s="626" t="n"/>
      <c r="Y1161" s="369" t="n"/>
      <c r="Z1161" s="369" t="n"/>
      <c r="AA1161" s="369" t="n"/>
      <c r="AB1161" s="369" t="n"/>
      <c r="AC1161" s="370" t="n"/>
      <c r="AD1161" s="370" t="n"/>
      <c r="AE1161" s="370" t="n"/>
      <c r="AF1161" s="370" t="n"/>
      <c r="AG1161" s="626" t="n"/>
      <c r="AH1161" s="626" t="n"/>
      <c r="AI1161" s="626" t="n"/>
      <c r="AJ1161" s="626" t="n"/>
      <c r="AK1161" s="626" t="n"/>
      <c r="AL1161" s="626" t="n"/>
      <c r="AM1161" s="626" t="n"/>
      <c r="AN1161" s="626" t="n"/>
      <c r="AO1161" s="626" t="n"/>
      <c r="AP1161" s="369" t="n"/>
      <c r="AQ1161" s="369" t="n"/>
      <c r="AR1161" s="369" t="n"/>
      <c r="AS1161" s="369" t="n"/>
      <c r="AT1161" s="370" t="n"/>
      <c r="AU1161" s="370" t="n"/>
      <c r="AV1161" s="370" t="n"/>
      <c r="AW1161" s="370" t="n"/>
      <c r="BJ1161">
        <f>O1161</f>
        <v/>
      </c>
      <c r="BK1161">
        <f>SUM(AG1161:AW1161)</f>
        <v/>
      </c>
      <c r="BL1161" s="531">
        <f>BJ1161-BK1161</f>
        <v/>
      </c>
      <c r="BM1161" s="201" t="n"/>
    </row>
    <row r="1162" hidden="1" outlineLevel="1" ht="15.6" customHeight="1" s="191">
      <c r="A1162" s="275" t="n"/>
      <c r="B1162" s="260" t="n"/>
      <c r="C1162" s="261" t="n"/>
      <c r="D1162" s="276" t="n"/>
      <c r="E1162" s="277" t="n"/>
      <c r="F1162" s="538" t="n"/>
      <c r="P1162" s="626" t="n"/>
      <c r="Q1162" s="626" t="n"/>
      <c r="R1162" s="626" t="n"/>
      <c r="S1162" s="626" t="n"/>
      <c r="T1162" s="626" t="n"/>
      <c r="U1162" s="626" t="n"/>
      <c r="V1162" s="626" t="n"/>
      <c r="W1162" s="626" t="n"/>
      <c r="X1162" s="626" t="n"/>
      <c r="Y1162" s="369" t="n"/>
      <c r="Z1162" s="369" t="n"/>
      <c r="AA1162" s="369" t="n"/>
      <c r="AB1162" s="369" t="n"/>
      <c r="AC1162" s="370" t="n"/>
      <c r="AD1162" s="370" t="n"/>
      <c r="AE1162" s="370" t="n"/>
      <c r="AF1162" s="370" t="n"/>
      <c r="AG1162" s="626" t="n"/>
      <c r="AH1162" s="626" t="n"/>
      <c r="AI1162" s="626" t="n"/>
      <c r="AJ1162" s="626" t="n"/>
      <c r="AK1162" s="626" t="n"/>
      <c r="AL1162" s="626" t="n"/>
      <c r="AM1162" s="626" t="n"/>
      <c r="AN1162" s="626" t="n"/>
      <c r="AO1162" s="626" t="n"/>
      <c r="AP1162" s="369" t="n"/>
      <c r="AQ1162" s="369" t="n"/>
      <c r="AR1162" s="369" t="n"/>
      <c r="AS1162" s="369" t="n"/>
      <c r="AT1162" s="370" t="n"/>
      <c r="AU1162" s="370" t="n"/>
      <c r="AV1162" s="370" t="n"/>
      <c r="AW1162" s="370" t="n"/>
      <c r="BJ1162">
        <f>O1162</f>
        <v/>
      </c>
      <c r="BK1162">
        <f>SUM(AG1162:AW1162)</f>
        <v/>
      </c>
      <c r="BL1162" s="531">
        <f>BJ1162-BK1162</f>
        <v/>
      </c>
      <c r="BM1162" s="201" t="n"/>
    </row>
    <row r="1163" hidden="1" outlineLevel="1" ht="15.6" customHeight="1" s="191">
      <c r="A1163" s="275" t="n"/>
      <c r="B1163" s="260" t="n"/>
      <c r="C1163" s="261" t="n"/>
      <c r="D1163" s="276" t="n"/>
      <c r="E1163" s="277" t="n"/>
      <c r="F1163" s="538" t="n"/>
      <c r="P1163" s="626" t="n"/>
      <c r="Q1163" s="626" t="n"/>
      <c r="R1163" s="626" t="n"/>
      <c r="S1163" s="626" t="n"/>
      <c r="T1163" s="626" t="n"/>
      <c r="U1163" s="626" t="n"/>
      <c r="V1163" s="626" t="n"/>
      <c r="W1163" s="626" t="n"/>
      <c r="X1163" s="626" t="n"/>
      <c r="Y1163" s="369" t="n"/>
      <c r="Z1163" s="369" t="n"/>
      <c r="AA1163" s="369" t="n"/>
      <c r="AB1163" s="369" t="n"/>
      <c r="AC1163" s="370" t="n"/>
      <c r="AD1163" s="370" t="n"/>
      <c r="AE1163" s="370" t="n"/>
      <c r="AF1163" s="370" t="n"/>
      <c r="AG1163" s="626" t="n"/>
      <c r="AH1163" s="626" t="n"/>
      <c r="AI1163" s="626" t="n"/>
      <c r="AJ1163" s="626" t="n"/>
      <c r="AK1163" s="626" t="n"/>
      <c r="AL1163" s="626" t="n"/>
      <c r="AM1163" s="626" t="n"/>
      <c r="AN1163" s="626" t="n"/>
      <c r="AO1163" s="626" t="n"/>
      <c r="AP1163" s="369" t="n"/>
      <c r="AQ1163" s="369" t="n"/>
      <c r="AR1163" s="369" t="n"/>
      <c r="AS1163" s="369" t="n"/>
      <c r="AT1163" s="370" t="n"/>
      <c r="AU1163" s="370" t="n"/>
      <c r="AV1163" s="370" t="n"/>
      <c r="AW1163" s="370" t="n"/>
      <c r="BJ1163">
        <f>O1163</f>
        <v/>
      </c>
      <c r="BK1163">
        <f>SUM(AG1163:AW1163)</f>
        <v/>
      </c>
      <c r="BL1163" s="531">
        <f>BJ1163-BK1163</f>
        <v/>
      </c>
      <c r="BM1163" s="201" t="n"/>
    </row>
    <row r="1164" hidden="1" outlineLevel="1" ht="15.6" customHeight="1" s="191">
      <c r="A1164" s="275" t="n"/>
      <c r="B1164" s="260" t="n"/>
      <c r="C1164" s="261" t="n"/>
      <c r="D1164" s="276" t="n"/>
      <c r="E1164" s="277" t="n"/>
      <c r="F1164" s="538" t="n"/>
      <c r="P1164" s="626" t="n"/>
      <c r="Q1164" s="626" t="n"/>
      <c r="R1164" s="626" t="n"/>
      <c r="S1164" s="626" t="n"/>
      <c r="T1164" s="626" t="n"/>
      <c r="U1164" s="626" t="n"/>
      <c r="V1164" s="626" t="n"/>
      <c r="W1164" s="626" t="n"/>
      <c r="X1164" s="626" t="n"/>
      <c r="Y1164" s="369" t="n"/>
      <c r="Z1164" s="369" t="n"/>
      <c r="AA1164" s="369" t="n"/>
      <c r="AB1164" s="369" t="n"/>
      <c r="AC1164" s="370" t="n"/>
      <c r="AD1164" s="370" t="n"/>
      <c r="AE1164" s="370" t="n"/>
      <c r="AF1164" s="370" t="n"/>
      <c r="AG1164" s="626" t="n"/>
      <c r="AH1164" s="626" t="n"/>
      <c r="AI1164" s="626" t="n"/>
      <c r="AJ1164" s="626" t="n"/>
      <c r="AK1164" s="626" t="n"/>
      <c r="AL1164" s="626" t="n"/>
      <c r="AM1164" s="626" t="n"/>
      <c r="AN1164" s="626" t="n"/>
      <c r="AO1164" s="626" t="n"/>
      <c r="AP1164" s="369" t="n"/>
      <c r="AQ1164" s="369" t="n"/>
      <c r="AR1164" s="369" t="n"/>
      <c r="AS1164" s="369" t="n"/>
      <c r="AT1164" s="370" t="n"/>
      <c r="AU1164" s="370" t="n"/>
      <c r="AV1164" s="370" t="n"/>
      <c r="AW1164" s="370" t="n"/>
      <c r="BJ1164">
        <f>O1164</f>
        <v/>
      </c>
      <c r="BK1164">
        <f>SUM(AG1164:AW1164)</f>
        <v/>
      </c>
      <c r="BL1164" s="531">
        <f>BJ1164-BK1164</f>
        <v/>
      </c>
      <c r="BM1164" s="201" t="n"/>
    </row>
    <row r="1165" hidden="1" outlineLevel="1" ht="15.6" customHeight="1" s="191">
      <c r="A1165" s="275" t="n"/>
      <c r="B1165" s="260" t="n"/>
      <c r="C1165" s="261" t="n"/>
      <c r="D1165" s="276" t="n"/>
      <c r="E1165" s="277" t="n"/>
      <c r="F1165" s="538" t="n"/>
      <c r="P1165" s="626" t="n"/>
      <c r="Q1165" s="626" t="n"/>
      <c r="R1165" s="626" t="n"/>
      <c r="S1165" s="626" t="n"/>
      <c r="T1165" s="626" t="n"/>
      <c r="U1165" s="626" t="n"/>
      <c r="V1165" s="626" t="n"/>
      <c r="W1165" s="626" t="n"/>
      <c r="X1165" s="626" t="n"/>
      <c r="Y1165" s="369" t="n"/>
      <c r="Z1165" s="369" t="n"/>
      <c r="AA1165" s="369" t="n"/>
      <c r="AB1165" s="369" t="n"/>
      <c r="AC1165" s="370" t="n"/>
      <c r="AD1165" s="370" t="n"/>
      <c r="AE1165" s="370" t="n"/>
      <c r="AF1165" s="370" t="n"/>
      <c r="AG1165" s="626" t="n"/>
      <c r="AH1165" s="626" t="n"/>
      <c r="AI1165" s="626" t="n"/>
      <c r="AJ1165" s="626" t="n"/>
      <c r="AK1165" s="626" t="n"/>
      <c r="AL1165" s="626" t="n"/>
      <c r="AM1165" s="626" t="n"/>
      <c r="AN1165" s="626" t="n"/>
      <c r="AO1165" s="626" t="n"/>
      <c r="AP1165" s="369" t="n"/>
      <c r="AQ1165" s="369" t="n"/>
      <c r="AR1165" s="369" t="n"/>
      <c r="AS1165" s="369" t="n"/>
      <c r="AT1165" s="370" t="n"/>
      <c r="AU1165" s="370" t="n"/>
      <c r="AV1165" s="370" t="n"/>
      <c r="AW1165" s="370" t="n"/>
      <c r="BJ1165">
        <f>O1165</f>
        <v/>
      </c>
      <c r="BK1165">
        <f>SUM(AG1165:AW1165)</f>
        <v/>
      </c>
      <c r="BL1165" s="531">
        <f>BJ1165-BK1165</f>
        <v/>
      </c>
      <c r="BM1165" s="201" t="n"/>
    </row>
    <row r="1166" hidden="1" outlineLevel="1" ht="15.6" customHeight="1" s="191">
      <c r="A1166" s="275" t="n"/>
      <c r="B1166" s="260" t="n"/>
      <c r="C1166" s="261" t="n"/>
      <c r="D1166" s="276" t="n"/>
      <c r="E1166" s="277" t="n"/>
      <c r="F1166" s="538" t="n"/>
      <c r="P1166" s="626" t="n"/>
      <c r="Q1166" s="626" t="n"/>
      <c r="R1166" s="626" t="n"/>
      <c r="S1166" s="626" t="n"/>
      <c r="T1166" s="626" t="n"/>
      <c r="U1166" s="626" t="n"/>
      <c r="V1166" s="626" t="n"/>
      <c r="W1166" s="626" t="n"/>
      <c r="X1166" s="626" t="n"/>
      <c r="Y1166" s="369" t="n"/>
      <c r="Z1166" s="369" t="n"/>
      <c r="AA1166" s="369" t="n"/>
      <c r="AB1166" s="369" t="n"/>
      <c r="AC1166" s="370" t="n"/>
      <c r="AD1166" s="370" t="n"/>
      <c r="AE1166" s="370" t="n"/>
      <c r="AF1166" s="370" t="n"/>
      <c r="AG1166" s="626" t="n"/>
      <c r="AH1166" s="626" t="n"/>
      <c r="AI1166" s="626" t="n"/>
      <c r="AJ1166" s="626" t="n"/>
      <c r="AK1166" s="626" t="n"/>
      <c r="AL1166" s="626" t="n"/>
      <c r="AM1166" s="626" t="n"/>
      <c r="AN1166" s="626" t="n"/>
      <c r="AO1166" s="626" t="n"/>
      <c r="AP1166" s="369" t="n"/>
      <c r="AQ1166" s="369" t="n"/>
      <c r="AR1166" s="369" t="n"/>
      <c r="AS1166" s="369" t="n"/>
      <c r="AT1166" s="370" t="n"/>
      <c r="AU1166" s="370" t="n"/>
      <c r="AV1166" s="370" t="n"/>
      <c r="AW1166" s="370" t="n"/>
      <c r="BJ1166">
        <f>O1166</f>
        <v/>
      </c>
      <c r="BK1166">
        <f>SUM(AG1166:AW1166)</f>
        <v/>
      </c>
      <c r="BL1166" s="531">
        <f>BJ1166-BK1166</f>
        <v/>
      </c>
      <c r="BM1166" s="201" t="n"/>
    </row>
    <row r="1167" hidden="1" outlineLevel="1" ht="15.6" customHeight="1" s="191">
      <c r="A1167" s="275" t="n"/>
      <c r="B1167" s="260" t="n"/>
      <c r="C1167" s="261" t="n"/>
      <c r="D1167" s="276" t="n"/>
      <c r="E1167" s="277" t="n"/>
      <c r="F1167" s="538" t="n"/>
      <c r="P1167" s="626" t="n"/>
      <c r="Q1167" s="626" t="n"/>
      <c r="R1167" s="626" t="n"/>
      <c r="S1167" s="626" t="n"/>
      <c r="T1167" s="626" t="n"/>
      <c r="U1167" s="626" t="n"/>
      <c r="V1167" s="626" t="n"/>
      <c r="W1167" s="626" t="n"/>
      <c r="X1167" s="626" t="n"/>
      <c r="Y1167" s="369" t="n"/>
      <c r="Z1167" s="369" t="n"/>
      <c r="AA1167" s="369" t="n"/>
      <c r="AB1167" s="369" t="n"/>
      <c r="AC1167" s="370" t="n"/>
      <c r="AD1167" s="370" t="n"/>
      <c r="AE1167" s="370" t="n"/>
      <c r="AF1167" s="370" t="n"/>
      <c r="AG1167" s="626" t="n"/>
      <c r="AH1167" s="626" t="n"/>
      <c r="AI1167" s="626" t="n"/>
      <c r="AJ1167" s="626" t="n"/>
      <c r="AK1167" s="626" t="n"/>
      <c r="AL1167" s="626" t="n"/>
      <c r="AM1167" s="626" t="n"/>
      <c r="AN1167" s="626" t="n"/>
      <c r="AO1167" s="626" t="n"/>
      <c r="AP1167" s="369" t="n"/>
      <c r="AQ1167" s="369" t="n"/>
      <c r="AR1167" s="369" t="n"/>
      <c r="AS1167" s="369" t="n"/>
      <c r="AT1167" s="370" t="n"/>
      <c r="AU1167" s="370" t="n"/>
      <c r="AV1167" s="370" t="n"/>
      <c r="AW1167" s="370" t="n"/>
      <c r="BJ1167">
        <f>O1167</f>
        <v/>
      </c>
      <c r="BK1167">
        <f>SUM(AG1167:AW1167)</f>
        <v/>
      </c>
      <c r="BL1167" s="531">
        <f>BJ1167-BK1167</f>
        <v/>
      </c>
      <c r="BM1167" s="201" t="n"/>
    </row>
    <row r="1168" hidden="1" outlineLevel="1" ht="15.6" customHeight="1" s="191">
      <c r="A1168" s="275" t="n"/>
      <c r="B1168" s="260" t="n"/>
      <c r="C1168" s="261" t="n"/>
      <c r="D1168" s="276" t="n"/>
      <c r="E1168" s="277" t="n"/>
      <c r="F1168" s="538" t="n"/>
      <c r="P1168" s="626" t="n"/>
      <c r="Q1168" s="626" t="n"/>
      <c r="R1168" s="626" t="n"/>
      <c r="S1168" s="626" t="n"/>
      <c r="T1168" s="626" t="n"/>
      <c r="U1168" s="626" t="n"/>
      <c r="V1168" s="626" t="n"/>
      <c r="W1168" s="626" t="n"/>
      <c r="X1168" s="626" t="n"/>
      <c r="Y1168" s="369" t="n"/>
      <c r="Z1168" s="369" t="n"/>
      <c r="AA1168" s="369" t="n"/>
      <c r="AB1168" s="369" t="n"/>
      <c r="AC1168" s="370" t="n"/>
      <c r="AD1168" s="370" t="n"/>
      <c r="AE1168" s="370" t="n"/>
      <c r="AF1168" s="370" t="n"/>
      <c r="AG1168" s="626" t="n"/>
      <c r="AH1168" s="626" t="n"/>
      <c r="AI1168" s="626" t="n"/>
      <c r="AJ1168" s="626" t="n"/>
      <c r="AK1168" s="626" t="n"/>
      <c r="AL1168" s="626" t="n"/>
      <c r="AM1168" s="626" t="n"/>
      <c r="AN1168" s="626" t="n"/>
      <c r="AO1168" s="626" t="n"/>
      <c r="AP1168" s="369" t="n"/>
      <c r="AQ1168" s="369" t="n"/>
      <c r="AR1168" s="369" t="n"/>
      <c r="AS1168" s="369" t="n"/>
      <c r="AT1168" s="370" t="n"/>
      <c r="AU1168" s="370" t="n"/>
      <c r="AV1168" s="370" t="n"/>
      <c r="AW1168" s="370" t="n"/>
      <c r="BJ1168">
        <f>O1168</f>
        <v/>
      </c>
      <c r="BK1168">
        <f>SUM(AG1168:AW1168)</f>
        <v/>
      </c>
      <c r="BL1168" s="531">
        <f>BJ1168-BK1168</f>
        <v/>
      </c>
      <c r="BM1168" s="201" t="n"/>
    </row>
    <row r="1169" hidden="1" outlineLevel="1" ht="15.6" customHeight="1" s="191">
      <c r="A1169" s="275" t="n"/>
      <c r="B1169" s="260" t="n"/>
      <c r="C1169" s="261" t="n"/>
      <c r="D1169" s="276" t="n"/>
      <c r="E1169" s="277" t="n"/>
      <c r="F1169" s="538" t="n"/>
      <c r="P1169" s="626" t="n"/>
      <c r="Q1169" s="626" t="n"/>
      <c r="R1169" s="626" t="n"/>
      <c r="S1169" s="626" t="n"/>
      <c r="T1169" s="626" t="n"/>
      <c r="U1169" s="626" t="n"/>
      <c r="V1169" s="626" t="n"/>
      <c r="W1169" s="626" t="n"/>
      <c r="X1169" s="626" t="n"/>
      <c r="Y1169" s="369" t="n"/>
      <c r="Z1169" s="369" t="n"/>
      <c r="AA1169" s="369" t="n"/>
      <c r="AB1169" s="369" t="n"/>
      <c r="AC1169" s="370" t="n"/>
      <c r="AD1169" s="370" t="n"/>
      <c r="AE1169" s="370" t="n"/>
      <c r="AF1169" s="370" t="n"/>
      <c r="AG1169" s="626" t="n"/>
      <c r="AH1169" s="626" t="n"/>
      <c r="AI1169" s="626" t="n"/>
      <c r="AJ1169" s="626" t="n"/>
      <c r="AK1169" s="626" t="n"/>
      <c r="AL1169" s="626" t="n"/>
      <c r="AM1169" s="626" t="n"/>
      <c r="AN1169" s="626" t="n"/>
      <c r="AO1169" s="626" t="n"/>
      <c r="AP1169" s="369" t="n"/>
      <c r="AQ1169" s="369" t="n"/>
      <c r="AR1169" s="369" t="n"/>
      <c r="AS1169" s="369" t="n"/>
      <c r="AT1169" s="370" t="n"/>
      <c r="AU1169" s="370" t="n"/>
      <c r="AV1169" s="370" t="n"/>
      <c r="AW1169" s="370" t="n"/>
      <c r="BJ1169">
        <f>O1169</f>
        <v/>
      </c>
      <c r="BK1169">
        <f>SUM(AG1169:AW1169)</f>
        <v/>
      </c>
      <c r="BL1169" s="531">
        <f>BJ1169-BK1169</f>
        <v/>
      </c>
      <c r="BM1169" s="201" t="n"/>
    </row>
    <row r="1170" hidden="1" outlineLevel="1" ht="15.6" customHeight="1" s="191">
      <c r="A1170" s="275" t="n"/>
      <c r="B1170" s="260" t="n"/>
      <c r="C1170" s="261" t="n"/>
      <c r="D1170" s="276" t="n"/>
      <c r="E1170" s="277" t="n"/>
      <c r="F1170" s="538" t="n"/>
      <c r="P1170" s="626" t="n"/>
      <c r="Q1170" s="626" t="n"/>
      <c r="R1170" s="626" t="n"/>
      <c r="S1170" s="626" t="n"/>
      <c r="T1170" s="626" t="n"/>
      <c r="U1170" s="626" t="n"/>
      <c r="V1170" s="626" t="n"/>
      <c r="W1170" s="626" t="n"/>
      <c r="X1170" s="626" t="n"/>
      <c r="Y1170" s="369" t="n"/>
      <c r="Z1170" s="369" t="n"/>
      <c r="AA1170" s="369" t="n"/>
      <c r="AB1170" s="369" t="n"/>
      <c r="AC1170" s="370" t="n"/>
      <c r="AD1170" s="370" t="n"/>
      <c r="AE1170" s="370" t="n"/>
      <c r="AF1170" s="370" t="n"/>
      <c r="AG1170" s="626" t="n"/>
      <c r="AH1170" s="626" t="n"/>
      <c r="AI1170" s="626" t="n"/>
      <c r="AJ1170" s="626" t="n"/>
      <c r="AK1170" s="626" t="n"/>
      <c r="AL1170" s="626" t="n"/>
      <c r="AM1170" s="626" t="n"/>
      <c r="AN1170" s="626" t="n"/>
      <c r="AO1170" s="626" t="n"/>
      <c r="AP1170" s="369" t="n"/>
      <c r="AQ1170" s="369" t="n"/>
      <c r="AR1170" s="369" t="n"/>
      <c r="AS1170" s="369" t="n"/>
      <c r="AT1170" s="370" t="n"/>
      <c r="AU1170" s="370" t="n"/>
      <c r="AV1170" s="370" t="n"/>
      <c r="AW1170" s="370" t="n"/>
      <c r="BJ1170">
        <f>O1170</f>
        <v/>
      </c>
      <c r="BK1170">
        <f>SUM(AG1170:AW1170)</f>
        <v/>
      </c>
      <c r="BL1170" s="531">
        <f>BJ1170-BK1170</f>
        <v/>
      </c>
      <c r="BM1170" s="201" t="n"/>
    </row>
    <row r="1171" hidden="1" outlineLevel="1" ht="15.6" customHeight="1" s="191">
      <c r="A1171" s="275" t="n"/>
      <c r="B1171" s="260" t="n"/>
      <c r="C1171" s="261" t="n"/>
      <c r="D1171" s="276" t="n"/>
      <c r="E1171" s="277" t="n"/>
      <c r="F1171" s="538" t="n"/>
      <c r="P1171" s="626" t="n"/>
      <c r="Q1171" s="626" t="n"/>
      <c r="R1171" s="626" t="n"/>
      <c r="S1171" s="626" t="n"/>
      <c r="T1171" s="626" t="n"/>
      <c r="U1171" s="626" t="n"/>
      <c r="V1171" s="626" t="n"/>
      <c r="W1171" s="626" t="n"/>
      <c r="X1171" s="626" t="n"/>
      <c r="Y1171" s="369" t="n"/>
      <c r="Z1171" s="369" t="n"/>
      <c r="AA1171" s="369" t="n"/>
      <c r="AB1171" s="369" t="n"/>
      <c r="AC1171" s="370" t="n"/>
      <c r="AD1171" s="370" t="n"/>
      <c r="AE1171" s="370" t="n"/>
      <c r="AF1171" s="370" t="n"/>
      <c r="AG1171" s="626" t="n"/>
      <c r="AH1171" s="626" t="n"/>
      <c r="AI1171" s="626" t="n"/>
      <c r="AJ1171" s="626" t="n"/>
      <c r="AK1171" s="626" t="n"/>
      <c r="AL1171" s="626" t="n"/>
      <c r="AM1171" s="626" t="n"/>
      <c r="AN1171" s="626" t="n"/>
      <c r="AO1171" s="626" t="n"/>
      <c r="AP1171" s="369" t="n"/>
      <c r="AQ1171" s="369" t="n"/>
      <c r="AR1171" s="369" t="n"/>
      <c r="AS1171" s="369" t="n"/>
      <c r="AT1171" s="370" t="n"/>
      <c r="AU1171" s="370" t="n"/>
      <c r="AV1171" s="370" t="n"/>
      <c r="AW1171" s="370" t="n"/>
      <c r="BJ1171">
        <f>O1171</f>
        <v/>
      </c>
      <c r="BK1171">
        <f>SUM(AG1171:AW1171)</f>
        <v/>
      </c>
      <c r="BL1171" s="531">
        <f>BJ1171-BK1171</f>
        <v/>
      </c>
      <c r="BM1171" s="201" t="n"/>
    </row>
    <row r="1172" hidden="1" outlineLevel="1" ht="15.6" customHeight="1" s="191">
      <c r="A1172" s="275" t="n"/>
      <c r="B1172" s="260" t="n"/>
      <c r="C1172" s="261" t="n"/>
      <c r="D1172" s="276" t="n"/>
      <c r="E1172" s="277" t="n"/>
      <c r="F1172" s="538" t="n"/>
      <c r="P1172" s="626" t="n"/>
      <c r="Q1172" s="626" t="n"/>
      <c r="R1172" s="626" t="n"/>
      <c r="S1172" s="626" t="n"/>
      <c r="T1172" s="626" t="n"/>
      <c r="U1172" s="626" t="n"/>
      <c r="V1172" s="626" t="n"/>
      <c r="W1172" s="626" t="n"/>
      <c r="X1172" s="626" t="n"/>
      <c r="Y1172" s="369" t="n"/>
      <c r="Z1172" s="369" t="n"/>
      <c r="AA1172" s="369" t="n"/>
      <c r="AB1172" s="369" t="n"/>
      <c r="AC1172" s="370" t="n"/>
      <c r="AD1172" s="370" t="n"/>
      <c r="AE1172" s="370" t="n"/>
      <c r="AF1172" s="370" t="n"/>
      <c r="AG1172" s="626" t="n"/>
      <c r="AH1172" s="626" t="n"/>
      <c r="AI1172" s="626" t="n"/>
      <c r="AJ1172" s="626" t="n"/>
      <c r="AK1172" s="626" t="n"/>
      <c r="AL1172" s="626" t="n"/>
      <c r="AM1172" s="626" t="n"/>
      <c r="AN1172" s="626" t="n"/>
      <c r="AO1172" s="626" t="n"/>
      <c r="AP1172" s="369" t="n"/>
      <c r="AQ1172" s="369" t="n"/>
      <c r="AR1172" s="369" t="n"/>
      <c r="AS1172" s="369" t="n"/>
      <c r="AT1172" s="370" t="n"/>
      <c r="AU1172" s="370" t="n"/>
      <c r="AV1172" s="370" t="n"/>
      <c r="AW1172" s="370" t="n"/>
      <c r="BJ1172">
        <f>O1172</f>
        <v/>
      </c>
      <c r="BK1172">
        <f>SUM(AG1172:AW1172)</f>
        <v/>
      </c>
      <c r="BL1172" s="531">
        <f>BJ1172-BK1172</f>
        <v/>
      </c>
      <c r="BM1172" s="201" t="n"/>
    </row>
    <row r="1173" hidden="1" outlineLevel="1" ht="15.6" customHeight="1" s="191">
      <c r="A1173" s="275" t="n"/>
      <c r="B1173" s="260" t="n"/>
      <c r="C1173" s="261" t="n"/>
      <c r="D1173" s="276" t="n"/>
      <c r="E1173" s="277" t="n"/>
      <c r="F1173" s="538" t="n"/>
      <c r="P1173" s="626" t="n"/>
      <c r="Q1173" s="626" t="n"/>
      <c r="R1173" s="626" t="n"/>
      <c r="S1173" s="626" t="n"/>
      <c r="T1173" s="626" t="n"/>
      <c r="U1173" s="626" t="n"/>
      <c r="V1173" s="626" t="n"/>
      <c r="W1173" s="626" t="n"/>
      <c r="X1173" s="626" t="n"/>
      <c r="Y1173" s="369" t="n"/>
      <c r="Z1173" s="369" t="n"/>
      <c r="AA1173" s="369" t="n"/>
      <c r="AB1173" s="369" t="n"/>
      <c r="AC1173" s="370" t="n"/>
      <c r="AD1173" s="370" t="n"/>
      <c r="AE1173" s="370" t="n"/>
      <c r="AF1173" s="370" t="n"/>
      <c r="AG1173" s="626" t="n"/>
      <c r="AH1173" s="626" t="n"/>
      <c r="AI1173" s="626" t="n"/>
      <c r="AJ1173" s="626" t="n"/>
      <c r="AK1173" s="626" t="n"/>
      <c r="AL1173" s="626" t="n"/>
      <c r="AM1173" s="626" t="n"/>
      <c r="AN1173" s="626" t="n"/>
      <c r="AO1173" s="626" t="n"/>
      <c r="AP1173" s="369" t="n"/>
      <c r="AQ1173" s="369" t="n"/>
      <c r="AR1173" s="369" t="n"/>
      <c r="AS1173" s="369" t="n"/>
      <c r="AT1173" s="370" t="n"/>
      <c r="AU1173" s="370" t="n"/>
      <c r="AV1173" s="370" t="n"/>
      <c r="AW1173" s="370" t="n"/>
      <c r="BJ1173">
        <f>O1173</f>
        <v/>
      </c>
      <c r="BK1173">
        <f>SUM(AG1173:AW1173)</f>
        <v/>
      </c>
      <c r="BL1173" s="531">
        <f>BJ1173-BK1173</f>
        <v/>
      </c>
      <c r="BM1173" s="201" t="n"/>
    </row>
    <row r="1174" hidden="1" outlineLevel="1" ht="15.6" customHeight="1" s="191">
      <c r="A1174" s="275" t="n"/>
      <c r="B1174" s="260" t="n"/>
      <c r="C1174" s="261" t="n"/>
      <c r="D1174" s="276" t="n"/>
      <c r="E1174" s="277" t="n"/>
      <c r="F1174" s="538" t="n"/>
      <c r="P1174" s="626" t="n"/>
      <c r="Q1174" s="626" t="n"/>
      <c r="R1174" s="626" t="n"/>
      <c r="S1174" s="626" t="n"/>
      <c r="T1174" s="626" t="n"/>
      <c r="U1174" s="626" t="n"/>
      <c r="V1174" s="626" t="n"/>
      <c r="W1174" s="626" t="n"/>
      <c r="X1174" s="626" t="n"/>
      <c r="Y1174" s="369" t="n"/>
      <c r="Z1174" s="369" t="n"/>
      <c r="AA1174" s="369" t="n"/>
      <c r="AB1174" s="369" t="n"/>
      <c r="AC1174" s="370" t="n"/>
      <c r="AD1174" s="370" t="n"/>
      <c r="AE1174" s="370" t="n"/>
      <c r="AF1174" s="370" t="n"/>
      <c r="AG1174" s="626" t="n"/>
      <c r="AH1174" s="626" t="n"/>
      <c r="AI1174" s="626" t="n"/>
      <c r="AJ1174" s="626" t="n"/>
      <c r="AK1174" s="626" t="n"/>
      <c r="AL1174" s="626" t="n"/>
      <c r="AM1174" s="626" t="n"/>
      <c r="AN1174" s="626" t="n"/>
      <c r="AO1174" s="626" t="n"/>
      <c r="AP1174" s="369" t="n"/>
      <c r="AQ1174" s="369" t="n"/>
      <c r="AR1174" s="369" t="n"/>
      <c r="AS1174" s="369" t="n"/>
      <c r="AT1174" s="370" t="n"/>
      <c r="AU1174" s="370" t="n"/>
      <c r="AV1174" s="370" t="n"/>
      <c r="AW1174" s="370" t="n"/>
      <c r="BJ1174">
        <f>O1174</f>
        <v/>
      </c>
      <c r="BK1174">
        <f>SUM(AG1174:AW1174)</f>
        <v/>
      </c>
      <c r="BL1174" s="531">
        <f>BJ1174-BK1174</f>
        <v/>
      </c>
      <c r="BM1174" s="201" t="n"/>
    </row>
    <row r="1175" hidden="1" outlineLevel="1" ht="15.6" customHeight="1" s="191">
      <c r="A1175" s="275" t="n"/>
      <c r="B1175" s="260" t="n"/>
      <c r="C1175" s="261" t="n"/>
      <c r="D1175" s="276" t="n"/>
      <c r="E1175" s="277" t="n"/>
      <c r="F1175" s="538" t="n"/>
      <c r="P1175" s="626" t="n"/>
      <c r="Q1175" s="626" t="n"/>
      <c r="R1175" s="626" t="n"/>
      <c r="S1175" s="626" t="n"/>
      <c r="T1175" s="626" t="n"/>
      <c r="U1175" s="626" t="n"/>
      <c r="V1175" s="626" t="n"/>
      <c r="W1175" s="626" t="n"/>
      <c r="X1175" s="626" t="n"/>
      <c r="Y1175" s="369" t="n"/>
      <c r="Z1175" s="369" t="n"/>
      <c r="AA1175" s="369" t="n"/>
      <c r="AB1175" s="369" t="n"/>
      <c r="AC1175" s="370" t="n"/>
      <c r="AD1175" s="370" t="n"/>
      <c r="AE1175" s="370" t="n"/>
      <c r="AF1175" s="370" t="n"/>
      <c r="AG1175" s="626" t="n"/>
      <c r="AH1175" s="626" t="n"/>
      <c r="AI1175" s="626" t="n"/>
      <c r="AJ1175" s="626" t="n"/>
      <c r="AK1175" s="626" t="n"/>
      <c r="AL1175" s="626" t="n"/>
      <c r="AM1175" s="626" t="n"/>
      <c r="AN1175" s="626" t="n"/>
      <c r="AO1175" s="626" t="n"/>
      <c r="AP1175" s="369" t="n"/>
      <c r="AQ1175" s="369" t="n"/>
      <c r="AR1175" s="369" t="n"/>
      <c r="AS1175" s="369" t="n"/>
      <c r="AT1175" s="370" t="n"/>
      <c r="AU1175" s="370" t="n"/>
      <c r="AV1175" s="370" t="n"/>
      <c r="AW1175" s="370" t="n"/>
      <c r="BJ1175">
        <f>O1175</f>
        <v/>
      </c>
      <c r="BK1175">
        <f>SUM(AG1175:AW1175)</f>
        <v/>
      </c>
      <c r="BL1175" s="531">
        <f>BJ1175-BK1175</f>
        <v/>
      </c>
      <c r="BM1175" s="201" t="n"/>
    </row>
    <row r="1176" hidden="1" outlineLevel="1" ht="15.6" customHeight="1" s="191">
      <c r="A1176" s="275" t="n"/>
      <c r="B1176" s="260" t="n"/>
      <c r="C1176" s="261" t="n"/>
      <c r="D1176" s="276" t="n"/>
      <c r="E1176" s="277" t="n"/>
      <c r="F1176" s="538" t="n"/>
      <c r="P1176" s="626" t="n"/>
      <c r="Q1176" s="626" t="n"/>
      <c r="R1176" s="626" t="n"/>
      <c r="S1176" s="626" t="n"/>
      <c r="T1176" s="626" t="n"/>
      <c r="U1176" s="626" t="n"/>
      <c r="V1176" s="626" t="n"/>
      <c r="W1176" s="626" t="n"/>
      <c r="X1176" s="626" t="n"/>
      <c r="Y1176" s="369" t="n"/>
      <c r="Z1176" s="369" t="n"/>
      <c r="AA1176" s="369" t="n"/>
      <c r="AB1176" s="369" t="n"/>
      <c r="AC1176" s="370" t="n"/>
      <c r="AD1176" s="370" t="n"/>
      <c r="AE1176" s="370" t="n"/>
      <c r="AF1176" s="370" t="n"/>
      <c r="AG1176" s="626" t="n"/>
      <c r="AH1176" s="626" t="n"/>
      <c r="AI1176" s="626" t="n"/>
      <c r="AJ1176" s="626" t="n"/>
      <c r="AK1176" s="626" t="n"/>
      <c r="AL1176" s="626" t="n"/>
      <c r="AM1176" s="626" t="n"/>
      <c r="AN1176" s="626" t="n"/>
      <c r="AO1176" s="626" t="n"/>
      <c r="AP1176" s="369" t="n"/>
      <c r="AQ1176" s="369" t="n"/>
      <c r="AR1176" s="369" t="n"/>
      <c r="AS1176" s="369" t="n"/>
      <c r="AT1176" s="370" t="n"/>
      <c r="AU1176" s="370" t="n"/>
      <c r="AV1176" s="370" t="n"/>
      <c r="AW1176" s="370" t="n"/>
      <c r="BJ1176">
        <f>O1176</f>
        <v/>
      </c>
      <c r="BK1176">
        <f>SUM(AG1176:AW1176)</f>
        <v/>
      </c>
      <c r="BL1176" s="531">
        <f>BJ1176-BK1176</f>
        <v/>
      </c>
      <c r="BM1176" s="201" t="n"/>
    </row>
    <row r="1177" hidden="1" outlineLevel="1" ht="15.6" customHeight="1" s="191">
      <c r="A1177" s="275" t="n"/>
      <c r="B1177" s="260" t="n"/>
      <c r="C1177" s="261" t="n"/>
      <c r="D1177" s="276" t="n"/>
      <c r="E1177" s="277" t="n"/>
      <c r="F1177" s="538" t="n"/>
      <c r="P1177" s="626" t="n"/>
      <c r="Q1177" s="626" t="n"/>
      <c r="R1177" s="626" t="n"/>
      <c r="S1177" s="626" t="n"/>
      <c r="T1177" s="626" t="n"/>
      <c r="U1177" s="626" t="n"/>
      <c r="V1177" s="626" t="n"/>
      <c r="W1177" s="626" t="n"/>
      <c r="X1177" s="626" t="n"/>
      <c r="Y1177" s="369" t="n"/>
      <c r="Z1177" s="369" t="n"/>
      <c r="AA1177" s="369" t="n"/>
      <c r="AB1177" s="369" t="n"/>
      <c r="AC1177" s="370" t="n"/>
      <c r="AD1177" s="370" t="n"/>
      <c r="AE1177" s="370" t="n"/>
      <c r="AF1177" s="370" t="n"/>
      <c r="AG1177" s="626" t="n"/>
      <c r="AH1177" s="626" t="n"/>
      <c r="AI1177" s="626" t="n"/>
      <c r="AJ1177" s="626" t="n"/>
      <c r="AK1177" s="626" t="n"/>
      <c r="AL1177" s="626" t="n"/>
      <c r="AM1177" s="626" t="n"/>
      <c r="AN1177" s="626" t="n"/>
      <c r="AO1177" s="626" t="n"/>
      <c r="AP1177" s="369" t="n"/>
      <c r="AQ1177" s="369" t="n"/>
      <c r="AR1177" s="369" t="n"/>
      <c r="AS1177" s="369" t="n"/>
      <c r="AT1177" s="370" t="n"/>
      <c r="AU1177" s="370" t="n"/>
      <c r="AV1177" s="370" t="n"/>
      <c r="AW1177" s="370" t="n"/>
      <c r="BJ1177">
        <f>O1177</f>
        <v/>
      </c>
      <c r="BK1177">
        <f>SUM(AG1177:AW1177)</f>
        <v/>
      </c>
      <c r="BL1177" s="531">
        <f>BJ1177-BK1177</f>
        <v/>
      </c>
      <c r="BM1177" s="201" t="n"/>
    </row>
    <row r="1178" hidden="1" outlineLevel="1" ht="15.6" customHeight="1" s="191">
      <c r="A1178" s="275" t="n"/>
      <c r="B1178" s="260" t="n"/>
      <c r="C1178" s="261" t="n"/>
      <c r="D1178" s="276" t="n"/>
      <c r="E1178" s="277" t="n"/>
      <c r="F1178" s="538" t="n"/>
      <c r="P1178" s="626" t="n"/>
      <c r="Q1178" s="626" t="n"/>
      <c r="R1178" s="626" t="n"/>
      <c r="S1178" s="626" t="n"/>
      <c r="T1178" s="626" t="n"/>
      <c r="U1178" s="626" t="n"/>
      <c r="V1178" s="626" t="n"/>
      <c r="W1178" s="626" t="n"/>
      <c r="X1178" s="626" t="n"/>
      <c r="Y1178" s="369" t="n"/>
      <c r="Z1178" s="369" t="n"/>
      <c r="AA1178" s="369" t="n"/>
      <c r="AB1178" s="369" t="n"/>
      <c r="AC1178" s="370" t="n"/>
      <c r="AD1178" s="370" t="n"/>
      <c r="AE1178" s="370" t="n"/>
      <c r="AF1178" s="370" t="n"/>
      <c r="AG1178" s="626" t="n"/>
      <c r="AH1178" s="626" t="n"/>
      <c r="AI1178" s="626" t="n"/>
      <c r="AJ1178" s="626" t="n"/>
      <c r="AK1178" s="626" t="n"/>
      <c r="AL1178" s="626" t="n"/>
      <c r="AM1178" s="626" t="n"/>
      <c r="AN1178" s="626" t="n"/>
      <c r="AO1178" s="626" t="n"/>
      <c r="AP1178" s="369" t="n"/>
      <c r="AQ1178" s="369" t="n"/>
      <c r="AR1178" s="369" t="n"/>
      <c r="AS1178" s="369" t="n"/>
      <c r="AT1178" s="370" t="n"/>
      <c r="AU1178" s="370" t="n"/>
      <c r="AV1178" s="370" t="n"/>
      <c r="AW1178" s="370" t="n"/>
      <c r="BJ1178">
        <f>O1178</f>
        <v/>
      </c>
      <c r="BK1178">
        <f>SUM(AG1178:AW1178)</f>
        <v/>
      </c>
      <c r="BL1178" s="531">
        <f>BJ1178-BK1178</f>
        <v/>
      </c>
      <c r="BM1178" s="201" t="n"/>
    </row>
    <row r="1179" hidden="1" outlineLevel="1" ht="15.6" customHeight="1" s="191">
      <c r="A1179" s="275" t="n"/>
      <c r="B1179" s="260" t="n"/>
      <c r="C1179" s="261" t="n"/>
      <c r="D1179" s="276" t="n"/>
      <c r="E1179" s="277" t="n"/>
      <c r="F1179" s="538" t="n"/>
      <c r="P1179" s="626" t="n"/>
      <c r="Q1179" s="626" t="n"/>
      <c r="R1179" s="626" t="n"/>
      <c r="S1179" s="626" t="n"/>
      <c r="T1179" s="626" t="n"/>
      <c r="U1179" s="626" t="n"/>
      <c r="V1179" s="626" t="n"/>
      <c r="W1179" s="626" t="n"/>
      <c r="X1179" s="626" t="n"/>
      <c r="Y1179" s="369" t="n"/>
      <c r="Z1179" s="369" t="n"/>
      <c r="AA1179" s="369" t="n"/>
      <c r="AB1179" s="369" t="n"/>
      <c r="AC1179" s="370" t="n"/>
      <c r="AD1179" s="370" t="n"/>
      <c r="AE1179" s="370" t="n"/>
      <c r="AF1179" s="370" t="n"/>
      <c r="AG1179" s="626" t="n"/>
      <c r="AH1179" s="626" t="n"/>
      <c r="AI1179" s="626" t="n"/>
      <c r="AJ1179" s="626" t="n"/>
      <c r="AK1179" s="626" t="n"/>
      <c r="AL1179" s="626" t="n"/>
      <c r="AM1179" s="626" t="n"/>
      <c r="AN1179" s="626" t="n"/>
      <c r="AO1179" s="626" t="n"/>
      <c r="AP1179" s="369" t="n"/>
      <c r="AQ1179" s="369" t="n"/>
      <c r="AR1179" s="369" t="n"/>
      <c r="AS1179" s="369" t="n"/>
      <c r="AT1179" s="370" t="n"/>
      <c r="AU1179" s="370" t="n"/>
      <c r="AV1179" s="370" t="n"/>
      <c r="AW1179" s="370" t="n"/>
      <c r="BJ1179">
        <f>O1179</f>
        <v/>
      </c>
      <c r="BK1179">
        <f>SUM(AG1179:AW1179)</f>
        <v/>
      </c>
      <c r="BL1179" s="531">
        <f>BJ1179-BK1179</f>
        <v/>
      </c>
      <c r="BM1179" s="201" t="n"/>
    </row>
    <row r="1180" hidden="1" outlineLevel="1" ht="15.6" customHeight="1" s="191">
      <c r="A1180" s="275" t="n"/>
      <c r="B1180" s="260" t="n"/>
      <c r="C1180" s="261" t="n"/>
      <c r="D1180" s="276" t="n"/>
      <c r="E1180" s="277" t="n"/>
      <c r="F1180" s="538" t="n"/>
      <c r="P1180" s="626" t="n"/>
      <c r="Q1180" s="626" t="n"/>
      <c r="R1180" s="626" t="n"/>
      <c r="S1180" s="626" t="n"/>
      <c r="T1180" s="626" t="n"/>
      <c r="U1180" s="626" t="n"/>
      <c r="V1180" s="626" t="n"/>
      <c r="W1180" s="626" t="n"/>
      <c r="X1180" s="626" t="n"/>
      <c r="Y1180" s="369" t="n"/>
      <c r="Z1180" s="369" t="n"/>
      <c r="AA1180" s="369" t="n"/>
      <c r="AB1180" s="369" t="n"/>
      <c r="AC1180" s="370" t="n"/>
      <c r="AD1180" s="370" t="n"/>
      <c r="AE1180" s="370" t="n"/>
      <c r="AF1180" s="370" t="n"/>
      <c r="AG1180" s="626" t="n"/>
      <c r="AH1180" s="626" t="n"/>
      <c r="AI1180" s="626" t="n"/>
      <c r="AJ1180" s="626" t="n"/>
      <c r="AK1180" s="626" t="n"/>
      <c r="AL1180" s="626" t="n"/>
      <c r="AM1180" s="626" t="n"/>
      <c r="AN1180" s="626" t="n"/>
      <c r="AO1180" s="626" t="n"/>
      <c r="AP1180" s="369" t="n"/>
      <c r="AQ1180" s="369" t="n"/>
      <c r="AR1180" s="369" t="n"/>
      <c r="AS1180" s="369" t="n"/>
      <c r="AT1180" s="370" t="n"/>
      <c r="AU1180" s="370" t="n"/>
      <c r="AV1180" s="370" t="n"/>
      <c r="AW1180" s="370" t="n"/>
      <c r="BJ1180">
        <f>O1180</f>
        <v/>
      </c>
      <c r="BK1180">
        <f>SUM(AG1180:AW1180)</f>
        <v/>
      </c>
      <c r="BL1180" s="531">
        <f>BJ1180-BK1180</f>
        <v/>
      </c>
      <c r="BM1180" s="201" t="n"/>
    </row>
    <row r="1181" hidden="1" outlineLevel="1" ht="15.6" customHeight="1" s="191">
      <c r="A1181" s="275" t="n"/>
      <c r="B1181" s="260" t="n"/>
      <c r="C1181" s="261" t="n"/>
      <c r="D1181" s="276" t="n"/>
      <c r="E1181" s="277" t="n"/>
      <c r="F1181" s="538" t="n"/>
      <c r="P1181" s="626" t="n"/>
      <c r="Q1181" s="626" t="n"/>
      <c r="R1181" s="626" t="n"/>
      <c r="S1181" s="626" t="n"/>
      <c r="T1181" s="626" t="n"/>
      <c r="U1181" s="626" t="n"/>
      <c r="V1181" s="626" t="n"/>
      <c r="W1181" s="626" t="n"/>
      <c r="X1181" s="626" t="n"/>
      <c r="Y1181" s="369" t="n"/>
      <c r="Z1181" s="369" t="n"/>
      <c r="AA1181" s="369" t="n"/>
      <c r="AB1181" s="369" t="n"/>
      <c r="AC1181" s="370" t="n"/>
      <c r="AD1181" s="370" t="n"/>
      <c r="AE1181" s="370" t="n"/>
      <c r="AF1181" s="370" t="n"/>
      <c r="AG1181" s="626" t="n"/>
      <c r="AH1181" s="626" t="n"/>
      <c r="AI1181" s="626" t="n"/>
      <c r="AJ1181" s="626" t="n"/>
      <c r="AK1181" s="626" t="n"/>
      <c r="AL1181" s="626" t="n"/>
      <c r="AM1181" s="626" t="n"/>
      <c r="AN1181" s="626" t="n"/>
      <c r="AO1181" s="626" t="n"/>
      <c r="AP1181" s="369" t="n"/>
      <c r="AQ1181" s="369" t="n"/>
      <c r="AR1181" s="369" t="n"/>
      <c r="AS1181" s="369" t="n"/>
      <c r="AT1181" s="370" t="n"/>
      <c r="AU1181" s="370" t="n"/>
      <c r="AV1181" s="370" t="n"/>
      <c r="AW1181" s="370" t="n"/>
      <c r="BJ1181">
        <f>O1181</f>
        <v/>
      </c>
      <c r="BK1181">
        <f>SUM(AG1181:AW1181)</f>
        <v/>
      </c>
      <c r="BL1181" s="531">
        <f>BJ1181-BK1181</f>
        <v/>
      </c>
      <c r="BM1181" s="201" t="n"/>
    </row>
    <row r="1182" hidden="1" outlineLevel="1" ht="15.6" customHeight="1" s="191">
      <c r="A1182" s="275" t="n"/>
      <c r="B1182" s="260" t="n"/>
      <c r="C1182" s="261" t="n"/>
      <c r="D1182" s="276" t="n"/>
      <c r="E1182" s="277" t="n"/>
      <c r="F1182" s="538" t="n"/>
      <c r="P1182" s="626" t="n"/>
      <c r="Q1182" s="626" t="n"/>
      <c r="R1182" s="626" t="n"/>
      <c r="S1182" s="626" t="n"/>
      <c r="T1182" s="626" t="n"/>
      <c r="U1182" s="626" t="n"/>
      <c r="V1182" s="626" t="n"/>
      <c r="W1182" s="626" t="n"/>
      <c r="X1182" s="626" t="n"/>
      <c r="Y1182" s="369" t="n"/>
      <c r="Z1182" s="369" t="n"/>
      <c r="AA1182" s="369" t="n"/>
      <c r="AB1182" s="369" t="n"/>
      <c r="AC1182" s="370" t="n"/>
      <c r="AD1182" s="370" t="n"/>
      <c r="AE1182" s="370" t="n"/>
      <c r="AF1182" s="370" t="n"/>
      <c r="AG1182" s="626" t="n"/>
      <c r="AH1182" s="626" t="n"/>
      <c r="AI1182" s="626" t="n"/>
      <c r="AJ1182" s="626" t="n"/>
      <c r="AK1182" s="626" t="n"/>
      <c r="AL1182" s="626" t="n"/>
      <c r="AM1182" s="626" t="n"/>
      <c r="AN1182" s="626" t="n"/>
      <c r="AO1182" s="626" t="n"/>
      <c r="AP1182" s="369" t="n"/>
      <c r="AQ1182" s="369" t="n"/>
      <c r="AR1182" s="369" t="n"/>
      <c r="AS1182" s="369" t="n"/>
      <c r="AT1182" s="370" t="n"/>
      <c r="AU1182" s="370" t="n"/>
      <c r="AV1182" s="370" t="n"/>
      <c r="AW1182" s="370" t="n"/>
      <c r="BJ1182">
        <f>O1182</f>
        <v/>
      </c>
      <c r="BK1182">
        <f>SUM(AG1182:AW1182)</f>
        <v/>
      </c>
      <c r="BL1182" s="531">
        <f>BJ1182-BK1182</f>
        <v/>
      </c>
      <c r="BM1182" s="201" t="n"/>
    </row>
    <row r="1183" hidden="1" outlineLevel="1" ht="15.6" customHeight="1" s="191">
      <c r="A1183" s="275" t="n"/>
      <c r="B1183" s="260" t="n"/>
      <c r="C1183" s="261" t="n"/>
      <c r="D1183" s="276" t="n"/>
      <c r="E1183" s="277" t="n"/>
      <c r="F1183" s="538" t="n"/>
      <c r="P1183" s="626" t="n"/>
      <c r="Q1183" s="626" t="n"/>
      <c r="R1183" s="626" t="n"/>
      <c r="S1183" s="626" t="n"/>
      <c r="T1183" s="626" t="n"/>
      <c r="U1183" s="626" t="n"/>
      <c r="V1183" s="626" t="n"/>
      <c r="W1183" s="626" t="n"/>
      <c r="X1183" s="626" t="n"/>
      <c r="Y1183" s="369" t="n"/>
      <c r="Z1183" s="369" t="n"/>
      <c r="AA1183" s="369" t="n"/>
      <c r="AB1183" s="369" t="n"/>
      <c r="AC1183" s="370" t="n"/>
      <c r="AD1183" s="370" t="n"/>
      <c r="AE1183" s="370" t="n"/>
      <c r="AF1183" s="370" t="n"/>
      <c r="AG1183" s="626" t="n"/>
      <c r="AH1183" s="626" t="n"/>
      <c r="AI1183" s="626" t="n"/>
      <c r="AJ1183" s="626" t="n"/>
      <c r="AK1183" s="626" t="n"/>
      <c r="AL1183" s="626" t="n"/>
      <c r="AM1183" s="626" t="n"/>
      <c r="AN1183" s="626" t="n"/>
      <c r="AO1183" s="626" t="n"/>
      <c r="AP1183" s="369" t="n"/>
      <c r="AQ1183" s="369" t="n"/>
      <c r="AR1183" s="369" t="n"/>
      <c r="AS1183" s="369" t="n"/>
      <c r="AT1183" s="370" t="n"/>
      <c r="AU1183" s="370" t="n"/>
      <c r="AV1183" s="370" t="n"/>
      <c r="AW1183" s="370" t="n"/>
      <c r="BJ1183">
        <f>O1183</f>
        <v/>
      </c>
      <c r="BK1183">
        <f>SUM(AG1183:AW1183)</f>
        <v/>
      </c>
      <c r="BL1183" s="531">
        <f>BJ1183-BK1183</f>
        <v/>
      </c>
      <c r="BM1183" s="201" t="n"/>
    </row>
    <row r="1184" hidden="1" outlineLevel="1" ht="15.6" customHeight="1" s="191">
      <c r="A1184" s="275" t="n"/>
      <c r="B1184" s="260" t="n"/>
      <c r="C1184" s="261" t="n"/>
      <c r="D1184" s="276" t="n"/>
      <c r="E1184" s="277" t="n"/>
      <c r="F1184" s="538" t="n"/>
      <c r="P1184" s="626" t="n"/>
      <c r="Q1184" s="626" t="n"/>
      <c r="R1184" s="626" t="n"/>
      <c r="S1184" s="626" t="n"/>
      <c r="T1184" s="626" t="n"/>
      <c r="U1184" s="626" t="n"/>
      <c r="V1184" s="626" t="n"/>
      <c r="W1184" s="626" t="n"/>
      <c r="X1184" s="626" t="n"/>
      <c r="Y1184" s="369" t="n"/>
      <c r="Z1184" s="369" t="n"/>
      <c r="AA1184" s="369" t="n"/>
      <c r="AB1184" s="369" t="n"/>
      <c r="AC1184" s="370" t="n"/>
      <c r="AD1184" s="370" t="n"/>
      <c r="AE1184" s="370" t="n"/>
      <c r="AF1184" s="370" t="n"/>
      <c r="AG1184" s="626" t="n"/>
      <c r="AH1184" s="626" t="n"/>
      <c r="AI1184" s="626" t="n"/>
      <c r="AJ1184" s="626" t="n"/>
      <c r="AK1184" s="626" t="n"/>
      <c r="AL1184" s="626" t="n"/>
      <c r="AM1184" s="626" t="n"/>
      <c r="AN1184" s="626" t="n"/>
      <c r="AO1184" s="626" t="n"/>
      <c r="AP1184" s="369" t="n"/>
      <c r="AQ1184" s="369" t="n"/>
      <c r="AR1184" s="369" t="n"/>
      <c r="AS1184" s="369" t="n"/>
      <c r="AT1184" s="370" t="n"/>
      <c r="AU1184" s="370" t="n"/>
      <c r="AV1184" s="370" t="n"/>
      <c r="AW1184" s="370" t="n"/>
      <c r="BJ1184">
        <f>O1184</f>
        <v/>
      </c>
      <c r="BK1184">
        <f>SUM(AG1184:AW1184)</f>
        <v/>
      </c>
      <c r="BL1184" s="531">
        <f>BJ1184-BK1184</f>
        <v/>
      </c>
      <c r="BM1184" s="201" t="n"/>
    </row>
    <row r="1185" hidden="1" outlineLevel="1" ht="15.6" customHeight="1" s="191">
      <c r="A1185" s="275" t="n"/>
      <c r="B1185" s="260" t="n"/>
      <c r="C1185" s="261" t="n"/>
      <c r="D1185" s="276" t="n"/>
      <c r="E1185" s="277" t="n"/>
      <c r="F1185" s="538" t="n"/>
      <c r="P1185" s="626" t="n"/>
      <c r="Q1185" s="626" t="n"/>
      <c r="R1185" s="626" t="n"/>
      <c r="S1185" s="626" t="n"/>
      <c r="T1185" s="626" t="n"/>
      <c r="U1185" s="626" t="n"/>
      <c r="V1185" s="626" t="n"/>
      <c r="W1185" s="626" t="n"/>
      <c r="X1185" s="626" t="n"/>
      <c r="Y1185" s="369" t="n"/>
      <c r="Z1185" s="369" t="n"/>
      <c r="AA1185" s="369" t="n"/>
      <c r="AB1185" s="369" t="n"/>
      <c r="AC1185" s="370" t="n"/>
      <c r="AD1185" s="370" t="n"/>
      <c r="AE1185" s="370" t="n"/>
      <c r="AF1185" s="370" t="n"/>
      <c r="AG1185" s="626" t="n"/>
      <c r="AH1185" s="626" t="n"/>
      <c r="AI1185" s="626" t="n"/>
      <c r="AJ1185" s="626" t="n"/>
      <c r="AK1185" s="626" t="n"/>
      <c r="AL1185" s="626" t="n"/>
      <c r="AM1185" s="626" t="n"/>
      <c r="AN1185" s="626" t="n"/>
      <c r="AO1185" s="626" t="n"/>
      <c r="AP1185" s="369" t="n"/>
      <c r="AQ1185" s="369" t="n"/>
      <c r="AR1185" s="369" t="n"/>
      <c r="AS1185" s="369" t="n"/>
      <c r="AT1185" s="370" t="n"/>
      <c r="AU1185" s="370" t="n"/>
      <c r="AV1185" s="370" t="n"/>
      <c r="AW1185" s="370" t="n"/>
      <c r="BJ1185">
        <f>O1185</f>
        <v/>
      </c>
      <c r="BK1185">
        <f>SUM(AG1185:AW1185)</f>
        <v/>
      </c>
      <c r="BL1185" s="531">
        <f>BJ1185-BK1185</f>
        <v/>
      </c>
      <c r="BM1185" s="201" t="n"/>
    </row>
    <row r="1186" hidden="1" outlineLevel="1" ht="15.6" customHeight="1" s="191">
      <c r="A1186" s="275" t="n"/>
      <c r="B1186" s="260" t="n"/>
      <c r="C1186" s="261" t="n"/>
      <c r="D1186" s="276" t="n"/>
      <c r="E1186" s="277" t="n"/>
      <c r="F1186" s="538" t="n"/>
      <c r="P1186" s="626" t="n"/>
      <c r="Q1186" s="626" t="n"/>
      <c r="R1186" s="626" t="n"/>
      <c r="S1186" s="626" t="n"/>
      <c r="T1186" s="626" t="n"/>
      <c r="U1186" s="626" t="n"/>
      <c r="V1186" s="626" t="n"/>
      <c r="W1186" s="626" t="n"/>
      <c r="X1186" s="626" t="n"/>
      <c r="Y1186" s="369" t="n"/>
      <c r="Z1186" s="369" t="n"/>
      <c r="AA1186" s="369" t="n"/>
      <c r="AB1186" s="369" t="n"/>
      <c r="AC1186" s="370" t="n"/>
      <c r="AD1186" s="370" t="n"/>
      <c r="AE1186" s="370" t="n"/>
      <c r="AF1186" s="370" t="n"/>
      <c r="AG1186" s="626" t="n"/>
      <c r="AH1186" s="626" t="n"/>
      <c r="AI1186" s="626" t="n"/>
      <c r="AJ1186" s="626" t="n"/>
      <c r="AK1186" s="626" t="n"/>
      <c r="AL1186" s="626" t="n"/>
      <c r="AM1186" s="626" t="n"/>
      <c r="AN1186" s="626" t="n"/>
      <c r="AO1186" s="626" t="n"/>
      <c r="AP1186" s="369" t="n"/>
      <c r="AQ1186" s="369" t="n"/>
      <c r="AR1186" s="369" t="n"/>
      <c r="AS1186" s="369" t="n"/>
      <c r="AT1186" s="370" t="n"/>
      <c r="AU1186" s="370" t="n"/>
      <c r="AV1186" s="370" t="n"/>
      <c r="AW1186" s="370" t="n"/>
      <c r="BJ1186">
        <f>O1186</f>
        <v/>
      </c>
      <c r="BK1186">
        <f>SUM(AG1186:AW1186)</f>
        <v/>
      </c>
      <c r="BL1186" s="531">
        <f>BJ1186-BK1186</f>
        <v/>
      </c>
      <c r="BM1186" s="201" t="n"/>
    </row>
    <row r="1187" hidden="1" outlineLevel="1" ht="15.6" customHeight="1" s="191">
      <c r="A1187" s="275" t="n"/>
      <c r="B1187" s="260" t="n"/>
      <c r="C1187" s="261" t="n"/>
      <c r="D1187" s="276" t="n"/>
      <c r="E1187" s="277" t="n"/>
      <c r="F1187" s="538" t="n"/>
      <c r="P1187" s="626" t="n"/>
      <c r="Q1187" s="626" t="n"/>
      <c r="R1187" s="626" t="n"/>
      <c r="S1187" s="626" t="n"/>
      <c r="T1187" s="626" t="n"/>
      <c r="U1187" s="626" t="n"/>
      <c r="V1187" s="626" t="n"/>
      <c r="W1187" s="626" t="n"/>
      <c r="X1187" s="626" t="n"/>
      <c r="Y1187" s="369" t="n"/>
      <c r="Z1187" s="369" t="n"/>
      <c r="AA1187" s="369" t="n"/>
      <c r="AB1187" s="369" t="n"/>
      <c r="AC1187" s="370" t="n"/>
      <c r="AD1187" s="370" t="n"/>
      <c r="AE1187" s="370" t="n"/>
      <c r="AF1187" s="370" t="n"/>
      <c r="AG1187" s="626" t="n"/>
      <c r="AH1187" s="626" t="n"/>
      <c r="AI1187" s="626" t="n"/>
      <c r="AJ1187" s="626" t="n"/>
      <c r="AK1187" s="626" t="n"/>
      <c r="AL1187" s="626" t="n"/>
      <c r="AM1187" s="626" t="n"/>
      <c r="AN1187" s="626" t="n"/>
      <c r="AO1187" s="626" t="n"/>
      <c r="AP1187" s="369" t="n"/>
      <c r="AQ1187" s="369" t="n"/>
      <c r="AR1187" s="369" t="n"/>
      <c r="AS1187" s="369" t="n"/>
      <c r="AT1187" s="370" t="n"/>
      <c r="AU1187" s="370" t="n"/>
      <c r="AV1187" s="370" t="n"/>
      <c r="AW1187" s="370" t="n"/>
      <c r="BJ1187">
        <f>O1187</f>
        <v/>
      </c>
      <c r="BK1187">
        <f>SUM(AG1187:AW1187)</f>
        <v/>
      </c>
      <c r="BL1187" s="531">
        <f>BJ1187-BK1187</f>
        <v/>
      </c>
      <c r="BM1187" s="201" t="n"/>
    </row>
    <row r="1188" hidden="1" outlineLevel="1" ht="15.6" customHeight="1" s="191">
      <c r="A1188" s="275" t="n"/>
      <c r="B1188" s="260" t="n"/>
      <c r="C1188" s="261" t="n"/>
      <c r="D1188" s="276" t="n"/>
      <c r="E1188" s="277" t="n"/>
      <c r="F1188" s="538" t="n"/>
      <c r="P1188" s="626" t="n"/>
      <c r="Q1188" s="626" t="n"/>
      <c r="R1188" s="626" t="n"/>
      <c r="S1188" s="626" t="n"/>
      <c r="T1188" s="626" t="n"/>
      <c r="U1188" s="626" t="n"/>
      <c r="V1188" s="626" t="n"/>
      <c r="W1188" s="626" t="n"/>
      <c r="X1188" s="626" t="n"/>
      <c r="Y1188" s="369" t="n"/>
      <c r="Z1188" s="369" t="n"/>
      <c r="AA1188" s="369" t="n"/>
      <c r="AB1188" s="369" t="n"/>
      <c r="AC1188" s="370" t="n"/>
      <c r="AD1188" s="370" t="n"/>
      <c r="AE1188" s="370" t="n"/>
      <c r="AF1188" s="370" t="n"/>
      <c r="AG1188" s="626" t="n"/>
      <c r="AH1188" s="626" t="n"/>
      <c r="AI1188" s="626" t="n"/>
      <c r="AJ1188" s="626" t="n"/>
      <c r="AK1188" s="626" t="n"/>
      <c r="AL1188" s="626" t="n"/>
      <c r="AM1188" s="626" t="n"/>
      <c r="AN1188" s="626" t="n"/>
      <c r="AO1188" s="626" t="n"/>
      <c r="AP1188" s="369" t="n"/>
      <c r="AQ1188" s="369" t="n"/>
      <c r="AR1188" s="369" t="n"/>
      <c r="AS1188" s="369" t="n"/>
      <c r="AT1188" s="370" t="n"/>
      <c r="AU1188" s="370" t="n"/>
      <c r="AV1188" s="370" t="n"/>
      <c r="AW1188" s="370" t="n"/>
      <c r="BJ1188">
        <f>O1188</f>
        <v/>
      </c>
      <c r="BK1188">
        <f>SUM(AG1188:AW1188)</f>
        <v/>
      </c>
      <c r="BL1188" s="531">
        <f>BJ1188-BK1188</f>
        <v/>
      </c>
      <c r="BM1188" s="201" t="n"/>
    </row>
    <row r="1189" hidden="1" outlineLevel="1" ht="15.6" customHeight="1" s="191">
      <c r="A1189" s="275" t="n"/>
      <c r="B1189" s="260" t="n"/>
      <c r="C1189" s="261" t="n"/>
      <c r="D1189" s="276" t="n"/>
      <c r="E1189" s="277" t="n"/>
      <c r="F1189" s="538" t="n"/>
      <c r="P1189" s="626" t="n"/>
      <c r="Q1189" s="626" t="n"/>
      <c r="R1189" s="626" t="n"/>
      <c r="S1189" s="626" t="n"/>
      <c r="T1189" s="626" t="n"/>
      <c r="U1189" s="626" t="n"/>
      <c r="V1189" s="626" t="n"/>
      <c r="W1189" s="626" t="n"/>
      <c r="X1189" s="626" t="n"/>
      <c r="Y1189" s="369" t="n"/>
      <c r="Z1189" s="369" t="n"/>
      <c r="AA1189" s="369" t="n"/>
      <c r="AB1189" s="369" t="n"/>
      <c r="AC1189" s="370" t="n"/>
      <c r="AD1189" s="370" t="n"/>
      <c r="AE1189" s="370" t="n"/>
      <c r="AF1189" s="370" t="n"/>
      <c r="AG1189" s="626" t="n"/>
      <c r="AH1189" s="626" t="n"/>
      <c r="AI1189" s="626" t="n"/>
      <c r="AJ1189" s="626" t="n"/>
      <c r="AK1189" s="626" t="n"/>
      <c r="AL1189" s="626" t="n"/>
      <c r="AM1189" s="626" t="n"/>
      <c r="AN1189" s="626" t="n"/>
      <c r="AO1189" s="626" t="n"/>
      <c r="AP1189" s="369" t="n"/>
      <c r="AQ1189" s="369" t="n"/>
      <c r="AR1189" s="369" t="n"/>
      <c r="AS1189" s="369" t="n"/>
      <c r="AT1189" s="370" t="n"/>
      <c r="AU1189" s="370" t="n"/>
      <c r="AV1189" s="370" t="n"/>
      <c r="AW1189" s="370" t="n"/>
      <c r="BJ1189">
        <f>O1189</f>
        <v/>
      </c>
      <c r="BK1189">
        <f>SUM(AG1189:AW1189)</f>
        <v/>
      </c>
      <c r="BL1189" s="531">
        <f>BJ1189-BK1189</f>
        <v/>
      </c>
      <c r="BM1189" s="201" t="n"/>
    </row>
    <row r="1190" hidden="1" outlineLevel="1" ht="15.6" customHeight="1" s="191">
      <c r="A1190" s="275" t="n"/>
      <c r="B1190" s="260" t="n"/>
      <c r="C1190" s="261" t="n"/>
      <c r="D1190" s="276" t="n"/>
      <c r="E1190" s="277" t="n"/>
      <c r="F1190" s="538" t="n"/>
      <c r="P1190" s="626" t="n"/>
      <c r="Q1190" s="626" t="n"/>
      <c r="R1190" s="626" t="n"/>
      <c r="S1190" s="626" t="n"/>
      <c r="T1190" s="626" t="n"/>
      <c r="U1190" s="626" t="n"/>
      <c r="V1190" s="626" t="n"/>
      <c r="W1190" s="626" t="n"/>
      <c r="X1190" s="626" t="n"/>
      <c r="Y1190" s="369" t="n"/>
      <c r="Z1190" s="369" t="n"/>
      <c r="AA1190" s="369" t="n"/>
      <c r="AB1190" s="369" t="n"/>
      <c r="AC1190" s="370" t="n"/>
      <c r="AD1190" s="370" t="n"/>
      <c r="AE1190" s="370" t="n"/>
      <c r="AF1190" s="370" t="n"/>
      <c r="AG1190" s="626" t="n"/>
      <c r="AH1190" s="626" t="n"/>
      <c r="AI1190" s="626" t="n"/>
      <c r="AJ1190" s="626" t="n"/>
      <c r="AK1190" s="626" t="n"/>
      <c r="AL1190" s="626" t="n"/>
      <c r="AM1190" s="626" t="n"/>
      <c r="AN1190" s="626" t="n"/>
      <c r="AO1190" s="626" t="n"/>
      <c r="AP1190" s="369" t="n"/>
      <c r="AQ1190" s="369" t="n"/>
      <c r="AR1190" s="369" t="n"/>
      <c r="AS1190" s="369" t="n"/>
      <c r="AT1190" s="370" t="n"/>
      <c r="AU1190" s="370" t="n"/>
      <c r="AV1190" s="370" t="n"/>
      <c r="AW1190" s="370" t="n"/>
      <c r="BJ1190">
        <f>O1190</f>
        <v/>
      </c>
      <c r="BK1190">
        <f>SUM(AG1190:AW1190)</f>
        <v/>
      </c>
      <c r="BL1190" s="531">
        <f>BJ1190-BK1190</f>
        <v/>
      </c>
      <c r="BM1190" s="201" t="n"/>
    </row>
    <row r="1191" hidden="1" outlineLevel="1" ht="15.6" customHeight="1" s="191">
      <c r="A1191" s="275" t="n"/>
      <c r="B1191" s="260" t="n"/>
      <c r="C1191" s="261" t="n"/>
      <c r="D1191" s="276" t="n"/>
      <c r="E1191" s="277" t="n"/>
      <c r="F1191" s="538" t="n"/>
      <c r="P1191" s="626" t="n"/>
      <c r="Q1191" s="626" t="n"/>
      <c r="R1191" s="626" t="n"/>
      <c r="S1191" s="626" t="n"/>
      <c r="T1191" s="626" t="n"/>
      <c r="U1191" s="626" t="n"/>
      <c r="V1191" s="626" t="n"/>
      <c r="W1191" s="626" t="n"/>
      <c r="X1191" s="626" t="n"/>
      <c r="Y1191" s="369" t="n"/>
      <c r="Z1191" s="369" t="n"/>
      <c r="AA1191" s="369" t="n"/>
      <c r="AB1191" s="369" t="n"/>
      <c r="AC1191" s="370" t="n"/>
      <c r="AD1191" s="370" t="n"/>
      <c r="AE1191" s="370" t="n"/>
      <c r="AF1191" s="370" t="n"/>
      <c r="AG1191" s="626" t="n"/>
      <c r="AH1191" s="626" t="n"/>
      <c r="AI1191" s="626" t="n"/>
      <c r="AJ1191" s="626" t="n"/>
      <c r="AK1191" s="626" t="n"/>
      <c r="AL1191" s="626" t="n"/>
      <c r="AM1191" s="626" t="n"/>
      <c r="AN1191" s="626" t="n"/>
      <c r="AO1191" s="626" t="n"/>
      <c r="AP1191" s="369" t="n"/>
      <c r="AQ1191" s="369" t="n"/>
      <c r="AR1191" s="369" t="n"/>
      <c r="AS1191" s="369" t="n"/>
      <c r="AT1191" s="370" t="n"/>
      <c r="AU1191" s="370" t="n"/>
      <c r="AV1191" s="370" t="n"/>
      <c r="AW1191" s="370" t="n"/>
      <c r="BJ1191">
        <f>O1191</f>
        <v/>
      </c>
      <c r="BK1191">
        <f>SUM(AG1191:AW1191)</f>
        <v/>
      </c>
      <c r="BL1191" s="531">
        <f>BJ1191-BK1191</f>
        <v/>
      </c>
      <c r="BM1191" s="201" t="n"/>
    </row>
    <row r="1192" hidden="1" outlineLevel="1" ht="15.6" customHeight="1" s="191">
      <c r="A1192" s="275" t="n"/>
      <c r="B1192" s="260" t="n"/>
      <c r="C1192" s="261" t="n"/>
      <c r="D1192" s="276" t="n"/>
      <c r="E1192" s="277" t="n"/>
      <c r="F1192" s="538" t="n"/>
      <c r="P1192" s="626" t="n"/>
      <c r="Q1192" s="626" t="n"/>
      <c r="R1192" s="626" t="n"/>
      <c r="S1192" s="626" t="n"/>
      <c r="T1192" s="626" t="n"/>
      <c r="U1192" s="626" t="n"/>
      <c r="V1192" s="626" t="n"/>
      <c r="W1192" s="626" t="n"/>
      <c r="X1192" s="626" t="n"/>
      <c r="Y1192" s="369" t="n"/>
      <c r="Z1192" s="369" t="n"/>
      <c r="AA1192" s="369" t="n"/>
      <c r="AB1192" s="369" t="n"/>
      <c r="AC1192" s="370" t="n"/>
      <c r="AD1192" s="370" t="n"/>
      <c r="AE1192" s="370" t="n"/>
      <c r="AF1192" s="370" t="n"/>
      <c r="AG1192" s="626" t="n"/>
      <c r="AH1192" s="626" t="n"/>
      <c r="AI1192" s="626" t="n"/>
      <c r="AJ1192" s="626" t="n"/>
      <c r="AK1192" s="626" t="n"/>
      <c r="AL1192" s="626" t="n"/>
      <c r="AM1192" s="626" t="n"/>
      <c r="AN1192" s="626" t="n"/>
      <c r="AO1192" s="626" t="n"/>
      <c r="AP1192" s="369" t="n"/>
      <c r="AQ1192" s="369" t="n"/>
      <c r="AR1192" s="369" t="n"/>
      <c r="AS1192" s="369" t="n"/>
      <c r="AT1192" s="370" t="n"/>
      <c r="AU1192" s="370" t="n"/>
      <c r="AV1192" s="370" t="n"/>
      <c r="AW1192" s="370" t="n"/>
      <c r="BJ1192">
        <f>O1192</f>
        <v/>
      </c>
      <c r="BK1192">
        <f>SUM(AG1192:AW1192)</f>
        <v/>
      </c>
      <c r="BL1192" s="531">
        <f>BJ1192-BK1192</f>
        <v/>
      </c>
      <c r="BM1192" s="201" t="n"/>
    </row>
    <row r="1193" hidden="1" outlineLevel="1" ht="15.6" customHeight="1" s="191">
      <c r="A1193" s="275" t="n"/>
      <c r="B1193" s="260" t="n"/>
      <c r="C1193" s="261" t="n"/>
      <c r="D1193" s="276" t="n"/>
      <c r="E1193" s="277" t="n"/>
      <c r="F1193" s="538" t="n"/>
      <c r="P1193" s="626" t="n"/>
      <c r="Q1193" s="626" t="n"/>
      <c r="R1193" s="626" t="n"/>
      <c r="S1193" s="626" t="n"/>
      <c r="T1193" s="626" t="n"/>
      <c r="U1193" s="626" t="n"/>
      <c r="V1193" s="626" t="n"/>
      <c r="W1193" s="626" t="n"/>
      <c r="X1193" s="626" t="n"/>
      <c r="Y1193" s="369" t="n"/>
      <c r="Z1193" s="369" t="n"/>
      <c r="AA1193" s="369" t="n"/>
      <c r="AB1193" s="369" t="n"/>
      <c r="AC1193" s="370" t="n"/>
      <c r="AD1193" s="370" t="n"/>
      <c r="AE1193" s="370" t="n"/>
      <c r="AF1193" s="370" t="n"/>
      <c r="AG1193" s="626" t="n"/>
      <c r="AH1193" s="626" t="n"/>
      <c r="AI1193" s="626" t="n"/>
      <c r="AJ1193" s="626" t="n"/>
      <c r="AK1193" s="626" t="n"/>
      <c r="AL1193" s="626" t="n"/>
      <c r="AM1193" s="626" t="n"/>
      <c r="AN1193" s="626" t="n"/>
      <c r="AO1193" s="626" t="n"/>
      <c r="AP1193" s="369" t="n"/>
      <c r="AQ1193" s="369" t="n"/>
      <c r="AR1193" s="369" t="n"/>
      <c r="AS1193" s="369" t="n"/>
      <c r="AT1193" s="370" t="n"/>
      <c r="AU1193" s="370" t="n"/>
      <c r="AV1193" s="370" t="n"/>
      <c r="AW1193" s="370" t="n"/>
      <c r="BJ1193">
        <f>O1193</f>
        <v/>
      </c>
      <c r="BK1193">
        <f>SUM(AG1193:AW1193)</f>
        <v/>
      </c>
      <c r="BL1193" s="531">
        <f>BJ1193-BK1193</f>
        <v/>
      </c>
      <c r="BM1193" s="201" t="n"/>
    </row>
    <row r="1194" hidden="1" outlineLevel="1" ht="15.6" customHeight="1" s="191">
      <c r="A1194" s="275" t="n"/>
      <c r="B1194" s="260" t="n"/>
      <c r="C1194" s="261" t="n"/>
      <c r="D1194" s="276" t="n"/>
      <c r="E1194" s="277" t="n"/>
      <c r="F1194" s="538" t="n"/>
      <c r="P1194" s="626" t="n"/>
      <c r="Q1194" s="626" t="n"/>
      <c r="R1194" s="626" t="n"/>
      <c r="S1194" s="626" t="n"/>
      <c r="T1194" s="626" t="n"/>
      <c r="U1194" s="626" t="n"/>
      <c r="V1194" s="626" t="n"/>
      <c r="W1194" s="626" t="n"/>
      <c r="X1194" s="626" t="n"/>
      <c r="Y1194" s="369" t="n"/>
      <c r="Z1194" s="369" t="n"/>
      <c r="AA1194" s="369" t="n"/>
      <c r="AB1194" s="369" t="n"/>
      <c r="AC1194" s="370" t="n"/>
      <c r="AD1194" s="370" t="n"/>
      <c r="AE1194" s="370" t="n"/>
      <c r="AF1194" s="370" t="n"/>
      <c r="AG1194" s="626" t="n"/>
      <c r="AH1194" s="626" t="n"/>
      <c r="AI1194" s="626" t="n"/>
      <c r="AJ1194" s="626" t="n"/>
      <c r="AK1194" s="626" t="n"/>
      <c r="AL1194" s="626" t="n"/>
      <c r="AM1194" s="626" t="n"/>
      <c r="AN1194" s="626" t="n"/>
      <c r="AO1194" s="626" t="n"/>
      <c r="AP1194" s="369" t="n"/>
      <c r="AQ1194" s="369" t="n"/>
      <c r="AR1194" s="369" t="n"/>
      <c r="AS1194" s="369" t="n"/>
      <c r="AT1194" s="370" t="n"/>
      <c r="AU1194" s="370" t="n"/>
      <c r="AV1194" s="370" t="n"/>
      <c r="AW1194" s="370" t="n"/>
      <c r="BJ1194">
        <f>O1194</f>
        <v/>
      </c>
      <c r="BK1194">
        <f>SUM(AG1194:AW1194)</f>
        <v/>
      </c>
      <c r="BL1194" s="531">
        <f>BJ1194-BK1194</f>
        <v/>
      </c>
      <c r="BM1194" s="201" t="n"/>
    </row>
    <row r="1195" hidden="1" outlineLevel="1" s="191">
      <c r="P1195" s="626" t="n"/>
      <c r="Q1195" s="626" t="n"/>
      <c r="R1195" s="626" t="n"/>
      <c r="S1195" s="626" t="n"/>
      <c r="T1195" s="626" t="n"/>
      <c r="U1195" s="626" t="n"/>
      <c r="V1195" s="626" t="n"/>
      <c r="W1195" s="626" t="n"/>
      <c r="X1195" s="626" t="n"/>
      <c r="Y1195" s="369" t="n"/>
      <c r="Z1195" s="369" t="n"/>
      <c r="AA1195" s="369" t="n"/>
      <c r="AB1195" s="369" t="n"/>
      <c r="AC1195" s="370" t="n"/>
      <c r="AD1195" s="370" t="n"/>
      <c r="AE1195" s="370" t="n"/>
      <c r="AF1195" s="370" t="n"/>
      <c r="AG1195" s="626" t="n"/>
      <c r="AH1195" s="626" t="n"/>
      <c r="AI1195" s="626" t="n"/>
      <c r="AJ1195" s="626" t="n"/>
      <c r="AK1195" s="626" t="n"/>
      <c r="AL1195" s="626" t="n"/>
      <c r="AM1195" s="626" t="n"/>
      <c r="AN1195" s="626" t="n"/>
      <c r="AO1195" s="626" t="n"/>
      <c r="AP1195" s="369" t="n"/>
      <c r="AQ1195" s="369" t="n"/>
      <c r="AR1195" s="369" t="n"/>
      <c r="AS1195" s="369" t="n"/>
      <c r="AT1195" s="370" t="n"/>
      <c r="AU1195" s="370" t="n"/>
      <c r="AV1195" s="370" t="n"/>
      <c r="AW1195" s="370" t="n"/>
      <c r="BJ1195">
        <f>O1195</f>
        <v/>
      </c>
      <c r="BK1195">
        <f>SUM(AG1195:AW1195)</f>
        <v/>
      </c>
      <c r="BL1195" s="531">
        <f>BJ1195-BK1195</f>
        <v/>
      </c>
      <c r="BM1195" s="201" t="n"/>
    </row>
    <row r="1196" hidden="1" outlineLevel="1" s="191">
      <c r="P1196" s="626" t="n"/>
      <c r="Q1196" s="626" t="n"/>
      <c r="R1196" s="626" t="n"/>
      <c r="S1196" s="626" t="n"/>
      <c r="T1196" s="626" t="n"/>
      <c r="U1196" s="626" t="n"/>
      <c r="V1196" s="626" t="n"/>
      <c r="W1196" s="626" t="n"/>
      <c r="X1196" s="626" t="n"/>
      <c r="Y1196" s="369" t="n"/>
      <c r="Z1196" s="369" t="n"/>
      <c r="AA1196" s="369" t="n"/>
      <c r="AB1196" s="369" t="n"/>
      <c r="AC1196" s="370" t="n"/>
      <c r="AD1196" s="370" t="n"/>
      <c r="AE1196" s="370" t="n"/>
      <c r="AF1196" s="370" t="n"/>
      <c r="AG1196" s="626" t="n"/>
      <c r="AH1196" s="626" t="n"/>
      <c r="AI1196" s="626" t="n"/>
      <c r="AJ1196" s="626" t="n"/>
      <c r="AK1196" s="626" t="n"/>
      <c r="AL1196" s="626" t="n"/>
      <c r="AM1196" s="626" t="n"/>
      <c r="AN1196" s="626" t="n"/>
      <c r="AO1196" s="626" t="n"/>
      <c r="AP1196" s="369" t="n"/>
      <c r="AQ1196" s="369" t="n"/>
      <c r="AR1196" s="369" t="n"/>
      <c r="AS1196" s="369" t="n"/>
      <c r="AT1196" s="370" t="n"/>
      <c r="AU1196" s="370" t="n"/>
      <c r="AV1196" s="370" t="n"/>
      <c r="AW1196" s="370" t="n"/>
      <c r="BJ1196">
        <f>O1196</f>
        <v/>
      </c>
      <c r="BK1196">
        <f>SUM(AG1196:AW1196)</f>
        <v/>
      </c>
      <c r="BL1196" s="531">
        <f>BJ1196-BK1196</f>
        <v/>
      </c>
      <c r="BM1196" s="201" t="n"/>
    </row>
    <row r="1197" hidden="1" outlineLevel="1" s="191">
      <c r="P1197" s="626" t="n"/>
      <c r="Q1197" s="626" t="n"/>
      <c r="R1197" s="626" t="n"/>
      <c r="S1197" s="626" t="n"/>
      <c r="T1197" s="626" t="n"/>
      <c r="U1197" s="626" t="n"/>
      <c r="V1197" s="626" t="n"/>
      <c r="W1197" s="626" t="n"/>
      <c r="X1197" s="626" t="n"/>
      <c r="Y1197" s="369" t="n"/>
      <c r="Z1197" s="369" t="n"/>
      <c r="AA1197" s="369" t="n"/>
      <c r="AB1197" s="369" t="n"/>
      <c r="AC1197" s="370" t="n"/>
      <c r="AD1197" s="370" t="n"/>
      <c r="AE1197" s="370" t="n"/>
      <c r="AF1197" s="370" t="n"/>
      <c r="AG1197" s="626" t="n"/>
      <c r="AH1197" s="626" t="n"/>
      <c r="AI1197" s="626" t="n"/>
      <c r="AJ1197" s="626" t="n"/>
      <c r="AK1197" s="626" t="n"/>
      <c r="AL1197" s="626" t="n"/>
      <c r="AM1197" s="626" t="n"/>
      <c r="AN1197" s="626" t="n"/>
      <c r="AO1197" s="626" t="n"/>
      <c r="AP1197" s="369" t="n"/>
      <c r="AQ1197" s="369" t="n"/>
      <c r="AR1197" s="369" t="n"/>
      <c r="AS1197" s="369" t="n"/>
      <c r="AT1197" s="370" t="n"/>
      <c r="AU1197" s="370" t="n"/>
      <c r="AV1197" s="370" t="n"/>
      <c r="AW1197" s="370" t="n"/>
      <c r="BJ1197">
        <f>O1197</f>
        <v/>
      </c>
      <c r="BK1197">
        <f>SUM(AG1197:AW1197)</f>
        <v/>
      </c>
      <c r="BL1197" s="531">
        <f>BJ1197-BK1197</f>
        <v/>
      </c>
      <c r="BM1197" s="201" t="n"/>
    </row>
    <row r="1198" hidden="1" outlineLevel="1" s="191">
      <c r="A1198" s="264">
        <f>A1100</f>
        <v/>
      </c>
      <c r="P1198" s="626" t="n"/>
      <c r="Q1198" s="626" t="n"/>
      <c r="R1198" s="626" t="n"/>
      <c r="S1198" s="626" t="n"/>
      <c r="T1198" s="626" t="n"/>
      <c r="U1198" s="626" t="n"/>
      <c r="V1198" s="626" t="n"/>
      <c r="W1198" s="626" t="n"/>
      <c r="X1198" s="626" t="n"/>
      <c r="Y1198" s="369" t="n"/>
      <c r="Z1198" s="369" t="n"/>
      <c r="AA1198" s="369" t="n"/>
      <c r="AB1198" s="369" t="n"/>
      <c r="AC1198" s="370" t="n"/>
      <c r="AD1198" s="370" t="n"/>
      <c r="AE1198" s="370" t="n"/>
      <c r="AF1198" s="370" t="n"/>
      <c r="AG1198" s="626" t="n"/>
      <c r="AH1198" s="626" t="n"/>
      <c r="AI1198" s="626" t="n"/>
      <c r="AJ1198" s="626" t="n"/>
      <c r="AK1198" s="626" t="n"/>
      <c r="AL1198" s="626" t="n"/>
      <c r="AM1198" s="626" t="n"/>
      <c r="AN1198" s="626" t="n"/>
      <c r="AO1198" s="626" t="n"/>
      <c r="AP1198" s="369" t="n"/>
      <c r="AQ1198" s="369" t="n"/>
      <c r="AR1198" s="369" t="n"/>
      <c r="AS1198" s="369" t="n"/>
      <c r="AT1198" s="370" t="n"/>
      <c r="AU1198" s="370" t="n"/>
      <c r="AV1198" s="370" t="n"/>
      <c r="AW1198" s="370" t="n"/>
      <c r="BJ1198">
        <f>O1198</f>
        <v/>
      </c>
      <c r="BK1198">
        <f>SUM(AG1198:AW1198)</f>
        <v/>
      </c>
      <c r="BL1198" s="531">
        <f>BJ1198-BK1198</f>
        <v/>
      </c>
      <c r="BM1198" s="201" t="n"/>
    </row>
    <row r="1199" collapsed="1" s="191">
      <c r="P1199" s="626" t="n"/>
      <c r="Q1199" s="626" t="n"/>
      <c r="R1199" s="626" t="n"/>
      <c r="S1199" s="626" t="n"/>
      <c r="T1199" s="626" t="n"/>
      <c r="U1199" s="626" t="n"/>
      <c r="V1199" s="626" t="n"/>
      <c r="W1199" s="626" t="n"/>
      <c r="X1199" s="626" t="n"/>
      <c r="Y1199" s="369" t="n"/>
      <c r="Z1199" s="369" t="n"/>
      <c r="AA1199" s="369" t="n"/>
      <c r="AB1199" s="369" t="n"/>
      <c r="AC1199" s="370" t="n"/>
      <c r="AD1199" s="370" t="n"/>
      <c r="AE1199" s="370" t="n"/>
      <c r="AF1199" s="370" t="n"/>
      <c r="AG1199" s="626" t="n"/>
      <c r="AH1199" s="626" t="n"/>
      <c r="AI1199" s="626" t="n"/>
      <c r="AJ1199" s="626" t="n"/>
      <c r="AK1199" s="626" t="n"/>
      <c r="AL1199" s="626" t="n"/>
      <c r="AM1199" s="626" t="n"/>
      <c r="AN1199" s="626" t="n"/>
      <c r="AO1199" s="626" t="n"/>
      <c r="AP1199" s="369" t="n"/>
      <c r="AQ1199" s="369" t="n"/>
      <c r="AR1199" s="369" t="n"/>
      <c r="AS1199" s="369" t="n"/>
      <c r="AT1199" s="370" t="n"/>
      <c r="AU1199" s="370" t="n"/>
      <c r="AV1199" s="370" t="n"/>
      <c r="AW1199" s="370" t="n"/>
      <c r="BJ1199">
        <f>O1199</f>
        <v/>
      </c>
      <c r="BK1199">
        <f>SUM(AG1199:AW1199)</f>
        <v/>
      </c>
      <c r="BL1199" s="531">
        <f>BJ1199-BK1199</f>
        <v/>
      </c>
      <c r="BM1199" s="201">
        <f>SUM(BL1200:BL1298)</f>
        <v/>
      </c>
    </row>
    <row r="1200" ht="15.6" customHeight="1" s="191">
      <c r="A1200" s="259" t="inlineStr">
        <is>
          <t>.z12</t>
        </is>
      </c>
      <c r="B1200" s="260" t="n"/>
      <c r="C1200" s="261" t="n"/>
      <c r="D1200" s="276" t="n"/>
      <c r="E1200" s="277">
        <f>VLOOKUP(A1200,Listy!A:C,2,FALSE) &amp; "   :  " &amp; VLOOKUP(A1200,Listy!A:C,3,FALSE)</f>
        <v/>
      </c>
      <c r="F1200" s="538" t="n"/>
      <c r="P1200" s="626" t="n"/>
      <c r="Q1200" s="626" t="n"/>
      <c r="R1200" s="626" t="n"/>
      <c r="S1200" s="626" t="n"/>
      <c r="T1200" s="626" t="n"/>
      <c r="U1200" s="626" t="n"/>
      <c r="V1200" s="626" t="n"/>
      <c r="W1200" s="626" t="n"/>
      <c r="X1200" s="626" t="n"/>
      <c r="Y1200" s="369" t="n"/>
      <c r="Z1200" s="369" t="n"/>
      <c r="AA1200" s="369" t="n"/>
      <c r="AB1200" s="369" t="n"/>
      <c r="AC1200" s="370" t="n"/>
      <c r="AD1200" s="370" t="n"/>
      <c r="AE1200" s="370" t="n"/>
      <c r="AF1200" s="370" t="n"/>
      <c r="AG1200" s="626" t="n"/>
      <c r="AH1200" s="626" t="n"/>
      <c r="AI1200" s="626" t="n"/>
      <c r="AJ1200" s="626" t="n"/>
      <c r="AK1200" s="626" t="n"/>
      <c r="AL1200" s="626" t="n"/>
      <c r="AM1200" s="626" t="n"/>
      <c r="AN1200" s="626" t="n"/>
      <c r="AO1200" s="626" t="n"/>
      <c r="AP1200" s="369" t="n"/>
      <c r="AQ1200" s="369" t="n"/>
      <c r="AR1200" s="369" t="n"/>
      <c r="AS1200" s="369" t="n"/>
      <c r="AT1200" s="370" t="n"/>
      <c r="AU1200" s="370" t="n"/>
      <c r="AV1200" s="370" t="n"/>
      <c r="AW1200" s="370" t="n"/>
      <c r="BJ1200">
        <f>O1200</f>
        <v/>
      </c>
      <c r="BK1200">
        <f>SUM(AG1200:AW1200)</f>
        <v/>
      </c>
      <c r="BL1200" s="531">
        <f>BJ1200-BK1200</f>
        <v/>
      </c>
      <c r="BM1200" s="201">
        <f>SUM(BL1201:BL1299)</f>
        <v/>
      </c>
    </row>
    <row r="1201" hidden="1" outlineLevel="1" s="191">
      <c r="P1201" s="626" t="n"/>
      <c r="Q1201" s="626" t="n"/>
      <c r="R1201" s="626" t="n"/>
      <c r="S1201" s="626" t="n"/>
      <c r="T1201" s="626" t="n"/>
      <c r="U1201" s="626" t="n"/>
      <c r="V1201" s="626" t="n"/>
      <c r="W1201" s="626" t="n"/>
      <c r="X1201" s="626" t="n"/>
      <c r="Y1201" s="369" t="n"/>
      <c r="Z1201" s="369" t="n"/>
      <c r="AA1201" s="369" t="n"/>
      <c r="AB1201" s="369" t="n"/>
      <c r="AC1201" s="370" t="n"/>
      <c r="AD1201" s="370" t="n"/>
      <c r="AE1201" s="370" t="n"/>
      <c r="AF1201" s="370" t="n"/>
      <c r="AG1201" s="626" t="n"/>
      <c r="AH1201" s="626" t="n"/>
      <c r="AI1201" s="626" t="n"/>
      <c r="AJ1201" s="626" t="n"/>
      <c r="AK1201" s="626" t="n"/>
      <c r="AL1201" s="626" t="n"/>
      <c r="AM1201" s="626" t="n"/>
      <c r="AN1201" s="626" t="n"/>
      <c r="AO1201" s="626" t="n"/>
      <c r="AP1201" s="369" t="n"/>
      <c r="AQ1201" s="369" t="n"/>
      <c r="AR1201" s="369" t="n"/>
      <c r="AS1201" s="369" t="n"/>
      <c r="AT1201" s="370" t="n"/>
      <c r="AU1201" s="370" t="n"/>
      <c r="AV1201" s="370" t="n"/>
      <c r="AW1201" s="370" t="n"/>
      <c r="BJ1201">
        <f>O1201</f>
        <v/>
      </c>
      <c r="BK1201">
        <f>SUM(AG1201:AW1201)</f>
        <v/>
      </c>
      <c r="BL1201" s="531">
        <f>BJ1201-BK1201</f>
        <v/>
      </c>
      <c r="BM1201" s="201" t="n"/>
    </row>
    <row r="1202" hidden="1" outlineLevel="1" s="191">
      <c r="P1202" s="626" t="n"/>
      <c r="Q1202" s="626" t="n"/>
      <c r="R1202" s="626" t="n"/>
      <c r="S1202" s="626" t="n"/>
      <c r="T1202" s="626" t="n"/>
      <c r="U1202" s="626" t="n"/>
      <c r="V1202" s="626" t="n"/>
      <c r="W1202" s="626" t="n"/>
      <c r="X1202" s="626" t="n"/>
      <c r="Y1202" s="369" t="n"/>
      <c r="Z1202" s="369" t="n"/>
      <c r="AA1202" s="369" t="n"/>
      <c r="AB1202" s="369" t="n"/>
      <c r="AC1202" s="370" t="n"/>
      <c r="AD1202" s="370" t="n"/>
      <c r="AE1202" s="370" t="n"/>
      <c r="AF1202" s="370" t="n"/>
      <c r="AG1202" s="626" t="n"/>
      <c r="AH1202" s="626" t="n"/>
      <c r="AI1202" s="626" t="n"/>
      <c r="AJ1202" s="626" t="n"/>
      <c r="AK1202" s="626" t="n"/>
      <c r="AL1202" s="626" t="n"/>
      <c r="AM1202" s="626" t="n"/>
      <c r="AN1202" s="626" t="n"/>
      <c r="AO1202" s="626" t="n"/>
      <c r="AP1202" s="369" t="n"/>
      <c r="AQ1202" s="369" t="n"/>
      <c r="AR1202" s="369" t="n"/>
      <c r="AS1202" s="369" t="n"/>
      <c r="AT1202" s="370" t="n"/>
      <c r="AU1202" s="370" t="n"/>
      <c r="AV1202" s="370" t="n"/>
      <c r="AW1202" s="370" t="n"/>
      <c r="BJ1202">
        <f>O1202</f>
        <v/>
      </c>
      <c r="BK1202">
        <f>SUM(AG1202:AW1202)</f>
        <v/>
      </c>
      <c r="BL1202" s="531">
        <f>BJ1202-BK1202</f>
        <v/>
      </c>
      <c r="BM1202" s="201" t="n"/>
    </row>
    <row r="1203" hidden="1" outlineLevel="1" s="191">
      <c r="P1203" s="626" t="n"/>
      <c r="Q1203" s="626" t="n"/>
      <c r="R1203" s="626" t="n"/>
      <c r="S1203" s="626" t="n"/>
      <c r="T1203" s="626" t="n"/>
      <c r="U1203" s="626" t="n"/>
      <c r="V1203" s="626" t="n"/>
      <c r="W1203" s="626" t="n"/>
      <c r="X1203" s="626" t="n"/>
      <c r="Y1203" s="369" t="n"/>
      <c r="Z1203" s="369" t="n"/>
      <c r="AA1203" s="369" t="n"/>
      <c r="AB1203" s="369" t="n"/>
      <c r="AC1203" s="370" t="n"/>
      <c r="AD1203" s="370" t="n"/>
      <c r="AE1203" s="370" t="n"/>
      <c r="AF1203" s="370" t="n"/>
      <c r="AG1203" s="626" t="n"/>
      <c r="AH1203" s="626" t="n"/>
      <c r="AI1203" s="626" t="n"/>
      <c r="AJ1203" s="626" t="n"/>
      <c r="AK1203" s="626" t="n"/>
      <c r="AL1203" s="626" t="n"/>
      <c r="AM1203" s="626" t="n"/>
      <c r="AN1203" s="626" t="n"/>
      <c r="AO1203" s="626" t="n"/>
      <c r="AP1203" s="369" t="n"/>
      <c r="AQ1203" s="369" t="n"/>
      <c r="AR1203" s="369" t="n"/>
      <c r="AS1203" s="369" t="n"/>
      <c r="AT1203" s="370" t="n"/>
      <c r="AU1203" s="370" t="n"/>
      <c r="AV1203" s="370" t="n"/>
      <c r="AW1203" s="370" t="n"/>
      <c r="BJ1203">
        <f>O1203</f>
        <v/>
      </c>
      <c r="BK1203">
        <f>SUM(AG1203:AW1203)</f>
        <v/>
      </c>
      <c r="BL1203" s="531">
        <f>BJ1203-BK1203</f>
        <v/>
      </c>
      <c r="BM1203" s="201" t="n"/>
    </row>
    <row r="1204" hidden="1" outlineLevel="1" s="191">
      <c r="P1204" s="626" t="n"/>
      <c r="Q1204" s="626" t="n"/>
      <c r="R1204" s="626" t="n"/>
      <c r="S1204" s="626" t="n"/>
      <c r="T1204" s="626" t="n"/>
      <c r="U1204" s="626" t="n"/>
      <c r="V1204" s="626" t="n"/>
      <c r="W1204" s="626" t="n"/>
      <c r="X1204" s="626" t="n"/>
      <c r="Y1204" s="369" t="n"/>
      <c r="Z1204" s="369" t="n"/>
      <c r="AA1204" s="369" t="n"/>
      <c r="AB1204" s="369" t="n"/>
      <c r="AC1204" s="370" t="n"/>
      <c r="AD1204" s="370" t="n"/>
      <c r="AE1204" s="370" t="n"/>
      <c r="AF1204" s="370" t="n"/>
      <c r="AG1204" s="626" t="n"/>
      <c r="AH1204" s="626" t="n"/>
      <c r="AI1204" s="626" t="n"/>
      <c r="AJ1204" s="626" t="n"/>
      <c r="AK1204" s="626" t="n"/>
      <c r="AL1204" s="626" t="n"/>
      <c r="AM1204" s="626" t="n"/>
      <c r="AN1204" s="626" t="n"/>
      <c r="AO1204" s="626" t="n"/>
      <c r="AP1204" s="369" t="n"/>
      <c r="AQ1204" s="369" t="n"/>
      <c r="AR1204" s="369" t="n"/>
      <c r="AS1204" s="369" t="n"/>
      <c r="AT1204" s="370" t="n"/>
      <c r="AU1204" s="370" t="n"/>
      <c r="AV1204" s="370" t="n"/>
      <c r="AW1204" s="370" t="n"/>
      <c r="BJ1204">
        <f>O1204</f>
        <v/>
      </c>
      <c r="BK1204">
        <f>SUM(AG1204:AW1204)</f>
        <v/>
      </c>
      <c r="BL1204" s="531">
        <f>BJ1204-BK1204</f>
        <v/>
      </c>
      <c r="BM1204" s="201" t="n"/>
    </row>
    <row r="1205" hidden="1" outlineLevel="1" s="191">
      <c r="P1205" s="626" t="n"/>
      <c r="Q1205" s="626" t="n"/>
      <c r="R1205" s="626" t="n"/>
      <c r="S1205" s="626" t="n"/>
      <c r="T1205" s="626" t="n"/>
      <c r="U1205" s="626" t="n"/>
      <c r="V1205" s="626" t="n"/>
      <c r="W1205" s="626" t="n"/>
      <c r="X1205" s="626" t="n"/>
      <c r="Y1205" s="369" t="n"/>
      <c r="Z1205" s="369" t="n"/>
      <c r="AA1205" s="369" t="n"/>
      <c r="AB1205" s="369" t="n"/>
      <c r="AC1205" s="370" t="n"/>
      <c r="AD1205" s="370" t="n"/>
      <c r="AE1205" s="370" t="n"/>
      <c r="AF1205" s="370" t="n"/>
      <c r="AG1205" s="626" t="n"/>
      <c r="AH1205" s="626" t="n"/>
      <c r="AI1205" s="626" t="n"/>
      <c r="AJ1205" s="626" t="n"/>
      <c r="AK1205" s="626" t="n"/>
      <c r="AL1205" s="626" t="n"/>
      <c r="AM1205" s="626" t="n"/>
      <c r="AN1205" s="626" t="n"/>
      <c r="AO1205" s="626" t="n"/>
      <c r="AP1205" s="369" t="n"/>
      <c r="AQ1205" s="369" t="n"/>
      <c r="AR1205" s="369" t="n"/>
      <c r="AS1205" s="369" t="n"/>
      <c r="AT1205" s="370" t="n"/>
      <c r="AU1205" s="370" t="n"/>
      <c r="AV1205" s="370" t="n"/>
      <c r="AW1205" s="370" t="n"/>
      <c r="BJ1205">
        <f>O1205</f>
        <v/>
      </c>
      <c r="BK1205">
        <f>SUM(AG1205:AW1205)</f>
        <v/>
      </c>
      <c r="BL1205" s="531">
        <f>BJ1205-BK1205</f>
        <v/>
      </c>
      <c r="BM1205" s="201" t="n"/>
    </row>
    <row r="1206" hidden="1" outlineLevel="1" s="191">
      <c r="P1206" s="626" t="n"/>
      <c r="Q1206" s="626" t="n"/>
      <c r="R1206" s="626" t="n"/>
      <c r="S1206" s="626" t="n"/>
      <c r="T1206" s="626" t="n"/>
      <c r="U1206" s="626" t="n"/>
      <c r="V1206" s="626" t="n"/>
      <c r="W1206" s="626" t="n"/>
      <c r="X1206" s="626" t="n"/>
      <c r="Y1206" s="369" t="n"/>
      <c r="Z1206" s="369" t="n"/>
      <c r="AA1206" s="369" t="n"/>
      <c r="AB1206" s="369" t="n"/>
      <c r="AC1206" s="370" t="n"/>
      <c r="AD1206" s="370" t="n"/>
      <c r="AE1206" s="370" t="n"/>
      <c r="AF1206" s="370" t="n"/>
      <c r="AG1206" s="626" t="n"/>
      <c r="AH1206" s="626" t="n"/>
      <c r="AI1206" s="626" t="n"/>
      <c r="AJ1206" s="626" t="n"/>
      <c r="AK1206" s="626" t="n"/>
      <c r="AL1206" s="626" t="n"/>
      <c r="AM1206" s="626" t="n"/>
      <c r="AN1206" s="626" t="n"/>
      <c r="AO1206" s="626" t="n"/>
      <c r="AP1206" s="369" t="n"/>
      <c r="AQ1206" s="369" t="n"/>
      <c r="AR1206" s="369" t="n"/>
      <c r="AS1206" s="369" t="n"/>
      <c r="AT1206" s="370" t="n"/>
      <c r="AU1206" s="370" t="n"/>
      <c r="AV1206" s="370" t="n"/>
      <c r="AW1206" s="370" t="n"/>
      <c r="BJ1206">
        <f>O1206</f>
        <v/>
      </c>
      <c r="BK1206">
        <f>SUM(AG1206:AW1206)</f>
        <v/>
      </c>
      <c r="BL1206" s="531">
        <f>BJ1206-BK1206</f>
        <v/>
      </c>
      <c r="BM1206" s="201" t="n"/>
    </row>
    <row r="1207" hidden="1" outlineLevel="1" s="191">
      <c r="P1207" s="626" t="n"/>
      <c r="Q1207" s="626" t="n"/>
      <c r="R1207" s="626" t="n"/>
      <c r="S1207" s="626" t="n"/>
      <c r="T1207" s="626" t="n"/>
      <c r="U1207" s="626" t="n"/>
      <c r="V1207" s="626" t="n"/>
      <c r="W1207" s="626" t="n"/>
      <c r="X1207" s="626" t="n"/>
      <c r="Y1207" s="369" t="n"/>
      <c r="Z1207" s="369" t="n"/>
      <c r="AA1207" s="369" t="n"/>
      <c r="AB1207" s="369" t="n"/>
      <c r="AC1207" s="370" t="n"/>
      <c r="AD1207" s="370" t="n"/>
      <c r="AE1207" s="370" t="n"/>
      <c r="AF1207" s="370" t="n"/>
      <c r="AG1207" s="626" t="n"/>
      <c r="AH1207" s="626" t="n"/>
      <c r="AI1207" s="626" t="n"/>
      <c r="AJ1207" s="626" t="n"/>
      <c r="AK1207" s="626" t="n"/>
      <c r="AL1207" s="626" t="n"/>
      <c r="AM1207" s="626" t="n"/>
      <c r="AN1207" s="626" t="n"/>
      <c r="AO1207" s="626" t="n"/>
      <c r="AP1207" s="369" t="n"/>
      <c r="AQ1207" s="369" t="n"/>
      <c r="AR1207" s="369" t="n"/>
      <c r="AS1207" s="369" t="n"/>
      <c r="AT1207" s="370" t="n"/>
      <c r="AU1207" s="370" t="n"/>
      <c r="AV1207" s="370" t="n"/>
      <c r="AW1207" s="370" t="n"/>
      <c r="BJ1207">
        <f>O1207</f>
        <v/>
      </c>
      <c r="BK1207">
        <f>SUM(AG1207:AW1207)</f>
        <v/>
      </c>
      <c r="BL1207" s="531">
        <f>BJ1207-BK1207</f>
        <v/>
      </c>
      <c r="BM1207" s="201" t="n"/>
    </row>
    <row r="1208" hidden="1" outlineLevel="1" s="191">
      <c r="P1208" s="626" t="n"/>
      <c r="Q1208" s="626" t="n"/>
      <c r="R1208" s="626" t="n"/>
      <c r="S1208" s="626" t="n"/>
      <c r="T1208" s="626" t="n"/>
      <c r="U1208" s="626" t="n"/>
      <c r="V1208" s="626" t="n"/>
      <c r="W1208" s="626" t="n"/>
      <c r="X1208" s="626" t="n"/>
      <c r="Y1208" s="369" t="n"/>
      <c r="Z1208" s="369" t="n"/>
      <c r="AA1208" s="369" t="n"/>
      <c r="AB1208" s="369" t="n"/>
      <c r="AC1208" s="370" t="n"/>
      <c r="AD1208" s="370" t="n"/>
      <c r="AE1208" s="370" t="n"/>
      <c r="AF1208" s="370" t="n"/>
      <c r="AG1208" s="626" t="n"/>
      <c r="AH1208" s="626" t="n"/>
      <c r="AI1208" s="626" t="n"/>
      <c r="AJ1208" s="626" t="n"/>
      <c r="AK1208" s="626" t="n"/>
      <c r="AL1208" s="626" t="n"/>
      <c r="AM1208" s="626" t="n"/>
      <c r="AN1208" s="626" t="n"/>
      <c r="AO1208" s="626" t="n"/>
      <c r="AP1208" s="369" t="n"/>
      <c r="AQ1208" s="369" t="n"/>
      <c r="AR1208" s="369" t="n"/>
      <c r="AS1208" s="369" t="n"/>
      <c r="AT1208" s="370" t="n"/>
      <c r="AU1208" s="370" t="n"/>
      <c r="AV1208" s="370" t="n"/>
      <c r="AW1208" s="370" t="n"/>
      <c r="BJ1208">
        <f>O1208</f>
        <v/>
      </c>
      <c r="BK1208">
        <f>SUM(AG1208:AW1208)</f>
        <v/>
      </c>
      <c r="BL1208" s="531">
        <f>BJ1208-BK1208</f>
        <v/>
      </c>
      <c r="BM1208" s="201" t="n"/>
    </row>
    <row r="1209" hidden="1" outlineLevel="1" s="191">
      <c r="P1209" s="626" t="n"/>
      <c r="Q1209" s="626" t="n"/>
      <c r="R1209" s="626" t="n"/>
      <c r="S1209" s="626" t="n"/>
      <c r="T1209" s="626" t="n"/>
      <c r="U1209" s="626" t="n"/>
      <c r="V1209" s="626" t="n"/>
      <c r="W1209" s="626" t="n"/>
      <c r="X1209" s="626" t="n"/>
      <c r="Y1209" s="369" t="n"/>
      <c r="Z1209" s="369" t="n"/>
      <c r="AA1209" s="369" t="n"/>
      <c r="AB1209" s="369" t="n"/>
      <c r="AC1209" s="370" t="n"/>
      <c r="AD1209" s="370" t="n"/>
      <c r="AE1209" s="370" t="n"/>
      <c r="AF1209" s="370" t="n"/>
      <c r="AG1209" s="626" t="n"/>
      <c r="AH1209" s="626" t="n"/>
      <c r="AI1209" s="626" t="n"/>
      <c r="AJ1209" s="626" t="n"/>
      <c r="AK1209" s="626" t="n"/>
      <c r="AL1209" s="626" t="n"/>
      <c r="AM1209" s="626" t="n"/>
      <c r="AN1209" s="626" t="n"/>
      <c r="AO1209" s="626" t="n"/>
      <c r="AP1209" s="369" t="n"/>
      <c r="AQ1209" s="369" t="n"/>
      <c r="AR1209" s="369" t="n"/>
      <c r="AS1209" s="369" t="n"/>
      <c r="AT1209" s="370" t="n"/>
      <c r="AU1209" s="370" t="n"/>
      <c r="AV1209" s="370" t="n"/>
      <c r="AW1209" s="370" t="n"/>
      <c r="BJ1209">
        <f>O1209</f>
        <v/>
      </c>
      <c r="BK1209">
        <f>SUM(AG1209:AW1209)</f>
        <v/>
      </c>
      <c r="BL1209" s="531">
        <f>BJ1209-BK1209</f>
        <v/>
      </c>
      <c r="BM1209" s="201" t="n"/>
    </row>
    <row r="1210" hidden="1" outlineLevel="1" s="191">
      <c r="P1210" s="626" t="n"/>
      <c r="Q1210" s="626" t="n"/>
      <c r="R1210" s="626" t="n"/>
      <c r="S1210" s="626" t="n"/>
      <c r="T1210" s="626" t="n"/>
      <c r="U1210" s="626" t="n"/>
      <c r="V1210" s="626" t="n"/>
      <c r="W1210" s="626" t="n"/>
      <c r="X1210" s="626" t="n"/>
      <c r="Y1210" s="369" t="n"/>
      <c r="Z1210" s="369" t="n"/>
      <c r="AA1210" s="369" t="n"/>
      <c r="AB1210" s="369" t="n"/>
      <c r="AC1210" s="370" t="n"/>
      <c r="AD1210" s="370" t="n"/>
      <c r="AE1210" s="370" t="n"/>
      <c r="AF1210" s="370" t="n"/>
      <c r="AG1210" s="626" t="n"/>
      <c r="AH1210" s="626" t="n"/>
      <c r="AI1210" s="626" t="n"/>
      <c r="AJ1210" s="626" t="n"/>
      <c r="AK1210" s="626" t="n"/>
      <c r="AL1210" s="626" t="n"/>
      <c r="AM1210" s="626" t="n"/>
      <c r="AN1210" s="626" t="n"/>
      <c r="AO1210" s="626" t="n"/>
      <c r="AP1210" s="369" t="n"/>
      <c r="AQ1210" s="369" t="n"/>
      <c r="AR1210" s="369" t="n"/>
      <c r="AS1210" s="369" t="n"/>
      <c r="AT1210" s="370" t="n"/>
      <c r="AU1210" s="370" t="n"/>
      <c r="AV1210" s="370" t="n"/>
      <c r="AW1210" s="370" t="n"/>
      <c r="BJ1210">
        <f>O1210</f>
        <v/>
      </c>
      <c r="BK1210">
        <f>SUM(AG1210:AW1210)</f>
        <v/>
      </c>
      <c r="BL1210" s="531">
        <f>BJ1210-BK1210</f>
        <v/>
      </c>
      <c r="BM1210" s="201" t="n"/>
    </row>
    <row r="1211" hidden="1" outlineLevel="1" s="191">
      <c r="P1211" s="626" t="n"/>
      <c r="Q1211" s="626" t="n"/>
      <c r="R1211" s="626" t="n"/>
      <c r="S1211" s="626" t="n"/>
      <c r="T1211" s="626" t="n"/>
      <c r="U1211" s="626" t="n"/>
      <c r="V1211" s="626" t="n"/>
      <c r="W1211" s="626" t="n"/>
      <c r="X1211" s="626" t="n"/>
      <c r="Y1211" s="369" t="n"/>
      <c r="Z1211" s="369" t="n"/>
      <c r="AA1211" s="369" t="n"/>
      <c r="AB1211" s="369" t="n"/>
      <c r="AC1211" s="370" t="n"/>
      <c r="AD1211" s="370" t="n"/>
      <c r="AE1211" s="370" t="n"/>
      <c r="AF1211" s="370" t="n"/>
      <c r="AG1211" s="626" t="n"/>
      <c r="AH1211" s="626" t="n"/>
      <c r="AI1211" s="626" t="n"/>
      <c r="AJ1211" s="626" t="n"/>
      <c r="AK1211" s="626" t="n"/>
      <c r="AL1211" s="626" t="n"/>
      <c r="AM1211" s="626" t="n"/>
      <c r="AN1211" s="626" t="n"/>
      <c r="AO1211" s="626" t="n"/>
      <c r="AP1211" s="369" t="n"/>
      <c r="AQ1211" s="369" t="n"/>
      <c r="AR1211" s="369" t="n"/>
      <c r="AS1211" s="369" t="n"/>
      <c r="AT1211" s="370" t="n"/>
      <c r="AU1211" s="370" t="n"/>
      <c r="AV1211" s="370" t="n"/>
      <c r="AW1211" s="370" t="n"/>
      <c r="BJ1211">
        <f>O1211</f>
        <v/>
      </c>
      <c r="BK1211">
        <f>SUM(AG1211:AW1211)</f>
        <v/>
      </c>
      <c r="BL1211" s="531">
        <f>BJ1211-BK1211</f>
        <v/>
      </c>
      <c r="BM1211" s="201" t="n"/>
    </row>
    <row r="1212" hidden="1" outlineLevel="1" s="191">
      <c r="P1212" s="626" t="n"/>
      <c r="Q1212" s="626" t="n"/>
      <c r="R1212" s="626" t="n"/>
      <c r="S1212" s="626" t="n"/>
      <c r="T1212" s="626" t="n"/>
      <c r="U1212" s="626" t="n"/>
      <c r="V1212" s="626" t="n"/>
      <c r="W1212" s="626" t="n"/>
      <c r="X1212" s="626" t="n"/>
      <c r="Y1212" s="369" t="n"/>
      <c r="Z1212" s="369" t="n"/>
      <c r="AA1212" s="369" t="n"/>
      <c r="AB1212" s="369" t="n"/>
      <c r="AC1212" s="370" t="n"/>
      <c r="AD1212" s="370" t="n"/>
      <c r="AE1212" s="370" t="n"/>
      <c r="AF1212" s="370" t="n"/>
      <c r="AG1212" s="626" t="n"/>
      <c r="AH1212" s="626" t="n"/>
      <c r="AI1212" s="626" t="n"/>
      <c r="AJ1212" s="626" t="n"/>
      <c r="AK1212" s="626" t="n"/>
      <c r="AL1212" s="626" t="n"/>
      <c r="AM1212" s="626" t="n"/>
      <c r="AN1212" s="626" t="n"/>
      <c r="AO1212" s="626" t="n"/>
      <c r="AP1212" s="369" t="n"/>
      <c r="AQ1212" s="369" t="n"/>
      <c r="AR1212" s="369" t="n"/>
      <c r="AS1212" s="369" t="n"/>
      <c r="AT1212" s="370" t="n"/>
      <c r="AU1212" s="370" t="n"/>
      <c r="AV1212" s="370" t="n"/>
      <c r="AW1212" s="370" t="n"/>
      <c r="BJ1212">
        <f>O1212</f>
        <v/>
      </c>
      <c r="BK1212">
        <f>SUM(AG1212:AW1212)</f>
        <v/>
      </c>
      <c r="BL1212" s="531">
        <f>BJ1212-BK1212</f>
        <v/>
      </c>
      <c r="BM1212" s="201" t="n"/>
    </row>
    <row r="1213" hidden="1" outlineLevel="1" s="191">
      <c r="P1213" s="626" t="n"/>
      <c r="Q1213" s="626" t="n"/>
      <c r="R1213" s="626" t="n"/>
      <c r="S1213" s="626" t="n"/>
      <c r="T1213" s="626" t="n"/>
      <c r="U1213" s="626" t="n"/>
      <c r="V1213" s="626" t="n"/>
      <c r="W1213" s="626" t="n"/>
      <c r="X1213" s="626" t="n"/>
      <c r="Y1213" s="369" t="n"/>
      <c r="Z1213" s="369" t="n"/>
      <c r="AA1213" s="369" t="n"/>
      <c r="AB1213" s="369" t="n"/>
      <c r="AC1213" s="370" t="n"/>
      <c r="AD1213" s="370" t="n"/>
      <c r="AE1213" s="370" t="n"/>
      <c r="AF1213" s="370" t="n"/>
      <c r="AG1213" s="626" t="n"/>
      <c r="AH1213" s="626" t="n"/>
      <c r="AI1213" s="626" t="n"/>
      <c r="AJ1213" s="626" t="n"/>
      <c r="AK1213" s="626" t="n"/>
      <c r="AL1213" s="626" t="n"/>
      <c r="AM1213" s="626" t="n"/>
      <c r="AN1213" s="626" t="n"/>
      <c r="AO1213" s="626" t="n"/>
      <c r="AP1213" s="369" t="n"/>
      <c r="AQ1213" s="369" t="n"/>
      <c r="AR1213" s="369" t="n"/>
      <c r="AS1213" s="369" t="n"/>
      <c r="AT1213" s="370" t="n"/>
      <c r="AU1213" s="370" t="n"/>
      <c r="AV1213" s="370" t="n"/>
      <c r="AW1213" s="370" t="n"/>
      <c r="BJ1213">
        <f>O1213</f>
        <v/>
      </c>
      <c r="BK1213">
        <f>SUM(AG1213:AW1213)</f>
        <v/>
      </c>
      <c r="BL1213" s="531">
        <f>BJ1213-BK1213</f>
        <v/>
      </c>
      <c r="BM1213" s="201" t="n"/>
    </row>
    <row r="1214" hidden="1" outlineLevel="1" s="191">
      <c r="P1214" s="626" t="n"/>
      <c r="Q1214" s="626" t="n"/>
      <c r="R1214" s="626" t="n"/>
      <c r="S1214" s="626" t="n"/>
      <c r="T1214" s="626" t="n"/>
      <c r="U1214" s="626" t="n"/>
      <c r="V1214" s="626" t="n"/>
      <c r="W1214" s="626" t="n"/>
      <c r="X1214" s="626" t="n"/>
      <c r="Y1214" s="369" t="n"/>
      <c r="Z1214" s="369" t="n"/>
      <c r="AA1214" s="369" t="n"/>
      <c r="AB1214" s="369" t="n"/>
      <c r="AC1214" s="370" t="n"/>
      <c r="AD1214" s="370" t="n"/>
      <c r="AE1214" s="370" t="n"/>
      <c r="AF1214" s="370" t="n"/>
      <c r="AG1214" s="626" t="n"/>
      <c r="AH1214" s="626" t="n"/>
      <c r="AI1214" s="626" t="n"/>
      <c r="AJ1214" s="626" t="n"/>
      <c r="AK1214" s="626" t="n"/>
      <c r="AL1214" s="626" t="n"/>
      <c r="AM1214" s="626" t="n"/>
      <c r="AN1214" s="626" t="n"/>
      <c r="AO1214" s="626" t="n"/>
      <c r="AP1214" s="369" t="n"/>
      <c r="AQ1214" s="369" t="n"/>
      <c r="AR1214" s="369" t="n"/>
      <c r="AS1214" s="369" t="n"/>
      <c r="AT1214" s="370" t="n"/>
      <c r="AU1214" s="370" t="n"/>
      <c r="AV1214" s="370" t="n"/>
      <c r="AW1214" s="370" t="n"/>
      <c r="BJ1214">
        <f>O1214</f>
        <v/>
      </c>
      <c r="BK1214">
        <f>SUM(AG1214:AW1214)</f>
        <v/>
      </c>
      <c r="BL1214" s="531">
        <f>BJ1214-BK1214</f>
        <v/>
      </c>
      <c r="BM1214" s="201" t="n"/>
    </row>
    <row r="1215" hidden="1" outlineLevel="1" s="191">
      <c r="P1215" s="626" t="n"/>
      <c r="Q1215" s="626" t="n"/>
      <c r="R1215" s="626" t="n"/>
      <c r="S1215" s="626" t="n"/>
      <c r="T1215" s="626" t="n"/>
      <c r="U1215" s="626" t="n"/>
      <c r="V1215" s="626" t="n"/>
      <c r="W1215" s="626" t="n"/>
      <c r="X1215" s="626" t="n"/>
      <c r="Y1215" s="369" t="n"/>
      <c r="Z1215" s="369" t="n"/>
      <c r="AA1215" s="369" t="n"/>
      <c r="AB1215" s="369" t="n"/>
      <c r="AC1215" s="370" t="n"/>
      <c r="AD1215" s="370" t="n"/>
      <c r="AE1215" s="370" t="n"/>
      <c r="AF1215" s="370" t="n"/>
      <c r="AG1215" s="626" t="n"/>
      <c r="AH1215" s="626" t="n"/>
      <c r="AI1215" s="626" t="n"/>
      <c r="AJ1215" s="626" t="n"/>
      <c r="AK1215" s="626" t="n"/>
      <c r="AL1215" s="626" t="n"/>
      <c r="AM1215" s="626" t="n"/>
      <c r="AN1215" s="626" t="n"/>
      <c r="AO1215" s="626" t="n"/>
      <c r="AP1215" s="369" t="n"/>
      <c r="AQ1215" s="369" t="n"/>
      <c r="AR1215" s="369" t="n"/>
      <c r="AS1215" s="369" t="n"/>
      <c r="AT1215" s="370" t="n"/>
      <c r="AU1215" s="370" t="n"/>
      <c r="AV1215" s="370" t="n"/>
      <c r="AW1215" s="370" t="n"/>
      <c r="BJ1215">
        <f>O1215</f>
        <v/>
      </c>
      <c r="BK1215">
        <f>SUM(AG1215:AW1215)</f>
        <v/>
      </c>
      <c r="BL1215" s="531">
        <f>BJ1215-BK1215</f>
        <v/>
      </c>
      <c r="BM1215" s="201" t="n"/>
    </row>
    <row r="1216" hidden="1" outlineLevel="1" s="191">
      <c r="P1216" s="626" t="n"/>
      <c r="Q1216" s="626" t="n"/>
      <c r="R1216" s="626" t="n"/>
      <c r="S1216" s="626" t="n"/>
      <c r="T1216" s="626" t="n"/>
      <c r="U1216" s="626" t="n"/>
      <c r="V1216" s="626" t="n"/>
      <c r="W1216" s="626" t="n"/>
      <c r="X1216" s="626" t="n"/>
      <c r="Y1216" s="369" t="n"/>
      <c r="Z1216" s="369" t="n"/>
      <c r="AA1216" s="369" t="n"/>
      <c r="AB1216" s="369" t="n"/>
      <c r="AC1216" s="370" t="n"/>
      <c r="AD1216" s="370" t="n"/>
      <c r="AE1216" s="370" t="n"/>
      <c r="AF1216" s="370" t="n"/>
      <c r="AG1216" s="626" t="n"/>
      <c r="AH1216" s="626" t="n"/>
      <c r="AI1216" s="626" t="n"/>
      <c r="AJ1216" s="626" t="n"/>
      <c r="AK1216" s="626" t="n"/>
      <c r="AL1216" s="626" t="n"/>
      <c r="AM1216" s="626" t="n"/>
      <c r="AN1216" s="626" t="n"/>
      <c r="AO1216" s="626" t="n"/>
      <c r="AP1216" s="369" t="n"/>
      <c r="AQ1216" s="369" t="n"/>
      <c r="AR1216" s="369" t="n"/>
      <c r="AS1216" s="369" t="n"/>
      <c r="AT1216" s="370" t="n"/>
      <c r="AU1216" s="370" t="n"/>
      <c r="AV1216" s="370" t="n"/>
      <c r="AW1216" s="370" t="n"/>
      <c r="BJ1216">
        <f>O1216</f>
        <v/>
      </c>
      <c r="BK1216">
        <f>SUM(AG1216:AW1216)</f>
        <v/>
      </c>
      <c r="BL1216" s="531">
        <f>BJ1216-BK1216</f>
        <v/>
      </c>
      <c r="BM1216" s="201" t="n"/>
    </row>
    <row r="1217" hidden="1" outlineLevel="1" s="191">
      <c r="P1217" s="626" t="n"/>
      <c r="Q1217" s="626" t="n"/>
      <c r="R1217" s="626" t="n"/>
      <c r="S1217" s="626" t="n"/>
      <c r="T1217" s="626" t="n"/>
      <c r="U1217" s="626" t="n"/>
      <c r="V1217" s="626" t="n"/>
      <c r="W1217" s="626" t="n"/>
      <c r="X1217" s="626" t="n"/>
      <c r="Y1217" s="369" t="n"/>
      <c r="Z1217" s="369" t="n"/>
      <c r="AA1217" s="369" t="n"/>
      <c r="AB1217" s="369" t="n"/>
      <c r="AC1217" s="370" t="n"/>
      <c r="AD1217" s="370" t="n"/>
      <c r="AE1217" s="370" t="n"/>
      <c r="AF1217" s="370" t="n"/>
      <c r="AG1217" s="626" t="n"/>
      <c r="AH1217" s="626" t="n"/>
      <c r="AI1217" s="626" t="n"/>
      <c r="AJ1217" s="626" t="n"/>
      <c r="AK1217" s="626" t="n"/>
      <c r="AL1217" s="626" t="n"/>
      <c r="AM1217" s="626" t="n"/>
      <c r="AN1217" s="626" t="n"/>
      <c r="AO1217" s="626" t="n"/>
      <c r="AP1217" s="369" t="n"/>
      <c r="AQ1217" s="369" t="n"/>
      <c r="AR1217" s="369" t="n"/>
      <c r="AS1217" s="369" t="n"/>
      <c r="AT1217" s="370" t="n"/>
      <c r="AU1217" s="370" t="n"/>
      <c r="AV1217" s="370" t="n"/>
      <c r="AW1217" s="370" t="n"/>
      <c r="BJ1217">
        <f>O1217</f>
        <v/>
      </c>
      <c r="BK1217">
        <f>SUM(AG1217:AW1217)</f>
        <v/>
      </c>
      <c r="BL1217" s="531">
        <f>BJ1217-BK1217</f>
        <v/>
      </c>
      <c r="BM1217" s="201" t="n"/>
    </row>
    <row r="1218" hidden="1" outlineLevel="1" s="191">
      <c r="P1218" s="626" t="n"/>
      <c r="Q1218" s="626" t="n"/>
      <c r="R1218" s="626" t="n"/>
      <c r="S1218" s="626" t="n"/>
      <c r="T1218" s="626" t="n"/>
      <c r="U1218" s="626" t="n"/>
      <c r="V1218" s="626" t="n"/>
      <c r="W1218" s="626" t="n"/>
      <c r="X1218" s="626" t="n"/>
      <c r="Y1218" s="369" t="n"/>
      <c r="Z1218" s="369" t="n"/>
      <c r="AA1218" s="369" t="n"/>
      <c r="AB1218" s="369" t="n"/>
      <c r="AC1218" s="370" t="n"/>
      <c r="AD1218" s="370" t="n"/>
      <c r="AE1218" s="370" t="n"/>
      <c r="AF1218" s="370" t="n"/>
      <c r="AG1218" s="626" t="n"/>
      <c r="AH1218" s="626" t="n"/>
      <c r="AI1218" s="626" t="n"/>
      <c r="AJ1218" s="626" t="n"/>
      <c r="AK1218" s="626" t="n"/>
      <c r="AL1218" s="626" t="n"/>
      <c r="AM1218" s="626" t="n"/>
      <c r="AN1218" s="626" t="n"/>
      <c r="AO1218" s="626" t="n"/>
      <c r="AP1218" s="369" t="n"/>
      <c r="AQ1218" s="369" t="n"/>
      <c r="AR1218" s="369" t="n"/>
      <c r="AS1218" s="369" t="n"/>
      <c r="AT1218" s="370" t="n"/>
      <c r="AU1218" s="370" t="n"/>
      <c r="AV1218" s="370" t="n"/>
      <c r="AW1218" s="370" t="n"/>
      <c r="BJ1218">
        <f>O1218</f>
        <v/>
      </c>
      <c r="BK1218">
        <f>SUM(AG1218:AW1218)</f>
        <v/>
      </c>
      <c r="BL1218" s="531">
        <f>BJ1218-BK1218</f>
        <v/>
      </c>
      <c r="BM1218" s="201" t="n"/>
    </row>
    <row r="1219" hidden="1" outlineLevel="1" s="191">
      <c r="P1219" s="626" t="n"/>
      <c r="Q1219" s="626" t="n"/>
      <c r="R1219" s="626" t="n"/>
      <c r="S1219" s="626" t="n"/>
      <c r="T1219" s="626" t="n"/>
      <c r="U1219" s="626" t="n"/>
      <c r="V1219" s="626" t="n"/>
      <c r="W1219" s="626" t="n"/>
      <c r="X1219" s="626" t="n"/>
      <c r="Y1219" s="369" t="n"/>
      <c r="Z1219" s="369" t="n"/>
      <c r="AA1219" s="369" t="n"/>
      <c r="AB1219" s="369" t="n"/>
      <c r="AC1219" s="370" t="n"/>
      <c r="AD1219" s="370" t="n"/>
      <c r="AE1219" s="370" t="n"/>
      <c r="AF1219" s="370" t="n"/>
      <c r="AG1219" s="626" t="n"/>
      <c r="AH1219" s="626" t="n"/>
      <c r="AI1219" s="626" t="n"/>
      <c r="AJ1219" s="626" t="n"/>
      <c r="AK1219" s="626" t="n"/>
      <c r="AL1219" s="626" t="n"/>
      <c r="AM1219" s="626" t="n"/>
      <c r="AN1219" s="626" t="n"/>
      <c r="AO1219" s="626" t="n"/>
      <c r="AP1219" s="369" t="n"/>
      <c r="AQ1219" s="369" t="n"/>
      <c r="AR1219" s="369" t="n"/>
      <c r="AS1219" s="369" t="n"/>
      <c r="AT1219" s="370" t="n"/>
      <c r="AU1219" s="370" t="n"/>
      <c r="AV1219" s="370" t="n"/>
      <c r="AW1219" s="370" t="n"/>
      <c r="BJ1219">
        <f>O1219</f>
        <v/>
      </c>
      <c r="BK1219">
        <f>SUM(AG1219:AW1219)</f>
        <v/>
      </c>
      <c r="BL1219" s="531">
        <f>BJ1219-BK1219</f>
        <v/>
      </c>
      <c r="BM1219" s="201" t="n"/>
    </row>
    <row r="1220" hidden="1" outlineLevel="1" s="191">
      <c r="P1220" s="626" t="n"/>
      <c r="Q1220" s="626" t="n"/>
      <c r="R1220" s="626" t="n"/>
      <c r="S1220" s="626" t="n"/>
      <c r="T1220" s="626" t="n"/>
      <c r="U1220" s="626" t="n"/>
      <c r="V1220" s="626" t="n"/>
      <c r="W1220" s="626" t="n"/>
      <c r="X1220" s="626" t="n"/>
      <c r="Y1220" s="369" t="n"/>
      <c r="Z1220" s="369" t="n"/>
      <c r="AA1220" s="369" t="n"/>
      <c r="AB1220" s="369" t="n"/>
      <c r="AC1220" s="370" t="n"/>
      <c r="AD1220" s="370" t="n"/>
      <c r="AE1220" s="370" t="n"/>
      <c r="AF1220" s="370" t="n"/>
      <c r="AG1220" s="626" t="n"/>
      <c r="AH1220" s="626" t="n"/>
      <c r="AI1220" s="626" t="n"/>
      <c r="AJ1220" s="626" t="n"/>
      <c r="AK1220" s="626" t="n"/>
      <c r="AL1220" s="626" t="n"/>
      <c r="AM1220" s="626" t="n"/>
      <c r="AN1220" s="626" t="n"/>
      <c r="AO1220" s="626" t="n"/>
      <c r="AP1220" s="369" t="n"/>
      <c r="AQ1220" s="369" t="n"/>
      <c r="AR1220" s="369" t="n"/>
      <c r="AS1220" s="369" t="n"/>
      <c r="AT1220" s="370" t="n"/>
      <c r="AU1220" s="370" t="n"/>
      <c r="AV1220" s="370" t="n"/>
      <c r="AW1220" s="370" t="n"/>
      <c r="BJ1220">
        <f>O1220</f>
        <v/>
      </c>
      <c r="BK1220">
        <f>SUM(AG1220:AW1220)</f>
        <v/>
      </c>
      <c r="BL1220" s="531">
        <f>BJ1220-BK1220</f>
        <v/>
      </c>
      <c r="BM1220" s="201" t="n"/>
    </row>
    <row r="1221" hidden="1" outlineLevel="1" s="191">
      <c r="P1221" s="626" t="n"/>
      <c r="Q1221" s="626" t="n"/>
      <c r="R1221" s="626" t="n"/>
      <c r="S1221" s="626" t="n"/>
      <c r="T1221" s="626" t="n"/>
      <c r="U1221" s="626" t="n"/>
      <c r="V1221" s="626" t="n"/>
      <c r="W1221" s="626" t="n"/>
      <c r="X1221" s="626" t="n"/>
      <c r="Y1221" s="369" t="n"/>
      <c r="Z1221" s="369" t="n"/>
      <c r="AA1221" s="369" t="n"/>
      <c r="AB1221" s="369" t="n"/>
      <c r="AC1221" s="370" t="n"/>
      <c r="AD1221" s="370" t="n"/>
      <c r="AE1221" s="370" t="n"/>
      <c r="AF1221" s="370" t="n"/>
      <c r="AG1221" s="626" t="n"/>
      <c r="AH1221" s="626" t="n"/>
      <c r="AI1221" s="626" t="n"/>
      <c r="AJ1221" s="626" t="n"/>
      <c r="AK1221" s="626" t="n"/>
      <c r="AL1221" s="626" t="n"/>
      <c r="AM1221" s="626" t="n"/>
      <c r="AN1221" s="626" t="n"/>
      <c r="AO1221" s="626" t="n"/>
      <c r="AP1221" s="369" t="n"/>
      <c r="AQ1221" s="369" t="n"/>
      <c r="AR1221" s="369" t="n"/>
      <c r="AS1221" s="369" t="n"/>
      <c r="AT1221" s="370" t="n"/>
      <c r="AU1221" s="370" t="n"/>
      <c r="AV1221" s="370" t="n"/>
      <c r="AW1221" s="370" t="n"/>
      <c r="BJ1221">
        <f>O1221</f>
        <v/>
      </c>
      <c r="BK1221">
        <f>SUM(AG1221:AW1221)</f>
        <v/>
      </c>
      <c r="BL1221" s="531">
        <f>BJ1221-BK1221</f>
        <v/>
      </c>
      <c r="BM1221" s="201" t="n"/>
    </row>
    <row r="1222" hidden="1" outlineLevel="1" s="191">
      <c r="P1222" s="626" t="n"/>
      <c r="Q1222" s="626" t="n"/>
      <c r="R1222" s="626" t="n"/>
      <c r="S1222" s="626" t="n"/>
      <c r="T1222" s="626" t="n"/>
      <c r="U1222" s="626" t="n"/>
      <c r="V1222" s="626" t="n"/>
      <c r="W1222" s="626" t="n"/>
      <c r="X1222" s="626" t="n"/>
      <c r="Y1222" s="369" t="n"/>
      <c r="Z1222" s="369" t="n"/>
      <c r="AA1222" s="369" t="n"/>
      <c r="AB1222" s="369" t="n"/>
      <c r="AC1222" s="370" t="n"/>
      <c r="AD1222" s="370" t="n"/>
      <c r="AE1222" s="370" t="n"/>
      <c r="AF1222" s="370" t="n"/>
      <c r="AG1222" s="626" t="n"/>
      <c r="AH1222" s="626" t="n"/>
      <c r="AI1222" s="626" t="n"/>
      <c r="AJ1222" s="626" t="n"/>
      <c r="AK1222" s="626" t="n"/>
      <c r="AL1222" s="626" t="n"/>
      <c r="AM1222" s="626" t="n"/>
      <c r="AN1222" s="626" t="n"/>
      <c r="AO1222" s="626" t="n"/>
      <c r="AP1222" s="369" t="n"/>
      <c r="AQ1222" s="369" t="n"/>
      <c r="AR1222" s="369" t="n"/>
      <c r="AS1222" s="369" t="n"/>
      <c r="AT1222" s="370" t="n"/>
      <c r="AU1222" s="370" t="n"/>
      <c r="AV1222" s="370" t="n"/>
      <c r="AW1222" s="370" t="n"/>
      <c r="BJ1222">
        <f>O1222</f>
        <v/>
      </c>
      <c r="BK1222">
        <f>SUM(AG1222:AW1222)</f>
        <v/>
      </c>
      <c r="BL1222" s="531">
        <f>BJ1222-BK1222</f>
        <v/>
      </c>
      <c r="BM1222" s="201" t="n"/>
    </row>
    <row r="1223" hidden="1" outlineLevel="1" s="191">
      <c r="P1223" s="626" t="n"/>
      <c r="Q1223" s="626" t="n"/>
      <c r="R1223" s="626" t="n"/>
      <c r="S1223" s="626" t="n"/>
      <c r="T1223" s="626" t="n"/>
      <c r="U1223" s="626" t="n"/>
      <c r="V1223" s="626" t="n"/>
      <c r="W1223" s="626" t="n"/>
      <c r="X1223" s="626" t="n"/>
      <c r="Y1223" s="369" t="n"/>
      <c r="Z1223" s="369" t="n"/>
      <c r="AA1223" s="369" t="n"/>
      <c r="AB1223" s="369" t="n"/>
      <c r="AC1223" s="370" t="n"/>
      <c r="AD1223" s="370" t="n"/>
      <c r="AE1223" s="370" t="n"/>
      <c r="AF1223" s="370" t="n"/>
      <c r="AG1223" s="626" t="n"/>
      <c r="AH1223" s="626" t="n"/>
      <c r="AI1223" s="626" t="n"/>
      <c r="AJ1223" s="626" t="n"/>
      <c r="AK1223" s="626" t="n"/>
      <c r="AL1223" s="626" t="n"/>
      <c r="AM1223" s="626" t="n"/>
      <c r="AN1223" s="626" t="n"/>
      <c r="AO1223" s="626" t="n"/>
      <c r="AP1223" s="369" t="n"/>
      <c r="AQ1223" s="369" t="n"/>
      <c r="AR1223" s="369" t="n"/>
      <c r="AS1223" s="369" t="n"/>
      <c r="AT1223" s="370" t="n"/>
      <c r="AU1223" s="370" t="n"/>
      <c r="AV1223" s="370" t="n"/>
      <c r="AW1223" s="370" t="n"/>
      <c r="BJ1223">
        <f>O1223</f>
        <v/>
      </c>
      <c r="BK1223">
        <f>SUM(AG1223:AW1223)</f>
        <v/>
      </c>
      <c r="BL1223" s="531">
        <f>BJ1223-BK1223</f>
        <v/>
      </c>
      <c r="BM1223" s="201" t="n"/>
    </row>
    <row r="1224" hidden="1" outlineLevel="1" s="191">
      <c r="P1224" s="626" t="n"/>
      <c r="Q1224" s="626" t="n"/>
      <c r="R1224" s="626" t="n"/>
      <c r="S1224" s="626" t="n"/>
      <c r="T1224" s="626" t="n"/>
      <c r="U1224" s="626" t="n"/>
      <c r="V1224" s="626" t="n"/>
      <c r="W1224" s="626" t="n"/>
      <c r="X1224" s="626" t="n"/>
      <c r="Y1224" s="369" t="n"/>
      <c r="Z1224" s="369" t="n"/>
      <c r="AA1224" s="369" t="n"/>
      <c r="AB1224" s="369" t="n"/>
      <c r="AC1224" s="370" t="n"/>
      <c r="AD1224" s="370" t="n"/>
      <c r="AE1224" s="370" t="n"/>
      <c r="AF1224" s="370" t="n"/>
      <c r="AG1224" s="626" t="n"/>
      <c r="AH1224" s="626" t="n"/>
      <c r="AI1224" s="626" t="n"/>
      <c r="AJ1224" s="626" t="n"/>
      <c r="AK1224" s="626" t="n"/>
      <c r="AL1224" s="626" t="n"/>
      <c r="AM1224" s="626" t="n"/>
      <c r="AN1224" s="626" t="n"/>
      <c r="AO1224" s="626" t="n"/>
      <c r="AP1224" s="369" t="n"/>
      <c r="AQ1224" s="369" t="n"/>
      <c r="AR1224" s="369" t="n"/>
      <c r="AS1224" s="369" t="n"/>
      <c r="AT1224" s="370" t="n"/>
      <c r="AU1224" s="370" t="n"/>
      <c r="AV1224" s="370" t="n"/>
      <c r="AW1224" s="370" t="n"/>
      <c r="BJ1224">
        <f>O1224</f>
        <v/>
      </c>
      <c r="BK1224">
        <f>SUM(AG1224:AW1224)</f>
        <v/>
      </c>
      <c r="BL1224" s="531">
        <f>BJ1224-BK1224</f>
        <v/>
      </c>
      <c r="BM1224" s="201" t="n"/>
    </row>
    <row r="1225" hidden="1" outlineLevel="1" s="191">
      <c r="P1225" s="626" t="n"/>
      <c r="Q1225" s="626" t="n"/>
      <c r="R1225" s="626" t="n"/>
      <c r="S1225" s="626" t="n"/>
      <c r="T1225" s="626" t="n"/>
      <c r="U1225" s="626" t="n"/>
      <c r="V1225" s="626" t="n"/>
      <c r="W1225" s="626" t="n"/>
      <c r="X1225" s="626" t="n"/>
      <c r="Y1225" s="369" t="n"/>
      <c r="Z1225" s="369" t="n"/>
      <c r="AA1225" s="369" t="n"/>
      <c r="AB1225" s="369" t="n"/>
      <c r="AC1225" s="370" t="n"/>
      <c r="AD1225" s="370" t="n"/>
      <c r="AE1225" s="370" t="n"/>
      <c r="AF1225" s="370" t="n"/>
      <c r="AG1225" s="626" t="n"/>
      <c r="AH1225" s="626" t="n"/>
      <c r="AI1225" s="626" t="n"/>
      <c r="AJ1225" s="626" t="n"/>
      <c r="AK1225" s="626" t="n"/>
      <c r="AL1225" s="626" t="n"/>
      <c r="AM1225" s="626" t="n"/>
      <c r="AN1225" s="626" t="n"/>
      <c r="AO1225" s="626" t="n"/>
      <c r="AP1225" s="369" t="n"/>
      <c r="AQ1225" s="369" t="n"/>
      <c r="AR1225" s="369" t="n"/>
      <c r="AS1225" s="369" t="n"/>
      <c r="AT1225" s="370" t="n"/>
      <c r="AU1225" s="370" t="n"/>
      <c r="AV1225" s="370" t="n"/>
      <c r="AW1225" s="370" t="n"/>
      <c r="BJ1225">
        <f>O1225</f>
        <v/>
      </c>
      <c r="BK1225">
        <f>SUM(AG1225:AW1225)</f>
        <v/>
      </c>
      <c r="BL1225" s="531">
        <f>BJ1225-BK1225</f>
        <v/>
      </c>
      <c r="BM1225" s="201" t="n"/>
    </row>
    <row r="1226" hidden="1" outlineLevel="1" s="191">
      <c r="P1226" s="626" t="n"/>
      <c r="Q1226" s="626" t="n"/>
      <c r="R1226" s="626" t="n"/>
      <c r="S1226" s="626" t="n"/>
      <c r="T1226" s="626" t="n"/>
      <c r="U1226" s="626" t="n"/>
      <c r="V1226" s="626" t="n"/>
      <c r="W1226" s="626" t="n"/>
      <c r="X1226" s="626" t="n"/>
      <c r="Y1226" s="369" t="n"/>
      <c r="Z1226" s="369" t="n"/>
      <c r="AA1226" s="369" t="n"/>
      <c r="AB1226" s="369" t="n"/>
      <c r="AC1226" s="370" t="n"/>
      <c r="AD1226" s="370" t="n"/>
      <c r="AE1226" s="370" t="n"/>
      <c r="AF1226" s="370" t="n"/>
      <c r="AG1226" s="626" t="n"/>
      <c r="AH1226" s="626" t="n"/>
      <c r="AI1226" s="626" t="n"/>
      <c r="AJ1226" s="626" t="n"/>
      <c r="AK1226" s="626" t="n"/>
      <c r="AL1226" s="626" t="n"/>
      <c r="AM1226" s="626" t="n"/>
      <c r="AN1226" s="626" t="n"/>
      <c r="AO1226" s="626" t="n"/>
      <c r="AP1226" s="369" t="n"/>
      <c r="AQ1226" s="369" t="n"/>
      <c r="AR1226" s="369" t="n"/>
      <c r="AS1226" s="369" t="n"/>
      <c r="AT1226" s="370" t="n"/>
      <c r="AU1226" s="370" t="n"/>
      <c r="AV1226" s="370" t="n"/>
      <c r="AW1226" s="370" t="n"/>
      <c r="BJ1226">
        <f>O1226</f>
        <v/>
      </c>
      <c r="BK1226">
        <f>SUM(AG1226:AW1226)</f>
        <v/>
      </c>
      <c r="BL1226" s="531">
        <f>BJ1226-BK1226</f>
        <v/>
      </c>
      <c r="BM1226" s="201" t="n"/>
    </row>
    <row r="1227" hidden="1" outlineLevel="1" s="191">
      <c r="P1227" s="626" t="n"/>
      <c r="Q1227" s="626" t="n"/>
      <c r="R1227" s="626" t="n"/>
      <c r="S1227" s="626" t="n"/>
      <c r="T1227" s="626" t="n"/>
      <c r="U1227" s="626" t="n"/>
      <c r="V1227" s="626" t="n"/>
      <c r="W1227" s="626" t="n"/>
      <c r="X1227" s="626" t="n"/>
      <c r="Y1227" s="369" t="n"/>
      <c r="Z1227" s="369" t="n"/>
      <c r="AA1227" s="369" t="n"/>
      <c r="AB1227" s="369" t="n"/>
      <c r="AC1227" s="370" t="n"/>
      <c r="AD1227" s="370" t="n"/>
      <c r="AE1227" s="370" t="n"/>
      <c r="AF1227" s="370" t="n"/>
      <c r="AG1227" s="626" t="n"/>
      <c r="AH1227" s="626" t="n"/>
      <c r="AI1227" s="626" t="n"/>
      <c r="AJ1227" s="626" t="n"/>
      <c r="AK1227" s="626" t="n"/>
      <c r="AL1227" s="626" t="n"/>
      <c r="AM1227" s="626" t="n"/>
      <c r="AN1227" s="626" t="n"/>
      <c r="AO1227" s="626" t="n"/>
      <c r="AP1227" s="369" t="n"/>
      <c r="AQ1227" s="369" t="n"/>
      <c r="AR1227" s="369" t="n"/>
      <c r="AS1227" s="369" t="n"/>
      <c r="AT1227" s="370" t="n"/>
      <c r="AU1227" s="370" t="n"/>
      <c r="AV1227" s="370" t="n"/>
      <c r="AW1227" s="370" t="n"/>
      <c r="BJ1227">
        <f>O1227</f>
        <v/>
      </c>
      <c r="BK1227">
        <f>SUM(AG1227:AW1227)</f>
        <v/>
      </c>
      <c r="BL1227" s="531">
        <f>BJ1227-BK1227</f>
        <v/>
      </c>
      <c r="BM1227" s="201" t="n"/>
    </row>
    <row r="1228" hidden="1" outlineLevel="1" s="191">
      <c r="P1228" s="626" t="n"/>
      <c r="Q1228" s="626" t="n"/>
      <c r="R1228" s="626" t="n"/>
      <c r="S1228" s="626" t="n"/>
      <c r="T1228" s="626" t="n"/>
      <c r="U1228" s="626" t="n"/>
      <c r="V1228" s="626" t="n"/>
      <c r="W1228" s="626" t="n"/>
      <c r="X1228" s="626" t="n"/>
      <c r="Y1228" s="369" t="n"/>
      <c r="Z1228" s="369" t="n"/>
      <c r="AA1228" s="369" t="n"/>
      <c r="AB1228" s="369" t="n"/>
      <c r="AC1228" s="370" t="n"/>
      <c r="AD1228" s="370" t="n"/>
      <c r="AE1228" s="370" t="n"/>
      <c r="AF1228" s="370" t="n"/>
      <c r="AG1228" s="626" t="n"/>
      <c r="AH1228" s="626" t="n"/>
      <c r="AI1228" s="626" t="n"/>
      <c r="AJ1228" s="626" t="n"/>
      <c r="AK1228" s="626" t="n"/>
      <c r="AL1228" s="626" t="n"/>
      <c r="AM1228" s="626" t="n"/>
      <c r="AN1228" s="626" t="n"/>
      <c r="AO1228" s="626" t="n"/>
      <c r="AP1228" s="369" t="n"/>
      <c r="AQ1228" s="369" t="n"/>
      <c r="AR1228" s="369" t="n"/>
      <c r="AS1228" s="369" t="n"/>
      <c r="AT1228" s="370" t="n"/>
      <c r="AU1228" s="370" t="n"/>
      <c r="AV1228" s="370" t="n"/>
      <c r="AW1228" s="370" t="n"/>
      <c r="BJ1228">
        <f>O1228</f>
        <v/>
      </c>
      <c r="BK1228">
        <f>SUM(AG1228:AW1228)</f>
        <v/>
      </c>
      <c r="BL1228" s="531">
        <f>BJ1228-BK1228</f>
        <v/>
      </c>
      <c r="BM1228" s="201" t="n"/>
    </row>
    <row r="1229" hidden="1" outlineLevel="1" s="191">
      <c r="P1229" s="626" t="n"/>
      <c r="Q1229" s="626" t="n"/>
      <c r="R1229" s="626" t="n"/>
      <c r="S1229" s="626" t="n"/>
      <c r="T1229" s="626" t="n"/>
      <c r="U1229" s="626" t="n"/>
      <c r="V1229" s="626" t="n"/>
      <c r="W1229" s="626" t="n"/>
      <c r="X1229" s="626" t="n"/>
      <c r="Y1229" s="369" t="n"/>
      <c r="Z1229" s="369" t="n"/>
      <c r="AA1229" s="369" t="n"/>
      <c r="AB1229" s="369" t="n"/>
      <c r="AC1229" s="370" t="n"/>
      <c r="AD1229" s="370" t="n"/>
      <c r="AE1229" s="370" t="n"/>
      <c r="AF1229" s="370" t="n"/>
      <c r="AG1229" s="626" t="n"/>
      <c r="AH1229" s="626" t="n"/>
      <c r="AI1229" s="626" t="n"/>
      <c r="AJ1229" s="626" t="n"/>
      <c r="AK1229" s="626" t="n"/>
      <c r="AL1229" s="626" t="n"/>
      <c r="AM1229" s="626" t="n"/>
      <c r="AN1229" s="626" t="n"/>
      <c r="AO1229" s="626" t="n"/>
      <c r="AP1229" s="369" t="n"/>
      <c r="AQ1229" s="369" t="n"/>
      <c r="AR1229" s="369" t="n"/>
      <c r="AS1229" s="369" t="n"/>
      <c r="AT1229" s="370" t="n"/>
      <c r="AU1229" s="370" t="n"/>
      <c r="AV1229" s="370" t="n"/>
      <c r="AW1229" s="370" t="n"/>
      <c r="BJ1229">
        <f>O1229</f>
        <v/>
      </c>
      <c r="BK1229">
        <f>SUM(AG1229:AW1229)</f>
        <v/>
      </c>
      <c r="BL1229" s="531">
        <f>BJ1229-BK1229</f>
        <v/>
      </c>
      <c r="BM1229" s="201" t="n"/>
    </row>
    <row r="1230" hidden="1" outlineLevel="1" s="191">
      <c r="P1230" s="626" t="n"/>
      <c r="Q1230" s="626" t="n"/>
      <c r="R1230" s="626" t="n"/>
      <c r="S1230" s="626" t="n"/>
      <c r="T1230" s="626" t="n"/>
      <c r="U1230" s="626" t="n"/>
      <c r="V1230" s="626" t="n"/>
      <c r="W1230" s="626" t="n"/>
      <c r="X1230" s="626" t="n"/>
      <c r="Y1230" s="369" t="n"/>
      <c r="Z1230" s="369" t="n"/>
      <c r="AA1230" s="369" t="n"/>
      <c r="AB1230" s="369" t="n"/>
      <c r="AC1230" s="370" t="n"/>
      <c r="AD1230" s="370" t="n"/>
      <c r="AE1230" s="370" t="n"/>
      <c r="AF1230" s="370" t="n"/>
      <c r="AG1230" s="626" t="n"/>
      <c r="AH1230" s="626" t="n"/>
      <c r="AI1230" s="626" t="n"/>
      <c r="AJ1230" s="626" t="n"/>
      <c r="AK1230" s="626" t="n"/>
      <c r="AL1230" s="626" t="n"/>
      <c r="AM1230" s="626" t="n"/>
      <c r="AN1230" s="626" t="n"/>
      <c r="AO1230" s="626" t="n"/>
      <c r="AP1230" s="369" t="n"/>
      <c r="AQ1230" s="369" t="n"/>
      <c r="AR1230" s="369" t="n"/>
      <c r="AS1230" s="369" t="n"/>
      <c r="AT1230" s="370" t="n"/>
      <c r="AU1230" s="370" t="n"/>
      <c r="AV1230" s="370" t="n"/>
      <c r="AW1230" s="370" t="n"/>
      <c r="BJ1230">
        <f>O1230</f>
        <v/>
      </c>
      <c r="BK1230">
        <f>SUM(AG1230:AW1230)</f>
        <v/>
      </c>
      <c r="BL1230" s="531">
        <f>BJ1230-BK1230</f>
        <v/>
      </c>
      <c r="BM1230" s="201" t="n"/>
    </row>
    <row r="1231" hidden="1" outlineLevel="1" s="191">
      <c r="P1231" s="626" t="n"/>
      <c r="Q1231" s="626" t="n"/>
      <c r="R1231" s="626" t="n"/>
      <c r="S1231" s="626" t="n"/>
      <c r="T1231" s="626" t="n"/>
      <c r="U1231" s="626" t="n"/>
      <c r="V1231" s="626" t="n"/>
      <c r="W1231" s="626" t="n"/>
      <c r="X1231" s="626" t="n"/>
      <c r="Y1231" s="369" t="n"/>
      <c r="Z1231" s="369" t="n"/>
      <c r="AA1231" s="369" t="n"/>
      <c r="AB1231" s="369" t="n"/>
      <c r="AC1231" s="370" t="n"/>
      <c r="AD1231" s="370" t="n"/>
      <c r="AE1231" s="370" t="n"/>
      <c r="AF1231" s="370" t="n"/>
      <c r="AG1231" s="626" t="n"/>
      <c r="AH1231" s="626" t="n"/>
      <c r="AI1231" s="626" t="n"/>
      <c r="AJ1231" s="626" t="n"/>
      <c r="AK1231" s="626" t="n"/>
      <c r="AL1231" s="626" t="n"/>
      <c r="AM1231" s="626" t="n"/>
      <c r="AN1231" s="626" t="n"/>
      <c r="AO1231" s="626" t="n"/>
      <c r="AP1231" s="369" t="n"/>
      <c r="AQ1231" s="369" t="n"/>
      <c r="AR1231" s="369" t="n"/>
      <c r="AS1231" s="369" t="n"/>
      <c r="AT1231" s="370" t="n"/>
      <c r="AU1231" s="370" t="n"/>
      <c r="AV1231" s="370" t="n"/>
      <c r="AW1231" s="370" t="n"/>
      <c r="BJ1231">
        <f>O1231</f>
        <v/>
      </c>
      <c r="BK1231">
        <f>SUM(AG1231:AW1231)</f>
        <v/>
      </c>
      <c r="BL1231" s="531">
        <f>BJ1231-BK1231</f>
        <v/>
      </c>
      <c r="BM1231" s="201" t="n"/>
    </row>
    <row r="1232" hidden="1" outlineLevel="1" s="191">
      <c r="P1232" s="626" t="n"/>
      <c r="Q1232" s="626" t="n"/>
      <c r="R1232" s="626" t="n"/>
      <c r="S1232" s="626" t="n"/>
      <c r="T1232" s="626" t="n"/>
      <c r="U1232" s="626" t="n"/>
      <c r="V1232" s="626" t="n"/>
      <c r="W1232" s="626" t="n"/>
      <c r="X1232" s="626" t="n"/>
      <c r="Y1232" s="369" t="n"/>
      <c r="Z1232" s="369" t="n"/>
      <c r="AA1232" s="369" t="n"/>
      <c r="AB1232" s="369" t="n"/>
      <c r="AC1232" s="370" t="n"/>
      <c r="AD1232" s="370" t="n"/>
      <c r="AE1232" s="370" t="n"/>
      <c r="AF1232" s="370" t="n"/>
      <c r="AG1232" s="626" t="n"/>
      <c r="AH1232" s="626" t="n"/>
      <c r="AI1232" s="626" t="n"/>
      <c r="AJ1232" s="626" t="n"/>
      <c r="AK1232" s="626" t="n"/>
      <c r="AL1232" s="626" t="n"/>
      <c r="AM1232" s="626" t="n"/>
      <c r="AN1232" s="626" t="n"/>
      <c r="AO1232" s="626" t="n"/>
      <c r="AP1232" s="369" t="n"/>
      <c r="AQ1232" s="369" t="n"/>
      <c r="AR1232" s="369" t="n"/>
      <c r="AS1232" s="369" t="n"/>
      <c r="AT1232" s="370" t="n"/>
      <c r="AU1232" s="370" t="n"/>
      <c r="AV1232" s="370" t="n"/>
      <c r="AW1232" s="370" t="n"/>
      <c r="BJ1232">
        <f>O1232</f>
        <v/>
      </c>
      <c r="BK1232">
        <f>SUM(AG1232:AW1232)</f>
        <v/>
      </c>
      <c r="BL1232" s="531">
        <f>BJ1232-BK1232</f>
        <v/>
      </c>
      <c r="BM1232" s="201" t="n"/>
    </row>
    <row r="1233" hidden="1" outlineLevel="1" s="191">
      <c r="P1233" s="626" t="n"/>
      <c r="Q1233" s="626" t="n"/>
      <c r="R1233" s="626" t="n"/>
      <c r="S1233" s="626" t="n"/>
      <c r="T1233" s="626" t="n"/>
      <c r="U1233" s="626" t="n"/>
      <c r="V1233" s="626" t="n"/>
      <c r="W1233" s="626" t="n"/>
      <c r="X1233" s="626" t="n"/>
      <c r="Y1233" s="369" t="n"/>
      <c r="Z1233" s="369" t="n"/>
      <c r="AA1233" s="369" t="n"/>
      <c r="AB1233" s="369" t="n"/>
      <c r="AC1233" s="370" t="n"/>
      <c r="AD1233" s="370" t="n"/>
      <c r="AE1233" s="370" t="n"/>
      <c r="AF1233" s="370" t="n"/>
      <c r="AG1233" s="626" t="n"/>
      <c r="AH1233" s="626" t="n"/>
      <c r="AI1233" s="626" t="n"/>
      <c r="AJ1233" s="626" t="n"/>
      <c r="AK1233" s="626" t="n"/>
      <c r="AL1233" s="626" t="n"/>
      <c r="AM1233" s="626" t="n"/>
      <c r="AN1233" s="626" t="n"/>
      <c r="AO1233" s="626" t="n"/>
      <c r="AP1233" s="369" t="n"/>
      <c r="AQ1233" s="369" t="n"/>
      <c r="AR1233" s="369" t="n"/>
      <c r="AS1233" s="369" t="n"/>
      <c r="AT1233" s="370" t="n"/>
      <c r="AU1233" s="370" t="n"/>
      <c r="AV1233" s="370" t="n"/>
      <c r="AW1233" s="370" t="n"/>
      <c r="BJ1233">
        <f>O1233</f>
        <v/>
      </c>
      <c r="BK1233">
        <f>SUM(AG1233:AW1233)</f>
        <v/>
      </c>
      <c r="BL1233" s="531">
        <f>BJ1233-BK1233</f>
        <v/>
      </c>
      <c r="BM1233" s="201" t="n"/>
    </row>
    <row r="1234" hidden="1" outlineLevel="1" s="191">
      <c r="P1234" s="626" t="n"/>
      <c r="Q1234" s="626" t="n"/>
      <c r="R1234" s="626" t="n"/>
      <c r="S1234" s="626" t="n"/>
      <c r="T1234" s="626" t="n"/>
      <c r="U1234" s="626" t="n"/>
      <c r="V1234" s="626" t="n"/>
      <c r="W1234" s="626" t="n"/>
      <c r="X1234" s="626" t="n"/>
      <c r="Y1234" s="369" t="n"/>
      <c r="Z1234" s="369" t="n"/>
      <c r="AA1234" s="369" t="n"/>
      <c r="AB1234" s="369" t="n"/>
      <c r="AC1234" s="370" t="n"/>
      <c r="AD1234" s="370" t="n"/>
      <c r="AE1234" s="370" t="n"/>
      <c r="AF1234" s="370" t="n"/>
      <c r="AG1234" s="626" t="n"/>
      <c r="AH1234" s="626" t="n"/>
      <c r="AI1234" s="626" t="n"/>
      <c r="AJ1234" s="626" t="n"/>
      <c r="AK1234" s="626" t="n"/>
      <c r="AL1234" s="626" t="n"/>
      <c r="AM1234" s="626" t="n"/>
      <c r="AN1234" s="626" t="n"/>
      <c r="AO1234" s="626" t="n"/>
      <c r="AP1234" s="369" t="n"/>
      <c r="AQ1234" s="369" t="n"/>
      <c r="AR1234" s="369" t="n"/>
      <c r="AS1234" s="369" t="n"/>
      <c r="AT1234" s="370" t="n"/>
      <c r="AU1234" s="370" t="n"/>
      <c r="AV1234" s="370" t="n"/>
      <c r="AW1234" s="370" t="n"/>
      <c r="BJ1234">
        <f>O1234</f>
        <v/>
      </c>
      <c r="BK1234">
        <f>SUM(AG1234:AW1234)</f>
        <v/>
      </c>
      <c r="BL1234" s="531">
        <f>BJ1234-BK1234</f>
        <v/>
      </c>
      <c r="BM1234" s="201" t="n"/>
    </row>
    <row r="1235" hidden="1" outlineLevel="1" s="191">
      <c r="P1235" s="626" t="n"/>
      <c r="Q1235" s="626" t="n"/>
      <c r="R1235" s="626" t="n"/>
      <c r="S1235" s="626" t="n"/>
      <c r="T1235" s="626" t="n"/>
      <c r="U1235" s="626" t="n"/>
      <c r="V1235" s="626" t="n"/>
      <c r="W1235" s="626" t="n"/>
      <c r="X1235" s="626" t="n"/>
      <c r="Y1235" s="369" t="n"/>
      <c r="Z1235" s="369" t="n"/>
      <c r="AA1235" s="369" t="n"/>
      <c r="AB1235" s="369" t="n"/>
      <c r="AC1235" s="370" t="n"/>
      <c r="AD1235" s="370" t="n"/>
      <c r="AE1235" s="370" t="n"/>
      <c r="AF1235" s="370" t="n"/>
      <c r="AG1235" s="626" t="n"/>
      <c r="AH1235" s="626" t="n"/>
      <c r="AI1235" s="626" t="n"/>
      <c r="AJ1235" s="626" t="n"/>
      <c r="AK1235" s="626" t="n"/>
      <c r="AL1235" s="626" t="n"/>
      <c r="AM1235" s="626" t="n"/>
      <c r="AN1235" s="626" t="n"/>
      <c r="AO1235" s="626" t="n"/>
      <c r="AP1235" s="369" t="n"/>
      <c r="AQ1235" s="369" t="n"/>
      <c r="AR1235" s="369" t="n"/>
      <c r="AS1235" s="369" t="n"/>
      <c r="AT1235" s="370" t="n"/>
      <c r="AU1235" s="370" t="n"/>
      <c r="AV1235" s="370" t="n"/>
      <c r="AW1235" s="370" t="n"/>
      <c r="BJ1235">
        <f>O1235</f>
        <v/>
      </c>
      <c r="BK1235">
        <f>SUM(AG1235:AW1235)</f>
        <v/>
      </c>
      <c r="BL1235" s="531">
        <f>BJ1235-BK1235</f>
        <v/>
      </c>
      <c r="BM1235" s="201" t="n"/>
    </row>
    <row r="1236" hidden="1" outlineLevel="1" s="191">
      <c r="P1236" s="626" t="n"/>
      <c r="Q1236" s="626" t="n"/>
      <c r="R1236" s="626" t="n"/>
      <c r="S1236" s="626" t="n"/>
      <c r="T1236" s="626" t="n"/>
      <c r="U1236" s="626" t="n"/>
      <c r="V1236" s="626" t="n"/>
      <c r="W1236" s="626" t="n"/>
      <c r="X1236" s="626" t="n"/>
      <c r="Y1236" s="369" t="n"/>
      <c r="Z1236" s="369" t="n"/>
      <c r="AA1236" s="369" t="n"/>
      <c r="AB1236" s="369" t="n"/>
      <c r="AC1236" s="370" t="n"/>
      <c r="AD1236" s="370" t="n"/>
      <c r="AE1236" s="370" t="n"/>
      <c r="AF1236" s="370" t="n"/>
      <c r="AG1236" s="626" t="n"/>
      <c r="AH1236" s="626" t="n"/>
      <c r="AI1236" s="626" t="n"/>
      <c r="AJ1236" s="626" t="n"/>
      <c r="AK1236" s="626" t="n"/>
      <c r="AL1236" s="626" t="n"/>
      <c r="AM1236" s="626" t="n"/>
      <c r="AN1236" s="626" t="n"/>
      <c r="AO1236" s="626" t="n"/>
      <c r="AP1236" s="369" t="n"/>
      <c r="AQ1236" s="369" t="n"/>
      <c r="AR1236" s="369" t="n"/>
      <c r="AS1236" s="369" t="n"/>
      <c r="AT1236" s="370" t="n"/>
      <c r="AU1236" s="370" t="n"/>
      <c r="AV1236" s="370" t="n"/>
      <c r="AW1236" s="370" t="n"/>
      <c r="BJ1236">
        <f>O1236</f>
        <v/>
      </c>
      <c r="BK1236">
        <f>SUM(AG1236:AW1236)</f>
        <v/>
      </c>
      <c r="BL1236" s="531">
        <f>BJ1236-BK1236</f>
        <v/>
      </c>
      <c r="BM1236" s="201" t="n"/>
    </row>
    <row r="1237" hidden="1" outlineLevel="1" s="191">
      <c r="P1237" s="626" t="n"/>
      <c r="Q1237" s="626" t="n"/>
      <c r="R1237" s="626" t="n"/>
      <c r="S1237" s="626" t="n"/>
      <c r="T1237" s="626" t="n"/>
      <c r="U1237" s="626" t="n"/>
      <c r="V1237" s="626" t="n"/>
      <c r="W1237" s="626" t="n"/>
      <c r="X1237" s="626" t="n"/>
      <c r="Y1237" s="369" t="n"/>
      <c r="Z1237" s="369" t="n"/>
      <c r="AA1237" s="369" t="n"/>
      <c r="AB1237" s="369" t="n"/>
      <c r="AC1237" s="370" t="n"/>
      <c r="AD1237" s="370" t="n"/>
      <c r="AE1237" s="370" t="n"/>
      <c r="AF1237" s="370" t="n"/>
      <c r="AG1237" s="626" t="n"/>
      <c r="AH1237" s="626" t="n"/>
      <c r="AI1237" s="626" t="n"/>
      <c r="AJ1237" s="626" t="n"/>
      <c r="AK1237" s="626" t="n"/>
      <c r="AL1237" s="626" t="n"/>
      <c r="AM1237" s="626" t="n"/>
      <c r="AN1237" s="626" t="n"/>
      <c r="AO1237" s="626" t="n"/>
      <c r="AP1237" s="369" t="n"/>
      <c r="AQ1237" s="369" t="n"/>
      <c r="AR1237" s="369" t="n"/>
      <c r="AS1237" s="369" t="n"/>
      <c r="AT1237" s="370" t="n"/>
      <c r="AU1237" s="370" t="n"/>
      <c r="AV1237" s="370" t="n"/>
      <c r="AW1237" s="370" t="n"/>
      <c r="BJ1237">
        <f>O1237</f>
        <v/>
      </c>
      <c r="BK1237">
        <f>SUM(AG1237:AW1237)</f>
        <v/>
      </c>
      <c r="BL1237" s="531">
        <f>BJ1237-BK1237</f>
        <v/>
      </c>
      <c r="BM1237" s="201" t="n"/>
    </row>
    <row r="1238" hidden="1" outlineLevel="1" s="191">
      <c r="P1238" s="626" t="n"/>
      <c r="Q1238" s="626" t="n"/>
      <c r="R1238" s="626" t="n"/>
      <c r="S1238" s="626" t="n"/>
      <c r="T1238" s="626" t="n"/>
      <c r="U1238" s="626" t="n"/>
      <c r="V1238" s="626" t="n"/>
      <c r="W1238" s="626" t="n"/>
      <c r="X1238" s="626" t="n"/>
      <c r="Y1238" s="369" t="n"/>
      <c r="Z1238" s="369" t="n"/>
      <c r="AA1238" s="369" t="n"/>
      <c r="AB1238" s="369" t="n"/>
      <c r="AC1238" s="370" t="n"/>
      <c r="AD1238" s="370" t="n"/>
      <c r="AE1238" s="370" t="n"/>
      <c r="AF1238" s="370" t="n"/>
      <c r="AG1238" s="626" t="n"/>
      <c r="AH1238" s="626" t="n"/>
      <c r="AI1238" s="626" t="n"/>
      <c r="AJ1238" s="626" t="n"/>
      <c r="AK1238" s="626" t="n"/>
      <c r="AL1238" s="626" t="n"/>
      <c r="AM1238" s="626" t="n"/>
      <c r="AN1238" s="626" t="n"/>
      <c r="AO1238" s="626" t="n"/>
      <c r="AP1238" s="369" t="n"/>
      <c r="AQ1238" s="369" t="n"/>
      <c r="AR1238" s="369" t="n"/>
      <c r="AS1238" s="369" t="n"/>
      <c r="AT1238" s="370" t="n"/>
      <c r="AU1238" s="370" t="n"/>
      <c r="AV1238" s="370" t="n"/>
      <c r="AW1238" s="370" t="n"/>
      <c r="BJ1238">
        <f>O1238</f>
        <v/>
      </c>
      <c r="BK1238">
        <f>SUM(AG1238:AW1238)</f>
        <v/>
      </c>
      <c r="BL1238" s="531">
        <f>BJ1238-BK1238</f>
        <v/>
      </c>
      <c r="BM1238" s="201" t="n"/>
    </row>
    <row r="1239" hidden="1" outlineLevel="1" s="191">
      <c r="P1239" s="626" t="n"/>
      <c r="Q1239" s="626" t="n"/>
      <c r="R1239" s="626" t="n"/>
      <c r="S1239" s="626" t="n"/>
      <c r="T1239" s="626" t="n"/>
      <c r="U1239" s="626" t="n"/>
      <c r="V1239" s="626" t="n"/>
      <c r="W1239" s="626" t="n"/>
      <c r="X1239" s="626" t="n"/>
      <c r="Y1239" s="369" t="n"/>
      <c r="Z1239" s="369" t="n"/>
      <c r="AA1239" s="369" t="n"/>
      <c r="AB1239" s="369" t="n"/>
      <c r="AC1239" s="370" t="n"/>
      <c r="AD1239" s="370" t="n"/>
      <c r="AE1239" s="370" t="n"/>
      <c r="AF1239" s="370" t="n"/>
      <c r="AG1239" s="626" t="n"/>
      <c r="AH1239" s="626" t="n"/>
      <c r="AI1239" s="626" t="n"/>
      <c r="AJ1239" s="626" t="n"/>
      <c r="AK1239" s="626" t="n"/>
      <c r="AL1239" s="626" t="n"/>
      <c r="AM1239" s="626" t="n"/>
      <c r="AN1239" s="626" t="n"/>
      <c r="AO1239" s="626" t="n"/>
      <c r="AP1239" s="369" t="n"/>
      <c r="AQ1239" s="369" t="n"/>
      <c r="AR1239" s="369" t="n"/>
      <c r="AS1239" s="369" t="n"/>
      <c r="AT1239" s="370" t="n"/>
      <c r="AU1239" s="370" t="n"/>
      <c r="AV1239" s="370" t="n"/>
      <c r="AW1239" s="370" t="n"/>
      <c r="BJ1239">
        <f>O1239</f>
        <v/>
      </c>
      <c r="BK1239">
        <f>SUM(AG1239:AW1239)</f>
        <v/>
      </c>
      <c r="BL1239" s="531">
        <f>BJ1239-BK1239</f>
        <v/>
      </c>
      <c r="BM1239" s="201" t="n"/>
    </row>
    <row r="1240" hidden="1" outlineLevel="1" s="191">
      <c r="P1240" s="626" t="n"/>
      <c r="Q1240" s="626" t="n"/>
      <c r="R1240" s="626" t="n"/>
      <c r="S1240" s="626" t="n"/>
      <c r="T1240" s="626" t="n"/>
      <c r="U1240" s="626" t="n"/>
      <c r="V1240" s="626" t="n"/>
      <c r="W1240" s="626" t="n"/>
      <c r="X1240" s="626" t="n"/>
      <c r="Y1240" s="369" t="n"/>
      <c r="Z1240" s="369" t="n"/>
      <c r="AA1240" s="369" t="n"/>
      <c r="AB1240" s="369" t="n"/>
      <c r="AC1240" s="370" t="n"/>
      <c r="AD1240" s="370" t="n"/>
      <c r="AE1240" s="370" t="n"/>
      <c r="AF1240" s="370" t="n"/>
      <c r="AG1240" s="626" t="n"/>
      <c r="AH1240" s="626" t="n"/>
      <c r="AI1240" s="626" t="n"/>
      <c r="AJ1240" s="626" t="n"/>
      <c r="AK1240" s="626" t="n"/>
      <c r="AL1240" s="626" t="n"/>
      <c r="AM1240" s="626" t="n"/>
      <c r="AN1240" s="626" t="n"/>
      <c r="AO1240" s="626" t="n"/>
      <c r="AP1240" s="369" t="n"/>
      <c r="AQ1240" s="369" t="n"/>
      <c r="AR1240" s="369" t="n"/>
      <c r="AS1240" s="369" t="n"/>
      <c r="AT1240" s="370" t="n"/>
      <c r="AU1240" s="370" t="n"/>
      <c r="AV1240" s="370" t="n"/>
      <c r="AW1240" s="370" t="n"/>
      <c r="BJ1240">
        <f>O1240</f>
        <v/>
      </c>
      <c r="BK1240">
        <f>SUM(AG1240:AW1240)</f>
        <v/>
      </c>
      <c r="BL1240" s="531">
        <f>BJ1240-BK1240</f>
        <v/>
      </c>
      <c r="BM1240" s="201" t="n"/>
    </row>
    <row r="1241" hidden="1" outlineLevel="1" s="191">
      <c r="P1241" s="626" t="n"/>
      <c r="Q1241" s="626" t="n"/>
      <c r="R1241" s="626" t="n"/>
      <c r="S1241" s="626" t="n"/>
      <c r="T1241" s="626" t="n"/>
      <c r="U1241" s="626" t="n"/>
      <c r="V1241" s="626" t="n"/>
      <c r="W1241" s="626" t="n"/>
      <c r="X1241" s="626" t="n"/>
      <c r="Y1241" s="369" t="n"/>
      <c r="Z1241" s="369" t="n"/>
      <c r="AA1241" s="369" t="n"/>
      <c r="AB1241" s="369" t="n"/>
      <c r="AC1241" s="370" t="n"/>
      <c r="AD1241" s="370" t="n"/>
      <c r="AE1241" s="370" t="n"/>
      <c r="AF1241" s="370" t="n"/>
      <c r="AG1241" s="626" t="n"/>
      <c r="AH1241" s="626" t="n"/>
      <c r="AI1241" s="626" t="n"/>
      <c r="AJ1241" s="626" t="n"/>
      <c r="AK1241" s="626" t="n"/>
      <c r="AL1241" s="626" t="n"/>
      <c r="AM1241" s="626" t="n"/>
      <c r="AN1241" s="626" t="n"/>
      <c r="AO1241" s="626" t="n"/>
      <c r="AP1241" s="369" t="n"/>
      <c r="AQ1241" s="369" t="n"/>
      <c r="AR1241" s="369" t="n"/>
      <c r="AS1241" s="369" t="n"/>
      <c r="AT1241" s="370" t="n"/>
      <c r="AU1241" s="370" t="n"/>
      <c r="AV1241" s="370" t="n"/>
      <c r="AW1241" s="370" t="n"/>
      <c r="BJ1241">
        <f>O1241</f>
        <v/>
      </c>
      <c r="BK1241">
        <f>SUM(AG1241:AW1241)</f>
        <v/>
      </c>
      <c r="BL1241" s="531">
        <f>BJ1241-BK1241</f>
        <v/>
      </c>
      <c r="BM1241" s="201" t="n"/>
    </row>
    <row r="1242" hidden="1" outlineLevel="1" s="191">
      <c r="P1242" s="626" t="n"/>
      <c r="Q1242" s="626" t="n"/>
      <c r="R1242" s="626" t="n"/>
      <c r="S1242" s="626" t="n"/>
      <c r="T1242" s="626" t="n"/>
      <c r="U1242" s="626" t="n"/>
      <c r="V1242" s="626" t="n"/>
      <c r="W1242" s="626" t="n"/>
      <c r="X1242" s="626" t="n"/>
      <c r="Y1242" s="369" t="n"/>
      <c r="Z1242" s="369" t="n"/>
      <c r="AA1242" s="369" t="n"/>
      <c r="AB1242" s="369" t="n"/>
      <c r="AC1242" s="370" t="n"/>
      <c r="AD1242" s="370" t="n"/>
      <c r="AE1242" s="370" t="n"/>
      <c r="AF1242" s="370" t="n"/>
      <c r="AG1242" s="626" t="n"/>
      <c r="AH1242" s="626" t="n"/>
      <c r="AI1242" s="626" t="n"/>
      <c r="AJ1242" s="626" t="n"/>
      <c r="AK1242" s="626" t="n"/>
      <c r="AL1242" s="626" t="n"/>
      <c r="AM1242" s="626" t="n"/>
      <c r="AN1242" s="626" t="n"/>
      <c r="AO1242" s="626" t="n"/>
      <c r="AP1242" s="369" t="n"/>
      <c r="AQ1242" s="369" t="n"/>
      <c r="AR1242" s="369" t="n"/>
      <c r="AS1242" s="369" t="n"/>
      <c r="AT1242" s="370" t="n"/>
      <c r="AU1242" s="370" t="n"/>
      <c r="AV1242" s="370" t="n"/>
      <c r="AW1242" s="370" t="n"/>
      <c r="BJ1242">
        <f>O1242</f>
        <v/>
      </c>
      <c r="BK1242">
        <f>SUM(AG1242:AW1242)</f>
        <v/>
      </c>
      <c r="BL1242" s="531">
        <f>BJ1242-BK1242</f>
        <v/>
      </c>
      <c r="BM1242" s="201" t="n"/>
    </row>
    <row r="1243" hidden="1" outlineLevel="1" s="191">
      <c r="P1243" s="626" t="n"/>
      <c r="Q1243" s="626" t="n"/>
      <c r="R1243" s="626" t="n"/>
      <c r="S1243" s="626" t="n"/>
      <c r="T1243" s="626" t="n"/>
      <c r="U1243" s="626" t="n"/>
      <c r="V1243" s="626" t="n"/>
      <c r="W1243" s="626" t="n"/>
      <c r="X1243" s="626" t="n"/>
      <c r="Y1243" s="369" t="n"/>
      <c r="Z1243" s="369" t="n"/>
      <c r="AA1243" s="369" t="n"/>
      <c r="AB1243" s="369" t="n"/>
      <c r="AC1243" s="370" t="n"/>
      <c r="AD1243" s="370" t="n"/>
      <c r="AE1243" s="370" t="n"/>
      <c r="AF1243" s="370" t="n"/>
      <c r="AG1243" s="626" t="n"/>
      <c r="AH1243" s="626" t="n"/>
      <c r="AI1243" s="626" t="n"/>
      <c r="AJ1243" s="626" t="n"/>
      <c r="AK1243" s="626" t="n"/>
      <c r="AL1243" s="626" t="n"/>
      <c r="AM1243" s="626" t="n"/>
      <c r="AN1243" s="626" t="n"/>
      <c r="AO1243" s="626" t="n"/>
      <c r="AP1243" s="369" t="n"/>
      <c r="AQ1243" s="369" t="n"/>
      <c r="AR1243" s="369" t="n"/>
      <c r="AS1243" s="369" t="n"/>
      <c r="AT1243" s="370" t="n"/>
      <c r="AU1243" s="370" t="n"/>
      <c r="AV1243" s="370" t="n"/>
      <c r="AW1243" s="370" t="n"/>
      <c r="BJ1243">
        <f>O1243</f>
        <v/>
      </c>
      <c r="BK1243">
        <f>SUM(AG1243:AW1243)</f>
        <v/>
      </c>
      <c r="BL1243" s="531">
        <f>BJ1243-BK1243</f>
        <v/>
      </c>
      <c r="BM1243" s="201" t="n"/>
    </row>
    <row r="1244" hidden="1" outlineLevel="1" s="191">
      <c r="P1244" s="626" t="n"/>
      <c r="Q1244" s="626" t="n"/>
      <c r="R1244" s="626" t="n"/>
      <c r="S1244" s="626" t="n"/>
      <c r="T1244" s="626" t="n"/>
      <c r="U1244" s="626" t="n"/>
      <c r="V1244" s="626" t="n"/>
      <c r="W1244" s="626" t="n"/>
      <c r="X1244" s="626" t="n"/>
      <c r="Y1244" s="369" t="n"/>
      <c r="Z1244" s="369" t="n"/>
      <c r="AA1244" s="369" t="n"/>
      <c r="AB1244" s="369" t="n"/>
      <c r="AC1244" s="370" t="n"/>
      <c r="AD1244" s="370" t="n"/>
      <c r="AE1244" s="370" t="n"/>
      <c r="AF1244" s="370" t="n"/>
      <c r="AG1244" s="626" t="n"/>
      <c r="AH1244" s="626" t="n"/>
      <c r="AI1244" s="626" t="n"/>
      <c r="AJ1244" s="626" t="n"/>
      <c r="AK1244" s="626" t="n"/>
      <c r="AL1244" s="626" t="n"/>
      <c r="AM1244" s="626" t="n"/>
      <c r="AN1244" s="626" t="n"/>
      <c r="AO1244" s="626" t="n"/>
      <c r="AP1244" s="369" t="n"/>
      <c r="AQ1244" s="369" t="n"/>
      <c r="AR1244" s="369" t="n"/>
      <c r="AS1244" s="369" t="n"/>
      <c r="AT1244" s="370" t="n"/>
      <c r="AU1244" s="370" t="n"/>
      <c r="AV1244" s="370" t="n"/>
      <c r="AW1244" s="370" t="n"/>
      <c r="BJ1244">
        <f>O1244</f>
        <v/>
      </c>
      <c r="BK1244">
        <f>SUM(AG1244:AW1244)</f>
        <v/>
      </c>
      <c r="BL1244" s="531">
        <f>BJ1244-BK1244</f>
        <v/>
      </c>
      <c r="BM1244" s="201" t="n"/>
    </row>
    <row r="1245" hidden="1" outlineLevel="1" s="191">
      <c r="P1245" s="626" t="n"/>
      <c r="Q1245" s="626" t="n"/>
      <c r="R1245" s="626" t="n"/>
      <c r="S1245" s="626" t="n"/>
      <c r="T1245" s="626" t="n"/>
      <c r="U1245" s="626" t="n"/>
      <c r="V1245" s="626" t="n"/>
      <c r="W1245" s="626" t="n"/>
      <c r="X1245" s="626" t="n"/>
      <c r="Y1245" s="369" t="n"/>
      <c r="Z1245" s="369" t="n"/>
      <c r="AA1245" s="369" t="n"/>
      <c r="AB1245" s="369" t="n"/>
      <c r="AC1245" s="370" t="n"/>
      <c r="AD1245" s="370" t="n"/>
      <c r="AE1245" s="370" t="n"/>
      <c r="AF1245" s="370" t="n"/>
      <c r="AG1245" s="626" t="n"/>
      <c r="AH1245" s="626" t="n"/>
      <c r="AI1245" s="626" t="n"/>
      <c r="AJ1245" s="626" t="n"/>
      <c r="AK1245" s="626" t="n"/>
      <c r="AL1245" s="626" t="n"/>
      <c r="AM1245" s="626" t="n"/>
      <c r="AN1245" s="626" t="n"/>
      <c r="AO1245" s="626" t="n"/>
      <c r="AP1245" s="369" t="n"/>
      <c r="AQ1245" s="369" t="n"/>
      <c r="AR1245" s="369" t="n"/>
      <c r="AS1245" s="369" t="n"/>
      <c r="AT1245" s="370" t="n"/>
      <c r="AU1245" s="370" t="n"/>
      <c r="AV1245" s="370" t="n"/>
      <c r="AW1245" s="370" t="n"/>
      <c r="BJ1245">
        <f>O1245</f>
        <v/>
      </c>
      <c r="BK1245">
        <f>SUM(AG1245:AW1245)</f>
        <v/>
      </c>
      <c r="BL1245" s="531">
        <f>BJ1245-BK1245</f>
        <v/>
      </c>
      <c r="BM1245" s="201" t="n"/>
    </row>
    <row r="1246" hidden="1" outlineLevel="1" s="191">
      <c r="P1246" s="626" t="n"/>
      <c r="Q1246" s="626" t="n"/>
      <c r="R1246" s="626" t="n"/>
      <c r="S1246" s="626" t="n"/>
      <c r="T1246" s="626" t="n"/>
      <c r="U1246" s="626" t="n"/>
      <c r="V1246" s="626" t="n"/>
      <c r="W1246" s="626" t="n"/>
      <c r="X1246" s="626" t="n"/>
      <c r="Y1246" s="369" t="n"/>
      <c r="Z1246" s="369" t="n"/>
      <c r="AA1246" s="369" t="n"/>
      <c r="AB1246" s="369" t="n"/>
      <c r="AC1246" s="370" t="n"/>
      <c r="AD1246" s="370" t="n"/>
      <c r="AE1246" s="370" t="n"/>
      <c r="AF1246" s="370" t="n"/>
      <c r="AG1246" s="626" t="n"/>
      <c r="AH1246" s="626" t="n"/>
      <c r="AI1246" s="626" t="n"/>
      <c r="AJ1246" s="626" t="n"/>
      <c r="AK1246" s="626" t="n"/>
      <c r="AL1246" s="626" t="n"/>
      <c r="AM1246" s="626" t="n"/>
      <c r="AN1246" s="626" t="n"/>
      <c r="AO1246" s="626" t="n"/>
      <c r="AP1246" s="369" t="n"/>
      <c r="AQ1246" s="369" t="n"/>
      <c r="AR1246" s="369" t="n"/>
      <c r="AS1246" s="369" t="n"/>
      <c r="AT1246" s="370" t="n"/>
      <c r="AU1246" s="370" t="n"/>
      <c r="AV1246" s="370" t="n"/>
      <c r="AW1246" s="370" t="n"/>
      <c r="BJ1246">
        <f>O1246</f>
        <v/>
      </c>
      <c r="BK1246">
        <f>SUM(AG1246:AW1246)</f>
        <v/>
      </c>
      <c r="BL1246" s="531">
        <f>BJ1246-BK1246</f>
        <v/>
      </c>
      <c r="BM1246" s="201" t="n"/>
    </row>
    <row r="1247" hidden="1" outlineLevel="1" s="191">
      <c r="P1247" s="626" t="n"/>
      <c r="Q1247" s="626" t="n"/>
      <c r="R1247" s="626" t="n"/>
      <c r="S1247" s="626" t="n"/>
      <c r="T1247" s="626" t="n"/>
      <c r="U1247" s="626" t="n"/>
      <c r="V1247" s="626" t="n"/>
      <c r="W1247" s="626" t="n"/>
      <c r="X1247" s="626" t="n"/>
      <c r="Y1247" s="369" t="n"/>
      <c r="Z1247" s="369" t="n"/>
      <c r="AA1247" s="369" t="n"/>
      <c r="AB1247" s="369" t="n"/>
      <c r="AC1247" s="370" t="n"/>
      <c r="AD1247" s="370" t="n"/>
      <c r="AE1247" s="370" t="n"/>
      <c r="AF1247" s="370" t="n"/>
      <c r="AG1247" s="626" t="n"/>
      <c r="AH1247" s="626" t="n"/>
      <c r="AI1247" s="626" t="n"/>
      <c r="AJ1247" s="626" t="n"/>
      <c r="AK1247" s="626" t="n"/>
      <c r="AL1247" s="626" t="n"/>
      <c r="AM1247" s="626" t="n"/>
      <c r="AN1247" s="626" t="n"/>
      <c r="AO1247" s="626" t="n"/>
      <c r="AP1247" s="369" t="n"/>
      <c r="AQ1247" s="369" t="n"/>
      <c r="AR1247" s="369" t="n"/>
      <c r="AS1247" s="369" t="n"/>
      <c r="AT1247" s="370" t="n"/>
      <c r="AU1247" s="370" t="n"/>
      <c r="AV1247" s="370" t="n"/>
      <c r="AW1247" s="370" t="n"/>
      <c r="BJ1247">
        <f>O1247</f>
        <v/>
      </c>
      <c r="BK1247">
        <f>SUM(AG1247:AW1247)</f>
        <v/>
      </c>
      <c r="BL1247" s="531">
        <f>BJ1247-BK1247</f>
        <v/>
      </c>
      <c r="BM1247" s="201" t="n"/>
    </row>
    <row r="1248" hidden="1" outlineLevel="1" s="191">
      <c r="P1248" s="626" t="n"/>
      <c r="Q1248" s="626" t="n"/>
      <c r="R1248" s="626" t="n"/>
      <c r="S1248" s="626" t="n"/>
      <c r="T1248" s="626" t="n"/>
      <c r="U1248" s="626" t="n"/>
      <c r="V1248" s="626" t="n"/>
      <c r="W1248" s="626" t="n"/>
      <c r="X1248" s="626" t="n"/>
      <c r="Y1248" s="369" t="n"/>
      <c r="Z1248" s="369" t="n"/>
      <c r="AA1248" s="369" t="n"/>
      <c r="AB1248" s="369" t="n"/>
      <c r="AC1248" s="370" t="n"/>
      <c r="AD1248" s="370" t="n"/>
      <c r="AE1248" s="370" t="n"/>
      <c r="AF1248" s="370" t="n"/>
      <c r="AG1248" s="626" t="n"/>
      <c r="AH1248" s="626" t="n"/>
      <c r="AI1248" s="626" t="n"/>
      <c r="AJ1248" s="626" t="n"/>
      <c r="AK1248" s="626" t="n"/>
      <c r="AL1248" s="626" t="n"/>
      <c r="AM1248" s="626" t="n"/>
      <c r="AN1248" s="626" t="n"/>
      <c r="AO1248" s="626" t="n"/>
      <c r="AP1248" s="369" t="n"/>
      <c r="AQ1248" s="369" t="n"/>
      <c r="AR1248" s="369" t="n"/>
      <c r="AS1248" s="369" t="n"/>
      <c r="AT1248" s="370" t="n"/>
      <c r="AU1248" s="370" t="n"/>
      <c r="AV1248" s="370" t="n"/>
      <c r="AW1248" s="370" t="n"/>
      <c r="BJ1248">
        <f>O1248</f>
        <v/>
      </c>
      <c r="BK1248">
        <f>SUM(AG1248:AW1248)</f>
        <v/>
      </c>
      <c r="BL1248" s="531">
        <f>BJ1248-BK1248</f>
        <v/>
      </c>
      <c r="BM1248" s="201" t="n"/>
    </row>
    <row r="1249" hidden="1" outlineLevel="1" s="191">
      <c r="P1249" s="626" t="n"/>
      <c r="Q1249" s="626" t="n"/>
      <c r="R1249" s="626" t="n"/>
      <c r="S1249" s="626" t="n"/>
      <c r="T1249" s="626" t="n"/>
      <c r="U1249" s="626" t="n"/>
      <c r="V1249" s="626" t="n"/>
      <c r="W1249" s="626" t="n"/>
      <c r="X1249" s="626" t="n"/>
      <c r="Y1249" s="369" t="n"/>
      <c r="Z1249" s="369" t="n"/>
      <c r="AA1249" s="369" t="n"/>
      <c r="AB1249" s="369" t="n"/>
      <c r="AC1249" s="370" t="n"/>
      <c r="AD1249" s="370" t="n"/>
      <c r="AE1249" s="370" t="n"/>
      <c r="AF1249" s="370" t="n"/>
      <c r="AG1249" s="626" t="n"/>
      <c r="AH1249" s="626" t="n"/>
      <c r="AI1249" s="626" t="n"/>
      <c r="AJ1249" s="626" t="n"/>
      <c r="AK1249" s="626" t="n"/>
      <c r="AL1249" s="626" t="n"/>
      <c r="AM1249" s="626" t="n"/>
      <c r="AN1249" s="626" t="n"/>
      <c r="AO1249" s="626" t="n"/>
      <c r="AP1249" s="369" t="n"/>
      <c r="AQ1249" s="369" t="n"/>
      <c r="AR1249" s="369" t="n"/>
      <c r="AS1249" s="369" t="n"/>
      <c r="AT1249" s="370" t="n"/>
      <c r="AU1249" s="370" t="n"/>
      <c r="AV1249" s="370" t="n"/>
      <c r="AW1249" s="370" t="n"/>
      <c r="BJ1249">
        <f>O1249</f>
        <v/>
      </c>
      <c r="BK1249">
        <f>SUM(AG1249:AW1249)</f>
        <v/>
      </c>
      <c r="BL1249" s="531">
        <f>BJ1249-BK1249</f>
        <v/>
      </c>
      <c r="BM1249" s="201" t="n"/>
    </row>
    <row r="1250" hidden="1" outlineLevel="1" s="191">
      <c r="P1250" s="626" t="n"/>
      <c r="Q1250" s="626" t="n"/>
      <c r="R1250" s="626" t="n"/>
      <c r="S1250" s="626" t="n"/>
      <c r="T1250" s="626" t="n"/>
      <c r="U1250" s="626" t="n"/>
      <c r="V1250" s="626" t="n"/>
      <c r="W1250" s="626" t="n"/>
      <c r="X1250" s="626" t="n"/>
      <c r="Y1250" s="369" t="n"/>
      <c r="Z1250" s="369" t="n"/>
      <c r="AA1250" s="369" t="n"/>
      <c r="AB1250" s="369" t="n"/>
      <c r="AC1250" s="370" t="n"/>
      <c r="AD1250" s="370" t="n"/>
      <c r="AE1250" s="370" t="n"/>
      <c r="AF1250" s="370" t="n"/>
      <c r="AG1250" s="626" t="n"/>
      <c r="AH1250" s="626" t="n"/>
      <c r="AI1250" s="626" t="n"/>
      <c r="AJ1250" s="626" t="n"/>
      <c r="AK1250" s="626" t="n"/>
      <c r="AL1250" s="626" t="n"/>
      <c r="AM1250" s="626" t="n"/>
      <c r="AN1250" s="626" t="n"/>
      <c r="AO1250" s="626" t="n"/>
      <c r="AP1250" s="369" t="n"/>
      <c r="AQ1250" s="369" t="n"/>
      <c r="AR1250" s="369" t="n"/>
      <c r="AS1250" s="369" t="n"/>
      <c r="AT1250" s="370" t="n"/>
      <c r="AU1250" s="370" t="n"/>
      <c r="AV1250" s="370" t="n"/>
      <c r="AW1250" s="370" t="n"/>
      <c r="BJ1250">
        <f>O1250</f>
        <v/>
      </c>
      <c r="BK1250">
        <f>SUM(AG1250:AW1250)</f>
        <v/>
      </c>
      <c r="BL1250" s="531">
        <f>BJ1250-BK1250</f>
        <v/>
      </c>
      <c r="BM1250" s="201" t="n"/>
    </row>
    <row r="1251" hidden="1" outlineLevel="1" s="191">
      <c r="P1251" s="626" t="n"/>
      <c r="Q1251" s="626" t="n"/>
      <c r="R1251" s="626" t="n"/>
      <c r="S1251" s="626" t="n"/>
      <c r="T1251" s="626" t="n"/>
      <c r="U1251" s="626" t="n"/>
      <c r="V1251" s="626" t="n"/>
      <c r="W1251" s="626" t="n"/>
      <c r="X1251" s="626" t="n"/>
      <c r="Y1251" s="369" t="n"/>
      <c r="Z1251" s="369" t="n"/>
      <c r="AA1251" s="369" t="n"/>
      <c r="AB1251" s="369" t="n"/>
      <c r="AC1251" s="370" t="n"/>
      <c r="AD1251" s="370" t="n"/>
      <c r="AE1251" s="370" t="n"/>
      <c r="AF1251" s="370" t="n"/>
      <c r="AG1251" s="626" t="n"/>
      <c r="AH1251" s="626" t="n"/>
      <c r="AI1251" s="626" t="n"/>
      <c r="AJ1251" s="626" t="n"/>
      <c r="AK1251" s="626" t="n"/>
      <c r="AL1251" s="626" t="n"/>
      <c r="AM1251" s="626" t="n"/>
      <c r="AN1251" s="626" t="n"/>
      <c r="AO1251" s="626" t="n"/>
      <c r="AP1251" s="369" t="n"/>
      <c r="AQ1251" s="369" t="n"/>
      <c r="AR1251" s="369" t="n"/>
      <c r="AS1251" s="369" t="n"/>
      <c r="AT1251" s="370" t="n"/>
      <c r="AU1251" s="370" t="n"/>
      <c r="AV1251" s="370" t="n"/>
      <c r="AW1251" s="370" t="n"/>
      <c r="BJ1251">
        <f>O1251</f>
        <v/>
      </c>
      <c r="BK1251">
        <f>SUM(AG1251:AW1251)</f>
        <v/>
      </c>
      <c r="BL1251" s="531">
        <f>BJ1251-BK1251</f>
        <v/>
      </c>
      <c r="BM1251" s="201" t="n"/>
    </row>
    <row r="1252" hidden="1" outlineLevel="1" s="191">
      <c r="P1252" s="626" t="n"/>
      <c r="Q1252" s="626" t="n"/>
      <c r="R1252" s="626" t="n"/>
      <c r="S1252" s="626" t="n"/>
      <c r="T1252" s="626" t="n"/>
      <c r="U1252" s="626" t="n"/>
      <c r="V1252" s="626" t="n"/>
      <c r="W1252" s="626" t="n"/>
      <c r="X1252" s="626" t="n"/>
      <c r="Y1252" s="369" t="n"/>
      <c r="Z1252" s="369" t="n"/>
      <c r="AA1252" s="369" t="n"/>
      <c r="AB1252" s="369" t="n"/>
      <c r="AC1252" s="370" t="n"/>
      <c r="AD1252" s="370" t="n"/>
      <c r="AE1252" s="370" t="n"/>
      <c r="AF1252" s="370" t="n"/>
      <c r="AG1252" s="626" t="n"/>
      <c r="AH1252" s="626" t="n"/>
      <c r="AI1252" s="626" t="n"/>
      <c r="AJ1252" s="626" t="n"/>
      <c r="AK1252" s="626" t="n"/>
      <c r="AL1252" s="626" t="n"/>
      <c r="AM1252" s="626" t="n"/>
      <c r="AN1252" s="626" t="n"/>
      <c r="AO1252" s="626" t="n"/>
      <c r="AP1252" s="369" t="n"/>
      <c r="AQ1252" s="369" t="n"/>
      <c r="AR1252" s="369" t="n"/>
      <c r="AS1252" s="369" t="n"/>
      <c r="AT1252" s="370" t="n"/>
      <c r="AU1252" s="370" t="n"/>
      <c r="AV1252" s="370" t="n"/>
      <c r="AW1252" s="370" t="n"/>
      <c r="BJ1252">
        <f>O1252</f>
        <v/>
      </c>
      <c r="BK1252">
        <f>SUM(AG1252:AW1252)</f>
        <v/>
      </c>
      <c r="BL1252" s="531">
        <f>BJ1252-BK1252</f>
        <v/>
      </c>
      <c r="BM1252" s="201" t="n"/>
    </row>
    <row r="1253" hidden="1" outlineLevel="1" s="191">
      <c r="P1253" s="626" t="n"/>
      <c r="Q1253" s="626" t="n"/>
      <c r="R1253" s="626" t="n"/>
      <c r="S1253" s="626" t="n"/>
      <c r="T1253" s="626" t="n"/>
      <c r="U1253" s="626" t="n"/>
      <c r="V1253" s="626" t="n"/>
      <c r="W1253" s="626" t="n"/>
      <c r="X1253" s="626" t="n"/>
      <c r="Y1253" s="369" t="n"/>
      <c r="Z1253" s="369" t="n"/>
      <c r="AA1253" s="369" t="n"/>
      <c r="AB1253" s="369" t="n"/>
      <c r="AC1253" s="370" t="n"/>
      <c r="AD1253" s="370" t="n"/>
      <c r="AE1253" s="370" t="n"/>
      <c r="AF1253" s="370" t="n"/>
      <c r="AG1253" s="626" t="n"/>
      <c r="AH1253" s="626" t="n"/>
      <c r="AI1253" s="626" t="n"/>
      <c r="AJ1253" s="626" t="n"/>
      <c r="AK1253" s="626" t="n"/>
      <c r="AL1253" s="626" t="n"/>
      <c r="AM1253" s="626" t="n"/>
      <c r="AN1253" s="626" t="n"/>
      <c r="AO1253" s="626" t="n"/>
      <c r="AP1253" s="369" t="n"/>
      <c r="AQ1253" s="369" t="n"/>
      <c r="AR1253" s="369" t="n"/>
      <c r="AS1253" s="369" t="n"/>
      <c r="AT1253" s="370" t="n"/>
      <c r="AU1253" s="370" t="n"/>
      <c r="AV1253" s="370" t="n"/>
      <c r="AW1253" s="370" t="n"/>
      <c r="BJ1253">
        <f>O1253</f>
        <v/>
      </c>
      <c r="BK1253">
        <f>SUM(AG1253:AW1253)</f>
        <v/>
      </c>
      <c r="BL1253" s="531">
        <f>BJ1253-BK1253</f>
        <v/>
      </c>
      <c r="BM1253" s="201" t="n"/>
    </row>
    <row r="1254" hidden="1" outlineLevel="1" s="191">
      <c r="P1254" s="626" t="n"/>
      <c r="Q1254" s="626" t="n"/>
      <c r="R1254" s="626" t="n"/>
      <c r="S1254" s="626" t="n"/>
      <c r="T1254" s="626" t="n"/>
      <c r="U1254" s="626" t="n"/>
      <c r="V1254" s="626" t="n"/>
      <c r="W1254" s="626" t="n"/>
      <c r="X1254" s="626" t="n"/>
      <c r="Y1254" s="369" t="n"/>
      <c r="Z1254" s="369" t="n"/>
      <c r="AA1254" s="369" t="n"/>
      <c r="AB1254" s="369" t="n"/>
      <c r="AC1254" s="370" t="n"/>
      <c r="AD1254" s="370" t="n"/>
      <c r="AE1254" s="370" t="n"/>
      <c r="AF1254" s="370" t="n"/>
      <c r="AG1254" s="626" t="n"/>
      <c r="AH1254" s="626" t="n"/>
      <c r="AI1254" s="626" t="n"/>
      <c r="AJ1254" s="626" t="n"/>
      <c r="AK1254" s="626" t="n"/>
      <c r="AL1254" s="626" t="n"/>
      <c r="AM1254" s="626" t="n"/>
      <c r="AN1254" s="626" t="n"/>
      <c r="AO1254" s="626" t="n"/>
      <c r="AP1254" s="369" t="n"/>
      <c r="AQ1254" s="369" t="n"/>
      <c r="AR1254" s="369" t="n"/>
      <c r="AS1254" s="369" t="n"/>
      <c r="AT1254" s="370" t="n"/>
      <c r="AU1254" s="370" t="n"/>
      <c r="AV1254" s="370" t="n"/>
      <c r="AW1254" s="370" t="n"/>
      <c r="BJ1254">
        <f>O1254</f>
        <v/>
      </c>
      <c r="BK1254">
        <f>SUM(AG1254:AW1254)</f>
        <v/>
      </c>
      <c r="BL1254" s="531">
        <f>BJ1254-BK1254</f>
        <v/>
      </c>
      <c r="BM1254" s="201" t="n"/>
    </row>
    <row r="1255" hidden="1" outlineLevel="1" s="191">
      <c r="P1255" s="626" t="n"/>
      <c r="Q1255" s="626" t="n"/>
      <c r="R1255" s="626" t="n"/>
      <c r="S1255" s="626" t="n"/>
      <c r="T1255" s="626" t="n"/>
      <c r="U1255" s="626" t="n"/>
      <c r="V1255" s="626" t="n"/>
      <c r="W1255" s="626" t="n"/>
      <c r="X1255" s="626" t="n"/>
      <c r="Y1255" s="369" t="n"/>
      <c r="Z1255" s="369" t="n"/>
      <c r="AA1255" s="369" t="n"/>
      <c r="AB1255" s="369" t="n"/>
      <c r="AC1255" s="370" t="n"/>
      <c r="AD1255" s="370" t="n"/>
      <c r="AE1255" s="370" t="n"/>
      <c r="AF1255" s="370" t="n"/>
      <c r="AG1255" s="626" t="n"/>
      <c r="AH1255" s="626" t="n"/>
      <c r="AI1255" s="626" t="n"/>
      <c r="AJ1255" s="626" t="n"/>
      <c r="AK1255" s="626" t="n"/>
      <c r="AL1255" s="626" t="n"/>
      <c r="AM1255" s="626" t="n"/>
      <c r="AN1255" s="626" t="n"/>
      <c r="AO1255" s="626" t="n"/>
      <c r="AP1255" s="369" t="n"/>
      <c r="AQ1255" s="369" t="n"/>
      <c r="AR1255" s="369" t="n"/>
      <c r="AS1255" s="369" t="n"/>
      <c r="AT1255" s="370" t="n"/>
      <c r="AU1255" s="370" t="n"/>
      <c r="AV1255" s="370" t="n"/>
      <c r="AW1255" s="370" t="n"/>
      <c r="BJ1255">
        <f>O1255</f>
        <v/>
      </c>
      <c r="BK1255">
        <f>SUM(AG1255:AW1255)</f>
        <v/>
      </c>
      <c r="BL1255" s="531">
        <f>BJ1255-BK1255</f>
        <v/>
      </c>
      <c r="BM1255" s="201" t="n"/>
    </row>
    <row r="1256" hidden="1" outlineLevel="1" s="191">
      <c r="P1256" s="626" t="n"/>
      <c r="Q1256" s="626" t="n"/>
      <c r="R1256" s="626" t="n"/>
      <c r="S1256" s="626" t="n"/>
      <c r="T1256" s="626" t="n"/>
      <c r="U1256" s="626" t="n"/>
      <c r="V1256" s="626" t="n"/>
      <c r="W1256" s="626" t="n"/>
      <c r="X1256" s="626" t="n"/>
      <c r="Y1256" s="369" t="n"/>
      <c r="Z1256" s="369" t="n"/>
      <c r="AA1256" s="369" t="n"/>
      <c r="AB1256" s="369" t="n"/>
      <c r="AC1256" s="370" t="n"/>
      <c r="AD1256" s="370" t="n"/>
      <c r="AE1256" s="370" t="n"/>
      <c r="AF1256" s="370" t="n"/>
      <c r="AG1256" s="626" t="n"/>
      <c r="AH1256" s="626" t="n"/>
      <c r="AI1256" s="626" t="n"/>
      <c r="AJ1256" s="626" t="n"/>
      <c r="AK1256" s="626" t="n"/>
      <c r="AL1256" s="626" t="n"/>
      <c r="AM1256" s="626" t="n"/>
      <c r="AN1256" s="626" t="n"/>
      <c r="AO1256" s="626" t="n"/>
      <c r="AP1256" s="369" t="n"/>
      <c r="AQ1256" s="369" t="n"/>
      <c r="AR1256" s="369" t="n"/>
      <c r="AS1256" s="369" t="n"/>
      <c r="AT1256" s="370" t="n"/>
      <c r="AU1256" s="370" t="n"/>
      <c r="AV1256" s="370" t="n"/>
      <c r="AW1256" s="370" t="n"/>
      <c r="BJ1256">
        <f>O1256</f>
        <v/>
      </c>
      <c r="BK1256">
        <f>SUM(AG1256:AW1256)</f>
        <v/>
      </c>
      <c r="BL1256" s="531">
        <f>BJ1256-BK1256</f>
        <v/>
      </c>
      <c r="BM1256" s="201" t="n"/>
    </row>
    <row r="1257" hidden="1" outlineLevel="1" s="191">
      <c r="P1257" s="626" t="n"/>
      <c r="Q1257" s="626" t="n"/>
      <c r="R1257" s="626" t="n"/>
      <c r="S1257" s="626" t="n"/>
      <c r="T1257" s="626" t="n"/>
      <c r="U1257" s="626" t="n"/>
      <c r="V1257" s="626" t="n"/>
      <c r="W1257" s="626" t="n"/>
      <c r="X1257" s="626" t="n"/>
      <c r="Y1257" s="369" t="n"/>
      <c r="Z1257" s="369" t="n"/>
      <c r="AA1257" s="369" t="n"/>
      <c r="AB1257" s="369" t="n"/>
      <c r="AC1257" s="370" t="n"/>
      <c r="AD1257" s="370" t="n"/>
      <c r="AE1257" s="370" t="n"/>
      <c r="AF1257" s="370" t="n"/>
      <c r="AG1257" s="626" t="n"/>
      <c r="AH1257" s="626" t="n"/>
      <c r="AI1257" s="626" t="n"/>
      <c r="AJ1257" s="626" t="n"/>
      <c r="AK1257" s="626" t="n"/>
      <c r="AL1257" s="626" t="n"/>
      <c r="AM1257" s="626" t="n"/>
      <c r="AN1257" s="626" t="n"/>
      <c r="AO1257" s="626" t="n"/>
      <c r="AP1257" s="369" t="n"/>
      <c r="AQ1257" s="369" t="n"/>
      <c r="AR1257" s="369" t="n"/>
      <c r="AS1257" s="369" t="n"/>
      <c r="AT1257" s="370" t="n"/>
      <c r="AU1257" s="370" t="n"/>
      <c r="AV1257" s="370" t="n"/>
      <c r="AW1257" s="370" t="n"/>
      <c r="BJ1257">
        <f>O1257</f>
        <v/>
      </c>
      <c r="BK1257">
        <f>SUM(AG1257:AW1257)</f>
        <v/>
      </c>
      <c r="BL1257" s="531">
        <f>BJ1257-BK1257</f>
        <v/>
      </c>
      <c r="BM1257" s="201" t="n"/>
    </row>
    <row r="1258" hidden="1" outlineLevel="1" s="191">
      <c r="P1258" s="626" t="n"/>
      <c r="Q1258" s="626" t="n"/>
      <c r="R1258" s="626" t="n"/>
      <c r="S1258" s="626" t="n"/>
      <c r="T1258" s="626" t="n"/>
      <c r="U1258" s="626" t="n"/>
      <c r="V1258" s="626" t="n"/>
      <c r="W1258" s="626" t="n"/>
      <c r="X1258" s="626" t="n"/>
      <c r="Y1258" s="369" t="n"/>
      <c r="Z1258" s="369" t="n"/>
      <c r="AA1258" s="369" t="n"/>
      <c r="AB1258" s="369" t="n"/>
      <c r="AC1258" s="370" t="n"/>
      <c r="AD1258" s="370" t="n"/>
      <c r="AE1258" s="370" t="n"/>
      <c r="AF1258" s="370" t="n"/>
      <c r="AG1258" s="626" t="n"/>
      <c r="AH1258" s="626" t="n"/>
      <c r="AI1258" s="626" t="n"/>
      <c r="AJ1258" s="626" t="n"/>
      <c r="AK1258" s="626" t="n"/>
      <c r="AL1258" s="626" t="n"/>
      <c r="AM1258" s="626" t="n"/>
      <c r="AN1258" s="626" t="n"/>
      <c r="AO1258" s="626" t="n"/>
      <c r="AP1258" s="369" t="n"/>
      <c r="AQ1258" s="369" t="n"/>
      <c r="AR1258" s="369" t="n"/>
      <c r="AS1258" s="369" t="n"/>
      <c r="AT1258" s="370" t="n"/>
      <c r="AU1258" s="370" t="n"/>
      <c r="AV1258" s="370" t="n"/>
      <c r="AW1258" s="370" t="n"/>
      <c r="BJ1258">
        <f>O1258</f>
        <v/>
      </c>
      <c r="BK1258">
        <f>SUM(AG1258:AW1258)</f>
        <v/>
      </c>
      <c r="BL1258" s="531">
        <f>BJ1258-BK1258</f>
        <v/>
      </c>
      <c r="BM1258" s="201" t="n"/>
    </row>
    <row r="1259" hidden="1" outlineLevel="1" s="191">
      <c r="P1259" s="626" t="n"/>
      <c r="Q1259" s="626" t="n"/>
      <c r="R1259" s="626" t="n"/>
      <c r="S1259" s="626" t="n"/>
      <c r="T1259" s="626" t="n"/>
      <c r="U1259" s="626" t="n"/>
      <c r="V1259" s="626" t="n"/>
      <c r="W1259" s="626" t="n"/>
      <c r="X1259" s="626" t="n"/>
      <c r="Y1259" s="369" t="n"/>
      <c r="Z1259" s="369" t="n"/>
      <c r="AA1259" s="369" t="n"/>
      <c r="AB1259" s="369" t="n"/>
      <c r="AC1259" s="370" t="n"/>
      <c r="AD1259" s="370" t="n"/>
      <c r="AE1259" s="370" t="n"/>
      <c r="AF1259" s="370" t="n"/>
      <c r="AG1259" s="626" t="n"/>
      <c r="AH1259" s="626" t="n"/>
      <c r="AI1259" s="626" t="n"/>
      <c r="AJ1259" s="626" t="n"/>
      <c r="AK1259" s="626" t="n"/>
      <c r="AL1259" s="626" t="n"/>
      <c r="AM1259" s="626" t="n"/>
      <c r="AN1259" s="626" t="n"/>
      <c r="AO1259" s="626" t="n"/>
      <c r="AP1259" s="369" t="n"/>
      <c r="AQ1259" s="369" t="n"/>
      <c r="AR1259" s="369" t="n"/>
      <c r="AS1259" s="369" t="n"/>
      <c r="AT1259" s="370" t="n"/>
      <c r="AU1259" s="370" t="n"/>
      <c r="AV1259" s="370" t="n"/>
      <c r="AW1259" s="370" t="n"/>
      <c r="BJ1259">
        <f>O1259</f>
        <v/>
      </c>
      <c r="BK1259">
        <f>SUM(AG1259:AW1259)</f>
        <v/>
      </c>
      <c r="BL1259" s="531">
        <f>BJ1259-BK1259</f>
        <v/>
      </c>
      <c r="BM1259" s="201" t="n"/>
    </row>
    <row r="1260" hidden="1" outlineLevel="1" s="191">
      <c r="P1260" s="626" t="n"/>
      <c r="Q1260" s="626" t="n"/>
      <c r="R1260" s="626" t="n"/>
      <c r="S1260" s="626" t="n"/>
      <c r="T1260" s="626" t="n"/>
      <c r="U1260" s="626" t="n"/>
      <c r="V1260" s="626" t="n"/>
      <c r="W1260" s="626" t="n"/>
      <c r="X1260" s="626" t="n"/>
      <c r="Y1260" s="369" t="n"/>
      <c r="Z1260" s="369" t="n"/>
      <c r="AA1260" s="369" t="n"/>
      <c r="AB1260" s="369" t="n"/>
      <c r="AC1260" s="370" t="n"/>
      <c r="AD1260" s="370" t="n"/>
      <c r="AE1260" s="370" t="n"/>
      <c r="AF1260" s="370" t="n"/>
      <c r="AG1260" s="626" t="n"/>
      <c r="AH1260" s="626" t="n"/>
      <c r="AI1260" s="626" t="n"/>
      <c r="AJ1260" s="626" t="n"/>
      <c r="AK1260" s="626" t="n"/>
      <c r="AL1260" s="626" t="n"/>
      <c r="AM1260" s="626" t="n"/>
      <c r="AN1260" s="626" t="n"/>
      <c r="AO1260" s="626" t="n"/>
      <c r="AP1260" s="369" t="n"/>
      <c r="AQ1260" s="369" t="n"/>
      <c r="AR1260" s="369" t="n"/>
      <c r="AS1260" s="369" t="n"/>
      <c r="AT1260" s="370" t="n"/>
      <c r="AU1260" s="370" t="n"/>
      <c r="AV1260" s="370" t="n"/>
      <c r="AW1260" s="370" t="n"/>
      <c r="BJ1260">
        <f>O1260</f>
        <v/>
      </c>
      <c r="BK1260">
        <f>SUM(AG1260:AW1260)</f>
        <v/>
      </c>
      <c r="BL1260" s="531">
        <f>BJ1260-BK1260</f>
        <v/>
      </c>
      <c r="BM1260" s="201" t="n"/>
    </row>
    <row r="1261" hidden="1" outlineLevel="1" s="191">
      <c r="P1261" s="626" t="n"/>
      <c r="Q1261" s="626" t="n"/>
      <c r="R1261" s="626" t="n"/>
      <c r="S1261" s="626" t="n"/>
      <c r="T1261" s="626" t="n"/>
      <c r="U1261" s="626" t="n"/>
      <c r="V1261" s="626" t="n"/>
      <c r="W1261" s="626" t="n"/>
      <c r="X1261" s="626" t="n"/>
      <c r="Y1261" s="369" t="n"/>
      <c r="Z1261" s="369" t="n"/>
      <c r="AA1261" s="369" t="n"/>
      <c r="AB1261" s="369" t="n"/>
      <c r="AC1261" s="370" t="n"/>
      <c r="AD1261" s="370" t="n"/>
      <c r="AE1261" s="370" t="n"/>
      <c r="AF1261" s="370" t="n"/>
      <c r="AG1261" s="626" t="n"/>
      <c r="AH1261" s="626" t="n"/>
      <c r="AI1261" s="626" t="n"/>
      <c r="AJ1261" s="626" t="n"/>
      <c r="AK1261" s="626" t="n"/>
      <c r="AL1261" s="626" t="n"/>
      <c r="AM1261" s="626" t="n"/>
      <c r="AN1261" s="626" t="n"/>
      <c r="AO1261" s="626" t="n"/>
      <c r="AP1261" s="369" t="n"/>
      <c r="AQ1261" s="369" t="n"/>
      <c r="AR1261" s="369" t="n"/>
      <c r="AS1261" s="369" t="n"/>
      <c r="AT1261" s="370" t="n"/>
      <c r="AU1261" s="370" t="n"/>
      <c r="AV1261" s="370" t="n"/>
      <c r="AW1261" s="370" t="n"/>
      <c r="BJ1261">
        <f>O1261</f>
        <v/>
      </c>
      <c r="BK1261">
        <f>SUM(AG1261:AW1261)</f>
        <v/>
      </c>
      <c r="BL1261" s="531">
        <f>BJ1261-BK1261</f>
        <v/>
      </c>
      <c r="BM1261" s="201" t="n"/>
    </row>
    <row r="1262" hidden="1" outlineLevel="1" s="191">
      <c r="P1262" s="626" t="n"/>
      <c r="Q1262" s="626" t="n"/>
      <c r="R1262" s="626" t="n"/>
      <c r="S1262" s="626" t="n"/>
      <c r="T1262" s="626" t="n"/>
      <c r="U1262" s="626" t="n"/>
      <c r="V1262" s="626" t="n"/>
      <c r="W1262" s="626" t="n"/>
      <c r="X1262" s="626" t="n"/>
      <c r="Y1262" s="369" t="n"/>
      <c r="Z1262" s="369" t="n"/>
      <c r="AA1262" s="369" t="n"/>
      <c r="AB1262" s="369" t="n"/>
      <c r="AC1262" s="370" t="n"/>
      <c r="AD1262" s="370" t="n"/>
      <c r="AE1262" s="370" t="n"/>
      <c r="AF1262" s="370" t="n"/>
      <c r="AG1262" s="626" t="n"/>
      <c r="AH1262" s="626" t="n"/>
      <c r="AI1262" s="626" t="n"/>
      <c r="AJ1262" s="626" t="n"/>
      <c r="AK1262" s="626" t="n"/>
      <c r="AL1262" s="626" t="n"/>
      <c r="AM1262" s="626" t="n"/>
      <c r="AN1262" s="626" t="n"/>
      <c r="AO1262" s="626" t="n"/>
      <c r="AP1262" s="369" t="n"/>
      <c r="AQ1262" s="369" t="n"/>
      <c r="AR1262" s="369" t="n"/>
      <c r="AS1262" s="369" t="n"/>
      <c r="AT1262" s="370" t="n"/>
      <c r="AU1262" s="370" t="n"/>
      <c r="AV1262" s="370" t="n"/>
      <c r="AW1262" s="370" t="n"/>
      <c r="BJ1262">
        <f>O1262</f>
        <v/>
      </c>
      <c r="BK1262">
        <f>SUM(AG1262:AW1262)</f>
        <v/>
      </c>
      <c r="BL1262" s="531">
        <f>BJ1262-BK1262</f>
        <v/>
      </c>
      <c r="BM1262" s="201" t="n"/>
    </row>
    <row r="1263" hidden="1" outlineLevel="1" s="191">
      <c r="P1263" s="626" t="n"/>
      <c r="Q1263" s="626" t="n"/>
      <c r="R1263" s="626" t="n"/>
      <c r="S1263" s="626" t="n"/>
      <c r="T1263" s="626" t="n"/>
      <c r="U1263" s="626" t="n"/>
      <c r="V1263" s="626" t="n"/>
      <c r="W1263" s="626" t="n"/>
      <c r="X1263" s="626" t="n"/>
      <c r="Y1263" s="369" t="n"/>
      <c r="Z1263" s="369" t="n"/>
      <c r="AA1263" s="369" t="n"/>
      <c r="AB1263" s="369" t="n"/>
      <c r="AC1263" s="370" t="n"/>
      <c r="AD1263" s="370" t="n"/>
      <c r="AE1263" s="370" t="n"/>
      <c r="AF1263" s="370" t="n"/>
      <c r="AG1263" s="626" t="n"/>
      <c r="AH1263" s="626" t="n"/>
      <c r="AI1263" s="626" t="n"/>
      <c r="AJ1263" s="626" t="n"/>
      <c r="AK1263" s="626" t="n"/>
      <c r="AL1263" s="626" t="n"/>
      <c r="AM1263" s="626" t="n"/>
      <c r="AN1263" s="626" t="n"/>
      <c r="AO1263" s="626" t="n"/>
      <c r="AP1263" s="369" t="n"/>
      <c r="AQ1263" s="369" t="n"/>
      <c r="AR1263" s="369" t="n"/>
      <c r="AS1263" s="369" t="n"/>
      <c r="AT1263" s="370" t="n"/>
      <c r="AU1263" s="370" t="n"/>
      <c r="AV1263" s="370" t="n"/>
      <c r="AW1263" s="370" t="n"/>
      <c r="BJ1263">
        <f>O1263</f>
        <v/>
      </c>
      <c r="BK1263">
        <f>SUM(AG1263:AW1263)</f>
        <v/>
      </c>
      <c r="BL1263" s="531">
        <f>BJ1263-BK1263</f>
        <v/>
      </c>
      <c r="BM1263" s="201" t="n"/>
    </row>
    <row r="1264" hidden="1" outlineLevel="1" s="191">
      <c r="P1264" s="626" t="n"/>
      <c r="Q1264" s="626" t="n"/>
      <c r="R1264" s="626" t="n"/>
      <c r="S1264" s="626" t="n"/>
      <c r="T1264" s="626" t="n"/>
      <c r="U1264" s="626" t="n"/>
      <c r="V1264" s="626" t="n"/>
      <c r="W1264" s="626" t="n"/>
      <c r="X1264" s="626" t="n"/>
      <c r="Y1264" s="369" t="n"/>
      <c r="Z1264" s="369" t="n"/>
      <c r="AA1264" s="369" t="n"/>
      <c r="AB1264" s="369" t="n"/>
      <c r="AC1264" s="370" t="n"/>
      <c r="AD1264" s="370" t="n"/>
      <c r="AE1264" s="370" t="n"/>
      <c r="AF1264" s="370" t="n"/>
      <c r="AG1264" s="626" t="n"/>
      <c r="AH1264" s="626" t="n"/>
      <c r="AI1264" s="626" t="n"/>
      <c r="AJ1264" s="626" t="n"/>
      <c r="AK1264" s="626" t="n"/>
      <c r="AL1264" s="626" t="n"/>
      <c r="AM1264" s="626" t="n"/>
      <c r="AN1264" s="626" t="n"/>
      <c r="AO1264" s="626" t="n"/>
      <c r="AP1264" s="369" t="n"/>
      <c r="AQ1264" s="369" t="n"/>
      <c r="AR1264" s="369" t="n"/>
      <c r="AS1264" s="369" t="n"/>
      <c r="AT1264" s="370" t="n"/>
      <c r="AU1264" s="370" t="n"/>
      <c r="AV1264" s="370" t="n"/>
      <c r="AW1264" s="370" t="n"/>
      <c r="BJ1264">
        <f>O1264</f>
        <v/>
      </c>
      <c r="BK1264">
        <f>SUM(AG1264:AW1264)</f>
        <v/>
      </c>
      <c r="BL1264" s="531">
        <f>BJ1264-BK1264</f>
        <v/>
      </c>
      <c r="BM1264" s="201" t="n"/>
    </row>
    <row r="1265" hidden="1" outlineLevel="1" s="191">
      <c r="P1265" s="626" t="n"/>
      <c r="Q1265" s="626" t="n"/>
      <c r="R1265" s="626" t="n"/>
      <c r="S1265" s="626" t="n"/>
      <c r="T1265" s="626" t="n"/>
      <c r="U1265" s="626" t="n"/>
      <c r="V1265" s="626" t="n"/>
      <c r="W1265" s="626" t="n"/>
      <c r="X1265" s="626" t="n"/>
      <c r="Y1265" s="369" t="n"/>
      <c r="Z1265" s="369" t="n"/>
      <c r="AA1265" s="369" t="n"/>
      <c r="AB1265" s="369" t="n"/>
      <c r="AC1265" s="370" t="n"/>
      <c r="AD1265" s="370" t="n"/>
      <c r="AE1265" s="370" t="n"/>
      <c r="AF1265" s="370" t="n"/>
      <c r="AG1265" s="626" t="n"/>
      <c r="AH1265" s="626" t="n"/>
      <c r="AI1265" s="626" t="n"/>
      <c r="AJ1265" s="626" t="n"/>
      <c r="AK1265" s="626" t="n"/>
      <c r="AL1265" s="626" t="n"/>
      <c r="AM1265" s="626" t="n"/>
      <c r="AN1265" s="626" t="n"/>
      <c r="AO1265" s="626" t="n"/>
      <c r="AP1265" s="369" t="n"/>
      <c r="AQ1265" s="369" t="n"/>
      <c r="AR1265" s="369" t="n"/>
      <c r="AS1265" s="369" t="n"/>
      <c r="AT1265" s="370" t="n"/>
      <c r="AU1265" s="370" t="n"/>
      <c r="AV1265" s="370" t="n"/>
      <c r="AW1265" s="370" t="n"/>
      <c r="BJ1265">
        <f>O1265</f>
        <v/>
      </c>
      <c r="BK1265">
        <f>SUM(AG1265:AW1265)</f>
        <v/>
      </c>
      <c r="BL1265" s="531">
        <f>BJ1265-BK1265</f>
        <v/>
      </c>
      <c r="BM1265" s="201" t="n"/>
    </row>
    <row r="1266" hidden="1" outlineLevel="1" s="191">
      <c r="P1266" s="626" t="n"/>
      <c r="Q1266" s="626" t="n"/>
      <c r="R1266" s="626" t="n"/>
      <c r="S1266" s="626" t="n"/>
      <c r="T1266" s="626" t="n"/>
      <c r="U1266" s="626" t="n"/>
      <c r="V1266" s="626" t="n"/>
      <c r="W1266" s="626" t="n"/>
      <c r="X1266" s="626" t="n"/>
      <c r="Y1266" s="369" t="n"/>
      <c r="Z1266" s="369" t="n"/>
      <c r="AA1266" s="369" t="n"/>
      <c r="AB1266" s="369" t="n"/>
      <c r="AC1266" s="370" t="n"/>
      <c r="AD1266" s="370" t="n"/>
      <c r="AE1266" s="370" t="n"/>
      <c r="AF1266" s="370" t="n"/>
      <c r="AG1266" s="626" t="n"/>
      <c r="AH1266" s="626" t="n"/>
      <c r="AI1266" s="626" t="n"/>
      <c r="AJ1266" s="626" t="n"/>
      <c r="AK1266" s="626" t="n"/>
      <c r="AL1266" s="626" t="n"/>
      <c r="AM1266" s="626" t="n"/>
      <c r="AN1266" s="626" t="n"/>
      <c r="AO1266" s="626" t="n"/>
      <c r="AP1266" s="369" t="n"/>
      <c r="AQ1266" s="369" t="n"/>
      <c r="AR1266" s="369" t="n"/>
      <c r="AS1266" s="369" t="n"/>
      <c r="AT1266" s="370" t="n"/>
      <c r="AU1266" s="370" t="n"/>
      <c r="AV1266" s="370" t="n"/>
      <c r="AW1266" s="370" t="n"/>
      <c r="BJ1266">
        <f>O1266</f>
        <v/>
      </c>
      <c r="BK1266">
        <f>SUM(AG1266:AW1266)</f>
        <v/>
      </c>
      <c r="BL1266" s="531">
        <f>BJ1266-BK1266</f>
        <v/>
      </c>
      <c r="BM1266" s="201" t="n"/>
    </row>
    <row r="1267" hidden="1" outlineLevel="1" s="191">
      <c r="P1267" s="626" t="n"/>
      <c r="Q1267" s="626" t="n"/>
      <c r="R1267" s="626" t="n"/>
      <c r="S1267" s="626" t="n"/>
      <c r="T1267" s="626" t="n"/>
      <c r="U1267" s="626" t="n"/>
      <c r="V1267" s="626" t="n"/>
      <c r="W1267" s="626" t="n"/>
      <c r="X1267" s="626" t="n"/>
      <c r="Y1267" s="369" t="n"/>
      <c r="Z1267" s="369" t="n"/>
      <c r="AA1267" s="369" t="n"/>
      <c r="AB1267" s="369" t="n"/>
      <c r="AC1267" s="370" t="n"/>
      <c r="AD1267" s="370" t="n"/>
      <c r="AE1267" s="370" t="n"/>
      <c r="AF1267" s="370" t="n"/>
      <c r="AG1267" s="626" t="n"/>
      <c r="AH1267" s="626" t="n"/>
      <c r="AI1267" s="626" t="n"/>
      <c r="AJ1267" s="626" t="n"/>
      <c r="AK1267" s="626" t="n"/>
      <c r="AL1267" s="626" t="n"/>
      <c r="AM1267" s="626" t="n"/>
      <c r="AN1267" s="626" t="n"/>
      <c r="AO1267" s="626" t="n"/>
      <c r="AP1267" s="369" t="n"/>
      <c r="AQ1267" s="369" t="n"/>
      <c r="AR1267" s="369" t="n"/>
      <c r="AS1267" s="369" t="n"/>
      <c r="AT1267" s="370" t="n"/>
      <c r="AU1267" s="370" t="n"/>
      <c r="AV1267" s="370" t="n"/>
      <c r="AW1267" s="370" t="n"/>
      <c r="BJ1267">
        <f>O1267</f>
        <v/>
      </c>
      <c r="BK1267">
        <f>SUM(AG1267:AW1267)</f>
        <v/>
      </c>
      <c r="BL1267" s="531">
        <f>BJ1267-BK1267</f>
        <v/>
      </c>
      <c r="BM1267" s="201" t="n"/>
    </row>
    <row r="1268" hidden="1" outlineLevel="1" s="191">
      <c r="P1268" s="626" t="n"/>
      <c r="Q1268" s="626" t="n"/>
      <c r="R1268" s="626" t="n"/>
      <c r="S1268" s="626" t="n"/>
      <c r="T1268" s="626" t="n"/>
      <c r="U1268" s="626" t="n"/>
      <c r="V1268" s="626" t="n"/>
      <c r="W1268" s="626" t="n"/>
      <c r="X1268" s="626" t="n"/>
      <c r="Y1268" s="369" t="n"/>
      <c r="Z1268" s="369" t="n"/>
      <c r="AA1268" s="369" t="n"/>
      <c r="AB1268" s="369" t="n"/>
      <c r="AC1268" s="370" t="n"/>
      <c r="AD1268" s="370" t="n"/>
      <c r="AE1268" s="370" t="n"/>
      <c r="AF1268" s="370" t="n"/>
      <c r="AG1268" s="626" t="n"/>
      <c r="AH1268" s="626" t="n"/>
      <c r="AI1268" s="626" t="n"/>
      <c r="AJ1268" s="626" t="n"/>
      <c r="AK1268" s="626" t="n"/>
      <c r="AL1268" s="626" t="n"/>
      <c r="AM1268" s="626" t="n"/>
      <c r="AN1268" s="626" t="n"/>
      <c r="AO1268" s="626" t="n"/>
      <c r="AP1268" s="369" t="n"/>
      <c r="AQ1268" s="369" t="n"/>
      <c r="AR1268" s="369" t="n"/>
      <c r="AS1268" s="369" t="n"/>
      <c r="AT1268" s="370" t="n"/>
      <c r="AU1268" s="370" t="n"/>
      <c r="AV1268" s="370" t="n"/>
      <c r="AW1268" s="370" t="n"/>
      <c r="BJ1268">
        <f>O1268</f>
        <v/>
      </c>
      <c r="BK1268">
        <f>SUM(AG1268:AW1268)</f>
        <v/>
      </c>
      <c r="BL1268" s="531">
        <f>BJ1268-BK1268</f>
        <v/>
      </c>
      <c r="BM1268" s="201" t="n"/>
    </row>
    <row r="1269" hidden="1" outlineLevel="1" s="191">
      <c r="P1269" s="626" t="n"/>
      <c r="Q1269" s="626" t="n"/>
      <c r="R1269" s="626" t="n"/>
      <c r="S1269" s="626" t="n"/>
      <c r="T1269" s="626" t="n"/>
      <c r="U1269" s="626" t="n"/>
      <c r="V1269" s="626" t="n"/>
      <c r="W1269" s="626" t="n"/>
      <c r="X1269" s="626" t="n"/>
      <c r="Y1269" s="369" t="n"/>
      <c r="Z1269" s="369" t="n"/>
      <c r="AA1269" s="369" t="n"/>
      <c r="AB1269" s="369" t="n"/>
      <c r="AC1269" s="370" t="n"/>
      <c r="AD1269" s="370" t="n"/>
      <c r="AE1269" s="370" t="n"/>
      <c r="AF1269" s="370" t="n"/>
      <c r="AG1269" s="626" t="n"/>
      <c r="AH1269" s="626" t="n"/>
      <c r="AI1269" s="626" t="n"/>
      <c r="AJ1269" s="626" t="n"/>
      <c r="AK1269" s="626" t="n"/>
      <c r="AL1269" s="626" t="n"/>
      <c r="AM1269" s="626" t="n"/>
      <c r="AN1269" s="626" t="n"/>
      <c r="AO1269" s="626" t="n"/>
      <c r="AP1269" s="369" t="n"/>
      <c r="AQ1269" s="369" t="n"/>
      <c r="AR1269" s="369" t="n"/>
      <c r="AS1269" s="369" t="n"/>
      <c r="AT1269" s="370" t="n"/>
      <c r="AU1269" s="370" t="n"/>
      <c r="AV1269" s="370" t="n"/>
      <c r="AW1269" s="370" t="n"/>
      <c r="BJ1269">
        <f>O1269</f>
        <v/>
      </c>
      <c r="BK1269">
        <f>SUM(AG1269:AW1269)</f>
        <v/>
      </c>
      <c r="BL1269" s="531">
        <f>BJ1269-BK1269</f>
        <v/>
      </c>
      <c r="BM1269" s="201" t="n"/>
    </row>
    <row r="1270" hidden="1" outlineLevel="1" s="191">
      <c r="P1270" s="626" t="n"/>
      <c r="Q1270" s="626" t="n"/>
      <c r="R1270" s="626" t="n"/>
      <c r="S1270" s="626" t="n"/>
      <c r="T1270" s="626" t="n"/>
      <c r="U1270" s="626" t="n"/>
      <c r="V1270" s="626" t="n"/>
      <c r="W1270" s="626" t="n"/>
      <c r="X1270" s="626" t="n"/>
      <c r="Y1270" s="369" t="n"/>
      <c r="Z1270" s="369" t="n"/>
      <c r="AA1270" s="369" t="n"/>
      <c r="AB1270" s="369" t="n"/>
      <c r="AC1270" s="370" t="n"/>
      <c r="AD1270" s="370" t="n"/>
      <c r="AE1270" s="370" t="n"/>
      <c r="AF1270" s="370" t="n"/>
      <c r="AG1270" s="626" t="n"/>
      <c r="AH1270" s="626" t="n"/>
      <c r="AI1270" s="626" t="n"/>
      <c r="AJ1270" s="626" t="n"/>
      <c r="AK1270" s="626" t="n"/>
      <c r="AL1270" s="626" t="n"/>
      <c r="AM1270" s="626" t="n"/>
      <c r="AN1270" s="626" t="n"/>
      <c r="AO1270" s="626" t="n"/>
      <c r="AP1270" s="369" t="n"/>
      <c r="AQ1270" s="369" t="n"/>
      <c r="AR1270" s="369" t="n"/>
      <c r="AS1270" s="369" t="n"/>
      <c r="AT1270" s="370" t="n"/>
      <c r="AU1270" s="370" t="n"/>
      <c r="AV1270" s="370" t="n"/>
      <c r="AW1270" s="370" t="n"/>
      <c r="BJ1270">
        <f>O1270</f>
        <v/>
      </c>
      <c r="BK1270">
        <f>SUM(AG1270:AW1270)</f>
        <v/>
      </c>
      <c r="BL1270" s="531">
        <f>BJ1270-BK1270</f>
        <v/>
      </c>
      <c r="BM1270" s="201" t="n"/>
    </row>
    <row r="1271" hidden="1" outlineLevel="1" s="191">
      <c r="P1271" s="626" t="n"/>
      <c r="Q1271" s="626" t="n"/>
      <c r="R1271" s="626" t="n"/>
      <c r="S1271" s="626" t="n"/>
      <c r="T1271" s="626" t="n"/>
      <c r="U1271" s="626" t="n"/>
      <c r="V1271" s="626" t="n"/>
      <c r="W1271" s="626" t="n"/>
      <c r="X1271" s="626" t="n"/>
      <c r="Y1271" s="369" t="n"/>
      <c r="Z1271" s="369" t="n"/>
      <c r="AA1271" s="369" t="n"/>
      <c r="AB1271" s="369" t="n"/>
      <c r="AC1271" s="370" t="n"/>
      <c r="AD1271" s="370" t="n"/>
      <c r="AE1271" s="370" t="n"/>
      <c r="AF1271" s="370" t="n"/>
      <c r="AG1271" s="626" t="n"/>
      <c r="AH1271" s="626" t="n"/>
      <c r="AI1271" s="626" t="n"/>
      <c r="AJ1271" s="626" t="n"/>
      <c r="AK1271" s="626" t="n"/>
      <c r="AL1271" s="626" t="n"/>
      <c r="AM1271" s="626" t="n"/>
      <c r="AN1271" s="626" t="n"/>
      <c r="AO1271" s="626" t="n"/>
      <c r="AP1271" s="369" t="n"/>
      <c r="AQ1271" s="369" t="n"/>
      <c r="AR1271" s="369" t="n"/>
      <c r="AS1271" s="369" t="n"/>
      <c r="AT1271" s="370" t="n"/>
      <c r="AU1271" s="370" t="n"/>
      <c r="AV1271" s="370" t="n"/>
      <c r="AW1271" s="370" t="n"/>
      <c r="BJ1271">
        <f>O1271</f>
        <v/>
      </c>
      <c r="BK1271">
        <f>SUM(AG1271:AW1271)</f>
        <v/>
      </c>
      <c r="BL1271" s="531">
        <f>BJ1271-BK1271</f>
        <v/>
      </c>
      <c r="BM1271" s="201" t="n"/>
    </row>
    <row r="1272" hidden="1" outlineLevel="1" s="191">
      <c r="P1272" s="626" t="n"/>
      <c r="Q1272" s="626" t="n"/>
      <c r="R1272" s="626" t="n"/>
      <c r="S1272" s="626" t="n"/>
      <c r="T1272" s="626" t="n"/>
      <c r="U1272" s="626" t="n"/>
      <c r="V1272" s="626" t="n"/>
      <c r="W1272" s="626" t="n"/>
      <c r="X1272" s="626" t="n"/>
      <c r="Y1272" s="369" t="n"/>
      <c r="Z1272" s="369" t="n"/>
      <c r="AA1272" s="369" t="n"/>
      <c r="AB1272" s="369" t="n"/>
      <c r="AC1272" s="370" t="n"/>
      <c r="AD1272" s="370" t="n"/>
      <c r="AE1272" s="370" t="n"/>
      <c r="AF1272" s="370" t="n"/>
      <c r="AG1272" s="626" t="n"/>
      <c r="AH1272" s="626" t="n"/>
      <c r="AI1272" s="626" t="n"/>
      <c r="AJ1272" s="626" t="n"/>
      <c r="AK1272" s="626" t="n"/>
      <c r="AL1272" s="626" t="n"/>
      <c r="AM1272" s="626" t="n"/>
      <c r="AN1272" s="626" t="n"/>
      <c r="AO1272" s="626" t="n"/>
      <c r="AP1272" s="369" t="n"/>
      <c r="AQ1272" s="369" t="n"/>
      <c r="AR1272" s="369" t="n"/>
      <c r="AS1272" s="369" t="n"/>
      <c r="AT1272" s="370" t="n"/>
      <c r="AU1272" s="370" t="n"/>
      <c r="AV1272" s="370" t="n"/>
      <c r="AW1272" s="370" t="n"/>
      <c r="BJ1272">
        <f>O1272</f>
        <v/>
      </c>
      <c r="BK1272">
        <f>SUM(AG1272:AW1272)</f>
        <v/>
      </c>
      <c r="BL1272" s="531">
        <f>BJ1272-BK1272</f>
        <v/>
      </c>
      <c r="BM1272" s="201" t="n"/>
    </row>
    <row r="1273" hidden="1" outlineLevel="1" s="191">
      <c r="P1273" s="626" t="n"/>
      <c r="Q1273" s="626" t="n"/>
      <c r="R1273" s="626" t="n"/>
      <c r="S1273" s="626" t="n"/>
      <c r="T1273" s="626" t="n"/>
      <c r="U1273" s="626" t="n"/>
      <c r="V1273" s="626" t="n"/>
      <c r="W1273" s="626" t="n"/>
      <c r="X1273" s="626" t="n"/>
      <c r="Y1273" s="369" t="n"/>
      <c r="Z1273" s="369" t="n"/>
      <c r="AA1273" s="369" t="n"/>
      <c r="AB1273" s="369" t="n"/>
      <c r="AC1273" s="370" t="n"/>
      <c r="AD1273" s="370" t="n"/>
      <c r="AE1273" s="370" t="n"/>
      <c r="AF1273" s="370" t="n"/>
      <c r="AG1273" s="626" t="n"/>
      <c r="AH1273" s="626" t="n"/>
      <c r="AI1273" s="626" t="n"/>
      <c r="AJ1273" s="626" t="n"/>
      <c r="AK1273" s="626" t="n"/>
      <c r="AL1273" s="626" t="n"/>
      <c r="AM1273" s="626" t="n"/>
      <c r="AN1273" s="626" t="n"/>
      <c r="AO1273" s="626" t="n"/>
      <c r="AP1273" s="369" t="n"/>
      <c r="AQ1273" s="369" t="n"/>
      <c r="AR1273" s="369" t="n"/>
      <c r="AS1273" s="369" t="n"/>
      <c r="AT1273" s="370" t="n"/>
      <c r="AU1273" s="370" t="n"/>
      <c r="AV1273" s="370" t="n"/>
      <c r="AW1273" s="370" t="n"/>
      <c r="BJ1273">
        <f>O1273</f>
        <v/>
      </c>
      <c r="BK1273">
        <f>SUM(AG1273:AW1273)</f>
        <v/>
      </c>
      <c r="BL1273" s="531">
        <f>BJ1273-BK1273</f>
        <v/>
      </c>
      <c r="BM1273" s="201" t="n"/>
    </row>
    <row r="1274" hidden="1" outlineLevel="1" s="191">
      <c r="P1274" s="626" t="n"/>
      <c r="Q1274" s="626" t="n"/>
      <c r="R1274" s="626" t="n"/>
      <c r="S1274" s="626" t="n"/>
      <c r="T1274" s="626" t="n"/>
      <c r="U1274" s="626" t="n"/>
      <c r="V1274" s="626" t="n"/>
      <c r="W1274" s="626" t="n"/>
      <c r="X1274" s="626" t="n"/>
      <c r="Y1274" s="369" t="n"/>
      <c r="Z1274" s="369" t="n"/>
      <c r="AA1274" s="369" t="n"/>
      <c r="AB1274" s="369" t="n"/>
      <c r="AC1274" s="370" t="n"/>
      <c r="AD1274" s="370" t="n"/>
      <c r="AE1274" s="370" t="n"/>
      <c r="AF1274" s="370" t="n"/>
      <c r="AG1274" s="626" t="n"/>
      <c r="AH1274" s="626" t="n"/>
      <c r="AI1274" s="626" t="n"/>
      <c r="AJ1274" s="626" t="n"/>
      <c r="AK1274" s="626" t="n"/>
      <c r="AL1274" s="626" t="n"/>
      <c r="AM1274" s="626" t="n"/>
      <c r="AN1274" s="626" t="n"/>
      <c r="AO1274" s="626" t="n"/>
      <c r="AP1274" s="369" t="n"/>
      <c r="AQ1274" s="369" t="n"/>
      <c r="AR1274" s="369" t="n"/>
      <c r="AS1274" s="369" t="n"/>
      <c r="AT1274" s="370" t="n"/>
      <c r="AU1274" s="370" t="n"/>
      <c r="AV1274" s="370" t="n"/>
      <c r="AW1274" s="370" t="n"/>
      <c r="BJ1274">
        <f>O1274</f>
        <v/>
      </c>
      <c r="BK1274">
        <f>SUM(AG1274:AW1274)</f>
        <v/>
      </c>
      <c r="BL1274" s="531">
        <f>BJ1274-BK1274</f>
        <v/>
      </c>
      <c r="BM1274" s="201" t="n"/>
    </row>
    <row r="1275" hidden="1" outlineLevel="1" s="191">
      <c r="P1275" s="626" t="n"/>
      <c r="Q1275" s="626" t="n"/>
      <c r="R1275" s="626" t="n"/>
      <c r="S1275" s="626" t="n"/>
      <c r="T1275" s="626" t="n"/>
      <c r="U1275" s="626" t="n"/>
      <c r="V1275" s="626" t="n"/>
      <c r="W1275" s="626" t="n"/>
      <c r="X1275" s="626" t="n"/>
      <c r="Y1275" s="369" t="n"/>
      <c r="Z1275" s="369" t="n"/>
      <c r="AA1275" s="369" t="n"/>
      <c r="AB1275" s="369" t="n"/>
      <c r="AC1275" s="370" t="n"/>
      <c r="AD1275" s="370" t="n"/>
      <c r="AE1275" s="370" t="n"/>
      <c r="AF1275" s="370" t="n"/>
      <c r="AG1275" s="626" t="n"/>
      <c r="AH1275" s="626" t="n"/>
      <c r="AI1275" s="626" t="n"/>
      <c r="AJ1275" s="626" t="n"/>
      <c r="AK1275" s="626" t="n"/>
      <c r="AL1275" s="626" t="n"/>
      <c r="AM1275" s="626" t="n"/>
      <c r="AN1275" s="626" t="n"/>
      <c r="AO1275" s="626" t="n"/>
      <c r="AP1275" s="369" t="n"/>
      <c r="AQ1275" s="369" t="n"/>
      <c r="AR1275" s="369" t="n"/>
      <c r="AS1275" s="369" t="n"/>
      <c r="AT1275" s="370" t="n"/>
      <c r="AU1275" s="370" t="n"/>
      <c r="AV1275" s="370" t="n"/>
      <c r="AW1275" s="370" t="n"/>
      <c r="BJ1275">
        <f>O1275</f>
        <v/>
      </c>
      <c r="BK1275">
        <f>SUM(AG1275:AW1275)</f>
        <v/>
      </c>
      <c r="BL1275" s="531">
        <f>BJ1275-BK1275</f>
        <v/>
      </c>
      <c r="BM1275" s="201" t="n"/>
    </row>
    <row r="1276" hidden="1" outlineLevel="1" s="191">
      <c r="P1276" s="626" t="n"/>
      <c r="Q1276" s="626" t="n"/>
      <c r="R1276" s="626" t="n"/>
      <c r="S1276" s="626" t="n"/>
      <c r="T1276" s="626" t="n"/>
      <c r="U1276" s="626" t="n"/>
      <c r="V1276" s="626" t="n"/>
      <c r="W1276" s="626" t="n"/>
      <c r="X1276" s="626" t="n"/>
      <c r="Y1276" s="369" t="n"/>
      <c r="Z1276" s="369" t="n"/>
      <c r="AA1276" s="369" t="n"/>
      <c r="AB1276" s="369" t="n"/>
      <c r="AC1276" s="370" t="n"/>
      <c r="AD1276" s="370" t="n"/>
      <c r="AE1276" s="370" t="n"/>
      <c r="AF1276" s="370" t="n"/>
      <c r="AG1276" s="626" t="n"/>
      <c r="AH1276" s="626" t="n"/>
      <c r="AI1276" s="626" t="n"/>
      <c r="AJ1276" s="626" t="n"/>
      <c r="AK1276" s="626" t="n"/>
      <c r="AL1276" s="626" t="n"/>
      <c r="AM1276" s="626" t="n"/>
      <c r="AN1276" s="626" t="n"/>
      <c r="AO1276" s="626" t="n"/>
      <c r="AP1276" s="369" t="n"/>
      <c r="AQ1276" s="369" t="n"/>
      <c r="AR1276" s="369" t="n"/>
      <c r="AS1276" s="369" t="n"/>
      <c r="AT1276" s="370" t="n"/>
      <c r="AU1276" s="370" t="n"/>
      <c r="AV1276" s="370" t="n"/>
      <c r="AW1276" s="370" t="n"/>
      <c r="BJ1276">
        <f>O1276</f>
        <v/>
      </c>
      <c r="BK1276">
        <f>SUM(AG1276:AW1276)</f>
        <v/>
      </c>
      <c r="BL1276" s="531">
        <f>BJ1276-BK1276</f>
        <v/>
      </c>
      <c r="BM1276" s="201" t="n"/>
    </row>
    <row r="1277" hidden="1" outlineLevel="1" s="191">
      <c r="P1277" s="626" t="n"/>
      <c r="Q1277" s="626" t="n"/>
      <c r="R1277" s="626" t="n"/>
      <c r="S1277" s="626" t="n"/>
      <c r="T1277" s="626" t="n"/>
      <c r="U1277" s="626" t="n"/>
      <c r="V1277" s="626" t="n"/>
      <c r="W1277" s="626" t="n"/>
      <c r="X1277" s="626" t="n"/>
      <c r="Y1277" s="369" t="n"/>
      <c r="Z1277" s="369" t="n"/>
      <c r="AA1277" s="369" t="n"/>
      <c r="AB1277" s="369" t="n"/>
      <c r="AC1277" s="370" t="n"/>
      <c r="AD1277" s="370" t="n"/>
      <c r="AE1277" s="370" t="n"/>
      <c r="AF1277" s="370" t="n"/>
      <c r="AG1277" s="626" t="n"/>
      <c r="AH1277" s="626" t="n"/>
      <c r="AI1277" s="626" t="n"/>
      <c r="AJ1277" s="626" t="n"/>
      <c r="AK1277" s="626" t="n"/>
      <c r="AL1277" s="626" t="n"/>
      <c r="AM1277" s="626" t="n"/>
      <c r="AN1277" s="626" t="n"/>
      <c r="AO1277" s="626" t="n"/>
      <c r="AP1277" s="369" t="n"/>
      <c r="AQ1277" s="369" t="n"/>
      <c r="AR1277" s="369" t="n"/>
      <c r="AS1277" s="369" t="n"/>
      <c r="AT1277" s="370" t="n"/>
      <c r="AU1277" s="370" t="n"/>
      <c r="AV1277" s="370" t="n"/>
      <c r="AW1277" s="370" t="n"/>
      <c r="BJ1277">
        <f>O1277</f>
        <v/>
      </c>
      <c r="BK1277">
        <f>SUM(AG1277:AW1277)</f>
        <v/>
      </c>
      <c r="BL1277" s="531">
        <f>BJ1277-BK1277</f>
        <v/>
      </c>
      <c r="BM1277" s="201" t="n"/>
    </row>
    <row r="1278" hidden="1" outlineLevel="1" s="191">
      <c r="P1278" s="626" t="n"/>
      <c r="Q1278" s="626" t="n"/>
      <c r="R1278" s="626" t="n"/>
      <c r="S1278" s="626" t="n"/>
      <c r="T1278" s="626" t="n"/>
      <c r="U1278" s="626" t="n"/>
      <c r="V1278" s="626" t="n"/>
      <c r="W1278" s="626" t="n"/>
      <c r="X1278" s="626" t="n"/>
      <c r="Y1278" s="369" t="n"/>
      <c r="Z1278" s="369" t="n"/>
      <c r="AA1278" s="369" t="n"/>
      <c r="AB1278" s="369" t="n"/>
      <c r="AC1278" s="370" t="n"/>
      <c r="AD1278" s="370" t="n"/>
      <c r="AE1278" s="370" t="n"/>
      <c r="AF1278" s="370" t="n"/>
      <c r="AG1278" s="626" t="n"/>
      <c r="AH1278" s="626" t="n"/>
      <c r="AI1278" s="626" t="n"/>
      <c r="AJ1278" s="626" t="n"/>
      <c r="AK1278" s="626" t="n"/>
      <c r="AL1278" s="626" t="n"/>
      <c r="AM1278" s="626" t="n"/>
      <c r="AN1278" s="626" t="n"/>
      <c r="AO1278" s="626" t="n"/>
      <c r="AP1278" s="369" t="n"/>
      <c r="AQ1278" s="369" t="n"/>
      <c r="AR1278" s="369" t="n"/>
      <c r="AS1278" s="369" t="n"/>
      <c r="AT1278" s="370" t="n"/>
      <c r="AU1278" s="370" t="n"/>
      <c r="AV1278" s="370" t="n"/>
      <c r="AW1278" s="370" t="n"/>
      <c r="BJ1278">
        <f>O1278</f>
        <v/>
      </c>
      <c r="BK1278">
        <f>SUM(AG1278:AW1278)</f>
        <v/>
      </c>
      <c r="BL1278" s="531">
        <f>BJ1278-BK1278</f>
        <v/>
      </c>
      <c r="BM1278" s="201" t="n"/>
    </row>
    <row r="1279" hidden="1" outlineLevel="1" s="191">
      <c r="P1279" s="626" t="n"/>
      <c r="Q1279" s="626" t="n"/>
      <c r="R1279" s="626" t="n"/>
      <c r="S1279" s="626" t="n"/>
      <c r="T1279" s="626" t="n"/>
      <c r="U1279" s="626" t="n"/>
      <c r="V1279" s="626" t="n"/>
      <c r="W1279" s="626" t="n"/>
      <c r="X1279" s="626" t="n"/>
      <c r="Y1279" s="369" t="n"/>
      <c r="Z1279" s="369" t="n"/>
      <c r="AA1279" s="369" t="n"/>
      <c r="AB1279" s="369" t="n"/>
      <c r="AC1279" s="370" t="n"/>
      <c r="AD1279" s="370" t="n"/>
      <c r="AE1279" s="370" t="n"/>
      <c r="AF1279" s="370" t="n"/>
      <c r="AG1279" s="626" t="n"/>
      <c r="AH1279" s="626" t="n"/>
      <c r="AI1279" s="626" t="n"/>
      <c r="AJ1279" s="626" t="n"/>
      <c r="AK1279" s="626" t="n"/>
      <c r="AL1279" s="626" t="n"/>
      <c r="AM1279" s="626" t="n"/>
      <c r="AN1279" s="626" t="n"/>
      <c r="AO1279" s="626" t="n"/>
      <c r="AP1279" s="369" t="n"/>
      <c r="AQ1279" s="369" t="n"/>
      <c r="AR1279" s="369" t="n"/>
      <c r="AS1279" s="369" t="n"/>
      <c r="AT1279" s="370" t="n"/>
      <c r="AU1279" s="370" t="n"/>
      <c r="AV1279" s="370" t="n"/>
      <c r="AW1279" s="370" t="n"/>
      <c r="BJ1279">
        <f>O1279</f>
        <v/>
      </c>
      <c r="BK1279">
        <f>SUM(AG1279:AW1279)</f>
        <v/>
      </c>
      <c r="BL1279" s="531">
        <f>BJ1279-BK1279</f>
        <v/>
      </c>
      <c r="BM1279" s="201" t="n"/>
    </row>
    <row r="1280" hidden="1" outlineLevel="1" s="191">
      <c r="P1280" s="626" t="n"/>
      <c r="Q1280" s="626" t="n"/>
      <c r="R1280" s="626" t="n"/>
      <c r="S1280" s="626" t="n"/>
      <c r="T1280" s="626" t="n"/>
      <c r="U1280" s="626" t="n"/>
      <c r="V1280" s="626" t="n"/>
      <c r="W1280" s="626" t="n"/>
      <c r="X1280" s="626" t="n"/>
      <c r="Y1280" s="369" t="n"/>
      <c r="Z1280" s="369" t="n"/>
      <c r="AA1280" s="369" t="n"/>
      <c r="AB1280" s="369" t="n"/>
      <c r="AC1280" s="370" t="n"/>
      <c r="AD1280" s="370" t="n"/>
      <c r="AE1280" s="370" t="n"/>
      <c r="AF1280" s="370" t="n"/>
      <c r="AG1280" s="626" t="n"/>
      <c r="AH1280" s="626" t="n"/>
      <c r="AI1280" s="626" t="n"/>
      <c r="AJ1280" s="626" t="n"/>
      <c r="AK1280" s="626" t="n"/>
      <c r="AL1280" s="626" t="n"/>
      <c r="AM1280" s="626" t="n"/>
      <c r="AN1280" s="626" t="n"/>
      <c r="AO1280" s="626" t="n"/>
      <c r="AP1280" s="369" t="n"/>
      <c r="AQ1280" s="369" t="n"/>
      <c r="AR1280" s="369" t="n"/>
      <c r="AS1280" s="369" t="n"/>
      <c r="AT1280" s="370" t="n"/>
      <c r="AU1280" s="370" t="n"/>
      <c r="AV1280" s="370" t="n"/>
      <c r="AW1280" s="370" t="n"/>
      <c r="BJ1280">
        <f>O1280</f>
        <v/>
      </c>
      <c r="BK1280">
        <f>SUM(AG1280:AW1280)</f>
        <v/>
      </c>
      <c r="BL1280" s="531">
        <f>BJ1280-BK1280</f>
        <v/>
      </c>
      <c r="BM1280" s="201" t="n"/>
    </row>
    <row r="1281" hidden="1" outlineLevel="1" s="191">
      <c r="P1281" s="626" t="n"/>
      <c r="Q1281" s="626" t="n"/>
      <c r="R1281" s="626" t="n"/>
      <c r="S1281" s="626" t="n"/>
      <c r="T1281" s="626" t="n"/>
      <c r="U1281" s="626" t="n"/>
      <c r="V1281" s="626" t="n"/>
      <c r="W1281" s="626" t="n"/>
      <c r="X1281" s="626" t="n"/>
      <c r="Y1281" s="369" t="n"/>
      <c r="Z1281" s="369" t="n"/>
      <c r="AA1281" s="369" t="n"/>
      <c r="AB1281" s="369" t="n"/>
      <c r="AC1281" s="370" t="n"/>
      <c r="AD1281" s="370" t="n"/>
      <c r="AE1281" s="370" t="n"/>
      <c r="AF1281" s="370" t="n"/>
      <c r="AG1281" s="626" t="n"/>
      <c r="AH1281" s="626" t="n"/>
      <c r="AI1281" s="626" t="n"/>
      <c r="AJ1281" s="626" t="n"/>
      <c r="AK1281" s="626" t="n"/>
      <c r="AL1281" s="626" t="n"/>
      <c r="AM1281" s="626" t="n"/>
      <c r="AN1281" s="626" t="n"/>
      <c r="AO1281" s="626" t="n"/>
      <c r="AP1281" s="369" t="n"/>
      <c r="AQ1281" s="369" t="n"/>
      <c r="AR1281" s="369" t="n"/>
      <c r="AS1281" s="369" t="n"/>
      <c r="AT1281" s="370" t="n"/>
      <c r="AU1281" s="370" t="n"/>
      <c r="AV1281" s="370" t="n"/>
      <c r="AW1281" s="370" t="n"/>
      <c r="BJ1281">
        <f>O1281</f>
        <v/>
      </c>
      <c r="BK1281">
        <f>SUM(AG1281:AW1281)</f>
        <v/>
      </c>
      <c r="BL1281" s="531">
        <f>BJ1281-BK1281</f>
        <v/>
      </c>
      <c r="BM1281" s="201" t="n"/>
    </row>
    <row r="1282" hidden="1" outlineLevel="1" s="191">
      <c r="P1282" s="626" t="n"/>
      <c r="Q1282" s="626" t="n"/>
      <c r="R1282" s="626" t="n"/>
      <c r="S1282" s="626" t="n"/>
      <c r="T1282" s="626" t="n"/>
      <c r="U1282" s="626" t="n"/>
      <c r="V1282" s="626" t="n"/>
      <c r="W1282" s="626" t="n"/>
      <c r="X1282" s="626" t="n"/>
      <c r="Y1282" s="369" t="n"/>
      <c r="Z1282" s="369" t="n"/>
      <c r="AA1282" s="369" t="n"/>
      <c r="AB1282" s="369" t="n"/>
      <c r="AC1282" s="370" t="n"/>
      <c r="AD1282" s="370" t="n"/>
      <c r="AE1282" s="370" t="n"/>
      <c r="AF1282" s="370" t="n"/>
      <c r="AG1282" s="626" t="n"/>
      <c r="AH1282" s="626" t="n"/>
      <c r="AI1282" s="626" t="n"/>
      <c r="AJ1282" s="626" t="n"/>
      <c r="AK1282" s="626" t="n"/>
      <c r="AL1282" s="626" t="n"/>
      <c r="AM1282" s="626" t="n"/>
      <c r="AN1282" s="626" t="n"/>
      <c r="AO1282" s="626" t="n"/>
      <c r="AP1282" s="369" t="n"/>
      <c r="AQ1282" s="369" t="n"/>
      <c r="AR1282" s="369" t="n"/>
      <c r="AS1282" s="369" t="n"/>
      <c r="AT1282" s="370" t="n"/>
      <c r="AU1282" s="370" t="n"/>
      <c r="AV1282" s="370" t="n"/>
      <c r="AW1282" s="370" t="n"/>
      <c r="BJ1282">
        <f>O1282</f>
        <v/>
      </c>
      <c r="BK1282">
        <f>SUM(AG1282:AW1282)</f>
        <v/>
      </c>
      <c r="BL1282" s="531">
        <f>BJ1282-BK1282</f>
        <v/>
      </c>
      <c r="BM1282" s="201" t="n"/>
    </row>
    <row r="1283" hidden="1" outlineLevel="1" s="191">
      <c r="P1283" s="626" t="n"/>
      <c r="Q1283" s="626" t="n"/>
      <c r="R1283" s="626" t="n"/>
      <c r="S1283" s="626" t="n"/>
      <c r="T1283" s="626" t="n"/>
      <c r="U1283" s="626" t="n"/>
      <c r="V1283" s="626" t="n"/>
      <c r="W1283" s="626" t="n"/>
      <c r="X1283" s="626" t="n"/>
      <c r="Y1283" s="369" t="n"/>
      <c r="Z1283" s="369" t="n"/>
      <c r="AA1283" s="369" t="n"/>
      <c r="AB1283" s="369" t="n"/>
      <c r="AC1283" s="370" t="n"/>
      <c r="AD1283" s="370" t="n"/>
      <c r="AE1283" s="370" t="n"/>
      <c r="AF1283" s="370" t="n"/>
      <c r="AG1283" s="626" t="n"/>
      <c r="AH1283" s="626" t="n"/>
      <c r="AI1283" s="626" t="n"/>
      <c r="AJ1283" s="626" t="n"/>
      <c r="AK1283" s="626" t="n"/>
      <c r="AL1283" s="626" t="n"/>
      <c r="AM1283" s="626" t="n"/>
      <c r="AN1283" s="626" t="n"/>
      <c r="AO1283" s="626" t="n"/>
      <c r="AP1283" s="369" t="n"/>
      <c r="AQ1283" s="369" t="n"/>
      <c r="AR1283" s="369" t="n"/>
      <c r="AS1283" s="369" t="n"/>
      <c r="AT1283" s="370" t="n"/>
      <c r="AU1283" s="370" t="n"/>
      <c r="AV1283" s="370" t="n"/>
      <c r="AW1283" s="370" t="n"/>
      <c r="BJ1283">
        <f>O1283</f>
        <v/>
      </c>
      <c r="BK1283">
        <f>SUM(AG1283:AW1283)</f>
        <v/>
      </c>
      <c r="BL1283" s="531">
        <f>BJ1283-BK1283</f>
        <v/>
      </c>
      <c r="BM1283" s="201" t="n"/>
    </row>
    <row r="1284" hidden="1" outlineLevel="1" s="191">
      <c r="P1284" s="626" t="n"/>
      <c r="Q1284" s="626" t="n"/>
      <c r="R1284" s="626" t="n"/>
      <c r="S1284" s="626" t="n"/>
      <c r="T1284" s="626" t="n"/>
      <c r="U1284" s="626" t="n"/>
      <c r="V1284" s="626" t="n"/>
      <c r="W1284" s="626" t="n"/>
      <c r="X1284" s="626" t="n"/>
      <c r="Y1284" s="369" t="n"/>
      <c r="Z1284" s="369" t="n"/>
      <c r="AA1284" s="369" t="n"/>
      <c r="AB1284" s="369" t="n"/>
      <c r="AC1284" s="370" t="n"/>
      <c r="AD1284" s="370" t="n"/>
      <c r="AE1284" s="370" t="n"/>
      <c r="AF1284" s="370" t="n"/>
      <c r="AG1284" s="626" t="n"/>
      <c r="AH1284" s="626" t="n"/>
      <c r="AI1284" s="626" t="n"/>
      <c r="AJ1284" s="626" t="n"/>
      <c r="AK1284" s="626" t="n"/>
      <c r="AL1284" s="626" t="n"/>
      <c r="AM1284" s="626" t="n"/>
      <c r="AN1284" s="626" t="n"/>
      <c r="AO1284" s="626" t="n"/>
      <c r="AP1284" s="369" t="n"/>
      <c r="AQ1284" s="369" t="n"/>
      <c r="AR1284" s="369" t="n"/>
      <c r="AS1284" s="369" t="n"/>
      <c r="AT1284" s="370" t="n"/>
      <c r="AU1284" s="370" t="n"/>
      <c r="AV1284" s="370" t="n"/>
      <c r="AW1284" s="370" t="n"/>
      <c r="BJ1284">
        <f>O1284</f>
        <v/>
      </c>
      <c r="BK1284">
        <f>SUM(AG1284:AW1284)</f>
        <v/>
      </c>
      <c r="BL1284" s="531">
        <f>BJ1284-BK1284</f>
        <v/>
      </c>
      <c r="BM1284" s="201" t="n"/>
    </row>
    <row r="1285" hidden="1" outlineLevel="1" s="191">
      <c r="P1285" s="626" t="n"/>
      <c r="Q1285" s="626" t="n"/>
      <c r="R1285" s="626" t="n"/>
      <c r="S1285" s="626" t="n"/>
      <c r="T1285" s="626" t="n"/>
      <c r="U1285" s="626" t="n"/>
      <c r="V1285" s="626" t="n"/>
      <c r="W1285" s="626" t="n"/>
      <c r="X1285" s="626" t="n"/>
      <c r="Y1285" s="369" t="n"/>
      <c r="Z1285" s="369" t="n"/>
      <c r="AA1285" s="369" t="n"/>
      <c r="AB1285" s="369" t="n"/>
      <c r="AC1285" s="370" t="n"/>
      <c r="AD1285" s="370" t="n"/>
      <c r="AE1285" s="370" t="n"/>
      <c r="AF1285" s="370" t="n"/>
      <c r="AG1285" s="626" t="n"/>
      <c r="AH1285" s="626" t="n"/>
      <c r="AI1285" s="626" t="n"/>
      <c r="AJ1285" s="626" t="n"/>
      <c r="AK1285" s="626" t="n"/>
      <c r="AL1285" s="626" t="n"/>
      <c r="AM1285" s="626" t="n"/>
      <c r="AN1285" s="626" t="n"/>
      <c r="AO1285" s="626" t="n"/>
      <c r="AP1285" s="369" t="n"/>
      <c r="AQ1285" s="369" t="n"/>
      <c r="AR1285" s="369" t="n"/>
      <c r="AS1285" s="369" t="n"/>
      <c r="AT1285" s="370" t="n"/>
      <c r="AU1285" s="370" t="n"/>
      <c r="AV1285" s="370" t="n"/>
      <c r="AW1285" s="370" t="n"/>
      <c r="BJ1285">
        <f>O1285</f>
        <v/>
      </c>
      <c r="BK1285">
        <f>SUM(AG1285:AW1285)</f>
        <v/>
      </c>
      <c r="BL1285" s="531">
        <f>BJ1285-BK1285</f>
        <v/>
      </c>
      <c r="BM1285" s="201" t="n"/>
    </row>
    <row r="1286" hidden="1" outlineLevel="1" s="191">
      <c r="P1286" s="626" t="n"/>
      <c r="Q1286" s="626" t="n"/>
      <c r="R1286" s="626" t="n"/>
      <c r="S1286" s="626" t="n"/>
      <c r="T1286" s="626" t="n"/>
      <c r="U1286" s="626" t="n"/>
      <c r="V1286" s="626" t="n"/>
      <c r="W1286" s="626" t="n"/>
      <c r="X1286" s="626" t="n"/>
      <c r="Y1286" s="369" t="n"/>
      <c r="Z1286" s="369" t="n"/>
      <c r="AA1286" s="369" t="n"/>
      <c r="AB1286" s="369" t="n"/>
      <c r="AC1286" s="370" t="n"/>
      <c r="AD1286" s="370" t="n"/>
      <c r="AE1286" s="370" t="n"/>
      <c r="AF1286" s="370" t="n"/>
      <c r="AG1286" s="626" t="n"/>
      <c r="AH1286" s="626" t="n"/>
      <c r="AI1286" s="626" t="n"/>
      <c r="AJ1286" s="626" t="n"/>
      <c r="AK1286" s="626" t="n"/>
      <c r="AL1286" s="626" t="n"/>
      <c r="AM1286" s="626" t="n"/>
      <c r="AN1286" s="626" t="n"/>
      <c r="AO1286" s="626" t="n"/>
      <c r="AP1286" s="369" t="n"/>
      <c r="AQ1286" s="369" t="n"/>
      <c r="AR1286" s="369" t="n"/>
      <c r="AS1286" s="369" t="n"/>
      <c r="AT1286" s="370" t="n"/>
      <c r="AU1286" s="370" t="n"/>
      <c r="AV1286" s="370" t="n"/>
      <c r="AW1286" s="370" t="n"/>
      <c r="BJ1286">
        <f>O1286</f>
        <v/>
      </c>
      <c r="BK1286">
        <f>SUM(AG1286:AW1286)</f>
        <v/>
      </c>
      <c r="BL1286" s="531">
        <f>BJ1286-BK1286</f>
        <v/>
      </c>
      <c r="BM1286" s="201" t="n"/>
    </row>
    <row r="1287" hidden="1" outlineLevel="1" s="191">
      <c r="P1287" s="626" t="n"/>
      <c r="Q1287" s="626" t="n"/>
      <c r="R1287" s="626" t="n"/>
      <c r="S1287" s="626" t="n"/>
      <c r="T1287" s="626" t="n"/>
      <c r="U1287" s="626" t="n"/>
      <c r="V1287" s="626" t="n"/>
      <c r="W1287" s="626" t="n"/>
      <c r="X1287" s="626" t="n"/>
      <c r="Y1287" s="369" t="n"/>
      <c r="Z1287" s="369" t="n"/>
      <c r="AA1287" s="369" t="n"/>
      <c r="AB1287" s="369" t="n"/>
      <c r="AC1287" s="370" t="n"/>
      <c r="AD1287" s="370" t="n"/>
      <c r="AE1287" s="370" t="n"/>
      <c r="AF1287" s="370" t="n"/>
      <c r="AG1287" s="626" t="n"/>
      <c r="AH1287" s="626" t="n"/>
      <c r="AI1287" s="626" t="n"/>
      <c r="AJ1287" s="626" t="n"/>
      <c r="AK1287" s="626" t="n"/>
      <c r="AL1287" s="626" t="n"/>
      <c r="AM1287" s="626" t="n"/>
      <c r="AN1287" s="626" t="n"/>
      <c r="AO1287" s="626" t="n"/>
      <c r="AP1287" s="369" t="n"/>
      <c r="AQ1287" s="369" t="n"/>
      <c r="AR1287" s="369" t="n"/>
      <c r="AS1287" s="369" t="n"/>
      <c r="AT1287" s="370" t="n"/>
      <c r="AU1287" s="370" t="n"/>
      <c r="AV1287" s="370" t="n"/>
      <c r="AW1287" s="370" t="n"/>
      <c r="BJ1287">
        <f>O1287</f>
        <v/>
      </c>
      <c r="BK1287">
        <f>SUM(AG1287:AW1287)</f>
        <v/>
      </c>
      <c r="BL1287" s="531">
        <f>BJ1287-BK1287</f>
        <v/>
      </c>
      <c r="BM1287" s="201" t="n"/>
    </row>
    <row r="1288" hidden="1" outlineLevel="1" s="191">
      <c r="P1288" s="626" t="n"/>
      <c r="Q1288" s="626" t="n"/>
      <c r="R1288" s="626" t="n"/>
      <c r="S1288" s="626" t="n"/>
      <c r="T1288" s="626" t="n"/>
      <c r="U1288" s="626" t="n"/>
      <c r="V1288" s="626" t="n"/>
      <c r="W1288" s="626" t="n"/>
      <c r="X1288" s="626" t="n"/>
      <c r="Y1288" s="369" t="n"/>
      <c r="Z1288" s="369" t="n"/>
      <c r="AA1288" s="369" t="n"/>
      <c r="AB1288" s="369" t="n"/>
      <c r="AC1288" s="370" t="n"/>
      <c r="AD1288" s="370" t="n"/>
      <c r="AE1288" s="370" t="n"/>
      <c r="AF1288" s="370" t="n"/>
      <c r="AG1288" s="626" t="n"/>
      <c r="AH1288" s="626" t="n"/>
      <c r="AI1288" s="626" t="n"/>
      <c r="AJ1288" s="626" t="n"/>
      <c r="AK1288" s="626" t="n"/>
      <c r="AL1288" s="626" t="n"/>
      <c r="AM1288" s="626" t="n"/>
      <c r="AN1288" s="626" t="n"/>
      <c r="AO1288" s="626" t="n"/>
      <c r="AP1288" s="369" t="n"/>
      <c r="AQ1288" s="369" t="n"/>
      <c r="AR1288" s="369" t="n"/>
      <c r="AS1288" s="369" t="n"/>
      <c r="AT1288" s="370" t="n"/>
      <c r="AU1288" s="370" t="n"/>
      <c r="AV1288" s="370" t="n"/>
      <c r="AW1288" s="370" t="n"/>
      <c r="BJ1288">
        <f>O1288</f>
        <v/>
      </c>
      <c r="BK1288">
        <f>SUM(AG1288:AW1288)</f>
        <v/>
      </c>
      <c r="BL1288" s="531">
        <f>BJ1288-BK1288</f>
        <v/>
      </c>
      <c r="BM1288" s="201" t="n"/>
    </row>
    <row r="1289" hidden="1" outlineLevel="1" s="191">
      <c r="P1289" s="626" t="n"/>
      <c r="Q1289" s="626" t="n"/>
      <c r="R1289" s="626" t="n"/>
      <c r="S1289" s="626" t="n"/>
      <c r="T1289" s="626" t="n"/>
      <c r="U1289" s="626" t="n"/>
      <c r="V1289" s="626" t="n"/>
      <c r="W1289" s="626" t="n"/>
      <c r="X1289" s="626" t="n"/>
      <c r="Y1289" s="369" t="n"/>
      <c r="Z1289" s="369" t="n"/>
      <c r="AA1289" s="369" t="n"/>
      <c r="AB1289" s="369" t="n"/>
      <c r="AC1289" s="370" t="n"/>
      <c r="AD1289" s="370" t="n"/>
      <c r="AE1289" s="370" t="n"/>
      <c r="AF1289" s="370" t="n"/>
      <c r="AG1289" s="626" t="n"/>
      <c r="AH1289" s="626" t="n"/>
      <c r="AI1289" s="626" t="n"/>
      <c r="AJ1289" s="626" t="n"/>
      <c r="AK1289" s="626" t="n"/>
      <c r="AL1289" s="626" t="n"/>
      <c r="AM1289" s="626" t="n"/>
      <c r="AN1289" s="626" t="n"/>
      <c r="AO1289" s="626" t="n"/>
      <c r="AP1289" s="369" t="n"/>
      <c r="AQ1289" s="369" t="n"/>
      <c r="AR1289" s="369" t="n"/>
      <c r="AS1289" s="369" t="n"/>
      <c r="AT1289" s="370" t="n"/>
      <c r="AU1289" s="370" t="n"/>
      <c r="AV1289" s="370" t="n"/>
      <c r="AW1289" s="370" t="n"/>
      <c r="BJ1289">
        <f>O1289</f>
        <v/>
      </c>
      <c r="BK1289">
        <f>SUM(AG1289:AW1289)</f>
        <v/>
      </c>
      <c r="BL1289" s="531">
        <f>BJ1289-BK1289</f>
        <v/>
      </c>
      <c r="BM1289" s="201" t="n"/>
    </row>
    <row r="1290" hidden="1" outlineLevel="1" s="191">
      <c r="P1290" s="626" t="n"/>
      <c r="Q1290" s="626" t="n"/>
      <c r="R1290" s="626" t="n"/>
      <c r="S1290" s="626" t="n"/>
      <c r="T1290" s="626" t="n"/>
      <c r="U1290" s="626" t="n"/>
      <c r="V1290" s="626" t="n"/>
      <c r="W1290" s="626" t="n"/>
      <c r="X1290" s="626" t="n"/>
      <c r="Y1290" s="369" t="n"/>
      <c r="Z1290" s="369" t="n"/>
      <c r="AA1290" s="369" t="n"/>
      <c r="AB1290" s="369" t="n"/>
      <c r="AC1290" s="370" t="n"/>
      <c r="AD1290" s="370" t="n"/>
      <c r="AE1290" s="370" t="n"/>
      <c r="AF1290" s="370" t="n"/>
      <c r="AG1290" s="626" t="n"/>
      <c r="AH1290" s="626" t="n"/>
      <c r="AI1290" s="626" t="n"/>
      <c r="AJ1290" s="626" t="n"/>
      <c r="AK1290" s="626" t="n"/>
      <c r="AL1290" s="626" t="n"/>
      <c r="AM1290" s="626" t="n"/>
      <c r="AN1290" s="626" t="n"/>
      <c r="AO1290" s="626" t="n"/>
      <c r="AP1290" s="369" t="n"/>
      <c r="AQ1290" s="369" t="n"/>
      <c r="AR1290" s="369" t="n"/>
      <c r="AS1290" s="369" t="n"/>
      <c r="AT1290" s="370" t="n"/>
      <c r="AU1290" s="370" t="n"/>
      <c r="AV1290" s="370" t="n"/>
      <c r="AW1290" s="370" t="n"/>
      <c r="BJ1290">
        <f>O1290</f>
        <v/>
      </c>
      <c r="BK1290">
        <f>SUM(AG1290:AW1290)</f>
        <v/>
      </c>
      <c r="BL1290" s="531">
        <f>BJ1290-BK1290</f>
        <v/>
      </c>
      <c r="BM1290" s="201" t="n"/>
    </row>
    <row r="1291" hidden="1" outlineLevel="1" s="191">
      <c r="P1291" s="626" t="n"/>
      <c r="Q1291" s="626" t="n"/>
      <c r="R1291" s="626" t="n"/>
      <c r="S1291" s="626" t="n"/>
      <c r="T1291" s="626" t="n"/>
      <c r="U1291" s="626" t="n"/>
      <c r="V1291" s="626" t="n"/>
      <c r="W1291" s="626" t="n"/>
      <c r="X1291" s="626" t="n"/>
      <c r="Y1291" s="369" t="n"/>
      <c r="Z1291" s="369" t="n"/>
      <c r="AA1291" s="369" t="n"/>
      <c r="AB1291" s="369" t="n"/>
      <c r="AC1291" s="370" t="n"/>
      <c r="AD1291" s="370" t="n"/>
      <c r="AE1291" s="370" t="n"/>
      <c r="AF1291" s="370" t="n"/>
      <c r="AG1291" s="626" t="n"/>
      <c r="AH1291" s="626" t="n"/>
      <c r="AI1291" s="626" t="n"/>
      <c r="AJ1291" s="626" t="n"/>
      <c r="AK1291" s="626" t="n"/>
      <c r="AL1291" s="626" t="n"/>
      <c r="AM1291" s="626" t="n"/>
      <c r="AN1291" s="626" t="n"/>
      <c r="AO1291" s="626" t="n"/>
      <c r="AP1291" s="369" t="n"/>
      <c r="AQ1291" s="369" t="n"/>
      <c r="AR1291" s="369" t="n"/>
      <c r="AS1291" s="369" t="n"/>
      <c r="AT1291" s="370" t="n"/>
      <c r="AU1291" s="370" t="n"/>
      <c r="AV1291" s="370" t="n"/>
      <c r="AW1291" s="370" t="n"/>
      <c r="BJ1291">
        <f>O1291</f>
        <v/>
      </c>
      <c r="BK1291">
        <f>SUM(AG1291:AW1291)</f>
        <v/>
      </c>
      <c r="BL1291" s="531">
        <f>BJ1291-BK1291</f>
        <v/>
      </c>
      <c r="BM1291" s="201" t="n"/>
    </row>
    <row r="1292" hidden="1" outlineLevel="1" s="191">
      <c r="P1292" s="626" t="n"/>
      <c r="Q1292" s="626" t="n"/>
      <c r="R1292" s="626" t="n"/>
      <c r="S1292" s="626" t="n"/>
      <c r="T1292" s="626" t="n"/>
      <c r="U1292" s="626" t="n"/>
      <c r="V1292" s="626" t="n"/>
      <c r="W1292" s="626" t="n"/>
      <c r="X1292" s="626" t="n"/>
      <c r="Y1292" s="369" t="n"/>
      <c r="Z1292" s="369" t="n"/>
      <c r="AA1292" s="369" t="n"/>
      <c r="AB1292" s="369" t="n"/>
      <c r="AC1292" s="370" t="n"/>
      <c r="AD1292" s="370" t="n"/>
      <c r="AE1292" s="370" t="n"/>
      <c r="AF1292" s="370" t="n"/>
      <c r="AG1292" s="626" t="n"/>
      <c r="AH1292" s="626" t="n"/>
      <c r="AI1292" s="626" t="n"/>
      <c r="AJ1292" s="626" t="n"/>
      <c r="AK1292" s="626" t="n"/>
      <c r="AL1292" s="626" t="n"/>
      <c r="AM1292" s="626" t="n"/>
      <c r="AN1292" s="626" t="n"/>
      <c r="AO1292" s="626" t="n"/>
      <c r="AP1292" s="369" t="n"/>
      <c r="AQ1292" s="369" t="n"/>
      <c r="AR1292" s="369" t="n"/>
      <c r="AS1292" s="369" t="n"/>
      <c r="AT1292" s="370" t="n"/>
      <c r="AU1292" s="370" t="n"/>
      <c r="AV1292" s="370" t="n"/>
      <c r="AW1292" s="370" t="n"/>
      <c r="BJ1292">
        <f>O1292</f>
        <v/>
      </c>
      <c r="BK1292">
        <f>SUM(AG1292:AW1292)</f>
        <v/>
      </c>
      <c r="BL1292" s="531">
        <f>BJ1292-BK1292</f>
        <v/>
      </c>
      <c r="BM1292" s="201" t="n"/>
    </row>
    <row r="1293" hidden="1" outlineLevel="1" s="191">
      <c r="P1293" s="626" t="n"/>
      <c r="Q1293" s="626" t="n"/>
      <c r="R1293" s="626" t="n"/>
      <c r="S1293" s="626" t="n"/>
      <c r="T1293" s="626" t="n"/>
      <c r="U1293" s="626" t="n"/>
      <c r="V1293" s="626" t="n"/>
      <c r="W1293" s="626" t="n"/>
      <c r="X1293" s="626" t="n"/>
      <c r="Y1293" s="369" t="n"/>
      <c r="Z1293" s="369" t="n"/>
      <c r="AA1293" s="369" t="n"/>
      <c r="AB1293" s="369" t="n"/>
      <c r="AC1293" s="370" t="n"/>
      <c r="AD1293" s="370" t="n"/>
      <c r="AE1293" s="370" t="n"/>
      <c r="AF1293" s="370" t="n"/>
      <c r="AG1293" s="626" t="n"/>
      <c r="AH1293" s="626" t="n"/>
      <c r="AI1293" s="626" t="n"/>
      <c r="AJ1293" s="626" t="n"/>
      <c r="AK1293" s="626" t="n"/>
      <c r="AL1293" s="626" t="n"/>
      <c r="AM1293" s="626" t="n"/>
      <c r="AN1293" s="626" t="n"/>
      <c r="AO1293" s="626" t="n"/>
      <c r="AP1293" s="369" t="n"/>
      <c r="AQ1293" s="369" t="n"/>
      <c r="AR1293" s="369" t="n"/>
      <c r="AS1293" s="369" t="n"/>
      <c r="AT1293" s="370" t="n"/>
      <c r="AU1293" s="370" t="n"/>
      <c r="AV1293" s="370" t="n"/>
      <c r="AW1293" s="370" t="n"/>
      <c r="BJ1293">
        <f>O1293</f>
        <v/>
      </c>
      <c r="BK1293">
        <f>SUM(AG1293:AW1293)</f>
        <v/>
      </c>
      <c r="BL1293" s="531">
        <f>BJ1293-BK1293</f>
        <v/>
      </c>
      <c r="BM1293" s="201" t="n"/>
    </row>
    <row r="1294" hidden="1" outlineLevel="1" s="191">
      <c r="P1294" s="626" t="n"/>
      <c r="Q1294" s="626" t="n"/>
      <c r="R1294" s="626" t="n"/>
      <c r="S1294" s="626" t="n"/>
      <c r="T1294" s="626" t="n"/>
      <c r="U1294" s="626" t="n"/>
      <c r="V1294" s="626" t="n"/>
      <c r="W1294" s="626" t="n"/>
      <c r="X1294" s="626" t="n"/>
      <c r="Y1294" s="369" t="n"/>
      <c r="Z1294" s="369" t="n"/>
      <c r="AA1294" s="369" t="n"/>
      <c r="AB1294" s="369" t="n"/>
      <c r="AC1294" s="370" t="n"/>
      <c r="AD1294" s="370" t="n"/>
      <c r="AE1294" s="370" t="n"/>
      <c r="AF1294" s="370" t="n"/>
      <c r="AG1294" s="626" t="n"/>
      <c r="AH1294" s="626" t="n"/>
      <c r="AI1294" s="626" t="n"/>
      <c r="AJ1294" s="626" t="n"/>
      <c r="AK1294" s="626" t="n"/>
      <c r="AL1294" s="626" t="n"/>
      <c r="AM1294" s="626" t="n"/>
      <c r="AN1294" s="626" t="n"/>
      <c r="AO1294" s="626" t="n"/>
      <c r="AP1294" s="369" t="n"/>
      <c r="AQ1294" s="369" t="n"/>
      <c r="AR1294" s="369" t="n"/>
      <c r="AS1294" s="369" t="n"/>
      <c r="AT1294" s="370" t="n"/>
      <c r="AU1294" s="370" t="n"/>
      <c r="AV1294" s="370" t="n"/>
      <c r="AW1294" s="370" t="n"/>
      <c r="BJ1294">
        <f>O1294</f>
        <v/>
      </c>
      <c r="BK1294">
        <f>SUM(AG1294:AW1294)</f>
        <v/>
      </c>
      <c r="BL1294" s="531">
        <f>BJ1294-BK1294</f>
        <v/>
      </c>
      <c r="BM1294" s="201" t="n"/>
    </row>
    <row r="1295" hidden="1" outlineLevel="1" s="191">
      <c r="P1295" s="626" t="n"/>
      <c r="Q1295" s="626" t="n"/>
      <c r="R1295" s="626" t="n"/>
      <c r="S1295" s="626" t="n"/>
      <c r="T1295" s="626" t="n"/>
      <c r="U1295" s="626" t="n"/>
      <c r="V1295" s="626" t="n"/>
      <c r="W1295" s="626" t="n"/>
      <c r="X1295" s="626" t="n"/>
      <c r="Y1295" s="369" t="n"/>
      <c r="Z1295" s="369" t="n"/>
      <c r="AA1295" s="369" t="n"/>
      <c r="AB1295" s="369" t="n"/>
      <c r="AC1295" s="370" t="n"/>
      <c r="AD1295" s="370" t="n"/>
      <c r="AE1295" s="370" t="n"/>
      <c r="AF1295" s="370" t="n"/>
      <c r="AG1295" s="626" t="n"/>
      <c r="AH1295" s="626" t="n"/>
      <c r="AI1295" s="626" t="n"/>
      <c r="AJ1295" s="626" t="n"/>
      <c r="AK1295" s="626" t="n"/>
      <c r="AL1295" s="626" t="n"/>
      <c r="AM1295" s="626" t="n"/>
      <c r="AN1295" s="626" t="n"/>
      <c r="AO1295" s="626" t="n"/>
      <c r="AP1295" s="369" t="n"/>
      <c r="AQ1295" s="369" t="n"/>
      <c r="AR1295" s="369" t="n"/>
      <c r="AS1295" s="369" t="n"/>
      <c r="AT1295" s="370" t="n"/>
      <c r="AU1295" s="370" t="n"/>
      <c r="AV1295" s="370" t="n"/>
      <c r="AW1295" s="370" t="n"/>
      <c r="BJ1295">
        <f>O1295</f>
        <v/>
      </c>
      <c r="BK1295">
        <f>SUM(AG1295:AW1295)</f>
        <v/>
      </c>
      <c r="BL1295" s="531">
        <f>BJ1295-BK1295</f>
        <v/>
      </c>
      <c r="BM1295" s="201" t="n"/>
    </row>
    <row r="1296" hidden="1" outlineLevel="1" s="191">
      <c r="P1296" s="626" t="n"/>
      <c r="Q1296" s="626" t="n"/>
      <c r="R1296" s="626" t="n"/>
      <c r="S1296" s="626" t="n"/>
      <c r="T1296" s="626" t="n"/>
      <c r="U1296" s="626" t="n"/>
      <c r="V1296" s="626" t="n"/>
      <c r="W1296" s="626" t="n"/>
      <c r="X1296" s="626" t="n"/>
      <c r="Y1296" s="369" t="n"/>
      <c r="Z1296" s="369" t="n"/>
      <c r="AA1296" s="369" t="n"/>
      <c r="AB1296" s="369" t="n"/>
      <c r="AC1296" s="370" t="n"/>
      <c r="AD1296" s="370" t="n"/>
      <c r="AE1296" s="370" t="n"/>
      <c r="AF1296" s="370" t="n"/>
      <c r="AG1296" s="626" t="n"/>
      <c r="AH1296" s="626" t="n"/>
      <c r="AI1296" s="626" t="n"/>
      <c r="AJ1296" s="626" t="n"/>
      <c r="AK1296" s="626" t="n"/>
      <c r="AL1296" s="626" t="n"/>
      <c r="AM1296" s="626" t="n"/>
      <c r="AN1296" s="626" t="n"/>
      <c r="AO1296" s="626" t="n"/>
      <c r="AP1296" s="369" t="n"/>
      <c r="AQ1296" s="369" t="n"/>
      <c r="AR1296" s="369" t="n"/>
      <c r="AS1296" s="369" t="n"/>
      <c r="AT1296" s="370" t="n"/>
      <c r="AU1296" s="370" t="n"/>
      <c r="AV1296" s="370" t="n"/>
      <c r="AW1296" s="370" t="n"/>
      <c r="BJ1296">
        <f>O1296</f>
        <v/>
      </c>
      <c r="BK1296">
        <f>SUM(AG1296:AW1296)</f>
        <v/>
      </c>
      <c r="BL1296" s="531">
        <f>BJ1296-BK1296</f>
        <v/>
      </c>
      <c r="BM1296" s="201" t="n"/>
    </row>
    <row r="1297" hidden="1" outlineLevel="1" s="191">
      <c r="P1297" s="626" t="n"/>
      <c r="Q1297" s="626" t="n"/>
      <c r="R1297" s="626" t="n"/>
      <c r="S1297" s="626" t="n"/>
      <c r="T1297" s="626" t="n"/>
      <c r="U1297" s="626" t="n"/>
      <c r="V1297" s="626" t="n"/>
      <c r="W1297" s="626" t="n"/>
      <c r="X1297" s="626" t="n"/>
      <c r="Y1297" s="369" t="n"/>
      <c r="Z1297" s="369" t="n"/>
      <c r="AA1297" s="369" t="n"/>
      <c r="AB1297" s="369" t="n"/>
      <c r="AC1297" s="370" t="n"/>
      <c r="AD1297" s="370" t="n"/>
      <c r="AE1297" s="370" t="n"/>
      <c r="AF1297" s="370" t="n"/>
      <c r="AG1297" s="626" t="n"/>
      <c r="AH1297" s="626" t="n"/>
      <c r="AI1297" s="626" t="n"/>
      <c r="AJ1297" s="626" t="n"/>
      <c r="AK1297" s="626" t="n"/>
      <c r="AL1297" s="626" t="n"/>
      <c r="AM1297" s="626" t="n"/>
      <c r="AN1297" s="626" t="n"/>
      <c r="AO1297" s="626" t="n"/>
      <c r="AP1297" s="369" t="n"/>
      <c r="AQ1297" s="369" t="n"/>
      <c r="AR1297" s="369" t="n"/>
      <c r="AS1297" s="369" t="n"/>
      <c r="AT1297" s="370" t="n"/>
      <c r="AU1297" s="370" t="n"/>
      <c r="AV1297" s="370" t="n"/>
      <c r="AW1297" s="370" t="n"/>
      <c r="BJ1297">
        <f>O1297</f>
        <v/>
      </c>
      <c r="BK1297">
        <f>SUM(AG1297:AW1297)</f>
        <v/>
      </c>
      <c r="BL1297" s="531">
        <f>BJ1297-BK1297</f>
        <v/>
      </c>
      <c r="BM1297" s="201" t="n"/>
    </row>
    <row r="1298" hidden="1" outlineLevel="1" s="191">
      <c r="A1298" s="264">
        <f>A1200</f>
        <v/>
      </c>
      <c r="P1298" s="626" t="n"/>
      <c r="Q1298" s="626" t="n"/>
      <c r="R1298" s="626" t="n"/>
      <c r="S1298" s="626" t="n"/>
      <c r="T1298" s="626" t="n"/>
      <c r="U1298" s="626" t="n"/>
      <c r="V1298" s="626" t="n"/>
      <c r="W1298" s="626" t="n"/>
      <c r="X1298" s="626" t="n"/>
      <c r="Y1298" s="369" t="n"/>
      <c r="Z1298" s="369" t="n"/>
      <c r="AA1298" s="369" t="n"/>
      <c r="AB1298" s="369" t="n"/>
      <c r="AC1298" s="370" t="n"/>
      <c r="AD1298" s="370" t="n"/>
      <c r="AE1298" s="370" t="n"/>
      <c r="AF1298" s="370" t="n"/>
      <c r="AG1298" s="626" t="n"/>
      <c r="AH1298" s="626" t="n"/>
      <c r="AI1298" s="626" t="n"/>
      <c r="AJ1298" s="626" t="n"/>
      <c r="AK1298" s="626" t="n"/>
      <c r="AL1298" s="626" t="n"/>
      <c r="AM1298" s="626" t="n"/>
      <c r="AN1298" s="626" t="n"/>
      <c r="AO1298" s="626" t="n"/>
      <c r="AP1298" s="369" t="n"/>
      <c r="AQ1298" s="369" t="n"/>
      <c r="AR1298" s="369" t="n"/>
      <c r="AS1298" s="369" t="n"/>
      <c r="AT1298" s="370" t="n"/>
      <c r="AU1298" s="370" t="n"/>
      <c r="AV1298" s="370" t="n"/>
      <c r="AW1298" s="370" t="n"/>
      <c r="BJ1298">
        <f>O1298</f>
        <v/>
      </c>
      <c r="BK1298">
        <f>SUM(AG1298:AW1298)</f>
        <v/>
      </c>
      <c r="BL1298" s="531">
        <f>BJ1298-BK1298</f>
        <v/>
      </c>
      <c r="BM1298" s="201" t="n"/>
    </row>
    <row r="1299" collapsed="1" s="191">
      <c r="P1299" s="626" t="n"/>
      <c r="Q1299" s="626" t="n"/>
      <c r="R1299" s="626" t="n"/>
      <c r="S1299" s="626" t="n"/>
      <c r="T1299" s="626" t="n"/>
      <c r="U1299" s="626" t="n"/>
      <c r="V1299" s="626" t="n"/>
      <c r="W1299" s="626" t="n"/>
      <c r="X1299" s="626" t="n"/>
      <c r="Y1299" s="369" t="n"/>
      <c r="Z1299" s="369" t="n"/>
      <c r="AA1299" s="369" t="n"/>
      <c r="AB1299" s="369" t="n"/>
      <c r="AC1299" s="370" t="n"/>
      <c r="AD1299" s="370" t="n"/>
      <c r="AE1299" s="370" t="n"/>
      <c r="AF1299" s="370" t="n"/>
      <c r="AG1299" s="626" t="n"/>
      <c r="AH1299" s="626" t="n"/>
      <c r="AI1299" s="626" t="n"/>
      <c r="AJ1299" s="626" t="n"/>
      <c r="AK1299" s="626" t="n"/>
      <c r="AL1299" s="626" t="n"/>
      <c r="AM1299" s="626" t="n"/>
      <c r="AN1299" s="626" t="n"/>
      <c r="AO1299" s="626" t="n"/>
      <c r="AP1299" s="369" t="n"/>
      <c r="AQ1299" s="369" t="n"/>
      <c r="AR1299" s="369" t="n"/>
      <c r="AS1299" s="369" t="n"/>
      <c r="AT1299" s="370" t="n"/>
      <c r="AU1299" s="370" t="n"/>
      <c r="AV1299" s="370" t="n"/>
      <c r="AW1299" s="370" t="n"/>
      <c r="BJ1299">
        <f>O1299</f>
        <v/>
      </c>
      <c r="BK1299">
        <f>SUM(AG1299:AW1299)</f>
        <v/>
      </c>
      <c r="BL1299" s="531">
        <f>BJ1299-BK1299</f>
        <v/>
      </c>
      <c r="BM1299" s="201">
        <f>SUM(BL1300:BL1398)</f>
        <v/>
      </c>
    </row>
    <row r="1300">
      <c r="P1300" s="626" t="n"/>
      <c r="Q1300" s="626" t="n"/>
      <c r="R1300" s="626" t="n"/>
      <c r="S1300" s="626" t="n"/>
      <c r="T1300" s="626" t="n"/>
      <c r="U1300" s="626" t="n"/>
      <c r="V1300" s="626" t="n"/>
      <c r="W1300" s="626" t="n"/>
      <c r="X1300" s="626" t="n"/>
      <c r="Y1300" s="369" t="n"/>
      <c r="Z1300" s="369" t="n"/>
      <c r="AA1300" s="369" t="n"/>
      <c r="AB1300" s="369" t="n"/>
      <c r="AC1300" s="370" t="n"/>
      <c r="AD1300" s="370" t="n"/>
      <c r="AE1300" s="370" t="n"/>
      <c r="AF1300" s="370" t="n"/>
      <c r="AG1300" s="626" t="n"/>
      <c r="AH1300" s="626" t="n"/>
      <c r="AI1300" s="626" t="n"/>
      <c r="AJ1300" s="626" t="n"/>
      <c r="AK1300" s="626" t="n"/>
      <c r="AL1300" s="626" t="n"/>
      <c r="AM1300" s="626" t="n"/>
      <c r="AN1300" s="626" t="n"/>
      <c r="AO1300" s="626" t="n"/>
      <c r="AP1300" s="369" t="n"/>
      <c r="AQ1300" s="369" t="n"/>
      <c r="AR1300" s="369" t="n"/>
      <c r="AS1300" s="369" t="n"/>
      <c r="AT1300" s="370" t="n"/>
      <c r="AU1300" s="370" t="n"/>
      <c r="AV1300" s="370" t="n"/>
      <c r="AW1300" s="370" t="n"/>
      <c r="BM1300" s="201" t="n"/>
    </row>
    <row r="1301">
      <c r="BM1301" s="201" t="n"/>
    </row>
    <row r="1302">
      <c r="BM1302" s="201" t="n"/>
    </row>
    <row r="1385">
      <c r="A1385" s="264">
        <f>A1287</f>
        <v/>
      </c>
    </row>
  </sheetData>
  <autoFilter ref="A1:CE1299"/>
  <mergeCells count="1">
    <mergeCell ref="A368:E368"/>
  </mergeCells>
  <conditionalFormatting sqref="N367:W368 X368:Z368 AB367:AK367">
    <cfRule type="cellIs" priority="15" operator="greaterThan" dxfId="0">
      <formula>0</formula>
    </cfRule>
  </conditionalFormatting>
  <conditionalFormatting sqref="X367:AA367">
    <cfRule type="cellIs" priority="6" operator="greaterThan" dxfId="0">
      <formula>0</formula>
    </cfRule>
  </conditionalFormatting>
  <conditionalFormatting sqref="BL101:BL1299">
    <cfRule type="cellIs" priority="3" operator="equal" dxfId="111">
      <formula>0</formula>
    </cfRule>
  </conditionalFormatting>
  <conditionalFormatting sqref="AC105:AM110">
    <cfRule type="cellIs" priority="2" operator="equal" dxfId="110">
      <formula>0</formula>
    </cfRule>
  </conditionalFormatting>
  <conditionalFormatting sqref="P101:AW1134">
    <cfRule type="cellIs" priority="1" operator="equal" dxfId="109">
      <formula>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385"/>
  <sheetViews>
    <sheetView workbookViewId="0">
      <pane ySplit="99" topLeftCell="A100" activePane="bottomLeft" state="frozen"/>
      <selection pane="bottomLeft" activeCell="D187" sqref="D187"/>
    </sheetView>
  </sheetViews>
  <sheetFormatPr baseColWidth="8" defaultRowHeight="14.4" outlineLevelRow="1"/>
  <sheetData>
    <row r="1" ht="100.8" customHeight="1" s="191">
      <c r="A1" s="238" t="inlineStr">
        <is>
          <t>Nr zadania</t>
        </is>
      </c>
      <c r="B1" s="238" t="inlineStr">
        <is>
          <t>NrX</t>
        </is>
      </c>
      <c r="C1" s="238" t="inlineStr">
        <is>
          <t>Nr XX</t>
        </is>
      </c>
      <c r="D1" s="238" t="inlineStr">
        <is>
          <t>Kod działania</t>
        </is>
      </c>
      <c r="E1" s="238" t="inlineStr">
        <is>
          <t>Nazwa zadania / działania</t>
        </is>
      </c>
      <c r="F1" s="238" t="inlineStr">
        <is>
          <t xml:space="preserve">Imię </t>
        </is>
      </c>
      <c r="G1" s="238" t="inlineStr">
        <is>
          <t>Nazwisko</t>
        </is>
      </c>
      <c r="H1" s="238" t="inlineStr">
        <is>
          <t>Priorytet</t>
        </is>
      </c>
      <c r="I1" s="238" t="inlineStr">
        <is>
          <t xml:space="preserve">wykonawca </t>
        </is>
      </c>
      <c r="J1" s="238" t="inlineStr">
        <is>
          <t>Początek realizacji Tydzień</t>
        </is>
      </c>
      <c r="K1" s="238" t="inlineStr">
        <is>
          <t>Początek realizacji MM</t>
        </is>
      </c>
      <c r="L1" s="238" t="inlineStr">
        <is>
          <t>Koniec realizacji MM</t>
        </is>
      </c>
      <c r="M1" s="238" t="inlineStr">
        <is>
          <t>Koniec realizacji Tydzień</t>
        </is>
      </c>
      <c r="N1" s="238" t="inlineStr">
        <is>
          <t>Liczba tygodni</t>
        </is>
      </c>
      <c r="O1" s="238" t="inlineStr">
        <is>
          <t>Liczba godzin</t>
        </is>
      </c>
      <c r="P1" s="236" t="inlineStr">
        <is>
          <t>Janusz Strzelecki</t>
        </is>
      </c>
      <c r="Q1" s="236" t="inlineStr">
        <is>
          <t>Mariusz Cegliński</t>
        </is>
      </c>
      <c r="R1" s="236" t="inlineStr">
        <is>
          <t>Wojciech Mazur</t>
        </is>
      </c>
      <c r="S1" s="236" t="inlineStr">
        <is>
          <t>Tomasz Grzegorek</t>
        </is>
      </c>
      <c r="T1" s="236" t="inlineStr">
        <is>
          <t>Sebastian Kaczmar</t>
        </is>
      </c>
      <c r="U1" s="236" t="inlineStr">
        <is>
          <t>Dorota Duży</t>
        </is>
      </c>
      <c r="V1" s="236" t="inlineStr">
        <is>
          <t>Dariusz Gąsior</t>
        </is>
      </c>
      <c r="W1" s="236" t="inlineStr">
        <is>
          <t>Prog_8</t>
        </is>
      </c>
      <c r="X1" s="236" t="inlineStr">
        <is>
          <t>Prog_9</t>
        </is>
      </c>
      <c r="Y1" s="237" t="inlineStr">
        <is>
          <t>END Analityk Danych/ Inżynier ML 1</t>
        </is>
      </c>
      <c r="Z1" s="237" t="inlineStr">
        <is>
          <t>END Analityk Danych/ Inżynier ML 2</t>
        </is>
      </c>
      <c r="AA1" s="237" t="inlineStr">
        <is>
          <t>END Analityk Danych/ Inżynier ML 3</t>
        </is>
      </c>
      <c r="AB1" s="237" t="inlineStr">
        <is>
          <t>END Inż. Automatyzacji</t>
        </is>
      </c>
      <c r="AC1" s="301" t="inlineStr">
        <is>
          <t>AGH - Profesor (max 50% etatu)</t>
        </is>
      </c>
      <c r="AD1" s="301" t="inlineStr">
        <is>
          <t>AGH - Pracownik naukowy 1 (max 50% etatu)</t>
        </is>
      </c>
      <c r="AE1" s="301" t="inlineStr">
        <is>
          <t>AGH Pracownik nukowy 2 (max 50% etatu)</t>
        </is>
      </c>
      <c r="AF1" s="301" t="inlineStr">
        <is>
          <t>AGH Pracownik naukowy 3 (max 50% etatu)</t>
        </is>
      </c>
      <c r="AG1" s="236" t="inlineStr">
        <is>
          <t>Janusz Strzelecki</t>
        </is>
      </c>
      <c r="AH1" s="236" t="inlineStr">
        <is>
          <t>Mariusz Cegliński</t>
        </is>
      </c>
      <c r="AI1" s="236" t="inlineStr">
        <is>
          <t>Wojciech Mazur</t>
        </is>
      </c>
      <c r="AJ1" s="236" t="inlineStr">
        <is>
          <t>Tomasz Grzegorek</t>
        </is>
      </c>
      <c r="AK1" s="236" t="inlineStr">
        <is>
          <t>Sebastian Kaczmar</t>
        </is>
      </c>
      <c r="AL1" s="236" t="inlineStr">
        <is>
          <t>Dorota Duży</t>
        </is>
      </c>
      <c r="AM1" s="236" t="inlineStr">
        <is>
          <t>Dariusz Gąsior</t>
        </is>
      </c>
      <c r="AN1" s="236" t="inlineStr">
        <is>
          <t>Prog_8</t>
        </is>
      </c>
      <c r="AO1" s="236" t="inlineStr">
        <is>
          <t>Prog_9</t>
        </is>
      </c>
      <c r="AP1" s="237" t="inlineStr">
        <is>
          <t>END Analityk Danych/ Inżynier ML 1</t>
        </is>
      </c>
      <c r="AQ1" s="237" t="inlineStr">
        <is>
          <t>END Analityk Danych/ Inżynier ML 2</t>
        </is>
      </c>
      <c r="AR1" s="237" t="inlineStr">
        <is>
          <t>END Analityk Danych/ Inżynier ML 3</t>
        </is>
      </c>
      <c r="AS1" s="237" t="inlineStr">
        <is>
          <t>END Inż. Automatyzacji</t>
        </is>
      </c>
      <c r="AT1" s="301" t="inlineStr">
        <is>
          <t>AGH - Profesor (max 50% etatu)</t>
        </is>
      </c>
      <c r="AU1" s="301" t="inlineStr">
        <is>
          <t>AGH - Pracownik naukowy 1 (max 50% etatu)</t>
        </is>
      </c>
      <c r="AV1" s="301" t="inlineStr">
        <is>
          <t>AGH Pracownik nukowy 2 (max 50% etatu)</t>
        </is>
      </c>
      <c r="AW1" s="301" t="inlineStr">
        <is>
          <t>AGH Pracownik naukowy 3 (max 50% etatu)</t>
        </is>
      </c>
      <c r="AX1" s="236" t="inlineStr">
        <is>
          <t>Razem [h]</t>
        </is>
      </c>
      <c r="AY1" s="236" t="inlineStr">
        <is>
          <t>Część Etat [h}</t>
        </is>
      </c>
      <c r="AZ1" s="236" t="inlineStr">
        <is>
          <t>PLN/Etat</t>
        </is>
      </c>
      <c r="BA1" s="236" t="inlineStr">
        <is>
          <t>Razem</t>
        </is>
      </c>
      <c r="BB1" s="236" t="inlineStr">
        <is>
          <t>Razem</t>
        </is>
      </c>
      <c r="BC1" s="383" t="inlineStr">
        <is>
          <t>ENDAWA</t>
        </is>
      </c>
      <c r="BD1" s="383" t="inlineStr">
        <is>
          <t xml:space="preserve">Imię </t>
        </is>
      </c>
      <c r="BE1" s="383" t="inlineStr">
        <is>
          <t>Nazwisko</t>
        </is>
      </c>
      <c r="BF1" s="383" t="inlineStr">
        <is>
          <t>Termi realizacji</t>
        </is>
      </c>
      <c r="BG1" s="383" t="inlineStr">
        <is>
          <t>Liczba godzin</t>
        </is>
      </c>
      <c r="BH1" s="383" t="inlineStr">
        <is>
          <t>PLN/h</t>
        </is>
      </c>
      <c r="BI1" s="383" t="inlineStr">
        <is>
          <t>Razem</t>
        </is>
      </c>
      <c r="BJ1" s="384" t="inlineStr">
        <is>
          <t>Nazwa sprzętu</t>
        </is>
      </c>
      <c r="BK1" s="384" t="inlineStr">
        <is>
          <t xml:space="preserve">Okres używania </t>
        </is>
      </c>
      <c r="BL1" s="384" t="inlineStr">
        <is>
          <t>Amortyzacja [PLN]</t>
        </is>
      </c>
      <c r="BM1" s="384" t="inlineStr">
        <is>
          <t>Nazwa budynku</t>
        </is>
      </c>
      <c r="BN1" s="384" t="inlineStr">
        <is>
          <t>Uzywana powierzchnia [m2]</t>
        </is>
      </c>
      <c r="BO1" s="384" t="inlineStr">
        <is>
          <t>Amortyzacja [PLN]</t>
        </is>
      </c>
      <c r="BP1" s="384" t="inlineStr">
        <is>
          <t>Nazwa nieruchomości</t>
        </is>
      </c>
      <c r="BQ1" s="384" t="inlineStr">
        <is>
          <t>Okres używania</t>
        </is>
      </c>
      <c r="BR1" s="384" t="inlineStr">
        <is>
          <t>Czynsz dzierżawny [PLN]</t>
        </is>
      </c>
      <c r="BS1" s="384" t="inlineStr">
        <is>
          <t>Wieczyste uzytkowanie [PLN]</t>
        </is>
      </c>
      <c r="BT1" s="384" t="inlineStr">
        <is>
          <t>Nazwa/rodzaj</t>
        </is>
      </c>
      <c r="BU1" s="384" t="inlineStr">
        <is>
          <t>Liczba [szt.]</t>
        </is>
      </c>
      <c r="BV1" s="384" t="inlineStr">
        <is>
          <t>Wartość jednostkowa [PLN]</t>
        </is>
      </c>
      <c r="BW1" s="384" t="inlineStr">
        <is>
          <t>Razem [PLN]</t>
        </is>
      </c>
      <c r="BX1" s="384" t="inlineStr">
        <is>
          <t>Nazwa/rodzaj</t>
        </is>
      </c>
      <c r="BY1" s="384" t="inlineStr">
        <is>
          <t>Liczba [szt.]</t>
        </is>
      </c>
      <c r="BZ1" s="384" t="inlineStr">
        <is>
          <t>Wartość jednostkowa [PLN]</t>
        </is>
      </c>
      <c r="CA1" s="384" t="inlineStr">
        <is>
          <t>Razem [PLN]</t>
        </is>
      </c>
      <c r="CB1" s="384" t="inlineStr">
        <is>
          <t>Nazwa/rodzaj</t>
        </is>
      </c>
      <c r="CC1" s="384" t="inlineStr">
        <is>
          <t>Liczba [szt.]</t>
        </is>
      </c>
      <c r="CD1" s="384" t="inlineStr">
        <is>
          <t>Wartość jednostkowa [PLN]</t>
        </is>
      </c>
      <c r="CE1" s="384" t="inlineStr">
        <is>
          <t>Razem [PLN]</t>
        </is>
      </c>
    </row>
    <row r="2" hidden="1" s="191">
      <c r="A2" s="265" t="n">
        <v>0</v>
      </c>
      <c r="B2" s="265" t="n">
        <v>0</v>
      </c>
      <c r="C2" s="265" t="n">
        <v>0</v>
      </c>
      <c r="D2" s="265" t="n">
        <v>0</v>
      </c>
      <c r="E2" s="265" t="n">
        <v>0</v>
      </c>
      <c r="F2" s="266" t="n">
        <v>0</v>
      </c>
      <c r="G2" s="266" t="n">
        <v>0</v>
      </c>
      <c r="H2" s="266" t="n">
        <v>0</v>
      </c>
      <c r="I2" s="266" t="n">
        <v>0</v>
      </c>
      <c r="J2" s="267" t="n">
        <v>0</v>
      </c>
      <c r="K2" s="267" t="n">
        <v>0</v>
      </c>
      <c r="L2" s="267" t="n">
        <v>0</v>
      </c>
      <c r="M2" s="267" t="n">
        <v>0</v>
      </c>
      <c r="N2" s="268" t="n">
        <v>0</v>
      </c>
      <c r="O2" s="268" t="n">
        <v>43909</v>
      </c>
      <c r="P2" s="268" t="n">
        <v>0</v>
      </c>
      <c r="Q2" s="268" t="n">
        <v>0</v>
      </c>
      <c r="R2" s="268" t="n">
        <v>0</v>
      </c>
      <c r="S2" s="268" t="n">
        <v>0</v>
      </c>
      <c r="T2" s="268" t="n">
        <v>0</v>
      </c>
      <c r="U2" s="268" t="n">
        <v>0</v>
      </c>
      <c r="V2" s="268" t="n">
        <v>0</v>
      </c>
      <c r="W2" s="269" t="n">
        <v>0</v>
      </c>
      <c r="X2" s="269" t="n">
        <v>0</v>
      </c>
      <c r="Y2" s="269" t="n">
        <v>0</v>
      </c>
      <c r="Z2" s="269" t="n">
        <v>0</v>
      </c>
      <c r="AA2" s="270" t="n">
        <v>0</v>
      </c>
      <c r="AB2" s="270" t="n">
        <v>0</v>
      </c>
      <c r="AC2" s="270" t="n">
        <v>0</v>
      </c>
      <c r="AD2" s="270" t="n">
        <v>0</v>
      </c>
      <c r="AE2" s="268" t="n">
        <v>0</v>
      </c>
      <c r="AF2" s="268" t="n">
        <v>0</v>
      </c>
      <c r="AG2" s="268" t="n">
        <v>4777</v>
      </c>
      <c r="AH2" s="268" t="n">
        <v>4768</v>
      </c>
      <c r="AI2" s="268" t="n">
        <v>4645</v>
      </c>
      <c r="AJ2" s="268" t="n">
        <v>4619</v>
      </c>
      <c r="AK2" s="269" t="n">
        <v>3071</v>
      </c>
      <c r="AL2" s="269" t="n">
        <v>2796</v>
      </c>
      <c r="AM2" s="269" t="n">
        <v>1955</v>
      </c>
      <c r="AN2" s="269" t="n">
        <v>1516</v>
      </c>
      <c r="AO2" s="270" t="n">
        <v>1554</v>
      </c>
      <c r="AP2" s="270" t="n">
        <v>3882</v>
      </c>
      <c r="AQ2" s="270" t="n">
        <v>3580</v>
      </c>
      <c r="AR2" s="270" t="n">
        <v>3576</v>
      </c>
      <c r="AS2" s="174" t="n">
        <v>2030</v>
      </c>
      <c r="AT2" s="271" t="n">
        <v>306</v>
      </c>
      <c r="AU2" s="175" t="n">
        <v>338</v>
      </c>
      <c r="AV2" s="175" t="n">
        <v>328</v>
      </c>
      <c r="AW2" s="483" t="n">
        <v>332</v>
      </c>
      <c r="AX2" s="174" t="n">
        <v>0</v>
      </c>
      <c r="AY2" s="174" t="n">
        <v>0</v>
      </c>
      <c r="AZ2" s="483" t="n">
        <v>0</v>
      </c>
      <c r="BA2" s="483" t="n">
        <v>0</v>
      </c>
      <c r="BB2" s="174" t="n">
        <v>0</v>
      </c>
      <c r="BC2" s="174" t="n">
        <v>0</v>
      </c>
      <c r="BD2" s="483" t="n">
        <v>0</v>
      </c>
      <c r="BE2" s="483" t="n">
        <v>0</v>
      </c>
      <c r="BF2" s="483" t="n">
        <v>0</v>
      </c>
      <c r="BG2" s="483" t="n">
        <v>0</v>
      </c>
      <c r="BH2" s="483" t="n">
        <v>0</v>
      </c>
      <c r="BI2" s="483" t="n">
        <v>0</v>
      </c>
      <c r="BJ2" s="483" t="n">
        <v>0</v>
      </c>
      <c r="BK2" s="483" t="n">
        <v>0</v>
      </c>
      <c r="BL2" s="483" t="n">
        <v>0</v>
      </c>
      <c r="BM2" s="483" t="n">
        <v>0</v>
      </c>
      <c r="BN2" s="483" t="n">
        <v>0</v>
      </c>
      <c r="BO2" s="483" t="n">
        <v>0</v>
      </c>
      <c r="BP2" s="483" t="n">
        <v>0</v>
      </c>
      <c r="BQ2" s="483" t="n">
        <v>0</v>
      </c>
      <c r="BR2" s="483" t="n">
        <v>0</v>
      </c>
      <c r="BS2" s="483" t="n">
        <v>0</v>
      </c>
      <c r="BT2" s="483" t="n">
        <v>0</v>
      </c>
      <c r="BU2" s="483" t="n">
        <v>0</v>
      </c>
      <c r="BV2" s="483" t="n">
        <v>0</v>
      </c>
      <c r="BW2" s="483" t="n">
        <v>0</v>
      </c>
      <c r="BX2" s="483" t="n">
        <v>0</v>
      </c>
      <c r="BY2" s="483" t="n">
        <v>0</v>
      </c>
      <c r="BZ2" s="659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 hidden="1" s="191">
      <c r="A3" s="265" t="n">
        <v>0</v>
      </c>
      <c r="B3" s="265" t="n">
        <v>0</v>
      </c>
      <c r="C3" s="265" t="n">
        <v>0</v>
      </c>
      <c r="D3" s="265" t="n">
        <v>0</v>
      </c>
      <c r="E3" s="265" t="n">
        <v>0</v>
      </c>
      <c r="F3" s="266" t="n">
        <v>0</v>
      </c>
      <c r="G3" s="266" t="n">
        <v>0</v>
      </c>
      <c r="H3" s="266" t="n">
        <v>0</v>
      </c>
      <c r="I3" s="266" t="n">
        <v>0</v>
      </c>
      <c r="J3" s="267" t="n">
        <v>0</v>
      </c>
      <c r="K3" s="267" t="n">
        <v>0</v>
      </c>
      <c r="L3" s="267" t="n">
        <v>0</v>
      </c>
      <c r="M3" s="267" t="n">
        <v>0</v>
      </c>
      <c r="N3" s="268" t="n">
        <v>0</v>
      </c>
      <c r="O3" s="268" t="n">
        <v>44073</v>
      </c>
      <c r="P3" s="268" t="n">
        <v>0</v>
      </c>
      <c r="Q3" s="268" t="n">
        <v>0</v>
      </c>
      <c r="R3" s="268" t="n">
        <v>0</v>
      </c>
      <c r="S3" s="268" t="n">
        <v>0</v>
      </c>
      <c r="T3" s="268" t="n">
        <v>0</v>
      </c>
      <c r="U3" s="268" t="n">
        <v>0</v>
      </c>
      <c r="V3" s="268" t="n">
        <v>0</v>
      </c>
      <c r="W3" s="269" t="n">
        <v>0</v>
      </c>
      <c r="X3" s="269" t="n">
        <v>0</v>
      </c>
      <c r="Y3" s="269" t="n">
        <v>0</v>
      </c>
      <c r="Z3" s="269" t="n">
        <v>0</v>
      </c>
      <c r="AA3" s="270" t="n">
        <v>0</v>
      </c>
      <c r="AB3" s="270" t="n">
        <v>0</v>
      </c>
      <c r="AC3" s="270" t="n">
        <v>0</v>
      </c>
      <c r="AD3" s="270" t="n">
        <v>0</v>
      </c>
      <c r="AE3" s="268" t="n">
        <v>0</v>
      </c>
      <c r="AF3" s="268" t="n">
        <v>0</v>
      </c>
      <c r="AG3" s="268" t="n">
        <v>0</v>
      </c>
      <c r="AH3" s="268" t="n">
        <v>0</v>
      </c>
      <c r="AI3" s="268" t="n">
        <v>0</v>
      </c>
      <c r="AJ3" s="268" t="n">
        <v>0</v>
      </c>
      <c r="AK3" s="269" t="n">
        <v>0</v>
      </c>
      <c r="AL3" s="269" t="n">
        <v>0</v>
      </c>
      <c r="AM3" s="269" t="n">
        <v>0</v>
      </c>
      <c r="AN3" s="269" t="n">
        <v>0</v>
      </c>
      <c r="AO3" s="270" t="n">
        <v>0</v>
      </c>
      <c r="AP3" s="270" t="n">
        <v>0</v>
      </c>
      <c r="AQ3" s="270" t="n">
        <v>0</v>
      </c>
      <c r="AR3" s="270" t="n">
        <v>0</v>
      </c>
      <c r="AS3" s="174" t="n">
        <v>0</v>
      </c>
      <c r="AT3" s="271" t="n">
        <v>0</v>
      </c>
      <c r="AU3" s="175" t="n">
        <v>0</v>
      </c>
      <c r="AV3" s="175" t="n">
        <v>0</v>
      </c>
      <c r="AW3" s="483" t="n">
        <v>0</v>
      </c>
      <c r="AX3" s="174" t="n">
        <v>0</v>
      </c>
      <c r="AY3" s="174" t="n">
        <v>0</v>
      </c>
      <c r="AZ3" s="483" t="n">
        <v>0</v>
      </c>
      <c r="BA3" s="483" t="n">
        <v>0</v>
      </c>
      <c r="BB3" s="174" t="n">
        <v>0</v>
      </c>
      <c r="BC3" s="174" t="n">
        <v>0</v>
      </c>
      <c r="BD3" s="483" t="n">
        <v>0</v>
      </c>
      <c r="BE3" s="483" t="n">
        <v>0</v>
      </c>
      <c r="BF3" s="483" t="n">
        <v>0</v>
      </c>
      <c r="BG3" s="483" t="n">
        <v>0</v>
      </c>
      <c r="BH3" s="483" t="n">
        <v>0</v>
      </c>
      <c r="BI3" s="483" t="n">
        <v>0</v>
      </c>
      <c r="BJ3" s="483" t="n">
        <v>0</v>
      </c>
      <c r="BK3" s="483" t="n">
        <v>0</v>
      </c>
      <c r="BL3" s="483" t="n">
        <v>0</v>
      </c>
      <c r="BM3" s="483" t="n">
        <v>0</v>
      </c>
      <c r="BN3" s="483" t="n">
        <v>0</v>
      </c>
      <c r="BO3" s="483" t="n">
        <v>0</v>
      </c>
      <c r="BP3" s="483" t="n">
        <v>0</v>
      </c>
      <c r="BQ3" s="483" t="n">
        <v>0</v>
      </c>
      <c r="BR3" s="483" t="n">
        <v>0</v>
      </c>
      <c r="BS3" s="483" t="n">
        <v>0</v>
      </c>
      <c r="BT3" s="483" t="n">
        <v>0</v>
      </c>
      <c r="BU3" s="483" t="n">
        <v>0</v>
      </c>
      <c r="BV3" s="483" t="n">
        <v>0</v>
      </c>
      <c r="BW3" s="483" t="n">
        <v>0</v>
      </c>
      <c r="BX3" s="483" t="n">
        <v>0</v>
      </c>
      <c r="BY3" s="483" t="n">
        <v>0</v>
      </c>
      <c r="BZ3" s="659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 hidden="1" s="191">
      <c r="A4" s="265" t="n">
        <v>0</v>
      </c>
      <c r="B4" s="265" t="n">
        <v>0</v>
      </c>
      <c r="C4" s="265" t="n">
        <v>0</v>
      </c>
      <c r="D4" s="265" t="n">
        <v>0</v>
      </c>
      <c r="E4" s="265" t="n">
        <v>0</v>
      </c>
      <c r="F4" s="266" t="n">
        <v>0</v>
      </c>
      <c r="G4" s="266" t="n">
        <v>0</v>
      </c>
      <c r="H4" s="266" t="n">
        <v>0</v>
      </c>
      <c r="I4" s="266" t="n">
        <v>0</v>
      </c>
      <c r="J4" s="267" t="n">
        <v>0</v>
      </c>
      <c r="K4" s="267" t="n">
        <v>0</v>
      </c>
      <c r="L4" s="267" t="n">
        <v>0</v>
      </c>
      <c r="M4" s="267" t="n">
        <v>0</v>
      </c>
      <c r="N4" s="268" t="n">
        <v>0</v>
      </c>
      <c r="O4" s="268" t="n">
        <v>-164</v>
      </c>
      <c r="P4" s="268" t="n">
        <v>0</v>
      </c>
      <c r="Q4" s="268" t="n">
        <v>0</v>
      </c>
      <c r="R4" s="268" t="n">
        <v>0</v>
      </c>
      <c r="S4" s="268" t="n">
        <v>0</v>
      </c>
      <c r="T4" s="268" t="n">
        <v>0</v>
      </c>
      <c r="U4" s="268" t="n">
        <v>0</v>
      </c>
      <c r="V4" s="268" t="n">
        <v>0</v>
      </c>
      <c r="W4" s="269" t="n">
        <v>0</v>
      </c>
      <c r="X4" s="269" t="n">
        <v>0</v>
      </c>
      <c r="Y4" s="269" t="n">
        <v>0</v>
      </c>
      <c r="Z4" s="269" t="n">
        <v>0</v>
      </c>
      <c r="AA4" s="270" t="n">
        <v>0</v>
      </c>
      <c r="AB4" s="270" t="n">
        <v>0</v>
      </c>
      <c r="AC4" s="270" t="n">
        <v>0</v>
      </c>
      <c r="AD4" s="270" t="n">
        <v>0</v>
      </c>
      <c r="AE4" s="268" t="n">
        <v>0</v>
      </c>
      <c r="AF4" s="268" t="n">
        <v>0</v>
      </c>
      <c r="AG4" s="268" t="n">
        <v>0</v>
      </c>
      <c r="AH4" s="268" t="n">
        <v>0</v>
      </c>
      <c r="AI4" s="268" t="n">
        <v>0</v>
      </c>
      <c r="AJ4" s="268" t="n">
        <v>0</v>
      </c>
      <c r="AK4" s="269" t="n">
        <v>0</v>
      </c>
      <c r="AL4" s="269" t="n">
        <v>0</v>
      </c>
      <c r="AM4" s="269" t="n">
        <v>0</v>
      </c>
      <c r="AN4" s="269" t="n">
        <v>0</v>
      </c>
      <c r="AO4" s="270" t="n">
        <v>0</v>
      </c>
      <c r="AP4" s="270" t="n">
        <v>0</v>
      </c>
      <c r="AQ4" s="270" t="n">
        <v>0</v>
      </c>
      <c r="AR4" s="270" t="n">
        <v>0</v>
      </c>
      <c r="AS4" s="174" t="n">
        <v>0</v>
      </c>
      <c r="AT4" s="271" t="n">
        <v>0</v>
      </c>
      <c r="AU4" s="175" t="n">
        <v>0</v>
      </c>
      <c r="AV4" s="175" t="n">
        <v>0</v>
      </c>
      <c r="AW4" s="483" t="n">
        <v>0</v>
      </c>
      <c r="AX4" s="174" t="n">
        <v>0</v>
      </c>
      <c r="AY4" s="174" t="n">
        <v>0</v>
      </c>
      <c r="AZ4" s="483" t="n">
        <v>0</v>
      </c>
      <c r="BA4" s="483" t="n">
        <v>0</v>
      </c>
      <c r="BB4" s="174" t="n">
        <v>0</v>
      </c>
      <c r="BC4" s="174" t="n">
        <v>0</v>
      </c>
      <c r="BD4" s="483" t="n">
        <v>0</v>
      </c>
      <c r="BE4" s="483" t="n">
        <v>0</v>
      </c>
      <c r="BF4" s="483" t="n">
        <v>0</v>
      </c>
      <c r="BG4" s="483" t="n">
        <v>0</v>
      </c>
      <c r="BH4" s="483" t="n">
        <v>0</v>
      </c>
      <c r="BI4" s="483" t="n">
        <v>0</v>
      </c>
      <c r="BJ4" s="483" t="n">
        <v>0</v>
      </c>
      <c r="BK4" s="483" t="n">
        <v>0</v>
      </c>
      <c r="BL4" s="483" t="n">
        <v>0</v>
      </c>
      <c r="BM4" s="483" t="n">
        <v>0</v>
      </c>
      <c r="BN4" s="483" t="n">
        <v>0</v>
      </c>
      <c r="BO4" s="483" t="n">
        <v>0</v>
      </c>
      <c r="BP4" s="483" t="n">
        <v>0</v>
      </c>
      <c r="BQ4" s="483" t="n">
        <v>0</v>
      </c>
      <c r="BR4" s="483" t="n">
        <v>0</v>
      </c>
      <c r="BS4" s="483" t="n">
        <v>0</v>
      </c>
      <c r="BT4" s="483" t="n">
        <v>0</v>
      </c>
      <c r="BU4" s="483" t="n">
        <v>0</v>
      </c>
      <c r="BV4" s="483" t="n">
        <v>0</v>
      </c>
      <c r="BW4" s="483" t="n">
        <v>0</v>
      </c>
      <c r="BX4" s="483" t="n">
        <v>0</v>
      </c>
      <c r="BY4" s="483" t="n">
        <v>0</v>
      </c>
      <c r="BZ4" s="659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 hidden="1" s="191">
      <c r="A5" s="265" t="n">
        <v>0</v>
      </c>
      <c r="B5" s="265" t="n">
        <v>0</v>
      </c>
      <c r="C5" s="265" t="n">
        <v>0</v>
      </c>
      <c r="D5" s="265" t="n">
        <v>0</v>
      </c>
      <c r="E5" s="265" t="n">
        <v>0</v>
      </c>
      <c r="F5" s="266" t="n">
        <v>0</v>
      </c>
      <c r="G5" s="266" t="n">
        <v>0</v>
      </c>
      <c r="H5" s="266" t="n">
        <v>0</v>
      </c>
      <c r="I5" s="266" t="n">
        <v>0</v>
      </c>
      <c r="J5" s="267" t="n">
        <v>0</v>
      </c>
      <c r="K5" s="267" t="n">
        <v>0</v>
      </c>
      <c r="L5" s="267" t="n">
        <v>0</v>
      </c>
      <c r="M5" s="267" t="n">
        <v>0</v>
      </c>
      <c r="N5" s="268" t="n">
        <v>0</v>
      </c>
      <c r="O5" s="268" t="n">
        <v>0</v>
      </c>
      <c r="P5" s="268" t="n">
        <v>0</v>
      </c>
      <c r="Q5" s="268" t="n">
        <v>0</v>
      </c>
      <c r="R5" s="268" t="n">
        <v>0</v>
      </c>
      <c r="S5" s="268" t="n">
        <v>0</v>
      </c>
      <c r="T5" s="268" t="n">
        <v>0</v>
      </c>
      <c r="U5" s="268" t="n">
        <v>0</v>
      </c>
      <c r="V5" s="268" t="n">
        <v>0</v>
      </c>
      <c r="W5" s="269" t="n">
        <v>0</v>
      </c>
      <c r="X5" s="269" t="n">
        <v>0</v>
      </c>
      <c r="Y5" s="269" t="n">
        <v>0</v>
      </c>
      <c r="Z5" s="269" t="n">
        <v>0</v>
      </c>
      <c r="AA5" s="270" t="n">
        <v>0</v>
      </c>
      <c r="AB5" s="270" t="n">
        <v>0</v>
      </c>
      <c r="AC5" s="270" t="n">
        <v>0</v>
      </c>
      <c r="AD5" s="270" t="n">
        <v>0</v>
      </c>
      <c r="AE5" s="268" t="n">
        <v>0</v>
      </c>
      <c r="AF5" s="268" t="n">
        <v>0</v>
      </c>
      <c r="AG5" s="268" t="n">
        <v>0</v>
      </c>
      <c r="AH5" s="268" t="n">
        <v>0</v>
      </c>
      <c r="AI5" s="268" t="n">
        <v>0</v>
      </c>
      <c r="AJ5" s="268" t="n">
        <v>0</v>
      </c>
      <c r="AK5" s="269" t="n">
        <v>0</v>
      </c>
      <c r="AL5" s="269" t="n">
        <v>0</v>
      </c>
      <c r="AM5" s="269" t="n">
        <v>0</v>
      </c>
      <c r="AN5" s="269" t="n">
        <v>0</v>
      </c>
      <c r="AO5" s="270" t="n">
        <v>0</v>
      </c>
      <c r="AP5" s="270" t="n">
        <v>0</v>
      </c>
      <c r="AQ5" s="270" t="n">
        <v>0</v>
      </c>
      <c r="AR5" s="270" t="n">
        <v>0</v>
      </c>
      <c r="AS5" s="174" t="n">
        <v>0</v>
      </c>
      <c r="AT5" s="271" t="n">
        <v>0</v>
      </c>
      <c r="AU5" s="175" t="n">
        <v>0</v>
      </c>
      <c r="AV5" s="175" t="n">
        <v>0</v>
      </c>
      <c r="AW5" s="483" t="n">
        <v>0</v>
      </c>
      <c r="AX5" s="174" t="n">
        <v>0</v>
      </c>
      <c r="AY5" s="174" t="n">
        <v>0</v>
      </c>
      <c r="AZ5" s="483" t="n">
        <v>0</v>
      </c>
      <c r="BA5" s="483" t="n">
        <v>0</v>
      </c>
      <c r="BB5" s="174" t="n">
        <v>0</v>
      </c>
      <c r="BC5" s="174" t="n">
        <v>0</v>
      </c>
      <c r="BD5" s="483" t="n">
        <v>0</v>
      </c>
      <c r="BE5" s="483" t="n">
        <v>0</v>
      </c>
      <c r="BF5" s="483" t="n">
        <v>0</v>
      </c>
      <c r="BG5" s="483" t="n">
        <v>0</v>
      </c>
      <c r="BH5" s="483" t="n">
        <v>0</v>
      </c>
      <c r="BI5" s="483" t="n">
        <v>0</v>
      </c>
      <c r="BJ5" s="483" t="n">
        <v>0</v>
      </c>
      <c r="BK5" s="483" t="n">
        <v>0</v>
      </c>
      <c r="BL5" s="483" t="n">
        <v>0</v>
      </c>
      <c r="BM5" s="483" t="n">
        <v>0</v>
      </c>
      <c r="BN5" s="483" t="n">
        <v>0</v>
      </c>
      <c r="BO5" s="483" t="n">
        <v>0</v>
      </c>
      <c r="BP5" s="483" t="n">
        <v>0</v>
      </c>
      <c r="BQ5" s="483" t="n">
        <v>0</v>
      </c>
      <c r="BR5" s="483" t="n">
        <v>0</v>
      </c>
      <c r="BS5" s="483" t="n">
        <v>0</v>
      </c>
      <c r="BT5" s="483" t="n">
        <v>0</v>
      </c>
      <c r="BU5" s="483" t="n">
        <v>0</v>
      </c>
      <c r="BV5" s="483" t="n">
        <v>0</v>
      </c>
      <c r="BW5" s="483" t="n">
        <v>0</v>
      </c>
      <c r="BX5" s="483" t="n">
        <v>0</v>
      </c>
      <c r="BY5" s="483" t="n">
        <v>0</v>
      </c>
      <c r="BZ5" s="659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 hidden="1" s="191">
      <c r="A6" s="265" t="n">
        <v>0</v>
      </c>
      <c r="B6" s="265" t="n">
        <v>0</v>
      </c>
      <c r="C6" s="265" t="n">
        <v>0</v>
      </c>
      <c r="D6" s="265" t="n">
        <v>0</v>
      </c>
      <c r="E6" s="265" t="n">
        <v>0</v>
      </c>
      <c r="F6" s="266" t="n">
        <v>0</v>
      </c>
      <c r="G6" s="266" t="n">
        <v>0</v>
      </c>
      <c r="H6" s="266" t="n">
        <v>0</v>
      </c>
      <c r="I6" s="266" t="n">
        <v>0</v>
      </c>
      <c r="J6" s="267" t="n">
        <v>0</v>
      </c>
      <c r="K6" s="267" t="n">
        <v>0</v>
      </c>
      <c r="L6" s="267" t="n">
        <v>0</v>
      </c>
      <c r="M6" s="267" t="n">
        <v>0</v>
      </c>
      <c r="N6" s="268" t="n">
        <v>0</v>
      </c>
      <c r="O6" s="268" t="n">
        <v>0</v>
      </c>
      <c r="P6" s="268" t="n">
        <v>0</v>
      </c>
      <c r="Q6" s="268" t="n">
        <v>0</v>
      </c>
      <c r="R6" s="268" t="n">
        <v>0</v>
      </c>
      <c r="S6" s="268" t="n">
        <v>0</v>
      </c>
      <c r="T6" s="268" t="n">
        <v>0</v>
      </c>
      <c r="U6" s="268" t="n">
        <v>0</v>
      </c>
      <c r="V6" s="268" t="n">
        <v>0</v>
      </c>
      <c r="W6" s="269" t="n">
        <v>0</v>
      </c>
      <c r="X6" s="269" t="n">
        <v>0</v>
      </c>
      <c r="Y6" s="269" t="n">
        <v>0</v>
      </c>
      <c r="Z6" s="269" t="n">
        <v>0</v>
      </c>
      <c r="AA6" s="270" t="n">
        <v>0</v>
      </c>
      <c r="AB6" s="270" t="n">
        <v>0</v>
      </c>
      <c r="AC6" s="270" t="n">
        <v>0</v>
      </c>
      <c r="AD6" s="270" t="n">
        <v>0</v>
      </c>
      <c r="AE6" s="268" t="n">
        <v>0</v>
      </c>
      <c r="AF6" s="268" t="n">
        <v>0</v>
      </c>
      <c r="AG6" s="268" t="n">
        <v>0</v>
      </c>
      <c r="AH6" s="268" t="n">
        <v>0</v>
      </c>
      <c r="AI6" s="268" t="n">
        <v>0</v>
      </c>
      <c r="AJ6" s="268" t="n">
        <v>0</v>
      </c>
      <c r="AK6" s="269" t="n">
        <v>0</v>
      </c>
      <c r="AL6" s="269" t="n">
        <v>0</v>
      </c>
      <c r="AM6" s="269" t="n">
        <v>0</v>
      </c>
      <c r="AN6" s="269" t="n">
        <v>0</v>
      </c>
      <c r="AO6" s="270" t="n">
        <v>0</v>
      </c>
      <c r="AP6" s="270" t="n">
        <v>0</v>
      </c>
      <c r="AQ6" s="270" t="n">
        <v>0</v>
      </c>
      <c r="AR6" s="270" t="n">
        <v>0</v>
      </c>
      <c r="AS6" s="174" t="n">
        <v>0</v>
      </c>
      <c r="AT6" s="271" t="n">
        <v>0</v>
      </c>
      <c r="AU6" s="175" t="n">
        <v>0</v>
      </c>
      <c r="AV6" s="175" t="n">
        <v>0</v>
      </c>
      <c r="AW6" s="483" t="n">
        <v>0</v>
      </c>
      <c r="AX6" s="174" t="n">
        <v>0</v>
      </c>
      <c r="AY6" s="174" t="n">
        <v>0</v>
      </c>
      <c r="AZ6" s="483" t="n">
        <v>0</v>
      </c>
      <c r="BA6" s="483" t="n">
        <v>0</v>
      </c>
      <c r="BB6" s="174" t="n">
        <v>0</v>
      </c>
      <c r="BC6" s="174" t="n">
        <v>0</v>
      </c>
      <c r="BD6" s="483" t="n">
        <v>0</v>
      </c>
      <c r="BE6" s="483" t="n">
        <v>0</v>
      </c>
      <c r="BF6" s="483" t="n">
        <v>0</v>
      </c>
      <c r="BG6" s="483" t="n">
        <v>0</v>
      </c>
      <c r="BH6" s="483" t="n">
        <v>0</v>
      </c>
      <c r="BI6" s="483" t="n">
        <v>0</v>
      </c>
      <c r="BJ6" s="483" t="n">
        <v>0</v>
      </c>
      <c r="BK6" s="483" t="n">
        <v>0</v>
      </c>
      <c r="BL6" s="483" t="n">
        <v>0</v>
      </c>
      <c r="BM6" s="483" t="n">
        <v>0</v>
      </c>
      <c r="BN6" s="483" t="n">
        <v>0</v>
      </c>
      <c r="BO6" s="483" t="n">
        <v>0</v>
      </c>
      <c r="BP6" s="483" t="n">
        <v>0</v>
      </c>
      <c r="BQ6" s="483" t="n">
        <v>0</v>
      </c>
      <c r="BR6" s="483" t="n">
        <v>0</v>
      </c>
      <c r="BS6" s="483" t="n">
        <v>0</v>
      </c>
      <c r="BT6" s="483" t="n">
        <v>0</v>
      </c>
      <c r="BU6" s="483" t="n">
        <v>0</v>
      </c>
      <c r="BV6" s="483" t="n">
        <v>0</v>
      </c>
      <c r="BW6" s="483" t="n">
        <v>0</v>
      </c>
      <c r="BX6" s="483" t="n">
        <v>0</v>
      </c>
      <c r="BY6" s="483" t="n">
        <v>0</v>
      </c>
      <c r="BZ6" s="659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 hidden="1" s="191">
      <c r="A7" s="265" t="n">
        <v>0</v>
      </c>
      <c r="B7" s="265" t="n">
        <v>0</v>
      </c>
      <c r="C7" s="265" t="n">
        <v>0</v>
      </c>
      <c r="D7" s="265" t="n">
        <v>0</v>
      </c>
      <c r="E7" s="265" t="n">
        <v>0</v>
      </c>
      <c r="F7" s="266" t="n">
        <v>0</v>
      </c>
      <c r="G7" s="266" t="n">
        <v>0</v>
      </c>
      <c r="H7" s="266" t="n">
        <v>0</v>
      </c>
      <c r="I7" s="266" t="n">
        <v>0</v>
      </c>
      <c r="J7" s="267" t="n">
        <v>0</v>
      </c>
      <c r="K7" s="267" t="n">
        <v>0</v>
      </c>
      <c r="L7" s="267" t="n">
        <v>0</v>
      </c>
      <c r="M7" s="267" t="n">
        <v>0</v>
      </c>
      <c r="N7" s="268" t="n">
        <v>0</v>
      </c>
      <c r="O7" s="268" t="n">
        <v>0</v>
      </c>
      <c r="P7" s="268" t="n">
        <v>0</v>
      </c>
      <c r="Q7" s="268" t="n">
        <v>0</v>
      </c>
      <c r="R7" s="268" t="n">
        <v>0</v>
      </c>
      <c r="S7" s="268" t="n">
        <v>0</v>
      </c>
      <c r="T7" s="268" t="n">
        <v>0</v>
      </c>
      <c r="U7" s="268" t="n">
        <v>0</v>
      </c>
      <c r="V7" s="268" t="n">
        <v>0</v>
      </c>
      <c r="W7" s="269" t="n">
        <v>0</v>
      </c>
      <c r="X7" s="269" t="n">
        <v>0</v>
      </c>
      <c r="Y7" s="269" t="n">
        <v>0</v>
      </c>
      <c r="Z7" s="269" t="n">
        <v>0</v>
      </c>
      <c r="AA7" s="270" t="n">
        <v>0</v>
      </c>
      <c r="AB7" s="270" t="n">
        <v>0</v>
      </c>
      <c r="AC7" s="270" t="n">
        <v>0</v>
      </c>
      <c r="AD7" s="270" t="n">
        <v>0</v>
      </c>
      <c r="AE7" s="268" t="n">
        <v>0</v>
      </c>
      <c r="AF7" s="268" t="n">
        <v>0</v>
      </c>
      <c r="AG7" s="268" t="n">
        <v>0</v>
      </c>
      <c r="AH7" s="268" t="n">
        <v>0</v>
      </c>
      <c r="AI7" s="268" t="n">
        <v>0</v>
      </c>
      <c r="AJ7" s="268" t="n">
        <v>0</v>
      </c>
      <c r="AK7" s="269" t="n">
        <v>0</v>
      </c>
      <c r="AL7" s="269" t="n">
        <v>0</v>
      </c>
      <c r="AM7" s="269" t="n">
        <v>0</v>
      </c>
      <c r="AN7" s="269" t="n">
        <v>0</v>
      </c>
      <c r="AO7" s="270" t="n">
        <v>0</v>
      </c>
      <c r="AP7" s="270" t="n">
        <v>0</v>
      </c>
      <c r="AQ7" s="270" t="n">
        <v>0</v>
      </c>
      <c r="AR7" s="270" t="n">
        <v>0</v>
      </c>
      <c r="AS7" s="174" t="n">
        <v>0</v>
      </c>
      <c r="AT7" s="271" t="n">
        <v>0</v>
      </c>
      <c r="AU7" s="175" t="n">
        <v>0</v>
      </c>
      <c r="AV7" s="175" t="n">
        <v>0</v>
      </c>
      <c r="AW7" s="483" t="n">
        <v>0</v>
      </c>
      <c r="AX7" s="174" t="n">
        <v>0</v>
      </c>
      <c r="AY7" s="174" t="n">
        <v>0</v>
      </c>
      <c r="AZ7" s="483" t="n">
        <v>0</v>
      </c>
      <c r="BA7" s="483" t="n">
        <v>0</v>
      </c>
      <c r="BB7" s="174" t="n">
        <v>0</v>
      </c>
      <c r="BC7" s="174" t="n">
        <v>0</v>
      </c>
      <c r="BD7" s="483" t="n">
        <v>0</v>
      </c>
      <c r="BE7" s="483" t="n">
        <v>0</v>
      </c>
      <c r="BF7" s="483" t="n">
        <v>0</v>
      </c>
      <c r="BG7" s="483" t="n">
        <v>0</v>
      </c>
      <c r="BH7" s="483" t="n">
        <v>0</v>
      </c>
      <c r="BI7" s="483" t="n">
        <v>0</v>
      </c>
      <c r="BJ7" s="483" t="n">
        <v>0</v>
      </c>
      <c r="BK7" s="483" t="n">
        <v>0</v>
      </c>
      <c r="BL7" s="483" t="n">
        <v>0</v>
      </c>
      <c r="BM7" s="483" t="n">
        <v>0</v>
      </c>
      <c r="BN7" s="483" t="n">
        <v>0</v>
      </c>
      <c r="BO7" s="483" t="n">
        <v>0</v>
      </c>
      <c r="BP7" s="483" t="n">
        <v>0</v>
      </c>
      <c r="BQ7" s="483" t="n">
        <v>0</v>
      </c>
      <c r="BR7" s="483" t="n">
        <v>0</v>
      </c>
      <c r="BS7" s="483" t="n">
        <v>0</v>
      </c>
      <c r="BT7" s="483" t="n">
        <v>0</v>
      </c>
      <c r="BU7" s="483" t="n">
        <v>0</v>
      </c>
      <c r="BV7" s="483" t="n">
        <v>0</v>
      </c>
      <c r="BW7" s="483" t="n">
        <v>0</v>
      </c>
      <c r="BX7" s="483" t="n">
        <v>0</v>
      </c>
      <c r="BY7" s="483" t="n">
        <v>0</v>
      </c>
      <c r="BZ7" s="659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 hidden="1" s="191">
      <c r="A8" s="265" t="n">
        <v>0</v>
      </c>
      <c r="B8" s="265" t="n">
        <v>0</v>
      </c>
      <c r="C8" s="265" t="n">
        <v>0</v>
      </c>
      <c r="D8" s="265" t="n">
        <v>0</v>
      </c>
      <c r="E8" s="265" t="n">
        <v>0</v>
      </c>
      <c r="F8" s="266" t="n">
        <v>0</v>
      </c>
      <c r="G8" s="266" t="n">
        <v>0</v>
      </c>
      <c r="H8" s="266" t="n">
        <v>0</v>
      </c>
      <c r="I8" s="266" t="n">
        <v>0</v>
      </c>
      <c r="J8" s="267" t="n">
        <v>0</v>
      </c>
      <c r="K8" s="267" t="n">
        <v>0</v>
      </c>
      <c r="L8" s="267" t="n">
        <v>0</v>
      </c>
      <c r="M8" s="267" t="n">
        <v>0</v>
      </c>
      <c r="N8" s="268" t="n">
        <v>0</v>
      </c>
      <c r="O8" s="268" t="n">
        <v>0</v>
      </c>
      <c r="P8" s="268" t="n">
        <v>0</v>
      </c>
      <c r="Q8" s="268" t="n">
        <v>0</v>
      </c>
      <c r="R8" s="268" t="n">
        <v>0</v>
      </c>
      <c r="S8" s="268" t="n">
        <v>0</v>
      </c>
      <c r="T8" s="268" t="n">
        <v>0</v>
      </c>
      <c r="U8" s="268" t="n">
        <v>0</v>
      </c>
      <c r="V8" s="268" t="n">
        <v>0</v>
      </c>
      <c r="W8" s="269" t="n">
        <v>0</v>
      </c>
      <c r="X8" s="269" t="n">
        <v>0</v>
      </c>
      <c r="Y8" s="269" t="n">
        <v>0</v>
      </c>
      <c r="Z8" s="269" t="n">
        <v>0</v>
      </c>
      <c r="AA8" s="270" t="n">
        <v>0</v>
      </c>
      <c r="AB8" s="270" t="n">
        <v>0</v>
      </c>
      <c r="AC8" s="270" t="n">
        <v>0</v>
      </c>
      <c r="AD8" s="270" t="n">
        <v>0</v>
      </c>
      <c r="AE8" s="268" t="n">
        <v>0</v>
      </c>
      <c r="AF8" s="268" t="n">
        <v>0</v>
      </c>
      <c r="AG8" s="268" t="n">
        <v>0</v>
      </c>
      <c r="AH8" s="268" t="n">
        <v>0</v>
      </c>
      <c r="AI8" s="268" t="n">
        <v>0</v>
      </c>
      <c r="AJ8" s="268" t="n">
        <v>0</v>
      </c>
      <c r="AK8" s="269" t="n">
        <v>0</v>
      </c>
      <c r="AL8" s="269" t="n">
        <v>0</v>
      </c>
      <c r="AM8" s="269" t="n">
        <v>0</v>
      </c>
      <c r="AN8" s="269" t="n">
        <v>0</v>
      </c>
      <c r="AO8" s="270" t="n">
        <v>0</v>
      </c>
      <c r="AP8" s="270" t="n">
        <v>0</v>
      </c>
      <c r="AQ8" s="270" t="n">
        <v>0</v>
      </c>
      <c r="AR8" s="270" t="n">
        <v>0</v>
      </c>
      <c r="AS8" s="174" t="n">
        <v>0</v>
      </c>
      <c r="AT8" s="271" t="n">
        <v>0</v>
      </c>
      <c r="AU8" s="175" t="n">
        <v>0</v>
      </c>
      <c r="AV8" s="175" t="n">
        <v>0</v>
      </c>
      <c r="AW8" s="483" t="n">
        <v>0</v>
      </c>
      <c r="AX8" s="174" t="n">
        <v>0</v>
      </c>
      <c r="AY8" s="174" t="n">
        <v>0</v>
      </c>
      <c r="AZ8" s="483" t="n">
        <v>0</v>
      </c>
      <c r="BA8" s="483" t="n">
        <v>0</v>
      </c>
      <c r="BB8" s="174" t="n">
        <v>0</v>
      </c>
      <c r="BC8" s="174" t="n">
        <v>0</v>
      </c>
      <c r="BD8" s="483" t="n">
        <v>0</v>
      </c>
      <c r="BE8" s="483" t="n">
        <v>0</v>
      </c>
      <c r="BF8" s="483" t="n">
        <v>0</v>
      </c>
      <c r="BG8" s="483" t="n">
        <v>0</v>
      </c>
      <c r="BH8" s="483" t="n">
        <v>0</v>
      </c>
      <c r="BI8" s="483" t="n">
        <v>0</v>
      </c>
      <c r="BJ8" s="483" t="n">
        <v>0</v>
      </c>
      <c r="BK8" s="483" t="n">
        <v>0</v>
      </c>
      <c r="BL8" s="483" t="n">
        <v>0</v>
      </c>
      <c r="BM8" s="483" t="n">
        <v>0</v>
      </c>
      <c r="BN8" s="483" t="n">
        <v>0</v>
      </c>
      <c r="BO8" s="483" t="n">
        <v>0</v>
      </c>
      <c r="BP8" s="483" t="n">
        <v>0</v>
      </c>
      <c r="BQ8" s="483" t="n">
        <v>0</v>
      </c>
      <c r="BR8" s="483" t="n">
        <v>0</v>
      </c>
      <c r="BS8" s="483" t="n">
        <v>0</v>
      </c>
      <c r="BT8" s="483" t="n">
        <v>0</v>
      </c>
      <c r="BU8" s="483" t="n">
        <v>0</v>
      </c>
      <c r="BV8" s="483" t="n">
        <v>0</v>
      </c>
      <c r="BW8" s="483" t="n">
        <v>0</v>
      </c>
      <c r="BX8" s="483" t="n">
        <v>0</v>
      </c>
      <c r="BY8" s="483" t="n">
        <v>0</v>
      </c>
      <c r="BZ8" s="659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 hidden="1" s="191">
      <c r="A9" s="265" t="n">
        <v>0</v>
      </c>
      <c r="B9" s="265" t="n">
        <v>0</v>
      </c>
      <c r="C9" s="265" t="n">
        <v>0</v>
      </c>
      <c r="D9" s="265" t="n">
        <v>0</v>
      </c>
      <c r="E9" s="265" t="n">
        <v>0</v>
      </c>
      <c r="F9" s="266" t="n">
        <v>0</v>
      </c>
      <c r="G9" s="266" t="n">
        <v>0</v>
      </c>
      <c r="H9" s="266" t="n">
        <v>0</v>
      </c>
      <c r="I9" s="266" t="n">
        <v>0</v>
      </c>
      <c r="J9" s="267" t="n">
        <v>0</v>
      </c>
      <c r="K9" s="267" t="n">
        <v>0</v>
      </c>
      <c r="L9" s="267" t="n">
        <v>0</v>
      </c>
      <c r="M9" s="267" t="n">
        <v>0</v>
      </c>
      <c r="N9" s="268" t="n">
        <v>0</v>
      </c>
      <c r="O9" s="268" t="n">
        <v>0</v>
      </c>
      <c r="P9" s="268" t="n">
        <v>0</v>
      </c>
      <c r="Q9" s="268" t="n">
        <v>0</v>
      </c>
      <c r="R9" s="268" t="n">
        <v>0</v>
      </c>
      <c r="S9" s="268" t="n">
        <v>0</v>
      </c>
      <c r="T9" s="268" t="n">
        <v>0</v>
      </c>
      <c r="U9" s="268" t="n">
        <v>0</v>
      </c>
      <c r="V9" s="268" t="n">
        <v>0</v>
      </c>
      <c r="W9" s="269" t="n">
        <v>0</v>
      </c>
      <c r="X9" s="269" t="n">
        <v>0</v>
      </c>
      <c r="Y9" s="269" t="n">
        <v>0</v>
      </c>
      <c r="Z9" s="269" t="n">
        <v>0</v>
      </c>
      <c r="AA9" s="270" t="n">
        <v>0</v>
      </c>
      <c r="AB9" s="270" t="n">
        <v>0</v>
      </c>
      <c r="AC9" s="270" t="n">
        <v>0</v>
      </c>
      <c r="AD9" s="270" t="n">
        <v>0</v>
      </c>
      <c r="AE9" s="268" t="n">
        <v>0</v>
      </c>
      <c r="AF9" s="268" t="n">
        <v>0</v>
      </c>
      <c r="AG9" s="268" t="n">
        <v>0</v>
      </c>
      <c r="AH9" s="268" t="n">
        <v>0</v>
      </c>
      <c r="AI9" s="268" t="n">
        <v>0</v>
      </c>
      <c r="AJ9" s="268" t="n">
        <v>0</v>
      </c>
      <c r="AK9" s="269" t="n">
        <v>0</v>
      </c>
      <c r="AL9" s="269" t="n">
        <v>0</v>
      </c>
      <c r="AM9" s="269" t="n">
        <v>0</v>
      </c>
      <c r="AN9" s="269" t="n">
        <v>0</v>
      </c>
      <c r="AO9" s="270" t="n">
        <v>0</v>
      </c>
      <c r="AP9" s="270" t="n">
        <v>0</v>
      </c>
      <c r="AQ9" s="270" t="n">
        <v>0</v>
      </c>
      <c r="AR9" s="270" t="n">
        <v>0</v>
      </c>
      <c r="AS9" s="174" t="n">
        <v>0</v>
      </c>
      <c r="AT9" s="271" t="n">
        <v>0</v>
      </c>
      <c r="AU9" s="175" t="n">
        <v>0</v>
      </c>
      <c r="AV9" s="175" t="n">
        <v>0</v>
      </c>
      <c r="AW9" s="483" t="n">
        <v>0</v>
      </c>
      <c r="AX9" s="174" t="n">
        <v>0</v>
      </c>
      <c r="AY9" s="174" t="n">
        <v>0</v>
      </c>
      <c r="AZ9" s="483" t="n">
        <v>0</v>
      </c>
      <c r="BA9" s="483" t="n">
        <v>0</v>
      </c>
      <c r="BB9" s="174" t="n">
        <v>0</v>
      </c>
      <c r="BC9" s="174" t="n">
        <v>0</v>
      </c>
      <c r="BD9" s="483" t="n">
        <v>0</v>
      </c>
      <c r="BE9" s="483" t="n">
        <v>0</v>
      </c>
      <c r="BF9" s="483" t="n">
        <v>0</v>
      </c>
      <c r="BG9" s="483" t="n">
        <v>0</v>
      </c>
      <c r="BH9" s="483" t="n">
        <v>0</v>
      </c>
      <c r="BI9" s="483" t="n">
        <v>0</v>
      </c>
      <c r="BJ9" s="483" t="n">
        <v>0</v>
      </c>
      <c r="BK9" s="483" t="n">
        <v>0</v>
      </c>
      <c r="BL9" s="483" t="n">
        <v>0</v>
      </c>
      <c r="BM9" s="483" t="n">
        <v>0</v>
      </c>
      <c r="BN9" s="483" t="n">
        <v>0</v>
      </c>
      <c r="BO9" s="483" t="n">
        <v>0</v>
      </c>
      <c r="BP9" s="483" t="n">
        <v>0</v>
      </c>
      <c r="BQ9" s="483" t="n">
        <v>0</v>
      </c>
      <c r="BR9" s="483" t="n">
        <v>0</v>
      </c>
      <c r="BS9" s="483" t="n">
        <v>0</v>
      </c>
      <c r="BT9" s="483" t="n">
        <v>0</v>
      </c>
      <c r="BU9" s="483" t="n">
        <v>0</v>
      </c>
      <c r="BV9" s="483" t="n">
        <v>0</v>
      </c>
      <c r="BW9" s="483" t="n">
        <v>0</v>
      </c>
      <c r="BX9" s="483" t="n">
        <v>0</v>
      </c>
      <c r="BY9" s="483" t="n">
        <v>0</v>
      </c>
      <c r="BZ9" s="65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 hidden="1" s="191">
      <c r="A10" s="265" t="n">
        <v>0</v>
      </c>
      <c r="B10" s="265" t="n">
        <v>0</v>
      </c>
      <c r="C10" s="265" t="n">
        <v>0</v>
      </c>
      <c r="D10" s="265" t="n">
        <v>0</v>
      </c>
      <c r="E10" s="265" t="n">
        <v>0</v>
      </c>
      <c r="F10" s="266" t="n">
        <v>0</v>
      </c>
      <c r="G10" s="266" t="n">
        <v>0</v>
      </c>
      <c r="H10" s="266" t="n">
        <v>0</v>
      </c>
      <c r="I10" s="266" t="n">
        <v>0</v>
      </c>
      <c r="J10" s="267" t="n">
        <v>0</v>
      </c>
      <c r="K10" s="267" t="n">
        <v>0</v>
      </c>
      <c r="L10" s="267" t="n">
        <v>0</v>
      </c>
      <c r="M10" s="267" t="n">
        <v>0</v>
      </c>
      <c r="N10" s="268" t="n">
        <v>0</v>
      </c>
      <c r="O10" s="268" t="n">
        <v>0</v>
      </c>
      <c r="P10" s="268" t="n">
        <v>0</v>
      </c>
      <c r="Q10" s="268" t="n">
        <v>0</v>
      </c>
      <c r="R10" s="268" t="n">
        <v>0</v>
      </c>
      <c r="S10" s="268" t="n">
        <v>0</v>
      </c>
      <c r="T10" s="268" t="n">
        <v>0</v>
      </c>
      <c r="U10" s="268" t="n">
        <v>0</v>
      </c>
      <c r="V10" s="268" t="n">
        <v>0</v>
      </c>
      <c r="W10" s="269" t="n">
        <v>0</v>
      </c>
      <c r="X10" s="269" t="n">
        <v>0</v>
      </c>
      <c r="Y10" s="269" t="n">
        <v>0</v>
      </c>
      <c r="Z10" s="269" t="n">
        <v>0</v>
      </c>
      <c r="AA10" s="270" t="n">
        <v>0</v>
      </c>
      <c r="AB10" s="270" t="n">
        <v>0</v>
      </c>
      <c r="AC10" s="270" t="n">
        <v>0</v>
      </c>
      <c r="AD10" s="270" t="n">
        <v>0</v>
      </c>
      <c r="AE10" s="268" t="n">
        <v>0</v>
      </c>
      <c r="AF10" s="268" t="n">
        <v>0</v>
      </c>
      <c r="AG10" s="268" t="n">
        <v>0</v>
      </c>
      <c r="AH10" s="268" t="n">
        <v>0</v>
      </c>
      <c r="AI10" s="268" t="n">
        <v>0</v>
      </c>
      <c r="AJ10" s="268" t="n">
        <v>0</v>
      </c>
      <c r="AK10" s="269" t="n">
        <v>0</v>
      </c>
      <c r="AL10" s="269" t="n">
        <v>0</v>
      </c>
      <c r="AM10" s="269" t="n">
        <v>0</v>
      </c>
      <c r="AN10" s="269" t="n">
        <v>0</v>
      </c>
      <c r="AO10" s="270" t="n">
        <v>0</v>
      </c>
      <c r="AP10" s="270" t="n">
        <v>0</v>
      </c>
      <c r="AQ10" s="270" t="n">
        <v>0</v>
      </c>
      <c r="AR10" s="270" t="n">
        <v>0</v>
      </c>
      <c r="AS10" s="174" t="n">
        <v>0</v>
      </c>
      <c r="AT10" s="271" t="n">
        <v>0</v>
      </c>
      <c r="AU10" s="175" t="n">
        <v>0</v>
      </c>
      <c r="AV10" s="175" t="n">
        <v>0</v>
      </c>
      <c r="AW10" s="483" t="n">
        <v>0</v>
      </c>
      <c r="AX10" s="174" t="n">
        <v>0</v>
      </c>
      <c r="AY10" s="174" t="n">
        <v>0</v>
      </c>
      <c r="AZ10" s="483" t="n">
        <v>0</v>
      </c>
      <c r="BA10" s="483" t="n">
        <v>0</v>
      </c>
      <c r="BB10" s="174" t="n">
        <v>0</v>
      </c>
      <c r="BC10" s="174" t="n">
        <v>0</v>
      </c>
      <c r="BD10" s="483" t="n">
        <v>0</v>
      </c>
      <c r="BE10" s="483" t="n">
        <v>0</v>
      </c>
      <c r="BF10" s="483" t="n">
        <v>0</v>
      </c>
      <c r="BG10" s="483" t="n">
        <v>0</v>
      </c>
      <c r="BH10" s="483" t="n">
        <v>0</v>
      </c>
      <c r="BI10" s="483" t="n">
        <v>0</v>
      </c>
      <c r="BJ10" s="483" t="n">
        <v>0</v>
      </c>
      <c r="BK10" s="483" t="n">
        <v>0</v>
      </c>
      <c r="BL10" s="483" t="n">
        <v>0</v>
      </c>
      <c r="BM10" s="483" t="n">
        <v>0</v>
      </c>
      <c r="BN10" s="483" t="n">
        <v>0</v>
      </c>
      <c r="BO10" s="483" t="n">
        <v>0</v>
      </c>
      <c r="BP10" s="483" t="n">
        <v>0</v>
      </c>
      <c r="BQ10" s="483" t="n">
        <v>0</v>
      </c>
      <c r="BR10" s="483" t="n">
        <v>0</v>
      </c>
      <c r="BS10" s="483" t="n">
        <v>0</v>
      </c>
      <c r="BT10" s="483" t="n">
        <v>0</v>
      </c>
      <c r="BU10" s="483" t="n">
        <v>0</v>
      </c>
      <c r="BV10" s="483" t="n">
        <v>0</v>
      </c>
      <c r="BW10" s="483" t="n">
        <v>0</v>
      </c>
      <c r="BX10" s="483" t="n">
        <v>0</v>
      </c>
      <c r="BY10" s="483" t="n">
        <v>0</v>
      </c>
      <c r="BZ10" s="659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 hidden="1" s="191">
      <c r="A11" s="265" t="n">
        <v>0</v>
      </c>
      <c r="B11" s="265" t="n">
        <v>0</v>
      </c>
      <c r="C11" s="265" t="n">
        <v>0</v>
      </c>
      <c r="D11" s="265" t="n">
        <v>0</v>
      </c>
      <c r="E11" s="265" t="n">
        <v>0</v>
      </c>
      <c r="F11" s="266" t="n">
        <v>0</v>
      </c>
      <c r="G11" s="266" t="n">
        <v>0</v>
      </c>
      <c r="H11" s="266" t="n">
        <v>0</v>
      </c>
      <c r="I11" s="266" t="n">
        <v>0</v>
      </c>
      <c r="J11" s="267" t="n">
        <v>0</v>
      </c>
      <c r="K11" s="267" t="n">
        <v>0</v>
      </c>
      <c r="L11" s="267" t="n">
        <v>0</v>
      </c>
      <c r="M11" s="267" t="n">
        <v>0</v>
      </c>
      <c r="N11" s="268" t="n">
        <v>0</v>
      </c>
      <c r="O11" s="268" t="n">
        <v>0</v>
      </c>
      <c r="P11" s="268" t="n">
        <v>0</v>
      </c>
      <c r="Q11" s="268" t="n">
        <v>0</v>
      </c>
      <c r="R11" s="268" t="n">
        <v>0</v>
      </c>
      <c r="S11" s="268" t="n">
        <v>0</v>
      </c>
      <c r="T11" s="268" t="n">
        <v>0</v>
      </c>
      <c r="U11" s="268" t="n">
        <v>0</v>
      </c>
      <c r="V11" s="268" t="n">
        <v>0</v>
      </c>
      <c r="W11" s="269" t="n">
        <v>0</v>
      </c>
      <c r="X11" s="269" t="n">
        <v>0</v>
      </c>
      <c r="Y11" s="269" t="n">
        <v>0</v>
      </c>
      <c r="Z11" s="269" t="n">
        <v>0</v>
      </c>
      <c r="AA11" s="270" t="n">
        <v>0</v>
      </c>
      <c r="AB11" s="270" t="n">
        <v>0</v>
      </c>
      <c r="AC11" s="270" t="n">
        <v>0</v>
      </c>
      <c r="AD11" s="270" t="n">
        <v>0</v>
      </c>
      <c r="AE11" s="268" t="n">
        <v>0</v>
      </c>
      <c r="AF11" s="268" t="n">
        <v>0</v>
      </c>
      <c r="AG11" s="268" t="n">
        <v>0</v>
      </c>
      <c r="AH11" s="268" t="n">
        <v>0</v>
      </c>
      <c r="AI11" s="268" t="n">
        <v>0</v>
      </c>
      <c r="AJ11" s="268" t="n">
        <v>0</v>
      </c>
      <c r="AK11" s="269" t="n">
        <v>0</v>
      </c>
      <c r="AL11" s="269" t="n">
        <v>0</v>
      </c>
      <c r="AM11" s="269" t="n">
        <v>0</v>
      </c>
      <c r="AN11" s="269" t="n">
        <v>0</v>
      </c>
      <c r="AO11" s="270" t="n">
        <v>0</v>
      </c>
      <c r="AP11" s="270" t="n">
        <v>0</v>
      </c>
      <c r="AQ11" s="270" t="n">
        <v>0</v>
      </c>
      <c r="AR11" s="270" t="n">
        <v>0</v>
      </c>
      <c r="AS11" s="174" t="n">
        <v>0</v>
      </c>
      <c r="AT11" s="271" t="n">
        <v>0</v>
      </c>
      <c r="AU11" s="175" t="n">
        <v>0</v>
      </c>
      <c r="AV11" s="175" t="n">
        <v>0</v>
      </c>
      <c r="AW11" s="483" t="n">
        <v>0</v>
      </c>
      <c r="AX11" s="174" t="n">
        <v>0</v>
      </c>
      <c r="AY11" s="174" t="n">
        <v>0</v>
      </c>
      <c r="AZ11" s="483" t="n">
        <v>0</v>
      </c>
      <c r="BA11" s="483" t="n">
        <v>0</v>
      </c>
      <c r="BB11" s="174" t="n">
        <v>0</v>
      </c>
      <c r="BC11" s="174" t="n">
        <v>0</v>
      </c>
      <c r="BD11" s="483" t="n">
        <v>0</v>
      </c>
      <c r="BE11" s="483" t="n">
        <v>0</v>
      </c>
      <c r="BF11" s="483" t="n">
        <v>0</v>
      </c>
      <c r="BG11" s="483" t="n">
        <v>0</v>
      </c>
      <c r="BH11" s="483" t="n">
        <v>0</v>
      </c>
      <c r="BI11" s="483" t="n">
        <v>0</v>
      </c>
      <c r="BJ11" s="483" t="n">
        <v>0</v>
      </c>
      <c r="BK11" s="483" t="n">
        <v>0</v>
      </c>
      <c r="BL11" s="483" t="n">
        <v>0</v>
      </c>
      <c r="BM11" s="483" t="n">
        <v>0</v>
      </c>
      <c r="BN11" s="483" t="n">
        <v>0</v>
      </c>
      <c r="BO11" s="483" t="n">
        <v>0</v>
      </c>
      <c r="BP11" s="483" t="n">
        <v>0</v>
      </c>
      <c r="BQ11" s="483" t="n">
        <v>0</v>
      </c>
      <c r="BR11" s="483" t="n">
        <v>0</v>
      </c>
      <c r="BS11" s="483" t="n">
        <v>0</v>
      </c>
      <c r="BT11" s="483" t="n">
        <v>0</v>
      </c>
      <c r="BU11" s="483" t="n">
        <v>0</v>
      </c>
      <c r="BV11" s="483" t="n">
        <v>0</v>
      </c>
      <c r="BW11" s="483" t="n">
        <v>0</v>
      </c>
      <c r="BX11" s="483" t="n">
        <v>0</v>
      </c>
      <c r="BY11" s="483" t="n">
        <v>0</v>
      </c>
      <c r="BZ11" s="659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 hidden="1" s="191">
      <c r="A12" s="265" t="n">
        <v>0</v>
      </c>
      <c r="B12" s="265" t="n">
        <v>0</v>
      </c>
      <c r="C12" s="265" t="n">
        <v>0</v>
      </c>
      <c r="D12" s="265" t="n">
        <v>0</v>
      </c>
      <c r="E12" s="265" t="n">
        <v>0</v>
      </c>
      <c r="F12" s="266" t="n">
        <v>0</v>
      </c>
      <c r="G12" s="266" t="n">
        <v>0</v>
      </c>
      <c r="H12" s="266" t="n">
        <v>0</v>
      </c>
      <c r="I12" s="266" t="n">
        <v>0</v>
      </c>
      <c r="J12" s="267" t="n">
        <v>0</v>
      </c>
      <c r="K12" s="267" t="n">
        <v>0</v>
      </c>
      <c r="L12" s="267" t="n">
        <v>0</v>
      </c>
      <c r="M12" s="267" t="n">
        <v>0</v>
      </c>
      <c r="N12" s="268" t="n">
        <v>0</v>
      </c>
      <c r="O12" s="268" t="n">
        <v>0</v>
      </c>
      <c r="P12" s="268" t="n">
        <v>0</v>
      </c>
      <c r="Q12" s="268" t="n">
        <v>0</v>
      </c>
      <c r="R12" s="268" t="n">
        <v>0</v>
      </c>
      <c r="S12" s="268" t="n">
        <v>0</v>
      </c>
      <c r="T12" s="268" t="n">
        <v>0</v>
      </c>
      <c r="U12" s="268" t="n">
        <v>0</v>
      </c>
      <c r="V12" s="268" t="n">
        <v>0</v>
      </c>
      <c r="W12" s="269" t="n">
        <v>0</v>
      </c>
      <c r="X12" s="269" t="n">
        <v>0</v>
      </c>
      <c r="Y12" s="269" t="n">
        <v>0</v>
      </c>
      <c r="Z12" s="269" t="n">
        <v>0</v>
      </c>
      <c r="AA12" s="270" t="n">
        <v>0</v>
      </c>
      <c r="AB12" s="270" t="n">
        <v>0</v>
      </c>
      <c r="AC12" s="270" t="n">
        <v>0</v>
      </c>
      <c r="AD12" s="270" t="n">
        <v>0</v>
      </c>
      <c r="AE12" s="268" t="n">
        <v>0</v>
      </c>
      <c r="AF12" s="268" t="n">
        <v>0</v>
      </c>
      <c r="AG12" s="268" t="n">
        <v>0</v>
      </c>
      <c r="AH12" s="268" t="n">
        <v>0</v>
      </c>
      <c r="AI12" s="268" t="n">
        <v>0</v>
      </c>
      <c r="AJ12" s="268" t="n">
        <v>0</v>
      </c>
      <c r="AK12" s="269" t="n">
        <v>0</v>
      </c>
      <c r="AL12" s="269" t="n">
        <v>0</v>
      </c>
      <c r="AM12" s="269" t="n">
        <v>0</v>
      </c>
      <c r="AN12" s="269" t="n">
        <v>0</v>
      </c>
      <c r="AO12" s="270" t="n">
        <v>0</v>
      </c>
      <c r="AP12" s="270" t="n">
        <v>0</v>
      </c>
      <c r="AQ12" s="270" t="n">
        <v>0</v>
      </c>
      <c r="AR12" s="270" t="n">
        <v>0</v>
      </c>
      <c r="AS12" s="174" t="n">
        <v>0</v>
      </c>
      <c r="AT12" s="271" t="n">
        <v>0</v>
      </c>
      <c r="AU12" s="175" t="n">
        <v>0</v>
      </c>
      <c r="AV12" s="175" t="n">
        <v>0</v>
      </c>
      <c r="AW12" s="483" t="n">
        <v>0</v>
      </c>
      <c r="AX12" s="174" t="n">
        <v>0</v>
      </c>
      <c r="AY12" s="174" t="n">
        <v>0</v>
      </c>
      <c r="AZ12" s="483" t="n">
        <v>0</v>
      </c>
      <c r="BA12" s="483" t="n">
        <v>0</v>
      </c>
      <c r="BB12" s="174" t="n">
        <v>0</v>
      </c>
      <c r="BC12" s="174" t="n">
        <v>0</v>
      </c>
      <c r="BD12" s="483" t="n">
        <v>0</v>
      </c>
      <c r="BE12" s="483" t="n">
        <v>0</v>
      </c>
      <c r="BF12" s="483" t="n">
        <v>0</v>
      </c>
      <c r="BG12" s="483" t="n">
        <v>0</v>
      </c>
      <c r="BH12" s="483" t="n">
        <v>0</v>
      </c>
      <c r="BI12" s="483" t="n">
        <v>0</v>
      </c>
      <c r="BJ12" s="483" t="n">
        <v>0</v>
      </c>
      <c r="BK12" s="483" t="n">
        <v>0</v>
      </c>
      <c r="BL12" s="483" t="n">
        <v>0</v>
      </c>
      <c r="BM12" s="483" t="n">
        <v>0</v>
      </c>
      <c r="BN12" s="483" t="n">
        <v>0</v>
      </c>
      <c r="BO12" s="483" t="n">
        <v>0</v>
      </c>
      <c r="BP12" s="483" t="n">
        <v>0</v>
      </c>
      <c r="BQ12" s="483" t="n">
        <v>0</v>
      </c>
      <c r="BR12" s="483" t="n">
        <v>0</v>
      </c>
      <c r="BS12" s="483" t="n">
        <v>0</v>
      </c>
      <c r="BT12" s="483" t="n">
        <v>0</v>
      </c>
      <c r="BU12" s="483" t="n">
        <v>0</v>
      </c>
      <c r="BV12" s="483" t="n">
        <v>0</v>
      </c>
      <c r="BW12" s="483" t="n">
        <v>0</v>
      </c>
      <c r="BX12" s="483" t="n">
        <v>0</v>
      </c>
      <c r="BY12" s="483" t="n">
        <v>0</v>
      </c>
      <c r="BZ12" s="659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 hidden="1" s="191">
      <c r="A13" s="265" t="n">
        <v>0</v>
      </c>
      <c r="B13" s="265" t="n">
        <v>0</v>
      </c>
      <c r="C13" s="265" t="n">
        <v>0</v>
      </c>
      <c r="D13" s="265" t="n">
        <v>0</v>
      </c>
      <c r="E13" s="265" t="n">
        <v>0</v>
      </c>
      <c r="F13" s="266" t="n">
        <v>0</v>
      </c>
      <c r="G13" s="266" t="n">
        <v>0</v>
      </c>
      <c r="H13" s="266" t="n">
        <v>0</v>
      </c>
      <c r="I13" s="266" t="n">
        <v>0</v>
      </c>
      <c r="J13" s="267" t="n">
        <v>0</v>
      </c>
      <c r="K13" s="267" t="n">
        <v>0</v>
      </c>
      <c r="L13" s="267" t="n">
        <v>0</v>
      </c>
      <c r="M13" s="267" t="n">
        <v>0</v>
      </c>
      <c r="N13" s="268" t="n">
        <v>0</v>
      </c>
      <c r="O13" s="268" t="n">
        <v>0</v>
      </c>
      <c r="P13" s="268" t="n">
        <v>0</v>
      </c>
      <c r="Q13" s="268" t="n">
        <v>0</v>
      </c>
      <c r="R13" s="268" t="n">
        <v>0</v>
      </c>
      <c r="S13" s="268" t="n">
        <v>0</v>
      </c>
      <c r="T13" s="268" t="n">
        <v>0</v>
      </c>
      <c r="U13" s="268" t="n">
        <v>0</v>
      </c>
      <c r="V13" s="268" t="n">
        <v>0</v>
      </c>
      <c r="W13" s="269" t="n">
        <v>0</v>
      </c>
      <c r="X13" s="269" t="n">
        <v>0</v>
      </c>
      <c r="Y13" s="269" t="n">
        <v>0</v>
      </c>
      <c r="Z13" s="269" t="n">
        <v>0</v>
      </c>
      <c r="AA13" s="270" t="n">
        <v>0</v>
      </c>
      <c r="AB13" s="270" t="n">
        <v>0</v>
      </c>
      <c r="AC13" s="270" t="n">
        <v>0</v>
      </c>
      <c r="AD13" s="270" t="n">
        <v>0</v>
      </c>
      <c r="AE13" s="268" t="n">
        <v>0</v>
      </c>
      <c r="AF13" s="268" t="n">
        <v>0</v>
      </c>
      <c r="AG13" s="268" t="n">
        <v>0</v>
      </c>
      <c r="AH13" s="268" t="n">
        <v>0</v>
      </c>
      <c r="AI13" s="268" t="n">
        <v>0</v>
      </c>
      <c r="AJ13" s="268" t="n">
        <v>0</v>
      </c>
      <c r="AK13" s="269" t="n">
        <v>0</v>
      </c>
      <c r="AL13" s="269" t="n">
        <v>0</v>
      </c>
      <c r="AM13" s="269" t="n">
        <v>0</v>
      </c>
      <c r="AN13" s="269" t="n">
        <v>0</v>
      </c>
      <c r="AO13" s="270" t="n">
        <v>0</v>
      </c>
      <c r="AP13" s="270" t="n">
        <v>0</v>
      </c>
      <c r="AQ13" s="270" t="n">
        <v>0</v>
      </c>
      <c r="AR13" s="270" t="n">
        <v>0</v>
      </c>
      <c r="AS13" s="174" t="n">
        <v>0</v>
      </c>
      <c r="AT13" s="271" t="n">
        <v>0</v>
      </c>
      <c r="AU13" s="175" t="n">
        <v>0</v>
      </c>
      <c r="AV13" s="175" t="n">
        <v>0</v>
      </c>
      <c r="AW13" s="483" t="n">
        <v>0</v>
      </c>
      <c r="AX13" s="174" t="n">
        <v>0</v>
      </c>
      <c r="AY13" s="174" t="n">
        <v>0</v>
      </c>
      <c r="AZ13" s="483" t="n">
        <v>0</v>
      </c>
      <c r="BA13" s="483" t="n">
        <v>0</v>
      </c>
      <c r="BB13" s="174" t="n">
        <v>0</v>
      </c>
      <c r="BC13" s="174" t="n">
        <v>0</v>
      </c>
      <c r="BD13" s="483" t="n">
        <v>0</v>
      </c>
      <c r="BE13" s="483" t="n">
        <v>0</v>
      </c>
      <c r="BF13" s="483" t="n">
        <v>0</v>
      </c>
      <c r="BG13" s="483" t="n">
        <v>0</v>
      </c>
      <c r="BH13" s="483" t="n">
        <v>0</v>
      </c>
      <c r="BI13" s="483" t="n">
        <v>0</v>
      </c>
      <c r="BJ13" s="483" t="n">
        <v>0</v>
      </c>
      <c r="BK13" s="483" t="n">
        <v>0</v>
      </c>
      <c r="BL13" s="483" t="n">
        <v>0</v>
      </c>
      <c r="BM13" s="483" t="n">
        <v>0</v>
      </c>
      <c r="BN13" s="483" t="n">
        <v>0</v>
      </c>
      <c r="BO13" s="483" t="n">
        <v>0</v>
      </c>
      <c r="BP13" s="483" t="n">
        <v>0</v>
      </c>
      <c r="BQ13" s="483" t="n">
        <v>0</v>
      </c>
      <c r="BR13" s="483" t="n">
        <v>0</v>
      </c>
      <c r="BS13" s="483" t="n">
        <v>0</v>
      </c>
      <c r="BT13" s="483" t="n">
        <v>0</v>
      </c>
      <c r="BU13" s="483" t="n">
        <v>0</v>
      </c>
      <c r="BV13" s="483" t="n">
        <v>0</v>
      </c>
      <c r="BW13" s="483" t="n">
        <v>0</v>
      </c>
      <c r="BX13" s="483" t="n">
        <v>0</v>
      </c>
      <c r="BY13" s="483" t="n">
        <v>0</v>
      </c>
      <c r="BZ13" s="659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 hidden="1" s="191">
      <c r="A14" s="265" t="n">
        <v>0</v>
      </c>
      <c r="B14" s="265" t="n">
        <v>0</v>
      </c>
      <c r="C14" s="265" t="n">
        <v>0</v>
      </c>
      <c r="D14" s="265" t="n">
        <v>0</v>
      </c>
      <c r="E14" s="265" t="n">
        <v>0</v>
      </c>
      <c r="F14" s="266" t="n">
        <v>0</v>
      </c>
      <c r="G14" s="266" t="n">
        <v>0</v>
      </c>
      <c r="H14" s="266" t="n">
        <v>0</v>
      </c>
      <c r="I14" s="266" t="n">
        <v>0</v>
      </c>
      <c r="J14" s="267" t="n">
        <v>0</v>
      </c>
      <c r="K14" s="267" t="n">
        <v>0</v>
      </c>
      <c r="L14" s="267" t="n">
        <v>0</v>
      </c>
      <c r="M14" s="267" t="n">
        <v>0</v>
      </c>
      <c r="N14" s="268" t="n">
        <v>0</v>
      </c>
      <c r="O14" s="268" t="n">
        <v>0</v>
      </c>
      <c r="P14" s="268" t="n">
        <v>0</v>
      </c>
      <c r="Q14" s="268" t="n">
        <v>0</v>
      </c>
      <c r="R14" s="268" t="n">
        <v>0</v>
      </c>
      <c r="S14" s="268" t="n">
        <v>0</v>
      </c>
      <c r="T14" s="268" t="n">
        <v>0</v>
      </c>
      <c r="U14" s="268" t="n">
        <v>0</v>
      </c>
      <c r="V14" s="268" t="n">
        <v>0</v>
      </c>
      <c r="W14" s="269" t="n">
        <v>0</v>
      </c>
      <c r="X14" s="269" t="n">
        <v>0</v>
      </c>
      <c r="Y14" s="269" t="n">
        <v>0</v>
      </c>
      <c r="Z14" s="269" t="n">
        <v>0</v>
      </c>
      <c r="AA14" s="270" t="n">
        <v>0</v>
      </c>
      <c r="AB14" s="270" t="n">
        <v>0</v>
      </c>
      <c r="AC14" s="270" t="n">
        <v>0</v>
      </c>
      <c r="AD14" s="270" t="n">
        <v>0</v>
      </c>
      <c r="AE14" s="268" t="n">
        <v>0</v>
      </c>
      <c r="AF14" s="268" t="n">
        <v>0</v>
      </c>
      <c r="AG14" s="268" t="n">
        <v>0</v>
      </c>
      <c r="AH14" s="268" t="n">
        <v>0</v>
      </c>
      <c r="AI14" s="268" t="n">
        <v>0</v>
      </c>
      <c r="AJ14" s="268" t="n">
        <v>0</v>
      </c>
      <c r="AK14" s="269" t="n">
        <v>0</v>
      </c>
      <c r="AL14" s="269" t="n">
        <v>0</v>
      </c>
      <c r="AM14" s="269" t="n">
        <v>0</v>
      </c>
      <c r="AN14" s="269" t="n">
        <v>0</v>
      </c>
      <c r="AO14" s="270" t="n">
        <v>0</v>
      </c>
      <c r="AP14" s="270" t="n">
        <v>0</v>
      </c>
      <c r="AQ14" s="270" t="n">
        <v>0</v>
      </c>
      <c r="AR14" s="270" t="n">
        <v>0</v>
      </c>
      <c r="AS14" s="174" t="n">
        <v>0</v>
      </c>
      <c r="AT14" s="271" t="n">
        <v>0</v>
      </c>
      <c r="AU14" s="175" t="n">
        <v>0</v>
      </c>
      <c r="AV14" s="175" t="n">
        <v>0</v>
      </c>
      <c r="AW14" s="483" t="n">
        <v>0</v>
      </c>
      <c r="AX14" s="174" t="n">
        <v>0</v>
      </c>
      <c r="AY14" s="174" t="n">
        <v>0</v>
      </c>
      <c r="AZ14" s="483" t="n">
        <v>0</v>
      </c>
      <c r="BA14" s="483" t="n">
        <v>0</v>
      </c>
      <c r="BB14" s="174" t="n">
        <v>0</v>
      </c>
      <c r="BC14" s="174" t="n">
        <v>0</v>
      </c>
      <c r="BD14" s="483" t="n">
        <v>0</v>
      </c>
      <c r="BE14" s="483" t="n">
        <v>0</v>
      </c>
      <c r="BF14" s="483" t="n">
        <v>0</v>
      </c>
      <c r="BG14" s="483" t="n">
        <v>0</v>
      </c>
      <c r="BH14" s="483" t="n">
        <v>0</v>
      </c>
      <c r="BI14" s="483" t="n">
        <v>0</v>
      </c>
      <c r="BJ14" s="483" t="n">
        <v>0</v>
      </c>
      <c r="BK14" s="483" t="n">
        <v>0</v>
      </c>
      <c r="BL14" s="483" t="n">
        <v>0</v>
      </c>
      <c r="BM14" s="483" t="n">
        <v>0</v>
      </c>
      <c r="BN14" s="483" t="n">
        <v>0</v>
      </c>
      <c r="BO14" s="483" t="n">
        <v>0</v>
      </c>
      <c r="BP14" s="483" t="n">
        <v>0</v>
      </c>
      <c r="BQ14" s="483" t="n">
        <v>0</v>
      </c>
      <c r="BR14" s="483" t="n">
        <v>0</v>
      </c>
      <c r="BS14" s="483" t="n">
        <v>0</v>
      </c>
      <c r="BT14" s="483" t="n">
        <v>0</v>
      </c>
      <c r="BU14" s="483" t="n">
        <v>0</v>
      </c>
      <c r="BV14" s="483" t="n">
        <v>0</v>
      </c>
      <c r="BW14" s="483" t="n">
        <v>0</v>
      </c>
      <c r="BX14" s="483" t="n">
        <v>0</v>
      </c>
      <c r="BY14" s="483" t="n">
        <v>0</v>
      </c>
      <c r="BZ14" s="659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 hidden="1" s="191">
      <c r="A15" s="265" t="n">
        <v>0</v>
      </c>
      <c r="B15" s="265" t="n">
        <v>0</v>
      </c>
      <c r="C15" s="265" t="n">
        <v>0</v>
      </c>
      <c r="D15" s="265" t="n">
        <v>0</v>
      </c>
      <c r="E15" s="265" t="n">
        <v>0</v>
      </c>
      <c r="F15" s="266" t="n">
        <v>0</v>
      </c>
      <c r="G15" s="266" t="n">
        <v>0</v>
      </c>
      <c r="H15" s="266" t="n">
        <v>0</v>
      </c>
      <c r="I15" s="266" t="n">
        <v>0</v>
      </c>
      <c r="J15" s="267" t="n">
        <v>0</v>
      </c>
      <c r="K15" s="267" t="n">
        <v>0</v>
      </c>
      <c r="L15" s="267" t="n">
        <v>0</v>
      </c>
      <c r="M15" s="267" t="n">
        <v>0</v>
      </c>
      <c r="N15" s="268" t="n">
        <v>0</v>
      </c>
      <c r="O15" s="268" t="n">
        <v>0</v>
      </c>
      <c r="P15" s="268" t="n">
        <v>0</v>
      </c>
      <c r="Q15" s="268" t="n">
        <v>0</v>
      </c>
      <c r="R15" s="268" t="n">
        <v>0</v>
      </c>
      <c r="S15" s="268" t="n">
        <v>0</v>
      </c>
      <c r="T15" s="268" t="n">
        <v>0</v>
      </c>
      <c r="U15" s="268" t="n">
        <v>0</v>
      </c>
      <c r="V15" s="268" t="n">
        <v>0</v>
      </c>
      <c r="W15" s="269" t="n">
        <v>0</v>
      </c>
      <c r="X15" s="269" t="n">
        <v>0</v>
      </c>
      <c r="Y15" s="269" t="n">
        <v>0</v>
      </c>
      <c r="Z15" s="269" t="n">
        <v>0</v>
      </c>
      <c r="AA15" s="270" t="n">
        <v>0</v>
      </c>
      <c r="AB15" s="270" t="n">
        <v>0</v>
      </c>
      <c r="AC15" s="270" t="n">
        <v>0</v>
      </c>
      <c r="AD15" s="270" t="n">
        <v>0</v>
      </c>
      <c r="AE15" s="268" t="n">
        <v>0</v>
      </c>
      <c r="AF15" s="268" t="n">
        <v>0</v>
      </c>
      <c r="AG15" s="268" t="n">
        <v>0</v>
      </c>
      <c r="AH15" s="268" t="n">
        <v>0</v>
      </c>
      <c r="AI15" s="268" t="n">
        <v>0</v>
      </c>
      <c r="AJ15" s="268" t="n">
        <v>0</v>
      </c>
      <c r="AK15" s="269" t="n">
        <v>0</v>
      </c>
      <c r="AL15" s="269" t="n">
        <v>0</v>
      </c>
      <c r="AM15" s="269" t="n">
        <v>0</v>
      </c>
      <c r="AN15" s="269" t="n">
        <v>0</v>
      </c>
      <c r="AO15" s="270" t="n">
        <v>0</v>
      </c>
      <c r="AP15" s="270" t="n">
        <v>0</v>
      </c>
      <c r="AQ15" s="270" t="n">
        <v>0</v>
      </c>
      <c r="AR15" s="270" t="n">
        <v>0</v>
      </c>
      <c r="AS15" s="174" t="n">
        <v>0</v>
      </c>
      <c r="AT15" s="271" t="n">
        <v>0</v>
      </c>
      <c r="AU15" s="175" t="n">
        <v>0</v>
      </c>
      <c r="AV15" s="175" t="n">
        <v>0</v>
      </c>
      <c r="AW15" s="483" t="n">
        <v>0</v>
      </c>
      <c r="AX15" s="174" t="n">
        <v>0</v>
      </c>
      <c r="AY15" s="174" t="n">
        <v>0</v>
      </c>
      <c r="AZ15" s="483" t="n">
        <v>0</v>
      </c>
      <c r="BA15" s="483" t="n">
        <v>0</v>
      </c>
      <c r="BB15" s="174" t="n">
        <v>0</v>
      </c>
      <c r="BC15" s="174" t="n">
        <v>0</v>
      </c>
      <c r="BD15" s="483" t="n">
        <v>0</v>
      </c>
      <c r="BE15" s="483" t="n">
        <v>0</v>
      </c>
      <c r="BF15" s="483" t="n">
        <v>0</v>
      </c>
      <c r="BG15" s="483" t="n">
        <v>0</v>
      </c>
      <c r="BH15" s="483" t="n">
        <v>0</v>
      </c>
      <c r="BI15" s="483" t="n">
        <v>0</v>
      </c>
      <c r="BJ15" s="483" t="n">
        <v>0</v>
      </c>
      <c r="BK15" s="483" t="n">
        <v>0</v>
      </c>
      <c r="BL15" s="483" t="n">
        <v>0</v>
      </c>
      <c r="BM15" s="483" t="n">
        <v>0</v>
      </c>
      <c r="BN15" s="483" t="n">
        <v>0</v>
      </c>
      <c r="BO15" s="483" t="n">
        <v>0</v>
      </c>
      <c r="BP15" s="483" t="n">
        <v>0</v>
      </c>
      <c r="BQ15" s="483" t="n">
        <v>0</v>
      </c>
      <c r="BR15" s="483" t="n">
        <v>0</v>
      </c>
      <c r="BS15" s="483" t="n">
        <v>0</v>
      </c>
      <c r="BT15" s="483" t="n">
        <v>0</v>
      </c>
      <c r="BU15" s="483" t="n">
        <v>0</v>
      </c>
      <c r="BV15" s="483" t="n">
        <v>0</v>
      </c>
      <c r="BW15" s="483" t="n">
        <v>0</v>
      </c>
      <c r="BX15" s="483" t="n">
        <v>0</v>
      </c>
      <c r="BY15" s="483" t="n">
        <v>0</v>
      </c>
      <c r="BZ15" s="659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 hidden="1" s="191">
      <c r="A16" s="265" t="n">
        <v>0</v>
      </c>
      <c r="B16" s="265" t="n">
        <v>0</v>
      </c>
      <c r="C16" s="265" t="n">
        <v>0</v>
      </c>
      <c r="D16" s="265" t="n">
        <v>0</v>
      </c>
      <c r="E16" s="265" t="n">
        <v>0</v>
      </c>
      <c r="F16" s="266" t="n">
        <v>0</v>
      </c>
      <c r="G16" s="266" t="n">
        <v>0</v>
      </c>
      <c r="H16" s="266" t="n">
        <v>0</v>
      </c>
      <c r="I16" s="266" t="n">
        <v>0</v>
      </c>
      <c r="J16" s="267" t="n">
        <v>0</v>
      </c>
      <c r="K16" s="267" t="n">
        <v>0</v>
      </c>
      <c r="L16" s="267" t="n">
        <v>0</v>
      </c>
      <c r="M16" s="267" t="n">
        <v>0</v>
      </c>
      <c r="N16" s="268" t="n">
        <v>0</v>
      </c>
      <c r="O16" s="268" t="n">
        <v>0</v>
      </c>
      <c r="P16" s="268" t="n">
        <v>0</v>
      </c>
      <c r="Q16" s="268" t="n">
        <v>0</v>
      </c>
      <c r="R16" s="268" t="n">
        <v>0</v>
      </c>
      <c r="S16" s="268" t="n">
        <v>0</v>
      </c>
      <c r="T16" s="268" t="n">
        <v>0</v>
      </c>
      <c r="U16" s="268" t="n">
        <v>0</v>
      </c>
      <c r="V16" s="268" t="n">
        <v>0</v>
      </c>
      <c r="W16" s="269" t="n">
        <v>0</v>
      </c>
      <c r="X16" s="269" t="n">
        <v>0</v>
      </c>
      <c r="Y16" s="269" t="n">
        <v>0</v>
      </c>
      <c r="Z16" s="269" t="n">
        <v>0</v>
      </c>
      <c r="AA16" s="270" t="n">
        <v>0</v>
      </c>
      <c r="AB16" s="270" t="n">
        <v>0</v>
      </c>
      <c r="AC16" s="270" t="n">
        <v>0</v>
      </c>
      <c r="AD16" s="270" t="n">
        <v>0</v>
      </c>
      <c r="AE16" s="268" t="n">
        <v>0</v>
      </c>
      <c r="AF16" s="268" t="n">
        <v>0</v>
      </c>
      <c r="AG16" s="268" t="n">
        <v>0</v>
      </c>
      <c r="AH16" s="268" t="n">
        <v>0</v>
      </c>
      <c r="AI16" s="268" t="n">
        <v>0</v>
      </c>
      <c r="AJ16" s="268" t="n">
        <v>0</v>
      </c>
      <c r="AK16" s="269" t="n">
        <v>0</v>
      </c>
      <c r="AL16" s="269" t="n">
        <v>0</v>
      </c>
      <c r="AM16" s="269" t="n">
        <v>0</v>
      </c>
      <c r="AN16" s="269" t="n">
        <v>0</v>
      </c>
      <c r="AO16" s="270" t="n">
        <v>0</v>
      </c>
      <c r="AP16" s="270" t="n">
        <v>0</v>
      </c>
      <c r="AQ16" s="270" t="n">
        <v>0</v>
      </c>
      <c r="AR16" s="270" t="n">
        <v>0</v>
      </c>
      <c r="AS16" s="174" t="n">
        <v>0</v>
      </c>
      <c r="AT16" s="271" t="n">
        <v>0</v>
      </c>
      <c r="AU16" s="175" t="n">
        <v>0</v>
      </c>
      <c r="AV16" s="175" t="n">
        <v>0</v>
      </c>
      <c r="AW16" s="483" t="n">
        <v>0</v>
      </c>
      <c r="AX16" s="174" t="n">
        <v>0</v>
      </c>
      <c r="AY16" s="174" t="n">
        <v>0</v>
      </c>
      <c r="AZ16" s="483" t="n">
        <v>0</v>
      </c>
      <c r="BA16" s="483" t="n">
        <v>0</v>
      </c>
      <c r="BB16" s="174" t="n">
        <v>0</v>
      </c>
      <c r="BC16" s="174" t="n">
        <v>0</v>
      </c>
      <c r="BD16" s="483" t="n">
        <v>0</v>
      </c>
      <c r="BE16" s="483" t="n">
        <v>0</v>
      </c>
      <c r="BF16" s="483" t="n">
        <v>0</v>
      </c>
      <c r="BG16" s="483" t="n">
        <v>0</v>
      </c>
      <c r="BH16" s="483" t="n">
        <v>0</v>
      </c>
      <c r="BI16" s="483" t="n">
        <v>0</v>
      </c>
      <c r="BJ16" s="483" t="n">
        <v>0</v>
      </c>
      <c r="BK16" s="483" t="n">
        <v>0</v>
      </c>
      <c r="BL16" s="483" t="n">
        <v>0</v>
      </c>
      <c r="BM16" s="483" t="n">
        <v>0</v>
      </c>
      <c r="BN16" s="483" t="n">
        <v>0</v>
      </c>
      <c r="BO16" s="483" t="n">
        <v>0</v>
      </c>
      <c r="BP16" s="483" t="n">
        <v>0</v>
      </c>
      <c r="BQ16" s="483" t="n">
        <v>0</v>
      </c>
      <c r="BR16" s="483" t="n">
        <v>0</v>
      </c>
      <c r="BS16" s="483" t="n">
        <v>0</v>
      </c>
      <c r="BT16" s="483" t="n">
        <v>0</v>
      </c>
      <c r="BU16" s="483" t="n">
        <v>0</v>
      </c>
      <c r="BV16" s="483" t="n">
        <v>0</v>
      </c>
      <c r="BW16" s="483" t="n">
        <v>0</v>
      </c>
      <c r="BX16" s="483" t="n">
        <v>0</v>
      </c>
      <c r="BY16" s="483" t="n">
        <v>0</v>
      </c>
      <c r="BZ16" s="659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 hidden="1" s="191">
      <c r="A17" s="265" t="n">
        <v>0</v>
      </c>
      <c r="B17" s="265" t="n">
        <v>0</v>
      </c>
      <c r="C17" s="265" t="n">
        <v>0</v>
      </c>
      <c r="D17" s="265" t="n">
        <v>0</v>
      </c>
      <c r="E17" s="265" t="n">
        <v>0</v>
      </c>
      <c r="F17" s="266" t="n">
        <v>0</v>
      </c>
      <c r="G17" s="266" t="n">
        <v>0</v>
      </c>
      <c r="H17" s="266" t="n">
        <v>0</v>
      </c>
      <c r="I17" s="266" t="n">
        <v>0</v>
      </c>
      <c r="J17" s="267" t="n">
        <v>0</v>
      </c>
      <c r="K17" s="267" t="n">
        <v>0</v>
      </c>
      <c r="L17" s="267" t="n">
        <v>0</v>
      </c>
      <c r="M17" s="267" t="n">
        <v>0</v>
      </c>
      <c r="N17" s="268" t="n">
        <v>0</v>
      </c>
      <c r="O17" s="268" t="n">
        <v>0</v>
      </c>
      <c r="P17" s="268" t="n">
        <v>0</v>
      </c>
      <c r="Q17" s="268" t="n">
        <v>0</v>
      </c>
      <c r="R17" s="268" t="n">
        <v>0</v>
      </c>
      <c r="S17" s="268" t="n">
        <v>0</v>
      </c>
      <c r="T17" s="268" t="n">
        <v>0</v>
      </c>
      <c r="U17" s="268" t="n">
        <v>0</v>
      </c>
      <c r="V17" s="268" t="n">
        <v>0</v>
      </c>
      <c r="W17" s="269" t="n">
        <v>0</v>
      </c>
      <c r="X17" s="269" t="n">
        <v>0</v>
      </c>
      <c r="Y17" s="269" t="n">
        <v>0</v>
      </c>
      <c r="Z17" s="269" t="n">
        <v>0</v>
      </c>
      <c r="AA17" s="270" t="n">
        <v>0</v>
      </c>
      <c r="AB17" s="270" t="n">
        <v>0</v>
      </c>
      <c r="AC17" s="270" t="n">
        <v>0</v>
      </c>
      <c r="AD17" s="270" t="n">
        <v>0</v>
      </c>
      <c r="AE17" s="268" t="n">
        <v>0</v>
      </c>
      <c r="AF17" s="268" t="n">
        <v>0</v>
      </c>
      <c r="AG17" s="268" t="n">
        <v>0</v>
      </c>
      <c r="AH17" s="268" t="n">
        <v>0</v>
      </c>
      <c r="AI17" s="268" t="n">
        <v>0</v>
      </c>
      <c r="AJ17" s="268" t="n">
        <v>0</v>
      </c>
      <c r="AK17" s="269" t="n">
        <v>0</v>
      </c>
      <c r="AL17" s="269" t="n">
        <v>0</v>
      </c>
      <c r="AM17" s="269" t="n">
        <v>0</v>
      </c>
      <c r="AN17" s="269" t="n">
        <v>0</v>
      </c>
      <c r="AO17" s="270" t="n">
        <v>0</v>
      </c>
      <c r="AP17" s="270" t="n">
        <v>0</v>
      </c>
      <c r="AQ17" s="270" t="n">
        <v>0</v>
      </c>
      <c r="AR17" s="270" t="n">
        <v>0</v>
      </c>
      <c r="AS17" s="174" t="n">
        <v>0</v>
      </c>
      <c r="AT17" s="271" t="n">
        <v>0</v>
      </c>
      <c r="AU17" s="175" t="n">
        <v>0</v>
      </c>
      <c r="AV17" s="175" t="n">
        <v>0</v>
      </c>
      <c r="AW17" s="483" t="n">
        <v>0</v>
      </c>
      <c r="AX17" s="174" t="n">
        <v>0</v>
      </c>
      <c r="AY17" s="174" t="n">
        <v>0</v>
      </c>
      <c r="AZ17" s="483" t="n">
        <v>0</v>
      </c>
      <c r="BA17" s="483" t="n">
        <v>0</v>
      </c>
      <c r="BB17" s="174" t="n">
        <v>0</v>
      </c>
      <c r="BC17" s="174" t="n">
        <v>0</v>
      </c>
      <c r="BD17" s="483" t="n">
        <v>0</v>
      </c>
      <c r="BE17" s="483" t="n">
        <v>0</v>
      </c>
      <c r="BF17" s="483" t="n">
        <v>0</v>
      </c>
      <c r="BG17" s="483" t="n">
        <v>0</v>
      </c>
      <c r="BH17" s="483" t="n">
        <v>0</v>
      </c>
      <c r="BI17" s="483" t="n">
        <v>0</v>
      </c>
      <c r="BJ17" s="483" t="n">
        <v>0</v>
      </c>
      <c r="BK17" s="483" t="n">
        <v>0</v>
      </c>
      <c r="BL17" s="483" t="n">
        <v>0</v>
      </c>
      <c r="BM17" s="483" t="n">
        <v>0</v>
      </c>
      <c r="BN17" s="483" t="n">
        <v>0</v>
      </c>
      <c r="BO17" s="483" t="n">
        <v>0</v>
      </c>
      <c r="BP17" s="483" t="n">
        <v>0</v>
      </c>
      <c r="BQ17" s="483" t="n">
        <v>0</v>
      </c>
      <c r="BR17" s="483" t="n">
        <v>0</v>
      </c>
      <c r="BS17" s="483" t="n">
        <v>0</v>
      </c>
      <c r="BT17" s="483" t="n">
        <v>0</v>
      </c>
      <c r="BU17" s="483" t="n">
        <v>0</v>
      </c>
      <c r="BV17" s="483" t="n">
        <v>0</v>
      </c>
      <c r="BW17" s="483" t="n">
        <v>0</v>
      </c>
      <c r="BX17" s="483" t="n">
        <v>0</v>
      </c>
      <c r="BY17" s="483" t="n">
        <v>0</v>
      </c>
      <c r="BZ17" s="659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 hidden="1" s="191">
      <c r="A18" s="265" t="n">
        <v>0</v>
      </c>
      <c r="B18" s="265" t="n">
        <v>0</v>
      </c>
      <c r="C18" s="265" t="n">
        <v>0</v>
      </c>
      <c r="D18" s="265" t="n">
        <v>0</v>
      </c>
      <c r="E18" s="265" t="n">
        <v>0</v>
      </c>
      <c r="F18" s="266" t="n">
        <v>0</v>
      </c>
      <c r="G18" s="266" t="n">
        <v>0</v>
      </c>
      <c r="H18" s="266" t="n">
        <v>0</v>
      </c>
      <c r="I18" s="266" t="n">
        <v>0</v>
      </c>
      <c r="J18" s="267" t="n">
        <v>0</v>
      </c>
      <c r="K18" s="267" t="n">
        <v>0</v>
      </c>
      <c r="L18" s="267" t="n">
        <v>0</v>
      </c>
      <c r="M18" s="267" t="n">
        <v>0</v>
      </c>
      <c r="N18" s="268" t="n">
        <v>0</v>
      </c>
      <c r="O18" s="268" t="n">
        <v>0</v>
      </c>
      <c r="P18" s="268" t="n">
        <v>0</v>
      </c>
      <c r="Q18" s="268" t="n">
        <v>0</v>
      </c>
      <c r="R18" s="268" t="n">
        <v>0</v>
      </c>
      <c r="S18" s="268" t="n">
        <v>0</v>
      </c>
      <c r="T18" s="268" t="n">
        <v>0</v>
      </c>
      <c r="U18" s="268" t="n">
        <v>0</v>
      </c>
      <c r="V18" s="268" t="n">
        <v>0</v>
      </c>
      <c r="W18" s="269" t="n">
        <v>0</v>
      </c>
      <c r="X18" s="269" t="n">
        <v>0</v>
      </c>
      <c r="Y18" s="269" t="n">
        <v>0</v>
      </c>
      <c r="Z18" s="269" t="n">
        <v>0</v>
      </c>
      <c r="AA18" s="270" t="n">
        <v>0</v>
      </c>
      <c r="AB18" s="270" t="n">
        <v>0</v>
      </c>
      <c r="AC18" s="270" t="n">
        <v>0</v>
      </c>
      <c r="AD18" s="270" t="n">
        <v>0</v>
      </c>
      <c r="AE18" s="268" t="n">
        <v>0</v>
      </c>
      <c r="AF18" s="268" t="n">
        <v>0</v>
      </c>
      <c r="AG18" s="268" t="n">
        <v>0</v>
      </c>
      <c r="AH18" s="268" t="n">
        <v>0</v>
      </c>
      <c r="AI18" s="268" t="n">
        <v>0</v>
      </c>
      <c r="AJ18" s="268" t="n">
        <v>0</v>
      </c>
      <c r="AK18" s="269" t="n">
        <v>0</v>
      </c>
      <c r="AL18" s="269" t="n">
        <v>0</v>
      </c>
      <c r="AM18" s="269" t="n">
        <v>0</v>
      </c>
      <c r="AN18" s="269" t="n">
        <v>0</v>
      </c>
      <c r="AO18" s="270" t="n">
        <v>0</v>
      </c>
      <c r="AP18" s="270" t="n">
        <v>0</v>
      </c>
      <c r="AQ18" s="270" t="n">
        <v>0</v>
      </c>
      <c r="AR18" s="270" t="n">
        <v>0</v>
      </c>
      <c r="AS18" s="174" t="n">
        <v>0</v>
      </c>
      <c r="AT18" s="271" t="n">
        <v>0</v>
      </c>
      <c r="AU18" s="175" t="n">
        <v>0</v>
      </c>
      <c r="AV18" s="175" t="n">
        <v>0</v>
      </c>
      <c r="AW18" s="483" t="n">
        <v>0</v>
      </c>
      <c r="AX18" s="174" t="n">
        <v>0</v>
      </c>
      <c r="AY18" s="174" t="n">
        <v>0</v>
      </c>
      <c r="AZ18" s="483" t="n">
        <v>0</v>
      </c>
      <c r="BA18" s="483" t="n">
        <v>0</v>
      </c>
      <c r="BB18" s="174" t="n">
        <v>0</v>
      </c>
      <c r="BC18" s="174" t="n">
        <v>0</v>
      </c>
      <c r="BD18" s="483" t="n">
        <v>0</v>
      </c>
      <c r="BE18" s="483" t="n">
        <v>0</v>
      </c>
      <c r="BF18" s="483" t="n">
        <v>0</v>
      </c>
      <c r="BG18" s="483" t="n">
        <v>0</v>
      </c>
      <c r="BH18" s="483" t="n">
        <v>0</v>
      </c>
      <c r="BI18" s="483" t="n">
        <v>0</v>
      </c>
      <c r="BJ18" s="483" t="n">
        <v>0</v>
      </c>
      <c r="BK18" s="483" t="n">
        <v>0</v>
      </c>
      <c r="BL18" s="483" t="n">
        <v>0</v>
      </c>
      <c r="BM18" s="483" t="n">
        <v>0</v>
      </c>
      <c r="BN18" s="483" t="n">
        <v>0</v>
      </c>
      <c r="BO18" s="483" t="n">
        <v>0</v>
      </c>
      <c r="BP18" s="483" t="n">
        <v>0</v>
      </c>
      <c r="BQ18" s="483" t="n">
        <v>0</v>
      </c>
      <c r="BR18" s="483" t="n">
        <v>0</v>
      </c>
      <c r="BS18" s="483" t="n">
        <v>0</v>
      </c>
      <c r="BT18" s="483" t="n">
        <v>0</v>
      </c>
      <c r="BU18" s="483" t="n">
        <v>0</v>
      </c>
      <c r="BV18" s="483" t="n">
        <v>0</v>
      </c>
      <c r="BW18" s="483" t="n">
        <v>0</v>
      </c>
      <c r="BX18" s="483" t="n">
        <v>0</v>
      </c>
      <c r="BY18" s="483" t="n">
        <v>0</v>
      </c>
      <c r="BZ18" s="659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 hidden="1" s="191">
      <c r="A19" s="265" t="n">
        <v>0</v>
      </c>
      <c r="B19" s="265" t="n">
        <v>0</v>
      </c>
      <c r="C19" s="265" t="n">
        <v>0</v>
      </c>
      <c r="D19" s="265" t="n">
        <v>0</v>
      </c>
      <c r="E19" s="265" t="n">
        <v>0</v>
      </c>
      <c r="F19" s="266" t="n">
        <v>0</v>
      </c>
      <c r="G19" s="266" t="n">
        <v>0</v>
      </c>
      <c r="H19" s="266" t="n">
        <v>0</v>
      </c>
      <c r="I19" s="266" t="n">
        <v>0</v>
      </c>
      <c r="J19" s="267" t="n">
        <v>0</v>
      </c>
      <c r="K19" s="267" t="n">
        <v>0</v>
      </c>
      <c r="L19" s="267" t="n">
        <v>0</v>
      </c>
      <c r="M19" s="267" t="n">
        <v>0</v>
      </c>
      <c r="N19" s="268" t="n">
        <v>0</v>
      </c>
      <c r="O19" s="268" t="n">
        <v>0</v>
      </c>
      <c r="P19" s="268" t="n">
        <v>0</v>
      </c>
      <c r="Q19" s="268" t="n">
        <v>0</v>
      </c>
      <c r="R19" s="268" t="n">
        <v>0</v>
      </c>
      <c r="S19" s="268" t="n">
        <v>0</v>
      </c>
      <c r="T19" s="268" t="n">
        <v>0</v>
      </c>
      <c r="U19" s="268" t="n">
        <v>0</v>
      </c>
      <c r="V19" s="268" t="n">
        <v>0</v>
      </c>
      <c r="W19" s="269" t="n">
        <v>0</v>
      </c>
      <c r="X19" s="269" t="n">
        <v>0</v>
      </c>
      <c r="Y19" s="269" t="n">
        <v>0</v>
      </c>
      <c r="Z19" s="269" t="n">
        <v>0</v>
      </c>
      <c r="AA19" s="270" t="n">
        <v>0</v>
      </c>
      <c r="AB19" s="270" t="n">
        <v>0</v>
      </c>
      <c r="AC19" s="270" t="n">
        <v>0</v>
      </c>
      <c r="AD19" s="270" t="n">
        <v>0</v>
      </c>
      <c r="AE19" s="268" t="n">
        <v>0</v>
      </c>
      <c r="AF19" s="268" t="n">
        <v>0</v>
      </c>
      <c r="AG19" s="268" t="n">
        <v>0</v>
      </c>
      <c r="AH19" s="268" t="n">
        <v>0</v>
      </c>
      <c r="AI19" s="268" t="n">
        <v>0</v>
      </c>
      <c r="AJ19" s="268" t="n">
        <v>0</v>
      </c>
      <c r="AK19" s="269" t="n">
        <v>0</v>
      </c>
      <c r="AL19" s="269" t="n">
        <v>0</v>
      </c>
      <c r="AM19" s="269" t="n">
        <v>0</v>
      </c>
      <c r="AN19" s="269" t="n">
        <v>0</v>
      </c>
      <c r="AO19" s="270" t="n">
        <v>0</v>
      </c>
      <c r="AP19" s="270" t="n">
        <v>0</v>
      </c>
      <c r="AQ19" s="270" t="n">
        <v>0</v>
      </c>
      <c r="AR19" s="270" t="n">
        <v>0</v>
      </c>
      <c r="AS19" s="174" t="n">
        <v>0</v>
      </c>
      <c r="AT19" s="271" t="n">
        <v>0</v>
      </c>
      <c r="AU19" s="175" t="n">
        <v>0</v>
      </c>
      <c r="AV19" s="175" t="n">
        <v>0</v>
      </c>
      <c r="AW19" s="483" t="n">
        <v>0</v>
      </c>
      <c r="AX19" s="174" t="n">
        <v>0</v>
      </c>
      <c r="AY19" s="174" t="n">
        <v>0</v>
      </c>
      <c r="AZ19" s="483" t="n">
        <v>0</v>
      </c>
      <c r="BA19" s="483" t="n">
        <v>0</v>
      </c>
      <c r="BB19" s="174" t="n">
        <v>0</v>
      </c>
      <c r="BC19" s="174" t="n">
        <v>0</v>
      </c>
      <c r="BD19" s="483" t="n">
        <v>0</v>
      </c>
      <c r="BE19" s="483" t="n">
        <v>0</v>
      </c>
      <c r="BF19" s="483" t="n">
        <v>0</v>
      </c>
      <c r="BG19" s="483" t="n">
        <v>0</v>
      </c>
      <c r="BH19" s="483" t="n">
        <v>0</v>
      </c>
      <c r="BI19" s="483" t="n">
        <v>0</v>
      </c>
      <c r="BJ19" s="483" t="n">
        <v>0</v>
      </c>
      <c r="BK19" s="483" t="n">
        <v>0</v>
      </c>
      <c r="BL19" s="483" t="n">
        <v>0</v>
      </c>
      <c r="BM19" s="483" t="n">
        <v>0</v>
      </c>
      <c r="BN19" s="483" t="n">
        <v>0</v>
      </c>
      <c r="BO19" s="483" t="n">
        <v>0</v>
      </c>
      <c r="BP19" s="483" t="n">
        <v>0</v>
      </c>
      <c r="BQ19" s="483" t="n">
        <v>0</v>
      </c>
      <c r="BR19" s="483" t="n">
        <v>0</v>
      </c>
      <c r="BS19" s="483" t="n">
        <v>0</v>
      </c>
      <c r="BT19" s="483" t="n">
        <v>0</v>
      </c>
      <c r="BU19" s="483" t="n">
        <v>0</v>
      </c>
      <c r="BV19" s="483" t="n">
        <v>0</v>
      </c>
      <c r="BW19" s="483" t="n">
        <v>0</v>
      </c>
      <c r="BX19" s="483" t="n">
        <v>0</v>
      </c>
      <c r="BY19" s="483" t="n">
        <v>0</v>
      </c>
      <c r="BZ19" s="65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 hidden="1" s="191">
      <c r="A20" s="265" t="n">
        <v>0</v>
      </c>
      <c r="B20" s="265" t="n">
        <v>0</v>
      </c>
      <c r="C20" s="265" t="n">
        <v>0</v>
      </c>
      <c r="D20" s="265" t="n">
        <v>0</v>
      </c>
      <c r="E20" s="265" t="n">
        <v>0</v>
      </c>
      <c r="F20" s="266" t="n">
        <v>0</v>
      </c>
      <c r="G20" s="266" t="n">
        <v>0</v>
      </c>
      <c r="H20" s="266" t="n">
        <v>0</v>
      </c>
      <c r="I20" s="266" t="n">
        <v>0</v>
      </c>
      <c r="J20" s="267" t="n">
        <v>0</v>
      </c>
      <c r="K20" s="267" t="n">
        <v>0</v>
      </c>
      <c r="L20" s="267" t="n">
        <v>0</v>
      </c>
      <c r="M20" s="267" t="n">
        <v>0</v>
      </c>
      <c r="N20" s="268" t="n">
        <v>0</v>
      </c>
      <c r="O20" s="268" t="n">
        <v>0</v>
      </c>
      <c r="P20" s="268" t="n">
        <v>0</v>
      </c>
      <c r="Q20" s="268" t="n">
        <v>0</v>
      </c>
      <c r="R20" s="268" t="n">
        <v>0</v>
      </c>
      <c r="S20" s="268" t="n">
        <v>0</v>
      </c>
      <c r="T20" s="268" t="n">
        <v>0</v>
      </c>
      <c r="U20" s="268" t="n">
        <v>0</v>
      </c>
      <c r="V20" s="268" t="n">
        <v>0</v>
      </c>
      <c r="W20" s="269" t="n">
        <v>0</v>
      </c>
      <c r="X20" s="269" t="n">
        <v>0</v>
      </c>
      <c r="Y20" s="269" t="n">
        <v>0</v>
      </c>
      <c r="Z20" s="269" t="n">
        <v>0</v>
      </c>
      <c r="AA20" s="270" t="n">
        <v>0</v>
      </c>
      <c r="AB20" s="270" t="n">
        <v>0</v>
      </c>
      <c r="AC20" s="270" t="n">
        <v>0</v>
      </c>
      <c r="AD20" s="270" t="n">
        <v>0</v>
      </c>
      <c r="AE20" s="268" t="n">
        <v>0</v>
      </c>
      <c r="AF20" s="268" t="n">
        <v>0</v>
      </c>
      <c r="AG20" s="268" t="n">
        <v>0</v>
      </c>
      <c r="AH20" s="268" t="n">
        <v>0</v>
      </c>
      <c r="AI20" s="268" t="n">
        <v>0</v>
      </c>
      <c r="AJ20" s="268" t="n">
        <v>0</v>
      </c>
      <c r="AK20" s="269" t="n">
        <v>0</v>
      </c>
      <c r="AL20" s="269" t="n">
        <v>0</v>
      </c>
      <c r="AM20" s="269" t="n">
        <v>0</v>
      </c>
      <c r="AN20" s="269" t="n">
        <v>0</v>
      </c>
      <c r="AO20" s="270" t="n">
        <v>0</v>
      </c>
      <c r="AP20" s="270" t="n">
        <v>0</v>
      </c>
      <c r="AQ20" s="270" t="n">
        <v>0</v>
      </c>
      <c r="AR20" s="270" t="n">
        <v>0</v>
      </c>
      <c r="AS20" s="174" t="n">
        <v>0</v>
      </c>
      <c r="AT20" s="271" t="n">
        <v>0</v>
      </c>
      <c r="AU20" s="175" t="n">
        <v>0</v>
      </c>
      <c r="AV20" s="175" t="n">
        <v>0</v>
      </c>
      <c r="AW20" s="483" t="n">
        <v>0</v>
      </c>
      <c r="AX20" s="174" t="n">
        <v>0</v>
      </c>
      <c r="AY20" s="174" t="n">
        <v>0</v>
      </c>
      <c r="AZ20" s="483" t="n">
        <v>0</v>
      </c>
      <c r="BA20" s="483" t="n">
        <v>0</v>
      </c>
      <c r="BB20" s="174" t="n">
        <v>0</v>
      </c>
      <c r="BC20" s="174" t="n">
        <v>0</v>
      </c>
      <c r="BD20" s="483" t="n">
        <v>0</v>
      </c>
      <c r="BE20" s="483" t="n">
        <v>0</v>
      </c>
      <c r="BF20" s="483" t="n">
        <v>0</v>
      </c>
      <c r="BG20" s="483" t="n">
        <v>0</v>
      </c>
      <c r="BH20" s="483" t="n">
        <v>0</v>
      </c>
      <c r="BI20" s="483" t="n">
        <v>0</v>
      </c>
      <c r="BJ20" s="483" t="n">
        <v>0</v>
      </c>
      <c r="BK20" s="483" t="n">
        <v>0</v>
      </c>
      <c r="BL20" s="483" t="n">
        <v>0</v>
      </c>
      <c r="BM20" s="483" t="n">
        <v>0</v>
      </c>
      <c r="BN20" s="483" t="n">
        <v>0</v>
      </c>
      <c r="BO20" s="483" t="n">
        <v>0</v>
      </c>
      <c r="BP20" s="483" t="n">
        <v>0</v>
      </c>
      <c r="BQ20" s="483" t="n">
        <v>0</v>
      </c>
      <c r="BR20" s="483" t="n">
        <v>0</v>
      </c>
      <c r="BS20" s="483" t="n">
        <v>0</v>
      </c>
      <c r="BT20" s="483" t="n">
        <v>0</v>
      </c>
      <c r="BU20" s="483" t="n">
        <v>0</v>
      </c>
      <c r="BV20" s="483" t="n">
        <v>0</v>
      </c>
      <c r="BW20" s="483" t="n">
        <v>0</v>
      </c>
      <c r="BX20" s="483" t="n">
        <v>0</v>
      </c>
      <c r="BY20" s="483" t="n">
        <v>0</v>
      </c>
      <c r="BZ20" s="659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 hidden="1" s="191">
      <c r="A21" s="265" t="n">
        <v>0</v>
      </c>
      <c r="B21" s="265" t="n">
        <v>0</v>
      </c>
      <c r="C21" s="265" t="n">
        <v>0</v>
      </c>
      <c r="D21" s="265" t="n">
        <v>0</v>
      </c>
      <c r="E21" s="265" t="n">
        <v>0</v>
      </c>
      <c r="F21" s="266" t="n">
        <v>0</v>
      </c>
      <c r="G21" s="266" t="n">
        <v>0</v>
      </c>
      <c r="H21" s="266" t="n">
        <v>0</v>
      </c>
      <c r="I21" s="266" t="n">
        <v>0</v>
      </c>
      <c r="J21" s="267" t="n">
        <v>0</v>
      </c>
      <c r="K21" s="267" t="n">
        <v>0</v>
      </c>
      <c r="L21" s="267" t="n">
        <v>0</v>
      </c>
      <c r="M21" s="267" t="n">
        <v>0</v>
      </c>
      <c r="N21" s="268" t="n">
        <v>0</v>
      </c>
      <c r="O21" s="268" t="n">
        <v>0</v>
      </c>
      <c r="P21" s="268" t="n">
        <v>0</v>
      </c>
      <c r="Q21" s="268" t="n">
        <v>0</v>
      </c>
      <c r="R21" s="268" t="n">
        <v>0</v>
      </c>
      <c r="S21" s="268" t="n">
        <v>0</v>
      </c>
      <c r="T21" s="268" t="n">
        <v>0</v>
      </c>
      <c r="U21" s="268" t="n">
        <v>0</v>
      </c>
      <c r="V21" s="268" t="n">
        <v>0</v>
      </c>
      <c r="W21" s="269" t="n">
        <v>0</v>
      </c>
      <c r="X21" s="269" t="n">
        <v>0</v>
      </c>
      <c r="Y21" s="269" t="n">
        <v>0</v>
      </c>
      <c r="Z21" s="269" t="n">
        <v>0</v>
      </c>
      <c r="AA21" s="270" t="n">
        <v>0</v>
      </c>
      <c r="AB21" s="270" t="n">
        <v>0</v>
      </c>
      <c r="AC21" s="270" t="n">
        <v>0</v>
      </c>
      <c r="AD21" s="270" t="n">
        <v>0</v>
      </c>
      <c r="AE21" s="268" t="n">
        <v>0</v>
      </c>
      <c r="AF21" s="268" t="n">
        <v>0</v>
      </c>
      <c r="AG21" s="268" t="n">
        <v>0</v>
      </c>
      <c r="AH21" s="268" t="n">
        <v>0</v>
      </c>
      <c r="AI21" s="268" t="n">
        <v>0</v>
      </c>
      <c r="AJ21" s="268" t="n">
        <v>0</v>
      </c>
      <c r="AK21" s="269" t="n">
        <v>0</v>
      </c>
      <c r="AL21" s="269" t="n">
        <v>0</v>
      </c>
      <c r="AM21" s="269" t="n">
        <v>0</v>
      </c>
      <c r="AN21" s="269" t="n">
        <v>0</v>
      </c>
      <c r="AO21" s="270" t="n">
        <v>0</v>
      </c>
      <c r="AP21" s="270" t="n">
        <v>0</v>
      </c>
      <c r="AQ21" s="270" t="n">
        <v>0</v>
      </c>
      <c r="AR21" s="270" t="n">
        <v>0</v>
      </c>
      <c r="AS21" s="174" t="n">
        <v>0</v>
      </c>
      <c r="AT21" s="271" t="n">
        <v>0</v>
      </c>
      <c r="AU21" s="175" t="n">
        <v>0</v>
      </c>
      <c r="AV21" s="175" t="n">
        <v>0</v>
      </c>
      <c r="AW21" s="483" t="n">
        <v>0</v>
      </c>
      <c r="AX21" s="174" t="n">
        <v>0</v>
      </c>
      <c r="AY21" s="174" t="n">
        <v>0</v>
      </c>
      <c r="AZ21" s="483" t="n">
        <v>0</v>
      </c>
      <c r="BA21" s="483" t="n">
        <v>0</v>
      </c>
      <c r="BB21" s="174" t="n">
        <v>0</v>
      </c>
      <c r="BC21" s="174" t="n">
        <v>0</v>
      </c>
      <c r="BD21" s="483" t="n">
        <v>0</v>
      </c>
      <c r="BE21" s="483" t="n">
        <v>0</v>
      </c>
      <c r="BF21" s="483" t="n">
        <v>0</v>
      </c>
      <c r="BG21" s="483" t="n">
        <v>0</v>
      </c>
      <c r="BH21" s="483" t="n">
        <v>0</v>
      </c>
      <c r="BI21" s="483" t="n">
        <v>0</v>
      </c>
      <c r="BJ21" s="483" t="n">
        <v>0</v>
      </c>
      <c r="BK21" s="483" t="n">
        <v>0</v>
      </c>
      <c r="BL21" s="483" t="n">
        <v>0</v>
      </c>
      <c r="BM21" s="483" t="n">
        <v>0</v>
      </c>
      <c r="BN21" s="483" t="n">
        <v>0</v>
      </c>
      <c r="BO21" s="483" t="n">
        <v>0</v>
      </c>
      <c r="BP21" s="483" t="n">
        <v>0</v>
      </c>
      <c r="BQ21" s="483" t="n">
        <v>0</v>
      </c>
      <c r="BR21" s="483" t="n">
        <v>0</v>
      </c>
      <c r="BS21" s="483" t="n">
        <v>0</v>
      </c>
      <c r="BT21" s="483" t="n">
        <v>0</v>
      </c>
      <c r="BU21" s="483" t="n">
        <v>0</v>
      </c>
      <c r="BV21" s="483" t="n">
        <v>0</v>
      </c>
      <c r="BW21" s="483" t="n">
        <v>0</v>
      </c>
      <c r="BX21" s="483" t="n">
        <v>0</v>
      </c>
      <c r="BY21" s="483" t="n">
        <v>0</v>
      </c>
      <c r="BZ21" s="659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 hidden="1" s="191">
      <c r="A22" s="265" t="n">
        <v>0</v>
      </c>
      <c r="B22" s="265" t="n">
        <v>0</v>
      </c>
      <c r="C22" s="265" t="n">
        <v>0</v>
      </c>
      <c r="D22" s="265" t="n">
        <v>0</v>
      </c>
      <c r="E22" s="265" t="n">
        <v>0</v>
      </c>
      <c r="F22" s="266" t="n">
        <v>0</v>
      </c>
      <c r="G22" s="266" t="n">
        <v>0</v>
      </c>
      <c r="H22" s="266" t="n">
        <v>0</v>
      </c>
      <c r="I22" s="266" t="n">
        <v>0</v>
      </c>
      <c r="J22" s="267" t="n">
        <v>0</v>
      </c>
      <c r="K22" s="267" t="n">
        <v>0</v>
      </c>
      <c r="L22" s="267" t="n">
        <v>0</v>
      </c>
      <c r="M22" s="267" t="n">
        <v>0</v>
      </c>
      <c r="N22" s="268" t="n">
        <v>0</v>
      </c>
      <c r="O22" s="268" t="n">
        <v>0</v>
      </c>
      <c r="P22" s="268" t="n">
        <v>0</v>
      </c>
      <c r="Q22" s="268" t="n">
        <v>0</v>
      </c>
      <c r="R22" s="268" t="n">
        <v>0</v>
      </c>
      <c r="S22" s="268" t="n">
        <v>0</v>
      </c>
      <c r="T22" s="268" t="n">
        <v>0</v>
      </c>
      <c r="U22" s="268" t="n">
        <v>0</v>
      </c>
      <c r="V22" s="268" t="n">
        <v>0</v>
      </c>
      <c r="W22" s="269" t="n">
        <v>0</v>
      </c>
      <c r="X22" s="269" t="n">
        <v>0</v>
      </c>
      <c r="Y22" s="269" t="n">
        <v>0</v>
      </c>
      <c r="Z22" s="269" t="n">
        <v>0</v>
      </c>
      <c r="AA22" s="270" t="n">
        <v>0</v>
      </c>
      <c r="AB22" s="270" t="n">
        <v>0</v>
      </c>
      <c r="AC22" s="270" t="n">
        <v>0</v>
      </c>
      <c r="AD22" s="270" t="n">
        <v>0</v>
      </c>
      <c r="AE22" s="268" t="n">
        <v>0</v>
      </c>
      <c r="AF22" s="268" t="n">
        <v>0</v>
      </c>
      <c r="AG22" s="268" t="n">
        <v>0</v>
      </c>
      <c r="AH22" s="268" t="n">
        <v>0</v>
      </c>
      <c r="AI22" s="268" t="n">
        <v>0</v>
      </c>
      <c r="AJ22" s="268" t="n">
        <v>0</v>
      </c>
      <c r="AK22" s="269" t="n">
        <v>0</v>
      </c>
      <c r="AL22" s="269" t="n">
        <v>0</v>
      </c>
      <c r="AM22" s="269" t="n">
        <v>0</v>
      </c>
      <c r="AN22" s="269" t="n">
        <v>0</v>
      </c>
      <c r="AO22" s="270" t="n">
        <v>0</v>
      </c>
      <c r="AP22" s="270" t="n">
        <v>0</v>
      </c>
      <c r="AQ22" s="270" t="n">
        <v>0</v>
      </c>
      <c r="AR22" s="270" t="n">
        <v>0</v>
      </c>
      <c r="AS22" s="174" t="n">
        <v>0</v>
      </c>
      <c r="AT22" s="271" t="n">
        <v>0</v>
      </c>
      <c r="AU22" s="175" t="n">
        <v>0</v>
      </c>
      <c r="AV22" s="175" t="n">
        <v>0</v>
      </c>
      <c r="AW22" s="483" t="n">
        <v>0</v>
      </c>
      <c r="AX22" s="174" t="n">
        <v>0</v>
      </c>
      <c r="AY22" s="174" t="n">
        <v>0</v>
      </c>
      <c r="AZ22" s="483" t="n">
        <v>0</v>
      </c>
      <c r="BA22" s="483" t="n">
        <v>0</v>
      </c>
      <c r="BB22" s="174" t="n">
        <v>0</v>
      </c>
      <c r="BC22" s="174" t="n">
        <v>0</v>
      </c>
      <c r="BD22" s="483" t="n">
        <v>0</v>
      </c>
      <c r="BE22" s="483" t="n">
        <v>0</v>
      </c>
      <c r="BF22" s="483" t="n">
        <v>0</v>
      </c>
      <c r="BG22" s="483" t="n">
        <v>0</v>
      </c>
      <c r="BH22" s="483" t="n">
        <v>0</v>
      </c>
      <c r="BI22" s="483" t="n">
        <v>0</v>
      </c>
      <c r="BJ22" s="483" t="n">
        <v>0</v>
      </c>
      <c r="BK22" s="483" t="n">
        <v>0</v>
      </c>
      <c r="BL22" s="483" t="n">
        <v>0</v>
      </c>
      <c r="BM22" s="483" t="n">
        <v>0</v>
      </c>
      <c r="BN22" s="483" t="n">
        <v>0</v>
      </c>
      <c r="BO22" s="483" t="n">
        <v>0</v>
      </c>
      <c r="BP22" s="483" t="n">
        <v>0</v>
      </c>
      <c r="BQ22" s="483" t="n">
        <v>0</v>
      </c>
      <c r="BR22" s="483" t="n">
        <v>0</v>
      </c>
      <c r="BS22" s="483" t="n">
        <v>0</v>
      </c>
      <c r="BT22" s="483" t="n">
        <v>0</v>
      </c>
      <c r="BU22" s="483" t="n">
        <v>0</v>
      </c>
      <c r="BV22" s="483" t="n">
        <v>0</v>
      </c>
      <c r="BW22" s="483" t="n">
        <v>0</v>
      </c>
      <c r="BX22" s="483" t="n">
        <v>0</v>
      </c>
      <c r="BY22" s="483" t="n">
        <v>0</v>
      </c>
      <c r="BZ22" s="659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 hidden="1" s="191">
      <c r="A23" s="265" t="n">
        <v>0</v>
      </c>
      <c r="B23" s="265" t="n">
        <v>0</v>
      </c>
      <c r="C23" s="265" t="n">
        <v>0</v>
      </c>
      <c r="D23" s="265" t="n">
        <v>0</v>
      </c>
      <c r="E23" s="265" t="n">
        <v>0</v>
      </c>
      <c r="F23" s="266" t="n">
        <v>0</v>
      </c>
      <c r="G23" s="266" t="n">
        <v>0</v>
      </c>
      <c r="H23" s="266" t="n">
        <v>0</v>
      </c>
      <c r="I23" s="266" t="n">
        <v>0</v>
      </c>
      <c r="J23" s="267" t="n">
        <v>0</v>
      </c>
      <c r="K23" s="267" t="n">
        <v>0</v>
      </c>
      <c r="L23" s="267" t="n">
        <v>0</v>
      </c>
      <c r="M23" s="267" t="n">
        <v>0</v>
      </c>
      <c r="N23" s="268" t="n">
        <v>0</v>
      </c>
      <c r="O23" s="268" t="n">
        <v>0</v>
      </c>
      <c r="P23" s="268" t="n">
        <v>0</v>
      </c>
      <c r="Q23" s="268" t="n">
        <v>0</v>
      </c>
      <c r="R23" s="268" t="n">
        <v>0</v>
      </c>
      <c r="S23" s="268" t="n">
        <v>0</v>
      </c>
      <c r="T23" s="268" t="n">
        <v>0</v>
      </c>
      <c r="U23" s="268" t="n">
        <v>0</v>
      </c>
      <c r="V23" s="268" t="n">
        <v>0</v>
      </c>
      <c r="W23" s="269" t="n">
        <v>0</v>
      </c>
      <c r="X23" s="269" t="n">
        <v>0</v>
      </c>
      <c r="Y23" s="269" t="n">
        <v>0</v>
      </c>
      <c r="Z23" s="269" t="n">
        <v>0</v>
      </c>
      <c r="AA23" s="270" t="n">
        <v>0</v>
      </c>
      <c r="AB23" s="270" t="n">
        <v>0</v>
      </c>
      <c r="AC23" s="270" t="n">
        <v>0</v>
      </c>
      <c r="AD23" s="270" t="n">
        <v>0</v>
      </c>
      <c r="AE23" s="268" t="n">
        <v>0</v>
      </c>
      <c r="AF23" s="268" t="n">
        <v>0</v>
      </c>
      <c r="AG23" s="268" t="n">
        <v>0</v>
      </c>
      <c r="AH23" s="268" t="n">
        <v>0</v>
      </c>
      <c r="AI23" s="268" t="n">
        <v>0</v>
      </c>
      <c r="AJ23" s="268" t="n">
        <v>0</v>
      </c>
      <c r="AK23" s="269" t="n">
        <v>0</v>
      </c>
      <c r="AL23" s="269" t="n">
        <v>0</v>
      </c>
      <c r="AM23" s="269" t="n">
        <v>0</v>
      </c>
      <c r="AN23" s="269" t="n">
        <v>0</v>
      </c>
      <c r="AO23" s="270" t="n">
        <v>0</v>
      </c>
      <c r="AP23" s="270" t="n">
        <v>0</v>
      </c>
      <c r="AQ23" s="270" t="n">
        <v>0</v>
      </c>
      <c r="AR23" s="270" t="n">
        <v>0</v>
      </c>
      <c r="AS23" s="174" t="n">
        <v>0</v>
      </c>
      <c r="AT23" s="271" t="n">
        <v>0</v>
      </c>
      <c r="AU23" s="175" t="n">
        <v>0</v>
      </c>
      <c r="AV23" s="175" t="n">
        <v>0</v>
      </c>
      <c r="AW23" s="483" t="n">
        <v>0</v>
      </c>
      <c r="AX23" s="174" t="n">
        <v>0</v>
      </c>
      <c r="AY23" s="174" t="n">
        <v>0</v>
      </c>
      <c r="AZ23" s="483" t="n">
        <v>0</v>
      </c>
      <c r="BA23" s="483" t="n">
        <v>0</v>
      </c>
      <c r="BB23" s="174" t="n">
        <v>0</v>
      </c>
      <c r="BC23" s="174" t="n">
        <v>0</v>
      </c>
      <c r="BD23" s="483" t="n">
        <v>0</v>
      </c>
      <c r="BE23" s="483" t="n">
        <v>0</v>
      </c>
      <c r="BF23" s="483" t="n">
        <v>0</v>
      </c>
      <c r="BG23" s="483" t="n">
        <v>0</v>
      </c>
      <c r="BH23" s="483" t="n">
        <v>0</v>
      </c>
      <c r="BI23" s="483" t="n">
        <v>0</v>
      </c>
      <c r="BJ23" s="483" t="n">
        <v>0</v>
      </c>
      <c r="BK23" s="483" t="n">
        <v>0</v>
      </c>
      <c r="BL23" s="483" t="n">
        <v>0</v>
      </c>
      <c r="BM23" s="483" t="n">
        <v>0</v>
      </c>
      <c r="BN23" s="483" t="n">
        <v>0</v>
      </c>
      <c r="BO23" s="483" t="n">
        <v>0</v>
      </c>
      <c r="BP23" s="483" t="n">
        <v>0</v>
      </c>
      <c r="BQ23" s="483" t="n">
        <v>0</v>
      </c>
      <c r="BR23" s="483" t="n">
        <v>0</v>
      </c>
      <c r="BS23" s="483" t="n">
        <v>0</v>
      </c>
      <c r="BT23" s="483" t="n">
        <v>0</v>
      </c>
      <c r="BU23" s="483" t="n">
        <v>0</v>
      </c>
      <c r="BV23" s="483" t="n">
        <v>0</v>
      </c>
      <c r="BW23" s="483" t="n">
        <v>0</v>
      </c>
      <c r="BX23" s="483" t="n">
        <v>0</v>
      </c>
      <c r="BY23" s="483" t="n">
        <v>0</v>
      </c>
      <c r="BZ23" s="659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 hidden="1" s="191">
      <c r="A24" s="265" t="n">
        <v>0</v>
      </c>
      <c r="B24" s="265" t="n">
        <v>0</v>
      </c>
      <c r="C24" s="265" t="n">
        <v>0</v>
      </c>
      <c r="D24" s="265" t="n">
        <v>0</v>
      </c>
      <c r="E24" s="265" t="n">
        <v>0</v>
      </c>
      <c r="F24" s="266" t="n">
        <v>0</v>
      </c>
      <c r="G24" s="266" t="n">
        <v>0</v>
      </c>
      <c r="H24" s="266" t="n">
        <v>0</v>
      </c>
      <c r="I24" s="266" t="n">
        <v>0</v>
      </c>
      <c r="J24" s="267" t="n">
        <v>0</v>
      </c>
      <c r="K24" s="267" t="n">
        <v>0</v>
      </c>
      <c r="L24" s="267" t="n">
        <v>0</v>
      </c>
      <c r="M24" s="267" t="n">
        <v>0</v>
      </c>
      <c r="N24" s="268" t="n">
        <v>0</v>
      </c>
      <c r="O24" s="268" t="n">
        <v>0</v>
      </c>
      <c r="P24" s="268" t="n">
        <v>0</v>
      </c>
      <c r="Q24" s="268" t="n">
        <v>0</v>
      </c>
      <c r="R24" s="268" t="n">
        <v>0</v>
      </c>
      <c r="S24" s="268" t="n">
        <v>0</v>
      </c>
      <c r="T24" s="268" t="n">
        <v>0</v>
      </c>
      <c r="U24" s="268" t="n">
        <v>0</v>
      </c>
      <c r="V24" s="268" t="n">
        <v>0</v>
      </c>
      <c r="W24" s="269" t="n">
        <v>0</v>
      </c>
      <c r="X24" s="269" t="n">
        <v>0</v>
      </c>
      <c r="Y24" s="269" t="n">
        <v>0</v>
      </c>
      <c r="Z24" s="269" t="n">
        <v>0</v>
      </c>
      <c r="AA24" s="270" t="n">
        <v>0</v>
      </c>
      <c r="AB24" s="270" t="n">
        <v>0</v>
      </c>
      <c r="AC24" s="270" t="n">
        <v>0</v>
      </c>
      <c r="AD24" s="270" t="n">
        <v>0</v>
      </c>
      <c r="AE24" s="268" t="n">
        <v>0</v>
      </c>
      <c r="AF24" s="268" t="n">
        <v>0</v>
      </c>
      <c r="AG24" s="268" t="n">
        <v>0</v>
      </c>
      <c r="AH24" s="268" t="n">
        <v>0</v>
      </c>
      <c r="AI24" s="268" t="n">
        <v>0</v>
      </c>
      <c r="AJ24" s="268" t="n">
        <v>0</v>
      </c>
      <c r="AK24" s="269" t="n">
        <v>0</v>
      </c>
      <c r="AL24" s="269" t="n">
        <v>0</v>
      </c>
      <c r="AM24" s="269" t="n">
        <v>0</v>
      </c>
      <c r="AN24" s="269" t="n">
        <v>0</v>
      </c>
      <c r="AO24" s="270" t="n">
        <v>0</v>
      </c>
      <c r="AP24" s="270" t="n">
        <v>0</v>
      </c>
      <c r="AQ24" s="270" t="n">
        <v>0</v>
      </c>
      <c r="AR24" s="270" t="n">
        <v>0</v>
      </c>
      <c r="AS24" s="174" t="n">
        <v>0</v>
      </c>
      <c r="AT24" s="271" t="n">
        <v>0</v>
      </c>
      <c r="AU24" s="175" t="n">
        <v>0</v>
      </c>
      <c r="AV24" s="175" t="n">
        <v>0</v>
      </c>
      <c r="AW24" s="483" t="n">
        <v>0</v>
      </c>
      <c r="AX24" s="174" t="n">
        <v>0</v>
      </c>
      <c r="AY24" s="174" t="n">
        <v>0</v>
      </c>
      <c r="AZ24" s="483" t="n">
        <v>0</v>
      </c>
      <c r="BA24" s="483" t="n">
        <v>0</v>
      </c>
      <c r="BB24" s="174" t="n">
        <v>0</v>
      </c>
      <c r="BC24" s="174" t="n">
        <v>0</v>
      </c>
      <c r="BD24" s="483" t="n">
        <v>0</v>
      </c>
      <c r="BE24" s="483" t="n">
        <v>0</v>
      </c>
      <c r="BF24" s="483" t="n">
        <v>0</v>
      </c>
      <c r="BG24" s="483" t="n">
        <v>0</v>
      </c>
      <c r="BH24" s="483" t="n">
        <v>0</v>
      </c>
      <c r="BI24" s="483" t="n">
        <v>0</v>
      </c>
      <c r="BJ24" s="483" t="n">
        <v>0</v>
      </c>
      <c r="BK24" s="483" t="n">
        <v>0</v>
      </c>
      <c r="BL24" s="483" t="n">
        <v>0</v>
      </c>
      <c r="BM24" s="483" t="n">
        <v>0</v>
      </c>
      <c r="BN24" s="483" t="n">
        <v>0</v>
      </c>
      <c r="BO24" s="483" t="n">
        <v>0</v>
      </c>
      <c r="BP24" s="483" t="n">
        <v>0</v>
      </c>
      <c r="BQ24" s="483" t="n">
        <v>0</v>
      </c>
      <c r="BR24" s="483" t="n">
        <v>0</v>
      </c>
      <c r="BS24" s="483" t="n">
        <v>0</v>
      </c>
      <c r="BT24" s="483" t="n">
        <v>0</v>
      </c>
      <c r="BU24" s="483" t="n">
        <v>0</v>
      </c>
      <c r="BV24" s="483" t="n">
        <v>0</v>
      </c>
      <c r="BW24" s="483" t="n">
        <v>0</v>
      </c>
      <c r="BX24" s="483" t="n">
        <v>0</v>
      </c>
      <c r="BY24" s="483" t="n">
        <v>0</v>
      </c>
      <c r="BZ24" s="659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 hidden="1" s="191">
      <c r="A25" s="265" t="n">
        <v>0</v>
      </c>
      <c r="B25" s="265" t="n">
        <v>0</v>
      </c>
      <c r="C25" s="265" t="n">
        <v>0</v>
      </c>
      <c r="D25" s="265" t="n">
        <v>0</v>
      </c>
      <c r="E25" s="265" t="n">
        <v>0</v>
      </c>
      <c r="F25" s="266" t="n">
        <v>0</v>
      </c>
      <c r="G25" s="266" t="n">
        <v>0</v>
      </c>
      <c r="H25" s="266" t="n">
        <v>0</v>
      </c>
      <c r="I25" s="266" t="n">
        <v>0</v>
      </c>
      <c r="J25" s="267" t="n">
        <v>0</v>
      </c>
      <c r="K25" s="267" t="n">
        <v>0</v>
      </c>
      <c r="L25" s="267" t="n">
        <v>0</v>
      </c>
      <c r="M25" s="267" t="n">
        <v>0</v>
      </c>
      <c r="N25" s="268" t="n">
        <v>0</v>
      </c>
      <c r="O25" s="268" t="n">
        <v>0</v>
      </c>
      <c r="P25" s="268" t="n">
        <v>0</v>
      </c>
      <c r="Q25" s="268" t="n">
        <v>0</v>
      </c>
      <c r="R25" s="268" t="n">
        <v>0</v>
      </c>
      <c r="S25" s="268" t="n">
        <v>0</v>
      </c>
      <c r="T25" s="268" t="n">
        <v>0</v>
      </c>
      <c r="U25" s="268" t="n">
        <v>0</v>
      </c>
      <c r="V25" s="268" t="n">
        <v>0</v>
      </c>
      <c r="W25" s="269" t="n">
        <v>0</v>
      </c>
      <c r="X25" s="269" t="n">
        <v>0</v>
      </c>
      <c r="Y25" s="269" t="n">
        <v>0</v>
      </c>
      <c r="Z25" s="269" t="n">
        <v>0</v>
      </c>
      <c r="AA25" s="270" t="n">
        <v>0</v>
      </c>
      <c r="AB25" s="270" t="n">
        <v>0</v>
      </c>
      <c r="AC25" s="270" t="n">
        <v>0</v>
      </c>
      <c r="AD25" s="270" t="n">
        <v>0</v>
      </c>
      <c r="AE25" s="268" t="n">
        <v>0</v>
      </c>
      <c r="AF25" s="268" t="n">
        <v>0</v>
      </c>
      <c r="AG25" s="268" t="n">
        <v>0</v>
      </c>
      <c r="AH25" s="268" t="n">
        <v>0</v>
      </c>
      <c r="AI25" s="268" t="n">
        <v>0</v>
      </c>
      <c r="AJ25" s="268" t="n">
        <v>0</v>
      </c>
      <c r="AK25" s="269" t="n">
        <v>0</v>
      </c>
      <c r="AL25" s="269" t="n">
        <v>0</v>
      </c>
      <c r="AM25" s="269" t="n">
        <v>0</v>
      </c>
      <c r="AN25" s="269" t="n">
        <v>0</v>
      </c>
      <c r="AO25" s="270" t="n">
        <v>0</v>
      </c>
      <c r="AP25" s="270" t="n">
        <v>0</v>
      </c>
      <c r="AQ25" s="270" t="n">
        <v>0</v>
      </c>
      <c r="AR25" s="270" t="n">
        <v>0</v>
      </c>
      <c r="AS25" s="174" t="n">
        <v>0</v>
      </c>
      <c r="AT25" s="271" t="n">
        <v>0</v>
      </c>
      <c r="AU25" s="175" t="n">
        <v>0</v>
      </c>
      <c r="AV25" s="175" t="n">
        <v>0</v>
      </c>
      <c r="AW25" s="483" t="n">
        <v>0</v>
      </c>
      <c r="AX25" s="174" t="n">
        <v>0</v>
      </c>
      <c r="AY25" s="174" t="n">
        <v>0</v>
      </c>
      <c r="AZ25" s="483" t="n">
        <v>0</v>
      </c>
      <c r="BA25" s="483" t="n">
        <v>0</v>
      </c>
      <c r="BB25" s="174" t="n">
        <v>0</v>
      </c>
      <c r="BC25" s="174" t="n">
        <v>0</v>
      </c>
      <c r="BD25" s="483" t="n">
        <v>0</v>
      </c>
      <c r="BE25" s="483" t="n">
        <v>0</v>
      </c>
      <c r="BF25" s="483" t="n">
        <v>0</v>
      </c>
      <c r="BG25" s="483" t="n">
        <v>0</v>
      </c>
      <c r="BH25" s="483" t="n">
        <v>0</v>
      </c>
      <c r="BI25" s="483" t="n">
        <v>0</v>
      </c>
      <c r="BJ25" s="483" t="n">
        <v>0</v>
      </c>
      <c r="BK25" s="483" t="n">
        <v>0</v>
      </c>
      <c r="BL25" s="483" t="n">
        <v>0</v>
      </c>
      <c r="BM25" s="483" t="n">
        <v>0</v>
      </c>
      <c r="BN25" s="483" t="n">
        <v>0</v>
      </c>
      <c r="BO25" s="483" t="n">
        <v>0</v>
      </c>
      <c r="BP25" s="483" t="n">
        <v>0</v>
      </c>
      <c r="BQ25" s="483" t="n">
        <v>0</v>
      </c>
      <c r="BR25" s="483" t="n">
        <v>0</v>
      </c>
      <c r="BS25" s="483" t="n">
        <v>0</v>
      </c>
      <c r="BT25" s="483" t="n">
        <v>0</v>
      </c>
      <c r="BU25" s="483" t="n">
        <v>0</v>
      </c>
      <c r="BV25" s="483" t="n">
        <v>0</v>
      </c>
      <c r="BW25" s="483" t="n">
        <v>0</v>
      </c>
      <c r="BX25" s="483" t="n">
        <v>0</v>
      </c>
      <c r="BY25" s="483" t="n">
        <v>0</v>
      </c>
      <c r="BZ25" s="659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 hidden="1" s="191">
      <c r="A26" s="265" t="n">
        <v>0</v>
      </c>
      <c r="B26" s="265" t="n">
        <v>0</v>
      </c>
      <c r="C26" s="265" t="n">
        <v>0</v>
      </c>
      <c r="D26" s="265" t="n">
        <v>0</v>
      </c>
      <c r="E26" s="265" t="n">
        <v>0</v>
      </c>
      <c r="F26" s="266" t="n">
        <v>0</v>
      </c>
      <c r="G26" s="266" t="n">
        <v>0</v>
      </c>
      <c r="H26" s="266" t="n">
        <v>0</v>
      </c>
      <c r="I26" s="266" t="n">
        <v>0</v>
      </c>
      <c r="J26" s="267" t="n">
        <v>0</v>
      </c>
      <c r="K26" s="267" t="n">
        <v>0</v>
      </c>
      <c r="L26" s="267" t="n">
        <v>0</v>
      </c>
      <c r="M26" s="267" t="n">
        <v>0</v>
      </c>
      <c r="N26" s="268" t="n">
        <v>0</v>
      </c>
      <c r="O26" s="268" t="n">
        <v>0</v>
      </c>
      <c r="P26" s="268" t="n">
        <v>0</v>
      </c>
      <c r="Q26" s="268" t="n">
        <v>0</v>
      </c>
      <c r="R26" s="268" t="n">
        <v>0</v>
      </c>
      <c r="S26" s="268" t="n">
        <v>0</v>
      </c>
      <c r="T26" s="268" t="n">
        <v>0</v>
      </c>
      <c r="U26" s="268" t="n">
        <v>0</v>
      </c>
      <c r="V26" s="268" t="n">
        <v>0</v>
      </c>
      <c r="W26" s="269" t="n">
        <v>0</v>
      </c>
      <c r="X26" s="269" t="n">
        <v>0</v>
      </c>
      <c r="Y26" s="269" t="n">
        <v>0</v>
      </c>
      <c r="Z26" s="269" t="n">
        <v>0</v>
      </c>
      <c r="AA26" s="270" t="n">
        <v>0</v>
      </c>
      <c r="AB26" s="270" t="n">
        <v>0</v>
      </c>
      <c r="AC26" s="270" t="n">
        <v>0</v>
      </c>
      <c r="AD26" s="270" t="n">
        <v>0</v>
      </c>
      <c r="AE26" s="268" t="n">
        <v>0</v>
      </c>
      <c r="AF26" s="268" t="n">
        <v>0</v>
      </c>
      <c r="AG26" s="268" t="n">
        <v>0</v>
      </c>
      <c r="AH26" s="268" t="n">
        <v>0</v>
      </c>
      <c r="AI26" s="268" t="n">
        <v>0</v>
      </c>
      <c r="AJ26" s="268" t="n">
        <v>0</v>
      </c>
      <c r="AK26" s="269" t="n">
        <v>0</v>
      </c>
      <c r="AL26" s="269" t="n">
        <v>0</v>
      </c>
      <c r="AM26" s="269" t="n">
        <v>0</v>
      </c>
      <c r="AN26" s="269" t="n">
        <v>0</v>
      </c>
      <c r="AO26" s="270" t="n">
        <v>0</v>
      </c>
      <c r="AP26" s="270" t="n">
        <v>0</v>
      </c>
      <c r="AQ26" s="270" t="n">
        <v>0</v>
      </c>
      <c r="AR26" s="270" t="n">
        <v>0</v>
      </c>
      <c r="AS26" s="174" t="n">
        <v>0</v>
      </c>
      <c r="AT26" s="271" t="n">
        <v>0</v>
      </c>
      <c r="AU26" s="175" t="n">
        <v>0</v>
      </c>
      <c r="AV26" s="175" t="n">
        <v>0</v>
      </c>
      <c r="AW26" s="483" t="n">
        <v>0</v>
      </c>
      <c r="AX26" s="174" t="n">
        <v>0</v>
      </c>
      <c r="AY26" s="174" t="n">
        <v>0</v>
      </c>
      <c r="AZ26" s="483" t="n">
        <v>0</v>
      </c>
      <c r="BA26" s="483" t="n">
        <v>0</v>
      </c>
      <c r="BB26" s="174" t="n">
        <v>0</v>
      </c>
      <c r="BC26" s="174" t="n">
        <v>0</v>
      </c>
      <c r="BD26" s="483" t="n">
        <v>0</v>
      </c>
      <c r="BE26" s="483" t="n">
        <v>0</v>
      </c>
      <c r="BF26" s="483" t="n">
        <v>0</v>
      </c>
      <c r="BG26" s="483" t="n">
        <v>0</v>
      </c>
      <c r="BH26" s="483" t="n">
        <v>0</v>
      </c>
      <c r="BI26" s="483" t="n">
        <v>0</v>
      </c>
      <c r="BJ26" s="483" t="n">
        <v>0</v>
      </c>
      <c r="BK26" s="483" t="n">
        <v>0</v>
      </c>
      <c r="BL26" s="483" t="n">
        <v>0</v>
      </c>
      <c r="BM26" s="483" t="n">
        <v>0</v>
      </c>
      <c r="BN26" s="483" t="n">
        <v>0</v>
      </c>
      <c r="BO26" s="483" t="n">
        <v>0</v>
      </c>
      <c r="BP26" s="483" t="n">
        <v>0</v>
      </c>
      <c r="BQ26" s="483" t="n">
        <v>0</v>
      </c>
      <c r="BR26" s="483" t="n">
        <v>0</v>
      </c>
      <c r="BS26" s="483" t="n">
        <v>0</v>
      </c>
      <c r="BT26" s="483" t="n">
        <v>0</v>
      </c>
      <c r="BU26" s="483" t="n">
        <v>0</v>
      </c>
      <c r="BV26" s="483" t="n">
        <v>0</v>
      </c>
      <c r="BW26" s="483" t="n">
        <v>0</v>
      </c>
      <c r="BX26" s="483" t="n">
        <v>0</v>
      </c>
      <c r="BY26" s="483" t="n">
        <v>0</v>
      </c>
      <c r="BZ26" s="659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 hidden="1" s="191">
      <c r="A27" s="265" t="n">
        <v>0</v>
      </c>
      <c r="B27" s="265" t="n">
        <v>0</v>
      </c>
      <c r="C27" s="265" t="n">
        <v>0</v>
      </c>
      <c r="D27" s="265" t="n">
        <v>0</v>
      </c>
      <c r="E27" s="265" t="n">
        <v>0</v>
      </c>
      <c r="F27" s="266" t="n">
        <v>0</v>
      </c>
      <c r="G27" s="266" t="n">
        <v>0</v>
      </c>
      <c r="H27" s="266" t="n">
        <v>0</v>
      </c>
      <c r="I27" s="266" t="n">
        <v>0</v>
      </c>
      <c r="J27" s="267" t="n">
        <v>0</v>
      </c>
      <c r="K27" s="267" t="n">
        <v>0</v>
      </c>
      <c r="L27" s="267" t="n">
        <v>0</v>
      </c>
      <c r="M27" s="267" t="n">
        <v>0</v>
      </c>
      <c r="N27" s="268" t="n">
        <v>0</v>
      </c>
      <c r="O27" s="268" t="n">
        <v>0</v>
      </c>
      <c r="P27" s="268" t="n">
        <v>0</v>
      </c>
      <c r="Q27" s="268" t="n">
        <v>0</v>
      </c>
      <c r="R27" s="268" t="n">
        <v>0</v>
      </c>
      <c r="S27" s="268" t="n">
        <v>0</v>
      </c>
      <c r="T27" s="268" t="n">
        <v>0</v>
      </c>
      <c r="U27" s="268" t="n">
        <v>0</v>
      </c>
      <c r="V27" s="268" t="n">
        <v>0</v>
      </c>
      <c r="W27" s="269" t="n">
        <v>0</v>
      </c>
      <c r="X27" s="269" t="n">
        <v>0</v>
      </c>
      <c r="Y27" s="269" t="n">
        <v>0</v>
      </c>
      <c r="Z27" s="269" t="n">
        <v>0</v>
      </c>
      <c r="AA27" s="270" t="n">
        <v>0</v>
      </c>
      <c r="AB27" s="270" t="n">
        <v>0</v>
      </c>
      <c r="AC27" s="270" t="n">
        <v>0</v>
      </c>
      <c r="AD27" s="270" t="n">
        <v>0</v>
      </c>
      <c r="AE27" s="268" t="n">
        <v>0</v>
      </c>
      <c r="AF27" s="268" t="n">
        <v>0</v>
      </c>
      <c r="AG27" s="268" t="n">
        <v>0</v>
      </c>
      <c r="AH27" s="268" t="n">
        <v>0</v>
      </c>
      <c r="AI27" s="268" t="n">
        <v>0</v>
      </c>
      <c r="AJ27" s="268" t="n">
        <v>0</v>
      </c>
      <c r="AK27" s="269" t="n">
        <v>0</v>
      </c>
      <c r="AL27" s="269" t="n">
        <v>0</v>
      </c>
      <c r="AM27" s="269" t="n">
        <v>0</v>
      </c>
      <c r="AN27" s="269" t="n">
        <v>0</v>
      </c>
      <c r="AO27" s="270" t="n">
        <v>0</v>
      </c>
      <c r="AP27" s="270" t="n">
        <v>0</v>
      </c>
      <c r="AQ27" s="270" t="n">
        <v>0</v>
      </c>
      <c r="AR27" s="270" t="n">
        <v>0</v>
      </c>
      <c r="AS27" s="174" t="n">
        <v>0</v>
      </c>
      <c r="AT27" s="271" t="n">
        <v>0</v>
      </c>
      <c r="AU27" s="175" t="n">
        <v>0</v>
      </c>
      <c r="AV27" s="175" t="n">
        <v>0</v>
      </c>
      <c r="AW27" s="483" t="n">
        <v>0</v>
      </c>
      <c r="AX27" s="174" t="n">
        <v>0</v>
      </c>
      <c r="AY27" s="174" t="n">
        <v>0</v>
      </c>
      <c r="AZ27" s="483" t="n">
        <v>0</v>
      </c>
      <c r="BA27" s="483" t="n">
        <v>0</v>
      </c>
      <c r="BB27" s="174" t="n">
        <v>0</v>
      </c>
      <c r="BC27" s="174" t="n">
        <v>0</v>
      </c>
      <c r="BD27" s="483" t="n">
        <v>0</v>
      </c>
      <c r="BE27" s="483" t="n">
        <v>0</v>
      </c>
      <c r="BF27" s="483" t="n">
        <v>0</v>
      </c>
      <c r="BG27" s="483" t="n">
        <v>0</v>
      </c>
      <c r="BH27" s="483" t="n">
        <v>0</v>
      </c>
      <c r="BI27" s="483" t="n">
        <v>0</v>
      </c>
      <c r="BJ27" s="483" t="n">
        <v>0</v>
      </c>
      <c r="BK27" s="483" t="n">
        <v>0</v>
      </c>
      <c r="BL27" s="483" t="n">
        <v>0</v>
      </c>
      <c r="BM27" s="483" t="n">
        <v>0</v>
      </c>
      <c r="BN27" s="483" t="n">
        <v>0</v>
      </c>
      <c r="BO27" s="483" t="n">
        <v>0</v>
      </c>
      <c r="BP27" s="483" t="n">
        <v>0</v>
      </c>
      <c r="BQ27" s="483" t="n">
        <v>0</v>
      </c>
      <c r="BR27" s="483" t="n">
        <v>0</v>
      </c>
      <c r="BS27" s="483" t="n">
        <v>0</v>
      </c>
      <c r="BT27" s="483" t="n">
        <v>0</v>
      </c>
      <c r="BU27" s="483" t="n">
        <v>0</v>
      </c>
      <c r="BV27" s="483" t="n">
        <v>0</v>
      </c>
      <c r="BW27" s="483" t="n">
        <v>0</v>
      </c>
      <c r="BX27" s="483" t="n">
        <v>0</v>
      </c>
      <c r="BY27" s="483" t="n">
        <v>0</v>
      </c>
      <c r="BZ27" s="659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 hidden="1" s="191">
      <c r="A28" s="265" t="n">
        <v>0</v>
      </c>
      <c r="B28" s="265" t="n">
        <v>0</v>
      </c>
      <c r="C28" s="265" t="n">
        <v>0</v>
      </c>
      <c r="D28" s="265" t="n">
        <v>0</v>
      </c>
      <c r="E28" s="265" t="n">
        <v>0</v>
      </c>
      <c r="F28" s="266" t="n">
        <v>0</v>
      </c>
      <c r="G28" s="266" t="n">
        <v>0</v>
      </c>
      <c r="H28" s="266" t="n">
        <v>0</v>
      </c>
      <c r="I28" s="266" t="n">
        <v>0</v>
      </c>
      <c r="J28" s="267" t="n">
        <v>0</v>
      </c>
      <c r="K28" s="267" t="n">
        <v>0</v>
      </c>
      <c r="L28" s="267" t="n">
        <v>0</v>
      </c>
      <c r="M28" s="267" t="n">
        <v>0</v>
      </c>
      <c r="N28" s="268" t="n">
        <v>0</v>
      </c>
      <c r="O28" s="268" t="n">
        <v>0</v>
      </c>
      <c r="P28" s="268" t="n">
        <v>0</v>
      </c>
      <c r="Q28" s="268" t="n">
        <v>0</v>
      </c>
      <c r="R28" s="268" t="n">
        <v>0</v>
      </c>
      <c r="S28" s="268" t="n">
        <v>0</v>
      </c>
      <c r="T28" s="268" t="n">
        <v>0</v>
      </c>
      <c r="U28" s="268" t="n">
        <v>0</v>
      </c>
      <c r="V28" s="268" t="n">
        <v>0</v>
      </c>
      <c r="W28" s="269" t="n">
        <v>0</v>
      </c>
      <c r="X28" s="269" t="n">
        <v>0</v>
      </c>
      <c r="Y28" s="269" t="n">
        <v>0</v>
      </c>
      <c r="Z28" s="269" t="n">
        <v>0</v>
      </c>
      <c r="AA28" s="270" t="n">
        <v>0</v>
      </c>
      <c r="AB28" s="270" t="n">
        <v>0</v>
      </c>
      <c r="AC28" s="270" t="n">
        <v>0</v>
      </c>
      <c r="AD28" s="270" t="n">
        <v>0</v>
      </c>
      <c r="AE28" s="268" t="n">
        <v>0</v>
      </c>
      <c r="AF28" s="268" t="n">
        <v>0</v>
      </c>
      <c r="AG28" s="268" t="n">
        <v>0</v>
      </c>
      <c r="AH28" s="268" t="n">
        <v>0</v>
      </c>
      <c r="AI28" s="268" t="n">
        <v>0</v>
      </c>
      <c r="AJ28" s="268" t="n">
        <v>0</v>
      </c>
      <c r="AK28" s="269" t="n">
        <v>0</v>
      </c>
      <c r="AL28" s="269" t="n">
        <v>0</v>
      </c>
      <c r="AM28" s="269" t="n">
        <v>0</v>
      </c>
      <c r="AN28" s="269" t="n">
        <v>0</v>
      </c>
      <c r="AO28" s="270" t="n">
        <v>0</v>
      </c>
      <c r="AP28" s="270" t="n">
        <v>0</v>
      </c>
      <c r="AQ28" s="270" t="n">
        <v>0</v>
      </c>
      <c r="AR28" s="270" t="n">
        <v>0</v>
      </c>
      <c r="AS28" s="174" t="n">
        <v>0</v>
      </c>
      <c r="AT28" s="271" t="n">
        <v>0</v>
      </c>
      <c r="AU28" s="175" t="n">
        <v>0</v>
      </c>
      <c r="AV28" s="175" t="n">
        <v>0</v>
      </c>
      <c r="AW28" s="483" t="n">
        <v>0</v>
      </c>
      <c r="AX28" s="174" t="n">
        <v>0</v>
      </c>
      <c r="AY28" s="174" t="n">
        <v>0</v>
      </c>
      <c r="AZ28" s="483" t="n">
        <v>0</v>
      </c>
      <c r="BA28" s="483" t="n">
        <v>0</v>
      </c>
      <c r="BB28" s="174" t="n">
        <v>0</v>
      </c>
      <c r="BC28" s="174" t="n">
        <v>0</v>
      </c>
      <c r="BD28" s="483" t="n">
        <v>0</v>
      </c>
      <c r="BE28" s="483" t="n">
        <v>0</v>
      </c>
      <c r="BF28" s="483" t="n">
        <v>0</v>
      </c>
      <c r="BG28" s="483" t="n">
        <v>0</v>
      </c>
      <c r="BH28" s="483" t="n">
        <v>0</v>
      </c>
      <c r="BI28" s="483" t="n">
        <v>0</v>
      </c>
      <c r="BJ28" s="483" t="n">
        <v>0</v>
      </c>
      <c r="BK28" s="483" t="n">
        <v>0</v>
      </c>
      <c r="BL28" s="483" t="n">
        <v>0</v>
      </c>
      <c r="BM28" s="483" t="n">
        <v>0</v>
      </c>
      <c r="BN28" s="483" t="n">
        <v>0</v>
      </c>
      <c r="BO28" s="483" t="n">
        <v>0</v>
      </c>
      <c r="BP28" s="483" t="n">
        <v>0</v>
      </c>
      <c r="BQ28" s="483" t="n">
        <v>0</v>
      </c>
      <c r="BR28" s="483" t="n">
        <v>0</v>
      </c>
      <c r="BS28" s="483" t="n">
        <v>0</v>
      </c>
      <c r="BT28" s="483" t="n">
        <v>0</v>
      </c>
      <c r="BU28" s="483" t="n">
        <v>0</v>
      </c>
      <c r="BV28" s="483" t="n">
        <v>0</v>
      </c>
      <c r="BW28" s="483" t="n">
        <v>0</v>
      </c>
      <c r="BX28" s="483" t="n">
        <v>0</v>
      </c>
      <c r="BY28" s="483" t="n">
        <v>0</v>
      </c>
      <c r="BZ28" s="659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 hidden="1" s="191">
      <c r="A29" s="265" t="n">
        <v>0</v>
      </c>
      <c r="B29" s="265" t="n">
        <v>0</v>
      </c>
      <c r="C29" s="265" t="n">
        <v>0</v>
      </c>
      <c r="D29" s="265" t="n">
        <v>0</v>
      </c>
      <c r="E29" s="265" t="n">
        <v>0</v>
      </c>
      <c r="F29" s="266" t="n">
        <v>0</v>
      </c>
      <c r="G29" s="266" t="n">
        <v>0</v>
      </c>
      <c r="H29" s="266" t="n">
        <v>0</v>
      </c>
      <c r="I29" s="266" t="n">
        <v>0</v>
      </c>
      <c r="J29" s="267" t="n">
        <v>0</v>
      </c>
      <c r="K29" s="267" t="n">
        <v>0</v>
      </c>
      <c r="L29" s="267" t="n">
        <v>0</v>
      </c>
      <c r="M29" s="267" t="n">
        <v>0</v>
      </c>
      <c r="N29" s="268" t="n">
        <v>0</v>
      </c>
      <c r="O29" s="268" t="n">
        <v>0</v>
      </c>
      <c r="P29" s="268" t="n">
        <v>0</v>
      </c>
      <c r="Q29" s="268" t="n">
        <v>0</v>
      </c>
      <c r="R29" s="268" t="n">
        <v>0</v>
      </c>
      <c r="S29" s="268" t="n">
        <v>0</v>
      </c>
      <c r="T29" s="268" t="n">
        <v>0</v>
      </c>
      <c r="U29" s="268" t="n">
        <v>0</v>
      </c>
      <c r="V29" s="268" t="n">
        <v>0</v>
      </c>
      <c r="W29" s="269" t="n">
        <v>0</v>
      </c>
      <c r="X29" s="269" t="n">
        <v>0</v>
      </c>
      <c r="Y29" s="269" t="n">
        <v>0</v>
      </c>
      <c r="Z29" s="269" t="n">
        <v>0</v>
      </c>
      <c r="AA29" s="270" t="n">
        <v>0</v>
      </c>
      <c r="AB29" s="270" t="n">
        <v>0</v>
      </c>
      <c r="AC29" s="270" t="n">
        <v>0</v>
      </c>
      <c r="AD29" s="270" t="n">
        <v>0</v>
      </c>
      <c r="AE29" s="268" t="n">
        <v>0</v>
      </c>
      <c r="AF29" s="268" t="n">
        <v>0</v>
      </c>
      <c r="AG29" s="268" t="n">
        <v>0</v>
      </c>
      <c r="AH29" s="268" t="n">
        <v>0</v>
      </c>
      <c r="AI29" s="268" t="n">
        <v>0</v>
      </c>
      <c r="AJ29" s="268" t="n">
        <v>0</v>
      </c>
      <c r="AK29" s="269" t="n">
        <v>0</v>
      </c>
      <c r="AL29" s="269" t="n">
        <v>0</v>
      </c>
      <c r="AM29" s="269" t="n">
        <v>0</v>
      </c>
      <c r="AN29" s="269" t="n">
        <v>0</v>
      </c>
      <c r="AO29" s="270" t="n">
        <v>0</v>
      </c>
      <c r="AP29" s="270" t="n">
        <v>0</v>
      </c>
      <c r="AQ29" s="270" t="n">
        <v>0</v>
      </c>
      <c r="AR29" s="270" t="n">
        <v>0</v>
      </c>
      <c r="AS29" s="174" t="n">
        <v>0</v>
      </c>
      <c r="AT29" s="271" t="n">
        <v>0</v>
      </c>
      <c r="AU29" s="175" t="n">
        <v>0</v>
      </c>
      <c r="AV29" s="175" t="n">
        <v>0</v>
      </c>
      <c r="AW29" s="483" t="n">
        <v>0</v>
      </c>
      <c r="AX29" s="174" t="n">
        <v>0</v>
      </c>
      <c r="AY29" s="174" t="n">
        <v>0</v>
      </c>
      <c r="AZ29" s="483" t="n">
        <v>0</v>
      </c>
      <c r="BA29" s="483" t="n">
        <v>0</v>
      </c>
      <c r="BB29" s="174" t="n">
        <v>0</v>
      </c>
      <c r="BC29" s="174" t="n">
        <v>0</v>
      </c>
      <c r="BD29" s="483" t="n">
        <v>0</v>
      </c>
      <c r="BE29" s="483" t="n">
        <v>0</v>
      </c>
      <c r="BF29" s="483" t="n">
        <v>0</v>
      </c>
      <c r="BG29" s="483" t="n">
        <v>0</v>
      </c>
      <c r="BH29" s="483" t="n">
        <v>0</v>
      </c>
      <c r="BI29" s="483" t="n">
        <v>0</v>
      </c>
      <c r="BJ29" s="483" t="n">
        <v>0</v>
      </c>
      <c r="BK29" s="483" t="n">
        <v>0</v>
      </c>
      <c r="BL29" s="483" t="n">
        <v>0</v>
      </c>
      <c r="BM29" s="483" t="n">
        <v>0</v>
      </c>
      <c r="BN29" s="483" t="n">
        <v>0</v>
      </c>
      <c r="BO29" s="483" t="n">
        <v>0</v>
      </c>
      <c r="BP29" s="483" t="n">
        <v>0</v>
      </c>
      <c r="BQ29" s="483" t="n">
        <v>0</v>
      </c>
      <c r="BR29" s="483" t="n">
        <v>0</v>
      </c>
      <c r="BS29" s="483" t="n">
        <v>0</v>
      </c>
      <c r="BT29" s="483" t="n">
        <v>0</v>
      </c>
      <c r="BU29" s="483" t="n">
        <v>0</v>
      </c>
      <c r="BV29" s="483" t="n">
        <v>0</v>
      </c>
      <c r="BW29" s="483" t="n">
        <v>0</v>
      </c>
      <c r="BX29" s="483" t="n">
        <v>0</v>
      </c>
      <c r="BY29" s="483" t="n">
        <v>0</v>
      </c>
      <c r="BZ29" s="65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</row>
    <row r="30" hidden="1" s="191">
      <c r="A30" s="265" t="n">
        <v>0</v>
      </c>
      <c r="B30" s="265" t="n">
        <v>0</v>
      </c>
      <c r="C30" s="265" t="n">
        <v>0</v>
      </c>
      <c r="D30" s="265" t="n">
        <v>0</v>
      </c>
      <c r="E30" s="265" t="n">
        <v>0</v>
      </c>
      <c r="F30" s="266" t="n">
        <v>0</v>
      </c>
      <c r="G30" s="266" t="n">
        <v>0</v>
      </c>
      <c r="H30" s="266" t="n">
        <v>0</v>
      </c>
      <c r="I30" s="266" t="n">
        <v>0</v>
      </c>
      <c r="J30" s="267" t="n">
        <v>0</v>
      </c>
      <c r="K30" s="267" t="n">
        <v>0</v>
      </c>
      <c r="L30" s="267" t="n">
        <v>0</v>
      </c>
      <c r="M30" s="267" t="n">
        <v>0</v>
      </c>
      <c r="N30" s="268" t="n">
        <v>0</v>
      </c>
      <c r="O30" s="268" t="n">
        <v>0</v>
      </c>
      <c r="P30" s="268" t="n">
        <v>0</v>
      </c>
      <c r="Q30" s="268" t="n">
        <v>0</v>
      </c>
      <c r="R30" s="268" t="n">
        <v>0</v>
      </c>
      <c r="S30" s="268" t="n">
        <v>0</v>
      </c>
      <c r="T30" s="268" t="n">
        <v>0</v>
      </c>
      <c r="U30" s="268" t="n">
        <v>0</v>
      </c>
      <c r="V30" s="268" t="n">
        <v>0</v>
      </c>
      <c r="W30" s="269" t="n">
        <v>0</v>
      </c>
      <c r="X30" s="269" t="n">
        <v>0</v>
      </c>
      <c r="Y30" s="269" t="n">
        <v>0</v>
      </c>
      <c r="Z30" s="269" t="n">
        <v>0</v>
      </c>
      <c r="AA30" s="270" t="n">
        <v>0</v>
      </c>
      <c r="AB30" s="270" t="n">
        <v>0</v>
      </c>
      <c r="AC30" s="270" t="n">
        <v>0</v>
      </c>
      <c r="AD30" s="270" t="n">
        <v>0</v>
      </c>
      <c r="AE30" s="268" t="n">
        <v>0</v>
      </c>
      <c r="AF30" s="268" t="n">
        <v>0</v>
      </c>
      <c r="AG30" s="268" t="n">
        <v>0</v>
      </c>
      <c r="AH30" s="268" t="n">
        <v>0</v>
      </c>
      <c r="AI30" s="268" t="n">
        <v>0</v>
      </c>
      <c r="AJ30" s="268" t="n">
        <v>0</v>
      </c>
      <c r="AK30" s="269" t="n">
        <v>0</v>
      </c>
      <c r="AL30" s="269" t="n">
        <v>0</v>
      </c>
      <c r="AM30" s="269" t="n">
        <v>0</v>
      </c>
      <c r="AN30" s="269" t="n">
        <v>0</v>
      </c>
      <c r="AO30" s="270" t="n">
        <v>0</v>
      </c>
      <c r="AP30" s="270" t="n">
        <v>0</v>
      </c>
      <c r="AQ30" s="270" t="n">
        <v>0</v>
      </c>
      <c r="AR30" s="270" t="n">
        <v>0</v>
      </c>
      <c r="AS30" s="174" t="n">
        <v>0</v>
      </c>
      <c r="AT30" s="271" t="n">
        <v>0</v>
      </c>
      <c r="AU30" s="175" t="n">
        <v>0</v>
      </c>
      <c r="AV30" s="175" t="n">
        <v>0</v>
      </c>
      <c r="AW30" s="483" t="n">
        <v>0</v>
      </c>
      <c r="AX30" s="174" t="n">
        <v>0</v>
      </c>
      <c r="AY30" s="174" t="n">
        <v>0</v>
      </c>
      <c r="AZ30" s="483" t="n">
        <v>0</v>
      </c>
      <c r="BA30" s="483" t="n">
        <v>0</v>
      </c>
      <c r="BB30" s="174" t="n">
        <v>0</v>
      </c>
      <c r="BC30" s="174" t="n">
        <v>0</v>
      </c>
      <c r="BD30" s="483" t="n">
        <v>0</v>
      </c>
      <c r="BE30" s="483" t="n">
        <v>0</v>
      </c>
      <c r="BF30" s="483" t="n">
        <v>0</v>
      </c>
      <c r="BG30" s="483" t="n">
        <v>0</v>
      </c>
      <c r="BH30" s="483" t="n">
        <v>0</v>
      </c>
      <c r="BI30" s="483" t="n">
        <v>0</v>
      </c>
      <c r="BJ30" s="483" t="n">
        <v>0</v>
      </c>
      <c r="BK30" s="483" t="n">
        <v>0</v>
      </c>
      <c r="BL30" s="483" t="n">
        <v>0</v>
      </c>
      <c r="BM30" s="483" t="n">
        <v>0</v>
      </c>
      <c r="BN30" s="483" t="n">
        <v>0</v>
      </c>
      <c r="BO30" s="483" t="n">
        <v>0</v>
      </c>
      <c r="BP30" s="483" t="n">
        <v>0</v>
      </c>
      <c r="BQ30" s="483" t="n">
        <v>0</v>
      </c>
      <c r="BR30" s="483" t="n">
        <v>0</v>
      </c>
      <c r="BS30" s="483" t="n">
        <v>0</v>
      </c>
      <c r="BT30" s="483" t="n">
        <v>0</v>
      </c>
      <c r="BU30" s="483" t="n">
        <v>0</v>
      </c>
      <c r="BV30" s="483" t="n">
        <v>0</v>
      </c>
      <c r="BW30" s="483" t="n">
        <v>0</v>
      </c>
      <c r="BX30" s="483" t="n">
        <v>0</v>
      </c>
      <c r="BY30" s="483" t="n">
        <v>0</v>
      </c>
      <c r="BZ30" s="659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 hidden="1" s="191">
      <c r="A31" s="265" t="n">
        <v>0</v>
      </c>
      <c r="B31" s="265" t="n">
        <v>0</v>
      </c>
      <c r="C31" s="265" t="n">
        <v>0</v>
      </c>
      <c r="D31" s="265" t="n">
        <v>0</v>
      </c>
      <c r="E31" s="265" t="n">
        <v>0</v>
      </c>
      <c r="F31" s="266" t="n">
        <v>0</v>
      </c>
      <c r="G31" s="266" t="n">
        <v>0</v>
      </c>
      <c r="H31" s="266" t="n">
        <v>0</v>
      </c>
      <c r="I31" s="266" t="n">
        <v>0</v>
      </c>
      <c r="J31" s="267" t="n">
        <v>0</v>
      </c>
      <c r="K31" s="267" t="n">
        <v>0</v>
      </c>
      <c r="L31" s="267" t="n">
        <v>0</v>
      </c>
      <c r="M31" s="267" t="n">
        <v>0</v>
      </c>
      <c r="N31" s="268" t="n">
        <v>0</v>
      </c>
      <c r="O31" s="268" t="n">
        <v>0</v>
      </c>
      <c r="P31" s="268" t="n">
        <v>0</v>
      </c>
      <c r="Q31" s="268" t="n">
        <v>0</v>
      </c>
      <c r="R31" s="268" t="n">
        <v>0</v>
      </c>
      <c r="S31" s="268" t="n">
        <v>0</v>
      </c>
      <c r="T31" s="268" t="n">
        <v>0</v>
      </c>
      <c r="U31" s="268" t="n">
        <v>0</v>
      </c>
      <c r="V31" s="268" t="n">
        <v>0</v>
      </c>
      <c r="W31" s="269" t="n">
        <v>0</v>
      </c>
      <c r="X31" s="269" t="n">
        <v>0</v>
      </c>
      <c r="Y31" s="269" t="n">
        <v>0</v>
      </c>
      <c r="Z31" s="269" t="n">
        <v>0</v>
      </c>
      <c r="AA31" s="270" t="n">
        <v>0</v>
      </c>
      <c r="AB31" s="270" t="n">
        <v>0</v>
      </c>
      <c r="AC31" s="270" t="n">
        <v>0</v>
      </c>
      <c r="AD31" s="270" t="n">
        <v>0</v>
      </c>
      <c r="AE31" s="268" t="n">
        <v>0</v>
      </c>
      <c r="AF31" s="268" t="n">
        <v>0</v>
      </c>
      <c r="AG31" s="268" t="n">
        <v>0</v>
      </c>
      <c r="AH31" s="268" t="n">
        <v>0</v>
      </c>
      <c r="AI31" s="268" t="n">
        <v>0</v>
      </c>
      <c r="AJ31" s="268" t="n">
        <v>0</v>
      </c>
      <c r="AK31" s="269" t="n">
        <v>0</v>
      </c>
      <c r="AL31" s="269" t="n">
        <v>0</v>
      </c>
      <c r="AM31" s="269" t="n">
        <v>0</v>
      </c>
      <c r="AN31" s="269" t="n">
        <v>0</v>
      </c>
      <c r="AO31" s="270" t="n">
        <v>0</v>
      </c>
      <c r="AP31" s="270" t="n">
        <v>0</v>
      </c>
      <c r="AQ31" s="270" t="n">
        <v>0</v>
      </c>
      <c r="AR31" s="270" t="n">
        <v>0</v>
      </c>
      <c r="AS31" s="174" t="n">
        <v>0</v>
      </c>
      <c r="AT31" s="271" t="n">
        <v>0</v>
      </c>
      <c r="AU31" s="175" t="n">
        <v>0</v>
      </c>
      <c r="AV31" s="175" t="n">
        <v>0</v>
      </c>
      <c r="AW31" s="483" t="n">
        <v>0</v>
      </c>
      <c r="AX31" s="174" t="n">
        <v>0</v>
      </c>
      <c r="AY31" s="174" t="n">
        <v>0</v>
      </c>
      <c r="AZ31" s="483" t="n">
        <v>0</v>
      </c>
      <c r="BA31" s="483" t="n">
        <v>0</v>
      </c>
      <c r="BB31" s="174" t="n">
        <v>0</v>
      </c>
      <c r="BC31" s="174" t="n">
        <v>0</v>
      </c>
      <c r="BD31" s="483" t="n">
        <v>0</v>
      </c>
      <c r="BE31" s="483" t="n">
        <v>0</v>
      </c>
      <c r="BF31" s="483" t="n">
        <v>0</v>
      </c>
      <c r="BG31" s="483" t="n">
        <v>0</v>
      </c>
      <c r="BH31" s="483" t="n">
        <v>0</v>
      </c>
      <c r="BI31" s="483" t="n">
        <v>0</v>
      </c>
      <c r="BJ31" s="483" t="n">
        <v>0</v>
      </c>
      <c r="BK31" s="483" t="n">
        <v>0</v>
      </c>
      <c r="BL31" s="483" t="n">
        <v>0</v>
      </c>
      <c r="BM31" s="483" t="n">
        <v>0</v>
      </c>
      <c r="BN31" s="483" t="n">
        <v>0</v>
      </c>
      <c r="BO31" s="483" t="n">
        <v>0</v>
      </c>
      <c r="BP31" s="483" t="n">
        <v>0</v>
      </c>
      <c r="BQ31" s="483" t="n">
        <v>0</v>
      </c>
      <c r="BR31" s="483" t="n">
        <v>0</v>
      </c>
      <c r="BS31" s="483" t="n">
        <v>0</v>
      </c>
      <c r="BT31" s="483" t="n">
        <v>0</v>
      </c>
      <c r="BU31" s="483" t="n">
        <v>0</v>
      </c>
      <c r="BV31" s="483" t="n">
        <v>0</v>
      </c>
      <c r="BW31" s="483" t="n">
        <v>0</v>
      </c>
      <c r="BX31" s="483" t="n">
        <v>0</v>
      </c>
      <c r="BY31" s="483" t="n">
        <v>0</v>
      </c>
      <c r="BZ31" s="659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 hidden="1" s="191">
      <c r="A32" s="265" t="n">
        <v>0</v>
      </c>
      <c r="B32" s="265" t="n">
        <v>0</v>
      </c>
      <c r="C32" s="265" t="n">
        <v>0</v>
      </c>
      <c r="D32" s="265" t="n">
        <v>0</v>
      </c>
      <c r="E32" s="265" t="n">
        <v>0</v>
      </c>
      <c r="F32" s="266" t="n">
        <v>0</v>
      </c>
      <c r="G32" s="266" t="n">
        <v>0</v>
      </c>
      <c r="H32" s="266" t="n">
        <v>0</v>
      </c>
      <c r="I32" s="266" t="n">
        <v>0</v>
      </c>
      <c r="J32" s="267" t="n">
        <v>0</v>
      </c>
      <c r="K32" s="267" t="n">
        <v>0</v>
      </c>
      <c r="L32" s="267" t="n">
        <v>0</v>
      </c>
      <c r="M32" s="267" t="n">
        <v>0</v>
      </c>
      <c r="N32" s="268" t="n">
        <v>0</v>
      </c>
      <c r="O32" s="268" t="n">
        <v>0</v>
      </c>
      <c r="P32" s="268" t="n">
        <v>0</v>
      </c>
      <c r="Q32" s="268" t="n">
        <v>0</v>
      </c>
      <c r="R32" s="268" t="n">
        <v>0</v>
      </c>
      <c r="S32" s="268" t="n">
        <v>0</v>
      </c>
      <c r="T32" s="268" t="n">
        <v>0</v>
      </c>
      <c r="U32" s="268" t="n">
        <v>0</v>
      </c>
      <c r="V32" s="268" t="n">
        <v>0</v>
      </c>
      <c r="W32" s="269" t="n">
        <v>0</v>
      </c>
      <c r="X32" s="269" t="n">
        <v>0</v>
      </c>
      <c r="Y32" s="269" t="n">
        <v>0</v>
      </c>
      <c r="Z32" s="269" t="n">
        <v>0</v>
      </c>
      <c r="AA32" s="270" t="n">
        <v>0</v>
      </c>
      <c r="AB32" s="270" t="n">
        <v>0</v>
      </c>
      <c r="AC32" s="270" t="n">
        <v>0</v>
      </c>
      <c r="AD32" s="270" t="n">
        <v>0</v>
      </c>
      <c r="AE32" s="268" t="n">
        <v>0</v>
      </c>
      <c r="AF32" s="268" t="n">
        <v>0</v>
      </c>
      <c r="AG32" s="268" t="n">
        <v>0</v>
      </c>
      <c r="AH32" s="268" t="n">
        <v>0</v>
      </c>
      <c r="AI32" s="268" t="n">
        <v>0</v>
      </c>
      <c r="AJ32" s="268" t="n">
        <v>0</v>
      </c>
      <c r="AK32" s="269" t="n">
        <v>0</v>
      </c>
      <c r="AL32" s="269" t="n">
        <v>0</v>
      </c>
      <c r="AM32" s="269" t="n">
        <v>0</v>
      </c>
      <c r="AN32" s="269" t="n">
        <v>0</v>
      </c>
      <c r="AO32" s="270" t="n">
        <v>0</v>
      </c>
      <c r="AP32" s="270" t="n">
        <v>0</v>
      </c>
      <c r="AQ32" s="270" t="n">
        <v>0</v>
      </c>
      <c r="AR32" s="270" t="n">
        <v>0</v>
      </c>
      <c r="AS32" s="174" t="n">
        <v>0</v>
      </c>
      <c r="AT32" s="271" t="n">
        <v>0</v>
      </c>
      <c r="AU32" s="175" t="n">
        <v>0</v>
      </c>
      <c r="AV32" s="175" t="n">
        <v>0</v>
      </c>
      <c r="AW32" s="483" t="n">
        <v>0</v>
      </c>
      <c r="AX32" s="174" t="n">
        <v>0</v>
      </c>
      <c r="AY32" s="174" t="n">
        <v>0</v>
      </c>
      <c r="AZ32" s="483" t="n">
        <v>0</v>
      </c>
      <c r="BA32" s="483" t="n">
        <v>0</v>
      </c>
      <c r="BB32" s="174" t="n">
        <v>0</v>
      </c>
      <c r="BC32" s="174" t="n">
        <v>0</v>
      </c>
      <c r="BD32" s="483" t="n">
        <v>0</v>
      </c>
      <c r="BE32" s="483" t="n">
        <v>0</v>
      </c>
      <c r="BF32" s="483" t="n">
        <v>0</v>
      </c>
      <c r="BG32" s="483" t="n">
        <v>0</v>
      </c>
      <c r="BH32" s="483" t="n">
        <v>0</v>
      </c>
      <c r="BI32" s="483" t="n">
        <v>0</v>
      </c>
      <c r="BJ32" s="483" t="n">
        <v>0</v>
      </c>
      <c r="BK32" s="483" t="n">
        <v>0</v>
      </c>
      <c r="BL32" s="483" t="n">
        <v>0</v>
      </c>
      <c r="BM32" s="483" t="n">
        <v>0</v>
      </c>
      <c r="BN32" s="483" t="n">
        <v>0</v>
      </c>
      <c r="BO32" s="483" t="n">
        <v>0</v>
      </c>
      <c r="BP32" s="483" t="n">
        <v>0</v>
      </c>
      <c r="BQ32" s="483" t="n">
        <v>0</v>
      </c>
      <c r="BR32" s="483" t="n">
        <v>0</v>
      </c>
      <c r="BS32" s="483" t="n">
        <v>0</v>
      </c>
      <c r="BT32" s="483" t="n">
        <v>0</v>
      </c>
      <c r="BU32" s="483" t="n">
        <v>0</v>
      </c>
      <c r="BV32" s="483" t="n">
        <v>0</v>
      </c>
      <c r="BW32" s="483" t="n">
        <v>0</v>
      </c>
      <c r="BX32" s="483" t="n">
        <v>0</v>
      </c>
      <c r="BY32" s="483" t="n">
        <v>0</v>
      </c>
      <c r="BZ32" s="659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 hidden="1" s="191">
      <c r="A33" s="265" t="n">
        <v>0</v>
      </c>
      <c r="B33" s="265" t="n">
        <v>0</v>
      </c>
      <c r="C33" s="265" t="n">
        <v>0</v>
      </c>
      <c r="D33" s="265" t="n">
        <v>0</v>
      </c>
      <c r="E33" s="265" t="n">
        <v>0</v>
      </c>
      <c r="F33" s="266" t="n">
        <v>0</v>
      </c>
      <c r="G33" s="266" t="n">
        <v>0</v>
      </c>
      <c r="H33" s="266" t="n">
        <v>0</v>
      </c>
      <c r="I33" s="266" t="n">
        <v>0</v>
      </c>
      <c r="J33" s="267" t="n">
        <v>0</v>
      </c>
      <c r="K33" s="267" t="n">
        <v>0</v>
      </c>
      <c r="L33" s="267" t="n">
        <v>0</v>
      </c>
      <c r="M33" s="267" t="n">
        <v>0</v>
      </c>
      <c r="N33" s="268" t="n">
        <v>0</v>
      </c>
      <c r="O33" s="268" t="n">
        <v>0</v>
      </c>
      <c r="P33" s="268" t="n">
        <v>0</v>
      </c>
      <c r="Q33" s="268" t="n">
        <v>0</v>
      </c>
      <c r="R33" s="268" t="n">
        <v>0</v>
      </c>
      <c r="S33" s="268" t="n">
        <v>0</v>
      </c>
      <c r="T33" s="268" t="n">
        <v>0</v>
      </c>
      <c r="U33" s="268" t="n">
        <v>0</v>
      </c>
      <c r="V33" s="268" t="n">
        <v>0</v>
      </c>
      <c r="W33" s="269" t="n">
        <v>0</v>
      </c>
      <c r="X33" s="269" t="n">
        <v>0</v>
      </c>
      <c r="Y33" s="269" t="n">
        <v>0</v>
      </c>
      <c r="Z33" s="269" t="n">
        <v>0</v>
      </c>
      <c r="AA33" s="270" t="n">
        <v>0</v>
      </c>
      <c r="AB33" s="270" t="n">
        <v>0</v>
      </c>
      <c r="AC33" s="270" t="n">
        <v>0</v>
      </c>
      <c r="AD33" s="270" t="n">
        <v>0</v>
      </c>
      <c r="AE33" s="268" t="n">
        <v>0</v>
      </c>
      <c r="AF33" s="268" t="n">
        <v>0</v>
      </c>
      <c r="AG33" s="268" t="n">
        <v>0</v>
      </c>
      <c r="AH33" s="268" t="n">
        <v>0</v>
      </c>
      <c r="AI33" s="268" t="n">
        <v>0</v>
      </c>
      <c r="AJ33" s="268" t="n">
        <v>0</v>
      </c>
      <c r="AK33" s="269" t="n">
        <v>0</v>
      </c>
      <c r="AL33" s="269" t="n">
        <v>0</v>
      </c>
      <c r="AM33" s="269" t="n">
        <v>0</v>
      </c>
      <c r="AN33" s="269" t="n">
        <v>0</v>
      </c>
      <c r="AO33" s="270" t="n">
        <v>0</v>
      </c>
      <c r="AP33" s="270" t="n">
        <v>0</v>
      </c>
      <c r="AQ33" s="270" t="n">
        <v>0</v>
      </c>
      <c r="AR33" s="270" t="n">
        <v>0</v>
      </c>
      <c r="AS33" s="174" t="n">
        <v>0</v>
      </c>
      <c r="AT33" s="271" t="n">
        <v>0</v>
      </c>
      <c r="AU33" s="175" t="n">
        <v>0</v>
      </c>
      <c r="AV33" s="175" t="n">
        <v>0</v>
      </c>
      <c r="AW33" s="483" t="n">
        <v>0</v>
      </c>
      <c r="AX33" s="174" t="n">
        <v>0</v>
      </c>
      <c r="AY33" s="174" t="n">
        <v>0</v>
      </c>
      <c r="AZ33" s="483" t="n">
        <v>0</v>
      </c>
      <c r="BA33" s="483" t="n">
        <v>0</v>
      </c>
      <c r="BB33" s="174" t="n">
        <v>0</v>
      </c>
      <c r="BC33" s="174" t="n">
        <v>0</v>
      </c>
      <c r="BD33" s="483" t="n">
        <v>0</v>
      </c>
      <c r="BE33" s="483" t="n">
        <v>0</v>
      </c>
      <c r="BF33" s="483" t="n">
        <v>0</v>
      </c>
      <c r="BG33" s="483" t="n">
        <v>0</v>
      </c>
      <c r="BH33" s="483" t="n">
        <v>0</v>
      </c>
      <c r="BI33" s="483" t="n">
        <v>0</v>
      </c>
      <c r="BJ33" s="483" t="n">
        <v>0</v>
      </c>
      <c r="BK33" s="483" t="n">
        <v>0</v>
      </c>
      <c r="BL33" s="483" t="n">
        <v>0</v>
      </c>
      <c r="BM33" s="483" t="n">
        <v>0</v>
      </c>
      <c r="BN33" s="483" t="n">
        <v>0</v>
      </c>
      <c r="BO33" s="483" t="n">
        <v>0</v>
      </c>
      <c r="BP33" s="483" t="n">
        <v>0</v>
      </c>
      <c r="BQ33" s="483" t="n">
        <v>0</v>
      </c>
      <c r="BR33" s="483" t="n">
        <v>0</v>
      </c>
      <c r="BS33" s="483" t="n">
        <v>0</v>
      </c>
      <c r="BT33" s="483" t="n">
        <v>0</v>
      </c>
      <c r="BU33" s="483" t="n">
        <v>0</v>
      </c>
      <c r="BV33" s="483" t="n">
        <v>0</v>
      </c>
      <c r="BW33" s="483" t="n">
        <v>0</v>
      </c>
      <c r="BX33" s="483" t="n">
        <v>0</v>
      </c>
      <c r="BY33" s="483" t="n">
        <v>0</v>
      </c>
      <c r="BZ33" s="659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 hidden="1" s="191">
      <c r="A34" s="265" t="n">
        <v>0</v>
      </c>
      <c r="B34" s="265" t="n">
        <v>0</v>
      </c>
      <c r="C34" s="265" t="n">
        <v>0</v>
      </c>
      <c r="D34" s="265" t="n">
        <v>0</v>
      </c>
      <c r="E34" s="265" t="n">
        <v>0</v>
      </c>
      <c r="F34" s="266" t="n">
        <v>0</v>
      </c>
      <c r="G34" s="266" t="n">
        <v>0</v>
      </c>
      <c r="H34" s="266" t="n">
        <v>0</v>
      </c>
      <c r="I34" s="266" t="n">
        <v>0</v>
      </c>
      <c r="J34" s="267" t="n">
        <v>0</v>
      </c>
      <c r="K34" s="267" t="n">
        <v>0</v>
      </c>
      <c r="L34" s="267" t="n">
        <v>0</v>
      </c>
      <c r="M34" s="267" t="n">
        <v>0</v>
      </c>
      <c r="N34" s="268" t="n">
        <v>0</v>
      </c>
      <c r="O34" s="268" t="n">
        <v>0</v>
      </c>
      <c r="P34" s="268" t="n">
        <v>0</v>
      </c>
      <c r="Q34" s="268" t="n">
        <v>0</v>
      </c>
      <c r="R34" s="268" t="n">
        <v>0</v>
      </c>
      <c r="S34" s="268" t="n">
        <v>0</v>
      </c>
      <c r="T34" s="268" t="n">
        <v>0</v>
      </c>
      <c r="U34" s="268" t="n">
        <v>0</v>
      </c>
      <c r="V34" s="268" t="n">
        <v>0</v>
      </c>
      <c r="W34" s="269" t="n">
        <v>0</v>
      </c>
      <c r="X34" s="269" t="n">
        <v>0</v>
      </c>
      <c r="Y34" s="269" t="n">
        <v>0</v>
      </c>
      <c r="Z34" s="269" t="n">
        <v>0</v>
      </c>
      <c r="AA34" s="270" t="n">
        <v>0</v>
      </c>
      <c r="AB34" s="270" t="n">
        <v>0</v>
      </c>
      <c r="AC34" s="270" t="n">
        <v>0</v>
      </c>
      <c r="AD34" s="270" t="n">
        <v>0</v>
      </c>
      <c r="AE34" s="268" t="n">
        <v>0</v>
      </c>
      <c r="AF34" s="268" t="n">
        <v>0</v>
      </c>
      <c r="AG34" s="268" t="n">
        <v>0</v>
      </c>
      <c r="AH34" s="268" t="n">
        <v>0</v>
      </c>
      <c r="AI34" s="268" t="n">
        <v>0</v>
      </c>
      <c r="AJ34" s="268" t="n">
        <v>0</v>
      </c>
      <c r="AK34" s="269" t="n">
        <v>0</v>
      </c>
      <c r="AL34" s="269" t="n">
        <v>0</v>
      </c>
      <c r="AM34" s="269" t="n">
        <v>0</v>
      </c>
      <c r="AN34" s="269" t="n">
        <v>0</v>
      </c>
      <c r="AO34" s="270" t="n">
        <v>0</v>
      </c>
      <c r="AP34" s="270" t="n">
        <v>0</v>
      </c>
      <c r="AQ34" s="270" t="n">
        <v>0</v>
      </c>
      <c r="AR34" s="270" t="n">
        <v>0</v>
      </c>
      <c r="AS34" s="174" t="n">
        <v>0</v>
      </c>
      <c r="AT34" s="271" t="n">
        <v>0</v>
      </c>
      <c r="AU34" s="175" t="n">
        <v>0</v>
      </c>
      <c r="AV34" s="175" t="n">
        <v>0</v>
      </c>
      <c r="AW34" s="483" t="n">
        <v>0</v>
      </c>
      <c r="AX34" s="174" t="n">
        <v>0</v>
      </c>
      <c r="AY34" s="174" t="n">
        <v>0</v>
      </c>
      <c r="AZ34" s="483" t="n">
        <v>0</v>
      </c>
      <c r="BA34" s="483" t="n">
        <v>0</v>
      </c>
      <c r="BB34" s="174" t="n">
        <v>0</v>
      </c>
      <c r="BC34" s="174" t="n">
        <v>0</v>
      </c>
      <c r="BD34" s="483" t="n">
        <v>0</v>
      </c>
      <c r="BE34" s="483" t="n">
        <v>0</v>
      </c>
      <c r="BF34" s="483" t="n">
        <v>0</v>
      </c>
      <c r="BG34" s="483" t="n">
        <v>0</v>
      </c>
      <c r="BH34" s="483" t="n">
        <v>0</v>
      </c>
      <c r="BI34" s="483" t="n">
        <v>0</v>
      </c>
      <c r="BJ34" s="483" t="n">
        <v>0</v>
      </c>
      <c r="BK34" s="483" t="n">
        <v>0</v>
      </c>
      <c r="BL34" s="483" t="n">
        <v>0</v>
      </c>
      <c r="BM34" s="483" t="n">
        <v>0</v>
      </c>
      <c r="BN34" s="483" t="n">
        <v>0</v>
      </c>
      <c r="BO34" s="483" t="n">
        <v>0</v>
      </c>
      <c r="BP34" s="483" t="n">
        <v>0</v>
      </c>
      <c r="BQ34" s="483" t="n">
        <v>0</v>
      </c>
      <c r="BR34" s="483" t="n">
        <v>0</v>
      </c>
      <c r="BS34" s="483" t="n">
        <v>0</v>
      </c>
      <c r="BT34" s="483" t="n">
        <v>0</v>
      </c>
      <c r="BU34" s="483" t="n">
        <v>0</v>
      </c>
      <c r="BV34" s="483" t="n">
        <v>0</v>
      </c>
      <c r="BW34" s="483" t="n">
        <v>0</v>
      </c>
      <c r="BX34" s="483" t="n">
        <v>0</v>
      </c>
      <c r="BY34" s="483" t="n">
        <v>0</v>
      </c>
      <c r="BZ34" s="659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 hidden="1" s="191">
      <c r="A35" s="265" t="n">
        <v>0</v>
      </c>
      <c r="B35" s="265" t="n">
        <v>0</v>
      </c>
      <c r="C35" s="265" t="n">
        <v>0</v>
      </c>
      <c r="D35" s="265" t="n">
        <v>0</v>
      </c>
      <c r="E35" s="265" t="n">
        <v>0</v>
      </c>
      <c r="F35" s="266" t="n">
        <v>0</v>
      </c>
      <c r="G35" s="266" t="n">
        <v>0</v>
      </c>
      <c r="H35" s="266" t="n">
        <v>0</v>
      </c>
      <c r="I35" s="266" t="n">
        <v>0</v>
      </c>
      <c r="J35" s="267" t="n">
        <v>0</v>
      </c>
      <c r="K35" s="267" t="n">
        <v>0</v>
      </c>
      <c r="L35" s="267" t="n">
        <v>0</v>
      </c>
      <c r="M35" s="267" t="n">
        <v>0</v>
      </c>
      <c r="N35" s="268" t="n">
        <v>0</v>
      </c>
      <c r="O35" s="268" t="n">
        <v>0</v>
      </c>
      <c r="P35" s="268" t="n">
        <v>0</v>
      </c>
      <c r="Q35" s="268" t="n">
        <v>0</v>
      </c>
      <c r="R35" s="268" t="n">
        <v>0</v>
      </c>
      <c r="S35" s="268" t="n">
        <v>0</v>
      </c>
      <c r="T35" s="268" t="n">
        <v>0</v>
      </c>
      <c r="U35" s="268" t="n">
        <v>0</v>
      </c>
      <c r="V35" s="268" t="n">
        <v>0</v>
      </c>
      <c r="W35" s="269" t="n">
        <v>0</v>
      </c>
      <c r="X35" s="269" t="n">
        <v>0</v>
      </c>
      <c r="Y35" s="269" t="n">
        <v>0</v>
      </c>
      <c r="Z35" s="269" t="n">
        <v>0</v>
      </c>
      <c r="AA35" s="270" t="n">
        <v>0</v>
      </c>
      <c r="AB35" s="270" t="n">
        <v>0</v>
      </c>
      <c r="AC35" s="270" t="n">
        <v>0</v>
      </c>
      <c r="AD35" s="270" t="n">
        <v>0</v>
      </c>
      <c r="AE35" s="268" t="n">
        <v>0</v>
      </c>
      <c r="AF35" s="268" t="n">
        <v>0</v>
      </c>
      <c r="AG35" s="268" t="n">
        <v>0</v>
      </c>
      <c r="AH35" s="268" t="n">
        <v>0</v>
      </c>
      <c r="AI35" s="268" t="n">
        <v>0</v>
      </c>
      <c r="AJ35" s="268" t="n">
        <v>0</v>
      </c>
      <c r="AK35" s="269" t="n">
        <v>0</v>
      </c>
      <c r="AL35" s="269" t="n">
        <v>0</v>
      </c>
      <c r="AM35" s="269" t="n">
        <v>0</v>
      </c>
      <c r="AN35" s="269" t="n">
        <v>0</v>
      </c>
      <c r="AO35" s="270" t="n">
        <v>0</v>
      </c>
      <c r="AP35" s="270" t="n">
        <v>0</v>
      </c>
      <c r="AQ35" s="270" t="n">
        <v>0</v>
      </c>
      <c r="AR35" s="270" t="n">
        <v>0</v>
      </c>
      <c r="AS35" s="174" t="n">
        <v>0</v>
      </c>
      <c r="AT35" s="271" t="n">
        <v>0</v>
      </c>
      <c r="AU35" s="175" t="n">
        <v>0</v>
      </c>
      <c r="AV35" s="175" t="n">
        <v>0</v>
      </c>
      <c r="AW35" s="483" t="n">
        <v>0</v>
      </c>
      <c r="AX35" s="174" t="n">
        <v>0</v>
      </c>
      <c r="AY35" s="174" t="n">
        <v>0</v>
      </c>
      <c r="AZ35" s="483" t="n">
        <v>0</v>
      </c>
      <c r="BA35" s="483" t="n">
        <v>0</v>
      </c>
      <c r="BB35" s="174" t="n">
        <v>0</v>
      </c>
      <c r="BC35" s="174" t="n">
        <v>0</v>
      </c>
      <c r="BD35" s="483" t="n">
        <v>0</v>
      </c>
      <c r="BE35" s="483" t="n">
        <v>0</v>
      </c>
      <c r="BF35" s="483" t="n">
        <v>0</v>
      </c>
      <c r="BG35" s="483" t="n">
        <v>0</v>
      </c>
      <c r="BH35" s="483" t="n">
        <v>0</v>
      </c>
      <c r="BI35" s="483" t="n">
        <v>0</v>
      </c>
      <c r="BJ35" s="483" t="n">
        <v>0</v>
      </c>
      <c r="BK35" s="483" t="n">
        <v>0</v>
      </c>
      <c r="BL35" s="483" t="n">
        <v>0</v>
      </c>
      <c r="BM35" s="483" t="n">
        <v>0</v>
      </c>
      <c r="BN35" s="483" t="n">
        <v>0</v>
      </c>
      <c r="BO35" s="483" t="n">
        <v>0</v>
      </c>
      <c r="BP35" s="483" t="n">
        <v>0</v>
      </c>
      <c r="BQ35" s="483" t="n">
        <v>0</v>
      </c>
      <c r="BR35" s="483" t="n">
        <v>0</v>
      </c>
      <c r="BS35" s="483" t="n">
        <v>0</v>
      </c>
      <c r="BT35" s="483" t="n">
        <v>0</v>
      </c>
      <c r="BU35" s="483" t="n">
        <v>0</v>
      </c>
      <c r="BV35" s="483" t="n">
        <v>0</v>
      </c>
      <c r="BW35" s="483" t="n">
        <v>0</v>
      </c>
      <c r="BX35" s="483" t="n">
        <v>0</v>
      </c>
      <c r="BY35" s="483" t="n">
        <v>0</v>
      </c>
      <c r="BZ35" s="659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</row>
    <row r="36" hidden="1" s="191">
      <c r="A36" s="265" t="n">
        <v>0</v>
      </c>
      <c r="B36" s="265" t="n">
        <v>0</v>
      </c>
      <c r="C36" s="265" t="n">
        <v>0</v>
      </c>
      <c r="D36" s="265" t="n">
        <v>0</v>
      </c>
      <c r="E36" s="265" t="n">
        <v>0</v>
      </c>
      <c r="F36" s="266" t="n">
        <v>0</v>
      </c>
      <c r="G36" s="266" t="n">
        <v>0</v>
      </c>
      <c r="H36" s="266" t="n">
        <v>0</v>
      </c>
      <c r="I36" s="266" t="n">
        <v>0</v>
      </c>
      <c r="J36" s="267" t="n">
        <v>0</v>
      </c>
      <c r="K36" s="267" t="n">
        <v>0</v>
      </c>
      <c r="L36" s="267" t="n">
        <v>0</v>
      </c>
      <c r="M36" s="267" t="n">
        <v>0</v>
      </c>
      <c r="N36" s="268" t="n">
        <v>0</v>
      </c>
      <c r="O36" s="268" t="n">
        <v>0</v>
      </c>
      <c r="P36" s="268" t="n">
        <v>0</v>
      </c>
      <c r="Q36" s="268" t="n">
        <v>0</v>
      </c>
      <c r="R36" s="268" t="n">
        <v>0</v>
      </c>
      <c r="S36" s="268" t="n">
        <v>0</v>
      </c>
      <c r="T36" s="268" t="n">
        <v>0</v>
      </c>
      <c r="U36" s="268" t="n">
        <v>0</v>
      </c>
      <c r="V36" s="268" t="n">
        <v>0</v>
      </c>
      <c r="W36" s="269" t="n">
        <v>0</v>
      </c>
      <c r="X36" s="269" t="n">
        <v>0</v>
      </c>
      <c r="Y36" s="269" t="n">
        <v>0</v>
      </c>
      <c r="Z36" s="269" t="n">
        <v>0</v>
      </c>
      <c r="AA36" s="270" t="n">
        <v>0</v>
      </c>
      <c r="AB36" s="270" t="n">
        <v>0</v>
      </c>
      <c r="AC36" s="270" t="n">
        <v>0</v>
      </c>
      <c r="AD36" s="270" t="n">
        <v>0</v>
      </c>
      <c r="AE36" s="268" t="n">
        <v>0</v>
      </c>
      <c r="AF36" s="268" t="n">
        <v>0</v>
      </c>
      <c r="AG36" s="268" t="n">
        <v>0</v>
      </c>
      <c r="AH36" s="268" t="n">
        <v>0</v>
      </c>
      <c r="AI36" s="268" t="n">
        <v>0</v>
      </c>
      <c r="AJ36" s="268" t="n">
        <v>0</v>
      </c>
      <c r="AK36" s="269" t="n">
        <v>0</v>
      </c>
      <c r="AL36" s="269" t="n">
        <v>0</v>
      </c>
      <c r="AM36" s="269" t="n">
        <v>0</v>
      </c>
      <c r="AN36" s="269" t="n">
        <v>0</v>
      </c>
      <c r="AO36" s="270" t="n">
        <v>0</v>
      </c>
      <c r="AP36" s="270" t="n">
        <v>0</v>
      </c>
      <c r="AQ36" s="270" t="n">
        <v>0</v>
      </c>
      <c r="AR36" s="270" t="n">
        <v>0</v>
      </c>
      <c r="AS36" s="174" t="n">
        <v>0</v>
      </c>
      <c r="AT36" s="271" t="n">
        <v>0</v>
      </c>
      <c r="AU36" s="175" t="n">
        <v>0</v>
      </c>
      <c r="AV36" s="175" t="n">
        <v>0</v>
      </c>
      <c r="AW36" s="483" t="n">
        <v>0</v>
      </c>
      <c r="AX36" s="174" t="n">
        <v>0</v>
      </c>
      <c r="AY36" s="174" t="n">
        <v>0</v>
      </c>
      <c r="AZ36" s="483" t="n">
        <v>0</v>
      </c>
      <c r="BA36" s="483" t="n">
        <v>0</v>
      </c>
      <c r="BB36" s="174" t="n">
        <v>0</v>
      </c>
      <c r="BC36" s="174" t="n">
        <v>0</v>
      </c>
      <c r="BD36" s="483" t="n">
        <v>0</v>
      </c>
      <c r="BE36" s="483" t="n">
        <v>0</v>
      </c>
      <c r="BF36" s="483" t="n">
        <v>0</v>
      </c>
      <c r="BG36" s="483" t="n">
        <v>0</v>
      </c>
      <c r="BH36" s="483" t="n">
        <v>0</v>
      </c>
      <c r="BI36" s="483" t="n">
        <v>0</v>
      </c>
      <c r="BJ36" s="483" t="n">
        <v>0</v>
      </c>
      <c r="BK36" s="483" t="n">
        <v>0</v>
      </c>
      <c r="BL36" s="483" t="n">
        <v>0</v>
      </c>
      <c r="BM36" s="483" t="n">
        <v>0</v>
      </c>
      <c r="BN36" s="483" t="n">
        <v>0</v>
      </c>
      <c r="BO36" s="483" t="n">
        <v>0</v>
      </c>
      <c r="BP36" s="483" t="n">
        <v>0</v>
      </c>
      <c r="BQ36" s="483" t="n">
        <v>0</v>
      </c>
      <c r="BR36" s="483" t="n">
        <v>0</v>
      </c>
      <c r="BS36" s="483" t="n">
        <v>0</v>
      </c>
      <c r="BT36" s="483" t="n">
        <v>0</v>
      </c>
      <c r="BU36" s="483" t="n">
        <v>0</v>
      </c>
      <c r="BV36" s="483" t="n">
        <v>0</v>
      </c>
      <c r="BW36" s="483" t="n">
        <v>0</v>
      </c>
      <c r="BX36" s="483" t="n">
        <v>0</v>
      </c>
      <c r="BY36" s="483" t="n">
        <v>0</v>
      </c>
      <c r="BZ36" s="659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 hidden="1" s="191">
      <c r="A37" s="265" t="n">
        <v>0</v>
      </c>
      <c r="B37" s="265" t="n">
        <v>0</v>
      </c>
      <c r="C37" s="265" t="n">
        <v>0</v>
      </c>
      <c r="D37" s="265" t="n">
        <v>0</v>
      </c>
      <c r="E37" s="265" t="n">
        <v>0</v>
      </c>
      <c r="F37" s="266" t="n">
        <v>0</v>
      </c>
      <c r="G37" s="266" t="n">
        <v>0</v>
      </c>
      <c r="H37" s="266" t="n">
        <v>0</v>
      </c>
      <c r="I37" s="266" t="n">
        <v>0</v>
      </c>
      <c r="J37" s="267" t="n">
        <v>0</v>
      </c>
      <c r="K37" s="267" t="n">
        <v>0</v>
      </c>
      <c r="L37" s="267" t="n">
        <v>0</v>
      </c>
      <c r="M37" s="267" t="n">
        <v>0</v>
      </c>
      <c r="N37" s="268" t="n">
        <v>0</v>
      </c>
      <c r="O37" s="268" t="n">
        <v>0</v>
      </c>
      <c r="P37" s="268" t="n">
        <v>0</v>
      </c>
      <c r="Q37" s="268" t="n">
        <v>0</v>
      </c>
      <c r="R37" s="268" t="n">
        <v>0</v>
      </c>
      <c r="S37" s="268" t="n">
        <v>0</v>
      </c>
      <c r="T37" s="268" t="n">
        <v>0</v>
      </c>
      <c r="U37" s="268" t="n">
        <v>0</v>
      </c>
      <c r="V37" s="268" t="n">
        <v>0</v>
      </c>
      <c r="W37" s="269" t="n">
        <v>0</v>
      </c>
      <c r="X37" s="269" t="n">
        <v>0</v>
      </c>
      <c r="Y37" s="269" t="n">
        <v>0</v>
      </c>
      <c r="Z37" s="269" t="n">
        <v>0</v>
      </c>
      <c r="AA37" s="270" t="n">
        <v>0</v>
      </c>
      <c r="AB37" s="270" t="n">
        <v>0</v>
      </c>
      <c r="AC37" s="270" t="n">
        <v>0</v>
      </c>
      <c r="AD37" s="270" t="n">
        <v>0</v>
      </c>
      <c r="AE37" s="268" t="n">
        <v>0</v>
      </c>
      <c r="AF37" s="268" t="n">
        <v>0</v>
      </c>
      <c r="AG37" s="268" t="n">
        <v>0</v>
      </c>
      <c r="AH37" s="268" t="n">
        <v>0</v>
      </c>
      <c r="AI37" s="268" t="n">
        <v>0</v>
      </c>
      <c r="AJ37" s="268" t="n">
        <v>0</v>
      </c>
      <c r="AK37" s="269" t="n">
        <v>0</v>
      </c>
      <c r="AL37" s="269" t="n">
        <v>0</v>
      </c>
      <c r="AM37" s="269" t="n">
        <v>0</v>
      </c>
      <c r="AN37" s="269" t="n">
        <v>0</v>
      </c>
      <c r="AO37" s="270" t="n">
        <v>0</v>
      </c>
      <c r="AP37" s="270" t="n">
        <v>0</v>
      </c>
      <c r="AQ37" s="270" t="n">
        <v>0</v>
      </c>
      <c r="AR37" s="270" t="n">
        <v>0</v>
      </c>
      <c r="AS37" s="174" t="n">
        <v>0</v>
      </c>
      <c r="AT37" s="271" t="n">
        <v>0</v>
      </c>
      <c r="AU37" s="175" t="n">
        <v>0</v>
      </c>
      <c r="AV37" s="175" t="n">
        <v>0</v>
      </c>
      <c r="AW37" s="483" t="n">
        <v>0</v>
      </c>
      <c r="AX37" s="174" t="n">
        <v>0</v>
      </c>
      <c r="AY37" s="174" t="n">
        <v>0</v>
      </c>
      <c r="AZ37" s="483" t="n">
        <v>0</v>
      </c>
      <c r="BA37" s="483" t="n">
        <v>0</v>
      </c>
      <c r="BB37" s="174" t="n">
        <v>0</v>
      </c>
      <c r="BC37" s="174" t="n">
        <v>0</v>
      </c>
      <c r="BD37" s="483" t="n">
        <v>0</v>
      </c>
      <c r="BE37" s="483" t="n">
        <v>0</v>
      </c>
      <c r="BF37" s="483" t="n">
        <v>0</v>
      </c>
      <c r="BG37" s="483" t="n">
        <v>0</v>
      </c>
      <c r="BH37" s="483" t="n">
        <v>0</v>
      </c>
      <c r="BI37" s="483" t="n">
        <v>0</v>
      </c>
      <c r="BJ37" s="483" t="n">
        <v>0</v>
      </c>
      <c r="BK37" s="483" t="n">
        <v>0</v>
      </c>
      <c r="BL37" s="483" t="n">
        <v>0</v>
      </c>
      <c r="BM37" s="483" t="n">
        <v>0</v>
      </c>
      <c r="BN37" s="483" t="n">
        <v>0</v>
      </c>
      <c r="BO37" s="483" t="n">
        <v>0</v>
      </c>
      <c r="BP37" s="483" t="n">
        <v>0</v>
      </c>
      <c r="BQ37" s="483" t="n">
        <v>0</v>
      </c>
      <c r="BR37" s="483" t="n">
        <v>0</v>
      </c>
      <c r="BS37" s="483" t="n">
        <v>0</v>
      </c>
      <c r="BT37" s="483" t="n">
        <v>0</v>
      </c>
      <c r="BU37" s="483" t="n">
        <v>0</v>
      </c>
      <c r="BV37" s="483" t="n">
        <v>0</v>
      </c>
      <c r="BW37" s="483" t="n">
        <v>0</v>
      </c>
      <c r="BX37" s="483" t="n">
        <v>0</v>
      </c>
      <c r="BY37" s="483" t="n">
        <v>0</v>
      </c>
      <c r="BZ37" s="659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 hidden="1" s="191">
      <c r="A38" s="265" t="n">
        <v>0</v>
      </c>
      <c r="B38" s="265" t="n">
        <v>0</v>
      </c>
      <c r="C38" s="265" t="n">
        <v>0</v>
      </c>
      <c r="D38" s="265" t="n">
        <v>0</v>
      </c>
      <c r="E38" s="265" t="n">
        <v>0</v>
      </c>
      <c r="F38" s="266" t="n">
        <v>0</v>
      </c>
      <c r="G38" s="266" t="n">
        <v>0</v>
      </c>
      <c r="H38" s="266" t="n">
        <v>0</v>
      </c>
      <c r="I38" s="266" t="n">
        <v>0</v>
      </c>
      <c r="J38" s="267" t="n">
        <v>0</v>
      </c>
      <c r="K38" s="267" t="n">
        <v>0</v>
      </c>
      <c r="L38" s="267" t="n">
        <v>0</v>
      </c>
      <c r="M38" s="267" t="n">
        <v>0</v>
      </c>
      <c r="N38" s="268" t="n">
        <v>0</v>
      </c>
      <c r="O38" s="268" t="n">
        <v>0</v>
      </c>
      <c r="P38" s="268" t="n">
        <v>0</v>
      </c>
      <c r="Q38" s="268" t="n">
        <v>0</v>
      </c>
      <c r="R38" s="268" t="n">
        <v>0</v>
      </c>
      <c r="S38" s="268" t="n">
        <v>0</v>
      </c>
      <c r="T38" s="268" t="n">
        <v>0</v>
      </c>
      <c r="U38" s="268" t="n">
        <v>0</v>
      </c>
      <c r="V38" s="268" t="n">
        <v>0</v>
      </c>
      <c r="W38" s="269" t="n">
        <v>0</v>
      </c>
      <c r="X38" s="269" t="n">
        <v>0</v>
      </c>
      <c r="Y38" s="269" t="n">
        <v>0</v>
      </c>
      <c r="Z38" s="269" t="n">
        <v>0</v>
      </c>
      <c r="AA38" s="270" t="n">
        <v>0</v>
      </c>
      <c r="AB38" s="270" t="n">
        <v>0</v>
      </c>
      <c r="AC38" s="270" t="n">
        <v>0</v>
      </c>
      <c r="AD38" s="270" t="n">
        <v>0</v>
      </c>
      <c r="AE38" s="268" t="n">
        <v>0</v>
      </c>
      <c r="AF38" s="268" t="n">
        <v>0</v>
      </c>
      <c r="AG38" s="268" t="n">
        <v>0</v>
      </c>
      <c r="AH38" s="268" t="n">
        <v>0</v>
      </c>
      <c r="AI38" s="268" t="n">
        <v>0</v>
      </c>
      <c r="AJ38" s="268" t="n">
        <v>0</v>
      </c>
      <c r="AK38" s="269" t="n">
        <v>0</v>
      </c>
      <c r="AL38" s="269" t="n">
        <v>0</v>
      </c>
      <c r="AM38" s="269" t="n">
        <v>0</v>
      </c>
      <c r="AN38" s="269" t="n">
        <v>0</v>
      </c>
      <c r="AO38" s="270" t="n">
        <v>0</v>
      </c>
      <c r="AP38" s="270" t="n">
        <v>0</v>
      </c>
      <c r="AQ38" s="270" t="n">
        <v>0</v>
      </c>
      <c r="AR38" s="270" t="n">
        <v>0</v>
      </c>
      <c r="AS38" s="174" t="n">
        <v>0</v>
      </c>
      <c r="AT38" s="271" t="n">
        <v>0</v>
      </c>
      <c r="AU38" s="175" t="n">
        <v>0</v>
      </c>
      <c r="AV38" s="175" t="n">
        <v>0</v>
      </c>
      <c r="AW38" s="483" t="n">
        <v>0</v>
      </c>
      <c r="AX38" s="174" t="n">
        <v>0</v>
      </c>
      <c r="AY38" s="174" t="n">
        <v>0</v>
      </c>
      <c r="AZ38" s="483" t="n">
        <v>0</v>
      </c>
      <c r="BA38" s="483" t="n">
        <v>0</v>
      </c>
      <c r="BB38" s="174" t="n">
        <v>0</v>
      </c>
      <c r="BC38" s="174" t="n">
        <v>0</v>
      </c>
      <c r="BD38" s="483" t="n">
        <v>0</v>
      </c>
      <c r="BE38" s="483" t="n">
        <v>0</v>
      </c>
      <c r="BF38" s="483" t="n">
        <v>0</v>
      </c>
      <c r="BG38" s="483" t="n">
        <v>0</v>
      </c>
      <c r="BH38" s="483" t="n">
        <v>0</v>
      </c>
      <c r="BI38" s="483" t="n">
        <v>0</v>
      </c>
      <c r="BJ38" s="483" t="n">
        <v>0</v>
      </c>
      <c r="BK38" s="483" t="n">
        <v>0</v>
      </c>
      <c r="BL38" s="483" t="n">
        <v>0</v>
      </c>
      <c r="BM38" s="483" t="n">
        <v>0</v>
      </c>
      <c r="BN38" s="483" t="n">
        <v>0</v>
      </c>
      <c r="BO38" s="483" t="n">
        <v>0</v>
      </c>
      <c r="BP38" s="483" t="n">
        <v>0</v>
      </c>
      <c r="BQ38" s="483" t="n">
        <v>0</v>
      </c>
      <c r="BR38" s="483" t="n">
        <v>0</v>
      </c>
      <c r="BS38" s="483" t="n">
        <v>0</v>
      </c>
      <c r="BT38" s="483" t="n">
        <v>0</v>
      </c>
      <c r="BU38" s="483" t="n">
        <v>0</v>
      </c>
      <c r="BV38" s="483" t="n">
        <v>0</v>
      </c>
      <c r="BW38" s="483" t="n">
        <v>0</v>
      </c>
      <c r="BX38" s="483" t="n">
        <v>0</v>
      </c>
      <c r="BY38" s="483" t="n">
        <v>0</v>
      </c>
      <c r="BZ38" s="659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 hidden="1" s="191">
      <c r="A39" s="265" t="n">
        <v>0</v>
      </c>
      <c r="B39" s="265" t="n">
        <v>0</v>
      </c>
      <c r="C39" s="265" t="n">
        <v>0</v>
      </c>
      <c r="D39" s="265" t="n">
        <v>0</v>
      </c>
      <c r="E39" s="265" t="n">
        <v>0</v>
      </c>
      <c r="F39" s="266" t="n">
        <v>0</v>
      </c>
      <c r="G39" s="266" t="n">
        <v>0</v>
      </c>
      <c r="H39" s="266" t="n">
        <v>0</v>
      </c>
      <c r="I39" s="266" t="n">
        <v>0</v>
      </c>
      <c r="J39" s="267" t="n">
        <v>0</v>
      </c>
      <c r="K39" s="267" t="n">
        <v>0</v>
      </c>
      <c r="L39" s="267" t="n">
        <v>0</v>
      </c>
      <c r="M39" s="267" t="n">
        <v>0</v>
      </c>
      <c r="N39" s="268" t="n">
        <v>0</v>
      </c>
      <c r="O39" s="268" t="n">
        <v>0</v>
      </c>
      <c r="P39" s="268" t="n">
        <v>0</v>
      </c>
      <c r="Q39" s="268" t="n">
        <v>0</v>
      </c>
      <c r="R39" s="268" t="n">
        <v>0</v>
      </c>
      <c r="S39" s="268" t="n">
        <v>0</v>
      </c>
      <c r="T39" s="268" t="n">
        <v>0</v>
      </c>
      <c r="U39" s="268" t="n">
        <v>0</v>
      </c>
      <c r="V39" s="268" t="n">
        <v>0</v>
      </c>
      <c r="W39" s="269" t="n">
        <v>0</v>
      </c>
      <c r="X39" s="269" t="n">
        <v>0</v>
      </c>
      <c r="Y39" s="269" t="n">
        <v>0</v>
      </c>
      <c r="Z39" s="269" t="n">
        <v>0</v>
      </c>
      <c r="AA39" s="270" t="n">
        <v>0</v>
      </c>
      <c r="AB39" s="270" t="n">
        <v>0</v>
      </c>
      <c r="AC39" s="270" t="n">
        <v>0</v>
      </c>
      <c r="AD39" s="270" t="n">
        <v>0</v>
      </c>
      <c r="AE39" s="268" t="n">
        <v>0</v>
      </c>
      <c r="AF39" s="268" t="n">
        <v>0</v>
      </c>
      <c r="AG39" s="268" t="n">
        <v>0</v>
      </c>
      <c r="AH39" s="268" t="n">
        <v>0</v>
      </c>
      <c r="AI39" s="268" t="n">
        <v>0</v>
      </c>
      <c r="AJ39" s="268" t="n">
        <v>0</v>
      </c>
      <c r="AK39" s="269" t="n">
        <v>0</v>
      </c>
      <c r="AL39" s="269" t="n">
        <v>0</v>
      </c>
      <c r="AM39" s="269" t="n">
        <v>0</v>
      </c>
      <c r="AN39" s="269" t="n">
        <v>0</v>
      </c>
      <c r="AO39" s="270" t="n">
        <v>0</v>
      </c>
      <c r="AP39" s="270" t="n">
        <v>0</v>
      </c>
      <c r="AQ39" s="270" t="n">
        <v>0</v>
      </c>
      <c r="AR39" s="270" t="n">
        <v>0</v>
      </c>
      <c r="AS39" s="174" t="n">
        <v>0</v>
      </c>
      <c r="AT39" s="271" t="n">
        <v>0</v>
      </c>
      <c r="AU39" s="175" t="n">
        <v>0</v>
      </c>
      <c r="AV39" s="175" t="n">
        <v>0</v>
      </c>
      <c r="AW39" s="483" t="n">
        <v>0</v>
      </c>
      <c r="AX39" s="174" t="n">
        <v>0</v>
      </c>
      <c r="AY39" s="174" t="n">
        <v>0</v>
      </c>
      <c r="AZ39" s="483" t="n">
        <v>0</v>
      </c>
      <c r="BA39" s="483" t="n">
        <v>0</v>
      </c>
      <c r="BB39" s="174" t="n">
        <v>0</v>
      </c>
      <c r="BC39" s="174" t="n">
        <v>0</v>
      </c>
      <c r="BD39" s="483" t="n">
        <v>0</v>
      </c>
      <c r="BE39" s="483" t="n">
        <v>0</v>
      </c>
      <c r="BF39" s="483" t="n">
        <v>0</v>
      </c>
      <c r="BG39" s="483" t="n">
        <v>0</v>
      </c>
      <c r="BH39" s="483" t="n">
        <v>0</v>
      </c>
      <c r="BI39" s="483" t="n">
        <v>0</v>
      </c>
      <c r="BJ39" s="483" t="n">
        <v>0</v>
      </c>
      <c r="BK39" s="483" t="n">
        <v>0</v>
      </c>
      <c r="BL39" s="483" t="n">
        <v>0</v>
      </c>
      <c r="BM39" s="483" t="n">
        <v>0</v>
      </c>
      <c r="BN39" s="483" t="n">
        <v>0</v>
      </c>
      <c r="BO39" s="483" t="n">
        <v>0</v>
      </c>
      <c r="BP39" s="483" t="n">
        <v>0</v>
      </c>
      <c r="BQ39" s="483" t="n">
        <v>0</v>
      </c>
      <c r="BR39" s="483" t="n">
        <v>0</v>
      </c>
      <c r="BS39" s="483" t="n">
        <v>0</v>
      </c>
      <c r="BT39" s="483" t="n">
        <v>0</v>
      </c>
      <c r="BU39" s="483" t="n">
        <v>0</v>
      </c>
      <c r="BV39" s="483" t="n">
        <v>0</v>
      </c>
      <c r="BW39" s="483" t="n">
        <v>0</v>
      </c>
      <c r="BX39" s="483" t="n">
        <v>0</v>
      </c>
      <c r="BY39" s="483" t="n">
        <v>0</v>
      </c>
      <c r="BZ39" s="65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 hidden="1" s="191">
      <c r="A40" s="265" t="n">
        <v>0</v>
      </c>
      <c r="B40" s="265" t="n">
        <v>0</v>
      </c>
      <c r="C40" s="265" t="n">
        <v>0</v>
      </c>
      <c r="D40" s="265" t="n">
        <v>0</v>
      </c>
      <c r="E40" s="265" t="n">
        <v>0</v>
      </c>
      <c r="F40" s="266" t="n">
        <v>0</v>
      </c>
      <c r="G40" s="266" t="n">
        <v>0</v>
      </c>
      <c r="H40" s="266" t="n">
        <v>0</v>
      </c>
      <c r="I40" s="266" t="n">
        <v>0</v>
      </c>
      <c r="J40" s="267" t="n">
        <v>0</v>
      </c>
      <c r="K40" s="267" t="n">
        <v>0</v>
      </c>
      <c r="L40" s="267" t="n">
        <v>0</v>
      </c>
      <c r="M40" s="267" t="n">
        <v>0</v>
      </c>
      <c r="N40" s="268" t="n">
        <v>0</v>
      </c>
      <c r="O40" s="268" t="n">
        <v>0</v>
      </c>
      <c r="P40" s="268" t="n">
        <v>0</v>
      </c>
      <c r="Q40" s="268" t="n">
        <v>0</v>
      </c>
      <c r="R40" s="268" t="n">
        <v>0</v>
      </c>
      <c r="S40" s="268" t="n">
        <v>0</v>
      </c>
      <c r="T40" s="268" t="n">
        <v>0</v>
      </c>
      <c r="U40" s="268" t="n">
        <v>0</v>
      </c>
      <c r="V40" s="268" t="n">
        <v>0</v>
      </c>
      <c r="W40" s="269" t="n">
        <v>0</v>
      </c>
      <c r="X40" s="269" t="n">
        <v>0</v>
      </c>
      <c r="Y40" s="269" t="n">
        <v>0</v>
      </c>
      <c r="Z40" s="269" t="n">
        <v>0</v>
      </c>
      <c r="AA40" s="270" t="n">
        <v>0</v>
      </c>
      <c r="AB40" s="270" t="n">
        <v>0</v>
      </c>
      <c r="AC40" s="270" t="n">
        <v>0</v>
      </c>
      <c r="AD40" s="270" t="n">
        <v>0</v>
      </c>
      <c r="AE40" s="268" t="n">
        <v>0</v>
      </c>
      <c r="AF40" s="268" t="n">
        <v>0</v>
      </c>
      <c r="AG40" s="268" t="n">
        <v>0</v>
      </c>
      <c r="AH40" s="268" t="n">
        <v>0</v>
      </c>
      <c r="AI40" s="268" t="n">
        <v>0</v>
      </c>
      <c r="AJ40" s="268" t="n">
        <v>0</v>
      </c>
      <c r="AK40" s="269" t="n">
        <v>0</v>
      </c>
      <c r="AL40" s="269" t="n">
        <v>0</v>
      </c>
      <c r="AM40" s="269" t="n">
        <v>0</v>
      </c>
      <c r="AN40" s="269" t="n">
        <v>0</v>
      </c>
      <c r="AO40" s="270" t="n">
        <v>0</v>
      </c>
      <c r="AP40" s="270" t="n">
        <v>0</v>
      </c>
      <c r="AQ40" s="270" t="n">
        <v>0</v>
      </c>
      <c r="AR40" s="270" t="n">
        <v>0</v>
      </c>
      <c r="AS40" s="174" t="n">
        <v>0</v>
      </c>
      <c r="AT40" s="271" t="n">
        <v>0</v>
      </c>
      <c r="AU40" s="175" t="n">
        <v>0</v>
      </c>
      <c r="AV40" s="175" t="n">
        <v>0</v>
      </c>
      <c r="AW40" s="483" t="n">
        <v>0</v>
      </c>
      <c r="AX40" s="174" t="n">
        <v>0</v>
      </c>
      <c r="AY40" s="174" t="n">
        <v>0</v>
      </c>
      <c r="AZ40" s="483" t="n">
        <v>0</v>
      </c>
      <c r="BA40" s="483" t="n">
        <v>0</v>
      </c>
      <c r="BB40" s="174" t="n">
        <v>0</v>
      </c>
      <c r="BC40" s="174" t="n">
        <v>0</v>
      </c>
      <c r="BD40" s="483" t="n">
        <v>0</v>
      </c>
      <c r="BE40" s="483" t="n">
        <v>0</v>
      </c>
      <c r="BF40" s="483" t="n">
        <v>0</v>
      </c>
      <c r="BG40" s="483" t="n">
        <v>0</v>
      </c>
      <c r="BH40" s="483" t="n">
        <v>0</v>
      </c>
      <c r="BI40" s="483" t="n">
        <v>0</v>
      </c>
      <c r="BJ40" s="483" t="n">
        <v>0</v>
      </c>
      <c r="BK40" s="483" t="n">
        <v>0</v>
      </c>
      <c r="BL40" s="483" t="n">
        <v>0</v>
      </c>
      <c r="BM40" s="483" t="n">
        <v>0</v>
      </c>
      <c r="BN40" s="483" t="n">
        <v>0</v>
      </c>
      <c r="BO40" s="483" t="n">
        <v>0</v>
      </c>
      <c r="BP40" s="483" t="n">
        <v>0</v>
      </c>
      <c r="BQ40" s="483" t="n">
        <v>0</v>
      </c>
      <c r="BR40" s="483" t="n">
        <v>0</v>
      </c>
      <c r="BS40" s="483" t="n">
        <v>0</v>
      </c>
      <c r="BT40" s="483" t="n">
        <v>0</v>
      </c>
      <c r="BU40" s="483" t="n">
        <v>0</v>
      </c>
      <c r="BV40" s="483" t="n">
        <v>0</v>
      </c>
      <c r="BW40" s="483" t="n">
        <v>0</v>
      </c>
      <c r="BX40" s="483" t="n">
        <v>0</v>
      </c>
      <c r="BY40" s="483" t="n">
        <v>0</v>
      </c>
      <c r="BZ40" s="659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 hidden="1" s="191">
      <c r="A41" s="265" t="n">
        <v>0</v>
      </c>
      <c r="B41" s="265" t="n">
        <v>0</v>
      </c>
      <c r="C41" s="265" t="n">
        <v>0</v>
      </c>
      <c r="D41" s="265" t="n">
        <v>0</v>
      </c>
      <c r="E41" s="265" t="n">
        <v>0</v>
      </c>
      <c r="F41" s="266" t="n">
        <v>0</v>
      </c>
      <c r="G41" s="266" t="n">
        <v>0</v>
      </c>
      <c r="H41" s="266" t="n">
        <v>0</v>
      </c>
      <c r="I41" s="266" t="n">
        <v>0</v>
      </c>
      <c r="J41" s="267" t="n">
        <v>0</v>
      </c>
      <c r="K41" s="267" t="n">
        <v>0</v>
      </c>
      <c r="L41" s="267" t="n">
        <v>0</v>
      </c>
      <c r="M41" s="267" t="n">
        <v>0</v>
      </c>
      <c r="N41" s="268" t="n">
        <v>0</v>
      </c>
      <c r="O41" s="268" t="n">
        <v>0</v>
      </c>
      <c r="P41" s="268" t="n">
        <v>0</v>
      </c>
      <c r="Q41" s="268" t="n">
        <v>0</v>
      </c>
      <c r="R41" s="268" t="n">
        <v>0</v>
      </c>
      <c r="S41" s="268" t="n">
        <v>0</v>
      </c>
      <c r="T41" s="268" t="n">
        <v>0</v>
      </c>
      <c r="U41" s="268" t="n">
        <v>0</v>
      </c>
      <c r="V41" s="268" t="n">
        <v>0</v>
      </c>
      <c r="W41" s="269" t="n">
        <v>0</v>
      </c>
      <c r="X41" s="269" t="n">
        <v>0</v>
      </c>
      <c r="Y41" s="269" t="n">
        <v>0</v>
      </c>
      <c r="Z41" s="269" t="n">
        <v>0</v>
      </c>
      <c r="AA41" s="270" t="n">
        <v>0</v>
      </c>
      <c r="AB41" s="270" t="n">
        <v>0</v>
      </c>
      <c r="AC41" s="270" t="n">
        <v>0</v>
      </c>
      <c r="AD41" s="270" t="n">
        <v>0</v>
      </c>
      <c r="AE41" s="268" t="n">
        <v>0</v>
      </c>
      <c r="AF41" s="268" t="n">
        <v>0</v>
      </c>
      <c r="AG41" s="268" t="n">
        <v>0</v>
      </c>
      <c r="AH41" s="268" t="n">
        <v>0</v>
      </c>
      <c r="AI41" s="268" t="n">
        <v>0</v>
      </c>
      <c r="AJ41" s="268" t="n">
        <v>0</v>
      </c>
      <c r="AK41" s="269" t="n">
        <v>0</v>
      </c>
      <c r="AL41" s="269" t="n">
        <v>0</v>
      </c>
      <c r="AM41" s="269" t="n">
        <v>0</v>
      </c>
      <c r="AN41" s="269" t="n">
        <v>0</v>
      </c>
      <c r="AO41" s="270" t="n">
        <v>0</v>
      </c>
      <c r="AP41" s="270" t="n">
        <v>0</v>
      </c>
      <c r="AQ41" s="270" t="n">
        <v>0</v>
      </c>
      <c r="AR41" s="270" t="n">
        <v>0</v>
      </c>
      <c r="AS41" s="174" t="n">
        <v>0</v>
      </c>
      <c r="AT41" s="271" t="n">
        <v>0</v>
      </c>
      <c r="AU41" s="175" t="n">
        <v>0</v>
      </c>
      <c r="AV41" s="175" t="n">
        <v>0</v>
      </c>
      <c r="AW41" s="483" t="n">
        <v>0</v>
      </c>
      <c r="AX41" s="174" t="n">
        <v>0</v>
      </c>
      <c r="AY41" s="174" t="n">
        <v>0</v>
      </c>
      <c r="AZ41" s="483" t="n">
        <v>0</v>
      </c>
      <c r="BA41" s="483" t="n">
        <v>0</v>
      </c>
      <c r="BB41" s="174" t="n">
        <v>0</v>
      </c>
      <c r="BC41" s="174" t="n">
        <v>0</v>
      </c>
      <c r="BD41" s="483" t="n">
        <v>0</v>
      </c>
      <c r="BE41" s="483" t="n">
        <v>0</v>
      </c>
      <c r="BF41" s="483" t="n">
        <v>0</v>
      </c>
      <c r="BG41" s="483" t="n">
        <v>0</v>
      </c>
      <c r="BH41" s="483" t="n">
        <v>0</v>
      </c>
      <c r="BI41" s="483" t="n">
        <v>0</v>
      </c>
      <c r="BJ41" s="483" t="n">
        <v>0</v>
      </c>
      <c r="BK41" s="483" t="n">
        <v>0</v>
      </c>
      <c r="BL41" s="483" t="n">
        <v>0</v>
      </c>
      <c r="BM41" s="483" t="n">
        <v>0</v>
      </c>
      <c r="BN41" s="483" t="n">
        <v>0</v>
      </c>
      <c r="BO41" s="483" t="n">
        <v>0</v>
      </c>
      <c r="BP41" s="483" t="n">
        <v>0</v>
      </c>
      <c r="BQ41" s="483" t="n">
        <v>0</v>
      </c>
      <c r="BR41" s="483" t="n">
        <v>0</v>
      </c>
      <c r="BS41" s="483" t="n">
        <v>0</v>
      </c>
      <c r="BT41" s="483" t="n">
        <v>0</v>
      </c>
      <c r="BU41" s="483" t="n">
        <v>0</v>
      </c>
      <c r="BV41" s="483" t="n">
        <v>0</v>
      </c>
      <c r="BW41" s="483" t="n">
        <v>0</v>
      </c>
      <c r="BX41" s="483" t="n">
        <v>0</v>
      </c>
      <c r="BY41" s="483" t="n">
        <v>0</v>
      </c>
      <c r="BZ41" s="659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</row>
    <row r="42" hidden="1" s="191">
      <c r="A42" s="265" t="n">
        <v>0</v>
      </c>
      <c r="B42" s="265" t="n">
        <v>0</v>
      </c>
      <c r="C42" s="265" t="n">
        <v>0</v>
      </c>
      <c r="D42" s="265" t="n">
        <v>0</v>
      </c>
      <c r="E42" s="265" t="n">
        <v>0</v>
      </c>
      <c r="F42" s="266" t="n">
        <v>0</v>
      </c>
      <c r="G42" s="266" t="n">
        <v>0</v>
      </c>
      <c r="H42" s="266" t="n">
        <v>0</v>
      </c>
      <c r="I42" s="266" t="n">
        <v>0</v>
      </c>
      <c r="J42" s="267" t="n">
        <v>0</v>
      </c>
      <c r="K42" s="267" t="n">
        <v>0</v>
      </c>
      <c r="L42" s="267" t="n">
        <v>0</v>
      </c>
      <c r="M42" s="267" t="n">
        <v>0</v>
      </c>
      <c r="N42" s="268" t="n">
        <v>0</v>
      </c>
      <c r="O42" s="268" t="n">
        <v>0</v>
      </c>
      <c r="P42" s="268" t="n">
        <v>0</v>
      </c>
      <c r="Q42" s="268" t="n">
        <v>0</v>
      </c>
      <c r="R42" s="268" t="n">
        <v>0</v>
      </c>
      <c r="S42" s="268" t="n">
        <v>0</v>
      </c>
      <c r="T42" s="268" t="n">
        <v>0</v>
      </c>
      <c r="U42" s="268" t="n">
        <v>0</v>
      </c>
      <c r="V42" s="268" t="n">
        <v>0</v>
      </c>
      <c r="W42" s="269" t="n">
        <v>0</v>
      </c>
      <c r="X42" s="269" t="n">
        <v>0</v>
      </c>
      <c r="Y42" s="269" t="n">
        <v>0</v>
      </c>
      <c r="Z42" s="269" t="n">
        <v>0</v>
      </c>
      <c r="AA42" s="270" t="n">
        <v>0</v>
      </c>
      <c r="AB42" s="270" t="n">
        <v>0</v>
      </c>
      <c r="AC42" s="270" t="n">
        <v>0</v>
      </c>
      <c r="AD42" s="270" t="n">
        <v>0</v>
      </c>
      <c r="AE42" s="268" t="n">
        <v>0</v>
      </c>
      <c r="AF42" s="268" t="n">
        <v>0</v>
      </c>
      <c r="AG42" s="268" t="n">
        <v>0</v>
      </c>
      <c r="AH42" s="268" t="n">
        <v>0</v>
      </c>
      <c r="AI42" s="268" t="n">
        <v>0</v>
      </c>
      <c r="AJ42" s="268" t="n">
        <v>0</v>
      </c>
      <c r="AK42" s="269" t="n">
        <v>0</v>
      </c>
      <c r="AL42" s="269" t="n">
        <v>0</v>
      </c>
      <c r="AM42" s="269" t="n">
        <v>0</v>
      </c>
      <c r="AN42" s="269" t="n">
        <v>0</v>
      </c>
      <c r="AO42" s="270" t="n">
        <v>0</v>
      </c>
      <c r="AP42" s="270" t="n">
        <v>0</v>
      </c>
      <c r="AQ42" s="270" t="n">
        <v>0</v>
      </c>
      <c r="AR42" s="270" t="n">
        <v>0</v>
      </c>
      <c r="AS42" s="174" t="n">
        <v>0</v>
      </c>
      <c r="AT42" s="271" t="n">
        <v>0</v>
      </c>
      <c r="AU42" s="175" t="n">
        <v>0</v>
      </c>
      <c r="AV42" s="175" t="n">
        <v>0</v>
      </c>
      <c r="AW42" s="483" t="n">
        <v>0</v>
      </c>
      <c r="AX42" s="174" t="n">
        <v>0</v>
      </c>
      <c r="AY42" s="174" t="n">
        <v>0</v>
      </c>
      <c r="AZ42" s="483" t="n">
        <v>0</v>
      </c>
      <c r="BA42" s="483" t="n">
        <v>0</v>
      </c>
      <c r="BB42" s="174" t="n">
        <v>0</v>
      </c>
      <c r="BC42" s="174" t="n">
        <v>0</v>
      </c>
      <c r="BD42" s="483" t="n">
        <v>0</v>
      </c>
      <c r="BE42" s="483" t="n">
        <v>0</v>
      </c>
      <c r="BF42" s="483" t="n">
        <v>0</v>
      </c>
      <c r="BG42" s="483" t="n">
        <v>0</v>
      </c>
      <c r="BH42" s="483" t="n">
        <v>0</v>
      </c>
      <c r="BI42" s="483" t="n">
        <v>0</v>
      </c>
      <c r="BJ42" s="483" t="n">
        <v>0</v>
      </c>
      <c r="BK42" s="483" t="n">
        <v>0</v>
      </c>
      <c r="BL42" s="483" t="n">
        <v>0</v>
      </c>
      <c r="BM42" s="483" t="n">
        <v>0</v>
      </c>
      <c r="BN42" s="483" t="n">
        <v>0</v>
      </c>
      <c r="BO42" s="483" t="n">
        <v>0</v>
      </c>
      <c r="BP42" s="483" t="n">
        <v>0</v>
      </c>
      <c r="BQ42" s="483" t="n">
        <v>0</v>
      </c>
      <c r="BR42" s="483" t="n">
        <v>0</v>
      </c>
      <c r="BS42" s="483" t="n">
        <v>0</v>
      </c>
      <c r="BT42" s="483" t="n">
        <v>0</v>
      </c>
      <c r="BU42" s="483" t="n">
        <v>0</v>
      </c>
      <c r="BV42" s="483" t="n">
        <v>0</v>
      </c>
      <c r="BW42" s="483" t="n">
        <v>0</v>
      </c>
      <c r="BX42" s="483" t="n">
        <v>0</v>
      </c>
      <c r="BY42" s="483" t="n">
        <v>0</v>
      </c>
      <c r="BZ42" s="659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 hidden="1" s="191">
      <c r="A43" s="265" t="n">
        <v>0</v>
      </c>
      <c r="B43" s="265" t="n">
        <v>0</v>
      </c>
      <c r="C43" s="265" t="n">
        <v>0</v>
      </c>
      <c r="D43" s="265" t="n">
        <v>0</v>
      </c>
      <c r="E43" s="265" t="n">
        <v>0</v>
      </c>
      <c r="F43" s="266" t="n">
        <v>0</v>
      </c>
      <c r="G43" s="266" t="n">
        <v>0</v>
      </c>
      <c r="H43" s="266" t="n">
        <v>0</v>
      </c>
      <c r="I43" s="266" t="n">
        <v>0</v>
      </c>
      <c r="J43" s="267" t="n">
        <v>0</v>
      </c>
      <c r="K43" s="267" t="n">
        <v>0</v>
      </c>
      <c r="L43" s="267" t="n">
        <v>0</v>
      </c>
      <c r="M43" s="267" t="n">
        <v>0</v>
      </c>
      <c r="N43" s="268" t="n">
        <v>0</v>
      </c>
      <c r="O43" s="268" t="n">
        <v>0</v>
      </c>
      <c r="P43" s="268" t="n">
        <v>0</v>
      </c>
      <c r="Q43" s="268" t="n">
        <v>0</v>
      </c>
      <c r="R43" s="268" t="n">
        <v>0</v>
      </c>
      <c r="S43" s="268" t="n">
        <v>0</v>
      </c>
      <c r="T43" s="268" t="n">
        <v>0</v>
      </c>
      <c r="U43" s="268" t="n">
        <v>0</v>
      </c>
      <c r="V43" s="268" t="n">
        <v>0</v>
      </c>
      <c r="W43" s="269" t="n">
        <v>0</v>
      </c>
      <c r="X43" s="269" t="n">
        <v>0</v>
      </c>
      <c r="Y43" s="269" t="n">
        <v>0</v>
      </c>
      <c r="Z43" s="269" t="n">
        <v>0</v>
      </c>
      <c r="AA43" s="270" t="n">
        <v>0</v>
      </c>
      <c r="AB43" s="270" t="n">
        <v>0</v>
      </c>
      <c r="AC43" s="270" t="n">
        <v>0</v>
      </c>
      <c r="AD43" s="270" t="n">
        <v>0</v>
      </c>
      <c r="AE43" s="268" t="n">
        <v>0</v>
      </c>
      <c r="AF43" s="268" t="n">
        <v>0</v>
      </c>
      <c r="AG43" s="268" t="n">
        <v>0</v>
      </c>
      <c r="AH43" s="268" t="n">
        <v>0</v>
      </c>
      <c r="AI43" s="268" t="n">
        <v>0</v>
      </c>
      <c r="AJ43" s="268" t="n">
        <v>0</v>
      </c>
      <c r="AK43" s="269" t="n">
        <v>0</v>
      </c>
      <c r="AL43" s="269" t="n">
        <v>0</v>
      </c>
      <c r="AM43" s="269" t="n">
        <v>0</v>
      </c>
      <c r="AN43" s="269" t="n">
        <v>0</v>
      </c>
      <c r="AO43" s="270" t="n">
        <v>0</v>
      </c>
      <c r="AP43" s="270" t="n">
        <v>0</v>
      </c>
      <c r="AQ43" s="270" t="n">
        <v>0</v>
      </c>
      <c r="AR43" s="270" t="n">
        <v>0</v>
      </c>
      <c r="AS43" s="174" t="n">
        <v>0</v>
      </c>
      <c r="AT43" s="271" t="n">
        <v>0</v>
      </c>
      <c r="AU43" s="175" t="n">
        <v>0</v>
      </c>
      <c r="AV43" s="175" t="n">
        <v>0</v>
      </c>
      <c r="AW43" s="483" t="n">
        <v>0</v>
      </c>
      <c r="AX43" s="174" t="n">
        <v>0</v>
      </c>
      <c r="AY43" s="174" t="n">
        <v>0</v>
      </c>
      <c r="AZ43" s="483" t="n">
        <v>0</v>
      </c>
      <c r="BA43" s="483" t="n">
        <v>0</v>
      </c>
      <c r="BB43" s="174" t="n">
        <v>0</v>
      </c>
      <c r="BC43" s="174" t="n">
        <v>0</v>
      </c>
      <c r="BD43" s="483" t="n">
        <v>0</v>
      </c>
      <c r="BE43" s="483" t="n">
        <v>0</v>
      </c>
      <c r="BF43" s="483" t="n">
        <v>0</v>
      </c>
      <c r="BG43" s="483" t="n">
        <v>0</v>
      </c>
      <c r="BH43" s="483" t="n">
        <v>0</v>
      </c>
      <c r="BI43" s="483" t="n">
        <v>0</v>
      </c>
      <c r="BJ43" s="483" t="n">
        <v>0</v>
      </c>
      <c r="BK43" s="483" t="n">
        <v>0</v>
      </c>
      <c r="BL43" s="483" t="n">
        <v>0</v>
      </c>
      <c r="BM43" s="483" t="n">
        <v>0</v>
      </c>
      <c r="BN43" s="483" t="n">
        <v>0</v>
      </c>
      <c r="BO43" s="483" t="n">
        <v>0</v>
      </c>
      <c r="BP43" s="483" t="n">
        <v>0</v>
      </c>
      <c r="BQ43" s="483" t="n">
        <v>0</v>
      </c>
      <c r="BR43" s="483" t="n">
        <v>0</v>
      </c>
      <c r="BS43" s="483" t="n">
        <v>0</v>
      </c>
      <c r="BT43" s="483" t="n">
        <v>0</v>
      </c>
      <c r="BU43" s="483" t="n">
        <v>0</v>
      </c>
      <c r="BV43" s="483" t="n">
        <v>0</v>
      </c>
      <c r="BW43" s="483" t="n">
        <v>0</v>
      </c>
      <c r="BX43" s="483" t="n">
        <v>0</v>
      </c>
      <c r="BY43" s="483" t="n">
        <v>0</v>
      </c>
      <c r="BZ43" s="659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</row>
    <row r="44" hidden="1" s="191">
      <c r="A44" s="265" t="n">
        <v>0</v>
      </c>
      <c r="B44" s="265" t="n">
        <v>0</v>
      </c>
      <c r="C44" s="265" t="n">
        <v>0</v>
      </c>
      <c r="D44" s="265" t="n">
        <v>0</v>
      </c>
      <c r="E44" s="265" t="n">
        <v>0</v>
      </c>
      <c r="F44" s="266" t="n">
        <v>0</v>
      </c>
      <c r="G44" s="266" t="n">
        <v>0</v>
      </c>
      <c r="H44" s="266" t="n">
        <v>0</v>
      </c>
      <c r="I44" s="266" t="n">
        <v>0</v>
      </c>
      <c r="J44" s="267" t="n">
        <v>0</v>
      </c>
      <c r="K44" s="267" t="n">
        <v>0</v>
      </c>
      <c r="L44" s="267" t="n">
        <v>0</v>
      </c>
      <c r="M44" s="267" t="n">
        <v>0</v>
      </c>
      <c r="N44" s="268" t="n">
        <v>0</v>
      </c>
      <c r="O44" s="268" t="n">
        <v>0</v>
      </c>
      <c r="P44" s="268" t="n">
        <v>0</v>
      </c>
      <c r="Q44" s="268" t="n">
        <v>0</v>
      </c>
      <c r="R44" s="268" t="n">
        <v>0</v>
      </c>
      <c r="S44" s="268" t="n">
        <v>0</v>
      </c>
      <c r="T44" s="268" t="n">
        <v>0</v>
      </c>
      <c r="U44" s="268" t="n">
        <v>0</v>
      </c>
      <c r="V44" s="268" t="n">
        <v>0</v>
      </c>
      <c r="W44" s="269" t="n">
        <v>0</v>
      </c>
      <c r="X44" s="269" t="n">
        <v>0</v>
      </c>
      <c r="Y44" s="269" t="n">
        <v>0</v>
      </c>
      <c r="Z44" s="269" t="n">
        <v>0</v>
      </c>
      <c r="AA44" s="270" t="n">
        <v>0</v>
      </c>
      <c r="AB44" s="270" t="n">
        <v>0</v>
      </c>
      <c r="AC44" s="270" t="n">
        <v>0</v>
      </c>
      <c r="AD44" s="270" t="n">
        <v>0</v>
      </c>
      <c r="AE44" s="268" t="n">
        <v>0</v>
      </c>
      <c r="AF44" s="268" t="n">
        <v>0</v>
      </c>
      <c r="AG44" s="268" t="n">
        <v>0</v>
      </c>
      <c r="AH44" s="268" t="n">
        <v>0</v>
      </c>
      <c r="AI44" s="268" t="n">
        <v>0</v>
      </c>
      <c r="AJ44" s="268" t="n">
        <v>0</v>
      </c>
      <c r="AK44" s="269" t="n">
        <v>0</v>
      </c>
      <c r="AL44" s="269" t="n">
        <v>0</v>
      </c>
      <c r="AM44" s="269" t="n">
        <v>0</v>
      </c>
      <c r="AN44" s="269" t="n">
        <v>0</v>
      </c>
      <c r="AO44" s="270" t="n">
        <v>0</v>
      </c>
      <c r="AP44" s="270" t="n">
        <v>0</v>
      </c>
      <c r="AQ44" s="270" t="n">
        <v>0</v>
      </c>
      <c r="AR44" s="270" t="n">
        <v>0</v>
      </c>
      <c r="AS44" s="174" t="n">
        <v>0</v>
      </c>
      <c r="AT44" s="271" t="n">
        <v>0</v>
      </c>
      <c r="AU44" s="175" t="n">
        <v>0</v>
      </c>
      <c r="AV44" s="175" t="n">
        <v>0</v>
      </c>
      <c r="AW44" s="483" t="n">
        <v>0</v>
      </c>
      <c r="AX44" s="174" t="n">
        <v>0</v>
      </c>
      <c r="AY44" s="174" t="n">
        <v>0</v>
      </c>
      <c r="AZ44" s="483" t="n">
        <v>0</v>
      </c>
      <c r="BA44" s="483" t="n">
        <v>0</v>
      </c>
      <c r="BB44" s="174" t="n">
        <v>0</v>
      </c>
      <c r="BC44" s="174" t="n">
        <v>0</v>
      </c>
      <c r="BD44" s="483" t="n">
        <v>0</v>
      </c>
      <c r="BE44" s="483" t="n">
        <v>0</v>
      </c>
      <c r="BF44" s="483" t="n">
        <v>0</v>
      </c>
      <c r="BG44" s="483" t="n">
        <v>0</v>
      </c>
      <c r="BH44" s="483" t="n">
        <v>0</v>
      </c>
      <c r="BI44" s="483" t="n">
        <v>0</v>
      </c>
      <c r="BJ44" s="483" t="n">
        <v>0</v>
      </c>
      <c r="BK44" s="483" t="n">
        <v>0</v>
      </c>
      <c r="BL44" s="483" t="n">
        <v>0</v>
      </c>
      <c r="BM44" s="483" t="n">
        <v>0</v>
      </c>
      <c r="BN44" s="483" t="n">
        <v>0</v>
      </c>
      <c r="BO44" s="483" t="n">
        <v>0</v>
      </c>
      <c r="BP44" s="483" t="n">
        <v>0</v>
      </c>
      <c r="BQ44" s="483" t="n">
        <v>0</v>
      </c>
      <c r="BR44" s="483" t="n">
        <v>0</v>
      </c>
      <c r="BS44" s="483" t="n">
        <v>0</v>
      </c>
      <c r="BT44" s="483" t="n">
        <v>0</v>
      </c>
      <c r="BU44" s="483" t="n">
        <v>0</v>
      </c>
      <c r="BV44" s="483" t="n">
        <v>0</v>
      </c>
      <c r="BW44" s="483" t="n">
        <v>0</v>
      </c>
      <c r="BX44" s="483" t="n">
        <v>0</v>
      </c>
      <c r="BY44" s="483" t="n">
        <v>0</v>
      </c>
      <c r="BZ44" s="659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</row>
    <row r="45" hidden="1" s="191">
      <c r="A45" s="265" t="n">
        <v>0</v>
      </c>
      <c r="B45" s="265" t="n">
        <v>0</v>
      </c>
      <c r="C45" s="265" t="n">
        <v>0</v>
      </c>
      <c r="D45" s="265" t="n">
        <v>0</v>
      </c>
      <c r="E45" s="265" t="n">
        <v>0</v>
      </c>
      <c r="F45" s="266" t="n">
        <v>0</v>
      </c>
      <c r="G45" s="266" t="n">
        <v>0</v>
      </c>
      <c r="H45" s="266" t="n">
        <v>0</v>
      </c>
      <c r="I45" s="266" t="n">
        <v>0</v>
      </c>
      <c r="J45" s="267" t="n">
        <v>0</v>
      </c>
      <c r="K45" s="267" t="n">
        <v>0</v>
      </c>
      <c r="L45" s="267" t="n">
        <v>0</v>
      </c>
      <c r="M45" s="267" t="n">
        <v>0</v>
      </c>
      <c r="N45" s="268" t="n">
        <v>0</v>
      </c>
      <c r="O45" s="268" t="n">
        <v>0</v>
      </c>
      <c r="P45" s="268" t="n">
        <v>0</v>
      </c>
      <c r="Q45" s="268" t="n">
        <v>0</v>
      </c>
      <c r="R45" s="268" t="n">
        <v>0</v>
      </c>
      <c r="S45" s="268" t="n">
        <v>0</v>
      </c>
      <c r="T45" s="268" t="n">
        <v>0</v>
      </c>
      <c r="U45" s="268" t="n">
        <v>0</v>
      </c>
      <c r="V45" s="268" t="n">
        <v>0</v>
      </c>
      <c r="W45" s="269" t="n">
        <v>0</v>
      </c>
      <c r="X45" s="269" t="n">
        <v>0</v>
      </c>
      <c r="Y45" s="269" t="n">
        <v>0</v>
      </c>
      <c r="Z45" s="269" t="n">
        <v>0</v>
      </c>
      <c r="AA45" s="270" t="n">
        <v>0</v>
      </c>
      <c r="AB45" s="270" t="n">
        <v>0</v>
      </c>
      <c r="AC45" s="270" t="n">
        <v>0</v>
      </c>
      <c r="AD45" s="270" t="n">
        <v>0</v>
      </c>
      <c r="AE45" s="268" t="n">
        <v>0</v>
      </c>
      <c r="AF45" s="268" t="n">
        <v>0</v>
      </c>
      <c r="AG45" s="268" t="n">
        <v>0</v>
      </c>
      <c r="AH45" s="268" t="n">
        <v>0</v>
      </c>
      <c r="AI45" s="268" t="n">
        <v>0</v>
      </c>
      <c r="AJ45" s="268" t="n">
        <v>0</v>
      </c>
      <c r="AK45" s="269" t="n">
        <v>0</v>
      </c>
      <c r="AL45" s="269" t="n">
        <v>0</v>
      </c>
      <c r="AM45" s="269" t="n">
        <v>0</v>
      </c>
      <c r="AN45" s="269" t="n">
        <v>0</v>
      </c>
      <c r="AO45" s="270" t="n">
        <v>0</v>
      </c>
      <c r="AP45" s="270" t="n">
        <v>0</v>
      </c>
      <c r="AQ45" s="270" t="n">
        <v>0</v>
      </c>
      <c r="AR45" s="270" t="n">
        <v>0</v>
      </c>
      <c r="AS45" s="174" t="n">
        <v>0</v>
      </c>
      <c r="AT45" s="271" t="n">
        <v>0</v>
      </c>
      <c r="AU45" s="175" t="n">
        <v>0</v>
      </c>
      <c r="AV45" s="175" t="n">
        <v>0</v>
      </c>
      <c r="AW45" s="483" t="n">
        <v>0</v>
      </c>
      <c r="AX45" s="174" t="n">
        <v>0</v>
      </c>
      <c r="AY45" s="174" t="n">
        <v>0</v>
      </c>
      <c r="AZ45" s="483" t="n">
        <v>0</v>
      </c>
      <c r="BA45" s="483" t="n">
        <v>0</v>
      </c>
      <c r="BB45" s="174" t="n">
        <v>0</v>
      </c>
      <c r="BC45" s="174" t="n">
        <v>0</v>
      </c>
      <c r="BD45" s="483" t="n">
        <v>0</v>
      </c>
      <c r="BE45" s="483" t="n">
        <v>0</v>
      </c>
      <c r="BF45" s="483" t="n">
        <v>0</v>
      </c>
      <c r="BG45" s="483" t="n">
        <v>0</v>
      </c>
      <c r="BH45" s="483" t="n">
        <v>0</v>
      </c>
      <c r="BI45" s="483" t="n">
        <v>0</v>
      </c>
      <c r="BJ45" s="483" t="n">
        <v>0</v>
      </c>
      <c r="BK45" s="483" t="n">
        <v>0</v>
      </c>
      <c r="BL45" s="483" t="n">
        <v>0</v>
      </c>
      <c r="BM45" s="483" t="n">
        <v>0</v>
      </c>
      <c r="BN45" s="483" t="n">
        <v>0</v>
      </c>
      <c r="BO45" s="483" t="n">
        <v>0</v>
      </c>
      <c r="BP45" s="483" t="n">
        <v>0</v>
      </c>
      <c r="BQ45" s="483" t="n">
        <v>0</v>
      </c>
      <c r="BR45" s="483" t="n">
        <v>0</v>
      </c>
      <c r="BS45" s="483" t="n">
        <v>0</v>
      </c>
      <c r="BT45" s="483" t="n">
        <v>0</v>
      </c>
      <c r="BU45" s="483" t="n">
        <v>0</v>
      </c>
      <c r="BV45" s="483" t="n">
        <v>0</v>
      </c>
      <c r="BW45" s="483" t="n">
        <v>0</v>
      </c>
      <c r="BX45" s="483" t="n">
        <v>0</v>
      </c>
      <c r="BY45" s="483" t="n">
        <v>0</v>
      </c>
      <c r="BZ45" s="659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</row>
    <row r="46" hidden="1" s="191">
      <c r="A46" s="265" t="n">
        <v>0</v>
      </c>
      <c r="B46" s="265" t="n">
        <v>0</v>
      </c>
      <c r="C46" s="265" t="n">
        <v>0</v>
      </c>
      <c r="D46" s="265" t="n">
        <v>0</v>
      </c>
      <c r="E46" s="265" t="n">
        <v>0</v>
      </c>
      <c r="F46" s="266" t="n">
        <v>0</v>
      </c>
      <c r="G46" s="266" t="n">
        <v>0</v>
      </c>
      <c r="H46" s="266" t="n">
        <v>0</v>
      </c>
      <c r="I46" s="266" t="n">
        <v>0</v>
      </c>
      <c r="J46" s="267" t="n">
        <v>0</v>
      </c>
      <c r="K46" s="267" t="n">
        <v>0</v>
      </c>
      <c r="L46" s="267" t="n">
        <v>0</v>
      </c>
      <c r="M46" s="267" t="n">
        <v>0</v>
      </c>
      <c r="N46" s="268" t="n">
        <v>0</v>
      </c>
      <c r="O46" s="268" t="n">
        <v>0</v>
      </c>
      <c r="P46" s="268" t="n">
        <v>0</v>
      </c>
      <c r="Q46" s="268" t="n">
        <v>0</v>
      </c>
      <c r="R46" s="268" t="n">
        <v>0</v>
      </c>
      <c r="S46" s="268" t="n">
        <v>0</v>
      </c>
      <c r="T46" s="268" t="n">
        <v>0</v>
      </c>
      <c r="U46" s="268" t="n">
        <v>0</v>
      </c>
      <c r="V46" s="268" t="n">
        <v>0</v>
      </c>
      <c r="W46" s="269" t="n">
        <v>0</v>
      </c>
      <c r="X46" s="269" t="n">
        <v>0</v>
      </c>
      <c r="Y46" s="269" t="n">
        <v>0</v>
      </c>
      <c r="Z46" s="269" t="n">
        <v>0</v>
      </c>
      <c r="AA46" s="270" t="n">
        <v>0</v>
      </c>
      <c r="AB46" s="270" t="n">
        <v>0</v>
      </c>
      <c r="AC46" s="270" t="n">
        <v>0</v>
      </c>
      <c r="AD46" s="270" t="n">
        <v>0</v>
      </c>
      <c r="AE46" s="268" t="n">
        <v>0</v>
      </c>
      <c r="AF46" s="268" t="n">
        <v>0</v>
      </c>
      <c r="AG46" s="268" t="n">
        <v>0</v>
      </c>
      <c r="AH46" s="268" t="n">
        <v>0</v>
      </c>
      <c r="AI46" s="268" t="n">
        <v>0</v>
      </c>
      <c r="AJ46" s="268" t="n">
        <v>0</v>
      </c>
      <c r="AK46" s="269" t="n">
        <v>0</v>
      </c>
      <c r="AL46" s="269" t="n">
        <v>0</v>
      </c>
      <c r="AM46" s="269" t="n">
        <v>0</v>
      </c>
      <c r="AN46" s="269" t="n">
        <v>0</v>
      </c>
      <c r="AO46" s="270" t="n">
        <v>0</v>
      </c>
      <c r="AP46" s="270" t="n">
        <v>0</v>
      </c>
      <c r="AQ46" s="270" t="n">
        <v>0</v>
      </c>
      <c r="AR46" s="270" t="n">
        <v>0</v>
      </c>
      <c r="AS46" s="174" t="n">
        <v>0</v>
      </c>
      <c r="AT46" s="271" t="n">
        <v>0</v>
      </c>
      <c r="AU46" s="175" t="n">
        <v>0</v>
      </c>
      <c r="AV46" s="175" t="n">
        <v>0</v>
      </c>
      <c r="AW46" s="483" t="n">
        <v>0</v>
      </c>
      <c r="AX46" s="174" t="n">
        <v>0</v>
      </c>
      <c r="AY46" s="174" t="n">
        <v>0</v>
      </c>
      <c r="AZ46" s="483" t="n">
        <v>0</v>
      </c>
      <c r="BA46" s="483" t="n">
        <v>0</v>
      </c>
      <c r="BB46" s="174" t="n">
        <v>0</v>
      </c>
      <c r="BC46" s="174" t="n">
        <v>0</v>
      </c>
      <c r="BD46" s="483" t="n">
        <v>0</v>
      </c>
      <c r="BE46" s="483" t="n">
        <v>0</v>
      </c>
      <c r="BF46" s="483" t="n">
        <v>0</v>
      </c>
      <c r="BG46" s="483" t="n">
        <v>0</v>
      </c>
      <c r="BH46" s="483" t="n">
        <v>0</v>
      </c>
      <c r="BI46" s="483" t="n">
        <v>0</v>
      </c>
      <c r="BJ46" s="483" t="n">
        <v>0</v>
      </c>
      <c r="BK46" s="483" t="n">
        <v>0</v>
      </c>
      <c r="BL46" s="483" t="n">
        <v>0</v>
      </c>
      <c r="BM46" s="483" t="n">
        <v>0</v>
      </c>
      <c r="BN46" s="483" t="n">
        <v>0</v>
      </c>
      <c r="BO46" s="483" t="n">
        <v>0</v>
      </c>
      <c r="BP46" s="483" t="n">
        <v>0</v>
      </c>
      <c r="BQ46" s="483" t="n">
        <v>0</v>
      </c>
      <c r="BR46" s="483" t="n">
        <v>0</v>
      </c>
      <c r="BS46" s="483" t="n">
        <v>0</v>
      </c>
      <c r="BT46" s="483" t="n">
        <v>0</v>
      </c>
      <c r="BU46" s="483" t="n">
        <v>0</v>
      </c>
      <c r="BV46" s="483" t="n">
        <v>0</v>
      </c>
      <c r="BW46" s="483" t="n">
        <v>0</v>
      </c>
      <c r="BX46" s="483" t="n">
        <v>0</v>
      </c>
      <c r="BY46" s="483" t="n">
        <v>0</v>
      </c>
      <c r="BZ46" s="659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 hidden="1" s="191">
      <c r="A47" s="265" t="n">
        <v>0</v>
      </c>
      <c r="B47" s="265" t="n">
        <v>0</v>
      </c>
      <c r="C47" s="265" t="n">
        <v>0</v>
      </c>
      <c r="D47" s="265" t="n">
        <v>0</v>
      </c>
      <c r="E47" s="265" t="n">
        <v>0</v>
      </c>
      <c r="F47" s="266" t="n">
        <v>0</v>
      </c>
      <c r="G47" s="266" t="n">
        <v>0</v>
      </c>
      <c r="H47" s="266" t="n">
        <v>0</v>
      </c>
      <c r="I47" s="266" t="n">
        <v>0</v>
      </c>
      <c r="J47" s="267" t="n">
        <v>0</v>
      </c>
      <c r="K47" s="267" t="n">
        <v>0</v>
      </c>
      <c r="L47" s="267" t="n">
        <v>0</v>
      </c>
      <c r="M47" s="267" t="n">
        <v>0</v>
      </c>
      <c r="N47" s="268" t="n">
        <v>0</v>
      </c>
      <c r="O47" s="268" t="n">
        <v>0</v>
      </c>
      <c r="P47" s="268" t="n">
        <v>0</v>
      </c>
      <c r="Q47" s="268" t="n">
        <v>0</v>
      </c>
      <c r="R47" s="268" t="n">
        <v>0</v>
      </c>
      <c r="S47" s="268" t="n">
        <v>0</v>
      </c>
      <c r="T47" s="268" t="n">
        <v>0</v>
      </c>
      <c r="U47" s="268" t="n">
        <v>0</v>
      </c>
      <c r="V47" s="268" t="n">
        <v>0</v>
      </c>
      <c r="W47" s="269" t="n">
        <v>0</v>
      </c>
      <c r="X47" s="269" t="n">
        <v>0</v>
      </c>
      <c r="Y47" s="269" t="n">
        <v>0</v>
      </c>
      <c r="Z47" s="269" t="n">
        <v>0</v>
      </c>
      <c r="AA47" s="270" t="n">
        <v>0</v>
      </c>
      <c r="AB47" s="270" t="n">
        <v>0</v>
      </c>
      <c r="AC47" s="270" t="n">
        <v>0</v>
      </c>
      <c r="AD47" s="270" t="n">
        <v>0</v>
      </c>
      <c r="AE47" s="268" t="n">
        <v>0</v>
      </c>
      <c r="AF47" s="268" t="n">
        <v>0</v>
      </c>
      <c r="AG47" s="268" t="n">
        <v>0</v>
      </c>
      <c r="AH47" s="268" t="n">
        <v>0</v>
      </c>
      <c r="AI47" s="268" t="n">
        <v>0</v>
      </c>
      <c r="AJ47" s="268" t="n">
        <v>0</v>
      </c>
      <c r="AK47" s="269" t="n">
        <v>0</v>
      </c>
      <c r="AL47" s="269" t="n">
        <v>0</v>
      </c>
      <c r="AM47" s="269" t="n">
        <v>0</v>
      </c>
      <c r="AN47" s="269" t="n">
        <v>0</v>
      </c>
      <c r="AO47" s="270" t="n">
        <v>0</v>
      </c>
      <c r="AP47" s="270" t="n">
        <v>0</v>
      </c>
      <c r="AQ47" s="270" t="n">
        <v>0</v>
      </c>
      <c r="AR47" s="270" t="n">
        <v>0</v>
      </c>
      <c r="AS47" s="174" t="n">
        <v>0</v>
      </c>
      <c r="AT47" s="271" t="n">
        <v>0</v>
      </c>
      <c r="AU47" s="175" t="n">
        <v>0</v>
      </c>
      <c r="AV47" s="175" t="n">
        <v>0</v>
      </c>
      <c r="AW47" s="483" t="n">
        <v>0</v>
      </c>
      <c r="AX47" s="174" t="n">
        <v>0</v>
      </c>
      <c r="AY47" s="174" t="n">
        <v>0</v>
      </c>
      <c r="AZ47" s="483" t="n">
        <v>0</v>
      </c>
      <c r="BA47" s="483" t="n">
        <v>0</v>
      </c>
      <c r="BB47" s="174" t="n">
        <v>0</v>
      </c>
      <c r="BC47" s="174" t="n">
        <v>0</v>
      </c>
      <c r="BD47" s="483" t="n">
        <v>0</v>
      </c>
      <c r="BE47" s="483" t="n">
        <v>0</v>
      </c>
      <c r="BF47" s="483" t="n">
        <v>0</v>
      </c>
      <c r="BG47" s="483" t="n">
        <v>0</v>
      </c>
      <c r="BH47" s="483" t="n">
        <v>0</v>
      </c>
      <c r="BI47" s="483" t="n">
        <v>0</v>
      </c>
      <c r="BJ47" s="483" t="n">
        <v>0</v>
      </c>
      <c r="BK47" s="483" t="n">
        <v>0</v>
      </c>
      <c r="BL47" s="483" t="n">
        <v>0</v>
      </c>
      <c r="BM47" s="483" t="n">
        <v>0</v>
      </c>
      <c r="BN47" s="483" t="n">
        <v>0</v>
      </c>
      <c r="BO47" s="483" t="n">
        <v>0</v>
      </c>
      <c r="BP47" s="483" t="n">
        <v>0</v>
      </c>
      <c r="BQ47" s="483" t="n">
        <v>0</v>
      </c>
      <c r="BR47" s="483" t="n">
        <v>0</v>
      </c>
      <c r="BS47" s="483" t="n">
        <v>0</v>
      </c>
      <c r="BT47" s="483" t="n">
        <v>0</v>
      </c>
      <c r="BU47" s="483" t="n">
        <v>0</v>
      </c>
      <c r="BV47" s="483" t="n">
        <v>0</v>
      </c>
      <c r="BW47" s="483" t="n">
        <v>0</v>
      </c>
      <c r="BX47" s="483" t="n">
        <v>0</v>
      </c>
      <c r="BY47" s="483" t="n">
        <v>0</v>
      </c>
      <c r="BZ47" s="659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</row>
    <row r="48" hidden="1" s="191">
      <c r="A48" s="265" t="n">
        <v>0</v>
      </c>
      <c r="B48" s="265" t="n">
        <v>0</v>
      </c>
      <c r="C48" s="265" t="n">
        <v>0</v>
      </c>
      <c r="D48" s="265" t="n">
        <v>0</v>
      </c>
      <c r="E48" s="265" t="n">
        <v>0</v>
      </c>
      <c r="F48" s="266" t="n">
        <v>0</v>
      </c>
      <c r="G48" s="266" t="n">
        <v>0</v>
      </c>
      <c r="H48" s="266" t="n">
        <v>0</v>
      </c>
      <c r="I48" s="266" t="n">
        <v>0</v>
      </c>
      <c r="J48" s="267" t="n">
        <v>0</v>
      </c>
      <c r="K48" s="267" t="n">
        <v>0</v>
      </c>
      <c r="L48" s="267" t="n">
        <v>0</v>
      </c>
      <c r="M48" s="267" t="n">
        <v>0</v>
      </c>
      <c r="N48" s="268" t="n">
        <v>0</v>
      </c>
      <c r="O48" s="268" t="n">
        <v>0</v>
      </c>
      <c r="P48" s="268" t="n">
        <v>0</v>
      </c>
      <c r="Q48" s="268" t="n">
        <v>0</v>
      </c>
      <c r="R48" s="268" t="n">
        <v>0</v>
      </c>
      <c r="S48" s="268" t="n">
        <v>0</v>
      </c>
      <c r="T48" s="268" t="n">
        <v>0</v>
      </c>
      <c r="U48" s="268" t="n">
        <v>0</v>
      </c>
      <c r="V48" s="268" t="n">
        <v>0</v>
      </c>
      <c r="W48" s="269" t="n">
        <v>0</v>
      </c>
      <c r="X48" s="269" t="n">
        <v>0</v>
      </c>
      <c r="Y48" s="269" t="n">
        <v>0</v>
      </c>
      <c r="Z48" s="269" t="n">
        <v>0</v>
      </c>
      <c r="AA48" s="270" t="n">
        <v>0</v>
      </c>
      <c r="AB48" s="270" t="n">
        <v>0</v>
      </c>
      <c r="AC48" s="270" t="n">
        <v>0</v>
      </c>
      <c r="AD48" s="270" t="n">
        <v>0</v>
      </c>
      <c r="AE48" s="268" t="n">
        <v>0</v>
      </c>
      <c r="AF48" s="268" t="n">
        <v>0</v>
      </c>
      <c r="AG48" s="268" t="n">
        <v>0</v>
      </c>
      <c r="AH48" s="268" t="n">
        <v>0</v>
      </c>
      <c r="AI48" s="268" t="n">
        <v>0</v>
      </c>
      <c r="AJ48" s="268" t="n">
        <v>0</v>
      </c>
      <c r="AK48" s="269" t="n">
        <v>0</v>
      </c>
      <c r="AL48" s="269" t="n">
        <v>0</v>
      </c>
      <c r="AM48" s="269" t="n">
        <v>0</v>
      </c>
      <c r="AN48" s="269" t="n">
        <v>0</v>
      </c>
      <c r="AO48" s="270" t="n">
        <v>0</v>
      </c>
      <c r="AP48" s="270" t="n">
        <v>0</v>
      </c>
      <c r="AQ48" s="270" t="n">
        <v>0</v>
      </c>
      <c r="AR48" s="270" t="n">
        <v>0</v>
      </c>
      <c r="AS48" s="174" t="n">
        <v>0</v>
      </c>
      <c r="AT48" s="271" t="n">
        <v>0</v>
      </c>
      <c r="AU48" s="175" t="n">
        <v>0</v>
      </c>
      <c r="AV48" s="175" t="n">
        <v>0</v>
      </c>
      <c r="AW48" s="483" t="n">
        <v>0</v>
      </c>
      <c r="AX48" s="174" t="n">
        <v>0</v>
      </c>
      <c r="AY48" s="174" t="n">
        <v>0</v>
      </c>
      <c r="AZ48" s="483" t="n">
        <v>0</v>
      </c>
      <c r="BA48" s="483" t="n">
        <v>0</v>
      </c>
      <c r="BB48" s="174" t="n">
        <v>0</v>
      </c>
      <c r="BC48" s="174" t="n">
        <v>0</v>
      </c>
      <c r="BD48" s="483" t="n">
        <v>0</v>
      </c>
      <c r="BE48" s="483" t="n">
        <v>0</v>
      </c>
      <c r="BF48" s="483" t="n">
        <v>0</v>
      </c>
      <c r="BG48" s="483" t="n">
        <v>0</v>
      </c>
      <c r="BH48" s="483" t="n">
        <v>0</v>
      </c>
      <c r="BI48" s="483" t="n">
        <v>0</v>
      </c>
      <c r="BJ48" s="483" t="n">
        <v>0</v>
      </c>
      <c r="BK48" s="483" t="n">
        <v>0</v>
      </c>
      <c r="BL48" s="483" t="n">
        <v>0</v>
      </c>
      <c r="BM48" s="483" t="n">
        <v>0</v>
      </c>
      <c r="BN48" s="483" t="n">
        <v>0</v>
      </c>
      <c r="BO48" s="483" t="n">
        <v>0</v>
      </c>
      <c r="BP48" s="483" t="n">
        <v>0</v>
      </c>
      <c r="BQ48" s="483" t="n">
        <v>0</v>
      </c>
      <c r="BR48" s="483" t="n">
        <v>0</v>
      </c>
      <c r="BS48" s="483" t="n">
        <v>0</v>
      </c>
      <c r="BT48" s="483" t="n">
        <v>0</v>
      </c>
      <c r="BU48" s="483" t="n">
        <v>0</v>
      </c>
      <c r="BV48" s="483" t="n">
        <v>0</v>
      </c>
      <c r="BW48" s="483" t="n">
        <v>0</v>
      </c>
      <c r="BX48" s="483" t="n">
        <v>0</v>
      </c>
      <c r="BY48" s="483" t="n">
        <v>0</v>
      </c>
      <c r="BZ48" s="659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</row>
    <row r="49" hidden="1" s="191">
      <c r="A49" s="265" t="n">
        <v>0</v>
      </c>
      <c r="B49" s="265" t="n">
        <v>0</v>
      </c>
      <c r="C49" s="265" t="n">
        <v>0</v>
      </c>
      <c r="D49" s="265" t="n">
        <v>0</v>
      </c>
      <c r="E49" s="265" t="n">
        <v>0</v>
      </c>
      <c r="F49" s="266" t="n">
        <v>0</v>
      </c>
      <c r="G49" s="266" t="n">
        <v>0</v>
      </c>
      <c r="H49" s="266" t="n">
        <v>0</v>
      </c>
      <c r="I49" s="266" t="n">
        <v>0</v>
      </c>
      <c r="J49" s="267" t="n">
        <v>0</v>
      </c>
      <c r="K49" s="267" t="n">
        <v>0</v>
      </c>
      <c r="L49" s="267" t="n">
        <v>0</v>
      </c>
      <c r="M49" s="267" t="n">
        <v>0</v>
      </c>
      <c r="N49" s="268" t="n">
        <v>0</v>
      </c>
      <c r="O49" s="268" t="n">
        <v>0</v>
      </c>
      <c r="P49" s="268" t="n">
        <v>0</v>
      </c>
      <c r="Q49" s="268" t="n">
        <v>0</v>
      </c>
      <c r="R49" s="268" t="n">
        <v>0</v>
      </c>
      <c r="S49" s="268" t="n">
        <v>0</v>
      </c>
      <c r="T49" s="268" t="n">
        <v>0</v>
      </c>
      <c r="U49" s="268" t="n">
        <v>0</v>
      </c>
      <c r="V49" s="268" t="n">
        <v>0</v>
      </c>
      <c r="W49" s="269" t="n">
        <v>0</v>
      </c>
      <c r="X49" s="269" t="n">
        <v>0</v>
      </c>
      <c r="Y49" s="269" t="n">
        <v>0</v>
      </c>
      <c r="Z49" s="269" t="n">
        <v>0</v>
      </c>
      <c r="AA49" s="270" t="n">
        <v>0</v>
      </c>
      <c r="AB49" s="270" t="n">
        <v>0</v>
      </c>
      <c r="AC49" s="270" t="n">
        <v>0</v>
      </c>
      <c r="AD49" s="270" t="n">
        <v>0</v>
      </c>
      <c r="AE49" s="268" t="n">
        <v>0</v>
      </c>
      <c r="AF49" s="268" t="n">
        <v>0</v>
      </c>
      <c r="AG49" s="268" t="n">
        <v>0</v>
      </c>
      <c r="AH49" s="268" t="n">
        <v>0</v>
      </c>
      <c r="AI49" s="268" t="n">
        <v>0</v>
      </c>
      <c r="AJ49" s="268" t="n">
        <v>0</v>
      </c>
      <c r="AK49" s="269" t="n">
        <v>0</v>
      </c>
      <c r="AL49" s="269" t="n">
        <v>0</v>
      </c>
      <c r="AM49" s="269" t="n">
        <v>0</v>
      </c>
      <c r="AN49" s="269" t="n">
        <v>0</v>
      </c>
      <c r="AO49" s="270" t="n">
        <v>0</v>
      </c>
      <c r="AP49" s="270" t="n">
        <v>0</v>
      </c>
      <c r="AQ49" s="270" t="n">
        <v>0</v>
      </c>
      <c r="AR49" s="270" t="n">
        <v>0</v>
      </c>
      <c r="AS49" s="174" t="n">
        <v>0</v>
      </c>
      <c r="AT49" s="271" t="n">
        <v>0</v>
      </c>
      <c r="AU49" s="175" t="n">
        <v>0</v>
      </c>
      <c r="AV49" s="175" t="n">
        <v>0</v>
      </c>
      <c r="AW49" s="483" t="n">
        <v>0</v>
      </c>
      <c r="AX49" s="174" t="n">
        <v>0</v>
      </c>
      <c r="AY49" s="174" t="n">
        <v>0</v>
      </c>
      <c r="AZ49" s="483" t="n">
        <v>0</v>
      </c>
      <c r="BA49" s="483" t="n">
        <v>0</v>
      </c>
      <c r="BB49" s="174" t="n">
        <v>0</v>
      </c>
      <c r="BC49" s="174" t="n">
        <v>0</v>
      </c>
      <c r="BD49" s="483" t="n">
        <v>0</v>
      </c>
      <c r="BE49" s="483" t="n">
        <v>0</v>
      </c>
      <c r="BF49" s="483" t="n">
        <v>0</v>
      </c>
      <c r="BG49" s="483" t="n">
        <v>0</v>
      </c>
      <c r="BH49" s="483" t="n">
        <v>0</v>
      </c>
      <c r="BI49" s="483" t="n">
        <v>0</v>
      </c>
      <c r="BJ49" s="483" t="n">
        <v>0</v>
      </c>
      <c r="BK49" s="483" t="n">
        <v>0</v>
      </c>
      <c r="BL49" s="483" t="n">
        <v>0</v>
      </c>
      <c r="BM49" s="483" t="n">
        <v>0</v>
      </c>
      <c r="BN49" s="483" t="n">
        <v>0</v>
      </c>
      <c r="BO49" s="483" t="n">
        <v>0</v>
      </c>
      <c r="BP49" s="483" t="n">
        <v>0</v>
      </c>
      <c r="BQ49" s="483" t="n">
        <v>0</v>
      </c>
      <c r="BR49" s="483" t="n">
        <v>0</v>
      </c>
      <c r="BS49" s="483" t="n">
        <v>0</v>
      </c>
      <c r="BT49" s="483" t="n">
        <v>0</v>
      </c>
      <c r="BU49" s="483" t="n">
        <v>0</v>
      </c>
      <c r="BV49" s="483" t="n">
        <v>0</v>
      </c>
      <c r="BW49" s="483" t="n">
        <v>0</v>
      </c>
      <c r="BX49" s="483" t="n">
        <v>0</v>
      </c>
      <c r="BY49" s="483" t="n">
        <v>0</v>
      </c>
      <c r="BZ49" s="65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</row>
    <row r="50" hidden="1" s="191">
      <c r="A50" s="265" t="n">
        <v>0</v>
      </c>
      <c r="B50" s="265" t="n">
        <v>0</v>
      </c>
      <c r="C50" s="265" t="n">
        <v>0</v>
      </c>
      <c r="D50" s="265" t="n">
        <v>0</v>
      </c>
      <c r="E50" s="265" t="n">
        <v>0</v>
      </c>
      <c r="F50" s="266" t="n">
        <v>0</v>
      </c>
      <c r="G50" s="266" t="n">
        <v>0</v>
      </c>
      <c r="H50" s="266" t="n">
        <v>0</v>
      </c>
      <c r="I50" s="266" t="n">
        <v>0</v>
      </c>
      <c r="J50" s="267" t="n">
        <v>0</v>
      </c>
      <c r="K50" s="267" t="n">
        <v>0</v>
      </c>
      <c r="L50" s="267" t="n">
        <v>0</v>
      </c>
      <c r="M50" s="267" t="n">
        <v>0</v>
      </c>
      <c r="N50" s="268" t="n">
        <v>0</v>
      </c>
      <c r="O50" s="268" t="n">
        <v>0</v>
      </c>
      <c r="P50" s="268" t="n">
        <v>0</v>
      </c>
      <c r="Q50" s="268" t="n">
        <v>0</v>
      </c>
      <c r="R50" s="268" t="n">
        <v>0</v>
      </c>
      <c r="S50" s="268" t="n">
        <v>0</v>
      </c>
      <c r="T50" s="268" t="n">
        <v>0</v>
      </c>
      <c r="U50" s="268" t="n">
        <v>0</v>
      </c>
      <c r="V50" s="268" t="n">
        <v>0</v>
      </c>
      <c r="W50" s="269" t="n">
        <v>0</v>
      </c>
      <c r="X50" s="269" t="n">
        <v>0</v>
      </c>
      <c r="Y50" s="269" t="n">
        <v>0</v>
      </c>
      <c r="Z50" s="269" t="n">
        <v>0</v>
      </c>
      <c r="AA50" s="270" t="n">
        <v>0</v>
      </c>
      <c r="AB50" s="270" t="n">
        <v>0</v>
      </c>
      <c r="AC50" s="270" t="n">
        <v>0</v>
      </c>
      <c r="AD50" s="270" t="n">
        <v>0</v>
      </c>
      <c r="AE50" s="268" t="n">
        <v>0</v>
      </c>
      <c r="AF50" s="268" t="n">
        <v>0</v>
      </c>
      <c r="AG50" s="268" t="n">
        <v>0</v>
      </c>
      <c r="AH50" s="268" t="n">
        <v>0</v>
      </c>
      <c r="AI50" s="268" t="n">
        <v>0</v>
      </c>
      <c r="AJ50" s="268" t="n">
        <v>0</v>
      </c>
      <c r="AK50" s="269" t="n">
        <v>0</v>
      </c>
      <c r="AL50" s="269" t="n">
        <v>0</v>
      </c>
      <c r="AM50" s="269" t="n">
        <v>0</v>
      </c>
      <c r="AN50" s="269" t="n">
        <v>0</v>
      </c>
      <c r="AO50" s="270" t="n">
        <v>0</v>
      </c>
      <c r="AP50" s="270" t="n">
        <v>0</v>
      </c>
      <c r="AQ50" s="270" t="n">
        <v>0</v>
      </c>
      <c r="AR50" s="270" t="n">
        <v>0</v>
      </c>
      <c r="AS50" s="174" t="n">
        <v>0</v>
      </c>
      <c r="AT50" s="271" t="n">
        <v>0</v>
      </c>
      <c r="AU50" s="175" t="n">
        <v>0</v>
      </c>
      <c r="AV50" s="175" t="n">
        <v>0</v>
      </c>
      <c r="AW50" s="483" t="n">
        <v>0</v>
      </c>
      <c r="AX50" s="174" t="n">
        <v>0</v>
      </c>
      <c r="AY50" s="174" t="n">
        <v>0</v>
      </c>
      <c r="AZ50" s="483" t="n">
        <v>0</v>
      </c>
      <c r="BA50" s="483" t="n">
        <v>0</v>
      </c>
      <c r="BB50" s="174" t="n">
        <v>0</v>
      </c>
      <c r="BC50" s="174" t="n">
        <v>0</v>
      </c>
      <c r="BD50" s="483" t="n">
        <v>0</v>
      </c>
      <c r="BE50" s="483" t="n">
        <v>0</v>
      </c>
      <c r="BF50" s="483" t="n">
        <v>0</v>
      </c>
      <c r="BG50" s="483" t="n">
        <v>0</v>
      </c>
      <c r="BH50" s="483" t="n">
        <v>0</v>
      </c>
      <c r="BI50" s="483" t="n">
        <v>0</v>
      </c>
      <c r="BJ50" s="483" t="n">
        <v>0</v>
      </c>
      <c r="BK50" s="483" t="n">
        <v>0</v>
      </c>
      <c r="BL50" s="483" t="n">
        <v>0</v>
      </c>
      <c r="BM50" s="483" t="n">
        <v>0</v>
      </c>
      <c r="BN50" s="483" t="n">
        <v>0</v>
      </c>
      <c r="BO50" s="483" t="n">
        <v>0</v>
      </c>
      <c r="BP50" s="483" t="n">
        <v>0</v>
      </c>
      <c r="BQ50" s="483" t="n">
        <v>0</v>
      </c>
      <c r="BR50" s="483" t="n">
        <v>0</v>
      </c>
      <c r="BS50" s="483" t="n">
        <v>0</v>
      </c>
      <c r="BT50" s="483" t="n">
        <v>0</v>
      </c>
      <c r="BU50" s="483" t="n">
        <v>0</v>
      </c>
      <c r="BV50" s="483" t="n">
        <v>0</v>
      </c>
      <c r="BW50" s="483" t="n">
        <v>0</v>
      </c>
      <c r="BX50" s="483" t="n">
        <v>0</v>
      </c>
      <c r="BY50" s="483" t="n">
        <v>0</v>
      </c>
      <c r="BZ50" s="659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</row>
    <row r="51" hidden="1" s="191">
      <c r="A51" s="265" t="n">
        <v>0</v>
      </c>
      <c r="B51" s="265" t="n">
        <v>0</v>
      </c>
      <c r="C51" s="265" t="n">
        <v>0</v>
      </c>
      <c r="D51" s="265" t="n">
        <v>0</v>
      </c>
      <c r="E51" s="265" t="n">
        <v>0</v>
      </c>
      <c r="F51" s="266" t="n">
        <v>0</v>
      </c>
      <c r="G51" s="266" t="n">
        <v>0</v>
      </c>
      <c r="H51" s="266" t="n">
        <v>0</v>
      </c>
      <c r="I51" s="266" t="n">
        <v>0</v>
      </c>
      <c r="J51" s="267" t="n">
        <v>0</v>
      </c>
      <c r="K51" s="267" t="n">
        <v>0</v>
      </c>
      <c r="L51" s="267" t="n">
        <v>0</v>
      </c>
      <c r="M51" s="267" t="n">
        <v>0</v>
      </c>
      <c r="N51" s="268" t="n">
        <v>0</v>
      </c>
      <c r="O51" s="268" t="n">
        <v>0</v>
      </c>
      <c r="P51" s="268" t="n">
        <v>0</v>
      </c>
      <c r="Q51" s="268" t="n">
        <v>0</v>
      </c>
      <c r="R51" s="268" t="n">
        <v>0</v>
      </c>
      <c r="S51" s="268" t="n">
        <v>0</v>
      </c>
      <c r="T51" s="268" t="n">
        <v>0</v>
      </c>
      <c r="U51" s="268" t="n">
        <v>0</v>
      </c>
      <c r="V51" s="268" t="n">
        <v>0</v>
      </c>
      <c r="W51" s="269" t="n">
        <v>0</v>
      </c>
      <c r="X51" s="269" t="n">
        <v>0</v>
      </c>
      <c r="Y51" s="269" t="n">
        <v>0</v>
      </c>
      <c r="Z51" s="269" t="n">
        <v>0</v>
      </c>
      <c r="AA51" s="270" t="n">
        <v>0</v>
      </c>
      <c r="AB51" s="270" t="n">
        <v>0</v>
      </c>
      <c r="AC51" s="270" t="n">
        <v>0</v>
      </c>
      <c r="AD51" s="270" t="n">
        <v>0</v>
      </c>
      <c r="AE51" s="268" t="n">
        <v>0</v>
      </c>
      <c r="AF51" s="268" t="n">
        <v>0</v>
      </c>
      <c r="AG51" s="268" t="n">
        <v>0</v>
      </c>
      <c r="AH51" s="268" t="n">
        <v>0</v>
      </c>
      <c r="AI51" s="268" t="n">
        <v>0</v>
      </c>
      <c r="AJ51" s="268" t="n">
        <v>0</v>
      </c>
      <c r="AK51" s="269" t="n">
        <v>0</v>
      </c>
      <c r="AL51" s="269" t="n">
        <v>0</v>
      </c>
      <c r="AM51" s="269" t="n">
        <v>0</v>
      </c>
      <c r="AN51" s="269" t="n">
        <v>0</v>
      </c>
      <c r="AO51" s="270" t="n">
        <v>0</v>
      </c>
      <c r="AP51" s="270" t="n">
        <v>0</v>
      </c>
      <c r="AQ51" s="270" t="n">
        <v>0</v>
      </c>
      <c r="AR51" s="270" t="n">
        <v>0</v>
      </c>
      <c r="AS51" s="174" t="n">
        <v>0</v>
      </c>
      <c r="AT51" s="271" t="n">
        <v>0</v>
      </c>
      <c r="AU51" s="175" t="n">
        <v>0</v>
      </c>
      <c r="AV51" s="175" t="n">
        <v>0</v>
      </c>
      <c r="AW51" s="483" t="n">
        <v>0</v>
      </c>
      <c r="AX51" s="174" t="n">
        <v>0</v>
      </c>
      <c r="AY51" s="174" t="n">
        <v>0</v>
      </c>
      <c r="AZ51" s="483" t="n">
        <v>0</v>
      </c>
      <c r="BA51" s="483" t="n">
        <v>0</v>
      </c>
      <c r="BB51" s="174" t="n">
        <v>0</v>
      </c>
      <c r="BC51" s="174" t="n">
        <v>0</v>
      </c>
      <c r="BD51" s="483" t="n">
        <v>0</v>
      </c>
      <c r="BE51" s="483" t="n">
        <v>0</v>
      </c>
      <c r="BF51" s="483" t="n">
        <v>0</v>
      </c>
      <c r="BG51" s="483" t="n">
        <v>0</v>
      </c>
      <c r="BH51" s="483" t="n">
        <v>0</v>
      </c>
      <c r="BI51" s="483" t="n">
        <v>0</v>
      </c>
      <c r="BJ51" s="483" t="n">
        <v>0</v>
      </c>
      <c r="BK51" s="483" t="n">
        <v>0</v>
      </c>
      <c r="BL51" s="483" t="n">
        <v>0</v>
      </c>
      <c r="BM51" s="483" t="n">
        <v>0</v>
      </c>
      <c r="BN51" s="483" t="n">
        <v>0</v>
      </c>
      <c r="BO51" s="483" t="n">
        <v>0</v>
      </c>
      <c r="BP51" s="483" t="n">
        <v>0</v>
      </c>
      <c r="BQ51" s="483" t="n">
        <v>0</v>
      </c>
      <c r="BR51" s="483" t="n">
        <v>0</v>
      </c>
      <c r="BS51" s="483" t="n">
        <v>0</v>
      </c>
      <c r="BT51" s="483" t="n">
        <v>0</v>
      </c>
      <c r="BU51" s="483" t="n">
        <v>0</v>
      </c>
      <c r="BV51" s="483" t="n">
        <v>0</v>
      </c>
      <c r="BW51" s="483" t="n">
        <v>0</v>
      </c>
      <c r="BX51" s="483" t="n">
        <v>0</v>
      </c>
      <c r="BY51" s="483" t="n">
        <v>0</v>
      </c>
      <c r="BZ51" s="659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</row>
    <row r="52" hidden="1" s="191">
      <c r="A52" s="265" t="n">
        <v>0</v>
      </c>
      <c r="B52" s="265" t="n">
        <v>0</v>
      </c>
      <c r="C52" s="265" t="n">
        <v>0</v>
      </c>
      <c r="D52" s="265" t="n">
        <v>0</v>
      </c>
      <c r="E52" s="265" t="n">
        <v>0</v>
      </c>
      <c r="F52" s="266" t="n">
        <v>0</v>
      </c>
      <c r="G52" s="266" t="n">
        <v>0</v>
      </c>
      <c r="H52" s="266" t="n">
        <v>0</v>
      </c>
      <c r="I52" s="266" t="n">
        <v>0</v>
      </c>
      <c r="J52" s="267" t="n">
        <v>0</v>
      </c>
      <c r="K52" s="267" t="n">
        <v>0</v>
      </c>
      <c r="L52" s="267" t="n">
        <v>0</v>
      </c>
      <c r="M52" s="267" t="n">
        <v>0</v>
      </c>
      <c r="N52" s="268" t="n">
        <v>0</v>
      </c>
      <c r="O52" s="268" t="n">
        <v>0</v>
      </c>
      <c r="P52" s="268" t="n">
        <v>0</v>
      </c>
      <c r="Q52" s="268" t="n">
        <v>0</v>
      </c>
      <c r="R52" s="268" t="n">
        <v>0</v>
      </c>
      <c r="S52" s="268" t="n">
        <v>0</v>
      </c>
      <c r="T52" s="268" t="n">
        <v>0</v>
      </c>
      <c r="U52" s="268" t="n">
        <v>0</v>
      </c>
      <c r="V52" s="268" t="n">
        <v>0</v>
      </c>
      <c r="W52" s="269" t="n">
        <v>0</v>
      </c>
      <c r="X52" s="269" t="n">
        <v>0</v>
      </c>
      <c r="Y52" s="269" t="n">
        <v>0</v>
      </c>
      <c r="Z52" s="269" t="n">
        <v>0</v>
      </c>
      <c r="AA52" s="270" t="n">
        <v>0</v>
      </c>
      <c r="AB52" s="270" t="n">
        <v>0</v>
      </c>
      <c r="AC52" s="270" t="n">
        <v>0</v>
      </c>
      <c r="AD52" s="270" t="n">
        <v>0</v>
      </c>
      <c r="AE52" s="268" t="n">
        <v>0</v>
      </c>
      <c r="AF52" s="268" t="n">
        <v>0</v>
      </c>
      <c r="AG52" s="268" t="n">
        <v>0</v>
      </c>
      <c r="AH52" s="268" t="n">
        <v>0</v>
      </c>
      <c r="AI52" s="268" t="n">
        <v>0</v>
      </c>
      <c r="AJ52" s="268" t="n">
        <v>0</v>
      </c>
      <c r="AK52" s="269" t="n">
        <v>0</v>
      </c>
      <c r="AL52" s="269" t="n">
        <v>0</v>
      </c>
      <c r="AM52" s="269" t="n">
        <v>0</v>
      </c>
      <c r="AN52" s="269" t="n">
        <v>0</v>
      </c>
      <c r="AO52" s="270" t="n">
        <v>0</v>
      </c>
      <c r="AP52" s="270" t="n">
        <v>0</v>
      </c>
      <c r="AQ52" s="270" t="n">
        <v>0</v>
      </c>
      <c r="AR52" s="270" t="n">
        <v>0</v>
      </c>
      <c r="AS52" s="174" t="n">
        <v>0</v>
      </c>
      <c r="AT52" s="271" t="n">
        <v>0</v>
      </c>
      <c r="AU52" s="175" t="n">
        <v>0</v>
      </c>
      <c r="AV52" s="175" t="n">
        <v>0</v>
      </c>
      <c r="AW52" s="483" t="n">
        <v>0</v>
      </c>
      <c r="AX52" s="174" t="n">
        <v>0</v>
      </c>
      <c r="AY52" s="174" t="n">
        <v>0</v>
      </c>
      <c r="AZ52" s="483" t="n">
        <v>0</v>
      </c>
      <c r="BA52" s="483" t="n">
        <v>0</v>
      </c>
      <c r="BB52" s="174" t="n">
        <v>0</v>
      </c>
      <c r="BC52" s="174" t="n">
        <v>0</v>
      </c>
      <c r="BD52" s="483" t="n">
        <v>0</v>
      </c>
      <c r="BE52" s="483" t="n">
        <v>0</v>
      </c>
      <c r="BF52" s="483" t="n">
        <v>0</v>
      </c>
      <c r="BG52" s="483" t="n">
        <v>0</v>
      </c>
      <c r="BH52" s="483" t="n">
        <v>0</v>
      </c>
      <c r="BI52" s="483" t="n">
        <v>0</v>
      </c>
      <c r="BJ52" s="483" t="n">
        <v>0</v>
      </c>
      <c r="BK52" s="483" t="n">
        <v>0</v>
      </c>
      <c r="BL52" s="483" t="n">
        <v>0</v>
      </c>
      <c r="BM52" s="483" t="n">
        <v>0</v>
      </c>
      <c r="BN52" s="483" t="n">
        <v>0</v>
      </c>
      <c r="BO52" s="483" t="n">
        <v>0</v>
      </c>
      <c r="BP52" s="483" t="n">
        <v>0</v>
      </c>
      <c r="BQ52" s="483" t="n">
        <v>0</v>
      </c>
      <c r="BR52" s="483" t="n">
        <v>0</v>
      </c>
      <c r="BS52" s="483" t="n">
        <v>0</v>
      </c>
      <c r="BT52" s="483" t="n">
        <v>0</v>
      </c>
      <c r="BU52" s="483" t="n">
        <v>0</v>
      </c>
      <c r="BV52" s="483" t="n">
        <v>0</v>
      </c>
      <c r="BW52" s="483" t="n">
        <v>0</v>
      </c>
      <c r="BX52" s="483" t="n">
        <v>0</v>
      </c>
      <c r="BY52" s="483" t="n">
        <v>0</v>
      </c>
      <c r="BZ52" s="659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</row>
    <row r="53" hidden="1" s="191">
      <c r="A53" s="265" t="n">
        <v>0</v>
      </c>
      <c r="B53" s="265" t="n">
        <v>0</v>
      </c>
      <c r="C53" s="265" t="n">
        <v>0</v>
      </c>
      <c r="D53" s="265" t="n">
        <v>0</v>
      </c>
      <c r="E53" s="265" t="n">
        <v>0</v>
      </c>
      <c r="F53" s="266" t="n">
        <v>0</v>
      </c>
      <c r="G53" s="266" t="n">
        <v>0</v>
      </c>
      <c r="H53" s="266" t="n">
        <v>0</v>
      </c>
      <c r="I53" s="266" t="n">
        <v>0</v>
      </c>
      <c r="J53" s="267" t="n">
        <v>0</v>
      </c>
      <c r="K53" s="267" t="n">
        <v>0</v>
      </c>
      <c r="L53" s="267" t="n">
        <v>0</v>
      </c>
      <c r="M53" s="267" t="n">
        <v>0</v>
      </c>
      <c r="N53" s="268" t="n">
        <v>0</v>
      </c>
      <c r="O53" s="268" t="n">
        <v>0</v>
      </c>
      <c r="P53" s="268" t="n">
        <v>0</v>
      </c>
      <c r="Q53" s="268" t="n">
        <v>0</v>
      </c>
      <c r="R53" s="268" t="n">
        <v>0</v>
      </c>
      <c r="S53" s="268" t="n">
        <v>0</v>
      </c>
      <c r="T53" s="268" t="n">
        <v>0</v>
      </c>
      <c r="U53" s="268" t="n">
        <v>0</v>
      </c>
      <c r="V53" s="268" t="n">
        <v>0</v>
      </c>
      <c r="W53" s="269" t="n">
        <v>0</v>
      </c>
      <c r="X53" s="269" t="n">
        <v>0</v>
      </c>
      <c r="Y53" s="269" t="n">
        <v>0</v>
      </c>
      <c r="Z53" s="269" t="n">
        <v>0</v>
      </c>
      <c r="AA53" s="270" t="n">
        <v>0</v>
      </c>
      <c r="AB53" s="270" t="n">
        <v>0</v>
      </c>
      <c r="AC53" s="270" t="n">
        <v>0</v>
      </c>
      <c r="AD53" s="270" t="n">
        <v>0</v>
      </c>
      <c r="AE53" s="268" t="n">
        <v>0</v>
      </c>
      <c r="AF53" s="268" t="n">
        <v>0</v>
      </c>
      <c r="AG53" s="268" t="n">
        <v>0</v>
      </c>
      <c r="AH53" s="268" t="n">
        <v>0</v>
      </c>
      <c r="AI53" s="268" t="n">
        <v>0</v>
      </c>
      <c r="AJ53" s="268" t="n">
        <v>0</v>
      </c>
      <c r="AK53" s="269" t="n">
        <v>0</v>
      </c>
      <c r="AL53" s="269" t="n">
        <v>0</v>
      </c>
      <c r="AM53" s="269" t="n">
        <v>0</v>
      </c>
      <c r="AN53" s="269" t="n">
        <v>0</v>
      </c>
      <c r="AO53" s="270" t="n">
        <v>0</v>
      </c>
      <c r="AP53" s="270" t="n">
        <v>0</v>
      </c>
      <c r="AQ53" s="270" t="n">
        <v>0</v>
      </c>
      <c r="AR53" s="270" t="n">
        <v>0</v>
      </c>
      <c r="AS53" s="174" t="n">
        <v>0</v>
      </c>
      <c r="AT53" s="271" t="n">
        <v>0</v>
      </c>
      <c r="AU53" s="175" t="n">
        <v>0</v>
      </c>
      <c r="AV53" s="175" t="n">
        <v>0</v>
      </c>
      <c r="AW53" s="483" t="n">
        <v>0</v>
      </c>
      <c r="AX53" s="174" t="n">
        <v>0</v>
      </c>
      <c r="AY53" s="174" t="n">
        <v>0</v>
      </c>
      <c r="AZ53" s="483" t="n">
        <v>0</v>
      </c>
      <c r="BA53" s="483" t="n">
        <v>0</v>
      </c>
      <c r="BB53" s="174" t="n">
        <v>0</v>
      </c>
      <c r="BC53" s="174" t="n">
        <v>0</v>
      </c>
      <c r="BD53" s="483" t="n">
        <v>0</v>
      </c>
      <c r="BE53" s="483" t="n">
        <v>0</v>
      </c>
      <c r="BF53" s="483" t="n">
        <v>0</v>
      </c>
      <c r="BG53" s="483" t="n">
        <v>0</v>
      </c>
      <c r="BH53" s="483" t="n">
        <v>0</v>
      </c>
      <c r="BI53" s="483" t="n">
        <v>0</v>
      </c>
      <c r="BJ53" s="483" t="n">
        <v>0</v>
      </c>
      <c r="BK53" s="483" t="n">
        <v>0</v>
      </c>
      <c r="BL53" s="483" t="n">
        <v>0</v>
      </c>
      <c r="BM53" s="483" t="n">
        <v>0</v>
      </c>
      <c r="BN53" s="483" t="n">
        <v>0</v>
      </c>
      <c r="BO53" s="483" t="n">
        <v>0</v>
      </c>
      <c r="BP53" s="483" t="n">
        <v>0</v>
      </c>
      <c r="BQ53" s="483" t="n">
        <v>0</v>
      </c>
      <c r="BR53" s="483" t="n">
        <v>0</v>
      </c>
      <c r="BS53" s="483" t="n">
        <v>0</v>
      </c>
      <c r="BT53" s="483" t="n">
        <v>0</v>
      </c>
      <c r="BU53" s="483" t="n">
        <v>0</v>
      </c>
      <c r="BV53" s="483" t="n">
        <v>0</v>
      </c>
      <c r="BW53" s="483" t="n">
        <v>0</v>
      </c>
      <c r="BX53" s="483" t="n">
        <v>0</v>
      </c>
      <c r="BY53" s="483" t="n">
        <v>0</v>
      </c>
      <c r="BZ53" s="659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</row>
    <row r="54" hidden="1" s="191">
      <c r="A54" s="265" t="n">
        <v>0</v>
      </c>
      <c r="B54" s="265" t="n">
        <v>0</v>
      </c>
      <c r="C54" s="265" t="n">
        <v>0</v>
      </c>
      <c r="D54" s="265" t="n">
        <v>0</v>
      </c>
      <c r="E54" s="265" t="n">
        <v>0</v>
      </c>
      <c r="F54" s="266" t="n">
        <v>0</v>
      </c>
      <c r="G54" s="266" t="n">
        <v>0</v>
      </c>
      <c r="H54" s="266" t="n">
        <v>0</v>
      </c>
      <c r="I54" s="266" t="n">
        <v>0</v>
      </c>
      <c r="J54" s="267" t="n">
        <v>0</v>
      </c>
      <c r="K54" s="267" t="n">
        <v>0</v>
      </c>
      <c r="L54" s="267" t="n">
        <v>0</v>
      </c>
      <c r="M54" s="267" t="n">
        <v>0</v>
      </c>
      <c r="N54" s="268" t="n">
        <v>0</v>
      </c>
      <c r="O54" s="268" t="n">
        <v>0</v>
      </c>
      <c r="P54" s="268" t="n">
        <v>0</v>
      </c>
      <c r="Q54" s="268" t="n">
        <v>0</v>
      </c>
      <c r="R54" s="268" t="n">
        <v>0</v>
      </c>
      <c r="S54" s="268" t="n">
        <v>0</v>
      </c>
      <c r="T54" s="268" t="n">
        <v>0</v>
      </c>
      <c r="U54" s="268" t="n">
        <v>0</v>
      </c>
      <c r="V54" s="268" t="n">
        <v>0</v>
      </c>
      <c r="W54" s="269" t="n">
        <v>0</v>
      </c>
      <c r="X54" s="269" t="n">
        <v>0</v>
      </c>
      <c r="Y54" s="269" t="n">
        <v>0</v>
      </c>
      <c r="Z54" s="269" t="n">
        <v>0</v>
      </c>
      <c r="AA54" s="270" t="n">
        <v>0</v>
      </c>
      <c r="AB54" s="270" t="n">
        <v>0</v>
      </c>
      <c r="AC54" s="270" t="n">
        <v>0</v>
      </c>
      <c r="AD54" s="270" t="n">
        <v>0</v>
      </c>
      <c r="AE54" s="268" t="n">
        <v>0</v>
      </c>
      <c r="AF54" s="268" t="n">
        <v>0</v>
      </c>
      <c r="AG54" s="268" t="n">
        <v>0</v>
      </c>
      <c r="AH54" s="268" t="n">
        <v>0</v>
      </c>
      <c r="AI54" s="268" t="n">
        <v>0</v>
      </c>
      <c r="AJ54" s="268" t="n">
        <v>0</v>
      </c>
      <c r="AK54" s="269" t="n">
        <v>0</v>
      </c>
      <c r="AL54" s="269" t="n">
        <v>0</v>
      </c>
      <c r="AM54" s="269" t="n">
        <v>0</v>
      </c>
      <c r="AN54" s="269" t="n">
        <v>0</v>
      </c>
      <c r="AO54" s="270" t="n">
        <v>0</v>
      </c>
      <c r="AP54" s="270" t="n">
        <v>0</v>
      </c>
      <c r="AQ54" s="270" t="n">
        <v>0</v>
      </c>
      <c r="AR54" s="270" t="n">
        <v>0</v>
      </c>
      <c r="AS54" s="174" t="n">
        <v>0</v>
      </c>
      <c r="AT54" s="271" t="n">
        <v>0</v>
      </c>
      <c r="AU54" s="175" t="n">
        <v>0</v>
      </c>
      <c r="AV54" s="175" t="n">
        <v>0</v>
      </c>
      <c r="AW54" s="483" t="n">
        <v>0</v>
      </c>
      <c r="AX54" s="174" t="n">
        <v>0</v>
      </c>
      <c r="AY54" s="174" t="n">
        <v>0</v>
      </c>
      <c r="AZ54" s="483" t="n">
        <v>0</v>
      </c>
      <c r="BA54" s="483" t="n">
        <v>0</v>
      </c>
      <c r="BB54" s="174" t="n">
        <v>0</v>
      </c>
      <c r="BC54" s="174" t="n">
        <v>0</v>
      </c>
      <c r="BD54" s="483" t="n">
        <v>0</v>
      </c>
      <c r="BE54" s="483" t="n">
        <v>0</v>
      </c>
      <c r="BF54" s="483" t="n">
        <v>0</v>
      </c>
      <c r="BG54" s="483" t="n">
        <v>0</v>
      </c>
      <c r="BH54" s="483" t="n">
        <v>0</v>
      </c>
      <c r="BI54" s="483" t="n">
        <v>0</v>
      </c>
      <c r="BJ54" s="483" t="n">
        <v>0</v>
      </c>
      <c r="BK54" s="483" t="n">
        <v>0</v>
      </c>
      <c r="BL54" s="483" t="n">
        <v>0</v>
      </c>
      <c r="BM54" s="483" t="n">
        <v>0</v>
      </c>
      <c r="BN54" s="483" t="n">
        <v>0</v>
      </c>
      <c r="BO54" s="483" t="n">
        <v>0</v>
      </c>
      <c r="BP54" s="483" t="n">
        <v>0</v>
      </c>
      <c r="BQ54" s="483" t="n">
        <v>0</v>
      </c>
      <c r="BR54" s="483" t="n">
        <v>0</v>
      </c>
      <c r="BS54" s="483" t="n">
        <v>0</v>
      </c>
      <c r="BT54" s="483" t="n">
        <v>0</v>
      </c>
      <c r="BU54" s="483" t="n">
        <v>0</v>
      </c>
      <c r="BV54" s="483" t="n">
        <v>0</v>
      </c>
      <c r="BW54" s="483" t="n">
        <v>0</v>
      </c>
      <c r="BX54" s="483" t="n">
        <v>0</v>
      </c>
      <c r="BY54" s="483" t="n">
        <v>0</v>
      </c>
      <c r="BZ54" s="659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 hidden="1" s="191">
      <c r="A55" s="265" t="n">
        <v>0</v>
      </c>
      <c r="B55" s="265" t="n">
        <v>0</v>
      </c>
      <c r="C55" s="265" t="n">
        <v>0</v>
      </c>
      <c r="D55" s="265" t="n">
        <v>0</v>
      </c>
      <c r="E55" s="265" t="n">
        <v>0</v>
      </c>
      <c r="F55" s="266" t="n">
        <v>0</v>
      </c>
      <c r="G55" s="266" t="n">
        <v>0</v>
      </c>
      <c r="H55" s="266" t="n">
        <v>0</v>
      </c>
      <c r="I55" s="266" t="n">
        <v>0</v>
      </c>
      <c r="J55" s="267" t="n">
        <v>0</v>
      </c>
      <c r="K55" s="267" t="n">
        <v>0</v>
      </c>
      <c r="L55" s="267" t="n">
        <v>0</v>
      </c>
      <c r="M55" s="267" t="n">
        <v>0</v>
      </c>
      <c r="N55" s="268" t="n">
        <v>0</v>
      </c>
      <c r="O55" s="268" t="n">
        <v>0</v>
      </c>
      <c r="P55" s="268" t="n">
        <v>0</v>
      </c>
      <c r="Q55" s="268" t="n">
        <v>0</v>
      </c>
      <c r="R55" s="268" t="n">
        <v>0</v>
      </c>
      <c r="S55" s="268" t="n">
        <v>0</v>
      </c>
      <c r="T55" s="268" t="n">
        <v>0</v>
      </c>
      <c r="U55" s="268" t="n">
        <v>0</v>
      </c>
      <c r="V55" s="268" t="n">
        <v>0</v>
      </c>
      <c r="W55" s="269" t="n">
        <v>0</v>
      </c>
      <c r="X55" s="269" t="n">
        <v>0</v>
      </c>
      <c r="Y55" s="269" t="n">
        <v>0</v>
      </c>
      <c r="Z55" s="269" t="n">
        <v>0</v>
      </c>
      <c r="AA55" s="270" t="n">
        <v>0</v>
      </c>
      <c r="AB55" s="270" t="n">
        <v>0</v>
      </c>
      <c r="AC55" s="270" t="n">
        <v>0</v>
      </c>
      <c r="AD55" s="270" t="n">
        <v>0</v>
      </c>
      <c r="AE55" s="268" t="n">
        <v>0</v>
      </c>
      <c r="AF55" s="268" t="n">
        <v>0</v>
      </c>
      <c r="AG55" s="268" t="n">
        <v>0</v>
      </c>
      <c r="AH55" s="268" t="n">
        <v>0</v>
      </c>
      <c r="AI55" s="268" t="n">
        <v>0</v>
      </c>
      <c r="AJ55" s="268" t="n">
        <v>0</v>
      </c>
      <c r="AK55" s="269" t="n">
        <v>0</v>
      </c>
      <c r="AL55" s="269" t="n">
        <v>0</v>
      </c>
      <c r="AM55" s="269" t="n">
        <v>0</v>
      </c>
      <c r="AN55" s="269" t="n">
        <v>0</v>
      </c>
      <c r="AO55" s="270" t="n">
        <v>0</v>
      </c>
      <c r="AP55" s="270" t="n">
        <v>0</v>
      </c>
      <c r="AQ55" s="270" t="n">
        <v>0</v>
      </c>
      <c r="AR55" s="270" t="n">
        <v>0</v>
      </c>
      <c r="AS55" s="174" t="n">
        <v>0</v>
      </c>
      <c r="AT55" s="271" t="n">
        <v>0</v>
      </c>
      <c r="AU55" s="175" t="n">
        <v>0</v>
      </c>
      <c r="AV55" s="175" t="n">
        <v>0</v>
      </c>
      <c r="AW55" s="483" t="n">
        <v>0</v>
      </c>
      <c r="AX55" s="174" t="n">
        <v>0</v>
      </c>
      <c r="AY55" s="174" t="n">
        <v>0</v>
      </c>
      <c r="AZ55" s="483" t="n">
        <v>0</v>
      </c>
      <c r="BA55" s="483" t="n">
        <v>0</v>
      </c>
      <c r="BB55" s="174" t="n">
        <v>0</v>
      </c>
      <c r="BC55" s="174" t="n">
        <v>0</v>
      </c>
      <c r="BD55" s="483" t="n">
        <v>0</v>
      </c>
      <c r="BE55" s="483" t="n">
        <v>0</v>
      </c>
      <c r="BF55" s="483" t="n">
        <v>0</v>
      </c>
      <c r="BG55" s="483" t="n">
        <v>0</v>
      </c>
      <c r="BH55" s="483" t="n">
        <v>0</v>
      </c>
      <c r="BI55" s="483" t="n">
        <v>0</v>
      </c>
      <c r="BJ55" s="483" t="n">
        <v>0</v>
      </c>
      <c r="BK55" s="483" t="n">
        <v>0</v>
      </c>
      <c r="BL55" s="483" t="n">
        <v>0</v>
      </c>
      <c r="BM55" s="483" t="n">
        <v>0</v>
      </c>
      <c r="BN55" s="483" t="n">
        <v>0</v>
      </c>
      <c r="BO55" s="483" t="n">
        <v>0</v>
      </c>
      <c r="BP55" s="483" t="n">
        <v>0</v>
      </c>
      <c r="BQ55" s="483" t="n">
        <v>0</v>
      </c>
      <c r="BR55" s="483" t="n">
        <v>0</v>
      </c>
      <c r="BS55" s="483" t="n">
        <v>0</v>
      </c>
      <c r="BT55" s="483" t="n">
        <v>0</v>
      </c>
      <c r="BU55" s="483" t="n">
        <v>0</v>
      </c>
      <c r="BV55" s="483" t="n">
        <v>0</v>
      </c>
      <c r="BW55" s="483" t="n">
        <v>0</v>
      </c>
      <c r="BX55" s="483" t="n">
        <v>0</v>
      </c>
      <c r="BY55" s="483" t="n">
        <v>0</v>
      </c>
      <c r="BZ55" s="659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</row>
    <row r="56" hidden="1" s="191">
      <c r="A56" s="265" t="n">
        <v>0</v>
      </c>
      <c r="B56" s="265" t="n">
        <v>0</v>
      </c>
      <c r="C56" s="265" t="n">
        <v>0</v>
      </c>
      <c r="D56" s="265" t="n">
        <v>0</v>
      </c>
      <c r="E56" s="265" t="n">
        <v>0</v>
      </c>
      <c r="F56" s="266" t="n">
        <v>0</v>
      </c>
      <c r="G56" s="266" t="n">
        <v>0</v>
      </c>
      <c r="H56" s="266" t="n">
        <v>0</v>
      </c>
      <c r="I56" s="266" t="n">
        <v>0</v>
      </c>
      <c r="J56" s="267" t="n">
        <v>0</v>
      </c>
      <c r="K56" s="267" t="n">
        <v>0</v>
      </c>
      <c r="L56" s="267" t="n">
        <v>0</v>
      </c>
      <c r="M56" s="267" t="n">
        <v>0</v>
      </c>
      <c r="N56" s="268" t="n">
        <v>0</v>
      </c>
      <c r="O56" s="268" t="n">
        <v>0</v>
      </c>
      <c r="P56" s="268" t="n">
        <v>0</v>
      </c>
      <c r="Q56" s="268" t="n">
        <v>0</v>
      </c>
      <c r="R56" s="268" t="n">
        <v>0</v>
      </c>
      <c r="S56" s="268" t="n">
        <v>0</v>
      </c>
      <c r="T56" s="268" t="n">
        <v>0</v>
      </c>
      <c r="U56" s="268" t="n">
        <v>0</v>
      </c>
      <c r="V56" s="268" t="n">
        <v>0</v>
      </c>
      <c r="W56" s="269" t="n">
        <v>0</v>
      </c>
      <c r="X56" s="269" t="n">
        <v>0</v>
      </c>
      <c r="Y56" s="269" t="n">
        <v>0</v>
      </c>
      <c r="Z56" s="269" t="n">
        <v>0</v>
      </c>
      <c r="AA56" s="270" t="n">
        <v>0</v>
      </c>
      <c r="AB56" s="270" t="n">
        <v>0</v>
      </c>
      <c r="AC56" s="270" t="n">
        <v>0</v>
      </c>
      <c r="AD56" s="270" t="n">
        <v>0</v>
      </c>
      <c r="AE56" s="268" t="n">
        <v>0</v>
      </c>
      <c r="AF56" s="268" t="n">
        <v>0</v>
      </c>
      <c r="AG56" s="268" t="n">
        <v>0</v>
      </c>
      <c r="AH56" s="268" t="n">
        <v>0</v>
      </c>
      <c r="AI56" s="268" t="n">
        <v>0</v>
      </c>
      <c r="AJ56" s="268" t="n">
        <v>0</v>
      </c>
      <c r="AK56" s="269" t="n">
        <v>0</v>
      </c>
      <c r="AL56" s="269" t="n">
        <v>0</v>
      </c>
      <c r="AM56" s="269" t="n">
        <v>0</v>
      </c>
      <c r="AN56" s="269" t="n">
        <v>0</v>
      </c>
      <c r="AO56" s="270" t="n">
        <v>0</v>
      </c>
      <c r="AP56" s="270" t="n">
        <v>0</v>
      </c>
      <c r="AQ56" s="270" t="n">
        <v>0</v>
      </c>
      <c r="AR56" s="270" t="n">
        <v>0</v>
      </c>
      <c r="AS56" s="174" t="n">
        <v>0</v>
      </c>
      <c r="AT56" s="271" t="n">
        <v>0</v>
      </c>
      <c r="AU56" s="175" t="n">
        <v>0</v>
      </c>
      <c r="AV56" s="175" t="n">
        <v>0</v>
      </c>
      <c r="AW56" s="483" t="n">
        <v>0</v>
      </c>
      <c r="AX56" s="174" t="n">
        <v>0</v>
      </c>
      <c r="AY56" s="174" t="n">
        <v>0</v>
      </c>
      <c r="AZ56" s="483" t="n">
        <v>0</v>
      </c>
      <c r="BA56" s="483" t="n">
        <v>0</v>
      </c>
      <c r="BB56" s="174" t="n">
        <v>0</v>
      </c>
      <c r="BC56" s="174" t="n">
        <v>0</v>
      </c>
      <c r="BD56" s="483" t="n">
        <v>0</v>
      </c>
      <c r="BE56" s="483" t="n">
        <v>0</v>
      </c>
      <c r="BF56" s="483" t="n">
        <v>0</v>
      </c>
      <c r="BG56" s="483" t="n">
        <v>0</v>
      </c>
      <c r="BH56" s="483" t="n">
        <v>0</v>
      </c>
      <c r="BI56" s="483" t="n">
        <v>0</v>
      </c>
      <c r="BJ56" s="483" t="n">
        <v>0</v>
      </c>
      <c r="BK56" s="483" t="n">
        <v>0</v>
      </c>
      <c r="BL56" s="483" t="n">
        <v>0</v>
      </c>
      <c r="BM56" s="483" t="n">
        <v>0</v>
      </c>
      <c r="BN56" s="483" t="n">
        <v>0</v>
      </c>
      <c r="BO56" s="483" t="n">
        <v>0</v>
      </c>
      <c r="BP56" s="483" t="n">
        <v>0</v>
      </c>
      <c r="BQ56" s="483" t="n">
        <v>0</v>
      </c>
      <c r="BR56" s="483" t="n">
        <v>0</v>
      </c>
      <c r="BS56" s="483" t="n">
        <v>0</v>
      </c>
      <c r="BT56" s="483" t="n">
        <v>0</v>
      </c>
      <c r="BU56" s="483" t="n">
        <v>0</v>
      </c>
      <c r="BV56" s="483" t="n">
        <v>0</v>
      </c>
      <c r="BW56" s="483" t="n">
        <v>0</v>
      </c>
      <c r="BX56" s="483" t="n">
        <v>0</v>
      </c>
      <c r="BY56" s="483" t="n">
        <v>0</v>
      </c>
      <c r="BZ56" s="659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</row>
    <row r="57" hidden="1" s="191">
      <c r="A57" s="265" t="n">
        <v>0</v>
      </c>
      <c r="B57" s="265" t="n">
        <v>0</v>
      </c>
      <c r="C57" s="265" t="n">
        <v>0</v>
      </c>
      <c r="D57" s="265" t="n">
        <v>0</v>
      </c>
      <c r="E57" s="265" t="n">
        <v>0</v>
      </c>
      <c r="F57" s="266" t="n">
        <v>0</v>
      </c>
      <c r="G57" s="266" t="n">
        <v>0</v>
      </c>
      <c r="H57" s="266" t="n">
        <v>0</v>
      </c>
      <c r="I57" s="266" t="n">
        <v>0</v>
      </c>
      <c r="J57" s="267" t="n">
        <v>0</v>
      </c>
      <c r="K57" s="267" t="n">
        <v>0</v>
      </c>
      <c r="L57" s="267" t="n">
        <v>0</v>
      </c>
      <c r="M57" s="267" t="n">
        <v>0</v>
      </c>
      <c r="N57" s="268" t="n">
        <v>0</v>
      </c>
      <c r="O57" s="268" t="n">
        <v>0</v>
      </c>
      <c r="P57" s="268" t="n">
        <v>0</v>
      </c>
      <c r="Q57" s="268" t="n">
        <v>0</v>
      </c>
      <c r="R57" s="268" t="n">
        <v>0</v>
      </c>
      <c r="S57" s="268" t="n">
        <v>0</v>
      </c>
      <c r="T57" s="268" t="n">
        <v>0</v>
      </c>
      <c r="U57" s="268" t="n">
        <v>0</v>
      </c>
      <c r="V57" s="268" t="n">
        <v>0</v>
      </c>
      <c r="W57" s="269" t="n">
        <v>0</v>
      </c>
      <c r="X57" s="269" t="n">
        <v>0</v>
      </c>
      <c r="Y57" s="269" t="n">
        <v>0</v>
      </c>
      <c r="Z57" s="269" t="n">
        <v>0</v>
      </c>
      <c r="AA57" s="270" t="n">
        <v>0</v>
      </c>
      <c r="AB57" s="270" t="n">
        <v>0</v>
      </c>
      <c r="AC57" s="270" t="n">
        <v>0</v>
      </c>
      <c r="AD57" s="270" t="n">
        <v>0</v>
      </c>
      <c r="AE57" s="268" t="n">
        <v>0</v>
      </c>
      <c r="AF57" s="268" t="n">
        <v>0</v>
      </c>
      <c r="AG57" s="268" t="n">
        <v>0</v>
      </c>
      <c r="AH57" s="268" t="n">
        <v>0</v>
      </c>
      <c r="AI57" s="268" t="n">
        <v>0</v>
      </c>
      <c r="AJ57" s="268" t="n">
        <v>0</v>
      </c>
      <c r="AK57" s="269" t="n">
        <v>0</v>
      </c>
      <c r="AL57" s="269" t="n">
        <v>0</v>
      </c>
      <c r="AM57" s="269" t="n">
        <v>0</v>
      </c>
      <c r="AN57" s="269" t="n">
        <v>0</v>
      </c>
      <c r="AO57" s="270" t="n">
        <v>0</v>
      </c>
      <c r="AP57" s="270" t="n">
        <v>0</v>
      </c>
      <c r="AQ57" s="270" t="n">
        <v>0</v>
      </c>
      <c r="AR57" s="270" t="n">
        <v>0</v>
      </c>
      <c r="AS57" s="174" t="n">
        <v>0</v>
      </c>
      <c r="AT57" s="271" t="n">
        <v>0</v>
      </c>
      <c r="AU57" s="175" t="n">
        <v>0</v>
      </c>
      <c r="AV57" s="175" t="n">
        <v>0</v>
      </c>
      <c r="AW57" s="483" t="n">
        <v>0</v>
      </c>
      <c r="AX57" s="174" t="n">
        <v>0</v>
      </c>
      <c r="AY57" s="174" t="n">
        <v>0</v>
      </c>
      <c r="AZ57" s="483" t="n">
        <v>0</v>
      </c>
      <c r="BA57" s="483" t="n">
        <v>0</v>
      </c>
      <c r="BB57" s="174" t="n">
        <v>0</v>
      </c>
      <c r="BC57" s="174" t="n">
        <v>0</v>
      </c>
      <c r="BD57" s="483" t="n">
        <v>0</v>
      </c>
      <c r="BE57" s="483" t="n">
        <v>0</v>
      </c>
      <c r="BF57" s="483" t="n">
        <v>0</v>
      </c>
      <c r="BG57" s="483" t="n">
        <v>0</v>
      </c>
      <c r="BH57" s="483" t="n">
        <v>0</v>
      </c>
      <c r="BI57" s="483" t="n">
        <v>0</v>
      </c>
      <c r="BJ57" s="483" t="n">
        <v>0</v>
      </c>
      <c r="BK57" s="483" t="n">
        <v>0</v>
      </c>
      <c r="BL57" s="483" t="n">
        <v>0</v>
      </c>
      <c r="BM57" s="483" t="n">
        <v>0</v>
      </c>
      <c r="BN57" s="483" t="n">
        <v>0</v>
      </c>
      <c r="BO57" s="483" t="n">
        <v>0</v>
      </c>
      <c r="BP57" s="483" t="n">
        <v>0</v>
      </c>
      <c r="BQ57" s="483" t="n">
        <v>0</v>
      </c>
      <c r="BR57" s="483" t="n">
        <v>0</v>
      </c>
      <c r="BS57" s="483" t="n">
        <v>0</v>
      </c>
      <c r="BT57" s="483" t="n">
        <v>0</v>
      </c>
      <c r="BU57" s="483" t="n">
        <v>0</v>
      </c>
      <c r="BV57" s="483" t="n">
        <v>0</v>
      </c>
      <c r="BW57" s="483" t="n">
        <v>0</v>
      </c>
      <c r="BX57" s="483" t="n">
        <v>0</v>
      </c>
      <c r="BY57" s="483" t="n">
        <v>0</v>
      </c>
      <c r="BZ57" s="659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</row>
    <row r="58" hidden="1" s="191">
      <c r="A58" s="265" t="n">
        <v>0</v>
      </c>
      <c r="B58" s="265" t="n">
        <v>0</v>
      </c>
      <c r="C58" s="265" t="n">
        <v>0</v>
      </c>
      <c r="D58" s="265" t="n">
        <v>0</v>
      </c>
      <c r="E58" s="265" t="n">
        <v>0</v>
      </c>
      <c r="F58" s="266" t="n">
        <v>0</v>
      </c>
      <c r="G58" s="266" t="n">
        <v>0</v>
      </c>
      <c r="H58" s="266" t="n">
        <v>0</v>
      </c>
      <c r="I58" s="266" t="n">
        <v>0</v>
      </c>
      <c r="J58" s="267" t="n">
        <v>0</v>
      </c>
      <c r="K58" s="267" t="n">
        <v>0</v>
      </c>
      <c r="L58" s="267" t="n">
        <v>0</v>
      </c>
      <c r="M58" s="267" t="n">
        <v>0</v>
      </c>
      <c r="N58" s="268" t="n">
        <v>0</v>
      </c>
      <c r="O58" s="268" t="n">
        <v>0</v>
      </c>
      <c r="P58" s="268" t="n">
        <v>0</v>
      </c>
      <c r="Q58" s="268" t="n">
        <v>0</v>
      </c>
      <c r="R58" s="268" t="n">
        <v>0</v>
      </c>
      <c r="S58" s="268" t="n">
        <v>0</v>
      </c>
      <c r="T58" s="268" t="n">
        <v>0</v>
      </c>
      <c r="U58" s="268" t="n">
        <v>0</v>
      </c>
      <c r="V58" s="268" t="n">
        <v>0</v>
      </c>
      <c r="W58" s="269" t="n">
        <v>0</v>
      </c>
      <c r="X58" s="269" t="n">
        <v>0</v>
      </c>
      <c r="Y58" s="269" t="n">
        <v>0</v>
      </c>
      <c r="Z58" s="269" t="n">
        <v>0</v>
      </c>
      <c r="AA58" s="270" t="n">
        <v>0</v>
      </c>
      <c r="AB58" s="270" t="n">
        <v>0</v>
      </c>
      <c r="AC58" s="270" t="n">
        <v>0</v>
      </c>
      <c r="AD58" s="270" t="n">
        <v>0</v>
      </c>
      <c r="AE58" s="268" t="n">
        <v>0</v>
      </c>
      <c r="AF58" s="268" t="n">
        <v>0</v>
      </c>
      <c r="AG58" s="268" t="n">
        <v>0</v>
      </c>
      <c r="AH58" s="268" t="n">
        <v>0</v>
      </c>
      <c r="AI58" s="268" t="n">
        <v>0</v>
      </c>
      <c r="AJ58" s="268" t="n">
        <v>0</v>
      </c>
      <c r="AK58" s="269" t="n">
        <v>0</v>
      </c>
      <c r="AL58" s="269" t="n">
        <v>0</v>
      </c>
      <c r="AM58" s="269" t="n">
        <v>0</v>
      </c>
      <c r="AN58" s="269" t="n">
        <v>0</v>
      </c>
      <c r="AO58" s="270" t="n">
        <v>0</v>
      </c>
      <c r="AP58" s="270" t="n">
        <v>0</v>
      </c>
      <c r="AQ58" s="270" t="n">
        <v>0</v>
      </c>
      <c r="AR58" s="270" t="n">
        <v>0</v>
      </c>
      <c r="AS58" s="174" t="n">
        <v>0</v>
      </c>
      <c r="AT58" s="271" t="n">
        <v>0</v>
      </c>
      <c r="AU58" s="175" t="n">
        <v>0</v>
      </c>
      <c r="AV58" s="175" t="n">
        <v>0</v>
      </c>
      <c r="AW58" s="483" t="n">
        <v>0</v>
      </c>
      <c r="AX58" s="174" t="n">
        <v>0</v>
      </c>
      <c r="AY58" s="174" t="n">
        <v>0</v>
      </c>
      <c r="AZ58" s="483" t="n">
        <v>0</v>
      </c>
      <c r="BA58" s="483" t="n">
        <v>0</v>
      </c>
      <c r="BB58" s="174" t="n">
        <v>0</v>
      </c>
      <c r="BC58" s="174" t="n">
        <v>0</v>
      </c>
      <c r="BD58" s="483" t="n">
        <v>0</v>
      </c>
      <c r="BE58" s="483" t="n">
        <v>0</v>
      </c>
      <c r="BF58" s="483" t="n">
        <v>0</v>
      </c>
      <c r="BG58" s="483" t="n">
        <v>0</v>
      </c>
      <c r="BH58" s="483" t="n">
        <v>0</v>
      </c>
      <c r="BI58" s="483" t="n">
        <v>0</v>
      </c>
      <c r="BJ58" s="483" t="n">
        <v>0</v>
      </c>
      <c r="BK58" s="483" t="n">
        <v>0</v>
      </c>
      <c r="BL58" s="483" t="n">
        <v>0</v>
      </c>
      <c r="BM58" s="483" t="n">
        <v>0</v>
      </c>
      <c r="BN58" s="483" t="n">
        <v>0</v>
      </c>
      <c r="BO58" s="483" t="n">
        <v>0</v>
      </c>
      <c r="BP58" s="483" t="n">
        <v>0</v>
      </c>
      <c r="BQ58" s="483" t="n">
        <v>0</v>
      </c>
      <c r="BR58" s="483" t="n">
        <v>0</v>
      </c>
      <c r="BS58" s="483" t="n">
        <v>0</v>
      </c>
      <c r="BT58" s="483" t="n">
        <v>0</v>
      </c>
      <c r="BU58" s="483" t="n">
        <v>0</v>
      </c>
      <c r="BV58" s="483" t="n">
        <v>0</v>
      </c>
      <c r="BW58" s="483" t="n">
        <v>0</v>
      </c>
      <c r="BX58" s="483" t="n">
        <v>0</v>
      </c>
      <c r="BY58" s="483" t="n">
        <v>0</v>
      </c>
      <c r="BZ58" s="659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</row>
    <row r="59" hidden="1" s="191">
      <c r="A59" s="265" t="n">
        <v>0</v>
      </c>
      <c r="B59" s="265" t="n">
        <v>0</v>
      </c>
      <c r="C59" s="265" t="n">
        <v>0</v>
      </c>
      <c r="D59" s="265" t="n">
        <v>0</v>
      </c>
      <c r="E59" s="265" t="n">
        <v>0</v>
      </c>
      <c r="F59" s="266" t="n">
        <v>0</v>
      </c>
      <c r="G59" s="266" t="n">
        <v>0</v>
      </c>
      <c r="H59" s="266" t="n">
        <v>0</v>
      </c>
      <c r="I59" s="266" t="n">
        <v>0</v>
      </c>
      <c r="J59" s="267" t="n">
        <v>0</v>
      </c>
      <c r="K59" s="267" t="n">
        <v>0</v>
      </c>
      <c r="L59" s="267" t="n">
        <v>0</v>
      </c>
      <c r="M59" s="267" t="n">
        <v>0</v>
      </c>
      <c r="N59" s="268" t="n">
        <v>0</v>
      </c>
      <c r="O59" s="268" t="n">
        <v>0</v>
      </c>
      <c r="P59" s="268" t="n">
        <v>0</v>
      </c>
      <c r="Q59" s="268" t="n">
        <v>0</v>
      </c>
      <c r="R59" s="268" t="n">
        <v>0</v>
      </c>
      <c r="S59" s="268" t="n">
        <v>0</v>
      </c>
      <c r="T59" s="268" t="n">
        <v>0</v>
      </c>
      <c r="U59" s="268" t="n">
        <v>0</v>
      </c>
      <c r="V59" s="268" t="n">
        <v>0</v>
      </c>
      <c r="W59" s="269" t="n">
        <v>0</v>
      </c>
      <c r="X59" s="269" t="n">
        <v>0</v>
      </c>
      <c r="Y59" s="269" t="n">
        <v>0</v>
      </c>
      <c r="Z59" s="269" t="n">
        <v>0</v>
      </c>
      <c r="AA59" s="270" t="n">
        <v>0</v>
      </c>
      <c r="AB59" s="270" t="n">
        <v>0</v>
      </c>
      <c r="AC59" s="270" t="n">
        <v>0</v>
      </c>
      <c r="AD59" s="270" t="n">
        <v>0</v>
      </c>
      <c r="AE59" s="268" t="n">
        <v>0</v>
      </c>
      <c r="AF59" s="268" t="n">
        <v>0</v>
      </c>
      <c r="AG59" s="268" t="n">
        <v>0</v>
      </c>
      <c r="AH59" s="268" t="n">
        <v>0</v>
      </c>
      <c r="AI59" s="268" t="n">
        <v>0</v>
      </c>
      <c r="AJ59" s="268" t="n">
        <v>0</v>
      </c>
      <c r="AK59" s="269" t="n">
        <v>0</v>
      </c>
      <c r="AL59" s="269" t="n">
        <v>0</v>
      </c>
      <c r="AM59" s="269" t="n">
        <v>0</v>
      </c>
      <c r="AN59" s="269" t="n">
        <v>0</v>
      </c>
      <c r="AO59" s="270" t="n">
        <v>0</v>
      </c>
      <c r="AP59" s="270" t="n">
        <v>0</v>
      </c>
      <c r="AQ59" s="270" t="n">
        <v>0</v>
      </c>
      <c r="AR59" s="270" t="n">
        <v>0</v>
      </c>
      <c r="AS59" s="174" t="n">
        <v>0</v>
      </c>
      <c r="AT59" s="271" t="n">
        <v>0</v>
      </c>
      <c r="AU59" s="175" t="n">
        <v>0</v>
      </c>
      <c r="AV59" s="175" t="n">
        <v>0</v>
      </c>
      <c r="AW59" s="483" t="n">
        <v>0</v>
      </c>
      <c r="AX59" s="174" t="n">
        <v>0</v>
      </c>
      <c r="AY59" s="174" t="n">
        <v>0</v>
      </c>
      <c r="AZ59" s="483" t="n">
        <v>0</v>
      </c>
      <c r="BA59" s="483" t="n">
        <v>0</v>
      </c>
      <c r="BB59" s="174" t="n">
        <v>0</v>
      </c>
      <c r="BC59" s="174" t="n">
        <v>0</v>
      </c>
      <c r="BD59" s="483" t="n">
        <v>0</v>
      </c>
      <c r="BE59" s="483" t="n">
        <v>0</v>
      </c>
      <c r="BF59" s="483" t="n">
        <v>0</v>
      </c>
      <c r="BG59" s="483" t="n">
        <v>0</v>
      </c>
      <c r="BH59" s="483" t="n">
        <v>0</v>
      </c>
      <c r="BI59" s="483" t="n">
        <v>0</v>
      </c>
      <c r="BJ59" s="483" t="n">
        <v>0</v>
      </c>
      <c r="BK59" s="483" t="n">
        <v>0</v>
      </c>
      <c r="BL59" s="483" t="n">
        <v>0</v>
      </c>
      <c r="BM59" s="483" t="n">
        <v>0</v>
      </c>
      <c r="BN59" s="483" t="n">
        <v>0</v>
      </c>
      <c r="BO59" s="483" t="n">
        <v>0</v>
      </c>
      <c r="BP59" s="483" t="n">
        <v>0</v>
      </c>
      <c r="BQ59" s="483" t="n">
        <v>0</v>
      </c>
      <c r="BR59" s="483" t="n">
        <v>0</v>
      </c>
      <c r="BS59" s="483" t="n">
        <v>0</v>
      </c>
      <c r="BT59" s="483" t="n">
        <v>0</v>
      </c>
      <c r="BU59" s="483" t="n">
        <v>0</v>
      </c>
      <c r="BV59" s="483" t="n">
        <v>0</v>
      </c>
      <c r="BW59" s="483" t="n">
        <v>0</v>
      </c>
      <c r="BX59" s="483" t="n">
        <v>0</v>
      </c>
      <c r="BY59" s="483" t="n">
        <v>0</v>
      </c>
      <c r="BZ59" s="6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</row>
    <row r="60" hidden="1" s="191">
      <c r="A60" s="265" t="n">
        <v>0</v>
      </c>
      <c r="B60" s="265" t="n">
        <v>0</v>
      </c>
      <c r="C60" s="265" t="n">
        <v>0</v>
      </c>
      <c r="D60" s="265" t="n">
        <v>0</v>
      </c>
      <c r="E60" s="265" t="n">
        <v>0</v>
      </c>
      <c r="F60" s="266" t="n">
        <v>0</v>
      </c>
      <c r="G60" s="266" t="n">
        <v>0</v>
      </c>
      <c r="H60" s="266" t="n">
        <v>0</v>
      </c>
      <c r="I60" s="266" t="n">
        <v>0</v>
      </c>
      <c r="J60" s="267" t="n">
        <v>0</v>
      </c>
      <c r="K60" s="267" t="n">
        <v>0</v>
      </c>
      <c r="L60" s="267" t="n">
        <v>0</v>
      </c>
      <c r="M60" s="267" t="n">
        <v>0</v>
      </c>
      <c r="N60" s="268" t="n">
        <v>0</v>
      </c>
      <c r="O60" s="268" t="n">
        <v>0</v>
      </c>
      <c r="P60" s="268" t="n">
        <v>0</v>
      </c>
      <c r="Q60" s="268" t="n">
        <v>0</v>
      </c>
      <c r="R60" s="268" t="n">
        <v>0</v>
      </c>
      <c r="S60" s="268" t="n">
        <v>0</v>
      </c>
      <c r="T60" s="268" t="n">
        <v>0</v>
      </c>
      <c r="U60" s="268" t="n">
        <v>0</v>
      </c>
      <c r="V60" s="268" t="n">
        <v>0</v>
      </c>
      <c r="W60" s="269" t="n">
        <v>0</v>
      </c>
      <c r="X60" s="269" t="n">
        <v>0</v>
      </c>
      <c r="Y60" s="269" t="n">
        <v>0</v>
      </c>
      <c r="Z60" s="269" t="n">
        <v>0</v>
      </c>
      <c r="AA60" s="270" t="n">
        <v>0</v>
      </c>
      <c r="AB60" s="270" t="n">
        <v>0</v>
      </c>
      <c r="AC60" s="270" t="n">
        <v>0</v>
      </c>
      <c r="AD60" s="270" t="n">
        <v>0</v>
      </c>
      <c r="AE60" s="268" t="n">
        <v>0</v>
      </c>
      <c r="AF60" s="268" t="n">
        <v>0</v>
      </c>
      <c r="AG60" s="268" t="n">
        <v>0</v>
      </c>
      <c r="AH60" s="268" t="n">
        <v>0</v>
      </c>
      <c r="AI60" s="268" t="n">
        <v>0</v>
      </c>
      <c r="AJ60" s="268" t="n">
        <v>0</v>
      </c>
      <c r="AK60" s="269" t="n">
        <v>0</v>
      </c>
      <c r="AL60" s="269" t="n">
        <v>0</v>
      </c>
      <c r="AM60" s="269" t="n">
        <v>0</v>
      </c>
      <c r="AN60" s="269" t="n">
        <v>0</v>
      </c>
      <c r="AO60" s="270" t="n">
        <v>0</v>
      </c>
      <c r="AP60" s="270" t="n">
        <v>0</v>
      </c>
      <c r="AQ60" s="270" t="n">
        <v>0</v>
      </c>
      <c r="AR60" s="270" t="n">
        <v>0</v>
      </c>
      <c r="AS60" s="174" t="n">
        <v>0</v>
      </c>
      <c r="AT60" s="271" t="n">
        <v>0</v>
      </c>
      <c r="AU60" s="175" t="n">
        <v>0</v>
      </c>
      <c r="AV60" s="175" t="n">
        <v>0</v>
      </c>
      <c r="AW60" s="483" t="n">
        <v>0</v>
      </c>
      <c r="AX60" s="174" t="n">
        <v>0</v>
      </c>
      <c r="AY60" s="174" t="n">
        <v>0</v>
      </c>
      <c r="AZ60" s="483" t="n">
        <v>0</v>
      </c>
      <c r="BA60" s="483" t="n">
        <v>0</v>
      </c>
      <c r="BB60" s="174" t="n">
        <v>0</v>
      </c>
      <c r="BC60" s="174" t="n">
        <v>0</v>
      </c>
      <c r="BD60" s="483" t="n">
        <v>0</v>
      </c>
      <c r="BE60" s="483" t="n">
        <v>0</v>
      </c>
      <c r="BF60" s="483" t="n">
        <v>0</v>
      </c>
      <c r="BG60" s="483" t="n">
        <v>0</v>
      </c>
      <c r="BH60" s="483" t="n">
        <v>0</v>
      </c>
      <c r="BI60" s="483" t="n">
        <v>0</v>
      </c>
      <c r="BJ60" s="483" t="n">
        <v>0</v>
      </c>
      <c r="BK60" s="483" t="n">
        <v>0</v>
      </c>
      <c r="BL60" s="483" t="n">
        <v>0</v>
      </c>
      <c r="BM60" s="483" t="n">
        <v>0</v>
      </c>
      <c r="BN60" s="483" t="n">
        <v>0</v>
      </c>
      <c r="BO60" s="483" t="n">
        <v>0</v>
      </c>
      <c r="BP60" s="483" t="n">
        <v>0</v>
      </c>
      <c r="BQ60" s="483" t="n">
        <v>0</v>
      </c>
      <c r="BR60" s="483" t="n">
        <v>0</v>
      </c>
      <c r="BS60" s="483" t="n">
        <v>0</v>
      </c>
      <c r="BT60" s="483" t="n">
        <v>0</v>
      </c>
      <c r="BU60" s="483" t="n">
        <v>0</v>
      </c>
      <c r="BV60" s="483" t="n">
        <v>0</v>
      </c>
      <c r="BW60" s="483" t="n">
        <v>0</v>
      </c>
      <c r="BX60" s="483" t="n">
        <v>0</v>
      </c>
      <c r="BY60" s="483" t="n">
        <v>0</v>
      </c>
      <c r="BZ60" s="659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 hidden="1" s="191">
      <c r="A61" s="265" t="n">
        <v>0</v>
      </c>
      <c r="B61" s="265" t="n">
        <v>0</v>
      </c>
      <c r="C61" s="265" t="n">
        <v>0</v>
      </c>
      <c r="D61" s="265" t="n">
        <v>0</v>
      </c>
      <c r="E61" s="265" t="n">
        <v>0</v>
      </c>
      <c r="F61" s="266" t="n">
        <v>0</v>
      </c>
      <c r="G61" s="266" t="n">
        <v>0</v>
      </c>
      <c r="H61" s="266" t="n">
        <v>0</v>
      </c>
      <c r="I61" s="266" t="n">
        <v>0</v>
      </c>
      <c r="J61" s="267" t="n">
        <v>0</v>
      </c>
      <c r="K61" s="267" t="n">
        <v>0</v>
      </c>
      <c r="L61" s="267" t="n">
        <v>0</v>
      </c>
      <c r="M61" s="267" t="n">
        <v>0</v>
      </c>
      <c r="N61" s="268" t="n">
        <v>0</v>
      </c>
      <c r="O61" s="268" t="n">
        <v>0</v>
      </c>
      <c r="P61" s="268" t="n">
        <v>0</v>
      </c>
      <c r="Q61" s="268" t="n">
        <v>0</v>
      </c>
      <c r="R61" s="268" t="n">
        <v>0</v>
      </c>
      <c r="S61" s="268" t="n">
        <v>0</v>
      </c>
      <c r="T61" s="268" t="n">
        <v>0</v>
      </c>
      <c r="U61" s="268" t="n">
        <v>0</v>
      </c>
      <c r="V61" s="268" t="n">
        <v>0</v>
      </c>
      <c r="W61" s="269" t="n">
        <v>0</v>
      </c>
      <c r="X61" s="269" t="n">
        <v>0</v>
      </c>
      <c r="Y61" s="269" t="n">
        <v>0</v>
      </c>
      <c r="Z61" s="269" t="n">
        <v>0</v>
      </c>
      <c r="AA61" s="270" t="n">
        <v>0</v>
      </c>
      <c r="AB61" s="270" t="n">
        <v>0</v>
      </c>
      <c r="AC61" s="270" t="n">
        <v>0</v>
      </c>
      <c r="AD61" s="270" t="n">
        <v>0</v>
      </c>
      <c r="AE61" s="268" t="n">
        <v>0</v>
      </c>
      <c r="AF61" s="268" t="n">
        <v>0</v>
      </c>
      <c r="AG61" s="268" t="n">
        <v>0</v>
      </c>
      <c r="AH61" s="268" t="n">
        <v>0</v>
      </c>
      <c r="AI61" s="268" t="n">
        <v>0</v>
      </c>
      <c r="AJ61" s="268" t="n">
        <v>0</v>
      </c>
      <c r="AK61" s="269" t="n">
        <v>0</v>
      </c>
      <c r="AL61" s="269" t="n">
        <v>0</v>
      </c>
      <c r="AM61" s="269" t="n">
        <v>0</v>
      </c>
      <c r="AN61" s="269" t="n">
        <v>0</v>
      </c>
      <c r="AO61" s="270" t="n">
        <v>0</v>
      </c>
      <c r="AP61" s="270" t="n">
        <v>0</v>
      </c>
      <c r="AQ61" s="270" t="n">
        <v>0</v>
      </c>
      <c r="AR61" s="270" t="n">
        <v>0</v>
      </c>
      <c r="AS61" s="174" t="n">
        <v>0</v>
      </c>
      <c r="AT61" s="271" t="n">
        <v>0</v>
      </c>
      <c r="AU61" s="175" t="n">
        <v>0</v>
      </c>
      <c r="AV61" s="175" t="n">
        <v>0</v>
      </c>
      <c r="AW61" s="483" t="n">
        <v>0</v>
      </c>
      <c r="AX61" s="174" t="n">
        <v>0</v>
      </c>
      <c r="AY61" s="174" t="n">
        <v>0</v>
      </c>
      <c r="AZ61" s="483" t="n">
        <v>0</v>
      </c>
      <c r="BA61" s="483" t="n">
        <v>0</v>
      </c>
      <c r="BB61" s="174" t="n">
        <v>0</v>
      </c>
      <c r="BC61" s="174" t="n">
        <v>0</v>
      </c>
      <c r="BD61" s="483" t="n">
        <v>0</v>
      </c>
      <c r="BE61" s="483" t="n">
        <v>0</v>
      </c>
      <c r="BF61" s="483" t="n">
        <v>0</v>
      </c>
      <c r="BG61" s="483" t="n">
        <v>0</v>
      </c>
      <c r="BH61" s="483" t="n">
        <v>0</v>
      </c>
      <c r="BI61" s="483" t="n">
        <v>0</v>
      </c>
      <c r="BJ61" s="483" t="n">
        <v>0</v>
      </c>
      <c r="BK61" s="483" t="n">
        <v>0</v>
      </c>
      <c r="BL61" s="483" t="n">
        <v>0</v>
      </c>
      <c r="BM61" s="483" t="n">
        <v>0</v>
      </c>
      <c r="BN61" s="483" t="n">
        <v>0</v>
      </c>
      <c r="BO61" s="483" t="n">
        <v>0</v>
      </c>
      <c r="BP61" s="483" t="n">
        <v>0</v>
      </c>
      <c r="BQ61" s="483" t="n">
        <v>0</v>
      </c>
      <c r="BR61" s="483" t="n">
        <v>0</v>
      </c>
      <c r="BS61" s="483" t="n">
        <v>0</v>
      </c>
      <c r="BT61" s="483" t="n">
        <v>0</v>
      </c>
      <c r="BU61" s="483" t="n">
        <v>0</v>
      </c>
      <c r="BV61" s="483" t="n">
        <v>0</v>
      </c>
      <c r="BW61" s="483" t="n">
        <v>0</v>
      </c>
      <c r="BX61" s="483" t="n">
        <v>0</v>
      </c>
      <c r="BY61" s="483" t="n">
        <v>0</v>
      </c>
      <c r="BZ61" s="659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</row>
    <row r="62" hidden="1" s="191">
      <c r="A62" s="265" t="n">
        <v>0</v>
      </c>
      <c r="B62" s="265" t="n">
        <v>0</v>
      </c>
      <c r="C62" s="265" t="n">
        <v>0</v>
      </c>
      <c r="D62" s="265" t="n">
        <v>0</v>
      </c>
      <c r="E62" s="265" t="n">
        <v>0</v>
      </c>
      <c r="F62" s="266" t="n">
        <v>0</v>
      </c>
      <c r="G62" s="266" t="n">
        <v>0</v>
      </c>
      <c r="H62" s="266" t="n">
        <v>0</v>
      </c>
      <c r="I62" s="266" t="n">
        <v>0</v>
      </c>
      <c r="J62" s="267" t="n">
        <v>0</v>
      </c>
      <c r="K62" s="267" t="n">
        <v>0</v>
      </c>
      <c r="L62" s="267" t="n">
        <v>0</v>
      </c>
      <c r="M62" s="267" t="n">
        <v>0</v>
      </c>
      <c r="N62" s="268" t="n">
        <v>0</v>
      </c>
      <c r="O62" s="268" t="n">
        <v>0</v>
      </c>
      <c r="P62" s="268" t="n">
        <v>0</v>
      </c>
      <c r="Q62" s="268" t="n">
        <v>0</v>
      </c>
      <c r="R62" s="268" t="n">
        <v>0</v>
      </c>
      <c r="S62" s="268" t="n">
        <v>0</v>
      </c>
      <c r="T62" s="268" t="n">
        <v>0</v>
      </c>
      <c r="U62" s="268" t="n">
        <v>0</v>
      </c>
      <c r="V62" s="268" t="n">
        <v>0</v>
      </c>
      <c r="W62" s="269" t="n">
        <v>0</v>
      </c>
      <c r="X62" s="269" t="n">
        <v>0</v>
      </c>
      <c r="Y62" s="269" t="n">
        <v>0</v>
      </c>
      <c r="Z62" s="269" t="n">
        <v>0</v>
      </c>
      <c r="AA62" s="270" t="n">
        <v>0</v>
      </c>
      <c r="AB62" s="270" t="n">
        <v>0</v>
      </c>
      <c r="AC62" s="270" t="n">
        <v>0</v>
      </c>
      <c r="AD62" s="270" t="n">
        <v>0</v>
      </c>
      <c r="AE62" s="268" t="n">
        <v>0</v>
      </c>
      <c r="AF62" s="268" t="n">
        <v>0</v>
      </c>
      <c r="AG62" s="268" t="n">
        <v>0</v>
      </c>
      <c r="AH62" s="268" t="n">
        <v>0</v>
      </c>
      <c r="AI62" s="268" t="n">
        <v>0</v>
      </c>
      <c r="AJ62" s="268" t="n">
        <v>0</v>
      </c>
      <c r="AK62" s="269" t="n">
        <v>0</v>
      </c>
      <c r="AL62" s="269" t="n">
        <v>0</v>
      </c>
      <c r="AM62" s="269" t="n">
        <v>0</v>
      </c>
      <c r="AN62" s="269" t="n">
        <v>0</v>
      </c>
      <c r="AO62" s="270" t="n">
        <v>0</v>
      </c>
      <c r="AP62" s="270" t="n">
        <v>0</v>
      </c>
      <c r="AQ62" s="270" t="n">
        <v>0</v>
      </c>
      <c r="AR62" s="270" t="n">
        <v>0</v>
      </c>
      <c r="AS62" s="174" t="n">
        <v>0</v>
      </c>
      <c r="AT62" s="271" t="n">
        <v>0</v>
      </c>
      <c r="AU62" s="175" t="n">
        <v>0</v>
      </c>
      <c r="AV62" s="175" t="n">
        <v>0</v>
      </c>
      <c r="AW62" s="483" t="n">
        <v>0</v>
      </c>
      <c r="AX62" s="174" t="n">
        <v>0</v>
      </c>
      <c r="AY62" s="174" t="n">
        <v>0</v>
      </c>
      <c r="AZ62" s="483" t="n">
        <v>0</v>
      </c>
      <c r="BA62" s="483" t="n">
        <v>0</v>
      </c>
      <c r="BB62" s="174" t="n">
        <v>0</v>
      </c>
      <c r="BC62" s="174" t="n">
        <v>0</v>
      </c>
      <c r="BD62" s="483" t="n">
        <v>0</v>
      </c>
      <c r="BE62" s="483" t="n">
        <v>0</v>
      </c>
      <c r="BF62" s="483" t="n">
        <v>0</v>
      </c>
      <c r="BG62" s="483" t="n">
        <v>0</v>
      </c>
      <c r="BH62" s="483" t="n">
        <v>0</v>
      </c>
      <c r="BI62" s="483" t="n">
        <v>0</v>
      </c>
      <c r="BJ62" s="483" t="n">
        <v>0</v>
      </c>
      <c r="BK62" s="483" t="n">
        <v>0</v>
      </c>
      <c r="BL62" s="483" t="n">
        <v>0</v>
      </c>
      <c r="BM62" s="483" t="n">
        <v>0</v>
      </c>
      <c r="BN62" s="483" t="n">
        <v>0</v>
      </c>
      <c r="BO62" s="483" t="n">
        <v>0</v>
      </c>
      <c r="BP62" s="483" t="n">
        <v>0</v>
      </c>
      <c r="BQ62" s="483" t="n">
        <v>0</v>
      </c>
      <c r="BR62" s="483" t="n">
        <v>0</v>
      </c>
      <c r="BS62" s="483" t="n">
        <v>0</v>
      </c>
      <c r="BT62" s="483" t="n">
        <v>0</v>
      </c>
      <c r="BU62" s="483" t="n">
        <v>0</v>
      </c>
      <c r="BV62" s="483" t="n">
        <v>0</v>
      </c>
      <c r="BW62" s="483" t="n">
        <v>0</v>
      </c>
      <c r="BX62" s="483" t="n">
        <v>0</v>
      </c>
      <c r="BY62" s="483" t="n">
        <v>0</v>
      </c>
      <c r="BZ62" s="659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</row>
    <row r="63" hidden="1" s="191">
      <c r="A63" s="265" t="n">
        <v>0</v>
      </c>
      <c r="B63" s="265" t="n">
        <v>0</v>
      </c>
      <c r="C63" s="265" t="n">
        <v>0</v>
      </c>
      <c r="D63" s="265" t="n">
        <v>0</v>
      </c>
      <c r="E63" s="265" t="n">
        <v>0</v>
      </c>
      <c r="F63" s="266" t="n">
        <v>0</v>
      </c>
      <c r="G63" s="266" t="n">
        <v>0</v>
      </c>
      <c r="H63" s="266" t="n">
        <v>0</v>
      </c>
      <c r="I63" s="266" t="n">
        <v>0</v>
      </c>
      <c r="J63" s="267" t="n">
        <v>0</v>
      </c>
      <c r="K63" s="267" t="n">
        <v>0</v>
      </c>
      <c r="L63" s="267" t="n">
        <v>0</v>
      </c>
      <c r="M63" s="267" t="n">
        <v>0</v>
      </c>
      <c r="N63" s="268" t="n">
        <v>0</v>
      </c>
      <c r="O63" s="268" t="n">
        <v>0</v>
      </c>
      <c r="P63" s="268" t="n">
        <v>0</v>
      </c>
      <c r="Q63" s="268" t="n">
        <v>0</v>
      </c>
      <c r="R63" s="268" t="n">
        <v>0</v>
      </c>
      <c r="S63" s="268" t="n">
        <v>0</v>
      </c>
      <c r="T63" s="268" t="n">
        <v>0</v>
      </c>
      <c r="U63" s="268" t="n">
        <v>0</v>
      </c>
      <c r="V63" s="268" t="n">
        <v>0</v>
      </c>
      <c r="W63" s="269" t="n">
        <v>0</v>
      </c>
      <c r="X63" s="269" t="n">
        <v>0</v>
      </c>
      <c r="Y63" s="269" t="n">
        <v>0</v>
      </c>
      <c r="Z63" s="269" t="n">
        <v>0</v>
      </c>
      <c r="AA63" s="270" t="n">
        <v>0</v>
      </c>
      <c r="AB63" s="270" t="n">
        <v>0</v>
      </c>
      <c r="AC63" s="270" t="n">
        <v>0</v>
      </c>
      <c r="AD63" s="270" t="n">
        <v>0</v>
      </c>
      <c r="AE63" s="268" t="n">
        <v>0</v>
      </c>
      <c r="AF63" s="268" t="n">
        <v>0</v>
      </c>
      <c r="AG63" s="268" t="n">
        <v>0</v>
      </c>
      <c r="AH63" s="268" t="n">
        <v>0</v>
      </c>
      <c r="AI63" s="268" t="n">
        <v>0</v>
      </c>
      <c r="AJ63" s="268" t="n">
        <v>0</v>
      </c>
      <c r="AK63" s="269" t="n">
        <v>0</v>
      </c>
      <c r="AL63" s="269" t="n">
        <v>0</v>
      </c>
      <c r="AM63" s="269" t="n">
        <v>0</v>
      </c>
      <c r="AN63" s="269" t="n">
        <v>0</v>
      </c>
      <c r="AO63" s="270" t="n">
        <v>0</v>
      </c>
      <c r="AP63" s="270" t="n">
        <v>0</v>
      </c>
      <c r="AQ63" s="270" t="n">
        <v>0</v>
      </c>
      <c r="AR63" s="270" t="n">
        <v>0</v>
      </c>
      <c r="AS63" s="174" t="n">
        <v>0</v>
      </c>
      <c r="AT63" s="271" t="n">
        <v>0</v>
      </c>
      <c r="AU63" s="175" t="n">
        <v>0</v>
      </c>
      <c r="AV63" s="175" t="n">
        <v>0</v>
      </c>
      <c r="AW63" s="483" t="n">
        <v>0</v>
      </c>
      <c r="AX63" s="174" t="n">
        <v>0</v>
      </c>
      <c r="AY63" s="174" t="n">
        <v>0</v>
      </c>
      <c r="AZ63" s="483" t="n">
        <v>0</v>
      </c>
      <c r="BA63" s="483" t="n">
        <v>0</v>
      </c>
      <c r="BB63" s="174" t="n">
        <v>0</v>
      </c>
      <c r="BC63" s="174" t="n">
        <v>0</v>
      </c>
      <c r="BD63" s="483" t="n">
        <v>0</v>
      </c>
      <c r="BE63" s="483" t="n">
        <v>0</v>
      </c>
      <c r="BF63" s="483" t="n">
        <v>0</v>
      </c>
      <c r="BG63" s="483" t="n">
        <v>0</v>
      </c>
      <c r="BH63" s="483" t="n">
        <v>0</v>
      </c>
      <c r="BI63" s="483" t="n">
        <v>0</v>
      </c>
      <c r="BJ63" s="483" t="n">
        <v>0</v>
      </c>
      <c r="BK63" s="483" t="n">
        <v>0</v>
      </c>
      <c r="BL63" s="483" t="n">
        <v>0</v>
      </c>
      <c r="BM63" s="483" t="n">
        <v>0</v>
      </c>
      <c r="BN63" s="483" t="n">
        <v>0</v>
      </c>
      <c r="BO63" s="483" t="n">
        <v>0</v>
      </c>
      <c r="BP63" s="483" t="n">
        <v>0</v>
      </c>
      <c r="BQ63" s="483" t="n">
        <v>0</v>
      </c>
      <c r="BR63" s="483" t="n">
        <v>0</v>
      </c>
      <c r="BS63" s="483" t="n">
        <v>0</v>
      </c>
      <c r="BT63" s="483" t="n">
        <v>0</v>
      </c>
      <c r="BU63" s="483" t="n">
        <v>0</v>
      </c>
      <c r="BV63" s="483" t="n">
        <v>0</v>
      </c>
      <c r="BW63" s="483" t="n">
        <v>0</v>
      </c>
      <c r="BX63" s="483" t="n">
        <v>0</v>
      </c>
      <c r="BY63" s="483" t="n">
        <v>0</v>
      </c>
      <c r="BZ63" s="659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</row>
    <row r="64" hidden="1" s="191">
      <c r="A64" s="265" t="n">
        <v>0</v>
      </c>
      <c r="B64" s="265" t="n">
        <v>0</v>
      </c>
      <c r="C64" s="265" t="n">
        <v>0</v>
      </c>
      <c r="D64" s="265" t="n">
        <v>0</v>
      </c>
      <c r="E64" s="265" t="n">
        <v>0</v>
      </c>
      <c r="F64" s="266" t="n">
        <v>0</v>
      </c>
      <c r="G64" s="266" t="n">
        <v>0</v>
      </c>
      <c r="H64" s="266" t="n">
        <v>0</v>
      </c>
      <c r="I64" s="266" t="n">
        <v>0</v>
      </c>
      <c r="J64" s="267" t="n">
        <v>0</v>
      </c>
      <c r="K64" s="267" t="n">
        <v>0</v>
      </c>
      <c r="L64" s="267" t="n">
        <v>0</v>
      </c>
      <c r="M64" s="267" t="n">
        <v>0</v>
      </c>
      <c r="N64" s="268" t="n">
        <v>0</v>
      </c>
      <c r="O64" s="268" t="n">
        <v>0</v>
      </c>
      <c r="P64" s="268" t="n">
        <v>0</v>
      </c>
      <c r="Q64" s="268" t="n">
        <v>0</v>
      </c>
      <c r="R64" s="268" t="n">
        <v>0</v>
      </c>
      <c r="S64" s="268" t="n">
        <v>0</v>
      </c>
      <c r="T64" s="268" t="n">
        <v>0</v>
      </c>
      <c r="U64" s="268" t="n">
        <v>0</v>
      </c>
      <c r="V64" s="268" t="n">
        <v>0</v>
      </c>
      <c r="W64" s="269" t="n">
        <v>0</v>
      </c>
      <c r="X64" s="269" t="n">
        <v>0</v>
      </c>
      <c r="Y64" s="269" t="n">
        <v>0</v>
      </c>
      <c r="Z64" s="269" t="n">
        <v>0</v>
      </c>
      <c r="AA64" s="270" t="n">
        <v>0</v>
      </c>
      <c r="AB64" s="270" t="n">
        <v>0</v>
      </c>
      <c r="AC64" s="270" t="n">
        <v>0</v>
      </c>
      <c r="AD64" s="270" t="n">
        <v>0</v>
      </c>
      <c r="AE64" s="268" t="n">
        <v>0</v>
      </c>
      <c r="AF64" s="268" t="n">
        <v>0</v>
      </c>
      <c r="AG64" s="268" t="n">
        <v>0</v>
      </c>
      <c r="AH64" s="268" t="n">
        <v>0</v>
      </c>
      <c r="AI64" s="268" t="n">
        <v>0</v>
      </c>
      <c r="AJ64" s="268" t="n">
        <v>0</v>
      </c>
      <c r="AK64" s="269" t="n">
        <v>0</v>
      </c>
      <c r="AL64" s="269" t="n">
        <v>0</v>
      </c>
      <c r="AM64" s="269" t="n">
        <v>0</v>
      </c>
      <c r="AN64" s="269" t="n">
        <v>0</v>
      </c>
      <c r="AO64" s="270" t="n">
        <v>0</v>
      </c>
      <c r="AP64" s="270" t="n">
        <v>0</v>
      </c>
      <c r="AQ64" s="270" t="n">
        <v>0</v>
      </c>
      <c r="AR64" s="270" t="n">
        <v>0</v>
      </c>
      <c r="AS64" s="174" t="n">
        <v>0</v>
      </c>
      <c r="AT64" s="271" t="n">
        <v>0</v>
      </c>
      <c r="AU64" s="175" t="n">
        <v>0</v>
      </c>
      <c r="AV64" s="175" t="n">
        <v>0</v>
      </c>
      <c r="AW64" s="483" t="n">
        <v>0</v>
      </c>
      <c r="AX64" s="174" t="n">
        <v>0</v>
      </c>
      <c r="AY64" s="174" t="n">
        <v>0</v>
      </c>
      <c r="AZ64" s="483" t="n">
        <v>0</v>
      </c>
      <c r="BA64" s="483" t="n">
        <v>0</v>
      </c>
      <c r="BB64" s="174" t="n">
        <v>0</v>
      </c>
      <c r="BC64" s="174" t="n">
        <v>0</v>
      </c>
      <c r="BD64" s="483" t="n">
        <v>0</v>
      </c>
      <c r="BE64" s="483" t="n">
        <v>0</v>
      </c>
      <c r="BF64" s="483" t="n">
        <v>0</v>
      </c>
      <c r="BG64" s="483" t="n">
        <v>0</v>
      </c>
      <c r="BH64" s="483" t="n">
        <v>0</v>
      </c>
      <c r="BI64" s="483" t="n">
        <v>0</v>
      </c>
      <c r="BJ64" s="483" t="n">
        <v>0</v>
      </c>
      <c r="BK64" s="483" t="n">
        <v>0</v>
      </c>
      <c r="BL64" s="483" t="n">
        <v>0</v>
      </c>
      <c r="BM64" s="483" t="n">
        <v>0</v>
      </c>
      <c r="BN64" s="483" t="n">
        <v>0</v>
      </c>
      <c r="BO64" s="483" t="n">
        <v>0</v>
      </c>
      <c r="BP64" s="483" t="n">
        <v>0</v>
      </c>
      <c r="BQ64" s="483" t="n">
        <v>0</v>
      </c>
      <c r="BR64" s="483" t="n">
        <v>0</v>
      </c>
      <c r="BS64" s="483" t="n">
        <v>0</v>
      </c>
      <c r="BT64" s="483" t="n">
        <v>0</v>
      </c>
      <c r="BU64" s="483" t="n">
        <v>0</v>
      </c>
      <c r="BV64" s="483" t="n">
        <v>0</v>
      </c>
      <c r="BW64" s="483" t="n">
        <v>0</v>
      </c>
      <c r="BX64" s="483" t="n">
        <v>0</v>
      </c>
      <c r="BY64" s="483" t="n">
        <v>0</v>
      </c>
      <c r="BZ64" s="659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 hidden="1" s="191">
      <c r="A65" s="265" t="n">
        <v>0</v>
      </c>
      <c r="B65" s="265" t="n">
        <v>0</v>
      </c>
      <c r="C65" s="265" t="n">
        <v>0</v>
      </c>
      <c r="D65" s="265" t="n">
        <v>0</v>
      </c>
      <c r="E65" s="265" t="n">
        <v>0</v>
      </c>
      <c r="F65" s="266" t="n">
        <v>0</v>
      </c>
      <c r="G65" s="266" t="n">
        <v>0</v>
      </c>
      <c r="H65" s="266" t="n">
        <v>0</v>
      </c>
      <c r="I65" s="266" t="n">
        <v>0</v>
      </c>
      <c r="J65" s="267" t="n">
        <v>0</v>
      </c>
      <c r="K65" s="267" t="n">
        <v>0</v>
      </c>
      <c r="L65" s="267" t="n">
        <v>0</v>
      </c>
      <c r="M65" s="267" t="n">
        <v>0</v>
      </c>
      <c r="N65" s="268" t="n">
        <v>0</v>
      </c>
      <c r="O65" s="268" t="n">
        <v>0</v>
      </c>
      <c r="P65" s="268" t="n">
        <v>0</v>
      </c>
      <c r="Q65" s="268" t="n">
        <v>0</v>
      </c>
      <c r="R65" s="268" t="n">
        <v>0</v>
      </c>
      <c r="S65" s="268" t="n">
        <v>0</v>
      </c>
      <c r="T65" s="268" t="n">
        <v>0</v>
      </c>
      <c r="U65" s="268" t="n">
        <v>0</v>
      </c>
      <c r="V65" s="268" t="n">
        <v>0</v>
      </c>
      <c r="W65" s="269" t="n">
        <v>0</v>
      </c>
      <c r="X65" s="269" t="n">
        <v>0</v>
      </c>
      <c r="Y65" s="269" t="n">
        <v>0</v>
      </c>
      <c r="Z65" s="269" t="n">
        <v>0</v>
      </c>
      <c r="AA65" s="270" t="n">
        <v>0</v>
      </c>
      <c r="AB65" s="270" t="n">
        <v>0</v>
      </c>
      <c r="AC65" s="270" t="n">
        <v>0</v>
      </c>
      <c r="AD65" s="270" t="n">
        <v>0</v>
      </c>
      <c r="AE65" s="268" t="n">
        <v>0</v>
      </c>
      <c r="AF65" s="268" t="n">
        <v>0</v>
      </c>
      <c r="AG65" s="268" t="n">
        <v>0</v>
      </c>
      <c r="AH65" s="268" t="n">
        <v>0</v>
      </c>
      <c r="AI65" s="268" t="n">
        <v>0</v>
      </c>
      <c r="AJ65" s="268" t="n">
        <v>0</v>
      </c>
      <c r="AK65" s="269" t="n">
        <v>0</v>
      </c>
      <c r="AL65" s="269" t="n">
        <v>0</v>
      </c>
      <c r="AM65" s="269" t="n">
        <v>0</v>
      </c>
      <c r="AN65" s="269" t="n">
        <v>0</v>
      </c>
      <c r="AO65" s="270" t="n">
        <v>0</v>
      </c>
      <c r="AP65" s="270" t="n">
        <v>0</v>
      </c>
      <c r="AQ65" s="270" t="n">
        <v>0</v>
      </c>
      <c r="AR65" s="270" t="n">
        <v>0</v>
      </c>
      <c r="AS65" s="174" t="n">
        <v>0</v>
      </c>
      <c r="AT65" s="271" t="n">
        <v>0</v>
      </c>
      <c r="AU65" s="175" t="n">
        <v>0</v>
      </c>
      <c r="AV65" s="175" t="n">
        <v>0</v>
      </c>
      <c r="AW65" s="483" t="n">
        <v>0</v>
      </c>
      <c r="AX65" s="174" t="n">
        <v>0</v>
      </c>
      <c r="AY65" s="174" t="n">
        <v>0</v>
      </c>
      <c r="AZ65" s="483" t="n">
        <v>0</v>
      </c>
      <c r="BA65" s="483" t="n">
        <v>0</v>
      </c>
      <c r="BB65" s="174" t="n">
        <v>0</v>
      </c>
      <c r="BC65" s="174" t="n">
        <v>0</v>
      </c>
      <c r="BD65" s="483" t="n">
        <v>0</v>
      </c>
      <c r="BE65" s="483" t="n">
        <v>0</v>
      </c>
      <c r="BF65" s="483" t="n">
        <v>0</v>
      </c>
      <c r="BG65" s="483" t="n">
        <v>0</v>
      </c>
      <c r="BH65" s="483" t="n">
        <v>0</v>
      </c>
      <c r="BI65" s="483" t="n">
        <v>0</v>
      </c>
      <c r="BJ65" s="483" t="n">
        <v>0</v>
      </c>
      <c r="BK65" s="483" t="n">
        <v>0</v>
      </c>
      <c r="BL65" s="483" t="n">
        <v>0</v>
      </c>
      <c r="BM65" s="483" t="n">
        <v>0</v>
      </c>
      <c r="BN65" s="483" t="n">
        <v>0</v>
      </c>
      <c r="BO65" s="483" t="n">
        <v>0</v>
      </c>
      <c r="BP65" s="483" t="n">
        <v>0</v>
      </c>
      <c r="BQ65" s="483" t="n">
        <v>0</v>
      </c>
      <c r="BR65" s="483" t="n">
        <v>0</v>
      </c>
      <c r="BS65" s="483" t="n">
        <v>0</v>
      </c>
      <c r="BT65" s="483" t="n">
        <v>0</v>
      </c>
      <c r="BU65" s="483" t="n">
        <v>0</v>
      </c>
      <c r="BV65" s="483" t="n">
        <v>0</v>
      </c>
      <c r="BW65" s="483" t="n">
        <v>0</v>
      </c>
      <c r="BX65" s="483" t="n">
        <v>0</v>
      </c>
      <c r="BY65" s="483" t="n">
        <v>0</v>
      </c>
      <c r="BZ65" s="659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</row>
    <row r="66" hidden="1" s="191">
      <c r="A66" s="265" t="n">
        <v>0</v>
      </c>
      <c r="B66" s="265" t="n">
        <v>0</v>
      </c>
      <c r="C66" s="265" t="n">
        <v>0</v>
      </c>
      <c r="D66" s="265" t="n">
        <v>0</v>
      </c>
      <c r="E66" s="265" t="n">
        <v>0</v>
      </c>
      <c r="F66" s="266" t="n">
        <v>0</v>
      </c>
      <c r="G66" s="266" t="n">
        <v>0</v>
      </c>
      <c r="H66" s="266" t="n">
        <v>0</v>
      </c>
      <c r="I66" s="266" t="n">
        <v>0</v>
      </c>
      <c r="J66" s="267" t="n">
        <v>0</v>
      </c>
      <c r="K66" s="267" t="n">
        <v>0</v>
      </c>
      <c r="L66" s="267" t="n">
        <v>0</v>
      </c>
      <c r="M66" s="267" t="n">
        <v>0</v>
      </c>
      <c r="N66" s="268" t="n">
        <v>0</v>
      </c>
      <c r="O66" s="268" t="n">
        <v>0</v>
      </c>
      <c r="P66" s="268" t="n">
        <v>0</v>
      </c>
      <c r="Q66" s="268" t="n">
        <v>0</v>
      </c>
      <c r="R66" s="268" t="n">
        <v>0</v>
      </c>
      <c r="S66" s="268" t="n">
        <v>0</v>
      </c>
      <c r="T66" s="268" t="n">
        <v>0</v>
      </c>
      <c r="U66" s="268" t="n">
        <v>0</v>
      </c>
      <c r="V66" s="268" t="n">
        <v>0</v>
      </c>
      <c r="W66" s="269" t="n">
        <v>0</v>
      </c>
      <c r="X66" s="269" t="n">
        <v>0</v>
      </c>
      <c r="Y66" s="269" t="n">
        <v>0</v>
      </c>
      <c r="Z66" s="269" t="n">
        <v>0</v>
      </c>
      <c r="AA66" s="270" t="n">
        <v>0</v>
      </c>
      <c r="AB66" s="270" t="n">
        <v>0</v>
      </c>
      <c r="AC66" s="270" t="n">
        <v>0</v>
      </c>
      <c r="AD66" s="270" t="n">
        <v>0</v>
      </c>
      <c r="AE66" s="268" t="n">
        <v>0</v>
      </c>
      <c r="AF66" s="268" t="n">
        <v>0</v>
      </c>
      <c r="AG66" s="268" t="n">
        <v>0</v>
      </c>
      <c r="AH66" s="268" t="n">
        <v>0</v>
      </c>
      <c r="AI66" s="268" t="n">
        <v>0</v>
      </c>
      <c r="AJ66" s="268" t="n">
        <v>0</v>
      </c>
      <c r="AK66" s="269" t="n">
        <v>0</v>
      </c>
      <c r="AL66" s="269" t="n">
        <v>0</v>
      </c>
      <c r="AM66" s="269" t="n">
        <v>0</v>
      </c>
      <c r="AN66" s="269" t="n">
        <v>0</v>
      </c>
      <c r="AO66" s="270" t="n">
        <v>0</v>
      </c>
      <c r="AP66" s="270" t="n">
        <v>0</v>
      </c>
      <c r="AQ66" s="270" t="n">
        <v>0</v>
      </c>
      <c r="AR66" s="270" t="n">
        <v>0</v>
      </c>
      <c r="AS66" s="174" t="n">
        <v>0</v>
      </c>
      <c r="AT66" s="271" t="n">
        <v>0</v>
      </c>
      <c r="AU66" s="175" t="n">
        <v>0</v>
      </c>
      <c r="AV66" s="175" t="n">
        <v>0</v>
      </c>
      <c r="AW66" s="483" t="n">
        <v>0</v>
      </c>
      <c r="AX66" s="174" t="n">
        <v>0</v>
      </c>
      <c r="AY66" s="174" t="n">
        <v>0</v>
      </c>
      <c r="AZ66" s="483" t="n">
        <v>0</v>
      </c>
      <c r="BA66" s="483" t="n">
        <v>0</v>
      </c>
      <c r="BB66" s="174" t="n">
        <v>0</v>
      </c>
      <c r="BC66" s="174" t="n">
        <v>0</v>
      </c>
      <c r="BD66" s="483" t="n">
        <v>0</v>
      </c>
      <c r="BE66" s="483" t="n">
        <v>0</v>
      </c>
      <c r="BF66" s="483" t="n">
        <v>0</v>
      </c>
      <c r="BG66" s="483" t="n">
        <v>0</v>
      </c>
      <c r="BH66" s="483" t="n">
        <v>0</v>
      </c>
      <c r="BI66" s="483" t="n">
        <v>0</v>
      </c>
      <c r="BJ66" s="483" t="n">
        <v>0</v>
      </c>
      <c r="BK66" s="483" t="n">
        <v>0</v>
      </c>
      <c r="BL66" s="483" t="n">
        <v>0</v>
      </c>
      <c r="BM66" s="483" t="n">
        <v>0</v>
      </c>
      <c r="BN66" s="483" t="n">
        <v>0</v>
      </c>
      <c r="BO66" s="483" t="n">
        <v>0</v>
      </c>
      <c r="BP66" s="483" t="n">
        <v>0</v>
      </c>
      <c r="BQ66" s="483" t="n">
        <v>0</v>
      </c>
      <c r="BR66" s="483" t="n">
        <v>0</v>
      </c>
      <c r="BS66" s="483" t="n">
        <v>0</v>
      </c>
      <c r="BT66" s="483" t="n">
        <v>0</v>
      </c>
      <c r="BU66" s="483" t="n">
        <v>0</v>
      </c>
      <c r="BV66" s="483" t="n">
        <v>0</v>
      </c>
      <c r="BW66" s="483" t="n">
        <v>0</v>
      </c>
      <c r="BX66" s="483" t="n">
        <v>0</v>
      </c>
      <c r="BY66" s="483" t="n">
        <v>0</v>
      </c>
      <c r="BZ66" s="659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 hidden="1" s="191">
      <c r="A67" s="265" t="n">
        <v>0</v>
      </c>
      <c r="B67" s="265" t="n">
        <v>0</v>
      </c>
      <c r="C67" s="265" t="n">
        <v>0</v>
      </c>
      <c r="D67" s="265" t="n">
        <v>0</v>
      </c>
      <c r="E67" s="265" t="n">
        <v>0</v>
      </c>
      <c r="F67" s="266" t="n">
        <v>0</v>
      </c>
      <c r="G67" s="266" t="n">
        <v>0</v>
      </c>
      <c r="H67" s="266" t="n">
        <v>0</v>
      </c>
      <c r="I67" s="266" t="n">
        <v>0</v>
      </c>
      <c r="J67" s="267" t="n">
        <v>0</v>
      </c>
      <c r="K67" s="267" t="n">
        <v>0</v>
      </c>
      <c r="L67" s="267" t="n">
        <v>0</v>
      </c>
      <c r="M67" s="267" t="n">
        <v>0</v>
      </c>
      <c r="N67" s="268" t="n">
        <v>0</v>
      </c>
      <c r="O67" s="268" t="n">
        <v>0</v>
      </c>
      <c r="P67" s="268" t="n">
        <v>0</v>
      </c>
      <c r="Q67" s="268" t="n">
        <v>0</v>
      </c>
      <c r="R67" s="268" t="n">
        <v>0</v>
      </c>
      <c r="S67" s="268" t="n">
        <v>0</v>
      </c>
      <c r="T67" s="268" t="n">
        <v>0</v>
      </c>
      <c r="U67" s="268" t="n">
        <v>0</v>
      </c>
      <c r="V67" s="268" t="n">
        <v>0</v>
      </c>
      <c r="W67" s="269" t="n">
        <v>0</v>
      </c>
      <c r="X67" s="269" t="n">
        <v>0</v>
      </c>
      <c r="Y67" s="269" t="n">
        <v>0</v>
      </c>
      <c r="Z67" s="269" t="n">
        <v>0</v>
      </c>
      <c r="AA67" s="270" t="n">
        <v>0</v>
      </c>
      <c r="AB67" s="270" t="n">
        <v>0</v>
      </c>
      <c r="AC67" s="270" t="n">
        <v>0</v>
      </c>
      <c r="AD67" s="270" t="n">
        <v>0</v>
      </c>
      <c r="AE67" s="268" t="n">
        <v>0</v>
      </c>
      <c r="AF67" s="268" t="n">
        <v>0</v>
      </c>
      <c r="AG67" s="268" t="n">
        <v>0</v>
      </c>
      <c r="AH67" s="268" t="n">
        <v>0</v>
      </c>
      <c r="AI67" s="268" t="n">
        <v>0</v>
      </c>
      <c r="AJ67" s="268" t="n">
        <v>0</v>
      </c>
      <c r="AK67" s="269" t="n">
        <v>0</v>
      </c>
      <c r="AL67" s="269" t="n">
        <v>0</v>
      </c>
      <c r="AM67" s="269" t="n">
        <v>0</v>
      </c>
      <c r="AN67" s="269" t="n">
        <v>0</v>
      </c>
      <c r="AO67" s="270" t="n">
        <v>0</v>
      </c>
      <c r="AP67" s="270" t="n">
        <v>0</v>
      </c>
      <c r="AQ67" s="270" t="n">
        <v>0</v>
      </c>
      <c r="AR67" s="270" t="n">
        <v>0</v>
      </c>
      <c r="AS67" s="174" t="n">
        <v>0</v>
      </c>
      <c r="AT67" s="271" t="n">
        <v>0</v>
      </c>
      <c r="AU67" s="175" t="n">
        <v>0</v>
      </c>
      <c r="AV67" s="175" t="n">
        <v>0</v>
      </c>
      <c r="AW67" s="483" t="n">
        <v>0</v>
      </c>
      <c r="AX67" s="174" t="n">
        <v>0</v>
      </c>
      <c r="AY67" s="174" t="n">
        <v>0</v>
      </c>
      <c r="AZ67" s="483" t="n">
        <v>0</v>
      </c>
      <c r="BA67" s="483" t="n">
        <v>0</v>
      </c>
      <c r="BB67" s="174" t="n">
        <v>0</v>
      </c>
      <c r="BC67" s="174" t="n">
        <v>0</v>
      </c>
      <c r="BD67" s="483" t="n">
        <v>0</v>
      </c>
      <c r="BE67" s="483" t="n">
        <v>0</v>
      </c>
      <c r="BF67" s="483" t="n">
        <v>0</v>
      </c>
      <c r="BG67" s="483" t="n">
        <v>0</v>
      </c>
      <c r="BH67" s="483" t="n">
        <v>0</v>
      </c>
      <c r="BI67" s="483" t="n">
        <v>0</v>
      </c>
      <c r="BJ67" s="483" t="n">
        <v>0</v>
      </c>
      <c r="BK67" s="483" t="n">
        <v>0</v>
      </c>
      <c r="BL67" s="483" t="n">
        <v>0</v>
      </c>
      <c r="BM67" s="483" t="n">
        <v>0</v>
      </c>
      <c r="BN67" s="483" t="n">
        <v>0</v>
      </c>
      <c r="BO67" s="483" t="n">
        <v>0</v>
      </c>
      <c r="BP67" s="483" t="n">
        <v>0</v>
      </c>
      <c r="BQ67" s="483" t="n">
        <v>0</v>
      </c>
      <c r="BR67" s="483" t="n">
        <v>0</v>
      </c>
      <c r="BS67" s="483" t="n">
        <v>0</v>
      </c>
      <c r="BT67" s="483" t="n">
        <v>0</v>
      </c>
      <c r="BU67" s="483" t="n">
        <v>0</v>
      </c>
      <c r="BV67" s="483" t="n">
        <v>0</v>
      </c>
      <c r="BW67" s="483" t="n">
        <v>0</v>
      </c>
      <c r="BX67" s="483" t="n">
        <v>0</v>
      </c>
      <c r="BY67" s="483" t="n">
        <v>0</v>
      </c>
      <c r="BZ67" s="659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</row>
    <row r="68" hidden="1" s="191">
      <c r="A68" s="265" t="n">
        <v>0</v>
      </c>
      <c r="B68" s="265" t="n">
        <v>0</v>
      </c>
      <c r="C68" s="265" t="n">
        <v>0</v>
      </c>
      <c r="D68" s="265" t="n">
        <v>0</v>
      </c>
      <c r="E68" s="265" t="n">
        <v>0</v>
      </c>
      <c r="F68" s="266" t="n">
        <v>0</v>
      </c>
      <c r="G68" s="266" t="n">
        <v>0</v>
      </c>
      <c r="H68" s="266" t="n">
        <v>0</v>
      </c>
      <c r="I68" s="266" t="n">
        <v>0</v>
      </c>
      <c r="J68" s="267" t="n">
        <v>0</v>
      </c>
      <c r="K68" s="267" t="n">
        <v>0</v>
      </c>
      <c r="L68" s="267" t="n">
        <v>0</v>
      </c>
      <c r="M68" s="267" t="n">
        <v>0</v>
      </c>
      <c r="N68" s="268" t="n">
        <v>0</v>
      </c>
      <c r="O68" s="268" t="n">
        <v>0</v>
      </c>
      <c r="P68" s="268" t="n">
        <v>0</v>
      </c>
      <c r="Q68" s="268" t="n">
        <v>0</v>
      </c>
      <c r="R68" s="268" t="n">
        <v>0</v>
      </c>
      <c r="S68" s="268" t="n">
        <v>0</v>
      </c>
      <c r="T68" s="268" t="n">
        <v>0</v>
      </c>
      <c r="U68" s="268" t="n">
        <v>0</v>
      </c>
      <c r="V68" s="268" t="n">
        <v>0</v>
      </c>
      <c r="W68" s="269" t="n">
        <v>0</v>
      </c>
      <c r="X68" s="269" t="n">
        <v>0</v>
      </c>
      <c r="Y68" s="269" t="n">
        <v>0</v>
      </c>
      <c r="Z68" s="269" t="n">
        <v>0</v>
      </c>
      <c r="AA68" s="270" t="n">
        <v>0</v>
      </c>
      <c r="AB68" s="270" t="n">
        <v>0</v>
      </c>
      <c r="AC68" s="270" t="n">
        <v>0</v>
      </c>
      <c r="AD68" s="270" t="n">
        <v>0</v>
      </c>
      <c r="AE68" s="268" t="n">
        <v>0</v>
      </c>
      <c r="AF68" s="268" t="n">
        <v>0</v>
      </c>
      <c r="AG68" s="268" t="n">
        <v>0</v>
      </c>
      <c r="AH68" s="268" t="n">
        <v>0</v>
      </c>
      <c r="AI68" s="268" t="n">
        <v>0</v>
      </c>
      <c r="AJ68" s="268" t="n">
        <v>0</v>
      </c>
      <c r="AK68" s="269" t="n">
        <v>0</v>
      </c>
      <c r="AL68" s="269" t="n">
        <v>0</v>
      </c>
      <c r="AM68" s="269" t="n">
        <v>0</v>
      </c>
      <c r="AN68" s="269" t="n">
        <v>0</v>
      </c>
      <c r="AO68" s="270" t="n">
        <v>0</v>
      </c>
      <c r="AP68" s="270" t="n">
        <v>0</v>
      </c>
      <c r="AQ68" s="270" t="n">
        <v>0</v>
      </c>
      <c r="AR68" s="270" t="n">
        <v>0</v>
      </c>
      <c r="AS68" s="174" t="n">
        <v>0</v>
      </c>
      <c r="AT68" s="271" t="n">
        <v>0</v>
      </c>
      <c r="AU68" s="175" t="n">
        <v>0</v>
      </c>
      <c r="AV68" s="175" t="n">
        <v>0</v>
      </c>
      <c r="AW68" s="483" t="n">
        <v>0</v>
      </c>
      <c r="AX68" s="174" t="n">
        <v>0</v>
      </c>
      <c r="AY68" s="174" t="n">
        <v>0</v>
      </c>
      <c r="AZ68" s="483" t="n">
        <v>0</v>
      </c>
      <c r="BA68" s="483" t="n">
        <v>0</v>
      </c>
      <c r="BB68" s="174" t="n">
        <v>0</v>
      </c>
      <c r="BC68" s="174" t="n">
        <v>0</v>
      </c>
      <c r="BD68" s="483" t="n">
        <v>0</v>
      </c>
      <c r="BE68" s="483" t="n">
        <v>0</v>
      </c>
      <c r="BF68" s="483" t="n">
        <v>0</v>
      </c>
      <c r="BG68" s="483" t="n">
        <v>0</v>
      </c>
      <c r="BH68" s="483" t="n">
        <v>0</v>
      </c>
      <c r="BI68" s="483" t="n">
        <v>0</v>
      </c>
      <c r="BJ68" s="483" t="n">
        <v>0</v>
      </c>
      <c r="BK68" s="483" t="n">
        <v>0</v>
      </c>
      <c r="BL68" s="483" t="n">
        <v>0</v>
      </c>
      <c r="BM68" s="483" t="n">
        <v>0</v>
      </c>
      <c r="BN68" s="483" t="n">
        <v>0</v>
      </c>
      <c r="BO68" s="483" t="n">
        <v>0</v>
      </c>
      <c r="BP68" s="483" t="n">
        <v>0</v>
      </c>
      <c r="BQ68" s="483" t="n">
        <v>0</v>
      </c>
      <c r="BR68" s="483" t="n">
        <v>0</v>
      </c>
      <c r="BS68" s="483" t="n">
        <v>0</v>
      </c>
      <c r="BT68" s="483" t="n">
        <v>0</v>
      </c>
      <c r="BU68" s="483" t="n">
        <v>0</v>
      </c>
      <c r="BV68" s="483" t="n">
        <v>0</v>
      </c>
      <c r="BW68" s="483" t="n">
        <v>0</v>
      </c>
      <c r="BX68" s="483" t="n">
        <v>0</v>
      </c>
      <c r="BY68" s="483" t="n">
        <v>0</v>
      </c>
      <c r="BZ68" s="659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 hidden="1" s="191">
      <c r="A69" s="265" t="n">
        <v>0</v>
      </c>
      <c r="B69" s="265" t="n">
        <v>0</v>
      </c>
      <c r="C69" s="265" t="n">
        <v>0</v>
      </c>
      <c r="D69" s="265" t="n">
        <v>0</v>
      </c>
      <c r="E69" s="265" t="n">
        <v>0</v>
      </c>
      <c r="F69" s="266" t="n">
        <v>0</v>
      </c>
      <c r="G69" s="266" t="n">
        <v>0</v>
      </c>
      <c r="H69" s="266" t="n">
        <v>0</v>
      </c>
      <c r="I69" s="266" t="n">
        <v>0</v>
      </c>
      <c r="J69" s="267" t="n">
        <v>0</v>
      </c>
      <c r="K69" s="267" t="n">
        <v>0</v>
      </c>
      <c r="L69" s="267" t="n">
        <v>0</v>
      </c>
      <c r="M69" s="267" t="n">
        <v>0</v>
      </c>
      <c r="N69" s="268" t="n">
        <v>0</v>
      </c>
      <c r="O69" s="268" t="n">
        <v>0</v>
      </c>
      <c r="P69" s="268" t="n">
        <v>0</v>
      </c>
      <c r="Q69" s="268" t="n">
        <v>0</v>
      </c>
      <c r="R69" s="268" t="n">
        <v>0</v>
      </c>
      <c r="S69" s="268" t="n">
        <v>0</v>
      </c>
      <c r="T69" s="268" t="n">
        <v>0</v>
      </c>
      <c r="U69" s="268" t="n">
        <v>0</v>
      </c>
      <c r="V69" s="268" t="n">
        <v>0</v>
      </c>
      <c r="W69" s="269" t="n">
        <v>0</v>
      </c>
      <c r="X69" s="269" t="n">
        <v>0</v>
      </c>
      <c r="Y69" s="269" t="n">
        <v>0</v>
      </c>
      <c r="Z69" s="269" t="n">
        <v>0</v>
      </c>
      <c r="AA69" s="270" t="n">
        <v>0</v>
      </c>
      <c r="AB69" s="270" t="n">
        <v>0</v>
      </c>
      <c r="AC69" s="270" t="n">
        <v>0</v>
      </c>
      <c r="AD69" s="270" t="n">
        <v>0</v>
      </c>
      <c r="AE69" s="268" t="n">
        <v>0</v>
      </c>
      <c r="AF69" s="268" t="n">
        <v>0</v>
      </c>
      <c r="AG69" s="268" t="n">
        <v>0</v>
      </c>
      <c r="AH69" s="268" t="n">
        <v>0</v>
      </c>
      <c r="AI69" s="268" t="n">
        <v>0</v>
      </c>
      <c r="AJ69" s="268" t="n">
        <v>0</v>
      </c>
      <c r="AK69" s="269" t="n">
        <v>0</v>
      </c>
      <c r="AL69" s="269" t="n">
        <v>0</v>
      </c>
      <c r="AM69" s="269" t="n">
        <v>0</v>
      </c>
      <c r="AN69" s="269" t="n">
        <v>0</v>
      </c>
      <c r="AO69" s="270" t="n">
        <v>0</v>
      </c>
      <c r="AP69" s="270" t="n">
        <v>0</v>
      </c>
      <c r="AQ69" s="270" t="n">
        <v>0</v>
      </c>
      <c r="AR69" s="270" t="n">
        <v>0</v>
      </c>
      <c r="AS69" s="174" t="n">
        <v>0</v>
      </c>
      <c r="AT69" s="271" t="n">
        <v>0</v>
      </c>
      <c r="AU69" s="175" t="n">
        <v>0</v>
      </c>
      <c r="AV69" s="175" t="n">
        <v>0</v>
      </c>
      <c r="AW69" s="483" t="n">
        <v>0</v>
      </c>
      <c r="AX69" s="174" t="n">
        <v>0</v>
      </c>
      <c r="AY69" s="174" t="n">
        <v>0</v>
      </c>
      <c r="AZ69" s="483" t="n">
        <v>0</v>
      </c>
      <c r="BA69" s="483" t="n">
        <v>0</v>
      </c>
      <c r="BB69" s="174" t="n">
        <v>0</v>
      </c>
      <c r="BC69" s="174" t="n">
        <v>0</v>
      </c>
      <c r="BD69" s="483" t="n">
        <v>0</v>
      </c>
      <c r="BE69" s="483" t="n">
        <v>0</v>
      </c>
      <c r="BF69" s="483" t="n">
        <v>0</v>
      </c>
      <c r="BG69" s="483" t="n">
        <v>0</v>
      </c>
      <c r="BH69" s="483" t="n">
        <v>0</v>
      </c>
      <c r="BI69" s="483" t="n">
        <v>0</v>
      </c>
      <c r="BJ69" s="483" t="n">
        <v>0</v>
      </c>
      <c r="BK69" s="483" t="n">
        <v>0</v>
      </c>
      <c r="BL69" s="483" t="n">
        <v>0</v>
      </c>
      <c r="BM69" s="483" t="n">
        <v>0</v>
      </c>
      <c r="BN69" s="483" t="n">
        <v>0</v>
      </c>
      <c r="BO69" s="483" t="n">
        <v>0</v>
      </c>
      <c r="BP69" s="483" t="n">
        <v>0</v>
      </c>
      <c r="BQ69" s="483" t="n">
        <v>0</v>
      </c>
      <c r="BR69" s="483" t="n">
        <v>0</v>
      </c>
      <c r="BS69" s="483" t="n">
        <v>0</v>
      </c>
      <c r="BT69" s="483" t="n">
        <v>0</v>
      </c>
      <c r="BU69" s="483" t="n">
        <v>0</v>
      </c>
      <c r="BV69" s="483" t="n">
        <v>0</v>
      </c>
      <c r="BW69" s="483" t="n">
        <v>0</v>
      </c>
      <c r="BX69" s="483" t="n">
        <v>0</v>
      </c>
      <c r="BY69" s="483" t="n">
        <v>0</v>
      </c>
      <c r="BZ69" s="65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</row>
    <row r="70" hidden="1" s="191">
      <c r="A70" s="265" t="n">
        <v>0</v>
      </c>
      <c r="B70" s="265" t="n">
        <v>0</v>
      </c>
      <c r="C70" s="265" t="n">
        <v>0</v>
      </c>
      <c r="D70" s="265" t="n">
        <v>0</v>
      </c>
      <c r="E70" s="265" t="n">
        <v>0</v>
      </c>
      <c r="F70" s="266" t="n">
        <v>0</v>
      </c>
      <c r="G70" s="266" t="n">
        <v>0</v>
      </c>
      <c r="H70" s="266" t="n">
        <v>0</v>
      </c>
      <c r="I70" s="266" t="n">
        <v>0</v>
      </c>
      <c r="J70" s="267" t="n">
        <v>0</v>
      </c>
      <c r="K70" s="267" t="n">
        <v>0</v>
      </c>
      <c r="L70" s="267" t="n">
        <v>0</v>
      </c>
      <c r="M70" s="267" t="n">
        <v>0</v>
      </c>
      <c r="N70" s="268" t="n">
        <v>0</v>
      </c>
      <c r="O70" s="268" t="n">
        <v>0</v>
      </c>
      <c r="P70" s="268" t="n">
        <v>0</v>
      </c>
      <c r="Q70" s="268" t="n">
        <v>0</v>
      </c>
      <c r="R70" s="268" t="n">
        <v>0</v>
      </c>
      <c r="S70" s="268" t="n">
        <v>0</v>
      </c>
      <c r="T70" s="268" t="n">
        <v>0</v>
      </c>
      <c r="U70" s="268" t="n">
        <v>0</v>
      </c>
      <c r="V70" s="268" t="n">
        <v>0</v>
      </c>
      <c r="W70" s="269" t="n">
        <v>0</v>
      </c>
      <c r="X70" s="269" t="n">
        <v>0</v>
      </c>
      <c r="Y70" s="269" t="n">
        <v>0</v>
      </c>
      <c r="Z70" s="269" t="n">
        <v>0</v>
      </c>
      <c r="AA70" s="270" t="n">
        <v>0</v>
      </c>
      <c r="AB70" s="270" t="n">
        <v>0</v>
      </c>
      <c r="AC70" s="270" t="n">
        <v>0</v>
      </c>
      <c r="AD70" s="270" t="n">
        <v>0</v>
      </c>
      <c r="AE70" s="268" t="n">
        <v>0</v>
      </c>
      <c r="AF70" s="268" t="n">
        <v>0</v>
      </c>
      <c r="AG70" s="268" t="n">
        <v>0</v>
      </c>
      <c r="AH70" s="268" t="n">
        <v>0</v>
      </c>
      <c r="AI70" s="268" t="n">
        <v>0</v>
      </c>
      <c r="AJ70" s="268" t="n">
        <v>0</v>
      </c>
      <c r="AK70" s="269" t="n">
        <v>0</v>
      </c>
      <c r="AL70" s="269" t="n">
        <v>0</v>
      </c>
      <c r="AM70" s="269" t="n">
        <v>0</v>
      </c>
      <c r="AN70" s="269" t="n">
        <v>0</v>
      </c>
      <c r="AO70" s="270" t="n">
        <v>0</v>
      </c>
      <c r="AP70" s="270" t="n">
        <v>0</v>
      </c>
      <c r="AQ70" s="270" t="n">
        <v>0</v>
      </c>
      <c r="AR70" s="270" t="n">
        <v>0</v>
      </c>
      <c r="AS70" s="174" t="n">
        <v>0</v>
      </c>
      <c r="AT70" s="271" t="n">
        <v>0</v>
      </c>
      <c r="AU70" s="175" t="n">
        <v>0</v>
      </c>
      <c r="AV70" s="175" t="n">
        <v>0</v>
      </c>
      <c r="AW70" s="483" t="n">
        <v>0</v>
      </c>
      <c r="AX70" s="174" t="n">
        <v>0</v>
      </c>
      <c r="AY70" s="174" t="n">
        <v>0</v>
      </c>
      <c r="AZ70" s="483" t="n">
        <v>0</v>
      </c>
      <c r="BA70" s="483" t="n">
        <v>0</v>
      </c>
      <c r="BB70" s="174" t="n">
        <v>0</v>
      </c>
      <c r="BC70" s="174" t="n">
        <v>0</v>
      </c>
      <c r="BD70" s="483" t="n">
        <v>0</v>
      </c>
      <c r="BE70" s="483" t="n">
        <v>0</v>
      </c>
      <c r="BF70" s="483" t="n">
        <v>0</v>
      </c>
      <c r="BG70" s="483" t="n">
        <v>0</v>
      </c>
      <c r="BH70" s="483" t="n">
        <v>0</v>
      </c>
      <c r="BI70" s="483" t="n">
        <v>0</v>
      </c>
      <c r="BJ70" s="483" t="n">
        <v>0</v>
      </c>
      <c r="BK70" s="483" t="n">
        <v>0</v>
      </c>
      <c r="BL70" s="483" t="n">
        <v>0</v>
      </c>
      <c r="BM70" s="483" t="n">
        <v>0</v>
      </c>
      <c r="BN70" s="483" t="n">
        <v>0</v>
      </c>
      <c r="BO70" s="483" t="n">
        <v>0</v>
      </c>
      <c r="BP70" s="483" t="n">
        <v>0</v>
      </c>
      <c r="BQ70" s="483" t="n">
        <v>0</v>
      </c>
      <c r="BR70" s="483" t="n">
        <v>0</v>
      </c>
      <c r="BS70" s="483" t="n">
        <v>0</v>
      </c>
      <c r="BT70" s="483" t="n">
        <v>0</v>
      </c>
      <c r="BU70" s="483" t="n">
        <v>0</v>
      </c>
      <c r="BV70" s="483" t="n">
        <v>0</v>
      </c>
      <c r="BW70" s="483" t="n">
        <v>0</v>
      </c>
      <c r="BX70" s="483" t="n">
        <v>0</v>
      </c>
      <c r="BY70" s="483" t="n">
        <v>0</v>
      </c>
      <c r="BZ70" s="659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</row>
    <row r="71" hidden="1" s="191">
      <c r="A71" s="265" t="n">
        <v>0</v>
      </c>
      <c r="B71" s="265" t="n">
        <v>0</v>
      </c>
      <c r="C71" s="265" t="n">
        <v>0</v>
      </c>
      <c r="D71" s="265" t="n">
        <v>0</v>
      </c>
      <c r="E71" s="265" t="n">
        <v>0</v>
      </c>
      <c r="F71" s="266" t="n">
        <v>0</v>
      </c>
      <c r="G71" s="266" t="n">
        <v>0</v>
      </c>
      <c r="H71" s="266" t="n">
        <v>0</v>
      </c>
      <c r="I71" s="266" t="n">
        <v>0</v>
      </c>
      <c r="J71" s="267" t="n">
        <v>0</v>
      </c>
      <c r="K71" s="267" t="n">
        <v>0</v>
      </c>
      <c r="L71" s="267" t="n">
        <v>0</v>
      </c>
      <c r="M71" s="267" t="n">
        <v>0</v>
      </c>
      <c r="N71" s="268" t="n">
        <v>0</v>
      </c>
      <c r="O71" s="268" t="n">
        <v>0</v>
      </c>
      <c r="P71" s="268" t="n">
        <v>0</v>
      </c>
      <c r="Q71" s="268" t="n">
        <v>0</v>
      </c>
      <c r="R71" s="268" t="n">
        <v>0</v>
      </c>
      <c r="S71" s="268" t="n">
        <v>0</v>
      </c>
      <c r="T71" s="268" t="n">
        <v>0</v>
      </c>
      <c r="U71" s="268" t="n">
        <v>0</v>
      </c>
      <c r="V71" s="268" t="n">
        <v>0</v>
      </c>
      <c r="W71" s="269" t="n">
        <v>0</v>
      </c>
      <c r="X71" s="269" t="n">
        <v>0</v>
      </c>
      <c r="Y71" s="269" t="n">
        <v>0</v>
      </c>
      <c r="Z71" s="269" t="n">
        <v>0</v>
      </c>
      <c r="AA71" s="270" t="n">
        <v>0</v>
      </c>
      <c r="AB71" s="270" t="n">
        <v>0</v>
      </c>
      <c r="AC71" s="270" t="n">
        <v>0</v>
      </c>
      <c r="AD71" s="270" t="n">
        <v>0</v>
      </c>
      <c r="AE71" s="268" t="n">
        <v>0</v>
      </c>
      <c r="AF71" s="268" t="n">
        <v>0</v>
      </c>
      <c r="AG71" s="268" t="n">
        <v>0</v>
      </c>
      <c r="AH71" s="268" t="n">
        <v>0</v>
      </c>
      <c r="AI71" s="268" t="n">
        <v>0</v>
      </c>
      <c r="AJ71" s="268" t="n">
        <v>0</v>
      </c>
      <c r="AK71" s="269" t="n">
        <v>0</v>
      </c>
      <c r="AL71" s="269" t="n">
        <v>0</v>
      </c>
      <c r="AM71" s="269" t="n">
        <v>0</v>
      </c>
      <c r="AN71" s="269" t="n">
        <v>0</v>
      </c>
      <c r="AO71" s="270" t="n">
        <v>0</v>
      </c>
      <c r="AP71" s="270" t="n">
        <v>0</v>
      </c>
      <c r="AQ71" s="270" t="n">
        <v>0</v>
      </c>
      <c r="AR71" s="270" t="n">
        <v>0</v>
      </c>
      <c r="AS71" s="174" t="n">
        <v>0</v>
      </c>
      <c r="AT71" s="271" t="n">
        <v>0</v>
      </c>
      <c r="AU71" s="175" t="n">
        <v>0</v>
      </c>
      <c r="AV71" s="175" t="n">
        <v>0</v>
      </c>
      <c r="AW71" s="483" t="n">
        <v>0</v>
      </c>
      <c r="AX71" s="174" t="n">
        <v>0</v>
      </c>
      <c r="AY71" s="174" t="n">
        <v>0</v>
      </c>
      <c r="AZ71" s="483" t="n">
        <v>0</v>
      </c>
      <c r="BA71" s="483" t="n">
        <v>0</v>
      </c>
      <c r="BB71" s="174" t="n">
        <v>0</v>
      </c>
      <c r="BC71" s="174" t="n">
        <v>0</v>
      </c>
      <c r="BD71" s="483" t="n">
        <v>0</v>
      </c>
      <c r="BE71" s="483" t="n">
        <v>0</v>
      </c>
      <c r="BF71" s="483" t="n">
        <v>0</v>
      </c>
      <c r="BG71" s="483" t="n">
        <v>0</v>
      </c>
      <c r="BH71" s="483" t="n">
        <v>0</v>
      </c>
      <c r="BI71" s="483" t="n">
        <v>0</v>
      </c>
      <c r="BJ71" s="483" t="n">
        <v>0</v>
      </c>
      <c r="BK71" s="483" t="n">
        <v>0</v>
      </c>
      <c r="BL71" s="483" t="n">
        <v>0</v>
      </c>
      <c r="BM71" s="483" t="n">
        <v>0</v>
      </c>
      <c r="BN71" s="483" t="n">
        <v>0</v>
      </c>
      <c r="BO71" s="483" t="n">
        <v>0</v>
      </c>
      <c r="BP71" s="483" t="n">
        <v>0</v>
      </c>
      <c r="BQ71" s="483" t="n">
        <v>0</v>
      </c>
      <c r="BR71" s="483" t="n">
        <v>0</v>
      </c>
      <c r="BS71" s="483" t="n">
        <v>0</v>
      </c>
      <c r="BT71" s="483" t="n">
        <v>0</v>
      </c>
      <c r="BU71" s="483" t="n">
        <v>0</v>
      </c>
      <c r="BV71" s="483" t="n">
        <v>0</v>
      </c>
      <c r="BW71" s="483" t="n">
        <v>0</v>
      </c>
      <c r="BX71" s="483" t="n">
        <v>0</v>
      </c>
      <c r="BY71" s="483" t="n">
        <v>0</v>
      </c>
      <c r="BZ71" s="659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</row>
    <row r="72" hidden="1" s="191">
      <c r="A72" s="265" t="n">
        <v>0</v>
      </c>
      <c r="B72" s="265" t="n">
        <v>0</v>
      </c>
      <c r="C72" s="265" t="n">
        <v>0</v>
      </c>
      <c r="D72" s="265" t="n">
        <v>0</v>
      </c>
      <c r="E72" s="265" t="n">
        <v>0</v>
      </c>
      <c r="F72" s="266" t="n">
        <v>0</v>
      </c>
      <c r="G72" s="266" t="n">
        <v>0</v>
      </c>
      <c r="H72" s="266" t="n">
        <v>0</v>
      </c>
      <c r="I72" s="266" t="n">
        <v>0</v>
      </c>
      <c r="J72" s="267" t="n">
        <v>0</v>
      </c>
      <c r="K72" s="267" t="n">
        <v>0</v>
      </c>
      <c r="L72" s="267" t="n">
        <v>0</v>
      </c>
      <c r="M72" s="267" t="n">
        <v>0</v>
      </c>
      <c r="N72" s="268" t="n">
        <v>0</v>
      </c>
      <c r="O72" s="268" t="n">
        <v>0</v>
      </c>
      <c r="P72" s="268" t="n">
        <v>0</v>
      </c>
      <c r="Q72" s="268" t="n">
        <v>0</v>
      </c>
      <c r="R72" s="268" t="n">
        <v>0</v>
      </c>
      <c r="S72" s="268" t="n">
        <v>0</v>
      </c>
      <c r="T72" s="268" t="n">
        <v>0</v>
      </c>
      <c r="U72" s="268" t="n">
        <v>0</v>
      </c>
      <c r="V72" s="268" t="n">
        <v>0</v>
      </c>
      <c r="W72" s="269" t="n">
        <v>0</v>
      </c>
      <c r="X72" s="269" t="n">
        <v>0</v>
      </c>
      <c r="Y72" s="269" t="n">
        <v>0</v>
      </c>
      <c r="Z72" s="269" t="n">
        <v>0</v>
      </c>
      <c r="AA72" s="270" t="n">
        <v>0</v>
      </c>
      <c r="AB72" s="270" t="n">
        <v>0</v>
      </c>
      <c r="AC72" s="270" t="n">
        <v>0</v>
      </c>
      <c r="AD72" s="270" t="n">
        <v>0</v>
      </c>
      <c r="AE72" s="268" t="n">
        <v>0</v>
      </c>
      <c r="AF72" s="268" t="n">
        <v>0</v>
      </c>
      <c r="AG72" s="268" t="n">
        <v>0</v>
      </c>
      <c r="AH72" s="268" t="n">
        <v>0</v>
      </c>
      <c r="AI72" s="268" t="n">
        <v>0</v>
      </c>
      <c r="AJ72" s="268" t="n">
        <v>0</v>
      </c>
      <c r="AK72" s="269" t="n">
        <v>0</v>
      </c>
      <c r="AL72" s="269" t="n">
        <v>0</v>
      </c>
      <c r="AM72" s="269" t="n">
        <v>0</v>
      </c>
      <c r="AN72" s="269" t="n">
        <v>0</v>
      </c>
      <c r="AO72" s="270" t="n">
        <v>0</v>
      </c>
      <c r="AP72" s="270" t="n">
        <v>0</v>
      </c>
      <c r="AQ72" s="270" t="n">
        <v>0</v>
      </c>
      <c r="AR72" s="270" t="n">
        <v>0</v>
      </c>
      <c r="AS72" s="174" t="n">
        <v>0</v>
      </c>
      <c r="AT72" s="271" t="n">
        <v>0</v>
      </c>
      <c r="AU72" s="175" t="n">
        <v>0</v>
      </c>
      <c r="AV72" s="175" t="n">
        <v>0</v>
      </c>
      <c r="AW72" s="483" t="n">
        <v>0</v>
      </c>
      <c r="AX72" s="174" t="n">
        <v>0</v>
      </c>
      <c r="AY72" s="174" t="n">
        <v>0</v>
      </c>
      <c r="AZ72" s="483" t="n">
        <v>0</v>
      </c>
      <c r="BA72" s="483" t="n">
        <v>0</v>
      </c>
      <c r="BB72" s="174" t="n">
        <v>0</v>
      </c>
      <c r="BC72" s="174" t="n">
        <v>0</v>
      </c>
      <c r="BD72" s="483" t="n">
        <v>0</v>
      </c>
      <c r="BE72" s="483" t="n">
        <v>0</v>
      </c>
      <c r="BF72" s="483" t="n">
        <v>0</v>
      </c>
      <c r="BG72" s="483" t="n">
        <v>0</v>
      </c>
      <c r="BH72" s="483" t="n">
        <v>0</v>
      </c>
      <c r="BI72" s="483" t="n">
        <v>0</v>
      </c>
      <c r="BJ72" s="483" t="n">
        <v>0</v>
      </c>
      <c r="BK72" s="483" t="n">
        <v>0</v>
      </c>
      <c r="BL72" s="483" t="n">
        <v>0</v>
      </c>
      <c r="BM72" s="483" t="n">
        <v>0</v>
      </c>
      <c r="BN72" s="483" t="n">
        <v>0</v>
      </c>
      <c r="BO72" s="483" t="n">
        <v>0</v>
      </c>
      <c r="BP72" s="483" t="n">
        <v>0</v>
      </c>
      <c r="BQ72" s="483" t="n">
        <v>0</v>
      </c>
      <c r="BR72" s="483" t="n">
        <v>0</v>
      </c>
      <c r="BS72" s="483" t="n">
        <v>0</v>
      </c>
      <c r="BT72" s="483" t="n">
        <v>0</v>
      </c>
      <c r="BU72" s="483" t="n">
        <v>0</v>
      </c>
      <c r="BV72" s="483" t="n">
        <v>0</v>
      </c>
      <c r="BW72" s="483" t="n">
        <v>0</v>
      </c>
      <c r="BX72" s="483" t="n">
        <v>0</v>
      </c>
      <c r="BY72" s="483" t="n">
        <v>0</v>
      </c>
      <c r="BZ72" s="659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 hidden="1" s="191">
      <c r="A73" s="265" t="n">
        <v>0</v>
      </c>
      <c r="B73" s="265" t="n">
        <v>0</v>
      </c>
      <c r="C73" s="265" t="n">
        <v>0</v>
      </c>
      <c r="D73" s="265" t="n">
        <v>0</v>
      </c>
      <c r="E73" s="265" t="n">
        <v>0</v>
      </c>
      <c r="F73" s="266" t="n">
        <v>0</v>
      </c>
      <c r="G73" s="266" t="n">
        <v>0</v>
      </c>
      <c r="H73" s="266" t="n">
        <v>0</v>
      </c>
      <c r="I73" s="266" t="n">
        <v>0</v>
      </c>
      <c r="J73" s="267" t="n">
        <v>0</v>
      </c>
      <c r="K73" s="267" t="n">
        <v>0</v>
      </c>
      <c r="L73" s="267" t="n">
        <v>0</v>
      </c>
      <c r="M73" s="267" t="n">
        <v>0</v>
      </c>
      <c r="N73" s="268" t="n">
        <v>0</v>
      </c>
      <c r="O73" s="268" t="n">
        <v>0</v>
      </c>
      <c r="P73" s="268" t="n">
        <v>0</v>
      </c>
      <c r="Q73" s="268" t="n">
        <v>0</v>
      </c>
      <c r="R73" s="268" t="n">
        <v>0</v>
      </c>
      <c r="S73" s="268" t="n">
        <v>0</v>
      </c>
      <c r="T73" s="268" t="n">
        <v>0</v>
      </c>
      <c r="U73" s="268" t="n">
        <v>0</v>
      </c>
      <c r="V73" s="268" t="n">
        <v>0</v>
      </c>
      <c r="W73" s="269" t="n">
        <v>0</v>
      </c>
      <c r="X73" s="269" t="n">
        <v>0</v>
      </c>
      <c r="Y73" s="269" t="n">
        <v>0</v>
      </c>
      <c r="Z73" s="269" t="n">
        <v>0</v>
      </c>
      <c r="AA73" s="270" t="n">
        <v>0</v>
      </c>
      <c r="AB73" s="270" t="n">
        <v>0</v>
      </c>
      <c r="AC73" s="270" t="n">
        <v>0</v>
      </c>
      <c r="AD73" s="270" t="n">
        <v>0</v>
      </c>
      <c r="AE73" s="268" t="n">
        <v>0</v>
      </c>
      <c r="AF73" s="268" t="n">
        <v>0</v>
      </c>
      <c r="AG73" s="268" t="n">
        <v>0</v>
      </c>
      <c r="AH73" s="268" t="n">
        <v>0</v>
      </c>
      <c r="AI73" s="268" t="n">
        <v>0</v>
      </c>
      <c r="AJ73" s="268" t="n">
        <v>0</v>
      </c>
      <c r="AK73" s="269" t="n">
        <v>0</v>
      </c>
      <c r="AL73" s="269" t="n">
        <v>0</v>
      </c>
      <c r="AM73" s="269" t="n">
        <v>0</v>
      </c>
      <c r="AN73" s="269" t="n">
        <v>0</v>
      </c>
      <c r="AO73" s="270" t="n">
        <v>0</v>
      </c>
      <c r="AP73" s="270" t="n">
        <v>0</v>
      </c>
      <c r="AQ73" s="270" t="n">
        <v>0</v>
      </c>
      <c r="AR73" s="270" t="n">
        <v>0</v>
      </c>
      <c r="AS73" s="174" t="n">
        <v>0</v>
      </c>
      <c r="AT73" s="271" t="n">
        <v>0</v>
      </c>
      <c r="AU73" s="175" t="n">
        <v>0</v>
      </c>
      <c r="AV73" s="175" t="n">
        <v>0</v>
      </c>
      <c r="AW73" s="483" t="n">
        <v>0</v>
      </c>
      <c r="AX73" s="174" t="n">
        <v>0</v>
      </c>
      <c r="AY73" s="174" t="n">
        <v>0</v>
      </c>
      <c r="AZ73" s="483" t="n">
        <v>0</v>
      </c>
      <c r="BA73" s="483" t="n">
        <v>0</v>
      </c>
      <c r="BB73" s="174" t="n">
        <v>0</v>
      </c>
      <c r="BC73" s="174" t="n">
        <v>0</v>
      </c>
      <c r="BD73" s="483" t="n">
        <v>0</v>
      </c>
      <c r="BE73" s="483" t="n">
        <v>0</v>
      </c>
      <c r="BF73" s="483" t="n">
        <v>0</v>
      </c>
      <c r="BG73" s="483" t="n">
        <v>0</v>
      </c>
      <c r="BH73" s="483" t="n">
        <v>0</v>
      </c>
      <c r="BI73" s="483" t="n">
        <v>0</v>
      </c>
      <c r="BJ73" s="483" t="n">
        <v>0</v>
      </c>
      <c r="BK73" s="483" t="n">
        <v>0</v>
      </c>
      <c r="BL73" s="483" t="n">
        <v>0</v>
      </c>
      <c r="BM73" s="483" t="n">
        <v>0</v>
      </c>
      <c r="BN73" s="483" t="n">
        <v>0</v>
      </c>
      <c r="BO73" s="483" t="n">
        <v>0</v>
      </c>
      <c r="BP73" s="483" t="n">
        <v>0</v>
      </c>
      <c r="BQ73" s="483" t="n">
        <v>0</v>
      </c>
      <c r="BR73" s="483" t="n">
        <v>0</v>
      </c>
      <c r="BS73" s="483" t="n">
        <v>0</v>
      </c>
      <c r="BT73" s="483" t="n">
        <v>0</v>
      </c>
      <c r="BU73" s="483" t="n">
        <v>0</v>
      </c>
      <c r="BV73" s="483" t="n">
        <v>0</v>
      </c>
      <c r="BW73" s="483" t="n">
        <v>0</v>
      </c>
      <c r="BX73" s="483" t="n">
        <v>0</v>
      </c>
      <c r="BY73" s="483" t="n">
        <v>0</v>
      </c>
      <c r="BZ73" s="659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</row>
    <row r="74" hidden="1" s="191">
      <c r="A74" s="265" t="n">
        <v>0</v>
      </c>
      <c r="B74" s="265" t="n">
        <v>0</v>
      </c>
      <c r="C74" s="265" t="n">
        <v>0</v>
      </c>
      <c r="D74" s="265" t="n">
        <v>0</v>
      </c>
      <c r="E74" s="265" t="n">
        <v>0</v>
      </c>
      <c r="F74" s="266" t="n">
        <v>0</v>
      </c>
      <c r="G74" s="266" t="n">
        <v>0</v>
      </c>
      <c r="H74" s="266" t="n">
        <v>0</v>
      </c>
      <c r="I74" s="266" t="n">
        <v>0</v>
      </c>
      <c r="J74" s="267" t="n">
        <v>0</v>
      </c>
      <c r="K74" s="267" t="n">
        <v>0</v>
      </c>
      <c r="L74" s="267" t="n">
        <v>0</v>
      </c>
      <c r="M74" s="267" t="n">
        <v>0</v>
      </c>
      <c r="N74" s="268" t="n">
        <v>0</v>
      </c>
      <c r="O74" s="268" t="n">
        <v>0</v>
      </c>
      <c r="P74" s="268" t="n">
        <v>0</v>
      </c>
      <c r="Q74" s="268" t="n">
        <v>0</v>
      </c>
      <c r="R74" s="268" t="n">
        <v>0</v>
      </c>
      <c r="S74" s="268" t="n">
        <v>0</v>
      </c>
      <c r="T74" s="268" t="n">
        <v>0</v>
      </c>
      <c r="U74" s="268" t="n">
        <v>0</v>
      </c>
      <c r="V74" s="268" t="n">
        <v>0</v>
      </c>
      <c r="W74" s="269" t="n">
        <v>0</v>
      </c>
      <c r="X74" s="269" t="n">
        <v>0</v>
      </c>
      <c r="Y74" s="269" t="n">
        <v>0</v>
      </c>
      <c r="Z74" s="269" t="n">
        <v>0</v>
      </c>
      <c r="AA74" s="270" t="n">
        <v>0</v>
      </c>
      <c r="AB74" s="270" t="n">
        <v>0</v>
      </c>
      <c r="AC74" s="270" t="n">
        <v>0</v>
      </c>
      <c r="AD74" s="270" t="n">
        <v>0</v>
      </c>
      <c r="AE74" s="268" t="n">
        <v>0</v>
      </c>
      <c r="AF74" s="268" t="n">
        <v>0</v>
      </c>
      <c r="AG74" s="268" t="n">
        <v>0</v>
      </c>
      <c r="AH74" s="268" t="n">
        <v>0</v>
      </c>
      <c r="AI74" s="268" t="n">
        <v>0</v>
      </c>
      <c r="AJ74" s="268" t="n">
        <v>0</v>
      </c>
      <c r="AK74" s="269" t="n">
        <v>0</v>
      </c>
      <c r="AL74" s="269" t="n">
        <v>0</v>
      </c>
      <c r="AM74" s="269" t="n">
        <v>0</v>
      </c>
      <c r="AN74" s="269" t="n">
        <v>0</v>
      </c>
      <c r="AO74" s="270" t="n">
        <v>0</v>
      </c>
      <c r="AP74" s="270" t="n">
        <v>0</v>
      </c>
      <c r="AQ74" s="270" t="n">
        <v>0</v>
      </c>
      <c r="AR74" s="270" t="n">
        <v>0</v>
      </c>
      <c r="AS74" s="174" t="n">
        <v>0</v>
      </c>
      <c r="AT74" s="271" t="n">
        <v>0</v>
      </c>
      <c r="AU74" s="175" t="n">
        <v>0</v>
      </c>
      <c r="AV74" s="175" t="n">
        <v>0</v>
      </c>
      <c r="AW74" s="483" t="n">
        <v>0</v>
      </c>
      <c r="AX74" s="174" t="n">
        <v>0</v>
      </c>
      <c r="AY74" s="174" t="n">
        <v>0</v>
      </c>
      <c r="AZ74" s="483" t="n">
        <v>0</v>
      </c>
      <c r="BA74" s="483" t="n">
        <v>0</v>
      </c>
      <c r="BB74" s="174" t="n">
        <v>0</v>
      </c>
      <c r="BC74" s="174" t="n">
        <v>0</v>
      </c>
      <c r="BD74" s="483" t="n">
        <v>0</v>
      </c>
      <c r="BE74" s="483" t="n">
        <v>0</v>
      </c>
      <c r="BF74" s="483" t="n">
        <v>0</v>
      </c>
      <c r="BG74" s="483" t="n">
        <v>0</v>
      </c>
      <c r="BH74" s="483" t="n">
        <v>0</v>
      </c>
      <c r="BI74" s="483" t="n">
        <v>0</v>
      </c>
      <c r="BJ74" s="483" t="n">
        <v>0</v>
      </c>
      <c r="BK74" s="483" t="n">
        <v>0</v>
      </c>
      <c r="BL74" s="483" t="n">
        <v>0</v>
      </c>
      <c r="BM74" s="483" t="n">
        <v>0</v>
      </c>
      <c r="BN74" s="483" t="n">
        <v>0</v>
      </c>
      <c r="BO74" s="483" t="n">
        <v>0</v>
      </c>
      <c r="BP74" s="483" t="n">
        <v>0</v>
      </c>
      <c r="BQ74" s="483" t="n">
        <v>0</v>
      </c>
      <c r="BR74" s="483" t="n">
        <v>0</v>
      </c>
      <c r="BS74" s="483" t="n">
        <v>0</v>
      </c>
      <c r="BT74" s="483" t="n">
        <v>0</v>
      </c>
      <c r="BU74" s="483" t="n">
        <v>0</v>
      </c>
      <c r="BV74" s="483" t="n">
        <v>0</v>
      </c>
      <c r="BW74" s="483" t="n">
        <v>0</v>
      </c>
      <c r="BX74" s="483" t="n">
        <v>0</v>
      </c>
      <c r="BY74" s="483" t="n">
        <v>0</v>
      </c>
      <c r="BZ74" s="659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</row>
    <row r="75" hidden="1" s="191">
      <c r="A75" s="265" t="n">
        <v>0</v>
      </c>
      <c r="B75" s="265" t="n">
        <v>0</v>
      </c>
      <c r="C75" s="265" t="n">
        <v>0</v>
      </c>
      <c r="D75" s="265" t="n">
        <v>0</v>
      </c>
      <c r="E75" s="265" t="n">
        <v>0</v>
      </c>
      <c r="F75" s="266" t="n">
        <v>0</v>
      </c>
      <c r="G75" s="266" t="n">
        <v>0</v>
      </c>
      <c r="H75" s="266" t="n">
        <v>0</v>
      </c>
      <c r="I75" s="266" t="n">
        <v>0</v>
      </c>
      <c r="J75" s="267" t="n">
        <v>0</v>
      </c>
      <c r="K75" s="267" t="n">
        <v>0</v>
      </c>
      <c r="L75" s="267" t="n">
        <v>0</v>
      </c>
      <c r="M75" s="267" t="n">
        <v>0</v>
      </c>
      <c r="N75" s="268" t="n">
        <v>0</v>
      </c>
      <c r="O75" s="268" t="n">
        <v>0</v>
      </c>
      <c r="P75" s="268" t="n">
        <v>0</v>
      </c>
      <c r="Q75" s="268" t="n">
        <v>0</v>
      </c>
      <c r="R75" s="268" t="n">
        <v>0</v>
      </c>
      <c r="S75" s="268" t="n">
        <v>0</v>
      </c>
      <c r="T75" s="268" t="n">
        <v>0</v>
      </c>
      <c r="U75" s="268" t="n">
        <v>0</v>
      </c>
      <c r="V75" s="268" t="n">
        <v>0</v>
      </c>
      <c r="W75" s="269" t="n">
        <v>0</v>
      </c>
      <c r="X75" s="269" t="n">
        <v>0</v>
      </c>
      <c r="Y75" s="269" t="n">
        <v>0</v>
      </c>
      <c r="Z75" s="269" t="n">
        <v>0</v>
      </c>
      <c r="AA75" s="270" t="n">
        <v>0</v>
      </c>
      <c r="AB75" s="270" t="n">
        <v>0</v>
      </c>
      <c r="AC75" s="270" t="n">
        <v>0</v>
      </c>
      <c r="AD75" s="270" t="n">
        <v>0</v>
      </c>
      <c r="AE75" s="268" t="n">
        <v>0</v>
      </c>
      <c r="AF75" s="268" t="n">
        <v>0</v>
      </c>
      <c r="AG75" s="268" t="n">
        <v>0</v>
      </c>
      <c r="AH75" s="268" t="n">
        <v>0</v>
      </c>
      <c r="AI75" s="268" t="n">
        <v>0</v>
      </c>
      <c r="AJ75" s="268" t="n">
        <v>0</v>
      </c>
      <c r="AK75" s="269" t="n">
        <v>0</v>
      </c>
      <c r="AL75" s="269" t="n">
        <v>0</v>
      </c>
      <c r="AM75" s="269" t="n">
        <v>0</v>
      </c>
      <c r="AN75" s="269" t="n">
        <v>0</v>
      </c>
      <c r="AO75" s="270" t="n">
        <v>0</v>
      </c>
      <c r="AP75" s="270" t="n">
        <v>0</v>
      </c>
      <c r="AQ75" s="270" t="n">
        <v>0</v>
      </c>
      <c r="AR75" s="270" t="n">
        <v>0</v>
      </c>
      <c r="AS75" s="174" t="n">
        <v>0</v>
      </c>
      <c r="AT75" s="271" t="n">
        <v>0</v>
      </c>
      <c r="AU75" s="175" t="n">
        <v>0</v>
      </c>
      <c r="AV75" s="175" t="n">
        <v>0</v>
      </c>
      <c r="AW75" s="483" t="n">
        <v>0</v>
      </c>
      <c r="AX75" s="174" t="n">
        <v>0</v>
      </c>
      <c r="AY75" s="174" t="n">
        <v>0</v>
      </c>
      <c r="AZ75" s="483" t="n">
        <v>0</v>
      </c>
      <c r="BA75" s="483" t="n">
        <v>0</v>
      </c>
      <c r="BB75" s="174" t="n">
        <v>0</v>
      </c>
      <c r="BC75" s="174" t="n">
        <v>0</v>
      </c>
      <c r="BD75" s="483" t="n">
        <v>0</v>
      </c>
      <c r="BE75" s="483" t="n">
        <v>0</v>
      </c>
      <c r="BF75" s="483" t="n">
        <v>0</v>
      </c>
      <c r="BG75" s="483" t="n">
        <v>0</v>
      </c>
      <c r="BH75" s="483" t="n">
        <v>0</v>
      </c>
      <c r="BI75" s="483" t="n">
        <v>0</v>
      </c>
      <c r="BJ75" s="483" t="n">
        <v>0</v>
      </c>
      <c r="BK75" s="483" t="n">
        <v>0</v>
      </c>
      <c r="BL75" s="483" t="n">
        <v>0</v>
      </c>
      <c r="BM75" s="483" t="n">
        <v>0</v>
      </c>
      <c r="BN75" s="483" t="n">
        <v>0</v>
      </c>
      <c r="BO75" s="483" t="n">
        <v>0</v>
      </c>
      <c r="BP75" s="483" t="n">
        <v>0</v>
      </c>
      <c r="BQ75" s="483" t="n">
        <v>0</v>
      </c>
      <c r="BR75" s="483" t="n">
        <v>0</v>
      </c>
      <c r="BS75" s="483" t="n">
        <v>0</v>
      </c>
      <c r="BT75" s="483" t="n">
        <v>0</v>
      </c>
      <c r="BU75" s="483" t="n">
        <v>0</v>
      </c>
      <c r="BV75" s="483" t="n">
        <v>0</v>
      </c>
      <c r="BW75" s="483" t="n">
        <v>0</v>
      </c>
      <c r="BX75" s="483" t="n">
        <v>0</v>
      </c>
      <c r="BY75" s="483" t="n">
        <v>0</v>
      </c>
      <c r="BZ75" s="659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</row>
    <row r="76" hidden="1" s="191">
      <c r="A76" s="265" t="n">
        <v>0</v>
      </c>
      <c r="B76" s="265" t="n">
        <v>0</v>
      </c>
      <c r="C76" s="265" t="n">
        <v>0</v>
      </c>
      <c r="D76" s="265" t="n">
        <v>0</v>
      </c>
      <c r="E76" s="265" t="n">
        <v>0</v>
      </c>
      <c r="F76" s="266" t="n">
        <v>0</v>
      </c>
      <c r="G76" s="266" t="n">
        <v>0</v>
      </c>
      <c r="H76" s="266" t="n">
        <v>0</v>
      </c>
      <c r="I76" s="266" t="n">
        <v>0</v>
      </c>
      <c r="J76" s="267" t="n">
        <v>0</v>
      </c>
      <c r="K76" s="267" t="n">
        <v>0</v>
      </c>
      <c r="L76" s="267" t="n">
        <v>0</v>
      </c>
      <c r="M76" s="267" t="n">
        <v>0</v>
      </c>
      <c r="N76" s="268" t="n">
        <v>0</v>
      </c>
      <c r="O76" s="268" t="n">
        <v>0</v>
      </c>
      <c r="P76" s="268" t="n">
        <v>0</v>
      </c>
      <c r="Q76" s="268" t="n">
        <v>0</v>
      </c>
      <c r="R76" s="268" t="n">
        <v>0</v>
      </c>
      <c r="S76" s="268" t="n">
        <v>0</v>
      </c>
      <c r="T76" s="268" t="n">
        <v>0</v>
      </c>
      <c r="U76" s="268" t="n">
        <v>0</v>
      </c>
      <c r="V76" s="268" t="n">
        <v>0</v>
      </c>
      <c r="W76" s="269" t="n">
        <v>0</v>
      </c>
      <c r="X76" s="269" t="n">
        <v>0</v>
      </c>
      <c r="Y76" s="269" t="n">
        <v>0</v>
      </c>
      <c r="Z76" s="269" t="n">
        <v>0</v>
      </c>
      <c r="AA76" s="270" t="n">
        <v>0</v>
      </c>
      <c r="AB76" s="270" t="n">
        <v>0</v>
      </c>
      <c r="AC76" s="270" t="n">
        <v>0</v>
      </c>
      <c r="AD76" s="270" t="n">
        <v>0</v>
      </c>
      <c r="AE76" s="268" t="n">
        <v>0</v>
      </c>
      <c r="AF76" s="268" t="n">
        <v>0</v>
      </c>
      <c r="AG76" s="268" t="n">
        <v>0</v>
      </c>
      <c r="AH76" s="268" t="n">
        <v>0</v>
      </c>
      <c r="AI76" s="268" t="n">
        <v>0</v>
      </c>
      <c r="AJ76" s="268" t="n">
        <v>0</v>
      </c>
      <c r="AK76" s="269" t="n">
        <v>0</v>
      </c>
      <c r="AL76" s="269" t="n">
        <v>0</v>
      </c>
      <c r="AM76" s="269" t="n">
        <v>0</v>
      </c>
      <c r="AN76" s="269" t="n">
        <v>0</v>
      </c>
      <c r="AO76" s="270" t="n">
        <v>0</v>
      </c>
      <c r="AP76" s="270" t="n">
        <v>0</v>
      </c>
      <c r="AQ76" s="270" t="n">
        <v>0</v>
      </c>
      <c r="AR76" s="270" t="n">
        <v>0</v>
      </c>
      <c r="AS76" s="174" t="n">
        <v>0</v>
      </c>
      <c r="AT76" s="271" t="n">
        <v>0</v>
      </c>
      <c r="AU76" s="175" t="n">
        <v>0</v>
      </c>
      <c r="AV76" s="175" t="n">
        <v>0</v>
      </c>
      <c r="AW76" s="483" t="n">
        <v>0</v>
      </c>
      <c r="AX76" s="174" t="n">
        <v>0</v>
      </c>
      <c r="AY76" s="174" t="n">
        <v>0</v>
      </c>
      <c r="AZ76" s="483" t="n">
        <v>0</v>
      </c>
      <c r="BA76" s="483" t="n">
        <v>0</v>
      </c>
      <c r="BB76" s="174" t="n">
        <v>0</v>
      </c>
      <c r="BC76" s="174" t="n">
        <v>0</v>
      </c>
      <c r="BD76" s="483" t="n">
        <v>0</v>
      </c>
      <c r="BE76" s="483" t="n">
        <v>0</v>
      </c>
      <c r="BF76" s="483" t="n">
        <v>0</v>
      </c>
      <c r="BG76" s="483" t="n">
        <v>0</v>
      </c>
      <c r="BH76" s="483" t="n">
        <v>0</v>
      </c>
      <c r="BI76" s="483" t="n">
        <v>0</v>
      </c>
      <c r="BJ76" s="483" t="n">
        <v>0</v>
      </c>
      <c r="BK76" s="483" t="n">
        <v>0</v>
      </c>
      <c r="BL76" s="483" t="n">
        <v>0</v>
      </c>
      <c r="BM76" s="483" t="n">
        <v>0</v>
      </c>
      <c r="BN76" s="483" t="n">
        <v>0</v>
      </c>
      <c r="BO76" s="483" t="n">
        <v>0</v>
      </c>
      <c r="BP76" s="483" t="n">
        <v>0</v>
      </c>
      <c r="BQ76" s="483" t="n">
        <v>0</v>
      </c>
      <c r="BR76" s="483" t="n">
        <v>0</v>
      </c>
      <c r="BS76" s="483" t="n">
        <v>0</v>
      </c>
      <c r="BT76" s="483" t="n">
        <v>0</v>
      </c>
      <c r="BU76" s="483" t="n">
        <v>0</v>
      </c>
      <c r="BV76" s="483" t="n">
        <v>0</v>
      </c>
      <c r="BW76" s="483" t="n">
        <v>0</v>
      </c>
      <c r="BX76" s="483" t="n">
        <v>0</v>
      </c>
      <c r="BY76" s="483" t="n">
        <v>0</v>
      </c>
      <c r="BZ76" s="659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 hidden="1" s="191">
      <c r="A77" s="265" t="n">
        <v>0</v>
      </c>
      <c r="B77" s="265" t="n">
        <v>0</v>
      </c>
      <c r="C77" s="265" t="n">
        <v>0</v>
      </c>
      <c r="D77" s="265" t="n">
        <v>0</v>
      </c>
      <c r="E77" s="265" t="n">
        <v>0</v>
      </c>
      <c r="F77" s="266" t="n">
        <v>0</v>
      </c>
      <c r="G77" s="266" t="n">
        <v>0</v>
      </c>
      <c r="H77" s="266" t="n">
        <v>0</v>
      </c>
      <c r="I77" s="266" t="n">
        <v>0</v>
      </c>
      <c r="J77" s="267" t="n">
        <v>0</v>
      </c>
      <c r="K77" s="267" t="n">
        <v>0</v>
      </c>
      <c r="L77" s="267" t="n">
        <v>0</v>
      </c>
      <c r="M77" s="267" t="n">
        <v>0</v>
      </c>
      <c r="N77" s="268" t="n">
        <v>0</v>
      </c>
      <c r="O77" s="268" t="n">
        <v>0</v>
      </c>
      <c r="P77" s="268" t="n">
        <v>0</v>
      </c>
      <c r="Q77" s="268" t="n">
        <v>0</v>
      </c>
      <c r="R77" s="268" t="n">
        <v>0</v>
      </c>
      <c r="S77" s="268" t="n">
        <v>0</v>
      </c>
      <c r="T77" s="268" t="n">
        <v>0</v>
      </c>
      <c r="U77" s="268" t="n">
        <v>0</v>
      </c>
      <c r="V77" s="268" t="n">
        <v>0</v>
      </c>
      <c r="W77" s="269" t="n">
        <v>0</v>
      </c>
      <c r="X77" s="269" t="n">
        <v>0</v>
      </c>
      <c r="Y77" s="269" t="n">
        <v>0</v>
      </c>
      <c r="Z77" s="269" t="n">
        <v>0</v>
      </c>
      <c r="AA77" s="270" t="n">
        <v>0</v>
      </c>
      <c r="AB77" s="270" t="n">
        <v>0</v>
      </c>
      <c r="AC77" s="270" t="n">
        <v>0</v>
      </c>
      <c r="AD77" s="270" t="n">
        <v>0</v>
      </c>
      <c r="AE77" s="268" t="n">
        <v>0</v>
      </c>
      <c r="AF77" s="268" t="n">
        <v>0</v>
      </c>
      <c r="AG77" s="268" t="n">
        <v>0</v>
      </c>
      <c r="AH77" s="268" t="n">
        <v>0</v>
      </c>
      <c r="AI77" s="268" t="n">
        <v>0</v>
      </c>
      <c r="AJ77" s="268" t="n">
        <v>0</v>
      </c>
      <c r="AK77" s="269" t="n">
        <v>0</v>
      </c>
      <c r="AL77" s="269" t="n">
        <v>0</v>
      </c>
      <c r="AM77" s="269" t="n">
        <v>0</v>
      </c>
      <c r="AN77" s="269" t="n">
        <v>0</v>
      </c>
      <c r="AO77" s="270" t="n">
        <v>0</v>
      </c>
      <c r="AP77" s="270" t="n">
        <v>0</v>
      </c>
      <c r="AQ77" s="270" t="n">
        <v>0</v>
      </c>
      <c r="AR77" s="270" t="n">
        <v>0</v>
      </c>
      <c r="AS77" s="174" t="n">
        <v>0</v>
      </c>
      <c r="AT77" s="271" t="n">
        <v>0</v>
      </c>
      <c r="AU77" s="175" t="n">
        <v>0</v>
      </c>
      <c r="AV77" s="175" t="n">
        <v>0</v>
      </c>
      <c r="AW77" s="483" t="n">
        <v>0</v>
      </c>
      <c r="AX77" s="174" t="n">
        <v>0</v>
      </c>
      <c r="AY77" s="174" t="n">
        <v>0</v>
      </c>
      <c r="AZ77" s="483" t="n">
        <v>0</v>
      </c>
      <c r="BA77" s="483" t="n">
        <v>0</v>
      </c>
      <c r="BB77" s="174" t="n">
        <v>0</v>
      </c>
      <c r="BC77" s="174" t="n">
        <v>0</v>
      </c>
      <c r="BD77" s="483" t="n">
        <v>0</v>
      </c>
      <c r="BE77" s="483" t="n">
        <v>0</v>
      </c>
      <c r="BF77" s="483" t="n">
        <v>0</v>
      </c>
      <c r="BG77" s="483" t="n">
        <v>0</v>
      </c>
      <c r="BH77" s="483" t="n">
        <v>0</v>
      </c>
      <c r="BI77" s="483" t="n">
        <v>0</v>
      </c>
      <c r="BJ77" s="483" t="n">
        <v>0</v>
      </c>
      <c r="BK77" s="483" t="n">
        <v>0</v>
      </c>
      <c r="BL77" s="483" t="n">
        <v>0</v>
      </c>
      <c r="BM77" s="483" t="n">
        <v>0</v>
      </c>
      <c r="BN77" s="483" t="n">
        <v>0</v>
      </c>
      <c r="BO77" s="483" t="n">
        <v>0</v>
      </c>
      <c r="BP77" s="483" t="n">
        <v>0</v>
      </c>
      <c r="BQ77" s="483" t="n">
        <v>0</v>
      </c>
      <c r="BR77" s="483" t="n">
        <v>0</v>
      </c>
      <c r="BS77" s="483" t="n">
        <v>0</v>
      </c>
      <c r="BT77" s="483" t="n">
        <v>0</v>
      </c>
      <c r="BU77" s="483" t="n">
        <v>0</v>
      </c>
      <c r="BV77" s="483" t="n">
        <v>0</v>
      </c>
      <c r="BW77" s="483" t="n">
        <v>0</v>
      </c>
      <c r="BX77" s="483" t="n">
        <v>0</v>
      </c>
      <c r="BY77" s="483" t="n">
        <v>0</v>
      </c>
      <c r="BZ77" s="659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</row>
    <row r="78" hidden="1" s="191">
      <c r="A78" s="265" t="n">
        <v>0</v>
      </c>
      <c r="B78" s="265" t="n">
        <v>0</v>
      </c>
      <c r="C78" s="265" t="n">
        <v>0</v>
      </c>
      <c r="D78" s="265" t="n">
        <v>0</v>
      </c>
      <c r="E78" s="265" t="n">
        <v>0</v>
      </c>
      <c r="F78" s="266" t="n">
        <v>0</v>
      </c>
      <c r="G78" s="266" t="n">
        <v>0</v>
      </c>
      <c r="H78" s="266" t="n">
        <v>0</v>
      </c>
      <c r="I78" s="266" t="n">
        <v>0</v>
      </c>
      <c r="J78" s="267" t="n">
        <v>0</v>
      </c>
      <c r="K78" s="267" t="n">
        <v>0</v>
      </c>
      <c r="L78" s="267" t="n">
        <v>0</v>
      </c>
      <c r="M78" s="267" t="n">
        <v>0</v>
      </c>
      <c r="N78" s="268" t="n">
        <v>0</v>
      </c>
      <c r="O78" s="268" t="n">
        <v>0</v>
      </c>
      <c r="P78" s="268" t="n">
        <v>0</v>
      </c>
      <c r="Q78" s="268" t="n">
        <v>0</v>
      </c>
      <c r="R78" s="268" t="n">
        <v>0</v>
      </c>
      <c r="S78" s="268" t="n">
        <v>0</v>
      </c>
      <c r="T78" s="268" t="n">
        <v>0</v>
      </c>
      <c r="U78" s="268" t="n">
        <v>0</v>
      </c>
      <c r="V78" s="268" t="n">
        <v>0</v>
      </c>
      <c r="W78" s="269" t="n">
        <v>0</v>
      </c>
      <c r="X78" s="269" t="n">
        <v>0</v>
      </c>
      <c r="Y78" s="269" t="n">
        <v>0</v>
      </c>
      <c r="Z78" s="269" t="n">
        <v>0</v>
      </c>
      <c r="AA78" s="270" t="n">
        <v>0</v>
      </c>
      <c r="AB78" s="270" t="n">
        <v>0</v>
      </c>
      <c r="AC78" s="270" t="n">
        <v>0</v>
      </c>
      <c r="AD78" s="270" t="n">
        <v>0</v>
      </c>
      <c r="AE78" s="268" t="n">
        <v>0</v>
      </c>
      <c r="AF78" s="268" t="n">
        <v>0</v>
      </c>
      <c r="AG78" s="268" t="n">
        <v>0</v>
      </c>
      <c r="AH78" s="268" t="n">
        <v>0</v>
      </c>
      <c r="AI78" s="268" t="n">
        <v>0</v>
      </c>
      <c r="AJ78" s="268" t="n">
        <v>0</v>
      </c>
      <c r="AK78" s="269" t="n">
        <v>0</v>
      </c>
      <c r="AL78" s="269" t="n">
        <v>0</v>
      </c>
      <c r="AM78" s="269" t="n">
        <v>0</v>
      </c>
      <c r="AN78" s="269" t="n">
        <v>0</v>
      </c>
      <c r="AO78" s="270" t="n">
        <v>0</v>
      </c>
      <c r="AP78" s="270" t="n">
        <v>0</v>
      </c>
      <c r="AQ78" s="270" t="n">
        <v>0</v>
      </c>
      <c r="AR78" s="270" t="n">
        <v>0</v>
      </c>
      <c r="AS78" s="174" t="n">
        <v>0</v>
      </c>
      <c r="AT78" s="271" t="n">
        <v>0</v>
      </c>
      <c r="AU78" s="175" t="n">
        <v>0</v>
      </c>
      <c r="AV78" s="175" t="n">
        <v>0</v>
      </c>
      <c r="AW78" s="483" t="n">
        <v>0</v>
      </c>
      <c r="AX78" s="174" t="n">
        <v>0</v>
      </c>
      <c r="AY78" s="174" t="n">
        <v>0</v>
      </c>
      <c r="AZ78" s="483" t="n">
        <v>0</v>
      </c>
      <c r="BA78" s="483" t="n">
        <v>0</v>
      </c>
      <c r="BB78" s="174" t="n">
        <v>0</v>
      </c>
      <c r="BC78" s="174" t="n">
        <v>0</v>
      </c>
      <c r="BD78" s="483" t="n">
        <v>0</v>
      </c>
      <c r="BE78" s="483" t="n">
        <v>0</v>
      </c>
      <c r="BF78" s="483" t="n">
        <v>0</v>
      </c>
      <c r="BG78" s="483" t="n">
        <v>0</v>
      </c>
      <c r="BH78" s="483" t="n">
        <v>0</v>
      </c>
      <c r="BI78" s="483" t="n">
        <v>0</v>
      </c>
      <c r="BJ78" s="483" t="n">
        <v>0</v>
      </c>
      <c r="BK78" s="483" t="n">
        <v>0</v>
      </c>
      <c r="BL78" s="483" t="n">
        <v>0</v>
      </c>
      <c r="BM78" s="483" t="n">
        <v>0</v>
      </c>
      <c r="BN78" s="483" t="n">
        <v>0</v>
      </c>
      <c r="BO78" s="483" t="n">
        <v>0</v>
      </c>
      <c r="BP78" s="483" t="n">
        <v>0</v>
      </c>
      <c r="BQ78" s="483" t="n">
        <v>0</v>
      </c>
      <c r="BR78" s="483" t="n">
        <v>0</v>
      </c>
      <c r="BS78" s="483" t="n">
        <v>0</v>
      </c>
      <c r="BT78" s="483" t="n">
        <v>0</v>
      </c>
      <c r="BU78" s="483" t="n">
        <v>0</v>
      </c>
      <c r="BV78" s="483" t="n">
        <v>0</v>
      </c>
      <c r="BW78" s="483" t="n">
        <v>0</v>
      </c>
      <c r="BX78" s="483" t="n">
        <v>0</v>
      </c>
      <c r="BY78" s="483" t="n">
        <v>0</v>
      </c>
      <c r="BZ78" s="659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 hidden="1" s="191">
      <c r="A79" s="265" t="n">
        <v>0</v>
      </c>
      <c r="B79" s="265" t="n">
        <v>0</v>
      </c>
      <c r="C79" s="265" t="n">
        <v>0</v>
      </c>
      <c r="D79" s="265" t="n">
        <v>0</v>
      </c>
      <c r="E79" s="265" t="n">
        <v>0</v>
      </c>
      <c r="F79" s="266" t="n">
        <v>0</v>
      </c>
      <c r="G79" s="266" t="n">
        <v>0</v>
      </c>
      <c r="H79" s="266" t="n">
        <v>0</v>
      </c>
      <c r="I79" s="266" t="n">
        <v>0</v>
      </c>
      <c r="J79" s="267" t="n">
        <v>0</v>
      </c>
      <c r="K79" s="267" t="n">
        <v>0</v>
      </c>
      <c r="L79" s="267" t="n">
        <v>0</v>
      </c>
      <c r="M79" s="267" t="n">
        <v>0</v>
      </c>
      <c r="N79" s="268" t="n">
        <v>0</v>
      </c>
      <c r="O79" s="268" t="n">
        <v>0</v>
      </c>
      <c r="P79" s="268" t="n">
        <v>0</v>
      </c>
      <c r="Q79" s="268" t="n">
        <v>0</v>
      </c>
      <c r="R79" s="268" t="n">
        <v>0</v>
      </c>
      <c r="S79" s="268" t="n">
        <v>0</v>
      </c>
      <c r="T79" s="268" t="n">
        <v>0</v>
      </c>
      <c r="U79" s="268" t="n">
        <v>0</v>
      </c>
      <c r="V79" s="268" t="n">
        <v>0</v>
      </c>
      <c r="W79" s="269" t="n">
        <v>0</v>
      </c>
      <c r="X79" s="269" t="n">
        <v>0</v>
      </c>
      <c r="Y79" s="269" t="n">
        <v>0</v>
      </c>
      <c r="Z79" s="269" t="n">
        <v>0</v>
      </c>
      <c r="AA79" s="270" t="n">
        <v>0</v>
      </c>
      <c r="AB79" s="270" t="n">
        <v>0</v>
      </c>
      <c r="AC79" s="270" t="n">
        <v>0</v>
      </c>
      <c r="AD79" s="270" t="n">
        <v>0</v>
      </c>
      <c r="AE79" s="268" t="n">
        <v>0</v>
      </c>
      <c r="AF79" s="268" t="n">
        <v>0</v>
      </c>
      <c r="AG79" s="268" t="n">
        <v>0</v>
      </c>
      <c r="AH79" s="268" t="n">
        <v>0</v>
      </c>
      <c r="AI79" s="268" t="n">
        <v>0</v>
      </c>
      <c r="AJ79" s="268" t="n">
        <v>0</v>
      </c>
      <c r="AK79" s="269" t="n">
        <v>0</v>
      </c>
      <c r="AL79" s="269" t="n">
        <v>0</v>
      </c>
      <c r="AM79" s="269" t="n">
        <v>0</v>
      </c>
      <c r="AN79" s="269" t="n">
        <v>0</v>
      </c>
      <c r="AO79" s="270" t="n">
        <v>0</v>
      </c>
      <c r="AP79" s="270" t="n">
        <v>0</v>
      </c>
      <c r="AQ79" s="270" t="n">
        <v>0</v>
      </c>
      <c r="AR79" s="270" t="n">
        <v>0</v>
      </c>
      <c r="AS79" s="174" t="n">
        <v>0</v>
      </c>
      <c r="AT79" s="271" t="n">
        <v>0</v>
      </c>
      <c r="AU79" s="175" t="n">
        <v>0</v>
      </c>
      <c r="AV79" s="175" t="n">
        <v>0</v>
      </c>
      <c r="AW79" s="483" t="n">
        <v>0</v>
      </c>
      <c r="AX79" s="174" t="n">
        <v>0</v>
      </c>
      <c r="AY79" s="174" t="n">
        <v>0</v>
      </c>
      <c r="AZ79" s="483" t="n">
        <v>0</v>
      </c>
      <c r="BA79" s="483" t="n">
        <v>0</v>
      </c>
      <c r="BB79" s="174" t="n">
        <v>0</v>
      </c>
      <c r="BC79" s="174" t="n">
        <v>0</v>
      </c>
      <c r="BD79" s="483" t="n">
        <v>0</v>
      </c>
      <c r="BE79" s="483" t="n">
        <v>0</v>
      </c>
      <c r="BF79" s="483" t="n">
        <v>0</v>
      </c>
      <c r="BG79" s="483" t="n">
        <v>0</v>
      </c>
      <c r="BH79" s="483" t="n">
        <v>0</v>
      </c>
      <c r="BI79" s="483" t="n">
        <v>0</v>
      </c>
      <c r="BJ79" s="483" t="n">
        <v>0</v>
      </c>
      <c r="BK79" s="483" t="n">
        <v>0</v>
      </c>
      <c r="BL79" s="483" t="n">
        <v>0</v>
      </c>
      <c r="BM79" s="483" t="n">
        <v>0</v>
      </c>
      <c r="BN79" s="483" t="n">
        <v>0</v>
      </c>
      <c r="BO79" s="483" t="n">
        <v>0</v>
      </c>
      <c r="BP79" s="483" t="n">
        <v>0</v>
      </c>
      <c r="BQ79" s="483" t="n">
        <v>0</v>
      </c>
      <c r="BR79" s="483" t="n">
        <v>0</v>
      </c>
      <c r="BS79" s="483" t="n">
        <v>0</v>
      </c>
      <c r="BT79" s="483" t="n">
        <v>0</v>
      </c>
      <c r="BU79" s="483" t="n">
        <v>0</v>
      </c>
      <c r="BV79" s="483" t="n">
        <v>0</v>
      </c>
      <c r="BW79" s="483" t="n">
        <v>0</v>
      </c>
      <c r="BX79" s="483" t="n">
        <v>0</v>
      </c>
      <c r="BY79" s="483" t="n">
        <v>0</v>
      </c>
      <c r="BZ79" s="65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</row>
    <row r="80" hidden="1" s="191">
      <c r="A80" s="265" t="n">
        <v>0</v>
      </c>
      <c r="B80" s="265" t="n">
        <v>0</v>
      </c>
      <c r="C80" s="265" t="n">
        <v>0</v>
      </c>
      <c r="D80" s="265" t="n">
        <v>0</v>
      </c>
      <c r="E80" s="265" t="n">
        <v>0</v>
      </c>
      <c r="F80" s="266" t="n">
        <v>0</v>
      </c>
      <c r="G80" s="266" t="n">
        <v>0</v>
      </c>
      <c r="H80" s="266" t="n">
        <v>0</v>
      </c>
      <c r="I80" s="266" t="n">
        <v>0</v>
      </c>
      <c r="J80" s="267" t="n">
        <v>0</v>
      </c>
      <c r="K80" s="267" t="n">
        <v>0</v>
      </c>
      <c r="L80" s="267" t="n">
        <v>0</v>
      </c>
      <c r="M80" s="267" t="n">
        <v>0</v>
      </c>
      <c r="N80" s="268" t="n">
        <v>0</v>
      </c>
      <c r="O80" s="268" t="n">
        <v>0</v>
      </c>
      <c r="P80" s="268" t="n">
        <v>0</v>
      </c>
      <c r="Q80" s="268" t="n">
        <v>0</v>
      </c>
      <c r="R80" s="268" t="n">
        <v>0</v>
      </c>
      <c r="S80" s="268" t="n">
        <v>0</v>
      </c>
      <c r="T80" s="268" t="n">
        <v>0</v>
      </c>
      <c r="U80" s="268" t="n">
        <v>0</v>
      </c>
      <c r="V80" s="268" t="n">
        <v>0</v>
      </c>
      <c r="W80" s="269" t="n">
        <v>0</v>
      </c>
      <c r="X80" s="269" t="n">
        <v>0</v>
      </c>
      <c r="Y80" s="269" t="n">
        <v>0</v>
      </c>
      <c r="Z80" s="269" t="n">
        <v>0</v>
      </c>
      <c r="AA80" s="270" t="n">
        <v>0</v>
      </c>
      <c r="AB80" s="270" t="n">
        <v>0</v>
      </c>
      <c r="AC80" s="270" t="n">
        <v>0</v>
      </c>
      <c r="AD80" s="270" t="n">
        <v>0</v>
      </c>
      <c r="AE80" s="268" t="n">
        <v>0</v>
      </c>
      <c r="AF80" s="268" t="n">
        <v>0</v>
      </c>
      <c r="AG80" s="268" t="n">
        <v>0</v>
      </c>
      <c r="AH80" s="268" t="n">
        <v>0</v>
      </c>
      <c r="AI80" s="268" t="n">
        <v>0</v>
      </c>
      <c r="AJ80" s="268" t="n">
        <v>0</v>
      </c>
      <c r="AK80" s="269" t="n">
        <v>0</v>
      </c>
      <c r="AL80" s="269" t="n">
        <v>0</v>
      </c>
      <c r="AM80" s="269" t="n">
        <v>0</v>
      </c>
      <c r="AN80" s="269" t="n">
        <v>0</v>
      </c>
      <c r="AO80" s="270" t="n">
        <v>0</v>
      </c>
      <c r="AP80" s="270" t="n">
        <v>0</v>
      </c>
      <c r="AQ80" s="270" t="n">
        <v>0</v>
      </c>
      <c r="AR80" s="270" t="n">
        <v>0</v>
      </c>
      <c r="AS80" s="174" t="n">
        <v>0</v>
      </c>
      <c r="AT80" s="271" t="n">
        <v>0</v>
      </c>
      <c r="AU80" s="175" t="n">
        <v>0</v>
      </c>
      <c r="AV80" s="175" t="n">
        <v>0</v>
      </c>
      <c r="AW80" s="483" t="n">
        <v>0</v>
      </c>
      <c r="AX80" s="174" t="n">
        <v>0</v>
      </c>
      <c r="AY80" s="174" t="n">
        <v>0</v>
      </c>
      <c r="AZ80" s="483" t="n">
        <v>0</v>
      </c>
      <c r="BA80" s="483" t="n">
        <v>0</v>
      </c>
      <c r="BB80" s="174" t="n">
        <v>0</v>
      </c>
      <c r="BC80" s="174" t="n">
        <v>0</v>
      </c>
      <c r="BD80" s="483" t="n">
        <v>0</v>
      </c>
      <c r="BE80" s="483" t="n">
        <v>0</v>
      </c>
      <c r="BF80" s="483" t="n">
        <v>0</v>
      </c>
      <c r="BG80" s="483" t="n">
        <v>0</v>
      </c>
      <c r="BH80" s="483" t="n">
        <v>0</v>
      </c>
      <c r="BI80" s="483" t="n">
        <v>0</v>
      </c>
      <c r="BJ80" s="483" t="n">
        <v>0</v>
      </c>
      <c r="BK80" s="483" t="n">
        <v>0</v>
      </c>
      <c r="BL80" s="483" t="n">
        <v>0</v>
      </c>
      <c r="BM80" s="483" t="n">
        <v>0</v>
      </c>
      <c r="BN80" s="483" t="n">
        <v>0</v>
      </c>
      <c r="BO80" s="483" t="n">
        <v>0</v>
      </c>
      <c r="BP80" s="483" t="n">
        <v>0</v>
      </c>
      <c r="BQ80" s="483" t="n">
        <v>0</v>
      </c>
      <c r="BR80" s="483" t="n">
        <v>0</v>
      </c>
      <c r="BS80" s="483" t="n">
        <v>0</v>
      </c>
      <c r="BT80" s="483" t="n">
        <v>0</v>
      </c>
      <c r="BU80" s="483" t="n">
        <v>0</v>
      </c>
      <c r="BV80" s="483" t="n">
        <v>0</v>
      </c>
      <c r="BW80" s="483" t="n">
        <v>0</v>
      </c>
      <c r="BX80" s="483" t="n">
        <v>0</v>
      </c>
      <c r="BY80" s="483" t="n">
        <v>0</v>
      </c>
      <c r="BZ80" s="659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  <row r="81" hidden="1" s="191">
      <c r="A81" s="265" t="n">
        <v>0</v>
      </c>
      <c r="B81" s="265" t="n">
        <v>0</v>
      </c>
      <c r="C81" s="265" t="n">
        <v>0</v>
      </c>
      <c r="D81" s="265" t="n">
        <v>0</v>
      </c>
      <c r="E81" s="265" t="n">
        <v>0</v>
      </c>
      <c r="F81" s="266" t="n">
        <v>0</v>
      </c>
      <c r="G81" s="266" t="n">
        <v>0</v>
      </c>
      <c r="H81" s="266" t="n">
        <v>0</v>
      </c>
      <c r="I81" s="266" t="n">
        <v>0</v>
      </c>
      <c r="J81" s="267" t="n">
        <v>0</v>
      </c>
      <c r="K81" s="267" t="n">
        <v>0</v>
      </c>
      <c r="L81" s="267" t="n">
        <v>0</v>
      </c>
      <c r="M81" s="267" t="n">
        <v>0</v>
      </c>
      <c r="N81" s="268" t="n">
        <v>0</v>
      </c>
      <c r="O81" s="268" t="n">
        <v>0</v>
      </c>
      <c r="P81" s="268" t="n">
        <v>0</v>
      </c>
      <c r="Q81" s="268" t="n">
        <v>0</v>
      </c>
      <c r="R81" s="268" t="n">
        <v>0</v>
      </c>
      <c r="S81" s="268" t="n">
        <v>0</v>
      </c>
      <c r="T81" s="268" t="n">
        <v>0</v>
      </c>
      <c r="U81" s="268" t="n">
        <v>0</v>
      </c>
      <c r="V81" s="268" t="n">
        <v>0</v>
      </c>
      <c r="W81" s="269" t="n">
        <v>0</v>
      </c>
      <c r="X81" s="269" t="n">
        <v>0</v>
      </c>
      <c r="Y81" s="269" t="n">
        <v>0</v>
      </c>
      <c r="Z81" s="269" t="n">
        <v>0</v>
      </c>
      <c r="AA81" s="270" t="n">
        <v>0</v>
      </c>
      <c r="AB81" s="270" t="n">
        <v>0</v>
      </c>
      <c r="AC81" s="270" t="n">
        <v>0</v>
      </c>
      <c r="AD81" s="270" t="n">
        <v>0</v>
      </c>
      <c r="AE81" s="268" t="n">
        <v>0</v>
      </c>
      <c r="AF81" s="268" t="n">
        <v>0</v>
      </c>
      <c r="AG81" s="268" t="n">
        <v>0</v>
      </c>
      <c r="AH81" s="268" t="n">
        <v>0</v>
      </c>
      <c r="AI81" s="268" t="n">
        <v>0</v>
      </c>
      <c r="AJ81" s="268" t="n">
        <v>0</v>
      </c>
      <c r="AK81" s="269" t="n">
        <v>0</v>
      </c>
      <c r="AL81" s="269" t="n">
        <v>0</v>
      </c>
      <c r="AM81" s="269" t="n">
        <v>0</v>
      </c>
      <c r="AN81" s="269" t="n">
        <v>0</v>
      </c>
      <c r="AO81" s="270" t="n">
        <v>0</v>
      </c>
      <c r="AP81" s="270" t="n">
        <v>0</v>
      </c>
      <c r="AQ81" s="270" t="n">
        <v>0</v>
      </c>
      <c r="AR81" s="270" t="n">
        <v>0</v>
      </c>
      <c r="AS81" s="174" t="n">
        <v>0</v>
      </c>
      <c r="AT81" s="271" t="n">
        <v>0</v>
      </c>
      <c r="AU81" s="175" t="n">
        <v>0</v>
      </c>
      <c r="AV81" s="175" t="n">
        <v>0</v>
      </c>
      <c r="AW81" s="483" t="n">
        <v>0</v>
      </c>
      <c r="AX81" s="174" t="n">
        <v>0</v>
      </c>
      <c r="AY81" s="174" t="n">
        <v>0</v>
      </c>
      <c r="AZ81" s="483" t="n">
        <v>0</v>
      </c>
      <c r="BA81" s="483" t="n">
        <v>0</v>
      </c>
      <c r="BB81" s="174" t="n">
        <v>0</v>
      </c>
      <c r="BC81" s="174" t="n">
        <v>0</v>
      </c>
      <c r="BD81" s="483" t="n">
        <v>0</v>
      </c>
      <c r="BE81" s="483" t="n">
        <v>0</v>
      </c>
      <c r="BF81" s="483" t="n">
        <v>0</v>
      </c>
      <c r="BG81" s="483" t="n">
        <v>0</v>
      </c>
      <c r="BH81" s="483" t="n">
        <v>0</v>
      </c>
      <c r="BI81" s="483" t="n">
        <v>0</v>
      </c>
      <c r="BJ81" s="483" t="n">
        <v>0</v>
      </c>
      <c r="BK81" s="483" t="n">
        <v>0</v>
      </c>
      <c r="BL81" s="483" t="n">
        <v>0</v>
      </c>
      <c r="BM81" s="483" t="n">
        <v>0</v>
      </c>
      <c r="BN81" s="483" t="n">
        <v>0</v>
      </c>
      <c r="BO81" s="483" t="n">
        <v>0</v>
      </c>
      <c r="BP81" s="483" t="n">
        <v>0</v>
      </c>
      <c r="BQ81" s="483" t="n">
        <v>0</v>
      </c>
      <c r="BR81" s="483" t="n">
        <v>0</v>
      </c>
      <c r="BS81" s="483" t="n">
        <v>0</v>
      </c>
      <c r="BT81" s="483" t="n">
        <v>0</v>
      </c>
      <c r="BU81" s="483" t="n">
        <v>0</v>
      </c>
      <c r="BV81" s="483" t="n">
        <v>0</v>
      </c>
      <c r="BW81" s="483" t="n">
        <v>0</v>
      </c>
      <c r="BX81" s="483" t="n">
        <v>0</v>
      </c>
      <c r="BY81" s="483" t="n">
        <v>0</v>
      </c>
      <c r="BZ81" s="659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</row>
    <row r="82" hidden="1" s="191">
      <c r="A82" s="265" t="n">
        <v>0</v>
      </c>
      <c r="B82" s="265" t="n">
        <v>0</v>
      </c>
      <c r="C82" s="265" t="n">
        <v>0</v>
      </c>
      <c r="D82" s="265" t="n">
        <v>0</v>
      </c>
      <c r="E82" s="265" t="n">
        <v>0</v>
      </c>
      <c r="F82" s="266" t="n">
        <v>0</v>
      </c>
      <c r="G82" s="266" t="n">
        <v>0</v>
      </c>
      <c r="H82" s="266" t="n">
        <v>0</v>
      </c>
      <c r="I82" s="266" t="n">
        <v>0</v>
      </c>
      <c r="J82" s="267" t="n">
        <v>0</v>
      </c>
      <c r="K82" s="267" t="n">
        <v>0</v>
      </c>
      <c r="L82" s="267" t="n">
        <v>0</v>
      </c>
      <c r="M82" s="267" t="n">
        <v>0</v>
      </c>
      <c r="N82" s="268" t="n">
        <v>0</v>
      </c>
      <c r="O82" s="268" t="n">
        <v>0</v>
      </c>
      <c r="P82" s="268" t="n">
        <v>0</v>
      </c>
      <c r="Q82" s="268" t="n">
        <v>0</v>
      </c>
      <c r="R82" s="268" t="n">
        <v>0</v>
      </c>
      <c r="S82" s="268" t="n">
        <v>0</v>
      </c>
      <c r="T82" s="268" t="n">
        <v>0</v>
      </c>
      <c r="U82" s="268" t="n">
        <v>0</v>
      </c>
      <c r="V82" s="268" t="n">
        <v>0</v>
      </c>
      <c r="W82" s="269" t="n">
        <v>0</v>
      </c>
      <c r="X82" s="269" t="n">
        <v>0</v>
      </c>
      <c r="Y82" s="269" t="n">
        <v>0</v>
      </c>
      <c r="Z82" s="269" t="n">
        <v>0</v>
      </c>
      <c r="AA82" s="270" t="n">
        <v>0</v>
      </c>
      <c r="AB82" s="270" t="n">
        <v>0</v>
      </c>
      <c r="AC82" s="270" t="n">
        <v>0</v>
      </c>
      <c r="AD82" s="270" t="n">
        <v>0</v>
      </c>
      <c r="AE82" s="268" t="n">
        <v>0</v>
      </c>
      <c r="AF82" s="268" t="n">
        <v>0</v>
      </c>
      <c r="AG82" s="268" t="n">
        <v>0</v>
      </c>
      <c r="AH82" s="268" t="n">
        <v>0</v>
      </c>
      <c r="AI82" s="268" t="n">
        <v>0</v>
      </c>
      <c r="AJ82" s="268" t="n">
        <v>0</v>
      </c>
      <c r="AK82" s="269" t="n">
        <v>0</v>
      </c>
      <c r="AL82" s="269" t="n">
        <v>0</v>
      </c>
      <c r="AM82" s="269" t="n">
        <v>0</v>
      </c>
      <c r="AN82" s="269" t="n">
        <v>0</v>
      </c>
      <c r="AO82" s="270" t="n">
        <v>0</v>
      </c>
      <c r="AP82" s="270" t="n">
        <v>0</v>
      </c>
      <c r="AQ82" s="270" t="n">
        <v>0</v>
      </c>
      <c r="AR82" s="270" t="n">
        <v>0</v>
      </c>
      <c r="AS82" s="174" t="n">
        <v>0</v>
      </c>
      <c r="AT82" s="271" t="n">
        <v>0</v>
      </c>
      <c r="AU82" s="175" t="n">
        <v>0</v>
      </c>
      <c r="AV82" s="175" t="n">
        <v>0</v>
      </c>
      <c r="AW82" s="483" t="n">
        <v>0</v>
      </c>
      <c r="AX82" s="174" t="n">
        <v>0</v>
      </c>
      <c r="AY82" s="174" t="n">
        <v>0</v>
      </c>
      <c r="AZ82" s="483" t="n">
        <v>0</v>
      </c>
      <c r="BA82" s="483" t="n">
        <v>0</v>
      </c>
      <c r="BB82" s="174" t="n">
        <v>0</v>
      </c>
      <c r="BC82" s="174" t="n">
        <v>0</v>
      </c>
      <c r="BD82" s="483" t="n">
        <v>0</v>
      </c>
      <c r="BE82" s="483" t="n">
        <v>0</v>
      </c>
      <c r="BF82" s="483" t="n">
        <v>0</v>
      </c>
      <c r="BG82" s="483" t="n">
        <v>0</v>
      </c>
      <c r="BH82" s="483" t="n">
        <v>0</v>
      </c>
      <c r="BI82" s="483" t="n">
        <v>0</v>
      </c>
      <c r="BJ82" s="483" t="n">
        <v>0</v>
      </c>
      <c r="BK82" s="483" t="n">
        <v>0</v>
      </c>
      <c r="BL82" s="483" t="n">
        <v>0</v>
      </c>
      <c r="BM82" s="483" t="n">
        <v>0</v>
      </c>
      <c r="BN82" s="483" t="n">
        <v>0</v>
      </c>
      <c r="BO82" s="483" t="n">
        <v>0</v>
      </c>
      <c r="BP82" s="483" t="n">
        <v>0</v>
      </c>
      <c r="BQ82" s="483" t="n">
        <v>0</v>
      </c>
      <c r="BR82" s="483" t="n">
        <v>0</v>
      </c>
      <c r="BS82" s="483" t="n">
        <v>0</v>
      </c>
      <c r="BT82" s="483" t="n">
        <v>0</v>
      </c>
      <c r="BU82" s="483" t="n">
        <v>0</v>
      </c>
      <c r="BV82" s="483" t="n">
        <v>0</v>
      </c>
      <c r="BW82" s="483" t="n">
        <v>0</v>
      </c>
      <c r="BX82" s="483" t="n">
        <v>0</v>
      </c>
      <c r="BY82" s="483" t="n">
        <v>0</v>
      </c>
      <c r="BZ82" s="659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</row>
    <row r="83" hidden="1" s="191">
      <c r="A83" s="265" t="n">
        <v>0</v>
      </c>
      <c r="B83" s="265" t="n">
        <v>0</v>
      </c>
      <c r="C83" s="265" t="n">
        <v>0</v>
      </c>
      <c r="D83" s="265" t="n">
        <v>0</v>
      </c>
      <c r="E83" s="265" t="n">
        <v>0</v>
      </c>
      <c r="F83" s="266" t="n">
        <v>0</v>
      </c>
      <c r="G83" s="266" t="n">
        <v>0</v>
      </c>
      <c r="H83" s="266" t="n">
        <v>0</v>
      </c>
      <c r="I83" s="266" t="n">
        <v>0</v>
      </c>
      <c r="J83" s="267" t="n">
        <v>0</v>
      </c>
      <c r="K83" s="267" t="n">
        <v>0</v>
      </c>
      <c r="L83" s="267" t="n">
        <v>0</v>
      </c>
      <c r="M83" s="267" t="n">
        <v>0</v>
      </c>
      <c r="N83" s="268" t="n">
        <v>0</v>
      </c>
      <c r="O83" s="268" t="n">
        <v>0</v>
      </c>
      <c r="P83" s="268" t="n">
        <v>0</v>
      </c>
      <c r="Q83" s="268" t="n">
        <v>0</v>
      </c>
      <c r="R83" s="268" t="n">
        <v>0</v>
      </c>
      <c r="S83" s="268" t="n">
        <v>0</v>
      </c>
      <c r="T83" s="268" t="n">
        <v>0</v>
      </c>
      <c r="U83" s="268" t="n">
        <v>0</v>
      </c>
      <c r="V83" s="268" t="n">
        <v>0</v>
      </c>
      <c r="W83" s="269" t="n">
        <v>0</v>
      </c>
      <c r="X83" s="269" t="n">
        <v>0</v>
      </c>
      <c r="Y83" s="269" t="n">
        <v>0</v>
      </c>
      <c r="Z83" s="269" t="n">
        <v>0</v>
      </c>
      <c r="AA83" s="270" t="n">
        <v>0</v>
      </c>
      <c r="AB83" s="270" t="n">
        <v>0</v>
      </c>
      <c r="AC83" s="270" t="n">
        <v>0</v>
      </c>
      <c r="AD83" s="270" t="n">
        <v>0</v>
      </c>
      <c r="AE83" s="268" t="n">
        <v>0</v>
      </c>
      <c r="AF83" s="268" t="n">
        <v>0</v>
      </c>
      <c r="AG83" s="268" t="n">
        <v>0</v>
      </c>
      <c r="AH83" s="268" t="n">
        <v>0</v>
      </c>
      <c r="AI83" s="268" t="n">
        <v>0</v>
      </c>
      <c r="AJ83" s="268" t="n">
        <v>0</v>
      </c>
      <c r="AK83" s="269" t="n">
        <v>0</v>
      </c>
      <c r="AL83" s="269" t="n">
        <v>0</v>
      </c>
      <c r="AM83" s="269" t="n">
        <v>0</v>
      </c>
      <c r="AN83" s="269" t="n">
        <v>0</v>
      </c>
      <c r="AO83" s="270" t="n">
        <v>0</v>
      </c>
      <c r="AP83" s="270" t="n">
        <v>0</v>
      </c>
      <c r="AQ83" s="270" t="n">
        <v>0</v>
      </c>
      <c r="AR83" s="270" t="n">
        <v>0</v>
      </c>
      <c r="AS83" s="174" t="n">
        <v>0</v>
      </c>
      <c r="AT83" s="271" t="n">
        <v>0</v>
      </c>
      <c r="AU83" s="175" t="n">
        <v>0</v>
      </c>
      <c r="AV83" s="175" t="n">
        <v>0</v>
      </c>
      <c r="AW83" s="483" t="n">
        <v>0</v>
      </c>
      <c r="AX83" s="174" t="n">
        <v>0</v>
      </c>
      <c r="AY83" s="174" t="n">
        <v>0</v>
      </c>
      <c r="AZ83" s="483" t="n">
        <v>0</v>
      </c>
      <c r="BA83" s="483" t="n">
        <v>0</v>
      </c>
      <c r="BB83" s="174" t="n">
        <v>0</v>
      </c>
      <c r="BC83" s="174" t="n">
        <v>0</v>
      </c>
      <c r="BD83" s="483" t="n">
        <v>0</v>
      </c>
      <c r="BE83" s="483" t="n">
        <v>0</v>
      </c>
      <c r="BF83" s="483" t="n">
        <v>0</v>
      </c>
      <c r="BG83" s="483" t="n">
        <v>0</v>
      </c>
      <c r="BH83" s="483" t="n">
        <v>0</v>
      </c>
      <c r="BI83" s="483" t="n">
        <v>0</v>
      </c>
      <c r="BJ83" s="483" t="n">
        <v>0</v>
      </c>
      <c r="BK83" s="483" t="n">
        <v>0</v>
      </c>
      <c r="BL83" s="483" t="n">
        <v>0</v>
      </c>
      <c r="BM83" s="483" t="n">
        <v>0</v>
      </c>
      <c r="BN83" s="483" t="n">
        <v>0</v>
      </c>
      <c r="BO83" s="483" t="n">
        <v>0</v>
      </c>
      <c r="BP83" s="483" t="n">
        <v>0</v>
      </c>
      <c r="BQ83" s="483" t="n">
        <v>0</v>
      </c>
      <c r="BR83" s="483" t="n">
        <v>0</v>
      </c>
      <c r="BS83" s="483" t="n">
        <v>0</v>
      </c>
      <c r="BT83" s="483" t="n">
        <v>0</v>
      </c>
      <c r="BU83" s="483" t="n">
        <v>0</v>
      </c>
      <c r="BV83" s="483" t="n">
        <v>0</v>
      </c>
      <c r="BW83" s="483" t="n">
        <v>0</v>
      </c>
      <c r="BX83" s="483" t="n">
        <v>0</v>
      </c>
      <c r="BY83" s="483" t="n">
        <v>0</v>
      </c>
      <c r="BZ83" s="659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</row>
    <row r="84" hidden="1" s="191">
      <c r="A84" s="265" t="n">
        <v>0</v>
      </c>
      <c r="B84" s="265" t="n">
        <v>0</v>
      </c>
      <c r="C84" s="265" t="n">
        <v>0</v>
      </c>
      <c r="D84" s="265" t="n">
        <v>0</v>
      </c>
      <c r="E84" s="265" t="n">
        <v>0</v>
      </c>
      <c r="F84" s="266" t="n">
        <v>0</v>
      </c>
      <c r="G84" s="266" t="n">
        <v>0</v>
      </c>
      <c r="H84" s="266" t="n">
        <v>0</v>
      </c>
      <c r="I84" s="266" t="n">
        <v>0</v>
      </c>
      <c r="J84" s="267" t="n">
        <v>0</v>
      </c>
      <c r="K84" s="267" t="n">
        <v>0</v>
      </c>
      <c r="L84" s="267" t="n">
        <v>0</v>
      </c>
      <c r="M84" s="267" t="n">
        <v>0</v>
      </c>
      <c r="N84" s="268" t="n">
        <v>0</v>
      </c>
      <c r="O84" s="268" t="n">
        <v>0</v>
      </c>
      <c r="P84" s="268" t="n">
        <v>0</v>
      </c>
      <c r="Q84" s="268" t="n">
        <v>0</v>
      </c>
      <c r="R84" s="268" t="n">
        <v>0</v>
      </c>
      <c r="S84" s="268" t="n">
        <v>0</v>
      </c>
      <c r="T84" s="268" t="n">
        <v>0</v>
      </c>
      <c r="U84" s="268" t="n">
        <v>0</v>
      </c>
      <c r="V84" s="268" t="n">
        <v>0</v>
      </c>
      <c r="W84" s="269" t="n">
        <v>0</v>
      </c>
      <c r="X84" s="269" t="n">
        <v>0</v>
      </c>
      <c r="Y84" s="269" t="n">
        <v>0</v>
      </c>
      <c r="Z84" s="269" t="n">
        <v>0</v>
      </c>
      <c r="AA84" s="270" t="n">
        <v>0</v>
      </c>
      <c r="AB84" s="270" t="n">
        <v>0</v>
      </c>
      <c r="AC84" s="270" t="n">
        <v>0</v>
      </c>
      <c r="AD84" s="270" t="n">
        <v>0</v>
      </c>
      <c r="AE84" s="268" t="n">
        <v>0</v>
      </c>
      <c r="AF84" s="268" t="n">
        <v>0</v>
      </c>
      <c r="AG84" s="268" t="n">
        <v>0</v>
      </c>
      <c r="AH84" s="268" t="n">
        <v>0</v>
      </c>
      <c r="AI84" s="268" t="n">
        <v>0</v>
      </c>
      <c r="AJ84" s="268" t="n">
        <v>0</v>
      </c>
      <c r="AK84" s="269" t="n">
        <v>0</v>
      </c>
      <c r="AL84" s="269" t="n">
        <v>0</v>
      </c>
      <c r="AM84" s="269" t="n">
        <v>0</v>
      </c>
      <c r="AN84" s="269" t="n">
        <v>0</v>
      </c>
      <c r="AO84" s="270" t="n">
        <v>0</v>
      </c>
      <c r="AP84" s="270" t="n">
        <v>0</v>
      </c>
      <c r="AQ84" s="270" t="n">
        <v>0</v>
      </c>
      <c r="AR84" s="270" t="n">
        <v>0</v>
      </c>
      <c r="AS84" s="174" t="n">
        <v>0</v>
      </c>
      <c r="AT84" s="271" t="n">
        <v>0</v>
      </c>
      <c r="AU84" s="175" t="n">
        <v>0</v>
      </c>
      <c r="AV84" s="175" t="n">
        <v>0</v>
      </c>
      <c r="AW84" s="483" t="n">
        <v>0</v>
      </c>
      <c r="AX84" s="174" t="n">
        <v>0</v>
      </c>
      <c r="AY84" s="174" t="n">
        <v>0</v>
      </c>
      <c r="AZ84" s="483" t="n">
        <v>0</v>
      </c>
      <c r="BA84" s="483" t="n">
        <v>0</v>
      </c>
      <c r="BB84" s="174" t="n">
        <v>0</v>
      </c>
      <c r="BC84" s="174" t="n">
        <v>0</v>
      </c>
      <c r="BD84" s="483" t="n">
        <v>0</v>
      </c>
      <c r="BE84" s="483" t="n">
        <v>0</v>
      </c>
      <c r="BF84" s="483" t="n">
        <v>0</v>
      </c>
      <c r="BG84" s="483" t="n">
        <v>0</v>
      </c>
      <c r="BH84" s="483" t="n">
        <v>0</v>
      </c>
      <c r="BI84" s="483" t="n">
        <v>0</v>
      </c>
      <c r="BJ84" s="483" t="n">
        <v>0</v>
      </c>
      <c r="BK84" s="483" t="n">
        <v>0</v>
      </c>
      <c r="BL84" s="483" t="n">
        <v>0</v>
      </c>
      <c r="BM84" s="483" t="n">
        <v>0</v>
      </c>
      <c r="BN84" s="483" t="n">
        <v>0</v>
      </c>
      <c r="BO84" s="483" t="n">
        <v>0</v>
      </c>
      <c r="BP84" s="483" t="n">
        <v>0</v>
      </c>
      <c r="BQ84" s="483" t="n">
        <v>0</v>
      </c>
      <c r="BR84" s="483" t="n">
        <v>0</v>
      </c>
      <c r="BS84" s="483" t="n">
        <v>0</v>
      </c>
      <c r="BT84" s="483" t="n">
        <v>0</v>
      </c>
      <c r="BU84" s="483" t="n">
        <v>0</v>
      </c>
      <c r="BV84" s="483" t="n">
        <v>0</v>
      </c>
      <c r="BW84" s="483" t="n">
        <v>0</v>
      </c>
      <c r="BX84" s="483" t="n">
        <v>0</v>
      </c>
      <c r="BY84" s="483" t="n">
        <v>0</v>
      </c>
      <c r="BZ84" s="659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</row>
    <row r="85" hidden="1" s="191">
      <c r="A85" s="265" t="n">
        <v>0</v>
      </c>
      <c r="B85" s="265" t="n">
        <v>0</v>
      </c>
      <c r="C85" s="265" t="n">
        <v>0</v>
      </c>
      <c r="D85" s="265" t="n">
        <v>0</v>
      </c>
      <c r="E85" s="265" t="n">
        <v>0</v>
      </c>
      <c r="F85" s="266" t="n">
        <v>0</v>
      </c>
      <c r="G85" s="266" t="n">
        <v>0</v>
      </c>
      <c r="H85" s="266" t="n">
        <v>0</v>
      </c>
      <c r="I85" s="266" t="n">
        <v>0</v>
      </c>
      <c r="J85" s="267" t="n">
        <v>0</v>
      </c>
      <c r="K85" s="267" t="n">
        <v>0</v>
      </c>
      <c r="L85" s="267" t="n">
        <v>0</v>
      </c>
      <c r="M85" s="267" t="n">
        <v>0</v>
      </c>
      <c r="N85" s="268" t="n">
        <v>0</v>
      </c>
      <c r="O85" s="268" t="n">
        <v>0</v>
      </c>
      <c r="P85" s="268" t="n">
        <v>0</v>
      </c>
      <c r="Q85" s="268" t="n">
        <v>0</v>
      </c>
      <c r="R85" s="268" t="n">
        <v>0</v>
      </c>
      <c r="S85" s="268" t="n">
        <v>0</v>
      </c>
      <c r="T85" s="268" t="n">
        <v>0</v>
      </c>
      <c r="U85" s="268" t="n">
        <v>0</v>
      </c>
      <c r="V85" s="268" t="n">
        <v>0</v>
      </c>
      <c r="W85" s="269" t="n">
        <v>0</v>
      </c>
      <c r="X85" s="269" t="n">
        <v>0</v>
      </c>
      <c r="Y85" s="269" t="n">
        <v>0</v>
      </c>
      <c r="Z85" s="269" t="n">
        <v>0</v>
      </c>
      <c r="AA85" s="270" t="n">
        <v>0</v>
      </c>
      <c r="AB85" s="270" t="n">
        <v>0</v>
      </c>
      <c r="AC85" s="270" t="n">
        <v>0</v>
      </c>
      <c r="AD85" s="270" t="n">
        <v>0</v>
      </c>
      <c r="AE85" s="268" t="n">
        <v>0</v>
      </c>
      <c r="AF85" s="268" t="n">
        <v>0</v>
      </c>
      <c r="AG85" s="268" t="n">
        <v>0</v>
      </c>
      <c r="AH85" s="268" t="n">
        <v>0</v>
      </c>
      <c r="AI85" s="268" t="n">
        <v>0</v>
      </c>
      <c r="AJ85" s="268" t="n">
        <v>0</v>
      </c>
      <c r="AK85" s="269" t="n">
        <v>0</v>
      </c>
      <c r="AL85" s="269" t="n">
        <v>0</v>
      </c>
      <c r="AM85" s="269" t="n">
        <v>0</v>
      </c>
      <c r="AN85" s="269" t="n">
        <v>0</v>
      </c>
      <c r="AO85" s="270" t="n">
        <v>0</v>
      </c>
      <c r="AP85" s="270" t="n">
        <v>0</v>
      </c>
      <c r="AQ85" s="270" t="n">
        <v>0</v>
      </c>
      <c r="AR85" s="270" t="n">
        <v>0</v>
      </c>
      <c r="AS85" s="174" t="n">
        <v>0</v>
      </c>
      <c r="AT85" s="271" t="n">
        <v>0</v>
      </c>
      <c r="AU85" s="175" t="n">
        <v>0</v>
      </c>
      <c r="AV85" s="175" t="n">
        <v>0</v>
      </c>
      <c r="AW85" s="483" t="n">
        <v>0</v>
      </c>
      <c r="AX85" s="174" t="n">
        <v>0</v>
      </c>
      <c r="AY85" s="174" t="n">
        <v>0</v>
      </c>
      <c r="AZ85" s="483" t="n">
        <v>0</v>
      </c>
      <c r="BA85" s="483" t="n">
        <v>0</v>
      </c>
      <c r="BB85" s="174" t="n">
        <v>0</v>
      </c>
      <c r="BC85" s="174" t="n">
        <v>0</v>
      </c>
      <c r="BD85" s="483" t="n">
        <v>0</v>
      </c>
      <c r="BE85" s="483" t="n">
        <v>0</v>
      </c>
      <c r="BF85" s="483" t="n">
        <v>0</v>
      </c>
      <c r="BG85" s="483" t="n">
        <v>0</v>
      </c>
      <c r="BH85" s="483" t="n">
        <v>0</v>
      </c>
      <c r="BI85" s="483" t="n">
        <v>0</v>
      </c>
      <c r="BJ85" s="483" t="n">
        <v>0</v>
      </c>
      <c r="BK85" s="483" t="n">
        <v>0</v>
      </c>
      <c r="BL85" s="483" t="n">
        <v>0</v>
      </c>
      <c r="BM85" s="483" t="n">
        <v>0</v>
      </c>
      <c r="BN85" s="483" t="n">
        <v>0</v>
      </c>
      <c r="BO85" s="483" t="n">
        <v>0</v>
      </c>
      <c r="BP85" s="483" t="n">
        <v>0</v>
      </c>
      <c r="BQ85" s="483" t="n">
        <v>0</v>
      </c>
      <c r="BR85" s="483" t="n">
        <v>0</v>
      </c>
      <c r="BS85" s="483" t="n">
        <v>0</v>
      </c>
      <c r="BT85" s="483" t="n">
        <v>0</v>
      </c>
      <c r="BU85" s="483" t="n">
        <v>0</v>
      </c>
      <c r="BV85" s="483" t="n">
        <v>0</v>
      </c>
      <c r="BW85" s="483" t="n">
        <v>0</v>
      </c>
      <c r="BX85" s="483" t="n">
        <v>0</v>
      </c>
      <c r="BY85" s="483" t="n">
        <v>0</v>
      </c>
      <c r="BZ85" s="659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</row>
    <row r="86" hidden="1" s="191">
      <c r="A86" s="265" t="n">
        <v>0</v>
      </c>
      <c r="B86" s="265" t="n">
        <v>0</v>
      </c>
      <c r="C86" s="265" t="n">
        <v>0</v>
      </c>
      <c r="D86" s="265" t="n">
        <v>0</v>
      </c>
      <c r="E86" s="265" t="n">
        <v>0</v>
      </c>
      <c r="F86" s="266" t="n">
        <v>0</v>
      </c>
      <c r="G86" s="266" t="n">
        <v>0</v>
      </c>
      <c r="H86" s="266" t="n">
        <v>0</v>
      </c>
      <c r="I86" s="266" t="n">
        <v>0</v>
      </c>
      <c r="J86" s="267" t="n">
        <v>0</v>
      </c>
      <c r="K86" s="267" t="n">
        <v>0</v>
      </c>
      <c r="L86" s="267" t="n">
        <v>0</v>
      </c>
      <c r="M86" s="267" t="n">
        <v>0</v>
      </c>
      <c r="N86" s="268" t="n">
        <v>0</v>
      </c>
      <c r="O86" s="268" t="n">
        <v>0</v>
      </c>
      <c r="P86" s="268" t="n">
        <v>0</v>
      </c>
      <c r="Q86" s="268" t="n">
        <v>0</v>
      </c>
      <c r="R86" s="268" t="n">
        <v>0</v>
      </c>
      <c r="S86" s="268" t="n">
        <v>0</v>
      </c>
      <c r="T86" s="268" t="n">
        <v>0</v>
      </c>
      <c r="U86" s="268" t="n">
        <v>0</v>
      </c>
      <c r="V86" s="268" t="n">
        <v>0</v>
      </c>
      <c r="W86" s="269" t="n">
        <v>0</v>
      </c>
      <c r="X86" s="269" t="n">
        <v>0</v>
      </c>
      <c r="Y86" s="269" t="n">
        <v>0</v>
      </c>
      <c r="Z86" s="269" t="n">
        <v>0</v>
      </c>
      <c r="AA86" s="270" t="n">
        <v>0</v>
      </c>
      <c r="AB86" s="270" t="n">
        <v>0</v>
      </c>
      <c r="AC86" s="270" t="n">
        <v>0</v>
      </c>
      <c r="AD86" s="270" t="n">
        <v>0</v>
      </c>
      <c r="AE86" s="268" t="n">
        <v>0</v>
      </c>
      <c r="AF86" s="268" t="n">
        <v>0</v>
      </c>
      <c r="AG86" s="268" t="n">
        <v>0</v>
      </c>
      <c r="AH86" s="268" t="n">
        <v>0</v>
      </c>
      <c r="AI86" s="268" t="n">
        <v>0</v>
      </c>
      <c r="AJ86" s="268" t="n">
        <v>0</v>
      </c>
      <c r="AK86" s="269" t="n">
        <v>0</v>
      </c>
      <c r="AL86" s="269" t="n">
        <v>0</v>
      </c>
      <c r="AM86" s="269" t="n">
        <v>0</v>
      </c>
      <c r="AN86" s="269" t="n">
        <v>0</v>
      </c>
      <c r="AO86" s="270" t="n">
        <v>0</v>
      </c>
      <c r="AP86" s="270" t="n">
        <v>0</v>
      </c>
      <c r="AQ86" s="270" t="n">
        <v>0</v>
      </c>
      <c r="AR86" s="270" t="n">
        <v>0</v>
      </c>
      <c r="AS86" s="174" t="n">
        <v>0</v>
      </c>
      <c r="AT86" s="271" t="n">
        <v>0</v>
      </c>
      <c r="AU86" s="175" t="n">
        <v>0</v>
      </c>
      <c r="AV86" s="175" t="n">
        <v>0</v>
      </c>
      <c r="AW86" s="483" t="n">
        <v>0</v>
      </c>
      <c r="AX86" s="174" t="n">
        <v>0</v>
      </c>
      <c r="AY86" s="174" t="n">
        <v>0</v>
      </c>
      <c r="AZ86" s="483" t="n">
        <v>0</v>
      </c>
      <c r="BA86" s="483" t="n">
        <v>0</v>
      </c>
      <c r="BB86" s="174" t="n">
        <v>0</v>
      </c>
      <c r="BC86" s="174" t="n">
        <v>0</v>
      </c>
      <c r="BD86" s="483" t="n">
        <v>0</v>
      </c>
      <c r="BE86" s="483" t="n">
        <v>0</v>
      </c>
      <c r="BF86" s="483" t="n">
        <v>0</v>
      </c>
      <c r="BG86" s="483" t="n">
        <v>0</v>
      </c>
      <c r="BH86" s="483" t="n">
        <v>0</v>
      </c>
      <c r="BI86" s="483" t="n">
        <v>0</v>
      </c>
      <c r="BJ86" s="483" t="n">
        <v>0</v>
      </c>
      <c r="BK86" s="483" t="n">
        <v>0</v>
      </c>
      <c r="BL86" s="483" t="n">
        <v>0</v>
      </c>
      <c r="BM86" s="483" t="n">
        <v>0</v>
      </c>
      <c r="BN86" s="483" t="n">
        <v>0</v>
      </c>
      <c r="BO86" s="483" t="n">
        <v>0</v>
      </c>
      <c r="BP86" s="483" t="n">
        <v>0</v>
      </c>
      <c r="BQ86" s="483" t="n">
        <v>0</v>
      </c>
      <c r="BR86" s="483" t="n">
        <v>0</v>
      </c>
      <c r="BS86" s="483" t="n">
        <v>0</v>
      </c>
      <c r="BT86" s="483" t="n">
        <v>0</v>
      </c>
      <c r="BU86" s="483" t="n">
        <v>0</v>
      </c>
      <c r="BV86" s="483" t="n">
        <v>0</v>
      </c>
      <c r="BW86" s="483" t="n">
        <v>0</v>
      </c>
      <c r="BX86" s="483" t="n">
        <v>0</v>
      </c>
      <c r="BY86" s="483" t="n">
        <v>0</v>
      </c>
      <c r="BZ86" s="659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</row>
    <row r="87" hidden="1" s="191">
      <c r="A87" s="265" t="n">
        <v>0</v>
      </c>
      <c r="B87" s="265" t="n">
        <v>0</v>
      </c>
      <c r="C87" s="265" t="n">
        <v>0</v>
      </c>
      <c r="D87" s="265" t="n">
        <v>0</v>
      </c>
      <c r="E87" s="265" t="n">
        <v>0</v>
      </c>
      <c r="F87" s="266" t="n">
        <v>0</v>
      </c>
      <c r="G87" s="266" t="n">
        <v>0</v>
      </c>
      <c r="H87" s="266" t="n">
        <v>0</v>
      </c>
      <c r="I87" s="266" t="n">
        <v>0</v>
      </c>
      <c r="J87" s="267" t="n">
        <v>0</v>
      </c>
      <c r="K87" s="267" t="n">
        <v>0</v>
      </c>
      <c r="L87" s="267" t="n">
        <v>0</v>
      </c>
      <c r="M87" s="267" t="n">
        <v>0</v>
      </c>
      <c r="N87" s="268" t="n">
        <v>0</v>
      </c>
      <c r="O87" s="268" t="n">
        <v>0</v>
      </c>
      <c r="P87" s="268" t="n">
        <v>0</v>
      </c>
      <c r="Q87" s="268" t="n">
        <v>0</v>
      </c>
      <c r="R87" s="268" t="n">
        <v>0</v>
      </c>
      <c r="S87" s="268" t="n">
        <v>0</v>
      </c>
      <c r="T87" s="268" t="n">
        <v>0</v>
      </c>
      <c r="U87" s="268" t="n">
        <v>0</v>
      </c>
      <c r="V87" s="268" t="n">
        <v>0</v>
      </c>
      <c r="W87" s="269" t="n">
        <v>0</v>
      </c>
      <c r="X87" s="269" t="n">
        <v>0</v>
      </c>
      <c r="Y87" s="269" t="n">
        <v>0</v>
      </c>
      <c r="Z87" s="269" t="n">
        <v>0</v>
      </c>
      <c r="AA87" s="270" t="n">
        <v>0</v>
      </c>
      <c r="AB87" s="270" t="n">
        <v>0</v>
      </c>
      <c r="AC87" s="270" t="n">
        <v>0</v>
      </c>
      <c r="AD87" s="270" t="n">
        <v>0</v>
      </c>
      <c r="AE87" s="268" t="n">
        <v>0</v>
      </c>
      <c r="AF87" s="268" t="n">
        <v>0</v>
      </c>
      <c r="AG87" s="268" t="n">
        <v>0</v>
      </c>
      <c r="AH87" s="268" t="n">
        <v>0</v>
      </c>
      <c r="AI87" s="268" t="n">
        <v>0</v>
      </c>
      <c r="AJ87" s="268" t="n">
        <v>0</v>
      </c>
      <c r="AK87" s="269" t="n">
        <v>0</v>
      </c>
      <c r="AL87" s="269" t="n">
        <v>0</v>
      </c>
      <c r="AM87" s="269" t="n">
        <v>0</v>
      </c>
      <c r="AN87" s="269" t="n">
        <v>0</v>
      </c>
      <c r="AO87" s="270" t="n">
        <v>0</v>
      </c>
      <c r="AP87" s="270" t="n">
        <v>0</v>
      </c>
      <c r="AQ87" s="270" t="n">
        <v>0</v>
      </c>
      <c r="AR87" s="270" t="n">
        <v>0</v>
      </c>
      <c r="AS87" s="174" t="n">
        <v>0</v>
      </c>
      <c r="AT87" s="271" t="n">
        <v>0</v>
      </c>
      <c r="AU87" s="175" t="n">
        <v>0</v>
      </c>
      <c r="AV87" s="175" t="n">
        <v>0</v>
      </c>
      <c r="AW87" s="483" t="n">
        <v>0</v>
      </c>
      <c r="AX87" s="174" t="n">
        <v>0</v>
      </c>
      <c r="AY87" s="174" t="n">
        <v>0</v>
      </c>
      <c r="AZ87" s="483" t="n">
        <v>0</v>
      </c>
      <c r="BA87" s="483" t="n">
        <v>0</v>
      </c>
      <c r="BB87" s="174" t="n">
        <v>0</v>
      </c>
      <c r="BC87" s="174" t="n">
        <v>0</v>
      </c>
      <c r="BD87" s="483" t="n">
        <v>0</v>
      </c>
      <c r="BE87" s="483" t="n">
        <v>0</v>
      </c>
      <c r="BF87" s="483" t="n">
        <v>0</v>
      </c>
      <c r="BG87" s="483" t="n">
        <v>0</v>
      </c>
      <c r="BH87" s="483" t="n">
        <v>0</v>
      </c>
      <c r="BI87" s="483" t="n">
        <v>0</v>
      </c>
      <c r="BJ87" s="483" t="n">
        <v>0</v>
      </c>
      <c r="BK87" s="483" t="n">
        <v>0</v>
      </c>
      <c r="BL87" s="483" t="n">
        <v>0</v>
      </c>
      <c r="BM87" s="483" t="n">
        <v>0</v>
      </c>
      <c r="BN87" s="483" t="n">
        <v>0</v>
      </c>
      <c r="BO87" s="483" t="n">
        <v>0</v>
      </c>
      <c r="BP87" s="483" t="n">
        <v>0</v>
      </c>
      <c r="BQ87" s="483" t="n">
        <v>0</v>
      </c>
      <c r="BR87" s="483" t="n">
        <v>0</v>
      </c>
      <c r="BS87" s="483" t="n">
        <v>0</v>
      </c>
      <c r="BT87" s="483" t="n">
        <v>0</v>
      </c>
      <c r="BU87" s="483" t="n">
        <v>0</v>
      </c>
      <c r="BV87" s="483" t="n">
        <v>0</v>
      </c>
      <c r="BW87" s="483" t="n">
        <v>0</v>
      </c>
      <c r="BX87" s="483" t="n">
        <v>0</v>
      </c>
      <c r="BY87" s="483" t="n">
        <v>0</v>
      </c>
      <c r="BZ87" s="659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</row>
    <row r="88" hidden="1" s="191">
      <c r="A88" s="265" t="n">
        <v>0</v>
      </c>
      <c r="B88" s="265" t="n">
        <v>0</v>
      </c>
      <c r="C88" s="265" t="n">
        <v>0</v>
      </c>
      <c r="D88" s="265" t="n">
        <v>0</v>
      </c>
      <c r="E88" s="265" t="n">
        <v>0</v>
      </c>
      <c r="F88" s="266" t="n">
        <v>0</v>
      </c>
      <c r="G88" s="266" t="n">
        <v>0</v>
      </c>
      <c r="H88" s="266" t="n">
        <v>0</v>
      </c>
      <c r="I88" s="266" t="n">
        <v>0</v>
      </c>
      <c r="J88" s="267" t="n">
        <v>0</v>
      </c>
      <c r="K88" s="267" t="n">
        <v>0</v>
      </c>
      <c r="L88" s="267" t="n">
        <v>0</v>
      </c>
      <c r="M88" s="267" t="n">
        <v>0</v>
      </c>
      <c r="N88" s="268" t="n">
        <v>0</v>
      </c>
      <c r="O88" s="268" t="n">
        <v>0</v>
      </c>
      <c r="P88" s="268" t="n">
        <v>0</v>
      </c>
      <c r="Q88" s="268" t="n">
        <v>0</v>
      </c>
      <c r="R88" s="268" t="n">
        <v>0</v>
      </c>
      <c r="S88" s="268" t="n">
        <v>0</v>
      </c>
      <c r="T88" s="268" t="n">
        <v>0</v>
      </c>
      <c r="U88" s="268" t="n">
        <v>0</v>
      </c>
      <c r="V88" s="268" t="n">
        <v>0</v>
      </c>
      <c r="W88" s="269" t="n">
        <v>0</v>
      </c>
      <c r="X88" s="269" t="n">
        <v>0</v>
      </c>
      <c r="Y88" s="269" t="n">
        <v>0</v>
      </c>
      <c r="Z88" s="269" t="n">
        <v>0</v>
      </c>
      <c r="AA88" s="270" t="n">
        <v>0</v>
      </c>
      <c r="AB88" s="270" t="n">
        <v>0</v>
      </c>
      <c r="AC88" s="270" t="n">
        <v>0</v>
      </c>
      <c r="AD88" s="270" t="n">
        <v>0</v>
      </c>
      <c r="AE88" s="268" t="n">
        <v>0</v>
      </c>
      <c r="AF88" s="268" t="n">
        <v>0</v>
      </c>
      <c r="AG88" s="268" t="n">
        <v>0</v>
      </c>
      <c r="AH88" s="268" t="n">
        <v>0</v>
      </c>
      <c r="AI88" s="268" t="n">
        <v>0</v>
      </c>
      <c r="AJ88" s="268" t="n">
        <v>0</v>
      </c>
      <c r="AK88" s="269" t="n">
        <v>0</v>
      </c>
      <c r="AL88" s="269" t="n">
        <v>0</v>
      </c>
      <c r="AM88" s="269" t="n">
        <v>0</v>
      </c>
      <c r="AN88" s="269" t="n">
        <v>0</v>
      </c>
      <c r="AO88" s="270" t="n">
        <v>0</v>
      </c>
      <c r="AP88" s="270" t="n">
        <v>0</v>
      </c>
      <c r="AQ88" s="270" t="n">
        <v>0</v>
      </c>
      <c r="AR88" s="270" t="n">
        <v>0</v>
      </c>
      <c r="AS88" s="174" t="n">
        <v>0</v>
      </c>
      <c r="AT88" s="271" t="n">
        <v>0</v>
      </c>
      <c r="AU88" s="175" t="n">
        <v>0</v>
      </c>
      <c r="AV88" s="175" t="n">
        <v>0</v>
      </c>
      <c r="AW88" s="483" t="n">
        <v>0</v>
      </c>
      <c r="AX88" s="174" t="n">
        <v>0</v>
      </c>
      <c r="AY88" s="174" t="n">
        <v>0</v>
      </c>
      <c r="AZ88" s="483" t="n">
        <v>0</v>
      </c>
      <c r="BA88" s="483" t="n">
        <v>0</v>
      </c>
      <c r="BB88" s="174" t="n">
        <v>0</v>
      </c>
      <c r="BC88" s="174" t="n">
        <v>0</v>
      </c>
      <c r="BD88" s="483" t="n">
        <v>0</v>
      </c>
      <c r="BE88" s="483" t="n">
        <v>0</v>
      </c>
      <c r="BF88" s="483" t="n">
        <v>0</v>
      </c>
      <c r="BG88" s="483" t="n">
        <v>0</v>
      </c>
      <c r="BH88" s="483" t="n">
        <v>0</v>
      </c>
      <c r="BI88" s="483" t="n">
        <v>0</v>
      </c>
      <c r="BJ88" s="483" t="n">
        <v>0</v>
      </c>
      <c r="BK88" s="483" t="n">
        <v>0</v>
      </c>
      <c r="BL88" s="483" t="n">
        <v>0</v>
      </c>
      <c r="BM88" s="483" t="n">
        <v>0</v>
      </c>
      <c r="BN88" s="483" t="n">
        <v>0</v>
      </c>
      <c r="BO88" s="483" t="n">
        <v>0</v>
      </c>
      <c r="BP88" s="483" t="n">
        <v>0</v>
      </c>
      <c r="BQ88" s="483" t="n">
        <v>0</v>
      </c>
      <c r="BR88" s="483" t="n">
        <v>0</v>
      </c>
      <c r="BS88" s="483" t="n">
        <v>0</v>
      </c>
      <c r="BT88" s="483" t="n">
        <v>0</v>
      </c>
      <c r="BU88" s="483" t="n">
        <v>0</v>
      </c>
      <c r="BV88" s="483" t="n">
        <v>0</v>
      </c>
      <c r="BW88" s="483" t="n">
        <v>0</v>
      </c>
      <c r="BX88" s="483" t="n">
        <v>0</v>
      </c>
      <c r="BY88" s="483" t="n">
        <v>0</v>
      </c>
      <c r="BZ88" s="659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</row>
    <row r="89" hidden="1" s="191">
      <c r="A89" s="265" t="n">
        <v>0</v>
      </c>
      <c r="B89" s="265" t="n">
        <v>0</v>
      </c>
      <c r="C89" s="265" t="n">
        <v>0</v>
      </c>
      <c r="D89" s="265" t="n">
        <v>0</v>
      </c>
      <c r="E89" s="265" t="n">
        <v>0</v>
      </c>
      <c r="F89" s="266" t="n">
        <v>0</v>
      </c>
      <c r="G89" s="266" t="n">
        <v>0</v>
      </c>
      <c r="H89" s="266" t="n">
        <v>0</v>
      </c>
      <c r="I89" s="266" t="n">
        <v>0</v>
      </c>
      <c r="J89" s="267" t="n">
        <v>0</v>
      </c>
      <c r="K89" s="267" t="n">
        <v>0</v>
      </c>
      <c r="L89" s="267" t="n">
        <v>0</v>
      </c>
      <c r="M89" s="267" t="n">
        <v>0</v>
      </c>
      <c r="N89" s="268" t="n">
        <v>0</v>
      </c>
      <c r="O89" s="268" t="n">
        <v>0</v>
      </c>
      <c r="P89" s="268" t="n">
        <v>0</v>
      </c>
      <c r="Q89" s="268" t="n">
        <v>0</v>
      </c>
      <c r="R89" s="268" t="n">
        <v>0</v>
      </c>
      <c r="S89" s="268" t="n">
        <v>0</v>
      </c>
      <c r="T89" s="268" t="n">
        <v>0</v>
      </c>
      <c r="U89" s="268" t="n">
        <v>0</v>
      </c>
      <c r="V89" s="268" t="n">
        <v>0</v>
      </c>
      <c r="W89" s="269" t="n">
        <v>0</v>
      </c>
      <c r="X89" s="269" t="n">
        <v>0</v>
      </c>
      <c r="Y89" s="269" t="n">
        <v>0</v>
      </c>
      <c r="Z89" s="269" t="n">
        <v>0</v>
      </c>
      <c r="AA89" s="270" t="n">
        <v>0</v>
      </c>
      <c r="AB89" s="270" t="n">
        <v>0</v>
      </c>
      <c r="AC89" s="270" t="n">
        <v>0</v>
      </c>
      <c r="AD89" s="270" t="n">
        <v>0</v>
      </c>
      <c r="AE89" s="268" t="n">
        <v>0</v>
      </c>
      <c r="AF89" s="268" t="n">
        <v>0</v>
      </c>
      <c r="AG89" s="268" t="n">
        <v>0</v>
      </c>
      <c r="AH89" s="268" t="n">
        <v>0</v>
      </c>
      <c r="AI89" s="268" t="n">
        <v>0</v>
      </c>
      <c r="AJ89" s="268" t="n">
        <v>0</v>
      </c>
      <c r="AK89" s="269" t="n">
        <v>0</v>
      </c>
      <c r="AL89" s="269" t="n">
        <v>0</v>
      </c>
      <c r="AM89" s="269" t="n">
        <v>0</v>
      </c>
      <c r="AN89" s="269" t="n">
        <v>0</v>
      </c>
      <c r="AO89" s="270" t="n">
        <v>0</v>
      </c>
      <c r="AP89" s="270" t="n">
        <v>0</v>
      </c>
      <c r="AQ89" s="270" t="n">
        <v>0</v>
      </c>
      <c r="AR89" s="270" t="n">
        <v>0</v>
      </c>
      <c r="AS89" s="174" t="n">
        <v>0</v>
      </c>
      <c r="AT89" s="271" t="n">
        <v>0</v>
      </c>
      <c r="AU89" s="175" t="n">
        <v>0</v>
      </c>
      <c r="AV89" s="175" t="n">
        <v>0</v>
      </c>
      <c r="AW89" s="483" t="n">
        <v>0</v>
      </c>
      <c r="AX89" s="174" t="n">
        <v>0</v>
      </c>
      <c r="AY89" s="174" t="n">
        <v>0</v>
      </c>
      <c r="AZ89" s="483" t="n">
        <v>0</v>
      </c>
      <c r="BA89" s="483" t="n">
        <v>0</v>
      </c>
      <c r="BB89" s="174" t="n">
        <v>0</v>
      </c>
      <c r="BC89" s="174" t="n">
        <v>0</v>
      </c>
      <c r="BD89" s="483" t="n">
        <v>0</v>
      </c>
      <c r="BE89" s="483" t="n">
        <v>0</v>
      </c>
      <c r="BF89" s="483" t="n">
        <v>0</v>
      </c>
      <c r="BG89" s="483" t="n">
        <v>0</v>
      </c>
      <c r="BH89" s="483" t="n">
        <v>0</v>
      </c>
      <c r="BI89" s="483" t="n">
        <v>0</v>
      </c>
      <c r="BJ89" s="483" t="n">
        <v>0</v>
      </c>
      <c r="BK89" s="483" t="n">
        <v>0</v>
      </c>
      <c r="BL89" s="483" t="n">
        <v>0</v>
      </c>
      <c r="BM89" s="483" t="n">
        <v>0</v>
      </c>
      <c r="BN89" s="483" t="n">
        <v>0</v>
      </c>
      <c r="BO89" s="483" t="n">
        <v>0</v>
      </c>
      <c r="BP89" s="483" t="n">
        <v>0</v>
      </c>
      <c r="BQ89" s="483" t="n">
        <v>0</v>
      </c>
      <c r="BR89" s="483" t="n">
        <v>0</v>
      </c>
      <c r="BS89" s="483" t="n">
        <v>0</v>
      </c>
      <c r="BT89" s="483" t="n">
        <v>0</v>
      </c>
      <c r="BU89" s="483" t="n">
        <v>0</v>
      </c>
      <c r="BV89" s="483" t="n">
        <v>0</v>
      </c>
      <c r="BW89" s="483" t="n">
        <v>0</v>
      </c>
      <c r="BX89" s="483" t="n">
        <v>0</v>
      </c>
      <c r="BY89" s="483" t="n">
        <v>0</v>
      </c>
      <c r="BZ89" s="65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</row>
    <row r="90" hidden="1" s="191">
      <c r="A90" s="265" t="n">
        <v>0</v>
      </c>
      <c r="B90" s="265" t="n">
        <v>0</v>
      </c>
      <c r="C90" s="265" t="n">
        <v>0</v>
      </c>
      <c r="D90" s="265" t="n">
        <v>0</v>
      </c>
      <c r="E90" s="265" t="n">
        <v>0</v>
      </c>
      <c r="F90" s="266" t="n">
        <v>0</v>
      </c>
      <c r="G90" s="266" t="n">
        <v>0</v>
      </c>
      <c r="H90" s="266" t="n">
        <v>0</v>
      </c>
      <c r="I90" s="266" t="n">
        <v>0</v>
      </c>
      <c r="J90" s="267" t="n">
        <v>0</v>
      </c>
      <c r="K90" s="267" t="n">
        <v>0</v>
      </c>
      <c r="L90" s="267" t="n">
        <v>0</v>
      </c>
      <c r="M90" s="267" t="n">
        <v>0</v>
      </c>
      <c r="N90" s="268" t="n">
        <v>0</v>
      </c>
      <c r="O90" s="268" t="n">
        <v>0</v>
      </c>
      <c r="P90" s="268" t="n">
        <v>0</v>
      </c>
      <c r="Q90" s="268" t="n">
        <v>0</v>
      </c>
      <c r="R90" s="268" t="n">
        <v>0</v>
      </c>
      <c r="S90" s="268" t="n">
        <v>0</v>
      </c>
      <c r="T90" s="268" t="n">
        <v>0</v>
      </c>
      <c r="U90" s="268" t="n">
        <v>0</v>
      </c>
      <c r="V90" s="268" t="n">
        <v>0</v>
      </c>
      <c r="W90" s="269" t="n">
        <v>0</v>
      </c>
      <c r="X90" s="269" t="n">
        <v>0</v>
      </c>
      <c r="Y90" s="269" t="n">
        <v>0</v>
      </c>
      <c r="Z90" s="269" t="n">
        <v>0</v>
      </c>
      <c r="AA90" s="270" t="n">
        <v>0</v>
      </c>
      <c r="AB90" s="270" t="n">
        <v>0</v>
      </c>
      <c r="AC90" s="270" t="n">
        <v>0</v>
      </c>
      <c r="AD90" s="270" t="n">
        <v>0</v>
      </c>
      <c r="AE90" s="268" t="n">
        <v>0</v>
      </c>
      <c r="AF90" s="268" t="n">
        <v>0</v>
      </c>
      <c r="AG90" s="268" t="n">
        <v>0</v>
      </c>
      <c r="AH90" s="268" t="n">
        <v>0</v>
      </c>
      <c r="AI90" s="268" t="n">
        <v>0</v>
      </c>
      <c r="AJ90" s="268" t="n">
        <v>0</v>
      </c>
      <c r="AK90" s="269" t="n">
        <v>0</v>
      </c>
      <c r="AL90" s="269" t="n">
        <v>0</v>
      </c>
      <c r="AM90" s="269" t="n">
        <v>0</v>
      </c>
      <c r="AN90" s="269" t="n">
        <v>0</v>
      </c>
      <c r="AO90" s="270" t="n">
        <v>0</v>
      </c>
      <c r="AP90" s="270" t="n">
        <v>0</v>
      </c>
      <c r="AQ90" s="270" t="n">
        <v>0</v>
      </c>
      <c r="AR90" s="270" t="n">
        <v>0</v>
      </c>
      <c r="AS90" s="174" t="n">
        <v>0</v>
      </c>
      <c r="AT90" s="271" t="n">
        <v>0</v>
      </c>
      <c r="AU90" s="175" t="n">
        <v>0</v>
      </c>
      <c r="AV90" s="175" t="n">
        <v>0</v>
      </c>
      <c r="AW90" s="483" t="n">
        <v>0</v>
      </c>
      <c r="AX90" s="174" t="n">
        <v>0</v>
      </c>
      <c r="AY90" s="174" t="n">
        <v>0</v>
      </c>
      <c r="AZ90" s="483" t="n">
        <v>0</v>
      </c>
      <c r="BA90" s="483" t="n">
        <v>0</v>
      </c>
      <c r="BB90" s="174" t="n">
        <v>0</v>
      </c>
      <c r="BC90" s="174" t="n">
        <v>0</v>
      </c>
      <c r="BD90" s="483" t="n">
        <v>0</v>
      </c>
      <c r="BE90" s="483" t="n">
        <v>0</v>
      </c>
      <c r="BF90" s="483" t="n">
        <v>0</v>
      </c>
      <c r="BG90" s="483" t="n">
        <v>0</v>
      </c>
      <c r="BH90" s="483" t="n">
        <v>0</v>
      </c>
      <c r="BI90" s="483" t="n">
        <v>0</v>
      </c>
      <c r="BJ90" s="483" t="n">
        <v>0</v>
      </c>
      <c r="BK90" s="483" t="n">
        <v>0</v>
      </c>
      <c r="BL90" s="483" t="n">
        <v>0</v>
      </c>
      <c r="BM90" s="483" t="n">
        <v>0</v>
      </c>
      <c r="BN90" s="483" t="n">
        <v>0</v>
      </c>
      <c r="BO90" s="483" t="n">
        <v>0</v>
      </c>
      <c r="BP90" s="483" t="n">
        <v>0</v>
      </c>
      <c r="BQ90" s="483" t="n">
        <v>0</v>
      </c>
      <c r="BR90" s="483" t="n">
        <v>0</v>
      </c>
      <c r="BS90" s="483" t="n">
        <v>0</v>
      </c>
      <c r="BT90" s="483" t="n">
        <v>0</v>
      </c>
      <c r="BU90" s="483" t="n">
        <v>0</v>
      </c>
      <c r="BV90" s="483" t="n">
        <v>0</v>
      </c>
      <c r="BW90" s="483" t="n">
        <v>0</v>
      </c>
      <c r="BX90" s="483" t="n">
        <v>0</v>
      </c>
      <c r="BY90" s="483" t="n">
        <v>0</v>
      </c>
      <c r="BZ90" s="659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</row>
    <row r="91" hidden="1" s="191">
      <c r="A91" s="265" t="n">
        <v>0</v>
      </c>
      <c r="B91" s="265" t="n">
        <v>0</v>
      </c>
      <c r="C91" s="265" t="n">
        <v>0</v>
      </c>
      <c r="D91" s="265" t="n">
        <v>0</v>
      </c>
      <c r="E91" s="265" t="n">
        <v>0</v>
      </c>
      <c r="F91" s="266" t="n">
        <v>0</v>
      </c>
      <c r="G91" s="266" t="n">
        <v>0</v>
      </c>
      <c r="H91" s="266" t="n">
        <v>0</v>
      </c>
      <c r="I91" s="266" t="n">
        <v>0</v>
      </c>
      <c r="J91" s="267" t="n">
        <v>0</v>
      </c>
      <c r="K91" s="267" t="n">
        <v>0</v>
      </c>
      <c r="L91" s="267" t="n">
        <v>0</v>
      </c>
      <c r="M91" s="267" t="n">
        <v>0</v>
      </c>
      <c r="N91" s="268" t="n">
        <v>0</v>
      </c>
      <c r="O91" s="268" t="n">
        <v>0</v>
      </c>
      <c r="P91" s="268" t="n">
        <v>0</v>
      </c>
      <c r="Q91" s="268" t="n">
        <v>0</v>
      </c>
      <c r="R91" s="268" t="n">
        <v>0</v>
      </c>
      <c r="S91" s="268" t="n">
        <v>0</v>
      </c>
      <c r="T91" s="268" t="n">
        <v>0</v>
      </c>
      <c r="U91" s="268" t="n">
        <v>0</v>
      </c>
      <c r="V91" s="268" t="n">
        <v>0</v>
      </c>
      <c r="W91" s="269" t="n">
        <v>0</v>
      </c>
      <c r="X91" s="269" t="n">
        <v>0</v>
      </c>
      <c r="Y91" s="269" t="n">
        <v>0</v>
      </c>
      <c r="Z91" s="269" t="n">
        <v>0</v>
      </c>
      <c r="AA91" s="270" t="n">
        <v>0</v>
      </c>
      <c r="AB91" s="270" t="n">
        <v>0</v>
      </c>
      <c r="AC91" s="270" t="n">
        <v>0</v>
      </c>
      <c r="AD91" s="270" t="n">
        <v>0</v>
      </c>
      <c r="AE91" s="268" t="n">
        <v>0</v>
      </c>
      <c r="AF91" s="268" t="n">
        <v>0</v>
      </c>
      <c r="AG91" s="268" t="n">
        <v>0</v>
      </c>
      <c r="AH91" s="268" t="n">
        <v>0</v>
      </c>
      <c r="AI91" s="268" t="n">
        <v>0</v>
      </c>
      <c r="AJ91" s="268" t="n">
        <v>0</v>
      </c>
      <c r="AK91" s="269" t="n">
        <v>0</v>
      </c>
      <c r="AL91" s="269" t="n">
        <v>0</v>
      </c>
      <c r="AM91" s="269" t="n">
        <v>0</v>
      </c>
      <c r="AN91" s="269" t="n">
        <v>0</v>
      </c>
      <c r="AO91" s="270" t="n">
        <v>0</v>
      </c>
      <c r="AP91" s="270" t="n">
        <v>0</v>
      </c>
      <c r="AQ91" s="270" t="n">
        <v>0</v>
      </c>
      <c r="AR91" s="270" t="n">
        <v>0</v>
      </c>
      <c r="AS91" s="174" t="n">
        <v>0</v>
      </c>
      <c r="AT91" s="271" t="n">
        <v>0</v>
      </c>
      <c r="AU91" s="175" t="n">
        <v>0</v>
      </c>
      <c r="AV91" s="175" t="n">
        <v>0</v>
      </c>
      <c r="AW91" s="483" t="n">
        <v>0</v>
      </c>
      <c r="AX91" s="174" t="n">
        <v>0</v>
      </c>
      <c r="AY91" s="174" t="n">
        <v>0</v>
      </c>
      <c r="AZ91" s="483" t="n">
        <v>0</v>
      </c>
      <c r="BA91" s="483" t="n">
        <v>0</v>
      </c>
      <c r="BB91" s="174" t="n">
        <v>0</v>
      </c>
      <c r="BC91" s="174" t="n">
        <v>0</v>
      </c>
      <c r="BD91" s="483" t="n">
        <v>0</v>
      </c>
      <c r="BE91" s="483" t="n">
        <v>0</v>
      </c>
      <c r="BF91" s="483" t="n">
        <v>0</v>
      </c>
      <c r="BG91" s="483" t="n">
        <v>0</v>
      </c>
      <c r="BH91" s="483" t="n">
        <v>0</v>
      </c>
      <c r="BI91" s="483" t="n">
        <v>0</v>
      </c>
      <c r="BJ91" s="483" t="n">
        <v>0</v>
      </c>
      <c r="BK91" s="483" t="n">
        <v>0</v>
      </c>
      <c r="BL91" s="483" t="n">
        <v>0</v>
      </c>
      <c r="BM91" s="483" t="n">
        <v>0</v>
      </c>
      <c r="BN91" s="483" t="n">
        <v>0</v>
      </c>
      <c r="BO91" s="483" t="n">
        <v>0</v>
      </c>
      <c r="BP91" s="483" t="n">
        <v>0</v>
      </c>
      <c r="BQ91" s="483" t="n">
        <v>0</v>
      </c>
      <c r="BR91" s="483" t="n">
        <v>0</v>
      </c>
      <c r="BS91" s="483" t="n">
        <v>0</v>
      </c>
      <c r="BT91" s="483" t="n">
        <v>0</v>
      </c>
      <c r="BU91" s="483" t="n">
        <v>0</v>
      </c>
      <c r="BV91" s="483" t="n">
        <v>0</v>
      </c>
      <c r="BW91" s="483" t="n">
        <v>0</v>
      </c>
      <c r="BX91" s="483" t="n">
        <v>0</v>
      </c>
      <c r="BY91" s="483" t="n">
        <v>0</v>
      </c>
      <c r="BZ91" s="659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</row>
    <row r="92" hidden="1" s="191">
      <c r="A92" s="265" t="n">
        <v>0</v>
      </c>
      <c r="B92" s="265" t="n">
        <v>0</v>
      </c>
      <c r="C92" s="265" t="n">
        <v>0</v>
      </c>
      <c r="D92" s="265" t="n">
        <v>0</v>
      </c>
      <c r="E92" s="265" t="n">
        <v>0</v>
      </c>
      <c r="F92" s="266" t="n">
        <v>0</v>
      </c>
      <c r="G92" s="266" t="n">
        <v>0</v>
      </c>
      <c r="H92" s="266" t="n">
        <v>0</v>
      </c>
      <c r="I92" s="266" t="n">
        <v>0</v>
      </c>
      <c r="J92" s="267" t="n">
        <v>0</v>
      </c>
      <c r="K92" s="267" t="n">
        <v>0</v>
      </c>
      <c r="L92" s="267" t="n">
        <v>0</v>
      </c>
      <c r="M92" s="267" t="n">
        <v>0</v>
      </c>
      <c r="N92" s="268" t="n">
        <v>0</v>
      </c>
      <c r="O92" s="268" t="n">
        <v>0</v>
      </c>
      <c r="P92" s="268" t="n">
        <v>0</v>
      </c>
      <c r="Q92" s="268" t="n">
        <v>0</v>
      </c>
      <c r="R92" s="268" t="n">
        <v>0</v>
      </c>
      <c r="S92" s="268" t="n">
        <v>0</v>
      </c>
      <c r="T92" s="268" t="n">
        <v>0</v>
      </c>
      <c r="U92" s="268" t="n">
        <v>0</v>
      </c>
      <c r="V92" s="268" t="n">
        <v>0</v>
      </c>
      <c r="W92" s="269" t="n">
        <v>0</v>
      </c>
      <c r="X92" s="269" t="n">
        <v>0</v>
      </c>
      <c r="Y92" s="269" t="n">
        <v>0</v>
      </c>
      <c r="Z92" s="269" t="n">
        <v>0</v>
      </c>
      <c r="AA92" s="270" t="n">
        <v>0</v>
      </c>
      <c r="AB92" s="270" t="n">
        <v>0</v>
      </c>
      <c r="AC92" s="270" t="n">
        <v>0</v>
      </c>
      <c r="AD92" s="270" t="n">
        <v>0</v>
      </c>
      <c r="AE92" s="268" t="n">
        <v>0</v>
      </c>
      <c r="AF92" s="268" t="n">
        <v>0</v>
      </c>
      <c r="AG92" s="268" t="n">
        <v>0</v>
      </c>
      <c r="AH92" s="268" t="n">
        <v>0</v>
      </c>
      <c r="AI92" s="268" t="n">
        <v>0</v>
      </c>
      <c r="AJ92" s="268" t="n">
        <v>0</v>
      </c>
      <c r="AK92" s="269" t="n">
        <v>0</v>
      </c>
      <c r="AL92" s="269" t="n">
        <v>0</v>
      </c>
      <c r="AM92" s="269" t="n">
        <v>0</v>
      </c>
      <c r="AN92" s="269" t="n">
        <v>0</v>
      </c>
      <c r="AO92" s="270" t="n">
        <v>0</v>
      </c>
      <c r="AP92" s="270" t="n">
        <v>0</v>
      </c>
      <c r="AQ92" s="270" t="n">
        <v>0</v>
      </c>
      <c r="AR92" s="270" t="n">
        <v>0</v>
      </c>
      <c r="AS92" s="174" t="n">
        <v>0</v>
      </c>
      <c r="AT92" s="271" t="n">
        <v>0</v>
      </c>
      <c r="AU92" s="175" t="n">
        <v>0</v>
      </c>
      <c r="AV92" s="175" t="n">
        <v>0</v>
      </c>
      <c r="AW92" s="483" t="n">
        <v>0</v>
      </c>
      <c r="AX92" s="174" t="n">
        <v>0</v>
      </c>
      <c r="AY92" s="174" t="n">
        <v>0</v>
      </c>
      <c r="AZ92" s="483" t="n">
        <v>0</v>
      </c>
      <c r="BA92" s="483" t="n">
        <v>0</v>
      </c>
      <c r="BB92" s="174" t="n">
        <v>0</v>
      </c>
      <c r="BC92" s="174" t="n">
        <v>0</v>
      </c>
      <c r="BD92" s="483" t="n">
        <v>0</v>
      </c>
      <c r="BE92" s="483" t="n">
        <v>0</v>
      </c>
      <c r="BF92" s="483" t="n">
        <v>0</v>
      </c>
      <c r="BG92" s="483" t="n">
        <v>0</v>
      </c>
      <c r="BH92" s="483" t="n">
        <v>0</v>
      </c>
      <c r="BI92" s="483" t="n">
        <v>0</v>
      </c>
      <c r="BJ92" s="483" t="n">
        <v>0</v>
      </c>
      <c r="BK92" s="483" t="n">
        <v>0</v>
      </c>
      <c r="BL92" s="483" t="n">
        <v>0</v>
      </c>
      <c r="BM92" s="483" t="n">
        <v>0</v>
      </c>
      <c r="BN92" s="483" t="n">
        <v>0</v>
      </c>
      <c r="BO92" s="483" t="n">
        <v>0</v>
      </c>
      <c r="BP92" s="483" t="n">
        <v>0</v>
      </c>
      <c r="BQ92" s="483" t="n">
        <v>0</v>
      </c>
      <c r="BR92" s="483" t="n">
        <v>0</v>
      </c>
      <c r="BS92" s="483" t="n">
        <v>0</v>
      </c>
      <c r="BT92" s="483" t="n">
        <v>0</v>
      </c>
      <c r="BU92" s="483" t="n">
        <v>0</v>
      </c>
      <c r="BV92" s="483" t="n">
        <v>0</v>
      </c>
      <c r="BW92" s="483" t="n">
        <v>0</v>
      </c>
      <c r="BX92" s="483" t="n">
        <v>0</v>
      </c>
      <c r="BY92" s="483" t="n">
        <v>0</v>
      </c>
      <c r="BZ92" s="659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</row>
    <row r="93" hidden="1" s="191">
      <c r="A93" s="265" t="n">
        <v>0</v>
      </c>
      <c r="B93" s="265" t="n">
        <v>0</v>
      </c>
      <c r="C93" s="265" t="n">
        <v>0</v>
      </c>
      <c r="D93" s="265" t="n">
        <v>0</v>
      </c>
      <c r="E93" s="265" t="n">
        <v>0</v>
      </c>
      <c r="F93" s="266" t="n">
        <v>0</v>
      </c>
      <c r="G93" s="266" t="n">
        <v>0</v>
      </c>
      <c r="H93" s="266" t="n">
        <v>0</v>
      </c>
      <c r="I93" s="266" t="n">
        <v>0</v>
      </c>
      <c r="J93" s="267" t="n">
        <v>0</v>
      </c>
      <c r="K93" s="267" t="n">
        <v>0</v>
      </c>
      <c r="L93" s="267" t="n">
        <v>0</v>
      </c>
      <c r="M93" s="267" t="n">
        <v>0</v>
      </c>
      <c r="N93" s="268" t="n">
        <v>0</v>
      </c>
      <c r="O93" s="268" t="n">
        <v>0</v>
      </c>
      <c r="P93" s="268" t="n">
        <v>0</v>
      </c>
      <c r="Q93" s="268" t="n">
        <v>0</v>
      </c>
      <c r="R93" s="268" t="n">
        <v>0</v>
      </c>
      <c r="S93" s="268" t="n">
        <v>0</v>
      </c>
      <c r="T93" s="268" t="n">
        <v>0</v>
      </c>
      <c r="U93" s="268" t="n">
        <v>0</v>
      </c>
      <c r="V93" s="268" t="n">
        <v>0</v>
      </c>
      <c r="W93" s="269" t="n">
        <v>0</v>
      </c>
      <c r="X93" s="269" t="n">
        <v>0</v>
      </c>
      <c r="Y93" s="269" t="n">
        <v>0</v>
      </c>
      <c r="Z93" s="269" t="n">
        <v>0</v>
      </c>
      <c r="AA93" s="270" t="n">
        <v>0</v>
      </c>
      <c r="AB93" s="270" t="n">
        <v>0</v>
      </c>
      <c r="AC93" s="270" t="n">
        <v>0</v>
      </c>
      <c r="AD93" s="270" t="n">
        <v>0</v>
      </c>
      <c r="AE93" s="268" t="n">
        <v>0</v>
      </c>
      <c r="AF93" s="268" t="n">
        <v>0</v>
      </c>
      <c r="AG93" s="268" t="n">
        <v>0</v>
      </c>
      <c r="AH93" s="268" t="n">
        <v>0</v>
      </c>
      <c r="AI93" s="268" t="n">
        <v>0</v>
      </c>
      <c r="AJ93" s="268" t="n">
        <v>0</v>
      </c>
      <c r="AK93" s="269" t="n">
        <v>0</v>
      </c>
      <c r="AL93" s="269" t="n">
        <v>0</v>
      </c>
      <c r="AM93" s="269" t="n">
        <v>0</v>
      </c>
      <c r="AN93" s="269" t="n">
        <v>0</v>
      </c>
      <c r="AO93" s="270" t="n">
        <v>0</v>
      </c>
      <c r="AP93" s="270" t="n">
        <v>0</v>
      </c>
      <c r="AQ93" s="270" t="n">
        <v>0</v>
      </c>
      <c r="AR93" s="270" t="n">
        <v>0</v>
      </c>
      <c r="AS93" s="174" t="n">
        <v>0</v>
      </c>
      <c r="AT93" s="271" t="n">
        <v>0</v>
      </c>
      <c r="AU93" s="175" t="n">
        <v>0</v>
      </c>
      <c r="AV93" s="175" t="n">
        <v>0</v>
      </c>
      <c r="AW93" s="483" t="n">
        <v>0</v>
      </c>
      <c r="AX93" s="174" t="n">
        <v>0</v>
      </c>
      <c r="AY93" s="174" t="n">
        <v>0</v>
      </c>
      <c r="AZ93" s="483" t="n">
        <v>0</v>
      </c>
      <c r="BA93" s="483" t="n">
        <v>0</v>
      </c>
      <c r="BB93" s="174" t="n">
        <v>0</v>
      </c>
      <c r="BC93" s="174" t="n">
        <v>0</v>
      </c>
      <c r="BD93" s="483" t="n">
        <v>0</v>
      </c>
      <c r="BE93" s="483" t="n">
        <v>0</v>
      </c>
      <c r="BF93" s="483" t="n">
        <v>0</v>
      </c>
      <c r="BG93" s="483" t="n">
        <v>0</v>
      </c>
      <c r="BH93" s="483" t="n">
        <v>0</v>
      </c>
      <c r="BI93" s="483" t="n">
        <v>0</v>
      </c>
      <c r="BJ93" s="483" t="n">
        <v>0</v>
      </c>
      <c r="BK93" s="483" t="n">
        <v>0</v>
      </c>
      <c r="BL93" s="483" t="n">
        <v>0</v>
      </c>
      <c r="BM93" s="483" t="n">
        <v>0</v>
      </c>
      <c r="BN93" s="483" t="n">
        <v>0</v>
      </c>
      <c r="BO93" s="483" t="n">
        <v>0</v>
      </c>
      <c r="BP93" s="483" t="n">
        <v>0</v>
      </c>
      <c r="BQ93" s="483" t="n">
        <v>0</v>
      </c>
      <c r="BR93" s="483" t="n">
        <v>0</v>
      </c>
      <c r="BS93" s="483" t="n">
        <v>0</v>
      </c>
      <c r="BT93" s="483" t="n">
        <v>0</v>
      </c>
      <c r="BU93" s="483" t="n">
        <v>0</v>
      </c>
      <c r="BV93" s="483" t="n">
        <v>0</v>
      </c>
      <c r="BW93" s="483" t="n">
        <v>0</v>
      </c>
      <c r="BX93" s="483" t="n">
        <v>0</v>
      </c>
      <c r="BY93" s="483" t="n">
        <v>0</v>
      </c>
      <c r="BZ93" s="659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</row>
    <row r="94" hidden="1" s="191">
      <c r="A94" s="265" t="n">
        <v>0</v>
      </c>
      <c r="B94" s="265" t="n">
        <v>0</v>
      </c>
      <c r="C94" s="265" t="n">
        <v>0</v>
      </c>
      <c r="D94" s="265" t="n">
        <v>0</v>
      </c>
      <c r="E94" s="265" t="n">
        <v>0</v>
      </c>
      <c r="F94" s="266" t="n">
        <v>0</v>
      </c>
      <c r="G94" s="266" t="n">
        <v>0</v>
      </c>
      <c r="H94" s="266" t="n">
        <v>0</v>
      </c>
      <c r="I94" s="266" t="n">
        <v>0</v>
      </c>
      <c r="J94" s="267" t="n">
        <v>0</v>
      </c>
      <c r="K94" s="267" t="n">
        <v>0</v>
      </c>
      <c r="L94" s="267" t="n">
        <v>0</v>
      </c>
      <c r="M94" s="267" t="n">
        <v>0</v>
      </c>
      <c r="N94" s="268" t="n">
        <v>0</v>
      </c>
      <c r="O94" s="268" t="n">
        <v>0</v>
      </c>
      <c r="P94" s="268" t="n">
        <v>0</v>
      </c>
      <c r="Q94" s="268" t="n">
        <v>0</v>
      </c>
      <c r="R94" s="268" t="n">
        <v>0</v>
      </c>
      <c r="S94" s="268" t="n">
        <v>0</v>
      </c>
      <c r="T94" s="268" t="n">
        <v>0</v>
      </c>
      <c r="U94" s="268" t="n">
        <v>0</v>
      </c>
      <c r="V94" s="268" t="n">
        <v>0</v>
      </c>
      <c r="W94" s="269" t="n">
        <v>0</v>
      </c>
      <c r="X94" s="269" t="n">
        <v>0</v>
      </c>
      <c r="Y94" s="269" t="n">
        <v>0</v>
      </c>
      <c r="Z94" s="269" t="n">
        <v>0</v>
      </c>
      <c r="AA94" s="270" t="n">
        <v>0</v>
      </c>
      <c r="AB94" s="270" t="n">
        <v>0</v>
      </c>
      <c r="AC94" s="270" t="n">
        <v>0</v>
      </c>
      <c r="AD94" s="270" t="n">
        <v>0</v>
      </c>
      <c r="AE94" s="268" t="n">
        <v>0</v>
      </c>
      <c r="AF94" s="268" t="n">
        <v>0</v>
      </c>
      <c r="AG94" s="268" t="n">
        <v>0</v>
      </c>
      <c r="AH94" s="268" t="n">
        <v>0</v>
      </c>
      <c r="AI94" s="268" t="n">
        <v>0</v>
      </c>
      <c r="AJ94" s="268" t="n">
        <v>0</v>
      </c>
      <c r="AK94" s="269" t="n">
        <v>0</v>
      </c>
      <c r="AL94" s="269" t="n">
        <v>0</v>
      </c>
      <c r="AM94" s="269" t="n">
        <v>0</v>
      </c>
      <c r="AN94" s="269" t="n">
        <v>0</v>
      </c>
      <c r="AO94" s="270" t="n">
        <v>0</v>
      </c>
      <c r="AP94" s="270" t="n">
        <v>0</v>
      </c>
      <c r="AQ94" s="270" t="n">
        <v>0</v>
      </c>
      <c r="AR94" s="270" t="n">
        <v>0</v>
      </c>
      <c r="AS94" s="174" t="n">
        <v>0</v>
      </c>
      <c r="AT94" s="271" t="n">
        <v>0</v>
      </c>
      <c r="AU94" s="175" t="n">
        <v>0</v>
      </c>
      <c r="AV94" s="175" t="n">
        <v>0</v>
      </c>
      <c r="AW94" s="483" t="n">
        <v>0</v>
      </c>
      <c r="AX94" s="174" t="n">
        <v>0</v>
      </c>
      <c r="AY94" s="174" t="n">
        <v>0</v>
      </c>
      <c r="AZ94" s="483" t="n">
        <v>0</v>
      </c>
      <c r="BA94" s="483" t="n">
        <v>0</v>
      </c>
      <c r="BB94" s="174" t="n">
        <v>0</v>
      </c>
      <c r="BC94" s="174" t="n">
        <v>0</v>
      </c>
      <c r="BD94" s="483" t="n">
        <v>0</v>
      </c>
      <c r="BE94" s="483" t="n">
        <v>0</v>
      </c>
      <c r="BF94" s="483" t="n">
        <v>0</v>
      </c>
      <c r="BG94" s="483" t="n">
        <v>0</v>
      </c>
      <c r="BH94" s="483" t="n">
        <v>0</v>
      </c>
      <c r="BI94" s="483" t="n">
        <v>0</v>
      </c>
      <c r="BJ94" s="483" t="n">
        <v>0</v>
      </c>
      <c r="BK94" s="483" t="n">
        <v>0</v>
      </c>
      <c r="BL94" s="483" t="n">
        <v>0</v>
      </c>
      <c r="BM94" s="483" t="n">
        <v>0</v>
      </c>
      <c r="BN94" s="483" t="n">
        <v>0</v>
      </c>
      <c r="BO94" s="483" t="n">
        <v>0</v>
      </c>
      <c r="BP94" s="483" t="n">
        <v>0</v>
      </c>
      <c r="BQ94" s="483" t="n">
        <v>0</v>
      </c>
      <c r="BR94" s="483" t="n">
        <v>0</v>
      </c>
      <c r="BS94" s="483" t="n">
        <v>0</v>
      </c>
      <c r="BT94" s="483" t="n">
        <v>0</v>
      </c>
      <c r="BU94" s="483" t="n">
        <v>0</v>
      </c>
      <c r="BV94" s="483" t="n">
        <v>0</v>
      </c>
      <c r="BW94" s="483" t="n">
        <v>0</v>
      </c>
      <c r="BX94" s="483" t="n">
        <v>0</v>
      </c>
      <c r="BY94" s="483" t="n">
        <v>0</v>
      </c>
      <c r="BZ94" s="659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</row>
    <row r="95" hidden="1" s="191">
      <c r="A95" s="265" t="n">
        <v>0</v>
      </c>
      <c r="B95" s="265" t="n">
        <v>0</v>
      </c>
      <c r="C95" s="265" t="n">
        <v>0</v>
      </c>
      <c r="D95" s="265" t="n">
        <v>0</v>
      </c>
      <c r="E95" s="265" t="n">
        <v>0</v>
      </c>
      <c r="F95" s="266" t="n">
        <v>0</v>
      </c>
      <c r="G95" s="266" t="n">
        <v>0</v>
      </c>
      <c r="H95" s="266" t="n">
        <v>0</v>
      </c>
      <c r="I95" s="266" t="n">
        <v>0</v>
      </c>
      <c r="J95" s="267" t="n">
        <v>0</v>
      </c>
      <c r="K95" s="267" t="n">
        <v>0</v>
      </c>
      <c r="L95" s="267" t="n">
        <v>0</v>
      </c>
      <c r="M95" s="267" t="n">
        <v>0</v>
      </c>
      <c r="N95" s="268" t="n">
        <v>0</v>
      </c>
      <c r="O95" s="268" t="n">
        <v>0</v>
      </c>
      <c r="P95" s="268" t="n">
        <v>0</v>
      </c>
      <c r="Q95" s="268" t="n">
        <v>0</v>
      </c>
      <c r="R95" s="268" t="n">
        <v>0</v>
      </c>
      <c r="S95" s="268" t="n">
        <v>0</v>
      </c>
      <c r="T95" s="268" t="n">
        <v>0</v>
      </c>
      <c r="U95" s="268" t="n">
        <v>0</v>
      </c>
      <c r="V95" s="268" t="n">
        <v>0</v>
      </c>
      <c r="W95" s="269" t="n">
        <v>0</v>
      </c>
      <c r="X95" s="269" t="n">
        <v>0</v>
      </c>
      <c r="Y95" s="269" t="n">
        <v>0</v>
      </c>
      <c r="Z95" s="269" t="n">
        <v>0</v>
      </c>
      <c r="AA95" s="270" t="n">
        <v>0</v>
      </c>
      <c r="AB95" s="270" t="n">
        <v>0</v>
      </c>
      <c r="AC95" s="270" t="n">
        <v>0</v>
      </c>
      <c r="AD95" s="270" t="n">
        <v>0</v>
      </c>
      <c r="AE95" s="268" t="n">
        <v>0</v>
      </c>
      <c r="AF95" s="268" t="n">
        <v>0</v>
      </c>
      <c r="AG95" s="268" t="n">
        <v>0</v>
      </c>
      <c r="AH95" s="268" t="n">
        <v>0</v>
      </c>
      <c r="AI95" s="268" t="n">
        <v>0</v>
      </c>
      <c r="AJ95" s="268" t="n">
        <v>0</v>
      </c>
      <c r="AK95" s="269" t="n">
        <v>0</v>
      </c>
      <c r="AL95" s="269" t="n">
        <v>0</v>
      </c>
      <c r="AM95" s="269" t="n">
        <v>0</v>
      </c>
      <c r="AN95" s="269" t="n">
        <v>0</v>
      </c>
      <c r="AO95" s="270" t="n">
        <v>0</v>
      </c>
      <c r="AP95" s="270" t="n">
        <v>0</v>
      </c>
      <c r="AQ95" s="270" t="n">
        <v>0</v>
      </c>
      <c r="AR95" s="270" t="n">
        <v>0</v>
      </c>
      <c r="AS95" s="174" t="n">
        <v>0</v>
      </c>
      <c r="AT95" s="271" t="n">
        <v>0</v>
      </c>
      <c r="AU95" s="175" t="n">
        <v>0</v>
      </c>
      <c r="AV95" s="175" t="n">
        <v>0</v>
      </c>
      <c r="AW95" s="483" t="n">
        <v>0</v>
      </c>
      <c r="AX95" s="174" t="n">
        <v>0</v>
      </c>
      <c r="AY95" s="174" t="n">
        <v>0</v>
      </c>
      <c r="AZ95" s="483" t="n">
        <v>0</v>
      </c>
      <c r="BA95" s="483" t="n">
        <v>0</v>
      </c>
      <c r="BB95" s="174" t="n">
        <v>0</v>
      </c>
      <c r="BC95" s="174" t="n">
        <v>0</v>
      </c>
      <c r="BD95" s="483" t="n">
        <v>0</v>
      </c>
      <c r="BE95" s="483" t="n">
        <v>0</v>
      </c>
      <c r="BF95" s="483" t="n">
        <v>0</v>
      </c>
      <c r="BG95" s="483" t="n">
        <v>0</v>
      </c>
      <c r="BH95" s="483" t="n">
        <v>0</v>
      </c>
      <c r="BI95" s="483" t="n">
        <v>0</v>
      </c>
      <c r="BJ95" s="483" t="n">
        <v>0</v>
      </c>
      <c r="BK95" s="483" t="n">
        <v>0</v>
      </c>
      <c r="BL95" s="483" t="n">
        <v>0</v>
      </c>
      <c r="BM95" s="483" t="n">
        <v>0</v>
      </c>
      <c r="BN95" s="483" t="n">
        <v>0</v>
      </c>
      <c r="BO95" s="483" t="n">
        <v>0</v>
      </c>
      <c r="BP95" s="483" t="n">
        <v>0</v>
      </c>
      <c r="BQ95" s="483" t="n">
        <v>0</v>
      </c>
      <c r="BR95" s="483" t="n">
        <v>0</v>
      </c>
      <c r="BS95" s="483" t="n">
        <v>0</v>
      </c>
      <c r="BT95" s="483" t="n">
        <v>0</v>
      </c>
      <c r="BU95" s="483" t="n">
        <v>0</v>
      </c>
      <c r="BV95" s="483" t="n">
        <v>0</v>
      </c>
      <c r="BW95" s="483" t="n">
        <v>0</v>
      </c>
      <c r="BX95" s="483" t="n">
        <v>0</v>
      </c>
      <c r="BY95" s="483" t="n">
        <v>0</v>
      </c>
      <c r="BZ95" s="659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</row>
    <row r="96" hidden="1" s="191">
      <c r="A96" s="265" t="n">
        <v>0</v>
      </c>
      <c r="B96" s="265" t="n">
        <v>0</v>
      </c>
      <c r="C96" s="265" t="n">
        <v>0</v>
      </c>
      <c r="D96" s="265" t="n">
        <v>0</v>
      </c>
      <c r="E96" s="265" t="n">
        <v>0</v>
      </c>
      <c r="F96" s="266" t="n">
        <v>0</v>
      </c>
      <c r="G96" s="266" t="n">
        <v>0</v>
      </c>
      <c r="H96" s="266" t="n">
        <v>0</v>
      </c>
      <c r="I96" s="266" t="n">
        <v>0</v>
      </c>
      <c r="J96" s="267" t="n">
        <v>0</v>
      </c>
      <c r="K96" s="267" t="n">
        <v>0</v>
      </c>
      <c r="L96" s="267" t="n">
        <v>0</v>
      </c>
      <c r="M96" s="267" t="n">
        <v>0</v>
      </c>
      <c r="N96" s="268" t="n">
        <v>0</v>
      </c>
      <c r="O96" s="268" t="n">
        <v>0</v>
      </c>
      <c r="P96" s="268" t="n">
        <v>0</v>
      </c>
      <c r="Q96" s="268" t="n">
        <v>0</v>
      </c>
      <c r="R96" s="268" t="n">
        <v>0</v>
      </c>
      <c r="S96" s="268" t="n">
        <v>0</v>
      </c>
      <c r="T96" s="268" t="n">
        <v>0</v>
      </c>
      <c r="U96" s="268" t="n">
        <v>0</v>
      </c>
      <c r="V96" s="268" t="n">
        <v>0</v>
      </c>
      <c r="W96" s="269" t="n">
        <v>0</v>
      </c>
      <c r="X96" s="269" t="n">
        <v>0</v>
      </c>
      <c r="Y96" s="269" t="n">
        <v>0</v>
      </c>
      <c r="Z96" s="269" t="n">
        <v>0</v>
      </c>
      <c r="AA96" s="270" t="n">
        <v>0</v>
      </c>
      <c r="AB96" s="270" t="n">
        <v>0</v>
      </c>
      <c r="AC96" s="270" t="n">
        <v>0</v>
      </c>
      <c r="AD96" s="270" t="n">
        <v>0</v>
      </c>
      <c r="AE96" s="268" t="n">
        <v>0</v>
      </c>
      <c r="AF96" s="268" t="n">
        <v>0</v>
      </c>
      <c r="AG96" s="268" t="n">
        <v>0</v>
      </c>
      <c r="AH96" s="268" t="n">
        <v>0</v>
      </c>
      <c r="AI96" s="268" t="n">
        <v>0</v>
      </c>
      <c r="AJ96" s="268" t="n">
        <v>0</v>
      </c>
      <c r="AK96" s="269" t="n">
        <v>0</v>
      </c>
      <c r="AL96" s="269" t="n">
        <v>0</v>
      </c>
      <c r="AM96" s="269" t="n">
        <v>0</v>
      </c>
      <c r="AN96" s="269" t="n">
        <v>0</v>
      </c>
      <c r="AO96" s="270" t="n">
        <v>0</v>
      </c>
      <c r="AP96" s="270" t="n">
        <v>0</v>
      </c>
      <c r="AQ96" s="270" t="n">
        <v>0</v>
      </c>
      <c r="AR96" s="270" t="n">
        <v>0</v>
      </c>
      <c r="AS96" s="174" t="n">
        <v>0</v>
      </c>
      <c r="AT96" s="271" t="n">
        <v>0</v>
      </c>
      <c r="AU96" s="175" t="n">
        <v>0</v>
      </c>
      <c r="AV96" s="175" t="n">
        <v>0</v>
      </c>
      <c r="AW96" s="483" t="n">
        <v>0</v>
      </c>
      <c r="AX96" s="174" t="n">
        <v>0</v>
      </c>
      <c r="AY96" s="174" t="n">
        <v>0</v>
      </c>
      <c r="AZ96" s="483" t="n">
        <v>0</v>
      </c>
      <c r="BA96" s="483" t="n">
        <v>0</v>
      </c>
      <c r="BB96" s="174" t="n">
        <v>0</v>
      </c>
      <c r="BC96" s="174" t="n">
        <v>0</v>
      </c>
      <c r="BD96" s="483" t="n">
        <v>0</v>
      </c>
      <c r="BE96" s="483" t="n">
        <v>0</v>
      </c>
      <c r="BF96" s="483" t="n">
        <v>0</v>
      </c>
      <c r="BG96" s="483" t="n">
        <v>0</v>
      </c>
      <c r="BH96" s="483" t="n">
        <v>0</v>
      </c>
      <c r="BI96" s="483" t="n">
        <v>0</v>
      </c>
      <c r="BJ96" s="483" t="n">
        <v>0</v>
      </c>
      <c r="BK96" s="483" t="n">
        <v>0</v>
      </c>
      <c r="BL96" s="483" t="n">
        <v>0</v>
      </c>
      <c r="BM96" s="483" t="n">
        <v>0</v>
      </c>
      <c r="BN96" s="483" t="n">
        <v>0</v>
      </c>
      <c r="BO96" s="483" t="n">
        <v>0</v>
      </c>
      <c r="BP96" s="483" t="n">
        <v>0</v>
      </c>
      <c r="BQ96" s="483" t="n">
        <v>0</v>
      </c>
      <c r="BR96" s="483" t="n">
        <v>0</v>
      </c>
      <c r="BS96" s="483" t="n">
        <v>0</v>
      </c>
      <c r="BT96" s="483" t="n">
        <v>0</v>
      </c>
      <c r="BU96" s="483" t="n">
        <v>0</v>
      </c>
      <c r="BV96" s="483" t="n">
        <v>0</v>
      </c>
      <c r="BW96" s="483" t="n">
        <v>0</v>
      </c>
      <c r="BX96" s="483" t="n">
        <v>0</v>
      </c>
      <c r="BY96" s="483" t="n">
        <v>0</v>
      </c>
      <c r="BZ96" s="659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</row>
    <row r="97" hidden="1" s="191">
      <c r="A97" s="265" t="n">
        <v>0</v>
      </c>
      <c r="B97" s="265" t="n">
        <v>0</v>
      </c>
      <c r="C97" s="265" t="n">
        <v>0</v>
      </c>
      <c r="D97" s="265" t="n">
        <v>0</v>
      </c>
      <c r="E97" s="265" t="n">
        <v>0</v>
      </c>
      <c r="F97" s="266" t="n">
        <v>0</v>
      </c>
      <c r="G97" s="266" t="n">
        <v>0</v>
      </c>
      <c r="H97" s="266" t="n">
        <v>0</v>
      </c>
      <c r="I97" s="266" t="n">
        <v>0</v>
      </c>
      <c r="J97" s="267" t="n">
        <v>0</v>
      </c>
      <c r="K97" s="267" t="n">
        <v>0</v>
      </c>
      <c r="L97" s="267" t="n">
        <v>0</v>
      </c>
      <c r="M97" s="267" t="n">
        <v>0</v>
      </c>
      <c r="N97" s="268" t="n">
        <v>0</v>
      </c>
      <c r="O97" s="268" t="n">
        <v>0</v>
      </c>
      <c r="P97" s="268" t="n">
        <v>0</v>
      </c>
      <c r="Q97" s="268" t="n">
        <v>0</v>
      </c>
      <c r="R97" s="268" t="n">
        <v>0</v>
      </c>
      <c r="S97" s="268" t="n">
        <v>0</v>
      </c>
      <c r="T97" s="268" t="n">
        <v>0</v>
      </c>
      <c r="U97" s="268" t="n">
        <v>0</v>
      </c>
      <c r="V97" s="268" t="n">
        <v>0</v>
      </c>
      <c r="W97" s="269" t="n">
        <v>0</v>
      </c>
      <c r="X97" s="269" t="n">
        <v>0</v>
      </c>
      <c r="Y97" s="269" t="n">
        <v>0</v>
      </c>
      <c r="Z97" s="269" t="n">
        <v>0</v>
      </c>
      <c r="AA97" s="270" t="n">
        <v>0</v>
      </c>
      <c r="AB97" s="270" t="n">
        <v>0</v>
      </c>
      <c r="AC97" s="270" t="n">
        <v>0</v>
      </c>
      <c r="AD97" s="270" t="n">
        <v>0</v>
      </c>
      <c r="AE97" s="268" t="n">
        <v>0</v>
      </c>
      <c r="AF97" s="268" t="n">
        <v>0</v>
      </c>
      <c r="AG97" s="268" t="n">
        <v>0</v>
      </c>
      <c r="AH97" s="268" t="n">
        <v>0</v>
      </c>
      <c r="AI97" s="268" t="n">
        <v>0</v>
      </c>
      <c r="AJ97" s="268" t="n">
        <v>0</v>
      </c>
      <c r="AK97" s="269" t="n">
        <v>0</v>
      </c>
      <c r="AL97" s="269" t="n">
        <v>0</v>
      </c>
      <c r="AM97" s="269" t="n">
        <v>0</v>
      </c>
      <c r="AN97" s="269" t="n">
        <v>0</v>
      </c>
      <c r="AO97" s="270" t="n">
        <v>0</v>
      </c>
      <c r="AP97" s="270" t="n">
        <v>0</v>
      </c>
      <c r="AQ97" s="270" t="n">
        <v>0</v>
      </c>
      <c r="AR97" s="270" t="n">
        <v>0</v>
      </c>
      <c r="AS97" s="174" t="n">
        <v>0</v>
      </c>
      <c r="AT97" s="271" t="n">
        <v>0</v>
      </c>
      <c r="AU97" s="175" t="n">
        <v>0</v>
      </c>
      <c r="AV97" s="175" t="n">
        <v>0</v>
      </c>
      <c r="AW97" s="483" t="n">
        <v>0</v>
      </c>
      <c r="AX97" s="174" t="n">
        <v>0</v>
      </c>
      <c r="AY97" s="174" t="n">
        <v>0</v>
      </c>
      <c r="AZ97" s="483" t="n">
        <v>0</v>
      </c>
      <c r="BA97" s="483" t="n">
        <v>0</v>
      </c>
      <c r="BB97" s="174" t="n">
        <v>0</v>
      </c>
      <c r="BC97" s="174" t="n">
        <v>0</v>
      </c>
      <c r="BD97" s="483" t="n">
        <v>0</v>
      </c>
      <c r="BE97" s="483" t="n">
        <v>0</v>
      </c>
      <c r="BF97" s="483" t="n">
        <v>0</v>
      </c>
      <c r="BG97" s="483" t="n">
        <v>0</v>
      </c>
      <c r="BH97" s="483" t="n">
        <v>0</v>
      </c>
      <c r="BI97" s="483" t="n">
        <v>0</v>
      </c>
      <c r="BJ97" s="483" t="n">
        <v>0</v>
      </c>
      <c r="BK97" s="483" t="n">
        <v>0</v>
      </c>
      <c r="BL97" s="483" t="n">
        <v>0</v>
      </c>
      <c r="BM97" s="483" t="n">
        <v>0</v>
      </c>
      <c r="BN97" s="483" t="n">
        <v>0</v>
      </c>
      <c r="BO97" s="483" t="n">
        <v>0</v>
      </c>
      <c r="BP97" s="483" t="n">
        <v>0</v>
      </c>
      <c r="BQ97" s="483" t="n">
        <v>0</v>
      </c>
      <c r="BR97" s="483" t="n">
        <v>0</v>
      </c>
      <c r="BS97" s="483" t="n">
        <v>0</v>
      </c>
      <c r="BT97" s="483" t="n">
        <v>0</v>
      </c>
      <c r="BU97" s="483" t="n">
        <v>0</v>
      </c>
      <c r="BV97" s="483" t="n">
        <v>0</v>
      </c>
      <c r="BW97" s="483" t="n">
        <v>0</v>
      </c>
      <c r="BX97" s="483" t="n">
        <v>0</v>
      </c>
      <c r="BY97" s="483" t="n">
        <v>0</v>
      </c>
      <c r="BZ97" s="659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</row>
    <row r="98" hidden="1" s="191">
      <c r="A98" s="265" t="n">
        <v>0</v>
      </c>
      <c r="B98" s="265" t="n">
        <v>0</v>
      </c>
      <c r="C98" s="265" t="n">
        <v>0</v>
      </c>
      <c r="D98" s="265" t="n">
        <v>0</v>
      </c>
      <c r="E98" s="265" t="n">
        <v>0</v>
      </c>
      <c r="F98" s="266" t="n">
        <v>0</v>
      </c>
      <c r="G98" s="266" t="n">
        <v>0</v>
      </c>
      <c r="H98" s="266" t="n">
        <v>0</v>
      </c>
      <c r="I98" s="266" t="n">
        <v>0</v>
      </c>
      <c r="J98" s="267" t="n">
        <v>0</v>
      </c>
      <c r="K98" s="267" t="n">
        <v>0</v>
      </c>
      <c r="L98" s="267" t="n">
        <v>0</v>
      </c>
      <c r="M98" s="267" t="n">
        <v>0</v>
      </c>
      <c r="N98" s="268" t="n">
        <v>0</v>
      </c>
      <c r="O98" s="268" t="n">
        <v>0</v>
      </c>
      <c r="P98" s="268" t="n">
        <v>0</v>
      </c>
      <c r="Q98" s="268" t="n">
        <v>0</v>
      </c>
      <c r="R98" s="268" t="n">
        <v>0</v>
      </c>
      <c r="S98" s="268" t="n">
        <v>0</v>
      </c>
      <c r="T98" s="268" t="n">
        <v>0</v>
      </c>
      <c r="U98" s="268" t="n">
        <v>0</v>
      </c>
      <c r="V98" s="268" t="n">
        <v>0</v>
      </c>
      <c r="W98" s="269" t="n">
        <v>0</v>
      </c>
      <c r="X98" s="269" t="n">
        <v>0</v>
      </c>
      <c r="Y98" s="269" t="n">
        <v>0</v>
      </c>
      <c r="Z98" s="269" t="n">
        <v>0</v>
      </c>
      <c r="AA98" s="270" t="n">
        <v>0</v>
      </c>
      <c r="AB98" s="270" t="n">
        <v>0</v>
      </c>
      <c r="AC98" s="270" t="n">
        <v>0</v>
      </c>
      <c r="AD98" s="270" t="n">
        <v>0</v>
      </c>
      <c r="AE98" s="268" t="n">
        <v>0</v>
      </c>
      <c r="AF98" s="268" t="n">
        <v>0</v>
      </c>
      <c r="AG98" s="268" t="n">
        <v>0</v>
      </c>
      <c r="AH98" s="268" t="n">
        <v>0</v>
      </c>
      <c r="AI98" s="268" t="n">
        <v>0</v>
      </c>
      <c r="AJ98" s="268" t="n">
        <v>0</v>
      </c>
      <c r="AK98" s="269" t="n">
        <v>0</v>
      </c>
      <c r="AL98" s="269" t="n">
        <v>0</v>
      </c>
      <c r="AM98" s="269" t="n">
        <v>0</v>
      </c>
      <c r="AN98" s="269" t="n">
        <v>0</v>
      </c>
      <c r="AO98" s="270" t="n">
        <v>0</v>
      </c>
      <c r="AP98" s="270" t="n">
        <v>0</v>
      </c>
      <c r="AQ98" s="270" t="n">
        <v>0</v>
      </c>
      <c r="AR98" s="270" t="n">
        <v>0</v>
      </c>
      <c r="AS98" s="174" t="n">
        <v>0</v>
      </c>
      <c r="AT98" s="271" t="n">
        <v>0</v>
      </c>
      <c r="AU98" s="175" t="n">
        <v>0</v>
      </c>
      <c r="AV98" s="175" t="n">
        <v>0</v>
      </c>
      <c r="AW98" s="483" t="n">
        <v>0</v>
      </c>
      <c r="AX98" s="174" t="n">
        <v>0</v>
      </c>
      <c r="AY98" s="174" t="n">
        <v>0</v>
      </c>
      <c r="AZ98" s="483" t="n">
        <v>0</v>
      </c>
      <c r="BA98" s="483" t="n">
        <v>0</v>
      </c>
      <c r="BB98" s="174" t="n">
        <v>0</v>
      </c>
      <c r="BC98" s="174" t="n">
        <v>0</v>
      </c>
      <c r="BD98" s="483" t="n">
        <v>0</v>
      </c>
      <c r="BE98" s="483" t="n">
        <v>0</v>
      </c>
      <c r="BF98" s="483" t="n">
        <v>0</v>
      </c>
      <c r="BG98" s="483" t="n">
        <v>0</v>
      </c>
      <c r="BH98" s="483" t="n">
        <v>0</v>
      </c>
      <c r="BI98" s="483" t="n">
        <v>0</v>
      </c>
      <c r="BJ98" s="483" t="n">
        <v>0</v>
      </c>
      <c r="BK98" s="483" t="n">
        <v>0</v>
      </c>
      <c r="BL98" s="483" t="n">
        <v>0</v>
      </c>
      <c r="BM98" s="483" t="n">
        <v>0</v>
      </c>
      <c r="BN98" s="483" t="n">
        <v>0</v>
      </c>
      <c r="BO98" s="483" t="n">
        <v>0</v>
      </c>
      <c r="BP98" s="483" t="n">
        <v>0</v>
      </c>
      <c r="BQ98" s="483" t="n">
        <v>0</v>
      </c>
      <c r="BR98" s="483" t="n">
        <v>0</v>
      </c>
      <c r="BS98" s="483" t="n">
        <v>0</v>
      </c>
      <c r="BT98" s="483" t="n">
        <v>0</v>
      </c>
      <c r="BU98" s="483" t="n">
        <v>0</v>
      </c>
      <c r="BV98" s="483" t="n">
        <v>0</v>
      </c>
      <c r="BW98" s="483" t="n">
        <v>0</v>
      </c>
      <c r="BX98" s="483" t="n">
        <v>0</v>
      </c>
      <c r="BY98" s="483" t="n">
        <v>0</v>
      </c>
      <c r="BZ98" s="659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</row>
    <row r="99" hidden="1" s="191">
      <c r="A99" s="265" t="n">
        <v>0</v>
      </c>
      <c r="B99" s="265" t="n">
        <v>0</v>
      </c>
      <c r="C99" s="265" t="n">
        <v>0</v>
      </c>
      <c r="D99" s="265" t="n">
        <v>0</v>
      </c>
      <c r="E99" s="265" t="n">
        <v>0</v>
      </c>
      <c r="F99" s="266" t="n">
        <v>0</v>
      </c>
      <c r="G99" s="266" t="n">
        <v>0</v>
      </c>
      <c r="H99" s="266" t="n">
        <v>0</v>
      </c>
      <c r="I99" s="266" t="n">
        <v>0</v>
      </c>
      <c r="J99" s="267" t="n">
        <v>0</v>
      </c>
      <c r="K99" s="267" t="n">
        <v>0</v>
      </c>
      <c r="L99" s="267" t="n">
        <v>0</v>
      </c>
      <c r="M99" s="267" t="n">
        <v>0</v>
      </c>
      <c r="N99" s="268" t="n">
        <v>0</v>
      </c>
      <c r="O99" s="268" t="n">
        <v>0</v>
      </c>
      <c r="P99" s="268" t="n">
        <v>0</v>
      </c>
      <c r="Q99" s="268" t="n">
        <v>0</v>
      </c>
      <c r="R99" s="268" t="n">
        <v>0</v>
      </c>
      <c r="S99" s="268" t="n">
        <v>0</v>
      </c>
      <c r="T99" s="268" t="n">
        <v>0</v>
      </c>
      <c r="U99" s="268" t="n">
        <v>0</v>
      </c>
      <c r="V99" s="268" t="n">
        <v>0</v>
      </c>
      <c r="W99" s="269" t="n">
        <v>0</v>
      </c>
      <c r="X99" s="269" t="n">
        <v>0</v>
      </c>
      <c r="Y99" s="269" t="n">
        <v>0</v>
      </c>
      <c r="Z99" s="269" t="n">
        <v>0</v>
      </c>
      <c r="AA99" s="270" t="n">
        <v>0</v>
      </c>
      <c r="AB99" s="270" t="n">
        <v>0</v>
      </c>
      <c r="AC99" s="270" t="n">
        <v>0</v>
      </c>
      <c r="AD99" s="270" t="n">
        <v>0</v>
      </c>
      <c r="AE99" s="268" t="n">
        <v>0</v>
      </c>
      <c r="AF99" s="268" t="n">
        <v>0</v>
      </c>
      <c r="AG99" s="268" t="n">
        <v>0</v>
      </c>
      <c r="AH99" s="268" t="n">
        <v>0</v>
      </c>
      <c r="AI99" s="268" t="n">
        <v>0</v>
      </c>
      <c r="AJ99" s="268" t="n">
        <v>0</v>
      </c>
      <c r="AK99" s="269" t="n">
        <v>0</v>
      </c>
      <c r="AL99" s="269" t="n">
        <v>0</v>
      </c>
      <c r="AM99" s="269" t="n">
        <v>0</v>
      </c>
      <c r="AN99" s="269" t="n">
        <v>0</v>
      </c>
      <c r="AO99" s="270" t="n">
        <v>0</v>
      </c>
      <c r="AP99" s="270" t="n">
        <v>0</v>
      </c>
      <c r="AQ99" s="270" t="n">
        <v>0</v>
      </c>
      <c r="AR99" s="270" t="n">
        <v>0</v>
      </c>
      <c r="AS99" s="174" t="n">
        <v>0</v>
      </c>
      <c r="AT99" s="271" t="n">
        <v>0</v>
      </c>
      <c r="AU99" s="175" t="n">
        <v>0</v>
      </c>
      <c r="AV99" s="175" t="n">
        <v>0</v>
      </c>
      <c r="AW99" s="483" t="n">
        <v>0</v>
      </c>
      <c r="AX99" s="174" t="n">
        <v>0</v>
      </c>
      <c r="AY99" s="174" t="n">
        <v>0</v>
      </c>
      <c r="AZ99" s="483" t="n">
        <v>0</v>
      </c>
      <c r="BA99" s="483" t="n">
        <v>0</v>
      </c>
      <c r="BB99" s="174" t="n">
        <v>0</v>
      </c>
      <c r="BC99" s="174" t="n">
        <v>0</v>
      </c>
      <c r="BD99" s="483" t="n">
        <v>0</v>
      </c>
      <c r="BE99" s="483" t="n">
        <v>0</v>
      </c>
      <c r="BF99" s="483" t="n">
        <v>0</v>
      </c>
      <c r="BG99" s="483" t="n">
        <v>0</v>
      </c>
      <c r="BH99" s="483" t="n">
        <v>0</v>
      </c>
      <c r="BI99" s="483" t="n">
        <v>0</v>
      </c>
      <c r="BJ99" s="483" t="n">
        <v>0</v>
      </c>
      <c r="BK99" s="483" t="n">
        <v>0</v>
      </c>
      <c r="BL99" s="483" t="n">
        <v>0</v>
      </c>
      <c r="BM99" s="483" t="n">
        <v>0</v>
      </c>
      <c r="BN99" s="483" t="n">
        <v>0</v>
      </c>
      <c r="BO99" s="483" t="n">
        <v>0</v>
      </c>
      <c r="BP99" s="483" t="n">
        <v>0</v>
      </c>
      <c r="BQ99" s="483" t="n">
        <v>0</v>
      </c>
      <c r="BR99" s="483" t="n">
        <v>0</v>
      </c>
      <c r="BS99" s="483" t="n">
        <v>0</v>
      </c>
      <c r="BT99" s="483" t="n">
        <v>0</v>
      </c>
      <c r="BU99" s="483" t="n">
        <v>0</v>
      </c>
      <c r="BV99" s="483" t="n">
        <v>0</v>
      </c>
      <c r="BW99" s="483" t="n">
        <v>0</v>
      </c>
      <c r="BX99" s="483" t="n">
        <v>0</v>
      </c>
      <c r="BY99" s="483" t="n">
        <v>0</v>
      </c>
      <c r="BZ99" s="65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</row>
    <row r="100" ht="15.6" customHeight="1" s="191">
      <c r="A100" s="259" t="inlineStr">
        <is>
          <t>.z01</t>
        </is>
      </c>
      <c r="B100" s="260" t="n"/>
      <c r="C100" s="261" t="n"/>
      <c r="D100" s="276" t="n"/>
      <c r="E100" s="277" t="inlineStr">
        <is>
          <t>Zadanie_I   :  Opracowanie autorskiej, kompleksowej, jednorodnej, standaryzowanej, skalowalnej wzorcowej bazy danych (WBD) procesów magazynowych, gotowej do analiz i procesowania w kolejnych elementach technologii inteligentnej platformy ICT, na potrzeby optymalizacji procesu przygotowywania i realizacji zamówień z wykorzystaniem mechanizmów AI i ML</t>
        </is>
      </c>
      <c r="F100" s="538" t="n"/>
      <c r="BJ100" t="inlineStr">
        <is>
          <t>Liczba godzin</t>
        </is>
      </c>
      <c r="BK100" t="inlineStr">
        <is>
          <t>Suma</t>
        </is>
      </c>
      <c r="BL100" t="inlineStr">
        <is>
          <t>Różnica</t>
        </is>
      </c>
      <c r="BM100" t="n">
        <v>21</v>
      </c>
    </row>
    <row r="101" outlineLevel="1" s="191">
      <c r="A101" s="538" t="n">
        <v>1</v>
      </c>
      <c r="B101" s="538" t="inlineStr">
        <is>
          <t>a</t>
        </is>
      </c>
      <c r="C101" s="538" t="n">
        <v>-1</v>
      </c>
      <c r="D101" s="538" t="inlineStr">
        <is>
          <t>.z01_1_a_-1</t>
        </is>
      </c>
      <c r="E101" s="538" t="inlineStr">
        <is>
          <t>1.Opracowanie koncepcji standaryzowanej wzorcowej bazy danych</t>
        </is>
      </c>
      <c r="F101" s="538" t="n">
        <v>0</v>
      </c>
      <c r="G101" s="538" t="inlineStr">
        <is>
          <t>ACT</t>
        </is>
      </c>
      <c r="H101" s="538" t="n">
        <v>0</v>
      </c>
      <c r="I101" s="538" t="inlineStr">
        <is>
          <t>ACT</t>
        </is>
      </c>
      <c r="J101" s="538" t="n">
        <v>0</v>
      </c>
      <c r="K101" s="538" t="n">
        <v>0</v>
      </c>
      <c r="L101" s="538" t="n">
        <v>0</v>
      </c>
      <c r="M101" s="538" t="n">
        <v>0</v>
      </c>
      <c r="N101" s="538" t="n">
        <v>0</v>
      </c>
      <c r="O101" s="538" t="n">
        <v>0</v>
      </c>
      <c r="P101" s="538" t="n">
        <v>0</v>
      </c>
      <c r="Q101" s="538" t="n">
        <v>0</v>
      </c>
      <c r="R101" s="538" t="n">
        <v>0</v>
      </c>
      <c r="S101" s="538" t="n">
        <v>0</v>
      </c>
      <c r="T101" s="538" t="n">
        <v>0</v>
      </c>
      <c r="U101" s="538" t="n">
        <v>0</v>
      </c>
      <c r="V101" s="538" t="n">
        <v>0</v>
      </c>
      <c r="W101" s="538" t="n">
        <v>0</v>
      </c>
      <c r="X101" s="538" t="n">
        <v>0</v>
      </c>
      <c r="Y101" s="538" t="n">
        <v>0</v>
      </c>
      <c r="Z101" s="538" t="n">
        <v>0</v>
      </c>
      <c r="AA101" s="538" t="n">
        <v>0</v>
      </c>
      <c r="AB101" s="538" t="n">
        <v>0</v>
      </c>
      <c r="AC101" s="538" t="n">
        <v>0</v>
      </c>
      <c r="AD101" s="538" t="n">
        <v>0</v>
      </c>
      <c r="AE101" s="538" t="n">
        <v>0</v>
      </c>
      <c r="AF101" s="538" t="n">
        <v>0</v>
      </c>
      <c r="AG101" s="538" t="n">
        <v>0</v>
      </c>
      <c r="AH101" s="538" t="n">
        <v>0</v>
      </c>
      <c r="AI101" s="538" t="n">
        <v>0</v>
      </c>
      <c r="AJ101" s="538" t="n">
        <v>0</v>
      </c>
      <c r="AK101" s="538" t="n">
        <v>0</v>
      </c>
      <c r="AL101" s="538" t="n">
        <v>0</v>
      </c>
      <c r="AM101" s="538" t="n">
        <v>0</v>
      </c>
      <c r="AN101" s="538" t="n">
        <v>0</v>
      </c>
      <c r="AO101" s="538" t="n">
        <v>0</v>
      </c>
      <c r="AP101" s="538" t="n">
        <v>0</v>
      </c>
      <c r="AQ101" s="538" t="n">
        <v>0</v>
      </c>
      <c r="AR101" s="538" t="n">
        <v>0</v>
      </c>
      <c r="AS101" s="538" t="n">
        <v>0</v>
      </c>
      <c r="AT101" s="538" t="n">
        <v>0</v>
      </c>
      <c r="AU101" s="538" t="n">
        <v>0</v>
      </c>
      <c r="AV101" s="538" t="n">
        <v>0</v>
      </c>
      <c r="AW101" s="538" t="n">
        <v>0</v>
      </c>
      <c r="AX101" s="538" t="n">
        <v>0</v>
      </c>
      <c r="AY101" s="538" t="n">
        <v>0</v>
      </c>
      <c r="AZ101" s="538" t="n">
        <v>0</v>
      </c>
      <c r="BA101" s="538" t="n">
        <v>0</v>
      </c>
      <c r="BB101" s="538" t="n">
        <v>0</v>
      </c>
      <c r="BC101" s="538" t="n">
        <v>0</v>
      </c>
      <c r="BD101" s="538" t="n">
        <v>0</v>
      </c>
      <c r="BE101" s="538" t="n">
        <v>0</v>
      </c>
      <c r="BF101" s="538" t="n">
        <v>0</v>
      </c>
      <c r="BG101" s="538" t="n">
        <v>0</v>
      </c>
      <c r="BH101" s="538" t="n">
        <v>0</v>
      </c>
      <c r="BI101" s="538" t="n">
        <v>0</v>
      </c>
      <c r="BJ101" t="n">
        <v>0</v>
      </c>
      <c r="BK101" t="n">
        <v>0</v>
      </c>
      <c r="BL101" t="n">
        <v>0</v>
      </c>
    </row>
    <row r="102" outlineLevel="1" s="191">
      <c r="A102" s="538" t="n">
        <v>1</v>
      </c>
      <c r="B102" s="538" t="inlineStr">
        <is>
          <t>a</t>
        </is>
      </c>
      <c r="C102" s="538" t="n">
        <v>0</v>
      </c>
      <c r="D102" s="538" t="inlineStr">
        <is>
          <t>.z01_1_a_0</t>
        </is>
      </c>
      <c r="E102" s="538" t="inlineStr">
        <is>
          <t>1.a.Projektowanie struktury bazy danych, która zapewni jej wydajność, spójność i skalowalność</t>
        </is>
      </c>
      <c r="F102" s="538" t="n">
        <v>0</v>
      </c>
      <c r="G102" s="538" t="n">
        <v>0</v>
      </c>
      <c r="H102" s="538" t="n">
        <v>0</v>
      </c>
      <c r="I102" s="538" t="n">
        <v>0</v>
      </c>
      <c r="J102" s="538" t="n">
        <v>1</v>
      </c>
      <c r="K102" s="538" t="n">
        <v>46204</v>
      </c>
      <c r="L102" s="538" t="n">
        <v>46204</v>
      </c>
      <c r="M102" s="538" t="n">
        <v>0</v>
      </c>
      <c r="N102" s="538" t="n">
        <v>0</v>
      </c>
      <c r="O102" s="538" t="n">
        <v>0</v>
      </c>
      <c r="P102" s="538" t="n">
        <v>0</v>
      </c>
      <c r="Q102" s="538" t="n">
        <v>0</v>
      </c>
      <c r="R102" s="538" t="n">
        <v>0</v>
      </c>
      <c r="S102" s="538" t="n">
        <v>0</v>
      </c>
      <c r="T102" s="538" t="n">
        <v>0</v>
      </c>
      <c r="U102" s="538" t="n">
        <v>0</v>
      </c>
      <c r="V102" s="538" t="n">
        <v>0</v>
      </c>
      <c r="W102" s="538" t="n">
        <v>0</v>
      </c>
      <c r="X102" s="538" t="n">
        <v>0</v>
      </c>
      <c r="Y102" s="538" t="n">
        <v>0</v>
      </c>
      <c r="Z102" s="538" t="n">
        <v>0</v>
      </c>
      <c r="AA102" s="538" t="n">
        <v>0</v>
      </c>
      <c r="AB102" s="538" t="n">
        <v>0</v>
      </c>
      <c r="AC102" s="538" t="n">
        <v>0</v>
      </c>
      <c r="AD102" s="538" t="n">
        <v>0</v>
      </c>
      <c r="AE102" s="538" t="n">
        <v>0</v>
      </c>
      <c r="AF102" s="538" t="n">
        <v>0</v>
      </c>
      <c r="AG102" s="538" t="n">
        <v>0</v>
      </c>
      <c r="AH102" s="538" t="n">
        <v>0</v>
      </c>
      <c r="AI102" s="538" t="n">
        <v>0</v>
      </c>
      <c r="AJ102" s="538" t="n">
        <v>0</v>
      </c>
      <c r="AK102" s="538" t="n">
        <v>0</v>
      </c>
      <c r="AL102" s="538" t="n">
        <v>0</v>
      </c>
      <c r="AM102" s="538" t="n">
        <v>0</v>
      </c>
      <c r="AN102" s="538" t="n">
        <v>0</v>
      </c>
      <c r="AO102" s="538" t="n">
        <v>0</v>
      </c>
      <c r="AP102" s="538" t="n">
        <v>0</v>
      </c>
      <c r="AQ102" s="538" t="n">
        <v>0</v>
      </c>
      <c r="AR102" s="538" t="n">
        <v>0</v>
      </c>
      <c r="AS102" s="538" t="n">
        <v>0</v>
      </c>
      <c r="AT102" s="538" t="n">
        <v>0</v>
      </c>
      <c r="AU102" s="538" t="n">
        <v>0</v>
      </c>
      <c r="AV102" s="538" t="n">
        <v>0</v>
      </c>
      <c r="AW102" s="538" t="n">
        <v>0</v>
      </c>
      <c r="AX102" s="538" t="n">
        <v>0</v>
      </c>
      <c r="AY102" s="538" t="n">
        <v>0</v>
      </c>
      <c r="AZ102" s="538" t="n">
        <v>0</v>
      </c>
      <c r="BA102" s="538" t="n">
        <v>0</v>
      </c>
      <c r="BB102" s="538" t="n">
        <v>0</v>
      </c>
      <c r="BC102" s="538" t="n">
        <v>0</v>
      </c>
      <c r="BD102" s="538" t="n">
        <v>0</v>
      </c>
      <c r="BE102" s="538" t="n">
        <v>0</v>
      </c>
      <c r="BF102" s="538" t="n">
        <v>0</v>
      </c>
      <c r="BG102" s="538" t="n">
        <v>0</v>
      </c>
      <c r="BH102" s="538" t="n">
        <v>0</v>
      </c>
      <c r="BI102" s="538" t="n">
        <v>0</v>
      </c>
      <c r="BJ102" t="n">
        <v>0</v>
      </c>
      <c r="BK102" t="n">
        <v>0</v>
      </c>
      <c r="BL102" t="n">
        <v>0</v>
      </c>
    </row>
    <row r="103" outlineLevel="1" s="191">
      <c r="A103" s="538" t="n">
        <v>1</v>
      </c>
      <c r="B103" s="538" t="inlineStr">
        <is>
          <t>a</t>
        </is>
      </c>
      <c r="C103" s="538" t="n">
        <v>1</v>
      </c>
      <c r="D103" s="538" t="inlineStr">
        <is>
          <t>.z01_1_a_1</t>
        </is>
      </c>
      <c r="E103" s="538" t="inlineStr">
        <is>
          <t>Opracowanie logicznego i fizycznego modelu bazy danych, uwzględniającego wszystkie kluczowe elementy (np. tabele, relacje, indeksy i klucze)</t>
        </is>
      </c>
      <c r="F103" s="538" t="inlineStr">
        <is>
          <t>Imię02</t>
        </is>
      </c>
      <c r="G103" s="538" t="inlineStr">
        <is>
          <t>ACT</t>
        </is>
      </c>
      <c r="H103" s="538" t="n">
        <v>1</v>
      </c>
      <c r="I103" s="538" t="inlineStr">
        <is>
          <t>.a02</t>
        </is>
      </c>
      <c r="J103" s="538" t="n">
        <v>1</v>
      </c>
      <c r="K103" s="538" t="n">
        <v>46204</v>
      </c>
      <c r="L103" s="538" t="n">
        <v>46208</v>
      </c>
      <c r="M103" s="538" t="n">
        <v>4</v>
      </c>
      <c r="N103" s="538" t="n">
        <v>4</v>
      </c>
      <c r="O103" s="538" t="n">
        <v>320</v>
      </c>
      <c r="P103" s="538" t="n">
        <v>0.25</v>
      </c>
      <c r="Q103" s="538" t="n">
        <v>0.25</v>
      </c>
      <c r="R103" s="538" t="n">
        <v>0.25</v>
      </c>
      <c r="S103" s="538" t="n">
        <v>0.25</v>
      </c>
      <c r="T103" s="538" t="n">
        <v>0</v>
      </c>
      <c r="U103" s="538" t="n">
        <v>0</v>
      </c>
      <c r="V103" s="538" t="n">
        <v>0</v>
      </c>
      <c r="W103" s="538" t="n">
        <v>0</v>
      </c>
      <c r="X103" s="538" t="n">
        <v>0</v>
      </c>
      <c r="Y103" s="538" t="n">
        <v>0</v>
      </c>
      <c r="Z103" s="538" t="n">
        <v>0</v>
      </c>
      <c r="AA103" s="538" t="n">
        <v>0</v>
      </c>
      <c r="AB103" s="538" t="n">
        <v>0</v>
      </c>
      <c r="AC103" s="538" t="n">
        <v>0</v>
      </c>
      <c r="AD103" s="538" t="n">
        <v>0</v>
      </c>
      <c r="AE103" s="538" t="n">
        <v>0</v>
      </c>
      <c r="AF103" s="538" t="n">
        <v>0</v>
      </c>
      <c r="AG103" s="538" t="n">
        <v>80</v>
      </c>
      <c r="AH103" s="538" t="n">
        <v>80</v>
      </c>
      <c r="AI103" s="538" t="n">
        <v>80</v>
      </c>
      <c r="AJ103" s="538" t="n">
        <v>80</v>
      </c>
      <c r="AK103" s="538" t="n">
        <v>0</v>
      </c>
      <c r="AL103" s="538" t="n">
        <v>0</v>
      </c>
      <c r="AM103" s="538" t="n">
        <v>0</v>
      </c>
      <c r="AN103" s="538" t="n">
        <v>0</v>
      </c>
      <c r="AO103" s="538" t="n">
        <v>0</v>
      </c>
      <c r="AP103" s="538" t="n">
        <v>0</v>
      </c>
      <c r="AQ103" s="538" t="n">
        <v>0</v>
      </c>
      <c r="AR103" s="538" t="n">
        <v>0</v>
      </c>
      <c r="AS103" s="538" t="n">
        <v>0</v>
      </c>
      <c r="AT103" s="538" t="n">
        <v>0</v>
      </c>
      <c r="AU103" s="538" t="n">
        <v>0</v>
      </c>
      <c r="AV103" s="538" t="n">
        <v>0</v>
      </c>
      <c r="AW103" s="538" t="n">
        <v>0</v>
      </c>
      <c r="AX103" s="538" t="n">
        <v>320</v>
      </c>
      <c r="AY103" s="538" t="n">
        <v>2</v>
      </c>
      <c r="AZ103" s="538" t="n">
        <v>5002</v>
      </c>
      <c r="BA103" s="538" t="n">
        <v>10004</v>
      </c>
      <c r="BB103" s="538" t="n">
        <v>20008</v>
      </c>
      <c r="BC103" s="538" t="n">
        <v>0</v>
      </c>
      <c r="BD103" s="538" t="n">
        <v>0</v>
      </c>
      <c r="BE103" s="538" t="n">
        <v>0</v>
      </c>
      <c r="BF103" s="538" t="n">
        <v>0</v>
      </c>
      <c r="BG103" s="538" t="n">
        <v>0</v>
      </c>
      <c r="BH103" s="538" t="n">
        <v>0</v>
      </c>
      <c r="BI103" s="538" t="n">
        <v>0</v>
      </c>
      <c r="BJ103" t="n">
        <v>320</v>
      </c>
      <c r="BK103" t="n">
        <v>320</v>
      </c>
      <c r="BL103" t="n">
        <v>0</v>
      </c>
    </row>
    <row r="104" outlineLevel="1" s="191">
      <c r="A104" s="538" t="n">
        <v>1</v>
      </c>
      <c r="B104" s="538" t="inlineStr">
        <is>
          <t>a</t>
        </is>
      </c>
      <c r="C104" s="538" t="n">
        <v>2</v>
      </c>
      <c r="D104" s="538" t="inlineStr">
        <is>
          <t>.z01_1_a_2</t>
        </is>
      </c>
      <c r="E104" s="538" t="inlineStr">
        <is>
          <t>Opracowanie architektury systemu, zapewniającą obsługę rosnącej ilości danych celem szybkiego i efektywnego ich przetwarzania</t>
        </is>
      </c>
      <c r="F104" s="538" t="inlineStr">
        <is>
          <t>Imię03</t>
        </is>
      </c>
      <c r="G104" s="538" t="inlineStr">
        <is>
          <t>ACT</t>
        </is>
      </c>
      <c r="H104" s="538" t="n">
        <v>1</v>
      </c>
      <c r="I104" s="538" t="inlineStr">
        <is>
          <t>.a03</t>
        </is>
      </c>
      <c r="J104" s="538" t="n">
        <v>5</v>
      </c>
      <c r="K104" s="538" t="n">
        <v>46232</v>
      </c>
      <c r="L104" s="538" t="n">
        <v>46232</v>
      </c>
      <c r="M104" s="538" t="n">
        <v>4</v>
      </c>
      <c r="N104" s="538" t="n">
        <v>0</v>
      </c>
      <c r="O104" s="538" t="n">
        <v>40</v>
      </c>
      <c r="P104" s="538" t="n">
        <v>0.2</v>
      </c>
      <c r="Q104" s="538" t="n">
        <v>0.2</v>
      </c>
      <c r="R104" s="538" t="n">
        <v>0.2</v>
      </c>
      <c r="S104" s="538" t="n">
        <v>0.2</v>
      </c>
      <c r="T104" s="538" t="n">
        <v>0</v>
      </c>
      <c r="U104" s="538" t="n">
        <v>0</v>
      </c>
      <c r="V104" s="538" t="n">
        <v>0</v>
      </c>
      <c r="W104" s="538" t="n">
        <v>0</v>
      </c>
      <c r="X104" s="538" t="n">
        <v>0</v>
      </c>
      <c r="Y104" s="538" t="n">
        <v>0</v>
      </c>
      <c r="Z104" s="538" t="n">
        <v>0</v>
      </c>
      <c r="AA104" s="538" t="n">
        <v>0</v>
      </c>
      <c r="AB104" s="538" t="n">
        <v>0</v>
      </c>
      <c r="AC104" s="538" t="n">
        <v>0</v>
      </c>
      <c r="AD104" s="538" t="n">
        <v>0</v>
      </c>
      <c r="AE104" s="538" t="n">
        <v>0</v>
      </c>
      <c r="AF104" s="538" t="n">
        <v>0</v>
      </c>
      <c r="AG104" s="538" t="n">
        <v>8</v>
      </c>
      <c r="AH104" s="538" t="n">
        <v>8</v>
      </c>
      <c r="AI104" s="538" t="n">
        <v>8</v>
      </c>
      <c r="AJ104" s="538" t="n">
        <v>8</v>
      </c>
      <c r="AK104" s="538" t="n">
        <v>0</v>
      </c>
      <c r="AL104" s="538" t="n">
        <v>0</v>
      </c>
      <c r="AM104" s="538" t="n">
        <v>0</v>
      </c>
      <c r="AN104" s="538" t="n">
        <v>0</v>
      </c>
      <c r="AO104" s="538" t="n">
        <v>0</v>
      </c>
      <c r="AP104" s="538" t="n">
        <v>0</v>
      </c>
      <c r="AQ104" s="538" t="n">
        <v>0</v>
      </c>
      <c r="AR104" s="538" t="n">
        <v>0</v>
      </c>
      <c r="AS104" s="538" t="n">
        <v>0</v>
      </c>
      <c r="AT104" s="538" t="n">
        <v>0</v>
      </c>
      <c r="AU104" s="538" t="n">
        <v>0</v>
      </c>
      <c r="AV104" s="538" t="n">
        <v>0</v>
      </c>
      <c r="AW104" s="538" t="n">
        <v>0</v>
      </c>
      <c r="AX104" s="538" t="n">
        <v>32</v>
      </c>
      <c r="AY104" s="538" t="n">
        <v>0.2</v>
      </c>
      <c r="AZ104" s="538" t="n">
        <v>5003</v>
      </c>
      <c r="BA104" s="538" t="n">
        <v>1000.6</v>
      </c>
      <c r="BB104" s="538" t="n">
        <v>200.12</v>
      </c>
      <c r="BC104" s="538" t="n">
        <v>0</v>
      </c>
      <c r="BD104" s="538" t="n">
        <v>0</v>
      </c>
      <c r="BE104" s="538" t="n">
        <v>0</v>
      </c>
      <c r="BF104" s="538" t="n">
        <v>0</v>
      </c>
      <c r="BG104" s="538" t="n">
        <v>0</v>
      </c>
      <c r="BH104" s="538" t="n">
        <v>0</v>
      </c>
      <c r="BI104" s="538" t="n">
        <v>0</v>
      </c>
      <c r="BJ104" t="n">
        <v>40</v>
      </c>
      <c r="BK104" t="n">
        <v>32</v>
      </c>
      <c r="BL104" t="n">
        <v>8</v>
      </c>
    </row>
    <row r="105" outlineLevel="1" s="191">
      <c r="A105" s="538" t="n">
        <v>1</v>
      </c>
      <c r="B105" s="538" t="inlineStr">
        <is>
          <t>a</t>
        </is>
      </c>
      <c r="C105" s="538" t="n">
        <v>3</v>
      </c>
      <c r="D105" s="538" t="inlineStr">
        <is>
          <t>.z01_1_a_3</t>
        </is>
      </c>
      <c r="E105" s="538" t="inlineStr">
        <is>
          <t>Opracowanie mechanizmów do administrowania, eksploatacji i monitorowania bazy danych oraz współpracy z modułami planowanej platformy ICT</t>
        </is>
      </c>
      <c r="F105" s="538" t="inlineStr">
        <is>
          <t>Imię01</t>
        </is>
      </c>
      <c r="G105" s="538" t="inlineStr">
        <is>
          <t>ACT</t>
        </is>
      </c>
      <c r="H105" s="538" t="n">
        <v>1</v>
      </c>
      <c r="I105" s="538" t="inlineStr">
        <is>
          <t>.a01</t>
        </is>
      </c>
      <c r="J105" s="538" t="n">
        <v>5</v>
      </c>
      <c r="K105" s="538" t="n">
        <v>46232</v>
      </c>
      <c r="L105" s="538" t="n">
        <v>46232</v>
      </c>
      <c r="M105" s="538" t="n">
        <v>4</v>
      </c>
      <c r="N105" s="538" t="n">
        <v>0</v>
      </c>
      <c r="O105" s="538" t="n">
        <v>40</v>
      </c>
      <c r="P105" s="538" t="n">
        <v>0.2</v>
      </c>
      <c r="Q105" s="538" t="n">
        <v>0.2</v>
      </c>
      <c r="R105" s="538" t="n">
        <v>0.2</v>
      </c>
      <c r="S105" s="538" t="n">
        <v>0.2</v>
      </c>
      <c r="T105" s="538" t="n">
        <v>0</v>
      </c>
      <c r="U105" s="538" t="n">
        <v>0</v>
      </c>
      <c r="V105" s="538" t="n">
        <v>0</v>
      </c>
      <c r="W105" s="538" t="n">
        <v>0</v>
      </c>
      <c r="X105" s="538" t="n">
        <v>0</v>
      </c>
      <c r="Y105" s="538" t="n">
        <v>0</v>
      </c>
      <c r="Z105" s="538" t="n">
        <v>0</v>
      </c>
      <c r="AA105" s="538" t="n">
        <v>0</v>
      </c>
      <c r="AB105" s="538" t="n">
        <v>0</v>
      </c>
      <c r="AC105" s="538" t="n">
        <v>0</v>
      </c>
      <c r="AD105" s="538" t="n">
        <v>0</v>
      </c>
      <c r="AE105" s="538" t="n">
        <v>0</v>
      </c>
      <c r="AF105" s="538" t="n">
        <v>0</v>
      </c>
      <c r="AG105" s="538" t="n">
        <v>8</v>
      </c>
      <c r="AH105" s="538" t="n">
        <v>8</v>
      </c>
      <c r="AI105" s="538" t="n">
        <v>8</v>
      </c>
      <c r="AJ105" s="538" t="n">
        <v>8</v>
      </c>
      <c r="AK105" s="538" t="n">
        <v>0</v>
      </c>
      <c r="AL105" s="538" t="n">
        <v>0</v>
      </c>
      <c r="AM105" s="538" t="n">
        <v>0</v>
      </c>
      <c r="AN105" s="538" t="n">
        <v>0</v>
      </c>
      <c r="AO105" s="538" t="n">
        <v>0</v>
      </c>
      <c r="AP105" s="538" t="n">
        <v>0</v>
      </c>
      <c r="AQ105" s="538" t="n">
        <v>0</v>
      </c>
      <c r="AR105" s="538" t="n">
        <v>0</v>
      </c>
      <c r="AS105" s="538" t="n">
        <v>0</v>
      </c>
      <c r="AT105" s="538" t="n">
        <v>0</v>
      </c>
      <c r="AU105" s="538" t="n">
        <v>0</v>
      </c>
      <c r="AV105" s="538" t="n">
        <v>0</v>
      </c>
      <c r="AW105" s="538" t="n">
        <v>0</v>
      </c>
      <c r="AX105" s="538" t="n">
        <v>32</v>
      </c>
      <c r="AY105" s="538" t="n">
        <v>0.2</v>
      </c>
      <c r="AZ105" s="538" t="n">
        <v>5001</v>
      </c>
      <c r="BA105" s="538" t="n">
        <v>1000.2</v>
      </c>
      <c r="BB105" s="538" t="n">
        <v>200.04</v>
      </c>
      <c r="BC105" s="538" t="n">
        <v>0</v>
      </c>
      <c r="BD105" s="538" t="n">
        <v>0</v>
      </c>
      <c r="BE105" s="538" t="n">
        <v>0</v>
      </c>
      <c r="BF105" s="538" t="n">
        <v>0</v>
      </c>
      <c r="BG105" s="538" t="n">
        <v>0</v>
      </c>
      <c r="BH105" s="538" t="n">
        <v>0</v>
      </c>
      <c r="BI105" s="538" t="n">
        <v>0</v>
      </c>
      <c r="BJ105" t="n">
        <v>40</v>
      </c>
      <c r="BK105" t="n">
        <v>32</v>
      </c>
      <c r="BL105" t="n">
        <v>8</v>
      </c>
    </row>
    <row r="106" outlineLevel="1" s="191">
      <c r="A106" s="538" t="n">
        <v>1</v>
      </c>
      <c r="B106" s="538" t="inlineStr">
        <is>
          <t>a</t>
        </is>
      </c>
      <c r="C106" s="538" t="n">
        <v>4</v>
      </c>
      <c r="D106" s="538" t="inlineStr">
        <is>
          <t>.z01_1_a_4</t>
        </is>
      </c>
      <c r="E106" s="538" t="inlineStr">
        <is>
          <t>Testowanie, walidacja i optymalizacja projektu struktury bazy danych</t>
        </is>
      </c>
      <c r="F106" s="538" t="inlineStr">
        <is>
          <t>Imię03</t>
        </is>
      </c>
      <c r="G106" s="538" t="inlineStr">
        <is>
          <t>ACT</t>
        </is>
      </c>
      <c r="H106" s="538" t="n">
        <v>1</v>
      </c>
      <c r="I106" s="538" t="inlineStr">
        <is>
          <t>.a03</t>
        </is>
      </c>
      <c r="J106" s="538" t="n">
        <v>5</v>
      </c>
      <c r="K106" s="538" t="n">
        <v>46232</v>
      </c>
      <c r="L106" s="538" t="n">
        <v>46232</v>
      </c>
      <c r="M106" s="538" t="n">
        <v>4</v>
      </c>
      <c r="N106" s="538" t="n">
        <v>0</v>
      </c>
      <c r="O106" s="538" t="n">
        <v>40</v>
      </c>
      <c r="P106" s="538" t="n">
        <v>0.2</v>
      </c>
      <c r="Q106" s="538" t="n">
        <v>0.2</v>
      </c>
      <c r="R106" s="538" t="n">
        <v>0.2</v>
      </c>
      <c r="S106" s="538" t="n">
        <v>0.2</v>
      </c>
      <c r="T106" s="538" t="n">
        <v>0</v>
      </c>
      <c r="U106" s="538" t="n">
        <v>0</v>
      </c>
      <c r="V106" s="538" t="n">
        <v>0</v>
      </c>
      <c r="W106" s="538" t="n">
        <v>0</v>
      </c>
      <c r="X106" s="538" t="n">
        <v>0</v>
      </c>
      <c r="Y106" s="538" t="n">
        <v>0</v>
      </c>
      <c r="Z106" s="538" t="n">
        <v>0</v>
      </c>
      <c r="AA106" s="538" t="n">
        <v>0</v>
      </c>
      <c r="AB106" s="538" t="n">
        <v>0</v>
      </c>
      <c r="AC106" s="538" t="n">
        <v>0</v>
      </c>
      <c r="AD106" s="538" t="n">
        <v>0</v>
      </c>
      <c r="AE106" s="538" t="n">
        <v>0</v>
      </c>
      <c r="AF106" s="538" t="n">
        <v>0</v>
      </c>
      <c r="AG106" s="538" t="n">
        <v>8</v>
      </c>
      <c r="AH106" s="538" t="n">
        <v>8</v>
      </c>
      <c r="AI106" s="538" t="n">
        <v>8</v>
      </c>
      <c r="AJ106" s="538" t="n">
        <v>8</v>
      </c>
      <c r="AK106" s="538" t="n">
        <v>0</v>
      </c>
      <c r="AL106" s="538" t="n">
        <v>0</v>
      </c>
      <c r="AM106" s="538" t="n">
        <v>0</v>
      </c>
      <c r="AN106" s="538" t="n">
        <v>0</v>
      </c>
      <c r="AO106" s="538" t="n">
        <v>0</v>
      </c>
      <c r="AP106" s="538" t="n">
        <v>0</v>
      </c>
      <c r="AQ106" s="538" t="n">
        <v>0</v>
      </c>
      <c r="AR106" s="538" t="n">
        <v>0</v>
      </c>
      <c r="AS106" s="538" t="n">
        <v>0</v>
      </c>
      <c r="AT106" s="538" t="n">
        <v>0</v>
      </c>
      <c r="AU106" s="538" t="n">
        <v>0</v>
      </c>
      <c r="AV106" s="538" t="n">
        <v>0</v>
      </c>
      <c r="AW106" s="538" t="n">
        <v>0</v>
      </c>
      <c r="AX106" s="538" t="n">
        <v>32</v>
      </c>
      <c r="AY106" s="538" t="n">
        <v>0.2</v>
      </c>
      <c r="AZ106" s="538" t="n">
        <v>5003</v>
      </c>
      <c r="BA106" s="538" t="n">
        <v>1000.6</v>
      </c>
      <c r="BB106" s="538" t="n">
        <v>200.12</v>
      </c>
      <c r="BC106" s="538" t="n">
        <v>0</v>
      </c>
      <c r="BD106" s="538" t="n">
        <v>0</v>
      </c>
      <c r="BE106" s="538" t="n">
        <v>0</v>
      </c>
      <c r="BF106" s="538" t="n">
        <v>0</v>
      </c>
      <c r="BG106" s="538" t="n">
        <v>0</v>
      </c>
      <c r="BH106" s="538" t="n">
        <v>0</v>
      </c>
      <c r="BI106" s="538" t="n">
        <v>0</v>
      </c>
      <c r="BJ106" t="n">
        <v>40</v>
      </c>
      <c r="BK106" t="n">
        <v>32</v>
      </c>
      <c r="BL106" t="n">
        <v>8</v>
      </c>
    </row>
    <row r="107" outlineLevel="1" s="191">
      <c r="A107" s="538" t="n">
        <v>1</v>
      </c>
      <c r="B107" s="538" t="inlineStr">
        <is>
          <t>b</t>
        </is>
      </c>
      <c r="C107" s="538" t="n">
        <v>0</v>
      </c>
      <c r="D107" s="538" t="inlineStr">
        <is>
          <t>.z01_1_b_0</t>
        </is>
      </c>
      <c r="E107" s="538" t="inlineStr">
        <is>
          <t>1.b.Zbieranie i przygotowanie danych w celu uzyskania pełnego obrazu operacji w magazynie i umożliwienia kompleksowych analiz</t>
        </is>
      </c>
      <c r="F107" s="538" t="n">
        <v>0</v>
      </c>
      <c r="G107" s="538" t="n">
        <v>0</v>
      </c>
      <c r="H107" s="538" t="n">
        <v>0</v>
      </c>
      <c r="I107" s="538" t="n">
        <v>0</v>
      </c>
      <c r="J107" s="538" t="n">
        <v>1</v>
      </c>
      <c r="K107" s="538" t="n">
        <v>46204</v>
      </c>
      <c r="L107" s="538" t="n">
        <v>46204</v>
      </c>
      <c r="M107" s="538" t="n">
        <v>0</v>
      </c>
      <c r="N107" s="538" t="n">
        <v>0</v>
      </c>
      <c r="O107" s="538" t="n">
        <v>0</v>
      </c>
      <c r="P107" s="538" t="n">
        <v>0</v>
      </c>
      <c r="Q107" s="538" t="n">
        <v>0</v>
      </c>
      <c r="R107" s="538" t="n">
        <v>0</v>
      </c>
      <c r="S107" s="538" t="n">
        <v>0</v>
      </c>
      <c r="T107" s="538" t="n">
        <v>0</v>
      </c>
      <c r="U107" s="538" t="n">
        <v>0</v>
      </c>
      <c r="V107" s="538" t="n">
        <v>0</v>
      </c>
      <c r="W107" s="538" t="n">
        <v>0</v>
      </c>
      <c r="X107" s="538" t="n">
        <v>0</v>
      </c>
      <c r="Y107" s="538" t="n">
        <v>0</v>
      </c>
      <c r="Z107" s="538" t="n">
        <v>0</v>
      </c>
      <c r="AA107" s="538" t="n">
        <v>0</v>
      </c>
      <c r="AB107" s="538" t="n">
        <v>0</v>
      </c>
      <c r="AC107" s="538" t="n">
        <v>0</v>
      </c>
      <c r="AD107" s="538" t="n">
        <v>0</v>
      </c>
      <c r="AE107" s="538" t="n">
        <v>0</v>
      </c>
      <c r="AF107" s="538" t="n">
        <v>0</v>
      </c>
      <c r="AG107" s="538" t="n">
        <v>0</v>
      </c>
      <c r="AH107" s="538" t="n">
        <v>0</v>
      </c>
      <c r="AI107" s="538" t="n">
        <v>0</v>
      </c>
      <c r="AJ107" s="538" t="n">
        <v>0</v>
      </c>
      <c r="AK107" s="538" t="n">
        <v>0</v>
      </c>
      <c r="AL107" s="538" t="n">
        <v>0</v>
      </c>
      <c r="AM107" s="538" t="n">
        <v>0</v>
      </c>
      <c r="AN107" s="538" t="n">
        <v>0</v>
      </c>
      <c r="AO107" s="538" t="n">
        <v>0</v>
      </c>
      <c r="AP107" s="538" t="n">
        <v>0</v>
      </c>
      <c r="AQ107" s="538" t="n">
        <v>0</v>
      </c>
      <c r="AR107" s="538" t="n">
        <v>0</v>
      </c>
      <c r="AS107" s="538" t="n">
        <v>0</v>
      </c>
      <c r="AT107" s="538" t="n">
        <v>0</v>
      </c>
      <c r="AU107" s="538" t="n">
        <v>0</v>
      </c>
      <c r="AV107" s="538" t="n">
        <v>0</v>
      </c>
      <c r="AW107" s="538" t="n">
        <v>0</v>
      </c>
      <c r="AX107" s="538" t="n">
        <v>0</v>
      </c>
      <c r="AY107" s="538" t="n">
        <v>0</v>
      </c>
      <c r="AZ107" s="538" t="n">
        <v>0</v>
      </c>
      <c r="BA107" s="538" t="n">
        <v>0</v>
      </c>
      <c r="BB107" s="538" t="n">
        <v>0</v>
      </c>
      <c r="BC107" s="538" t="n">
        <v>0</v>
      </c>
      <c r="BD107" s="538" t="n">
        <v>0</v>
      </c>
      <c r="BE107" s="538" t="n">
        <v>0</v>
      </c>
      <c r="BF107" s="538" t="n">
        <v>0</v>
      </c>
      <c r="BG107" s="538" t="n">
        <v>0</v>
      </c>
      <c r="BH107" s="538" t="n">
        <v>0</v>
      </c>
      <c r="BI107" s="538" t="n">
        <v>0</v>
      </c>
      <c r="BJ107" t="n">
        <v>0</v>
      </c>
      <c r="BK107" t="n">
        <v>0</v>
      </c>
      <c r="BL107" t="n">
        <v>0</v>
      </c>
    </row>
    <row r="108" outlineLevel="1" s="191">
      <c r="A108" s="538" t="n">
        <v>1</v>
      </c>
      <c r="B108" s="538" t="inlineStr">
        <is>
          <t>b</t>
        </is>
      </c>
      <c r="C108" s="538" t="n">
        <v>1</v>
      </c>
      <c r="D108" s="538" t="inlineStr">
        <is>
          <t>.z01_1_b_1</t>
        </is>
      </c>
      <c r="E108" s="538" t="inlineStr">
        <is>
          <t>Stworzenie procedur zbierania, analizy i przetwarzania danych</t>
        </is>
      </c>
      <c r="F108" s="538" t="inlineStr">
        <is>
          <t>Imię02</t>
        </is>
      </c>
      <c r="G108" s="538" t="inlineStr">
        <is>
          <t>ACT</t>
        </is>
      </c>
      <c r="H108" s="538" t="n">
        <v>1</v>
      </c>
      <c r="I108" s="538" t="inlineStr">
        <is>
          <t>.a02</t>
        </is>
      </c>
      <c r="J108" s="538" t="n">
        <v>1</v>
      </c>
      <c r="K108" s="538" t="n">
        <v>46204</v>
      </c>
      <c r="L108" s="538" t="n">
        <v>46205</v>
      </c>
      <c r="M108" s="538" t="n">
        <v>1</v>
      </c>
      <c r="N108" s="538" t="n">
        <v>1</v>
      </c>
      <c r="O108" s="538" t="n">
        <v>90</v>
      </c>
      <c r="P108" s="538" t="n">
        <v>0</v>
      </c>
      <c r="Q108" s="538" t="n">
        <v>0</v>
      </c>
      <c r="R108" s="538" t="n">
        <v>0</v>
      </c>
      <c r="S108" s="538" t="n">
        <v>0</v>
      </c>
      <c r="T108" s="538" t="n">
        <v>0.2</v>
      </c>
      <c r="U108" s="538" t="n">
        <v>0.2</v>
      </c>
      <c r="V108" s="538" t="n">
        <v>0.2</v>
      </c>
      <c r="W108" s="538" t="n">
        <v>0.2</v>
      </c>
      <c r="X108" s="538" t="n">
        <v>0.2</v>
      </c>
      <c r="Y108" s="538" t="n">
        <v>0</v>
      </c>
      <c r="Z108" s="538" t="n">
        <v>0</v>
      </c>
      <c r="AA108" s="538" t="n">
        <v>0</v>
      </c>
      <c r="AB108" s="538" t="n">
        <v>0</v>
      </c>
      <c r="AC108" s="538" t="n">
        <v>0</v>
      </c>
      <c r="AD108" s="538" t="n">
        <v>0</v>
      </c>
      <c r="AE108" s="538" t="n">
        <v>0</v>
      </c>
      <c r="AF108" s="538" t="n">
        <v>0</v>
      </c>
      <c r="AG108" s="538" t="n">
        <v>0</v>
      </c>
      <c r="AH108" s="538" t="n">
        <v>0</v>
      </c>
      <c r="AI108" s="538" t="n">
        <v>0</v>
      </c>
      <c r="AJ108" s="538" t="n">
        <v>0</v>
      </c>
      <c r="AK108" s="538" t="n">
        <v>18</v>
      </c>
      <c r="AL108" s="538" t="n">
        <v>18</v>
      </c>
      <c r="AM108" s="538" t="n">
        <v>18</v>
      </c>
      <c r="AN108" s="538" t="n">
        <v>18</v>
      </c>
      <c r="AO108" s="538" t="n">
        <v>18</v>
      </c>
      <c r="AP108" s="538" t="n">
        <v>0</v>
      </c>
      <c r="AQ108" s="538" t="n">
        <v>0</v>
      </c>
      <c r="AR108" s="538" t="n">
        <v>0</v>
      </c>
      <c r="AS108" s="538" t="n">
        <v>0</v>
      </c>
      <c r="AT108" s="538" t="n">
        <v>0</v>
      </c>
      <c r="AU108" s="538" t="n">
        <v>0</v>
      </c>
      <c r="AV108" s="538" t="n">
        <v>0</v>
      </c>
      <c r="AW108" s="538" t="n">
        <v>0</v>
      </c>
      <c r="AX108" s="538" t="n">
        <v>90</v>
      </c>
      <c r="AY108" s="538" t="n">
        <v>0.5625</v>
      </c>
      <c r="AZ108" s="538" t="n">
        <v>5002</v>
      </c>
      <c r="BA108" s="538" t="n">
        <v>2813.625</v>
      </c>
      <c r="BB108" s="538" t="n">
        <v>1582.6640625</v>
      </c>
      <c r="BC108" s="538" t="n">
        <v>0</v>
      </c>
      <c r="BD108" s="538" t="n">
        <v>0</v>
      </c>
      <c r="BE108" s="538" t="n">
        <v>0</v>
      </c>
      <c r="BF108" s="538" t="n">
        <v>0</v>
      </c>
      <c r="BG108" s="538" t="n">
        <v>0</v>
      </c>
      <c r="BH108" s="538" t="n">
        <v>0</v>
      </c>
      <c r="BI108" s="538" t="n">
        <v>0</v>
      </c>
      <c r="BJ108" t="n">
        <v>90</v>
      </c>
      <c r="BK108" t="n">
        <v>90</v>
      </c>
      <c r="BL108" t="n">
        <v>0</v>
      </c>
    </row>
    <row r="109" outlineLevel="1" s="191">
      <c r="A109" s="538" t="n">
        <v>1</v>
      </c>
      <c r="B109" s="538" t="inlineStr">
        <is>
          <t>b</t>
        </is>
      </c>
      <c r="C109" s="538" t="n">
        <v>2</v>
      </c>
      <c r="D109" s="538" t="inlineStr">
        <is>
          <t>.z01_1_b_2</t>
        </is>
      </c>
      <c r="E109" s="538" t="inlineStr">
        <is>
          <t xml:space="preserve">Pozyskanie danych z różnych źródeł, np. systemy WMS, ERP </t>
        </is>
      </c>
      <c r="F109" s="538" t="inlineStr">
        <is>
          <t>Imię01</t>
        </is>
      </c>
      <c r="G109" s="538" t="inlineStr">
        <is>
          <t>ACT</t>
        </is>
      </c>
      <c r="H109" s="538" t="n">
        <v>1</v>
      </c>
      <c r="I109" s="538" t="inlineStr">
        <is>
          <t>.a01</t>
        </is>
      </c>
      <c r="J109" s="538" t="n">
        <v>2</v>
      </c>
      <c r="K109" s="538" t="n">
        <v>46211</v>
      </c>
      <c r="L109" s="538" t="n">
        <v>46213</v>
      </c>
      <c r="M109" s="538" t="n">
        <v>3</v>
      </c>
      <c r="N109" s="538" t="n">
        <v>2</v>
      </c>
      <c r="O109" s="538" t="n">
        <v>160</v>
      </c>
      <c r="P109" s="538" t="n">
        <v>0</v>
      </c>
      <c r="Q109" s="538" t="n">
        <v>0</v>
      </c>
      <c r="R109" s="538" t="n">
        <v>0</v>
      </c>
      <c r="S109" s="538" t="n">
        <v>0</v>
      </c>
      <c r="T109" s="538" t="n">
        <v>0.2</v>
      </c>
      <c r="U109" s="538" t="n">
        <v>0.2</v>
      </c>
      <c r="V109" s="538" t="n">
        <v>0.2</v>
      </c>
      <c r="W109" s="538" t="n">
        <v>0.2</v>
      </c>
      <c r="X109" s="538" t="n">
        <v>0.2</v>
      </c>
      <c r="Y109" s="538" t="n">
        <v>0</v>
      </c>
      <c r="Z109" s="538" t="n">
        <v>0</v>
      </c>
      <c r="AA109" s="538" t="n">
        <v>0</v>
      </c>
      <c r="AB109" s="538" t="n">
        <v>0</v>
      </c>
      <c r="AC109" s="538" t="n">
        <v>0</v>
      </c>
      <c r="AD109" s="538" t="n">
        <v>0</v>
      </c>
      <c r="AE109" s="538" t="n">
        <v>0</v>
      </c>
      <c r="AF109" s="538" t="n">
        <v>0</v>
      </c>
      <c r="AG109" s="538" t="n">
        <v>0</v>
      </c>
      <c r="AH109" s="538" t="n">
        <v>0</v>
      </c>
      <c r="AI109" s="538" t="n">
        <v>0</v>
      </c>
      <c r="AJ109" s="538" t="n">
        <v>0</v>
      </c>
      <c r="AK109" s="538" t="n">
        <v>32</v>
      </c>
      <c r="AL109" s="538" t="n">
        <v>32</v>
      </c>
      <c r="AM109" s="538" t="n">
        <v>32</v>
      </c>
      <c r="AN109" s="538" t="n">
        <v>32</v>
      </c>
      <c r="AO109" s="538" t="n">
        <v>32</v>
      </c>
      <c r="AP109" s="538" t="n">
        <v>0</v>
      </c>
      <c r="AQ109" s="538" t="n">
        <v>0</v>
      </c>
      <c r="AR109" s="538" t="n">
        <v>0</v>
      </c>
      <c r="AS109" s="538" t="n">
        <v>0</v>
      </c>
      <c r="AT109" s="538" t="n">
        <v>0</v>
      </c>
      <c r="AU109" s="538" t="n">
        <v>0</v>
      </c>
      <c r="AV109" s="538" t="n">
        <v>0</v>
      </c>
      <c r="AW109" s="538" t="n">
        <v>0</v>
      </c>
      <c r="AX109" s="538" t="n">
        <v>160</v>
      </c>
      <c r="AY109" s="538" t="n">
        <v>1</v>
      </c>
      <c r="AZ109" s="538" t="n">
        <v>5001</v>
      </c>
      <c r="BA109" s="538" t="n">
        <v>5001</v>
      </c>
      <c r="BB109" s="538" t="n">
        <v>5001</v>
      </c>
      <c r="BC109" s="538" t="n">
        <v>0</v>
      </c>
      <c r="BD109" s="538" t="n">
        <v>0</v>
      </c>
      <c r="BE109" s="538" t="n">
        <v>0</v>
      </c>
      <c r="BF109" s="538" t="n">
        <v>0</v>
      </c>
      <c r="BG109" s="538" t="n">
        <v>0</v>
      </c>
      <c r="BH109" s="538" t="n">
        <v>0</v>
      </c>
      <c r="BI109" s="538" t="n">
        <v>0</v>
      </c>
      <c r="BJ109" t="n">
        <v>160</v>
      </c>
      <c r="BK109" t="n">
        <v>160</v>
      </c>
      <c r="BL109" t="n">
        <v>0</v>
      </c>
    </row>
    <row r="110" outlineLevel="1" s="191">
      <c r="A110" s="538" t="n">
        <v>1</v>
      </c>
      <c r="B110" s="538" t="inlineStr">
        <is>
          <t>b</t>
        </is>
      </c>
      <c r="C110" s="538" t="n">
        <v>3</v>
      </c>
      <c r="D110" s="538" t="inlineStr">
        <is>
          <t>.z01_1_b_3</t>
        </is>
      </c>
      <c r="E110" s="538" t="inlineStr">
        <is>
          <t xml:space="preserve"> Identyfikacja aktualnie przypisywanych atrybutów do rekordów/obiektów w WMS/ERP</t>
        </is>
      </c>
      <c r="F110" s="538" t="inlineStr">
        <is>
          <t>Imię02</t>
        </is>
      </c>
      <c r="G110" s="538" t="inlineStr">
        <is>
          <t>ACT</t>
        </is>
      </c>
      <c r="H110" s="538" t="n">
        <v>1</v>
      </c>
      <c r="I110" s="538" t="inlineStr">
        <is>
          <t>.a02</t>
        </is>
      </c>
      <c r="J110" s="538" t="n">
        <v>4</v>
      </c>
      <c r="K110" s="538" t="n">
        <v>46225</v>
      </c>
      <c r="L110" s="538" t="n">
        <v>46226</v>
      </c>
      <c r="M110" s="538" t="n">
        <v>4</v>
      </c>
      <c r="N110" s="538" t="n">
        <v>1</v>
      </c>
      <c r="O110" s="538" t="n">
        <v>120</v>
      </c>
      <c r="P110" s="538" t="n">
        <v>0</v>
      </c>
      <c r="Q110" s="538" t="n">
        <v>0</v>
      </c>
      <c r="R110" s="538" t="n">
        <v>0</v>
      </c>
      <c r="S110" s="538" t="n">
        <v>0</v>
      </c>
      <c r="T110" s="538" t="n">
        <v>0.2</v>
      </c>
      <c r="U110" s="538" t="n">
        <v>0.2</v>
      </c>
      <c r="V110" s="538" t="n">
        <v>0.2</v>
      </c>
      <c r="W110" s="538" t="n">
        <v>0.2</v>
      </c>
      <c r="X110" s="538" t="n">
        <v>0.2</v>
      </c>
      <c r="Y110" s="538" t="n">
        <v>0</v>
      </c>
      <c r="Z110" s="538" t="n">
        <v>0</v>
      </c>
      <c r="AA110" s="538" t="n">
        <v>0</v>
      </c>
      <c r="AB110" s="538" t="n">
        <v>0</v>
      </c>
      <c r="AC110" s="538" t="n">
        <v>0</v>
      </c>
      <c r="AD110" s="538" t="n">
        <v>0</v>
      </c>
      <c r="AE110" s="538" t="n">
        <v>0</v>
      </c>
      <c r="AF110" s="538" t="n">
        <v>0</v>
      </c>
      <c r="AG110" s="538" t="n">
        <v>0</v>
      </c>
      <c r="AH110" s="538" t="n">
        <v>0</v>
      </c>
      <c r="AI110" s="538" t="n">
        <v>0</v>
      </c>
      <c r="AJ110" s="538" t="n">
        <v>0</v>
      </c>
      <c r="AK110" s="538" t="n">
        <v>24</v>
      </c>
      <c r="AL110" s="538" t="n">
        <v>24</v>
      </c>
      <c r="AM110" s="538" t="n">
        <v>24</v>
      </c>
      <c r="AN110" s="538" t="n">
        <v>24</v>
      </c>
      <c r="AO110" s="538" t="n">
        <v>24</v>
      </c>
      <c r="AP110" s="538" t="n">
        <v>0</v>
      </c>
      <c r="AQ110" s="538" t="n">
        <v>0</v>
      </c>
      <c r="AR110" s="538" t="n">
        <v>0</v>
      </c>
      <c r="AS110" s="538" t="n">
        <v>0</v>
      </c>
      <c r="AT110" s="538" t="n">
        <v>0</v>
      </c>
      <c r="AU110" s="538" t="n">
        <v>0</v>
      </c>
      <c r="AV110" s="538" t="n">
        <v>0</v>
      </c>
      <c r="AW110" s="538" t="n">
        <v>0</v>
      </c>
      <c r="AX110" s="538" t="n">
        <v>120</v>
      </c>
      <c r="AY110" s="538" t="n">
        <v>0.75</v>
      </c>
      <c r="AZ110" s="538" t="n">
        <v>5002</v>
      </c>
      <c r="BA110" s="538" t="n">
        <v>3751.5</v>
      </c>
      <c r="BB110" s="538" t="n">
        <v>2813.625</v>
      </c>
      <c r="BC110" s="538" t="n">
        <v>0</v>
      </c>
      <c r="BD110" s="538" t="n">
        <v>0</v>
      </c>
      <c r="BE110" s="538" t="n">
        <v>0</v>
      </c>
      <c r="BF110" s="538" t="n">
        <v>0</v>
      </c>
      <c r="BG110" s="538" t="n">
        <v>0</v>
      </c>
      <c r="BH110" s="538" t="n">
        <v>0</v>
      </c>
      <c r="BI110" s="538" t="n">
        <v>0</v>
      </c>
      <c r="BJ110" t="n">
        <v>120</v>
      </c>
      <c r="BK110" t="n">
        <v>120</v>
      </c>
      <c r="BL110" t="n">
        <v>0</v>
      </c>
    </row>
    <row r="111" outlineLevel="1" s="191">
      <c r="A111" s="538" t="n">
        <v>1</v>
      </c>
      <c r="B111" s="538" t="inlineStr">
        <is>
          <t>b</t>
        </is>
      </c>
      <c r="C111" s="538" t="n">
        <v>4</v>
      </c>
      <c r="D111" s="538" t="inlineStr">
        <is>
          <t>.z01_1_b_4</t>
        </is>
      </c>
      <c r="E111" s="538" t="inlineStr">
        <is>
          <t>Opracowanie założeń modeli, schematów, organizacji i prezentacji danych wejściowych</t>
        </is>
      </c>
      <c r="F111" s="538" t="inlineStr">
        <is>
          <t>Imię03</t>
        </is>
      </c>
      <c r="G111" s="538" t="inlineStr">
        <is>
          <t>ACT</t>
        </is>
      </c>
      <c r="H111" s="538" t="n">
        <v>1</v>
      </c>
      <c r="I111" s="538" t="inlineStr">
        <is>
          <t>.a03</t>
        </is>
      </c>
      <c r="J111" s="538" t="n">
        <v>5</v>
      </c>
      <c r="K111" s="538" t="n">
        <v>46232</v>
      </c>
      <c r="L111" s="538" t="n">
        <v>46234</v>
      </c>
      <c r="M111" s="538" t="n">
        <v>6</v>
      </c>
      <c r="N111" s="538" t="n">
        <v>2</v>
      </c>
      <c r="O111" s="538" t="n">
        <v>180</v>
      </c>
      <c r="P111" s="538" t="n">
        <v>0</v>
      </c>
      <c r="Q111" s="538" t="n">
        <v>0</v>
      </c>
      <c r="R111" s="538" t="n">
        <v>0</v>
      </c>
      <c r="S111" s="538" t="n">
        <v>0</v>
      </c>
      <c r="T111" s="538" t="n">
        <v>0.2</v>
      </c>
      <c r="U111" s="538" t="n">
        <v>0.2</v>
      </c>
      <c r="V111" s="538" t="n">
        <v>0.2</v>
      </c>
      <c r="W111" s="538" t="n">
        <v>0.2</v>
      </c>
      <c r="X111" s="538" t="n">
        <v>0.2</v>
      </c>
      <c r="Y111" s="538" t="n">
        <v>0</v>
      </c>
      <c r="Z111" s="538" t="n">
        <v>0</v>
      </c>
      <c r="AA111" s="538" t="n">
        <v>0</v>
      </c>
      <c r="AB111" s="538" t="n">
        <v>0</v>
      </c>
      <c r="AC111" s="538" t="n">
        <v>0</v>
      </c>
      <c r="AD111" s="538" t="n">
        <v>0</v>
      </c>
      <c r="AE111" s="538" t="n">
        <v>0</v>
      </c>
      <c r="AF111" s="538" t="n">
        <v>0</v>
      </c>
      <c r="AG111" s="538" t="n">
        <v>0</v>
      </c>
      <c r="AH111" s="538" t="n">
        <v>0</v>
      </c>
      <c r="AI111" s="538" t="n">
        <v>0</v>
      </c>
      <c r="AJ111" s="538" t="n">
        <v>0</v>
      </c>
      <c r="AK111" s="538" t="n">
        <v>36</v>
      </c>
      <c r="AL111" s="538" t="n">
        <v>36</v>
      </c>
      <c r="AM111" s="538" t="n">
        <v>36</v>
      </c>
      <c r="AN111" s="538" t="n">
        <v>36</v>
      </c>
      <c r="AO111" s="538" t="n">
        <v>36</v>
      </c>
      <c r="AP111" s="538" t="n">
        <v>0</v>
      </c>
      <c r="AQ111" s="538" t="n">
        <v>0</v>
      </c>
      <c r="AR111" s="538" t="n">
        <v>0</v>
      </c>
      <c r="AS111" s="538" t="n">
        <v>0</v>
      </c>
      <c r="AT111" s="538" t="n">
        <v>0</v>
      </c>
      <c r="AU111" s="538" t="n">
        <v>0</v>
      </c>
      <c r="AV111" s="538" t="n">
        <v>0</v>
      </c>
      <c r="AW111" s="538" t="n">
        <v>0</v>
      </c>
      <c r="AX111" s="538" t="n">
        <v>180</v>
      </c>
      <c r="AY111" s="538" t="n">
        <v>1.125</v>
      </c>
      <c r="AZ111" s="538" t="n">
        <v>5003</v>
      </c>
      <c r="BA111" s="538" t="n">
        <v>5628.375</v>
      </c>
      <c r="BB111" s="538" t="n">
        <v>6331.921875</v>
      </c>
      <c r="BC111" s="538" t="n">
        <v>0</v>
      </c>
      <c r="BD111" s="538" t="n">
        <v>0</v>
      </c>
      <c r="BE111" s="538" t="n">
        <v>0</v>
      </c>
      <c r="BF111" s="538" t="n">
        <v>0</v>
      </c>
      <c r="BG111" s="538" t="n">
        <v>0</v>
      </c>
      <c r="BH111" s="538" t="n">
        <v>0</v>
      </c>
      <c r="BI111" s="538" t="n">
        <v>0</v>
      </c>
      <c r="BJ111" t="n">
        <v>180</v>
      </c>
      <c r="BK111" t="n">
        <v>180</v>
      </c>
      <c r="BL111" t="n">
        <v>0</v>
      </c>
    </row>
    <row r="112" outlineLevel="1" s="191">
      <c r="A112" s="538" t="n">
        <v>1</v>
      </c>
      <c r="B112" s="538" t="inlineStr">
        <is>
          <t>c</t>
        </is>
      </c>
      <c r="C112" s="538" t="n">
        <v>1</v>
      </c>
      <c r="D112" s="538" t="inlineStr">
        <is>
          <t>.z01_1_c_1</t>
        </is>
      </c>
      <c r="E112" s="538" t="inlineStr">
        <is>
          <t>Zgromadzenie danych historycznych (ostatnie 3 lata), dot. procesów omawianych w ramach niniejszego projektu</t>
        </is>
      </c>
      <c r="F112" s="538" t="n">
        <v>0</v>
      </c>
      <c r="G112" s="538" t="inlineStr">
        <is>
          <t>ACT</t>
        </is>
      </c>
      <c r="H112" s="538" t="n">
        <v>2</v>
      </c>
      <c r="I112" s="538" t="inlineStr">
        <is>
          <t>.a01</t>
        </is>
      </c>
      <c r="J112" s="538" t="n">
        <v>7</v>
      </c>
      <c r="K112" s="538" t="n">
        <v>46246</v>
      </c>
      <c r="L112" s="538" t="n">
        <v>46247</v>
      </c>
      <c r="M112" s="538" t="n">
        <v>7</v>
      </c>
      <c r="N112" s="538" t="n">
        <v>1</v>
      </c>
      <c r="O112" s="538" t="n">
        <v>180</v>
      </c>
      <c r="P112" s="538" t="n">
        <v>0.11</v>
      </c>
      <c r="Q112" s="538" t="n">
        <v>0.11</v>
      </c>
      <c r="R112" s="538" t="n">
        <v>0.11</v>
      </c>
      <c r="S112" s="538" t="n">
        <v>0.11</v>
      </c>
      <c r="T112" s="538" t="n">
        <v>0.11</v>
      </c>
      <c r="U112" s="538" t="n">
        <v>0.11</v>
      </c>
      <c r="V112" s="538" t="n">
        <v>0.11</v>
      </c>
      <c r="W112" s="538" t="n">
        <v>0.11</v>
      </c>
      <c r="X112" s="538" t="n">
        <v>0.12</v>
      </c>
      <c r="Y112" s="538" t="n">
        <v>0</v>
      </c>
      <c r="Z112" s="538" t="n">
        <v>0</v>
      </c>
      <c r="AA112" s="538" t="n">
        <v>0</v>
      </c>
      <c r="AB112" s="538" t="n">
        <v>0</v>
      </c>
      <c r="AC112" s="538" t="n">
        <v>0</v>
      </c>
      <c r="AD112" s="538" t="n">
        <v>0</v>
      </c>
      <c r="AE112" s="538" t="n">
        <v>0</v>
      </c>
      <c r="AF112" s="538" t="n">
        <v>0</v>
      </c>
      <c r="AG112" s="538" t="n">
        <v>20</v>
      </c>
      <c r="AH112" s="538" t="n">
        <v>20</v>
      </c>
      <c r="AI112" s="538" t="n">
        <v>20</v>
      </c>
      <c r="AJ112" s="538" t="n">
        <v>20</v>
      </c>
      <c r="AK112" s="538" t="n">
        <v>20</v>
      </c>
      <c r="AL112" s="538" t="n">
        <v>20</v>
      </c>
      <c r="AM112" s="538" t="n">
        <v>20</v>
      </c>
      <c r="AN112" s="538" t="n">
        <v>20</v>
      </c>
      <c r="AO112" s="538" t="n">
        <v>20</v>
      </c>
      <c r="AP112" s="538" t="n">
        <v>0</v>
      </c>
      <c r="AQ112" s="538" t="n">
        <v>0</v>
      </c>
      <c r="AR112" s="538" t="n">
        <v>0</v>
      </c>
      <c r="AS112" s="538" t="n">
        <v>0</v>
      </c>
      <c r="AT112" s="538" t="n">
        <v>0</v>
      </c>
      <c r="AU112" s="538" t="n">
        <v>0</v>
      </c>
      <c r="AV112" s="538" t="n">
        <v>0</v>
      </c>
      <c r="AW112" s="538" t="n">
        <v>0</v>
      </c>
      <c r="AX112" s="538" t="n">
        <v>180</v>
      </c>
      <c r="AY112" s="538" t="n">
        <v>1.125</v>
      </c>
      <c r="AZ112" s="538" t="n">
        <v>5001</v>
      </c>
      <c r="BA112" s="538" t="n">
        <v>5626.125</v>
      </c>
      <c r="BB112" s="538" t="n">
        <v>6329.390625</v>
      </c>
      <c r="BC112" s="538" t="n">
        <v>0</v>
      </c>
      <c r="BD112" s="538" t="n">
        <v>0</v>
      </c>
      <c r="BE112" s="538" t="n">
        <v>0</v>
      </c>
      <c r="BF112" s="538" t="n">
        <v>0</v>
      </c>
      <c r="BG112" s="538" t="n">
        <v>0</v>
      </c>
      <c r="BH112" s="538" t="n">
        <v>0</v>
      </c>
      <c r="BI112" s="538" t="n">
        <v>0</v>
      </c>
      <c r="BJ112" t="n">
        <v>180</v>
      </c>
      <c r="BK112" t="n">
        <v>180</v>
      </c>
      <c r="BL112" t="n">
        <v>0</v>
      </c>
    </row>
    <row r="113" outlineLevel="1" s="191">
      <c r="A113" s="538" t="n">
        <v>1</v>
      </c>
      <c r="B113" s="538" t="inlineStr">
        <is>
          <t>d</t>
        </is>
      </c>
      <c r="C113" s="538" t="n">
        <v>1</v>
      </c>
      <c r="D113" s="538" t="inlineStr">
        <is>
          <t>.z01_1_d_1</t>
        </is>
      </c>
      <c r="E113" s="538" t="inlineStr">
        <is>
          <t>Oczyszczanie, normalizacja, konwersja i standaryzacja danych (procedury ETL), w tym usuwanie duplikatów i korekcji błędów, do jednolitego formatu na potrzeby dokładności analiz i predykcji, spójności i możliwość łatwego przetwarzania</t>
        </is>
      </c>
      <c r="F113" s="538" t="inlineStr">
        <is>
          <t>Imię03</t>
        </is>
      </c>
      <c r="G113" s="538" t="inlineStr">
        <is>
          <t>ACT</t>
        </is>
      </c>
      <c r="H113" s="538" t="n">
        <v>3</v>
      </c>
      <c r="I113" s="538" t="inlineStr">
        <is>
          <t>.a03</t>
        </is>
      </c>
      <c r="J113" s="538" t="n">
        <v>8</v>
      </c>
      <c r="K113" s="538" t="n">
        <v>46253</v>
      </c>
      <c r="L113" s="538" t="n">
        <v>46254</v>
      </c>
      <c r="M113" s="538" t="n">
        <v>8</v>
      </c>
      <c r="N113" s="538" t="n">
        <v>1</v>
      </c>
      <c r="O113" s="538" t="n">
        <v>180</v>
      </c>
      <c r="P113" s="538" t="n">
        <v>0.11</v>
      </c>
      <c r="Q113" s="538" t="n">
        <v>0.11</v>
      </c>
      <c r="R113" s="538" t="n">
        <v>0.11</v>
      </c>
      <c r="S113" s="538" t="n">
        <v>0.11</v>
      </c>
      <c r="T113" s="538" t="n">
        <v>0.11</v>
      </c>
      <c r="U113" s="538" t="n">
        <v>0.11</v>
      </c>
      <c r="V113" s="538" t="n">
        <v>0.11</v>
      </c>
      <c r="W113" s="538" t="n">
        <v>0.11</v>
      </c>
      <c r="X113" s="538" t="n">
        <v>0.12</v>
      </c>
      <c r="Y113" s="538" t="n">
        <v>0</v>
      </c>
      <c r="Z113" s="538" t="n">
        <v>0</v>
      </c>
      <c r="AA113" s="538" t="n">
        <v>0</v>
      </c>
      <c r="AB113" s="538" t="n">
        <v>0</v>
      </c>
      <c r="AC113" s="538" t="n">
        <v>0</v>
      </c>
      <c r="AD113" s="538" t="n">
        <v>0</v>
      </c>
      <c r="AE113" s="538" t="n">
        <v>0</v>
      </c>
      <c r="AF113" s="538" t="n">
        <v>0</v>
      </c>
      <c r="AG113" s="538" t="n">
        <v>20</v>
      </c>
      <c r="AH113" s="538" t="n">
        <v>20</v>
      </c>
      <c r="AI113" s="538" t="n">
        <v>20</v>
      </c>
      <c r="AJ113" s="538" t="n">
        <v>20</v>
      </c>
      <c r="AK113" s="538" t="n">
        <v>20</v>
      </c>
      <c r="AL113" s="538" t="n">
        <v>20</v>
      </c>
      <c r="AM113" s="538" t="n">
        <v>20</v>
      </c>
      <c r="AN113" s="538" t="n">
        <v>20</v>
      </c>
      <c r="AO113" s="538" t="n">
        <v>20</v>
      </c>
      <c r="AP113" s="538" t="n">
        <v>0</v>
      </c>
      <c r="AQ113" s="538" t="n">
        <v>0</v>
      </c>
      <c r="AR113" s="538" t="n">
        <v>0</v>
      </c>
      <c r="AS113" s="538" t="n">
        <v>0</v>
      </c>
      <c r="AT113" s="538" t="n">
        <v>0</v>
      </c>
      <c r="AU113" s="538" t="n">
        <v>0</v>
      </c>
      <c r="AV113" s="538" t="n">
        <v>0</v>
      </c>
      <c r="AW113" s="538" t="n">
        <v>0</v>
      </c>
      <c r="AX113" s="538" t="n">
        <v>180</v>
      </c>
      <c r="AY113" s="538" t="n">
        <v>1.125</v>
      </c>
      <c r="AZ113" s="538" t="n">
        <v>5003</v>
      </c>
      <c r="BA113" s="538" t="n">
        <v>5628.375</v>
      </c>
      <c r="BB113" s="538" t="n">
        <v>6331.921875</v>
      </c>
      <c r="BC113" s="538" t="n">
        <v>0</v>
      </c>
      <c r="BD113" s="538" t="n">
        <v>0</v>
      </c>
      <c r="BE113" s="538" t="n">
        <v>0</v>
      </c>
      <c r="BF113" s="538" t="n">
        <v>0</v>
      </c>
      <c r="BG113" s="538" t="n">
        <v>0</v>
      </c>
      <c r="BH113" s="538" t="n">
        <v>0</v>
      </c>
      <c r="BI113" s="538" t="n">
        <v>0</v>
      </c>
      <c r="BJ113" t="n">
        <v>180</v>
      </c>
      <c r="BK113" t="n">
        <v>180</v>
      </c>
      <c r="BL113" t="n">
        <v>0</v>
      </c>
    </row>
    <row r="114" outlineLevel="1" s="191">
      <c r="A114" s="538" t="n">
        <v>2</v>
      </c>
      <c r="B114" s="538" t="inlineStr">
        <is>
          <t>a</t>
        </is>
      </c>
      <c r="C114" s="538" t="n">
        <v>0</v>
      </c>
      <c r="D114" s="538" t="inlineStr">
        <is>
          <t>.z01_2_a_0</t>
        </is>
      </c>
      <c r="E114" s="538" t="inlineStr">
        <is>
          <t>2.Implementacja WBD w infrastrukturze Wnioskodawcy w oparciu o wybrane platformy bazodanowe, np. Oracle, MSSQL, MySQL</t>
        </is>
      </c>
      <c r="F114" s="538" t="n">
        <v>0</v>
      </c>
      <c r="G114" s="538" t="n">
        <v>0</v>
      </c>
      <c r="H114" s="538" t="n">
        <v>0</v>
      </c>
      <c r="I114" s="538" t="n">
        <v>0</v>
      </c>
      <c r="J114" s="538" t="n">
        <v>9</v>
      </c>
      <c r="K114" s="538" t="n">
        <v>46260</v>
      </c>
      <c r="L114" s="538" t="n">
        <v>46260</v>
      </c>
      <c r="M114" s="538" t="n">
        <v>8</v>
      </c>
      <c r="N114" s="538" t="n">
        <v>0</v>
      </c>
      <c r="O114" s="538" t="n">
        <v>0</v>
      </c>
      <c r="P114" s="538" t="n">
        <v>0</v>
      </c>
      <c r="Q114" s="538" t="n">
        <v>0</v>
      </c>
      <c r="R114" s="538" t="n">
        <v>0</v>
      </c>
      <c r="S114" s="538" t="n">
        <v>0</v>
      </c>
      <c r="T114" s="538" t="n">
        <v>0</v>
      </c>
      <c r="U114" s="538" t="n">
        <v>0</v>
      </c>
      <c r="V114" s="538" t="n">
        <v>0</v>
      </c>
      <c r="W114" s="538" t="n">
        <v>0</v>
      </c>
      <c r="X114" s="538" t="n">
        <v>0</v>
      </c>
      <c r="Y114" s="538" t="n">
        <v>0</v>
      </c>
      <c r="Z114" s="538" t="n">
        <v>0</v>
      </c>
      <c r="AA114" s="538" t="n">
        <v>0</v>
      </c>
      <c r="AB114" s="538" t="n">
        <v>0</v>
      </c>
      <c r="AC114" s="538" t="n">
        <v>0</v>
      </c>
      <c r="AD114" s="538" t="n">
        <v>0</v>
      </c>
      <c r="AE114" s="538" t="n">
        <v>0</v>
      </c>
      <c r="AF114" s="538" t="n">
        <v>0</v>
      </c>
      <c r="AG114" s="538" t="n">
        <v>0</v>
      </c>
      <c r="AH114" s="538" t="n">
        <v>0</v>
      </c>
      <c r="AI114" s="538" t="n">
        <v>0</v>
      </c>
      <c r="AJ114" s="538" t="n">
        <v>0</v>
      </c>
      <c r="AK114" s="538" t="n">
        <v>0</v>
      </c>
      <c r="AL114" s="538" t="n">
        <v>0</v>
      </c>
      <c r="AM114" s="538" t="n">
        <v>0</v>
      </c>
      <c r="AN114" s="538" t="n">
        <v>0</v>
      </c>
      <c r="AO114" s="538" t="n">
        <v>0</v>
      </c>
      <c r="AP114" s="538" t="n">
        <v>0</v>
      </c>
      <c r="AQ114" s="538" t="n">
        <v>0</v>
      </c>
      <c r="AR114" s="538" t="n">
        <v>0</v>
      </c>
      <c r="AS114" s="538" t="n">
        <v>0</v>
      </c>
      <c r="AT114" s="538" t="n">
        <v>0</v>
      </c>
      <c r="AU114" s="538" t="n">
        <v>0</v>
      </c>
      <c r="AV114" s="538" t="n">
        <v>0</v>
      </c>
      <c r="AW114" s="538" t="n">
        <v>0</v>
      </c>
      <c r="AX114" s="538" t="n">
        <v>0</v>
      </c>
      <c r="AY114" s="538" t="n">
        <v>0</v>
      </c>
      <c r="AZ114" s="538" t="n">
        <v>0</v>
      </c>
      <c r="BA114" s="538" t="n">
        <v>0</v>
      </c>
      <c r="BB114" s="538" t="n">
        <v>0</v>
      </c>
      <c r="BC114" s="538" t="n">
        <v>0</v>
      </c>
      <c r="BD114" s="538" t="n">
        <v>0</v>
      </c>
      <c r="BE114" s="538" t="n">
        <v>0</v>
      </c>
      <c r="BF114" s="538" t="n">
        <v>0</v>
      </c>
      <c r="BG114" s="538" t="n">
        <v>0</v>
      </c>
      <c r="BH114" s="538" t="n">
        <v>0</v>
      </c>
      <c r="BI114" s="538" t="n">
        <v>0</v>
      </c>
      <c r="BJ114" t="n">
        <v>0</v>
      </c>
      <c r="BK114" t="n">
        <v>0</v>
      </c>
      <c r="BL114" t="n">
        <v>0</v>
      </c>
    </row>
    <row r="115" outlineLevel="1" s="191">
      <c r="A115" s="538" t="n">
        <v>2</v>
      </c>
      <c r="B115" s="538" t="inlineStr">
        <is>
          <t>a</t>
        </is>
      </c>
      <c r="C115" s="538" t="n">
        <v>1</v>
      </c>
      <c r="D115" s="538" t="inlineStr">
        <is>
          <t>.z01_2_a_1</t>
        </is>
      </c>
      <c r="E115" s="538" t="inlineStr">
        <is>
          <t>Testowanie i walidacja platform bazodanowych (testy funkcjonalne i wydajnościowe, w tym obciążeniowe i regresyjne) jest kluczowe dla zapewnienia, że baza danych działa zgodnie z wymaganiami i jest gotowa do użycia</t>
        </is>
      </c>
      <c r="F115" s="538" t="inlineStr">
        <is>
          <t>Imię03</t>
        </is>
      </c>
      <c r="G115" s="538" t="inlineStr">
        <is>
          <t>ACT</t>
        </is>
      </c>
      <c r="H115" s="538" t="n">
        <v>4</v>
      </c>
      <c r="I115" s="538" t="inlineStr">
        <is>
          <t>.a03</t>
        </is>
      </c>
      <c r="J115" s="538" t="n">
        <v>9</v>
      </c>
      <c r="K115" s="538" t="n">
        <v>46260</v>
      </c>
      <c r="L115" s="538" t="n">
        <v>46261</v>
      </c>
      <c r="M115" s="538" t="n">
        <v>9</v>
      </c>
      <c r="N115" s="538" t="n">
        <v>1</v>
      </c>
      <c r="O115" s="538" t="n">
        <v>200</v>
      </c>
      <c r="P115" s="538" t="n">
        <v>0.11</v>
      </c>
      <c r="Q115" s="538" t="n">
        <v>0.11</v>
      </c>
      <c r="R115" s="538" t="n">
        <v>0.11</v>
      </c>
      <c r="S115" s="538" t="n">
        <v>0.11</v>
      </c>
      <c r="T115" s="538" t="n">
        <v>0.11</v>
      </c>
      <c r="U115" s="538" t="n">
        <v>0.11</v>
      </c>
      <c r="V115" s="538" t="n">
        <v>0.11</v>
      </c>
      <c r="W115" s="538" t="n">
        <v>0.11</v>
      </c>
      <c r="X115" s="538" t="n">
        <v>0.12</v>
      </c>
      <c r="Y115" s="538" t="n">
        <v>0</v>
      </c>
      <c r="Z115" s="538" t="n">
        <v>0</v>
      </c>
      <c r="AA115" s="538" t="n">
        <v>0</v>
      </c>
      <c r="AB115" s="538" t="n">
        <v>0</v>
      </c>
      <c r="AC115" s="538" t="n">
        <v>0</v>
      </c>
      <c r="AD115" s="538" t="n">
        <v>0</v>
      </c>
      <c r="AE115" s="538" t="n">
        <v>0</v>
      </c>
      <c r="AF115" s="538" t="n">
        <v>0</v>
      </c>
      <c r="AG115" s="538" t="n">
        <v>22</v>
      </c>
      <c r="AH115" s="538" t="n">
        <v>22</v>
      </c>
      <c r="AI115" s="538" t="n">
        <v>22</v>
      </c>
      <c r="AJ115" s="538" t="n">
        <v>22</v>
      </c>
      <c r="AK115" s="538" t="n">
        <v>22</v>
      </c>
      <c r="AL115" s="538" t="n">
        <v>22</v>
      </c>
      <c r="AM115" s="538" t="n">
        <v>22</v>
      </c>
      <c r="AN115" s="538" t="n">
        <v>22</v>
      </c>
      <c r="AO115" s="538" t="n">
        <v>24</v>
      </c>
      <c r="AP115" s="538" t="n">
        <v>0</v>
      </c>
      <c r="AQ115" s="538" t="n">
        <v>0</v>
      </c>
      <c r="AR115" s="538" t="n">
        <v>0</v>
      </c>
      <c r="AS115" s="538" t="n">
        <v>0</v>
      </c>
      <c r="AT115" s="538" t="n">
        <v>0</v>
      </c>
      <c r="AU115" s="538" t="n">
        <v>0</v>
      </c>
      <c r="AV115" s="538" t="n">
        <v>0</v>
      </c>
      <c r="AW115" s="538" t="n">
        <v>0</v>
      </c>
      <c r="AX115" s="538" t="n">
        <v>200</v>
      </c>
      <c r="AY115" s="538" t="n">
        <v>1.25</v>
      </c>
      <c r="AZ115" s="538" t="n">
        <v>5003</v>
      </c>
      <c r="BA115" s="538" t="n">
        <v>6253.75</v>
      </c>
      <c r="BB115" s="538" t="n">
        <v>7817.1875</v>
      </c>
      <c r="BC115" s="538" t="n">
        <v>0</v>
      </c>
      <c r="BD115" s="538" t="n">
        <v>0</v>
      </c>
      <c r="BE115" s="538" t="n">
        <v>0</v>
      </c>
      <c r="BF115" s="538" t="n">
        <v>0</v>
      </c>
      <c r="BG115" s="538" t="n">
        <v>0</v>
      </c>
      <c r="BH115" s="538" t="n">
        <v>0</v>
      </c>
      <c r="BI115" s="538" t="n">
        <v>0</v>
      </c>
      <c r="BJ115" t="n">
        <v>200</v>
      </c>
      <c r="BK115" t="n">
        <v>200</v>
      </c>
      <c r="BL115" t="n">
        <v>0</v>
      </c>
    </row>
    <row r="116" outlineLevel="1" s="191">
      <c r="A116" s="538" t="n">
        <v>2</v>
      </c>
      <c r="B116" s="538" t="inlineStr">
        <is>
          <t>b</t>
        </is>
      </c>
      <c r="C116" s="538" t="n">
        <v>1</v>
      </c>
      <c r="D116" s="538" t="inlineStr">
        <is>
          <t>.z01_2_b_1</t>
        </is>
      </c>
      <c r="E116" s="538" t="inlineStr">
        <is>
          <t>Wybór platformy bazodanowej na podstawie testów wydajnościowych WBD</t>
        </is>
      </c>
      <c r="F116" s="538" t="inlineStr">
        <is>
          <t>Imię01</t>
        </is>
      </c>
      <c r="G116" s="538" t="inlineStr">
        <is>
          <t>ACT</t>
        </is>
      </c>
      <c r="H116" s="538" t="n">
        <v>4</v>
      </c>
      <c r="I116" s="538" t="inlineStr">
        <is>
          <t>.a01</t>
        </is>
      </c>
      <c r="J116" s="538" t="n">
        <v>10</v>
      </c>
      <c r="K116" s="538" t="n">
        <v>46267</v>
      </c>
      <c r="L116" s="538" t="n">
        <v>46267</v>
      </c>
      <c r="M116" s="538" t="n">
        <v>9</v>
      </c>
      <c r="N116" s="538" t="n">
        <v>0</v>
      </c>
      <c r="O116" s="538" t="n">
        <v>45</v>
      </c>
      <c r="P116" s="538" t="n">
        <v>0.11</v>
      </c>
      <c r="Q116" s="538" t="n">
        <v>0.11</v>
      </c>
      <c r="R116" s="538" t="n">
        <v>0.11</v>
      </c>
      <c r="S116" s="538" t="n">
        <v>0.11</v>
      </c>
      <c r="T116" s="538" t="n">
        <v>0.11</v>
      </c>
      <c r="U116" s="538" t="n">
        <v>0.11</v>
      </c>
      <c r="V116" s="538" t="n">
        <v>0.11</v>
      </c>
      <c r="W116" s="538" t="n">
        <v>0.11</v>
      </c>
      <c r="X116" s="538" t="n">
        <v>0.12</v>
      </c>
      <c r="Y116" s="538" t="n">
        <v>0</v>
      </c>
      <c r="Z116" s="538" t="n">
        <v>0</v>
      </c>
      <c r="AA116" s="538" t="n">
        <v>0</v>
      </c>
      <c r="AB116" s="538" t="n">
        <v>0</v>
      </c>
      <c r="AC116" s="538" t="n">
        <v>0</v>
      </c>
      <c r="AD116" s="538" t="n">
        <v>0</v>
      </c>
      <c r="AE116" s="538" t="n">
        <v>0</v>
      </c>
      <c r="AF116" s="538" t="n">
        <v>0</v>
      </c>
      <c r="AG116" s="538" t="n">
        <v>5</v>
      </c>
      <c r="AH116" s="538" t="n">
        <v>5</v>
      </c>
      <c r="AI116" s="538" t="n">
        <v>5</v>
      </c>
      <c r="AJ116" s="538" t="n">
        <v>5</v>
      </c>
      <c r="AK116" s="538" t="n">
        <v>5</v>
      </c>
      <c r="AL116" s="538" t="n">
        <v>5</v>
      </c>
      <c r="AM116" s="538" t="n">
        <v>5</v>
      </c>
      <c r="AN116" s="538" t="n">
        <v>5</v>
      </c>
      <c r="AO116" s="538" t="n">
        <v>5</v>
      </c>
      <c r="AP116" s="538" t="n">
        <v>0</v>
      </c>
      <c r="AQ116" s="538" t="n">
        <v>0</v>
      </c>
      <c r="AR116" s="538" t="n">
        <v>0</v>
      </c>
      <c r="AS116" s="538" t="n">
        <v>0</v>
      </c>
      <c r="AT116" s="538" t="n">
        <v>0</v>
      </c>
      <c r="AU116" s="538" t="n">
        <v>0</v>
      </c>
      <c r="AV116" s="538" t="n">
        <v>0</v>
      </c>
      <c r="AW116" s="538" t="n">
        <v>0</v>
      </c>
      <c r="AX116" s="538" t="n">
        <v>45</v>
      </c>
      <c r="AY116" s="538" t="n">
        <v>0.28125</v>
      </c>
      <c r="AZ116" s="538" t="n">
        <v>5001</v>
      </c>
      <c r="BA116" s="538" t="n">
        <v>1406.53125</v>
      </c>
      <c r="BB116" s="538" t="n">
        <v>395.5869140625</v>
      </c>
      <c r="BC116" s="538" t="n">
        <v>0</v>
      </c>
      <c r="BD116" s="538" t="n">
        <v>0</v>
      </c>
      <c r="BE116" s="538" t="n">
        <v>0</v>
      </c>
      <c r="BF116" s="538" t="n">
        <v>0</v>
      </c>
      <c r="BG116" s="538" t="n">
        <v>0</v>
      </c>
      <c r="BH116" s="538" t="n">
        <v>0</v>
      </c>
      <c r="BI116" s="538" t="n">
        <v>0</v>
      </c>
      <c r="BJ116" t="n">
        <v>45</v>
      </c>
      <c r="BK116" t="n">
        <v>45</v>
      </c>
      <c r="BL116" t="n">
        <v>0</v>
      </c>
    </row>
    <row r="117" outlineLevel="1" s="191">
      <c r="A117" s="538" t="n">
        <v>2</v>
      </c>
      <c r="B117" s="538" t="inlineStr">
        <is>
          <t>c</t>
        </is>
      </c>
      <c r="C117" s="538" t="n">
        <v>1</v>
      </c>
      <c r="D117" s="538" t="inlineStr">
        <is>
          <t>.z01_2_c_1</t>
        </is>
      </c>
      <c r="E117" s="538" t="inlineStr">
        <is>
          <t>Wybór odpowiedniej platformy technologicznej zapewniającej skalowalność, bezpieczeństwo i wydajność analiz AI/ML</t>
        </is>
      </c>
      <c r="F117" s="538" t="inlineStr">
        <is>
          <t>Imię03</t>
        </is>
      </c>
      <c r="G117" s="538" t="inlineStr">
        <is>
          <t>ACT</t>
        </is>
      </c>
      <c r="H117" s="538" t="n">
        <v>4</v>
      </c>
      <c r="I117" s="538" t="inlineStr">
        <is>
          <t>.a03</t>
        </is>
      </c>
      <c r="J117" s="538" t="n">
        <v>10</v>
      </c>
      <c r="K117" s="538" t="n">
        <v>46267</v>
      </c>
      <c r="L117" s="538" t="n">
        <v>46268</v>
      </c>
      <c r="M117" s="538" t="n">
        <v>10</v>
      </c>
      <c r="N117" s="538" t="n">
        <v>1</v>
      </c>
      <c r="O117" s="538" t="n">
        <v>200</v>
      </c>
      <c r="P117" s="538" t="n">
        <v>0.11</v>
      </c>
      <c r="Q117" s="538" t="n">
        <v>0.11</v>
      </c>
      <c r="R117" s="538" t="n">
        <v>0.11</v>
      </c>
      <c r="S117" s="538" t="n">
        <v>0.11</v>
      </c>
      <c r="T117" s="538" t="n">
        <v>0.11</v>
      </c>
      <c r="U117" s="538" t="n">
        <v>0.11</v>
      </c>
      <c r="V117" s="538" t="n">
        <v>0.11</v>
      </c>
      <c r="W117" s="538" t="n">
        <v>0.11</v>
      </c>
      <c r="X117" s="538" t="n">
        <v>0.12</v>
      </c>
      <c r="Y117" s="538" t="n">
        <v>0</v>
      </c>
      <c r="Z117" s="538" t="n">
        <v>0</v>
      </c>
      <c r="AA117" s="538" t="n">
        <v>0</v>
      </c>
      <c r="AB117" s="538" t="n">
        <v>0</v>
      </c>
      <c r="AC117" s="538" t="n">
        <v>0</v>
      </c>
      <c r="AD117" s="538" t="n">
        <v>0</v>
      </c>
      <c r="AE117" s="538" t="n">
        <v>0</v>
      </c>
      <c r="AF117" s="538" t="n">
        <v>0</v>
      </c>
      <c r="AG117" s="538" t="n">
        <v>22</v>
      </c>
      <c r="AH117" s="538" t="n">
        <v>22</v>
      </c>
      <c r="AI117" s="538" t="n">
        <v>22</v>
      </c>
      <c r="AJ117" s="538" t="n">
        <v>22</v>
      </c>
      <c r="AK117" s="538" t="n">
        <v>22</v>
      </c>
      <c r="AL117" s="538" t="n">
        <v>22</v>
      </c>
      <c r="AM117" s="538" t="n">
        <v>22</v>
      </c>
      <c r="AN117" s="538" t="n">
        <v>22</v>
      </c>
      <c r="AO117" s="538" t="n">
        <v>24</v>
      </c>
      <c r="AP117" s="538" t="n">
        <v>0</v>
      </c>
      <c r="AQ117" s="538" t="n">
        <v>0</v>
      </c>
      <c r="AR117" s="538" t="n">
        <v>0</v>
      </c>
      <c r="AS117" s="538" t="n">
        <v>0</v>
      </c>
      <c r="AT117" s="538" t="n">
        <v>0</v>
      </c>
      <c r="AU117" s="538" t="n">
        <v>0</v>
      </c>
      <c r="AV117" s="538" t="n">
        <v>0</v>
      </c>
      <c r="AW117" s="538" t="n">
        <v>0</v>
      </c>
      <c r="AX117" s="538" t="n">
        <v>200</v>
      </c>
      <c r="AY117" s="538" t="n">
        <v>1.25</v>
      </c>
      <c r="AZ117" s="538" t="n">
        <v>5003</v>
      </c>
      <c r="BA117" s="538" t="n">
        <v>6253.75</v>
      </c>
      <c r="BB117" s="538" t="n">
        <v>7817.1875</v>
      </c>
      <c r="BC117" s="538" t="n">
        <v>0</v>
      </c>
      <c r="BD117" s="538" t="n">
        <v>0</v>
      </c>
      <c r="BE117" s="538" t="n">
        <v>0</v>
      </c>
      <c r="BF117" s="538" t="n">
        <v>0</v>
      </c>
      <c r="BG117" s="538" t="n">
        <v>0</v>
      </c>
      <c r="BH117" s="538" t="n">
        <v>0</v>
      </c>
      <c r="BI117" s="538" t="n">
        <v>0</v>
      </c>
      <c r="BJ117" t="n">
        <v>200</v>
      </c>
      <c r="BK117" t="n">
        <v>200</v>
      </c>
      <c r="BL117" t="n">
        <v>0</v>
      </c>
    </row>
    <row r="118" outlineLevel="1" s="191">
      <c r="A118" s="538" t="n">
        <v>2</v>
      </c>
      <c r="B118" s="538" t="inlineStr">
        <is>
          <t>d</t>
        </is>
      </c>
      <c r="C118" s="538" t="n">
        <v>1</v>
      </c>
      <c r="D118" s="538" t="inlineStr">
        <is>
          <t>.z01_2_d_1</t>
        </is>
      </c>
      <c r="E118" s="538" t="inlineStr">
        <is>
          <t>Fizyczna implementacja WBD w infrastrukturze Wnioskodawcy</t>
        </is>
      </c>
      <c r="F118" s="538" t="inlineStr">
        <is>
          <t>Imię05</t>
        </is>
      </c>
      <c r="G118" s="538" t="inlineStr">
        <is>
          <t>ACT</t>
        </is>
      </c>
      <c r="H118" s="538" t="n">
        <v>5</v>
      </c>
      <c r="I118" s="538" t="inlineStr">
        <is>
          <t>.a05</t>
        </is>
      </c>
      <c r="J118" s="538" t="n">
        <v>11</v>
      </c>
      <c r="K118" s="538" t="n">
        <v>46274</v>
      </c>
      <c r="L118" s="538" t="n">
        <v>46276</v>
      </c>
      <c r="M118" s="538" t="n">
        <v>12</v>
      </c>
      <c r="N118" s="538" t="n">
        <v>2</v>
      </c>
      <c r="O118" s="538" t="n">
        <v>200</v>
      </c>
      <c r="P118" s="538" t="n">
        <v>0.2</v>
      </c>
      <c r="Q118" s="538" t="n">
        <v>0.2</v>
      </c>
      <c r="R118" s="538" t="n">
        <v>0.2</v>
      </c>
      <c r="S118" s="538" t="n">
        <v>0.2</v>
      </c>
      <c r="T118" s="538" t="n">
        <v>0.2</v>
      </c>
      <c r="U118" s="538" t="n">
        <v>0</v>
      </c>
      <c r="V118" s="538" t="n">
        <v>0</v>
      </c>
      <c r="W118" s="538" t="n">
        <v>0</v>
      </c>
      <c r="X118" s="538" t="n">
        <v>0</v>
      </c>
      <c r="Y118" s="538" t="n">
        <v>0</v>
      </c>
      <c r="Z118" s="538" t="n">
        <v>0</v>
      </c>
      <c r="AA118" s="538" t="n">
        <v>0</v>
      </c>
      <c r="AB118" s="538" t="n">
        <v>0</v>
      </c>
      <c r="AC118" s="538" t="n">
        <v>0</v>
      </c>
      <c r="AD118" s="538" t="n">
        <v>0</v>
      </c>
      <c r="AE118" s="538" t="n">
        <v>0</v>
      </c>
      <c r="AF118" s="538" t="n">
        <v>0</v>
      </c>
      <c r="AG118" s="538" t="n">
        <v>40</v>
      </c>
      <c r="AH118" s="538" t="n">
        <v>40</v>
      </c>
      <c r="AI118" s="538" t="n">
        <v>40</v>
      </c>
      <c r="AJ118" s="538" t="n">
        <v>40</v>
      </c>
      <c r="AK118" s="538" t="n">
        <v>40</v>
      </c>
      <c r="AL118" s="538" t="n">
        <v>0</v>
      </c>
      <c r="AM118" s="538" t="n">
        <v>0</v>
      </c>
      <c r="AN118" s="538" t="n">
        <v>0</v>
      </c>
      <c r="AO118" s="538" t="n">
        <v>0</v>
      </c>
      <c r="AP118" s="538" t="n">
        <v>0</v>
      </c>
      <c r="AQ118" s="538" t="n">
        <v>0</v>
      </c>
      <c r="AR118" s="538" t="n">
        <v>0</v>
      </c>
      <c r="AS118" s="538" t="n">
        <v>0</v>
      </c>
      <c r="AT118" s="538" t="n">
        <v>0</v>
      </c>
      <c r="AU118" s="538" t="n">
        <v>0</v>
      </c>
      <c r="AV118" s="538" t="n">
        <v>0</v>
      </c>
      <c r="AW118" s="538" t="n">
        <v>0</v>
      </c>
      <c r="AX118" s="538" t="n">
        <v>200</v>
      </c>
      <c r="AY118" s="538" t="n">
        <v>1.25</v>
      </c>
      <c r="AZ118" s="538" t="n">
        <v>5005</v>
      </c>
      <c r="BA118" s="538" t="n">
        <v>6256.25</v>
      </c>
      <c r="BB118" s="538" t="n">
        <v>7820.3125</v>
      </c>
      <c r="BC118" s="538" t="n">
        <v>0</v>
      </c>
      <c r="BD118" s="538" t="n">
        <v>0</v>
      </c>
      <c r="BE118" s="538" t="n">
        <v>0</v>
      </c>
      <c r="BF118" s="538" t="n">
        <v>0</v>
      </c>
      <c r="BG118" s="538" t="n">
        <v>0</v>
      </c>
      <c r="BH118" s="538" t="n">
        <v>0</v>
      </c>
      <c r="BI118" s="538" t="n">
        <v>0</v>
      </c>
      <c r="BJ118" t="n">
        <v>200</v>
      </c>
      <c r="BK118" t="n">
        <v>200</v>
      </c>
      <c r="BL118" t="n">
        <v>0</v>
      </c>
    </row>
    <row r="119" outlineLevel="1" s="191">
      <c r="A119" s="538" t="n">
        <v>2</v>
      </c>
      <c r="B119" s="538" t="inlineStr">
        <is>
          <t>e</t>
        </is>
      </c>
      <c r="C119" s="538" t="n">
        <v>1</v>
      </c>
      <c r="D119" s="538" t="inlineStr">
        <is>
          <t>.z01_2_e_1</t>
        </is>
      </c>
      <c r="E119" s="538" t="inlineStr">
        <is>
          <t>Utworzenie mechanizmu do transferu danych między infrastrukturą Wnioskodawcy a platformami technologicznymi (np. Google Cloud, Microsoft Azure, NVidia AI)</t>
        </is>
      </c>
      <c r="F119" s="538" t="inlineStr">
        <is>
          <t>Imię02</t>
        </is>
      </c>
      <c r="G119" s="538" t="inlineStr">
        <is>
          <t>ACT/END</t>
        </is>
      </c>
      <c r="H119" s="538" t="n">
        <v>5</v>
      </c>
      <c r="I119" s="538" t="inlineStr">
        <is>
          <t>.a02</t>
        </is>
      </c>
      <c r="J119" s="538" t="n">
        <v>13</v>
      </c>
      <c r="K119" s="538" t="n">
        <v>46288</v>
      </c>
      <c r="L119" s="538" t="n">
        <v>46288</v>
      </c>
      <c r="M119" s="538" t="n">
        <v>12</v>
      </c>
      <c r="N119" s="538" t="n">
        <v>0</v>
      </c>
      <c r="O119" s="538" t="n">
        <v>200</v>
      </c>
      <c r="P119" s="538" t="n">
        <v>0</v>
      </c>
      <c r="Q119" s="538" t="n">
        <v>0</v>
      </c>
      <c r="R119" s="538" t="n">
        <v>0</v>
      </c>
      <c r="S119" s="538" t="n">
        <v>0</v>
      </c>
      <c r="T119" s="538" t="n">
        <v>0</v>
      </c>
      <c r="U119" s="538" t="n">
        <v>0.15</v>
      </c>
      <c r="V119" s="538" t="n">
        <v>0.15</v>
      </c>
      <c r="W119" s="538" t="n">
        <v>0.15</v>
      </c>
      <c r="X119" s="538" t="n">
        <v>0.15</v>
      </c>
      <c r="Y119" s="538" t="n">
        <v>0.4</v>
      </c>
      <c r="Z119" s="538" t="n">
        <v>0</v>
      </c>
      <c r="AA119" s="538" t="n">
        <v>0</v>
      </c>
      <c r="AB119" s="538" t="n">
        <v>0</v>
      </c>
      <c r="AC119" s="538" t="n">
        <v>0</v>
      </c>
      <c r="AD119" s="538" t="n">
        <v>0</v>
      </c>
      <c r="AE119" s="538" t="n">
        <v>0</v>
      </c>
      <c r="AF119" s="538" t="n">
        <v>0</v>
      </c>
      <c r="AG119" s="538" t="n">
        <v>0</v>
      </c>
      <c r="AH119" s="538" t="n">
        <v>0</v>
      </c>
      <c r="AI119" s="538" t="n">
        <v>0</v>
      </c>
      <c r="AJ119" s="538" t="n">
        <v>0</v>
      </c>
      <c r="AK119" s="538" t="n">
        <v>0</v>
      </c>
      <c r="AL119" s="538" t="n">
        <v>30</v>
      </c>
      <c r="AM119" s="538" t="n">
        <v>30</v>
      </c>
      <c r="AN119" s="538" t="n">
        <v>30</v>
      </c>
      <c r="AO119" s="538" t="n">
        <v>30</v>
      </c>
      <c r="AP119" s="538" t="n">
        <v>80</v>
      </c>
      <c r="AQ119" s="538" t="n">
        <v>0</v>
      </c>
      <c r="AR119" s="538" t="n">
        <v>0</v>
      </c>
      <c r="AS119" s="538" t="n">
        <v>0</v>
      </c>
      <c r="AT119" s="538" t="n">
        <v>0</v>
      </c>
      <c r="AU119" s="538" t="n">
        <v>0</v>
      </c>
      <c r="AV119" s="538" t="n">
        <v>0</v>
      </c>
      <c r="AW119" s="538" t="n">
        <v>0</v>
      </c>
      <c r="AX119" s="538" t="n">
        <v>120</v>
      </c>
      <c r="AY119" s="538" t="n">
        <v>0.75</v>
      </c>
      <c r="AZ119" s="538" t="n">
        <v>5002</v>
      </c>
      <c r="BA119" s="538" t="n">
        <v>3751.5</v>
      </c>
      <c r="BB119" s="538" t="n">
        <v>2813.625</v>
      </c>
      <c r="BC119" s="538" t="n">
        <v>0</v>
      </c>
      <c r="BD119" s="538" t="n">
        <v>0</v>
      </c>
      <c r="BE119" s="538" t="n">
        <v>0</v>
      </c>
      <c r="BF119" s="538" t="n">
        <v>0</v>
      </c>
      <c r="BG119" s="538" t="n">
        <v>0</v>
      </c>
      <c r="BH119" s="538" t="n">
        <v>0</v>
      </c>
      <c r="BI119" s="538" t="n">
        <v>0</v>
      </c>
      <c r="BJ119" t="n">
        <v>200</v>
      </c>
      <c r="BK119" t="n">
        <v>200</v>
      </c>
      <c r="BL119" t="n">
        <v>0</v>
      </c>
    </row>
    <row r="120" outlineLevel="1" s="191">
      <c r="A120" s="538" t="n">
        <v>3</v>
      </c>
      <c r="B120" s="538" t="inlineStr">
        <is>
          <t>a</t>
        </is>
      </c>
      <c r="C120" s="538" t="n">
        <v>1</v>
      </c>
      <c r="D120" s="538" t="inlineStr">
        <is>
          <t>.z01_3_a_1</t>
        </is>
      </c>
      <c r="E120" s="538" t="inlineStr">
        <is>
          <t>3.Opracowanie narzędzi do automatycznego monitorowania, wykrywających anomalie i nieprawidłowości w danych w czasie rzeczywistym, współpracujących z wybraną platformą bazodanową, przeprowadzających automatyczne sprawdzanie kompletności rekordów. Flagowane będą rekordy z brakującymi danymi natychmiast po ich wprowadzeniu/aktualizacji i wysyłane powiadomienia do administratorów, gdy liczba tych rekordów przekroczy próg 10 rekordów. Będą śledzić czas ostatniej aktualizacji każdego rekordu, flagując te, które nie były aktualizowane zgodnie z ustalonym harmonogramem (co 24h i generować odpowiednie alerty.</t>
        </is>
      </c>
      <c r="F120" s="538" t="inlineStr">
        <is>
          <t>Imię01</t>
        </is>
      </c>
      <c r="G120" s="538" t="inlineStr">
        <is>
          <t>ACT</t>
        </is>
      </c>
      <c r="H120" s="538" t="n">
        <v>6</v>
      </c>
      <c r="I120" s="538" t="inlineStr">
        <is>
          <t>.a01</t>
        </is>
      </c>
      <c r="J120" s="538" t="n">
        <v>13</v>
      </c>
      <c r="K120" s="538" t="n">
        <v>46288</v>
      </c>
      <c r="L120" s="538" t="n">
        <v>46290</v>
      </c>
      <c r="M120" s="538" t="n">
        <v>14</v>
      </c>
      <c r="N120" s="538" t="n">
        <v>2</v>
      </c>
      <c r="O120" s="538" t="n">
        <v>80</v>
      </c>
      <c r="P120" s="538" t="n">
        <v>0.5</v>
      </c>
      <c r="Q120" s="538" t="n">
        <v>0.5</v>
      </c>
      <c r="R120" s="538" t="n">
        <v>0</v>
      </c>
      <c r="S120" s="538" t="n">
        <v>0</v>
      </c>
      <c r="T120" s="538" t="n">
        <v>0</v>
      </c>
      <c r="U120" s="538" t="n">
        <v>0</v>
      </c>
      <c r="V120" s="538" t="n">
        <v>0</v>
      </c>
      <c r="W120" s="538" t="n">
        <v>0</v>
      </c>
      <c r="X120" s="538" t="n">
        <v>0</v>
      </c>
      <c r="Y120" s="538" t="n">
        <v>0</v>
      </c>
      <c r="Z120" s="538" t="n">
        <v>0</v>
      </c>
      <c r="AA120" s="538" t="n">
        <v>0</v>
      </c>
      <c r="AB120" s="538" t="n">
        <v>0</v>
      </c>
      <c r="AC120" s="538" t="n">
        <v>0</v>
      </c>
      <c r="AD120" s="538" t="n">
        <v>0</v>
      </c>
      <c r="AE120" s="538" t="n">
        <v>0</v>
      </c>
      <c r="AF120" s="538" t="n">
        <v>0</v>
      </c>
      <c r="AG120" s="538" t="n">
        <v>40</v>
      </c>
      <c r="AH120" s="538" t="n">
        <v>40</v>
      </c>
      <c r="AI120" s="538" t="n">
        <v>0</v>
      </c>
      <c r="AJ120" s="538" t="n">
        <v>0</v>
      </c>
      <c r="AK120" s="538" t="n">
        <v>0</v>
      </c>
      <c r="AL120" s="538" t="n">
        <v>0</v>
      </c>
      <c r="AM120" s="538" t="n">
        <v>0</v>
      </c>
      <c r="AN120" s="538" t="n">
        <v>0</v>
      </c>
      <c r="AO120" s="538" t="n">
        <v>0</v>
      </c>
      <c r="AP120" s="538" t="n">
        <v>0</v>
      </c>
      <c r="AQ120" s="538" t="n">
        <v>0</v>
      </c>
      <c r="AR120" s="538" t="n">
        <v>0</v>
      </c>
      <c r="AS120" s="538" t="n">
        <v>0</v>
      </c>
      <c r="AT120" s="538" t="n">
        <v>0</v>
      </c>
      <c r="AU120" s="538" t="n">
        <v>0</v>
      </c>
      <c r="AV120" s="538" t="n">
        <v>0</v>
      </c>
      <c r="AW120" s="538" t="n">
        <v>0</v>
      </c>
      <c r="AX120" s="538" t="n">
        <v>80</v>
      </c>
      <c r="AY120" s="538" t="n">
        <v>0.5</v>
      </c>
      <c r="AZ120" s="538" t="n">
        <v>5001</v>
      </c>
      <c r="BA120" s="538" t="n">
        <v>2500.5</v>
      </c>
      <c r="BB120" s="538" t="n">
        <v>1250.25</v>
      </c>
      <c r="BC120" s="538" t="n">
        <v>0</v>
      </c>
      <c r="BD120" s="538" t="n">
        <v>0</v>
      </c>
      <c r="BE120" s="538" t="n">
        <v>0</v>
      </c>
      <c r="BF120" s="538" t="n">
        <v>0</v>
      </c>
      <c r="BG120" s="538" t="n">
        <v>0</v>
      </c>
      <c r="BH120" s="538" t="n">
        <v>0</v>
      </c>
      <c r="BI120" s="538" t="n">
        <v>0</v>
      </c>
      <c r="BJ120" t="n">
        <v>80</v>
      </c>
      <c r="BK120" t="n">
        <v>80</v>
      </c>
      <c r="BL120" t="n">
        <v>0</v>
      </c>
    </row>
    <row r="121" outlineLevel="1" s="191">
      <c r="A121" s="538" t="n">
        <v>4</v>
      </c>
      <c r="B121" s="538" t="inlineStr">
        <is>
          <t>a</t>
        </is>
      </c>
      <c r="C121" s="538" t="n">
        <v>0</v>
      </c>
      <c r="D121" s="538" t="inlineStr">
        <is>
          <t>.z01_4_a_0</t>
        </is>
      </c>
      <c r="E121" s="538" t="inlineStr">
        <is>
          <t>4.Połączenie WBD z wybranym systemem AI/ML, co pozwoli na zbadanie potencjału zaawansowanych metod  analitycznych AI/ML w celu zwiększenia wydajności procesów magazynowych.</t>
        </is>
      </c>
      <c r="F121" s="538" t="n">
        <v>0</v>
      </c>
      <c r="G121" s="538" t="n">
        <v>0</v>
      </c>
      <c r="H121" s="538" t="n">
        <v>0</v>
      </c>
      <c r="I121" s="538" t="n">
        <v>0</v>
      </c>
      <c r="J121" s="538" t="n">
        <v>15</v>
      </c>
      <c r="K121" s="538" t="n">
        <v>46302</v>
      </c>
      <c r="L121" s="538" t="n">
        <v>46302</v>
      </c>
      <c r="M121" s="538" t="n">
        <v>14</v>
      </c>
      <c r="N121" s="538" t="n">
        <v>0</v>
      </c>
      <c r="O121" s="538" t="n">
        <v>0</v>
      </c>
      <c r="P121" s="538" t="n">
        <v>0</v>
      </c>
      <c r="Q121" s="538" t="n">
        <v>0</v>
      </c>
      <c r="R121" s="538" t="n">
        <v>0</v>
      </c>
      <c r="S121" s="538" t="n">
        <v>0</v>
      </c>
      <c r="T121" s="538" t="n">
        <v>0</v>
      </c>
      <c r="U121" s="538" t="n">
        <v>0</v>
      </c>
      <c r="V121" s="538" t="n">
        <v>0</v>
      </c>
      <c r="W121" s="538" t="n">
        <v>0</v>
      </c>
      <c r="X121" s="538" t="n">
        <v>0</v>
      </c>
      <c r="Y121" s="538" t="n">
        <v>0</v>
      </c>
      <c r="Z121" s="538" t="n">
        <v>0</v>
      </c>
      <c r="AA121" s="538" t="n">
        <v>0</v>
      </c>
      <c r="AB121" s="538" t="n">
        <v>0</v>
      </c>
      <c r="AC121" s="538" t="n">
        <v>0</v>
      </c>
      <c r="AD121" s="538" t="n">
        <v>0</v>
      </c>
      <c r="AE121" s="538" t="n">
        <v>0</v>
      </c>
      <c r="AF121" s="538" t="n">
        <v>0</v>
      </c>
      <c r="AG121" s="538" t="n">
        <v>0</v>
      </c>
      <c r="AH121" s="538" t="n">
        <v>0</v>
      </c>
      <c r="AI121" s="538" t="n">
        <v>0</v>
      </c>
      <c r="AJ121" s="538" t="n">
        <v>0</v>
      </c>
      <c r="AK121" s="538" t="n">
        <v>0</v>
      </c>
      <c r="AL121" s="538" t="n">
        <v>0</v>
      </c>
      <c r="AM121" s="538" t="n">
        <v>0</v>
      </c>
      <c r="AN121" s="538" t="n">
        <v>0</v>
      </c>
      <c r="AO121" s="538" t="n">
        <v>0</v>
      </c>
      <c r="AP121" s="538" t="n">
        <v>0</v>
      </c>
      <c r="AQ121" s="538" t="n">
        <v>0</v>
      </c>
      <c r="AR121" s="538" t="n">
        <v>0</v>
      </c>
      <c r="AS121" s="538" t="n">
        <v>0</v>
      </c>
      <c r="AT121" s="538" t="n">
        <v>0</v>
      </c>
      <c r="AU121" s="538" t="n">
        <v>0</v>
      </c>
      <c r="AV121" s="538" t="n">
        <v>0</v>
      </c>
      <c r="AW121" s="538" t="n">
        <v>0</v>
      </c>
      <c r="AX121" s="538" t="n">
        <v>0</v>
      </c>
      <c r="AY121" s="538" t="n">
        <v>0</v>
      </c>
      <c r="AZ121" s="538" t="n">
        <v>0</v>
      </c>
      <c r="BA121" s="538" t="n">
        <v>0</v>
      </c>
      <c r="BB121" s="538" t="n">
        <v>0</v>
      </c>
      <c r="BC121" s="538" t="n">
        <v>0</v>
      </c>
      <c r="BD121" s="538" t="n">
        <v>0</v>
      </c>
      <c r="BE121" s="538" t="n">
        <v>0</v>
      </c>
      <c r="BF121" s="538" t="n">
        <v>0</v>
      </c>
      <c r="BG121" s="538" t="n">
        <v>0</v>
      </c>
      <c r="BH121" s="538" t="n">
        <v>0</v>
      </c>
      <c r="BI121" s="538" t="n">
        <v>0</v>
      </c>
      <c r="BJ121" t="n">
        <v>0</v>
      </c>
      <c r="BK121" t="n">
        <v>0</v>
      </c>
      <c r="BL121" t="n">
        <v>0</v>
      </c>
    </row>
    <row r="122" outlineLevel="1" s="191">
      <c r="A122" s="538" t="n">
        <v>4</v>
      </c>
      <c r="B122" s="538" t="inlineStr">
        <is>
          <t>a</t>
        </is>
      </c>
      <c r="C122" s="538" t="n">
        <v>1</v>
      </c>
      <c r="D122" s="538" t="inlineStr">
        <is>
          <t>.z01_4_a_1</t>
        </is>
      </c>
      <c r="E122" s="538" t="inlineStr">
        <is>
          <t xml:space="preserve">Zaimportowanie WBD w środowisku wybranej platformy AI/ML </t>
        </is>
      </c>
      <c r="F122" s="538" t="inlineStr">
        <is>
          <t>Imię03</t>
        </is>
      </c>
      <c r="G122" s="538" t="inlineStr">
        <is>
          <t>ACT</t>
        </is>
      </c>
      <c r="H122" s="538" t="n">
        <v>6</v>
      </c>
      <c r="I122" s="538" t="inlineStr">
        <is>
          <t>.a03</t>
        </is>
      </c>
      <c r="J122" s="538" t="n">
        <v>15</v>
      </c>
      <c r="K122" s="538" t="n">
        <v>46302</v>
      </c>
      <c r="L122" s="538" t="n">
        <v>46302</v>
      </c>
      <c r="M122" s="538" t="n">
        <v>14</v>
      </c>
      <c r="N122" s="538" t="n">
        <v>0</v>
      </c>
      <c r="O122" s="538" t="n">
        <v>45</v>
      </c>
      <c r="P122" s="538" t="n">
        <v>0</v>
      </c>
      <c r="Q122" s="538" t="n">
        <v>0</v>
      </c>
      <c r="R122" s="538" t="n">
        <v>0.17</v>
      </c>
      <c r="S122" s="538" t="n">
        <v>0.14</v>
      </c>
      <c r="T122" s="538" t="n">
        <v>0.11</v>
      </c>
      <c r="U122" s="538" t="n">
        <v>0.14</v>
      </c>
      <c r="V122" s="538" t="n">
        <v>0.14</v>
      </c>
      <c r="W122" s="538" t="n">
        <v>0.15</v>
      </c>
      <c r="X122" s="538" t="n">
        <v>0.15</v>
      </c>
      <c r="Y122" s="538" t="n">
        <v>0</v>
      </c>
      <c r="Z122" s="538" t="n">
        <v>0</v>
      </c>
      <c r="AA122" s="538" t="n">
        <v>0</v>
      </c>
      <c r="AB122" s="538" t="n">
        <v>0</v>
      </c>
      <c r="AC122" s="538" t="n">
        <v>0</v>
      </c>
      <c r="AD122" s="538" t="n">
        <v>0</v>
      </c>
      <c r="AE122" s="538" t="n">
        <v>0</v>
      </c>
      <c r="AF122" s="538" t="n">
        <v>0</v>
      </c>
      <c r="AG122" s="538" t="n">
        <v>0</v>
      </c>
      <c r="AH122" s="538" t="n">
        <v>0</v>
      </c>
      <c r="AI122" s="538" t="n">
        <v>8</v>
      </c>
      <c r="AJ122" s="538" t="n">
        <v>6</v>
      </c>
      <c r="AK122" s="538" t="n">
        <v>5</v>
      </c>
      <c r="AL122" s="538" t="n">
        <v>6</v>
      </c>
      <c r="AM122" s="538" t="n">
        <v>6</v>
      </c>
      <c r="AN122" s="538" t="n">
        <v>7</v>
      </c>
      <c r="AO122" s="538" t="n">
        <v>7</v>
      </c>
      <c r="AP122" s="538" t="n">
        <v>0</v>
      </c>
      <c r="AQ122" s="538" t="n">
        <v>0</v>
      </c>
      <c r="AR122" s="538" t="n">
        <v>0</v>
      </c>
      <c r="AS122" s="538" t="n">
        <v>0</v>
      </c>
      <c r="AT122" s="538" t="n">
        <v>0</v>
      </c>
      <c r="AU122" s="538" t="n">
        <v>0</v>
      </c>
      <c r="AV122" s="538" t="n">
        <v>0</v>
      </c>
      <c r="AW122" s="538" t="n">
        <v>0</v>
      </c>
      <c r="AX122" s="538" t="n">
        <v>45</v>
      </c>
      <c r="AY122" s="538" t="n">
        <v>0.28125</v>
      </c>
      <c r="AZ122" s="538" t="n">
        <v>5003</v>
      </c>
      <c r="BA122" s="538" t="n">
        <v>1407.09375</v>
      </c>
      <c r="BB122" s="538" t="n">
        <v>395.7451171875</v>
      </c>
      <c r="BC122" s="538" t="n">
        <v>0</v>
      </c>
      <c r="BD122" s="538" t="n">
        <v>0</v>
      </c>
      <c r="BE122" s="538" t="n">
        <v>0</v>
      </c>
      <c r="BF122" s="538" t="n">
        <v>0</v>
      </c>
      <c r="BG122" s="538" t="n">
        <v>0</v>
      </c>
      <c r="BH122" s="538" t="n">
        <v>0</v>
      </c>
      <c r="BI122" s="538" t="n">
        <v>0</v>
      </c>
      <c r="BJ122" t="n">
        <v>45</v>
      </c>
      <c r="BK122" t="n">
        <v>45</v>
      </c>
      <c r="BL122" t="n">
        <v>0</v>
      </c>
    </row>
    <row r="123" outlineLevel="1" s="191">
      <c r="A123" s="538" t="n">
        <v>4</v>
      </c>
      <c r="B123" s="538" t="inlineStr">
        <is>
          <t>b</t>
        </is>
      </c>
      <c r="C123" s="538" t="n">
        <v>1</v>
      </c>
      <c r="D123" s="538" t="inlineStr">
        <is>
          <t>.z01_4_b_1</t>
        </is>
      </c>
      <c r="E123" s="538" t="inlineStr">
        <is>
          <t>Sprawdzenie i potwierdzenie poprawności zaimplementowanych danych. Określenie zestawu danych testowych i referencyjnych do dalszych analiz</t>
        </is>
      </c>
      <c r="F123" s="538" t="inlineStr">
        <is>
          <t>Imię01</t>
        </is>
      </c>
      <c r="G123" s="538" t="inlineStr">
        <is>
          <t>ACT</t>
        </is>
      </c>
      <c r="H123" s="538" t="n">
        <v>6</v>
      </c>
      <c r="I123" s="538" t="inlineStr">
        <is>
          <t>.a01</t>
        </is>
      </c>
      <c r="J123" s="538" t="n">
        <v>15</v>
      </c>
      <c r="K123" s="538" t="n">
        <v>46302</v>
      </c>
      <c r="L123" s="538" t="n">
        <v>46302</v>
      </c>
      <c r="M123" s="538" t="n">
        <v>14</v>
      </c>
      <c r="N123" s="538" t="n">
        <v>0</v>
      </c>
      <c r="O123" s="538" t="n">
        <v>45</v>
      </c>
      <c r="P123" s="538" t="n">
        <v>0</v>
      </c>
      <c r="Q123" s="538" t="n">
        <v>0</v>
      </c>
      <c r="R123" s="538" t="n">
        <v>0.17</v>
      </c>
      <c r="S123" s="538" t="n">
        <v>0.16</v>
      </c>
      <c r="T123" s="538" t="n">
        <v>0.16</v>
      </c>
      <c r="U123" s="538" t="n">
        <v>0.17</v>
      </c>
      <c r="V123" s="538" t="n">
        <v>0.17</v>
      </c>
      <c r="W123" s="538" t="n">
        <v>0.17</v>
      </c>
      <c r="X123" s="538" t="n">
        <v>0</v>
      </c>
      <c r="Y123" s="538" t="n">
        <v>0</v>
      </c>
      <c r="Z123" s="538" t="n">
        <v>0</v>
      </c>
      <c r="AA123" s="538" t="n">
        <v>0</v>
      </c>
      <c r="AB123" s="538" t="n">
        <v>0</v>
      </c>
      <c r="AC123" s="538" t="n">
        <v>0</v>
      </c>
      <c r="AD123" s="538" t="n">
        <v>0</v>
      </c>
      <c r="AE123" s="538" t="n">
        <v>0</v>
      </c>
      <c r="AF123" s="538" t="n">
        <v>0</v>
      </c>
      <c r="AG123" s="538" t="n">
        <v>0</v>
      </c>
      <c r="AH123" s="538" t="n">
        <v>0</v>
      </c>
      <c r="AI123" s="538" t="n">
        <v>8</v>
      </c>
      <c r="AJ123" s="538" t="n">
        <v>7</v>
      </c>
      <c r="AK123" s="538" t="n">
        <v>7</v>
      </c>
      <c r="AL123" s="538" t="n">
        <v>8</v>
      </c>
      <c r="AM123" s="538" t="n">
        <v>8</v>
      </c>
      <c r="AN123" s="538" t="n">
        <v>8</v>
      </c>
      <c r="AO123" s="538" t="n">
        <v>0</v>
      </c>
      <c r="AP123" s="538" t="n">
        <v>0</v>
      </c>
      <c r="AQ123" s="538" t="n">
        <v>0</v>
      </c>
      <c r="AR123" s="538" t="n">
        <v>0</v>
      </c>
      <c r="AS123" s="538" t="n">
        <v>0</v>
      </c>
      <c r="AT123" s="538" t="n">
        <v>0</v>
      </c>
      <c r="AU123" s="538" t="n">
        <v>0</v>
      </c>
      <c r="AV123" s="538" t="n">
        <v>0</v>
      </c>
      <c r="AW123" s="538" t="n">
        <v>0</v>
      </c>
      <c r="AX123" s="538" t="n">
        <v>46</v>
      </c>
      <c r="AY123" s="538" t="n">
        <v>0.2875</v>
      </c>
      <c r="AZ123" s="538" t="n">
        <v>5001</v>
      </c>
      <c r="BA123" s="538" t="n">
        <v>1437.7875</v>
      </c>
      <c r="BB123" s="538" t="n">
        <v>413.36390625</v>
      </c>
      <c r="BC123" s="538" t="n">
        <v>0</v>
      </c>
      <c r="BD123" s="538" t="n">
        <v>0</v>
      </c>
      <c r="BE123" s="538" t="n">
        <v>0</v>
      </c>
      <c r="BF123" s="538" t="n">
        <v>0</v>
      </c>
      <c r="BG123" s="538" t="n">
        <v>0</v>
      </c>
      <c r="BH123" s="538" t="n">
        <v>0</v>
      </c>
      <c r="BI123" s="538" t="n">
        <v>0</v>
      </c>
      <c r="BJ123" t="n">
        <v>45</v>
      </c>
      <c r="BK123" t="n">
        <v>46</v>
      </c>
      <c r="BL123" t="n">
        <v>-1</v>
      </c>
    </row>
    <row r="124" outlineLevel="1" s="191">
      <c r="A124" s="538" t="n">
        <v>4</v>
      </c>
      <c r="B124" s="538" t="inlineStr">
        <is>
          <t>c</t>
        </is>
      </c>
      <c r="C124" s="538" t="n">
        <v>1</v>
      </c>
      <c r="D124" s="538" t="inlineStr">
        <is>
          <t>.z01_4_c_1</t>
        </is>
      </c>
      <c r="E124" s="538" t="inlineStr">
        <is>
          <t xml:space="preserve">Stworzenie zautomatyzowanego systemu aktualizacji danych WBD zintegrowanej z platformą. </t>
        </is>
      </c>
      <c r="F124" s="538" t="inlineStr">
        <is>
          <t>Imię02</t>
        </is>
      </c>
      <c r="G124" s="538" t="inlineStr">
        <is>
          <t>ACT</t>
        </is>
      </c>
      <c r="H124" s="538" t="n">
        <v>6</v>
      </c>
      <c r="I124" s="538" t="inlineStr">
        <is>
          <t>.a02</t>
        </is>
      </c>
      <c r="J124" s="538" t="n">
        <v>15</v>
      </c>
      <c r="K124" s="538" t="n">
        <v>46302</v>
      </c>
      <c r="L124" s="538" t="n">
        <v>46303</v>
      </c>
      <c r="M124" s="538" t="n">
        <v>15</v>
      </c>
      <c r="N124" s="538" t="n">
        <v>1</v>
      </c>
      <c r="O124" s="538" t="n">
        <v>80</v>
      </c>
      <c r="P124" s="538" t="n">
        <v>0</v>
      </c>
      <c r="Q124" s="538" t="n">
        <v>0</v>
      </c>
      <c r="R124" s="538" t="n">
        <v>0</v>
      </c>
      <c r="S124" s="538" t="n">
        <v>0.16</v>
      </c>
      <c r="T124" s="538" t="n">
        <v>0.16</v>
      </c>
      <c r="U124" s="538" t="n">
        <v>0.17</v>
      </c>
      <c r="V124" s="538" t="n">
        <v>0.17</v>
      </c>
      <c r="W124" s="538" t="n">
        <v>0.17</v>
      </c>
      <c r="X124" s="538" t="n">
        <v>0.17</v>
      </c>
      <c r="Y124" s="538" t="n">
        <v>0</v>
      </c>
      <c r="Z124" s="538" t="n">
        <v>0</v>
      </c>
      <c r="AA124" s="538" t="n">
        <v>0</v>
      </c>
      <c r="AB124" s="538" t="n">
        <v>0</v>
      </c>
      <c r="AC124" s="538" t="n">
        <v>0</v>
      </c>
      <c r="AD124" s="538" t="n">
        <v>0</v>
      </c>
      <c r="AE124" s="538" t="n">
        <v>0</v>
      </c>
      <c r="AF124" s="538" t="n">
        <v>0</v>
      </c>
      <c r="AG124" s="538" t="n">
        <v>0</v>
      </c>
      <c r="AH124" s="538" t="n">
        <v>0</v>
      </c>
      <c r="AI124" s="538" t="n">
        <v>0</v>
      </c>
      <c r="AJ124" s="538" t="n">
        <v>13</v>
      </c>
      <c r="AK124" s="538" t="n">
        <v>13</v>
      </c>
      <c r="AL124" s="538" t="n">
        <v>14</v>
      </c>
      <c r="AM124" s="538" t="n">
        <v>14</v>
      </c>
      <c r="AN124" s="538" t="n">
        <v>14</v>
      </c>
      <c r="AO124" s="538" t="n">
        <v>14</v>
      </c>
      <c r="AP124" s="538" t="n">
        <v>0</v>
      </c>
      <c r="AQ124" s="538" t="n">
        <v>0</v>
      </c>
      <c r="AR124" s="538" t="n">
        <v>0</v>
      </c>
      <c r="AS124" s="538" t="n">
        <v>0</v>
      </c>
      <c r="AT124" s="538" t="n">
        <v>0</v>
      </c>
      <c r="AU124" s="538" t="n">
        <v>0</v>
      </c>
      <c r="AV124" s="538" t="n">
        <v>0</v>
      </c>
      <c r="AW124" s="538" t="n">
        <v>0</v>
      </c>
      <c r="AX124" s="538" t="n">
        <v>82</v>
      </c>
      <c r="AY124" s="538" t="n">
        <v>0.5125</v>
      </c>
      <c r="AZ124" s="538" t="n">
        <v>5002</v>
      </c>
      <c r="BA124" s="538" t="n">
        <v>2563.525</v>
      </c>
      <c r="BB124" s="538" t="n">
        <v>1313.8065625</v>
      </c>
      <c r="BC124" s="538" t="n">
        <v>0</v>
      </c>
      <c r="BD124" s="538" t="n">
        <v>0</v>
      </c>
      <c r="BE124" s="538" t="n">
        <v>0</v>
      </c>
      <c r="BF124" s="538" t="n">
        <v>0</v>
      </c>
      <c r="BG124" s="538" t="n">
        <v>0</v>
      </c>
      <c r="BH124" s="538" t="n">
        <v>0</v>
      </c>
      <c r="BI124" s="538" t="n">
        <v>0</v>
      </c>
      <c r="BJ124" t="n">
        <v>80</v>
      </c>
      <c r="BK124" t="n">
        <v>82</v>
      </c>
      <c r="BL124" t="n">
        <v>-2</v>
      </c>
    </row>
    <row r="125" outlineLevel="1" s="191">
      <c r="A125" s="538" t="n">
        <v>5</v>
      </c>
      <c r="B125" s="538" t="inlineStr">
        <is>
          <t>a</t>
        </is>
      </c>
      <c r="C125" s="538" t="n">
        <v>1</v>
      </c>
      <c r="D125" s="538" t="inlineStr">
        <is>
          <t>.z01_5_a_1</t>
        </is>
      </c>
      <c r="E125" s="538" t="inlineStr">
        <is>
          <t>5.Opracowanie procedur/strategii bezpieczeństwa i zarządzania WBD</t>
        </is>
      </c>
      <c r="F125" s="538" t="inlineStr">
        <is>
          <t>Imię03</t>
        </is>
      </c>
      <c r="G125" s="538" t="inlineStr">
        <is>
          <t>ACT</t>
        </is>
      </c>
      <c r="H125" s="538" t="n">
        <v>7</v>
      </c>
      <c r="I125" s="538" t="inlineStr">
        <is>
          <t>.a03</t>
        </is>
      </c>
      <c r="J125" s="538" t="n">
        <v>16</v>
      </c>
      <c r="K125" s="538" t="n">
        <v>46309</v>
      </c>
      <c r="L125" s="538" t="n">
        <v>46310</v>
      </c>
      <c r="M125" s="538" t="n">
        <v>16</v>
      </c>
      <c r="N125" s="538" t="n">
        <v>1</v>
      </c>
      <c r="O125" s="538" t="n">
        <v>80</v>
      </c>
      <c r="P125" s="538" t="n">
        <v>0.11</v>
      </c>
      <c r="Q125" s="538" t="n">
        <v>0.11</v>
      </c>
      <c r="R125" s="538" t="n">
        <v>0.11</v>
      </c>
      <c r="S125" s="538" t="n">
        <v>0.11</v>
      </c>
      <c r="T125" s="538" t="n">
        <v>0.11</v>
      </c>
      <c r="U125" s="538" t="n">
        <v>0.11</v>
      </c>
      <c r="V125" s="538" t="n">
        <v>0.11</v>
      </c>
      <c r="W125" s="538" t="n">
        <v>0.11</v>
      </c>
      <c r="X125" s="538" t="n">
        <v>0.12</v>
      </c>
      <c r="Y125" s="538" t="n">
        <v>0</v>
      </c>
      <c r="Z125" s="538" t="n">
        <v>0</v>
      </c>
      <c r="AA125" s="538" t="n">
        <v>0</v>
      </c>
      <c r="AB125" s="538" t="n">
        <v>0</v>
      </c>
      <c r="AC125" s="538" t="n">
        <v>0</v>
      </c>
      <c r="AD125" s="538" t="n">
        <v>0</v>
      </c>
      <c r="AE125" s="538" t="n">
        <v>0</v>
      </c>
      <c r="AF125" s="538" t="n">
        <v>0</v>
      </c>
      <c r="AG125" s="538" t="n">
        <v>9</v>
      </c>
      <c r="AH125" s="538" t="n">
        <v>9</v>
      </c>
      <c r="AI125" s="538" t="n">
        <v>9</v>
      </c>
      <c r="AJ125" s="538" t="n">
        <v>9</v>
      </c>
      <c r="AK125" s="538" t="n">
        <v>9</v>
      </c>
      <c r="AL125" s="538" t="n">
        <v>9</v>
      </c>
      <c r="AM125" s="538" t="n">
        <v>9</v>
      </c>
      <c r="AN125" s="538" t="n">
        <v>9</v>
      </c>
      <c r="AO125" s="538" t="n">
        <v>10</v>
      </c>
      <c r="AP125" s="538" t="n">
        <v>0</v>
      </c>
      <c r="AQ125" s="538" t="n">
        <v>0</v>
      </c>
      <c r="AR125" s="538" t="n">
        <v>0</v>
      </c>
      <c r="AS125" s="538" t="n">
        <v>0</v>
      </c>
      <c r="AT125" s="538" t="n">
        <v>0</v>
      </c>
      <c r="AU125" s="538" t="n">
        <v>0</v>
      </c>
      <c r="AV125" s="538" t="n">
        <v>0</v>
      </c>
      <c r="AW125" s="538" t="n">
        <v>0</v>
      </c>
      <c r="AX125" s="538" t="n">
        <v>82</v>
      </c>
      <c r="AY125" s="538" t="n">
        <v>0.5125</v>
      </c>
      <c r="AZ125" s="538" t="n">
        <v>5003</v>
      </c>
      <c r="BA125" s="538" t="n">
        <v>2564.0375</v>
      </c>
      <c r="BB125" s="538" t="n">
        <v>1314.06921875</v>
      </c>
      <c r="BC125" s="538" t="n">
        <v>0</v>
      </c>
      <c r="BD125" s="538" t="n">
        <v>0</v>
      </c>
      <c r="BE125" s="538" t="n">
        <v>0</v>
      </c>
      <c r="BF125" s="538" t="n">
        <v>0</v>
      </c>
      <c r="BG125" s="538" t="n">
        <v>0</v>
      </c>
      <c r="BH125" s="538" t="n">
        <v>0</v>
      </c>
      <c r="BI125" s="538" t="n">
        <v>0</v>
      </c>
      <c r="BJ125" t="n">
        <v>80</v>
      </c>
      <c r="BK125" t="n">
        <v>82</v>
      </c>
      <c r="BL125" t="n">
        <v>-2</v>
      </c>
    </row>
    <row r="126" outlineLevel="1" s="191">
      <c r="A126" s="538" t="n">
        <v>6</v>
      </c>
      <c r="B126" s="538" t="inlineStr">
        <is>
          <t>a</t>
        </is>
      </c>
      <c r="C126" s="538" t="n">
        <v>1</v>
      </c>
      <c r="D126" s="538" t="inlineStr">
        <is>
          <t>.z01_6_a_1</t>
        </is>
      </c>
      <c r="E126" s="538" t="inlineStr">
        <is>
          <t>6.Opracowanie dokumentacji WBD</t>
        </is>
      </c>
      <c r="F126" s="538" t="inlineStr">
        <is>
          <t>Imię01</t>
        </is>
      </c>
      <c r="G126" s="538" t="inlineStr">
        <is>
          <t>ACT</t>
        </is>
      </c>
      <c r="H126" s="538" t="n">
        <v>8</v>
      </c>
      <c r="I126" s="538" t="inlineStr">
        <is>
          <t>.a01</t>
        </is>
      </c>
      <c r="J126" s="538" t="n">
        <v>17</v>
      </c>
      <c r="K126" s="538" t="n">
        <v>46316</v>
      </c>
      <c r="L126" s="538" t="n">
        <v>46317</v>
      </c>
      <c r="M126" s="538" t="n">
        <v>17</v>
      </c>
      <c r="N126" s="538" t="n">
        <v>1</v>
      </c>
      <c r="O126" s="538" t="n">
        <v>120</v>
      </c>
      <c r="P126" s="538" t="n">
        <v>0.11</v>
      </c>
      <c r="Q126" s="538" t="n">
        <v>0.11</v>
      </c>
      <c r="R126" s="538" t="n">
        <v>0.11</v>
      </c>
      <c r="S126" s="538" t="n">
        <v>0.11</v>
      </c>
      <c r="T126" s="538" t="n">
        <v>0.11</v>
      </c>
      <c r="U126" s="538" t="n">
        <v>0.11</v>
      </c>
      <c r="V126" s="538" t="n">
        <v>0.11</v>
      </c>
      <c r="W126" s="538" t="n">
        <v>0.11</v>
      </c>
      <c r="X126" s="538" t="n">
        <v>0.12</v>
      </c>
      <c r="Y126" s="538" t="n">
        <v>0</v>
      </c>
      <c r="Z126" s="538" t="n">
        <v>0</v>
      </c>
      <c r="AA126" s="538" t="n">
        <v>0</v>
      </c>
      <c r="AB126" s="538" t="n">
        <v>0</v>
      </c>
      <c r="AC126" s="538" t="n">
        <v>0</v>
      </c>
      <c r="AD126" s="538" t="n">
        <v>0</v>
      </c>
      <c r="AE126" s="538" t="n">
        <v>0</v>
      </c>
      <c r="AF126" s="538" t="n">
        <v>0</v>
      </c>
      <c r="AG126" s="538" t="n">
        <v>13</v>
      </c>
      <c r="AH126" s="538" t="n">
        <v>13</v>
      </c>
      <c r="AI126" s="538" t="n">
        <v>13</v>
      </c>
      <c r="AJ126" s="538" t="n">
        <v>13</v>
      </c>
      <c r="AK126" s="538" t="n">
        <v>13</v>
      </c>
      <c r="AL126" s="538" t="n">
        <v>13</v>
      </c>
      <c r="AM126" s="538" t="n">
        <v>13</v>
      </c>
      <c r="AN126" s="538" t="n">
        <v>13</v>
      </c>
      <c r="AO126" s="538" t="n">
        <v>14</v>
      </c>
      <c r="AP126" s="538" t="n">
        <v>0</v>
      </c>
      <c r="AQ126" s="538" t="n">
        <v>0</v>
      </c>
      <c r="AR126" s="538" t="n">
        <v>0</v>
      </c>
      <c r="AS126" s="538" t="n">
        <v>0</v>
      </c>
      <c r="AT126" s="538" t="n">
        <v>0</v>
      </c>
      <c r="AU126" s="538" t="n">
        <v>0</v>
      </c>
      <c r="AV126" s="538" t="n">
        <v>0</v>
      </c>
      <c r="AW126" s="538" t="n">
        <v>0</v>
      </c>
      <c r="AX126" s="538" t="n">
        <v>118</v>
      </c>
      <c r="AY126" s="538" t="n">
        <v>0.7375</v>
      </c>
      <c r="AZ126" s="538" t="n">
        <v>5001</v>
      </c>
      <c r="BA126" s="538" t="n">
        <v>3688.2375</v>
      </c>
      <c r="BB126" s="538" t="n">
        <v>2720.07515625</v>
      </c>
      <c r="BC126" s="538" t="n">
        <v>0</v>
      </c>
      <c r="BD126" s="538" t="n">
        <v>0</v>
      </c>
      <c r="BE126" s="538" t="n">
        <v>0</v>
      </c>
      <c r="BF126" s="538" t="n">
        <v>0</v>
      </c>
      <c r="BG126" s="538" t="n">
        <v>0</v>
      </c>
      <c r="BH126" s="538" t="n">
        <v>0</v>
      </c>
      <c r="BI126" s="538" t="n">
        <v>0</v>
      </c>
      <c r="BJ126" t="n">
        <v>120</v>
      </c>
      <c r="BK126" t="n">
        <v>118</v>
      </c>
      <c r="BL126" t="n">
        <v>2</v>
      </c>
    </row>
    <row r="127" outlineLevel="1" s="191">
      <c r="A127" s="538" t="inlineStr">
        <is>
          <t>.z01</t>
        </is>
      </c>
      <c r="B127" s="538" t="n"/>
      <c r="C127" s="538" t="n"/>
      <c r="D127" s="538" t="n"/>
      <c r="E127" s="538" t="n"/>
      <c r="BJ127" t="n">
        <v>0</v>
      </c>
      <c r="BK127" t="n">
        <v>0</v>
      </c>
      <c r="BL127" t="n">
        <v>0</v>
      </c>
    </row>
    <row r="128" outlineLevel="1" s="191">
      <c r="A128" s="538" t="inlineStr">
        <is>
          <t>.z01</t>
        </is>
      </c>
      <c r="B128" s="538" t="n"/>
      <c r="C128" s="538" t="n"/>
      <c r="D128" s="538" t="n"/>
      <c r="E128" s="538" t="n"/>
      <c r="BJ128" t="n">
        <v>0</v>
      </c>
      <c r="BK128" t="n">
        <v>0</v>
      </c>
      <c r="BL128" t="n">
        <v>0</v>
      </c>
    </row>
    <row r="129" outlineLevel="1" s="191">
      <c r="A129" s="538" t="inlineStr">
        <is>
          <t>.z01</t>
        </is>
      </c>
      <c r="B129" s="538" t="n"/>
      <c r="C129" s="538" t="n"/>
      <c r="D129" s="538" t="n"/>
      <c r="E129" s="538" t="n"/>
      <c r="BJ129" t="n">
        <v>0</v>
      </c>
      <c r="BK129" t="n">
        <v>0</v>
      </c>
      <c r="BL129" t="n">
        <v>0</v>
      </c>
    </row>
    <row r="130" outlineLevel="1" s="191">
      <c r="A130" t="inlineStr">
        <is>
          <t>.z01</t>
        </is>
      </c>
      <c r="BJ130" t="n">
        <v>0</v>
      </c>
      <c r="BK130" t="n">
        <v>0</v>
      </c>
      <c r="BL130" t="n">
        <v>0</v>
      </c>
    </row>
    <row r="131" outlineLevel="1" s="191">
      <c r="A131" t="inlineStr">
        <is>
          <t>.z01</t>
        </is>
      </c>
      <c r="BJ131" t="n">
        <v>0</v>
      </c>
      <c r="BK131" t="n">
        <v>0</v>
      </c>
      <c r="BL131" t="n">
        <v>0</v>
      </c>
    </row>
    <row r="132" outlineLevel="1" s="191">
      <c r="A132" t="inlineStr">
        <is>
          <t>.z01</t>
        </is>
      </c>
      <c r="BJ132" t="n">
        <v>0</v>
      </c>
      <c r="BK132" t="n">
        <v>0</v>
      </c>
      <c r="BL132" t="n">
        <v>0</v>
      </c>
    </row>
    <row r="133" outlineLevel="1" s="191">
      <c r="A133" t="inlineStr">
        <is>
          <t>.z01</t>
        </is>
      </c>
      <c r="BJ133" t="n">
        <v>0</v>
      </c>
      <c r="BK133" t="n">
        <v>0</v>
      </c>
      <c r="BL133" t="n">
        <v>0</v>
      </c>
    </row>
    <row r="134" outlineLevel="1" s="191">
      <c r="A134" t="inlineStr">
        <is>
          <t>.z01</t>
        </is>
      </c>
      <c r="BJ134" t="n">
        <v>0</v>
      </c>
      <c r="BK134" t="n">
        <v>0</v>
      </c>
      <c r="BL134" t="n">
        <v>0</v>
      </c>
    </row>
    <row r="135" outlineLevel="1" s="191">
      <c r="A135" t="inlineStr">
        <is>
          <t>.z01</t>
        </is>
      </c>
      <c r="BJ135" t="n">
        <v>0</v>
      </c>
      <c r="BK135" t="n">
        <v>0</v>
      </c>
      <c r="BL135" t="n">
        <v>0</v>
      </c>
    </row>
    <row r="136" outlineLevel="1" s="191">
      <c r="A136" t="inlineStr">
        <is>
          <t>.z01</t>
        </is>
      </c>
      <c r="BJ136" t="n">
        <v>0</v>
      </c>
      <c r="BK136" t="n">
        <v>0</v>
      </c>
      <c r="BL136" t="n">
        <v>0</v>
      </c>
    </row>
    <row r="137" outlineLevel="1" s="191">
      <c r="A137" t="inlineStr">
        <is>
          <t>.z01</t>
        </is>
      </c>
      <c r="BJ137" t="n">
        <v>0</v>
      </c>
      <c r="BK137" t="n">
        <v>0</v>
      </c>
      <c r="BL137" t="n">
        <v>0</v>
      </c>
    </row>
    <row r="138" outlineLevel="1" s="191">
      <c r="A138" t="inlineStr">
        <is>
          <t>.z01</t>
        </is>
      </c>
      <c r="BJ138" t="n">
        <v>0</v>
      </c>
      <c r="BK138" t="n">
        <v>0</v>
      </c>
      <c r="BL138" t="n">
        <v>0</v>
      </c>
    </row>
    <row r="139" outlineLevel="1" s="191">
      <c r="A139" t="inlineStr">
        <is>
          <t>.z01</t>
        </is>
      </c>
      <c r="BJ139" t="n">
        <v>0</v>
      </c>
      <c r="BK139" t="n">
        <v>0</v>
      </c>
      <c r="BL139" t="n">
        <v>0</v>
      </c>
    </row>
    <row r="140" outlineLevel="1" s="191">
      <c r="A140" t="inlineStr">
        <is>
          <t>.z01</t>
        </is>
      </c>
      <c r="BJ140" t="n">
        <v>0</v>
      </c>
      <c r="BK140" t="n">
        <v>0</v>
      </c>
      <c r="BL140" t="n">
        <v>0</v>
      </c>
    </row>
    <row r="141" outlineLevel="1" s="191">
      <c r="A141" t="inlineStr">
        <is>
          <t>.z01</t>
        </is>
      </c>
      <c r="BJ141" t="n">
        <v>0</v>
      </c>
      <c r="BK141" t="n">
        <v>0</v>
      </c>
      <c r="BL141" t="n">
        <v>0</v>
      </c>
    </row>
    <row r="142" outlineLevel="1" s="191">
      <c r="A142" t="inlineStr">
        <is>
          <t>.z01</t>
        </is>
      </c>
      <c r="BJ142" t="n">
        <v>0</v>
      </c>
      <c r="BK142" t="n">
        <v>0</v>
      </c>
      <c r="BL142" t="n">
        <v>0</v>
      </c>
    </row>
    <row r="143" outlineLevel="1" s="191">
      <c r="A143" t="inlineStr">
        <is>
          <t>.z01</t>
        </is>
      </c>
      <c r="BJ143" t="n">
        <v>0</v>
      </c>
      <c r="BK143" t="n">
        <v>0</v>
      </c>
      <c r="BL143" t="n">
        <v>0</v>
      </c>
    </row>
    <row r="144" outlineLevel="1" s="191">
      <c r="A144" t="inlineStr">
        <is>
          <t>.z01</t>
        </is>
      </c>
      <c r="BJ144" t="n">
        <v>0</v>
      </c>
      <c r="BK144" t="n">
        <v>0</v>
      </c>
      <c r="BL144" t="n">
        <v>0</v>
      </c>
    </row>
    <row r="145" outlineLevel="1" s="191">
      <c r="A145" t="inlineStr">
        <is>
          <t>.z01</t>
        </is>
      </c>
      <c r="BJ145" t="n">
        <v>0</v>
      </c>
      <c r="BK145" t="n">
        <v>0</v>
      </c>
      <c r="BL145" t="n">
        <v>0</v>
      </c>
    </row>
    <row r="146" outlineLevel="1" s="191">
      <c r="A146" t="inlineStr">
        <is>
          <t>.z01</t>
        </is>
      </c>
      <c r="BJ146" t="n">
        <v>0</v>
      </c>
      <c r="BK146" t="n">
        <v>0</v>
      </c>
      <c r="BL146" t="n">
        <v>0</v>
      </c>
    </row>
    <row r="147" outlineLevel="1" s="191">
      <c r="A147" t="inlineStr">
        <is>
          <t>.z01</t>
        </is>
      </c>
      <c r="BJ147" t="n">
        <v>0</v>
      </c>
      <c r="BK147" t="n">
        <v>0</v>
      </c>
      <c r="BL147" t="n">
        <v>0</v>
      </c>
    </row>
    <row r="148" outlineLevel="1" s="191">
      <c r="A148" t="inlineStr">
        <is>
          <t>.z01</t>
        </is>
      </c>
      <c r="BJ148" t="n">
        <v>0</v>
      </c>
      <c r="BK148" t="n">
        <v>0</v>
      </c>
      <c r="BL148" t="n">
        <v>0</v>
      </c>
    </row>
    <row r="149" outlineLevel="1" s="191">
      <c r="A149" t="inlineStr">
        <is>
          <t>.z01</t>
        </is>
      </c>
      <c r="BJ149" t="n">
        <v>0</v>
      </c>
      <c r="BK149" t="n">
        <v>0</v>
      </c>
      <c r="BL149" t="n">
        <v>0</v>
      </c>
    </row>
    <row r="150" outlineLevel="1" s="191">
      <c r="A150" t="inlineStr">
        <is>
          <t>.z01</t>
        </is>
      </c>
      <c r="BJ150" t="n">
        <v>0</v>
      </c>
      <c r="BK150" t="n">
        <v>0</v>
      </c>
      <c r="BL150" t="n">
        <v>0</v>
      </c>
    </row>
    <row r="151" outlineLevel="1" s="191">
      <c r="A151" t="inlineStr">
        <is>
          <t>.z01</t>
        </is>
      </c>
      <c r="BJ151" t="n">
        <v>0</v>
      </c>
      <c r="BK151" t="n">
        <v>0</v>
      </c>
      <c r="BL151" t="n">
        <v>0</v>
      </c>
    </row>
    <row r="152" outlineLevel="1" s="191">
      <c r="A152" t="inlineStr">
        <is>
          <t>.z01</t>
        </is>
      </c>
      <c r="BJ152" t="n">
        <v>0</v>
      </c>
      <c r="BK152" t="n">
        <v>0</v>
      </c>
      <c r="BL152" t="n">
        <v>0</v>
      </c>
    </row>
    <row r="153" outlineLevel="1" s="191">
      <c r="A153" t="inlineStr">
        <is>
          <t>.z01</t>
        </is>
      </c>
      <c r="BJ153" t="n">
        <v>0</v>
      </c>
      <c r="BK153" t="n">
        <v>0</v>
      </c>
      <c r="BL153" t="n">
        <v>0</v>
      </c>
    </row>
    <row r="154" outlineLevel="1" s="191">
      <c r="A154" t="inlineStr">
        <is>
          <t>.z01</t>
        </is>
      </c>
      <c r="BJ154" t="n">
        <v>0</v>
      </c>
      <c r="BK154" t="n">
        <v>0</v>
      </c>
      <c r="BL154" t="n">
        <v>0</v>
      </c>
    </row>
    <row r="155" outlineLevel="1" s="191">
      <c r="A155" t="inlineStr">
        <is>
          <t>.z01</t>
        </is>
      </c>
      <c r="BJ155" t="n">
        <v>0</v>
      </c>
      <c r="BK155" t="n">
        <v>0</v>
      </c>
      <c r="BL155" t="n">
        <v>0</v>
      </c>
    </row>
    <row r="156" outlineLevel="1" s="191">
      <c r="A156" t="inlineStr">
        <is>
          <t>.z01</t>
        </is>
      </c>
      <c r="BJ156" t="n">
        <v>0</v>
      </c>
      <c r="BK156" t="n">
        <v>0</v>
      </c>
      <c r="BL156" t="n">
        <v>0</v>
      </c>
    </row>
    <row r="157" outlineLevel="1" s="191">
      <c r="A157" t="inlineStr">
        <is>
          <t>.z01</t>
        </is>
      </c>
      <c r="BJ157" t="n">
        <v>0</v>
      </c>
      <c r="BK157" t="n">
        <v>0</v>
      </c>
      <c r="BL157" t="n">
        <v>0</v>
      </c>
    </row>
    <row r="158" outlineLevel="1" s="191">
      <c r="A158" t="inlineStr">
        <is>
          <t>.z01</t>
        </is>
      </c>
      <c r="BJ158" t="n">
        <v>0</v>
      </c>
      <c r="BK158" t="n">
        <v>0</v>
      </c>
      <c r="BL158" t="n">
        <v>0</v>
      </c>
    </row>
    <row r="159" outlineLevel="1" s="191">
      <c r="A159" t="inlineStr">
        <is>
          <t>.z01</t>
        </is>
      </c>
      <c r="BJ159" t="n">
        <v>0</v>
      </c>
      <c r="BK159" t="n">
        <v>0</v>
      </c>
      <c r="BL159" t="n">
        <v>0</v>
      </c>
    </row>
    <row r="160" outlineLevel="1" s="191">
      <c r="A160" t="inlineStr">
        <is>
          <t>.z01</t>
        </is>
      </c>
      <c r="BJ160" t="n">
        <v>0</v>
      </c>
      <c r="BK160" t="n">
        <v>0</v>
      </c>
      <c r="BL160" t="n">
        <v>0</v>
      </c>
    </row>
    <row r="161" outlineLevel="1" s="191">
      <c r="A161" t="inlineStr">
        <is>
          <t>.z01</t>
        </is>
      </c>
      <c r="BJ161" t="n">
        <v>0</v>
      </c>
      <c r="BK161" t="n">
        <v>0</v>
      </c>
      <c r="BL161" t="n">
        <v>0</v>
      </c>
    </row>
    <row r="162" outlineLevel="1" s="191">
      <c r="A162" t="inlineStr">
        <is>
          <t>.z01</t>
        </is>
      </c>
      <c r="BJ162" t="n">
        <v>0</v>
      </c>
      <c r="BK162" t="n">
        <v>0</v>
      </c>
      <c r="BL162" t="n">
        <v>0</v>
      </c>
    </row>
    <row r="163" outlineLevel="1" s="191">
      <c r="A163" t="inlineStr">
        <is>
          <t>.z01</t>
        </is>
      </c>
      <c r="BJ163" t="n">
        <v>0</v>
      </c>
      <c r="BK163" t="n">
        <v>0</v>
      </c>
      <c r="BL163" t="n">
        <v>0</v>
      </c>
    </row>
    <row r="164" outlineLevel="1" s="191">
      <c r="A164" t="inlineStr">
        <is>
          <t>.z01</t>
        </is>
      </c>
      <c r="BJ164" t="n">
        <v>0</v>
      </c>
      <c r="BK164" t="n">
        <v>0</v>
      </c>
      <c r="BL164" t="n">
        <v>0</v>
      </c>
    </row>
    <row r="165" outlineLevel="1" s="191">
      <c r="A165" t="inlineStr">
        <is>
          <t>.z01</t>
        </is>
      </c>
      <c r="BJ165" t="n">
        <v>0</v>
      </c>
      <c r="BK165" t="n">
        <v>0</v>
      </c>
      <c r="BL165" t="n">
        <v>0</v>
      </c>
    </row>
    <row r="166" outlineLevel="1" s="191">
      <c r="A166" t="inlineStr">
        <is>
          <t>.z01</t>
        </is>
      </c>
      <c r="BJ166" t="n">
        <v>0</v>
      </c>
      <c r="BK166" t="n">
        <v>0</v>
      </c>
      <c r="BL166" t="n">
        <v>0</v>
      </c>
    </row>
    <row r="167" outlineLevel="1" s="191">
      <c r="A167" t="inlineStr">
        <is>
          <t>.z01</t>
        </is>
      </c>
      <c r="BJ167" t="n">
        <v>0</v>
      </c>
      <c r="BK167" t="n">
        <v>0</v>
      </c>
      <c r="BL167" t="n">
        <v>0</v>
      </c>
    </row>
    <row r="168" outlineLevel="1" s="191">
      <c r="A168" t="inlineStr">
        <is>
          <t>.z01</t>
        </is>
      </c>
      <c r="BJ168" t="n">
        <v>0</v>
      </c>
      <c r="BK168" t="n">
        <v>0</v>
      </c>
      <c r="BL168" t="n">
        <v>0</v>
      </c>
    </row>
    <row r="169" outlineLevel="1" s="191">
      <c r="A169" t="inlineStr">
        <is>
          <t>.z01</t>
        </is>
      </c>
      <c r="BJ169" t="n">
        <v>0</v>
      </c>
      <c r="BK169" t="n">
        <v>0</v>
      </c>
      <c r="BL169" t="n">
        <v>0</v>
      </c>
    </row>
    <row r="170" outlineLevel="1" s="191">
      <c r="A170" t="inlineStr">
        <is>
          <t>.z01</t>
        </is>
      </c>
      <c r="BJ170" t="n">
        <v>0</v>
      </c>
      <c r="BK170" t="n">
        <v>0</v>
      </c>
      <c r="BL170" t="n">
        <v>0</v>
      </c>
    </row>
    <row r="171" outlineLevel="1" s="191">
      <c r="A171" t="inlineStr">
        <is>
          <t>.z01</t>
        </is>
      </c>
      <c r="BJ171" t="n">
        <v>0</v>
      </c>
      <c r="BK171" t="n">
        <v>0</v>
      </c>
      <c r="BL171" t="n">
        <v>0</v>
      </c>
    </row>
    <row r="172" outlineLevel="1" s="191">
      <c r="A172" t="inlineStr">
        <is>
          <t>.z01</t>
        </is>
      </c>
      <c r="BJ172" t="n">
        <v>0</v>
      </c>
      <c r="BK172" t="n">
        <v>0</v>
      </c>
      <c r="BL172" t="n">
        <v>0</v>
      </c>
    </row>
    <row r="173" outlineLevel="1" s="191">
      <c r="A173" t="inlineStr">
        <is>
          <t>.z01</t>
        </is>
      </c>
      <c r="BJ173" t="n">
        <v>0</v>
      </c>
      <c r="BK173" t="n">
        <v>0</v>
      </c>
      <c r="BL173" t="n">
        <v>0</v>
      </c>
    </row>
    <row r="174" outlineLevel="1" s="191">
      <c r="A174" t="inlineStr">
        <is>
          <t>.z01</t>
        </is>
      </c>
      <c r="BJ174" t="n">
        <v>0</v>
      </c>
      <c r="BK174" t="n">
        <v>0</v>
      </c>
      <c r="BL174" t="n">
        <v>0</v>
      </c>
    </row>
    <row r="175" outlineLevel="1" s="191">
      <c r="A175" t="inlineStr">
        <is>
          <t>.z01</t>
        </is>
      </c>
      <c r="BJ175" t="n">
        <v>0</v>
      </c>
      <c r="BK175" t="n">
        <v>0</v>
      </c>
      <c r="BL175" t="n">
        <v>0</v>
      </c>
    </row>
    <row r="176" outlineLevel="1" s="191">
      <c r="A176" t="inlineStr">
        <is>
          <t>.z01</t>
        </is>
      </c>
      <c r="BJ176" t="n">
        <v>0</v>
      </c>
      <c r="BK176" t="n">
        <v>0</v>
      </c>
      <c r="BL176" t="n">
        <v>0</v>
      </c>
    </row>
    <row r="177" outlineLevel="1" s="191">
      <c r="A177" t="inlineStr">
        <is>
          <t>.z01</t>
        </is>
      </c>
      <c r="BJ177" t="n">
        <v>0</v>
      </c>
      <c r="BK177" t="n">
        <v>0</v>
      </c>
      <c r="BL177" t="n">
        <v>0</v>
      </c>
    </row>
    <row r="178" outlineLevel="1" s="191">
      <c r="A178" t="inlineStr">
        <is>
          <t>.z01</t>
        </is>
      </c>
      <c r="BJ178" t="n">
        <v>0</v>
      </c>
      <c r="BK178" t="n">
        <v>0</v>
      </c>
      <c r="BL178" t="n">
        <v>0</v>
      </c>
    </row>
    <row r="179" outlineLevel="1" s="191">
      <c r="A179" t="inlineStr">
        <is>
          <t>.z01</t>
        </is>
      </c>
      <c r="BJ179" t="n">
        <v>0</v>
      </c>
      <c r="BK179" t="n">
        <v>0</v>
      </c>
      <c r="BL179" t="n">
        <v>0</v>
      </c>
    </row>
    <row r="180" outlineLevel="1" s="191">
      <c r="A180" t="inlineStr">
        <is>
          <t>.z01</t>
        </is>
      </c>
      <c r="BJ180" t="n">
        <v>0</v>
      </c>
      <c r="BK180" t="n">
        <v>0</v>
      </c>
      <c r="BL180" t="n">
        <v>0</v>
      </c>
    </row>
    <row r="181" outlineLevel="1" s="191">
      <c r="A181" t="inlineStr">
        <is>
          <t>.z01</t>
        </is>
      </c>
      <c r="BJ181" t="n">
        <v>0</v>
      </c>
      <c r="BK181" t="n">
        <v>0</v>
      </c>
      <c r="BL181" t="n">
        <v>0</v>
      </c>
    </row>
    <row r="182" outlineLevel="1" s="191">
      <c r="A182" t="inlineStr">
        <is>
          <t>.z01</t>
        </is>
      </c>
      <c r="BJ182" t="n">
        <v>0</v>
      </c>
      <c r="BK182" t="n">
        <v>0</v>
      </c>
      <c r="BL182" t="n">
        <v>0</v>
      </c>
    </row>
    <row r="183" outlineLevel="1" s="191">
      <c r="A183" t="inlineStr">
        <is>
          <t>.z01</t>
        </is>
      </c>
      <c r="BJ183" t="n">
        <v>0</v>
      </c>
      <c r="BK183" t="n">
        <v>0</v>
      </c>
      <c r="BL183" t="n">
        <v>0</v>
      </c>
    </row>
    <row r="184" outlineLevel="1" s="191">
      <c r="A184" t="inlineStr">
        <is>
          <t>.z01</t>
        </is>
      </c>
      <c r="BJ184" t="n">
        <v>0</v>
      </c>
      <c r="BK184" t="n">
        <v>0</v>
      </c>
      <c r="BL184" t="n">
        <v>0</v>
      </c>
    </row>
    <row r="185" outlineLevel="1" s="191">
      <c r="A185" t="inlineStr">
        <is>
          <t>.z01</t>
        </is>
      </c>
      <c r="BJ185" t="n">
        <v>0</v>
      </c>
      <c r="BK185" t="n">
        <v>0</v>
      </c>
      <c r="BL185" t="n">
        <v>0</v>
      </c>
    </row>
    <row r="186" outlineLevel="1" s="191">
      <c r="A186" t="inlineStr">
        <is>
          <t>.z01</t>
        </is>
      </c>
      <c r="BJ186" t="n">
        <v>0</v>
      </c>
      <c r="BK186" t="n">
        <v>0</v>
      </c>
      <c r="BL186" t="n">
        <v>0</v>
      </c>
    </row>
    <row r="187" outlineLevel="1" s="191">
      <c r="A187" t="inlineStr">
        <is>
          <t>.z01</t>
        </is>
      </c>
      <c r="BJ187" t="n">
        <v>0</v>
      </c>
      <c r="BK187" t="n">
        <v>0</v>
      </c>
      <c r="BL187" t="n">
        <v>0</v>
      </c>
    </row>
    <row r="188" outlineLevel="1" s="191">
      <c r="A188" t="inlineStr">
        <is>
          <t>.z01</t>
        </is>
      </c>
      <c r="BJ188" t="n">
        <v>0</v>
      </c>
      <c r="BK188" t="n">
        <v>0</v>
      </c>
      <c r="BL188" t="n">
        <v>0</v>
      </c>
    </row>
    <row r="189" outlineLevel="1" s="191">
      <c r="A189" t="inlineStr">
        <is>
          <t>.z01</t>
        </is>
      </c>
      <c r="BJ189" t="n">
        <v>0</v>
      </c>
      <c r="BK189" t="n">
        <v>0</v>
      </c>
      <c r="BL189" t="n">
        <v>0</v>
      </c>
    </row>
    <row r="190" outlineLevel="1" s="191">
      <c r="A190" t="inlineStr">
        <is>
          <t>.z01</t>
        </is>
      </c>
      <c r="BJ190" t="n">
        <v>0</v>
      </c>
      <c r="BK190" t="n">
        <v>0</v>
      </c>
      <c r="BL190" t="n">
        <v>0</v>
      </c>
    </row>
    <row r="191" outlineLevel="1" s="191">
      <c r="A191" t="inlineStr">
        <is>
          <t>.z01</t>
        </is>
      </c>
      <c r="BJ191" t="n">
        <v>0</v>
      </c>
      <c r="BK191" t="n">
        <v>0</v>
      </c>
      <c r="BL191" t="n">
        <v>0</v>
      </c>
    </row>
    <row r="192" outlineLevel="1" s="191">
      <c r="A192" t="inlineStr">
        <is>
          <t>.z01</t>
        </is>
      </c>
      <c r="BJ192" t="n">
        <v>0</v>
      </c>
      <c r="BK192" t="n">
        <v>0</v>
      </c>
      <c r="BL192" t="n">
        <v>0</v>
      </c>
    </row>
    <row r="193" outlineLevel="1" s="191">
      <c r="A193" t="inlineStr">
        <is>
          <t>.z01</t>
        </is>
      </c>
      <c r="BJ193" t="n">
        <v>0</v>
      </c>
      <c r="BK193" t="n">
        <v>0</v>
      </c>
      <c r="BL193" t="n">
        <v>0</v>
      </c>
    </row>
    <row r="194" outlineLevel="1" s="191">
      <c r="A194" t="inlineStr">
        <is>
          <t>.z01</t>
        </is>
      </c>
      <c r="BJ194" t="n">
        <v>0</v>
      </c>
      <c r="BK194" t="n">
        <v>0</v>
      </c>
      <c r="BL194" t="n">
        <v>0</v>
      </c>
    </row>
    <row r="195" outlineLevel="1" s="191">
      <c r="A195" t="inlineStr">
        <is>
          <t>.z01</t>
        </is>
      </c>
      <c r="BJ195" t="n">
        <v>0</v>
      </c>
      <c r="BK195" t="n">
        <v>0</v>
      </c>
      <c r="BL195" t="n">
        <v>0</v>
      </c>
    </row>
    <row r="196" outlineLevel="1" s="191">
      <c r="A196" t="inlineStr">
        <is>
          <t>.z01</t>
        </is>
      </c>
      <c r="BJ196" t="n">
        <v>0</v>
      </c>
      <c r="BK196" t="n">
        <v>0</v>
      </c>
      <c r="BL196" t="n">
        <v>0</v>
      </c>
    </row>
    <row r="197" outlineLevel="1" s="191">
      <c r="A197" t="inlineStr">
        <is>
          <t>.z01</t>
        </is>
      </c>
      <c r="BJ197" t="n">
        <v>0</v>
      </c>
      <c r="BK197" t="n">
        <v>0</v>
      </c>
      <c r="BL197" t="n">
        <v>0</v>
      </c>
    </row>
    <row r="198" outlineLevel="1" s="191">
      <c r="A198" s="264" t="inlineStr">
        <is>
          <t>.z01</t>
        </is>
      </c>
      <c r="BJ198" t="n">
        <v>0</v>
      </c>
      <c r="BK198" t="n">
        <v>0</v>
      </c>
      <c r="BL198" t="n">
        <v>0</v>
      </c>
    </row>
    <row r="199">
      <c r="A199" t="n">
        <v>1</v>
      </c>
      <c r="BJ199" t="n">
        <v>0</v>
      </c>
      <c r="BK199" t="n">
        <v>0</v>
      </c>
      <c r="BL199" t="n">
        <v>0</v>
      </c>
      <c r="BM199" t="n">
        <v>-2</v>
      </c>
    </row>
    <row r="200" ht="15.6" customHeight="1" s="191">
      <c r="A200" s="259" t="inlineStr">
        <is>
          <t>.z02</t>
        </is>
      </c>
      <c r="B200" s="260" t="n"/>
      <c r="C200" s="261" t="n"/>
      <c r="D200" s="276" t="n"/>
      <c r="E200" s="277" t="inlineStr">
        <is>
          <t>Zadanie_II   :  Opracowanie autorskiej bazy danych dla procesu pakowania (BDP) z wykorzystaniem mechanizmów AI i ML</t>
        </is>
      </c>
      <c r="F200" s="538" t="n"/>
      <c r="BJ200" t="n">
        <v>0</v>
      </c>
      <c r="BK200" t="n">
        <v>0</v>
      </c>
      <c r="BL200" t="n">
        <v>0</v>
      </c>
      <c r="BM200" t="n">
        <v>-2</v>
      </c>
    </row>
    <row r="201" outlineLevel="1" s="191">
      <c r="A201" t="n">
        <v>1</v>
      </c>
      <c r="B201" t="inlineStr">
        <is>
          <t>a</t>
        </is>
      </c>
      <c r="C201" t="n">
        <v>0</v>
      </c>
      <c r="D201" t="inlineStr">
        <is>
          <t>.z02_1_a_0</t>
        </is>
      </c>
      <c r="E201" t="inlineStr">
        <is>
          <t>1.Opracowanie koncepcji standaryzowanej bazy danych Pakowania</t>
        </is>
      </c>
      <c r="F201" t="n">
        <v>0</v>
      </c>
      <c r="G201" t="n">
        <v>0</v>
      </c>
      <c r="H201" t="n">
        <v>0</v>
      </c>
      <c r="I201" t="inlineStr">
        <is>
          <t>ACT</t>
        </is>
      </c>
      <c r="J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</row>
    <row r="202" outlineLevel="1" s="191">
      <c r="A202" t="n">
        <v>1</v>
      </c>
      <c r="B202" t="inlineStr">
        <is>
          <t>a</t>
        </is>
      </c>
      <c r="C202" t="n">
        <v>0</v>
      </c>
      <c r="D202" t="inlineStr">
        <is>
          <t>.z02_1_a_0</t>
        </is>
      </c>
      <c r="E202" t="inlineStr">
        <is>
          <t>1.a.Projektowanie struktury bazy danych, która zapewni jej wydajność, spójność i skalowalność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</row>
    <row r="203" outlineLevel="1" s="191">
      <c r="A203" t="n">
        <v>1</v>
      </c>
      <c r="B203" t="inlineStr">
        <is>
          <t>a</t>
        </is>
      </c>
      <c r="C203" t="n">
        <v>1</v>
      </c>
      <c r="D203" t="inlineStr">
        <is>
          <t>.z02_1_a_1</t>
        </is>
      </c>
      <c r="E203" t="inlineStr">
        <is>
          <t>Opracowanie logicznego i fizycznego modelu bazy danych, uwzględniającego wszystkie kluczowe elementy (np. tabele, relacje, indeksy i klucze)</t>
        </is>
      </c>
      <c r="F203" t="inlineStr">
        <is>
          <t>Imię02</t>
        </is>
      </c>
      <c r="G203" t="inlineStr">
        <is>
          <t>Nazwisko02</t>
        </is>
      </c>
      <c r="H203" t="n">
        <v>1</v>
      </c>
      <c r="I203" t="inlineStr">
        <is>
          <t>.a02</t>
        </is>
      </c>
      <c r="J203" t="n">
        <v>18</v>
      </c>
      <c r="K203" t="n">
        <v>46323</v>
      </c>
      <c r="L203" t="n">
        <v>46325</v>
      </c>
      <c r="M203" t="n">
        <v>19</v>
      </c>
      <c r="N203" t="n">
        <v>2</v>
      </c>
      <c r="O203" t="n">
        <v>160</v>
      </c>
      <c r="P203" t="n">
        <v>0.25</v>
      </c>
      <c r="Q203" t="n">
        <v>0.25</v>
      </c>
      <c r="R203" t="n">
        <v>0.25</v>
      </c>
      <c r="S203" t="n">
        <v>0.25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40</v>
      </c>
      <c r="AH203" t="n">
        <v>40</v>
      </c>
      <c r="AI203" t="n">
        <v>40</v>
      </c>
      <c r="AJ203" t="n">
        <v>40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160</v>
      </c>
      <c r="AY203" t="n">
        <v>1</v>
      </c>
      <c r="AZ203" t="n">
        <v>5002</v>
      </c>
      <c r="BA203" t="n">
        <v>5002</v>
      </c>
      <c r="BB203" t="n">
        <v>5002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160</v>
      </c>
      <c r="BK203" t="n">
        <v>160</v>
      </c>
      <c r="BL203" t="n">
        <v>0</v>
      </c>
    </row>
    <row r="204" outlineLevel="1" s="191">
      <c r="A204" t="n">
        <v>1</v>
      </c>
      <c r="B204" t="inlineStr">
        <is>
          <t>a</t>
        </is>
      </c>
      <c r="C204" t="n">
        <v>1</v>
      </c>
      <c r="D204" t="inlineStr">
        <is>
          <t>.z02_1_a_1</t>
        </is>
      </c>
      <c r="E204" t="inlineStr">
        <is>
          <t>Opracowanie architektury systemu, zapewniającą obsługę rosnącej ilości danych celem szybkiego i efektywnego ich przetwarzania</t>
        </is>
      </c>
      <c r="F204" t="inlineStr">
        <is>
          <t>Imię03</t>
        </is>
      </c>
      <c r="G204" t="inlineStr">
        <is>
          <t>Nazwisko03</t>
        </is>
      </c>
      <c r="H204" t="n">
        <v>1</v>
      </c>
      <c r="I204" t="inlineStr">
        <is>
          <t>.a03</t>
        </is>
      </c>
      <c r="J204" t="n">
        <v>20</v>
      </c>
      <c r="K204" t="n">
        <v>46337</v>
      </c>
      <c r="L204" t="n">
        <v>46337</v>
      </c>
      <c r="M204" t="n">
        <v>19</v>
      </c>
      <c r="N204" t="n">
        <v>0</v>
      </c>
      <c r="O204" t="n">
        <v>20</v>
      </c>
      <c r="P204" t="n">
        <v>0.25</v>
      </c>
      <c r="Q204" t="n">
        <v>0.25</v>
      </c>
      <c r="R204" t="n">
        <v>0.25</v>
      </c>
      <c r="S204" t="n">
        <v>0.25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5</v>
      </c>
      <c r="AH204" t="n">
        <v>5</v>
      </c>
      <c r="AI204" t="n">
        <v>5</v>
      </c>
      <c r="AJ204" t="n">
        <v>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20</v>
      </c>
      <c r="AY204" t="n">
        <v>0.125</v>
      </c>
      <c r="AZ204" t="n">
        <v>5003</v>
      </c>
      <c r="BA204" t="n">
        <v>625.375</v>
      </c>
      <c r="BB204" t="n">
        <v>78.171875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20</v>
      </c>
      <c r="BK204" t="n">
        <v>20</v>
      </c>
      <c r="BL204" t="n">
        <v>0</v>
      </c>
    </row>
    <row r="205" outlineLevel="1" s="191">
      <c r="A205" t="n">
        <v>1</v>
      </c>
      <c r="B205" t="inlineStr">
        <is>
          <t>a</t>
        </is>
      </c>
      <c r="C205" t="n">
        <v>1</v>
      </c>
      <c r="D205" t="inlineStr">
        <is>
          <t>.z02_1_a_1</t>
        </is>
      </c>
      <c r="E205" t="inlineStr">
        <is>
          <t>Opracowanie mechanizmów do administrowania, eksploatacji i monitorowania bazy danych oraz współpracy z modułami planowanej platformy ICT</t>
        </is>
      </c>
      <c r="F205" t="inlineStr">
        <is>
          <t>Imię01</t>
        </is>
      </c>
      <c r="G205" t="inlineStr">
        <is>
          <t>Nazwisko01</t>
        </is>
      </c>
      <c r="H205" t="n">
        <v>1</v>
      </c>
      <c r="I205" t="inlineStr">
        <is>
          <t>.a01</t>
        </is>
      </c>
      <c r="J205" t="n">
        <v>20</v>
      </c>
      <c r="K205" t="n">
        <v>46337</v>
      </c>
      <c r="L205" t="n">
        <v>46337</v>
      </c>
      <c r="M205" t="n">
        <v>19</v>
      </c>
      <c r="N205" t="n">
        <v>0</v>
      </c>
      <c r="O205" t="n">
        <v>20</v>
      </c>
      <c r="P205" t="n">
        <v>0.25</v>
      </c>
      <c r="Q205" t="n">
        <v>0.25</v>
      </c>
      <c r="R205" t="n">
        <v>0.25</v>
      </c>
      <c r="S205" t="n">
        <v>0.25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5</v>
      </c>
      <c r="AH205" t="n">
        <v>5</v>
      </c>
      <c r="AI205" t="n">
        <v>5</v>
      </c>
      <c r="AJ205" t="n">
        <v>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20</v>
      </c>
      <c r="AY205" t="n">
        <v>0.125</v>
      </c>
      <c r="AZ205" t="n">
        <v>5001</v>
      </c>
      <c r="BA205" t="n">
        <v>625.125</v>
      </c>
      <c r="BB205" t="n">
        <v>78.140625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20</v>
      </c>
      <c r="BK205" t="n">
        <v>20</v>
      </c>
      <c r="BL205" t="n">
        <v>0</v>
      </c>
    </row>
    <row r="206" outlineLevel="1" s="191">
      <c r="A206" t="n">
        <v>1</v>
      </c>
      <c r="B206" t="inlineStr">
        <is>
          <t>a</t>
        </is>
      </c>
      <c r="C206" t="n">
        <v>1</v>
      </c>
      <c r="D206" t="inlineStr">
        <is>
          <t>.z02_1_a_1</t>
        </is>
      </c>
      <c r="E206" t="inlineStr">
        <is>
          <t>Testowanie, walidacja i optymalizacja projektu struktury bazy danych</t>
        </is>
      </c>
      <c r="F206" t="inlineStr">
        <is>
          <t>Imię03</t>
        </is>
      </c>
      <c r="G206" t="inlineStr">
        <is>
          <t>Nazwisko03</t>
        </is>
      </c>
      <c r="H206" t="n">
        <v>1</v>
      </c>
      <c r="I206" t="inlineStr">
        <is>
          <t>.a03</t>
        </is>
      </c>
      <c r="J206" t="n">
        <v>20</v>
      </c>
      <c r="K206" t="n">
        <v>46337</v>
      </c>
      <c r="L206" t="n">
        <v>46337</v>
      </c>
      <c r="M206" t="n">
        <v>19</v>
      </c>
      <c r="N206" t="n">
        <v>0</v>
      </c>
      <c r="O206" t="n">
        <v>20</v>
      </c>
      <c r="P206" t="n">
        <v>0.25</v>
      </c>
      <c r="Q206" t="n">
        <v>0.25</v>
      </c>
      <c r="R206" t="n">
        <v>0.25</v>
      </c>
      <c r="S206" t="n">
        <v>0.25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5</v>
      </c>
      <c r="AH206" t="n">
        <v>5</v>
      </c>
      <c r="AI206" t="n">
        <v>5</v>
      </c>
      <c r="AJ206" t="n">
        <v>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20</v>
      </c>
      <c r="AY206" t="n">
        <v>0.125</v>
      </c>
      <c r="AZ206" t="n">
        <v>5003</v>
      </c>
      <c r="BA206" t="n">
        <v>625.375</v>
      </c>
      <c r="BB206" t="n">
        <v>78.171875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20</v>
      </c>
      <c r="BK206" t="n">
        <v>20</v>
      </c>
      <c r="BL206" t="n">
        <v>0</v>
      </c>
    </row>
    <row r="207" outlineLevel="1" s="191">
      <c r="A207" t="n">
        <v>1</v>
      </c>
      <c r="B207" t="inlineStr">
        <is>
          <t>b</t>
        </is>
      </c>
      <c r="C207" t="n">
        <v>0</v>
      </c>
      <c r="D207" t="inlineStr">
        <is>
          <t>.z02_1_b_0</t>
        </is>
      </c>
      <c r="E207" t="inlineStr">
        <is>
          <t>1.b.Zbieranie i przygotowanie danych w celu  uzyskania pełnego obrazu operacji dot. Pakowania i umożliwienia kompleksowych analiz</t>
        </is>
      </c>
      <c r="F207" t="n">
        <v>0</v>
      </c>
      <c r="G207" t="n">
        <v>0</v>
      </c>
      <c r="H207" t="n">
        <v>0</v>
      </c>
      <c r="I207" t="n">
        <v>0</v>
      </c>
      <c r="J207" t="n">
        <v>20</v>
      </c>
      <c r="K207" t="n">
        <v>46337</v>
      </c>
      <c r="L207" t="n">
        <v>46337</v>
      </c>
      <c r="M207" t="n">
        <v>19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</row>
    <row r="208" outlineLevel="1" s="191">
      <c r="A208" t="n">
        <v>1</v>
      </c>
      <c r="B208" t="inlineStr">
        <is>
          <t>b</t>
        </is>
      </c>
      <c r="C208" t="n">
        <v>1</v>
      </c>
      <c r="D208" t="inlineStr">
        <is>
          <t>.z02_1_b_1</t>
        </is>
      </c>
      <c r="E208" t="inlineStr">
        <is>
          <t>Stworzenie procedur zbierania, analizy i przetwarzania danych</t>
        </is>
      </c>
      <c r="F208" t="inlineStr">
        <is>
          <t>Imię02</t>
        </is>
      </c>
      <c r="G208" t="inlineStr">
        <is>
          <t>Nazwisko02</t>
        </is>
      </c>
      <c r="H208" t="n">
        <v>2</v>
      </c>
      <c r="I208" t="inlineStr">
        <is>
          <t>.a02</t>
        </is>
      </c>
      <c r="J208" t="n">
        <v>20</v>
      </c>
      <c r="K208" t="n">
        <v>46337</v>
      </c>
      <c r="L208" t="n">
        <v>46338</v>
      </c>
      <c r="M208" t="n">
        <v>20</v>
      </c>
      <c r="N208" t="n">
        <v>1</v>
      </c>
      <c r="O208" t="n">
        <v>40</v>
      </c>
      <c r="P208" t="n">
        <v>0.25</v>
      </c>
      <c r="Q208" t="n">
        <v>0.25</v>
      </c>
      <c r="R208" t="n">
        <v>0.25</v>
      </c>
      <c r="S208" t="n">
        <v>0.25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10</v>
      </c>
      <c r="AH208" t="n">
        <v>10</v>
      </c>
      <c r="AI208" t="n">
        <v>10</v>
      </c>
      <c r="AJ208" t="n">
        <v>10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40</v>
      </c>
      <c r="AY208" t="n">
        <v>0.25</v>
      </c>
      <c r="AZ208" t="n">
        <v>5002</v>
      </c>
      <c r="BA208" t="n">
        <v>1250.5</v>
      </c>
      <c r="BB208" t="n">
        <v>312.625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40</v>
      </c>
      <c r="BK208" t="n">
        <v>40</v>
      </c>
      <c r="BL208" t="n">
        <v>0</v>
      </c>
    </row>
    <row r="209" outlineLevel="1" s="191">
      <c r="A209" t="n">
        <v>1</v>
      </c>
      <c r="B209" t="inlineStr">
        <is>
          <t>b</t>
        </is>
      </c>
      <c r="C209" t="n">
        <v>2</v>
      </c>
      <c r="D209" t="inlineStr">
        <is>
          <t>.z02_1_b_2</t>
        </is>
      </c>
      <c r="E209" t="inlineStr">
        <is>
          <t xml:space="preserve">Pozyskanie danych z różnych źródeł, np. systemy WMS, ERP </t>
        </is>
      </c>
      <c r="F209" t="inlineStr">
        <is>
          <t>Imię03</t>
        </is>
      </c>
      <c r="G209" t="inlineStr">
        <is>
          <t>Nazwisko03</t>
        </is>
      </c>
      <c r="H209" t="n">
        <v>2</v>
      </c>
      <c r="I209" t="inlineStr">
        <is>
          <t>.a03</t>
        </is>
      </c>
      <c r="J209" t="n">
        <v>21</v>
      </c>
      <c r="K209" t="n">
        <v>46344</v>
      </c>
      <c r="L209" t="n">
        <v>46345</v>
      </c>
      <c r="M209" t="n">
        <v>21</v>
      </c>
      <c r="N209" t="n">
        <v>1</v>
      </c>
      <c r="O209" t="n">
        <v>80</v>
      </c>
      <c r="P209" t="n">
        <v>0.25</v>
      </c>
      <c r="Q209" t="n">
        <v>0.25</v>
      </c>
      <c r="R209" t="n">
        <v>0.25</v>
      </c>
      <c r="S209" t="n">
        <v>0.25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20</v>
      </c>
      <c r="AH209" t="n">
        <v>20</v>
      </c>
      <c r="AI209" t="n">
        <v>20</v>
      </c>
      <c r="AJ209" t="n">
        <v>20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80</v>
      </c>
      <c r="AY209" t="n">
        <v>0.5</v>
      </c>
      <c r="AZ209" t="n">
        <v>5003</v>
      </c>
      <c r="BA209" t="n">
        <v>2501.5</v>
      </c>
      <c r="BB209" t="n">
        <v>1250.75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80</v>
      </c>
      <c r="BK209" t="n">
        <v>80</v>
      </c>
      <c r="BL209" t="n">
        <v>0</v>
      </c>
    </row>
    <row r="210" outlineLevel="1" s="191">
      <c r="A210" t="n">
        <v>1</v>
      </c>
      <c r="B210" t="inlineStr">
        <is>
          <t>b</t>
        </is>
      </c>
      <c r="C210" t="n">
        <v>3</v>
      </c>
      <c r="D210" t="inlineStr">
        <is>
          <t>.z02_1_b_3</t>
        </is>
      </c>
      <c r="E210" t="inlineStr">
        <is>
          <t xml:space="preserve"> Identyfikacja aktualnie przypisywanych atrybutów do rekordów/obiektów w WMS/ERP</t>
        </is>
      </c>
      <c r="F210" t="inlineStr">
        <is>
          <t>Imię01</t>
        </is>
      </c>
      <c r="G210" t="inlineStr">
        <is>
          <t>Nazwisko01</t>
        </is>
      </c>
      <c r="H210" t="n">
        <v>2</v>
      </c>
      <c r="I210" t="inlineStr">
        <is>
          <t>.a01</t>
        </is>
      </c>
      <c r="J210" t="n">
        <v>22</v>
      </c>
      <c r="K210" t="n">
        <v>46351</v>
      </c>
      <c r="L210" t="n">
        <v>46352</v>
      </c>
      <c r="M210" t="n">
        <v>22</v>
      </c>
      <c r="N210" t="n">
        <v>1</v>
      </c>
      <c r="O210" t="n">
        <v>60</v>
      </c>
      <c r="P210" t="n">
        <v>0.25</v>
      </c>
      <c r="Q210" t="n">
        <v>0.25</v>
      </c>
      <c r="R210" t="n">
        <v>0.25</v>
      </c>
      <c r="S210" t="n">
        <v>0.25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15</v>
      </c>
      <c r="AH210" t="n">
        <v>15</v>
      </c>
      <c r="AI210" t="n">
        <v>15</v>
      </c>
      <c r="AJ210" t="n">
        <v>15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60</v>
      </c>
      <c r="AY210" t="n">
        <v>0.375</v>
      </c>
      <c r="AZ210" t="n">
        <v>5001</v>
      </c>
      <c r="BA210" t="n">
        <v>1875.375</v>
      </c>
      <c r="BB210" t="n">
        <v>703.265625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60</v>
      </c>
      <c r="BK210" t="n">
        <v>60</v>
      </c>
      <c r="BL210" t="n">
        <v>0</v>
      </c>
    </row>
    <row r="211" outlineLevel="1" s="191">
      <c r="A211" t="n">
        <v>1</v>
      </c>
      <c r="B211" t="inlineStr">
        <is>
          <t>b</t>
        </is>
      </c>
      <c r="C211" t="n">
        <v>4</v>
      </c>
      <c r="D211" t="inlineStr">
        <is>
          <t>.z02_1_b_4</t>
        </is>
      </c>
      <c r="E211" t="inlineStr">
        <is>
          <t>Opracowanie założeń modeli, schematów, organizacji i prezentacji danych wejściowych</t>
        </is>
      </c>
      <c r="F211" t="inlineStr">
        <is>
          <t>Imię03</t>
        </is>
      </c>
      <c r="G211" t="inlineStr">
        <is>
          <t>Nazwisko03</t>
        </is>
      </c>
      <c r="H211" t="n">
        <v>2</v>
      </c>
      <c r="I211" t="inlineStr">
        <is>
          <t>.a03</t>
        </is>
      </c>
      <c r="J211" t="n">
        <v>23</v>
      </c>
      <c r="K211" t="n">
        <v>46358</v>
      </c>
      <c r="L211" t="n">
        <v>46359</v>
      </c>
      <c r="M211" t="n">
        <v>23</v>
      </c>
      <c r="N211" t="n">
        <v>1</v>
      </c>
      <c r="O211" t="n">
        <v>80</v>
      </c>
      <c r="P211" t="n">
        <v>0.25</v>
      </c>
      <c r="Q211" t="n">
        <v>0.25</v>
      </c>
      <c r="R211" t="n">
        <v>0.25</v>
      </c>
      <c r="S211" t="n">
        <v>0.25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20</v>
      </c>
      <c r="AH211" t="n">
        <v>20</v>
      </c>
      <c r="AI211" t="n">
        <v>20</v>
      </c>
      <c r="AJ211" t="n">
        <v>20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80</v>
      </c>
      <c r="AY211" t="n">
        <v>0.5</v>
      </c>
      <c r="AZ211" t="n">
        <v>5003</v>
      </c>
      <c r="BA211" t="n">
        <v>2501.5</v>
      </c>
      <c r="BB211" t="n">
        <v>1250.75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80</v>
      </c>
      <c r="BK211" t="n">
        <v>80</v>
      </c>
      <c r="BL211" t="n">
        <v>0</v>
      </c>
    </row>
    <row r="212" outlineLevel="1" s="191">
      <c r="A212" t="n">
        <v>1</v>
      </c>
      <c r="B212" t="inlineStr">
        <is>
          <t>c</t>
        </is>
      </c>
      <c r="C212" t="n">
        <v>1</v>
      </c>
      <c r="D212" t="inlineStr">
        <is>
          <t>.z02_1_c_1</t>
        </is>
      </c>
      <c r="E212" t="inlineStr">
        <is>
          <t>Zgromadzenie danych historycznych (ostatnie 3 lata), dot. procesów omawianych w ramach niniejszego projektu.</t>
        </is>
      </c>
      <c r="F212" t="inlineStr">
        <is>
          <t>Imię04</t>
        </is>
      </c>
      <c r="G212" t="inlineStr">
        <is>
          <t>Nazwisko04</t>
        </is>
      </c>
      <c r="H212" t="n">
        <v>3</v>
      </c>
      <c r="I212" t="inlineStr">
        <is>
          <t>.a04</t>
        </is>
      </c>
      <c r="J212" t="n">
        <v>24</v>
      </c>
      <c r="K212" t="n">
        <v>46365</v>
      </c>
      <c r="L212" t="n">
        <v>46366</v>
      </c>
      <c r="M212" t="n">
        <v>24</v>
      </c>
      <c r="N212" t="n">
        <v>1</v>
      </c>
      <c r="O212" t="n">
        <v>40</v>
      </c>
      <c r="P212" t="n">
        <v>0.25</v>
      </c>
      <c r="Q212" t="n">
        <v>0.25</v>
      </c>
      <c r="R212" t="n">
        <v>0.25</v>
      </c>
      <c r="S212" t="n">
        <v>0.25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10</v>
      </c>
      <c r="AH212" t="n">
        <v>10</v>
      </c>
      <c r="AI212" t="n">
        <v>10</v>
      </c>
      <c r="AJ212" t="n">
        <v>10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40</v>
      </c>
      <c r="AY212" t="n">
        <v>0.25</v>
      </c>
      <c r="AZ212" t="n">
        <v>5004</v>
      </c>
      <c r="BA212" t="n">
        <v>1251</v>
      </c>
      <c r="BB212" t="n">
        <v>312.75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40</v>
      </c>
      <c r="BK212" t="n">
        <v>40</v>
      </c>
      <c r="BL212" t="n">
        <v>0</v>
      </c>
    </row>
    <row r="213" outlineLevel="1" s="191">
      <c r="A213" t="n">
        <v>1</v>
      </c>
      <c r="B213" t="inlineStr">
        <is>
          <t>d</t>
        </is>
      </c>
      <c r="C213" t="n">
        <v>1</v>
      </c>
      <c r="D213" t="inlineStr">
        <is>
          <t>.z02_1_d_1</t>
        </is>
      </c>
      <c r="E213" t="inlineStr">
        <is>
          <t>Oczyszczanie, normalizacja, konwersja i standaryzacja danych (procedury ETL), w tym usuwanie duplikatów i korekcji błędów, do jednolitego formatu na potrzeby dokładności analiz i predykcji, spójności i możliwość łatwego przetwarzania,</t>
        </is>
      </c>
      <c r="F213" t="inlineStr">
        <is>
          <t>Imię02</t>
        </is>
      </c>
      <c r="G213" t="inlineStr">
        <is>
          <t>Nazwisko02</t>
        </is>
      </c>
      <c r="H213" t="n">
        <v>4</v>
      </c>
      <c r="I213" t="inlineStr">
        <is>
          <t>.a02</t>
        </is>
      </c>
      <c r="J213" t="n">
        <v>25</v>
      </c>
      <c r="K213" t="n">
        <v>46372</v>
      </c>
      <c r="L213" t="n">
        <v>46373</v>
      </c>
      <c r="M213" t="n">
        <v>25</v>
      </c>
      <c r="N213" t="n">
        <v>1</v>
      </c>
      <c r="O213" t="n">
        <v>80</v>
      </c>
      <c r="P213" t="n">
        <v>0.25</v>
      </c>
      <c r="Q213" t="n">
        <v>0.25</v>
      </c>
      <c r="R213" t="n">
        <v>0.25</v>
      </c>
      <c r="S213" t="n">
        <v>0.25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20</v>
      </c>
      <c r="AH213" t="n">
        <v>20</v>
      </c>
      <c r="AI213" t="n">
        <v>20</v>
      </c>
      <c r="AJ213" t="n">
        <v>20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80</v>
      </c>
      <c r="AY213" t="n">
        <v>0.5</v>
      </c>
      <c r="AZ213" t="n">
        <v>5002</v>
      </c>
      <c r="BA213" t="n">
        <v>2501</v>
      </c>
      <c r="BB213" t="n">
        <v>1250.5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80</v>
      </c>
      <c r="BK213" t="n">
        <v>80</v>
      </c>
      <c r="BL213" t="n">
        <v>0</v>
      </c>
    </row>
    <row r="214" outlineLevel="1" s="191">
      <c r="A214" t="n">
        <v>2</v>
      </c>
      <c r="B214" t="inlineStr">
        <is>
          <t>a</t>
        </is>
      </c>
      <c r="C214" t="n">
        <v>0</v>
      </c>
      <c r="D214" t="inlineStr">
        <is>
          <t>.z02_2_a_0</t>
        </is>
      </c>
      <c r="E214" t="inlineStr">
        <is>
          <t>2.Implementacja BDP w infrastrukturze Wnioskodawcy w oparciu o wybrane platformy bazodanowe, np. Oracle, MSSQL, MySQL</t>
        </is>
      </c>
      <c r="F214" t="n">
        <v>0</v>
      </c>
      <c r="G214" t="n">
        <v>0</v>
      </c>
      <c r="H214" t="n">
        <v>0</v>
      </c>
      <c r="I214" t="n">
        <v>0</v>
      </c>
      <c r="J214" t="n">
        <v>26</v>
      </c>
      <c r="K214" t="n">
        <v>46379</v>
      </c>
      <c r="L214" t="n">
        <v>46379</v>
      </c>
      <c r="M214" t="n">
        <v>25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</row>
    <row r="215" outlineLevel="1" s="191">
      <c r="A215" t="n">
        <v>2</v>
      </c>
      <c r="B215" t="inlineStr">
        <is>
          <t>a</t>
        </is>
      </c>
      <c r="C215" t="n">
        <v>1</v>
      </c>
      <c r="D215" t="inlineStr">
        <is>
          <t>.z02_2_a_1</t>
        </is>
      </c>
      <c r="E215" t="inlineStr">
        <is>
          <t>Testowanie i walidacja platform bazodanowych (testy funkcjonalne i wydajnościowe, w tym obciążeniowe i regresyjne) jest kluczowe dla zapewnienia, że baza danych działa zgodnie z wymaganiami i jest gotowa do użycia</t>
        </is>
      </c>
      <c r="F215" t="inlineStr">
        <is>
          <t>Imię01</t>
        </is>
      </c>
      <c r="G215" t="inlineStr">
        <is>
          <t>Nazwisko01</t>
        </is>
      </c>
      <c r="H215" t="n">
        <v>5</v>
      </c>
      <c r="I215" t="inlineStr">
        <is>
          <t>.a01</t>
        </is>
      </c>
      <c r="J215" t="n">
        <v>26</v>
      </c>
      <c r="K215" t="n">
        <v>46379</v>
      </c>
      <c r="L215" t="n">
        <v>46380</v>
      </c>
      <c r="M215" t="n">
        <v>26</v>
      </c>
      <c r="N215" t="n">
        <v>1</v>
      </c>
      <c r="O215" t="n">
        <v>80</v>
      </c>
      <c r="P215" t="n">
        <v>0.25</v>
      </c>
      <c r="Q215" t="n">
        <v>0.25</v>
      </c>
      <c r="R215" t="n">
        <v>0.25</v>
      </c>
      <c r="S215" t="n">
        <v>0.25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20</v>
      </c>
      <c r="AH215" t="n">
        <v>20</v>
      </c>
      <c r="AI215" t="n">
        <v>20</v>
      </c>
      <c r="AJ215" t="n">
        <v>20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80</v>
      </c>
      <c r="AY215" t="n">
        <v>0.5</v>
      </c>
      <c r="AZ215" t="n">
        <v>5001</v>
      </c>
      <c r="BA215" t="n">
        <v>2500.5</v>
      </c>
      <c r="BB215" t="n">
        <v>1250.25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80</v>
      </c>
      <c r="BK215" t="n">
        <v>80</v>
      </c>
      <c r="BL215" t="n">
        <v>0</v>
      </c>
    </row>
    <row r="216" outlineLevel="1" s="191">
      <c r="A216" t="n">
        <v>2</v>
      </c>
      <c r="B216" t="inlineStr">
        <is>
          <t>b</t>
        </is>
      </c>
      <c r="C216" t="n">
        <v>1</v>
      </c>
      <c r="D216" t="inlineStr">
        <is>
          <t>.z02_2_b_1</t>
        </is>
      </c>
      <c r="E216" t="inlineStr">
        <is>
          <t>Wybór platformy bazodanowej na podstawie testów wydajnościowych BDP</t>
        </is>
      </c>
      <c r="F216" t="inlineStr">
        <is>
          <t>Imię03</t>
        </is>
      </c>
      <c r="G216" t="inlineStr">
        <is>
          <t>Nazwisko03</t>
        </is>
      </c>
      <c r="H216" t="n">
        <v>5</v>
      </c>
      <c r="I216" t="inlineStr">
        <is>
          <t>.a03</t>
        </is>
      </c>
      <c r="J216" t="n">
        <v>27</v>
      </c>
      <c r="K216" t="n">
        <v>46386</v>
      </c>
      <c r="L216" t="n">
        <v>46386</v>
      </c>
      <c r="M216" t="n">
        <v>26</v>
      </c>
      <c r="N216" t="n">
        <v>0</v>
      </c>
      <c r="O216" t="n">
        <v>8</v>
      </c>
      <c r="P216" t="n">
        <v>0.25</v>
      </c>
      <c r="Q216" t="n">
        <v>0.25</v>
      </c>
      <c r="R216" t="n">
        <v>0.25</v>
      </c>
      <c r="S216" t="n">
        <v>0.25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2</v>
      </c>
      <c r="AH216" t="n">
        <v>2</v>
      </c>
      <c r="AI216" t="n">
        <v>2</v>
      </c>
      <c r="AJ216" t="n">
        <v>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8</v>
      </c>
      <c r="AY216" t="n">
        <v>0.05</v>
      </c>
      <c r="AZ216" t="n">
        <v>5003</v>
      </c>
      <c r="BA216" t="n">
        <v>250.15</v>
      </c>
      <c r="BB216" t="n">
        <v>12.5075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8</v>
      </c>
      <c r="BK216" t="n">
        <v>8</v>
      </c>
      <c r="BL216" t="n">
        <v>0</v>
      </c>
    </row>
    <row r="217" outlineLevel="1" s="191">
      <c r="A217" t="n">
        <v>2</v>
      </c>
      <c r="B217" t="inlineStr">
        <is>
          <t>c</t>
        </is>
      </c>
      <c r="C217" t="n">
        <v>1</v>
      </c>
      <c r="D217" t="inlineStr">
        <is>
          <t>.z02_2_c_1</t>
        </is>
      </c>
      <c r="E217" t="inlineStr">
        <is>
          <t>Wybór odpowiedniej platformy technologicznej zapewniającej skalowalność, bezpieczeństwo i wydajność analiz AI/ML</t>
        </is>
      </c>
      <c r="F217" t="inlineStr">
        <is>
          <t>Imię04</t>
        </is>
      </c>
      <c r="G217" t="inlineStr">
        <is>
          <t>Nazwisko04</t>
        </is>
      </c>
      <c r="H217" t="n">
        <v>5</v>
      </c>
      <c r="I217" t="inlineStr">
        <is>
          <t>.a04</t>
        </is>
      </c>
      <c r="J217" t="n">
        <v>27</v>
      </c>
      <c r="K217" t="n">
        <v>46386</v>
      </c>
      <c r="L217" t="n">
        <v>46386</v>
      </c>
      <c r="M217" t="n">
        <v>26</v>
      </c>
      <c r="N217" t="n">
        <v>0</v>
      </c>
      <c r="O217" t="n">
        <v>8</v>
      </c>
      <c r="P217" t="n">
        <v>0.25</v>
      </c>
      <c r="Q217" t="n">
        <v>0.25</v>
      </c>
      <c r="R217" t="n">
        <v>0.25</v>
      </c>
      <c r="S217" t="n">
        <v>0.25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2</v>
      </c>
      <c r="AH217" t="n">
        <v>2</v>
      </c>
      <c r="AI217" t="n">
        <v>2</v>
      </c>
      <c r="AJ217" t="n">
        <v>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8</v>
      </c>
      <c r="AY217" t="n">
        <v>0.05</v>
      </c>
      <c r="AZ217" t="n">
        <v>5004</v>
      </c>
      <c r="BA217" t="n">
        <v>250.2</v>
      </c>
      <c r="BB217" t="n">
        <v>12.51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8</v>
      </c>
      <c r="BK217" t="n">
        <v>8</v>
      </c>
      <c r="BL217" t="n">
        <v>0</v>
      </c>
    </row>
    <row r="218" outlineLevel="1" s="191">
      <c r="A218" t="n">
        <v>2</v>
      </c>
      <c r="B218" t="inlineStr">
        <is>
          <t>d</t>
        </is>
      </c>
      <c r="C218" t="n">
        <v>1</v>
      </c>
      <c r="D218" t="inlineStr">
        <is>
          <t>.z02_2_d_1</t>
        </is>
      </c>
      <c r="E218" t="inlineStr">
        <is>
          <t>Fizyczna implementacja BDP na platformach technologicznych (np. Google Cloud, Microsoft Azure, NVidia AI)</t>
        </is>
      </c>
      <c r="F218" t="inlineStr">
        <is>
          <t>Imię02</t>
        </is>
      </c>
      <c r="G218" t="inlineStr">
        <is>
          <t>Nazwisko02</t>
        </is>
      </c>
      <c r="H218" t="n">
        <v>6</v>
      </c>
      <c r="I218" t="inlineStr">
        <is>
          <t>.a02</t>
        </is>
      </c>
      <c r="J218" t="n">
        <v>27</v>
      </c>
      <c r="K218" t="n">
        <v>46386</v>
      </c>
      <c r="L218" t="n">
        <v>46387</v>
      </c>
      <c r="M218" t="n">
        <v>27</v>
      </c>
      <c r="N218" t="n">
        <v>1</v>
      </c>
      <c r="O218" t="n">
        <v>100</v>
      </c>
      <c r="P218" t="n">
        <v>0.25</v>
      </c>
      <c r="Q218" t="n">
        <v>0.25</v>
      </c>
      <c r="R218" t="n">
        <v>0.25</v>
      </c>
      <c r="S218" t="n">
        <v>0.25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25</v>
      </c>
      <c r="AH218" t="n">
        <v>25</v>
      </c>
      <c r="AI218" t="n">
        <v>25</v>
      </c>
      <c r="AJ218" t="n">
        <v>25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100</v>
      </c>
      <c r="AY218" t="n">
        <v>0.625</v>
      </c>
      <c r="AZ218" t="n">
        <v>5002</v>
      </c>
      <c r="BA218" t="n">
        <v>3126.25</v>
      </c>
      <c r="BB218" t="n">
        <v>1953.90625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100</v>
      </c>
      <c r="BK218" t="n">
        <v>100</v>
      </c>
      <c r="BL218" t="n">
        <v>0</v>
      </c>
    </row>
    <row r="219" outlineLevel="1" s="191">
      <c r="A219" t="n">
        <v>2</v>
      </c>
      <c r="B219" t="inlineStr">
        <is>
          <t>e</t>
        </is>
      </c>
      <c r="C219" t="n">
        <v>1</v>
      </c>
      <c r="D219" t="inlineStr">
        <is>
          <t>.z02_2_e_1</t>
        </is>
      </c>
      <c r="E219" t="inlineStr">
        <is>
          <t>Utworzenie mechanizmu do transferu danych między infrastrukturą Wnioskodawcy a platformami technologicznymi (np. Google Cloud, Microsoft Azure, NVidia AI)</t>
        </is>
      </c>
      <c r="F219" t="inlineStr">
        <is>
          <t>ENDAWA_01</t>
        </is>
      </c>
      <c r="G219" t="n">
        <v>0</v>
      </c>
      <c r="H219" t="n">
        <v>7</v>
      </c>
      <c r="I219" t="inlineStr">
        <is>
          <t>.e01</t>
        </is>
      </c>
      <c r="J219" t="n">
        <v>28</v>
      </c>
      <c r="K219" t="n">
        <v>46393</v>
      </c>
      <c r="L219" t="n">
        <v>46395</v>
      </c>
      <c r="M219" t="n">
        <v>29</v>
      </c>
      <c r="N219" t="n">
        <v>2</v>
      </c>
      <c r="O219" t="n">
        <v>200</v>
      </c>
      <c r="P219" t="n">
        <v>0.15</v>
      </c>
      <c r="Q219" t="n">
        <v>0.15</v>
      </c>
      <c r="R219" t="n">
        <v>0.15</v>
      </c>
      <c r="S219" t="n">
        <v>0.15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0.4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30</v>
      </c>
      <c r="AH219" t="n">
        <v>30</v>
      </c>
      <c r="AI219" t="n">
        <v>30</v>
      </c>
      <c r="AJ219" t="n">
        <v>30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80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120</v>
      </c>
      <c r="AY219" t="n">
        <v>0.75</v>
      </c>
      <c r="AZ219" t="e">
        <v>#N/A</v>
      </c>
      <c r="BA219" t="e">
        <v>#N/A</v>
      </c>
      <c r="BB219" t="e">
        <v>#N/A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200</v>
      </c>
      <c r="BK219" t="n">
        <v>200</v>
      </c>
      <c r="BL219" t="n">
        <v>0</v>
      </c>
    </row>
    <row r="220" outlineLevel="1" s="191">
      <c r="A220" t="n">
        <v>3</v>
      </c>
      <c r="B220" t="inlineStr">
        <is>
          <t>a</t>
        </is>
      </c>
      <c r="C220" t="n">
        <v>1</v>
      </c>
      <c r="D220" t="inlineStr">
        <is>
          <t>.z02_3_a_1</t>
        </is>
      </c>
      <c r="E220" t="inlineStr">
        <is>
          <t>3.Opracowanie narzędzi do automatycznego monitorowania, wykrywających anomalie i nieprawidłowości w danych w czasie rzeczywistym, współpracujących z wybraną platformą bazodanową, przeprowadzających automatyczne sprawdzanie kompletności rekordów. Flagowane będą rekordy z brakującymi danymi natychmiast po ich wprowadzeniu/aktualizacji i wysyłane powiadomienia do administratorów, gdy liczba tych rekordów przekroczy próg 10 rekordów. Będą śledzić czas ostatniej aktualizacji każdego rekordu, flagując te, które nie były aktualizowane zgodnie z ustalonym harmonogramem (co 24h i generować odpowiednie alerty.</t>
        </is>
      </c>
      <c r="F220" t="inlineStr">
        <is>
          <t>Imię01</t>
        </is>
      </c>
      <c r="G220" t="inlineStr">
        <is>
          <t>Nazwisko01</t>
        </is>
      </c>
      <c r="H220" t="n">
        <v>8</v>
      </c>
      <c r="I220" t="inlineStr">
        <is>
          <t>.a01</t>
        </is>
      </c>
      <c r="J220" t="n">
        <v>30</v>
      </c>
      <c r="K220" t="n">
        <v>46407</v>
      </c>
      <c r="L220" t="n">
        <v>46407</v>
      </c>
      <c r="M220" t="n">
        <v>29</v>
      </c>
      <c r="N220" t="n">
        <v>0</v>
      </c>
      <c r="O220" t="n">
        <v>30</v>
      </c>
      <c r="P220" t="n">
        <v>0.25</v>
      </c>
      <c r="Q220" t="n">
        <v>0.25</v>
      </c>
      <c r="R220" t="n">
        <v>0.25</v>
      </c>
      <c r="S220" t="n">
        <v>0.25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8</v>
      </c>
      <c r="AH220" t="n">
        <v>8</v>
      </c>
      <c r="AI220" t="n">
        <v>8</v>
      </c>
      <c r="AJ220" t="n">
        <v>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32</v>
      </c>
      <c r="AY220" t="n">
        <v>0.2</v>
      </c>
      <c r="AZ220" t="n">
        <v>5001</v>
      </c>
      <c r="BA220" t="n">
        <v>1000.2</v>
      </c>
      <c r="BB220" t="n">
        <v>200.04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30</v>
      </c>
      <c r="BK220" t="n">
        <v>32</v>
      </c>
      <c r="BL220" t="n">
        <v>-2</v>
      </c>
    </row>
    <row r="221" outlineLevel="1" s="191">
      <c r="A221" t="n">
        <v>4</v>
      </c>
      <c r="B221" t="inlineStr">
        <is>
          <t>a</t>
        </is>
      </c>
      <c r="C221" t="n">
        <v>0</v>
      </c>
      <c r="D221" t="inlineStr">
        <is>
          <t>.z02_4_a_0</t>
        </is>
      </c>
      <c r="E221" t="inlineStr">
        <is>
          <t>4.Połączenie BDP z wybranym systemem AI/ML, co pozwoli na zbadanie potencjału zaawansowanych metod  analitycznych AI/ML w celu zwiększenia wydajności procesów magazynowych.</t>
        </is>
      </c>
      <c r="F221" t="n">
        <v>0</v>
      </c>
      <c r="G221" t="n">
        <v>0</v>
      </c>
      <c r="H221" t="n">
        <v>0</v>
      </c>
      <c r="I221" t="n">
        <v>0</v>
      </c>
      <c r="J221" t="n">
        <v>30</v>
      </c>
      <c r="K221" t="n">
        <v>46407</v>
      </c>
      <c r="L221" t="n">
        <v>46407</v>
      </c>
      <c r="M221" t="n">
        <v>29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</row>
    <row r="222" outlineLevel="1" s="191">
      <c r="A222" t="n">
        <v>4</v>
      </c>
      <c r="B222" t="inlineStr">
        <is>
          <t>a</t>
        </is>
      </c>
      <c r="C222" t="n">
        <v>1</v>
      </c>
      <c r="D222" t="inlineStr">
        <is>
          <t>.z02_4_a_1</t>
        </is>
      </c>
      <c r="E222" t="inlineStr">
        <is>
          <t xml:space="preserve">Zaimportowanie BDP w środowisku wybranej platformy AI/ML </t>
        </is>
      </c>
      <c r="F222" t="inlineStr">
        <is>
          <t>Imię04</t>
        </is>
      </c>
      <c r="G222" t="inlineStr">
        <is>
          <t>Nazwisko04</t>
        </is>
      </c>
      <c r="H222" t="n">
        <v>8</v>
      </c>
      <c r="I222" t="inlineStr">
        <is>
          <t>.a04</t>
        </is>
      </c>
      <c r="J222" t="n">
        <v>30</v>
      </c>
      <c r="K222" t="n">
        <v>46407</v>
      </c>
      <c r="L222" t="n">
        <v>46408</v>
      </c>
      <c r="M222" t="n">
        <v>30</v>
      </c>
      <c r="N222" t="n">
        <v>1</v>
      </c>
      <c r="O222" t="n">
        <v>40</v>
      </c>
      <c r="P222" t="n">
        <v>0.25</v>
      </c>
      <c r="Q222" t="n">
        <v>0.25</v>
      </c>
      <c r="R222" t="n">
        <v>0.25</v>
      </c>
      <c r="S222" t="n">
        <v>0.25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10</v>
      </c>
      <c r="AH222" t="n">
        <v>10</v>
      </c>
      <c r="AI222" t="n">
        <v>10</v>
      </c>
      <c r="AJ222" t="n">
        <v>10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40</v>
      </c>
      <c r="AY222" t="n">
        <v>0.25</v>
      </c>
      <c r="AZ222" t="n">
        <v>5004</v>
      </c>
      <c r="BA222" t="n">
        <v>1251</v>
      </c>
      <c r="BB222" t="n">
        <v>312.75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40</v>
      </c>
      <c r="BK222" t="n">
        <v>40</v>
      </c>
      <c r="BL222" t="n">
        <v>0</v>
      </c>
    </row>
    <row r="223" outlineLevel="1" s="191">
      <c r="A223" t="n">
        <v>4</v>
      </c>
      <c r="B223" t="inlineStr">
        <is>
          <t>b</t>
        </is>
      </c>
      <c r="C223" t="n">
        <v>1</v>
      </c>
      <c r="D223" t="inlineStr">
        <is>
          <t>.z02_4_b_1</t>
        </is>
      </c>
      <c r="E223" t="inlineStr">
        <is>
          <t>Sprawdzenie i potwierdzenie poprawności zaimplementowanych danych. Określenie zestawu danych testowych i referencyjnych do dalszych analiz</t>
        </is>
      </c>
      <c r="F223" t="inlineStr">
        <is>
          <t>Imię02</t>
        </is>
      </c>
      <c r="G223" t="inlineStr">
        <is>
          <t>Nazwisko02</t>
        </is>
      </c>
      <c r="H223" t="n">
        <v>8</v>
      </c>
      <c r="I223" t="inlineStr">
        <is>
          <t>.a02</t>
        </is>
      </c>
      <c r="J223" t="n">
        <v>31</v>
      </c>
      <c r="K223" t="n">
        <v>46414</v>
      </c>
      <c r="L223" t="n">
        <v>46415</v>
      </c>
      <c r="M223" t="n">
        <v>31</v>
      </c>
      <c r="N223" t="n">
        <v>1</v>
      </c>
      <c r="O223" t="n">
        <v>40</v>
      </c>
      <c r="P223" t="n">
        <v>0.25</v>
      </c>
      <c r="Q223" t="n">
        <v>0.25</v>
      </c>
      <c r="R223" t="n">
        <v>0.25</v>
      </c>
      <c r="S223" t="n">
        <v>0.25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10</v>
      </c>
      <c r="AH223" t="n">
        <v>10</v>
      </c>
      <c r="AI223" t="n">
        <v>10</v>
      </c>
      <c r="AJ223" t="n">
        <v>10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40</v>
      </c>
      <c r="AY223" t="n">
        <v>0.25</v>
      </c>
      <c r="AZ223" t="n">
        <v>5002</v>
      </c>
      <c r="BA223" t="n">
        <v>1250.5</v>
      </c>
      <c r="BB223" t="n">
        <v>312.625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40</v>
      </c>
      <c r="BK223" t="n">
        <v>40</v>
      </c>
      <c r="BL223" t="n">
        <v>0</v>
      </c>
    </row>
    <row r="224" outlineLevel="1" s="191">
      <c r="A224" t="n">
        <v>4</v>
      </c>
      <c r="B224" t="inlineStr">
        <is>
          <t>c</t>
        </is>
      </c>
      <c r="C224" t="n">
        <v>1</v>
      </c>
      <c r="D224" t="inlineStr">
        <is>
          <t>.z02_4_c_1</t>
        </is>
      </c>
      <c r="E224" t="inlineStr">
        <is>
          <t xml:space="preserve">Stworzenie zautomatyzowanego systemu aktualizacji danych BDP zintegrowanej z platformą. </t>
        </is>
      </c>
      <c r="F224" t="inlineStr">
        <is>
          <t>Imię03</t>
        </is>
      </c>
      <c r="G224" t="inlineStr">
        <is>
          <t>Nazwisko03</t>
        </is>
      </c>
      <c r="H224" t="n">
        <v>8</v>
      </c>
      <c r="I224" t="inlineStr">
        <is>
          <t>.a03</t>
        </is>
      </c>
      <c r="J224" t="n">
        <v>32</v>
      </c>
      <c r="K224" t="n">
        <v>46421</v>
      </c>
      <c r="L224" t="n">
        <v>46422</v>
      </c>
      <c r="M224" t="n">
        <v>32</v>
      </c>
      <c r="N224" t="n">
        <v>1</v>
      </c>
      <c r="O224" t="n">
        <v>80</v>
      </c>
      <c r="P224" t="n">
        <v>0.25</v>
      </c>
      <c r="Q224" t="n">
        <v>0.25</v>
      </c>
      <c r="R224" t="n">
        <v>0.25</v>
      </c>
      <c r="S224" t="n">
        <v>0.25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20</v>
      </c>
      <c r="AH224" t="n">
        <v>20</v>
      </c>
      <c r="AI224" t="n">
        <v>20</v>
      </c>
      <c r="AJ224" t="n">
        <v>20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80</v>
      </c>
      <c r="AY224" t="n">
        <v>0.5</v>
      </c>
      <c r="AZ224" t="n">
        <v>5003</v>
      </c>
      <c r="BA224" t="n">
        <v>2501.5</v>
      </c>
      <c r="BB224" t="n">
        <v>1250.75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80</v>
      </c>
      <c r="BK224" t="n">
        <v>80</v>
      </c>
      <c r="BL224" t="n">
        <v>0</v>
      </c>
    </row>
    <row r="225" outlineLevel="1" s="191">
      <c r="A225" t="n">
        <v>5</v>
      </c>
      <c r="B225" t="inlineStr">
        <is>
          <t>a</t>
        </is>
      </c>
      <c r="C225" t="n">
        <v>1</v>
      </c>
      <c r="D225" t="inlineStr">
        <is>
          <t>.z02_5_a_1</t>
        </is>
      </c>
      <c r="E225" t="inlineStr">
        <is>
          <t>5.Opracowanie procedur/strategii bezpieczeństwa i zarządzania BDP</t>
        </is>
      </c>
      <c r="F225" t="inlineStr">
        <is>
          <t>Imię01</t>
        </is>
      </c>
      <c r="G225" t="inlineStr">
        <is>
          <t>Nazwisko01</t>
        </is>
      </c>
      <c r="H225" t="n">
        <v>9</v>
      </c>
      <c r="I225" t="inlineStr">
        <is>
          <t>.a01</t>
        </is>
      </c>
      <c r="J225" t="n">
        <v>33</v>
      </c>
      <c r="K225" t="n">
        <v>46428</v>
      </c>
      <c r="L225" t="n">
        <v>46428</v>
      </c>
      <c r="M225" t="n">
        <v>32</v>
      </c>
      <c r="N225" t="n">
        <v>0</v>
      </c>
      <c r="O225" t="n">
        <v>20</v>
      </c>
      <c r="P225" t="n">
        <v>0.25</v>
      </c>
      <c r="Q225" t="n">
        <v>0.25</v>
      </c>
      <c r="R225" t="n">
        <v>0.25</v>
      </c>
      <c r="S225" t="n">
        <v>0.25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5</v>
      </c>
      <c r="AH225" t="n">
        <v>5</v>
      </c>
      <c r="AI225" t="n">
        <v>5</v>
      </c>
      <c r="AJ225" t="n">
        <v>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20</v>
      </c>
      <c r="AY225" t="n">
        <v>0.125</v>
      </c>
      <c r="AZ225" t="n">
        <v>5001</v>
      </c>
      <c r="BA225" t="n">
        <v>625.125</v>
      </c>
      <c r="BB225" t="n">
        <v>78.140625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20</v>
      </c>
      <c r="BK225" t="n">
        <v>20</v>
      </c>
      <c r="BL225" t="n">
        <v>0</v>
      </c>
    </row>
    <row r="226" outlineLevel="1" s="191">
      <c r="A226" t="n">
        <v>6</v>
      </c>
      <c r="B226" t="inlineStr">
        <is>
          <t>a</t>
        </is>
      </c>
      <c r="C226" t="n">
        <v>1</v>
      </c>
      <c r="D226" t="inlineStr">
        <is>
          <t>.z02_6_a_1</t>
        </is>
      </c>
      <c r="E226" t="inlineStr">
        <is>
          <t>6.Opracowanie dokumentacji BDP</t>
        </is>
      </c>
      <c r="F226" t="inlineStr">
        <is>
          <t>Imię03</t>
        </is>
      </c>
      <c r="G226" t="inlineStr">
        <is>
          <t>Nazwisko03</t>
        </is>
      </c>
      <c r="H226" t="n">
        <v>10</v>
      </c>
      <c r="I226" t="inlineStr">
        <is>
          <t>.a03</t>
        </is>
      </c>
      <c r="J226" t="n">
        <v>33</v>
      </c>
      <c r="K226" t="n">
        <v>46428</v>
      </c>
      <c r="L226" t="n">
        <v>46429</v>
      </c>
      <c r="M226" t="n">
        <v>33</v>
      </c>
      <c r="N226" t="n">
        <v>1</v>
      </c>
      <c r="O226" t="n">
        <v>60</v>
      </c>
      <c r="P226" t="n">
        <v>0.25</v>
      </c>
      <c r="Q226" t="n">
        <v>0.25</v>
      </c>
      <c r="R226" t="n">
        <v>0.25</v>
      </c>
      <c r="S226" t="n">
        <v>0.25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15</v>
      </c>
      <c r="AH226" t="n">
        <v>15</v>
      </c>
      <c r="AI226" t="n">
        <v>15</v>
      </c>
      <c r="AJ226" t="n">
        <v>15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60</v>
      </c>
      <c r="AY226" t="n">
        <v>0.375</v>
      </c>
      <c r="AZ226" t="n">
        <v>5003</v>
      </c>
      <c r="BA226" t="n">
        <v>1876.125</v>
      </c>
      <c r="BB226" t="n">
        <v>703.546875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60</v>
      </c>
      <c r="BK226" t="n">
        <v>60</v>
      </c>
      <c r="BL226" t="n">
        <v>0</v>
      </c>
    </row>
    <row r="227" outlineLevel="1" s="191">
      <c r="A227" t="inlineStr">
        <is>
          <t>.z02</t>
        </is>
      </c>
      <c r="BJ227" t="n">
        <v>0</v>
      </c>
      <c r="BK227" t="n">
        <v>0</v>
      </c>
      <c r="BL227" t="n">
        <v>0</v>
      </c>
    </row>
    <row r="228" outlineLevel="1" s="191">
      <c r="A228" t="inlineStr">
        <is>
          <t>.z02</t>
        </is>
      </c>
      <c r="BJ228" t="n">
        <v>0</v>
      </c>
      <c r="BK228" t="n">
        <v>0</v>
      </c>
      <c r="BL228" t="n">
        <v>0</v>
      </c>
    </row>
    <row r="229" outlineLevel="1" s="191">
      <c r="A229" t="inlineStr">
        <is>
          <t>.z02</t>
        </is>
      </c>
      <c r="BJ229" t="n">
        <v>0</v>
      </c>
      <c r="BK229" t="n">
        <v>0</v>
      </c>
      <c r="BL229" t="n">
        <v>0</v>
      </c>
    </row>
    <row r="230" outlineLevel="1" s="191">
      <c r="A230" t="inlineStr">
        <is>
          <t>.z02</t>
        </is>
      </c>
      <c r="BJ230" t="n">
        <v>0</v>
      </c>
      <c r="BK230" t="n">
        <v>0</v>
      </c>
      <c r="BL230" t="n">
        <v>0</v>
      </c>
    </row>
    <row r="231" outlineLevel="1" s="191">
      <c r="A231" t="inlineStr">
        <is>
          <t>.z02</t>
        </is>
      </c>
      <c r="BJ231" t="n">
        <v>0</v>
      </c>
      <c r="BK231" t="n">
        <v>0</v>
      </c>
      <c r="BL231" t="n">
        <v>0</v>
      </c>
    </row>
    <row r="232" outlineLevel="1" s="191">
      <c r="A232" t="inlineStr">
        <is>
          <t>.z02</t>
        </is>
      </c>
      <c r="BJ232" t="n">
        <v>0</v>
      </c>
      <c r="BK232" t="n">
        <v>0</v>
      </c>
      <c r="BL232" t="n">
        <v>0</v>
      </c>
    </row>
    <row r="233" outlineLevel="1" s="191">
      <c r="A233" t="inlineStr">
        <is>
          <t>.z02</t>
        </is>
      </c>
      <c r="BJ233" t="n">
        <v>0</v>
      </c>
      <c r="BK233" t="n">
        <v>0</v>
      </c>
      <c r="BL233" t="n">
        <v>0</v>
      </c>
    </row>
    <row r="234" outlineLevel="1" s="191">
      <c r="A234" t="inlineStr">
        <is>
          <t>.z02</t>
        </is>
      </c>
      <c r="BJ234" t="n">
        <v>0</v>
      </c>
      <c r="BK234" t="n">
        <v>0</v>
      </c>
      <c r="BL234" t="n">
        <v>0</v>
      </c>
    </row>
    <row r="235" outlineLevel="1" s="191">
      <c r="A235" t="inlineStr">
        <is>
          <t>.z02</t>
        </is>
      </c>
      <c r="BJ235" t="n">
        <v>0</v>
      </c>
      <c r="BK235" t="n">
        <v>0</v>
      </c>
      <c r="BL235" t="n">
        <v>0</v>
      </c>
    </row>
    <row r="236" outlineLevel="1" s="191">
      <c r="A236" t="inlineStr">
        <is>
          <t>.z02</t>
        </is>
      </c>
      <c r="BJ236" t="n">
        <v>0</v>
      </c>
      <c r="BK236" t="n">
        <v>0</v>
      </c>
      <c r="BL236" t="n">
        <v>0</v>
      </c>
    </row>
    <row r="237" outlineLevel="1" s="191">
      <c r="A237" t="inlineStr">
        <is>
          <t>.z02</t>
        </is>
      </c>
      <c r="BJ237" t="n">
        <v>0</v>
      </c>
      <c r="BK237" t="n">
        <v>0</v>
      </c>
      <c r="BL237" t="n">
        <v>0</v>
      </c>
    </row>
    <row r="238" outlineLevel="1" s="191">
      <c r="A238" t="inlineStr">
        <is>
          <t>.z02</t>
        </is>
      </c>
      <c r="BJ238" t="n">
        <v>0</v>
      </c>
      <c r="BK238" t="n">
        <v>0</v>
      </c>
      <c r="BL238" t="n">
        <v>0</v>
      </c>
    </row>
    <row r="239" outlineLevel="1" s="191">
      <c r="A239" t="inlineStr">
        <is>
          <t>.z02</t>
        </is>
      </c>
      <c r="BJ239" t="n">
        <v>0</v>
      </c>
      <c r="BK239" t="n">
        <v>0</v>
      </c>
      <c r="BL239" t="n">
        <v>0</v>
      </c>
    </row>
    <row r="240" outlineLevel="1" s="191">
      <c r="A240" t="inlineStr">
        <is>
          <t>.z02</t>
        </is>
      </c>
      <c r="BJ240" t="n">
        <v>0</v>
      </c>
      <c r="BK240" t="n">
        <v>0</v>
      </c>
      <c r="BL240" t="n">
        <v>0</v>
      </c>
    </row>
    <row r="241" outlineLevel="1" s="191">
      <c r="A241" t="inlineStr">
        <is>
          <t>.z02</t>
        </is>
      </c>
      <c r="BJ241" t="n">
        <v>0</v>
      </c>
      <c r="BK241" t="n">
        <v>0</v>
      </c>
      <c r="BL241" t="n">
        <v>0</v>
      </c>
    </row>
    <row r="242" outlineLevel="1" s="191">
      <c r="A242" t="inlineStr">
        <is>
          <t>.z02</t>
        </is>
      </c>
      <c r="BJ242" t="n">
        <v>0</v>
      </c>
      <c r="BK242" t="n">
        <v>0</v>
      </c>
      <c r="BL242" t="n">
        <v>0</v>
      </c>
    </row>
    <row r="243" outlineLevel="1" s="191">
      <c r="A243" t="inlineStr">
        <is>
          <t>.z02</t>
        </is>
      </c>
      <c r="BJ243" t="n">
        <v>0</v>
      </c>
      <c r="BK243" t="n">
        <v>0</v>
      </c>
      <c r="BL243" t="n">
        <v>0</v>
      </c>
    </row>
    <row r="244" outlineLevel="1" s="191">
      <c r="A244" t="inlineStr">
        <is>
          <t>.z02</t>
        </is>
      </c>
      <c r="BJ244" t="n">
        <v>0</v>
      </c>
      <c r="BK244" t="n">
        <v>0</v>
      </c>
      <c r="BL244" t="n">
        <v>0</v>
      </c>
    </row>
    <row r="245" outlineLevel="1" s="191">
      <c r="A245" t="inlineStr">
        <is>
          <t>.z02</t>
        </is>
      </c>
      <c r="BJ245" t="n">
        <v>0</v>
      </c>
      <c r="BK245" t="n">
        <v>0</v>
      </c>
      <c r="BL245" t="n">
        <v>0</v>
      </c>
    </row>
    <row r="246" outlineLevel="1" s="191">
      <c r="A246" t="inlineStr">
        <is>
          <t>.z02</t>
        </is>
      </c>
      <c r="BJ246" t="n">
        <v>0</v>
      </c>
      <c r="BK246" t="n">
        <v>0</v>
      </c>
      <c r="BL246" t="n">
        <v>0</v>
      </c>
    </row>
    <row r="247" outlineLevel="1" s="191">
      <c r="A247" t="inlineStr">
        <is>
          <t>.z02</t>
        </is>
      </c>
      <c r="BJ247" t="n">
        <v>0</v>
      </c>
      <c r="BK247" t="n">
        <v>0</v>
      </c>
      <c r="BL247" t="n">
        <v>0</v>
      </c>
    </row>
    <row r="248" outlineLevel="1" s="191">
      <c r="A248" t="inlineStr">
        <is>
          <t>.z02</t>
        </is>
      </c>
      <c r="BJ248" t="n">
        <v>0</v>
      </c>
      <c r="BK248" t="n">
        <v>0</v>
      </c>
      <c r="BL248" t="n">
        <v>0</v>
      </c>
    </row>
    <row r="249" outlineLevel="1" s="191">
      <c r="A249" t="inlineStr">
        <is>
          <t>.z02</t>
        </is>
      </c>
      <c r="BJ249" t="n">
        <v>0</v>
      </c>
      <c r="BK249" t="n">
        <v>0</v>
      </c>
      <c r="BL249" t="n">
        <v>0</v>
      </c>
    </row>
    <row r="250" outlineLevel="1" s="191">
      <c r="A250" t="inlineStr">
        <is>
          <t>.z02</t>
        </is>
      </c>
      <c r="BJ250" t="n">
        <v>0</v>
      </c>
      <c r="BK250" t="n">
        <v>0</v>
      </c>
      <c r="BL250" t="n">
        <v>0</v>
      </c>
    </row>
    <row r="251" outlineLevel="1" s="191">
      <c r="A251" t="inlineStr">
        <is>
          <t>.z02</t>
        </is>
      </c>
      <c r="BJ251" t="n">
        <v>0</v>
      </c>
      <c r="BK251" t="n">
        <v>0</v>
      </c>
      <c r="BL251" t="n">
        <v>0</v>
      </c>
    </row>
    <row r="252" outlineLevel="1" s="191">
      <c r="A252" t="inlineStr">
        <is>
          <t>.z02</t>
        </is>
      </c>
      <c r="BJ252" t="n">
        <v>0</v>
      </c>
      <c r="BK252" t="n">
        <v>0</v>
      </c>
      <c r="BL252" t="n">
        <v>0</v>
      </c>
    </row>
    <row r="253" outlineLevel="1" s="191">
      <c r="A253" t="inlineStr">
        <is>
          <t>.z02</t>
        </is>
      </c>
      <c r="BJ253" t="n">
        <v>0</v>
      </c>
      <c r="BK253" t="n">
        <v>0</v>
      </c>
      <c r="BL253" t="n">
        <v>0</v>
      </c>
    </row>
    <row r="254" outlineLevel="1" s="191">
      <c r="A254" t="inlineStr">
        <is>
          <t>.z02</t>
        </is>
      </c>
      <c r="BJ254" t="n">
        <v>0</v>
      </c>
      <c r="BK254" t="n">
        <v>0</v>
      </c>
      <c r="BL254" t="n">
        <v>0</v>
      </c>
    </row>
    <row r="255" outlineLevel="1" s="191">
      <c r="A255" t="inlineStr">
        <is>
          <t>.z02</t>
        </is>
      </c>
      <c r="BJ255" t="n">
        <v>0</v>
      </c>
      <c r="BK255" t="n">
        <v>0</v>
      </c>
      <c r="BL255" t="n">
        <v>0</v>
      </c>
    </row>
    <row r="256" outlineLevel="1" s="191">
      <c r="A256" t="inlineStr">
        <is>
          <t>.z02</t>
        </is>
      </c>
      <c r="BJ256" t="n">
        <v>0</v>
      </c>
      <c r="BK256" t="n">
        <v>0</v>
      </c>
      <c r="BL256" t="n">
        <v>0</v>
      </c>
    </row>
    <row r="257" outlineLevel="1" s="191">
      <c r="A257" t="inlineStr">
        <is>
          <t>.z02</t>
        </is>
      </c>
      <c r="BJ257" t="n">
        <v>0</v>
      </c>
      <c r="BK257" t="n">
        <v>0</v>
      </c>
      <c r="BL257" t="n">
        <v>0</v>
      </c>
    </row>
    <row r="258" outlineLevel="1" s="191">
      <c r="A258" t="inlineStr">
        <is>
          <t>.z02</t>
        </is>
      </c>
      <c r="BJ258" t="n">
        <v>0</v>
      </c>
      <c r="BK258" t="n">
        <v>0</v>
      </c>
      <c r="BL258" t="n">
        <v>0</v>
      </c>
    </row>
    <row r="259" outlineLevel="1" s="191">
      <c r="A259" t="inlineStr">
        <is>
          <t>.z02</t>
        </is>
      </c>
      <c r="BJ259" t="n">
        <v>0</v>
      </c>
      <c r="BK259" t="n">
        <v>0</v>
      </c>
      <c r="BL259" t="n">
        <v>0</v>
      </c>
    </row>
    <row r="260" outlineLevel="1" s="191">
      <c r="A260" t="inlineStr">
        <is>
          <t>.z02</t>
        </is>
      </c>
      <c r="BJ260" t="n">
        <v>0</v>
      </c>
      <c r="BK260" t="n">
        <v>0</v>
      </c>
      <c r="BL260" t="n">
        <v>0</v>
      </c>
    </row>
    <row r="261" outlineLevel="1" s="191">
      <c r="A261" t="inlineStr">
        <is>
          <t>.z02</t>
        </is>
      </c>
      <c r="BJ261" t="n">
        <v>0</v>
      </c>
      <c r="BK261" t="n">
        <v>0</v>
      </c>
      <c r="BL261" t="n">
        <v>0</v>
      </c>
    </row>
    <row r="262" outlineLevel="1" s="191">
      <c r="A262" t="inlineStr">
        <is>
          <t>.z02</t>
        </is>
      </c>
      <c r="BJ262" t="n">
        <v>0</v>
      </c>
      <c r="BK262" t="n">
        <v>0</v>
      </c>
      <c r="BL262" t="n">
        <v>0</v>
      </c>
    </row>
    <row r="263" outlineLevel="1" s="191">
      <c r="A263" t="inlineStr">
        <is>
          <t>.z02</t>
        </is>
      </c>
      <c r="BJ263" t="n">
        <v>0</v>
      </c>
      <c r="BK263" t="n">
        <v>0</v>
      </c>
      <c r="BL263" t="n">
        <v>0</v>
      </c>
    </row>
    <row r="264" outlineLevel="1" s="191">
      <c r="A264" t="inlineStr">
        <is>
          <t>.z02</t>
        </is>
      </c>
      <c r="BJ264" t="n">
        <v>0</v>
      </c>
      <c r="BK264" t="n">
        <v>0</v>
      </c>
      <c r="BL264" t="n">
        <v>0</v>
      </c>
    </row>
    <row r="265" outlineLevel="1" s="191">
      <c r="A265" t="inlineStr">
        <is>
          <t>.z02</t>
        </is>
      </c>
      <c r="BJ265" t="n">
        <v>0</v>
      </c>
      <c r="BK265" t="n">
        <v>0</v>
      </c>
      <c r="BL265" t="n">
        <v>0</v>
      </c>
    </row>
    <row r="266" outlineLevel="1" s="191">
      <c r="A266" t="inlineStr">
        <is>
          <t>.z02</t>
        </is>
      </c>
      <c r="BJ266" t="n">
        <v>0</v>
      </c>
      <c r="BK266" t="n">
        <v>0</v>
      </c>
      <c r="BL266" t="n">
        <v>0</v>
      </c>
    </row>
    <row r="267" outlineLevel="1" s="191">
      <c r="A267" t="inlineStr">
        <is>
          <t>.z02</t>
        </is>
      </c>
      <c r="BJ267" t="n">
        <v>0</v>
      </c>
      <c r="BK267" t="n">
        <v>0</v>
      </c>
      <c r="BL267" t="n">
        <v>0</v>
      </c>
    </row>
    <row r="268" outlineLevel="1" s="191">
      <c r="A268" t="inlineStr">
        <is>
          <t>.z02</t>
        </is>
      </c>
      <c r="BJ268" t="n">
        <v>0</v>
      </c>
      <c r="BK268" t="n">
        <v>0</v>
      </c>
      <c r="BL268" t="n">
        <v>0</v>
      </c>
    </row>
    <row r="269" outlineLevel="1" s="191">
      <c r="A269" t="inlineStr">
        <is>
          <t>.z02</t>
        </is>
      </c>
      <c r="BJ269" t="n">
        <v>0</v>
      </c>
      <c r="BK269" t="n">
        <v>0</v>
      </c>
      <c r="BL269" t="n">
        <v>0</v>
      </c>
    </row>
    <row r="270" outlineLevel="1" s="191">
      <c r="A270" t="inlineStr">
        <is>
          <t>.z02</t>
        </is>
      </c>
      <c r="BJ270" t="n">
        <v>0</v>
      </c>
      <c r="BK270" t="n">
        <v>0</v>
      </c>
      <c r="BL270" t="n">
        <v>0</v>
      </c>
    </row>
    <row r="271" outlineLevel="1" s="191">
      <c r="A271" t="inlineStr">
        <is>
          <t>.z02</t>
        </is>
      </c>
      <c r="BJ271" t="n">
        <v>0</v>
      </c>
      <c r="BK271" t="n">
        <v>0</v>
      </c>
      <c r="BL271" t="n">
        <v>0</v>
      </c>
    </row>
    <row r="272" outlineLevel="1" s="191">
      <c r="A272" t="inlineStr">
        <is>
          <t>.z02</t>
        </is>
      </c>
      <c r="BJ272" t="n">
        <v>0</v>
      </c>
      <c r="BK272" t="n">
        <v>0</v>
      </c>
      <c r="BL272" t="n">
        <v>0</v>
      </c>
    </row>
    <row r="273" outlineLevel="1" s="191">
      <c r="A273" t="inlineStr">
        <is>
          <t>.z02</t>
        </is>
      </c>
      <c r="BJ273" t="n">
        <v>0</v>
      </c>
      <c r="BK273" t="n">
        <v>0</v>
      </c>
      <c r="BL273" t="n">
        <v>0</v>
      </c>
    </row>
    <row r="274" outlineLevel="1" s="191">
      <c r="A274" t="inlineStr">
        <is>
          <t>.z02</t>
        </is>
      </c>
      <c r="BJ274" t="n">
        <v>0</v>
      </c>
      <c r="BK274" t="n">
        <v>0</v>
      </c>
      <c r="BL274" t="n">
        <v>0</v>
      </c>
    </row>
    <row r="275" outlineLevel="1" s="191">
      <c r="A275" t="inlineStr">
        <is>
          <t>.z02</t>
        </is>
      </c>
      <c r="BJ275" t="n">
        <v>0</v>
      </c>
      <c r="BK275" t="n">
        <v>0</v>
      </c>
      <c r="BL275" t="n">
        <v>0</v>
      </c>
    </row>
    <row r="276" outlineLevel="1" s="191">
      <c r="A276" t="inlineStr">
        <is>
          <t>.z02</t>
        </is>
      </c>
      <c r="BJ276" t="n">
        <v>0</v>
      </c>
      <c r="BK276" t="n">
        <v>0</v>
      </c>
      <c r="BL276" t="n">
        <v>0</v>
      </c>
    </row>
    <row r="277" outlineLevel="1" s="191">
      <c r="A277" t="inlineStr">
        <is>
          <t>.z02</t>
        </is>
      </c>
      <c r="BJ277" t="n">
        <v>0</v>
      </c>
      <c r="BK277" t="n">
        <v>0</v>
      </c>
      <c r="BL277" t="n">
        <v>0</v>
      </c>
    </row>
    <row r="278" outlineLevel="1" s="191">
      <c r="A278" t="inlineStr">
        <is>
          <t>.z02</t>
        </is>
      </c>
      <c r="BJ278" t="n">
        <v>0</v>
      </c>
      <c r="BK278" t="n">
        <v>0</v>
      </c>
      <c r="BL278" t="n">
        <v>0</v>
      </c>
    </row>
    <row r="279" outlineLevel="1" s="191">
      <c r="A279" t="inlineStr">
        <is>
          <t>.z02</t>
        </is>
      </c>
      <c r="BJ279" t="n">
        <v>0</v>
      </c>
      <c r="BK279" t="n">
        <v>0</v>
      </c>
      <c r="BL279" t="n">
        <v>0</v>
      </c>
    </row>
    <row r="280" outlineLevel="1" s="191">
      <c r="A280" t="inlineStr">
        <is>
          <t>.z02</t>
        </is>
      </c>
      <c r="BJ280" t="n">
        <v>0</v>
      </c>
      <c r="BK280" t="n">
        <v>0</v>
      </c>
      <c r="BL280" t="n">
        <v>0</v>
      </c>
    </row>
    <row r="281" outlineLevel="1" s="191">
      <c r="A281" t="inlineStr">
        <is>
          <t>.z02</t>
        </is>
      </c>
      <c r="BJ281" t="n">
        <v>0</v>
      </c>
      <c r="BK281" t="n">
        <v>0</v>
      </c>
      <c r="BL281" t="n">
        <v>0</v>
      </c>
    </row>
    <row r="282" outlineLevel="1" s="191">
      <c r="A282" t="inlineStr">
        <is>
          <t>.z02</t>
        </is>
      </c>
      <c r="BJ282" t="n">
        <v>0</v>
      </c>
      <c r="BK282" t="n">
        <v>0</v>
      </c>
      <c r="BL282" t="n">
        <v>0</v>
      </c>
    </row>
    <row r="283" outlineLevel="1" s="191">
      <c r="A283" t="inlineStr">
        <is>
          <t>.z02</t>
        </is>
      </c>
      <c r="BJ283" t="n">
        <v>0</v>
      </c>
      <c r="BK283" t="n">
        <v>0</v>
      </c>
      <c r="BL283" t="n">
        <v>0</v>
      </c>
    </row>
    <row r="284" outlineLevel="1" s="191">
      <c r="A284" t="inlineStr">
        <is>
          <t>.z02</t>
        </is>
      </c>
      <c r="BJ284" t="n">
        <v>0</v>
      </c>
      <c r="BK284" t="n">
        <v>0</v>
      </c>
      <c r="BL284" t="n">
        <v>0</v>
      </c>
    </row>
    <row r="285" outlineLevel="1" s="191">
      <c r="A285" t="inlineStr">
        <is>
          <t>.z02</t>
        </is>
      </c>
      <c r="BJ285" t="n">
        <v>0</v>
      </c>
      <c r="BK285" t="n">
        <v>0</v>
      </c>
      <c r="BL285" t="n">
        <v>0</v>
      </c>
    </row>
    <row r="286" outlineLevel="1" s="191">
      <c r="A286" t="inlineStr">
        <is>
          <t>.z02</t>
        </is>
      </c>
      <c r="BJ286" t="n">
        <v>0</v>
      </c>
      <c r="BK286" t="n">
        <v>0</v>
      </c>
      <c r="BL286" t="n">
        <v>0</v>
      </c>
    </row>
    <row r="287" outlineLevel="1" s="191">
      <c r="A287" t="inlineStr">
        <is>
          <t>.z02</t>
        </is>
      </c>
      <c r="BJ287" t="n">
        <v>0</v>
      </c>
      <c r="BK287" t="n">
        <v>0</v>
      </c>
      <c r="BL287" t="n">
        <v>0</v>
      </c>
    </row>
    <row r="288" outlineLevel="1" s="191">
      <c r="A288" t="inlineStr">
        <is>
          <t>.z02</t>
        </is>
      </c>
      <c r="BJ288" t="n">
        <v>0</v>
      </c>
      <c r="BK288" t="n">
        <v>0</v>
      </c>
      <c r="BL288" t="n">
        <v>0</v>
      </c>
    </row>
    <row r="289" outlineLevel="1" s="191">
      <c r="A289" t="inlineStr">
        <is>
          <t>.z02</t>
        </is>
      </c>
      <c r="BJ289" t="n">
        <v>0</v>
      </c>
      <c r="BK289" t="n">
        <v>0</v>
      </c>
      <c r="BL289" t="n">
        <v>0</v>
      </c>
    </row>
    <row r="290" outlineLevel="1" s="191">
      <c r="A290" t="inlineStr">
        <is>
          <t>.z02</t>
        </is>
      </c>
      <c r="BJ290" t="n">
        <v>0</v>
      </c>
      <c r="BK290" t="n">
        <v>0</v>
      </c>
      <c r="BL290" t="n">
        <v>0</v>
      </c>
    </row>
    <row r="291" outlineLevel="1" s="191">
      <c r="A291" t="inlineStr">
        <is>
          <t>.z02</t>
        </is>
      </c>
      <c r="BJ291" t="n">
        <v>0</v>
      </c>
      <c r="BK291" t="n">
        <v>0</v>
      </c>
      <c r="BL291" t="n">
        <v>0</v>
      </c>
    </row>
    <row r="292" outlineLevel="1" s="191">
      <c r="A292" t="inlineStr">
        <is>
          <t>.z02</t>
        </is>
      </c>
      <c r="BJ292" t="n">
        <v>0</v>
      </c>
      <c r="BK292" t="n">
        <v>0</v>
      </c>
      <c r="BL292" t="n">
        <v>0</v>
      </c>
    </row>
    <row r="293" outlineLevel="1" s="191">
      <c r="A293" t="inlineStr">
        <is>
          <t>.z02</t>
        </is>
      </c>
      <c r="BJ293" t="n">
        <v>0</v>
      </c>
      <c r="BK293" t="n">
        <v>0</v>
      </c>
      <c r="BL293" t="n">
        <v>0</v>
      </c>
    </row>
    <row r="294" outlineLevel="1" s="191">
      <c r="A294" t="inlineStr">
        <is>
          <t>.z02</t>
        </is>
      </c>
      <c r="BJ294" t="n">
        <v>0</v>
      </c>
      <c r="BK294" t="n">
        <v>0</v>
      </c>
      <c r="BL294" t="n">
        <v>0</v>
      </c>
    </row>
    <row r="295" outlineLevel="1" s="191">
      <c r="A295" t="inlineStr">
        <is>
          <t>.z02</t>
        </is>
      </c>
      <c r="BJ295" t="n">
        <v>0</v>
      </c>
      <c r="BK295" t="n">
        <v>0</v>
      </c>
      <c r="BL295" t="n">
        <v>0</v>
      </c>
    </row>
    <row r="296" outlineLevel="1" s="191">
      <c r="A296" t="inlineStr">
        <is>
          <t>.z02</t>
        </is>
      </c>
      <c r="BJ296" t="n">
        <v>0</v>
      </c>
      <c r="BK296" t="n">
        <v>0</v>
      </c>
      <c r="BL296" t="n">
        <v>0</v>
      </c>
    </row>
    <row r="297" outlineLevel="1" s="191">
      <c r="A297" t="inlineStr">
        <is>
          <t>.z02</t>
        </is>
      </c>
      <c r="BJ297" t="n">
        <v>0</v>
      </c>
      <c r="BK297" t="n">
        <v>0</v>
      </c>
      <c r="BL297" t="n">
        <v>0</v>
      </c>
    </row>
    <row r="298" outlineLevel="1" s="191">
      <c r="A298" s="264" t="inlineStr">
        <is>
          <t>.z02</t>
        </is>
      </c>
      <c r="BJ298" t="n">
        <v>0</v>
      </c>
      <c r="BK298" t="n">
        <v>0</v>
      </c>
      <c r="BL298" t="n">
        <v>0</v>
      </c>
    </row>
    <row r="299">
      <c r="A299" t="n">
        <v>1</v>
      </c>
      <c r="BJ299" t="n">
        <v>0</v>
      </c>
      <c r="BK299" t="n">
        <v>0</v>
      </c>
      <c r="BL299" t="n">
        <v>0</v>
      </c>
      <c r="BM299" t="n">
        <v>0</v>
      </c>
    </row>
    <row r="300" ht="15.6" customHeight="1" s="191">
      <c r="A300" s="259" t="inlineStr">
        <is>
          <t>.z03</t>
        </is>
      </c>
      <c r="B300" s="260" t="n"/>
      <c r="C300" s="261" t="n"/>
      <c r="D300" s="276" t="n"/>
      <c r="E300" s="277" t="inlineStr">
        <is>
          <t>Zadanie_III   :  Opracowanie inteligentnego matematycznego modelu pakowania towarów (PT) z wykorzystaniem mechanizmów AI i ML</t>
        </is>
      </c>
      <c r="F300" s="538" t="n"/>
      <c r="BJ300" t="n">
        <v>0</v>
      </c>
      <c r="BK300" t="n">
        <v>0</v>
      </c>
      <c r="BL300" t="n">
        <v>0</v>
      </c>
      <c r="BM300" t="n">
        <v>0</v>
      </c>
    </row>
    <row r="301" outlineLevel="1" s="191">
      <c r="A301" t="n">
        <v>1</v>
      </c>
      <c r="B301" t="inlineStr">
        <is>
          <t>a</t>
        </is>
      </c>
      <c r="C301" t="n">
        <v>0</v>
      </c>
      <c r="D301" t="inlineStr">
        <is>
          <t>.z03_1_a_0</t>
        </is>
      </c>
      <c r="E301" t="inlineStr">
        <is>
          <t>1.Identyfikacja, analiza i mapowanie procesu pakowania towarów (PT</t>
        </is>
      </c>
      <c r="F301" t="n">
        <v>0</v>
      </c>
      <c r="G301" t="n">
        <v>0</v>
      </c>
      <c r="H301" t="n">
        <v>0</v>
      </c>
      <c r="I301" t="inlineStr">
        <is>
          <t>ACT</t>
        </is>
      </c>
      <c r="J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</row>
    <row r="302" outlineLevel="1" s="191">
      <c r="A302" t="n">
        <v>1</v>
      </c>
      <c r="B302" t="inlineStr">
        <is>
          <t>a</t>
        </is>
      </c>
      <c r="C302" t="n">
        <v>1</v>
      </c>
      <c r="D302" t="inlineStr">
        <is>
          <t>.z03_1_a_1</t>
        </is>
      </c>
      <c r="E302" t="inlineStr">
        <is>
          <t>Identyfikacja i analiza kluczowych etapów PT i ich interakcji</t>
        </is>
      </c>
      <c r="F302" t="inlineStr">
        <is>
          <t>Imię01</t>
        </is>
      </c>
      <c r="G302" t="inlineStr">
        <is>
          <t>Nazwisko01</t>
        </is>
      </c>
      <c r="H302" t="n">
        <v>1</v>
      </c>
      <c r="I302" t="inlineStr">
        <is>
          <t>.a01</t>
        </is>
      </c>
      <c r="J302" t="n">
        <v>34</v>
      </c>
      <c r="K302" t="n">
        <v>46435</v>
      </c>
      <c r="L302" t="n">
        <v>46441</v>
      </c>
      <c r="M302" t="n">
        <v>39</v>
      </c>
      <c r="N302" t="n">
        <v>6</v>
      </c>
      <c r="O302" t="n">
        <v>120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120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120</v>
      </c>
      <c r="AY302" t="n">
        <v>0.75</v>
      </c>
      <c r="AZ302" t="n">
        <v>5001</v>
      </c>
      <c r="BA302" t="n">
        <v>3750.75</v>
      </c>
      <c r="BB302" t="n">
        <v>2813.0625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120</v>
      </c>
      <c r="BK302" t="n">
        <v>120</v>
      </c>
      <c r="BL302" t="n">
        <v>0</v>
      </c>
    </row>
    <row r="303" outlineLevel="1" s="191">
      <c r="A303" t="n">
        <v>1</v>
      </c>
      <c r="B303" t="inlineStr">
        <is>
          <t>b</t>
        </is>
      </c>
      <c r="C303" t="n">
        <v>1</v>
      </c>
      <c r="D303" t="inlineStr">
        <is>
          <t>.z03_1_b_1</t>
        </is>
      </c>
      <c r="E303" t="inlineStr">
        <is>
          <t>Określenie wskaźników KPI do oceny efektywności symulacji</t>
        </is>
      </c>
      <c r="F303" t="inlineStr">
        <is>
          <t>Imię02</t>
        </is>
      </c>
      <c r="G303" t="inlineStr">
        <is>
          <t>Nazwisko02</t>
        </is>
      </c>
      <c r="H303" t="n">
        <v>1</v>
      </c>
      <c r="I303" t="inlineStr">
        <is>
          <t>.a02</t>
        </is>
      </c>
      <c r="J303" t="n">
        <v>40</v>
      </c>
      <c r="K303" t="n">
        <v>46477</v>
      </c>
      <c r="L303" t="n">
        <v>46477</v>
      </c>
      <c r="M303" t="n">
        <v>39</v>
      </c>
      <c r="N303" t="n">
        <v>0</v>
      </c>
      <c r="O303" t="n">
        <v>120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120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120</v>
      </c>
      <c r="AY303" t="n">
        <v>0.75</v>
      </c>
      <c r="AZ303" t="n">
        <v>5002</v>
      </c>
      <c r="BA303" t="n">
        <v>3751.5</v>
      </c>
      <c r="BB303" t="n">
        <v>2813.625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120</v>
      </c>
      <c r="BK303" t="n">
        <v>120</v>
      </c>
      <c r="BL303" t="n">
        <v>0</v>
      </c>
    </row>
    <row r="304" outlineLevel="1" s="191">
      <c r="A304" t="n">
        <v>1</v>
      </c>
      <c r="B304" t="inlineStr">
        <is>
          <t>c</t>
        </is>
      </c>
      <c r="C304" t="n">
        <v>1</v>
      </c>
      <c r="D304" t="inlineStr">
        <is>
          <t>.z03_1_c_1</t>
        </is>
      </c>
      <c r="E304" t="inlineStr">
        <is>
          <t>Analiza wydajności</t>
        </is>
      </c>
      <c r="F304" t="inlineStr">
        <is>
          <t>Imię03</t>
        </is>
      </c>
      <c r="G304" t="inlineStr">
        <is>
          <t>Nazwisko03</t>
        </is>
      </c>
      <c r="H304" t="n">
        <v>2</v>
      </c>
      <c r="I304" t="inlineStr">
        <is>
          <t>.a03</t>
        </is>
      </c>
      <c r="J304" t="n">
        <v>40</v>
      </c>
      <c r="K304" t="n">
        <v>46477</v>
      </c>
      <c r="L304" t="n">
        <v>46477</v>
      </c>
      <c r="M304" t="n">
        <v>39</v>
      </c>
      <c r="N304" t="n">
        <v>0</v>
      </c>
      <c r="O304" t="n">
        <v>120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120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120</v>
      </c>
      <c r="AY304" t="n">
        <v>0.75</v>
      </c>
      <c r="AZ304" t="n">
        <v>5003</v>
      </c>
      <c r="BA304" t="n">
        <v>3752.25</v>
      </c>
      <c r="BB304" t="n">
        <v>2814.1875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120</v>
      </c>
      <c r="BK304" t="n">
        <v>120</v>
      </c>
      <c r="BL304" t="n">
        <v>0</v>
      </c>
    </row>
    <row r="305" outlineLevel="1" s="191">
      <c r="A305" t="n">
        <v>1</v>
      </c>
      <c r="B305" t="inlineStr">
        <is>
          <t>d</t>
        </is>
      </c>
      <c r="C305" t="n">
        <v>1</v>
      </c>
      <c r="D305" t="inlineStr">
        <is>
          <t>.z03_1_d_1</t>
        </is>
      </c>
      <c r="E305" t="inlineStr">
        <is>
          <t>Identyfikacja wyzwań/„wąskich gardeł”</t>
        </is>
      </c>
      <c r="F305" t="inlineStr">
        <is>
          <t>Imię01</t>
        </is>
      </c>
      <c r="G305" t="inlineStr">
        <is>
          <t>Nazwisko01</t>
        </is>
      </c>
      <c r="H305" t="n">
        <v>1</v>
      </c>
      <c r="I305" t="inlineStr">
        <is>
          <t>.a01</t>
        </is>
      </c>
      <c r="J305" t="n">
        <v>40</v>
      </c>
      <c r="K305" t="n">
        <v>46477</v>
      </c>
      <c r="L305" t="n">
        <v>46477</v>
      </c>
      <c r="M305" t="n">
        <v>39</v>
      </c>
      <c r="N305" t="n">
        <v>0</v>
      </c>
      <c r="O305" t="n">
        <v>120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120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120</v>
      </c>
      <c r="AY305" t="n">
        <v>0.75</v>
      </c>
      <c r="AZ305" t="n">
        <v>5001</v>
      </c>
      <c r="BA305" t="n">
        <v>3750.75</v>
      </c>
      <c r="BB305" t="n">
        <v>2813.0625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120</v>
      </c>
      <c r="BK305" t="n">
        <v>120</v>
      </c>
      <c r="BL305" t="n">
        <v>0</v>
      </c>
    </row>
    <row r="306" outlineLevel="1" s="191">
      <c r="A306" t="n">
        <v>1</v>
      </c>
      <c r="B306" t="inlineStr">
        <is>
          <t>e</t>
        </is>
      </c>
      <c r="C306" t="n">
        <v>1</v>
      </c>
      <c r="D306" t="inlineStr">
        <is>
          <t>.z03_1_e_1</t>
        </is>
      </c>
      <c r="E306" t="inlineStr">
        <is>
          <t>Analiza wpływu zakłóceń dostępności infrastruktury technicznej</t>
        </is>
      </c>
      <c r="F306" t="inlineStr">
        <is>
          <t>Imię03</t>
        </is>
      </c>
      <c r="G306" t="inlineStr">
        <is>
          <t>Nazwisko03</t>
        </is>
      </c>
      <c r="H306" t="n">
        <v>1</v>
      </c>
      <c r="I306" t="inlineStr">
        <is>
          <t>.a03</t>
        </is>
      </c>
      <c r="J306" t="n">
        <v>40</v>
      </c>
      <c r="K306" t="n">
        <v>46477</v>
      </c>
      <c r="L306" t="n">
        <v>46477</v>
      </c>
      <c r="M306" t="n">
        <v>39</v>
      </c>
      <c r="N306" t="n">
        <v>0</v>
      </c>
      <c r="O306" t="n">
        <v>120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120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120</v>
      </c>
      <c r="AY306" t="n">
        <v>0.75</v>
      </c>
      <c r="AZ306" t="n">
        <v>5003</v>
      </c>
      <c r="BA306" t="n">
        <v>3752.25</v>
      </c>
      <c r="BB306" t="n">
        <v>2814.1875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120</v>
      </c>
      <c r="BK306" t="n">
        <v>120</v>
      </c>
      <c r="BL306" t="n">
        <v>0</v>
      </c>
    </row>
    <row r="307" outlineLevel="1" s="191">
      <c r="A307" t="n">
        <v>1</v>
      </c>
      <c r="B307" t="inlineStr">
        <is>
          <t>f</t>
        </is>
      </c>
      <c r="C307" t="n">
        <v>1</v>
      </c>
      <c r="D307" t="inlineStr">
        <is>
          <t>.z03_1_f_1</t>
        </is>
      </c>
      <c r="E307" t="inlineStr">
        <is>
          <t>Stworzenie mapy zidentyfikowanych algorytmów/etapów PT</t>
        </is>
      </c>
      <c r="F307" t="inlineStr">
        <is>
          <t>Imię04</t>
        </is>
      </c>
      <c r="G307" t="inlineStr">
        <is>
          <t>Nazwisko04</t>
        </is>
      </c>
      <c r="H307" t="n">
        <v>2</v>
      </c>
      <c r="I307" t="inlineStr">
        <is>
          <t>.a04</t>
        </is>
      </c>
      <c r="J307" t="n">
        <v>40</v>
      </c>
      <c r="K307" t="n">
        <v>46477</v>
      </c>
      <c r="L307" t="n">
        <v>46477</v>
      </c>
      <c r="M307" t="n">
        <v>39</v>
      </c>
      <c r="N307" t="n">
        <v>0</v>
      </c>
      <c r="O307" t="n">
        <v>120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120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120</v>
      </c>
      <c r="AY307" t="n">
        <v>0.75</v>
      </c>
      <c r="AZ307" t="n">
        <v>5004</v>
      </c>
      <c r="BA307" t="n">
        <v>3753</v>
      </c>
      <c r="BB307" t="n">
        <v>2814.75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120</v>
      </c>
      <c r="BK307" t="n">
        <v>120</v>
      </c>
      <c r="BL307" t="n">
        <v>0</v>
      </c>
    </row>
    <row r="308" outlineLevel="1" s="191">
      <c r="A308" t="n">
        <v>2</v>
      </c>
      <c r="B308" t="inlineStr">
        <is>
          <t>a</t>
        </is>
      </c>
      <c r="C308" t="n">
        <v>0</v>
      </c>
      <c r="D308" t="inlineStr">
        <is>
          <t>.z03_2_a_0</t>
        </is>
      </c>
      <c r="E308" t="inlineStr">
        <is>
          <t>2.Identyfikacja rozwiązań/narzędzi AI/ML i możliwości ich wdrożenia w modelach matematycznych w obszarach:</t>
        </is>
      </c>
      <c r="F308" t="n">
        <v>0</v>
      </c>
      <c r="G308" t="n">
        <v>0</v>
      </c>
      <c r="H308" t="n">
        <v>0</v>
      </c>
      <c r="I308" t="inlineStr">
        <is>
          <t>END/ACT</t>
        </is>
      </c>
      <c r="J308" t="n">
        <v>40</v>
      </c>
      <c r="K308" t="n">
        <v>46477</v>
      </c>
      <c r="L308" t="n">
        <v>46477</v>
      </c>
      <c r="M308" t="n">
        <v>39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</row>
    <row r="309" outlineLevel="1" s="191">
      <c r="A309" t="n">
        <v>2</v>
      </c>
      <c r="B309" t="inlineStr">
        <is>
          <t>a</t>
        </is>
      </c>
      <c r="C309" t="n">
        <v>1</v>
      </c>
      <c r="D309" t="inlineStr">
        <is>
          <t>.z03_2_a_1</t>
        </is>
      </c>
      <c r="E309" t="inlineStr">
        <is>
          <t>Optymalizacji sposobu układania towarów w opakowaniach, doboru rodzaju opakowań, przestrzeni pakowania (np. algorytmy genetyczne, metaheurystyczne, sieci neuronowe)</t>
        </is>
      </c>
      <c r="F309" t="inlineStr">
        <is>
          <t>Imię01</t>
        </is>
      </c>
      <c r="G309" t="inlineStr">
        <is>
          <t>Nazwisko01</t>
        </is>
      </c>
      <c r="H309" t="n">
        <v>2</v>
      </c>
      <c r="I309" t="inlineStr">
        <is>
          <t>.a01</t>
        </is>
      </c>
      <c r="J309" t="n">
        <v>40</v>
      </c>
      <c r="K309" t="n">
        <v>46477</v>
      </c>
      <c r="L309" t="n">
        <v>46479</v>
      </c>
      <c r="M309" t="n">
        <v>41</v>
      </c>
      <c r="N309" t="n">
        <v>2</v>
      </c>
      <c r="O309" t="n">
        <v>80</v>
      </c>
      <c r="P309" t="n">
        <v>0.5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40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40</v>
      </c>
      <c r="AY309" t="n">
        <v>0.25</v>
      </c>
      <c r="AZ309" t="n">
        <v>5001</v>
      </c>
      <c r="BA309" t="n">
        <v>1250.25</v>
      </c>
      <c r="BB309" t="n">
        <v>312.5625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80</v>
      </c>
      <c r="BK309" t="n">
        <v>80</v>
      </c>
      <c r="BL309" t="n">
        <v>0</v>
      </c>
    </row>
    <row r="310" outlineLevel="1" s="191">
      <c r="A310" t="n">
        <v>2</v>
      </c>
      <c r="B310" t="inlineStr">
        <is>
          <t>b</t>
        </is>
      </c>
      <c r="C310" t="n">
        <v>1</v>
      </c>
      <c r="D310" t="inlineStr">
        <is>
          <t>.z03_2_b_1</t>
        </is>
      </c>
      <c r="E310" t="inlineStr">
        <is>
          <t>Predykcji zapotrzebowania i zarządzania zasobami rodzajów opakowań (np. sieci neuronowe, regresja, drzewa decyzyjne)</t>
        </is>
      </c>
      <c r="F310" t="inlineStr">
        <is>
          <t>Imię02</t>
        </is>
      </c>
      <c r="G310" t="inlineStr">
        <is>
          <t>Nazwisko02</t>
        </is>
      </c>
      <c r="H310" t="n">
        <v>1</v>
      </c>
      <c r="I310" t="inlineStr">
        <is>
          <t>.a02</t>
        </is>
      </c>
      <c r="J310" t="n">
        <v>42</v>
      </c>
      <c r="K310" t="n">
        <v>46491</v>
      </c>
      <c r="L310" t="n">
        <v>46493</v>
      </c>
      <c r="M310" t="n">
        <v>43</v>
      </c>
      <c r="N310" t="n">
        <v>2</v>
      </c>
      <c r="O310" t="n">
        <v>80</v>
      </c>
      <c r="P310" t="n">
        <v>0</v>
      </c>
      <c r="Q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0.5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40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40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40</v>
      </c>
      <c r="AY310" t="n">
        <v>0.25</v>
      </c>
      <c r="AZ310" t="n">
        <v>5002</v>
      </c>
      <c r="BA310" t="n">
        <v>1250.5</v>
      </c>
      <c r="BB310" t="n">
        <v>312.625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80</v>
      </c>
      <c r="BK310" t="n">
        <v>80</v>
      </c>
      <c r="BL310" t="n">
        <v>0</v>
      </c>
    </row>
    <row r="311" outlineLevel="1" s="191">
      <c r="A311" t="n">
        <v>2</v>
      </c>
      <c r="B311" t="inlineStr">
        <is>
          <t>c</t>
        </is>
      </c>
      <c r="C311" t="n">
        <v>1</v>
      </c>
      <c r="D311" t="inlineStr">
        <is>
          <t>.z03_2_c_1</t>
        </is>
      </c>
      <c r="E311" t="inlineStr">
        <is>
          <t>Automatyzacji – zarządzania towarami, ruchem  (np. modele głębokiego uczenia CNN, komputerowego rozpoznawania obrazu CV, skanowanie 3D)</t>
        </is>
      </c>
      <c r="F311" t="inlineStr">
        <is>
          <t>Imię03</t>
        </is>
      </c>
      <c r="G311" t="inlineStr">
        <is>
          <t>Nazwisko03</t>
        </is>
      </c>
      <c r="H311" t="n">
        <v>2</v>
      </c>
      <c r="I311" t="inlineStr">
        <is>
          <t>.a03</t>
        </is>
      </c>
      <c r="J311" t="n">
        <v>44</v>
      </c>
      <c r="K311" t="n">
        <v>46505</v>
      </c>
      <c r="L311" t="n">
        <v>46505</v>
      </c>
      <c r="M311" t="n">
        <v>43</v>
      </c>
      <c r="N311" t="n">
        <v>0</v>
      </c>
      <c r="O311" t="n">
        <v>80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0.5</v>
      </c>
      <c r="Z311" t="n">
        <v>0</v>
      </c>
      <c r="AA311" t="n">
        <v>0.5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40</v>
      </c>
      <c r="AQ311" t="n">
        <v>0</v>
      </c>
      <c r="AR311" t="n">
        <v>40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5003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80</v>
      </c>
      <c r="BK311" t="n">
        <v>80</v>
      </c>
      <c r="BL311" t="n">
        <v>0</v>
      </c>
    </row>
    <row r="312" outlineLevel="1" s="191">
      <c r="A312" t="n">
        <v>2</v>
      </c>
      <c r="B312" t="inlineStr">
        <is>
          <t>d</t>
        </is>
      </c>
      <c r="C312" t="n">
        <v>1</v>
      </c>
      <c r="D312" t="inlineStr">
        <is>
          <t>.z03_2_d_1</t>
        </is>
      </c>
      <c r="E312" t="inlineStr">
        <is>
          <t>Symulacji procesów PT (np. systemy symulacje Monte Carlo, oparte na AI oraz modele agentowe).</t>
        </is>
      </c>
      <c r="F312" t="inlineStr">
        <is>
          <t>Imię03</t>
        </is>
      </c>
      <c r="G312" t="inlineStr">
        <is>
          <t>Nazwisko03</t>
        </is>
      </c>
      <c r="H312" t="n">
        <v>0</v>
      </c>
      <c r="I312" t="inlineStr">
        <is>
          <t>.a03</t>
        </is>
      </c>
      <c r="J312" t="n">
        <v>44</v>
      </c>
      <c r="K312" t="n">
        <v>46505</v>
      </c>
      <c r="L312" t="n">
        <v>46509</v>
      </c>
      <c r="M312" t="n">
        <v>47</v>
      </c>
      <c r="N312" t="n">
        <v>4</v>
      </c>
      <c r="O312" t="n">
        <v>160</v>
      </c>
      <c r="P312" t="n">
        <v>0</v>
      </c>
      <c r="Q312" t="n">
        <v>0</v>
      </c>
      <c r="R312" t="n">
        <v>0.5</v>
      </c>
      <c r="S312" t="n">
        <v>0.5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80</v>
      </c>
      <c r="AJ312" t="n">
        <v>80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160</v>
      </c>
      <c r="AY312" t="n">
        <v>1</v>
      </c>
      <c r="AZ312" t="n">
        <v>5003</v>
      </c>
      <c r="BA312" t="n">
        <v>5003</v>
      </c>
      <c r="BB312" t="n">
        <v>5003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160</v>
      </c>
      <c r="BK312" t="n">
        <v>160</v>
      </c>
      <c r="BL312" t="n">
        <v>0</v>
      </c>
    </row>
    <row r="313" outlineLevel="1" s="191">
      <c r="A313" t="n">
        <v>2</v>
      </c>
      <c r="B313" t="inlineStr">
        <is>
          <t>e</t>
        </is>
      </c>
      <c r="C313" t="n">
        <v>1</v>
      </c>
      <c r="D313" t="inlineStr">
        <is>
          <t>.z03_2_e_1</t>
        </is>
      </c>
      <c r="E313" t="inlineStr">
        <is>
          <t>Testy i wybór platformy technologicznej (np. Amazon SageMake, Microsoft Azure Machine Learning, OpenCV)</t>
        </is>
      </c>
      <c r="F313" t="inlineStr">
        <is>
          <t>Imię04</t>
        </is>
      </c>
      <c r="G313" t="inlineStr">
        <is>
          <t>Nazwisko04</t>
        </is>
      </c>
      <c r="H313" t="n">
        <v>2</v>
      </c>
      <c r="I313" t="inlineStr">
        <is>
          <t>.a04</t>
        </is>
      </c>
      <c r="J313" t="n">
        <v>48</v>
      </c>
      <c r="K313" t="n">
        <v>46533</v>
      </c>
      <c r="L313" t="n">
        <v>46534</v>
      </c>
      <c r="M313" t="n">
        <v>48</v>
      </c>
      <c r="N313" t="n">
        <v>1</v>
      </c>
      <c r="O313" t="n">
        <v>80</v>
      </c>
      <c r="P313" t="n">
        <v>0.125</v>
      </c>
      <c r="Q313" t="n">
        <v>0.125</v>
      </c>
      <c r="R313" t="n">
        <v>0.125</v>
      </c>
      <c r="S313" t="n">
        <v>0.125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0.25</v>
      </c>
      <c r="Z313" t="n">
        <v>0.25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10</v>
      </c>
      <c r="AH313" t="n">
        <v>10</v>
      </c>
      <c r="AI313" t="n">
        <v>10</v>
      </c>
      <c r="AJ313" t="n">
        <v>10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20</v>
      </c>
      <c r="AQ313" t="n">
        <v>20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40</v>
      </c>
      <c r="AY313" t="n">
        <v>0.25</v>
      </c>
      <c r="AZ313" t="n">
        <v>5004</v>
      </c>
      <c r="BA313" t="n">
        <v>1251</v>
      </c>
      <c r="BB313" t="n">
        <v>312.75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80</v>
      </c>
      <c r="BK313" t="n">
        <v>80</v>
      </c>
      <c r="BL313" t="n">
        <v>0</v>
      </c>
    </row>
    <row r="314" outlineLevel="1" s="191">
      <c r="A314" t="n">
        <v>3</v>
      </c>
      <c r="B314" t="inlineStr">
        <is>
          <t>a</t>
        </is>
      </c>
      <c r="C314" t="n">
        <v>-1</v>
      </c>
      <c r="D314" t="inlineStr">
        <is>
          <t>.z03_3_a_-1</t>
        </is>
      </c>
      <c r="E314" t="inlineStr">
        <is>
          <t>3.Projektowanie i matematyczne modelowanie procesu PT na podstawie zmapowanych mechanizmów/zjawisk/działań</t>
        </is>
      </c>
      <c r="F314" t="n">
        <v>0</v>
      </c>
      <c r="G314" t="n">
        <v>0</v>
      </c>
      <c r="H314" t="n">
        <v>0</v>
      </c>
      <c r="I314" t="n">
        <v>0</v>
      </c>
      <c r="J314" t="n">
        <v>49</v>
      </c>
      <c r="K314" t="n">
        <v>46540</v>
      </c>
      <c r="L314" t="n">
        <v>46540</v>
      </c>
      <c r="M314" t="n">
        <v>48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</row>
    <row r="315" outlineLevel="1" s="191">
      <c r="A315" t="n">
        <v>3</v>
      </c>
      <c r="B315" t="inlineStr">
        <is>
          <t>a</t>
        </is>
      </c>
      <c r="C315" t="n">
        <v>0</v>
      </c>
      <c r="D315" t="inlineStr">
        <is>
          <t>.z03_3_a_0</t>
        </is>
      </c>
      <c r="E315" t="inlineStr">
        <is>
          <t>Zdefiniowanie parametrów wej./wyj. i kluczowych zdarzeń dyskretnych</t>
        </is>
      </c>
      <c r="F315" t="n">
        <v>0</v>
      </c>
      <c r="G315" t="n">
        <v>0</v>
      </c>
      <c r="H315" t="n">
        <v>0</v>
      </c>
      <c r="I315" t="n">
        <v>0</v>
      </c>
      <c r="J315" t="n">
        <v>49</v>
      </c>
      <c r="K315" t="n">
        <v>46540</v>
      </c>
      <c r="L315" t="n">
        <v>46540</v>
      </c>
      <c r="M315" t="n">
        <v>48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</row>
    <row r="316" outlineLevel="1" s="191">
      <c r="A316" t="n">
        <v>3</v>
      </c>
      <c r="B316" t="inlineStr">
        <is>
          <t>a</t>
        </is>
      </c>
      <c r="C316" t="n">
        <v>1</v>
      </c>
      <c r="D316" t="inlineStr">
        <is>
          <t>.z03_3_a_1</t>
        </is>
      </c>
      <c r="E316" t="inlineStr">
        <is>
          <t>Zdefiniowanie parametrów wejściowych</t>
        </is>
      </c>
      <c r="F316" t="inlineStr">
        <is>
          <t>XXX</t>
        </is>
      </c>
      <c r="G316" t="n">
        <v>0</v>
      </c>
      <c r="H316" t="n">
        <v>3</v>
      </c>
      <c r="I316" t="inlineStr">
        <is>
          <t>ACT/END</t>
        </is>
      </c>
      <c r="J316" t="n">
        <v>49</v>
      </c>
      <c r="K316" t="n">
        <v>46540</v>
      </c>
      <c r="L316" t="n">
        <v>46542</v>
      </c>
      <c r="M316" t="n">
        <v>50</v>
      </c>
      <c r="N316" t="n">
        <v>2</v>
      </c>
      <c r="O316" t="n">
        <v>80</v>
      </c>
      <c r="P316" t="n">
        <v>0</v>
      </c>
      <c r="Q316" t="n">
        <v>0</v>
      </c>
      <c r="R316" t="n">
        <v>0</v>
      </c>
      <c r="S316" t="n">
        <v>0.5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0.5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40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40</v>
      </c>
      <c r="AY316" t="n">
        <v>0.25</v>
      </c>
      <c r="AZ316" t="e">
        <v>#N/A</v>
      </c>
      <c r="BA316" t="e">
        <v>#N/A</v>
      </c>
      <c r="BB316" t="e">
        <v>#N/A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80</v>
      </c>
      <c r="BK316" t="n">
        <v>80</v>
      </c>
      <c r="BL316" t="n">
        <v>0</v>
      </c>
    </row>
    <row r="317" outlineLevel="1" s="191">
      <c r="A317" t="n">
        <v>3</v>
      </c>
      <c r="B317" t="inlineStr">
        <is>
          <t>a</t>
        </is>
      </c>
      <c r="C317" t="n">
        <v>1</v>
      </c>
      <c r="D317" t="inlineStr">
        <is>
          <t>.z03_3_a_1</t>
        </is>
      </c>
      <c r="E317" t="inlineStr">
        <is>
          <t>Zdefiniowanie parametrów wyjściowych</t>
        </is>
      </c>
      <c r="F317" t="inlineStr">
        <is>
          <t>XXX</t>
        </is>
      </c>
      <c r="G317" t="n">
        <v>0</v>
      </c>
      <c r="H317" t="n">
        <v>3</v>
      </c>
      <c r="I317" t="inlineStr">
        <is>
          <t>ACT/END</t>
        </is>
      </c>
      <c r="J317" t="n">
        <v>51</v>
      </c>
      <c r="K317" t="n">
        <v>46554</v>
      </c>
      <c r="L317" t="n">
        <v>46554</v>
      </c>
      <c r="M317" t="n">
        <v>50</v>
      </c>
      <c r="N317" t="n">
        <v>0</v>
      </c>
      <c r="O317" t="n">
        <v>80</v>
      </c>
      <c r="P317" t="n">
        <v>0</v>
      </c>
      <c r="Q317" t="n">
        <v>0</v>
      </c>
      <c r="R317" t="n">
        <v>0.5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0.5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40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40</v>
      </c>
      <c r="AY317" t="n">
        <v>0.25</v>
      </c>
      <c r="AZ317" t="e">
        <v>#N/A</v>
      </c>
      <c r="BA317" t="e">
        <v>#N/A</v>
      </c>
      <c r="BB317" t="e">
        <v>#N/A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80</v>
      </c>
      <c r="BK317" t="n">
        <v>80</v>
      </c>
      <c r="BL317" t="n">
        <v>0</v>
      </c>
    </row>
    <row r="318" outlineLevel="1" s="191">
      <c r="A318" t="n">
        <v>3</v>
      </c>
      <c r="B318" t="inlineStr">
        <is>
          <t>a</t>
        </is>
      </c>
      <c r="C318" t="n">
        <v>1</v>
      </c>
      <c r="D318" t="inlineStr">
        <is>
          <t>.z03_3_a_1</t>
        </is>
      </c>
      <c r="E318" t="inlineStr">
        <is>
          <t>Badania eksploracyjne dostepnych danych</t>
        </is>
      </c>
      <c r="F318" t="inlineStr">
        <is>
          <t>ENDAWA_01</t>
        </is>
      </c>
      <c r="G318" t="inlineStr">
        <is>
          <t>END</t>
        </is>
      </c>
      <c r="H318" t="n">
        <v>3</v>
      </c>
      <c r="I318" t="inlineStr">
        <is>
          <t>.e01</t>
        </is>
      </c>
      <c r="J318" t="n">
        <v>51</v>
      </c>
      <c r="K318" t="n">
        <v>46554</v>
      </c>
      <c r="L318" t="n">
        <v>46554</v>
      </c>
      <c r="M318" t="n">
        <v>50</v>
      </c>
      <c r="N318" t="n">
        <v>0</v>
      </c>
      <c r="O318" t="n">
        <v>80</v>
      </c>
      <c r="P318" t="n">
        <v>0.5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0.5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40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40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40</v>
      </c>
      <c r="AY318" t="n">
        <v>0.25</v>
      </c>
      <c r="AZ318" t="e">
        <v>#N/A</v>
      </c>
      <c r="BA318" t="e">
        <v>#N/A</v>
      </c>
      <c r="BB318" t="e">
        <v>#N/A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80</v>
      </c>
      <c r="BK318" t="n">
        <v>80</v>
      </c>
      <c r="BL318" t="n">
        <v>0</v>
      </c>
    </row>
    <row r="319" outlineLevel="1" s="191">
      <c r="A319" t="n">
        <v>3</v>
      </c>
      <c r="B319" t="inlineStr">
        <is>
          <t>a</t>
        </is>
      </c>
      <c r="C319" t="n">
        <v>1</v>
      </c>
      <c r="D319" t="inlineStr">
        <is>
          <t>.z03_3_a_1</t>
        </is>
      </c>
      <c r="E319" t="inlineStr">
        <is>
          <t>Analiza jakościowa danych/określenie jakości danych</t>
        </is>
      </c>
      <c r="F319" t="inlineStr">
        <is>
          <t>ENDAWA_02</t>
        </is>
      </c>
      <c r="G319" t="inlineStr">
        <is>
          <t>END</t>
        </is>
      </c>
      <c r="H319" t="n">
        <v>3</v>
      </c>
      <c r="I319" t="inlineStr">
        <is>
          <t>.e02</t>
        </is>
      </c>
      <c r="J319" t="n">
        <v>51</v>
      </c>
      <c r="K319" t="n">
        <v>46554</v>
      </c>
      <c r="L319" t="n">
        <v>46554</v>
      </c>
      <c r="M319" t="n">
        <v>50</v>
      </c>
      <c r="N319" t="n">
        <v>0</v>
      </c>
      <c r="O319" t="n">
        <v>80</v>
      </c>
      <c r="P319" t="n">
        <v>0</v>
      </c>
      <c r="Q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0.5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40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40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40</v>
      </c>
      <c r="AY319" t="n">
        <v>0.25</v>
      </c>
      <c r="AZ319" t="e">
        <v>#N/A</v>
      </c>
      <c r="BA319" t="e">
        <v>#N/A</v>
      </c>
      <c r="BB319" t="e">
        <v>#N/A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80</v>
      </c>
      <c r="BK319" t="n">
        <v>80</v>
      </c>
      <c r="BL319" t="n">
        <v>0</v>
      </c>
    </row>
    <row r="320" outlineLevel="1" s="191">
      <c r="A320" t="n">
        <v>3</v>
      </c>
      <c r="B320" t="inlineStr">
        <is>
          <t>a</t>
        </is>
      </c>
      <c r="C320" t="n">
        <v>1</v>
      </c>
      <c r="D320" t="inlineStr">
        <is>
          <t>.z03_3_a_1</t>
        </is>
      </c>
      <c r="E320" t="inlineStr">
        <is>
          <t xml:space="preserve">Zdefiniowanie relacji i korelacji  danych </t>
        </is>
      </c>
      <c r="F320" t="inlineStr">
        <is>
          <t>ENDAWA_03</t>
        </is>
      </c>
      <c r="G320" t="inlineStr">
        <is>
          <t>END</t>
        </is>
      </c>
      <c r="H320" t="n">
        <v>4</v>
      </c>
      <c r="I320" t="inlineStr">
        <is>
          <t>.e03</t>
        </is>
      </c>
      <c r="J320" t="n">
        <v>51</v>
      </c>
      <c r="K320" t="n">
        <v>46554</v>
      </c>
      <c r="L320" t="n">
        <v>46556</v>
      </c>
      <c r="M320" t="n">
        <v>52</v>
      </c>
      <c r="N320" t="n">
        <v>2</v>
      </c>
      <c r="O320" t="n">
        <v>80</v>
      </c>
      <c r="P320" t="n">
        <v>0</v>
      </c>
      <c r="Q320" t="n">
        <v>0</v>
      </c>
      <c r="R320" t="n">
        <v>0</v>
      </c>
      <c r="S320" t="n">
        <v>0.5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40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40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40</v>
      </c>
      <c r="AY320" t="n">
        <v>0.25</v>
      </c>
      <c r="AZ320" t="e">
        <v>#N/A</v>
      </c>
      <c r="BA320" t="e">
        <v>#N/A</v>
      </c>
      <c r="BB320" t="e">
        <v>#N/A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80</v>
      </c>
      <c r="BK320" t="n">
        <v>80</v>
      </c>
      <c r="BL320" t="n">
        <v>0</v>
      </c>
    </row>
    <row r="321" outlineLevel="1" s="191">
      <c r="A321" t="n">
        <v>3</v>
      </c>
      <c r="B321" t="inlineStr">
        <is>
          <t>a</t>
        </is>
      </c>
      <c r="C321" t="n">
        <v>6</v>
      </c>
      <c r="D321" t="inlineStr">
        <is>
          <t>.z03_3_a_6</t>
        </is>
      </c>
      <c r="E321" t="inlineStr">
        <is>
          <t>Wybór danych do procesu tworzenia modelu</t>
        </is>
      </c>
      <c r="F321" t="inlineStr">
        <is>
          <t>ENDAWA_01</t>
        </is>
      </c>
      <c r="G321" t="inlineStr">
        <is>
          <t>END</t>
        </is>
      </c>
      <c r="H321" t="n">
        <v>4</v>
      </c>
      <c r="I321" t="inlineStr">
        <is>
          <t>.e01</t>
        </is>
      </c>
      <c r="J321" t="n">
        <v>53</v>
      </c>
      <c r="K321" t="n">
        <v>46568</v>
      </c>
      <c r="L321" t="n">
        <v>46568</v>
      </c>
      <c r="M321" t="n">
        <v>52</v>
      </c>
      <c r="N321" t="n">
        <v>0</v>
      </c>
      <c r="O321" t="n">
        <v>80</v>
      </c>
      <c r="P321" t="n">
        <v>0</v>
      </c>
      <c r="Q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0.5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40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40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</v>
      </c>
      <c r="AY321" t="n">
        <v>0.25</v>
      </c>
      <c r="AZ321" t="e">
        <v>#N/A</v>
      </c>
      <c r="BA321" t="e">
        <v>#N/A</v>
      </c>
      <c r="BB321" t="e">
        <v>#N/A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80</v>
      </c>
      <c r="BK321" t="n">
        <v>80</v>
      </c>
      <c r="BL321" t="n">
        <v>0</v>
      </c>
    </row>
    <row r="322" outlineLevel="1" s="191">
      <c r="A322" t="n">
        <v>3</v>
      </c>
      <c r="B322" t="inlineStr">
        <is>
          <t>a</t>
        </is>
      </c>
      <c r="C322" t="n">
        <v>7</v>
      </c>
      <c r="D322" t="inlineStr">
        <is>
          <t>.z03_3_a_7</t>
        </is>
      </c>
      <c r="E322" t="inlineStr">
        <is>
          <t>Wybór danych do procesu ewaluacji modelu</t>
        </is>
      </c>
      <c r="F322" t="inlineStr">
        <is>
          <t>ENDAWA_02</t>
        </is>
      </c>
      <c r="G322" t="inlineStr">
        <is>
          <t>END</t>
        </is>
      </c>
      <c r="H322" t="n">
        <v>4</v>
      </c>
      <c r="I322" t="inlineStr">
        <is>
          <t>.e02</t>
        </is>
      </c>
      <c r="J322" t="n">
        <v>53</v>
      </c>
      <c r="K322" t="n">
        <v>46568</v>
      </c>
      <c r="L322" t="n">
        <v>46568</v>
      </c>
      <c r="M322" t="n">
        <v>52</v>
      </c>
      <c r="N322" t="n">
        <v>0</v>
      </c>
      <c r="O322" t="n">
        <v>80</v>
      </c>
      <c r="P322" t="n">
        <v>0</v>
      </c>
      <c r="Q322" t="n">
        <v>0</v>
      </c>
      <c r="R322" t="n">
        <v>0.5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0.5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40</v>
      </c>
      <c r="AY322" t="n">
        <v>0.25</v>
      </c>
      <c r="AZ322" t="e">
        <v>#N/A</v>
      </c>
      <c r="BA322" t="e">
        <v>#N/A</v>
      </c>
      <c r="BB322" t="e">
        <v>#N/A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80</v>
      </c>
      <c r="BK322" t="n">
        <v>80</v>
      </c>
      <c r="BL322" t="n">
        <v>0</v>
      </c>
    </row>
    <row r="323" outlineLevel="1" s="191">
      <c r="A323" t="n">
        <v>3</v>
      </c>
      <c r="B323" t="inlineStr">
        <is>
          <t>a</t>
        </is>
      </c>
      <c r="C323" t="n">
        <v>8</v>
      </c>
      <c r="D323" t="inlineStr">
        <is>
          <t>.z03_3_a_8</t>
        </is>
      </c>
      <c r="E323" t="inlineStr">
        <is>
          <t>Modelowanie i przekształenie danych na potrzeby tworzenia modeli</t>
        </is>
      </c>
      <c r="F323" t="inlineStr">
        <is>
          <t>ENDAWA_03</t>
        </is>
      </c>
      <c r="G323" t="inlineStr">
        <is>
          <t>END</t>
        </is>
      </c>
      <c r="H323" t="n">
        <v>5</v>
      </c>
      <c r="I323" t="inlineStr">
        <is>
          <t>.e03</t>
        </is>
      </c>
      <c r="J323" t="n">
        <v>53</v>
      </c>
      <c r="K323" t="n">
        <v>46568</v>
      </c>
      <c r="L323" t="n">
        <v>46570</v>
      </c>
      <c r="M323" t="n">
        <v>54</v>
      </c>
      <c r="N323" t="n">
        <v>2</v>
      </c>
      <c r="O323" t="n">
        <v>120</v>
      </c>
      <c r="P323" t="n">
        <v>0</v>
      </c>
      <c r="Q323" t="n">
        <v>0</v>
      </c>
      <c r="R323" t="n">
        <v>0</v>
      </c>
      <c r="S323" t="n">
        <v>0.333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0.333</v>
      </c>
      <c r="AA323" t="n">
        <v>0.333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40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40</v>
      </c>
      <c r="AR323" t="n">
        <v>40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40</v>
      </c>
      <c r="AY323" t="n">
        <v>0.25</v>
      </c>
      <c r="AZ323" t="e">
        <v>#N/A</v>
      </c>
      <c r="BA323" t="e">
        <v>#N/A</v>
      </c>
      <c r="BB323" t="e">
        <v>#N/A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120</v>
      </c>
      <c r="BK323" t="n">
        <v>120</v>
      </c>
      <c r="BL323" t="n">
        <v>0</v>
      </c>
    </row>
    <row r="324" outlineLevel="1" s="191">
      <c r="A324" t="n">
        <v>3</v>
      </c>
      <c r="B324" t="inlineStr">
        <is>
          <t>b</t>
        </is>
      </c>
      <c r="C324" t="n">
        <v>1</v>
      </c>
      <c r="D324" t="inlineStr">
        <is>
          <t>.z03_3_b_1</t>
        </is>
      </c>
      <c r="E324" t="inlineStr">
        <is>
          <t>Zbadanie interakcji: dział pakowania vs inne działy magazynu</t>
        </is>
      </c>
      <c r="F324" t="inlineStr">
        <is>
          <t>Imię01</t>
        </is>
      </c>
      <c r="G324" t="inlineStr">
        <is>
          <t>Nazwisko01</t>
        </is>
      </c>
      <c r="H324" t="n">
        <v>4</v>
      </c>
      <c r="I324" t="inlineStr">
        <is>
          <t>.a01</t>
        </is>
      </c>
      <c r="J324" t="n">
        <v>54</v>
      </c>
      <c r="K324" t="n">
        <v>46575</v>
      </c>
      <c r="L324" t="n">
        <v>46575</v>
      </c>
      <c r="M324" t="n">
        <v>53</v>
      </c>
      <c r="N324" t="n">
        <v>0</v>
      </c>
      <c r="O324" t="n">
        <v>160</v>
      </c>
      <c r="P324" t="n">
        <v>0.5</v>
      </c>
      <c r="Q324" t="n">
        <v>0</v>
      </c>
      <c r="R324" t="n">
        <v>0.5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80</v>
      </c>
      <c r="AH324" t="n">
        <v>0</v>
      </c>
      <c r="AI324" t="n">
        <v>80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160</v>
      </c>
      <c r="AY324" t="n">
        <v>1</v>
      </c>
      <c r="AZ324" t="n">
        <v>5001</v>
      </c>
      <c r="BA324" t="n">
        <v>5001</v>
      </c>
      <c r="BB324" t="n">
        <v>5001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160</v>
      </c>
      <c r="BK324" t="n">
        <v>160</v>
      </c>
      <c r="BL324" t="n">
        <v>0</v>
      </c>
    </row>
    <row r="325" outlineLevel="1" s="191">
      <c r="A325" t="n">
        <v>3</v>
      </c>
      <c r="B325" t="inlineStr">
        <is>
          <t>c</t>
        </is>
      </c>
      <c r="C325" t="n">
        <v>1</v>
      </c>
      <c r="D325" t="inlineStr">
        <is>
          <t>.z03_3_c_1</t>
        </is>
      </c>
      <c r="E325" t="inlineStr">
        <is>
          <t>Zbadanie wpływu ograniczeń zasobów i zmiennych dynamicznych na PT</t>
        </is>
      </c>
      <c r="F325" t="inlineStr">
        <is>
          <t>Imię02</t>
        </is>
      </c>
      <c r="G325" t="inlineStr">
        <is>
          <t>Nazwisko02</t>
        </is>
      </c>
      <c r="H325" t="n">
        <v>4</v>
      </c>
      <c r="I325" t="inlineStr">
        <is>
          <t>.a02</t>
        </is>
      </c>
      <c r="J325" t="n">
        <v>53</v>
      </c>
      <c r="K325" t="n">
        <v>46568</v>
      </c>
      <c r="L325" t="n">
        <v>46568</v>
      </c>
      <c r="M325" t="n">
        <v>52</v>
      </c>
      <c r="N325" t="n">
        <v>0</v>
      </c>
      <c r="O325" t="n">
        <v>160</v>
      </c>
      <c r="P325" t="n">
        <v>0</v>
      </c>
      <c r="Q325" t="n">
        <v>0.5</v>
      </c>
      <c r="R325" t="n">
        <v>0</v>
      </c>
      <c r="S325" t="n">
        <v>0.5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80</v>
      </c>
      <c r="AI325" t="n">
        <v>0</v>
      </c>
      <c r="AJ325" t="n">
        <v>80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160</v>
      </c>
      <c r="AY325" t="n">
        <v>1</v>
      </c>
      <c r="AZ325" t="n">
        <v>5002</v>
      </c>
      <c r="BA325" t="n">
        <v>5002</v>
      </c>
      <c r="BB325" t="n">
        <v>5002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160</v>
      </c>
      <c r="BK325" t="n">
        <v>160</v>
      </c>
      <c r="BL325" t="n">
        <v>0</v>
      </c>
    </row>
    <row r="326" outlineLevel="1" s="191">
      <c r="A326" t="n">
        <v>3</v>
      </c>
      <c r="B326" t="inlineStr">
        <is>
          <t>d</t>
        </is>
      </c>
      <c r="C326" t="n">
        <v>0</v>
      </c>
      <c r="D326" t="inlineStr">
        <is>
          <t>.z03_3_d_0</t>
        </is>
      </c>
      <c r="E326" t="inlineStr">
        <is>
          <t>Opracowanie modeli matematycznych/algorytmów symulacyjnych, uwzględniających KPI</t>
        </is>
      </c>
      <c r="F326" t="n">
        <v>0</v>
      </c>
      <c r="G326" t="n">
        <v>0</v>
      </c>
      <c r="H326" t="n">
        <v>0</v>
      </c>
      <c r="I326" t="n">
        <v>0</v>
      </c>
      <c r="J326" t="n">
        <v>52</v>
      </c>
      <c r="K326" t="n">
        <v>46561</v>
      </c>
      <c r="L326" t="n">
        <v>46561</v>
      </c>
      <c r="M326" t="n">
        <v>51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</row>
    <row r="327" outlineLevel="1" s="191">
      <c r="A327" t="n">
        <v>3</v>
      </c>
      <c r="B327" t="inlineStr">
        <is>
          <t>d</t>
        </is>
      </c>
      <c r="C327" t="n">
        <v>1</v>
      </c>
      <c r="D327" t="inlineStr">
        <is>
          <t>.z03_3_d_1</t>
        </is>
      </c>
      <c r="E327" t="inlineStr">
        <is>
          <t>Opracowanie architektur modeli</t>
        </is>
      </c>
      <c r="F327" t="inlineStr">
        <is>
          <t>ENDAWA_01</t>
        </is>
      </c>
      <c r="G327" t="inlineStr">
        <is>
          <t>END</t>
        </is>
      </c>
      <c r="H327" t="n">
        <v>4</v>
      </c>
      <c r="I327" t="inlineStr">
        <is>
          <t>.e01</t>
        </is>
      </c>
      <c r="J327" t="n">
        <v>51</v>
      </c>
      <c r="K327" t="n">
        <v>46554</v>
      </c>
      <c r="L327" t="n">
        <v>46556</v>
      </c>
      <c r="M327" t="n">
        <v>52</v>
      </c>
      <c r="N327" t="n">
        <v>2</v>
      </c>
      <c r="O327" t="n">
        <v>160</v>
      </c>
      <c r="P327" t="n">
        <v>0</v>
      </c>
      <c r="Q327" t="n">
        <v>0.25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0.25</v>
      </c>
      <c r="Z327" t="n">
        <v>0.25</v>
      </c>
      <c r="AA327" t="n">
        <v>0.25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40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40</v>
      </c>
      <c r="AQ327" t="n">
        <v>40</v>
      </c>
      <c r="AR327" t="n">
        <v>40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</v>
      </c>
      <c r="AY327" t="n">
        <v>0.25</v>
      </c>
      <c r="AZ327" t="e">
        <v>#N/A</v>
      </c>
      <c r="BA327" t="e">
        <v>#N/A</v>
      </c>
      <c r="BB327" t="e">
        <v>#N/A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160</v>
      </c>
      <c r="BK327" t="n">
        <v>160</v>
      </c>
      <c r="BL327" t="n">
        <v>0</v>
      </c>
    </row>
    <row r="328" outlineLevel="1" s="191">
      <c r="A328" t="n">
        <v>3</v>
      </c>
      <c r="B328" t="inlineStr">
        <is>
          <t>d</t>
        </is>
      </c>
      <c r="C328" t="n">
        <v>2</v>
      </c>
      <c r="D328" t="inlineStr">
        <is>
          <t>.z03_3_d_2</t>
        </is>
      </c>
      <c r="E328" t="inlineStr">
        <is>
          <t xml:space="preserve">Implementacja opracowanych modeli </t>
        </is>
      </c>
      <c r="F328" t="inlineStr">
        <is>
          <t>ENDAWA_02</t>
        </is>
      </c>
      <c r="G328" t="inlineStr">
        <is>
          <t>END</t>
        </is>
      </c>
      <c r="H328" t="n">
        <v>5</v>
      </c>
      <c r="I328" t="inlineStr">
        <is>
          <t>.e02</t>
        </is>
      </c>
      <c r="J328" t="n">
        <v>52</v>
      </c>
      <c r="K328" t="n">
        <v>46561</v>
      </c>
      <c r="L328" t="n">
        <v>46565</v>
      </c>
      <c r="M328" t="n">
        <v>55</v>
      </c>
      <c r="N328" t="n">
        <v>4</v>
      </c>
      <c r="O328" t="n">
        <v>320</v>
      </c>
      <c r="P328" t="n">
        <v>0.25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0.25</v>
      </c>
      <c r="Z328" t="n">
        <v>0.25</v>
      </c>
      <c r="AA328" t="n">
        <v>0.25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80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80</v>
      </c>
      <c r="AQ328" t="n">
        <v>80</v>
      </c>
      <c r="AR328" t="n">
        <v>80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80</v>
      </c>
      <c r="AY328" t="n">
        <v>0.5</v>
      </c>
      <c r="AZ328" t="e">
        <v>#N/A</v>
      </c>
      <c r="BA328" t="e">
        <v>#N/A</v>
      </c>
      <c r="BB328" t="e">
        <v>#N/A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320</v>
      </c>
      <c r="BK328" t="n">
        <v>320</v>
      </c>
      <c r="BL328" t="n">
        <v>0</v>
      </c>
    </row>
    <row r="329" outlineLevel="1" s="191">
      <c r="A329" t="n">
        <v>3</v>
      </c>
      <c r="B329" t="inlineStr">
        <is>
          <t>d</t>
        </is>
      </c>
      <c r="C329" t="n">
        <v>3</v>
      </c>
      <c r="D329" t="inlineStr">
        <is>
          <t>.z03_3_d_3</t>
        </is>
      </c>
      <c r="E329" t="inlineStr">
        <is>
          <t>Stworzenie procesu zasilania danymi</t>
        </is>
      </c>
      <c r="F329" t="inlineStr">
        <is>
          <t>ENDAWA_03</t>
        </is>
      </c>
      <c r="G329" t="inlineStr">
        <is>
          <t>END</t>
        </is>
      </c>
      <c r="H329" t="n">
        <v>5</v>
      </c>
      <c r="I329" t="inlineStr">
        <is>
          <t>.e03</t>
        </is>
      </c>
      <c r="J329" t="n">
        <v>55</v>
      </c>
      <c r="K329" t="n">
        <v>46582</v>
      </c>
      <c r="L329" t="n">
        <v>46582</v>
      </c>
      <c r="M329" t="n">
        <v>54</v>
      </c>
      <c r="N329" t="n">
        <v>0</v>
      </c>
      <c r="O329" t="n">
        <v>120</v>
      </c>
      <c r="P329" t="n">
        <v>0</v>
      </c>
      <c r="Q329" t="n">
        <v>0</v>
      </c>
      <c r="R329" t="n">
        <v>0.333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0.333</v>
      </c>
      <c r="Z329" t="n">
        <v>0.333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40</v>
      </c>
      <c r="AQ329" t="n">
        <v>40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40</v>
      </c>
      <c r="AY329" t="n">
        <v>0.25</v>
      </c>
      <c r="AZ329" t="e">
        <v>#N/A</v>
      </c>
      <c r="BA329" t="e">
        <v>#N/A</v>
      </c>
      <c r="BB329" t="e">
        <v>#N/A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120</v>
      </c>
      <c r="BK329" t="n">
        <v>120</v>
      </c>
      <c r="BL329" t="n">
        <v>0</v>
      </c>
    </row>
    <row r="330" outlineLevel="1" s="191">
      <c r="A330" t="n">
        <v>3</v>
      </c>
      <c r="B330" t="inlineStr">
        <is>
          <t>d</t>
        </is>
      </c>
      <c r="C330" t="n">
        <v>4</v>
      </c>
      <c r="D330" t="inlineStr">
        <is>
          <t>.z03_3_d_4</t>
        </is>
      </c>
      <c r="E330" t="inlineStr">
        <is>
          <t>Stworzenie procesu  trenowania/uczenia modelu</t>
        </is>
      </c>
      <c r="F330" t="inlineStr">
        <is>
          <t>ENDAWA_04</t>
        </is>
      </c>
      <c r="G330" t="inlineStr">
        <is>
          <t>END</t>
        </is>
      </c>
      <c r="H330" t="n">
        <v>5</v>
      </c>
      <c r="I330" t="inlineStr">
        <is>
          <t>.e04</t>
        </is>
      </c>
      <c r="J330" t="n">
        <v>54</v>
      </c>
      <c r="K330" t="n">
        <v>46575</v>
      </c>
      <c r="L330" t="n">
        <v>46575</v>
      </c>
      <c r="M330" t="n">
        <v>53</v>
      </c>
      <c r="N330" t="n">
        <v>0</v>
      </c>
      <c r="O330" t="n">
        <v>120</v>
      </c>
      <c r="P330" t="n">
        <v>0</v>
      </c>
      <c r="Q330" t="n">
        <v>0</v>
      </c>
      <c r="R330" t="n">
        <v>0</v>
      </c>
      <c r="S330" t="n">
        <v>0.333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0.333</v>
      </c>
      <c r="AA330" t="n">
        <v>0.333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40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40</v>
      </c>
      <c r="AR330" t="n">
        <v>40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40</v>
      </c>
      <c r="AY330" t="n">
        <v>0.25</v>
      </c>
      <c r="AZ330" t="e">
        <v>#N/A</v>
      </c>
      <c r="BA330" t="e">
        <v>#N/A</v>
      </c>
      <c r="BB330" t="e">
        <v>#N/A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120</v>
      </c>
      <c r="BK330" t="n">
        <v>120</v>
      </c>
      <c r="BL330" t="n">
        <v>0</v>
      </c>
    </row>
    <row r="331" outlineLevel="1" s="191">
      <c r="A331" t="n">
        <v>3</v>
      </c>
      <c r="B331" t="inlineStr">
        <is>
          <t>d</t>
        </is>
      </c>
      <c r="C331" t="n">
        <v>5</v>
      </c>
      <c r="D331" t="inlineStr">
        <is>
          <t>.z03_3_d_5</t>
        </is>
      </c>
      <c r="E331" t="inlineStr">
        <is>
          <t>Stworzenie procesu ewaluacji modelu</t>
        </is>
      </c>
      <c r="F331" t="inlineStr">
        <is>
          <t>ENDAWA_01</t>
        </is>
      </c>
      <c r="G331" t="inlineStr">
        <is>
          <t>END</t>
        </is>
      </c>
      <c r="H331" t="n">
        <v>6</v>
      </c>
      <c r="I331" t="inlineStr">
        <is>
          <t>.e01</t>
        </is>
      </c>
      <c r="J331" t="n">
        <v>53</v>
      </c>
      <c r="K331" t="n">
        <v>46568</v>
      </c>
      <c r="L331" t="n">
        <v>46570</v>
      </c>
      <c r="M331" t="n">
        <v>54</v>
      </c>
      <c r="N331" t="n">
        <v>2</v>
      </c>
      <c r="O331" t="n">
        <v>120</v>
      </c>
      <c r="P331" t="n">
        <v>0</v>
      </c>
      <c r="Q331" t="n">
        <v>0.333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0.333</v>
      </c>
      <c r="AA331" t="n">
        <v>0.333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40</v>
      </c>
      <c r="AR331" t="n">
        <v>40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40</v>
      </c>
      <c r="AY331" t="n">
        <v>0.25</v>
      </c>
      <c r="AZ331" t="e">
        <v>#N/A</v>
      </c>
      <c r="BA331" t="e">
        <v>#N/A</v>
      </c>
      <c r="BB331" t="e">
        <v>#N/A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120</v>
      </c>
      <c r="BK331" t="n">
        <v>120</v>
      </c>
      <c r="BL331" t="n">
        <v>0</v>
      </c>
    </row>
    <row r="332" outlineLevel="1" s="191">
      <c r="A332" t="n">
        <v>3</v>
      </c>
      <c r="B332" t="inlineStr">
        <is>
          <t>d</t>
        </is>
      </c>
      <c r="C332" t="n">
        <v>6</v>
      </c>
      <c r="D332" t="inlineStr">
        <is>
          <t>.z03_3_d_6</t>
        </is>
      </c>
      <c r="E332" t="inlineStr">
        <is>
          <t>Stworzenie procesu monitorowania modelu</t>
        </is>
      </c>
      <c r="F332" t="inlineStr">
        <is>
          <t>ENDAWA_02</t>
        </is>
      </c>
      <c r="G332" t="inlineStr">
        <is>
          <t>END</t>
        </is>
      </c>
      <c r="H332" t="n">
        <v>6</v>
      </c>
      <c r="I332" t="inlineStr">
        <is>
          <t>.e02</t>
        </is>
      </c>
      <c r="J332" t="n">
        <v>54</v>
      </c>
      <c r="K332" t="n">
        <v>46575</v>
      </c>
      <c r="L332" t="n">
        <v>46577</v>
      </c>
      <c r="M332" t="n">
        <v>55</v>
      </c>
      <c r="N332" t="n">
        <v>2</v>
      </c>
      <c r="O332" t="n">
        <v>120</v>
      </c>
      <c r="P332" t="n">
        <v>0.333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0.333</v>
      </c>
      <c r="Z332" t="n">
        <v>0</v>
      </c>
      <c r="AA332" t="n">
        <v>0</v>
      </c>
      <c r="AB332" t="n">
        <v>0.333</v>
      </c>
      <c r="AC332" t="n">
        <v>0</v>
      </c>
      <c r="AD332" t="n">
        <v>0</v>
      </c>
      <c r="AE332" t="n">
        <v>0</v>
      </c>
      <c r="AF332" t="n">
        <v>0</v>
      </c>
      <c r="AG332" t="n">
        <v>40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40</v>
      </c>
      <c r="AQ332" t="n">
        <v>0</v>
      </c>
      <c r="AR332" t="n">
        <v>0</v>
      </c>
      <c r="AS332" t="n">
        <v>40</v>
      </c>
      <c r="AT332" t="n">
        <v>0</v>
      </c>
      <c r="AU332" t="n">
        <v>0</v>
      </c>
      <c r="AV332" t="n">
        <v>0</v>
      </c>
      <c r="AW332" t="n">
        <v>0</v>
      </c>
      <c r="AX332" t="n">
        <v>40</v>
      </c>
      <c r="AY332" t="n">
        <v>0.25</v>
      </c>
      <c r="AZ332" t="e">
        <v>#N/A</v>
      </c>
      <c r="BA332" t="e">
        <v>#N/A</v>
      </c>
      <c r="BB332" t="e">
        <v>#N/A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120</v>
      </c>
      <c r="BK332" t="n">
        <v>120</v>
      </c>
      <c r="BL332" t="n">
        <v>0</v>
      </c>
    </row>
    <row r="333" outlineLevel="1" s="191">
      <c r="A333" t="n">
        <v>3</v>
      </c>
      <c r="B333" t="inlineStr">
        <is>
          <t>e</t>
        </is>
      </c>
      <c r="C333" t="n">
        <v>1</v>
      </c>
      <c r="D333" t="inlineStr">
        <is>
          <t>.z03_3_e_1</t>
        </is>
      </c>
      <c r="E333" t="inlineStr">
        <is>
          <t>Testy, walidacje i wybór Modelu optymalnego</t>
        </is>
      </c>
      <c r="F333" t="inlineStr">
        <is>
          <t>XXX</t>
        </is>
      </c>
      <c r="G333" t="inlineStr">
        <is>
          <t>XXX</t>
        </is>
      </c>
      <c r="H333" t="n">
        <v>7</v>
      </c>
      <c r="I333" t="inlineStr">
        <is>
          <t>ACT/END</t>
        </is>
      </c>
      <c r="J333" t="n">
        <v>55</v>
      </c>
      <c r="K333" t="n">
        <v>46582</v>
      </c>
      <c r="L333" t="n">
        <v>46584</v>
      </c>
      <c r="M333" t="n">
        <v>56</v>
      </c>
      <c r="N333" t="n">
        <v>2</v>
      </c>
      <c r="O333" t="n">
        <v>120</v>
      </c>
      <c r="P333" t="n">
        <v>0</v>
      </c>
      <c r="Q333" t="n">
        <v>0</v>
      </c>
      <c r="R333" t="n">
        <v>0.25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0.25</v>
      </c>
      <c r="Z333" t="n">
        <v>0.25</v>
      </c>
      <c r="AA333" t="n">
        <v>0.25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30</v>
      </c>
      <c r="AQ333" t="n">
        <v>30</v>
      </c>
      <c r="AR333" t="n">
        <v>30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30</v>
      </c>
      <c r="AY333" t="n">
        <v>0.1875</v>
      </c>
      <c r="AZ333" t="e">
        <v>#N/A</v>
      </c>
      <c r="BA333" t="e">
        <v>#N/A</v>
      </c>
      <c r="BB333" t="e">
        <v>#N/A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120</v>
      </c>
      <c r="BK333" t="n">
        <v>120</v>
      </c>
      <c r="BL333" t="n">
        <v>0</v>
      </c>
    </row>
    <row r="334" outlineLevel="1" s="191">
      <c r="A334" t="n">
        <v>4</v>
      </c>
      <c r="B334" t="inlineStr">
        <is>
          <t>a</t>
        </is>
      </c>
      <c r="C334" t="n">
        <v>0</v>
      </c>
      <c r="D334" t="inlineStr">
        <is>
          <t>.z03_4_a_0</t>
        </is>
      </c>
      <c r="E334" t="inlineStr">
        <is>
          <t>4.Modelowanie symulacyjne PT</t>
        </is>
      </c>
      <c r="F334" t="n">
        <v>0</v>
      </c>
      <c r="G334" t="n">
        <v>0</v>
      </c>
      <c r="H334" t="n">
        <v>0</v>
      </c>
      <c r="I334" t="n">
        <v>0</v>
      </c>
      <c r="J334" t="n">
        <v>56</v>
      </c>
      <c r="K334" t="n">
        <v>46589</v>
      </c>
      <c r="L334" t="n">
        <v>46589</v>
      </c>
      <c r="M334" t="n">
        <v>55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</row>
    <row r="335" outlineLevel="1" s="191">
      <c r="A335" t="n">
        <v>4</v>
      </c>
      <c r="B335" t="inlineStr">
        <is>
          <t>a</t>
        </is>
      </c>
      <c r="C335" t="n">
        <v>1</v>
      </c>
      <c r="D335" t="inlineStr">
        <is>
          <t>.z03_4_a_1</t>
        </is>
      </c>
      <c r="E335" t="inlineStr">
        <is>
          <t>Określenie kluczowych zmiennych</t>
        </is>
      </c>
      <c r="F335" t="n">
        <v>0</v>
      </c>
      <c r="G335" t="n">
        <v>0</v>
      </c>
      <c r="H335" t="n">
        <v>4</v>
      </c>
      <c r="I335" t="inlineStr">
        <is>
          <t>ACT/END</t>
        </is>
      </c>
      <c r="J335" t="n">
        <v>55</v>
      </c>
      <c r="K335" t="n">
        <v>46582</v>
      </c>
      <c r="L335" t="n">
        <v>46584</v>
      </c>
      <c r="M335" t="n">
        <v>56</v>
      </c>
      <c r="N335" t="n">
        <v>2</v>
      </c>
      <c r="O335" t="n">
        <v>160</v>
      </c>
      <c r="P335" t="n">
        <v>0.25</v>
      </c>
      <c r="Q335" t="n">
        <v>0</v>
      </c>
      <c r="R335" t="n">
        <v>0.25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40</v>
      </c>
      <c r="AH335" t="n">
        <v>0</v>
      </c>
      <c r="AI335" t="n">
        <v>40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80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80</v>
      </c>
      <c r="AY335" t="n">
        <v>0.5</v>
      </c>
      <c r="AZ335" t="e">
        <v>#N/A</v>
      </c>
      <c r="BA335" t="e">
        <v>#N/A</v>
      </c>
      <c r="BB335" t="e">
        <v>#N/A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160</v>
      </c>
      <c r="BK335" t="n">
        <v>160</v>
      </c>
      <c r="BL335" t="n">
        <v>0</v>
      </c>
    </row>
    <row r="336" outlineLevel="1" s="191">
      <c r="A336" t="n">
        <v>4</v>
      </c>
      <c r="B336" t="inlineStr">
        <is>
          <t>b</t>
        </is>
      </c>
      <c r="C336" t="n">
        <v>1</v>
      </c>
      <c r="D336" t="inlineStr">
        <is>
          <t>.z03_4_b_1</t>
        </is>
      </c>
      <c r="E336" t="inlineStr">
        <is>
          <t>Budowa modeli dyskretnych, predykcyjnych i relacyjnych</t>
        </is>
      </c>
      <c r="F336" t="n">
        <v>0</v>
      </c>
      <c r="G336" t="n">
        <v>0</v>
      </c>
      <c r="H336" t="n">
        <v>6</v>
      </c>
      <c r="I336" t="inlineStr">
        <is>
          <t>END</t>
        </is>
      </c>
      <c r="J336" t="n">
        <v>56</v>
      </c>
      <c r="K336" t="n">
        <v>46589</v>
      </c>
      <c r="L336" t="n">
        <v>46591</v>
      </c>
      <c r="M336" t="n">
        <v>57</v>
      </c>
      <c r="N336" t="n">
        <v>2</v>
      </c>
      <c r="O336" t="n">
        <v>160</v>
      </c>
      <c r="P336" t="n">
        <v>0</v>
      </c>
      <c r="Q336" t="n">
        <v>0.25</v>
      </c>
      <c r="R336" t="n">
        <v>0</v>
      </c>
      <c r="S336" t="n">
        <v>0.25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0.25</v>
      </c>
      <c r="AA336" t="n">
        <v>0.25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40</v>
      </c>
      <c r="AI336" t="n">
        <v>0</v>
      </c>
      <c r="AJ336" t="n">
        <v>40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40</v>
      </c>
      <c r="AR336" t="n">
        <v>40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80</v>
      </c>
      <c r="AY336" t="n">
        <v>0.5</v>
      </c>
      <c r="AZ336" t="e">
        <v>#N/A</v>
      </c>
      <c r="BA336" t="e">
        <v>#N/A</v>
      </c>
      <c r="BB336" t="e">
        <v>#N/A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160</v>
      </c>
      <c r="BK336" t="n">
        <v>160</v>
      </c>
      <c r="BL336" t="n">
        <v>0</v>
      </c>
    </row>
    <row r="337" outlineLevel="1" s="191">
      <c r="A337" t="n">
        <v>4</v>
      </c>
      <c r="B337" t="inlineStr">
        <is>
          <t>c</t>
        </is>
      </c>
      <c r="C337" t="n">
        <v>1</v>
      </c>
      <c r="D337" t="inlineStr">
        <is>
          <t>.z03_4_c_1</t>
        </is>
      </c>
      <c r="E337" t="inlineStr">
        <is>
          <t>Opracowanie scenariuszy symulujących różne strategie w PT</t>
        </is>
      </c>
      <c r="F337" t="n">
        <v>0</v>
      </c>
      <c r="G337" t="n">
        <v>0</v>
      </c>
      <c r="H337" t="n">
        <v>6</v>
      </c>
      <c r="I337" t="inlineStr">
        <is>
          <t>END</t>
        </is>
      </c>
      <c r="J337" t="n">
        <v>57</v>
      </c>
      <c r="K337" t="n">
        <v>46596</v>
      </c>
      <c r="L337" t="n">
        <v>46600</v>
      </c>
      <c r="M337" t="n">
        <v>60</v>
      </c>
      <c r="N337" t="n">
        <v>4</v>
      </c>
      <c r="O337" t="n">
        <v>160</v>
      </c>
      <c r="P337" t="n">
        <v>0</v>
      </c>
      <c r="Q337" t="n">
        <v>0</v>
      </c>
      <c r="R337" t="n">
        <v>0.5</v>
      </c>
      <c r="S337" t="n">
        <v>0.5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80</v>
      </c>
      <c r="AJ337" t="n">
        <v>80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160</v>
      </c>
      <c r="AY337" t="n">
        <v>1</v>
      </c>
      <c r="AZ337" t="e">
        <v>#N/A</v>
      </c>
      <c r="BA337" t="e">
        <v>#N/A</v>
      </c>
      <c r="BB337" t="e">
        <v>#N/A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160</v>
      </c>
      <c r="BK337" t="n">
        <v>160</v>
      </c>
      <c r="BL337" t="n">
        <v>0</v>
      </c>
    </row>
    <row r="338" outlineLevel="1" s="191">
      <c r="A338" t="n">
        <v>4</v>
      </c>
      <c r="B338" t="inlineStr">
        <is>
          <t>d</t>
        </is>
      </c>
      <c r="C338" t="n">
        <v>1</v>
      </c>
      <c r="D338" t="inlineStr">
        <is>
          <t>.z03_4_d_1</t>
        </is>
      </c>
      <c r="E338" t="inlineStr">
        <is>
          <t>Testy, optymalizacja, implementacja zmian</t>
        </is>
      </c>
      <c r="F338" t="n">
        <v>0</v>
      </c>
      <c r="G338" t="n">
        <v>0</v>
      </c>
      <c r="H338" t="n">
        <v>8</v>
      </c>
      <c r="I338" t="inlineStr">
        <is>
          <t>END</t>
        </is>
      </c>
      <c r="J338" t="n">
        <v>60</v>
      </c>
      <c r="K338" t="n">
        <v>46617</v>
      </c>
      <c r="L338" t="n">
        <v>46619</v>
      </c>
      <c r="M338" t="n">
        <v>61</v>
      </c>
      <c r="N338" t="n">
        <v>2</v>
      </c>
      <c r="O338" t="n">
        <v>160</v>
      </c>
      <c r="P338" t="n">
        <v>0.25</v>
      </c>
      <c r="Q338" t="n">
        <v>0.25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0.25</v>
      </c>
      <c r="AA338" t="n">
        <v>0.25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40</v>
      </c>
      <c r="AH338" t="n">
        <v>40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40</v>
      </c>
      <c r="AR338" t="n">
        <v>40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80</v>
      </c>
      <c r="AY338" t="n">
        <v>0.5</v>
      </c>
      <c r="AZ338" t="e">
        <v>#N/A</v>
      </c>
      <c r="BA338" t="e">
        <v>#N/A</v>
      </c>
      <c r="BB338" t="e">
        <v>#N/A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160</v>
      </c>
      <c r="BK338" t="n">
        <v>160</v>
      </c>
      <c r="BL338" t="n">
        <v>0</v>
      </c>
    </row>
    <row r="339" outlineLevel="1" s="191">
      <c r="A339" t="n">
        <v>5</v>
      </c>
      <c r="B339" t="inlineStr">
        <is>
          <t>a</t>
        </is>
      </c>
      <c r="C339" t="n">
        <v>0</v>
      </c>
      <c r="D339" t="inlineStr">
        <is>
          <t>.z03_5_a_0</t>
        </is>
      </c>
      <c r="E339" t="inlineStr">
        <is>
          <t>5.Analiza wyników symulacji i testów</t>
        </is>
      </c>
      <c r="F339" t="n">
        <v>0</v>
      </c>
      <c r="G339" t="n">
        <v>0</v>
      </c>
      <c r="H339" t="n">
        <v>0</v>
      </c>
      <c r="I339" t="n">
        <v>0</v>
      </c>
      <c r="J339" t="n">
        <v>61</v>
      </c>
      <c r="K339" t="n">
        <v>46624</v>
      </c>
      <c r="L339" t="n">
        <v>46624</v>
      </c>
      <c r="M339" t="n">
        <v>60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</row>
    <row r="340" outlineLevel="1" s="191">
      <c r="A340" t="n">
        <v>5</v>
      </c>
      <c r="B340" t="inlineStr">
        <is>
          <t>a</t>
        </is>
      </c>
      <c r="C340" t="n">
        <v>1</v>
      </c>
      <c r="D340" t="inlineStr">
        <is>
          <t>.z03_5_a_1</t>
        </is>
      </c>
      <c r="E340" t="inlineStr">
        <is>
          <t>Analiza wyników (np. czas pakowania, zużycie opakowań, liczba błędów, koszty operacyjne)</t>
        </is>
      </c>
      <c r="F340" t="n">
        <v>0</v>
      </c>
      <c r="G340" t="n">
        <v>0</v>
      </c>
      <c r="H340" t="n">
        <v>9</v>
      </c>
      <c r="I340" t="inlineStr">
        <is>
          <t>ACT/END</t>
        </is>
      </c>
      <c r="J340" t="n">
        <v>60</v>
      </c>
      <c r="K340" t="n">
        <v>46617</v>
      </c>
      <c r="L340" t="n">
        <v>46619</v>
      </c>
      <c r="M340" t="n">
        <v>61</v>
      </c>
      <c r="N340" t="n">
        <v>2</v>
      </c>
      <c r="O340" t="n">
        <v>80</v>
      </c>
      <c r="P340" t="n">
        <v>0.5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0.5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40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40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40</v>
      </c>
      <c r="AY340" t="n">
        <v>0.25</v>
      </c>
      <c r="AZ340" t="e">
        <v>#N/A</v>
      </c>
      <c r="BA340" t="e">
        <v>#N/A</v>
      </c>
      <c r="BB340" t="e">
        <v>#N/A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80</v>
      </c>
      <c r="BK340" t="n">
        <v>80</v>
      </c>
      <c r="BL340" t="n">
        <v>0</v>
      </c>
    </row>
    <row r="341" outlineLevel="1" s="191">
      <c r="A341" t="n">
        <v>5</v>
      </c>
      <c r="B341" t="inlineStr">
        <is>
          <t>b</t>
        </is>
      </c>
      <c r="C341" t="n">
        <v>1</v>
      </c>
      <c r="D341" t="inlineStr">
        <is>
          <t>.z03_5_b_1</t>
        </is>
      </c>
      <c r="E341" t="inlineStr">
        <is>
          <t>Optymalizacja algorytmów (dopasowanie do zmieniających się warunków operacyjnych)</t>
        </is>
      </c>
      <c r="F341" t="n">
        <v>0</v>
      </c>
      <c r="G341" t="n">
        <v>0</v>
      </c>
      <c r="H341" t="n">
        <v>10</v>
      </c>
      <c r="I341" t="inlineStr">
        <is>
          <t>ACT/END</t>
        </is>
      </c>
      <c r="J341" t="n">
        <v>61</v>
      </c>
      <c r="K341" t="n">
        <v>46624</v>
      </c>
      <c r="L341" t="n">
        <v>46626</v>
      </c>
      <c r="M341" t="n">
        <v>62</v>
      </c>
      <c r="N341" t="n">
        <v>2</v>
      </c>
      <c r="O341" t="n">
        <v>120</v>
      </c>
      <c r="P341" t="n">
        <v>0</v>
      </c>
      <c r="Q341" t="n">
        <v>0.333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0.333</v>
      </c>
      <c r="Z341" t="n">
        <v>0</v>
      </c>
      <c r="AA341" t="n">
        <v>0.333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40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40</v>
      </c>
      <c r="AQ341" t="n">
        <v>0</v>
      </c>
      <c r="AR341" t="n">
        <v>40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40</v>
      </c>
      <c r="AY341" t="n">
        <v>0.25</v>
      </c>
      <c r="AZ341" t="e">
        <v>#N/A</v>
      </c>
      <c r="BA341" t="e">
        <v>#N/A</v>
      </c>
      <c r="BB341" t="e">
        <v>#N/A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120</v>
      </c>
      <c r="BK341" t="n">
        <v>120</v>
      </c>
      <c r="BL341" t="n">
        <v>0</v>
      </c>
    </row>
    <row r="342" outlineLevel="1" s="191">
      <c r="A342" t="n">
        <v>5</v>
      </c>
      <c r="B342" t="inlineStr">
        <is>
          <t>c</t>
        </is>
      </c>
      <c r="C342" t="n">
        <v>1</v>
      </c>
      <c r="D342" t="inlineStr">
        <is>
          <t>.z03_5_c_1</t>
        </is>
      </c>
      <c r="E342" t="inlineStr">
        <is>
          <t>Opracowanie dynamicznych harmonogramów PT opartych na aktualnym obciążeniu zamówieniami i dostępnych zasobach</t>
        </is>
      </c>
      <c r="F342" t="n">
        <v>0</v>
      </c>
      <c r="G342" t="n">
        <v>0</v>
      </c>
      <c r="H342" t="n">
        <v>10</v>
      </c>
      <c r="I342" t="inlineStr">
        <is>
          <t>ACT/END</t>
        </is>
      </c>
      <c r="J342" t="n">
        <v>62</v>
      </c>
      <c r="K342" t="n">
        <v>46631</v>
      </c>
      <c r="L342" t="n">
        <v>46633</v>
      </c>
      <c r="M342" t="n">
        <v>63</v>
      </c>
      <c r="N342" t="n">
        <v>2</v>
      </c>
      <c r="O342" t="n">
        <v>160</v>
      </c>
      <c r="P342" t="n">
        <v>0</v>
      </c>
      <c r="Q342" t="n">
        <v>0</v>
      </c>
      <c r="R342" t="n">
        <v>0.25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0.25</v>
      </c>
      <c r="Z342" t="n">
        <v>0.25</v>
      </c>
      <c r="AA342" t="n">
        <v>0.25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40</v>
      </c>
      <c r="AQ342" t="n">
        <v>40</v>
      </c>
      <c r="AR342" t="n">
        <v>40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40</v>
      </c>
      <c r="AY342" t="n">
        <v>0.25</v>
      </c>
      <c r="AZ342" t="e">
        <v>#N/A</v>
      </c>
      <c r="BA342" t="e">
        <v>#N/A</v>
      </c>
      <c r="BB342" t="e">
        <v>#N/A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160</v>
      </c>
      <c r="BK342" t="n">
        <v>160</v>
      </c>
      <c r="BL342" t="n">
        <v>0</v>
      </c>
    </row>
    <row r="343" outlineLevel="1" s="191">
      <c r="A343" t="n">
        <v>5</v>
      </c>
      <c r="B343" t="inlineStr">
        <is>
          <t>d</t>
        </is>
      </c>
      <c r="C343" t="n">
        <v>1</v>
      </c>
      <c r="D343" t="inlineStr">
        <is>
          <t>.z03_5_d_1</t>
        </is>
      </c>
      <c r="E343" t="inlineStr">
        <is>
          <t>Porównanie wyników symulacji. Ocena efektywności w predykcji zapotrzebowania, optymalizacji ilości i typów opakowań, sezonowości, sytuacji nadzwyczajnych, oszczędności</t>
        </is>
      </c>
      <c r="F343" t="n">
        <v>0</v>
      </c>
      <c r="G343" t="n">
        <v>0</v>
      </c>
      <c r="H343" t="n">
        <v>11</v>
      </c>
      <c r="I343" t="inlineStr">
        <is>
          <t>ACT/END</t>
        </is>
      </c>
      <c r="J343" t="n">
        <v>63</v>
      </c>
      <c r="K343" t="n">
        <v>46638</v>
      </c>
      <c r="L343" t="n">
        <v>46640</v>
      </c>
      <c r="M343" t="n">
        <v>64</v>
      </c>
      <c r="N343" t="n">
        <v>2</v>
      </c>
      <c r="O343" t="n">
        <v>80</v>
      </c>
      <c r="P343" t="n">
        <v>0</v>
      </c>
      <c r="Q343" t="n">
        <v>0</v>
      </c>
      <c r="R343" t="n">
        <v>0</v>
      </c>
      <c r="S343" t="n">
        <v>0.5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0.5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40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40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40</v>
      </c>
      <c r="AY343" t="n">
        <v>0.25</v>
      </c>
      <c r="AZ343" t="e">
        <v>#N/A</v>
      </c>
      <c r="BA343" t="e">
        <v>#N/A</v>
      </c>
      <c r="BB343" t="e">
        <v>#N/A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80</v>
      </c>
      <c r="BK343" t="n">
        <v>80</v>
      </c>
      <c r="BL343" t="n">
        <v>0</v>
      </c>
    </row>
    <row r="344" outlineLevel="1" s="191">
      <c r="A344" t="n">
        <v>5</v>
      </c>
      <c r="B344" t="inlineStr">
        <is>
          <t>a</t>
        </is>
      </c>
      <c r="C344" t="n">
        <v>1</v>
      </c>
      <c r="D344" t="inlineStr">
        <is>
          <t>.z03_5_a_1</t>
        </is>
      </c>
      <c r="E344" t="inlineStr">
        <is>
          <t>Wybór Modelu optymalizującego liczbę, rodzaj i wielkość kartonów, rekomendującego optymalny sposób ułożenia towarów w opakowaniach, minimalizując pustą przestrzeń w kartonie, optymalizującego pracę personelu</t>
        </is>
      </c>
      <c r="F344" t="n">
        <v>0</v>
      </c>
      <c r="G344" t="n">
        <v>0</v>
      </c>
      <c r="H344" t="n">
        <v>11</v>
      </c>
      <c r="I344" t="inlineStr">
        <is>
          <t>ACT/END</t>
        </is>
      </c>
      <c r="J344" t="n">
        <v>64</v>
      </c>
      <c r="K344" t="n">
        <v>46645</v>
      </c>
      <c r="L344" t="n">
        <v>46647</v>
      </c>
      <c r="M344" t="n">
        <v>65</v>
      </c>
      <c r="N344" t="n">
        <v>2</v>
      </c>
      <c r="O344" t="n">
        <v>120</v>
      </c>
      <c r="P344" t="n">
        <v>0</v>
      </c>
      <c r="Q344" t="n">
        <v>0.33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0.33</v>
      </c>
      <c r="Z344" t="n">
        <v>0.33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40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40</v>
      </c>
      <c r="AQ344" t="n">
        <v>40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40</v>
      </c>
      <c r="AY344" t="n">
        <v>0.25</v>
      </c>
      <c r="AZ344" t="e">
        <v>#N/A</v>
      </c>
      <c r="BA344" t="e">
        <v>#N/A</v>
      </c>
      <c r="BB344" t="e">
        <v>#N/A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120</v>
      </c>
      <c r="BK344" t="n">
        <v>120</v>
      </c>
      <c r="BL344" t="n">
        <v>0</v>
      </c>
    </row>
    <row r="345" outlineLevel="1" s="191">
      <c r="A345" t="n">
        <v>6</v>
      </c>
      <c r="B345" t="inlineStr">
        <is>
          <t>a</t>
        </is>
      </c>
      <c r="C345" t="n">
        <v>0</v>
      </c>
      <c r="D345" t="inlineStr">
        <is>
          <t>.z03_6_a_0</t>
        </is>
      </c>
      <c r="E345" t="inlineStr">
        <is>
          <t>6.Walidacja i optymalizacja Modelu</t>
        </is>
      </c>
      <c r="F345" t="n">
        <v>0</v>
      </c>
      <c r="G345" t="n">
        <v>0</v>
      </c>
      <c r="H345" t="n">
        <v>0</v>
      </c>
      <c r="I345" t="n">
        <v>0</v>
      </c>
      <c r="J345" t="n">
        <v>65</v>
      </c>
      <c r="K345" t="n">
        <v>46652</v>
      </c>
      <c r="L345" t="n">
        <v>46652</v>
      </c>
      <c r="M345" t="n">
        <v>64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</row>
    <row r="346" outlineLevel="1" s="191">
      <c r="A346" t="n">
        <v>6</v>
      </c>
      <c r="B346" t="inlineStr">
        <is>
          <t>a</t>
        </is>
      </c>
      <c r="C346" t="n">
        <v>1</v>
      </c>
      <c r="D346" t="inlineStr">
        <is>
          <t>.z03_6_a_1</t>
        </is>
      </c>
      <c r="E346" t="inlineStr">
        <is>
          <t>Przeprowadzenie testów (np. krzyżowa walidacja, na nowych danych) w warunkach zbliżonych do rzeczywistych</t>
        </is>
      </c>
      <c r="F346" t="n">
        <v>0</v>
      </c>
      <c r="G346" t="n">
        <v>0</v>
      </c>
      <c r="H346" t="n">
        <v>11</v>
      </c>
      <c r="I346" t="inlineStr">
        <is>
          <t>ACT</t>
        </is>
      </c>
      <c r="J346" t="n">
        <v>64</v>
      </c>
      <c r="K346" t="n">
        <v>46645</v>
      </c>
      <c r="L346" t="n">
        <v>46647</v>
      </c>
      <c r="M346" t="n">
        <v>65</v>
      </c>
      <c r="N346" t="n">
        <v>2</v>
      </c>
      <c r="O346" t="n">
        <v>160</v>
      </c>
      <c r="P346" t="n">
        <v>0.25</v>
      </c>
      <c r="Q346" t="n">
        <v>0.25</v>
      </c>
      <c r="R346" t="n">
        <v>0.25</v>
      </c>
      <c r="S346" t="n">
        <v>0.25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40</v>
      </c>
      <c r="AH346" t="n">
        <v>40</v>
      </c>
      <c r="AI346" t="n">
        <v>40</v>
      </c>
      <c r="AJ346" t="n">
        <v>40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160</v>
      </c>
      <c r="AY346" t="n">
        <v>1</v>
      </c>
      <c r="AZ346" t="e">
        <v>#N/A</v>
      </c>
      <c r="BA346" t="e">
        <v>#N/A</v>
      </c>
      <c r="BB346" t="e">
        <v>#N/A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160</v>
      </c>
      <c r="BK346" t="n">
        <v>160</v>
      </c>
      <c r="BL346" t="n">
        <v>0</v>
      </c>
    </row>
    <row r="347" outlineLevel="1" s="191">
      <c r="A347" t="n">
        <v>6</v>
      </c>
      <c r="B347" t="inlineStr">
        <is>
          <t>b</t>
        </is>
      </c>
      <c r="C347" t="n">
        <v>1</v>
      </c>
      <c r="D347" t="inlineStr">
        <is>
          <t>.z03_6_b_1</t>
        </is>
      </c>
      <c r="E347" t="inlineStr">
        <is>
          <t>Monitorowanie i porównanie wyników Modelu z danymi operacyjnymi, ocena dokładności prognoz i skuteczności optymalizacji</t>
        </is>
      </c>
      <c r="F347" t="n">
        <v>0</v>
      </c>
      <c r="G347" t="n">
        <v>0</v>
      </c>
      <c r="H347" t="n">
        <v>12</v>
      </c>
      <c r="I347" t="inlineStr">
        <is>
          <t>ACT</t>
        </is>
      </c>
      <c r="J347" t="n">
        <v>65</v>
      </c>
      <c r="K347" t="n">
        <v>46652</v>
      </c>
      <c r="L347" t="n">
        <v>46654</v>
      </c>
      <c r="M347" t="n">
        <v>66</v>
      </c>
      <c r="N347" t="n">
        <v>2</v>
      </c>
      <c r="O347" t="n">
        <v>120</v>
      </c>
      <c r="P347" t="n">
        <v>0.33</v>
      </c>
      <c r="Q347" t="n">
        <v>0.33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0.33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40</v>
      </c>
      <c r="AH347" t="n">
        <v>40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40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80</v>
      </c>
      <c r="AY347" t="n">
        <v>0.5</v>
      </c>
      <c r="AZ347" t="e">
        <v>#N/A</v>
      </c>
      <c r="BA347" t="e">
        <v>#N/A</v>
      </c>
      <c r="BB347" t="e">
        <v>#N/A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120</v>
      </c>
      <c r="BK347" t="n">
        <v>120</v>
      </c>
      <c r="BL347" t="n">
        <v>0</v>
      </c>
    </row>
    <row r="348" outlineLevel="1" s="191">
      <c r="A348" t="n">
        <v>6</v>
      </c>
      <c r="B348" t="inlineStr">
        <is>
          <t>c</t>
        </is>
      </c>
      <c r="C348" t="n">
        <v>1</v>
      </c>
      <c r="D348" t="inlineStr">
        <is>
          <t>.z03_6_c_1</t>
        </is>
      </c>
      <c r="E348" t="inlineStr">
        <is>
          <t>Iteracyjne kalibracje (dopasowanie Modelu do wybranych procesów rzeczywistych [na niewielką skalę], dostosowanie parametrów Modelu i wybór najlepszych algorytmów z przeprowadzonych testów)</t>
        </is>
      </c>
      <c r="F348" t="n">
        <v>0</v>
      </c>
      <c r="G348" t="n">
        <v>0</v>
      </c>
      <c r="H348" t="n">
        <v>12</v>
      </c>
      <c r="I348" t="inlineStr">
        <is>
          <t>END/ACT</t>
        </is>
      </c>
      <c r="J348" t="n">
        <v>66</v>
      </c>
      <c r="K348" t="n">
        <v>46659</v>
      </c>
      <c r="L348" t="n">
        <v>46661</v>
      </c>
      <c r="M348" t="n">
        <v>67</v>
      </c>
      <c r="N348" t="n">
        <v>2</v>
      </c>
      <c r="O348" t="n">
        <v>120</v>
      </c>
      <c r="P348" t="n">
        <v>0</v>
      </c>
      <c r="Q348" t="n">
        <v>0.33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0.33</v>
      </c>
      <c r="Z348" t="n">
        <v>0</v>
      </c>
      <c r="AA348" t="n">
        <v>0.33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40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40</v>
      </c>
      <c r="AQ348" t="n">
        <v>0</v>
      </c>
      <c r="AR348" t="n">
        <v>40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40</v>
      </c>
      <c r="AY348" t="n">
        <v>0.25</v>
      </c>
      <c r="AZ348" t="e">
        <v>#N/A</v>
      </c>
      <c r="BA348" t="e">
        <v>#N/A</v>
      </c>
      <c r="BB348" t="e">
        <v>#N/A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120</v>
      </c>
      <c r="BK348" t="n">
        <v>120</v>
      </c>
      <c r="BL348" t="n">
        <v>0</v>
      </c>
    </row>
    <row r="349" outlineLevel="1" s="191">
      <c r="A349" t="n">
        <v>7</v>
      </c>
      <c r="B349" t="inlineStr">
        <is>
          <t>a</t>
        </is>
      </c>
      <c r="C349" t="n">
        <v>0</v>
      </c>
      <c r="D349" t="inlineStr">
        <is>
          <t>.z03_7_a_0</t>
        </is>
      </c>
      <c r="E349" t="inlineStr">
        <is>
          <t>7.Optymalizacja kosztów i zasobów. Analiza modeli AI/ML w celu optymalizacji:</t>
        </is>
      </c>
      <c r="F349" t="n">
        <v>0</v>
      </c>
      <c r="G349" t="n">
        <v>0</v>
      </c>
      <c r="H349" t="n">
        <v>0</v>
      </c>
      <c r="I349" t="n">
        <v>0</v>
      </c>
      <c r="J349" t="n">
        <v>67</v>
      </c>
      <c r="K349" t="n">
        <v>46666</v>
      </c>
      <c r="L349" t="n">
        <v>46666</v>
      </c>
      <c r="M349" t="n">
        <v>66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</row>
    <row r="350" outlineLevel="1" s="191">
      <c r="A350" t="n">
        <v>7</v>
      </c>
      <c r="B350" t="inlineStr">
        <is>
          <t>a</t>
        </is>
      </c>
      <c r="C350" t="n">
        <v>1</v>
      </c>
      <c r="D350" t="inlineStr">
        <is>
          <t>.z03_7_a_1</t>
        </is>
      </c>
      <c r="E350" t="inlineStr">
        <is>
          <t>kosztów operacyjnych</t>
        </is>
      </c>
      <c r="F350" t="n">
        <v>0</v>
      </c>
      <c r="G350" t="n">
        <v>0</v>
      </c>
      <c r="H350" t="n">
        <v>10</v>
      </c>
      <c r="I350" t="inlineStr">
        <is>
          <t>ACT</t>
        </is>
      </c>
      <c r="J350" t="n">
        <v>66</v>
      </c>
      <c r="K350" t="n">
        <v>46659</v>
      </c>
      <c r="L350" t="n">
        <v>46663</v>
      </c>
      <c r="M350" t="n">
        <v>69</v>
      </c>
      <c r="N350" t="n">
        <v>4</v>
      </c>
      <c r="O350" t="n">
        <v>80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80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80</v>
      </c>
      <c r="AY350" t="n">
        <v>0.5</v>
      </c>
      <c r="AZ350" t="e">
        <v>#N/A</v>
      </c>
      <c r="BA350" t="e">
        <v>#N/A</v>
      </c>
      <c r="BB350" t="e">
        <v>#N/A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80</v>
      </c>
      <c r="BK350" t="n">
        <v>80</v>
      </c>
      <c r="BL350" t="n">
        <v>0</v>
      </c>
    </row>
    <row r="351" outlineLevel="1" s="191">
      <c r="A351" t="n">
        <v>7</v>
      </c>
      <c r="B351" t="inlineStr">
        <is>
          <t>b</t>
        </is>
      </c>
      <c r="C351" t="n">
        <v>1</v>
      </c>
      <c r="D351" t="inlineStr">
        <is>
          <t>.z03_7_b_1</t>
        </is>
      </c>
      <c r="E351" t="inlineStr">
        <is>
          <t>czasu i efektywności PT</t>
        </is>
      </c>
      <c r="F351" t="n">
        <v>0</v>
      </c>
      <c r="G351" t="n">
        <v>0</v>
      </c>
      <c r="H351" t="n">
        <v>10</v>
      </c>
      <c r="I351" t="inlineStr">
        <is>
          <t>ACT</t>
        </is>
      </c>
      <c r="J351" t="n">
        <v>69</v>
      </c>
      <c r="K351" t="n">
        <v>46680</v>
      </c>
      <c r="L351" t="n">
        <v>46684</v>
      </c>
      <c r="M351" t="n">
        <v>72</v>
      </c>
      <c r="N351" t="n">
        <v>4</v>
      </c>
      <c r="O351" t="n">
        <v>80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80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80</v>
      </c>
      <c r="AY351" t="n">
        <v>0.5</v>
      </c>
      <c r="AZ351" t="e">
        <v>#N/A</v>
      </c>
      <c r="BA351" t="e">
        <v>#N/A</v>
      </c>
      <c r="BB351" t="e">
        <v>#N/A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80</v>
      </c>
      <c r="BK351" t="n">
        <v>80</v>
      </c>
      <c r="BL351" t="n">
        <v>0</v>
      </c>
    </row>
    <row r="352" outlineLevel="1" s="191">
      <c r="A352" t="n">
        <v>7</v>
      </c>
      <c r="B352" t="inlineStr">
        <is>
          <t>c</t>
        </is>
      </c>
      <c r="C352" t="n">
        <v>1</v>
      </c>
      <c r="D352" t="inlineStr">
        <is>
          <t>.z03_7_c_1</t>
        </is>
      </c>
      <c r="E352" t="inlineStr">
        <is>
          <t>efektywności pracy pracowników</t>
        </is>
      </c>
      <c r="F352" t="n">
        <v>0</v>
      </c>
      <c r="G352" t="n">
        <v>0</v>
      </c>
      <c r="H352" t="n">
        <v>10</v>
      </c>
      <c r="I352" t="inlineStr">
        <is>
          <t>ACT</t>
        </is>
      </c>
      <c r="J352" t="n">
        <v>72</v>
      </c>
      <c r="K352" t="n">
        <v>46701</v>
      </c>
      <c r="L352" t="n">
        <v>46704</v>
      </c>
      <c r="M352" t="n">
        <v>74</v>
      </c>
      <c r="N352" t="n">
        <v>3</v>
      </c>
      <c r="O352" t="n">
        <v>120</v>
      </c>
      <c r="P352" t="n">
        <v>0.5</v>
      </c>
      <c r="Q352" t="n">
        <v>0</v>
      </c>
      <c r="R352" t="n">
        <v>0.5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60</v>
      </c>
      <c r="AH352" t="n">
        <v>0</v>
      </c>
      <c r="AI352" t="n">
        <v>60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120</v>
      </c>
      <c r="AY352" t="n">
        <v>0.75</v>
      </c>
      <c r="AZ352" t="e">
        <v>#N/A</v>
      </c>
      <c r="BA352" t="e">
        <v>#N/A</v>
      </c>
      <c r="BB352" t="e">
        <v>#N/A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120</v>
      </c>
      <c r="BK352" t="n">
        <v>120</v>
      </c>
      <c r="BL352" t="n">
        <v>0</v>
      </c>
    </row>
    <row r="353" outlineLevel="1" s="191">
      <c r="A353" t="n">
        <v>7</v>
      </c>
      <c r="B353" t="inlineStr">
        <is>
          <t>d</t>
        </is>
      </c>
      <c r="C353" t="n">
        <v>1</v>
      </c>
      <c r="D353" t="inlineStr">
        <is>
          <t>.z03_7_d_1</t>
        </is>
      </c>
      <c r="E353" t="inlineStr">
        <is>
          <t>zarządzania zasobami ludzkimi</t>
        </is>
      </c>
      <c r="F353" t="n">
        <v>0</v>
      </c>
      <c r="G353" t="n">
        <v>0</v>
      </c>
      <c r="H353" t="n">
        <v>10</v>
      </c>
      <c r="I353" t="inlineStr">
        <is>
          <t>ACT</t>
        </is>
      </c>
      <c r="J353" t="n">
        <v>74</v>
      </c>
      <c r="K353" t="n">
        <v>46715</v>
      </c>
      <c r="L353" t="n">
        <v>46718</v>
      </c>
      <c r="M353" t="n">
        <v>76</v>
      </c>
      <c r="N353" t="n">
        <v>3</v>
      </c>
      <c r="O353" t="n">
        <v>120</v>
      </c>
      <c r="P353" t="n">
        <v>0</v>
      </c>
      <c r="Q353" t="n">
        <v>0.5</v>
      </c>
      <c r="R353" t="n">
        <v>0</v>
      </c>
      <c r="S353" t="n">
        <v>0.5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60</v>
      </c>
      <c r="AI353" t="n">
        <v>0</v>
      </c>
      <c r="AJ353" t="n">
        <v>60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120</v>
      </c>
      <c r="AY353" t="n">
        <v>0.75</v>
      </c>
      <c r="AZ353" t="e">
        <v>#N/A</v>
      </c>
      <c r="BA353" t="e">
        <v>#N/A</v>
      </c>
      <c r="BB353" t="e">
        <v>#N/A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120</v>
      </c>
      <c r="BK353" t="n">
        <v>120</v>
      </c>
      <c r="BL353" t="n">
        <v>0</v>
      </c>
    </row>
    <row r="354" outlineLevel="1" s="191">
      <c r="A354" t="n">
        <v>7</v>
      </c>
      <c r="B354" t="inlineStr">
        <is>
          <t>e</t>
        </is>
      </c>
      <c r="C354" t="n">
        <v>1</v>
      </c>
      <c r="D354" t="inlineStr">
        <is>
          <t>.z03_7_e_1</t>
        </is>
      </c>
      <c r="E354" t="inlineStr">
        <is>
          <t xml:space="preserve">ułożenia towarów w opakowaniach </t>
        </is>
      </c>
      <c r="F354" t="n">
        <v>0</v>
      </c>
      <c r="G354" t="n">
        <v>0</v>
      </c>
      <c r="H354" t="n">
        <v>10</v>
      </c>
      <c r="I354" t="inlineStr">
        <is>
          <t>ACT</t>
        </is>
      </c>
      <c r="J354" t="n">
        <v>76</v>
      </c>
      <c r="K354" t="n">
        <v>46729</v>
      </c>
      <c r="L354" t="n">
        <v>46731</v>
      </c>
      <c r="M354" t="n">
        <v>77</v>
      </c>
      <c r="N354" t="n">
        <v>2</v>
      </c>
      <c r="O354" t="n">
        <v>80</v>
      </c>
      <c r="P354" t="n">
        <v>0</v>
      </c>
      <c r="Q354" t="n">
        <v>0</v>
      </c>
      <c r="R354" t="n">
        <v>0.5</v>
      </c>
      <c r="S354" t="n">
        <v>0.5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40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80</v>
      </c>
      <c r="AY354" t="n">
        <v>0.5</v>
      </c>
      <c r="AZ354" t="e">
        <v>#N/A</v>
      </c>
      <c r="BA354" t="e">
        <v>#N/A</v>
      </c>
      <c r="BB354" t="e">
        <v>#N/A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80</v>
      </c>
      <c r="BK354" t="n">
        <v>80</v>
      </c>
      <c r="BL354" t="n">
        <v>0</v>
      </c>
    </row>
    <row r="355" outlineLevel="1" s="191">
      <c r="A355" t="n">
        <v>8</v>
      </c>
      <c r="B355" t="inlineStr">
        <is>
          <t>a</t>
        </is>
      </c>
      <c r="C355" t="n">
        <v>0</v>
      </c>
      <c r="D355" t="inlineStr">
        <is>
          <t>.z03_8_a_0</t>
        </is>
      </c>
      <c r="E355" t="inlineStr">
        <is>
          <t xml:space="preserve">8.Zarządzanie bezpieczeństwem i niezawodnością systemu. Opracowanie mechanizmów/narzędzi: </t>
        </is>
      </c>
      <c r="F355" t="n">
        <v>0</v>
      </c>
      <c r="G355" t="n">
        <v>0</v>
      </c>
      <c r="H355" t="n">
        <v>0</v>
      </c>
      <c r="I355" t="n">
        <v>0</v>
      </c>
      <c r="J355" t="n">
        <v>77</v>
      </c>
      <c r="K355" t="n">
        <v>46736</v>
      </c>
      <c r="L355" t="n">
        <v>46736</v>
      </c>
      <c r="M355" t="n">
        <v>76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</row>
    <row r="356" outlineLevel="1" s="191">
      <c r="A356" t="n">
        <v>8</v>
      </c>
      <c r="B356" t="inlineStr">
        <is>
          <t>a</t>
        </is>
      </c>
      <c r="C356" t="n">
        <v>1</v>
      </c>
      <c r="D356" t="inlineStr">
        <is>
          <t>.z03_8_a_1</t>
        </is>
      </c>
      <c r="E356" t="inlineStr">
        <is>
          <t xml:space="preserve">zabezpieczenia danych procesowanych przez AI/ML przed cyberatakami  </t>
        </is>
      </c>
      <c r="F356" t="n">
        <v>0</v>
      </c>
      <c r="G356" t="n">
        <v>0</v>
      </c>
      <c r="H356" t="n">
        <v>8</v>
      </c>
      <c r="I356" t="inlineStr">
        <is>
          <t>ACT</t>
        </is>
      </c>
      <c r="J356" t="n">
        <v>76</v>
      </c>
      <c r="K356" t="n">
        <v>46729</v>
      </c>
      <c r="L356" t="n">
        <v>46731</v>
      </c>
      <c r="M356" t="n">
        <v>77</v>
      </c>
      <c r="N356" t="n">
        <v>2</v>
      </c>
      <c r="O356" t="n">
        <v>160</v>
      </c>
      <c r="P356" t="n">
        <v>0</v>
      </c>
      <c r="Q356" t="n">
        <v>0.25</v>
      </c>
      <c r="R356" t="n">
        <v>0</v>
      </c>
      <c r="S356" t="n">
        <v>0.25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0.5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40</v>
      </c>
      <c r="AI356" t="n">
        <v>0</v>
      </c>
      <c r="AJ356" t="n">
        <v>40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80</v>
      </c>
      <c r="AT356" t="n">
        <v>0</v>
      </c>
      <c r="AU356" t="n">
        <v>0</v>
      </c>
      <c r="AV356" t="n">
        <v>0</v>
      </c>
      <c r="AW356" t="n">
        <v>0</v>
      </c>
      <c r="AX356" t="n">
        <v>80</v>
      </c>
      <c r="AY356" t="n">
        <v>0.5</v>
      </c>
      <c r="AZ356" t="e">
        <v>#N/A</v>
      </c>
      <c r="BA356" t="e">
        <v>#N/A</v>
      </c>
      <c r="BB356" t="e">
        <v>#N/A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160</v>
      </c>
      <c r="BK356" t="n">
        <v>160</v>
      </c>
      <c r="BL356" t="n">
        <v>0</v>
      </c>
    </row>
    <row r="357" outlineLevel="1" s="191">
      <c r="A357" t="n">
        <v>8</v>
      </c>
      <c r="B357" t="inlineStr">
        <is>
          <t>b</t>
        </is>
      </c>
      <c r="C357" t="n">
        <v>1</v>
      </c>
      <c r="D357" t="inlineStr">
        <is>
          <t>.z03_8_b_1</t>
        </is>
      </c>
      <c r="E357" t="inlineStr">
        <is>
          <t>monitorowania wydajności i niezawodności, testy awaryjne</t>
        </is>
      </c>
      <c r="F357" t="n">
        <v>0</v>
      </c>
      <c r="G357" t="n">
        <v>0</v>
      </c>
      <c r="H357" t="n">
        <v>9</v>
      </c>
      <c r="I357" t="inlineStr">
        <is>
          <t>ACT</t>
        </is>
      </c>
      <c r="J357" t="n">
        <v>77</v>
      </c>
      <c r="K357" t="n">
        <v>46736</v>
      </c>
      <c r="L357" t="n">
        <v>46738</v>
      </c>
      <c r="M357" t="n">
        <v>78</v>
      </c>
      <c r="N357" t="n">
        <v>2</v>
      </c>
      <c r="O357" t="n">
        <v>160</v>
      </c>
      <c r="P357" t="n">
        <v>0.25</v>
      </c>
      <c r="Q357" t="n">
        <v>0</v>
      </c>
      <c r="R357" t="n">
        <v>0.25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0.5</v>
      </c>
      <c r="AC357" t="n">
        <v>0</v>
      </c>
      <c r="AD357" t="n">
        <v>0</v>
      </c>
      <c r="AE357" t="n">
        <v>0</v>
      </c>
      <c r="AF357" t="n">
        <v>0</v>
      </c>
      <c r="AG357" t="n">
        <v>40</v>
      </c>
      <c r="AH357" t="n">
        <v>0</v>
      </c>
      <c r="AI357" t="n">
        <v>40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80</v>
      </c>
      <c r="AT357" t="n">
        <v>0</v>
      </c>
      <c r="AU357" t="n">
        <v>0</v>
      </c>
      <c r="AV357" t="n">
        <v>0</v>
      </c>
      <c r="AW357" t="n">
        <v>0</v>
      </c>
      <c r="AX357" t="n">
        <v>80</v>
      </c>
      <c r="AY357" t="n">
        <v>0.5</v>
      </c>
      <c r="AZ357" t="e">
        <v>#N/A</v>
      </c>
      <c r="BA357" t="e">
        <v>#N/A</v>
      </c>
      <c r="BB357" t="e">
        <v>#N/A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160</v>
      </c>
      <c r="BK357" t="n">
        <v>160</v>
      </c>
      <c r="BL357" t="n">
        <v>0</v>
      </c>
    </row>
    <row r="358" outlineLevel="1" s="191">
      <c r="A358" t="n">
        <v>8</v>
      </c>
      <c r="B358" t="inlineStr">
        <is>
          <t>c</t>
        </is>
      </c>
      <c r="C358" t="n">
        <v>1</v>
      </c>
      <c r="D358" t="inlineStr">
        <is>
          <t>.z03_8_c_1</t>
        </is>
      </c>
      <c r="E358" t="inlineStr">
        <is>
          <t>zabezpieczenia systemów AI/ML (np. zgodność działania z założeniami, odporność na błędy, redundancja za-pobiegająca zakłóceniom PT)</t>
        </is>
      </c>
      <c r="F358" t="n">
        <v>0</v>
      </c>
      <c r="G358" t="n">
        <v>0</v>
      </c>
      <c r="H358" t="n">
        <v>9</v>
      </c>
      <c r="I358" t="inlineStr">
        <is>
          <t>END/ACT</t>
        </is>
      </c>
      <c r="J358" t="n">
        <v>78</v>
      </c>
      <c r="K358" t="n">
        <v>46743</v>
      </c>
      <c r="L358" t="n">
        <v>46745</v>
      </c>
      <c r="M358" t="n">
        <v>79</v>
      </c>
      <c r="N358" t="n">
        <v>2</v>
      </c>
      <c r="O358" t="n">
        <v>160</v>
      </c>
      <c r="P358" t="n">
        <v>0</v>
      </c>
      <c r="Q358" t="n">
        <v>0.25</v>
      </c>
      <c r="R358" t="n">
        <v>0</v>
      </c>
      <c r="S358" t="n">
        <v>0.25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0.5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40</v>
      </c>
      <c r="AI358" t="n">
        <v>0</v>
      </c>
      <c r="AJ358" t="n">
        <v>40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80</v>
      </c>
      <c r="AT358" t="n">
        <v>0</v>
      </c>
      <c r="AU358" t="n">
        <v>0</v>
      </c>
      <c r="AV358" t="n">
        <v>0</v>
      </c>
      <c r="AW358" t="n">
        <v>0</v>
      </c>
      <c r="AX358" t="n">
        <v>80</v>
      </c>
      <c r="AY358" t="n">
        <v>0.5</v>
      </c>
      <c r="AZ358" t="e">
        <v>#N/A</v>
      </c>
      <c r="BA358" t="e">
        <v>#N/A</v>
      </c>
      <c r="BB358" t="e">
        <v>#N/A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160</v>
      </c>
      <c r="BK358" t="n">
        <v>160</v>
      </c>
      <c r="BL358" t="n">
        <v>0</v>
      </c>
    </row>
    <row r="359" outlineLevel="1" s="191">
      <c r="A359" t="n">
        <v>8</v>
      </c>
      <c r="B359" t="inlineStr">
        <is>
          <t>d</t>
        </is>
      </c>
      <c r="C359" t="n">
        <v>1</v>
      </c>
      <c r="D359" t="inlineStr">
        <is>
          <t>.z03_8_d_1</t>
        </is>
      </c>
      <c r="E359" t="inlineStr">
        <is>
          <t>automatyzacji procesu aktualizacji modelu (procesy CI/CD)</t>
        </is>
      </c>
      <c r="F359" t="n">
        <v>0</v>
      </c>
      <c r="G359" t="n">
        <v>0</v>
      </c>
      <c r="H359" t="n">
        <v>9</v>
      </c>
      <c r="I359" t="inlineStr">
        <is>
          <t>END</t>
        </is>
      </c>
      <c r="J359" t="n">
        <v>79</v>
      </c>
      <c r="K359" t="n">
        <v>46750</v>
      </c>
      <c r="L359" t="n">
        <v>46752</v>
      </c>
      <c r="M359" t="n">
        <v>80</v>
      </c>
      <c r="N359" t="n">
        <v>2</v>
      </c>
      <c r="O359" t="n">
        <v>160</v>
      </c>
      <c r="P359" t="n">
        <v>0.25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0.75</v>
      </c>
      <c r="AC359" t="n">
        <v>0</v>
      </c>
      <c r="AD359" t="n">
        <v>0</v>
      </c>
      <c r="AE359" t="n">
        <v>0</v>
      </c>
      <c r="AF359" t="n">
        <v>0</v>
      </c>
      <c r="AG359" t="n">
        <v>40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120</v>
      </c>
      <c r="AT359" t="n">
        <v>0</v>
      </c>
      <c r="AU359" t="n">
        <v>0</v>
      </c>
      <c r="AV359" t="n">
        <v>0</v>
      </c>
      <c r="AW359" t="n">
        <v>0</v>
      </c>
      <c r="AX359" t="n">
        <v>40</v>
      </c>
      <c r="AY359" t="n">
        <v>0.25</v>
      </c>
      <c r="AZ359" t="e">
        <v>#N/A</v>
      </c>
      <c r="BA359" t="e">
        <v>#N/A</v>
      </c>
      <c r="BB359" t="e">
        <v>#N/A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160</v>
      </c>
      <c r="BK359" t="n">
        <v>160</v>
      </c>
      <c r="BL359" t="n">
        <v>0</v>
      </c>
    </row>
    <row r="360" outlineLevel="1" s="191">
      <c r="A360" t="n">
        <v>9</v>
      </c>
      <c r="B360" t="inlineStr">
        <is>
          <t>a</t>
        </is>
      </c>
      <c r="C360" t="n">
        <v>0</v>
      </c>
      <c r="D360" t="inlineStr">
        <is>
          <t>.z03_9_a_0</t>
        </is>
      </c>
      <c r="E360" t="inlineStr">
        <is>
          <t>9.Raportowanie i analizy</t>
        </is>
      </c>
      <c r="F360" t="n">
        <v>0</v>
      </c>
      <c r="G360" t="n">
        <v>0</v>
      </c>
      <c r="H360" t="n">
        <v>0</v>
      </c>
      <c r="I360" t="n">
        <v>0</v>
      </c>
      <c r="J360" t="n">
        <v>80</v>
      </c>
      <c r="K360" t="n">
        <v>46757</v>
      </c>
      <c r="L360" t="n">
        <v>46757</v>
      </c>
      <c r="M360" t="n">
        <v>79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</row>
    <row r="361" outlineLevel="1" s="191">
      <c r="A361" t="n">
        <v>9</v>
      </c>
      <c r="B361" t="inlineStr">
        <is>
          <t>a</t>
        </is>
      </c>
      <c r="C361" t="n">
        <v>1</v>
      </c>
      <c r="D361" t="inlineStr">
        <is>
          <t>.z03_9_a_1</t>
        </is>
      </c>
      <c r="E361" t="inlineStr">
        <is>
          <t>Przygotowywanie regularnych raportów dotyczących efektywności modelu i jego wpływu na PT</t>
        </is>
      </c>
      <c r="F361" t="n">
        <v>0</v>
      </c>
      <c r="G361" t="n">
        <v>0</v>
      </c>
      <c r="H361" t="n">
        <v>8</v>
      </c>
      <c r="I361" t="inlineStr">
        <is>
          <t>END/ACT</t>
        </is>
      </c>
      <c r="J361" t="n">
        <v>79</v>
      </c>
      <c r="K361" t="n">
        <v>46750</v>
      </c>
      <c r="L361" t="n">
        <v>46752</v>
      </c>
      <c r="M361" t="n">
        <v>80</v>
      </c>
      <c r="N361" t="n">
        <v>2</v>
      </c>
      <c r="O361" t="n">
        <v>120</v>
      </c>
      <c r="P361" t="n">
        <v>0.333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0.663</v>
      </c>
      <c r="AC361" t="n">
        <v>0</v>
      </c>
      <c r="AD361" t="n">
        <v>0</v>
      </c>
      <c r="AE361" t="n">
        <v>0</v>
      </c>
      <c r="AF361" t="n">
        <v>0</v>
      </c>
      <c r="AG361" t="n">
        <v>40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80</v>
      </c>
      <c r="AT361" t="n">
        <v>0</v>
      </c>
      <c r="AU361" t="n">
        <v>0</v>
      </c>
      <c r="AV361" t="n">
        <v>0</v>
      </c>
      <c r="AW361" t="n">
        <v>0</v>
      </c>
      <c r="AX361" t="n">
        <v>40</v>
      </c>
      <c r="AY361" t="n">
        <v>0.25</v>
      </c>
      <c r="AZ361" t="e">
        <v>#N/A</v>
      </c>
      <c r="BA361" t="e">
        <v>#N/A</v>
      </c>
      <c r="BB361" t="e">
        <v>#N/A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120</v>
      </c>
      <c r="BK361" t="n">
        <v>120</v>
      </c>
      <c r="BL361" t="n">
        <v>0</v>
      </c>
    </row>
    <row r="362" outlineLevel="1" s="191">
      <c r="A362" t="n">
        <v>9</v>
      </c>
      <c r="B362" t="inlineStr">
        <is>
          <t>b</t>
        </is>
      </c>
      <c r="C362" t="n">
        <v>1</v>
      </c>
      <c r="D362" t="inlineStr">
        <is>
          <t>.z03_9_b_1</t>
        </is>
      </c>
      <c r="E362" t="inlineStr">
        <is>
          <t>Analizowanie wyników działania Modelu i ich wpływu na KPI</t>
        </is>
      </c>
      <c r="F362" t="n">
        <v>0</v>
      </c>
      <c r="G362" t="n">
        <v>0</v>
      </c>
      <c r="H362" t="n">
        <v>8</v>
      </c>
      <c r="I362" t="inlineStr">
        <is>
          <t>ACT</t>
        </is>
      </c>
      <c r="J362" t="n">
        <v>80</v>
      </c>
      <c r="K362" t="n">
        <v>46757</v>
      </c>
      <c r="L362" t="n">
        <v>46759</v>
      </c>
      <c r="M362" t="n">
        <v>81</v>
      </c>
      <c r="N362" t="n">
        <v>2</v>
      </c>
      <c r="O362" t="n">
        <v>80</v>
      </c>
      <c r="P362" t="n">
        <v>0</v>
      </c>
      <c r="Q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40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40</v>
      </c>
      <c r="AT362" t="n">
        <v>0</v>
      </c>
      <c r="AU362" t="n">
        <v>0</v>
      </c>
      <c r="AV362" t="n">
        <v>0</v>
      </c>
      <c r="AW362" t="n">
        <v>0</v>
      </c>
      <c r="AX362" t="n">
        <v>40</v>
      </c>
      <c r="AY362" t="n">
        <v>0.25</v>
      </c>
      <c r="AZ362" t="e">
        <v>#N/A</v>
      </c>
      <c r="BA362" t="e">
        <v>#N/A</v>
      </c>
      <c r="BB362" t="e">
        <v>#N/A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80</v>
      </c>
      <c r="BK362" t="n">
        <v>80</v>
      </c>
      <c r="BL362" t="n">
        <v>0</v>
      </c>
    </row>
    <row r="363" outlineLevel="1" s="191">
      <c r="A363" t="n">
        <v>10</v>
      </c>
      <c r="B363" t="inlineStr">
        <is>
          <t>a</t>
        </is>
      </c>
      <c r="C363" t="n">
        <v>0</v>
      </c>
      <c r="D363" t="inlineStr">
        <is>
          <t>.z03_10_a_0</t>
        </is>
      </c>
      <c r="E363" t="inlineStr">
        <is>
          <t xml:space="preserve">10.Monitorowanie </t>
        </is>
      </c>
      <c r="F363" t="n">
        <v>0</v>
      </c>
      <c r="G363" t="n">
        <v>0</v>
      </c>
      <c r="H363" t="n">
        <v>0</v>
      </c>
      <c r="I363" t="n">
        <v>0</v>
      </c>
      <c r="J363" t="n">
        <v>81</v>
      </c>
      <c r="K363" t="n">
        <v>46764</v>
      </c>
      <c r="L363" t="n">
        <v>46764</v>
      </c>
      <c r="M363" t="n">
        <v>80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</row>
    <row r="364" outlineLevel="1" s="191">
      <c r="A364" t="n">
        <v>10</v>
      </c>
      <c r="B364" t="inlineStr">
        <is>
          <t>a</t>
        </is>
      </c>
      <c r="C364" t="n">
        <v>1</v>
      </c>
      <c r="D364" t="inlineStr">
        <is>
          <t>.z03_10_a_1</t>
        </is>
      </c>
      <c r="E364" t="inlineStr">
        <is>
          <t>Regularne śledzenie wydajności Modelu</t>
        </is>
      </c>
      <c r="F364" t="n">
        <v>0</v>
      </c>
      <c r="G364" t="n">
        <v>0</v>
      </c>
      <c r="H364" t="n">
        <v>11</v>
      </c>
      <c r="I364" t="inlineStr">
        <is>
          <t>END</t>
        </is>
      </c>
      <c r="J364" t="n">
        <v>80</v>
      </c>
      <c r="K364" t="n">
        <v>46757</v>
      </c>
      <c r="L364" t="n">
        <v>46759</v>
      </c>
      <c r="M364" t="n">
        <v>81</v>
      </c>
      <c r="N364" t="n">
        <v>2</v>
      </c>
      <c r="O364" t="n">
        <v>120</v>
      </c>
      <c r="P364" t="n">
        <v>0.333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0.666</v>
      </c>
      <c r="AC364" t="n">
        <v>0</v>
      </c>
      <c r="AD364" t="n">
        <v>0</v>
      </c>
      <c r="AE364" t="n">
        <v>0</v>
      </c>
      <c r="AF364" t="n">
        <v>0</v>
      </c>
      <c r="AG364" t="n">
        <v>40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80</v>
      </c>
      <c r="AT364" t="n">
        <v>0</v>
      </c>
      <c r="AU364" t="n">
        <v>0</v>
      </c>
      <c r="AV364" t="n">
        <v>0</v>
      </c>
      <c r="AW364" t="n">
        <v>0</v>
      </c>
      <c r="AX364" t="n">
        <v>40</v>
      </c>
      <c r="AY364" t="n">
        <v>0.25</v>
      </c>
      <c r="AZ364" t="e">
        <v>#N/A</v>
      </c>
      <c r="BA364" t="e">
        <v>#N/A</v>
      </c>
      <c r="BB364" t="e">
        <v>#N/A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120</v>
      </c>
      <c r="BK364" t="n">
        <v>120</v>
      </c>
      <c r="BL364" t="n">
        <v>0</v>
      </c>
    </row>
    <row r="365" outlineLevel="1" s="191">
      <c r="A365" t="n">
        <v>10</v>
      </c>
      <c r="B365" t="inlineStr">
        <is>
          <t>b</t>
        </is>
      </c>
      <c r="C365" t="n">
        <v>1</v>
      </c>
      <c r="D365" t="inlineStr">
        <is>
          <t>.z03_10_b_1</t>
        </is>
      </c>
      <c r="E365" t="inlineStr">
        <is>
          <t>Wprowadzanie poprawek do Modelu, aktualizacje na podstawie nowych danych i zmieniających się warunków operacyjnych</t>
        </is>
      </c>
      <c r="F365" t="n">
        <v>0</v>
      </c>
      <c r="G365" t="n">
        <v>0</v>
      </c>
      <c r="H365" t="n">
        <v>11</v>
      </c>
      <c r="I365" t="inlineStr">
        <is>
          <t>END/ACT</t>
        </is>
      </c>
      <c r="J365" t="n">
        <v>81</v>
      </c>
      <c r="K365" t="n">
        <v>46764</v>
      </c>
      <c r="L365" t="n">
        <v>46765</v>
      </c>
      <c r="M365" t="n">
        <v>81</v>
      </c>
      <c r="N365" t="n">
        <v>1</v>
      </c>
      <c r="O365" t="n">
        <v>80</v>
      </c>
      <c r="P365" t="n">
        <v>0</v>
      </c>
      <c r="Q365" t="n">
        <v>0.25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0.25</v>
      </c>
      <c r="AB365" t="n">
        <v>0.5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20</v>
      </c>
      <c r="AS365" t="n">
        <v>40</v>
      </c>
      <c r="AT365" t="n">
        <v>0</v>
      </c>
      <c r="AU365" t="n">
        <v>0</v>
      </c>
      <c r="AV365" t="n">
        <v>0</v>
      </c>
      <c r="AW365" t="n">
        <v>0</v>
      </c>
      <c r="AX365" t="n">
        <v>20</v>
      </c>
      <c r="AY365" t="n">
        <v>0.125</v>
      </c>
      <c r="AZ365" t="e">
        <v>#N/A</v>
      </c>
      <c r="BA365" t="e">
        <v>#N/A</v>
      </c>
      <c r="BB365" t="e">
        <v>#N/A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80</v>
      </c>
      <c r="BK365" t="n">
        <v>80</v>
      </c>
      <c r="BL365" t="n">
        <v>0</v>
      </c>
    </row>
    <row r="366" outlineLevel="1" s="191">
      <c r="A366" t="n">
        <v>11</v>
      </c>
      <c r="B366" t="inlineStr">
        <is>
          <t>a</t>
        </is>
      </c>
      <c r="C366" t="n">
        <v>1</v>
      </c>
      <c r="D366" t="inlineStr">
        <is>
          <t>.z03_11_a_1</t>
        </is>
      </c>
      <c r="E366" t="inlineStr">
        <is>
          <t>11.Dokumentacja i szkolenie</t>
        </is>
      </c>
      <c r="F366" t="n">
        <v>0</v>
      </c>
      <c r="G366" t="n">
        <v>0</v>
      </c>
      <c r="H366" t="n">
        <v>13</v>
      </c>
      <c r="I366" t="inlineStr">
        <is>
          <t>ACT</t>
        </is>
      </c>
      <c r="J366" t="n">
        <v>81</v>
      </c>
      <c r="K366" t="n">
        <v>46764</v>
      </c>
      <c r="L366" t="n">
        <v>46766</v>
      </c>
      <c r="M366" t="n">
        <v>82</v>
      </c>
      <c r="N366" t="n">
        <v>2</v>
      </c>
      <c r="O366" t="n">
        <v>200</v>
      </c>
      <c r="P366" t="n">
        <v>0.2</v>
      </c>
      <c r="Q366" t="n">
        <v>0.2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0.2</v>
      </c>
      <c r="Z366" t="n">
        <v>0.2</v>
      </c>
      <c r="AA366" t="n">
        <v>0</v>
      </c>
      <c r="AB366" t="n">
        <v>0.2</v>
      </c>
      <c r="AC366" t="n">
        <v>0</v>
      </c>
      <c r="AD366" t="n">
        <v>0</v>
      </c>
      <c r="AE366" t="n">
        <v>0</v>
      </c>
      <c r="AF366" t="n">
        <v>0</v>
      </c>
      <c r="AG366" t="n">
        <v>40</v>
      </c>
      <c r="AH366" t="n">
        <v>40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40</v>
      </c>
      <c r="AQ366" t="n">
        <v>40</v>
      </c>
      <c r="AR366" t="n">
        <v>0</v>
      </c>
      <c r="AS366" t="n">
        <v>40</v>
      </c>
      <c r="AT366" t="n">
        <v>0</v>
      </c>
      <c r="AU366" t="n">
        <v>0</v>
      </c>
      <c r="AV366" t="n">
        <v>0</v>
      </c>
      <c r="AW366" t="n">
        <v>0</v>
      </c>
      <c r="AX366" t="n">
        <v>80</v>
      </c>
      <c r="AY366" t="n">
        <v>0.5</v>
      </c>
      <c r="AZ366" t="e">
        <v>#N/A</v>
      </c>
      <c r="BA366" t="e">
        <v>#N/A</v>
      </c>
      <c r="BB366" t="e">
        <v>#N/A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200</v>
      </c>
      <c r="BK366" t="n">
        <v>200</v>
      </c>
      <c r="BL366" t="n">
        <v>0</v>
      </c>
    </row>
    <row r="367" outlineLevel="1" s="191">
      <c r="BJ367" t="n">
        <v>0</v>
      </c>
      <c r="BK367" t="n">
        <v>0</v>
      </c>
      <c r="BL367" t="n">
        <v>0</v>
      </c>
    </row>
    <row r="368" outlineLevel="1" s="191">
      <c r="BJ368" t="n">
        <v>0</v>
      </c>
      <c r="BK368" t="n">
        <v>0</v>
      </c>
      <c r="BL368" t="n">
        <v>0</v>
      </c>
    </row>
    <row r="369" outlineLevel="1" s="191">
      <c r="BJ369" t="n">
        <v>0</v>
      </c>
      <c r="BK369" t="n">
        <v>0</v>
      </c>
      <c r="BL369" t="n">
        <v>0</v>
      </c>
    </row>
    <row r="370" outlineLevel="1" s="191">
      <c r="BJ370" t="n">
        <v>0</v>
      </c>
      <c r="BK370" t="n">
        <v>0</v>
      </c>
      <c r="BL370" t="n">
        <v>0</v>
      </c>
    </row>
    <row r="371" outlineLevel="1" s="191">
      <c r="BJ371" t="n">
        <v>0</v>
      </c>
      <c r="BK371" t="n">
        <v>0</v>
      </c>
      <c r="BL371" t="n">
        <v>0</v>
      </c>
    </row>
    <row r="372" outlineLevel="1" s="191">
      <c r="BJ372" t="n">
        <v>0</v>
      </c>
      <c r="BK372" t="n">
        <v>0</v>
      </c>
      <c r="BL372" t="n">
        <v>0</v>
      </c>
    </row>
    <row r="373" outlineLevel="1" s="191">
      <c r="BJ373" t="n">
        <v>0</v>
      </c>
      <c r="BK373" t="n">
        <v>0</v>
      </c>
      <c r="BL373" t="n">
        <v>0</v>
      </c>
    </row>
    <row r="374" outlineLevel="1" s="191">
      <c r="BJ374" t="n">
        <v>0</v>
      </c>
      <c r="BK374" t="n">
        <v>0</v>
      </c>
      <c r="BL374" t="n">
        <v>0</v>
      </c>
    </row>
    <row r="375" outlineLevel="1" s="191">
      <c r="BJ375" t="n">
        <v>0</v>
      </c>
      <c r="BK375" t="n">
        <v>0</v>
      </c>
      <c r="BL375" t="n">
        <v>0</v>
      </c>
    </row>
    <row r="376" outlineLevel="1" s="191">
      <c r="BJ376" t="n">
        <v>0</v>
      </c>
      <c r="BK376" t="n">
        <v>0</v>
      </c>
      <c r="BL376" t="n">
        <v>0</v>
      </c>
    </row>
    <row r="377" outlineLevel="1" s="191">
      <c r="BJ377" t="n">
        <v>0</v>
      </c>
      <c r="BK377" t="n">
        <v>0</v>
      </c>
      <c r="BL377" t="n">
        <v>0</v>
      </c>
    </row>
    <row r="378" outlineLevel="1" s="191">
      <c r="BJ378" t="n">
        <v>0</v>
      </c>
      <c r="BK378" t="n">
        <v>0</v>
      </c>
      <c r="BL378" t="n">
        <v>0</v>
      </c>
    </row>
    <row r="379" outlineLevel="1" s="191">
      <c r="BJ379" t="n">
        <v>0</v>
      </c>
      <c r="BK379" t="n">
        <v>0</v>
      </c>
      <c r="BL379" t="n">
        <v>0</v>
      </c>
    </row>
    <row r="380" outlineLevel="1" s="191">
      <c r="BJ380" t="n">
        <v>0</v>
      </c>
      <c r="BK380" t="n">
        <v>0</v>
      </c>
      <c r="BL380" t="n">
        <v>0</v>
      </c>
    </row>
    <row r="381" outlineLevel="1" s="191">
      <c r="BJ381" t="n">
        <v>0</v>
      </c>
      <c r="BK381" t="n">
        <v>0</v>
      </c>
      <c r="BL381" t="n">
        <v>0</v>
      </c>
    </row>
    <row r="382" outlineLevel="1" s="191">
      <c r="BJ382" t="n">
        <v>0</v>
      </c>
      <c r="BK382" t="n">
        <v>0</v>
      </c>
      <c r="BL382" t="n">
        <v>0</v>
      </c>
    </row>
    <row r="383" outlineLevel="1" s="191">
      <c r="BJ383" t="n">
        <v>0</v>
      </c>
      <c r="BK383" t="n">
        <v>0</v>
      </c>
      <c r="BL383" t="n">
        <v>0</v>
      </c>
    </row>
    <row r="384" outlineLevel="1" s="191">
      <c r="BJ384" t="n">
        <v>0</v>
      </c>
      <c r="BK384" t="n">
        <v>0</v>
      </c>
      <c r="BL384" t="n">
        <v>0</v>
      </c>
    </row>
    <row r="385" outlineLevel="1" s="191">
      <c r="BJ385" t="n">
        <v>0</v>
      </c>
      <c r="BK385" t="n">
        <v>0</v>
      </c>
      <c r="BL385" t="n">
        <v>0</v>
      </c>
    </row>
    <row r="386" outlineLevel="1" s="191">
      <c r="BJ386" t="n">
        <v>0</v>
      </c>
      <c r="BK386" t="n">
        <v>0</v>
      </c>
      <c r="BL386" t="n">
        <v>0</v>
      </c>
    </row>
    <row r="387" outlineLevel="1" s="191">
      <c r="BJ387" t="n">
        <v>0</v>
      </c>
      <c r="BK387" t="n">
        <v>0</v>
      </c>
      <c r="BL387" t="n">
        <v>0</v>
      </c>
    </row>
    <row r="388" outlineLevel="1" s="191">
      <c r="BJ388" t="n">
        <v>0</v>
      </c>
      <c r="BK388" t="n">
        <v>0</v>
      </c>
      <c r="BL388" t="n">
        <v>0</v>
      </c>
    </row>
    <row r="389" outlineLevel="1" s="191">
      <c r="BJ389" t="n">
        <v>0</v>
      </c>
      <c r="BK389" t="n">
        <v>0</v>
      </c>
      <c r="BL389" t="n">
        <v>0</v>
      </c>
    </row>
    <row r="390" outlineLevel="1" s="191">
      <c r="BJ390" t="n">
        <v>0</v>
      </c>
      <c r="BK390" t="n">
        <v>0</v>
      </c>
      <c r="BL390" t="n">
        <v>0</v>
      </c>
    </row>
    <row r="391" outlineLevel="1" s="191">
      <c r="BJ391" t="n">
        <v>0</v>
      </c>
      <c r="BK391" t="n">
        <v>0</v>
      </c>
      <c r="BL391" t="n">
        <v>0</v>
      </c>
    </row>
    <row r="392" outlineLevel="1" s="191">
      <c r="BJ392" t="n">
        <v>0</v>
      </c>
      <c r="BK392" t="n">
        <v>0</v>
      </c>
      <c r="BL392" t="n">
        <v>0</v>
      </c>
    </row>
    <row r="393" outlineLevel="1" s="191">
      <c r="BJ393" t="n">
        <v>0</v>
      </c>
      <c r="BK393" t="n">
        <v>0</v>
      </c>
      <c r="BL393" t="n">
        <v>0</v>
      </c>
    </row>
    <row r="394" outlineLevel="1" s="191">
      <c r="BJ394" t="n">
        <v>0</v>
      </c>
      <c r="BK394" t="n">
        <v>0</v>
      </c>
      <c r="BL394" t="n">
        <v>0</v>
      </c>
    </row>
    <row r="395" outlineLevel="1" s="191">
      <c r="BJ395" t="n">
        <v>0</v>
      </c>
      <c r="BK395" t="n">
        <v>0</v>
      </c>
      <c r="BL395" t="n">
        <v>0</v>
      </c>
    </row>
    <row r="396" outlineLevel="1" s="191">
      <c r="BJ396" t="n">
        <v>0</v>
      </c>
      <c r="BK396" t="n">
        <v>0</v>
      </c>
      <c r="BL396" t="n">
        <v>0</v>
      </c>
    </row>
    <row r="397" outlineLevel="1" s="191">
      <c r="BJ397" t="n">
        <v>0</v>
      </c>
      <c r="BK397" t="n">
        <v>0</v>
      </c>
      <c r="BL397" t="n">
        <v>0</v>
      </c>
    </row>
    <row r="398" outlineLevel="1" s="191">
      <c r="A398" s="264" t="inlineStr">
        <is>
          <t>.z03</t>
        </is>
      </c>
      <c r="BJ398" t="n">
        <v>0</v>
      </c>
      <c r="BK398" t="n">
        <v>0</v>
      </c>
      <c r="BL398" t="n">
        <v>0</v>
      </c>
    </row>
    <row r="399">
      <c r="BJ399" t="n">
        <v>0</v>
      </c>
      <c r="BK399" t="n">
        <v>0</v>
      </c>
      <c r="BL399" t="n">
        <v>0</v>
      </c>
      <c r="BM399" t="n">
        <v>-4</v>
      </c>
    </row>
    <row r="400" ht="15.6" customHeight="1" s="191">
      <c r="A400" s="259" t="inlineStr">
        <is>
          <t>.z04</t>
        </is>
      </c>
      <c r="B400" s="260" t="n"/>
      <c r="C400" s="261" t="n"/>
      <c r="D400" s="276" t="n"/>
      <c r="E400" s="277" t="inlineStr">
        <is>
          <t>Zadanie_IV   :  Opracowanie autorskiej bazy danych dla procesu cyfrowego bliźniaka (BDCB) z wykorzystaniem mechanizmów AI i ML</t>
        </is>
      </c>
      <c r="F400" s="538" t="n"/>
      <c r="BJ400" t="n">
        <v>0</v>
      </c>
      <c r="BK400" t="n">
        <v>0</v>
      </c>
      <c r="BL400" t="n">
        <v>0</v>
      </c>
      <c r="BM400" t="n">
        <v>-4</v>
      </c>
    </row>
    <row r="401" hidden="1" outlineLevel="1" s="191">
      <c r="A401" t="n">
        <v>1</v>
      </c>
      <c r="B401" t="inlineStr">
        <is>
          <t>a</t>
        </is>
      </c>
      <c r="C401" t="n">
        <v>-1</v>
      </c>
      <c r="D401" t="inlineStr">
        <is>
          <t>.z04_1_a_-1</t>
        </is>
      </c>
      <c r="E401" t="inlineStr">
        <is>
          <t>1.Opracowanie koncepcji standaryzowanej bazy danych Cyfrowego Bliźniaka</t>
        </is>
      </c>
      <c r="F401" t="n">
        <v>0</v>
      </c>
      <c r="G401" t="n">
        <v>0</v>
      </c>
      <c r="H401" t="n">
        <v>0</v>
      </c>
      <c r="I401" t="inlineStr">
        <is>
          <t>ACT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</row>
    <row r="402" hidden="1" outlineLevel="1" s="191">
      <c r="A402" t="n">
        <v>1</v>
      </c>
      <c r="B402" t="inlineStr">
        <is>
          <t>a</t>
        </is>
      </c>
      <c r="C402" t="n">
        <v>0</v>
      </c>
      <c r="D402" t="inlineStr">
        <is>
          <t>.z04_1_a_0</t>
        </is>
      </c>
      <c r="E402" t="inlineStr">
        <is>
          <t>Projektowanie struktury bazy danych, która zapewni jej wydajność, spójność i skalowalność</t>
        </is>
      </c>
      <c r="F402" t="inlineStr">
        <is>
          <t>Imię02</t>
        </is>
      </c>
      <c r="G402" t="inlineStr">
        <is>
          <t>Nazwisko02</t>
        </is>
      </c>
      <c r="H402" t="n">
        <v>1</v>
      </c>
      <c r="I402" t="inlineStr">
        <is>
          <t>.a02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5002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</row>
    <row r="403" hidden="1" outlineLevel="1" s="191">
      <c r="A403" t="n">
        <v>1</v>
      </c>
      <c r="B403" t="inlineStr">
        <is>
          <t>a</t>
        </is>
      </c>
      <c r="C403" t="n">
        <v>1</v>
      </c>
      <c r="D403" t="inlineStr">
        <is>
          <t>.z04_1_a_1</t>
        </is>
      </c>
      <c r="E403" t="inlineStr">
        <is>
          <t>Opracowanie logicznego i fizycznego modelu bazy danych, uwzględniającego wszystkie kluczowe ele-menty (np. tabele, relacje, indeksy i klucze)</t>
        </is>
      </c>
      <c r="F403" t="inlineStr">
        <is>
          <t>Imię03</t>
        </is>
      </c>
      <c r="G403" t="inlineStr">
        <is>
          <t>Nazwisko03</t>
        </is>
      </c>
      <c r="H403" t="n">
        <v>1</v>
      </c>
      <c r="I403" t="inlineStr">
        <is>
          <t>.a03</t>
        </is>
      </c>
      <c r="J403" t="n">
        <v>18</v>
      </c>
      <c r="K403" t="n">
        <v>46323</v>
      </c>
      <c r="L403" t="n">
        <v>46325</v>
      </c>
      <c r="M403" t="n">
        <v>19</v>
      </c>
      <c r="N403" t="n">
        <v>2</v>
      </c>
      <c r="O403" t="n">
        <v>160</v>
      </c>
      <c r="P403" t="n">
        <v>0</v>
      </c>
      <c r="Q403" t="n">
        <v>0</v>
      </c>
      <c r="R403" t="n">
        <v>0</v>
      </c>
      <c r="S403" t="n">
        <v>0</v>
      </c>
      <c r="T403" t="n">
        <v>0.2</v>
      </c>
      <c r="U403" t="n">
        <v>0.2</v>
      </c>
      <c r="V403" t="n">
        <v>0.2</v>
      </c>
      <c r="W403" t="n">
        <v>0.2</v>
      </c>
      <c r="X403" t="n">
        <v>0.2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32</v>
      </c>
      <c r="AL403" t="n">
        <v>32</v>
      </c>
      <c r="AM403" t="n">
        <v>32</v>
      </c>
      <c r="AN403" t="n">
        <v>32</v>
      </c>
      <c r="AO403" t="n">
        <v>32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160</v>
      </c>
      <c r="AY403" t="n">
        <v>1</v>
      </c>
      <c r="AZ403" t="n">
        <v>5003</v>
      </c>
      <c r="BA403" t="n">
        <v>5003</v>
      </c>
      <c r="BB403" t="n">
        <v>5003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160</v>
      </c>
      <c r="BK403" t="n">
        <v>160</v>
      </c>
      <c r="BL403" t="n">
        <v>0</v>
      </c>
    </row>
    <row r="404" hidden="1" outlineLevel="1" s="191">
      <c r="A404" t="n">
        <v>1</v>
      </c>
      <c r="B404" t="inlineStr">
        <is>
          <t>a</t>
        </is>
      </c>
      <c r="C404" t="n">
        <v>2</v>
      </c>
      <c r="D404" t="inlineStr">
        <is>
          <t>.z04_1_a_2</t>
        </is>
      </c>
      <c r="E404" t="inlineStr">
        <is>
          <t>Opracowanie architektury systemu, zapewniającą obsługę rosnącej ilości danych celem szybkiego i efektywnego ich przetwarzania</t>
        </is>
      </c>
      <c r="F404" t="inlineStr">
        <is>
          <t>Imię01</t>
        </is>
      </c>
      <c r="G404" t="inlineStr">
        <is>
          <t>Nazwisko01</t>
        </is>
      </c>
      <c r="H404" t="n">
        <v>1</v>
      </c>
      <c r="I404" t="inlineStr">
        <is>
          <t>.a01</t>
        </is>
      </c>
      <c r="J404" t="n">
        <v>20</v>
      </c>
      <c r="K404" t="n">
        <v>46337</v>
      </c>
      <c r="L404" t="n">
        <v>46337</v>
      </c>
      <c r="M404" t="n">
        <v>19</v>
      </c>
      <c r="N404" t="n">
        <v>0</v>
      </c>
      <c r="O404" t="n">
        <v>20</v>
      </c>
      <c r="P404" t="n">
        <v>0</v>
      </c>
      <c r="Q404" t="n">
        <v>0</v>
      </c>
      <c r="R404" t="n">
        <v>0</v>
      </c>
      <c r="S404" t="n">
        <v>0</v>
      </c>
      <c r="T404" t="n">
        <v>0.2</v>
      </c>
      <c r="U404" t="n">
        <v>0.2</v>
      </c>
      <c r="V404" t="n">
        <v>0.2</v>
      </c>
      <c r="W404" t="n">
        <v>0.2</v>
      </c>
      <c r="X404" t="n">
        <v>0.2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4</v>
      </c>
      <c r="AL404" t="n">
        <v>4</v>
      </c>
      <c r="AM404" t="n">
        <v>4</v>
      </c>
      <c r="AN404" t="n">
        <v>4</v>
      </c>
      <c r="AO404" t="n">
        <v>4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20</v>
      </c>
      <c r="AY404" t="n">
        <v>0.125</v>
      </c>
      <c r="AZ404" t="n">
        <v>5001</v>
      </c>
      <c r="BA404" t="n">
        <v>625.125</v>
      </c>
      <c r="BB404" t="n">
        <v>78.140625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20</v>
      </c>
      <c r="BK404" t="n">
        <v>20</v>
      </c>
      <c r="BL404" t="n">
        <v>0</v>
      </c>
    </row>
    <row r="405" hidden="1" outlineLevel="1" s="191">
      <c r="A405" t="n">
        <v>1</v>
      </c>
      <c r="B405" t="inlineStr">
        <is>
          <t>a</t>
        </is>
      </c>
      <c r="C405" t="n">
        <v>3</v>
      </c>
      <c r="D405" t="inlineStr">
        <is>
          <t>.z04_1_a_3</t>
        </is>
      </c>
      <c r="E405" t="inlineStr">
        <is>
          <t>Opracowanie mechanizmów do administrowania, eksploatacji i monitorowania bazy danych oraz współ-pracy z modułami planowanej platformy ICT</t>
        </is>
      </c>
      <c r="F405" t="inlineStr">
        <is>
          <t>Imię02</t>
        </is>
      </c>
      <c r="G405" t="inlineStr">
        <is>
          <t>Nazwisko02</t>
        </is>
      </c>
      <c r="H405" t="n">
        <v>1</v>
      </c>
      <c r="I405" t="inlineStr">
        <is>
          <t>.a02</t>
        </is>
      </c>
      <c r="J405" t="n">
        <v>20</v>
      </c>
      <c r="K405" t="n">
        <v>46337</v>
      </c>
      <c r="L405" t="n">
        <v>46337</v>
      </c>
      <c r="M405" t="n">
        <v>19</v>
      </c>
      <c r="N405" t="n">
        <v>0</v>
      </c>
      <c r="O405" t="n">
        <v>20</v>
      </c>
      <c r="P405" t="n">
        <v>0</v>
      </c>
      <c r="Q405" t="n">
        <v>0</v>
      </c>
      <c r="R405" t="n">
        <v>0</v>
      </c>
      <c r="S405" t="n">
        <v>0</v>
      </c>
      <c r="T405" t="n">
        <v>0.2</v>
      </c>
      <c r="U405" t="n">
        <v>0.2</v>
      </c>
      <c r="V405" t="n">
        <v>0.2</v>
      </c>
      <c r="W405" t="n">
        <v>0.2</v>
      </c>
      <c r="X405" t="n">
        <v>0.2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4</v>
      </c>
      <c r="AL405" t="n">
        <v>4</v>
      </c>
      <c r="AM405" t="n">
        <v>4</v>
      </c>
      <c r="AN405" t="n">
        <v>4</v>
      </c>
      <c r="AO405" t="n">
        <v>4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20</v>
      </c>
      <c r="AY405" t="n">
        <v>0.125</v>
      </c>
      <c r="AZ405" t="n">
        <v>5002</v>
      </c>
      <c r="BA405" t="n">
        <v>625.25</v>
      </c>
      <c r="BB405" t="n">
        <v>78.15625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20</v>
      </c>
      <c r="BK405" t="n">
        <v>20</v>
      </c>
      <c r="BL405" t="n">
        <v>0</v>
      </c>
    </row>
    <row r="406" hidden="1" outlineLevel="1" s="191">
      <c r="A406" t="n">
        <v>1</v>
      </c>
      <c r="B406" t="inlineStr">
        <is>
          <t>a</t>
        </is>
      </c>
      <c r="C406" t="n">
        <v>4</v>
      </c>
      <c r="D406" t="inlineStr">
        <is>
          <t>.z04_1_a_4</t>
        </is>
      </c>
      <c r="E406" t="inlineStr">
        <is>
          <t>Testowanie, walidacja i optymalizacja projektu struktury bazy danych</t>
        </is>
      </c>
      <c r="F406" t="n">
        <v>0</v>
      </c>
      <c r="G406" t="inlineStr">
        <is>
          <t>Nazwisko03</t>
        </is>
      </c>
      <c r="H406" t="n">
        <v>2</v>
      </c>
      <c r="I406" t="inlineStr">
        <is>
          <t>.a03</t>
        </is>
      </c>
      <c r="J406" t="n">
        <v>20</v>
      </c>
      <c r="K406" t="n">
        <v>46337</v>
      </c>
      <c r="L406" t="n">
        <v>46337</v>
      </c>
      <c r="M406" t="n">
        <v>19</v>
      </c>
      <c r="N406" t="n">
        <v>0</v>
      </c>
      <c r="O406" t="n">
        <v>20</v>
      </c>
      <c r="P406" t="n">
        <v>0</v>
      </c>
      <c r="Q406" t="n">
        <v>0</v>
      </c>
      <c r="R406" t="n">
        <v>0</v>
      </c>
      <c r="S406" t="n">
        <v>0</v>
      </c>
      <c r="T406" t="n">
        <v>0.2</v>
      </c>
      <c r="U406" t="n">
        <v>0.2</v>
      </c>
      <c r="V406" t="n">
        <v>0.2</v>
      </c>
      <c r="W406" t="n">
        <v>0.2</v>
      </c>
      <c r="X406" t="n">
        <v>0.2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4</v>
      </c>
      <c r="AL406" t="n">
        <v>4</v>
      </c>
      <c r="AM406" t="n">
        <v>4</v>
      </c>
      <c r="AN406" t="n">
        <v>4</v>
      </c>
      <c r="AO406" t="n">
        <v>4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20</v>
      </c>
      <c r="AY406" t="n">
        <v>0.125</v>
      </c>
      <c r="AZ406" t="n">
        <v>5003</v>
      </c>
      <c r="BA406" t="n">
        <v>625.375</v>
      </c>
      <c r="BB406" t="n">
        <v>78.171875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20</v>
      </c>
      <c r="BK406" t="n">
        <v>20</v>
      </c>
      <c r="BL406" t="n">
        <v>0</v>
      </c>
    </row>
    <row r="407" hidden="1" outlineLevel="1" s="191">
      <c r="A407" t="n">
        <v>1</v>
      </c>
      <c r="B407" t="inlineStr">
        <is>
          <t>b</t>
        </is>
      </c>
      <c r="C407" t="n">
        <v>0</v>
      </c>
      <c r="D407" t="inlineStr">
        <is>
          <t>.z04_1_b_0</t>
        </is>
      </c>
      <c r="E407" t="inlineStr">
        <is>
          <t>Zbieranie i przygotowanie danych w celu uzyskania pełnego obrazu operacji w magazynie i umożliwienia kompleksowych analiz</t>
        </is>
      </c>
      <c r="F407" t="inlineStr">
        <is>
          <t>XXX</t>
        </is>
      </c>
      <c r="G407" t="n">
        <v>0</v>
      </c>
      <c r="H407" t="n">
        <v>0</v>
      </c>
      <c r="I407" t="n">
        <v>0</v>
      </c>
      <c r="J407" t="n">
        <v>20</v>
      </c>
      <c r="K407" t="n">
        <v>46337</v>
      </c>
      <c r="L407" t="n">
        <v>46337</v>
      </c>
      <c r="M407" t="n">
        <v>19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e">
        <v>#N/A</v>
      </c>
      <c r="BA407" t="e">
        <v>#N/A</v>
      </c>
      <c r="BB407" t="e">
        <v>#N/A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</row>
    <row r="408" hidden="1" outlineLevel="1" s="191">
      <c r="A408" t="n">
        <v>1</v>
      </c>
      <c r="B408" t="inlineStr">
        <is>
          <t>b</t>
        </is>
      </c>
      <c r="C408" t="n">
        <v>1</v>
      </c>
      <c r="D408" t="inlineStr">
        <is>
          <t>.z04_1_b_1</t>
        </is>
      </c>
      <c r="E408" t="inlineStr">
        <is>
          <t>Stworzenie procedur zbierania, analizy i przetwarzania danych</t>
        </is>
      </c>
      <c r="F408" t="inlineStr">
        <is>
          <t>Imię03</t>
        </is>
      </c>
      <c r="G408" t="inlineStr">
        <is>
          <t>Nazwisko03</t>
        </is>
      </c>
      <c r="H408" t="n">
        <v>2</v>
      </c>
      <c r="I408" t="inlineStr">
        <is>
          <t>.a03</t>
        </is>
      </c>
      <c r="J408" t="n">
        <v>20</v>
      </c>
      <c r="K408" t="n">
        <v>46337</v>
      </c>
      <c r="L408" t="n">
        <v>46337</v>
      </c>
      <c r="M408" t="n">
        <v>19</v>
      </c>
      <c r="N408" t="n">
        <v>0</v>
      </c>
      <c r="O408" t="n">
        <v>40</v>
      </c>
      <c r="P408" t="n">
        <v>0</v>
      </c>
      <c r="Q408" t="n">
        <v>0</v>
      </c>
      <c r="R408" t="n">
        <v>0</v>
      </c>
      <c r="S408" t="n">
        <v>0</v>
      </c>
      <c r="T408" t="n">
        <v>0.2</v>
      </c>
      <c r="U408" t="n">
        <v>0.2</v>
      </c>
      <c r="V408" t="n">
        <v>0.2</v>
      </c>
      <c r="W408" t="n">
        <v>0.2</v>
      </c>
      <c r="X408" t="n">
        <v>0.2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8</v>
      </c>
      <c r="AL408" t="n">
        <v>8</v>
      </c>
      <c r="AM408" t="n">
        <v>8</v>
      </c>
      <c r="AN408" t="n">
        <v>8</v>
      </c>
      <c r="AO408" t="n">
        <v>8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40</v>
      </c>
      <c r="AY408" t="n">
        <v>0.25</v>
      </c>
      <c r="AZ408" t="n">
        <v>5003</v>
      </c>
      <c r="BA408" t="n">
        <v>1250.75</v>
      </c>
      <c r="BB408" t="n">
        <v>312.6875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40</v>
      </c>
      <c r="BK408" t="n">
        <v>40</v>
      </c>
      <c r="BL408" t="n">
        <v>0</v>
      </c>
    </row>
    <row r="409" hidden="1" outlineLevel="1" s="191">
      <c r="A409" t="n">
        <v>1</v>
      </c>
      <c r="B409" t="inlineStr">
        <is>
          <t>b</t>
        </is>
      </c>
      <c r="C409" t="n">
        <v>2</v>
      </c>
      <c r="D409" t="inlineStr">
        <is>
          <t>.z04_1_b_2</t>
        </is>
      </c>
      <c r="E409" t="inlineStr">
        <is>
          <t>Pozyskanie danych z różnych źródeł, np. systemy WMS, ERP, SSI</t>
        </is>
      </c>
      <c r="F409" t="inlineStr">
        <is>
          <t>Imię01</t>
        </is>
      </c>
      <c r="G409" t="inlineStr">
        <is>
          <t>Nazwisko01</t>
        </is>
      </c>
      <c r="H409" t="n">
        <v>2</v>
      </c>
      <c r="I409" t="inlineStr">
        <is>
          <t>.a01</t>
        </is>
      </c>
      <c r="J409" t="n">
        <v>20</v>
      </c>
      <c r="K409" t="n">
        <v>46337</v>
      </c>
      <c r="L409" t="n">
        <v>46338</v>
      </c>
      <c r="M409" t="n">
        <v>20</v>
      </c>
      <c r="N409" t="n">
        <v>1</v>
      </c>
      <c r="O409" t="n">
        <v>80</v>
      </c>
      <c r="P409" t="n">
        <v>0</v>
      </c>
      <c r="Q409" t="n">
        <v>0</v>
      </c>
      <c r="R409" t="n">
        <v>0</v>
      </c>
      <c r="S409" t="n">
        <v>0</v>
      </c>
      <c r="T409" t="n">
        <v>0.2</v>
      </c>
      <c r="U409" t="n">
        <v>0.2</v>
      </c>
      <c r="V409" t="n">
        <v>0.2</v>
      </c>
      <c r="W409" t="n">
        <v>0.2</v>
      </c>
      <c r="X409" t="n">
        <v>0.2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16</v>
      </c>
      <c r="AL409" t="n">
        <v>16</v>
      </c>
      <c r="AM409" t="n">
        <v>16</v>
      </c>
      <c r="AN409" t="n">
        <v>16</v>
      </c>
      <c r="AO409" t="n">
        <v>16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80</v>
      </c>
      <c r="AY409" t="n">
        <v>0.5</v>
      </c>
      <c r="AZ409" t="n">
        <v>5001</v>
      </c>
      <c r="BA409" t="n">
        <v>2500.5</v>
      </c>
      <c r="BB409" t="n">
        <v>1250.25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80</v>
      </c>
      <c r="BK409" t="n">
        <v>80</v>
      </c>
      <c r="BL409" t="n">
        <v>0</v>
      </c>
    </row>
    <row r="410" hidden="1" outlineLevel="1" s="191">
      <c r="A410" t="n">
        <v>1</v>
      </c>
      <c r="B410" t="inlineStr">
        <is>
          <t>b</t>
        </is>
      </c>
      <c r="C410" t="n">
        <v>3</v>
      </c>
      <c r="D410" t="inlineStr">
        <is>
          <t>.z04_1_b_3</t>
        </is>
      </c>
      <c r="E410" t="inlineStr">
        <is>
          <t xml:space="preserve"> Identyfikacja aktualnie przypisywanych atrybutów do rekordów/obiektów w WMS/ERP</t>
        </is>
      </c>
      <c r="F410" t="inlineStr">
        <is>
          <t>Imię03</t>
        </is>
      </c>
      <c r="G410" t="inlineStr">
        <is>
          <t>Nazwisko03</t>
        </is>
      </c>
      <c r="H410" t="n">
        <v>2</v>
      </c>
      <c r="I410" t="inlineStr">
        <is>
          <t>.a03</t>
        </is>
      </c>
      <c r="J410" t="n">
        <v>21</v>
      </c>
      <c r="K410" t="n">
        <v>46344</v>
      </c>
      <c r="L410" t="n">
        <v>46345</v>
      </c>
      <c r="M410" t="n">
        <v>21</v>
      </c>
      <c r="N410" t="n">
        <v>1</v>
      </c>
      <c r="O410" t="n">
        <v>60</v>
      </c>
      <c r="P410" t="n">
        <v>0</v>
      </c>
      <c r="Q410" t="n">
        <v>0</v>
      </c>
      <c r="R410" t="n">
        <v>0</v>
      </c>
      <c r="S410" t="n">
        <v>0</v>
      </c>
      <c r="T410" t="n">
        <v>0.2</v>
      </c>
      <c r="U410" t="n">
        <v>0.2</v>
      </c>
      <c r="V410" t="n">
        <v>0.2</v>
      </c>
      <c r="W410" t="n">
        <v>0.2</v>
      </c>
      <c r="X410" t="n">
        <v>0.2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12</v>
      </c>
      <c r="AL410" t="n">
        <v>12</v>
      </c>
      <c r="AM410" t="n">
        <v>12</v>
      </c>
      <c r="AN410" t="n">
        <v>12</v>
      </c>
      <c r="AO410" t="n">
        <v>12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60</v>
      </c>
      <c r="AY410" t="n">
        <v>0.375</v>
      </c>
      <c r="AZ410" t="n">
        <v>5003</v>
      </c>
      <c r="BA410" t="n">
        <v>1876.125</v>
      </c>
      <c r="BB410" t="n">
        <v>703.546875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60</v>
      </c>
      <c r="BK410" t="n">
        <v>60</v>
      </c>
      <c r="BL410" t="n">
        <v>0</v>
      </c>
    </row>
    <row r="411" hidden="1" outlineLevel="1" s="191">
      <c r="A411" t="n">
        <v>1</v>
      </c>
      <c r="B411" t="inlineStr">
        <is>
          <t>b</t>
        </is>
      </c>
      <c r="C411" t="n">
        <v>4</v>
      </c>
      <c r="D411" t="inlineStr">
        <is>
          <t>.z04_1_b_4</t>
        </is>
      </c>
      <c r="E411" t="inlineStr">
        <is>
          <t>Opracowanie założeń modeli, schematów, organizacji i prezentacji danych wejściowych</t>
        </is>
      </c>
      <c r="F411" t="inlineStr">
        <is>
          <t>Imię04</t>
        </is>
      </c>
      <c r="G411" t="inlineStr">
        <is>
          <t>Nazwisko04</t>
        </is>
      </c>
      <c r="H411" t="n">
        <v>3</v>
      </c>
      <c r="I411" t="inlineStr">
        <is>
          <t>.a04</t>
        </is>
      </c>
      <c r="J411" t="n">
        <v>22</v>
      </c>
      <c r="K411" t="n">
        <v>46351</v>
      </c>
      <c r="L411" t="n">
        <v>46352</v>
      </c>
      <c r="M411" t="n">
        <v>22</v>
      </c>
      <c r="N411" t="n">
        <v>1</v>
      </c>
      <c r="O411" t="n">
        <v>80</v>
      </c>
      <c r="P411" t="n">
        <v>0</v>
      </c>
      <c r="Q411" t="n">
        <v>0</v>
      </c>
      <c r="R411" t="n">
        <v>0</v>
      </c>
      <c r="S411" t="n">
        <v>0</v>
      </c>
      <c r="T411" t="n">
        <v>0.2</v>
      </c>
      <c r="U411" t="n">
        <v>0.2</v>
      </c>
      <c r="V411" t="n">
        <v>0.2</v>
      </c>
      <c r="W411" t="n">
        <v>0.2</v>
      </c>
      <c r="X411" t="n">
        <v>0.2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16</v>
      </c>
      <c r="AL411" t="n">
        <v>16</v>
      </c>
      <c r="AM411" t="n">
        <v>16</v>
      </c>
      <c r="AN411" t="n">
        <v>16</v>
      </c>
      <c r="AO411" t="n">
        <v>16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80</v>
      </c>
      <c r="AY411" t="n">
        <v>0.5</v>
      </c>
      <c r="AZ411" t="n">
        <v>5004</v>
      </c>
      <c r="BA411" t="n">
        <v>2502</v>
      </c>
      <c r="BB411" t="n">
        <v>1251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80</v>
      </c>
      <c r="BK411" t="n">
        <v>80</v>
      </c>
      <c r="BL411" t="n">
        <v>0</v>
      </c>
    </row>
    <row r="412" hidden="1" outlineLevel="1" s="191">
      <c r="A412" t="n">
        <v>1</v>
      </c>
      <c r="B412" t="inlineStr">
        <is>
          <t>c</t>
        </is>
      </c>
      <c r="C412" t="n">
        <v>1</v>
      </c>
      <c r="D412" t="inlineStr">
        <is>
          <t>.z04_1_c_1</t>
        </is>
      </c>
      <c r="E412" t="inlineStr">
        <is>
          <t>Zgromadzenie danych historycznych (ostatnie 3 lata), dot. procesów omawianych w ramach niniejszego pro-jektu</t>
        </is>
      </c>
      <c r="F412" t="inlineStr">
        <is>
          <t>Imię02</t>
        </is>
      </c>
      <c r="G412" t="inlineStr">
        <is>
          <t>Nazwisko02</t>
        </is>
      </c>
      <c r="H412" t="n">
        <v>4</v>
      </c>
      <c r="I412" t="inlineStr">
        <is>
          <t>.a02</t>
        </is>
      </c>
      <c r="J412" t="n">
        <v>23</v>
      </c>
      <c r="K412" t="n">
        <v>46358</v>
      </c>
      <c r="L412" t="n">
        <v>46358</v>
      </c>
      <c r="M412" t="n">
        <v>22</v>
      </c>
      <c r="N412" t="n">
        <v>0</v>
      </c>
      <c r="O412" t="n">
        <v>40</v>
      </c>
      <c r="P412" t="n">
        <v>0</v>
      </c>
      <c r="Q412" t="n">
        <v>0</v>
      </c>
      <c r="R412" t="n">
        <v>0</v>
      </c>
      <c r="S412" t="n">
        <v>0</v>
      </c>
      <c r="T412" t="n">
        <v>0.2</v>
      </c>
      <c r="U412" t="n">
        <v>0.2</v>
      </c>
      <c r="V412" t="n">
        <v>0.2</v>
      </c>
      <c r="W412" t="n">
        <v>0.2</v>
      </c>
      <c r="X412" t="n">
        <v>0.2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8</v>
      </c>
      <c r="AL412" t="n">
        <v>8</v>
      </c>
      <c r="AM412" t="n">
        <v>8</v>
      </c>
      <c r="AN412" t="n">
        <v>8</v>
      </c>
      <c r="AO412" t="n">
        <v>8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40</v>
      </c>
      <c r="AY412" t="n">
        <v>0.25</v>
      </c>
      <c r="AZ412" t="n">
        <v>5002</v>
      </c>
      <c r="BA412" t="n">
        <v>1250.5</v>
      </c>
      <c r="BB412" t="n">
        <v>312.625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40</v>
      </c>
      <c r="BK412" t="n">
        <v>40</v>
      </c>
      <c r="BL412" t="n">
        <v>0</v>
      </c>
    </row>
    <row r="413" hidden="1" outlineLevel="1" s="191">
      <c r="A413" t="n">
        <v>1</v>
      </c>
      <c r="B413" t="inlineStr">
        <is>
          <t>d</t>
        </is>
      </c>
      <c r="C413" t="n">
        <v>1</v>
      </c>
      <c r="D413" t="inlineStr">
        <is>
          <t>.z04_1_d_1</t>
        </is>
      </c>
      <c r="E413" t="inlineStr">
        <is>
          <t>Oczyszczanie, normalizacja, konwersja i standaryzacja danych (procedury ETL), w tym usuwanie duplikatów i korekcji błędów, do jednolitego formatu na potrzeby dokładności analiz i predykcji, spójności i możliwość ła-twego przetwarzania,</t>
        </is>
      </c>
      <c r="F413" t="n">
        <v>0</v>
      </c>
      <c r="G413" t="n">
        <v>0</v>
      </c>
      <c r="H413" t="n">
        <v>0</v>
      </c>
      <c r="I413" t="n">
        <v>0</v>
      </c>
      <c r="J413" t="n">
        <v>23</v>
      </c>
      <c r="K413" t="n">
        <v>46358</v>
      </c>
      <c r="L413" t="n">
        <v>46359</v>
      </c>
      <c r="M413" t="n">
        <v>23</v>
      </c>
      <c r="N413" t="n">
        <v>1</v>
      </c>
      <c r="O413" t="n">
        <v>80</v>
      </c>
      <c r="P413" t="n">
        <v>0</v>
      </c>
      <c r="Q413" t="n">
        <v>0</v>
      </c>
      <c r="R413" t="n">
        <v>0</v>
      </c>
      <c r="S413" t="n">
        <v>0</v>
      </c>
      <c r="T413" t="n">
        <v>0.2</v>
      </c>
      <c r="U413" t="n">
        <v>0.2</v>
      </c>
      <c r="V413" t="n">
        <v>0.2</v>
      </c>
      <c r="W413" t="n">
        <v>0.2</v>
      </c>
      <c r="X413" t="n">
        <v>0.2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16</v>
      </c>
      <c r="AL413" t="n">
        <v>16</v>
      </c>
      <c r="AM413" t="n">
        <v>16</v>
      </c>
      <c r="AN413" t="n">
        <v>16</v>
      </c>
      <c r="AO413" t="n">
        <v>16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80</v>
      </c>
      <c r="BK413" t="n">
        <v>80</v>
      </c>
      <c r="BL413" t="n">
        <v>0</v>
      </c>
    </row>
    <row r="414" hidden="1" outlineLevel="1" s="191">
      <c r="A414" t="n">
        <v>2</v>
      </c>
      <c r="B414" t="inlineStr">
        <is>
          <t>a</t>
        </is>
      </c>
      <c r="C414" t="n">
        <v>0</v>
      </c>
      <c r="D414" t="inlineStr">
        <is>
          <t>.z04_2_a_0</t>
        </is>
      </c>
      <c r="E414" t="inlineStr">
        <is>
          <t>2.Implementacja BDCB w infrastrukturze Wnioskodawcy w oparciu o wybrane platformy bazodanowe, np. Orac-le, MSSQL, MySQL</t>
        </is>
      </c>
      <c r="F414" t="inlineStr">
        <is>
          <t>Imię01</t>
        </is>
      </c>
      <c r="G414" t="inlineStr">
        <is>
          <t>Nazwisko01</t>
        </is>
      </c>
      <c r="H414" t="n">
        <v>5</v>
      </c>
      <c r="I414" t="inlineStr">
        <is>
          <t>.a01</t>
        </is>
      </c>
      <c r="J414" t="n">
        <v>24</v>
      </c>
      <c r="K414" t="n">
        <v>46365</v>
      </c>
      <c r="L414" t="n">
        <v>46365</v>
      </c>
      <c r="M414" t="n">
        <v>23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5001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</row>
    <row r="415" hidden="1" outlineLevel="1" s="191">
      <c r="A415" t="n">
        <v>2</v>
      </c>
      <c r="B415" t="inlineStr">
        <is>
          <t>a</t>
        </is>
      </c>
      <c r="C415" t="n">
        <v>1</v>
      </c>
      <c r="D415" t="inlineStr">
        <is>
          <t>.z04_2_a_1</t>
        </is>
      </c>
      <c r="E415" t="inlineStr">
        <is>
          <t>Testowanie i walidacja platform bazodanowych (testy funkcjonalne i wydajnościowe, w tym obciążeniowe i regresyjne) jest kluczowe dla zapewnienia, że baza danych działa zgodnie z wymaganiami i jest gotowa do użycia</t>
        </is>
      </c>
      <c r="F415" t="inlineStr">
        <is>
          <t>Imię03</t>
        </is>
      </c>
      <c r="G415" t="inlineStr">
        <is>
          <t>Nazwisko03</t>
        </is>
      </c>
      <c r="H415" t="n">
        <v>5</v>
      </c>
      <c r="I415" t="inlineStr">
        <is>
          <t>.a03</t>
        </is>
      </c>
      <c r="J415" t="n">
        <v>24</v>
      </c>
      <c r="K415" t="n">
        <v>46365</v>
      </c>
      <c r="L415" t="n">
        <v>46366</v>
      </c>
      <c r="M415" t="n">
        <v>24</v>
      </c>
      <c r="N415" t="n">
        <v>1</v>
      </c>
      <c r="O415" t="n">
        <v>80</v>
      </c>
      <c r="P415" t="n">
        <v>0</v>
      </c>
      <c r="Q415" t="n">
        <v>0</v>
      </c>
      <c r="R415" t="n">
        <v>0</v>
      </c>
      <c r="S415" t="n">
        <v>0</v>
      </c>
      <c r="T415" t="n">
        <v>0.2</v>
      </c>
      <c r="U415" t="n">
        <v>0.2</v>
      </c>
      <c r="V415" t="n">
        <v>0.2</v>
      </c>
      <c r="W415" t="n">
        <v>0.2</v>
      </c>
      <c r="X415" t="n">
        <v>0.2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16</v>
      </c>
      <c r="AL415" t="n">
        <v>16</v>
      </c>
      <c r="AM415" t="n">
        <v>16</v>
      </c>
      <c r="AN415" t="n">
        <v>16</v>
      </c>
      <c r="AO415" t="n">
        <v>16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80</v>
      </c>
      <c r="AY415" t="n">
        <v>0.5</v>
      </c>
      <c r="AZ415" t="n">
        <v>5003</v>
      </c>
      <c r="BA415" t="n">
        <v>2501.5</v>
      </c>
      <c r="BB415" t="n">
        <v>1250.75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80</v>
      </c>
      <c r="BK415" t="n">
        <v>80</v>
      </c>
      <c r="BL415" t="n">
        <v>0</v>
      </c>
    </row>
    <row r="416" hidden="1" outlineLevel="1" s="191">
      <c r="A416" t="n">
        <v>2</v>
      </c>
      <c r="B416" t="inlineStr">
        <is>
          <t>b</t>
        </is>
      </c>
      <c r="C416" t="n">
        <v>2</v>
      </c>
      <c r="D416" t="inlineStr">
        <is>
          <t>.z04_2_b_2</t>
        </is>
      </c>
      <c r="E416" t="inlineStr">
        <is>
          <t>Wybór platformy bazodanowej na podstawie testów wydajnościowych BDCB</t>
        </is>
      </c>
      <c r="F416" t="inlineStr">
        <is>
          <t>Imię04</t>
        </is>
      </c>
      <c r="G416" t="inlineStr">
        <is>
          <t>Nazwisko04</t>
        </is>
      </c>
      <c r="H416" t="n">
        <v>5</v>
      </c>
      <c r="I416" t="inlineStr">
        <is>
          <t>.a04</t>
        </is>
      </c>
      <c r="J416" t="n">
        <v>25</v>
      </c>
      <c r="K416" t="n">
        <v>46372</v>
      </c>
      <c r="L416" t="n">
        <v>46372</v>
      </c>
      <c r="M416" t="n">
        <v>24</v>
      </c>
      <c r="N416" t="n">
        <v>0</v>
      </c>
      <c r="O416" t="n">
        <v>8</v>
      </c>
      <c r="P416" t="n">
        <v>0</v>
      </c>
      <c r="Q416" t="n">
        <v>0</v>
      </c>
      <c r="R416" t="n">
        <v>0</v>
      </c>
      <c r="S416" t="n">
        <v>0</v>
      </c>
      <c r="T416" t="n">
        <v>0.2</v>
      </c>
      <c r="U416" t="n">
        <v>0.2</v>
      </c>
      <c r="V416" t="n">
        <v>0.2</v>
      </c>
      <c r="W416" t="n">
        <v>0.2</v>
      </c>
      <c r="X416" t="n">
        <v>0.2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2</v>
      </c>
      <c r="AL416" t="n">
        <v>2</v>
      </c>
      <c r="AM416" t="n">
        <v>2</v>
      </c>
      <c r="AN416" t="n">
        <v>2</v>
      </c>
      <c r="AO416" t="n">
        <v>2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10</v>
      </c>
      <c r="AY416" t="n">
        <v>0.0625</v>
      </c>
      <c r="AZ416" t="n">
        <v>5004</v>
      </c>
      <c r="BA416" t="n">
        <v>312.75</v>
      </c>
      <c r="BB416" t="n">
        <v>19.546875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8</v>
      </c>
      <c r="BK416" t="n">
        <v>10</v>
      </c>
      <c r="BL416" t="n">
        <v>-2</v>
      </c>
    </row>
    <row r="417" hidden="1" outlineLevel="1" s="191">
      <c r="A417" t="n">
        <v>2</v>
      </c>
      <c r="B417" t="inlineStr">
        <is>
          <t>c</t>
        </is>
      </c>
      <c r="C417" t="n">
        <v>3</v>
      </c>
      <c r="D417" t="inlineStr">
        <is>
          <t>.z04_2_c_3</t>
        </is>
      </c>
      <c r="E417" t="inlineStr">
        <is>
          <t>Wybór odpowiedniej platformy technologicznej zapewniającej skalowalność, bezpieczeństwo i wydajność analiz AI/ML</t>
        </is>
      </c>
      <c r="F417" t="inlineStr">
        <is>
          <t>Imię02</t>
        </is>
      </c>
      <c r="G417" t="inlineStr">
        <is>
          <t>Nazwisko02</t>
        </is>
      </c>
      <c r="H417" t="n">
        <v>6</v>
      </c>
      <c r="I417" t="inlineStr">
        <is>
          <t>.a02</t>
        </is>
      </c>
      <c r="J417" t="n">
        <v>25</v>
      </c>
      <c r="K417" t="n">
        <v>46372</v>
      </c>
      <c r="L417" t="n">
        <v>46372</v>
      </c>
      <c r="M417" t="n">
        <v>24</v>
      </c>
      <c r="N417" t="n">
        <v>0</v>
      </c>
      <c r="O417" t="n">
        <v>8</v>
      </c>
      <c r="P417" t="n">
        <v>0</v>
      </c>
      <c r="Q417" t="n">
        <v>0</v>
      </c>
      <c r="R417" t="n">
        <v>0</v>
      </c>
      <c r="S417" t="n">
        <v>0</v>
      </c>
      <c r="T417" t="n">
        <v>0.2</v>
      </c>
      <c r="U417" t="n">
        <v>0.2</v>
      </c>
      <c r="V417" t="n">
        <v>0.2</v>
      </c>
      <c r="W417" t="n">
        <v>0.2</v>
      </c>
      <c r="X417" t="n">
        <v>0.2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2</v>
      </c>
      <c r="AL417" t="n">
        <v>2</v>
      </c>
      <c r="AM417" t="n">
        <v>2</v>
      </c>
      <c r="AN417" t="n">
        <v>2</v>
      </c>
      <c r="AO417" t="n">
        <v>2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10</v>
      </c>
      <c r="AY417" t="n">
        <v>0.0625</v>
      </c>
      <c r="AZ417" t="n">
        <v>5002</v>
      </c>
      <c r="BA417" t="n">
        <v>312.625</v>
      </c>
      <c r="BB417" t="n">
        <v>19.5390625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8</v>
      </c>
      <c r="BK417" t="n">
        <v>10</v>
      </c>
      <c r="BL417" t="n">
        <v>-2</v>
      </c>
    </row>
    <row r="418" hidden="1" outlineLevel="1" s="191">
      <c r="A418" t="n">
        <v>2</v>
      </c>
      <c r="B418" t="inlineStr">
        <is>
          <t>d</t>
        </is>
      </c>
      <c r="C418" t="n">
        <v>4</v>
      </c>
      <c r="D418" t="inlineStr">
        <is>
          <t>.z04_2_d_4</t>
        </is>
      </c>
      <c r="E418" t="inlineStr">
        <is>
          <t>Fizyczna implementacja BDCB na platformach technologicznych (np. Google Cloud, Microsoft Azure, NVidia AI)</t>
        </is>
      </c>
      <c r="F418" t="inlineStr">
        <is>
          <t>ENDAWA_01</t>
        </is>
      </c>
      <c r="G418" t="n">
        <v>0</v>
      </c>
      <c r="H418" t="n">
        <v>7</v>
      </c>
      <c r="I418" t="inlineStr">
        <is>
          <t>.e01</t>
        </is>
      </c>
      <c r="J418" t="n">
        <v>25</v>
      </c>
      <c r="K418" t="n">
        <v>46372</v>
      </c>
      <c r="L418" t="n">
        <v>46373</v>
      </c>
      <c r="M418" t="n">
        <v>25</v>
      </c>
      <c r="N418" t="n">
        <v>1</v>
      </c>
      <c r="O418" t="n">
        <v>100</v>
      </c>
      <c r="P418" t="n">
        <v>0</v>
      </c>
      <c r="Q418" t="n">
        <v>0</v>
      </c>
      <c r="R418" t="n">
        <v>0</v>
      </c>
      <c r="S418" t="n">
        <v>0</v>
      </c>
      <c r="T418" t="n">
        <v>0.2</v>
      </c>
      <c r="U418" t="n">
        <v>0.2</v>
      </c>
      <c r="V418" t="n">
        <v>0.2</v>
      </c>
      <c r="W418" t="n">
        <v>0.2</v>
      </c>
      <c r="X418" t="n">
        <v>0.2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20</v>
      </c>
      <c r="AL418" t="n">
        <v>20</v>
      </c>
      <c r="AM418" t="n">
        <v>20</v>
      </c>
      <c r="AN418" t="n">
        <v>20</v>
      </c>
      <c r="AO418" t="n">
        <v>20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100</v>
      </c>
      <c r="AY418" t="n">
        <v>0.625</v>
      </c>
      <c r="AZ418" t="e">
        <v>#N/A</v>
      </c>
      <c r="BA418" t="e">
        <v>#N/A</v>
      </c>
      <c r="BB418" t="e">
        <v>#N/A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100</v>
      </c>
      <c r="BK418" t="n">
        <v>100</v>
      </c>
      <c r="BL418" t="n">
        <v>0</v>
      </c>
    </row>
    <row r="419" hidden="1" outlineLevel="1" s="191">
      <c r="A419" t="n">
        <v>2</v>
      </c>
      <c r="B419" t="inlineStr">
        <is>
          <t>e</t>
        </is>
      </c>
      <c r="C419" t="n">
        <v>5</v>
      </c>
      <c r="D419" t="inlineStr">
        <is>
          <t>.z04_2_e_5</t>
        </is>
      </c>
      <c r="E419" t="inlineStr">
        <is>
          <t>Utworzenie mechanizmu do transferu danych między infrastrukturą Wnioskodawcy a platformami technologicznymi (np. Google Cloud, Microsoft Azure, NVidia AI)</t>
        </is>
      </c>
      <c r="F419" t="inlineStr">
        <is>
          <t>Imię01</t>
        </is>
      </c>
      <c r="G419" t="inlineStr">
        <is>
          <t>Nazwisko01</t>
        </is>
      </c>
      <c r="H419" t="n">
        <v>8</v>
      </c>
      <c r="I419" t="inlineStr">
        <is>
          <t>.a01</t>
        </is>
      </c>
      <c r="J419" t="n">
        <v>26</v>
      </c>
      <c r="K419" t="n">
        <v>46379</v>
      </c>
      <c r="L419" t="n">
        <v>46380</v>
      </c>
      <c r="M419" t="n">
        <v>26</v>
      </c>
      <c r="N419" t="n">
        <v>1</v>
      </c>
      <c r="O419" t="n">
        <v>200</v>
      </c>
      <c r="P419" t="n">
        <v>0</v>
      </c>
      <c r="Q419" t="n">
        <v>0</v>
      </c>
      <c r="R419" t="n">
        <v>0</v>
      </c>
      <c r="S419" t="n">
        <v>0</v>
      </c>
      <c r="T419" t="n">
        <v>0.12</v>
      </c>
      <c r="U419" t="n">
        <v>0.12</v>
      </c>
      <c r="V419" t="n">
        <v>0.12</v>
      </c>
      <c r="W419" t="n">
        <v>0.12</v>
      </c>
      <c r="X419" t="n">
        <v>0.12</v>
      </c>
      <c r="Y419" t="n">
        <v>0.4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24</v>
      </c>
      <c r="AL419" t="n">
        <v>24</v>
      </c>
      <c r="AM419" t="n">
        <v>24</v>
      </c>
      <c r="AN419" t="n">
        <v>24</v>
      </c>
      <c r="AO419" t="n">
        <v>24</v>
      </c>
      <c r="AP419" t="n">
        <v>80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120</v>
      </c>
      <c r="AY419" t="n">
        <v>0.75</v>
      </c>
      <c r="AZ419" t="n">
        <v>5001</v>
      </c>
      <c r="BA419" t="n">
        <v>3750.75</v>
      </c>
      <c r="BB419" t="n">
        <v>2813.0625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200</v>
      </c>
      <c r="BK419" t="n">
        <v>200</v>
      </c>
      <c r="BL419" t="n">
        <v>0</v>
      </c>
    </row>
    <row r="420" hidden="1" outlineLevel="1" s="191">
      <c r="A420" t="n">
        <v>3</v>
      </c>
      <c r="B420" t="inlineStr">
        <is>
          <t>a</t>
        </is>
      </c>
      <c r="C420" t="n">
        <v>1</v>
      </c>
      <c r="D420" t="inlineStr">
        <is>
          <t>.z04_3_a_1</t>
        </is>
      </c>
      <c r="E420" t="inlineStr">
        <is>
          <t>Opracowanie narzędzi do automatycznego monitorowania, wykrywających anomalie i nieprawidłowości w danych w czasie rzeczywistym, współpracujących z wybraną platformą bazodanową, przeprowadzających au-tomatyczne sprawdzanie kompletności rekordów. Flagowane będą rekordy z brakującymi danymi natychmiast po ich wprowadzeniu/aktualizacji i wysyłane powiadomienia do administratorów, gdy liczba tych rekordów przekro-czy próg 10 rekordów. Będą śledzić czas ostatniej aktualizacji każdego rekordu, flagując te, które nie były aktua-lizowane zgodnie z ustalonym harmonogramem (co 24h i generować odpowiednie alerty.</t>
        </is>
      </c>
      <c r="F420" t="n">
        <v>0</v>
      </c>
      <c r="G420" t="n">
        <v>0</v>
      </c>
      <c r="H420" t="n">
        <v>0</v>
      </c>
      <c r="I420" t="n">
        <v>0</v>
      </c>
      <c r="J420" t="n">
        <v>27</v>
      </c>
      <c r="K420" t="n">
        <v>46386</v>
      </c>
      <c r="L420" t="n">
        <v>46386</v>
      </c>
      <c r="M420" t="n">
        <v>26</v>
      </c>
      <c r="N420" t="n">
        <v>0</v>
      </c>
      <c r="O420" t="n">
        <v>30</v>
      </c>
      <c r="P420" t="n">
        <v>0</v>
      </c>
      <c r="Q420" t="n">
        <v>0</v>
      </c>
      <c r="R420" t="n">
        <v>0</v>
      </c>
      <c r="S420" t="n">
        <v>0</v>
      </c>
      <c r="T420" t="n">
        <v>0.2</v>
      </c>
      <c r="U420" t="n">
        <v>0.2</v>
      </c>
      <c r="V420" t="n">
        <v>0.2</v>
      </c>
      <c r="W420" t="n">
        <v>0.2</v>
      </c>
      <c r="X420" t="n">
        <v>0.2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6</v>
      </c>
      <c r="AL420" t="n">
        <v>6</v>
      </c>
      <c r="AM420" t="n">
        <v>6</v>
      </c>
      <c r="AN420" t="n">
        <v>6</v>
      </c>
      <c r="AO420" t="n">
        <v>6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30</v>
      </c>
      <c r="AY420" t="n">
        <v>0.1875</v>
      </c>
      <c r="AZ420" t="e">
        <v>#N/A</v>
      </c>
      <c r="BA420" t="e">
        <v>#N/A</v>
      </c>
      <c r="BB420" t="e">
        <v>#N/A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30</v>
      </c>
      <c r="BK420" t="n">
        <v>30</v>
      </c>
      <c r="BL420" t="n">
        <v>0</v>
      </c>
    </row>
    <row r="421" hidden="1" outlineLevel="1" s="191">
      <c r="A421" t="n">
        <v>4</v>
      </c>
      <c r="B421" t="inlineStr">
        <is>
          <t>a</t>
        </is>
      </c>
      <c r="C421" t="n">
        <v>0</v>
      </c>
      <c r="D421" t="inlineStr">
        <is>
          <t>.z04_4_a_0</t>
        </is>
      </c>
      <c r="E421" t="inlineStr">
        <is>
          <t>4.Połączenie BDCB z wybranym systemem AI/ML, co pozwoli na zbadanie potencjału zaawansowanych me-tod analitycznych AI/ML w celu zwiększenia wydajności procesów magazynowych.</t>
        </is>
      </c>
      <c r="F421" t="inlineStr">
        <is>
          <t>Imię04</t>
        </is>
      </c>
      <c r="G421" t="inlineStr">
        <is>
          <t>Nazwisko04</t>
        </is>
      </c>
      <c r="H421" t="n">
        <v>8</v>
      </c>
      <c r="I421" t="inlineStr">
        <is>
          <t>.a04</t>
        </is>
      </c>
      <c r="J421" t="n">
        <v>27</v>
      </c>
      <c r="K421" t="n">
        <v>46386</v>
      </c>
      <c r="L421" t="n">
        <v>46386</v>
      </c>
      <c r="M421" t="n">
        <v>26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5004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</row>
    <row r="422" hidden="1" outlineLevel="1" s="191">
      <c r="A422" t="n">
        <v>4</v>
      </c>
      <c r="B422" t="inlineStr">
        <is>
          <t>a</t>
        </is>
      </c>
      <c r="C422" t="n">
        <v>1</v>
      </c>
      <c r="D422" t="inlineStr">
        <is>
          <t>.z04_4_a_1</t>
        </is>
      </c>
      <c r="E422" t="inlineStr">
        <is>
          <t xml:space="preserve">Zaimportowanie BDCB w środowisku wybranej platformy AI/ML </t>
        </is>
      </c>
      <c r="F422" t="inlineStr">
        <is>
          <t>Imię02</t>
        </is>
      </c>
      <c r="G422" t="inlineStr">
        <is>
          <t>Nazwisko02</t>
        </is>
      </c>
      <c r="H422" t="n">
        <v>8</v>
      </c>
      <c r="I422" t="inlineStr">
        <is>
          <t>.a02</t>
        </is>
      </c>
      <c r="J422" t="n">
        <v>27</v>
      </c>
      <c r="K422" t="n">
        <v>46386</v>
      </c>
      <c r="L422" t="n">
        <v>46386</v>
      </c>
      <c r="M422" t="n">
        <v>26</v>
      </c>
      <c r="N422" t="n">
        <v>0</v>
      </c>
      <c r="O422" t="n">
        <v>40</v>
      </c>
      <c r="P422" t="n">
        <v>0</v>
      </c>
      <c r="Q422" t="n">
        <v>0</v>
      </c>
      <c r="R422" t="n">
        <v>0</v>
      </c>
      <c r="S422" t="n">
        <v>0</v>
      </c>
      <c r="T422" t="n">
        <v>0.2</v>
      </c>
      <c r="U422" t="n">
        <v>0.2</v>
      </c>
      <c r="V422" t="n">
        <v>0.2</v>
      </c>
      <c r="W422" t="n">
        <v>0.2</v>
      </c>
      <c r="X422" t="n">
        <v>0.2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</v>
      </c>
      <c r="AL422" t="n">
        <v>8</v>
      </c>
      <c r="AM422" t="n">
        <v>8</v>
      </c>
      <c r="AN422" t="n">
        <v>8</v>
      </c>
      <c r="AO422" t="n">
        <v>8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40</v>
      </c>
      <c r="AY422" t="n">
        <v>0.25</v>
      </c>
      <c r="AZ422" t="n">
        <v>5002</v>
      </c>
      <c r="BA422" t="n">
        <v>1250.5</v>
      </c>
      <c r="BB422" t="n">
        <v>312.625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40</v>
      </c>
      <c r="BK422" t="n">
        <v>40</v>
      </c>
      <c r="BL422" t="n">
        <v>0</v>
      </c>
    </row>
    <row r="423" hidden="1" outlineLevel="1" s="191">
      <c r="A423" t="n">
        <v>4</v>
      </c>
      <c r="B423" t="inlineStr">
        <is>
          <t>b</t>
        </is>
      </c>
      <c r="C423" t="n">
        <v>1</v>
      </c>
      <c r="D423" t="inlineStr">
        <is>
          <t>.z04_4_b_1</t>
        </is>
      </c>
      <c r="E423" t="inlineStr">
        <is>
          <t>Sprawdzenie i potwierdzenie poprawności zaimplementowanych danych. Określenie zestawu danych testowych i referencyjnych do dalszych analiz</t>
        </is>
      </c>
      <c r="F423" t="inlineStr">
        <is>
          <t>Imię03</t>
        </is>
      </c>
      <c r="G423" t="inlineStr">
        <is>
          <t>Nazwisko03</t>
        </is>
      </c>
      <c r="H423" t="n">
        <v>8</v>
      </c>
      <c r="I423" t="inlineStr">
        <is>
          <t>.a03</t>
        </is>
      </c>
      <c r="J423" t="n">
        <v>27</v>
      </c>
      <c r="K423" t="n">
        <v>46386</v>
      </c>
      <c r="L423" t="n">
        <v>46386</v>
      </c>
      <c r="M423" t="n">
        <v>26</v>
      </c>
      <c r="N423" t="n">
        <v>0</v>
      </c>
      <c r="O423" t="n">
        <v>40</v>
      </c>
      <c r="P423" t="n">
        <v>0</v>
      </c>
      <c r="Q423" t="n">
        <v>0</v>
      </c>
      <c r="R423" t="n">
        <v>0</v>
      </c>
      <c r="S423" t="n">
        <v>0</v>
      </c>
      <c r="T423" t="n">
        <v>0.2</v>
      </c>
      <c r="U423" t="n">
        <v>0.2</v>
      </c>
      <c r="V423" t="n">
        <v>0.2</v>
      </c>
      <c r="W423" t="n">
        <v>0.2</v>
      </c>
      <c r="X423" t="n">
        <v>0.2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8</v>
      </c>
      <c r="AL423" t="n">
        <v>8</v>
      </c>
      <c r="AM423" t="n">
        <v>8</v>
      </c>
      <c r="AN423" t="n">
        <v>8</v>
      </c>
      <c r="AO423" t="n">
        <v>8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40</v>
      </c>
      <c r="AY423" t="n">
        <v>0.25</v>
      </c>
      <c r="AZ423" t="n">
        <v>5003</v>
      </c>
      <c r="BA423" t="n">
        <v>1250.75</v>
      </c>
      <c r="BB423" t="n">
        <v>312.6875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40</v>
      </c>
      <c r="BK423" t="n">
        <v>40</v>
      </c>
      <c r="BL423" t="n">
        <v>0</v>
      </c>
    </row>
    <row r="424" hidden="1" outlineLevel="1" s="191">
      <c r="A424" t="n">
        <v>4</v>
      </c>
      <c r="B424" t="inlineStr">
        <is>
          <t>c</t>
        </is>
      </c>
      <c r="C424" t="n">
        <v>1</v>
      </c>
      <c r="D424" t="inlineStr">
        <is>
          <t>.z04_4_c_1</t>
        </is>
      </c>
      <c r="E424" t="inlineStr">
        <is>
          <t xml:space="preserve">Stworzenie zautomatyzowanego systemu aktualizacji danych BDCB zintegrowanej z platformą. </t>
        </is>
      </c>
      <c r="F424" t="inlineStr">
        <is>
          <t>Imię01</t>
        </is>
      </c>
      <c r="G424" t="inlineStr">
        <is>
          <t>Nazwisko01</t>
        </is>
      </c>
      <c r="H424" t="n">
        <v>9</v>
      </c>
      <c r="I424" t="inlineStr">
        <is>
          <t>.a01</t>
        </is>
      </c>
      <c r="J424" t="n">
        <v>27</v>
      </c>
      <c r="K424" t="n">
        <v>46386</v>
      </c>
      <c r="L424" t="n">
        <v>46387</v>
      </c>
      <c r="M424" t="n">
        <v>27</v>
      </c>
      <c r="N424" t="n">
        <v>1</v>
      </c>
      <c r="O424" t="n">
        <v>80</v>
      </c>
      <c r="P424" t="n">
        <v>0</v>
      </c>
      <c r="Q424" t="n">
        <v>0</v>
      </c>
      <c r="R424" t="n">
        <v>0</v>
      </c>
      <c r="S424" t="n">
        <v>0</v>
      </c>
      <c r="T424" t="n">
        <v>0.2</v>
      </c>
      <c r="U424" t="n">
        <v>0.2</v>
      </c>
      <c r="V424" t="n">
        <v>0.2</v>
      </c>
      <c r="W424" t="n">
        <v>0.2</v>
      </c>
      <c r="X424" t="n">
        <v>0.2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16</v>
      </c>
      <c r="AL424" t="n">
        <v>16</v>
      </c>
      <c r="AM424" t="n">
        <v>16</v>
      </c>
      <c r="AN424" t="n">
        <v>16</v>
      </c>
      <c r="AO424" t="n">
        <v>16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80</v>
      </c>
      <c r="AY424" t="n">
        <v>0.5</v>
      </c>
      <c r="AZ424" t="n">
        <v>5001</v>
      </c>
      <c r="BA424" t="n">
        <v>2500.5</v>
      </c>
      <c r="BB424" t="n">
        <v>1250.25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80</v>
      </c>
      <c r="BK424" t="n">
        <v>80</v>
      </c>
      <c r="BL424" t="n">
        <v>0</v>
      </c>
    </row>
    <row r="425" hidden="1" outlineLevel="1" s="191">
      <c r="A425" t="n">
        <v>5</v>
      </c>
      <c r="B425" t="inlineStr">
        <is>
          <t>a</t>
        </is>
      </c>
      <c r="C425" t="n">
        <v>1</v>
      </c>
      <c r="D425" t="inlineStr">
        <is>
          <t>.z04_5_a_1</t>
        </is>
      </c>
      <c r="E425" t="inlineStr">
        <is>
          <t>5.Opracowanie procedur/strategii bezpieczeństwa i zarządzania BDCB</t>
        </is>
      </c>
      <c r="F425" t="inlineStr">
        <is>
          <t>Imię03</t>
        </is>
      </c>
      <c r="G425" t="inlineStr">
        <is>
          <t>Nazwisko03</t>
        </is>
      </c>
      <c r="H425" t="n">
        <v>10</v>
      </c>
      <c r="I425" t="inlineStr">
        <is>
          <t>.a03</t>
        </is>
      </c>
      <c r="J425" t="n">
        <v>28</v>
      </c>
      <c r="K425" t="n">
        <v>46393</v>
      </c>
      <c r="L425" t="n">
        <v>46393</v>
      </c>
      <c r="M425" t="n">
        <v>27</v>
      </c>
      <c r="N425" t="n">
        <v>0</v>
      </c>
      <c r="O425" t="n">
        <v>20</v>
      </c>
      <c r="P425" t="n">
        <v>0</v>
      </c>
      <c r="Q425" t="n">
        <v>0</v>
      </c>
      <c r="R425" t="n">
        <v>0</v>
      </c>
      <c r="S425" t="n">
        <v>0</v>
      </c>
      <c r="T425" t="n">
        <v>0.2</v>
      </c>
      <c r="U425" t="n">
        <v>0.2</v>
      </c>
      <c r="V425" t="n">
        <v>0.2</v>
      </c>
      <c r="W425" t="n">
        <v>0.2</v>
      </c>
      <c r="X425" t="n">
        <v>0.2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4</v>
      </c>
      <c r="AL425" t="n">
        <v>4</v>
      </c>
      <c r="AM425" t="n">
        <v>4</v>
      </c>
      <c r="AN425" t="n">
        <v>4</v>
      </c>
      <c r="AO425" t="n">
        <v>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20</v>
      </c>
      <c r="AY425" t="n">
        <v>0.125</v>
      </c>
      <c r="AZ425" t="n">
        <v>5003</v>
      </c>
      <c r="BA425" t="n">
        <v>625.375</v>
      </c>
      <c r="BB425" t="n">
        <v>78.171875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20</v>
      </c>
      <c r="BK425" t="n">
        <v>20</v>
      </c>
      <c r="BL425" t="n">
        <v>0</v>
      </c>
    </row>
    <row r="426" hidden="1" outlineLevel="1" s="191">
      <c r="A426" t="n">
        <v>6</v>
      </c>
      <c r="B426" t="inlineStr">
        <is>
          <t>a</t>
        </is>
      </c>
      <c r="C426" t="n">
        <v>1</v>
      </c>
      <c r="D426" t="inlineStr">
        <is>
          <t>.z04_6_a_1</t>
        </is>
      </c>
      <c r="E426" t="inlineStr">
        <is>
          <t>6.Opracowanie dokumentacji BDCB</t>
        </is>
      </c>
      <c r="F426" t="inlineStr">
        <is>
          <t>Imię03</t>
        </is>
      </c>
      <c r="G426" t="inlineStr">
        <is>
          <t>Nazwisko03</t>
        </is>
      </c>
      <c r="H426" t="n">
        <v>10</v>
      </c>
      <c r="I426" t="inlineStr">
        <is>
          <t>.a03</t>
        </is>
      </c>
      <c r="J426" t="n">
        <v>28</v>
      </c>
      <c r="K426" t="n">
        <v>46393</v>
      </c>
      <c r="L426" t="n">
        <v>46394</v>
      </c>
      <c r="M426" t="n">
        <v>28</v>
      </c>
      <c r="N426" t="n">
        <v>1</v>
      </c>
      <c r="O426" t="n">
        <v>60</v>
      </c>
      <c r="P426" t="n">
        <v>0</v>
      </c>
      <c r="Q426" t="n">
        <v>0</v>
      </c>
      <c r="R426" t="n">
        <v>0</v>
      </c>
      <c r="S426" t="n">
        <v>0</v>
      </c>
      <c r="T426" t="n">
        <v>0.2</v>
      </c>
      <c r="U426" t="n">
        <v>0.2</v>
      </c>
      <c r="V426" t="n">
        <v>0.2</v>
      </c>
      <c r="W426" t="n">
        <v>0.2</v>
      </c>
      <c r="X426" t="n">
        <v>0.2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12</v>
      </c>
      <c r="AL426" t="n">
        <v>12</v>
      </c>
      <c r="AM426" t="n">
        <v>12</v>
      </c>
      <c r="AN426" t="n">
        <v>12</v>
      </c>
      <c r="AO426" t="n">
        <v>12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60</v>
      </c>
      <c r="AY426" t="n">
        <v>0.375</v>
      </c>
      <c r="AZ426" t="n">
        <v>5003</v>
      </c>
      <c r="BA426" t="n">
        <v>1876.125</v>
      </c>
      <c r="BB426" t="n">
        <v>703.546875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60</v>
      </c>
      <c r="BK426" t="n">
        <v>60</v>
      </c>
      <c r="BL426" t="n">
        <v>0</v>
      </c>
    </row>
    <row r="427" hidden="1" outlineLevel="1" s="191">
      <c r="BJ427" t="n">
        <v>0</v>
      </c>
      <c r="BK427" t="n">
        <v>0</v>
      </c>
      <c r="BL427" t="n">
        <v>0</v>
      </c>
    </row>
    <row r="428" hidden="1" outlineLevel="1" s="191">
      <c r="BJ428" t="n">
        <v>0</v>
      </c>
      <c r="BK428" t="n">
        <v>0</v>
      </c>
      <c r="BL428" t="n">
        <v>0</v>
      </c>
    </row>
    <row r="429" hidden="1" outlineLevel="1" s="191">
      <c r="BJ429" t="n">
        <v>0</v>
      </c>
      <c r="BK429" t="n">
        <v>0</v>
      </c>
      <c r="BL429" t="n">
        <v>0</v>
      </c>
    </row>
    <row r="430" hidden="1" outlineLevel="1" s="191">
      <c r="BJ430" t="n">
        <v>0</v>
      </c>
      <c r="BK430" t="n">
        <v>0</v>
      </c>
      <c r="BL430" t="n">
        <v>0</v>
      </c>
    </row>
    <row r="431" hidden="1" outlineLevel="1" s="191">
      <c r="BJ431" t="n">
        <v>0</v>
      </c>
      <c r="BK431" t="n">
        <v>0</v>
      </c>
      <c r="BL431" t="n">
        <v>0</v>
      </c>
    </row>
    <row r="432" hidden="1" outlineLevel="1" s="191">
      <c r="BJ432" t="n">
        <v>0</v>
      </c>
      <c r="BK432" t="n">
        <v>0</v>
      </c>
      <c r="BL432" t="n">
        <v>0</v>
      </c>
    </row>
    <row r="433" hidden="1" outlineLevel="1" s="191">
      <c r="BJ433" t="n">
        <v>0</v>
      </c>
      <c r="BK433" t="n">
        <v>0</v>
      </c>
      <c r="BL433" t="n">
        <v>0</v>
      </c>
    </row>
    <row r="434" hidden="1" outlineLevel="1" s="191">
      <c r="BJ434" t="n">
        <v>0</v>
      </c>
      <c r="BK434" t="n">
        <v>0</v>
      </c>
      <c r="BL434" t="n">
        <v>0</v>
      </c>
    </row>
    <row r="435" hidden="1" outlineLevel="1" s="191">
      <c r="BJ435" t="n">
        <v>0</v>
      </c>
      <c r="BK435" t="n">
        <v>0</v>
      </c>
      <c r="BL435" t="n">
        <v>0</v>
      </c>
    </row>
    <row r="436" hidden="1" outlineLevel="1" s="191">
      <c r="BJ436" t="n">
        <v>0</v>
      </c>
      <c r="BK436" t="n">
        <v>0</v>
      </c>
      <c r="BL436" t="n">
        <v>0</v>
      </c>
    </row>
    <row r="437" hidden="1" outlineLevel="1" s="191">
      <c r="BJ437" t="n">
        <v>0</v>
      </c>
      <c r="BK437" t="n">
        <v>0</v>
      </c>
      <c r="BL437" t="n">
        <v>0</v>
      </c>
    </row>
    <row r="438" hidden="1" outlineLevel="1" s="191">
      <c r="BJ438" t="n">
        <v>0</v>
      </c>
      <c r="BK438" t="n">
        <v>0</v>
      </c>
      <c r="BL438" t="n">
        <v>0</v>
      </c>
    </row>
    <row r="439" hidden="1" outlineLevel="1" s="191">
      <c r="BJ439" t="n">
        <v>0</v>
      </c>
      <c r="BK439" t="n">
        <v>0</v>
      </c>
      <c r="BL439" t="n">
        <v>0</v>
      </c>
    </row>
    <row r="440" hidden="1" outlineLevel="1" s="191">
      <c r="BJ440" t="n">
        <v>0</v>
      </c>
      <c r="BK440" t="n">
        <v>0</v>
      </c>
      <c r="BL440" t="n">
        <v>0</v>
      </c>
    </row>
    <row r="441" hidden="1" outlineLevel="1" s="191">
      <c r="BJ441" t="n">
        <v>0</v>
      </c>
      <c r="BK441" t="n">
        <v>0</v>
      </c>
      <c r="BL441" t="n">
        <v>0</v>
      </c>
    </row>
    <row r="442" hidden="1" outlineLevel="1" s="191">
      <c r="BJ442" t="n">
        <v>0</v>
      </c>
      <c r="BK442" t="n">
        <v>0</v>
      </c>
      <c r="BL442" t="n">
        <v>0</v>
      </c>
    </row>
    <row r="443" hidden="1" outlineLevel="1" s="191">
      <c r="BJ443" t="n">
        <v>0</v>
      </c>
      <c r="BK443" t="n">
        <v>0</v>
      </c>
      <c r="BL443" t="n">
        <v>0</v>
      </c>
    </row>
    <row r="444" hidden="1" outlineLevel="1" s="191">
      <c r="BJ444" t="n">
        <v>0</v>
      </c>
      <c r="BK444" t="n">
        <v>0</v>
      </c>
      <c r="BL444" t="n">
        <v>0</v>
      </c>
    </row>
    <row r="445" hidden="1" outlineLevel="1" s="191">
      <c r="BJ445" t="n">
        <v>0</v>
      </c>
      <c r="BK445" t="n">
        <v>0</v>
      </c>
      <c r="BL445" t="n">
        <v>0</v>
      </c>
    </row>
    <row r="446" hidden="1" outlineLevel="1" s="191">
      <c r="BJ446" t="n">
        <v>0</v>
      </c>
      <c r="BK446" t="n">
        <v>0</v>
      </c>
      <c r="BL446" t="n">
        <v>0</v>
      </c>
    </row>
    <row r="447" hidden="1" outlineLevel="1" s="191">
      <c r="BJ447" t="n">
        <v>0</v>
      </c>
      <c r="BK447" t="n">
        <v>0</v>
      </c>
      <c r="BL447" t="n">
        <v>0</v>
      </c>
    </row>
    <row r="448" hidden="1" outlineLevel="1" s="191">
      <c r="BJ448" t="n">
        <v>0</v>
      </c>
      <c r="BK448" t="n">
        <v>0</v>
      </c>
      <c r="BL448" t="n">
        <v>0</v>
      </c>
    </row>
    <row r="449" hidden="1" outlineLevel="1" s="191">
      <c r="BJ449" t="n">
        <v>0</v>
      </c>
      <c r="BK449" t="n">
        <v>0</v>
      </c>
      <c r="BL449" t="n">
        <v>0</v>
      </c>
    </row>
    <row r="450" hidden="1" outlineLevel="1" s="191">
      <c r="BJ450" t="n">
        <v>0</v>
      </c>
      <c r="BK450" t="n">
        <v>0</v>
      </c>
      <c r="BL450" t="n">
        <v>0</v>
      </c>
    </row>
    <row r="451" hidden="1" outlineLevel="1" s="191">
      <c r="BJ451" t="n">
        <v>0</v>
      </c>
      <c r="BK451" t="n">
        <v>0</v>
      </c>
      <c r="BL451" t="n">
        <v>0</v>
      </c>
    </row>
    <row r="452" hidden="1" outlineLevel="1" s="191">
      <c r="BJ452" t="n">
        <v>0</v>
      </c>
      <c r="BK452" t="n">
        <v>0</v>
      </c>
      <c r="BL452" t="n">
        <v>0</v>
      </c>
    </row>
    <row r="453" hidden="1" outlineLevel="1" s="191">
      <c r="BJ453" t="n">
        <v>0</v>
      </c>
      <c r="BK453" t="n">
        <v>0</v>
      </c>
      <c r="BL453" t="n">
        <v>0</v>
      </c>
    </row>
    <row r="454" hidden="1" outlineLevel="1" s="191">
      <c r="BJ454" t="n">
        <v>0</v>
      </c>
      <c r="BK454" t="n">
        <v>0</v>
      </c>
      <c r="BL454" t="n">
        <v>0</v>
      </c>
    </row>
    <row r="455" hidden="1" outlineLevel="1" s="191">
      <c r="BJ455" t="n">
        <v>0</v>
      </c>
      <c r="BK455" t="n">
        <v>0</v>
      </c>
      <c r="BL455" t="n">
        <v>0</v>
      </c>
    </row>
    <row r="456" hidden="1" outlineLevel="1" s="191">
      <c r="BJ456" t="n">
        <v>0</v>
      </c>
      <c r="BK456" t="n">
        <v>0</v>
      </c>
      <c r="BL456" t="n">
        <v>0</v>
      </c>
    </row>
    <row r="457" hidden="1" outlineLevel="1" s="191">
      <c r="BJ457" t="n">
        <v>0</v>
      </c>
      <c r="BK457" t="n">
        <v>0</v>
      </c>
      <c r="BL457" t="n">
        <v>0</v>
      </c>
    </row>
    <row r="458" hidden="1" outlineLevel="1" s="191">
      <c r="BJ458" t="n">
        <v>0</v>
      </c>
      <c r="BK458" t="n">
        <v>0</v>
      </c>
      <c r="BL458" t="n">
        <v>0</v>
      </c>
    </row>
    <row r="459" hidden="1" outlineLevel="1" s="191">
      <c r="BJ459" t="n">
        <v>0</v>
      </c>
      <c r="BK459" t="n">
        <v>0</v>
      </c>
      <c r="BL459" t="n">
        <v>0</v>
      </c>
    </row>
    <row r="460" hidden="1" outlineLevel="1" s="191">
      <c r="BJ460" t="n">
        <v>0</v>
      </c>
      <c r="BK460" t="n">
        <v>0</v>
      </c>
      <c r="BL460" t="n">
        <v>0</v>
      </c>
    </row>
    <row r="461" hidden="1" outlineLevel="1" s="191">
      <c r="BJ461" t="n">
        <v>0</v>
      </c>
      <c r="BK461" t="n">
        <v>0</v>
      </c>
      <c r="BL461" t="n">
        <v>0</v>
      </c>
    </row>
    <row r="462" hidden="1" outlineLevel="1" s="191">
      <c r="BJ462" t="n">
        <v>0</v>
      </c>
      <c r="BK462" t="n">
        <v>0</v>
      </c>
      <c r="BL462" t="n">
        <v>0</v>
      </c>
    </row>
    <row r="463" hidden="1" outlineLevel="1" s="191">
      <c r="BJ463" t="n">
        <v>0</v>
      </c>
      <c r="BK463" t="n">
        <v>0</v>
      </c>
      <c r="BL463" t="n">
        <v>0</v>
      </c>
    </row>
    <row r="464" hidden="1" outlineLevel="1" s="191">
      <c r="BJ464" t="n">
        <v>0</v>
      </c>
      <c r="BK464" t="n">
        <v>0</v>
      </c>
      <c r="BL464" t="n">
        <v>0</v>
      </c>
    </row>
    <row r="465" hidden="1" outlineLevel="1" s="191">
      <c r="BJ465" t="n">
        <v>0</v>
      </c>
      <c r="BK465" t="n">
        <v>0</v>
      </c>
      <c r="BL465" t="n">
        <v>0</v>
      </c>
    </row>
    <row r="466" hidden="1" outlineLevel="1" s="191">
      <c r="BJ466" t="n">
        <v>0</v>
      </c>
      <c r="BK466" t="n">
        <v>0</v>
      </c>
      <c r="BL466" t="n">
        <v>0</v>
      </c>
    </row>
    <row r="467" hidden="1" outlineLevel="1" s="191">
      <c r="BJ467" t="n">
        <v>0</v>
      </c>
      <c r="BK467" t="n">
        <v>0</v>
      </c>
      <c r="BL467" t="n">
        <v>0</v>
      </c>
    </row>
    <row r="468" hidden="1" outlineLevel="1" s="191">
      <c r="BJ468" t="n">
        <v>0</v>
      </c>
      <c r="BK468" t="n">
        <v>0</v>
      </c>
      <c r="BL468" t="n">
        <v>0</v>
      </c>
    </row>
    <row r="469" hidden="1" outlineLevel="1" s="191">
      <c r="BJ469" t="n">
        <v>0</v>
      </c>
      <c r="BK469" t="n">
        <v>0</v>
      </c>
      <c r="BL469" t="n">
        <v>0</v>
      </c>
    </row>
    <row r="470" hidden="1" outlineLevel="1" s="191">
      <c r="BJ470" t="n">
        <v>0</v>
      </c>
      <c r="BK470" t="n">
        <v>0</v>
      </c>
      <c r="BL470" t="n">
        <v>0</v>
      </c>
    </row>
    <row r="471" hidden="1" outlineLevel="1" s="191">
      <c r="BJ471" t="n">
        <v>0</v>
      </c>
      <c r="BK471" t="n">
        <v>0</v>
      </c>
      <c r="BL471" t="n">
        <v>0</v>
      </c>
    </row>
    <row r="472" hidden="1" outlineLevel="1" s="191">
      <c r="BJ472" t="n">
        <v>0</v>
      </c>
      <c r="BK472" t="n">
        <v>0</v>
      </c>
      <c r="BL472" t="n">
        <v>0</v>
      </c>
    </row>
    <row r="473" hidden="1" outlineLevel="1" s="191">
      <c r="BJ473" t="n">
        <v>0</v>
      </c>
      <c r="BK473" t="n">
        <v>0</v>
      </c>
      <c r="BL473" t="n">
        <v>0</v>
      </c>
    </row>
    <row r="474" hidden="1" outlineLevel="1" s="191">
      <c r="BJ474" t="n">
        <v>0</v>
      </c>
      <c r="BK474" t="n">
        <v>0</v>
      </c>
      <c r="BL474" t="n">
        <v>0</v>
      </c>
    </row>
    <row r="475" hidden="1" outlineLevel="1" s="191">
      <c r="BJ475" t="n">
        <v>0</v>
      </c>
      <c r="BK475" t="n">
        <v>0</v>
      </c>
      <c r="BL475" t="n">
        <v>0</v>
      </c>
    </row>
    <row r="476" hidden="1" outlineLevel="1" s="191">
      <c r="BJ476" t="n">
        <v>0</v>
      </c>
      <c r="BK476" t="n">
        <v>0</v>
      </c>
      <c r="BL476" t="n">
        <v>0</v>
      </c>
    </row>
    <row r="477" hidden="1" outlineLevel="1" s="191">
      <c r="BJ477" t="n">
        <v>0</v>
      </c>
      <c r="BK477" t="n">
        <v>0</v>
      </c>
      <c r="BL477" t="n">
        <v>0</v>
      </c>
    </row>
    <row r="478" hidden="1" outlineLevel="1" s="191">
      <c r="BJ478" t="n">
        <v>0</v>
      </c>
      <c r="BK478" t="n">
        <v>0</v>
      </c>
      <c r="BL478" t="n">
        <v>0</v>
      </c>
    </row>
    <row r="479" hidden="1" outlineLevel="1" s="191">
      <c r="BJ479" t="n">
        <v>0</v>
      </c>
      <c r="BK479" t="n">
        <v>0</v>
      </c>
      <c r="BL479" t="n">
        <v>0</v>
      </c>
    </row>
    <row r="480" hidden="1" outlineLevel="1" s="191">
      <c r="BJ480" t="n">
        <v>0</v>
      </c>
      <c r="BK480" t="n">
        <v>0</v>
      </c>
      <c r="BL480" t="n">
        <v>0</v>
      </c>
    </row>
    <row r="481" hidden="1" outlineLevel="1" s="191">
      <c r="BJ481" t="n">
        <v>0</v>
      </c>
      <c r="BK481" t="n">
        <v>0</v>
      </c>
      <c r="BL481" t="n">
        <v>0</v>
      </c>
    </row>
    <row r="482" hidden="1" outlineLevel="1" s="191">
      <c r="BJ482" t="n">
        <v>0</v>
      </c>
      <c r="BK482" t="n">
        <v>0</v>
      </c>
      <c r="BL482" t="n">
        <v>0</v>
      </c>
    </row>
    <row r="483" hidden="1" outlineLevel="1" s="191">
      <c r="BJ483" t="n">
        <v>0</v>
      </c>
      <c r="BK483" t="n">
        <v>0</v>
      </c>
      <c r="BL483" t="n">
        <v>0</v>
      </c>
    </row>
    <row r="484" hidden="1" outlineLevel="1" s="191">
      <c r="BJ484" t="n">
        <v>0</v>
      </c>
      <c r="BK484" t="n">
        <v>0</v>
      </c>
      <c r="BL484" t="n">
        <v>0</v>
      </c>
    </row>
    <row r="485" hidden="1" outlineLevel="1" s="191">
      <c r="BJ485" t="n">
        <v>0</v>
      </c>
      <c r="BK485" t="n">
        <v>0</v>
      </c>
      <c r="BL485" t="n">
        <v>0</v>
      </c>
    </row>
    <row r="486" hidden="1" outlineLevel="1" s="191">
      <c r="BJ486" t="n">
        <v>0</v>
      </c>
      <c r="BK486" t="n">
        <v>0</v>
      </c>
      <c r="BL486" t="n">
        <v>0</v>
      </c>
    </row>
    <row r="487" hidden="1" outlineLevel="1" s="191">
      <c r="BJ487" t="n">
        <v>0</v>
      </c>
      <c r="BK487" t="n">
        <v>0</v>
      </c>
      <c r="BL487" t="n">
        <v>0</v>
      </c>
    </row>
    <row r="488" hidden="1" outlineLevel="1" s="191">
      <c r="BJ488" t="n">
        <v>0</v>
      </c>
      <c r="BK488" t="n">
        <v>0</v>
      </c>
      <c r="BL488" t="n">
        <v>0</v>
      </c>
    </row>
    <row r="489" hidden="1" outlineLevel="1" s="191">
      <c r="BJ489" t="n">
        <v>0</v>
      </c>
      <c r="BK489" t="n">
        <v>0</v>
      </c>
      <c r="BL489" t="n">
        <v>0</v>
      </c>
    </row>
    <row r="490" hidden="1" outlineLevel="1" s="191">
      <c r="BJ490" t="n">
        <v>0</v>
      </c>
      <c r="BK490" t="n">
        <v>0</v>
      </c>
      <c r="BL490" t="n">
        <v>0</v>
      </c>
    </row>
    <row r="491" hidden="1" outlineLevel="1" s="191">
      <c r="BJ491" t="n">
        <v>0</v>
      </c>
      <c r="BK491" t="n">
        <v>0</v>
      </c>
      <c r="BL491" t="n">
        <v>0</v>
      </c>
    </row>
    <row r="492" hidden="1" outlineLevel="1" s="191">
      <c r="BJ492" t="n">
        <v>0</v>
      </c>
      <c r="BK492" t="n">
        <v>0</v>
      </c>
      <c r="BL492" t="n">
        <v>0</v>
      </c>
    </row>
    <row r="493" hidden="1" outlineLevel="1" s="191">
      <c r="BJ493" t="n">
        <v>0</v>
      </c>
      <c r="BK493" t="n">
        <v>0</v>
      </c>
      <c r="BL493" t="n">
        <v>0</v>
      </c>
    </row>
    <row r="494" hidden="1" outlineLevel="1" s="191">
      <c r="BJ494" t="n">
        <v>0</v>
      </c>
      <c r="BK494" t="n">
        <v>0</v>
      </c>
      <c r="BL494" t="n">
        <v>0</v>
      </c>
    </row>
    <row r="495" hidden="1" outlineLevel="1" s="191">
      <c r="BJ495" t="n">
        <v>0</v>
      </c>
      <c r="BK495" t="n">
        <v>0</v>
      </c>
      <c r="BL495" t="n">
        <v>0</v>
      </c>
    </row>
    <row r="496" hidden="1" outlineLevel="1" s="191">
      <c r="BJ496" t="n">
        <v>0</v>
      </c>
      <c r="BK496" t="n">
        <v>0</v>
      </c>
      <c r="BL496" t="n">
        <v>0</v>
      </c>
    </row>
    <row r="497" hidden="1" outlineLevel="1" s="191">
      <c r="BJ497" t="n">
        <v>0</v>
      </c>
      <c r="BK497" t="n">
        <v>0</v>
      </c>
      <c r="BL497" t="n">
        <v>0</v>
      </c>
    </row>
    <row r="498" hidden="1" outlineLevel="1" s="191">
      <c r="A498" s="264" t="inlineStr">
        <is>
          <t>.z04</t>
        </is>
      </c>
      <c r="BJ498" t="n">
        <v>0</v>
      </c>
      <c r="BK498" t="n">
        <v>0</v>
      </c>
      <c r="BL498" t="n">
        <v>0</v>
      </c>
    </row>
    <row r="499" collapsed="1" s="191">
      <c r="BJ499" t="n">
        <v>0</v>
      </c>
      <c r="BK499" t="n">
        <v>0</v>
      </c>
      <c r="BL499" t="n">
        <v>0</v>
      </c>
      <c r="BM499" t="n">
        <v>0</v>
      </c>
    </row>
    <row r="500" ht="15.6" customHeight="1" s="191">
      <c r="A500" s="259" t="inlineStr">
        <is>
          <t>.z05</t>
        </is>
      </c>
      <c r="B500" s="260" t="n"/>
      <c r="C500" s="261" t="n"/>
      <c r="D500" s="276" t="n"/>
      <c r="E500" s="277" t="inlineStr">
        <is>
          <t>Zadanie_V   :  Opracowanie cyfrowego bliźniaka do symulacji procesów magazynowych</t>
        </is>
      </c>
      <c r="F500" s="538" t="n"/>
      <c r="BJ500" t="n">
        <v>0</v>
      </c>
      <c r="BK500" t="n">
        <v>0</v>
      </c>
      <c r="BL500" t="n">
        <v>0</v>
      </c>
      <c r="BM500" t="n">
        <v>0</v>
      </c>
    </row>
    <row r="501" hidden="1" outlineLevel="1" s="191">
      <c r="A501" t="n">
        <v>1</v>
      </c>
      <c r="B501" t="inlineStr">
        <is>
          <t>a</t>
        </is>
      </c>
      <c r="C501" t="n">
        <v>-1</v>
      </c>
      <c r="D501" t="inlineStr">
        <is>
          <t>.z05_1_a_-1</t>
        </is>
      </c>
      <c r="E501" t="inlineStr">
        <is>
          <t>1.Zbieranie i przetwarzanie danych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</row>
    <row r="502" hidden="1" outlineLevel="1" s="191">
      <c r="A502" t="n">
        <v>1</v>
      </c>
      <c r="B502" t="inlineStr">
        <is>
          <t>a</t>
        </is>
      </c>
      <c r="C502" t="n">
        <v>0</v>
      </c>
      <c r="D502" t="inlineStr">
        <is>
          <t>.z05_1_a_0</t>
        </is>
      </c>
      <c r="E502" t="inlineStr">
        <is>
          <t>Cyfrowy bliźniak bazuje na danych pochodzących z rzeczywistego obiektu/systemu/procesu, dlatego wykorzystywane będą utworzone w ramach projektu autorskie bazy danych</t>
        </is>
      </c>
      <c r="F502" t="n">
        <v>0</v>
      </c>
      <c r="G502" t="n">
        <v>0</v>
      </c>
      <c r="H502" t="n">
        <v>0</v>
      </c>
      <c r="I502" t="inlineStr">
        <is>
          <t>END/ACT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</row>
    <row r="503" hidden="1" outlineLevel="1" s="191">
      <c r="A503" t="n">
        <v>1</v>
      </c>
      <c r="B503" t="inlineStr">
        <is>
          <t>a</t>
        </is>
      </c>
      <c r="C503" t="n">
        <v>1</v>
      </c>
      <c r="D503" t="inlineStr">
        <is>
          <t>.z05_1_a_1</t>
        </is>
      </c>
      <c r="E503" t="inlineStr">
        <is>
          <t>Weryfikacja kompletnosci  danych</t>
        </is>
      </c>
      <c r="F503" t="inlineStr">
        <is>
          <t>Imię01</t>
        </is>
      </c>
      <c r="G503" t="inlineStr">
        <is>
          <t>Nazwisko01</t>
        </is>
      </c>
      <c r="H503" t="n">
        <v>1</v>
      </c>
      <c r="I503" t="inlineStr">
        <is>
          <t>.a01</t>
        </is>
      </c>
      <c r="J503" t="n">
        <v>34</v>
      </c>
      <c r="K503" t="n">
        <v>46435</v>
      </c>
      <c r="L503" t="n">
        <v>46436</v>
      </c>
      <c r="M503" t="n">
        <v>34</v>
      </c>
      <c r="N503" t="n">
        <v>1</v>
      </c>
      <c r="O503" t="n">
        <v>80</v>
      </c>
      <c r="P503" t="n">
        <v>0.25</v>
      </c>
      <c r="Q503" t="n">
        <v>0.25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0.5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20</v>
      </c>
      <c r="AH503" t="n">
        <v>20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40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40</v>
      </c>
      <c r="AY503" t="n">
        <v>0.25</v>
      </c>
      <c r="AZ503" t="n">
        <v>5001</v>
      </c>
      <c r="BA503" t="n">
        <v>1250.25</v>
      </c>
      <c r="BB503" t="n">
        <v>312.5625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80</v>
      </c>
      <c r="BK503" t="n">
        <v>80</v>
      </c>
      <c r="BL503" t="n">
        <v>0</v>
      </c>
    </row>
    <row r="504" hidden="1" outlineLevel="1" s="191">
      <c r="A504" t="n">
        <v>2</v>
      </c>
      <c r="B504" t="inlineStr">
        <is>
          <t>a</t>
        </is>
      </c>
      <c r="C504" t="n">
        <v>-1</v>
      </c>
      <c r="D504" t="inlineStr">
        <is>
          <t>.z05_2_a_-1</t>
        </is>
      </c>
      <c r="E504" t="inlineStr">
        <is>
          <t>2.Modelowanie i symulacje</t>
        </is>
      </c>
      <c r="F504" t="n">
        <v>0</v>
      </c>
      <c r="G504" t="n">
        <v>0</v>
      </c>
      <c r="H504" t="n">
        <v>0</v>
      </c>
      <c r="I504" t="n">
        <v>0</v>
      </c>
      <c r="J504" t="n">
        <v>35</v>
      </c>
      <c r="K504" t="n">
        <v>46442</v>
      </c>
      <c r="L504" t="n">
        <v>46442</v>
      </c>
      <c r="M504" t="n">
        <v>34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</row>
    <row r="505" hidden="1" outlineLevel="1" s="191">
      <c r="A505" t="n">
        <v>2</v>
      </c>
      <c r="B505" t="inlineStr">
        <is>
          <t>a</t>
        </is>
      </c>
      <c r="C505" t="n">
        <v>0</v>
      </c>
      <c r="D505" t="inlineStr">
        <is>
          <t>.z05_2_a_0</t>
        </is>
      </c>
      <c r="E505" t="inlineStr">
        <is>
          <t>Utworzenie cyfrowych kopii fizycznych obiektów przypisanych do procesów magazynowych (np. regały wysokiego składu i kompletacyjne, przenośniki rolkowe)we)</t>
        </is>
      </c>
      <c r="F505" t="n">
        <v>0</v>
      </c>
      <c r="G505" t="n">
        <v>0</v>
      </c>
      <c r="H505" t="n">
        <v>0</v>
      </c>
      <c r="I505" t="n">
        <v>0</v>
      </c>
      <c r="J505" t="n">
        <v>35</v>
      </c>
      <c r="K505" t="n">
        <v>46442</v>
      </c>
      <c r="L505" t="n">
        <v>46442</v>
      </c>
      <c r="M505" t="n">
        <v>34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</row>
    <row r="506" hidden="1" outlineLevel="1" s="191">
      <c r="A506" t="n">
        <v>2</v>
      </c>
      <c r="B506" t="inlineStr">
        <is>
          <t>a</t>
        </is>
      </c>
      <c r="C506" t="n">
        <v>1</v>
      </c>
      <c r="D506" t="inlineStr">
        <is>
          <t>.z05_2_a_1</t>
        </is>
      </c>
      <c r="E506" t="inlineStr">
        <is>
          <t>Inwentaryzacja obiektow magazynowych  - magazyn MWS</t>
        </is>
      </c>
      <c r="F506" t="n">
        <v>0</v>
      </c>
      <c r="G506" t="inlineStr">
        <is>
          <t>Specjalista</t>
        </is>
      </c>
      <c r="H506" t="n">
        <v>1</v>
      </c>
      <c r="I506" t="inlineStr">
        <is>
          <t>.a01</t>
        </is>
      </c>
      <c r="J506" t="n">
        <v>35</v>
      </c>
      <c r="K506" t="n">
        <v>46442</v>
      </c>
      <c r="L506" t="n">
        <v>46444</v>
      </c>
      <c r="M506" t="n">
        <v>36</v>
      </c>
      <c r="N506" t="n">
        <v>2</v>
      </c>
      <c r="O506" t="n">
        <v>40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40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40</v>
      </c>
      <c r="AY506" t="n">
        <v>0.25</v>
      </c>
      <c r="AZ506" t="n">
        <v>5001</v>
      </c>
      <c r="BA506" t="n">
        <v>1250.25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40</v>
      </c>
      <c r="BK506" t="n">
        <v>40</v>
      </c>
      <c r="BL506" t="n">
        <v>0</v>
      </c>
    </row>
    <row r="507" hidden="1" outlineLevel="1" s="191">
      <c r="A507" t="n">
        <v>2</v>
      </c>
      <c r="B507" t="inlineStr">
        <is>
          <t>a</t>
        </is>
      </c>
      <c r="C507" t="n">
        <v>2</v>
      </c>
      <c r="D507" t="inlineStr">
        <is>
          <t>.z05_2_a_2</t>
        </is>
      </c>
      <c r="E507" t="inlineStr">
        <is>
          <t xml:space="preserve">Inwentaryzacja obiektow magazynowych  - magazyn kompletacji  - do dyskusji  </t>
        </is>
      </c>
      <c r="F507" t="n">
        <v>0</v>
      </c>
      <c r="G507" t="inlineStr">
        <is>
          <t>Specjalista</t>
        </is>
      </c>
      <c r="H507" t="n">
        <v>1</v>
      </c>
      <c r="I507" t="inlineStr">
        <is>
          <t>.a02</t>
        </is>
      </c>
      <c r="J507" t="n">
        <v>37</v>
      </c>
      <c r="K507" t="n">
        <v>46456</v>
      </c>
      <c r="L507" t="n">
        <v>46458</v>
      </c>
      <c r="M507" t="n">
        <v>38</v>
      </c>
      <c r="N507" t="n">
        <v>2</v>
      </c>
      <c r="O507" t="n">
        <v>40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40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40</v>
      </c>
      <c r="AY507" t="n">
        <v>0.25</v>
      </c>
      <c r="AZ507" t="n">
        <v>5002</v>
      </c>
      <c r="BA507" t="n">
        <v>1250.5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40</v>
      </c>
      <c r="BK507" t="n">
        <v>40</v>
      </c>
      <c r="BL507" t="n">
        <v>0</v>
      </c>
    </row>
    <row r="508" hidden="1" outlineLevel="1" s="191">
      <c r="A508" t="n">
        <v>2</v>
      </c>
      <c r="B508" t="inlineStr">
        <is>
          <t>a</t>
        </is>
      </c>
      <c r="C508" t="n">
        <v>3</v>
      </c>
      <c r="D508" t="inlineStr">
        <is>
          <t>.z05_2_a_3</t>
        </is>
      </c>
      <c r="E508" t="inlineStr">
        <is>
          <t>Stworzenie listy  typow obiektow i ich atrybutow koniecznych do symulacji</t>
        </is>
      </c>
      <c r="F508" t="n">
        <v>0</v>
      </c>
      <c r="G508" t="inlineStr">
        <is>
          <t>Ekspert merytoryczny/ Architekt rozwiazania</t>
        </is>
      </c>
      <c r="H508" t="n">
        <v>2</v>
      </c>
      <c r="I508" t="inlineStr">
        <is>
          <t>END/AGH</t>
        </is>
      </c>
      <c r="J508" t="n">
        <v>39</v>
      </c>
      <c r="K508" t="n">
        <v>46470</v>
      </c>
      <c r="L508" t="n">
        <v>46471</v>
      </c>
      <c r="M508" t="n">
        <v>39</v>
      </c>
      <c r="N508" t="n">
        <v>1</v>
      </c>
      <c r="O508" t="n">
        <v>80</v>
      </c>
      <c r="P508" t="n">
        <v>0.25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0.5</v>
      </c>
      <c r="AB508" t="n">
        <v>0</v>
      </c>
      <c r="AC508" t="n">
        <v>0.25</v>
      </c>
      <c r="AD508" t="n">
        <v>0</v>
      </c>
      <c r="AE508" t="n">
        <v>0</v>
      </c>
      <c r="AF508" t="n">
        <v>0</v>
      </c>
      <c r="AG508" t="n">
        <v>20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40</v>
      </c>
      <c r="AS508" t="n">
        <v>0</v>
      </c>
      <c r="AT508" t="n">
        <v>20</v>
      </c>
      <c r="AU508" t="n">
        <v>0</v>
      </c>
      <c r="AV508" t="n">
        <v>0</v>
      </c>
      <c r="AW508" t="n">
        <v>0</v>
      </c>
      <c r="AX508" t="n">
        <v>20</v>
      </c>
      <c r="AY508" t="n">
        <v>0.125</v>
      </c>
      <c r="AZ508" t="e">
        <v>#N/A</v>
      </c>
      <c r="BA508" t="e">
        <v>#N/A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80</v>
      </c>
      <c r="BK508" t="n">
        <v>80</v>
      </c>
      <c r="BL508" t="n">
        <v>0</v>
      </c>
    </row>
    <row r="509" hidden="1" outlineLevel="1" s="191">
      <c r="A509" t="n">
        <v>2</v>
      </c>
      <c r="B509" t="inlineStr">
        <is>
          <t>a</t>
        </is>
      </c>
      <c r="C509" t="n">
        <v>4</v>
      </c>
      <c r="D509" t="inlineStr">
        <is>
          <t>.z05_2_a_4</t>
        </is>
      </c>
      <c r="E509" t="inlineStr">
        <is>
          <t>Opracowanie wymagań szczegółowych dla obiektow (wyskaznie parametow fizycznych do implementacji)</t>
        </is>
      </c>
      <c r="F509" t="n">
        <v>0</v>
      </c>
      <c r="G509" t="inlineStr">
        <is>
          <t>Ekspert merytoryczny/ Architekt rozwiazania</t>
        </is>
      </c>
      <c r="H509" t="n">
        <v>3</v>
      </c>
      <c r="I509" t="inlineStr">
        <is>
          <t>END/AGH</t>
        </is>
      </c>
      <c r="J509" t="n">
        <v>40</v>
      </c>
      <c r="K509" t="n">
        <v>46477</v>
      </c>
      <c r="L509" t="n">
        <v>46478</v>
      </c>
      <c r="M509" t="n">
        <v>40</v>
      </c>
      <c r="N509" t="n">
        <v>1</v>
      </c>
      <c r="O509" t="n">
        <v>80</v>
      </c>
      <c r="P509" t="n">
        <v>0.25</v>
      </c>
      <c r="Q509" t="n">
        <v>0.25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0.25</v>
      </c>
      <c r="AB509" t="n">
        <v>0</v>
      </c>
      <c r="AC509" t="n">
        <v>0.25</v>
      </c>
      <c r="AD509" t="n">
        <v>0</v>
      </c>
      <c r="AE509" t="n">
        <v>0</v>
      </c>
      <c r="AF509" t="n">
        <v>0</v>
      </c>
      <c r="AG509" t="n">
        <v>20</v>
      </c>
      <c r="AH509" t="n">
        <v>20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20</v>
      </c>
      <c r="AS509" t="n">
        <v>0</v>
      </c>
      <c r="AT509" t="n">
        <v>10</v>
      </c>
      <c r="AU509" t="n">
        <v>10</v>
      </c>
      <c r="AV509" t="n">
        <v>0</v>
      </c>
      <c r="AW509" t="n">
        <v>0</v>
      </c>
      <c r="AX509" t="n">
        <v>40</v>
      </c>
      <c r="AY509" t="n">
        <v>0.25</v>
      </c>
      <c r="AZ509" t="e">
        <v>#N/A</v>
      </c>
      <c r="BA509" t="e">
        <v>#N/A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80</v>
      </c>
      <c r="BK509" t="n">
        <v>80</v>
      </c>
      <c r="BL509" t="n">
        <v>0</v>
      </c>
    </row>
    <row r="510" hidden="1" outlineLevel="1" s="191">
      <c r="A510" t="n">
        <v>2</v>
      </c>
      <c r="B510" t="inlineStr">
        <is>
          <t>a</t>
        </is>
      </c>
      <c r="C510" t="n">
        <v>5</v>
      </c>
      <c r="D510" t="inlineStr">
        <is>
          <t>.z05_2_a_5</t>
        </is>
      </c>
      <c r="E510" t="inlineStr">
        <is>
          <t>Analiza wymagan  szczegółowych i ich wpływu</t>
        </is>
      </c>
      <c r="F510" t="n">
        <v>0</v>
      </c>
      <c r="G510" t="inlineStr">
        <is>
          <t>Ekspert merytoryczny</t>
        </is>
      </c>
      <c r="H510" t="n">
        <v>4</v>
      </c>
      <c r="I510" t="inlineStr">
        <is>
          <t>AGH/END</t>
        </is>
      </c>
      <c r="J510" t="n">
        <v>41</v>
      </c>
      <c r="K510" t="n">
        <v>46484</v>
      </c>
      <c r="L510" t="n">
        <v>46485</v>
      </c>
      <c r="M510" t="n">
        <v>41</v>
      </c>
      <c r="N510" t="n">
        <v>1</v>
      </c>
      <c r="O510" t="n">
        <v>80</v>
      </c>
      <c r="P510" t="n">
        <v>0</v>
      </c>
      <c r="Q510" t="n">
        <v>0</v>
      </c>
      <c r="R510" t="n">
        <v>0.25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0.5</v>
      </c>
      <c r="AB510" t="n">
        <v>0</v>
      </c>
      <c r="AC510" t="n">
        <v>0.25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40</v>
      </c>
      <c r="AS510" t="n">
        <v>0</v>
      </c>
      <c r="AT510" t="n">
        <v>20</v>
      </c>
      <c r="AU510" t="n">
        <v>0</v>
      </c>
      <c r="AV510" t="n">
        <v>0</v>
      </c>
      <c r="AW510" t="n">
        <v>0</v>
      </c>
      <c r="AX510" t="n">
        <v>20</v>
      </c>
      <c r="AY510" t="n">
        <v>0.125</v>
      </c>
      <c r="AZ510" t="e">
        <v>#N/A</v>
      </c>
      <c r="BA510" t="e">
        <v>#N/A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80</v>
      </c>
      <c r="BK510" t="n">
        <v>80</v>
      </c>
      <c r="BL510" t="n">
        <v>0</v>
      </c>
    </row>
    <row r="511" hidden="1" outlineLevel="1" s="191">
      <c r="A511" t="n">
        <v>2</v>
      </c>
      <c r="B511" t="inlineStr">
        <is>
          <t>a</t>
        </is>
      </c>
      <c r="C511" t="n">
        <v>6</v>
      </c>
      <c r="D511" t="inlineStr">
        <is>
          <t>.z05_2_a_6</t>
        </is>
      </c>
      <c r="E511" t="inlineStr">
        <is>
          <t xml:space="preserve">Implementacja zadania MWS </t>
        </is>
      </c>
      <c r="F511" t="n">
        <v>0</v>
      </c>
      <c r="G511" t="inlineStr">
        <is>
          <t>Developer</t>
        </is>
      </c>
      <c r="H511" t="n">
        <v>5</v>
      </c>
      <c r="I511" t="inlineStr">
        <is>
          <t>END/AGH</t>
        </is>
      </c>
      <c r="J511" t="n">
        <v>42</v>
      </c>
      <c r="K511" t="n">
        <v>46491</v>
      </c>
      <c r="L511" t="n">
        <v>46496</v>
      </c>
      <c r="M511" t="n">
        <v>46</v>
      </c>
      <c r="N511" t="n">
        <v>5</v>
      </c>
      <c r="O511" t="n">
        <v>480</v>
      </c>
      <c r="P511" t="n">
        <v>0</v>
      </c>
      <c r="Q511" t="n">
        <v>0</v>
      </c>
      <c r="R511" t="n">
        <v>0</v>
      </c>
      <c r="S511" t="n">
        <v>0.2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0.2</v>
      </c>
      <c r="Z511" t="n">
        <v>0.2</v>
      </c>
      <c r="AA511" t="n">
        <v>0.1</v>
      </c>
      <c r="AB511" t="n">
        <v>0</v>
      </c>
      <c r="AC511" t="n">
        <v>0</v>
      </c>
      <c r="AD511" t="n">
        <v>0</v>
      </c>
      <c r="AE511" t="n">
        <v>0.15</v>
      </c>
      <c r="AF511" t="n">
        <v>0.15</v>
      </c>
      <c r="AG511" t="n">
        <v>0</v>
      </c>
      <c r="AH511" t="n">
        <v>0</v>
      </c>
      <c r="AI511" t="n">
        <v>0</v>
      </c>
      <c r="AJ511" t="n">
        <v>96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96</v>
      </c>
      <c r="AQ511" t="n">
        <v>96</v>
      </c>
      <c r="AR511" t="n">
        <v>48</v>
      </c>
      <c r="AS511" t="n">
        <v>0</v>
      </c>
      <c r="AT511" t="n">
        <v>0</v>
      </c>
      <c r="AU511" t="n">
        <v>0</v>
      </c>
      <c r="AV511" t="n">
        <v>72</v>
      </c>
      <c r="AW511" t="n">
        <v>72</v>
      </c>
      <c r="AX511" t="n">
        <v>96</v>
      </c>
      <c r="AY511" t="n">
        <v>0.6</v>
      </c>
      <c r="AZ511" t="e">
        <v>#N/A</v>
      </c>
      <c r="BA511" t="e">
        <v>#N/A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480</v>
      </c>
      <c r="BK511" t="n">
        <v>480</v>
      </c>
      <c r="BL511" t="n">
        <v>0</v>
      </c>
    </row>
    <row r="512" hidden="1" outlineLevel="1" s="191">
      <c r="A512" t="n">
        <v>2</v>
      </c>
      <c r="B512" t="inlineStr">
        <is>
          <t>a</t>
        </is>
      </c>
      <c r="C512" t="n">
        <v>7</v>
      </c>
      <c r="D512" t="inlineStr">
        <is>
          <t>.z05_2_a_7</t>
        </is>
      </c>
      <c r="E512" t="inlineStr">
        <is>
          <t>Implementacja zadania Kompletacja</t>
        </is>
      </c>
      <c r="F512" t="n">
        <v>0</v>
      </c>
      <c r="G512" t="inlineStr">
        <is>
          <t>Developer</t>
        </is>
      </c>
      <c r="H512" t="n">
        <v>6</v>
      </c>
      <c r="I512" t="inlineStr">
        <is>
          <t>END/AGH</t>
        </is>
      </c>
      <c r="J512" t="n">
        <v>47</v>
      </c>
      <c r="K512" t="n">
        <v>46526</v>
      </c>
      <c r="L512" t="n">
        <v>46531</v>
      </c>
      <c r="M512" t="n">
        <v>51</v>
      </c>
      <c r="N512" t="n">
        <v>5</v>
      </c>
      <c r="O512" t="n">
        <v>480</v>
      </c>
      <c r="P512" t="n">
        <v>0</v>
      </c>
      <c r="Q512" t="n">
        <v>0</v>
      </c>
      <c r="R512" t="n">
        <v>0.2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0.2</v>
      </c>
      <c r="Z512" t="n">
        <v>0.2</v>
      </c>
      <c r="AA512" t="n">
        <v>0.1</v>
      </c>
      <c r="AB512" t="n">
        <v>0</v>
      </c>
      <c r="AC512" t="n">
        <v>0</v>
      </c>
      <c r="AD512" t="n">
        <v>0.15</v>
      </c>
      <c r="AE512" t="n">
        <v>0</v>
      </c>
      <c r="AF512" t="n">
        <v>0.15</v>
      </c>
      <c r="AG512" t="n">
        <v>0</v>
      </c>
      <c r="AH512" t="n">
        <v>0</v>
      </c>
      <c r="AI512" t="n">
        <v>96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96</v>
      </c>
      <c r="AQ512" t="n">
        <v>96</v>
      </c>
      <c r="AR512" t="n">
        <v>48</v>
      </c>
      <c r="AS512" t="n">
        <v>0</v>
      </c>
      <c r="AT512" t="n">
        <v>0</v>
      </c>
      <c r="AU512" t="n">
        <v>72</v>
      </c>
      <c r="AV512" t="n">
        <v>0</v>
      </c>
      <c r="AW512" t="n">
        <v>72</v>
      </c>
      <c r="AX512" t="n">
        <v>96</v>
      </c>
      <c r="AY512" t="n">
        <v>0.6</v>
      </c>
      <c r="AZ512" t="e">
        <v>#N/A</v>
      </c>
      <c r="BA512" t="e">
        <v>#N/A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480</v>
      </c>
      <c r="BK512" t="n">
        <v>480</v>
      </c>
      <c r="BL512" t="n">
        <v>0</v>
      </c>
    </row>
    <row r="513" hidden="1" outlineLevel="1" s="191">
      <c r="A513" t="n">
        <v>2</v>
      </c>
      <c r="B513" t="inlineStr">
        <is>
          <t>a</t>
        </is>
      </c>
      <c r="C513" t="n">
        <v>8</v>
      </c>
      <c r="D513" t="inlineStr">
        <is>
          <t>.z05_2_a_8</t>
        </is>
      </c>
      <c r="E513" t="inlineStr">
        <is>
          <t xml:space="preserve">Implementacja zadania Kompletacja- odwzorowanie  mechanizmu decyzyjny sterowania przekaznikami rolkowymi </t>
        </is>
      </c>
      <c r="F513" t="n">
        <v>0</v>
      </c>
      <c r="G513" t="inlineStr">
        <is>
          <t>Developer</t>
        </is>
      </c>
      <c r="H513" t="n">
        <v>7</v>
      </c>
      <c r="I513" t="inlineStr">
        <is>
          <t>END/AGH</t>
        </is>
      </c>
      <c r="J513" t="n">
        <v>52</v>
      </c>
      <c r="K513" t="n">
        <v>46561</v>
      </c>
      <c r="L513" t="n">
        <v>46564</v>
      </c>
      <c r="M513" t="n">
        <v>54</v>
      </c>
      <c r="N513" t="n">
        <v>3</v>
      </c>
      <c r="O513" t="n">
        <v>280</v>
      </c>
      <c r="P513" t="n">
        <v>0.2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0.1</v>
      </c>
      <c r="AA513" t="n">
        <v>0</v>
      </c>
      <c r="AB513" t="n">
        <v>0</v>
      </c>
      <c r="AC513" t="n">
        <v>0.2</v>
      </c>
      <c r="AD513" t="n">
        <v>0.2</v>
      </c>
      <c r="AE513" t="n">
        <v>0.2</v>
      </c>
      <c r="AF513" t="n">
        <v>0.1</v>
      </c>
      <c r="AG513" t="n">
        <v>56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28</v>
      </c>
      <c r="AR513" t="n">
        <v>0</v>
      </c>
      <c r="AS513" t="n">
        <v>0</v>
      </c>
      <c r="AT513" t="n">
        <v>56</v>
      </c>
      <c r="AU513" t="n">
        <v>56</v>
      </c>
      <c r="AV513" t="n">
        <v>56</v>
      </c>
      <c r="AW513" t="n">
        <v>28</v>
      </c>
      <c r="AX513" t="n">
        <v>56</v>
      </c>
      <c r="AY513" t="n">
        <v>0.35</v>
      </c>
      <c r="AZ513" t="e">
        <v>#N/A</v>
      </c>
      <c r="BA513" t="e">
        <v>#N/A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280</v>
      </c>
      <c r="BK513" t="n">
        <v>280</v>
      </c>
      <c r="BL513" t="n">
        <v>0</v>
      </c>
    </row>
    <row r="514" hidden="1" outlineLevel="1" s="191">
      <c r="A514" t="n">
        <v>2</v>
      </c>
      <c r="B514" t="inlineStr">
        <is>
          <t>b</t>
        </is>
      </c>
      <c r="C514" t="n">
        <v>0</v>
      </c>
      <c r="D514" t="inlineStr">
        <is>
          <t>.z05_2_b_0</t>
        </is>
      </c>
      <c r="E514" t="inlineStr">
        <is>
          <t>Opracowanie i optymalizacja mechanizmów/narzędzi pozyskiwania i procesowania danych pozyskiwanych z aktualnego fizycznego systemu magazynowego</t>
        </is>
      </c>
      <c r="F514" t="n">
        <v>0</v>
      </c>
      <c r="G514" t="n">
        <v>0</v>
      </c>
      <c r="H514" t="n">
        <v>0</v>
      </c>
      <c r="I514" t="n">
        <v>0</v>
      </c>
      <c r="J514" t="n">
        <v>55</v>
      </c>
      <c r="K514" t="n">
        <v>46582</v>
      </c>
      <c r="L514" t="n">
        <v>46582</v>
      </c>
      <c r="M514" t="n">
        <v>54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</row>
    <row r="515" hidden="1" outlineLevel="1" s="191">
      <c r="A515" t="n">
        <v>2</v>
      </c>
      <c r="B515" t="inlineStr">
        <is>
          <t>b</t>
        </is>
      </c>
      <c r="C515" t="n">
        <v>1</v>
      </c>
      <c r="D515" t="inlineStr">
        <is>
          <t>.z05_2_b_1</t>
        </is>
      </c>
      <c r="E515" t="inlineStr">
        <is>
          <t xml:space="preserve">Inwentaryzacja procesow magazynowych </t>
        </is>
      </c>
      <c r="F515" t="n">
        <v>0</v>
      </c>
      <c r="G515" t="inlineStr">
        <is>
          <t>Ekspert merytoryczny</t>
        </is>
      </c>
      <c r="H515" t="e">
        <v>#REF!</v>
      </c>
      <c r="I515" t="inlineStr">
        <is>
          <t>ACT</t>
        </is>
      </c>
      <c r="J515" t="n">
        <v>55</v>
      </c>
      <c r="K515" t="n">
        <v>46582</v>
      </c>
      <c r="L515" t="n">
        <v>46584</v>
      </c>
      <c r="M515" t="n">
        <v>56</v>
      </c>
      <c r="N515" t="n">
        <v>2</v>
      </c>
      <c r="O515" t="n">
        <v>120</v>
      </c>
      <c r="P515" t="n">
        <v>0.333</v>
      </c>
      <c r="Q515" t="n">
        <v>0.333</v>
      </c>
      <c r="R515" t="n">
        <v>0.333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40</v>
      </c>
      <c r="AH515" t="n">
        <v>40</v>
      </c>
      <c r="AI515" t="n">
        <v>40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120</v>
      </c>
      <c r="AY515" t="n">
        <v>0.75</v>
      </c>
      <c r="AZ515" t="e">
        <v>#N/A</v>
      </c>
      <c r="BA515" t="e">
        <v>#N/A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120</v>
      </c>
      <c r="BK515" t="n">
        <v>120</v>
      </c>
      <c r="BL515" t="n">
        <v>0</v>
      </c>
    </row>
    <row r="516" hidden="1" outlineLevel="1" s="191">
      <c r="A516" t="n">
        <v>2</v>
      </c>
      <c r="B516" t="inlineStr">
        <is>
          <t>b</t>
        </is>
      </c>
      <c r="C516" t="n">
        <v>2</v>
      </c>
      <c r="D516" t="inlineStr">
        <is>
          <t>.z05_2_b_2</t>
        </is>
      </c>
      <c r="E516" t="inlineStr">
        <is>
          <t>Implementacja mechanizmów wczytywania konfiguracji obiektow na potrzeby symulacji zadania MWS</t>
        </is>
      </c>
      <c r="F516" t="n">
        <v>0</v>
      </c>
      <c r="G516" t="inlineStr">
        <is>
          <t>Developer</t>
        </is>
      </c>
      <c r="H516" t="n">
        <v>8</v>
      </c>
      <c r="I516" t="n">
        <v>0</v>
      </c>
      <c r="J516" t="n">
        <v>57</v>
      </c>
      <c r="K516" t="n">
        <v>46596</v>
      </c>
      <c r="L516" t="n">
        <v>46598</v>
      </c>
      <c r="M516" t="n">
        <v>58</v>
      </c>
      <c r="N516" t="n">
        <v>2</v>
      </c>
      <c r="O516" t="n">
        <v>120</v>
      </c>
      <c r="P516" t="n">
        <v>0.333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0.333</v>
      </c>
      <c r="Z516" t="n">
        <v>0</v>
      </c>
      <c r="AA516" t="n">
        <v>0</v>
      </c>
      <c r="AB516" t="n">
        <v>0</v>
      </c>
      <c r="AC516" t="n">
        <v>0</v>
      </c>
      <c r="AD516" t="n">
        <v>0.333</v>
      </c>
      <c r="AE516" t="n">
        <v>0</v>
      </c>
      <c r="AF516" t="n">
        <v>0</v>
      </c>
      <c r="AG516" t="n">
        <v>40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40</v>
      </c>
      <c r="AQ516" t="n">
        <v>0</v>
      </c>
      <c r="AR516" t="n">
        <v>0</v>
      </c>
      <c r="AS516" t="n">
        <v>0</v>
      </c>
      <c r="AT516" t="n">
        <v>0</v>
      </c>
      <c r="AU516" t="n">
        <v>40</v>
      </c>
      <c r="AV516" t="n">
        <v>0</v>
      </c>
      <c r="AW516" t="n">
        <v>0</v>
      </c>
      <c r="AX516" t="n">
        <v>40</v>
      </c>
      <c r="AY516" t="n">
        <v>0.25</v>
      </c>
      <c r="AZ516" t="e">
        <v>#N/A</v>
      </c>
      <c r="BA516" t="e">
        <v>#N/A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120</v>
      </c>
      <c r="BK516" t="n">
        <v>120</v>
      </c>
      <c r="BL516" t="n">
        <v>0</v>
      </c>
    </row>
    <row r="517" hidden="1" outlineLevel="1" s="191">
      <c r="A517" t="n">
        <v>2</v>
      </c>
      <c r="B517" t="inlineStr">
        <is>
          <t>b</t>
        </is>
      </c>
      <c r="C517" t="n">
        <v>3</v>
      </c>
      <c r="D517" t="inlineStr">
        <is>
          <t>.z05_2_b_3</t>
        </is>
      </c>
      <c r="E517" t="inlineStr">
        <is>
          <t>Implementacja mechanizmów wczytywania konfiguracji obiektow na potrzeby symulacji zadania Kompletacja</t>
        </is>
      </c>
      <c r="F517" t="n">
        <v>0</v>
      </c>
      <c r="G517" t="inlineStr">
        <is>
          <t>Developer</t>
        </is>
      </c>
      <c r="H517" t="n">
        <v>9</v>
      </c>
      <c r="I517" t="inlineStr">
        <is>
          <t>END/AGH</t>
        </is>
      </c>
      <c r="J517" t="n">
        <v>59</v>
      </c>
      <c r="K517" t="n">
        <v>46610</v>
      </c>
      <c r="L517" t="n">
        <v>46612</v>
      </c>
      <c r="M517" t="n">
        <v>60</v>
      </c>
      <c r="N517" t="n">
        <v>2</v>
      </c>
      <c r="O517" t="n">
        <v>120</v>
      </c>
      <c r="P517" t="n">
        <v>0.333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0.333</v>
      </c>
      <c r="AA517" t="n">
        <v>0</v>
      </c>
      <c r="AB517" t="n">
        <v>0</v>
      </c>
      <c r="AC517" t="n">
        <v>0</v>
      </c>
      <c r="AD517" t="n">
        <v>0</v>
      </c>
      <c r="AE517" t="n">
        <v>0.333</v>
      </c>
      <c r="AF517" t="n">
        <v>0</v>
      </c>
      <c r="AG517" t="n">
        <v>40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40</v>
      </c>
      <c r="AR517" t="n">
        <v>0</v>
      </c>
      <c r="AS517" t="n">
        <v>0</v>
      </c>
      <c r="AT517" t="n">
        <v>0</v>
      </c>
      <c r="AU517" t="n">
        <v>0</v>
      </c>
      <c r="AV517" t="n">
        <v>40</v>
      </c>
      <c r="AW517" t="n">
        <v>0</v>
      </c>
      <c r="AX517" t="n">
        <v>40</v>
      </c>
      <c r="AY517" t="n">
        <v>0.25</v>
      </c>
      <c r="AZ517" t="e">
        <v>#N/A</v>
      </c>
      <c r="BA517" t="e">
        <v>#N/A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120</v>
      </c>
      <c r="BK517" t="n">
        <v>120</v>
      </c>
      <c r="BL517" t="n">
        <v>0</v>
      </c>
    </row>
    <row r="518" hidden="1" outlineLevel="1" s="191">
      <c r="A518" t="n">
        <v>2</v>
      </c>
      <c r="B518" t="inlineStr">
        <is>
          <t>b</t>
        </is>
      </c>
      <c r="C518" t="n">
        <v>4</v>
      </c>
      <c r="D518" t="inlineStr">
        <is>
          <t>.z05_2_b_4</t>
        </is>
      </c>
      <c r="E518" t="inlineStr">
        <is>
          <t xml:space="preserve">Weryfikacja implementacji obiektow - przygotowanie testów jednostkowych </t>
        </is>
      </c>
      <c r="F518" t="n">
        <v>0</v>
      </c>
      <c r="G518" t="inlineStr">
        <is>
          <t>Developer</t>
        </is>
      </c>
      <c r="H518" t="n">
        <v>9</v>
      </c>
      <c r="I518" t="inlineStr">
        <is>
          <t>END/AGH</t>
        </is>
      </c>
      <c r="J518" t="n">
        <v>61</v>
      </c>
      <c r="K518" t="n">
        <v>46624</v>
      </c>
      <c r="L518" t="n">
        <v>46626</v>
      </c>
      <c r="M518" t="n">
        <v>62</v>
      </c>
      <c r="N518" t="n">
        <v>2</v>
      </c>
      <c r="O518" t="n">
        <v>120</v>
      </c>
      <c r="P518" t="n">
        <v>0.333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0.333</v>
      </c>
      <c r="AB518" t="n">
        <v>0</v>
      </c>
      <c r="AC518" t="n">
        <v>0</v>
      </c>
      <c r="AD518" t="n">
        <v>0</v>
      </c>
      <c r="AE518" t="n">
        <v>0</v>
      </c>
      <c r="AF518" t="n">
        <v>0.333</v>
      </c>
      <c r="AG518" t="n">
        <v>40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40</v>
      </c>
      <c r="AS518" t="n">
        <v>0</v>
      </c>
      <c r="AT518" t="n">
        <v>0</v>
      </c>
      <c r="AU518" t="n">
        <v>0</v>
      </c>
      <c r="AV518" t="n">
        <v>0</v>
      </c>
      <c r="AW518" t="n">
        <v>40</v>
      </c>
      <c r="AX518" t="n">
        <v>40</v>
      </c>
      <c r="AY518" t="n">
        <v>0.25</v>
      </c>
      <c r="AZ518" t="e">
        <v>#N/A</v>
      </c>
      <c r="BA518" t="e">
        <v>#N/A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120</v>
      </c>
      <c r="BK518" t="n">
        <v>120</v>
      </c>
      <c r="BL518" t="n">
        <v>0</v>
      </c>
    </row>
    <row r="519" hidden="1" outlineLevel="1" s="191">
      <c r="A519" t="n">
        <v>2</v>
      </c>
      <c r="B519" t="inlineStr">
        <is>
          <t>c</t>
        </is>
      </c>
      <c r="C519" t="n">
        <v>0</v>
      </c>
      <c r="D519" t="inlineStr">
        <is>
          <t>.z05_2_c_0</t>
        </is>
      </c>
      <c r="E519" t="inlineStr">
        <is>
          <t>Przeprowadzenie badań nad metodami prowadzenia symulacji w czasie rzeczywistym, które pozwolą przewidzieć zachowanie obiektu</t>
        </is>
      </c>
      <c r="F519" t="n">
        <v>0</v>
      </c>
      <c r="G519" t="n">
        <v>0</v>
      </c>
      <c r="H519" t="n">
        <v>10</v>
      </c>
      <c r="I519" t="n">
        <v>0</v>
      </c>
      <c r="J519" t="n">
        <v>63</v>
      </c>
      <c r="K519" t="n">
        <v>46638</v>
      </c>
      <c r="L519" t="n">
        <v>46638</v>
      </c>
      <c r="M519" t="n">
        <v>62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</row>
    <row r="520" hidden="1" outlineLevel="1" s="191">
      <c r="A520" t="n">
        <v>2</v>
      </c>
      <c r="B520" t="inlineStr">
        <is>
          <t>c</t>
        </is>
      </c>
      <c r="C520" t="n">
        <v>1</v>
      </c>
      <c r="D520" t="inlineStr">
        <is>
          <t>.z05_2_c_1</t>
        </is>
      </c>
      <c r="E520" t="inlineStr">
        <is>
          <t>Inwentaryzacja reguł stosowanych do procesow</t>
        </is>
      </c>
      <c r="F520" t="n">
        <v>0</v>
      </c>
      <c r="G520" t="inlineStr">
        <is>
          <t>Ekspert merytoryczny</t>
        </is>
      </c>
      <c r="H520" t="e">
        <v>#REF!</v>
      </c>
      <c r="I520" t="inlineStr">
        <is>
          <t>ACT</t>
        </is>
      </c>
      <c r="J520" t="n">
        <v>63</v>
      </c>
      <c r="K520" t="n">
        <v>46638</v>
      </c>
      <c r="L520" t="n">
        <v>46640</v>
      </c>
      <c r="M520" t="n">
        <v>64</v>
      </c>
      <c r="N520" t="n">
        <v>2</v>
      </c>
      <c r="O520" t="n">
        <v>120</v>
      </c>
      <c r="P520" t="n">
        <v>0</v>
      </c>
      <c r="Q520" t="n">
        <v>0.333</v>
      </c>
      <c r="R520" t="n">
        <v>0.333</v>
      </c>
      <c r="S520" t="n">
        <v>0.333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40</v>
      </c>
      <c r="AI520" t="n">
        <v>40</v>
      </c>
      <c r="AJ520" t="n">
        <v>40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120</v>
      </c>
      <c r="AY520" t="n">
        <v>0.75</v>
      </c>
      <c r="AZ520" t="e">
        <v>#N/A</v>
      </c>
      <c r="BA520" t="e">
        <v>#N/A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120</v>
      </c>
      <c r="BK520" t="n">
        <v>120</v>
      </c>
      <c r="BL520" t="n">
        <v>0</v>
      </c>
    </row>
    <row r="521" hidden="1" outlineLevel="1" s="191">
      <c r="A521" t="n">
        <v>2</v>
      </c>
      <c r="B521" t="inlineStr">
        <is>
          <t>c</t>
        </is>
      </c>
      <c r="C521" t="n">
        <v>2</v>
      </c>
      <c r="D521" t="inlineStr">
        <is>
          <t>.z05_2_c_2</t>
        </is>
      </c>
      <c r="E521" t="inlineStr">
        <is>
          <t xml:space="preserve">Opracowanie wymagań szczegółowych dla symulacji zadania MWS </t>
        </is>
      </c>
      <c r="F521" t="n">
        <v>0</v>
      </c>
      <c r="G521" t="inlineStr">
        <is>
          <t>Ekspert merytoryczny</t>
        </is>
      </c>
      <c r="H521" t="n">
        <v>11</v>
      </c>
      <c r="I521" t="inlineStr">
        <is>
          <t>AGH/END</t>
        </is>
      </c>
      <c r="J521" t="n">
        <v>65</v>
      </c>
      <c r="K521" t="n">
        <v>46652</v>
      </c>
      <c r="L521" t="n">
        <v>46653</v>
      </c>
      <c r="M521" t="n">
        <v>65</v>
      </c>
      <c r="N521" t="n">
        <v>1</v>
      </c>
      <c r="O521" t="n">
        <v>60</v>
      </c>
      <c r="P521" t="n">
        <v>0</v>
      </c>
      <c r="Q521" t="n">
        <v>0</v>
      </c>
      <c r="R521" t="n">
        <v>0.333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0.333</v>
      </c>
      <c r="AB521" t="n">
        <v>0</v>
      </c>
      <c r="AC521" t="n">
        <v>0.333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20</v>
      </c>
      <c r="AS521" t="n">
        <v>0</v>
      </c>
      <c r="AT521" t="n">
        <v>20</v>
      </c>
      <c r="AU521" t="n">
        <v>0</v>
      </c>
      <c r="AV521" t="n">
        <v>0</v>
      </c>
      <c r="AW521" t="n">
        <v>0</v>
      </c>
      <c r="AX521" t="n">
        <v>20</v>
      </c>
      <c r="AY521" t="n">
        <v>0.125</v>
      </c>
      <c r="AZ521" t="e">
        <v>#N/A</v>
      </c>
      <c r="BA521" t="e">
        <v>#N/A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60</v>
      </c>
      <c r="BK521" t="n">
        <v>60</v>
      </c>
      <c r="BL521" t="n">
        <v>0</v>
      </c>
    </row>
    <row r="522" hidden="1" outlineLevel="1" s="191">
      <c r="A522" t="n">
        <v>2</v>
      </c>
      <c r="B522" t="inlineStr">
        <is>
          <t>c</t>
        </is>
      </c>
      <c r="C522" t="n">
        <v>3</v>
      </c>
      <c r="D522" t="inlineStr">
        <is>
          <t>.z05_2_c_3</t>
        </is>
      </c>
      <c r="E522" t="inlineStr">
        <is>
          <t>Opracowanie wymagań szczegółowych dla symulacji zadania Kompletacja</t>
        </is>
      </c>
      <c r="F522" t="n">
        <v>0</v>
      </c>
      <c r="G522" t="inlineStr">
        <is>
          <t>Ekspert merytoryczny</t>
        </is>
      </c>
      <c r="H522" t="n">
        <v>12</v>
      </c>
      <c r="I522" t="inlineStr">
        <is>
          <t>AGH/END</t>
        </is>
      </c>
      <c r="J522" t="n">
        <v>66</v>
      </c>
      <c r="K522" t="n">
        <v>46659</v>
      </c>
      <c r="L522" t="n">
        <v>46660</v>
      </c>
      <c r="M522" t="n">
        <v>66</v>
      </c>
      <c r="N522" t="n">
        <v>1</v>
      </c>
      <c r="O522" t="n">
        <v>60</v>
      </c>
      <c r="P522" t="n">
        <v>0</v>
      </c>
      <c r="Q522" t="n">
        <v>0</v>
      </c>
      <c r="R522" t="n">
        <v>0</v>
      </c>
      <c r="S522" t="n">
        <v>0.333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0.333</v>
      </c>
      <c r="AB522" t="n">
        <v>0</v>
      </c>
      <c r="AC522" t="n">
        <v>0.333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20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20</v>
      </c>
      <c r="AS522" t="n">
        <v>0</v>
      </c>
      <c r="AT522" t="n">
        <v>20</v>
      </c>
      <c r="AU522" t="n">
        <v>0</v>
      </c>
      <c r="AV522" t="n">
        <v>0</v>
      </c>
      <c r="AW522" t="n">
        <v>0</v>
      </c>
      <c r="AX522" t="n">
        <v>20</v>
      </c>
      <c r="AY522" t="n">
        <v>0.125</v>
      </c>
      <c r="AZ522" t="e">
        <v>#N/A</v>
      </c>
      <c r="BA522" t="e">
        <v>#N/A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60</v>
      </c>
      <c r="BK522" t="n">
        <v>60</v>
      </c>
      <c r="BL522" t="n">
        <v>0</v>
      </c>
    </row>
    <row r="523" hidden="1" outlineLevel="1" s="191">
      <c r="A523" t="n">
        <v>2</v>
      </c>
      <c r="B523" t="inlineStr">
        <is>
          <t>c</t>
        </is>
      </c>
      <c r="C523" t="n">
        <v>4</v>
      </c>
      <c r="D523" t="inlineStr">
        <is>
          <t>.z05_2_c_4</t>
        </is>
      </c>
      <c r="E523" t="inlineStr">
        <is>
          <t>Analiza metod symulowania procesów</t>
        </is>
      </c>
      <c r="F523" t="n">
        <v>0</v>
      </c>
      <c r="G523" t="inlineStr">
        <is>
          <t>Ekspert merytoryczny</t>
        </is>
      </c>
      <c r="H523" t="n">
        <v>12</v>
      </c>
      <c r="I523" t="inlineStr">
        <is>
          <t>AGH</t>
        </is>
      </c>
      <c r="J523" t="n">
        <v>67</v>
      </c>
      <c r="K523" t="n">
        <v>46666</v>
      </c>
      <c r="L523" t="n">
        <v>46666</v>
      </c>
      <c r="M523" t="n">
        <v>66</v>
      </c>
      <c r="N523" t="n">
        <v>0</v>
      </c>
      <c r="O523" t="n">
        <v>80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0.5</v>
      </c>
      <c r="AE523" t="n">
        <v>0.5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40</v>
      </c>
      <c r="AV523" t="n">
        <v>40</v>
      </c>
      <c r="AW523" t="n">
        <v>0</v>
      </c>
      <c r="AX523" t="n">
        <v>0</v>
      </c>
      <c r="AY523" t="n">
        <v>0</v>
      </c>
      <c r="AZ523" t="e">
        <v>#N/A</v>
      </c>
      <c r="BA523" t="e">
        <v>#N/A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80</v>
      </c>
      <c r="BK523" t="n">
        <v>80</v>
      </c>
      <c r="BL523" t="n">
        <v>0</v>
      </c>
    </row>
    <row r="524" hidden="1" outlineLevel="1" s="191">
      <c r="A524" t="n">
        <v>2</v>
      </c>
      <c r="B524" t="inlineStr">
        <is>
          <t>c</t>
        </is>
      </c>
      <c r="C524" t="n">
        <v>5</v>
      </c>
      <c r="D524" t="inlineStr">
        <is>
          <t>.z05_2_c_5</t>
        </is>
      </c>
      <c r="E524" t="inlineStr">
        <is>
          <t>Analiza dostępnych danych dostępnych z procesów logistycznych</t>
        </is>
      </c>
      <c r="F524" t="n">
        <v>0</v>
      </c>
      <c r="G524" t="inlineStr">
        <is>
          <t>Ekspert merytoryczny</t>
        </is>
      </c>
      <c r="H524" t="n">
        <v>13</v>
      </c>
      <c r="I524" t="inlineStr">
        <is>
          <t>AGH</t>
        </is>
      </c>
      <c r="J524" t="n">
        <v>67</v>
      </c>
      <c r="K524" t="n">
        <v>46666</v>
      </c>
      <c r="L524" t="n">
        <v>46666</v>
      </c>
      <c r="M524" t="n">
        <v>66</v>
      </c>
      <c r="N524" t="n">
        <v>0</v>
      </c>
      <c r="O524" t="n">
        <v>80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0.5</v>
      </c>
      <c r="AF524" t="n">
        <v>0.5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40</v>
      </c>
      <c r="AW524" t="n">
        <v>40</v>
      </c>
      <c r="AX524" t="n">
        <v>0</v>
      </c>
      <c r="AY524" t="n">
        <v>0</v>
      </c>
      <c r="AZ524" t="e">
        <v>#N/A</v>
      </c>
      <c r="BA524" t="e">
        <v>#N/A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80</v>
      </c>
      <c r="BK524" t="n">
        <v>80</v>
      </c>
      <c r="BL524" t="n">
        <v>0</v>
      </c>
    </row>
    <row r="525" hidden="1" outlineLevel="1" s="191">
      <c r="A525" t="n">
        <v>2</v>
      </c>
      <c r="B525" t="inlineStr">
        <is>
          <t>c</t>
        </is>
      </c>
      <c r="C525" t="n">
        <v>6</v>
      </c>
      <c r="D525" t="inlineStr">
        <is>
          <t>.z05_2_c_6</t>
        </is>
      </c>
      <c r="E525" t="inlineStr">
        <is>
          <t>Ustalenie parametrów wejściowych dla symulacji zadania MWS</t>
        </is>
      </c>
      <c r="F525" t="n">
        <v>0</v>
      </c>
      <c r="G525" t="inlineStr">
        <is>
          <t>Ekspert merytoryczny/ Architekt rozwiazania</t>
        </is>
      </c>
      <c r="H525" t="n">
        <v>13</v>
      </c>
      <c r="I525" t="inlineStr">
        <is>
          <t>AGH/END</t>
        </is>
      </c>
      <c r="J525" t="n">
        <v>67</v>
      </c>
      <c r="K525" t="n">
        <v>46666</v>
      </c>
      <c r="L525" t="n">
        <v>46667</v>
      </c>
      <c r="M525" t="n">
        <v>67</v>
      </c>
      <c r="N525" t="n">
        <v>1</v>
      </c>
      <c r="O525" t="n">
        <v>60</v>
      </c>
      <c r="P525" t="n">
        <v>0.333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0.333</v>
      </c>
      <c r="Z525" t="n">
        <v>0</v>
      </c>
      <c r="AA525" t="n">
        <v>0</v>
      </c>
      <c r="AB525" t="n">
        <v>0</v>
      </c>
      <c r="AC525" t="n">
        <v>0.333</v>
      </c>
      <c r="AD525" t="n">
        <v>0</v>
      </c>
      <c r="AE525" t="n">
        <v>0</v>
      </c>
      <c r="AF525" t="n">
        <v>0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20</v>
      </c>
      <c r="AQ525" t="n">
        <v>0</v>
      </c>
      <c r="AR525" t="n">
        <v>0</v>
      </c>
      <c r="AS525" t="n">
        <v>0</v>
      </c>
      <c r="AT525" t="n">
        <v>20</v>
      </c>
      <c r="AU525" t="n">
        <v>0</v>
      </c>
      <c r="AV525" t="n">
        <v>0</v>
      </c>
      <c r="AW525" t="n">
        <v>0</v>
      </c>
      <c r="AX525" t="n">
        <v>20</v>
      </c>
      <c r="AY525" t="n">
        <v>0.125</v>
      </c>
      <c r="AZ525" t="e">
        <v>#N/A</v>
      </c>
      <c r="BA525" t="e">
        <v>#N/A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60</v>
      </c>
      <c r="BK525" t="n">
        <v>60</v>
      </c>
      <c r="BL525" t="n">
        <v>0</v>
      </c>
    </row>
    <row r="526" hidden="1" outlineLevel="1" s="191">
      <c r="A526" t="n">
        <v>2</v>
      </c>
      <c r="B526" t="inlineStr">
        <is>
          <t>c</t>
        </is>
      </c>
      <c r="C526" t="n">
        <v>7</v>
      </c>
      <c r="D526" t="inlineStr">
        <is>
          <t>.z05_2_c_7</t>
        </is>
      </c>
      <c r="E526" t="inlineStr">
        <is>
          <t>Ustalenie parametrów wejściowych dla symulacji zadania Kompletacja</t>
        </is>
      </c>
      <c r="F526" t="n">
        <v>0</v>
      </c>
      <c r="G526" t="inlineStr">
        <is>
          <t>Ekspert merytoryczny/ Architekt rozwiazania</t>
        </is>
      </c>
      <c r="H526" t="n">
        <v>14</v>
      </c>
      <c r="I526" t="inlineStr">
        <is>
          <t>AGH/END</t>
        </is>
      </c>
      <c r="J526" t="n">
        <v>68</v>
      </c>
      <c r="K526" t="n">
        <v>46673</v>
      </c>
      <c r="L526" t="n">
        <v>46674</v>
      </c>
      <c r="M526" t="n">
        <v>68</v>
      </c>
      <c r="N526" t="n">
        <v>1</v>
      </c>
      <c r="O526" t="n">
        <v>60</v>
      </c>
      <c r="P526" t="n">
        <v>0</v>
      </c>
      <c r="Q526" t="n">
        <v>0.333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0.333</v>
      </c>
      <c r="Z526" t="n">
        <v>0</v>
      </c>
      <c r="AA526" t="n">
        <v>0</v>
      </c>
      <c r="AB526" t="n">
        <v>0</v>
      </c>
      <c r="AC526" t="n">
        <v>0.333</v>
      </c>
      <c r="AD526" t="n">
        <v>0</v>
      </c>
      <c r="AE526" t="n">
        <v>0</v>
      </c>
      <c r="AF526" t="n">
        <v>0</v>
      </c>
      <c r="AG526" t="n">
        <v>0</v>
      </c>
      <c r="AH526" t="n">
        <v>20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20</v>
      </c>
      <c r="AQ526" t="n">
        <v>0</v>
      </c>
      <c r="AR526" t="n">
        <v>0</v>
      </c>
      <c r="AS526" t="n">
        <v>0</v>
      </c>
      <c r="AT526" t="n">
        <v>20</v>
      </c>
      <c r="AU526" t="n">
        <v>0</v>
      </c>
      <c r="AV526" t="n">
        <v>0</v>
      </c>
      <c r="AW526" t="n">
        <v>0</v>
      </c>
      <c r="AX526" t="n">
        <v>20</v>
      </c>
      <c r="AY526" t="n">
        <v>0.125</v>
      </c>
      <c r="AZ526" t="e">
        <v>#N/A</v>
      </c>
      <c r="BA526" t="e">
        <v>#N/A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60</v>
      </c>
      <c r="BK526" t="n">
        <v>60</v>
      </c>
      <c r="BL526" t="n">
        <v>0</v>
      </c>
    </row>
    <row r="527" hidden="1" outlineLevel="1" s="191">
      <c r="A527" t="n">
        <v>2</v>
      </c>
      <c r="B527" t="inlineStr">
        <is>
          <t>c</t>
        </is>
      </c>
      <c r="C527" t="n">
        <v>8</v>
      </c>
      <c r="D527" t="inlineStr">
        <is>
          <t>.z05_2_c_8</t>
        </is>
      </c>
      <c r="E527" t="inlineStr">
        <is>
          <t>Ustalenie parametrów wyjściowych dla symulacji zadania MWS</t>
        </is>
      </c>
      <c r="F527" t="n">
        <v>0</v>
      </c>
      <c r="G527" t="inlineStr">
        <is>
          <t>Ekspert merytoryczny/ Architekt rozwiazania</t>
        </is>
      </c>
      <c r="H527" t="n">
        <v>14</v>
      </c>
      <c r="I527" t="inlineStr">
        <is>
          <t>AGH/END</t>
        </is>
      </c>
      <c r="J527" t="n">
        <v>69</v>
      </c>
      <c r="K527" t="n">
        <v>46680</v>
      </c>
      <c r="L527" t="n">
        <v>46681</v>
      </c>
      <c r="M527" t="n">
        <v>69</v>
      </c>
      <c r="N527" t="n">
        <v>1</v>
      </c>
      <c r="O527" t="n">
        <v>60</v>
      </c>
      <c r="P527" t="n">
        <v>0.333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0.333</v>
      </c>
      <c r="Z527" t="n">
        <v>0</v>
      </c>
      <c r="AA527" t="n">
        <v>0</v>
      </c>
      <c r="AB527" t="n">
        <v>0</v>
      </c>
      <c r="AC527" t="n">
        <v>0.333</v>
      </c>
      <c r="AD527" t="n">
        <v>0</v>
      </c>
      <c r="AE527" t="n">
        <v>0</v>
      </c>
      <c r="AF527" t="n">
        <v>0</v>
      </c>
      <c r="AG527" t="n">
        <v>20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20</v>
      </c>
      <c r="AQ527" t="n">
        <v>0</v>
      </c>
      <c r="AR527" t="n">
        <v>0</v>
      </c>
      <c r="AS527" t="n">
        <v>0</v>
      </c>
      <c r="AT527" t="n">
        <v>20</v>
      </c>
      <c r="AU527" t="n">
        <v>0</v>
      </c>
      <c r="AV527" t="n">
        <v>0</v>
      </c>
      <c r="AW527" t="n">
        <v>0</v>
      </c>
      <c r="AX527" t="n">
        <v>20</v>
      </c>
      <c r="AY527" t="n">
        <v>0.125</v>
      </c>
      <c r="AZ527" t="e">
        <v>#N/A</v>
      </c>
      <c r="BA527" t="e">
        <v>#N/A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60</v>
      </c>
      <c r="BK527" t="n">
        <v>60</v>
      </c>
      <c r="BL527" t="n">
        <v>0</v>
      </c>
    </row>
    <row r="528" hidden="1" outlineLevel="1" s="191">
      <c r="A528" t="n">
        <v>2</v>
      </c>
      <c r="B528" t="inlineStr">
        <is>
          <t>c</t>
        </is>
      </c>
      <c r="C528" t="n">
        <v>9</v>
      </c>
      <c r="D528" t="inlineStr">
        <is>
          <t>.z05_2_c_9</t>
        </is>
      </c>
      <c r="E528" t="inlineStr">
        <is>
          <t>Ustalenie parametrów wyjściowych dla symulacji zadania Kompletacja</t>
        </is>
      </c>
      <c r="F528" t="n">
        <v>0</v>
      </c>
      <c r="G528" t="inlineStr">
        <is>
          <t>Ekspert merytoryczny/ Architekt rozwiazania</t>
        </is>
      </c>
      <c r="H528" t="n">
        <v>15</v>
      </c>
      <c r="I528" t="inlineStr">
        <is>
          <t>AGH/END</t>
        </is>
      </c>
      <c r="J528" t="n">
        <v>70</v>
      </c>
      <c r="K528" t="n">
        <v>46687</v>
      </c>
      <c r="L528" t="n">
        <v>46688</v>
      </c>
      <c r="M528" t="n">
        <v>70</v>
      </c>
      <c r="N528" t="n">
        <v>1</v>
      </c>
      <c r="O528" t="n">
        <v>60</v>
      </c>
      <c r="P528" t="n">
        <v>0</v>
      </c>
      <c r="Q528" t="n">
        <v>0.333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0.333</v>
      </c>
      <c r="Z528" t="n">
        <v>0</v>
      </c>
      <c r="AA528" t="n">
        <v>0</v>
      </c>
      <c r="AB528" t="n">
        <v>0</v>
      </c>
      <c r="AC528" t="n">
        <v>0.333</v>
      </c>
      <c r="AD528" t="n">
        <v>0</v>
      </c>
      <c r="AE528" t="n">
        <v>0</v>
      </c>
      <c r="AF528" t="n">
        <v>0</v>
      </c>
      <c r="AG528" t="n">
        <v>0</v>
      </c>
      <c r="AH528" t="n">
        <v>20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20</v>
      </c>
      <c r="AQ528" t="n">
        <v>0</v>
      </c>
      <c r="AR528" t="n">
        <v>0</v>
      </c>
      <c r="AS528" t="n">
        <v>0</v>
      </c>
      <c r="AT528" t="n">
        <v>20</v>
      </c>
      <c r="AU528" t="n">
        <v>0</v>
      </c>
      <c r="AV528" t="n">
        <v>0</v>
      </c>
      <c r="AW528" t="n">
        <v>0</v>
      </c>
      <c r="AX528" t="n">
        <v>20</v>
      </c>
      <c r="AY528" t="n">
        <v>0.125</v>
      </c>
      <c r="AZ528" t="e">
        <v>#N/A</v>
      </c>
      <c r="BA528" t="e">
        <v>#N/A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60</v>
      </c>
      <c r="BK528" t="n">
        <v>60</v>
      </c>
      <c r="BL528" t="n">
        <v>0</v>
      </c>
    </row>
    <row r="529" hidden="1" outlineLevel="1" s="191">
      <c r="A529" t="n">
        <v>2</v>
      </c>
      <c r="B529" t="inlineStr">
        <is>
          <t>c</t>
        </is>
      </c>
      <c r="C529" t="n">
        <v>10</v>
      </c>
      <c r="D529" t="inlineStr">
        <is>
          <t>.z05_2_c_10</t>
        </is>
      </c>
      <c r="E529" t="inlineStr">
        <is>
          <t>Badania nad symulacjami zadania MWS</t>
        </is>
      </c>
      <c r="F529" t="n">
        <v>0</v>
      </c>
      <c r="G529" t="inlineStr">
        <is>
          <t>Ekspert merytoryczny</t>
        </is>
      </c>
      <c r="H529" t="n">
        <v>15</v>
      </c>
      <c r="I529" t="inlineStr">
        <is>
          <t>AGH/END</t>
        </is>
      </c>
      <c r="J529" t="n">
        <v>71</v>
      </c>
      <c r="K529" t="n">
        <v>46694</v>
      </c>
      <c r="L529" t="n">
        <v>46696</v>
      </c>
      <c r="M529" t="n">
        <v>72</v>
      </c>
      <c r="N529" t="n">
        <v>2</v>
      </c>
      <c r="O529" t="n">
        <v>200</v>
      </c>
      <c r="P529" t="n">
        <v>0</v>
      </c>
      <c r="Q529" t="n">
        <v>0</v>
      </c>
      <c r="R529" t="n">
        <v>0.2</v>
      </c>
      <c r="S529" t="n">
        <v>0.2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0.2</v>
      </c>
      <c r="AE529" t="n">
        <v>0.2</v>
      </c>
      <c r="AF529" t="n">
        <v>0.2</v>
      </c>
      <c r="AG529" t="n">
        <v>0</v>
      </c>
      <c r="AH529" t="n">
        <v>0</v>
      </c>
      <c r="AI529" t="n">
        <v>40</v>
      </c>
      <c r="AJ529" t="n">
        <v>40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40</v>
      </c>
      <c r="AV529" t="n">
        <v>40</v>
      </c>
      <c r="AW529" t="n">
        <v>40</v>
      </c>
      <c r="AX529" t="n">
        <v>80</v>
      </c>
      <c r="AY529" t="n">
        <v>0.5</v>
      </c>
      <c r="AZ529" t="e">
        <v>#N/A</v>
      </c>
      <c r="BA529" t="e">
        <v>#N/A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200</v>
      </c>
      <c r="BK529" t="n">
        <v>200</v>
      </c>
      <c r="BL529" t="n">
        <v>0</v>
      </c>
    </row>
    <row r="530" hidden="1" outlineLevel="1" s="191">
      <c r="A530" t="n">
        <v>2</v>
      </c>
      <c r="B530" t="inlineStr">
        <is>
          <t>c</t>
        </is>
      </c>
      <c r="C530" t="n">
        <v>11</v>
      </c>
      <c r="D530" t="inlineStr">
        <is>
          <t>.z05_2_c_11</t>
        </is>
      </c>
      <c r="E530" t="inlineStr">
        <is>
          <t xml:space="preserve">Badania nad symulacjami zadania Kompletacja </t>
        </is>
      </c>
      <c r="F530" t="n">
        <v>0</v>
      </c>
      <c r="G530" t="inlineStr">
        <is>
          <t>Ekspert merytoryczny</t>
        </is>
      </c>
      <c r="H530" t="n">
        <v>16</v>
      </c>
      <c r="I530" t="inlineStr">
        <is>
          <t>AGH/END</t>
        </is>
      </c>
      <c r="J530" t="n">
        <v>73</v>
      </c>
      <c r="K530" t="n">
        <v>46708</v>
      </c>
      <c r="L530" t="n">
        <v>46708</v>
      </c>
      <c r="M530" t="n">
        <v>72</v>
      </c>
      <c r="N530" t="n">
        <v>0</v>
      </c>
      <c r="O530" t="n">
        <v>200</v>
      </c>
      <c r="P530" t="n">
        <v>0</v>
      </c>
      <c r="Q530" t="n">
        <v>0</v>
      </c>
      <c r="R530" t="n">
        <v>0.2</v>
      </c>
      <c r="S530" t="n">
        <v>0.2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0.2</v>
      </c>
      <c r="AE530" t="n">
        <v>0.2</v>
      </c>
      <c r="AF530" t="n">
        <v>0.2</v>
      </c>
      <c r="AG530" t="n">
        <v>0</v>
      </c>
      <c r="AH530" t="n">
        <v>0</v>
      </c>
      <c r="AI530" t="n">
        <v>40</v>
      </c>
      <c r="AJ530" t="n">
        <v>40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40</v>
      </c>
      <c r="AV530" t="n">
        <v>40</v>
      </c>
      <c r="AW530" t="n">
        <v>40</v>
      </c>
      <c r="AX530" t="n">
        <v>80</v>
      </c>
      <c r="AY530" t="n">
        <v>0.5</v>
      </c>
      <c r="AZ530" t="e">
        <v>#N/A</v>
      </c>
      <c r="BA530" t="e">
        <v>#N/A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200</v>
      </c>
      <c r="BK530" t="n">
        <v>200</v>
      </c>
      <c r="BL530" t="n">
        <v>0</v>
      </c>
    </row>
    <row r="531" hidden="1" outlineLevel="1" s="191">
      <c r="A531" t="n">
        <v>3</v>
      </c>
      <c r="B531" t="inlineStr">
        <is>
          <t>a</t>
        </is>
      </c>
      <c r="C531" t="n">
        <v>0</v>
      </c>
      <c r="D531" t="inlineStr">
        <is>
          <t>.z05_3_a_0</t>
        </is>
      </c>
      <c r="E531" t="inlineStr">
        <is>
          <t>3.Integracja fizyczno-cyfrowa</t>
        </is>
      </c>
      <c r="F531" t="n">
        <v>0</v>
      </c>
      <c r="G531" t="n">
        <v>0</v>
      </c>
      <c r="H531" t="n">
        <v>16</v>
      </c>
      <c r="I531" t="n">
        <v>0</v>
      </c>
      <c r="J531" t="n">
        <v>73</v>
      </c>
      <c r="K531" t="n">
        <v>46708</v>
      </c>
      <c r="L531" t="n">
        <v>46708</v>
      </c>
      <c r="M531" t="n">
        <v>72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</row>
    <row r="532" hidden="1" outlineLevel="1" s="191">
      <c r="A532" t="n">
        <v>3</v>
      </c>
      <c r="B532" t="inlineStr">
        <is>
          <t>a</t>
        </is>
      </c>
      <c r="C532" t="n">
        <v>1</v>
      </c>
      <c r="D532" t="inlineStr">
        <is>
          <t>.z05_3_a_1</t>
        </is>
      </c>
      <c r="E532" t="inlineStr">
        <is>
          <t>Opracowanie mechanizmów dwukierunkowej wymiany informacji między rzeczywistym obiektem a jego cyfrową kopią (badania nad sprzężeniem zwrotnym)</t>
        </is>
      </c>
      <c r="F532" t="n">
        <v>0</v>
      </c>
      <c r="G532" t="n">
        <v>0</v>
      </c>
      <c r="H532" t="n">
        <v>0</v>
      </c>
      <c r="I532" t="n">
        <v>0</v>
      </c>
      <c r="J532" t="n">
        <v>73</v>
      </c>
      <c r="K532" t="n">
        <v>46708</v>
      </c>
      <c r="L532" t="n">
        <v>46708</v>
      </c>
      <c r="M532" t="n">
        <v>72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</row>
    <row r="533" hidden="1" outlineLevel="1" s="191">
      <c r="A533" t="n">
        <v>3</v>
      </c>
      <c r="B533" t="inlineStr">
        <is>
          <t>b</t>
        </is>
      </c>
      <c r="C533" t="n">
        <v>0</v>
      </c>
      <c r="D533" t="inlineStr">
        <is>
          <t>.z05_3_b_0</t>
        </is>
      </c>
      <c r="E533" t="inlineStr">
        <is>
          <t>Opracowanie mechanizmów synchronizacji zmian w czasie rzeczywistym, aby cyfrowy bliźniak mógł wiernie odzwierciedlać stan rzeczywisty (badania nad synchronizacją danych)</t>
        </is>
      </c>
      <c r="F533" t="n">
        <v>0</v>
      </c>
      <c r="G533" t="n">
        <v>0</v>
      </c>
      <c r="H533" t="n">
        <v>0</v>
      </c>
      <c r="I533" t="n">
        <v>0</v>
      </c>
      <c r="J533" t="n">
        <v>73</v>
      </c>
      <c r="K533" t="n">
        <v>46708</v>
      </c>
      <c r="L533" t="n">
        <v>46708</v>
      </c>
      <c r="M533" t="n">
        <v>72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</row>
    <row r="534" hidden="1" outlineLevel="1" s="191">
      <c r="A534" t="n">
        <v>3</v>
      </c>
      <c r="B534" t="inlineStr">
        <is>
          <t>b</t>
        </is>
      </c>
      <c r="C534" t="n">
        <v>1</v>
      </c>
      <c r="D534" t="inlineStr">
        <is>
          <t>.z05_3_b_1</t>
        </is>
      </c>
      <c r="E534" t="inlineStr">
        <is>
          <t>Analiza wykonalności integracji z systemami magazynowymi</t>
        </is>
      </c>
      <c r="F534" t="n">
        <v>0</v>
      </c>
      <c r="G534" t="inlineStr">
        <is>
          <t>Ekspert merytoryczny/ Architekt rozwiazania</t>
        </is>
      </c>
      <c r="H534" t="e">
        <v>#REF!</v>
      </c>
      <c r="I534" t="inlineStr">
        <is>
          <t>END</t>
        </is>
      </c>
      <c r="J534" t="n">
        <v>73</v>
      </c>
      <c r="K534" t="n">
        <v>46708</v>
      </c>
      <c r="L534" t="n">
        <v>46710</v>
      </c>
      <c r="M534" t="n">
        <v>74</v>
      </c>
      <c r="N534" t="n">
        <v>2</v>
      </c>
      <c r="O534" t="n">
        <v>120</v>
      </c>
      <c r="P534" t="n">
        <v>0.333</v>
      </c>
      <c r="Q534" t="n">
        <v>0</v>
      </c>
      <c r="R534" t="n">
        <v>0</v>
      </c>
      <c r="S534" t="n">
        <v>0.333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0.333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40</v>
      </c>
      <c r="AH534" t="n">
        <v>0</v>
      </c>
      <c r="AI534" t="n">
        <v>0</v>
      </c>
      <c r="AJ534" t="n">
        <v>40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40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80</v>
      </c>
      <c r="AY534" t="n">
        <v>0.5</v>
      </c>
      <c r="AZ534" t="e">
        <v>#N/A</v>
      </c>
      <c r="BA534" t="e">
        <v>#N/A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120</v>
      </c>
      <c r="BK534" t="n">
        <v>120</v>
      </c>
      <c r="BL534" t="n">
        <v>0</v>
      </c>
    </row>
    <row r="535" hidden="1" outlineLevel="1" s="191">
      <c r="A535" t="n">
        <v>3</v>
      </c>
      <c r="B535" t="inlineStr">
        <is>
          <t>b</t>
        </is>
      </c>
      <c r="C535" t="n">
        <v>2</v>
      </c>
      <c r="D535" t="inlineStr">
        <is>
          <t>.z05_3_b_2</t>
        </is>
      </c>
      <c r="E535" t="inlineStr">
        <is>
          <t>Opracowanie wymagań szczegółowych dla mechanizmow synchronizacji</t>
        </is>
      </c>
      <c r="F535" t="n">
        <v>0</v>
      </c>
      <c r="G535" t="inlineStr">
        <is>
          <t>Ekspert merytoryczny/ Architekt rozwiazania</t>
        </is>
      </c>
      <c r="H535" t="n">
        <v>17</v>
      </c>
      <c r="I535" t="inlineStr">
        <is>
          <t>END</t>
        </is>
      </c>
      <c r="J535" t="n">
        <v>75</v>
      </c>
      <c r="K535" t="n">
        <v>46722</v>
      </c>
      <c r="L535" t="n">
        <v>46724</v>
      </c>
      <c r="M535" t="n">
        <v>76</v>
      </c>
      <c r="N535" t="n">
        <v>2</v>
      </c>
      <c r="O535" t="n">
        <v>120</v>
      </c>
      <c r="P535" t="n">
        <v>0.333</v>
      </c>
      <c r="Q535" t="n">
        <v>0</v>
      </c>
      <c r="R535" t="n">
        <v>0</v>
      </c>
      <c r="S535" t="n">
        <v>0.333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0.333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40</v>
      </c>
      <c r="AH535" t="n">
        <v>0</v>
      </c>
      <c r="AI535" t="n">
        <v>0</v>
      </c>
      <c r="AJ535" t="n">
        <v>40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40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80</v>
      </c>
      <c r="AY535" t="n">
        <v>0.5</v>
      </c>
      <c r="AZ535" t="e">
        <v>#N/A</v>
      </c>
      <c r="BA535" t="e">
        <v>#N/A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120</v>
      </c>
      <c r="BK535" t="n">
        <v>120</v>
      </c>
      <c r="BL535" t="n">
        <v>0</v>
      </c>
    </row>
    <row r="536" hidden="1" outlineLevel="1" s="191">
      <c r="A536" t="n">
        <v>3</v>
      </c>
      <c r="B536" t="inlineStr">
        <is>
          <t>b</t>
        </is>
      </c>
      <c r="C536" t="n">
        <v>3</v>
      </c>
      <c r="D536" t="inlineStr">
        <is>
          <t>.z05_3_b_3</t>
        </is>
      </c>
      <c r="E536" t="inlineStr">
        <is>
          <t>Implementacja mechanizmu/mechanizmow synchronizacji danych na potrzeby symulacji zadania MWS</t>
        </is>
      </c>
      <c r="F536" t="n">
        <v>0</v>
      </c>
      <c r="G536" t="inlineStr">
        <is>
          <t>Developer</t>
        </is>
      </c>
      <c r="H536" t="n">
        <v>18</v>
      </c>
      <c r="I536" t="inlineStr">
        <is>
          <t>END</t>
        </is>
      </c>
      <c r="J536" t="n">
        <v>77</v>
      </c>
      <c r="K536" t="n">
        <v>46736</v>
      </c>
      <c r="L536" t="n">
        <v>46738</v>
      </c>
      <c r="M536" t="n">
        <v>78</v>
      </c>
      <c r="N536" t="n">
        <v>2</v>
      </c>
      <c r="O536" t="n">
        <v>160</v>
      </c>
      <c r="P536" t="n">
        <v>0.25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0.75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40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120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40</v>
      </c>
      <c r="AY536" t="n">
        <v>0.25</v>
      </c>
      <c r="AZ536" t="e">
        <v>#N/A</v>
      </c>
      <c r="BA536" t="e">
        <v>#N/A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160</v>
      </c>
      <c r="BK536" t="n">
        <v>160</v>
      </c>
      <c r="BL536" t="n">
        <v>0</v>
      </c>
    </row>
    <row r="537" hidden="1" outlineLevel="1" s="191">
      <c r="A537" t="n">
        <v>3</v>
      </c>
      <c r="B537" t="inlineStr">
        <is>
          <t>b</t>
        </is>
      </c>
      <c r="C537" t="n">
        <v>4</v>
      </c>
      <c r="D537" t="inlineStr">
        <is>
          <t>.z05_3_b_4</t>
        </is>
      </c>
      <c r="E537" t="inlineStr">
        <is>
          <t>Implementacja mechanizmu/mechanizmow synchronizacji danych na potrzeby symulacji zadania Kompletacja</t>
        </is>
      </c>
      <c r="F537" t="n">
        <v>0</v>
      </c>
      <c r="G537" t="inlineStr">
        <is>
          <t>Developer</t>
        </is>
      </c>
      <c r="H537" t="n">
        <v>19</v>
      </c>
      <c r="I537" t="inlineStr">
        <is>
          <t>END</t>
        </is>
      </c>
      <c r="J537" t="n">
        <v>79</v>
      </c>
      <c r="K537" t="n">
        <v>46750</v>
      </c>
      <c r="L537" t="n">
        <v>46750</v>
      </c>
      <c r="M537" t="n">
        <v>78</v>
      </c>
      <c r="N537" t="n">
        <v>0</v>
      </c>
      <c r="O537" t="n">
        <v>160</v>
      </c>
      <c r="P537" t="n">
        <v>0</v>
      </c>
      <c r="Q537" t="n">
        <v>0.25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0.75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40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120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40</v>
      </c>
      <c r="AY537" t="n">
        <v>0.25</v>
      </c>
      <c r="AZ537" t="e">
        <v>#N/A</v>
      </c>
      <c r="BA537" t="e">
        <v>#N/A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160</v>
      </c>
      <c r="BK537" t="n">
        <v>160</v>
      </c>
      <c r="BL537" t="n">
        <v>0</v>
      </c>
    </row>
    <row r="538" hidden="1" outlineLevel="1" s="191">
      <c r="A538" t="n">
        <v>3</v>
      </c>
      <c r="B538" t="inlineStr">
        <is>
          <t>c</t>
        </is>
      </c>
      <c r="C538" t="n">
        <v>0</v>
      </c>
      <c r="D538" t="inlineStr">
        <is>
          <t>.z05_3_c_0</t>
        </is>
      </c>
      <c r="E538" t="inlineStr">
        <is>
          <t>Opracowanie mechanizmów/narzędzi zapewniających ochronę danych przed atakami, a także zabezpieczenia przed błędami w transmisji i synchronizacji (badania nad bezpieczeństwem systemów)</t>
        </is>
      </c>
      <c r="F538" t="n">
        <v>0</v>
      </c>
      <c r="G538" t="n">
        <v>0</v>
      </c>
      <c r="H538" t="n">
        <v>19</v>
      </c>
      <c r="I538" t="n">
        <v>0</v>
      </c>
      <c r="J538" t="n">
        <v>79</v>
      </c>
      <c r="K538" t="n">
        <v>46750</v>
      </c>
      <c r="L538" t="n">
        <v>46750</v>
      </c>
      <c r="M538" t="n">
        <v>78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</row>
    <row r="539" hidden="1" outlineLevel="1" s="191">
      <c r="A539" t="n">
        <v>3</v>
      </c>
      <c r="B539" t="inlineStr">
        <is>
          <t>c</t>
        </is>
      </c>
      <c r="C539" t="n">
        <v>1</v>
      </c>
      <c r="D539" t="inlineStr">
        <is>
          <t>.z05_3_c_1</t>
        </is>
      </c>
      <c r="E539" t="inlineStr">
        <is>
          <t>Opracowanie wymagań bezpieczenstwa infrastruktury IT</t>
        </is>
      </c>
      <c r="F539" t="n">
        <v>0</v>
      </c>
      <c r="G539" t="inlineStr">
        <is>
          <t>Ekspert merytoryczny/ Architekt rozwiazania</t>
        </is>
      </c>
      <c r="H539" t="n">
        <v>0</v>
      </c>
      <c r="I539" t="inlineStr">
        <is>
          <t>END</t>
        </is>
      </c>
      <c r="J539" t="n">
        <v>79</v>
      </c>
      <c r="K539" t="n">
        <v>46750</v>
      </c>
      <c r="L539" t="n">
        <v>46751</v>
      </c>
      <c r="M539" t="n">
        <v>79</v>
      </c>
      <c r="N539" t="n">
        <v>1</v>
      </c>
      <c r="O539" t="n">
        <v>80</v>
      </c>
      <c r="P539" t="n">
        <v>0</v>
      </c>
      <c r="Q539" t="n">
        <v>0</v>
      </c>
      <c r="R539" t="n">
        <v>0</v>
      </c>
      <c r="S539" t="n">
        <v>0.25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0.75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20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60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20</v>
      </c>
      <c r="AY539" t="n">
        <v>0.125</v>
      </c>
      <c r="AZ539" t="e">
        <v>#N/A</v>
      </c>
      <c r="BA539" t="e">
        <v>#N/A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80</v>
      </c>
      <c r="BK539" t="n">
        <v>80</v>
      </c>
      <c r="BL539" t="n">
        <v>0</v>
      </c>
    </row>
    <row r="540" hidden="1" outlineLevel="1" s="191">
      <c r="A540" t="n">
        <v>3</v>
      </c>
      <c r="B540" t="inlineStr">
        <is>
          <t>c</t>
        </is>
      </c>
      <c r="C540" t="n">
        <v>2</v>
      </c>
      <c r="D540" t="inlineStr">
        <is>
          <t>.z05_3_c_2</t>
        </is>
      </c>
      <c r="E540" t="inlineStr">
        <is>
          <t>Opracowanie wymagań bezpieczenstwa danych</t>
        </is>
      </c>
      <c r="F540" t="n">
        <v>0</v>
      </c>
      <c r="G540" t="inlineStr">
        <is>
          <t>Ekspert merytoryczny/ Architekt rozwiazania</t>
        </is>
      </c>
      <c r="H540" t="n">
        <v>20</v>
      </c>
      <c r="I540" t="inlineStr">
        <is>
          <t>END</t>
        </is>
      </c>
      <c r="J540" t="n">
        <v>80</v>
      </c>
      <c r="K540" t="n">
        <v>46757</v>
      </c>
      <c r="L540" t="n">
        <v>46758</v>
      </c>
      <c r="M540" t="n">
        <v>80</v>
      </c>
      <c r="N540" t="n">
        <v>1</v>
      </c>
      <c r="O540" t="n">
        <v>80</v>
      </c>
      <c r="P540" t="n">
        <v>0</v>
      </c>
      <c r="Q540" t="n">
        <v>0</v>
      </c>
      <c r="R540" t="n">
        <v>0</v>
      </c>
      <c r="S540" t="n">
        <v>0.25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0.75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60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20</v>
      </c>
      <c r="AY540" t="n">
        <v>0.125</v>
      </c>
      <c r="AZ540" t="e">
        <v>#N/A</v>
      </c>
      <c r="BA540" t="e">
        <v>#N/A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80</v>
      </c>
      <c r="BK540" t="n">
        <v>80</v>
      </c>
      <c r="BL540" t="n">
        <v>0</v>
      </c>
    </row>
    <row r="541" hidden="1" outlineLevel="1" s="191">
      <c r="A541" t="n">
        <v>3</v>
      </c>
      <c r="B541" t="inlineStr">
        <is>
          <t>c</t>
        </is>
      </c>
      <c r="C541" t="n">
        <v>3</v>
      </c>
      <c r="D541" t="inlineStr">
        <is>
          <t>.z05_3_c_3</t>
        </is>
      </c>
      <c r="E541" t="inlineStr">
        <is>
          <t>Opracowanie wymagań bezpieczenstwa mechanizmow synchronizacji</t>
        </is>
      </c>
      <c r="F541" t="n">
        <v>0</v>
      </c>
      <c r="G541" t="inlineStr">
        <is>
          <t>Ekspert merytoryczny/ Architekt rozwiazania</t>
        </is>
      </c>
      <c r="H541" t="n">
        <v>20</v>
      </c>
      <c r="I541" t="inlineStr">
        <is>
          <t>END</t>
        </is>
      </c>
      <c r="J541" t="n">
        <v>81</v>
      </c>
      <c r="K541" t="n">
        <v>46764</v>
      </c>
      <c r="L541" t="n">
        <v>46765</v>
      </c>
      <c r="M541" t="n">
        <v>81</v>
      </c>
      <c r="N541" t="n">
        <v>1</v>
      </c>
      <c r="O541" t="n">
        <v>80</v>
      </c>
      <c r="P541" t="n">
        <v>0</v>
      </c>
      <c r="Q541" t="n">
        <v>0</v>
      </c>
      <c r="R541" t="n">
        <v>0</v>
      </c>
      <c r="S541" t="n">
        <v>0.25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0.75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20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60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20</v>
      </c>
      <c r="AY541" t="n">
        <v>0.125</v>
      </c>
      <c r="AZ541" t="e">
        <v>#N/A</v>
      </c>
      <c r="BA541" t="e">
        <v>#N/A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80</v>
      </c>
      <c r="BK541" t="n">
        <v>80</v>
      </c>
      <c r="BL541" t="n">
        <v>0</v>
      </c>
    </row>
    <row r="542" hidden="1" outlineLevel="1" s="191">
      <c r="A542" t="n">
        <v>4</v>
      </c>
      <c r="B542" t="inlineStr">
        <is>
          <t>a</t>
        </is>
      </c>
      <c r="C542" t="n">
        <v>-1</v>
      </c>
      <c r="D542" t="inlineStr">
        <is>
          <t>.z05_4_a_-1</t>
        </is>
      </c>
      <c r="E542" t="inlineStr">
        <is>
          <t>4.Zaawansowana analityka</t>
        </is>
      </c>
      <c r="F542" t="n">
        <v>0</v>
      </c>
      <c r="G542" t="n">
        <v>0</v>
      </c>
      <c r="H542" t="n">
        <v>20</v>
      </c>
      <c r="I542" t="n">
        <v>0</v>
      </c>
      <c r="J542" t="n">
        <v>82</v>
      </c>
      <c r="K542" t="n">
        <v>46771</v>
      </c>
      <c r="L542" t="n">
        <v>46771</v>
      </c>
      <c r="M542" t="n">
        <v>81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</row>
    <row r="543" hidden="1" outlineLevel="1" s="191">
      <c r="A543" t="n">
        <v>4</v>
      </c>
      <c r="B543" t="inlineStr">
        <is>
          <t>a</t>
        </is>
      </c>
      <c r="C543" t="n">
        <v>0</v>
      </c>
      <c r="D543" t="inlineStr">
        <is>
          <t>.z05_4_a_0</t>
        </is>
      </c>
      <c r="E543" t="inlineStr">
        <is>
          <t>Opracowanie algorytmów/modeli do optymalizacji procesów czy autonomicznych decyzji</t>
        </is>
      </c>
      <c r="F543" t="n">
        <v>0</v>
      </c>
      <c r="G543" t="n">
        <v>0</v>
      </c>
      <c r="H543" t="n">
        <v>0</v>
      </c>
      <c r="I543" t="n">
        <v>0</v>
      </c>
      <c r="J543" t="n">
        <v>82</v>
      </c>
      <c r="K543" t="n">
        <v>46771</v>
      </c>
      <c r="L543" t="n">
        <v>46771</v>
      </c>
      <c r="M543" t="n">
        <v>81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</row>
    <row r="544" hidden="1" outlineLevel="1" s="191">
      <c r="A544" t="n">
        <v>4</v>
      </c>
      <c r="B544" t="inlineStr">
        <is>
          <t>a</t>
        </is>
      </c>
      <c r="C544" t="n">
        <v>1</v>
      </c>
      <c r="D544" t="inlineStr">
        <is>
          <t>.z05_4_a_1</t>
        </is>
      </c>
      <c r="E544" t="inlineStr">
        <is>
          <t xml:space="preserve">Analiza rozpoznawcza zgromadzonych danych </t>
        </is>
      </c>
      <c r="F544" t="n">
        <v>0</v>
      </c>
      <c r="G544" t="inlineStr">
        <is>
          <t>Analityk danych</t>
        </is>
      </c>
      <c r="H544" t="n">
        <v>0</v>
      </c>
      <c r="I544" t="inlineStr">
        <is>
          <t>END</t>
        </is>
      </c>
      <c r="J544" t="n">
        <v>82</v>
      </c>
      <c r="K544" t="n">
        <v>46771</v>
      </c>
      <c r="L544" t="n">
        <v>46772</v>
      </c>
      <c r="M544" t="n">
        <v>82</v>
      </c>
      <c r="N544" t="n">
        <v>1</v>
      </c>
      <c r="O544" t="n">
        <v>80</v>
      </c>
      <c r="P544" t="n">
        <v>0</v>
      </c>
      <c r="Q544" t="n">
        <v>0</v>
      </c>
      <c r="R544" t="n">
        <v>0.25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0.75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60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20</v>
      </c>
      <c r="AY544" t="n">
        <v>0.125</v>
      </c>
      <c r="AZ544" t="e">
        <v>#N/A</v>
      </c>
      <c r="BA544" t="e">
        <v>#N/A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80</v>
      </c>
      <c r="BK544" t="n">
        <v>80</v>
      </c>
      <c r="BL544" t="n">
        <v>0</v>
      </c>
    </row>
    <row r="545" hidden="1" outlineLevel="1" s="191">
      <c r="A545" t="n">
        <v>4</v>
      </c>
      <c r="B545" t="inlineStr">
        <is>
          <t>a</t>
        </is>
      </c>
      <c r="C545" t="n">
        <v>2</v>
      </c>
      <c r="D545" t="inlineStr">
        <is>
          <t>.z05_4_a_2</t>
        </is>
      </c>
      <c r="E545" t="inlineStr">
        <is>
          <t xml:space="preserve">Analiza danych dla istniejacego algorytmu trasowania przenośnikow </t>
        </is>
      </c>
      <c r="F545" t="n">
        <v>0</v>
      </c>
      <c r="G545" t="inlineStr">
        <is>
          <t>Analityk danych</t>
        </is>
      </c>
      <c r="H545" t="n">
        <v>21</v>
      </c>
      <c r="I545" t="inlineStr">
        <is>
          <t>END</t>
        </is>
      </c>
      <c r="J545" t="n">
        <v>83</v>
      </c>
      <c r="K545" t="n">
        <v>46778</v>
      </c>
      <c r="L545" t="n">
        <v>46780</v>
      </c>
      <c r="M545" t="n">
        <v>84</v>
      </c>
      <c r="N545" t="n">
        <v>2</v>
      </c>
      <c r="O545" t="n">
        <v>160</v>
      </c>
      <c r="P545" t="n">
        <v>0</v>
      </c>
      <c r="Q545" t="n">
        <v>0</v>
      </c>
      <c r="R545" t="n">
        <v>0.25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0.25</v>
      </c>
      <c r="AA545" t="n">
        <v>0</v>
      </c>
      <c r="AB545" t="n">
        <v>0</v>
      </c>
      <c r="AC545" t="n">
        <v>0.25</v>
      </c>
      <c r="AD545" t="n">
        <v>0.25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40</v>
      </c>
      <c r="AR545" t="n">
        <v>0</v>
      </c>
      <c r="AS545" t="n">
        <v>0</v>
      </c>
      <c r="AT545" t="n">
        <v>40</v>
      </c>
      <c r="AU545" t="n">
        <v>40</v>
      </c>
      <c r="AV545" t="n">
        <v>0</v>
      </c>
      <c r="AW545" t="n">
        <v>0</v>
      </c>
      <c r="AX545" t="n">
        <v>40</v>
      </c>
      <c r="AY545" t="n">
        <v>0.25</v>
      </c>
      <c r="AZ545" t="e">
        <v>#N/A</v>
      </c>
      <c r="BA545" t="e">
        <v>#N/A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160</v>
      </c>
      <c r="BK545" t="n">
        <v>160</v>
      </c>
      <c r="BL545" t="n">
        <v>0</v>
      </c>
    </row>
    <row r="546" hidden="1" outlineLevel="1" s="191">
      <c r="A546" t="n">
        <v>4</v>
      </c>
      <c r="B546" t="inlineStr">
        <is>
          <t>a</t>
        </is>
      </c>
      <c r="C546" t="n">
        <v>3</v>
      </c>
      <c r="D546" t="inlineStr">
        <is>
          <t>.z05_4_a_3</t>
        </is>
      </c>
      <c r="E546" t="inlineStr">
        <is>
          <t>Implementacja nowego algorytmu trasowania wykorzystujacego predykcje modelu ML z zadania Kompletacja</t>
        </is>
      </c>
      <c r="F546" t="n">
        <v>0</v>
      </c>
      <c r="G546" t="inlineStr">
        <is>
          <t>Analityk danych/ Developer</t>
        </is>
      </c>
      <c r="H546" t="n">
        <v>22</v>
      </c>
      <c r="I546" t="inlineStr">
        <is>
          <t>END</t>
        </is>
      </c>
      <c r="J546" t="n">
        <v>85</v>
      </c>
      <c r="K546" t="n">
        <v>46792</v>
      </c>
      <c r="L546" t="n">
        <v>46794</v>
      </c>
      <c r="M546" t="n">
        <v>86</v>
      </c>
      <c r="N546" t="n">
        <v>2</v>
      </c>
      <c r="O546" t="n">
        <v>160</v>
      </c>
      <c r="P546" t="n">
        <v>0</v>
      </c>
      <c r="Q546" t="n">
        <v>0</v>
      </c>
      <c r="R546" t="n">
        <v>0.25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0.75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120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40</v>
      </c>
      <c r="AY546" t="n">
        <v>0.25</v>
      </c>
      <c r="AZ546" t="e">
        <v>#N/A</v>
      </c>
      <c r="BA546" t="e">
        <v>#N/A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160</v>
      </c>
      <c r="BK546" t="n">
        <v>160</v>
      </c>
      <c r="BL546" t="n">
        <v>0</v>
      </c>
    </row>
    <row r="547" hidden="1" outlineLevel="1" s="191">
      <c r="A547" t="n">
        <v>4</v>
      </c>
      <c r="B547" t="inlineStr">
        <is>
          <t>b</t>
        </is>
      </c>
      <c r="C547" t="n">
        <v>0</v>
      </c>
      <c r="D547" t="inlineStr">
        <is>
          <t>.z05_4_b_0</t>
        </is>
      </c>
      <c r="E547" t="inlineStr">
        <is>
          <t>Rozwój modeli predykcyjnych, które pozwolą przewidzieć przyszłe zdarzenia na podstawie aktualnych danych</t>
        </is>
      </c>
      <c r="F547" t="n">
        <v>0</v>
      </c>
      <c r="G547" t="n">
        <v>0</v>
      </c>
      <c r="H547" t="n">
        <v>23</v>
      </c>
      <c r="I547" t="n">
        <v>0</v>
      </c>
      <c r="J547" t="n">
        <v>87</v>
      </c>
      <c r="K547" t="n">
        <v>46806</v>
      </c>
      <c r="L547" t="n">
        <v>46806</v>
      </c>
      <c r="M547" t="n">
        <v>86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</row>
    <row r="548" hidden="1" outlineLevel="1" s="191">
      <c r="A548" t="n">
        <v>4</v>
      </c>
      <c r="B548" t="inlineStr">
        <is>
          <t>b</t>
        </is>
      </c>
      <c r="C548" t="n">
        <v>1</v>
      </c>
      <c r="D548" t="inlineStr">
        <is>
          <t>.z05_4_b_1</t>
        </is>
      </c>
      <c r="E548" t="inlineStr">
        <is>
          <t>Integracja z modelem ML stworzonym w ramach zadania Kompletacja</t>
        </is>
      </c>
      <c r="F548" t="n">
        <v>0</v>
      </c>
      <c r="G548" t="inlineStr">
        <is>
          <t>Developer</t>
        </is>
      </c>
      <c r="H548" t="n">
        <v>0</v>
      </c>
      <c r="I548" t="inlineStr">
        <is>
          <t>END</t>
        </is>
      </c>
      <c r="J548" t="n">
        <v>87</v>
      </c>
      <c r="K548" t="n">
        <v>46806</v>
      </c>
      <c r="L548" t="n">
        <v>46808</v>
      </c>
      <c r="M548" t="n">
        <v>88</v>
      </c>
      <c r="N548" t="n">
        <v>2</v>
      </c>
      <c r="O548" t="n">
        <v>120</v>
      </c>
      <c r="P548" t="n">
        <v>0</v>
      </c>
      <c r="Q548" t="n">
        <v>0</v>
      </c>
      <c r="R548" t="n">
        <v>0.25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0.75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90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30</v>
      </c>
      <c r="AY548" t="n">
        <v>0.1875</v>
      </c>
      <c r="AZ548" t="e">
        <v>#N/A</v>
      </c>
      <c r="BA548" t="e">
        <v>#N/A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120</v>
      </c>
      <c r="BK548" t="n">
        <v>120</v>
      </c>
      <c r="BL548" t="n">
        <v>0</v>
      </c>
    </row>
    <row r="549" hidden="1" outlineLevel="1" s="191">
      <c r="A549" t="n">
        <v>4</v>
      </c>
      <c r="B549" t="inlineStr">
        <is>
          <t>b</t>
        </is>
      </c>
      <c r="C549" t="n">
        <v>2</v>
      </c>
      <c r="D549" t="inlineStr">
        <is>
          <t>.z05_4_b_2</t>
        </is>
      </c>
      <c r="E549" t="inlineStr">
        <is>
          <t>Integracja z modelem ML stworzonym w ramach zadania MWS</t>
        </is>
      </c>
      <c r="F549" t="n">
        <v>0</v>
      </c>
      <c r="G549" t="inlineStr">
        <is>
          <t>Developer</t>
        </is>
      </c>
      <c r="H549" t="n">
        <v>24</v>
      </c>
      <c r="I549" t="inlineStr">
        <is>
          <t>END</t>
        </is>
      </c>
      <c r="J549" t="n">
        <v>89</v>
      </c>
      <c r="K549" t="n">
        <v>46820</v>
      </c>
      <c r="L549" t="n">
        <v>46820</v>
      </c>
      <c r="M549" t="n">
        <v>88</v>
      </c>
      <c r="N549" t="n">
        <v>0</v>
      </c>
      <c r="O549" t="n">
        <v>120</v>
      </c>
      <c r="P549" t="n">
        <v>0</v>
      </c>
      <c r="Q549" t="n">
        <v>0.25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0.75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30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90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30</v>
      </c>
      <c r="AY549" t="n">
        <v>0.1875</v>
      </c>
      <c r="AZ549" t="e">
        <v>#N/A</v>
      </c>
      <c r="BA549" t="e">
        <v>#N/A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120</v>
      </c>
      <c r="BK549" t="n">
        <v>120</v>
      </c>
      <c r="BL549" t="n">
        <v>0</v>
      </c>
    </row>
    <row r="550" hidden="1" outlineLevel="1" s="191">
      <c r="A550" t="n">
        <v>4</v>
      </c>
      <c r="B550" t="inlineStr">
        <is>
          <t>c</t>
        </is>
      </c>
      <c r="C550" t="n">
        <v>0</v>
      </c>
      <c r="D550" t="inlineStr">
        <is>
          <t>.z05_4_c_0</t>
        </is>
      </c>
      <c r="E550" t="inlineStr">
        <is>
          <t>Badania nad detekcją nieprawidłowości i anomalii, które mogłyby sygnalizować problemy w rzeczywistym systemie</t>
        </is>
      </c>
      <c r="F550" t="n">
        <v>0</v>
      </c>
      <c r="G550" t="n">
        <v>0</v>
      </c>
      <c r="H550" t="n">
        <v>24</v>
      </c>
      <c r="I550" t="n">
        <v>0</v>
      </c>
      <c r="J550" t="n">
        <v>89</v>
      </c>
      <c r="K550" t="n">
        <v>46820</v>
      </c>
      <c r="L550" t="n">
        <v>46820</v>
      </c>
      <c r="M550" t="n">
        <v>88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</row>
    <row r="551" hidden="1" outlineLevel="1" s="191">
      <c r="A551" t="n">
        <v>4</v>
      </c>
      <c r="B551" t="inlineStr">
        <is>
          <t>c</t>
        </is>
      </c>
      <c r="C551" t="n">
        <v>1</v>
      </c>
      <c r="D551" t="inlineStr">
        <is>
          <t>.z05_4_c_1</t>
        </is>
      </c>
      <c r="E551" t="inlineStr">
        <is>
          <t>Opracowanie wymagań dotyczacych monitoringu i wykrywania anomalii</t>
        </is>
      </c>
      <c r="F551" t="n">
        <v>0</v>
      </c>
      <c r="G551" t="inlineStr">
        <is>
          <t>Specjalista</t>
        </is>
      </c>
      <c r="H551" t="n">
        <v>0</v>
      </c>
      <c r="I551" t="inlineStr">
        <is>
          <t>ACT</t>
        </is>
      </c>
      <c r="J551" t="n">
        <v>89</v>
      </c>
      <c r="K551" t="n">
        <v>46820</v>
      </c>
      <c r="L551" t="n">
        <v>46822</v>
      </c>
      <c r="M551" t="n">
        <v>90</v>
      </c>
      <c r="N551" t="n">
        <v>2</v>
      </c>
      <c r="O551" t="n">
        <v>80</v>
      </c>
      <c r="P551" t="n">
        <v>0.5</v>
      </c>
      <c r="Q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40</v>
      </c>
      <c r="AH551" t="n">
        <v>40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80</v>
      </c>
      <c r="AY551" t="n">
        <v>0.5</v>
      </c>
      <c r="AZ551" t="e">
        <v>#N/A</v>
      </c>
      <c r="BA551" t="e">
        <v>#N/A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80</v>
      </c>
      <c r="BK551" t="n">
        <v>80</v>
      </c>
      <c r="BL551" t="n">
        <v>0</v>
      </c>
    </row>
    <row r="552" hidden="1" outlineLevel="1" s="191">
      <c r="A552" t="n">
        <v>4</v>
      </c>
      <c r="B552" t="inlineStr">
        <is>
          <t>c</t>
        </is>
      </c>
      <c r="C552" t="n">
        <v>2</v>
      </c>
      <c r="D552" t="inlineStr">
        <is>
          <t>.z05_4_c_2</t>
        </is>
      </c>
      <c r="E552" t="inlineStr">
        <is>
          <t>Implementacja monitoringu infrastruktury IT</t>
        </is>
      </c>
      <c r="F552" t="n">
        <v>0</v>
      </c>
      <c r="G552" t="inlineStr">
        <is>
          <t>Developer/ Devops</t>
        </is>
      </c>
      <c r="H552" t="n">
        <v>25</v>
      </c>
      <c r="I552" t="inlineStr">
        <is>
          <t>END</t>
        </is>
      </c>
      <c r="J552" t="n">
        <v>91</v>
      </c>
      <c r="K552" t="n">
        <v>46834</v>
      </c>
      <c r="L552" t="n">
        <v>46836</v>
      </c>
      <c r="M552" t="n">
        <v>92</v>
      </c>
      <c r="N552" t="n">
        <v>2</v>
      </c>
      <c r="O552" t="n">
        <v>80</v>
      </c>
      <c r="P552" t="n">
        <v>0</v>
      </c>
      <c r="Q552" t="n">
        <v>0</v>
      </c>
      <c r="R552" t="n">
        <v>0.5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0.5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40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40</v>
      </c>
      <c r="AY552" t="n">
        <v>0.25</v>
      </c>
      <c r="AZ552" t="e">
        <v>#N/A</v>
      </c>
      <c r="BA552" t="e">
        <v>#N/A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80</v>
      </c>
      <c r="BK552" t="n">
        <v>80</v>
      </c>
      <c r="BL552" t="n">
        <v>0</v>
      </c>
    </row>
    <row r="553" hidden="1" outlineLevel="1" s="191">
      <c r="A553" t="n">
        <v>4</v>
      </c>
      <c r="B553" t="inlineStr">
        <is>
          <t>c</t>
        </is>
      </c>
      <c r="C553" t="n">
        <v>3</v>
      </c>
      <c r="D553" t="inlineStr">
        <is>
          <t>.z05_4_c_3</t>
        </is>
      </c>
      <c r="E553" t="inlineStr">
        <is>
          <t>Implementacja monitoringu  parametrow pracy systemu</t>
        </is>
      </c>
      <c r="F553" t="n">
        <v>0</v>
      </c>
      <c r="G553" t="inlineStr">
        <is>
          <t>Developer/ Devops</t>
        </is>
      </c>
      <c r="H553" t="n">
        <v>26</v>
      </c>
      <c r="I553" t="inlineStr">
        <is>
          <t>END</t>
        </is>
      </c>
      <c r="J553" t="n">
        <v>93</v>
      </c>
      <c r="K553" t="n">
        <v>46848</v>
      </c>
      <c r="L553" t="n">
        <v>46848</v>
      </c>
      <c r="M553" t="n">
        <v>92</v>
      </c>
      <c r="N553" t="n">
        <v>0</v>
      </c>
      <c r="O553" t="n">
        <v>80</v>
      </c>
      <c r="P553" t="n">
        <v>0</v>
      </c>
      <c r="Q553" t="n">
        <v>0</v>
      </c>
      <c r="R553" t="n">
        <v>0</v>
      </c>
      <c r="S553" t="n">
        <v>0.5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40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40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40</v>
      </c>
      <c r="AY553" t="n">
        <v>0.25</v>
      </c>
      <c r="AZ553" t="e">
        <v>#N/A</v>
      </c>
      <c r="BA553" t="e">
        <v>#N/A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80</v>
      </c>
      <c r="BK553" t="n">
        <v>80</v>
      </c>
      <c r="BL553" t="n">
        <v>0</v>
      </c>
    </row>
    <row r="554" hidden="1" outlineLevel="1" s="191">
      <c r="A554" t="n">
        <v>4</v>
      </c>
      <c r="B554" t="inlineStr">
        <is>
          <t>c</t>
        </is>
      </c>
      <c r="C554" t="n">
        <v>4</v>
      </c>
      <c r="D554" t="inlineStr">
        <is>
          <t>.z05_4_c_4</t>
        </is>
      </c>
      <c r="E554" t="inlineStr">
        <is>
          <t>Implementacja  mechanizmu notyfikacji o anomaliach</t>
        </is>
      </c>
      <c r="F554" t="n">
        <v>0</v>
      </c>
      <c r="G554" t="inlineStr">
        <is>
          <t>Developer/ Devops</t>
        </is>
      </c>
      <c r="H554" t="n">
        <v>26</v>
      </c>
      <c r="I554" t="inlineStr">
        <is>
          <t>END</t>
        </is>
      </c>
      <c r="J554" t="n">
        <v>93</v>
      </c>
      <c r="K554" t="n">
        <v>46848</v>
      </c>
      <c r="L554" t="n">
        <v>46848</v>
      </c>
      <c r="M554" t="n">
        <v>92</v>
      </c>
      <c r="N554" t="n">
        <v>0</v>
      </c>
      <c r="O554" t="n">
        <v>80</v>
      </c>
      <c r="P554" t="n">
        <v>0</v>
      </c>
      <c r="Q554" t="n">
        <v>0</v>
      </c>
      <c r="R554" t="n">
        <v>0</v>
      </c>
      <c r="S554" t="n">
        <v>0.5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0.5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40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40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40</v>
      </c>
      <c r="AY554" t="n">
        <v>0.25</v>
      </c>
      <c r="AZ554" t="e">
        <v>#N/A</v>
      </c>
      <c r="BA554" t="e">
        <v>#N/A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80</v>
      </c>
      <c r="BK554" t="n">
        <v>80</v>
      </c>
      <c r="BL554" t="n">
        <v>0</v>
      </c>
    </row>
    <row r="555" hidden="1" outlineLevel="1" s="191">
      <c r="A555" t="n">
        <v>4</v>
      </c>
      <c r="B555" t="inlineStr">
        <is>
          <t>d</t>
        </is>
      </c>
      <c r="C555" t="n">
        <v>5</v>
      </c>
      <c r="D555" t="inlineStr">
        <is>
          <t>.z05_4_d_5</t>
        </is>
      </c>
      <c r="E555" t="inlineStr">
        <is>
          <t>Opracowanie i optymalizacja mechanizmów/narzędzi do detekcji nieprawidłowości i anomalii</t>
        </is>
      </c>
      <c r="F555" t="n">
        <v>0</v>
      </c>
      <c r="G555" t="n">
        <v>0</v>
      </c>
      <c r="H555" t="n">
        <v>26</v>
      </c>
      <c r="I555" t="n">
        <v>0</v>
      </c>
      <c r="J555" t="n">
        <v>93</v>
      </c>
      <c r="K555" t="n">
        <v>46848</v>
      </c>
      <c r="L555" t="n">
        <v>46848</v>
      </c>
      <c r="M555" t="n">
        <v>92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</row>
    <row r="556" hidden="1" outlineLevel="1" s="191">
      <c r="A556" t="n">
        <v>5</v>
      </c>
      <c r="B556" t="inlineStr">
        <is>
          <t>a</t>
        </is>
      </c>
      <c r="C556" t="n">
        <v>-1</v>
      </c>
      <c r="D556" t="inlineStr">
        <is>
          <t>.z05_5_a_-1</t>
        </is>
      </c>
      <c r="E556" t="inlineStr">
        <is>
          <t>5.Interoperacyjność i integracja systemów</t>
        </is>
      </c>
      <c r="F556" t="n">
        <v>0</v>
      </c>
      <c r="G556" t="n">
        <v>0</v>
      </c>
      <c r="H556" t="n">
        <v>0</v>
      </c>
      <c r="I556" t="n">
        <v>0</v>
      </c>
      <c r="J556" t="n">
        <v>93</v>
      </c>
      <c r="K556" t="n">
        <v>46848</v>
      </c>
      <c r="L556" t="n">
        <v>46848</v>
      </c>
      <c r="M556" t="n">
        <v>92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</row>
    <row r="557" hidden="1" outlineLevel="1" s="191">
      <c r="A557" t="n">
        <v>5</v>
      </c>
      <c r="B557" t="inlineStr">
        <is>
          <t>a</t>
        </is>
      </c>
      <c r="C557" t="n">
        <v>0</v>
      </c>
      <c r="D557" t="inlineStr">
        <is>
          <t>.z05_5_a_0</t>
        </is>
      </c>
      <c r="E557" t="inlineStr">
        <is>
          <t>Opracowanie mechanizmów/narzędzi do Integracja systemów WMS, ERP</t>
        </is>
      </c>
      <c r="F557" t="n">
        <v>0</v>
      </c>
      <c r="G557" t="n">
        <v>0</v>
      </c>
      <c r="H557" t="n">
        <v>0</v>
      </c>
      <c r="I557" t="n">
        <v>0</v>
      </c>
      <c r="J557" t="n">
        <v>93</v>
      </c>
      <c r="K557" t="n">
        <v>46848</v>
      </c>
      <c r="L557" t="n">
        <v>46848</v>
      </c>
      <c r="M557" t="n">
        <v>92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</row>
    <row r="558" hidden="1" outlineLevel="1" s="191">
      <c r="A558" t="n">
        <v>5</v>
      </c>
      <c r="B558" t="inlineStr">
        <is>
          <t>a</t>
        </is>
      </c>
      <c r="C558" t="n">
        <v>1</v>
      </c>
      <c r="D558" t="inlineStr">
        <is>
          <t>.z05_5_a_1</t>
        </is>
      </c>
      <c r="E558" t="inlineStr">
        <is>
          <t>Opracowanie wymagań interfejsów dla systemu WMS</t>
        </is>
      </c>
      <c r="F558" t="n">
        <v>0</v>
      </c>
      <c r="G558" t="inlineStr">
        <is>
          <t>Ekspert merytoryczny/ Architekt rozwiazania</t>
        </is>
      </c>
      <c r="H558" t="n">
        <v>0</v>
      </c>
      <c r="I558" t="inlineStr">
        <is>
          <t>ACT/END</t>
        </is>
      </c>
      <c r="J558" t="n">
        <v>93</v>
      </c>
      <c r="K558" t="n">
        <v>46848</v>
      </c>
      <c r="L558" t="n">
        <v>46850</v>
      </c>
      <c r="M558" t="n">
        <v>94</v>
      </c>
      <c r="N558" t="n">
        <v>2</v>
      </c>
      <c r="O558" t="n">
        <v>160</v>
      </c>
      <c r="P558" t="n">
        <v>0</v>
      </c>
      <c r="Q558" t="n">
        <v>0.25</v>
      </c>
      <c r="R558" t="n">
        <v>0</v>
      </c>
      <c r="S558" t="n">
        <v>0.25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0.25</v>
      </c>
      <c r="AA558" t="n">
        <v>0.25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40</v>
      </c>
      <c r="AI558" t="n">
        <v>0</v>
      </c>
      <c r="AJ558" t="n">
        <v>40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40</v>
      </c>
      <c r="AR558" t="n">
        <v>40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80</v>
      </c>
      <c r="AY558" t="n">
        <v>0.5</v>
      </c>
      <c r="AZ558" t="e">
        <v>#N/A</v>
      </c>
      <c r="BA558" t="e">
        <v>#N/A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160</v>
      </c>
      <c r="BK558" t="n">
        <v>160</v>
      </c>
      <c r="BL558" t="n">
        <v>0</v>
      </c>
    </row>
    <row r="559" hidden="1" outlineLevel="1" s="191">
      <c r="A559" t="n">
        <v>5</v>
      </c>
      <c r="B559" t="inlineStr">
        <is>
          <t>a</t>
        </is>
      </c>
      <c r="C559" t="n">
        <v>2</v>
      </c>
      <c r="D559" t="inlineStr">
        <is>
          <t>.z05_5_a_2</t>
        </is>
      </c>
      <c r="E559" t="inlineStr">
        <is>
          <t>Opracowanie wymagań interfejsów dla systemu ERP</t>
        </is>
      </c>
      <c r="F559" t="n">
        <v>0</v>
      </c>
      <c r="G559" t="inlineStr">
        <is>
          <t>Ekspert merytoryczny/ Architekt rozwiazania</t>
        </is>
      </c>
      <c r="H559" t="n">
        <v>27</v>
      </c>
      <c r="I559" t="inlineStr">
        <is>
          <t>ACT/END</t>
        </is>
      </c>
      <c r="J559" t="n">
        <v>95</v>
      </c>
      <c r="K559" t="n">
        <v>46862</v>
      </c>
      <c r="L559" t="n">
        <v>46862</v>
      </c>
      <c r="M559" t="n">
        <v>94</v>
      </c>
      <c r="N559" t="n">
        <v>0</v>
      </c>
      <c r="O559" t="n">
        <v>160</v>
      </c>
      <c r="P559" t="n">
        <v>0.25</v>
      </c>
      <c r="Q559" t="n">
        <v>0</v>
      </c>
      <c r="R559" t="n">
        <v>0.25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0.25</v>
      </c>
      <c r="Z559" t="n">
        <v>0</v>
      </c>
      <c r="AA559" t="n">
        <v>0.25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40</v>
      </c>
      <c r="AH559" t="n">
        <v>0</v>
      </c>
      <c r="AI559" t="n">
        <v>40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40</v>
      </c>
      <c r="AQ559" t="n">
        <v>0</v>
      </c>
      <c r="AR559" t="n">
        <v>40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80</v>
      </c>
      <c r="AY559" t="n">
        <v>0.5</v>
      </c>
      <c r="AZ559" t="e">
        <v>#N/A</v>
      </c>
      <c r="BA559" t="e">
        <v>#N/A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160</v>
      </c>
      <c r="BK559" t="n">
        <v>160</v>
      </c>
      <c r="BL559" t="n">
        <v>0</v>
      </c>
    </row>
    <row r="560" hidden="1" outlineLevel="1" s="191">
      <c r="A560" t="n">
        <v>5</v>
      </c>
      <c r="B560" t="inlineStr">
        <is>
          <t>a</t>
        </is>
      </c>
      <c r="C560" t="n">
        <v>3</v>
      </c>
      <c r="D560" t="inlineStr">
        <is>
          <t>.z05_5_a_3</t>
        </is>
      </c>
      <c r="E560" t="inlineStr">
        <is>
          <t>Implementacja interfejsów dla systemu WMS</t>
        </is>
      </c>
      <c r="F560" t="n">
        <v>0</v>
      </c>
      <c r="G560" t="inlineStr">
        <is>
          <t>Developer</t>
        </is>
      </c>
      <c r="H560" t="n">
        <v>27</v>
      </c>
      <c r="I560" t="inlineStr">
        <is>
          <t>END</t>
        </is>
      </c>
      <c r="J560" t="n">
        <v>95</v>
      </c>
      <c r="K560" t="n">
        <v>46862</v>
      </c>
      <c r="L560" t="n">
        <v>46864</v>
      </c>
      <c r="M560" t="n">
        <v>96</v>
      </c>
      <c r="N560" t="n">
        <v>2</v>
      </c>
      <c r="O560" t="n">
        <v>160</v>
      </c>
      <c r="P560" t="n">
        <v>0</v>
      </c>
      <c r="Q560" t="n">
        <v>0.25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0.5</v>
      </c>
      <c r="Z560" t="n">
        <v>0.25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40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80</v>
      </c>
      <c r="AQ560" t="n">
        <v>40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40</v>
      </c>
      <c r="AY560" t="n">
        <v>0.25</v>
      </c>
      <c r="AZ560" t="e">
        <v>#N/A</v>
      </c>
      <c r="BA560" t="e">
        <v>#N/A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160</v>
      </c>
      <c r="BK560" t="n">
        <v>160</v>
      </c>
      <c r="BL560" t="n">
        <v>0</v>
      </c>
    </row>
    <row r="561" hidden="1" outlineLevel="1" s="191">
      <c r="A561" t="n">
        <v>5</v>
      </c>
      <c r="B561" t="inlineStr">
        <is>
          <t>a</t>
        </is>
      </c>
      <c r="C561" t="n">
        <v>4</v>
      </c>
      <c r="D561" t="inlineStr">
        <is>
          <t>.z05_5_a_4</t>
        </is>
      </c>
      <c r="E561" t="inlineStr">
        <is>
          <t>Implementacja interfejsów dla systemu ERP</t>
        </is>
      </c>
      <c r="F561" t="n">
        <v>0</v>
      </c>
      <c r="G561" t="inlineStr">
        <is>
          <t>Developer</t>
        </is>
      </c>
      <c r="H561" t="n">
        <v>28</v>
      </c>
      <c r="I561" t="inlineStr">
        <is>
          <t>END</t>
        </is>
      </c>
      <c r="J561" t="n">
        <v>97</v>
      </c>
      <c r="K561" t="n">
        <v>46876</v>
      </c>
      <c r="L561" t="n">
        <v>46876</v>
      </c>
      <c r="M561" t="n">
        <v>96</v>
      </c>
      <c r="N561" t="n">
        <v>0</v>
      </c>
      <c r="O561" t="n">
        <v>160</v>
      </c>
      <c r="P561" t="n">
        <v>0.25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0.25</v>
      </c>
      <c r="Z561" t="n">
        <v>0.5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40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40</v>
      </c>
      <c r="AQ561" t="n">
        <v>80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40</v>
      </c>
      <c r="AY561" t="n">
        <v>0.25</v>
      </c>
      <c r="AZ561" t="e">
        <v>#N/A</v>
      </c>
      <c r="BA561" t="e">
        <v>#N/A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160</v>
      </c>
      <c r="BK561" t="n">
        <v>160</v>
      </c>
      <c r="BL561" t="n">
        <v>0</v>
      </c>
    </row>
    <row r="562" hidden="1" outlineLevel="1" s="191">
      <c r="A562" t="n">
        <v>5</v>
      </c>
      <c r="B562" t="inlineStr">
        <is>
          <t>b</t>
        </is>
      </c>
      <c r="C562" t="n">
        <v>1</v>
      </c>
      <c r="D562" t="inlineStr">
        <is>
          <t>.z05_5_b_1</t>
        </is>
      </c>
      <c r="E562" t="inlineStr">
        <is>
          <t>Opracowanie standardów wymiany danych między różnymi systemami i platformami, tak aby cyfrowy bliźniak mógł działać w różnych środowiskach</t>
        </is>
      </c>
      <c r="F562" t="n">
        <v>0</v>
      </c>
      <c r="G562" t="inlineStr">
        <is>
          <t>Ekspert merytoryczny/ Architekt rozwiazania</t>
        </is>
      </c>
      <c r="H562" t="n">
        <v>28</v>
      </c>
      <c r="I562" t="inlineStr">
        <is>
          <t>ACT/END</t>
        </is>
      </c>
      <c r="J562" t="n">
        <v>97</v>
      </c>
      <c r="K562" t="n">
        <v>46876</v>
      </c>
      <c r="L562" t="n">
        <v>46878</v>
      </c>
      <c r="M562" t="n">
        <v>98</v>
      </c>
      <c r="N562" t="n">
        <v>2</v>
      </c>
      <c r="O562" t="n">
        <v>160</v>
      </c>
      <c r="P562" t="n">
        <v>0</v>
      </c>
      <c r="Q562" t="n">
        <v>0.25</v>
      </c>
      <c r="R562" t="n">
        <v>0</v>
      </c>
      <c r="S562" t="n">
        <v>0.25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0.25</v>
      </c>
      <c r="Z562" t="n">
        <v>0.25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40</v>
      </c>
      <c r="AI562" t="n">
        <v>0</v>
      </c>
      <c r="AJ562" t="n">
        <v>40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40</v>
      </c>
      <c r="AQ562" t="n">
        <v>40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80</v>
      </c>
      <c r="AY562" t="n">
        <v>0.5</v>
      </c>
      <c r="AZ562" t="e">
        <v>#N/A</v>
      </c>
      <c r="BA562" t="e">
        <v>#N/A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160</v>
      </c>
      <c r="BK562" t="n">
        <v>160</v>
      </c>
      <c r="BL562" t="n">
        <v>0</v>
      </c>
    </row>
    <row r="563" hidden="1" outlineLevel="1" s="191">
      <c r="A563" t="n">
        <v>5</v>
      </c>
      <c r="B563" t="inlineStr">
        <is>
          <t>c</t>
        </is>
      </c>
      <c r="C563" t="n">
        <v>1</v>
      </c>
      <c r="D563" t="inlineStr">
        <is>
          <t>.z05_5_c_1</t>
        </is>
      </c>
      <c r="E563" t="inlineStr">
        <is>
          <t>Opracowanie i optymalizacja mechanizmów/narzędzi do wymiany danych między różnymi systemami i platformami</t>
        </is>
      </c>
      <c r="F563" t="n">
        <v>0</v>
      </c>
      <c r="G563" t="inlineStr">
        <is>
          <t>Ekspert merytoryczny/ Architekt rozwiazania</t>
        </is>
      </c>
      <c r="H563" t="n">
        <v>29</v>
      </c>
      <c r="I563" t="inlineStr">
        <is>
          <t>ACT/END</t>
        </is>
      </c>
      <c r="J563" t="n">
        <v>99</v>
      </c>
      <c r="K563" t="n">
        <v>46890</v>
      </c>
      <c r="L563" t="n">
        <v>46892</v>
      </c>
      <c r="M563" t="n">
        <v>100</v>
      </c>
      <c r="N563" t="n">
        <v>2</v>
      </c>
      <c r="O563" t="n">
        <v>160</v>
      </c>
      <c r="P563" t="n">
        <v>0</v>
      </c>
      <c r="Q563" t="n">
        <v>0.25</v>
      </c>
      <c r="R563" t="n">
        <v>0</v>
      </c>
      <c r="S563" t="n">
        <v>0.25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0.25</v>
      </c>
      <c r="AA563" t="n">
        <v>0.25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40</v>
      </c>
      <c r="AI563" t="n">
        <v>0</v>
      </c>
      <c r="AJ563" t="n">
        <v>40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40</v>
      </c>
      <c r="AR563" t="n">
        <v>40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80</v>
      </c>
      <c r="AY563" t="n">
        <v>0.5</v>
      </c>
      <c r="AZ563" t="e">
        <v>#N/A</v>
      </c>
      <c r="BA563" t="e">
        <v>#N/A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160</v>
      </c>
      <c r="BK563" t="n">
        <v>160</v>
      </c>
      <c r="BL563" t="n">
        <v>0</v>
      </c>
    </row>
    <row r="564" hidden="1" outlineLevel="1" s="191">
      <c r="A564" t="n">
        <v>6</v>
      </c>
      <c r="B564" t="inlineStr">
        <is>
          <t>a</t>
        </is>
      </c>
      <c r="C564" t="n">
        <v>-1</v>
      </c>
      <c r="D564" t="inlineStr">
        <is>
          <t>.z05_6_a_-1</t>
        </is>
      </c>
      <c r="E564" t="inlineStr">
        <is>
          <t>6.Przetwarzanie na brzegu sieci i w chmurze (EDGE I CLOUD COMPUTING)</t>
        </is>
      </c>
      <c r="F564" t="n">
        <v>0</v>
      </c>
      <c r="G564" t="n">
        <v>0</v>
      </c>
      <c r="H564" t="n">
        <v>30</v>
      </c>
      <c r="I564" t="n">
        <v>0</v>
      </c>
      <c r="J564" t="n">
        <v>101</v>
      </c>
      <c r="K564" t="n">
        <v>46904</v>
      </c>
      <c r="L564" t="n">
        <v>46904</v>
      </c>
      <c r="M564" t="n">
        <v>100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</row>
    <row r="565" hidden="1" outlineLevel="1" s="191">
      <c r="A565" t="n">
        <v>6</v>
      </c>
      <c r="B565" t="inlineStr">
        <is>
          <t>a</t>
        </is>
      </c>
      <c r="C565" t="n">
        <v>0</v>
      </c>
      <c r="D565" t="inlineStr">
        <is>
          <t>.z05_6_a_0</t>
        </is>
      </c>
      <c r="E565" t="inlineStr">
        <is>
          <t>Badania nad przetwarzaniem danych na brzegu sieci</t>
        </is>
      </c>
      <c r="F565" t="n">
        <v>0</v>
      </c>
      <c r="G565" t="n">
        <v>0</v>
      </c>
      <c r="H565" t="n">
        <v>0</v>
      </c>
      <c r="I565" t="n">
        <v>0</v>
      </c>
      <c r="J565" t="n">
        <v>101</v>
      </c>
      <c r="K565" t="n">
        <v>46904</v>
      </c>
      <c r="L565" t="n">
        <v>46904</v>
      </c>
      <c r="M565" t="n">
        <v>100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</row>
    <row r="566" hidden="1" outlineLevel="1" s="191">
      <c r="A566" t="n">
        <v>6</v>
      </c>
      <c r="B566" t="inlineStr">
        <is>
          <t>a</t>
        </is>
      </c>
      <c r="C566" t="n">
        <v>1</v>
      </c>
      <c r="D566" t="inlineStr">
        <is>
          <t>.z05_6_a_1</t>
        </is>
      </c>
      <c r="E566" t="inlineStr">
        <is>
          <t>Opracowanie wymagan infrastruktury  IT na potrzeby  Cyfrowego Bliźniaka</t>
        </is>
      </c>
      <c r="F566" t="n">
        <v>0</v>
      </c>
      <c r="G566" t="inlineStr">
        <is>
          <t>Ekspert merytoryczny/ Architekt rozwiazania</t>
        </is>
      </c>
      <c r="H566" t="n">
        <v>0</v>
      </c>
      <c r="I566" t="inlineStr">
        <is>
          <t>END</t>
        </is>
      </c>
      <c r="J566" t="n">
        <v>101</v>
      </c>
      <c r="K566" t="n">
        <v>46904</v>
      </c>
      <c r="L566" t="n">
        <v>46905</v>
      </c>
      <c r="M566" t="n">
        <v>101</v>
      </c>
      <c r="N566" t="n">
        <v>1</v>
      </c>
      <c r="O566" t="n">
        <v>80</v>
      </c>
      <c r="P566" t="n">
        <v>0.25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0.75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20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60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20</v>
      </c>
      <c r="AY566" t="n">
        <v>0.125</v>
      </c>
      <c r="AZ566" t="e">
        <v>#N/A</v>
      </c>
      <c r="BA566" t="e">
        <v>#N/A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80</v>
      </c>
      <c r="BK566" t="n">
        <v>80</v>
      </c>
      <c r="BL566" t="n">
        <v>0</v>
      </c>
    </row>
    <row r="567" hidden="1" outlineLevel="1" s="191">
      <c r="A567" t="n">
        <v>6</v>
      </c>
      <c r="B567" t="inlineStr">
        <is>
          <t>a</t>
        </is>
      </c>
      <c r="C567" t="n">
        <v>2</v>
      </c>
      <c r="D567" t="inlineStr">
        <is>
          <t>.z05_6_a_2</t>
        </is>
      </c>
      <c r="E567" t="inlineStr">
        <is>
          <t>Opracowanie wymagan infrastruktury  IT na potrzeby  Cyfrowego Bliźniaka</t>
        </is>
      </c>
      <c r="F567" t="n">
        <v>0</v>
      </c>
      <c r="G567" t="inlineStr">
        <is>
          <t>Ekspert merytoryczny/ Architekt rozwiazania</t>
        </is>
      </c>
      <c r="H567" t="n">
        <v>31</v>
      </c>
      <c r="I567" t="inlineStr">
        <is>
          <t>END</t>
        </is>
      </c>
      <c r="J567" t="n">
        <v>102</v>
      </c>
      <c r="K567" t="n">
        <v>46911</v>
      </c>
      <c r="L567" t="n">
        <v>46912</v>
      </c>
      <c r="M567" t="n">
        <v>102</v>
      </c>
      <c r="N567" t="n">
        <v>1</v>
      </c>
      <c r="O567" t="n">
        <v>80</v>
      </c>
      <c r="P567" t="n">
        <v>0.25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0.75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20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60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20</v>
      </c>
      <c r="AY567" t="n">
        <v>0.125</v>
      </c>
      <c r="AZ567" t="e">
        <v>#N/A</v>
      </c>
      <c r="BA567" t="e">
        <v>#N/A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80</v>
      </c>
      <c r="BK567" t="n">
        <v>80</v>
      </c>
      <c r="BL567" t="n">
        <v>0</v>
      </c>
    </row>
    <row r="568" hidden="1" outlineLevel="1" s="191">
      <c r="A568" t="n">
        <v>6</v>
      </c>
      <c r="B568" t="inlineStr">
        <is>
          <t>a</t>
        </is>
      </c>
      <c r="C568" t="n">
        <v>3</v>
      </c>
      <c r="D568" t="inlineStr">
        <is>
          <t>.z05_6_a_3</t>
        </is>
      </c>
      <c r="E568" t="inlineStr">
        <is>
          <t>Przygotowanie infrastruktury IT na potrzeby Cyfrowego Bliźniaka</t>
        </is>
      </c>
      <c r="F568" t="n">
        <v>0</v>
      </c>
      <c r="G568" t="inlineStr">
        <is>
          <t>Developer/ Devops</t>
        </is>
      </c>
      <c r="H568" t="n">
        <v>31</v>
      </c>
      <c r="I568" t="inlineStr">
        <is>
          <t>END</t>
        </is>
      </c>
      <c r="J568" t="n">
        <v>103</v>
      </c>
      <c r="K568" t="n">
        <v>46918</v>
      </c>
      <c r="L568" t="n">
        <v>46919</v>
      </c>
      <c r="M568" t="n">
        <v>103</v>
      </c>
      <c r="N568" t="n">
        <v>1</v>
      </c>
      <c r="O568" t="n">
        <v>80</v>
      </c>
      <c r="P568" t="n">
        <v>0.25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0.75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20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60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20</v>
      </c>
      <c r="AY568" t="n">
        <v>0.125</v>
      </c>
      <c r="AZ568" t="e">
        <v>#N/A</v>
      </c>
      <c r="BA568" t="e">
        <v>#N/A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80</v>
      </c>
      <c r="BK568" t="n">
        <v>80</v>
      </c>
      <c r="BL568" t="n">
        <v>0</v>
      </c>
    </row>
    <row r="569" hidden="1" outlineLevel="1" s="191">
      <c r="A569" t="n">
        <v>6</v>
      </c>
      <c r="B569" t="inlineStr">
        <is>
          <t>b</t>
        </is>
      </c>
      <c r="C569" t="n">
        <v>1</v>
      </c>
      <c r="D569" t="inlineStr">
        <is>
          <t>.z05_6_b_1</t>
        </is>
      </c>
      <c r="E569" t="inlineStr">
        <is>
          <t>Opracowanie i optymalizacja narzędzi/mechanizmów do zmniejszania opóźnienia i zwiększenia efektywności operacyjnej</t>
        </is>
      </c>
      <c r="F569" t="n">
        <v>0</v>
      </c>
      <c r="G569" t="inlineStr">
        <is>
          <t>Ekspert merytoryczny/ Architekt rozwiazania</t>
        </is>
      </c>
      <c r="H569" t="n">
        <v>32</v>
      </c>
      <c r="I569" t="n">
        <v>0</v>
      </c>
      <c r="J569" t="n">
        <v>104</v>
      </c>
      <c r="K569" t="n">
        <v>46925</v>
      </c>
      <c r="L569" t="n">
        <v>46925</v>
      </c>
      <c r="M569" t="n">
        <v>103</v>
      </c>
      <c r="N569" t="n">
        <v>0</v>
      </c>
      <c r="O569" t="n">
        <v>120</v>
      </c>
      <c r="P569" t="n">
        <v>0</v>
      </c>
      <c r="Q569" t="n">
        <v>0.333</v>
      </c>
      <c r="R569" t="n">
        <v>0.333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0.333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40</v>
      </c>
      <c r="AI569" t="n">
        <v>40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40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80</v>
      </c>
      <c r="AY569" t="n">
        <v>0.5</v>
      </c>
      <c r="AZ569" t="e">
        <v>#N/A</v>
      </c>
      <c r="BA569" t="e">
        <v>#N/A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120</v>
      </c>
      <c r="BK569" t="n">
        <v>120</v>
      </c>
      <c r="BL569" t="n">
        <v>0</v>
      </c>
    </row>
    <row r="570" hidden="1" outlineLevel="1" s="191">
      <c r="A570" t="n">
        <v>6</v>
      </c>
      <c r="B570" t="inlineStr">
        <is>
          <t>c</t>
        </is>
      </c>
      <c r="C570" t="n">
        <v>1</v>
      </c>
      <c r="D570" t="inlineStr">
        <is>
          <t>.z05_6_c_1</t>
        </is>
      </c>
      <c r="E570" t="inlineStr">
        <is>
          <t>Analiza optymalnych rozwiązań do przechowywania i przetwarzania danych w chmurze, co pozwala na skalowalność cyfrowego bliźniaka</t>
        </is>
      </c>
      <c r="F570" t="n">
        <v>0</v>
      </c>
      <c r="G570" t="inlineStr">
        <is>
          <t>Ekspert merytoryczny/ Architekt rozwiazania</t>
        </is>
      </c>
      <c r="H570" t="n">
        <v>33</v>
      </c>
      <c r="I570" t="n">
        <v>0</v>
      </c>
      <c r="J570" t="n">
        <v>104</v>
      </c>
      <c r="K570" t="n">
        <v>46925</v>
      </c>
      <c r="L570" t="n">
        <v>46925</v>
      </c>
      <c r="M570" t="n">
        <v>103</v>
      </c>
      <c r="N570" t="n">
        <v>0</v>
      </c>
      <c r="O570" t="n">
        <v>120</v>
      </c>
      <c r="P570" t="n">
        <v>0</v>
      </c>
      <c r="Q570" t="n">
        <v>0.333</v>
      </c>
      <c r="R570" t="n">
        <v>0.333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0.333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40</v>
      </c>
      <c r="AI570" t="n">
        <v>40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40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80</v>
      </c>
      <c r="AY570" t="n">
        <v>0.5</v>
      </c>
      <c r="AZ570" t="e">
        <v>#N/A</v>
      </c>
      <c r="BA570" t="e">
        <v>#N/A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120</v>
      </c>
      <c r="BK570" t="n">
        <v>120</v>
      </c>
      <c r="BL570" t="n">
        <v>0</v>
      </c>
    </row>
    <row r="571" hidden="1" outlineLevel="1" s="191">
      <c r="A571" t="n">
        <v>6</v>
      </c>
      <c r="B571" t="inlineStr">
        <is>
          <t>d</t>
        </is>
      </c>
      <c r="C571" t="n">
        <v>1</v>
      </c>
      <c r="D571" t="inlineStr">
        <is>
          <t>.z05_6_d_1</t>
        </is>
      </c>
      <c r="E571" t="inlineStr">
        <is>
          <t>Opracowanie i optymalizacja mechanizmów/narzędzi do przechowywania i przetwarzania danych w chmurze/importu danych z wybrana platformą AI</t>
        </is>
      </c>
      <c r="F571" t="n">
        <v>0</v>
      </c>
      <c r="G571" t="inlineStr">
        <is>
          <t>Ekspert merytoryczny/ Architekt rozwiazania</t>
        </is>
      </c>
      <c r="H571" t="n">
        <v>34</v>
      </c>
      <c r="I571" t="n">
        <v>0</v>
      </c>
      <c r="J571" t="n">
        <v>104</v>
      </c>
      <c r="K571" t="n">
        <v>46925</v>
      </c>
      <c r="L571" t="n">
        <v>46927</v>
      </c>
      <c r="M571" t="n">
        <v>105</v>
      </c>
      <c r="N571" t="n">
        <v>2</v>
      </c>
      <c r="O571" t="n">
        <v>120</v>
      </c>
      <c r="P571" t="n">
        <v>0.333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0.666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40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80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40</v>
      </c>
      <c r="AY571" t="n">
        <v>0.25</v>
      </c>
      <c r="AZ571" t="e">
        <v>#N/A</v>
      </c>
      <c r="BA571" t="e">
        <v>#N/A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120</v>
      </c>
      <c r="BK571" t="n">
        <v>120</v>
      </c>
      <c r="BL571" t="n">
        <v>0</v>
      </c>
    </row>
    <row r="572" hidden="1" outlineLevel="1" s="191">
      <c r="A572" t="n">
        <v>7</v>
      </c>
      <c r="B572" t="inlineStr">
        <is>
          <t>a</t>
        </is>
      </c>
      <c r="C572" t="n">
        <v>-1</v>
      </c>
      <c r="D572" t="inlineStr">
        <is>
          <t>.z05_7_a_-1</t>
        </is>
      </c>
      <c r="E572" t="inlineStr">
        <is>
          <t>7.Wizualizacja i interfejs użytkownika</t>
        </is>
      </c>
      <c r="F572" t="n">
        <v>0</v>
      </c>
      <c r="G572" t="n">
        <v>0</v>
      </c>
      <c r="H572" t="n">
        <v>35</v>
      </c>
      <c r="I572" t="n">
        <v>0</v>
      </c>
      <c r="J572" t="n">
        <v>106</v>
      </c>
      <c r="K572" t="n">
        <v>46939</v>
      </c>
      <c r="L572" t="n">
        <v>46939</v>
      </c>
      <c r="M572" t="n">
        <v>105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</row>
    <row r="573" hidden="1" outlineLevel="1" s="191">
      <c r="A573" t="n">
        <v>7</v>
      </c>
      <c r="B573" t="inlineStr">
        <is>
          <t>a</t>
        </is>
      </c>
      <c r="C573" t="n">
        <v>0</v>
      </c>
      <c r="D573" t="inlineStr">
        <is>
          <t>.z05_7_a_0</t>
        </is>
      </c>
      <c r="E573" t="inlineStr">
        <is>
          <t>Badania nad wykorzystaniem technologii cyfrowych do wizualizacji procesów magazynowych</t>
        </is>
      </c>
      <c r="F573" t="n">
        <v>0</v>
      </c>
      <c r="G573" t="n">
        <v>0</v>
      </c>
      <c r="H573" t="n">
        <v>0</v>
      </c>
      <c r="I573" t="n">
        <v>0</v>
      </c>
      <c r="J573" t="n">
        <v>106</v>
      </c>
      <c r="K573" t="n">
        <v>46939</v>
      </c>
      <c r="L573" t="n">
        <v>46939</v>
      </c>
      <c r="M573" t="n">
        <v>105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</row>
    <row r="574" hidden="1" outlineLevel="1" s="191">
      <c r="A574" t="n">
        <v>7</v>
      </c>
      <c r="B574" t="inlineStr">
        <is>
          <t>a</t>
        </is>
      </c>
      <c r="C574" t="n">
        <v>1</v>
      </c>
      <c r="D574" t="inlineStr">
        <is>
          <t>.z05_7_a_1</t>
        </is>
      </c>
      <c r="E574" t="inlineStr">
        <is>
          <t xml:space="preserve">Opracowanie wymagań szczegółowych odnośnie wizualizacji </t>
        </is>
      </c>
      <c r="F574" t="n">
        <v>0</v>
      </c>
      <c r="G574" t="inlineStr">
        <is>
          <t>Specjalista</t>
        </is>
      </c>
      <c r="H574" t="n">
        <v>0</v>
      </c>
      <c r="I574" t="inlineStr">
        <is>
          <t>ACT</t>
        </is>
      </c>
      <c r="J574" t="n">
        <v>106</v>
      </c>
      <c r="K574" t="n">
        <v>46939</v>
      </c>
      <c r="L574" t="n">
        <v>46941</v>
      </c>
      <c r="M574" t="n">
        <v>107</v>
      </c>
      <c r="N574" t="n">
        <v>2</v>
      </c>
      <c r="O574" t="n">
        <v>160</v>
      </c>
      <c r="P574" t="n">
        <v>0.25</v>
      </c>
      <c r="Q574" t="n">
        <v>0.25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0.25</v>
      </c>
      <c r="AA574" t="n">
        <v>0</v>
      </c>
      <c r="AB574" t="n">
        <v>0</v>
      </c>
      <c r="AC574" t="n">
        <v>0.25</v>
      </c>
      <c r="AD574" t="n">
        <v>0</v>
      </c>
      <c r="AE574" t="n">
        <v>0</v>
      </c>
      <c r="AF574" t="n">
        <v>0</v>
      </c>
      <c r="AG574" t="n">
        <v>40</v>
      </c>
      <c r="AH574" t="n">
        <v>40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40</v>
      </c>
      <c r="AR574" t="n">
        <v>0</v>
      </c>
      <c r="AS574" t="n">
        <v>0</v>
      </c>
      <c r="AT574" t="n">
        <v>40</v>
      </c>
      <c r="AU574" t="n">
        <v>0</v>
      </c>
      <c r="AV574" t="n">
        <v>0</v>
      </c>
      <c r="AW574" t="n">
        <v>0</v>
      </c>
      <c r="AX574" t="n">
        <v>80</v>
      </c>
      <c r="AY574" t="n">
        <v>0.5</v>
      </c>
      <c r="AZ574" t="e">
        <v>#N/A</v>
      </c>
      <c r="BA574" t="e">
        <v>#N/A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160</v>
      </c>
      <c r="BK574" t="n">
        <v>160</v>
      </c>
      <c r="BL574" t="n">
        <v>0</v>
      </c>
    </row>
    <row r="575" hidden="1" outlineLevel="1" s="191">
      <c r="A575" t="n">
        <v>7</v>
      </c>
      <c r="B575" t="inlineStr">
        <is>
          <t>b</t>
        </is>
      </c>
      <c r="C575" t="n">
        <v>0</v>
      </c>
      <c r="D575" t="inlineStr">
        <is>
          <t>.z05_7_b_0</t>
        </is>
      </c>
      <c r="E575" t="inlineStr">
        <is>
          <t>Opracowanie i optymalizacja procedur wizualizacyjnych</t>
        </is>
      </c>
      <c r="F575" t="n">
        <v>0</v>
      </c>
      <c r="G575" t="n">
        <v>0</v>
      </c>
      <c r="H575" t="n">
        <v>36</v>
      </c>
      <c r="I575" t="n">
        <v>0</v>
      </c>
      <c r="J575" t="n">
        <v>108</v>
      </c>
      <c r="K575" t="n">
        <v>46953</v>
      </c>
      <c r="L575" t="n">
        <v>46953</v>
      </c>
      <c r="M575" t="n">
        <v>107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e">
        <v>#N/A</v>
      </c>
      <c r="BA575" t="e">
        <v>#N/A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</row>
    <row r="576" hidden="1" outlineLevel="1" s="191">
      <c r="A576" t="n">
        <v>7</v>
      </c>
      <c r="B576" t="inlineStr">
        <is>
          <t>b</t>
        </is>
      </c>
      <c r="C576" t="n">
        <v>0</v>
      </c>
      <c r="D576" t="inlineStr">
        <is>
          <t>.z05_7_b_0</t>
        </is>
      </c>
      <c r="E576" t="inlineStr">
        <is>
          <t>Opracowanie i optymalizacja intuicyjnych interfejsów do monitorowania i interakcji z cyfrowym bliźniakiem</t>
        </is>
      </c>
      <c r="F576" t="n">
        <v>0</v>
      </c>
      <c r="G576" t="n">
        <v>0</v>
      </c>
      <c r="H576" t="n">
        <v>0</v>
      </c>
      <c r="I576" t="n">
        <v>0</v>
      </c>
      <c r="J576" t="n">
        <v>108</v>
      </c>
      <c r="K576" t="n">
        <v>46953</v>
      </c>
      <c r="L576" t="n">
        <v>46953</v>
      </c>
      <c r="M576" t="n">
        <v>107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e">
        <v>#N/A</v>
      </c>
      <c r="BA576" t="e">
        <v>#N/A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</row>
    <row r="577" hidden="1" outlineLevel="1" s="191">
      <c r="A577" t="n">
        <v>8</v>
      </c>
      <c r="B577" t="inlineStr">
        <is>
          <t>a</t>
        </is>
      </c>
      <c r="C577" t="n">
        <v>-1</v>
      </c>
      <c r="D577" t="inlineStr">
        <is>
          <t>.z05_8_a_-1</t>
        </is>
      </c>
      <c r="E577" t="inlineStr">
        <is>
          <t>8.Bezpieczeństwo i prywatność</t>
        </is>
      </c>
      <c r="F577" t="n">
        <v>0</v>
      </c>
      <c r="G577" t="n">
        <v>0</v>
      </c>
      <c r="H577" t="n">
        <v>0</v>
      </c>
      <c r="I577" t="n">
        <v>0</v>
      </c>
      <c r="J577" t="n">
        <v>108</v>
      </c>
      <c r="K577" t="n">
        <v>46953</v>
      </c>
      <c r="L577" t="n">
        <v>46953</v>
      </c>
      <c r="M577" t="n">
        <v>107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</row>
    <row r="578" hidden="1" outlineLevel="1" s="191">
      <c r="A578" t="n">
        <v>8</v>
      </c>
      <c r="B578" t="inlineStr">
        <is>
          <t>a</t>
        </is>
      </c>
      <c r="C578" t="n">
        <v>0</v>
      </c>
      <c r="D578" t="inlineStr">
        <is>
          <t>.z05_8_a_0</t>
        </is>
      </c>
      <c r="E578" t="inlineStr">
        <is>
          <t>Opracowanie i optymalizacja mechanizmów/narzędzi ochrony danych przed cyberatakami oraz ochrona integralności cyfrowego bliźniaka</t>
        </is>
      </c>
      <c r="F578" t="n">
        <v>0</v>
      </c>
      <c r="G578" t="n">
        <v>0</v>
      </c>
      <c r="H578" t="n">
        <v>0</v>
      </c>
      <c r="I578" t="n">
        <v>0</v>
      </c>
      <c r="J578" t="n">
        <v>108</v>
      </c>
      <c r="K578" t="n">
        <v>46953</v>
      </c>
      <c r="L578" t="n">
        <v>46953</v>
      </c>
      <c r="M578" t="n">
        <v>107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</row>
    <row r="579" hidden="1" outlineLevel="1" s="191">
      <c r="A579" t="n">
        <v>8</v>
      </c>
      <c r="B579" t="inlineStr">
        <is>
          <t>a</t>
        </is>
      </c>
      <c r="C579" t="n">
        <v>1</v>
      </c>
      <c r="D579" t="inlineStr">
        <is>
          <t>.z05_8_a_1</t>
        </is>
      </c>
      <c r="E579" t="inlineStr">
        <is>
          <t>Implementacja  modelu uprawnień  dla roli administratora systemu</t>
        </is>
      </c>
      <c r="F579" t="n">
        <v>0</v>
      </c>
      <c r="G579" t="inlineStr">
        <is>
          <t>Developer/ Devops</t>
        </is>
      </c>
      <c r="H579" t="n">
        <v>0</v>
      </c>
      <c r="I579" t="inlineStr">
        <is>
          <t>END</t>
        </is>
      </c>
      <c r="J579" t="n">
        <v>108</v>
      </c>
      <c r="K579" t="n">
        <v>46953</v>
      </c>
      <c r="L579" t="n">
        <v>46954</v>
      </c>
      <c r="M579" t="n">
        <v>108</v>
      </c>
      <c r="N579" t="n">
        <v>1</v>
      </c>
      <c r="O579" t="n">
        <v>40</v>
      </c>
      <c r="P579" t="n">
        <v>0</v>
      </c>
      <c r="Q579" t="n">
        <v>0</v>
      </c>
      <c r="R579" t="n">
        <v>0.25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0.75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30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10</v>
      </c>
      <c r="AY579" t="n">
        <v>0.0625</v>
      </c>
      <c r="AZ579" t="e">
        <v>#N/A</v>
      </c>
      <c r="BA579" t="e">
        <v>#N/A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40</v>
      </c>
      <c r="BK579" t="n">
        <v>40</v>
      </c>
      <c r="BL579" t="n">
        <v>0</v>
      </c>
    </row>
    <row r="580" hidden="1" outlineLevel="1" s="191">
      <c r="A580" t="n">
        <v>8</v>
      </c>
      <c r="B580" t="inlineStr">
        <is>
          <t>a</t>
        </is>
      </c>
      <c r="C580" t="n">
        <v>2</v>
      </c>
      <c r="D580" t="inlineStr">
        <is>
          <t>.z05_8_a_2</t>
        </is>
      </c>
      <c r="E580" t="inlineStr">
        <is>
          <t>Implementacja  modelu uprawnień  dla roli operatora systemu</t>
        </is>
      </c>
      <c r="F580" t="n">
        <v>0</v>
      </c>
      <c r="G580" t="inlineStr">
        <is>
          <t>Developer/ Devops</t>
        </is>
      </c>
      <c r="H580" t="n">
        <v>37</v>
      </c>
      <c r="I580" t="inlineStr">
        <is>
          <t>END</t>
        </is>
      </c>
      <c r="J580" t="n">
        <v>109</v>
      </c>
      <c r="K580" t="n">
        <v>46960</v>
      </c>
      <c r="L580" t="n">
        <v>46961</v>
      </c>
      <c r="M580" t="n">
        <v>109</v>
      </c>
      <c r="N580" t="n">
        <v>1</v>
      </c>
      <c r="O580" t="n">
        <v>40</v>
      </c>
      <c r="P580" t="n">
        <v>0</v>
      </c>
      <c r="Q580" t="n">
        <v>0</v>
      </c>
      <c r="R580" t="n">
        <v>0.25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0.75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30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10</v>
      </c>
      <c r="AY580" t="n">
        <v>0.0625</v>
      </c>
      <c r="AZ580" t="e">
        <v>#N/A</v>
      </c>
      <c r="BA580" t="e">
        <v>#N/A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40</v>
      </c>
      <c r="BK580" t="n">
        <v>40</v>
      </c>
      <c r="BL580" t="n">
        <v>0</v>
      </c>
    </row>
    <row r="581" hidden="1" outlineLevel="1" s="191">
      <c r="A581" t="n">
        <v>8</v>
      </c>
      <c r="B581" t="inlineStr">
        <is>
          <t>a</t>
        </is>
      </c>
      <c r="C581" t="n">
        <v>3</v>
      </c>
      <c r="D581" t="inlineStr">
        <is>
          <t>.z05_8_a_3</t>
        </is>
      </c>
      <c r="E581" t="inlineStr">
        <is>
          <t>Implementacja monitoringu  parametrow pracy systemu</t>
        </is>
      </c>
      <c r="F581" t="n">
        <v>0</v>
      </c>
      <c r="G581" t="inlineStr">
        <is>
          <t>Developer/ Devops</t>
        </is>
      </c>
      <c r="H581" t="n">
        <v>37</v>
      </c>
      <c r="I581" t="inlineStr">
        <is>
          <t>END</t>
        </is>
      </c>
      <c r="J581" t="n">
        <v>110</v>
      </c>
      <c r="K581" t="n">
        <v>46967</v>
      </c>
      <c r="L581" t="n">
        <v>46968</v>
      </c>
      <c r="M581" t="n">
        <v>110</v>
      </c>
      <c r="N581" t="n">
        <v>1</v>
      </c>
      <c r="O581" t="n">
        <v>40</v>
      </c>
      <c r="P581" t="n">
        <v>0</v>
      </c>
      <c r="Q581" t="n">
        <v>0</v>
      </c>
      <c r="R581" t="n">
        <v>0.25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0.75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30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10</v>
      </c>
      <c r="AY581" t="n">
        <v>0.0625</v>
      </c>
      <c r="AZ581" t="e">
        <v>#N/A</v>
      </c>
      <c r="BA581" t="e">
        <v>#N/A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40</v>
      </c>
      <c r="BK581" t="n">
        <v>40</v>
      </c>
      <c r="BL581" t="n">
        <v>0</v>
      </c>
    </row>
    <row r="582" hidden="1" outlineLevel="1" s="191">
      <c r="A582" t="n">
        <v>8</v>
      </c>
      <c r="B582" t="inlineStr">
        <is>
          <t>b</t>
        </is>
      </c>
      <c r="C582" t="n">
        <v>1</v>
      </c>
      <c r="D582" t="inlineStr">
        <is>
          <t>.z05_8_b_1</t>
        </is>
      </c>
      <c r="E582" t="inlineStr">
        <is>
          <t>Opracowanie i optymalizacja mechanizmów/narzędzi anonimizacji danych oraz ochrony wrażliwych informacji w cyfrowym bliźniaku</t>
        </is>
      </c>
      <c r="F582" t="n">
        <v>0</v>
      </c>
      <c r="G582" t="n">
        <v>0</v>
      </c>
      <c r="H582" t="n">
        <v>37</v>
      </c>
      <c r="I582" t="n">
        <v>0</v>
      </c>
      <c r="J582" t="n">
        <v>111</v>
      </c>
      <c r="K582" t="n">
        <v>46974</v>
      </c>
      <c r="L582" t="n">
        <v>46974</v>
      </c>
      <c r="M582" t="n">
        <v>110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</row>
    <row r="583" hidden="1" outlineLevel="1" s="191">
      <c r="A583" t="n">
        <v>9</v>
      </c>
      <c r="B583" t="inlineStr">
        <is>
          <t>a</t>
        </is>
      </c>
      <c r="C583" t="n">
        <v>0</v>
      </c>
      <c r="D583" t="inlineStr">
        <is>
          <t>.z05_9_a_0</t>
        </is>
      </c>
      <c r="E583" t="inlineStr">
        <is>
          <t>9.Dokumentacja i szkolenie</t>
        </is>
      </c>
      <c r="F583" t="n">
        <v>0</v>
      </c>
      <c r="G583" t="n">
        <v>0</v>
      </c>
      <c r="H583" t="n">
        <v>0</v>
      </c>
      <c r="I583" t="n">
        <v>0</v>
      </c>
      <c r="J583" t="n">
        <v>111</v>
      </c>
      <c r="K583" t="n">
        <v>46974</v>
      </c>
      <c r="L583" t="n">
        <v>46974</v>
      </c>
      <c r="M583" t="n">
        <v>110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</row>
    <row r="584" hidden="1" outlineLevel="1" s="191">
      <c r="A584" t="n">
        <v>9</v>
      </c>
      <c r="B584" t="inlineStr">
        <is>
          <t>a</t>
        </is>
      </c>
      <c r="C584" t="n">
        <v>1</v>
      </c>
      <c r="D584" t="inlineStr">
        <is>
          <t>.z05_9_a_1</t>
        </is>
      </c>
      <c r="E584" t="inlineStr">
        <is>
          <t>Utworzenie dokumentacji technicznej cyfrowego blizniaka</t>
        </is>
      </c>
      <c r="F584" t="n">
        <v>0</v>
      </c>
      <c r="G584" t="inlineStr">
        <is>
          <t>Ekspert merytoryczny/ Architekt rozwiazania</t>
        </is>
      </c>
      <c r="H584" t="n">
        <v>0</v>
      </c>
      <c r="I584" t="inlineStr">
        <is>
          <t>ACT</t>
        </is>
      </c>
      <c r="J584" t="n">
        <v>111</v>
      </c>
      <c r="K584" t="n">
        <v>46974</v>
      </c>
      <c r="L584" t="n">
        <v>46976</v>
      </c>
      <c r="M584" t="n">
        <v>112</v>
      </c>
      <c r="N584" t="n">
        <v>2</v>
      </c>
      <c r="O584" t="n">
        <v>120</v>
      </c>
      <c r="P584" t="n">
        <v>0</v>
      </c>
      <c r="Q584" t="n">
        <v>0.333</v>
      </c>
      <c r="R584" t="n">
        <v>0</v>
      </c>
      <c r="S584" t="n">
        <v>0.333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0.333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40</v>
      </c>
      <c r="AI584" t="n">
        <v>0</v>
      </c>
      <c r="AJ584" t="n">
        <v>40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40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80</v>
      </c>
      <c r="AY584" t="n">
        <v>0.5</v>
      </c>
      <c r="AZ584" t="e">
        <v>#N/A</v>
      </c>
      <c r="BA584" t="e">
        <v>#N/A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120</v>
      </c>
      <c r="BK584" t="n">
        <v>120</v>
      </c>
      <c r="BL584" t="n">
        <v>0</v>
      </c>
    </row>
    <row r="585" hidden="1" outlineLevel="1" s="191">
      <c r="A585" t="n">
        <v>9</v>
      </c>
      <c r="B585" t="inlineStr">
        <is>
          <t>a</t>
        </is>
      </c>
      <c r="C585" t="n">
        <v>2</v>
      </c>
      <c r="D585" t="inlineStr">
        <is>
          <t>.z05_9_a_2</t>
        </is>
      </c>
      <c r="E585" t="inlineStr">
        <is>
          <t>Szkolenie techniczne  z technologii wykorzystanych w cyfrowym bliźniaku</t>
        </is>
      </c>
      <c r="F585" t="n">
        <v>0</v>
      </c>
      <c r="G585" t="inlineStr">
        <is>
          <t>Ekspert merytoryczny/ Architekt rozwiazania</t>
        </is>
      </c>
      <c r="H585" t="n">
        <v>38</v>
      </c>
      <c r="I585" t="inlineStr">
        <is>
          <t>END</t>
        </is>
      </c>
      <c r="J585" t="n">
        <v>113</v>
      </c>
      <c r="K585" t="n">
        <v>46988</v>
      </c>
      <c r="L585" t="n">
        <v>46990</v>
      </c>
      <c r="M585" t="n">
        <v>114</v>
      </c>
      <c r="N585" t="n">
        <v>2</v>
      </c>
      <c r="O585" t="n">
        <v>200</v>
      </c>
      <c r="P585" t="n">
        <v>0.2</v>
      </c>
      <c r="Q585" t="n">
        <v>0.2</v>
      </c>
      <c r="R585" t="n">
        <v>0.2</v>
      </c>
      <c r="S585" t="n">
        <v>0.2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0.2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40</v>
      </c>
      <c r="AH585" t="n">
        <v>40</v>
      </c>
      <c r="AI585" t="n">
        <v>40</v>
      </c>
      <c r="AJ585" t="n">
        <v>40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40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160</v>
      </c>
      <c r="AY585" t="n">
        <v>1</v>
      </c>
      <c r="AZ585" t="e">
        <v>#N/A</v>
      </c>
      <c r="BA585" t="e">
        <v>#N/A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200</v>
      </c>
      <c r="BK585" t="n">
        <v>200</v>
      </c>
      <c r="BL585" t="n">
        <v>0</v>
      </c>
    </row>
    <row r="586" hidden="1" outlineLevel="1" s="191">
      <c r="A586" t="n">
        <v>9</v>
      </c>
      <c r="B586" t="inlineStr">
        <is>
          <t>a</t>
        </is>
      </c>
      <c r="C586" t="n">
        <v>3</v>
      </c>
      <c r="D586" t="inlineStr">
        <is>
          <t>.z05_9_a_3</t>
        </is>
      </c>
      <c r="E586" t="inlineStr">
        <is>
          <t>Szkolenie techniczne  z procesow operacyjnych  cyfrowego bliźniaka</t>
        </is>
      </c>
      <c r="F586" t="n">
        <v>0</v>
      </c>
      <c r="G586" t="inlineStr">
        <is>
          <t>Ekspert merytoryczny/ Architekt rozwiazania</t>
        </is>
      </c>
      <c r="H586" t="n">
        <v>39</v>
      </c>
      <c r="I586" t="inlineStr">
        <is>
          <t>END</t>
        </is>
      </c>
      <c r="J586" t="n">
        <v>115</v>
      </c>
      <c r="K586" t="n">
        <v>47002</v>
      </c>
      <c r="L586" t="n">
        <v>47004</v>
      </c>
      <c r="M586" t="n">
        <v>116</v>
      </c>
      <c r="N586" t="n">
        <v>2</v>
      </c>
      <c r="O586" t="n">
        <v>200</v>
      </c>
      <c r="P586" t="n">
        <v>0.2</v>
      </c>
      <c r="Q586" t="n">
        <v>0.2</v>
      </c>
      <c r="R586" t="n">
        <v>0.2</v>
      </c>
      <c r="S586" t="n">
        <v>0.2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0.2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40</v>
      </c>
      <c r="AH586" t="n">
        <v>40</v>
      </c>
      <c r="AI586" t="n">
        <v>40</v>
      </c>
      <c r="AJ586" t="n">
        <v>40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40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160</v>
      </c>
      <c r="AY586" t="n">
        <v>1</v>
      </c>
      <c r="AZ586" t="e">
        <v>#N/A</v>
      </c>
      <c r="BA586" t="e">
        <v>#N/A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200</v>
      </c>
      <c r="BK586" t="n">
        <v>200</v>
      </c>
      <c r="BL586" t="n">
        <v>0</v>
      </c>
    </row>
    <row r="587" hidden="1" outlineLevel="1" s="191">
      <c r="BJ587" t="n">
        <v>0</v>
      </c>
      <c r="BK587" t="n">
        <v>0</v>
      </c>
      <c r="BL587" t="n">
        <v>0</v>
      </c>
    </row>
    <row r="588" hidden="1" outlineLevel="1" s="191">
      <c r="BJ588" t="n">
        <v>0</v>
      </c>
      <c r="BK588" t="n">
        <v>0</v>
      </c>
      <c r="BL588" t="n">
        <v>0</v>
      </c>
    </row>
    <row r="589" hidden="1" outlineLevel="1" s="191">
      <c r="BJ589" t="n">
        <v>0</v>
      </c>
      <c r="BK589" t="n">
        <v>0</v>
      </c>
      <c r="BL589" t="n">
        <v>0</v>
      </c>
    </row>
    <row r="590" hidden="1" outlineLevel="1" s="191">
      <c r="BJ590" t="n">
        <v>0</v>
      </c>
      <c r="BK590" t="n">
        <v>0</v>
      </c>
      <c r="BL590" t="n">
        <v>0</v>
      </c>
    </row>
    <row r="591" hidden="1" outlineLevel="1" s="191">
      <c r="BJ591" t="n">
        <v>0</v>
      </c>
      <c r="BK591" t="n">
        <v>0</v>
      </c>
      <c r="BL591" t="n">
        <v>0</v>
      </c>
    </row>
    <row r="592" hidden="1" outlineLevel="1" s="191">
      <c r="BJ592" t="n">
        <v>0</v>
      </c>
      <c r="BK592" t="n">
        <v>0</v>
      </c>
      <c r="BL592" t="n">
        <v>0</v>
      </c>
    </row>
    <row r="593" hidden="1" outlineLevel="1" s="191">
      <c r="BJ593" t="n">
        <v>0</v>
      </c>
      <c r="BK593" t="n">
        <v>0</v>
      </c>
      <c r="BL593" t="n">
        <v>0</v>
      </c>
    </row>
    <row r="594" hidden="1" outlineLevel="1" s="191">
      <c r="BJ594" t="n">
        <v>0</v>
      </c>
      <c r="BK594" t="n">
        <v>0</v>
      </c>
      <c r="BL594" t="n">
        <v>0</v>
      </c>
    </row>
    <row r="595" hidden="1" outlineLevel="1" s="191">
      <c r="BJ595" t="n">
        <v>0</v>
      </c>
      <c r="BK595" t="n">
        <v>0</v>
      </c>
      <c r="BL595" t="n">
        <v>0</v>
      </c>
    </row>
    <row r="596" hidden="1" outlineLevel="1" s="191">
      <c r="BJ596" t="n">
        <v>0</v>
      </c>
      <c r="BK596" t="n">
        <v>0</v>
      </c>
      <c r="BL596" t="n">
        <v>0</v>
      </c>
    </row>
    <row r="597" hidden="1" outlineLevel="1" s="191">
      <c r="BJ597" t="n">
        <v>0</v>
      </c>
      <c r="BK597" t="n">
        <v>0</v>
      </c>
      <c r="BL597" t="n">
        <v>0</v>
      </c>
    </row>
    <row r="598" hidden="1" outlineLevel="1" s="191">
      <c r="A598" s="264" t="inlineStr">
        <is>
          <t>.z05</t>
        </is>
      </c>
      <c r="BJ598" t="n">
        <v>0</v>
      </c>
      <c r="BK598" t="n">
        <v>0</v>
      </c>
      <c r="BL598" t="n">
        <v>0</v>
      </c>
    </row>
    <row r="599" collapsed="1" s="191">
      <c r="BJ599" t="n">
        <v>0</v>
      </c>
      <c r="BK599" t="n">
        <v>0</v>
      </c>
      <c r="BL599" t="n">
        <v>0</v>
      </c>
      <c r="BM599" t="n">
        <v>-2</v>
      </c>
    </row>
    <row r="600" ht="15.6" customHeight="1" s="191">
      <c r="A600" s="259" t="inlineStr">
        <is>
          <t>.z06</t>
        </is>
      </c>
      <c r="B600" s="260" t="n"/>
      <c r="C600" s="261" t="n"/>
      <c r="D600" s="276" t="n"/>
      <c r="E600" s="277" t="inlineStr">
        <is>
          <t>Zadanie_VI   :  Opracowanie autorskiej bazy danych dla procesu kompletacji zamówień (BDKZ) z wykorzystaniem mechanizmów AI i ML</t>
        </is>
      </c>
      <c r="BJ600" t="n">
        <v>0</v>
      </c>
      <c r="BK600" t="n">
        <v>0</v>
      </c>
      <c r="BL600" t="n">
        <v>0</v>
      </c>
      <c r="BM600" t="n">
        <v>-2</v>
      </c>
    </row>
    <row r="601" hidden="1" outlineLevel="1" s="191">
      <c r="A601" t="n">
        <v>1</v>
      </c>
      <c r="B601" t="inlineStr">
        <is>
          <t>a</t>
        </is>
      </c>
      <c r="C601" t="n">
        <v>-1</v>
      </c>
      <c r="D601" t="inlineStr">
        <is>
          <t>.z06_1_a_-1</t>
        </is>
      </c>
      <c r="E601" t="inlineStr">
        <is>
          <t>1.Opracowanie koncepcji standaryzowanej bazy danych Kompletacji Zamówień</t>
        </is>
      </c>
      <c r="F601" t="n">
        <v>0</v>
      </c>
      <c r="G601" t="n">
        <v>0</v>
      </c>
      <c r="H601" t="n">
        <v>0</v>
      </c>
      <c r="I601" t="inlineStr">
        <is>
          <t>ACT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5236.46875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</row>
    <row r="602" hidden="1" outlineLevel="1" s="191">
      <c r="A602" t="n">
        <v>1</v>
      </c>
      <c r="B602" t="inlineStr">
        <is>
          <t>a</t>
        </is>
      </c>
      <c r="C602" t="n">
        <v>0</v>
      </c>
      <c r="D602" t="inlineStr">
        <is>
          <t>.z06_1_a_0</t>
        </is>
      </c>
      <c r="E602" t="inlineStr">
        <is>
          <t>Projektowanie struktury bazy danych, która zapewni jej wydajność, spójność i skalowalność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</row>
    <row r="603" hidden="1" outlineLevel="1" s="191">
      <c r="A603" t="n">
        <v>1</v>
      </c>
      <c r="B603" t="inlineStr">
        <is>
          <t>a</t>
        </is>
      </c>
      <c r="C603" t="n">
        <v>1</v>
      </c>
      <c r="D603" t="inlineStr">
        <is>
          <t>.z06_1_a_1</t>
        </is>
      </c>
      <c r="E603" t="inlineStr">
        <is>
          <t>Opracowanie logicznego i fizycznego modelu bazy danych, uwzględniającego wszystkie kluczowe elementy (np. tabele, relacje, indeksy i klucze)</t>
        </is>
      </c>
      <c r="F603" t="inlineStr">
        <is>
          <t>Imię02</t>
        </is>
      </c>
      <c r="G603" t="inlineStr">
        <is>
          <t>Nazwisko02</t>
        </is>
      </c>
      <c r="H603" t="n">
        <v>1</v>
      </c>
      <c r="I603" t="inlineStr">
        <is>
          <t>.a02</t>
        </is>
      </c>
      <c r="J603" t="n">
        <v>83</v>
      </c>
      <c r="K603" t="n">
        <v>46778</v>
      </c>
      <c r="L603" t="n">
        <v>46780</v>
      </c>
      <c r="M603" t="n">
        <v>84</v>
      </c>
      <c r="N603" t="n">
        <v>2</v>
      </c>
      <c r="O603" t="n">
        <v>160</v>
      </c>
      <c r="P603" t="n">
        <v>0.25</v>
      </c>
      <c r="Q603" t="n">
        <v>0.25</v>
      </c>
      <c r="R603" t="n">
        <v>0.25</v>
      </c>
      <c r="S603" t="n">
        <v>0.25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40</v>
      </c>
      <c r="AH603" t="n">
        <v>40</v>
      </c>
      <c r="AI603" t="n">
        <v>40</v>
      </c>
      <c r="AJ603" t="n">
        <v>40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160</v>
      </c>
      <c r="AY603" t="n">
        <v>1</v>
      </c>
      <c r="AZ603" t="n">
        <v>5002</v>
      </c>
      <c r="BA603" t="n">
        <v>5002</v>
      </c>
      <c r="BB603" t="n">
        <v>5002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160</v>
      </c>
      <c r="BK603" t="n">
        <v>160</v>
      </c>
      <c r="BL603" t="n">
        <v>0</v>
      </c>
    </row>
    <row r="604" hidden="1" outlineLevel="1" s="191">
      <c r="A604" t="n">
        <v>1</v>
      </c>
      <c r="B604" t="inlineStr">
        <is>
          <t>a</t>
        </is>
      </c>
      <c r="C604" t="n">
        <v>2</v>
      </c>
      <c r="D604" t="inlineStr">
        <is>
          <t>.z06_1_a_2</t>
        </is>
      </c>
      <c r="E604" t="inlineStr">
        <is>
          <t>Opracowanie architektury systemu, zapewniającą obsługę rosnącej ilości danych celem szybkiego i efektywnego ich przetwarzania</t>
        </is>
      </c>
      <c r="F604" t="inlineStr">
        <is>
          <t>Imię03</t>
        </is>
      </c>
      <c r="G604" t="inlineStr">
        <is>
          <t>Nazwisko03</t>
        </is>
      </c>
      <c r="H604" t="n">
        <v>1</v>
      </c>
      <c r="I604" t="inlineStr">
        <is>
          <t>.a03</t>
        </is>
      </c>
      <c r="J604" t="n">
        <v>85</v>
      </c>
      <c r="K604" t="n">
        <v>46792</v>
      </c>
      <c r="L604" t="n">
        <v>46792</v>
      </c>
      <c r="M604" t="n">
        <v>84</v>
      </c>
      <c r="N604" t="n">
        <v>0</v>
      </c>
      <c r="O604" t="n">
        <v>20</v>
      </c>
      <c r="P604" t="n">
        <v>0.25</v>
      </c>
      <c r="Q604" t="n">
        <v>0.25</v>
      </c>
      <c r="R604" t="n">
        <v>0.25</v>
      </c>
      <c r="S604" t="n">
        <v>0.25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5</v>
      </c>
      <c r="AH604" t="n">
        <v>5</v>
      </c>
      <c r="AI604" t="n">
        <v>5</v>
      </c>
      <c r="AJ604" t="n">
        <v>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20</v>
      </c>
      <c r="AY604" t="n">
        <v>0.125</v>
      </c>
      <c r="AZ604" t="n">
        <v>5003</v>
      </c>
      <c r="BA604" t="n">
        <v>625.375</v>
      </c>
      <c r="BB604" t="n">
        <v>78.171875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20</v>
      </c>
      <c r="BK604" t="n">
        <v>20</v>
      </c>
      <c r="BL604" t="n">
        <v>0</v>
      </c>
    </row>
    <row r="605" hidden="1" outlineLevel="1" s="191">
      <c r="A605" t="n">
        <v>1</v>
      </c>
      <c r="B605" t="inlineStr">
        <is>
          <t>a</t>
        </is>
      </c>
      <c r="C605" t="n">
        <v>3</v>
      </c>
      <c r="D605" t="inlineStr">
        <is>
          <t>.z06_1_a_3</t>
        </is>
      </c>
      <c r="E605" t="inlineStr">
        <is>
          <t>Opracowanie mechanizmów do administrowania, eksploatacji i monitorowania bazy danych oraz współpracy z modułami planowanej platformy ICT</t>
        </is>
      </c>
      <c r="F605" t="inlineStr">
        <is>
          <t>Imię01</t>
        </is>
      </c>
      <c r="G605" t="inlineStr">
        <is>
          <t>Nazwisko01</t>
        </is>
      </c>
      <c r="H605" t="n">
        <v>1</v>
      </c>
      <c r="I605" t="inlineStr">
        <is>
          <t>.a01</t>
        </is>
      </c>
      <c r="J605" t="n">
        <v>85</v>
      </c>
      <c r="K605" t="n">
        <v>46792</v>
      </c>
      <c r="L605" t="n">
        <v>46792</v>
      </c>
      <c r="M605" t="n">
        <v>84</v>
      </c>
      <c r="N605" t="n">
        <v>0</v>
      </c>
      <c r="O605" t="n">
        <v>20</v>
      </c>
      <c r="P605" t="n">
        <v>0.25</v>
      </c>
      <c r="Q605" t="n">
        <v>0.25</v>
      </c>
      <c r="R605" t="n">
        <v>0.25</v>
      </c>
      <c r="S605" t="n">
        <v>0.25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5</v>
      </c>
      <c r="AH605" t="n">
        <v>5</v>
      </c>
      <c r="AI605" t="n">
        <v>5</v>
      </c>
      <c r="AJ605" t="n">
        <v>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20</v>
      </c>
      <c r="AY605" t="n">
        <v>0.125</v>
      </c>
      <c r="AZ605" t="n">
        <v>5001</v>
      </c>
      <c r="BA605" t="n">
        <v>625.125</v>
      </c>
      <c r="BB605" t="n">
        <v>78.140625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20</v>
      </c>
      <c r="BK605" t="n">
        <v>20</v>
      </c>
      <c r="BL605" t="n">
        <v>0</v>
      </c>
    </row>
    <row r="606" hidden="1" outlineLevel="1" s="191">
      <c r="A606" t="n">
        <v>1</v>
      </c>
      <c r="B606" t="inlineStr">
        <is>
          <t>a</t>
        </is>
      </c>
      <c r="C606" t="n">
        <v>4</v>
      </c>
      <c r="D606" t="inlineStr">
        <is>
          <t>.z06_1_a_4</t>
        </is>
      </c>
      <c r="E606" t="inlineStr">
        <is>
          <t>Testowanie, walidacja i optymalizacja projektu struktury bazy danych</t>
        </is>
      </c>
      <c r="F606" t="inlineStr">
        <is>
          <t>Imię02</t>
        </is>
      </c>
      <c r="G606" t="inlineStr">
        <is>
          <t>Nazwisko02</t>
        </is>
      </c>
      <c r="H606" t="n">
        <v>1</v>
      </c>
      <c r="I606" t="inlineStr">
        <is>
          <t>.a02</t>
        </is>
      </c>
      <c r="J606" t="n">
        <v>85</v>
      </c>
      <c r="K606" t="n">
        <v>46792</v>
      </c>
      <c r="L606" t="n">
        <v>46792</v>
      </c>
      <c r="M606" t="n">
        <v>85</v>
      </c>
      <c r="N606" t="n">
        <v>0</v>
      </c>
      <c r="O606" t="n">
        <v>20</v>
      </c>
      <c r="P606" t="n">
        <v>0.25</v>
      </c>
      <c r="Q606" t="n">
        <v>0.25</v>
      </c>
      <c r="R606" t="n">
        <v>0.25</v>
      </c>
      <c r="S606" t="n">
        <v>0.25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5</v>
      </c>
      <c r="AH606" t="n">
        <v>5</v>
      </c>
      <c r="AI606" t="n">
        <v>5</v>
      </c>
      <c r="AJ606" t="n">
        <v>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20</v>
      </c>
      <c r="AY606" t="n">
        <v>0.125</v>
      </c>
      <c r="AZ606" t="n">
        <v>5002</v>
      </c>
      <c r="BA606" t="n">
        <v>625.25</v>
      </c>
      <c r="BB606" t="n">
        <v>78.15625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20</v>
      </c>
      <c r="BK606" t="n">
        <v>20</v>
      </c>
      <c r="BL606" t="n">
        <v>0</v>
      </c>
    </row>
    <row r="607" hidden="1" outlineLevel="1" s="191">
      <c r="A607" t="n">
        <v>1</v>
      </c>
      <c r="B607" t="inlineStr">
        <is>
          <t>b</t>
        </is>
      </c>
      <c r="C607" t="n">
        <v>0</v>
      </c>
      <c r="D607" t="inlineStr">
        <is>
          <t>.z06_1_b_0</t>
        </is>
      </c>
      <c r="E607" t="inlineStr">
        <is>
          <t>Zbieranie i przygotowanie danych w celu  uzyskania pełnego obrazu operacji dot. kompletacji zamówień i umożliwienia kompleksowych analiz</t>
        </is>
      </c>
      <c r="F607" t="n">
        <v>0</v>
      </c>
      <c r="G607" t="n">
        <v>0</v>
      </c>
      <c r="H607" t="n">
        <v>0</v>
      </c>
      <c r="I607" t="n">
        <v>0</v>
      </c>
      <c r="J607" t="n">
        <v>86</v>
      </c>
      <c r="K607" t="n">
        <v>46799</v>
      </c>
      <c r="L607" t="n">
        <v>46799</v>
      </c>
      <c r="M607" t="n">
        <v>85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</row>
    <row r="608" hidden="1" outlineLevel="1" s="191">
      <c r="A608" t="n">
        <v>1</v>
      </c>
      <c r="B608" t="inlineStr">
        <is>
          <t>b</t>
        </is>
      </c>
      <c r="C608" t="n">
        <v>1</v>
      </c>
      <c r="D608" t="inlineStr">
        <is>
          <t>.z06_1_b_1</t>
        </is>
      </c>
      <c r="E608" t="inlineStr">
        <is>
          <t>Stworzenie procedur zbierania, analizy i przetwarzania danych</t>
        </is>
      </c>
      <c r="F608" t="inlineStr">
        <is>
          <t>Imię01</t>
        </is>
      </c>
      <c r="G608" t="inlineStr">
        <is>
          <t>Nazwisko01</t>
        </is>
      </c>
      <c r="H608" t="n">
        <v>2</v>
      </c>
      <c r="I608" t="inlineStr">
        <is>
          <t>.a01</t>
        </is>
      </c>
      <c r="J608" t="n">
        <v>86</v>
      </c>
      <c r="K608" t="n">
        <v>46799</v>
      </c>
      <c r="L608" t="n">
        <v>46800</v>
      </c>
      <c r="M608" t="n">
        <v>86</v>
      </c>
      <c r="N608" t="n">
        <v>1</v>
      </c>
      <c r="O608" t="n">
        <v>40</v>
      </c>
      <c r="P608" t="n">
        <v>0.25</v>
      </c>
      <c r="Q608" t="n">
        <v>0.25</v>
      </c>
      <c r="R608" t="n">
        <v>0.25</v>
      </c>
      <c r="S608" t="n">
        <v>0.25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10</v>
      </c>
      <c r="AH608" t="n">
        <v>10</v>
      </c>
      <c r="AI608" t="n">
        <v>10</v>
      </c>
      <c r="AJ608" t="n">
        <v>10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40</v>
      </c>
      <c r="AY608" t="n">
        <v>0.25</v>
      </c>
      <c r="AZ608" t="n">
        <v>5001</v>
      </c>
      <c r="BA608" t="n">
        <v>1250.25</v>
      </c>
      <c r="BB608" t="n">
        <v>312.5625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40</v>
      </c>
      <c r="BK608" t="n">
        <v>40</v>
      </c>
      <c r="BL608" t="n">
        <v>0</v>
      </c>
    </row>
    <row r="609" hidden="1" outlineLevel="1" s="191">
      <c r="A609" t="n">
        <v>1</v>
      </c>
      <c r="B609" t="inlineStr">
        <is>
          <t>b</t>
        </is>
      </c>
      <c r="C609" t="n">
        <v>2</v>
      </c>
      <c r="D609" t="inlineStr">
        <is>
          <t>.z06_1_b_2</t>
        </is>
      </c>
      <c r="E609" t="inlineStr">
        <is>
          <t xml:space="preserve">Pozyskanie danych z różnych źródeł, np. systemy WMS, ERP </t>
        </is>
      </c>
      <c r="F609" t="inlineStr">
        <is>
          <t>Imię02</t>
        </is>
      </c>
      <c r="G609" t="inlineStr">
        <is>
          <t>Nazwisko02</t>
        </is>
      </c>
      <c r="H609" t="n">
        <v>2</v>
      </c>
      <c r="I609" t="inlineStr">
        <is>
          <t>.a02</t>
        </is>
      </c>
      <c r="J609" t="n">
        <v>87</v>
      </c>
      <c r="K609" t="n">
        <v>46806</v>
      </c>
      <c r="L609" t="n">
        <v>46807</v>
      </c>
      <c r="M609" t="n">
        <v>87</v>
      </c>
      <c r="N609" t="n">
        <v>1</v>
      </c>
      <c r="O609" t="n">
        <v>80</v>
      </c>
      <c r="P609" t="n">
        <v>0.25</v>
      </c>
      <c r="Q609" t="n">
        <v>0.25</v>
      </c>
      <c r="R609" t="n">
        <v>0.25</v>
      </c>
      <c r="S609" t="n">
        <v>0.25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20</v>
      </c>
      <c r="AH609" t="n">
        <v>20</v>
      </c>
      <c r="AI609" t="n">
        <v>20</v>
      </c>
      <c r="AJ609" t="n">
        <v>20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80</v>
      </c>
      <c r="AY609" t="n">
        <v>0.5</v>
      </c>
      <c r="AZ609" t="n">
        <v>5002</v>
      </c>
      <c r="BA609" t="n">
        <v>2501</v>
      </c>
      <c r="BB609" t="n">
        <v>1250.5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80</v>
      </c>
      <c r="BK609" t="n">
        <v>80</v>
      </c>
      <c r="BL609" t="n">
        <v>0</v>
      </c>
    </row>
    <row r="610" hidden="1" outlineLevel="1" s="191">
      <c r="A610" t="n">
        <v>1</v>
      </c>
      <c r="B610" t="inlineStr">
        <is>
          <t>b</t>
        </is>
      </c>
      <c r="C610" t="n">
        <v>3</v>
      </c>
      <c r="D610" t="inlineStr">
        <is>
          <t>.z06_1_b_3</t>
        </is>
      </c>
      <c r="E610" t="inlineStr">
        <is>
          <t>Identyfikacja aktualnie przypisywanych atrybutów do rekordów/obiektów w WMS/ERP</t>
        </is>
      </c>
      <c r="F610" t="inlineStr">
        <is>
          <t>Imię03</t>
        </is>
      </c>
      <c r="G610" t="inlineStr">
        <is>
          <t>Nazwisko03</t>
        </is>
      </c>
      <c r="H610" t="n">
        <v>2</v>
      </c>
      <c r="I610" t="inlineStr">
        <is>
          <t>.a03</t>
        </is>
      </c>
      <c r="J610" t="n">
        <v>88</v>
      </c>
      <c r="K610" t="n">
        <v>46813</v>
      </c>
      <c r="L610" t="n">
        <v>46814</v>
      </c>
      <c r="M610" t="n">
        <v>88</v>
      </c>
      <c r="N610" t="n">
        <v>1</v>
      </c>
      <c r="O610" t="n">
        <v>60</v>
      </c>
      <c r="P610" t="n">
        <v>0.25</v>
      </c>
      <c r="Q610" t="n">
        <v>0.25</v>
      </c>
      <c r="R610" t="n">
        <v>0.25</v>
      </c>
      <c r="S610" t="n">
        <v>0.25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15</v>
      </c>
      <c r="AH610" t="n">
        <v>15</v>
      </c>
      <c r="AI610" t="n">
        <v>15</v>
      </c>
      <c r="AJ610" t="n">
        <v>15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60</v>
      </c>
      <c r="AY610" t="n">
        <v>0.375</v>
      </c>
      <c r="AZ610" t="n">
        <v>5003</v>
      </c>
      <c r="BA610" t="n">
        <v>1876.125</v>
      </c>
      <c r="BB610" t="n">
        <v>703.546875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60</v>
      </c>
      <c r="BK610" t="n">
        <v>60</v>
      </c>
      <c r="BL610" t="n">
        <v>0</v>
      </c>
    </row>
    <row r="611" hidden="1" outlineLevel="1" s="191">
      <c r="A611" t="n">
        <v>1</v>
      </c>
      <c r="B611" t="inlineStr">
        <is>
          <t>b</t>
        </is>
      </c>
      <c r="C611" t="n">
        <v>4</v>
      </c>
      <c r="D611" t="inlineStr">
        <is>
          <t>.z06_1_b_4</t>
        </is>
      </c>
      <c r="E611" t="inlineStr">
        <is>
          <t>Opracowanie założeń modeli, schematów, organizacji i prezentacji danych wejściowych</t>
        </is>
      </c>
      <c r="F611" t="inlineStr">
        <is>
          <t>Imię01</t>
        </is>
      </c>
      <c r="G611" t="inlineStr">
        <is>
          <t>Nazwisko01</t>
        </is>
      </c>
      <c r="H611" t="n">
        <v>2</v>
      </c>
      <c r="I611" t="inlineStr">
        <is>
          <t>.a01</t>
        </is>
      </c>
      <c r="J611" t="n">
        <v>89</v>
      </c>
      <c r="K611" t="n">
        <v>46820</v>
      </c>
      <c r="L611" t="n">
        <v>46821</v>
      </c>
      <c r="M611" t="n">
        <v>89</v>
      </c>
      <c r="N611" t="n">
        <v>1</v>
      </c>
      <c r="O611" t="n">
        <v>80</v>
      </c>
      <c r="P611" t="n">
        <v>0.25</v>
      </c>
      <c r="Q611" t="n">
        <v>0.25</v>
      </c>
      <c r="R611" t="n">
        <v>0.25</v>
      </c>
      <c r="S611" t="n">
        <v>0.25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20</v>
      </c>
      <c r="AH611" t="n">
        <v>20</v>
      </c>
      <c r="AI611" t="n">
        <v>20</v>
      </c>
      <c r="AJ611" t="n">
        <v>20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80</v>
      </c>
      <c r="AY611" t="n">
        <v>0.5</v>
      </c>
      <c r="AZ611" t="n">
        <v>5001</v>
      </c>
      <c r="BA611" t="n">
        <v>2500.5</v>
      </c>
      <c r="BB611" t="n">
        <v>1250.25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80</v>
      </c>
      <c r="BK611" t="n">
        <v>80</v>
      </c>
      <c r="BL611" t="n">
        <v>0</v>
      </c>
    </row>
    <row r="612" hidden="1" outlineLevel="1" s="191">
      <c r="A612" t="n">
        <v>1</v>
      </c>
      <c r="B612" t="inlineStr">
        <is>
          <t>c</t>
        </is>
      </c>
      <c r="C612" t="n">
        <v>1</v>
      </c>
      <c r="D612" t="inlineStr">
        <is>
          <t>.z06_1_c_1</t>
        </is>
      </c>
      <c r="E612" t="inlineStr">
        <is>
          <t>Zgromadzenie danych historycznych (ostatnie 3 lata), dot. procesów omawianych w ramach niniejszego projektu.</t>
        </is>
      </c>
      <c r="F612" t="inlineStr">
        <is>
          <t>Imię02</t>
        </is>
      </c>
      <c r="G612" t="inlineStr">
        <is>
          <t>Nazwisko02</t>
        </is>
      </c>
      <c r="H612" t="n">
        <v>3</v>
      </c>
      <c r="I612" t="inlineStr">
        <is>
          <t>.a02</t>
        </is>
      </c>
      <c r="J612" t="n">
        <v>90</v>
      </c>
      <c r="K612" t="n">
        <v>46827</v>
      </c>
      <c r="L612" t="n">
        <v>46828</v>
      </c>
      <c r="M612" t="n">
        <v>90</v>
      </c>
      <c r="N612" t="n">
        <v>1</v>
      </c>
      <c r="O612" t="n">
        <v>40</v>
      </c>
      <c r="P612" t="n">
        <v>0.25</v>
      </c>
      <c r="Q612" t="n">
        <v>0.25</v>
      </c>
      <c r="R612" t="n">
        <v>0.25</v>
      </c>
      <c r="S612" t="n">
        <v>0.25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10</v>
      </c>
      <c r="AH612" t="n">
        <v>10</v>
      </c>
      <c r="AI612" t="n">
        <v>10</v>
      </c>
      <c r="AJ612" t="n">
        <v>10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40</v>
      </c>
      <c r="AY612" t="n">
        <v>0.25</v>
      </c>
      <c r="AZ612" t="n">
        <v>5002</v>
      </c>
      <c r="BA612" t="n">
        <v>1250.5</v>
      </c>
      <c r="BB612" t="n">
        <v>312.625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40</v>
      </c>
      <c r="BK612" t="n">
        <v>40</v>
      </c>
      <c r="BL612" t="n">
        <v>0</v>
      </c>
    </row>
    <row r="613" hidden="1" outlineLevel="1" s="191">
      <c r="A613" t="n">
        <v>1</v>
      </c>
      <c r="B613" t="inlineStr">
        <is>
          <t>d</t>
        </is>
      </c>
      <c r="C613" t="n">
        <v>1</v>
      </c>
      <c r="D613" t="inlineStr">
        <is>
          <t>.z06_1_d_1</t>
        </is>
      </c>
      <c r="E613" t="inlineStr">
        <is>
          <t>Oczyszczanie, normalizacja, konwersja i standaryzacja danych (procedury ETL), w tym usuwanie duplikatów i korekcji błędów, do jednolitego formatu na potrzeby dokładności analiz i predykcji, spójności i możliwość łatwego przetwarzania,</t>
        </is>
      </c>
      <c r="F613" t="inlineStr">
        <is>
          <t>Imię01</t>
        </is>
      </c>
      <c r="G613" t="inlineStr">
        <is>
          <t>Nazwisko01</t>
        </is>
      </c>
      <c r="H613" t="n">
        <v>4</v>
      </c>
      <c r="I613" t="inlineStr">
        <is>
          <t>.a01</t>
        </is>
      </c>
      <c r="J613" t="n">
        <v>91</v>
      </c>
      <c r="K613" t="n">
        <v>46834</v>
      </c>
      <c r="L613" t="n">
        <v>46835</v>
      </c>
      <c r="M613" t="n">
        <v>91</v>
      </c>
      <c r="N613" t="n">
        <v>1</v>
      </c>
      <c r="O613" t="n">
        <v>80</v>
      </c>
      <c r="P613" t="n">
        <v>0.25</v>
      </c>
      <c r="Q613" t="n">
        <v>0.25</v>
      </c>
      <c r="R613" t="n">
        <v>0.25</v>
      </c>
      <c r="S613" t="n">
        <v>0.25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20</v>
      </c>
      <c r="AH613" t="n">
        <v>20</v>
      </c>
      <c r="AI613" t="n">
        <v>20</v>
      </c>
      <c r="AJ613" t="n">
        <v>20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80</v>
      </c>
      <c r="AY613" t="n">
        <v>0.5</v>
      </c>
      <c r="AZ613" t="n">
        <v>5001</v>
      </c>
      <c r="BA613" t="n">
        <v>2500.5</v>
      </c>
      <c r="BB613" t="n">
        <v>1250.25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80</v>
      </c>
      <c r="BK613" t="n">
        <v>80</v>
      </c>
      <c r="BL613" t="n">
        <v>0</v>
      </c>
    </row>
    <row r="614" hidden="1" outlineLevel="1" s="191">
      <c r="A614" t="n">
        <v>2</v>
      </c>
      <c r="B614" t="inlineStr">
        <is>
          <t>a</t>
        </is>
      </c>
      <c r="C614" t="n">
        <v>0</v>
      </c>
      <c r="D614" t="inlineStr">
        <is>
          <t>.z06_2_a_0</t>
        </is>
      </c>
      <c r="E614" t="inlineStr">
        <is>
          <t>2.Implementacja BDKZ w infrastrukturze Wnioskodawcy w oparciu o wybrane platformy bazodanowe, np. Oracle, MSSQL, MySQL</t>
        </is>
      </c>
      <c r="F614" t="n">
        <v>0</v>
      </c>
      <c r="G614" t="n">
        <v>0</v>
      </c>
      <c r="H614" t="n">
        <v>0</v>
      </c>
      <c r="I614" t="n">
        <v>0</v>
      </c>
      <c r="J614" t="n">
        <v>92</v>
      </c>
      <c r="K614" t="n">
        <v>46841</v>
      </c>
      <c r="L614" t="n">
        <v>46841</v>
      </c>
      <c r="M614" t="n">
        <v>91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</row>
    <row r="615" hidden="1" outlineLevel="1" s="191">
      <c r="A615" t="n">
        <v>2</v>
      </c>
      <c r="B615" t="inlineStr">
        <is>
          <t>a</t>
        </is>
      </c>
      <c r="C615" t="n">
        <v>1</v>
      </c>
      <c r="D615" t="inlineStr">
        <is>
          <t>.z06_2_a_1</t>
        </is>
      </c>
      <c r="E615" t="inlineStr">
        <is>
          <t>Testowanie i walidacja platform bazodanowych (testy funkcjonalne i wydajnościowe, w tym obciążeniowe i regresyjne) jest kluczowe dla zapewnienia, że baza danych działa zgodnie z wymaganiami i jest gotowa do użycia</t>
        </is>
      </c>
      <c r="F615" t="inlineStr">
        <is>
          <t>Imię03</t>
        </is>
      </c>
      <c r="G615" t="inlineStr">
        <is>
          <t>Nazwisko03</t>
        </is>
      </c>
      <c r="H615" t="n">
        <v>5</v>
      </c>
      <c r="I615" t="inlineStr">
        <is>
          <t>.a03</t>
        </is>
      </c>
      <c r="J615" t="n">
        <v>92</v>
      </c>
      <c r="K615" t="n">
        <v>46841</v>
      </c>
      <c r="L615" t="n">
        <v>46842</v>
      </c>
      <c r="M615" t="n">
        <v>92</v>
      </c>
      <c r="N615" t="n">
        <v>1</v>
      </c>
      <c r="O615" t="n">
        <v>80</v>
      </c>
      <c r="P615" t="n">
        <v>0.25</v>
      </c>
      <c r="Q615" t="n">
        <v>0.25</v>
      </c>
      <c r="R615" t="n">
        <v>0.25</v>
      </c>
      <c r="S615" t="n">
        <v>0.25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20</v>
      </c>
      <c r="AH615" t="n">
        <v>20</v>
      </c>
      <c r="AI615" t="n">
        <v>20</v>
      </c>
      <c r="AJ615" t="n">
        <v>20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80</v>
      </c>
      <c r="AY615" t="n">
        <v>0.5</v>
      </c>
      <c r="AZ615" t="n">
        <v>5003</v>
      </c>
      <c r="BA615" t="n">
        <v>2501.5</v>
      </c>
      <c r="BB615" t="n">
        <v>1250.75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80</v>
      </c>
      <c r="BK615" t="n">
        <v>80</v>
      </c>
      <c r="BL615" t="n">
        <v>0</v>
      </c>
    </row>
    <row r="616" hidden="1" outlineLevel="1" s="191">
      <c r="A616" t="n">
        <v>2</v>
      </c>
      <c r="B616" t="inlineStr">
        <is>
          <t>b</t>
        </is>
      </c>
      <c r="C616" t="n">
        <v>2</v>
      </c>
      <c r="D616" t="inlineStr">
        <is>
          <t>.z06_2_b_2</t>
        </is>
      </c>
      <c r="E616" t="inlineStr">
        <is>
          <t>Wybór platformy bazodanowej na podstawie testów wydajnościowych BDKZ</t>
        </is>
      </c>
      <c r="F616" t="inlineStr">
        <is>
          <t>Imię01</t>
        </is>
      </c>
      <c r="G616" t="inlineStr">
        <is>
          <t>Nazwisko01</t>
        </is>
      </c>
      <c r="H616" t="n">
        <v>5</v>
      </c>
      <c r="I616" t="inlineStr">
        <is>
          <t>.a01</t>
        </is>
      </c>
      <c r="J616" t="n">
        <v>93</v>
      </c>
      <c r="K616" t="n">
        <v>46848</v>
      </c>
      <c r="L616" t="n">
        <v>46848</v>
      </c>
      <c r="M616" t="n">
        <v>92</v>
      </c>
      <c r="N616" t="n">
        <v>0</v>
      </c>
      <c r="O616" t="n">
        <v>8</v>
      </c>
      <c r="P616" t="n">
        <v>0.25</v>
      </c>
      <c r="Q616" t="n">
        <v>0.25</v>
      </c>
      <c r="R616" t="n">
        <v>0.25</v>
      </c>
      <c r="S616" t="n">
        <v>0.25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2</v>
      </c>
      <c r="AH616" t="n">
        <v>2</v>
      </c>
      <c r="AI616" t="n">
        <v>2</v>
      </c>
      <c r="AJ616" t="n">
        <v>2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8</v>
      </c>
      <c r="AY616" t="n">
        <v>0.05</v>
      </c>
      <c r="AZ616" t="n">
        <v>5001</v>
      </c>
      <c r="BA616" t="n">
        <v>250.05</v>
      </c>
      <c r="BB616" t="n">
        <v>12.5025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8</v>
      </c>
      <c r="BK616" t="n">
        <v>8</v>
      </c>
      <c r="BL616" t="n">
        <v>0</v>
      </c>
    </row>
    <row r="617" hidden="1" outlineLevel="1" s="191">
      <c r="A617" t="n">
        <v>2</v>
      </c>
      <c r="B617" t="inlineStr">
        <is>
          <t>c</t>
        </is>
      </c>
      <c r="C617" t="n">
        <v>3</v>
      </c>
      <c r="D617" t="inlineStr">
        <is>
          <t>.z06_2_c_3</t>
        </is>
      </c>
      <c r="E617" t="inlineStr">
        <is>
          <t>Wybór odpowiedniej platformy technologicznej zapewniającej skalowalność, bezpieczeństwo i wydajność analiz AI/ML</t>
        </is>
      </c>
      <c r="F617" t="inlineStr">
        <is>
          <t>Imię02</t>
        </is>
      </c>
      <c r="G617" t="inlineStr">
        <is>
          <t>Nazwisko02</t>
        </is>
      </c>
      <c r="H617" t="n">
        <v>5</v>
      </c>
      <c r="I617" t="inlineStr">
        <is>
          <t>.a02</t>
        </is>
      </c>
      <c r="J617" t="n">
        <v>93</v>
      </c>
      <c r="K617" t="n">
        <v>46848</v>
      </c>
      <c r="L617" t="n">
        <v>46848</v>
      </c>
      <c r="M617" t="n">
        <v>92</v>
      </c>
      <c r="N617" t="n">
        <v>0</v>
      </c>
      <c r="O617" t="n">
        <v>8</v>
      </c>
      <c r="P617" t="n">
        <v>0.25</v>
      </c>
      <c r="Q617" t="n">
        <v>0.25</v>
      </c>
      <c r="R617" t="n">
        <v>0.25</v>
      </c>
      <c r="S617" t="n">
        <v>0.25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2</v>
      </c>
      <c r="AH617" t="n">
        <v>2</v>
      </c>
      <c r="AI617" t="n">
        <v>2</v>
      </c>
      <c r="AJ617" t="n">
        <v>2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8</v>
      </c>
      <c r="AY617" t="n">
        <v>0.05</v>
      </c>
      <c r="AZ617" t="n">
        <v>5002</v>
      </c>
      <c r="BA617" t="n">
        <v>250.1</v>
      </c>
      <c r="BB617" t="n">
        <v>12.505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8</v>
      </c>
      <c r="BK617" t="n">
        <v>8</v>
      </c>
      <c r="BL617" t="n">
        <v>0</v>
      </c>
    </row>
    <row r="618" hidden="1" outlineLevel="1" s="191">
      <c r="A618" t="n">
        <v>2</v>
      </c>
      <c r="B618" t="inlineStr">
        <is>
          <t>d</t>
        </is>
      </c>
      <c r="C618" t="n">
        <v>4</v>
      </c>
      <c r="D618" t="inlineStr">
        <is>
          <t>.z06_2_d_4</t>
        </is>
      </c>
      <c r="E618" t="inlineStr">
        <is>
          <t>Fizyczna implementacja BDKZ na platformach technologicznych (np. Google Cloud, Microsoft Azure, NVidia AI)</t>
        </is>
      </c>
      <c r="F618" t="inlineStr">
        <is>
          <t>Imię01</t>
        </is>
      </c>
      <c r="G618" t="inlineStr">
        <is>
          <t>Nazwisko01</t>
        </is>
      </c>
      <c r="H618" t="n">
        <v>6</v>
      </c>
      <c r="I618" t="inlineStr">
        <is>
          <t>.a01</t>
        </is>
      </c>
      <c r="J618" t="n">
        <v>93</v>
      </c>
      <c r="K618" t="n">
        <v>46848</v>
      </c>
      <c r="L618" t="n">
        <v>46849</v>
      </c>
      <c r="M618" t="n">
        <v>93</v>
      </c>
      <c r="N618" t="n">
        <v>1</v>
      </c>
      <c r="O618" t="n">
        <v>100</v>
      </c>
      <c r="P618" t="n">
        <v>0.25</v>
      </c>
      <c r="Q618" t="n">
        <v>0.25</v>
      </c>
      <c r="R618" t="n">
        <v>0.25</v>
      </c>
      <c r="S618" t="n">
        <v>0.25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25</v>
      </c>
      <c r="AH618" t="n">
        <v>25</v>
      </c>
      <c r="AI618" t="n">
        <v>25</v>
      </c>
      <c r="AJ618" t="n">
        <v>25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100</v>
      </c>
      <c r="AY618" t="n">
        <v>0.625</v>
      </c>
      <c r="AZ618" t="n">
        <v>5001</v>
      </c>
      <c r="BA618" t="n">
        <v>3125.625</v>
      </c>
      <c r="BB618" t="n">
        <v>1953.515625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100</v>
      </c>
      <c r="BK618" t="n">
        <v>100</v>
      </c>
      <c r="BL618" t="n">
        <v>0</v>
      </c>
    </row>
    <row r="619" hidden="1" outlineLevel="1" s="191">
      <c r="A619" t="n">
        <v>2</v>
      </c>
      <c r="B619" t="inlineStr">
        <is>
          <t>e</t>
        </is>
      </c>
      <c r="C619" t="n">
        <v>5</v>
      </c>
      <c r="D619" t="inlineStr">
        <is>
          <t>.z06_2_e_5</t>
        </is>
      </c>
      <c r="E619" t="inlineStr">
        <is>
          <t>Utworzenie mechanizmu do transferu danych między infrastrukturą Wnioskodawcy a platformami technologicznymi (np. Google Cloud, Microsoft Azure, NVidia AI)</t>
        </is>
      </c>
      <c r="F619" t="inlineStr">
        <is>
          <t>ENDAWA_02</t>
        </is>
      </c>
      <c r="G619" t="n">
        <v>0</v>
      </c>
      <c r="H619" t="n">
        <v>7</v>
      </c>
      <c r="I619" t="inlineStr">
        <is>
          <t>.e02</t>
        </is>
      </c>
      <c r="J619" t="n">
        <v>94</v>
      </c>
      <c r="K619" t="n">
        <v>46855</v>
      </c>
      <c r="L619" t="n">
        <v>46857</v>
      </c>
      <c r="M619" t="n">
        <v>95</v>
      </c>
      <c r="N619" t="n">
        <v>2</v>
      </c>
      <c r="O619" t="n">
        <v>200</v>
      </c>
      <c r="P619" t="n">
        <v>0.15</v>
      </c>
      <c r="Q619" t="n">
        <v>0.15</v>
      </c>
      <c r="R619" t="n">
        <v>0.15</v>
      </c>
      <c r="S619" t="n">
        <v>0.15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30</v>
      </c>
      <c r="AH619" t="n">
        <v>30</v>
      </c>
      <c r="AI619" t="n">
        <v>30</v>
      </c>
      <c r="AJ619" t="n">
        <v>30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80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120</v>
      </c>
      <c r="AY619" t="n">
        <v>0.75</v>
      </c>
      <c r="AZ619" t="e">
        <v>#N/A</v>
      </c>
      <c r="BA619" t="e">
        <v>#N/A</v>
      </c>
      <c r="BB619" t="e">
        <v>#N/A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200</v>
      </c>
      <c r="BK619" t="n">
        <v>200</v>
      </c>
      <c r="BL619" t="n">
        <v>0</v>
      </c>
    </row>
    <row r="620" hidden="1" outlineLevel="1" s="191">
      <c r="A620" t="n">
        <v>3</v>
      </c>
      <c r="B620" t="inlineStr">
        <is>
          <t>a</t>
        </is>
      </c>
      <c r="C620" t="n">
        <v>1</v>
      </c>
      <c r="D620" t="inlineStr">
        <is>
          <t>.z06_3_a_1</t>
        </is>
      </c>
      <c r="E620" t="inlineStr">
        <is>
          <t>3.Opracowanie narzędzi do automatycznego monitorowania, wykrywających anomalie i nieprawidłowości w danych w czasie rzeczywistym, współpracujących z wybraną platformą bazodanową, przeprowadzających automatyczne sprawdzanie kompletności rekordów. Flagowane będą rekordy z brakującymi danymi natychmiast po ich wprowadzeniu/aktualizacji i wysyłane powiadomienia do administratorów, gdy liczba tych rekordów przekroczy próg 10 rekordów. Będą śledzić czas ostatniej aktualizacji każdego rekordu, flagując te, które nie były aktualizowane zgodnie z ustalonym harmonogramem (co 24h i generować odpowiednie alerty.</t>
        </is>
      </c>
      <c r="F620" t="inlineStr">
        <is>
          <t>Imię03</t>
        </is>
      </c>
      <c r="G620" t="inlineStr">
        <is>
          <t>Nazwisko03</t>
        </is>
      </c>
      <c r="H620" t="n">
        <v>8</v>
      </c>
      <c r="I620" t="inlineStr">
        <is>
          <t>.a03</t>
        </is>
      </c>
      <c r="J620" t="n">
        <v>96</v>
      </c>
      <c r="K620" t="n">
        <v>46869</v>
      </c>
      <c r="L620" t="n">
        <v>46869</v>
      </c>
      <c r="M620" t="n">
        <v>95</v>
      </c>
      <c r="N620" t="n">
        <v>0</v>
      </c>
      <c r="O620" t="n">
        <v>30</v>
      </c>
      <c r="P620" t="n">
        <v>0.25</v>
      </c>
      <c r="Q620" t="n">
        <v>0.25</v>
      </c>
      <c r="R620" t="n">
        <v>0.25</v>
      </c>
      <c r="S620" t="n">
        <v>0.25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8</v>
      </c>
      <c r="AH620" t="n">
        <v>8</v>
      </c>
      <c r="AI620" t="n">
        <v>8</v>
      </c>
      <c r="AJ620" t="n">
        <v>8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32</v>
      </c>
      <c r="AY620" t="n">
        <v>0.2</v>
      </c>
      <c r="AZ620" t="n">
        <v>5003</v>
      </c>
      <c r="BA620" t="n">
        <v>1000.6</v>
      </c>
      <c r="BB620" t="n">
        <v>200.12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30</v>
      </c>
      <c r="BK620" t="n">
        <v>32</v>
      </c>
      <c r="BL620" t="n">
        <v>-2</v>
      </c>
    </row>
    <row r="621" hidden="1" outlineLevel="1" s="191">
      <c r="A621" t="n">
        <v>4</v>
      </c>
      <c r="B621" t="inlineStr">
        <is>
          <t>a</t>
        </is>
      </c>
      <c r="C621" t="n">
        <v>0</v>
      </c>
      <c r="D621" t="inlineStr">
        <is>
          <t>.z06_4_a_0</t>
        </is>
      </c>
      <c r="E621" t="inlineStr">
        <is>
          <t>4.Połączenie BDKZ z wybranym systemem AI/ML, co pozwoli na zbadanie potencjału zaawansowanych metod  analitycznych AI/ML w celu zwiększenia wydajności procesów magazynowych.</t>
        </is>
      </c>
      <c r="F621" t="n">
        <v>0</v>
      </c>
      <c r="G621" t="n">
        <v>0</v>
      </c>
      <c r="H621" t="n">
        <v>0</v>
      </c>
      <c r="I621" t="n">
        <v>0</v>
      </c>
      <c r="J621" t="n">
        <v>96</v>
      </c>
      <c r="K621" t="n">
        <v>46869</v>
      </c>
      <c r="L621" t="n">
        <v>46869</v>
      </c>
      <c r="M621" t="n">
        <v>95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</row>
    <row r="622" hidden="1" outlineLevel="1" s="191">
      <c r="A622" t="n">
        <v>4</v>
      </c>
      <c r="B622" t="inlineStr">
        <is>
          <t>a</t>
        </is>
      </c>
      <c r="C622" t="n">
        <v>1</v>
      </c>
      <c r="D622" t="inlineStr">
        <is>
          <t>.z06_4_a_1</t>
        </is>
      </c>
      <c r="E622" t="inlineStr">
        <is>
          <t xml:space="preserve">Zaimportowanie BDKZ w środowisku wybranej platformy AI/ML </t>
        </is>
      </c>
      <c r="F622" t="inlineStr">
        <is>
          <t>Imię02</t>
        </is>
      </c>
      <c r="G622" t="inlineStr">
        <is>
          <t>Nazwisko02</t>
        </is>
      </c>
      <c r="H622" t="n">
        <v>8</v>
      </c>
      <c r="I622" t="inlineStr">
        <is>
          <t>.a02</t>
        </is>
      </c>
      <c r="J622" t="n">
        <v>96</v>
      </c>
      <c r="K622" t="n">
        <v>46869</v>
      </c>
      <c r="L622" t="n">
        <v>46870</v>
      </c>
      <c r="M622" t="n">
        <v>96</v>
      </c>
      <c r="N622" t="n">
        <v>1</v>
      </c>
      <c r="O622" t="n">
        <v>40</v>
      </c>
      <c r="P622" t="n">
        <v>0.25</v>
      </c>
      <c r="Q622" t="n">
        <v>0.25</v>
      </c>
      <c r="R622" t="n">
        <v>0.25</v>
      </c>
      <c r="S622" t="n">
        <v>0.25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10</v>
      </c>
      <c r="AH622" t="n">
        <v>10</v>
      </c>
      <c r="AI622" t="n">
        <v>10</v>
      </c>
      <c r="AJ622" t="n">
        <v>10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40</v>
      </c>
      <c r="AY622" t="n">
        <v>0.25</v>
      </c>
      <c r="AZ622" t="n">
        <v>5002</v>
      </c>
      <c r="BA622" t="n">
        <v>1250.5</v>
      </c>
      <c r="BB622" t="n">
        <v>312.625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40</v>
      </c>
      <c r="BK622" t="n">
        <v>40</v>
      </c>
      <c r="BL622" t="n">
        <v>0</v>
      </c>
    </row>
    <row r="623" hidden="1" outlineLevel="1" s="191">
      <c r="A623" t="n">
        <v>4</v>
      </c>
      <c r="B623" t="inlineStr">
        <is>
          <t>b</t>
        </is>
      </c>
      <c r="C623" t="n">
        <v>2</v>
      </c>
      <c r="D623" t="inlineStr">
        <is>
          <t>.z06_4_b_2</t>
        </is>
      </c>
      <c r="E623" t="inlineStr">
        <is>
          <t>Sprawdzenie i potwierdzenie poprawności zaimplementowanych danych. Określenie zestawu danych testowych i referencyjnych do dalszych analiz</t>
        </is>
      </c>
      <c r="F623" t="inlineStr">
        <is>
          <t>Imię01</t>
        </is>
      </c>
      <c r="G623" t="inlineStr">
        <is>
          <t>Nazwisko01</t>
        </is>
      </c>
      <c r="H623" t="n">
        <v>8</v>
      </c>
      <c r="I623" t="inlineStr">
        <is>
          <t>.a01</t>
        </is>
      </c>
      <c r="J623" t="n">
        <v>97</v>
      </c>
      <c r="K623" t="n">
        <v>46876</v>
      </c>
      <c r="L623" t="n">
        <v>46877</v>
      </c>
      <c r="M623" t="n">
        <v>97</v>
      </c>
      <c r="N623" t="n">
        <v>1</v>
      </c>
      <c r="O623" t="n">
        <v>40</v>
      </c>
      <c r="P623" t="n">
        <v>0.25</v>
      </c>
      <c r="Q623" t="n">
        <v>0.25</v>
      </c>
      <c r="R623" t="n">
        <v>0.25</v>
      </c>
      <c r="S623" t="n">
        <v>0.25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10</v>
      </c>
      <c r="AH623" t="n">
        <v>10</v>
      </c>
      <c r="AI623" t="n">
        <v>10</v>
      </c>
      <c r="AJ623" t="n">
        <v>10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40</v>
      </c>
      <c r="AY623" t="n">
        <v>0.25</v>
      </c>
      <c r="AZ623" t="n">
        <v>5001</v>
      </c>
      <c r="BA623" t="n">
        <v>1250.25</v>
      </c>
      <c r="BB623" t="n">
        <v>312.5625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40</v>
      </c>
      <c r="BK623" t="n">
        <v>40</v>
      </c>
      <c r="BL623" t="n">
        <v>0</v>
      </c>
    </row>
    <row r="624" hidden="1" outlineLevel="1" s="191">
      <c r="A624" t="n">
        <v>4</v>
      </c>
      <c r="B624" t="inlineStr">
        <is>
          <t>c</t>
        </is>
      </c>
      <c r="C624" t="n">
        <v>3</v>
      </c>
      <c r="D624" t="inlineStr">
        <is>
          <t>.z06_4_c_3</t>
        </is>
      </c>
      <c r="E624" t="inlineStr">
        <is>
          <t xml:space="preserve">Stworzenie zautomatyzowanego systemu aktualizacji danych BDKZ zintegrowanej z platformą. </t>
        </is>
      </c>
      <c r="F624" t="inlineStr">
        <is>
          <t>Imię02</t>
        </is>
      </c>
      <c r="G624" t="inlineStr">
        <is>
          <t>Nazwisko02</t>
        </is>
      </c>
      <c r="H624" t="n">
        <v>8</v>
      </c>
      <c r="I624" t="inlineStr">
        <is>
          <t>.a02</t>
        </is>
      </c>
      <c r="J624" t="n">
        <v>98</v>
      </c>
      <c r="K624" t="n">
        <v>46883</v>
      </c>
      <c r="L624" t="n">
        <v>46884</v>
      </c>
      <c r="M624" t="n">
        <v>98</v>
      </c>
      <c r="N624" t="n">
        <v>1</v>
      </c>
      <c r="O624" t="n">
        <v>80</v>
      </c>
      <c r="P624" t="n">
        <v>0.25</v>
      </c>
      <c r="Q624" t="n">
        <v>0.25</v>
      </c>
      <c r="R624" t="n">
        <v>0.25</v>
      </c>
      <c r="S624" t="n">
        <v>0.25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20</v>
      </c>
      <c r="AH624" t="n">
        <v>20</v>
      </c>
      <c r="AI624" t="n">
        <v>20</v>
      </c>
      <c r="AJ624" t="n">
        <v>20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80</v>
      </c>
      <c r="AY624" t="n">
        <v>0.5</v>
      </c>
      <c r="AZ624" t="n">
        <v>5002</v>
      </c>
      <c r="BA624" t="n">
        <v>2501</v>
      </c>
      <c r="BB624" t="n">
        <v>1250.5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80</v>
      </c>
      <c r="BK624" t="n">
        <v>80</v>
      </c>
      <c r="BL624" t="n">
        <v>0</v>
      </c>
    </row>
    <row r="625" hidden="1" outlineLevel="1" s="191">
      <c r="A625" t="n">
        <v>5</v>
      </c>
      <c r="B625" t="inlineStr">
        <is>
          <t>a</t>
        </is>
      </c>
      <c r="C625" t="n">
        <v>1</v>
      </c>
      <c r="D625" t="inlineStr">
        <is>
          <t>.z06_5_a_1</t>
        </is>
      </c>
      <c r="E625" t="inlineStr">
        <is>
          <t>5.Opracowanie procedur/strategii bezpieczeństwa i zarządzania BDKZ</t>
        </is>
      </c>
      <c r="F625" t="inlineStr">
        <is>
          <t>Imię03</t>
        </is>
      </c>
      <c r="G625" t="inlineStr">
        <is>
          <t>Nazwisko03</t>
        </is>
      </c>
      <c r="H625" t="n">
        <v>9</v>
      </c>
      <c r="I625" t="inlineStr">
        <is>
          <t>.a03</t>
        </is>
      </c>
      <c r="J625" t="n">
        <v>99</v>
      </c>
      <c r="K625" t="n">
        <v>46890</v>
      </c>
      <c r="L625" t="n">
        <v>46890</v>
      </c>
      <c r="M625" t="n">
        <v>98</v>
      </c>
      <c r="N625" t="n">
        <v>0</v>
      </c>
      <c r="O625" t="n">
        <v>20</v>
      </c>
      <c r="P625" t="n">
        <v>0.25</v>
      </c>
      <c r="Q625" t="n">
        <v>0.25</v>
      </c>
      <c r="R625" t="n">
        <v>0.25</v>
      </c>
      <c r="S625" t="n">
        <v>0.25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5</v>
      </c>
      <c r="AH625" t="n">
        <v>5</v>
      </c>
      <c r="AI625" t="n">
        <v>5</v>
      </c>
      <c r="AJ625" t="n">
        <v>5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20</v>
      </c>
      <c r="AY625" t="n">
        <v>0.125</v>
      </c>
      <c r="AZ625" t="n">
        <v>5003</v>
      </c>
      <c r="BA625" t="n">
        <v>625.375</v>
      </c>
      <c r="BB625" t="n">
        <v>78.171875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20</v>
      </c>
      <c r="BK625" t="n">
        <v>20</v>
      </c>
      <c r="BL625" t="n">
        <v>0</v>
      </c>
    </row>
    <row r="626" hidden="1" outlineLevel="1" s="191">
      <c r="A626" t="n">
        <v>6</v>
      </c>
      <c r="B626" t="inlineStr">
        <is>
          <t>a</t>
        </is>
      </c>
      <c r="C626" t="n">
        <v>1</v>
      </c>
      <c r="D626" t="inlineStr">
        <is>
          <t>.z06_6_a_1</t>
        </is>
      </c>
      <c r="E626" t="inlineStr">
        <is>
          <t>6.Opracowanie dokumentacji BDKZ</t>
        </is>
      </c>
      <c r="F626" t="inlineStr">
        <is>
          <t>Imię01</t>
        </is>
      </c>
      <c r="G626" t="inlineStr">
        <is>
          <t>Nazwisko01</t>
        </is>
      </c>
      <c r="H626" t="n">
        <v>10</v>
      </c>
      <c r="I626" t="inlineStr">
        <is>
          <t>.a01</t>
        </is>
      </c>
      <c r="J626" t="n">
        <v>99</v>
      </c>
      <c r="K626" t="n">
        <v>46890</v>
      </c>
      <c r="L626" t="n">
        <v>46891</v>
      </c>
      <c r="M626" t="n">
        <v>99</v>
      </c>
      <c r="N626" t="n">
        <v>1</v>
      </c>
      <c r="O626" t="n">
        <v>60</v>
      </c>
      <c r="P626" t="n">
        <v>0.25</v>
      </c>
      <c r="Q626" t="n">
        <v>0.25</v>
      </c>
      <c r="R626" t="n">
        <v>0.25</v>
      </c>
      <c r="S626" t="n">
        <v>0.25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15</v>
      </c>
      <c r="AH626" t="n">
        <v>15</v>
      </c>
      <c r="AI626" t="n">
        <v>15</v>
      </c>
      <c r="AJ626" t="n">
        <v>15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60</v>
      </c>
      <c r="AY626" t="n">
        <v>0.375</v>
      </c>
      <c r="AZ626" t="n">
        <v>5001</v>
      </c>
      <c r="BA626" t="n">
        <v>1875.375</v>
      </c>
      <c r="BB626" t="n">
        <v>703.265625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60</v>
      </c>
      <c r="BK626" t="n">
        <v>60</v>
      </c>
      <c r="BL626" t="n">
        <v>0</v>
      </c>
    </row>
    <row r="627" hidden="1" outlineLevel="1" s="191">
      <c r="BJ627" t="n">
        <v>0</v>
      </c>
      <c r="BK627" t="n">
        <v>0</v>
      </c>
      <c r="BL627" t="n">
        <v>0</v>
      </c>
    </row>
    <row r="628" hidden="1" outlineLevel="1" s="191">
      <c r="BJ628" t="n">
        <v>0</v>
      </c>
      <c r="BK628" t="n">
        <v>0</v>
      </c>
      <c r="BL628" t="n">
        <v>0</v>
      </c>
    </row>
    <row r="629" hidden="1" outlineLevel="1" s="191">
      <c r="BJ629" t="n">
        <v>0</v>
      </c>
      <c r="BK629" t="n">
        <v>0</v>
      </c>
      <c r="BL629" t="n">
        <v>0</v>
      </c>
    </row>
    <row r="630" hidden="1" outlineLevel="1" s="191">
      <c r="BJ630" t="n">
        <v>0</v>
      </c>
      <c r="BK630" t="n">
        <v>0</v>
      </c>
      <c r="BL630" t="n">
        <v>0</v>
      </c>
    </row>
    <row r="631" hidden="1" outlineLevel="1" s="191">
      <c r="BJ631" t="n">
        <v>0</v>
      </c>
      <c r="BK631" t="n">
        <v>0</v>
      </c>
      <c r="BL631" t="n">
        <v>0</v>
      </c>
    </row>
    <row r="632" hidden="1" outlineLevel="1" s="191">
      <c r="BJ632" t="n">
        <v>0</v>
      </c>
      <c r="BK632" t="n">
        <v>0</v>
      </c>
      <c r="BL632" t="n">
        <v>0</v>
      </c>
    </row>
    <row r="633" hidden="1" outlineLevel="1" s="191">
      <c r="BJ633" t="n">
        <v>0</v>
      </c>
      <c r="BK633" t="n">
        <v>0</v>
      </c>
      <c r="BL633" t="n">
        <v>0</v>
      </c>
    </row>
    <row r="634" hidden="1" outlineLevel="1" s="191">
      <c r="BJ634" t="n">
        <v>0</v>
      </c>
      <c r="BK634" t="n">
        <v>0</v>
      </c>
      <c r="BL634" t="n">
        <v>0</v>
      </c>
    </row>
    <row r="635" hidden="1" outlineLevel="1" s="191">
      <c r="BJ635" t="n">
        <v>0</v>
      </c>
      <c r="BK635" t="n">
        <v>0</v>
      </c>
      <c r="BL635" t="n">
        <v>0</v>
      </c>
    </row>
    <row r="636" hidden="1" outlineLevel="1" s="191">
      <c r="BJ636" t="n">
        <v>0</v>
      </c>
      <c r="BK636" t="n">
        <v>0</v>
      </c>
      <c r="BL636" t="n">
        <v>0</v>
      </c>
    </row>
    <row r="637" hidden="1" outlineLevel="1" s="191">
      <c r="BJ637" t="n">
        <v>0</v>
      </c>
      <c r="BK637" t="n">
        <v>0</v>
      </c>
      <c r="BL637" t="n">
        <v>0</v>
      </c>
    </row>
    <row r="638" hidden="1" outlineLevel="1" s="191">
      <c r="BJ638" t="n">
        <v>0</v>
      </c>
      <c r="BK638" t="n">
        <v>0</v>
      </c>
      <c r="BL638" t="n">
        <v>0</v>
      </c>
    </row>
    <row r="639" hidden="1" outlineLevel="1" s="191">
      <c r="BJ639" t="n">
        <v>0</v>
      </c>
      <c r="BK639" t="n">
        <v>0</v>
      </c>
      <c r="BL639" t="n">
        <v>0</v>
      </c>
    </row>
    <row r="640" hidden="1" outlineLevel="1" s="191">
      <c r="BJ640" t="n">
        <v>0</v>
      </c>
      <c r="BK640" t="n">
        <v>0</v>
      </c>
      <c r="BL640" t="n">
        <v>0</v>
      </c>
    </row>
    <row r="641" hidden="1" outlineLevel="1" s="191">
      <c r="BJ641" t="n">
        <v>0</v>
      </c>
      <c r="BK641" t="n">
        <v>0</v>
      </c>
      <c r="BL641" t="n">
        <v>0</v>
      </c>
    </row>
    <row r="642" hidden="1" outlineLevel="1" s="191">
      <c r="BJ642" t="n">
        <v>0</v>
      </c>
      <c r="BK642" t="n">
        <v>0</v>
      </c>
      <c r="BL642" t="n">
        <v>0</v>
      </c>
    </row>
    <row r="643" hidden="1" outlineLevel="1" s="191">
      <c r="BJ643" t="n">
        <v>0</v>
      </c>
      <c r="BK643" t="n">
        <v>0</v>
      </c>
      <c r="BL643" t="n">
        <v>0</v>
      </c>
    </row>
    <row r="644" hidden="1" outlineLevel="1" s="191">
      <c r="BJ644" t="n">
        <v>0</v>
      </c>
      <c r="BK644" t="n">
        <v>0</v>
      </c>
      <c r="BL644" t="n">
        <v>0</v>
      </c>
    </row>
    <row r="645" hidden="1" outlineLevel="1" s="191">
      <c r="BJ645" t="n">
        <v>0</v>
      </c>
      <c r="BK645" t="n">
        <v>0</v>
      </c>
      <c r="BL645" t="n">
        <v>0</v>
      </c>
    </row>
    <row r="646" hidden="1" outlineLevel="1" s="191">
      <c r="BJ646" t="n">
        <v>0</v>
      </c>
      <c r="BK646" t="n">
        <v>0</v>
      </c>
      <c r="BL646" t="n">
        <v>0</v>
      </c>
    </row>
    <row r="647" hidden="1" outlineLevel="1" s="191">
      <c r="BJ647" t="n">
        <v>0</v>
      </c>
      <c r="BK647" t="n">
        <v>0</v>
      </c>
      <c r="BL647" t="n">
        <v>0</v>
      </c>
    </row>
    <row r="648" hidden="1" outlineLevel="1" s="191">
      <c r="BJ648" t="n">
        <v>0</v>
      </c>
      <c r="BK648" t="n">
        <v>0</v>
      </c>
      <c r="BL648" t="n">
        <v>0</v>
      </c>
    </row>
    <row r="649" hidden="1" outlineLevel="1" s="191">
      <c r="BJ649" t="n">
        <v>0</v>
      </c>
      <c r="BK649" t="n">
        <v>0</v>
      </c>
      <c r="BL649" t="n">
        <v>0</v>
      </c>
    </row>
    <row r="650" hidden="1" outlineLevel="1" s="191">
      <c r="BJ650" t="n">
        <v>0</v>
      </c>
      <c r="BK650" t="n">
        <v>0</v>
      </c>
      <c r="BL650" t="n">
        <v>0</v>
      </c>
    </row>
    <row r="651" hidden="1" outlineLevel="1" s="191">
      <c r="BJ651" t="n">
        <v>0</v>
      </c>
      <c r="BK651" t="n">
        <v>0</v>
      </c>
      <c r="BL651" t="n">
        <v>0</v>
      </c>
    </row>
    <row r="652" hidden="1" outlineLevel="1" s="191">
      <c r="BJ652" t="n">
        <v>0</v>
      </c>
      <c r="BK652" t="n">
        <v>0</v>
      </c>
      <c r="BL652" t="n">
        <v>0</v>
      </c>
    </row>
    <row r="653" hidden="1" outlineLevel="1" s="191">
      <c r="BJ653" t="n">
        <v>0</v>
      </c>
      <c r="BK653" t="n">
        <v>0</v>
      </c>
      <c r="BL653" t="n">
        <v>0</v>
      </c>
    </row>
    <row r="654" hidden="1" outlineLevel="1" s="191">
      <c r="BJ654" t="n">
        <v>0</v>
      </c>
      <c r="BK654" t="n">
        <v>0</v>
      </c>
      <c r="BL654" t="n">
        <v>0</v>
      </c>
    </row>
    <row r="655" hidden="1" outlineLevel="1" s="191">
      <c r="BJ655" t="n">
        <v>0</v>
      </c>
      <c r="BK655" t="n">
        <v>0</v>
      </c>
      <c r="BL655" t="n">
        <v>0</v>
      </c>
    </row>
    <row r="656" hidden="1" outlineLevel="1" s="191">
      <c r="BJ656" t="n">
        <v>0</v>
      </c>
      <c r="BK656" t="n">
        <v>0</v>
      </c>
      <c r="BL656" t="n">
        <v>0</v>
      </c>
    </row>
    <row r="657" hidden="1" outlineLevel="1" s="191">
      <c r="BJ657" t="n">
        <v>0</v>
      </c>
      <c r="BK657" t="n">
        <v>0</v>
      </c>
      <c r="BL657" t="n">
        <v>0</v>
      </c>
    </row>
    <row r="658" hidden="1" outlineLevel="1" s="191">
      <c r="BJ658" t="n">
        <v>0</v>
      </c>
      <c r="BK658" t="n">
        <v>0</v>
      </c>
      <c r="BL658" t="n">
        <v>0</v>
      </c>
    </row>
    <row r="659" hidden="1" outlineLevel="1" s="191">
      <c r="BJ659" t="n">
        <v>0</v>
      </c>
      <c r="BK659" t="n">
        <v>0</v>
      </c>
      <c r="BL659" t="n">
        <v>0</v>
      </c>
    </row>
    <row r="660" hidden="1" outlineLevel="1" s="191">
      <c r="BJ660" t="n">
        <v>0</v>
      </c>
      <c r="BK660" t="n">
        <v>0</v>
      </c>
      <c r="BL660" t="n">
        <v>0</v>
      </c>
    </row>
    <row r="661" hidden="1" outlineLevel="1" s="191">
      <c r="BJ661" t="n">
        <v>0</v>
      </c>
      <c r="BK661" t="n">
        <v>0</v>
      </c>
      <c r="BL661" t="n">
        <v>0</v>
      </c>
    </row>
    <row r="662" hidden="1" outlineLevel="1" s="191">
      <c r="BJ662" t="n">
        <v>0</v>
      </c>
      <c r="BK662" t="n">
        <v>0</v>
      </c>
      <c r="BL662" t="n">
        <v>0</v>
      </c>
    </row>
    <row r="663" hidden="1" outlineLevel="1" s="191">
      <c r="BJ663" t="n">
        <v>0</v>
      </c>
      <c r="BK663" t="n">
        <v>0</v>
      </c>
      <c r="BL663" t="n">
        <v>0</v>
      </c>
    </row>
    <row r="664" hidden="1" outlineLevel="1" s="191">
      <c r="BJ664" t="n">
        <v>0</v>
      </c>
      <c r="BK664" t="n">
        <v>0</v>
      </c>
      <c r="BL664" t="n">
        <v>0</v>
      </c>
    </row>
    <row r="665" hidden="1" outlineLevel="1" s="191">
      <c r="BJ665" t="n">
        <v>0</v>
      </c>
      <c r="BK665" t="n">
        <v>0</v>
      </c>
      <c r="BL665" t="n">
        <v>0</v>
      </c>
    </row>
    <row r="666" hidden="1" outlineLevel="1" s="191">
      <c r="BJ666" t="n">
        <v>0</v>
      </c>
      <c r="BK666" t="n">
        <v>0</v>
      </c>
      <c r="BL666" t="n">
        <v>0</v>
      </c>
    </row>
    <row r="667" hidden="1" outlineLevel="1" s="191">
      <c r="BJ667" t="n">
        <v>0</v>
      </c>
      <c r="BK667" t="n">
        <v>0</v>
      </c>
      <c r="BL667" t="n">
        <v>0</v>
      </c>
    </row>
    <row r="668" hidden="1" outlineLevel="1" s="191">
      <c r="BJ668" t="n">
        <v>0</v>
      </c>
      <c r="BK668" t="n">
        <v>0</v>
      </c>
      <c r="BL668" t="n">
        <v>0</v>
      </c>
    </row>
    <row r="669" hidden="1" outlineLevel="1" s="191">
      <c r="BJ669" t="n">
        <v>0</v>
      </c>
      <c r="BK669" t="n">
        <v>0</v>
      </c>
      <c r="BL669" t="n">
        <v>0</v>
      </c>
    </row>
    <row r="670" hidden="1" outlineLevel="1" s="191">
      <c r="BJ670" t="n">
        <v>0</v>
      </c>
      <c r="BK670" t="n">
        <v>0</v>
      </c>
      <c r="BL670" t="n">
        <v>0</v>
      </c>
    </row>
    <row r="671" hidden="1" outlineLevel="1" s="191">
      <c r="BJ671" t="n">
        <v>0</v>
      </c>
      <c r="BK671" t="n">
        <v>0</v>
      </c>
      <c r="BL671" t="n">
        <v>0</v>
      </c>
    </row>
    <row r="672" hidden="1" outlineLevel="1" s="191">
      <c r="BJ672" t="n">
        <v>0</v>
      </c>
      <c r="BK672" t="n">
        <v>0</v>
      </c>
      <c r="BL672" t="n">
        <v>0</v>
      </c>
    </row>
    <row r="673" hidden="1" outlineLevel="1" s="191">
      <c r="BJ673" t="n">
        <v>0</v>
      </c>
      <c r="BK673" t="n">
        <v>0</v>
      </c>
      <c r="BL673" t="n">
        <v>0</v>
      </c>
    </row>
    <row r="674" hidden="1" outlineLevel="1" s="191">
      <c r="BJ674" t="n">
        <v>0</v>
      </c>
      <c r="BK674" t="n">
        <v>0</v>
      </c>
      <c r="BL674" t="n">
        <v>0</v>
      </c>
    </row>
    <row r="675" hidden="1" outlineLevel="1" s="191">
      <c r="BJ675" t="n">
        <v>0</v>
      </c>
      <c r="BK675" t="n">
        <v>0</v>
      </c>
      <c r="BL675" t="n">
        <v>0</v>
      </c>
    </row>
    <row r="676" hidden="1" outlineLevel="1" s="191">
      <c r="BJ676" t="n">
        <v>0</v>
      </c>
      <c r="BK676" t="n">
        <v>0</v>
      </c>
      <c r="BL676" t="n">
        <v>0</v>
      </c>
    </row>
    <row r="677" hidden="1" outlineLevel="1" s="191">
      <c r="BJ677" t="n">
        <v>0</v>
      </c>
      <c r="BK677" t="n">
        <v>0</v>
      </c>
      <c r="BL677" t="n">
        <v>0</v>
      </c>
    </row>
    <row r="678" hidden="1" outlineLevel="1" s="191">
      <c r="BJ678" t="n">
        <v>0</v>
      </c>
      <c r="BK678" t="n">
        <v>0</v>
      </c>
      <c r="BL678" t="n">
        <v>0</v>
      </c>
    </row>
    <row r="679" hidden="1" outlineLevel="1" s="191">
      <c r="BJ679" t="n">
        <v>0</v>
      </c>
      <c r="BK679" t="n">
        <v>0</v>
      </c>
      <c r="BL679" t="n">
        <v>0</v>
      </c>
    </row>
    <row r="680" hidden="1" outlineLevel="1" s="191">
      <c r="BJ680" t="n">
        <v>0</v>
      </c>
      <c r="BK680" t="n">
        <v>0</v>
      </c>
      <c r="BL680" t="n">
        <v>0</v>
      </c>
    </row>
    <row r="681" hidden="1" outlineLevel="1" s="191">
      <c r="BJ681" t="n">
        <v>0</v>
      </c>
      <c r="BK681" t="n">
        <v>0</v>
      </c>
      <c r="BL681" t="n">
        <v>0</v>
      </c>
    </row>
    <row r="682" hidden="1" outlineLevel="1" s="191">
      <c r="BJ682" t="n">
        <v>0</v>
      </c>
      <c r="BK682" t="n">
        <v>0</v>
      </c>
      <c r="BL682" t="n">
        <v>0</v>
      </c>
    </row>
    <row r="683" hidden="1" outlineLevel="1" s="191">
      <c r="BJ683" t="n">
        <v>0</v>
      </c>
      <c r="BK683" t="n">
        <v>0</v>
      </c>
      <c r="BL683" t="n">
        <v>0</v>
      </c>
    </row>
    <row r="684" hidden="1" outlineLevel="1" s="191">
      <c r="BJ684" t="n">
        <v>0</v>
      </c>
      <c r="BK684" t="n">
        <v>0</v>
      </c>
      <c r="BL684" t="n">
        <v>0</v>
      </c>
    </row>
    <row r="685" hidden="1" outlineLevel="1" s="191">
      <c r="BJ685" t="n">
        <v>0</v>
      </c>
      <c r="BK685" t="n">
        <v>0</v>
      </c>
      <c r="BL685" t="n">
        <v>0</v>
      </c>
    </row>
    <row r="686" hidden="1" outlineLevel="1" s="191">
      <c r="BJ686" t="n">
        <v>0</v>
      </c>
      <c r="BK686" t="n">
        <v>0</v>
      </c>
      <c r="BL686" t="n">
        <v>0</v>
      </c>
    </row>
    <row r="687" hidden="1" outlineLevel="1" s="191">
      <c r="BJ687" t="n">
        <v>0</v>
      </c>
      <c r="BK687" t="n">
        <v>0</v>
      </c>
      <c r="BL687" t="n">
        <v>0</v>
      </c>
    </row>
    <row r="688" hidden="1" outlineLevel="1" s="191">
      <c r="BJ688" t="n">
        <v>0</v>
      </c>
      <c r="BK688" t="n">
        <v>0</v>
      </c>
      <c r="BL688" t="n">
        <v>0</v>
      </c>
    </row>
    <row r="689" hidden="1" outlineLevel="1" s="191">
      <c r="BJ689" t="n">
        <v>0</v>
      </c>
      <c r="BK689" t="n">
        <v>0</v>
      </c>
      <c r="BL689" t="n">
        <v>0</v>
      </c>
    </row>
    <row r="690" hidden="1" outlineLevel="1" s="191">
      <c r="BJ690" t="n">
        <v>0</v>
      </c>
      <c r="BK690" t="n">
        <v>0</v>
      </c>
      <c r="BL690" t="n">
        <v>0</v>
      </c>
    </row>
    <row r="691" hidden="1" outlineLevel="1" s="191">
      <c r="BJ691" t="n">
        <v>0</v>
      </c>
      <c r="BK691" t="n">
        <v>0</v>
      </c>
      <c r="BL691" t="n">
        <v>0</v>
      </c>
    </row>
    <row r="692" hidden="1" outlineLevel="1" s="191">
      <c r="BJ692" t="n">
        <v>0</v>
      </c>
      <c r="BK692" t="n">
        <v>0</v>
      </c>
      <c r="BL692" t="n">
        <v>0</v>
      </c>
    </row>
    <row r="693" hidden="1" outlineLevel="1" s="191">
      <c r="BJ693" t="n">
        <v>0</v>
      </c>
      <c r="BK693" t="n">
        <v>0</v>
      </c>
      <c r="BL693" t="n">
        <v>0</v>
      </c>
    </row>
    <row r="694" hidden="1" outlineLevel="1" s="191">
      <c r="BJ694" t="n">
        <v>0</v>
      </c>
      <c r="BK694" t="n">
        <v>0</v>
      </c>
      <c r="BL694" t="n">
        <v>0</v>
      </c>
    </row>
    <row r="695" hidden="1" outlineLevel="1" s="191">
      <c r="BJ695" t="n">
        <v>0</v>
      </c>
      <c r="BK695" t="n">
        <v>0</v>
      </c>
      <c r="BL695" t="n">
        <v>0</v>
      </c>
    </row>
    <row r="696" hidden="1" outlineLevel="1" s="191">
      <c r="BJ696" t="n">
        <v>0</v>
      </c>
      <c r="BK696" t="n">
        <v>0</v>
      </c>
      <c r="BL696" t="n">
        <v>0</v>
      </c>
    </row>
    <row r="697" hidden="1" outlineLevel="1" s="191">
      <c r="BJ697" t="n">
        <v>0</v>
      </c>
      <c r="BK697" t="n">
        <v>0</v>
      </c>
      <c r="BL697" t="n">
        <v>0</v>
      </c>
    </row>
    <row r="698" hidden="1" outlineLevel="1" s="191">
      <c r="A698" s="264" t="inlineStr">
        <is>
          <t>.z06</t>
        </is>
      </c>
      <c r="BJ698" t="n">
        <v>0</v>
      </c>
      <c r="BK698" t="n">
        <v>0</v>
      </c>
      <c r="BL698" t="n">
        <v>0</v>
      </c>
    </row>
    <row r="699" collapsed="1" s="191">
      <c r="BJ699" t="n">
        <v>0</v>
      </c>
      <c r="BK699" t="n">
        <v>0</v>
      </c>
      <c r="BL699" t="n">
        <v>0</v>
      </c>
      <c r="BM699" t="n">
        <v>40</v>
      </c>
    </row>
    <row r="700" ht="15.6" customHeight="1" s="191">
      <c r="A700" s="259" t="inlineStr">
        <is>
          <t>.z07</t>
        </is>
      </c>
      <c r="B700" s="260" t="n"/>
      <c r="C700" s="261" t="n"/>
      <c r="D700" s="276" t="n"/>
      <c r="E700" s="277" t="inlineStr">
        <is>
          <t>Zadanie_VII   :  Opracowanie inteligentnego matematycznego modelu procesu kompletacji zamówień (PKZ) z wykorzystaniem mechanizmów AI i ML</t>
        </is>
      </c>
      <c r="F700" s="538" t="n"/>
      <c r="BJ700" t="n">
        <v>0</v>
      </c>
      <c r="BK700" t="n">
        <v>0</v>
      </c>
      <c r="BL700" t="n">
        <v>0</v>
      </c>
      <c r="BM700" t="n">
        <v>40</v>
      </c>
    </row>
    <row r="701" hidden="1" outlineLevel="1" s="191">
      <c r="A701" t="n">
        <v>1</v>
      </c>
      <c r="B701" t="inlineStr">
        <is>
          <t>a</t>
        </is>
      </c>
      <c r="C701" t="n">
        <v>0</v>
      </c>
      <c r="D701" t="inlineStr">
        <is>
          <t>_1_a_0</t>
        </is>
      </c>
      <c r="E701" t="inlineStr">
        <is>
          <t>1.Identyfikacja, analiza i mapowanie procesu kompletacji zamówień (PKZ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</row>
    <row r="702" hidden="1" outlineLevel="1" s="191">
      <c r="A702" t="n">
        <v>1</v>
      </c>
      <c r="B702" t="inlineStr">
        <is>
          <t>a</t>
        </is>
      </c>
      <c r="C702" t="n">
        <v>1</v>
      </c>
      <c r="D702" t="inlineStr">
        <is>
          <t>_1_a_1</t>
        </is>
      </c>
      <c r="E702" t="inlineStr">
        <is>
          <t>Identyfikacja i analiza kluczowych etapów PKZ i ich interakcji</t>
        </is>
      </c>
      <c r="F702" t="inlineStr">
        <is>
          <t>Imię01</t>
        </is>
      </c>
      <c r="G702" t="inlineStr">
        <is>
          <t>Nazwisko01</t>
        </is>
      </c>
      <c r="H702" t="n">
        <v>1</v>
      </c>
      <c r="I702" t="inlineStr">
        <is>
          <t>.a01</t>
        </is>
      </c>
      <c r="J702" t="n">
        <v>100</v>
      </c>
      <c r="K702" t="n">
        <v>46897</v>
      </c>
      <c r="L702" t="n">
        <v>46903</v>
      </c>
      <c r="M702" t="n">
        <v>105</v>
      </c>
      <c r="N702" t="n">
        <v>6</v>
      </c>
      <c r="O702" t="n">
        <v>120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120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120</v>
      </c>
      <c r="AY702" t="n">
        <v>0.75</v>
      </c>
      <c r="AZ702" t="n">
        <v>5001</v>
      </c>
      <c r="BA702" t="n">
        <v>3750.75</v>
      </c>
      <c r="BB702" t="n">
        <v>2813.0625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e">
        <v>#REF!</v>
      </c>
      <c r="BI702" t="n">
        <v>0</v>
      </c>
      <c r="BJ702" t="n">
        <v>120</v>
      </c>
      <c r="BK702" t="n">
        <v>120</v>
      </c>
      <c r="BL702" t="n">
        <v>0</v>
      </c>
    </row>
    <row r="703" hidden="1" outlineLevel="1" s="191">
      <c r="A703" t="n">
        <v>1</v>
      </c>
      <c r="B703" t="inlineStr">
        <is>
          <t>b</t>
        </is>
      </c>
      <c r="C703" t="n">
        <v>1</v>
      </c>
      <c r="D703" t="inlineStr">
        <is>
          <t>_1_b_1</t>
        </is>
      </c>
      <c r="E703" t="inlineStr">
        <is>
          <t>Określenie wskaźników KPI do oceny efektywności symulacji</t>
        </is>
      </c>
      <c r="F703" t="inlineStr">
        <is>
          <t>Imię02</t>
        </is>
      </c>
      <c r="G703" t="inlineStr">
        <is>
          <t>Nazwisko02</t>
        </is>
      </c>
      <c r="H703" t="n">
        <v>1</v>
      </c>
      <c r="I703" t="inlineStr">
        <is>
          <t>.a02</t>
        </is>
      </c>
      <c r="J703" t="n">
        <v>106</v>
      </c>
      <c r="K703" t="n">
        <v>46939</v>
      </c>
      <c r="L703" t="n">
        <v>46939</v>
      </c>
      <c r="M703" t="n">
        <v>105</v>
      </c>
      <c r="N703" t="n">
        <v>0</v>
      </c>
      <c r="O703" t="n">
        <v>120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120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120</v>
      </c>
      <c r="AY703" t="n">
        <v>0.75</v>
      </c>
      <c r="AZ703" t="n">
        <v>5002</v>
      </c>
      <c r="BA703" t="n">
        <v>3751.5</v>
      </c>
      <c r="BB703" t="n">
        <v>2813.625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120</v>
      </c>
      <c r="BK703" t="n">
        <v>120</v>
      </c>
      <c r="BL703" t="n">
        <v>0</v>
      </c>
    </row>
    <row r="704" hidden="1" outlineLevel="1" s="191">
      <c r="A704" t="n">
        <v>1</v>
      </c>
      <c r="B704" t="inlineStr">
        <is>
          <t>c</t>
        </is>
      </c>
      <c r="C704" t="n">
        <v>1</v>
      </c>
      <c r="D704" t="inlineStr">
        <is>
          <t>_1_c_1</t>
        </is>
      </c>
      <c r="E704" t="inlineStr">
        <is>
          <t>Analiza wydajności</t>
        </is>
      </c>
      <c r="F704" t="inlineStr">
        <is>
          <t>Imię03</t>
        </is>
      </c>
      <c r="G704" t="inlineStr">
        <is>
          <t>Nazwisko03</t>
        </is>
      </c>
      <c r="H704" t="n">
        <v>1</v>
      </c>
      <c r="I704" t="inlineStr">
        <is>
          <t>.a03</t>
        </is>
      </c>
      <c r="J704" t="n">
        <v>106</v>
      </c>
      <c r="K704" t="n">
        <v>46939</v>
      </c>
      <c r="L704" t="n">
        <v>46939</v>
      </c>
      <c r="M704" t="n">
        <v>105</v>
      </c>
      <c r="N704" t="n">
        <v>0</v>
      </c>
      <c r="O704" t="n">
        <v>120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120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120</v>
      </c>
      <c r="AY704" t="n">
        <v>0.75</v>
      </c>
      <c r="AZ704" t="n">
        <v>5003</v>
      </c>
      <c r="BA704" t="n">
        <v>3752.25</v>
      </c>
      <c r="BB704" t="n">
        <v>2814.1875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120</v>
      </c>
      <c r="BK704" t="n">
        <v>120</v>
      </c>
      <c r="BL704" t="n">
        <v>0</v>
      </c>
    </row>
    <row r="705" hidden="1" outlineLevel="1" s="191">
      <c r="A705" t="n">
        <v>1</v>
      </c>
      <c r="B705" t="inlineStr">
        <is>
          <t>d</t>
        </is>
      </c>
      <c r="C705" t="n">
        <v>1</v>
      </c>
      <c r="D705" t="inlineStr">
        <is>
          <t>_1_d_1</t>
        </is>
      </c>
      <c r="E705" t="inlineStr">
        <is>
          <t>Identyfikacja wyzwań/„wąskich gardeł”</t>
        </is>
      </c>
      <c r="F705" t="inlineStr">
        <is>
          <t>Imię04</t>
        </is>
      </c>
      <c r="G705" t="inlineStr">
        <is>
          <t>Nazwisko04</t>
        </is>
      </c>
      <c r="H705" t="n">
        <v>1</v>
      </c>
      <c r="I705" t="inlineStr">
        <is>
          <t>.a04</t>
        </is>
      </c>
      <c r="J705" t="n">
        <v>106</v>
      </c>
      <c r="K705" t="n">
        <v>46939</v>
      </c>
      <c r="L705" t="n">
        <v>46939</v>
      </c>
      <c r="M705" t="n">
        <v>105</v>
      </c>
      <c r="N705" t="n">
        <v>0</v>
      </c>
      <c r="O705" t="n">
        <v>120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120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120</v>
      </c>
      <c r="AY705" t="n">
        <v>0.75</v>
      </c>
      <c r="AZ705" t="n">
        <v>5004</v>
      </c>
      <c r="BA705" t="n">
        <v>3753</v>
      </c>
      <c r="BB705" t="n">
        <v>2814.75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e">
        <v>#REF!</v>
      </c>
      <c r="BI705" t="n">
        <v>0</v>
      </c>
      <c r="BJ705" t="n">
        <v>120</v>
      </c>
      <c r="BK705" t="n">
        <v>120</v>
      </c>
      <c r="BL705" t="n">
        <v>0</v>
      </c>
    </row>
    <row r="706" hidden="1" outlineLevel="1" s="191">
      <c r="A706" t="n">
        <v>1</v>
      </c>
      <c r="B706" t="inlineStr">
        <is>
          <t>e</t>
        </is>
      </c>
      <c r="C706" t="n">
        <v>1</v>
      </c>
      <c r="D706" t="inlineStr">
        <is>
          <t>_1_e_1</t>
        </is>
      </c>
      <c r="E706" t="inlineStr">
        <is>
          <t>Analiza wpływu zakłóceń dostępności infrastruktury technicznej</t>
        </is>
      </c>
      <c r="F706" t="inlineStr">
        <is>
          <t>Imię03</t>
        </is>
      </c>
      <c r="G706" t="inlineStr">
        <is>
          <t>Nazwisko03</t>
        </is>
      </c>
      <c r="H706" t="n">
        <v>1</v>
      </c>
      <c r="I706" t="inlineStr">
        <is>
          <t>.a03</t>
        </is>
      </c>
      <c r="J706" t="n">
        <v>106</v>
      </c>
      <c r="K706" t="n">
        <v>46939</v>
      </c>
      <c r="L706" t="n">
        <v>46939</v>
      </c>
      <c r="M706" t="n">
        <v>105</v>
      </c>
      <c r="N706" t="n">
        <v>0</v>
      </c>
      <c r="O706" t="n">
        <v>120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120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120</v>
      </c>
      <c r="AY706" t="n">
        <v>0.75</v>
      </c>
      <c r="AZ706" t="n">
        <v>5003</v>
      </c>
      <c r="BA706" t="n">
        <v>3752.25</v>
      </c>
      <c r="BB706" t="n">
        <v>2814.1875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120</v>
      </c>
      <c r="BK706" t="n">
        <v>120</v>
      </c>
      <c r="BL706" t="n">
        <v>0</v>
      </c>
    </row>
    <row r="707" hidden="1" outlineLevel="1" s="191">
      <c r="A707" t="n">
        <v>1</v>
      </c>
      <c r="B707" t="inlineStr">
        <is>
          <t>f</t>
        </is>
      </c>
      <c r="C707" t="n">
        <v>1</v>
      </c>
      <c r="D707" t="inlineStr">
        <is>
          <t>_1_f_1</t>
        </is>
      </c>
      <c r="E707" t="inlineStr">
        <is>
          <t xml:space="preserve">Stworzenie mapy zidentyfikowanych algorytmów/etapów kompletacji </t>
        </is>
      </c>
      <c r="F707" t="inlineStr">
        <is>
          <t>Imię04</t>
        </is>
      </c>
      <c r="G707" t="inlineStr">
        <is>
          <t>Nazwisko04</t>
        </is>
      </c>
      <c r="H707" t="n">
        <v>1</v>
      </c>
      <c r="I707" t="inlineStr">
        <is>
          <t>.a04</t>
        </is>
      </c>
      <c r="J707" t="n">
        <v>106</v>
      </c>
      <c r="K707" t="n">
        <v>46939</v>
      </c>
      <c r="L707" t="n">
        <v>46939</v>
      </c>
      <c r="M707" t="n">
        <v>105</v>
      </c>
      <c r="N707" t="n">
        <v>0</v>
      </c>
      <c r="O707" t="n">
        <v>120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120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120</v>
      </c>
      <c r="AY707" t="n">
        <v>0.75</v>
      </c>
      <c r="AZ707" t="n">
        <v>5004</v>
      </c>
      <c r="BA707" t="n">
        <v>3753</v>
      </c>
      <c r="BB707" t="n">
        <v>2814.75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120</v>
      </c>
      <c r="BK707" t="n">
        <v>120</v>
      </c>
      <c r="BL707" t="n">
        <v>0</v>
      </c>
    </row>
    <row r="708" hidden="1" outlineLevel="1" s="191">
      <c r="A708" t="n">
        <v>2</v>
      </c>
      <c r="B708" t="n">
        <v>0</v>
      </c>
      <c r="C708" t="n">
        <v>-1</v>
      </c>
      <c r="D708" t="inlineStr">
        <is>
          <t>_2__-1</t>
        </is>
      </c>
      <c r="E708" t="inlineStr">
        <is>
          <t xml:space="preserve">2.Projektowanie i matematyczne modelowanie PKZ </t>
        </is>
      </c>
      <c r="F708" t="n">
        <v>0</v>
      </c>
      <c r="G708" t="n">
        <v>0</v>
      </c>
      <c r="H708" t="n">
        <v>0</v>
      </c>
      <c r="I708" t="n">
        <v>0</v>
      </c>
      <c r="J708" t="n">
        <v>106</v>
      </c>
      <c r="K708" t="n">
        <v>46939</v>
      </c>
      <c r="L708" t="n">
        <v>46939</v>
      </c>
      <c r="M708" t="n">
        <v>105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</row>
    <row r="709" hidden="1" outlineLevel="1" s="191">
      <c r="A709" t="n">
        <v>2</v>
      </c>
      <c r="B709" t="inlineStr">
        <is>
          <t>a</t>
        </is>
      </c>
      <c r="C709" t="n">
        <v>0</v>
      </c>
      <c r="D709" t="inlineStr">
        <is>
          <t>_2_a_0</t>
        </is>
      </c>
      <c r="E709" t="inlineStr">
        <is>
          <t>Zdefiniowanie parametrów wej./wyj. i kluczowych zdarzeń dyskretnych</t>
        </is>
      </c>
      <c r="F709" t="n">
        <v>0</v>
      </c>
      <c r="G709" t="n">
        <v>0</v>
      </c>
      <c r="H709" t="n">
        <v>0</v>
      </c>
      <c r="I709" t="n">
        <v>0</v>
      </c>
      <c r="J709" t="n">
        <v>106</v>
      </c>
      <c r="K709" t="n">
        <v>46939</v>
      </c>
      <c r="L709" t="n">
        <v>46939</v>
      </c>
      <c r="M709" t="n">
        <v>105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</row>
    <row r="710" hidden="1" outlineLevel="1" s="191">
      <c r="A710" t="n">
        <v>2</v>
      </c>
      <c r="B710" t="inlineStr">
        <is>
          <t>a</t>
        </is>
      </c>
      <c r="C710" t="n">
        <v>1</v>
      </c>
      <c r="D710" t="inlineStr">
        <is>
          <t>_2_a_1</t>
        </is>
      </c>
      <c r="E710" t="inlineStr">
        <is>
          <t>Zdefiniowanie parametrów wejściowych</t>
        </is>
      </c>
      <c r="F710" t="n">
        <v>0</v>
      </c>
      <c r="G710" t="n">
        <v>0</v>
      </c>
      <c r="H710" t="n">
        <v>3</v>
      </c>
      <c r="I710" t="inlineStr">
        <is>
          <t>ACT/END</t>
        </is>
      </c>
      <c r="J710" t="n">
        <v>106</v>
      </c>
      <c r="K710" t="n">
        <v>46939</v>
      </c>
      <c r="L710" t="n">
        <v>46941</v>
      </c>
      <c r="M710" t="n">
        <v>107</v>
      </c>
      <c r="N710" t="n">
        <v>2</v>
      </c>
      <c r="O710" t="n">
        <v>80</v>
      </c>
      <c r="P710" t="n">
        <v>0</v>
      </c>
      <c r="Q710" t="n">
        <v>0.5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0.5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40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40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40</v>
      </c>
      <c r="AY710" t="n">
        <v>0.25</v>
      </c>
      <c r="AZ710" t="e">
        <v>#N/A</v>
      </c>
      <c r="BA710" t="e">
        <v>#N/A</v>
      </c>
      <c r="BB710" t="e">
        <v>#N/A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80</v>
      </c>
      <c r="BK710" t="n">
        <v>80</v>
      </c>
      <c r="BL710" t="n">
        <v>0</v>
      </c>
    </row>
    <row r="711" hidden="1" outlineLevel="1" s="191">
      <c r="A711" t="n">
        <v>2</v>
      </c>
      <c r="B711" t="inlineStr">
        <is>
          <t>a</t>
        </is>
      </c>
      <c r="C711" t="n">
        <v>2</v>
      </c>
      <c r="D711" t="inlineStr">
        <is>
          <t>_2_a_2</t>
        </is>
      </c>
      <c r="E711" t="inlineStr">
        <is>
          <t>Zdefiniowanie parametrów wyjściowych</t>
        </is>
      </c>
      <c r="F711" t="n">
        <v>0</v>
      </c>
      <c r="G711" t="n">
        <v>0</v>
      </c>
      <c r="H711" t="n">
        <v>3</v>
      </c>
      <c r="I711" t="inlineStr">
        <is>
          <t>ACT/END</t>
        </is>
      </c>
      <c r="J711" t="n">
        <v>108</v>
      </c>
      <c r="K711" t="n">
        <v>46953</v>
      </c>
      <c r="L711" t="n">
        <v>46955</v>
      </c>
      <c r="M711" t="n">
        <v>109</v>
      </c>
      <c r="N711" t="n">
        <v>2</v>
      </c>
      <c r="O711" t="n">
        <v>80</v>
      </c>
      <c r="P711" t="n">
        <v>0.5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0.5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40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40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40</v>
      </c>
      <c r="AY711" t="n">
        <v>0.25</v>
      </c>
      <c r="AZ711" t="e">
        <v>#N/A</v>
      </c>
      <c r="BA711" t="e">
        <v>#N/A</v>
      </c>
      <c r="BB711" t="e">
        <v>#N/A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80</v>
      </c>
      <c r="BK711" t="n">
        <v>80</v>
      </c>
      <c r="BL711" t="n">
        <v>0</v>
      </c>
    </row>
    <row r="712" hidden="1" outlineLevel="1" s="191">
      <c r="A712" t="n">
        <v>2</v>
      </c>
      <c r="B712" t="inlineStr">
        <is>
          <t>a</t>
        </is>
      </c>
      <c r="C712" t="n">
        <v>3</v>
      </c>
      <c r="D712" t="inlineStr">
        <is>
          <t>_2_a_3</t>
        </is>
      </c>
      <c r="E712" t="inlineStr">
        <is>
          <t>Badania eksploracyjne dostepnych danych</t>
        </is>
      </c>
      <c r="F712" t="n">
        <v>0</v>
      </c>
      <c r="G712" t="n">
        <v>0</v>
      </c>
      <c r="H712" t="n">
        <v>3</v>
      </c>
      <c r="I712" t="inlineStr">
        <is>
          <t>ACT/END</t>
        </is>
      </c>
      <c r="J712" t="n">
        <v>110</v>
      </c>
      <c r="K712" t="n">
        <v>46967</v>
      </c>
      <c r="L712" t="n">
        <v>46971</v>
      </c>
      <c r="M712" t="n">
        <v>113</v>
      </c>
      <c r="N712" t="n">
        <v>4</v>
      </c>
      <c r="O712" t="n">
        <v>160</v>
      </c>
      <c r="P712" t="n">
        <v>0</v>
      </c>
      <c r="Q712" t="n">
        <v>0.25</v>
      </c>
      <c r="R712" t="n">
        <v>0</v>
      </c>
      <c r="S712" t="n">
        <v>0.5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0.25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40</v>
      </c>
      <c r="AI712" t="n">
        <v>0</v>
      </c>
      <c r="AJ712" t="n">
        <v>80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40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120</v>
      </c>
      <c r="AY712" t="n">
        <v>0.75</v>
      </c>
      <c r="AZ712" t="e">
        <v>#N/A</v>
      </c>
      <c r="BA712" t="e">
        <v>#N/A</v>
      </c>
      <c r="BB712" t="e">
        <v>#N/A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160</v>
      </c>
      <c r="BK712" t="n">
        <v>160</v>
      </c>
      <c r="BL712" t="n">
        <v>0</v>
      </c>
    </row>
    <row r="713" hidden="1" outlineLevel="1" s="191">
      <c r="A713" t="n">
        <v>2</v>
      </c>
      <c r="B713" t="inlineStr">
        <is>
          <t>a</t>
        </is>
      </c>
      <c r="C713" t="n">
        <v>4</v>
      </c>
      <c r="D713" t="inlineStr">
        <is>
          <t>_2_a_4</t>
        </is>
      </c>
      <c r="E713" t="inlineStr">
        <is>
          <t>Analiza jakościowa danych/określenie jakości danych</t>
        </is>
      </c>
      <c r="F713" t="n">
        <v>0</v>
      </c>
      <c r="G713" t="n">
        <v>0</v>
      </c>
      <c r="H713" t="n">
        <v>3</v>
      </c>
      <c r="I713" t="inlineStr">
        <is>
          <t>ACT/END</t>
        </is>
      </c>
      <c r="J713" t="n">
        <v>114</v>
      </c>
      <c r="K713" t="n">
        <v>46995</v>
      </c>
      <c r="L713" t="n">
        <v>46999</v>
      </c>
      <c r="M713" t="n">
        <v>117</v>
      </c>
      <c r="N713" t="n">
        <v>4</v>
      </c>
      <c r="O713" t="n">
        <v>160</v>
      </c>
      <c r="P713" t="n">
        <v>0.25</v>
      </c>
      <c r="Q713" t="n">
        <v>0</v>
      </c>
      <c r="R713" t="n">
        <v>0.5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0.25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40</v>
      </c>
      <c r="AH713" t="n">
        <v>0</v>
      </c>
      <c r="AI713" t="n">
        <v>80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40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120</v>
      </c>
      <c r="AY713" t="n">
        <v>0.75</v>
      </c>
      <c r="AZ713" t="e">
        <v>#N/A</v>
      </c>
      <c r="BA713" t="e">
        <v>#N/A</v>
      </c>
      <c r="BB713" t="e">
        <v>#N/A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160</v>
      </c>
      <c r="BK713" t="n">
        <v>160</v>
      </c>
      <c r="BL713" t="n">
        <v>0</v>
      </c>
    </row>
    <row r="714" hidden="1" outlineLevel="1" s="191">
      <c r="A714" t="n">
        <v>2</v>
      </c>
      <c r="B714" t="inlineStr">
        <is>
          <t>a</t>
        </is>
      </c>
      <c r="C714" t="n">
        <v>5</v>
      </c>
      <c r="D714" t="inlineStr">
        <is>
          <t>_2_a_5</t>
        </is>
      </c>
      <c r="E714" t="inlineStr">
        <is>
          <t xml:space="preserve">Zdefiniowanie relacji i korelacji  danych </t>
        </is>
      </c>
      <c r="F714" t="n">
        <v>0</v>
      </c>
      <c r="G714" t="n">
        <v>0</v>
      </c>
      <c r="H714" t="n">
        <v>4</v>
      </c>
      <c r="I714" t="inlineStr">
        <is>
          <t>ACT/END</t>
        </is>
      </c>
      <c r="J714" t="n">
        <v>118</v>
      </c>
      <c r="K714" t="n">
        <v>47023</v>
      </c>
      <c r="L714" t="n">
        <v>47025</v>
      </c>
      <c r="M714" t="n">
        <v>119</v>
      </c>
      <c r="N714" t="n">
        <v>2</v>
      </c>
      <c r="O714" t="n">
        <v>120</v>
      </c>
      <c r="P714" t="n">
        <v>0</v>
      </c>
      <c r="Q714" t="n">
        <v>0.333</v>
      </c>
      <c r="R714" t="n">
        <v>0</v>
      </c>
      <c r="S714" t="n">
        <v>0.333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0.333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40</v>
      </c>
      <c r="AI714" t="n">
        <v>0</v>
      </c>
      <c r="AJ714" t="n">
        <v>40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40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80</v>
      </c>
      <c r="AY714" t="n">
        <v>0.5</v>
      </c>
      <c r="AZ714" t="e">
        <v>#N/A</v>
      </c>
      <c r="BA714" t="e">
        <v>#N/A</v>
      </c>
      <c r="BB714" t="e">
        <v>#N/A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120</v>
      </c>
      <c r="BK714" t="n">
        <v>120</v>
      </c>
      <c r="BL714" t="n">
        <v>0</v>
      </c>
    </row>
    <row r="715" hidden="1" outlineLevel="1" s="191">
      <c r="A715" t="n">
        <v>2</v>
      </c>
      <c r="B715" t="inlineStr">
        <is>
          <t>a</t>
        </is>
      </c>
      <c r="C715" t="n">
        <v>6</v>
      </c>
      <c r="D715" t="inlineStr">
        <is>
          <t>_2_a_6</t>
        </is>
      </c>
      <c r="E715" t="inlineStr">
        <is>
          <t>Wybór danych do procesu tworzenia modelu</t>
        </is>
      </c>
      <c r="F715" t="n">
        <v>0</v>
      </c>
      <c r="G715" t="n">
        <v>0</v>
      </c>
      <c r="H715" t="n">
        <v>4</v>
      </c>
      <c r="I715" t="inlineStr">
        <is>
          <t>ACT/END</t>
        </is>
      </c>
      <c r="J715" t="n">
        <v>120</v>
      </c>
      <c r="K715" t="n">
        <v>47037</v>
      </c>
      <c r="L715" t="n">
        <v>47039</v>
      </c>
      <c r="M715" t="n">
        <v>121</v>
      </c>
      <c r="N715" t="n">
        <v>2</v>
      </c>
      <c r="O715" t="n">
        <v>120</v>
      </c>
      <c r="P715" t="n">
        <v>0.333</v>
      </c>
      <c r="Q715" t="n">
        <v>0</v>
      </c>
      <c r="R715" t="n">
        <v>0.333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0.333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40</v>
      </c>
      <c r="AH715" t="n">
        <v>0</v>
      </c>
      <c r="AI715" t="n">
        <v>40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40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80</v>
      </c>
      <c r="AY715" t="n">
        <v>0.5</v>
      </c>
      <c r="AZ715" t="e">
        <v>#N/A</v>
      </c>
      <c r="BA715" t="e">
        <v>#N/A</v>
      </c>
      <c r="BB715" t="e">
        <v>#N/A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120</v>
      </c>
      <c r="BK715" t="n">
        <v>120</v>
      </c>
      <c r="BL715" t="n">
        <v>0</v>
      </c>
    </row>
    <row r="716" hidden="1" outlineLevel="1" s="191">
      <c r="A716" t="n">
        <v>2</v>
      </c>
      <c r="B716" t="inlineStr">
        <is>
          <t>a</t>
        </is>
      </c>
      <c r="C716" t="n">
        <v>7</v>
      </c>
      <c r="D716" t="inlineStr">
        <is>
          <t>_2_a_7</t>
        </is>
      </c>
      <c r="E716" t="inlineStr">
        <is>
          <t>Wybór danych do procesu ewaluacji modelu</t>
        </is>
      </c>
      <c r="F716" t="n">
        <v>0</v>
      </c>
      <c r="G716" t="n">
        <v>0</v>
      </c>
      <c r="H716" t="n">
        <v>4</v>
      </c>
      <c r="I716" t="inlineStr">
        <is>
          <t>ACT/END</t>
        </is>
      </c>
      <c r="J716" t="n">
        <v>122</v>
      </c>
      <c r="K716" t="n">
        <v>47051</v>
      </c>
      <c r="L716" t="n">
        <v>47053</v>
      </c>
      <c r="M716" t="n">
        <v>123</v>
      </c>
      <c r="N716" t="n">
        <v>2</v>
      </c>
      <c r="O716" t="n">
        <v>120</v>
      </c>
      <c r="P716" t="n">
        <v>0</v>
      </c>
      <c r="Q716" t="n">
        <v>0.333</v>
      </c>
      <c r="R716" t="n">
        <v>0</v>
      </c>
      <c r="S716" t="n">
        <v>0.333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0.333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40</v>
      </c>
      <c r="AI716" t="n">
        <v>0</v>
      </c>
      <c r="AJ716" t="n">
        <v>40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40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80</v>
      </c>
      <c r="AY716" t="n">
        <v>0.5</v>
      </c>
      <c r="AZ716" t="e">
        <v>#N/A</v>
      </c>
      <c r="BA716" t="e">
        <v>#N/A</v>
      </c>
      <c r="BB716" t="e">
        <v>#N/A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120</v>
      </c>
      <c r="BK716" t="n">
        <v>120</v>
      </c>
      <c r="BL716" t="n">
        <v>0</v>
      </c>
    </row>
    <row r="717" hidden="1" outlineLevel="1" s="191">
      <c r="A717" t="n">
        <v>2</v>
      </c>
      <c r="B717" t="inlineStr">
        <is>
          <t>a</t>
        </is>
      </c>
      <c r="C717" t="n">
        <v>8</v>
      </c>
      <c r="D717" t="inlineStr">
        <is>
          <t>_2_a_8</t>
        </is>
      </c>
      <c r="E717" t="inlineStr">
        <is>
          <t>Modelowanie i przekształenie danych na potrzeby tworzenia modeli</t>
        </is>
      </c>
      <c r="F717" t="n">
        <v>0</v>
      </c>
      <c r="G717" t="n">
        <v>0</v>
      </c>
      <c r="H717" t="n">
        <v>5</v>
      </c>
      <c r="I717" t="inlineStr">
        <is>
          <t>END</t>
        </is>
      </c>
      <c r="J717" t="n">
        <v>124</v>
      </c>
      <c r="K717" t="n">
        <v>47065</v>
      </c>
      <c r="L717" t="n">
        <v>47067</v>
      </c>
      <c r="M717" t="n">
        <v>125</v>
      </c>
      <c r="N717" t="n">
        <v>2</v>
      </c>
      <c r="O717" t="n">
        <v>80</v>
      </c>
      <c r="P717" t="n">
        <v>0</v>
      </c>
      <c r="Q717" t="n">
        <v>0</v>
      </c>
      <c r="R717" t="n">
        <v>0.5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0.5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40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40</v>
      </c>
      <c r="AY717" t="n">
        <v>0.25</v>
      </c>
      <c r="AZ717" t="e">
        <v>#N/A</v>
      </c>
      <c r="BA717" t="e">
        <v>#N/A</v>
      </c>
      <c r="BB717" t="e">
        <v>#N/A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80</v>
      </c>
      <c r="BK717" t="n">
        <v>80</v>
      </c>
      <c r="BL717" t="n">
        <v>0</v>
      </c>
    </row>
    <row r="718" hidden="1" outlineLevel="1" s="191">
      <c r="A718" t="n">
        <v>2</v>
      </c>
      <c r="B718" t="inlineStr">
        <is>
          <t>b</t>
        </is>
      </c>
      <c r="C718" t="n">
        <v>1</v>
      </c>
      <c r="D718" t="inlineStr">
        <is>
          <t>_2_b_1</t>
        </is>
      </c>
      <c r="E718" t="inlineStr">
        <is>
          <t>Zbadanie interakcji - Strefa Kompletacji (SK) vs inne strefy magazynu</t>
        </is>
      </c>
      <c r="F718" t="n">
        <v>0</v>
      </c>
      <c r="G718" t="n">
        <v>0</v>
      </c>
      <c r="H718" t="n">
        <v>4</v>
      </c>
      <c r="I718" t="inlineStr">
        <is>
          <t>ACT</t>
        </is>
      </c>
      <c r="J718" t="n">
        <v>126</v>
      </c>
      <c r="K718" t="n">
        <v>47079</v>
      </c>
      <c r="L718" t="n">
        <v>47083</v>
      </c>
      <c r="M718" t="n">
        <v>129</v>
      </c>
      <c r="N718" t="n">
        <v>4</v>
      </c>
      <c r="O718" t="n">
        <v>160</v>
      </c>
      <c r="P718" t="n">
        <v>0.5</v>
      </c>
      <c r="Q718" t="n">
        <v>0</v>
      </c>
      <c r="R718" t="n">
        <v>0.5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80</v>
      </c>
      <c r="AH718" t="n">
        <v>0</v>
      </c>
      <c r="AI718" t="n">
        <v>80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160</v>
      </c>
      <c r="AY718" t="n">
        <v>1</v>
      </c>
      <c r="AZ718" t="e">
        <v>#N/A</v>
      </c>
      <c r="BA718" t="e">
        <v>#N/A</v>
      </c>
      <c r="BB718" t="e">
        <v>#N/A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160</v>
      </c>
      <c r="BK718" t="n">
        <v>160</v>
      </c>
      <c r="BL718" t="n">
        <v>0</v>
      </c>
    </row>
    <row r="719" hidden="1" outlineLevel="1" s="191">
      <c r="A719" t="n">
        <v>2</v>
      </c>
      <c r="B719" t="inlineStr">
        <is>
          <t>c</t>
        </is>
      </c>
      <c r="C719" t="n">
        <v>1</v>
      </c>
      <c r="D719" t="inlineStr">
        <is>
          <t>_2_c_1</t>
        </is>
      </c>
      <c r="E719" t="inlineStr">
        <is>
          <t>Zbadanie wpływu ograniczeń zasobów na PKZ</t>
        </is>
      </c>
      <c r="F719" t="n">
        <v>0</v>
      </c>
      <c r="G719" t="n">
        <v>0</v>
      </c>
      <c r="H719" t="n">
        <v>4</v>
      </c>
      <c r="I719" t="inlineStr">
        <is>
          <t>ACT</t>
        </is>
      </c>
      <c r="J719" t="n">
        <v>130</v>
      </c>
      <c r="K719" t="n">
        <v>47107</v>
      </c>
      <c r="L719" t="n">
        <v>47111</v>
      </c>
      <c r="M719" t="n">
        <v>133</v>
      </c>
      <c r="N719" t="n">
        <v>4</v>
      </c>
      <c r="O719" t="n">
        <v>160</v>
      </c>
      <c r="P719" t="n">
        <v>0</v>
      </c>
      <c r="Q719" t="n">
        <v>0.5</v>
      </c>
      <c r="R719" t="n">
        <v>0</v>
      </c>
      <c r="S719" t="n">
        <v>0.5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80</v>
      </c>
      <c r="AI719" t="n">
        <v>0</v>
      </c>
      <c r="AJ719" t="n">
        <v>80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160</v>
      </c>
      <c r="AY719" t="n">
        <v>1</v>
      </c>
      <c r="AZ719" t="e">
        <v>#N/A</v>
      </c>
      <c r="BA719" t="e">
        <v>#N/A</v>
      </c>
      <c r="BB719" t="e">
        <v>#N/A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160</v>
      </c>
      <c r="BK719" t="n">
        <v>160</v>
      </c>
      <c r="BL719" t="n">
        <v>0</v>
      </c>
    </row>
    <row r="720" hidden="1" outlineLevel="1" s="191">
      <c r="A720" t="n">
        <v>2</v>
      </c>
      <c r="B720" t="inlineStr">
        <is>
          <t>d</t>
        </is>
      </c>
      <c r="C720" t="n">
        <v>0</v>
      </c>
      <c r="D720" t="inlineStr">
        <is>
          <t>_2_d_0</t>
        </is>
      </c>
      <c r="E720" t="inlineStr">
        <is>
          <t>Opracowanie modeli matematycznych/algorytmów symulacyjnych PKZ</t>
        </is>
      </c>
      <c r="F720" t="n">
        <v>0</v>
      </c>
      <c r="G720" t="n">
        <v>0</v>
      </c>
      <c r="H720" t="n">
        <v>0</v>
      </c>
      <c r="I720" t="n">
        <v>0</v>
      </c>
      <c r="J720" t="n">
        <v>134</v>
      </c>
      <c r="K720" t="n">
        <v>47135</v>
      </c>
      <c r="L720" t="n">
        <v>47135</v>
      </c>
      <c r="M720" t="n">
        <v>133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</row>
    <row r="721" hidden="1" outlineLevel="1" s="191">
      <c r="A721" t="n">
        <v>2</v>
      </c>
      <c r="B721" t="inlineStr">
        <is>
          <t>d</t>
        </is>
      </c>
      <c r="C721" t="n">
        <v>1</v>
      </c>
      <c r="D721" t="inlineStr">
        <is>
          <t>_2_d_1</t>
        </is>
      </c>
      <c r="E721" t="inlineStr">
        <is>
          <t>Opracowanie architektur modeli</t>
        </is>
      </c>
      <c r="F721" t="n">
        <v>0</v>
      </c>
      <c r="G721" t="n">
        <v>0</v>
      </c>
      <c r="H721" t="n">
        <v>4</v>
      </c>
      <c r="I721" t="inlineStr">
        <is>
          <t>END</t>
        </is>
      </c>
      <c r="J721" t="n">
        <v>134</v>
      </c>
      <c r="K721" t="n">
        <v>47135</v>
      </c>
      <c r="L721" t="n">
        <v>47137</v>
      </c>
      <c r="M721" t="n">
        <v>135</v>
      </c>
      <c r="N721" t="n">
        <v>2</v>
      </c>
      <c r="O721" t="n">
        <v>160</v>
      </c>
      <c r="P721" t="n">
        <v>0</v>
      </c>
      <c r="Q721" t="n">
        <v>0.25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0.25</v>
      </c>
      <c r="Z721" t="n">
        <v>0.25</v>
      </c>
      <c r="AA721" t="n">
        <v>0.25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40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40</v>
      </c>
      <c r="AQ721" t="n">
        <v>40</v>
      </c>
      <c r="AR721" t="n">
        <v>40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40</v>
      </c>
      <c r="AY721" t="n">
        <v>0.25</v>
      </c>
      <c r="AZ721" t="e">
        <v>#N/A</v>
      </c>
      <c r="BA721" t="e">
        <v>#N/A</v>
      </c>
      <c r="BB721" t="e">
        <v>#N/A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160</v>
      </c>
      <c r="BK721" t="n">
        <v>160</v>
      </c>
      <c r="BL721" t="n">
        <v>0</v>
      </c>
    </row>
    <row r="722" hidden="1" outlineLevel="1" s="191">
      <c r="A722" t="n">
        <v>2</v>
      </c>
      <c r="B722" t="inlineStr">
        <is>
          <t>d</t>
        </is>
      </c>
      <c r="C722" t="n">
        <v>2</v>
      </c>
      <c r="D722" t="inlineStr">
        <is>
          <t>_2_d_2</t>
        </is>
      </c>
      <c r="E722" t="inlineStr">
        <is>
          <t xml:space="preserve">Implementacja opracowanych modeli </t>
        </is>
      </c>
      <c r="F722" t="n">
        <v>0</v>
      </c>
      <c r="G722" t="n">
        <v>0</v>
      </c>
      <c r="H722" t="n">
        <v>5</v>
      </c>
      <c r="I722" t="inlineStr">
        <is>
          <t>END</t>
        </is>
      </c>
      <c r="J722" t="n">
        <v>136</v>
      </c>
      <c r="K722" t="n">
        <v>47149</v>
      </c>
      <c r="L722" t="n">
        <v>47153</v>
      </c>
      <c r="M722" t="n">
        <v>139</v>
      </c>
      <c r="N722" t="n">
        <v>4</v>
      </c>
      <c r="O722" t="n">
        <v>320</v>
      </c>
      <c r="P722" t="n">
        <v>0.25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0.25</v>
      </c>
      <c r="Z722" t="n">
        <v>0.25</v>
      </c>
      <c r="AA722" t="n">
        <v>0.25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80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80</v>
      </c>
      <c r="AQ722" t="n">
        <v>80</v>
      </c>
      <c r="AR722" t="n">
        <v>80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80</v>
      </c>
      <c r="AY722" t="n">
        <v>0.5</v>
      </c>
      <c r="AZ722" t="e">
        <v>#N/A</v>
      </c>
      <c r="BA722" t="e">
        <v>#N/A</v>
      </c>
      <c r="BB722" t="e">
        <v>#N/A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320</v>
      </c>
      <c r="BK722" t="n">
        <v>320</v>
      </c>
      <c r="BL722" t="n">
        <v>0</v>
      </c>
    </row>
    <row r="723" hidden="1" outlineLevel="1" s="191">
      <c r="A723" t="n">
        <v>2</v>
      </c>
      <c r="B723" t="inlineStr">
        <is>
          <t>d</t>
        </is>
      </c>
      <c r="C723" t="n">
        <v>3</v>
      </c>
      <c r="D723" t="inlineStr">
        <is>
          <t>_2_d_3</t>
        </is>
      </c>
      <c r="E723" t="inlineStr">
        <is>
          <t>Stworzenie procesu zasilania danymi</t>
        </is>
      </c>
      <c r="F723" t="n">
        <v>0</v>
      </c>
      <c r="G723" t="n">
        <v>0</v>
      </c>
      <c r="H723" t="n">
        <v>5</v>
      </c>
      <c r="I723" t="inlineStr">
        <is>
          <t>END</t>
        </is>
      </c>
      <c r="J723" t="n">
        <v>140</v>
      </c>
      <c r="K723" t="n">
        <v>47177</v>
      </c>
      <c r="L723" t="n">
        <v>47179</v>
      </c>
      <c r="M723" t="n">
        <v>141</v>
      </c>
      <c r="N723" t="n">
        <v>2</v>
      </c>
      <c r="O723" t="n">
        <v>120</v>
      </c>
      <c r="P723" t="n">
        <v>0</v>
      </c>
      <c r="Q723" t="n">
        <v>0</v>
      </c>
      <c r="R723" t="n">
        <v>0.333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0.333</v>
      </c>
      <c r="Z723" t="n">
        <v>0.333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40</v>
      </c>
      <c r="AQ723" t="n">
        <v>40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40</v>
      </c>
      <c r="AY723" t="n">
        <v>0.25</v>
      </c>
      <c r="AZ723" t="e">
        <v>#N/A</v>
      </c>
      <c r="BA723" t="e">
        <v>#N/A</v>
      </c>
      <c r="BB723" t="e">
        <v>#N/A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120</v>
      </c>
      <c r="BK723" t="n">
        <v>120</v>
      </c>
      <c r="BL723" t="n">
        <v>0</v>
      </c>
    </row>
    <row r="724" hidden="1" outlineLevel="1" s="191">
      <c r="A724" t="n">
        <v>2</v>
      </c>
      <c r="B724" t="inlineStr">
        <is>
          <t>d</t>
        </is>
      </c>
      <c r="C724" t="n">
        <v>4</v>
      </c>
      <c r="D724" t="inlineStr">
        <is>
          <t>_2_d_4</t>
        </is>
      </c>
      <c r="E724" t="inlineStr">
        <is>
          <t>Stworzenie procesu  trenowania/uczenia modelu</t>
        </is>
      </c>
      <c r="F724" t="n">
        <v>0</v>
      </c>
      <c r="G724" t="n">
        <v>0</v>
      </c>
      <c r="H724" t="n">
        <v>5</v>
      </c>
      <c r="I724" t="inlineStr">
        <is>
          <t>END</t>
        </is>
      </c>
      <c r="J724" t="n">
        <v>142</v>
      </c>
      <c r="K724" t="n">
        <v>47191</v>
      </c>
      <c r="L724" t="n">
        <v>47193</v>
      </c>
      <c r="M724" t="n">
        <v>143</v>
      </c>
      <c r="N724" t="n">
        <v>2</v>
      </c>
      <c r="O724" t="n">
        <v>120</v>
      </c>
      <c r="P724" t="n">
        <v>0</v>
      </c>
      <c r="Q724" t="n">
        <v>0</v>
      </c>
      <c r="R724" t="n">
        <v>0</v>
      </c>
      <c r="S724" t="n">
        <v>0.333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0.333</v>
      </c>
      <c r="AA724" t="n">
        <v>0.333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40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40</v>
      </c>
      <c r="AR724" t="n">
        <v>40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40</v>
      </c>
      <c r="AY724" t="n">
        <v>0.25</v>
      </c>
      <c r="AZ724" t="e">
        <v>#N/A</v>
      </c>
      <c r="BA724" t="e">
        <v>#N/A</v>
      </c>
      <c r="BB724" t="e">
        <v>#N/A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120</v>
      </c>
      <c r="BK724" t="n">
        <v>120</v>
      </c>
      <c r="BL724" t="n">
        <v>0</v>
      </c>
    </row>
    <row r="725" hidden="1" outlineLevel="1" s="191">
      <c r="A725" t="n">
        <v>2</v>
      </c>
      <c r="B725" t="inlineStr">
        <is>
          <t>d</t>
        </is>
      </c>
      <c r="C725" t="n">
        <v>5</v>
      </c>
      <c r="D725" t="inlineStr">
        <is>
          <t>_2_d_5</t>
        </is>
      </c>
      <c r="E725" t="inlineStr">
        <is>
          <t>Stworzenie procesu ewaluacji modelu</t>
        </is>
      </c>
      <c r="F725" t="n">
        <v>0</v>
      </c>
      <c r="G725" t="n">
        <v>0</v>
      </c>
      <c r="H725" t="n">
        <v>6</v>
      </c>
      <c r="I725" t="inlineStr">
        <is>
          <t>END</t>
        </is>
      </c>
      <c r="J725" t="n">
        <v>144</v>
      </c>
      <c r="K725" t="n">
        <v>47205</v>
      </c>
      <c r="L725" t="n">
        <v>47207</v>
      </c>
      <c r="M725" t="n">
        <v>145</v>
      </c>
      <c r="N725" t="n">
        <v>2</v>
      </c>
      <c r="O725" t="n">
        <v>120</v>
      </c>
      <c r="P725" t="n">
        <v>0.333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0.333</v>
      </c>
      <c r="AA725" t="n">
        <v>0.333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40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40</v>
      </c>
      <c r="AR725" t="n">
        <v>40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40</v>
      </c>
      <c r="AY725" t="n">
        <v>0.25</v>
      </c>
      <c r="AZ725" t="e">
        <v>#N/A</v>
      </c>
      <c r="BA725" t="e">
        <v>#N/A</v>
      </c>
      <c r="BB725" t="e">
        <v>#N/A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120</v>
      </c>
      <c r="BK725" t="n">
        <v>120</v>
      </c>
      <c r="BL725" t="n">
        <v>0</v>
      </c>
    </row>
    <row r="726" hidden="1" outlineLevel="1" s="191">
      <c r="A726" t="n">
        <v>2</v>
      </c>
      <c r="B726" t="inlineStr">
        <is>
          <t>d</t>
        </is>
      </c>
      <c r="C726" t="n">
        <v>6</v>
      </c>
      <c r="D726" t="inlineStr">
        <is>
          <t>_2_d_6</t>
        </is>
      </c>
      <c r="E726" t="inlineStr">
        <is>
          <t>Stworzenie procesu monitorowania modelu</t>
        </is>
      </c>
      <c r="F726" t="n">
        <v>0</v>
      </c>
      <c r="G726" t="n">
        <v>0</v>
      </c>
      <c r="H726" t="n">
        <v>6</v>
      </c>
      <c r="I726" t="inlineStr">
        <is>
          <t>END</t>
        </is>
      </c>
      <c r="J726" t="n">
        <v>146</v>
      </c>
      <c r="K726" t="n">
        <v>47219</v>
      </c>
      <c r="L726" t="n">
        <v>47221</v>
      </c>
      <c r="M726" t="n">
        <v>147</v>
      </c>
      <c r="N726" t="n">
        <v>2</v>
      </c>
      <c r="O726" t="n">
        <v>120</v>
      </c>
      <c r="P726" t="n">
        <v>0</v>
      </c>
      <c r="Q726" t="n">
        <v>0</v>
      </c>
      <c r="R726" t="n">
        <v>0.333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0.333</v>
      </c>
      <c r="Z726" t="n">
        <v>0</v>
      </c>
      <c r="AA726" t="n">
        <v>0</v>
      </c>
      <c r="AB726" t="n">
        <v>0.333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40</v>
      </c>
      <c r="AQ726" t="n">
        <v>0</v>
      </c>
      <c r="AR726" t="n">
        <v>0</v>
      </c>
      <c r="AS726" t="n">
        <v>40</v>
      </c>
      <c r="AT726" t="n">
        <v>0</v>
      </c>
      <c r="AU726" t="n">
        <v>0</v>
      </c>
      <c r="AV726" t="n">
        <v>0</v>
      </c>
      <c r="AW726" t="n">
        <v>0</v>
      </c>
      <c r="AX726" t="n">
        <v>40</v>
      </c>
      <c r="AY726" t="n">
        <v>0.25</v>
      </c>
      <c r="AZ726" t="e">
        <v>#N/A</v>
      </c>
      <c r="BA726" t="e">
        <v>#N/A</v>
      </c>
      <c r="BB726" t="e">
        <v>#N/A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120</v>
      </c>
      <c r="BK726" t="n">
        <v>120</v>
      </c>
      <c r="BL726" t="n">
        <v>0</v>
      </c>
    </row>
    <row r="727" hidden="1" outlineLevel="1" s="191">
      <c r="A727" t="n">
        <v>2</v>
      </c>
      <c r="B727" t="inlineStr">
        <is>
          <t>e</t>
        </is>
      </c>
      <c r="C727" t="n">
        <v>1</v>
      </c>
      <c r="D727" t="inlineStr">
        <is>
          <t>_2_e_1</t>
        </is>
      </c>
      <c r="E727" t="inlineStr">
        <is>
          <t>Testy, walidacje i wybór Modelu optymalnego</t>
        </is>
      </c>
      <c r="F727" t="n">
        <v>0</v>
      </c>
      <c r="G727" t="n">
        <v>0</v>
      </c>
      <c r="H727" t="n">
        <v>7</v>
      </c>
      <c r="I727" t="inlineStr">
        <is>
          <t>ACT/END</t>
        </is>
      </c>
      <c r="J727" t="n">
        <v>148</v>
      </c>
      <c r="K727" t="n">
        <v>47233</v>
      </c>
      <c r="L727" t="n">
        <v>47235</v>
      </c>
      <c r="M727" t="n">
        <v>149</v>
      </c>
      <c r="N727" t="n">
        <v>2</v>
      </c>
      <c r="O727" t="n">
        <v>120</v>
      </c>
      <c r="P727" t="n">
        <v>0</v>
      </c>
      <c r="Q727" t="n">
        <v>0.25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0.25</v>
      </c>
      <c r="Z727" t="n">
        <v>0.25</v>
      </c>
      <c r="AA727" t="n">
        <v>0.25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30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30</v>
      </c>
      <c r="AQ727" t="n">
        <v>30</v>
      </c>
      <c r="AR727" t="n">
        <v>30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30</v>
      </c>
      <c r="AY727" t="n">
        <v>0.1875</v>
      </c>
      <c r="AZ727" t="e">
        <v>#N/A</v>
      </c>
      <c r="BA727" t="e">
        <v>#N/A</v>
      </c>
      <c r="BB727" t="e">
        <v>#N/A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120</v>
      </c>
      <c r="BK727" t="n">
        <v>120</v>
      </c>
      <c r="BL727" t="n">
        <v>0</v>
      </c>
    </row>
    <row r="728" hidden="1" outlineLevel="1" s="191">
      <c r="A728" t="n">
        <v>3</v>
      </c>
      <c r="B728" t="inlineStr">
        <is>
          <t>a</t>
        </is>
      </c>
      <c r="C728" t="n">
        <v>0</v>
      </c>
      <c r="D728" t="inlineStr">
        <is>
          <t>_3_a_0</t>
        </is>
      </c>
      <c r="E728" t="inlineStr">
        <is>
          <t>3.Określenie możliwości zastosowania rozwiązań/narzędzi AI/ML do:</t>
        </is>
      </c>
      <c r="F728" t="n">
        <v>0</v>
      </c>
      <c r="G728" t="n">
        <v>0</v>
      </c>
      <c r="H728" t="n">
        <v>0</v>
      </c>
      <c r="I728" t="n">
        <v>0</v>
      </c>
      <c r="J728" t="n">
        <v>150</v>
      </c>
      <c r="K728" t="n">
        <v>47247</v>
      </c>
      <c r="L728" t="n">
        <v>47247</v>
      </c>
      <c r="M728" t="n">
        <v>149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</row>
    <row r="729" hidden="1" outlineLevel="1" s="191">
      <c r="A729" t="n">
        <v>3</v>
      </c>
      <c r="B729" t="inlineStr">
        <is>
          <t>a</t>
        </is>
      </c>
      <c r="C729" t="n">
        <v>1</v>
      </c>
      <c r="D729" t="inlineStr">
        <is>
          <t>_3_a_1</t>
        </is>
      </c>
      <c r="E729" t="inlineStr">
        <is>
          <t>Optymalizacji rozmieszczenia towarów w SK i tras kartonów na przenośnikach (np. algorytmy genetyczne, me-taheurystyczne, sieci neuronowe)</t>
        </is>
      </c>
      <c r="F729" t="n">
        <v>0</v>
      </c>
      <c r="G729" t="n">
        <v>0</v>
      </c>
      <c r="H729" t="n">
        <v>3</v>
      </c>
      <c r="I729" t="inlineStr">
        <is>
          <t>END/ACT</t>
        </is>
      </c>
      <c r="J729" t="n">
        <v>150</v>
      </c>
      <c r="K729" t="n">
        <v>47247</v>
      </c>
      <c r="L729" t="n">
        <v>47249</v>
      </c>
      <c r="M729" t="n">
        <v>151</v>
      </c>
      <c r="N729" t="n">
        <v>2</v>
      </c>
      <c r="O729" t="n">
        <v>80</v>
      </c>
      <c r="P729" t="n">
        <v>0.5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40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40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40</v>
      </c>
      <c r="AY729" t="n">
        <v>0.25</v>
      </c>
      <c r="AZ729" t="e">
        <v>#N/A</v>
      </c>
      <c r="BA729" t="e">
        <v>#N/A</v>
      </c>
      <c r="BB729" t="e">
        <v>#N/A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80</v>
      </c>
      <c r="BK729" t="n">
        <v>80</v>
      </c>
      <c r="BL729" t="n">
        <v>0</v>
      </c>
    </row>
    <row r="730" hidden="1" outlineLevel="1" s="191">
      <c r="A730" t="n">
        <v>3</v>
      </c>
      <c r="B730" t="inlineStr">
        <is>
          <t>b</t>
        </is>
      </c>
      <c r="C730" t="n">
        <v>1</v>
      </c>
      <c r="D730" t="inlineStr">
        <is>
          <t>_3_b_1</t>
        </is>
      </c>
      <c r="E730" t="inlineStr">
        <is>
          <t>Predykcji zapotrzebowania i zarządzania zasobami – infrastruktura, opakowania, towary, personel (np. sieci neuronowe, regresja, drzewa decyzyjne)</t>
        </is>
      </c>
      <c r="F730" t="n">
        <v>0</v>
      </c>
      <c r="G730" t="n">
        <v>0</v>
      </c>
      <c r="H730" t="n">
        <v>3</v>
      </c>
      <c r="I730" t="inlineStr">
        <is>
          <t>END/ACT</t>
        </is>
      </c>
      <c r="J730" t="n">
        <v>152</v>
      </c>
      <c r="K730" t="n">
        <v>47261</v>
      </c>
      <c r="L730" t="n">
        <v>47263</v>
      </c>
      <c r="M730" t="n">
        <v>153</v>
      </c>
      <c r="N730" t="n">
        <v>2</v>
      </c>
      <c r="O730" t="n">
        <v>80</v>
      </c>
      <c r="P730" t="n">
        <v>0</v>
      </c>
      <c r="Q730" t="n">
        <v>0.5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40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40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40</v>
      </c>
      <c r="AY730" t="n">
        <v>0.25</v>
      </c>
      <c r="AZ730" t="e">
        <v>#N/A</v>
      </c>
      <c r="BA730" t="e">
        <v>#N/A</v>
      </c>
      <c r="BB730" t="e">
        <v>#N/A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80</v>
      </c>
      <c r="BK730" t="n">
        <v>80</v>
      </c>
      <c r="BL730" t="n">
        <v>0</v>
      </c>
    </row>
    <row r="731" hidden="1" outlineLevel="1" s="191">
      <c r="A731" t="n">
        <v>3</v>
      </c>
      <c r="B731" t="inlineStr">
        <is>
          <t>c</t>
        </is>
      </c>
      <c r="C731" t="n">
        <v>1</v>
      </c>
      <c r="D731" t="inlineStr">
        <is>
          <t>_3_c_1</t>
        </is>
      </c>
      <c r="E731" t="inlineStr">
        <is>
          <t>Automatyzacji – zarządzania ruchem przenośników, kontroli jakości (np. modele głębokiego uczenia CNN, komputerowego rozpoznawania obrazu CV, skanowanie 3D)</t>
        </is>
      </c>
      <c r="F731" t="n">
        <v>0</v>
      </c>
      <c r="G731" t="n">
        <v>0</v>
      </c>
      <c r="H731" t="n">
        <v>3</v>
      </c>
      <c r="I731" t="inlineStr">
        <is>
          <t>ACT/END</t>
        </is>
      </c>
      <c r="J731" t="n">
        <v>154</v>
      </c>
      <c r="K731" t="n">
        <v>47275</v>
      </c>
      <c r="L731" t="n">
        <v>47275</v>
      </c>
      <c r="M731" t="n">
        <v>153</v>
      </c>
      <c r="N731" t="n">
        <v>0</v>
      </c>
      <c r="O731" t="n">
        <v>80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0.5</v>
      </c>
      <c r="Z731" t="n">
        <v>0</v>
      </c>
      <c r="AA731" t="n">
        <v>0.5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40</v>
      </c>
      <c r="AQ731" t="n">
        <v>0</v>
      </c>
      <c r="AR731" t="n">
        <v>40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e">
        <v>#N/A</v>
      </c>
      <c r="BA731" t="e">
        <v>#N/A</v>
      </c>
      <c r="BB731" t="e">
        <v>#N/A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80</v>
      </c>
      <c r="BK731" t="n">
        <v>80</v>
      </c>
      <c r="BL731" t="n">
        <v>0</v>
      </c>
    </row>
    <row r="732" hidden="1" outlineLevel="1" s="191">
      <c r="A732" t="n">
        <v>3</v>
      </c>
      <c r="B732" t="inlineStr">
        <is>
          <t>d</t>
        </is>
      </c>
      <c r="C732" t="n">
        <v>1</v>
      </c>
      <c r="D732" t="inlineStr">
        <is>
          <t>_3_d_1</t>
        </is>
      </c>
      <c r="E732" t="inlineStr">
        <is>
          <t>Symulacji PKZ (np. systemy symulacje Monte Carlo, oparte na AI oraz modele agentowe)</t>
        </is>
      </c>
      <c r="F732" t="n">
        <v>0</v>
      </c>
      <c r="G732" t="n">
        <v>0</v>
      </c>
      <c r="H732" t="n">
        <v>3</v>
      </c>
      <c r="I732" t="inlineStr">
        <is>
          <t>ACT/END</t>
        </is>
      </c>
      <c r="J732" t="n">
        <v>154</v>
      </c>
      <c r="K732" t="n">
        <v>47275</v>
      </c>
      <c r="L732" t="n">
        <v>47279</v>
      </c>
      <c r="M732" t="n">
        <v>157</v>
      </c>
      <c r="N732" t="n">
        <v>4</v>
      </c>
      <c r="O732" t="n">
        <v>160</v>
      </c>
      <c r="P732" t="n">
        <v>0</v>
      </c>
      <c r="Q732" t="n">
        <v>0</v>
      </c>
      <c r="R732" t="n">
        <v>0.5</v>
      </c>
      <c r="S732" t="n">
        <v>0.5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80</v>
      </c>
      <c r="AJ732" t="n">
        <v>80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160</v>
      </c>
      <c r="AY732" t="n">
        <v>1</v>
      </c>
      <c r="AZ732" t="e">
        <v>#N/A</v>
      </c>
      <c r="BA732" t="e">
        <v>#N/A</v>
      </c>
      <c r="BB732" t="e">
        <v>#N/A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160</v>
      </c>
      <c r="BK732" t="n">
        <v>160</v>
      </c>
      <c r="BL732" t="n">
        <v>0</v>
      </c>
    </row>
    <row r="733" hidden="1" outlineLevel="1" s="191">
      <c r="A733" t="n">
        <v>3</v>
      </c>
      <c r="B733" t="inlineStr">
        <is>
          <t>e</t>
        </is>
      </c>
      <c r="C733" t="n">
        <v>1</v>
      </c>
      <c r="D733" t="inlineStr">
        <is>
          <t>_3_e_1</t>
        </is>
      </c>
      <c r="E733" t="inlineStr">
        <is>
          <t>Testy i wybór platformy technologicznej (np. Amazon SageMake, Microsoft Azure Machine Learning, OpenCV)</t>
        </is>
      </c>
      <c r="F733" t="n">
        <v>0</v>
      </c>
      <c r="G733" t="n">
        <v>0</v>
      </c>
      <c r="H733" t="n">
        <v>4</v>
      </c>
      <c r="I733" t="inlineStr">
        <is>
          <t>ACT/END</t>
        </is>
      </c>
      <c r="J733" t="n">
        <v>158</v>
      </c>
      <c r="K733" t="n">
        <v>47303</v>
      </c>
      <c r="L733" t="n">
        <v>47303</v>
      </c>
      <c r="M733" t="n">
        <v>157</v>
      </c>
      <c r="N733" t="n">
        <v>0</v>
      </c>
      <c r="O733" t="n">
        <v>80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0.25</v>
      </c>
      <c r="Z733" t="n">
        <v>0.25</v>
      </c>
      <c r="AA733" t="n">
        <v>0.25</v>
      </c>
      <c r="AB733" t="n">
        <v>0.25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20</v>
      </c>
      <c r="AQ733" t="n">
        <v>20</v>
      </c>
      <c r="AR733" t="n">
        <v>20</v>
      </c>
      <c r="AS733" t="n">
        <v>20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e">
        <v>#N/A</v>
      </c>
      <c r="BA733" t="e">
        <v>#N/A</v>
      </c>
      <c r="BB733" t="e">
        <v>#N/A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e">
        <v>#REF!</v>
      </c>
      <c r="BI733" t="n">
        <v>0</v>
      </c>
      <c r="BJ733" t="n">
        <v>80</v>
      </c>
      <c r="BK733" t="n">
        <v>80</v>
      </c>
      <c r="BL733" t="n">
        <v>0</v>
      </c>
    </row>
    <row r="734" hidden="1" outlineLevel="1" s="191">
      <c r="A734" t="n">
        <v>4</v>
      </c>
      <c r="B734" t="inlineStr">
        <is>
          <t>a</t>
        </is>
      </c>
      <c r="C734" t="n">
        <v>-1</v>
      </c>
      <c r="D734" t="inlineStr">
        <is>
          <t>_4_a_-1</t>
        </is>
      </c>
      <c r="E734" t="inlineStr">
        <is>
          <t>4.Modelowanie symulacyjne PKZ</t>
        </is>
      </c>
      <c r="F734" t="n">
        <v>0</v>
      </c>
      <c r="G734" t="n">
        <v>0</v>
      </c>
      <c r="H734" t="n">
        <v>0</v>
      </c>
      <c r="I734" t="n">
        <v>0</v>
      </c>
      <c r="J734" t="n">
        <v>158</v>
      </c>
      <c r="K734" t="n">
        <v>47303</v>
      </c>
      <c r="L734" t="n">
        <v>47303</v>
      </c>
      <c r="M734" t="n">
        <v>157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</row>
    <row r="735" hidden="1" outlineLevel="1" s="191">
      <c r="A735" t="n">
        <v>4</v>
      </c>
      <c r="B735" t="inlineStr">
        <is>
          <t>a</t>
        </is>
      </c>
      <c r="C735" t="n">
        <v>0</v>
      </c>
      <c r="D735" t="inlineStr">
        <is>
          <t>_4_a_0</t>
        </is>
      </c>
      <c r="E735" t="inlineStr">
        <is>
          <t>Określenie kluczowych zmiennych</t>
        </is>
      </c>
      <c r="F735" t="n">
        <v>0</v>
      </c>
      <c r="G735" t="n">
        <v>0</v>
      </c>
      <c r="H735" t="n">
        <v>4</v>
      </c>
      <c r="I735" t="inlineStr">
        <is>
          <t>ACT/END</t>
        </is>
      </c>
      <c r="J735" t="n">
        <v>158</v>
      </c>
      <c r="K735" t="n">
        <v>47303</v>
      </c>
      <c r="L735" t="n">
        <v>47305</v>
      </c>
      <c r="M735" t="n">
        <v>159</v>
      </c>
      <c r="N735" t="n">
        <v>2</v>
      </c>
      <c r="O735" t="n">
        <v>120</v>
      </c>
      <c r="P735" t="n">
        <v>0.333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0.333</v>
      </c>
      <c r="Z735" t="n">
        <v>0.333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40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40</v>
      </c>
      <c r="AQ735" t="n">
        <v>40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40</v>
      </c>
      <c r="AY735" t="n">
        <v>0.25</v>
      </c>
      <c r="AZ735" t="e">
        <v>#N/A</v>
      </c>
      <c r="BA735" t="e">
        <v>#N/A</v>
      </c>
      <c r="BB735" t="e">
        <v>#N/A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120</v>
      </c>
      <c r="BK735" t="n">
        <v>120</v>
      </c>
      <c r="BL735" t="n">
        <v>0</v>
      </c>
    </row>
    <row r="736" hidden="1" outlineLevel="1" s="191">
      <c r="A736" t="n">
        <v>4</v>
      </c>
      <c r="B736" t="inlineStr">
        <is>
          <t>b</t>
        </is>
      </c>
      <c r="C736" t="n">
        <v>0</v>
      </c>
      <c r="D736" t="inlineStr">
        <is>
          <t>_4_b_0</t>
        </is>
      </c>
      <c r="E736" t="inlineStr">
        <is>
          <t>Budowa modeli dyskretnych  i relacyjnych</t>
        </is>
      </c>
      <c r="F736" t="n">
        <v>0</v>
      </c>
      <c r="G736" t="n">
        <v>0</v>
      </c>
      <c r="H736" t="n">
        <v>6</v>
      </c>
      <c r="I736" t="inlineStr">
        <is>
          <t>END</t>
        </is>
      </c>
      <c r="J736" t="n">
        <v>160</v>
      </c>
      <c r="K736" t="n">
        <v>47317</v>
      </c>
      <c r="L736" t="n">
        <v>47319</v>
      </c>
      <c r="M736" t="n">
        <v>161</v>
      </c>
      <c r="N736" t="n">
        <v>2</v>
      </c>
      <c r="O736" t="n">
        <v>120</v>
      </c>
      <c r="P736" t="n">
        <v>0</v>
      </c>
      <c r="Q736" t="n">
        <v>0.333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0.333</v>
      </c>
      <c r="AA736" t="n">
        <v>0.333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40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40</v>
      </c>
      <c r="AR736" t="n">
        <v>40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40</v>
      </c>
      <c r="AY736" t="n">
        <v>0.25</v>
      </c>
      <c r="AZ736" t="e">
        <v>#N/A</v>
      </c>
      <c r="BA736" t="e">
        <v>#N/A</v>
      </c>
      <c r="BB736" t="e">
        <v>#N/A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120</v>
      </c>
      <c r="BK736" t="n">
        <v>120</v>
      </c>
      <c r="BL736" t="n">
        <v>0</v>
      </c>
    </row>
    <row r="737" hidden="1" outlineLevel="1" s="191">
      <c r="A737" t="n">
        <v>4</v>
      </c>
      <c r="B737" t="inlineStr">
        <is>
          <t>c</t>
        </is>
      </c>
      <c r="C737" t="n">
        <v>0</v>
      </c>
      <c r="D737" t="inlineStr">
        <is>
          <t>_4_c_0</t>
        </is>
      </c>
      <c r="E737" t="inlineStr">
        <is>
          <t>Opracowanie scenariuszy symulujących różne strategie w PKZ</t>
        </is>
      </c>
      <c r="F737" t="n">
        <v>0</v>
      </c>
      <c r="G737" t="n">
        <v>0</v>
      </c>
      <c r="H737" t="n">
        <v>6</v>
      </c>
      <c r="I737" t="inlineStr">
        <is>
          <t>END</t>
        </is>
      </c>
      <c r="J737" t="n">
        <v>162</v>
      </c>
      <c r="K737" t="n">
        <v>47331</v>
      </c>
      <c r="L737" t="n">
        <v>47333</v>
      </c>
      <c r="M737" t="n">
        <v>163</v>
      </c>
      <c r="N737" t="n">
        <v>2</v>
      </c>
      <c r="O737" t="n">
        <v>120</v>
      </c>
      <c r="P737" t="n">
        <v>0</v>
      </c>
      <c r="Q737" t="n">
        <v>0</v>
      </c>
      <c r="R737" t="n">
        <v>0.333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0.333</v>
      </c>
      <c r="AB737" t="n">
        <v>0.333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40</v>
      </c>
      <c r="AS737" t="n">
        <v>40</v>
      </c>
      <c r="AT737" t="n">
        <v>0</v>
      </c>
      <c r="AU737" t="n">
        <v>0</v>
      </c>
      <c r="AV737" t="n">
        <v>0</v>
      </c>
      <c r="AW737" t="n">
        <v>0</v>
      </c>
      <c r="AX737" t="n">
        <v>40</v>
      </c>
      <c r="AY737" t="n">
        <v>0.25</v>
      </c>
      <c r="AZ737" t="e">
        <v>#N/A</v>
      </c>
      <c r="BA737" t="e">
        <v>#N/A</v>
      </c>
      <c r="BB737" t="e">
        <v>#N/A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120</v>
      </c>
      <c r="BK737" t="n">
        <v>120</v>
      </c>
      <c r="BL737" t="n">
        <v>0</v>
      </c>
    </row>
    <row r="738" hidden="1" outlineLevel="1" s="191">
      <c r="A738" t="n">
        <v>4</v>
      </c>
      <c r="B738" t="inlineStr">
        <is>
          <t>d</t>
        </is>
      </c>
      <c r="C738" t="n">
        <v>0</v>
      </c>
      <c r="D738" t="inlineStr">
        <is>
          <t>_4_d_0</t>
        </is>
      </c>
      <c r="E738" t="inlineStr">
        <is>
          <t>Testy, optymalizacja, implementacja zmian</t>
        </is>
      </c>
      <c r="F738" t="n">
        <v>0</v>
      </c>
      <c r="G738" t="n">
        <v>0</v>
      </c>
      <c r="H738" t="n">
        <v>8</v>
      </c>
      <c r="I738" t="inlineStr">
        <is>
          <t>END</t>
        </is>
      </c>
      <c r="J738" t="n">
        <v>164</v>
      </c>
      <c r="K738" t="n">
        <v>47345</v>
      </c>
      <c r="L738" t="n">
        <v>47347</v>
      </c>
      <c r="M738" t="n">
        <v>165</v>
      </c>
      <c r="N738" t="n">
        <v>2</v>
      </c>
      <c r="O738" t="n">
        <v>160</v>
      </c>
      <c r="P738" t="n">
        <v>0</v>
      </c>
      <c r="Q738" t="n">
        <v>0</v>
      </c>
      <c r="R738" t="n">
        <v>0</v>
      </c>
      <c r="S738" t="n">
        <v>0.25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0.25</v>
      </c>
      <c r="Z738" t="n">
        <v>0.25</v>
      </c>
      <c r="AA738" t="n">
        <v>0.25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40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40</v>
      </c>
      <c r="AQ738" t="n">
        <v>40</v>
      </c>
      <c r="AR738" t="n">
        <v>40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40</v>
      </c>
      <c r="AY738" t="n">
        <v>0.25</v>
      </c>
      <c r="AZ738" t="e">
        <v>#N/A</v>
      </c>
      <c r="BA738" t="e">
        <v>#N/A</v>
      </c>
      <c r="BB738" t="e">
        <v>#N/A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160</v>
      </c>
      <c r="BK738" t="n">
        <v>160</v>
      </c>
      <c r="BL738" t="n">
        <v>0</v>
      </c>
    </row>
    <row r="739" hidden="1" outlineLevel="1" s="191">
      <c r="A739" t="n">
        <v>5</v>
      </c>
      <c r="B739" t="inlineStr">
        <is>
          <t>a</t>
        </is>
      </c>
      <c r="C739" t="n">
        <v>0</v>
      </c>
      <c r="D739" t="inlineStr">
        <is>
          <t>_5_a_0</t>
        </is>
      </c>
      <c r="E739" t="inlineStr">
        <is>
          <t>5.Symulacje i testy z CB</t>
        </is>
      </c>
      <c r="F739" t="n">
        <v>0</v>
      </c>
      <c r="G739" t="n">
        <v>0</v>
      </c>
      <c r="H739" t="n">
        <v>0</v>
      </c>
      <c r="I739" t="n">
        <v>0</v>
      </c>
      <c r="J739" t="n">
        <v>166</v>
      </c>
      <c r="K739" t="n">
        <v>47359</v>
      </c>
      <c r="L739" t="n">
        <v>47359</v>
      </c>
      <c r="M739" t="n">
        <v>165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</row>
    <row r="740" hidden="1" outlineLevel="1" s="191">
      <c r="A740" t="n">
        <v>5</v>
      </c>
      <c r="B740" t="inlineStr">
        <is>
          <t>a</t>
        </is>
      </c>
      <c r="C740" t="n">
        <v>1</v>
      </c>
      <c r="D740" t="inlineStr">
        <is>
          <t>_5_a_1</t>
        </is>
      </c>
      <c r="E740" t="inlineStr">
        <is>
          <t>Symulacje etapów PKZ</t>
        </is>
      </c>
      <c r="F740" t="n">
        <v>0</v>
      </c>
      <c r="G740" t="n">
        <v>0</v>
      </c>
      <c r="H740" t="n">
        <v>4</v>
      </c>
      <c r="I740" t="inlineStr">
        <is>
          <t>ACT/END</t>
        </is>
      </c>
      <c r="J740" t="n">
        <v>166</v>
      </c>
      <c r="K740" t="n">
        <v>47359</v>
      </c>
      <c r="L740" t="n">
        <v>47361</v>
      </c>
      <c r="M740" t="n">
        <v>167</v>
      </c>
      <c r="N740" t="n">
        <v>2</v>
      </c>
      <c r="O740" t="n">
        <v>120</v>
      </c>
      <c r="P740" t="n">
        <v>0.333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0.333</v>
      </c>
      <c r="Z740" t="n">
        <v>0</v>
      </c>
      <c r="AA740" t="n">
        <v>0</v>
      </c>
      <c r="AB740" t="n">
        <v>0.333</v>
      </c>
      <c r="AC740" t="n">
        <v>0</v>
      </c>
      <c r="AD740" t="n">
        <v>0</v>
      </c>
      <c r="AE740" t="n">
        <v>0</v>
      </c>
      <c r="AF740" t="n">
        <v>0</v>
      </c>
      <c r="AG740" t="n">
        <v>40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40</v>
      </c>
      <c r="AQ740" t="n">
        <v>0</v>
      </c>
      <c r="AR740" t="n">
        <v>0</v>
      </c>
      <c r="AS740" t="n">
        <v>40</v>
      </c>
      <c r="AT740" t="n">
        <v>0</v>
      </c>
      <c r="AU740" t="n">
        <v>0</v>
      </c>
      <c r="AV740" t="n">
        <v>0</v>
      </c>
      <c r="AW740" t="n">
        <v>0</v>
      </c>
      <c r="AX740" t="n">
        <v>40</v>
      </c>
      <c r="AY740" t="n">
        <v>0.25</v>
      </c>
      <c r="AZ740" t="e">
        <v>#N/A</v>
      </c>
      <c r="BA740" t="e">
        <v>#N/A</v>
      </c>
      <c r="BB740" t="e">
        <v>#N/A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120</v>
      </c>
      <c r="BK740" t="n">
        <v>120</v>
      </c>
      <c r="BL740" t="n">
        <v>0</v>
      </c>
    </row>
    <row r="741" hidden="1" outlineLevel="1" s="191">
      <c r="A741" t="n">
        <v>5</v>
      </c>
      <c r="B741" t="inlineStr">
        <is>
          <t>b</t>
        </is>
      </c>
      <c r="C741" t="n">
        <v>1</v>
      </c>
      <c r="D741" t="inlineStr">
        <is>
          <t>_5_b_1</t>
        </is>
      </c>
      <c r="E741" t="inlineStr">
        <is>
          <t>Testowanie algorytmów AI/ML w symulowanym środowisku</t>
        </is>
      </c>
      <c r="F741" t="n">
        <v>0</v>
      </c>
      <c r="G741" t="n">
        <v>0</v>
      </c>
      <c r="H741" t="n">
        <v>5</v>
      </c>
      <c r="I741" t="inlineStr">
        <is>
          <t>ACT/END</t>
        </is>
      </c>
      <c r="J741" t="n">
        <v>168</v>
      </c>
      <c r="K741" t="n">
        <v>47373</v>
      </c>
      <c r="L741" t="n">
        <v>47375</v>
      </c>
      <c r="M741" t="n">
        <v>169</v>
      </c>
      <c r="N741" t="n">
        <v>2</v>
      </c>
      <c r="O741" t="n">
        <v>120</v>
      </c>
      <c r="P741" t="n">
        <v>0</v>
      </c>
      <c r="Q741" t="n">
        <v>0.333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0.333</v>
      </c>
      <c r="AA741" t="n">
        <v>0.333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40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40</v>
      </c>
      <c r="AR741" t="n">
        <v>40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40</v>
      </c>
      <c r="AY741" t="n">
        <v>0.25</v>
      </c>
      <c r="AZ741" t="e">
        <v>#N/A</v>
      </c>
      <c r="BA741" t="e">
        <v>#N/A</v>
      </c>
      <c r="BB741" t="e">
        <v>#N/A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120</v>
      </c>
      <c r="BK741" t="n">
        <v>120</v>
      </c>
      <c r="BL741" t="n">
        <v>0</v>
      </c>
    </row>
    <row r="742" hidden="1" outlineLevel="1" s="191">
      <c r="A742" t="n">
        <v>5</v>
      </c>
      <c r="B742" t="inlineStr">
        <is>
          <t>c</t>
        </is>
      </c>
      <c r="C742" t="n">
        <v>1</v>
      </c>
      <c r="D742" t="inlineStr">
        <is>
          <t>_5_c_1</t>
        </is>
      </c>
      <c r="E742" t="inlineStr">
        <is>
          <t>Uczenie/trening modeli</t>
        </is>
      </c>
      <c r="F742" t="n">
        <v>0</v>
      </c>
      <c r="G742" t="n">
        <v>0</v>
      </c>
      <c r="H742" t="n">
        <v>5</v>
      </c>
      <c r="I742" t="inlineStr">
        <is>
          <t>ACT/END</t>
        </is>
      </c>
      <c r="J742" t="n">
        <v>170</v>
      </c>
      <c r="K742" t="n">
        <v>47387</v>
      </c>
      <c r="L742" t="n">
        <v>47389</v>
      </c>
      <c r="M742" t="n">
        <v>171</v>
      </c>
      <c r="N742" t="n">
        <v>2</v>
      </c>
      <c r="O742" t="n">
        <v>120</v>
      </c>
      <c r="P742" t="n">
        <v>0</v>
      </c>
      <c r="Q742" t="n">
        <v>0</v>
      </c>
      <c r="R742" t="n">
        <v>0.333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0.333</v>
      </c>
      <c r="AA742" t="n">
        <v>0.333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40</v>
      </c>
      <c r="AR742" t="n">
        <v>40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40</v>
      </c>
      <c r="AY742" t="n">
        <v>0.25</v>
      </c>
      <c r="AZ742" t="e">
        <v>#N/A</v>
      </c>
      <c r="BA742" t="e">
        <v>#N/A</v>
      </c>
      <c r="BB742" t="e">
        <v>#N/A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120</v>
      </c>
      <c r="BK742" t="n">
        <v>120</v>
      </c>
      <c r="BL742" t="n">
        <v>0</v>
      </c>
    </row>
    <row r="743" hidden="1" outlineLevel="1" s="191">
      <c r="A743" t="n">
        <v>6</v>
      </c>
      <c r="B743" t="n">
        <v>0</v>
      </c>
      <c r="C743" t="n">
        <v>0</v>
      </c>
      <c r="D743" t="inlineStr">
        <is>
          <t>_6__0</t>
        </is>
      </c>
      <c r="E743" t="inlineStr">
        <is>
          <t>6.Analiza wyników symulacji i testów</t>
        </is>
      </c>
      <c r="F743" t="n">
        <v>0</v>
      </c>
      <c r="G743" t="n">
        <v>0</v>
      </c>
      <c r="H743" t="n">
        <v>0</v>
      </c>
      <c r="I743" t="n">
        <v>0</v>
      </c>
      <c r="J743" t="n">
        <v>172</v>
      </c>
      <c r="K743" t="n">
        <v>47401</v>
      </c>
      <c r="L743" t="n">
        <v>47401</v>
      </c>
      <c r="M743" t="n">
        <v>171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</row>
    <row r="744" hidden="1" outlineLevel="1" s="191">
      <c r="A744" t="n">
        <v>6</v>
      </c>
      <c r="B744" t="inlineStr">
        <is>
          <t>a</t>
        </is>
      </c>
      <c r="C744" t="n">
        <v>1</v>
      </c>
      <c r="D744" t="inlineStr">
        <is>
          <t>_6_a_1</t>
        </is>
      </c>
      <c r="E744" t="inlineStr">
        <is>
          <t>Analiza wyników</t>
        </is>
      </c>
      <c r="F744" t="n">
        <v>0</v>
      </c>
      <c r="G744" t="n">
        <v>0</v>
      </c>
      <c r="H744" t="n">
        <v>0</v>
      </c>
      <c r="I744" t="inlineStr">
        <is>
          <t>ACT/END</t>
        </is>
      </c>
      <c r="J744" t="n">
        <v>172</v>
      </c>
      <c r="K744" t="n">
        <v>47401</v>
      </c>
      <c r="L744" t="n">
        <v>47403</v>
      </c>
      <c r="M744" t="n">
        <v>173</v>
      </c>
      <c r="N744" t="n">
        <v>2</v>
      </c>
      <c r="O744" t="n">
        <v>80</v>
      </c>
      <c r="P744" t="n">
        <v>0.5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0.5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40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40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40</v>
      </c>
      <c r="AY744" t="n">
        <v>0.25</v>
      </c>
      <c r="AZ744" t="e">
        <v>#N/A</v>
      </c>
      <c r="BA744" t="e">
        <v>#N/A</v>
      </c>
      <c r="BB744" t="e">
        <v>#N/A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80</v>
      </c>
      <c r="BK744" t="n">
        <v>80</v>
      </c>
      <c r="BL744" t="n">
        <v>0</v>
      </c>
    </row>
    <row r="745" hidden="1" outlineLevel="1" s="191">
      <c r="A745" t="n">
        <v>6</v>
      </c>
      <c r="B745" t="inlineStr">
        <is>
          <t>b</t>
        </is>
      </c>
      <c r="C745" t="n">
        <v>1</v>
      </c>
      <c r="D745" t="inlineStr">
        <is>
          <t>_6_b_1</t>
        </is>
      </c>
      <c r="E745" t="inlineStr">
        <is>
          <t>Optymalizacja algorytmów (dopasowanie do zmieniających się warunków operacyjnych)</t>
        </is>
      </c>
      <c r="F745" t="n">
        <v>0</v>
      </c>
      <c r="G745" t="n">
        <v>0</v>
      </c>
      <c r="H745" t="n">
        <v>6</v>
      </c>
      <c r="I745" t="inlineStr">
        <is>
          <t>ACT/END</t>
        </is>
      </c>
      <c r="J745" t="n">
        <v>174</v>
      </c>
      <c r="K745" t="n">
        <v>47415</v>
      </c>
      <c r="L745" t="n">
        <v>47417</v>
      </c>
      <c r="M745" t="n">
        <v>175</v>
      </c>
      <c r="N745" t="n">
        <v>2</v>
      </c>
      <c r="O745" t="n">
        <v>120</v>
      </c>
      <c r="P745" t="n">
        <v>0</v>
      </c>
      <c r="Q745" t="n">
        <v>0.333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0.33</v>
      </c>
      <c r="Z745" t="n">
        <v>0</v>
      </c>
      <c r="AA745" t="n">
        <v>0.33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40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40</v>
      </c>
      <c r="AQ745" t="n">
        <v>0</v>
      </c>
      <c r="AR745" t="n">
        <v>40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40</v>
      </c>
      <c r="AY745" t="n">
        <v>0.25</v>
      </c>
      <c r="AZ745" t="e">
        <v>#N/A</v>
      </c>
      <c r="BA745" t="e">
        <v>#N/A</v>
      </c>
      <c r="BB745" t="e">
        <v>#N/A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120</v>
      </c>
      <c r="BK745" t="n">
        <v>120</v>
      </c>
      <c r="BL745" t="n">
        <v>0</v>
      </c>
    </row>
    <row r="746" hidden="1" outlineLevel="1" s="191">
      <c r="A746" t="n">
        <v>6</v>
      </c>
      <c r="B746" t="inlineStr">
        <is>
          <t>c</t>
        </is>
      </c>
      <c r="C746" t="n">
        <v>1</v>
      </c>
      <c r="D746" t="inlineStr">
        <is>
          <t>_6_c_1</t>
        </is>
      </c>
      <c r="E746" t="inlineStr">
        <is>
          <t>Opracowanie dynamicznych harmonogramów PKZ (aktualne obciążeniu zamówienia, dostępne zasoby)</t>
        </is>
      </c>
      <c r="F746" t="n">
        <v>0</v>
      </c>
      <c r="G746" t="n">
        <v>0</v>
      </c>
      <c r="H746" t="n">
        <v>7</v>
      </c>
      <c r="I746" t="inlineStr">
        <is>
          <t>ACT/END</t>
        </is>
      </c>
      <c r="J746" t="n">
        <v>176</v>
      </c>
      <c r="K746" t="n">
        <v>47429</v>
      </c>
      <c r="L746" t="n">
        <v>47431</v>
      </c>
      <c r="M746" t="n">
        <v>177</v>
      </c>
      <c r="N746" t="n">
        <v>2</v>
      </c>
      <c r="O746" t="n">
        <v>160</v>
      </c>
      <c r="P746" t="n">
        <v>0</v>
      </c>
      <c r="Q746" t="n">
        <v>0.25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0.25</v>
      </c>
      <c r="Z746" t="n">
        <v>0.25</v>
      </c>
      <c r="AA746" t="n">
        <v>0.25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40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40</v>
      </c>
      <c r="AQ746" t="n">
        <v>40</v>
      </c>
      <c r="AR746" t="n">
        <v>40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40</v>
      </c>
      <c r="AY746" t="n">
        <v>0.25</v>
      </c>
      <c r="AZ746" t="e">
        <v>#N/A</v>
      </c>
      <c r="BA746" t="e">
        <v>#N/A</v>
      </c>
      <c r="BB746" t="e">
        <v>#N/A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160</v>
      </c>
      <c r="BK746" t="n">
        <v>160</v>
      </c>
      <c r="BL746" t="n">
        <v>0</v>
      </c>
    </row>
    <row r="747" hidden="1" outlineLevel="1" s="191">
      <c r="A747" t="n">
        <v>6</v>
      </c>
      <c r="B747" t="inlineStr">
        <is>
          <t>d</t>
        </is>
      </c>
      <c r="C747" t="n">
        <v>1</v>
      </c>
      <c r="D747" t="inlineStr">
        <is>
          <t>_6_d_1</t>
        </is>
      </c>
      <c r="E747" t="inlineStr">
        <is>
          <t>Porównanie wyników symulacji. Ocena efektywności czasu kompletacji w zależności od sezonowości, sytuacji nadzwyczajnych, oszczędności</t>
        </is>
      </c>
      <c r="F747" t="n">
        <v>0</v>
      </c>
      <c r="G747" t="n">
        <v>0</v>
      </c>
      <c r="H747" t="n">
        <v>0</v>
      </c>
      <c r="I747" t="inlineStr">
        <is>
          <t>ACT/END</t>
        </is>
      </c>
      <c r="J747" t="n">
        <v>178</v>
      </c>
      <c r="K747" t="n">
        <v>47443</v>
      </c>
      <c r="L747" t="n">
        <v>47446</v>
      </c>
      <c r="M747" t="n">
        <v>180</v>
      </c>
      <c r="N747" t="n">
        <v>3</v>
      </c>
      <c r="O747" t="n">
        <v>120</v>
      </c>
      <c r="P747" t="n">
        <v>0.5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60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60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60</v>
      </c>
      <c r="AY747" t="n">
        <v>0.375</v>
      </c>
      <c r="AZ747" t="e">
        <v>#N/A</v>
      </c>
      <c r="BA747" t="e">
        <v>#N/A</v>
      </c>
      <c r="BB747" t="e">
        <v>#N/A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120</v>
      </c>
      <c r="BK747" t="n">
        <v>120</v>
      </c>
      <c r="BL747" t="n">
        <v>0</v>
      </c>
    </row>
    <row r="748" hidden="1" outlineLevel="1" s="191">
      <c r="A748" t="n">
        <v>6</v>
      </c>
      <c r="B748" t="inlineStr">
        <is>
          <t>e</t>
        </is>
      </c>
      <c r="C748" t="n">
        <v>1</v>
      </c>
      <c r="D748" t="inlineStr">
        <is>
          <t>_6_e_1</t>
        </is>
      </c>
      <c r="E748" t="inlineStr">
        <is>
          <t>Wybór Modelu rekomendującego optymalny sposób rozłożenia towarów, optymalizującego: czas realizacji za-mówień, trasy i czas przejazdu kartonów po przenośnikach, pracę personelu i przepustowości przenośników</t>
        </is>
      </c>
      <c r="F748" t="n">
        <v>0</v>
      </c>
      <c r="G748" t="n">
        <v>0</v>
      </c>
      <c r="H748" t="n">
        <v>4</v>
      </c>
      <c r="I748" t="inlineStr">
        <is>
          <t>ACT/END</t>
        </is>
      </c>
      <c r="J748" t="n">
        <v>181</v>
      </c>
      <c r="K748" t="n">
        <v>47464</v>
      </c>
      <c r="L748" t="n">
        <v>47466</v>
      </c>
      <c r="M748" t="n">
        <v>182</v>
      </c>
      <c r="N748" t="n">
        <v>2</v>
      </c>
      <c r="O748" t="n">
        <v>120</v>
      </c>
      <c r="P748" t="n">
        <v>0</v>
      </c>
      <c r="Q748" t="n">
        <v>0.333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0.333</v>
      </c>
      <c r="Z748" t="n">
        <v>0.333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40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40</v>
      </c>
      <c r="AQ748" t="n">
        <v>40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40</v>
      </c>
      <c r="AY748" t="n">
        <v>0.25</v>
      </c>
      <c r="AZ748" t="e">
        <v>#N/A</v>
      </c>
      <c r="BA748" t="e">
        <v>#N/A</v>
      </c>
      <c r="BB748" t="e">
        <v>#N/A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120</v>
      </c>
      <c r="BK748" t="n">
        <v>120</v>
      </c>
      <c r="BL748" t="n">
        <v>0</v>
      </c>
    </row>
    <row r="749" hidden="1" outlineLevel="1" s="191">
      <c r="A749" t="n">
        <v>7</v>
      </c>
      <c r="B749" t="inlineStr">
        <is>
          <t>a</t>
        </is>
      </c>
      <c r="C749" t="n">
        <v>0</v>
      </c>
      <c r="D749" t="inlineStr">
        <is>
          <t>_7_a_0</t>
        </is>
      </c>
      <c r="E749" t="inlineStr">
        <is>
          <t>7.Walidacja i optymalizacja Modelu</t>
        </is>
      </c>
      <c r="F749" t="n">
        <v>0</v>
      </c>
      <c r="G749" t="n">
        <v>0</v>
      </c>
      <c r="H749" t="n">
        <v>0</v>
      </c>
      <c r="I749" t="n">
        <v>0</v>
      </c>
      <c r="J749" t="n">
        <v>183</v>
      </c>
      <c r="K749" t="n">
        <v>47478</v>
      </c>
      <c r="L749" t="n">
        <v>47478</v>
      </c>
      <c r="M749" t="n">
        <v>182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</row>
    <row r="750" hidden="1" outlineLevel="1" s="191">
      <c r="A750" t="n">
        <v>7</v>
      </c>
      <c r="B750" t="inlineStr">
        <is>
          <t>a</t>
        </is>
      </c>
      <c r="C750" t="n">
        <v>1</v>
      </c>
      <c r="D750" t="inlineStr">
        <is>
          <t>_7_a_1</t>
        </is>
      </c>
      <c r="E750" t="inlineStr">
        <is>
          <t>Przeprowadzenie testów (np. krzyżowa walidacja, na nowych danych) w warunkach zbliżonych do rzeczywi-stych</t>
        </is>
      </c>
      <c r="F750" t="n">
        <v>0</v>
      </c>
      <c r="G750" t="n">
        <v>0</v>
      </c>
      <c r="H750" t="n">
        <v>0</v>
      </c>
      <c r="I750" t="inlineStr">
        <is>
          <t>ACT</t>
        </is>
      </c>
      <c r="J750" t="n">
        <v>183</v>
      </c>
      <c r="K750" t="n">
        <v>47478</v>
      </c>
      <c r="L750" t="n">
        <v>47480</v>
      </c>
      <c r="M750" t="n">
        <v>184</v>
      </c>
      <c r="N750" t="n">
        <v>2</v>
      </c>
      <c r="O750" t="n">
        <v>160</v>
      </c>
      <c r="P750" t="n">
        <v>0.25</v>
      </c>
      <c r="Q750" t="n">
        <v>0.25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0.25</v>
      </c>
      <c r="AA750" t="n">
        <v>0</v>
      </c>
      <c r="AB750" t="n">
        <v>0.25</v>
      </c>
      <c r="AC750" t="n">
        <v>0</v>
      </c>
      <c r="AD750" t="n">
        <v>0</v>
      </c>
      <c r="AE750" t="n">
        <v>0</v>
      </c>
      <c r="AF750" t="n">
        <v>0</v>
      </c>
      <c r="AG750" t="n">
        <v>40</v>
      </c>
      <c r="AH750" t="n">
        <v>40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40</v>
      </c>
      <c r="AR750" t="n">
        <v>0</v>
      </c>
      <c r="AS750" t="n">
        <v>40</v>
      </c>
      <c r="AT750" t="n">
        <v>0</v>
      </c>
      <c r="AU750" t="n">
        <v>0</v>
      </c>
      <c r="AV750" t="n">
        <v>0</v>
      </c>
      <c r="AW750" t="n">
        <v>0</v>
      </c>
      <c r="AX750" t="n">
        <v>80</v>
      </c>
      <c r="AY750" t="n">
        <v>0.5</v>
      </c>
      <c r="AZ750" t="e">
        <v>#N/A</v>
      </c>
      <c r="BA750" t="e">
        <v>#N/A</v>
      </c>
      <c r="BB750" t="e">
        <v>#N/A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160</v>
      </c>
      <c r="BK750" t="n">
        <v>160</v>
      </c>
      <c r="BL750" t="n">
        <v>0</v>
      </c>
    </row>
    <row r="751" hidden="1" outlineLevel="1" s="191">
      <c r="A751" t="n">
        <v>7</v>
      </c>
      <c r="B751" t="inlineStr">
        <is>
          <t>b</t>
        </is>
      </c>
      <c r="C751" t="n">
        <v>1</v>
      </c>
      <c r="D751" t="inlineStr">
        <is>
          <t>_7_b_1</t>
        </is>
      </c>
      <c r="E751" t="inlineStr">
        <is>
          <t>Monitorowanie i porównanie wyników Modelu z danymi operacyjnymi, ocena dokładności prognoz i skutecz-ności optymalizacji</t>
        </is>
      </c>
      <c r="F751" t="n">
        <v>0</v>
      </c>
      <c r="G751" t="n">
        <v>0</v>
      </c>
      <c r="H751" t="n">
        <v>11</v>
      </c>
      <c r="I751" t="inlineStr">
        <is>
          <t>ACT</t>
        </is>
      </c>
      <c r="J751" t="n">
        <v>185</v>
      </c>
      <c r="K751" t="n">
        <v>47492</v>
      </c>
      <c r="L751" t="n">
        <v>47494</v>
      </c>
      <c r="M751" t="n">
        <v>186</v>
      </c>
      <c r="N751" t="n">
        <v>2</v>
      </c>
      <c r="O751" t="n">
        <v>120</v>
      </c>
      <c r="P751" t="n">
        <v>0.333</v>
      </c>
      <c r="Q751" t="n">
        <v>0.33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0.33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40</v>
      </c>
      <c r="AH751" t="n">
        <v>40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40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80</v>
      </c>
      <c r="AY751" t="n">
        <v>0.5</v>
      </c>
      <c r="AZ751" t="e">
        <v>#N/A</v>
      </c>
      <c r="BA751" t="e">
        <v>#N/A</v>
      </c>
      <c r="BB751" t="e">
        <v>#N/A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120</v>
      </c>
      <c r="BK751" t="n">
        <v>120</v>
      </c>
      <c r="BL751" t="n">
        <v>0</v>
      </c>
    </row>
    <row r="752" hidden="1" outlineLevel="1" s="191">
      <c r="A752" t="n">
        <v>7</v>
      </c>
      <c r="B752" t="inlineStr">
        <is>
          <t>c</t>
        </is>
      </c>
      <c r="C752" t="n">
        <v>1</v>
      </c>
      <c r="D752" t="inlineStr">
        <is>
          <t>_7_c_1</t>
        </is>
      </c>
      <c r="E752" t="inlineStr">
        <is>
          <t>Iteracyjne kalibracje (dopasowanie Modelu do wybranych procesów rzeczywistych [na niewielką skalę], do-stosowanie parametrów Modelu i wybór najlepszych algorytmów z przeprowadzonych testów)</t>
        </is>
      </c>
      <c r="F752" t="n">
        <v>0</v>
      </c>
      <c r="G752" t="n">
        <v>0</v>
      </c>
      <c r="H752" t="n">
        <v>12</v>
      </c>
      <c r="I752" t="inlineStr">
        <is>
          <t>END/ACT</t>
        </is>
      </c>
      <c r="J752" t="n">
        <v>187</v>
      </c>
      <c r="K752" t="n">
        <v>47506</v>
      </c>
      <c r="L752" t="n">
        <v>47508</v>
      </c>
      <c r="M752" t="n">
        <v>188</v>
      </c>
      <c r="N752" t="n">
        <v>2</v>
      </c>
      <c r="O752" t="n">
        <v>160</v>
      </c>
      <c r="P752" t="n">
        <v>0</v>
      </c>
      <c r="Q752" t="n">
        <v>0.25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0.25</v>
      </c>
      <c r="Z752" t="n">
        <v>0.25</v>
      </c>
      <c r="AA752" t="n">
        <v>0.25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40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40</v>
      </c>
      <c r="AQ752" t="n">
        <v>40</v>
      </c>
      <c r="AR752" t="n">
        <v>40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40</v>
      </c>
      <c r="AY752" t="n">
        <v>0.25</v>
      </c>
      <c r="AZ752" t="e">
        <v>#N/A</v>
      </c>
      <c r="BA752" t="e">
        <v>#N/A</v>
      </c>
      <c r="BB752" t="e">
        <v>#N/A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160</v>
      </c>
      <c r="BK752" t="n">
        <v>160</v>
      </c>
      <c r="BL752" t="n">
        <v>0</v>
      </c>
    </row>
    <row r="753" hidden="1" outlineLevel="1" s="191">
      <c r="A753" t="n">
        <v>8</v>
      </c>
      <c r="B753" t="inlineStr">
        <is>
          <t>a</t>
        </is>
      </c>
      <c r="C753" t="n">
        <v>0</v>
      </c>
      <c r="D753" t="inlineStr">
        <is>
          <t>_8_a_0</t>
        </is>
      </c>
      <c r="E753" t="inlineStr">
        <is>
          <t>8.Optymalizacja kosztów i zasobów. Analiza modeli AI/ML w celu optymalizacji:</t>
        </is>
      </c>
      <c r="F753" t="n">
        <v>0</v>
      </c>
      <c r="G753" t="n">
        <v>0</v>
      </c>
      <c r="H753" t="n">
        <v>0</v>
      </c>
      <c r="I753" t="n">
        <v>0</v>
      </c>
      <c r="J753" t="n">
        <v>189</v>
      </c>
      <c r="K753" t="n">
        <v>47520</v>
      </c>
      <c r="L753" t="n">
        <v>47520</v>
      </c>
      <c r="M753" t="n">
        <v>188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</row>
    <row r="754" hidden="1" outlineLevel="1" s="191">
      <c r="A754" t="n">
        <v>8</v>
      </c>
      <c r="B754" t="inlineStr">
        <is>
          <t>a</t>
        </is>
      </c>
      <c r="C754" t="n">
        <v>1</v>
      </c>
      <c r="D754" t="inlineStr">
        <is>
          <t>_8_a_1</t>
        </is>
      </c>
      <c r="E754" t="inlineStr">
        <is>
          <t>kosztów operacyjnych</t>
        </is>
      </c>
      <c r="F754" t="n">
        <v>0</v>
      </c>
      <c r="G754" t="n">
        <v>0</v>
      </c>
      <c r="H754" t="n">
        <v>10</v>
      </c>
      <c r="I754" t="inlineStr">
        <is>
          <t>ACT</t>
        </is>
      </c>
      <c r="J754" t="n">
        <v>189</v>
      </c>
      <c r="K754" t="n">
        <v>47520</v>
      </c>
      <c r="L754" t="n">
        <v>47526</v>
      </c>
      <c r="M754" t="n">
        <v>194</v>
      </c>
      <c r="N754" t="n">
        <v>6</v>
      </c>
      <c r="O754" t="n">
        <v>120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120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120</v>
      </c>
      <c r="AY754" t="n">
        <v>0.75</v>
      </c>
      <c r="AZ754" t="e">
        <v>#N/A</v>
      </c>
      <c r="BA754" t="e">
        <v>#N/A</v>
      </c>
      <c r="BB754" t="e">
        <v>#N/A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120</v>
      </c>
      <c r="BK754" t="n">
        <v>120</v>
      </c>
      <c r="BL754" t="n">
        <v>0</v>
      </c>
    </row>
    <row r="755" hidden="1" outlineLevel="1" s="191">
      <c r="A755" t="n">
        <v>8</v>
      </c>
      <c r="B755" t="inlineStr">
        <is>
          <t>b</t>
        </is>
      </c>
      <c r="C755" t="n">
        <v>1</v>
      </c>
      <c r="D755" t="inlineStr">
        <is>
          <t>_8_b_1</t>
        </is>
      </c>
      <c r="E755" t="inlineStr">
        <is>
          <t>czasu i efektywności PKZ</t>
        </is>
      </c>
      <c r="F755" t="n">
        <v>0</v>
      </c>
      <c r="G755" t="n">
        <v>0</v>
      </c>
      <c r="H755" t="n">
        <v>10</v>
      </c>
      <c r="I755" t="inlineStr">
        <is>
          <t>ACT</t>
        </is>
      </c>
      <c r="J755" t="n">
        <v>195</v>
      </c>
      <c r="K755" t="n">
        <v>47562</v>
      </c>
      <c r="L755" t="n">
        <v>47562</v>
      </c>
      <c r="M755" t="n">
        <v>194</v>
      </c>
      <c r="N755" t="n">
        <v>0</v>
      </c>
      <c r="O755" t="n">
        <v>120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120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120</v>
      </c>
      <c r="AY755" t="n">
        <v>0.75</v>
      </c>
      <c r="AZ755" t="e">
        <v>#N/A</v>
      </c>
      <c r="BA755" t="e">
        <v>#N/A</v>
      </c>
      <c r="BB755" t="e">
        <v>#N/A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120</v>
      </c>
      <c r="BK755" t="n">
        <v>120</v>
      </c>
      <c r="BL755" t="n">
        <v>0</v>
      </c>
    </row>
    <row r="756" hidden="1" outlineLevel="1" s="191">
      <c r="A756" t="n">
        <v>8</v>
      </c>
      <c r="B756" t="inlineStr">
        <is>
          <t>c</t>
        </is>
      </c>
      <c r="C756" t="n">
        <v>1</v>
      </c>
      <c r="D756" t="inlineStr">
        <is>
          <t>_8_c_1</t>
        </is>
      </c>
      <c r="E756" t="inlineStr">
        <is>
          <t>efektywności pracy pracowników</t>
        </is>
      </c>
      <c r="F756" t="n">
        <v>0</v>
      </c>
      <c r="G756" t="n">
        <v>0</v>
      </c>
      <c r="H756" t="n">
        <v>10</v>
      </c>
      <c r="I756" t="inlineStr">
        <is>
          <t>ACT</t>
        </is>
      </c>
      <c r="J756" t="n">
        <v>195</v>
      </c>
      <c r="K756" t="n">
        <v>47562</v>
      </c>
      <c r="L756" t="n">
        <v>47562</v>
      </c>
      <c r="M756" t="n">
        <v>194</v>
      </c>
      <c r="N756" t="n">
        <v>0</v>
      </c>
      <c r="O756" t="n">
        <v>120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120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120</v>
      </c>
      <c r="AY756" t="n">
        <v>0.75</v>
      </c>
      <c r="AZ756" t="e">
        <v>#N/A</v>
      </c>
      <c r="BA756" t="e">
        <v>#N/A</v>
      </c>
      <c r="BB756" t="e">
        <v>#N/A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120</v>
      </c>
      <c r="BK756" t="n">
        <v>120</v>
      </c>
      <c r="BL756" t="n">
        <v>0</v>
      </c>
    </row>
    <row r="757" hidden="1" outlineLevel="1" s="191">
      <c r="A757" t="n">
        <v>8</v>
      </c>
      <c r="B757" t="inlineStr">
        <is>
          <t>d</t>
        </is>
      </c>
      <c r="C757" t="n">
        <v>1</v>
      </c>
      <c r="D757" t="inlineStr">
        <is>
          <t>_8_d_1</t>
        </is>
      </c>
      <c r="E757" t="inlineStr">
        <is>
          <t>zarządzania zasobami ludzkimi</t>
        </is>
      </c>
      <c r="F757" t="n">
        <v>0</v>
      </c>
      <c r="G757" t="n">
        <v>0</v>
      </c>
      <c r="H757" t="n">
        <v>10</v>
      </c>
      <c r="I757" t="inlineStr">
        <is>
          <t>ACT</t>
        </is>
      </c>
      <c r="J757" t="n">
        <v>195</v>
      </c>
      <c r="K757" t="n">
        <v>47562</v>
      </c>
      <c r="L757" t="n">
        <v>47562</v>
      </c>
      <c r="M757" t="n">
        <v>194</v>
      </c>
      <c r="N757" t="n">
        <v>0</v>
      </c>
      <c r="O757" t="n">
        <v>120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120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120</v>
      </c>
      <c r="AY757" t="n">
        <v>0.75</v>
      </c>
      <c r="AZ757" t="e">
        <v>#N/A</v>
      </c>
      <c r="BA757" t="e">
        <v>#N/A</v>
      </c>
      <c r="BB757" t="e">
        <v>#N/A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120</v>
      </c>
      <c r="BK757" t="n">
        <v>120</v>
      </c>
      <c r="BL757" t="n">
        <v>0</v>
      </c>
    </row>
    <row r="758" hidden="1" outlineLevel="1" s="191">
      <c r="A758" t="n">
        <v>8</v>
      </c>
      <c r="B758" t="inlineStr">
        <is>
          <t>e</t>
        </is>
      </c>
      <c r="C758" t="n">
        <v>1</v>
      </c>
      <c r="D758" t="inlineStr">
        <is>
          <t>_8_e_1</t>
        </is>
      </c>
      <c r="E758" t="inlineStr">
        <is>
          <t>rozmieszczenia towarów w SK</t>
        </is>
      </c>
      <c r="F758" t="n">
        <v>0</v>
      </c>
      <c r="G758" t="n">
        <v>0</v>
      </c>
      <c r="H758" t="n">
        <v>10</v>
      </c>
      <c r="I758" t="inlineStr">
        <is>
          <t>ACT</t>
        </is>
      </c>
      <c r="J758" t="n">
        <v>195</v>
      </c>
      <c r="K758" t="n">
        <v>47562</v>
      </c>
      <c r="L758" t="n">
        <v>47568</v>
      </c>
      <c r="M758" t="n">
        <v>200</v>
      </c>
      <c r="N758" t="n">
        <v>6</v>
      </c>
      <c r="O758" t="n">
        <v>120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120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120</v>
      </c>
      <c r="AY758" t="n">
        <v>0.75</v>
      </c>
      <c r="AZ758" t="e">
        <v>#N/A</v>
      </c>
      <c r="BA758" t="e">
        <v>#N/A</v>
      </c>
      <c r="BB758" t="e">
        <v>#N/A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e">
        <v>#REF!</v>
      </c>
      <c r="BI758" t="n">
        <v>0</v>
      </c>
      <c r="BJ758" t="n">
        <v>120</v>
      </c>
      <c r="BK758" t="n">
        <v>120</v>
      </c>
      <c r="BL758" t="n">
        <v>0</v>
      </c>
    </row>
    <row r="759" hidden="1" outlineLevel="1" s="191">
      <c r="A759" t="n">
        <v>8</v>
      </c>
      <c r="B759" t="inlineStr">
        <is>
          <t>f</t>
        </is>
      </c>
      <c r="C759" t="n">
        <v>1</v>
      </c>
      <c r="D759" t="inlineStr">
        <is>
          <t>_8_f_1</t>
        </is>
      </c>
      <c r="E759" t="inlineStr">
        <is>
          <t>zużycia energii przez inteligentne zarządzanie przenośnikami i ruchem kartonów</t>
        </is>
      </c>
      <c r="F759" t="n">
        <v>0</v>
      </c>
      <c r="G759" t="n">
        <v>0</v>
      </c>
      <c r="H759" t="n">
        <v>10</v>
      </c>
      <c r="I759" t="inlineStr">
        <is>
          <t>ACT</t>
        </is>
      </c>
      <c r="J759" t="n">
        <v>201</v>
      </c>
      <c r="K759" t="n">
        <v>47604</v>
      </c>
      <c r="L759" t="n">
        <v>47604</v>
      </c>
      <c r="M759" t="n">
        <v>200</v>
      </c>
      <c r="N759" t="n">
        <v>0</v>
      </c>
      <c r="O759" t="n">
        <v>120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120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120</v>
      </c>
      <c r="AY759" t="n">
        <v>0.75</v>
      </c>
      <c r="AZ759" t="e">
        <v>#N/A</v>
      </c>
      <c r="BA759" t="e">
        <v>#N/A</v>
      </c>
      <c r="BB759" t="e">
        <v>#N/A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120</v>
      </c>
      <c r="BK759" t="n">
        <v>120</v>
      </c>
      <c r="BL759" t="n">
        <v>0</v>
      </c>
    </row>
    <row r="760" hidden="1" outlineLevel="1" s="191">
      <c r="A760" t="n">
        <v>9</v>
      </c>
      <c r="B760" t="inlineStr">
        <is>
          <t>a</t>
        </is>
      </c>
      <c r="C760" t="n">
        <v>0</v>
      </c>
      <c r="D760" t="inlineStr">
        <is>
          <t>_9_a_0</t>
        </is>
      </c>
      <c r="E760" t="inlineStr">
        <is>
          <t xml:space="preserve">9.Zarządzanie bezpieczeństwem i niezawodnością systemu. Opracowanie mechanizmów/narzędzi: </t>
        </is>
      </c>
      <c r="F760" t="n">
        <v>0</v>
      </c>
      <c r="G760" t="n">
        <v>0</v>
      </c>
      <c r="H760" t="n">
        <v>0</v>
      </c>
      <c r="I760" t="n">
        <v>0</v>
      </c>
      <c r="J760" t="n">
        <v>201</v>
      </c>
      <c r="K760" t="n">
        <v>47604</v>
      </c>
      <c r="L760" t="n">
        <v>47604</v>
      </c>
      <c r="M760" t="n">
        <v>200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</row>
    <row r="761" hidden="1" outlineLevel="1" s="191">
      <c r="A761" t="n">
        <v>9</v>
      </c>
      <c r="B761" t="inlineStr">
        <is>
          <t>a</t>
        </is>
      </c>
      <c r="C761" t="n">
        <v>1</v>
      </c>
      <c r="D761" t="inlineStr">
        <is>
          <t>_9_a_1</t>
        </is>
      </c>
      <c r="E761" t="inlineStr">
        <is>
          <t xml:space="preserve">zabezpieczenia danych procesowanych przez CB i AI/ML przed cyberatakami  </t>
        </is>
      </c>
      <c r="F761" t="n">
        <v>0</v>
      </c>
      <c r="G761" t="n">
        <v>0</v>
      </c>
      <c r="H761" t="n">
        <v>8</v>
      </c>
      <c r="I761" t="inlineStr">
        <is>
          <t>ACT</t>
        </is>
      </c>
      <c r="J761" t="n">
        <v>201</v>
      </c>
      <c r="K761" t="n">
        <v>47604</v>
      </c>
      <c r="L761" t="n">
        <v>47606</v>
      </c>
      <c r="M761" t="n">
        <v>202</v>
      </c>
      <c r="N761" t="n">
        <v>2</v>
      </c>
      <c r="O761" t="n">
        <v>120</v>
      </c>
      <c r="P761" t="n">
        <v>0.333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0.666</v>
      </c>
      <c r="AC761" t="n">
        <v>0</v>
      </c>
      <c r="AD761" t="n">
        <v>0</v>
      </c>
      <c r="AE761" t="n">
        <v>0</v>
      </c>
      <c r="AF761" t="n">
        <v>0</v>
      </c>
      <c r="AG761" t="n">
        <v>40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80</v>
      </c>
      <c r="AT761" t="n">
        <v>0</v>
      </c>
      <c r="AU761" t="n">
        <v>0</v>
      </c>
      <c r="AV761" t="n">
        <v>0</v>
      </c>
      <c r="AW761" t="n">
        <v>0</v>
      </c>
      <c r="AX761" t="n">
        <v>40</v>
      </c>
      <c r="AY761" t="n">
        <v>0.25</v>
      </c>
      <c r="AZ761" t="e">
        <v>#N/A</v>
      </c>
      <c r="BA761" t="e">
        <v>#N/A</v>
      </c>
      <c r="BB761" t="e">
        <v>#N/A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120</v>
      </c>
      <c r="BK761" t="n">
        <v>120</v>
      </c>
      <c r="BL761" t="n">
        <v>0</v>
      </c>
    </row>
    <row r="762" hidden="1" outlineLevel="1" s="191">
      <c r="A762" t="n">
        <v>9</v>
      </c>
      <c r="B762" t="inlineStr">
        <is>
          <t>b</t>
        </is>
      </c>
      <c r="C762" t="n">
        <v>1</v>
      </c>
      <c r="D762" t="inlineStr">
        <is>
          <t>_9_b_1</t>
        </is>
      </c>
      <c r="E762" t="inlineStr">
        <is>
          <t>monitorowania wydajności i niezawodności CB oraz algorytmów AI/ML, testy awaryjne</t>
        </is>
      </c>
      <c r="F762" t="n">
        <v>0</v>
      </c>
      <c r="G762" t="n">
        <v>0</v>
      </c>
      <c r="H762" t="n">
        <v>9</v>
      </c>
      <c r="I762" t="inlineStr">
        <is>
          <t>ACT</t>
        </is>
      </c>
      <c r="J762" t="n">
        <v>203</v>
      </c>
      <c r="K762" t="n">
        <v>47618</v>
      </c>
      <c r="L762" t="n">
        <v>47620</v>
      </c>
      <c r="M762" t="n">
        <v>204</v>
      </c>
      <c r="N762" t="n">
        <v>2</v>
      </c>
      <c r="O762" t="n">
        <v>80</v>
      </c>
      <c r="P762" t="n">
        <v>0</v>
      </c>
      <c r="Q762" t="n">
        <v>0.5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0.5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40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40</v>
      </c>
      <c r="AT762" t="n">
        <v>0</v>
      </c>
      <c r="AU762" t="n">
        <v>0</v>
      </c>
      <c r="AV762" t="n">
        <v>0</v>
      </c>
      <c r="AW762" t="n">
        <v>0</v>
      </c>
      <c r="AX762" t="n">
        <v>40</v>
      </c>
      <c r="AY762" t="n">
        <v>0.25</v>
      </c>
      <c r="AZ762" t="e">
        <v>#N/A</v>
      </c>
      <c r="BA762" t="e">
        <v>#N/A</v>
      </c>
      <c r="BB762" t="e">
        <v>#N/A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80</v>
      </c>
      <c r="BK762" t="n">
        <v>80</v>
      </c>
      <c r="BL762" t="n">
        <v>0</v>
      </c>
    </row>
    <row r="763" hidden="1" outlineLevel="1" s="191">
      <c r="A763" t="n">
        <v>9</v>
      </c>
      <c r="B763" t="inlineStr">
        <is>
          <t>c</t>
        </is>
      </c>
      <c r="C763" t="n">
        <v>1</v>
      </c>
      <c r="D763" t="inlineStr">
        <is>
          <t>_9_c_1</t>
        </is>
      </c>
      <c r="E763" t="inlineStr">
        <is>
          <t>zabezpieczenia systemów AI/ML (np. zgodność działania z założeniami, odporność na błędy, redundancja za-pobiegająca zakłóceniom PKZ)</t>
        </is>
      </c>
      <c r="F763" t="n">
        <v>0</v>
      </c>
      <c r="G763" t="n">
        <v>0</v>
      </c>
      <c r="H763" t="n">
        <v>9</v>
      </c>
      <c r="I763" t="inlineStr">
        <is>
          <t>END/ACT</t>
        </is>
      </c>
      <c r="J763" t="n">
        <v>205</v>
      </c>
      <c r="K763" t="n">
        <v>47632</v>
      </c>
      <c r="L763" t="n">
        <v>47634</v>
      </c>
      <c r="M763" t="n">
        <v>206</v>
      </c>
      <c r="N763" t="n">
        <v>2</v>
      </c>
      <c r="O763" t="n">
        <v>120</v>
      </c>
      <c r="P763" t="n">
        <v>0.333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0.663</v>
      </c>
      <c r="AC763" t="n">
        <v>0</v>
      </c>
      <c r="AD763" t="n">
        <v>0</v>
      </c>
      <c r="AE763" t="n">
        <v>0</v>
      </c>
      <c r="AF763" t="n">
        <v>0</v>
      </c>
      <c r="AG763" t="n">
        <v>40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80</v>
      </c>
      <c r="AT763" t="n">
        <v>0</v>
      </c>
      <c r="AU763" t="n">
        <v>0</v>
      </c>
      <c r="AV763" t="n">
        <v>0</v>
      </c>
      <c r="AW763" t="n">
        <v>0</v>
      </c>
      <c r="AX763" t="n">
        <v>40</v>
      </c>
      <c r="AY763" t="n">
        <v>0.25</v>
      </c>
      <c r="AZ763" t="e">
        <v>#N/A</v>
      </c>
      <c r="BA763" t="e">
        <v>#N/A</v>
      </c>
      <c r="BB763" t="e">
        <v>#N/A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120</v>
      </c>
      <c r="BK763" t="n">
        <v>120</v>
      </c>
      <c r="BL763" t="n">
        <v>0</v>
      </c>
    </row>
    <row r="764" hidden="1" outlineLevel="1" s="191">
      <c r="A764" t="n">
        <v>9</v>
      </c>
      <c r="B764" t="inlineStr">
        <is>
          <t>d</t>
        </is>
      </c>
      <c r="C764" t="n">
        <v>1</v>
      </c>
      <c r="D764" t="inlineStr">
        <is>
          <t>_9_d_1</t>
        </is>
      </c>
      <c r="E764" t="inlineStr">
        <is>
          <t>gwarancja bezpieczeństwa współpracy ludzi z przenośnikami i systemami automatycznymi</t>
        </is>
      </c>
      <c r="F764" t="n">
        <v>0</v>
      </c>
      <c r="G764" t="n">
        <v>0</v>
      </c>
      <c r="H764" t="n">
        <v>9</v>
      </c>
      <c r="I764" t="inlineStr">
        <is>
          <t>ACT</t>
        </is>
      </c>
      <c r="J764" t="n">
        <v>207</v>
      </c>
      <c r="K764" t="n">
        <v>47646</v>
      </c>
      <c r="L764" t="n">
        <v>47650</v>
      </c>
      <c r="M764" t="n">
        <v>210</v>
      </c>
      <c r="N764" t="n">
        <v>4</v>
      </c>
      <c r="O764" t="n">
        <v>160</v>
      </c>
      <c r="P764" t="n">
        <v>0</v>
      </c>
      <c r="Q764" t="n">
        <v>0</v>
      </c>
      <c r="R764" t="n">
        <v>0.5</v>
      </c>
      <c r="S764" t="n">
        <v>0.5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80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160</v>
      </c>
      <c r="AY764" t="n">
        <v>1</v>
      </c>
      <c r="AZ764" t="e">
        <v>#N/A</v>
      </c>
      <c r="BA764" t="e">
        <v>#N/A</v>
      </c>
      <c r="BB764" t="e">
        <v>#N/A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160</v>
      </c>
      <c r="BK764" t="n">
        <v>160</v>
      </c>
      <c r="BL764" t="n">
        <v>0</v>
      </c>
    </row>
    <row r="765" hidden="1" outlineLevel="1" s="191">
      <c r="A765" t="n">
        <v>9</v>
      </c>
      <c r="B765" t="inlineStr">
        <is>
          <t>e</t>
        </is>
      </c>
      <c r="C765" t="n">
        <v>1</v>
      </c>
      <c r="D765" t="inlineStr">
        <is>
          <t>_9_e_1</t>
        </is>
      </c>
      <c r="E765" t="inlineStr">
        <is>
          <t>automatyzacji procesu aktualizacji modelu (procesy CI/CD)</t>
        </is>
      </c>
      <c r="F765" t="n">
        <v>0</v>
      </c>
      <c r="G765" t="n">
        <v>0</v>
      </c>
      <c r="H765" t="n">
        <v>10</v>
      </c>
      <c r="I765" t="inlineStr">
        <is>
          <t>END</t>
        </is>
      </c>
      <c r="J765" t="n">
        <v>211</v>
      </c>
      <c r="K765" t="n">
        <v>47674</v>
      </c>
      <c r="L765" t="n">
        <v>47676</v>
      </c>
      <c r="M765" t="n">
        <v>212</v>
      </c>
      <c r="N765" t="n">
        <v>2</v>
      </c>
      <c r="O765" t="n">
        <v>160</v>
      </c>
      <c r="P765" t="n">
        <v>0</v>
      </c>
      <c r="Q765" t="n">
        <v>0.25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0.75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40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120</v>
      </c>
      <c r="AT765" t="n">
        <v>0</v>
      </c>
      <c r="AU765" t="n">
        <v>0</v>
      </c>
      <c r="AV765" t="n">
        <v>0</v>
      </c>
      <c r="AW765" t="n">
        <v>0</v>
      </c>
      <c r="AX765" t="n">
        <v>40</v>
      </c>
      <c r="AY765" t="n">
        <v>0.25</v>
      </c>
      <c r="AZ765" t="e">
        <v>#N/A</v>
      </c>
      <c r="BA765" t="e">
        <v>#N/A</v>
      </c>
      <c r="BB765" t="e">
        <v>#N/A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160</v>
      </c>
      <c r="BK765" t="n">
        <v>160</v>
      </c>
      <c r="BL765" t="n">
        <v>0</v>
      </c>
    </row>
    <row r="766" hidden="1" outlineLevel="1" s="191">
      <c r="A766" t="n">
        <v>10</v>
      </c>
      <c r="B766" t="inlineStr">
        <is>
          <t>a</t>
        </is>
      </c>
      <c r="C766" t="n">
        <v>0</v>
      </c>
      <c r="D766" t="inlineStr">
        <is>
          <t>_10_a_0</t>
        </is>
      </c>
      <c r="E766" t="inlineStr">
        <is>
          <t>10.Raportowanie i analizy</t>
        </is>
      </c>
      <c r="F766" t="n">
        <v>0</v>
      </c>
      <c r="G766" t="n">
        <v>0</v>
      </c>
      <c r="H766" t="n">
        <v>0</v>
      </c>
      <c r="I766" t="n">
        <v>0</v>
      </c>
      <c r="J766" t="n">
        <v>213</v>
      </c>
      <c r="K766" t="n">
        <v>47688</v>
      </c>
      <c r="L766" t="n">
        <v>47688</v>
      </c>
      <c r="M766" t="n">
        <v>212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</row>
    <row r="767" hidden="1" outlineLevel="1" s="191">
      <c r="A767" t="n">
        <v>10</v>
      </c>
      <c r="B767" t="inlineStr">
        <is>
          <t>a</t>
        </is>
      </c>
      <c r="C767" t="n">
        <v>1</v>
      </c>
      <c r="D767" t="inlineStr">
        <is>
          <t>_10_a_1</t>
        </is>
      </c>
      <c r="E767" t="inlineStr">
        <is>
          <t>Przygotowywanie regularnych raportów dotyczących efektywności modelu i jego wpływu na PKZ</t>
        </is>
      </c>
      <c r="F767" t="n">
        <v>0</v>
      </c>
      <c r="G767" t="n">
        <v>0</v>
      </c>
      <c r="H767" t="n">
        <v>8</v>
      </c>
      <c r="I767" t="inlineStr">
        <is>
          <t>END/ACT</t>
        </is>
      </c>
      <c r="J767" t="n">
        <v>213</v>
      </c>
      <c r="K767" t="n">
        <v>47688</v>
      </c>
      <c r="L767" t="n">
        <v>47690</v>
      </c>
      <c r="M767" t="n">
        <v>214</v>
      </c>
      <c r="N767" t="n">
        <v>2</v>
      </c>
      <c r="O767" t="n">
        <v>120</v>
      </c>
      <c r="P767" t="n">
        <v>0.333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0.663</v>
      </c>
      <c r="AC767" t="n">
        <v>0</v>
      </c>
      <c r="AD767" t="n">
        <v>0</v>
      </c>
      <c r="AE767" t="n">
        <v>0</v>
      </c>
      <c r="AF767" t="n">
        <v>0</v>
      </c>
      <c r="AG767" t="n">
        <v>40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80</v>
      </c>
      <c r="AT767" t="n">
        <v>0</v>
      </c>
      <c r="AU767" t="n">
        <v>0</v>
      </c>
      <c r="AV767" t="n">
        <v>0</v>
      </c>
      <c r="AW767" t="n">
        <v>0</v>
      </c>
      <c r="AX767" t="n">
        <v>40</v>
      </c>
      <c r="AY767" t="n">
        <v>0.25</v>
      </c>
      <c r="AZ767" t="e">
        <v>#N/A</v>
      </c>
      <c r="BA767" t="e">
        <v>#N/A</v>
      </c>
      <c r="BB767" t="e">
        <v>#N/A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120</v>
      </c>
      <c r="BK767" t="n">
        <v>120</v>
      </c>
      <c r="BL767" t="n">
        <v>0</v>
      </c>
    </row>
    <row r="768" hidden="1" outlineLevel="1" s="191">
      <c r="A768" t="n">
        <v>10</v>
      </c>
      <c r="B768" t="inlineStr">
        <is>
          <t>b</t>
        </is>
      </c>
      <c r="C768" t="n">
        <v>1</v>
      </c>
      <c r="D768" t="inlineStr">
        <is>
          <t>_10_b_1</t>
        </is>
      </c>
      <c r="E768" t="inlineStr">
        <is>
          <t>Analizowanie wyników działania Modelu i ich wpływu na KPI</t>
        </is>
      </c>
      <c r="F768" t="n">
        <v>0</v>
      </c>
      <c r="G768" t="n">
        <v>0</v>
      </c>
      <c r="H768" t="n">
        <v>8</v>
      </c>
      <c r="I768" t="inlineStr">
        <is>
          <t>ACT</t>
        </is>
      </c>
      <c r="J768" t="n">
        <v>215</v>
      </c>
      <c r="K768" t="n">
        <v>47702</v>
      </c>
      <c r="L768" t="n">
        <v>47704</v>
      </c>
      <c r="M768" t="n">
        <v>216</v>
      </c>
      <c r="N768" t="n">
        <v>2</v>
      </c>
      <c r="O768" t="n">
        <v>120</v>
      </c>
      <c r="P768" t="n">
        <v>0</v>
      </c>
      <c r="Q768" t="n">
        <v>0.333</v>
      </c>
      <c r="R768" t="n">
        <v>0.333</v>
      </c>
      <c r="S768" t="n">
        <v>0.333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40</v>
      </c>
      <c r="AI768" t="n">
        <v>40</v>
      </c>
      <c r="AJ768" t="n">
        <v>40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120</v>
      </c>
      <c r="AY768" t="n">
        <v>0.75</v>
      </c>
      <c r="AZ768" t="e">
        <v>#N/A</v>
      </c>
      <c r="BA768" t="e">
        <v>#N/A</v>
      </c>
      <c r="BB768" t="e">
        <v>#N/A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120</v>
      </c>
      <c r="BK768" t="n">
        <v>120</v>
      </c>
      <c r="BL768" t="n">
        <v>0</v>
      </c>
    </row>
    <row r="769" hidden="1" outlineLevel="1" s="191">
      <c r="A769" t="n">
        <v>11</v>
      </c>
      <c r="B769" t="inlineStr">
        <is>
          <t>a</t>
        </is>
      </c>
      <c r="C769" t="n">
        <v>0</v>
      </c>
      <c r="D769" t="inlineStr">
        <is>
          <t>_11_a_0</t>
        </is>
      </c>
      <c r="E769" t="inlineStr">
        <is>
          <t xml:space="preserve">11.Monitorowanie </t>
        </is>
      </c>
      <c r="F769" t="n">
        <v>0</v>
      </c>
      <c r="G769" t="n">
        <v>0</v>
      </c>
      <c r="H769" t="n">
        <v>0</v>
      </c>
      <c r="I769" t="n">
        <v>0</v>
      </c>
      <c r="J769" t="n">
        <v>217</v>
      </c>
      <c r="K769" t="n">
        <v>47716</v>
      </c>
      <c r="L769" t="n">
        <v>47716</v>
      </c>
      <c r="M769" t="n">
        <v>216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</row>
    <row r="770" hidden="1" outlineLevel="1" s="191">
      <c r="A770" t="n">
        <v>11</v>
      </c>
      <c r="B770" t="inlineStr">
        <is>
          <t>a</t>
        </is>
      </c>
      <c r="C770" t="n">
        <v>1</v>
      </c>
      <c r="D770" t="inlineStr">
        <is>
          <t>_11_a_1</t>
        </is>
      </c>
      <c r="E770" t="inlineStr">
        <is>
          <t>Regularne śledzenie wydajności Modelu</t>
        </is>
      </c>
      <c r="F770" t="n">
        <v>0</v>
      </c>
      <c r="G770" t="n">
        <v>0</v>
      </c>
      <c r="H770" t="n">
        <v>9</v>
      </c>
      <c r="I770" t="inlineStr">
        <is>
          <t>END</t>
        </is>
      </c>
      <c r="J770" t="n">
        <v>217</v>
      </c>
      <c r="K770" t="n">
        <v>47716</v>
      </c>
      <c r="L770" t="n">
        <v>47718</v>
      </c>
      <c r="M770" t="n">
        <v>218</v>
      </c>
      <c r="N770" t="n">
        <v>2</v>
      </c>
      <c r="O770" t="n">
        <v>120</v>
      </c>
      <c r="P770" t="n">
        <v>0.25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0.75</v>
      </c>
      <c r="AC770" t="n">
        <v>0</v>
      </c>
      <c r="AD770" t="n">
        <v>0</v>
      </c>
      <c r="AE770" t="n">
        <v>0</v>
      </c>
      <c r="AF770" t="n">
        <v>0</v>
      </c>
      <c r="AG770" t="n">
        <v>30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90</v>
      </c>
      <c r="AT770" t="n">
        <v>0</v>
      </c>
      <c r="AU770" t="n">
        <v>0</v>
      </c>
      <c r="AV770" t="n">
        <v>0</v>
      </c>
      <c r="AW770" t="n">
        <v>0</v>
      </c>
      <c r="AX770" t="n">
        <v>30</v>
      </c>
      <c r="AY770" t="n">
        <v>0.1875</v>
      </c>
      <c r="AZ770" t="e">
        <v>#N/A</v>
      </c>
      <c r="BA770" t="e">
        <v>#N/A</v>
      </c>
      <c r="BB770" t="e">
        <v>#N/A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120</v>
      </c>
      <c r="BK770" t="n">
        <v>120</v>
      </c>
      <c r="BL770" t="n">
        <v>0</v>
      </c>
    </row>
    <row r="771" hidden="1" outlineLevel="1" s="191">
      <c r="A771" t="n">
        <v>11</v>
      </c>
      <c r="B771" t="inlineStr">
        <is>
          <t>b</t>
        </is>
      </c>
      <c r="C771" t="n">
        <v>1</v>
      </c>
      <c r="D771" t="inlineStr">
        <is>
          <t>_11_b_1</t>
        </is>
      </c>
      <c r="E771" t="inlineStr">
        <is>
          <t>Wprowadzanie poprawek do Modelu, aktualizacje na podstawie nowych danych i zmieniających się warun-ków operacyjnych</t>
        </is>
      </c>
      <c r="F771" t="n">
        <v>0</v>
      </c>
      <c r="G771" t="n">
        <v>0</v>
      </c>
      <c r="H771" t="n">
        <v>9</v>
      </c>
      <c r="I771" t="inlineStr">
        <is>
          <t>END/ACT</t>
        </is>
      </c>
      <c r="J771" t="n">
        <v>219</v>
      </c>
      <c r="K771" t="n">
        <v>47730</v>
      </c>
      <c r="L771" t="n">
        <v>47730</v>
      </c>
      <c r="M771" t="n">
        <v>218</v>
      </c>
      <c r="N771" t="n">
        <v>0</v>
      </c>
      <c r="O771" t="n">
        <v>80</v>
      </c>
      <c r="P771" t="n">
        <v>0</v>
      </c>
      <c r="Q771" t="n">
        <v>0.25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0.25</v>
      </c>
      <c r="AB771" t="n">
        <v>0.5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20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20</v>
      </c>
      <c r="AS771" t="n">
        <v>40</v>
      </c>
      <c r="AT771" t="n">
        <v>0</v>
      </c>
      <c r="AU771" t="n">
        <v>0</v>
      </c>
      <c r="AV771" t="n">
        <v>0</v>
      </c>
      <c r="AW771" t="n">
        <v>0</v>
      </c>
      <c r="AX771" t="n">
        <v>20</v>
      </c>
      <c r="AY771" t="n">
        <v>0.125</v>
      </c>
      <c r="AZ771" t="e">
        <v>#N/A</v>
      </c>
      <c r="BA771" t="e">
        <v>#N/A</v>
      </c>
      <c r="BB771" t="e">
        <v>#N/A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80</v>
      </c>
      <c r="BK771" t="n">
        <v>80</v>
      </c>
      <c r="BL771" t="n">
        <v>0</v>
      </c>
    </row>
    <row r="772" hidden="1" outlineLevel="1" s="191">
      <c r="A772" t="n">
        <v>12</v>
      </c>
      <c r="B772" t="inlineStr">
        <is>
          <t>a</t>
        </is>
      </c>
      <c r="C772" t="n">
        <v>1</v>
      </c>
      <c r="D772" t="inlineStr">
        <is>
          <t>_12_a_1</t>
        </is>
      </c>
      <c r="E772" t="inlineStr">
        <is>
          <t>12.Dokumentacja i szkolenie</t>
        </is>
      </c>
      <c r="F772" t="n">
        <v>0</v>
      </c>
      <c r="G772" t="n">
        <v>0</v>
      </c>
      <c r="H772" t="n">
        <v>13</v>
      </c>
      <c r="I772" t="inlineStr">
        <is>
          <t>ACT</t>
        </is>
      </c>
      <c r="J772" t="n">
        <v>219</v>
      </c>
      <c r="K772" t="n">
        <v>47730</v>
      </c>
      <c r="L772" t="n">
        <v>47731</v>
      </c>
      <c r="M772" t="n">
        <v>219</v>
      </c>
      <c r="N772" t="n">
        <v>1</v>
      </c>
      <c r="O772" t="n">
        <v>200</v>
      </c>
      <c r="P772" t="n">
        <v>0</v>
      </c>
      <c r="Q772" t="n">
        <v>0</v>
      </c>
      <c r="R772" t="n">
        <v>0.1</v>
      </c>
      <c r="S772" t="n">
        <v>0.1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0.2</v>
      </c>
      <c r="Z772" t="n">
        <v>0.2</v>
      </c>
      <c r="AA772" t="n">
        <v>0</v>
      </c>
      <c r="AB772" t="n">
        <v>0.2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20</v>
      </c>
      <c r="AJ772" t="n">
        <v>20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40</v>
      </c>
      <c r="AQ772" t="n">
        <v>40</v>
      </c>
      <c r="AR772" t="n">
        <v>0</v>
      </c>
      <c r="AS772" t="n">
        <v>40</v>
      </c>
      <c r="AT772" t="n">
        <v>0</v>
      </c>
      <c r="AU772" t="n">
        <v>0</v>
      </c>
      <c r="AV772" t="n">
        <v>0</v>
      </c>
      <c r="AW772" t="n">
        <v>0</v>
      </c>
      <c r="AX772" t="n">
        <v>40</v>
      </c>
      <c r="AY772" t="n">
        <v>0.25</v>
      </c>
      <c r="AZ772" t="e">
        <v>#N/A</v>
      </c>
      <c r="BA772" t="e">
        <v>#N/A</v>
      </c>
      <c r="BB772" t="e">
        <v>#N/A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200</v>
      </c>
      <c r="BK772" t="n">
        <v>160</v>
      </c>
      <c r="BL772" t="n">
        <v>40</v>
      </c>
    </row>
    <row r="773" hidden="1" outlineLevel="1" s="191">
      <c r="BJ773" t="n">
        <v>0</v>
      </c>
      <c r="BK773" t="n">
        <v>0</v>
      </c>
      <c r="BL773" t="n">
        <v>0</v>
      </c>
    </row>
    <row r="774" hidden="1" outlineLevel="1" s="191">
      <c r="BJ774" t="n">
        <v>0</v>
      </c>
      <c r="BK774" t="n">
        <v>0</v>
      </c>
      <c r="BL774" t="n">
        <v>0</v>
      </c>
    </row>
    <row r="775" hidden="1" outlineLevel="1" s="191">
      <c r="BJ775" t="n">
        <v>0</v>
      </c>
      <c r="BK775" t="n">
        <v>0</v>
      </c>
      <c r="BL775" t="n">
        <v>0</v>
      </c>
    </row>
    <row r="776" hidden="1" outlineLevel="1" s="191">
      <c r="BJ776" t="n">
        <v>0</v>
      </c>
      <c r="BK776" t="n">
        <v>0</v>
      </c>
      <c r="BL776" t="n">
        <v>0</v>
      </c>
    </row>
    <row r="777" hidden="1" outlineLevel="1" s="191">
      <c r="BJ777" t="n">
        <v>0</v>
      </c>
      <c r="BK777" t="n">
        <v>0</v>
      </c>
      <c r="BL777" t="n">
        <v>0</v>
      </c>
    </row>
    <row r="778" hidden="1" outlineLevel="1" s="191">
      <c r="BJ778" t="n">
        <v>0</v>
      </c>
      <c r="BK778" t="n">
        <v>0</v>
      </c>
      <c r="BL778" t="n">
        <v>0</v>
      </c>
    </row>
    <row r="779" hidden="1" outlineLevel="1" s="191">
      <c r="BJ779" t="n">
        <v>0</v>
      </c>
      <c r="BK779" t="n">
        <v>0</v>
      </c>
      <c r="BL779" t="n">
        <v>0</v>
      </c>
    </row>
    <row r="780" hidden="1" outlineLevel="1" s="191">
      <c r="BJ780" t="n">
        <v>0</v>
      </c>
      <c r="BK780" t="n">
        <v>0</v>
      </c>
      <c r="BL780" t="n">
        <v>0</v>
      </c>
    </row>
    <row r="781" hidden="1" outlineLevel="1" s="191">
      <c r="BJ781" t="n">
        <v>0</v>
      </c>
      <c r="BK781" t="n">
        <v>0</v>
      </c>
      <c r="BL781" t="n">
        <v>0</v>
      </c>
    </row>
    <row r="782" hidden="1" outlineLevel="1" s="191">
      <c r="BJ782" t="n">
        <v>0</v>
      </c>
      <c r="BK782" t="n">
        <v>0</v>
      </c>
      <c r="BL782" t="n">
        <v>0</v>
      </c>
    </row>
    <row r="783" hidden="1" outlineLevel="1" s="191">
      <c r="BJ783" t="n">
        <v>0</v>
      </c>
      <c r="BK783" t="n">
        <v>0</v>
      </c>
      <c r="BL783" t="n">
        <v>0</v>
      </c>
    </row>
    <row r="784" hidden="1" outlineLevel="1" s="191">
      <c r="BJ784" t="n">
        <v>0</v>
      </c>
      <c r="BK784" t="n">
        <v>0</v>
      </c>
      <c r="BL784" t="n">
        <v>0</v>
      </c>
    </row>
    <row r="785" hidden="1" outlineLevel="1" s="191">
      <c r="BJ785" t="n">
        <v>0</v>
      </c>
      <c r="BK785" t="n">
        <v>0</v>
      </c>
      <c r="BL785" t="n">
        <v>0</v>
      </c>
    </row>
    <row r="786" hidden="1" outlineLevel="1" s="191">
      <c r="BJ786" t="n">
        <v>0</v>
      </c>
      <c r="BK786" t="n">
        <v>0</v>
      </c>
      <c r="BL786" t="n">
        <v>0</v>
      </c>
    </row>
    <row r="787" hidden="1" outlineLevel="1" s="191">
      <c r="BJ787" t="n">
        <v>0</v>
      </c>
      <c r="BK787" t="n">
        <v>0</v>
      </c>
      <c r="BL787" t="n">
        <v>0</v>
      </c>
    </row>
    <row r="788" hidden="1" outlineLevel="1" s="191">
      <c r="BJ788" t="n">
        <v>0</v>
      </c>
      <c r="BK788" t="n">
        <v>0</v>
      </c>
      <c r="BL788" t="n">
        <v>0</v>
      </c>
    </row>
    <row r="789" hidden="1" outlineLevel="1" s="191">
      <c r="BJ789" t="n">
        <v>0</v>
      </c>
      <c r="BK789" t="n">
        <v>0</v>
      </c>
      <c r="BL789" t="n">
        <v>0</v>
      </c>
    </row>
    <row r="790" hidden="1" outlineLevel="1" s="191">
      <c r="BJ790" t="n">
        <v>0</v>
      </c>
      <c r="BK790" t="n">
        <v>0</v>
      </c>
      <c r="BL790" t="n">
        <v>0</v>
      </c>
    </row>
    <row r="791" hidden="1" outlineLevel="1" s="191">
      <c r="BJ791" t="n">
        <v>0</v>
      </c>
      <c r="BK791" t="n">
        <v>0</v>
      </c>
      <c r="BL791" t="n">
        <v>0</v>
      </c>
    </row>
    <row r="792" hidden="1" outlineLevel="1" s="191">
      <c r="BJ792" t="n">
        <v>0</v>
      </c>
      <c r="BK792" t="n">
        <v>0</v>
      </c>
      <c r="BL792" t="n">
        <v>0</v>
      </c>
    </row>
    <row r="793" hidden="1" outlineLevel="1" s="191">
      <c r="BJ793" t="n">
        <v>0</v>
      </c>
      <c r="BK793" t="n">
        <v>0</v>
      </c>
      <c r="BL793" t="n">
        <v>0</v>
      </c>
    </row>
    <row r="794" hidden="1" outlineLevel="1" s="191">
      <c r="BJ794" t="n">
        <v>0</v>
      </c>
      <c r="BK794" t="n">
        <v>0</v>
      </c>
      <c r="BL794" t="n">
        <v>0</v>
      </c>
    </row>
    <row r="795" hidden="1" outlineLevel="1" s="191">
      <c r="BJ795" t="n">
        <v>0</v>
      </c>
      <c r="BK795" t="n">
        <v>0</v>
      </c>
      <c r="BL795" t="n">
        <v>0</v>
      </c>
    </row>
    <row r="796" hidden="1" outlineLevel="1" s="191">
      <c r="BJ796" t="n">
        <v>0</v>
      </c>
      <c r="BK796" t="n">
        <v>0</v>
      </c>
      <c r="BL796" t="n">
        <v>0</v>
      </c>
    </row>
    <row r="797" hidden="1" outlineLevel="1" s="191">
      <c r="BJ797" t="n">
        <v>0</v>
      </c>
      <c r="BK797" t="n">
        <v>0</v>
      </c>
      <c r="BL797" t="n">
        <v>0</v>
      </c>
    </row>
    <row r="798" hidden="1" outlineLevel="1" s="191">
      <c r="A798" s="264" t="inlineStr">
        <is>
          <t>.z07</t>
        </is>
      </c>
      <c r="BJ798" t="n">
        <v>0</v>
      </c>
      <c r="BK798" t="n">
        <v>0</v>
      </c>
      <c r="BL798" t="n">
        <v>0</v>
      </c>
    </row>
    <row r="799" collapsed="1" s="191">
      <c r="BJ799" t="n">
        <v>0</v>
      </c>
      <c r="BK799" t="n">
        <v>0</v>
      </c>
      <c r="BL799" t="n">
        <v>0</v>
      </c>
      <c r="BM799" t="n">
        <v>-4</v>
      </c>
    </row>
    <row r="800" ht="15.6" customHeight="1" s="191">
      <c r="A800" s="259" t="inlineStr">
        <is>
          <t>.z08</t>
        </is>
      </c>
      <c r="B800" s="260" t="n"/>
      <c r="C800" s="261" t="n"/>
      <c r="D800" s="276" t="n"/>
      <c r="E800" s="277" t="inlineStr">
        <is>
          <t>Zadanie_VIII   :  Opracowanie autorskiej bazy danych dla magazynu wysokiego składowania (BDMWS) z wykorzystaniem mechanizmów AI i ML</t>
        </is>
      </c>
      <c r="F800" s="538" t="n"/>
      <c r="BJ800" t="n">
        <v>0</v>
      </c>
      <c r="BK800" t="n">
        <v>0</v>
      </c>
      <c r="BL800" t="n">
        <v>0</v>
      </c>
      <c r="BM800" t="n">
        <v>-4</v>
      </c>
    </row>
    <row r="801" hidden="1" outlineLevel="1" ht="31.2" customHeight="1" s="191">
      <c r="A801" s="275" t="n">
        <v>1</v>
      </c>
      <c r="B801" s="260" t="inlineStr">
        <is>
          <t>a</t>
        </is>
      </c>
      <c r="C801" s="261" t="n">
        <v>-1</v>
      </c>
      <c r="D801" s="276" t="inlineStr">
        <is>
          <t>.z08_1_a_-1</t>
        </is>
      </c>
      <c r="E801" s="277" t="inlineStr">
        <is>
          <t>1.Opracowanie koncepcji standaryzowanej bazy danych wejściowych dla MWS</t>
        </is>
      </c>
      <c r="F801" s="538" t="n">
        <v>0</v>
      </c>
      <c r="G801" t="n">
        <v>0</v>
      </c>
      <c r="H801" t="n">
        <v>0</v>
      </c>
      <c r="I801" t="n">
        <v>0</v>
      </c>
      <c r="J801" t="n">
        <v>117</v>
      </c>
      <c r="K801" t="n">
        <v>47016</v>
      </c>
      <c r="L801" t="n">
        <v>47016</v>
      </c>
      <c r="M801" t="n">
        <v>116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</row>
    <row r="802" hidden="1" outlineLevel="1" ht="31.2" customHeight="1" s="191">
      <c r="A802" s="275" t="n">
        <v>1</v>
      </c>
      <c r="B802" s="260" t="inlineStr">
        <is>
          <t>a</t>
        </is>
      </c>
      <c r="C802" s="261" t="n">
        <v>0</v>
      </c>
      <c r="D802" s="276" t="inlineStr">
        <is>
          <t>.z08_1_a_0</t>
        </is>
      </c>
      <c r="E802" s="277" t="inlineStr">
        <is>
          <t>Projektowanie struktury bazy danych, która zapewni jej wydajność, spójność i skalowalność</t>
        </is>
      </c>
      <c r="F802" s="538" t="n">
        <v>0</v>
      </c>
      <c r="G802" t="n">
        <v>0</v>
      </c>
      <c r="H802" t="n">
        <v>0</v>
      </c>
      <c r="I802" t="n">
        <v>0</v>
      </c>
      <c r="J802" t="n">
        <v>117</v>
      </c>
      <c r="K802" t="n">
        <v>47016</v>
      </c>
      <c r="L802" t="n">
        <v>47016</v>
      </c>
      <c r="M802" t="n">
        <v>116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</row>
    <row r="803" hidden="1" outlineLevel="1" ht="31.2" customHeight="1" s="191">
      <c r="A803" s="275" t="n">
        <v>1</v>
      </c>
      <c r="B803" s="260" t="inlineStr">
        <is>
          <t>a</t>
        </is>
      </c>
      <c r="C803" s="261" t="n">
        <v>1</v>
      </c>
      <c r="D803" s="276" t="inlineStr">
        <is>
          <t>.z08_1_a_1</t>
        </is>
      </c>
      <c r="E803" s="277" t="inlineStr">
        <is>
          <t>Opracowanie logicznego i fizycznego modelu bazy danych, uwzględniającego wszystkie kluczowe ele-menty (np. tabele, relacje, indeksy i klucze)</t>
        </is>
      </c>
      <c r="F803" s="538" t="inlineStr">
        <is>
          <t>Imię02</t>
        </is>
      </c>
      <c r="G803" t="inlineStr">
        <is>
          <t>Nazwisko02</t>
        </is>
      </c>
      <c r="H803" t="n">
        <v>1</v>
      </c>
      <c r="I803" t="inlineStr">
        <is>
          <t>.a02</t>
        </is>
      </c>
      <c r="J803" t="n">
        <v>117</v>
      </c>
      <c r="K803" t="n">
        <v>47016</v>
      </c>
      <c r="L803" t="n">
        <v>47018</v>
      </c>
      <c r="M803" t="n">
        <v>118</v>
      </c>
      <c r="N803" t="n">
        <v>2</v>
      </c>
      <c r="O803" t="n">
        <v>160</v>
      </c>
      <c r="P803" t="n">
        <v>0</v>
      </c>
      <c r="Q803" t="n">
        <v>0</v>
      </c>
      <c r="R803" t="n">
        <v>0</v>
      </c>
      <c r="S803" t="n">
        <v>0</v>
      </c>
      <c r="T803" t="n">
        <v>0.2</v>
      </c>
      <c r="U803" t="n">
        <v>0.2</v>
      </c>
      <c r="V803" t="n">
        <v>0.2</v>
      </c>
      <c r="W803" t="n">
        <v>0.2</v>
      </c>
      <c r="X803" t="n">
        <v>0.2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32</v>
      </c>
      <c r="AL803" t="n">
        <v>32</v>
      </c>
      <c r="AM803" t="n">
        <v>32</v>
      </c>
      <c r="AN803" t="n">
        <v>32</v>
      </c>
      <c r="AO803" t="n">
        <v>32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160</v>
      </c>
      <c r="AY803" t="n">
        <v>1</v>
      </c>
      <c r="AZ803" t="n">
        <v>5002</v>
      </c>
      <c r="BA803" t="n">
        <v>5002</v>
      </c>
      <c r="BB803" t="n">
        <v>5002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160</v>
      </c>
      <c r="BK803" t="n">
        <v>160</v>
      </c>
      <c r="BL803" t="n">
        <v>0</v>
      </c>
    </row>
    <row r="804" hidden="1" outlineLevel="1" ht="31.2" customHeight="1" s="191">
      <c r="A804" s="275" t="n">
        <v>1</v>
      </c>
      <c r="B804" s="260" t="inlineStr">
        <is>
          <t>a</t>
        </is>
      </c>
      <c r="C804" s="261" t="n">
        <v>1</v>
      </c>
      <c r="D804" s="276" t="inlineStr">
        <is>
          <t>.z08_1_a_1</t>
        </is>
      </c>
      <c r="E804" s="277" t="inlineStr">
        <is>
          <t>Opracowanie architektury systemu, zapewniającą obsługę rosnącej ilości danych celem szybkiego i efektywnego ich przetwarzania</t>
        </is>
      </c>
      <c r="F804" s="538" t="inlineStr">
        <is>
          <t>B2B_Dariusz</t>
        </is>
      </c>
      <c r="G804" t="n">
        <v>0</v>
      </c>
      <c r="H804" t="n">
        <v>1</v>
      </c>
      <c r="I804" t="inlineStr">
        <is>
          <t>.b03</t>
        </is>
      </c>
      <c r="J804" t="n">
        <v>119</v>
      </c>
      <c r="K804" t="n">
        <v>47030</v>
      </c>
      <c r="L804" t="n">
        <v>47030</v>
      </c>
      <c r="M804" t="n">
        <v>118</v>
      </c>
      <c r="N804" t="n">
        <v>0</v>
      </c>
      <c r="O804" t="n">
        <v>20</v>
      </c>
      <c r="P804" t="n">
        <v>0</v>
      </c>
      <c r="Q804" t="n">
        <v>0</v>
      </c>
      <c r="R804" t="n">
        <v>0</v>
      </c>
      <c r="S804" t="n">
        <v>0</v>
      </c>
      <c r="T804" t="n">
        <v>0.2</v>
      </c>
      <c r="U804" t="n">
        <v>0.2</v>
      </c>
      <c r="V804" t="n">
        <v>0.2</v>
      </c>
      <c r="W804" t="n">
        <v>0.2</v>
      </c>
      <c r="X804" t="n">
        <v>0.2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4</v>
      </c>
      <c r="AL804" t="n">
        <v>4</v>
      </c>
      <c r="AM804" t="n">
        <v>4</v>
      </c>
      <c r="AN804" t="n">
        <v>4</v>
      </c>
      <c r="AO804" t="n">
        <v>4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20</v>
      </c>
      <c r="AY804" t="n">
        <v>0.125</v>
      </c>
      <c r="AZ804" t="e">
        <v>#N/A</v>
      </c>
      <c r="BA804" t="e">
        <v>#N/A</v>
      </c>
      <c r="BB804" t="e">
        <v>#N/A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20</v>
      </c>
      <c r="BK804" t="n">
        <v>20</v>
      </c>
      <c r="BL804" t="n">
        <v>0</v>
      </c>
    </row>
    <row r="805" hidden="1" outlineLevel="1" ht="31.2" customHeight="1" s="191">
      <c r="A805" s="275" t="n">
        <v>1</v>
      </c>
      <c r="B805" s="260" t="inlineStr">
        <is>
          <t>a</t>
        </is>
      </c>
      <c r="C805" s="261" t="n">
        <v>1</v>
      </c>
      <c r="D805" s="276" t="inlineStr">
        <is>
          <t>.z08_1_a_1</t>
        </is>
      </c>
      <c r="E805" s="277" t="inlineStr">
        <is>
          <t>Opracowanie mechanizmów do administrowania, eksploatacji i monitorowania bazy danych oraz współ-pracy z modułami planowanej platformy ICT</t>
        </is>
      </c>
      <c r="F805" s="538" t="inlineStr">
        <is>
          <t>Imię01</t>
        </is>
      </c>
      <c r="G805" t="inlineStr">
        <is>
          <t>Nazwisko01</t>
        </is>
      </c>
      <c r="H805" t="n">
        <v>1</v>
      </c>
      <c r="I805" t="inlineStr">
        <is>
          <t>.a01</t>
        </is>
      </c>
      <c r="J805" t="n">
        <v>119</v>
      </c>
      <c r="K805" t="n">
        <v>47030</v>
      </c>
      <c r="L805" t="n">
        <v>47030</v>
      </c>
      <c r="M805" t="n">
        <v>118</v>
      </c>
      <c r="N805" t="n">
        <v>0</v>
      </c>
      <c r="O805" t="n">
        <v>20</v>
      </c>
      <c r="P805" t="n">
        <v>0</v>
      </c>
      <c r="Q805" t="n">
        <v>0</v>
      </c>
      <c r="R805" t="n">
        <v>0</v>
      </c>
      <c r="S805" t="n">
        <v>0</v>
      </c>
      <c r="T805" t="n">
        <v>0.2</v>
      </c>
      <c r="U805" t="n">
        <v>0.2</v>
      </c>
      <c r="V805" t="n">
        <v>0.2</v>
      </c>
      <c r="W805" t="n">
        <v>0.2</v>
      </c>
      <c r="X805" t="n">
        <v>0.2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4</v>
      </c>
      <c r="AL805" t="n">
        <v>4</v>
      </c>
      <c r="AM805" t="n">
        <v>4</v>
      </c>
      <c r="AN805" t="n">
        <v>4</v>
      </c>
      <c r="AO805" t="n">
        <v>4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20</v>
      </c>
      <c r="AY805" t="n">
        <v>0.125</v>
      </c>
      <c r="AZ805" t="n">
        <v>5001</v>
      </c>
      <c r="BA805" t="n">
        <v>625.125</v>
      </c>
      <c r="BB805" t="n">
        <v>78.140625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20</v>
      </c>
      <c r="BK805" t="n">
        <v>20</v>
      </c>
      <c r="BL805" t="n">
        <v>0</v>
      </c>
    </row>
    <row r="806" hidden="1" outlineLevel="1" ht="31.2" customHeight="1" s="191">
      <c r="A806" s="275" t="n">
        <v>1</v>
      </c>
      <c r="B806" s="260" t="inlineStr">
        <is>
          <t>a</t>
        </is>
      </c>
      <c r="C806" s="261" t="n">
        <v>1</v>
      </c>
      <c r="D806" s="276" t="inlineStr">
        <is>
          <t>.z08_1_a_1</t>
        </is>
      </c>
      <c r="E806" s="277" t="inlineStr">
        <is>
          <t>Testowanie, walidacja i optymalizacja projektu struktury bazy danych</t>
        </is>
      </c>
      <c r="F806" s="538" t="inlineStr">
        <is>
          <t>Imię03</t>
        </is>
      </c>
      <c r="G806" t="inlineStr">
        <is>
          <t>Nazwisko03</t>
        </is>
      </c>
      <c r="H806" t="n">
        <v>1</v>
      </c>
      <c r="I806" t="inlineStr">
        <is>
          <t>.a03</t>
        </is>
      </c>
      <c r="J806" t="n">
        <v>119</v>
      </c>
      <c r="K806" t="n">
        <v>47030</v>
      </c>
      <c r="L806" t="n">
        <v>47030</v>
      </c>
      <c r="M806" t="n">
        <v>118</v>
      </c>
      <c r="N806" t="n">
        <v>0</v>
      </c>
      <c r="O806" t="n">
        <v>20</v>
      </c>
      <c r="P806" t="n">
        <v>0</v>
      </c>
      <c r="Q806" t="n">
        <v>0</v>
      </c>
      <c r="R806" t="n">
        <v>0</v>
      </c>
      <c r="S806" t="n">
        <v>0</v>
      </c>
      <c r="T806" t="n">
        <v>0.2</v>
      </c>
      <c r="U806" t="n">
        <v>0.2</v>
      </c>
      <c r="V806" t="n">
        <v>0.2</v>
      </c>
      <c r="W806" t="n">
        <v>0.2</v>
      </c>
      <c r="X806" t="n">
        <v>0.2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4</v>
      </c>
      <c r="AL806" t="n">
        <v>4</v>
      </c>
      <c r="AM806" t="n">
        <v>4</v>
      </c>
      <c r="AN806" t="n">
        <v>4</v>
      </c>
      <c r="AO806" t="n">
        <v>4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20</v>
      </c>
      <c r="AY806" t="n">
        <v>0.125</v>
      </c>
      <c r="AZ806" t="n">
        <v>5003</v>
      </c>
      <c r="BA806" t="n">
        <v>625.375</v>
      </c>
      <c r="BB806" t="n">
        <v>78.171875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20</v>
      </c>
      <c r="BK806" t="n">
        <v>20</v>
      </c>
      <c r="BL806" t="n">
        <v>0</v>
      </c>
    </row>
    <row r="807" hidden="1" outlineLevel="1" ht="31.2" customHeight="1" s="191">
      <c r="A807" s="275" t="n">
        <v>1</v>
      </c>
      <c r="B807" s="260" t="inlineStr">
        <is>
          <t>b</t>
        </is>
      </c>
      <c r="C807" s="261" t="n">
        <v>0</v>
      </c>
      <c r="D807" s="276" t="inlineStr">
        <is>
          <t>.z08_1_b_0</t>
        </is>
      </c>
      <c r="E807" s="277" t="inlineStr">
        <is>
          <t>Zbieranie i przygotowanie danych w celu  uzyskania pełnego obrazu operacji w MWS i umożliwienia komplek-sowych analiz</t>
        </is>
      </c>
      <c r="F807" s="538" t="n">
        <v>0</v>
      </c>
      <c r="G807" t="n">
        <v>0</v>
      </c>
      <c r="H807" t="n">
        <v>0</v>
      </c>
      <c r="I807" t="n">
        <v>0</v>
      </c>
      <c r="J807" t="n">
        <v>119</v>
      </c>
      <c r="K807" t="n">
        <v>47030</v>
      </c>
      <c r="L807" t="n">
        <v>47030</v>
      </c>
      <c r="M807" t="n">
        <v>118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</row>
    <row r="808" hidden="1" outlineLevel="1" ht="31.2" customHeight="1" s="191">
      <c r="A808" s="275" t="n">
        <v>1</v>
      </c>
      <c r="B808" s="260" t="inlineStr">
        <is>
          <t>b</t>
        </is>
      </c>
      <c r="C808" s="261" t="n">
        <v>1</v>
      </c>
      <c r="D808" s="276" t="inlineStr">
        <is>
          <t>.z08_1_b_1</t>
        </is>
      </c>
      <c r="E808" s="277" t="inlineStr">
        <is>
          <t>Stworzenie procedur zbierania, analizy i przetwarzania danych</t>
        </is>
      </c>
      <c r="F808" s="538" t="inlineStr">
        <is>
          <t>Imię05</t>
        </is>
      </c>
      <c r="G808" t="inlineStr">
        <is>
          <t>Nazwisko05</t>
        </is>
      </c>
      <c r="H808" t="n">
        <v>2</v>
      </c>
      <c r="I808" t="inlineStr">
        <is>
          <t>.a05</t>
        </is>
      </c>
      <c r="J808" t="n">
        <v>119</v>
      </c>
      <c r="K808" t="n">
        <v>47030</v>
      </c>
      <c r="L808" t="n">
        <v>47030</v>
      </c>
      <c r="M808" t="n">
        <v>118</v>
      </c>
      <c r="N808" t="n">
        <v>0</v>
      </c>
      <c r="O808" t="n">
        <v>40</v>
      </c>
      <c r="P808" t="n">
        <v>0</v>
      </c>
      <c r="Q808" t="n">
        <v>0</v>
      </c>
      <c r="R808" t="n">
        <v>0</v>
      </c>
      <c r="S808" t="n">
        <v>0</v>
      </c>
      <c r="T808" t="n">
        <v>0.2</v>
      </c>
      <c r="U808" t="n">
        <v>0.2</v>
      </c>
      <c r="V808" t="n">
        <v>0.2</v>
      </c>
      <c r="W808" t="n">
        <v>0.2</v>
      </c>
      <c r="X808" t="n">
        <v>0.2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8</v>
      </c>
      <c r="AL808" t="n">
        <v>8</v>
      </c>
      <c r="AM808" t="n">
        <v>8</v>
      </c>
      <c r="AN808" t="n">
        <v>8</v>
      </c>
      <c r="AO808" t="n">
        <v>8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40</v>
      </c>
      <c r="AY808" t="n">
        <v>0.25</v>
      </c>
      <c r="AZ808" t="n">
        <v>5005</v>
      </c>
      <c r="BA808" t="n">
        <v>1251.25</v>
      </c>
      <c r="BB808" t="n">
        <v>312.8125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40</v>
      </c>
      <c r="BK808" t="n">
        <v>40</v>
      </c>
      <c r="BL808" t="n">
        <v>0</v>
      </c>
    </row>
    <row r="809" hidden="1" outlineLevel="1" ht="31.2" customHeight="1" s="191">
      <c r="A809" s="275" t="n">
        <v>1</v>
      </c>
      <c r="B809" s="260" t="inlineStr">
        <is>
          <t>b</t>
        </is>
      </c>
      <c r="C809" s="261" t="n">
        <v>2</v>
      </c>
      <c r="D809" s="276" t="inlineStr">
        <is>
          <t>.z08_1_b_2</t>
        </is>
      </c>
      <c r="E809" s="277" t="inlineStr">
        <is>
          <t xml:space="preserve">Pozyskanie danych z różnych źródeł, np. systemy WMS, ERP </t>
        </is>
      </c>
      <c r="F809" s="538" t="inlineStr">
        <is>
          <t>Imię04</t>
        </is>
      </c>
      <c r="G809" t="inlineStr">
        <is>
          <t>Nazwisko04</t>
        </is>
      </c>
      <c r="H809" t="n">
        <v>2</v>
      </c>
      <c r="I809" t="inlineStr">
        <is>
          <t>.a04</t>
        </is>
      </c>
      <c r="J809" t="n">
        <v>119</v>
      </c>
      <c r="K809" t="n">
        <v>47030</v>
      </c>
      <c r="L809" t="n">
        <v>47031</v>
      </c>
      <c r="M809" t="n">
        <v>119</v>
      </c>
      <c r="N809" t="n">
        <v>1</v>
      </c>
      <c r="O809" t="n">
        <v>80</v>
      </c>
      <c r="P809" t="n">
        <v>0</v>
      </c>
      <c r="Q809" t="n">
        <v>0</v>
      </c>
      <c r="R809" t="n">
        <v>0</v>
      </c>
      <c r="S809" t="n">
        <v>0</v>
      </c>
      <c r="T809" t="n">
        <v>0.2</v>
      </c>
      <c r="U809" t="n">
        <v>0.2</v>
      </c>
      <c r="V809" t="n">
        <v>0.2</v>
      </c>
      <c r="W809" t="n">
        <v>0.2</v>
      </c>
      <c r="X809" t="n">
        <v>0.2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16</v>
      </c>
      <c r="AL809" t="n">
        <v>16</v>
      </c>
      <c r="AM809" t="n">
        <v>16</v>
      </c>
      <c r="AN809" t="n">
        <v>16</v>
      </c>
      <c r="AO809" t="n">
        <v>16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80</v>
      </c>
      <c r="AY809" t="n">
        <v>0.5</v>
      </c>
      <c r="AZ809" t="n">
        <v>5004</v>
      </c>
      <c r="BA809" t="n">
        <v>2502</v>
      </c>
      <c r="BB809" t="n">
        <v>1251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80</v>
      </c>
      <c r="BK809" t="n">
        <v>80</v>
      </c>
      <c r="BL809" t="n">
        <v>0</v>
      </c>
    </row>
    <row r="810" hidden="1" outlineLevel="1" ht="31.2" customHeight="1" s="191">
      <c r="A810" s="275" t="n">
        <v>1</v>
      </c>
      <c r="B810" s="260" t="inlineStr">
        <is>
          <t>b</t>
        </is>
      </c>
      <c r="C810" s="261" t="n">
        <v>3</v>
      </c>
      <c r="D810" s="276" t="inlineStr">
        <is>
          <t>.z08_1_b_3</t>
        </is>
      </c>
      <c r="E810" s="277" t="inlineStr">
        <is>
          <t>Identyfikacja aktualnie przypisywanych atrybutów do rekordów/obiektów w WMS/ERP</t>
        </is>
      </c>
      <c r="F810" s="538" t="inlineStr">
        <is>
          <t>Imię05</t>
        </is>
      </c>
      <c r="G810" t="inlineStr">
        <is>
          <t>Nazwisko05</t>
        </is>
      </c>
      <c r="H810" t="n">
        <v>2</v>
      </c>
      <c r="I810" t="inlineStr">
        <is>
          <t>.a05</t>
        </is>
      </c>
      <c r="J810" t="n">
        <v>120</v>
      </c>
      <c r="K810" t="n">
        <v>47037</v>
      </c>
      <c r="L810" t="n">
        <v>47038</v>
      </c>
      <c r="M810" t="n">
        <v>120</v>
      </c>
      <c r="N810" t="n">
        <v>1</v>
      </c>
      <c r="O810" t="n">
        <v>60</v>
      </c>
      <c r="P810" t="n">
        <v>0</v>
      </c>
      <c r="Q810" t="n">
        <v>0</v>
      </c>
      <c r="R810" t="n">
        <v>0</v>
      </c>
      <c r="S810" t="n">
        <v>0</v>
      </c>
      <c r="T810" t="n">
        <v>0.2</v>
      </c>
      <c r="U810" t="n">
        <v>0.2</v>
      </c>
      <c r="V810" t="n">
        <v>0.2</v>
      </c>
      <c r="W810" t="n">
        <v>0.2</v>
      </c>
      <c r="X810" t="n">
        <v>0.2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12</v>
      </c>
      <c r="AL810" t="n">
        <v>12</v>
      </c>
      <c r="AM810" t="n">
        <v>12</v>
      </c>
      <c r="AN810" t="n">
        <v>12</v>
      </c>
      <c r="AO810" t="n">
        <v>12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60</v>
      </c>
      <c r="AY810" t="n">
        <v>0.375</v>
      </c>
      <c r="AZ810" t="n">
        <v>5005</v>
      </c>
      <c r="BA810" t="n">
        <v>1876.875</v>
      </c>
      <c r="BB810" t="n">
        <v>703.828125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60</v>
      </c>
      <c r="BK810" t="n">
        <v>60</v>
      </c>
      <c r="BL810" t="n">
        <v>0</v>
      </c>
    </row>
    <row r="811" hidden="1" outlineLevel="1" ht="31.2" customHeight="1" s="191">
      <c r="A811" s="275" t="n">
        <v>1</v>
      </c>
      <c r="B811" s="260" t="inlineStr">
        <is>
          <t>b</t>
        </is>
      </c>
      <c r="C811" s="261" t="n">
        <v>4</v>
      </c>
      <c r="D811" s="276" t="inlineStr">
        <is>
          <t>.z08_1_b_4</t>
        </is>
      </c>
      <c r="E811" s="277" t="inlineStr">
        <is>
          <t>Opracowanie założeń modeli, schematów, organizacji i prezentacji danych wejściowych</t>
        </is>
      </c>
      <c r="F811" s="538" t="inlineStr">
        <is>
          <t>Imię04</t>
        </is>
      </c>
      <c r="G811" t="inlineStr">
        <is>
          <t>Nazwisko04</t>
        </is>
      </c>
      <c r="H811" t="n">
        <v>2</v>
      </c>
      <c r="I811" t="inlineStr">
        <is>
          <t>.a04</t>
        </is>
      </c>
      <c r="J811" t="n">
        <v>121</v>
      </c>
      <c r="K811" t="n">
        <v>47044</v>
      </c>
      <c r="L811" t="n">
        <v>47045</v>
      </c>
      <c r="M811" t="n">
        <v>121</v>
      </c>
      <c r="N811" t="n">
        <v>1</v>
      </c>
      <c r="O811" t="n">
        <v>80</v>
      </c>
      <c r="P811" t="n">
        <v>0</v>
      </c>
      <c r="Q811" t="n">
        <v>0</v>
      </c>
      <c r="R811" t="n">
        <v>0</v>
      </c>
      <c r="S811" t="n">
        <v>0</v>
      </c>
      <c r="T811" t="n">
        <v>0.2</v>
      </c>
      <c r="U811" t="n">
        <v>0.2</v>
      </c>
      <c r="V811" t="n">
        <v>0.2</v>
      </c>
      <c r="W811" t="n">
        <v>0.2</v>
      </c>
      <c r="X811" t="n">
        <v>0.2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16</v>
      </c>
      <c r="AL811" t="n">
        <v>16</v>
      </c>
      <c r="AM811" t="n">
        <v>16</v>
      </c>
      <c r="AN811" t="n">
        <v>16</v>
      </c>
      <c r="AO811" t="n">
        <v>16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80</v>
      </c>
      <c r="AY811" t="n">
        <v>0.5</v>
      </c>
      <c r="AZ811" t="n">
        <v>5004</v>
      </c>
      <c r="BA811" t="n">
        <v>2502</v>
      </c>
      <c r="BB811" t="n">
        <v>1251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80</v>
      </c>
      <c r="BK811" t="n">
        <v>80</v>
      </c>
      <c r="BL811" t="n">
        <v>0</v>
      </c>
    </row>
    <row r="812" hidden="1" outlineLevel="1" ht="31.2" customHeight="1" s="191">
      <c r="A812" s="275" t="n">
        <v>1</v>
      </c>
      <c r="B812" s="260" t="inlineStr">
        <is>
          <t>c</t>
        </is>
      </c>
      <c r="C812" s="261" t="n">
        <v>0</v>
      </c>
      <c r="D812" s="276" t="inlineStr">
        <is>
          <t>.z08_1_c_0</t>
        </is>
      </c>
      <c r="E812" s="277" t="inlineStr">
        <is>
          <t>Zgromadzenie danych historycznych (ostatnie 3 lata), dot.</t>
        </is>
      </c>
      <c r="F812" s="538" t="n">
        <v>0</v>
      </c>
      <c r="G812" t="n">
        <v>0</v>
      </c>
      <c r="H812" t="n">
        <v>0</v>
      </c>
      <c r="I812" t="n">
        <v>0</v>
      </c>
      <c r="J812" t="n">
        <v>122</v>
      </c>
      <c r="K812" t="n">
        <v>47051</v>
      </c>
      <c r="L812" t="n">
        <v>47051</v>
      </c>
      <c r="M812" t="n">
        <v>121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</row>
    <row r="813" hidden="1" outlineLevel="1" ht="31.2" customHeight="1" s="191">
      <c r="A813" s="275" t="n">
        <v>1</v>
      </c>
      <c r="B813" s="260" t="inlineStr">
        <is>
          <t>c</t>
        </is>
      </c>
      <c r="C813" s="261" t="n">
        <v>1</v>
      </c>
      <c r="D813" s="276" t="inlineStr">
        <is>
          <t>.z08_1_c_1</t>
        </is>
      </c>
      <c r="E813" s="277" t="inlineStr">
        <is>
          <t>Ruchu wózków widłowych (trasy, czas przejazdu, częstotliwość)</t>
        </is>
      </c>
      <c r="F813" s="538" t="inlineStr">
        <is>
          <t>Imię04</t>
        </is>
      </c>
      <c r="G813" t="inlineStr">
        <is>
          <t>Nazwisko04</t>
        </is>
      </c>
      <c r="H813" t="n">
        <v>3</v>
      </c>
      <c r="I813" t="inlineStr">
        <is>
          <t>.a04</t>
        </is>
      </c>
      <c r="J813" t="n">
        <v>122</v>
      </c>
      <c r="K813" t="n">
        <v>47051</v>
      </c>
      <c r="L813" t="n">
        <v>47051</v>
      </c>
      <c r="M813" t="n">
        <v>121</v>
      </c>
      <c r="N813" t="n">
        <v>0</v>
      </c>
      <c r="O813" t="n">
        <v>30</v>
      </c>
      <c r="P813" t="n">
        <v>0</v>
      </c>
      <c r="Q813" t="n">
        <v>0</v>
      </c>
      <c r="R813" t="n">
        <v>0</v>
      </c>
      <c r="S813" t="n">
        <v>0</v>
      </c>
      <c r="T813" t="n">
        <v>0.2</v>
      </c>
      <c r="U813" t="n">
        <v>0.2</v>
      </c>
      <c r="V813" t="n">
        <v>0.2</v>
      </c>
      <c r="W813" t="n">
        <v>0.2</v>
      </c>
      <c r="X813" t="n">
        <v>0.2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6</v>
      </c>
      <c r="AL813" t="n">
        <v>6</v>
      </c>
      <c r="AM813" t="n">
        <v>6</v>
      </c>
      <c r="AN813" t="n">
        <v>6</v>
      </c>
      <c r="AO813" t="n">
        <v>6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30</v>
      </c>
      <c r="AY813" t="n">
        <v>0.1875</v>
      </c>
      <c r="AZ813" t="n">
        <v>5004</v>
      </c>
      <c r="BA813" t="n">
        <v>938.25</v>
      </c>
      <c r="BB813" t="n">
        <v>175.921875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30</v>
      </c>
      <c r="BK813" t="n">
        <v>30</v>
      </c>
      <c r="BL813" t="n">
        <v>0</v>
      </c>
    </row>
    <row r="814" hidden="1" outlineLevel="1" ht="31.2" customHeight="1" s="191">
      <c r="A814" s="275" t="n">
        <v>1</v>
      </c>
      <c r="B814" s="260" t="inlineStr">
        <is>
          <t>c</t>
        </is>
      </c>
      <c r="C814" s="261" t="n">
        <v>2</v>
      </c>
      <c r="D814" s="276" t="inlineStr">
        <is>
          <t>.z08_1_c_2</t>
        </is>
      </c>
      <c r="E814" s="277" t="inlineStr">
        <is>
          <t>Umieszczania i pobierania palet z półek regałów</t>
        </is>
      </c>
      <c r="F814" s="538" t="inlineStr">
        <is>
          <t>Imię05</t>
        </is>
      </c>
      <c r="G814" t="inlineStr">
        <is>
          <t>Nazwisko05</t>
        </is>
      </c>
      <c r="H814" t="n">
        <v>3</v>
      </c>
      <c r="I814" t="inlineStr">
        <is>
          <t>.a05</t>
        </is>
      </c>
      <c r="J814" t="n">
        <v>122</v>
      </c>
      <c r="K814" t="n">
        <v>47051</v>
      </c>
      <c r="L814" t="n">
        <v>47051</v>
      </c>
      <c r="M814" t="n">
        <v>121</v>
      </c>
      <c r="N814" t="n">
        <v>0</v>
      </c>
      <c r="O814" t="n">
        <v>25</v>
      </c>
      <c r="P814" t="n">
        <v>0</v>
      </c>
      <c r="Q814" t="n">
        <v>0</v>
      </c>
      <c r="R814" t="n">
        <v>0</v>
      </c>
      <c r="S814" t="n">
        <v>0</v>
      </c>
      <c r="T814" t="n">
        <v>0.2</v>
      </c>
      <c r="U814" t="n">
        <v>0.2</v>
      </c>
      <c r="V814" t="n">
        <v>0.2</v>
      </c>
      <c r="W814" t="n">
        <v>0.2</v>
      </c>
      <c r="X814" t="n">
        <v>0.2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5</v>
      </c>
      <c r="AL814" t="n">
        <v>5</v>
      </c>
      <c r="AM814" t="n">
        <v>5</v>
      </c>
      <c r="AN814" t="n">
        <v>5</v>
      </c>
      <c r="AO814" t="n">
        <v>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25</v>
      </c>
      <c r="AY814" t="n">
        <v>0.15625</v>
      </c>
      <c r="AZ814" t="n">
        <v>5005</v>
      </c>
      <c r="BA814" t="n">
        <v>782.03125</v>
      </c>
      <c r="BB814" t="n">
        <v>122.1923828125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25</v>
      </c>
      <c r="BK814" t="n">
        <v>25</v>
      </c>
      <c r="BL814" t="n">
        <v>0</v>
      </c>
    </row>
    <row r="815" hidden="1" outlineLevel="1" ht="31.2" customHeight="1" s="191">
      <c r="A815" s="275" t="n">
        <v>1</v>
      </c>
      <c r="B815" s="260" t="inlineStr">
        <is>
          <t>c</t>
        </is>
      </c>
      <c r="C815" s="261" t="n">
        <v>3</v>
      </c>
      <c r="D815" s="276" t="inlineStr">
        <is>
          <t>.z08_1_c_3</t>
        </is>
      </c>
      <c r="E815" s="277" t="inlineStr">
        <is>
          <t>Parametrów operacyjnych (np. załadunki, rozładunki, czas spędzony na poszczególnych operacjach)</t>
        </is>
      </c>
      <c r="F815" s="538" t="inlineStr">
        <is>
          <t>Imię04</t>
        </is>
      </c>
      <c r="G815" t="inlineStr">
        <is>
          <t>Nazwisko04</t>
        </is>
      </c>
      <c r="H815" t="n">
        <v>3</v>
      </c>
      <c r="I815" t="inlineStr">
        <is>
          <t>.a04</t>
        </is>
      </c>
      <c r="J815" t="n">
        <v>122</v>
      </c>
      <c r="K815" t="n">
        <v>47051</v>
      </c>
      <c r="L815" t="n">
        <v>47051</v>
      </c>
      <c r="M815" t="n">
        <v>121</v>
      </c>
      <c r="N815" t="n">
        <v>0</v>
      </c>
      <c r="O815" t="n">
        <v>25</v>
      </c>
      <c r="P815" t="n">
        <v>0</v>
      </c>
      <c r="Q815" t="n">
        <v>0</v>
      </c>
      <c r="R815" t="n">
        <v>0</v>
      </c>
      <c r="S815" t="n">
        <v>0</v>
      </c>
      <c r="T815" t="n">
        <v>0.2</v>
      </c>
      <c r="U815" t="n">
        <v>0.2</v>
      </c>
      <c r="V815" t="n">
        <v>0.2</v>
      </c>
      <c r="W815" t="n">
        <v>0.2</v>
      </c>
      <c r="X815" t="n">
        <v>0.2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5</v>
      </c>
      <c r="AL815" t="n">
        <v>5</v>
      </c>
      <c r="AM815" t="n">
        <v>5</v>
      </c>
      <c r="AN815" t="n">
        <v>5</v>
      </c>
      <c r="AO815" t="n">
        <v>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25</v>
      </c>
      <c r="AY815" t="n">
        <v>0.15625</v>
      </c>
      <c r="AZ815" t="n">
        <v>5004</v>
      </c>
      <c r="BA815" t="n">
        <v>781.875</v>
      </c>
      <c r="BB815" t="n">
        <v>122.16796875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25</v>
      </c>
      <c r="BK815" t="n">
        <v>25</v>
      </c>
      <c r="BL815" t="n">
        <v>0</v>
      </c>
    </row>
    <row r="816" hidden="1" outlineLevel="1" ht="31.2" customHeight="1" s="191">
      <c r="A816" s="275" t="n">
        <v>1</v>
      </c>
      <c r="B816" s="260" t="inlineStr">
        <is>
          <t>d</t>
        </is>
      </c>
      <c r="C816" s="261" t="n">
        <v>1</v>
      </c>
      <c r="D816" s="276" t="inlineStr">
        <is>
          <t>.z08_1_d_1</t>
        </is>
      </c>
      <c r="E816" s="277" t="inlineStr">
        <is>
          <t>Oczyszczanie, normalizacja, konwersja i standaryzacja danych (procedury ETL), w tym usuwanie duplikatów i korekcji błędów, do jednolitego formatu na potrzeby dokładności analiz i predykcji, spójności i możliwość ła-twego przetwarzania,</t>
        </is>
      </c>
      <c r="F816" s="538" t="inlineStr">
        <is>
          <t>Imię05</t>
        </is>
      </c>
      <c r="G816" t="inlineStr">
        <is>
          <t>Nazwisko05</t>
        </is>
      </c>
      <c r="H816" t="n">
        <v>4</v>
      </c>
      <c r="I816" t="inlineStr">
        <is>
          <t>.a05</t>
        </is>
      </c>
      <c r="J816" t="n">
        <v>122</v>
      </c>
      <c r="K816" t="n">
        <v>47051</v>
      </c>
      <c r="L816" t="n">
        <v>47052</v>
      </c>
      <c r="M816" t="n">
        <v>122</v>
      </c>
      <c r="N816" t="n">
        <v>1</v>
      </c>
      <c r="O816" t="n">
        <v>80</v>
      </c>
      <c r="P816" t="n">
        <v>0</v>
      </c>
      <c r="Q816" t="n">
        <v>0</v>
      </c>
      <c r="R816" t="n">
        <v>0</v>
      </c>
      <c r="S816" t="n">
        <v>0</v>
      </c>
      <c r="T816" t="n">
        <v>0.2</v>
      </c>
      <c r="U816" t="n">
        <v>0.2</v>
      </c>
      <c r="V816" t="n">
        <v>0.2</v>
      </c>
      <c r="W816" t="n">
        <v>0.2</v>
      </c>
      <c r="X816" t="n">
        <v>0.2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16</v>
      </c>
      <c r="AL816" t="n">
        <v>16</v>
      </c>
      <c r="AM816" t="n">
        <v>16</v>
      </c>
      <c r="AN816" t="n">
        <v>16</v>
      </c>
      <c r="AO816" t="n">
        <v>16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80</v>
      </c>
      <c r="AY816" t="n">
        <v>0.5</v>
      </c>
      <c r="AZ816" t="n">
        <v>5005</v>
      </c>
      <c r="BA816" t="n">
        <v>2502.5</v>
      </c>
      <c r="BB816" t="n">
        <v>1251.25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80</v>
      </c>
      <c r="BK816" t="n">
        <v>80</v>
      </c>
      <c r="BL816" t="n">
        <v>0</v>
      </c>
    </row>
    <row r="817" hidden="1" outlineLevel="1" ht="31.2" customHeight="1" s="191">
      <c r="A817" s="275" t="n">
        <v>2</v>
      </c>
      <c r="B817" s="260" t="inlineStr">
        <is>
          <t>a</t>
        </is>
      </c>
      <c r="C817" s="261" t="n">
        <v>1</v>
      </c>
      <c r="D817" s="276" t="inlineStr">
        <is>
          <t>.z08_2_a_1</t>
        </is>
      </c>
      <c r="E817" s="277" t="inlineStr">
        <is>
          <t>2.Badanie technologii do śledzenia ruchu wózków widłowych i lokalizacji palet (np. GPS i RFID) pod kątem przechowywania inffromacjiw bazie danych. Przeprowadzenie analiz w celu optymalizacji tras wózków widłowych i efektywności składowania</t>
        </is>
      </c>
      <c r="F817" s="538" t="inlineStr">
        <is>
          <t>Imię04</t>
        </is>
      </c>
      <c r="G817" t="inlineStr">
        <is>
          <t>Nazwisko04</t>
        </is>
      </c>
      <c r="H817" t="n">
        <v>5</v>
      </c>
      <c r="I817" t="inlineStr">
        <is>
          <t>.a04</t>
        </is>
      </c>
      <c r="J817" t="n">
        <v>123</v>
      </c>
      <c r="K817" t="n">
        <v>47058</v>
      </c>
      <c r="L817" t="n">
        <v>47060</v>
      </c>
      <c r="M817" t="n">
        <v>124</v>
      </c>
      <c r="N817" t="n">
        <v>2</v>
      </c>
      <c r="O817" t="n">
        <v>160</v>
      </c>
      <c r="P817" t="n">
        <v>0</v>
      </c>
      <c r="Q817" t="n">
        <v>0</v>
      </c>
      <c r="R817" t="n">
        <v>0</v>
      </c>
      <c r="S817" t="n">
        <v>0</v>
      </c>
      <c r="T817" t="n">
        <v>0.2</v>
      </c>
      <c r="U817" t="n">
        <v>0.2</v>
      </c>
      <c r="V817" t="n">
        <v>0.2</v>
      </c>
      <c r="W817" t="n">
        <v>0.2</v>
      </c>
      <c r="X817" t="n">
        <v>0.2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32</v>
      </c>
      <c r="AL817" t="n">
        <v>32</v>
      </c>
      <c r="AM817" t="n">
        <v>32</v>
      </c>
      <c r="AN817" t="n">
        <v>32</v>
      </c>
      <c r="AO817" t="n">
        <v>32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160</v>
      </c>
      <c r="AY817" t="n">
        <v>1</v>
      </c>
      <c r="AZ817" t="n">
        <v>5004</v>
      </c>
      <c r="BA817" t="n">
        <v>5004</v>
      </c>
      <c r="BB817" t="n">
        <v>5004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160</v>
      </c>
      <c r="BK817" t="n">
        <v>160</v>
      </c>
      <c r="BL817" t="n">
        <v>0</v>
      </c>
    </row>
    <row r="818" hidden="1" outlineLevel="1" ht="31.2" customHeight="1" s="191">
      <c r="A818" s="275" t="n">
        <v>3</v>
      </c>
      <c r="B818" s="260" t="inlineStr">
        <is>
          <t>a</t>
        </is>
      </c>
      <c r="C818" s="261" t="n">
        <v>0</v>
      </c>
      <c r="D818" s="276" t="inlineStr">
        <is>
          <t>.z08_3_a_0</t>
        </is>
      </c>
      <c r="E818" s="277" t="inlineStr">
        <is>
          <t>3.Implementacja BDMWS w infrastrukturze Wnioskodawcy w oparciu o wybrane platformy bazodanowe, np. Oracle, MSSQL, MySQL</t>
        </is>
      </c>
      <c r="F818" s="538" t="n">
        <v>0</v>
      </c>
      <c r="G818" t="n">
        <v>0</v>
      </c>
      <c r="H818" t="n">
        <v>0</v>
      </c>
      <c r="I818" t="n">
        <v>0</v>
      </c>
      <c r="J818" t="n">
        <v>125</v>
      </c>
      <c r="K818" t="n">
        <v>47072</v>
      </c>
      <c r="L818" t="n">
        <v>47072</v>
      </c>
      <c r="M818" t="n">
        <v>124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</row>
    <row r="819" hidden="1" outlineLevel="1" ht="31.2" customHeight="1" s="191">
      <c r="A819" s="275" t="n">
        <v>3</v>
      </c>
      <c r="B819" s="260" t="inlineStr">
        <is>
          <t>a</t>
        </is>
      </c>
      <c r="C819" s="261" t="n">
        <v>1</v>
      </c>
      <c r="D819" s="276" t="inlineStr">
        <is>
          <t>.z08_3_a_1</t>
        </is>
      </c>
      <c r="E819" s="277" t="inlineStr">
        <is>
          <t>Testowanie i walidacja platform bazodanowych (testy funkcjonalne i wydajnościowe, w tym obciążeniowe i regresyjne) jest kluczowe dla zapewnienia, że baza danych działa zgodnie z wymaganiami i jest gotowa do użycia</t>
        </is>
      </c>
      <c r="F819" s="538" t="inlineStr">
        <is>
          <t>Imię04</t>
        </is>
      </c>
      <c r="G819" t="inlineStr">
        <is>
          <t>Nazwisko04</t>
        </is>
      </c>
      <c r="H819" t="n">
        <v>6</v>
      </c>
      <c r="I819" t="inlineStr">
        <is>
          <t>.a04</t>
        </is>
      </c>
      <c r="J819" t="n">
        <v>125</v>
      </c>
      <c r="K819" t="n">
        <v>47072</v>
      </c>
      <c r="L819" t="n">
        <v>47073</v>
      </c>
      <c r="M819" t="n">
        <v>125</v>
      </c>
      <c r="N819" t="n">
        <v>1</v>
      </c>
      <c r="O819" t="n">
        <v>80</v>
      </c>
      <c r="P819" t="n">
        <v>0</v>
      </c>
      <c r="Q819" t="n">
        <v>0</v>
      </c>
      <c r="R819" t="n">
        <v>0</v>
      </c>
      <c r="S819" t="n">
        <v>0</v>
      </c>
      <c r="T819" t="n">
        <v>0.2</v>
      </c>
      <c r="U819" t="n">
        <v>0.2</v>
      </c>
      <c r="V819" t="n">
        <v>0.2</v>
      </c>
      <c r="W819" t="n">
        <v>0.2</v>
      </c>
      <c r="X819" t="n">
        <v>0.2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16</v>
      </c>
      <c r="AL819" t="n">
        <v>16</v>
      </c>
      <c r="AM819" t="n">
        <v>16</v>
      </c>
      <c r="AN819" t="n">
        <v>16</v>
      </c>
      <c r="AO819" t="n">
        <v>16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80</v>
      </c>
      <c r="AY819" t="n">
        <v>0.5</v>
      </c>
      <c r="AZ819" t="n">
        <v>5004</v>
      </c>
      <c r="BA819" t="n">
        <v>2502</v>
      </c>
      <c r="BB819" t="n">
        <v>1251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80</v>
      </c>
      <c r="BK819" t="n">
        <v>80</v>
      </c>
      <c r="BL819" t="n">
        <v>0</v>
      </c>
    </row>
    <row r="820" hidden="1" outlineLevel="1" ht="31.2" customHeight="1" s="191">
      <c r="A820" s="275" t="n">
        <v>3</v>
      </c>
      <c r="B820" s="260" t="inlineStr">
        <is>
          <t>b</t>
        </is>
      </c>
      <c r="C820" s="261" t="n">
        <v>1</v>
      </c>
      <c r="D820" s="276" t="inlineStr">
        <is>
          <t>.z08_3_b_1</t>
        </is>
      </c>
      <c r="E820" s="277" t="inlineStr">
        <is>
          <t>Wybór platformy bazodanowej na podstawie testów wydajnościowych BDMWS</t>
        </is>
      </c>
      <c r="F820" s="538" t="inlineStr">
        <is>
          <t>Imię05</t>
        </is>
      </c>
      <c r="G820" t="inlineStr">
        <is>
          <t>Nazwisko05</t>
        </is>
      </c>
      <c r="H820" t="n">
        <v>6</v>
      </c>
      <c r="I820" t="inlineStr">
        <is>
          <t>.a05</t>
        </is>
      </c>
      <c r="J820" t="n">
        <v>126</v>
      </c>
      <c r="K820" t="n">
        <v>47079</v>
      </c>
      <c r="L820" t="n">
        <v>47079</v>
      </c>
      <c r="M820" t="n">
        <v>125</v>
      </c>
      <c r="N820" t="n">
        <v>0</v>
      </c>
      <c r="O820" t="n">
        <v>8</v>
      </c>
      <c r="P820" t="n">
        <v>0</v>
      </c>
      <c r="Q820" t="n">
        <v>0</v>
      </c>
      <c r="R820" t="n">
        <v>0</v>
      </c>
      <c r="S820" t="n">
        <v>0</v>
      </c>
      <c r="T820" t="n">
        <v>0.2</v>
      </c>
      <c r="U820" t="n">
        <v>0.2</v>
      </c>
      <c r="V820" t="n">
        <v>0.2</v>
      </c>
      <c r="W820" t="n">
        <v>0.2</v>
      </c>
      <c r="X820" t="n">
        <v>0.2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2</v>
      </c>
      <c r="AL820" t="n">
        <v>2</v>
      </c>
      <c r="AM820" t="n">
        <v>2</v>
      </c>
      <c r="AN820" t="n">
        <v>2</v>
      </c>
      <c r="AO820" t="n">
        <v>2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10</v>
      </c>
      <c r="AY820" t="n">
        <v>0.0625</v>
      </c>
      <c r="AZ820" t="n">
        <v>5005</v>
      </c>
      <c r="BA820" t="n">
        <v>312.8125</v>
      </c>
      <c r="BB820" t="n">
        <v>19.55078125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8</v>
      </c>
      <c r="BK820" t="n">
        <v>10</v>
      </c>
      <c r="BL820" t="n">
        <v>-2</v>
      </c>
    </row>
    <row r="821" hidden="1" outlineLevel="1" ht="31.2" customHeight="1" s="191">
      <c r="A821" s="275" t="n">
        <v>3</v>
      </c>
      <c r="B821" s="260" t="inlineStr">
        <is>
          <t>c</t>
        </is>
      </c>
      <c r="C821" s="261" t="n">
        <v>1</v>
      </c>
      <c r="D821" s="276" t="inlineStr">
        <is>
          <t>.z08_3_c_1</t>
        </is>
      </c>
      <c r="E821" s="277" t="inlineStr">
        <is>
          <t>Wybór odpowiedniej platformy technologicznej zapewniającej skalowalność, bezpieczeństwo i wydajność analiz AI/ML</t>
        </is>
      </c>
      <c r="F821" s="538" t="inlineStr">
        <is>
          <t>Imię04</t>
        </is>
      </c>
      <c r="G821" t="inlineStr">
        <is>
          <t>Nazwisko04</t>
        </is>
      </c>
      <c r="H821" t="n">
        <v>6</v>
      </c>
      <c r="I821" t="inlineStr">
        <is>
          <t>.a04</t>
        </is>
      </c>
      <c r="J821" t="n">
        <v>126</v>
      </c>
      <c r="K821" t="n">
        <v>47079</v>
      </c>
      <c r="L821" t="n">
        <v>47079</v>
      </c>
      <c r="M821" t="n">
        <v>125</v>
      </c>
      <c r="N821" t="n">
        <v>0</v>
      </c>
      <c r="O821" t="n">
        <v>8</v>
      </c>
      <c r="P821" t="n">
        <v>0</v>
      </c>
      <c r="Q821" t="n">
        <v>0</v>
      </c>
      <c r="R821" t="n">
        <v>0</v>
      </c>
      <c r="S821" t="n">
        <v>0</v>
      </c>
      <c r="T821" t="n">
        <v>0.2</v>
      </c>
      <c r="U821" t="n">
        <v>0.2</v>
      </c>
      <c r="V821" t="n">
        <v>0.2</v>
      </c>
      <c r="W821" t="n">
        <v>0.2</v>
      </c>
      <c r="X821" t="n">
        <v>0.2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2</v>
      </c>
      <c r="AL821" t="n">
        <v>2</v>
      </c>
      <c r="AM821" t="n">
        <v>2</v>
      </c>
      <c r="AN821" t="n">
        <v>2</v>
      </c>
      <c r="AO821" t="n">
        <v>2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10</v>
      </c>
      <c r="AY821" t="n">
        <v>0.0625</v>
      </c>
      <c r="AZ821" t="n">
        <v>5004</v>
      </c>
      <c r="BA821" t="n">
        <v>312.75</v>
      </c>
      <c r="BB821" t="n">
        <v>19.546875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8</v>
      </c>
      <c r="BK821" t="n">
        <v>10</v>
      </c>
      <c r="BL821" t="n">
        <v>-2</v>
      </c>
    </row>
    <row r="822" hidden="1" outlineLevel="1" ht="31.2" customHeight="1" s="191">
      <c r="A822" s="275" t="n">
        <v>3</v>
      </c>
      <c r="B822" s="260" t="inlineStr">
        <is>
          <t>d</t>
        </is>
      </c>
      <c r="C822" s="261" t="n">
        <v>1</v>
      </c>
      <c r="D822" s="276" t="inlineStr">
        <is>
          <t>.z08_3_d_1</t>
        </is>
      </c>
      <c r="E822" s="277" t="inlineStr">
        <is>
          <t>Fizyczna implementacja BDMWS na platformach technologicznych (np. Google Cloud, Microsoft Azure, NVidia AI)</t>
        </is>
      </c>
      <c r="F822" s="538" t="inlineStr">
        <is>
          <t>Imię05</t>
        </is>
      </c>
      <c r="G822" t="inlineStr">
        <is>
          <t>Nazwisko05</t>
        </is>
      </c>
      <c r="H822" t="n">
        <v>7</v>
      </c>
      <c r="I822" t="inlineStr">
        <is>
          <t>.a05</t>
        </is>
      </c>
      <c r="J822" t="n">
        <v>126</v>
      </c>
      <c r="K822" t="n">
        <v>47079</v>
      </c>
      <c r="L822" t="n">
        <v>47080</v>
      </c>
      <c r="M822" t="n">
        <v>126</v>
      </c>
      <c r="N822" t="n">
        <v>1</v>
      </c>
      <c r="O822" t="n">
        <v>100</v>
      </c>
      <c r="P822" t="n">
        <v>0</v>
      </c>
      <c r="Q822" t="n">
        <v>0</v>
      </c>
      <c r="R822" t="n">
        <v>0</v>
      </c>
      <c r="S822" t="n">
        <v>0</v>
      </c>
      <c r="T822" t="n">
        <v>0.2</v>
      </c>
      <c r="U822" t="n">
        <v>0.2</v>
      </c>
      <c r="V822" t="n">
        <v>0.2</v>
      </c>
      <c r="W822" t="n">
        <v>0.2</v>
      </c>
      <c r="X822" t="n">
        <v>0.2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20</v>
      </c>
      <c r="AL822" t="n">
        <v>20</v>
      </c>
      <c r="AM822" t="n">
        <v>20</v>
      </c>
      <c r="AN822" t="n">
        <v>20</v>
      </c>
      <c r="AO822" t="n">
        <v>20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100</v>
      </c>
      <c r="AY822" t="n">
        <v>0.625</v>
      </c>
      <c r="AZ822" t="n">
        <v>5005</v>
      </c>
      <c r="BA822" t="n">
        <v>3128.125</v>
      </c>
      <c r="BB822" t="n">
        <v>1955.078125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100</v>
      </c>
      <c r="BK822" t="n">
        <v>100</v>
      </c>
      <c r="BL822" t="n">
        <v>0</v>
      </c>
    </row>
    <row r="823" hidden="1" outlineLevel="1" ht="31.2" customHeight="1" s="191">
      <c r="A823" s="275" t="n">
        <v>3</v>
      </c>
      <c r="B823" s="260" t="inlineStr">
        <is>
          <t>e</t>
        </is>
      </c>
      <c r="C823" s="261" t="n">
        <v>1</v>
      </c>
      <c r="D823" s="276" t="inlineStr">
        <is>
          <t>.z08_3_e_1</t>
        </is>
      </c>
      <c r="E823" s="277" t="inlineStr">
        <is>
          <t>Utworzenie mechanizmu do transferu danych między infrastrukturą Wnioskodawcy a platformami technologicznymi (np. Google Cloud, Microsoft Azure, NVidia AI)</t>
        </is>
      </c>
      <c r="F823" s="538" t="inlineStr">
        <is>
          <t>ENDAWA_01</t>
        </is>
      </c>
      <c r="G823" t="n">
        <v>0</v>
      </c>
      <c r="H823" t="n">
        <v>8</v>
      </c>
      <c r="I823" t="inlineStr">
        <is>
          <t>.e01</t>
        </is>
      </c>
      <c r="J823" t="n">
        <v>127</v>
      </c>
      <c r="K823" t="n">
        <v>47086</v>
      </c>
      <c r="L823" t="n">
        <v>47087</v>
      </c>
      <c r="M823" t="n">
        <v>127</v>
      </c>
      <c r="N823" t="n">
        <v>1</v>
      </c>
      <c r="O823" t="n">
        <v>200</v>
      </c>
      <c r="P823" t="n">
        <v>0</v>
      </c>
      <c r="Q823" t="n">
        <v>0</v>
      </c>
      <c r="R823" t="n">
        <v>0</v>
      </c>
      <c r="S823" t="n">
        <v>0</v>
      </c>
      <c r="T823" t="n">
        <v>0.12</v>
      </c>
      <c r="U823" t="n">
        <v>0.12</v>
      </c>
      <c r="V823" t="n">
        <v>0.12</v>
      </c>
      <c r="W823" t="n">
        <v>0.12</v>
      </c>
      <c r="X823" t="n">
        <v>0.12</v>
      </c>
      <c r="Y823" t="n">
        <v>0.4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24</v>
      </c>
      <c r="AL823" t="n">
        <v>24</v>
      </c>
      <c r="AM823" t="n">
        <v>24</v>
      </c>
      <c r="AN823" t="n">
        <v>24</v>
      </c>
      <c r="AO823" t="n">
        <v>24</v>
      </c>
      <c r="AP823" t="n">
        <v>80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120</v>
      </c>
      <c r="AY823" t="n">
        <v>0.75</v>
      </c>
      <c r="AZ823" t="e">
        <v>#N/A</v>
      </c>
      <c r="BA823" t="e">
        <v>#N/A</v>
      </c>
      <c r="BB823" t="e">
        <v>#N/A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200</v>
      </c>
      <c r="BK823" t="n">
        <v>200</v>
      </c>
      <c r="BL823" t="n">
        <v>0</v>
      </c>
    </row>
    <row r="824" hidden="1" outlineLevel="1" ht="31.2" customHeight="1" s="191">
      <c r="A824" s="275" t="n">
        <v>4</v>
      </c>
      <c r="B824" s="260" t="inlineStr">
        <is>
          <t>a</t>
        </is>
      </c>
      <c r="C824" s="261" t="n">
        <v>1</v>
      </c>
      <c r="D824" s="276" t="inlineStr">
        <is>
          <t>.z08_4_a_1</t>
        </is>
      </c>
      <c r="E824" s="277" t="inlineStr">
        <is>
          <t>4.Opracowanie narzędzi do automatycznego monitorowania, wykrywających anomalie i nieprawidłowości w danych w czasie rzeczywistym, współpracujących z wybraną platformą bazodanową, przeprowadzających au-tomatyczne sprawdzanie kompletności rekordów. Flagowane będą rekordy z brakującymi danymi natychmiast po ich wprowadzeniu/aktualizacji i wysyłane powiadomienia do administratorów, gdy liczba tych rekordów przekro-czy próg 10 rekordów. Będą śledzić czas ostatniej aktualizacji każdego rekordu, flagując te, które nie były aktua-lizowane zgodnie z ustalonym harmonogramem (co 24h i generować odpowiednie alerty.</t>
        </is>
      </c>
      <c r="F824" s="538" t="inlineStr">
        <is>
          <t>Imię05</t>
        </is>
      </c>
      <c r="G824" t="inlineStr">
        <is>
          <t>Nazwisko05</t>
        </is>
      </c>
      <c r="H824" t="n">
        <v>9</v>
      </c>
      <c r="I824" t="inlineStr">
        <is>
          <t>.a05</t>
        </is>
      </c>
      <c r="J824" t="n">
        <v>128</v>
      </c>
      <c r="K824" t="n">
        <v>47093</v>
      </c>
      <c r="L824" t="n">
        <v>47093</v>
      </c>
      <c r="M824" t="n">
        <v>127</v>
      </c>
      <c r="N824" t="n">
        <v>0</v>
      </c>
      <c r="O824" t="n">
        <v>30</v>
      </c>
      <c r="P824" t="n">
        <v>0</v>
      </c>
      <c r="Q824" t="n">
        <v>0</v>
      </c>
      <c r="R824" t="n">
        <v>0</v>
      </c>
      <c r="S824" t="n">
        <v>0</v>
      </c>
      <c r="T824" t="n">
        <v>0.2</v>
      </c>
      <c r="U824" t="n">
        <v>0.2</v>
      </c>
      <c r="V824" t="n">
        <v>0.2</v>
      </c>
      <c r="W824" t="n">
        <v>0.2</v>
      </c>
      <c r="X824" t="n">
        <v>0.2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6</v>
      </c>
      <c r="AL824" t="n">
        <v>6</v>
      </c>
      <c r="AM824" t="n">
        <v>6</v>
      </c>
      <c r="AN824" t="n">
        <v>6</v>
      </c>
      <c r="AO824" t="n">
        <v>6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30</v>
      </c>
      <c r="AY824" t="n">
        <v>0.1875</v>
      </c>
      <c r="AZ824" t="n">
        <v>5005</v>
      </c>
      <c r="BA824" t="n">
        <v>938.4375</v>
      </c>
      <c r="BB824" t="n">
        <v>175.95703125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30</v>
      </c>
      <c r="BK824" t="n">
        <v>30</v>
      </c>
      <c r="BL824" t="n">
        <v>0</v>
      </c>
    </row>
    <row r="825" hidden="1" outlineLevel="1" ht="31.2" customHeight="1" s="191">
      <c r="A825" s="275" t="n">
        <v>5</v>
      </c>
      <c r="B825" s="260" t="inlineStr">
        <is>
          <t>a</t>
        </is>
      </c>
      <c r="C825" s="261" t="n">
        <v>0</v>
      </c>
      <c r="D825" s="276" t="inlineStr">
        <is>
          <t>.z08_5_a_0</t>
        </is>
      </c>
      <c r="E825" s="277" t="inlineStr">
        <is>
          <t>5.Połączenie BDMWS z wybranym systemem AI/ML, co pozwoli na zbadanie potencjału zaawansowanych me-tod analitycznych AI/ML w celu zwiększenia wydajności procesów magazynowych.</t>
        </is>
      </c>
      <c r="F825" s="538" t="n">
        <v>0</v>
      </c>
      <c r="G825" t="n">
        <v>0</v>
      </c>
      <c r="H825" t="n">
        <v>0</v>
      </c>
      <c r="I825" t="n">
        <v>0</v>
      </c>
      <c r="J825" t="n">
        <v>128</v>
      </c>
      <c r="K825" t="n">
        <v>47093</v>
      </c>
      <c r="L825" t="n">
        <v>47093</v>
      </c>
      <c r="M825" t="n">
        <v>127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</row>
    <row r="826" hidden="1" outlineLevel="1" ht="31.2" customHeight="1" s="191">
      <c r="A826" s="275" t="n">
        <v>5</v>
      </c>
      <c r="B826" s="260" t="inlineStr">
        <is>
          <t>a</t>
        </is>
      </c>
      <c r="C826" s="261" t="n">
        <v>1</v>
      </c>
      <c r="D826" s="276" t="inlineStr">
        <is>
          <t>.z08_5_a_1</t>
        </is>
      </c>
      <c r="E826" s="277" t="inlineStr">
        <is>
          <t xml:space="preserve">Zaimportowanie BDMWS w środowisku wybranej platformy AI/ML </t>
        </is>
      </c>
      <c r="F826" s="538" t="inlineStr">
        <is>
          <t>Imię05</t>
        </is>
      </c>
      <c r="G826" t="inlineStr">
        <is>
          <t>Nazwisko05</t>
        </is>
      </c>
      <c r="H826" t="n">
        <v>9</v>
      </c>
      <c r="I826" t="inlineStr">
        <is>
          <t>.a05</t>
        </is>
      </c>
      <c r="J826" t="n">
        <v>128</v>
      </c>
      <c r="K826" t="n">
        <v>47093</v>
      </c>
      <c r="L826" t="n">
        <v>47093</v>
      </c>
      <c r="M826" t="n">
        <v>127</v>
      </c>
      <c r="N826" t="n">
        <v>0</v>
      </c>
      <c r="O826" t="n">
        <v>40</v>
      </c>
      <c r="P826" t="n">
        <v>0</v>
      </c>
      <c r="Q826" t="n">
        <v>0</v>
      </c>
      <c r="R826" t="n">
        <v>0</v>
      </c>
      <c r="S826" t="n">
        <v>0</v>
      </c>
      <c r="T826" t="n">
        <v>0.2</v>
      </c>
      <c r="U826" t="n">
        <v>0.2</v>
      </c>
      <c r="V826" t="n">
        <v>0.2</v>
      </c>
      <c r="W826" t="n">
        <v>0.2</v>
      </c>
      <c r="X826" t="n">
        <v>0.2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8</v>
      </c>
      <c r="AL826" t="n">
        <v>8</v>
      </c>
      <c r="AM826" t="n">
        <v>8</v>
      </c>
      <c r="AN826" t="n">
        <v>8</v>
      </c>
      <c r="AO826" t="n">
        <v>8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40</v>
      </c>
      <c r="AY826" t="n">
        <v>0.25</v>
      </c>
      <c r="AZ826" t="n">
        <v>5005</v>
      </c>
      <c r="BA826" t="n">
        <v>1251.25</v>
      </c>
      <c r="BB826" t="n">
        <v>312.8125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40</v>
      </c>
      <c r="BK826" t="n">
        <v>40</v>
      </c>
      <c r="BL826" t="n">
        <v>0</v>
      </c>
    </row>
    <row r="827" hidden="1" outlineLevel="1" ht="31.2" customHeight="1" s="191">
      <c r="A827" s="275" t="n">
        <v>5</v>
      </c>
      <c r="B827" s="260" t="inlineStr">
        <is>
          <t>b</t>
        </is>
      </c>
      <c r="C827" s="261" t="n">
        <v>1</v>
      </c>
      <c r="D827" s="276" t="inlineStr">
        <is>
          <t>.z08_5_b_1</t>
        </is>
      </c>
      <c r="E827" s="277" t="inlineStr">
        <is>
          <t>Sprawdzenie i potwierdzenie poprawności zaimplementowanych danych. Określenie zestawu danych testowych i referencyjnych do dalszych analiz</t>
        </is>
      </c>
      <c r="F827" s="538" t="inlineStr">
        <is>
          <t>Imię04</t>
        </is>
      </c>
      <c r="G827" t="inlineStr">
        <is>
          <t>Nazwisko04</t>
        </is>
      </c>
      <c r="H827" t="n">
        <v>9</v>
      </c>
      <c r="I827" t="inlineStr">
        <is>
          <t>.a04</t>
        </is>
      </c>
      <c r="J827" t="n">
        <v>128</v>
      </c>
      <c r="K827" t="n">
        <v>47093</v>
      </c>
      <c r="L827" t="n">
        <v>47093</v>
      </c>
      <c r="M827" t="n">
        <v>127</v>
      </c>
      <c r="N827" t="n">
        <v>0</v>
      </c>
      <c r="O827" t="n">
        <v>40</v>
      </c>
      <c r="P827" t="n">
        <v>0</v>
      </c>
      <c r="Q827" t="n">
        <v>0</v>
      </c>
      <c r="R827" t="n">
        <v>0</v>
      </c>
      <c r="S827" t="n">
        <v>0</v>
      </c>
      <c r="T827" t="n">
        <v>0.2</v>
      </c>
      <c r="U827" t="n">
        <v>0.2</v>
      </c>
      <c r="V827" t="n">
        <v>0.2</v>
      </c>
      <c r="W827" t="n">
        <v>0.2</v>
      </c>
      <c r="X827" t="n">
        <v>0.2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</v>
      </c>
      <c r="AL827" t="n">
        <v>8</v>
      </c>
      <c r="AM827" t="n">
        <v>8</v>
      </c>
      <c r="AN827" t="n">
        <v>8</v>
      </c>
      <c r="AO827" t="n">
        <v>8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40</v>
      </c>
      <c r="AY827" t="n">
        <v>0.25</v>
      </c>
      <c r="AZ827" t="n">
        <v>5004</v>
      </c>
      <c r="BA827" t="n">
        <v>1251</v>
      </c>
      <c r="BB827" t="n">
        <v>312.75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40</v>
      </c>
      <c r="BK827" t="n">
        <v>40</v>
      </c>
      <c r="BL827" t="n">
        <v>0</v>
      </c>
    </row>
    <row r="828" hidden="1" outlineLevel="1" ht="31.2" customHeight="1" s="191">
      <c r="A828" s="275" t="n">
        <v>5</v>
      </c>
      <c r="B828" s="260" t="inlineStr">
        <is>
          <t>c</t>
        </is>
      </c>
      <c r="C828" s="261" t="n">
        <v>1</v>
      </c>
      <c r="D828" s="276" t="inlineStr">
        <is>
          <t>.z08_5_c_1</t>
        </is>
      </c>
      <c r="E828" s="277" t="inlineStr">
        <is>
          <t xml:space="preserve">Stworzenie zautomatyzowanego systemu aktualizacji danych BDMWS zintegrowanej z platformą. </t>
        </is>
      </c>
      <c r="F828" s="538" t="inlineStr">
        <is>
          <t>Imię05</t>
        </is>
      </c>
      <c r="G828" t="inlineStr">
        <is>
          <t>Nazwisko05</t>
        </is>
      </c>
      <c r="H828" t="n">
        <v>9</v>
      </c>
      <c r="I828" t="inlineStr">
        <is>
          <t>.a05</t>
        </is>
      </c>
      <c r="J828" t="n">
        <v>128</v>
      </c>
      <c r="K828" t="n">
        <v>47093</v>
      </c>
      <c r="L828" t="n">
        <v>47094</v>
      </c>
      <c r="M828" t="n">
        <v>128</v>
      </c>
      <c r="N828" t="n">
        <v>1</v>
      </c>
      <c r="O828" t="n">
        <v>80</v>
      </c>
      <c r="P828" t="n">
        <v>0</v>
      </c>
      <c r="Q828" t="n">
        <v>0</v>
      </c>
      <c r="R828" t="n">
        <v>0</v>
      </c>
      <c r="S828" t="n">
        <v>0</v>
      </c>
      <c r="T828" t="n">
        <v>0.2</v>
      </c>
      <c r="U828" t="n">
        <v>0.2</v>
      </c>
      <c r="V828" t="n">
        <v>0.2</v>
      </c>
      <c r="W828" t="n">
        <v>0.2</v>
      </c>
      <c r="X828" t="n">
        <v>0.2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16</v>
      </c>
      <c r="AL828" t="n">
        <v>16</v>
      </c>
      <c r="AM828" t="n">
        <v>16</v>
      </c>
      <c r="AN828" t="n">
        <v>16</v>
      </c>
      <c r="AO828" t="n">
        <v>16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80</v>
      </c>
      <c r="AY828" t="n">
        <v>0.5</v>
      </c>
      <c r="AZ828" t="n">
        <v>5005</v>
      </c>
      <c r="BA828" t="n">
        <v>2502.5</v>
      </c>
      <c r="BB828" t="n">
        <v>1251.25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80</v>
      </c>
      <c r="BK828" t="n">
        <v>80</v>
      </c>
      <c r="BL828" t="n">
        <v>0</v>
      </c>
    </row>
    <row r="829" hidden="1" outlineLevel="1" ht="31.2" customHeight="1" s="191">
      <c r="A829" s="275" t="n">
        <v>6</v>
      </c>
      <c r="B829" s="260" t="inlineStr">
        <is>
          <t>a</t>
        </is>
      </c>
      <c r="C829" s="261" t="n">
        <v>1</v>
      </c>
      <c r="D829" s="276" t="inlineStr">
        <is>
          <t>.z08_6_a_1</t>
        </is>
      </c>
      <c r="E829" s="277" t="inlineStr">
        <is>
          <t>6.Opracowanie procedur/strategii bezpieczeństwa i zarządzania BDMWS</t>
        </is>
      </c>
      <c r="F829" s="538" t="inlineStr">
        <is>
          <t>Imię04</t>
        </is>
      </c>
      <c r="G829" t="inlineStr">
        <is>
          <t>Nazwisko04</t>
        </is>
      </c>
      <c r="H829" t="n">
        <v>10</v>
      </c>
      <c r="I829" t="inlineStr">
        <is>
          <t>.a04</t>
        </is>
      </c>
      <c r="J829" t="n">
        <v>129</v>
      </c>
      <c r="K829" t="n">
        <v>47100</v>
      </c>
      <c r="L829" t="n">
        <v>47100</v>
      </c>
      <c r="M829" t="n">
        <v>128</v>
      </c>
      <c r="N829" t="n">
        <v>0</v>
      </c>
      <c r="O829" t="n">
        <v>20</v>
      </c>
      <c r="P829" t="n">
        <v>0</v>
      </c>
      <c r="Q829" t="n">
        <v>0</v>
      </c>
      <c r="R829" t="n">
        <v>0</v>
      </c>
      <c r="S829" t="n">
        <v>0</v>
      </c>
      <c r="T829" t="n">
        <v>0.2</v>
      </c>
      <c r="U829" t="n">
        <v>0.2</v>
      </c>
      <c r="V829" t="n">
        <v>0.2</v>
      </c>
      <c r="W829" t="n">
        <v>0.2</v>
      </c>
      <c r="X829" t="n">
        <v>0.2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4</v>
      </c>
      <c r="AL829" t="n">
        <v>4</v>
      </c>
      <c r="AM829" t="n">
        <v>4</v>
      </c>
      <c r="AN829" t="n">
        <v>4</v>
      </c>
      <c r="AO829" t="n">
        <v>4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20</v>
      </c>
      <c r="AY829" t="n">
        <v>0.125</v>
      </c>
      <c r="AZ829" t="n">
        <v>5004</v>
      </c>
      <c r="BA829" t="n">
        <v>625.5</v>
      </c>
      <c r="BB829" t="n">
        <v>78.1875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20</v>
      </c>
      <c r="BK829" t="n">
        <v>20</v>
      </c>
      <c r="BL829" t="n">
        <v>0</v>
      </c>
    </row>
    <row r="830" hidden="1" outlineLevel="1" ht="31.2" customHeight="1" s="191">
      <c r="A830" s="275" t="n">
        <v>7</v>
      </c>
      <c r="B830" s="260" t="inlineStr">
        <is>
          <t>a</t>
        </is>
      </c>
      <c r="C830" s="261" t="n">
        <v>1</v>
      </c>
      <c r="D830" s="276" t="inlineStr">
        <is>
          <t>.z08_7_a_1</t>
        </is>
      </c>
      <c r="E830" s="277" t="inlineStr">
        <is>
          <t>7.Opracowanie dokumentacji BDMWS</t>
        </is>
      </c>
      <c r="F830" s="538" t="inlineStr">
        <is>
          <t>Imię05</t>
        </is>
      </c>
      <c r="G830" t="inlineStr">
        <is>
          <t>Nazwisko05</t>
        </is>
      </c>
      <c r="H830" t="n">
        <v>11</v>
      </c>
      <c r="I830" t="inlineStr">
        <is>
          <t>.a05</t>
        </is>
      </c>
      <c r="J830" t="n">
        <v>129</v>
      </c>
      <c r="K830" t="n">
        <v>47100</v>
      </c>
      <c r="L830" t="n">
        <v>47101</v>
      </c>
      <c r="M830" t="n">
        <v>129</v>
      </c>
      <c r="N830" t="n">
        <v>1</v>
      </c>
      <c r="O830" t="n">
        <v>60</v>
      </c>
      <c r="P830" t="n">
        <v>0</v>
      </c>
      <c r="Q830" t="n">
        <v>0</v>
      </c>
      <c r="R830" t="n">
        <v>0</v>
      </c>
      <c r="S830" t="n">
        <v>0</v>
      </c>
      <c r="T830" t="n">
        <v>0.2</v>
      </c>
      <c r="U830" t="n">
        <v>0.2</v>
      </c>
      <c r="V830" t="n">
        <v>0.2</v>
      </c>
      <c r="W830" t="n">
        <v>0.2</v>
      </c>
      <c r="X830" t="n">
        <v>0.2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12</v>
      </c>
      <c r="AL830" t="n">
        <v>12</v>
      </c>
      <c r="AM830" t="n">
        <v>12</v>
      </c>
      <c r="AN830" t="n">
        <v>12</v>
      </c>
      <c r="AO830" t="n">
        <v>12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60</v>
      </c>
      <c r="AY830" t="n">
        <v>0.375</v>
      </c>
      <c r="AZ830" t="n">
        <v>5005</v>
      </c>
      <c r="BA830" t="n">
        <v>1876.875</v>
      </c>
      <c r="BB830" t="n">
        <v>703.828125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60</v>
      </c>
      <c r="BK830" t="n">
        <v>60</v>
      </c>
      <c r="BL830" t="n">
        <v>0</v>
      </c>
    </row>
    <row r="831" hidden="1" outlineLevel="1" ht="15.6" customHeight="1" s="191">
      <c r="A831" s="275" t="n"/>
      <c r="B831" s="260" t="n"/>
      <c r="C831" s="261" t="n"/>
      <c r="D831" s="276" t="n"/>
      <c r="E831" s="277" t="n"/>
      <c r="F831" s="538" t="n"/>
      <c r="BJ831" t="n">
        <v>0</v>
      </c>
      <c r="BK831" t="n">
        <v>0</v>
      </c>
      <c r="BL831" t="n">
        <v>0</v>
      </c>
    </row>
    <row r="832" hidden="1" outlineLevel="1" ht="15.6" customHeight="1" s="191">
      <c r="A832" s="275" t="n"/>
      <c r="B832" s="260" t="n"/>
      <c r="C832" s="261" t="n"/>
      <c r="D832" s="276" t="n"/>
      <c r="E832" s="277" t="n"/>
      <c r="F832" s="538" t="n"/>
      <c r="BJ832" t="n">
        <v>0</v>
      </c>
      <c r="BK832" t="n">
        <v>0</v>
      </c>
      <c r="BL832" t="n">
        <v>0</v>
      </c>
    </row>
    <row r="833" hidden="1" outlineLevel="1" ht="15.6" customHeight="1" s="191">
      <c r="A833" s="275" t="n"/>
      <c r="B833" s="260" t="n"/>
      <c r="C833" s="261" t="n"/>
      <c r="D833" s="276" t="n"/>
      <c r="E833" s="277" t="n"/>
      <c r="F833" s="538" t="n"/>
      <c r="BJ833" t="n">
        <v>0</v>
      </c>
      <c r="BK833" t="n">
        <v>0</v>
      </c>
      <c r="BL833" t="n">
        <v>0</v>
      </c>
    </row>
    <row r="834" hidden="1" outlineLevel="1" ht="15.6" customHeight="1" s="191">
      <c r="A834" s="275" t="n"/>
      <c r="B834" s="260" t="n"/>
      <c r="C834" s="261" t="n"/>
      <c r="D834" s="276" t="n"/>
      <c r="E834" s="277" t="n"/>
      <c r="F834" s="538" t="n"/>
      <c r="BJ834" t="n">
        <v>0</v>
      </c>
      <c r="BK834" t="n">
        <v>0</v>
      </c>
      <c r="BL834" t="n">
        <v>0</v>
      </c>
    </row>
    <row r="835" hidden="1" outlineLevel="1" ht="15.6" customHeight="1" s="191">
      <c r="A835" s="275" t="n"/>
      <c r="B835" s="260" t="n"/>
      <c r="C835" s="261" t="n"/>
      <c r="D835" s="276" t="n"/>
      <c r="E835" s="277" t="n"/>
      <c r="F835" s="538" t="n"/>
      <c r="BJ835" t="n">
        <v>0</v>
      </c>
      <c r="BK835" t="n">
        <v>0</v>
      </c>
      <c r="BL835" t="n">
        <v>0</v>
      </c>
    </row>
    <row r="836" hidden="1" outlineLevel="1" ht="15.6" customHeight="1" s="191">
      <c r="A836" s="275" t="n"/>
      <c r="B836" s="260" t="n"/>
      <c r="C836" s="261" t="n"/>
      <c r="D836" s="276" t="n"/>
      <c r="E836" s="277" t="n"/>
      <c r="F836" s="538" t="n"/>
      <c r="BJ836" t="n">
        <v>0</v>
      </c>
      <c r="BK836" t="n">
        <v>0</v>
      </c>
      <c r="BL836" t="n">
        <v>0</v>
      </c>
    </row>
    <row r="837" hidden="1" outlineLevel="1" ht="15.6" customHeight="1" s="191">
      <c r="A837" s="275" t="n"/>
      <c r="B837" s="260" t="n"/>
      <c r="C837" s="261" t="n"/>
      <c r="D837" s="276" t="n"/>
      <c r="E837" s="277" t="n"/>
      <c r="F837" s="538" t="n"/>
      <c r="BJ837" t="n">
        <v>0</v>
      </c>
      <c r="BK837" t="n">
        <v>0</v>
      </c>
      <c r="BL837" t="n">
        <v>0</v>
      </c>
    </row>
    <row r="838" hidden="1" outlineLevel="1" ht="15.6" customHeight="1" s="191">
      <c r="A838" s="275" t="n"/>
      <c r="B838" s="260" t="n"/>
      <c r="C838" s="261" t="n"/>
      <c r="D838" s="276" t="n"/>
      <c r="E838" s="277" t="n"/>
      <c r="F838" s="538" t="n"/>
      <c r="BJ838" t="n">
        <v>0</v>
      </c>
      <c r="BK838" t="n">
        <v>0</v>
      </c>
      <c r="BL838" t="n">
        <v>0</v>
      </c>
    </row>
    <row r="839" hidden="1" outlineLevel="1" ht="15.6" customHeight="1" s="191">
      <c r="A839" s="275" t="n"/>
      <c r="B839" s="260" t="n"/>
      <c r="C839" s="261" t="n"/>
      <c r="D839" s="276" t="n"/>
      <c r="E839" s="277" t="n"/>
      <c r="F839" s="538" t="n"/>
      <c r="BJ839" t="n">
        <v>0</v>
      </c>
      <c r="BK839" t="n">
        <v>0</v>
      </c>
      <c r="BL839" t="n">
        <v>0</v>
      </c>
    </row>
    <row r="840" hidden="1" outlineLevel="1" ht="15.6" customHeight="1" s="191">
      <c r="A840" s="275" t="n"/>
      <c r="B840" s="260" t="n"/>
      <c r="C840" s="261" t="n"/>
      <c r="D840" s="276" t="n"/>
      <c r="E840" s="277" t="n"/>
      <c r="F840" s="538" t="n"/>
      <c r="BJ840" t="n">
        <v>0</v>
      </c>
      <c r="BK840" t="n">
        <v>0</v>
      </c>
      <c r="BL840" t="n">
        <v>0</v>
      </c>
    </row>
    <row r="841" hidden="1" outlineLevel="1" ht="15.6" customHeight="1" s="191">
      <c r="A841" s="275" t="n"/>
      <c r="B841" s="260" t="n"/>
      <c r="C841" s="261" t="n"/>
      <c r="D841" s="276" t="n"/>
      <c r="E841" s="277" t="n"/>
      <c r="F841" s="538" t="n"/>
      <c r="BJ841" t="n">
        <v>0</v>
      </c>
      <c r="BK841" t="n">
        <v>0</v>
      </c>
      <c r="BL841" t="n">
        <v>0</v>
      </c>
    </row>
    <row r="842" hidden="1" outlineLevel="1" ht="15.6" customHeight="1" s="191">
      <c r="A842" s="275" t="n"/>
      <c r="B842" s="260" t="n"/>
      <c r="C842" s="261" t="n"/>
      <c r="D842" s="276" t="n"/>
      <c r="E842" s="277" t="n"/>
      <c r="F842" s="538" t="n"/>
      <c r="BJ842" t="n">
        <v>0</v>
      </c>
      <c r="BK842" t="n">
        <v>0</v>
      </c>
      <c r="BL842" t="n">
        <v>0</v>
      </c>
    </row>
    <row r="843" hidden="1" outlineLevel="1" ht="15.6" customHeight="1" s="191">
      <c r="A843" s="275" t="n"/>
      <c r="B843" s="260" t="n"/>
      <c r="C843" s="261" t="n"/>
      <c r="D843" s="276" t="n"/>
      <c r="E843" s="277" t="n"/>
      <c r="F843" s="538" t="n"/>
      <c r="BJ843" t="n">
        <v>0</v>
      </c>
      <c r="BK843" t="n">
        <v>0</v>
      </c>
      <c r="BL843" t="n">
        <v>0</v>
      </c>
    </row>
    <row r="844" hidden="1" outlineLevel="1" ht="15.6" customHeight="1" s="191">
      <c r="A844" s="275" t="n"/>
      <c r="B844" s="260" t="n"/>
      <c r="C844" s="261" t="n"/>
      <c r="D844" s="276" t="n"/>
      <c r="E844" s="277" t="n"/>
      <c r="F844" s="538" t="n"/>
      <c r="BJ844" t="n">
        <v>0</v>
      </c>
      <c r="BK844" t="n">
        <v>0</v>
      </c>
      <c r="BL844" t="n">
        <v>0</v>
      </c>
    </row>
    <row r="845" hidden="1" outlineLevel="1" ht="15.6" customHeight="1" s="191">
      <c r="A845" s="275" t="n"/>
      <c r="B845" s="260" t="n"/>
      <c r="C845" s="261" t="n"/>
      <c r="D845" s="276" t="n"/>
      <c r="E845" s="277" t="n"/>
      <c r="F845" s="538" t="n"/>
      <c r="BJ845" t="n">
        <v>0</v>
      </c>
      <c r="BK845" t="n">
        <v>0</v>
      </c>
      <c r="BL845" t="n">
        <v>0</v>
      </c>
    </row>
    <row r="846" hidden="1" outlineLevel="1" ht="15.6" customHeight="1" s="191">
      <c r="A846" s="275" t="n"/>
      <c r="B846" s="260" t="n"/>
      <c r="C846" s="261" t="n"/>
      <c r="D846" s="276" t="n"/>
      <c r="E846" s="277" t="n"/>
      <c r="F846" s="538" t="n"/>
      <c r="BJ846" t="n">
        <v>0</v>
      </c>
      <c r="BK846" t="n">
        <v>0</v>
      </c>
      <c r="BL846" t="n">
        <v>0</v>
      </c>
    </row>
    <row r="847" hidden="1" outlineLevel="1" ht="15.6" customHeight="1" s="191">
      <c r="A847" s="275" t="n"/>
      <c r="B847" s="260" t="n"/>
      <c r="C847" s="261" t="n"/>
      <c r="D847" s="276" t="n"/>
      <c r="E847" s="277" t="n"/>
      <c r="F847" s="538" t="n"/>
      <c r="BJ847" t="n">
        <v>0</v>
      </c>
      <c r="BK847" t="n">
        <v>0</v>
      </c>
      <c r="BL847" t="n">
        <v>0</v>
      </c>
    </row>
    <row r="848" hidden="1" outlineLevel="1" ht="15.6" customHeight="1" s="191">
      <c r="A848" s="275" t="n"/>
      <c r="B848" s="260" t="n"/>
      <c r="C848" s="261" t="n"/>
      <c r="D848" s="276" t="n"/>
      <c r="E848" s="277" t="n"/>
      <c r="F848" s="538" t="n"/>
      <c r="BJ848" t="n">
        <v>0</v>
      </c>
      <c r="BK848" t="n">
        <v>0</v>
      </c>
      <c r="BL848" t="n">
        <v>0</v>
      </c>
    </row>
    <row r="849" hidden="1" outlineLevel="1" ht="15.6" customHeight="1" s="191">
      <c r="A849" s="275" t="n"/>
      <c r="B849" s="260" t="n"/>
      <c r="C849" s="261" t="n"/>
      <c r="D849" s="276" t="n"/>
      <c r="E849" s="277" t="n"/>
      <c r="F849" s="538" t="n"/>
      <c r="BJ849" t="n">
        <v>0</v>
      </c>
      <c r="BK849" t="n">
        <v>0</v>
      </c>
      <c r="BL849" t="n">
        <v>0</v>
      </c>
    </row>
    <row r="850" hidden="1" outlineLevel="1" ht="15.6" customHeight="1" s="191">
      <c r="A850" s="275" t="n"/>
      <c r="B850" s="260" t="n"/>
      <c r="C850" s="261" t="n"/>
      <c r="D850" s="276" t="n"/>
      <c r="E850" s="277" t="n"/>
      <c r="F850" s="538" t="n"/>
      <c r="BJ850" t="n">
        <v>0</v>
      </c>
      <c r="BK850" t="n">
        <v>0</v>
      </c>
      <c r="BL850" t="n">
        <v>0</v>
      </c>
    </row>
    <row r="851" hidden="1" outlineLevel="1" ht="15.6" customHeight="1" s="191">
      <c r="A851" s="275" t="n"/>
      <c r="B851" s="260" t="n"/>
      <c r="C851" s="261" t="n"/>
      <c r="D851" s="276" t="n"/>
      <c r="E851" s="277" t="n"/>
      <c r="F851" s="538" t="n"/>
      <c r="BJ851" t="n">
        <v>0</v>
      </c>
      <c r="BK851" t="n">
        <v>0</v>
      </c>
      <c r="BL851" t="n">
        <v>0</v>
      </c>
    </row>
    <row r="852" hidden="1" outlineLevel="1" ht="15.6" customHeight="1" s="191">
      <c r="A852" s="275" t="n"/>
      <c r="B852" s="260" t="n"/>
      <c r="C852" s="261" t="n"/>
      <c r="D852" s="276" t="n"/>
      <c r="E852" s="277" t="n"/>
      <c r="F852" s="538" t="n"/>
      <c r="BJ852" t="n">
        <v>0</v>
      </c>
      <c r="BK852" t="n">
        <v>0</v>
      </c>
      <c r="BL852" t="n">
        <v>0</v>
      </c>
    </row>
    <row r="853" hidden="1" outlineLevel="1" ht="15.6" customHeight="1" s="191">
      <c r="A853" s="275" t="n"/>
      <c r="B853" s="260" t="n"/>
      <c r="C853" s="261" t="n"/>
      <c r="D853" s="276" t="n"/>
      <c r="E853" s="277" t="n"/>
      <c r="F853" s="538" t="n"/>
      <c r="BJ853" t="n">
        <v>0</v>
      </c>
      <c r="BK853" t="n">
        <v>0</v>
      </c>
      <c r="BL853" t="n">
        <v>0</v>
      </c>
    </row>
    <row r="854" hidden="1" outlineLevel="1" ht="15.6" customHeight="1" s="191">
      <c r="A854" s="275" t="n"/>
      <c r="B854" s="260" t="n"/>
      <c r="C854" s="261" t="n"/>
      <c r="D854" s="276" t="n"/>
      <c r="E854" s="277" t="n"/>
      <c r="F854" s="538" t="n"/>
      <c r="BJ854" t="n">
        <v>0</v>
      </c>
      <c r="BK854" t="n">
        <v>0</v>
      </c>
      <c r="BL854" t="n">
        <v>0</v>
      </c>
    </row>
    <row r="855" hidden="1" outlineLevel="1" ht="15.6" customHeight="1" s="191">
      <c r="A855" s="275" t="n"/>
      <c r="B855" s="260" t="n"/>
      <c r="C855" s="261" t="n"/>
      <c r="D855" s="276" t="n"/>
      <c r="E855" s="277" t="n"/>
      <c r="F855" s="538" t="n"/>
      <c r="BJ855" t="n">
        <v>0</v>
      </c>
      <c r="BK855" t="n">
        <v>0</v>
      </c>
      <c r="BL855" t="n">
        <v>0</v>
      </c>
    </row>
    <row r="856" hidden="1" outlineLevel="1" ht="15.6" customHeight="1" s="191">
      <c r="A856" s="275" t="n"/>
      <c r="B856" s="260" t="n"/>
      <c r="C856" s="261" t="n"/>
      <c r="D856" s="276" t="n"/>
      <c r="E856" s="277" t="n"/>
      <c r="F856" s="538" t="n"/>
      <c r="BJ856" t="n">
        <v>0</v>
      </c>
      <c r="BK856" t="n">
        <v>0</v>
      </c>
      <c r="BL856" t="n">
        <v>0</v>
      </c>
    </row>
    <row r="857" hidden="1" outlineLevel="1" ht="15.6" customHeight="1" s="191">
      <c r="A857" s="275" t="n"/>
      <c r="B857" s="260" t="n"/>
      <c r="C857" s="261" t="n"/>
      <c r="D857" s="276" t="n"/>
      <c r="E857" s="277" t="n"/>
      <c r="F857" s="538" t="n"/>
      <c r="BJ857" t="n">
        <v>0</v>
      </c>
      <c r="BK857" t="n">
        <v>0</v>
      </c>
      <c r="BL857" t="n">
        <v>0</v>
      </c>
    </row>
    <row r="858" hidden="1" outlineLevel="1" ht="15.6" customHeight="1" s="191">
      <c r="A858" s="275" t="n"/>
      <c r="B858" s="260" t="n"/>
      <c r="C858" s="261" t="n"/>
      <c r="D858" s="276" t="n"/>
      <c r="E858" s="277" t="n"/>
      <c r="F858" s="538" t="n"/>
      <c r="BJ858" t="n">
        <v>0</v>
      </c>
      <c r="BK858" t="n">
        <v>0</v>
      </c>
      <c r="BL858" t="n">
        <v>0</v>
      </c>
    </row>
    <row r="859" hidden="1" outlineLevel="1" ht="15.6" customHeight="1" s="191">
      <c r="A859" s="275" t="n"/>
      <c r="B859" s="260" t="n"/>
      <c r="C859" s="261" t="n"/>
      <c r="D859" s="276" t="n"/>
      <c r="E859" s="277" t="n"/>
      <c r="F859" s="538" t="n"/>
      <c r="BJ859" t="n">
        <v>0</v>
      </c>
      <c r="BK859" t="n">
        <v>0</v>
      </c>
      <c r="BL859" t="n">
        <v>0</v>
      </c>
    </row>
    <row r="860" hidden="1" outlineLevel="1" ht="15.6" customHeight="1" s="191">
      <c r="A860" s="275" t="n"/>
      <c r="B860" s="260" t="n"/>
      <c r="C860" s="261" t="n"/>
      <c r="D860" s="276" t="n"/>
      <c r="E860" s="277" t="n"/>
      <c r="F860" s="538" t="n"/>
      <c r="BJ860" t="n">
        <v>0</v>
      </c>
      <c r="BK860" t="n">
        <v>0</v>
      </c>
      <c r="BL860" t="n">
        <v>0</v>
      </c>
    </row>
    <row r="861" hidden="1" outlineLevel="1" ht="15.6" customHeight="1" s="191">
      <c r="A861" s="275" t="n"/>
      <c r="B861" s="260" t="n"/>
      <c r="C861" s="261" t="n"/>
      <c r="D861" s="276" t="n"/>
      <c r="E861" s="277" t="n"/>
      <c r="F861" s="538" t="n"/>
      <c r="BJ861" t="n">
        <v>0</v>
      </c>
      <c r="BK861" t="n">
        <v>0</v>
      </c>
      <c r="BL861" t="n">
        <v>0</v>
      </c>
    </row>
    <row r="862" hidden="1" outlineLevel="1" ht="15.6" customHeight="1" s="191">
      <c r="A862" s="275" t="n"/>
      <c r="B862" s="260" t="n"/>
      <c r="C862" s="261" t="n"/>
      <c r="D862" s="276" t="n"/>
      <c r="E862" s="277" t="n"/>
      <c r="F862" s="538" t="n"/>
      <c r="BJ862" t="n">
        <v>0</v>
      </c>
      <c r="BK862" t="n">
        <v>0</v>
      </c>
      <c r="BL862" t="n">
        <v>0</v>
      </c>
    </row>
    <row r="863" hidden="1" outlineLevel="1" ht="15.6" customHeight="1" s="191">
      <c r="A863" s="275" t="n"/>
      <c r="B863" s="260" t="n"/>
      <c r="C863" s="261" t="n"/>
      <c r="D863" s="276" t="n"/>
      <c r="E863" s="277" t="n"/>
      <c r="F863" s="538" t="n"/>
      <c r="BJ863" t="n">
        <v>0</v>
      </c>
      <c r="BK863" t="n">
        <v>0</v>
      </c>
      <c r="BL863" t="n">
        <v>0</v>
      </c>
    </row>
    <row r="864" hidden="1" outlineLevel="1" ht="15.6" customHeight="1" s="191">
      <c r="A864" s="275" t="n"/>
      <c r="B864" s="260" t="n"/>
      <c r="C864" s="261" t="n"/>
      <c r="D864" s="276" t="n"/>
      <c r="E864" s="277" t="n"/>
      <c r="F864" s="538" t="n"/>
      <c r="BJ864" t="n">
        <v>0</v>
      </c>
      <c r="BK864" t="n">
        <v>0</v>
      </c>
      <c r="BL864" t="n">
        <v>0</v>
      </c>
    </row>
    <row r="865" hidden="1" outlineLevel="1" ht="15.6" customHeight="1" s="191">
      <c r="A865" s="275" t="n"/>
      <c r="B865" s="260" t="n"/>
      <c r="C865" s="261" t="n"/>
      <c r="D865" s="276" t="n"/>
      <c r="E865" s="277" t="n"/>
      <c r="F865" s="538" t="n"/>
      <c r="BJ865" t="n">
        <v>0</v>
      </c>
      <c r="BK865" t="n">
        <v>0</v>
      </c>
      <c r="BL865" t="n">
        <v>0</v>
      </c>
    </row>
    <row r="866" hidden="1" outlineLevel="1" ht="15.6" customHeight="1" s="191">
      <c r="A866" s="275" t="n"/>
      <c r="B866" s="260" t="n"/>
      <c r="C866" s="261" t="n"/>
      <c r="D866" s="276" t="n"/>
      <c r="E866" s="277" t="n"/>
      <c r="F866" s="538" t="n"/>
      <c r="BJ866" t="n">
        <v>0</v>
      </c>
      <c r="BK866" t="n">
        <v>0</v>
      </c>
      <c r="BL866" t="n">
        <v>0</v>
      </c>
    </row>
    <row r="867" hidden="1" outlineLevel="1" ht="15.6" customHeight="1" s="191">
      <c r="A867" s="275" t="n"/>
      <c r="B867" s="260" t="n"/>
      <c r="C867" s="261" t="n"/>
      <c r="D867" s="276" t="n"/>
      <c r="E867" s="277" t="n"/>
      <c r="F867" s="538" t="n"/>
      <c r="BJ867" t="n">
        <v>0</v>
      </c>
      <c r="BK867" t="n">
        <v>0</v>
      </c>
      <c r="BL867" t="n">
        <v>0</v>
      </c>
    </row>
    <row r="868" hidden="1" outlineLevel="1" ht="15.6" customHeight="1" s="191">
      <c r="A868" s="275" t="n"/>
      <c r="B868" s="260" t="n"/>
      <c r="C868" s="261" t="n"/>
      <c r="D868" s="276" t="n"/>
      <c r="E868" s="277" t="n"/>
      <c r="F868" s="538" t="n"/>
      <c r="BJ868" t="n">
        <v>0</v>
      </c>
      <c r="BK868" t="n">
        <v>0</v>
      </c>
      <c r="BL868" t="n">
        <v>0</v>
      </c>
    </row>
    <row r="869" hidden="1" outlineLevel="1" ht="15.6" customHeight="1" s="191">
      <c r="A869" s="275" t="n"/>
      <c r="B869" s="260" t="n"/>
      <c r="C869" s="261" t="n"/>
      <c r="D869" s="276" t="n"/>
      <c r="E869" s="277" t="n"/>
      <c r="F869" s="538" t="n"/>
      <c r="BJ869" t="n">
        <v>0</v>
      </c>
      <c r="BK869" t="n">
        <v>0</v>
      </c>
      <c r="BL869" t="n">
        <v>0</v>
      </c>
    </row>
    <row r="870" hidden="1" outlineLevel="1" ht="15.6" customHeight="1" s="191">
      <c r="A870" s="275" t="n"/>
      <c r="B870" s="260" t="n"/>
      <c r="C870" s="261" t="n"/>
      <c r="D870" s="276" t="n"/>
      <c r="E870" s="277" t="n"/>
      <c r="F870" s="538" t="n"/>
      <c r="BJ870" t="n">
        <v>0</v>
      </c>
      <c r="BK870" t="n">
        <v>0</v>
      </c>
      <c r="BL870" t="n">
        <v>0</v>
      </c>
    </row>
    <row r="871" hidden="1" outlineLevel="1" ht="15.6" customHeight="1" s="191">
      <c r="A871" s="275" t="n"/>
      <c r="B871" s="260" t="n"/>
      <c r="C871" s="261" t="n"/>
      <c r="D871" s="276" t="n"/>
      <c r="E871" s="277" t="n"/>
      <c r="F871" s="538" t="n"/>
      <c r="BJ871" t="n">
        <v>0</v>
      </c>
      <c r="BK871" t="n">
        <v>0</v>
      </c>
      <c r="BL871" t="n">
        <v>0</v>
      </c>
    </row>
    <row r="872" hidden="1" outlineLevel="1" ht="15.6" customHeight="1" s="191">
      <c r="A872" s="275" t="n"/>
      <c r="B872" s="260" t="n"/>
      <c r="C872" s="261" t="n"/>
      <c r="D872" s="276" t="n"/>
      <c r="E872" s="277" t="n"/>
      <c r="F872" s="538" t="n"/>
      <c r="BJ872" t="n">
        <v>0</v>
      </c>
      <c r="BK872" t="n">
        <v>0</v>
      </c>
      <c r="BL872" t="n">
        <v>0</v>
      </c>
    </row>
    <row r="873" hidden="1" outlineLevel="1" ht="15.6" customHeight="1" s="191">
      <c r="A873" s="275" t="n"/>
      <c r="B873" s="260" t="n"/>
      <c r="C873" s="261" t="n"/>
      <c r="D873" s="276" t="n"/>
      <c r="E873" s="277" t="n"/>
      <c r="F873" s="538" t="n"/>
      <c r="BJ873" t="n">
        <v>0</v>
      </c>
      <c r="BK873" t="n">
        <v>0</v>
      </c>
      <c r="BL873" t="n">
        <v>0</v>
      </c>
    </row>
    <row r="874" hidden="1" outlineLevel="1" ht="15.6" customHeight="1" s="191">
      <c r="A874" s="275" t="n"/>
      <c r="B874" s="260" t="n"/>
      <c r="C874" s="261" t="n"/>
      <c r="D874" s="276" t="n"/>
      <c r="E874" s="277" t="n"/>
      <c r="F874" s="538" t="n"/>
      <c r="BJ874" t="n">
        <v>0</v>
      </c>
      <c r="BK874" t="n">
        <v>0</v>
      </c>
      <c r="BL874" t="n">
        <v>0</v>
      </c>
    </row>
    <row r="875" hidden="1" outlineLevel="1" ht="15.6" customHeight="1" s="191">
      <c r="A875" s="275" t="n"/>
      <c r="B875" s="260" t="n"/>
      <c r="C875" s="261" t="n"/>
      <c r="D875" s="276" t="n"/>
      <c r="E875" s="277" t="n"/>
      <c r="F875" s="538" t="n"/>
      <c r="BJ875" t="n">
        <v>0</v>
      </c>
      <c r="BK875" t="n">
        <v>0</v>
      </c>
      <c r="BL875" t="n">
        <v>0</v>
      </c>
    </row>
    <row r="876" hidden="1" outlineLevel="1" ht="15.6" customHeight="1" s="191">
      <c r="A876" s="275" t="n"/>
      <c r="B876" s="260" t="n"/>
      <c r="C876" s="261" t="n"/>
      <c r="D876" s="276" t="n"/>
      <c r="E876" s="277" t="n"/>
      <c r="F876" s="538" t="n"/>
      <c r="BJ876" t="n">
        <v>0</v>
      </c>
      <c r="BK876" t="n">
        <v>0</v>
      </c>
      <c r="BL876" t="n">
        <v>0</v>
      </c>
    </row>
    <row r="877" hidden="1" outlineLevel="1" ht="15.6" customHeight="1" s="191">
      <c r="A877" s="275" t="n"/>
      <c r="B877" s="260" t="n"/>
      <c r="C877" s="261" t="n"/>
      <c r="D877" s="276" t="n"/>
      <c r="E877" s="277" t="n"/>
      <c r="F877" s="538" t="n"/>
      <c r="BJ877" t="n">
        <v>0</v>
      </c>
      <c r="BK877" t="n">
        <v>0</v>
      </c>
      <c r="BL877" t="n">
        <v>0</v>
      </c>
    </row>
    <row r="878" hidden="1" outlineLevel="1" ht="15.6" customHeight="1" s="191">
      <c r="A878" s="275" t="n"/>
      <c r="B878" s="260" t="n"/>
      <c r="C878" s="261" t="n"/>
      <c r="D878" s="276" t="n"/>
      <c r="E878" s="277" t="n"/>
      <c r="F878" s="538" t="n"/>
      <c r="BJ878" t="n">
        <v>0</v>
      </c>
      <c r="BK878" t="n">
        <v>0</v>
      </c>
      <c r="BL878" t="n">
        <v>0</v>
      </c>
    </row>
    <row r="879" hidden="1" outlineLevel="1" ht="15.6" customHeight="1" s="191">
      <c r="A879" s="275" t="n"/>
      <c r="B879" s="260" t="n"/>
      <c r="C879" s="261" t="n"/>
      <c r="D879" s="276" t="n"/>
      <c r="E879" s="277" t="n"/>
      <c r="F879" s="538" t="n"/>
      <c r="BJ879" t="n">
        <v>0</v>
      </c>
      <c r="BK879" t="n">
        <v>0</v>
      </c>
      <c r="BL879" t="n">
        <v>0</v>
      </c>
    </row>
    <row r="880" hidden="1" outlineLevel="1" ht="15.6" customHeight="1" s="191">
      <c r="A880" s="275" t="n"/>
      <c r="B880" s="260" t="n"/>
      <c r="C880" s="261" t="n"/>
      <c r="D880" s="276" t="n"/>
      <c r="E880" s="277" t="n"/>
      <c r="F880" s="538" t="n"/>
      <c r="BJ880" t="n">
        <v>0</v>
      </c>
      <c r="BK880" t="n">
        <v>0</v>
      </c>
      <c r="BL880" t="n">
        <v>0</v>
      </c>
    </row>
    <row r="881" hidden="1" outlineLevel="1" ht="15.6" customHeight="1" s="191">
      <c r="A881" s="275" t="n"/>
      <c r="B881" s="260" t="n"/>
      <c r="C881" s="261" t="n"/>
      <c r="D881" s="276" t="n"/>
      <c r="E881" s="277" t="n"/>
      <c r="F881" s="538" t="n"/>
      <c r="BJ881" t="n">
        <v>0</v>
      </c>
      <c r="BK881" t="n">
        <v>0</v>
      </c>
      <c r="BL881" t="n">
        <v>0</v>
      </c>
    </row>
    <row r="882" hidden="1" outlineLevel="1" ht="15.6" customHeight="1" s="191">
      <c r="A882" s="275" t="n"/>
      <c r="B882" s="260" t="n"/>
      <c r="C882" s="261" t="n"/>
      <c r="D882" s="276" t="n"/>
      <c r="E882" s="277" t="n"/>
      <c r="F882" s="538" t="n"/>
      <c r="BJ882" t="n">
        <v>0</v>
      </c>
      <c r="BK882" t="n">
        <v>0</v>
      </c>
      <c r="BL882" t="n">
        <v>0</v>
      </c>
    </row>
    <row r="883" hidden="1" outlineLevel="1" ht="15.6" customHeight="1" s="191">
      <c r="A883" s="275" t="n"/>
      <c r="B883" s="260" t="n"/>
      <c r="C883" s="261" t="n"/>
      <c r="D883" s="276" t="n"/>
      <c r="E883" s="277" t="n"/>
      <c r="F883" s="538" t="n"/>
      <c r="BJ883" t="n">
        <v>0</v>
      </c>
      <c r="BK883" t="n">
        <v>0</v>
      </c>
      <c r="BL883" t="n">
        <v>0</v>
      </c>
    </row>
    <row r="884" hidden="1" outlineLevel="1" ht="15.6" customHeight="1" s="191">
      <c r="A884" s="275" t="n"/>
      <c r="B884" s="260" t="n"/>
      <c r="C884" s="261" t="n"/>
      <c r="D884" s="276" t="n"/>
      <c r="E884" s="277" t="n"/>
      <c r="F884" s="538" t="n"/>
      <c r="BJ884" t="n">
        <v>0</v>
      </c>
      <c r="BK884" t="n">
        <v>0</v>
      </c>
      <c r="BL884" t="n">
        <v>0</v>
      </c>
    </row>
    <row r="885" hidden="1" outlineLevel="1" ht="15.6" customHeight="1" s="191">
      <c r="A885" s="275" t="n"/>
      <c r="B885" s="260" t="n"/>
      <c r="C885" s="261" t="n"/>
      <c r="D885" s="276" t="n"/>
      <c r="E885" s="277" t="n"/>
      <c r="F885" s="538" t="n"/>
      <c r="BJ885" t="n">
        <v>0</v>
      </c>
      <c r="BK885" t="n">
        <v>0</v>
      </c>
      <c r="BL885" t="n">
        <v>0</v>
      </c>
    </row>
    <row r="886" hidden="1" outlineLevel="1" ht="15.6" customHeight="1" s="191">
      <c r="A886" s="275" t="n"/>
      <c r="B886" s="260" t="n"/>
      <c r="C886" s="261" t="n"/>
      <c r="D886" s="276" t="n"/>
      <c r="E886" s="277" t="n"/>
      <c r="F886" s="538" t="n"/>
      <c r="BJ886" t="n">
        <v>0</v>
      </c>
      <c r="BK886" t="n">
        <v>0</v>
      </c>
      <c r="BL886" t="n">
        <v>0</v>
      </c>
    </row>
    <row r="887" hidden="1" outlineLevel="1" ht="15.6" customHeight="1" s="191">
      <c r="A887" s="275" t="n"/>
      <c r="B887" s="260" t="n"/>
      <c r="C887" s="261" t="n"/>
      <c r="D887" s="276" t="n"/>
      <c r="E887" s="277" t="n"/>
      <c r="F887" s="538" t="n"/>
      <c r="BJ887" t="n">
        <v>0</v>
      </c>
      <c r="BK887" t="n">
        <v>0</v>
      </c>
      <c r="BL887" t="n">
        <v>0</v>
      </c>
    </row>
    <row r="888" hidden="1" outlineLevel="1" ht="15.6" customHeight="1" s="191">
      <c r="A888" s="275" t="n"/>
      <c r="B888" s="260" t="n"/>
      <c r="C888" s="261" t="n"/>
      <c r="D888" s="276" t="n"/>
      <c r="E888" s="277" t="n"/>
      <c r="F888" s="538" t="n"/>
      <c r="BJ888" t="n">
        <v>0</v>
      </c>
      <c r="BK888" t="n">
        <v>0</v>
      </c>
      <c r="BL888" t="n">
        <v>0</v>
      </c>
    </row>
    <row r="889" hidden="1" outlineLevel="1" ht="15.6" customHeight="1" s="191">
      <c r="A889" s="275" t="n"/>
      <c r="B889" s="260" t="n"/>
      <c r="C889" s="261" t="n"/>
      <c r="D889" s="276" t="n"/>
      <c r="E889" s="277" t="n"/>
      <c r="F889" s="538" t="n"/>
      <c r="BJ889" t="n">
        <v>0</v>
      </c>
      <c r="BK889" t="n">
        <v>0</v>
      </c>
      <c r="BL889" t="n">
        <v>0</v>
      </c>
    </row>
    <row r="890" hidden="1" outlineLevel="1" ht="15.6" customHeight="1" s="191">
      <c r="A890" s="275" t="n"/>
      <c r="B890" s="260" t="n"/>
      <c r="C890" s="261" t="n"/>
      <c r="D890" s="276" t="n"/>
      <c r="E890" s="277" t="n"/>
      <c r="F890" s="538" t="n"/>
      <c r="BJ890" t="n">
        <v>0</v>
      </c>
      <c r="BK890" t="n">
        <v>0</v>
      </c>
      <c r="BL890" t="n">
        <v>0</v>
      </c>
    </row>
    <row r="891" hidden="1" outlineLevel="1" ht="15.6" customHeight="1" s="191">
      <c r="A891" s="275" t="n"/>
      <c r="B891" s="260" t="n"/>
      <c r="C891" s="261" t="n"/>
      <c r="D891" s="276" t="n"/>
      <c r="E891" s="277" t="n"/>
      <c r="F891" s="538" t="n"/>
      <c r="BJ891" t="n">
        <v>0</v>
      </c>
      <c r="BK891" t="n">
        <v>0</v>
      </c>
      <c r="BL891" t="n">
        <v>0</v>
      </c>
    </row>
    <row r="892" hidden="1" outlineLevel="1" ht="15.6" customHeight="1" s="191">
      <c r="A892" s="275" t="n"/>
      <c r="B892" s="260" t="n"/>
      <c r="C892" s="261" t="n"/>
      <c r="D892" s="276" t="n"/>
      <c r="E892" s="277" t="n"/>
      <c r="F892" s="538" t="n"/>
      <c r="BJ892" t="n">
        <v>0</v>
      </c>
      <c r="BK892" t="n">
        <v>0</v>
      </c>
      <c r="BL892" t="n">
        <v>0</v>
      </c>
    </row>
    <row r="893" hidden="1" outlineLevel="1" ht="15.6" customHeight="1" s="191">
      <c r="A893" s="275" t="n"/>
      <c r="B893" s="260" t="n"/>
      <c r="C893" s="261" t="n"/>
      <c r="D893" s="276" t="n"/>
      <c r="E893" s="277" t="n"/>
      <c r="F893" s="538" t="n"/>
      <c r="BJ893" t="n">
        <v>0</v>
      </c>
      <c r="BK893" t="n">
        <v>0</v>
      </c>
      <c r="BL893" t="n">
        <v>0</v>
      </c>
    </row>
    <row r="894" hidden="1" outlineLevel="1" ht="15.6" customHeight="1" s="191">
      <c r="A894" s="275" t="n"/>
      <c r="B894" s="260" t="n"/>
      <c r="C894" s="261" t="n"/>
      <c r="D894" s="276" t="n"/>
      <c r="E894" s="277" t="n"/>
      <c r="F894" s="538" t="n"/>
      <c r="BJ894" t="n">
        <v>0</v>
      </c>
      <c r="BK894" t="n">
        <v>0</v>
      </c>
      <c r="BL894" t="n">
        <v>0</v>
      </c>
    </row>
    <row r="895" hidden="1" outlineLevel="1" ht="15.6" customHeight="1" s="191">
      <c r="A895" s="275" t="n"/>
      <c r="B895" s="260" t="n"/>
      <c r="C895" s="261" t="n"/>
      <c r="D895" s="276" t="n"/>
      <c r="E895" s="277" t="n"/>
      <c r="F895" s="538" t="n"/>
      <c r="BJ895" t="n">
        <v>0</v>
      </c>
      <c r="BK895" t="n">
        <v>0</v>
      </c>
      <c r="BL895" t="n">
        <v>0</v>
      </c>
    </row>
    <row r="896" hidden="1" outlineLevel="1" ht="15.6" customHeight="1" s="191">
      <c r="A896" s="275" t="n"/>
      <c r="B896" s="260" t="n"/>
      <c r="C896" s="261" t="n"/>
      <c r="D896" s="276" t="n"/>
      <c r="E896" s="277" t="n"/>
      <c r="F896" s="538" t="n"/>
      <c r="BJ896" t="n">
        <v>0</v>
      </c>
      <c r="BK896" t="n">
        <v>0</v>
      </c>
      <c r="BL896" t="n">
        <v>0</v>
      </c>
    </row>
    <row r="897" hidden="1" outlineLevel="1" ht="15.6" customHeight="1" s="191">
      <c r="A897" s="275" t="n"/>
      <c r="B897" s="260" t="n"/>
      <c r="C897" s="261" t="n"/>
      <c r="D897" s="276" t="n"/>
      <c r="E897" s="277" t="n"/>
      <c r="F897" s="538" t="n"/>
      <c r="BJ897" t="n">
        <v>0</v>
      </c>
      <c r="BK897" t="n">
        <v>0</v>
      </c>
      <c r="BL897" t="n">
        <v>0</v>
      </c>
    </row>
    <row r="898" hidden="1" outlineLevel="1" ht="15.6" customHeight="1" s="191">
      <c r="A898" s="279" t="inlineStr">
        <is>
          <t>.z08</t>
        </is>
      </c>
      <c r="B898" s="260" t="n"/>
      <c r="C898" s="261" t="n"/>
      <c r="D898" s="276" t="n"/>
      <c r="E898" s="277" t="n"/>
      <c r="F898" s="538" t="n"/>
      <c r="BJ898" t="n">
        <v>0</v>
      </c>
      <c r="BK898" t="n">
        <v>0</v>
      </c>
      <c r="BL898" t="n">
        <v>0</v>
      </c>
    </row>
    <row r="899" collapsed="1" ht="15.6" customHeight="1" s="191">
      <c r="A899" s="260" t="n"/>
      <c r="B899" s="260" t="n"/>
      <c r="C899" s="261" t="n"/>
      <c r="D899" s="276" t="n"/>
      <c r="E899" s="277" t="n"/>
      <c r="F899" s="538" t="n"/>
      <c r="BJ899" t="n">
        <v>0</v>
      </c>
      <c r="BK899" t="n">
        <v>0</v>
      </c>
      <c r="BL899" t="n">
        <v>0</v>
      </c>
      <c r="BM899" t="n">
        <v>-243</v>
      </c>
    </row>
    <row r="900" ht="15.6" customHeight="1" s="191">
      <c r="A900" s="259" t="inlineStr">
        <is>
          <t>.z09</t>
        </is>
      </c>
      <c r="B900" s="260" t="n"/>
      <c r="C900" s="261" t="n"/>
      <c r="D900" s="276" t="n"/>
      <c r="E900" s="277" t="inlineStr">
        <is>
          <t>Zadanie_IX   :  Opracowanie matematycznego modelu operacji w magazynie wysokiego składowania (MWS) z wykorzystaniem mechanizmów AI i ML</t>
        </is>
      </c>
      <c r="F900" s="538" t="n"/>
      <c r="BJ900" t="n">
        <v>0</v>
      </c>
      <c r="BK900" t="n">
        <v>0</v>
      </c>
      <c r="BL900" t="n">
        <v>0</v>
      </c>
      <c r="BM900" t="n">
        <v>-243</v>
      </c>
    </row>
    <row r="901" hidden="1" outlineLevel="1" s="191">
      <c r="A901" t="n">
        <v>1</v>
      </c>
      <c r="B901" t="inlineStr">
        <is>
          <t>a</t>
        </is>
      </c>
      <c r="C901" t="n">
        <v>0</v>
      </c>
      <c r="D901" t="inlineStr">
        <is>
          <t>.z09_1_a_0</t>
        </is>
      </c>
      <c r="E901" t="inlineStr">
        <is>
          <t>1.Identyfikacja, analiza i mapowanie operacji w MWS</t>
        </is>
      </c>
      <c r="F901" t="n">
        <v>0</v>
      </c>
      <c r="G901" t="n">
        <v>0</v>
      </c>
      <c r="H901" t="n">
        <v>0</v>
      </c>
      <c r="I901" t="inlineStr">
        <is>
          <t>ACT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</row>
    <row r="902" hidden="1" outlineLevel="1" s="191">
      <c r="A902" t="n">
        <v>1</v>
      </c>
      <c r="B902" t="inlineStr">
        <is>
          <t>a</t>
        </is>
      </c>
      <c r="C902" t="n">
        <v>1</v>
      </c>
      <c r="D902" t="inlineStr">
        <is>
          <t>.z09_1_a_1</t>
        </is>
      </c>
      <c r="E902" t="inlineStr">
        <is>
          <t>Identyfikacja i analiza kluczowych operacji w MWS i ich interakcji</t>
        </is>
      </c>
      <c r="F902" t="inlineStr">
        <is>
          <t>Imię01</t>
        </is>
      </c>
      <c r="G902" t="inlineStr">
        <is>
          <t>Nazwisko01</t>
        </is>
      </c>
      <c r="H902" t="n">
        <v>1</v>
      </c>
      <c r="I902" t="inlineStr">
        <is>
          <t>.a01</t>
        </is>
      </c>
      <c r="J902" t="n">
        <v>130</v>
      </c>
      <c r="K902" t="n">
        <v>47107</v>
      </c>
      <c r="L902" t="n">
        <v>47113</v>
      </c>
      <c r="M902" t="n">
        <v>135</v>
      </c>
      <c r="N902" t="n">
        <v>6</v>
      </c>
      <c r="O902" t="n">
        <v>120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120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120</v>
      </c>
      <c r="BK902" t="n">
        <v>120</v>
      </c>
      <c r="BL902" t="n">
        <v>0</v>
      </c>
    </row>
    <row r="903" hidden="1" outlineLevel="1" s="191">
      <c r="A903" t="n">
        <v>1</v>
      </c>
      <c r="B903" t="inlineStr">
        <is>
          <t>b</t>
        </is>
      </c>
      <c r="C903" t="n">
        <v>1</v>
      </c>
      <c r="D903" t="inlineStr">
        <is>
          <t>.z09_1_b_1</t>
        </is>
      </c>
      <c r="E903" t="inlineStr">
        <is>
          <t>Określenie wskaźników KPI do oceny efektywności symulacji</t>
        </is>
      </c>
      <c r="F903" t="inlineStr">
        <is>
          <t>Imię02</t>
        </is>
      </c>
      <c r="G903" t="inlineStr">
        <is>
          <t>Nazwisko02</t>
        </is>
      </c>
      <c r="H903" t="n">
        <v>1</v>
      </c>
      <c r="I903" t="inlineStr">
        <is>
          <t>.a02</t>
        </is>
      </c>
      <c r="J903" t="n">
        <v>136</v>
      </c>
      <c r="K903" t="n">
        <v>47149</v>
      </c>
      <c r="L903" t="n">
        <v>47149</v>
      </c>
      <c r="M903" t="n">
        <v>135</v>
      </c>
      <c r="N903" t="n">
        <v>0</v>
      </c>
      <c r="O903" t="n">
        <v>120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120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120</v>
      </c>
      <c r="BK903" t="n">
        <v>120</v>
      </c>
      <c r="BL903" t="n">
        <v>0</v>
      </c>
    </row>
    <row r="904" hidden="1" outlineLevel="1" s="191">
      <c r="A904" t="n">
        <v>1</v>
      </c>
      <c r="B904" t="inlineStr">
        <is>
          <t>c</t>
        </is>
      </c>
      <c r="C904" t="n">
        <v>1</v>
      </c>
      <c r="D904" t="inlineStr">
        <is>
          <t>.z09_1_c_1</t>
        </is>
      </c>
      <c r="E904" t="inlineStr">
        <is>
          <t>Analiza wydajności</t>
        </is>
      </c>
      <c r="F904" t="inlineStr">
        <is>
          <t>Imię03</t>
        </is>
      </c>
      <c r="G904" t="inlineStr">
        <is>
          <t>Nazwisko03</t>
        </is>
      </c>
      <c r="H904" t="n">
        <v>2</v>
      </c>
      <c r="I904" t="inlineStr">
        <is>
          <t>.a03</t>
        </is>
      </c>
      <c r="J904" t="n">
        <v>136</v>
      </c>
      <c r="K904" t="n">
        <v>47149</v>
      </c>
      <c r="L904" t="n">
        <v>47149</v>
      </c>
      <c r="M904" t="n">
        <v>135</v>
      </c>
      <c r="N904" t="n">
        <v>0</v>
      </c>
      <c r="O904" t="n">
        <v>120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120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120</v>
      </c>
      <c r="BK904" t="n">
        <v>120</v>
      </c>
      <c r="BL904" t="n">
        <v>0</v>
      </c>
    </row>
    <row r="905" hidden="1" outlineLevel="1" s="191">
      <c r="A905" t="n">
        <v>1</v>
      </c>
      <c r="B905" t="inlineStr">
        <is>
          <t>d</t>
        </is>
      </c>
      <c r="C905" t="n">
        <v>1</v>
      </c>
      <c r="D905" t="inlineStr">
        <is>
          <t>.z09_1_d_1</t>
        </is>
      </c>
      <c r="E905" t="inlineStr">
        <is>
          <t>Identyfikacja wyzwań/„wąskich gardeł”</t>
        </is>
      </c>
      <c r="F905" t="inlineStr">
        <is>
          <t>Imię04</t>
        </is>
      </c>
      <c r="G905" t="inlineStr">
        <is>
          <t>Nazwisko04</t>
        </is>
      </c>
      <c r="H905" t="n">
        <v>1</v>
      </c>
      <c r="I905" t="inlineStr">
        <is>
          <t>.a04</t>
        </is>
      </c>
      <c r="J905" t="n">
        <v>136</v>
      </c>
      <c r="K905" t="n">
        <v>47149</v>
      </c>
      <c r="L905" t="n">
        <v>47149</v>
      </c>
      <c r="M905" t="n">
        <v>135</v>
      </c>
      <c r="N905" t="n">
        <v>0</v>
      </c>
      <c r="O905" t="n">
        <v>120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120</v>
      </c>
      <c r="AO905" t="n">
        <v>120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120</v>
      </c>
      <c r="BK905" t="n">
        <v>240</v>
      </c>
      <c r="BL905" t="n">
        <v>-120</v>
      </c>
    </row>
    <row r="906" hidden="1" outlineLevel="1" s="191">
      <c r="A906" t="n">
        <v>1</v>
      </c>
      <c r="B906" t="inlineStr">
        <is>
          <t>e</t>
        </is>
      </c>
      <c r="C906" t="n">
        <v>1</v>
      </c>
      <c r="D906" t="inlineStr">
        <is>
          <t>.z09_1_e_1</t>
        </is>
      </c>
      <c r="E906" t="inlineStr">
        <is>
          <t>Analiza wpływu zakłóceń dostępności infrastruktury technicznej</t>
        </is>
      </c>
      <c r="F906" t="inlineStr">
        <is>
          <t>Imię03</t>
        </is>
      </c>
      <c r="G906" t="inlineStr">
        <is>
          <t>Nazwisko03</t>
        </is>
      </c>
      <c r="H906" t="n">
        <v>1</v>
      </c>
      <c r="I906" t="inlineStr">
        <is>
          <t>.a03</t>
        </is>
      </c>
      <c r="J906" t="n">
        <v>136</v>
      </c>
      <c r="K906" t="n">
        <v>47149</v>
      </c>
      <c r="L906" t="n">
        <v>47149</v>
      </c>
      <c r="M906" t="n">
        <v>135</v>
      </c>
      <c r="N906" t="n">
        <v>0</v>
      </c>
      <c r="O906" t="n">
        <v>120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120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120</v>
      </c>
      <c r="BK906" t="n">
        <v>120</v>
      </c>
      <c r="BL906" t="n">
        <v>0</v>
      </c>
    </row>
    <row r="907" hidden="1" outlineLevel="1" s="191">
      <c r="A907" t="n">
        <v>1</v>
      </c>
      <c r="B907" t="inlineStr">
        <is>
          <t>f</t>
        </is>
      </c>
      <c r="C907" t="n">
        <v>1</v>
      </c>
      <c r="D907" t="inlineStr">
        <is>
          <t>.z09_1_f_1</t>
        </is>
      </c>
      <c r="E907" t="inlineStr">
        <is>
          <t xml:space="preserve">Stworzenie mapy zidentyfikowanych algorytmów/zjawisk/działań w MWS </t>
        </is>
      </c>
      <c r="F907" t="inlineStr">
        <is>
          <t>Imię04</t>
        </is>
      </c>
      <c r="G907" t="inlineStr">
        <is>
          <t>Nazwisko04</t>
        </is>
      </c>
      <c r="H907" t="n">
        <v>2</v>
      </c>
      <c r="I907" t="inlineStr">
        <is>
          <t>.a04</t>
        </is>
      </c>
      <c r="J907" t="n">
        <v>136</v>
      </c>
      <c r="K907" t="n">
        <v>47149</v>
      </c>
      <c r="L907" t="n">
        <v>47149</v>
      </c>
      <c r="M907" t="n">
        <v>135</v>
      </c>
      <c r="N907" t="n">
        <v>0</v>
      </c>
      <c r="O907" t="n">
        <v>120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120</v>
      </c>
      <c r="AO907" t="n">
        <v>120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120</v>
      </c>
      <c r="BK907" t="n">
        <v>240</v>
      </c>
      <c r="BL907" t="n">
        <v>-120</v>
      </c>
    </row>
    <row r="908" hidden="1" outlineLevel="1" s="191">
      <c r="A908" t="n">
        <v>2</v>
      </c>
      <c r="B908" t="inlineStr">
        <is>
          <t>a</t>
        </is>
      </c>
      <c r="C908" t="n">
        <v>-1</v>
      </c>
      <c r="D908" t="inlineStr">
        <is>
          <t>.z09_2_a_-1</t>
        </is>
      </c>
      <c r="E908" t="inlineStr">
        <is>
          <t>2.Projektowanie i matematyczne modelowanie procesów w MWS</t>
        </is>
      </c>
      <c r="F908" t="n">
        <v>0</v>
      </c>
      <c r="G908" t="n">
        <v>0</v>
      </c>
      <c r="H908" t="n">
        <v>0</v>
      </c>
      <c r="I908" t="n">
        <v>0</v>
      </c>
      <c r="J908" t="n">
        <v>136</v>
      </c>
      <c r="K908" t="n">
        <v>47149</v>
      </c>
      <c r="L908" t="n">
        <v>47149</v>
      </c>
      <c r="M908" t="n">
        <v>135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</row>
    <row r="909" hidden="1" outlineLevel="1" s="191">
      <c r="A909" t="n">
        <v>2</v>
      </c>
      <c r="B909" t="inlineStr">
        <is>
          <t>a</t>
        </is>
      </c>
      <c r="C909" t="n">
        <v>0</v>
      </c>
      <c r="D909" t="inlineStr">
        <is>
          <t>.z09_2_a_0</t>
        </is>
      </c>
      <c r="E909" t="inlineStr">
        <is>
          <t>Zdefiniowanie parametrów wej./wyj. i kluczowych zdarzeń dyskretnych</t>
        </is>
      </c>
      <c r="F909" t="n">
        <v>0</v>
      </c>
      <c r="G909" t="n">
        <v>0</v>
      </c>
      <c r="H909" t="n">
        <v>0</v>
      </c>
      <c r="I909" t="n">
        <v>0</v>
      </c>
      <c r="J909" t="n">
        <v>136</v>
      </c>
      <c r="K909" t="n">
        <v>47149</v>
      </c>
      <c r="L909" t="n">
        <v>47149</v>
      </c>
      <c r="M909" t="n">
        <v>135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</row>
    <row r="910" hidden="1" outlineLevel="1" s="191">
      <c r="A910" t="n">
        <v>2</v>
      </c>
      <c r="B910" t="inlineStr">
        <is>
          <t>a</t>
        </is>
      </c>
      <c r="C910" t="n">
        <v>1</v>
      </c>
      <c r="D910" t="inlineStr">
        <is>
          <t>.z09_2_a_1</t>
        </is>
      </c>
      <c r="E910" t="inlineStr">
        <is>
          <t>Zdefiniowanie parametrów wejściowych</t>
        </is>
      </c>
      <c r="F910" t="n">
        <v>0</v>
      </c>
      <c r="G910" t="n">
        <v>0</v>
      </c>
      <c r="H910" t="n">
        <v>3</v>
      </c>
      <c r="I910" t="inlineStr">
        <is>
          <t>ACT/END</t>
        </is>
      </c>
      <c r="J910" t="n">
        <v>136</v>
      </c>
      <c r="K910" t="n">
        <v>47149</v>
      </c>
      <c r="L910" t="n">
        <v>47151</v>
      </c>
      <c r="M910" t="n">
        <v>137</v>
      </c>
      <c r="N910" t="n">
        <v>2</v>
      </c>
      <c r="O910" t="n">
        <v>80</v>
      </c>
      <c r="P910" t="n">
        <v>0</v>
      </c>
      <c r="Q910" t="n">
        <v>0</v>
      </c>
      <c r="R910" t="n">
        <v>0</v>
      </c>
      <c r="S910" t="n">
        <v>0</v>
      </c>
      <c r="T910" t="n">
        <v>0.5</v>
      </c>
      <c r="U910" t="n">
        <v>0</v>
      </c>
      <c r="V910" t="n">
        <v>0</v>
      </c>
      <c r="W910" t="n">
        <v>0</v>
      </c>
      <c r="X910" t="n">
        <v>0</v>
      </c>
      <c r="Y910" t="n">
        <v>0.5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40</v>
      </c>
      <c r="AL910" t="n">
        <v>0</v>
      </c>
      <c r="AM910" t="n">
        <v>0</v>
      </c>
      <c r="AN910" t="n">
        <v>0</v>
      </c>
      <c r="AO910" t="n">
        <v>0</v>
      </c>
      <c r="AP910" t="n">
        <v>40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80</v>
      </c>
      <c r="BK910" t="n">
        <v>80</v>
      </c>
      <c r="BL910" t="n">
        <v>0</v>
      </c>
    </row>
    <row r="911" hidden="1" outlineLevel="1" s="191">
      <c r="A911" t="n">
        <v>2</v>
      </c>
      <c r="B911" t="inlineStr">
        <is>
          <t>a</t>
        </is>
      </c>
      <c r="C911" t="n">
        <v>2</v>
      </c>
      <c r="D911" t="inlineStr">
        <is>
          <t>.z09_2_a_2</t>
        </is>
      </c>
      <c r="E911" t="inlineStr">
        <is>
          <t>Zdefiniowanie parametrów wyjściowych</t>
        </is>
      </c>
      <c r="F911" t="n">
        <v>0</v>
      </c>
      <c r="G911" t="n">
        <v>0</v>
      </c>
      <c r="H911" t="n">
        <v>3</v>
      </c>
      <c r="I911" t="inlineStr">
        <is>
          <t>ACT/END</t>
        </is>
      </c>
      <c r="J911" t="n">
        <v>138</v>
      </c>
      <c r="K911" t="n">
        <v>47163</v>
      </c>
      <c r="L911" t="n">
        <v>47165</v>
      </c>
      <c r="M911" t="n">
        <v>139</v>
      </c>
      <c r="N911" t="n">
        <v>2</v>
      </c>
      <c r="O911" t="n">
        <v>80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0.5</v>
      </c>
      <c r="V911" t="n">
        <v>0</v>
      </c>
      <c r="W911" t="n">
        <v>0</v>
      </c>
      <c r="X911" t="n">
        <v>0</v>
      </c>
      <c r="Y911" t="n">
        <v>0</v>
      </c>
      <c r="Z911" t="n">
        <v>0.5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40</v>
      </c>
      <c r="AM911" t="n">
        <v>0</v>
      </c>
      <c r="AN911" t="n">
        <v>0</v>
      </c>
      <c r="AO911" t="n">
        <v>0</v>
      </c>
      <c r="AP911" t="n">
        <v>0</v>
      </c>
      <c r="AQ911" t="n">
        <v>40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80</v>
      </c>
      <c r="BK911" t="n">
        <v>80</v>
      </c>
      <c r="BL911" t="n">
        <v>0</v>
      </c>
    </row>
    <row r="912" hidden="1" outlineLevel="1" s="191">
      <c r="A912" t="n">
        <v>2</v>
      </c>
      <c r="B912" t="inlineStr">
        <is>
          <t>a</t>
        </is>
      </c>
      <c r="C912" t="n">
        <v>3</v>
      </c>
      <c r="D912" t="inlineStr">
        <is>
          <t>.z09_2_a_3</t>
        </is>
      </c>
      <c r="E912" t="inlineStr">
        <is>
          <t>Badania eksploracyjne dostepnych danych</t>
        </is>
      </c>
      <c r="F912" t="n">
        <v>0</v>
      </c>
      <c r="G912" t="n">
        <v>0</v>
      </c>
      <c r="H912" t="n">
        <v>3</v>
      </c>
      <c r="I912" t="inlineStr">
        <is>
          <t>ACT/END</t>
        </is>
      </c>
      <c r="J912" t="n">
        <v>140</v>
      </c>
      <c r="K912" t="n">
        <v>47177</v>
      </c>
      <c r="L912" t="n">
        <v>47179</v>
      </c>
      <c r="M912" t="n">
        <v>141</v>
      </c>
      <c r="N912" t="n">
        <v>2</v>
      </c>
      <c r="O912" t="n">
        <v>160</v>
      </c>
      <c r="P912" t="n">
        <v>0</v>
      </c>
      <c r="Q912" t="n">
        <v>0</v>
      </c>
      <c r="R912" t="n">
        <v>0</v>
      </c>
      <c r="S912" t="n">
        <v>0</v>
      </c>
      <c r="T912" t="n">
        <v>0.25</v>
      </c>
      <c r="U912" t="n">
        <v>0</v>
      </c>
      <c r="V912" t="n">
        <v>0.25</v>
      </c>
      <c r="W912" t="n">
        <v>0</v>
      </c>
      <c r="X912" t="n">
        <v>0</v>
      </c>
      <c r="Y912" t="n">
        <v>0</v>
      </c>
      <c r="Z912" t="n">
        <v>0</v>
      </c>
      <c r="AA912" t="n">
        <v>0.5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40</v>
      </c>
      <c r="AL912" t="n">
        <v>0</v>
      </c>
      <c r="AM912" t="n">
        <v>40</v>
      </c>
      <c r="AN912" t="n">
        <v>0</v>
      </c>
      <c r="AO912" t="n">
        <v>0</v>
      </c>
      <c r="AP912" t="n">
        <v>0</v>
      </c>
      <c r="AQ912" t="n">
        <v>0</v>
      </c>
      <c r="AR912" t="n">
        <v>80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160</v>
      </c>
      <c r="BK912" t="n">
        <v>160</v>
      </c>
      <c r="BL912" t="n">
        <v>0</v>
      </c>
    </row>
    <row r="913" hidden="1" outlineLevel="1" s="191">
      <c r="A913" t="n">
        <v>2</v>
      </c>
      <c r="B913" t="inlineStr">
        <is>
          <t>a</t>
        </is>
      </c>
      <c r="C913" t="n">
        <v>4</v>
      </c>
      <c r="D913" t="inlineStr">
        <is>
          <t>.z09_2_a_4</t>
        </is>
      </c>
      <c r="E913" t="inlineStr">
        <is>
          <t>Analiza jakościowa danych/określenie jakości danych</t>
        </is>
      </c>
      <c r="F913" t="n">
        <v>0</v>
      </c>
      <c r="G913" t="n">
        <v>0</v>
      </c>
      <c r="H913" t="n">
        <v>3</v>
      </c>
      <c r="I913" t="inlineStr">
        <is>
          <t>ACT/END</t>
        </is>
      </c>
      <c r="J913" t="n">
        <v>142</v>
      </c>
      <c r="K913" t="n">
        <v>47191</v>
      </c>
      <c r="L913" t="n">
        <v>47193</v>
      </c>
      <c r="M913" t="n">
        <v>143</v>
      </c>
      <c r="N913" t="n">
        <v>2</v>
      </c>
      <c r="O913" t="n">
        <v>160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0.25</v>
      </c>
      <c r="V913" t="n">
        <v>0</v>
      </c>
      <c r="W913" t="n">
        <v>0.25</v>
      </c>
      <c r="X913" t="n">
        <v>0.25</v>
      </c>
      <c r="Y913" t="n">
        <v>0.25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40</v>
      </c>
      <c r="AM913" t="n">
        <v>0</v>
      </c>
      <c r="AN913" t="n">
        <v>40</v>
      </c>
      <c r="AO913" t="n">
        <v>40</v>
      </c>
      <c r="AP913" t="n">
        <v>40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160</v>
      </c>
      <c r="BK913" t="n">
        <v>160</v>
      </c>
      <c r="BL913" t="n">
        <v>0</v>
      </c>
    </row>
    <row r="914" hidden="1" outlineLevel="1" s="191">
      <c r="A914" t="n">
        <v>2</v>
      </c>
      <c r="B914" t="inlineStr">
        <is>
          <t>a</t>
        </is>
      </c>
      <c r="C914" t="n">
        <v>5</v>
      </c>
      <c r="D914" t="inlineStr">
        <is>
          <t>.z09_2_a_5</t>
        </is>
      </c>
      <c r="E914" t="inlineStr">
        <is>
          <t xml:space="preserve">Zdefiniowanie relacji i korelacji  danych </t>
        </is>
      </c>
      <c r="F914" t="n">
        <v>0</v>
      </c>
      <c r="G914" t="n">
        <v>0</v>
      </c>
      <c r="H914" t="n">
        <v>4</v>
      </c>
      <c r="I914" t="inlineStr">
        <is>
          <t>ACT/END</t>
        </is>
      </c>
      <c r="J914" t="n">
        <v>144</v>
      </c>
      <c r="K914" t="n">
        <v>47205</v>
      </c>
      <c r="L914" t="n">
        <v>47207</v>
      </c>
      <c r="M914" t="n">
        <v>145</v>
      </c>
      <c r="N914" t="n">
        <v>2</v>
      </c>
      <c r="O914" t="n">
        <v>160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0.25</v>
      </c>
      <c r="V914" t="n">
        <v>0</v>
      </c>
      <c r="W914" t="n">
        <v>0.25</v>
      </c>
      <c r="X914" t="n">
        <v>0.25</v>
      </c>
      <c r="Y914" t="n">
        <v>0</v>
      </c>
      <c r="Z914" t="n">
        <v>0.25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40</v>
      </c>
      <c r="AM914" t="n">
        <v>0</v>
      </c>
      <c r="AN914" t="n">
        <v>40</v>
      </c>
      <c r="AO914" t="n">
        <v>40</v>
      </c>
      <c r="AP914" t="n">
        <v>0</v>
      </c>
      <c r="AQ914" t="n">
        <v>40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160</v>
      </c>
      <c r="BK914" t="n">
        <v>160</v>
      </c>
      <c r="BL914" t="n">
        <v>0</v>
      </c>
    </row>
    <row r="915" hidden="1" outlineLevel="1" s="191">
      <c r="A915" t="n">
        <v>2</v>
      </c>
      <c r="B915" t="inlineStr">
        <is>
          <t>a</t>
        </is>
      </c>
      <c r="C915" t="n">
        <v>6</v>
      </c>
      <c r="D915" t="inlineStr">
        <is>
          <t>.z09_2_a_6</t>
        </is>
      </c>
      <c r="E915" t="inlineStr">
        <is>
          <t>Wybór danych do procesu tworzenia modelu</t>
        </is>
      </c>
      <c r="F915" t="n">
        <v>0</v>
      </c>
      <c r="G915" t="n">
        <v>0</v>
      </c>
      <c r="H915" t="n">
        <v>4</v>
      </c>
      <c r="I915" t="inlineStr">
        <is>
          <t>ACT/END</t>
        </is>
      </c>
      <c r="J915" t="n">
        <v>146</v>
      </c>
      <c r="K915" t="n">
        <v>47219</v>
      </c>
      <c r="L915" t="n">
        <v>47223</v>
      </c>
      <c r="M915" t="n">
        <v>149</v>
      </c>
      <c r="N915" t="n">
        <v>4</v>
      </c>
      <c r="O915" t="n">
        <v>160</v>
      </c>
      <c r="P915" t="n">
        <v>0</v>
      </c>
      <c r="Q915" t="n">
        <v>0</v>
      </c>
      <c r="R915" t="n">
        <v>0</v>
      </c>
      <c r="S915" t="n">
        <v>0</v>
      </c>
      <c r="T915" t="n">
        <v>0.5</v>
      </c>
      <c r="U915" t="n">
        <v>0</v>
      </c>
      <c r="V915" t="n">
        <v>0.25</v>
      </c>
      <c r="W915" t="n">
        <v>0</v>
      </c>
      <c r="X915" t="n">
        <v>0</v>
      </c>
      <c r="Y915" t="n">
        <v>0.25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80</v>
      </c>
      <c r="AL915" t="n">
        <v>0</v>
      </c>
      <c r="AM915" t="n">
        <v>40</v>
      </c>
      <c r="AN915" t="n">
        <v>0</v>
      </c>
      <c r="AO915" t="n">
        <v>0</v>
      </c>
      <c r="AP915" t="n">
        <v>40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160</v>
      </c>
      <c r="BK915" t="n">
        <v>160</v>
      </c>
      <c r="BL915" t="n">
        <v>0</v>
      </c>
    </row>
    <row r="916" hidden="1" outlineLevel="1" s="191">
      <c r="A916" t="n">
        <v>2</v>
      </c>
      <c r="B916" t="inlineStr">
        <is>
          <t>a</t>
        </is>
      </c>
      <c r="C916" t="n">
        <v>7</v>
      </c>
      <c r="D916" t="inlineStr">
        <is>
          <t>.z09_2_a_7</t>
        </is>
      </c>
      <c r="E916" t="inlineStr">
        <is>
          <t>Wybór danych do procesu ewaluacji modelu</t>
        </is>
      </c>
      <c r="F916" t="n">
        <v>0</v>
      </c>
      <c r="G916" t="n">
        <v>0</v>
      </c>
      <c r="H916" t="n">
        <v>4</v>
      </c>
      <c r="I916" t="inlineStr">
        <is>
          <t>ACT/END</t>
        </is>
      </c>
      <c r="J916" t="n">
        <v>150</v>
      </c>
      <c r="K916" t="n">
        <v>47247</v>
      </c>
      <c r="L916" t="n">
        <v>47249</v>
      </c>
      <c r="M916" t="n">
        <v>151</v>
      </c>
      <c r="N916" t="n">
        <v>2</v>
      </c>
      <c r="O916" t="n">
        <v>160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0.25</v>
      </c>
      <c r="V916" t="n">
        <v>0.25</v>
      </c>
      <c r="W916" t="n">
        <v>0</v>
      </c>
      <c r="X916" t="n">
        <v>0.25</v>
      </c>
      <c r="Y916" t="n">
        <v>0</v>
      </c>
      <c r="Z916" t="n">
        <v>0.25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40</v>
      </c>
      <c r="AM916" t="n">
        <v>40</v>
      </c>
      <c r="AN916" t="n">
        <v>0</v>
      </c>
      <c r="AO916" t="n">
        <v>40</v>
      </c>
      <c r="AP916" t="n">
        <v>0</v>
      </c>
      <c r="AQ916" t="n">
        <v>40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160</v>
      </c>
      <c r="BK916" t="n">
        <v>160</v>
      </c>
      <c r="BL916" t="n">
        <v>0</v>
      </c>
    </row>
    <row r="917" hidden="1" outlineLevel="1" s="191">
      <c r="A917" t="n">
        <v>2</v>
      </c>
      <c r="B917" t="inlineStr">
        <is>
          <t>a</t>
        </is>
      </c>
      <c r="C917" t="n">
        <v>8</v>
      </c>
      <c r="D917" t="inlineStr">
        <is>
          <t>.z09_2_a_8</t>
        </is>
      </c>
      <c r="E917" t="inlineStr">
        <is>
          <t>Modelowanie i przekształenie danych na potrzeby tworzenia modeli</t>
        </is>
      </c>
      <c r="F917" t="n">
        <v>0</v>
      </c>
      <c r="G917" t="n">
        <v>0</v>
      </c>
      <c r="H917" t="n">
        <v>5</v>
      </c>
      <c r="I917" t="inlineStr">
        <is>
          <t>ACT/END</t>
        </is>
      </c>
      <c r="J917" t="n">
        <v>152</v>
      </c>
      <c r="K917" t="n">
        <v>47261</v>
      </c>
      <c r="L917" t="n">
        <v>47263</v>
      </c>
      <c r="M917" t="n">
        <v>153</v>
      </c>
      <c r="N917" t="n">
        <v>2</v>
      </c>
      <c r="O917" t="n">
        <v>80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0.5</v>
      </c>
      <c r="W917" t="n">
        <v>0</v>
      </c>
      <c r="X917" t="n">
        <v>0</v>
      </c>
      <c r="Y917" t="n">
        <v>0</v>
      </c>
      <c r="Z917" t="n">
        <v>0</v>
      </c>
      <c r="AA917" t="n">
        <v>0.5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40</v>
      </c>
      <c r="AN917" t="n">
        <v>0</v>
      </c>
      <c r="AO917" t="n">
        <v>0</v>
      </c>
      <c r="AP917" t="n">
        <v>0</v>
      </c>
      <c r="AQ917" t="n">
        <v>0</v>
      </c>
      <c r="AR917" t="n">
        <v>40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80</v>
      </c>
      <c r="BK917" t="n">
        <v>80</v>
      </c>
      <c r="BL917" t="n">
        <v>0</v>
      </c>
    </row>
    <row r="918" hidden="1" outlineLevel="1" s="191">
      <c r="A918" t="n">
        <v>2</v>
      </c>
      <c r="B918" t="inlineStr">
        <is>
          <t>b</t>
        </is>
      </c>
      <c r="C918" t="n">
        <v>0</v>
      </c>
      <c r="D918" t="inlineStr">
        <is>
          <t>.z09_2_b_0</t>
        </is>
      </c>
      <c r="E918" t="inlineStr">
        <is>
          <t>Zbadanie interakcji - MWS vs inne strefy magazynu</t>
        </is>
      </c>
      <c r="F918" t="n">
        <v>0</v>
      </c>
      <c r="G918" t="n">
        <v>0</v>
      </c>
      <c r="H918" t="n">
        <v>4</v>
      </c>
      <c r="I918" t="inlineStr">
        <is>
          <t>ACT</t>
        </is>
      </c>
      <c r="J918" t="n">
        <v>154</v>
      </c>
      <c r="K918" t="n">
        <v>47275</v>
      </c>
      <c r="L918" t="n">
        <v>47279</v>
      </c>
      <c r="M918" t="n">
        <v>157</v>
      </c>
      <c r="N918" t="n">
        <v>4</v>
      </c>
      <c r="O918" t="n">
        <v>160</v>
      </c>
      <c r="P918" t="n">
        <v>0</v>
      </c>
      <c r="Q918" t="n">
        <v>0</v>
      </c>
      <c r="R918" t="n">
        <v>0</v>
      </c>
      <c r="S918" t="n">
        <v>0</v>
      </c>
      <c r="T918" t="n">
        <v>0.5</v>
      </c>
      <c r="U918" t="n">
        <v>0</v>
      </c>
      <c r="V918" t="n">
        <v>0.5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80</v>
      </c>
      <c r="AL918" t="n">
        <v>0</v>
      </c>
      <c r="AM918" t="n">
        <v>80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160</v>
      </c>
      <c r="BK918" t="n">
        <v>160</v>
      </c>
      <c r="BL918" t="n">
        <v>0</v>
      </c>
    </row>
    <row r="919" hidden="1" outlineLevel="1" s="191">
      <c r="A919" t="n">
        <v>2</v>
      </c>
      <c r="B919" t="inlineStr">
        <is>
          <t>c</t>
        </is>
      </c>
      <c r="C919" t="n">
        <v>0</v>
      </c>
      <c r="D919" t="inlineStr">
        <is>
          <t>.z09_2_c_0</t>
        </is>
      </c>
      <c r="E919" t="inlineStr">
        <is>
          <t>Zbadanie wpływu ograniczeń zasobów i zmiennych dynamicznych na pracę MWS</t>
        </is>
      </c>
      <c r="F919" t="n">
        <v>0</v>
      </c>
      <c r="G919" t="n">
        <v>0</v>
      </c>
      <c r="H919" t="n">
        <v>4</v>
      </c>
      <c r="I919" t="inlineStr">
        <is>
          <t>ACT</t>
        </is>
      </c>
      <c r="J919" t="n">
        <v>158</v>
      </c>
      <c r="K919" t="n">
        <v>47303</v>
      </c>
      <c r="L919" t="n">
        <v>47307</v>
      </c>
      <c r="M919" t="n">
        <v>161</v>
      </c>
      <c r="N919" t="n">
        <v>4</v>
      </c>
      <c r="O919" t="n">
        <v>160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0.5</v>
      </c>
      <c r="V919" t="n">
        <v>0</v>
      </c>
      <c r="W919" t="n">
        <v>0.25</v>
      </c>
      <c r="X919" t="n">
        <v>0.25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80</v>
      </c>
      <c r="AM919" t="n">
        <v>0</v>
      </c>
      <c r="AN919" t="n">
        <v>40</v>
      </c>
      <c r="AO919" t="n">
        <v>40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160</v>
      </c>
      <c r="BK919" t="n">
        <v>160</v>
      </c>
      <c r="BL919" t="n">
        <v>0</v>
      </c>
    </row>
    <row r="920" hidden="1" outlineLevel="1" s="191">
      <c r="A920" t="n">
        <v>2</v>
      </c>
      <c r="B920" t="inlineStr">
        <is>
          <t>d</t>
        </is>
      </c>
      <c r="C920" t="n">
        <v>0</v>
      </c>
      <c r="D920" t="inlineStr">
        <is>
          <t>.z09_2_d_0</t>
        </is>
      </c>
      <c r="E920" t="inlineStr">
        <is>
          <t xml:space="preserve">Opracowanie modeli matematycznych/algorytmów symulacyjnych operacji w MWS </t>
        </is>
      </c>
      <c r="F920" t="n">
        <v>0</v>
      </c>
      <c r="G920" t="n">
        <v>0</v>
      </c>
      <c r="H920" t="n">
        <v>0</v>
      </c>
      <c r="I920" t="n">
        <v>0</v>
      </c>
      <c r="J920" t="n">
        <v>162</v>
      </c>
      <c r="K920" t="n">
        <v>47331</v>
      </c>
      <c r="L920" t="n">
        <v>47331</v>
      </c>
      <c r="M920" t="n">
        <v>161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</row>
    <row r="921" hidden="1" outlineLevel="1" s="191">
      <c r="A921" t="n">
        <v>2</v>
      </c>
      <c r="B921" t="inlineStr">
        <is>
          <t>d</t>
        </is>
      </c>
      <c r="C921" t="n">
        <v>1</v>
      </c>
      <c r="D921" t="inlineStr">
        <is>
          <t>.z09_2_d_1</t>
        </is>
      </c>
      <c r="E921" t="inlineStr">
        <is>
          <t>Opracowanie architektur modeli</t>
        </is>
      </c>
      <c r="F921" t="n">
        <v>0</v>
      </c>
      <c r="G921" t="n">
        <v>0</v>
      </c>
      <c r="H921" t="n">
        <v>4</v>
      </c>
      <c r="I921" t="inlineStr">
        <is>
          <t>END</t>
        </is>
      </c>
      <c r="J921" t="n">
        <v>162</v>
      </c>
      <c r="K921" t="n">
        <v>47331</v>
      </c>
      <c r="L921" t="n">
        <v>47333</v>
      </c>
      <c r="M921" t="n">
        <v>163</v>
      </c>
      <c r="N921" t="n">
        <v>2</v>
      </c>
      <c r="O921" t="n">
        <v>160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0.25</v>
      </c>
      <c r="V921" t="n">
        <v>0</v>
      </c>
      <c r="W921" t="n">
        <v>0</v>
      </c>
      <c r="X921" t="n">
        <v>0</v>
      </c>
      <c r="Y921" t="n">
        <v>0.25</v>
      </c>
      <c r="Z921" t="n">
        <v>0.25</v>
      </c>
      <c r="AA921" t="n">
        <v>0.25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40</v>
      </c>
      <c r="AM921" t="n">
        <v>0</v>
      </c>
      <c r="AN921" t="n">
        <v>0</v>
      </c>
      <c r="AO921" t="n">
        <v>0</v>
      </c>
      <c r="AP921" t="n">
        <v>40</v>
      </c>
      <c r="AQ921" t="n">
        <v>40</v>
      </c>
      <c r="AR921" t="n">
        <v>40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160</v>
      </c>
      <c r="BK921" t="n">
        <v>160</v>
      </c>
      <c r="BL921" t="n">
        <v>0</v>
      </c>
    </row>
    <row r="922" hidden="1" outlineLevel="1" s="191">
      <c r="A922" t="n">
        <v>2</v>
      </c>
      <c r="B922" t="inlineStr">
        <is>
          <t>d</t>
        </is>
      </c>
      <c r="C922" t="n">
        <v>2</v>
      </c>
      <c r="D922" t="inlineStr">
        <is>
          <t>.z09_2_d_2</t>
        </is>
      </c>
      <c r="E922" t="inlineStr">
        <is>
          <t xml:space="preserve">Implementacja opracowanych modeli </t>
        </is>
      </c>
      <c r="F922" t="n">
        <v>0</v>
      </c>
      <c r="G922" t="n">
        <v>0</v>
      </c>
      <c r="H922" t="n">
        <v>5</v>
      </c>
      <c r="I922" t="inlineStr">
        <is>
          <t>END</t>
        </is>
      </c>
      <c r="J922" t="n">
        <v>164</v>
      </c>
      <c r="K922" t="n">
        <v>47345</v>
      </c>
      <c r="L922" t="n">
        <v>47349</v>
      </c>
      <c r="M922" t="n">
        <v>167</v>
      </c>
      <c r="N922" t="n">
        <v>4</v>
      </c>
      <c r="O922" t="n">
        <v>320</v>
      </c>
      <c r="P922" t="n">
        <v>0</v>
      </c>
      <c r="Q922" t="n">
        <v>0</v>
      </c>
      <c r="R922" t="n">
        <v>0</v>
      </c>
      <c r="S922" t="n">
        <v>0</v>
      </c>
      <c r="T922" t="n">
        <v>0.25</v>
      </c>
      <c r="U922" t="n">
        <v>0</v>
      </c>
      <c r="V922" t="n">
        <v>0</v>
      </c>
      <c r="W922" t="n">
        <v>0</v>
      </c>
      <c r="X922" t="n">
        <v>0</v>
      </c>
      <c r="Y922" t="n">
        <v>0.25</v>
      </c>
      <c r="Z922" t="n">
        <v>0.25</v>
      </c>
      <c r="AA922" t="n">
        <v>0.25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80</v>
      </c>
      <c r="AL922" t="n">
        <v>0</v>
      </c>
      <c r="AM922" t="n">
        <v>0</v>
      </c>
      <c r="AN922" t="n">
        <v>0</v>
      </c>
      <c r="AO922" t="n">
        <v>0</v>
      </c>
      <c r="AP922" t="n">
        <v>80</v>
      </c>
      <c r="AQ922" t="n">
        <v>80</v>
      </c>
      <c r="AR922" t="n">
        <v>80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320</v>
      </c>
      <c r="BK922" t="n">
        <v>320</v>
      </c>
      <c r="BL922" t="n">
        <v>0</v>
      </c>
    </row>
    <row r="923" hidden="1" outlineLevel="1" s="191">
      <c r="A923" t="n">
        <v>2</v>
      </c>
      <c r="B923" t="inlineStr">
        <is>
          <t>d</t>
        </is>
      </c>
      <c r="C923" t="n">
        <v>3</v>
      </c>
      <c r="D923" t="inlineStr">
        <is>
          <t>.z09_2_d_3</t>
        </is>
      </c>
      <c r="E923" t="inlineStr">
        <is>
          <t>Stworzenie procesu zasilania danymi</t>
        </is>
      </c>
      <c r="F923" t="n">
        <v>0</v>
      </c>
      <c r="G923" t="n">
        <v>0</v>
      </c>
      <c r="H923" t="n">
        <v>5</v>
      </c>
      <c r="I923" t="inlineStr">
        <is>
          <t>END</t>
        </is>
      </c>
      <c r="J923" t="n">
        <v>168</v>
      </c>
      <c r="K923" t="n">
        <v>47373</v>
      </c>
      <c r="L923" t="n">
        <v>47375</v>
      </c>
      <c r="M923" t="n">
        <v>169</v>
      </c>
      <c r="N923" t="n">
        <v>2</v>
      </c>
      <c r="O923" t="n">
        <v>120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0.333</v>
      </c>
      <c r="W923" t="n">
        <v>0</v>
      </c>
      <c r="X923" t="n">
        <v>0</v>
      </c>
      <c r="Y923" t="n">
        <v>0.333</v>
      </c>
      <c r="Z923" t="n">
        <v>0.333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40</v>
      </c>
      <c r="AN923" t="n">
        <v>0</v>
      </c>
      <c r="AO923" t="n">
        <v>0</v>
      </c>
      <c r="AP923" t="n">
        <v>40</v>
      </c>
      <c r="AQ923" t="n">
        <v>40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120</v>
      </c>
      <c r="BK923" t="n">
        <v>120</v>
      </c>
      <c r="BL923" t="n">
        <v>0</v>
      </c>
    </row>
    <row r="924" hidden="1" outlineLevel="1" s="191">
      <c r="A924" t="n">
        <v>2</v>
      </c>
      <c r="B924" t="inlineStr">
        <is>
          <t>d</t>
        </is>
      </c>
      <c r="C924" t="n">
        <v>4</v>
      </c>
      <c r="D924" t="inlineStr">
        <is>
          <t>.z09_2_d_4</t>
        </is>
      </c>
      <c r="E924" t="inlineStr">
        <is>
          <t>Stworzenie procesu  trenowania/uczenia modelu</t>
        </is>
      </c>
      <c r="F924" t="n">
        <v>0</v>
      </c>
      <c r="G924" t="n">
        <v>0</v>
      </c>
      <c r="H924" t="n">
        <v>5</v>
      </c>
      <c r="I924" t="inlineStr">
        <is>
          <t>END</t>
        </is>
      </c>
      <c r="J924" t="n">
        <v>170</v>
      </c>
      <c r="K924" t="n">
        <v>47387</v>
      </c>
      <c r="L924" t="n">
        <v>47389</v>
      </c>
      <c r="M924" t="n">
        <v>171</v>
      </c>
      <c r="N924" t="n">
        <v>2</v>
      </c>
      <c r="O924" t="n">
        <v>120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0.333</v>
      </c>
      <c r="X924" t="n">
        <v>0</v>
      </c>
      <c r="Y924" t="n">
        <v>0</v>
      </c>
      <c r="Z924" t="n">
        <v>0.333</v>
      </c>
      <c r="AA924" t="n">
        <v>0.333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40</v>
      </c>
      <c r="AO924" t="n">
        <v>0</v>
      </c>
      <c r="AP924" t="n">
        <v>0</v>
      </c>
      <c r="AQ924" t="n">
        <v>40</v>
      </c>
      <c r="AR924" t="n">
        <v>40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120</v>
      </c>
      <c r="BK924" t="n">
        <v>120</v>
      </c>
      <c r="BL924" t="n">
        <v>0</v>
      </c>
    </row>
    <row r="925" hidden="1" outlineLevel="1" s="191">
      <c r="A925" t="n">
        <v>2</v>
      </c>
      <c r="B925" t="inlineStr">
        <is>
          <t>d</t>
        </is>
      </c>
      <c r="C925" t="n">
        <v>5</v>
      </c>
      <c r="D925" t="inlineStr">
        <is>
          <t>.z09_2_d_5</t>
        </is>
      </c>
      <c r="E925" t="inlineStr">
        <is>
          <t>Stworzenie procesu ewaluacji modelu</t>
        </is>
      </c>
      <c r="F925" t="n">
        <v>0</v>
      </c>
      <c r="G925" t="n">
        <v>0</v>
      </c>
      <c r="H925" t="n">
        <v>6</v>
      </c>
      <c r="I925" t="inlineStr">
        <is>
          <t>END</t>
        </is>
      </c>
      <c r="J925" t="n">
        <v>172</v>
      </c>
      <c r="K925" t="n">
        <v>47401</v>
      </c>
      <c r="L925" t="n">
        <v>47403</v>
      </c>
      <c r="M925" t="n">
        <v>173</v>
      </c>
      <c r="N925" t="n">
        <v>2</v>
      </c>
      <c r="O925" t="n">
        <v>120</v>
      </c>
      <c r="P925" t="n">
        <v>0</v>
      </c>
      <c r="Q925" t="n">
        <v>0</v>
      </c>
      <c r="R925" t="n">
        <v>0</v>
      </c>
      <c r="S925" t="n">
        <v>0</v>
      </c>
      <c r="T925" t="n">
        <v>0.333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0.333</v>
      </c>
      <c r="AA925" t="n">
        <v>0.333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40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40</v>
      </c>
      <c r="AR925" t="n">
        <v>40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120</v>
      </c>
      <c r="BK925" t="n">
        <v>120</v>
      </c>
      <c r="BL925" t="n">
        <v>0</v>
      </c>
    </row>
    <row r="926" hidden="1" outlineLevel="1" s="191">
      <c r="A926" t="n">
        <v>2</v>
      </c>
      <c r="B926" t="inlineStr">
        <is>
          <t>d</t>
        </is>
      </c>
      <c r="C926" t="n">
        <v>6</v>
      </c>
      <c r="D926" t="inlineStr">
        <is>
          <t>.z09_2_d_6</t>
        </is>
      </c>
      <c r="E926" t="inlineStr">
        <is>
          <t>Stworzenie procesu monitorowania modelu</t>
        </is>
      </c>
      <c r="F926" t="n">
        <v>0</v>
      </c>
      <c r="G926" t="n">
        <v>0</v>
      </c>
      <c r="H926" t="n">
        <v>6</v>
      </c>
      <c r="I926" t="inlineStr">
        <is>
          <t>END</t>
        </is>
      </c>
      <c r="J926" t="n">
        <v>174</v>
      </c>
      <c r="K926" t="n">
        <v>47415</v>
      </c>
      <c r="L926" t="n">
        <v>47417</v>
      </c>
      <c r="M926" t="n">
        <v>175</v>
      </c>
      <c r="N926" t="n">
        <v>2</v>
      </c>
      <c r="O926" t="n">
        <v>120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0.333</v>
      </c>
      <c r="W926" t="n">
        <v>0</v>
      </c>
      <c r="X926" t="n">
        <v>0</v>
      </c>
      <c r="Y926" t="n">
        <v>0.333</v>
      </c>
      <c r="Z926" t="n">
        <v>0</v>
      </c>
      <c r="AA926" t="n">
        <v>0</v>
      </c>
      <c r="AB926" t="n">
        <v>0.333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40</v>
      </c>
      <c r="AN926" t="n">
        <v>0</v>
      </c>
      <c r="AO926" t="n">
        <v>0</v>
      </c>
      <c r="AP926" t="n">
        <v>40</v>
      </c>
      <c r="AQ926" t="n">
        <v>0</v>
      </c>
      <c r="AR926" t="n">
        <v>0</v>
      </c>
      <c r="AS926" t="n">
        <v>40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120</v>
      </c>
      <c r="BK926" t="n">
        <v>120</v>
      </c>
      <c r="BL926" t="n">
        <v>0</v>
      </c>
    </row>
    <row r="927" hidden="1" outlineLevel="1" s="191">
      <c r="A927" t="n">
        <v>2</v>
      </c>
      <c r="B927" t="inlineStr">
        <is>
          <t>e</t>
        </is>
      </c>
      <c r="C927" t="n">
        <v>7</v>
      </c>
      <c r="D927" t="inlineStr">
        <is>
          <t>.z09_2_e_7</t>
        </is>
      </c>
      <c r="E927" t="inlineStr">
        <is>
          <t>Testy, walidacje i wybór Modelu optymalnego</t>
        </is>
      </c>
      <c r="F927" t="n">
        <v>0</v>
      </c>
      <c r="G927" t="n">
        <v>0</v>
      </c>
      <c r="H927" t="n">
        <v>7</v>
      </c>
      <c r="I927" t="inlineStr">
        <is>
          <t>ACT/END</t>
        </is>
      </c>
      <c r="J927" t="n">
        <v>176</v>
      </c>
      <c r="K927" t="n">
        <v>47429</v>
      </c>
      <c r="L927" t="n">
        <v>47431</v>
      </c>
      <c r="M927" t="n">
        <v>177</v>
      </c>
      <c r="N927" t="n">
        <v>2</v>
      </c>
      <c r="O927" t="n">
        <v>120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0.25</v>
      </c>
      <c r="V927" t="n">
        <v>0</v>
      </c>
      <c r="W927" t="n">
        <v>0</v>
      </c>
      <c r="X927" t="n">
        <v>0</v>
      </c>
      <c r="Y927" t="n">
        <v>0.25</v>
      </c>
      <c r="Z927" t="n">
        <v>0.25</v>
      </c>
      <c r="AA927" t="n">
        <v>0.25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30</v>
      </c>
      <c r="AM927" t="n">
        <v>0</v>
      </c>
      <c r="AN927" t="n">
        <v>0</v>
      </c>
      <c r="AO927" t="n">
        <v>0</v>
      </c>
      <c r="AP927" t="n">
        <v>30</v>
      </c>
      <c r="AQ927" t="n">
        <v>30</v>
      </c>
      <c r="AR927" t="n">
        <v>30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120</v>
      </c>
      <c r="BK927" t="n">
        <v>120</v>
      </c>
      <c r="BL927" t="n">
        <v>0</v>
      </c>
    </row>
    <row r="928" hidden="1" outlineLevel="1" s="191">
      <c r="A928" t="n">
        <v>3</v>
      </c>
      <c r="B928" t="inlineStr">
        <is>
          <t>a</t>
        </is>
      </c>
      <c r="C928" t="n">
        <v>0</v>
      </c>
      <c r="D928" t="inlineStr">
        <is>
          <t>.z09_3_a_0</t>
        </is>
      </c>
      <c r="E928" t="inlineStr">
        <is>
          <t>3.Określenie możliwości zastosowania rozwiązań/narzędzi AI/ML do:</t>
        </is>
      </c>
      <c r="F928" t="n">
        <v>0</v>
      </c>
      <c r="G928" t="n">
        <v>0</v>
      </c>
      <c r="H928" t="n">
        <v>0</v>
      </c>
      <c r="I928" t="n">
        <v>0</v>
      </c>
      <c r="J928" t="n">
        <v>178</v>
      </c>
      <c r="K928" t="n">
        <v>47443</v>
      </c>
      <c r="L928" t="n">
        <v>47443</v>
      </c>
      <c r="M928" t="n">
        <v>177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</row>
    <row r="929" hidden="1" outlineLevel="1" s="191">
      <c r="A929" t="n">
        <v>3</v>
      </c>
      <c r="B929" t="inlineStr">
        <is>
          <t>a</t>
        </is>
      </c>
      <c r="C929" t="n">
        <v>1</v>
      </c>
      <c r="D929" t="inlineStr">
        <is>
          <t>.z09_3_a_1</t>
        </is>
      </c>
      <c r="E929" t="inlineStr">
        <is>
          <t>Przewidywanie czasów realizacji, optymalizacja tras dla wózków, rozmieszczenia towarów (np. algorytmy genetyczne, regresji i klasyfikacji, uczenie nadzorowane, metaheurystyka, sieci neuronowe)</t>
        </is>
      </c>
      <c r="F929" t="n">
        <v>0</v>
      </c>
      <c r="G929" t="n">
        <v>0</v>
      </c>
      <c r="H929" t="n">
        <v>3</v>
      </c>
      <c r="I929" t="inlineStr">
        <is>
          <t>END/ACT</t>
        </is>
      </c>
      <c r="J929" t="n">
        <v>178</v>
      </c>
      <c r="K929" t="n">
        <v>47443</v>
      </c>
      <c r="L929" t="n">
        <v>47444</v>
      </c>
      <c r="M929" t="n">
        <v>178</v>
      </c>
      <c r="N929" t="n">
        <v>1</v>
      </c>
      <c r="O929" t="n">
        <v>40</v>
      </c>
      <c r="P929" t="n">
        <v>0</v>
      </c>
      <c r="Q929" t="n">
        <v>0</v>
      </c>
      <c r="R929" t="n">
        <v>0</v>
      </c>
      <c r="S929" t="n">
        <v>0</v>
      </c>
      <c r="T929" t="n">
        <v>0.5</v>
      </c>
      <c r="U929" t="n">
        <v>0</v>
      </c>
      <c r="V929" t="n">
        <v>0</v>
      </c>
      <c r="W929" t="n">
        <v>0</v>
      </c>
      <c r="X929" t="n">
        <v>0</v>
      </c>
      <c r="Y929" t="n">
        <v>0.5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20</v>
      </c>
      <c r="AL929" t="n">
        <v>0</v>
      </c>
      <c r="AM929" t="n">
        <v>0</v>
      </c>
      <c r="AN929" t="n">
        <v>0</v>
      </c>
      <c r="AO929" t="n">
        <v>0</v>
      </c>
      <c r="AP929" t="n">
        <v>20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40</v>
      </c>
      <c r="BK929" t="n">
        <v>40</v>
      </c>
      <c r="BL929" t="n">
        <v>0</v>
      </c>
    </row>
    <row r="930" hidden="1" outlineLevel="1" s="191">
      <c r="A930" t="n">
        <v>3</v>
      </c>
      <c r="B930" t="inlineStr">
        <is>
          <t>b</t>
        </is>
      </c>
      <c r="C930" t="n">
        <v>1</v>
      </c>
      <c r="D930" t="inlineStr">
        <is>
          <t>.z09_3_b_1</t>
        </is>
      </c>
      <c r="E930" t="inlineStr">
        <is>
          <t>Rozpoznawanie wzorców w ruchu wózków (np. uczenie nienadzorowane, klasteryzacja)</t>
        </is>
      </c>
      <c r="F930" t="n">
        <v>0</v>
      </c>
      <c r="G930" t="n">
        <v>0</v>
      </c>
      <c r="H930" t="n">
        <v>3</v>
      </c>
      <c r="I930" t="inlineStr">
        <is>
          <t>END/ACT</t>
        </is>
      </c>
      <c r="J930" t="n">
        <v>179</v>
      </c>
      <c r="K930" t="n">
        <v>47450</v>
      </c>
      <c r="L930" t="n">
        <v>47451</v>
      </c>
      <c r="M930" t="n">
        <v>179</v>
      </c>
      <c r="N930" t="n">
        <v>1</v>
      </c>
      <c r="O930" t="n">
        <v>40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0.5</v>
      </c>
      <c r="V930" t="n">
        <v>0</v>
      </c>
      <c r="W930" t="n">
        <v>0</v>
      </c>
      <c r="X930" t="n">
        <v>0</v>
      </c>
      <c r="Y930" t="n">
        <v>0.5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20</v>
      </c>
      <c r="AM930" t="n">
        <v>0</v>
      </c>
      <c r="AN930" t="n">
        <v>0</v>
      </c>
      <c r="AO930" t="n">
        <v>0</v>
      </c>
      <c r="AP930" t="n">
        <v>20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40</v>
      </c>
      <c r="BK930" t="n">
        <v>40</v>
      </c>
      <c r="BL930" t="n">
        <v>0</v>
      </c>
    </row>
    <row r="931" hidden="1" outlineLevel="1" s="191">
      <c r="A931" t="n">
        <v>3</v>
      </c>
      <c r="B931" t="inlineStr">
        <is>
          <t>c</t>
        </is>
      </c>
      <c r="C931" t="n">
        <v>1</v>
      </c>
      <c r="D931" t="inlineStr">
        <is>
          <t>.z09_3_c_1</t>
        </is>
      </c>
      <c r="E931" t="inlineStr">
        <is>
          <t>Prognozowanie zapotrzebowania i zarządzanie zasobami (np. sieci neuronowe, regresja, drzewa decyzyjne)</t>
        </is>
      </c>
      <c r="F931" t="n">
        <v>0</v>
      </c>
      <c r="G931" t="n">
        <v>0</v>
      </c>
      <c r="H931" t="n">
        <v>3</v>
      </c>
      <c r="I931" t="inlineStr">
        <is>
          <t>END/ACT</t>
        </is>
      </c>
      <c r="J931" t="n">
        <v>180</v>
      </c>
      <c r="K931" t="n">
        <v>47457</v>
      </c>
      <c r="L931" t="n">
        <v>47458</v>
      </c>
      <c r="M931" t="n">
        <v>180</v>
      </c>
      <c r="N931" t="n">
        <v>1</v>
      </c>
      <c r="O931" t="n">
        <v>40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0.25</v>
      </c>
      <c r="V931" t="n">
        <v>0</v>
      </c>
      <c r="W931" t="n">
        <v>0</v>
      </c>
      <c r="X931" t="n">
        <v>0</v>
      </c>
      <c r="Y931" t="n">
        <v>0</v>
      </c>
      <c r="Z931" t="n">
        <v>0.75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10</v>
      </c>
      <c r="AM931" t="n">
        <v>0</v>
      </c>
      <c r="AN931" t="n">
        <v>0</v>
      </c>
      <c r="AO931" t="n">
        <v>0</v>
      </c>
      <c r="AP931" t="n">
        <v>0</v>
      </c>
      <c r="AQ931" t="n">
        <v>30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40</v>
      </c>
      <c r="BK931" t="n">
        <v>40</v>
      </c>
      <c r="BL931" t="n">
        <v>0</v>
      </c>
    </row>
    <row r="932" hidden="1" outlineLevel="1" s="191">
      <c r="A932" t="n">
        <v>3</v>
      </c>
      <c r="B932" t="inlineStr">
        <is>
          <t>d</t>
        </is>
      </c>
      <c r="C932" t="n">
        <v>1</v>
      </c>
      <c r="D932" t="inlineStr">
        <is>
          <t>.z09_3_d_1</t>
        </is>
      </c>
      <c r="E932" t="inlineStr">
        <is>
          <t>Automatyzacja zarządzania zadaniami i ruchem (np. modele głębokiego uczenia CNN, CV, skanowanie 3D)</t>
        </is>
      </c>
      <c r="F932" t="n">
        <v>0</v>
      </c>
      <c r="G932" t="n">
        <v>0</v>
      </c>
      <c r="H932" t="n">
        <v>3</v>
      </c>
      <c r="I932" t="inlineStr">
        <is>
          <t>ACT/END</t>
        </is>
      </c>
      <c r="J932" t="n">
        <v>181</v>
      </c>
      <c r="K932" t="n">
        <v>47464</v>
      </c>
      <c r="L932" t="n">
        <v>47466</v>
      </c>
      <c r="M932" t="n">
        <v>182</v>
      </c>
      <c r="N932" t="n">
        <v>2</v>
      </c>
      <c r="O932" t="n">
        <v>80</v>
      </c>
      <c r="P932" t="n">
        <v>0</v>
      </c>
      <c r="Q932" t="n">
        <v>0</v>
      </c>
      <c r="R932" t="n">
        <v>0</v>
      </c>
      <c r="S932" t="n">
        <v>0</v>
      </c>
      <c r="T932" t="n">
        <v>0.5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0.5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40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40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80</v>
      </c>
      <c r="BK932" t="n">
        <v>80</v>
      </c>
      <c r="BL932" t="n">
        <v>0</v>
      </c>
    </row>
    <row r="933" hidden="1" outlineLevel="1" s="191">
      <c r="A933" t="n">
        <v>3</v>
      </c>
      <c r="B933" t="inlineStr">
        <is>
          <t>e</t>
        </is>
      </c>
      <c r="C933" t="n">
        <v>1</v>
      </c>
      <c r="D933" t="inlineStr">
        <is>
          <t>.z09_3_e_1</t>
        </is>
      </c>
      <c r="E933" t="inlineStr">
        <is>
          <t>Symulacja etapów procesów w systemach zarządzania MWS (np. symulacje Monte Carlo, modele agentowe)</t>
        </is>
      </c>
      <c r="F933" t="n">
        <v>0</v>
      </c>
      <c r="G933" t="n">
        <v>0</v>
      </c>
      <c r="H933" t="n">
        <v>3</v>
      </c>
      <c r="I933" t="inlineStr">
        <is>
          <t>ACT/END</t>
        </is>
      </c>
      <c r="J933" t="n">
        <v>183</v>
      </c>
      <c r="K933" t="n">
        <v>47478</v>
      </c>
      <c r="L933" t="n">
        <v>47482</v>
      </c>
      <c r="M933" t="n">
        <v>186</v>
      </c>
      <c r="N933" t="n">
        <v>4</v>
      </c>
      <c r="O933" t="n">
        <v>160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0.5</v>
      </c>
      <c r="W933" t="n">
        <v>0</v>
      </c>
      <c r="X933" t="n">
        <v>0.5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80</v>
      </c>
      <c r="AN933" t="n">
        <v>0</v>
      </c>
      <c r="AO933" t="n">
        <v>80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160</v>
      </c>
      <c r="BK933" t="n">
        <v>160</v>
      </c>
      <c r="BL933" t="n">
        <v>0</v>
      </c>
    </row>
    <row r="934" hidden="1" outlineLevel="1" s="191">
      <c r="A934" t="n">
        <v>3</v>
      </c>
      <c r="B934" t="inlineStr">
        <is>
          <t>f</t>
        </is>
      </c>
      <c r="C934" t="n">
        <v>1</v>
      </c>
      <c r="D934" t="inlineStr">
        <is>
          <t>.z09_3_f_1</t>
        </is>
      </c>
      <c r="E934" t="inlineStr">
        <is>
          <t>Ocena i wybór platformy technologicznej (np. Google AI Platform, Microsoft Azure ML, Amazon SageMaker)</t>
        </is>
      </c>
      <c r="F934" t="n">
        <v>0</v>
      </c>
      <c r="G934" t="n">
        <v>0</v>
      </c>
      <c r="H934" t="n">
        <v>4</v>
      </c>
      <c r="I934" t="inlineStr">
        <is>
          <t>ACT/END</t>
        </is>
      </c>
      <c r="J934" t="n">
        <v>187</v>
      </c>
      <c r="K934" t="n">
        <v>47506</v>
      </c>
      <c r="L934" t="n">
        <v>47507</v>
      </c>
      <c r="M934" t="n">
        <v>187</v>
      </c>
      <c r="N934" t="n">
        <v>1</v>
      </c>
      <c r="O934" t="n">
        <v>80</v>
      </c>
      <c r="P934" t="n">
        <v>0</v>
      </c>
      <c r="Q934" t="n">
        <v>0</v>
      </c>
      <c r="R934" t="n">
        <v>0</v>
      </c>
      <c r="S934" t="n">
        <v>0</v>
      </c>
      <c r="T934" t="n">
        <v>0.25</v>
      </c>
      <c r="U934" t="n">
        <v>0.25</v>
      </c>
      <c r="V934" t="n">
        <v>0</v>
      </c>
      <c r="W934" t="n">
        <v>0</v>
      </c>
      <c r="X934" t="n">
        <v>0</v>
      </c>
      <c r="Y934" t="n">
        <v>0.25</v>
      </c>
      <c r="Z934" t="n">
        <v>0.25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20</v>
      </c>
      <c r="AL934" t="n">
        <v>20</v>
      </c>
      <c r="AM934" t="n">
        <v>0</v>
      </c>
      <c r="AN934" t="n">
        <v>0</v>
      </c>
      <c r="AO934" t="n">
        <v>0</v>
      </c>
      <c r="AP934" t="n">
        <v>20</v>
      </c>
      <c r="AQ934" t="n">
        <v>20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80</v>
      </c>
      <c r="BK934" t="n">
        <v>80</v>
      </c>
      <c r="BL934" t="n">
        <v>0</v>
      </c>
    </row>
    <row r="935" hidden="1" outlineLevel="1" s="191">
      <c r="A935" t="n">
        <v>4</v>
      </c>
      <c r="B935" t="inlineStr">
        <is>
          <t>a</t>
        </is>
      </c>
      <c r="C935" t="n">
        <v>0</v>
      </c>
      <c r="D935" t="inlineStr">
        <is>
          <t>.z09_4_a_0</t>
        </is>
      </c>
      <c r="E935" t="inlineStr">
        <is>
          <t>4.Modelowanie symulacyjne procesów w MWS</t>
        </is>
      </c>
      <c r="F935" t="n">
        <v>0</v>
      </c>
      <c r="G935" t="n">
        <v>0</v>
      </c>
      <c r="H935" t="n">
        <v>0</v>
      </c>
      <c r="I935" t="n">
        <v>0</v>
      </c>
      <c r="J935" t="n">
        <v>188</v>
      </c>
      <c r="K935" t="n">
        <v>47513</v>
      </c>
      <c r="L935" t="n">
        <v>47513</v>
      </c>
      <c r="M935" t="n">
        <v>187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</row>
    <row r="936" hidden="1" outlineLevel="1" s="191">
      <c r="A936" t="n">
        <v>4</v>
      </c>
      <c r="B936" t="inlineStr">
        <is>
          <t>a</t>
        </is>
      </c>
      <c r="C936" t="n">
        <v>1</v>
      </c>
      <c r="D936" t="inlineStr">
        <is>
          <t>.z09_4_a_1</t>
        </is>
      </c>
      <c r="E936" t="inlineStr">
        <is>
          <t>Określenie kluczowych zmiennych</t>
        </is>
      </c>
      <c r="F936" t="n">
        <v>0</v>
      </c>
      <c r="G936" t="n">
        <v>0</v>
      </c>
      <c r="H936" t="n">
        <v>4</v>
      </c>
      <c r="I936" t="inlineStr">
        <is>
          <t>ACT/END</t>
        </is>
      </c>
      <c r="J936" t="n">
        <v>188</v>
      </c>
      <c r="K936" t="n">
        <v>47513</v>
      </c>
      <c r="L936" t="n">
        <v>47515</v>
      </c>
      <c r="M936" t="n">
        <v>189</v>
      </c>
      <c r="N936" t="n">
        <v>2</v>
      </c>
      <c r="O936" t="n">
        <v>160</v>
      </c>
      <c r="P936" t="n">
        <v>0</v>
      </c>
      <c r="Q936" t="n">
        <v>0</v>
      </c>
      <c r="R936" t="n">
        <v>0</v>
      </c>
      <c r="S936" t="n">
        <v>0</v>
      </c>
      <c r="T936" t="n">
        <v>0.25</v>
      </c>
      <c r="U936" t="n">
        <v>0</v>
      </c>
      <c r="V936" t="n">
        <v>0.25</v>
      </c>
      <c r="W936" t="n">
        <v>0.25</v>
      </c>
      <c r="X936" t="n">
        <v>0.25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40</v>
      </c>
      <c r="AL936" t="n">
        <v>0</v>
      </c>
      <c r="AM936" t="n">
        <v>40</v>
      </c>
      <c r="AN936" t="n">
        <v>40</v>
      </c>
      <c r="AO936" t="n">
        <v>40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160</v>
      </c>
      <c r="BK936" t="n">
        <v>160</v>
      </c>
      <c r="BL936" t="n">
        <v>0</v>
      </c>
    </row>
    <row r="937" hidden="1" outlineLevel="1" s="191">
      <c r="A937" t="n">
        <v>4</v>
      </c>
      <c r="B937" t="inlineStr">
        <is>
          <t>b</t>
        </is>
      </c>
      <c r="C937" t="n">
        <v>1</v>
      </c>
      <c r="D937" t="inlineStr">
        <is>
          <t>.z09_4_b_1</t>
        </is>
      </c>
      <c r="E937" t="inlineStr">
        <is>
          <t>Budowa modeli dyskretnych, predykcyjnych  i relacyjnych</t>
        </is>
      </c>
      <c r="F937" t="n">
        <v>0</v>
      </c>
      <c r="G937" t="n">
        <v>0</v>
      </c>
      <c r="H937" t="n">
        <v>6</v>
      </c>
      <c r="I937" t="inlineStr">
        <is>
          <t>END</t>
        </is>
      </c>
      <c r="J937" t="n">
        <v>190</v>
      </c>
      <c r="K937" t="n">
        <v>47527</v>
      </c>
      <c r="L937" t="n">
        <v>47527</v>
      </c>
      <c r="M937" t="n">
        <v>189</v>
      </c>
      <c r="N937" t="n">
        <v>0</v>
      </c>
      <c r="O937" t="n">
        <v>120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0.333</v>
      </c>
      <c r="Z937" t="n">
        <v>0.333</v>
      </c>
      <c r="AA937" t="n">
        <v>0.333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40</v>
      </c>
      <c r="AQ937" t="n">
        <v>40</v>
      </c>
      <c r="AR937" t="n">
        <v>40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120</v>
      </c>
      <c r="BK937" t="n">
        <v>120</v>
      </c>
      <c r="BL937" t="n">
        <v>0</v>
      </c>
    </row>
    <row r="938" hidden="1" outlineLevel="1" s="191">
      <c r="A938" t="n">
        <v>4</v>
      </c>
      <c r="B938" t="inlineStr">
        <is>
          <t>c</t>
        </is>
      </c>
      <c r="C938" t="n">
        <v>1</v>
      </c>
      <c r="D938" t="inlineStr">
        <is>
          <t>.z09_4_c_1</t>
        </is>
      </c>
      <c r="E938" t="inlineStr">
        <is>
          <t>Opracowanie scenariuszy symulujących różne strategie w MWS</t>
        </is>
      </c>
      <c r="F938" t="n">
        <v>0</v>
      </c>
      <c r="G938" t="n">
        <v>0</v>
      </c>
      <c r="H938" t="n">
        <v>6</v>
      </c>
      <c r="I938" t="inlineStr">
        <is>
          <t>END</t>
        </is>
      </c>
      <c r="J938" t="n">
        <v>190</v>
      </c>
      <c r="K938" t="n">
        <v>47527</v>
      </c>
      <c r="L938" t="n">
        <v>47529</v>
      </c>
      <c r="M938" t="n">
        <v>191</v>
      </c>
      <c r="N938" t="n">
        <v>2</v>
      </c>
      <c r="O938" t="n">
        <v>160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0.25</v>
      </c>
      <c r="W938" t="n">
        <v>0</v>
      </c>
      <c r="X938" t="n">
        <v>0.25</v>
      </c>
      <c r="Y938" t="n">
        <v>0.25</v>
      </c>
      <c r="Z938" t="n">
        <v>0.25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40</v>
      </c>
      <c r="AN938" t="n">
        <v>0</v>
      </c>
      <c r="AO938" t="n">
        <v>40</v>
      </c>
      <c r="AP938" t="n">
        <v>40</v>
      </c>
      <c r="AQ938" t="n">
        <v>40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160</v>
      </c>
      <c r="BK938" t="n">
        <v>160</v>
      </c>
      <c r="BL938" t="n">
        <v>0</v>
      </c>
    </row>
    <row r="939" hidden="1" outlineLevel="1" s="191">
      <c r="A939" t="n">
        <v>4</v>
      </c>
      <c r="B939" t="inlineStr">
        <is>
          <t>d</t>
        </is>
      </c>
      <c r="C939" t="n">
        <v>1</v>
      </c>
      <c r="D939" t="inlineStr">
        <is>
          <t>.z09_4_d_1</t>
        </is>
      </c>
      <c r="E939" t="inlineStr">
        <is>
          <t>Testy, optymalizacja, implementacja zmian</t>
        </is>
      </c>
      <c r="F939" t="n">
        <v>0</v>
      </c>
      <c r="G939" t="n">
        <v>0</v>
      </c>
      <c r="H939" t="n">
        <v>8</v>
      </c>
      <c r="I939" t="inlineStr">
        <is>
          <t>END</t>
        </is>
      </c>
      <c r="J939" t="n">
        <v>192</v>
      </c>
      <c r="K939" t="n">
        <v>47541</v>
      </c>
      <c r="L939" t="n">
        <v>47543</v>
      </c>
      <c r="M939" t="n">
        <v>193</v>
      </c>
      <c r="N939" t="n">
        <v>2</v>
      </c>
      <c r="O939" t="n">
        <v>160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0.25</v>
      </c>
      <c r="X939" t="n">
        <v>0.25</v>
      </c>
      <c r="Y939" t="n">
        <v>0</v>
      </c>
      <c r="Z939" t="n">
        <v>0</v>
      </c>
      <c r="AA939" t="n">
        <v>0.25</v>
      </c>
      <c r="AB939" t="n">
        <v>0.25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40</v>
      </c>
      <c r="AO939" t="n">
        <v>40</v>
      </c>
      <c r="AP939" t="n">
        <v>0</v>
      </c>
      <c r="AQ939" t="n">
        <v>0</v>
      </c>
      <c r="AR939" t="n">
        <v>40</v>
      </c>
      <c r="AS939" t="n">
        <v>40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160</v>
      </c>
      <c r="BK939" t="n">
        <v>160</v>
      </c>
      <c r="BL939" t="n">
        <v>0</v>
      </c>
    </row>
    <row r="940" hidden="1" outlineLevel="1" s="191">
      <c r="A940" t="n">
        <v>5</v>
      </c>
      <c r="B940" t="inlineStr">
        <is>
          <t>a</t>
        </is>
      </c>
      <c r="C940" t="n">
        <v>0</v>
      </c>
      <c r="D940" t="inlineStr">
        <is>
          <t>.z09_5_a_0</t>
        </is>
      </c>
      <c r="E940" t="inlineStr">
        <is>
          <t>5.Symulacje i testy z CB</t>
        </is>
      </c>
      <c r="F940" t="n">
        <v>0</v>
      </c>
      <c r="G940" t="n">
        <v>0</v>
      </c>
      <c r="H940" t="n">
        <v>0</v>
      </c>
      <c r="I940" t="n">
        <v>0</v>
      </c>
      <c r="J940" t="n">
        <v>194</v>
      </c>
      <c r="K940" t="n">
        <v>47555</v>
      </c>
      <c r="L940" t="n">
        <v>47555</v>
      </c>
      <c r="M940" t="n">
        <v>193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</row>
    <row r="941" hidden="1" outlineLevel="1" s="191">
      <c r="A941" t="n">
        <v>5</v>
      </c>
      <c r="B941" t="inlineStr">
        <is>
          <t>a</t>
        </is>
      </c>
      <c r="C941" t="n">
        <v>1</v>
      </c>
      <c r="D941" t="inlineStr">
        <is>
          <t>.z09_5_a_1</t>
        </is>
      </c>
      <c r="E941" t="inlineStr">
        <is>
          <t>Symulacje etapów procesów MWS</t>
        </is>
      </c>
      <c r="F941" t="n">
        <v>0</v>
      </c>
      <c r="G941" t="n">
        <v>0</v>
      </c>
      <c r="H941" t="n">
        <v>4</v>
      </c>
      <c r="I941" t="inlineStr">
        <is>
          <t>ACT/END</t>
        </is>
      </c>
      <c r="J941" t="n">
        <v>194</v>
      </c>
      <c r="K941" t="n">
        <v>47555</v>
      </c>
      <c r="L941" t="n">
        <v>47557</v>
      </c>
      <c r="M941" t="n">
        <v>195</v>
      </c>
      <c r="N941" t="n">
        <v>2</v>
      </c>
      <c r="O941" t="n">
        <v>80</v>
      </c>
      <c r="P941" t="n">
        <v>0</v>
      </c>
      <c r="Q941" t="n">
        <v>0</v>
      </c>
      <c r="R941" t="n">
        <v>0</v>
      </c>
      <c r="S941" t="n">
        <v>0</v>
      </c>
      <c r="T941" t="n">
        <v>0.5</v>
      </c>
      <c r="U941" t="n">
        <v>0</v>
      </c>
      <c r="V941" t="n">
        <v>0</v>
      </c>
      <c r="W941" t="n">
        <v>0</v>
      </c>
      <c r="X941" t="n">
        <v>0</v>
      </c>
      <c r="Y941" t="n">
        <v>0.5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40</v>
      </c>
      <c r="AL941" t="n">
        <v>0</v>
      </c>
      <c r="AM941" t="n">
        <v>0</v>
      </c>
      <c r="AN941" t="n">
        <v>0</v>
      </c>
      <c r="AO941" t="n">
        <v>0</v>
      </c>
      <c r="AP941" t="n">
        <v>40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80</v>
      </c>
      <c r="BK941" t="n">
        <v>80</v>
      </c>
      <c r="BL941" t="n">
        <v>0</v>
      </c>
    </row>
    <row r="942" hidden="1" outlineLevel="1" s="191">
      <c r="A942" t="n">
        <v>5</v>
      </c>
      <c r="B942" t="inlineStr">
        <is>
          <t>b</t>
        </is>
      </c>
      <c r="C942" t="n">
        <v>1</v>
      </c>
      <c r="D942" t="inlineStr">
        <is>
          <t>.z09_5_b_1</t>
        </is>
      </c>
      <c r="E942" t="inlineStr">
        <is>
          <t>Testowanie algorytmów AI/ML w symulowanym środowisku</t>
        </is>
      </c>
      <c r="F942" t="n">
        <v>0</v>
      </c>
      <c r="G942" t="n">
        <v>0</v>
      </c>
      <c r="H942" t="n">
        <v>5</v>
      </c>
      <c r="I942" t="inlineStr">
        <is>
          <t>ACT/END</t>
        </is>
      </c>
      <c r="J942" t="n">
        <v>196</v>
      </c>
      <c r="K942" t="n">
        <v>47569</v>
      </c>
      <c r="L942" t="n">
        <v>47571</v>
      </c>
      <c r="M942" t="n">
        <v>197</v>
      </c>
      <c r="N942" t="n">
        <v>2</v>
      </c>
      <c r="O942" t="n">
        <v>80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0.5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0.5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40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40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80</v>
      </c>
      <c r="BK942" t="n">
        <v>80</v>
      </c>
      <c r="BL942" t="n">
        <v>0</v>
      </c>
    </row>
    <row r="943" hidden="1" outlineLevel="1" s="191">
      <c r="A943" t="n">
        <v>5</v>
      </c>
      <c r="B943" t="inlineStr">
        <is>
          <t>c</t>
        </is>
      </c>
      <c r="C943" t="n">
        <v>1</v>
      </c>
      <c r="D943" t="inlineStr">
        <is>
          <t>.z09_5_c_1</t>
        </is>
      </c>
      <c r="E943" t="inlineStr">
        <is>
          <t>Uczenie/trening modeli</t>
        </is>
      </c>
      <c r="F943" t="n">
        <v>0</v>
      </c>
      <c r="G943" t="n">
        <v>0</v>
      </c>
      <c r="H943" t="n">
        <v>5</v>
      </c>
      <c r="I943" t="inlineStr">
        <is>
          <t>ACT/END</t>
        </is>
      </c>
      <c r="J943" t="n">
        <v>198</v>
      </c>
      <c r="K943" t="n">
        <v>47583</v>
      </c>
      <c r="L943" t="n">
        <v>47583</v>
      </c>
      <c r="M943" t="n">
        <v>197</v>
      </c>
      <c r="N943" t="n">
        <v>0</v>
      </c>
      <c r="O943" t="n">
        <v>80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0.5</v>
      </c>
      <c r="Z943" t="n">
        <v>0.5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40</v>
      </c>
      <c r="AQ943" t="n">
        <v>40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80</v>
      </c>
      <c r="BK943" t="n">
        <v>80</v>
      </c>
      <c r="BL943" t="n">
        <v>0</v>
      </c>
    </row>
    <row r="944" hidden="1" outlineLevel="1" s="191">
      <c r="A944" t="n">
        <v>6</v>
      </c>
      <c r="B944" t="inlineStr">
        <is>
          <t>a</t>
        </is>
      </c>
      <c r="C944" t="n">
        <v>0</v>
      </c>
      <c r="D944" t="inlineStr">
        <is>
          <t>.z09_6_a_0</t>
        </is>
      </c>
      <c r="E944" t="inlineStr">
        <is>
          <t>6.Analiza wyników symulacji i testów</t>
        </is>
      </c>
      <c r="F944" t="n">
        <v>0</v>
      </c>
      <c r="G944" t="n">
        <v>0</v>
      </c>
      <c r="H944" t="n">
        <v>0</v>
      </c>
      <c r="I944" t="n">
        <v>0</v>
      </c>
      <c r="J944" t="n">
        <v>198</v>
      </c>
      <c r="K944" t="n">
        <v>47583</v>
      </c>
      <c r="L944" t="n">
        <v>47583</v>
      </c>
      <c r="M944" t="n">
        <v>197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</row>
    <row r="945" hidden="1" outlineLevel="1" s="191">
      <c r="A945" t="n">
        <v>6</v>
      </c>
      <c r="B945" t="inlineStr">
        <is>
          <t>a</t>
        </is>
      </c>
      <c r="C945" t="n">
        <v>1</v>
      </c>
      <c r="D945" t="inlineStr">
        <is>
          <t>.z09_6_a_1</t>
        </is>
      </c>
      <c r="E945" t="inlineStr">
        <is>
          <t>Analiza wyników</t>
        </is>
      </c>
      <c r="F945" t="n">
        <v>0</v>
      </c>
      <c r="G945" t="n">
        <v>0</v>
      </c>
      <c r="H945" t="n">
        <v>0</v>
      </c>
      <c r="I945" t="inlineStr">
        <is>
          <t>ACT/END</t>
        </is>
      </c>
      <c r="J945" t="n">
        <v>198</v>
      </c>
      <c r="K945" t="n">
        <v>47583</v>
      </c>
      <c r="L945" t="n">
        <v>47585</v>
      </c>
      <c r="M945" t="n">
        <v>199</v>
      </c>
      <c r="N945" t="n">
        <v>2</v>
      </c>
      <c r="O945" t="n">
        <v>80</v>
      </c>
      <c r="P945" t="n">
        <v>0</v>
      </c>
      <c r="Q945" t="n">
        <v>0</v>
      </c>
      <c r="R945" t="n">
        <v>0</v>
      </c>
      <c r="S945" t="n">
        <v>0</v>
      </c>
      <c r="T945" t="n">
        <v>0.5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0.5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40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40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80</v>
      </c>
      <c r="BK945" t="n">
        <v>80</v>
      </c>
      <c r="BL945" t="n">
        <v>0</v>
      </c>
    </row>
    <row r="946" hidden="1" outlineLevel="1" s="191">
      <c r="A946" t="n">
        <v>6</v>
      </c>
      <c r="B946" t="inlineStr">
        <is>
          <t>b</t>
        </is>
      </c>
      <c r="C946" t="n">
        <v>1</v>
      </c>
      <c r="D946" t="inlineStr">
        <is>
          <t>.z09_6_b_1</t>
        </is>
      </c>
      <c r="E946" t="inlineStr">
        <is>
          <t>Optymalizacja algorytmów (dopasowanie do zmieniających się warunków operacyjnych)</t>
        </is>
      </c>
      <c r="F946" t="n">
        <v>0</v>
      </c>
      <c r="G946" t="n">
        <v>0</v>
      </c>
      <c r="H946" t="n">
        <v>6</v>
      </c>
      <c r="I946" t="inlineStr">
        <is>
          <t>ACT/END</t>
        </is>
      </c>
      <c r="J946" t="n">
        <v>200</v>
      </c>
      <c r="K946" t="n">
        <v>47597</v>
      </c>
      <c r="L946" t="n">
        <v>47599</v>
      </c>
      <c r="M946" t="n">
        <v>201</v>
      </c>
      <c r="N946" t="n">
        <v>2</v>
      </c>
      <c r="O946" t="n">
        <v>120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0.34</v>
      </c>
      <c r="V946" t="n">
        <v>0</v>
      </c>
      <c r="W946" t="n">
        <v>0</v>
      </c>
      <c r="X946" t="n">
        <v>0</v>
      </c>
      <c r="Y946" t="n">
        <v>0.33</v>
      </c>
      <c r="Z946" t="n">
        <v>0</v>
      </c>
      <c r="AA946" t="n">
        <v>0.33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41</v>
      </c>
      <c r="AM946" t="n">
        <v>0</v>
      </c>
      <c r="AN946" t="n">
        <v>0</v>
      </c>
      <c r="AO946" t="n">
        <v>0</v>
      </c>
      <c r="AP946" t="n">
        <v>40</v>
      </c>
      <c r="AQ946" t="n">
        <v>0</v>
      </c>
      <c r="AR946" t="n">
        <v>40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120</v>
      </c>
      <c r="BK946" t="n">
        <v>121</v>
      </c>
      <c r="BL946" t="n">
        <v>-1</v>
      </c>
    </row>
    <row r="947" hidden="1" outlineLevel="1" s="191">
      <c r="A947" t="n">
        <v>6</v>
      </c>
      <c r="B947" t="inlineStr">
        <is>
          <t>c</t>
        </is>
      </c>
      <c r="C947" t="n">
        <v>1</v>
      </c>
      <c r="D947" t="inlineStr">
        <is>
          <t>.z09_6_c_1</t>
        </is>
      </c>
      <c r="E947" t="inlineStr">
        <is>
          <t>Opracowanie dynamicznych harmonogramów w MWS (aktualne obciążeniu zamówienia, dostępne zasoby)</t>
        </is>
      </c>
      <c r="F947" t="n">
        <v>0</v>
      </c>
      <c r="G947" t="n">
        <v>0</v>
      </c>
      <c r="H947" t="n">
        <v>7</v>
      </c>
      <c r="I947" t="inlineStr">
        <is>
          <t>ACT/END</t>
        </is>
      </c>
      <c r="J947" t="n">
        <v>202</v>
      </c>
      <c r="K947" t="n">
        <v>47611</v>
      </c>
      <c r="L947" t="n">
        <v>47615</v>
      </c>
      <c r="M947" t="n">
        <v>205</v>
      </c>
      <c r="N947" t="n">
        <v>4</v>
      </c>
      <c r="O947" t="n">
        <v>160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0.5</v>
      </c>
      <c r="V947" t="n">
        <v>0.5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80</v>
      </c>
      <c r="AM947" t="n">
        <v>80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160</v>
      </c>
      <c r="BK947" t="n">
        <v>160</v>
      </c>
      <c r="BL947" t="n">
        <v>0</v>
      </c>
    </row>
    <row r="948" hidden="1" outlineLevel="1" s="191">
      <c r="A948" t="n">
        <v>6</v>
      </c>
      <c r="B948" t="inlineStr">
        <is>
          <t>d</t>
        </is>
      </c>
      <c r="C948" t="n">
        <v>1</v>
      </c>
      <c r="D948" t="inlineStr">
        <is>
          <t>.z09_6_d_1</t>
        </is>
      </c>
      <c r="E948" t="inlineStr">
        <is>
          <t>Porównanie wyników symulacji. Ocena efektywności czasu kompletacji w zależności od sezonowości, sytuacji nadzwyczajnych, oszczędności</t>
        </is>
      </c>
      <c r="F948" t="n">
        <v>0</v>
      </c>
      <c r="G948" t="n">
        <v>0</v>
      </c>
      <c r="H948" t="n">
        <v>0</v>
      </c>
      <c r="I948" t="inlineStr">
        <is>
          <t>ACT/END</t>
        </is>
      </c>
      <c r="J948" t="n">
        <v>206</v>
      </c>
      <c r="K948" t="n">
        <v>47639</v>
      </c>
      <c r="L948" t="n">
        <v>47641</v>
      </c>
      <c r="M948" t="n">
        <v>207</v>
      </c>
      <c r="N948" t="n">
        <v>2</v>
      </c>
      <c r="O948" t="n">
        <v>80</v>
      </c>
      <c r="P948" t="n">
        <v>0</v>
      </c>
      <c r="Q948" t="n">
        <v>0</v>
      </c>
      <c r="R948" t="n">
        <v>0</v>
      </c>
      <c r="S948" t="n">
        <v>0</v>
      </c>
      <c r="T948" t="n">
        <v>0.5</v>
      </c>
      <c r="U948" t="n">
        <v>0.5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40</v>
      </c>
      <c r="AL948" t="n">
        <v>40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80</v>
      </c>
      <c r="BK948" t="n">
        <v>80</v>
      </c>
      <c r="BL948" t="n">
        <v>0</v>
      </c>
    </row>
    <row r="949" hidden="1" outlineLevel="1" s="191">
      <c r="A949" t="n">
        <v>6</v>
      </c>
      <c r="B949" t="inlineStr">
        <is>
          <t>e</t>
        </is>
      </c>
      <c r="C949" t="n">
        <v>1</v>
      </c>
      <c r="D949" t="inlineStr">
        <is>
          <t>.z09_6_e_1</t>
        </is>
      </c>
      <c r="E949" t="inlineStr">
        <is>
          <t>Wybór Modelu optymalizującego trasy, czasy przejazdu wózków widłowych i realizacji zadań, pracę personelu, rekomendującego optymalne ułożenie towarów w MWS</t>
        </is>
      </c>
      <c r="F949" t="n">
        <v>0</v>
      </c>
      <c r="G949" t="n">
        <v>0</v>
      </c>
      <c r="H949" t="n">
        <v>4</v>
      </c>
      <c r="I949" t="inlineStr">
        <is>
          <t>ACT/END</t>
        </is>
      </c>
      <c r="J949" t="n">
        <v>208</v>
      </c>
      <c r="K949" t="n">
        <v>47653</v>
      </c>
      <c r="L949" t="n">
        <v>47655</v>
      </c>
      <c r="M949" t="n">
        <v>209</v>
      </c>
      <c r="N949" t="n">
        <v>2</v>
      </c>
      <c r="O949" t="n">
        <v>120</v>
      </c>
      <c r="P949" t="n">
        <v>0</v>
      </c>
      <c r="Q949" t="n">
        <v>0</v>
      </c>
      <c r="R949" t="n">
        <v>0</v>
      </c>
      <c r="S949" t="n">
        <v>0</v>
      </c>
      <c r="T949" t="n">
        <v>0.333</v>
      </c>
      <c r="U949" t="n">
        <v>0.333</v>
      </c>
      <c r="V949" t="n">
        <v>0</v>
      </c>
      <c r="W949" t="n">
        <v>0</v>
      </c>
      <c r="X949" t="n">
        <v>0</v>
      </c>
      <c r="Y949" t="n">
        <v>0</v>
      </c>
      <c r="Z949" t="n">
        <v>0.333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40</v>
      </c>
      <c r="AL949" t="n">
        <v>40</v>
      </c>
      <c r="AM949" t="n">
        <v>0</v>
      </c>
      <c r="AN949" t="n">
        <v>0</v>
      </c>
      <c r="AO949" t="n">
        <v>0</v>
      </c>
      <c r="AP949" t="n">
        <v>0</v>
      </c>
      <c r="AQ949" t="n">
        <v>40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120</v>
      </c>
      <c r="BK949" t="n">
        <v>120</v>
      </c>
      <c r="BL949" t="n">
        <v>0</v>
      </c>
    </row>
    <row r="950" hidden="1" outlineLevel="1" s="191">
      <c r="A950" t="n">
        <v>7</v>
      </c>
      <c r="B950" t="inlineStr">
        <is>
          <t>Walidacja i optymalizacja Modelu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210</v>
      </c>
      <c r="K950" t="n">
        <v>47667</v>
      </c>
      <c r="L950" t="n">
        <v>47667</v>
      </c>
      <c r="M950" t="n">
        <v>209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</row>
    <row r="951" hidden="1" outlineLevel="1" s="191">
      <c r="A951" t="n">
        <v>7</v>
      </c>
      <c r="B951" t="inlineStr">
        <is>
          <t>a</t>
        </is>
      </c>
      <c r="C951" t="n">
        <v>0</v>
      </c>
      <c r="D951" t="inlineStr">
        <is>
          <t>.z09_7_a_0</t>
        </is>
      </c>
      <c r="E951" t="inlineStr">
        <is>
          <t>Przeprowadzenie testów (np. krzyżowa walidacja, na nowych danych) w warunkach zbliżonych do rzeczywistych</t>
        </is>
      </c>
      <c r="F951" t="n">
        <v>0</v>
      </c>
      <c r="G951" t="n">
        <v>0</v>
      </c>
      <c r="H951" t="n">
        <v>0</v>
      </c>
      <c r="I951" t="inlineStr">
        <is>
          <t>ACT</t>
        </is>
      </c>
      <c r="J951" t="n">
        <v>210</v>
      </c>
      <c r="K951" t="n">
        <v>47667</v>
      </c>
      <c r="L951" t="n">
        <v>47669</v>
      </c>
      <c r="M951" t="n">
        <v>211</v>
      </c>
      <c r="N951" t="n">
        <v>2</v>
      </c>
      <c r="O951" t="n">
        <v>80</v>
      </c>
      <c r="P951" t="n">
        <v>0</v>
      </c>
      <c r="Q951" t="n">
        <v>0</v>
      </c>
      <c r="R951" t="n">
        <v>0</v>
      </c>
      <c r="S951" t="n">
        <v>0</v>
      </c>
      <c r="T951" t="n">
        <v>0.5</v>
      </c>
      <c r="U951" t="n">
        <v>0.5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40</v>
      </c>
      <c r="AL951" t="n">
        <v>40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80</v>
      </c>
      <c r="BK951" t="n">
        <v>80</v>
      </c>
      <c r="BL951" t="n">
        <v>0</v>
      </c>
    </row>
    <row r="952" hidden="1" outlineLevel="1" s="191">
      <c r="A952" t="n">
        <v>7</v>
      </c>
      <c r="B952" t="inlineStr">
        <is>
          <t>b</t>
        </is>
      </c>
      <c r="C952" t="n">
        <v>0</v>
      </c>
      <c r="D952" t="inlineStr">
        <is>
          <t>.z09_7_b_0</t>
        </is>
      </c>
      <c r="E952" t="inlineStr">
        <is>
          <t>Monitorowanie i porównanie wyników Modelu z danymi operacyjnymi, ocena dokładności prognoz i skuteczności optymalizacji</t>
        </is>
      </c>
      <c r="F952" t="n">
        <v>0</v>
      </c>
      <c r="G952" t="n">
        <v>0</v>
      </c>
      <c r="H952" t="n">
        <v>11</v>
      </c>
      <c r="I952" t="inlineStr">
        <is>
          <t>ACT</t>
        </is>
      </c>
      <c r="J952" t="n">
        <v>212</v>
      </c>
      <c r="K952" t="n">
        <v>47681</v>
      </c>
      <c r="L952" t="n">
        <v>47683</v>
      </c>
      <c r="M952" t="n">
        <v>213</v>
      </c>
      <c r="N952" t="n">
        <v>2</v>
      </c>
      <c r="O952" t="n">
        <v>120</v>
      </c>
      <c r="P952" t="n">
        <v>0</v>
      </c>
      <c r="Q952" t="n">
        <v>0</v>
      </c>
      <c r="R952" t="n">
        <v>0</v>
      </c>
      <c r="S952" t="n">
        <v>0</v>
      </c>
      <c r="T952" t="n">
        <v>0.34</v>
      </c>
      <c r="U952" t="n">
        <v>0.33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0.33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41</v>
      </c>
      <c r="AL952" t="n">
        <v>40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40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120</v>
      </c>
      <c r="BK952" t="n">
        <v>121</v>
      </c>
      <c r="BL952" t="n">
        <v>-1</v>
      </c>
    </row>
    <row r="953" hidden="1" outlineLevel="1" s="191">
      <c r="A953" t="n">
        <v>7</v>
      </c>
      <c r="B953" t="inlineStr">
        <is>
          <t>c</t>
        </is>
      </c>
      <c r="C953" t="n">
        <v>0</v>
      </c>
      <c r="D953" t="inlineStr">
        <is>
          <t>.z09_7_c_0</t>
        </is>
      </c>
      <c r="E953" t="inlineStr">
        <is>
          <t>Iteracyjne kalibracje (dopasowanie do wybranych procesów rzeczywistych [na niewielką skalę], dostosowanie parametrów i wybór najlepszych algorytmów z przeprowadzonych testów)</t>
        </is>
      </c>
      <c r="F953" t="n">
        <v>0</v>
      </c>
      <c r="G953" t="n">
        <v>0</v>
      </c>
      <c r="H953" t="n">
        <v>12</v>
      </c>
      <c r="I953" t="inlineStr">
        <is>
          <t>END/ACT</t>
        </is>
      </c>
      <c r="J953" t="n">
        <v>214</v>
      </c>
      <c r="K953" t="n">
        <v>47695</v>
      </c>
      <c r="L953" t="n">
        <v>47697</v>
      </c>
      <c r="M953" t="n">
        <v>215</v>
      </c>
      <c r="N953" t="n">
        <v>2</v>
      </c>
      <c r="O953" t="n">
        <v>120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0.34</v>
      </c>
      <c r="V953" t="n">
        <v>0</v>
      </c>
      <c r="W953" t="n">
        <v>0</v>
      </c>
      <c r="X953" t="n">
        <v>0</v>
      </c>
      <c r="Y953" t="n">
        <v>0.33</v>
      </c>
      <c r="Z953" t="n">
        <v>0</v>
      </c>
      <c r="AA953" t="n">
        <v>0.33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41</v>
      </c>
      <c r="AM953" t="n">
        <v>0</v>
      </c>
      <c r="AN953" t="n">
        <v>0</v>
      </c>
      <c r="AO953" t="n">
        <v>0</v>
      </c>
      <c r="AP953" t="n">
        <v>40</v>
      </c>
      <c r="AQ953" t="n">
        <v>0</v>
      </c>
      <c r="AR953" t="n">
        <v>40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120</v>
      </c>
      <c r="BK953" t="n">
        <v>121</v>
      </c>
      <c r="BL953" t="n">
        <v>-1</v>
      </c>
    </row>
    <row r="954" hidden="1" outlineLevel="1" s="191">
      <c r="A954" t="n">
        <v>8</v>
      </c>
      <c r="B954" t="inlineStr">
        <is>
          <t>a</t>
        </is>
      </c>
      <c r="C954" t="n">
        <v>0</v>
      </c>
      <c r="D954" t="inlineStr">
        <is>
          <t>.z09_8_a_0</t>
        </is>
      </c>
      <c r="E954" t="inlineStr">
        <is>
          <t>8.Optymalizacja kosztów i zasobów. Analiza modeli AI/ML w celu optymalizacji:</t>
        </is>
      </c>
      <c r="F954" t="n">
        <v>0</v>
      </c>
      <c r="G954" t="n">
        <v>0</v>
      </c>
      <c r="H954" t="n">
        <v>12</v>
      </c>
      <c r="I954" t="n">
        <v>0</v>
      </c>
      <c r="J954" t="n">
        <v>216</v>
      </c>
      <c r="K954" t="n">
        <v>47709</v>
      </c>
      <c r="L954" t="n">
        <v>47709</v>
      </c>
      <c r="M954" t="n">
        <v>215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</row>
    <row r="955" hidden="1" outlineLevel="1" s="191">
      <c r="A955" t="n">
        <v>8</v>
      </c>
      <c r="B955" t="inlineStr">
        <is>
          <t>a</t>
        </is>
      </c>
      <c r="C955" t="n">
        <v>1</v>
      </c>
      <c r="D955" t="inlineStr">
        <is>
          <t>.z09_8_a_1</t>
        </is>
      </c>
      <c r="E955" t="inlineStr">
        <is>
          <t>kosztów operacyjnych</t>
        </is>
      </c>
      <c r="F955" t="n">
        <v>0</v>
      </c>
      <c r="G955" t="n">
        <v>0</v>
      </c>
      <c r="H955" t="n">
        <v>10</v>
      </c>
      <c r="I955" t="inlineStr">
        <is>
          <t>ACT</t>
        </is>
      </c>
      <c r="J955" t="n">
        <v>216</v>
      </c>
      <c r="K955" t="n">
        <v>47709</v>
      </c>
      <c r="L955" t="n">
        <v>47715</v>
      </c>
      <c r="M955" t="n">
        <v>221</v>
      </c>
      <c r="N955" t="n">
        <v>6</v>
      </c>
      <c r="O955" t="n">
        <v>120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120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120</v>
      </c>
      <c r="BK955" t="n">
        <v>120</v>
      </c>
      <c r="BL955" t="n">
        <v>0</v>
      </c>
    </row>
    <row r="956" hidden="1" outlineLevel="1" s="191">
      <c r="A956" t="n">
        <v>8</v>
      </c>
      <c r="B956" t="inlineStr">
        <is>
          <t>b</t>
        </is>
      </c>
      <c r="C956" t="n">
        <v>1</v>
      </c>
      <c r="D956" t="inlineStr">
        <is>
          <t>.z09_8_b_1</t>
        </is>
      </c>
      <c r="E956" t="inlineStr">
        <is>
          <t>czasu i efektywności pracy wózków widłowych</t>
        </is>
      </c>
      <c r="F956" t="n">
        <v>0</v>
      </c>
      <c r="G956" t="n">
        <v>0</v>
      </c>
      <c r="H956" t="n">
        <v>10</v>
      </c>
      <c r="I956" t="inlineStr">
        <is>
          <t>ACT</t>
        </is>
      </c>
      <c r="J956" t="n">
        <v>222</v>
      </c>
      <c r="K956" t="n">
        <v>47751</v>
      </c>
      <c r="L956" t="n">
        <v>47757</v>
      </c>
      <c r="M956" t="n">
        <v>227</v>
      </c>
      <c r="N956" t="n">
        <v>6</v>
      </c>
      <c r="O956" t="n">
        <v>120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120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120</v>
      </c>
      <c r="BK956" t="n">
        <v>120</v>
      </c>
      <c r="BL956" t="n">
        <v>0</v>
      </c>
    </row>
    <row r="957" hidden="1" outlineLevel="1" s="191">
      <c r="A957" t="n">
        <v>8</v>
      </c>
      <c r="B957" t="inlineStr">
        <is>
          <t>c</t>
        </is>
      </c>
      <c r="C957" t="n">
        <v>1</v>
      </c>
      <c r="D957" t="inlineStr">
        <is>
          <t>.z09_8_c_1</t>
        </is>
      </c>
      <c r="E957" t="inlineStr">
        <is>
          <t>efektywności pracy pracowników</t>
        </is>
      </c>
      <c r="F957" t="n">
        <v>0</v>
      </c>
      <c r="G957" t="n">
        <v>0</v>
      </c>
      <c r="H957" t="n">
        <v>10</v>
      </c>
      <c r="I957" t="inlineStr">
        <is>
          <t>ACT</t>
        </is>
      </c>
      <c r="J957" t="n">
        <v>228</v>
      </c>
      <c r="K957" t="n">
        <v>47793</v>
      </c>
      <c r="L957" t="n">
        <v>47799</v>
      </c>
      <c r="M957" t="n">
        <v>233</v>
      </c>
      <c r="N957" t="n">
        <v>6</v>
      </c>
      <c r="O957" t="n">
        <v>120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120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120</v>
      </c>
      <c r="BK957" t="n">
        <v>120</v>
      </c>
      <c r="BL957" t="n">
        <v>0</v>
      </c>
    </row>
    <row r="958" hidden="1" outlineLevel="1" s="191">
      <c r="A958" t="n">
        <v>8</v>
      </c>
      <c r="B958" t="inlineStr">
        <is>
          <t>d</t>
        </is>
      </c>
      <c r="C958" t="n">
        <v>1</v>
      </c>
      <c r="D958" t="inlineStr">
        <is>
          <t>.z09_8_d_1</t>
        </is>
      </c>
      <c r="E958" t="inlineStr">
        <is>
          <t>zarządzania zasobami ludzkimi</t>
        </is>
      </c>
      <c r="F958" t="n">
        <v>0</v>
      </c>
      <c r="G958" t="n">
        <v>0</v>
      </c>
      <c r="H958" t="n">
        <v>10</v>
      </c>
      <c r="I958" t="inlineStr">
        <is>
          <t>ACT</t>
        </is>
      </c>
      <c r="J958" t="n">
        <v>234</v>
      </c>
      <c r="K958" t="n">
        <v>47835</v>
      </c>
      <c r="L958" t="n">
        <v>47838</v>
      </c>
      <c r="M958" t="n">
        <v>236</v>
      </c>
      <c r="N958" t="n">
        <v>3</v>
      </c>
      <c r="O958" t="n">
        <v>120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0.5</v>
      </c>
      <c r="X958" t="n">
        <v>0.5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60</v>
      </c>
      <c r="AO958" t="n">
        <v>60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120</v>
      </c>
      <c r="BK958" t="n">
        <v>120</v>
      </c>
      <c r="BL958" t="n">
        <v>0</v>
      </c>
    </row>
    <row r="959" hidden="1" outlineLevel="1" s="191">
      <c r="A959" t="n">
        <v>8</v>
      </c>
      <c r="B959" t="inlineStr">
        <is>
          <t>e</t>
        </is>
      </c>
      <c r="C959" t="n">
        <v>1</v>
      </c>
      <c r="D959" t="inlineStr">
        <is>
          <t>.z09_8_e_1</t>
        </is>
      </c>
      <c r="E959" t="inlineStr">
        <is>
          <t>rozmieszczenia towarów w MWS i dostarczania do Strefy Kompletacji</t>
        </is>
      </c>
      <c r="F959" t="n">
        <v>0</v>
      </c>
      <c r="G959" t="n">
        <v>0</v>
      </c>
      <c r="H959" t="n">
        <v>10</v>
      </c>
      <c r="I959" t="inlineStr">
        <is>
          <t>ACT</t>
        </is>
      </c>
      <c r="J959" t="n">
        <v>237</v>
      </c>
      <c r="K959" t="n">
        <v>47856</v>
      </c>
      <c r="L959" t="n">
        <v>47859</v>
      </c>
      <c r="M959" t="n">
        <v>239</v>
      </c>
      <c r="N959" t="n">
        <v>3</v>
      </c>
      <c r="O959" t="n">
        <v>120</v>
      </c>
      <c r="P959" t="n">
        <v>0</v>
      </c>
      <c r="Q959" t="n">
        <v>0</v>
      </c>
      <c r="R959" t="n">
        <v>0</v>
      </c>
      <c r="S959" t="n">
        <v>0</v>
      </c>
      <c r="T959" t="n">
        <v>0.5</v>
      </c>
      <c r="U959" t="n">
        <v>0.5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60</v>
      </c>
      <c r="AL959" t="n">
        <v>60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120</v>
      </c>
      <c r="BK959" t="n">
        <v>120</v>
      </c>
      <c r="BL959" t="n">
        <v>0</v>
      </c>
    </row>
    <row r="960" hidden="1" outlineLevel="1" s="191">
      <c r="A960" t="n">
        <v>8</v>
      </c>
      <c r="B960" t="inlineStr">
        <is>
          <t>f</t>
        </is>
      </c>
      <c r="C960" t="n">
        <v>1</v>
      </c>
      <c r="D960" t="inlineStr">
        <is>
          <t>.z09_8_f_1</t>
        </is>
      </c>
      <c r="E960" t="inlineStr">
        <is>
          <t>zużycia energii przez inteligentne zarządzanie wózkami</t>
        </is>
      </c>
      <c r="F960" t="n">
        <v>0</v>
      </c>
      <c r="G960" t="n">
        <v>0</v>
      </c>
      <c r="H960" t="n">
        <v>10</v>
      </c>
      <c r="I960" t="inlineStr">
        <is>
          <t>ACT</t>
        </is>
      </c>
      <c r="J960" t="n">
        <v>240</v>
      </c>
      <c r="K960" t="n">
        <v>47877</v>
      </c>
      <c r="L960" t="n">
        <v>47880</v>
      </c>
      <c r="M960" t="n">
        <v>242</v>
      </c>
      <c r="N960" t="n">
        <v>3</v>
      </c>
      <c r="O960" t="n">
        <v>120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0.5</v>
      </c>
      <c r="X960" t="n">
        <v>0.5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60</v>
      </c>
      <c r="AO960" t="n">
        <v>60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120</v>
      </c>
      <c r="BK960" t="n">
        <v>120</v>
      </c>
      <c r="BL960" t="n">
        <v>0</v>
      </c>
    </row>
    <row r="961" hidden="1" outlineLevel="1" s="191">
      <c r="A961" t="n">
        <v>9</v>
      </c>
      <c r="B961" t="inlineStr">
        <is>
          <t>a</t>
        </is>
      </c>
      <c r="C961" t="n">
        <v>0</v>
      </c>
      <c r="D961" t="inlineStr">
        <is>
          <t>.z09_9_a_0</t>
        </is>
      </c>
      <c r="E961" t="inlineStr">
        <is>
          <t xml:space="preserve">9.Zarządzanie bezpieczeństwem i niezawodnością systemu. Opracowanie mechanizmów/narzędzi: </t>
        </is>
      </c>
      <c r="F961" t="n">
        <v>0</v>
      </c>
      <c r="G961" t="n">
        <v>0</v>
      </c>
      <c r="H961" t="n">
        <v>0</v>
      </c>
      <c r="I961" t="n">
        <v>0</v>
      </c>
      <c r="J961" t="n">
        <v>243</v>
      </c>
      <c r="K961" t="n">
        <v>47898</v>
      </c>
      <c r="L961" t="n">
        <v>47898</v>
      </c>
      <c r="M961" t="n">
        <v>242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</row>
    <row r="962" hidden="1" outlineLevel="1" s="191">
      <c r="A962" t="n">
        <v>9</v>
      </c>
      <c r="B962" t="inlineStr">
        <is>
          <t>a</t>
        </is>
      </c>
      <c r="C962" t="n">
        <v>1</v>
      </c>
      <c r="D962" t="inlineStr">
        <is>
          <t>.z09_9_a_1</t>
        </is>
      </c>
      <c r="E962" t="inlineStr">
        <is>
          <t xml:space="preserve">zabezpieczenia danych procesowanych przez CB i AI/ML przed cyberatakami  </t>
        </is>
      </c>
      <c r="F962" t="n">
        <v>0</v>
      </c>
      <c r="G962" t="n">
        <v>0</v>
      </c>
      <c r="H962" t="n">
        <v>8</v>
      </c>
      <c r="I962" t="inlineStr">
        <is>
          <t>ACT</t>
        </is>
      </c>
      <c r="J962" t="n">
        <v>243</v>
      </c>
      <c r="K962" t="n">
        <v>47898</v>
      </c>
      <c r="L962" t="n">
        <v>47902</v>
      </c>
      <c r="M962" t="n">
        <v>246</v>
      </c>
      <c r="N962" t="n">
        <v>4</v>
      </c>
      <c r="O962" t="n">
        <v>160</v>
      </c>
      <c r="P962" t="n">
        <v>0</v>
      </c>
      <c r="Q962" t="n">
        <v>0</v>
      </c>
      <c r="R962" t="n">
        <v>0</v>
      </c>
      <c r="S962" t="n">
        <v>0</v>
      </c>
      <c r="T962" t="n">
        <v>0.5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0.5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80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80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160</v>
      </c>
      <c r="BK962" t="n">
        <v>160</v>
      </c>
      <c r="BL962" t="n">
        <v>0</v>
      </c>
    </row>
    <row r="963" hidden="1" outlineLevel="1" s="191">
      <c r="A963" t="n">
        <v>9</v>
      </c>
      <c r="B963" t="inlineStr">
        <is>
          <t>b</t>
        </is>
      </c>
      <c r="C963" t="n">
        <v>1</v>
      </c>
      <c r="D963" t="inlineStr">
        <is>
          <t>.z09_9_b_1</t>
        </is>
      </c>
      <c r="E963" t="inlineStr">
        <is>
          <t>monitorowania wydajności i niezawodności CB oraz algorytmów AI/ML, testy awaryjne</t>
        </is>
      </c>
      <c r="F963" t="n">
        <v>0</v>
      </c>
      <c r="G963" t="n">
        <v>0</v>
      </c>
      <c r="H963" t="n">
        <v>9</v>
      </c>
      <c r="I963" t="inlineStr">
        <is>
          <t>ACT</t>
        </is>
      </c>
      <c r="J963" t="n">
        <v>247</v>
      </c>
      <c r="K963" t="n">
        <v>47926</v>
      </c>
      <c r="L963" t="n">
        <v>47926</v>
      </c>
      <c r="M963" t="n">
        <v>246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0.5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</row>
    <row r="964" hidden="1" outlineLevel="1" s="191">
      <c r="A964" t="n">
        <v>9</v>
      </c>
      <c r="B964" t="inlineStr">
        <is>
          <t>c</t>
        </is>
      </c>
      <c r="C964" t="n">
        <v>1</v>
      </c>
      <c r="D964" t="inlineStr">
        <is>
          <t>.z09_9_c_1</t>
        </is>
      </c>
      <c r="E964" t="inlineStr">
        <is>
          <t>zabezpieczenia systemów AI/ML (np. zgodność działania z założeniami, odporność na błędy, redundancja zapobiegająca zakłóceniom MWS)</t>
        </is>
      </c>
      <c r="F964" t="n">
        <v>0</v>
      </c>
      <c r="G964" t="n">
        <v>0</v>
      </c>
      <c r="H964" t="n">
        <v>9</v>
      </c>
      <c r="I964" t="inlineStr">
        <is>
          <t>END/ACT</t>
        </is>
      </c>
      <c r="J964" t="n">
        <v>247</v>
      </c>
      <c r="K964" t="n">
        <v>47926</v>
      </c>
      <c r="L964" t="n">
        <v>47926</v>
      </c>
      <c r="M964" t="n">
        <v>246</v>
      </c>
      <c r="N964" t="n">
        <v>0</v>
      </c>
      <c r="O964" t="n">
        <v>160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0.5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0.5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80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80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160</v>
      </c>
      <c r="BK964" t="n">
        <v>160</v>
      </c>
      <c r="BL964" t="n">
        <v>0</v>
      </c>
    </row>
    <row r="965" hidden="1" outlineLevel="1" s="191">
      <c r="A965" t="n">
        <v>9</v>
      </c>
      <c r="B965" t="inlineStr">
        <is>
          <t>d</t>
        </is>
      </c>
      <c r="C965" t="n">
        <v>1</v>
      </c>
      <c r="D965" t="inlineStr">
        <is>
          <t>.z09_9_d_1</t>
        </is>
      </c>
      <c r="E965" t="inlineStr">
        <is>
          <t>gwarancji bezpieczeństwa współpracy ludzi z wózkami i systemami automatycznymi</t>
        </is>
      </c>
      <c r="F965" t="n">
        <v>0</v>
      </c>
      <c r="G965" t="n">
        <v>0</v>
      </c>
      <c r="H965" t="n">
        <v>9</v>
      </c>
      <c r="I965" t="inlineStr">
        <is>
          <t>ACT</t>
        </is>
      </c>
      <c r="J965" t="n">
        <v>247</v>
      </c>
      <c r="K965" t="n">
        <v>47926</v>
      </c>
      <c r="L965" t="n">
        <v>47929</v>
      </c>
      <c r="M965" t="n">
        <v>249</v>
      </c>
      <c r="N965" t="n">
        <v>3</v>
      </c>
      <c r="O965" t="n">
        <v>120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0.5</v>
      </c>
      <c r="W965" t="n">
        <v>0.5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60</v>
      </c>
      <c r="AN965" t="n">
        <v>60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120</v>
      </c>
      <c r="BK965" t="n">
        <v>120</v>
      </c>
      <c r="BL965" t="n">
        <v>0</v>
      </c>
    </row>
    <row r="966" hidden="1" outlineLevel="1" s="191">
      <c r="A966" t="n">
        <v>9</v>
      </c>
      <c r="B966" t="inlineStr">
        <is>
          <t>e</t>
        </is>
      </c>
      <c r="C966" t="n">
        <v>1</v>
      </c>
      <c r="D966" t="inlineStr">
        <is>
          <t>.z09_9_e_1</t>
        </is>
      </c>
      <c r="E966" t="inlineStr">
        <is>
          <t>automatyzacji procesu aktualizacji modelu (procesy CI/CD)</t>
        </is>
      </c>
      <c r="F966" t="n">
        <v>0</v>
      </c>
      <c r="G966" t="n">
        <v>0</v>
      </c>
      <c r="H966" t="n">
        <v>10</v>
      </c>
      <c r="I966" t="inlineStr">
        <is>
          <t>END</t>
        </is>
      </c>
      <c r="J966" t="n">
        <v>250</v>
      </c>
      <c r="K966" t="n">
        <v>47947</v>
      </c>
      <c r="L966" t="n">
        <v>47949</v>
      </c>
      <c r="M966" t="n">
        <v>251</v>
      </c>
      <c r="N966" t="n">
        <v>2</v>
      </c>
      <c r="O966" t="n">
        <v>160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0.25</v>
      </c>
      <c r="Y966" t="n">
        <v>0</v>
      </c>
      <c r="Z966" t="n">
        <v>0</v>
      </c>
      <c r="AA966" t="n">
        <v>0</v>
      </c>
      <c r="AB966" t="n">
        <v>0.75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40</v>
      </c>
      <c r="AP966" t="n">
        <v>0</v>
      </c>
      <c r="AQ966" t="n">
        <v>0</v>
      </c>
      <c r="AR966" t="n">
        <v>0</v>
      </c>
      <c r="AS966" t="n">
        <v>120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160</v>
      </c>
      <c r="BK966" t="n">
        <v>160</v>
      </c>
      <c r="BL966" t="n">
        <v>0</v>
      </c>
    </row>
    <row r="967" hidden="1" outlineLevel="1" s="191">
      <c r="A967" t="n">
        <v>10</v>
      </c>
      <c r="B967" t="inlineStr">
        <is>
          <t>a</t>
        </is>
      </c>
      <c r="C967" t="n">
        <v>0</v>
      </c>
      <c r="D967" t="inlineStr">
        <is>
          <t>.z09_10_a_0</t>
        </is>
      </c>
      <c r="E967" t="inlineStr">
        <is>
          <t>10.Raportowanie i analizy</t>
        </is>
      </c>
      <c r="F967" t="n">
        <v>0</v>
      </c>
      <c r="G967" t="n">
        <v>0</v>
      </c>
      <c r="H967" t="n">
        <v>0</v>
      </c>
      <c r="I967" t="n">
        <v>0</v>
      </c>
      <c r="J967" t="n">
        <v>252</v>
      </c>
      <c r="K967" t="n">
        <v>47961</v>
      </c>
      <c r="L967" t="n">
        <v>47961</v>
      </c>
      <c r="M967" t="n">
        <v>251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</row>
    <row r="968" hidden="1" outlineLevel="1" s="191">
      <c r="A968" t="n">
        <v>10</v>
      </c>
      <c r="B968" t="inlineStr">
        <is>
          <t>a</t>
        </is>
      </c>
      <c r="C968" t="n">
        <v>1</v>
      </c>
      <c r="D968" t="inlineStr">
        <is>
          <t>.z09_10_a_1</t>
        </is>
      </c>
      <c r="E968" t="inlineStr">
        <is>
          <t>Przygotowywanie regularnych raportów dotyczących efektywności modelu i jego wpływu na MWS</t>
        </is>
      </c>
      <c r="F968" t="n">
        <v>0</v>
      </c>
      <c r="G968" t="n">
        <v>0</v>
      </c>
      <c r="H968" t="n">
        <v>8</v>
      </c>
      <c r="I968" t="inlineStr">
        <is>
          <t>END/ACT</t>
        </is>
      </c>
      <c r="J968" t="n">
        <v>252</v>
      </c>
      <c r="K968" t="n">
        <v>47961</v>
      </c>
      <c r="L968" t="n">
        <v>47963</v>
      </c>
      <c r="M968" t="n">
        <v>253</v>
      </c>
      <c r="N968" t="n">
        <v>2</v>
      </c>
      <c r="O968" t="n">
        <v>120</v>
      </c>
      <c r="P968" t="n">
        <v>0</v>
      </c>
      <c r="Q968" t="n">
        <v>0</v>
      </c>
      <c r="R968" t="n">
        <v>0</v>
      </c>
      <c r="S968" t="n">
        <v>0</v>
      </c>
      <c r="T968" t="n">
        <v>0.333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0.663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40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80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120</v>
      </c>
      <c r="BK968" t="n">
        <v>120</v>
      </c>
      <c r="BL968" t="n">
        <v>0</v>
      </c>
    </row>
    <row r="969" hidden="1" outlineLevel="1" s="191">
      <c r="A969" t="n">
        <v>10</v>
      </c>
      <c r="B969" t="inlineStr">
        <is>
          <t>b</t>
        </is>
      </c>
      <c r="C969" t="n">
        <v>1</v>
      </c>
      <c r="D969" t="inlineStr">
        <is>
          <t>.z09_10_b_1</t>
        </is>
      </c>
      <c r="E969" t="inlineStr">
        <is>
          <t>Analizowanie wyników działania Modelu i ich wpływu na KPI</t>
        </is>
      </c>
      <c r="F969" t="n">
        <v>0</v>
      </c>
      <c r="G969" t="n">
        <v>0</v>
      </c>
      <c r="H969" t="n">
        <v>8</v>
      </c>
      <c r="I969" t="inlineStr">
        <is>
          <t>ACT</t>
        </is>
      </c>
      <c r="J969" t="n">
        <v>254</v>
      </c>
      <c r="K969" t="n">
        <v>47975</v>
      </c>
      <c r="L969" t="n">
        <v>47978</v>
      </c>
      <c r="M969" t="n">
        <v>256</v>
      </c>
      <c r="N969" t="n">
        <v>3</v>
      </c>
      <c r="O969" t="n">
        <v>120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0.5</v>
      </c>
      <c r="W969" t="n">
        <v>0.5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60</v>
      </c>
      <c r="AN969" t="n">
        <v>60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120</v>
      </c>
      <c r="BK969" t="n">
        <v>120</v>
      </c>
      <c r="BL969" t="n">
        <v>0</v>
      </c>
    </row>
    <row r="970" hidden="1" outlineLevel="1" s="191">
      <c r="A970" t="n">
        <v>11</v>
      </c>
      <c r="B970" t="inlineStr">
        <is>
          <t>a</t>
        </is>
      </c>
      <c r="C970" t="n">
        <v>0</v>
      </c>
      <c r="D970" t="inlineStr">
        <is>
          <t>.z09_11_a_0</t>
        </is>
      </c>
      <c r="E970" t="inlineStr">
        <is>
          <t xml:space="preserve">11.Monitorowanie </t>
        </is>
      </c>
      <c r="F970" t="n">
        <v>0</v>
      </c>
      <c r="G970" t="n">
        <v>0</v>
      </c>
      <c r="H970" t="n">
        <v>0</v>
      </c>
      <c r="I970" t="n">
        <v>0</v>
      </c>
      <c r="J970" t="n">
        <v>257</v>
      </c>
      <c r="K970" t="n">
        <v>47996</v>
      </c>
      <c r="L970" t="n">
        <v>47996</v>
      </c>
      <c r="M970" t="n">
        <v>256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</row>
    <row r="971" hidden="1" outlineLevel="1" s="191">
      <c r="A971" t="n">
        <v>11</v>
      </c>
      <c r="B971" t="inlineStr">
        <is>
          <t>a</t>
        </is>
      </c>
      <c r="C971" t="n">
        <v>1</v>
      </c>
      <c r="D971" t="inlineStr">
        <is>
          <t>.z09_11_a_1</t>
        </is>
      </c>
      <c r="E971" t="inlineStr">
        <is>
          <t>Regularne śledzenie wydajności Modelu</t>
        </is>
      </c>
      <c r="F971" t="n">
        <v>0</v>
      </c>
      <c r="G971" t="n">
        <v>0</v>
      </c>
      <c r="H971" t="n">
        <v>9</v>
      </c>
      <c r="I971" t="inlineStr">
        <is>
          <t>END</t>
        </is>
      </c>
      <c r="J971" t="n">
        <v>257</v>
      </c>
      <c r="K971" t="n">
        <v>47996</v>
      </c>
      <c r="L971" t="n">
        <v>47998</v>
      </c>
      <c r="M971" t="n">
        <v>258</v>
      </c>
      <c r="N971" t="n">
        <v>2</v>
      </c>
      <c r="O971" t="n">
        <v>120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0.333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0.666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40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80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120</v>
      </c>
      <c r="BK971" t="n">
        <v>120</v>
      </c>
      <c r="BL971" t="n">
        <v>0</v>
      </c>
    </row>
    <row r="972" hidden="1" outlineLevel="1" s="191">
      <c r="A972" t="n">
        <v>11</v>
      </c>
      <c r="B972" t="inlineStr">
        <is>
          <t>b</t>
        </is>
      </c>
      <c r="C972" t="n">
        <v>1</v>
      </c>
      <c r="D972" t="inlineStr">
        <is>
          <t>.z09_11_b_1</t>
        </is>
      </c>
      <c r="E972" t="inlineStr">
        <is>
          <t>Wprowadzanie poprawek do Modelu, aktualizacje na podstawie nowych danych i zmieniających się warunków operacyjnych</t>
        </is>
      </c>
      <c r="F972" t="n">
        <v>0</v>
      </c>
      <c r="G972" t="n">
        <v>0</v>
      </c>
      <c r="H972" t="n">
        <v>9</v>
      </c>
      <c r="I972" t="inlineStr">
        <is>
          <t>END/ACT</t>
        </is>
      </c>
      <c r="J972" t="n">
        <v>259</v>
      </c>
      <c r="K972" t="n">
        <v>48010</v>
      </c>
      <c r="L972" t="n">
        <v>48010</v>
      </c>
      <c r="M972" t="n">
        <v>258</v>
      </c>
      <c r="N972" t="n">
        <v>0</v>
      </c>
      <c r="O972" t="n">
        <v>80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0.25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0.25</v>
      </c>
      <c r="AB972" t="n">
        <v>0.5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20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20</v>
      </c>
      <c r="AS972" t="n">
        <v>40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80</v>
      </c>
      <c r="BK972" t="n">
        <v>80</v>
      </c>
      <c r="BL972" t="n">
        <v>0</v>
      </c>
    </row>
    <row r="973" hidden="1" outlineLevel="1" s="191">
      <c r="A973" t="n">
        <v>12</v>
      </c>
      <c r="B973" t="inlineStr">
        <is>
          <t>a</t>
        </is>
      </c>
      <c r="C973" t="n">
        <v>1</v>
      </c>
      <c r="D973" t="inlineStr">
        <is>
          <t>.z09_12_a_1</t>
        </is>
      </c>
      <c r="E973" t="inlineStr">
        <is>
          <t>12.Dokumentacja i szkolenie</t>
        </is>
      </c>
      <c r="F973" t="n">
        <v>0</v>
      </c>
      <c r="G973" t="n">
        <v>0</v>
      </c>
      <c r="H973" t="n">
        <v>13</v>
      </c>
      <c r="I973" t="inlineStr">
        <is>
          <t>ACT</t>
        </is>
      </c>
      <c r="J973" t="n">
        <v>259</v>
      </c>
      <c r="K973" t="n">
        <v>48010</v>
      </c>
      <c r="L973" t="n">
        <v>48010</v>
      </c>
      <c r="M973" t="n">
        <v>258</v>
      </c>
      <c r="N973" t="n">
        <v>0</v>
      </c>
      <c r="O973" t="n">
        <v>160</v>
      </c>
      <c r="P973" t="n">
        <v>0</v>
      </c>
      <c r="Q973" t="n">
        <v>0</v>
      </c>
      <c r="R973" t="n">
        <v>0</v>
      </c>
      <c r="S973" t="n">
        <v>0</v>
      </c>
      <c r="T973" t="n">
        <v>0.5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0.25</v>
      </c>
      <c r="AA973" t="n">
        <v>0</v>
      </c>
      <c r="AB973" t="n">
        <v>0.25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40</v>
      </c>
      <c r="AR973" t="n">
        <v>0</v>
      </c>
      <c r="AS973" t="n">
        <v>40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160</v>
      </c>
      <c r="BK973" t="n">
        <v>160</v>
      </c>
      <c r="BL973" t="n">
        <v>0</v>
      </c>
    </row>
    <row r="974" hidden="1" outlineLevel="1" s="191">
      <c r="BJ974" t="n">
        <v>0</v>
      </c>
      <c r="BK974" t="n">
        <v>0</v>
      </c>
      <c r="BL974" t="n">
        <v>0</v>
      </c>
    </row>
    <row r="975" hidden="1" outlineLevel="1" s="191">
      <c r="BJ975" t="n">
        <v>0</v>
      </c>
      <c r="BK975" t="n">
        <v>0</v>
      </c>
      <c r="BL975" t="n">
        <v>0</v>
      </c>
    </row>
    <row r="976" hidden="1" outlineLevel="1" s="191">
      <c r="BJ976" t="n">
        <v>0</v>
      </c>
      <c r="BK976" t="n">
        <v>0</v>
      </c>
      <c r="BL976" t="n">
        <v>0</v>
      </c>
    </row>
    <row r="977" hidden="1" outlineLevel="1" s="191">
      <c r="BJ977" t="n">
        <v>0</v>
      </c>
      <c r="BK977" t="n">
        <v>0</v>
      </c>
      <c r="BL977" t="n">
        <v>0</v>
      </c>
    </row>
    <row r="978" hidden="1" outlineLevel="1" s="191">
      <c r="BJ978" t="n">
        <v>0</v>
      </c>
      <c r="BK978" t="n">
        <v>0</v>
      </c>
      <c r="BL978" t="n">
        <v>0</v>
      </c>
    </row>
    <row r="979" hidden="1" outlineLevel="1" s="191">
      <c r="BJ979" t="n">
        <v>0</v>
      </c>
      <c r="BK979" t="n">
        <v>0</v>
      </c>
      <c r="BL979" t="n">
        <v>0</v>
      </c>
    </row>
    <row r="980" hidden="1" outlineLevel="1" s="191">
      <c r="BJ980" t="n">
        <v>0</v>
      </c>
      <c r="BK980" t="n">
        <v>0</v>
      </c>
      <c r="BL980" t="n">
        <v>0</v>
      </c>
    </row>
    <row r="981" hidden="1" outlineLevel="1" s="191">
      <c r="BJ981" t="n">
        <v>0</v>
      </c>
      <c r="BK981" t="n">
        <v>0</v>
      </c>
      <c r="BL981" t="n">
        <v>0</v>
      </c>
    </row>
    <row r="982" hidden="1" outlineLevel="1" s="191">
      <c r="BJ982" t="n">
        <v>0</v>
      </c>
      <c r="BK982" t="n">
        <v>0</v>
      </c>
      <c r="BL982" t="n">
        <v>0</v>
      </c>
    </row>
    <row r="983" hidden="1" outlineLevel="1" s="191">
      <c r="BJ983" t="n">
        <v>0</v>
      </c>
      <c r="BK983" t="n">
        <v>0</v>
      </c>
      <c r="BL983" t="n">
        <v>0</v>
      </c>
    </row>
    <row r="984" hidden="1" outlineLevel="1" s="191">
      <c r="BJ984" t="n">
        <v>0</v>
      </c>
      <c r="BK984" t="n">
        <v>0</v>
      </c>
      <c r="BL984" t="n">
        <v>0</v>
      </c>
    </row>
    <row r="985" hidden="1" outlineLevel="1" s="191">
      <c r="BJ985" t="n">
        <v>0</v>
      </c>
      <c r="BK985" t="n">
        <v>0</v>
      </c>
      <c r="BL985" t="n">
        <v>0</v>
      </c>
    </row>
    <row r="986" hidden="1" outlineLevel="1" s="191">
      <c r="BJ986" t="n">
        <v>0</v>
      </c>
      <c r="BK986" t="n">
        <v>0</v>
      </c>
      <c r="BL986" t="n">
        <v>0</v>
      </c>
    </row>
    <row r="987" hidden="1" outlineLevel="1" s="191">
      <c r="BJ987" t="n">
        <v>0</v>
      </c>
      <c r="BK987" t="n">
        <v>0</v>
      </c>
      <c r="BL987" t="n">
        <v>0</v>
      </c>
    </row>
    <row r="988" hidden="1" outlineLevel="1" s="191">
      <c r="BJ988" t="n">
        <v>0</v>
      </c>
      <c r="BK988" t="n">
        <v>0</v>
      </c>
      <c r="BL988" t="n">
        <v>0</v>
      </c>
    </row>
    <row r="989" hidden="1" outlineLevel="1" s="191">
      <c r="BJ989" t="n">
        <v>0</v>
      </c>
      <c r="BK989" t="n">
        <v>0</v>
      </c>
      <c r="BL989" t="n">
        <v>0</v>
      </c>
    </row>
    <row r="990" hidden="1" outlineLevel="1" s="191">
      <c r="BJ990" t="n">
        <v>0</v>
      </c>
      <c r="BK990" t="n">
        <v>0</v>
      </c>
      <c r="BL990" t="n">
        <v>0</v>
      </c>
    </row>
    <row r="991" hidden="1" outlineLevel="1" s="191">
      <c r="BJ991" t="n">
        <v>0</v>
      </c>
      <c r="BK991" t="n">
        <v>0</v>
      </c>
      <c r="BL991" t="n">
        <v>0</v>
      </c>
    </row>
    <row r="992" hidden="1" outlineLevel="1" s="191">
      <c r="BJ992" t="n">
        <v>0</v>
      </c>
      <c r="BK992" t="n">
        <v>0</v>
      </c>
      <c r="BL992" t="n">
        <v>0</v>
      </c>
    </row>
    <row r="993" hidden="1" outlineLevel="1" s="191">
      <c r="BJ993" t="n">
        <v>0</v>
      </c>
      <c r="BK993" t="n">
        <v>0</v>
      </c>
      <c r="BL993" t="n">
        <v>0</v>
      </c>
    </row>
    <row r="994" hidden="1" outlineLevel="1" s="191">
      <c r="BJ994" t="n">
        <v>0</v>
      </c>
      <c r="BK994" t="n">
        <v>0</v>
      </c>
      <c r="BL994" t="n">
        <v>0</v>
      </c>
    </row>
    <row r="995" hidden="1" outlineLevel="1" s="191">
      <c r="BJ995" t="n">
        <v>0</v>
      </c>
      <c r="BK995" t="n">
        <v>0</v>
      </c>
      <c r="BL995" t="n">
        <v>0</v>
      </c>
    </row>
    <row r="996" hidden="1" outlineLevel="1" s="191">
      <c r="BJ996" t="n">
        <v>0</v>
      </c>
      <c r="BK996" t="n">
        <v>0</v>
      </c>
      <c r="BL996" t="n">
        <v>0</v>
      </c>
    </row>
    <row r="997" hidden="1" outlineLevel="1" s="191">
      <c r="BJ997" t="n">
        <v>0</v>
      </c>
      <c r="BK997" t="n">
        <v>0</v>
      </c>
      <c r="BL997" t="n">
        <v>0</v>
      </c>
    </row>
    <row r="998" hidden="1" outlineLevel="1" s="191">
      <c r="A998" s="264" t="inlineStr">
        <is>
          <t>.z09</t>
        </is>
      </c>
      <c r="BJ998" t="n">
        <v>0</v>
      </c>
      <c r="BK998" t="n">
        <v>0</v>
      </c>
      <c r="BL998" t="n">
        <v>0</v>
      </c>
    </row>
    <row r="999" collapsed="1" s="191">
      <c r="BJ999" t="n">
        <v>0</v>
      </c>
      <c r="BK999" t="n">
        <v>0</v>
      </c>
      <c r="BL999" t="n">
        <v>0</v>
      </c>
      <c r="BM999" t="n">
        <v>29</v>
      </c>
    </row>
    <row r="1000" ht="15.6" customHeight="1" s="191">
      <c r="A1000" s="259" t="inlineStr">
        <is>
          <t>.z10</t>
        </is>
      </c>
      <c r="B1000" s="260" t="n"/>
      <c r="C1000" s="261" t="n"/>
      <c r="D1000" s="276" t="n"/>
      <c r="E1000" s="277" t="inlineStr">
        <is>
          <t xml:space="preserve">Zadanie_X   :  Opracowanie inteligentnej platformy ICT w procesach pakowania, kompletacji i obsługi MWS, dla wybranych grup towarowych w magazynie Wnioskodawcy </t>
        </is>
      </c>
      <c r="F1000" s="538" t="n"/>
      <c r="BJ1000" t="n">
        <v>0</v>
      </c>
      <c r="BK1000" t="n">
        <v>0</v>
      </c>
      <c r="BL1000" t="n">
        <v>0</v>
      </c>
      <c r="BM1000" t="n">
        <v>29</v>
      </c>
    </row>
    <row r="1001" hidden="1" outlineLevel="1" s="191">
      <c r="A1001" t="n">
        <v>1</v>
      </c>
      <c r="B1001" t="inlineStr">
        <is>
          <t>a</t>
        </is>
      </c>
      <c r="C1001" t="n">
        <v>0</v>
      </c>
      <c r="D1001" t="inlineStr">
        <is>
          <t>.z10_1_a_0</t>
        </is>
      </c>
      <c r="E1001" t="inlineStr">
        <is>
          <t>1.Identyfikacja, analiza i mapowanie operacji na Platformie</t>
        </is>
      </c>
      <c r="F1001" t="n">
        <v>0</v>
      </c>
      <c r="G1001" t="n">
        <v>0</v>
      </c>
      <c r="H1001" t="n">
        <v>0</v>
      </c>
      <c r="I1001" t="inlineStr">
        <is>
          <t>ACT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e">
        <v>#N/A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</row>
    <row r="1002" hidden="1" outlineLevel="1" s="191">
      <c r="A1002" t="n">
        <v>1</v>
      </c>
      <c r="B1002" t="inlineStr">
        <is>
          <t>a</t>
        </is>
      </c>
      <c r="C1002" t="n">
        <v>1</v>
      </c>
      <c r="D1002" t="inlineStr">
        <is>
          <t>.z10_1_a_1</t>
        </is>
      </c>
      <c r="E1002" t="inlineStr">
        <is>
          <t>Identyfikacja i analiza kluczowych operacji na Platformie i ich interakcji</t>
        </is>
      </c>
      <c r="F1002" t="inlineStr">
        <is>
          <t>XXX</t>
        </is>
      </c>
      <c r="G1002" t="inlineStr">
        <is>
          <t>XXX</t>
        </is>
      </c>
      <c r="H1002" t="n">
        <v>1</v>
      </c>
      <c r="I1002" t="inlineStr">
        <is>
          <t>ACT/END</t>
        </is>
      </c>
      <c r="J1002" t="n">
        <v>259</v>
      </c>
      <c r="K1002" t="n">
        <v>48010</v>
      </c>
      <c r="L1002" t="n">
        <v>48011</v>
      </c>
      <c r="M1002" t="n">
        <v>259</v>
      </c>
      <c r="N1002" t="n">
        <v>1</v>
      </c>
      <c r="O1002" t="n">
        <v>120</v>
      </c>
      <c r="P1002" t="n">
        <v>0.15</v>
      </c>
      <c r="Q1002" t="n">
        <v>0.15</v>
      </c>
      <c r="R1002" t="n">
        <v>0.15</v>
      </c>
      <c r="S1002" t="n">
        <v>0.15</v>
      </c>
      <c r="T1002" t="n">
        <v>0.15</v>
      </c>
      <c r="U1002" t="n">
        <v>0.125</v>
      </c>
      <c r="V1002" t="n">
        <v>0</v>
      </c>
      <c r="W1002" t="n">
        <v>0</v>
      </c>
      <c r="X1002" t="n">
        <v>0</v>
      </c>
      <c r="Y1002" t="n">
        <v>0.125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18</v>
      </c>
      <c r="AH1002" t="n">
        <v>18</v>
      </c>
      <c r="AI1002" t="n">
        <v>18</v>
      </c>
      <c r="AJ1002" t="n">
        <v>18</v>
      </c>
      <c r="AK1002" t="n">
        <v>18</v>
      </c>
      <c r="AL1002" t="n">
        <v>15</v>
      </c>
      <c r="AM1002" t="n">
        <v>0</v>
      </c>
      <c r="AN1002" t="n">
        <v>0</v>
      </c>
      <c r="AO1002" t="n">
        <v>0</v>
      </c>
      <c r="AP1002" t="n">
        <v>15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105</v>
      </c>
      <c r="AY1002" t="n">
        <v>0.65625</v>
      </c>
      <c r="AZ1002" t="e">
        <v>#N/A</v>
      </c>
      <c r="BA1002" t="e">
        <v>#N/A</v>
      </c>
      <c r="BB1002" t="e">
        <v>#N/A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120</v>
      </c>
      <c r="BK1002" t="n">
        <v>120</v>
      </c>
      <c r="BL1002" t="n">
        <v>0</v>
      </c>
    </row>
    <row r="1003" hidden="1" outlineLevel="1" s="191">
      <c r="A1003" t="n">
        <v>1</v>
      </c>
      <c r="B1003" t="inlineStr">
        <is>
          <t>b</t>
        </is>
      </c>
      <c r="C1003" t="n">
        <v>1</v>
      </c>
      <c r="D1003" t="inlineStr">
        <is>
          <t>.z10_1_b_1</t>
        </is>
      </c>
      <c r="E1003" t="inlineStr">
        <is>
          <t>Określenie wskaźników KPI do oceny efektywności Platformy</t>
        </is>
      </c>
      <c r="F1003" t="inlineStr">
        <is>
          <t>XXX</t>
        </is>
      </c>
      <c r="G1003" t="inlineStr">
        <is>
          <t>XXX</t>
        </is>
      </c>
      <c r="H1003" t="n">
        <v>2</v>
      </c>
      <c r="I1003" t="inlineStr">
        <is>
          <t>ACT</t>
        </is>
      </c>
      <c r="J1003" t="n">
        <v>260</v>
      </c>
      <c r="K1003" t="n">
        <v>48017</v>
      </c>
      <c r="L1003" t="n">
        <v>48018</v>
      </c>
      <c r="M1003" t="n">
        <v>260</v>
      </c>
      <c r="N1003" t="n">
        <v>1</v>
      </c>
      <c r="O1003" t="n">
        <v>120</v>
      </c>
      <c r="P1003" t="n">
        <v>0.17</v>
      </c>
      <c r="Q1003" t="n">
        <v>0.17</v>
      </c>
      <c r="R1003" t="n">
        <v>0.17</v>
      </c>
      <c r="S1003" t="n">
        <v>0.17</v>
      </c>
      <c r="T1003" t="n">
        <v>0.17</v>
      </c>
      <c r="U1003" t="n">
        <v>0.15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20</v>
      </c>
      <c r="AH1003" t="n">
        <v>20</v>
      </c>
      <c r="AI1003" t="n">
        <v>20</v>
      </c>
      <c r="AJ1003" t="n">
        <v>20</v>
      </c>
      <c r="AK1003" t="n">
        <v>20</v>
      </c>
      <c r="AL1003" t="n">
        <v>18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118</v>
      </c>
      <c r="AY1003" t="n">
        <v>0.7375</v>
      </c>
      <c r="AZ1003" t="e">
        <v>#N/A</v>
      </c>
      <c r="BA1003" t="e">
        <v>#N/A</v>
      </c>
      <c r="BB1003" t="e">
        <v>#N/A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120</v>
      </c>
      <c r="BK1003" t="n">
        <v>118</v>
      </c>
      <c r="BL1003" t="n">
        <v>2</v>
      </c>
    </row>
    <row r="1004" hidden="1" outlineLevel="1" s="191">
      <c r="A1004" t="n">
        <v>1</v>
      </c>
      <c r="B1004" t="inlineStr">
        <is>
          <t>c</t>
        </is>
      </c>
      <c r="C1004" t="n">
        <v>1</v>
      </c>
      <c r="D1004" t="inlineStr">
        <is>
          <t>.z10_1_c_1</t>
        </is>
      </c>
      <c r="E1004" t="inlineStr">
        <is>
          <t>Identyfikacja wyzwań/„wąskich gardeł”</t>
        </is>
      </c>
      <c r="F1004" t="inlineStr">
        <is>
          <t>XXX</t>
        </is>
      </c>
      <c r="G1004" t="inlineStr">
        <is>
          <t>XXX</t>
        </is>
      </c>
      <c r="H1004" t="n">
        <v>3</v>
      </c>
      <c r="I1004" t="inlineStr">
        <is>
          <t>ACT/END</t>
        </is>
      </c>
      <c r="J1004" t="n">
        <v>261</v>
      </c>
      <c r="K1004" t="n">
        <v>48024</v>
      </c>
      <c r="L1004" t="n">
        <v>48025</v>
      </c>
      <c r="M1004" t="n">
        <v>261</v>
      </c>
      <c r="N1004" t="n">
        <v>1</v>
      </c>
      <c r="O1004" t="n">
        <v>120</v>
      </c>
      <c r="P1004" t="n">
        <v>0.15</v>
      </c>
      <c r="Q1004" t="n">
        <v>0.15</v>
      </c>
      <c r="R1004" t="n">
        <v>0.15</v>
      </c>
      <c r="S1004" t="n">
        <v>0.15</v>
      </c>
      <c r="T1004" t="n">
        <v>0.15</v>
      </c>
      <c r="U1004" t="n">
        <v>0.125</v>
      </c>
      <c r="V1004" t="n">
        <v>0</v>
      </c>
      <c r="W1004" t="n">
        <v>0</v>
      </c>
      <c r="X1004" t="n">
        <v>0</v>
      </c>
      <c r="Y1004" t="n">
        <v>0.125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18</v>
      </c>
      <c r="AH1004" t="n">
        <v>18</v>
      </c>
      <c r="AI1004" t="n">
        <v>18</v>
      </c>
      <c r="AJ1004" t="n">
        <v>18</v>
      </c>
      <c r="AK1004" t="n">
        <v>18</v>
      </c>
      <c r="AL1004" t="n">
        <v>15</v>
      </c>
      <c r="AM1004" t="n">
        <v>0</v>
      </c>
      <c r="AN1004" t="n">
        <v>0</v>
      </c>
      <c r="AO1004" t="n">
        <v>0</v>
      </c>
      <c r="AP1004" t="n">
        <v>15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105</v>
      </c>
      <c r="AY1004" t="n">
        <v>0.65625</v>
      </c>
      <c r="AZ1004" t="e">
        <v>#N/A</v>
      </c>
      <c r="BA1004" t="e">
        <v>#N/A</v>
      </c>
      <c r="BB1004" t="e">
        <v>#N/A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120</v>
      </c>
      <c r="BK1004" t="n">
        <v>120</v>
      </c>
      <c r="BL1004" t="n">
        <v>0</v>
      </c>
    </row>
    <row r="1005" hidden="1" outlineLevel="1" s="191">
      <c r="A1005" t="n">
        <v>1</v>
      </c>
      <c r="B1005" t="inlineStr">
        <is>
          <t>d</t>
        </is>
      </c>
      <c r="C1005" t="n">
        <v>1</v>
      </c>
      <c r="D1005" t="inlineStr">
        <is>
          <t>.z10_1_d_1</t>
        </is>
      </c>
      <c r="E1005" t="inlineStr">
        <is>
          <t>Analiza wpływu zakłóceń dostępności infrastruktury technicznej</t>
        </is>
      </c>
      <c r="F1005" t="inlineStr">
        <is>
          <t>XXX</t>
        </is>
      </c>
      <c r="G1005" t="inlineStr">
        <is>
          <t>XXX</t>
        </is>
      </c>
      <c r="H1005" t="n">
        <v>4</v>
      </c>
      <c r="I1005" t="inlineStr">
        <is>
          <t>ACT</t>
        </is>
      </c>
      <c r="J1005" t="n">
        <v>262</v>
      </c>
      <c r="K1005" t="n">
        <v>48031</v>
      </c>
      <c r="L1005" t="n">
        <v>48032</v>
      </c>
      <c r="M1005" t="n">
        <v>262</v>
      </c>
      <c r="N1005" t="n">
        <v>1</v>
      </c>
      <c r="O1005" t="n">
        <v>120</v>
      </c>
      <c r="P1005" t="n">
        <v>0.17</v>
      </c>
      <c r="Q1005" t="n">
        <v>0.17</v>
      </c>
      <c r="R1005" t="n">
        <v>0.17</v>
      </c>
      <c r="S1005" t="n">
        <v>0.17</v>
      </c>
      <c r="T1005" t="n">
        <v>0.17</v>
      </c>
      <c r="U1005" t="n">
        <v>0.15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20</v>
      </c>
      <c r="AH1005" t="n">
        <v>20</v>
      </c>
      <c r="AI1005" t="n">
        <v>20</v>
      </c>
      <c r="AJ1005" t="n">
        <v>20</v>
      </c>
      <c r="AK1005" t="n">
        <v>20</v>
      </c>
      <c r="AL1005" t="n">
        <v>18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118</v>
      </c>
      <c r="AY1005" t="n">
        <v>0.7375</v>
      </c>
      <c r="AZ1005" t="e">
        <v>#N/A</v>
      </c>
      <c r="BA1005" t="e">
        <v>#N/A</v>
      </c>
      <c r="BB1005" t="e">
        <v>#N/A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120</v>
      </c>
      <c r="BK1005" t="n">
        <v>118</v>
      </c>
      <c r="BL1005" t="n">
        <v>2</v>
      </c>
    </row>
    <row r="1006" hidden="1" outlineLevel="1" s="191">
      <c r="A1006" t="n">
        <v>1</v>
      </c>
      <c r="B1006" t="inlineStr">
        <is>
          <t>e</t>
        </is>
      </c>
      <c r="C1006" t="n">
        <v>1</v>
      </c>
      <c r="D1006" t="inlineStr">
        <is>
          <t>.z10_1_e_1</t>
        </is>
      </c>
      <c r="E1006" t="inlineStr">
        <is>
          <t>Stworzenie mapy zidentyfikowanych algorytmów/zjawisk/działań na Platformie</t>
        </is>
      </c>
      <c r="F1006" t="inlineStr">
        <is>
          <t>XXX</t>
        </is>
      </c>
      <c r="G1006" t="inlineStr">
        <is>
          <t>XXX</t>
        </is>
      </c>
      <c r="H1006" t="n">
        <v>5</v>
      </c>
      <c r="I1006" t="inlineStr">
        <is>
          <t>ACT</t>
        </is>
      </c>
      <c r="J1006" t="n">
        <v>263</v>
      </c>
      <c r="K1006" t="n">
        <v>48038</v>
      </c>
      <c r="L1006" t="n">
        <v>48039</v>
      </c>
      <c r="M1006" t="n">
        <v>263</v>
      </c>
      <c r="N1006" t="n">
        <v>1</v>
      </c>
      <c r="O1006" t="n">
        <v>120</v>
      </c>
      <c r="P1006" t="n">
        <v>0.17</v>
      </c>
      <c r="Q1006" t="n">
        <v>0.17</v>
      </c>
      <c r="R1006" t="n">
        <v>0.17</v>
      </c>
      <c r="S1006" t="n">
        <v>0.17</v>
      </c>
      <c r="T1006" t="n">
        <v>0.17</v>
      </c>
      <c r="U1006" t="n">
        <v>0.15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20</v>
      </c>
      <c r="AH1006" t="n">
        <v>20</v>
      </c>
      <c r="AI1006" t="n">
        <v>20</v>
      </c>
      <c r="AJ1006" t="n">
        <v>20</v>
      </c>
      <c r="AK1006" t="n">
        <v>20</v>
      </c>
      <c r="AL1006" t="n">
        <v>18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120</v>
      </c>
      <c r="BK1006" t="n">
        <v>118</v>
      </c>
      <c r="BL1006" t="n">
        <v>2</v>
      </c>
    </row>
    <row r="1007" hidden="1" outlineLevel="1" s="191">
      <c r="A1007" t="n">
        <v>2</v>
      </c>
      <c r="B1007" t="inlineStr">
        <is>
          <t>a</t>
        </is>
      </c>
      <c r="C1007" t="n">
        <v>0</v>
      </c>
      <c r="D1007" t="inlineStr">
        <is>
          <t>.z10_2_a_0</t>
        </is>
      </c>
      <c r="E1007" t="inlineStr">
        <is>
          <t>2.Projektowania Architektury Platformy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264</v>
      </c>
      <c r="K1007" t="n">
        <v>48045</v>
      </c>
      <c r="L1007" t="n">
        <v>48045</v>
      </c>
      <c r="M1007" t="n">
        <v>263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</row>
    <row r="1008" hidden="1" outlineLevel="1" s="191">
      <c r="A1008" t="n">
        <v>2</v>
      </c>
      <c r="B1008" t="inlineStr">
        <is>
          <t>a</t>
        </is>
      </c>
      <c r="C1008" t="n">
        <v>1</v>
      </c>
      <c r="D1008" t="inlineStr">
        <is>
          <t>.z10_2_a_1</t>
        </is>
      </c>
      <c r="E1008" t="inlineStr">
        <is>
          <t>Zdefiniowanie wymagań technicznych i funkcjonalnych</t>
        </is>
      </c>
      <c r="F1008" t="inlineStr">
        <is>
          <t>XXX</t>
        </is>
      </c>
      <c r="G1008" t="inlineStr">
        <is>
          <t>XXX</t>
        </is>
      </c>
      <c r="H1008" t="n">
        <v>6</v>
      </c>
      <c r="I1008" t="inlineStr">
        <is>
          <t>ACT/END</t>
        </is>
      </c>
      <c r="J1008" t="n">
        <v>264</v>
      </c>
      <c r="K1008" t="n">
        <v>48045</v>
      </c>
      <c r="L1008" t="n">
        <v>48046</v>
      </c>
      <c r="M1008" t="n">
        <v>264</v>
      </c>
      <c r="N1008" t="n">
        <v>1</v>
      </c>
      <c r="O1008" t="n">
        <v>120</v>
      </c>
      <c r="P1008" t="n">
        <v>0.13</v>
      </c>
      <c r="Q1008" t="n">
        <v>0.13</v>
      </c>
      <c r="R1008" t="n">
        <v>0.13</v>
      </c>
      <c r="S1008" t="n">
        <v>0.12</v>
      </c>
      <c r="T1008" t="n">
        <v>0.12</v>
      </c>
      <c r="U1008" t="n">
        <v>0.12</v>
      </c>
      <c r="V1008" t="n">
        <v>0</v>
      </c>
      <c r="W1008" t="n">
        <v>0</v>
      </c>
      <c r="X1008" t="n">
        <v>0</v>
      </c>
      <c r="Y1008" t="n">
        <v>0.25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16</v>
      </c>
      <c r="AH1008" t="n">
        <v>16</v>
      </c>
      <c r="AI1008" t="n">
        <v>16</v>
      </c>
      <c r="AJ1008" t="n">
        <v>14</v>
      </c>
      <c r="AK1008" t="n">
        <v>14</v>
      </c>
      <c r="AL1008" t="n">
        <v>14</v>
      </c>
      <c r="AM1008" t="n">
        <v>0</v>
      </c>
      <c r="AN1008" t="n">
        <v>0</v>
      </c>
      <c r="AO1008" t="n">
        <v>0</v>
      </c>
      <c r="AP1008" t="n">
        <v>30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90</v>
      </c>
      <c r="AY1008" t="n">
        <v>0.5625</v>
      </c>
      <c r="AZ1008" t="e">
        <v>#N/A</v>
      </c>
      <c r="BA1008" t="e">
        <v>#N/A</v>
      </c>
      <c r="BB1008" t="e">
        <v>#N/A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120</v>
      </c>
      <c r="BK1008" t="n">
        <v>120</v>
      </c>
      <c r="BL1008" t="n">
        <v>0</v>
      </c>
    </row>
    <row r="1009" hidden="1" outlineLevel="1" s="191">
      <c r="A1009" t="n">
        <v>2</v>
      </c>
      <c r="B1009" t="inlineStr">
        <is>
          <t>b</t>
        </is>
      </c>
      <c r="C1009" t="n">
        <v>1</v>
      </c>
      <c r="D1009" t="inlineStr">
        <is>
          <t>.z10_2_b_1</t>
        </is>
      </c>
      <c r="E1009" t="inlineStr">
        <is>
          <t>Opracowanie architektury systemu</t>
        </is>
      </c>
      <c r="F1009" t="inlineStr">
        <is>
          <t>XXX</t>
        </is>
      </c>
      <c r="G1009" t="inlineStr">
        <is>
          <t>XXX</t>
        </is>
      </c>
      <c r="H1009" t="n">
        <v>7</v>
      </c>
      <c r="I1009" t="inlineStr">
        <is>
          <t>ACT/END</t>
        </is>
      </c>
      <c r="J1009" t="n">
        <v>265</v>
      </c>
      <c r="K1009" t="n">
        <v>48052</v>
      </c>
      <c r="L1009" t="n">
        <v>48053</v>
      </c>
      <c r="M1009" t="n">
        <v>265</v>
      </c>
      <c r="N1009" t="n">
        <v>1</v>
      </c>
      <c r="O1009" t="n">
        <v>120</v>
      </c>
      <c r="P1009" t="n">
        <v>0.13</v>
      </c>
      <c r="Q1009" t="n">
        <v>0.13</v>
      </c>
      <c r="R1009" t="n">
        <v>0.13</v>
      </c>
      <c r="S1009" t="n">
        <v>0.12</v>
      </c>
      <c r="T1009" t="n">
        <v>0.12</v>
      </c>
      <c r="U1009" t="n">
        <v>0.12</v>
      </c>
      <c r="V1009" t="n">
        <v>0</v>
      </c>
      <c r="W1009" t="n">
        <v>0</v>
      </c>
      <c r="X1009" t="n">
        <v>0</v>
      </c>
      <c r="Y1009" t="n">
        <v>0.25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16</v>
      </c>
      <c r="AH1009" t="n">
        <v>16</v>
      </c>
      <c r="AI1009" t="n">
        <v>16</v>
      </c>
      <c r="AJ1009" t="n">
        <v>14</v>
      </c>
      <c r="AK1009" t="n">
        <v>14</v>
      </c>
      <c r="AL1009" t="n">
        <v>14</v>
      </c>
      <c r="AM1009" t="n">
        <v>0</v>
      </c>
      <c r="AN1009" t="n">
        <v>0</v>
      </c>
      <c r="AO1009" t="n">
        <v>0</v>
      </c>
      <c r="AP1009" t="n">
        <v>30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90</v>
      </c>
      <c r="AY1009" t="n">
        <v>0.5625</v>
      </c>
      <c r="AZ1009" t="e">
        <v>#N/A</v>
      </c>
      <c r="BA1009" t="e">
        <v>#N/A</v>
      </c>
      <c r="BB1009" t="e">
        <v>#N/A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120</v>
      </c>
      <c r="BK1009" t="n">
        <v>120</v>
      </c>
      <c r="BL1009" t="n">
        <v>0</v>
      </c>
    </row>
    <row r="1010" hidden="1" outlineLevel="1" s="191">
      <c r="A1010" t="n">
        <v>2</v>
      </c>
      <c r="B1010" t="inlineStr">
        <is>
          <t>c</t>
        </is>
      </c>
      <c r="C1010" t="n">
        <v>1</v>
      </c>
      <c r="D1010" t="inlineStr">
        <is>
          <t>.z10_2_c_1</t>
        </is>
      </c>
      <c r="E1010" t="inlineStr">
        <is>
          <t>Ocena i wybór platformy technologicznej/infrastrukturalnej</t>
        </is>
      </c>
      <c r="F1010" t="inlineStr">
        <is>
          <t>XXX</t>
        </is>
      </c>
      <c r="G1010" t="inlineStr">
        <is>
          <t>XXX</t>
        </is>
      </c>
      <c r="H1010" t="n">
        <v>8</v>
      </c>
      <c r="I1010" t="inlineStr">
        <is>
          <t>ACT/END</t>
        </is>
      </c>
      <c r="J1010" t="n">
        <v>266</v>
      </c>
      <c r="K1010" t="n">
        <v>48059</v>
      </c>
      <c r="L1010" t="n">
        <v>48060</v>
      </c>
      <c r="M1010" t="n">
        <v>266</v>
      </c>
      <c r="N1010" t="n">
        <v>1</v>
      </c>
      <c r="O1010" t="n">
        <v>120</v>
      </c>
      <c r="P1010" t="n">
        <v>0.12</v>
      </c>
      <c r="Q1010" t="n">
        <v>0.11</v>
      </c>
      <c r="R1010" t="n">
        <v>0.11</v>
      </c>
      <c r="S1010" t="n">
        <v>0.11</v>
      </c>
      <c r="T1010" t="n">
        <v>0.11</v>
      </c>
      <c r="U1010" t="n">
        <v>0.11</v>
      </c>
      <c r="V1010" t="n">
        <v>0</v>
      </c>
      <c r="W1010" t="n">
        <v>0</v>
      </c>
      <c r="X1010" t="n">
        <v>0</v>
      </c>
      <c r="Y1010" t="n">
        <v>0</v>
      </c>
      <c r="Z1010" t="n">
        <v>0.333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14</v>
      </c>
      <c r="AH1010" t="n">
        <v>13</v>
      </c>
      <c r="AI1010" t="n">
        <v>13</v>
      </c>
      <c r="AJ1010" t="n">
        <v>13</v>
      </c>
      <c r="AK1010" t="n">
        <v>13</v>
      </c>
      <c r="AL1010" t="n">
        <v>13</v>
      </c>
      <c r="AM1010" t="n">
        <v>0</v>
      </c>
      <c r="AN1010" t="n">
        <v>0</v>
      </c>
      <c r="AO1010" t="n">
        <v>0</v>
      </c>
      <c r="AP1010" t="n">
        <v>0</v>
      </c>
      <c r="AQ1010" t="n">
        <v>40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79</v>
      </c>
      <c r="AY1010" t="n">
        <v>0.49375</v>
      </c>
      <c r="AZ1010" t="e">
        <v>#N/A</v>
      </c>
      <c r="BA1010" t="e">
        <v>#N/A</v>
      </c>
      <c r="BB1010" t="e">
        <v>#N/A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120</v>
      </c>
      <c r="BK1010" t="n">
        <v>119</v>
      </c>
      <c r="BL1010" t="n">
        <v>1</v>
      </c>
    </row>
    <row r="1011" hidden="1" outlineLevel="1" s="191">
      <c r="A1011" t="n">
        <v>2</v>
      </c>
      <c r="B1011" t="inlineStr">
        <is>
          <t>d</t>
        </is>
      </c>
      <c r="C1011" t="n">
        <v>1</v>
      </c>
      <c r="D1011" t="inlineStr">
        <is>
          <t>.z10_2_d_1</t>
        </is>
      </c>
      <c r="E1011" t="inlineStr">
        <is>
          <t>Wybór rozwiązań technologicznych</t>
        </is>
      </c>
      <c r="F1011" t="inlineStr">
        <is>
          <t>XXX</t>
        </is>
      </c>
      <c r="G1011" t="inlineStr">
        <is>
          <t>XXX</t>
        </is>
      </c>
      <c r="H1011" t="n">
        <v>9</v>
      </c>
      <c r="I1011" t="inlineStr">
        <is>
          <t>ACT/END</t>
        </is>
      </c>
      <c r="J1011" t="n">
        <v>267</v>
      </c>
      <c r="K1011" t="n">
        <v>48066</v>
      </c>
      <c r="L1011" t="n">
        <v>48067</v>
      </c>
      <c r="M1011" t="n">
        <v>267</v>
      </c>
      <c r="N1011" t="n">
        <v>1</v>
      </c>
      <c r="O1011" t="n">
        <v>120</v>
      </c>
      <c r="P1011" t="n">
        <v>0.116</v>
      </c>
      <c r="Q1011" t="n">
        <v>0.11</v>
      </c>
      <c r="R1011" t="n">
        <v>0.11</v>
      </c>
      <c r="S1011" t="n">
        <v>0.11</v>
      </c>
      <c r="T1011" t="n">
        <v>0.11</v>
      </c>
      <c r="U1011" t="n">
        <v>0.11</v>
      </c>
      <c r="V1011" t="n">
        <v>0</v>
      </c>
      <c r="W1011" t="n">
        <v>0</v>
      </c>
      <c r="X1011" t="n">
        <v>0</v>
      </c>
      <c r="Y1011" t="n">
        <v>0.333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14</v>
      </c>
      <c r="AH1011" t="n">
        <v>13</v>
      </c>
      <c r="AI1011" t="n">
        <v>13</v>
      </c>
      <c r="AJ1011" t="n">
        <v>13</v>
      </c>
      <c r="AK1011" t="n">
        <v>13</v>
      </c>
      <c r="AL1011" t="n">
        <v>13</v>
      </c>
      <c r="AM1011" t="n">
        <v>0</v>
      </c>
      <c r="AN1011" t="n">
        <v>0</v>
      </c>
      <c r="AO1011" t="n">
        <v>0</v>
      </c>
      <c r="AP1011" t="n">
        <v>40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79</v>
      </c>
      <c r="AY1011" t="n">
        <v>0.49375</v>
      </c>
      <c r="AZ1011" t="e">
        <v>#N/A</v>
      </c>
      <c r="BA1011" t="e">
        <v>#N/A</v>
      </c>
      <c r="BB1011" t="e">
        <v>#N/A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120</v>
      </c>
      <c r="BK1011" t="n">
        <v>119</v>
      </c>
      <c r="BL1011" t="n">
        <v>1</v>
      </c>
    </row>
    <row r="1012" hidden="1" outlineLevel="1" s="191">
      <c r="A1012" t="n">
        <v>2</v>
      </c>
      <c r="B1012" t="inlineStr">
        <is>
          <t>e</t>
        </is>
      </c>
      <c r="C1012" t="n">
        <v>1</v>
      </c>
      <c r="D1012" t="inlineStr">
        <is>
          <t>.z10_2_e_1</t>
        </is>
      </c>
      <c r="E1012" t="inlineStr">
        <is>
          <t>Opracowanie modelu przepływu danych</t>
        </is>
      </c>
      <c r="F1012" t="inlineStr">
        <is>
          <t>XXX</t>
        </is>
      </c>
      <c r="G1012" t="inlineStr">
        <is>
          <t>XXX</t>
        </is>
      </c>
      <c r="H1012" t="n">
        <v>10</v>
      </c>
      <c r="I1012" t="inlineStr">
        <is>
          <t>ACT/END</t>
        </is>
      </c>
      <c r="J1012" t="n">
        <v>268</v>
      </c>
      <c r="K1012" t="n">
        <v>48073</v>
      </c>
      <c r="L1012" t="n">
        <v>48074</v>
      </c>
      <c r="M1012" t="n">
        <v>268</v>
      </c>
      <c r="N1012" t="n">
        <v>1</v>
      </c>
      <c r="O1012" t="n">
        <v>120</v>
      </c>
      <c r="P1012" t="n">
        <v>0.17</v>
      </c>
      <c r="Q1012" t="n">
        <v>0.17</v>
      </c>
      <c r="R1012" t="n">
        <v>0.17</v>
      </c>
      <c r="S1012" t="n">
        <v>0.17</v>
      </c>
      <c r="T1012" t="n">
        <v>0.17</v>
      </c>
      <c r="U1012" t="n">
        <v>0.15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20</v>
      </c>
      <c r="AH1012" t="n">
        <v>20</v>
      </c>
      <c r="AI1012" t="n">
        <v>20</v>
      </c>
      <c r="AJ1012" t="n">
        <v>20</v>
      </c>
      <c r="AK1012" t="n">
        <v>20</v>
      </c>
      <c r="AL1012" t="n">
        <v>18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118</v>
      </c>
      <c r="AY1012" t="n">
        <v>0.7375</v>
      </c>
      <c r="AZ1012" t="e">
        <v>#N/A</v>
      </c>
      <c r="BA1012" t="e">
        <v>#N/A</v>
      </c>
      <c r="BB1012" t="e">
        <v>#N/A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120</v>
      </c>
      <c r="BK1012" t="n">
        <v>118</v>
      </c>
      <c r="BL1012" t="n">
        <v>2</v>
      </c>
    </row>
    <row r="1013" hidden="1" outlineLevel="1" s="191">
      <c r="A1013" t="n">
        <v>2</v>
      </c>
      <c r="B1013" t="inlineStr">
        <is>
          <t>f</t>
        </is>
      </c>
      <c r="C1013" t="n">
        <v>1</v>
      </c>
      <c r="D1013" t="inlineStr">
        <is>
          <t>.z10_2_f_1</t>
        </is>
      </c>
      <c r="E1013" t="inlineStr">
        <is>
          <t>Zdefinowanie standarów wymiany danych i integracji</t>
        </is>
      </c>
      <c r="F1013" t="inlineStr">
        <is>
          <t>XXX</t>
        </is>
      </c>
      <c r="G1013" t="inlineStr">
        <is>
          <t>XXX</t>
        </is>
      </c>
      <c r="H1013" t="n">
        <v>11</v>
      </c>
      <c r="I1013" t="inlineStr">
        <is>
          <t>ACT/END</t>
        </is>
      </c>
      <c r="J1013" t="n">
        <v>269</v>
      </c>
      <c r="K1013" t="n">
        <v>48080</v>
      </c>
      <c r="L1013" t="n">
        <v>48081</v>
      </c>
      <c r="M1013" t="n">
        <v>269</v>
      </c>
      <c r="N1013" t="n">
        <v>1</v>
      </c>
      <c r="O1013" t="n">
        <v>120</v>
      </c>
      <c r="P1013" t="n">
        <v>0.13</v>
      </c>
      <c r="Q1013" t="n">
        <v>0.13</v>
      </c>
      <c r="R1013" t="n">
        <v>0.13</v>
      </c>
      <c r="S1013" t="n">
        <v>0.12</v>
      </c>
      <c r="T1013" t="n">
        <v>0.12</v>
      </c>
      <c r="U1013" t="n">
        <v>0.12</v>
      </c>
      <c r="V1013" t="n">
        <v>0</v>
      </c>
      <c r="W1013" t="n">
        <v>0</v>
      </c>
      <c r="X1013" t="n">
        <v>0</v>
      </c>
      <c r="Y1013" t="n">
        <v>0.25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16</v>
      </c>
      <c r="AH1013" t="n">
        <v>16</v>
      </c>
      <c r="AI1013" t="n">
        <v>16</v>
      </c>
      <c r="AJ1013" t="n">
        <v>14</v>
      </c>
      <c r="AK1013" t="n">
        <v>14</v>
      </c>
      <c r="AL1013" t="n">
        <v>14</v>
      </c>
      <c r="AM1013" t="n">
        <v>0</v>
      </c>
      <c r="AN1013" t="n">
        <v>0</v>
      </c>
      <c r="AO1013" t="n">
        <v>0</v>
      </c>
      <c r="AP1013" t="n">
        <v>30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90</v>
      </c>
      <c r="AY1013" t="n">
        <v>0.5625</v>
      </c>
      <c r="AZ1013" t="e">
        <v>#N/A</v>
      </c>
      <c r="BA1013" t="e">
        <v>#N/A</v>
      </c>
      <c r="BB1013" t="e">
        <v>#N/A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120</v>
      </c>
      <c r="BK1013" t="n">
        <v>120</v>
      </c>
      <c r="BL1013" t="n">
        <v>0</v>
      </c>
    </row>
    <row r="1014" hidden="1" outlineLevel="1" s="191">
      <c r="A1014" t="n">
        <v>2</v>
      </c>
      <c r="B1014" t="inlineStr">
        <is>
          <t>g</t>
        </is>
      </c>
      <c r="C1014" t="n">
        <v>1</v>
      </c>
      <c r="D1014" t="inlineStr">
        <is>
          <t>.z10_2_g_1</t>
        </is>
      </c>
      <c r="E1014" t="inlineStr">
        <is>
          <t>Zdefinowanie standardów bezpieczeństwa</t>
        </is>
      </c>
      <c r="F1014" t="inlineStr">
        <is>
          <t>XXX</t>
        </is>
      </c>
      <c r="G1014" t="inlineStr">
        <is>
          <t>XXX</t>
        </is>
      </c>
      <c r="H1014" t="n">
        <v>12</v>
      </c>
      <c r="I1014" t="inlineStr">
        <is>
          <t>ACT/END</t>
        </is>
      </c>
      <c r="J1014" t="n">
        <v>270</v>
      </c>
      <c r="K1014" t="n">
        <v>48087</v>
      </c>
      <c r="L1014" t="n">
        <v>48088</v>
      </c>
      <c r="M1014" t="n">
        <v>270</v>
      </c>
      <c r="N1014" t="n">
        <v>1</v>
      </c>
      <c r="O1014" t="n">
        <v>120</v>
      </c>
      <c r="P1014" t="n">
        <v>0.09</v>
      </c>
      <c r="Q1014" t="n">
        <v>0.09</v>
      </c>
      <c r="R1014" t="n">
        <v>0.08</v>
      </c>
      <c r="S1014" t="n">
        <v>0.08</v>
      </c>
      <c r="T1014" t="n">
        <v>0.08</v>
      </c>
      <c r="U1014" t="n">
        <v>0.08</v>
      </c>
      <c r="V1014" t="n">
        <v>0</v>
      </c>
      <c r="W1014" t="n">
        <v>0</v>
      </c>
      <c r="X1014" t="n">
        <v>0</v>
      </c>
      <c r="Y1014" t="n">
        <v>0</v>
      </c>
      <c r="Z1014" t="n">
        <v>0.25</v>
      </c>
      <c r="AA1014" t="n">
        <v>0.25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11</v>
      </c>
      <c r="AH1014" t="n">
        <v>11</v>
      </c>
      <c r="AI1014" t="n">
        <v>10</v>
      </c>
      <c r="AJ1014" t="n">
        <v>10</v>
      </c>
      <c r="AK1014" t="n">
        <v>10</v>
      </c>
      <c r="AL1014" t="n">
        <v>10</v>
      </c>
      <c r="AM1014" t="n">
        <v>0</v>
      </c>
      <c r="AN1014" t="n">
        <v>0</v>
      </c>
      <c r="AO1014" t="n">
        <v>0</v>
      </c>
      <c r="AP1014" t="n">
        <v>0</v>
      </c>
      <c r="AQ1014" t="n">
        <v>30</v>
      </c>
      <c r="AR1014" t="n">
        <v>30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62</v>
      </c>
      <c r="AY1014" t="n">
        <v>0.3875</v>
      </c>
      <c r="AZ1014" t="e">
        <v>#N/A</v>
      </c>
      <c r="BA1014" t="e">
        <v>#N/A</v>
      </c>
      <c r="BB1014" t="e">
        <v>#N/A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120</v>
      </c>
      <c r="BK1014" t="n">
        <v>122</v>
      </c>
      <c r="BL1014" t="n">
        <v>-2</v>
      </c>
    </row>
    <row r="1015" hidden="1" outlineLevel="1" s="191">
      <c r="A1015" t="n">
        <v>2</v>
      </c>
      <c r="B1015" t="inlineStr">
        <is>
          <t>h</t>
        </is>
      </c>
      <c r="C1015" t="n">
        <v>1</v>
      </c>
      <c r="D1015" t="inlineStr">
        <is>
          <t>.z10_2_h_1</t>
        </is>
      </c>
      <c r="E1015" t="inlineStr">
        <is>
          <t>Zdefinowanie standardów monitoringu i logowania</t>
        </is>
      </c>
      <c r="F1015" t="inlineStr">
        <is>
          <t>XXX</t>
        </is>
      </c>
      <c r="G1015" t="inlineStr">
        <is>
          <t>XXX</t>
        </is>
      </c>
      <c r="H1015" t="n">
        <v>13</v>
      </c>
      <c r="I1015" t="inlineStr">
        <is>
          <t>ACT/END</t>
        </is>
      </c>
      <c r="J1015" t="n">
        <v>271</v>
      </c>
      <c r="K1015" t="n">
        <v>48094</v>
      </c>
      <c r="L1015" t="n">
        <v>48095</v>
      </c>
      <c r="M1015" t="n">
        <v>271</v>
      </c>
      <c r="N1015" t="n">
        <v>1</v>
      </c>
      <c r="O1015" t="n">
        <v>120</v>
      </c>
      <c r="P1015" t="n">
        <v>0.116</v>
      </c>
      <c r="Q1015" t="n">
        <v>0.11</v>
      </c>
      <c r="R1015" t="n">
        <v>0.11</v>
      </c>
      <c r="S1015" t="n">
        <v>0.11</v>
      </c>
      <c r="T1015" t="n">
        <v>0.11</v>
      </c>
      <c r="U1015" t="n">
        <v>0.11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0.333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14</v>
      </c>
      <c r="AH1015" t="n">
        <v>13</v>
      </c>
      <c r="AI1015" t="n">
        <v>13</v>
      </c>
      <c r="AJ1015" t="n">
        <v>13</v>
      </c>
      <c r="AK1015" t="n">
        <v>13</v>
      </c>
      <c r="AL1015" t="n">
        <v>13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40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79</v>
      </c>
      <c r="AY1015" t="n">
        <v>0.49375</v>
      </c>
      <c r="AZ1015" t="e">
        <v>#N/A</v>
      </c>
      <c r="BA1015" t="e">
        <v>#N/A</v>
      </c>
      <c r="BB1015" t="e">
        <v>#N/A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120</v>
      </c>
      <c r="BK1015" t="n">
        <v>119</v>
      </c>
      <c r="BL1015" t="n">
        <v>1</v>
      </c>
    </row>
    <row r="1016" hidden="1" outlineLevel="1" s="191">
      <c r="A1016" t="n">
        <v>2</v>
      </c>
      <c r="B1016" t="inlineStr">
        <is>
          <t>i</t>
        </is>
      </c>
      <c r="C1016" t="n">
        <v>1</v>
      </c>
      <c r="D1016" t="inlineStr">
        <is>
          <t>.z10_2_i_1</t>
        </is>
      </c>
      <c r="E1016" t="inlineStr">
        <is>
          <t>Zdefinowanie funkcjonalności użytkownika (GUI)</t>
        </is>
      </c>
      <c r="F1016" t="inlineStr">
        <is>
          <t>XXX</t>
        </is>
      </c>
      <c r="G1016" t="inlineStr">
        <is>
          <t>XXX</t>
        </is>
      </c>
      <c r="H1016" t="n">
        <v>14</v>
      </c>
      <c r="I1016" t="inlineStr">
        <is>
          <t>ACT/END</t>
        </is>
      </c>
      <c r="J1016" t="n">
        <v>272</v>
      </c>
      <c r="K1016" t="n">
        <v>48101</v>
      </c>
      <c r="L1016" t="n">
        <v>48102</v>
      </c>
      <c r="M1016" t="n">
        <v>272</v>
      </c>
      <c r="N1016" t="n">
        <v>1</v>
      </c>
      <c r="O1016" t="n">
        <v>120</v>
      </c>
      <c r="P1016" t="n">
        <v>0.17</v>
      </c>
      <c r="Q1016" t="n">
        <v>0.17</v>
      </c>
      <c r="R1016" t="n">
        <v>0.17</v>
      </c>
      <c r="S1016" t="n">
        <v>0.17</v>
      </c>
      <c r="T1016" t="n">
        <v>0.17</v>
      </c>
      <c r="U1016" t="n">
        <v>0.15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20</v>
      </c>
      <c r="AH1016" t="n">
        <v>20</v>
      </c>
      <c r="AI1016" t="n">
        <v>20</v>
      </c>
      <c r="AJ1016" t="n">
        <v>20</v>
      </c>
      <c r="AK1016" t="n">
        <v>20</v>
      </c>
      <c r="AL1016" t="n">
        <v>18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118</v>
      </c>
      <c r="AY1016" t="n">
        <v>0.7375</v>
      </c>
      <c r="AZ1016" t="e">
        <v>#N/A</v>
      </c>
      <c r="BA1016" t="e">
        <v>#N/A</v>
      </c>
      <c r="BB1016" t="e">
        <v>#N/A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120</v>
      </c>
      <c r="BK1016" t="n">
        <v>118</v>
      </c>
      <c r="BL1016" t="n">
        <v>2</v>
      </c>
    </row>
    <row r="1017" hidden="1" outlineLevel="1" s="191">
      <c r="A1017" t="n">
        <v>3</v>
      </c>
      <c r="B1017" t="inlineStr">
        <is>
          <t>a</t>
        </is>
      </c>
      <c r="C1017" t="n">
        <v>0</v>
      </c>
      <c r="D1017" t="inlineStr">
        <is>
          <t>.z10_3_a_0</t>
        </is>
      </c>
      <c r="E1017" t="inlineStr">
        <is>
          <t>3.Przygotowania Środowiska i Fundamentów Platformy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273</v>
      </c>
      <c r="K1017" t="n">
        <v>48108</v>
      </c>
      <c r="L1017" t="n">
        <v>48108</v>
      </c>
      <c r="M1017" t="n">
        <v>272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</row>
    <row r="1018" hidden="1" outlineLevel="1" s="191">
      <c r="A1018" t="n">
        <v>3</v>
      </c>
      <c r="B1018" t="inlineStr">
        <is>
          <t>a</t>
        </is>
      </c>
      <c r="C1018" t="n">
        <v>1</v>
      </c>
      <c r="D1018" t="inlineStr">
        <is>
          <t>.z10_3_a_1</t>
        </is>
      </c>
      <c r="E1018" t="inlineStr">
        <is>
          <t>Automatyzacja konfiguracja środowiska Kubernetes</t>
        </is>
      </c>
      <c r="F1018" t="inlineStr">
        <is>
          <t>XXX</t>
        </is>
      </c>
      <c r="G1018" t="inlineStr">
        <is>
          <t>XXX</t>
        </is>
      </c>
      <c r="H1018" t="n">
        <v>15</v>
      </c>
      <c r="I1018" t="inlineStr">
        <is>
          <t>END/ACT</t>
        </is>
      </c>
      <c r="J1018" t="n">
        <v>273</v>
      </c>
      <c r="K1018" t="n">
        <v>48108</v>
      </c>
      <c r="L1018" t="n">
        <v>48108</v>
      </c>
      <c r="M1018" t="n">
        <v>272</v>
      </c>
      <c r="N1018" t="n">
        <v>0</v>
      </c>
      <c r="O1018" t="n">
        <v>120</v>
      </c>
      <c r="P1018" t="n">
        <v>0.06</v>
      </c>
      <c r="Q1018" t="n">
        <v>0.055</v>
      </c>
      <c r="R1018" t="n">
        <v>0.055</v>
      </c>
      <c r="S1018" t="n">
        <v>0.055</v>
      </c>
      <c r="T1018" t="n">
        <v>0.055</v>
      </c>
      <c r="U1018" t="n">
        <v>0.055</v>
      </c>
      <c r="V1018" t="n">
        <v>0</v>
      </c>
      <c r="W1018" t="n">
        <v>0</v>
      </c>
      <c r="X1018" t="n">
        <v>0</v>
      </c>
      <c r="Y1018" t="n">
        <v>0</v>
      </c>
      <c r="Z1018" t="n">
        <v>0.333</v>
      </c>
      <c r="AA1018" t="n">
        <v>0.333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7</v>
      </c>
      <c r="AH1018" t="n">
        <v>7</v>
      </c>
      <c r="AI1018" t="n">
        <v>7</v>
      </c>
      <c r="AJ1018" t="n">
        <v>7</v>
      </c>
      <c r="AK1018" t="n">
        <v>7</v>
      </c>
      <c r="AL1018" t="n">
        <v>7</v>
      </c>
      <c r="AM1018" t="n">
        <v>0</v>
      </c>
      <c r="AN1018" t="n">
        <v>0</v>
      </c>
      <c r="AO1018" t="n">
        <v>0</v>
      </c>
      <c r="AP1018" t="n">
        <v>0</v>
      </c>
      <c r="AQ1018" t="n">
        <v>40</v>
      </c>
      <c r="AR1018" t="n">
        <v>40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42</v>
      </c>
      <c r="AY1018" t="n">
        <v>0.2625</v>
      </c>
      <c r="AZ1018" t="e">
        <v>#N/A</v>
      </c>
      <c r="BA1018" t="e">
        <v>#N/A</v>
      </c>
      <c r="BB1018" t="e">
        <v>#N/A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120</v>
      </c>
      <c r="BK1018" t="n">
        <v>122</v>
      </c>
      <c r="BL1018" t="n">
        <v>-2</v>
      </c>
    </row>
    <row r="1019" hidden="1" outlineLevel="1" s="191">
      <c r="A1019" t="n">
        <v>3</v>
      </c>
      <c r="B1019" t="inlineStr">
        <is>
          <t>b</t>
        </is>
      </c>
      <c r="C1019" t="n">
        <v>1</v>
      </c>
      <c r="D1019" t="inlineStr">
        <is>
          <t>.z10_3_b_1</t>
        </is>
      </c>
      <c r="E1019" t="inlineStr">
        <is>
          <t>Przygotowanie automatyzacji mechanizmów aktualizacji</t>
        </is>
      </c>
      <c r="F1019" t="inlineStr">
        <is>
          <t>XXX</t>
        </is>
      </c>
      <c r="G1019" t="inlineStr">
        <is>
          <t>XXX</t>
        </is>
      </c>
      <c r="H1019" t="n">
        <v>16</v>
      </c>
      <c r="I1019" t="inlineStr">
        <is>
          <t>END/ACT</t>
        </is>
      </c>
      <c r="J1019" t="n">
        <v>273</v>
      </c>
      <c r="K1019" t="n">
        <v>48108</v>
      </c>
      <c r="L1019" t="n">
        <v>48108</v>
      </c>
      <c r="M1019" t="n">
        <v>272</v>
      </c>
      <c r="N1019" t="n">
        <v>0</v>
      </c>
      <c r="O1019" t="n">
        <v>120</v>
      </c>
      <c r="P1019" t="n">
        <v>0.06</v>
      </c>
      <c r="Q1019" t="n">
        <v>0.055</v>
      </c>
      <c r="R1019" t="n">
        <v>0.055</v>
      </c>
      <c r="S1019" t="n">
        <v>0.055</v>
      </c>
      <c r="T1019" t="n">
        <v>0.055</v>
      </c>
      <c r="U1019" t="n">
        <v>0.055</v>
      </c>
      <c r="V1019" t="n">
        <v>0</v>
      </c>
      <c r="W1019" t="n">
        <v>0</v>
      </c>
      <c r="X1019" t="n">
        <v>0</v>
      </c>
      <c r="Y1019" t="n">
        <v>0</v>
      </c>
      <c r="Z1019" t="n">
        <v>0.333</v>
      </c>
      <c r="AA1019" t="n">
        <v>0.333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7</v>
      </c>
      <c r="AH1019" t="n">
        <v>7</v>
      </c>
      <c r="AI1019" t="n">
        <v>7</v>
      </c>
      <c r="AJ1019" t="n">
        <v>7</v>
      </c>
      <c r="AK1019" t="n">
        <v>7</v>
      </c>
      <c r="AL1019" t="n">
        <v>7</v>
      </c>
      <c r="AM1019" t="n">
        <v>0</v>
      </c>
      <c r="AN1019" t="n">
        <v>0</v>
      </c>
      <c r="AO1019" t="n">
        <v>0</v>
      </c>
      <c r="AP1019" t="n">
        <v>0</v>
      </c>
      <c r="AQ1019" t="n">
        <v>40</v>
      </c>
      <c r="AR1019" t="n">
        <v>40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42</v>
      </c>
      <c r="AY1019" t="n">
        <v>0.2625</v>
      </c>
      <c r="AZ1019" t="e">
        <v>#N/A</v>
      </c>
      <c r="BA1019" t="e">
        <v>#N/A</v>
      </c>
      <c r="BB1019" t="e">
        <v>#N/A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120</v>
      </c>
      <c r="BK1019" t="n">
        <v>122</v>
      </c>
      <c r="BL1019" t="n">
        <v>-2</v>
      </c>
    </row>
    <row r="1020" hidden="1" outlineLevel="1" s="191">
      <c r="A1020" t="n">
        <v>3</v>
      </c>
      <c r="B1020" t="inlineStr">
        <is>
          <t>c</t>
        </is>
      </c>
      <c r="C1020" t="n">
        <v>1</v>
      </c>
      <c r="D1020" t="inlineStr">
        <is>
          <t>.z10_3_c_1</t>
        </is>
      </c>
      <c r="E1020" t="inlineStr">
        <is>
          <t>Utworzenie repozytorum artefaktów</t>
        </is>
      </c>
      <c r="F1020" t="inlineStr">
        <is>
          <t>XXX</t>
        </is>
      </c>
      <c r="G1020" t="inlineStr">
        <is>
          <t>XXX</t>
        </is>
      </c>
      <c r="H1020" t="n">
        <v>17</v>
      </c>
      <c r="I1020" t="inlineStr">
        <is>
          <t>END/ACT</t>
        </is>
      </c>
      <c r="J1020" t="n">
        <v>273</v>
      </c>
      <c r="K1020" t="n">
        <v>48108</v>
      </c>
      <c r="L1020" t="n">
        <v>48108</v>
      </c>
      <c r="M1020" t="n">
        <v>272</v>
      </c>
      <c r="N1020" t="n">
        <v>0</v>
      </c>
      <c r="O1020" t="n">
        <v>120</v>
      </c>
      <c r="P1020" t="n">
        <v>0.06</v>
      </c>
      <c r="Q1020" t="n">
        <v>0.055</v>
      </c>
      <c r="R1020" t="n">
        <v>0.055</v>
      </c>
      <c r="S1020" t="n">
        <v>0.055</v>
      </c>
      <c r="T1020" t="n">
        <v>0.055</v>
      </c>
      <c r="U1020" t="n">
        <v>0.055</v>
      </c>
      <c r="V1020" t="n">
        <v>0</v>
      </c>
      <c r="W1020" t="n">
        <v>0</v>
      </c>
      <c r="X1020" t="n">
        <v>0</v>
      </c>
      <c r="Y1020" t="n">
        <v>0</v>
      </c>
      <c r="Z1020" t="n">
        <v>0.333</v>
      </c>
      <c r="AA1020" t="n">
        <v>0.333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7</v>
      </c>
      <c r="AH1020" t="n">
        <v>7</v>
      </c>
      <c r="AI1020" t="n">
        <v>7</v>
      </c>
      <c r="AJ1020" t="n">
        <v>7</v>
      </c>
      <c r="AK1020" t="n">
        <v>7</v>
      </c>
      <c r="AL1020" t="n">
        <v>7</v>
      </c>
      <c r="AM1020" t="n">
        <v>0</v>
      </c>
      <c r="AN1020" t="n">
        <v>0</v>
      </c>
      <c r="AO1020" t="n">
        <v>0</v>
      </c>
      <c r="AP1020" t="n">
        <v>0</v>
      </c>
      <c r="AQ1020" t="n">
        <v>40</v>
      </c>
      <c r="AR1020" t="n">
        <v>40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42</v>
      </c>
      <c r="AY1020" t="n">
        <v>0.2625</v>
      </c>
      <c r="AZ1020" t="e">
        <v>#N/A</v>
      </c>
      <c r="BA1020" t="e">
        <v>#N/A</v>
      </c>
      <c r="BB1020" t="e">
        <v>#N/A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120</v>
      </c>
      <c r="BK1020" t="n">
        <v>122</v>
      </c>
      <c r="BL1020" t="n">
        <v>-2</v>
      </c>
    </row>
    <row r="1021" hidden="1" outlineLevel="1" s="191">
      <c r="A1021" t="n">
        <v>3</v>
      </c>
      <c r="B1021" t="inlineStr">
        <is>
          <t>d</t>
        </is>
      </c>
      <c r="C1021" t="n">
        <v>1</v>
      </c>
      <c r="D1021" t="inlineStr">
        <is>
          <t>.z10_3_d_1</t>
        </is>
      </c>
      <c r="E1021" t="inlineStr">
        <is>
          <t xml:space="preserve">Automatyzacja zarządzania zadaniami </t>
        </is>
      </c>
      <c r="F1021" t="inlineStr">
        <is>
          <t>XXX</t>
        </is>
      </c>
      <c r="G1021" t="inlineStr">
        <is>
          <t>XXX</t>
        </is>
      </c>
      <c r="H1021" t="n">
        <v>18</v>
      </c>
      <c r="I1021" t="inlineStr">
        <is>
          <t>END/ACT</t>
        </is>
      </c>
      <c r="J1021" t="n">
        <v>273</v>
      </c>
      <c r="K1021" t="n">
        <v>48108</v>
      </c>
      <c r="L1021" t="n">
        <v>48108</v>
      </c>
      <c r="M1021" t="n">
        <v>272</v>
      </c>
      <c r="N1021" t="n">
        <v>0</v>
      </c>
      <c r="O1021" t="n">
        <v>120</v>
      </c>
      <c r="P1021" t="n">
        <v>0.06</v>
      </c>
      <c r="Q1021" t="n">
        <v>0.055</v>
      </c>
      <c r="R1021" t="n">
        <v>0.055</v>
      </c>
      <c r="S1021" t="n">
        <v>0.055</v>
      </c>
      <c r="T1021" t="n">
        <v>0.055</v>
      </c>
      <c r="U1021" t="n">
        <v>0.055</v>
      </c>
      <c r="V1021" t="n">
        <v>0</v>
      </c>
      <c r="W1021" t="n">
        <v>0</v>
      </c>
      <c r="X1021" t="n">
        <v>0</v>
      </c>
      <c r="Y1021" t="n">
        <v>0</v>
      </c>
      <c r="Z1021" t="n">
        <v>0.333</v>
      </c>
      <c r="AA1021" t="n">
        <v>0.333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7</v>
      </c>
      <c r="AH1021" t="n">
        <v>7</v>
      </c>
      <c r="AI1021" t="n">
        <v>7</v>
      </c>
      <c r="AJ1021" t="n">
        <v>7</v>
      </c>
      <c r="AK1021" t="n">
        <v>7</v>
      </c>
      <c r="AL1021" t="n">
        <v>7</v>
      </c>
      <c r="AM1021" t="n">
        <v>0</v>
      </c>
      <c r="AN1021" t="n">
        <v>0</v>
      </c>
      <c r="AO1021" t="n">
        <v>0</v>
      </c>
      <c r="AP1021" t="n">
        <v>0</v>
      </c>
      <c r="AQ1021" t="n">
        <v>40</v>
      </c>
      <c r="AR1021" t="n">
        <v>40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42</v>
      </c>
      <c r="AY1021" t="n">
        <v>0.2625</v>
      </c>
      <c r="AZ1021" t="e">
        <v>#N/A</v>
      </c>
      <c r="BA1021" t="e">
        <v>#N/A</v>
      </c>
      <c r="BB1021" t="e">
        <v>#N/A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120</v>
      </c>
      <c r="BK1021" t="n">
        <v>122</v>
      </c>
      <c r="BL1021" t="n">
        <v>-2</v>
      </c>
    </row>
    <row r="1022" hidden="1" outlineLevel="1" s="191">
      <c r="A1022" t="n">
        <v>3</v>
      </c>
      <c r="B1022" t="inlineStr">
        <is>
          <t>e</t>
        </is>
      </c>
      <c r="C1022" t="n">
        <v>1</v>
      </c>
      <c r="D1022" t="inlineStr">
        <is>
          <t>.z10_3_e_1</t>
        </is>
      </c>
      <c r="E1022" t="inlineStr">
        <is>
          <t>Przygotowanie procesu tworzenia artefaktow</t>
        </is>
      </c>
      <c r="F1022" t="inlineStr">
        <is>
          <t>XXX</t>
        </is>
      </c>
      <c r="G1022" t="inlineStr">
        <is>
          <t>XXX</t>
        </is>
      </c>
      <c r="H1022" t="n">
        <v>19</v>
      </c>
      <c r="I1022" t="inlineStr">
        <is>
          <t>END/ACT</t>
        </is>
      </c>
      <c r="J1022" t="n">
        <v>273</v>
      </c>
      <c r="K1022" t="n">
        <v>48108</v>
      </c>
      <c r="L1022" t="n">
        <v>48108</v>
      </c>
      <c r="M1022" t="n">
        <v>272</v>
      </c>
      <c r="N1022" t="n">
        <v>0</v>
      </c>
      <c r="O1022" t="n">
        <v>120</v>
      </c>
      <c r="P1022" t="n">
        <v>0.055</v>
      </c>
      <c r="Q1022" t="n">
        <v>0.055</v>
      </c>
      <c r="R1022" t="n">
        <v>0.055</v>
      </c>
      <c r="S1022" t="n">
        <v>0.055</v>
      </c>
      <c r="T1022" t="n">
        <v>0.055</v>
      </c>
      <c r="U1022" t="n">
        <v>0.055</v>
      </c>
      <c r="V1022" t="n">
        <v>0</v>
      </c>
      <c r="W1022" t="n">
        <v>0</v>
      </c>
      <c r="X1022" t="n">
        <v>0</v>
      </c>
      <c r="Y1022" t="n">
        <v>0</v>
      </c>
      <c r="Z1022" t="n">
        <v>0.333</v>
      </c>
      <c r="AA1022" t="n">
        <v>0.333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7</v>
      </c>
      <c r="AH1022" t="n">
        <v>7</v>
      </c>
      <c r="AI1022" t="n">
        <v>7</v>
      </c>
      <c r="AJ1022" t="n">
        <v>7</v>
      </c>
      <c r="AK1022" t="n">
        <v>7</v>
      </c>
      <c r="AL1022" t="n">
        <v>7</v>
      </c>
      <c r="AM1022" t="n">
        <v>0</v>
      </c>
      <c r="AN1022" t="n">
        <v>0</v>
      </c>
      <c r="AO1022" t="n">
        <v>0</v>
      </c>
      <c r="AP1022" t="n">
        <v>0</v>
      </c>
      <c r="AQ1022" t="n">
        <v>40</v>
      </c>
      <c r="AR1022" t="n">
        <v>40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42</v>
      </c>
      <c r="AY1022" t="n">
        <v>0.2625</v>
      </c>
      <c r="AZ1022" t="e">
        <v>#N/A</v>
      </c>
      <c r="BA1022" t="e">
        <v>#N/A</v>
      </c>
      <c r="BB1022" t="e">
        <v>#N/A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120</v>
      </c>
      <c r="BK1022" t="n">
        <v>122</v>
      </c>
      <c r="BL1022" t="n">
        <v>-2</v>
      </c>
    </row>
    <row r="1023" hidden="1" outlineLevel="1" s="191">
      <c r="A1023" t="n">
        <v>4</v>
      </c>
      <c r="B1023" t="inlineStr">
        <is>
          <t>a</t>
        </is>
      </c>
      <c r="C1023" t="n">
        <v>0</v>
      </c>
      <c r="D1023" t="inlineStr">
        <is>
          <t>.z10_4_a_0</t>
        </is>
      </c>
      <c r="E1023" t="inlineStr">
        <is>
          <t>4.Przygotowania bazy danych Platformy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273</v>
      </c>
      <c r="K1023" t="n">
        <v>48108</v>
      </c>
      <c r="L1023" t="n">
        <v>48108</v>
      </c>
      <c r="M1023" t="n">
        <v>272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</row>
    <row r="1024" hidden="1" outlineLevel="1" s="191">
      <c r="A1024" t="n">
        <v>4</v>
      </c>
      <c r="B1024" t="inlineStr">
        <is>
          <t>a</t>
        </is>
      </c>
      <c r="C1024" t="n">
        <v>1</v>
      </c>
      <c r="D1024" t="inlineStr">
        <is>
          <t>.z10_4_a_1</t>
        </is>
      </c>
      <c r="E1024" t="inlineStr">
        <is>
          <t>Implementa bazy panelu administracyjnego</t>
        </is>
      </c>
      <c r="F1024" t="inlineStr">
        <is>
          <t>XXX</t>
        </is>
      </c>
      <c r="G1024" t="inlineStr">
        <is>
          <t>XXX</t>
        </is>
      </c>
      <c r="H1024" t="n">
        <v>20</v>
      </c>
      <c r="I1024" t="inlineStr">
        <is>
          <t>ACT/END</t>
        </is>
      </c>
      <c r="J1024" t="n">
        <v>273</v>
      </c>
      <c r="K1024" t="n">
        <v>48108</v>
      </c>
      <c r="L1024" t="n">
        <v>48109</v>
      </c>
      <c r="M1024" t="n">
        <v>273</v>
      </c>
      <c r="N1024" t="n">
        <v>1</v>
      </c>
      <c r="O1024" t="n">
        <v>120</v>
      </c>
      <c r="P1024" t="n">
        <v>0.17</v>
      </c>
      <c r="Q1024" t="n">
        <v>0.17</v>
      </c>
      <c r="R1024" t="n">
        <v>0.17</v>
      </c>
      <c r="S1024" t="n">
        <v>0.17</v>
      </c>
      <c r="T1024" t="n">
        <v>0.17</v>
      </c>
      <c r="U1024" t="n">
        <v>0.15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20</v>
      </c>
      <c r="AH1024" t="n">
        <v>20</v>
      </c>
      <c r="AI1024" t="n">
        <v>20</v>
      </c>
      <c r="AJ1024" t="n">
        <v>20</v>
      </c>
      <c r="AK1024" t="n">
        <v>20</v>
      </c>
      <c r="AL1024" t="n">
        <v>18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118</v>
      </c>
      <c r="AY1024" t="n">
        <v>0.7375</v>
      </c>
      <c r="AZ1024" t="e">
        <v>#N/A</v>
      </c>
      <c r="BA1024" t="e">
        <v>#N/A</v>
      </c>
      <c r="BB1024" t="e">
        <v>#N/A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120</v>
      </c>
      <c r="BK1024" t="n">
        <v>118</v>
      </c>
      <c r="BL1024" t="n">
        <v>2</v>
      </c>
    </row>
    <row r="1025" hidden="1" outlineLevel="1" s="191">
      <c r="A1025" t="n">
        <v>4</v>
      </c>
      <c r="B1025" t="inlineStr">
        <is>
          <t>b</t>
        </is>
      </c>
      <c r="C1025" t="n">
        <v>1</v>
      </c>
      <c r="D1025" t="inlineStr">
        <is>
          <t>.z10_4_b_1</t>
        </is>
      </c>
      <c r="E1025" t="inlineStr">
        <is>
          <t>Implementacja bazy użytkowników</t>
        </is>
      </c>
      <c r="F1025" t="inlineStr">
        <is>
          <t>XXX</t>
        </is>
      </c>
      <c r="G1025" t="inlineStr">
        <is>
          <t>XXX</t>
        </is>
      </c>
      <c r="H1025" t="n">
        <v>21</v>
      </c>
      <c r="I1025" t="inlineStr">
        <is>
          <t>ACT/END</t>
        </is>
      </c>
      <c r="J1025" t="n">
        <v>274</v>
      </c>
      <c r="K1025" t="n">
        <v>48115</v>
      </c>
      <c r="L1025" t="n">
        <v>48116</v>
      </c>
      <c r="M1025" t="n">
        <v>274</v>
      </c>
      <c r="N1025" t="n">
        <v>1</v>
      </c>
      <c r="O1025" t="n">
        <v>120</v>
      </c>
      <c r="P1025" t="n">
        <v>0.17</v>
      </c>
      <c r="Q1025" t="n">
        <v>0.17</v>
      </c>
      <c r="R1025" t="n">
        <v>0.17</v>
      </c>
      <c r="S1025" t="n">
        <v>0.17</v>
      </c>
      <c r="T1025" t="n">
        <v>0.17</v>
      </c>
      <c r="U1025" t="n">
        <v>0.15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20</v>
      </c>
      <c r="AH1025" t="n">
        <v>20</v>
      </c>
      <c r="AI1025" t="n">
        <v>20</v>
      </c>
      <c r="AJ1025" t="n">
        <v>20</v>
      </c>
      <c r="AK1025" t="n">
        <v>20</v>
      </c>
      <c r="AL1025" t="n">
        <v>18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118</v>
      </c>
      <c r="AY1025" t="n">
        <v>0.7375</v>
      </c>
      <c r="AZ1025" t="e">
        <v>#N/A</v>
      </c>
      <c r="BA1025" t="e">
        <v>#N/A</v>
      </c>
      <c r="BB1025" t="e">
        <v>#N/A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120</v>
      </c>
      <c r="BK1025" t="n">
        <v>118</v>
      </c>
      <c r="BL1025" t="n">
        <v>2</v>
      </c>
    </row>
    <row r="1026" hidden="1" outlineLevel="1" s="191">
      <c r="A1026" t="n">
        <v>4</v>
      </c>
      <c r="B1026" t="inlineStr">
        <is>
          <t>c</t>
        </is>
      </c>
      <c r="C1026" t="n">
        <v>1</v>
      </c>
      <c r="D1026" t="inlineStr">
        <is>
          <t>.z10_4_c_1</t>
        </is>
      </c>
      <c r="E1026" t="inlineStr">
        <is>
          <t>Implementacja bazy statystyk i wskaźnikow</t>
        </is>
      </c>
      <c r="F1026" t="inlineStr">
        <is>
          <t>XXX</t>
        </is>
      </c>
      <c r="G1026" t="inlineStr">
        <is>
          <t>XXX</t>
        </is>
      </c>
      <c r="H1026" t="n">
        <v>22</v>
      </c>
      <c r="I1026" t="inlineStr">
        <is>
          <t>ACT/END</t>
        </is>
      </c>
      <c r="J1026" t="n">
        <v>275</v>
      </c>
      <c r="K1026" t="n">
        <v>48122</v>
      </c>
      <c r="L1026" t="n">
        <v>48123</v>
      </c>
      <c r="M1026" t="n">
        <v>275</v>
      </c>
      <c r="N1026" t="n">
        <v>1</v>
      </c>
      <c r="O1026" t="n">
        <v>120</v>
      </c>
      <c r="P1026" t="n">
        <v>0.17</v>
      </c>
      <c r="Q1026" t="n">
        <v>0.17</v>
      </c>
      <c r="R1026" t="n">
        <v>0.17</v>
      </c>
      <c r="S1026" t="n">
        <v>0.17</v>
      </c>
      <c r="T1026" t="n">
        <v>0.17</v>
      </c>
      <c r="U1026" t="n">
        <v>0.15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20</v>
      </c>
      <c r="AH1026" t="n">
        <v>20</v>
      </c>
      <c r="AI1026" t="n">
        <v>20</v>
      </c>
      <c r="AJ1026" t="n">
        <v>20</v>
      </c>
      <c r="AK1026" t="n">
        <v>20</v>
      </c>
      <c r="AL1026" t="n">
        <v>18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120</v>
      </c>
      <c r="BK1026" t="n">
        <v>118</v>
      </c>
      <c r="BL1026" t="n">
        <v>2</v>
      </c>
    </row>
    <row r="1027" hidden="1" outlineLevel="1" s="191">
      <c r="A1027" t="n">
        <v>5</v>
      </c>
      <c r="B1027" t="inlineStr">
        <is>
          <t>a</t>
        </is>
      </c>
      <c r="C1027" t="n">
        <v>0</v>
      </c>
      <c r="D1027" t="inlineStr">
        <is>
          <t>.z10_5_a_0</t>
        </is>
      </c>
      <c r="E1027" t="inlineStr">
        <is>
          <t>5.Przygotowania oprogramowania Platformy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276</v>
      </c>
      <c r="K1027" t="n">
        <v>48129</v>
      </c>
      <c r="L1027" t="n">
        <v>48129</v>
      </c>
      <c r="M1027" t="n">
        <v>275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</row>
    <row r="1028" hidden="1" outlineLevel="1" s="191">
      <c r="A1028" t="n">
        <v>5</v>
      </c>
      <c r="B1028" t="inlineStr">
        <is>
          <t>a</t>
        </is>
      </c>
      <c r="C1028" t="n">
        <v>1</v>
      </c>
      <c r="D1028" t="inlineStr">
        <is>
          <t>.z10_5_a_1</t>
        </is>
      </c>
      <c r="E1028" t="inlineStr">
        <is>
          <t>Implementa panelu administracyjnego</t>
        </is>
      </c>
      <c r="F1028" t="inlineStr">
        <is>
          <t>XXX</t>
        </is>
      </c>
      <c r="G1028" t="inlineStr">
        <is>
          <t>XXX</t>
        </is>
      </c>
      <c r="H1028" t="n">
        <v>22</v>
      </c>
      <c r="I1028" t="inlineStr">
        <is>
          <t>ACT/END</t>
        </is>
      </c>
      <c r="J1028" t="n">
        <v>276</v>
      </c>
      <c r="K1028" t="n">
        <v>48129</v>
      </c>
      <c r="L1028" t="n">
        <v>48130</v>
      </c>
      <c r="M1028" t="n">
        <v>276</v>
      </c>
      <c r="N1028" t="n">
        <v>1</v>
      </c>
      <c r="O1028" t="n">
        <v>120</v>
      </c>
      <c r="P1028" t="n">
        <v>0.17</v>
      </c>
      <c r="Q1028" t="n">
        <v>0.17</v>
      </c>
      <c r="R1028" t="n">
        <v>0.17</v>
      </c>
      <c r="S1028" t="n">
        <v>0.17</v>
      </c>
      <c r="T1028" t="n">
        <v>0.17</v>
      </c>
      <c r="U1028" t="n">
        <v>0.15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20</v>
      </c>
      <c r="AH1028" t="n">
        <v>20</v>
      </c>
      <c r="AI1028" t="n">
        <v>20</v>
      </c>
      <c r="AJ1028" t="n">
        <v>20</v>
      </c>
      <c r="AK1028" t="n">
        <v>20</v>
      </c>
      <c r="AL1028" t="n">
        <v>18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118</v>
      </c>
      <c r="AY1028" t="n">
        <v>0.7375</v>
      </c>
      <c r="AZ1028" t="e">
        <v>#N/A</v>
      </c>
      <c r="BA1028" t="e">
        <v>#N/A</v>
      </c>
      <c r="BB1028" t="e">
        <v>#N/A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120</v>
      </c>
      <c r="BK1028" t="n">
        <v>118</v>
      </c>
      <c r="BL1028" t="n">
        <v>2</v>
      </c>
    </row>
    <row r="1029" hidden="1" outlineLevel="1" s="191">
      <c r="A1029" t="n">
        <v>5</v>
      </c>
      <c r="B1029" t="inlineStr">
        <is>
          <t>b</t>
        </is>
      </c>
      <c r="C1029" t="n">
        <v>1</v>
      </c>
      <c r="D1029" t="inlineStr">
        <is>
          <t>.z10_5_b_1</t>
        </is>
      </c>
      <c r="E1029" t="inlineStr">
        <is>
          <t>Implementacja panelu użytkownika</t>
        </is>
      </c>
      <c r="F1029" t="inlineStr">
        <is>
          <t>XXX</t>
        </is>
      </c>
      <c r="G1029" t="inlineStr">
        <is>
          <t>XXX</t>
        </is>
      </c>
      <c r="H1029" t="n">
        <v>23</v>
      </c>
      <c r="I1029" t="inlineStr">
        <is>
          <t>ACT/END</t>
        </is>
      </c>
      <c r="J1029" t="n">
        <v>277</v>
      </c>
      <c r="K1029" t="n">
        <v>48136</v>
      </c>
      <c r="L1029" t="n">
        <v>48137</v>
      </c>
      <c r="M1029" t="n">
        <v>277</v>
      </c>
      <c r="N1029" t="n">
        <v>1</v>
      </c>
      <c r="O1029" t="n">
        <v>120</v>
      </c>
      <c r="P1029" t="n">
        <v>0.17</v>
      </c>
      <c r="Q1029" t="n">
        <v>0.17</v>
      </c>
      <c r="R1029" t="n">
        <v>0.17</v>
      </c>
      <c r="S1029" t="n">
        <v>0.17</v>
      </c>
      <c r="T1029" t="n">
        <v>0.17</v>
      </c>
      <c r="U1029" t="n">
        <v>0.15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20</v>
      </c>
      <c r="AH1029" t="n">
        <v>20</v>
      </c>
      <c r="AI1029" t="n">
        <v>20</v>
      </c>
      <c r="AJ1029" t="n">
        <v>20</v>
      </c>
      <c r="AK1029" t="n">
        <v>20</v>
      </c>
      <c r="AL1029" t="n">
        <v>18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118</v>
      </c>
      <c r="AY1029" t="n">
        <v>0.7375</v>
      </c>
      <c r="AZ1029" t="e">
        <v>#N/A</v>
      </c>
      <c r="BA1029" t="e">
        <v>#N/A</v>
      </c>
      <c r="BB1029" t="e">
        <v>#N/A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120</v>
      </c>
      <c r="BK1029" t="n">
        <v>118</v>
      </c>
      <c r="BL1029" t="n">
        <v>2</v>
      </c>
    </row>
    <row r="1030" hidden="1" outlineLevel="1" s="191">
      <c r="A1030" t="n">
        <v>5</v>
      </c>
      <c r="B1030" t="inlineStr">
        <is>
          <t>c</t>
        </is>
      </c>
      <c r="C1030" t="n">
        <v>1</v>
      </c>
      <c r="D1030" t="inlineStr">
        <is>
          <t>.z10_5_c_1</t>
        </is>
      </c>
      <c r="E1030" t="inlineStr">
        <is>
          <t xml:space="preserve">Implementacja mechanizmow uwierzytelniania użytkownika </t>
        </is>
      </c>
      <c r="F1030" t="inlineStr">
        <is>
          <t>XXX</t>
        </is>
      </c>
      <c r="G1030" t="inlineStr">
        <is>
          <t>XXX</t>
        </is>
      </c>
      <c r="H1030" t="n">
        <v>24</v>
      </c>
      <c r="I1030" t="inlineStr">
        <is>
          <t>ACT/END</t>
        </is>
      </c>
      <c r="J1030" t="n">
        <v>278</v>
      </c>
      <c r="K1030" t="n">
        <v>48143</v>
      </c>
      <c r="L1030" t="n">
        <v>48144</v>
      </c>
      <c r="M1030" t="n">
        <v>278</v>
      </c>
      <c r="N1030" t="n">
        <v>1</v>
      </c>
      <c r="O1030" t="n">
        <v>120</v>
      </c>
      <c r="P1030" t="n">
        <v>0.17</v>
      </c>
      <c r="Q1030" t="n">
        <v>0.17</v>
      </c>
      <c r="R1030" t="n">
        <v>0.17</v>
      </c>
      <c r="S1030" t="n">
        <v>0.17</v>
      </c>
      <c r="T1030" t="n">
        <v>0.17</v>
      </c>
      <c r="U1030" t="n">
        <v>0.15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20</v>
      </c>
      <c r="AH1030" t="n">
        <v>20</v>
      </c>
      <c r="AI1030" t="n">
        <v>20</v>
      </c>
      <c r="AJ1030" t="n">
        <v>20</v>
      </c>
      <c r="AK1030" t="n">
        <v>20</v>
      </c>
      <c r="AL1030" t="n">
        <v>18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118</v>
      </c>
      <c r="AY1030" t="n">
        <v>0.7375</v>
      </c>
      <c r="AZ1030" t="e">
        <v>#N/A</v>
      </c>
      <c r="BA1030" t="e">
        <v>#N/A</v>
      </c>
      <c r="BB1030" t="e">
        <v>#N/A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120</v>
      </c>
      <c r="BK1030" t="n">
        <v>118</v>
      </c>
      <c r="BL1030" t="n">
        <v>2</v>
      </c>
    </row>
    <row r="1031" hidden="1" outlineLevel="1" s="191">
      <c r="A1031" t="n">
        <v>5</v>
      </c>
      <c r="B1031" t="inlineStr">
        <is>
          <t>d</t>
        </is>
      </c>
      <c r="C1031" t="n">
        <v>1</v>
      </c>
      <c r="D1031" t="inlineStr">
        <is>
          <t>.z10_5_d_1</t>
        </is>
      </c>
      <c r="E1031" t="inlineStr">
        <is>
          <t>Implementacja mechanizmow uprawnień użytkowników</t>
        </is>
      </c>
      <c r="F1031" t="inlineStr">
        <is>
          <t>XXX</t>
        </is>
      </c>
      <c r="G1031" t="inlineStr">
        <is>
          <t>XXX</t>
        </is>
      </c>
      <c r="H1031" t="n">
        <v>25</v>
      </c>
      <c r="I1031" t="inlineStr">
        <is>
          <t>ACT/END</t>
        </is>
      </c>
      <c r="J1031" t="n">
        <v>279</v>
      </c>
      <c r="K1031" t="n">
        <v>48150</v>
      </c>
      <c r="L1031" t="n">
        <v>48151</v>
      </c>
      <c r="M1031" t="n">
        <v>279</v>
      </c>
      <c r="N1031" t="n">
        <v>1</v>
      </c>
      <c r="O1031" t="n">
        <v>120</v>
      </c>
      <c r="P1031" t="n">
        <v>0.17</v>
      </c>
      <c r="Q1031" t="n">
        <v>0.17</v>
      </c>
      <c r="R1031" t="n">
        <v>0.17</v>
      </c>
      <c r="S1031" t="n">
        <v>0.17</v>
      </c>
      <c r="T1031" t="n">
        <v>0.17</v>
      </c>
      <c r="U1031" t="n">
        <v>0.15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20</v>
      </c>
      <c r="AH1031" t="n">
        <v>20</v>
      </c>
      <c r="AI1031" t="n">
        <v>20</v>
      </c>
      <c r="AJ1031" t="n">
        <v>20</v>
      </c>
      <c r="AK1031" t="n">
        <v>20</v>
      </c>
      <c r="AL1031" t="n">
        <v>18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118</v>
      </c>
      <c r="AY1031" t="n">
        <v>0.7375</v>
      </c>
      <c r="AZ1031" t="e">
        <v>#N/A</v>
      </c>
      <c r="BA1031" t="e">
        <v>#N/A</v>
      </c>
      <c r="BB1031" t="e">
        <v>#N/A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120</v>
      </c>
      <c r="BK1031" t="n">
        <v>118</v>
      </c>
      <c r="BL1031" t="n">
        <v>2</v>
      </c>
    </row>
    <row r="1032" hidden="1" outlineLevel="1" s="191">
      <c r="A1032" t="n">
        <v>6</v>
      </c>
      <c r="B1032" t="inlineStr">
        <is>
          <t>a</t>
        </is>
      </c>
      <c r="C1032" t="n">
        <v>0</v>
      </c>
      <c r="D1032" t="inlineStr">
        <is>
          <t>.z10_6_a_0</t>
        </is>
      </c>
      <c r="E1032" t="inlineStr">
        <is>
          <t>6.Analiza i optymalizacja działania platformy w zakresie: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280</v>
      </c>
      <c r="K1032" t="n">
        <v>48157</v>
      </c>
      <c r="L1032" t="n">
        <v>48157</v>
      </c>
      <c r="M1032" t="n">
        <v>279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</row>
    <row r="1033" hidden="1" outlineLevel="1" s="191">
      <c r="A1033" t="n">
        <v>6</v>
      </c>
      <c r="B1033" t="inlineStr">
        <is>
          <t>a</t>
        </is>
      </c>
      <c r="C1033" t="n">
        <v>1</v>
      </c>
      <c r="D1033" t="inlineStr">
        <is>
          <t>.z10_6_a_1</t>
        </is>
      </c>
      <c r="E1033" t="inlineStr">
        <is>
          <t>kosztów operacyjnych</t>
        </is>
      </c>
      <c r="F1033" t="inlineStr">
        <is>
          <t>XXX</t>
        </is>
      </c>
      <c r="G1033" t="inlineStr">
        <is>
          <t>XXX</t>
        </is>
      </c>
      <c r="H1033" t="n">
        <v>26</v>
      </c>
      <c r="I1033" t="inlineStr">
        <is>
          <t>ACT</t>
        </is>
      </c>
      <c r="J1033" t="n">
        <v>280</v>
      </c>
      <c r="K1033" t="n">
        <v>48157</v>
      </c>
      <c r="L1033" t="n">
        <v>48158</v>
      </c>
      <c r="M1033" t="n">
        <v>280</v>
      </c>
      <c r="N1033" t="n">
        <v>1</v>
      </c>
      <c r="O1033" t="n">
        <v>120</v>
      </c>
      <c r="P1033" t="n">
        <v>0.17</v>
      </c>
      <c r="Q1033" t="n">
        <v>0.17</v>
      </c>
      <c r="R1033" t="n">
        <v>0.17</v>
      </c>
      <c r="S1033" t="n">
        <v>0.17</v>
      </c>
      <c r="T1033" t="n">
        <v>0.17</v>
      </c>
      <c r="U1033" t="n">
        <v>0.15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20</v>
      </c>
      <c r="AH1033" t="n">
        <v>20</v>
      </c>
      <c r="AI1033" t="n">
        <v>20</v>
      </c>
      <c r="AJ1033" t="n">
        <v>20</v>
      </c>
      <c r="AK1033" t="n">
        <v>20</v>
      </c>
      <c r="AL1033" t="n">
        <v>18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118</v>
      </c>
      <c r="AY1033" t="n">
        <v>0.7375</v>
      </c>
      <c r="AZ1033" t="e">
        <v>#N/A</v>
      </c>
      <c r="BA1033" t="e">
        <v>#N/A</v>
      </c>
      <c r="BB1033" t="e">
        <v>#N/A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120</v>
      </c>
      <c r="BK1033" t="n">
        <v>118</v>
      </c>
      <c r="BL1033" t="n">
        <v>2</v>
      </c>
    </row>
    <row r="1034" hidden="1" outlineLevel="1" s="191">
      <c r="A1034" t="n">
        <v>6</v>
      </c>
      <c r="B1034" t="inlineStr">
        <is>
          <t>b</t>
        </is>
      </c>
      <c r="C1034" t="n">
        <v>1</v>
      </c>
      <c r="D1034" t="inlineStr">
        <is>
          <t>.z10_6_b_1</t>
        </is>
      </c>
      <c r="E1034" t="inlineStr">
        <is>
          <t>potencjału przychodu</t>
        </is>
      </c>
      <c r="F1034" t="inlineStr">
        <is>
          <t>XXX</t>
        </is>
      </c>
      <c r="G1034" t="inlineStr">
        <is>
          <t>XXX</t>
        </is>
      </c>
      <c r="H1034" t="n">
        <v>26</v>
      </c>
      <c r="I1034" t="inlineStr">
        <is>
          <t>ACT</t>
        </is>
      </c>
      <c r="J1034" t="n">
        <v>281</v>
      </c>
      <c r="K1034" t="n">
        <v>48164</v>
      </c>
      <c r="L1034" t="n">
        <v>48165</v>
      </c>
      <c r="M1034" t="n">
        <v>281</v>
      </c>
      <c r="N1034" t="n">
        <v>1</v>
      </c>
      <c r="O1034" t="n">
        <v>120</v>
      </c>
      <c r="P1034" t="n">
        <v>0.17</v>
      </c>
      <c r="Q1034" t="n">
        <v>0.17</v>
      </c>
      <c r="R1034" t="n">
        <v>0.17</v>
      </c>
      <c r="S1034" t="n">
        <v>0.17</v>
      </c>
      <c r="T1034" t="n">
        <v>0.17</v>
      </c>
      <c r="U1034" t="n">
        <v>0.15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20</v>
      </c>
      <c r="AH1034" t="n">
        <v>20</v>
      </c>
      <c r="AI1034" t="n">
        <v>20</v>
      </c>
      <c r="AJ1034" t="n">
        <v>20</v>
      </c>
      <c r="AK1034" t="n">
        <v>20</v>
      </c>
      <c r="AL1034" t="n">
        <v>18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118</v>
      </c>
      <c r="AY1034" t="n">
        <v>0.7375</v>
      </c>
      <c r="AZ1034" t="e">
        <v>#N/A</v>
      </c>
      <c r="BA1034" t="e">
        <v>#N/A</v>
      </c>
      <c r="BB1034" t="e">
        <v>#N/A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120</v>
      </c>
      <c r="BK1034" t="n">
        <v>118</v>
      </c>
      <c r="BL1034" t="n">
        <v>2</v>
      </c>
    </row>
    <row r="1035" hidden="1" outlineLevel="1" s="191">
      <c r="A1035" t="n">
        <v>6</v>
      </c>
      <c r="B1035" t="inlineStr">
        <is>
          <t>c</t>
        </is>
      </c>
      <c r="C1035" t="n">
        <v>1</v>
      </c>
      <c r="D1035" t="inlineStr">
        <is>
          <t>.z10_6_c_1</t>
        </is>
      </c>
      <c r="E1035" t="inlineStr">
        <is>
          <t>efektywności pracy pracowników</t>
        </is>
      </c>
      <c r="F1035" t="inlineStr">
        <is>
          <t>XXX</t>
        </is>
      </c>
      <c r="G1035" t="inlineStr">
        <is>
          <t>XXX</t>
        </is>
      </c>
      <c r="H1035" t="n">
        <v>26</v>
      </c>
      <c r="I1035" t="inlineStr">
        <is>
          <t>ACT</t>
        </is>
      </c>
      <c r="J1035" t="n">
        <v>282</v>
      </c>
      <c r="K1035" t="n">
        <v>48171</v>
      </c>
      <c r="L1035" t="n">
        <v>48172</v>
      </c>
      <c r="M1035" t="n">
        <v>282</v>
      </c>
      <c r="N1035" t="n">
        <v>1</v>
      </c>
      <c r="O1035" t="n">
        <v>120</v>
      </c>
      <c r="P1035" t="n">
        <v>0.17</v>
      </c>
      <c r="Q1035" t="n">
        <v>0.17</v>
      </c>
      <c r="R1035" t="n">
        <v>0.17</v>
      </c>
      <c r="S1035" t="n">
        <v>0.17</v>
      </c>
      <c r="T1035" t="n">
        <v>0.17</v>
      </c>
      <c r="U1035" t="n">
        <v>0.15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20</v>
      </c>
      <c r="AH1035" t="n">
        <v>20</v>
      </c>
      <c r="AI1035" t="n">
        <v>20</v>
      </c>
      <c r="AJ1035" t="n">
        <v>20</v>
      </c>
      <c r="AK1035" t="n">
        <v>20</v>
      </c>
      <c r="AL1035" t="n">
        <v>18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118</v>
      </c>
      <c r="AY1035" t="n">
        <v>0.7375</v>
      </c>
      <c r="AZ1035" t="e">
        <v>#N/A</v>
      </c>
      <c r="BA1035" t="e">
        <v>#N/A</v>
      </c>
      <c r="BB1035" t="e">
        <v>#N/A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120</v>
      </c>
      <c r="BK1035" t="n">
        <v>118</v>
      </c>
      <c r="BL1035" t="n">
        <v>2</v>
      </c>
    </row>
    <row r="1036" hidden="1" outlineLevel="1" s="191">
      <c r="A1036" t="n">
        <v>6</v>
      </c>
      <c r="B1036" t="inlineStr">
        <is>
          <t>d</t>
        </is>
      </c>
      <c r="C1036" t="n">
        <v>1</v>
      </c>
      <c r="D1036" t="inlineStr">
        <is>
          <t>.z10_6_d_1</t>
        </is>
      </c>
      <c r="E1036" t="inlineStr">
        <is>
          <t>zarządzania zasobami ludzkimi</t>
        </is>
      </c>
      <c r="F1036" t="inlineStr">
        <is>
          <t>XXX</t>
        </is>
      </c>
      <c r="G1036" t="inlineStr">
        <is>
          <t>XXX</t>
        </is>
      </c>
      <c r="H1036" t="n">
        <v>26</v>
      </c>
      <c r="I1036" t="inlineStr">
        <is>
          <t>ACT</t>
        </is>
      </c>
      <c r="J1036" t="n">
        <v>283</v>
      </c>
      <c r="K1036" t="n">
        <v>48178</v>
      </c>
      <c r="L1036" t="n">
        <v>48179</v>
      </c>
      <c r="M1036" t="n">
        <v>283</v>
      </c>
      <c r="N1036" t="n">
        <v>1</v>
      </c>
      <c r="O1036" t="n">
        <v>120</v>
      </c>
      <c r="P1036" t="n">
        <v>0.17</v>
      </c>
      <c r="Q1036" t="n">
        <v>0.17</v>
      </c>
      <c r="R1036" t="n">
        <v>0.17</v>
      </c>
      <c r="S1036" t="n">
        <v>0.17</v>
      </c>
      <c r="T1036" t="n">
        <v>0.17</v>
      </c>
      <c r="U1036" t="n">
        <v>0.15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20</v>
      </c>
      <c r="AH1036" t="n">
        <v>20</v>
      </c>
      <c r="AI1036" t="n">
        <v>20</v>
      </c>
      <c r="AJ1036" t="n">
        <v>20</v>
      </c>
      <c r="AK1036" t="n">
        <v>20</v>
      </c>
      <c r="AL1036" t="n">
        <v>18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118</v>
      </c>
      <c r="AY1036" t="n">
        <v>0.7375</v>
      </c>
      <c r="AZ1036" t="e">
        <v>#N/A</v>
      </c>
      <c r="BA1036" t="e">
        <v>#N/A</v>
      </c>
      <c r="BB1036" t="e">
        <v>#N/A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120</v>
      </c>
      <c r="BK1036" t="n">
        <v>118</v>
      </c>
      <c r="BL1036" t="n">
        <v>2</v>
      </c>
    </row>
    <row r="1037" hidden="1" outlineLevel="1" s="191">
      <c r="A1037" t="n">
        <v>6</v>
      </c>
      <c r="B1037" t="inlineStr">
        <is>
          <t>e</t>
        </is>
      </c>
      <c r="C1037" t="n">
        <v>1</v>
      </c>
      <c r="D1037" t="inlineStr">
        <is>
          <t>.z10_6_e_1</t>
        </is>
      </c>
      <c r="E1037" t="inlineStr">
        <is>
          <t>zużycia energii</t>
        </is>
      </c>
      <c r="F1037" t="inlineStr">
        <is>
          <t>XXX</t>
        </is>
      </c>
      <c r="G1037" t="inlineStr">
        <is>
          <t>XXX</t>
        </is>
      </c>
      <c r="H1037" t="n">
        <v>26</v>
      </c>
      <c r="I1037" t="inlineStr">
        <is>
          <t>ACT</t>
        </is>
      </c>
      <c r="J1037" t="n">
        <v>284</v>
      </c>
      <c r="K1037" t="n">
        <v>48185</v>
      </c>
      <c r="L1037" t="n">
        <v>48186</v>
      </c>
      <c r="M1037" t="n">
        <v>284</v>
      </c>
      <c r="N1037" t="n">
        <v>1</v>
      </c>
      <c r="O1037" t="n">
        <v>120</v>
      </c>
      <c r="P1037" t="n">
        <v>0.17</v>
      </c>
      <c r="Q1037" t="n">
        <v>0.17</v>
      </c>
      <c r="R1037" t="n">
        <v>0.17</v>
      </c>
      <c r="S1037" t="n">
        <v>0.17</v>
      </c>
      <c r="T1037" t="n">
        <v>0.17</v>
      </c>
      <c r="U1037" t="n">
        <v>0.15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20</v>
      </c>
      <c r="AH1037" t="n">
        <v>20</v>
      </c>
      <c r="AI1037" t="n">
        <v>20</v>
      </c>
      <c r="AJ1037" t="n">
        <v>20</v>
      </c>
      <c r="AK1037" t="n">
        <v>20</v>
      </c>
      <c r="AL1037" t="n">
        <v>18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118</v>
      </c>
      <c r="AY1037" t="n">
        <v>0.7375</v>
      </c>
      <c r="AZ1037" t="e">
        <v>#N/A</v>
      </c>
      <c r="BA1037" t="e">
        <v>#N/A</v>
      </c>
      <c r="BB1037" t="e">
        <v>#N/A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120</v>
      </c>
      <c r="BK1037" t="n">
        <v>118</v>
      </c>
      <c r="BL1037" t="n">
        <v>2</v>
      </c>
    </row>
    <row r="1038" hidden="1" outlineLevel="1" s="191">
      <c r="A1038" t="n">
        <v>6</v>
      </c>
      <c r="B1038" t="inlineStr">
        <is>
          <t>f</t>
        </is>
      </c>
      <c r="C1038" t="n">
        <v>1</v>
      </c>
      <c r="D1038" t="inlineStr">
        <is>
          <t>.z10_6_f_1</t>
        </is>
      </c>
      <c r="E1038" t="inlineStr">
        <is>
          <t>zarządzania ryzykiem biznesowym</t>
        </is>
      </c>
      <c r="F1038" t="inlineStr">
        <is>
          <t>XXX</t>
        </is>
      </c>
      <c r="G1038" t="inlineStr">
        <is>
          <t>XXX</t>
        </is>
      </c>
      <c r="H1038" t="n">
        <v>26</v>
      </c>
      <c r="I1038" t="inlineStr">
        <is>
          <t>ACT</t>
        </is>
      </c>
      <c r="J1038" t="n">
        <v>285</v>
      </c>
      <c r="K1038" t="n">
        <v>48192</v>
      </c>
      <c r="L1038" t="n">
        <v>48193</v>
      </c>
      <c r="M1038" t="n">
        <v>285</v>
      </c>
      <c r="N1038" t="n">
        <v>1</v>
      </c>
      <c r="O1038" t="n">
        <v>120</v>
      </c>
      <c r="P1038" t="n">
        <v>0.17</v>
      </c>
      <c r="Q1038" t="n">
        <v>0.17</v>
      </c>
      <c r="R1038" t="n">
        <v>0.17</v>
      </c>
      <c r="S1038" t="n">
        <v>0.17</v>
      </c>
      <c r="T1038" t="n">
        <v>0.17</v>
      </c>
      <c r="U1038" t="n">
        <v>0.15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20</v>
      </c>
      <c r="AH1038" t="n">
        <v>20</v>
      </c>
      <c r="AI1038" t="n">
        <v>20</v>
      </c>
      <c r="AJ1038" t="n">
        <v>20</v>
      </c>
      <c r="AK1038" t="n">
        <v>20</v>
      </c>
      <c r="AL1038" t="n">
        <v>18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118</v>
      </c>
      <c r="AY1038" t="n">
        <v>0.7375</v>
      </c>
      <c r="AZ1038" t="e">
        <v>#N/A</v>
      </c>
      <c r="BA1038" t="e">
        <v>#N/A</v>
      </c>
      <c r="BB1038" t="e">
        <v>#N/A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120</v>
      </c>
      <c r="BK1038" t="n">
        <v>118</v>
      </c>
      <c r="BL1038" t="n">
        <v>2</v>
      </c>
    </row>
    <row r="1039" hidden="1" outlineLevel="1" s="191">
      <c r="A1039" t="n">
        <v>7</v>
      </c>
      <c r="B1039" t="inlineStr">
        <is>
          <t>a</t>
        </is>
      </c>
      <c r="C1039" t="n">
        <v>0</v>
      </c>
      <c r="D1039" t="inlineStr">
        <is>
          <t>.z10_7_a_0</t>
        </is>
      </c>
      <c r="E1039" t="inlineStr">
        <is>
          <t xml:space="preserve">7.Zarządzanie bezpieczeństwem i niezawodnością platformy. Opracowanie mechanizmów/narzędzi: 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286</v>
      </c>
      <c r="K1039" t="n">
        <v>48199</v>
      </c>
      <c r="L1039" t="n">
        <v>48199</v>
      </c>
      <c r="M1039" t="n">
        <v>285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</row>
    <row r="1040" hidden="1" outlineLevel="1" s="191">
      <c r="A1040" t="n">
        <v>7</v>
      </c>
      <c r="B1040" t="inlineStr">
        <is>
          <t>a</t>
        </is>
      </c>
      <c r="C1040" t="n">
        <v>1</v>
      </c>
      <c r="D1040" t="inlineStr">
        <is>
          <t>.z10_7_a_1</t>
        </is>
      </c>
      <c r="E1040" t="inlineStr">
        <is>
          <t xml:space="preserve">zabezpieczenia platformy przed cyberatakami  </t>
        </is>
      </c>
      <c r="F1040" t="inlineStr">
        <is>
          <t>XXX</t>
        </is>
      </c>
      <c r="G1040" t="inlineStr">
        <is>
          <t>XXX</t>
        </is>
      </c>
      <c r="H1040" t="n">
        <v>26</v>
      </c>
      <c r="I1040" t="inlineStr">
        <is>
          <t>ACT</t>
        </is>
      </c>
      <c r="J1040" t="n">
        <v>286</v>
      </c>
      <c r="K1040" t="n">
        <v>48199</v>
      </c>
      <c r="L1040" t="n">
        <v>48200</v>
      </c>
      <c r="M1040" t="n">
        <v>286</v>
      </c>
      <c r="N1040" t="n">
        <v>1</v>
      </c>
      <c r="O1040" t="n">
        <v>120</v>
      </c>
      <c r="P1040" t="n">
        <v>0.09</v>
      </c>
      <c r="Q1040" t="n">
        <v>0.09</v>
      </c>
      <c r="R1040" t="n">
        <v>0.08</v>
      </c>
      <c r="S1040" t="n">
        <v>0.08</v>
      </c>
      <c r="T1040" t="n">
        <v>0.08</v>
      </c>
      <c r="U1040" t="n">
        <v>0.08</v>
      </c>
      <c r="V1040" t="n">
        <v>0</v>
      </c>
      <c r="W1040" t="n">
        <v>0</v>
      </c>
      <c r="X1040" t="n">
        <v>0</v>
      </c>
      <c r="Y1040" t="n">
        <v>0.25</v>
      </c>
      <c r="Z1040" t="n">
        <v>0.25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11</v>
      </c>
      <c r="AH1040" t="n">
        <v>11</v>
      </c>
      <c r="AI1040" t="n">
        <v>10</v>
      </c>
      <c r="AJ1040" t="n">
        <v>10</v>
      </c>
      <c r="AK1040" t="n">
        <v>10</v>
      </c>
      <c r="AL1040" t="n">
        <v>10</v>
      </c>
      <c r="AM1040" t="n">
        <v>0</v>
      </c>
      <c r="AN1040" t="n">
        <v>0</v>
      </c>
      <c r="AO1040" t="n">
        <v>0</v>
      </c>
      <c r="AP1040" t="n">
        <v>30</v>
      </c>
      <c r="AQ1040" t="n">
        <v>30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62</v>
      </c>
      <c r="AY1040" t="n">
        <v>0.3875</v>
      </c>
      <c r="AZ1040" t="e">
        <v>#N/A</v>
      </c>
      <c r="BA1040" t="e">
        <v>#N/A</v>
      </c>
      <c r="BB1040" t="e">
        <v>#N/A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120</v>
      </c>
      <c r="BK1040" t="n">
        <v>122</v>
      </c>
      <c r="BL1040" t="n">
        <v>-2</v>
      </c>
    </row>
    <row r="1041" hidden="1" outlineLevel="1" s="191">
      <c r="A1041" t="n">
        <v>7</v>
      </c>
      <c r="B1041" t="inlineStr">
        <is>
          <t>b</t>
        </is>
      </c>
      <c r="C1041" t="n">
        <v>1</v>
      </c>
      <c r="D1041" t="inlineStr">
        <is>
          <t>.z10_7_b_1</t>
        </is>
      </c>
      <c r="E1041" t="inlineStr">
        <is>
          <t>informowania o awariach i pracach planowych</t>
        </is>
      </c>
      <c r="F1041" t="inlineStr">
        <is>
          <t>XXX</t>
        </is>
      </c>
      <c r="G1041" t="inlineStr">
        <is>
          <t>XXX</t>
        </is>
      </c>
      <c r="H1041" t="n">
        <v>26</v>
      </c>
      <c r="I1041" t="inlineStr">
        <is>
          <t>ACT</t>
        </is>
      </c>
      <c r="J1041" t="n">
        <v>287</v>
      </c>
      <c r="K1041" t="n">
        <v>48206</v>
      </c>
      <c r="L1041" t="n">
        <v>48207</v>
      </c>
      <c r="M1041" t="n">
        <v>287</v>
      </c>
      <c r="N1041" t="n">
        <v>1</v>
      </c>
      <c r="O1041" t="n">
        <v>120</v>
      </c>
      <c r="P1041" t="n">
        <v>0.09</v>
      </c>
      <c r="Q1041" t="n">
        <v>0.09</v>
      </c>
      <c r="R1041" t="n">
        <v>0.08</v>
      </c>
      <c r="S1041" t="n">
        <v>0.08</v>
      </c>
      <c r="T1041" t="n">
        <v>0.08</v>
      </c>
      <c r="U1041" t="n">
        <v>0.08</v>
      </c>
      <c r="V1041" t="n">
        <v>0</v>
      </c>
      <c r="W1041" t="n">
        <v>0</v>
      </c>
      <c r="X1041" t="n">
        <v>0</v>
      </c>
      <c r="Y1041" t="n">
        <v>0.25</v>
      </c>
      <c r="Z1041" t="n">
        <v>0.25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11</v>
      </c>
      <c r="AH1041" t="n">
        <v>11</v>
      </c>
      <c r="AI1041" t="n">
        <v>10</v>
      </c>
      <c r="AJ1041" t="n">
        <v>10</v>
      </c>
      <c r="AK1041" t="n">
        <v>10</v>
      </c>
      <c r="AL1041" t="n">
        <v>10</v>
      </c>
      <c r="AM1041" t="n">
        <v>0</v>
      </c>
      <c r="AN1041" t="n">
        <v>0</v>
      </c>
      <c r="AO1041" t="n">
        <v>0</v>
      </c>
      <c r="AP1041" t="n">
        <v>30</v>
      </c>
      <c r="AQ1041" t="n">
        <v>30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62</v>
      </c>
      <c r="AY1041" t="n">
        <v>0.3875</v>
      </c>
      <c r="AZ1041" t="e">
        <v>#N/A</v>
      </c>
      <c r="BA1041" t="e">
        <v>#N/A</v>
      </c>
      <c r="BB1041" t="e">
        <v>#N/A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120</v>
      </c>
      <c r="BK1041" t="n">
        <v>122</v>
      </c>
      <c r="BL1041" t="n">
        <v>-2</v>
      </c>
    </row>
    <row r="1042" hidden="1" outlineLevel="1" s="191">
      <c r="A1042" t="n">
        <v>7</v>
      </c>
      <c r="B1042" t="inlineStr">
        <is>
          <t>c</t>
        </is>
      </c>
      <c r="C1042" t="n">
        <v>1</v>
      </c>
      <c r="D1042" t="inlineStr">
        <is>
          <t>.z10_7_c_1</t>
        </is>
      </c>
      <c r="E1042" t="inlineStr">
        <is>
          <t>opracowanie mechanizmów redundancji i przywracania operacyjności po awarii</t>
        </is>
      </c>
      <c r="F1042" t="inlineStr">
        <is>
          <t>XXX</t>
        </is>
      </c>
      <c r="G1042" t="inlineStr">
        <is>
          <t>XXX</t>
        </is>
      </c>
      <c r="H1042" t="n">
        <v>26</v>
      </c>
      <c r="I1042" t="inlineStr">
        <is>
          <t>END/ACT</t>
        </is>
      </c>
      <c r="J1042" t="n">
        <v>288</v>
      </c>
      <c r="K1042" t="n">
        <v>48213</v>
      </c>
      <c r="L1042" t="n">
        <v>48213</v>
      </c>
      <c r="M1042" t="n">
        <v>287</v>
      </c>
      <c r="N1042" t="n">
        <v>0</v>
      </c>
      <c r="O1042" t="n">
        <v>120</v>
      </c>
      <c r="P1042" t="n">
        <v>0.055</v>
      </c>
      <c r="Q1042" t="n">
        <v>0.055</v>
      </c>
      <c r="R1042" t="n">
        <v>0.055</v>
      </c>
      <c r="S1042" t="n">
        <v>0.055</v>
      </c>
      <c r="T1042" t="n">
        <v>0.055</v>
      </c>
      <c r="U1042" t="n">
        <v>0.055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0.666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7</v>
      </c>
      <c r="AH1042" t="n">
        <v>7</v>
      </c>
      <c r="AI1042" t="n">
        <v>7</v>
      </c>
      <c r="AJ1042" t="n">
        <v>7</v>
      </c>
      <c r="AK1042" t="n">
        <v>7</v>
      </c>
      <c r="AL1042" t="n">
        <v>7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80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42</v>
      </c>
      <c r="AY1042" t="n">
        <v>0.2625</v>
      </c>
      <c r="AZ1042" t="e">
        <v>#N/A</v>
      </c>
      <c r="BA1042" t="e">
        <v>#N/A</v>
      </c>
      <c r="BB1042" t="e">
        <v>#N/A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120</v>
      </c>
      <c r="BK1042" t="n">
        <v>122</v>
      </c>
      <c r="BL1042" t="n">
        <v>-2</v>
      </c>
    </row>
    <row r="1043" hidden="1" outlineLevel="1" s="191">
      <c r="A1043" t="n">
        <v>8</v>
      </c>
      <c r="B1043" t="inlineStr">
        <is>
          <t>a</t>
        </is>
      </c>
      <c r="C1043" t="n">
        <v>0</v>
      </c>
      <c r="D1043" t="inlineStr">
        <is>
          <t>.z10_8_a_0</t>
        </is>
      </c>
      <c r="E1043" t="inlineStr">
        <is>
          <t>8.Raportowanie i analizy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288</v>
      </c>
      <c r="K1043" t="n">
        <v>48213</v>
      </c>
      <c r="L1043" t="n">
        <v>48213</v>
      </c>
      <c r="M1043" t="n">
        <v>287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</row>
    <row r="1044" hidden="1" outlineLevel="1" s="191">
      <c r="A1044" t="n">
        <v>8</v>
      </c>
      <c r="B1044" t="inlineStr">
        <is>
          <t>a</t>
        </is>
      </c>
      <c r="C1044" t="n">
        <v>1</v>
      </c>
      <c r="D1044" t="inlineStr">
        <is>
          <t>.z10_8_a_1</t>
        </is>
      </c>
      <c r="E1044" t="inlineStr">
        <is>
          <t>Przygotowywanie procesu raportowania efektywności modeli</t>
        </is>
      </c>
      <c r="F1044" t="inlineStr">
        <is>
          <t>XXX</t>
        </is>
      </c>
      <c r="G1044" t="inlineStr">
        <is>
          <t>XXX</t>
        </is>
      </c>
      <c r="H1044" t="n">
        <v>27</v>
      </c>
      <c r="I1044" t="inlineStr">
        <is>
          <t>END/ACT</t>
        </is>
      </c>
      <c r="J1044" t="n">
        <v>288</v>
      </c>
      <c r="K1044" t="n">
        <v>48213</v>
      </c>
      <c r="L1044" t="n">
        <v>48214</v>
      </c>
      <c r="M1044" t="n">
        <v>288</v>
      </c>
      <c r="N1044" t="n">
        <v>1</v>
      </c>
      <c r="O1044" t="n">
        <v>120</v>
      </c>
      <c r="P1044" t="n">
        <v>0.17</v>
      </c>
      <c r="Q1044" t="n">
        <v>0.17</v>
      </c>
      <c r="R1044" t="n">
        <v>0.17</v>
      </c>
      <c r="S1044" t="n">
        <v>0.17</v>
      </c>
      <c r="T1044" t="n">
        <v>0.17</v>
      </c>
      <c r="U1044" t="n">
        <v>0.15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20</v>
      </c>
      <c r="AH1044" t="n">
        <v>20</v>
      </c>
      <c r="AI1044" t="n">
        <v>20</v>
      </c>
      <c r="AJ1044" t="n">
        <v>20</v>
      </c>
      <c r="AK1044" t="n">
        <v>20</v>
      </c>
      <c r="AL1044" t="n">
        <v>18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118</v>
      </c>
      <c r="AY1044" t="n">
        <v>0.7375</v>
      </c>
      <c r="AZ1044" t="e">
        <v>#N/A</v>
      </c>
      <c r="BA1044" t="e">
        <v>#N/A</v>
      </c>
      <c r="BB1044" t="e">
        <v>#N/A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120</v>
      </c>
      <c r="BK1044" t="n">
        <v>118</v>
      </c>
      <c r="BL1044" t="n">
        <v>2</v>
      </c>
    </row>
    <row r="1045" hidden="1" outlineLevel="1" s="191">
      <c r="A1045" t="n">
        <v>8</v>
      </c>
      <c r="B1045" t="inlineStr">
        <is>
          <t>b</t>
        </is>
      </c>
      <c r="C1045" t="n">
        <v>1</v>
      </c>
      <c r="D1045" t="inlineStr">
        <is>
          <t>.z10_8_b_1</t>
        </is>
      </c>
      <c r="E1045" t="inlineStr">
        <is>
          <t>Przygotowywanie szablonu wizualizacji wskazanych raportow/widokow wedłóg wymaganych KPI</t>
        </is>
      </c>
      <c r="F1045" t="inlineStr">
        <is>
          <t>XXX</t>
        </is>
      </c>
      <c r="G1045" t="inlineStr">
        <is>
          <t>XXX</t>
        </is>
      </c>
      <c r="H1045" t="n">
        <v>28</v>
      </c>
      <c r="I1045" t="inlineStr">
        <is>
          <t>END/ACT</t>
        </is>
      </c>
      <c r="J1045" t="n">
        <v>289</v>
      </c>
      <c r="K1045" t="n">
        <v>48220</v>
      </c>
      <c r="L1045" t="n">
        <v>48221</v>
      </c>
      <c r="M1045" t="n">
        <v>289</v>
      </c>
      <c r="N1045" t="n">
        <v>1</v>
      </c>
      <c r="O1045" t="n">
        <v>120</v>
      </c>
      <c r="P1045" t="n">
        <v>0.17</v>
      </c>
      <c r="Q1045" t="n">
        <v>0.17</v>
      </c>
      <c r="R1045" t="n">
        <v>0.17</v>
      </c>
      <c r="S1045" t="n">
        <v>0.17</v>
      </c>
      <c r="T1045" t="n">
        <v>0.17</v>
      </c>
      <c r="U1045" t="n">
        <v>0.15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20</v>
      </c>
      <c r="AH1045" t="n">
        <v>20</v>
      </c>
      <c r="AI1045" t="n">
        <v>20</v>
      </c>
      <c r="AJ1045" t="n">
        <v>20</v>
      </c>
      <c r="AK1045" t="n">
        <v>20</v>
      </c>
      <c r="AL1045" t="n">
        <v>18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118</v>
      </c>
      <c r="AY1045" t="n">
        <v>0.7375</v>
      </c>
      <c r="AZ1045" t="e">
        <v>#N/A</v>
      </c>
      <c r="BA1045" t="e">
        <v>#N/A</v>
      </c>
      <c r="BB1045" t="e">
        <v>#N/A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120</v>
      </c>
      <c r="BK1045" t="n">
        <v>118</v>
      </c>
      <c r="BL1045" t="n">
        <v>2</v>
      </c>
    </row>
    <row r="1046" hidden="1" outlineLevel="1" s="191">
      <c r="A1046" t="n">
        <v>9</v>
      </c>
      <c r="B1046" t="inlineStr">
        <is>
          <t>a</t>
        </is>
      </c>
      <c r="C1046" t="n">
        <v>0</v>
      </c>
      <c r="D1046" t="inlineStr">
        <is>
          <t>.z10_9_a_0</t>
        </is>
      </c>
      <c r="E1046" t="inlineStr">
        <is>
          <t xml:space="preserve">9.Monitorowanie 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290</v>
      </c>
      <c r="K1046" t="n">
        <v>48227</v>
      </c>
      <c r="L1046" t="n">
        <v>48227</v>
      </c>
      <c r="M1046" t="n">
        <v>289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</row>
    <row r="1047" hidden="1" outlineLevel="1" s="191">
      <c r="A1047" t="n">
        <v>9</v>
      </c>
      <c r="B1047" t="inlineStr">
        <is>
          <t>a</t>
        </is>
      </c>
      <c r="C1047" t="n">
        <v>1</v>
      </c>
      <c r="D1047" t="inlineStr">
        <is>
          <t>.z10_9_a_1</t>
        </is>
      </c>
      <c r="E1047" t="inlineStr">
        <is>
          <t>Przygotowanie mechanizmow monitorowania platformy</t>
        </is>
      </c>
      <c r="F1047" t="inlineStr">
        <is>
          <t>XXX</t>
        </is>
      </c>
      <c r="G1047" t="inlineStr">
        <is>
          <t>XXX</t>
        </is>
      </c>
      <c r="H1047" t="n">
        <v>29</v>
      </c>
      <c r="I1047" t="inlineStr">
        <is>
          <t>END</t>
        </is>
      </c>
      <c r="J1047" t="n">
        <v>290</v>
      </c>
      <c r="K1047" t="n">
        <v>48227</v>
      </c>
      <c r="L1047" t="n">
        <v>48228</v>
      </c>
      <c r="M1047" t="n">
        <v>290</v>
      </c>
      <c r="N1047" t="n">
        <v>1</v>
      </c>
      <c r="O1047" t="n">
        <v>120</v>
      </c>
      <c r="P1047" t="n">
        <v>0.09</v>
      </c>
      <c r="Q1047" t="n">
        <v>0.09</v>
      </c>
      <c r="R1047" t="n">
        <v>0.08</v>
      </c>
      <c r="S1047" t="n">
        <v>0.08</v>
      </c>
      <c r="T1047" t="n">
        <v>0.08</v>
      </c>
      <c r="U1047" t="n">
        <v>0.08</v>
      </c>
      <c r="V1047" t="n">
        <v>0</v>
      </c>
      <c r="W1047" t="n">
        <v>0</v>
      </c>
      <c r="X1047" t="n">
        <v>0</v>
      </c>
      <c r="Y1047" t="n">
        <v>0</v>
      </c>
      <c r="Z1047" t="n">
        <v>0.25</v>
      </c>
      <c r="AA1047" t="n">
        <v>0.25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11</v>
      </c>
      <c r="AH1047" t="n">
        <v>11</v>
      </c>
      <c r="AI1047" t="n">
        <v>10</v>
      </c>
      <c r="AJ1047" t="n">
        <v>10</v>
      </c>
      <c r="AK1047" t="n">
        <v>10</v>
      </c>
      <c r="AL1047" t="n">
        <v>10</v>
      </c>
      <c r="AM1047" t="n">
        <v>0</v>
      </c>
      <c r="AN1047" t="n">
        <v>0</v>
      </c>
      <c r="AO1047" t="n">
        <v>0</v>
      </c>
      <c r="AP1047" t="n">
        <v>0</v>
      </c>
      <c r="AQ1047" t="n">
        <v>30</v>
      </c>
      <c r="AR1047" t="n">
        <v>30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62</v>
      </c>
      <c r="AY1047" t="n">
        <v>0.3875</v>
      </c>
      <c r="AZ1047" t="e">
        <v>#N/A</v>
      </c>
      <c r="BA1047" t="e">
        <v>#N/A</v>
      </c>
      <c r="BB1047" t="e">
        <v>#N/A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120</v>
      </c>
      <c r="BK1047" t="n">
        <v>122</v>
      </c>
      <c r="BL1047" t="n">
        <v>-2</v>
      </c>
    </row>
    <row r="1048" hidden="1" outlineLevel="1" s="191">
      <c r="A1048" t="n">
        <v>9</v>
      </c>
      <c r="B1048" t="inlineStr">
        <is>
          <t>b</t>
        </is>
      </c>
      <c r="C1048" t="n">
        <v>1</v>
      </c>
      <c r="D1048" t="inlineStr">
        <is>
          <t>.z10_9_b_1</t>
        </is>
      </c>
      <c r="E1048" t="inlineStr">
        <is>
          <t>Regularne śledzenie wydajności Modeli na platformie</t>
        </is>
      </c>
      <c r="F1048" t="inlineStr">
        <is>
          <t>XXX</t>
        </is>
      </c>
      <c r="G1048" t="inlineStr">
        <is>
          <t>XXX</t>
        </is>
      </c>
      <c r="H1048" t="n">
        <v>30</v>
      </c>
      <c r="I1048" t="inlineStr">
        <is>
          <t>END</t>
        </is>
      </c>
      <c r="J1048" t="n">
        <v>291</v>
      </c>
      <c r="K1048" t="n">
        <v>48234</v>
      </c>
      <c r="L1048" t="n">
        <v>48235</v>
      </c>
      <c r="M1048" t="n">
        <v>291</v>
      </c>
      <c r="N1048" t="n">
        <v>1</v>
      </c>
      <c r="O1048" t="n">
        <v>120</v>
      </c>
      <c r="P1048" t="n">
        <v>0.09</v>
      </c>
      <c r="Q1048" t="n">
        <v>0.09</v>
      </c>
      <c r="R1048" t="n">
        <v>0.08</v>
      </c>
      <c r="S1048" t="n">
        <v>0.08</v>
      </c>
      <c r="T1048" t="n">
        <v>0.08</v>
      </c>
      <c r="U1048" t="n">
        <v>0.08</v>
      </c>
      <c r="V1048" t="n">
        <v>0</v>
      </c>
      <c r="W1048" t="n">
        <v>0</v>
      </c>
      <c r="X1048" t="n">
        <v>0</v>
      </c>
      <c r="Y1048" t="n">
        <v>0</v>
      </c>
      <c r="Z1048" t="n">
        <v>0.25</v>
      </c>
      <c r="AA1048" t="n">
        <v>0.25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11</v>
      </c>
      <c r="AH1048" t="n">
        <v>11</v>
      </c>
      <c r="AI1048" t="n">
        <v>10</v>
      </c>
      <c r="AJ1048" t="n">
        <v>10</v>
      </c>
      <c r="AK1048" t="n">
        <v>10</v>
      </c>
      <c r="AL1048" t="n">
        <v>10</v>
      </c>
      <c r="AM1048" t="n">
        <v>0</v>
      </c>
      <c r="AN1048" t="n">
        <v>0</v>
      </c>
      <c r="AO1048" t="n">
        <v>0</v>
      </c>
      <c r="AP1048" t="n">
        <v>0</v>
      </c>
      <c r="AQ1048" t="n">
        <v>30</v>
      </c>
      <c r="AR1048" t="n">
        <v>30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62</v>
      </c>
      <c r="AY1048" t="n">
        <v>0.3875</v>
      </c>
      <c r="AZ1048" t="e">
        <v>#N/A</v>
      </c>
      <c r="BA1048" t="e">
        <v>#N/A</v>
      </c>
      <c r="BB1048" t="e">
        <v>#N/A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120</v>
      </c>
      <c r="BK1048" t="n">
        <v>122</v>
      </c>
      <c r="BL1048" t="n">
        <v>-2</v>
      </c>
    </row>
    <row r="1049" hidden="1" outlineLevel="1" s="191">
      <c r="A1049" t="n">
        <v>10</v>
      </c>
      <c r="B1049" t="inlineStr">
        <is>
          <t>a</t>
        </is>
      </c>
      <c r="C1049" t="n">
        <v>0</v>
      </c>
      <c r="D1049" t="inlineStr">
        <is>
          <t>.z10_10_a_0</t>
        </is>
      </c>
      <c r="E1049" t="inlineStr">
        <is>
          <t>10.Dokumentacja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292</v>
      </c>
      <c r="K1049" t="n">
        <v>48241</v>
      </c>
      <c r="L1049" t="n">
        <v>48241</v>
      </c>
      <c r="M1049" t="n">
        <v>291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</row>
    <row r="1050" hidden="1" outlineLevel="1" s="191">
      <c r="A1050" t="n">
        <v>10</v>
      </c>
      <c r="B1050" t="inlineStr">
        <is>
          <t>a</t>
        </is>
      </c>
      <c r="C1050" t="n">
        <v>1</v>
      </c>
      <c r="D1050" t="inlineStr">
        <is>
          <t>.z10_10_a_1</t>
        </is>
      </c>
      <c r="E1050" t="inlineStr">
        <is>
          <t>Przygotowanie dokumentacji  integracji z systemami zewnętrznymi</t>
        </is>
      </c>
      <c r="F1050" t="inlineStr">
        <is>
          <t>XXX</t>
        </is>
      </c>
      <c r="G1050" t="inlineStr">
        <is>
          <t>XXX</t>
        </is>
      </c>
      <c r="H1050" t="n">
        <v>31</v>
      </c>
      <c r="I1050" t="inlineStr">
        <is>
          <t>ACT</t>
        </is>
      </c>
      <c r="J1050" t="n">
        <v>292</v>
      </c>
      <c r="K1050" t="n">
        <v>48241</v>
      </c>
      <c r="L1050" t="n">
        <v>48242</v>
      </c>
      <c r="M1050" t="n">
        <v>292</v>
      </c>
      <c r="N1050" t="n">
        <v>1</v>
      </c>
      <c r="O1050" t="n">
        <v>120</v>
      </c>
      <c r="P1050" t="n">
        <v>0.17</v>
      </c>
      <c r="Q1050" t="n">
        <v>0.17</v>
      </c>
      <c r="R1050" t="n">
        <v>0.17</v>
      </c>
      <c r="S1050" t="n">
        <v>0.17</v>
      </c>
      <c r="T1050" t="n">
        <v>0.17</v>
      </c>
      <c r="U1050" t="n">
        <v>0.15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20</v>
      </c>
      <c r="AH1050" t="n">
        <v>20</v>
      </c>
      <c r="AI1050" t="n">
        <v>20</v>
      </c>
      <c r="AJ1050" t="n">
        <v>20</v>
      </c>
      <c r="AK1050" t="n">
        <v>20</v>
      </c>
      <c r="AL1050" t="n">
        <v>18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118</v>
      </c>
      <c r="AY1050" t="n">
        <v>0.7375</v>
      </c>
      <c r="AZ1050" t="e">
        <v>#N/A</v>
      </c>
      <c r="BA1050" t="e">
        <v>#N/A</v>
      </c>
      <c r="BB1050" t="e">
        <v>#N/A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120</v>
      </c>
      <c r="BK1050" t="n">
        <v>118</v>
      </c>
      <c r="BL1050" t="n">
        <v>2</v>
      </c>
    </row>
    <row r="1051" hidden="1" outlineLevel="1" s="191">
      <c r="A1051" t="n">
        <v>10</v>
      </c>
      <c r="B1051" t="inlineStr">
        <is>
          <t>b</t>
        </is>
      </c>
      <c r="C1051" t="n">
        <v>1</v>
      </c>
      <c r="D1051" t="inlineStr">
        <is>
          <t>.z10_10_b_1</t>
        </is>
      </c>
      <c r="E1051" t="inlineStr">
        <is>
          <t>Przygotowanie dokumentacji  administratora</t>
        </is>
      </c>
      <c r="F1051" t="inlineStr">
        <is>
          <t>XXX</t>
        </is>
      </c>
      <c r="G1051" t="inlineStr">
        <is>
          <t>XXX</t>
        </is>
      </c>
      <c r="H1051" t="n">
        <v>32</v>
      </c>
      <c r="I1051" t="inlineStr">
        <is>
          <t>ACT</t>
        </is>
      </c>
      <c r="J1051" t="n">
        <v>293</v>
      </c>
      <c r="K1051" t="n">
        <v>48248</v>
      </c>
      <c r="L1051" t="n">
        <v>48249</v>
      </c>
      <c r="M1051" t="n">
        <v>293</v>
      </c>
      <c r="N1051" t="n">
        <v>1</v>
      </c>
      <c r="O1051" t="n">
        <v>120</v>
      </c>
      <c r="P1051" t="n">
        <v>0.17</v>
      </c>
      <c r="Q1051" t="n">
        <v>0.17</v>
      </c>
      <c r="R1051" t="n">
        <v>0.17</v>
      </c>
      <c r="S1051" t="n">
        <v>0.17</v>
      </c>
      <c r="T1051" t="n">
        <v>0.17</v>
      </c>
      <c r="U1051" t="n">
        <v>0.15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20</v>
      </c>
      <c r="AH1051" t="n">
        <v>20</v>
      </c>
      <c r="AI1051" t="n">
        <v>20</v>
      </c>
      <c r="AJ1051" t="n">
        <v>20</v>
      </c>
      <c r="AK1051" t="n">
        <v>20</v>
      </c>
      <c r="AL1051" t="n">
        <v>18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118</v>
      </c>
      <c r="AY1051" t="n">
        <v>0.7375</v>
      </c>
      <c r="AZ1051" t="e">
        <v>#N/A</v>
      </c>
      <c r="BA1051" t="e">
        <v>#N/A</v>
      </c>
      <c r="BB1051" t="e">
        <v>#N/A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120</v>
      </c>
      <c r="BK1051" t="n">
        <v>118</v>
      </c>
      <c r="BL1051" t="n">
        <v>2</v>
      </c>
    </row>
    <row r="1052" hidden="1" outlineLevel="1" s="191">
      <c r="A1052" t="n">
        <v>10</v>
      </c>
      <c r="B1052" t="inlineStr">
        <is>
          <t>c</t>
        </is>
      </c>
      <c r="C1052" t="n">
        <v>1</v>
      </c>
      <c r="D1052" t="inlineStr">
        <is>
          <t>.z10_10_c_1</t>
        </is>
      </c>
      <c r="E1052" t="inlineStr">
        <is>
          <t>Przygotowanie dokumentacji  użytkownika</t>
        </is>
      </c>
      <c r="F1052" t="inlineStr">
        <is>
          <t>XXX</t>
        </is>
      </c>
      <c r="G1052" t="inlineStr">
        <is>
          <t>XXX</t>
        </is>
      </c>
      <c r="H1052" t="n">
        <v>33</v>
      </c>
      <c r="I1052" t="inlineStr">
        <is>
          <t>ACT</t>
        </is>
      </c>
      <c r="J1052" t="n">
        <v>294</v>
      </c>
      <c r="K1052" t="n">
        <v>48255</v>
      </c>
      <c r="L1052" t="n">
        <v>48256</v>
      </c>
      <c r="M1052" t="n">
        <v>294</v>
      </c>
      <c r="N1052" t="n">
        <v>1</v>
      </c>
      <c r="O1052" t="n">
        <v>120</v>
      </c>
      <c r="P1052" t="n">
        <v>0.17</v>
      </c>
      <c r="Q1052" t="n">
        <v>0.17</v>
      </c>
      <c r="R1052" t="n">
        <v>0.17</v>
      </c>
      <c r="S1052" t="n">
        <v>0.17</v>
      </c>
      <c r="T1052" t="n">
        <v>0.17</v>
      </c>
      <c r="U1052" t="n">
        <v>0.15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20</v>
      </c>
      <c r="AH1052" t="n">
        <v>20</v>
      </c>
      <c r="AI1052" t="n">
        <v>20</v>
      </c>
      <c r="AJ1052" t="n">
        <v>20</v>
      </c>
      <c r="AK1052" t="n">
        <v>20</v>
      </c>
      <c r="AL1052" t="n">
        <v>18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120</v>
      </c>
      <c r="BK1052" t="n">
        <v>118</v>
      </c>
      <c r="BL1052" t="n">
        <v>2</v>
      </c>
    </row>
    <row r="1053" hidden="1" outlineLevel="1" s="191">
      <c r="A1053" t="n">
        <v>11</v>
      </c>
      <c r="B1053" t="inlineStr">
        <is>
          <t>a</t>
        </is>
      </c>
      <c r="C1053" t="n">
        <v>1</v>
      </c>
      <c r="D1053" t="inlineStr">
        <is>
          <t>.z10_11_a_1</t>
        </is>
      </c>
      <c r="E1053" t="inlineStr">
        <is>
          <t>11.Szkolenie</t>
        </is>
      </c>
      <c r="F1053" t="inlineStr">
        <is>
          <t>XXX</t>
        </is>
      </c>
      <c r="G1053" t="inlineStr">
        <is>
          <t>XXX</t>
        </is>
      </c>
      <c r="H1053" t="n">
        <v>34</v>
      </c>
      <c r="I1053" t="inlineStr">
        <is>
          <t>ACT</t>
        </is>
      </c>
      <c r="J1053" t="n">
        <v>295</v>
      </c>
      <c r="K1053" t="n">
        <v>48262</v>
      </c>
      <c r="L1053" t="n">
        <v>48263</v>
      </c>
      <c r="M1053" t="n">
        <v>295</v>
      </c>
      <c r="N1053" t="n">
        <v>1</v>
      </c>
      <c r="O1053" t="n">
        <v>120</v>
      </c>
      <c r="P1053" t="n">
        <v>0.17</v>
      </c>
      <c r="Q1053" t="n">
        <v>0.17</v>
      </c>
      <c r="R1053" t="n">
        <v>0.17</v>
      </c>
      <c r="S1053" t="n">
        <v>0.17</v>
      </c>
      <c r="T1053" t="n">
        <v>0.17</v>
      </c>
      <c r="U1053" t="n">
        <v>0.15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20</v>
      </c>
      <c r="AH1053" t="n">
        <v>20</v>
      </c>
      <c r="AI1053" t="n">
        <v>20</v>
      </c>
      <c r="AJ1053" t="n">
        <v>20</v>
      </c>
      <c r="AK1053" t="n">
        <v>20</v>
      </c>
      <c r="AL1053" t="n">
        <v>18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118</v>
      </c>
      <c r="AY1053" t="n">
        <v>0.7375</v>
      </c>
      <c r="AZ1053" t="e">
        <v>#N/A</v>
      </c>
      <c r="BA1053" t="e">
        <v>#N/A</v>
      </c>
      <c r="BB1053" t="e">
        <v>#N/A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120</v>
      </c>
      <c r="BK1053" t="n">
        <v>118</v>
      </c>
      <c r="BL1053" t="n">
        <v>2</v>
      </c>
    </row>
    <row r="1054" hidden="1" outlineLevel="1" s="191">
      <c r="BJ1054" t="n">
        <v>0</v>
      </c>
      <c r="BK1054" t="n">
        <v>0</v>
      </c>
      <c r="BL1054" t="n">
        <v>0</v>
      </c>
    </row>
    <row r="1055" hidden="1" outlineLevel="1" s="191">
      <c r="BJ1055" t="n">
        <v>0</v>
      </c>
      <c r="BK1055" t="n">
        <v>0</v>
      </c>
      <c r="BL1055" t="n">
        <v>0</v>
      </c>
    </row>
    <row r="1056" hidden="1" outlineLevel="1" s="191">
      <c r="BJ1056" t="n">
        <v>0</v>
      </c>
      <c r="BK1056" t="n">
        <v>0</v>
      </c>
      <c r="BL1056" t="n">
        <v>0</v>
      </c>
    </row>
    <row r="1057" hidden="1" outlineLevel="1" s="191">
      <c r="BJ1057" t="n">
        <v>0</v>
      </c>
      <c r="BK1057" t="n">
        <v>0</v>
      </c>
      <c r="BL1057" t="n">
        <v>0</v>
      </c>
    </row>
    <row r="1058" hidden="1" outlineLevel="1" s="191">
      <c r="BJ1058" t="n">
        <v>0</v>
      </c>
      <c r="BK1058" t="n">
        <v>0</v>
      </c>
      <c r="BL1058" t="n">
        <v>0</v>
      </c>
    </row>
    <row r="1059" hidden="1" outlineLevel="1" s="191">
      <c r="BJ1059" t="n">
        <v>0</v>
      </c>
      <c r="BK1059" t="n">
        <v>0</v>
      </c>
      <c r="BL1059" t="n">
        <v>0</v>
      </c>
    </row>
    <row r="1060" hidden="1" outlineLevel="1" s="191">
      <c r="BJ1060" t="n">
        <v>0</v>
      </c>
      <c r="BK1060" t="n">
        <v>0</v>
      </c>
      <c r="BL1060" t="n">
        <v>0</v>
      </c>
    </row>
    <row r="1061" hidden="1" outlineLevel="1" s="191">
      <c r="BJ1061" t="n">
        <v>0</v>
      </c>
      <c r="BK1061" t="n">
        <v>0</v>
      </c>
      <c r="BL1061" t="n">
        <v>0</v>
      </c>
    </row>
    <row r="1062" hidden="1" outlineLevel="1" s="191">
      <c r="BJ1062" t="n">
        <v>0</v>
      </c>
      <c r="BK1062" t="n">
        <v>0</v>
      </c>
      <c r="BL1062" t="n">
        <v>0</v>
      </c>
    </row>
    <row r="1063" hidden="1" outlineLevel="1" s="191">
      <c r="BJ1063" t="n">
        <v>0</v>
      </c>
      <c r="BK1063" t="n">
        <v>0</v>
      </c>
      <c r="BL1063" t="n">
        <v>0</v>
      </c>
    </row>
    <row r="1064" hidden="1" outlineLevel="1" s="191">
      <c r="BJ1064" t="n">
        <v>0</v>
      </c>
      <c r="BK1064" t="n">
        <v>0</v>
      </c>
      <c r="BL1064" t="n">
        <v>0</v>
      </c>
    </row>
    <row r="1065" hidden="1" outlineLevel="1" s="191">
      <c r="BJ1065" t="n">
        <v>0</v>
      </c>
      <c r="BK1065" t="n">
        <v>0</v>
      </c>
      <c r="BL1065" t="n">
        <v>0</v>
      </c>
    </row>
    <row r="1066" hidden="1" outlineLevel="1" s="191">
      <c r="BJ1066" t="n">
        <v>0</v>
      </c>
      <c r="BK1066" t="n">
        <v>0</v>
      </c>
      <c r="BL1066" t="n">
        <v>0</v>
      </c>
    </row>
    <row r="1067" hidden="1" outlineLevel="1" s="191">
      <c r="BJ1067" t="n">
        <v>0</v>
      </c>
      <c r="BK1067" t="n">
        <v>0</v>
      </c>
      <c r="BL1067" t="n">
        <v>0</v>
      </c>
    </row>
    <row r="1068" hidden="1" outlineLevel="1" s="191">
      <c r="BJ1068" t="n">
        <v>0</v>
      </c>
      <c r="BK1068" t="n">
        <v>0</v>
      </c>
      <c r="BL1068" t="n">
        <v>0</v>
      </c>
    </row>
    <row r="1069" hidden="1" outlineLevel="1" s="191">
      <c r="BJ1069" t="n">
        <v>0</v>
      </c>
      <c r="BK1069" t="n">
        <v>0</v>
      </c>
      <c r="BL1069" t="n">
        <v>0</v>
      </c>
    </row>
    <row r="1070" hidden="1" outlineLevel="1" s="191">
      <c r="BJ1070" t="n">
        <v>0</v>
      </c>
      <c r="BK1070" t="n">
        <v>0</v>
      </c>
      <c r="BL1070" t="n">
        <v>0</v>
      </c>
    </row>
    <row r="1071" hidden="1" outlineLevel="1" s="191">
      <c r="BJ1071" t="n">
        <v>0</v>
      </c>
      <c r="BK1071" t="n">
        <v>0</v>
      </c>
      <c r="BL1071" t="n">
        <v>0</v>
      </c>
    </row>
    <row r="1072" hidden="1" outlineLevel="1" s="191">
      <c r="BJ1072" t="n">
        <v>0</v>
      </c>
      <c r="BK1072" t="n">
        <v>0</v>
      </c>
      <c r="BL1072" t="n">
        <v>0</v>
      </c>
    </row>
    <row r="1073" hidden="1" outlineLevel="1" s="191">
      <c r="BJ1073" t="n">
        <v>0</v>
      </c>
      <c r="BK1073" t="n">
        <v>0</v>
      </c>
      <c r="BL1073" t="n">
        <v>0</v>
      </c>
    </row>
    <row r="1074" hidden="1" outlineLevel="1" s="191">
      <c r="BJ1074" t="n">
        <v>0</v>
      </c>
      <c r="BK1074" t="n">
        <v>0</v>
      </c>
      <c r="BL1074" t="n">
        <v>0</v>
      </c>
    </row>
    <row r="1075" hidden="1" outlineLevel="1" s="191">
      <c r="BJ1075" t="n">
        <v>0</v>
      </c>
      <c r="BK1075" t="n">
        <v>0</v>
      </c>
      <c r="BL1075" t="n">
        <v>0</v>
      </c>
    </row>
    <row r="1076" hidden="1" outlineLevel="1" s="191">
      <c r="BJ1076" t="n">
        <v>0</v>
      </c>
      <c r="BK1076" t="n">
        <v>0</v>
      </c>
      <c r="BL1076" t="n">
        <v>0</v>
      </c>
    </row>
    <row r="1077" hidden="1" outlineLevel="1" s="191">
      <c r="BJ1077" t="n">
        <v>0</v>
      </c>
      <c r="BK1077" t="n">
        <v>0</v>
      </c>
      <c r="BL1077" t="n">
        <v>0</v>
      </c>
    </row>
    <row r="1078" hidden="1" outlineLevel="1" s="191">
      <c r="BJ1078" t="n">
        <v>0</v>
      </c>
      <c r="BK1078" t="n">
        <v>0</v>
      </c>
      <c r="BL1078" t="n">
        <v>0</v>
      </c>
    </row>
    <row r="1079" hidden="1" outlineLevel="1" s="191">
      <c r="BJ1079" t="n">
        <v>0</v>
      </c>
      <c r="BK1079" t="n">
        <v>0</v>
      </c>
      <c r="BL1079" t="n">
        <v>0</v>
      </c>
    </row>
    <row r="1080" hidden="1" outlineLevel="1" s="191">
      <c r="BJ1080" t="n">
        <v>0</v>
      </c>
      <c r="BK1080" t="n">
        <v>0</v>
      </c>
      <c r="BL1080" t="n">
        <v>0</v>
      </c>
    </row>
    <row r="1081" hidden="1" outlineLevel="1" s="191">
      <c r="BJ1081" t="n">
        <v>0</v>
      </c>
      <c r="BK1081" t="n">
        <v>0</v>
      </c>
      <c r="BL1081" t="n">
        <v>0</v>
      </c>
    </row>
    <row r="1082" hidden="1" outlineLevel="1" s="191">
      <c r="BJ1082" t="n">
        <v>0</v>
      </c>
      <c r="BK1082" t="n">
        <v>0</v>
      </c>
      <c r="BL1082" t="n">
        <v>0</v>
      </c>
    </row>
    <row r="1083" hidden="1" outlineLevel="1" s="191">
      <c r="BJ1083" t="n">
        <v>0</v>
      </c>
      <c r="BK1083" t="n">
        <v>0</v>
      </c>
      <c r="BL1083" t="n">
        <v>0</v>
      </c>
    </row>
    <row r="1084" hidden="1" outlineLevel="1" s="191">
      <c r="BJ1084" t="n">
        <v>0</v>
      </c>
      <c r="BK1084" t="n">
        <v>0</v>
      </c>
      <c r="BL1084" t="n">
        <v>0</v>
      </c>
    </row>
    <row r="1085" hidden="1" outlineLevel="1" s="191">
      <c r="BJ1085" t="n">
        <v>0</v>
      </c>
      <c r="BK1085" t="n">
        <v>0</v>
      </c>
      <c r="BL1085" t="n">
        <v>0</v>
      </c>
    </row>
    <row r="1086" hidden="1" outlineLevel="1" s="191">
      <c r="BJ1086" t="n">
        <v>0</v>
      </c>
      <c r="BK1086" t="n">
        <v>0</v>
      </c>
      <c r="BL1086" t="n">
        <v>0</v>
      </c>
    </row>
    <row r="1087" hidden="1" outlineLevel="1" s="191">
      <c r="BJ1087" t="n">
        <v>0</v>
      </c>
      <c r="BK1087" t="n">
        <v>0</v>
      </c>
      <c r="BL1087" t="n">
        <v>0</v>
      </c>
    </row>
    <row r="1088" hidden="1" outlineLevel="1" s="191">
      <c r="BJ1088" t="n">
        <v>0</v>
      </c>
      <c r="BK1088" t="n">
        <v>0</v>
      </c>
      <c r="BL1088" t="n">
        <v>0</v>
      </c>
    </row>
    <row r="1089" hidden="1" outlineLevel="1" s="191">
      <c r="BJ1089" t="n">
        <v>0</v>
      </c>
      <c r="BK1089" t="n">
        <v>0</v>
      </c>
      <c r="BL1089" t="n">
        <v>0</v>
      </c>
    </row>
    <row r="1090" hidden="1" outlineLevel="1" s="191">
      <c r="BJ1090" t="n">
        <v>0</v>
      </c>
      <c r="BK1090" t="n">
        <v>0</v>
      </c>
      <c r="BL1090" t="n">
        <v>0</v>
      </c>
    </row>
    <row r="1091" hidden="1" outlineLevel="1" s="191">
      <c r="BJ1091" t="n">
        <v>0</v>
      </c>
      <c r="BK1091" t="n">
        <v>0</v>
      </c>
      <c r="BL1091" t="n">
        <v>0</v>
      </c>
    </row>
    <row r="1092" hidden="1" outlineLevel="1" s="191">
      <c r="BJ1092" t="n">
        <v>0</v>
      </c>
      <c r="BK1092" t="n">
        <v>0</v>
      </c>
      <c r="BL1092" t="n">
        <v>0</v>
      </c>
    </row>
    <row r="1093" hidden="1" outlineLevel="1" s="191">
      <c r="BJ1093" t="n">
        <v>0</v>
      </c>
      <c r="BK1093" t="n">
        <v>0</v>
      </c>
      <c r="BL1093" t="n">
        <v>0</v>
      </c>
    </row>
    <row r="1094" hidden="1" outlineLevel="1" s="191">
      <c r="BJ1094" t="n">
        <v>0</v>
      </c>
      <c r="BK1094" t="n">
        <v>0</v>
      </c>
      <c r="BL1094" t="n">
        <v>0</v>
      </c>
    </row>
    <row r="1095" hidden="1" outlineLevel="1" s="191">
      <c r="BJ1095" t="n">
        <v>0</v>
      </c>
      <c r="BK1095" t="n">
        <v>0</v>
      </c>
      <c r="BL1095" t="n">
        <v>0</v>
      </c>
    </row>
    <row r="1096" hidden="1" outlineLevel="1" s="191">
      <c r="BJ1096" t="n">
        <v>0</v>
      </c>
      <c r="BK1096" t="n">
        <v>0</v>
      </c>
      <c r="BL1096" t="n">
        <v>0</v>
      </c>
    </row>
    <row r="1097" hidden="1" outlineLevel="1" s="191">
      <c r="BJ1097" t="n">
        <v>0</v>
      </c>
      <c r="BK1097" t="n">
        <v>0</v>
      </c>
      <c r="BL1097" t="n">
        <v>0</v>
      </c>
    </row>
    <row r="1098" hidden="1" outlineLevel="1" s="191">
      <c r="A1098" s="264" t="inlineStr">
        <is>
          <t>.z10</t>
        </is>
      </c>
      <c r="BJ1098" t="n">
        <v>0</v>
      </c>
      <c r="BK1098" t="n">
        <v>0</v>
      </c>
      <c r="BL1098" t="n">
        <v>0</v>
      </c>
    </row>
    <row r="1099" collapsed="1" s="191">
      <c r="BJ1099" t="n">
        <v>0</v>
      </c>
      <c r="BK1099" t="n">
        <v>0</v>
      </c>
      <c r="BL1099" t="n">
        <v>0</v>
      </c>
      <c r="BM1099" t="n">
        <v>1</v>
      </c>
    </row>
    <row r="1100" ht="15.6" customHeight="1" s="191">
      <c r="A1100" s="259" t="inlineStr">
        <is>
          <t>.z11</t>
        </is>
      </c>
      <c r="B1100" s="260" t="n"/>
      <c r="C1100" s="261" t="n"/>
      <c r="D1100" s="276" t="n"/>
      <c r="E1100" s="277" t="inlineStr">
        <is>
          <t xml:space="preserve">Zadanie_XI   :  Wdrożenie inteligentnej platformy ICT w procesach pakowania, kompletacji i obsługi MWS, dla wybranych grup towarowych w magazynie Wnioskodawcy </t>
        </is>
      </c>
      <c r="F1100" s="538" t="n"/>
      <c r="BJ1100" t="n">
        <v>0</v>
      </c>
      <c r="BK1100" t="n">
        <v>0</v>
      </c>
      <c r="BL1100" t="n">
        <v>0</v>
      </c>
      <c r="BM1100" t="n">
        <v>1</v>
      </c>
    </row>
    <row r="1101" hidden="1" outlineLevel="1" ht="31.2" customHeight="1" s="191">
      <c r="A1101" s="275" t="n">
        <v>1</v>
      </c>
      <c r="B1101" s="260" t="inlineStr">
        <is>
          <t>a</t>
        </is>
      </c>
      <c r="C1101" s="261" t="n">
        <v>0</v>
      </c>
      <c r="D1101" s="276" t="inlineStr">
        <is>
          <t>.z11_1_a_0</t>
        </is>
      </c>
      <c r="E1101" s="277" t="inlineStr">
        <is>
          <t>1.Planowanie</t>
        </is>
      </c>
      <c r="F1101" s="538" t="n">
        <v>0</v>
      </c>
      <c r="G1101" t="n">
        <v>0</v>
      </c>
      <c r="H1101" t="n">
        <v>0</v>
      </c>
      <c r="I1101" t="inlineStr">
        <is>
          <t>ACT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7943.100468749999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</row>
    <row r="1102" hidden="1" outlineLevel="1" ht="31.2" customHeight="1" s="191">
      <c r="A1102" s="275" t="n">
        <v>1</v>
      </c>
      <c r="B1102" s="260" t="inlineStr">
        <is>
          <t>a</t>
        </is>
      </c>
      <c r="C1102" s="261" t="n">
        <v>1</v>
      </c>
      <c r="D1102" s="276" t="inlineStr">
        <is>
          <t>.z11_1_a_1</t>
        </is>
      </c>
      <c r="E1102" s="277" t="inlineStr">
        <is>
          <t>Zdefiniowanie celów i zakresu wdrożenia</t>
        </is>
      </c>
      <c r="F1102" s="538" t="inlineStr">
        <is>
          <t>Imię01</t>
        </is>
      </c>
      <c r="G1102" t="inlineStr">
        <is>
          <t>Nazwisko01</t>
        </is>
      </c>
      <c r="H1102" t="n">
        <v>1</v>
      </c>
      <c r="I1102" t="inlineStr">
        <is>
          <t>.a01</t>
        </is>
      </c>
      <c r="J1102" t="n">
        <v>296</v>
      </c>
      <c r="K1102" t="n">
        <v>48269</v>
      </c>
      <c r="L1102" t="n">
        <v>48270</v>
      </c>
      <c r="M1102" t="n">
        <v>296</v>
      </c>
      <c r="N1102" t="n">
        <v>1</v>
      </c>
      <c r="O1102" t="n">
        <v>80</v>
      </c>
      <c r="P1102" t="n">
        <v>0.17</v>
      </c>
      <c r="Q1102" t="n">
        <v>0.17</v>
      </c>
      <c r="R1102" t="n">
        <v>0.17</v>
      </c>
      <c r="S1102" t="n">
        <v>0.17</v>
      </c>
      <c r="T1102" t="n">
        <v>0.17</v>
      </c>
      <c r="U1102" t="n">
        <v>0.15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14</v>
      </c>
      <c r="AH1102" t="n">
        <v>14</v>
      </c>
      <c r="AI1102" t="n">
        <v>14</v>
      </c>
      <c r="AJ1102" t="n">
        <v>14</v>
      </c>
      <c r="AK1102" t="n">
        <v>14</v>
      </c>
      <c r="AL1102" t="n">
        <v>12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82</v>
      </c>
      <c r="AY1102" t="n">
        <v>0.5125</v>
      </c>
      <c r="AZ1102" t="n">
        <v>5001</v>
      </c>
      <c r="BA1102" t="n">
        <v>2563.0125</v>
      </c>
      <c r="BB1102" t="n">
        <v>1313.54390625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80</v>
      </c>
      <c r="BK1102" t="n">
        <v>82</v>
      </c>
      <c r="BL1102" t="n">
        <v>-2</v>
      </c>
    </row>
    <row r="1103" hidden="1" outlineLevel="1" ht="31.2" customHeight="1" s="191">
      <c r="A1103" s="275" t="n">
        <v>1</v>
      </c>
      <c r="B1103" s="260" t="inlineStr">
        <is>
          <t>b</t>
        </is>
      </c>
      <c r="C1103" s="261" t="n">
        <v>1</v>
      </c>
      <c r="D1103" s="276" t="inlineStr">
        <is>
          <t>.z11_1_b_1</t>
        </is>
      </c>
      <c r="E1103" s="277" t="inlineStr">
        <is>
          <t>Analiza potrzeb, zasobów i określenie wymagań technicznych</t>
        </is>
      </c>
      <c r="F1103" s="538" t="inlineStr">
        <is>
          <t>Imię02</t>
        </is>
      </c>
      <c r="G1103" t="inlineStr">
        <is>
          <t>Nazwisko02</t>
        </is>
      </c>
      <c r="H1103" t="n">
        <v>2</v>
      </c>
      <c r="I1103" t="inlineStr">
        <is>
          <t>.a02</t>
        </is>
      </c>
      <c r="J1103" t="n">
        <v>297</v>
      </c>
      <c r="K1103" t="n">
        <v>48276</v>
      </c>
      <c r="L1103" t="n">
        <v>48277</v>
      </c>
      <c r="M1103" t="n">
        <v>297</v>
      </c>
      <c r="N1103" t="n">
        <v>1</v>
      </c>
      <c r="O1103" t="n">
        <v>80</v>
      </c>
      <c r="P1103" t="n">
        <v>0.17</v>
      </c>
      <c r="Q1103" t="n">
        <v>0.17</v>
      </c>
      <c r="R1103" t="n">
        <v>0.17</v>
      </c>
      <c r="S1103" t="n">
        <v>0.17</v>
      </c>
      <c r="T1103" t="n">
        <v>0.17</v>
      </c>
      <c r="U1103" t="n">
        <v>0.15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14</v>
      </c>
      <c r="AH1103" t="n">
        <v>14</v>
      </c>
      <c r="AI1103" t="n">
        <v>14</v>
      </c>
      <c r="AJ1103" t="n">
        <v>14</v>
      </c>
      <c r="AK1103" t="n">
        <v>14</v>
      </c>
      <c r="AL1103" t="n">
        <v>12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82</v>
      </c>
      <c r="AY1103" t="n">
        <v>0.5125</v>
      </c>
      <c r="AZ1103" t="n">
        <v>5002</v>
      </c>
      <c r="BA1103" t="n">
        <v>2563.525</v>
      </c>
      <c r="BB1103" t="n">
        <v>1313.8065625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80</v>
      </c>
      <c r="BK1103" t="n">
        <v>82</v>
      </c>
      <c r="BL1103" t="n">
        <v>-2</v>
      </c>
    </row>
    <row r="1104" hidden="1" outlineLevel="1" ht="31.2" customHeight="1" s="191">
      <c r="A1104" s="275" t="n">
        <v>1</v>
      </c>
      <c r="B1104" s="260" t="inlineStr">
        <is>
          <t>c</t>
        </is>
      </c>
      <c r="C1104" s="261" t="n">
        <v>1</v>
      </c>
      <c r="D1104" s="276" t="inlineStr">
        <is>
          <t>.z11_1_c_1</t>
        </is>
      </c>
      <c r="E1104" s="277" t="inlineStr">
        <is>
          <t>Określenie harmonogramu prac</t>
        </is>
      </c>
      <c r="F1104" s="538" t="inlineStr">
        <is>
          <t>Imię03</t>
        </is>
      </c>
      <c r="G1104" t="inlineStr">
        <is>
          <t>Nazwisko03</t>
        </is>
      </c>
      <c r="H1104" t="n">
        <v>3</v>
      </c>
      <c r="I1104" t="inlineStr">
        <is>
          <t>.a03</t>
        </is>
      </c>
      <c r="J1104" t="n">
        <v>298</v>
      </c>
      <c r="K1104" t="n">
        <v>48283</v>
      </c>
      <c r="L1104" t="n">
        <v>48285</v>
      </c>
      <c r="M1104" t="n">
        <v>299</v>
      </c>
      <c r="N1104" t="n">
        <v>2</v>
      </c>
      <c r="O1104" t="n">
        <v>80</v>
      </c>
      <c r="P1104" t="n">
        <v>0.5</v>
      </c>
      <c r="Q1104" t="n">
        <v>0.5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40</v>
      </c>
      <c r="AH1104" t="n">
        <v>40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80</v>
      </c>
      <c r="AY1104" t="n">
        <v>0.5</v>
      </c>
      <c r="AZ1104" t="n">
        <v>5003</v>
      </c>
      <c r="BA1104" t="n">
        <v>2501.5</v>
      </c>
      <c r="BB1104" t="n">
        <v>1250.75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80</v>
      </c>
      <c r="BK1104" t="n">
        <v>80</v>
      </c>
      <c r="BL1104" t="n">
        <v>0</v>
      </c>
    </row>
    <row r="1105" hidden="1" outlineLevel="1" ht="31.2" customHeight="1" s="191">
      <c r="A1105" s="275" t="n">
        <v>1</v>
      </c>
      <c r="B1105" s="260" t="inlineStr">
        <is>
          <t>d</t>
        </is>
      </c>
      <c r="C1105" s="261" t="n">
        <v>1</v>
      </c>
      <c r="D1105" s="276" t="inlineStr">
        <is>
          <t>.z11_1_d_1</t>
        </is>
      </c>
      <c r="E1105" s="277" t="inlineStr">
        <is>
          <t>Identyfikacja potencjalnych ryzyk i planowanie działań zapobiegawczych</t>
        </is>
      </c>
      <c r="F1105" s="538" t="inlineStr">
        <is>
          <t>Imię01</t>
        </is>
      </c>
      <c r="G1105" t="inlineStr">
        <is>
          <t>Nazwisko01</t>
        </is>
      </c>
      <c r="H1105" t="n">
        <v>4</v>
      </c>
      <c r="I1105" t="inlineStr">
        <is>
          <t>.a01</t>
        </is>
      </c>
      <c r="J1105" t="n">
        <v>300</v>
      </c>
      <c r="K1105" t="n">
        <v>48297</v>
      </c>
      <c r="L1105" t="n">
        <v>48297</v>
      </c>
      <c r="M1105" t="n">
        <v>299</v>
      </c>
      <c r="N1105" t="n">
        <v>0</v>
      </c>
      <c r="O1105" t="n">
        <v>80</v>
      </c>
      <c r="P1105" t="n">
        <v>0</v>
      </c>
      <c r="Q1105" t="n">
        <v>0</v>
      </c>
      <c r="R1105" t="n">
        <v>0.25</v>
      </c>
      <c r="S1105" t="n">
        <v>0.25</v>
      </c>
      <c r="T1105" t="n">
        <v>0.25</v>
      </c>
      <c r="U1105" t="n">
        <v>0.25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20</v>
      </c>
      <c r="AJ1105" t="n">
        <v>20</v>
      </c>
      <c r="AK1105" t="n">
        <v>20</v>
      </c>
      <c r="AL1105" t="n">
        <v>20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80</v>
      </c>
      <c r="AY1105" t="n">
        <v>0.5</v>
      </c>
      <c r="AZ1105" t="n">
        <v>5001</v>
      </c>
      <c r="BA1105" t="n">
        <v>2500.5</v>
      </c>
      <c r="BB1105" t="n">
        <v>1250.25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80</v>
      </c>
      <c r="BK1105" t="n">
        <v>80</v>
      </c>
      <c r="BL1105" t="n">
        <v>0</v>
      </c>
    </row>
    <row r="1106" hidden="1" outlineLevel="1" ht="31.2" customHeight="1" s="191">
      <c r="A1106" s="275" t="n">
        <v>2</v>
      </c>
      <c r="B1106" s="260" t="inlineStr">
        <is>
          <t>a</t>
        </is>
      </c>
      <c r="C1106" s="261" t="n">
        <v>0</v>
      </c>
      <c r="D1106" s="276" t="inlineStr">
        <is>
          <t>.z11_2_a_0</t>
        </is>
      </c>
      <c r="E1106" s="277" t="inlineStr">
        <is>
          <t>2.Przygotowanie techniczne i realizacja</t>
        </is>
      </c>
      <c r="F1106" s="538" t="n">
        <v>0</v>
      </c>
      <c r="G1106" t="n">
        <v>0</v>
      </c>
      <c r="H1106" t="n">
        <v>0</v>
      </c>
      <c r="I1106" t="n">
        <v>0</v>
      </c>
      <c r="J1106" t="n">
        <v>300</v>
      </c>
      <c r="K1106" t="n">
        <v>48297</v>
      </c>
      <c r="L1106" t="n">
        <v>48297</v>
      </c>
      <c r="M1106" t="n">
        <v>299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</row>
    <row r="1107" hidden="1" outlineLevel="1" ht="31.2" customHeight="1" s="191">
      <c r="A1107" s="275" t="n">
        <v>2</v>
      </c>
      <c r="B1107" s="260" t="inlineStr">
        <is>
          <t>a</t>
        </is>
      </c>
      <c r="C1107" s="261" t="n">
        <v>1</v>
      </c>
      <c r="D1107" s="276" t="inlineStr">
        <is>
          <t>.z11_2_a_1</t>
        </is>
      </c>
      <c r="E1107" s="277" t="inlineStr">
        <is>
          <t>Wybór i instalacja niezbędnych narzędzi, technologii, systemów</t>
        </is>
      </c>
      <c r="F1107" s="538" t="inlineStr">
        <is>
          <t>Imię04</t>
        </is>
      </c>
      <c r="G1107" t="inlineStr">
        <is>
          <t>Nazwisko04</t>
        </is>
      </c>
      <c r="H1107" t="n">
        <v>5</v>
      </c>
      <c r="I1107" t="inlineStr">
        <is>
          <t>.a04</t>
        </is>
      </c>
      <c r="J1107" t="n">
        <v>300</v>
      </c>
      <c r="K1107" t="n">
        <v>48297</v>
      </c>
      <c r="L1107" t="n">
        <v>48299</v>
      </c>
      <c r="M1107" t="n">
        <v>301</v>
      </c>
      <c r="N1107" t="n">
        <v>2</v>
      </c>
      <c r="O1107" t="n">
        <v>120</v>
      </c>
      <c r="P1107" t="n">
        <v>0.25</v>
      </c>
      <c r="Q1107" t="n">
        <v>0.25</v>
      </c>
      <c r="R1107" t="n">
        <v>0.25</v>
      </c>
      <c r="S1107" t="n">
        <v>0.25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30</v>
      </c>
      <c r="AH1107" t="n">
        <v>30</v>
      </c>
      <c r="AI1107" t="n">
        <v>30</v>
      </c>
      <c r="AJ1107" t="n">
        <v>30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120</v>
      </c>
      <c r="AY1107" t="n">
        <v>0.75</v>
      </c>
      <c r="AZ1107" t="n">
        <v>5004</v>
      </c>
      <c r="BA1107" t="n">
        <v>3753</v>
      </c>
      <c r="BB1107" t="n">
        <v>2814.75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120</v>
      </c>
      <c r="BK1107" t="n">
        <v>120</v>
      </c>
      <c r="BL1107" t="n">
        <v>0</v>
      </c>
    </row>
    <row r="1108" hidden="1" outlineLevel="1" ht="31.2" customHeight="1" s="191">
      <c r="A1108" s="275" t="n">
        <v>2</v>
      </c>
      <c r="B1108" s="260" t="inlineStr">
        <is>
          <t>b</t>
        </is>
      </c>
      <c r="C1108" s="261" t="n">
        <v>1</v>
      </c>
      <c r="D1108" s="276" t="inlineStr">
        <is>
          <t>.z11_2_b_1</t>
        </is>
      </c>
      <c r="E1108" s="277" t="inlineStr">
        <is>
          <t>Konfiguracja i integracja nowych narzędzi platformy z wybranymi systemami (np. ERP/WMS), aby dane dotyczące operacji były automatycznie pobierane i aktualizowane w czasie rzeczywistym lub z minimalnym opóźnieniem</t>
        </is>
      </c>
      <c r="F1108" s="538" t="inlineStr">
        <is>
          <t>Imię01</t>
        </is>
      </c>
      <c r="G1108" t="inlineStr">
        <is>
          <t>Nazwisko01</t>
        </is>
      </c>
      <c r="H1108" t="n">
        <v>6</v>
      </c>
      <c r="I1108" t="inlineStr">
        <is>
          <t>.a01</t>
        </is>
      </c>
      <c r="J1108" t="n">
        <v>302</v>
      </c>
      <c r="K1108" t="n">
        <v>48311</v>
      </c>
      <c r="L1108" t="n">
        <v>48312</v>
      </c>
      <c r="M1108" t="n">
        <v>302</v>
      </c>
      <c r="N1108" t="n">
        <v>1</v>
      </c>
      <c r="O1108" t="n">
        <v>120</v>
      </c>
      <c r="P1108" t="n">
        <v>0.17</v>
      </c>
      <c r="Q1108" t="n">
        <v>0.17</v>
      </c>
      <c r="R1108" t="n">
        <v>0.17</v>
      </c>
      <c r="S1108" t="n">
        <v>0.17</v>
      </c>
      <c r="T1108" t="n">
        <v>0.17</v>
      </c>
      <c r="U1108" t="n">
        <v>0.15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20</v>
      </c>
      <c r="AH1108" t="n">
        <v>20</v>
      </c>
      <c r="AI1108" t="n">
        <v>20</v>
      </c>
      <c r="AJ1108" t="n">
        <v>20</v>
      </c>
      <c r="AK1108" t="n">
        <v>20</v>
      </c>
      <c r="AL1108" t="n">
        <v>18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118</v>
      </c>
      <c r="AY1108" t="n">
        <v>0.7375</v>
      </c>
      <c r="AZ1108" t="n">
        <v>5001</v>
      </c>
      <c r="BA1108" t="n">
        <v>3688.2375</v>
      </c>
      <c r="BB1108" t="n">
        <v>2720.07515625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120</v>
      </c>
      <c r="BK1108" t="n">
        <v>118</v>
      </c>
      <c r="BL1108" t="n">
        <v>2</v>
      </c>
    </row>
    <row r="1109" hidden="1" outlineLevel="1" ht="31.2" customHeight="1" s="191">
      <c r="A1109" s="275" t="n">
        <v>2</v>
      </c>
      <c r="B1109" s="260" t="inlineStr">
        <is>
          <t>c</t>
        </is>
      </c>
      <c r="C1109" s="261" t="n">
        <v>1</v>
      </c>
      <c r="D1109" s="276" t="inlineStr">
        <is>
          <t>.z11_2_c_1</t>
        </is>
      </c>
      <c r="E1109" s="277" t="inlineStr">
        <is>
          <t>Przygotowanie danych i ich migracja z systemów na platformę</t>
        </is>
      </c>
      <c r="F1109" s="538" t="inlineStr">
        <is>
          <t>Imię02</t>
        </is>
      </c>
      <c r="G1109" t="inlineStr">
        <is>
          <t>Nazwisko02</t>
        </is>
      </c>
      <c r="H1109" t="n">
        <v>7</v>
      </c>
      <c r="I1109" t="inlineStr">
        <is>
          <t>.a02</t>
        </is>
      </c>
      <c r="J1109" t="n">
        <v>303</v>
      </c>
      <c r="K1109" t="n">
        <v>48318</v>
      </c>
      <c r="L1109" t="n">
        <v>48319</v>
      </c>
      <c r="M1109" t="n">
        <v>303</v>
      </c>
      <c r="N1109" t="n">
        <v>1</v>
      </c>
      <c r="O1109" t="n">
        <v>80</v>
      </c>
      <c r="P1109" t="n">
        <v>0.17</v>
      </c>
      <c r="Q1109" t="n">
        <v>0.17</v>
      </c>
      <c r="R1109" t="n">
        <v>0.17</v>
      </c>
      <c r="S1109" t="n">
        <v>0.17</v>
      </c>
      <c r="T1109" t="n">
        <v>0.17</v>
      </c>
      <c r="U1109" t="n">
        <v>0.15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14</v>
      </c>
      <c r="AH1109" t="n">
        <v>14</v>
      </c>
      <c r="AI1109" t="n">
        <v>14</v>
      </c>
      <c r="AJ1109" t="n">
        <v>14</v>
      </c>
      <c r="AK1109" t="n">
        <v>14</v>
      </c>
      <c r="AL1109" t="n">
        <v>12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82</v>
      </c>
      <c r="AY1109" t="n">
        <v>0.5125</v>
      </c>
      <c r="AZ1109" t="n">
        <v>5002</v>
      </c>
      <c r="BA1109" t="n">
        <v>2563.525</v>
      </c>
      <c r="BB1109" t="n">
        <v>1313.8065625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80</v>
      </c>
      <c r="BK1109" t="n">
        <v>82</v>
      </c>
      <c r="BL1109" t="n">
        <v>-2</v>
      </c>
    </row>
    <row r="1110" hidden="1" outlineLevel="1" ht="31.2" customHeight="1" s="191">
      <c r="A1110" s="275" t="n">
        <v>2</v>
      </c>
      <c r="B1110" s="260" t="inlineStr">
        <is>
          <t>d</t>
        </is>
      </c>
      <c r="C1110" s="261" t="n">
        <v>1</v>
      </c>
      <c r="D1110" s="276" t="inlineStr">
        <is>
          <t>.z11_2_d_1</t>
        </is>
      </c>
      <c r="E1110" s="277" t="inlineStr">
        <is>
          <t>Przygotowanie szczegółowych scenariuszy operacyjnych dla procesów pakowania, kompletacji i obsługi magazynu MWS, aby zoptymalizowane modele matematyczne były zgodne z rzeczywistością magazynową</t>
        </is>
      </c>
      <c r="F1110" s="538" t="inlineStr">
        <is>
          <t>Imię03</t>
        </is>
      </c>
      <c r="G1110" t="inlineStr">
        <is>
          <t>Nazwisko03</t>
        </is>
      </c>
      <c r="H1110" t="n">
        <v>8</v>
      </c>
      <c r="I1110" t="inlineStr">
        <is>
          <t>.a03</t>
        </is>
      </c>
      <c r="J1110" t="n">
        <v>304</v>
      </c>
      <c r="K1110" t="n">
        <v>48325</v>
      </c>
      <c r="L1110" t="n">
        <v>48326</v>
      </c>
      <c r="M1110" t="n">
        <v>304</v>
      </c>
      <c r="N1110" t="n">
        <v>1</v>
      </c>
      <c r="O1110" t="n">
        <v>120</v>
      </c>
      <c r="P1110" t="n">
        <v>0.17</v>
      </c>
      <c r="Q1110" t="n">
        <v>0.17</v>
      </c>
      <c r="R1110" t="n">
        <v>0.17</v>
      </c>
      <c r="S1110" t="n">
        <v>0.17</v>
      </c>
      <c r="T1110" t="n">
        <v>0.17</v>
      </c>
      <c r="U1110" t="n">
        <v>0.15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20</v>
      </c>
      <c r="AH1110" t="n">
        <v>20</v>
      </c>
      <c r="AI1110" t="n">
        <v>20</v>
      </c>
      <c r="AJ1110" t="n">
        <v>20</v>
      </c>
      <c r="AK1110" t="n">
        <v>20</v>
      </c>
      <c r="AL1110" t="n">
        <v>18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118</v>
      </c>
      <c r="AY1110" t="n">
        <v>0.7375</v>
      </c>
      <c r="AZ1110" t="n">
        <v>5003</v>
      </c>
      <c r="BA1110" t="n">
        <v>3689.7125</v>
      </c>
      <c r="BB1110" t="n">
        <v>2721.16296875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120</v>
      </c>
      <c r="BK1110" t="n">
        <v>118</v>
      </c>
      <c r="BL1110" t="n">
        <v>2</v>
      </c>
    </row>
    <row r="1111" hidden="1" outlineLevel="1" ht="31.2" customHeight="1" s="191">
      <c r="A1111" s="275" t="n">
        <v>2</v>
      </c>
      <c r="B1111" s="260" t="inlineStr">
        <is>
          <t>e</t>
        </is>
      </c>
      <c r="C1111" s="261" t="n">
        <v>1</v>
      </c>
      <c r="D1111" s="276" t="inlineStr">
        <is>
          <t>.z11_2_e_1</t>
        </is>
      </c>
      <c r="E1111" s="277" t="inlineStr">
        <is>
          <t>Wyznaczenie KPI, które będą monitorowane i optymalizowane przez wdrożone modele (np. czas kompletacji, pakowania, efektywność tras wózków widłowych)</t>
        </is>
      </c>
      <c r="F1111" s="538" t="inlineStr">
        <is>
          <t>Imię01</t>
        </is>
      </c>
      <c r="G1111" t="inlineStr">
        <is>
          <t>Nazwisko01</t>
        </is>
      </c>
      <c r="H1111" t="n">
        <v>9</v>
      </c>
      <c r="I1111" t="inlineStr">
        <is>
          <t>.a01</t>
        </is>
      </c>
      <c r="J1111" t="n">
        <v>305</v>
      </c>
      <c r="K1111" t="n">
        <v>48332</v>
      </c>
      <c r="L1111" t="n">
        <v>48333</v>
      </c>
      <c r="M1111" t="n">
        <v>305</v>
      </c>
      <c r="N1111" t="n">
        <v>1</v>
      </c>
      <c r="O1111" t="n">
        <v>80</v>
      </c>
      <c r="P1111" t="n">
        <v>0.17</v>
      </c>
      <c r="Q1111" t="n">
        <v>0.17</v>
      </c>
      <c r="R1111" t="n">
        <v>0.17</v>
      </c>
      <c r="S1111" t="n">
        <v>0.17</v>
      </c>
      <c r="T1111" t="n">
        <v>0.17</v>
      </c>
      <c r="U1111" t="n">
        <v>0.15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14</v>
      </c>
      <c r="AH1111" t="n">
        <v>14</v>
      </c>
      <c r="AI1111" t="n">
        <v>14</v>
      </c>
      <c r="AJ1111" t="n">
        <v>14</v>
      </c>
      <c r="AK1111" t="n">
        <v>14</v>
      </c>
      <c r="AL1111" t="n">
        <v>12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82</v>
      </c>
      <c r="AY1111" t="n">
        <v>0.5125</v>
      </c>
      <c r="AZ1111" t="n">
        <v>5001</v>
      </c>
      <c r="BA1111" t="n">
        <v>2563.0125</v>
      </c>
      <c r="BB1111" t="n">
        <v>1313.54390625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80</v>
      </c>
      <c r="BK1111" t="n">
        <v>82</v>
      </c>
      <c r="BL1111" t="n">
        <v>-2</v>
      </c>
    </row>
    <row r="1112" hidden="1" outlineLevel="1" ht="31.2" customHeight="1" s="191">
      <c r="A1112" s="275" t="n">
        <v>3</v>
      </c>
      <c r="B1112" s="260" t="inlineStr">
        <is>
          <t>a</t>
        </is>
      </c>
      <c r="C1112" s="261" t="n">
        <v>0</v>
      </c>
      <c r="D1112" s="276" t="inlineStr">
        <is>
          <t>.z11_3_a_0</t>
        </is>
      </c>
      <c r="E1112" s="277" t="inlineStr">
        <is>
          <t>3.Testowanie i symulacje w kontrolowanych warunkach (np. w ramach programu pilotażowego</t>
        </is>
      </c>
      <c r="F1112" s="538" t="n">
        <v>0</v>
      </c>
      <c r="G1112" t="n">
        <v>0</v>
      </c>
      <c r="H1112" t="n">
        <v>0</v>
      </c>
      <c r="I1112" t="n">
        <v>0</v>
      </c>
      <c r="J1112" t="n">
        <v>306</v>
      </c>
      <c r="K1112" t="n">
        <v>48339</v>
      </c>
      <c r="L1112" t="n">
        <v>48339</v>
      </c>
      <c r="M1112" t="n">
        <v>305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</row>
    <row r="1113" hidden="1" outlineLevel="1" ht="31.2" customHeight="1" s="191">
      <c r="A1113" s="275" t="n">
        <v>3</v>
      </c>
      <c r="B1113" s="260" t="inlineStr">
        <is>
          <t>a</t>
        </is>
      </c>
      <c r="C1113" s="261" t="n">
        <v>1</v>
      </c>
      <c r="D1113" s="276" t="inlineStr">
        <is>
          <t>.z11_3_a_1</t>
        </is>
      </c>
      <c r="E1113" s="277" t="inlineStr">
        <is>
          <t>Wprowadzenie opracowanych modeli do systemu testowego, przetestowanie ich działania na przykładzie rzeczywistych danych z magazynu, a następnie ich kalibracja, uwzględniając wszelkie odstępstwa lub specyficzne warunki operacyjne</t>
        </is>
      </c>
      <c r="F1113" s="538" t="inlineStr">
        <is>
          <t>Imię03</t>
        </is>
      </c>
      <c r="G1113" t="inlineStr">
        <is>
          <t>Nazwisko03</t>
        </is>
      </c>
      <c r="H1113" t="n">
        <v>10</v>
      </c>
      <c r="I1113" t="inlineStr">
        <is>
          <t>.a03</t>
        </is>
      </c>
      <c r="J1113" t="n">
        <v>306</v>
      </c>
      <c r="K1113" t="n">
        <v>48339</v>
      </c>
      <c r="L1113" t="n">
        <v>48340</v>
      </c>
      <c r="M1113" t="n">
        <v>306</v>
      </c>
      <c r="N1113" t="n">
        <v>1</v>
      </c>
      <c r="O1113" t="n">
        <v>120</v>
      </c>
      <c r="P1113" t="n">
        <v>0.17</v>
      </c>
      <c r="Q1113" t="n">
        <v>0.17</v>
      </c>
      <c r="R1113" t="n">
        <v>0.17</v>
      </c>
      <c r="S1113" t="n">
        <v>0.17</v>
      </c>
      <c r="T1113" t="n">
        <v>0.17</v>
      </c>
      <c r="U1113" t="n">
        <v>0.15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20</v>
      </c>
      <c r="AH1113" t="n">
        <v>20</v>
      </c>
      <c r="AI1113" t="n">
        <v>20</v>
      </c>
      <c r="AJ1113" t="n">
        <v>20</v>
      </c>
      <c r="AK1113" t="n">
        <v>20</v>
      </c>
      <c r="AL1113" t="n">
        <v>18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118</v>
      </c>
      <c r="AY1113" t="n">
        <v>0.7375</v>
      </c>
      <c r="AZ1113" t="n">
        <v>5003</v>
      </c>
      <c r="BA1113" t="n">
        <v>3689.7125</v>
      </c>
      <c r="BB1113" t="n">
        <v>2721.16296875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120</v>
      </c>
      <c r="BK1113" t="n">
        <v>118</v>
      </c>
      <c r="BL1113" t="n">
        <v>2</v>
      </c>
    </row>
    <row r="1114" hidden="1" outlineLevel="1" ht="31.2" customHeight="1" s="191">
      <c r="A1114" s="275" t="n">
        <v>3</v>
      </c>
      <c r="B1114" s="260" t="inlineStr">
        <is>
          <t>b</t>
        </is>
      </c>
      <c r="C1114" s="261" t="n">
        <v>1</v>
      </c>
      <c r="D1114" s="276" t="inlineStr">
        <is>
          <t>.z11_3_b_1</t>
        </is>
      </c>
      <c r="E1114" s="277" t="inlineStr">
        <is>
          <t>Wykorzystanie modeli matematycznych do analizy i optymalizacji wybranych procesów logistycznych np. ruchu wózków widłowych w magazynie, minimalizując czas przejazdów, kolizje oraz maksymalizując efektywność tras, procesu pakowania czy kompletacji</t>
        </is>
      </c>
      <c r="F1114" s="538" t="inlineStr">
        <is>
          <t>Imię04</t>
        </is>
      </c>
      <c r="G1114" t="inlineStr">
        <is>
          <t>Nazwisko04</t>
        </is>
      </c>
      <c r="H1114" t="n">
        <v>11</v>
      </c>
      <c r="I1114" t="inlineStr">
        <is>
          <t>.a04</t>
        </is>
      </c>
      <c r="J1114" t="n">
        <v>307</v>
      </c>
      <c r="K1114" t="n">
        <v>48346</v>
      </c>
      <c r="L1114" t="n">
        <v>48347</v>
      </c>
      <c r="M1114" t="n">
        <v>307</v>
      </c>
      <c r="N1114" t="n">
        <v>1</v>
      </c>
      <c r="O1114" t="n">
        <v>120</v>
      </c>
      <c r="P1114" t="n">
        <v>0.17</v>
      </c>
      <c r="Q1114" t="n">
        <v>0.17</v>
      </c>
      <c r="R1114" t="n">
        <v>0.17</v>
      </c>
      <c r="S1114" t="n">
        <v>0.17</v>
      </c>
      <c r="T1114" t="n">
        <v>0.17</v>
      </c>
      <c r="U1114" t="n">
        <v>0.15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20</v>
      </c>
      <c r="AH1114" t="n">
        <v>20</v>
      </c>
      <c r="AI1114" t="n">
        <v>20</v>
      </c>
      <c r="AJ1114" t="n">
        <v>20</v>
      </c>
      <c r="AK1114" t="n">
        <v>20</v>
      </c>
      <c r="AL1114" t="n">
        <v>18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118</v>
      </c>
      <c r="AY1114" t="n">
        <v>0.7375</v>
      </c>
      <c r="AZ1114" t="n">
        <v>5004</v>
      </c>
      <c r="BA1114" t="n">
        <v>3690.45</v>
      </c>
      <c r="BB1114" t="n">
        <v>2721.706875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120</v>
      </c>
      <c r="BK1114" t="n">
        <v>118</v>
      </c>
      <c r="BL1114" t="n">
        <v>2</v>
      </c>
    </row>
    <row r="1115" hidden="1" outlineLevel="1" ht="31.2" customHeight="1" s="191">
      <c r="A1115" s="275" t="n">
        <v>3</v>
      </c>
      <c r="B1115" s="260" t="inlineStr">
        <is>
          <t>c</t>
        </is>
      </c>
      <c r="C1115" s="261" t="n">
        <v>1</v>
      </c>
      <c r="D1115" s="276" t="inlineStr">
        <is>
          <t>.z11_3_c_1</t>
        </is>
      </c>
      <c r="E1115" s="277" t="inlineStr">
        <is>
          <t>Przeprowadzenie testów (np. testy funkcjonalności, wydajności, użytkowe, bezpieczeństwa) celem upewnienia się, że wszystko działa zgodnie z oczekiwaniami i czy użytkownicy potrafią efektywnie korzystać z nowego rozwiązania</t>
        </is>
      </c>
      <c r="F1115" s="538" t="inlineStr">
        <is>
          <t>Imię05</t>
        </is>
      </c>
      <c r="G1115" t="inlineStr">
        <is>
          <t>Nazwisko05</t>
        </is>
      </c>
      <c r="H1115" t="n">
        <v>12</v>
      </c>
      <c r="I1115" t="inlineStr">
        <is>
          <t>.a05</t>
        </is>
      </c>
      <c r="J1115" t="n">
        <v>308</v>
      </c>
      <c r="K1115" t="n">
        <v>48353</v>
      </c>
      <c r="L1115" t="n">
        <v>48354</v>
      </c>
      <c r="M1115" t="n">
        <v>308</v>
      </c>
      <c r="N1115" t="n">
        <v>1</v>
      </c>
      <c r="O1115" t="n">
        <v>120</v>
      </c>
      <c r="P1115" t="n">
        <v>0.17</v>
      </c>
      <c r="Q1115" t="n">
        <v>0.17</v>
      </c>
      <c r="R1115" t="n">
        <v>0.17</v>
      </c>
      <c r="S1115" t="n">
        <v>0.17</v>
      </c>
      <c r="T1115" t="n">
        <v>0.17</v>
      </c>
      <c r="U1115" t="n">
        <v>0.15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20</v>
      </c>
      <c r="AH1115" t="n">
        <v>20</v>
      </c>
      <c r="AI1115" t="n">
        <v>20</v>
      </c>
      <c r="AJ1115" t="n">
        <v>20</v>
      </c>
      <c r="AK1115" t="n">
        <v>20</v>
      </c>
      <c r="AL1115" t="n">
        <v>18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118</v>
      </c>
      <c r="AY1115" t="n">
        <v>0.7375</v>
      </c>
      <c r="AZ1115" t="n">
        <v>5005</v>
      </c>
      <c r="BA1115" t="n">
        <v>3691.1875</v>
      </c>
      <c r="BB1115" t="n">
        <v>2722.25078125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120</v>
      </c>
      <c r="BK1115" t="n">
        <v>118</v>
      </c>
      <c r="BL1115" t="n">
        <v>2</v>
      </c>
    </row>
    <row r="1116" hidden="1" outlineLevel="1" ht="31.2" customHeight="1" s="191">
      <c r="A1116" s="275" t="n">
        <v>4</v>
      </c>
      <c r="B1116" s="260" t="inlineStr">
        <is>
          <t>a</t>
        </is>
      </c>
      <c r="C1116" s="261" t="n">
        <v>0</v>
      </c>
      <c r="D1116" s="276" t="inlineStr">
        <is>
          <t>.z11_4_a_0</t>
        </is>
      </c>
      <c r="E1116" s="277" t="inlineStr">
        <is>
          <t>4.Szkolenie użytkowników, obejmujące zarówno teoretyczne wprowadzenie, jak i praktyczne sesje, które uczą, jak obsługiwać nowy system i efektywnie z niego korzystać</t>
        </is>
      </c>
      <c r="F1116" s="538" t="n">
        <v>0</v>
      </c>
      <c r="G1116" t="n">
        <v>0</v>
      </c>
      <c r="H1116" t="n">
        <v>0</v>
      </c>
      <c r="I1116" t="n">
        <v>0</v>
      </c>
      <c r="J1116" t="n">
        <v>309</v>
      </c>
      <c r="K1116" t="n">
        <v>48360</v>
      </c>
      <c r="L1116" t="n">
        <v>48360</v>
      </c>
      <c r="M1116" t="n">
        <v>308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</row>
    <row r="1117" hidden="1" outlineLevel="1" ht="31.2" customHeight="1" s="191">
      <c r="A1117" s="275" t="n">
        <v>4</v>
      </c>
      <c r="B1117" s="260" t="inlineStr">
        <is>
          <t>a</t>
        </is>
      </c>
      <c r="C1117" s="261" t="n">
        <v>1</v>
      </c>
      <c r="D1117" s="276" t="inlineStr">
        <is>
          <t>.z11_4_a_1</t>
        </is>
      </c>
      <c r="E1117" s="277" t="inlineStr">
        <is>
          <t>4.Szkolenie użytkowników, obejmujące zarówno teoretyczne wprowadzenie, jak i praktyczne sesje, które uczą, jak obsługiwać nowy system i efektywnie z niego korzystać</t>
        </is>
      </c>
      <c r="F1117" s="538" t="n">
        <v>0</v>
      </c>
      <c r="G1117" t="n">
        <v>0</v>
      </c>
      <c r="H1117" t="n">
        <v>0</v>
      </c>
      <c r="I1117" t="inlineStr">
        <is>
          <t>.a07</t>
        </is>
      </c>
      <c r="J1117" t="n">
        <v>309</v>
      </c>
      <c r="K1117" t="n">
        <v>48360</v>
      </c>
      <c r="L1117" t="n">
        <v>48360</v>
      </c>
      <c r="M1117" t="n">
        <v>308</v>
      </c>
      <c r="N1117" t="n">
        <v>0</v>
      </c>
      <c r="O1117" t="n">
        <v>40</v>
      </c>
      <c r="P1117" t="n">
        <v>0.17</v>
      </c>
      <c r="Q1117" t="n">
        <v>0.17</v>
      </c>
      <c r="R1117" t="n">
        <v>0.17</v>
      </c>
      <c r="S1117" t="n">
        <v>0.17</v>
      </c>
      <c r="T1117" t="n">
        <v>0.17</v>
      </c>
      <c r="U1117" t="n">
        <v>0.15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7</v>
      </c>
      <c r="AH1117" t="n">
        <v>7</v>
      </c>
      <c r="AI1117" t="n">
        <v>7</v>
      </c>
      <c r="AJ1117" t="n">
        <v>7</v>
      </c>
      <c r="AK1117" t="n">
        <v>7</v>
      </c>
      <c r="AL1117" t="n">
        <v>6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41</v>
      </c>
      <c r="AY1117" t="n">
        <v>0.25625</v>
      </c>
      <c r="AZ1117" t="e">
        <v>#N/A</v>
      </c>
      <c r="BA1117" t="e">
        <v>#N/A</v>
      </c>
      <c r="BB1117" t="e">
        <v>#N/A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40</v>
      </c>
      <c r="BK1117" t="n">
        <v>41</v>
      </c>
      <c r="BL1117" t="n">
        <v>-1</v>
      </c>
    </row>
    <row r="1118" hidden="1" outlineLevel="1" ht="31.2" customHeight="1" s="191">
      <c r="A1118" s="275" t="n">
        <v>5</v>
      </c>
      <c r="B1118" s="260" t="inlineStr">
        <is>
          <t>a</t>
        </is>
      </c>
      <c r="C1118" s="261" t="n">
        <v>0</v>
      </c>
      <c r="D1118" s="276" t="inlineStr">
        <is>
          <t>.z11_5_a_0</t>
        </is>
      </c>
      <c r="E1118" s="277" t="inlineStr">
        <is>
          <t>5.Uruchomienie (go-live. Po udanym przeprowadzeniu testów i szkoleń nastąpi faktyczne uruchomienie nowego rozwiązania w środowisku produkcyjnym. Będzie to stopniowy proces, w którym nowy system działa równolegle ze starym („dual run”, aby ograniczyć ryzyko</t>
        </is>
      </c>
      <c r="F1118" s="538" t="n">
        <v>0</v>
      </c>
      <c r="G1118" t="n">
        <v>0</v>
      </c>
      <c r="H1118" t="n">
        <v>0</v>
      </c>
      <c r="I1118" t="n">
        <v>0</v>
      </c>
      <c r="J1118" t="n">
        <v>309</v>
      </c>
      <c r="K1118" t="n">
        <v>48360</v>
      </c>
      <c r="L1118" t="n">
        <v>48360</v>
      </c>
      <c r="M1118" t="n">
        <v>308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</row>
    <row r="1119" hidden="1" outlineLevel="1" ht="31.2" customHeight="1" s="191">
      <c r="A1119" s="275" t="n">
        <v>5</v>
      </c>
      <c r="B1119" s="260" t="inlineStr">
        <is>
          <t>a</t>
        </is>
      </c>
      <c r="C1119" s="261" t="n">
        <v>1</v>
      </c>
      <c r="D1119" s="276" t="inlineStr">
        <is>
          <t>.z11_5_a_1</t>
        </is>
      </c>
      <c r="E1119" s="277" t="inlineStr">
        <is>
          <t>5.Uruchomienie (go-live. Po udanym przeprowadzeniu testów i szkoleń nastąpi faktyczne uruchomienie nowego rozwiązania w środowisku produkcyjnym. Będzie to stopniowy proces, w którym nowy system działa równolegle ze starym („dual run”, aby ograniczyć ryzyko</t>
        </is>
      </c>
      <c r="F1119" s="538" t="n">
        <v>0</v>
      </c>
      <c r="G1119" t="n">
        <v>0</v>
      </c>
      <c r="H1119" t="n">
        <v>0</v>
      </c>
      <c r="I1119" t="inlineStr">
        <is>
          <t>.a09</t>
        </is>
      </c>
      <c r="J1119" t="n">
        <v>309</v>
      </c>
      <c r="K1119" t="n">
        <v>48360</v>
      </c>
      <c r="L1119" t="n">
        <v>48361</v>
      </c>
      <c r="M1119" t="n">
        <v>309</v>
      </c>
      <c r="N1119" t="n">
        <v>1</v>
      </c>
      <c r="O1119" t="n">
        <v>120</v>
      </c>
      <c r="P1119" t="n">
        <v>0.17</v>
      </c>
      <c r="Q1119" t="n">
        <v>0.17</v>
      </c>
      <c r="R1119" t="n">
        <v>0.17</v>
      </c>
      <c r="S1119" t="n">
        <v>0.17</v>
      </c>
      <c r="T1119" t="n">
        <v>0.17</v>
      </c>
      <c r="U1119" t="n">
        <v>0.15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20</v>
      </c>
      <c r="AH1119" t="n">
        <v>20</v>
      </c>
      <c r="AI1119" t="n">
        <v>20</v>
      </c>
      <c r="AJ1119" t="n">
        <v>20</v>
      </c>
      <c r="AK1119" t="n">
        <v>20</v>
      </c>
      <c r="AL1119" t="n">
        <v>18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118</v>
      </c>
      <c r="AY1119" t="n">
        <v>0.7375</v>
      </c>
      <c r="AZ1119" t="e">
        <v>#N/A</v>
      </c>
      <c r="BA1119" t="e">
        <v>#N/A</v>
      </c>
      <c r="BB1119" t="e">
        <v>#N/A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120</v>
      </c>
      <c r="BK1119" t="n">
        <v>118</v>
      </c>
      <c r="BL1119" t="n">
        <v>2</v>
      </c>
    </row>
    <row r="1120" hidden="1" outlineLevel="1" ht="31.2" customHeight="1" s="191">
      <c r="A1120" s="275" t="n">
        <v>6</v>
      </c>
      <c r="B1120" s="260" t="inlineStr">
        <is>
          <t>a</t>
        </is>
      </c>
      <c r="C1120" s="261" t="n">
        <v>0</v>
      </c>
      <c r="D1120" s="276" t="inlineStr">
        <is>
          <t>.z11_6_a_0</t>
        </is>
      </c>
      <c r="E1120" s="277" t="inlineStr">
        <is>
          <t>6.Monitorowanie i wsparcie</t>
        </is>
      </c>
      <c r="F1120" s="538" t="n">
        <v>0</v>
      </c>
      <c r="G1120" t="n">
        <v>0</v>
      </c>
      <c r="H1120" t="n">
        <v>0</v>
      </c>
      <c r="I1120" t="n">
        <v>0</v>
      </c>
      <c r="J1120" t="n">
        <v>310</v>
      </c>
      <c r="K1120" t="n">
        <v>48367</v>
      </c>
      <c r="L1120" t="n">
        <v>48367</v>
      </c>
      <c r="M1120" t="n">
        <v>309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</row>
    <row r="1121" hidden="1" outlineLevel="1" ht="31.2" customHeight="1" s="191">
      <c r="A1121" s="275" t="n">
        <v>6</v>
      </c>
      <c r="B1121" s="260" t="inlineStr">
        <is>
          <t>a</t>
        </is>
      </c>
      <c r="C1121" s="261" t="n">
        <v>1</v>
      </c>
      <c r="D1121" s="276" t="inlineStr">
        <is>
          <t>.z11_6_a_1</t>
        </is>
      </c>
      <c r="E1121" s="277" t="inlineStr">
        <is>
          <t>Monitorowanie wskaźników KPI w celu identyfikacji obszarów do dalszej optymalizacji</t>
        </is>
      </c>
      <c r="F1121" s="538" t="inlineStr">
        <is>
          <t>Imię06</t>
        </is>
      </c>
      <c r="G1121" t="inlineStr">
        <is>
          <t>Nazwisko06</t>
        </is>
      </c>
      <c r="H1121" t="n">
        <v>15</v>
      </c>
      <c r="I1121" t="inlineStr">
        <is>
          <t>.a06</t>
        </is>
      </c>
      <c r="J1121" t="n">
        <v>310</v>
      </c>
      <c r="K1121" t="n">
        <v>48367</v>
      </c>
      <c r="L1121" t="n">
        <v>48368</v>
      </c>
      <c r="M1121" t="n">
        <v>310</v>
      </c>
      <c r="N1121" t="n">
        <v>1</v>
      </c>
      <c r="O1121" t="n">
        <v>80</v>
      </c>
      <c r="P1121" t="n">
        <v>0.17</v>
      </c>
      <c r="Q1121" t="n">
        <v>0.17</v>
      </c>
      <c r="R1121" t="n">
        <v>0.17</v>
      </c>
      <c r="S1121" t="n">
        <v>0.17</v>
      </c>
      <c r="T1121" t="n">
        <v>0.17</v>
      </c>
      <c r="U1121" t="n">
        <v>0.15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14</v>
      </c>
      <c r="AH1121" t="n">
        <v>14</v>
      </c>
      <c r="AI1121" t="n">
        <v>14</v>
      </c>
      <c r="AJ1121" t="n">
        <v>14</v>
      </c>
      <c r="AK1121" t="n">
        <v>14</v>
      </c>
      <c r="AL1121" t="n">
        <v>12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82</v>
      </c>
      <c r="AY1121" t="n">
        <v>0.5125</v>
      </c>
      <c r="AZ1121" t="n">
        <v>5006</v>
      </c>
      <c r="BA1121" t="n">
        <v>2565.575</v>
      </c>
      <c r="BB1121" t="n">
        <v>1314.8571875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80</v>
      </c>
      <c r="BK1121" t="n">
        <v>82</v>
      </c>
      <c r="BL1121" t="n">
        <v>-2</v>
      </c>
    </row>
    <row r="1122" hidden="1" outlineLevel="1" ht="31.2" customHeight="1" s="191">
      <c r="A1122" s="275" t="n">
        <v>6</v>
      </c>
      <c r="B1122" s="260" t="inlineStr">
        <is>
          <t>b</t>
        </is>
      </c>
      <c r="C1122" s="261" t="n">
        <v>1</v>
      </c>
      <c r="D1122" s="276" t="inlineStr">
        <is>
          <t>.z11_6_b_1</t>
        </is>
      </c>
      <c r="E1122" s="277" t="inlineStr">
        <is>
          <t xml:space="preserve">Monitorowanie funkcjonowania platformy, zapewnienie wsparcia technicznego i merytorycznego dla użytkowników </t>
        </is>
      </c>
      <c r="F1122" s="538" t="inlineStr">
        <is>
          <t>Imię07</t>
        </is>
      </c>
      <c r="G1122" t="inlineStr">
        <is>
          <t>Nazwisko07</t>
        </is>
      </c>
      <c r="H1122" t="n">
        <v>16</v>
      </c>
      <c r="I1122" t="inlineStr">
        <is>
          <t>.a07</t>
        </is>
      </c>
      <c r="J1122" t="n">
        <v>311</v>
      </c>
      <c r="K1122" t="n">
        <v>48374</v>
      </c>
      <c r="L1122" t="n">
        <v>48375</v>
      </c>
      <c r="M1122" t="n">
        <v>311</v>
      </c>
      <c r="N1122" t="n">
        <v>1</v>
      </c>
      <c r="O1122" t="n">
        <v>80</v>
      </c>
      <c r="P1122" t="n">
        <v>0.17</v>
      </c>
      <c r="Q1122" t="n">
        <v>0.17</v>
      </c>
      <c r="R1122" t="n">
        <v>0.17</v>
      </c>
      <c r="S1122" t="n">
        <v>0.17</v>
      </c>
      <c r="T1122" t="n">
        <v>0.17</v>
      </c>
      <c r="U1122" t="n">
        <v>0.15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14</v>
      </c>
      <c r="AH1122" t="n">
        <v>14</v>
      </c>
      <c r="AI1122" t="n">
        <v>14</v>
      </c>
      <c r="AJ1122" t="n">
        <v>14</v>
      </c>
      <c r="AK1122" t="n">
        <v>14</v>
      </c>
      <c r="AL1122" t="n">
        <v>12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82</v>
      </c>
      <c r="AY1122" t="n">
        <v>0.5125</v>
      </c>
      <c r="AZ1122" t="n">
        <v>5007</v>
      </c>
      <c r="BA1122" t="n">
        <v>2566.0875</v>
      </c>
      <c r="BB1122" t="n">
        <v>1315.11984375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80</v>
      </c>
      <c r="BK1122" t="n">
        <v>82</v>
      </c>
      <c r="BL1122" t="n">
        <v>-2</v>
      </c>
    </row>
    <row r="1123" hidden="1" outlineLevel="1" ht="31.2" customHeight="1" s="191">
      <c r="A1123" s="275" t="n">
        <v>6</v>
      </c>
      <c r="B1123" s="260" t="inlineStr">
        <is>
          <t>c</t>
        </is>
      </c>
      <c r="C1123" s="261" t="n">
        <v>1</v>
      </c>
      <c r="D1123" s="276" t="inlineStr">
        <is>
          <t>.z11_6_c_1</t>
        </is>
      </c>
      <c r="E1123" s="277" t="inlineStr">
        <is>
          <t>Wprowadzanie ewentualnych korekt i usprawnień w oparciu o dane zebrane w trakcie rzeczywistej pracy magazynu, napotkane problemy, nowe potrzeby lub zmieniające się warunki operacyjne (np. sezonowe wahania w zamówieniach lub zmiany w dostępnych zasobach)</t>
        </is>
      </c>
      <c r="F1123" s="538" t="inlineStr">
        <is>
          <t>Imię05</t>
        </is>
      </c>
      <c r="G1123" t="inlineStr">
        <is>
          <t>Nazwisko05</t>
        </is>
      </c>
      <c r="H1123" t="n">
        <v>17</v>
      </c>
      <c r="I1123" t="inlineStr">
        <is>
          <t>.a05</t>
        </is>
      </c>
      <c r="J1123" t="n">
        <v>312</v>
      </c>
      <c r="K1123" t="n">
        <v>48381</v>
      </c>
      <c r="L1123" t="n">
        <v>48382</v>
      </c>
      <c r="M1123" t="n">
        <v>312</v>
      </c>
      <c r="N1123" t="n">
        <v>1</v>
      </c>
      <c r="O1123" t="n">
        <v>80</v>
      </c>
      <c r="P1123" t="n">
        <v>0.17</v>
      </c>
      <c r="Q1123" t="n">
        <v>0.17</v>
      </c>
      <c r="R1123" t="n">
        <v>0.17</v>
      </c>
      <c r="S1123" t="n">
        <v>0.17</v>
      </c>
      <c r="T1123" t="n">
        <v>0.17</v>
      </c>
      <c r="U1123" t="n">
        <v>0.15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14</v>
      </c>
      <c r="AH1123" t="n">
        <v>14</v>
      </c>
      <c r="AI1123" t="n">
        <v>14</v>
      </c>
      <c r="AJ1123" t="n">
        <v>14</v>
      </c>
      <c r="AK1123" t="n">
        <v>14</v>
      </c>
      <c r="AL1123" t="n">
        <v>12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82</v>
      </c>
      <c r="AY1123" t="n">
        <v>0.5125</v>
      </c>
      <c r="AZ1123" t="n">
        <v>5005</v>
      </c>
      <c r="BA1123" t="n">
        <v>2565.0625</v>
      </c>
      <c r="BB1123" t="n">
        <v>1314.59453125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80</v>
      </c>
      <c r="BK1123" t="n">
        <v>82</v>
      </c>
      <c r="BL1123" t="n">
        <v>-2</v>
      </c>
    </row>
    <row r="1124" hidden="1" outlineLevel="1" ht="31.2" customHeight="1" s="191">
      <c r="A1124" s="275" t="n">
        <v>6</v>
      </c>
      <c r="B1124" s="260" t="inlineStr">
        <is>
          <t>d</t>
        </is>
      </c>
      <c r="C1124" s="261" t="n">
        <v>1</v>
      </c>
      <c r="D1124" s="276" t="inlineStr">
        <is>
          <t>.z11_6_d_1</t>
        </is>
      </c>
      <c r="E1124" s="277" t="inlineStr">
        <is>
          <t>Regularne aktualizowanie i rozwijanie narzędzi platformy, tak aby były one zawsze aktualne i do symulacji oraz bieżącego zarządzania</t>
        </is>
      </c>
      <c r="F1124" s="538" t="inlineStr">
        <is>
          <t>Imię06</t>
        </is>
      </c>
      <c r="G1124" t="inlineStr">
        <is>
          <t>Nazwisko06</t>
        </is>
      </c>
      <c r="H1124" t="n">
        <v>18</v>
      </c>
      <c r="I1124" t="inlineStr">
        <is>
          <t>.a06</t>
        </is>
      </c>
      <c r="J1124" t="n">
        <v>313</v>
      </c>
      <c r="K1124" t="n">
        <v>48388</v>
      </c>
      <c r="L1124" t="n">
        <v>48389</v>
      </c>
      <c r="M1124" t="n">
        <v>313</v>
      </c>
      <c r="N1124" t="n">
        <v>1</v>
      </c>
      <c r="O1124" t="n">
        <v>80</v>
      </c>
      <c r="P1124" t="n">
        <v>0.17</v>
      </c>
      <c r="Q1124" t="n">
        <v>0.17</v>
      </c>
      <c r="R1124" t="n">
        <v>0.17</v>
      </c>
      <c r="S1124" t="n">
        <v>0.17</v>
      </c>
      <c r="T1124" t="n">
        <v>0.17</v>
      </c>
      <c r="U1124" t="n">
        <v>0.15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14</v>
      </c>
      <c r="AH1124" t="n">
        <v>14</v>
      </c>
      <c r="AI1124" t="n">
        <v>14</v>
      </c>
      <c r="AJ1124" t="n">
        <v>14</v>
      </c>
      <c r="AK1124" t="n">
        <v>14</v>
      </c>
      <c r="AL1124" t="n">
        <v>12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82</v>
      </c>
      <c r="AY1124" t="n">
        <v>0.5125</v>
      </c>
      <c r="AZ1124" t="n">
        <v>5006</v>
      </c>
      <c r="BA1124" t="n">
        <v>2565.575</v>
      </c>
      <c r="BB1124" t="n">
        <v>1314.8571875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80</v>
      </c>
      <c r="BK1124" t="n">
        <v>82</v>
      </c>
      <c r="BL1124" t="n">
        <v>-2</v>
      </c>
    </row>
    <row r="1125" hidden="1" outlineLevel="1" ht="31.2" customHeight="1" s="191">
      <c r="A1125" s="275" t="n">
        <v>7</v>
      </c>
      <c r="B1125" s="260" t="inlineStr">
        <is>
          <t>a</t>
        </is>
      </c>
      <c r="C1125" s="261" t="n">
        <v>0</v>
      </c>
      <c r="D1125" s="276" t="inlineStr">
        <is>
          <t>.z11_7_a_0</t>
        </is>
      </c>
      <c r="E1125" s="277" t="inlineStr">
        <is>
          <t>7.Ewaluacja i optymalizacja</t>
        </is>
      </c>
      <c r="F1125" s="538" t="n">
        <v>0</v>
      </c>
      <c r="G1125" t="n">
        <v>0</v>
      </c>
      <c r="H1125" t="n">
        <v>0</v>
      </c>
      <c r="I1125" t="n">
        <v>0</v>
      </c>
      <c r="J1125" t="n">
        <v>314</v>
      </c>
      <c r="K1125" t="n">
        <v>48395</v>
      </c>
      <c r="L1125" t="n">
        <v>48395</v>
      </c>
      <c r="M1125" t="n">
        <v>313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</row>
    <row r="1126" hidden="1" outlineLevel="1" ht="31.2" customHeight="1" s="191">
      <c r="A1126" s="275" t="n">
        <v>7</v>
      </c>
      <c r="B1126" s="260" t="inlineStr">
        <is>
          <t>a</t>
        </is>
      </c>
      <c r="C1126" s="261" t="n">
        <v>1</v>
      </c>
      <c r="D1126" s="276" t="inlineStr">
        <is>
          <t>.z11_7_a_1</t>
        </is>
      </c>
      <c r="E1126" s="277" t="inlineStr">
        <is>
          <t>Ocena efektywności wdrożenia (np. po 1 m-cu) i analiza osiągnięcia celów</t>
        </is>
      </c>
      <c r="F1126" s="538" t="inlineStr">
        <is>
          <t>Imię05</t>
        </is>
      </c>
      <c r="G1126" t="inlineStr">
        <is>
          <t>Nazwisko05</t>
        </is>
      </c>
      <c r="H1126" t="n">
        <v>19</v>
      </c>
      <c r="I1126" t="inlineStr">
        <is>
          <t>.a05</t>
        </is>
      </c>
      <c r="J1126" t="n">
        <v>314</v>
      </c>
      <c r="K1126" t="n">
        <v>48395</v>
      </c>
      <c r="L1126" t="n">
        <v>48396</v>
      </c>
      <c r="M1126" t="n">
        <v>314</v>
      </c>
      <c r="N1126" t="n">
        <v>1</v>
      </c>
      <c r="O1126" t="n">
        <v>120</v>
      </c>
      <c r="P1126" t="n">
        <v>0.17</v>
      </c>
      <c r="Q1126" t="n">
        <v>0.17</v>
      </c>
      <c r="R1126" t="n">
        <v>0.17</v>
      </c>
      <c r="S1126" t="n">
        <v>0.17</v>
      </c>
      <c r="T1126" t="n">
        <v>0.17</v>
      </c>
      <c r="U1126" t="n">
        <v>0.15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20</v>
      </c>
      <c r="AH1126" t="n">
        <v>20</v>
      </c>
      <c r="AI1126" t="n">
        <v>20</v>
      </c>
      <c r="AJ1126" t="n">
        <v>20</v>
      </c>
      <c r="AK1126" t="n">
        <v>20</v>
      </c>
      <c r="AL1126" t="n">
        <v>18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118</v>
      </c>
      <c r="AY1126" t="n">
        <v>0.7375</v>
      </c>
      <c r="AZ1126" t="n">
        <v>5005</v>
      </c>
      <c r="BA1126" t="n">
        <v>3691.1875</v>
      </c>
      <c r="BB1126" t="n">
        <v>2722.25078125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120</v>
      </c>
      <c r="BK1126" t="n">
        <v>118</v>
      </c>
      <c r="BL1126" t="n">
        <v>2</v>
      </c>
    </row>
    <row r="1127" hidden="1" outlineLevel="1" ht="31.2" customHeight="1" s="191">
      <c r="A1127" s="275" t="n">
        <v>7</v>
      </c>
      <c r="B1127" s="260" t="inlineStr">
        <is>
          <t>b</t>
        </is>
      </c>
      <c r="C1127" s="261" t="n">
        <v>1</v>
      </c>
      <c r="D1127" s="276" t="inlineStr">
        <is>
          <t>.z11_7_b_1</t>
        </is>
      </c>
      <c r="E1127" s="277" t="inlineStr">
        <is>
          <t>Stopniowe rozszerzanie wdrożenia na kolejne strefy po udanych testach</t>
        </is>
      </c>
      <c r="F1127" s="538" t="inlineStr">
        <is>
          <t>Imię06</t>
        </is>
      </c>
      <c r="G1127" t="inlineStr">
        <is>
          <t>Nazwisko06</t>
        </is>
      </c>
      <c r="H1127" t="n">
        <v>20</v>
      </c>
      <c r="I1127" t="inlineStr">
        <is>
          <t>.a06</t>
        </is>
      </c>
      <c r="J1127" t="n">
        <v>315</v>
      </c>
      <c r="K1127" t="n">
        <v>48402</v>
      </c>
      <c r="L1127" t="n">
        <v>48403</v>
      </c>
      <c r="M1127" t="n">
        <v>315</v>
      </c>
      <c r="N1127" t="n">
        <v>1</v>
      </c>
      <c r="O1127" t="n">
        <v>120</v>
      </c>
      <c r="P1127" t="n">
        <v>0.17</v>
      </c>
      <c r="Q1127" t="n">
        <v>0.17</v>
      </c>
      <c r="R1127" t="n">
        <v>0.17</v>
      </c>
      <c r="S1127" t="n">
        <v>0.17</v>
      </c>
      <c r="T1127" t="n">
        <v>0.17</v>
      </c>
      <c r="U1127" t="n">
        <v>0.15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20</v>
      </c>
      <c r="AH1127" t="n">
        <v>20</v>
      </c>
      <c r="AI1127" t="n">
        <v>20</v>
      </c>
      <c r="AJ1127" t="n">
        <v>20</v>
      </c>
      <c r="AK1127" t="n">
        <v>20</v>
      </c>
      <c r="AL1127" t="n">
        <v>18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118</v>
      </c>
      <c r="AY1127" t="n">
        <v>0.7375</v>
      </c>
      <c r="AZ1127" t="n">
        <v>5006</v>
      </c>
      <c r="BA1127" t="n">
        <v>3691.925</v>
      </c>
      <c r="BB1127" t="n">
        <v>2722.7946875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120</v>
      </c>
      <c r="BK1127" t="n">
        <v>118</v>
      </c>
      <c r="BL1127" t="n">
        <v>2</v>
      </c>
    </row>
    <row r="1128" hidden="1" outlineLevel="1" ht="31.2" customHeight="1" s="191">
      <c r="A1128" s="275" t="n">
        <v>7</v>
      </c>
      <c r="B1128" s="260" t="inlineStr">
        <is>
          <t>c</t>
        </is>
      </c>
      <c r="C1128" s="261" t="n">
        <v>1</v>
      </c>
      <c r="D1128" s="276" t="inlineStr">
        <is>
          <t>.z11_7_c_1</t>
        </is>
      </c>
      <c r="E1128" s="277" t="inlineStr">
        <is>
          <t>Prowadzenie dalszych usprawnień lub rozszerzenie systemu celem pełnego wdrożenia operacyjnego platformy w kolejnych etapach poza projektowych</t>
        </is>
      </c>
      <c r="F1128" s="538" t="inlineStr">
        <is>
          <t>Imię07</t>
        </is>
      </c>
      <c r="G1128" t="inlineStr">
        <is>
          <t>Nazwisko07</t>
        </is>
      </c>
      <c r="H1128" t="n">
        <v>21</v>
      </c>
      <c r="I1128" t="inlineStr">
        <is>
          <t>.a07</t>
        </is>
      </c>
      <c r="J1128" t="n">
        <v>316</v>
      </c>
      <c r="K1128" t="n">
        <v>48409</v>
      </c>
      <c r="L1128" t="n">
        <v>48410</v>
      </c>
      <c r="M1128" t="n">
        <v>316</v>
      </c>
      <c r="N1128" t="n">
        <v>1</v>
      </c>
      <c r="O1128" t="n">
        <v>120</v>
      </c>
      <c r="P1128" t="n">
        <v>0.17</v>
      </c>
      <c r="Q1128" t="n">
        <v>0.17</v>
      </c>
      <c r="R1128" t="n">
        <v>0.17</v>
      </c>
      <c r="S1128" t="n">
        <v>0.17</v>
      </c>
      <c r="T1128" t="n">
        <v>0.17</v>
      </c>
      <c r="U1128" t="n">
        <v>0.15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20</v>
      </c>
      <c r="AH1128" t="n">
        <v>20</v>
      </c>
      <c r="AI1128" t="n">
        <v>20</v>
      </c>
      <c r="AJ1128" t="n">
        <v>20</v>
      </c>
      <c r="AK1128" t="n">
        <v>20</v>
      </c>
      <c r="AL1128" t="n">
        <v>18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118</v>
      </c>
      <c r="AY1128" t="n">
        <v>0.7375</v>
      </c>
      <c r="AZ1128" t="n">
        <v>5007</v>
      </c>
      <c r="BA1128" t="n">
        <v>3692.6625</v>
      </c>
      <c r="BB1128" t="n">
        <v>2723.338593750001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120</v>
      </c>
      <c r="BK1128" t="n">
        <v>118</v>
      </c>
      <c r="BL1128" t="n">
        <v>2</v>
      </c>
    </row>
    <row r="1129" hidden="1" outlineLevel="1" ht="31.2" customHeight="1" s="191">
      <c r="A1129" s="275" t="n">
        <v>8</v>
      </c>
      <c r="B1129" s="260" t="inlineStr">
        <is>
          <t>a</t>
        </is>
      </c>
      <c r="C1129" s="261" t="n">
        <v>0</v>
      </c>
      <c r="D1129" s="276" t="inlineStr">
        <is>
          <t>.z11_8_a_0</t>
        </is>
      </c>
      <c r="E1129" s="277" t="inlineStr">
        <is>
          <t>8.Bezpieczeństwo i prywatność. W związku z wymianą dużych ilości danych w czasie rzeczywistym konieczne będzie wdrożenie i optymalizacja narzędzi/mechanizmów:</t>
        </is>
      </c>
      <c r="F1129" s="538" t="n">
        <v>0</v>
      </c>
      <c r="G1129" t="n">
        <v>0</v>
      </c>
      <c r="H1129" t="n">
        <v>0</v>
      </c>
      <c r="I1129" t="n">
        <v>0</v>
      </c>
      <c r="J1129" t="n">
        <v>317</v>
      </c>
      <c r="K1129" t="n">
        <v>48416</v>
      </c>
      <c r="L1129" t="n">
        <v>48416</v>
      </c>
      <c r="M1129" t="n">
        <v>316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</row>
    <row r="1130" hidden="1" outlineLevel="1" ht="31.2" customHeight="1" s="191">
      <c r="A1130" s="275" t="n">
        <v>8</v>
      </c>
      <c r="B1130" s="260" t="inlineStr">
        <is>
          <t>a</t>
        </is>
      </c>
      <c r="C1130" s="261" t="n">
        <v>1</v>
      </c>
      <c r="D1130" s="276" t="inlineStr">
        <is>
          <t>.z11_8_a_1</t>
        </is>
      </c>
      <c r="E1130" s="277" t="inlineStr">
        <is>
          <t xml:space="preserve">ochrony danych przed cyberatakami oraz ochrona integralności systemów </t>
        </is>
      </c>
      <c r="F1130" s="538" t="inlineStr">
        <is>
          <t>Imię06</t>
        </is>
      </c>
      <c r="G1130" t="inlineStr">
        <is>
          <t>Nazwisko06</t>
        </is>
      </c>
      <c r="H1130" t="n">
        <v>22</v>
      </c>
      <c r="I1130" t="inlineStr">
        <is>
          <t>.a06</t>
        </is>
      </c>
      <c r="J1130" t="n">
        <v>317</v>
      </c>
      <c r="K1130" t="n">
        <v>48416</v>
      </c>
      <c r="L1130" t="n">
        <v>48418</v>
      </c>
      <c r="M1130" t="n">
        <v>318</v>
      </c>
      <c r="N1130" t="n">
        <v>2</v>
      </c>
      <c r="O1130" t="n">
        <v>80</v>
      </c>
      <c r="P1130" t="n">
        <v>0</v>
      </c>
      <c r="Q1130" t="n">
        <v>0</v>
      </c>
      <c r="R1130" t="n">
        <v>0</v>
      </c>
      <c r="S1130" t="n">
        <v>0</v>
      </c>
      <c r="T1130" t="n">
        <v>0.5</v>
      </c>
      <c r="U1130" t="n">
        <v>0.5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40</v>
      </c>
      <c r="AL1130" t="n">
        <v>40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80</v>
      </c>
      <c r="AY1130" t="n">
        <v>0.5</v>
      </c>
      <c r="AZ1130" t="n">
        <v>5006</v>
      </c>
      <c r="BA1130" t="n">
        <v>2503</v>
      </c>
      <c r="BB1130" t="n">
        <v>1251.5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80</v>
      </c>
      <c r="BK1130" t="n">
        <v>80</v>
      </c>
      <c r="BL1130" t="n">
        <v>0</v>
      </c>
    </row>
    <row r="1131" hidden="1" outlineLevel="1" ht="31.2" customHeight="1" s="191">
      <c r="A1131" s="275" t="n">
        <v>8</v>
      </c>
      <c r="B1131" s="260" t="inlineStr">
        <is>
          <t>b</t>
        </is>
      </c>
      <c r="C1131" s="261" t="n">
        <v>1</v>
      </c>
      <c r="D1131" s="276" t="inlineStr">
        <is>
          <t>.z11_8_b_1</t>
        </is>
      </c>
      <c r="E1131" s="277" t="inlineStr">
        <is>
          <t>anonimizacji danych oraz ochrony wrażliwych informacji w systemach</t>
        </is>
      </c>
      <c r="F1131" s="538" t="inlineStr">
        <is>
          <t>Imię07</t>
        </is>
      </c>
      <c r="G1131" t="inlineStr">
        <is>
          <t>Nazwisko07</t>
        </is>
      </c>
      <c r="H1131" t="n">
        <v>23</v>
      </c>
      <c r="I1131" t="inlineStr">
        <is>
          <t>.a07</t>
        </is>
      </c>
      <c r="J1131" t="n">
        <v>319</v>
      </c>
      <c r="K1131" t="n">
        <v>48430</v>
      </c>
      <c r="L1131" t="n">
        <v>48430</v>
      </c>
      <c r="M1131" t="n">
        <v>318</v>
      </c>
      <c r="N1131" t="n">
        <v>0</v>
      </c>
      <c r="O1131" t="n">
        <v>80</v>
      </c>
      <c r="P1131" t="n">
        <v>0</v>
      </c>
      <c r="Q1131" t="n">
        <v>0</v>
      </c>
      <c r="R1131" t="n">
        <v>0.5</v>
      </c>
      <c r="S1131" t="n">
        <v>0.5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40</v>
      </c>
      <c r="AJ1131" t="n">
        <v>40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80</v>
      </c>
      <c r="AY1131" t="n">
        <v>0.5</v>
      </c>
      <c r="AZ1131" t="n">
        <v>5007</v>
      </c>
      <c r="BA1131" t="n">
        <v>2503.5</v>
      </c>
      <c r="BB1131" t="n">
        <v>1251.75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80</v>
      </c>
      <c r="BK1131" t="n">
        <v>80</v>
      </c>
      <c r="BL1131" t="n">
        <v>0</v>
      </c>
    </row>
    <row r="1132" hidden="1" outlineLevel="1" ht="31.2" customHeight="1" s="191">
      <c r="A1132" s="275" t="n">
        <v>9</v>
      </c>
      <c r="B1132" s="260" t="inlineStr">
        <is>
          <t>a</t>
        </is>
      </c>
      <c r="C1132" s="261" t="n">
        <v>0</v>
      </c>
      <c r="D1132" s="276" t="inlineStr">
        <is>
          <t>.z11_9_a_0</t>
        </is>
      </c>
      <c r="E1132" s="277" t="inlineStr">
        <is>
          <t>9.Analiza kosztów i ROI</t>
        </is>
      </c>
      <c r="F1132" s="538" t="n">
        <v>0</v>
      </c>
      <c r="G1132" t="n">
        <v>0</v>
      </c>
      <c r="H1132" t="n">
        <v>0</v>
      </c>
      <c r="I1132" t="n">
        <v>0</v>
      </c>
      <c r="J1132" t="n">
        <v>319</v>
      </c>
      <c r="K1132" t="n">
        <v>48430</v>
      </c>
      <c r="L1132" t="n">
        <v>48430</v>
      </c>
      <c r="M1132" t="n">
        <v>318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</row>
    <row r="1133" hidden="1" outlineLevel="1" ht="31.2" customHeight="1" s="191">
      <c r="A1133" s="275" t="n">
        <v>9</v>
      </c>
      <c r="B1133" s="260" t="inlineStr">
        <is>
          <t>a</t>
        </is>
      </c>
      <c r="C1133" s="261" t="n">
        <v>1</v>
      </c>
      <c r="D1133" s="276" t="inlineStr">
        <is>
          <t>.z11_9_a_1</t>
        </is>
      </c>
      <c r="E1133" s="277" t="inlineStr">
        <is>
          <t>Analiza kosztów wdrożenia, w tym koszty technologii, szkolenia, infrastruktury oraz bieżącej obsługi platformy</t>
        </is>
      </c>
      <c r="F1133" s="538" t="inlineStr">
        <is>
          <t>Imię06</t>
        </is>
      </c>
      <c r="G1133" t="inlineStr">
        <is>
          <t>Nazwisko06</t>
        </is>
      </c>
      <c r="H1133" t="n">
        <v>24</v>
      </c>
      <c r="I1133" t="inlineStr">
        <is>
          <t>.a06</t>
        </is>
      </c>
      <c r="J1133" t="n">
        <v>319</v>
      </c>
      <c r="K1133" t="n">
        <v>48430</v>
      </c>
      <c r="L1133" t="n">
        <v>48431</v>
      </c>
      <c r="M1133" t="n">
        <v>319</v>
      </c>
      <c r="N1133" t="n">
        <v>1</v>
      </c>
      <c r="O1133" t="n">
        <v>40</v>
      </c>
      <c r="P1133" t="n">
        <v>0.5</v>
      </c>
      <c r="Q1133" t="n">
        <v>0.5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20</v>
      </c>
      <c r="AH1133" t="n">
        <v>20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40</v>
      </c>
      <c r="AY1133" t="n">
        <v>0.25</v>
      </c>
      <c r="AZ1133" t="n">
        <v>5006</v>
      </c>
      <c r="BA1133" t="n">
        <v>1251.5</v>
      </c>
      <c r="BB1133" t="n">
        <v>312.875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40</v>
      </c>
      <c r="BK1133" t="n">
        <v>40</v>
      </c>
      <c r="BL1133" t="n">
        <v>0</v>
      </c>
    </row>
    <row r="1134" hidden="1" outlineLevel="1" ht="31.2" customHeight="1" s="191">
      <c r="A1134" s="275" t="n">
        <v>9</v>
      </c>
      <c r="B1134" s="260" t="inlineStr">
        <is>
          <t>b</t>
        </is>
      </c>
      <c r="C1134" s="261" t="n">
        <v>1</v>
      </c>
      <c r="D1134" s="276" t="inlineStr">
        <is>
          <t>.z11_9_b_1</t>
        </is>
      </c>
      <c r="E1134" s="277" t="inlineStr">
        <is>
          <t>Określenie ROI na podstawie oszczędności operacyjnych (np. zmniejszenie liczby błędów, skrócenie czasu cyklu zamówienia, redukcja liczby potrzebnych zasobów) oraz wzrostu efektywności</t>
        </is>
      </c>
      <c r="F1134" s="538" t="inlineStr">
        <is>
          <t>Imię07</t>
        </is>
      </c>
      <c r="G1134" t="inlineStr">
        <is>
          <t>Nazwisko07</t>
        </is>
      </c>
      <c r="H1134" t="n">
        <v>25</v>
      </c>
      <c r="I1134" t="inlineStr">
        <is>
          <t>.a07</t>
        </is>
      </c>
      <c r="J1134" t="n">
        <v>320</v>
      </c>
      <c r="K1134" t="n">
        <v>48437</v>
      </c>
      <c r="L1134" t="n">
        <v>48438</v>
      </c>
      <c r="M1134" t="n">
        <v>320</v>
      </c>
      <c r="N1134" t="n">
        <v>1</v>
      </c>
      <c r="O1134" t="n">
        <v>40</v>
      </c>
      <c r="P1134" t="n">
        <v>0.5</v>
      </c>
      <c r="Q1134" t="n">
        <v>0.5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20</v>
      </c>
      <c r="AH1134" t="n">
        <v>20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40</v>
      </c>
      <c r="AY1134" t="n">
        <v>0.25</v>
      </c>
      <c r="AZ1134" t="n">
        <v>5007</v>
      </c>
      <c r="BA1134" t="n">
        <v>1251.75</v>
      </c>
      <c r="BB1134" t="n">
        <v>312.9375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40</v>
      </c>
      <c r="BK1134" t="n">
        <v>40</v>
      </c>
      <c r="BL1134" t="n">
        <v>0</v>
      </c>
    </row>
    <row r="1135" hidden="1" outlineLevel="1" ht="15.6" customHeight="1" s="191">
      <c r="A1135" s="275" t="n"/>
      <c r="B1135" s="260" t="n"/>
      <c r="C1135" s="261" t="n"/>
      <c r="D1135" s="276" t="n"/>
      <c r="E1135" s="277" t="n"/>
      <c r="F1135" s="538" t="n"/>
      <c r="BJ1135" t="n">
        <v>0</v>
      </c>
      <c r="BK1135" t="n">
        <v>0</v>
      </c>
      <c r="BL1135" t="n">
        <v>0</v>
      </c>
    </row>
    <row r="1136" hidden="1" outlineLevel="1" ht="15.6" customHeight="1" s="191">
      <c r="A1136" s="275" t="n"/>
      <c r="B1136" s="260" t="n"/>
      <c r="C1136" s="261" t="n"/>
      <c r="D1136" s="276" t="n"/>
      <c r="E1136" s="277" t="n"/>
      <c r="F1136" s="538" t="n"/>
      <c r="BJ1136" t="n">
        <v>0</v>
      </c>
      <c r="BK1136" t="n">
        <v>0</v>
      </c>
      <c r="BL1136" t="n">
        <v>0</v>
      </c>
    </row>
    <row r="1137" hidden="1" outlineLevel="1" ht="15.6" customHeight="1" s="191">
      <c r="A1137" s="275" t="n"/>
      <c r="B1137" s="260" t="n"/>
      <c r="C1137" s="261" t="n"/>
      <c r="D1137" s="276" t="n"/>
      <c r="E1137" s="277" t="n"/>
      <c r="F1137" s="538" t="n"/>
      <c r="BJ1137" t="n">
        <v>0</v>
      </c>
      <c r="BK1137" t="n">
        <v>0</v>
      </c>
      <c r="BL1137" t="n">
        <v>0</v>
      </c>
    </row>
    <row r="1138" hidden="1" outlineLevel="1" ht="15.6" customHeight="1" s="191">
      <c r="A1138" s="275" t="n"/>
      <c r="B1138" s="260" t="n"/>
      <c r="C1138" s="261" t="n"/>
      <c r="D1138" s="276" t="n"/>
      <c r="E1138" s="277" t="n"/>
      <c r="F1138" s="538" t="n"/>
      <c r="BJ1138" t="n">
        <v>0</v>
      </c>
      <c r="BK1138" t="n">
        <v>0</v>
      </c>
      <c r="BL1138" t="n">
        <v>0</v>
      </c>
    </row>
    <row r="1139" hidden="1" outlineLevel="1" ht="15.6" customHeight="1" s="191">
      <c r="A1139" s="275" t="n"/>
      <c r="B1139" s="260" t="n"/>
      <c r="C1139" s="261" t="n"/>
      <c r="D1139" s="276" t="n"/>
      <c r="E1139" s="277" t="n"/>
      <c r="F1139" s="538" t="n"/>
      <c r="BJ1139" t="n">
        <v>0</v>
      </c>
      <c r="BK1139" t="n">
        <v>0</v>
      </c>
      <c r="BL1139" t="n">
        <v>0</v>
      </c>
    </row>
    <row r="1140" hidden="1" outlineLevel="1" ht="15.6" customHeight="1" s="191">
      <c r="A1140" s="275" t="n"/>
      <c r="B1140" s="260" t="n"/>
      <c r="C1140" s="261" t="n"/>
      <c r="D1140" s="276" t="n"/>
      <c r="E1140" s="277" t="n"/>
      <c r="F1140" s="538" t="n"/>
      <c r="BJ1140" t="n">
        <v>0</v>
      </c>
      <c r="BK1140" t="n">
        <v>0</v>
      </c>
      <c r="BL1140" t="n">
        <v>0</v>
      </c>
    </row>
    <row r="1141" hidden="1" outlineLevel="1" ht="15.6" customHeight="1" s="191">
      <c r="A1141" s="275" t="n"/>
      <c r="B1141" s="260" t="n"/>
      <c r="C1141" s="261" t="n"/>
      <c r="D1141" s="276" t="n"/>
      <c r="E1141" s="277" t="n"/>
      <c r="F1141" s="538" t="n"/>
      <c r="BJ1141" t="n">
        <v>0</v>
      </c>
      <c r="BK1141" t="n">
        <v>0</v>
      </c>
      <c r="BL1141" t="n">
        <v>0</v>
      </c>
    </row>
    <row r="1142" hidden="1" outlineLevel="1" ht="15.6" customHeight="1" s="191">
      <c r="A1142" s="275" t="n"/>
      <c r="B1142" s="260" t="n"/>
      <c r="C1142" s="261" t="n"/>
      <c r="D1142" s="276" t="n"/>
      <c r="E1142" s="277" t="n"/>
      <c r="F1142" s="538" t="n"/>
      <c r="BJ1142" t="n">
        <v>0</v>
      </c>
      <c r="BK1142" t="n">
        <v>0</v>
      </c>
      <c r="BL1142" t="n">
        <v>0</v>
      </c>
    </row>
    <row r="1143" hidden="1" outlineLevel="1" ht="15.6" customHeight="1" s="191">
      <c r="A1143" s="275" t="n"/>
      <c r="B1143" s="260" t="n"/>
      <c r="C1143" s="261" t="n"/>
      <c r="D1143" s="276" t="n"/>
      <c r="E1143" s="277" t="n"/>
      <c r="F1143" s="538" t="n"/>
      <c r="BJ1143" t="n">
        <v>0</v>
      </c>
      <c r="BK1143" t="n">
        <v>0</v>
      </c>
      <c r="BL1143" t="n">
        <v>0</v>
      </c>
    </row>
    <row r="1144" hidden="1" outlineLevel="1" ht="15.6" customHeight="1" s="191">
      <c r="A1144" s="275" t="n"/>
      <c r="B1144" s="260" t="n"/>
      <c r="C1144" s="261" t="n"/>
      <c r="D1144" s="276" t="n"/>
      <c r="E1144" s="277" t="n"/>
      <c r="F1144" s="538" t="n"/>
      <c r="BJ1144" t="n">
        <v>0</v>
      </c>
      <c r="BK1144" t="n">
        <v>0</v>
      </c>
      <c r="BL1144" t="n">
        <v>0</v>
      </c>
    </row>
    <row r="1145" hidden="1" outlineLevel="1" ht="15.6" customHeight="1" s="191">
      <c r="A1145" s="275" t="n"/>
      <c r="B1145" s="260" t="n"/>
      <c r="C1145" s="261" t="n"/>
      <c r="D1145" s="276" t="n"/>
      <c r="E1145" s="277" t="n"/>
      <c r="F1145" s="538" t="n"/>
      <c r="BJ1145" t="n">
        <v>0</v>
      </c>
      <c r="BK1145" t="n">
        <v>0</v>
      </c>
      <c r="BL1145" t="n">
        <v>0</v>
      </c>
    </row>
    <row r="1146" hidden="1" outlineLevel="1" ht="15.6" customHeight="1" s="191">
      <c r="A1146" s="275" t="n"/>
      <c r="B1146" s="260" t="n"/>
      <c r="C1146" s="261" t="n"/>
      <c r="D1146" s="276" t="n"/>
      <c r="E1146" s="277" t="n"/>
      <c r="F1146" s="538" t="n"/>
      <c r="BJ1146" t="n">
        <v>0</v>
      </c>
      <c r="BK1146" t="n">
        <v>0</v>
      </c>
      <c r="BL1146" t="n">
        <v>0</v>
      </c>
    </row>
    <row r="1147" hidden="1" outlineLevel="1" ht="15.6" customHeight="1" s="191">
      <c r="A1147" s="275" t="n"/>
      <c r="B1147" s="260" t="n"/>
      <c r="C1147" s="261" t="n"/>
      <c r="D1147" s="276" t="n"/>
      <c r="E1147" s="277" t="n"/>
      <c r="F1147" s="538" t="n"/>
      <c r="BJ1147" t="n">
        <v>0</v>
      </c>
      <c r="BK1147" t="n">
        <v>0</v>
      </c>
      <c r="BL1147" t="n">
        <v>0</v>
      </c>
    </row>
    <row r="1148" hidden="1" outlineLevel="1" ht="15.6" customHeight="1" s="191">
      <c r="A1148" s="275" t="n"/>
      <c r="B1148" s="260" t="n"/>
      <c r="C1148" s="261" t="n"/>
      <c r="D1148" s="276" t="n"/>
      <c r="E1148" s="277" t="n"/>
      <c r="F1148" s="538" t="n"/>
      <c r="BJ1148" t="n">
        <v>0</v>
      </c>
      <c r="BK1148" t="n">
        <v>0</v>
      </c>
      <c r="BL1148" t="n">
        <v>0</v>
      </c>
    </row>
    <row r="1149" hidden="1" outlineLevel="1" ht="15.6" customHeight="1" s="191">
      <c r="A1149" s="275" t="n"/>
      <c r="B1149" s="260" t="n"/>
      <c r="C1149" s="261" t="n"/>
      <c r="D1149" s="276" t="n"/>
      <c r="E1149" s="277" t="n"/>
      <c r="F1149" s="538" t="n"/>
      <c r="BJ1149" t="n">
        <v>0</v>
      </c>
      <c r="BK1149" t="n">
        <v>0</v>
      </c>
      <c r="BL1149" t="n">
        <v>0</v>
      </c>
    </row>
    <row r="1150" hidden="1" outlineLevel="1" ht="15.6" customHeight="1" s="191">
      <c r="A1150" s="275" t="n"/>
      <c r="B1150" s="260" t="n"/>
      <c r="C1150" s="261" t="n"/>
      <c r="D1150" s="276" t="n"/>
      <c r="E1150" s="277" t="n"/>
      <c r="F1150" s="538" t="n"/>
      <c r="BJ1150" t="n">
        <v>0</v>
      </c>
      <c r="BK1150" t="n">
        <v>0</v>
      </c>
      <c r="BL1150" t="n">
        <v>0</v>
      </c>
    </row>
    <row r="1151" hidden="1" outlineLevel="1" ht="15.6" customHeight="1" s="191">
      <c r="A1151" s="275" t="n"/>
      <c r="B1151" s="260" t="n"/>
      <c r="C1151" s="261" t="n"/>
      <c r="D1151" s="276" t="n"/>
      <c r="E1151" s="277" t="n"/>
      <c r="F1151" s="538" t="n"/>
      <c r="BJ1151" t="n">
        <v>0</v>
      </c>
      <c r="BK1151" t="n">
        <v>0</v>
      </c>
      <c r="BL1151" t="n">
        <v>0</v>
      </c>
    </row>
    <row r="1152" hidden="1" outlineLevel="1" ht="15.6" customHeight="1" s="191">
      <c r="A1152" s="275" t="n"/>
      <c r="B1152" s="260" t="n"/>
      <c r="C1152" s="261" t="n"/>
      <c r="D1152" s="276" t="n"/>
      <c r="E1152" s="277" t="n"/>
      <c r="F1152" s="538" t="n"/>
      <c r="BJ1152" t="n">
        <v>0</v>
      </c>
      <c r="BK1152" t="n">
        <v>0</v>
      </c>
      <c r="BL1152" t="n">
        <v>0</v>
      </c>
    </row>
    <row r="1153" hidden="1" outlineLevel="1" ht="15.6" customHeight="1" s="191">
      <c r="A1153" s="275" t="n"/>
      <c r="B1153" s="260" t="n"/>
      <c r="C1153" s="261" t="n"/>
      <c r="D1153" s="276" t="n"/>
      <c r="E1153" s="277" t="n"/>
      <c r="F1153" s="538" t="n"/>
      <c r="BJ1153" t="n">
        <v>0</v>
      </c>
      <c r="BK1153" t="n">
        <v>0</v>
      </c>
      <c r="BL1153" t="n">
        <v>0</v>
      </c>
    </row>
    <row r="1154" hidden="1" outlineLevel="1" ht="15.6" customHeight="1" s="191">
      <c r="A1154" s="275" t="n"/>
      <c r="B1154" s="260" t="n"/>
      <c r="C1154" s="261" t="n"/>
      <c r="D1154" s="276" t="n"/>
      <c r="E1154" s="277" t="n"/>
      <c r="F1154" s="538" t="n"/>
      <c r="BJ1154" t="n">
        <v>0</v>
      </c>
      <c r="BK1154" t="n">
        <v>0</v>
      </c>
      <c r="BL1154" t="n">
        <v>0</v>
      </c>
    </row>
    <row r="1155" hidden="1" outlineLevel="1" ht="15.6" customHeight="1" s="191">
      <c r="A1155" s="275" t="n"/>
      <c r="B1155" s="260" t="n"/>
      <c r="C1155" s="261" t="n"/>
      <c r="D1155" s="276" t="n"/>
      <c r="E1155" s="277" t="n"/>
      <c r="F1155" s="538" t="n"/>
      <c r="BJ1155" t="n">
        <v>0</v>
      </c>
      <c r="BK1155" t="n">
        <v>0</v>
      </c>
      <c r="BL1155" t="n">
        <v>0</v>
      </c>
    </row>
    <row r="1156" hidden="1" outlineLevel="1" ht="15.6" customHeight="1" s="191">
      <c r="A1156" s="275" t="n"/>
      <c r="B1156" s="260" t="n"/>
      <c r="C1156" s="261" t="n"/>
      <c r="D1156" s="276" t="n"/>
      <c r="E1156" s="277" t="n"/>
      <c r="F1156" s="538" t="n"/>
      <c r="BJ1156" t="n">
        <v>0</v>
      </c>
      <c r="BK1156" t="n">
        <v>0</v>
      </c>
      <c r="BL1156" t="n">
        <v>0</v>
      </c>
    </row>
    <row r="1157" hidden="1" outlineLevel="1" ht="15.6" customHeight="1" s="191">
      <c r="A1157" s="275" t="n"/>
      <c r="B1157" s="260" t="n"/>
      <c r="C1157" s="261" t="n"/>
      <c r="D1157" s="276" t="n"/>
      <c r="E1157" s="277" t="n"/>
      <c r="F1157" s="538" t="n"/>
      <c r="BJ1157" t="n">
        <v>0</v>
      </c>
      <c r="BK1157" t="n">
        <v>0</v>
      </c>
      <c r="BL1157" t="n">
        <v>0</v>
      </c>
    </row>
    <row r="1158" hidden="1" outlineLevel="1" ht="15.6" customHeight="1" s="191">
      <c r="A1158" s="275" t="n"/>
      <c r="B1158" s="260" t="n"/>
      <c r="C1158" s="261" t="n"/>
      <c r="D1158" s="276" t="n"/>
      <c r="E1158" s="277" t="n"/>
      <c r="F1158" s="538" t="n"/>
      <c r="BJ1158" t="n">
        <v>0</v>
      </c>
      <c r="BK1158" t="n">
        <v>0</v>
      </c>
      <c r="BL1158" t="n">
        <v>0</v>
      </c>
    </row>
    <row r="1159" hidden="1" outlineLevel="1" ht="15.6" customHeight="1" s="191">
      <c r="A1159" s="275" t="n"/>
      <c r="B1159" s="260" t="n"/>
      <c r="C1159" s="261" t="n"/>
      <c r="D1159" s="276" t="n"/>
      <c r="E1159" s="277" t="n"/>
      <c r="F1159" s="538" t="n"/>
      <c r="BJ1159" t="n">
        <v>0</v>
      </c>
      <c r="BK1159" t="n">
        <v>0</v>
      </c>
      <c r="BL1159" t="n">
        <v>0</v>
      </c>
    </row>
    <row r="1160" hidden="1" outlineLevel="1" ht="15.6" customHeight="1" s="191">
      <c r="A1160" s="275" t="n"/>
      <c r="B1160" s="260" t="n"/>
      <c r="C1160" s="261" t="n"/>
      <c r="D1160" s="276" t="n"/>
      <c r="E1160" s="277" t="n"/>
      <c r="F1160" s="538" t="n"/>
      <c r="BJ1160" t="n">
        <v>0</v>
      </c>
      <c r="BK1160" t="n">
        <v>0</v>
      </c>
      <c r="BL1160" t="n">
        <v>0</v>
      </c>
    </row>
    <row r="1161" hidden="1" outlineLevel="1" ht="15.6" customHeight="1" s="191">
      <c r="A1161" s="275" t="n"/>
      <c r="B1161" s="260" t="n"/>
      <c r="C1161" s="261" t="n"/>
      <c r="D1161" s="276" t="n"/>
      <c r="E1161" s="277" t="n"/>
      <c r="F1161" s="538" t="n"/>
      <c r="BJ1161" t="n">
        <v>0</v>
      </c>
      <c r="BK1161" t="n">
        <v>0</v>
      </c>
      <c r="BL1161" t="n">
        <v>0</v>
      </c>
    </row>
    <row r="1162" hidden="1" outlineLevel="1" ht="15.6" customHeight="1" s="191">
      <c r="A1162" s="275" t="n"/>
      <c r="B1162" s="260" t="n"/>
      <c r="C1162" s="261" t="n"/>
      <c r="D1162" s="276" t="n"/>
      <c r="E1162" s="277" t="n"/>
      <c r="F1162" s="538" t="n"/>
      <c r="BJ1162" t="n">
        <v>0</v>
      </c>
      <c r="BK1162" t="n">
        <v>0</v>
      </c>
      <c r="BL1162" t="n">
        <v>0</v>
      </c>
    </row>
    <row r="1163" hidden="1" outlineLevel="1" ht="15.6" customHeight="1" s="191">
      <c r="A1163" s="275" t="n"/>
      <c r="B1163" s="260" t="n"/>
      <c r="C1163" s="261" t="n"/>
      <c r="D1163" s="276" t="n"/>
      <c r="E1163" s="277" t="n"/>
      <c r="F1163" s="538" t="n"/>
      <c r="BJ1163" t="n">
        <v>0</v>
      </c>
      <c r="BK1163" t="n">
        <v>0</v>
      </c>
      <c r="BL1163" t="n">
        <v>0</v>
      </c>
    </row>
    <row r="1164" hidden="1" outlineLevel="1" ht="15.6" customHeight="1" s="191">
      <c r="A1164" s="275" t="n"/>
      <c r="B1164" s="260" t="n"/>
      <c r="C1164" s="261" t="n"/>
      <c r="D1164" s="276" t="n"/>
      <c r="E1164" s="277" t="n"/>
      <c r="F1164" s="538" t="n"/>
      <c r="BJ1164" t="n">
        <v>0</v>
      </c>
      <c r="BK1164" t="n">
        <v>0</v>
      </c>
      <c r="BL1164" t="n">
        <v>0</v>
      </c>
    </row>
    <row r="1165" hidden="1" outlineLevel="1" ht="15.6" customHeight="1" s="191">
      <c r="A1165" s="275" t="n"/>
      <c r="B1165" s="260" t="n"/>
      <c r="C1165" s="261" t="n"/>
      <c r="D1165" s="276" t="n"/>
      <c r="E1165" s="277" t="n"/>
      <c r="F1165" s="538" t="n"/>
      <c r="BJ1165" t="n">
        <v>0</v>
      </c>
      <c r="BK1165" t="n">
        <v>0</v>
      </c>
      <c r="BL1165" t="n">
        <v>0</v>
      </c>
    </row>
    <row r="1166" hidden="1" outlineLevel="1" ht="15.6" customHeight="1" s="191">
      <c r="A1166" s="275" t="n"/>
      <c r="B1166" s="260" t="n"/>
      <c r="C1166" s="261" t="n"/>
      <c r="D1166" s="276" t="n"/>
      <c r="E1166" s="277" t="n"/>
      <c r="F1166" s="538" t="n"/>
      <c r="BJ1166" t="n">
        <v>0</v>
      </c>
      <c r="BK1166" t="n">
        <v>0</v>
      </c>
      <c r="BL1166" t="n">
        <v>0</v>
      </c>
    </row>
    <row r="1167" hidden="1" outlineLevel="1" ht="15.6" customHeight="1" s="191">
      <c r="A1167" s="275" t="n"/>
      <c r="B1167" s="260" t="n"/>
      <c r="C1167" s="261" t="n"/>
      <c r="D1167" s="276" t="n"/>
      <c r="E1167" s="277" t="n"/>
      <c r="F1167" s="538" t="n"/>
      <c r="BJ1167" t="n">
        <v>0</v>
      </c>
      <c r="BK1167" t="n">
        <v>0</v>
      </c>
      <c r="BL1167" t="n">
        <v>0</v>
      </c>
    </row>
    <row r="1168" hidden="1" outlineLevel="1" ht="15.6" customHeight="1" s="191">
      <c r="A1168" s="275" t="n"/>
      <c r="B1168" s="260" t="n"/>
      <c r="C1168" s="261" t="n"/>
      <c r="D1168" s="276" t="n"/>
      <c r="E1168" s="277" t="n"/>
      <c r="F1168" s="538" t="n"/>
      <c r="BJ1168" t="n">
        <v>0</v>
      </c>
      <c r="BK1168" t="n">
        <v>0</v>
      </c>
      <c r="BL1168" t="n">
        <v>0</v>
      </c>
    </row>
    <row r="1169" hidden="1" outlineLevel="1" ht="15.6" customHeight="1" s="191">
      <c r="A1169" s="275" t="n"/>
      <c r="B1169" s="260" t="n"/>
      <c r="C1169" s="261" t="n"/>
      <c r="D1169" s="276" t="n"/>
      <c r="E1169" s="277" t="n"/>
      <c r="F1169" s="538" t="n"/>
      <c r="BJ1169" t="n">
        <v>0</v>
      </c>
      <c r="BK1169" t="n">
        <v>0</v>
      </c>
      <c r="BL1169" t="n">
        <v>0</v>
      </c>
    </row>
    <row r="1170" hidden="1" outlineLevel="1" ht="15.6" customHeight="1" s="191">
      <c r="A1170" s="275" t="n"/>
      <c r="B1170" s="260" t="n"/>
      <c r="C1170" s="261" t="n"/>
      <c r="D1170" s="276" t="n"/>
      <c r="E1170" s="277" t="n"/>
      <c r="F1170" s="538" t="n"/>
      <c r="BJ1170" t="n">
        <v>0</v>
      </c>
      <c r="BK1170" t="n">
        <v>0</v>
      </c>
      <c r="BL1170" t="n">
        <v>0</v>
      </c>
    </row>
    <row r="1171" hidden="1" outlineLevel="1" ht="15.6" customHeight="1" s="191">
      <c r="A1171" s="275" t="n"/>
      <c r="B1171" s="260" t="n"/>
      <c r="C1171" s="261" t="n"/>
      <c r="D1171" s="276" t="n"/>
      <c r="E1171" s="277" t="n"/>
      <c r="F1171" s="538" t="n"/>
      <c r="BJ1171" t="n">
        <v>0</v>
      </c>
      <c r="BK1171" t="n">
        <v>0</v>
      </c>
      <c r="BL1171" t="n">
        <v>0</v>
      </c>
    </row>
    <row r="1172" hidden="1" outlineLevel="1" ht="15.6" customHeight="1" s="191">
      <c r="A1172" s="275" t="n"/>
      <c r="B1172" s="260" t="n"/>
      <c r="C1172" s="261" t="n"/>
      <c r="D1172" s="276" t="n"/>
      <c r="E1172" s="277" t="n"/>
      <c r="F1172" s="538" t="n"/>
      <c r="BJ1172" t="n">
        <v>0</v>
      </c>
      <c r="BK1172" t="n">
        <v>0</v>
      </c>
      <c r="BL1172" t="n">
        <v>0</v>
      </c>
    </row>
    <row r="1173" hidden="1" outlineLevel="1" ht="15.6" customHeight="1" s="191">
      <c r="A1173" s="275" t="n"/>
      <c r="B1173" s="260" t="n"/>
      <c r="C1173" s="261" t="n"/>
      <c r="D1173" s="276" t="n"/>
      <c r="E1173" s="277" t="n"/>
      <c r="F1173" s="538" t="n"/>
      <c r="BJ1173" t="n">
        <v>0</v>
      </c>
      <c r="BK1173" t="n">
        <v>0</v>
      </c>
      <c r="BL1173" t="n">
        <v>0</v>
      </c>
    </row>
    <row r="1174" hidden="1" outlineLevel="1" ht="15.6" customHeight="1" s="191">
      <c r="A1174" s="275" t="n"/>
      <c r="B1174" s="260" t="n"/>
      <c r="C1174" s="261" t="n"/>
      <c r="D1174" s="276" t="n"/>
      <c r="E1174" s="277" t="n"/>
      <c r="F1174" s="538" t="n"/>
      <c r="BJ1174" t="n">
        <v>0</v>
      </c>
      <c r="BK1174" t="n">
        <v>0</v>
      </c>
      <c r="BL1174" t="n">
        <v>0</v>
      </c>
    </row>
    <row r="1175" hidden="1" outlineLevel="1" ht="15.6" customHeight="1" s="191">
      <c r="A1175" s="275" t="n"/>
      <c r="B1175" s="260" t="n"/>
      <c r="C1175" s="261" t="n"/>
      <c r="D1175" s="276" t="n"/>
      <c r="E1175" s="277" t="n"/>
      <c r="F1175" s="538" t="n"/>
      <c r="BJ1175" t="n">
        <v>0</v>
      </c>
      <c r="BK1175" t="n">
        <v>0</v>
      </c>
      <c r="BL1175" t="n">
        <v>0</v>
      </c>
    </row>
    <row r="1176" hidden="1" outlineLevel="1" ht="15.6" customHeight="1" s="191">
      <c r="A1176" s="275" t="n"/>
      <c r="B1176" s="260" t="n"/>
      <c r="C1176" s="261" t="n"/>
      <c r="D1176" s="276" t="n"/>
      <c r="E1176" s="277" t="n"/>
      <c r="F1176" s="538" t="n"/>
      <c r="BJ1176" t="n">
        <v>0</v>
      </c>
      <c r="BK1176" t="n">
        <v>0</v>
      </c>
      <c r="BL1176" t="n">
        <v>0</v>
      </c>
    </row>
    <row r="1177" hidden="1" outlineLevel="1" ht="15.6" customHeight="1" s="191">
      <c r="A1177" s="275" t="n"/>
      <c r="B1177" s="260" t="n"/>
      <c r="C1177" s="261" t="n"/>
      <c r="D1177" s="276" t="n"/>
      <c r="E1177" s="277" t="n"/>
      <c r="F1177" s="538" t="n"/>
      <c r="BJ1177" t="n">
        <v>0</v>
      </c>
      <c r="BK1177" t="n">
        <v>0</v>
      </c>
      <c r="BL1177" t="n">
        <v>0</v>
      </c>
    </row>
    <row r="1178" hidden="1" outlineLevel="1" ht="15.6" customHeight="1" s="191">
      <c r="A1178" s="275" t="n"/>
      <c r="B1178" s="260" t="n"/>
      <c r="C1178" s="261" t="n"/>
      <c r="D1178" s="276" t="n"/>
      <c r="E1178" s="277" t="n"/>
      <c r="F1178" s="538" t="n"/>
      <c r="BJ1178" t="n">
        <v>0</v>
      </c>
      <c r="BK1178" t="n">
        <v>0</v>
      </c>
      <c r="BL1178" t="n">
        <v>0</v>
      </c>
    </row>
    <row r="1179" hidden="1" outlineLevel="1" ht="15.6" customHeight="1" s="191">
      <c r="A1179" s="275" t="n"/>
      <c r="B1179" s="260" t="n"/>
      <c r="C1179" s="261" t="n"/>
      <c r="D1179" s="276" t="n"/>
      <c r="E1179" s="277" t="n"/>
      <c r="F1179" s="538" t="n"/>
      <c r="BJ1179" t="n">
        <v>0</v>
      </c>
      <c r="BK1179" t="n">
        <v>0</v>
      </c>
      <c r="BL1179" t="n">
        <v>0</v>
      </c>
    </row>
    <row r="1180" hidden="1" outlineLevel="1" ht="15.6" customHeight="1" s="191">
      <c r="A1180" s="275" t="n"/>
      <c r="B1180" s="260" t="n"/>
      <c r="C1180" s="261" t="n"/>
      <c r="D1180" s="276" t="n"/>
      <c r="E1180" s="277" t="n"/>
      <c r="F1180" s="538" t="n"/>
      <c r="BJ1180" t="n">
        <v>0</v>
      </c>
      <c r="BK1180" t="n">
        <v>0</v>
      </c>
      <c r="BL1180" t="n">
        <v>0</v>
      </c>
    </row>
    <row r="1181" hidden="1" outlineLevel="1" ht="15.6" customHeight="1" s="191">
      <c r="A1181" s="275" t="n"/>
      <c r="B1181" s="260" t="n"/>
      <c r="C1181" s="261" t="n"/>
      <c r="D1181" s="276" t="n"/>
      <c r="E1181" s="277" t="n"/>
      <c r="F1181" s="538" t="n"/>
      <c r="BJ1181" t="n">
        <v>0</v>
      </c>
      <c r="BK1181" t="n">
        <v>0</v>
      </c>
      <c r="BL1181" t="n">
        <v>0</v>
      </c>
    </row>
    <row r="1182" hidden="1" outlineLevel="1" ht="15.6" customHeight="1" s="191">
      <c r="A1182" s="275" t="n"/>
      <c r="B1182" s="260" t="n"/>
      <c r="C1182" s="261" t="n"/>
      <c r="D1182" s="276" t="n"/>
      <c r="E1182" s="277" t="n"/>
      <c r="F1182" s="538" t="n"/>
      <c r="BJ1182" t="n">
        <v>0</v>
      </c>
      <c r="BK1182" t="n">
        <v>0</v>
      </c>
      <c r="BL1182" t="n">
        <v>0</v>
      </c>
    </row>
    <row r="1183" hidden="1" outlineLevel="1" ht="15.6" customHeight="1" s="191">
      <c r="A1183" s="275" t="n"/>
      <c r="B1183" s="260" t="n"/>
      <c r="C1183" s="261" t="n"/>
      <c r="D1183" s="276" t="n"/>
      <c r="E1183" s="277" t="n"/>
      <c r="F1183" s="538" t="n"/>
      <c r="BJ1183" t="n">
        <v>0</v>
      </c>
      <c r="BK1183" t="n">
        <v>0</v>
      </c>
      <c r="BL1183" t="n">
        <v>0</v>
      </c>
    </row>
    <row r="1184" hidden="1" outlineLevel="1" ht="15.6" customHeight="1" s="191">
      <c r="A1184" s="275" t="n"/>
      <c r="B1184" s="260" t="n"/>
      <c r="C1184" s="261" t="n"/>
      <c r="D1184" s="276" t="n"/>
      <c r="E1184" s="277" t="n"/>
      <c r="F1184" s="538" t="n"/>
      <c r="BJ1184" t="n">
        <v>0</v>
      </c>
      <c r="BK1184" t="n">
        <v>0</v>
      </c>
      <c r="BL1184" t="n">
        <v>0</v>
      </c>
    </row>
    <row r="1185" hidden="1" outlineLevel="1" ht="15.6" customHeight="1" s="191">
      <c r="A1185" s="275" t="n"/>
      <c r="B1185" s="260" t="n"/>
      <c r="C1185" s="261" t="n"/>
      <c r="D1185" s="276" t="n"/>
      <c r="E1185" s="277" t="n"/>
      <c r="F1185" s="538" t="n"/>
      <c r="BJ1185" t="n">
        <v>0</v>
      </c>
      <c r="BK1185" t="n">
        <v>0</v>
      </c>
      <c r="BL1185" t="n">
        <v>0</v>
      </c>
    </row>
    <row r="1186" hidden="1" outlineLevel="1" ht="15.6" customHeight="1" s="191">
      <c r="A1186" s="275" t="n"/>
      <c r="B1186" s="260" t="n"/>
      <c r="C1186" s="261" t="n"/>
      <c r="D1186" s="276" t="n"/>
      <c r="E1186" s="277" t="n"/>
      <c r="F1186" s="538" t="n"/>
      <c r="BJ1186" t="n">
        <v>0</v>
      </c>
      <c r="BK1186" t="n">
        <v>0</v>
      </c>
      <c r="BL1186" t="n">
        <v>0</v>
      </c>
    </row>
    <row r="1187" hidden="1" outlineLevel="1" ht="15.6" customHeight="1" s="191">
      <c r="A1187" s="275" t="n"/>
      <c r="B1187" s="260" t="n"/>
      <c r="C1187" s="261" t="n"/>
      <c r="D1187" s="276" t="n"/>
      <c r="E1187" s="277" t="n"/>
      <c r="F1187" s="538" t="n"/>
      <c r="BJ1187" t="n">
        <v>0</v>
      </c>
      <c r="BK1187" t="n">
        <v>0</v>
      </c>
      <c r="BL1187" t="n">
        <v>0</v>
      </c>
    </row>
    <row r="1188" hidden="1" outlineLevel="1" ht="15.6" customHeight="1" s="191">
      <c r="A1188" s="275" t="n"/>
      <c r="B1188" s="260" t="n"/>
      <c r="C1188" s="261" t="n"/>
      <c r="D1188" s="276" t="n"/>
      <c r="E1188" s="277" t="n"/>
      <c r="F1188" s="538" t="n"/>
      <c r="BJ1188" t="n">
        <v>0</v>
      </c>
      <c r="BK1188" t="n">
        <v>0</v>
      </c>
      <c r="BL1188" t="n">
        <v>0</v>
      </c>
    </row>
    <row r="1189" hidden="1" outlineLevel="1" ht="15.6" customHeight="1" s="191">
      <c r="A1189" s="275" t="n"/>
      <c r="B1189" s="260" t="n"/>
      <c r="C1189" s="261" t="n"/>
      <c r="D1189" s="276" t="n"/>
      <c r="E1189" s="277" t="n"/>
      <c r="F1189" s="538" t="n"/>
      <c r="BJ1189" t="n">
        <v>0</v>
      </c>
      <c r="BK1189" t="n">
        <v>0</v>
      </c>
      <c r="BL1189" t="n">
        <v>0</v>
      </c>
    </row>
    <row r="1190" hidden="1" outlineLevel="1" ht="15.6" customHeight="1" s="191">
      <c r="A1190" s="275" t="n"/>
      <c r="B1190" s="260" t="n"/>
      <c r="C1190" s="261" t="n"/>
      <c r="D1190" s="276" t="n"/>
      <c r="E1190" s="277" t="n"/>
      <c r="F1190" s="538" t="n"/>
      <c r="BJ1190" t="n">
        <v>0</v>
      </c>
      <c r="BK1190" t="n">
        <v>0</v>
      </c>
      <c r="BL1190" t="n">
        <v>0</v>
      </c>
    </row>
    <row r="1191" hidden="1" outlineLevel="1" ht="15.6" customHeight="1" s="191">
      <c r="A1191" s="275" t="n"/>
      <c r="B1191" s="260" t="n"/>
      <c r="C1191" s="261" t="n"/>
      <c r="D1191" s="276" t="n"/>
      <c r="E1191" s="277" t="n"/>
      <c r="F1191" s="538" t="n"/>
      <c r="BJ1191" t="n">
        <v>0</v>
      </c>
      <c r="BK1191" t="n">
        <v>0</v>
      </c>
      <c r="BL1191" t="n">
        <v>0</v>
      </c>
    </row>
    <row r="1192" hidden="1" outlineLevel="1" ht="15.6" customHeight="1" s="191">
      <c r="A1192" s="275" t="n"/>
      <c r="B1192" s="260" t="n"/>
      <c r="C1192" s="261" t="n"/>
      <c r="D1192" s="276" t="n"/>
      <c r="E1192" s="277" t="n"/>
      <c r="F1192" s="538" t="n"/>
      <c r="BJ1192" t="n">
        <v>0</v>
      </c>
      <c r="BK1192" t="n">
        <v>0</v>
      </c>
      <c r="BL1192" t="n">
        <v>0</v>
      </c>
    </row>
    <row r="1193" hidden="1" outlineLevel="1" ht="15.6" customHeight="1" s="191">
      <c r="A1193" s="275" t="n"/>
      <c r="B1193" s="260" t="n"/>
      <c r="C1193" s="261" t="n"/>
      <c r="D1193" s="276" t="n"/>
      <c r="E1193" s="277" t="n"/>
      <c r="F1193" s="538" t="n"/>
      <c r="BJ1193" t="n">
        <v>0</v>
      </c>
      <c r="BK1193" t="n">
        <v>0</v>
      </c>
      <c r="BL1193" t="n">
        <v>0</v>
      </c>
    </row>
    <row r="1194" hidden="1" outlineLevel="1" ht="15.6" customHeight="1" s="191">
      <c r="A1194" s="275" t="n"/>
      <c r="B1194" s="260" t="n"/>
      <c r="C1194" s="261" t="n"/>
      <c r="D1194" s="276" t="n"/>
      <c r="E1194" s="277" t="n"/>
      <c r="F1194" s="538" t="n"/>
      <c r="BJ1194" t="n">
        <v>0</v>
      </c>
      <c r="BK1194" t="n">
        <v>0</v>
      </c>
      <c r="BL1194" t="n">
        <v>0</v>
      </c>
    </row>
    <row r="1195" hidden="1" outlineLevel="1" s="191">
      <c r="BJ1195" t="n">
        <v>0</v>
      </c>
      <c r="BK1195" t="n">
        <v>0</v>
      </c>
      <c r="BL1195" t="n">
        <v>0</v>
      </c>
    </row>
    <row r="1196" hidden="1" outlineLevel="1" s="191">
      <c r="BJ1196" t="n">
        <v>0</v>
      </c>
      <c r="BK1196" t="n">
        <v>0</v>
      </c>
      <c r="BL1196" t="n">
        <v>0</v>
      </c>
    </row>
    <row r="1197" hidden="1" outlineLevel="1" s="191">
      <c r="BJ1197" t="n">
        <v>0</v>
      </c>
      <c r="BK1197" t="n">
        <v>0</v>
      </c>
      <c r="BL1197" t="n">
        <v>0</v>
      </c>
    </row>
    <row r="1198" hidden="1" outlineLevel="1" s="191">
      <c r="A1198" s="264" t="inlineStr">
        <is>
          <t>.z11</t>
        </is>
      </c>
      <c r="BJ1198" t="n">
        <v>0</v>
      </c>
      <c r="BK1198" t="n">
        <v>0</v>
      </c>
      <c r="BL1198" t="n">
        <v>0</v>
      </c>
    </row>
    <row r="1199" collapsed="1" s="191">
      <c r="BJ1199" t="n">
        <v>0</v>
      </c>
      <c r="BK1199" t="n">
        <v>0</v>
      </c>
      <c r="BL1199" t="n">
        <v>0</v>
      </c>
      <c r="BM1199" t="n">
        <v>0</v>
      </c>
    </row>
    <row r="1200" ht="15.6" customHeight="1" s="191">
      <c r="A1200" s="259" t="inlineStr">
        <is>
          <t>.z12</t>
        </is>
      </c>
      <c r="B1200" s="260" t="n"/>
      <c r="C1200" s="261" t="n"/>
      <c r="D1200" s="276" t="n"/>
      <c r="E1200" s="277" t="inlineStr">
        <is>
          <t>Zadanie_XII   :  Zielono mi i spokojnie  ;)</t>
        </is>
      </c>
      <c r="F1200" s="538" t="n"/>
      <c r="BJ1200" t="n">
        <v>0</v>
      </c>
      <c r="BK1200" t="n">
        <v>0</v>
      </c>
      <c r="BL1200" t="n">
        <v>0</v>
      </c>
      <c r="BM1200" t="n">
        <v>0</v>
      </c>
    </row>
    <row r="1201" hidden="1" outlineLevel="1" s="191">
      <c r="BJ1201" t="n">
        <v>0</v>
      </c>
      <c r="BK1201" t="n">
        <v>0</v>
      </c>
      <c r="BL1201" t="n">
        <v>0</v>
      </c>
    </row>
    <row r="1202" hidden="1" outlineLevel="1" s="191">
      <c r="BJ1202" t="n">
        <v>0</v>
      </c>
      <c r="BK1202" t="n">
        <v>0</v>
      </c>
      <c r="BL1202" t="n">
        <v>0</v>
      </c>
    </row>
    <row r="1203" hidden="1" outlineLevel="1" s="191">
      <c r="BJ1203" t="n">
        <v>0</v>
      </c>
      <c r="BK1203" t="n">
        <v>0</v>
      </c>
      <c r="BL1203" t="n">
        <v>0</v>
      </c>
    </row>
    <row r="1204" hidden="1" outlineLevel="1" s="191">
      <c r="BJ1204" t="n">
        <v>0</v>
      </c>
      <c r="BK1204" t="n">
        <v>0</v>
      </c>
      <c r="BL1204" t="n">
        <v>0</v>
      </c>
    </row>
    <row r="1205" hidden="1" outlineLevel="1" s="191">
      <c r="BJ1205" t="n">
        <v>0</v>
      </c>
      <c r="BK1205" t="n">
        <v>0</v>
      </c>
      <c r="BL1205" t="n">
        <v>0</v>
      </c>
    </row>
    <row r="1206" hidden="1" outlineLevel="1" s="191">
      <c r="BJ1206" t="n">
        <v>0</v>
      </c>
      <c r="BK1206" t="n">
        <v>0</v>
      </c>
      <c r="BL1206" t="n">
        <v>0</v>
      </c>
    </row>
    <row r="1207" hidden="1" outlineLevel="1" s="191">
      <c r="BJ1207" t="n">
        <v>0</v>
      </c>
      <c r="BK1207" t="n">
        <v>0</v>
      </c>
      <c r="BL1207" t="n">
        <v>0</v>
      </c>
    </row>
    <row r="1208" hidden="1" outlineLevel="1" s="191">
      <c r="BJ1208" t="n">
        <v>0</v>
      </c>
      <c r="BK1208" t="n">
        <v>0</v>
      </c>
      <c r="BL1208" t="n">
        <v>0</v>
      </c>
    </row>
    <row r="1209" hidden="1" outlineLevel="1" s="191">
      <c r="BJ1209" t="n">
        <v>0</v>
      </c>
      <c r="BK1209" t="n">
        <v>0</v>
      </c>
      <c r="BL1209" t="n">
        <v>0</v>
      </c>
    </row>
    <row r="1210" hidden="1" outlineLevel="1" s="191">
      <c r="BJ1210" t="n">
        <v>0</v>
      </c>
      <c r="BK1210" t="n">
        <v>0</v>
      </c>
      <c r="BL1210" t="n">
        <v>0</v>
      </c>
    </row>
    <row r="1211" hidden="1" outlineLevel="1" s="191">
      <c r="BJ1211" t="n">
        <v>0</v>
      </c>
      <c r="BK1211" t="n">
        <v>0</v>
      </c>
      <c r="BL1211" t="n">
        <v>0</v>
      </c>
    </row>
    <row r="1212" hidden="1" outlineLevel="1" s="191">
      <c r="BJ1212" t="n">
        <v>0</v>
      </c>
      <c r="BK1212" t="n">
        <v>0</v>
      </c>
      <c r="BL1212" t="n">
        <v>0</v>
      </c>
    </row>
    <row r="1213" hidden="1" outlineLevel="1" s="191">
      <c r="BJ1213" t="n">
        <v>0</v>
      </c>
      <c r="BK1213" t="n">
        <v>0</v>
      </c>
      <c r="BL1213" t="n">
        <v>0</v>
      </c>
    </row>
    <row r="1214" hidden="1" outlineLevel="1" s="191">
      <c r="BJ1214" t="n">
        <v>0</v>
      </c>
      <c r="BK1214" t="n">
        <v>0</v>
      </c>
      <c r="BL1214" t="n">
        <v>0</v>
      </c>
    </row>
    <row r="1215" hidden="1" outlineLevel="1" s="191">
      <c r="BJ1215" t="n">
        <v>0</v>
      </c>
      <c r="BK1215" t="n">
        <v>0</v>
      </c>
      <c r="BL1215" t="n">
        <v>0</v>
      </c>
    </row>
    <row r="1216" hidden="1" outlineLevel="1" s="191">
      <c r="BJ1216" t="n">
        <v>0</v>
      </c>
      <c r="BK1216" t="n">
        <v>0</v>
      </c>
      <c r="BL1216" t="n">
        <v>0</v>
      </c>
    </row>
    <row r="1217" hidden="1" outlineLevel="1" s="191">
      <c r="BJ1217" t="n">
        <v>0</v>
      </c>
      <c r="BK1217" t="n">
        <v>0</v>
      </c>
      <c r="BL1217" t="n">
        <v>0</v>
      </c>
    </row>
    <row r="1218" hidden="1" outlineLevel="1" s="191">
      <c r="BJ1218" t="n">
        <v>0</v>
      </c>
      <c r="BK1218" t="n">
        <v>0</v>
      </c>
      <c r="BL1218" t="n">
        <v>0</v>
      </c>
    </row>
    <row r="1219" hidden="1" outlineLevel="1" s="191">
      <c r="BJ1219" t="n">
        <v>0</v>
      </c>
      <c r="BK1219" t="n">
        <v>0</v>
      </c>
      <c r="BL1219" t="n">
        <v>0</v>
      </c>
    </row>
    <row r="1220" hidden="1" outlineLevel="1" s="191">
      <c r="BJ1220" t="n">
        <v>0</v>
      </c>
      <c r="BK1220" t="n">
        <v>0</v>
      </c>
      <c r="BL1220" t="n">
        <v>0</v>
      </c>
    </row>
    <row r="1221" hidden="1" outlineLevel="1" s="191">
      <c r="BJ1221" t="n">
        <v>0</v>
      </c>
      <c r="BK1221" t="n">
        <v>0</v>
      </c>
      <c r="BL1221" t="n">
        <v>0</v>
      </c>
    </row>
    <row r="1222" hidden="1" outlineLevel="1" s="191">
      <c r="BJ1222" t="n">
        <v>0</v>
      </c>
      <c r="BK1222" t="n">
        <v>0</v>
      </c>
      <c r="BL1222" t="n">
        <v>0</v>
      </c>
    </row>
    <row r="1223" hidden="1" outlineLevel="1" s="191">
      <c r="BJ1223" t="n">
        <v>0</v>
      </c>
      <c r="BK1223" t="n">
        <v>0</v>
      </c>
      <c r="BL1223" t="n">
        <v>0</v>
      </c>
    </row>
    <row r="1224" hidden="1" outlineLevel="1" s="191">
      <c r="BJ1224" t="n">
        <v>0</v>
      </c>
      <c r="BK1224" t="n">
        <v>0</v>
      </c>
      <c r="BL1224" t="n">
        <v>0</v>
      </c>
    </row>
    <row r="1225" hidden="1" outlineLevel="1" s="191">
      <c r="BJ1225" t="n">
        <v>0</v>
      </c>
      <c r="BK1225" t="n">
        <v>0</v>
      </c>
      <c r="BL1225" t="n">
        <v>0</v>
      </c>
    </row>
    <row r="1226" hidden="1" outlineLevel="1" s="191">
      <c r="BJ1226" t="n">
        <v>0</v>
      </c>
      <c r="BK1226" t="n">
        <v>0</v>
      </c>
      <c r="BL1226" t="n">
        <v>0</v>
      </c>
    </row>
    <row r="1227" hidden="1" outlineLevel="1" s="191">
      <c r="BJ1227" t="n">
        <v>0</v>
      </c>
      <c r="BK1227" t="n">
        <v>0</v>
      </c>
      <c r="BL1227" t="n">
        <v>0</v>
      </c>
    </row>
    <row r="1228" hidden="1" outlineLevel="1" s="191">
      <c r="BJ1228" t="n">
        <v>0</v>
      </c>
      <c r="BK1228" t="n">
        <v>0</v>
      </c>
      <c r="BL1228" t="n">
        <v>0</v>
      </c>
    </row>
    <row r="1229" hidden="1" outlineLevel="1" s="191">
      <c r="BJ1229" t="n">
        <v>0</v>
      </c>
      <c r="BK1229" t="n">
        <v>0</v>
      </c>
      <c r="BL1229" t="n">
        <v>0</v>
      </c>
    </row>
    <row r="1230" hidden="1" outlineLevel="1" s="191">
      <c r="BJ1230" t="n">
        <v>0</v>
      </c>
      <c r="BK1230" t="n">
        <v>0</v>
      </c>
      <c r="BL1230" t="n">
        <v>0</v>
      </c>
    </row>
    <row r="1231" hidden="1" outlineLevel="1" s="191">
      <c r="BJ1231" t="n">
        <v>0</v>
      </c>
      <c r="BK1231" t="n">
        <v>0</v>
      </c>
      <c r="BL1231" t="n">
        <v>0</v>
      </c>
    </row>
    <row r="1232" hidden="1" outlineLevel="1" s="191">
      <c r="BJ1232" t="n">
        <v>0</v>
      </c>
      <c r="BK1232" t="n">
        <v>0</v>
      </c>
      <c r="BL1232" t="n">
        <v>0</v>
      </c>
    </row>
    <row r="1233" hidden="1" outlineLevel="1" s="191">
      <c r="BJ1233" t="n">
        <v>0</v>
      </c>
      <c r="BK1233" t="n">
        <v>0</v>
      </c>
      <c r="BL1233" t="n">
        <v>0</v>
      </c>
    </row>
    <row r="1234" hidden="1" outlineLevel="1" s="191">
      <c r="BJ1234" t="n">
        <v>0</v>
      </c>
      <c r="BK1234" t="n">
        <v>0</v>
      </c>
      <c r="BL1234" t="n">
        <v>0</v>
      </c>
    </row>
    <row r="1235" hidden="1" outlineLevel="1" s="191">
      <c r="BJ1235" t="n">
        <v>0</v>
      </c>
      <c r="BK1235" t="n">
        <v>0</v>
      </c>
      <c r="BL1235" t="n">
        <v>0</v>
      </c>
    </row>
    <row r="1236" hidden="1" outlineLevel="1" s="191">
      <c r="BJ1236" t="n">
        <v>0</v>
      </c>
      <c r="BK1236" t="n">
        <v>0</v>
      </c>
      <c r="BL1236" t="n">
        <v>0</v>
      </c>
    </row>
    <row r="1237" hidden="1" outlineLevel="1" s="191">
      <c r="BJ1237" t="n">
        <v>0</v>
      </c>
      <c r="BK1237" t="n">
        <v>0</v>
      </c>
      <c r="BL1237" t="n">
        <v>0</v>
      </c>
    </row>
    <row r="1238" hidden="1" outlineLevel="1" s="191">
      <c r="BJ1238" t="n">
        <v>0</v>
      </c>
      <c r="BK1238" t="n">
        <v>0</v>
      </c>
      <c r="BL1238" t="n">
        <v>0</v>
      </c>
    </row>
    <row r="1239" hidden="1" outlineLevel="1" s="191">
      <c r="BJ1239" t="n">
        <v>0</v>
      </c>
      <c r="BK1239" t="n">
        <v>0</v>
      </c>
      <c r="BL1239" t="n">
        <v>0</v>
      </c>
    </row>
    <row r="1240" hidden="1" outlineLevel="1" s="191">
      <c r="BJ1240" t="n">
        <v>0</v>
      </c>
      <c r="BK1240" t="n">
        <v>0</v>
      </c>
      <c r="BL1240" t="n">
        <v>0</v>
      </c>
    </row>
    <row r="1241" hidden="1" outlineLevel="1" s="191">
      <c r="BJ1241" t="n">
        <v>0</v>
      </c>
      <c r="BK1241" t="n">
        <v>0</v>
      </c>
      <c r="BL1241" t="n">
        <v>0</v>
      </c>
    </row>
    <row r="1242" hidden="1" outlineLevel="1" s="191">
      <c r="BJ1242" t="n">
        <v>0</v>
      </c>
      <c r="BK1242" t="n">
        <v>0</v>
      </c>
      <c r="BL1242" t="n">
        <v>0</v>
      </c>
    </row>
    <row r="1243" hidden="1" outlineLevel="1" s="191">
      <c r="BJ1243" t="n">
        <v>0</v>
      </c>
      <c r="BK1243" t="n">
        <v>0</v>
      </c>
      <c r="BL1243" t="n">
        <v>0</v>
      </c>
    </row>
    <row r="1244" hidden="1" outlineLevel="1" s="191">
      <c r="BJ1244" t="n">
        <v>0</v>
      </c>
      <c r="BK1244" t="n">
        <v>0</v>
      </c>
      <c r="BL1244" t="n">
        <v>0</v>
      </c>
    </row>
    <row r="1245" hidden="1" outlineLevel="1" s="191">
      <c r="BJ1245" t="n">
        <v>0</v>
      </c>
      <c r="BK1245" t="n">
        <v>0</v>
      </c>
      <c r="BL1245" t="n">
        <v>0</v>
      </c>
    </row>
    <row r="1246" hidden="1" outlineLevel="1" s="191">
      <c r="BJ1246" t="n">
        <v>0</v>
      </c>
      <c r="BK1246" t="n">
        <v>0</v>
      </c>
      <c r="BL1246" t="n">
        <v>0</v>
      </c>
    </row>
    <row r="1247" hidden="1" outlineLevel="1" s="191">
      <c r="BJ1247" t="n">
        <v>0</v>
      </c>
      <c r="BK1247" t="n">
        <v>0</v>
      </c>
      <c r="BL1247" t="n">
        <v>0</v>
      </c>
    </row>
    <row r="1248" hidden="1" outlineLevel="1" s="191">
      <c r="BJ1248" t="n">
        <v>0</v>
      </c>
      <c r="BK1248" t="n">
        <v>0</v>
      </c>
      <c r="BL1248" t="n">
        <v>0</v>
      </c>
    </row>
    <row r="1249" hidden="1" outlineLevel="1" s="191">
      <c r="BJ1249" t="n">
        <v>0</v>
      </c>
      <c r="BK1249" t="n">
        <v>0</v>
      </c>
      <c r="BL1249" t="n">
        <v>0</v>
      </c>
    </row>
    <row r="1250" hidden="1" outlineLevel="1" s="191">
      <c r="BJ1250" t="n">
        <v>0</v>
      </c>
      <c r="BK1250" t="n">
        <v>0</v>
      </c>
      <c r="BL1250" t="n">
        <v>0</v>
      </c>
    </row>
    <row r="1251" hidden="1" outlineLevel="1" s="191">
      <c r="BJ1251" t="n">
        <v>0</v>
      </c>
      <c r="BK1251" t="n">
        <v>0</v>
      </c>
      <c r="BL1251" t="n">
        <v>0</v>
      </c>
    </row>
    <row r="1252" hidden="1" outlineLevel="1" s="191">
      <c r="BJ1252" t="n">
        <v>0</v>
      </c>
      <c r="BK1252" t="n">
        <v>0</v>
      </c>
      <c r="BL1252" t="n">
        <v>0</v>
      </c>
    </row>
    <row r="1253" hidden="1" outlineLevel="1" s="191">
      <c r="BJ1253" t="n">
        <v>0</v>
      </c>
      <c r="BK1253" t="n">
        <v>0</v>
      </c>
      <c r="BL1253" t="n">
        <v>0</v>
      </c>
    </row>
    <row r="1254" hidden="1" outlineLevel="1" s="191">
      <c r="BJ1254" t="n">
        <v>0</v>
      </c>
      <c r="BK1254" t="n">
        <v>0</v>
      </c>
      <c r="BL1254" t="n">
        <v>0</v>
      </c>
    </row>
    <row r="1255" hidden="1" outlineLevel="1" s="191">
      <c r="BJ1255" t="n">
        <v>0</v>
      </c>
      <c r="BK1255" t="n">
        <v>0</v>
      </c>
      <c r="BL1255" t="n">
        <v>0</v>
      </c>
    </row>
    <row r="1256" hidden="1" outlineLevel="1" s="191">
      <c r="BJ1256" t="n">
        <v>0</v>
      </c>
      <c r="BK1256" t="n">
        <v>0</v>
      </c>
      <c r="BL1256" t="n">
        <v>0</v>
      </c>
    </row>
    <row r="1257" hidden="1" outlineLevel="1" s="191">
      <c r="BJ1257" t="n">
        <v>0</v>
      </c>
      <c r="BK1257" t="n">
        <v>0</v>
      </c>
      <c r="BL1257" t="n">
        <v>0</v>
      </c>
    </row>
    <row r="1258" hidden="1" outlineLevel="1" s="191">
      <c r="BJ1258" t="n">
        <v>0</v>
      </c>
      <c r="BK1258" t="n">
        <v>0</v>
      </c>
      <c r="BL1258" t="n">
        <v>0</v>
      </c>
    </row>
    <row r="1259" hidden="1" outlineLevel="1" s="191">
      <c r="BJ1259" t="n">
        <v>0</v>
      </c>
      <c r="BK1259" t="n">
        <v>0</v>
      </c>
      <c r="BL1259" t="n">
        <v>0</v>
      </c>
    </row>
    <row r="1260" hidden="1" outlineLevel="1" s="191">
      <c r="BJ1260" t="n">
        <v>0</v>
      </c>
      <c r="BK1260" t="n">
        <v>0</v>
      </c>
      <c r="BL1260" t="n">
        <v>0</v>
      </c>
    </row>
    <row r="1261" hidden="1" outlineLevel="1" s="191">
      <c r="BJ1261" t="n">
        <v>0</v>
      </c>
      <c r="BK1261" t="n">
        <v>0</v>
      </c>
      <c r="BL1261" t="n">
        <v>0</v>
      </c>
    </row>
    <row r="1262" hidden="1" outlineLevel="1" s="191">
      <c r="BJ1262" t="n">
        <v>0</v>
      </c>
      <c r="BK1262" t="n">
        <v>0</v>
      </c>
      <c r="BL1262" t="n">
        <v>0</v>
      </c>
    </row>
    <row r="1263" hidden="1" outlineLevel="1" s="191">
      <c r="BJ1263" t="n">
        <v>0</v>
      </c>
      <c r="BK1263" t="n">
        <v>0</v>
      </c>
      <c r="BL1263" t="n">
        <v>0</v>
      </c>
    </row>
    <row r="1264" hidden="1" outlineLevel="1" s="191">
      <c r="BJ1264" t="n">
        <v>0</v>
      </c>
      <c r="BK1264" t="n">
        <v>0</v>
      </c>
      <c r="BL1264" t="n">
        <v>0</v>
      </c>
    </row>
    <row r="1265" hidden="1" outlineLevel="1" s="191">
      <c r="BJ1265" t="n">
        <v>0</v>
      </c>
      <c r="BK1265" t="n">
        <v>0</v>
      </c>
      <c r="BL1265" t="n">
        <v>0</v>
      </c>
    </row>
    <row r="1266" hidden="1" outlineLevel="1" s="191">
      <c r="BJ1266" t="n">
        <v>0</v>
      </c>
      <c r="BK1266" t="n">
        <v>0</v>
      </c>
      <c r="BL1266" t="n">
        <v>0</v>
      </c>
    </row>
    <row r="1267" hidden="1" outlineLevel="1" s="191">
      <c r="BJ1267" t="n">
        <v>0</v>
      </c>
      <c r="BK1267" t="n">
        <v>0</v>
      </c>
      <c r="BL1267" t="n">
        <v>0</v>
      </c>
    </row>
    <row r="1268" hidden="1" outlineLevel="1" s="191">
      <c r="BJ1268" t="n">
        <v>0</v>
      </c>
      <c r="BK1268" t="n">
        <v>0</v>
      </c>
      <c r="BL1268" t="n">
        <v>0</v>
      </c>
    </row>
    <row r="1269" hidden="1" outlineLevel="1" s="191">
      <c r="BJ1269" t="n">
        <v>0</v>
      </c>
      <c r="BK1269" t="n">
        <v>0</v>
      </c>
      <c r="BL1269" t="n">
        <v>0</v>
      </c>
    </row>
    <row r="1270" hidden="1" outlineLevel="1" s="191">
      <c r="BJ1270" t="n">
        <v>0</v>
      </c>
      <c r="BK1270" t="n">
        <v>0</v>
      </c>
      <c r="BL1270" t="n">
        <v>0</v>
      </c>
    </row>
    <row r="1271" hidden="1" outlineLevel="1" s="191">
      <c r="BJ1271" t="n">
        <v>0</v>
      </c>
      <c r="BK1271" t="n">
        <v>0</v>
      </c>
      <c r="BL1271" t="n">
        <v>0</v>
      </c>
    </row>
    <row r="1272" hidden="1" outlineLevel="1" s="191">
      <c r="BJ1272" t="n">
        <v>0</v>
      </c>
      <c r="BK1272" t="n">
        <v>0</v>
      </c>
      <c r="BL1272" t="n">
        <v>0</v>
      </c>
    </row>
    <row r="1273" hidden="1" outlineLevel="1" s="191">
      <c r="BJ1273" t="n">
        <v>0</v>
      </c>
      <c r="BK1273" t="n">
        <v>0</v>
      </c>
      <c r="BL1273" t="n">
        <v>0</v>
      </c>
    </row>
    <row r="1274" hidden="1" outlineLevel="1" s="191">
      <c r="BJ1274" t="n">
        <v>0</v>
      </c>
      <c r="BK1274" t="n">
        <v>0</v>
      </c>
      <c r="BL1274" t="n">
        <v>0</v>
      </c>
    </row>
    <row r="1275" hidden="1" outlineLevel="1" s="191">
      <c r="BJ1275" t="n">
        <v>0</v>
      </c>
      <c r="BK1275" t="n">
        <v>0</v>
      </c>
      <c r="BL1275" t="n">
        <v>0</v>
      </c>
    </row>
    <row r="1276" hidden="1" outlineLevel="1" s="191">
      <c r="BJ1276" t="n">
        <v>0</v>
      </c>
      <c r="BK1276" t="n">
        <v>0</v>
      </c>
      <c r="BL1276" t="n">
        <v>0</v>
      </c>
    </row>
    <row r="1277" hidden="1" outlineLevel="1" s="191">
      <c r="BJ1277" t="n">
        <v>0</v>
      </c>
      <c r="BK1277" t="n">
        <v>0</v>
      </c>
      <c r="BL1277" t="n">
        <v>0</v>
      </c>
    </row>
    <row r="1278" hidden="1" outlineLevel="1" s="191">
      <c r="BJ1278" t="n">
        <v>0</v>
      </c>
      <c r="BK1278" t="n">
        <v>0</v>
      </c>
      <c r="BL1278" t="n">
        <v>0</v>
      </c>
    </row>
    <row r="1279" hidden="1" outlineLevel="1" s="191">
      <c r="BJ1279" t="n">
        <v>0</v>
      </c>
      <c r="BK1279" t="n">
        <v>0</v>
      </c>
      <c r="BL1279" t="n">
        <v>0</v>
      </c>
    </row>
    <row r="1280" hidden="1" outlineLevel="1" s="191">
      <c r="BJ1280" t="n">
        <v>0</v>
      </c>
      <c r="BK1280" t="n">
        <v>0</v>
      </c>
      <c r="BL1280" t="n">
        <v>0</v>
      </c>
    </row>
    <row r="1281" hidden="1" outlineLevel="1" s="191">
      <c r="BJ1281" t="n">
        <v>0</v>
      </c>
      <c r="BK1281" t="n">
        <v>0</v>
      </c>
      <c r="BL1281" t="n">
        <v>0</v>
      </c>
    </row>
    <row r="1282" hidden="1" outlineLevel="1" s="191">
      <c r="BJ1282" t="n">
        <v>0</v>
      </c>
      <c r="BK1282" t="n">
        <v>0</v>
      </c>
      <c r="BL1282" t="n">
        <v>0</v>
      </c>
    </row>
    <row r="1283" hidden="1" outlineLevel="1" s="191">
      <c r="BJ1283" t="n">
        <v>0</v>
      </c>
      <c r="BK1283" t="n">
        <v>0</v>
      </c>
      <c r="BL1283" t="n">
        <v>0</v>
      </c>
    </row>
    <row r="1284" hidden="1" outlineLevel="1" s="191">
      <c r="BJ1284" t="n">
        <v>0</v>
      </c>
      <c r="BK1284" t="n">
        <v>0</v>
      </c>
      <c r="BL1284" t="n">
        <v>0</v>
      </c>
    </row>
    <row r="1285" hidden="1" outlineLevel="1" s="191">
      <c r="BJ1285" t="n">
        <v>0</v>
      </c>
      <c r="BK1285" t="n">
        <v>0</v>
      </c>
      <c r="BL1285" t="n">
        <v>0</v>
      </c>
    </row>
    <row r="1286" hidden="1" outlineLevel="1" s="191">
      <c r="BJ1286" t="n">
        <v>0</v>
      </c>
      <c r="BK1286" t="n">
        <v>0</v>
      </c>
      <c r="BL1286" t="n">
        <v>0</v>
      </c>
    </row>
    <row r="1287" hidden="1" outlineLevel="1" s="191">
      <c r="BJ1287" t="n">
        <v>0</v>
      </c>
      <c r="BK1287" t="n">
        <v>0</v>
      </c>
      <c r="BL1287" t="n">
        <v>0</v>
      </c>
    </row>
    <row r="1288" hidden="1" outlineLevel="1" s="191">
      <c r="BJ1288" t="n">
        <v>0</v>
      </c>
      <c r="BK1288" t="n">
        <v>0</v>
      </c>
      <c r="BL1288" t="n">
        <v>0</v>
      </c>
    </row>
    <row r="1289" hidden="1" outlineLevel="1" s="191">
      <c r="BJ1289" t="n">
        <v>0</v>
      </c>
      <c r="BK1289" t="n">
        <v>0</v>
      </c>
      <c r="BL1289" t="n">
        <v>0</v>
      </c>
    </row>
    <row r="1290" hidden="1" outlineLevel="1" s="191">
      <c r="BJ1290" t="n">
        <v>0</v>
      </c>
      <c r="BK1290" t="n">
        <v>0</v>
      </c>
      <c r="BL1290" t="n">
        <v>0</v>
      </c>
    </row>
    <row r="1291" hidden="1" outlineLevel="1" s="191">
      <c r="BJ1291" t="n">
        <v>0</v>
      </c>
      <c r="BK1291" t="n">
        <v>0</v>
      </c>
      <c r="BL1291" t="n">
        <v>0</v>
      </c>
    </row>
    <row r="1292" hidden="1" outlineLevel="1" s="191">
      <c r="BJ1292" t="n">
        <v>0</v>
      </c>
      <c r="BK1292" t="n">
        <v>0</v>
      </c>
      <c r="BL1292" t="n">
        <v>0</v>
      </c>
    </row>
    <row r="1293" hidden="1" outlineLevel="1" s="191">
      <c r="BJ1293" t="n">
        <v>0</v>
      </c>
      <c r="BK1293" t="n">
        <v>0</v>
      </c>
      <c r="BL1293" t="n">
        <v>0</v>
      </c>
    </row>
    <row r="1294" hidden="1" outlineLevel="1" s="191">
      <c r="BJ1294" t="n">
        <v>0</v>
      </c>
      <c r="BK1294" t="n">
        <v>0</v>
      </c>
      <c r="BL1294" t="n">
        <v>0</v>
      </c>
    </row>
    <row r="1295" hidden="1" outlineLevel="1" s="191">
      <c r="BJ1295" t="n">
        <v>0</v>
      </c>
      <c r="BK1295" t="n">
        <v>0</v>
      </c>
      <c r="BL1295" t="n">
        <v>0</v>
      </c>
    </row>
    <row r="1296" hidden="1" outlineLevel="1" s="191">
      <c r="BJ1296" t="n">
        <v>0</v>
      </c>
      <c r="BK1296" t="n">
        <v>0</v>
      </c>
      <c r="BL1296" t="n">
        <v>0</v>
      </c>
    </row>
    <row r="1297" hidden="1" outlineLevel="1" s="191">
      <c r="BJ1297" t="n">
        <v>0</v>
      </c>
      <c r="BK1297" t="n">
        <v>0</v>
      </c>
      <c r="BL1297" t="n">
        <v>0</v>
      </c>
    </row>
    <row r="1298" hidden="1" outlineLevel="1" s="191">
      <c r="A1298" s="264" t="inlineStr">
        <is>
          <t>.z12</t>
        </is>
      </c>
      <c r="BJ1298" t="n">
        <v>0</v>
      </c>
      <c r="BK1298" t="n">
        <v>0</v>
      </c>
      <c r="BL1298" t="n">
        <v>0</v>
      </c>
    </row>
    <row r="1299" collapsed="1" s="191">
      <c r="BJ1299" t="n">
        <v>0</v>
      </c>
      <c r="BK1299" t="n">
        <v>0</v>
      </c>
      <c r="BL1299" t="n">
        <v>0</v>
      </c>
      <c r="BM1299" t="n">
        <v>0</v>
      </c>
    </row>
    <row r="1385">
      <c r="A1385" s="26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F1" sqref="F1:F9"/>
    </sheetView>
  </sheetViews>
  <sheetFormatPr baseColWidth="8" defaultRowHeight="14.4" outlineLevelRow="1"/>
  <cols>
    <col width="12.44140625" customWidth="1" style="191" min="1" max="1"/>
    <col width="11.109375" bestFit="1" customWidth="1" style="191" min="2" max="3"/>
    <col width="32.5546875" customWidth="1" style="191" min="4" max="4"/>
    <col width="11.109375" bestFit="1" customWidth="1" style="191" min="5" max="5"/>
    <col width="10.88671875" bestFit="1" customWidth="1" style="191" min="6" max="6"/>
    <col width="9.109375" bestFit="1" customWidth="1" style="191" min="11" max="11"/>
    <col width="9.21875" bestFit="1" customWidth="1" style="191" min="13" max="13"/>
    <col width="19.21875" bestFit="1" customWidth="1" style="191" min="18" max="18"/>
    <col width="17.21875" bestFit="1" customWidth="1" style="191" min="20" max="20"/>
    <col width="17.44140625" bestFit="1" customWidth="1" style="191" min="21" max="21"/>
  </cols>
  <sheetData>
    <row r="1" outlineLevel="1" s="191">
      <c r="A1" s="444" t="inlineStr">
        <is>
          <t>.a01</t>
        </is>
      </c>
      <c r="B1" s="444" t="inlineStr">
        <is>
          <t>Imię01</t>
        </is>
      </c>
      <c r="C1" s="444" t="inlineStr">
        <is>
          <t>Nazwisko01</t>
        </is>
      </c>
      <c r="D1" t="inlineStr">
        <is>
          <t>Janusz Strzelecki</t>
        </is>
      </c>
      <c r="E1" s="673">
        <f>ROUND(F1*H1*G1,2)</f>
        <v/>
      </c>
      <c r="F1" s="674" t="n">
        <v>5001</v>
      </c>
      <c r="G1" s="214" t="n">
        <v>0.5</v>
      </c>
      <c r="H1" s="444" t="n">
        <v>1.43</v>
      </c>
      <c r="J1" s="218" t="inlineStr">
        <is>
          <t>Arkusz zablokowany - bez hasła</t>
        </is>
      </c>
      <c r="K1" s="218" t="n"/>
      <c r="L1" s="218" t="n"/>
      <c r="M1" s="218" t="n"/>
      <c r="N1" s="218" t="n"/>
      <c r="O1" s="218" t="n"/>
      <c r="P1" s="538" t="inlineStr">
        <is>
          <t>KodZatr</t>
        </is>
      </c>
      <c r="Q1" s="533" t="inlineStr">
        <is>
          <t>Lp.</t>
        </is>
      </c>
      <c r="R1" s="534" t="inlineStr">
        <is>
          <t>Imię i nazwisko</t>
        </is>
      </c>
      <c r="S1" s="534" t="inlineStr">
        <is>
          <t>Typ zatrudnienia</t>
        </is>
      </c>
      <c r="T1" s="535" t="inlineStr">
        <is>
          <t>ilość godzin per m-c</t>
        </is>
      </c>
      <c r="U1" s="536" t="inlineStr">
        <is>
          <t>ilość godzin per Tyg.</t>
        </is>
      </c>
      <c r="V1" t="inlineStr">
        <is>
          <t>rola1</t>
        </is>
      </c>
      <c r="AA1" t="inlineStr">
        <is>
          <t>T=</t>
        </is>
      </c>
      <c r="AB1" t="inlineStr">
        <is>
          <t xml:space="preserve">h= </t>
        </is>
      </c>
    </row>
    <row r="2" outlineLevel="1" s="191">
      <c r="A2" s="444" t="inlineStr">
        <is>
          <t>.a02</t>
        </is>
      </c>
      <c r="B2" s="444" t="inlineStr">
        <is>
          <t>Imię02</t>
        </is>
      </c>
      <c r="C2" s="444" t="inlineStr">
        <is>
          <t>Nazwisko02</t>
        </is>
      </c>
      <c r="D2" t="inlineStr">
        <is>
          <t>Mariusz Cegliński</t>
        </is>
      </c>
      <c r="E2" s="673">
        <f>ROUND(F2*H2*G2,2)</f>
        <v/>
      </c>
      <c r="F2" s="674" t="n">
        <v>5002</v>
      </c>
      <c r="G2" s="214" t="n">
        <v>0.5</v>
      </c>
      <c r="H2" s="444" t="n">
        <v>1.43</v>
      </c>
      <c r="P2" s="532" t="inlineStr">
        <is>
          <t>.b01</t>
        </is>
      </c>
      <c r="Q2" s="541" t="inlineStr">
        <is>
          <t>1.</t>
        </is>
      </c>
      <c r="R2" s="538" t="inlineStr">
        <is>
          <t>Janusz Strzelecki</t>
        </is>
      </c>
      <c r="S2" s="538" t="inlineStr">
        <is>
          <t>B2B</t>
        </is>
      </c>
      <c r="T2" s="539" t="n">
        <v>80</v>
      </c>
      <c r="U2" s="540">
        <f>T2/4</f>
        <v/>
      </c>
      <c r="V2" t="inlineStr">
        <is>
          <t>Analityk/Programista</t>
        </is>
      </c>
      <c r="X2" s="444" t="inlineStr">
        <is>
          <t>ACT Analityk Danych01</t>
        </is>
      </c>
    </row>
    <row r="3" outlineLevel="1" s="191">
      <c r="A3" s="444" t="inlineStr">
        <is>
          <t>.a03</t>
        </is>
      </c>
      <c r="B3" s="444" t="inlineStr">
        <is>
          <t>Imię03</t>
        </is>
      </c>
      <c r="C3" s="444" t="inlineStr">
        <is>
          <t>Nazwisko03</t>
        </is>
      </c>
      <c r="D3" t="inlineStr">
        <is>
          <t>Wojciech Mazur</t>
        </is>
      </c>
      <c r="E3" s="673">
        <f>ROUND(F3*H3*G3,2)</f>
        <v/>
      </c>
      <c r="F3" s="674" t="n">
        <v>5003</v>
      </c>
      <c r="G3" s="214" t="n">
        <v>0.5</v>
      </c>
      <c r="H3" s="444" t="n">
        <v>1.43</v>
      </c>
      <c r="P3" s="532" t="inlineStr">
        <is>
          <t>.b02</t>
        </is>
      </c>
      <c r="Q3" s="541" t="inlineStr">
        <is>
          <t>2.</t>
        </is>
      </c>
      <c r="R3" s="538" t="inlineStr">
        <is>
          <t>Mariusz Cegliński</t>
        </is>
      </c>
      <c r="S3" s="538" t="inlineStr">
        <is>
          <t>B2B</t>
        </is>
      </c>
      <c r="T3" s="539" t="n">
        <v>80</v>
      </c>
      <c r="U3" s="540">
        <f>T3/4</f>
        <v/>
      </c>
      <c r="V3" t="inlineStr">
        <is>
          <t>Analityk/Programista</t>
        </is>
      </c>
      <c r="X3" s="444" t="inlineStr">
        <is>
          <t>ACT Analityk Danych02</t>
        </is>
      </c>
    </row>
    <row r="4" outlineLevel="1" s="191">
      <c r="A4" s="444" t="inlineStr">
        <is>
          <t>.a04</t>
        </is>
      </c>
      <c r="B4" s="444" t="inlineStr">
        <is>
          <t>Imię04</t>
        </is>
      </c>
      <c r="C4" s="444" t="inlineStr">
        <is>
          <t>Nazwisko04</t>
        </is>
      </c>
      <c r="D4" t="inlineStr">
        <is>
          <t>Tomasz Grzegorek</t>
        </is>
      </c>
      <c r="E4" s="673">
        <f>ROUND(F4*H4*G4,2)</f>
        <v/>
      </c>
      <c r="F4" s="674" t="n">
        <v>5004</v>
      </c>
      <c r="G4" s="214" t="n">
        <v>0.5</v>
      </c>
      <c r="H4" s="444" t="n">
        <v>1.43</v>
      </c>
      <c r="P4" s="532" t="inlineStr">
        <is>
          <t>.b03</t>
        </is>
      </c>
      <c r="Q4" s="541" t="inlineStr">
        <is>
          <t>3.</t>
        </is>
      </c>
      <c r="R4" s="538" t="inlineStr">
        <is>
          <t>Wojciech Mazur</t>
        </is>
      </c>
      <c r="S4" s="538" t="inlineStr">
        <is>
          <t>UP</t>
        </is>
      </c>
      <c r="T4" s="539" t="n">
        <v>80</v>
      </c>
      <c r="U4" s="540">
        <f>T4/4</f>
        <v/>
      </c>
      <c r="V4" t="inlineStr">
        <is>
          <t>Analityk/Programista</t>
        </is>
      </c>
      <c r="X4" s="444" t="inlineStr">
        <is>
          <t>ACT Analityk Danych03</t>
        </is>
      </c>
    </row>
    <row r="5" outlineLevel="1" s="191">
      <c r="A5" s="444" t="inlineStr">
        <is>
          <t>.a05</t>
        </is>
      </c>
      <c r="B5" s="444" t="inlineStr">
        <is>
          <t>Imię05</t>
        </is>
      </c>
      <c r="C5" s="444" t="inlineStr">
        <is>
          <t>Nazwisko05</t>
        </is>
      </c>
      <c r="D5" t="inlineStr">
        <is>
          <t>Sebastian Kaczmar</t>
        </is>
      </c>
      <c r="E5" s="673">
        <f>ROUND(F5*H5*G5,2)</f>
        <v/>
      </c>
      <c r="F5" s="674" t="n">
        <v>5005</v>
      </c>
      <c r="G5" s="214" t="n">
        <v>0.5</v>
      </c>
      <c r="H5" s="444" t="n">
        <v>1.43</v>
      </c>
      <c r="P5" s="538" t="n"/>
      <c r="Q5" s="541" t="inlineStr">
        <is>
          <t>4.</t>
        </is>
      </c>
      <c r="R5" s="538" t="inlineStr">
        <is>
          <t>Tomasz Grzegorek</t>
        </is>
      </c>
      <c r="S5" s="538" t="inlineStr">
        <is>
          <t>UP</t>
        </is>
      </c>
      <c r="T5" s="539" t="n">
        <v>80</v>
      </c>
      <c r="U5" s="540">
        <f>T5/4</f>
        <v/>
      </c>
      <c r="V5" t="inlineStr">
        <is>
          <t>Analityk/Programista</t>
        </is>
      </c>
      <c r="X5" s="444" t="inlineStr">
        <is>
          <t>ACT Analityk Danych04</t>
        </is>
      </c>
    </row>
    <row r="6" outlineLevel="1" s="191">
      <c r="A6" s="444" t="inlineStr">
        <is>
          <t>.a06</t>
        </is>
      </c>
      <c r="B6" s="444" t="inlineStr">
        <is>
          <t>Imię06</t>
        </is>
      </c>
      <c r="C6" s="444" t="inlineStr">
        <is>
          <t>Nazwisko06</t>
        </is>
      </c>
      <c r="D6" t="inlineStr">
        <is>
          <t>Dorota Duży</t>
        </is>
      </c>
      <c r="E6" s="673">
        <f>ROUND(F6*H6*G6,2)</f>
        <v/>
      </c>
      <c r="F6" s="674" t="n">
        <v>5006</v>
      </c>
      <c r="G6" s="214" t="n">
        <v>0.5</v>
      </c>
      <c r="H6" s="444" t="n">
        <v>1.43</v>
      </c>
      <c r="P6" s="538" t="n"/>
      <c r="Q6" s="541" t="inlineStr">
        <is>
          <t>5.</t>
        </is>
      </c>
      <c r="R6" s="538" t="inlineStr">
        <is>
          <t>Sebastian Kaczmar</t>
        </is>
      </c>
      <c r="S6" s="538" t="inlineStr">
        <is>
          <t>UP</t>
        </is>
      </c>
      <c r="T6" s="539" t="n">
        <v>80</v>
      </c>
      <c r="U6" s="540">
        <f>T6/4</f>
        <v/>
      </c>
      <c r="X6" s="444" t="inlineStr">
        <is>
          <t>ACT Analityk Danych05</t>
        </is>
      </c>
    </row>
    <row r="7" outlineLevel="1" s="191">
      <c r="A7" s="153" t="inlineStr">
        <is>
          <t>.a07</t>
        </is>
      </c>
      <c r="B7" s="153" t="inlineStr">
        <is>
          <t>Imię07</t>
        </is>
      </c>
      <c r="C7" s="153" t="inlineStr">
        <is>
          <t>Nazwisko07</t>
        </is>
      </c>
      <c r="D7" t="inlineStr">
        <is>
          <t>Dariusz Gąsior</t>
        </is>
      </c>
      <c r="E7" s="675">
        <f>ROUND(F7*H7*G7,2)</f>
        <v/>
      </c>
      <c r="F7" s="676" t="n">
        <v>5007</v>
      </c>
      <c r="G7" s="152" t="n">
        <v>0.5</v>
      </c>
      <c r="H7" s="153" t="n">
        <v>1.43</v>
      </c>
      <c r="P7" s="538" t="n"/>
      <c r="Q7" s="541" t="inlineStr">
        <is>
          <t>6.</t>
        </is>
      </c>
      <c r="R7" s="538" t="inlineStr">
        <is>
          <t>Dorota Duży</t>
        </is>
      </c>
      <c r="S7" s="538" t="inlineStr">
        <is>
          <t>UP</t>
        </is>
      </c>
      <c r="T7" s="539" t="n">
        <v>80</v>
      </c>
      <c r="U7" s="540">
        <f>T7/4</f>
        <v/>
      </c>
      <c r="X7" s="444" t="inlineStr">
        <is>
          <t>ACT Analityk Danych06</t>
        </is>
      </c>
    </row>
    <row r="8" outlineLevel="1" s="191">
      <c r="A8" s="153" t="inlineStr">
        <is>
          <t>.a08</t>
        </is>
      </c>
      <c r="B8" s="153" t="inlineStr">
        <is>
          <t>Imię08</t>
        </is>
      </c>
      <c r="C8" s="153" t="inlineStr">
        <is>
          <t>Nazwisko08</t>
        </is>
      </c>
      <c r="D8" t="inlineStr">
        <is>
          <t>Prog_8</t>
        </is>
      </c>
      <c r="E8" s="675">
        <f>ROUND(F8*H8*G8,2)</f>
        <v/>
      </c>
      <c r="F8" s="676" t="n">
        <v>5008</v>
      </c>
      <c r="G8" s="152" t="n">
        <v>0.5</v>
      </c>
      <c r="H8" s="153" t="n">
        <v>1.43</v>
      </c>
      <c r="P8" s="538" t="n"/>
      <c r="Q8" s="541" t="inlineStr">
        <is>
          <t>7.</t>
        </is>
      </c>
      <c r="R8" s="538" t="inlineStr">
        <is>
          <t>Dariusz Gąsior</t>
        </is>
      </c>
      <c r="S8" s="538" t="inlineStr">
        <is>
          <t>B2B/Kontrakt men.</t>
        </is>
      </c>
      <c r="T8" s="539" t="n">
        <v>80</v>
      </c>
      <c r="U8" s="540">
        <f>T8/4</f>
        <v/>
      </c>
      <c r="V8" t="inlineStr">
        <is>
          <t>Analityk/Programista</t>
        </is>
      </c>
      <c r="X8" s="153" t="inlineStr">
        <is>
          <t>ACT Analityk Danych07</t>
        </is>
      </c>
    </row>
    <row r="9" outlineLevel="1" s="191">
      <c r="A9" s="153" t="inlineStr">
        <is>
          <t>.a09</t>
        </is>
      </c>
      <c r="B9" s="153" t="inlineStr">
        <is>
          <t>Imię09</t>
        </is>
      </c>
      <c r="C9" s="153" t="inlineStr">
        <is>
          <t>Nazwisko09</t>
        </is>
      </c>
      <c r="D9" t="inlineStr">
        <is>
          <t>Prog_9</t>
        </is>
      </c>
      <c r="E9" s="675">
        <f>ROUND(F9*H9*G9,2)</f>
        <v/>
      </c>
      <c r="F9" s="676" t="n">
        <v>5009</v>
      </c>
      <c r="G9" s="152" t="n">
        <v>0.5</v>
      </c>
      <c r="H9" s="153" t="n">
        <v>1.43</v>
      </c>
      <c r="P9" s="538" t="n"/>
      <c r="Q9" s="541" t="inlineStr">
        <is>
          <t>8.</t>
        </is>
      </c>
      <c r="R9" s="538" t="inlineStr">
        <is>
          <t>Prog_8</t>
        </is>
      </c>
      <c r="S9" s="538" t="n"/>
      <c r="T9" s="539" t="n">
        <v>80</v>
      </c>
      <c r="U9" s="540">
        <f>T9/4</f>
        <v/>
      </c>
      <c r="X9" s="153" t="inlineStr">
        <is>
          <t>ACT Analityk Danych08</t>
        </is>
      </c>
    </row>
    <row r="10" ht="19.2" customHeight="1" s="191">
      <c r="A10" s="66" t="inlineStr">
        <is>
          <t>B_2_B Action</t>
        </is>
      </c>
      <c r="B10" s="66" t="inlineStr">
        <is>
          <t xml:space="preserve">Firma </t>
        </is>
      </c>
      <c r="C10" s="66" t="n"/>
      <c r="D10" s="66" t="inlineStr">
        <is>
          <t>Rola w projekcie</t>
        </is>
      </c>
      <c r="E10" s="66" t="inlineStr">
        <is>
          <t>Netto</t>
        </is>
      </c>
      <c r="F10" s="67" t="n"/>
      <c r="G10" s="67" t="n"/>
      <c r="H10" s="67" t="n"/>
      <c r="I10" s="67" t="n"/>
      <c r="J10" s="67" t="n"/>
      <c r="K10" s="67" t="n"/>
      <c r="L10" s="67" t="n"/>
      <c r="P10" s="538" t="n"/>
      <c r="Q10" s="541" t="inlineStr">
        <is>
          <t>9.</t>
        </is>
      </c>
      <c r="R10" s="538" t="inlineStr">
        <is>
          <t>Prog_9</t>
        </is>
      </c>
      <c r="S10" s="538" t="n"/>
      <c r="T10" s="539" t="n">
        <v>80</v>
      </c>
      <c r="U10" s="540">
        <f>T10/4</f>
        <v/>
      </c>
      <c r="X10" s="153" t="inlineStr">
        <is>
          <t>ACT Analityk Danych09</t>
        </is>
      </c>
    </row>
    <row r="11" outlineLevel="1" s="191">
      <c r="A11" s="444" t="inlineStr">
        <is>
          <t>.b01</t>
        </is>
      </c>
      <c r="B11" s="444" t="inlineStr">
        <is>
          <t>B2B_Janusz</t>
        </is>
      </c>
      <c r="C11" s="444" t="n"/>
      <c r="D11" s="444" t="n"/>
      <c r="E11" s="444" t="n"/>
      <c r="F11" s="444" t="n"/>
      <c r="G11" s="444" t="n"/>
      <c r="H11" s="444" t="n"/>
      <c r="J11" s="67" t="n"/>
      <c r="K11" s="67" t="n"/>
      <c r="L11" s="67" t="n"/>
      <c r="P11" s="538" t="n"/>
      <c r="Q11" s="541" t="n"/>
      <c r="R11" s="538" t="n"/>
      <c r="S11" s="538" t="n"/>
      <c r="T11" s="538" t="n"/>
      <c r="U11" s="542" t="n"/>
    </row>
    <row r="12" outlineLevel="1" s="191">
      <c r="A12" s="444" t="inlineStr">
        <is>
          <t>.b02</t>
        </is>
      </c>
      <c r="B12" s="444" t="inlineStr">
        <is>
          <t>B2B_Mariusz</t>
        </is>
      </c>
      <c r="C12" s="444" t="n"/>
      <c r="D12" s="444" t="n"/>
      <c r="E12" s="444" t="n"/>
      <c r="F12" s="444" t="n"/>
      <c r="G12" s="444" t="n"/>
      <c r="H12" s="444" t="n"/>
      <c r="J12" s="67" t="n"/>
      <c r="K12" s="67" t="n"/>
      <c r="L12" s="67" t="n"/>
      <c r="P12" s="538" t="n"/>
      <c r="Q12" s="541" t="inlineStr">
        <is>
          <t>10.</t>
        </is>
      </c>
      <c r="R12" s="538" t="inlineStr">
        <is>
          <t>Andrzej Walasek</t>
        </is>
      </c>
      <c r="S12" s="538" t="n"/>
      <c r="T12" s="539" t="n">
        <v>20</v>
      </c>
      <c r="U12" s="540">
        <f>T12/4</f>
        <v/>
      </c>
    </row>
    <row r="13" outlineLevel="1" s="191">
      <c r="A13" s="444" t="inlineStr">
        <is>
          <t>.b03</t>
        </is>
      </c>
      <c r="B13" s="444" t="inlineStr">
        <is>
          <t>B2B_Dariusz</t>
        </is>
      </c>
      <c r="C13" s="444" t="n"/>
      <c r="D13" s="444" t="n"/>
      <c r="E13" s="444" t="n"/>
      <c r="F13" s="444" t="n"/>
      <c r="G13" s="444" t="n"/>
      <c r="H13" s="444" t="n"/>
      <c r="J13" s="67" t="n"/>
      <c r="K13" s="67" t="n"/>
      <c r="L13" s="67" t="n"/>
      <c r="P13" s="538" t="n"/>
      <c r="Q13" s="541" t="inlineStr">
        <is>
          <t>11.</t>
        </is>
      </c>
      <c r="R13" s="538" t="inlineStr">
        <is>
          <t>Włodzimierz Ossowski</t>
        </is>
      </c>
      <c r="S13" s="538" t="n"/>
      <c r="T13" s="539" t="n">
        <v>10</v>
      </c>
      <c r="U13" s="540">
        <f>T13/4</f>
        <v/>
      </c>
    </row>
    <row r="14" outlineLevel="1" s="191">
      <c r="A14" s="153" t="inlineStr">
        <is>
          <t>.b04</t>
        </is>
      </c>
      <c r="B14" s="153" t="inlineStr">
        <is>
          <t>B2B_4</t>
        </is>
      </c>
      <c r="P14" s="538" t="n"/>
      <c r="Q14" s="541" t="inlineStr">
        <is>
          <t>12.</t>
        </is>
      </c>
      <c r="R14" s="538" t="inlineStr">
        <is>
          <t>Obsada magazynu</t>
        </is>
      </c>
      <c r="S14" s="538" t="inlineStr">
        <is>
          <t>UP</t>
        </is>
      </c>
      <c r="T14" s="539" t="inlineStr">
        <is>
          <t>prace weekendowe</t>
        </is>
      </c>
      <c r="U14" s="543" t="n"/>
      <c r="V14" t="inlineStr">
        <is>
          <t>W trakcie testów/ilość osób do ustalenia z Sebastianem Stępniewskim</t>
        </is>
      </c>
    </row>
    <row r="15" outlineLevel="1" ht="15" customHeight="1" s="191" thickBot="1">
      <c r="A15" s="153" t="inlineStr">
        <is>
          <t>.b05</t>
        </is>
      </c>
      <c r="B15" s="153" t="inlineStr">
        <is>
          <t>B2B_5</t>
        </is>
      </c>
      <c r="P15" s="538" t="n"/>
      <c r="Q15" s="544" t="inlineStr">
        <is>
          <t>13.</t>
        </is>
      </c>
      <c r="R15" s="544" t="inlineStr">
        <is>
          <t>Sebastian Stępniewski</t>
        </is>
      </c>
      <c r="S15" s="544" t="inlineStr">
        <is>
          <t>UP</t>
        </is>
      </c>
      <c r="T15" s="545" t="n">
        <v>10</v>
      </c>
      <c r="U15" s="546">
        <f>T15/4</f>
        <v/>
      </c>
    </row>
    <row r="16" outlineLevel="1" s="191">
      <c r="A16" s="153" t="inlineStr">
        <is>
          <t>.b06</t>
        </is>
      </c>
      <c r="B16" s="153" t="inlineStr">
        <is>
          <t>B2B_6</t>
        </is>
      </c>
    </row>
    <row r="17" outlineLevel="1" s="191">
      <c r="A17" s="153" t="inlineStr">
        <is>
          <t>.b07</t>
        </is>
      </c>
      <c r="B17" s="153" t="inlineStr">
        <is>
          <t>B2B_7</t>
        </is>
      </c>
      <c r="S17" t="inlineStr">
        <is>
          <t>UP</t>
        </is>
      </c>
    </row>
    <row r="18" outlineLevel="1" s="191">
      <c r="A18" s="153" t="inlineStr">
        <is>
          <t>.b08</t>
        </is>
      </c>
      <c r="B18" s="153" t="inlineStr">
        <is>
          <t>B2B_8</t>
        </is>
      </c>
      <c r="S18" t="inlineStr">
        <is>
          <t>UP</t>
        </is>
      </c>
    </row>
    <row r="19" outlineLevel="1" s="191">
      <c r="A19" s="153" t="inlineStr">
        <is>
          <t>.b09</t>
        </is>
      </c>
      <c r="B19" s="153" t="inlineStr">
        <is>
          <t>B2B_9</t>
        </is>
      </c>
    </row>
    <row r="20" ht="19.2" customHeight="1" s="191">
      <c r="A20" s="66" t="inlineStr">
        <is>
          <t>ENDAWA</t>
        </is>
      </c>
      <c r="B20" s="66" t="inlineStr">
        <is>
          <t xml:space="preserve">Firma </t>
        </is>
      </c>
      <c r="C20" s="66" t="n"/>
      <c r="D20" s="66" t="inlineStr">
        <is>
          <t>Rola w projekcie</t>
        </is>
      </c>
      <c r="E20" s="66" t="inlineStr">
        <is>
          <t>Netto</t>
        </is>
      </c>
      <c r="F20" s="67" t="n"/>
      <c r="G20" s="67" t="n"/>
      <c r="H20" s="67" t="n"/>
      <c r="I20" s="67" t="n"/>
      <c r="J20" s="67" t="n"/>
      <c r="K20" s="67" t="n"/>
      <c r="L20" s="67" t="n"/>
      <c r="T20" s="201" t="n">
        <v>176</v>
      </c>
      <c r="U20" s="201" t="inlineStr">
        <is>
          <t>średnia ilość godzin w miesiącu</t>
        </is>
      </c>
      <c r="V20" s="201" t="n"/>
    </row>
    <row r="21" outlineLevel="1" ht="19.2" customHeight="1" s="191">
      <c r="A21" s="444" t="inlineStr">
        <is>
          <t>.e01</t>
        </is>
      </c>
      <c r="B21" s="444" t="inlineStr">
        <is>
          <t>ENDAWA_01</t>
        </is>
      </c>
      <c r="C21" s="444" t="n"/>
      <c r="D21" s="216" t="inlineStr">
        <is>
          <t>END Analityk Danych/ Inżynier ML 1</t>
        </is>
      </c>
      <c r="E21" s="444" t="n"/>
      <c r="F21" s="444" t="n"/>
      <c r="G21" s="444" t="n"/>
      <c r="H21" s="444" t="n"/>
      <c r="J21" s="67" t="n"/>
      <c r="K21" s="67" t="n"/>
      <c r="L21" s="67" t="n"/>
      <c r="T21" t="n">
        <v>40</v>
      </c>
      <c r="U21" s="470">
        <f>T20/T21</f>
        <v/>
      </c>
    </row>
    <row r="22" outlineLevel="1" ht="19.2" customHeight="1" s="191">
      <c r="A22" s="444" t="inlineStr">
        <is>
          <t>.e02</t>
        </is>
      </c>
      <c r="B22" s="444" t="inlineStr">
        <is>
          <t>ENDAWA_02</t>
        </is>
      </c>
      <c r="C22" s="444" t="n"/>
      <c r="D22" s="216" t="inlineStr">
        <is>
          <t>END Analityk Danych/ Inżynier ML 2</t>
        </is>
      </c>
      <c r="E22" s="444" t="n"/>
      <c r="F22" s="444" t="n"/>
      <c r="G22" s="444" t="n"/>
      <c r="H22" s="444" t="n"/>
      <c r="J22" s="67" t="n"/>
      <c r="K22" s="67" t="n"/>
      <c r="L22" s="67" t="n"/>
    </row>
    <row r="23" outlineLevel="1" ht="19.2" customHeight="1" s="191">
      <c r="A23" s="444" t="inlineStr">
        <is>
          <t>.e03</t>
        </is>
      </c>
      <c r="B23" s="444" t="inlineStr">
        <is>
          <t>ENDAWA_03</t>
        </is>
      </c>
      <c r="C23" s="444" t="n"/>
      <c r="D23" s="216" t="inlineStr">
        <is>
          <t>END Analityk Danych/ Inżynier ML 3</t>
        </is>
      </c>
      <c r="E23" s="444" t="n"/>
      <c r="F23" s="444" t="n"/>
      <c r="G23" s="444" t="n"/>
      <c r="H23" s="444" t="n"/>
      <c r="J23" s="67" t="n"/>
      <c r="K23" s="67" t="n"/>
      <c r="L23" s="67" t="n"/>
    </row>
    <row r="24" outlineLevel="1" ht="19.2" customHeight="1" s="191">
      <c r="A24" s="444" t="inlineStr">
        <is>
          <t>.e04</t>
        </is>
      </c>
      <c r="B24" s="444" t="inlineStr">
        <is>
          <t>ENDAWA_04</t>
        </is>
      </c>
      <c r="C24" s="444" t="n"/>
      <c r="D24" s="444" t="inlineStr">
        <is>
          <t>END Inż. Automatyzacji</t>
        </is>
      </c>
      <c r="E24" s="444" t="n"/>
      <c r="F24" s="444" t="n"/>
      <c r="G24" s="444" t="n"/>
      <c r="H24" s="444" t="n"/>
      <c r="J24" s="67" t="n"/>
      <c r="K24" s="67" t="n"/>
      <c r="L24" s="67" t="n"/>
      <c r="Q24" t="n">
        <v>1</v>
      </c>
      <c r="S24">
        <f>Q24*6</f>
        <v/>
      </c>
    </row>
    <row r="25" outlineLevel="1" ht="19.2" customHeight="1" s="191">
      <c r="A25" s="153" t="inlineStr">
        <is>
          <t>.e05</t>
        </is>
      </c>
      <c r="B25" s="153" t="inlineStr">
        <is>
          <t>ENDAWA_05</t>
        </is>
      </c>
      <c r="C25" s="153" t="n"/>
      <c r="D25" s="153" t="inlineStr">
        <is>
          <t>Analityk_END_05</t>
        </is>
      </c>
      <c r="Q25" t="n">
        <v>2</v>
      </c>
      <c r="S25">
        <f>Q25*6</f>
        <v/>
      </c>
    </row>
    <row r="26" outlineLevel="1" ht="19.2" customHeight="1" s="191">
      <c r="A26" s="153" t="inlineStr">
        <is>
          <t>.e06</t>
        </is>
      </c>
      <c r="B26" s="153" t="inlineStr">
        <is>
          <t>ENDAWA_06</t>
        </is>
      </c>
      <c r="C26" s="153" t="n"/>
      <c r="D26" s="153" t="inlineStr">
        <is>
          <t>Analityk_END_06</t>
        </is>
      </c>
      <c r="Q26" t="n">
        <v>3</v>
      </c>
      <c r="S26">
        <f>Q26*6</f>
        <v/>
      </c>
    </row>
    <row r="27" outlineLevel="1" ht="19.2" customHeight="1" s="191">
      <c r="A27" s="153" t="inlineStr">
        <is>
          <t>.e07</t>
        </is>
      </c>
      <c r="B27" s="153" t="inlineStr">
        <is>
          <t>ENDAWA_07</t>
        </is>
      </c>
      <c r="C27" s="153" t="n"/>
      <c r="D27" s="153" t="inlineStr">
        <is>
          <t>Analityk_END_07</t>
        </is>
      </c>
      <c r="Q27" t="n">
        <v>4</v>
      </c>
      <c r="S27">
        <f>Q27*6</f>
        <v/>
      </c>
    </row>
    <row r="28" outlineLevel="1" ht="19.2" customHeight="1" s="191">
      <c r="A28" s="153" t="inlineStr">
        <is>
          <t>.e08</t>
        </is>
      </c>
      <c r="B28" s="153" t="inlineStr">
        <is>
          <t>ENDAWA_08</t>
        </is>
      </c>
      <c r="C28" s="153" t="n"/>
      <c r="D28" s="153" t="inlineStr">
        <is>
          <t>Analityk_END_08</t>
        </is>
      </c>
      <c r="Q28" t="n">
        <v>5</v>
      </c>
      <c r="R28">
        <f>U$2*Q28</f>
        <v/>
      </c>
      <c r="S28">
        <f>Q28*6</f>
        <v/>
      </c>
    </row>
    <row r="29" outlineLevel="1" ht="19.2" customHeight="1" s="191">
      <c r="A29" s="153" t="inlineStr">
        <is>
          <t>.e09</t>
        </is>
      </c>
      <c r="B29" s="153" t="inlineStr">
        <is>
          <t>ENDAWA_09</t>
        </is>
      </c>
      <c r="C29" s="153" t="n"/>
      <c r="D29" s="153" t="inlineStr">
        <is>
          <t>Analityk_END_09</t>
        </is>
      </c>
      <c r="Q29" t="n">
        <v>6</v>
      </c>
      <c r="R29">
        <f>U$2*Q29</f>
        <v/>
      </c>
      <c r="S29">
        <f>Q29*6</f>
        <v/>
      </c>
    </row>
    <row r="30" ht="19.2" customHeight="1" s="191">
      <c r="A30" s="66" t="inlineStr">
        <is>
          <t>AGH Kraków</t>
        </is>
      </c>
      <c r="B30" s="66" t="inlineStr">
        <is>
          <t xml:space="preserve">Firma </t>
        </is>
      </c>
      <c r="C30" s="66" t="n"/>
      <c r="D30" s="66" t="inlineStr">
        <is>
          <t>Rola w projekcie</t>
        </is>
      </c>
      <c r="E30" s="66" t="inlineStr">
        <is>
          <t>Netto</t>
        </is>
      </c>
      <c r="F30" s="67" t="n"/>
      <c r="G30" s="67" t="n"/>
      <c r="H30" s="67" t="n"/>
      <c r="I30" s="67" t="n"/>
      <c r="J30" s="67" t="n"/>
      <c r="K30" s="67" t="n"/>
      <c r="L30" s="67" t="n"/>
      <c r="Q30" t="n">
        <v>7</v>
      </c>
      <c r="R30">
        <f>U$2*Q30</f>
        <v/>
      </c>
      <c r="S30">
        <f>Q30*6</f>
        <v/>
      </c>
    </row>
    <row r="31" outlineLevel="1" ht="19.2" customHeight="1" s="191">
      <c r="A31" s="444" t="inlineStr">
        <is>
          <t>.g01</t>
        </is>
      </c>
      <c r="B31" s="444" t="inlineStr">
        <is>
          <t>AGH_01</t>
        </is>
      </c>
      <c r="C31" s="444" t="n"/>
      <c r="D31" s="444" t="inlineStr">
        <is>
          <t>AGH - Profesor (max 50% etatu)</t>
        </is>
      </c>
      <c r="E31" s="444" t="n"/>
      <c r="F31" s="444" t="n"/>
      <c r="G31" s="444" t="n"/>
      <c r="H31" s="444" t="n"/>
      <c r="J31" s="67" t="n"/>
      <c r="K31" s="67" t="n"/>
      <c r="L31" s="67" t="n"/>
      <c r="Q31" t="n">
        <v>8</v>
      </c>
      <c r="R31">
        <f>U$2*Q31</f>
        <v/>
      </c>
      <c r="S31">
        <f>Q31*6</f>
        <v/>
      </c>
    </row>
    <row r="32" outlineLevel="1" ht="19.2" customHeight="1" s="191">
      <c r="A32" s="444" t="inlineStr">
        <is>
          <t>.g02</t>
        </is>
      </c>
      <c r="B32" s="444" t="inlineStr">
        <is>
          <t>AGH_02</t>
        </is>
      </c>
      <c r="C32" s="444" t="n"/>
      <c r="D32" s="444" t="inlineStr">
        <is>
          <t>AGH - Pracownik naukowy 1 (max 50% etatu)</t>
        </is>
      </c>
      <c r="E32" s="444" t="n"/>
      <c r="F32" s="444" t="n"/>
      <c r="G32" s="444" t="n"/>
      <c r="H32" s="444" t="n"/>
      <c r="J32" s="67" t="n"/>
      <c r="K32" s="67" t="n"/>
      <c r="L32" s="67" t="n"/>
      <c r="Q32" t="n">
        <v>9</v>
      </c>
      <c r="R32">
        <f>U$2*Q32</f>
        <v/>
      </c>
      <c r="S32">
        <f>Q32*6</f>
        <v/>
      </c>
    </row>
    <row r="33" outlineLevel="1" ht="19.2" customHeight="1" s="191">
      <c r="A33" s="444" t="inlineStr">
        <is>
          <t>.g03</t>
        </is>
      </c>
      <c r="B33" s="444" t="inlineStr">
        <is>
          <t>AGH_03</t>
        </is>
      </c>
      <c r="C33" s="444" t="n"/>
      <c r="D33" s="444" t="inlineStr">
        <is>
          <t>AGH Pracownik nukowy 2 (max 50% etatu)</t>
        </is>
      </c>
      <c r="E33" s="444" t="n"/>
      <c r="F33" s="444" t="n"/>
      <c r="G33" s="444" t="n"/>
      <c r="H33" s="444" t="n"/>
      <c r="J33" s="67" t="n"/>
      <c r="K33" s="67" t="n"/>
      <c r="L33" s="67" t="n"/>
      <c r="Q33" t="n">
        <v>10</v>
      </c>
      <c r="R33">
        <f>U$2*Q33</f>
        <v/>
      </c>
    </row>
    <row r="34" outlineLevel="1" ht="19.2" customHeight="1" s="191">
      <c r="A34" s="444" t="inlineStr">
        <is>
          <t>.g04</t>
        </is>
      </c>
      <c r="B34" s="444" t="inlineStr">
        <is>
          <t>AGH_04</t>
        </is>
      </c>
      <c r="C34" s="444" t="n"/>
      <c r="D34" s="444" t="inlineStr">
        <is>
          <t>AGH Pracownik naukowy 3 (max 50% etatu)</t>
        </is>
      </c>
      <c r="E34" s="444" t="n"/>
      <c r="F34" s="444" t="n"/>
      <c r="G34" s="444" t="n"/>
      <c r="H34" s="444" t="n"/>
      <c r="J34" s="67" t="n"/>
      <c r="K34" s="67" t="n"/>
      <c r="L34" s="67" t="n"/>
      <c r="Q34" t="n">
        <v>11</v>
      </c>
    </row>
    <row r="35" outlineLevel="1" ht="19.2" customHeight="1" s="191">
      <c r="A35" s="153" t="inlineStr">
        <is>
          <t>.g05</t>
        </is>
      </c>
      <c r="B35" s="153" t="inlineStr">
        <is>
          <t>AGH_05</t>
        </is>
      </c>
      <c r="C35" s="153" t="n"/>
      <c r="D35" s="153" t="inlineStr">
        <is>
          <t>Analityk_AGH_05</t>
        </is>
      </c>
    </row>
    <row r="36" outlineLevel="1" ht="19.2" customHeight="1" s="191">
      <c r="A36" s="153" t="inlineStr">
        <is>
          <t>.g06</t>
        </is>
      </c>
      <c r="B36" s="153" t="inlineStr">
        <is>
          <t>AGH_06</t>
        </is>
      </c>
      <c r="C36" s="153" t="n"/>
      <c r="D36" s="153" t="inlineStr">
        <is>
          <t>Analityk_AGH_06</t>
        </is>
      </c>
    </row>
    <row r="37" outlineLevel="1" ht="19.2" customHeight="1" s="191">
      <c r="A37" s="153" t="inlineStr">
        <is>
          <t>.g07</t>
        </is>
      </c>
      <c r="B37" s="153" t="inlineStr">
        <is>
          <t>AGH_07</t>
        </is>
      </c>
      <c r="C37" s="153" t="n"/>
      <c r="D37" s="153" t="inlineStr">
        <is>
          <t>Analityk_AGH_07</t>
        </is>
      </c>
    </row>
    <row r="38" outlineLevel="1" ht="19.2" customHeight="1" s="191">
      <c r="A38" s="153" t="inlineStr">
        <is>
          <t>.g08</t>
        </is>
      </c>
      <c r="B38" s="153" t="inlineStr">
        <is>
          <t>AGH_08</t>
        </is>
      </c>
      <c r="C38" s="153" t="n"/>
      <c r="D38" s="153" t="inlineStr">
        <is>
          <t>Analityk_AGH_08</t>
        </is>
      </c>
    </row>
    <row r="39" outlineLevel="1" ht="19.2" customHeight="1" s="191">
      <c r="A39" s="153" t="inlineStr">
        <is>
          <t>.g09</t>
        </is>
      </c>
      <c r="B39" s="153" t="inlineStr">
        <is>
          <t>AGH_09</t>
        </is>
      </c>
      <c r="C39" s="153" t="n"/>
      <c r="D39" s="153" t="inlineStr">
        <is>
          <t>Analityk_AGH_09</t>
        </is>
      </c>
    </row>
    <row r="40" ht="19.2" customHeight="1" s="191"/>
    <row r="41" outlineLevel="1" ht="19.2" customHeight="1" s="191"/>
    <row r="42" outlineLevel="1" ht="19.2" customHeight="1" s="191"/>
    <row r="43" outlineLevel="1" ht="19.2" customHeight="1" s="191"/>
    <row r="44" outlineLevel="1" ht="19.2" customHeight="1" s="191"/>
    <row r="45" outlineLevel="1" ht="19.2" customHeight="1" s="191"/>
    <row r="46" outlineLevel="1" ht="19.2" customHeight="1" s="191"/>
    <row r="47" outlineLevel="1" ht="19.2" customHeight="1" s="191"/>
    <row r="48" outlineLevel="1" ht="19.2" customHeight="1" s="191"/>
    <row r="49" outlineLevel="1" ht="19.2" customHeight="1" s="191"/>
    <row r="50" outlineLevel="1" ht="19.2" customHeight="1" s="191"/>
    <row r="51" outlineLevel="1" ht="19.2" customHeight="1" s="191"/>
    <row r="52" outlineLevel="1" ht="19.2" customHeight="1" s="191"/>
    <row r="53" outlineLevel="1" ht="19.2" customHeight="1" s="191"/>
    <row r="54" outlineLevel="1" ht="19.2" customHeight="1" s="191"/>
    <row r="55" outlineLevel="1" ht="19.2" customHeight="1" s="191"/>
    <row r="56" outlineLevel="1" ht="19.2" customHeight="1" s="191"/>
    <row r="57" outlineLevel="1" ht="19.2" customHeight="1" s="191"/>
    <row r="58" outlineLevel="1" ht="19.2" customHeight="1" s="191"/>
    <row r="59" outlineLevel="1" ht="19.2" customHeight="1" s="191"/>
    <row r="60" outlineLevel="1" ht="19.2" customHeight="1" s="191"/>
    <row r="61" outlineLevel="1" ht="19.2" customHeight="1" s="191"/>
    <row r="62" outlineLevel="1" ht="19.2" customHeight="1" s="191"/>
    <row r="63" outlineLevel="1" ht="19.2" customHeight="1" s="191"/>
    <row r="64" outlineLevel="1" ht="19.2" customHeight="1" s="191"/>
    <row r="65" outlineLevel="1" ht="19.2" customHeight="1" s="191"/>
    <row r="66" outlineLevel="1" ht="19.2" customHeight="1" s="191"/>
    <row r="67" outlineLevel="1" ht="19.2" customHeight="1" s="191"/>
    <row r="68" outlineLevel="1" ht="19.2" customHeight="1" s="191"/>
    <row r="69" outlineLevel="1" ht="19.2" customHeight="1" s="191"/>
    <row r="70" outlineLevel="1" ht="19.2" customHeight="1" s="191"/>
    <row r="71" ht="48" customHeight="1" s="191">
      <c r="A71" s="66" t="inlineStr">
        <is>
          <t>ZADANIA GŁÓWNE</t>
        </is>
      </c>
      <c r="B71" s="66" t="n"/>
      <c r="C71" s="257" t="inlineStr">
        <is>
          <t>aktualne</t>
        </is>
      </c>
      <c r="D71" s="66" t="n"/>
      <c r="E71" s="66" t="n"/>
      <c r="F71" s="66" t="n"/>
      <c r="G71" s="66" t="n"/>
      <c r="H71" s="66" t="n"/>
      <c r="I71" s="66" t="n"/>
      <c r="J71" s="66" t="n"/>
      <c r="K71" s="69">
        <f>Karta!M2</f>
        <v/>
      </c>
      <c r="L71" s="69">
        <f>Karta!N2</f>
        <v/>
      </c>
      <c r="M71" s="69">
        <f>Karta!O2</f>
        <v/>
      </c>
      <c r="W71" s="248" t="inlineStr">
        <is>
          <t>było</t>
        </is>
      </c>
    </row>
    <row r="72" outlineLevel="1" ht="19.2" customHeight="1" s="191">
      <c r="A72" s="444" t="inlineStr">
        <is>
          <t>.z01</t>
        </is>
      </c>
      <c r="B72" s="444" t="inlineStr">
        <is>
          <t>Zadanie_I</t>
        </is>
      </c>
      <c r="C72" s="246" t="inlineStr">
        <is>
          <t>Opracowanie autorskiej, kompleksowej, jednorodnej, standaryzowanej, skalowalnej wzorcowej bazy danych (WBD) procesów magazynowych, gotowej do analiz i procesowania w kolejnych elementach technologii inteligentnej platformy ICT, na potrzeby optymalizacji procesu przygotowywania i realizacji zamówień z wykorzystaniem mechanizmów AI i ML</t>
        </is>
      </c>
      <c r="D72" s="256" t="n"/>
      <c r="E72" s="256" t="n"/>
      <c r="F72" s="256" t="n"/>
      <c r="G72" s="256" t="n"/>
      <c r="H72" s="256" t="n"/>
      <c r="I72" s="256" t="n"/>
      <c r="J72" s="256" t="n"/>
      <c r="K72">
        <f>I_Wzorcowa_BD!M$1</f>
        <v/>
      </c>
      <c r="L72">
        <f>I_Wzorcowa_BD!N$1</f>
        <v/>
      </c>
      <c r="M72" s="548">
        <f>I_Wzorcowa_BD!O$1</f>
        <v/>
      </c>
      <c r="N72" s="289" t="inlineStr">
        <is>
          <t>start</t>
        </is>
      </c>
      <c r="W72" s="249" t="inlineStr">
        <is>
          <t>Opracowanie autorskiej, kompleksowej, jednorodnej, standaryzowanej, skalowalnej wzorcowej bazy danych (WBD) procesów magazynowych, gotowej do analiz i procesowania w kolejnych elementach technologii inteligentnej platformy ICT, na potrzeby optymalizacji procesu przygotowywania i realizacji zamówień z wykorzystaniem mechanizmów AI i ML</t>
        </is>
      </c>
    </row>
    <row r="73" outlineLevel="1" ht="19.2" customHeight="1" s="191">
      <c r="A73" s="444" t="inlineStr">
        <is>
          <t>.z02</t>
        </is>
      </c>
      <c r="B73" s="444" t="inlineStr">
        <is>
          <t>Zadanie_II</t>
        </is>
      </c>
      <c r="C73" s="246" t="inlineStr">
        <is>
          <t>Opracowanie autorskiej bazy danych dla procesu pakowania (BDP) z wykorzystaniem mechanizmów AI i ML</t>
        </is>
      </c>
      <c r="D73" s="252" t="n"/>
      <c r="E73" s="252" t="n"/>
      <c r="F73" s="252" t="n"/>
      <c r="G73" s="252" t="n"/>
      <c r="H73" s="252" t="n"/>
      <c r="I73" s="252" t="n"/>
      <c r="J73" s="252" t="n"/>
      <c r="K73">
        <f>II_Baza_BDP!M1</f>
        <v/>
      </c>
      <c r="L73">
        <f>II_Baza_BDP!N1</f>
        <v/>
      </c>
      <c r="M73" s="548">
        <f>II_Baza_BDP!O1</f>
        <v/>
      </c>
      <c r="N73" t="inlineStr">
        <is>
          <t>razem z01</t>
        </is>
      </c>
      <c r="W73" s="249" t="inlineStr">
        <is>
          <t>Opracowanie autorskiej bazy danych dla procesu pakowania (BDP) z wykorzystaniem mechanizmów AI i ML</t>
        </is>
      </c>
    </row>
    <row r="74" outlineLevel="1" ht="19.2" customHeight="1" s="191">
      <c r="A74" s="444" t="inlineStr">
        <is>
          <t>.z03</t>
        </is>
      </c>
      <c r="B74" s="444" t="inlineStr">
        <is>
          <t>Zadanie_III</t>
        </is>
      </c>
      <c r="C74" s="246" t="inlineStr">
        <is>
          <t>Opracowanie inteligentnego matematycznego modelu pakowania towarów (PT) z wykorzystaniem mechanizmów AI i ML</t>
        </is>
      </c>
      <c r="D74" s="252" t="n"/>
      <c r="E74" s="252" t="n"/>
      <c r="F74" s="252" t="n"/>
      <c r="G74" s="252" t="n"/>
      <c r="H74" s="252" t="n"/>
      <c r="I74" s="252" t="n"/>
      <c r="J74" s="252" t="n"/>
      <c r="K74">
        <f>III_Model_PT!M1</f>
        <v/>
      </c>
      <c r="L74">
        <f>III_Model_PT!N1</f>
        <v/>
      </c>
      <c r="M74" s="548">
        <f>III_Model_PT!O1</f>
        <v/>
      </c>
      <c r="W74" s="249" t="inlineStr">
        <is>
          <t>Opracowanie autorskiej bazy danych dla procesu kompletacji zamówień (BDKZ) z wykorzystaniem mechanizmów AI i ML</t>
        </is>
      </c>
    </row>
    <row r="75" outlineLevel="1" ht="19.2" customHeight="1" s="191">
      <c r="A75" s="444" t="inlineStr">
        <is>
          <t>.z04</t>
        </is>
      </c>
      <c r="B75" s="444" t="inlineStr">
        <is>
          <t>Zadanie_IV</t>
        </is>
      </c>
      <c r="C75" s="246" t="inlineStr">
        <is>
          <t>Opracowanie autorskiej bazy danych dla procesu cyfrowego bliźniaka (BDCB) z wykorzystaniem mechanizmów AI i ML</t>
        </is>
      </c>
      <c r="D75" s="252" t="n"/>
      <c r="E75" s="252" t="n"/>
      <c r="F75" s="252" t="n"/>
      <c r="G75" s="252" t="n"/>
      <c r="H75" s="252" t="n"/>
      <c r="I75" s="252" t="n"/>
      <c r="J75" s="252" t="n"/>
      <c r="K75">
        <f>IV_Baza_BDCB!M1</f>
        <v/>
      </c>
      <c r="L75">
        <f>IV_Baza_BDCB!N1</f>
        <v/>
      </c>
      <c r="M75" s="548">
        <f>IV_Baza_BDCB!O1</f>
        <v/>
      </c>
      <c r="W75" s="249" t="inlineStr">
        <is>
          <t>Opracowanie autorskiej bazy danych dla magazynu wysokiego składowania (BDMWS) z wykorzystaniem mechanizmów AI i ML</t>
        </is>
      </c>
    </row>
    <row r="76" outlineLevel="1" ht="19.2" customHeight="1" s="191">
      <c r="A76" s="444" t="inlineStr">
        <is>
          <t>.z05</t>
        </is>
      </c>
      <c r="B76" s="444" t="inlineStr">
        <is>
          <t>Zadanie_V</t>
        </is>
      </c>
      <c r="C76" s="246" t="inlineStr">
        <is>
          <t>Opracowanie cyfrowego bliźniaka do symulacji procesów magazynowych</t>
        </is>
      </c>
      <c r="D76" s="252" t="n"/>
      <c r="E76" s="252" t="n"/>
      <c r="F76" s="252" t="n"/>
      <c r="G76" s="252" t="n"/>
      <c r="H76" s="252" t="n"/>
      <c r="I76" s="252" t="n"/>
      <c r="J76" s="252" t="n"/>
      <c r="K76" s="538">
        <f>V_Model_CB!M1</f>
        <v/>
      </c>
      <c r="L76" s="538">
        <f>V_Model_CB!N1</f>
        <v/>
      </c>
      <c r="M76" s="548">
        <f>V_Model_CB!O1</f>
        <v/>
      </c>
      <c r="W76" s="249" t="inlineStr">
        <is>
          <t>Opracowanie autorskiej bazy danych dla procesu cyfrowego bliźniaka (BDCB) z wykorzystaniem mechanizmów AI i ML</t>
        </is>
      </c>
    </row>
    <row r="77" outlineLevel="1" ht="19.2" customHeight="1" s="191">
      <c r="A77" s="444" t="inlineStr">
        <is>
          <t>.z06</t>
        </is>
      </c>
      <c r="B77" s="444" t="inlineStr">
        <is>
          <t>Zadanie_VI</t>
        </is>
      </c>
      <c r="C77" s="246" t="inlineStr">
        <is>
          <t>Opracowanie autorskiej bazy danych dla procesu kompletacji zamówień (BDKZ) z wykorzystaniem mechanizmów AI i ML</t>
        </is>
      </c>
      <c r="D77" s="252" t="n"/>
      <c r="E77" s="252" t="n"/>
      <c r="F77" s="252" t="n"/>
      <c r="G77" s="252" t="n"/>
      <c r="H77" s="252" t="n"/>
      <c r="I77" s="252" t="n"/>
      <c r="J77" s="252" t="n"/>
      <c r="K77" s="538">
        <f>VI_Baza_BDKZ!M1</f>
        <v/>
      </c>
      <c r="L77" s="538">
        <f>VI_Baza_BDKZ!N1</f>
        <v/>
      </c>
      <c r="M77" s="548">
        <f>VI_Baza_BDKZ!O1</f>
        <v/>
      </c>
      <c r="W77" s="249" t="inlineStr">
        <is>
          <t>Opracowanie inteligentnego matematycznego modelu pakowania towarów (PT) z wykorzystaniem mechanizmów AI i ML</t>
        </is>
      </c>
    </row>
    <row r="78" outlineLevel="1" ht="19.2" customHeight="1" s="191">
      <c r="A78" s="444" t="inlineStr">
        <is>
          <t>.z07</t>
        </is>
      </c>
      <c r="B78" s="444" t="inlineStr">
        <is>
          <t>Zadanie_VII</t>
        </is>
      </c>
      <c r="C78" s="246" t="inlineStr">
        <is>
          <t>Opracowanie inteligentnego matematycznego modelu procesu kompletacji zamówień (PKZ) z wykorzystaniem mechanizmów AI i ML</t>
        </is>
      </c>
      <c r="D78" s="252" t="n"/>
      <c r="E78" s="252" t="n"/>
      <c r="F78" s="252" t="n"/>
      <c r="G78" s="252" t="n"/>
      <c r="H78" s="252" t="n"/>
      <c r="I78" s="252" t="n"/>
      <c r="J78" s="252" t="n"/>
      <c r="K78" s="538">
        <f>VII_Model_PKZ!M1</f>
        <v/>
      </c>
      <c r="L78" s="538">
        <f>VII_Model_PKZ!N1</f>
        <v/>
      </c>
      <c r="M78" s="548">
        <f>VII_Model_PKZ!O1</f>
        <v/>
      </c>
      <c r="W78" s="249" t="inlineStr">
        <is>
          <t>Opracowanie inteligentnego matematycznego modelu procesu kompletacji zamówień (PKZ) z wykorzystaniem mechanizmów AI i ML</t>
        </is>
      </c>
    </row>
    <row r="79" outlineLevel="1" ht="19.2" customHeight="1" s="191">
      <c r="A79" s="444" t="inlineStr">
        <is>
          <t>.z08</t>
        </is>
      </c>
      <c r="B79" s="444" t="inlineStr">
        <is>
          <t>Zadanie_VIII</t>
        </is>
      </c>
      <c r="C79" s="246" t="inlineStr">
        <is>
          <t>Opracowanie autorskiej bazy danych dla magazynu wysokiego składowania (BDMWS) z wykorzystaniem mechanizmów AI i ML</t>
        </is>
      </c>
      <c r="D79" s="252" t="n"/>
      <c r="E79" s="252" t="n"/>
      <c r="F79" s="252" t="n"/>
      <c r="G79" s="252" t="n"/>
      <c r="H79" s="252" t="n"/>
      <c r="I79" s="252" t="n"/>
      <c r="J79" s="252" t="n"/>
      <c r="K79" s="538">
        <f>VIII_Baza_BDWMS!M1</f>
        <v/>
      </c>
      <c r="L79" s="538">
        <f>VIII_Baza_BDWMS!N1</f>
        <v/>
      </c>
      <c r="M79" s="548">
        <f>VIII_Baza_BDWMS!O1</f>
        <v/>
      </c>
      <c r="W79" s="249" t="inlineStr">
        <is>
          <t>Opracowanie matematycznego modelu operacji w magazynie wysokiego składowania (MWS) z wykorzystaniem mechanizmów AI i ML</t>
        </is>
      </c>
    </row>
    <row r="80" outlineLevel="1" ht="19.2" customHeight="1" s="191">
      <c r="A80" s="444" t="inlineStr">
        <is>
          <t>.z09</t>
        </is>
      </c>
      <c r="B80" s="444" t="inlineStr">
        <is>
          <t>Zadanie_IX</t>
        </is>
      </c>
      <c r="C80" s="246" t="inlineStr">
        <is>
          <t>Opracowanie matematycznego modelu operacji w magazynie wysokiego składowania (MWS) z wykorzystaniem mechanizmów AI i ML</t>
        </is>
      </c>
      <c r="D80" s="252" t="n"/>
      <c r="E80" s="252" t="n"/>
      <c r="F80" s="252" t="n"/>
      <c r="G80" s="252" t="n"/>
      <c r="H80" s="252" t="n"/>
      <c r="I80" s="252" t="n"/>
      <c r="J80" s="252" t="n"/>
      <c r="K80" s="538">
        <f>IX_Model_MWS!M1</f>
        <v/>
      </c>
      <c r="L80" s="538">
        <f>IX_Model_MWS!N1</f>
        <v/>
      </c>
      <c r="M80" s="548">
        <f>IX_Model_MWS!O1</f>
        <v/>
      </c>
      <c r="W80" s="249" t="inlineStr">
        <is>
          <t>Opracowanie cyfrowego bliźniaka do symulacji procesów magazynowych</t>
        </is>
      </c>
    </row>
    <row r="81" outlineLevel="1" ht="19.2" customHeight="1" s="191">
      <c r="A81" s="444" t="inlineStr">
        <is>
          <t>.z10</t>
        </is>
      </c>
      <c r="B81" s="444" t="inlineStr">
        <is>
          <t>Zadanie_X</t>
        </is>
      </c>
      <c r="C81" s="247" t="inlineStr">
        <is>
          <t xml:space="preserve">Opracowanie inteligentnej platformy ICT w procesach pakowania, kompletacji i obsługi MWS, dla wybranych grup towarowych w magazynie Wnioskodawcy </t>
        </is>
      </c>
      <c r="D81" s="252" t="n"/>
      <c r="E81" s="252" t="n"/>
      <c r="F81" s="252" t="n"/>
      <c r="G81" s="252" t="n"/>
      <c r="H81" s="252" t="n"/>
      <c r="I81" s="252" t="n"/>
      <c r="J81" s="252" t="n"/>
      <c r="K81" s="538">
        <f>X_Platf_WMS!M1</f>
        <v/>
      </c>
      <c r="L81" s="538">
        <f>X_Platf_WMS!N1</f>
        <v/>
      </c>
      <c r="M81" s="548">
        <f>X_Platf_WMS!O1</f>
        <v/>
      </c>
      <c r="W81" s="250" t="inlineStr">
        <is>
          <t xml:space="preserve">Opracowanie inteligentnej platformy ICT w procesach pakowania, kompletacji i obsługi MWS, dla wybranych grup towarowych w magazynie Wnioskodawcy </t>
        </is>
      </c>
    </row>
    <row r="82" outlineLevel="1" ht="19.2" customHeight="1" s="191">
      <c r="A82" s="444" t="inlineStr">
        <is>
          <t>.z11</t>
        </is>
      </c>
      <c r="B82" s="444" t="inlineStr">
        <is>
          <t>Zadanie_XI</t>
        </is>
      </c>
      <c r="C82" s="247" t="inlineStr">
        <is>
          <t xml:space="preserve">Wdrożenie inteligentnej platformy ICT w procesach pakowania, kompletacji i obsługi MWS, dla wybranych grup towarowych w magazynie Wnioskodawcy </t>
        </is>
      </c>
      <c r="D82" s="254" t="n"/>
      <c r="E82" s="254" t="n"/>
      <c r="F82" s="254" t="n"/>
      <c r="G82" s="254" t="n"/>
      <c r="H82" s="254" t="n"/>
      <c r="I82" s="254" t="n"/>
      <c r="J82" s="254" t="n"/>
      <c r="K82" s="538">
        <f>XI_Wdrożenie!M1</f>
        <v/>
      </c>
      <c r="L82" s="538">
        <f>XI_Wdrożenie!N1</f>
        <v/>
      </c>
      <c r="M82" s="548">
        <f>XI_Wdrożenie!O1</f>
        <v/>
      </c>
      <c r="W82" s="250" t="inlineStr">
        <is>
          <t xml:space="preserve">Wdrożenie inteligentnej platformy ICT w procesach pakowania, kompletacji i obsługi MWS, dla wybranych grup towarowych w magazynie Wnioskodawcy </t>
        </is>
      </c>
    </row>
    <row r="83" outlineLevel="1" ht="19.2" customHeight="1" s="191">
      <c r="A83" s="444" t="inlineStr">
        <is>
          <t>.z12</t>
        </is>
      </c>
      <c r="B83" s="444" t="inlineStr">
        <is>
          <t>Zadanie_XII</t>
        </is>
      </c>
      <c r="C83" s="272" t="inlineStr">
        <is>
          <t>Zielono mi i spokojnie  ;)</t>
        </is>
      </c>
      <c r="D83" s="274" t="n"/>
      <c r="E83" s="274" t="n"/>
      <c r="F83" s="274" t="n"/>
      <c r="G83" s="274" t="n"/>
      <c r="H83" s="274" t="n"/>
      <c r="I83" s="274" t="n"/>
      <c r="J83" s="274" t="n"/>
      <c r="K83" s="252" t="n"/>
      <c r="L83" s="538" t="n"/>
      <c r="M83" s="548" t="n"/>
    </row>
    <row r="84" ht="19.2" customHeight="1" s="191">
      <c r="M84" s="549">
        <f>SUM(M72:M83)</f>
        <v/>
      </c>
    </row>
    <row r="85" ht="19.2" customHeight="1" s="191"/>
    <row r="100">
      <c r="A100" s="66" t="inlineStr">
        <is>
          <t>Miesiąc realizacji projektu (przewidywany okres = 30 miesięcy)</t>
        </is>
      </c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</row>
    <row r="101">
      <c r="A101" s="444" t="inlineStr">
        <is>
          <t>.t001</t>
        </is>
      </c>
      <c r="B101" s="677" t="n">
        <v>46235</v>
      </c>
      <c r="J101" s="66" t="n"/>
      <c r="K101" s="66" t="n"/>
      <c r="L101" s="66" t="n"/>
    </row>
    <row r="102">
      <c r="A102" s="444" t="inlineStr">
        <is>
          <t>.t002</t>
        </is>
      </c>
      <c r="B102" s="677" t="n">
        <v>46266</v>
      </c>
      <c r="J102" s="66" t="n"/>
      <c r="K102" s="66" t="n"/>
      <c r="L102" s="66" t="n"/>
    </row>
    <row r="103">
      <c r="A103" s="444" t="inlineStr">
        <is>
          <t>.t003</t>
        </is>
      </c>
      <c r="B103" s="677" t="n">
        <v>46296</v>
      </c>
      <c r="J103" s="66" t="n"/>
      <c r="K103" s="66" t="n"/>
      <c r="L103" s="66" t="n"/>
    </row>
    <row r="104">
      <c r="A104" s="444" t="inlineStr">
        <is>
          <t>.t004</t>
        </is>
      </c>
      <c r="B104" s="677" t="n">
        <v>46327</v>
      </c>
      <c r="J104" s="66" t="n"/>
      <c r="K104" s="66" t="n"/>
      <c r="L104" s="66" t="n"/>
    </row>
    <row r="105">
      <c r="A105" s="444" t="inlineStr">
        <is>
          <t>.t005</t>
        </is>
      </c>
      <c r="B105" s="677" t="n">
        <v>46357</v>
      </c>
      <c r="J105" s="66" t="n"/>
      <c r="K105" s="66" t="n"/>
      <c r="L105" s="66" t="n"/>
    </row>
    <row r="106">
      <c r="A106" s="444" t="inlineStr">
        <is>
          <t>.t006</t>
        </is>
      </c>
      <c r="B106" s="677" t="n">
        <v>46388</v>
      </c>
      <c r="J106" s="66" t="n"/>
      <c r="K106" s="66" t="n"/>
      <c r="L106" s="66" t="n"/>
    </row>
    <row r="107">
      <c r="A107" s="444" t="inlineStr">
        <is>
          <t>.t007</t>
        </is>
      </c>
      <c r="B107" s="677" t="n">
        <v>46419</v>
      </c>
      <c r="J107" s="66" t="n"/>
      <c r="K107" s="66" t="n"/>
      <c r="L107" s="66" t="n"/>
    </row>
    <row r="108">
      <c r="A108" s="444" t="inlineStr">
        <is>
          <t>.t008</t>
        </is>
      </c>
      <c r="B108" s="677" t="n">
        <v>46447</v>
      </c>
      <c r="J108" s="66" t="n"/>
      <c r="K108" s="66" t="n"/>
      <c r="L108" s="66" t="n"/>
    </row>
    <row r="109">
      <c r="A109" s="444" t="inlineStr">
        <is>
          <t>.t009</t>
        </is>
      </c>
      <c r="B109" s="677" t="n">
        <v>46478</v>
      </c>
      <c r="J109" s="66" t="n"/>
      <c r="K109" s="66" t="n"/>
      <c r="L109" s="66" t="n"/>
    </row>
    <row r="110">
      <c r="A110" s="444" t="inlineStr">
        <is>
          <t>.t010</t>
        </is>
      </c>
      <c r="B110" s="677" t="n">
        <v>46508</v>
      </c>
      <c r="J110" s="66" t="n"/>
      <c r="K110" s="66" t="n"/>
      <c r="L110" s="66" t="n"/>
    </row>
    <row r="111">
      <c r="A111" s="444" t="inlineStr">
        <is>
          <t>.t011</t>
        </is>
      </c>
      <c r="B111" s="677" t="n">
        <v>46478</v>
      </c>
      <c r="J111" s="66" t="n"/>
      <c r="K111" s="66" t="n"/>
      <c r="L111" s="66" t="n"/>
    </row>
    <row r="112">
      <c r="A112" s="444" t="inlineStr">
        <is>
          <t>.t012</t>
        </is>
      </c>
      <c r="B112" s="677" t="n">
        <v>46508</v>
      </c>
      <c r="J112" s="66" t="n"/>
      <c r="K112" s="66" t="n"/>
      <c r="L112" s="66" t="n"/>
    </row>
    <row r="113">
      <c r="A113" s="444" t="inlineStr">
        <is>
          <t>.t013</t>
        </is>
      </c>
      <c r="B113" s="677" t="n">
        <v>46539</v>
      </c>
      <c r="J113" s="66" t="n"/>
      <c r="K113" s="66" t="n"/>
      <c r="L113" s="66" t="n"/>
    </row>
    <row r="114">
      <c r="A114" s="444" t="inlineStr">
        <is>
          <t>.t014</t>
        </is>
      </c>
      <c r="B114" s="677" t="n">
        <v>46569</v>
      </c>
      <c r="J114" s="66" t="n"/>
      <c r="K114" s="66" t="n"/>
      <c r="L114" s="66" t="n"/>
    </row>
    <row r="115">
      <c r="A115" s="444" t="inlineStr">
        <is>
          <t>.t015</t>
        </is>
      </c>
      <c r="B115" s="677" t="n">
        <v>46600</v>
      </c>
      <c r="J115" s="66" t="n"/>
      <c r="K115" s="66" t="n"/>
      <c r="L115" s="66" t="n"/>
    </row>
    <row r="116">
      <c r="A116" s="444" t="inlineStr">
        <is>
          <t>.t016</t>
        </is>
      </c>
      <c r="B116" s="677" t="n">
        <v>46631</v>
      </c>
      <c r="J116" s="66" t="n"/>
      <c r="K116" s="66" t="n"/>
      <c r="L116" s="66" t="n"/>
    </row>
    <row r="117">
      <c r="A117" s="444" t="inlineStr">
        <is>
          <t>.t017</t>
        </is>
      </c>
      <c r="B117" s="677" t="n">
        <v>46661</v>
      </c>
      <c r="J117" s="66" t="n"/>
      <c r="K117" s="66" t="n"/>
      <c r="L117" s="66" t="n"/>
    </row>
    <row r="118">
      <c r="A118" s="444" t="inlineStr">
        <is>
          <t>.t018</t>
        </is>
      </c>
      <c r="B118" s="677" t="n">
        <v>46692</v>
      </c>
      <c r="J118" s="66" t="n"/>
      <c r="K118" s="66" t="n"/>
      <c r="L118" s="66" t="n"/>
    </row>
    <row r="119">
      <c r="A119" s="444" t="inlineStr">
        <is>
          <t>.t019</t>
        </is>
      </c>
      <c r="B119" s="677" t="n">
        <v>46722</v>
      </c>
      <c r="J119" s="66" t="n"/>
      <c r="K119" s="66" t="n"/>
      <c r="L119" s="66" t="n"/>
    </row>
    <row r="120">
      <c r="A120" s="444" t="inlineStr">
        <is>
          <t>.t020</t>
        </is>
      </c>
      <c r="B120" s="677" t="n">
        <v>46753</v>
      </c>
      <c r="J120" s="66" t="n"/>
      <c r="K120" s="66" t="n"/>
      <c r="L120" s="66" t="n"/>
    </row>
    <row r="121">
      <c r="A121" s="444" t="inlineStr">
        <is>
          <t>.t021</t>
        </is>
      </c>
      <c r="B121" s="677" t="n">
        <v>46784</v>
      </c>
      <c r="J121" s="66" t="n"/>
      <c r="K121" s="66" t="n"/>
      <c r="L121" s="66" t="n"/>
    </row>
    <row r="122">
      <c r="A122" s="444" t="inlineStr">
        <is>
          <t>.t022</t>
        </is>
      </c>
      <c r="B122" s="677" t="n">
        <v>46813</v>
      </c>
      <c r="J122" s="66" t="n"/>
      <c r="K122" s="66" t="n"/>
      <c r="L122" s="66" t="n"/>
    </row>
    <row r="123">
      <c r="A123" s="444" t="inlineStr">
        <is>
          <t>.t023</t>
        </is>
      </c>
      <c r="B123" s="677" t="n">
        <v>46844</v>
      </c>
      <c r="J123" s="66" t="n"/>
      <c r="K123" s="66" t="n"/>
      <c r="L123" s="66" t="n"/>
    </row>
    <row r="124">
      <c r="A124" s="444" t="inlineStr">
        <is>
          <t>.t024</t>
        </is>
      </c>
      <c r="B124" s="677" t="n">
        <v>46874</v>
      </c>
      <c r="J124" s="66" t="n"/>
      <c r="K124" s="66" t="n"/>
      <c r="L124" s="66" t="n"/>
    </row>
    <row r="125">
      <c r="A125" s="444" t="inlineStr">
        <is>
          <t>.t025</t>
        </is>
      </c>
      <c r="B125" s="677" t="n">
        <v>46905</v>
      </c>
      <c r="J125" s="66" t="n"/>
      <c r="K125" s="66" t="n"/>
      <c r="L125" s="66" t="n"/>
    </row>
    <row r="126">
      <c r="A126" s="444" t="inlineStr">
        <is>
          <t>.t026</t>
        </is>
      </c>
      <c r="B126" s="677" t="n">
        <v>46935</v>
      </c>
      <c r="J126" s="66" t="n"/>
      <c r="K126" s="66" t="n"/>
      <c r="L126" s="66" t="n"/>
    </row>
    <row r="127">
      <c r="A127" s="444" t="inlineStr">
        <is>
          <t>.t027</t>
        </is>
      </c>
      <c r="B127" s="677" t="n">
        <v>46966</v>
      </c>
      <c r="J127" s="66" t="n"/>
      <c r="K127" s="66" t="n"/>
      <c r="L127" s="66" t="n"/>
    </row>
    <row r="128">
      <c r="A128" s="444" t="inlineStr">
        <is>
          <t>.t028</t>
        </is>
      </c>
      <c r="B128" s="677" t="n">
        <v>46997</v>
      </c>
      <c r="J128" s="66" t="n"/>
      <c r="K128" s="66" t="n"/>
      <c r="L128" s="66" t="n"/>
    </row>
    <row r="129">
      <c r="A129" s="444" t="inlineStr">
        <is>
          <t>.t029</t>
        </is>
      </c>
      <c r="B129" s="677" t="n">
        <v>47027</v>
      </c>
      <c r="J129" s="66" t="n"/>
      <c r="K129" s="66" t="n"/>
      <c r="L129" s="66" t="n"/>
    </row>
    <row r="130">
      <c r="A130" s="444" t="inlineStr">
        <is>
          <t>.t030</t>
        </is>
      </c>
      <c r="B130" s="677" t="n">
        <v>47058</v>
      </c>
      <c r="J130" s="66" t="n"/>
      <c r="K130" s="66" t="n"/>
      <c r="L130" s="6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tabSelected="1" workbookViewId="0">
      <selection activeCell="O8" sqref="O8"/>
    </sheetView>
  </sheetViews>
  <sheetFormatPr baseColWidth="8" defaultRowHeight="14.4"/>
  <cols>
    <col width="8.88671875" customWidth="1" style="555" min="1" max="6"/>
    <col width="4.5546875" customWidth="1" style="555" min="7" max="7"/>
    <col width="5.77734375" customWidth="1" style="556" min="8" max="8"/>
    <col width="8.88671875" customWidth="1" style="555" min="9" max="10"/>
    <col width="10.33203125" bestFit="1" customWidth="1" style="555" min="11" max="11"/>
    <col width="8.88671875" customWidth="1" style="555" min="12" max="16384"/>
  </cols>
  <sheetData>
    <row r="1" ht="19.2" customHeight="1" s="191">
      <c r="A1" s="555" t="inlineStr">
        <is>
          <t>Schemat</t>
        </is>
      </c>
      <c r="B1" s="555" t="n"/>
      <c r="C1" s="603" t="inlineStr">
        <is>
          <t>OsobyACT=9</t>
        </is>
      </c>
      <c r="D1" s="556" t="n"/>
      <c r="K1" s="566" t="n">
        <v>46388</v>
      </c>
      <c r="L1" s="566" t="inlineStr">
        <is>
          <t>Start</t>
        </is>
      </c>
      <c r="O1" s="609" t="inlineStr">
        <is>
          <t>Ochrona bez hasła</t>
        </is>
      </c>
    </row>
    <row r="2" ht="19.2" customHeight="1" s="191">
      <c r="A2" s="555" t="n"/>
      <c r="B2" s="555" t="n"/>
      <c r="C2" s="555" t="n"/>
      <c r="D2" s="556" t="n"/>
      <c r="E2" s="561" t="n">
        <v>10</v>
      </c>
    </row>
    <row r="3">
      <c r="A3" s="555" t="n"/>
      <c r="B3" s="603" t="inlineStr">
        <is>
          <t>OsobyACT=4</t>
        </is>
      </c>
      <c r="C3" s="555" t="n"/>
      <c r="D3" s="555" t="n"/>
      <c r="E3" s="558" t="n">
        <v>11</v>
      </c>
      <c r="H3" s="559" t="n">
        <v>11</v>
      </c>
      <c r="K3" s="556" t="inlineStr">
        <is>
          <t>OsobyACT=5</t>
        </is>
      </c>
    </row>
    <row r="4">
      <c r="A4" s="555" t="n"/>
      <c r="B4" s="603" t="inlineStr">
        <is>
          <t>T=9</t>
        </is>
      </c>
      <c r="C4" s="555" t="n"/>
      <c r="D4" s="555" t="n"/>
      <c r="H4" s="563" t="n">
        <v>16</v>
      </c>
      <c r="K4" s="556" t="inlineStr">
        <is>
          <t>T=6</t>
        </is>
      </c>
      <c r="N4" s="670" t="inlineStr">
        <is>
          <t>Warunek:</t>
        </is>
      </c>
    </row>
    <row r="5">
      <c r="A5" s="555" t="n"/>
      <c r="B5" s="555" t="n"/>
      <c r="C5" s="555" t="n"/>
      <c r="D5" s="555" t="n"/>
      <c r="E5" s="562" t="n">
        <v>19</v>
      </c>
      <c r="K5" s="556" t="n"/>
      <c r="L5" s="603" t="n"/>
      <c r="N5" s="670" t="inlineStr">
        <is>
          <t>Program musi zakończyć się we wrześniu 2029 bez względu kiedy się zacznie !!!</t>
        </is>
      </c>
      <c r="O5" s="670" t="n"/>
      <c r="P5" s="670" t="n"/>
      <c r="Q5" s="670" t="n"/>
      <c r="R5" s="670" t="n"/>
      <c r="S5" s="670" t="n"/>
      <c r="T5" s="670" t="n"/>
      <c r="U5" s="670" t="n"/>
    </row>
    <row r="6">
      <c r="A6" s="555" t="n"/>
      <c r="C6" s="555" t="n"/>
      <c r="D6" s="555" t="n"/>
      <c r="H6" s="559" t="n">
        <v>17</v>
      </c>
      <c r="K6" s="556" t="n"/>
    </row>
    <row r="7">
      <c r="A7" s="555" t="n"/>
      <c r="B7" s="603">
        <f>$B$3</f>
        <v/>
      </c>
      <c r="C7" s="555" t="n"/>
      <c r="D7" s="555" t="n"/>
      <c r="E7" s="558" t="n">
        <v>20</v>
      </c>
      <c r="K7" s="556">
        <f>$K$3</f>
        <v/>
      </c>
    </row>
    <row r="8">
      <c r="A8" s="555" t="n"/>
      <c r="B8" s="603" t="inlineStr">
        <is>
          <t>T=20</t>
        </is>
      </c>
      <c r="C8" s="555" t="n"/>
      <c r="D8" s="555" t="n"/>
      <c r="E8" s="562" t="n">
        <v>39</v>
      </c>
      <c r="K8" s="556" t="inlineStr">
        <is>
          <t>T=32</t>
        </is>
      </c>
    </row>
    <row r="9">
      <c r="A9" s="555" t="n"/>
      <c r="B9" s="555" t="n"/>
      <c r="C9" s="555" t="n"/>
      <c r="D9" s="555" t="n"/>
      <c r="E9" s="557" t="n"/>
      <c r="K9" s="556" t="n"/>
    </row>
    <row r="10">
      <c r="A10" s="555" t="n"/>
      <c r="B10" s="603">
        <f>$B$3</f>
        <v/>
      </c>
      <c r="C10" s="555" t="n"/>
      <c r="D10" s="555" t="n"/>
      <c r="E10" s="558" t="n">
        <v>40</v>
      </c>
      <c r="H10" s="563" t="n">
        <v>48</v>
      </c>
      <c r="K10" s="556" t="n"/>
    </row>
    <row r="11">
      <c r="A11" s="555" t="n"/>
      <c r="B11" s="603" t="inlineStr">
        <is>
          <t>T=10</t>
        </is>
      </c>
      <c r="C11" s="555" t="n"/>
      <c r="D11" s="555" t="n"/>
      <c r="E11" s="562" t="n">
        <v>49</v>
      </c>
      <c r="K11" s="556" t="n"/>
      <c r="L11" s="603" t="n"/>
    </row>
    <row r="12">
      <c r="A12" s="555" t="n"/>
      <c r="B12" s="555" t="n"/>
      <c r="C12" s="555" t="n"/>
      <c r="D12" s="555" t="n"/>
      <c r="E12" s="557" t="n"/>
      <c r="H12" s="559" t="n">
        <v>49</v>
      </c>
      <c r="K12" s="556">
        <f>$K$3</f>
        <v/>
      </c>
    </row>
    <row r="13">
      <c r="A13" s="555" t="n"/>
      <c r="C13" s="555" t="n"/>
      <c r="D13" s="555" t="n"/>
      <c r="E13" s="558" t="n">
        <v>50</v>
      </c>
      <c r="H13" s="563" t="n">
        <v>55</v>
      </c>
      <c r="K13" s="556" t="inlineStr">
        <is>
          <t>T=7</t>
        </is>
      </c>
    </row>
    <row r="14">
      <c r="A14" s="555" t="n"/>
      <c r="B14" s="603">
        <f>$B$3</f>
        <v/>
      </c>
      <c r="C14" s="555" t="n"/>
      <c r="D14" s="555" t="n"/>
      <c r="K14" s="556" t="n"/>
    </row>
    <row r="15">
      <c r="A15" s="555" t="n"/>
      <c r="B15" s="603" t="inlineStr">
        <is>
          <t>T=37</t>
        </is>
      </c>
      <c r="C15" s="555" t="n"/>
      <c r="D15" s="555" t="n"/>
      <c r="H15" s="559" t="n">
        <v>56</v>
      </c>
      <c r="K15" s="556" t="n"/>
    </row>
    <row r="16">
      <c r="K16" s="556" t="n"/>
      <c r="L16" s="603" t="n"/>
    </row>
    <row r="17">
      <c r="E17" s="562" t="n">
        <v>86</v>
      </c>
      <c r="K17" s="556">
        <f>$K$3</f>
        <v/>
      </c>
    </row>
    <row r="18">
      <c r="H18" s="563" t="n">
        <v>97</v>
      </c>
      <c r="K18" s="556" t="inlineStr">
        <is>
          <t>T=42</t>
        </is>
      </c>
    </row>
    <row r="19">
      <c r="E19" s="560" t="n">
        <v>87</v>
      </c>
    </row>
    <row r="20">
      <c r="C20" s="603" t="inlineStr">
        <is>
          <t>OsobyACT=6</t>
        </is>
      </c>
      <c r="I20" s="557" t="n"/>
    </row>
    <row r="21">
      <c r="C21" s="603" t="inlineStr">
        <is>
          <t>T=42</t>
        </is>
      </c>
    </row>
    <row r="22">
      <c r="E22" s="560" t="n">
        <v>128</v>
      </c>
      <c r="I22" s="557" t="n"/>
    </row>
    <row r="23">
      <c r="D23" s="603" t="inlineStr">
        <is>
          <t>OsobyACT=6</t>
        </is>
      </c>
    </row>
    <row r="24">
      <c r="D24" s="603" t="inlineStr">
        <is>
          <t>T=14</t>
        </is>
      </c>
      <c r="I24" s="564" t="n">
        <v>142</v>
      </c>
      <c r="K24" s="566" t="n">
        <v>47389</v>
      </c>
      <c r="L24" s="564" t="inlineStr">
        <is>
          <t>The End :)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78"/>
  <sheetViews>
    <sheetView zoomScale="85" zoomScaleNormal="85" workbookViewId="0">
      <pane xSplit="5" ySplit="2" topLeftCell="AE18" activePane="bottomRight" state="frozen"/>
      <selection pane="topRight" activeCell="F1" sqref="F1"/>
      <selection pane="bottomLeft" activeCell="A3" sqref="A3"/>
      <selection pane="bottomRight" activeCell="AK12" sqref="AK12:AO12"/>
    </sheetView>
  </sheetViews>
  <sheetFormatPr baseColWidth="8" defaultColWidth="14.44140625" defaultRowHeight="14.4"/>
  <cols>
    <col width="5" customWidth="1" style="104" min="1" max="1"/>
    <col width="4.44140625" customWidth="1" style="104" min="2" max="2"/>
    <col width="3" customWidth="1" style="104" min="3" max="3"/>
    <col width="9" bestFit="1" customWidth="1" style="117" min="4" max="4"/>
    <col width="78.33203125" customWidth="1" style="125" min="5" max="5"/>
    <col width="11.33203125" customWidth="1" style="191" min="6" max="7"/>
    <col width="8.109375" bestFit="1" customWidth="1" style="191" min="8" max="8"/>
    <col width="11.33203125" customWidth="1" style="191" min="9" max="13"/>
    <col width="9.109375" customWidth="1" style="191" min="14" max="28"/>
    <col width="9.109375" customWidth="1" style="191" min="29" max="32"/>
    <col width="9.109375" customWidth="1" style="191" min="33" max="45"/>
    <col width="9.109375" customWidth="1" style="191" min="46" max="49"/>
    <col width="9.109375" customWidth="1" style="191" min="50" max="52"/>
    <col width="12.77734375" bestFit="1" customWidth="1" style="191" min="53" max="54"/>
    <col width="14.88671875" customWidth="1" style="191" min="55" max="55"/>
    <col width="9.109375" customWidth="1" style="191" min="56" max="61"/>
    <col width="11.5546875" customWidth="1" style="191" min="62" max="62"/>
    <col width="8.6640625" customWidth="1" style="191" min="63" max="70"/>
    <col width="10.33203125" customWidth="1" style="191" min="71" max="71"/>
    <col width="7.44140625" customWidth="1" style="191" min="72" max="72"/>
    <col width="8.6640625" customWidth="1" style="191" min="73" max="75"/>
    <col width="8.44140625" customWidth="1" style="191" min="76" max="76"/>
    <col width="8.6640625" customWidth="1" style="191" min="77" max="84"/>
  </cols>
  <sheetData>
    <row r="1" ht="15" customHeight="1" s="191" thickBot="1">
      <c r="A1" s="538" t="n"/>
      <c r="B1" s="309" t="n"/>
      <c r="C1" s="285" t="n"/>
      <c r="D1" s="156" t="n"/>
      <c r="E1" s="678" t="inlineStr">
        <is>
          <t>HARMONOGRAM SKOMPRESOWANY v1  |  01.01.2027 – 28.09.2029  |  Kompresja −40% per zadanie  |  Endava +5 etatów  |  AGH +4 etatów</t>
        </is>
      </c>
      <c r="F1" s="227" t="n"/>
      <c r="G1" s="228" t="n"/>
      <c r="H1" s="538" t="n"/>
      <c r="I1" s="538" t="n"/>
      <c r="J1" s="551" t="n">
        <v>1</v>
      </c>
      <c r="K1" s="551" t="n"/>
      <c r="L1" s="551" t="n"/>
      <c r="M1" s="551">
        <f>MAX(M3:M9999)</f>
        <v/>
      </c>
      <c r="N1" s="679">
        <f>SUM(N$4:N$999)</f>
        <v/>
      </c>
      <c r="O1" s="680">
        <f>SUM(O$4:O$999)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AX1" s="373" t="n"/>
      <c r="AY1" s="374" t="n"/>
      <c r="AZ1" s="374" t="n"/>
      <c r="BA1" s="374" t="n"/>
      <c r="BB1" s="375" t="n"/>
    </row>
    <row r="2" ht="100.8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236">
        <f>Karta!BH2</f>
        <v/>
      </c>
      <c r="AY2" s="236">
        <f>Karta!BI2</f>
        <v/>
      </c>
      <c r="AZ2" s="236">
        <f>Karta!BJ2</f>
        <v/>
      </c>
      <c r="BA2" s="236">
        <f>Karta!BK2</f>
        <v/>
      </c>
      <c r="BB2" s="236">
        <f>Karta!BL2</f>
        <v/>
      </c>
      <c r="BC2" s="383">
        <f>Karta!BM2</f>
        <v/>
      </c>
      <c r="BD2" s="383">
        <f>Karta!BN2</f>
        <v/>
      </c>
      <c r="BE2" s="383">
        <f>Karta!BO2</f>
        <v/>
      </c>
      <c r="BF2" s="383">
        <f>Karta!BP2</f>
        <v/>
      </c>
      <c r="BG2" s="383">
        <f>Karta!BQ2</f>
        <v/>
      </c>
      <c r="BH2" s="383">
        <f>Karta!BR2</f>
        <v/>
      </c>
      <c r="BI2" s="383">
        <f>Karta!BS2</f>
        <v/>
      </c>
      <c r="BJ2" s="384">
        <f>Karta!BT2</f>
        <v/>
      </c>
      <c r="BK2" s="384">
        <f>Karta!BU2</f>
        <v/>
      </c>
      <c r="BL2" s="384">
        <f>Karta!BV2</f>
        <v/>
      </c>
      <c r="BM2" s="384">
        <f>Karta!BW2</f>
        <v/>
      </c>
      <c r="BN2" s="384">
        <f>Karta!BX2</f>
        <v/>
      </c>
      <c r="BO2" s="384">
        <f>Karta!BY2</f>
        <v/>
      </c>
      <c r="BP2" s="384">
        <f>Karta!BZ2</f>
        <v/>
      </c>
      <c r="BQ2" s="384">
        <f>Karta!CA2</f>
        <v/>
      </c>
      <c r="BR2" s="384">
        <f>Karta!CB2</f>
        <v/>
      </c>
      <c r="BS2" s="384">
        <f>Karta!CC2</f>
        <v/>
      </c>
      <c r="BT2" s="384">
        <f>Karta!CD2</f>
        <v/>
      </c>
      <c r="BU2" s="384">
        <f>Karta!CE2</f>
        <v/>
      </c>
      <c r="BV2" s="384">
        <f>Karta!CF2</f>
        <v/>
      </c>
      <c r="BW2" s="384">
        <f>Karta!CG2</f>
        <v/>
      </c>
      <c r="BX2" s="384">
        <f>Karta!CH2</f>
        <v/>
      </c>
      <c r="BY2" s="384">
        <f>Karta!CI2</f>
        <v/>
      </c>
      <c r="BZ2" s="384">
        <f>Karta!CJ2</f>
        <v/>
      </c>
      <c r="CA2" s="384">
        <f>Karta!CK2</f>
        <v/>
      </c>
      <c r="CB2" s="384">
        <f>Karta!CL2</f>
        <v/>
      </c>
      <c r="CC2" s="384">
        <f>Karta!CM2</f>
        <v/>
      </c>
      <c r="CD2" s="384">
        <f>Karta!CN2</f>
        <v/>
      </c>
      <c r="CE2" s="384">
        <f>Karta!CO2</f>
        <v/>
      </c>
    </row>
    <row r="3" ht="15.6" customFormat="1" customHeight="1" s="141">
      <c r="A3" s="110" t="inlineStr">
        <is>
          <t>.z01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202" t="n"/>
      <c r="G3" s="202" t="n"/>
      <c r="H3" s="203" t="n"/>
      <c r="I3" s="203" t="n"/>
      <c r="J3" s="172" t="n"/>
      <c r="K3" s="172" t="n"/>
      <c r="L3" s="172" t="n"/>
      <c r="M3" s="172" t="n"/>
      <c r="N3" s="172" t="n"/>
      <c r="AY3" s="206" t="n"/>
      <c r="AZ3" s="207" t="n"/>
      <c r="BA3" s="208" t="n"/>
      <c r="BB3" s="175" t="n"/>
      <c r="BC3" s="4" t="n"/>
      <c r="BD3" s="3" t="n"/>
      <c r="BE3" s="3" t="n"/>
      <c r="BF3" s="4" t="n"/>
      <c r="BG3" s="4" t="n"/>
      <c r="BH3" s="3" t="n"/>
      <c r="BI3" s="174" t="n"/>
      <c r="BJ3" s="4" t="n"/>
      <c r="BK3" s="209" t="n"/>
      <c r="BL3" s="483" t="n"/>
      <c r="BM3" s="210" t="n"/>
      <c r="BN3" s="209" t="n"/>
      <c r="BO3" s="483" t="n"/>
      <c r="BP3" s="210" t="n"/>
      <c r="BQ3" s="209" t="n"/>
      <c r="BR3" s="483" t="n"/>
      <c r="BS3" s="483" t="n"/>
      <c r="BT3" s="210" t="n"/>
      <c r="BU3" s="4" t="n"/>
      <c r="BV3" s="4" t="n"/>
      <c r="BW3" s="483" t="n"/>
      <c r="BX3" s="4" t="n"/>
      <c r="BY3" s="4" t="n"/>
      <c r="BZ3" s="4" t="n"/>
      <c r="CA3" s="483" t="n"/>
      <c r="CB3" s="4" t="n"/>
      <c r="CC3" s="4" t="n"/>
      <c r="CD3" s="4" t="n"/>
      <c r="CE3" s="483" t="n"/>
      <c r="CF3" s="659" t="n"/>
    </row>
    <row r="4" ht="18" customHeight="1" s="191">
      <c r="A4" s="410" t="n">
        <v>1</v>
      </c>
      <c r="B4" s="441" t="inlineStr">
        <is>
          <t>a</t>
        </is>
      </c>
      <c r="C4" s="104" t="n">
        <v>-1</v>
      </c>
      <c r="D4" s="116">
        <f>CONCATENATE(A$3,"_",A4,"_",B4,"_",C4)</f>
        <v/>
      </c>
      <c r="E4" s="410" t="inlineStr">
        <is>
          <t>1.Opracowanie koncepcji standaryzowanej wzorcowej bazy danych</t>
        </is>
      </c>
      <c r="F4" s="148" t="n"/>
      <c r="G4" s="415" t="inlineStr">
        <is>
          <t>ACT</t>
        </is>
      </c>
      <c r="H4" s="51" t="n"/>
      <c r="I4" s="85" t="inlineStr">
        <is>
          <t>ACT</t>
        </is>
      </c>
      <c r="J4" s="90" t="n"/>
      <c r="K4" s="90" t="n"/>
      <c r="L4" s="90" t="n"/>
      <c r="M4" s="90" t="n"/>
      <c r="N4" s="90" t="n"/>
      <c r="O4" s="468" t="n"/>
      <c r="P4" s="468" t="n"/>
      <c r="Q4" s="468" t="n"/>
      <c r="R4" s="468" t="n"/>
      <c r="S4" s="468" t="n"/>
      <c r="T4" s="468" t="n"/>
      <c r="U4" s="130" t="n"/>
      <c r="V4" s="130" t="n"/>
      <c r="W4" s="130" t="n"/>
      <c r="X4" s="468" t="n"/>
      <c r="Y4" s="468" t="n"/>
      <c r="Z4" s="468" t="n"/>
      <c r="AA4" s="468" t="n"/>
      <c r="AB4" s="468" t="n"/>
      <c r="AC4" s="468" t="n"/>
      <c r="AD4" s="468" t="n"/>
      <c r="AE4" s="468" t="n"/>
      <c r="AF4" s="468" t="n"/>
      <c r="AG4" s="468" t="n"/>
      <c r="AH4" s="468" t="n"/>
      <c r="AI4" s="468" t="n"/>
      <c r="AJ4" s="468" t="n"/>
      <c r="AK4" s="468" t="n"/>
      <c r="AL4" s="130" t="n"/>
      <c r="AM4" s="130" t="n"/>
      <c r="AN4" s="130" t="n"/>
      <c r="AO4" s="130" t="n"/>
      <c r="AP4" s="468" t="n"/>
      <c r="AQ4" s="468" t="n"/>
      <c r="AR4" s="468" t="n"/>
      <c r="AS4" s="468" t="n"/>
      <c r="AT4" s="468" t="n"/>
      <c r="AU4" s="468" t="n"/>
      <c r="AV4" s="468" t="n"/>
      <c r="AW4" s="468" t="n"/>
      <c r="AX4" s="468" t="n"/>
      <c r="AY4" s="468" t="n"/>
      <c r="AZ4" s="468" t="n"/>
      <c r="BA4" s="468" t="n"/>
      <c r="BB4" s="468" t="n"/>
      <c r="BC4" s="468" t="n"/>
      <c r="BD4" s="468" t="n"/>
      <c r="BE4" s="468" t="n"/>
      <c r="BF4" s="468" t="n"/>
      <c r="BG4" s="468" t="n"/>
      <c r="BH4" s="468" t="n"/>
      <c r="BI4" s="468" t="n"/>
      <c r="BJ4" s="468" t="n"/>
      <c r="BK4" s="468" t="n"/>
      <c r="BL4" s="468" t="n"/>
      <c r="BM4" s="468" t="n"/>
      <c r="BN4" s="468" t="n"/>
      <c r="BO4" s="468" t="n"/>
      <c r="BP4" s="468" t="n"/>
      <c r="BQ4" s="468" t="n"/>
      <c r="BR4" s="468" t="n"/>
      <c r="BS4" s="468" t="n"/>
      <c r="BT4" s="468" t="n"/>
      <c r="BU4" s="468" t="n"/>
      <c r="BV4" s="468" t="n"/>
      <c r="BW4" s="468" t="n"/>
      <c r="BX4" s="468" t="n"/>
      <c r="BY4" s="468" t="n"/>
      <c r="BZ4" s="468" t="n"/>
      <c r="CA4" s="468" t="n"/>
      <c r="CB4" s="468" t="n"/>
      <c r="CC4" s="468" t="n"/>
      <c r="CD4" s="468" t="n"/>
      <c r="CE4" s="468" t="n"/>
      <c r="CF4" s="468" t="n"/>
      <c r="CG4" s="468" t="n"/>
    </row>
    <row r="5" ht="15.6" customHeight="1" s="191">
      <c r="A5" s="441" t="n">
        <v>1</v>
      </c>
      <c r="B5" s="441" t="inlineStr">
        <is>
          <t>a</t>
        </is>
      </c>
      <c r="C5" s="104" t="n">
        <v>0</v>
      </c>
      <c r="D5" s="116">
        <f>CONCATENATE(A$3,"_",A5,"_",B5,"_",C5)</f>
        <v/>
      </c>
      <c r="E5" s="412" t="inlineStr">
        <is>
          <t>1.a.Projektowanie struktury bazy danych, która zapewni jej wydajność, spójność i skalowalność</t>
        </is>
      </c>
      <c r="F5" s="528" t="n"/>
      <c r="G5" s="528" t="n"/>
      <c r="H5" s="444" t="n"/>
      <c r="I5" s="444" t="n"/>
      <c r="J5" s="91" t="n">
        <v>1</v>
      </c>
      <c r="K5" s="681">
        <f>VLOOKUP(J5,Kalendarz!B:E,4,FALSE)</f>
        <v/>
      </c>
      <c r="L5" s="681">
        <f>K5+N5</f>
        <v/>
      </c>
      <c r="M5" s="528">
        <f>J5+N5-1</f>
        <v/>
      </c>
      <c r="N5" s="473" t="n">
        <v>0</v>
      </c>
      <c r="O5" s="469" t="n"/>
      <c r="P5" s="468" t="n"/>
      <c r="Q5" s="468" t="n"/>
      <c r="R5" s="468" t="n"/>
      <c r="S5" s="468" t="n"/>
      <c r="T5" s="468" t="n"/>
      <c r="U5" s="130" t="n"/>
      <c r="V5" s="130" t="n"/>
      <c r="W5" s="130" t="n"/>
      <c r="X5" s="468" t="n"/>
      <c r="Y5" s="468" t="n"/>
      <c r="Z5" s="468" t="n"/>
      <c r="AA5" s="468" t="n"/>
      <c r="AB5" s="468" t="n"/>
      <c r="AC5" s="468" t="n"/>
      <c r="AD5" s="468" t="n"/>
      <c r="AE5" s="468" t="n"/>
      <c r="AF5" s="468" t="n"/>
      <c r="AG5" s="468" t="n"/>
      <c r="AH5" s="468" t="n"/>
      <c r="AI5" s="468" t="n"/>
      <c r="AJ5" s="468" t="n"/>
      <c r="AK5" s="468" t="n"/>
      <c r="AL5" s="130" t="n"/>
      <c r="AM5" s="130" t="n"/>
      <c r="AN5" s="130" t="n"/>
      <c r="AO5" s="130" t="n"/>
      <c r="AP5" s="468" t="n"/>
      <c r="AQ5" s="468" t="n"/>
      <c r="AR5" s="468" t="n"/>
      <c r="AS5" s="468" t="n"/>
      <c r="AT5" s="468" t="n"/>
      <c r="AU5" s="468" t="n"/>
      <c r="AV5" s="468" t="n"/>
      <c r="AW5" s="468" t="n"/>
      <c r="AX5" s="468" t="n"/>
      <c r="AY5" s="468" t="n"/>
      <c r="AZ5" s="468" t="n"/>
      <c r="BA5" s="468" t="n"/>
      <c r="BB5" s="468" t="n"/>
      <c r="BC5" s="468" t="n"/>
      <c r="BD5" s="468" t="n"/>
      <c r="BE5" s="468" t="n"/>
      <c r="BF5" s="468" t="n"/>
      <c r="BG5" s="468" t="n"/>
      <c r="BH5" s="468" t="n"/>
      <c r="BI5" s="468" t="n"/>
      <c r="BJ5" s="468" t="n"/>
      <c r="BK5" s="468" t="n"/>
      <c r="BL5" s="468" t="n"/>
      <c r="BM5" s="468" t="n"/>
      <c r="BN5" s="468" t="n"/>
      <c r="BO5" s="468" t="n"/>
      <c r="BP5" s="468" t="n"/>
      <c r="BQ5" s="468" t="n"/>
      <c r="BR5" s="468" t="n"/>
      <c r="BS5" s="468" t="n"/>
      <c r="BT5" s="468" t="n"/>
      <c r="BU5" s="468" t="n"/>
      <c r="BV5" s="468" t="n"/>
      <c r="BW5" s="468" t="n"/>
      <c r="BX5" s="468" t="n"/>
      <c r="BY5" s="468" t="n"/>
      <c r="BZ5" s="468" t="n"/>
      <c r="CA5" s="468" t="n"/>
      <c r="CB5" s="468" t="n"/>
      <c r="CC5" s="468" t="n"/>
      <c r="CD5" s="468" t="n"/>
      <c r="CE5" s="468" t="n"/>
      <c r="CF5" s="468" t="n"/>
      <c r="CG5" s="468" t="n"/>
    </row>
    <row r="6">
      <c r="A6" s="441" t="n">
        <v>1</v>
      </c>
      <c r="B6" s="441" t="inlineStr">
        <is>
          <t>a</t>
        </is>
      </c>
      <c r="C6" s="105" t="n">
        <v>1</v>
      </c>
      <c r="D6" s="116">
        <f>CONCATENATE(A$3,"_",A6,"_",B6,"_",C6)</f>
        <v/>
      </c>
      <c r="E6" s="417" t="inlineStr">
        <is>
          <t>Opracowanie logicznego i fizycznego modelu bazy danych, uwzględniającego wszystkie kluczowe elementy (np. tabele, relacje, indeksy i klucze)</t>
        </is>
      </c>
      <c r="F6" s="528">
        <f>IFERROR(VLOOKUP($I6,Listy!$A:$H,2,FALSE),"XXX")</f>
        <v/>
      </c>
      <c r="G6" s="415" t="inlineStr">
        <is>
          <t>ACT</t>
        </is>
      </c>
      <c r="H6" s="416" t="n">
        <v>1</v>
      </c>
      <c r="I6" s="89" t="inlineStr">
        <is>
          <t>.a02</t>
        </is>
      </c>
      <c r="J6" s="91">
        <f>M5+1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74" t="n">
        <v>1</v>
      </c>
      <c r="O6" s="469" t="n">
        <v>320</v>
      </c>
      <c r="P6" s="187" t="n">
        <v>0.25</v>
      </c>
      <c r="Q6" s="187" t="n">
        <v>0.25</v>
      </c>
      <c r="R6" s="187" t="n">
        <v>0.25</v>
      </c>
      <c r="S6" s="187" t="n">
        <v>0.25</v>
      </c>
      <c r="T6" s="187" t="n">
        <v>0</v>
      </c>
      <c r="U6" s="187" t="n">
        <v>0</v>
      </c>
      <c r="V6" s="187" t="n">
        <v>0</v>
      </c>
      <c r="W6" s="187" t="n">
        <v>0</v>
      </c>
      <c r="X6" s="187" t="n">
        <v>0</v>
      </c>
      <c r="Y6" s="292" t="n">
        <v>0</v>
      </c>
      <c r="Z6" s="292" t="n">
        <v>0</v>
      </c>
      <c r="AA6" s="292" t="n">
        <v>0</v>
      </c>
      <c r="AB6" s="292" t="n">
        <v>0</v>
      </c>
      <c r="AC6" s="305" t="n"/>
      <c r="AD6" s="305" t="n"/>
      <c r="AE6" s="305" t="n"/>
      <c r="AF6" s="305" t="n"/>
      <c r="AG6" s="192">
        <f>ROUND($O6*P6,0)</f>
        <v/>
      </c>
      <c r="AH6" s="192">
        <f>ROUND($O6*Q6,0)</f>
        <v/>
      </c>
      <c r="AI6" s="192">
        <f>ROUND($O6*R6,0)</f>
        <v/>
      </c>
      <c r="AJ6" s="192">
        <f>ROUND($O6*S6,0)</f>
        <v/>
      </c>
      <c r="AK6" s="192">
        <f>ROUND($O6*T6,0)</f>
        <v/>
      </c>
      <c r="AL6" s="192">
        <f>ROUND($O6*U6,0)</f>
        <v/>
      </c>
      <c r="AM6" s="192">
        <f>ROUND($O6*V6,0)</f>
        <v/>
      </c>
      <c r="AN6" s="192">
        <f>ROUND($O6*W6,0)</f>
        <v/>
      </c>
      <c r="AO6" s="192">
        <f>ROUND($O6*X6,0)</f>
        <v/>
      </c>
      <c r="AP6" s="193">
        <f>ROUND($O6*Y6,0)</f>
        <v/>
      </c>
      <c r="AQ6" s="193">
        <f>ROUND($O6*Z6,0)</f>
        <v/>
      </c>
      <c r="AR6" s="193">
        <f>ROUND($O6*AA6,0)</f>
        <v/>
      </c>
      <c r="AS6" s="193">
        <f>ROUND($O6*AB6,0)</f>
        <v/>
      </c>
      <c r="AT6" s="306">
        <f>ROUND($O6*AC6,0)</f>
        <v/>
      </c>
      <c r="AU6" s="306">
        <f>ROUND($O6*AD6,0)</f>
        <v/>
      </c>
      <c r="AV6" s="306">
        <f>ROUND($O6*AE6,0)</f>
        <v/>
      </c>
      <c r="AW6" s="306">
        <f>ROUND($O6*AF6,0)</f>
        <v/>
      </c>
      <c r="AX6" s="236">
        <f>SUM(AG6:AO6)</f>
        <v/>
      </c>
      <c r="AY6" s="528">
        <f>AX6/160</f>
        <v/>
      </c>
      <c r="AZ6" s="87">
        <f>VLOOKUP(I6,Listy!$A$1:$H$9,6,FALSE)</f>
        <v/>
      </c>
      <c r="BA6" s="682">
        <f>AY6*AZ6</f>
        <v/>
      </c>
      <c r="BB6" s="683">
        <f>AY6*BA6</f>
        <v/>
      </c>
      <c r="BC6" s="528" t="n"/>
      <c r="BD6" s="528" t="n"/>
      <c r="BE6" s="528" t="n"/>
      <c r="BF6" s="528" t="n"/>
      <c r="BG6" s="528" t="n"/>
      <c r="BH6" s="528" t="n"/>
      <c r="BI6" s="21">
        <f>BG6*BH6</f>
        <v/>
      </c>
      <c r="BJ6" s="528" t="n"/>
      <c r="BK6" s="528" t="n"/>
      <c r="BL6" s="528" t="n"/>
      <c r="BM6" s="528" t="n"/>
      <c r="BN6" s="528" t="n"/>
      <c r="BO6" s="528" t="n"/>
      <c r="BP6" s="528" t="n"/>
      <c r="BQ6" s="528" t="n"/>
      <c r="BR6" s="528" t="n"/>
      <c r="BS6" s="528" t="n"/>
      <c r="BT6" s="528" t="n"/>
      <c r="BU6" s="528" t="n"/>
      <c r="BV6" s="528" t="n"/>
      <c r="BW6" s="21">
        <f>BU6*BV6</f>
        <v/>
      </c>
      <c r="BX6" s="528" t="n"/>
      <c r="BY6" s="528" t="n"/>
      <c r="BZ6" s="528" t="n"/>
      <c r="CA6" s="21">
        <f>BY6*BZ6</f>
        <v/>
      </c>
      <c r="CB6" s="528" t="n"/>
      <c r="CC6" s="528" t="n"/>
      <c r="CD6" s="528" t="n"/>
      <c r="CE6" s="21">
        <f>CC6*CD6</f>
        <v/>
      </c>
    </row>
    <row r="7">
      <c r="A7" s="441" t="n">
        <v>1</v>
      </c>
      <c r="B7" s="441" t="inlineStr">
        <is>
          <t>a</t>
        </is>
      </c>
      <c r="C7" s="105" t="n">
        <v>2</v>
      </c>
      <c r="D7" s="116">
        <f>CONCATENATE(A$3,"_",A7,"_",B7,"_",C7)</f>
        <v/>
      </c>
      <c r="E7" s="417" t="inlineStr">
        <is>
          <t>Opracowanie architektury systemu, zapewniającą obsługę rosnącej ilości danych celem szybkiego i efektywnego ich przetwarzania</t>
        </is>
      </c>
      <c r="F7" s="528">
        <f>IFERROR(VLOOKUP($I7,Listy!$A:$H,2,FALSE),"XXX")</f>
        <v/>
      </c>
      <c r="G7" s="415" t="inlineStr">
        <is>
          <t>ACT</t>
        </is>
      </c>
      <c r="H7" s="444" t="n">
        <v>1</v>
      </c>
      <c r="I7" s="89" t="inlineStr">
        <is>
          <t>.a03</t>
        </is>
      </c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74" t="n">
        <v>1</v>
      </c>
      <c r="O7" s="469" t="n">
        <v>40</v>
      </c>
      <c r="P7" s="187" t="n">
        <v>0.25</v>
      </c>
      <c r="Q7" s="187" t="n">
        <v>0.25</v>
      </c>
      <c r="R7" s="187" t="n">
        <v>0.25</v>
      </c>
      <c r="S7" s="187" t="n">
        <v>0.25</v>
      </c>
      <c r="T7" s="187" t="n">
        <v>0</v>
      </c>
      <c r="U7" s="187" t="n">
        <v>0</v>
      </c>
      <c r="V7" s="187" t="n">
        <v>0</v>
      </c>
      <c r="W7" s="187" t="n">
        <v>0</v>
      </c>
      <c r="X7" s="187" t="n">
        <v>0</v>
      </c>
      <c r="Y7" s="292" t="n">
        <v>0</v>
      </c>
      <c r="Z7" s="292" t="n">
        <v>0</v>
      </c>
      <c r="AA7" s="292" t="n">
        <v>0</v>
      </c>
      <c r="AB7" s="292" t="n">
        <v>0</v>
      </c>
      <c r="AC7" s="305" t="n"/>
      <c r="AD7" s="305" t="n"/>
      <c r="AE7" s="305" t="n"/>
      <c r="AF7" s="305" t="n"/>
      <c r="AG7" s="192">
        <f>ROUND($O7*P7,0)</f>
        <v/>
      </c>
      <c r="AH7" s="192">
        <f>ROUND($O7*Q7,0)</f>
        <v/>
      </c>
      <c r="AI7" s="192">
        <f>ROUND($O7*R7,0)</f>
        <v/>
      </c>
      <c r="AJ7" s="192">
        <f>ROUND($O7*S7,0)</f>
        <v/>
      </c>
      <c r="AK7" s="192">
        <f>ROUND($O7*T7,0)</f>
        <v/>
      </c>
      <c r="AL7" s="192">
        <f>ROUND($O7*U7,0)</f>
        <v/>
      </c>
      <c r="AM7" s="192">
        <f>ROUND($O7*V7,0)</f>
        <v/>
      </c>
      <c r="AN7" s="192">
        <f>ROUND($O7*W7,0)</f>
        <v/>
      </c>
      <c r="AO7" s="192">
        <f>ROUND($O7*X7,0)</f>
        <v/>
      </c>
      <c r="AP7" s="193">
        <f>ROUND($O7*Y7,0)</f>
        <v/>
      </c>
      <c r="AQ7" s="193">
        <f>ROUND($O7*Z7,0)</f>
        <v/>
      </c>
      <c r="AR7" s="193">
        <f>ROUND($O7*AA7,0)</f>
        <v/>
      </c>
      <c r="AS7" s="193">
        <f>ROUND($O7*AB7,0)</f>
        <v/>
      </c>
      <c r="AT7" s="306">
        <f>ROUND($O7*AC7,0)</f>
        <v/>
      </c>
      <c r="AU7" s="306">
        <f>ROUND($O7*AD7,0)</f>
        <v/>
      </c>
      <c r="AV7" s="306">
        <f>ROUND($O7*AE7,0)</f>
        <v/>
      </c>
      <c r="AW7" s="306">
        <f>ROUND($O7*AF7,0)</f>
        <v/>
      </c>
      <c r="AX7" s="236">
        <f>SUM(AG7:AO7)</f>
        <v/>
      </c>
      <c r="AY7" s="528">
        <f>AX7/160</f>
        <v/>
      </c>
      <c r="AZ7" s="87">
        <f>VLOOKUP(I7,Listy!$A$1:$H$9,6,FALSE)</f>
        <v/>
      </c>
      <c r="BA7" s="682">
        <f>AY7*AZ7</f>
        <v/>
      </c>
      <c r="BB7" s="683">
        <f>AY7*BA7</f>
        <v/>
      </c>
      <c r="BC7" s="528" t="n"/>
      <c r="BD7" s="528" t="n"/>
      <c r="BE7" s="528" t="n"/>
      <c r="BF7" s="528" t="n"/>
      <c r="BG7" s="528" t="n"/>
      <c r="BH7" s="528" t="n"/>
      <c r="BI7" s="21">
        <f>BG7*BH7</f>
        <v/>
      </c>
      <c r="BJ7" s="528" t="n"/>
      <c r="BK7" s="528" t="n"/>
      <c r="BL7" s="528" t="n"/>
      <c r="BM7" s="528" t="n"/>
      <c r="BN7" s="528" t="n"/>
      <c r="BO7" s="528" t="n"/>
      <c r="BP7" s="528" t="n"/>
      <c r="BQ7" s="528" t="n"/>
      <c r="BR7" s="528" t="n"/>
      <c r="BS7" s="528" t="n"/>
      <c r="BT7" s="528" t="n"/>
      <c r="BU7" s="528" t="n"/>
      <c r="BV7" s="528" t="n"/>
      <c r="BW7" s="21">
        <f>BU7*BV7</f>
        <v/>
      </c>
      <c r="BX7" s="528" t="n"/>
      <c r="BY7" s="528" t="n"/>
      <c r="BZ7" s="528" t="n"/>
      <c r="CA7" s="21">
        <f>BY7*BZ7</f>
        <v/>
      </c>
      <c r="CB7" s="528" t="n"/>
      <c r="CC7" s="528" t="n"/>
      <c r="CD7" s="528" t="n"/>
      <c r="CE7" s="21">
        <f>CC7*CD7</f>
        <v/>
      </c>
    </row>
    <row r="8">
      <c r="A8" s="441" t="n">
        <v>1</v>
      </c>
      <c r="B8" s="441" t="inlineStr">
        <is>
          <t>a</t>
        </is>
      </c>
      <c r="C8" s="105" t="n">
        <v>3</v>
      </c>
      <c r="D8" s="116">
        <f>CONCATENATE(A$3,"_",A8,"_",B8,"_",C8)</f>
        <v/>
      </c>
      <c r="E8" s="417" t="inlineStr">
        <is>
          <t>Opracowanie mechanizmów do administrowania, eksploatacji i monitorowania bazy danych oraz współpracy z modułami planowanej platformy ICT</t>
        </is>
      </c>
      <c r="F8" s="528">
        <f>IFERROR(VLOOKUP($I8,Listy!$A:$H,2,FALSE),"XXX")</f>
        <v/>
      </c>
      <c r="G8" s="415" t="inlineStr">
        <is>
          <t>ACT</t>
        </is>
      </c>
      <c r="H8" s="444" t="n">
        <v>1</v>
      </c>
      <c r="I8" s="89" t="inlineStr">
        <is>
          <t>.a01</t>
        </is>
      </c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74" t="n">
        <v>0</v>
      </c>
      <c r="O8" s="469" t="n">
        <v>40</v>
      </c>
      <c r="P8" s="187" t="n">
        <v>0.25</v>
      </c>
      <c r="Q8" s="187" t="n">
        <v>0.25</v>
      </c>
      <c r="R8" s="187" t="n">
        <v>0.25</v>
      </c>
      <c r="S8" s="187" t="n">
        <v>0.25</v>
      </c>
      <c r="T8" s="187" t="n">
        <v>0</v>
      </c>
      <c r="U8" s="187" t="n">
        <v>0</v>
      </c>
      <c r="V8" s="187" t="n">
        <v>0</v>
      </c>
      <c r="W8" s="187" t="n">
        <v>0</v>
      </c>
      <c r="X8" s="187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305" t="n"/>
      <c r="AD8" s="305" t="n"/>
      <c r="AE8" s="305" t="n"/>
      <c r="AF8" s="305" t="n"/>
      <c r="AG8" s="192">
        <f>ROUND($O8*P8,0)</f>
        <v/>
      </c>
      <c r="AH8" s="192">
        <f>ROUND($O8*Q8,0)</f>
        <v/>
      </c>
      <c r="AI8" s="192">
        <f>ROUND($O8*R8,0)</f>
        <v/>
      </c>
      <c r="AJ8" s="192">
        <f>ROUND($O8*S8,0)</f>
        <v/>
      </c>
      <c r="AK8" s="192">
        <f>ROUND($O8*T8,0)</f>
        <v/>
      </c>
      <c r="AL8" s="192">
        <f>ROUND($O8*U8,0)</f>
        <v/>
      </c>
      <c r="AM8" s="192">
        <f>ROUND($O8*V8,0)</f>
        <v/>
      </c>
      <c r="AN8" s="192">
        <f>ROUND($O8*W8,0)</f>
        <v/>
      </c>
      <c r="AO8" s="192">
        <f>ROUND($O8*X8,0)</f>
        <v/>
      </c>
      <c r="AP8" s="193">
        <f>ROUND($O8*Y8,0)</f>
        <v/>
      </c>
      <c r="AQ8" s="193">
        <f>ROUND($O8*Z8,0)</f>
        <v/>
      </c>
      <c r="AR8" s="193">
        <f>ROUND($O8*AA8,0)</f>
        <v/>
      </c>
      <c r="AS8" s="193">
        <f>ROUND($O8*AB8,0)</f>
        <v/>
      </c>
      <c r="AT8" s="306">
        <f>ROUND($O8*AC8,0)</f>
        <v/>
      </c>
      <c r="AU8" s="306">
        <f>ROUND($O8*AD8,0)</f>
        <v/>
      </c>
      <c r="AV8" s="306">
        <f>ROUND($O8*AE8,0)</f>
        <v/>
      </c>
      <c r="AW8" s="306">
        <f>ROUND($O8*AF8,0)</f>
        <v/>
      </c>
      <c r="AX8" s="236">
        <f>SUM(AG8:AO8)</f>
        <v/>
      </c>
      <c r="AY8" s="528">
        <f>AX8/160</f>
        <v/>
      </c>
      <c r="AZ8" s="87">
        <f>VLOOKUP(I8,Listy!$A$1:$H$9,6,FALSE)</f>
        <v/>
      </c>
      <c r="BA8" s="682">
        <f>AY8*AZ8</f>
        <v/>
      </c>
      <c r="BB8" s="683">
        <f>AY8*BA8</f>
        <v/>
      </c>
      <c r="BC8" s="528" t="n"/>
      <c r="BD8" s="528" t="n"/>
      <c r="BE8" s="528" t="n"/>
      <c r="BF8" s="528" t="n"/>
      <c r="BG8" s="528" t="n"/>
      <c r="BH8" s="528" t="n"/>
      <c r="BI8" s="21">
        <f>BG8*BH8</f>
        <v/>
      </c>
      <c r="BJ8" s="528" t="n"/>
      <c r="BK8" s="528" t="n"/>
      <c r="BL8" s="528" t="n"/>
      <c r="BM8" s="528" t="n"/>
      <c r="BN8" s="528" t="n"/>
      <c r="BO8" s="528" t="n"/>
      <c r="BP8" s="528" t="n"/>
      <c r="BQ8" s="528" t="n"/>
      <c r="BR8" s="528" t="n"/>
      <c r="BS8" s="528" t="n"/>
      <c r="BT8" s="528" t="n"/>
      <c r="BU8" s="528" t="n"/>
      <c r="BV8" s="528" t="n"/>
      <c r="BW8" s="21">
        <f>BU8*BV8</f>
        <v/>
      </c>
      <c r="BX8" s="528" t="n"/>
      <c r="BY8" s="528" t="n"/>
      <c r="BZ8" s="528" t="n"/>
      <c r="CA8" s="21">
        <f>BY8*BZ8</f>
        <v/>
      </c>
      <c r="CB8" s="528" t="n"/>
      <c r="CC8" s="528" t="n"/>
      <c r="CD8" s="528" t="n"/>
      <c r="CE8" s="21">
        <f>CC8*CD8</f>
        <v/>
      </c>
    </row>
    <row r="9">
      <c r="A9" s="441" t="n">
        <v>1</v>
      </c>
      <c r="B9" s="441" t="inlineStr">
        <is>
          <t>a</t>
        </is>
      </c>
      <c r="C9" s="105" t="n">
        <v>4</v>
      </c>
      <c r="D9" s="116">
        <f>CONCATENATE(A$3,"_",A9,"_",B9,"_",C9)</f>
        <v/>
      </c>
      <c r="E9" s="417" t="inlineStr">
        <is>
          <t>Testowanie, walidacja i optymalizacja projektu struktury bazy danych</t>
        </is>
      </c>
      <c r="F9" s="528">
        <f>IFERROR(VLOOKUP($I9,Listy!$A:$H,2,FALSE),"XXX")</f>
        <v/>
      </c>
      <c r="G9" s="415" t="inlineStr">
        <is>
          <t>ACT</t>
        </is>
      </c>
      <c r="H9" s="444" t="n">
        <v>1</v>
      </c>
      <c r="I9" s="89" t="inlineStr">
        <is>
          <t>.a03</t>
        </is>
      </c>
      <c r="J9" s="91">
        <f>M8+1</f>
        <v/>
      </c>
      <c r="K9" s="681">
        <f>VLOOKUP(J9,Kalendarz!B:E,4,FALSE)</f>
        <v/>
      </c>
      <c r="L9" s="681">
        <f>K9+N9</f>
        <v/>
      </c>
      <c r="M9" s="528">
        <f>J9+N9-1</f>
        <v/>
      </c>
      <c r="N9" s="474" t="n">
        <v>1</v>
      </c>
      <c r="O9" s="469" t="n">
        <v>40</v>
      </c>
      <c r="P9" s="187" t="n">
        <v>0.25</v>
      </c>
      <c r="Q9" s="187" t="n">
        <v>0.25</v>
      </c>
      <c r="R9" s="187" t="n">
        <v>0.25</v>
      </c>
      <c r="S9" s="187" t="n">
        <v>0.25</v>
      </c>
      <c r="T9" s="187" t="n">
        <v>0</v>
      </c>
      <c r="U9" s="187" t="n">
        <v>0</v>
      </c>
      <c r="V9" s="187" t="n">
        <v>0</v>
      </c>
      <c r="W9" s="187" t="n">
        <v>0</v>
      </c>
      <c r="X9" s="187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305" t="n"/>
      <c r="AD9" s="305" t="n"/>
      <c r="AE9" s="305" t="n"/>
      <c r="AF9" s="305" t="n"/>
      <c r="AG9" s="192">
        <f>ROUND($O9*P9,0)</f>
        <v/>
      </c>
      <c r="AH9" s="192">
        <f>ROUND($O9*Q9,0)</f>
        <v/>
      </c>
      <c r="AI9" s="192">
        <f>ROUND($O9*R9,0)</f>
        <v/>
      </c>
      <c r="AJ9" s="192">
        <f>ROUND($O9*S9,0)</f>
        <v/>
      </c>
      <c r="AK9" s="192">
        <f>ROUND($O9*T9,0)</f>
        <v/>
      </c>
      <c r="AL9" s="192">
        <f>ROUND($O9*U9,0)</f>
        <v/>
      </c>
      <c r="AM9" s="192">
        <f>ROUND($O9*V9,0)</f>
        <v/>
      </c>
      <c r="AN9" s="192">
        <f>ROUND($O9*W9,0)</f>
        <v/>
      </c>
      <c r="AO9" s="192">
        <f>ROUND($O9*X9,0)</f>
        <v/>
      </c>
      <c r="AP9" s="193">
        <f>ROUND($O9*Y9,0)</f>
        <v/>
      </c>
      <c r="AQ9" s="193">
        <f>ROUND($O9*Z9,0)</f>
        <v/>
      </c>
      <c r="AR9" s="193">
        <f>ROUND($O9*AA9,0)</f>
        <v/>
      </c>
      <c r="AS9" s="193">
        <f>ROUND($O9*AB9,0)</f>
        <v/>
      </c>
      <c r="AT9" s="306">
        <f>ROUND($O9*AC9,0)</f>
        <v/>
      </c>
      <c r="AU9" s="306">
        <f>ROUND($O9*AD9,0)</f>
        <v/>
      </c>
      <c r="AV9" s="306">
        <f>ROUND($O9*AE9,0)</f>
        <v/>
      </c>
      <c r="AW9" s="306">
        <f>ROUND($O9*AF9,0)</f>
        <v/>
      </c>
      <c r="AX9" s="236">
        <f>SUM(AG9:AO9)</f>
        <v/>
      </c>
      <c r="AY9" s="528">
        <f>AX9/160</f>
        <v/>
      </c>
      <c r="AZ9" s="87">
        <f>VLOOKUP(I9,Listy!$A$1:$H$9,6,FALSE)</f>
        <v/>
      </c>
      <c r="BA9" s="682">
        <f>AY9*AZ9</f>
        <v/>
      </c>
      <c r="BB9" s="683">
        <f>AY9*BA9</f>
        <v/>
      </c>
      <c r="BC9" s="528" t="n"/>
      <c r="BD9" s="528" t="n"/>
      <c r="BE9" s="528" t="n"/>
      <c r="BF9" s="528" t="n"/>
      <c r="BG9" s="528" t="n"/>
      <c r="BH9" s="528" t="n"/>
      <c r="BI9" s="21">
        <f>BG9*BH9</f>
        <v/>
      </c>
      <c r="BJ9" s="528" t="n"/>
      <c r="BK9" s="528" t="n"/>
      <c r="BL9" s="528" t="n"/>
      <c r="BM9" s="528" t="n"/>
      <c r="BN9" s="528" t="n"/>
      <c r="BO9" s="528" t="n"/>
      <c r="BP9" s="528" t="n"/>
      <c r="BQ9" s="528" t="n"/>
      <c r="BR9" s="528" t="n"/>
      <c r="BS9" s="528" t="n"/>
      <c r="BT9" s="528" t="n"/>
      <c r="BU9" s="528" t="n"/>
      <c r="BV9" s="528" t="n"/>
      <c r="BW9" s="21">
        <f>BU9*BV9</f>
        <v/>
      </c>
      <c r="BX9" s="528" t="n"/>
      <c r="BY9" s="528" t="n"/>
      <c r="BZ9" s="528" t="n"/>
      <c r="CA9" s="21">
        <f>BY9*BZ9</f>
        <v/>
      </c>
      <c r="CB9" s="528" t="n"/>
      <c r="CC9" s="528" t="n"/>
      <c r="CD9" s="528" t="n"/>
      <c r="CE9" s="21">
        <f>CC9*CD9</f>
        <v/>
      </c>
    </row>
    <row r="10" ht="15.6" customHeight="1" s="191">
      <c r="A10" s="441" t="n">
        <v>1</v>
      </c>
      <c r="B10" s="411" t="inlineStr">
        <is>
          <t>b</t>
        </is>
      </c>
      <c r="C10" s="104" t="n">
        <v>0</v>
      </c>
      <c r="D10" s="116">
        <f>CONCATENATE(A$3,"_",A10,"_",B10,"_",C10)</f>
        <v/>
      </c>
      <c r="E10" s="413" t="inlineStr">
        <is>
          <t>1.b.Zbieranie i przygotowanie danych w celu uzyskania pełnego obrazu operacji w magazynie i umożliwienia kompleksowych analiz</t>
        </is>
      </c>
      <c r="F10" s="528" t="n"/>
      <c r="G10" s="415" t="n"/>
      <c r="H10" s="444" t="n"/>
      <c r="I10" s="89" t="n"/>
      <c r="J10" s="91" t="n">
        <v>1</v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74">
        <f>ROUND(MAX(AG10:AO10)/Listy!$U$2,0)</f>
        <v/>
      </c>
      <c r="O10" s="469" t="n"/>
      <c r="P10" s="672" t="n"/>
      <c r="Q10" s="672" t="n"/>
      <c r="R10" s="672" t="n"/>
      <c r="S10" s="672" t="n"/>
      <c r="T10" s="672" t="n"/>
      <c r="U10" s="672" t="n"/>
      <c r="V10" s="672" t="n"/>
      <c r="W10" s="672" t="n"/>
      <c r="X10" s="672" t="n"/>
      <c r="Y10" s="672" t="n"/>
      <c r="Z10" s="672" t="n"/>
      <c r="AA10" s="672" t="n"/>
      <c r="AB10" s="672" t="n"/>
      <c r="AC10" s="672" t="n"/>
      <c r="AD10" s="672" t="n"/>
      <c r="AE10" s="672" t="n"/>
      <c r="AF10" s="672" t="n"/>
      <c r="AG10" s="672" t="n"/>
      <c r="AH10" s="672" t="n"/>
      <c r="AI10" s="672" t="n"/>
      <c r="AJ10" s="672" t="n"/>
      <c r="AK10" s="672" t="n"/>
      <c r="AL10" s="672" t="n"/>
      <c r="AM10" s="672" t="n"/>
      <c r="AN10" s="672" t="n"/>
      <c r="AO10" s="672" t="n"/>
      <c r="AP10" s="672" t="n"/>
      <c r="AQ10" s="672" t="n"/>
      <c r="AR10" s="672" t="n"/>
      <c r="AS10" s="672" t="n"/>
      <c r="AT10" s="672" t="n"/>
      <c r="AU10" s="672" t="n"/>
      <c r="AV10" s="672" t="n"/>
      <c r="AW10" s="672" t="n"/>
      <c r="AX10" s="672" t="n"/>
      <c r="AY10" s="672" t="n"/>
      <c r="AZ10" s="672" t="n"/>
      <c r="BA10" s="672" t="n"/>
      <c r="BB10" s="672" t="n"/>
      <c r="BC10" s="672" t="n"/>
      <c r="BD10" s="672" t="n"/>
      <c r="BE10" s="672" t="n"/>
      <c r="BF10" s="672" t="n"/>
      <c r="BG10" s="672" t="n"/>
      <c r="BH10" s="672" t="n"/>
      <c r="BI10" s="672" t="n"/>
      <c r="BJ10" s="672" t="n"/>
      <c r="BK10" s="672" t="n"/>
      <c r="BL10" s="672" t="n"/>
      <c r="BM10" s="672" t="n"/>
      <c r="BN10" s="672" t="n"/>
      <c r="BO10" s="672" t="n"/>
      <c r="BP10" s="672" t="n"/>
      <c r="BQ10" s="672" t="n"/>
      <c r="BR10" s="672" t="n"/>
      <c r="BS10" s="672" t="n"/>
      <c r="BT10" s="672" t="n"/>
      <c r="BU10" s="672" t="n"/>
      <c r="BV10" s="672" t="n"/>
      <c r="BW10" s="672" t="n"/>
      <c r="BX10" s="672" t="n"/>
      <c r="BY10" s="672" t="n"/>
      <c r="BZ10" s="672" t="n"/>
      <c r="CA10" s="672" t="n"/>
      <c r="CB10" s="672" t="n"/>
      <c r="CC10" s="672" t="n"/>
      <c r="CD10" s="672" t="n"/>
      <c r="CE10" s="672" t="n"/>
      <c r="CF10" s="672" t="n"/>
      <c r="CG10" s="672" t="n"/>
    </row>
    <row r="11" customFormat="1" s="538">
      <c r="A11" s="441" t="n">
        <v>1</v>
      </c>
      <c r="B11" s="411" t="inlineStr">
        <is>
          <t>b</t>
        </is>
      </c>
      <c r="C11" s="105" t="n">
        <v>1</v>
      </c>
      <c r="D11" s="116">
        <f>CONCATENATE(A$3,"_",A11,"_",B11,"_",C11)</f>
        <v/>
      </c>
      <c r="E11" s="418" t="inlineStr">
        <is>
          <t>Stworzenie procedur zbierania, analizy i przetwarzania danych</t>
        </is>
      </c>
      <c r="F11" s="528">
        <f>IFERROR(VLOOKUP($I11,Listy!$A:$H,2,FALSE),"XXX")</f>
        <v/>
      </c>
      <c r="G11" s="415" t="inlineStr">
        <is>
          <t>ACT</t>
        </is>
      </c>
      <c r="H11" s="444" t="n">
        <v>1</v>
      </c>
      <c r="I11" s="89" t="inlineStr">
        <is>
          <t>.a02</t>
        </is>
      </c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474" t="n">
        <v>1</v>
      </c>
      <c r="O11" s="469" t="n">
        <v>90</v>
      </c>
      <c r="P11" s="187" t="n">
        <v>0</v>
      </c>
      <c r="Q11" s="187" t="n">
        <v>0</v>
      </c>
      <c r="R11" s="187" t="n">
        <v>0</v>
      </c>
      <c r="S11" s="187" t="n">
        <v>0</v>
      </c>
      <c r="T11" s="187" t="n">
        <v>0.2</v>
      </c>
      <c r="U11" s="187" t="n">
        <v>0.2</v>
      </c>
      <c r="V11" s="187" t="n">
        <v>0.2</v>
      </c>
      <c r="W11" s="187" t="n">
        <v>0.2</v>
      </c>
      <c r="X11" s="187" t="n">
        <v>0.2</v>
      </c>
      <c r="Y11" s="292" t="n">
        <v>0</v>
      </c>
      <c r="Z11" s="292" t="n"/>
      <c r="AA11" s="292" t="n"/>
      <c r="AB11" s="292" t="n"/>
      <c r="AC11" s="305" t="n"/>
      <c r="AD11" s="305" t="n"/>
      <c r="AE11" s="305" t="n"/>
      <c r="AF11" s="305" t="n"/>
      <c r="AG11" s="192">
        <f>ROUND($O11*P11,0)</f>
        <v/>
      </c>
      <c r="AH11" s="192">
        <f>ROUND($O11*Q11,0)</f>
        <v/>
      </c>
      <c r="AI11" s="192">
        <f>ROUND($O11*R11,0)</f>
        <v/>
      </c>
      <c r="AJ11" s="192">
        <f>ROUND($O11*S11,0)</f>
        <v/>
      </c>
      <c r="AK11" s="192">
        <f>ROUND($O11*T11,0)</f>
        <v/>
      </c>
      <c r="AL11" s="192">
        <f>ROUND($O11*U11,0)</f>
        <v/>
      </c>
      <c r="AM11" s="192">
        <f>ROUND($O11*V11,0)</f>
        <v/>
      </c>
      <c r="AN11" s="192">
        <f>ROUND($O11*W11,0)</f>
        <v/>
      </c>
      <c r="AO11" s="192">
        <f>ROUND($O11*X11,0)</f>
        <v/>
      </c>
      <c r="AP11" s="193">
        <f>ROUND($O11*Y11,0)</f>
        <v/>
      </c>
      <c r="AQ11" s="193">
        <f>ROUND($O11*Z11,0)</f>
        <v/>
      </c>
      <c r="AR11" s="193">
        <f>ROUND($O11*AA11,0)</f>
        <v/>
      </c>
      <c r="AS11" s="193">
        <f>ROUND($O11*AB11,0)</f>
        <v/>
      </c>
      <c r="AT11" s="306">
        <f>ROUND($O11*AC11,0)</f>
        <v/>
      </c>
      <c r="AU11" s="306">
        <f>ROUND($O11*AD11,0)</f>
        <v/>
      </c>
      <c r="AV11" s="306">
        <f>ROUND($O11*AE11,0)</f>
        <v/>
      </c>
      <c r="AW11" s="306">
        <f>ROUND($O11*AF11,0)</f>
        <v/>
      </c>
      <c r="AX11" s="236">
        <f>SUM(AG11:AO11)</f>
        <v/>
      </c>
      <c r="AY11" s="528">
        <f>AX11/160</f>
        <v/>
      </c>
      <c r="AZ11" s="87">
        <f>VLOOKUP(I11,Listy!$A$1:$H$9,6,FALSE)</f>
        <v/>
      </c>
      <c r="BA11" s="682">
        <f>AY11*AZ11</f>
        <v/>
      </c>
      <c r="BB11" s="683">
        <f>AY11*BA11</f>
        <v/>
      </c>
      <c r="BC11" s="528" t="n"/>
      <c r="BD11" s="528" t="n"/>
      <c r="BE11" s="528" t="n"/>
      <c r="BF11" s="528" t="n"/>
      <c r="BG11" s="528" t="n"/>
      <c r="BH11" s="528" t="n"/>
      <c r="BI11" s="21">
        <f>BG11*BH11</f>
        <v/>
      </c>
      <c r="BJ11" s="528" t="n"/>
      <c r="BK11" s="528" t="n"/>
      <c r="BL11" s="528" t="n"/>
      <c r="BM11" s="528" t="n"/>
      <c r="BN11" s="528" t="n"/>
      <c r="BO11" s="528" t="n"/>
      <c r="BP11" s="528" t="n"/>
      <c r="BQ11" s="528" t="n"/>
      <c r="BR11" s="528" t="n"/>
      <c r="BS11" s="528" t="n"/>
      <c r="BT11" s="528" t="n"/>
      <c r="BU11" s="528" t="n"/>
      <c r="BV11" s="528" t="n"/>
      <c r="BW11" s="21">
        <f>BU11*BV11</f>
        <v/>
      </c>
      <c r="BX11" s="528" t="n"/>
      <c r="BY11" s="528" t="n"/>
      <c r="BZ11" s="528" t="n"/>
      <c r="CA11" s="21">
        <f>BY11*BZ11</f>
        <v/>
      </c>
      <c r="CB11" s="528" t="n"/>
      <c r="CC11" s="528" t="n"/>
      <c r="CD11" s="528" t="n"/>
      <c r="CE11" s="21">
        <f>CC11*CD11</f>
        <v/>
      </c>
      <c r="CF11" s="329" t="n"/>
    </row>
    <row r="12" customFormat="1" s="538">
      <c r="A12" s="441" t="n">
        <v>1</v>
      </c>
      <c r="B12" s="411" t="inlineStr">
        <is>
          <t>b</t>
        </is>
      </c>
      <c r="C12" s="105" t="n">
        <v>2</v>
      </c>
      <c r="D12" s="116">
        <f>CONCATENATE(A$3,"_",A12,"_",B12,"_",C12)</f>
        <v/>
      </c>
      <c r="E12" s="418" t="inlineStr">
        <is>
          <t xml:space="preserve">Pozyskanie danych z różnych źródeł, np. systemy WMS, ERP </t>
        </is>
      </c>
      <c r="F12" s="528">
        <f>IFERROR(VLOOKUP($I12,Listy!$A:$H,2,FALSE),"XXX")</f>
        <v/>
      </c>
      <c r="G12" s="415" t="inlineStr">
        <is>
          <t>ACT</t>
        </is>
      </c>
      <c r="H12" s="444" t="n">
        <v>1</v>
      </c>
      <c r="I12" s="89" t="inlineStr">
        <is>
          <t>.a01</t>
        </is>
      </c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474" t="n">
        <v>1</v>
      </c>
      <c r="O12" s="469" t="n">
        <v>160</v>
      </c>
      <c r="P12" s="187" t="n">
        <v>0</v>
      </c>
      <c r="Q12" s="187" t="n">
        <v>0</v>
      </c>
      <c r="R12" s="187" t="n">
        <v>0</v>
      </c>
      <c r="S12" s="187" t="n">
        <v>0</v>
      </c>
      <c r="T12" s="187" t="n">
        <v>0.2</v>
      </c>
      <c r="U12" s="187" t="n">
        <v>0.2</v>
      </c>
      <c r="V12" s="187" t="n">
        <v>0.2</v>
      </c>
      <c r="W12" s="187" t="n">
        <v>0.2</v>
      </c>
      <c r="X12" s="187" t="n">
        <v>0.2</v>
      </c>
      <c r="Y12" s="292" t="n">
        <v>0</v>
      </c>
      <c r="Z12" s="292" t="n"/>
      <c r="AA12" s="292" t="n"/>
      <c r="AB12" s="292" t="n"/>
      <c r="AC12" s="305" t="n"/>
      <c r="AD12" s="305" t="n"/>
      <c r="AE12" s="305" t="n"/>
      <c r="AF12" s="305" t="n"/>
      <c r="AG12" s="192">
        <f>ROUND($O12*P12,0)</f>
        <v/>
      </c>
      <c r="AH12" s="192">
        <f>ROUND($O12*Q12,0)</f>
        <v/>
      </c>
      <c r="AI12" s="192">
        <f>ROUND($O12*R12,0)</f>
        <v/>
      </c>
      <c r="AJ12" s="192">
        <f>ROUND($O12*S12,0)</f>
        <v/>
      </c>
      <c r="AK12" s="192">
        <f>ROUND($O12*T12,0)</f>
        <v/>
      </c>
      <c r="AL12" s="192">
        <f>ROUND($O12*U12,0)</f>
        <v/>
      </c>
      <c r="AM12" s="192">
        <f>ROUND($O12*V12,0)</f>
        <v/>
      </c>
      <c r="AN12" s="192">
        <f>ROUND($O12*W12,0)</f>
        <v/>
      </c>
      <c r="AO12" s="192">
        <f>ROUND($O12*X12,0)</f>
        <v/>
      </c>
      <c r="AP12" s="193">
        <f>ROUND($O12*Y12,0)</f>
        <v/>
      </c>
      <c r="AQ12" s="193">
        <f>ROUND($O12*Z12,0)</f>
        <v/>
      </c>
      <c r="AR12" s="193">
        <f>ROUND($O12*AA12,0)</f>
        <v/>
      </c>
      <c r="AS12" s="193">
        <f>ROUND($O12*AB12,0)</f>
        <v/>
      </c>
      <c r="AT12" s="306">
        <f>ROUND($O12*AC12,0)</f>
        <v/>
      </c>
      <c r="AU12" s="306">
        <f>ROUND($O12*AD12,0)</f>
        <v/>
      </c>
      <c r="AV12" s="306">
        <f>ROUND($O12*AE12,0)</f>
        <v/>
      </c>
      <c r="AW12" s="306">
        <f>ROUND($O12*AF12,0)</f>
        <v/>
      </c>
      <c r="AX12" s="236">
        <f>SUM(AG12:AO12)</f>
        <v/>
      </c>
      <c r="AY12" s="528">
        <f>AX12/160</f>
        <v/>
      </c>
      <c r="AZ12" s="87">
        <f>VLOOKUP(I12,Listy!$A$1:$H$9,6,FALSE)</f>
        <v/>
      </c>
      <c r="BA12" s="682">
        <f>AY12*AZ12</f>
        <v/>
      </c>
      <c r="BB12" s="683">
        <f>AY12*BA12</f>
        <v/>
      </c>
      <c r="BC12" s="528" t="n"/>
      <c r="BD12" s="528" t="n"/>
      <c r="BE12" s="528" t="n"/>
      <c r="BF12" s="528" t="n"/>
      <c r="BG12" s="528" t="n"/>
      <c r="BH12" s="528" t="n"/>
      <c r="BI12" s="21">
        <f>BG12*BH12</f>
        <v/>
      </c>
      <c r="BJ12" s="528" t="n"/>
      <c r="BK12" s="528" t="n"/>
      <c r="BL12" s="528" t="n"/>
      <c r="BM12" s="528" t="n"/>
      <c r="BN12" s="528" t="n"/>
      <c r="BO12" s="528" t="n"/>
      <c r="BP12" s="528" t="n"/>
      <c r="BQ12" s="528" t="n"/>
      <c r="BR12" s="528" t="n"/>
      <c r="BS12" s="528" t="n"/>
      <c r="BT12" s="528" t="n"/>
      <c r="BU12" s="528" t="n"/>
      <c r="BV12" s="528" t="n"/>
      <c r="BW12" s="21">
        <f>BU12*BV12</f>
        <v/>
      </c>
      <c r="BX12" s="528" t="n"/>
      <c r="BY12" s="528" t="n"/>
      <c r="BZ12" s="528" t="n"/>
      <c r="CA12" s="21">
        <f>BY12*BZ12</f>
        <v/>
      </c>
      <c r="CB12" s="528" t="n"/>
      <c r="CC12" s="528" t="n"/>
      <c r="CD12" s="528" t="n"/>
      <c r="CE12" s="21">
        <f>CC12*CD12</f>
        <v/>
      </c>
    </row>
    <row r="13" customFormat="1" s="538">
      <c r="A13" s="441" t="n">
        <v>1</v>
      </c>
      <c r="B13" s="411" t="inlineStr">
        <is>
          <t>b</t>
        </is>
      </c>
      <c r="C13" s="105" t="n">
        <v>3</v>
      </c>
      <c r="D13" s="116">
        <f>CONCATENATE(A$3,"_",A13,"_",B13,"_",C13)</f>
        <v/>
      </c>
      <c r="E13" s="418" t="inlineStr">
        <is>
          <t xml:space="preserve"> Identyfikacja aktualnie przypisywanych atrybutów do rekordów/obiektów w WMS/ERP</t>
        </is>
      </c>
      <c r="F13" s="528">
        <f>IFERROR(VLOOKUP($I13,Listy!$A:$H,2,FALSE),"XXX")</f>
        <v/>
      </c>
      <c r="G13" s="415" t="inlineStr">
        <is>
          <t>ACT</t>
        </is>
      </c>
      <c r="H13" s="444" t="n">
        <v>1</v>
      </c>
      <c r="I13" s="89" t="inlineStr">
        <is>
          <t>.a02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1</v>
      </c>
      <c r="O13" s="469" t="n">
        <v>120</v>
      </c>
      <c r="P13" s="187" t="n">
        <v>0</v>
      </c>
      <c r="Q13" s="187" t="n">
        <v>0</v>
      </c>
      <c r="R13" s="187" t="n">
        <v>0</v>
      </c>
      <c r="S13" s="187" t="n">
        <v>0</v>
      </c>
      <c r="T13" s="187" t="n">
        <v>0.2</v>
      </c>
      <c r="U13" s="187" t="n">
        <v>0.2</v>
      </c>
      <c r="V13" s="187" t="n">
        <v>0.2</v>
      </c>
      <c r="W13" s="187" t="n">
        <v>0.2</v>
      </c>
      <c r="X13" s="187" t="n">
        <v>0.2</v>
      </c>
      <c r="Y13" s="292" t="n">
        <v>0</v>
      </c>
      <c r="Z13" s="292" t="n"/>
      <c r="AA13" s="292" t="n"/>
      <c r="AB13" s="292" t="n"/>
      <c r="AC13" s="305" t="n"/>
      <c r="AD13" s="305" t="n"/>
      <c r="AE13" s="305" t="n"/>
      <c r="AF13" s="305" t="n"/>
      <c r="AG13" s="192">
        <f>ROUND($O13*P13,0)</f>
        <v/>
      </c>
      <c r="AH13" s="192">
        <f>ROUND($O13*Q13,0)</f>
        <v/>
      </c>
      <c r="AI13" s="192">
        <f>ROUND($O13*R13,0)</f>
        <v/>
      </c>
      <c r="AJ13" s="192">
        <f>ROUND($O13*S13,0)</f>
        <v/>
      </c>
      <c r="AK13" s="192">
        <f>ROUND($O13*T13,0)</f>
        <v/>
      </c>
      <c r="AL13" s="192">
        <f>ROUND($O13*U13,0)</f>
        <v/>
      </c>
      <c r="AM13" s="192">
        <f>ROUND($O13*V13,0)</f>
        <v/>
      </c>
      <c r="AN13" s="192">
        <f>ROUND($O13*W13,0)</f>
        <v/>
      </c>
      <c r="AO13" s="192">
        <f>ROUND($O13*X13,0)</f>
        <v/>
      </c>
      <c r="AP13" s="193">
        <f>ROUND($O13*Y13,0)</f>
        <v/>
      </c>
      <c r="AQ13" s="193">
        <f>ROUND($O13*Z13,0)</f>
        <v/>
      </c>
      <c r="AR13" s="193">
        <f>ROUND($O13*AA13,0)</f>
        <v/>
      </c>
      <c r="AS13" s="193">
        <f>ROUND($O13*AB13,0)</f>
        <v/>
      </c>
      <c r="AT13" s="306">
        <f>ROUND($O13*AC13,0)</f>
        <v/>
      </c>
      <c r="AU13" s="306">
        <f>ROUND($O13*AD13,0)</f>
        <v/>
      </c>
      <c r="AV13" s="306">
        <f>ROUND($O13*AE13,0)</f>
        <v/>
      </c>
      <c r="AW13" s="306">
        <f>ROUND($O13*AF13,0)</f>
        <v/>
      </c>
      <c r="AX13" s="236">
        <f>SUM(AG13:AO13)</f>
        <v/>
      </c>
      <c r="AY13" s="528">
        <f>AX13/160</f>
        <v/>
      </c>
      <c r="AZ13" s="87">
        <f>VLOOKUP(I13,Listy!$A$1:$H$9,6,FALSE)</f>
        <v/>
      </c>
      <c r="BA13" s="682">
        <f>AY13*AZ13</f>
        <v/>
      </c>
      <c r="BB13" s="683">
        <f>AY13*BA13</f>
        <v/>
      </c>
      <c r="BC13" s="528" t="n"/>
      <c r="BD13" s="528" t="n"/>
      <c r="BE13" s="528" t="n"/>
      <c r="BF13" s="528" t="n"/>
      <c r="BG13" s="528" t="n"/>
      <c r="BH13" s="528" t="n"/>
      <c r="BI13" s="21">
        <f>BG13*BH13</f>
        <v/>
      </c>
      <c r="BJ13" s="528" t="n"/>
      <c r="BK13" s="528" t="n"/>
      <c r="BL13" s="528" t="n"/>
      <c r="BM13" s="528" t="n"/>
      <c r="BN13" s="528" t="n"/>
      <c r="BO13" s="528" t="n"/>
      <c r="BP13" s="528" t="n"/>
      <c r="BQ13" s="528" t="n"/>
      <c r="BR13" s="528" t="n"/>
      <c r="BS13" s="528" t="n"/>
      <c r="BT13" s="528" t="n"/>
      <c r="BU13" s="528" t="n"/>
      <c r="BV13" s="528" t="n"/>
      <c r="BW13" s="21">
        <f>BU13*BV13</f>
        <v/>
      </c>
      <c r="BX13" s="528" t="n"/>
      <c r="BY13" s="528" t="n"/>
      <c r="BZ13" s="528" t="n"/>
      <c r="CA13" s="21">
        <f>BY13*BZ13</f>
        <v/>
      </c>
      <c r="CB13" s="528" t="n"/>
      <c r="CC13" s="528" t="n"/>
      <c r="CD13" s="528" t="n"/>
      <c r="CE13" s="21">
        <f>CC13*CD13</f>
        <v/>
      </c>
    </row>
    <row r="14" customFormat="1" s="538">
      <c r="A14" s="441" t="n">
        <v>1</v>
      </c>
      <c r="B14" s="411" t="inlineStr">
        <is>
          <t>b</t>
        </is>
      </c>
      <c r="C14" s="105" t="n">
        <v>4</v>
      </c>
      <c r="D14" s="116">
        <f>CONCATENATE(A$3,"_",A14,"_",B14,"_",C14)</f>
        <v/>
      </c>
      <c r="E14" s="418" t="inlineStr">
        <is>
          <t>Opracowanie założeń modeli, schematów, organizacji i prezentacji danych wejściowych</t>
        </is>
      </c>
      <c r="F14" s="528">
        <f>IFERROR(VLOOKUP($I14,Listy!$A:$H,2,FALSE),"XXX")</f>
        <v/>
      </c>
      <c r="G14" s="415" t="inlineStr">
        <is>
          <t>ACT</t>
        </is>
      </c>
      <c r="H14" s="444" t="n">
        <v>1</v>
      </c>
      <c r="I14" s="89" t="inlineStr">
        <is>
          <t>.a03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 t="n">
        <v>1</v>
      </c>
      <c r="O14" s="469" t="n">
        <v>180</v>
      </c>
      <c r="P14" s="187" t="n">
        <v>0</v>
      </c>
      <c r="Q14" s="187" t="n">
        <v>0</v>
      </c>
      <c r="R14" s="187" t="n">
        <v>0</v>
      </c>
      <c r="S14" s="187" t="n">
        <v>0</v>
      </c>
      <c r="T14" s="187" t="n">
        <v>0.2</v>
      </c>
      <c r="U14" s="187" t="n">
        <v>0.2</v>
      </c>
      <c r="V14" s="187" t="n">
        <v>0.2</v>
      </c>
      <c r="W14" s="187" t="n">
        <v>0.2</v>
      </c>
      <c r="X14" s="187" t="n">
        <v>0.2</v>
      </c>
      <c r="Y14" s="292" t="n">
        <v>0</v>
      </c>
      <c r="Z14" s="292" t="n"/>
      <c r="AA14" s="292" t="n"/>
      <c r="AB14" s="292" t="n"/>
      <c r="AC14" s="305" t="n"/>
      <c r="AD14" s="305" t="n"/>
      <c r="AE14" s="305" t="n"/>
      <c r="AF14" s="305" t="n"/>
      <c r="AG14" s="192">
        <f>ROUND($O14*P14,0)</f>
        <v/>
      </c>
      <c r="AH14" s="192">
        <f>ROUND($O14*Q14,0)</f>
        <v/>
      </c>
      <c r="AI14" s="192">
        <f>ROUND($O14*R14,0)</f>
        <v/>
      </c>
      <c r="AJ14" s="192">
        <f>ROUND($O14*S14,0)</f>
        <v/>
      </c>
      <c r="AK14" s="192">
        <f>ROUND($O14*T14,0)</f>
        <v/>
      </c>
      <c r="AL14" s="192">
        <f>ROUND($O14*U14,0)</f>
        <v/>
      </c>
      <c r="AM14" s="192">
        <f>ROUND($O14*V14,0)</f>
        <v/>
      </c>
      <c r="AN14" s="192">
        <f>ROUND($O14*W14,0)</f>
        <v/>
      </c>
      <c r="AO14" s="192">
        <f>ROUND($O14*X14,0)</f>
        <v/>
      </c>
      <c r="AP14" s="193">
        <f>ROUND($O14*Y14,0)</f>
        <v/>
      </c>
      <c r="AQ14" s="193">
        <f>ROUND($O14*Z14,0)</f>
        <v/>
      </c>
      <c r="AR14" s="193">
        <f>ROUND($O14*AA14,0)</f>
        <v/>
      </c>
      <c r="AS14" s="193">
        <f>ROUND($O14*AB14,0)</f>
        <v/>
      </c>
      <c r="AT14" s="306">
        <f>ROUND($O14*AC14,0)</f>
        <v/>
      </c>
      <c r="AU14" s="306">
        <f>ROUND($O14*AD14,0)</f>
        <v/>
      </c>
      <c r="AV14" s="306">
        <f>ROUND($O14*AE14,0)</f>
        <v/>
      </c>
      <c r="AW14" s="306">
        <f>ROUND($O14*AF14,0)</f>
        <v/>
      </c>
      <c r="AX14" s="236">
        <f>SUM(AG14:AO14)</f>
        <v/>
      </c>
      <c r="AY14" s="528">
        <f>AX14/160</f>
        <v/>
      </c>
      <c r="AZ14" s="87">
        <f>VLOOKUP(I14,Listy!$A$1:$H$9,6,FALSE)</f>
        <v/>
      </c>
      <c r="BA14" s="682">
        <f>AY14*AZ14</f>
        <v/>
      </c>
      <c r="BB14" s="683">
        <f>AY14*BA14</f>
        <v/>
      </c>
      <c r="BC14" s="528" t="n"/>
      <c r="BD14" s="528" t="n"/>
      <c r="BE14" s="528" t="n"/>
      <c r="BF14" s="528" t="n"/>
      <c r="BG14" s="528" t="n"/>
      <c r="BH14" s="528" t="n"/>
      <c r="BI14" s="21">
        <f>BG14*BH14</f>
        <v/>
      </c>
      <c r="BJ14" s="528" t="n"/>
      <c r="BK14" s="528" t="n"/>
      <c r="BL14" s="528" t="n"/>
      <c r="BM14" s="528" t="n"/>
      <c r="BN14" s="528" t="n"/>
      <c r="BO14" s="528" t="n"/>
      <c r="BP14" s="528" t="n"/>
      <c r="BQ14" s="528" t="n"/>
      <c r="BR14" s="528" t="n"/>
      <c r="BS14" s="528" t="n"/>
      <c r="BT14" s="528" t="n"/>
      <c r="BU14" s="528" t="n"/>
      <c r="BV14" s="528" t="n"/>
      <c r="BW14" s="21">
        <f>BU14*BV14</f>
        <v/>
      </c>
      <c r="BX14" s="528" t="n"/>
      <c r="BY14" s="528" t="n"/>
      <c r="BZ14" s="528" t="n"/>
      <c r="CA14" s="21">
        <f>BY14*BZ14</f>
        <v/>
      </c>
      <c r="CB14" s="528" t="n"/>
      <c r="CC14" s="528" t="n"/>
      <c r="CD14" s="528" t="n"/>
      <c r="CE14" s="21">
        <f>CC14*CD14</f>
        <v/>
      </c>
    </row>
    <row r="15" customFormat="1" s="538">
      <c r="A15" s="441" t="n">
        <v>1</v>
      </c>
      <c r="B15" s="411" t="inlineStr">
        <is>
          <t>c</t>
        </is>
      </c>
      <c r="C15" s="332" t="n">
        <v>1</v>
      </c>
      <c r="D15" s="116">
        <f>CONCATENATE(A$3,"_",A15,"_",B15,"_",C15)</f>
        <v/>
      </c>
      <c r="E15" s="418" t="inlineStr">
        <is>
          <t>Zgromadzenie danych historycznych (ostatnie 3 lata), dot. procesów omawianych w ramach niniejszego projektu</t>
        </is>
      </c>
      <c r="F15" s="528" t="n"/>
      <c r="G15" s="415" t="inlineStr">
        <is>
          <t>ACT</t>
        </is>
      </c>
      <c r="H15" s="444" t="n">
        <v>2</v>
      </c>
      <c r="I15" s="89" t="inlineStr">
        <is>
          <t>.a01</t>
        </is>
      </c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 t="n">
        <v>1</v>
      </c>
      <c r="O15" s="469" t="n">
        <v>180</v>
      </c>
      <c r="P15" s="187" t="n">
        <v>0.11</v>
      </c>
      <c r="Q15" s="187" t="n">
        <v>0.11</v>
      </c>
      <c r="R15" s="187" t="n">
        <v>0.11</v>
      </c>
      <c r="S15" s="187" t="n">
        <v>0.11</v>
      </c>
      <c r="T15" s="187" t="n">
        <v>0.11</v>
      </c>
      <c r="U15" s="187" t="n">
        <v>0.11</v>
      </c>
      <c r="V15" s="187" t="n">
        <v>0.11</v>
      </c>
      <c r="W15" s="187" t="n">
        <v>0.11</v>
      </c>
      <c r="X15" s="187" t="n">
        <v>0.12</v>
      </c>
      <c r="Y15" s="292" t="n">
        <v>0</v>
      </c>
      <c r="Z15" s="292" t="n"/>
      <c r="AA15" s="292" t="n"/>
      <c r="AB15" s="292" t="n"/>
      <c r="AC15" s="305" t="n"/>
      <c r="AD15" s="305" t="n"/>
      <c r="AE15" s="305" t="n"/>
      <c r="AF15" s="305" t="n"/>
      <c r="AG15" s="192">
        <f>ROUND($O15*P15,0)</f>
        <v/>
      </c>
      <c r="AH15" s="192">
        <f>ROUND($O15*Q15,0)</f>
        <v/>
      </c>
      <c r="AI15" s="192">
        <f>ROUND($O15*R15,0)</f>
        <v/>
      </c>
      <c r="AJ15" s="192">
        <f>ROUND($O15*S15,0)</f>
        <v/>
      </c>
      <c r="AK15" s="192">
        <f>ROUND($O15*T15,0)</f>
        <v/>
      </c>
      <c r="AL15" s="192">
        <f>ROUND($O15*U15,0)</f>
        <v/>
      </c>
      <c r="AM15" s="192">
        <f>ROUND($O15*V15,0)</f>
        <v/>
      </c>
      <c r="AN15" s="192">
        <f>ROUND($O15*W15,0)</f>
        <v/>
      </c>
      <c r="AO15" s="192">
        <f>ROUND($O15*X15,0)-2</f>
        <v/>
      </c>
      <c r="AP15" s="193">
        <f>ROUND($O15*Y15,0)</f>
        <v/>
      </c>
      <c r="AQ15" s="193">
        <f>ROUND($O15*Z15,0)</f>
        <v/>
      </c>
      <c r="AR15" s="193">
        <f>ROUND($O15*AA15,0)</f>
        <v/>
      </c>
      <c r="AS15" s="193">
        <f>ROUND($O15*AB15,0)</f>
        <v/>
      </c>
      <c r="AT15" s="306">
        <f>ROUND($O15*AC15,0)</f>
        <v/>
      </c>
      <c r="AU15" s="306">
        <f>ROUND($O15*AD15,0)</f>
        <v/>
      </c>
      <c r="AV15" s="306">
        <f>ROUND($O15*AE15,0)</f>
        <v/>
      </c>
      <c r="AW15" s="306">
        <f>ROUND($O15*AF15,0)</f>
        <v/>
      </c>
      <c r="AX15" s="236">
        <f>SUM(AG15:AO15)</f>
        <v/>
      </c>
      <c r="AY15" s="528">
        <f>AX15/160</f>
        <v/>
      </c>
      <c r="AZ15" s="87">
        <f>VLOOKUP(I15,Listy!$A$1:$H$9,6,FALSE)</f>
        <v/>
      </c>
      <c r="BA15" s="682">
        <f>AY15*AZ15</f>
        <v/>
      </c>
      <c r="BB15" s="683">
        <f>AY15*BA15</f>
        <v/>
      </c>
      <c r="BC15" s="528" t="n"/>
      <c r="BD15" s="528" t="n"/>
      <c r="BE15" s="528" t="n"/>
      <c r="BF15" s="528" t="n"/>
      <c r="BG15" s="528" t="n"/>
      <c r="BH15" s="528" t="n"/>
      <c r="BI15" s="21">
        <f>BG15*BH15</f>
        <v/>
      </c>
      <c r="BJ15" s="528" t="n"/>
      <c r="BK15" s="528" t="n"/>
      <c r="BL15" s="528" t="n"/>
      <c r="BM15" s="528" t="n"/>
      <c r="BN15" s="528" t="n"/>
      <c r="BO15" s="528" t="n"/>
      <c r="BP15" s="528" t="n"/>
      <c r="BQ15" s="528" t="n"/>
      <c r="BR15" s="528" t="n"/>
      <c r="BS15" s="528" t="n"/>
      <c r="BT15" s="528" t="n"/>
      <c r="BU15" s="528" t="n"/>
      <c r="BV15" s="528" t="n"/>
      <c r="BW15" s="21">
        <f>BU15*BV15</f>
        <v/>
      </c>
      <c r="BX15" s="528" t="n"/>
      <c r="BY15" s="528" t="n"/>
      <c r="BZ15" s="528" t="n"/>
      <c r="CA15" s="21">
        <f>BY15*BZ15</f>
        <v/>
      </c>
      <c r="CB15" s="528" t="n"/>
      <c r="CC15" s="528" t="n"/>
      <c r="CD15" s="528" t="n"/>
      <c r="CE15" s="21">
        <f>CC15*CD15</f>
        <v/>
      </c>
    </row>
    <row r="16" customFormat="1" s="538">
      <c r="A16" s="441" t="n">
        <v>1</v>
      </c>
      <c r="B16" s="411" t="inlineStr">
        <is>
          <t>d</t>
        </is>
      </c>
      <c r="C16" s="332" t="n">
        <v>1</v>
      </c>
      <c r="D16" s="116">
        <f>CONCATENATE(A$3,"_",A16,"_",B16,"_",C16)</f>
        <v/>
      </c>
      <c r="E16" s="418" t="inlineStr">
        <is>
          <t>Oczyszczanie, normalizacja, konwersja i standaryzacja danych (procedury ETL), w tym usuwanie duplikatów i korekcji błędów, do jednolitego formatu na potrzeby dokładności analiz i predykcji, spójności i możliwość łatwego przetwarzania</t>
        </is>
      </c>
      <c r="F16" s="528">
        <f>IFERROR(VLOOKUP($I16,Listy!$A:$H,2,FALSE),"XXX")</f>
        <v/>
      </c>
      <c r="G16" s="415" t="inlineStr">
        <is>
          <t>ACT</t>
        </is>
      </c>
      <c r="H16" s="444" t="n">
        <v>3</v>
      </c>
      <c r="I16" s="89" t="inlineStr">
        <is>
          <t>.a03</t>
        </is>
      </c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4" t="n">
        <v>1</v>
      </c>
      <c r="O16" s="469" t="n">
        <v>180</v>
      </c>
      <c r="P16" s="187" t="n">
        <v>0.11</v>
      </c>
      <c r="Q16" s="187" t="n">
        <v>0.11</v>
      </c>
      <c r="R16" s="187" t="n">
        <v>0.11</v>
      </c>
      <c r="S16" s="187" t="n">
        <v>0.11</v>
      </c>
      <c r="T16" s="187" t="n">
        <v>0.11</v>
      </c>
      <c r="U16" s="187" t="n">
        <v>0.11</v>
      </c>
      <c r="V16" s="187" t="n">
        <v>0.11</v>
      </c>
      <c r="W16" s="187" t="n">
        <v>0.11</v>
      </c>
      <c r="X16" s="187" t="n">
        <v>0.12</v>
      </c>
      <c r="Y16" s="292" t="n">
        <v>0</v>
      </c>
      <c r="Z16" s="292" t="n"/>
      <c r="AA16" s="292" t="n"/>
      <c r="AB16" s="292" t="n"/>
      <c r="AC16" s="305" t="n"/>
      <c r="AD16" s="305" t="n"/>
      <c r="AE16" s="305" t="n"/>
      <c r="AF16" s="305" t="n"/>
      <c r="AG16" s="192">
        <f>ROUND($O16*P16,0)</f>
        <v/>
      </c>
      <c r="AH16" s="192">
        <f>ROUND($O16*Q16,0)</f>
        <v/>
      </c>
      <c r="AI16" s="192">
        <f>ROUND($O16*R16,0)</f>
        <v/>
      </c>
      <c r="AJ16" s="192">
        <f>ROUND($O16*S16,0)</f>
        <v/>
      </c>
      <c r="AK16" s="192">
        <f>ROUND($O16*T16,0)</f>
        <v/>
      </c>
      <c r="AL16" s="192">
        <f>ROUND($O16*U16,0)</f>
        <v/>
      </c>
      <c r="AM16" s="192">
        <f>ROUND($O16*V16,0)</f>
        <v/>
      </c>
      <c r="AN16" s="192">
        <f>ROUND($O16*W16,0)</f>
        <v/>
      </c>
      <c r="AO16" s="192">
        <f>ROUND($O16*X16,0)-2</f>
        <v/>
      </c>
      <c r="AP16" s="193">
        <f>ROUND($O16*Y16,0)</f>
        <v/>
      </c>
      <c r="AQ16" s="193">
        <f>ROUND($O16*Z16,0)</f>
        <v/>
      </c>
      <c r="AR16" s="193">
        <f>ROUND($O16*AA16,0)</f>
        <v/>
      </c>
      <c r="AS16" s="193">
        <f>ROUND($O16*AB16,0)</f>
        <v/>
      </c>
      <c r="AT16" s="306">
        <f>ROUND($O16*AC16,0)</f>
        <v/>
      </c>
      <c r="AU16" s="306">
        <f>ROUND($O16*AD16,0)</f>
        <v/>
      </c>
      <c r="AV16" s="306">
        <f>ROUND($O16*AE16,0)</f>
        <v/>
      </c>
      <c r="AW16" s="306">
        <f>ROUND($O16*AF16,0)</f>
        <v/>
      </c>
      <c r="AX16" s="236">
        <f>SUM(AG16:AO16)</f>
        <v/>
      </c>
      <c r="AY16" s="528">
        <f>AX16/160</f>
        <v/>
      </c>
      <c r="AZ16" s="87">
        <f>VLOOKUP(I16,Listy!$A$1:$H$9,6,FALSE)</f>
        <v/>
      </c>
      <c r="BA16" s="682">
        <f>AY16*AZ16</f>
        <v/>
      </c>
      <c r="BB16" s="683">
        <f>AY16*BA16</f>
        <v/>
      </c>
      <c r="BC16" s="528" t="n"/>
      <c r="BD16" s="528" t="n"/>
      <c r="BE16" s="528" t="n"/>
      <c r="BF16" s="528" t="n"/>
      <c r="BG16" s="528" t="n"/>
      <c r="BH16" s="528" t="n"/>
      <c r="BI16" s="21">
        <f>BG16*BH16</f>
        <v/>
      </c>
      <c r="BJ16" s="528" t="n"/>
      <c r="BK16" s="528" t="n"/>
      <c r="BL16" s="528" t="n"/>
      <c r="BM16" s="528" t="n"/>
      <c r="BN16" s="528" t="n"/>
      <c r="BO16" s="528" t="n"/>
      <c r="BP16" s="528" t="n"/>
      <c r="BQ16" s="528" t="n"/>
      <c r="BR16" s="528" t="n"/>
      <c r="BS16" s="528" t="n"/>
      <c r="BT16" s="528" t="n"/>
      <c r="BU16" s="528" t="n"/>
      <c r="BV16" s="528" t="n"/>
      <c r="BW16" s="21">
        <f>BU16*BV16</f>
        <v/>
      </c>
      <c r="BX16" s="528" t="n"/>
      <c r="BY16" s="528" t="n"/>
      <c r="BZ16" s="528" t="n"/>
      <c r="CA16" s="21">
        <f>BY16*BZ16</f>
        <v/>
      </c>
      <c r="CB16" s="528" t="n"/>
      <c r="CC16" s="528" t="n"/>
      <c r="CD16" s="528" t="n"/>
      <c r="CE16" s="21">
        <f>CC16*CD16</f>
        <v/>
      </c>
    </row>
    <row r="17" ht="18" customFormat="1" customHeight="1" s="538">
      <c r="A17" s="410" t="n">
        <v>2</v>
      </c>
      <c r="B17" s="411" t="inlineStr">
        <is>
          <t>a</t>
        </is>
      </c>
      <c r="C17" s="351" t="n">
        <v>0</v>
      </c>
      <c r="D17" s="116">
        <f>CONCATENATE(A$3,"_",A17,"_",B17,"_",C17)</f>
        <v/>
      </c>
      <c r="E17" s="410" t="inlineStr">
        <is>
          <t>2.Implementacja WBD w infrastrukturze Wnioskodawcy w oparciu o wybrane platformy bazodanowe, np. Oracle, MSSQL, MySQL</t>
        </is>
      </c>
      <c r="F17" s="528" t="n"/>
      <c r="G17" s="415" t="n"/>
      <c r="H17" s="444" t="n"/>
      <c r="I17" s="89" t="n"/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>
        <f>ROUND(MAX(AG17:AO17)/Listy!$U$5,0)</f>
        <v/>
      </c>
      <c r="O17" s="672" t="n"/>
      <c r="P17" s="672" t="n"/>
      <c r="Q17" s="672" t="n"/>
      <c r="R17" s="672" t="n"/>
      <c r="S17" s="672" t="n"/>
      <c r="T17" s="672" t="n"/>
      <c r="U17" s="672" t="n"/>
      <c r="V17" s="672" t="n"/>
      <c r="W17" s="672" t="n"/>
      <c r="X17" s="672" t="n"/>
      <c r="Y17" s="672" t="n"/>
      <c r="Z17" s="672" t="n"/>
      <c r="AA17" s="672" t="n"/>
      <c r="AB17" s="672" t="n"/>
      <c r="AC17" s="672" t="n"/>
      <c r="AD17" s="672" t="n"/>
      <c r="AE17" s="672" t="n"/>
      <c r="AF17" s="672" t="n"/>
      <c r="AG17" s="672" t="n"/>
      <c r="AH17" s="672" t="n"/>
      <c r="AI17" s="672" t="n"/>
      <c r="AJ17" s="672" t="n"/>
      <c r="AK17" s="672" t="n"/>
      <c r="AL17" s="672" t="n"/>
      <c r="AM17" s="672" t="n"/>
      <c r="AN17" s="672" t="n"/>
      <c r="AO17" s="672" t="n"/>
      <c r="AP17" s="672" t="n"/>
      <c r="AQ17" s="672" t="n"/>
      <c r="AR17" s="672" t="n"/>
      <c r="AS17" s="672" t="n"/>
      <c r="AT17" s="672" t="n"/>
      <c r="AU17" s="672" t="n"/>
      <c r="AV17" s="672" t="n"/>
      <c r="AW17" s="672" t="n"/>
      <c r="AX17" s="672" t="n"/>
      <c r="AY17" s="672" t="n"/>
      <c r="AZ17" s="672" t="n"/>
      <c r="BA17" s="672" t="n"/>
      <c r="BB17" s="672" t="n"/>
      <c r="BC17" s="672" t="n"/>
      <c r="BD17" s="672" t="n"/>
      <c r="BE17" s="672" t="n"/>
      <c r="BF17" s="672" t="n"/>
      <c r="BG17" s="672" t="n"/>
      <c r="BH17" s="672" t="n"/>
      <c r="BI17" s="672" t="n"/>
      <c r="BJ17" s="672" t="n"/>
      <c r="BK17" s="672" t="n"/>
      <c r="BL17" s="672" t="n"/>
      <c r="BM17" s="672" t="n"/>
      <c r="BN17" s="672" t="n"/>
      <c r="BO17" s="672" t="n"/>
      <c r="BP17" s="672" t="n"/>
      <c r="BQ17" s="672" t="n"/>
      <c r="BR17" s="672" t="n"/>
      <c r="BS17" s="672" t="n"/>
      <c r="BT17" s="672" t="n"/>
      <c r="BU17" s="672" t="n"/>
      <c r="BV17" s="672" t="n"/>
      <c r="BW17" s="672" t="n"/>
      <c r="BX17" s="672" t="n"/>
      <c r="BY17" s="672" t="n"/>
      <c r="BZ17" s="672" t="n"/>
      <c r="CA17" s="672" t="n"/>
      <c r="CB17" s="672" t="n"/>
      <c r="CC17" s="672" t="n"/>
      <c r="CD17" s="672" t="n"/>
      <c r="CE17" s="672" t="n"/>
      <c r="CF17" s="672" t="n"/>
      <c r="CG17" s="672" t="n"/>
    </row>
    <row r="18" ht="18" customFormat="1" customHeight="1" s="538">
      <c r="A18" s="410" t="n">
        <v>2</v>
      </c>
      <c r="B18" s="411" t="inlineStr">
        <is>
          <t>a</t>
        </is>
      </c>
      <c r="C18" s="351" t="n">
        <v>1</v>
      </c>
      <c r="D18" s="116">
        <f>CONCATENATE(A$3,"_",A18,"_",B18,"_",C18)</f>
        <v/>
      </c>
      <c r="E18" s="412" t="inlineStr">
        <is>
          <t>Testowanie i walidacja platform bazodanowych (testy funkcjonalne i wydajnościowe, w tym obciążeniowe i regresyjne) jest kluczowe dla zapewnienia, że baza danych działa zgodnie z wymaganiami i jest gotowa do użycia</t>
        </is>
      </c>
      <c r="F18" s="528">
        <f>IFERROR(VLOOKUP($I18,Listy!$A:$H,2,FALSE),"XXX")</f>
        <v/>
      </c>
      <c r="G18" s="415" t="inlineStr">
        <is>
          <t>ACT</t>
        </is>
      </c>
      <c r="H18" s="444" t="n">
        <v>4</v>
      </c>
      <c r="I18" s="89" t="inlineStr">
        <is>
          <t>.a03</t>
        </is>
      </c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4" t="n">
        <v>1</v>
      </c>
      <c r="O18" s="469" t="n">
        <v>200</v>
      </c>
      <c r="P18" s="187" t="n">
        <v>0.11</v>
      </c>
      <c r="Q18" s="187" t="n">
        <v>0.11</v>
      </c>
      <c r="R18" s="187" t="n">
        <v>0.11</v>
      </c>
      <c r="S18" s="187" t="n">
        <v>0.11</v>
      </c>
      <c r="T18" s="187" t="n">
        <v>0.11</v>
      </c>
      <c r="U18" s="187" t="n">
        <v>0.11</v>
      </c>
      <c r="V18" s="187" t="n">
        <v>0.11</v>
      </c>
      <c r="W18" s="187" t="n">
        <v>0.11</v>
      </c>
      <c r="X18" s="187" t="n">
        <v>0.12</v>
      </c>
      <c r="Y18" s="292" t="n">
        <v>0</v>
      </c>
      <c r="Z18" s="292" t="n"/>
      <c r="AA18" s="292" t="n"/>
      <c r="AB18" s="292" t="n"/>
      <c r="AC18" s="305" t="n"/>
      <c r="AD18" s="305" t="n"/>
      <c r="AE18" s="305" t="n"/>
      <c r="AF18" s="305" t="n"/>
      <c r="AG18" s="192">
        <f>ROUND($O18*P18,0)</f>
        <v/>
      </c>
      <c r="AH18" s="192">
        <f>ROUND($O18*Q18,0)</f>
        <v/>
      </c>
      <c r="AI18" s="192">
        <f>ROUND($O18*R18,0)</f>
        <v/>
      </c>
      <c r="AJ18" s="192">
        <f>ROUND($O18*S18,0)</f>
        <v/>
      </c>
      <c r="AK18" s="192">
        <f>ROUND($O18*T18,0)</f>
        <v/>
      </c>
      <c r="AL18" s="192">
        <f>ROUND($O18*U18,0)</f>
        <v/>
      </c>
      <c r="AM18" s="192">
        <f>ROUND($O18*V18,0)</f>
        <v/>
      </c>
      <c r="AN18" s="192">
        <f>ROUND($O18*W18,0)</f>
        <v/>
      </c>
      <c r="AO18" s="192">
        <f>ROUND($O18*X18,0)</f>
        <v/>
      </c>
      <c r="AP18" s="193">
        <f>ROUND($O18*Y18,0)</f>
        <v/>
      </c>
      <c r="AQ18" s="193">
        <f>ROUND($O18*Z18,0)</f>
        <v/>
      </c>
      <c r="AR18" s="193">
        <f>ROUND($O18*AA18,0)</f>
        <v/>
      </c>
      <c r="AS18" s="193">
        <f>ROUND($O18*AB18,0)</f>
        <v/>
      </c>
      <c r="AT18" s="306">
        <f>ROUND($O18*AC18,0)</f>
        <v/>
      </c>
      <c r="AU18" s="306">
        <f>ROUND($O18*AD18,0)</f>
        <v/>
      </c>
      <c r="AV18" s="306">
        <f>ROUND($O18*AE18,0)</f>
        <v/>
      </c>
      <c r="AW18" s="306">
        <f>ROUND($O18*AF18,0)</f>
        <v/>
      </c>
      <c r="AX18" s="236">
        <f>SUM(AG18:AO18)</f>
        <v/>
      </c>
      <c r="AY18" s="528">
        <f>AX18/160</f>
        <v/>
      </c>
      <c r="AZ18" s="87">
        <f>VLOOKUP(I18,Listy!$A$1:$H$9,6,FALSE)</f>
        <v/>
      </c>
      <c r="BA18" s="682">
        <f>AY18*AZ18</f>
        <v/>
      </c>
      <c r="BB18" s="683">
        <f>AY18*BA18</f>
        <v/>
      </c>
      <c r="BC18" s="528" t="n"/>
      <c r="BD18" s="528" t="n"/>
      <c r="BE18" s="528" t="n"/>
      <c r="BF18" s="528" t="n"/>
      <c r="BG18" s="528" t="n"/>
      <c r="BH18" s="528" t="n"/>
      <c r="BI18" s="21">
        <f>BG18*BH18</f>
        <v/>
      </c>
      <c r="BJ18" s="528" t="n"/>
      <c r="BK18" s="528" t="n"/>
      <c r="BL18" s="528" t="n"/>
      <c r="BM18" s="528" t="n"/>
      <c r="BN18" s="528" t="n"/>
      <c r="BO18" s="528" t="n"/>
      <c r="BP18" s="528" t="n"/>
      <c r="BQ18" s="528" t="n"/>
      <c r="BR18" s="528" t="n"/>
      <c r="BS18" s="528" t="n"/>
      <c r="BT18" s="528" t="n"/>
      <c r="BU18" s="528" t="n"/>
      <c r="BV18" s="528" t="n"/>
      <c r="BW18" s="21">
        <f>BU18*BV18</f>
        <v/>
      </c>
      <c r="BX18" s="528" t="n"/>
      <c r="BY18" s="528" t="n"/>
      <c r="BZ18" s="528" t="n"/>
      <c r="CA18" s="21">
        <f>BY18*BZ18</f>
        <v/>
      </c>
      <c r="CB18" s="528" t="n"/>
      <c r="CC18" s="528" t="n"/>
      <c r="CD18" s="528" t="n"/>
      <c r="CE18" s="21">
        <f>CC18*CD18</f>
        <v/>
      </c>
    </row>
    <row r="19" ht="18" customFormat="1" customHeight="1" s="538">
      <c r="A19" s="410" t="n">
        <v>2</v>
      </c>
      <c r="B19" s="411" t="inlineStr">
        <is>
          <t>b</t>
        </is>
      </c>
      <c r="C19" s="351" t="n">
        <v>1</v>
      </c>
      <c r="D19" s="116">
        <f>CONCATENATE(A$3,"_",A19,"_",B19,"_",C19)</f>
        <v/>
      </c>
      <c r="E19" s="412" t="inlineStr">
        <is>
          <t>Wybór platformy bazodanowej na podstawie testów wydajnościowych WBD</t>
        </is>
      </c>
      <c r="F19" s="528">
        <f>IFERROR(VLOOKUP($I19,Listy!$A:$H,2,FALSE),"XXX")</f>
        <v/>
      </c>
      <c r="G19" s="415" t="inlineStr">
        <is>
          <t>ACT</t>
        </is>
      </c>
      <c r="H19" s="444" t="n">
        <v>4</v>
      </c>
      <c r="I19" s="89" t="inlineStr">
        <is>
          <t>.a01</t>
        </is>
      </c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>
        <f>ROUND(MAX(AG19:AO19)/Listy!$U$5,0)</f>
        <v/>
      </c>
      <c r="O19" s="469" t="n">
        <v>45</v>
      </c>
      <c r="P19" s="187" t="n">
        <v>0.11</v>
      </c>
      <c r="Q19" s="187" t="n">
        <v>0.11</v>
      </c>
      <c r="R19" s="187" t="n">
        <v>0.11</v>
      </c>
      <c r="S19" s="187" t="n">
        <v>0.11</v>
      </c>
      <c r="T19" s="187" t="n">
        <v>0.11</v>
      </c>
      <c r="U19" s="187" t="n">
        <v>0.11</v>
      </c>
      <c r="V19" s="187" t="n">
        <v>0.11</v>
      </c>
      <c r="W19" s="187" t="n">
        <v>0.11</v>
      </c>
      <c r="X19" s="187" t="n">
        <v>0.12</v>
      </c>
      <c r="Y19" s="292" t="n">
        <v>0</v>
      </c>
      <c r="Z19" s="292" t="n"/>
      <c r="AA19" s="292" t="n"/>
      <c r="AB19" s="292" t="n"/>
      <c r="AC19" s="305" t="n"/>
      <c r="AD19" s="305" t="n"/>
      <c r="AE19" s="305" t="n"/>
      <c r="AF19" s="305" t="n"/>
      <c r="AG19" s="192">
        <f>ROUND($O19*P19,0)</f>
        <v/>
      </c>
      <c r="AH19" s="192">
        <f>ROUND($O19*Q19,0)</f>
        <v/>
      </c>
      <c r="AI19" s="192">
        <f>ROUND($O19*R19,0)</f>
        <v/>
      </c>
      <c r="AJ19" s="192">
        <f>ROUND($O19*S19,0)</f>
        <v/>
      </c>
      <c r="AK19" s="192">
        <f>ROUND($O19*T19,0)</f>
        <v/>
      </c>
      <c r="AL19" s="192">
        <f>ROUND($O19*U19,0)</f>
        <v/>
      </c>
      <c r="AM19" s="192">
        <f>ROUND($O19*V19,0)</f>
        <v/>
      </c>
      <c r="AN19" s="192">
        <f>ROUND($O19*W19,0)</f>
        <v/>
      </c>
      <c r="AO19" s="192">
        <f>ROUND($O19*X19,0)</f>
        <v/>
      </c>
      <c r="AP19" s="193">
        <f>ROUND($O19*Y19,0)</f>
        <v/>
      </c>
      <c r="AQ19" s="193">
        <f>ROUND($O19*Z19,0)</f>
        <v/>
      </c>
      <c r="AR19" s="193">
        <f>ROUND($O19*AA19,0)</f>
        <v/>
      </c>
      <c r="AS19" s="193">
        <f>ROUND($O19*AB19,0)</f>
        <v/>
      </c>
      <c r="AT19" s="306">
        <f>ROUND($O19*AC19,0)</f>
        <v/>
      </c>
      <c r="AU19" s="306">
        <f>ROUND($O19*AD19,0)</f>
        <v/>
      </c>
      <c r="AV19" s="306">
        <f>ROUND($O19*AE19,0)</f>
        <v/>
      </c>
      <c r="AW19" s="306">
        <f>ROUND($O19*AF19,0)</f>
        <v/>
      </c>
      <c r="AX19" s="236">
        <f>SUM(AG19:AO19)</f>
        <v/>
      </c>
      <c r="AY19" s="528">
        <f>AX19/160</f>
        <v/>
      </c>
      <c r="AZ19" s="87">
        <f>VLOOKUP(I19,Listy!$A$1:$H$9,6,FALSE)</f>
        <v/>
      </c>
      <c r="BA19" s="682">
        <f>AY19*AZ19</f>
        <v/>
      </c>
      <c r="BB19" s="683">
        <f>AY19*BA19</f>
        <v/>
      </c>
      <c r="BC19" s="528" t="n"/>
      <c r="BD19" s="528" t="n"/>
      <c r="BE19" s="528" t="n"/>
      <c r="BF19" s="528" t="n"/>
      <c r="BG19" s="528" t="n"/>
      <c r="BH19" s="528" t="n"/>
      <c r="BI19" s="21">
        <f>BG19*BH19</f>
        <v/>
      </c>
      <c r="BJ19" s="528" t="n"/>
      <c r="BK19" s="528" t="n"/>
      <c r="BL19" s="528" t="n"/>
      <c r="BM19" s="528" t="n"/>
      <c r="BN19" s="528" t="n"/>
      <c r="BO19" s="528" t="n"/>
      <c r="BP19" s="528" t="n"/>
      <c r="BQ19" s="528" t="n"/>
      <c r="BR19" s="528" t="n"/>
      <c r="BS19" s="528" t="n"/>
      <c r="BT19" s="528" t="n"/>
      <c r="BU19" s="528" t="n"/>
      <c r="BV19" s="528" t="n"/>
      <c r="BW19" s="21">
        <f>BU19*BV19</f>
        <v/>
      </c>
      <c r="BX19" s="528" t="n"/>
      <c r="BY19" s="528" t="n"/>
      <c r="BZ19" s="528" t="n"/>
      <c r="CA19" s="21">
        <f>BY19*BZ19</f>
        <v/>
      </c>
      <c r="CB19" s="528" t="n"/>
      <c r="CC19" s="528" t="n"/>
      <c r="CD19" s="528" t="n"/>
      <c r="CE19" s="21">
        <f>CC19*CD19</f>
        <v/>
      </c>
    </row>
    <row r="20" ht="18" customFormat="1" customHeight="1" s="538">
      <c r="A20" s="410" t="n">
        <v>2</v>
      </c>
      <c r="B20" s="411" t="inlineStr">
        <is>
          <t>c</t>
        </is>
      </c>
      <c r="C20" s="351" t="n">
        <v>1</v>
      </c>
      <c r="D20" s="116">
        <f>CONCATENATE(A$3,"_",A20,"_",B20,"_",C20)</f>
        <v/>
      </c>
      <c r="E20" s="412" t="inlineStr">
        <is>
          <t>Wybór odpowiedniej platformy technologicznej zapewniającej skalowalność, bezpieczeństwo i wydajność analiz AI/ML</t>
        </is>
      </c>
      <c r="F20" s="528">
        <f>IFERROR(VLOOKUP($I20,Listy!$A:$H,2,FALSE),"XXX")</f>
        <v/>
      </c>
      <c r="G20" s="415" t="inlineStr">
        <is>
          <t>ACT</t>
        </is>
      </c>
      <c r="H20" s="444" t="n">
        <v>4</v>
      </c>
      <c r="I20" s="89" t="inlineStr">
        <is>
          <t>.a03</t>
        </is>
      </c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4" t="n">
        <v>1</v>
      </c>
      <c r="O20" s="469" t="n">
        <v>200</v>
      </c>
      <c r="P20" s="187" t="n">
        <v>0.11</v>
      </c>
      <c r="Q20" s="187" t="n">
        <v>0.11</v>
      </c>
      <c r="R20" s="187" t="n">
        <v>0.11</v>
      </c>
      <c r="S20" s="187" t="n">
        <v>0.11</v>
      </c>
      <c r="T20" s="187" t="n">
        <v>0.11</v>
      </c>
      <c r="U20" s="187" t="n">
        <v>0.11</v>
      </c>
      <c r="V20" s="187" t="n">
        <v>0.11</v>
      </c>
      <c r="W20" s="187" t="n">
        <v>0.11</v>
      </c>
      <c r="X20" s="187" t="n">
        <v>0.12</v>
      </c>
      <c r="Y20" s="292" t="n">
        <v>0</v>
      </c>
      <c r="Z20" s="292" t="n"/>
      <c r="AA20" s="292" t="n"/>
      <c r="AB20" s="292" t="n"/>
      <c r="AC20" s="305" t="n"/>
      <c r="AD20" s="305" t="n"/>
      <c r="AE20" s="305" t="n"/>
      <c r="AF20" s="305" t="n"/>
      <c r="AG20" s="192">
        <f>ROUND($O20*P20,0)</f>
        <v/>
      </c>
      <c r="AH20" s="192">
        <f>ROUND($O20*Q20,0)</f>
        <v/>
      </c>
      <c r="AI20" s="192">
        <f>ROUND($O20*R20,0)</f>
        <v/>
      </c>
      <c r="AJ20" s="192">
        <f>ROUND($O20*S20,0)</f>
        <v/>
      </c>
      <c r="AK20" s="192">
        <f>ROUND($O20*T20,0)</f>
        <v/>
      </c>
      <c r="AL20" s="192">
        <f>ROUND($O20*U20,0)</f>
        <v/>
      </c>
      <c r="AM20" s="192">
        <f>ROUND($O20*V20,0)</f>
        <v/>
      </c>
      <c r="AN20" s="192">
        <f>ROUND($O20*W20,0)</f>
        <v/>
      </c>
      <c r="AO20" s="192">
        <f>ROUND($O20*X20,0)</f>
        <v/>
      </c>
      <c r="AP20" s="193">
        <f>ROUND($O20*Y20,0)</f>
        <v/>
      </c>
      <c r="AQ20" s="193">
        <f>ROUND($O20*Z20,0)</f>
        <v/>
      </c>
      <c r="AR20" s="193">
        <f>ROUND($O20*AA20,0)</f>
        <v/>
      </c>
      <c r="AS20" s="193">
        <f>ROUND($O20*AB20,0)</f>
        <v/>
      </c>
      <c r="AT20" s="306">
        <f>ROUND($O20*AC20,0)</f>
        <v/>
      </c>
      <c r="AU20" s="306">
        <f>ROUND($O20*AD20,0)</f>
        <v/>
      </c>
      <c r="AV20" s="306">
        <f>ROUND($O20*AE20,0)</f>
        <v/>
      </c>
      <c r="AW20" s="306">
        <f>ROUND($O20*AF20,0)</f>
        <v/>
      </c>
      <c r="AX20" s="236">
        <f>SUM(AG20:AO20)</f>
        <v/>
      </c>
      <c r="AY20" s="528">
        <f>AX20/160</f>
        <v/>
      </c>
      <c r="AZ20" s="87">
        <f>VLOOKUP(I20,Listy!$A$1:$H$9,6,FALSE)</f>
        <v/>
      </c>
      <c r="BA20" s="682">
        <f>AY20*AZ20</f>
        <v/>
      </c>
      <c r="BB20" s="683">
        <f>AY20*BA20</f>
        <v/>
      </c>
      <c r="BC20" s="336" t="n"/>
      <c r="BD20" s="336" t="n"/>
      <c r="BE20" s="336" t="n"/>
      <c r="BF20" s="336" t="n"/>
      <c r="BG20" s="336" t="n"/>
      <c r="BH20" s="336" t="n"/>
      <c r="BI20" s="336" t="n"/>
      <c r="BJ20" s="336" t="n"/>
      <c r="BK20" s="336" t="n"/>
      <c r="BL20" s="336" t="n"/>
      <c r="BM20" s="336" t="n"/>
      <c r="BN20" s="336" t="n"/>
      <c r="BO20" s="336" t="n"/>
      <c r="BP20" s="336" t="n"/>
      <c r="BQ20" s="336" t="n"/>
      <c r="BR20" s="336" t="n"/>
      <c r="BS20" s="336" t="n"/>
      <c r="BT20" s="336" t="n"/>
      <c r="BU20" s="336" t="n"/>
      <c r="BV20" s="336" t="n"/>
      <c r="BW20" s="336" t="n"/>
      <c r="BX20" s="336" t="n"/>
      <c r="BY20" s="336" t="n"/>
      <c r="BZ20" s="336" t="n"/>
      <c r="CA20" s="336" t="n"/>
      <c r="CB20" s="336" t="n"/>
      <c r="CC20" s="336" t="n"/>
      <c r="CD20" s="336" t="n"/>
      <c r="CE20" s="336" t="n"/>
    </row>
    <row r="21" ht="18" customFormat="1" customHeight="1" s="538">
      <c r="A21" s="410" t="n">
        <v>2</v>
      </c>
      <c r="B21" s="411" t="inlineStr">
        <is>
          <t>d</t>
        </is>
      </c>
      <c r="C21" s="351" t="n">
        <v>1</v>
      </c>
      <c r="D21" s="116">
        <f>CONCATENATE(A$3,"_",A21,"_",B21,"_",C21)</f>
        <v/>
      </c>
      <c r="E21" s="412" t="inlineStr">
        <is>
          <t>Fizyczna implementacja WBD w infrastrukturze Wnioskodawcy</t>
        </is>
      </c>
      <c r="F21" s="528">
        <f>IFERROR(VLOOKUP($I21,Listy!$A:$H,2,FALSE),"XXX")</f>
        <v/>
      </c>
      <c r="G21" s="415" t="inlineStr">
        <is>
          <t>ACT</t>
        </is>
      </c>
      <c r="H21" s="444" t="n">
        <v>5</v>
      </c>
      <c r="I21" s="89" t="inlineStr">
        <is>
          <t>.a05</t>
        </is>
      </c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4" t="n">
        <v>1</v>
      </c>
      <c r="O21" s="469" t="n">
        <v>200</v>
      </c>
      <c r="P21" s="187" t="n">
        <v>0.2</v>
      </c>
      <c r="Q21" s="187" t="n">
        <v>0.2</v>
      </c>
      <c r="R21" s="187" t="n">
        <v>0.2</v>
      </c>
      <c r="S21" s="187" t="n">
        <v>0.2</v>
      </c>
      <c r="T21" s="187" t="n">
        <v>0.2</v>
      </c>
      <c r="U21" s="187" t="n">
        <v>0</v>
      </c>
      <c r="V21" s="187" t="n">
        <v>0</v>
      </c>
      <c r="W21" s="187" t="n">
        <v>0</v>
      </c>
      <c r="X21" s="187" t="n">
        <v>0</v>
      </c>
      <c r="Y21" s="292" t="n">
        <v>0</v>
      </c>
      <c r="Z21" s="292" t="n"/>
      <c r="AA21" s="292" t="n"/>
      <c r="AB21" s="292" t="n"/>
      <c r="AC21" s="305" t="n"/>
      <c r="AD21" s="305" t="n"/>
      <c r="AE21" s="305" t="n"/>
      <c r="AF21" s="305" t="n"/>
      <c r="AG21" s="192">
        <f>ROUND($O21*P21,0)</f>
        <v/>
      </c>
      <c r="AH21" s="192">
        <f>ROUND($O21*Q21,0)</f>
        <v/>
      </c>
      <c r="AI21" s="192">
        <f>ROUND($O21*R21,0)</f>
        <v/>
      </c>
      <c r="AJ21" s="192">
        <f>ROUND($O21*S21,0)</f>
        <v/>
      </c>
      <c r="AK21" s="192">
        <f>ROUND($O21*T21,0)</f>
        <v/>
      </c>
      <c r="AL21" s="192">
        <f>ROUND($O21*U21,0)</f>
        <v/>
      </c>
      <c r="AM21" s="192">
        <f>ROUND($O21*V21,0)</f>
        <v/>
      </c>
      <c r="AN21" s="192">
        <f>ROUND($O21*W21,0)</f>
        <v/>
      </c>
      <c r="AO21" s="192">
        <f>ROUND($O21*X21,0)</f>
        <v/>
      </c>
      <c r="AP21" s="193">
        <f>ROUND($O21*Y21,0)</f>
        <v/>
      </c>
      <c r="AQ21" s="193">
        <f>ROUND($O21*Z21,0)</f>
        <v/>
      </c>
      <c r="AR21" s="193">
        <f>ROUND($O21*AA21,0)</f>
        <v/>
      </c>
      <c r="AS21" s="193">
        <f>ROUND($O21*AB21,0)</f>
        <v/>
      </c>
      <c r="AT21" s="306">
        <f>ROUND($O21*AC21,0)</f>
        <v/>
      </c>
      <c r="AU21" s="306">
        <f>ROUND($O21*AD21,0)</f>
        <v/>
      </c>
      <c r="AV21" s="306">
        <f>ROUND($O21*AE21,0)</f>
        <v/>
      </c>
      <c r="AW21" s="306">
        <f>ROUND($O21*AF21,0)</f>
        <v/>
      </c>
      <c r="AX21" s="236">
        <f>SUM(AG21:AO21)</f>
        <v/>
      </c>
      <c r="AY21" s="528">
        <f>AX21/160</f>
        <v/>
      </c>
      <c r="AZ21" s="87">
        <f>VLOOKUP(I21,Listy!$A$1:$H$9,6,FALSE)</f>
        <v/>
      </c>
      <c r="BA21" s="682">
        <f>AY21*AZ21</f>
        <v/>
      </c>
      <c r="BB21" s="683">
        <f>AY21*BA21</f>
        <v/>
      </c>
      <c r="BC21" s="336" t="n"/>
      <c r="BD21" s="336" t="n"/>
      <c r="BE21" s="336" t="n"/>
      <c r="BF21" s="336" t="n"/>
      <c r="BG21" s="336" t="n"/>
      <c r="BH21" s="336" t="n"/>
      <c r="BI21" s="336" t="n"/>
      <c r="BJ21" s="336" t="n"/>
      <c r="BK21" s="336" t="n"/>
      <c r="BL21" s="336" t="n"/>
      <c r="BM21" s="336" t="n"/>
      <c r="BN21" s="336" t="n"/>
      <c r="BO21" s="336" t="n"/>
      <c r="BP21" s="336" t="n"/>
      <c r="BQ21" s="336" t="n"/>
      <c r="BR21" s="336" t="n"/>
      <c r="BS21" s="336" t="n"/>
      <c r="BT21" s="336" t="n"/>
      <c r="BU21" s="336" t="n"/>
      <c r="BV21" s="336" t="n"/>
      <c r="BW21" s="336" t="n"/>
      <c r="BX21" s="336" t="n"/>
      <c r="BY21" s="336" t="n"/>
      <c r="BZ21" s="336" t="n"/>
      <c r="CA21" s="336" t="n"/>
      <c r="CB21" s="336" t="n"/>
      <c r="CC21" s="336" t="n"/>
      <c r="CD21" s="336" t="n"/>
      <c r="CE21" s="336" t="n"/>
    </row>
    <row r="22" ht="18" customFormat="1" customHeight="1" s="538">
      <c r="A22" s="410" t="n">
        <v>2</v>
      </c>
      <c r="B22" s="411" t="inlineStr">
        <is>
          <t>e</t>
        </is>
      </c>
      <c r="C22" s="351" t="n">
        <v>1</v>
      </c>
      <c r="D22" s="116">
        <f>CONCATENATE(A$3,"_",A22,"_",B22,"_",C22)</f>
        <v/>
      </c>
      <c r="E22" s="412" t="inlineStr">
        <is>
          <t>Utworzenie mechanizmu do transferu danych między infrastrukturą Wnioskodawcy a platformami technologicznymi (np. Google Cloud, Microsoft Azure, NVidia AI)</t>
        </is>
      </c>
      <c r="F22" s="528">
        <f>IFERROR(VLOOKUP($I22,Listy!$A:$H,2,FALSE),"XXX")</f>
        <v/>
      </c>
      <c r="G22" s="444" t="inlineStr">
        <is>
          <t>ACT/END</t>
        </is>
      </c>
      <c r="H22" s="444" t="n">
        <v>5</v>
      </c>
      <c r="I22" s="89" t="inlineStr">
        <is>
          <t>.a02</t>
        </is>
      </c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4" t="n">
        <v>0</v>
      </c>
      <c r="O22" s="469" t="n">
        <v>200</v>
      </c>
      <c r="P22" s="187" t="n">
        <v>0</v>
      </c>
      <c r="Q22" s="187" t="n">
        <v>0</v>
      </c>
      <c r="R22" s="187" t="n">
        <v>0</v>
      </c>
      <c r="S22" s="187" t="n">
        <v>0</v>
      </c>
      <c r="T22" s="187" t="n">
        <v>0</v>
      </c>
      <c r="U22" s="187" t="n">
        <v>0.15</v>
      </c>
      <c r="V22" s="187" t="n">
        <v>0.15</v>
      </c>
      <c r="W22" s="187" t="n">
        <v>0.15</v>
      </c>
      <c r="X22" s="187" t="n">
        <v>0.15</v>
      </c>
      <c r="Y22" s="292" t="n">
        <v>0.4</v>
      </c>
      <c r="Z22" s="292" t="n"/>
      <c r="AA22" s="292" t="n"/>
      <c r="AB22" s="292" t="n"/>
      <c r="AC22" s="305" t="n"/>
      <c r="AD22" s="305" t="n"/>
      <c r="AE22" s="305" t="n"/>
      <c r="AF22" s="305" t="n"/>
      <c r="AG22" s="192">
        <f>ROUND($O22*P22,0)</f>
        <v/>
      </c>
      <c r="AH22" s="192">
        <f>ROUND($O22*Q22,0)</f>
        <v/>
      </c>
      <c r="AI22" s="192">
        <f>ROUND($O22*R22,0)</f>
        <v/>
      </c>
      <c r="AJ22" s="192">
        <f>ROUND($O22*S22,0)</f>
        <v/>
      </c>
      <c r="AK22" s="192">
        <f>ROUND($O22*T22,0)</f>
        <v/>
      </c>
      <c r="AL22" s="192">
        <f>ROUND($O22*U22,0)</f>
        <v/>
      </c>
      <c r="AM22" s="192">
        <f>ROUND($O22*V22,0)</f>
        <v/>
      </c>
      <c r="AN22" s="192">
        <f>ROUND($O22*W22,0)</f>
        <v/>
      </c>
      <c r="AO22" s="192">
        <f>ROUND($O22*X22,0)</f>
        <v/>
      </c>
      <c r="AP22" s="193">
        <f>ROUND($O22*Y22,0)</f>
        <v/>
      </c>
      <c r="AQ22" s="193">
        <f>ROUND($O22*Z22,0)</f>
        <v/>
      </c>
      <c r="AR22" s="193">
        <f>ROUND($O22*AA22,0)</f>
        <v/>
      </c>
      <c r="AS22" s="193">
        <f>ROUND($O22*AB22,0)</f>
        <v/>
      </c>
      <c r="AT22" s="306">
        <f>ROUND($O22*AC22,0)</f>
        <v/>
      </c>
      <c r="AU22" s="306">
        <f>ROUND($O22*AD22,0)</f>
        <v/>
      </c>
      <c r="AV22" s="306">
        <f>ROUND($O22*AE22,0)</f>
        <v/>
      </c>
      <c r="AW22" s="306">
        <f>ROUND($O22*AF22,0)</f>
        <v/>
      </c>
      <c r="AX22" s="236">
        <f>SUM(AG22:AO22)</f>
        <v/>
      </c>
      <c r="AY22" s="528">
        <f>AX22/160</f>
        <v/>
      </c>
      <c r="AZ22" s="87">
        <f>VLOOKUP(I22,Listy!$A$1:$H$9,6,FALSE)</f>
        <v/>
      </c>
      <c r="BA22" s="682">
        <f>AY22*AZ22</f>
        <v/>
      </c>
      <c r="BB22" s="683">
        <f>AY22*BA22</f>
        <v/>
      </c>
      <c r="BC22" s="336" t="n"/>
      <c r="BD22" s="336" t="n"/>
      <c r="BE22" s="336" t="n"/>
      <c r="BF22" s="336" t="n"/>
      <c r="BG22" s="336" t="n"/>
      <c r="BH22" s="336" t="n"/>
      <c r="BI22" s="336" t="n"/>
      <c r="BJ22" s="336" t="n"/>
      <c r="BK22" s="336" t="n"/>
      <c r="BL22" s="336" t="n"/>
      <c r="BM22" s="336" t="n"/>
      <c r="BN22" s="336" t="n"/>
      <c r="BO22" s="336" t="n"/>
      <c r="BP22" s="336" t="n"/>
      <c r="BQ22" s="336" t="n"/>
      <c r="BR22" s="336" t="n"/>
      <c r="BS22" s="336" t="n"/>
      <c r="BT22" s="336" t="n"/>
      <c r="BU22" s="336" t="n"/>
      <c r="BV22" s="336" t="n"/>
      <c r="BW22" s="336" t="n"/>
      <c r="BX22" s="336" t="n"/>
      <c r="BY22" s="336" t="n"/>
      <c r="BZ22" s="336" t="n"/>
      <c r="CA22" s="336" t="n"/>
      <c r="CB22" s="336" t="n"/>
      <c r="CC22" s="336" t="n"/>
      <c r="CD22" s="336" t="n"/>
      <c r="CE22" s="336" t="n"/>
    </row>
    <row r="23" ht="18" customFormat="1" customHeight="1" s="538">
      <c r="A23" s="410" t="n">
        <v>3</v>
      </c>
      <c r="B23" s="411" t="inlineStr">
        <is>
          <t>a</t>
        </is>
      </c>
      <c r="C23" s="351" t="n">
        <v>1</v>
      </c>
      <c r="D23" s="116">
        <f>CONCATENATE(A$3,"_",A23,"_",B23,"_",C23)</f>
        <v/>
      </c>
      <c r="E23" s="410" t="inlineStr">
        <is>
          <t>3.Opracowanie narzędzi do automatycznego monitorowania, wykrywających anomalie i nieprawidłowości w danych w czasie rzeczywistym, współpracujących z wybraną platformą bazodanową, przeprowadzających automatyczne sprawdzanie kompletności rekordów. Flagowane będą rekordy z brakującymi danymi natychmiast po ich wprowadzeniu/aktualizacji i wysyłane powiadomienia do administratorów, gdy liczba tych rekordów przekroczy próg 10 rekordów. Będą śledzić czas ostatniej aktualizacji każdego rekordu, flagując te, które nie były aktualizowane zgodnie z ustalonym harmonogramem (co 24h i generować odpowiednie alerty.</t>
        </is>
      </c>
      <c r="F23" s="528">
        <f>IFERROR(VLOOKUP($I23,Listy!$A:$H,2,FALSE),"XXX")</f>
        <v/>
      </c>
      <c r="G23" s="415" t="inlineStr">
        <is>
          <t>ACT</t>
        </is>
      </c>
      <c r="H23" s="444" t="n">
        <v>6</v>
      </c>
      <c r="I23" s="89" t="inlineStr">
        <is>
          <t>.a01</t>
        </is>
      </c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 t="n">
        <v>1</v>
      </c>
      <c r="O23" s="469" t="n">
        <v>80</v>
      </c>
      <c r="P23" s="187" t="n">
        <v>0.5</v>
      </c>
      <c r="Q23" s="187" t="n">
        <v>0.5</v>
      </c>
      <c r="R23" s="187" t="n">
        <v>0</v>
      </c>
      <c r="S23" s="187" t="n">
        <v>0</v>
      </c>
      <c r="T23" s="187" t="n">
        <v>0</v>
      </c>
      <c r="U23" s="187" t="n">
        <v>0</v>
      </c>
      <c r="V23" s="187" t="n">
        <v>0</v>
      </c>
      <c r="W23" s="187" t="n">
        <v>0</v>
      </c>
      <c r="X23" s="187" t="n">
        <v>0</v>
      </c>
      <c r="Y23" s="292" t="n">
        <v>0</v>
      </c>
      <c r="Z23" s="292" t="n"/>
      <c r="AA23" s="292" t="n"/>
      <c r="AB23" s="292" t="n"/>
      <c r="AC23" s="305" t="n"/>
      <c r="AD23" s="305" t="n"/>
      <c r="AE23" s="305" t="n"/>
      <c r="AF23" s="305" t="n"/>
      <c r="AG23" s="192">
        <f>ROUND($O23*P23,0)</f>
        <v/>
      </c>
      <c r="AH23" s="192">
        <f>ROUND($O23*Q23,0)</f>
        <v/>
      </c>
      <c r="AI23" s="192">
        <f>ROUND($O23*R23,0)</f>
        <v/>
      </c>
      <c r="AJ23" s="192">
        <f>ROUND($O23*S23,0)</f>
        <v/>
      </c>
      <c r="AK23" s="192">
        <f>ROUND($O23*T23,0)</f>
        <v/>
      </c>
      <c r="AL23" s="192">
        <f>ROUND($O23*U23,0)</f>
        <v/>
      </c>
      <c r="AM23" s="192">
        <f>ROUND($O23*V23,0)</f>
        <v/>
      </c>
      <c r="AN23" s="192">
        <f>ROUND($O23*W23,0)</f>
        <v/>
      </c>
      <c r="AO23" s="192">
        <f>ROUND($O23*X23,0)</f>
        <v/>
      </c>
      <c r="AP23" s="193">
        <f>ROUND($O23*Y23,0)</f>
        <v/>
      </c>
      <c r="AQ23" s="193">
        <f>ROUND($O23*Z23,0)</f>
        <v/>
      </c>
      <c r="AR23" s="193">
        <f>ROUND($O23*AA23,0)</f>
        <v/>
      </c>
      <c r="AS23" s="193">
        <f>ROUND($O23*AB23,0)</f>
        <v/>
      </c>
      <c r="AT23" s="306">
        <f>ROUND($O23*AC23,0)</f>
        <v/>
      </c>
      <c r="AU23" s="306">
        <f>ROUND($O23*AD23,0)</f>
        <v/>
      </c>
      <c r="AV23" s="306">
        <f>ROUND($O23*AE23,0)</f>
        <v/>
      </c>
      <c r="AW23" s="306">
        <f>ROUND($O23*AF23,0)</f>
        <v/>
      </c>
      <c r="AX23" s="236">
        <f>SUM(AG23:AO23)</f>
        <v/>
      </c>
      <c r="AY23" s="528">
        <f>AX23/160</f>
        <v/>
      </c>
      <c r="AZ23" s="87">
        <f>VLOOKUP(I23,Listy!$A$1:$H$9,6,FALSE)</f>
        <v/>
      </c>
      <c r="BA23" s="682">
        <f>AY23*AZ23</f>
        <v/>
      </c>
      <c r="BB23" s="683">
        <f>AY23*BA23</f>
        <v/>
      </c>
      <c r="BC23" s="336" t="n"/>
      <c r="BD23" s="336" t="n"/>
      <c r="BE23" s="336" t="n"/>
      <c r="BF23" s="336" t="n"/>
      <c r="BG23" s="336" t="n"/>
      <c r="BH23" s="336" t="n"/>
      <c r="BI23" s="336" t="n"/>
      <c r="BJ23" s="336" t="n"/>
      <c r="BK23" s="336" t="n"/>
      <c r="BL23" s="336" t="n"/>
      <c r="BM23" s="336" t="n"/>
      <c r="BN23" s="336" t="n"/>
      <c r="BO23" s="336" t="n"/>
      <c r="BP23" s="336" t="n"/>
      <c r="BQ23" s="336" t="n"/>
      <c r="BR23" s="336" t="n"/>
      <c r="BS23" s="336" t="n"/>
      <c r="BT23" s="336" t="n"/>
      <c r="BU23" s="336" t="n"/>
      <c r="BV23" s="336" t="n"/>
      <c r="BW23" s="336" t="n"/>
      <c r="BX23" s="336" t="n"/>
      <c r="BY23" s="336" t="n"/>
      <c r="BZ23" s="336" t="n"/>
      <c r="CA23" s="336" t="n"/>
      <c r="CB23" s="336" t="n"/>
      <c r="CC23" s="336" t="n"/>
      <c r="CD23" s="336" t="n"/>
      <c r="CE23" s="336" t="n"/>
    </row>
    <row r="24" ht="18" customFormat="1" customHeight="1" s="538">
      <c r="A24" s="410" t="n">
        <v>4</v>
      </c>
      <c r="B24" s="411" t="inlineStr">
        <is>
          <t>a</t>
        </is>
      </c>
      <c r="C24" s="351" t="n">
        <v>0</v>
      </c>
      <c r="D24" s="116">
        <f>CONCATENATE(A$3,"_",A24,"_",B24,"_",C24)</f>
        <v/>
      </c>
      <c r="E24" s="410" t="inlineStr">
        <is>
          <t>4.Połączenie WBD z wybranym systemem AI/ML, co pozwoli na zbadanie potencjału zaawansowanych metod  analitycznych AI/ML w celu zwiększenia wydajności procesów magazynowych.</t>
        </is>
      </c>
      <c r="F24" s="528" t="n"/>
      <c r="G24" s="415" t="n"/>
      <c r="H24" s="444" t="n"/>
      <c r="I24" s="89" t="n"/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4">
        <f>ROUND(MAX(AG24:AO24)/Listy!$U$5,0)</f>
        <v/>
      </c>
      <c r="O24" s="469" t="n"/>
      <c r="P24" s="336" t="n"/>
      <c r="Q24" s="336" t="n"/>
      <c r="R24" s="336" t="n"/>
      <c r="S24" s="336" t="n"/>
      <c r="T24" s="336" t="n"/>
      <c r="U24" s="336" t="n"/>
      <c r="V24" s="336" t="n"/>
      <c r="W24" s="336" t="n"/>
      <c r="X24" s="336" t="n"/>
      <c r="Y24" s="336" t="n"/>
      <c r="Z24" s="336" t="n"/>
      <c r="AA24" s="336" t="n"/>
      <c r="AB24" s="336" t="n"/>
      <c r="AC24" s="336" t="n"/>
      <c r="AD24" s="336" t="n"/>
      <c r="AE24" s="336" t="n"/>
      <c r="AF24" s="336" t="n"/>
      <c r="AG24" s="336" t="n"/>
      <c r="AH24" s="336" t="n"/>
      <c r="AI24" s="336" t="n"/>
      <c r="AJ24" s="336" t="n"/>
      <c r="AK24" s="336" t="n"/>
      <c r="AL24" s="336" t="n"/>
      <c r="AM24" s="336" t="n"/>
      <c r="AN24" s="336" t="n"/>
      <c r="AO24" s="336" t="n"/>
      <c r="AP24" s="336" t="n"/>
      <c r="AQ24" s="336" t="n"/>
      <c r="AR24" s="336" t="n"/>
      <c r="AS24" s="336" t="n"/>
      <c r="AT24" s="336" t="n"/>
      <c r="AU24" s="336" t="n"/>
      <c r="AV24" s="336" t="n"/>
      <c r="AW24" s="336" t="n"/>
      <c r="AX24" s="336" t="n"/>
      <c r="AY24" s="336" t="n"/>
      <c r="AZ24" s="336" t="n"/>
      <c r="BA24" s="336" t="n"/>
      <c r="BB24" s="336" t="n"/>
      <c r="BC24" s="336" t="n"/>
      <c r="BD24" s="336" t="n"/>
      <c r="BE24" s="336" t="n"/>
      <c r="BF24" s="336" t="n"/>
      <c r="BG24" s="336" t="n"/>
      <c r="BH24" s="336" t="n"/>
      <c r="BI24" s="336" t="n"/>
      <c r="BJ24" s="336" t="n"/>
      <c r="BK24" s="336" t="n"/>
      <c r="BL24" s="336" t="n"/>
      <c r="BM24" s="336" t="n"/>
      <c r="BN24" s="336" t="n"/>
      <c r="BP24" s="336" t="n"/>
      <c r="BQ24" s="336" t="n"/>
      <c r="BT24" s="336" t="n"/>
      <c r="BU24" s="336" t="n"/>
      <c r="BV24" s="336" t="n"/>
      <c r="BX24" s="336" t="n"/>
      <c r="BY24" s="336" t="n"/>
      <c r="BZ24" s="336" t="n"/>
      <c r="CB24" s="336" t="n"/>
      <c r="CC24" s="336" t="n"/>
      <c r="CD24" s="336" t="n"/>
    </row>
    <row r="25" ht="18" customFormat="1" customHeight="1" s="538">
      <c r="A25" s="410" t="n">
        <v>4</v>
      </c>
      <c r="B25" s="411" t="inlineStr">
        <is>
          <t>a</t>
        </is>
      </c>
      <c r="C25" s="351" t="n">
        <v>1</v>
      </c>
      <c r="D25" s="116">
        <f>CONCATENATE(A$3,"_",A25,"_",B25,"_",C25)</f>
        <v/>
      </c>
      <c r="E25" s="412" t="inlineStr">
        <is>
          <t xml:space="preserve">Zaimportowanie WBD w środowisku wybranej platformy AI/ML </t>
        </is>
      </c>
      <c r="F25" s="528">
        <f>IFERROR(VLOOKUP($I25,Listy!$A:$H,2,FALSE),"XXX")</f>
        <v/>
      </c>
      <c r="G25" s="415" t="inlineStr">
        <is>
          <t>ACT</t>
        </is>
      </c>
      <c r="H25" s="444" t="n">
        <v>6</v>
      </c>
      <c r="I25" s="89" t="inlineStr">
        <is>
          <t>.a03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4">
        <f>ROUND(MAX(AG25:AO25)/Listy!$U$5,0)</f>
        <v/>
      </c>
      <c r="O25" s="469" t="n">
        <v>45</v>
      </c>
      <c r="P25" s="187" t="n">
        <v>0</v>
      </c>
      <c r="Q25" s="187" t="n">
        <v>0</v>
      </c>
      <c r="R25" s="187" t="n">
        <v>0.17</v>
      </c>
      <c r="S25" s="187" t="n">
        <v>0.14</v>
      </c>
      <c r="T25" s="187" t="n">
        <v>0.11</v>
      </c>
      <c r="U25" s="187" t="n">
        <v>0.14</v>
      </c>
      <c r="V25" s="187" t="n">
        <v>0.14</v>
      </c>
      <c r="W25" s="187" t="n">
        <v>0.15</v>
      </c>
      <c r="X25" s="187" t="n">
        <v>0.15</v>
      </c>
      <c r="Y25" s="292" t="n">
        <v>0</v>
      </c>
      <c r="Z25" s="292" t="n"/>
      <c r="AA25" s="292" t="n"/>
      <c r="AB25" s="292" t="n"/>
      <c r="AC25" s="305" t="n"/>
      <c r="AD25" s="305" t="n"/>
      <c r="AE25" s="305" t="n"/>
      <c r="AF25" s="305" t="n"/>
      <c r="AG25" s="192">
        <f>ROUND($O25*P25,0)</f>
        <v/>
      </c>
      <c r="AH25" s="192">
        <f>ROUND($O25*Q25,0)</f>
        <v/>
      </c>
      <c r="AI25" s="192">
        <f>ROUND($O25*R25,0)</f>
        <v/>
      </c>
      <c r="AJ25" s="192">
        <f>ROUND($O25*S25,0)</f>
        <v/>
      </c>
      <c r="AK25" s="192">
        <f>ROUND($O25*T25,0)</f>
        <v/>
      </c>
      <c r="AL25" s="192">
        <f>ROUND($O25*U25,0)</f>
        <v/>
      </c>
      <c r="AM25" s="192">
        <f>ROUND($O25*V25,0)</f>
        <v/>
      </c>
      <c r="AN25" s="192">
        <f>ROUND($O25*W25,0)</f>
        <v/>
      </c>
      <c r="AO25" s="192">
        <f>ROUND($O25*X25,0)</f>
        <v/>
      </c>
      <c r="AP25" s="193">
        <f>ROUND($O25*Y25,0)</f>
        <v/>
      </c>
      <c r="AQ25" s="193">
        <f>ROUND($O25*Z25,0)</f>
        <v/>
      </c>
      <c r="AR25" s="193">
        <f>ROUND($O25*AA25,0)</f>
        <v/>
      </c>
      <c r="AS25" s="193">
        <f>ROUND($O25*AB25,0)</f>
        <v/>
      </c>
      <c r="AT25" s="306">
        <f>ROUND($O25*AC25,0)</f>
        <v/>
      </c>
      <c r="AU25" s="306">
        <f>ROUND($O25*AD25,0)</f>
        <v/>
      </c>
      <c r="AV25" s="306">
        <f>ROUND($O25*AE25,0)</f>
        <v/>
      </c>
      <c r="AW25" s="306">
        <f>ROUND($O25*AF25,0)</f>
        <v/>
      </c>
      <c r="AX25" s="236">
        <f>SUM(AG25:AO25)</f>
        <v/>
      </c>
      <c r="AY25" s="528">
        <f>AX25/160</f>
        <v/>
      </c>
      <c r="AZ25" s="87">
        <f>VLOOKUP(I25,Listy!$A$1:$H$9,6,FALSE)</f>
        <v/>
      </c>
      <c r="BA25" s="682">
        <f>AY25*AZ25</f>
        <v/>
      </c>
      <c r="BB25" s="683">
        <f>AY25*BA25</f>
        <v/>
      </c>
      <c r="BC25" s="336" t="n"/>
      <c r="BD25" s="336" t="n"/>
      <c r="BE25" s="336" t="n"/>
      <c r="BF25" s="336" t="n"/>
      <c r="BG25" s="336" t="n"/>
      <c r="BH25" s="336" t="n"/>
      <c r="BJ25" s="336" t="n"/>
      <c r="BK25" s="336" t="n"/>
      <c r="BM25" s="336" t="n"/>
      <c r="BN25" s="336" t="n"/>
      <c r="BP25" s="336" t="n"/>
      <c r="BQ25" s="336" t="n"/>
      <c r="BT25" s="336" t="n"/>
      <c r="BU25" s="336" t="n"/>
      <c r="BV25" s="336" t="n"/>
      <c r="BX25" s="336" t="n"/>
      <c r="BY25" s="336" t="n"/>
      <c r="BZ25" s="336" t="n"/>
      <c r="CB25" s="336" t="n"/>
      <c r="CC25" s="336" t="n"/>
      <c r="CD25" s="336" t="n"/>
    </row>
    <row r="26" ht="18" customFormat="1" customHeight="1" s="538">
      <c r="A26" s="410" t="n">
        <v>4</v>
      </c>
      <c r="B26" s="411" t="inlineStr">
        <is>
          <t>b</t>
        </is>
      </c>
      <c r="C26" s="351" t="n">
        <v>1</v>
      </c>
      <c r="D26" s="116">
        <f>CONCATENATE(A$3,"_",A26,"_",B26,"_",C26)</f>
        <v/>
      </c>
      <c r="E26" s="412" t="inlineStr">
        <is>
          <t>Sprawdzenie i potwierdzenie poprawności zaimplementowanych danych. Określenie zestawu danych testowych i referencyjnych do dalszych analiz</t>
        </is>
      </c>
      <c r="F26" s="528">
        <f>IFERROR(VLOOKUP($I26,Listy!$A:$H,2,FALSE),"XXX")</f>
        <v/>
      </c>
      <c r="G26" s="415" t="inlineStr">
        <is>
          <t>ACT</t>
        </is>
      </c>
      <c r="H26" s="444" t="n">
        <v>6</v>
      </c>
      <c r="I26" s="89" t="inlineStr">
        <is>
          <t>.a01</t>
        </is>
      </c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4">
        <f>ROUND(MAX(AG26:AO26)/Listy!$U$5,0)</f>
        <v/>
      </c>
      <c r="O26" s="469" t="n">
        <v>45</v>
      </c>
      <c r="P26" s="187" t="n">
        <v>0</v>
      </c>
      <c r="Q26" s="187" t="n">
        <v>0</v>
      </c>
      <c r="R26" s="187" t="n">
        <v>0.17</v>
      </c>
      <c r="S26" s="187" t="n">
        <v>0.16</v>
      </c>
      <c r="T26" s="187" t="n">
        <v>0.16</v>
      </c>
      <c r="U26" s="187" t="n">
        <v>0.17</v>
      </c>
      <c r="V26" s="187" t="n">
        <v>0.17</v>
      </c>
      <c r="W26" s="187" t="n">
        <v>0.17</v>
      </c>
      <c r="X26" s="187" t="n">
        <v>0</v>
      </c>
      <c r="Y26" s="292" t="n">
        <v>0</v>
      </c>
      <c r="Z26" s="292" t="n"/>
      <c r="AA26" s="292" t="n"/>
      <c r="AB26" s="292" t="n"/>
      <c r="AC26" s="305" t="n"/>
      <c r="AD26" s="305" t="n"/>
      <c r="AE26" s="305" t="n"/>
      <c r="AF26" s="305" t="n"/>
      <c r="AG26" s="192">
        <f>ROUND($O26*P26,0)</f>
        <v/>
      </c>
      <c r="AH26" s="192">
        <f>ROUND($O26*Q26,0)</f>
        <v/>
      </c>
      <c r="AI26" s="192">
        <f>ROUND($O26*R26,0)</f>
        <v/>
      </c>
      <c r="AJ26" s="192">
        <f>ROUND($O26*S26,0)</f>
        <v/>
      </c>
      <c r="AK26" s="192">
        <f>ROUND($O26*T26,0)</f>
        <v/>
      </c>
      <c r="AL26" s="192">
        <f>ROUND($O26*U26,0)</f>
        <v/>
      </c>
      <c r="AM26" s="192">
        <f>ROUND($O26*V26,0)</f>
        <v/>
      </c>
      <c r="AN26" s="192">
        <f>ROUND($O26*W26,0)</f>
        <v/>
      </c>
      <c r="AO26" s="192">
        <f>ROUND($O26*X26,0)</f>
        <v/>
      </c>
      <c r="AP26" s="193">
        <f>ROUND($O26*Y26,0)</f>
        <v/>
      </c>
      <c r="AQ26" s="193">
        <f>ROUND($O26*Z26,0)</f>
        <v/>
      </c>
      <c r="AR26" s="193">
        <f>ROUND($O26*AA26,0)</f>
        <v/>
      </c>
      <c r="AS26" s="193">
        <f>ROUND($O26*AB26,0)</f>
        <v/>
      </c>
      <c r="AT26" s="306">
        <f>ROUND($O26*AC26,0)</f>
        <v/>
      </c>
      <c r="AU26" s="306">
        <f>ROUND($O26*AD26,0)</f>
        <v/>
      </c>
      <c r="AV26" s="306">
        <f>ROUND($O26*AE26,0)</f>
        <v/>
      </c>
      <c r="AW26" s="306">
        <f>ROUND($O26*AF26,0)</f>
        <v/>
      </c>
      <c r="AX26" s="236">
        <f>SUM(AG26:AO26)</f>
        <v/>
      </c>
      <c r="AY26" s="528">
        <f>AX26/160</f>
        <v/>
      </c>
      <c r="AZ26" s="87">
        <f>VLOOKUP(I26,Listy!$A$1:$H$9,6,FALSE)</f>
        <v/>
      </c>
      <c r="BA26" s="682">
        <f>AY26*AZ26</f>
        <v/>
      </c>
      <c r="BB26" s="683">
        <f>AY26*BA26</f>
        <v/>
      </c>
      <c r="BC26" s="336" t="n"/>
      <c r="BD26" s="336" t="n"/>
      <c r="BE26" s="336" t="n"/>
      <c r="BF26" s="336" t="n"/>
      <c r="BG26" s="336" t="n"/>
      <c r="BH26" s="336" t="n"/>
      <c r="BJ26" s="336" t="n"/>
      <c r="BK26" s="336" t="n"/>
      <c r="BM26" s="336" t="n"/>
      <c r="BN26" s="336" t="n"/>
      <c r="BP26" s="336" t="n"/>
      <c r="BQ26" s="336" t="n"/>
      <c r="BT26" s="336" t="n"/>
      <c r="BU26" s="336" t="n"/>
      <c r="BV26" s="336" t="n"/>
      <c r="BX26" s="336" t="n"/>
      <c r="BY26" s="336" t="n"/>
      <c r="BZ26" s="336" t="n"/>
      <c r="CB26" s="336" t="n"/>
      <c r="CC26" s="336" t="n"/>
      <c r="CD26" s="336" t="n"/>
    </row>
    <row r="27" ht="18" customFormat="1" customHeight="1" s="538">
      <c r="A27" s="410" t="n">
        <v>4</v>
      </c>
      <c r="B27" s="411" t="inlineStr">
        <is>
          <t>c</t>
        </is>
      </c>
      <c r="C27" s="351" t="n">
        <v>1</v>
      </c>
      <c r="D27" s="116">
        <f>CONCATENATE(A$3,"_",A27,"_",B27,"_",C27)</f>
        <v/>
      </c>
      <c r="E27" s="412" t="inlineStr">
        <is>
          <t xml:space="preserve">Stworzenie zautomatyzowanego systemu aktualizacji danych WBD zintegrowanej z platformą. </t>
        </is>
      </c>
      <c r="F27" s="528">
        <f>IFERROR(VLOOKUP($I27,Listy!$A:$H,2,FALSE),"XXX")</f>
        <v/>
      </c>
      <c r="G27" s="415" t="inlineStr">
        <is>
          <t>ACT</t>
        </is>
      </c>
      <c r="H27" s="444" t="n">
        <v>6</v>
      </c>
      <c r="I27" s="89" t="inlineStr">
        <is>
          <t>.a02</t>
        </is>
      </c>
      <c r="J27" s="91">
        <f>M26+1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4" t="n">
        <v>1</v>
      </c>
      <c r="O27" s="469" t="n">
        <v>80</v>
      </c>
      <c r="P27" s="187" t="n">
        <v>0</v>
      </c>
      <c r="Q27" s="187" t="n">
        <v>0</v>
      </c>
      <c r="R27" s="187" t="n">
        <v>0</v>
      </c>
      <c r="S27" s="187" t="n">
        <v>0.16</v>
      </c>
      <c r="T27" s="187" t="n">
        <v>0.16</v>
      </c>
      <c r="U27" s="187" t="n">
        <v>0.17</v>
      </c>
      <c r="V27" s="187" t="n">
        <v>0.17</v>
      </c>
      <c r="W27" s="187" t="n">
        <v>0.17</v>
      </c>
      <c r="X27" s="187" t="n">
        <v>0.17</v>
      </c>
      <c r="Y27" s="292" t="n">
        <v>0</v>
      </c>
      <c r="Z27" s="292" t="n"/>
      <c r="AA27" s="292" t="n"/>
      <c r="AB27" s="292" t="n"/>
      <c r="AC27" s="305" t="n"/>
      <c r="AD27" s="305" t="n"/>
      <c r="AE27" s="305" t="n"/>
      <c r="AF27" s="305" t="n"/>
      <c r="AG27" s="192">
        <f>ROUND($O27*P27,0)</f>
        <v/>
      </c>
      <c r="AH27" s="192">
        <f>ROUND($O27*Q27,0)</f>
        <v/>
      </c>
      <c r="AI27" s="192">
        <f>ROUND($O27*R27,0)</f>
        <v/>
      </c>
      <c r="AJ27" s="192">
        <f>ROUND($O27*S27,0)</f>
        <v/>
      </c>
      <c r="AK27" s="192">
        <f>ROUND($O27*T27,0)</f>
        <v/>
      </c>
      <c r="AL27" s="192">
        <f>ROUND($O27*U27,0)</f>
        <v/>
      </c>
      <c r="AM27" s="192">
        <f>ROUND($O27*V27,0)</f>
        <v/>
      </c>
      <c r="AN27" s="192">
        <f>ROUND($O27*W27,0)</f>
        <v/>
      </c>
      <c r="AO27" s="192">
        <f>ROUND($O27*X27,0)</f>
        <v/>
      </c>
      <c r="AP27" s="193">
        <f>ROUND($O27*Y27,0)</f>
        <v/>
      </c>
      <c r="AQ27" s="193">
        <f>ROUND($O27*Z27,0)</f>
        <v/>
      </c>
      <c r="AR27" s="193">
        <f>ROUND($O27*AA27,0)</f>
        <v/>
      </c>
      <c r="AS27" s="193">
        <f>ROUND($O27*AB27,0)</f>
        <v/>
      </c>
      <c r="AT27" s="306">
        <f>ROUND($O27*AC27,0)</f>
        <v/>
      </c>
      <c r="AU27" s="306">
        <f>ROUND($O27*AD27,0)</f>
        <v/>
      </c>
      <c r="AV27" s="306">
        <f>ROUND($O27*AE27,0)</f>
        <v/>
      </c>
      <c r="AW27" s="306">
        <f>ROUND($O27*AF27,0)</f>
        <v/>
      </c>
      <c r="AX27" s="236">
        <f>SUM(AG27:AO27)</f>
        <v/>
      </c>
      <c r="AY27" s="528">
        <f>AX27/160</f>
        <v/>
      </c>
      <c r="AZ27" s="87">
        <f>VLOOKUP(I27,Listy!$A$1:$H$9,6,FALSE)</f>
        <v/>
      </c>
      <c r="BA27" s="682">
        <f>AY27*AZ27</f>
        <v/>
      </c>
      <c r="BB27" s="683">
        <f>AY27*BA27</f>
        <v/>
      </c>
      <c r="BC27" s="336" t="n"/>
      <c r="BD27" s="336" t="n"/>
      <c r="BE27" s="336" t="n"/>
      <c r="BF27" s="336" t="n"/>
      <c r="BG27" s="336" t="n"/>
      <c r="BH27" s="336" t="n"/>
      <c r="BI27" s="336" t="n"/>
      <c r="BJ27" s="336" t="n"/>
      <c r="BK27" s="336" t="n"/>
      <c r="BL27" s="336" t="n"/>
      <c r="BM27" s="336" t="n"/>
      <c r="BN27" s="336" t="n"/>
      <c r="BO27" s="336" t="n"/>
      <c r="BP27" s="336" t="n"/>
      <c r="BQ27" s="336" t="n"/>
      <c r="BR27" s="336" t="n"/>
      <c r="BS27" s="336" t="n"/>
      <c r="BT27" s="336" t="n"/>
      <c r="BU27" s="336" t="n"/>
      <c r="BV27" s="336" t="n"/>
      <c r="BW27" s="336" t="n"/>
      <c r="BX27" s="336" t="n"/>
      <c r="BY27" s="336" t="n"/>
      <c r="BZ27" s="336" t="n"/>
      <c r="CA27" s="336" t="n"/>
      <c r="CB27" s="336" t="n"/>
      <c r="CC27" s="336" t="n"/>
      <c r="CD27" s="336" t="n"/>
      <c r="CE27" s="336" t="n"/>
    </row>
    <row r="28" ht="18" customFormat="1" customHeight="1" s="538">
      <c r="A28" s="410" t="n">
        <v>5</v>
      </c>
      <c r="B28" s="444" t="inlineStr">
        <is>
          <t>a</t>
        </is>
      </c>
      <c r="C28" s="351" t="n">
        <v>1</v>
      </c>
      <c r="D28" s="116">
        <f>CONCATENATE(A$3,"_",A28,"_",B28,"_",C28)</f>
        <v/>
      </c>
      <c r="E28" s="410" t="inlineStr">
        <is>
          <t>5.Opracowanie procedur/strategii bezpieczeństwa i zarządzania WBD</t>
        </is>
      </c>
      <c r="F28" s="528">
        <f>IFERROR(VLOOKUP($I28,Listy!$A:$H,2,FALSE),"XXX")</f>
        <v/>
      </c>
      <c r="G28" s="415" t="inlineStr">
        <is>
          <t>ACT</t>
        </is>
      </c>
      <c r="H28" s="444" t="n">
        <v>7</v>
      </c>
      <c r="I28" s="89" t="inlineStr">
        <is>
          <t>.a03</t>
        </is>
      </c>
      <c r="J28" s="91">
        <f>M27+1</f>
        <v/>
      </c>
      <c r="K28" s="681">
        <f>VLOOKUP(J28,Kalendarz!B:E,4,FALSE)</f>
        <v/>
      </c>
      <c r="L28" s="681">
        <f>K28+N28</f>
        <v/>
      </c>
      <c r="M28" s="528">
        <f>J28+N28-1</f>
        <v/>
      </c>
      <c r="N28" s="474" t="n">
        <v>1</v>
      </c>
      <c r="O28" s="469" t="n">
        <v>80</v>
      </c>
      <c r="P28" s="187" t="n">
        <v>0.11</v>
      </c>
      <c r="Q28" s="187" t="n">
        <v>0.11</v>
      </c>
      <c r="R28" s="187" t="n">
        <v>0.11</v>
      </c>
      <c r="S28" s="187" t="n">
        <v>0.11</v>
      </c>
      <c r="T28" s="187" t="n">
        <v>0.11</v>
      </c>
      <c r="U28" s="187" t="n">
        <v>0.11</v>
      </c>
      <c r="V28" s="187" t="n">
        <v>0.11</v>
      </c>
      <c r="W28" s="187" t="n">
        <v>0.11</v>
      </c>
      <c r="X28" s="187" t="n">
        <v>0.12</v>
      </c>
      <c r="Y28" s="292" t="n">
        <v>0</v>
      </c>
      <c r="Z28" s="292" t="n"/>
      <c r="AA28" s="292" t="n"/>
      <c r="AB28" s="292" t="n"/>
      <c r="AC28" s="305" t="n"/>
      <c r="AD28" s="305" t="n"/>
      <c r="AE28" s="305" t="n"/>
      <c r="AF28" s="305" t="n"/>
      <c r="AG28" s="192">
        <f>ROUND($O28*P28,0)</f>
        <v/>
      </c>
      <c r="AH28" s="192">
        <f>ROUND($O28*Q28,0)</f>
        <v/>
      </c>
      <c r="AI28" s="192">
        <f>ROUND($O28*R28,0)</f>
        <v/>
      </c>
      <c r="AJ28" s="192">
        <f>ROUND($O28*S28,0)</f>
        <v/>
      </c>
      <c r="AK28" s="192">
        <f>ROUND($O28*T28,0)</f>
        <v/>
      </c>
      <c r="AL28" s="192">
        <f>ROUND($O28*U28,0)</f>
        <v/>
      </c>
      <c r="AM28" s="192">
        <f>ROUND($O28*V28,0)</f>
        <v/>
      </c>
      <c r="AN28" s="192">
        <f>ROUND($O28*W28,0)</f>
        <v/>
      </c>
      <c r="AO28" s="192">
        <f>ROUND($O28*X28,0)</f>
        <v/>
      </c>
      <c r="AP28" s="193">
        <f>ROUND($O28*Y28,0)</f>
        <v/>
      </c>
      <c r="AQ28" s="193">
        <f>ROUND($O28*Z28,0)</f>
        <v/>
      </c>
      <c r="AR28" s="193">
        <f>ROUND($O28*AA28,0)</f>
        <v/>
      </c>
      <c r="AS28" s="193">
        <f>ROUND($O28*AB28,0)</f>
        <v/>
      </c>
      <c r="AT28" s="306">
        <f>ROUND($O28*AC28,0)</f>
        <v/>
      </c>
      <c r="AU28" s="306">
        <f>ROUND($O28*AD28,0)</f>
        <v/>
      </c>
      <c r="AV28" s="306">
        <f>ROUND($O28*AE28,0)</f>
        <v/>
      </c>
      <c r="AW28" s="306">
        <f>ROUND($O28*AF28,0)</f>
        <v/>
      </c>
      <c r="AX28" s="236">
        <f>SUM(AG28:AO28)</f>
        <v/>
      </c>
      <c r="AY28" s="528">
        <f>AX28/160</f>
        <v/>
      </c>
      <c r="AZ28" s="87">
        <f>VLOOKUP(I28,Listy!$A$1:$H$9,6,FALSE)</f>
        <v/>
      </c>
      <c r="BA28" s="682">
        <f>AY28*AZ28</f>
        <v/>
      </c>
      <c r="BB28" s="683">
        <f>AY28*BA28</f>
        <v/>
      </c>
      <c r="BC28" s="336" t="n"/>
      <c r="BD28" s="336" t="n"/>
      <c r="BE28" s="336" t="n"/>
      <c r="BF28" s="336" t="n"/>
      <c r="BG28" s="336" t="n"/>
      <c r="BH28" s="336" t="n"/>
      <c r="BI28" s="336" t="n"/>
      <c r="BJ28" s="336" t="n"/>
      <c r="BK28" s="336" t="n"/>
      <c r="BL28" s="336" t="n"/>
      <c r="BM28" s="336" t="n"/>
      <c r="BN28" s="336" t="n"/>
      <c r="BO28" s="336" t="n"/>
      <c r="BP28" s="336" t="n"/>
      <c r="BQ28" s="336" t="n"/>
      <c r="BR28" s="336" t="n"/>
      <c r="BS28" s="336" t="n"/>
      <c r="BT28" s="336" t="n"/>
      <c r="BU28" s="336" t="n"/>
      <c r="BV28" s="336" t="n"/>
      <c r="BW28" s="336" t="n"/>
      <c r="BX28" s="336" t="n"/>
      <c r="BY28" s="336" t="n"/>
      <c r="BZ28" s="336" t="n"/>
      <c r="CA28" s="336" t="n"/>
      <c r="CB28" s="336" t="n"/>
      <c r="CC28" s="336" t="n"/>
      <c r="CD28" s="336" t="n"/>
      <c r="CE28" s="336" t="n"/>
    </row>
    <row r="29" ht="18" customFormat="1" customHeight="1" s="538">
      <c r="A29" s="410" t="n">
        <v>6</v>
      </c>
      <c r="B29" s="444" t="inlineStr">
        <is>
          <t>a</t>
        </is>
      </c>
      <c r="C29" s="351" t="n">
        <v>1</v>
      </c>
      <c r="D29" s="116">
        <f>CONCATENATE(A$3,"_",A29,"_",B29,"_",C29)</f>
        <v/>
      </c>
      <c r="E29" s="410" t="inlineStr">
        <is>
          <t>6.Opracowanie dokumentacji WBD</t>
        </is>
      </c>
      <c r="F29" s="528">
        <f>IFERROR(VLOOKUP($I29,Listy!$A:$H,2,FALSE),"XXX")</f>
        <v/>
      </c>
      <c r="G29" s="415" t="inlineStr">
        <is>
          <t>ACT</t>
        </is>
      </c>
      <c r="H29" s="444" t="n">
        <v>8</v>
      </c>
      <c r="I29" s="89" t="inlineStr">
        <is>
          <t>.a01</t>
        </is>
      </c>
      <c r="J29" s="91">
        <f>M28+1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4" t="n">
        <v>1</v>
      </c>
      <c r="O29" s="469" t="n">
        <v>120</v>
      </c>
      <c r="P29" s="187" t="n">
        <v>0.11</v>
      </c>
      <c r="Q29" s="187" t="n">
        <v>0.11</v>
      </c>
      <c r="R29" s="187" t="n">
        <v>0.11</v>
      </c>
      <c r="S29" s="187" t="n">
        <v>0.11</v>
      </c>
      <c r="T29" s="187" t="n">
        <v>0.11</v>
      </c>
      <c r="U29" s="187" t="n">
        <v>0.11</v>
      </c>
      <c r="V29" s="187" t="n">
        <v>0.11</v>
      </c>
      <c r="W29" s="187" t="n">
        <v>0.11</v>
      </c>
      <c r="X29" s="187" t="n">
        <v>0.12</v>
      </c>
      <c r="Y29" s="292" t="n">
        <v>0</v>
      </c>
      <c r="Z29" s="292" t="n"/>
      <c r="AA29" s="292" t="n"/>
      <c r="AB29" s="292" t="n"/>
      <c r="AC29" s="305" t="n"/>
      <c r="AD29" s="305" t="n"/>
      <c r="AE29" s="305" t="n"/>
      <c r="AF29" s="305" t="n"/>
      <c r="AG29" s="323">
        <f>ROUND($O29*P29,0)</f>
        <v/>
      </c>
      <c r="AH29" s="323">
        <f>ROUND($O29*Q29,0)</f>
        <v/>
      </c>
      <c r="AI29" s="323">
        <f>ROUND($O29*R29,0)</f>
        <v/>
      </c>
      <c r="AJ29" s="323">
        <f>ROUND($O29*S29,0)</f>
        <v/>
      </c>
      <c r="AK29" s="323">
        <f>ROUND($O29*T29,0)</f>
        <v/>
      </c>
      <c r="AL29" s="323">
        <f>ROUND($O29*U29,0)</f>
        <v/>
      </c>
      <c r="AM29" s="323">
        <f>ROUND($O29*V29,0)</f>
        <v/>
      </c>
      <c r="AN29" s="323">
        <f>ROUND($O29*W29,0)</f>
        <v/>
      </c>
      <c r="AO29" s="323">
        <f>ROUND($O29*X29,0)</f>
        <v/>
      </c>
      <c r="AP29" s="578">
        <f>ROUND($O29*Y29,0)</f>
        <v/>
      </c>
      <c r="AQ29" s="578">
        <f>ROUND($O29*Z29,0)</f>
        <v/>
      </c>
      <c r="AR29" s="578">
        <f>ROUND($O29*AA29,0)</f>
        <v/>
      </c>
      <c r="AS29" s="578">
        <f>ROUND($O29*AB29,0)</f>
        <v/>
      </c>
      <c r="AT29" s="325">
        <f>ROUND($O29*AC29,0)</f>
        <v/>
      </c>
      <c r="AU29" s="325">
        <f>ROUND($O29*AD29,0)</f>
        <v/>
      </c>
      <c r="AV29" s="325">
        <f>ROUND($O29*AE29,0)</f>
        <v/>
      </c>
      <c r="AW29" s="325">
        <f>ROUND($O29*AF29,0)</f>
        <v/>
      </c>
      <c r="AX29" s="236">
        <f>SUM(AG29:AO29)</f>
        <v/>
      </c>
      <c r="AY29" s="528">
        <f>AX29/160</f>
        <v/>
      </c>
      <c r="AZ29" s="87">
        <f>VLOOKUP(I29,Listy!$A$1:$H$9,6,FALSE)</f>
        <v/>
      </c>
      <c r="BA29" s="682">
        <f>AY29*AZ29</f>
        <v/>
      </c>
      <c r="BB29" s="683">
        <f>AY29*BA29</f>
        <v/>
      </c>
      <c r="BC29" s="336" t="n"/>
      <c r="BD29" s="336" t="n"/>
      <c r="BE29" s="336" t="n"/>
      <c r="BF29" s="336" t="n"/>
      <c r="BG29" s="336" t="n"/>
      <c r="BH29" s="336" t="n"/>
      <c r="BI29" s="336" t="n"/>
      <c r="BJ29" s="336" t="n"/>
      <c r="BK29" s="336" t="n"/>
      <c r="BL29" s="336" t="n"/>
      <c r="BM29" s="336" t="n"/>
      <c r="BN29" s="336" t="n"/>
      <c r="BO29" s="336" t="n"/>
      <c r="BP29" s="336" t="n"/>
      <c r="BQ29" s="336" t="n"/>
      <c r="BR29" s="336" t="n"/>
      <c r="BS29" s="336" t="n"/>
      <c r="BT29" s="336" t="n"/>
      <c r="BU29" s="336" t="n"/>
      <c r="BV29" s="336" t="n"/>
      <c r="BW29" s="336" t="n"/>
      <c r="BX29" s="336" t="n"/>
      <c r="BY29" s="336" t="n"/>
      <c r="BZ29" s="336" t="n"/>
      <c r="CA29" s="336" t="n"/>
      <c r="CB29" s="336" t="n"/>
      <c r="CC29" s="336" t="n"/>
      <c r="CD29" s="336" t="n"/>
      <c r="CE29" s="336" t="n"/>
    </row>
    <row r="30" customFormat="1" s="538">
      <c r="A30" s="349" t="n"/>
      <c r="B30" s="350" t="n"/>
      <c r="C30" s="349" t="n"/>
      <c r="D30" s="333" t="n"/>
      <c r="E30" s="354" t="n"/>
      <c r="F30" s="336" t="n"/>
      <c r="G30" s="336" t="n"/>
      <c r="I30" s="336" t="n"/>
      <c r="J30" s="336" t="n"/>
      <c r="K30" s="336" t="n"/>
      <c r="L30" s="336" t="n"/>
      <c r="M30" s="336" t="n"/>
      <c r="N30" s="336" t="n"/>
      <c r="O30" s="336" t="n"/>
      <c r="P30" s="336" t="n"/>
      <c r="Q30" s="336" t="n"/>
      <c r="R30" s="430" t="n"/>
      <c r="S30" s="430" t="n"/>
      <c r="T30" s="430" t="n"/>
      <c r="U30" s="430" t="n"/>
      <c r="V30" s="430" t="n"/>
      <c r="W30" s="430" t="n"/>
      <c r="X30" s="430" t="n"/>
      <c r="Y30" s="430" t="n"/>
      <c r="Z30" s="430" t="n"/>
      <c r="AA30" s="430" t="n"/>
      <c r="AB30" s="430" t="n"/>
      <c r="AC30" s="338" t="n"/>
      <c r="AD30" s="338" t="n"/>
      <c r="AE30" s="338" t="n"/>
      <c r="AF30" s="338" t="n"/>
      <c r="AG30" s="585">
        <f>SUM(AG$3:AG29)</f>
        <v/>
      </c>
      <c r="AH30" s="586">
        <f>SUM(AH$3:AH29)</f>
        <v/>
      </c>
      <c r="AI30" s="586">
        <f>SUM(AI$3:AI29)</f>
        <v/>
      </c>
      <c r="AJ30" s="586">
        <f>SUM(AJ$3:AJ29)</f>
        <v/>
      </c>
      <c r="AK30" s="586">
        <f>SUM(AK$3:AK29)</f>
        <v/>
      </c>
      <c r="AL30" s="586">
        <f>SUM(AL$3:AL29)</f>
        <v/>
      </c>
      <c r="AM30" s="586">
        <f>SUM(AM$3:AM29)</f>
        <v/>
      </c>
      <c r="AN30" s="586">
        <f>SUM(AN$3:AN29)</f>
        <v/>
      </c>
      <c r="AO30" s="587">
        <f>SUM(AO$3:AO29)</f>
        <v/>
      </c>
      <c r="AP30" s="579">
        <f>SUM(AP$3:AP29)</f>
        <v/>
      </c>
      <c r="AQ30" s="580">
        <f>SUM(AQ$3:AQ29)</f>
        <v/>
      </c>
      <c r="AR30" s="580">
        <f>SUM(AR$3:AR29)</f>
        <v/>
      </c>
      <c r="AS30" s="581">
        <f>SUM(AS$3:AS29)</f>
        <v/>
      </c>
      <c r="AT30" s="572">
        <f>SUM(AT$3:AT29)</f>
        <v/>
      </c>
      <c r="AU30" s="573">
        <f>SUM(AU$3:AU29)</f>
        <v/>
      </c>
      <c r="AV30" s="573">
        <f>SUM(AV$3:AV29)</f>
        <v/>
      </c>
      <c r="AW30" s="574">
        <f>SUM(AW$3:AW29)</f>
        <v/>
      </c>
      <c r="AX30" s="684">
        <f>SUM(AX$3:AX29)</f>
        <v/>
      </c>
      <c r="AZ30" s="336" t="n"/>
      <c r="BA30" s="336" t="n"/>
      <c r="BC30" s="336" t="n"/>
      <c r="BD30" s="336" t="n"/>
      <c r="BE30" s="336" t="n"/>
      <c r="BF30" s="336" t="n"/>
      <c r="BG30" s="336" t="n"/>
      <c r="BH30" s="336" t="n"/>
      <c r="BJ30" s="336" t="n"/>
      <c r="BK30" s="336" t="n"/>
      <c r="BM30" s="336" t="n"/>
      <c r="BN30" s="336" t="n"/>
      <c r="BP30" s="336" t="n"/>
      <c r="BQ30" s="336" t="n"/>
      <c r="BT30" s="336" t="n"/>
      <c r="BU30" s="336" t="n"/>
      <c r="BV30" s="336" t="n"/>
      <c r="BX30" s="336" t="n"/>
      <c r="BY30" s="336" t="n"/>
      <c r="BZ30" s="336" t="n"/>
      <c r="CB30" s="336" t="n"/>
      <c r="CC30" s="336" t="n"/>
      <c r="CD30" s="336" t="n"/>
    </row>
    <row r="31" customFormat="1" s="538">
      <c r="A31" s="349" t="n"/>
      <c r="B31" s="350" t="n"/>
      <c r="C31" s="349" t="n"/>
      <c r="D31" s="333" t="n"/>
      <c r="E31" s="333" t="n"/>
      <c r="F31" s="336" t="n"/>
      <c r="G31" s="336" t="n"/>
      <c r="H31" s="335" t="n"/>
      <c r="I31" s="336" t="n"/>
      <c r="J31" s="336" t="n"/>
      <c r="K31" s="336" t="n"/>
      <c r="L31" s="336" t="n"/>
      <c r="M31" s="336" t="n"/>
      <c r="N31" s="336" t="n"/>
      <c r="O31" s="336" t="n"/>
      <c r="P31" s="430" t="n"/>
      <c r="Q31" s="430" t="n"/>
      <c r="R31" s="430" t="n"/>
      <c r="S31" s="430" t="n"/>
      <c r="T31" s="430" t="n"/>
      <c r="U31" s="430" t="n"/>
      <c r="V31" s="430" t="n"/>
      <c r="W31" s="430" t="n"/>
      <c r="X31" s="430" t="n"/>
      <c r="Y31" s="357" t="n"/>
      <c r="Z31" s="357" t="n"/>
      <c r="AA31" s="357" t="n"/>
      <c r="AB31" s="430" t="n"/>
      <c r="AC31" s="338" t="n"/>
      <c r="AD31" s="338" t="n"/>
      <c r="AE31" s="338" t="n"/>
      <c r="AF31" s="338" t="n"/>
      <c r="AG31" s="588">
        <f>Listy!$AA$1&amp;AG30/20</f>
        <v/>
      </c>
      <c r="AH31" s="589">
        <f>Listy!$AA$1&amp;AH30/20</f>
        <v/>
      </c>
      <c r="AI31" s="589">
        <f>Listy!$AA$1&amp;AI30/20</f>
        <v/>
      </c>
      <c r="AJ31" s="589">
        <f>Listy!$AA$1&amp;AJ30/20</f>
        <v/>
      </c>
      <c r="AK31" s="589">
        <f>Listy!$AA$1&amp;AK30/20</f>
        <v/>
      </c>
      <c r="AL31" s="589">
        <f>Listy!$AA$1&amp;AL30/20</f>
        <v/>
      </c>
      <c r="AM31" s="589">
        <f>Listy!$AA$1&amp;AM30/20</f>
        <v/>
      </c>
      <c r="AN31" s="589">
        <f>Listy!$AA$1&amp;AN30/20</f>
        <v/>
      </c>
      <c r="AO31" s="590">
        <f>Listy!$AA$1&amp;AO30/20</f>
        <v/>
      </c>
      <c r="AP31" s="582">
        <f>Listy!$AA$1&amp;AP30/20</f>
        <v/>
      </c>
      <c r="AQ31" s="583">
        <f>Listy!$AA$1&amp;AQ30/20</f>
        <v/>
      </c>
      <c r="AR31" s="583">
        <f>Listy!$AA$1&amp;AR30/20</f>
        <v/>
      </c>
      <c r="AS31" s="584">
        <f>Listy!$AA$1&amp;AS30/20</f>
        <v/>
      </c>
      <c r="AT31" s="575">
        <f>Listy!$AA$1&amp;AT30/20</f>
        <v/>
      </c>
      <c r="AU31" s="576">
        <f>Listy!$AA$1&amp;AU30/20</f>
        <v/>
      </c>
      <c r="AV31" s="576">
        <f>Listy!$AA$1&amp;AV30/20</f>
        <v/>
      </c>
      <c r="AW31" s="577">
        <f>Listy!$AA$1&amp;AW30/20</f>
        <v/>
      </c>
      <c r="AX31" s="591">
        <f>Listy!$AA$1&amp;AX30/20</f>
        <v/>
      </c>
      <c r="AZ31" s="336" t="n"/>
      <c r="BA31" s="336" t="n"/>
      <c r="BC31" s="336" t="n"/>
      <c r="BD31" s="336" t="n"/>
      <c r="BE31" s="336" t="n"/>
      <c r="BF31" s="336" t="n"/>
      <c r="BG31" s="336" t="n"/>
      <c r="BH31" s="336" t="n"/>
      <c r="BJ31" s="336" t="n"/>
      <c r="BK31" s="336" t="n"/>
      <c r="BM31" s="336" t="n"/>
      <c r="BN31" s="336" t="n"/>
      <c r="BP31" s="336" t="n"/>
      <c r="BQ31" s="336" t="n"/>
      <c r="BT31" s="336" t="n"/>
      <c r="BU31" s="336" t="n"/>
      <c r="BV31" s="336" t="n"/>
      <c r="BX31" s="336" t="n"/>
      <c r="BY31" s="336" t="n"/>
      <c r="BZ31" s="336" t="n"/>
      <c r="CB31" s="336" t="n"/>
      <c r="CC31" s="336" t="n"/>
      <c r="CD31" s="336" t="n"/>
    </row>
    <row r="32" customFormat="1" s="538">
      <c r="A32" s="349" t="n"/>
      <c r="B32" s="350" t="n"/>
      <c r="C32" s="349" t="n"/>
      <c r="D32" s="333" t="n"/>
      <c r="E32" s="333" t="n"/>
      <c r="F32" s="336" t="n"/>
      <c r="G32" s="336" t="n"/>
      <c r="H32" s="335" t="n"/>
      <c r="I32" s="336" t="n"/>
      <c r="J32" s="336" t="n"/>
      <c r="K32" s="336" t="n"/>
      <c r="L32" s="336" t="n"/>
      <c r="M32" s="336" t="n"/>
      <c r="N32" s="336" t="n"/>
      <c r="O32" s="336" t="n"/>
      <c r="P32" s="430" t="n"/>
      <c r="Q32" s="430" t="n"/>
      <c r="R32" s="430" t="n"/>
      <c r="S32" s="430" t="n"/>
      <c r="T32" s="430" t="n"/>
      <c r="U32" s="430" t="n"/>
      <c r="V32" s="430" t="n"/>
      <c r="W32" s="430" t="n"/>
      <c r="X32" s="430" t="n"/>
      <c r="Y32" s="430" t="n"/>
      <c r="Z32" s="430" t="n"/>
      <c r="AA32" s="430" t="n"/>
      <c r="AB32" s="430" t="n"/>
      <c r="AC32" s="336" t="n"/>
      <c r="AD32" s="336" t="n"/>
      <c r="AE32" s="336" t="n"/>
      <c r="AF32" s="336" t="n"/>
      <c r="AG32" s="339" t="n"/>
      <c r="AH32" s="339" t="n"/>
      <c r="AI32" s="339" t="n"/>
      <c r="AJ32" s="339" t="n"/>
      <c r="AK32" s="339" t="n"/>
      <c r="AL32" s="339" t="n"/>
      <c r="AM32" s="339" t="n"/>
      <c r="AN32" s="339" t="n"/>
      <c r="AO32" s="339" t="n"/>
      <c r="AP32" s="339" t="n"/>
      <c r="AQ32" s="339" t="n"/>
      <c r="AR32" s="339" t="n"/>
      <c r="AS32" s="339" t="n"/>
      <c r="AT32" s="336" t="n"/>
      <c r="AU32" s="336" t="n"/>
      <c r="AV32" s="336" t="n"/>
      <c r="AW32" s="336" t="n"/>
      <c r="AX32" s="430" t="n"/>
      <c r="AZ32" s="336" t="n"/>
      <c r="BA32" s="336" t="n"/>
      <c r="BC32" s="336" t="n"/>
      <c r="BD32" s="336" t="n"/>
      <c r="BE32" s="336" t="n"/>
      <c r="BF32" s="336" t="n"/>
      <c r="BG32" s="336" t="n"/>
      <c r="BH32" s="336" t="n"/>
      <c r="BJ32" s="336" t="n"/>
      <c r="BK32" s="336" t="n"/>
      <c r="BM32" s="336" t="n"/>
      <c r="BN32" s="336" t="n"/>
      <c r="BP32" s="336" t="n"/>
      <c r="BQ32" s="336" t="n"/>
      <c r="BT32" s="336" t="n"/>
      <c r="BU32" s="336" t="n"/>
      <c r="BV32" s="336" t="n"/>
      <c r="BX32" s="336" t="n"/>
      <c r="BY32" s="336" t="n"/>
      <c r="BZ32" s="336" t="n"/>
      <c r="CB32" s="336" t="n"/>
      <c r="CC32" s="336" t="n"/>
      <c r="CD32" s="336" t="n"/>
    </row>
    <row r="33" customFormat="1" s="538">
      <c r="A33" s="349" t="n"/>
      <c r="B33" s="350" t="n"/>
      <c r="C33" s="349" t="n"/>
      <c r="D33" s="333" t="n"/>
      <c r="E33" s="333" t="n"/>
      <c r="F33" s="336" t="n"/>
      <c r="G33" s="336" t="n"/>
      <c r="H33" s="335" t="n"/>
      <c r="I33" s="336" t="n"/>
      <c r="J33" s="336" t="n"/>
      <c r="K33" s="336" t="n"/>
      <c r="L33" s="336" t="n"/>
      <c r="M33" s="336" t="n"/>
      <c r="N33" s="336" t="n"/>
      <c r="O33" s="336" t="n"/>
      <c r="P33" s="430" t="n"/>
      <c r="Q33" s="430" t="n"/>
      <c r="R33" s="430" t="n"/>
      <c r="S33" s="430" t="n"/>
      <c r="T33" s="430" t="n"/>
      <c r="U33" s="430" t="n"/>
      <c r="V33" s="430" t="n"/>
      <c r="W33" s="430" t="n"/>
      <c r="X33" s="430" t="n"/>
      <c r="Y33" s="430" t="n"/>
      <c r="Z33" s="430" t="n"/>
      <c r="AA33" s="430" t="n"/>
      <c r="AB33" s="430" t="n"/>
      <c r="AC33" s="338" t="n"/>
      <c r="AD33" s="338" t="n"/>
      <c r="AE33" s="338" t="n"/>
      <c r="AF33" s="338" t="n"/>
      <c r="AG33" s="339" t="n"/>
      <c r="AH33" s="339" t="n"/>
      <c r="AI33" s="339" t="n"/>
      <c r="AJ33" s="339" t="n"/>
      <c r="AK33" s="339" t="n"/>
      <c r="AL33" s="339" t="n"/>
      <c r="AM33" s="339" t="n"/>
      <c r="AN33" s="339" t="n"/>
      <c r="AO33" s="339" t="n"/>
      <c r="AP33" s="339" t="n"/>
      <c r="AQ33" s="339" t="n"/>
      <c r="AR33" s="339" t="n"/>
      <c r="AS33" s="339" t="n"/>
      <c r="AT33" s="339" t="n"/>
      <c r="AU33" s="339" t="n"/>
      <c r="AV33" s="339" t="n"/>
      <c r="AW33" s="339" t="n"/>
      <c r="AX33" s="430" t="n"/>
      <c r="AZ33" s="336" t="n"/>
      <c r="BA33" s="336" t="n"/>
      <c r="BC33" s="336" t="n"/>
      <c r="BD33" s="336" t="n"/>
      <c r="BE33" s="336" t="n"/>
      <c r="BF33" s="336" t="n"/>
      <c r="BG33" s="336" t="n"/>
      <c r="BH33" s="336" t="n"/>
      <c r="BJ33" s="336" t="n"/>
      <c r="BK33" s="336" t="n"/>
      <c r="BM33" s="336" t="n"/>
      <c r="BN33" s="336" t="n"/>
      <c r="BP33" s="336" t="n"/>
      <c r="BQ33" s="336" t="n"/>
      <c r="BT33" s="336" t="n"/>
      <c r="BU33" s="336" t="n"/>
      <c r="BV33" s="336" t="n"/>
      <c r="BX33" s="336" t="n"/>
      <c r="BY33" s="336" t="n"/>
      <c r="BZ33" s="336" t="n"/>
      <c r="CB33" s="336" t="n"/>
      <c r="CC33" s="336" t="n"/>
      <c r="CD33" s="336" t="n"/>
    </row>
    <row r="34" customFormat="1" s="538">
      <c r="A34" s="349" t="n"/>
      <c r="B34" s="350" t="n"/>
      <c r="C34" s="349" t="n"/>
      <c r="D34" s="333" t="n"/>
      <c r="E34" s="333" t="n"/>
      <c r="F34" s="336" t="n"/>
      <c r="G34" s="336" t="n"/>
      <c r="H34" s="335" t="n"/>
      <c r="I34" s="336" t="n"/>
      <c r="J34" s="336" t="n"/>
      <c r="K34" s="336" t="n"/>
      <c r="L34" s="336" t="n"/>
      <c r="M34" s="336" t="n"/>
      <c r="N34" s="336" t="n"/>
      <c r="O34" s="336" t="n"/>
      <c r="P34" s="430" t="n"/>
      <c r="Q34" s="430" t="n"/>
      <c r="R34" s="430" t="n"/>
      <c r="S34" s="430" t="n"/>
      <c r="T34" s="430" t="n"/>
      <c r="U34" s="430" t="n"/>
      <c r="V34" s="430" t="n"/>
      <c r="W34" s="430" t="n"/>
      <c r="X34" s="430" t="n"/>
      <c r="Y34" s="430" t="n"/>
      <c r="Z34" s="430" t="n"/>
      <c r="AA34" s="430" t="n"/>
      <c r="AB34" s="430" t="n"/>
      <c r="AC34" s="338" t="n"/>
      <c r="AD34" s="338" t="n"/>
      <c r="AE34" s="338" t="n"/>
      <c r="AF34" s="338" t="n"/>
      <c r="AG34" s="339" t="n"/>
      <c r="AH34" s="339" t="n"/>
      <c r="AI34" s="339" t="n"/>
      <c r="AJ34" s="339" t="n"/>
      <c r="AK34" s="339" t="n"/>
      <c r="AL34" s="339" t="n"/>
      <c r="AM34" s="339" t="n"/>
      <c r="AN34" s="339" t="n"/>
      <c r="AO34" s="339" t="n"/>
      <c r="AP34" s="339" t="n"/>
      <c r="AQ34" s="339" t="n"/>
      <c r="AR34" s="339" t="n"/>
      <c r="AS34" s="339" t="n"/>
      <c r="AT34" s="339" t="n"/>
      <c r="AU34" s="339" t="n"/>
      <c r="AV34" s="339" t="n"/>
      <c r="AW34" s="339" t="n"/>
      <c r="AX34" s="430" t="n"/>
      <c r="AZ34" s="336" t="n"/>
      <c r="BA34" s="336" t="n"/>
      <c r="BC34" s="336" t="n"/>
      <c r="BD34" s="336" t="n"/>
      <c r="BE34" s="336" t="n"/>
      <c r="BF34" s="336" t="n"/>
      <c r="BG34" s="336" t="n"/>
      <c r="BH34" s="336" t="n"/>
      <c r="BJ34" s="336" t="n"/>
      <c r="BK34" s="336" t="n"/>
      <c r="BM34" s="336" t="n"/>
      <c r="BN34" s="336" t="n"/>
      <c r="BP34" s="336" t="n"/>
      <c r="BQ34" s="336" t="n"/>
      <c r="BT34" s="336" t="n"/>
      <c r="BU34" s="336" t="n"/>
      <c r="BV34" s="336" t="n"/>
      <c r="BX34" s="336" t="n"/>
      <c r="BY34" s="336" t="n"/>
      <c r="BZ34" s="336" t="n"/>
      <c r="CB34" s="336" t="n"/>
      <c r="CC34" s="336" t="n"/>
      <c r="CD34" s="336" t="n"/>
    </row>
    <row r="35" customFormat="1" s="538">
      <c r="A35" s="349" t="n"/>
      <c r="B35" s="350" t="n"/>
      <c r="C35" s="349" t="n"/>
      <c r="D35" s="333" t="n"/>
      <c r="E35" s="354" t="n"/>
      <c r="F35" s="336" t="n"/>
      <c r="G35" s="336" t="n"/>
      <c r="H35" s="335" t="n"/>
      <c r="I35" s="336" t="n"/>
      <c r="J35" s="336" t="n"/>
      <c r="K35" s="336" t="n"/>
      <c r="L35" s="336" t="n"/>
      <c r="M35" s="336" t="n"/>
      <c r="N35" s="336" t="n"/>
      <c r="O35" s="336" t="n"/>
      <c r="P35" s="430" t="n"/>
      <c r="Q35" s="430" t="n"/>
      <c r="R35" s="430" t="n"/>
      <c r="S35" s="430" t="n"/>
      <c r="T35" s="430" t="n"/>
      <c r="U35" s="430" t="n"/>
      <c r="V35" s="430" t="n"/>
      <c r="W35" s="430" t="n"/>
      <c r="X35" s="430" t="n"/>
      <c r="Y35" s="430" t="n"/>
      <c r="Z35" s="430" t="n"/>
      <c r="AA35" s="430" t="n"/>
      <c r="AB35" s="430" t="n"/>
      <c r="AC35" s="338" t="n"/>
      <c r="AD35" s="338" t="n"/>
      <c r="AE35" s="338" t="n"/>
      <c r="AF35" s="338" t="n"/>
      <c r="AG35" s="339" t="n"/>
      <c r="AH35" s="339" t="n"/>
      <c r="AI35" s="339" t="n"/>
      <c r="AJ35" s="339" t="n"/>
      <c r="AK35" s="339" t="n"/>
      <c r="AL35" s="339" t="n"/>
      <c r="AM35" s="339" t="n"/>
      <c r="AN35" s="339" t="n"/>
      <c r="AO35" s="339" t="n"/>
      <c r="AP35" s="339" t="n"/>
      <c r="AQ35" s="339" t="n"/>
      <c r="AR35" s="339" t="n"/>
      <c r="AS35" s="339" t="n"/>
      <c r="AT35" s="339" t="n"/>
      <c r="AU35" s="339" t="n"/>
      <c r="AV35" s="339" t="n"/>
      <c r="AW35" s="339" t="n"/>
      <c r="AX35" s="430" t="n"/>
      <c r="AZ35" s="336" t="n"/>
      <c r="BA35" s="336" t="n"/>
      <c r="BC35" s="336" t="n"/>
      <c r="BD35" s="336" t="n"/>
      <c r="BE35" s="336" t="n"/>
      <c r="BF35" s="336" t="n"/>
      <c r="BG35" s="336" t="n"/>
      <c r="BH35" s="336" t="n"/>
      <c r="BJ35" s="336" t="n"/>
      <c r="BK35" s="336" t="n"/>
      <c r="BM35" s="336" t="n"/>
      <c r="BN35" s="336" t="n"/>
      <c r="BP35" s="336" t="n"/>
      <c r="BQ35" s="336" t="n"/>
      <c r="BT35" s="336" t="n"/>
      <c r="BU35" s="336" t="n"/>
      <c r="BV35" s="336" t="n"/>
      <c r="BX35" s="336" t="n"/>
      <c r="BY35" s="336" t="n"/>
      <c r="BZ35" s="336" t="n"/>
      <c r="CB35" s="336" t="n"/>
      <c r="CC35" s="336" t="n"/>
      <c r="CD35" s="336" t="n"/>
    </row>
    <row r="36" customFormat="1" s="538">
      <c r="A36" s="349" t="n"/>
      <c r="B36" s="350" t="n"/>
      <c r="C36" s="353" t="n"/>
      <c r="D36" s="333" t="n"/>
      <c r="E36" s="332" t="n"/>
      <c r="F36" s="336" t="n"/>
      <c r="G36" s="336" t="n"/>
      <c r="H36" s="335" t="n"/>
      <c r="I36" s="336" t="n"/>
      <c r="J36" s="336" t="n"/>
      <c r="K36" s="336" t="n"/>
      <c r="L36" s="336" t="n"/>
      <c r="M36" s="336" t="n"/>
      <c r="N36" s="336" t="n"/>
      <c r="O36" s="336" t="n"/>
      <c r="P36" s="430" t="n"/>
      <c r="Q36" s="430" t="n"/>
      <c r="R36" s="430" t="n"/>
      <c r="S36" s="430" t="n"/>
      <c r="T36" s="430" t="n"/>
      <c r="U36" s="430" t="n"/>
      <c r="V36" s="430" t="n"/>
      <c r="W36" s="430" t="n"/>
      <c r="X36" s="430" t="n"/>
      <c r="Y36" s="430" t="n"/>
      <c r="Z36" s="430" t="n"/>
      <c r="AA36" s="430" t="n"/>
      <c r="AB36" s="430" t="n"/>
      <c r="AC36" s="338" t="n"/>
      <c r="AD36" s="338" t="n"/>
      <c r="AE36" s="338" t="n"/>
      <c r="AF36" s="338" t="n"/>
      <c r="AG36" s="339" t="n"/>
      <c r="AH36" s="339" t="n"/>
      <c r="AI36" s="339" t="n"/>
      <c r="AJ36" s="339" t="n"/>
      <c r="AK36" s="339" t="n"/>
      <c r="AL36" s="339" t="n"/>
      <c r="AM36" s="339" t="n"/>
      <c r="AN36" s="339" t="n"/>
      <c r="AO36" s="339" t="n"/>
      <c r="AP36" s="339" t="n"/>
      <c r="AQ36" s="339" t="n"/>
      <c r="AR36" s="339" t="n"/>
      <c r="AS36" s="339" t="n"/>
      <c r="AT36" s="339" t="n"/>
      <c r="AU36" s="339" t="n"/>
      <c r="AV36" s="339" t="n"/>
      <c r="AW36" s="339" t="n"/>
      <c r="AX36" s="430" t="n"/>
      <c r="AY36" s="336" t="n"/>
      <c r="AZ36" s="336" t="n"/>
      <c r="BA36" s="336" t="n"/>
      <c r="BB36" s="336" t="n"/>
      <c r="BC36" s="336" t="n"/>
      <c r="BD36" s="336" t="n"/>
      <c r="BE36" s="336" t="n"/>
      <c r="BF36" s="336" t="n"/>
      <c r="BG36" s="336" t="n"/>
      <c r="BH36" s="336" t="n"/>
      <c r="BI36" s="336" t="n"/>
      <c r="BJ36" s="336" t="n"/>
      <c r="BK36" s="336" t="n"/>
      <c r="BL36" s="336" t="n"/>
      <c r="BM36" s="336" t="n"/>
      <c r="BN36" s="336" t="n"/>
      <c r="BO36" s="336" t="n"/>
      <c r="BP36" s="336" t="n"/>
      <c r="BQ36" s="336" t="n"/>
      <c r="BR36" s="336" t="n"/>
      <c r="BS36" s="336" t="n"/>
      <c r="BT36" s="336" t="n"/>
      <c r="BU36" s="336" t="n"/>
      <c r="BV36" s="336" t="n"/>
      <c r="BW36" s="336" t="n"/>
      <c r="BX36" s="336" t="n"/>
      <c r="BY36" s="336" t="n"/>
      <c r="BZ36" s="336" t="n"/>
      <c r="CA36" s="336" t="n"/>
      <c r="CB36" s="336" t="n"/>
      <c r="CC36" s="336" t="n"/>
      <c r="CD36" s="336" t="n"/>
      <c r="CE36" s="336" t="n"/>
    </row>
    <row r="37" customFormat="1" s="538">
      <c r="A37" s="358" t="n"/>
      <c r="B37" s="358" t="n"/>
      <c r="C37" s="344" t="n"/>
      <c r="D37" s="345" t="n"/>
      <c r="E37" s="346" t="n"/>
      <c r="F37" s="336" t="n"/>
      <c r="G37" s="336" t="n"/>
      <c r="H37" s="336" t="n"/>
      <c r="I37" s="336" t="n"/>
      <c r="J37" s="336" t="n"/>
      <c r="K37" s="336" t="n"/>
      <c r="L37" s="336" t="n"/>
      <c r="M37" s="336" t="n"/>
      <c r="N37" s="336" t="n"/>
      <c r="O37" s="336" t="n"/>
      <c r="P37" s="357" t="n"/>
      <c r="Q37" s="357" t="n"/>
      <c r="R37" s="357" t="n"/>
      <c r="S37" s="357" t="n"/>
      <c r="T37" s="357" t="n"/>
      <c r="U37" s="357" t="n"/>
      <c r="V37" s="357" t="n"/>
      <c r="W37" s="357" t="n"/>
      <c r="X37" s="357" t="n"/>
      <c r="Y37" s="357" t="n"/>
      <c r="Z37" s="357" t="n"/>
      <c r="AA37" s="357" t="n"/>
      <c r="AB37" s="336" t="n"/>
      <c r="AC37" s="338" t="n"/>
      <c r="AD37" s="338" t="n"/>
      <c r="AE37" s="338" t="n"/>
      <c r="AF37" s="338" t="n"/>
      <c r="AG37" s="339" t="n"/>
      <c r="AH37" s="339" t="n"/>
      <c r="AI37" s="339" t="n"/>
      <c r="AJ37" s="339" t="n"/>
      <c r="AK37" s="339" t="n"/>
      <c r="AL37" s="339" t="n"/>
      <c r="AM37" s="339" t="n"/>
      <c r="AN37" s="339" t="n"/>
      <c r="AO37" s="339" t="n"/>
      <c r="AP37" s="339" t="n"/>
      <c r="AQ37" s="339" t="n"/>
      <c r="AR37" s="339" t="n"/>
      <c r="AS37" s="339" t="n"/>
      <c r="AT37" s="339" t="n"/>
      <c r="AU37" s="339" t="n"/>
      <c r="AV37" s="339" t="n"/>
      <c r="AW37" s="339" t="n"/>
      <c r="AX37" s="357" t="n"/>
      <c r="AY37" s="359" t="n"/>
      <c r="AZ37" s="336" t="n"/>
      <c r="BA37" s="336" t="n"/>
      <c r="BB37" s="359" t="n"/>
      <c r="BC37" s="336" t="n"/>
      <c r="BD37" s="336" t="n"/>
      <c r="BE37" s="336" t="n"/>
      <c r="BF37" s="336" t="n"/>
      <c r="BG37" s="336" t="n"/>
      <c r="BH37" s="336" t="n"/>
      <c r="BI37" s="359" t="n"/>
      <c r="BJ37" s="336" t="n"/>
      <c r="BK37" s="336" t="n"/>
      <c r="BL37" s="359" t="n"/>
      <c r="BM37" s="336" t="n"/>
      <c r="BN37" s="336" t="n"/>
      <c r="BO37" s="359" t="n"/>
      <c r="BP37" s="336" t="n"/>
      <c r="BQ37" s="336" t="n"/>
      <c r="BR37" s="359" t="n"/>
      <c r="BS37" s="359" t="n"/>
      <c r="BT37" s="336" t="n"/>
      <c r="BU37" s="336" t="n"/>
      <c r="BV37" s="336" t="n"/>
      <c r="BW37" s="359" t="n"/>
      <c r="BX37" s="336" t="n"/>
      <c r="BY37" s="336" t="n"/>
      <c r="BZ37" s="336" t="n"/>
      <c r="CA37" s="359" t="n"/>
      <c r="CB37" s="336" t="n"/>
      <c r="CC37" s="336" t="n"/>
      <c r="CD37" s="336" t="n"/>
      <c r="CE37" s="359" t="n"/>
      <c r="CF37" s="361" t="n"/>
    </row>
    <row r="38" customFormat="1" s="538">
      <c r="A38" s="350" t="n"/>
      <c r="B38" s="350" t="n"/>
      <c r="C38" s="353" t="n"/>
      <c r="D38" s="333" t="n"/>
      <c r="E38" s="332" t="n"/>
      <c r="F38" s="336" t="n"/>
      <c r="G38" s="336" t="n"/>
      <c r="H38" s="335" t="n"/>
      <c r="I38" s="336" t="n"/>
      <c r="J38" s="336" t="n"/>
      <c r="K38" s="336" t="n"/>
      <c r="L38" s="336" t="n"/>
      <c r="M38" s="336" t="n"/>
      <c r="N38" s="336" t="n"/>
      <c r="O38" s="336" t="n"/>
      <c r="P38" s="430" t="n"/>
      <c r="Q38" s="430" t="n"/>
      <c r="R38" s="430" t="n"/>
      <c r="S38" s="430" t="n"/>
      <c r="T38" s="430" t="n"/>
      <c r="U38" s="430" t="n"/>
      <c r="V38" s="430" t="n"/>
      <c r="W38" s="430" t="n"/>
      <c r="X38" s="430" t="n"/>
      <c r="Y38" s="430" t="n"/>
      <c r="Z38" s="430" t="n"/>
      <c r="AA38" s="430" t="n"/>
      <c r="AB38" s="430" t="n"/>
      <c r="AC38" s="338" t="n"/>
      <c r="AD38" s="338" t="n"/>
      <c r="AE38" s="338" t="n"/>
      <c r="AF38" s="338" t="n"/>
      <c r="AG38" s="339" t="n"/>
      <c r="AH38" s="339" t="n"/>
      <c r="AI38" s="339" t="n"/>
      <c r="AJ38" s="339" t="n"/>
      <c r="AK38" s="339" t="n"/>
      <c r="AL38" s="339" t="n"/>
      <c r="AM38" s="339" t="n"/>
      <c r="AN38" s="339" t="n"/>
      <c r="AO38" s="339" t="n"/>
      <c r="AP38" s="339" t="n"/>
      <c r="AQ38" s="339" t="n"/>
      <c r="AR38" s="339" t="n"/>
      <c r="AS38" s="339" t="n"/>
      <c r="AT38" s="339" t="n"/>
      <c r="AU38" s="339" t="n"/>
      <c r="AV38" s="339" t="n"/>
      <c r="AW38" s="339" t="n"/>
      <c r="AX38" s="430" t="n"/>
      <c r="AY38" s="336" t="n"/>
      <c r="AZ38" s="336" t="n"/>
      <c r="BA38" s="336" t="n"/>
      <c r="BB38" s="336" t="n"/>
      <c r="BC38" s="336" t="n"/>
      <c r="BD38" s="336" t="n"/>
      <c r="BE38" s="336" t="n"/>
      <c r="BF38" s="336" t="n"/>
      <c r="BG38" s="336" t="n"/>
      <c r="BH38" s="336" t="n"/>
      <c r="BI38" s="336" t="n"/>
      <c r="BJ38" s="336" t="n"/>
      <c r="BK38" s="336" t="n"/>
      <c r="BL38" s="336" t="n"/>
      <c r="BM38" s="336" t="n"/>
      <c r="BN38" s="336" t="n"/>
      <c r="BO38" s="336" t="n"/>
      <c r="BP38" s="336" t="n"/>
      <c r="BQ38" s="336" t="n"/>
      <c r="BR38" s="336" t="n"/>
      <c r="BS38" s="336" t="n"/>
      <c r="BT38" s="336" t="n"/>
      <c r="BU38" s="336" t="n"/>
      <c r="BV38" s="336" t="n"/>
      <c r="BW38" s="336" t="n"/>
      <c r="BX38" s="336" t="n"/>
      <c r="BY38" s="336" t="n"/>
      <c r="BZ38" s="336" t="n"/>
      <c r="CA38" s="336" t="n"/>
      <c r="CB38" s="336" t="n"/>
      <c r="CC38" s="336" t="n"/>
      <c r="CD38" s="336" t="n"/>
      <c r="CE38" s="336" t="n"/>
    </row>
    <row r="39" customFormat="1" s="538">
      <c r="A39" s="350" t="n"/>
      <c r="B39" s="350" t="n"/>
      <c r="C39" s="353" t="n"/>
      <c r="D39" s="333" t="n"/>
      <c r="E39" s="332" t="n"/>
      <c r="F39" s="336" t="n"/>
      <c r="G39" s="336" t="n"/>
      <c r="H39" s="335" t="n"/>
      <c r="I39" s="336" t="n"/>
      <c r="J39" s="336" t="n"/>
      <c r="K39" s="336" t="n"/>
      <c r="L39" s="336" t="n"/>
      <c r="M39" s="336" t="n"/>
      <c r="N39" s="336" t="n"/>
      <c r="O39" s="336" t="n"/>
      <c r="P39" s="430" t="n"/>
      <c r="Q39" s="430" t="n"/>
      <c r="R39" s="430" t="n"/>
      <c r="S39" s="430" t="n"/>
      <c r="T39" s="430" t="n"/>
      <c r="U39" s="430" t="n"/>
      <c r="V39" s="430" t="n"/>
      <c r="W39" s="430" t="n"/>
      <c r="X39" s="430" t="n"/>
      <c r="Y39" s="430" t="n"/>
      <c r="Z39" s="430" t="n"/>
      <c r="AA39" s="430" t="n"/>
      <c r="AB39" s="430" t="n"/>
      <c r="AC39" s="336" t="n"/>
      <c r="AD39" s="336" t="n"/>
      <c r="AE39" s="336" t="n"/>
      <c r="AF39" s="336" t="n"/>
      <c r="AG39" s="339" t="n"/>
      <c r="AH39" s="339" t="n"/>
      <c r="AI39" s="339" t="n"/>
      <c r="AJ39" s="339" t="n"/>
      <c r="AK39" s="339" t="n"/>
      <c r="AL39" s="339" t="n"/>
      <c r="AM39" s="339" t="n"/>
      <c r="AN39" s="339" t="n"/>
      <c r="AO39" s="339" t="n"/>
      <c r="AP39" s="339" t="n"/>
      <c r="AQ39" s="339" t="n"/>
      <c r="AR39" s="339" t="n"/>
      <c r="AS39" s="339" t="n"/>
      <c r="AT39" s="336" t="n"/>
      <c r="AU39" s="336" t="n"/>
      <c r="AV39" s="336" t="n"/>
      <c r="AW39" s="336" t="n"/>
      <c r="AX39" s="430" t="n"/>
      <c r="AY39" s="336" t="n"/>
      <c r="AZ39" s="336" t="n"/>
      <c r="BA39" s="336" t="n"/>
      <c r="BB39" s="336" t="n"/>
      <c r="BC39" s="336" t="n"/>
      <c r="BD39" s="336" t="n"/>
      <c r="BE39" s="336" t="n"/>
      <c r="BF39" s="336" t="n"/>
      <c r="BG39" s="336" t="n"/>
      <c r="BH39" s="336" t="n"/>
      <c r="BI39" s="336" t="n"/>
      <c r="BJ39" s="336" t="n"/>
      <c r="BK39" s="336" t="n"/>
      <c r="BL39" s="336" t="n"/>
      <c r="BM39" s="336" t="n"/>
      <c r="BN39" s="336" t="n"/>
      <c r="BO39" s="336" t="n"/>
      <c r="BP39" s="336" t="n"/>
      <c r="BQ39" s="336" t="n"/>
      <c r="BR39" s="336" t="n"/>
      <c r="BS39" s="336" t="n"/>
      <c r="BT39" s="336" t="n"/>
      <c r="BU39" s="336" t="n"/>
      <c r="BV39" s="336" t="n"/>
      <c r="BW39" s="336" t="n"/>
      <c r="BX39" s="336" t="n"/>
      <c r="BY39" s="336" t="n"/>
      <c r="BZ39" s="336" t="n"/>
      <c r="CA39" s="336" t="n"/>
      <c r="CB39" s="336" t="n"/>
      <c r="CC39" s="336" t="n"/>
      <c r="CD39" s="336" t="n"/>
      <c r="CE39" s="336" t="n"/>
    </row>
    <row r="40" customFormat="1" s="538">
      <c r="A40" s="350" t="n"/>
      <c r="B40" s="350" t="n"/>
      <c r="C40" s="353" t="n"/>
      <c r="D40" s="333" t="n"/>
      <c r="E40" s="332" t="n"/>
      <c r="F40" s="336" t="n"/>
      <c r="G40" s="336" t="n"/>
      <c r="H40" s="335" t="n"/>
      <c r="I40" s="336" t="n"/>
      <c r="J40" s="336" t="n"/>
      <c r="K40" s="336" t="n"/>
      <c r="L40" s="336" t="n"/>
      <c r="M40" s="336" t="n"/>
      <c r="N40" s="336" t="n"/>
      <c r="O40" s="336" t="n"/>
      <c r="P40" s="430" t="n"/>
      <c r="Q40" s="430" t="n"/>
      <c r="R40" s="430" t="n"/>
      <c r="S40" s="430" t="n"/>
      <c r="T40" s="430" t="n"/>
      <c r="U40" s="430" t="n"/>
      <c r="V40" s="430" t="n"/>
      <c r="W40" s="430" t="n"/>
      <c r="X40" s="430" t="n"/>
      <c r="Y40" s="430" t="n"/>
      <c r="Z40" s="430" t="n"/>
      <c r="AA40" s="430" t="n"/>
      <c r="AB40" s="430" t="n"/>
      <c r="AC40" s="338" t="n"/>
      <c r="AD40" s="338" t="n"/>
      <c r="AE40" s="338" t="n"/>
      <c r="AF40" s="338" t="n"/>
      <c r="AG40" s="339" t="n"/>
      <c r="AH40" s="339" t="n"/>
      <c r="AI40" s="339" t="n"/>
      <c r="AJ40" s="339" t="n"/>
      <c r="AK40" s="339" t="n"/>
      <c r="AL40" s="339" t="n"/>
      <c r="AM40" s="339" t="n"/>
      <c r="AN40" s="339" t="n"/>
      <c r="AO40" s="339" t="n"/>
      <c r="AP40" s="339" t="n"/>
      <c r="AQ40" s="339" t="n"/>
      <c r="AR40" s="339" t="n"/>
      <c r="AS40" s="339" t="n"/>
      <c r="AT40" s="339" t="n"/>
      <c r="AU40" s="339" t="n"/>
      <c r="AV40" s="339" t="n"/>
      <c r="AW40" s="339" t="n"/>
      <c r="AX40" s="430" t="n"/>
      <c r="AY40" s="336" t="n"/>
      <c r="AZ40" s="336" t="n"/>
      <c r="BA40" s="336" t="n"/>
      <c r="BB40" s="336" t="n"/>
      <c r="BC40" s="336" t="n"/>
      <c r="BD40" s="336" t="n"/>
      <c r="BE40" s="336" t="n"/>
      <c r="BF40" s="336" t="n"/>
      <c r="BG40" s="336" t="n"/>
      <c r="BH40" s="336" t="n"/>
      <c r="BI40" s="336" t="n"/>
      <c r="BJ40" s="336" t="n"/>
      <c r="BK40" s="336" t="n"/>
      <c r="BL40" s="336" t="n"/>
      <c r="BM40" s="336" t="n"/>
      <c r="BN40" s="336" t="n"/>
      <c r="BO40" s="336" t="n"/>
      <c r="BP40" s="336" t="n"/>
      <c r="BQ40" s="336" t="n"/>
      <c r="BR40" s="336" t="n"/>
      <c r="BS40" s="336" t="n"/>
      <c r="BT40" s="336" t="n"/>
      <c r="BU40" s="336" t="n"/>
      <c r="BV40" s="336" t="n"/>
      <c r="BW40" s="336" t="n"/>
      <c r="BX40" s="336" t="n"/>
      <c r="BY40" s="336" t="n"/>
      <c r="BZ40" s="336" t="n"/>
      <c r="CA40" s="336" t="n"/>
      <c r="CB40" s="336" t="n"/>
      <c r="CC40" s="336" t="n"/>
      <c r="CD40" s="336" t="n"/>
      <c r="CE40" s="336" t="n"/>
    </row>
    <row r="41" customFormat="1" s="538">
      <c r="A41" s="350" t="n"/>
      <c r="B41" s="350" t="n"/>
      <c r="C41" s="353" t="n"/>
      <c r="D41" s="333" t="n"/>
      <c r="E41" s="332" t="n"/>
      <c r="F41" s="336" t="n"/>
      <c r="G41" s="336" t="n"/>
      <c r="H41" s="335" t="n"/>
      <c r="I41" s="336" t="n"/>
      <c r="J41" s="336" t="n"/>
      <c r="K41" s="336" t="n"/>
      <c r="L41" s="336" t="n"/>
      <c r="M41" s="336" t="n"/>
      <c r="N41" s="336" t="n"/>
      <c r="O41" s="336" t="n"/>
      <c r="P41" s="430" t="n"/>
      <c r="Q41" s="430" t="n"/>
      <c r="R41" s="430" t="n"/>
      <c r="S41" s="430" t="n"/>
      <c r="T41" s="430" t="n"/>
      <c r="U41" s="430" t="n"/>
      <c r="V41" s="430" t="n"/>
      <c r="W41" s="430" t="n"/>
      <c r="X41" s="430" t="n"/>
      <c r="Y41" s="430" t="n"/>
      <c r="Z41" s="430" t="n"/>
      <c r="AA41" s="430" t="n"/>
      <c r="AB41" s="430" t="n"/>
      <c r="AC41" s="338" t="n"/>
      <c r="AD41" s="338" t="n"/>
      <c r="AE41" s="338" t="n"/>
      <c r="AF41" s="338" t="n"/>
      <c r="AG41" s="339" t="n"/>
      <c r="AH41" s="339" t="n"/>
      <c r="AI41" s="339" t="n"/>
      <c r="AJ41" s="339" t="n"/>
      <c r="AK41" s="339" t="n"/>
      <c r="AL41" s="339" t="n"/>
      <c r="AM41" s="339" t="n"/>
      <c r="AN41" s="339" t="n"/>
      <c r="AO41" s="339" t="n"/>
      <c r="AP41" s="339" t="n"/>
      <c r="AQ41" s="339" t="n"/>
      <c r="AR41" s="339" t="n"/>
      <c r="AS41" s="339" t="n"/>
      <c r="AT41" s="339" t="n"/>
      <c r="AU41" s="339" t="n"/>
      <c r="AV41" s="339" t="n"/>
      <c r="AW41" s="339" t="n"/>
      <c r="AX41" s="430" t="n"/>
      <c r="AY41" s="336" t="n"/>
      <c r="AZ41" s="336" t="n"/>
      <c r="BA41" s="336" t="n"/>
      <c r="BB41" s="336" t="n"/>
      <c r="BC41" s="336" t="n"/>
      <c r="BD41" s="336" t="n"/>
      <c r="BE41" s="336" t="n"/>
      <c r="BF41" s="336" t="n"/>
      <c r="BG41" s="336" t="n"/>
      <c r="BH41" s="336" t="n"/>
      <c r="BI41" s="336" t="n"/>
      <c r="BJ41" s="336" t="n"/>
      <c r="BK41" s="336" t="n"/>
      <c r="BL41" s="336" t="n"/>
      <c r="BM41" s="336" t="n"/>
      <c r="BN41" s="336" t="n"/>
      <c r="BO41" s="336" t="n"/>
      <c r="BP41" s="336" t="n"/>
      <c r="BQ41" s="336" t="n"/>
      <c r="BR41" s="336" t="n"/>
      <c r="BS41" s="336" t="n"/>
      <c r="BT41" s="336" t="n"/>
      <c r="BU41" s="336" t="n"/>
      <c r="BV41" s="336" t="n"/>
      <c r="BW41" s="336" t="n"/>
      <c r="BX41" s="336" t="n"/>
      <c r="BY41" s="336" t="n"/>
      <c r="BZ41" s="336" t="n"/>
      <c r="CA41" s="336" t="n"/>
      <c r="CB41" s="336" t="n"/>
      <c r="CC41" s="336" t="n"/>
      <c r="CD41" s="336" t="n"/>
      <c r="CE41" s="336" t="n"/>
    </row>
    <row r="42" customFormat="1" s="538">
      <c r="A42" s="342" t="n"/>
      <c r="B42" s="358" t="n"/>
      <c r="C42" s="344" t="n"/>
      <c r="D42" s="345" t="n"/>
      <c r="E42" s="346" t="n"/>
      <c r="F42" s="336" t="n"/>
      <c r="G42" s="336" t="n"/>
      <c r="H42" s="336" t="n"/>
      <c r="I42" s="336" t="n"/>
      <c r="J42" s="336" t="n"/>
      <c r="K42" s="336" t="n"/>
      <c r="L42" s="336" t="n"/>
      <c r="M42" s="336" t="n"/>
      <c r="N42" s="336" t="n"/>
      <c r="O42" s="336" t="n"/>
      <c r="P42" s="357" t="n"/>
      <c r="Q42" s="357" t="n"/>
      <c r="R42" s="357" t="n"/>
      <c r="S42" s="357" t="n"/>
      <c r="T42" s="357" t="n"/>
      <c r="U42" s="357" t="n"/>
      <c r="V42" s="357" t="n"/>
      <c r="W42" s="357" t="n"/>
      <c r="X42" s="357" t="n"/>
      <c r="Y42" s="357" t="n"/>
      <c r="Z42" s="357" t="n"/>
      <c r="AA42" s="357" t="n"/>
      <c r="AB42" s="336" t="n"/>
      <c r="AC42" s="338" t="n"/>
      <c r="AD42" s="338" t="n"/>
      <c r="AE42" s="338" t="n"/>
      <c r="AF42" s="338" t="n"/>
      <c r="AG42" s="339" t="n"/>
      <c r="AH42" s="339" t="n"/>
      <c r="AI42" s="339" t="n"/>
      <c r="AJ42" s="339" t="n"/>
      <c r="AK42" s="339" t="n"/>
      <c r="AL42" s="339" t="n"/>
      <c r="AM42" s="339" t="n"/>
      <c r="AN42" s="339" t="n"/>
      <c r="AO42" s="339" t="n"/>
      <c r="AP42" s="339" t="n"/>
      <c r="AQ42" s="339" t="n"/>
      <c r="AR42" s="339" t="n"/>
      <c r="AS42" s="339" t="n"/>
      <c r="AT42" s="339" t="n"/>
      <c r="AU42" s="339" t="n"/>
      <c r="AV42" s="339" t="n"/>
      <c r="AW42" s="339" t="n"/>
      <c r="AX42" s="357" t="n"/>
      <c r="AY42" s="336" t="n"/>
      <c r="AZ42" s="336" t="n"/>
      <c r="BA42" s="336" t="n"/>
      <c r="BB42" s="336" t="n"/>
      <c r="BC42" s="336" t="n"/>
      <c r="BD42" s="336" t="n"/>
      <c r="BE42" s="336" t="n"/>
      <c r="BF42" s="336" t="n"/>
      <c r="BG42" s="336" t="n"/>
      <c r="BH42" s="336" t="n"/>
      <c r="BI42" s="336" t="n"/>
      <c r="BJ42" s="336" t="n"/>
      <c r="BK42" s="336" t="n"/>
      <c r="BL42" s="336" t="n"/>
      <c r="BM42" s="336" t="n"/>
      <c r="BN42" s="336" t="n"/>
      <c r="BO42" s="336" t="n"/>
      <c r="BP42" s="336" t="n"/>
      <c r="BQ42" s="336" t="n"/>
      <c r="BR42" s="336" t="n"/>
      <c r="BS42" s="336" t="n"/>
      <c r="BT42" s="336" t="n"/>
      <c r="BU42" s="336" t="n"/>
      <c r="BV42" s="336" t="n"/>
      <c r="BW42" s="336" t="n"/>
      <c r="BX42" s="336" t="n"/>
      <c r="BY42" s="336" t="n"/>
      <c r="BZ42" s="336" t="n"/>
      <c r="CA42" s="336" t="n"/>
      <c r="CB42" s="336" t="n"/>
      <c r="CC42" s="336" t="n"/>
      <c r="CD42" s="336" t="n"/>
      <c r="CE42" s="336" t="n"/>
      <c r="CF42" s="361" t="n"/>
    </row>
    <row r="43" customFormat="1" s="538">
      <c r="A43" s="349" t="n"/>
      <c r="B43" s="350" t="n"/>
      <c r="C43" s="353" t="n"/>
      <c r="D43" s="333" t="n"/>
      <c r="E43" s="332" t="n"/>
      <c r="F43" s="336" t="n"/>
      <c r="G43" s="336" t="n"/>
      <c r="H43" s="335" t="n"/>
      <c r="I43" s="336" t="n"/>
      <c r="J43" s="336" t="n"/>
      <c r="K43" s="336" t="n"/>
      <c r="L43" s="336" t="n"/>
      <c r="M43" s="336" t="n"/>
      <c r="N43" s="336" t="n"/>
      <c r="O43" s="336" t="n"/>
      <c r="P43" s="430" t="n"/>
      <c r="Q43" s="430" t="n"/>
      <c r="R43" s="430" t="n"/>
      <c r="S43" s="430" t="n"/>
      <c r="T43" s="430" t="n"/>
      <c r="U43" s="430" t="n"/>
      <c r="V43" s="430" t="n"/>
      <c r="W43" s="430" t="n"/>
      <c r="X43" s="430" t="n"/>
      <c r="Y43" s="430" t="n"/>
      <c r="Z43" s="430" t="n"/>
      <c r="AA43" s="430" t="n"/>
      <c r="AB43" s="430" t="n"/>
      <c r="AC43" s="338" t="n"/>
      <c r="AD43" s="338" t="n"/>
      <c r="AE43" s="338" t="n"/>
      <c r="AF43" s="338" t="n"/>
      <c r="AG43" s="339" t="n"/>
      <c r="AH43" s="339" t="n"/>
      <c r="AI43" s="339" t="n"/>
      <c r="AJ43" s="339" t="n"/>
      <c r="AK43" s="339" t="n"/>
      <c r="AL43" s="339" t="n"/>
      <c r="AM43" s="339" t="n"/>
      <c r="AN43" s="339" t="n"/>
      <c r="AO43" s="339" t="n"/>
      <c r="AP43" s="339" t="n"/>
      <c r="AQ43" s="339" t="n"/>
      <c r="AR43" s="339" t="n"/>
      <c r="AS43" s="339" t="n"/>
      <c r="AT43" s="339" t="n"/>
      <c r="AU43" s="339" t="n"/>
      <c r="AV43" s="339" t="n"/>
      <c r="AW43" s="339" t="n"/>
      <c r="AX43" s="430" t="n"/>
      <c r="AY43" s="336" t="n"/>
      <c r="AZ43" s="336" t="n"/>
      <c r="BA43" s="336" t="n"/>
      <c r="BB43" s="336" t="n"/>
      <c r="BC43" s="336" t="n"/>
      <c r="BD43" s="336" t="n"/>
      <c r="BE43" s="336" t="n"/>
      <c r="BF43" s="336" t="n"/>
      <c r="BG43" s="336" t="n"/>
      <c r="BH43" s="336" t="n"/>
      <c r="BI43" s="336" t="n"/>
      <c r="BJ43" s="336" t="n"/>
      <c r="BK43" s="336" t="n"/>
      <c r="BL43" s="336" t="n"/>
      <c r="BM43" s="336" t="n"/>
      <c r="BN43" s="336" t="n"/>
      <c r="BO43" s="336" t="n"/>
      <c r="BP43" s="336" t="n"/>
      <c r="BQ43" s="336" t="n"/>
      <c r="BR43" s="336" t="n"/>
      <c r="BS43" s="336" t="n"/>
      <c r="BT43" s="336" t="n"/>
      <c r="BU43" s="336" t="n"/>
      <c r="BV43" s="336" t="n"/>
      <c r="BW43" s="336" t="n"/>
      <c r="BX43" s="336" t="n"/>
      <c r="BY43" s="336" t="n"/>
      <c r="BZ43" s="336" t="n"/>
      <c r="CA43" s="336" t="n"/>
      <c r="CB43" s="336" t="n"/>
      <c r="CC43" s="336" t="n"/>
      <c r="CD43" s="336" t="n"/>
      <c r="CE43" s="336" t="n"/>
    </row>
    <row r="44" customFormat="1" s="538">
      <c r="A44" s="349" t="n"/>
      <c r="B44" s="350" t="n"/>
      <c r="C44" s="353" t="n"/>
      <c r="D44" s="333" t="n"/>
      <c r="E44" s="332" t="n"/>
      <c r="F44" s="336" t="n"/>
      <c r="G44" s="336" t="n"/>
      <c r="H44" s="335" t="n"/>
      <c r="I44" s="336" t="n"/>
      <c r="J44" s="336" t="n"/>
      <c r="K44" s="336" t="n"/>
      <c r="L44" s="336" t="n"/>
      <c r="M44" s="336" t="n"/>
      <c r="N44" s="336" t="n"/>
      <c r="O44" s="336" t="n"/>
      <c r="P44" s="430" t="n"/>
      <c r="Q44" s="430" t="n"/>
      <c r="R44" s="430" t="n"/>
      <c r="S44" s="430" t="n"/>
      <c r="T44" s="430" t="n"/>
      <c r="U44" s="430" t="n"/>
      <c r="V44" s="430" t="n"/>
      <c r="W44" s="430" t="n"/>
      <c r="X44" s="430" t="n"/>
      <c r="Y44" s="430" t="n"/>
      <c r="Z44" s="430" t="n"/>
      <c r="AA44" s="430" t="n"/>
      <c r="AB44" s="430" t="n"/>
      <c r="AC44" s="357" t="n"/>
      <c r="AD44" s="357" t="n"/>
      <c r="AE44" s="357" t="n"/>
      <c r="AF44" s="357" t="n"/>
      <c r="AG44" s="339" t="n"/>
      <c r="AH44" s="339" t="n"/>
      <c r="AI44" s="339" t="n"/>
      <c r="AJ44" s="339" t="n"/>
      <c r="AK44" s="339" t="n"/>
      <c r="AL44" s="339" t="n"/>
      <c r="AM44" s="339" t="n"/>
      <c r="AN44" s="339" t="n"/>
      <c r="AO44" s="339" t="n"/>
      <c r="AP44" s="339" t="n"/>
      <c r="AQ44" s="339" t="n"/>
      <c r="AR44" s="339" t="n"/>
      <c r="AS44" s="339" t="n"/>
      <c r="AT44" s="357" t="n"/>
      <c r="AU44" s="357" t="n"/>
      <c r="AV44" s="357" t="n"/>
      <c r="AW44" s="357" t="n"/>
      <c r="AX44" s="430" t="n"/>
      <c r="AY44" s="336" t="n"/>
      <c r="AZ44" s="336" t="n"/>
      <c r="BA44" s="336" t="n"/>
      <c r="BB44" s="336" t="n"/>
      <c r="BC44" s="336" t="n"/>
      <c r="BD44" s="336" t="n"/>
      <c r="BE44" s="336" t="n"/>
      <c r="BF44" s="336" t="n"/>
      <c r="BG44" s="336" t="n"/>
      <c r="BH44" s="336" t="n"/>
      <c r="BI44" s="336" t="n"/>
      <c r="BJ44" s="336" t="n"/>
      <c r="BK44" s="336" t="n"/>
      <c r="BL44" s="336" t="n"/>
      <c r="BM44" s="336" t="n"/>
      <c r="BN44" s="336" t="n"/>
      <c r="BO44" s="336" t="n"/>
      <c r="BP44" s="336" t="n"/>
      <c r="BQ44" s="336" t="n"/>
      <c r="BR44" s="336" t="n"/>
      <c r="BS44" s="336" t="n"/>
      <c r="BT44" s="336" t="n"/>
      <c r="BU44" s="336" t="n"/>
      <c r="BV44" s="336" t="n"/>
      <c r="BW44" s="336" t="n"/>
      <c r="BX44" s="336" t="n"/>
      <c r="BY44" s="336" t="n"/>
      <c r="BZ44" s="336" t="n"/>
      <c r="CA44" s="336" t="n"/>
      <c r="CB44" s="336" t="n"/>
      <c r="CC44" s="336" t="n"/>
      <c r="CD44" s="336" t="n"/>
      <c r="CE44" s="336" t="n"/>
    </row>
    <row r="45" customFormat="1" s="538">
      <c r="A45" s="349" t="n"/>
      <c r="B45" s="350" t="n"/>
      <c r="C45" s="353" t="n"/>
      <c r="D45" s="333" t="n"/>
      <c r="E45" s="332" t="n"/>
      <c r="F45" s="336" t="n"/>
      <c r="G45" s="336" t="n"/>
      <c r="H45" s="335" t="n"/>
      <c r="I45" s="336" t="n"/>
      <c r="J45" s="336" t="n"/>
      <c r="K45" s="336" t="n"/>
      <c r="L45" s="336" t="n"/>
      <c r="M45" s="336" t="n"/>
      <c r="N45" s="336" t="n"/>
      <c r="O45" s="336" t="n"/>
      <c r="P45" s="430" t="n"/>
      <c r="Q45" s="430" t="n"/>
      <c r="R45" s="430" t="n"/>
      <c r="S45" s="430" t="n"/>
      <c r="T45" s="430" t="n"/>
      <c r="U45" s="430" t="n"/>
      <c r="V45" s="430" t="n"/>
      <c r="W45" s="430" t="n"/>
      <c r="X45" s="430" t="n"/>
      <c r="Y45" s="430" t="n"/>
      <c r="Z45" s="430" t="n"/>
      <c r="AA45" s="430" t="n"/>
      <c r="AB45" s="430" t="n"/>
      <c r="AC45" s="338" t="n"/>
      <c r="AD45" s="338" t="n"/>
      <c r="AE45" s="338" t="n"/>
      <c r="AF45" s="338" t="n"/>
      <c r="AG45" s="339" t="n"/>
      <c r="AH45" s="339" t="n"/>
      <c r="AI45" s="339" t="n"/>
      <c r="AJ45" s="339" t="n"/>
      <c r="AK45" s="339" t="n"/>
      <c r="AL45" s="339" t="n"/>
      <c r="AM45" s="339" t="n"/>
      <c r="AN45" s="339" t="n"/>
      <c r="AO45" s="339" t="n"/>
      <c r="AP45" s="339" t="n"/>
      <c r="AQ45" s="339" t="n"/>
      <c r="AR45" s="339" t="n"/>
      <c r="AS45" s="339" t="n"/>
      <c r="AT45" s="339" t="n"/>
      <c r="AU45" s="339" t="n"/>
      <c r="AV45" s="339" t="n"/>
      <c r="AW45" s="339" t="n"/>
      <c r="AX45" s="430" t="n"/>
      <c r="AY45" s="336" t="n"/>
      <c r="AZ45" s="336" t="n"/>
      <c r="BA45" s="336" t="n"/>
      <c r="BB45" s="336" t="n"/>
      <c r="BC45" s="336" t="n"/>
      <c r="BD45" s="336" t="n"/>
      <c r="BE45" s="336" t="n"/>
      <c r="BF45" s="336" t="n"/>
      <c r="BG45" s="336" t="n"/>
      <c r="BH45" s="336" t="n"/>
      <c r="BI45" s="336" t="n"/>
      <c r="BJ45" s="336" t="n"/>
      <c r="BK45" s="336" t="n"/>
      <c r="BL45" s="336" t="n"/>
      <c r="BM45" s="336" t="n"/>
      <c r="BN45" s="336" t="n"/>
      <c r="BO45" s="336" t="n"/>
      <c r="BP45" s="336" t="n"/>
      <c r="BQ45" s="336" t="n"/>
      <c r="BR45" s="336" t="n"/>
      <c r="BS45" s="336" t="n"/>
      <c r="BT45" s="336" t="n"/>
      <c r="BU45" s="336" t="n"/>
      <c r="BV45" s="336" t="n"/>
      <c r="BW45" s="336" t="n"/>
      <c r="BX45" s="336" t="n"/>
      <c r="BY45" s="336" t="n"/>
      <c r="BZ45" s="336" t="n"/>
      <c r="CA45" s="336" t="n"/>
      <c r="CB45" s="336" t="n"/>
      <c r="CC45" s="336" t="n"/>
      <c r="CD45" s="336" t="n"/>
      <c r="CE45" s="336" t="n"/>
    </row>
    <row r="46" customFormat="1" s="538">
      <c r="A46" s="349" t="n"/>
      <c r="B46" s="350" t="n"/>
      <c r="C46" s="353" t="n"/>
      <c r="D46" s="333" t="n"/>
      <c r="E46" s="332" t="n"/>
      <c r="F46" s="336" t="n"/>
      <c r="G46" s="336" t="n"/>
      <c r="H46" s="335" t="n"/>
      <c r="I46" s="336" t="n"/>
      <c r="J46" s="336" t="n"/>
      <c r="K46" s="336" t="n"/>
      <c r="L46" s="336" t="n"/>
      <c r="M46" s="336" t="n"/>
      <c r="N46" s="336" t="n"/>
      <c r="O46" s="336" t="n"/>
      <c r="P46" s="430" t="n"/>
      <c r="Q46" s="430" t="n"/>
      <c r="R46" s="430" t="n"/>
      <c r="S46" s="430" t="n"/>
      <c r="T46" s="430" t="n"/>
      <c r="U46" s="430" t="n"/>
      <c r="V46" s="430" t="n"/>
      <c r="W46" s="430" t="n"/>
      <c r="X46" s="430" t="n"/>
      <c r="Y46" s="430" t="n"/>
      <c r="Z46" s="430" t="n"/>
      <c r="AA46" s="430" t="n"/>
      <c r="AB46" s="430" t="n"/>
      <c r="AC46" s="338" t="n"/>
      <c r="AD46" s="338" t="n"/>
      <c r="AE46" s="338" t="n"/>
      <c r="AF46" s="338" t="n"/>
      <c r="AG46" s="339" t="n"/>
      <c r="AH46" s="339" t="n"/>
      <c r="AI46" s="339" t="n"/>
      <c r="AJ46" s="339" t="n"/>
      <c r="AK46" s="339" t="n"/>
      <c r="AL46" s="339" t="n"/>
      <c r="AM46" s="339" t="n"/>
      <c r="AN46" s="339" t="n"/>
      <c r="AO46" s="339" t="n"/>
      <c r="AP46" s="339" t="n"/>
      <c r="AQ46" s="339" t="n"/>
      <c r="AR46" s="339" t="n"/>
      <c r="AS46" s="339" t="n"/>
      <c r="AT46" s="339" t="n"/>
      <c r="AU46" s="339" t="n"/>
      <c r="AV46" s="339" t="n"/>
      <c r="AW46" s="339" t="n"/>
      <c r="AX46" s="430" t="n"/>
      <c r="AY46" s="336" t="n"/>
      <c r="AZ46" s="336" t="n"/>
      <c r="BA46" s="336" t="n"/>
      <c r="BB46" s="336" t="n"/>
      <c r="BC46" s="336" t="n"/>
      <c r="BD46" s="336" t="n"/>
      <c r="BE46" s="336" t="n"/>
      <c r="BF46" s="336" t="n"/>
      <c r="BG46" s="336" t="n"/>
      <c r="BH46" s="336" t="n"/>
      <c r="BI46" s="336" t="n"/>
      <c r="BJ46" s="336" t="n"/>
      <c r="BK46" s="336" t="n"/>
      <c r="BL46" s="336" t="n"/>
      <c r="BM46" s="336" t="n"/>
      <c r="BN46" s="336" t="n"/>
      <c r="BO46" s="336" t="n"/>
      <c r="BP46" s="336" t="n"/>
      <c r="BQ46" s="336" t="n"/>
      <c r="BR46" s="336" t="n"/>
      <c r="BS46" s="336" t="n"/>
      <c r="BT46" s="336" t="n"/>
      <c r="BU46" s="336" t="n"/>
      <c r="BV46" s="336" t="n"/>
      <c r="BW46" s="336" t="n"/>
      <c r="BX46" s="336" t="n"/>
      <c r="BY46" s="336" t="n"/>
      <c r="BZ46" s="336" t="n"/>
      <c r="CA46" s="336" t="n"/>
      <c r="CB46" s="336" t="n"/>
      <c r="CC46" s="336" t="n"/>
      <c r="CD46" s="336" t="n"/>
      <c r="CE46" s="336" t="n"/>
    </row>
    <row r="47" customFormat="1" s="538">
      <c r="A47" s="349" t="n"/>
      <c r="B47" s="350" t="n"/>
      <c r="C47" s="353" t="n"/>
      <c r="D47" s="333" t="n"/>
      <c r="E47" s="332" t="n"/>
      <c r="F47" s="336" t="n"/>
      <c r="G47" s="336" t="n"/>
      <c r="H47" s="335" t="n"/>
      <c r="I47" s="336" t="n"/>
      <c r="J47" s="336" t="n"/>
      <c r="K47" s="336" t="n"/>
      <c r="L47" s="336" t="n"/>
      <c r="M47" s="336" t="n"/>
      <c r="N47" s="336" t="n"/>
      <c r="O47" s="336" t="n"/>
      <c r="P47" s="430" t="n"/>
      <c r="Q47" s="430" t="n"/>
      <c r="R47" s="430" t="n"/>
      <c r="S47" s="430" t="n"/>
      <c r="T47" s="430" t="n"/>
      <c r="U47" s="430" t="n"/>
      <c r="V47" s="430" t="n"/>
      <c r="W47" s="430" t="n"/>
      <c r="X47" s="430" t="n"/>
      <c r="Y47" s="430" t="n"/>
      <c r="Z47" s="430" t="n"/>
      <c r="AA47" s="430" t="n"/>
      <c r="AB47" s="430" t="n"/>
      <c r="AC47" s="338" t="n"/>
      <c r="AD47" s="338" t="n"/>
      <c r="AE47" s="338" t="n"/>
      <c r="AF47" s="338" t="n"/>
      <c r="AG47" s="339" t="n"/>
      <c r="AH47" s="339" t="n"/>
      <c r="AI47" s="339" t="n"/>
      <c r="AJ47" s="339" t="n"/>
      <c r="AK47" s="339" t="n"/>
      <c r="AL47" s="339" t="n"/>
      <c r="AM47" s="339" t="n"/>
      <c r="AN47" s="339" t="n"/>
      <c r="AO47" s="339" t="n"/>
      <c r="AP47" s="339" t="n"/>
      <c r="AQ47" s="339" t="n"/>
      <c r="AR47" s="339" t="n"/>
      <c r="AS47" s="339" t="n"/>
      <c r="AT47" s="339" t="n"/>
      <c r="AU47" s="339" t="n"/>
      <c r="AV47" s="339" t="n"/>
      <c r="AW47" s="339" t="n"/>
      <c r="AX47" s="430" t="n"/>
      <c r="AY47" s="336" t="n"/>
      <c r="AZ47" s="336" t="n"/>
      <c r="BA47" s="336" t="n"/>
      <c r="BB47" s="336" t="n"/>
      <c r="BC47" s="336" t="n"/>
      <c r="BD47" s="336" t="n"/>
      <c r="BE47" s="336" t="n"/>
      <c r="BF47" s="336" t="n"/>
      <c r="BG47" s="336" t="n"/>
      <c r="BH47" s="336" t="n"/>
      <c r="BI47" s="336" t="n"/>
      <c r="BJ47" s="336" t="n"/>
      <c r="BK47" s="336" t="n"/>
      <c r="BL47" s="336" t="n"/>
      <c r="BM47" s="336" t="n"/>
      <c r="BN47" s="336" t="n"/>
      <c r="BO47" s="336" t="n"/>
      <c r="BP47" s="336" t="n"/>
      <c r="BQ47" s="336" t="n"/>
      <c r="BR47" s="336" t="n"/>
      <c r="BS47" s="336" t="n"/>
      <c r="BT47" s="336" t="n"/>
      <c r="BU47" s="336" t="n"/>
      <c r="BV47" s="336" t="n"/>
      <c r="BW47" s="336" t="n"/>
      <c r="BX47" s="336" t="n"/>
      <c r="BY47" s="336" t="n"/>
      <c r="BZ47" s="336" t="n"/>
      <c r="CA47" s="336" t="n"/>
      <c r="CB47" s="336" t="n"/>
      <c r="CC47" s="336" t="n"/>
      <c r="CD47" s="336" t="n"/>
      <c r="CE47" s="336" t="n"/>
    </row>
    <row r="48" customFormat="1" s="538">
      <c r="A48" s="358" t="n"/>
      <c r="B48" s="358" t="n"/>
      <c r="C48" s="344" t="n"/>
      <c r="D48" s="345" t="n"/>
      <c r="E48" s="346" t="n"/>
      <c r="F48" s="336" t="n"/>
      <c r="G48" s="336" t="n"/>
      <c r="H48" s="336" t="n"/>
      <c r="I48" s="336" t="n"/>
      <c r="J48" s="336" t="n"/>
      <c r="K48" s="336" t="n"/>
      <c r="L48" s="336" t="n"/>
      <c r="M48" s="336" t="n"/>
      <c r="N48" s="336" t="n"/>
      <c r="O48" s="336" t="n"/>
      <c r="P48" s="357" t="n"/>
      <c r="Q48" s="357" t="n"/>
      <c r="R48" s="357" t="n"/>
      <c r="S48" s="357" t="n"/>
      <c r="T48" s="357" t="n"/>
      <c r="U48" s="357" t="n"/>
      <c r="V48" s="357" t="n"/>
      <c r="W48" s="357" t="n"/>
      <c r="X48" s="357" t="n"/>
      <c r="Y48" s="357" t="n"/>
      <c r="Z48" s="357" t="n"/>
      <c r="AA48" s="357" t="n"/>
      <c r="AB48" s="336" t="n"/>
      <c r="AC48" s="357" t="n"/>
      <c r="AD48" s="357" t="n"/>
      <c r="AE48" s="357" t="n"/>
      <c r="AF48" s="357" t="n"/>
      <c r="AG48" s="339" t="n"/>
      <c r="AH48" s="339" t="n"/>
      <c r="AI48" s="339" t="n"/>
      <c r="AJ48" s="339" t="n"/>
      <c r="AK48" s="339" t="n"/>
      <c r="AL48" s="339" t="n"/>
      <c r="AM48" s="339" t="n"/>
      <c r="AN48" s="339" t="n"/>
      <c r="AO48" s="339" t="n"/>
      <c r="AP48" s="339" t="n"/>
      <c r="AQ48" s="339" t="n"/>
      <c r="AR48" s="339" t="n"/>
      <c r="AS48" s="339" t="n"/>
      <c r="AT48" s="357" t="n"/>
      <c r="AU48" s="357" t="n"/>
      <c r="AV48" s="357" t="n"/>
      <c r="AW48" s="357" t="n"/>
      <c r="AX48" s="357" t="n"/>
      <c r="AY48" s="336" t="n"/>
      <c r="AZ48" s="336" t="n"/>
      <c r="BA48" s="336" t="n"/>
      <c r="BB48" s="336" t="n"/>
      <c r="BC48" s="336" t="n"/>
      <c r="BD48" s="336" t="n"/>
      <c r="BE48" s="336" t="n"/>
      <c r="BF48" s="336" t="n"/>
      <c r="BG48" s="336" t="n"/>
      <c r="BH48" s="336" t="n"/>
      <c r="BI48" s="336" t="n"/>
      <c r="BJ48" s="336" t="n"/>
      <c r="BK48" s="336" t="n"/>
      <c r="BL48" s="336" t="n"/>
      <c r="BM48" s="336" t="n"/>
      <c r="BN48" s="336" t="n"/>
      <c r="BO48" s="336" t="n"/>
      <c r="BP48" s="336" t="n"/>
      <c r="BQ48" s="336" t="n"/>
      <c r="BR48" s="336" t="n"/>
      <c r="BS48" s="336" t="n"/>
      <c r="BT48" s="336" t="n"/>
      <c r="BU48" s="336" t="n"/>
      <c r="BV48" s="336" t="n"/>
      <c r="BW48" s="336" t="n"/>
      <c r="BX48" s="336" t="n"/>
      <c r="BY48" s="336" t="n"/>
      <c r="BZ48" s="336" t="n"/>
      <c r="CA48" s="336" t="n"/>
      <c r="CB48" s="336" t="n"/>
      <c r="CC48" s="336" t="n"/>
      <c r="CD48" s="336" t="n"/>
      <c r="CE48" s="336" t="n"/>
      <c r="CF48" s="361" t="n"/>
    </row>
    <row r="49" customFormat="1" s="538">
      <c r="A49" s="350" t="n"/>
      <c r="B49" s="350" t="n"/>
      <c r="C49" s="353" t="n"/>
      <c r="D49" s="333" t="n"/>
      <c r="E49" s="332" t="n"/>
      <c r="F49" s="336" t="n"/>
      <c r="G49" s="336" t="n"/>
      <c r="H49" s="335" t="n"/>
      <c r="I49" s="336" t="n"/>
      <c r="J49" s="336" t="n"/>
      <c r="K49" s="336" t="n"/>
      <c r="L49" s="336" t="n"/>
      <c r="M49" s="336" t="n"/>
      <c r="N49" s="336" t="n"/>
      <c r="O49" s="336" t="n"/>
      <c r="P49" s="430" t="n"/>
      <c r="Q49" s="430" t="n"/>
      <c r="R49" s="430" t="n"/>
      <c r="S49" s="430" t="n"/>
      <c r="T49" s="430" t="n"/>
      <c r="U49" s="430" t="n"/>
      <c r="V49" s="430" t="n"/>
      <c r="W49" s="430" t="n"/>
      <c r="X49" s="430" t="n"/>
      <c r="Y49" s="430" t="n"/>
      <c r="Z49" s="430" t="n"/>
      <c r="AA49" s="430" t="n"/>
      <c r="AB49" s="430" t="n"/>
      <c r="AC49" s="338" t="n"/>
      <c r="AD49" s="338" t="n"/>
      <c r="AE49" s="338" t="n"/>
      <c r="AF49" s="338" t="n"/>
      <c r="AG49" s="339" t="n"/>
      <c r="AH49" s="339" t="n"/>
      <c r="AI49" s="339" t="n"/>
      <c r="AJ49" s="339" t="n"/>
      <c r="AK49" s="339" t="n"/>
      <c r="AL49" s="339" t="n"/>
      <c r="AM49" s="339" t="n"/>
      <c r="AN49" s="339" t="n"/>
      <c r="AO49" s="339" t="n"/>
      <c r="AP49" s="339" t="n"/>
      <c r="AQ49" s="339" t="n"/>
      <c r="AR49" s="339" t="n"/>
      <c r="AS49" s="339" t="n"/>
      <c r="AT49" s="339" t="n"/>
      <c r="AU49" s="339" t="n"/>
      <c r="AV49" s="339" t="n"/>
      <c r="AW49" s="339" t="n"/>
      <c r="AX49" s="430" t="n"/>
      <c r="AY49" s="336" t="n"/>
      <c r="AZ49" s="336" t="n"/>
      <c r="BA49" s="336" t="n"/>
      <c r="BB49" s="336" t="n"/>
      <c r="BC49" s="336" t="n"/>
      <c r="BD49" s="336" t="n"/>
      <c r="BE49" s="336" t="n"/>
      <c r="BF49" s="336" t="n"/>
      <c r="BG49" s="336" t="n"/>
      <c r="BH49" s="336" t="n"/>
      <c r="BI49" s="336" t="n"/>
      <c r="BJ49" s="336" t="n"/>
      <c r="BK49" s="336" t="n"/>
      <c r="BL49" s="336" t="n"/>
      <c r="BM49" s="336" t="n"/>
      <c r="BN49" s="336" t="n"/>
      <c r="BO49" s="336" t="n"/>
      <c r="BP49" s="336" t="n"/>
      <c r="BQ49" s="336" t="n"/>
      <c r="BR49" s="336" t="n"/>
      <c r="BS49" s="336" t="n"/>
      <c r="BT49" s="336" t="n"/>
      <c r="BU49" s="336" t="n"/>
      <c r="BV49" s="336" t="n"/>
      <c r="BW49" s="336" t="n"/>
      <c r="BX49" s="336" t="n"/>
      <c r="BY49" s="336" t="n"/>
      <c r="BZ49" s="336" t="n"/>
      <c r="CA49" s="336" t="n"/>
      <c r="CB49" s="336" t="n"/>
      <c r="CC49" s="336" t="n"/>
      <c r="CD49" s="336" t="n"/>
      <c r="CE49" s="336" t="n"/>
    </row>
    <row r="50" customFormat="1" s="538">
      <c r="A50" s="350" t="n"/>
      <c r="B50" s="350" t="n"/>
      <c r="C50" s="353" t="n"/>
      <c r="D50" s="333" t="n"/>
      <c r="E50" s="332" t="n"/>
      <c r="F50" s="336" t="n"/>
      <c r="G50" s="336" t="n"/>
      <c r="H50" s="335" t="n"/>
      <c r="I50" s="336" t="n"/>
      <c r="J50" s="336" t="n"/>
      <c r="K50" s="336" t="n"/>
      <c r="L50" s="336" t="n"/>
      <c r="M50" s="336" t="n"/>
      <c r="N50" s="336" t="n"/>
      <c r="O50" s="336" t="n"/>
      <c r="P50" s="430" t="n"/>
      <c r="Q50" s="430" t="n"/>
      <c r="R50" s="430" t="n"/>
      <c r="S50" s="430" t="n"/>
      <c r="T50" s="430" t="n"/>
      <c r="U50" s="430" t="n"/>
      <c r="V50" s="430" t="n"/>
      <c r="W50" s="430" t="n"/>
      <c r="X50" s="430" t="n"/>
      <c r="Y50" s="430" t="n"/>
      <c r="Z50" s="430" t="n"/>
      <c r="AA50" s="430" t="n"/>
      <c r="AB50" s="430" t="n"/>
      <c r="AC50" s="338" t="n"/>
      <c r="AD50" s="338" t="n"/>
      <c r="AE50" s="338" t="n"/>
      <c r="AF50" s="338" t="n"/>
      <c r="AG50" s="339" t="n"/>
      <c r="AH50" s="339" t="n"/>
      <c r="AI50" s="339" t="n"/>
      <c r="AJ50" s="339" t="n"/>
      <c r="AK50" s="339" t="n"/>
      <c r="AL50" s="339" t="n"/>
      <c r="AM50" s="339" t="n"/>
      <c r="AN50" s="339" t="n"/>
      <c r="AO50" s="339" t="n"/>
      <c r="AP50" s="339" t="n"/>
      <c r="AQ50" s="339" t="n"/>
      <c r="AR50" s="339" t="n"/>
      <c r="AS50" s="339" t="n"/>
      <c r="AT50" s="339" t="n"/>
      <c r="AU50" s="339" t="n"/>
      <c r="AV50" s="339" t="n"/>
      <c r="AW50" s="339" t="n"/>
      <c r="AX50" s="430" t="n"/>
      <c r="AY50" s="336" t="n"/>
      <c r="AZ50" s="336" t="n"/>
      <c r="BA50" s="336" t="n"/>
      <c r="BB50" s="336" t="n"/>
      <c r="BC50" s="336" t="n"/>
      <c r="BD50" s="336" t="n"/>
      <c r="BE50" s="336" t="n"/>
      <c r="BF50" s="336" t="n"/>
      <c r="BG50" s="336" t="n"/>
      <c r="BH50" s="336" t="n"/>
      <c r="BI50" s="336" t="n"/>
      <c r="BJ50" s="336" t="n"/>
      <c r="BK50" s="336" t="n"/>
      <c r="BL50" s="336" t="n"/>
      <c r="BM50" s="336" t="n"/>
      <c r="BN50" s="336" t="n"/>
      <c r="BO50" s="336" t="n"/>
      <c r="BP50" s="336" t="n"/>
      <c r="BQ50" s="336" t="n"/>
      <c r="BR50" s="336" t="n"/>
      <c r="BS50" s="336" t="n"/>
      <c r="BT50" s="336" t="n"/>
      <c r="BU50" s="336" t="n"/>
      <c r="BV50" s="336" t="n"/>
      <c r="BW50" s="336" t="n"/>
      <c r="BX50" s="336" t="n"/>
      <c r="BY50" s="336" t="n"/>
      <c r="BZ50" s="336" t="n"/>
      <c r="CA50" s="336" t="n"/>
      <c r="CB50" s="336" t="n"/>
      <c r="CC50" s="336" t="n"/>
      <c r="CD50" s="336" t="n"/>
      <c r="CE50" s="336" t="n"/>
    </row>
    <row r="51" customFormat="1" s="538">
      <c r="A51" s="350" t="n"/>
      <c r="B51" s="350" t="n"/>
      <c r="C51" s="353" t="n"/>
      <c r="D51" s="333" t="n"/>
      <c r="E51" s="332" t="n"/>
      <c r="F51" s="336" t="n"/>
      <c r="G51" s="336" t="n"/>
      <c r="H51" s="335" t="n"/>
      <c r="I51" s="336" t="n"/>
      <c r="J51" s="336" t="n"/>
      <c r="K51" s="336" t="n"/>
      <c r="L51" s="336" t="n"/>
      <c r="M51" s="336" t="n"/>
      <c r="N51" s="336" t="n"/>
      <c r="O51" s="336" t="n"/>
      <c r="P51" s="430" t="n"/>
      <c r="Q51" s="430" t="n"/>
      <c r="R51" s="430" t="n"/>
      <c r="S51" s="430" t="n"/>
      <c r="T51" s="430" t="n"/>
      <c r="U51" s="430" t="n"/>
      <c r="V51" s="430" t="n"/>
      <c r="W51" s="430" t="n"/>
      <c r="X51" s="430" t="n"/>
      <c r="Y51" s="430" t="n"/>
      <c r="Z51" s="430" t="n"/>
      <c r="AA51" s="430" t="n"/>
      <c r="AB51" s="430" t="n"/>
      <c r="AC51" s="338" t="n"/>
      <c r="AD51" s="338" t="n"/>
      <c r="AE51" s="338" t="n"/>
      <c r="AF51" s="338" t="n"/>
      <c r="AG51" s="339" t="n"/>
      <c r="AH51" s="339" t="n"/>
      <c r="AI51" s="339" t="n"/>
      <c r="AJ51" s="339" t="n"/>
      <c r="AK51" s="339" t="n"/>
      <c r="AL51" s="339" t="n"/>
      <c r="AM51" s="339" t="n"/>
      <c r="AN51" s="339" t="n"/>
      <c r="AO51" s="339" t="n"/>
      <c r="AP51" s="339" t="n"/>
      <c r="AQ51" s="339" t="n"/>
      <c r="AR51" s="339" t="n"/>
      <c r="AS51" s="339" t="n"/>
      <c r="AT51" s="339" t="n"/>
      <c r="AU51" s="339" t="n"/>
      <c r="AV51" s="339" t="n"/>
      <c r="AW51" s="339" t="n"/>
      <c r="AX51" s="430" t="n"/>
      <c r="AY51" s="336" t="n"/>
      <c r="AZ51" s="336" t="n"/>
      <c r="BA51" s="336" t="n"/>
      <c r="BB51" s="336" t="n"/>
      <c r="BC51" s="336" t="n"/>
      <c r="BD51" s="336" t="n"/>
      <c r="BE51" s="336" t="n"/>
      <c r="BF51" s="336" t="n"/>
      <c r="BG51" s="336" t="n"/>
      <c r="BH51" s="336" t="n"/>
      <c r="BI51" s="336" t="n"/>
      <c r="BJ51" s="336" t="n"/>
      <c r="BK51" s="336" t="n"/>
      <c r="BL51" s="336" t="n"/>
      <c r="BM51" s="336" t="n"/>
      <c r="BN51" s="336" t="n"/>
      <c r="BO51" s="336" t="n"/>
      <c r="BP51" s="336" t="n"/>
      <c r="BQ51" s="336" t="n"/>
      <c r="BR51" s="336" t="n"/>
      <c r="BS51" s="336" t="n"/>
      <c r="BT51" s="336" t="n"/>
      <c r="BU51" s="336" t="n"/>
      <c r="BV51" s="336" t="n"/>
      <c r="BW51" s="336" t="n"/>
      <c r="BX51" s="336" t="n"/>
      <c r="BY51" s="336" t="n"/>
      <c r="BZ51" s="336" t="n"/>
      <c r="CA51" s="336" t="n"/>
      <c r="CB51" s="336" t="n"/>
      <c r="CC51" s="336" t="n"/>
      <c r="CD51" s="336" t="n"/>
      <c r="CE51" s="336" t="n"/>
    </row>
    <row r="52" customFormat="1" s="538">
      <c r="A52" s="342" t="n"/>
      <c r="B52" s="358" t="n"/>
      <c r="C52" s="344" t="n"/>
      <c r="D52" s="345" t="n"/>
      <c r="E52" s="346" t="n"/>
      <c r="F52" s="336" t="n"/>
      <c r="G52" s="336" t="n"/>
      <c r="H52" s="336" t="n"/>
      <c r="I52" s="336" t="n"/>
      <c r="J52" s="336" t="n"/>
      <c r="K52" s="336" t="n"/>
      <c r="L52" s="336" t="n"/>
      <c r="M52" s="336" t="n"/>
      <c r="N52" s="336" t="n"/>
      <c r="O52" s="336" t="n"/>
      <c r="P52" s="357" t="n"/>
      <c r="Q52" s="357" t="n"/>
      <c r="R52" s="357" t="n"/>
      <c r="S52" s="357" t="n"/>
      <c r="T52" s="357" t="n"/>
      <c r="U52" s="357" t="n"/>
      <c r="V52" s="357" t="n"/>
      <c r="W52" s="357" t="n"/>
      <c r="X52" s="357" t="n"/>
      <c r="Y52" s="357" t="n"/>
      <c r="Z52" s="357" t="n"/>
      <c r="AA52" s="357" t="n"/>
      <c r="AB52" s="336" t="n"/>
      <c r="AC52" s="338" t="n"/>
      <c r="AD52" s="338" t="n"/>
      <c r="AE52" s="338" t="n"/>
      <c r="AF52" s="338" t="n"/>
      <c r="AG52" s="339" t="n"/>
      <c r="AH52" s="339" t="n"/>
      <c r="AI52" s="339" t="n"/>
      <c r="AJ52" s="339" t="n"/>
      <c r="AK52" s="339" t="n"/>
      <c r="AL52" s="339" t="n"/>
      <c r="AM52" s="339" t="n"/>
      <c r="AN52" s="339" t="n"/>
      <c r="AO52" s="339" t="n"/>
      <c r="AP52" s="339" t="n"/>
      <c r="AQ52" s="339" t="n"/>
      <c r="AR52" s="339" t="n"/>
      <c r="AS52" s="339" t="n"/>
      <c r="AT52" s="339" t="n"/>
      <c r="AU52" s="339" t="n"/>
      <c r="AV52" s="339" t="n"/>
      <c r="AW52" s="339" t="n"/>
      <c r="AX52" s="357" t="n"/>
      <c r="AY52" s="336" t="n"/>
      <c r="AZ52" s="336" t="n"/>
      <c r="BA52" s="336" t="n"/>
      <c r="BB52" s="336" t="n"/>
      <c r="BC52" s="336" t="n"/>
      <c r="BD52" s="336" t="n"/>
      <c r="BE52" s="336" t="n"/>
      <c r="BF52" s="336" t="n"/>
      <c r="BG52" s="336" t="n"/>
      <c r="BH52" s="336" t="n"/>
      <c r="BI52" s="336" t="n"/>
      <c r="BJ52" s="336" t="n"/>
      <c r="BK52" s="336" t="n"/>
      <c r="BL52" s="336" t="n"/>
      <c r="BM52" s="336" t="n"/>
      <c r="BN52" s="336" t="n"/>
      <c r="BO52" s="336" t="n"/>
      <c r="BP52" s="336" t="n"/>
      <c r="BQ52" s="336" t="n"/>
      <c r="BR52" s="336" t="n"/>
      <c r="BS52" s="336" t="n"/>
      <c r="BT52" s="336" t="n"/>
      <c r="BU52" s="336" t="n"/>
      <c r="BV52" s="336" t="n"/>
      <c r="BW52" s="336" t="n"/>
      <c r="BX52" s="336" t="n"/>
      <c r="BY52" s="336" t="n"/>
      <c r="BZ52" s="336" t="n"/>
      <c r="CA52" s="336" t="n"/>
      <c r="CB52" s="336" t="n"/>
      <c r="CC52" s="336" t="n"/>
      <c r="CD52" s="336" t="n"/>
      <c r="CE52" s="336" t="n"/>
      <c r="CF52" s="361" t="n"/>
    </row>
    <row r="53" customFormat="1" s="538">
      <c r="A53" s="349" t="n"/>
      <c r="B53" s="350" t="n"/>
      <c r="C53" s="353" t="n"/>
      <c r="D53" s="333" t="n"/>
      <c r="E53" s="332" t="n"/>
      <c r="F53" s="336" t="n"/>
      <c r="G53" s="336" t="n"/>
      <c r="H53" s="335" t="n"/>
      <c r="I53" s="336" t="n"/>
      <c r="J53" s="336" t="n"/>
      <c r="K53" s="336" t="n"/>
      <c r="L53" s="336" t="n"/>
      <c r="M53" s="336" t="n"/>
      <c r="N53" s="336" t="n"/>
      <c r="O53" s="336" t="n"/>
      <c r="P53" s="430" t="n"/>
      <c r="Q53" s="430" t="n"/>
      <c r="R53" s="430" t="n"/>
      <c r="S53" s="430" t="n"/>
      <c r="T53" s="430" t="n"/>
      <c r="U53" s="430" t="n"/>
      <c r="V53" s="430" t="n"/>
      <c r="W53" s="430" t="n"/>
      <c r="X53" s="430" t="n"/>
      <c r="Y53" s="430" t="n"/>
      <c r="Z53" s="430" t="n"/>
      <c r="AA53" s="430" t="n"/>
      <c r="AB53" s="430" t="n"/>
      <c r="AC53" s="338" t="n"/>
      <c r="AD53" s="338" t="n"/>
      <c r="AE53" s="338" t="n"/>
      <c r="AF53" s="338" t="n"/>
      <c r="AG53" s="339" t="n"/>
      <c r="AH53" s="339" t="n"/>
      <c r="AI53" s="339" t="n"/>
      <c r="AJ53" s="339" t="n"/>
      <c r="AK53" s="339" t="n"/>
      <c r="AL53" s="339" t="n"/>
      <c r="AM53" s="339" t="n"/>
      <c r="AN53" s="339" t="n"/>
      <c r="AO53" s="339" t="n"/>
      <c r="AP53" s="339" t="n"/>
      <c r="AQ53" s="339" t="n"/>
      <c r="AR53" s="339" t="n"/>
      <c r="AS53" s="339" t="n"/>
      <c r="AT53" s="339" t="n"/>
      <c r="AU53" s="339" t="n"/>
      <c r="AV53" s="339" t="n"/>
      <c r="AW53" s="339" t="n"/>
      <c r="AX53" s="430" t="n"/>
      <c r="AY53" s="336" t="n"/>
      <c r="AZ53" s="336" t="n"/>
      <c r="BA53" s="336" t="n"/>
      <c r="BB53" s="336" t="n"/>
      <c r="BC53" s="336" t="n"/>
      <c r="BD53" s="336" t="n"/>
      <c r="BE53" s="336" t="n"/>
      <c r="BF53" s="336" t="n"/>
      <c r="BG53" s="336" t="n"/>
      <c r="BH53" s="336" t="n"/>
      <c r="BI53" s="336" t="n"/>
      <c r="BJ53" s="336" t="n"/>
      <c r="BK53" s="336" t="n"/>
      <c r="BL53" s="336" t="n"/>
      <c r="BM53" s="336" t="n"/>
      <c r="BN53" s="336" t="n"/>
      <c r="BO53" s="336" t="n"/>
      <c r="BP53" s="336" t="n"/>
      <c r="BQ53" s="336" t="n"/>
      <c r="BR53" s="336" t="n"/>
      <c r="BS53" s="336" t="n"/>
      <c r="BT53" s="336" t="n"/>
      <c r="BU53" s="336" t="n"/>
      <c r="BV53" s="336" t="n"/>
      <c r="BW53" s="336" t="n"/>
      <c r="BX53" s="336" t="n"/>
      <c r="BY53" s="336" t="n"/>
      <c r="BZ53" s="336" t="n"/>
      <c r="CA53" s="336" t="n"/>
      <c r="CB53" s="336" t="n"/>
      <c r="CC53" s="336" t="n"/>
      <c r="CD53" s="336" t="n"/>
      <c r="CE53" s="336" t="n"/>
    </row>
    <row r="54" customFormat="1" s="538">
      <c r="A54" s="349" t="n"/>
      <c r="B54" s="350" t="n"/>
      <c r="C54" s="353" t="n"/>
      <c r="D54" s="333" t="n"/>
      <c r="E54" s="332" t="n"/>
      <c r="F54" s="336" t="n"/>
      <c r="G54" s="336" t="n"/>
      <c r="H54" s="335" t="n"/>
      <c r="I54" s="336" t="n"/>
      <c r="J54" s="336" t="n"/>
      <c r="K54" s="336" t="n"/>
      <c r="L54" s="336" t="n"/>
      <c r="M54" s="336" t="n"/>
      <c r="N54" s="336" t="n"/>
      <c r="O54" s="336" t="n"/>
      <c r="P54" s="430" t="n"/>
      <c r="Q54" s="430" t="n"/>
      <c r="R54" s="430" t="n"/>
      <c r="S54" s="430" t="n"/>
      <c r="T54" s="430" t="n"/>
      <c r="U54" s="430" t="n"/>
      <c r="V54" s="430" t="n"/>
      <c r="W54" s="430" t="n"/>
      <c r="X54" s="430" t="n"/>
      <c r="Y54" s="430" t="n"/>
      <c r="Z54" s="430" t="n"/>
      <c r="AA54" s="430" t="n"/>
      <c r="AB54" s="430" t="n"/>
      <c r="AC54" s="357" t="n"/>
      <c r="AD54" s="357" t="n"/>
      <c r="AE54" s="357" t="n"/>
      <c r="AF54" s="357" t="n"/>
      <c r="AG54" s="339" t="n"/>
      <c r="AH54" s="339" t="n"/>
      <c r="AI54" s="339" t="n"/>
      <c r="AJ54" s="339" t="n"/>
      <c r="AK54" s="339" t="n"/>
      <c r="AL54" s="339" t="n"/>
      <c r="AM54" s="339" t="n"/>
      <c r="AN54" s="339" t="n"/>
      <c r="AO54" s="339" t="n"/>
      <c r="AP54" s="339" t="n"/>
      <c r="AQ54" s="339" t="n"/>
      <c r="AR54" s="339" t="n"/>
      <c r="AS54" s="339" t="n"/>
      <c r="AT54" s="357" t="n"/>
      <c r="AU54" s="357" t="n"/>
      <c r="AV54" s="357" t="n"/>
      <c r="AW54" s="357" t="n"/>
      <c r="AX54" s="430" t="n"/>
      <c r="AY54" s="336" t="n"/>
      <c r="AZ54" s="336" t="n"/>
      <c r="BA54" s="336" t="n"/>
      <c r="BB54" s="336" t="n"/>
      <c r="BC54" s="336" t="n"/>
      <c r="BD54" s="336" t="n"/>
      <c r="BE54" s="336" t="n"/>
      <c r="BF54" s="336" t="n"/>
      <c r="BG54" s="336" t="n"/>
      <c r="BH54" s="336" t="n"/>
      <c r="BI54" s="336" t="n"/>
      <c r="BJ54" s="336" t="n"/>
      <c r="BK54" s="336" t="n"/>
      <c r="BL54" s="336" t="n"/>
      <c r="BM54" s="336" t="n"/>
      <c r="BN54" s="336" t="n"/>
      <c r="BO54" s="336" t="n"/>
      <c r="BP54" s="336" t="n"/>
      <c r="BQ54" s="336" t="n"/>
      <c r="BR54" s="336" t="n"/>
      <c r="BS54" s="336" t="n"/>
      <c r="BT54" s="336" t="n"/>
      <c r="BU54" s="336" t="n"/>
      <c r="BV54" s="336" t="n"/>
      <c r="BW54" s="336" t="n"/>
      <c r="BX54" s="336" t="n"/>
      <c r="BY54" s="336" t="n"/>
      <c r="BZ54" s="336" t="n"/>
      <c r="CA54" s="336" t="n"/>
      <c r="CB54" s="336" t="n"/>
      <c r="CC54" s="336" t="n"/>
      <c r="CD54" s="336" t="n"/>
      <c r="CE54" s="336" t="n"/>
    </row>
    <row r="55" customFormat="1" s="538">
      <c r="A55" s="349" t="n"/>
      <c r="B55" s="350" t="n"/>
      <c r="C55" s="353" t="n"/>
      <c r="D55" s="333" t="n"/>
      <c r="E55" s="332" t="n"/>
      <c r="F55" s="336" t="n"/>
      <c r="G55" s="336" t="n"/>
      <c r="H55" s="335" t="n"/>
      <c r="I55" s="336" t="n"/>
      <c r="J55" s="336" t="n"/>
      <c r="K55" s="336" t="n"/>
      <c r="L55" s="336" t="n"/>
      <c r="M55" s="336" t="n"/>
      <c r="N55" s="336" t="n"/>
      <c r="O55" s="336" t="n"/>
      <c r="P55" s="430" t="n"/>
      <c r="Q55" s="430" t="n"/>
      <c r="R55" s="430" t="n"/>
      <c r="S55" s="430" t="n"/>
      <c r="T55" s="430" t="n"/>
      <c r="U55" s="430" t="n"/>
      <c r="V55" s="430" t="n"/>
      <c r="W55" s="430" t="n"/>
      <c r="X55" s="430" t="n"/>
      <c r="Y55" s="430" t="n"/>
      <c r="Z55" s="430" t="n"/>
      <c r="AA55" s="430" t="n"/>
      <c r="AB55" s="430" t="n"/>
      <c r="AC55" s="338" t="n"/>
      <c r="AD55" s="338" t="n"/>
      <c r="AE55" s="338" t="n"/>
      <c r="AF55" s="338" t="n"/>
      <c r="AG55" s="339" t="n"/>
      <c r="AH55" s="339" t="n"/>
      <c r="AI55" s="339" t="n"/>
      <c r="AJ55" s="339" t="n"/>
      <c r="AK55" s="339" t="n"/>
      <c r="AL55" s="339" t="n"/>
      <c r="AM55" s="339" t="n"/>
      <c r="AN55" s="339" t="n"/>
      <c r="AO55" s="339" t="n"/>
      <c r="AP55" s="339" t="n"/>
      <c r="AQ55" s="339" t="n"/>
      <c r="AR55" s="339" t="n"/>
      <c r="AS55" s="339" t="n"/>
      <c r="AT55" s="339" t="n"/>
      <c r="AU55" s="339" t="n"/>
      <c r="AV55" s="339" t="n"/>
      <c r="AW55" s="339" t="n"/>
      <c r="AX55" s="430" t="n"/>
      <c r="AY55" s="336" t="n"/>
      <c r="AZ55" s="336" t="n"/>
      <c r="BA55" s="336" t="n"/>
      <c r="BB55" s="336" t="n"/>
      <c r="BC55" s="336" t="n"/>
      <c r="BD55" s="336" t="n"/>
      <c r="BE55" s="336" t="n"/>
      <c r="BF55" s="336" t="n"/>
      <c r="BG55" s="336" t="n"/>
      <c r="BH55" s="336" t="n"/>
      <c r="BI55" s="336" t="n"/>
      <c r="BJ55" s="336" t="n"/>
      <c r="BK55" s="336" t="n"/>
      <c r="BL55" s="336" t="n"/>
      <c r="BM55" s="336" t="n"/>
      <c r="BN55" s="336" t="n"/>
      <c r="BO55" s="336" t="n"/>
      <c r="BP55" s="336" t="n"/>
      <c r="BQ55" s="336" t="n"/>
      <c r="BR55" s="336" t="n"/>
      <c r="BS55" s="336" t="n"/>
      <c r="BT55" s="336" t="n"/>
      <c r="BU55" s="336" t="n"/>
      <c r="BV55" s="336" t="n"/>
      <c r="BW55" s="336" t="n"/>
      <c r="BX55" s="336" t="n"/>
      <c r="BY55" s="336" t="n"/>
      <c r="BZ55" s="336" t="n"/>
      <c r="CA55" s="336" t="n"/>
      <c r="CB55" s="336" t="n"/>
      <c r="CC55" s="336" t="n"/>
      <c r="CD55" s="336" t="n"/>
      <c r="CE55" s="336" t="n"/>
    </row>
    <row r="56" customFormat="1" s="538">
      <c r="A56" s="349" t="n"/>
      <c r="B56" s="350" t="n"/>
      <c r="C56" s="353" t="n"/>
      <c r="D56" s="333" t="n"/>
      <c r="E56" s="332" t="n"/>
      <c r="F56" s="336" t="n"/>
      <c r="G56" s="336" t="n"/>
      <c r="H56" s="335" t="n"/>
      <c r="I56" s="336" t="n"/>
      <c r="J56" s="336" t="n"/>
      <c r="K56" s="336" t="n"/>
      <c r="L56" s="336" t="n"/>
      <c r="M56" s="336" t="n"/>
      <c r="N56" s="336" t="n"/>
      <c r="O56" s="336" t="n"/>
      <c r="P56" s="430" t="n"/>
      <c r="Q56" s="430" t="n"/>
      <c r="R56" s="430" t="n"/>
      <c r="S56" s="430" t="n"/>
      <c r="T56" s="430" t="n"/>
      <c r="U56" s="430" t="n"/>
      <c r="V56" s="430" t="n"/>
      <c r="W56" s="430" t="n"/>
      <c r="X56" s="430" t="n"/>
      <c r="Y56" s="430" t="n"/>
      <c r="Z56" s="430" t="n"/>
      <c r="AA56" s="430" t="n"/>
      <c r="AB56" s="430" t="n"/>
      <c r="AC56" s="338" t="n"/>
      <c r="AD56" s="338" t="n"/>
      <c r="AE56" s="338" t="n"/>
      <c r="AF56" s="338" t="n"/>
      <c r="AG56" s="339" t="n"/>
      <c r="AH56" s="339" t="n"/>
      <c r="AI56" s="339" t="n"/>
      <c r="AJ56" s="339" t="n"/>
      <c r="AK56" s="339" t="n"/>
      <c r="AL56" s="339" t="n"/>
      <c r="AM56" s="339" t="n"/>
      <c r="AN56" s="339" t="n"/>
      <c r="AO56" s="339" t="n"/>
      <c r="AP56" s="339" t="n"/>
      <c r="AQ56" s="339" t="n"/>
      <c r="AR56" s="339" t="n"/>
      <c r="AS56" s="339" t="n"/>
      <c r="AT56" s="339" t="n"/>
      <c r="AU56" s="339" t="n"/>
      <c r="AV56" s="339" t="n"/>
      <c r="AW56" s="339" t="n"/>
      <c r="AX56" s="430" t="n"/>
      <c r="AY56" s="336" t="n"/>
      <c r="AZ56" s="336" t="n"/>
      <c r="BA56" s="336" t="n"/>
      <c r="BB56" s="336" t="n"/>
      <c r="BC56" s="336" t="n"/>
      <c r="BD56" s="336" t="n"/>
      <c r="BE56" s="336" t="n"/>
      <c r="BF56" s="336" t="n"/>
      <c r="BG56" s="336" t="n"/>
      <c r="BH56" s="336" t="n"/>
      <c r="BI56" s="336" t="n"/>
      <c r="BJ56" s="336" t="n"/>
      <c r="BK56" s="336" t="n"/>
      <c r="BL56" s="336" t="n"/>
      <c r="BM56" s="336" t="n"/>
      <c r="BN56" s="336" t="n"/>
      <c r="BO56" s="336" t="n"/>
      <c r="BP56" s="336" t="n"/>
      <c r="BQ56" s="336" t="n"/>
      <c r="BR56" s="336" t="n"/>
      <c r="BS56" s="336" t="n"/>
      <c r="BT56" s="336" t="n"/>
      <c r="BU56" s="336" t="n"/>
      <c r="BV56" s="336" t="n"/>
      <c r="BW56" s="336" t="n"/>
      <c r="BX56" s="336" t="n"/>
      <c r="BY56" s="336" t="n"/>
      <c r="BZ56" s="336" t="n"/>
      <c r="CA56" s="336" t="n"/>
      <c r="CB56" s="336" t="n"/>
      <c r="CC56" s="336" t="n"/>
      <c r="CD56" s="336" t="n"/>
      <c r="CE56" s="336" t="n"/>
    </row>
    <row r="57" customFormat="1" s="538">
      <c r="A57" s="349" t="n"/>
      <c r="B57" s="350" t="n"/>
      <c r="C57" s="353" t="n"/>
      <c r="D57" s="333" t="n"/>
      <c r="E57" s="332" t="n"/>
      <c r="F57" s="336" t="n"/>
      <c r="G57" s="336" t="n"/>
      <c r="H57" s="335" t="n"/>
      <c r="I57" s="336" t="n"/>
      <c r="J57" s="336" t="n"/>
      <c r="K57" s="336" t="n"/>
      <c r="L57" s="336" t="n"/>
      <c r="M57" s="336" t="n"/>
      <c r="N57" s="336" t="n"/>
      <c r="O57" s="336" t="n"/>
      <c r="P57" s="430" t="n"/>
      <c r="Q57" s="430" t="n"/>
      <c r="R57" s="430" t="n"/>
      <c r="S57" s="430" t="n"/>
      <c r="T57" s="430" t="n"/>
      <c r="U57" s="430" t="n"/>
      <c r="V57" s="430" t="n"/>
      <c r="W57" s="430" t="n"/>
      <c r="X57" s="430" t="n"/>
      <c r="Y57" s="430" t="n"/>
      <c r="Z57" s="430" t="n"/>
      <c r="AA57" s="430" t="n"/>
      <c r="AB57" s="430" t="n"/>
      <c r="AC57" s="338" t="n"/>
      <c r="AD57" s="338" t="n"/>
      <c r="AE57" s="338" t="n"/>
      <c r="AF57" s="338" t="n"/>
      <c r="AG57" s="339" t="n"/>
      <c r="AH57" s="339" t="n"/>
      <c r="AI57" s="339" t="n"/>
      <c r="AJ57" s="339" t="n"/>
      <c r="AK57" s="339" t="n"/>
      <c r="AL57" s="339" t="n"/>
      <c r="AM57" s="339" t="n"/>
      <c r="AN57" s="339" t="n"/>
      <c r="AO57" s="339" t="n"/>
      <c r="AP57" s="339" t="n"/>
      <c r="AQ57" s="339" t="n"/>
      <c r="AR57" s="339" t="n"/>
      <c r="AS57" s="339" t="n"/>
      <c r="AT57" s="339" t="n"/>
      <c r="AU57" s="339" t="n"/>
      <c r="AV57" s="339" t="n"/>
      <c r="AW57" s="339" t="n"/>
      <c r="AX57" s="430" t="n"/>
      <c r="AY57" s="336" t="n"/>
      <c r="AZ57" s="336" t="n"/>
      <c r="BA57" s="336" t="n"/>
      <c r="BB57" s="336" t="n"/>
      <c r="BC57" s="336" t="n"/>
      <c r="BD57" s="336" t="n"/>
      <c r="BE57" s="336" t="n"/>
      <c r="BF57" s="336" t="n"/>
      <c r="BG57" s="336" t="n"/>
      <c r="BH57" s="336" t="n"/>
      <c r="BI57" s="336" t="n"/>
      <c r="BJ57" s="336" t="n"/>
      <c r="BK57" s="336" t="n"/>
      <c r="BL57" s="336" t="n"/>
      <c r="BM57" s="336" t="n"/>
      <c r="BN57" s="336" t="n"/>
      <c r="BO57" s="336" t="n"/>
      <c r="BP57" s="336" t="n"/>
      <c r="BQ57" s="336" t="n"/>
      <c r="BR57" s="336" t="n"/>
      <c r="BS57" s="336" t="n"/>
      <c r="BT57" s="336" t="n"/>
      <c r="BU57" s="336" t="n"/>
      <c r="BV57" s="336" t="n"/>
      <c r="BW57" s="336" t="n"/>
      <c r="BX57" s="336" t="n"/>
      <c r="BY57" s="336" t="n"/>
      <c r="BZ57" s="336" t="n"/>
      <c r="CA57" s="336" t="n"/>
      <c r="CB57" s="336" t="n"/>
      <c r="CC57" s="336" t="n"/>
      <c r="CD57" s="336" t="n"/>
      <c r="CE57" s="336" t="n"/>
    </row>
    <row r="58" customFormat="1" s="538">
      <c r="A58" s="358" t="n"/>
      <c r="B58" s="358" t="n"/>
      <c r="C58" s="344" t="n"/>
      <c r="D58" s="345" t="n"/>
      <c r="E58" s="346" t="n"/>
      <c r="F58" s="336" t="n"/>
      <c r="G58" s="336" t="n"/>
      <c r="H58" s="336" t="n"/>
      <c r="I58" s="336" t="n"/>
      <c r="J58" s="336" t="n"/>
      <c r="K58" s="336" t="n"/>
      <c r="L58" s="336" t="n"/>
      <c r="M58" s="336" t="n"/>
      <c r="N58" s="336" t="n"/>
      <c r="O58" s="336" t="n"/>
      <c r="P58" s="357" t="n"/>
      <c r="Q58" s="357" t="n"/>
      <c r="R58" s="357" t="n"/>
      <c r="S58" s="357" t="n"/>
      <c r="T58" s="357" t="n"/>
      <c r="U58" s="357" t="n"/>
      <c r="V58" s="357" t="n"/>
      <c r="W58" s="357" t="n"/>
      <c r="X58" s="357" t="n"/>
      <c r="Y58" s="357" t="n"/>
      <c r="Z58" s="357" t="n"/>
      <c r="AA58" s="357" t="n"/>
      <c r="AB58" s="336" t="n"/>
      <c r="AC58" s="357" t="n"/>
      <c r="AD58" s="357" t="n"/>
      <c r="AE58" s="357" t="n"/>
      <c r="AF58" s="357" t="n"/>
      <c r="AG58" s="339" t="n"/>
      <c r="AH58" s="339" t="n"/>
      <c r="AI58" s="339" t="n"/>
      <c r="AJ58" s="339" t="n"/>
      <c r="AK58" s="339" t="n"/>
      <c r="AL58" s="339" t="n"/>
      <c r="AM58" s="339" t="n"/>
      <c r="AN58" s="339" t="n"/>
      <c r="AO58" s="339" t="n"/>
      <c r="AP58" s="339" t="n"/>
      <c r="AQ58" s="339" t="n"/>
      <c r="AR58" s="339" t="n"/>
      <c r="AS58" s="339" t="n"/>
      <c r="AT58" s="339" t="n"/>
      <c r="AU58" s="339" t="n"/>
      <c r="AV58" s="339" t="n"/>
      <c r="AW58" s="339" t="n"/>
      <c r="AX58" s="357" t="n"/>
      <c r="AY58" s="336" t="n"/>
      <c r="AZ58" s="336" t="n"/>
      <c r="BA58" s="336" t="n"/>
      <c r="BB58" s="336" t="n"/>
      <c r="BC58" s="336" t="n"/>
      <c r="BD58" s="336" t="n"/>
      <c r="BE58" s="336" t="n"/>
      <c r="BF58" s="336" t="n"/>
      <c r="BG58" s="336" t="n"/>
      <c r="BH58" s="336" t="n"/>
      <c r="BI58" s="336" t="n"/>
      <c r="BJ58" s="336" t="n"/>
      <c r="BK58" s="336" t="n"/>
      <c r="BL58" s="336" t="n"/>
      <c r="BM58" s="336" t="n"/>
      <c r="BN58" s="336" t="n"/>
      <c r="BO58" s="336" t="n"/>
      <c r="BP58" s="336" t="n"/>
      <c r="BQ58" s="336" t="n"/>
      <c r="BR58" s="336" t="n"/>
      <c r="BS58" s="336" t="n"/>
      <c r="BT58" s="336" t="n"/>
      <c r="BU58" s="336" t="n"/>
      <c r="BV58" s="336" t="n"/>
      <c r="BW58" s="336" t="n"/>
      <c r="BX58" s="336" t="n"/>
      <c r="BY58" s="336" t="n"/>
      <c r="BZ58" s="336" t="n"/>
      <c r="CA58" s="336" t="n"/>
      <c r="CB58" s="336" t="n"/>
      <c r="CC58" s="336" t="n"/>
      <c r="CD58" s="336" t="n"/>
      <c r="CE58" s="336" t="n"/>
      <c r="CF58" s="361" t="n"/>
    </row>
    <row r="59" customFormat="1" s="538">
      <c r="A59" s="350" t="n"/>
      <c r="B59" s="350" t="n"/>
      <c r="C59" s="353" t="n"/>
      <c r="D59" s="333" t="n"/>
      <c r="E59" s="332" t="n"/>
      <c r="F59" s="336" t="n"/>
      <c r="G59" s="336" t="n"/>
      <c r="H59" s="335" t="n"/>
      <c r="I59" s="336" t="n"/>
      <c r="J59" s="336" t="n"/>
      <c r="K59" s="336" t="n"/>
      <c r="L59" s="336" t="n"/>
      <c r="M59" s="336" t="n"/>
      <c r="N59" s="336" t="n"/>
      <c r="O59" s="336" t="n"/>
      <c r="P59" s="430" t="n"/>
      <c r="Q59" s="430" t="n"/>
      <c r="R59" s="430" t="n"/>
      <c r="S59" s="430" t="n"/>
      <c r="T59" s="430" t="n"/>
      <c r="U59" s="430" t="n"/>
      <c r="V59" s="430" t="n"/>
      <c r="W59" s="430" t="n"/>
      <c r="X59" s="430" t="n"/>
      <c r="Y59" s="430" t="n"/>
      <c r="Z59" s="430" t="n"/>
      <c r="AA59" s="430" t="n"/>
      <c r="AB59" s="430" t="n"/>
      <c r="AC59" s="338" t="n"/>
      <c r="AD59" s="338" t="n"/>
      <c r="AE59" s="338" t="n"/>
      <c r="AF59" s="338" t="n"/>
      <c r="AG59" s="339" t="n"/>
      <c r="AH59" s="339" t="n"/>
      <c r="AI59" s="339" t="n"/>
      <c r="AJ59" s="339" t="n"/>
      <c r="AK59" s="339" t="n"/>
      <c r="AL59" s="339" t="n"/>
      <c r="AM59" s="339" t="n"/>
      <c r="AN59" s="339" t="n"/>
      <c r="AO59" s="339" t="n"/>
      <c r="AP59" s="339" t="n"/>
      <c r="AQ59" s="339" t="n"/>
      <c r="AR59" s="339" t="n"/>
      <c r="AS59" s="339" t="n"/>
      <c r="AT59" s="339" t="n"/>
      <c r="AU59" s="339" t="n"/>
      <c r="AV59" s="339" t="n"/>
      <c r="AW59" s="339" t="n"/>
      <c r="AX59" s="430" t="n"/>
      <c r="AY59" s="336" t="n"/>
      <c r="AZ59" s="336" t="n"/>
      <c r="BA59" s="336" t="n"/>
      <c r="BB59" s="336" t="n"/>
      <c r="BC59" s="336" t="n"/>
      <c r="BD59" s="336" t="n"/>
      <c r="BE59" s="336" t="n"/>
      <c r="BF59" s="336" t="n"/>
      <c r="BG59" s="336" t="n"/>
      <c r="BH59" s="336" t="n"/>
      <c r="BI59" s="336" t="n"/>
      <c r="BJ59" s="336" t="n"/>
      <c r="BK59" s="336" t="n"/>
      <c r="BL59" s="336" t="n"/>
      <c r="BM59" s="336" t="n"/>
      <c r="BN59" s="336" t="n"/>
      <c r="BO59" s="336" t="n"/>
      <c r="BP59" s="336" t="n"/>
      <c r="BQ59" s="336" t="n"/>
      <c r="BR59" s="336" t="n"/>
      <c r="BS59" s="336" t="n"/>
      <c r="BT59" s="336" t="n"/>
      <c r="BU59" s="336" t="n"/>
      <c r="BV59" s="336" t="n"/>
      <c r="BW59" s="336" t="n"/>
      <c r="BX59" s="336" t="n"/>
      <c r="BY59" s="336" t="n"/>
      <c r="BZ59" s="336" t="n"/>
      <c r="CA59" s="336" t="n"/>
      <c r="CB59" s="336" t="n"/>
      <c r="CC59" s="336" t="n"/>
      <c r="CD59" s="336" t="n"/>
      <c r="CE59" s="336" t="n"/>
    </row>
    <row r="60" customFormat="1" s="538">
      <c r="A60" s="350" t="n"/>
      <c r="B60" s="350" t="n"/>
      <c r="C60" s="353" t="n"/>
      <c r="D60" s="333" t="n"/>
      <c r="E60" s="332" t="n"/>
      <c r="F60" s="336" t="n"/>
      <c r="G60" s="336" t="n"/>
      <c r="H60" s="335" t="n"/>
      <c r="I60" s="336" t="n"/>
      <c r="J60" s="336" t="n"/>
      <c r="K60" s="336" t="n"/>
      <c r="L60" s="336" t="n"/>
      <c r="M60" s="336" t="n"/>
      <c r="N60" s="336" t="n"/>
      <c r="O60" s="336" t="n"/>
      <c r="P60" s="430" t="n"/>
      <c r="Q60" s="430" t="n"/>
      <c r="R60" s="430" t="n"/>
      <c r="S60" s="430" t="n"/>
      <c r="T60" s="430" t="n"/>
      <c r="U60" s="430" t="n"/>
      <c r="V60" s="430" t="n"/>
      <c r="W60" s="430" t="n"/>
      <c r="X60" s="430" t="n"/>
      <c r="Y60" s="430" t="n"/>
      <c r="Z60" s="430" t="n"/>
      <c r="AA60" s="430" t="n"/>
      <c r="AB60" s="430" t="n"/>
      <c r="AC60" s="338" t="n"/>
      <c r="AD60" s="338" t="n"/>
      <c r="AE60" s="338" t="n"/>
      <c r="AF60" s="338" t="n"/>
      <c r="AG60" s="339" t="n"/>
      <c r="AH60" s="339" t="n"/>
      <c r="AI60" s="339" t="n"/>
      <c r="AJ60" s="339" t="n"/>
      <c r="AK60" s="339" t="n"/>
      <c r="AL60" s="339" t="n"/>
      <c r="AM60" s="339" t="n"/>
      <c r="AN60" s="339" t="n"/>
      <c r="AO60" s="339" t="n"/>
      <c r="AP60" s="339" t="n"/>
      <c r="AQ60" s="339" t="n"/>
      <c r="AR60" s="339" t="n"/>
      <c r="AS60" s="339" t="n"/>
      <c r="AT60" s="339" t="n"/>
      <c r="AU60" s="339" t="n"/>
      <c r="AV60" s="339" t="n"/>
      <c r="AW60" s="339" t="n"/>
      <c r="AX60" s="430" t="n"/>
      <c r="AY60" s="336" t="n"/>
      <c r="AZ60" s="336" t="n"/>
      <c r="BA60" s="336" t="n"/>
      <c r="BB60" s="336" t="n"/>
      <c r="BC60" s="336" t="n"/>
      <c r="BD60" s="336" t="n"/>
      <c r="BE60" s="336" t="n"/>
      <c r="BF60" s="336" t="n"/>
      <c r="BG60" s="336" t="n"/>
      <c r="BH60" s="336" t="n"/>
      <c r="BI60" s="336" t="n"/>
      <c r="BJ60" s="336" t="n"/>
      <c r="BK60" s="336" t="n"/>
      <c r="BL60" s="336" t="n"/>
      <c r="BM60" s="336" t="n"/>
      <c r="BN60" s="336" t="n"/>
      <c r="BO60" s="336" t="n"/>
      <c r="BP60" s="336" t="n"/>
      <c r="BQ60" s="336" t="n"/>
      <c r="BR60" s="336" t="n"/>
      <c r="BS60" s="336" t="n"/>
      <c r="BT60" s="336" t="n"/>
      <c r="BU60" s="336" t="n"/>
      <c r="BV60" s="336" t="n"/>
      <c r="BW60" s="336" t="n"/>
      <c r="BX60" s="336" t="n"/>
      <c r="BY60" s="336" t="n"/>
      <c r="BZ60" s="336" t="n"/>
      <c r="CA60" s="336" t="n"/>
      <c r="CB60" s="336" t="n"/>
      <c r="CC60" s="336" t="n"/>
      <c r="CD60" s="336" t="n"/>
      <c r="CE60" s="336" t="n"/>
    </row>
    <row r="61" customFormat="1" s="538">
      <c r="A61" s="350" t="n"/>
      <c r="B61" s="350" t="n"/>
      <c r="C61" s="353" t="n"/>
      <c r="D61" s="333" t="n"/>
      <c r="E61" s="332" t="n"/>
      <c r="F61" s="336" t="n"/>
      <c r="G61" s="336" t="n"/>
      <c r="H61" s="335" t="n"/>
      <c r="I61" s="336" t="n"/>
      <c r="J61" s="336" t="n"/>
      <c r="K61" s="336" t="n"/>
      <c r="L61" s="336" t="n"/>
      <c r="M61" s="336" t="n"/>
      <c r="N61" s="336" t="n"/>
      <c r="O61" s="336" t="n"/>
      <c r="P61" s="430" t="n"/>
      <c r="Q61" s="430" t="n"/>
      <c r="R61" s="430" t="n"/>
      <c r="S61" s="430" t="n"/>
      <c r="T61" s="430" t="n"/>
      <c r="U61" s="430" t="n"/>
      <c r="V61" s="430" t="n"/>
      <c r="W61" s="430" t="n"/>
      <c r="X61" s="430" t="n"/>
      <c r="Y61" s="430" t="n"/>
      <c r="Z61" s="430" t="n"/>
      <c r="AA61" s="430" t="n"/>
      <c r="AB61" s="685" t="n"/>
      <c r="AC61" s="338" t="n"/>
      <c r="AD61" s="338" t="n"/>
      <c r="AE61" s="338" t="n"/>
      <c r="AF61" s="338" t="n"/>
      <c r="AG61" s="339" t="n"/>
      <c r="AH61" s="339" t="n"/>
      <c r="AI61" s="339" t="n"/>
      <c r="AJ61" s="339" t="n"/>
      <c r="AK61" s="339" t="n"/>
      <c r="AL61" s="339" t="n"/>
      <c r="AM61" s="339" t="n"/>
      <c r="AN61" s="339" t="n"/>
      <c r="AO61" s="339" t="n"/>
      <c r="AP61" s="339" t="n"/>
      <c r="AQ61" s="339" t="n"/>
      <c r="AR61" s="339" t="n"/>
      <c r="AS61" s="339" t="n"/>
      <c r="AT61" s="339" t="n"/>
      <c r="AU61" s="339" t="n"/>
      <c r="AV61" s="339" t="n"/>
      <c r="AW61" s="339" t="n"/>
      <c r="AX61" s="430" t="n"/>
      <c r="AY61" s="336" t="n"/>
      <c r="AZ61" s="336" t="n"/>
      <c r="BA61" s="336" t="n"/>
      <c r="BB61" s="336" t="n"/>
      <c r="BC61" s="336" t="n"/>
      <c r="BD61" s="336" t="n"/>
      <c r="BE61" s="336" t="n"/>
      <c r="BF61" s="336" t="n"/>
      <c r="BG61" s="336" t="n"/>
      <c r="BH61" s="336" t="n"/>
      <c r="BI61" s="336" t="n"/>
      <c r="BJ61" s="336" t="n"/>
      <c r="BK61" s="336" t="n"/>
      <c r="BL61" s="336" t="n"/>
      <c r="BM61" s="336" t="n"/>
      <c r="BN61" s="336" t="n"/>
      <c r="BO61" s="336" t="n"/>
      <c r="BP61" s="336" t="n"/>
      <c r="BQ61" s="336" t="n"/>
      <c r="BR61" s="336" t="n"/>
      <c r="BS61" s="336" t="n"/>
      <c r="BT61" s="336" t="n"/>
      <c r="BU61" s="336" t="n"/>
      <c r="BV61" s="336" t="n"/>
      <c r="BW61" s="336" t="n"/>
      <c r="BX61" s="336" t="n"/>
      <c r="BY61" s="336" t="n"/>
      <c r="BZ61" s="336" t="n"/>
      <c r="CA61" s="336" t="n"/>
      <c r="CB61" s="336" t="n"/>
      <c r="CC61" s="336" t="n"/>
      <c r="CD61" s="336" t="n"/>
      <c r="CE61" s="336" t="n"/>
    </row>
    <row r="62" customFormat="1" s="538">
      <c r="A62" s="350" t="n"/>
      <c r="B62" s="350" t="n"/>
      <c r="C62" s="353" t="n"/>
      <c r="D62" s="333" t="n"/>
      <c r="E62" s="354" t="n"/>
      <c r="F62" s="336" t="n"/>
      <c r="G62" s="336" t="n"/>
      <c r="H62" s="335" t="n"/>
      <c r="I62" s="336" t="n"/>
      <c r="J62" s="336" t="n"/>
      <c r="K62" s="336" t="n"/>
      <c r="L62" s="336" t="n"/>
      <c r="M62" s="336" t="n"/>
      <c r="N62" s="336" t="n"/>
      <c r="O62" s="336" t="n"/>
      <c r="P62" s="430" t="n"/>
      <c r="Q62" s="430" t="n"/>
      <c r="R62" s="430" t="n"/>
      <c r="S62" s="430" t="n"/>
      <c r="T62" s="430" t="n"/>
      <c r="U62" s="430" t="n"/>
      <c r="V62" s="430" t="n"/>
      <c r="W62" s="430" t="n"/>
      <c r="X62" s="430" t="n"/>
      <c r="Y62" s="430" t="n"/>
      <c r="Z62" s="430" t="n"/>
      <c r="AA62" s="430" t="n"/>
      <c r="AB62" s="430" t="n"/>
      <c r="AC62" s="338" t="n"/>
      <c r="AD62" s="338" t="n"/>
      <c r="AE62" s="338" t="n"/>
      <c r="AF62" s="338" t="n"/>
      <c r="AG62" s="339" t="n"/>
      <c r="AH62" s="339" t="n"/>
      <c r="AI62" s="339" t="n"/>
      <c r="AJ62" s="339" t="n"/>
      <c r="AK62" s="339" t="n"/>
      <c r="AL62" s="339" t="n"/>
      <c r="AM62" s="339" t="n"/>
      <c r="AN62" s="339" t="n"/>
      <c r="AO62" s="339" t="n"/>
      <c r="AP62" s="339" t="n"/>
      <c r="AQ62" s="339" t="n"/>
      <c r="AR62" s="339" t="n"/>
      <c r="AS62" s="339" t="n"/>
      <c r="AT62" s="339" t="n"/>
      <c r="AU62" s="339" t="n"/>
      <c r="AV62" s="339" t="n"/>
      <c r="AW62" s="339" t="n"/>
      <c r="AX62" s="430" t="n"/>
      <c r="AY62" s="336" t="n"/>
      <c r="AZ62" s="336" t="n"/>
      <c r="BA62" s="336" t="n"/>
      <c r="BB62" s="336" t="n"/>
      <c r="BC62" s="336" t="n"/>
      <c r="BD62" s="336" t="n"/>
      <c r="BE62" s="336" t="n"/>
      <c r="BF62" s="336" t="n"/>
      <c r="BG62" s="336" t="n"/>
      <c r="BH62" s="336" t="n"/>
      <c r="BI62" s="336" t="n"/>
      <c r="BJ62" s="336" t="n"/>
      <c r="BK62" s="336" t="n"/>
      <c r="BL62" s="336" t="n"/>
      <c r="BM62" s="336" t="n"/>
      <c r="BN62" s="336" t="n"/>
      <c r="BO62" s="336" t="n"/>
      <c r="BP62" s="336" t="n"/>
      <c r="BQ62" s="336" t="n"/>
      <c r="BR62" s="336" t="n"/>
      <c r="BS62" s="336" t="n"/>
      <c r="BT62" s="336" t="n"/>
      <c r="BU62" s="336" t="n"/>
      <c r="BV62" s="336" t="n"/>
      <c r="BW62" s="336" t="n"/>
      <c r="BX62" s="336" t="n"/>
      <c r="BY62" s="336" t="n"/>
      <c r="BZ62" s="336" t="n"/>
      <c r="CA62" s="336" t="n"/>
      <c r="CB62" s="336" t="n"/>
      <c r="CC62" s="336" t="n"/>
      <c r="CD62" s="336" t="n"/>
      <c r="CE62" s="336" t="n"/>
    </row>
    <row r="63" customFormat="1" s="538">
      <c r="A63" s="342" t="n"/>
      <c r="B63" s="358" t="n"/>
      <c r="C63" s="344" t="n"/>
      <c r="D63" s="345" t="n"/>
      <c r="E63" s="346" t="n"/>
      <c r="F63" s="336" t="n"/>
      <c r="G63" s="336" t="n"/>
      <c r="H63" s="336" t="n"/>
      <c r="I63" s="336" t="n"/>
      <c r="J63" s="336" t="n"/>
      <c r="K63" s="336" t="n"/>
      <c r="L63" s="336" t="n"/>
      <c r="M63" s="336" t="n"/>
      <c r="N63" s="336" t="n"/>
      <c r="O63" s="336" t="n"/>
      <c r="P63" s="357" t="n"/>
      <c r="Q63" s="357" t="n"/>
      <c r="R63" s="357" t="n"/>
      <c r="S63" s="357" t="n"/>
      <c r="T63" s="357" t="n"/>
      <c r="U63" s="357" t="n"/>
      <c r="V63" s="357" t="n"/>
      <c r="W63" s="357" t="n"/>
      <c r="X63" s="357" t="n"/>
      <c r="Y63" s="357" t="n"/>
      <c r="Z63" s="357" t="n"/>
      <c r="AA63" s="357" t="n"/>
      <c r="AB63" s="336" t="n"/>
      <c r="AC63" s="338" t="n"/>
      <c r="AD63" s="338" t="n"/>
      <c r="AE63" s="338" t="n"/>
      <c r="AF63" s="338" t="n"/>
      <c r="AG63" s="339" t="n"/>
      <c r="AH63" s="339" t="n"/>
      <c r="AI63" s="339" t="n"/>
      <c r="AJ63" s="339" t="n"/>
      <c r="AK63" s="339" t="n"/>
      <c r="AL63" s="339" t="n"/>
      <c r="AM63" s="339" t="n"/>
      <c r="AN63" s="339" t="n"/>
      <c r="AO63" s="339" t="n"/>
      <c r="AP63" s="339" t="n"/>
      <c r="AQ63" s="339" t="n"/>
      <c r="AR63" s="339" t="n"/>
      <c r="AS63" s="339" t="n"/>
      <c r="AT63" s="339" t="n"/>
      <c r="AU63" s="339" t="n"/>
      <c r="AV63" s="339" t="n"/>
      <c r="AW63" s="339" t="n"/>
      <c r="AX63" s="357" t="n"/>
      <c r="AY63" s="336" t="n"/>
      <c r="AZ63" s="336" t="n"/>
      <c r="BA63" s="336" t="n"/>
      <c r="BB63" s="336" t="n"/>
      <c r="BC63" s="336" t="n"/>
      <c r="BD63" s="336" t="n"/>
      <c r="BE63" s="336" t="n"/>
      <c r="BF63" s="336" t="n"/>
      <c r="BG63" s="336" t="n"/>
      <c r="BH63" s="336" t="n"/>
      <c r="BI63" s="336" t="n"/>
      <c r="BJ63" s="336" t="n"/>
      <c r="BK63" s="336" t="n"/>
      <c r="BL63" s="336" t="n"/>
      <c r="BM63" s="336" t="n"/>
      <c r="BN63" s="336" t="n"/>
      <c r="BO63" s="336" t="n"/>
      <c r="BP63" s="336" t="n"/>
      <c r="BQ63" s="336" t="n"/>
      <c r="BR63" s="336" t="n"/>
      <c r="BS63" s="336" t="n"/>
      <c r="BT63" s="336" t="n"/>
      <c r="BU63" s="336" t="n"/>
      <c r="BV63" s="336" t="n"/>
      <c r="BW63" s="336" t="n"/>
      <c r="BX63" s="336" t="n"/>
      <c r="BY63" s="336" t="n"/>
      <c r="BZ63" s="336" t="n"/>
      <c r="CA63" s="336" t="n"/>
      <c r="CB63" s="336" t="n"/>
      <c r="CC63" s="336" t="n"/>
      <c r="CD63" s="336" t="n"/>
      <c r="CE63" s="336" t="n"/>
      <c r="CF63" s="361" t="n"/>
    </row>
    <row r="64" customFormat="1" s="538">
      <c r="A64" s="349" t="n"/>
      <c r="B64" s="350" t="n"/>
      <c r="C64" s="353" t="n"/>
      <c r="D64" s="333" t="n"/>
      <c r="E64" s="332" t="n"/>
      <c r="F64" s="336" t="n"/>
      <c r="G64" s="336" t="n"/>
      <c r="H64" s="335" t="n"/>
      <c r="I64" s="336" t="n"/>
      <c r="J64" s="336" t="n"/>
      <c r="K64" s="336" t="n"/>
      <c r="L64" s="336" t="n"/>
      <c r="M64" s="336" t="n"/>
      <c r="N64" s="336" t="n"/>
      <c r="O64" s="336" t="n"/>
      <c r="P64" s="430" t="n"/>
      <c r="Q64" s="430" t="n"/>
      <c r="R64" s="430" t="n"/>
      <c r="S64" s="430" t="n"/>
      <c r="T64" s="430" t="n"/>
      <c r="U64" s="430" t="n"/>
      <c r="V64" s="430" t="n"/>
      <c r="W64" s="430" t="n"/>
      <c r="X64" s="430" t="n"/>
      <c r="Y64" s="430" t="n"/>
      <c r="Z64" s="430" t="n"/>
      <c r="AA64" s="430" t="n"/>
      <c r="AB64" s="430" t="n"/>
      <c r="AC64" s="338" t="n"/>
      <c r="AD64" s="338" t="n"/>
      <c r="AE64" s="338" t="n"/>
      <c r="AF64" s="338" t="n"/>
      <c r="AG64" s="339" t="n"/>
      <c r="AH64" s="339" t="n"/>
      <c r="AI64" s="339" t="n"/>
      <c r="AJ64" s="339" t="n"/>
      <c r="AK64" s="339" t="n"/>
      <c r="AL64" s="339" t="n"/>
      <c r="AM64" s="339" t="n"/>
      <c r="AN64" s="339" t="n"/>
      <c r="AO64" s="339" t="n"/>
      <c r="AP64" s="339" t="n"/>
      <c r="AQ64" s="339" t="n"/>
      <c r="AR64" s="339" t="n"/>
      <c r="AS64" s="339" t="n"/>
      <c r="AT64" s="339" t="n"/>
      <c r="AU64" s="339" t="n"/>
      <c r="AV64" s="339" t="n"/>
      <c r="AW64" s="339" t="n"/>
      <c r="AX64" s="430" t="n"/>
      <c r="AY64" s="336" t="n"/>
      <c r="AZ64" s="336" t="n"/>
      <c r="BA64" s="336" t="n"/>
      <c r="BB64" s="336" t="n"/>
      <c r="BC64" s="336" t="n"/>
      <c r="BD64" s="336" t="n"/>
      <c r="BE64" s="336" t="n"/>
      <c r="BF64" s="336" t="n"/>
      <c r="BG64" s="336" t="n"/>
      <c r="BH64" s="336" t="n"/>
      <c r="BI64" s="336" t="n"/>
      <c r="BJ64" s="336" t="n"/>
      <c r="BK64" s="336" t="n"/>
      <c r="BL64" s="336" t="n"/>
      <c r="BM64" s="336" t="n"/>
      <c r="BN64" s="336" t="n"/>
      <c r="BO64" s="336" t="n"/>
      <c r="BP64" s="336" t="n"/>
      <c r="BQ64" s="336" t="n"/>
      <c r="BR64" s="336" t="n"/>
      <c r="BS64" s="336" t="n"/>
      <c r="BT64" s="336" t="n"/>
      <c r="BU64" s="336" t="n"/>
      <c r="BV64" s="336" t="n"/>
      <c r="BW64" s="336" t="n"/>
      <c r="BX64" s="336" t="n"/>
      <c r="BY64" s="336" t="n"/>
      <c r="BZ64" s="336" t="n"/>
      <c r="CA64" s="336" t="n"/>
      <c r="CB64" s="336" t="n"/>
      <c r="CC64" s="336" t="n"/>
      <c r="CD64" s="336" t="n"/>
      <c r="CE64" s="336" t="n"/>
    </row>
    <row r="65" customFormat="1" s="538">
      <c r="A65" s="349" t="n"/>
      <c r="B65" s="350" t="n"/>
      <c r="C65" s="353" t="n"/>
      <c r="D65" s="333" t="n"/>
      <c r="E65" s="332" t="n"/>
      <c r="F65" s="336" t="n"/>
      <c r="G65" s="336" t="n"/>
      <c r="H65" s="335" t="n"/>
      <c r="I65" s="336" t="n"/>
      <c r="J65" s="336" t="n"/>
      <c r="K65" s="336" t="n"/>
      <c r="L65" s="336" t="n"/>
      <c r="M65" s="336" t="n"/>
      <c r="N65" s="336" t="n"/>
      <c r="O65" s="336" t="n"/>
      <c r="P65" s="430" t="n"/>
      <c r="Q65" s="430" t="n"/>
      <c r="R65" s="430" t="n"/>
      <c r="S65" s="430" t="n"/>
      <c r="T65" s="430" t="n"/>
      <c r="U65" s="430" t="n"/>
      <c r="V65" s="430" t="n"/>
      <c r="W65" s="430" t="n"/>
      <c r="X65" s="430" t="n"/>
      <c r="Y65" s="430" t="n"/>
      <c r="Z65" s="430" t="n"/>
      <c r="AA65" s="430" t="n"/>
      <c r="AB65" s="430" t="n"/>
      <c r="AC65" s="357" t="n"/>
      <c r="AD65" s="357" t="n"/>
      <c r="AE65" s="357" t="n"/>
      <c r="AF65" s="357" t="n"/>
      <c r="AG65" s="339" t="n"/>
      <c r="AH65" s="339" t="n"/>
      <c r="AI65" s="339" t="n"/>
      <c r="AJ65" s="339" t="n"/>
      <c r="AK65" s="339" t="n"/>
      <c r="AL65" s="339" t="n"/>
      <c r="AM65" s="339" t="n"/>
      <c r="AN65" s="339" t="n"/>
      <c r="AO65" s="339" t="n"/>
      <c r="AP65" s="339" t="n"/>
      <c r="AQ65" s="339" t="n"/>
      <c r="AR65" s="339" t="n"/>
      <c r="AS65" s="339" t="n"/>
      <c r="AT65" s="357" t="n"/>
      <c r="AU65" s="357" t="n"/>
      <c r="AV65" s="357" t="n"/>
      <c r="AW65" s="357" t="n"/>
      <c r="AX65" s="430" t="n"/>
      <c r="AY65" s="336" t="n"/>
      <c r="AZ65" s="336" t="n"/>
      <c r="BA65" s="336" t="n"/>
      <c r="BB65" s="336" t="n"/>
      <c r="BC65" s="336" t="n"/>
      <c r="BD65" s="336" t="n"/>
      <c r="BE65" s="336" t="n"/>
      <c r="BF65" s="336" t="n"/>
      <c r="BG65" s="336" t="n"/>
      <c r="BH65" s="336" t="n"/>
      <c r="BI65" s="336" t="n"/>
      <c r="BJ65" s="336" t="n"/>
      <c r="BK65" s="336" t="n"/>
      <c r="BL65" s="336" t="n"/>
      <c r="BM65" s="336" t="n"/>
      <c r="BN65" s="336" t="n"/>
      <c r="BO65" s="336" t="n"/>
      <c r="BP65" s="336" t="n"/>
      <c r="BQ65" s="336" t="n"/>
      <c r="BR65" s="336" t="n"/>
      <c r="BS65" s="336" t="n"/>
      <c r="BT65" s="336" t="n"/>
      <c r="BU65" s="336" t="n"/>
      <c r="BV65" s="336" t="n"/>
      <c r="BW65" s="336" t="n"/>
      <c r="BX65" s="336" t="n"/>
      <c r="BY65" s="336" t="n"/>
      <c r="BZ65" s="336" t="n"/>
      <c r="CA65" s="336" t="n"/>
      <c r="CB65" s="336" t="n"/>
      <c r="CC65" s="336" t="n"/>
      <c r="CD65" s="336" t="n"/>
      <c r="CE65" s="336" t="n"/>
    </row>
    <row r="66" customFormat="1" s="538">
      <c r="A66" s="358" t="n"/>
      <c r="B66" s="358" t="n"/>
      <c r="C66" s="344" t="n"/>
      <c r="D66" s="345" t="n"/>
      <c r="E66" s="346" t="n"/>
      <c r="F66" s="336" t="n"/>
      <c r="G66" s="336" t="n"/>
      <c r="H66" s="336" t="n"/>
      <c r="I66" s="336" t="n"/>
      <c r="J66" s="336" t="n"/>
      <c r="K66" s="336" t="n"/>
      <c r="L66" s="336" t="n"/>
      <c r="M66" s="336" t="n"/>
      <c r="N66" s="336" t="n"/>
      <c r="O66" s="336" t="n"/>
      <c r="P66" s="357" t="n"/>
      <c r="Q66" s="357" t="n"/>
      <c r="R66" s="357" t="n"/>
      <c r="S66" s="357" t="n"/>
      <c r="T66" s="357" t="n"/>
      <c r="U66" s="357" t="n"/>
      <c r="V66" s="357" t="n"/>
      <c r="W66" s="357" t="n"/>
      <c r="X66" s="357" t="n"/>
      <c r="Y66" s="357" t="n"/>
      <c r="Z66" s="357" t="n"/>
      <c r="AA66" s="357" t="n"/>
      <c r="AB66" s="336" t="n"/>
      <c r="AC66" s="338" t="n"/>
      <c r="AD66" s="338" t="n"/>
      <c r="AE66" s="338" t="n"/>
      <c r="AF66" s="338" t="n"/>
      <c r="AG66" s="339" t="n"/>
      <c r="AH66" s="339" t="n"/>
      <c r="AI66" s="339" t="n"/>
      <c r="AJ66" s="339" t="n"/>
      <c r="AK66" s="339" t="n"/>
      <c r="AL66" s="339" t="n"/>
      <c r="AM66" s="339" t="n"/>
      <c r="AN66" s="339" t="n"/>
      <c r="AO66" s="339" t="n"/>
      <c r="AP66" s="339" t="n"/>
      <c r="AQ66" s="339" t="n"/>
      <c r="AR66" s="339" t="n"/>
      <c r="AS66" s="339" t="n"/>
      <c r="AT66" s="339" t="n"/>
      <c r="AU66" s="339" t="n"/>
      <c r="AV66" s="339" t="n"/>
      <c r="AW66" s="339" t="n"/>
      <c r="AX66" s="357" t="n"/>
      <c r="AY66" s="336" t="n"/>
      <c r="AZ66" s="336" t="n"/>
      <c r="BA66" s="336" t="n"/>
      <c r="BB66" s="336" t="n"/>
      <c r="BC66" s="336" t="n"/>
      <c r="BD66" s="336" t="n"/>
      <c r="BE66" s="336" t="n"/>
      <c r="BF66" s="336" t="n"/>
      <c r="BG66" s="336" t="n"/>
      <c r="BH66" s="336" t="n"/>
      <c r="BI66" s="336" t="n"/>
      <c r="BJ66" s="336" t="n"/>
      <c r="BK66" s="336" t="n"/>
      <c r="BL66" s="336" t="n"/>
      <c r="BM66" s="336" t="n"/>
      <c r="BN66" s="336" t="n"/>
      <c r="BO66" s="336" t="n"/>
      <c r="BP66" s="336" t="n"/>
      <c r="BQ66" s="336" t="n"/>
      <c r="BR66" s="336" t="n"/>
      <c r="BS66" s="336" t="n"/>
      <c r="BT66" s="336" t="n"/>
      <c r="BU66" s="336" t="n"/>
      <c r="BV66" s="336" t="n"/>
      <c r="BW66" s="336" t="n"/>
      <c r="BX66" s="336" t="n"/>
      <c r="BY66" s="336" t="n"/>
      <c r="BZ66" s="336" t="n"/>
      <c r="CA66" s="336" t="n"/>
      <c r="CB66" s="336" t="n"/>
      <c r="CC66" s="336" t="n"/>
      <c r="CD66" s="336" t="n"/>
      <c r="CE66" s="336" t="n"/>
      <c r="CF66" s="361" t="n"/>
    </row>
    <row r="67" customFormat="1" s="538">
      <c r="A67" s="350" t="n"/>
      <c r="B67" s="350" t="n"/>
      <c r="C67" s="353" t="n"/>
      <c r="D67" s="333" t="n"/>
      <c r="E67" s="332" t="n"/>
      <c r="F67" s="336" t="n"/>
      <c r="G67" s="336" t="n"/>
      <c r="H67" s="335" t="n"/>
      <c r="I67" s="336" t="n"/>
      <c r="J67" s="336" t="n"/>
      <c r="K67" s="336" t="n"/>
      <c r="L67" s="336" t="n"/>
      <c r="M67" s="336" t="n"/>
      <c r="N67" s="336" t="n"/>
      <c r="O67" s="336" t="n"/>
      <c r="P67" s="430" t="n"/>
      <c r="Q67" s="430" t="n"/>
      <c r="R67" s="430" t="n"/>
      <c r="S67" s="430" t="n"/>
      <c r="T67" s="430" t="n"/>
      <c r="U67" s="430" t="n"/>
      <c r="V67" s="430" t="n"/>
      <c r="W67" s="430" t="n"/>
      <c r="X67" s="430" t="n"/>
      <c r="Y67" s="430" t="n"/>
      <c r="Z67" s="430" t="n"/>
      <c r="AA67" s="430" t="n"/>
      <c r="AB67" s="430" t="n"/>
      <c r="AC67" s="338" t="n"/>
      <c r="AD67" s="338" t="n"/>
      <c r="AE67" s="338" t="n"/>
      <c r="AF67" s="338" t="n"/>
      <c r="AG67" s="339" t="n"/>
      <c r="AH67" s="339" t="n"/>
      <c r="AI67" s="339" t="n"/>
      <c r="AJ67" s="339" t="n"/>
      <c r="AK67" s="339" t="n"/>
      <c r="AL67" s="339" t="n"/>
      <c r="AM67" s="339" t="n"/>
      <c r="AN67" s="339" t="n"/>
      <c r="AO67" s="339" t="n"/>
      <c r="AP67" s="339" t="n"/>
      <c r="AQ67" s="339" t="n"/>
      <c r="AR67" s="339" t="n"/>
      <c r="AS67" s="339" t="n"/>
      <c r="AT67" s="339" t="n"/>
      <c r="AU67" s="339" t="n"/>
      <c r="AV67" s="339" t="n"/>
      <c r="AW67" s="339" t="n"/>
      <c r="AX67" s="430" t="n"/>
      <c r="AY67" s="336" t="n"/>
      <c r="AZ67" s="336" t="n"/>
      <c r="BA67" s="336" t="n"/>
      <c r="BB67" s="336" t="n"/>
      <c r="BC67" s="336" t="n"/>
      <c r="BD67" s="336" t="n"/>
      <c r="BE67" s="336" t="n"/>
      <c r="BF67" s="336" t="n"/>
      <c r="BG67" s="336" t="n"/>
      <c r="BH67" s="336" t="n"/>
      <c r="BI67" s="336" t="n"/>
      <c r="BJ67" s="336" t="n"/>
      <c r="BK67" s="336" t="n"/>
      <c r="BL67" s="336" t="n"/>
      <c r="BM67" s="336" t="n"/>
      <c r="BN67" s="336" t="n"/>
      <c r="BO67" s="336" t="n"/>
      <c r="BP67" s="336" t="n"/>
      <c r="BQ67" s="336" t="n"/>
      <c r="BR67" s="336" t="n"/>
      <c r="BS67" s="336" t="n"/>
      <c r="BT67" s="336" t="n"/>
      <c r="BU67" s="336" t="n"/>
      <c r="BV67" s="336" t="n"/>
      <c r="BW67" s="336" t="n"/>
      <c r="BX67" s="336" t="n"/>
      <c r="BY67" s="336" t="n"/>
      <c r="BZ67" s="336" t="n"/>
      <c r="CA67" s="336" t="n"/>
      <c r="CB67" s="336" t="n"/>
      <c r="CC67" s="336" t="n"/>
      <c r="CD67" s="336" t="n"/>
      <c r="CE67" s="336" t="n"/>
    </row>
    <row r="68" customFormat="1" s="538">
      <c r="A68" s="350" t="n"/>
      <c r="B68" s="350" t="n"/>
      <c r="C68" s="353" t="n"/>
      <c r="D68" s="333" t="n"/>
      <c r="E68" s="332" t="n"/>
      <c r="F68" s="336" t="n"/>
      <c r="G68" s="336" t="n"/>
      <c r="H68" s="335" t="n"/>
      <c r="I68" s="336" t="n"/>
      <c r="J68" s="336" t="n"/>
      <c r="K68" s="336" t="n"/>
      <c r="L68" s="336" t="n"/>
      <c r="M68" s="336" t="n"/>
      <c r="N68" s="336" t="n"/>
      <c r="O68" s="336" t="n"/>
      <c r="P68" s="430" t="n"/>
      <c r="Q68" s="430" t="n"/>
      <c r="R68" s="430" t="n"/>
      <c r="S68" s="430" t="n"/>
      <c r="T68" s="430" t="n"/>
      <c r="U68" s="430" t="n"/>
      <c r="V68" s="430" t="n"/>
      <c r="W68" s="430" t="n"/>
      <c r="X68" s="430" t="n"/>
      <c r="Y68" s="430" t="n"/>
      <c r="Z68" s="430" t="n"/>
      <c r="AA68" s="430" t="n"/>
      <c r="AB68" s="430" t="n"/>
      <c r="AC68" s="338" t="n"/>
      <c r="AD68" s="338" t="n"/>
      <c r="AE68" s="338" t="n"/>
      <c r="AF68" s="338" t="n"/>
      <c r="AG68" s="339" t="n"/>
      <c r="AH68" s="339" t="n"/>
      <c r="AI68" s="339" t="n"/>
      <c r="AJ68" s="339" t="n"/>
      <c r="AK68" s="339" t="n"/>
      <c r="AL68" s="339" t="n"/>
      <c r="AM68" s="339" t="n"/>
      <c r="AN68" s="339" t="n"/>
      <c r="AO68" s="339" t="n"/>
      <c r="AP68" s="339" t="n"/>
      <c r="AQ68" s="339" t="n"/>
      <c r="AR68" s="339" t="n"/>
      <c r="AS68" s="339" t="n"/>
      <c r="AT68" s="339" t="n"/>
      <c r="AU68" s="339" t="n"/>
      <c r="AV68" s="339" t="n"/>
      <c r="AW68" s="339" t="n"/>
      <c r="AX68" s="430" t="n"/>
      <c r="AY68" s="336" t="n"/>
      <c r="AZ68" s="336" t="n"/>
      <c r="BA68" s="336" t="n"/>
      <c r="BB68" s="336" t="n"/>
      <c r="BC68" s="336" t="n"/>
      <c r="BD68" s="336" t="n"/>
      <c r="BE68" s="336" t="n"/>
      <c r="BF68" s="336" t="n"/>
      <c r="BG68" s="336" t="n"/>
      <c r="BH68" s="336" t="n"/>
      <c r="BI68" s="336" t="n"/>
      <c r="BJ68" s="336" t="n"/>
      <c r="BK68" s="336" t="n"/>
      <c r="BL68" s="336" t="n"/>
      <c r="BM68" s="336" t="n"/>
      <c r="BN68" s="336" t="n"/>
      <c r="BO68" s="336" t="n"/>
      <c r="BP68" s="336" t="n"/>
      <c r="BQ68" s="336" t="n"/>
      <c r="BR68" s="336" t="n"/>
      <c r="BS68" s="336" t="n"/>
      <c r="BT68" s="336" t="n"/>
      <c r="BU68" s="336" t="n"/>
      <c r="BV68" s="336" t="n"/>
      <c r="BW68" s="336" t="n"/>
      <c r="BX68" s="336" t="n"/>
      <c r="BY68" s="336" t="n"/>
      <c r="BZ68" s="336" t="n"/>
      <c r="CA68" s="336" t="n"/>
      <c r="CB68" s="336" t="n"/>
      <c r="CC68" s="336" t="n"/>
      <c r="CD68" s="336" t="n"/>
      <c r="CE68" s="336" t="n"/>
    </row>
    <row r="69" customFormat="1" s="538">
      <c r="A69" s="342" t="n"/>
      <c r="B69" s="358" t="n"/>
      <c r="C69" s="344" t="n"/>
      <c r="D69" s="345" t="n"/>
      <c r="E69" s="346" t="n"/>
      <c r="F69" s="336" t="n"/>
      <c r="G69" s="336" t="n"/>
      <c r="H69" s="335" t="n"/>
      <c r="I69" s="336" t="n"/>
      <c r="J69" s="336" t="n"/>
      <c r="K69" s="336" t="n"/>
      <c r="L69" s="336" t="n"/>
      <c r="M69" s="336" t="n"/>
      <c r="N69" s="336" t="n"/>
      <c r="O69" s="336" t="n"/>
      <c r="P69" s="430" t="n"/>
      <c r="Q69" s="430" t="n"/>
      <c r="R69" s="430" t="n"/>
      <c r="S69" s="430" t="n"/>
      <c r="T69" s="430" t="n"/>
      <c r="U69" s="430" t="n"/>
      <c r="V69" s="430" t="n"/>
      <c r="W69" s="430" t="n"/>
      <c r="X69" s="430" t="n"/>
      <c r="Y69" s="430" t="n"/>
      <c r="Z69" s="430" t="n"/>
      <c r="AA69" s="430" t="n"/>
      <c r="AB69" s="430" t="n"/>
      <c r="AC69" s="338" t="n"/>
      <c r="AD69" s="338" t="n"/>
      <c r="AE69" s="338" t="n"/>
      <c r="AF69" s="338" t="n"/>
      <c r="AG69" s="339" t="n"/>
      <c r="AH69" s="339" t="n"/>
      <c r="AI69" s="339" t="n"/>
      <c r="AJ69" s="339" t="n"/>
      <c r="AK69" s="339" t="n"/>
      <c r="AL69" s="339" t="n"/>
      <c r="AM69" s="339" t="n"/>
      <c r="AN69" s="339" t="n"/>
      <c r="AO69" s="339" t="n"/>
      <c r="AP69" s="339" t="n"/>
      <c r="AQ69" s="339" t="n"/>
      <c r="AR69" s="339" t="n"/>
      <c r="AS69" s="339" t="n"/>
      <c r="AT69" s="339" t="n"/>
      <c r="AU69" s="339" t="n"/>
      <c r="AV69" s="339" t="n"/>
      <c r="AW69" s="339" t="n"/>
      <c r="AX69" s="430" t="n"/>
      <c r="AY69" s="336" t="n"/>
      <c r="AZ69" s="336" t="n"/>
      <c r="BA69" s="336" t="n"/>
      <c r="BB69" s="336" t="n"/>
      <c r="BC69" s="336" t="n"/>
      <c r="BD69" s="336" t="n"/>
      <c r="BE69" s="336" t="n"/>
      <c r="BF69" s="336" t="n"/>
      <c r="BG69" s="336" t="n"/>
      <c r="BH69" s="336" t="n"/>
      <c r="BI69" s="336" t="n"/>
      <c r="BJ69" s="336" t="n"/>
      <c r="BK69" s="336" t="n"/>
      <c r="BL69" s="336" t="n"/>
      <c r="BM69" s="336" t="n"/>
      <c r="BN69" s="336" t="n"/>
      <c r="BO69" s="336" t="n"/>
      <c r="BP69" s="336" t="n"/>
      <c r="BQ69" s="336" t="n"/>
      <c r="BR69" s="336" t="n"/>
      <c r="BS69" s="336" t="n"/>
      <c r="BT69" s="336" t="n"/>
      <c r="BU69" s="336" t="n"/>
      <c r="BV69" s="336" t="n"/>
      <c r="BW69" s="336" t="n"/>
      <c r="BX69" s="336" t="n"/>
      <c r="BY69" s="336" t="n"/>
      <c r="BZ69" s="336" t="n"/>
      <c r="CA69" s="336" t="n"/>
      <c r="CB69" s="336" t="n"/>
      <c r="CC69" s="336" t="n"/>
      <c r="CD69" s="336" t="n"/>
      <c r="CE69" s="336" t="n"/>
      <c r="CF69" s="361" t="n"/>
    </row>
    <row r="70" ht="18" customFormat="1" customHeight="1" s="538">
      <c r="A70" s="660" t="n"/>
      <c r="G70" s="361" t="n"/>
      <c r="H70" s="361" t="n"/>
      <c r="AF70" s="362" t="n"/>
      <c r="AG70" s="362" t="n"/>
      <c r="AH70" s="362" t="n"/>
      <c r="AI70" s="362" t="n"/>
      <c r="AJ70" s="362" t="n"/>
      <c r="AK70" s="362" t="n"/>
      <c r="AL70" s="362" t="n"/>
      <c r="AM70" s="362" t="n"/>
      <c r="AN70" s="362" t="n"/>
      <c r="AO70" s="362" t="n"/>
      <c r="AP70" s="362" t="n"/>
      <c r="AQ70" s="362" t="n"/>
      <c r="AR70" s="362" t="n"/>
      <c r="AS70" s="362" t="n"/>
      <c r="AT70" s="362" t="n"/>
      <c r="AU70" s="362" t="n"/>
      <c r="AV70" s="362" t="n"/>
      <c r="AW70" s="362" t="n"/>
      <c r="AX70" s="358" t="n"/>
      <c r="AY70" s="362" t="n"/>
      <c r="AZ70" s="358" t="n"/>
      <c r="BA70" s="363" t="n"/>
      <c r="BB70" s="362" t="n"/>
      <c r="BI70" s="364" t="n"/>
      <c r="BL70" s="364" t="n"/>
      <c r="BO70" s="364" t="n"/>
      <c r="BR70" s="364" t="n"/>
      <c r="BS70" s="364" t="n"/>
      <c r="BW70" s="364" t="n"/>
      <c r="CA70" s="364" t="n"/>
      <c r="CE70" s="364" t="n"/>
    </row>
    <row r="71" customFormat="1" s="538">
      <c r="A71" s="351" t="n"/>
      <c r="B71" s="351" t="n"/>
      <c r="C71" s="351" t="n"/>
      <c r="D71" s="351" t="n"/>
      <c r="E71" s="351" t="n"/>
      <c r="F71" s="351" t="n"/>
      <c r="G71" s="351" t="n"/>
      <c r="H71" s="351" t="n"/>
      <c r="I71" s="351" t="n"/>
      <c r="J71" s="351" t="n"/>
      <c r="K71" s="351" t="n"/>
      <c r="L71" s="351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  <c r="Y71" s="351" t="n"/>
      <c r="Z71" s="351" t="n"/>
      <c r="AA71" s="351" t="n"/>
      <c r="AB71" s="351" t="n"/>
      <c r="AC71" s="351" t="n"/>
      <c r="AD71" s="351" t="n"/>
      <c r="AE71" s="351" t="n"/>
      <c r="AF71" s="351" t="n"/>
      <c r="AG71" s="351" t="n"/>
      <c r="AH71" s="351" t="n"/>
      <c r="AI71" s="351" t="n"/>
      <c r="AJ71" s="351" t="n"/>
      <c r="AK71" s="351" t="n"/>
      <c r="AL71" s="351" t="n"/>
      <c r="AM71" s="351" t="n"/>
      <c r="AN71" s="351" t="n"/>
      <c r="AO71" s="351" t="n"/>
      <c r="AP71" s="351" t="n"/>
      <c r="AQ71" s="351" t="n"/>
      <c r="AR71" s="351" t="n"/>
      <c r="AS71" s="351" t="n"/>
      <c r="AT71" s="351" t="n"/>
      <c r="AU71" s="351" t="n"/>
      <c r="AV71" s="351" t="n"/>
      <c r="AW71" s="351" t="n"/>
      <c r="CF71" s="361" t="n"/>
    </row>
    <row r="72" customFormat="1" s="538">
      <c r="A72" s="351" t="n"/>
      <c r="B72" s="351" t="n"/>
      <c r="C72" s="351" t="n"/>
      <c r="D72" s="352" t="n"/>
      <c r="E72" s="365" t="n"/>
      <c r="F72" s="361" t="n"/>
      <c r="G72" s="361" t="n"/>
      <c r="H72" s="361" t="n"/>
    </row>
    <row r="73" customFormat="1" s="538">
      <c r="A73" s="351" t="n"/>
      <c r="B73" s="351" t="n"/>
      <c r="C73" s="351" t="n"/>
      <c r="D73" s="352" t="n"/>
      <c r="E73" s="365" t="n"/>
    </row>
    <row r="74" customFormat="1" s="538">
      <c r="A74" s="351" t="n"/>
      <c r="B74" s="351" t="n"/>
      <c r="C74" s="351" t="n"/>
      <c r="D74" s="352" t="n"/>
      <c r="E74" s="365" t="n"/>
    </row>
    <row r="75"/>
    <row r="76"/>
    <row r="77"/>
    <row r="78" ht="18" customHeight="1" s="191">
      <c r="AR78" s="200" t="n"/>
    </row>
  </sheetData>
  <mergeCells count="1">
    <mergeCell ref="A70:E70"/>
  </mergeCells>
  <conditionalFormatting sqref="P75:BC77 P78:AQ78 P79:AB1048576 AG79:AS1048576 AS78:BC78">
    <cfRule type="cellIs" priority="18" operator="greaterThan" dxfId="0">
      <formula>0</formula>
    </cfRule>
  </conditionalFormatting>
  <conditionalFormatting sqref="O4 P4:CG5 P6:AB9 AG6:AW9 AG11:AW16 AG18:AW23 AG25:AW29">
    <cfRule type="cellIs" priority="8" operator="greaterThan" dxfId="0">
      <formula>0</formula>
    </cfRule>
  </conditionalFormatting>
  <conditionalFormatting sqref="AC6:AF9 AC11:AF16 AC18:AF23 AC25:AF29">
    <cfRule type="cellIs" priority="7" operator="greaterThan" dxfId="0">
      <formula>0</formula>
    </cfRule>
  </conditionalFormatting>
  <conditionalFormatting sqref="P11:T16 P22:W22 P23:X23 P25:X29 W11:X16">
    <cfRule type="cellIs" priority="6" operator="greaterThan" dxfId="0">
      <formula>0</formula>
    </cfRule>
  </conditionalFormatting>
  <conditionalFormatting sqref="Y11:AB16 Y21:AB23 Y25:AB29">
    <cfRule type="cellIs" priority="5" operator="greaterThan" dxfId="0">
      <formula>0</formula>
    </cfRule>
  </conditionalFormatting>
  <conditionalFormatting sqref="P18:T20 P21:W21 W18:X19 W20 X20:X22">
    <cfRule type="cellIs" priority="4" operator="greaterThan" dxfId="0">
      <formula>0</formula>
    </cfRule>
  </conditionalFormatting>
  <conditionalFormatting sqref="Y18:AB20">
    <cfRule type="cellIs" priority="3" operator="greaterThan" dxfId="0">
      <formula>0</formula>
    </cfRule>
  </conditionalFormatting>
  <conditionalFormatting sqref="U11:V16">
    <cfRule type="cellIs" priority="2" operator="greaterThan" dxfId="0">
      <formula>0</formula>
    </cfRule>
  </conditionalFormatting>
  <conditionalFormatting sqref="U18:V20">
    <cfRule type="cellIs" priority="1" operator="greaterThan" dxfId="0">
      <formula>0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F78"/>
  <sheetViews>
    <sheetView zoomScaleNormal="100" workbookViewId="0">
      <pane xSplit="5" ySplit="2" topLeftCell="I21" activePane="bottomRight" state="frozen"/>
      <selection pane="topRight" activeCell="F1" sqref="F1"/>
      <selection pane="bottomLeft" activeCell="A3" sqref="A3"/>
      <selection pane="bottomRight" activeCell="N29" sqref="N29"/>
    </sheetView>
  </sheetViews>
  <sheetFormatPr baseColWidth="8" defaultColWidth="14.44140625" defaultRowHeight="14.4"/>
  <cols>
    <col width="5" customWidth="1" style="104" min="1" max="1"/>
    <col width="4.44140625" customWidth="1" style="104" min="2" max="2"/>
    <col width="3" customWidth="1" style="104" min="3" max="3"/>
    <col width="9" bestFit="1" customWidth="1" style="117" min="4" max="4"/>
    <col width="78.33203125" customWidth="1" style="125" min="5" max="5"/>
    <col width="11.33203125" customWidth="1" style="191" min="6" max="7"/>
    <col width="8.109375" bestFit="1" customWidth="1" style="191" min="8" max="8"/>
    <col width="11.33203125" customWidth="1" style="191" min="9" max="13"/>
    <col width="9.109375" customWidth="1" style="191" min="14" max="28"/>
    <col width="9.109375" customWidth="1" style="191" min="29" max="32"/>
    <col width="9.109375" customWidth="1" style="191" min="33" max="45"/>
    <col width="9.109375" customWidth="1" style="191" min="46" max="49"/>
    <col width="9.109375" customWidth="1" style="191" min="50" max="52"/>
    <col width="10.88671875" bestFit="1" customWidth="1" style="191" min="53" max="54"/>
    <col width="14.88671875" customWidth="1" style="191" min="55" max="55"/>
    <col width="9.109375" customWidth="1" style="191" min="56" max="61"/>
    <col width="11.5546875" customWidth="1" style="191" min="62" max="62"/>
    <col width="8.6640625" customWidth="1" style="191" min="63" max="70"/>
    <col width="10.33203125" customWidth="1" style="191" min="71" max="71"/>
    <col width="7.44140625" customWidth="1" style="191" min="72" max="72"/>
    <col width="8.6640625" customWidth="1" style="191" min="73" max="75"/>
    <col width="8.44140625" customWidth="1" style="191" min="76" max="76"/>
    <col width="8.6640625" customWidth="1" style="191" min="77" max="84"/>
  </cols>
  <sheetData>
    <row r="1" ht="15" customHeight="1" s="191" thickBot="1">
      <c r="A1" s="538" t="n"/>
      <c r="B1" s="309" t="n"/>
      <c r="C1" s="285" t="n"/>
      <c r="D1" s="156" t="n"/>
      <c r="E1" s="678" t="inlineStr">
        <is>
          <t>HARMONOGRAM SKOMPRESOWANY v1  |  01.01.2027 – 28.09.2029  |  Kompresja −40% per zadanie  |  Endava +5 etatów  |  AGH +4 etatów</t>
        </is>
      </c>
      <c r="F1" s="227">
        <f>#REF!</f>
        <v/>
      </c>
      <c r="G1" s="228" t="n"/>
      <c r="H1" s="538" t="n"/>
      <c r="I1" s="538" t="n"/>
      <c r="J1" s="551">
        <f>I_Wzorcowa_BD!M1+1</f>
        <v/>
      </c>
      <c r="K1" s="475" t="inlineStr">
        <is>
          <t>równolegle z Zadaniem IV</t>
        </is>
      </c>
      <c r="L1" s="475" t="n"/>
      <c r="M1" s="551">
        <f>MAX(M3:M9999)</f>
        <v/>
      </c>
      <c r="N1" s="679">
        <f>SUM(N$4:N$999)</f>
        <v/>
      </c>
      <c r="O1" s="686">
        <f>SUM(O$4:O$999)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AX1" s="373">
        <f>#REF!</f>
        <v/>
      </c>
      <c r="AY1" s="374" t="n"/>
      <c r="AZ1" s="374" t="n"/>
      <c r="BA1" s="374" t="n"/>
      <c r="BB1" s="375" t="n"/>
    </row>
    <row r="2" ht="84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380">
        <f>Karta!BH2</f>
        <v/>
      </c>
      <c r="AY2" s="380">
        <f>Karta!BI2</f>
        <v/>
      </c>
      <c r="AZ2" s="380">
        <f>Karta!BJ2</f>
        <v/>
      </c>
      <c r="BA2" s="380">
        <f>Karta!BK2</f>
        <v/>
      </c>
      <c r="BB2" s="380">
        <f>Karta!BL2</f>
        <v/>
      </c>
      <c r="BC2" s="6">
        <f>Karta!BM2</f>
        <v/>
      </c>
      <c r="BD2" s="6">
        <f>Karta!BN2</f>
        <v/>
      </c>
      <c r="BE2" s="6">
        <f>Karta!BO2</f>
        <v/>
      </c>
      <c r="BF2" s="6">
        <f>Karta!BP2</f>
        <v/>
      </c>
      <c r="BG2" s="6">
        <f>Karta!BQ2</f>
        <v/>
      </c>
      <c r="BH2" s="6">
        <f>Karta!BR2</f>
        <v/>
      </c>
      <c r="BI2" s="6">
        <f>Karta!BS2</f>
        <v/>
      </c>
      <c r="BJ2" s="6">
        <f>Karta!BT2</f>
        <v/>
      </c>
      <c r="BK2" s="6">
        <f>Karta!BU2</f>
        <v/>
      </c>
      <c r="BL2" s="6">
        <f>Karta!BV2</f>
        <v/>
      </c>
      <c r="BM2" s="6">
        <f>Karta!BW2</f>
        <v/>
      </c>
      <c r="BN2" s="6">
        <f>Karta!BX2</f>
        <v/>
      </c>
      <c r="BO2" s="6">
        <f>Karta!BY2</f>
        <v/>
      </c>
      <c r="BP2" s="6">
        <f>Karta!BZ2</f>
        <v/>
      </c>
      <c r="BQ2" s="6">
        <f>Karta!CA2</f>
        <v/>
      </c>
      <c r="BR2" s="6">
        <f>Karta!CB2</f>
        <v/>
      </c>
      <c r="BS2" s="6">
        <f>Karta!CC2</f>
        <v/>
      </c>
      <c r="BT2" s="6">
        <f>Karta!CD2</f>
        <v/>
      </c>
      <c r="BU2" s="6">
        <f>Karta!CE2</f>
        <v/>
      </c>
      <c r="BV2" s="6">
        <f>Karta!CF2</f>
        <v/>
      </c>
      <c r="BW2" s="6">
        <f>Karta!CG2</f>
        <v/>
      </c>
      <c r="BX2" s="6">
        <f>Karta!CH2</f>
        <v/>
      </c>
      <c r="BY2" s="6">
        <f>Karta!CI2</f>
        <v/>
      </c>
      <c r="BZ2" s="6">
        <f>Karta!CJ2</f>
        <v/>
      </c>
      <c r="CA2" s="6">
        <f>Karta!CK2</f>
        <v/>
      </c>
      <c r="CB2" s="6">
        <f>Karta!CL2</f>
        <v/>
      </c>
      <c r="CC2" s="6">
        <f>Karta!CM2</f>
        <v/>
      </c>
      <c r="CD2" s="6">
        <f>Karta!CN2</f>
        <v/>
      </c>
      <c r="CE2" s="6">
        <f>Karta!CO2</f>
        <v/>
      </c>
      <c r="CF2" s="6">
        <f>Karta!CP2</f>
        <v/>
      </c>
    </row>
    <row r="3" ht="15.6" customFormat="1" customHeight="1" s="141">
      <c r="A3" s="110" t="inlineStr">
        <is>
          <t>.z02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202" t="n"/>
      <c r="G3" s="202" t="n"/>
      <c r="H3" s="203" t="n"/>
      <c r="I3" s="203" t="n"/>
      <c r="J3" s="172" t="n"/>
      <c r="K3" s="172" t="n"/>
      <c r="L3" s="172" t="n"/>
      <c r="M3" s="172" t="n"/>
      <c r="N3" s="172" t="n"/>
      <c r="P3" s="204" t="n"/>
      <c r="Q3" s="204" t="n"/>
      <c r="R3" s="204" t="n"/>
      <c r="S3" s="204" t="n"/>
      <c r="T3" s="204" t="n"/>
      <c r="U3" s="204" t="n"/>
      <c r="V3" s="204" t="n"/>
      <c r="W3" s="204" t="n"/>
      <c r="X3" s="204" t="n"/>
      <c r="Y3" s="205" t="n"/>
      <c r="Z3" s="205" t="n"/>
      <c r="AA3" s="205" t="n"/>
      <c r="AB3" s="205" t="n"/>
      <c r="AC3" s="303" t="n"/>
      <c r="AD3" s="303" t="n"/>
      <c r="AE3" s="303" t="n"/>
      <c r="AF3" s="303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5" t="n"/>
      <c r="AQ3" s="205" t="n"/>
      <c r="AR3" s="205" t="n"/>
      <c r="AS3" s="245" t="n"/>
      <c r="AT3" s="303" t="n"/>
      <c r="AU3" s="303" t="n"/>
      <c r="AV3" s="303" t="n"/>
      <c r="AW3" s="303" t="n"/>
      <c r="AX3" s="206" t="n"/>
      <c r="AY3" s="206" t="n"/>
      <c r="AZ3" s="207" t="n"/>
      <c r="BA3" s="208" t="n"/>
      <c r="BB3" s="175" t="n"/>
      <c r="BC3" s="4" t="n"/>
      <c r="BD3" s="3" t="n"/>
      <c r="BE3" s="3" t="n"/>
      <c r="BF3" s="4" t="n"/>
      <c r="BG3" s="4" t="n"/>
      <c r="BH3" s="3" t="n"/>
      <c r="BI3" s="174" t="n"/>
      <c r="BJ3" s="4" t="n"/>
      <c r="BK3" s="209" t="n"/>
      <c r="BL3" s="483" t="n"/>
      <c r="BM3" s="210" t="n"/>
      <c r="BN3" s="209" t="n"/>
      <c r="BO3" s="483" t="n"/>
      <c r="BP3" s="210" t="n"/>
      <c r="BQ3" s="209" t="n"/>
      <c r="BR3" s="483" t="n"/>
      <c r="BS3" s="483" t="n"/>
      <c r="BT3" s="210" t="n"/>
      <c r="BU3" s="4" t="n"/>
      <c r="BV3" s="4" t="n"/>
      <c r="BW3" s="483" t="n"/>
      <c r="BX3" s="4" t="n"/>
      <c r="BY3" s="4" t="n"/>
      <c r="BZ3" s="4" t="n"/>
      <c r="CA3" s="483" t="n"/>
      <c r="CB3" s="4" t="n"/>
      <c r="CC3" s="4" t="n"/>
      <c r="CD3" s="4" t="n"/>
      <c r="CE3" s="483" t="n"/>
      <c r="CF3" s="659" t="n"/>
    </row>
    <row r="4" ht="18" customHeight="1" s="191">
      <c r="A4" s="410" t="n">
        <v>1</v>
      </c>
      <c r="B4" s="441" t="inlineStr">
        <is>
          <t>a</t>
        </is>
      </c>
      <c r="C4" s="105" t="n">
        <v>0</v>
      </c>
      <c r="D4" s="116">
        <f>CONCATENATE(A$3,"_",A4,"_",B4,"_",C4)</f>
        <v/>
      </c>
      <c r="E4" s="410" t="inlineStr">
        <is>
          <t>1.Opracowanie koncepcji standaryzowanej bazy danych Pakowania</t>
        </is>
      </c>
      <c r="F4" s="148" t="n"/>
      <c r="G4" s="148" t="n"/>
      <c r="H4" s="51" t="n"/>
      <c r="I4" s="85" t="inlineStr">
        <is>
          <t>ACT</t>
        </is>
      </c>
      <c r="J4" s="90" t="n"/>
      <c r="K4" s="90" t="n"/>
      <c r="L4" s="90" t="n"/>
      <c r="M4" s="90" t="n"/>
      <c r="N4" s="415" t="n"/>
      <c r="O4" s="415" t="n"/>
      <c r="P4" s="415" t="n"/>
      <c r="Q4" s="468" t="n"/>
      <c r="R4" s="468" t="n"/>
      <c r="S4" s="468" t="n"/>
      <c r="T4" s="130" t="n"/>
      <c r="U4" s="130" t="n"/>
      <c r="V4" s="130" t="n"/>
      <c r="W4" s="130" t="n"/>
      <c r="X4" s="130" t="n"/>
      <c r="Y4" s="468" t="n"/>
      <c r="Z4" s="468" t="n"/>
      <c r="AA4" s="468" t="n"/>
      <c r="AB4" s="148" t="n"/>
      <c r="AC4" s="173" t="n"/>
      <c r="AD4" s="173" t="n"/>
      <c r="AE4" s="173" t="n"/>
      <c r="AF4" s="173" t="n"/>
      <c r="AG4" s="148" t="n"/>
      <c r="AH4" s="148" t="n"/>
      <c r="AI4" s="148" t="n"/>
      <c r="AJ4" s="148" t="n"/>
      <c r="AK4" s="190" t="n"/>
      <c r="AL4" s="190" t="n"/>
      <c r="AM4" s="190" t="n"/>
      <c r="AN4" s="190" t="n"/>
      <c r="AO4" s="190" t="n"/>
      <c r="AP4" s="148" t="n"/>
      <c r="AQ4" s="148" t="n"/>
      <c r="AR4" s="148" t="n"/>
      <c r="AS4" s="148" t="n"/>
      <c r="AT4" s="148" t="n"/>
      <c r="AU4" s="148" t="n"/>
      <c r="AV4" s="148" t="n"/>
      <c r="AW4" s="148" t="n"/>
      <c r="AX4" s="148" t="n"/>
      <c r="AY4" s="148" t="n"/>
      <c r="AZ4" s="148" t="n"/>
      <c r="BA4" s="148" t="n"/>
      <c r="BB4" s="148" t="n"/>
      <c r="BC4" s="148" t="n"/>
      <c r="BD4" s="148" t="n"/>
      <c r="BE4" s="148" t="n"/>
      <c r="BF4" s="148" t="n"/>
      <c r="BG4" s="148" t="n"/>
      <c r="BH4" s="148" t="n"/>
      <c r="BI4" s="148" t="n"/>
      <c r="BJ4" s="148" t="n"/>
      <c r="BK4" s="148" t="n"/>
      <c r="BL4" s="148" t="n"/>
      <c r="BM4" s="148" t="n"/>
      <c r="BN4" s="148" t="n"/>
      <c r="BO4" s="148" t="n"/>
      <c r="BP4" s="148" t="n"/>
      <c r="BQ4" s="148" t="n"/>
      <c r="BR4" s="148" t="n"/>
      <c r="BS4" s="148" t="n"/>
      <c r="BT4" s="148" t="n"/>
      <c r="BU4" s="148" t="n"/>
      <c r="BV4" s="148" t="n"/>
      <c r="BW4" s="148" t="n"/>
      <c r="BX4" s="148" t="n"/>
      <c r="BY4" s="148" t="n"/>
      <c r="BZ4" s="148" t="n"/>
      <c r="CA4" s="148" t="n"/>
      <c r="CB4" s="148" t="n"/>
      <c r="CC4" s="148" t="n"/>
      <c r="CD4" s="148" t="n"/>
      <c r="CE4" s="148" t="n"/>
      <c r="CF4" s="659" t="n"/>
    </row>
    <row r="5">
      <c r="A5" s="444" t="n">
        <v>1</v>
      </c>
      <c r="B5" s="441" t="inlineStr">
        <is>
          <t>a</t>
        </is>
      </c>
      <c r="C5" s="105" t="n">
        <v>0</v>
      </c>
      <c r="D5" s="116">
        <f>CONCATENATE(A$3,"_",A5,"_",B5,"_",C5)</f>
        <v/>
      </c>
      <c r="E5" s="435" t="inlineStr">
        <is>
          <t>1.a.Projektowanie struktury bazy danych, która zapewni jej wydajność, spójność i skalowalność</t>
        </is>
      </c>
      <c r="F5" s="148" t="n"/>
      <c r="G5" s="148" t="n"/>
      <c r="H5" s="148" t="n"/>
      <c r="I5" s="148" t="n"/>
      <c r="J5" s="148" t="n"/>
      <c r="K5" s="148" t="n"/>
      <c r="L5" s="148" t="n"/>
      <c r="M5" s="148" t="n"/>
      <c r="N5" s="444" t="n"/>
      <c r="O5" s="444" t="n"/>
      <c r="P5" s="444" t="n"/>
      <c r="Q5" s="468" t="n"/>
      <c r="R5" s="468" t="n"/>
      <c r="S5" s="468" t="n"/>
      <c r="T5" s="468" t="n"/>
      <c r="U5" s="130" t="n"/>
      <c r="V5" s="130" t="n"/>
      <c r="W5" s="130" t="n"/>
      <c r="X5" s="468" t="n"/>
      <c r="Y5" s="468" t="n"/>
      <c r="Z5" s="468" t="n"/>
      <c r="AA5" s="468" t="n"/>
      <c r="AB5" s="468" t="n"/>
      <c r="AC5" s="468" t="n"/>
      <c r="AD5" s="468" t="n"/>
      <c r="AE5" s="468" t="n"/>
      <c r="AF5" s="468" t="n"/>
      <c r="AG5" s="468" t="n"/>
      <c r="AH5" s="468" t="n"/>
      <c r="AI5" s="468" t="n"/>
      <c r="AJ5" s="468" t="n"/>
      <c r="AK5" s="468" t="n"/>
      <c r="AL5" s="130" t="n"/>
      <c r="AM5" s="130" t="n"/>
      <c r="AN5" s="130" t="n"/>
      <c r="AO5" s="468" t="n"/>
      <c r="AP5" s="468" t="n"/>
      <c r="AQ5" s="468" t="n"/>
      <c r="AR5" s="468" t="n"/>
      <c r="AS5" s="468" t="n"/>
      <c r="AT5" s="468" t="n"/>
      <c r="AU5" s="468" t="n"/>
      <c r="AV5" s="468" t="n"/>
      <c r="AW5" s="468" t="n"/>
      <c r="AX5" s="468" t="n"/>
      <c r="AY5" s="468" t="n"/>
      <c r="AZ5" s="468" t="n"/>
      <c r="BA5" s="468" t="n"/>
      <c r="BB5" s="468" t="n"/>
      <c r="BC5" s="468" t="n"/>
      <c r="BD5" s="468" t="n"/>
      <c r="BE5" s="468" t="n"/>
      <c r="BF5" s="468" t="n"/>
      <c r="BG5" s="468" t="n"/>
      <c r="BH5" s="468" t="n"/>
      <c r="BI5" s="468" t="n"/>
      <c r="BJ5" s="468" t="n"/>
      <c r="BK5" s="468" t="n"/>
      <c r="BL5" s="468" t="n"/>
      <c r="BM5" s="468" t="n"/>
      <c r="BN5" s="468" t="n"/>
      <c r="BO5" s="468" t="n"/>
      <c r="BP5" s="468" t="n"/>
      <c r="BQ5" s="468" t="n"/>
      <c r="BR5" s="468" t="n"/>
      <c r="BS5" s="468" t="n"/>
      <c r="BT5" s="468" t="n"/>
      <c r="BU5" s="468" t="n"/>
      <c r="BV5" s="468" t="n"/>
      <c r="BW5" s="468" t="n"/>
      <c r="BX5" s="468" t="n"/>
      <c r="BY5" s="468" t="n"/>
      <c r="BZ5" s="468" t="n"/>
      <c r="CA5" s="468" t="n"/>
      <c r="CB5" s="468" t="n"/>
      <c r="CC5" s="468" t="n"/>
      <c r="CD5" s="468" t="n"/>
      <c r="CE5" s="468" t="n"/>
      <c r="CF5" s="659" t="n"/>
    </row>
    <row r="6">
      <c r="A6" s="444" t="n">
        <v>1</v>
      </c>
      <c r="B6" s="441" t="inlineStr">
        <is>
          <t>a</t>
        </is>
      </c>
      <c r="C6" s="105" t="n">
        <v>1</v>
      </c>
      <c r="D6" s="116">
        <f>CONCATENATE(A$3,"_",A6,"_",B6,"_",C6)</f>
        <v/>
      </c>
      <c r="E6" s="417" t="inlineStr">
        <is>
          <t>Opracowanie logicznego i fizycznego modelu bazy danych, uwzględniającego wszystkie kluczowe elementy (np. tabele, relacje, indeksy i klucze)</t>
        </is>
      </c>
      <c r="F6" s="528">
        <f>IFERROR(VLOOKUP($I6,Listy!$A:$H,2,FALSE),"XXX")</f>
        <v/>
      </c>
      <c r="G6" s="528">
        <f>IFERROR(VLOOKUP($I6,Listy!$A:$H,3,FALSE),"XXX")</f>
        <v/>
      </c>
      <c r="H6" s="416" t="n">
        <v>1</v>
      </c>
      <c r="I6" s="89" t="inlineStr">
        <is>
          <t>.a02</t>
        </is>
      </c>
      <c r="J6" s="91">
        <f>J1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74" t="n">
        <v>1</v>
      </c>
      <c r="O6" s="444" t="n">
        <v>160</v>
      </c>
      <c r="P6" s="187" t="n">
        <v>0.25</v>
      </c>
      <c r="Q6" s="187" t="n">
        <v>0.25</v>
      </c>
      <c r="R6" s="187" t="n">
        <v>0.25</v>
      </c>
      <c r="S6" s="187" t="n">
        <v>0.25</v>
      </c>
      <c r="T6" s="187" t="n">
        <v>0</v>
      </c>
      <c r="U6" s="187" t="n">
        <v>0</v>
      </c>
      <c r="V6" s="187" t="n">
        <v>0</v>
      </c>
      <c r="W6" s="187" t="n">
        <v>0</v>
      </c>
      <c r="X6" s="187" t="n">
        <v>0</v>
      </c>
      <c r="Y6" s="292" t="n"/>
      <c r="Z6" s="292" t="n"/>
      <c r="AA6" s="292" t="n"/>
      <c r="AB6" s="292" t="n"/>
      <c r="AC6" s="302" t="n"/>
      <c r="AD6" s="302" t="n"/>
      <c r="AE6" s="302" t="n"/>
      <c r="AF6" s="302" t="n"/>
      <c r="AG6" s="192">
        <f>ROUND($O6*P6,0)</f>
        <v/>
      </c>
      <c r="AH6" s="192">
        <f>ROUND($O6*Q6,0)</f>
        <v/>
      </c>
      <c r="AI6" s="192">
        <f>ROUND($O6*R6,0)</f>
        <v/>
      </c>
      <c r="AJ6" s="192">
        <f>ROUND($O6*S6,0)</f>
        <v/>
      </c>
      <c r="AK6" s="192">
        <f>ROUND($O6*T6,0)</f>
        <v/>
      </c>
      <c r="AL6" s="192">
        <f>ROUND($O6*U6,0)</f>
        <v/>
      </c>
      <c r="AM6" s="192">
        <f>ROUND($O6*V6,0)</f>
        <v/>
      </c>
      <c r="AN6" s="192">
        <f>ROUND($O6*W6,0)</f>
        <v/>
      </c>
      <c r="AO6" s="192">
        <f>ROUND($O6*X6,0)</f>
        <v/>
      </c>
      <c r="AP6" s="193">
        <f>ROUND($O6*Y6,0)</f>
        <v/>
      </c>
      <c r="AQ6" s="193">
        <f>ROUND($O6*Z6,0)</f>
        <v/>
      </c>
      <c r="AR6" s="193">
        <f>ROUND($O6*AA6,0)</f>
        <v/>
      </c>
      <c r="AS6" s="307">
        <f>ROUND($O6*AB6,0)</f>
        <v/>
      </c>
      <c r="AT6" s="304" t="n"/>
      <c r="AU6" s="304" t="n"/>
      <c r="AV6" s="304" t="n"/>
      <c r="AW6" s="304" t="n"/>
      <c r="AX6" s="236">
        <f>SUM(AG6:AO6)</f>
        <v/>
      </c>
      <c r="AY6" s="528">
        <f>AX6/160</f>
        <v/>
      </c>
      <c r="AZ6" s="87">
        <f>VLOOKUP(I6,Listy!$A$1:$H$9,6,FALSE)</f>
        <v/>
      </c>
      <c r="BA6" s="682">
        <f>AY6*AZ6</f>
        <v/>
      </c>
      <c r="BB6" s="683">
        <f>AY6*BA6</f>
        <v/>
      </c>
      <c r="BC6" s="528" t="n"/>
      <c r="BD6" s="528" t="n"/>
      <c r="BE6" s="528" t="n"/>
      <c r="BF6" s="528" t="n"/>
      <c r="BG6" s="528" t="n"/>
      <c r="BH6" s="528" t="n"/>
      <c r="BI6" s="21">
        <f>BG6*BH6</f>
        <v/>
      </c>
      <c r="BJ6" s="528" t="n"/>
      <c r="BK6" s="528" t="n"/>
      <c r="BL6" s="528" t="n"/>
      <c r="BM6" s="528" t="n"/>
      <c r="BN6" s="528" t="n"/>
      <c r="BO6" s="528" t="n"/>
      <c r="BP6" s="528" t="n"/>
      <c r="BQ6" s="528" t="n"/>
      <c r="BR6" s="528" t="n"/>
      <c r="BS6" s="528" t="n"/>
      <c r="BT6" s="528" t="n"/>
      <c r="BU6" s="528" t="n"/>
      <c r="BV6" s="528" t="n"/>
      <c r="BW6" s="21">
        <f>BU6*BV6</f>
        <v/>
      </c>
      <c r="BX6" s="528" t="n"/>
      <c r="BY6" s="528" t="n"/>
      <c r="BZ6" s="528" t="n"/>
      <c r="CA6" s="21">
        <f>BY6*BZ6</f>
        <v/>
      </c>
      <c r="CB6" s="528" t="n"/>
      <c r="CC6" s="528" t="n"/>
      <c r="CD6" s="528" t="n"/>
      <c r="CE6" s="21">
        <f>CC6*CD6</f>
        <v/>
      </c>
      <c r="CF6" s="659" t="n"/>
    </row>
    <row r="7">
      <c r="A7" s="444" t="n">
        <v>1</v>
      </c>
      <c r="B7" s="441" t="inlineStr">
        <is>
          <t>a</t>
        </is>
      </c>
      <c r="C7" s="105" t="n">
        <v>1</v>
      </c>
      <c r="D7" s="116">
        <f>CONCATENATE(A$3,"_",A7,"_",B7,"_",C7)</f>
        <v/>
      </c>
      <c r="E7" s="417" t="inlineStr">
        <is>
          <t>Opracowanie architektury systemu, zapewniającą obsługę rosnącej ilości danych celem szybkiego i efektywnego ich przetwarzania</t>
        </is>
      </c>
      <c r="F7" s="528">
        <f>IFERROR(VLOOKUP($I7,Listy!$A:$H,2,FALSE),"XXX")</f>
        <v/>
      </c>
      <c r="G7" s="528">
        <f>IFERROR(VLOOKUP($I7,Listy!$A:$H,3,FALSE),"XXX")</f>
        <v/>
      </c>
      <c r="H7" s="444" t="n">
        <v>1</v>
      </c>
      <c r="I7" s="89" t="inlineStr">
        <is>
          <t>.a03</t>
        </is>
      </c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74">
        <f>ROUND(MAX(AG7:AO7)/Listy!$U$2,0)</f>
        <v/>
      </c>
      <c r="O7" s="444" t="n">
        <v>20</v>
      </c>
      <c r="P7" s="187" t="n">
        <v>0.25</v>
      </c>
      <c r="Q7" s="187" t="n">
        <v>0.25</v>
      </c>
      <c r="R7" s="187" t="n">
        <v>0.25</v>
      </c>
      <c r="S7" s="187" t="n">
        <v>0.25</v>
      </c>
      <c r="T7" s="187" t="n">
        <v>0</v>
      </c>
      <c r="U7" s="187" t="n">
        <v>0</v>
      </c>
      <c r="V7" s="187" t="n">
        <v>0</v>
      </c>
      <c r="W7" s="187" t="n">
        <v>0</v>
      </c>
      <c r="X7" s="187" t="n">
        <v>0</v>
      </c>
      <c r="Y7" s="292" t="n"/>
      <c r="Z7" s="292" t="n"/>
      <c r="AA7" s="292" t="n"/>
      <c r="AB7" s="292" t="n"/>
      <c r="AC7" s="302" t="n"/>
      <c r="AD7" s="302" t="n"/>
      <c r="AE7" s="302" t="n"/>
      <c r="AF7" s="302" t="n"/>
      <c r="AG7" s="192">
        <f>ROUND($O7*P7,0)</f>
        <v/>
      </c>
      <c r="AH7" s="192">
        <f>ROUND($O7*Q7,0)</f>
        <v/>
      </c>
      <c r="AI7" s="192">
        <f>ROUND($O7*R7,0)</f>
        <v/>
      </c>
      <c r="AJ7" s="192">
        <f>ROUND($O7*S7,0)</f>
        <v/>
      </c>
      <c r="AK7" s="192">
        <f>ROUND($O7*T7,0)</f>
        <v/>
      </c>
      <c r="AL7" s="192">
        <f>ROUND($O7*U7,0)</f>
        <v/>
      </c>
      <c r="AM7" s="192">
        <f>ROUND($O7*V7,0)</f>
        <v/>
      </c>
      <c r="AN7" s="192">
        <f>ROUND($O7*W7,0)</f>
        <v/>
      </c>
      <c r="AO7" s="192">
        <f>ROUND($O7*X7,0)</f>
        <v/>
      </c>
      <c r="AP7" s="193">
        <f>ROUND($O7*Y7,0)</f>
        <v/>
      </c>
      <c r="AQ7" s="193">
        <f>ROUND($O7*Z7,0)</f>
        <v/>
      </c>
      <c r="AR7" s="193">
        <f>ROUND($O7*AA7,0)</f>
        <v/>
      </c>
      <c r="AS7" s="307">
        <f>ROUND($O7*AB7,0)</f>
        <v/>
      </c>
      <c r="AT7" s="304" t="n"/>
      <c r="AU7" s="304" t="n"/>
      <c r="AV7" s="304" t="n"/>
      <c r="AW7" s="304" t="n"/>
      <c r="AX7" s="236">
        <f>SUM(AG7:AO7)</f>
        <v/>
      </c>
      <c r="AY7" s="528">
        <f>AX7/160</f>
        <v/>
      </c>
      <c r="AZ7" s="87">
        <f>VLOOKUP(I7,Listy!$A$1:$H$9,6,FALSE)</f>
        <v/>
      </c>
      <c r="BA7" s="682">
        <f>AY7*AZ7</f>
        <v/>
      </c>
      <c r="BB7" s="683">
        <f>AY7*BA7</f>
        <v/>
      </c>
      <c r="BC7" s="528" t="n"/>
      <c r="BD7" s="528" t="n"/>
      <c r="BE7" s="528" t="n"/>
      <c r="BF7" s="528" t="n"/>
      <c r="BG7" s="528" t="n"/>
      <c r="BH7" s="528" t="n"/>
      <c r="BI7" s="21">
        <f>BG7*BH7</f>
        <v/>
      </c>
      <c r="BJ7" s="528" t="n"/>
      <c r="BK7" s="528" t="n"/>
      <c r="BL7" s="528" t="n"/>
      <c r="BM7" s="528" t="n"/>
      <c r="BN7" s="528" t="n"/>
      <c r="BO7" s="528" t="n"/>
      <c r="BP7" s="528" t="n"/>
      <c r="BQ7" s="528" t="n"/>
      <c r="BR7" s="528" t="n"/>
      <c r="BS7" s="528" t="n"/>
      <c r="BT7" s="528" t="n"/>
      <c r="BU7" s="528" t="n"/>
      <c r="BV7" s="528" t="n"/>
      <c r="BW7" s="21">
        <f>BU7*BV7</f>
        <v/>
      </c>
      <c r="BX7" s="528" t="n"/>
      <c r="BY7" s="528" t="n"/>
      <c r="BZ7" s="528" t="n"/>
      <c r="CA7" s="21">
        <f>BY7*BZ7</f>
        <v/>
      </c>
      <c r="CB7" s="528" t="n"/>
      <c r="CC7" s="528" t="n"/>
      <c r="CD7" s="528" t="n"/>
      <c r="CE7" s="21">
        <f>CC7*CD7</f>
        <v/>
      </c>
    </row>
    <row r="8">
      <c r="A8" s="444" t="n">
        <v>1</v>
      </c>
      <c r="B8" s="441" t="inlineStr">
        <is>
          <t>a</t>
        </is>
      </c>
      <c r="C8" s="105" t="n">
        <v>1</v>
      </c>
      <c r="D8" s="116">
        <f>CONCATENATE(A$3,"_",A8,"_",B8,"_",C8)</f>
        <v/>
      </c>
      <c r="E8" s="417" t="inlineStr">
        <is>
          <t>Opracowanie mechanizmów do administrowania, eksploatacji i monitorowania bazy danych oraz współpracy z modułami planowanej platformy ICT</t>
        </is>
      </c>
      <c r="F8" s="528">
        <f>IFERROR(VLOOKUP($I8,Listy!$A:$H,2,FALSE),"XXX")</f>
        <v/>
      </c>
      <c r="G8" s="528">
        <f>IFERROR(VLOOKUP($I8,Listy!$A:$H,3,FALSE),"XXX")</f>
        <v/>
      </c>
      <c r="H8" s="444" t="n">
        <v>1</v>
      </c>
      <c r="I8" s="89" t="inlineStr">
        <is>
          <t>.a01</t>
        </is>
      </c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74">
        <f>ROUND(MAX(AG8:AO8)/Listy!$U$2,0)</f>
        <v/>
      </c>
      <c r="O8" s="444" t="n">
        <v>20</v>
      </c>
      <c r="P8" s="187" t="n">
        <v>0.25</v>
      </c>
      <c r="Q8" s="187" t="n">
        <v>0.25</v>
      </c>
      <c r="R8" s="187" t="n">
        <v>0.25</v>
      </c>
      <c r="S8" s="187" t="n">
        <v>0.25</v>
      </c>
      <c r="T8" s="187" t="n">
        <v>0</v>
      </c>
      <c r="U8" s="187" t="n">
        <v>0</v>
      </c>
      <c r="V8" s="187" t="n">
        <v>0</v>
      </c>
      <c r="W8" s="187" t="n">
        <v>0</v>
      </c>
      <c r="X8" s="187" t="n">
        <v>0</v>
      </c>
      <c r="Y8" s="292" t="n"/>
      <c r="Z8" s="292" t="n"/>
      <c r="AA8" s="292" t="n"/>
      <c r="AB8" s="292" t="n"/>
      <c r="AC8" s="302" t="n"/>
      <c r="AD8" s="302" t="n"/>
      <c r="AE8" s="302" t="n"/>
      <c r="AF8" s="302" t="n"/>
      <c r="AG8" s="192">
        <f>ROUND($O8*P8,0)</f>
        <v/>
      </c>
      <c r="AH8" s="192">
        <f>ROUND($O8*Q8,0)</f>
        <v/>
      </c>
      <c r="AI8" s="192">
        <f>ROUND($O8*R8,0)</f>
        <v/>
      </c>
      <c r="AJ8" s="192">
        <f>ROUND($O8*S8,0)</f>
        <v/>
      </c>
      <c r="AK8" s="192">
        <f>ROUND($O8*T8,0)</f>
        <v/>
      </c>
      <c r="AL8" s="192">
        <f>ROUND($O8*U8,0)</f>
        <v/>
      </c>
      <c r="AM8" s="192">
        <f>ROUND($O8*V8,0)</f>
        <v/>
      </c>
      <c r="AN8" s="192">
        <f>ROUND($O8*W8,0)</f>
        <v/>
      </c>
      <c r="AO8" s="192">
        <f>ROUND($O8*X8,0)</f>
        <v/>
      </c>
      <c r="AP8" s="193">
        <f>ROUND($O8*Y8,0)</f>
        <v/>
      </c>
      <c r="AQ8" s="193">
        <f>ROUND($O8*Z8,0)</f>
        <v/>
      </c>
      <c r="AR8" s="193">
        <f>ROUND($O8*AA8,0)</f>
        <v/>
      </c>
      <c r="AS8" s="307">
        <f>ROUND($O8*AB8,0)</f>
        <v/>
      </c>
      <c r="AT8" s="304" t="n"/>
      <c r="AU8" s="304" t="n"/>
      <c r="AV8" s="304" t="n"/>
      <c r="AW8" s="304" t="n"/>
      <c r="AX8" s="236">
        <f>SUM(AG8:AO8)</f>
        <v/>
      </c>
      <c r="AY8" s="528">
        <f>AX8/160</f>
        <v/>
      </c>
      <c r="AZ8" s="87">
        <f>VLOOKUP(I8,Listy!$A$1:$H$9,6,FALSE)</f>
        <v/>
      </c>
      <c r="BA8" s="682">
        <f>AY8*AZ8</f>
        <v/>
      </c>
      <c r="BB8" s="683">
        <f>AY8*BA8</f>
        <v/>
      </c>
      <c r="BC8" s="528" t="n"/>
      <c r="BD8" s="528" t="n"/>
      <c r="BE8" s="528" t="n"/>
      <c r="BF8" s="528" t="n"/>
      <c r="BG8" s="528" t="n"/>
      <c r="BH8" s="528" t="n"/>
      <c r="BI8" s="21">
        <f>BG8*BH8</f>
        <v/>
      </c>
      <c r="BJ8" s="528" t="n"/>
      <c r="BK8" s="528" t="n"/>
      <c r="BL8" s="528" t="n"/>
      <c r="BM8" s="528" t="n"/>
      <c r="BN8" s="528" t="n"/>
      <c r="BO8" s="528" t="n"/>
      <c r="BP8" s="528" t="n"/>
      <c r="BQ8" s="528" t="n"/>
      <c r="BR8" s="528" t="n"/>
      <c r="BS8" s="528" t="n"/>
      <c r="BT8" s="528" t="n"/>
      <c r="BU8" s="528" t="n"/>
      <c r="BV8" s="528" t="n"/>
      <c r="BW8" s="21">
        <f>BU8*BV8</f>
        <v/>
      </c>
      <c r="BX8" s="528" t="n"/>
      <c r="BY8" s="528" t="n"/>
      <c r="BZ8" s="528" t="n"/>
      <c r="CA8" s="21">
        <f>BY8*BZ8</f>
        <v/>
      </c>
      <c r="CB8" s="528" t="n"/>
      <c r="CC8" s="528" t="n"/>
      <c r="CD8" s="528" t="n"/>
      <c r="CE8" s="21">
        <f>CC8*CD8</f>
        <v/>
      </c>
    </row>
    <row r="9">
      <c r="A9" s="444" t="n">
        <v>1</v>
      </c>
      <c r="B9" s="441" t="inlineStr">
        <is>
          <t>a</t>
        </is>
      </c>
      <c r="C9" s="105" t="n">
        <v>1</v>
      </c>
      <c r="D9" s="116">
        <f>CONCATENATE(A$3,"_",A9,"_",B9,"_",C9)</f>
        <v/>
      </c>
      <c r="E9" s="417" t="inlineStr">
        <is>
          <t>Testowanie, walidacja i optymalizacja projektu struktury bazy danych</t>
        </is>
      </c>
      <c r="F9" s="528">
        <f>IFERROR(VLOOKUP($I9,Listy!$A:$H,2,FALSE),"XXX")</f>
        <v/>
      </c>
      <c r="G9" s="528">
        <f>IFERROR(VLOOKUP($I9,Listy!$A:$H,3,FALSE),"XXX")</f>
        <v/>
      </c>
      <c r="H9" s="444" t="n">
        <v>1</v>
      </c>
      <c r="I9" s="89" t="inlineStr">
        <is>
          <t>.a03</t>
        </is>
      </c>
      <c r="J9" s="91">
        <f>M8+1</f>
        <v/>
      </c>
      <c r="K9" s="681">
        <f>VLOOKUP(J9,Kalendarz!B:E,4,FALSE)</f>
        <v/>
      </c>
      <c r="L9" s="681">
        <f>K9+N9</f>
        <v/>
      </c>
      <c r="M9" s="528">
        <f>J9+N9-1</f>
        <v/>
      </c>
      <c r="N9" s="474">
        <f>ROUND(MAX(AG9:AO9)/Listy!$U$2,0)</f>
        <v/>
      </c>
      <c r="O9" s="444" t="n">
        <v>20</v>
      </c>
      <c r="P9" s="187" t="n">
        <v>0.25</v>
      </c>
      <c r="Q9" s="187" t="n">
        <v>0.25</v>
      </c>
      <c r="R9" s="187" t="n">
        <v>0.25</v>
      </c>
      <c r="S9" s="187" t="n">
        <v>0.25</v>
      </c>
      <c r="T9" s="187" t="n">
        <v>0</v>
      </c>
      <c r="U9" s="187" t="n">
        <v>0</v>
      </c>
      <c r="V9" s="187" t="n">
        <v>0</v>
      </c>
      <c r="W9" s="187" t="n">
        <v>0</v>
      </c>
      <c r="X9" s="187" t="n">
        <v>0</v>
      </c>
      <c r="Y9" s="292" t="n"/>
      <c r="Z9" s="292" t="n"/>
      <c r="AA9" s="292" t="n"/>
      <c r="AB9" s="292" t="n"/>
      <c r="AC9" s="302" t="n"/>
      <c r="AD9" s="302" t="n"/>
      <c r="AE9" s="302" t="n"/>
      <c r="AF9" s="302" t="n"/>
      <c r="AG9" s="192">
        <f>ROUND($O9*P9,0)</f>
        <v/>
      </c>
      <c r="AH9" s="192">
        <f>ROUND($O9*Q9,0)</f>
        <v/>
      </c>
      <c r="AI9" s="192">
        <f>ROUND($O9*R9,0)</f>
        <v/>
      </c>
      <c r="AJ9" s="192">
        <f>ROUND($O9*S9,0)</f>
        <v/>
      </c>
      <c r="AK9" s="192">
        <f>ROUND($O9*T9,0)</f>
        <v/>
      </c>
      <c r="AL9" s="192">
        <f>ROUND($O9*U9,0)</f>
        <v/>
      </c>
      <c r="AM9" s="192">
        <f>ROUND($O9*V9,0)</f>
        <v/>
      </c>
      <c r="AN9" s="192">
        <f>ROUND($O9*W9,0)</f>
        <v/>
      </c>
      <c r="AO9" s="192">
        <f>ROUND($O9*X9,0)</f>
        <v/>
      </c>
      <c r="AP9" s="193">
        <f>ROUND($O9*Y9,0)</f>
        <v/>
      </c>
      <c r="AQ9" s="193">
        <f>ROUND($O9*Z9,0)</f>
        <v/>
      </c>
      <c r="AR9" s="193">
        <f>ROUND($O9*AA9,0)</f>
        <v/>
      </c>
      <c r="AS9" s="307">
        <f>ROUND($O9*AB9,0)</f>
        <v/>
      </c>
      <c r="AT9" s="304" t="n"/>
      <c r="AU9" s="304" t="n"/>
      <c r="AV9" s="304" t="n"/>
      <c r="AW9" s="304" t="n"/>
      <c r="AX9" s="236">
        <f>SUM(AG9:AO9)</f>
        <v/>
      </c>
      <c r="AY9" s="528">
        <f>AX9/160</f>
        <v/>
      </c>
      <c r="AZ9" s="87">
        <f>VLOOKUP(I9,Listy!$A$1:$H$9,6,FALSE)</f>
        <v/>
      </c>
      <c r="BA9" s="682">
        <f>AY9*AZ9</f>
        <v/>
      </c>
      <c r="BB9" s="683">
        <f>AY9*BA9</f>
        <v/>
      </c>
      <c r="BC9" s="528" t="n"/>
      <c r="BD9" s="528" t="n"/>
      <c r="BE9" s="528" t="n"/>
      <c r="BF9" s="528" t="n"/>
      <c r="BG9" s="528" t="n"/>
      <c r="BH9" s="528" t="n"/>
      <c r="BI9" s="21">
        <f>BG9*BH9</f>
        <v/>
      </c>
      <c r="BJ9" s="528" t="n"/>
      <c r="BK9" s="528" t="n"/>
      <c r="BL9" s="528" t="n"/>
      <c r="BM9" s="528" t="n"/>
      <c r="BN9" s="528" t="n"/>
      <c r="BO9" s="528" t="n"/>
      <c r="BP9" s="528" t="n"/>
      <c r="BQ9" s="528" t="n"/>
      <c r="BR9" s="528" t="n"/>
      <c r="BS9" s="528" t="n"/>
      <c r="BT9" s="528" t="n"/>
      <c r="BU9" s="528" t="n"/>
      <c r="BV9" s="528" t="n"/>
      <c r="BW9" s="21">
        <f>BU9*BV9</f>
        <v/>
      </c>
      <c r="BX9" s="528" t="n"/>
      <c r="BY9" s="528" t="n"/>
      <c r="BZ9" s="528" t="n"/>
      <c r="CA9" s="21">
        <f>BY9*BZ9</f>
        <v/>
      </c>
      <c r="CB9" s="528" t="n"/>
      <c r="CC9" s="528" t="n"/>
      <c r="CD9" s="528" t="n"/>
      <c r="CE9" s="21">
        <f>CC9*CD9</f>
        <v/>
      </c>
    </row>
    <row r="10">
      <c r="A10" s="444" t="n">
        <v>1</v>
      </c>
      <c r="B10" s="441" t="inlineStr">
        <is>
          <t>b</t>
        </is>
      </c>
      <c r="C10" s="105" t="n">
        <v>0</v>
      </c>
      <c r="D10" s="116">
        <f>CONCATENATE(A$3,"_",A10,"_",B10,"_",C10)</f>
        <v/>
      </c>
      <c r="E10" s="442" t="inlineStr">
        <is>
          <t>1.b.Zbieranie i przygotowanie danych w celu  uzyskania pełnego obrazu operacji dot. Pakowania i umożliwienia kompleksowych analiz</t>
        </is>
      </c>
      <c r="F10" s="148" t="n"/>
      <c r="G10" s="148" t="n"/>
      <c r="H10" s="444" t="n"/>
      <c r="I10" s="148" t="n"/>
      <c r="J10" s="91">
        <f>M9+1</f>
        <v/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74">
        <f>ROUND(MAX(AG10:AO10)/Listy!$U$2,0)</f>
        <v/>
      </c>
      <c r="O10" s="468" t="n"/>
      <c r="P10" s="468" t="n"/>
      <c r="Q10" s="468" t="n"/>
      <c r="R10" s="468" t="n"/>
      <c r="S10" s="468" t="n"/>
      <c r="T10" s="130" t="n"/>
      <c r="U10" s="130" t="n"/>
      <c r="V10" s="130" t="n"/>
      <c r="W10" s="130" t="n"/>
      <c r="X10" s="130" t="n"/>
      <c r="Y10" s="468" t="n"/>
      <c r="Z10" s="468" t="n"/>
      <c r="AA10" s="468" t="n"/>
      <c r="AB10" s="148" t="n"/>
      <c r="AC10" s="173" t="n"/>
      <c r="AD10" s="173" t="n"/>
      <c r="AE10" s="173" t="n"/>
      <c r="AF10" s="173" t="n"/>
      <c r="AG10" s="148" t="n"/>
      <c r="AH10" s="148" t="n"/>
      <c r="AI10" s="148" t="n"/>
      <c r="AJ10" s="148" t="n"/>
      <c r="AK10" s="148" t="n"/>
      <c r="AL10" s="148" t="n"/>
      <c r="AM10" s="148" t="n"/>
      <c r="AN10" s="148" t="n"/>
      <c r="AO10" s="148" t="n"/>
      <c r="AP10" s="148" t="n"/>
      <c r="AQ10" s="148" t="n"/>
      <c r="AR10" s="148" t="n"/>
      <c r="AS10" s="148" t="n"/>
      <c r="AT10" s="148" t="n"/>
      <c r="AU10" s="148" t="n"/>
      <c r="AV10" s="148" t="n"/>
      <c r="AW10" s="148" t="n"/>
      <c r="AX10" s="148" t="n"/>
      <c r="AY10" s="148" t="n"/>
      <c r="AZ10" s="148" t="n"/>
      <c r="BA10" s="148" t="n"/>
      <c r="BB10" s="148" t="n"/>
      <c r="BC10" s="148" t="n"/>
      <c r="BD10" s="148" t="n"/>
      <c r="BE10" s="148" t="n"/>
      <c r="BF10" s="148" t="n"/>
      <c r="BG10" s="148" t="n"/>
      <c r="BH10" s="148" t="n"/>
      <c r="BI10" s="148" t="n"/>
      <c r="BJ10" s="148" t="n"/>
      <c r="BK10" s="148" t="n"/>
      <c r="BL10" s="148" t="n"/>
      <c r="BM10" s="148" t="n"/>
      <c r="BN10" s="148" t="n"/>
      <c r="BO10" s="148" t="n"/>
      <c r="BP10" s="148" t="n"/>
      <c r="BQ10" s="148" t="n"/>
      <c r="BR10" s="148" t="n"/>
      <c r="BS10" s="148" t="n"/>
      <c r="BT10" s="148" t="n"/>
      <c r="BU10" s="148" t="n"/>
      <c r="BV10" s="148" t="n"/>
      <c r="BW10" s="148" t="n"/>
      <c r="BX10" s="148" t="n"/>
      <c r="BY10" s="148" t="n"/>
      <c r="BZ10" s="148" t="n"/>
      <c r="CA10" s="148" t="n"/>
      <c r="CB10" s="148" t="n"/>
      <c r="CC10" s="148" t="n"/>
      <c r="CD10" s="148" t="n"/>
      <c r="CE10" s="148" t="n"/>
      <c r="CF10" s="659" t="n"/>
    </row>
    <row r="11" customFormat="1" s="538">
      <c r="A11" s="444" t="n">
        <v>1</v>
      </c>
      <c r="B11" s="441" t="inlineStr">
        <is>
          <t>b</t>
        </is>
      </c>
      <c r="C11" s="105" t="n">
        <v>1</v>
      </c>
      <c r="D11" s="116">
        <f>CONCATENATE(A$3,"_",A11,"_",B11,"_",C11)</f>
        <v/>
      </c>
      <c r="E11" s="418" t="inlineStr">
        <is>
          <t>Stworzenie procedur zbierania, analizy i przetwarzania danych</t>
        </is>
      </c>
      <c r="F11" s="528">
        <f>IFERROR(VLOOKUP($I11,Listy!$A:$H,2,FALSE),"XXX")</f>
        <v/>
      </c>
      <c r="G11" s="528">
        <f>IFERROR(VLOOKUP($I11,Listy!$A:$H,3,FALSE),"XXX")</f>
        <v/>
      </c>
      <c r="H11" s="444" t="n">
        <v>2</v>
      </c>
      <c r="I11" s="89" t="inlineStr">
        <is>
          <t>.a02</t>
        </is>
      </c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474" t="n">
        <v>1</v>
      </c>
      <c r="O11" s="444" t="n">
        <v>40</v>
      </c>
      <c r="P11" s="187" t="n">
        <v>0.25</v>
      </c>
      <c r="Q11" s="187" t="n">
        <v>0.25</v>
      </c>
      <c r="R11" s="187" t="n">
        <v>0.25</v>
      </c>
      <c r="S11" s="187" t="n">
        <v>0.25</v>
      </c>
      <c r="T11" s="187" t="n">
        <v>0</v>
      </c>
      <c r="U11" s="187" t="n">
        <v>0</v>
      </c>
      <c r="V11" s="187" t="n">
        <v>0</v>
      </c>
      <c r="W11" s="187" t="n">
        <v>0</v>
      </c>
      <c r="X11" s="187" t="n">
        <v>0</v>
      </c>
      <c r="Y11" s="292" t="n"/>
      <c r="Z11" s="292" t="n"/>
      <c r="AA11" s="292" t="n"/>
      <c r="AB11" s="292" t="n"/>
      <c r="AC11" s="302" t="n"/>
      <c r="AD11" s="302" t="n"/>
      <c r="AE11" s="302" t="n"/>
      <c r="AF11" s="302" t="n"/>
      <c r="AG11" s="192">
        <f>ROUND($O11*P11,0)</f>
        <v/>
      </c>
      <c r="AH11" s="192">
        <f>ROUND($O11*Q11,0)</f>
        <v/>
      </c>
      <c r="AI11" s="192">
        <f>ROUND($O11*R11,0)</f>
        <v/>
      </c>
      <c r="AJ11" s="192">
        <f>ROUND($O11*S11,0)</f>
        <v/>
      </c>
      <c r="AK11" s="192">
        <f>ROUND($O11*T11,0)</f>
        <v/>
      </c>
      <c r="AL11" s="192">
        <f>ROUND($O11*U11,0)</f>
        <v/>
      </c>
      <c r="AM11" s="192">
        <f>ROUND($O11*V11,0)</f>
        <v/>
      </c>
      <c r="AN11" s="192">
        <f>ROUND($O11*W11,0)</f>
        <v/>
      </c>
      <c r="AO11" s="192">
        <f>ROUND($O11*X11,0)</f>
        <v/>
      </c>
      <c r="AP11" s="193">
        <f>ROUND($O11*Y11,0)</f>
        <v/>
      </c>
      <c r="AQ11" s="193">
        <f>ROUND($O11*Z11,0)</f>
        <v/>
      </c>
      <c r="AR11" s="193">
        <f>ROUND($O11*AA11,0)</f>
        <v/>
      </c>
      <c r="AS11" s="307">
        <f>ROUND($O11*AB11,0)</f>
        <v/>
      </c>
      <c r="AT11" s="304" t="n"/>
      <c r="AU11" s="304" t="n"/>
      <c r="AV11" s="304" t="n"/>
      <c r="AW11" s="304" t="n"/>
      <c r="AX11" s="236">
        <f>SUM(AG11:AO11)</f>
        <v/>
      </c>
      <c r="AY11" s="528">
        <f>AX11/160</f>
        <v/>
      </c>
      <c r="AZ11" s="87">
        <f>VLOOKUP(I11,Listy!$A$1:$H$9,6,FALSE)</f>
        <v/>
      </c>
      <c r="BA11" s="682">
        <f>AY11*AZ11</f>
        <v/>
      </c>
      <c r="BB11" s="683">
        <f>AY11*BA11</f>
        <v/>
      </c>
      <c r="BC11" s="528" t="n"/>
      <c r="BD11" s="528" t="n"/>
      <c r="BE11" s="528" t="n"/>
      <c r="BF11" s="528" t="n"/>
      <c r="BG11" s="528" t="n"/>
      <c r="BH11" s="528" t="n"/>
      <c r="BI11" s="21">
        <f>BG11*BH11</f>
        <v/>
      </c>
      <c r="BJ11" s="528" t="n"/>
      <c r="BK11" s="528" t="n"/>
      <c r="BL11" s="21" t="n"/>
      <c r="BM11" s="528" t="n"/>
      <c r="BN11" s="528" t="n"/>
      <c r="BO11" s="21" t="n"/>
      <c r="BP11" s="528" t="n"/>
      <c r="BQ11" s="528" t="n"/>
      <c r="BR11" s="21" t="n"/>
      <c r="BS11" s="21" t="n"/>
      <c r="BT11" s="528" t="n"/>
      <c r="BU11" s="528" t="n"/>
      <c r="BV11" s="528" t="n"/>
      <c r="BW11" s="21">
        <f>BU11*BV11</f>
        <v/>
      </c>
      <c r="BX11" s="528" t="n"/>
      <c r="BY11" s="528" t="n"/>
      <c r="BZ11" s="528" t="n"/>
      <c r="CA11" s="21">
        <f>BY11*BZ11</f>
        <v/>
      </c>
      <c r="CB11" s="528" t="n"/>
      <c r="CC11" s="528" t="n"/>
      <c r="CD11" s="528" t="n"/>
      <c r="CE11" s="21">
        <f>CC11*CD11</f>
        <v/>
      </c>
      <c r="CF11" s="659" t="n"/>
    </row>
    <row r="12" customFormat="1" s="538">
      <c r="A12" s="444" t="n">
        <v>1</v>
      </c>
      <c r="B12" s="441" t="inlineStr">
        <is>
          <t>b</t>
        </is>
      </c>
      <c r="C12" s="105" t="n">
        <v>2</v>
      </c>
      <c r="D12" s="116">
        <f>CONCATENATE(A$3,"_",A12,"_",B12,"_",C12)</f>
        <v/>
      </c>
      <c r="E12" s="418" t="inlineStr">
        <is>
          <t xml:space="preserve">Pozyskanie danych z różnych źródeł, np. systemy WMS, ERP </t>
        </is>
      </c>
      <c r="F12" s="528">
        <f>IFERROR(VLOOKUP($I12,Listy!$A:$H,2,FALSE),"XXX")</f>
        <v/>
      </c>
      <c r="G12" s="528">
        <f>IFERROR(VLOOKUP($I12,Listy!$A:$H,3,FALSE),"XXX")</f>
        <v/>
      </c>
      <c r="H12" s="444" t="n">
        <v>2</v>
      </c>
      <c r="I12" s="89" t="inlineStr">
        <is>
          <t>.a03</t>
        </is>
      </c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474" t="n">
        <v>1</v>
      </c>
      <c r="O12" s="444" t="n">
        <v>80</v>
      </c>
      <c r="P12" s="187" t="n">
        <v>0.25</v>
      </c>
      <c r="Q12" s="187" t="n">
        <v>0.25</v>
      </c>
      <c r="R12" s="187" t="n">
        <v>0.25</v>
      </c>
      <c r="S12" s="187" t="n">
        <v>0.25</v>
      </c>
      <c r="T12" s="187" t="n">
        <v>0</v>
      </c>
      <c r="U12" s="187" t="n">
        <v>0</v>
      </c>
      <c r="V12" s="187" t="n">
        <v>0</v>
      </c>
      <c r="W12" s="187" t="n">
        <v>0</v>
      </c>
      <c r="X12" s="187" t="n">
        <v>0</v>
      </c>
      <c r="Y12" s="292" t="n"/>
      <c r="Z12" s="292" t="n"/>
      <c r="AA12" s="292" t="n"/>
      <c r="AB12" s="292" t="n"/>
      <c r="AC12" s="302" t="n"/>
      <c r="AD12" s="302" t="n"/>
      <c r="AE12" s="302" t="n"/>
      <c r="AF12" s="302" t="n"/>
      <c r="AG12" s="192">
        <f>ROUND($O12*P12,0)</f>
        <v/>
      </c>
      <c r="AH12" s="192">
        <f>ROUND($O12*Q12,0)</f>
        <v/>
      </c>
      <c r="AI12" s="192">
        <f>ROUND($O12*R12,0)</f>
        <v/>
      </c>
      <c r="AJ12" s="192">
        <f>ROUND($O12*S12,0)</f>
        <v/>
      </c>
      <c r="AK12" s="192">
        <f>ROUND($O12*T12,0)</f>
        <v/>
      </c>
      <c r="AL12" s="192">
        <f>ROUND($O12*U12,0)</f>
        <v/>
      </c>
      <c r="AM12" s="192">
        <f>ROUND($O12*V12,0)</f>
        <v/>
      </c>
      <c r="AN12" s="192">
        <f>ROUND($O12*W12,0)</f>
        <v/>
      </c>
      <c r="AO12" s="192">
        <f>ROUND($O12*X12,0)</f>
        <v/>
      </c>
      <c r="AP12" s="193">
        <f>ROUND($O12*Y12,0)</f>
        <v/>
      </c>
      <c r="AQ12" s="193">
        <f>ROUND($O12*Z12,0)</f>
        <v/>
      </c>
      <c r="AR12" s="193">
        <f>ROUND($O12*AA12,0)</f>
        <v/>
      </c>
      <c r="AS12" s="307">
        <f>ROUND($O12*AB12,0)</f>
        <v/>
      </c>
      <c r="AT12" s="304" t="n"/>
      <c r="AU12" s="304" t="n"/>
      <c r="AV12" s="304" t="n"/>
      <c r="AW12" s="304" t="n"/>
      <c r="AX12" s="236">
        <f>SUM(AG12:AO12)</f>
        <v/>
      </c>
      <c r="AY12" s="528">
        <f>AX12/160</f>
        <v/>
      </c>
      <c r="AZ12" s="87">
        <f>VLOOKUP(I12,Listy!$A$1:$H$9,6,FALSE)</f>
        <v/>
      </c>
      <c r="BA12" s="682">
        <f>AY12*AZ12</f>
        <v/>
      </c>
      <c r="BB12" s="683">
        <f>AY12*BA12</f>
        <v/>
      </c>
      <c r="BC12" s="528" t="n"/>
      <c r="BD12" s="528" t="n"/>
      <c r="BE12" s="528" t="n"/>
      <c r="BF12" s="528" t="n"/>
      <c r="BG12" s="528" t="n"/>
      <c r="BH12" s="528" t="n"/>
      <c r="BI12" s="21">
        <f>BG12*BH12</f>
        <v/>
      </c>
      <c r="BJ12" s="528" t="n"/>
      <c r="BK12" s="528" t="n"/>
      <c r="BL12" s="528" t="n"/>
      <c r="BM12" s="528" t="n"/>
      <c r="BN12" s="528" t="n"/>
      <c r="BO12" s="528" t="n"/>
      <c r="BP12" s="528" t="n"/>
      <c r="BQ12" s="528" t="n"/>
      <c r="BR12" s="528" t="n"/>
      <c r="BS12" s="528" t="n"/>
      <c r="BT12" s="528" t="n"/>
      <c r="BU12" s="528" t="n"/>
      <c r="BV12" s="528" t="n"/>
      <c r="BW12" s="21">
        <f>BU12*BV12</f>
        <v/>
      </c>
      <c r="BX12" s="528" t="n"/>
      <c r="BY12" s="528" t="n"/>
      <c r="BZ12" s="528" t="n"/>
      <c r="CA12" s="21">
        <f>BY12*BZ12</f>
        <v/>
      </c>
      <c r="CB12" s="528" t="n"/>
      <c r="CC12" s="528" t="n"/>
      <c r="CD12" s="528" t="n"/>
      <c r="CE12" s="21">
        <f>CC12*CD12</f>
        <v/>
      </c>
      <c r="CF12" s="659" t="n"/>
    </row>
    <row r="13" customFormat="1" s="538">
      <c r="A13" s="444" t="n">
        <v>1</v>
      </c>
      <c r="B13" s="441" t="inlineStr">
        <is>
          <t>b</t>
        </is>
      </c>
      <c r="C13" s="105" t="n">
        <v>3</v>
      </c>
      <c r="D13" s="116">
        <f>CONCATENATE(A$3,"_",A13,"_",B13,"_",C13)</f>
        <v/>
      </c>
      <c r="E13" s="418" t="inlineStr">
        <is>
          <t xml:space="preserve"> Identyfikacja aktualnie przypisywanych atrybutów do rekordów/obiektów w WMS/ERP</t>
        </is>
      </c>
      <c r="F13" s="528">
        <f>IFERROR(VLOOKUP($I13,Listy!$A:$H,2,FALSE),"XXX")</f>
        <v/>
      </c>
      <c r="G13" s="528">
        <f>IFERROR(VLOOKUP($I13,Listy!$A:$H,3,FALSE),"XXX")</f>
        <v/>
      </c>
      <c r="H13" s="444" t="n">
        <v>2</v>
      </c>
      <c r="I13" s="89" t="inlineStr">
        <is>
          <t>.a01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1</v>
      </c>
      <c r="O13" s="444" t="n">
        <v>60</v>
      </c>
      <c r="P13" s="187" t="n">
        <v>0.25</v>
      </c>
      <c r="Q13" s="187" t="n">
        <v>0.25</v>
      </c>
      <c r="R13" s="187" t="n">
        <v>0.25</v>
      </c>
      <c r="S13" s="187" t="n">
        <v>0.25</v>
      </c>
      <c r="T13" s="187" t="n">
        <v>0</v>
      </c>
      <c r="U13" s="187" t="n">
        <v>0</v>
      </c>
      <c r="V13" s="187" t="n">
        <v>0</v>
      </c>
      <c r="W13" s="187" t="n">
        <v>0</v>
      </c>
      <c r="X13" s="187" t="n">
        <v>0</v>
      </c>
      <c r="Y13" s="292" t="n"/>
      <c r="Z13" s="292" t="n"/>
      <c r="AA13" s="292" t="n"/>
      <c r="AB13" s="292" t="n"/>
      <c r="AC13" s="302" t="n"/>
      <c r="AD13" s="302" t="n"/>
      <c r="AE13" s="302" t="n"/>
      <c r="AF13" s="302" t="n"/>
      <c r="AG13" s="192">
        <f>ROUND($O13*P13,0)</f>
        <v/>
      </c>
      <c r="AH13" s="192">
        <f>ROUND($O13*Q13,0)</f>
        <v/>
      </c>
      <c r="AI13" s="192">
        <f>ROUND($O13*R13,0)</f>
        <v/>
      </c>
      <c r="AJ13" s="192">
        <f>ROUND($O13*S13,0)</f>
        <v/>
      </c>
      <c r="AK13" s="192">
        <f>ROUND($O13*T13,0)</f>
        <v/>
      </c>
      <c r="AL13" s="192">
        <f>ROUND($O13*U13,0)</f>
        <v/>
      </c>
      <c r="AM13" s="192">
        <f>ROUND($O13*V13,0)</f>
        <v/>
      </c>
      <c r="AN13" s="192">
        <f>ROUND($O13*W13,0)</f>
        <v/>
      </c>
      <c r="AO13" s="192">
        <f>ROUND($O13*X13,0)</f>
        <v/>
      </c>
      <c r="AP13" s="193">
        <f>ROUND($O13*Y13,0)</f>
        <v/>
      </c>
      <c r="AQ13" s="193">
        <f>ROUND($O13*Z13,0)</f>
        <v/>
      </c>
      <c r="AR13" s="193">
        <f>ROUND($O13*AA13,0)</f>
        <v/>
      </c>
      <c r="AS13" s="307">
        <f>ROUND($O13*AB13,0)</f>
        <v/>
      </c>
      <c r="AT13" s="304" t="n"/>
      <c r="AU13" s="304" t="n"/>
      <c r="AV13" s="304" t="n"/>
      <c r="AW13" s="304" t="n"/>
      <c r="AX13" s="236">
        <f>SUM(AG13:AO13)</f>
        <v/>
      </c>
      <c r="AY13" s="528">
        <f>AX13/160</f>
        <v/>
      </c>
      <c r="AZ13" s="87">
        <f>VLOOKUP(I13,Listy!$A$1:$H$9,6,FALSE)</f>
        <v/>
      </c>
      <c r="BA13" s="682">
        <f>AY13*AZ13</f>
        <v/>
      </c>
      <c r="BB13" s="683">
        <f>AY13*BA13</f>
        <v/>
      </c>
      <c r="BC13" s="528" t="n"/>
      <c r="BD13" s="528" t="n"/>
      <c r="BE13" s="528" t="n"/>
      <c r="BF13" s="528" t="n"/>
      <c r="BG13" s="528" t="n"/>
      <c r="BH13" s="528" t="n"/>
      <c r="BI13" s="21">
        <f>BG13*BH13</f>
        <v/>
      </c>
      <c r="BJ13" s="528" t="n"/>
      <c r="BK13" s="528" t="n"/>
      <c r="BL13" s="528" t="n"/>
      <c r="BM13" s="528" t="n"/>
      <c r="BN13" s="528" t="n"/>
      <c r="BO13" s="528" t="n"/>
      <c r="BP13" s="528" t="n"/>
      <c r="BQ13" s="528" t="n"/>
      <c r="BR13" s="528" t="n"/>
      <c r="BS13" s="528" t="n"/>
      <c r="BT13" s="528" t="n"/>
      <c r="BU13" s="528" t="n"/>
      <c r="BV13" s="528" t="n"/>
      <c r="BW13" s="21">
        <f>BU13*BV13</f>
        <v/>
      </c>
      <c r="BX13" s="528" t="n"/>
      <c r="BY13" s="528" t="n"/>
      <c r="BZ13" s="528" t="n"/>
      <c r="CA13" s="21">
        <f>BY13*BZ13</f>
        <v/>
      </c>
      <c r="CB13" s="528" t="n"/>
      <c r="CC13" s="528" t="n"/>
      <c r="CD13" s="528" t="n"/>
      <c r="CE13" s="21">
        <f>CC13*CD13</f>
        <v/>
      </c>
    </row>
    <row r="14" customFormat="1" s="538">
      <c r="A14" s="444" t="n">
        <v>1</v>
      </c>
      <c r="B14" s="441" t="inlineStr">
        <is>
          <t>b</t>
        </is>
      </c>
      <c r="C14" s="439" t="n">
        <v>4</v>
      </c>
      <c r="D14" s="400">
        <f>CONCATENATE(A$3,"_",A14,"_",B14,"_",C14)</f>
        <v/>
      </c>
      <c r="E14" s="418" t="inlineStr">
        <is>
          <t>Opracowanie założeń modeli, schematów, organizacji i prezentacji danych wejściowych</t>
        </is>
      </c>
      <c r="F14" s="528">
        <f>IFERROR(VLOOKUP($I14,Listy!$A:$H,2,FALSE),"XXX")</f>
        <v/>
      </c>
      <c r="G14" s="528">
        <f>IFERROR(VLOOKUP($I14,Listy!$A:$H,3,FALSE),"XXX")</f>
        <v/>
      </c>
      <c r="H14" s="444" t="n">
        <v>2</v>
      </c>
      <c r="I14" s="89" t="inlineStr">
        <is>
          <t>.a03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 t="n">
        <v>1</v>
      </c>
      <c r="O14" s="444" t="n">
        <v>80</v>
      </c>
      <c r="P14" s="187" t="n">
        <v>0.25</v>
      </c>
      <c r="Q14" s="187" t="n">
        <v>0.25</v>
      </c>
      <c r="R14" s="187" t="n">
        <v>0.25</v>
      </c>
      <c r="S14" s="187" t="n">
        <v>0.25</v>
      </c>
      <c r="T14" s="187" t="n">
        <v>0</v>
      </c>
      <c r="U14" s="187" t="n">
        <v>0</v>
      </c>
      <c r="V14" s="187" t="n">
        <v>0</v>
      </c>
      <c r="W14" s="187" t="n">
        <v>0</v>
      </c>
      <c r="X14" s="187" t="n">
        <v>0</v>
      </c>
      <c r="Y14" s="292" t="n"/>
      <c r="Z14" s="292" t="n"/>
      <c r="AA14" s="292" t="n"/>
      <c r="AB14" s="292" t="n"/>
      <c r="AC14" s="302" t="n"/>
      <c r="AD14" s="302" t="n"/>
      <c r="AE14" s="302" t="n"/>
      <c r="AF14" s="302" t="n"/>
      <c r="AG14" s="192">
        <f>ROUND($O14*P14,0)</f>
        <v/>
      </c>
      <c r="AH14" s="192">
        <f>ROUND($O14*Q14,0)</f>
        <v/>
      </c>
      <c r="AI14" s="192">
        <f>ROUND($O14*R14,0)</f>
        <v/>
      </c>
      <c r="AJ14" s="192">
        <f>ROUND($O14*S14,0)</f>
        <v/>
      </c>
      <c r="AK14" s="192">
        <f>ROUND($O14*T14,0)</f>
        <v/>
      </c>
      <c r="AL14" s="192">
        <f>ROUND($O14*U14,0)</f>
        <v/>
      </c>
      <c r="AM14" s="192">
        <f>ROUND($O14*V14,0)</f>
        <v/>
      </c>
      <c r="AN14" s="192">
        <f>ROUND($O14*W14,0)</f>
        <v/>
      </c>
      <c r="AO14" s="192">
        <f>ROUND($O14*X14,0)</f>
        <v/>
      </c>
      <c r="AP14" s="193">
        <f>ROUND($O14*Y14,0)</f>
        <v/>
      </c>
      <c r="AQ14" s="193">
        <f>ROUND($O14*Z14,0)</f>
        <v/>
      </c>
      <c r="AR14" s="193">
        <f>ROUND($O14*AA14,0)</f>
        <v/>
      </c>
      <c r="AS14" s="307">
        <f>ROUND($O14*AB14,0)</f>
        <v/>
      </c>
      <c r="AT14" s="304" t="n"/>
      <c r="AU14" s="304" t="n"/>
      <c r="AV14" s="304" t="n"/>
      <c r="AW14" s="304" t="n"/>
      <c r="AX14" s="236">
        <f>SUM(AG14:AO14)</f>
        <v/>
      </c>
      <c r="AY14" s="528">
        <f>AX14/160</f>
        <v/>
      </c>
      <c r="AZ14" s="87">
        <f>VLOOKUP(I14,Listy!$A$1:$H$9,6,FALSE)</f>
        <v/>
      </c>
      <c r="BA14" s="682">
        <f>AY14*AZ14</f>
        <v/>
      </c>
      <c r="BB14" s="683">
        <f>AY14*BA14</f>
        <v/>
      </c>
      <c r="BC14" s="528" t="n"/>
      <c r="BD14" s="528" t="n"/>
      <c r="BE14" s="528" t="n"/>
      <c r="BF14" s="528" t="n"/>
      <c r="BG14" s="528" t="n"/>
      <c r="BH14" s="528" t="n"/>
      <c r="BI14" s="21">
        <f>BG14*BH14</f>
        <v/>
      </c>
      <c r="BJ14" s="528" t="n"/>
      <c r="BK14" s="528" t="n"/>
      <c r="BL14" s="528" t="n"/>
      <c r="BM14" s="528" t="n"/>
      <c r="BN14" s="528" t="n"/>
      <c r="BO14" s="528" t="n"/>
      <c r="BP14" s="528" t="n"/>
      <c r="BQ14" s="528" t="n"/>
      <c r="BR14" s="528" t="n"/>
      <c r="BS14" s="528" t="n"/>
      <c r="BT14" s="528" t="n"/>
      <c r="BU14" s="528" t="n"/>
      <c r="BV14" s="528" t="n"/>
      <c r="BW14" s="21">
        <f>BU14*BV14</f>
        <v/>
      </c>
      <c r="BX14" s="528" t="n"/>
      <c r="BY14" s="528" t="n"/>
      <c r="BZ14" s="528" t="n"/>
      <c r="CA14" s="21">
        <f>BY14*BZ14</f>
        <v/>
      </c>
      <c r="CB14" s="528" t="n"/>
      <c r="CC14" s="528" t="n"/>
      <c r="CD14" s="528" t="n"/>
      <c r="CE14" s="21">
        <f>CC14*CD14</f>
        <v/>
      </c>
    </row>
    <row r="15" customFormat="1" s="538">
      <c r="A15" s="444" t="n">
        <v>1</v>
      </c>
      <c r="B15" s="441" t="inlineStr">
        <is>
          <t>c</t>
        </is>
      </c>
      <c r="C15" s="404" t="n">
        <v>1</v>
      </c>
      <c r="D15" s="443">
        <f>CONCATENATE(A$3,"_",A15,"_",B15,"_",C15)</f>
        <v/>
      </c>
      <c r="E15" s="418" t="inlineStr">
        <is>
          <t>Zgromadzenie danych historycznych (ostatnie 3 lata), dot. procesów omawianych w ramach niniejszego projektu.</t>
        </is>
      </c>
      <c r="F15" s="528">
        <f>IFERROR(VLOOKUP($I15,Listy!$A:$H,2,FALSE),"XXX")</f>
        <v/>
      </c>
      <c r="G15" s="528">
        <f>IFERROR(VLOOKUP($I15,Listy!$A:$H,3,FALSE),"XXX")</f>
        <v/>
      </c>
      <c r="H15" s="444" t="n">
        <v>3</v>
      </c>
      <c r="I15" s="89" t="inlineStr">
        <is>
          <t>.a04</t>
        </is>
      </c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 t="n">
        <v>1</v>
      </c>
      <c r="O15" s="444" t="n">
        <v>40</v>
      </c>
      <c r="P15" s="187" t="n">
        <v>0.25</v>
      </c>
      <c r="Q15" s="187" t="n">
        <v>0.25</v>
      </c>
      <c r="R15" s="187" t="n">
        <v>0.25</v>
      </c>
      <c r="S15" s="187" t="n">
        <v>0.25</v>
      </c>
      <c r="T15" s="187" t="n">
        <v>0</v>
      </c>
      <c r="U15" s="187" t="n">
        <v>0</v>
      </c>
      <c r="V15" s="187" t="n">
        <v>0</v>
      </c>
      <c r="W15" s="187" t="n">
        <v>0</v>
      </c>
      <c r="X15" s="187" t="n">
        <v>0</v>
      </c>
      <c r="Y15" s="292" t="n"/>
      <c r="Z15" s="292" t="n"/>
      <c r="AA15" s="292" t="n"/>
      <c r="AB15" s="292" t="n"/>
      <c r="AC15" s="302" t="n"/>
      <c r="AD15" s="302" t="n"/>
      <c r="AE15" s="302" t="n"/>
      <c r="AF15" s="302" t="n"/>
      <c r="AG15" s="192">
        <f>ROUND($O15*P15,0)</f>
        <v/>
      </c>
      <c r="AH15" s="192">
        <f>ROUND($O15*Q15,0)</f>
        <v/>
      </c>
      <c r="AI15" s="192">
        <f>ROUND($O15*R15,0)</f>
        <v/>
      </c>
      <c r="AJ15" s="192">
        <f>ROUND($O15*S15,0)</f>
        <v/>
      </c>
      <c r="AK15" s="192">
        <f>ROUND($O15*T15,0)</f>
        <v/>
      </c>
      <c r="AL15" s="192">
        <f>ROUND($O15*U15,0)</f>
        <v/>
      </c>
      <c r="AM15" s="192">
        <f>ROUND($O15*V15,0)</f>
        <v/>
      </c>
      <c r="AN15" s="192">
        <f>ROUND($O15*W15,0)</f>
        <v/>
      </c>
      <c r="AO15" s="192">
        <f>ROUND($O15*X15,0)</f>
        <v/>
      </c>
      <c r="AP15" s="193">
        <f>ROUND($O15*Y15,0)</f>
        <v/>
      </c>
      <c r="AQ15" s="193">
        <f>ROUND($O15*Z15,0)</f>
        <v/>
      </c>
      <c r="AR15" s="193">
        <f>ROUND($O15*AA15,0)</f>
        <v/>
      </c>
      <c r="AS15" s="307">
        <f>ROUND($O15*AB15,0)</f>
        <v/>
      </c>
      <c r="AT15" s="304" t="n"/>
      <c r="AU15" s="304" t="n"/>
      <c r="AV15" s="304" t="n"/>
      <c r="AW15" s="304" t="n"/>
      <c r="AX15" s="236">
        <f>SUM(AG15:AO15)</f>
        <v/>
      </c>
      <c r="AY15" s="528">
        <f>AX15/160</f>
        <v/>
      </c>
      <c r="AZ15" s="87">
        <f>VLOOKUP(I15,Listy!$A$1:$H$9,6,FALSE)</f>
        <v/>
      </c>
      <c r="BA15" s="682">
        <f>AY15*AZ15</f>
        <v/>
      </c>
      <c r="BB15" s="683">
        <f>AY15*BA15</f>
        <v/>
      </c>
      <c r="BC15" s="528" t="n"/>
      <c r="BD15" s="528" t="n"/>
      <c r="BE15" s="528" t="n"/>
      <c r="BF15" s="528" t="n"/>
      <c r="BG15" s="528" t="n"/>
      <c r="BH15" s="528" t="n"/>
      <c r="BI15" s="21">
        <f>BG15*BH15</f>
        <v/>
      </c>
      <c r="BJ15" s="528" t="n"/>
      <c r="BK15" s="528" t="n"/>
      <c r="BL15" s="528" t="n"/>
      <c r="BM15" s="528" t="n"/>
      <c r="BN15" s="528" t="n"/>
      <c r="BO15" s="528" t="n"/>
      <c r="BP15" s="528" t="n"/>
      <c r="BQ15" s="528" t="n"/>
      <c r="BR15" s="528" t="n"/>
      <c r="BS15" s="528" t="n"/>
      <c r="BT15" s="528" t="n"/>
      <c r="BU15" s="528" t="n"/>
      <c r="BV15" s="528" t="n"/>
      <c r="BW15" s="21">
        <f>BU15*BV15</f>
        <v/>
      </c>
      <c r="BX15" s="528" t="n"/>
      <c r="BY15" s="528" t="n"/>
      <c r="BZ15" s="528" t="n"/>
      <c r="CA15" s="21">
        <f>BY15*BZ15</f>
        <v/>
      </c>
      <c r="CB15" s="528" t="n"/>
      <c r="CC15" s="528" t="n"/>
      <c r="CD15" s="528" t="n"/>
      <c r="CE15" s="21">
        <f>CC15*CD15</f>
        <v/>
      </c>
    </row>
    <row r="16" customFormat="1" s="538">
      <c r="A16" s="444" t="n">
        <v>1</v>
      </c>
      <c r="B16" s="441" t="inlineStr">
        <is>
          <t>d</t>
        </is>
      </c>
      <c r="C16" s="404" t="n">
        <v>1</v>
      </c>
      <c r="D16" s="443">
        <f>CONCATENATE(A$3,"_",A16,"_",B16,"_",C16)</f>
        <v/>
      </c>
      <c r="E16" s="418" t="inlineStr">
        <is>
          <t>Oczyszczanie, normalizacja, konwersja i standaryzacja danych (procedury ETL), w tym usuwanie duplikatów i korekcji błędów, do jednolitego formatu na potrzeby dokładności analiz i predykcji, spójności i możliwość łatwego przetwarzania,</t>
        </is>
      </c>
      <c r="F16" s="528">
        <f>IFERROR(VLOOKUP($I16,Listy!$A:$H,2,FALSE),"XXX")</f>
        <v/>
      </c>
      <c r="G16" s="528">
        <f>IFERROR(VLOOKUP($I16,Listy!$A:$H,3,FALSE),"XXX")</f>
        <v/>
      </c>
      <c r="H16" s="444" t="n">
        <v>4</v>
      </c>
      <c r="I16" s="89" t="inlineStr">
        <is>
          <t>.a02</t>
        </is>
      </c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4" t="n">
        <v>1</v>
      </c>
      <c r="O16" s="444" t="n">
        <v>80</v>
      </c>
      <c r="P16" s="187" t="n">
        <v>0.25</v>
      </c>
      <c r="Q16" s="187" t="n">
        <v>0.25</v>
      </c>
      <c r="R16" s="187" t="n">
        <v>0.25</v>
      </c>
      <c r="S16" s="187" t="n">
        <v>0.25</v>
      </c>
      <c r="T16" s="187" t="n">
        <v>0</v>
      </c>
      <c r="U16" s="187" t="n">
        <v>0</v>
      </c>
      <c r="V16" s="187" t="n">
        <v>0</v>
      </c>
      <c r="W16" s="187" t="n">
        <v>0</v>
      </c>
      <c r="X16" s="187" t="n">
        <v>0</v>
      </c>
      <c r="Y16" s="292" t="n"/>
      <c r="Z16" s="292" t="n"/>
      <c r="AA16" s="292" t="n"/>
      <c r="AB16" s="292" t="n"/>
      <c r="AC16" s="302" t="n"/>
      <c r="AD16" s="302" t="n"/>
      <c r="AE16" s="302" t="n"/>
      <c r="AF16" s="302" t="n"/>
      <c r="AG16" s="192">
        <f>ROUND($O16*P16,0)</f>
        <v/>
      </c>
      <c r="AH16" s="192">
        <f>ROUND($O16*Q16,0)</f>
        <v/>
      </c>
      <c r="AI16" s="192">
        <f>ROUND($O16*R16,0)</f>
        <v/>
      </c>
      <c r="AJ16" s="192">
        <f>ROUND($O16*S16,0)</f>
        <v/>
      </c>
      <c r="AK16" s="192">
        <f>ROUND($O16*T16,0)</f>
        <v/>
      </c>
      <c r="AL16" s="192">
        <f>ROUND($O16*U16,0)</f>
        <v/>
      </c>
      <c r="AM16" s="192">
        <f>ROUND($O16*V16,0)</f>
        <v/>
      </c>
      <c r="AN16" s="192">
        <f>ROUND($O16*W16,0)</f>
        <v/>
      </c>
      <c r="AO16" s="192">
        <f>ROUND($O16*X16,0)</f>
        <v/>
      </c>
      <c r="AP16" s="193">
        <f>ROUND($O16*Y16,0)</f>
        <v/>
      </c>
      <c r="AQ16" s="193">
        <f>ROUND($O16*Z16,0)</f>
        <v/>
      </c>
      <c r="AR16" s="193">
        <f>ROUND($O16*AA16,0)</f>
        <v/>
      </c>
      <c r="AS16" s="307">
        <f>ROUND($O16*AB16,0)</f>
        <v/>
      </c>
      <c r="AT16" s="304" t="n"/>
      <c r="AU16" s="304" t="n"/>
      <c r="AV16" s="304" t="n"/>
      <c r="AW16" s="304" t="n"/>
      <c r="AX16" s="236">
        <f>SUM(AG16:AO16)</f>
        <v/>
      </c>
      <c r="AY16" s="528">
        <f>AX16/160</f>
        <v/>
      </c>
      <c r="AZ16" s="87">
        <f>VLOOKUP(I16,Listy!$A$1:$H$9,6,FALSE)</f>
        <v/>
      </c>
      <c r="BA16" s="682">
        <f>AY16*AZ16</f>
        <v/>
      </c>
      <c r="BB16" s="683">
        <f>AY16*BA16</f>
        <v/>
      </c>
      <c r="BC16" s="528" t="n"/>
      <c r="BD16" s="528" t="n"/>
      <c r="BE16" s="528" t="n"/>
      <c r="BF16" s="528" t="n"/>
      <c r="BG16" s="528" t="n"/>
      <c r="BH16" s="528" t="n"/>
      <c r="BI16" s="22">
        <f>BG16*BH16</f>
        <v/>
      </c>
      <c r="BJ16" s="528" t="n"/>
      <c r="BK16" s="528" t="n"/>
      <c r="BL16" s="314" t="n"/>
      <c r="BM16" s="528" t="n"/>
      <c r="BN16" s="528" t="n"/>
      <c r="BO16" s="314" t="n"/>
      <c r="BP16" s="528" t="n"/>
      <c r="BQ16" s="528" t="n"/>
      <c r="BR16" s="314" t="n"/>
      <c r="BS16" s="314" t="n"/>
      <c r="BT16" s="528" t="n"/>
      <c r="BU16" s="528" t="n"/>
      <c r="BV16" s="528" t="n"/>
      <c r="BW16" s="22">
        <f>BU16*BV16</f>
        <v/>
      </c>
      <c r="BX16" s="528" t="n"/>
      <c r="BY16" s="528" t="n"/>
      <c r="BZ16" s="528" t="n"/>
      <c r="CA16" s="22">
        <f>BY16*BZ16</f>
        <v/>
      </c>
      <c r="CB16" s="528" t="n"/>
      <c r="CC16" s="528" t="n"/>
      <c r="CD16" s="528" t="n"/>
      <c r="CE16" s="22">
        <f>CC16*CD16</f>
        <v/>
      </c>
    </row>
    <row r="17" ht="18" customFormat="1" customHeight="1" s="538">
      <c r="A17" s="410" t="n">
        <v>2</v>
      </c>
      <c r="B17" s="411" t="inlineStr">
        <is>
          <t>a</t>
        </is>
      </c>
      <c r="C17" s="404" t="n">
        <v>0</v>
      </c>
      <c r="D17" s="443">
        <f>CONCATENATE(A$3,"_",A17,"_",B17,"_",C17)</f>
        <v/>
      </c>
      <c r="E17" s="419" t="inlineStr">
        <is>
          <t>2.Implementacja BDP w infrastrukturze Wnioskodawcy w oparciu o wybrane platformy bazodanowe, np. Oracle, MSSQL, MySQL</t>
        </is>
      </c>
      <c r="F17" s="148" t="n"/>
      <c r="G17" s="148" t="n"/>
      <c r="H17" s="444" t="n"/>
      <c r="I17" s="148" t="n"/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>
        <f>ROUND(MAX(AG17:AO17)/Listy!$U$2,0)</f>
        <v/>
      </c>
      <c r="O17" s="468" t="n"/>
      <c r="P17" s="468" t="n"/>
      <c r="Q17" s="468" t="n"/>
      <c r="R17" s="468" t="n"/>
      <c r="S17" s="468" t="n"/>
      <c r="T17" s="130" t="n"/>
      <c r="U17" s="130" t="n"/>
      <c r="V17" s="130" t="n"/>
      <c r="W17" s="130" t="n"/>
      <c r="X17" s="130" t="n"/>
      <c r="Y17" s="468" t="n"/>
      <c r="Z17" s="468" t="n"/>
      <c r="AA17" s="468" t="n"/>
      <c r="AB17" s="148" t="n"/>
      <c r="AC17" s="173" t="n"/>
      <c r="AD17" s="173" t="n"/>
      <c r="AE17" s="173" t="n"/>
      <c r="AF17" s="173" t="n"/>
      <c r="AG17" s="148" t="n"/>
      <c r="AH17" s="148" t="n"/>
      <c r="AI17" s="148" t="n"/>
      <c r="AJ17" s="148" t="n"/>
      <c r="AK17" s="148" t="n"/>
      <c r="AL17" s="148" t="n"/>
      <c r="AM17" s="148" t="n"/>
      <c r="AN17" s="148" t="n"/>
      <c r="AO17" s="148" t="n"/>
      <c r="AP17" s="148" t="n"/>
      <c r="AQ17" s="148" t="n"/>
      <c r="AR17" s="148" t="n"/>
      <c r="AS17" s="148" t="n"/>
      <c r="AT17" s="148" t="n"/>
      <c r="AU17" s="148" t="n"/>
      <c r="AV17" s="148" t="n"/>
      <c r="AW17" s="148" t="n"/>
      <c r="AX17" s="148" t="n"/>
      <c r="AY17" s="148" t="n"/>
      <c r="AZ17" s="148" t="n"/>
      <c r="BA17" s="148" t="n"/>
      <c r="BB17" s="148" t="n"/>
      <c r="BC17" s="148" t="n"/>
      <c r="BD17" s="148" t="n"/>
      <c r="BE17" s="148" t="n"/>
      <c r="BF17" s="148" t="n"/>
      <c r="BG17" s="148" t="n"/>
      <c r="BH17" s="148" t="n"/>
      <c r="BI17" s="148" t="n"/>
      <c r="BJ17" s="148" t="n"/>
      <c r="BK17" s="148" t="n"/>
      <c r="BL17" s="148" t="n"/>
      <c r="BM17" s="148" t="n"/>
      <c r="BN17" s="148" t="n"/>
      <c r="BO17" s="148" t="n"/>
      <c r="BP17" s="148" t="n"/>
      <c r="BQ17" s="148" t="n"/>
      <c r="BR17" s="148" t="n"/>
      <c r="BS17" s="148" t="n"/>
      <c r="BT17" s="148" t="n"/>
      <c r="BU17" s="148" t="n"/>
      <c r="BV17" s="148" t="n"/>
      <c r="BW17" s="148" t="n"/>
      <c r="BX17" s="148" t="n"/>
      <c r="BY17" s="148" t="n"/>
      <c r="BZ17" s="148" t="n"/>
      <c r="CA17" s="148" t="n"/>
      <c r="CB17" s="148" t="n"/>
      <c r="CC17" s="148" t="n"/>
      <c r="CD17" s="148" t="n"/>
      <c r="CE17" s="148" t="n"/>
      <c r="CF17" s="659" t="n"/>
    </row>
    <row r="18" ht="18" customFormat="1" customHeight="1" s="538">
      <c r="A18" s="410" t="n">
        <v>2</v>
      </c>
      <c r="B18" s="411" t="inlineStr">
        <is>
          <t>a</t>
        </is>
      </c>
      <c r="C18" s="404" t="n">
        <v>1</v>
      </c>
      <c r="D18" s="443">
        <f>CONCATENATE(A$3,"_",A18,"_",B18,"_",C18)</f>
        <v/>
      </c>
      <c r="E18" s="437" t="inlineStr">
        <is>
          <t>Testowanie i walidacja platform bazodanowych (testy funkcjonalne i wydajnościowe, w tym obciążeniowe i regresyjne) jest kluczowe dla zapewnienia, że baza danych działa zgodnie z wymaganiami i jest gotowa do użycia</t>
        </is>
      </c>
      <c r="F18" s="528">
        <f>IFERROR(VLOOKUP($I18,Listy!$A:$H,2,FALSE),"XXX")</f>
        <v/>
      </c>
      <c r="G18" s="528">
        <f>IFERROR(VLOOKUP($I18,Listy!$A:$H,3,FALSE),"XXX")</f>
        <v/>
      </c>
      <c r="H18" s="444" t="n">
        <v>5</v>
      </c>
      <c r="I18" s="89" t="inlineStr">
        <is>
          <t>.a01</t>
        </is>
      </c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4" t="n">
        <v>1</v>
      </c>
      <c r="O18" s="444" t="n">
        <v>80</v>
      </c>
      <c r="P18" s="187" t="n">
        <v>0.25</v>
      </c>
      <c r="Q18" s="187" t="n">
        <v>0.25</v>
      </c>
      <c r="R18" s="187" t="n">
        <v>0.25</v>
      </c>
      <c r="S18" s="187" t="n">
        <v>0.25</v>
      </c>
      <c r="T18" s="187" t="n">
        <v>0</v>
      </c>
      <c r="U18" s="187" t="n">
        <v>0</v>
      </c>
      <c r="V18" s="187" t="n">
        <v>0</v>
      </c>
      <c r="W18" s="187" t="n">
        <v>0</v>
      </c>
      <c r="X18" s="187" t="n">
        <v>0</v>
      </c>
      <c r="Y18" s="292" t="n"/>
      <c r="Z18" s="292" t="n"/>
      <c r="AA18" s="292" t="n"/>
      <c r="AB18" s="292" t="n"/>
      <c r="AC18" s="302" t="n"/>
      <c r="AD18" s="302" t="n"/>
      <c r="AE18" s="302" t="n"/>
      <c r="AF18" s="302" t="n"/>
      <c r="AG18" s="192">
        <f>ROUND($O18*P18,0)</f>
        <v/>
      </c>
      <c r="AH18" s="192">
        <f>ROUND($O18*Q18,0)</f>
        <v/>
      </c>
      <c r="AI18" s="192">
        <f>ROUND($O18*R18,0)</f>
        <v/>
      </c>
      <c r="AJ18" s="192">
        <f>ROUND($O18*S18,0)</f>
        <v/>
      </c>
      <c r="AK18" s="192">
        <f>ROUND($O18*T18,0)</f>
        <v/>
      </c>
      <c r="AL18" s="192">
        <f>ROUND($O18*U18,0)</f>
        <v/>
      </c>
      <c r="AM18" s="192">
        <f>ROUND($O18*V18,0)</f>
        <v/>
      </c>
      <c r="AN18" s="192">
        <f>ROUND($O18*W18,0)</f>
        <v/>
      </c>
      <c r="AO18" s="192">
        <f>ROUND($O18*X18,0)</f>
        <v/>
      </c>
      <c r="AP18" s="193">
        <f>ROUND($O18*Y18,0)</f>
        <v/>
      </c>
      <c r="AQ18" s="193">
        <f>ROUND($O18*Z18,0)</f>
        <v/>
      </c>
      <c r="AR18" s="193">
        <f>ROUND($O18*AA18,0)</f>
        <v/>
      </c>
      <c r="AS18" s="307">
        <f>ROUND($O18*AB18,0)</f>
        <v/>
      </c>
      <c r="AT18" s="304" t="n"/>
      <c r="AU18" s="304" t="n"/>
      <c r="AV18" s="304" t="n"/>
      <c r="AW18" s="304" t="n"/>
      <c r="AX18" s="236">
        <f>SUM(AG18:AO18)</f>
        <v/>
      </c>
      <c r="AY18" s="528">
        <f>AX18/160</f>
        <v/>
      </c>
      <c r="AZ18" s="87">
        <f>VLOOKUP(I18,Listy!$A$1:$H$9,6,FALSE)</f>
        <v/>
      </c>
      <c r="BA18" s="682">
        <f>AY18*AZ18</f>
        <v/>
      </c>
      <c r="BB18" s="683">
        <f>AY18*BA18</f>
        <v/>
      </c>
      <c r="BC18" s="528" t="n"/>
      <c r="BD18" s="528" t="n"/>
      <c r="BE18" s="528" t="n"/>
      <c r="BF18" s="528" t="n"/>
      <c r="BG18" s="528" t="n"/>
      <c r="BH18" s="528" t="n"/>
      <c r="BI18" s="21">
        <f>BG18*BH18</f>
        <v/>
      </c>
      <c r="BJ18" s="528" t="n"/>
      <c r="BK18" s="528" t="n"/>
      <c r="BL18" s="528" t="n"/>
      <c r="BM18" s="528" t="n"/>
      <c r="BN18" s="528" t="n"/>
      <c r="BO18" s="528" t="n"/>
      <c r="BP18" s="528" t="n"/>
      <c r="BQ18" s="528" t="n"/>
      <c r="BR18" s="528" t="n"/>
      <c r="BS18" s="528" t="n"/>
      <c r="BT18" s="528" t="n"/>
      <c r="BU18" s="528" t="n"/>
      <c r="BV18" s="528" t="n"/>
      <c r="BW18" s="21">
        <f>BU18*BV18</f>
        <v/>
      </c>
      <c r="BX18" s="528" t="n"/>
      <c r="BY18" s="528" t="n"/>
      <c r="BZ18" s="528" t="n"/>
      <c r="CA18" s="21">
        <f>BY18*BZ18</f>
        <v/>
      </c>
      <c r="CB18" s="528" t="n"/>
      <c r="CC18" s="528" t="n"/>
      <c r="CD18" s="528" t="n"/>
      <c r="CE18" s="21">
        <f>CC18*CD18</f>
        <v/>
      </c>
      <c r="CF18" s="659" t="n"/>
    </row>
    <row r="19" ht="18" customFormat="1" customHeight="1" s="538">
      <c r="A19" s="410" t="n">
        <v>2</v>
      </c>
      <c r="B19" s="411" t="inlineStr">
        <is>
          <t>b</t>
        </is>
      </c>
      <c r="C19" s="404" t="n">
        <v>1</v>
      </c>
      <c r="D19" s="443">
        <f>CONCATENATE(A$3,"_",A19,"_",B19,"_",C19)</f>
        <v/>
      </c>
      <c r="E19" s="437" t="inlineStr">
        <is>
          <t>Wybór platformy bazodanowej na podstawie testów wydajnościowych BDP</t>
        </is>
      </c>
      <c r="F19" s="528">
        <f>IFERROR(VLOOKUP($I19,Listy!$A:$H,2,FALSE),"XXX")</f>
        <v/>
      </c>
      <c r="G19" s="528">
        <f>IFERROR(VLOOKUP($I19,Listy!$A:$H,3,FALSE),"XXX")</f>
        <v/>
      </c>
      <c r="H19" s="444" t="n">
        <v>5</v>
      </c>
      <c r="I19" s="89" t="inlineStr">
        <is>
          <t>.a03</t>
        </is>
      </c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>
        <f>ROUND(MAX(AG19:AO19)/Listy!$U$2,0)</f>
        <v/>
      </c>
      <c r="O19" s="444" t="n">
        <v>8</v>
      </c>
      <c r="P19" s="187" t="n">
        <v>0.25</v>
      </c>
      <c r="Q19" s="187" t="n">
        <v>0.25</v>
      </c>
      <c r="R19" s="187" t="n">
        <v>0.25</v>
      </c>
      <c r="S19" s="187" t="n">
        <v>0.25</v>
      </c>
      <c r="T19" s="187" t="n">
        <v>0</v>
      </c>
      <c r="U19" s="187" t="n">
        <v>0</v>
      </c>
      <c r="V19" s="187" t="n">
        <v>0</v>
      </c>
      <c r="W19" s="187" t="n">
        <v>0</v>
      </c>
      <c r="X19" s="187" t="n">
        <v>0</v>
      </c>
      <c r="Y19" s="292" t="n"/>
      <c r="Z19" s="292" t="n"/>
      <c r="AA19" s="292" t="n"/>
      <c r="AB19" s="292" t="n"/>
      <c r="AC19" s="302" t="n"/>
      <c r="AD19" s="302" t="n"/>
      <c r="AE19" s="302" t="n"/>
      <c r="AF19" s="302" t="n"/>
      <c r="AG19" s="192">
        <f>ROUND($O19*P19,0)</f>
        <v/>
      </c>
      <c r="AH19" s="192">
        <f>ROUND($O19*Q19,0)</f>
        <v/>
      </c>
      <c r="AI19" s="192">
        <f>ROUND($O19*R19,0)</f>
        <v/>
      </c>
      <c r="AJ19" s="192">
        <f>ROUND($O19*S19,0)</f>
        <v/>
      </c>
      <c r="AK19" s="192">
        <f>ROUND($O19*T19,0)</f>
        <v/>
      </c>
      <c r="AL19" s="192">
        <f>ROUND($O19*U19,0)</f>
        <v/>
      </c>
      <c r="AM19" s="192">
        <f>ROUND($O19*V19,0)</f>
        <v/>
      </c>
      <c r="AN19" s="192">
        <f>ROUND($O19*W19,0)</f>
        <v/>
      </c>
      <c r="AO19" s="192">
        <f>ROUND($O19*X19,0)</f>
        <v/>
      </c>
      <c r="AP19" s="193">
        <f>ROUND($O19*Y19,0)</f>
        <v/>
      </c>
      <c r="AQ19" s="193">
        <f>ROUND($O19*Z19,0)</f>
        <v/>
      </c>
      <c r="AR19" s="193">
        <f>ROUND($O19*AA19,0)</f>
        <v/>
      </c>
      <c r="AS19" s="307">
        <f>ROUND($O19*AB19,0)</f>
        <v/>
      </c>
      <c r="AT19" s="304" t="n"/>
      <c r="AU19" s="304" t="n"/>
      <c r="AV19" s="304" t="n"/>
      <c r="AW19" s="304" t="n"/>
      <c r="AX19" s="236">
        <f>SUM(AG19:AO19)</f>
        <v/>
      </c>
      <c r="AY19" s="528">
        <f>AX19/160</f>
        <v/>
      </c>
      <c r="AZ19" s="87">
        <f>VLOOKUP(I19,Listy!$A$1:$H$9,6,FALSE)</f>
        <v/>
      </c>
      <c r="BA19" s="682">
        <f>AY19*AZ19</f>
        <v/>
      </c>
      <c r="BB19" s="683">
        <f>AY19*BA19</f>
        <v/>
      </c>
      <c r="BC19" s="528" t="n"/>
      <c r="BD19" s="528" t="n"/>
      <c r="BE19" s="528" t="n"/>
      <c r="BF19" s="528" t="n"/>
      <c r="BG19" s="528" t="n"/>
      <c r="BH19" s="528" t="n"/>
      <c r="BI19" s="21">
        <f>BG19*BH19</f>
        <v/>
      </c>
      <c r="BJ19" s="528" t="n"/>
      <c r="BK19" s="528" t="n"/>
      <c r="BL19" s="528" t="n"/>
      <c r="BM19" s="528" t="n"/>
      <c r="BN19" s="528" t="n"/>
      <c r="BO19" s="528" t="n"/>
      <c r="BP19" s="528" t="n"/>
      <c r="BQ19" s="528" t="n"/>
      <c r="BR19" s="528" t="n"/>
      <c r="BS19" s="528" t="n"/>
      <c r="BT19" s="528" t="n"/>
      <c r="BU19" s="528" t="n"/>
      <c r="BV19" s="528" t="n"/>
      <c r="BW19" s="21">
        <f>BU19*BV19</f>
        <v/>
      </c>
      <c r="BX19" s="528" t="n"/>
      <c r="BY19" s="528" t="n"/>
      <c r="BZ19" s="528" t="n"/>
      <c r="CA19" s="21">
        <f>BY19*BZ19</f>
        <v/>
      </c>
      <c r="CB19" s="528" t="n"/>
      <c r="CC19" s="528" t="n"/>
      <c r="CD19" s="528" t="n"/>
      <c r="CE19" s="21">
        <f>CC19*CD19</f>
        <v/>
      </c>
    </row>
    <row r="20" ht="18" customFormat="1" customHeight="1" s="538">
      <c r="A20" s="410" t="n">
        <v>2</v>
      </c>
      <c r="B20" s="411" t="inlineStr">
        <is>
          <t>c</t>
        </is>
      </c>
      <c r="C20" s="404" t="n">
        <v>1</v>
      </c>
      <c r="D20" s="443">
        <f>CONCATENATE(A$3,"_",A20,"_",B20,"_",C20)</f>
        <v/>
      </c>
      <c r="E20" s="437" t="inlineStr">
        <is>
          <t>Wybór odpowiedniej platformy technologicznej zapewniającej skalowalność, bezpieczeństwo i wydajność analiz AI/ML</t>
        </is>
      </c>
      <c r="F20" s="528">
        <f>IFERROR(VLOOKUP($I20,Listy!$A:$H,2,FALSE),"XXX")</f>
        <v/>
      </c>
      <c r="G20" s="528">
        <f>IFERROR(VLOOKUP($I20,Listy!$A:$H,3,FALSE),"XXX")</f>
        <v/>
      </c>
      <c r="H20" s="444" t="n">
        <v>5</v>
      </c>
      <c r="I20" s="89" t="inlineStr">
        <is>
          <t>.a04</t>
        </is>
      </c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4">
        <f>ROUND(MAX(AG20:AO20)/Listy!$U$2,0)</f>
        <v/>
      </c>
      <c r="O20" s="444" t="n">
        <v>8</v>
      </c>
      <c r="P20" s="187" t="n">
        <v>0.25</v>
      </c>
      <c r="Q20" s="187" t="n">
        <v>0.25</v>
      </c>
      <c r="R20" s="187" t="n">
        <v>0.25</v>
      </c>
      <c r="S20" s="187" t="n">
        <v>0.25</v>
      </c>
      <c r="T20" s="187" t="n">
        <v>0</v>
      </c>
      <c r="U20" s="187" t="n">
        <v>0</v>
      </c>
      <c r="V20" s="187" t="n">
        <v>0</v>
      </c>
      <c r="W20" s="187" t="n">
        <v>0</v>
      </c>
      <c r="X20" s="187" t="n">
        <v>0</v>
      </c>
      <c r="Y20" s="292" t="n"/>
      <c r="Z20" s="292" t="n"/>
      <c r="AA20" s="292" t="n"/>
      <c r="AB20" s="292" t="n"/>
      <c r="AC20" s="302" t="n"/>
      <c r="AD20" s="302" t="n"/>
      <c r="AE20" s="302" t="n"/>
      <c r="AF20" s="302" t="n"/>
      <c r="AG20" s="192">
        <f>ROUND($O20*P20,0)</f>
        <v/>
      </c>
      <c r="AH20" s="192">
        <f>ROUND($O20*Q20,0)</f>
        <v/>
      </c>
      <c r="AI20" s="192">
        <f>ROUND($O20*R20,0)</f>
        <v/>
      </c>
      <c r="AJ20" s="192">
        <f>ROUND($O20*S20,0)</f>
        <v/>
      </c>
      <c r="AK20" s="192">
        <f>ROUND($O20*T20,0)</f>
        <v/>
      </c>
      <c r="AL20" s="192">
        <f>ROUND($O20*U20,0)</f>
        <v/>
      </c>
      <c r="AM20" s="192">
        <f>ROUND($O20*V20,0)</f>
        <v/>
      </c>
      <c r="AN20" s="192">
        <f>ROUND($O20*W20,0)</f>
        <v/>
      </c>
      <c r="AO20" s="192">
        <f>ROUND($O20*X20,0)</f>
        <v/>
      </c>
      <c r="AP20" s="193">
        <f>ROUND($O20*Y20,0)</f>
        <v/>
      </c>
      <c r="AQ20" s="193">
        <f>ROUND($O20*Z20,0)</f>
        <v/>
      </c>
      <c r="AR20" s="193">
        <f>ROUND($O20*AA20,0)</f>
        <v/>
      </c>
      <c r="AS20" s="307">
        <f>ROUND($O20*AB20,0)</f>
        <v/>
      </c>
      <c r="AT20" s="304" t="n"/>
      <c r="AU20" s="304" t="n"/>
      <c r="AV20" s="304" t="n"/>
      <c r="AW20" s="304" t="n"/>
      <c r="AX20" s="236">
        <f>SUM(AG20:AO20)</f>
        <v/>
      </c>
      <c r="AY20" s="528">
        <f>AX20/160</f>
        <v/>
      </c>
      <c r="AZ20" s="87">
        <f>VLOOKUP(I20,Listy!$A$1:$H$9,6,FALSE)</f>
        <v/>
      </c>
      <c r="BA20" s="682">
        <f>AY20*AZ20</f>
        <v/>
      </c>
      <c r="BB20" s="683">
        <f>AY20*BA20</f>
        <v/>
      </c>
      <c r="BC20" s="528" t="n"/>
      <c r="BD20" s="528" t="n"/>
      <c r="BE20" s="528" t="n"/>
      <c r="BF20" s="528" t="n"/>
      <c r="BG20" s="528" t="n"/>
      <c r="BH20" s="528" t="n"/>
      <c r="BI20" s="21">
        <f>BG20*BH20</f>
        <v/>
      </c>
      <c r="BJ20" s="528" t="n"/>
      <c r="BK20" s="528" t="n"/>
      <c r="BL20" s="528" t="n"/>
      <c r="BM20" s="528" t="n"/>
      <c r="BN20" s="528" t="n"/>
      <c r="BO20" s="528" t="n"/>
      <c r="BP20" s="528" t="n"/>
      <c r="BQ20" s="528" t="n"/>
      <c r="BR20" s="528" t="n"/>
      <c r="BS20" s="528" t="n"/>
      <c r="BT20" s="528" t="n"/>
      <c r="BU20" s="528" t="n"/>
      <c r="BV20" s="528" t="n"/>
      <c r="BW20" s="21">
        <f>BU20*BV20</f>
        <v/>
      </c>
      <c r="BX20" s="528" t="n"/>
      <c r="BY20" s="528" t="n"/>
      <c r="BZ20" s="528" t="n"/>
      <c r="CA20" s="21">
        <f>BY20*BZ20</f>
        <v/>
      </c>
      <c r="CB20" s="528" t="n"/>
      <c r="CC20" s="528" t="n"/>
      <c r="CD20" s="528" t="n"/>
      <c r="CE20" s="21">
        <f>CC20*CD20</f>
        <v/>
      </c>
    </row>
    <row r="21" ht="18" customFormat="1" customHeight="1" s="538">
      <c r="A21" s="410" t="n">
        <v>2</v>
      </c>
      <c r="B21" s="411" t="inlineStr">
        <is>
          <t>d</t>
        </is>
      </c>
      <c r="C21" s="404" t="n">
        <v>1</v>
      </c>
      <c r="D21" s="443">
        <f>CONCATENATE(A$3,"_",A21,"_",B21,"_",C21)</f>
        <v/>
      </c>
      <c r="E21" s="437" t="inlineStr">
        <is>
          <t>Fizyczna implementacja BDP na platformach technologicznych (np. Google Cloud, Microsoft Azure, NVidia AI)</t>
        </is>
      </c>
      <c r="F21" s="528">
        <f>IFERROR(VLOOKUP($I21,Listy!$A:$H,2,FALSE),"XXX")</f>
        <v/>
      </c>
      <c r="G21" s="528">
        <f>IFERROR(VLOOKUP($I21,Listy!$A:$H,3,FALSE),"XXX")</f>
        <v/>
      </c>
      <c r="H21" s="444" t="n">
        <v>6</v>
      </c>
      <c r="I21" s="89" t="inlineStr">
        <is>
          <t>.a02</t>
        </is>
      </c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4" t="n">
        <v>1</v>
      </c>
      <c r="O21" s="444" t="n">
        <v>100</v>
      </c>
      <c r="P21" s="187" t="n">
        <v>0.25</v>
      </c>
      <c r="Q21" s="187" t="n">
        <v>0.25</v>
      </c>
      <c r="R21" s="187" t="n">
        <v>0.25</v>
      </c>
      <c r="S21" s="187" t="n">
        <v>0.25</v>
      </c>
      <c r="T21" s="187" t="n">
        <v>0</v>
      </c>
      <c r="U21" s="187" t="n">
        <v>0</v>
      </c>
      <c r="V21" s="187" t="n">
        <v>0</v>
      </c>
      <c r="W21" s="187" t="n">
        <v>0</v>
      </c>
      <c r="X21" s="187" t="n">
        <v>0</v>
      </c>
      <c r="Y21" s="292" t="n"/>
      <c r="Z21" s="292" t="n"/>
      <c r="AA21" s="292" t="n"/>
      <c r="AB21" s="292" t="n"/>
      <c r="AC21" s="302" t="n"/>
      <c r="AD21" s="302" t="n"/>
      <c r="AE21" s="302" t="n"/>
      <c r="AF21" s="302" t="n"/>
      <c r="AG21" s="192">
        <f>ROUND($O21*P21,0)</f>
        <v/>
      </c>
      <c r="AH21" s="192">
        <f>ROUND($O21*Q21,0)</f>
        <v/>
      </c>
      <c r="AI21" s="192">
        <f>ROUND($O21*R21,0)</f>
        <v/>
      </c>
      <c r="AJ21" s="192">
        <f>ROUND($O21*S21,0)</f>
        <v/>
      </c>
      <c r="AK21" s="192">
        <f>ROUND($O21*T21,0)</f>
        <v/>
      </c>
      <c r="AL21" s="192">
        <f>ROUND($O21*U21,0)</f>
        <v/>
      </c>
      <c r="AM21" s="192">
        <f>ROUND($O21*V21,0)</f>
        <v/>
      </c>
      <c r="AN21" s="192">
        <f>ROUND($O21*W21,0)</f>
        <v/>
      </c>
      <c r="AO21" s="192">
        <f>ROUND($O21*X21,0)</f>
        <v/>
      </c>
      <c r="AP21" s="193">
        <f>ROUND($O21*Y21,0)</f>
        <v/>
      </c>
      <c r="AQ21" s="193">
        <f>ROUND($O21*Z21,0)</f>
        <v/>
      </c>
      <c r="AR21" s="193">
        <f>ROUND($O21*AA21,0)</f>
        <v/>
      </c>
      <c r="AS21" s="307">
        <f>ROUND($O21*AB21,0)</f>
        <v/>
      </c>
      <c r="AT21" s="304" t="n"/>
      <c r="AU21" s="304" t="n"/>
      <c r="AV21" s="304" t="n"/>
      <c r="AW21" s="304" t="n"/>
      <c r="AX21" s="236">
        <f>SUM(AG21:AO21)</f>
        <v/>
      </c>
      <c r="AY21" s="528">
        <f>AX21/160</f>
        <v/>
      </c>
      <c r="AZ21" s="87">
        <f>VLOOKUP(I21,Listy!$A$1:$H$9,6,FALSE)</f>
        <v/>
      </c>
      <c r="BA21" s="682">
        <f>AY21*AZ21</f>
        <v/>
      </c>
      <c r="BB21" s="683">
        <f>AY21*BA21</f>
        <v/>
      </c>
      <c r="BC21" s="528" t="n"/>
      <c r="BD21" s="528" t="n"/>
      <c r="BE21" s="528" t="n"/>
      <c r="BF21" s="528" t="n"/>
      <c r="BG21" s="528" t="n"/>
      <c r="BH21" s="528" t="n"/>
      <c r="BI21" s="21">
        <f>BG21*BH21</f>
        <v/>
      </c>
      <c r="BJ21" s="528" t="n"/>
      <c r="BK21" s="528" t="n"/>
      <c r="BL21" s="528" t="n"/>
      <c r="BM21" s="528" t="n"/>
      <c r="BN21" s="528" t="n"/>
      <c r="BO21" s="528" t="n"/>
      <c r="BP21" s="528" t="n"/>
      <c r="BQ21" s="528" t="n"/>
      <c r="BR21" s="528" t="n"/>
      <c r="BS21" s="528" t="n"/>
      <c r="BT21" s="528" t="n"/>
      <c r="BU21" s="528" t="n"/>
      <c r="BV21" s="528" t="n"/>
      <c r="BW21" s="21">
        <f>BU21*BV21</f>
        <v/>
      </c>
      <c r="BX21" s="528" t="n"/>
      <c r="BY21" s="528" t="n"/>
      <c r="BZ21" s="528" t="n"/>
      <c r="CA21" s="21">
        <f>BY21*BZ21</f>
        <v/>
      </c>
      <c r="CB21" s="528" t="n"/>
      <c r="CC21" s="528" t="n"/>
      <c r="CD21" s="528" t="n"/>
      <c r="CE21" s="21">
        <f>CC21*CD21</f>
        <v/>
      </c>
    </row>
    <row r="22" ht="18" customFormat="1" customHeight="1" s="538">
      <c r="A22" s="410" t="n">
        <v>2</v>
      </c>
      <c r="B22" s="420" t="inlineStr">
        <is>
          <t>e</t>
        </is>
      </c>
      <c r="C22" s="404" t="n">
        <v>1</v>
      </c>
      <c r="D22" s="443">
        <f>CONCATENATE(A$3,"_",A22,"_",B22,"_",C22)</f>
        <v/>
      </c>
      <c r="E22" s="437" t="inlineStr">
        <is>
          <t>Utworzenie mechanizmu do transferu danych między infrastrukturą Wnioskodawcy a platformami technologicznymi (np. Google Cloud, Microsoft Azure, NVidia AI)</t>
        </is>
      </c>
      <c r="F22" s="528">
        <f>IFERROR(VLOOKUP($I22,Listy!$A:$H,2,FALSE),"XXX")</f>
        <v/>
      </c>
      <c r="G22" s="528">
        <f>IFERROR(VLOOKUP($I22,Listy!$A:$H,3,FALSE),"XXX")</f>
        <v/>
      </c>
      <c r="H22" s="444" t="n">
        <v>7</v>
      </c>
      <c r="I22" s="89" t="inlineStr">
        <is>
          <t>.e01</t>
        </is>
      </c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4" t="n">
        <v>1</v>
      </c>
      <c r="O22" s="444" t="n">
        <v>200</v>
      </c>
      <c r="P22" s="187" t="n">
        <v>0.15</v>
      </c>
      <c r="Q22" s="187" t="n">
        <v>0.15</v>
      </c>
      <c r="R22" s="187" t="n">
        <v>0.15</v>
      </c>
      <c r="S22" s="187" t="n">
        <v>0.15</v>
      </c>
      <c r="T22" s="187" t="n">
        <v>0</v>
      </c>
      <c r="U22" s="187" t="n">
        <v>0</v>
      </c>
      <c r="V22" s="187" t="n">
        <v>0</v>
      </c>
      <c r="W22" s="187" t="n">
        <v>0</v>
      </c>
      <c r="X22" s="187" t="n">
        <v>0</v>
      </c>
      <c r="Y22" s="292" t="n">
        <v>0.4</v>
      </c>
      <c r="Z22" s="292" t="n"/>
      <c r="AA22" s="292" t="n"/>
      <c r="AB22" s="292" t="n"/>
      <c r="AC22" s="302" t="n"/>
      <c r="AD22" s="302" t="n"/>
      <c r="AE22" s="302" t="n"/>
      <c r="AF22" s="302" t="n"/>
      <c r="AG22" s="192">
        <f>ROUND($O22*P22,0)</f>
        <v/>
      </c>
      <c r="AH22" s="192">
        <f>ROUND($O22*Q22,0)</f>
        <v/>
      </c>
      <c r="AI22" s="192">
        <f>ROUND($O22*R22,0)</f>
        <v/>
      </c>
      <c r="AJ22" s="192">
        <f>ROUND($O22*S22,0)</f>
        <v/>
      </c>
      <c r="AK22" s="192">
        <f>ROUND($O22*T22,0)</f>
        <v/>
      </c>
      <c r="AL22" s="192">
        <f>ROUND($O22*U22,0)</f>
        <v/>
      </c>
      <c r="AM22" s="192">
        <f>ROUND($O22*V22,0)</f>
        <v/>
      </c>
      <c r="AN22" s="192">
        <f>ROUND($O22*W22,0)</f>
        <v/>
      </c>
      <c r="AO22" s="192">
        <f>ROUND($O22*X22,0)</f>
        <v/>
      </c>
      <c r="AP22" s="193">
        <f>ROUND($O22*Y22,0)</f>
        <v/>
      </c>
      <c r="AQ22" s="193">
        <f>ROUND($O22*Z22,0)</f>
        <v/>
      </c>
      <c r="AR22" s="193">
        <f>ROUND($O22*AA22,0)</f>
        <v/>
      </c>
      <c r="AS22" s="307">
        <f>ROUND($O22*AB22,0)</f>
        <v/>
      </c>
      <c r="AT22" s="304" t="n"/>
      <c r="AU22" s="304" t="n"/>
      <c r="AV22" s="304" t="n"/>
      <c r="AW22" s="304" t="n"/>
      <c r="AX22" s="236">
        <f>SUM(AG22:AO22)</f>
        <v/>
      </c>
      <c r="AY22" s="528">
        <f>AX22/160</f>
        <v/>
      </c>
      <c r="AZ22" s="87">
        <f>VLOOKUP(I22,Listy!$A$1:$H$9,6,FALSE)</f>
        <v/>
      </c>
      <c r="BA22" s="682">
        <f>AY22*AZ22</f>
        <v/>
      </c>
      <c r="BB22" s="683">
        <f>AY22*BA22</f>
        <v/>
      </c>
      <c r="BC22" s="528" t="n"/>
      <c r="BD22" s="528" t="n"/>
      <c r="BE22" s="528" t="n"/>
      <c r="BF22" s="528" t="n"/>
      <c r="BG22" s="528" t="n"/>
      <c r="BH22" s="528" t="n"/>
      <c r="BI22" s="22">
        <f>BG22*BH22</f>
        <v/>
      </c>
      <c r="BJ22" s="528" t="n"/>
      <c r="BK22" s="528" t="n"/>
      <c r="BL22" s="314" t="n"/>
      <c r="BM22" s="528" t="n"/>
      <c r="BN22" s="528" t="n"/>
      <c r="BO22" s="314" t="n"/>
      <c r="BP22" s="528" t="n"/>
      <c r="BQ22" s="528" t="n"/>
      <c r="BR22" s="314" t="n"/>
      <c r="BS22" s="314" t="n"/>
      <c r="BT22" s="528" t="n"/>
      <c r="BU22" s="528" t="n"/>
      <c r="BV22" s="528" t="n"/>
      <c r="BW22" s="22">
        <f>BU22*BV22</f>
        <v/>
      </c>
      <c r="BX22" s="528" t="n"/>
      <c r="BY22" s="528" t="n"/>
      <c r="BZ22" s="528" t="n"/>
      <c r="CA22" s="22">
        <f>BY22*BZ22</f>
        <v/>
      </c>
      <c r="CB22" s="528" t="n"/>
      <c r="CC22" s="528" t="n"/>
      <c r="CD22" s="528" t="n"/>
      <c r="CE22" s="22">
        <f>CC22*CD22</f>
        <v/>
      </c>
    </row>
    <row r="23" ht="18" customFormat="1" customHeight="1" s="538">
      <c r="A23" s="410" t="n">
        <v>3</v>
      </c>
      <c r="B23" s="411" t="inlineStr">
        <is>
          <t>a</t>
        </is>
      </c>
      <c r="C23" s="404" t="n">
        <v>1</v>
      </c>
      <c r="D23" s="443">
        <f>CONCATENATE(A$3,"_",A23,"_",B23,"_",C23)</f>
        <v/>
      </c>
      <c r="E23" s="410" t="inlineStr">
        <is>
          <t>3.Opracowanie narzędzi do automatycznego monitorowania, wykrywających anomalie i nieprawidłowości w danych w czasie rzeczywistym, współpracujących z wybraną platformą bazodanową, przeprowadzających automatyczne sprawdzanie kompletności rekordów. Flagowane będą rekordy z brakującymi danymi natychmiast po ich wprowadzeniu/aktualizacji i wysyłane powiadomienia do administratorów, gdy liczba tych rekordów przekroczy próg 10 rekordów. Będą śledzić czas ostatniej aktualizacji każdego rekordu, flagując te, które nie były aktualizowane zgodnie z ustalonym harmonogramem (co 24h i generować odpowiednie alerty.</t>
        </is>
      </c>
      <c r="F23" s="528">
        <f>IFERROR(VLOOKUP($I23,Listy!$A:$H,2,FALSE),"XXX")</f>
        <v/>
      </c>
      <c r="G23" s="528">
        <f>IFERROR(VLOOKUP($I23,Listy!$A:$H,3,FALSE),"XXX")</f>
        <v/>
      </c>
      <c r="H23" s="444" t="n">
        <v>8</v>
      </c>
      <c r="I23" s="89" t="inlineStr">
        <is>
          <t>.a01</t>
        </is>
      </c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>
        <f>ROUND(MAX(AG23:AO23)/Listy!$U$2,0)</f>
        <v/>
      </c>
      <c r="O23" s="444" t="n">
        <v>30</v>
      </c>
      <c r="P23" s="187" t="n">
        <v>0.25</v>
      </c>
      <c r="Q23" s="187" t="n">
        <v>0.25</v>
      </c>
      <c r="R23" s="187" t="n">
        <v>0.25</v>
      </c>
      <c r="S23" s="187" t="n">
        <v>0.25</v>
      </c>
      <c r="T23" s="187" t="n">
        <v>0</v>
      </c>
      <c r="U23" s="187" t="n">
        <v>0</v>
      </c>
      <c r="V23" s="187" t="n">
        <v>0</v>
      </c>
      <c r="W23" s="187" t="n">
        <v>0</v>
      </c>
      <c r="X23" s="187" t="n">
        <v>0</v>
      </c>
      <c r="Y23" s="292" t="n"/>
      <c r="Z23" s="292" t="n"/>
      <c r="AA23" s="292" t="n"/>
      <c r="AB23" s="292" t="n"/>
      <c r="AC23" s="302" t="n"/>
      <c r="AD23" s="302" t="n"/>
      <c r="AE23" s="302" t="n"/>
      <c r="AF23" s="302" t="n"/>
      <c r="AG23" s="192">
        <f>ROUND($O23*P23,0)</f>
        <v/>
      </c>
      <c r="AH23" s="192">
        <f>ROUND($O23*Q23,0)</f>
        <v/>
      </c>
      <c r="AI23" s="192">
        <f>ROUND($O23*R23,0)</f>
        <v/>
      </c>
      <c r="AJ23" s="192">
        <f>ROUND($O23*S23,0)</f>
        <v/>
      </c>
      <c r="AK23" s="192">
        <f>ROUND($O23*T23,0)</f>
        <v/>
      </c>
      <c r="AL23" s="192">
        <f>ROUND($O23*U23,0)</f>
        <v/>
      </c>
      <c r="AM23" s="192">
        <f>ROUND($O23*V23,0)</f>
        <v/>
      </c>
      <c r="AN23" s="192">
        <f>ROUND($O23*W23,0)</f>
        <v/>
      </c>
      <c r="AO23" s="192">
        <f>ROUND($O23*X23,0)</f>
        <v/>
      </c>
      <c r="AP23" s="193">
        <f>ROUND($O23*Y23,0)</f>
        <v/>
      </c>
      <c r="AQ23" s="193">
        <f>ROUND($O23*Z23,0)</f>
        <v/>
      </c>
      <c r="AR23" s="193">
        <f>ROUND($O23*AA23,0)</f>
        <v/>
      </c>
      <c r="AS23" s="307">
        <f>ROUND($O23*AB23,0)</f>
        <v/>
      </c>
      <c r="AT23" s="304" t="n"/>
      <c r="AU23" s="304" t="n"/>
      <c r="AV23" s="304" t="n"/>
      <c r="AW23" s="304" t="n"/>
      <c r="AX23" s="236">
        <f>SUM(AG23:AO23)</f>
        <v/>
      </c>
      <c r="AY23" s="528">
        <f>AX23/160</f>
        <v/>
      </c>
      <c r="AZ23" s="87">
        <f>VLOOKUP(I23,Listy!$A$1:$H$9,6,FALSE)</f>
        <v/>
      </c>
      <c r="BA23" s="682">
        <f>AY23*AZ23</f>
        <v/>
      </c>
      <c r="BB23" s="683">
        <f>AY23*BA23</f>
        <v/>
      </c>
      <c r="BC23" s="528" t="n"/>
      <c r="BD23" s="528" t="n"/>
      <c r="BE23" s="528" t="n"/>
      <c r="BF23" s="528" t="n"/>
      <c r="BG23" s="528" t="n"/>
      <c r="BH23" s="528" t="n"/>
      <c r="BI23" s="21">
        <f>BG23*BH23</f>
        <v/>
      </c>
      <c r="BJ23" s="528" t="n"/>
      <c r="BK23" s="528" t="n"/>
      <c r="BL23" s="21" t="n"/>
      <c r="BM23" s="528" t="n"/>
      <c r="BN23" s="528" t="n"/>
      <c r="BO23" s="21" t="n"/>
      <c r="BP23" s="528" t="n"/>
      <c r="BQ23" s="528" t="n"/>
      <c r="BR23" s="21" t="n"/>
      <c r="BS23" s="21" t="n"/>
      <c r="BT23" s="528" t="n"/>
      <c r="BU23" s="528" t="n"/>
      <c r="BV23" s="528" t="n"/>
      <c r="BW23" s="21">
        <f>BU23*BV23</f>
        <v/>
      </c>
      <c r="BX23" s="528" t="n"/>
      <c r="BY23" s="528" t="n"/>
      <c r="BZ23" s="528" t="n"/>
      <c r="CA23" s="21">
        <f>BY23*BZ23</f>
        <v/>
      </c>
      <c r="CB23" s="528" t="n"/>
      <c r="CC23" s="528" t="n"/>
      <c r="CD23" s="528" t="n"/>
      <c r="CE23" s="21">
        <f>CC23*CD23</f>
        <v/>
      </c>
      <c r="CF23" s="659" t="n"/>
    </row>
    <row r="24" ht="18" customFormat="1" customHeight="1" s="538">
      <c r="A24" s="410" t="n">
        <v>4</v>
      </c>
      <c r="B24" s="411" t="inlineStr">
        <is>
          <t>a</t>
        </is>
      </c>
      <c r="C24" s="404" t="n">
        <v>0</v>
      </c>
      <c r="D24" s="443">
        <f>CONCATENATE(A$3,"_",A24,"_",B24,"_",C24)</f>
        <v/>
      </c>
      <c r="E24" s="410" t="inlineStr">
        <is>
          <t>4.Połączenie BDP z wybranym systemem AI/ML, co pozwoli na zbadanie potencjału zaawansowanych metod  analitycznych AI/ML w celu zwiększenia wydajności procesów magazynowych.</t>
        </is>
      </c>
      <c r="F24" s="148" t="n"/>
      <c r="G24" s="148" t="n"/>
      <c r="H24" s="444" t="n"/>
      <c r="I24" s="148" t="n"/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4">
        <f>ROUND(MAX(AG24:AO24)/Listy!$U$2,0)</f>
        <v/>
      </c>
      <c r="O24" s="468" t="n"/>
      <c r="P24" s="468" t="n"/>
      <c r="Q24" s="468" t="n"/>
      <c r="R24" s="468" t="n"/>
      <c r="S24" s="468" t="n"/>
      <c r="T24" s="130" t="n"/>
      <c r="U24" s="130" t="n"/>
      <c r="V24" s="130" t="n"/>
      <c r="W24" s="130" t="n"/>
      <c r="X24" s="130" t="n"/>
      <c r="Y24" s="468" t="n"/>
      <c r="Z24" s="468" t="n"/>
      <c r="AA24" s="468" t="n"/>
      <c r="AB24" s="148" t="n"/>
      <c r="AC24" s="173" t="n"/>
      <c r="AD24" s="173" t="n"/>
      <c r="AE24" s="173" t="n"/>
      <c r="AF24" s="173" t="n"/>
      <c r="AG24" s="148" t="n"/>
      <c r="AH24" s="148" t="n"/>
      <c r="AI24" s="148" t="n"/>
      <c r="AJ24" s="148" t="n"/>
      <c r="AK24" s="148" t="n"/>
      <c r="AL24" s="148" t="n"/>
      <c r="AM24" s="148" t="n"/>
      <c r="AN24" s="148" t="n"/>
      <c r="AO24" s="148" t="n"/>
      <c r="AP24" s="148" t="n"/>
      <c r="AQ24" s="148" t="n"/>
      <c r="AR24" s="148" t="n"/>
      <c r="AS24" s="148" t="n"/>
      <c r="AT24" s="148" t="n"/>
      <c r="AU24" s="148" t="n"/>
      <c r="AV24" s="148" t="n"/>
      <c r="AW24" s="148" t="n"/>
      <c r="AX24" s="148" t="n"/>
      <c r="AY24" s="148" t="n"/>
      <c r="AZ24" s="148" t="n"/>
      <c r="BA24" s="148" t="n"/>
      <c r="BB24" s="148" t="n"/>
      <c r="BC24" s="148" t="n"/>
      <c r="BD24" s="148" t="n"/>
      <c r="BE24" s="148" t="n"/>
      <c r="BF24" s="148" t="n"/>
      <c r="BG24" s="148" t="n"/>
      <c r="BH24" s="148" t="n"/>
      <c r="BI24" s="148" t="n"/>
      <c r="BJ24" s="148" t="n"/>
      <c r="BK24" s="148" t="n"/>
      <c r="BL24" s="148" t="n"/>
      <c r="BM24" s="148" t="n"/>
      <c r="BN24" s="148" t="n"/>
      <c r="BO24" s="148" t="n"/>
      <c r="BP24" s="148" t="n"/>
      <c r="BQ24" s="148" t="n"/>
      <c r="BR24" s="148" t="n"/>
      <c r="BS24" s="148" t="n"/>
      <c r="BT24" s="148" t="n"/>
      <c r="BU24" s="148" t="n"/>
      <c r="BV24" s="148" t="n"/>
      <c r="BW24" s="148" t="n"/>
      <c r="BX24" s="148" t="n"/>
      <c r="BY24" s="148" t="n"/>
      <c r="BZ24" s="148" t="n"/>
      <c r="CA24" s="148" t="n"/>
      <c r="CB24" s="148" t="n"/>
      <c r="CC24" s="148" t="n"/>
      <c r="CD24" s="148" t="n"/>
      <c r="CE24" s="148" t="n"/>
      <c r="CF24" s="659" t="n"/>
    </row>
    <row r="25" ht="18" customFormat="1" customHeight="1" s="538">
      <c r="A25" s="410" t="n">
        <v>4</v>
      </c>
      <c r="B25" s="411" t="inlineStr">
        <is>
          <t>a</t>
        </is>
      </c>
      <c r="C25" s="404" t="n">
        <v>1</v>
      </c>
      <c r="D25" s="443">
        <f>CONCATENATE(A$3,"_",A25,"_",B25,"_",C25)</f>
        <v/>
      </c>
      <c r="E25" s="412" t="inlineStr">
        <is>
          <t xml:space="preserve">Zaimportowanie BDP w środowisku wybranej platformy AI/ML </t>
        </is>
      </c>
      <c r="F25" s="528">
        <f>IFERROR(VLOOKUP($I25,Listy!$A:$H,2,FALSE),"XXX")</f>
        <v/>
      </c>
      <c r="G25" s="528">
        <f>IFERROR(VLOOKUP($I25,Listy!$A:$H,3,FALSE),"XXX")</f>
        <v/>
      </c>
      <c r="H25" s="444" t="n">
        <v>8</v>
      </c>
      <c r="I25" s="89" t="inlineStr">
        <is>
          <t>.a04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4" t="n">
        <v>1</v>
      </c>
      <c r="O25" s="444" t="n">
        <v>40</v>
      </c>
      <c r="P25" s="187" t="n">
        <v>0.25</v>
      </c>
      <c r="Q25" s="187" t="n">
        <v>0.25</v>
      </c>
      <c r="R25" s="187" t="n">
        <v>0.25</v>
      </c>
      <c r="S25" s="187" t="n">
        <v>0.25</v>
      </c>
      <c r="T25" s="187" t="n">
        <v>0</v>
      </c>
      <c r="U25" s="187" t="n">
        <v>0</v>
      </c>
      <c r="V25" s="187" t="n">
        <v>0</v>
      </c>
      <c r="W25" s="187" t="n">
        <v>0</v>
      </c>
      <c r="X25" s="187" t="n">
        <v>0</v>
      </c>
      <c r="Y25" s="292" t="n"/>
      <c r="Z25" s="292" t="n"/>
      <c r="AA25" s="292" t="n"/>
      <c r="AB25" s="292" t="n"/>
      <c r="AC25" s="302" t="n"/>
      <c r="AD25" s="302" t="n"/>
      <c r="AE25" s="302" t="n"/>
      <c r="AF25" s="302" t="n"/>
      <c r="AG25" s="192">
        <f>ROUND($O25*P25,0)</f>
        <v/>
      </c>
      <c r="AH25" s="192">
        <f>ROUND($O25*Q25,0)</f>
        <v/>
      </c>
      <c r="AI25" s="192">
        <f>ROUND($O25*R25,0)</f>
        <v/>
      </c>
      <c r="AJ25" s="192">
        <f>ROUND($O25*S25,0)</f>
        <v/>
      </c>
      <c r="AK25" s="192">
        <f>ROUND($O25*T25,0)</f>
        <v/>
      </c>
      <c r="AL25" s="192">
        <f>ROUND($O25*U25,0)</f>
        <v/>
      </c>
      <c r="AM25" s="192">
        <f>ROUND($O25*V25,0)</f>
        <v/>
      </c>
      <c r="AN25" s="192">
        <f>ROUND($O25*W25,0)</f>
        <v/>
      </c>
      <c r="AO25" s="192">
        <f>ROUND($O25*X25,0)</f>
        <v/>
      </c>
      <c r="AP25" s="193">
        <f>ROUND($O25*Y25,0)</f>
        <v/>
      </c>
      <c r="AQ25" s="193">
        <f>ROUND($O25*Z25,0)</f>
        <v/>
      </c>
      <c r="AR25" s="193">
        <f>ROUND($O25*AA25,0)</f>
        <v/>
      </c>
      <c r="AS25" s="307">
        <f>ROUND($O25*AB25,0)</f>
        <v/>
      </c>
      <c r="AT25" s="304" t="n"/>
      <c r="AU25" s="304" t="n"/>
      <c r="AV25" s="304" t="n"/>
      <c r="AW25" s="304" t="n"/>
      <c r="AX25" s="236">
        <f>SUM(AG25:AO25)</f>
        <v/>
      </c>
      <c r="AY25" s="528">
        <f>AX25/160</f>
        <v/>
      </c>
      <c r="AZ25" s="87">
        <f>VLOOKUP(I25,Listy!$A$1:$H$9,6,FALSE)</f>
        <v/>
      </c>
      <c r="BA25" s="682">
        <f>AY25*AZ25</f>
        <v/>
      </c>
      <c r="BB25" s="683">
        <f>AY25*BA25</f>
        <v/>
      </c>
      <c r="BC25" s="528" t="n"/>
      <c r="BD25" s="528" t="n"/>
      <c r="BE25" s="528" t="n"/>
      <c r="BF25" s="528" t="n"/>
      <c r="BG25" s="528" t="n"/>
      <c r="BH25" s="528" t="n"/>
      <c r="BI25" s="21">
        <f>BG25*BH25</f>
        <v/>
      </c>
      <c r="BJ25" s="528" t="n"/>
      <c r="BK25" s="528" t="n"/>
      <c r="BL25" s="528" t="n"/>
      <c r="BM25" s="528" t="n"/>
      <c r="BN25" s="528" t="n"/>
      <c r="BO25" s="528" t="n"/>
      <c r="BP25" s="528" t="n"/>
      <c r="BQ25" s="528" t="n"/>
      <c r="BR25" s="528" t="n"/>
      <c r="BS25" s="528" t="n"/>
      <c r="BT25" s="528" t="n"/>
      <c r="BU25" s="528" t="n"/>
      <c r="BV25" s="528" t="n"/>
      <c r="BW25" s="21">
        <f>BU25*BV25</f>
        <v/>
      </c>
      <c r="BX25" s="528" t="n"/>
      <c r="BY25" s="528" t="n"/>
      <c r="BZ25" s="528" t="n"/>
      <c r="CA25" s="21">
        <f>BY25*BZ25</f>
        <v/>
      </c>
      <c r="CB25" s="528" t="n"/>
      <c r="CC25" s="528" t="n"/>
      <c r="CD25" s="528" t="n"/>
      <c r="CE25" s="21">
        <f>CC25*CD25</f>
        <v/>
      </c>
    </row>
    <row r="26" ht="18" customFormat="1" customHeight="1" s="538">
      <c r="A26" s="410" t="n">
        <v>4</v>
      </c>
      <c r="B26" s="411" t="inlineStr">
        <is>
          <t>b</t>
        </is>
      </c>
      <c r="C26" s="404" t="n">
        <v>1</v>
      </c>
      <c r="D26" s="443">
        <f>CONCATENATE(A$3,"_",A26,"_",B26,"_",C26)</f>
        <v/>
      </c>
      <c r="E26" s="412" t="inlineStr">
        <is>
          <t>Sprawdzenie i potwierdzenie poprawności zaimplementowanych danych. Określenie zestawu danych testowych i referencyjnych do dalszych analiz</t>
        </is>
      </c>
      <c r="F26" s="528">
        <f>IFERROR(VLOOKUP($I26,Listy!$A:$H,2,FALSE),"XXX")</f>
        <v/>
      </c>
      <c r="G26" s="528">
        <f>IFERROR(VLOOKUP($I26,Listy!$A:$H,3,FALSE),"XXX")</f>
        <v/>
      </c>
      <c r="H26" s="444" t="n">
        <v>8</v>
      </c>
      <c r="I26" s="89" t="inlineStr">
        <is>
          <t>.a02</t>
        </is>
      </c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4" t="n">
        <v>1</v>
      </c>
      <c r="O26" s="444" t="n">
        <v>40</v>
      </c>
      <c r="P26" s="187" t="n">
        <v>0.25</v>
      </c>
      <c r="Q26" s="187" t="n">
        <v>0.25</v>
      </c>
      <c r="R26" s="187" t="n">
        <v>0.25</v>
      </c>
      <c r="S26" s="187" t="n">
        <v>0.25</v>
      </c>
      <c r="T26" s="187" t="n">
        <v>0</v>
      </c>
      <c r="U26" s="187" t="n">
        <v>0</v>
      </c>
      <c r="V26" s="187" t="n">
        <v>0</v>
      </c>
      <c r="W26" s="187" t="n">
        <v>0</v>
      </c>
      <c r="X26" s="187" t="n">
        <v>0</v>
      </c>
      <c r="Y26" s="292" t="n"/>
      <c r="Z26" s="292" t="n"/>
      <c r="AA26" s="292" t="n"/>
      <c r="AB26" s="292" t="n"/>
      <c r="AC26" s="302" t="n"/>
      <c r="AD26" s="302" t="n"/>
      <c r="AE26" s="302" t="n"/>
      <c r="AF26" s="302" t="n"/>
      <c r="AG26" s="192">
        <f>ROUND($O26*P26,0)</f>
        <v/>
      </c>
      <c r="AH26" s="192">
        <f>ROUND($O26*Q26,0)</f>
        <v/>
      </c>
      <c r="AI26" s="192">
        <f>ROUND($O26*R26,0)</f>
        <v/>
      </c>
      <c r="AJ26" s="192">
        <f>ROUND($O26*S26,0)</f>
        <v/>
      </c>
      <c r="AK26" s="192">
        <f>ROUND($O26*T26,0)</f>
        <v/>
      </c>
      <c r="AL26" s="192">
        <f>ROUND($O26*U26,0)</f>
        <v/>
      </c>
      <c r="AM26" s="192">
        <f>ROUND($O26*V26,0)</f>
        <v/>
      </c>
      <c r="AN26" s="192">
        <f>ROUND($O26*W26,0)</f>
        <v/>
      </c>
      <c r="AO26" s="192">
        <f>ROUND($O26*X26,0)</f>
        <v/>
      </c>
      <c r="AP26" s="193">
        <f>ROUND($O26*Y26,0)</f>
        <v/>
      </c>
      <c r="AQ26" s="193">
        <f>ROUND($O26*Z26,0)</f>
        <v/>
      </c>
      <c r="AR26" s="193">
        <f>ROUND($O26*AA26,0)</f>
        <v/>
      </c>
      <c r="AS26" s="307">
        <f>ROUND($O26*AB26,0)</f>
        <v/>
      </c>
      <c r="AT26" s="304" t="n"/>
      <c r="AU26" s="304" t="n"/>
      <c r="AV26" s="304" t="n"/>
      <c r="AW26" s="304" t="n"/>
      <c r="AX26" s="236">
        <f>SUM(AG26:AO26)</f>
        <v/>
      </c>
      <c r="AY26" s="528">
        <f>AX26/160</f>
        <v/>
      </c>
      <c r="AZ26" s="87">
        <f>VLOOKUP(I26,Listy!$A$1:$H$9,6,FALSE)</f>
        <v/>
      </c>
      <c r="BA26" s="682">
        <f>AY26*AZ26</f>
        <v/>
      </c>
      <c r="BB26" s="683">
        <f>AY26*BA26</f>
        <v/>
      </c>
      <c r="BC26" s="528" t="n"/>
      <c r="BD26" s="528" t="n"/>
      <c r="BE26" s="528" t="n"/>
      <c r="BF26" s="528" t="n"/>
      <c r="BG26" s="528" t="n"/>
      <c r="BH26" s="528" t="n"/>
      <c r="BI26" s="21">
        <f>BG26*BH26</f>
        <v/>
      </c>
      <c r="BJ26" s="528" t="n"/>
      <c r="BK26" s="528" t="n"/>
      <c r="BL26" s="528" t="n"/>
      <c r="BM26" s="528" t="n"/>
      <c r="BN26" s="528" t="n"/>
      <c r="BO26" s="528" t="n"/>
      <c r="BP26" s="528" t="n"/>
      <c r="BQ26" s="528" t="n"/>
      <c r="BR26" s="528" t="n"/>
      <c r="BS26" s="528" t="n"/>
      <c r="BT26" s="528" t="n"/>
      <c r="BU26" s="528" t="n"/>
      <c r="BV26" s="528" t="n"/>
      <c r="BW26" s="21">
        <f>BU26*BV26</f>
        <v/>
      </c>
      <c r="BX26" s="528" t="n"/>
      <c r="BY26" s="528" t="n"/>
      <c r="BZ26" s="528" t="n"/>
      <c r="CA26" s="21">
        <f>BY26*BZ26</f>
        <v/>
      </c>
      <c r="CB26" s="528" t="n"/>
      <c r="CC26" s="528" t="n"/>
      <c r="CD26" s="528" t="n"/>
      <c r="CE26" s="21">
        <f>CC26*CD26</f>
        <v/>
      </c>
    </row>
    <row r="27" ht="18" customFormat="1" customHeight="1" s="538">
      <c r="A27" s="410" t="n">
        <v>4</v>
      </c>
      <c r="B27" s="411" t="inlineStr">
        <is>
          <t>c</t>
        </is>
      </c>
      <c r="C27" s="404" t="n">
        <v>1</v>
      </c>
      <c r="D27" s="443">
        <f>CONCATENATE(A$3,"_",A27,"_",B27,"_",C27)</f>
        <v/>
      </c>
      <c r="E27" s="412" t="inlineStr">
        <is>
          <t xml:space="preserve">Stworzenie zautomatyzowanego systemu aktualizacji danych BDP zintegrowanej z platformą. </t>
        </is>
      </c>
      <c r="F27" s="528">
        <f>IFERROR(VLOOKUP($I27,Listy!$A:$H,2,FALSE),"XXX")</f>
        <v/>
      </c>
      <c r="G27" s="528">
        <f>IFERROR(VLOOKUP($I27,Listy!$A:$H,3,FALSE),"XXX")</f>
        <v/>
      </c>
      <c r="H27" s="444" t="n">
        <v>8</v>
      </c>
      <c r="I27" s="89" t="inlineStr">
        <is>
          <t>.a03</t>
        </is>
      </c>
      <c r="J27" s="91">
        <f>M26+1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4" t="n">
        <v>1</v>
      </c>
      <c r="O27" s="444" t="n">
        <v>80</v>
      </c>
      <c r="P27" s="187" t="n">
        <v>0.25</v>
      </c>
      <c r="Q27" s="187" t="n">
        <v>0.25</v>
      </c>
      <c r="R27" s="187" t="n">
        <v>0.25</v>
      </c>
      <c r="S27" s="187" t="n">
        <v>0.25</v>
      </c>
      <c r="T27" s="187" t="n">
        <v>0</v>
      </c>
      <c r="U27" s="187" t="n">
        <v>0</v>
      </c>
      <c r="V27" s="187" t="n">
        <v>0</v>
      </c>
      <c r="W27" s="187" t="n">
        <v>0</v>
      </c>
      <c r="X27" s="187" t="n">
        <v>0</v>
      </c>
      <c r="Y27" s="292" t="n"/>
      <c r="Z27" s="292" t="n"/>
      <c r="AA27" s="292" t="n"/>
      <c r="AB27" s="292" t="n"/>
      <c r="AC27" s="302" t="n"/>
      <c r="AD27" s="302" t="n"/>
      <c r="AE27" s="302" t="n"/>
      <c r="AF27" s="302" t="n"/>
      <c r="AG27" s="192">
        <f>ROUND($O27*P27,0)</f>
        <v/>
      </c>
      <c r="AH27" s="192">
        <f>ROUND($O27*Q27,0)</f>
        <v/>
      </c>
      <c r="AI27" s="192">
        <f>ROUND($O27*R27,0)</f>
        <v/>
      </c>
      <c r="AJ27" s="192">
        <f>ROUND($O27*S27,0)</f>
        <v/>
      </c>
      <c r="AK27" s="192">
        <f>ROUND($O27*T27,0)</f>
        <v/>
      </c>
      <c r="AL27" s="192">
        <f>ROUND($O27*U27,0)</f>
        <v/>
      </c>
      <c r="AM27" s="192">
        <f>ROUND($O27*V27,0)</f>
        <v/>
      </c>
      <c r="AN27" s="192">
        <f>ROUND($O27*W27,0)</f>
        <v/>
      </c>
      <c r="AO27" s="192">
        <f>ROUND($O27*X27,0)</f>
        <v/>
      </c>
      <c r="AP27" s="193">
        <f>ROUND($O27*Y27,0)</f>
        <v/>
      </c>
      <c r="AQ27" s="193">
        <f>ROUND($O27*Z27,0)</f>
        <v/>
      </c>
      <c r="AR27" s="193">
        <f>ROUND($O27*AA27,0)</f>
        <v/>
      </c>
      <c r="AS27" s="307">
        <f>ROUND($O27*AB27,0)</f>
        <v/>
      </c>
      <c r="AT27" s="304" t="n"/>
      <c r="AU27" s="304" t="n"/>
      <c r="AV27" s="304" t="n"/>
      <c r="AW27" s="304" t="n"/>
      <c r="AX27" s="236">
        <f>SUM(AG27:AO27)</f>
        <v/>
      </c>
      <c r="AY27" s="528">
        <f>AX27/160</f>
        <v/>
      </c>
      <c r="AZ27" s="87">
        <f>VLOOKUP(I27,Listy!$A$1:$H$9,6,FALSE)</f>
        <v/>
      </c>
      <c r="BA27" s="682">
        <f>AY27*AZ27</f>
        <v/>
      </c>
      <c r="BB27" s="683">
        <f>AY27*BA27</f>
        <v/>
      </c>
      <c r="BC27" s="528" t="n"/>
      <c r="BD27" s="528" t="n"/>
      <c r="BE27" s="528" t="n"/>
      <c r="BF27" s="528" t="n"/>
      <c r="BG27" s="528" t="n"/>
      <c r="BH27" s="528" t="n"/>
      <c r="BI27" s="21">
        <f>BG27*BH27</f>
        <v/>
      </c>
      <c r="BJ27" s="528" t="n"/>
      <c r="BK27" s="528" t="n"/>
      <c r="BL27" s="528" t="n"/>
      <c r="BM27" s="528" t="n"/>
      <c r="BN27" s="528" t="n"/>
      <c r="BO27" s="528" t="n"/>
      <c r="BP27" s="528" t="n"/>
      <c r="BQ27" s="528" t="n"/>
      <c r="BR27" s="528" t="n"/>
      <c r="BS27" s="528" t="n"/>
      <c r="BT27" s="528" t="n"/>
      <c r="BU27" s="528" t="n"/>
      <c r="BV27" s="528" t="n"/>
      <c r="BW27" s="21">
        <f>BU27*BV27</f>
        <v/>
      </c>
      <c r="BX27" s="528" t="n"/>
      <c r="BY27" s="528" t="n"/>
      <c r="BZ27" s="528" t="n"/>
      <c r="CA27" s="21">
        <f>BY27*BZ27</f>
        <v/>
      </c>
      <c r="CB27" s="528" t="n"/>
      <c r="CC27" s="528" t="n"/>
      <c r="CD27" s="528" t="n"/>
      <c r="CE27" s="21">
        <f>CC27*CD27</f>
        <v/>
      </c>
    </row>
    <row r="28" ht="18" customFormat="1" customHeight="1" s="538">
      <c r="A28" s="410" t="n">
        <v>5</v>
      </c>
      <c r="B28" s="444" t="inlineStr">
        <is>
          <t>a</t>
        </is>
      </c>
      <c r="C28" s="404" t="n">
        <v>1</v>
      </c>
      <c r="D28" s="443">
        <f>CONCATENATE(A$3,"_",A28,"_",B28,"_",C28)</f>
        <v/>
      </c>
      <c r="E28" s="410" t="inlineStr">
        <is>
          <t>5.Opracowanie procedur/strategii bezpieczeństwa i zarządzania BDP</t>
        </is>
      </c>
      <c r="F28" s="528">
        <f>IFERROR(VLOOKUP($I28,Listy!$A:$H,2,FALSE),"XXX")</f>
        <v/>
      </c>
      <c r="G28" s="528">
        <f>IFERROR(VLOOKUP($I28,Listy!$A:$H,3,FALSE),"XXX")</f>
        <v/>
      </c>
      <c r="H28" s="444" t="n">
        <v>9</v>
      </c>
      <c r="I28" s="89" t="inlineStr">
        <is>
          <t>.a01</t>
        </is>
      </c>
      <c r="J28" s="91">
        <f>M27+1</f>
        <v/>
      </c>
      <c r="K28" s="681">
        <f>VLOOKUP(J28,Kalendarz!B:E,4,FALSE)</f>
        <v/>
      </c>
      <c r="L28" s="681">
        <f>K28+N28</f>
        <v/>
      </c>
      <c r="M28" s="528">
        <f>J28+N28-1</f>
        <v/>
      </c>
      <c r="N28" s="474">
        <f>ROUND(MAX(AG28:AO28)/Listy!$U$2,0)</f>
        <v/>
      </c>
      <c r="O28" s="444" t="n">
        <v>20</v>
      </c>
      <c r="P28" s="187" t="n">
        <v>0.25</v>
      </c>
      <c r="Q28" s="187" t="n">
        <v>0.25</v>
      </c>
      <c r="R28" s="187" t="n">
        <v>0.25</v>
      </c>
      <c r="S28" s="187" t="n">
        <v>0.25</v>
      </c>
      <c r="T28" s="187" t="n">
        <v>0</v>
      </c>
      <c r="U28" s="187" t="n">
        <v>0</v>
      </c>
      <c r="V28" s="187" t="n">
        <v>0</v>
      </c>
      <c r="W28" s="187" t="n">
        <v>0</v>
      </c>
      <c r="X28" s="187" t="n">
        <v>0</v>
      </c>
      <c r="Y28" s="292" t="n"/>
      <c r="Z28" s="292" t="n"/>
      <c r="AA28" s="292" t="n"/>
      <c r="AB28" s="292" t="n"/>
      <c r="AC28" s="302" t="n"/>
      <c r="AD28" s="302" t="n"/>
      <c r="AE28" s="302" t="n"/>
      <c r="AF28" s="302" t="n"/>
      <c r="AG28" s="192">
        <f>ROUND($O28*P28,0)</f>
        <v/>
      </c>
      <c r="AH28" s="192">
        <f>ROUND($O28*Q28,0)</f>
        <v/>
      </c>
      <c r="AI28" s="192">
        <f>ROUND($O28*R28,0)</f>
        <v/>
      </c>
      <c r="AJ28" s="192">
        <f>ROUND($O28*S28,0)</f>
        <v/>
      </c>
      <c r="AK28" s="192">
        <f>ROUND($O28*T28,0)</f>
        <v/>
      </c>
      <c r="AL28" s="192">
        <f>ROUND($O28*U28,0)</f>
        <v/>
      </c>
      <c r="AM28" s="192">
        <f>ROUND($O28*V28,0)</f>
        <v/>
      </c>
      <c r="AN28" s="192">
        <f>ROUND($O28*W28,0)</f>
        <v/>
      </c>
      <c r="AO28" s="192">
        <f>ROUND($O28*X28,0)</f>
        <v/>
      </c>
      <c r="AP28" s="193">
        <f>ROUND($O28*Y28,0)</f>
        <v/>
      </c>
      <c r="AQ28" s="193">
        <f>ROUND($O28*Z28,0)</f>
        <v/>
      </c>
      <c r="AR28" s="193">
        <f>ROUND($O28*AA28,0)</f>
        <v/>
      </c>
      <c r="AS28" s="307">
        <f>ROUND($O28*AB28,0)</f>
        <v/>
      </c>
      <c r="AT28" s="304" t="n"/>
      <c r="AU28" s="304" t="n"/>
      <c r="AV28" s="304" t="n"/>
      <c r="AW28" s="304" t="n"/>
      <c r="AX28" s="236">
        <f>SUM(AG28:AO28)</f>
        <v/>
      </c>
      <c r="AY28" s="528">
        <f>AX28/160</f>
        <v/>
      </c>
      <c r="AZ28" s="87">
        <f>VLOOKUP(I28,Listy!$A$1:$H$9,6,FALSE)</f>
        <v/>
      </c>
      <c r="BA28" s="682">
        <f>AY28*AZ28</f>
        <v/>
      </c>
      <c r="BB28" s="683">
        <f>AY28*BA28</f>
        <v/>
      </c>
      <c r="BC28" s="528" t="n"/>
      <c r="BD28" s="528" t="n"/>
      <c r="BE28" s="528" t="n"/>
      <c r="BF28" s="528" t="n"/>
      <c r="BG28" s="528" t="n"/>
      <c r="BH28" s="528" t="n"/>
      <c r="BI28" s="22">
        <f>BG28*BH28</f>
        <v/>
      </c>
      <c r="BJ28" s="528" t="n"/>
      <c r="BK28" s="528" t="n"/>
      <c r="BL28" s="314" t="n"/>
      <c r="BM28" s="528" t="n"/>
      <c r="BN28" s="528" t="n"/>
      <c r="BO28" s="314" t="n"/>
      <c r="BP28" s="528" t="n"/>
      <c r="BQ28" s="528" t="n"/>
      <c r="BR28" s="314" t="n"/>
      <c r="BS28" s="314" t="n"/>
      <c r="BT28" s="528" t="n"/>
      <c r="BU28" s="528" t="n"/>
      <c r="BV28" s="528" t="n"/>
      <c r="BW28" s="22">
        <f>BU28*BV28</f>
        <v/>
      </c>
      <c r="BX28" s="528" t="n"/>
      <c r="BY28" s="528" t="n"/>
      <c r="BZ28" s="528" t="n"/>
      <c r="CA28" s="22">
        <f>BY28*BZ28</f>
        <v/>
      </c>
      <c r="CB28" s="528" t="n"/>
      <c r="CC28" s="528" t="n"/>
      <c r="CD28" s="528" t="n"/>
      <c r="CE28" s="22">
        <f>CC28*CD28</f>
        <v/>
      </c>
    </row>
    <row r="29" ht="18" customFormat="1" customHeight="1" s="538">
      <c r="A29" s="410" t="n">
        <v>6</v>
      </c>
      <c r="B29" s="444" t="inlineStr">
        <is>
          <t>a</t>
        </is>
      </c>
      <c r="C29" s="404" t="n">
        <v>1</v>
      </c>
      <c r="D29" s="443">
        <f>CONCATENATE(A$3,"_",A29,"_",B29,"_",C29)</f>
        <v/>
      </c>
      <c r="E29" s="410" t="inlineStr">
        <is>
          <t>6.Opracowanie dokumentacji BDP</t>
        </is>
      </c>
      <c r="F29" s="528">
        <f>IFERROR(VLOOKUP($I29,Listy!$A:$H,2,FALSE),"XXX")</f>
        <v/>
      </c>
      <c r="G29" s="528">
        <f>IFERROR(VLOOKUP($I29,Listy!$A:$H,3,FALSE),"XXX")</f>
        <v/>
      </c>
      <c r="H29" s="444" t="n">
        <v>10</v>
      </c>
      <c r="I29" s="89" t="inlineStr">
        <is>
          <t>.a03</t>
        </is>
      </c>
      <c r="J29" s="91">
        <f>M28+1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4" t="n">
        <v>1</v>
      </c>
      <c r="O29" s="444" t="n">
        <v>60</v>
      </c>
      <c r="P29" s="187" t="n">
        <v>0.25</v>
      </c>
      <c r="Q29" s="187" t="n">
        <v>0.25</v>
      </c>
      <c r="R29" s="187" t="n">
        <v>0.25</v>
      </c>
      <c r="S29" s="187" t="n">
        <v>0.25</v>
      </c>
      <c r="T29" s="187" t="n">
        <v>0</v>
      </c>
      <c r="U29" s="187" t="n">
        <v>0</v>
      </c>
      <c r="V29" s="187" t="n">
        <v>0</v>
      </c>
      <c r="W29" s="187" t="n">
        <v>0</v>
      </c>
      <c r="X29" s="187" t="n">
        <v>0</v>
      </c>
      <c r="Y29" s="292" t="n"/>
      <c r="Z29" s="292" t="n"/>
      <c r="AA29" s="292" t="n"/>
      <c r="AB29" s="292" t="n"/>
      <c r="AC29" s="302" t="n"/>
      <c r="AD29" s="302" t="n"/>
      <c r="AE29" s="302" t="n"/>
      <c r="AF29" s="302" t="n"/>
      <c r="AG29" s="192">
        <f>ROUND($O29*P29,0)</f>
        <v/>
      </c>
      <c r="AH29" s="192">
        <f>ROUND($O29*Q29,0)</f>
        <v/>
      </c>
      <c r="AI29" s="192">
        <f>ROUND($O29*R29,0)</f>
        <v/>
      </c>
      <c r="AJ29" s="192">
        <f>ROUND($O29*S29,0)</f>
        <v/>
      </c>
      <c r="AK29" s="192">
        <f>ROUND($O29*T29,0)</f>
        <v/>
      </c>
      <c r="AL29" s="192">
        <f>ROUND($O29*U29,0)</f>
        <v/>
      </c>
      <c r="AM29" s="192">
        <f>ROUND($O29*V29,0)</f>
        <v/>
      </c>
      <c r="AN29" s="192">
        <f>ROUND($O29*W29,0)</f>
        <v/>
      </c>
      <c r="AO29" s="192">
        <f>ROUND($O29*X29,0)</f>
        <v/>
      </c>
      <c r="AP29" s="193">
        <f>ROUND($O29*Y29,0)</f>
        <v/>
      </c>
      <c r="AQ29" s="193">
        <f>ROUND($O29*Z29,0)</f>
        <v/>
      </c>
      <c r="AR29" s="193">
        <f>ROUND($O29*AA29,0)</f>
        <v/>
      </c>
      <c r="AS29" s="307">
        <f>ROUND($O29*AB29,0)</f>
        <v/>
      </c>
      <c r="AT29" s="304" t="n"/>
      <c r="AU29" s="304" t="n"/>
      <c r="AV29" s="304" t="n"/>
      <c r="AW29" s="304" t="n"/>
      <c r="AX29" s="236">
        <f>SUM(AG29:AO29)</f>
        <v/>
      </c>
      <c r="AY29" s="528">
        <f>AX29/160</f>
        <v/>
      </c>
      <c r="AZ29" s="87">
        <f>VLOOKUP(I29,Listy!$A$1:$H$9,6,FALSE)</f>
        <v/>
      </c>
      <c r="BA29" s="682">
        <f>AY29*AZ29</f>
        <v/>
      </c>
      <c r="BB29" s="683">
        <f>AY29*BA29</f>
        <v/>
      </c>
      <c r="BC29" s="528" t="n"/>
      <c r="BD29" s="528" t="n"/>
      <c r="BE29" s="528" t="n"/>
      <c r="BF29" s="528" t="n"/>
      <c r="BG29" s="528" t="n"/>
      <c r="BH29" s="528" t="n"/>
      <c r="BI29" s="22">
        <f>BG29*BH29</f>
        <v/>
      </c>
      <c r="BJ29" s="336" t="n"/>
      <c r="BK29" s="336" t="n"/>
      <c r="BL29" s="336" t="n"/>
      <c r="BM29" s="336" t="n"/>
      <c r="BN29" s="336" t="n"/>
      <c r="BO29" s="336" t="n"/>
      <c r="BP29" s="336" t="n"/>
      <c r="BQ29" s="336" t="n"/>
      <c r="BR29" s="336" t="n"/>
      <c r="BS29" s="336" t="n"/>
      <c r="BT29" s="336" t="n"/>
      <c r="BU29" s="336" t="n"/>
      <c r="BV29" s="336" t="n"/>
      <c r="BW29" s="336" t="n"/>
      <c r="BX29" s="336" t="n"/>
      <c r="BY29" s="336" t="n"/>
      <c r="BZ29" s="336" t="n"/>
      <c r="CA29" s="336" t="n"/>
      <c r="CB29" s="336" t="n"/>
      <c r="CC29" s="336" t="n"/>
      <c r="CD29" s="336" t="n"/>
      <c r="CE29" s="336" t="n"/>
    </row>
    <row r="30" ht="18" customFormat="1" customHeight="1" s="538">
      <c r="A30" s="421" t="inlineStr">
        <is>
          <t xml:space="preserve">Łącznie </t>
        </is>
      </c>
      <c r="B30" s="421" t="n"/>
      <c r="C30" s="349" t="n"/>
      <c r="D30" s="333" t="n"/>
      <c r="E30" s="421" t="n"/>
      <c r="F30" s="336" t="n"/>
      <c r="G30" s="336" t="n"/>
      <c r="I30" s="336" t="n"/>
      <c r="J30" s="336" t="n"/>
      <c r="K30" s="336" t="n"/>
      <c r="L30" s="336" t="n"/>
      <c r="M30" s="336" t="n"/>
      <c r="N30" s="336" t="n"/>
      <c r="O30" s="336" t="n"/>
      <c r="P30" s="336" t="n"/>
      <c r="Q30" s="336" t="n"/>
      <c r="R30" s="430" t="n"/>
      <c r="S30" s="430" t="n"/>
      <c r="T30" s="430" t="n"/>
      <c r="U30" s="430" t="n"/>
      <c r="V30" s="430" t="n"/>
      <c r="W30" s="430" t="n"/>
      <c r="X30" s="430" t="n"/>
      <c r="Y30" s="430" t="n"/>
      <c r="Z30" s="430" t="n"/>
      <c r="AA30" s="430" t="n"/>
      <c r="AB30" s="430" t="n"/>
      <c r="AC30" s="338" t="n"/>
      <c r="AD30" s="338" t="n"/>
      <c r="AE30" s="338" t="n"/>
      <c r="AF30" s="338" t="n"/>
      <c r="AG30" s="585">
        <f>SUM(AG$3:AG29)</f>
        <v/>
      </c>
      <c r="AH30" s="586">
        <f>SUM(AH$3:AH29)</f>
        <v/>
      </c>
      <c r="AI30" s="586">
        <f>SUM(AI$3:AI29)</f>
        <v/>
      </c>
      <c r="AJ30" s="586">
        <f>SUM(AJ$3:AJ29)</f>
        <v/>
      </c>
      <c r="AK30" s="586">
        <f>SUM(AK$3:AK29)</f>
        <v/>
      </c>
      <c r="AL30" s="586">
        <f>SUM(AL$3:AL29)</f>
        <v/>
      </c>
      <c r="AM30" s="586">
        <f>SUM(AM$3:AM29)</f>
        <v/>
      </c>
      <c r="AN30" s="586">
        <f>SUM(AN$3:AN29)</f>
        <v/>
      </c>
      <c r="AO30" s="587">
        <f>SUM(AO$3:AO29)</f>
        <v/>
      </c>
      <c r="AP30" s="579">
        <f>SUM(AP$3:AP29)</f>
        <v/>
      </c>
      <c r="AQ30" s="580">
        <f>SUM(AQ$3:AQ29)</f>
        <v/>
      </c>
      <c r="AR30" s="580">
        <f>SUM(AR$3:AR29)</f>
        <v/>
      </c>
      <c r="AS30" s="581">
        <f>SUM(AS$3:AS29)</f>
        <v/>
      </c>
      <c r="AT30" s="572">
        <f>SUM(AT$3:AT29)</f>
        <v/>
      </c>
      <c r="AU30" s="573">
        <f>SUM(AU$3:AU29)</f>
        <v/>
      </c>
      <c r="AV30" s="573">
        <f>SUM(AV$3:AV29)</f>
        <v/>
      </c>
      <c r="AW30" s="574">
        <f>SUM(AW$3:AW29)</f>
        <v/>
      </c>
      <c r="AX30" s="684">
        <f>SUM(AX$3:AX29)</f>
        <v/>
      </c>
      <c r="AZ30" s="336" t="n"/>
      <c r="BA30" s="336" t="n"/>
      <c r="BC30" s="336" t="n"/>
      <c r="BD30" s="336" t="n"/>
      <c r="BE30" s="336" t="n"/>
      <c r="BF30" s="336" t="n"/>
      <c r="BG30" s="336" t="n"/>
      <c r="BH30" s="336" t="n"/>
      <c r="BJ30" s="336" t="n"/>
      <c r="BK30" s="336" t="n"/>
      <c r="BM30" s="336" t="n"/>
      <c r="BN30" s="336" t="n"/>
      <c r="BP30" s="336" t="n"/>
      <c r="BQ30" s="336" t="n"/>
      <c r="BT30" s="336" t="n"/>
      <c r="BU30" s="336" t="n"/>
      <c r="BV30" s="336" t="n"/>
      <c r="BX30" s="336" t="n"/>
      <c r="BY30" s="336" t="n"/>
      <c r="BZ30" s="336" t="n"/>
      <c r="CB30" s="336" t="n"/>
      <c r="CC30" s="336" t="n"/>
      <c r="CD30" s="336" t="n"/>
    </row>
    <row r="31" customFormat="1" s="538">
      <c r="A31" s="349" t="n"/>
      <c r="B31" s="350" t="n"/>
      <c r="C31" s="349" t="n"/>
      <c r="D31" s="333" t="n"/>
      <c r="E31" s="354" t="n"/>
      <c r="F31" s="336" t="n"/>
      <c r="G31" s="336" t="n"/>
      <c r="H31" s="335" t="n"/>
      <c r="I31" s="336" t="n"/>
      <c r="J31" s="336" t="n"/>
      <c r="K31" s="336" t="n"/>
      <c r="L31" s="336" t="n"/>
      <c r="M31" s="336" t="n"/>
      <c r="P31" s="430" t="n"/>
      <c r="Q31" s="430" t="n"/>
      <c r="R31" s="430" t="n"/>
      <c r="S31" s="430" t="n"/>
      <c r="T31" s="430" t="n"/>
      <c r="U31" s="430" t="n"/>
      <c r="V31" s="430" t="n"/>
      <c r="W31" s="430" t="n"/>
      <c r="X31" s="430" t="n"/>
      <c r="Y31" s="357" t="n"/>
      <c r="Z31" s="357" t="n"/>
      <c r="AA31" s="357" t="n"/>
      <c r="AB31" s="430" t="n"/>
      <c r="AC31" s="338" t="n"/>
      <c r="AD31" s="338" t="n"/>
      <c r="AE31" s="338" t="n"/>
      <c r="AF31" s="338" t="n"/>
      <c r="AG31" s="588">
        <f>Listy!$AA$1&amp;AG30/20</f>
        <v/>
      </c>
      <c r="AH31" s="589">
        <f>Listy!$AA$1&amp;AH30/20</f>
        <v/>
      </c>
      <c r="AI31" s="589">
        <f>Listy!$AA$1&amp;AI30/20</f>
        <v/>
      </c>
      <c r="AJ31" s="589">
        <f>Listy!$AA$1&amp;AJ30/20</f>
        <v/>
      </c>
      <c r="AK31" s="589">
        <f>Listy!$AA$1&amp;AK30/20</f>
        <v/>
      </c>
      <c r="AL31" s="589">
        <f>Listy!$AA$1&amp;AL30/20</f>
        <v/>
      </c>
      <c r="AM31" s="589">
        <f>Listy!$AA$1&amp;AM30/20</f>
        <v/>
      </c>
      <c r="AN31" s="589">
        <f>Listy!$AA$1&amp;AN30/20</f>
        <v/>
      </c>
      <c r="AO31" s="590">
        <f>Listy!$AA$1&amp;AO30/20</f>
        <v/>
      </c>
      <c r="AP31" s="582">
        <f>Listy!$AA$1&amp;AP30/20</f>
        <v/>
      </c>
      <c r="AQ31" s="583">
        <f>Listy!$AA$1&amp;AQ30/20</f>
        <v/>
      </c>
      <c r="AR31" s="583">
        <f>Listy!$AA$1&amp;AR30/20</f>
        <v/>
      </c>
      <c r="AS31" s="584">
        <f>Listy!$AA$1&amp;AS30/20</f>
        <v/>
      </c>
      <c r="AT31" s="575">
        <f>Listy!$AA$1&amp;AT30/20</f>
        <v/>
      </c>
      <c r="AU31" s="576">
        <f>Listy!$AA$1&amp;AU30/20</f>
        <v/>
      </c>
      <c r="AV31" s="576">
        <f>Listy!$AA$1&amp;AV30/20</f>
        <v/>
      </c>
      <c r="AW31" s="577">
        <f>Listy!$AA$1&amp;AW30/20</f>
        <v/>
      </c>
      <c r="AX31" s="591">
        <f>Listy!$AA$1&amp;AX30/20</f>
        <v/>
      </c>
      <c r="AZ31" s="336" t="n"/>
      <c r="BA31" s="336" t="n"/>
      <c r="BC31" s="336" t="n"/>
      <c r="BD31" s="336" t="n"/>
      <c r="BE31" s="336" t="n"/>
      <c r="BF31" s="336" t="n"/>
      <c r="BG31" s="336" t="n"/>
      <c r="BH31" s="336" t="n"/>
      <c r="BJ31" s="336" t="n"/>
      <c r="BK31" s="336" t="n"/>
      <c r="BM31" s="336" t="n"/>
      <c r="BN31" s="336" t="n"/>
      <c r="BP31" s="336" t="n"/>
      <c r="BQ31" s="336" t="n"/>
      <c r="BT31" s="336" t="n"/>
      <c r="BU31" s="336" t="n"/>
      <c r="BV31" s="336" t="n"/>
      <c r="BX31" s="336" t="n"/>
      <c r="BY31" s="336" t="n"/>
      <c r="BZ31" s="336" t="n"/>
      <c r="CB31" s="336" t="n"/>
      <c r="CC31" s="336" t="n"/>
      <c r="CD31" s="336" t="n"/>
    </row>
    <row r="32" customFormat="1" s="538">
      <c r="A32" s="349" t="n"/>
      <c r="B32" s="350" t="n"/>
      <c r="C32" s="349" t="n"/>
      <c r="D32" s="333" t="n"/>
      <c r="E32" s="354" t="n"/>
      <c r="F32" s="336" t="n"/>
      <c r="G32" s="336" t="n"/>
      <c r="H32" s="335" t="n"/>
      <c r="I32" s="336" t="n"/>
      <c r="J32" s="336" t="n"/>
      <c r="K32" s="336" t="n"/>
      <c r="L32" s="336" t="n"/>
      <c r="M32" s="336" t="n"/>
      <c r="N32" s="336" t="n"/>
      <c r="O32" s="336" t="n"/>
      <c r="P32" s="430" t="n"/>
      <c r="Q32" s="430" t="n"/>
      <c r="R32" s="430" t="n"/>
      <c r="S32" s="430" t="n"/>
      <c r="T32" s="430" t="n"/>
      <c r="U32" s="430" t="n"/>
      <c r="V32" s="430" t="n"/>
      <c r="W32" s="430" t="n"/>
      <c r="X32" s="430" t="n"/>
      <c r="Y32" s="430" t="n"/>
      <c r="Z32" s="430" t="n"/>
      <c r="AA32" s="430" t="n"/>
      <c r="AB32" s="430" t="n"/>
      <c r="AC32" s="336" t="n"/>
      <c r="AD32" s="336" t="n"/>
      <c r="AE32" s="336" t="n"/>
      <c r="AF32" s="336" t="n"/>
      <c r="AG32" s="339" t="n"/>
      <c r="AH32" s="339" t="n"/>
      <c r="AI32" s="339" t="n"/>
      <c r="AJ32" s="339" t="n"/>
      <c r="AK32" s="339" t="n"/>
      <c r="AL32" s="339" t="n"/>
      <c r="AM32" s="339" t="n"/>
      <c r="AN32" s="339" t="n"/>
      <c r="AO32" s="339" t="n"/>
      <c r="AP32" s="339" t="n"/>
      <c r="AQ32" s="339" t="n"/>
      <c r="AR32" s="339" t="n"/>
      <c r="AS32" s="339" t="n"/>
      <c r="AT32" s="336" t="n"/>
      <c r="AU32" s="336" t="n"/>
      <c r="AV32" s="336" t="n"/>
      <c r="AW32" s="336" t="n"/>
      <c r="AX32" s="430" t="n"/>
      <c r="AZ32" s="336" t="n"/>
      <c r="BA32" s="336" t="n"/>
      <c r="BC32" s="336" t="n"/>
      <c r="BD32" s="336" t="n"/>
      <c r="BE32" s="336" t="n"/>
      <c r="BF32" s="336" t="n"/>
      <c r="BG32" s="336" t="n"/>
      <c r="BH32" s="336" t="n"/>
      <c r="BJ32" s="336" t="n"/>
      <c r="BK32" s="336" t="n"/>
      <c r="BM32" s="336" t="n"/>
      <c r="BN32" s="336" t="n"/>
      <c r="BP32" s="336" t="n"/>
      <c r="BQ32" s="336" t="n"/>
      <c r="BT32" s="336" t="n"/>
      <c r="BU32" s="336" t="n"/>
      <c r="BV32" s="336" t="n"/>
      <c r="BX32" s="336" t="n"/>
      <c r="BY32" s="336" t="n"/>
      <c r="BZ32" s="336" t="n"/>
      <c r="CB32" s="336" t="n"/>
      <c r="CC32" s="336" t="n"/>
      <c r="CD32" s="336" t="n"/>
    </row>
    <row r="33" customFormat="1" s="538">
      <c r="A33" s="349" t="n"/>
      <c r="B33" s="350" t="n"/>
      <c r="C33" s="349" t="n"/>
      <c r="D33" s="333" t="n"/>
      <c r="E33" s="354" t="n"/>
      <c r="F33" s="336" t="n"/>
      <c r="G33" s="336" t="n"/>
      <c r="H33" s="335" t="n"/>
      <c r="I33" s="336" t="n"/>
      <c r="J33" s="336" t="n"/>
      <c r="K33" s="336" t="n"/>
      <c r="L33" s="336" t="n"/>
      <c r="M33" s="336" t="n"/>
      <c r="N33" s="336" t="n"/>
      <c r="O33" s="336" t="n"/>
      <c r="P33" s="430" t="n"/>
      <c r="Q33" s="430" t="n"/>
      <c r="R33" s="430" t="n"/>
      <c r="S33" s="430" t="n"/>
      <c r="T33" s="430" t="n"/>
      <c r="U33" s="430" t="n"/>
      <c r="V33" s="430" t="n"/>
      <c r="W33" s="430" t="n"/>
      <c r="X33" s="430" t="n"/>
      <c r="Y33" s="430" t="n"/>
      <c r="Z33" s="430" t="n"/>
      <c r="AA33" s="430" t="n"/>
      <c r="AB33" s="430" t="n"/>
      <c r="AC33" s="338" t="n"/>
      <c r="AD33" s="338" t="n"/>
      <c r="AE33" s="338" t="n"/>
      <c r="AF33" s="338" t="n"/>
      <c r="AG33" s="339" t="n"/>
      <c r="AH33" s="339" t="n"/>
      <c r="AI33" s="339" t="n"/>
      <c r="AJ33" s="339" t="n"/>
      <c r="AK33" s="339" t="n"/>
      <c r="AL33" s="339" t="n"/>
      <c r="AM33" s="339" t="n"/>
      <c r="AN33" s="339" t="n"/>
      <c r="AO33" s="339" t="n"/>
      <c r="AP33" s="339" t="n"/>
      <c r="AQ33" s="339" t="n"/>
      <c r="AR33" s="339" t="n"/>
      <c r="AS33" s="339" t="n"/>
      <c r="AT33" s="339" t="n"/>
      <c r="AU33" s="339" t="n"/>
      <c r="AV33" s="339" t="n"/>
      <c r="AW33" s="339" t="n"/>
      <c r="AX33" s="430" t="n"/>
      <c r="AZ33" s="336" t="n"/>
      <c r="BA33" s="336" t="n"/>
      <c r="BC33" s="336" t="n"/>
      <c r="BD33" s="336" t="n"/>
      <c r="BE33" s="336" t="n"/>
      <c r="BF33" s="336" t="n"/>
      <c r="BG33" s="336" t="n"/>
      <c r="BH33" s="336" t="n"/>
      <c r="BJ33" s="336" t="n"/>
      <c r="BK33" s="336" t="n"/>
      <c r="BM33" s="336" t="n"/>
      <c r="BN33" s="336" t="n"/>
      <c r="BP33" s="336" t="n"/>
      <c r="BQ33" s="336" t="n"/>
      <c r="BT33" s="336" t="n"/>
      <c r="BU33" s="336" t="n"/>
      <c r="BV33" s="336" t="n"/>
      <c r="BX33" s="336" t="n"/>
      <c r="BY33" s="336" t="n"/>
      <c r="BZ33" s="336" t="n"/>
      <c r="CB33" s="336" t="n"/>
      <c r="CC33" s="336" t="n"/>
      <c r="CD33" s="336" t="n"/>
    </row>
    <row r="34" customFormat="1" s="538">
      <c r="A34" s="349" t="n"/>
      <c r="B34" s="350" t="n"/>
      <c r="C34" s="349" t="n"/>
      <c r="D34" s="333" t="n"/>
      <c r="E34" s="354" t="n"/>
      <c r="F34" s="336" t="n"/>
      <c r="G34" s="336" t="n"/>
      <c r="H34" s="335" t="n"/>
      <c r="I34" s="336" t="n"/>
      <c r="J34" s="336" t="n"/>
      <c r="K34" s="336" t="n"/>
      <c r="L34" s="336" t="n"/>
      <c r="M34" s="336" t="n"/>
      <c r="N34" s="336" t="n"/>
      <c r="O34" s="336" t="n"/>
      <c r="P34" s="430" t="n"/>
      <c r="Q34" s="430" t="n"/>
      <c r="R34" s="430" t="n"/>
      <c r="S34" s="430" t="n"/>
      <c r="T34" s="430" t="n"/>
      <c r="U34" s="430" t="n"/>
      <c r="V34" s="430" t="n"/>
      <c r="W34" s="430" t="n"/>
      <c r="X34" s="430" t="n"/>
      <c r="Y34" s="430" t="n"/>
      <c r="Z34" s="430" t="n"/>
      <c r="AA34" s="430" t="n"/>
      <c r="AB34" s="430" t="n"/>
      <c r="AC34" s="338" t="n"/>
      <c r="AD34" s="338" t="n"/>
      <c r="AE34" s="338" t="n"/>
      <c r="AF34" s="338" t="n"/>
      <c r="AG34" s="339" t="n"/>
      <c r="AH34" s="339" t="n"/>
      <c r="AI34" s="339" t="n"/>
      <c r="AJ34" s="339" t="n"/>
      <c r="AK34" s="339" t="n"/>
      <c r="AL34" s="339" t="n"/>
      <c r="AM34" s="339" t="n"/>
      <c r="AN34" s="339" t="n"/>
      <c r="AO34" s="339" t="n"/>
      <c r="AP34" s="339" t="n"/>
      <c r="AQ34" s="339" t="n"/>
      <c r="AR34" s="339" t="n"/>
      <c r="AS34" s="339" t="n"/>
      <c r="AT34" s="339" t="n"/>
      <c r="AU34" s="339" t="n"/>
      <c r="AV34" s="339" t="n"/>
      <c r="AW34" s="339" t="n"/>
      <c r="AX34" s="430" t="n"/>
      <c r="AZ34" s="336" t="n"/>
      <c r="BA34" s="336" t="n"/>
      <c r="BC34" s="336" t="n"/>
      <c r="BD34" s="336" t="n"/>
      <c r="BE34" s="336" t="n"/>
      <c r="BF34" s="336" t="n"/>
      <c r="BG34" s="336" t="n"/>
      <c r="BH34" s="336" t="n"/>
      <c r="BJ34" s="336" t="n"/>
      <c r="BK34" s="336" t="n"/>
      <c r="BM34" s="336" t="n"/>
      <c r="BN34" s="336" t="n"/>
      <c r="BP34" s="336" t="n"/>
      <c r="BQ34" s="336" t="n"/>
      <c r="BT34" s="336" t="n"/>
      <c r="BU34" s="336" t="n"/>
      <c r="BV34" s="336" t="n"/>
      <c r="BX34" s="336" t="n"/>
      <c r="BY34" s="336" t="n"/>
      <c r="BZ34" s="336" t="n"/>
      <c r="CB34" s="336" t="n"/>
      <c r="CC34" s="336" t="n"/>
      <c r="CD34" s="336" t="n"/>
    </row>
    <row r="35" customFormat="1" s="538">
      <c r="A35" s="349" t="n"/>
      <c r="B35" s="350" t="n"/>
      <c r="C35" s="349" t="n"/>
      <c r="D35" s="333" t="n"/>
      <c r="E35" s="354" t="n"/>
      <c r="F35" s="336" t="n"/>
      <c r="G35" s="336" t="n"/>
      <c r="H35" s="335" t="n"/>
      <c r="I35" s="336" t="n"/>
      <c r="J35" s="336" t="n"/>
      <c r="K35" s="336" t="n"/>
      <c r="L35" s="336" t="n"/>
      <c r="M35" s="336" t="n"/>
      <c r="N35" s="336" t="n"/>
      <c r="O35" s="336" t="n"/>
      <c r="P35" s="430" t="n"/>
      <c r="Q35" s="430" t="n"/>
      <c r="R35" s="430" t="n"/>
      <c r="S35" s="430" t="n"/>
      <c r="T35" s="430" t="n"/>
      <c r="U35" s="430" t="n"/>
      <c r="V35" s="430" t="n"/>
      <c r="W35" s="430" t="n"/>
      <c r="X35" s="430" t="n"/>
      <c r="Y35" s="430" t="n"/>
      <c r="Z35" s="430" t="n"/>
      <c r="AA35" s="430" t="n"/>
      <c r="AB35" s="430" t="n"/>
      <c r="AC35" s="338" t="n"/>
      <c r="AD35" s="338" t="n"/>
      <c r="AE35" s="338" t="n"/>
      <c r="AF35" s="338" t="n"/>
      <c r="AG35" s="339" t="n"/>
      <c r="AH35" s="339" t="n"/>
      <c r="AI35" s="339" t="n"/>
      <c r="AJ35" s="339" t="n"/>
      <c r="AK35" s="339" t="n"/>
      <c r="AL35" s="339" t="n"/>
      <c r="AM35" s="339" t="n"/>
      <c r="AN35" s="339" t="n"/>
      <c r="AO35" s="339" t="n"/>
      <c r="AP35" s="339" t="n"/>
      <c r="AQ35" s="339" t="n"/>
      <c r="AR35" s="339" t="n"/>
      <c r="AS35" s="339" t="n"/>
      <c r="AT35" s="339" t="n"/>
      <c r="AU35" s="339" t="n"/>
      <c r="AV35" s="339" t="n"/>
      <c r="AW35" s="339" t="n"/>
      <c r="AX35" s="430" t="n"/>
      <c r="AZ35" s="336" t="n"/>
      <c r="BA35" s="336" t="n"/>
      <c r="BC35" s="336" t="n"/>
      <c r="BD35" s="336" t="n"/>
      <c r="BE35" s="336" t="n"/>
      <c r="BF35" s="336" t="n"/>
      <c r="BG35" s="336" t="n"/>
      <c r="BH35" s="336" t="n"/>
      <c r="BJ35" s="336" t="n"/>
      <c r="BK35" s="336" t="n"/>
      <c r="BM35" s="336" t="n"/>
      <c r="BN35" s="336" t="n"/>
      <c r="BP35" s="336" t="n"/>
      <c r="BQ35" s="336" t="n"/>
      <c r="BT35" s="336" t="n"/>
      <c r="BU35" s="336" t="n"/>
      <c r="BV35" s="336" t="n"/>
      <c r="BX35" s="336" t="n"/>
      <c r="BY35" s="336" t="n"/>
      <c r="BZ35" s="336" t="n"/>
      <c r="CB35" s="336" t="n"/>
      <c r="CC35" s="336" t="n"/>
      <c r="CD35" s="336" t="n"/>
    </row>
    <row r="36" customFormat="1" s="538">
      <c r="A36" s="349" t="n"/>
      <c r="B36" s="350" t="n"/>
      <c r="C36" s="353" t="n"/>
      <c r="D36" s="333" t="n"/>
      <c r="E36" s="332" t="n"/>
      <c r="F36" s="336" t="n"/>
      <c r="G36" s="336" t="n"/>
      <c r="H36" s="335" t="n"/>
      <c r="I36" s="336" t="n"/>
      <c r="J36" s="336" t="n"/>
      <c r="K36" s="336" t="n"/>
      <c r="L36" s="336" t="n"/>
      <c r="M36" s="336" t="n"/>
      <c r="N36" s="336" t="n"/>
      <c r="O36" s="336" t="n"/>
      <c r="P36" s="430" t="n"/>
      <c r="Q36" s="430" t="n"/>
      <c r="R36" s="430" t="n"/>
      <c r="S36" s="430" t="n"/>
      <c r="T36" s="430" t="n"/>
      <c r="U36" s="430" t="n"/>
      <c r="V36" s="430" t="n"/>
      <c r="W36" s="430" t="n"/>
      <c r="X36" s="430" t="n"/>
      <c r="Y36" s="430" t="n"/>
      <c r="Z36" s="430" t="n"/>
      <c r="AA36" s="430" t="n"/>
      <c r="AB36" s="430" t="n"/>
      <c r="AC36" s="338" t="n"/>
      <c r="AD36" s="338" t="n"/>
      <c r="AE36" s="338" t="n"/>
      <c r="AF36" s="338" t="n"/>
      <c r="AG36" s="339" t="n"/>
      <c r="AH36" s="339" t="n"/>
      <c r="AI36" s="339" t="n"/>
      <c r="AJ36" s="339" t="n"/>
      <c r="AK36" s="339" t="n"/>
      <c r="AL36" s="339" t="n"/>
      <c r="AM36" s="339" t="n"/>
      <c r="AN36" s="339" t="n"/>
      <c r="AO36" s="339" t="n"/>
      <c r="AP36" s="339" t="n"/>
      <c r="AQ36" s="339" t="n"/>
      <c r="AR36" s="339" t="n"/>
      <c r="AS36" s="339" t="n"/>
      <c r="AT36" s="339" t="n"/>
      <c r="AU36" s="339" t="n"/>
      <c r="AV36" s="339" t="n"/>
      <c r="AW36" s="339" t="n"/>
      <c r="AX36" s="430" t="n"/>
      <c r="AY36" s="336" t="n"/>
      <c r="AZ36" s="336" t="n"/>
      <c r="BA36" s="336" t="n"/>
      <c r="BB36" s="336" t="n"/>
      <c r="BC36" s="336" t="n"/>
      <c r="BD36" s="336" t="n"/>
      <c r="BE36" s="336" t="n"/>
      <c r="BF36" s="336" t="n"/>
      <c r="BG36" s="336" t="n"/>
      <c r="BH36" s="336" t="n"/>
      <c r="BI36" s="336" t="n"/>
      <c r="BJ36" s="336" t="n"/>
      <c r="BK36" s="336" t="n"/>
      <c r="BL36" s="336" t="n"/>
      <c r="BM36" s="336" t="n"/>
      <c r="BN36" s="336" t="n"/>
      <c r="BO36" s="336" t="n"/>
      <c r="BP36" s="336" t="n"/>
      <c r="BQ36" s="336" t="n"/>
      <c r="BR36" s="336" t="n"/>
      <c r="BS36" s="336" t="n"/>
      <c r="BT36" s="336" t="n"/>
      <c r="BU36" s="336" t="n"/>
      <c r="BV36" s="336" t="n"/>
      <c r="BW36" s="336" t="n"/>
      <c r="BX36" s="336" t="n"/>
      <c r="BY36" s="336" t="n"/>
      <c r="BZ36" s="336" t="n"/>
      <c r="CA36" s="336" t="n"/>
      <c r="CB36" s="336" t="n"/>
      <c r="CC36" s="336" t="n"/>
      <c r="CD36" s="336" t="n"/>
      <c r="CE36" s="336" t="n"/>
    </row>
    <row r="37" customFormat="1" s="538">
      <c r="A37" s="358" t="n"/>
      <c r="B37" s="358" t="n"/>
      <c r="C37" s="344" t="n"/>
      <c r="D37" s="345" t="n"/>
      <c r="E37" s="346" t="n"/>
      <c r="F37" s="336" t="n"/>
      <c r="G37" s="336" t="n"/>
      <c r="H37" s="336" t="n"/>
      <c r="I37" s="336" t="n"/>
      <c r="J37" s="336" t="n"/>
      <c r="K37" s="336" t="n"/>
      <c r="L37" s="336" t="n"/>
      <c r="M37" s="336" t="n"/>
      <c r="N37" s="336" t="n"/>
      <c r="O37" s="336" t="n"/>
      <c r="P37" s="357" t="n"/>
      <c r="Q37" s="357" t="n"/>
      <c r="R37" s="357" t="n"/>
      <c r="S37" s="357" t="n"/>
      <c r="T37" s="357" t="n"/>
      <c r="U37" s="357" t="n"/>
      <c r="V37" s="357" t="n"/>
      <c r="W37" s="357" t="n"/>
      <c r="X37" s="357" t="n"/>
      <c r="Y37" s="357" t="n"/>
      <c r="Z37" s="357" t="n"/>
      <c r="AA37" s="357" t="n"/>
      <c r="AB37" s="336" t="n"/>
      <c r="AC37" s="338" t="n"/>
      <c r="AD37" s="338" t="n"/>
      <c r="AE37" s="338" t="n"/>
      <c r="AF37" s="338" t="n"/>
      <c r="AG37" s="339" t="n"/>
      <c r="AH37" s="339" t="n"/>
      <c r="AI37" s="339" t="n"/>
      <c r="AJ37" s="339" t="n"/>
      <c r="AK37" s="339" t="n"/>
      <c r="AL37" s="339" t="n"/>
      <c r="AM37" s="339" t="n"/>
      <c r="AN37" s="339" t="n"/>
      <c r="AO37" s="339" t="n"/>
      <c r="AP37" s="339" t="n"/>
      <c r="AQ37" s="339" t="n"/>
      <c r="AR37" s="339" t="n"/>
      <c r="AS37" s="339" t="n"/>
      <c r="AT37" s="339" t="n"/>
      <c r="AU37" s="339" t="n"/>
      <c r="AV37" s="339" t="n"/>
      <c r="AW37" s="339" t="n"/>
      <c r="AX37" s="357" t="n"/>
      <c r="AY37" s="359" t="n"/>
      <c r="AZ37" s="336" t="n"/>
      <c r="BA37" s="336" t="n"/>
      <c r="BB37" s="359" t="n"/>
      <c r="BC37" s="336" t="n"/>
      <c r="BD37" s="336" t="n"/>
      <c r="BE37" s="336" t="n"/>
      <c r="BF37" s="336" t="n"/>
      <c r="BG37" s="336" t="n"/>
      <c r="BH37" s="336" t="n"/>
      <c r="BI37" s="359" t="n"/>
      <c r="BJ37" s="336" t="n"/>
      <c r="BK37" s="336" t="n"/>
      <c r="BL37" s="359" t="n"/>
      <c r="BM37" s="336" t="n"/>
      <c r="BN37" s="336" t="n"/>
      <c r="BO37" s="359" t="n"/>
      <c r="BP37" s="336" t="n"/>
      <c r="BQ37" s="336" t="n"/>
      <c r="BR37" s="359" t="n"/>
      <c r="BS37" s="359" t="n"/>
      <c r="BT37" s="336" t="n"/>
      <c r="BU37" s="336" t="n"/>
      <c r="BV37" s="336" t="n"/>
      <c r="BW37" s="359" t="n"/>
      <c r="BX37" s="336" t="n"/>
      <c r="BY37" s="336" t="n"/>
      <c r="BZ37" s="336" t="n"/>
      <c r="CA37" s="359" t="n"/>
      <c r="CB37" s="336" t="n"/>
      <c r="CC37" s="336" t="n"/>
      <c r="CD37" s="336" t="n"/>
      <c r="CE37" s="359" t="n"/>
      <c r="CF37" s="361" t="n"/>
    </row>
    <row r="38" customFormat="1" s="538">
      <c r="A38" s="350" t="n"/>
      <c r="B38" s="350" t="n"/>
      <c r="C38" s="353" t="n"/>
      <c r="D38" s="333" t="n"/>
      <c r="E38" s="332" t="n"/>
      <c r="F38" s="336" t="n"/>
      <c r="G38" s="336" t="n"/>
      <c r="H38" s="335" t="n"/>
      <c r="I38" s="336" t="n"/>
      <c r="J38" s="336" t="n"/>
      <c r="K38" s="336" t="n"/>
      <c r="L38" s="336" t="n"/>
      <c r="M38" s="336" t="n"/>
      <c r="N38" s="336" t="n"/>
      <c r="O38" s="336" t="n"/>
      <c r="P38" s="430" t="n"/>
      <c r="Q38" s="430" t="n"/>
      <c r="R38" s="430" t="n"/>
      <c r="S38" s="430" t="n"/>
      <c r="T38" s="430" t="n"/>
      <c r="U38" s="430" t="n"/>
      <c r="V38" s="430" t="n"/>
      <c r="W38" s="430" t="n"/>
      <c r="X38" s="430" t="n"/>
      <c r="Y38" s="430" t="n"/>
      <c r="Z38" s="430" t="n"/>
      <c r="AA38" s="430" t="n"/>
      <c r="AB38" s="430" t="n"/>
      <c r="AC38" s="338" t="n"/>
      <c r="AD38" s="338" t="n"/>
      <c r="AE38" s="338" t="n"/>
      <c r="AF38" s="338" t="n"/>
      <c r="AG38" s="339" t="n"/>
      <c r="AH38" s="339" t="n"/>
      <c r="AI38" s="339" t="n"/>
      <c r="AJ38" s="339" t="n"/>
      <c r="AK38" s="339" t="n"/>
      <c r="AL38" s="339" t="n"/>
      <c r="AM38" s="339" t="n"/>
      <c r="AN38" s="339" t="n"/>
      <c r="AO38" s="339" t="n"/>
      <c r="AP38" s="339" t="n"/>
      <c r="AQ38" s="339" t="n"/>
      <c r="AR38" s="339" t="n"/>
      <c r="AS38" s="339" t="n"/>
      <c r="AT38" s="339" t="n"/>
      <c r="AU38" s="339" t="n"/>
      <c r="AV38" s="339" t="n"/>
      <c r="AW38" s="339" t="n"/>
      <c r="AX38" s="430" t="n"/>
      <c r="AY38" s="336" t="n"/>
      <c r="AZ38" s="336" t="n"/>
      <c r="BA38" s="336" t="n"/>
      <c r="BB38" s="336" t="n"/>
      <c r="BC38" s="336" t="n"/>
      <c r="BD38" s="336" t="n"/>
      <c r="BE38" s="336" t="n"/>
      <c r="BF38" s="336" t="n"/>
      <c r="BG38" s="336" t="n"/>
      <c r="BH38" s="336" t="n"/>
      <c r="BI38" s="336" t="n"/>
      <c r="BJ38" s="336" t="n"/>
      <c r="BK38" s="336" t="n"/>
      <c r="BL38" s="336" t="n"/>
      <c r="BM38" s="336" t="n"/>
      <c r="BN38" s="336" t="n"/>
      <c r="BO38" s="336" t="n"/>
      <c r="BP38" s="336" t="n"/>
      <c r="BQ38" s="336" t="n"/>
      <c r="BR38" s="336" t="n"/>
      <c r="BS38" s="336" t="n"/>
      <c r="BT38" s="336" t="n"/>
      <c r="BU38" s="336" t="n"/>
      <c r="BV38" s="336" t="n"/>
      <c r="BW38" s="336" t="n"/>
      <c r="BX38" s="336" t="n"/>
      <c r="BY38" s="336" t="n"/>
      <c r="BZ38" s="336" t="n"/>
      <c r="CA38" s="336" t="n"/>
      <c r="CB38" s="336" t="n"/>
      <c r="CC38" s="336" t="n"/>
      <c r="CD38" s="336" t="n"/>
      <c r="CE38" s="336" t="n"/>
    </row>
    <row r="39" customFormat="1" s="538">
      <c r="A39" s="350" t="n"/>
      <c r="B39" s="350" t="n"/>
      <c r="C39" s="353" t="n"/>
      <c r="D39" s="333" t="n"/>
      <c r="E39" s="332" t="n"/>
      <c r="F39" s="336" t="n"/>
      <c r="G39" s="336" t="n"/>
      <c r="H39" s="335" t="n"/>
      <c r="I39" s="336" t="n"/>
      <c r="J39" s="336" t="n"/>
      <c r="K39" s="336" t="n"/>
      <c r="L39" s="336" t="n"/>
      <c r="M39" s="336" t="n"/>
      <c r="N39" s="336" t="n"/>
      <c r="O39" s="336" t="n"/>
      <c r="P39" s="430" t="n"/>
      <c r="Q39" s="430" t="n"/>
      <c r="R39" s="430" t="n"/>
      <c r="S39" s="430" t="n"/>
      <c r="T39" s="430" t="n"/>
      <c r="U39" s="430" t="n"/>
      <c r="V39" s="430" t="n"/>
      <c r="W39" s="430" t="n"/>
      <c r="X39" s="430" t="n"/>
      <c r="Y39" s="430" t="n"/>
      <c r="Z39" s="430" t="n"/>
      <c r="AA39" s="430" t="n"/>
      <c r="AB39" s="430" t="n"/>
      <c r="AC39" s="336" t="n"/>
      <c r="AD39" s="336" t="n"/>
      <c r="AE39" s="336" t="n"/>
      <c r="AF39" s="336" t="n"/>
      <c r="AG39" s="339" t="n"/>
      <c r="AH39" s="339" t="n"/>
      <c r="AI39" s="339" t="n"/>
      <c r="AJ39" s="339" t="n"/>
      <c r="AK39" s="339" t="n"/>
      <c r="AL39" s="339" t="n"/>
      <c r="AM39" s="339" t="n"/>
      <c r="AN39" s="339" t="n"/>
      <c r="AO39" s="339" t="n"/>
      <c r="AP39" s="339" t="n"/>
      <c r="AQ39" s="339" t="n"/>
      <c r="AR39" s="339" t="n"/>
      <c r="AS39" s="339" t="n"/>
      <c r="AT39" s="336" t="n"/>
      <c r="AU39" s="336" t="n"/>
      <c r="AV39" s="336" t="n"/>
      <c r="AW39" s="336" t="n"/>
      <c r="AX39" s="430" t="n"/>
      <c r="AY39" s="336" t="n"/>
      <c r="AZ39" s="336" t="n"/>
      <c r="BA39" s="336" t="n"/>
      <c r="BB39" s="336" t="n"/>
      <c r="BC39" s="336" t="n"/>
      <c r="BD39" s="336" t="n"/>
      <c r="BE39" s="336" t="n"/>
      <c r="BF39" s="336" t="n"/>
      <c r="BG39" s="336" t="n"/>
      <c r="BH39" s="336" t="n"/>
      <c r="BI39" s="336" t="n"/>
      <c r="BJ39" s="336" t="n"/>
      <c r="BK39" s="336" t="n"/>
      <c r="BL39" s="336" t="n"/>
      <c r="BM39" s="336" t="n"/>
      <c r="BN39" s="336" t="n"/>
      <c r="BO39" s="336" t="n"/>
      <c r="BP39" s="336" t="n"/>
      <c r="BQ39" s="336" t="n"/>
      <c r="BR39" s="336" t="n"/>
      <c r="BS39" s="336" t="n"/>
      <c r="BT39" s="336" t="n"/>
      <c r="BU39" s="336" t="n"/>
      <c r="BV39" s="336" t="n"/>
      <c r="BW39" s="336" t="n"/>
      <c r="BX39" s="336" t="n"/>
      <c r="BY39" s="336" t="n"/>
      <c r="BZ39" s="336" t="n"/>
      <c r="CA39" s="336" t="n"/>
      <c r="CB39" s="336" t="n"/>
      <c r="CC39" s="336" t="n"/>
      <c r="CD39" s="336" t="n"/>
      <c r="CE39" s="336" t="n"/>
    </row>
    <row r="40" customFormat="1" s="538">
      <c r="A40" s="350" t="n"/>
      <c r="B40" s="350" t="n"/>
      <c r="C40" s="353" t="n"/>
      <c r="D40" s="333" t="n"/>
      <c r="E40" s="332" t="n"/>
      <c r="F40" s="336" t="n"/>
      <c r="G40" s="336" t="n"/>
      <c r="H40" s="335" t="n"/>
      <c r="I40" s="336" t="n"/>
      <c r="J40" s="336" t="n"/>
      <c r="K40" s="336" t="n"/>
      <c r="L40" s="336" t="n"/>
      <c r="M40" s="336" t="n"/>
      <c r="N40" s="336" t="n"/>
      <c r="O40" s="336" t="n"/>
      <c r="P40" s="430" t="n"/>
      <c r="Q40" s="430" t="n"/>
      <c r="R40" s="430" t="n"/>
      <c r="S40" s="430" t="n"/>
      <c r="T40" s="430" t="n"/>
      <c r="U40" s="430" t="n"/>
      <c r="V40" s="430" t="n"/>
      <c r="W40" s="430" t="n"/>
      <c r="X40" s="430" t="n"/>
      <c r="Y40" s="430" t="n"/>
      <c r="Z40" s="430" t="n"/>
      <c r="AA40" s="430" t="n"/>
      <c r="AB40" s="430" t="n"/>
      <c r="AC40" s="338" t="n"/>
      <c r="AD40" s="338" t="n"/>
      <c r="AE40" s="338" t="n"/>
      <c r="AF40" s="338" t="n"/>
      <c r="AG40" s="339" t="n"/>
      <c r="AH40" s="339" t="n"/>
      <c r="AI40" s="339" t="n"/>
      <c r="AJ40" s="339" t="n"/>
      <c r="AK40" s="339" t="n"/>
      <c r="AL40" s="339" t="n"/>
      <c r="AM40" s="339" t="n"/>
      <c r="AN40" s="339" t="n"/>
      <c r="AO40" s="339" t="n"/>
      <c r="AP40" s="339" t="n"/>
      <c r="AQ40" s="339" t="n"/>
      <c r="AR40" s="339" t="n"/>
      <c r="AS40" s="339" t="n"/>
      <c r="AT40" s="339" t="n"/>
      <c r="AU40" s="339" t="n"/>
      <c r="AV40" s="339" t="n"/>
      <c r="AW40" s="339" t="n"/>
      <c r="AX40" s="430" t="n"/>
      <c r="AY40" s="336" t="n"/>
      <c r="AZ40" s="336" t="n"/>
      <c r="BA40" s="336" t="n"/>
      <c r="BB40" s="336" t="n"/>
      <c r="BC40" s="336" t="n"/>
      <c r="BD40" s="336" t="n"/>
      <c r="BE40" s="336" t="n"/>
      <c r="BF40" s="336" t="n"/>
      <c r="BG40" s="336" t="n"/>
      <c r="BH40" s="336" t="n"/>
      <c r="BI40" s="336" t="n"/>
      <c r="BJ40" s="336" t="n"/>
      <c r="BK40" s="336" t="n"/>
      <c r="BL40" s="336" t="n"/>
      <c r="BM40" s="336" t="n"/>
      <c r="BN40" s="336" t="n"/>
      <c r="BO40" s="336" t="n"/>
      <c r="BP40" s="336" t="n"/>
      <c r="BQ40" s="336" t="n"/>
      <c r="BR40" s="336" t="n"/>
      <c r="BS40" s="336" t="n"/>
      <c r="BT40" s="336" t="n"/>
      <c r="BU40" s="336" t="n"/>
      <c r="BV40" s="336" t="n"/>
      <c r="BW40" s="336" t="n"/>
      <c r="BX40" s="336" t="n"/>
      <c r="BY40" s="336" t="n"/>
      <c r="BZ40" s="336" t="n"/>
      <c r="CA40" s="336" t="n"/>
      <c r="CB40" s="336" t="n"/>
      <c r="CC40" s="336" t="n"/>
      <c r="CD40" s="336" t="n"/>
      <c r="CE40" s="336" t="n"/>
    </row>
    <row r="41" customFormat="1" s="538">
      <c r="A41" s="350" t="n"/>
      <c r="B41" s="350" t="n"/>
      <c r="C41" s="353" t="n"/>
      <c r="D41" s="333" t="n"/>
      <c r="E41" s="332" t="n"/>
      <c r="F41" s="336" t="n"/>
      <c r="G41" s="336" t="n"/>
      <c r="H41" s="335" t="n"/>
      <c r="I41" s="336" t="n"/>
      <c r="J41" s="336" t="n"/>
      <c r="K41" s="336" t="n"/>
      <c r="L41" s="336" t="n"/>
      <c r="M41" s="336" t="n"/>
      <c r="N41" s="336" t="n"/>
      <c r="O41" s="336" t="n"/>
      <c r="P41" s="430" t="n"/>
      <c r="Q41" s="430" t="n"/>
      <c r="R41" s="430" t="n"/>
      <c r="S41" s="430" t="n"/>
      <c r="T41" s="430" t="n"/>
      <c r="U41" s="430" t="n"/>
      <c r="V41" s="430" t="n"/>
      <c r="W41" s="430" t="n"/>
      <c r="X41" s="430" t="n"/>
      <c r="Y41" s="430" t="n"/>
      <c r="Z41" s="430" t="n"/>
      <c r="AA41" s="430" t="n"/>
      <c r="AB41" s="430" t="n"/>
      <c r="AC41" s="338" t="n"/>
      <c r="AD41" s="338" t="n"/>
      <c r="AE41" s="338" t="n"/>
      <c r="AF41" s="338" t="n"/>
      <c r="AG41" s="339" t="n"/>
      <c r="AH41" s="339" t="n"/>
      <c r="AI41" s="339" t="n"/>
      <c r="AJ41" s="339" t="n"/>
      <c r="AK41" s="339" t="n"/>
      <c r="AL41" s="339" t="n"/>
      <c r="AM41" s="339" t="n"/>
      <c r="AN41" s="339" t="n"/>
      <c r="AO41" s="339" t="n"/>
      <c r="AP41" s="339" t="n"/>
      <c r="AQ41" s="339" t="n"/>
      <c r="AR41" s="339" t="n"/>
      <c r="AS41" s="339" t="n"/>
      <c r="AT41" s="339" t="n"/>
      <c r="AU41" s="339" t="n"/>
      <c r="AV41" s="339" t="n"/>
      <c r="AW41" s="339" t="n"/>
      <c r="AX41" s="430" t="n"/>
      <c r="AY41" s="336" t="n"/>
      <c r="AZ41" s="336" t="n"/>
      <c r="BA41" s="336" t="n"/>
      <c r="BB41" s="336" t="n"/>
      <c r="BC41" s="336" t="n"/>
      <c r="BD41" s="336" t="n"/>
      <c r="BE41" s="336" t="n"/>
      <c r="BF41" s="336" t="n"/>
      <c r="BG41" s="336" t="n"/>
      <c r="BH41" s="336" t="n"/>
      <c r="BI41" s="336" t="n"/>
      <c r="BJ41" s="336" t="n"/>
      <c r="BK41" s="336" t="n"/>
      <c r="BL41" s="336" t="n"/>
      <c r="BM41" s="336" t="n"/>
      <c r="BN41" s="336" t="n"/>
      <c r="BO41" s="336" t="n"/>
      <c r="BP41" s="336" t="n"/>
      <c r="BQ41" s="336" t="n"/>
      <c r="BR41" s="336" t="n"/>
      <c r="BS41" s="336" t="n"/>
      <c r="BT41" s="336" t="n"/>
      <c r="BU41" s="336" t="n"/>
      <c r="BV41" s="336" t="n"/>
      <c r="BW41" s="336" t="n"/>
      <c r="BX41" s="336" t="n"/>
      <c r="BY41" s="336" t="n"/>
      <c r="BZ41" s="336" t="n"/>
      <c r="CA41" s="336" t="n"/>
      <c r="CB41" s="336" t="n"/>
      <c r="CC41" s="336" t="n"/>
      <c r="CD41" s="336" t="n"/>
      <c r="CE41" s="336" t="n"/>
    </row>
    <row r="42" customFormat="1" s="538">
      <c r="A42" s="342" t="n"/>
      <c r="B42" s="358" t="n"/>
      <c r="C42" s="344" t="n"/>
      <c r="D42" s="345" t="n"/>
      <c r="E42" s="346" t="n"/>
      <c r="F42" s="336" t="n"/>
      <c r="G42" s="336" t="n"/>
      <c r="H42" s="336" t="n"/>
      <c r="I42" s="336" t="n"/>
      <c r="J42" s="336" t="n"/>
      <c r="K42" s="336" t="n"/>
      <c r="L42" s="336" t="n"/>
      <c r="M42" s="336" t="n"/>
      <c r="N42" s="336" t="n"/>
      <c r="O42" s="336" t="n"/>
      <c r="P42" s="357" t="n"/>
      <c r="Q42" s="357" t="n"/>
      <c r="R42" s="357" t="n"/>
      <c r="S42" s="357" t="n"/>
      <c r="T42" s="357" t="n"/>
      <c r="U42" s="357" t="n"/>
      <c r="V42" s="357" t="n"/>
      <c r="W42" s="357" t="n"/>
      <c r="X42" s="357" t="n"/>
      <c r="Y42" s="357" t="n"/>
      <c r="Z42" s="357" t="n"/>
      <c r="AA42" s="357" t="n"/>
      <c r="AB42" s="336" t="n"/>
      <c r="AC42" s="338" t="n"/>
      <c r="AD42" s="338" t="n"/>
      <c r="AE42" s="338" t="n"/>
      <c r="AF42" s="338" t="n"/>
      <c r="AG42" s="339" t="n"/>
      <c r="AH42" s="339" t="n"/>
      <c r="AI42" s="339" t="n"/>
      <c r="AJ42" s="339" t="n"/>
      <c r="AK42" s="339" t="n"/>
      <c r="AL42" s="339" t="n"/>
      <c r="AM42" s="339" t="n"/>
      <c r="AN42" s="339" t="n"/>
      <c r="AO42" s="339" t="n"/>
      <c r="AP42" s="339" t="n"/>
      <c r="AQ42" s="339" t="n"/>
      <c r="AR42" s="339" t="n"/>
      <c r="AS42" s="339" t="n"/>
      <c r="AT42" s="339" t="n"/>
      <c r="AU42" s="339" t="n"/>
      <c r="AV42" s="339" t="n"/>
      <c r="AW42" s="339" t="n"/>
      <c r="AX42" s="357" t="n"/>
      <c r="AY42" s="336" t="n"/>
      <c r="AZ42" s="336" t="n"/>
      <c r="BA42" s="336" t="n"/>
      <c r="BB42" s="336" t="n"/>
      <c r="BC42" s="336" t="n"/>
      <c r="BD42" s="336" t="n"/>
      <c r="BE42" s="336" t="n"/>
      <c r="BF42" s="336" t="n"/>
      <c r="BG42" s="336" t="n"/>
      <c r="BH42" s="336" t="n"/>
      <c r="BI42" s="336" t="n"/>
      <c r="BJ42" s="336" t="n"/>
      <c r="BK42" s="336" t="n"/>
      <c r="BL42" s="336" t="n"/>
      <c r="BM42" s="336" t="n"/>
      <c r="BN42" s="336" t="n"/>
      <c r="BO42" s="336" t="n"/>
      <c r="BP42" s="336" t="n"/>
      <c r="BQ42" s="336" t="n"/>
      <c r="BR42" s="336" t="n"/>
      <c r="BS42" s="336" t="n"/>
      <c r="BT42" s="336" t="n"/>
      <c r="BU42" s="336" t="n"/>
      <c r="BV42" s="336" t="n"/>
      <c r="BW42" s="336" t="n"/>
      <c r="BX42" s="336" t="n"/>
      <c r="BY42" s="336" t="n"/>
      <c r="BZ42" s="336" t="n"/>
      <c r="CA42" s="336" t="n"/>
      <c r="CB42" s="336" t="n"/>
      <c r="CC42" s="336" t="n"/>
      <c r="CD42" s="336" t="n"/>
      <c r="CE42" s="336" t="n"/>
      <c r="CF42" s="361" t="n"/>
    </row>
    <row r="43" customFormat="1" s="538">
      <c r="A43" s="349" t="n"/>
      <c r="B43" s="350" t="n"/>
      <c r="C43" s="353" t="n"/>
      <c r="D43" s="333" t="n"/>
      <c r="E43" s="332" t="n"/>
      <c r="F43" s="336" t="n"/>
      <c r="G43" s="336" t="n"/>
      <c r="H43" s="335" t="n"/>
      <c r="I43" s="336" t="n"/>
      <c r="J43" s="336" t="n"/>
      <c r="K43" s="336" t="n"/>
      <c r="L43" s="336" t="n"/>
      <c r="M43" s="336" t="n"/>
      <c r="N43" s="336" t="n"/>
      <c r="O43" s="336" t="n"/>
      <c r="P43" s="430" t="n"/>
      <c r="Q43" s="430" t="n"/>
      <c r="R43" s="430" t="n"/>
      <c r="S43" s="430" t="n"/>
      <c r="T43" s="430" t="n"/>
      <c r="U43" s="430" t="n"/>
      <c r="V43" s="430" t="n"/>
      <c r="W43" s="430" t="n"/>
      <c r="X43" s="430" t="n"/>
      <c r="Y43" s="430" t="n"/>
      <c r="Z43" s="430" t="n"/>
      <c r="AA43" s="430" t="n"/>
      <c r="AB43" s="430" t="n"/>
      <c r="AC43" s="338" t="n"/>
      <c r="AD43" s="338" t="n"/>
      <c r="AE43" s="338" t="n"/>
      <c r="AF43" s="338" t="n"/>
      <c r="AG43" s="339" t="n"/>
      <c r="AH43" s="339" t="n"/>
      <c r="AI43" s="339" t="n"/>
      <c r="AJ43" s="339" t="n"/>
      <c r="AK43" s="339" t="n"/>
      <c r="AL43" s="339" t="n"/>
      <c r="AM43" s="339" t="n"/>
      <c r="AN43" s="339" t="n"/>
      <c r="AO43" s="339" t="n"/>
      <c r="AP43" s="339" t="n"/>
      <c r="AQ43" s="339" t="n"/>
      <c r="AR43" s="339" t="n"/>
      <c r="AS43" s="339" t="n"/>
      <c r="AT43" s="339" t="n"/>
      <c r="AU43" s="339" t="n"/>
      <c r="AV43" s="339" t="n"/>
      <c r="AW43" s="339" t="n"/>
      <c r="AX43" s="430" t="n"/>
      <c r="AY43" s="336" t="n"/>
      <c r="AZ43" s="336" t="n"/>
      <c r="BA43" s="336" t="n"/>
      <c r="BB43" s="336" t="n"/>
      <c r="BC43" s="336" t="n"/>
      <c r="BD43" s="336" t="n"/>
      <c r="BE43" s="336" t="n"/>
      <c r="BF43" s="336" t="n"/>
      <c r="BG43" s="336" t="n"/>
      <c r="BH43" s="336" t="n"/>
      <c r="BI43" s="336" t="n"/>
      <c r="BJ43" s="336" t="n"/>
      <c r="BK43" s="336" t="n"/>
      <c r="BL43" s="336" t="n"/>
      <c r="BM43" s="336" t="n"/>
      <c r="BN43" s="336" t="n"/>
      <c r="BO43" s="336" t="n"/>
      <c r="BP43" s="336" t="n"/>
      <c r="BQ43" s="336" t="n"/>
      <c r="BR43" s="336" t="n"/>
      <c r="BS43" s="336" t="n"/>
      <c r="BT43" s="336" t="n"/>
      <c r="BU43" s="336" t="n"/>
      <c r="BV43" s="336" t="n"/>
      <c r="BW43" s="336" t="n"/>
      <c r="BX43" s="336" t="n"/>
      <c r="BY43" s="336" t="n"/>
      <c r="BZ43" s="336" t="n"/>
      <c r="CA43" s="336" t="n"/>
      <c r="CB43" s="336" t="n"/>
      <c r="CC43" s="336" t="n"/>
      <c r="CD43" s="336" t="n"/>
      <c r="CE43" s="336" t="n"/>
    </row>
    <row r="44" customFormat="1" s="538">
      <c r="A44" s="349" t="n"/>
      <c r="B44" s="350" t="n"/>
      <c r="C44" s="353" t="n"/>
      <c r="D44" s="333" t="n"/>
      <c r="E44" s="332" t="n"/>
      <c r="F44" s="336" t="n"/>
      <c r="G44" s="336" t="n"/>
      <c r="H44" s="335" t="n"/>
      <c r="I44" s="336" t="n"/>
      <c r="J44" s="336" t="n"/>
      <c r="K44" s="336" t="n"/>
      <c r="L44" s="336" t="n"/>
      <c r="M44" s="336" t="n"/>
      <c r="N44" s="336" t="n"/>
      <c r="O44" s="336" t="n"/>
      <c r="P44" s="430" t="n"/>
      <c r="Q44" s="430" t="n"/>
      <c r="R44" s="430" t="n"/>
      <c r="S44" s="430" t="n"/>
      <c r="T44" s="430" t="n"/>
      <c r="U44" s="430" t="n"/>
      <c r="V44" s="430" t="n"/>
      <c r="W44" s="430" t="n"/>
      <c r="X44" s="430" t="n"/>
      <c r="Y44" s="430" t="n"/>
      <c r="Z44" s="430" t="n"/>
      <c r="AA44" s="430" t="n"/>
      <c r="AB44" s="430" t="n"/>
      <c r="AC44" s="357" t="n"/>
      <c r="AD44" s="357" t="n"/>
      <c r="AE44" s="357" t="n"/>
      <c r="AF44" s="357" t="n"/>
      <c r="AG44" s="339" t="n"/>
      <c r="AH44" s="339" t="n"/>
      <c r="AI44" s="339" t="n"/>
      <c r="AJ44" s="339" t="n"/>
      <c r="AK44" s="339" t="n"/>
      <c r="AL44" s="339" t="n"/>
      <c r="AM44" s="339" t="n"/>
      <c r="AN44" s="339" t="n"/>
      <c r="AO44" s="339" t="n"/>
      <c r="AP44" s="339" t="n"/>
      <c r="AQ44" s="339" t="n"/>
      <c r="AR44" s="339" t="n"/>
      <c r="AS44" s="339" t="n"/>
      <c r="AT44" s="357" t="n"/>
      <c r="AU44" s="357" t="n"/>
      <c r="AV44" s="357" t="n"/>
      <c r="AW44" s="357" t="n"/>
      <c r="AX44" s="430" t="n"/>
      <c r="AY44" s="336" t="n"/>
      <c r="AZ44" s="336" t="n"/>
      <c r="BA44" s="336" t="n"/>
      <c r="BB44" s="336" t="n"/>
      <c r="BC44" s="336" t="n"/>
      <c r="BD44" s="336" t="n"/>
      <c r="BE44" s="336" t="n"/>
      <c r="BF44" s="336" t="n"/>
      <c r="BG44" s="336" t="n"/>
      <c r="BH44" s="336" t="n"/>
      <c r="BI44" s="336" t="n"/>
      <c r="BJ44" s="336" t="n"/>
      <c r="BK44" s="336" t="n"/>
      <c r="BL44" s="336" t="n"/>
      <c r="BM44" s="336" t="n"/>
      <c r="BN44" s="336" t="n"/>
      <c r="BO44" s="336" t="n"/>
      <c r="BP44" s="336" t="n"/>
      <c r="BQ44" s="336" t="n"/>
      <c r="BR44" s="336" t="n"/>
      <c r="BS44" s="336" t="n"/>
      <c r="BT44" s="336" t="n"/>
      <c r="BU44" s="336" t="n"/>
      <c r="BV44" s="336" t="n"/>
      <c r="BW44" s="336" t="n"/>
      <c r="BX44" s="336" t="n"/>
      <c r="BY44" s="336" t="n"/>
      <c r="BZ44" s="336" t="n"/>
      <c r="CA44" s="336" t="n"/>
      <c r="CB44" s="336" t="n"/>
      <c r="CC44" s="336" t="n"/>
      <c r="CD44" s="336" t="n"/>
      <c r="CE44" s="336" t="n"/>
    </row>
    <row r="45" customFormat="1" s="538">
      <c r="A45" s="349" t="n"/>
      <c r="B45" s="350" t="n"/>
      <c r="C45" s="353" t="n"/>
      <c r="D45" s="333" t="n"/>
      <c r="E45" s="332" t="n"/>
      <c r="F45" s="336" t="n"/>
      <c r="G45" s="336" t="n"/>
      <c r="H45" s="335" t="n"/>
      <c r="I45" s="336" t="n"/>
      <c r="J45" s="336" t="n"/>
      <c r="K45" s="336" t="n"/>
      <c r="L45" s="336" t="n"/>
      <c r="M45" s="336" t="n"/>
      <c r="N45" s="336" t="n"/>
      <c r="O45" s="336" t="n"/>
      <c r="P45" s="430" t="n"/>
      <c r="Q45" s="430" t="n"/>
      <c r="R45" s="430" t="n"/>
      <c r="S45" s="430" t="n"/>
      <c r="T45" s="430" t="n"/>
      <c r="U45" s="430" t="n"/>
      <c r="V45" s="430" t="n"/>
      <c r="W45" s="430" t="n"/>
      <c r="X45" s="430" t="n"/>
      <c r="Y45" s="430" t="n"/>
      <c r="Z45" s="430" t="n"/>
      <c r="AA45" s="430" t="n"/>
      <c r="AB45" s="430" t="n"/>
      <c r="AC45" s="338" t="n"/>
      <c r="AD45" s="338" t="n"/>
      <c r="AE45" s="338" t="n"/>
      <c r="AF45" s="338" t="n"/>
      <c r="AG45" s="339" t="n"/>
      <c r="AH45" s="339" t="n"/>
      <c r="AI45" s="339" t="n"/>
      <c r="AJ45" s="339" t="n"/>
      <c r="AK45" s="339" t="n"/>
      <c r="AL45" s="339" t="n"/>
      <c r="AM45" s="339" t="n"/>
      <c r="AN45" s="339" t="n"/>
      <c r="AO45" s="339" t="n"/>
      <c r="AP45" s="339" t="n"/>
      <c r="AQ45" s="339" t="n"/>
      <c r="AR45" s="339" t="n"/>
      <c r="AS45" s="339" t="n"/>
      <c r="AT45" s="339" t="n"/>
      <c r="AU45" s="339" t="n"/>
      <c r="AV45" s="339" t="n"/>
      <c r="AW45" s="339" t="n"/>
      <c r="AX45" s="430" t="n"/>
      <c r="AY45" s="336" t="n"/>
      <c r="AZ45" s="336" t="n"/>
      <c r="BA45" s="336" t="n"/>
      <c r="BB45" s="336" t="n"/>
      <c r="BC45" s="336" t="n"/>
      <c r="BD45" s="336" t="n"/>
      <c r="BE45" s="336" t="n"/>
      <c r="BF45" s="336" t="n"/>
      <c r="BG45" s="336" t="n"/>
      <c r="BH45" s="336" t="n"/>
      <c r="BI45" s="336" t="n"/>
      <c r="BJ45" s="336" t="n"/>
      <c r="BK45" s="336" t="n"/>
      <c r="BL45" s="336" t="n"/>
      <c r="BM45" s="336" t="n"/>
      <c r="BN45" s="336" t="n"/>
      <c r="BO45" s="336" t="n"/>
      <c r="BP45" s="336" t="n"/>
      <c r="BQ45" s="336" t="n"/>
      <c r="BR45" s="336" t="n"/>
      <c r="BS45" s="336" t="n"/>
      <c r="BT45" s="336" t="n"/>
      <c r="BU45" s="336" t="n"/>
      <c r="BV45" s="336" t="n"/>
      <c r="BW45" s="336" t="n"/>
      <c r="BX45" s="336" t="n"/>
      <c r="BY45" s="336" t="n"/>
      <c r="BZ45" s="336" t="n"/>
      <c r="CA45" s="336" t="n"/>
      <c r="CB45" s="336" t="n"/>
      <c r="CC45" s="336" t="n"/>
      <c r="CD45" s="336" t="n"/>
      <c r="CE45" s="336" t="n"/>
    </row>
    <row r="46" customFormat="1" s="538">
      <c r="A46" s="349" t="n"/>
      <c r="B46" s="350" t="n"/>
      <c r="C46" s="353" t="n"/>
      <c r="D46" s="333" t="n"/>
      <c r="E46" s="332" t="n"/>
      <c r="F46" s="336" t="n"/>
      <c r="G46" s="336" t="n"/>
      <c r="H46" s="335" t="n"/>
      <c r="I46" s="336" t="n"/>
      <c r="J46" s="336" t="n"/>
      <c r="K46" s="336" t="n"/>
      <c r="L46" s="336" t="n"/>
      <c r="M46" s="336" t="n"/>
      <c r="N46" s="336" t="n"/>
      <c r="O46" s="336" t="n"/>
      <c r="P46" s="430" t="n"/>
      <c r="Q46" s="430" t="n"/>
      <c r="R46" s="430" t="n"/>
      <c r="S46" s="430" t="n"/>
      <c r="T46" s="430" t="n"/>
      <c r="U46" s="430" t="n"/>
      <c r="V46" s="430" t="n"/>
      <c r="W46" s="430" t="n"/>
      <c r="X46" s="430" t="n"/>
      <c r="Y46" s="430" t="n"/>
      <c r="Z46" s="430" t="n"/>
      <c r="AA46" s="430" t="n"/>
      <c r="AB46" s="430" t="n"/>
      <c r="AC46" s="338" t="n"/>
      <c r="AD46" s="338" t="n"/>
      <c r="AE46" s="338" t="n"/>
      <c r="AF46" s="338" t="n"/>
      <c r="AG46" s="339" t="n"/>
      <c r="AH46" s="339" t="n"/>
      <c r="AI46" s="339" t="n"/>
      <c r="AJ46" s="339" t="n"/>
      <c r="AK46" s="339" t="n"/>
      <c r="AL46" s="339" t="n"/>
      <c r="AM46" s="339" t="n"/>
      <c r="AN46" s="339" t="n"/>
      <c r="AO46" s="339" t="n"/>
      <c r="AP46" s="339" t="n"/>
      <c r="AQ46" s="339" t="n"/>
      <c r="AR46" s="339" t="n"/>
      <c r="AS46" s="339" t="n"/>
      <c r="AT46" s="339" t="n"/>
      <c r="AU46" s="339" t="n"/>
      <c r="AV46" s="339" t="n"/>
      <c r="AW46" s="339" t="n"/>
      <c r="AX46" s="430" t="n"/>
      <c r="AY46" s="336" t="n"/>
      <c r="AZ46" s="336" t="n"/>
      <c r="BA46" s="336" t="n"/>
      <c r="BB46" s="336" t="n"/>
      <c r="BC46" s="336" t="n"/>
      <c r="BD46" s="336" t="n"/>
      <c r="BE46" s="336" t="n"/>
      <c r="BF46" s="336" t="n"/>
      <c r="BG46" s="336" t="n"/>
      <c r="BH46" s="336" t="n"/>
      <c r="BI46" s="336" t="n"/>
      <c r="BJ46" s="336" t="n"/>
      <c r="BK46" s="336" t="n"/>
      <c r="BL46" s="336" t="n"/>
      <c r="BM46" s="336" t="n"/>
      <c r="BN46" s="336" t="n"/>
      <c r="BO46" s="336" t="n"/>
      <c r="BP46" s="336" t="n"/>
      <c r="BQ46" s="336" t="n"/>
      <c r="BR46" s="336" t="n"/>
      <c r="BS46" s="336" t="n"/>
      <c r="BT46" s="336" t="n"/>
      <c r="BU46" s="336" t="n"/>
      <c r="BV46" s="336" t="n"/>
      <c r="BW46" s="336" t="n"/>
      <c r="BX46" s="336" t="n"/>
      <c r="BY46" s="336" t="n"/>
      <c r="BZ46" s="336" t="n"/>
      <c r="CA46" s="336" t="n"/>
      <c r="CB46" s="336" t="n"/>
      <c r="CC46" s="336" t="n"/>
      <c r="CD46" s="336" t="n"/>
      <c r="CE46" s="336" t="n"/>
    </row>
    <row r="47" customFormat="1" s="538">
      <c r="A47" s="349" t="n"/>
      <c r="B47" s="350" t="n"/>
      <c r="C47" s="353" t="n"/>
      <c r="D47" s="333" t="n"/>
      <c r="E47" s="332" t="n"/>
      <c r="F47" s="336" t="n"/>
      <c r="G47" s="336" t="n"/>
      <c r="H47" s="335" t="n"/>
      <c r="I47" s="336" t="n"/>
      <c r="J47" s="336" t="n"/>
      <c r="K47" s="336" t="n"/>
      <c r="L47" s="336" t="n"/>
      <c r="M47" s="336" t="n"/>
      <c r="N47" s="336" t="n"/>
      <c r="O47" s="336" t="n"/>
      <c r="P47" s="430" t="n"/>
      <c r="Q47" s="430" t="n"/>
      <c r="R47" s="430" t="n"/>
      <c r="S47" s="430" t="n"/>
      <c r="T47" s="430" t="n"/>
      <c r="U47" s="430" t="n"/>
      <c r="V47" s="430" t="n"/>
      <c r="W47" s="430" t="n"/>
      <c r="X47" s="430" t="n"/>
      <c r="Y47" s="430" t="n"/>
      <c r="Z47" s="430" t="n"/>
      <c r="AA47" s="430" t="n"/>
      <c r="AB47" s="430" t="n"/>
      <c r="AC47" s="338" t="n"/>
      <c r="AD47" s="338" t="n"/>
      <c r="AE47" s="338" t="n"/>
      <c r="AF47" s="338" t="n"/>
      <c r="AG47" s="339" t="n"/>
      <c r="AH47" s="339" t="n"/>
      <c r="AI47" s="339" t="n"/>
      <c r="AJ47" s="339" t="n"/>
      <c r="AK47" s="339" t="n"/>
      <c r="AL47" s="339" t="n"/>
      <c r="AM47" s="339" t="n"/>
      <c r="AN47" s="339" t="n"/>
      <c r="AO47" s="339" t="n"/>
      <c r="AP47" s="339" t="n"/>
      <c r="AQ47" s="339" t="n"/>
      <c r="AR47" s="339" t="n"/>
      <c r="AS47" s="339" t="n"/>
      <c r="AT47" s="339" t="n"/>
      <c r="AU47" s="339" t="n"/>
      <c r="AV47" s="339" t="n"/>
      <c r="AW47" s="339" t="n"/>
      <c r="AX47" s="430" t="n"/>
      <c r="AY47" s="336" t="n"/>
      <c r="AZ47" s="336" t="n"/>
      <c r="BA47" s="336" t="n"/>
      <c r="BB47" s="336" t="n"/>
      <c r="BC47" s="336" t="n"/>
      <c r="BD47" s="336" t="n"/>
      <c r="BE47" s="336" t="n"/>
      <c r="BF47" s="336" t="n"/>
      <c r="BG47" s="336" t="n"/>
      <c r="BH47" s="336" t="n"/>
      <c r="BI47" s="336" t="n"/>
      <c r="BJ47" s="336" t="n"/>
      <c r="BK47" s="336" t="n"/>
      <c r="BL47" s="336" t="n"/>
      <c r="BM47" s="336" t="n"/>
      <c r="BN47" s="336" t="n"/>
      <c r="BO47" s="336" t="n"/>
      <c r="BP47" s="336" t="n"/>
      <c r="BQ47" s="336" t="n"/>
      <c r="BR47" s="336" t="n"/>
      <c r="BS47" s="336" t="n"/>
      <c r="BT47" s="336" t="n"/>
      <c r="BU47" s="336" t="n"/>
      <c r="BV47" s="336" t="n"/>
      <c r="BW47" s="336" t="n"/>
      <c r="BX47" s="336" t="n"/>
      <c r="BY47" s="336" t="n"/>
      <c r="BZ47" s="336" t="n"/>
      <c r="CA47" s="336" t="n"/>
      <c r="CB47" s="336" t="n"/>
      <c r="CC47" s="336" t="n"/>
      <c r="CD47" s="336" t="n"/>
      <c r="CE47" s="336" t="n"/>
    </row>
    <row r="48" customFormat="1" s="538">
      <c r="A48" s="358" t="n"/>
      <c r="B48" s="358" t="n"/>
      <c r="C48" s="344" t="n"/>
      <c r="D48" s="345" t="n"/>
      <c r="E48" s="346" t="n"/>
      <c r="F48" s="336" t="n"/>
      <c r="G48" s="336" t="n"/>
      <c r="H48" s="336" t="n"/>
      <c r="I48" s="336" t="n"/>
      <c r="J48" s="336" t="n"/>
      <c r="K48" s="336" t="n"/>
      <c r="L48" s="336" t="n"/>
      <c r="M48" s="336" t="n"/>
      <c r="N48" s="336" t="n"/>
      <c r="O48" s="336" t="n"/>
      <c r="P48" s="357" t="n"/>
      <c r="Q48" s="357" t="n"/>
      <c r="R48" s="357" t="n"/>
      <c r="S48" s="357" t="n"/>
      <c r="T48" s="357" t="n"/>
      <c r="U48" s="357" t="n"/>
      <c r="V48" s="357" t="n"/>
      <c r="W48" s="357" t="n"/>
      <c r="X48" s="357" t="n"/>
      <c r="Y48" s="357" t="n"/>
      <c r="Z48" s="357" t="n"/>
      <c r="AA48" s="357" t="n"/>
      <c r="AB48" s="336" t="n"/>
      <c r="AC48" s="357" t="n"/>
      <c r="AD48" s="357" t="n"/>
      <c r="AE48" s="357" t="n"/>
      <c r="AF48" s="357" t="n"/>
      <c r="AG48" s="339" t="n"/>
      <c r="AH48" s="339" t="n"/>
      <c r="AI48" s="339" t="n"/>
      <c r="AJ48" s="339" t="n"/>
      <c r="AK48" s="339" t="n"/>
      <c r="AL48" s="339" t="n"/>
      <c r="AM48" s="339" t="n"/>
      <c r="AN48" s="339" t="n"/>
      <c r="AO48" s="339" t="n"/>
      <c r="AP48" s="339" t="n"/>
      <c r="AQ48" s="339" t="n"/>
      <c r="AR48" s="339" t="n"/>
      <c r="AS48" s="339" t="n"/>
      <c r="AT48" s="357" t="n"/>
      <c r="AU48" s="357" t="n"/>
      <c r="AV48" s="357" t="n"/>
      <c r="AW48" s="357" t="n"/>
      <c r="AX48" s="357" t="n"/>
      <c r="AY48" s="336" t="n"/>
      <c r="AZ48" s="336" t="n"/>
      <c r="BA48" s="336" t="n"/>
      <c r="BB48" s="336" t="n"/>
      <c r="BC48" s="336" t="n"/>
      <c r="BD48" s="336" t="n"/>
      <c r="BE48" s="336" t="n"/>
      <c r="BF48" s="336" t="n"/>
      <c r="BG48" s="336" t="n"/>
      <c r="BH48" s="336" t="n"/>
      <c r="BI48" s="336" t="n"/>
      <c r="BJ48" s="336" t="n"/>
      <c r="BK48" s="336" t="n"/>
      <c r="BL48" s="336" t="n"/>
      <c r="BM48" s="336" t="n"/>
      <c r="BN48" s="336" t="n"/>
      <c r="BO48" s="336" t="n"/>
      <c r="BP48" s="336" t="n"/>
      <c r="BQ48" s="336" t="n"/>
      <c r="BR48" s="336" t="n"/>
      <c r="BS48" s="336" t="n"/>
      <c r="BT48" s="336" t="n"/>
      <c r="BU48" s="336" t="n"/>
      <c r="BV48" s="336" t="n"/>
      <c r="BW48" s="336" t="n"/>
      <c r="BX48" s="336" t="n"/>
      <c r="BY48" s="336" t="n"/>
      <c r="BZ48" s="336" t="n"/>
      <c r="CA48" s="336" t="n"/>
      <c r="CB48" s="336" t="n"/>
      <c r="CC48" s="336" t="n"/>
      <c r="CD48" s="336" t="n"/>
      <c r="CE48" s="336" t="n"/>
      <c r="CF48" s="361" t="n"/>
    </row>
    <row r="49" customFormat="1" s="538">
      <c r="A49" s="350" t="n"/>
      <c r="B49" s="350" t="n"/>
      <c r="C49" s="353" t="n"/>
      <c r="D49" s="333" t="n"/>
      <c r="E49" s="332" t="n"/>
      <c r="F49" s="336" t="n"/>
      <c r="G49" s="336" t="n"/>
      <c r="H49" s="335" t="n"/>
      <c r="I49" s="336" t="n"/>
      <c r="J49" s="336" t="n"/>
      <c r="K49" s="336" t="n"/>
      <c r="L49" s="336" t="n"/>
      <c r="M49" s="336" t="n"/>
      <c r="N49" s="336" t="n"/>
      <c r="O49" s="336" t="n"/>
      <c r="P49" s="430" t="n"/>
      <c r="Q49" s="430" t="n"/>
      <c r="R49" s="430" t="n"/>
      <c r="S49" s="430" t="n"/>
      <c r="T49" s="430" t="n"/>
      <c r="U49" s="430" t="n"/>
      <c r="V49" s="430" t="n"/>
      <c r="W49" s="430" t="n"/>
      <c r="X49" s="430" t="n"/>
      <c r="Y49" s="430" t="n"/>
      <c r="Z49" s="430" t="n"/>
      <c r="AA49" s="430" t="n"/>
      <c r="AB49" s="430" t="n"/>
      <c r="AC49" s="338" t="n"/>
      <c r="AD49" s="338" t="n"/>
      <c r="AE49" s="338" t="n"/>
      <c r="AF49" s="338" t="n"/>
      <c r="AG49" s="339" t="n"/>
      <c r="AH49" s="339" t="n"/>
      <c r="AI49" s="339" t="n"/>
      <c r="AJ49" s="339" t="n"/>
      <c r="AK49" s="339" t="n"/>
      <c r="AL49" s="339" t="n"/>
      <c r="AM49" s="339" t="n"/>
      <c r="AN49" s="339" t="n"/>
      <c r="AO49" s="339" t="n"/>
      <c r="AP49" s="339" t="n"/>
      <c r="AQ49" s="339" t="n"/>
      <c r="AR49" s="339" t="n"/>
      <c r="AS49" s="339" t="n"/>
      <c r="AT49" s="339" t="n"/>
      <c r="AU49" s="339" t="n"/>
      <c r="AV49" s="339" t="n"/>
      <c r="AW49" s="339" t="n"/>
      <c r="AX49" s="430" t="n"/>
      <c r="AY49" s="336" t="n"/>
      <c r="AZ49" s="336" t="n"/>
      <c r="BA49" s="336" t="n"/>
      <c r="BB49" s="336" t="n"/>
      <c r="BC49" s="336" t="n"/>
      <c r="BD49" s="336" t="n"/>
      <c r="BE49" s="336" t="n"/>
      <c r="BF49" s="336" t="n"/>
      <c r="BG49" s="336" t="n"/>
      <c r="BH49" s="336" t="n"/>
      <c r="BI49" s="336" t="n"/>
      <c r="BJ49" s="336" t="n"/>
      <c r="BK49" s="336" t="n"/>
      <c r="BL49" s="336" t="n"/>
      <c r="BM49" s="336" t="n"/>
      <c r="BN49" s="336" t="n"/>
      <c r="BO49" s="336" t="n"/>
      <c r="BP49" s="336" t="n"/>
      <c r="BQ49" s="336" t="n"/>
      <c r="BR49" s="336" t="n"/>
      <c r="BS49" s="336" t="n"/>
      <c r="BT49" s="336" t="n"/>
      <c r="BU49" s="336" t="n"/>
      <c r="BV49" s="336" t="n"/>
      <c r="BW49" s="336" t="n"/>
      <c r="BX49" s="336" t="n"/>
      <c r="BY49" s="336" t="n"/>
      <c r="BZ49" s="336" t="n"/>
      <c r="CA49" s="336" t="n"/>
      <c r="CB49" s="336" t="n"/>
      <c r="CC49" s="336" t="n"/>
      <c r="CD49" s="336" t="n"/>
      <c r="CE49" s="336" t="n"/>
    </row>
    <row r="50" customFormat="1" s="538">
      <c r="A50" s="350" t="n"/>
      <c r="B50" s="350" t="n"/>
      <c r="C50" s="353" t="n"/>
      <c r="D50" s="333" t="n"/>
      <c r="E50" s="332" t="n"/>
      <c r="F50" s="336" t="n"/>
      <c r="G50" s="336" t="n"/>
      <c r="H50" s="335" t="n"/>
      <c r="I50" s="336" t="n"/>
      <c r="J50" s="336" t="n"/>
      <c r="K50" s="336" t="n"/>
      <c r="L50" s="336" t="n"/>
      <c r="M50" s="336" t="n"/>
      <c r="N50" s="336" t="n"/>
      <c r="O50" s="336" t="n"/>
      <c r="P50" s="430" t="n"/>
      <c r="Q50" s="430" t="n"/>
      <c r="R50" s="430" t="n"/>
      <c r="S50" s="430" t="n"/>
      <c r="T50" s="430" t="n"/>
      <c r="U50" s="430" t="n"/>
      <c r="V50" s="430" t="n"/>
      <c r="W50" s="430" t="n"/>
      <c r="X50" s="430" t="n"/>
      <c r="Y50" s="430" t="n"/>
      <c r="Z50" s="430" t="n"/>
      <c r="AA50" s="430" t="n"/>
      <c r="AB50" s="430" t="n"/>
      <c r="AC50" s="338" t="n"/>
      <c r="AD50" s="338" t="n"/>
      <c r="AE50" s="338" t="n"/>
      <c r="AF50" s="338" t="n"/>
      <c r="AG50" s="339" t="n"/>
      <c r="AH50" s="339" t="n"/>
      <c r="AI50" s="339" t="n"/>
      <c r="AJ50" s="339" t="n"/>
      <c r="AK50" s="339" t="n"/>
      <c r="AL50" s="339" t="n"/>
      <c r="AM50" s="339" t="n"/>
      <c r="AN50" s="339" t="n"/>
      <c r="AO50" s="339" t="n"/>
      <c r="AP50" s="339" t="n"/>
      <c r="AQ50" s="339" t="n"/>
      <c r="AR50" s="339" t="n"/>
      <c r="AS50" s="339" t="n"/>
      <c r="AT50" s="339" t="n"/>
      <c r="AU50" s="339" t="n"/>
      <c r="AV50" s="339" t="n"/>
      <c r="AW50" s="339" t="n"/>
      <c r="AX50" s="430" t="n"/>
      <c r="AY50" s="336" t="n"/>
      <c r="AZ50" s="336" t="n"/>
      <c r="BA50" s="336" t="n"/>
      <c r="BB50" s="336" t="n"/>
      <c r="BC50" s="336" t="n"/>
      <c r="BD50" s="336" t="n"/>
      <c r="BE50" s="336" t="n"/>
      <c r="BF50" s="336" t="n"/>
      <c r="BG50" s="336" t="n"/>
      <c r="BH50" s="336" t="n"/>
      <c r="BI50" s="336" t="n"/>
      <c r="BJ50" s="336" t="n"/>
      <c r="BK50" s="336" t="n"/>
      <c r="BL50" s="336" t="n"/>
      <c r="BM50" s="336" t="n"/>
      <c r="BN50" s="336" t="n"/>
      <c r="BO50" s="336" t="n"/>
      <c r="BP50" s="336" t="n"/>
      <c r="BQ50" s="336" t="n"/>
      <c r="BR50" s="336" t="n"/>
      <c r="BS50" s="336" t="n"/>
      <c r="BT50" s="336" t="n"/>
      <c r="BU50" s="336" t="n"/>
      <c r="BV50" s="336" t="n"/>
      <c r="BW50" s="336" t="n"/>
      <c r="BX50" s="336" t="n"/>
      <c r="BY50" s="336" t="n"/>
      <c r="BZ50" s="336" t="n"/>
      <c r="CA50" s="336" t="n"/>
      <c r="CB50" s="336" t="n"/>
      <c r="CC50" s="336" t="n"/>
      <c r="CD50" s="336" t="n"/>
      <c r="CE50" s="336" t="n"/>
    </row>
    <row r="51" customFormat="1" s="538">
      <c r="A51" s="350" t="n"/>
      <c r="B51" s="350" t="n"/>
      <c r="C51" s="353" t="n"/>
      <c r="D51" s="333" t="n"/>
      <c r="E51" s="332" t="n"/>
      <c r="F51" s="336" t="n"/>
      <c r="G51" s="336" t="n"/>
      <c r="H51" s="335" t="n"/>
      <c r="I51" s="336" t="n"/>
      <c r="J51" s="336" t="n"/>
      <c r="K51" s="336" t="n"/>
      <c r="L51" s="336" t="n"/>
      <c r="M51" s="336" t="n"/>
      <c r="N51" s="336" t="n"/>
      <c r="O51" s="336" t="n"/>
      <c r="P51" s="430" t="n"/>
      <c r="Q51" s="430" t="n"/>
      <c r="R51" s="430" t="n"/>
      <c r="S51" s="430" t="n"/>
      <c r="T51" s="430" t="n"/>
      <c r="U51" s="430" t="n"/>
      <c r="V51" s="430" t="n"/>
      <c r="W51" s="430" t="n"/>
      <c r="X51" s="430" t="n"/>
      <c r="Y51" s="430" t="n"/>
      <c r="Z51" s="430" t="n"/>
      <c r="AA51" s="430" t="n"/>
      <c r="AB51" s="430" t="n"/>
      <c r="AC51" s="338" t="n"/>
      <c r="AD51" s="338" t="n"/>
      <c r="AE51" s="338" t="n"/>
      <c r="AF51" s="338" t="n"/>
      <c r="AG51" s="339" t="n"/>
      <c r="AH51" s="339" t="n"/>
      <c r="AI51" s="339" t="n"/>
      <c r="AJ51" s="339" t="n"/>
      <c r="AK51" s="339" t="n"/>
      <c r="AL51" s="339" t="n"/>
      <c r="AM51" s="339" t="n"/>
      <c r="AN51" s="339" t="n"/>
      <c r="AO51" s="339" t="n"/>
      <c r="AP51" s="339" t="n"/>
      <c r="AQ51" s="339" t="n"/>
      <c r="AR51" s="339" t="n"/>
      <c r="AS51" s="339" t="n"/>
      <c r="AT51" s="339" t="n"/>
      <c r="AU51" s="339" t="n"/>
      <c r="AV51" s="339" t="n"/>
      <c r="AW51" s="339" t="n"/>
      <c r="AX51" s="430" t="n"/>
      <c r="AY51" s="336" t="n"/>
      <c r="AZ51" s="336" t="n"/>
      <c r="BA51" s="336" t="n"/>
      <c r="BB51" s="336" t="n"/>
      <c r="BC51" s="336" t="n"/>
      <c r="BD51" s="336" t="n"/>
      <c r="BE51" s="336" t="n"/>
      <c r="BF51" s="336" t="n"/>
      <c r="BG51" s="336" t="n"/>
      <c r="BH51" s="336" t="n"/>
      <c r="BI51" s="336" t="n"/>
      <c r="BJ51" s="336" t="n"/>
      <c r="BK51" s="336" t="n"/>
      <c r="BL51" s="336" t="n"/>
      <c r="BM51" s="336" t="n"/>
      <c r="BN51" s="336" t="n"/>
      <c r="BO51" s="336" t="n"/>
      <c r="BP51" s="336" t="n"/>
      <c r="BQ51" s="336" t="n"/>
      <c r="BR51" s="336" t="n"/>
      <c r="BS51" s="336" t="n"/>
      <c r="BT51" s="336" t="n"/>
      <c r="BU51" s="336" t="n"/>
      <c r="BV51" s="336" t="n"/>
      <c r="BW51" s="336" t="n"/>
      <c r="BX51" s="336" t="n"/>
      <c r="BY51" s="336" t="n"/>
      <c r="BZ51" s="336" t="n"/>
      <c r="CA51" s="336" t="n"/>
      <c r="CB51" s="336" t="n"/>
      <c r="CC51" s="336" t="n"/>
      <c r="CD51" s="336" t="n"/>
      <c r="CE51" s="336" t="n"/>
    </row>
    <row r="52" customFormat="1" s="538">
      <c r="A52" s="342" t="n"/>
      <c r="B52" s="358" t="n"/>
      <c r="C52" s="344" t="n"/>
      <c r="D52" s="345" t="n"/>
      <c r="E52" s="346" t="n"/>
      <c r="F52" s="336" t="n"/>
      <c r="G52" s="336" t="n"/>
      <c r="H52" s="336" t="n"/>
      <c r="I52" s="336" t="n"/>
      <c r="J52" s="336" t="n"/>
      <c r="K52" s="336" t="n"/>
      <c r="L52" s="336" t="n"/>
      <c r="M52" s="336" t="n"/>
      <c r="N52" s="336" t="n"/>
      <c r="O52" s="336" t="n"/>
      <c r="P52" s="357" t="n"/>
      <c r="Q52" s="357" t="n"/>
      <c r="R52" s="357" t="n"/>
      <c r="S52" s="357" t="n"/>
      <c r="T52" s="357" t="n"/>
      <c r="U52" s="357" t="n"/>
      <c r="V52" s="357" t="n"/>
      <c r="W52" s="357" t="n"/>
      <c r="X52" s="357" t="n"/>
      <c r="Y52" s="357" t="n"/>
      <c r="Z52" s="357" t="n"/>
      <c r="AA52" s="357" t="n"/>
      <c r="AB52" s="336" t="n"/>
      <c r="AC52" s="338" t="n"/>
      <c r="AD52" s="338" t="n"/>
      <c r="AE52" s="338" t="n"/>
      <c r="AF52" s="338" t="n"/>
      <c r="AG52" s="339" t="n"/>
      <c r="AH52" s="339" t="n"/>
      <c r="AI52" s="339" t="n"/>
      <c r="AJ52" s="339" t="n"/>
      <c r="AK52" s="339" t="n"/>
      <c r="AL52" s="339" t="n"/>
      <c r="AM52" s="339" t="n"/>
      <c r="AN52" s="339" t="n"/>
      <c r="AO52" s="339" t="n"/>
      <c r="AP52" s="339" t="n"/>
      <c r="AQ52" s="339" t="n"/>
      <c r="AR52" s="339" t="n"/>
      <c r="AS52" s="339" t="n"/>
      <c r="AT52" s="339" t="n"/>
      <c r="AU52" s="339" t="n"/>
      <c r="AV52" s="339" t="n"/>
      <c r="AW52" s="339" t="n"/>
      <c r="AX52" s="357" t="n"/>
      <c r="AY52" s="336" t="n"/>
      <c r="AZ52" s="336" t="n"/>
      <c r="BA52" s="336" t="n"/>
      <c r="BB52" s="336" t="n"/>
      <c r="BC52" s="336" t="n"/>
      <c r="BD52" s="336" t="n"/>
      <c r="BE52" s="336" t="n"/>
      <c r="BF52" s="336" t="n"/>
      <c r="BG52" s="336" t="n"/>
      <c r="BH52" s="336" t="n"/>
      <c r="BI52" s="336" t="n"/>
      <c r="BJ52" s="336" t="n"/>
      <c r="BK52" s="336" t="n"/>
      <c r="BL52" s="336" t="n"/>
      <c r="BM52" s="336" t="n"/>
      <c r="BN52" s="336" t="n"/>
      <c r="BO52" s="336" t="n"/>
      <c r="BP52" s="336" t="n"/>
      <c r="BQ52" s="336" t="n"/>
      <c r="BR52" s="336" t="n"/>
      <c r="BS52" s="336" t="n"/>
      <c r="BT52" s="336" t="n"/>
      <c r="BU52" s="336" t="n"/>
      <c r="BV52" s="336" t="n"/>
      <c r="BW52" s="336" t="n"/>
      <c r="BX52" s="336" t="n"/>
      <c r="BY52" s="336" t="n"/>
      <c r="BZ52" s="336" t="n"/>
      <c r="CA52" s="336" t="n"/>
      <c r="CB52" s="336" t="n"/>
      <c r="CC52" s="336" t="n"/>
      <c r="CD52" s="336" t="n"/>
      <c r="CE52" s="336" t="n"/>
      <c r="CF52" s="361" t="n"/>
    </row>
    <row r="53" customFormat="1" s="538">
      <c r="A53" s="349" t="n"/>
      <c r="B53" s="350" t="n"/>
      <c r="C53" s="353" t="n"/>
      <c r="D53" s="333" t="n"/>
      <c r="E53" s="332" t="n"/>
      <c r="F53" s="336" t="n"/>
      <c r="G53" s="336" t="n"/>
      <c r="H53" s="335" t="n"/>
      <c r="I53" s="336" t="n"/>
      <c r="J53" s="336" t="n"/>
      <c r="K53" s="336" t="n"/>
      <c r="L53" s="336" t="n"/>
      <c r="M53" s="336" t="n"/>
      <c r="N53" s="336" t="n"/>
      <c r="O53" s="336" t="n"/>
      <c r="P53" s="430" t="n"/>
      <c r="Q53" s="430" t="n"/>
      <c r="R53" s="430" t="n"/>
      <c r="S53" s="430" t="n"/>
      <c r="T53" s="430" t="n"/>
      <c r="U53" s="430" t="n"/>
      <c r="V53" s="430" t="n"/>
      <c r="W53" s="430" t="n"/>
      <c r="X53" s="430" t="n"/>
      <c r="Y53" s="430" t="n"/>
      <c r="Z53" s="430" t="n"/>
      <c r="AA53" s="430" t="n"/>
      <c r="AB53" s="430" t="n"/>
      <c r="AC53" s="338" t="n"/>
      <c r="AD53" s="338" t="n"/>
      <c r="AE53" s="338" t="n"/>
      <c r="AF53" s="338" t="n"/>
      <c r="AG53" s="339" t="n"/>
      <c r="AH53" s="339" t="n"/>
      <c r="AI53" s="339" t="n"/>
      <c r="AJ53" s="339" t="n"/>
      <c r="AK53" s="339" t="n"/>
      <c r="AL53" s="339" t="n"/>
      <c r="AM53" s="339" t="n"/>
      <c r="AN53" s="339" t="n"/>
      <c r="AO53" s="339" t="n"/>
      <c r="AP53" s="339" t="n"/>
      <c r="AQ53" s="339" t="n"/>
      <c r="AR53" s="339" t="n"/>
      <c r="AS53" s="339" t="n"/>
      <c r="AT53" s="339" t="n"/>
      <c r="AU53" s="339" t="n"/>
      <c r="AV53" s="339" t="n"/>
      <c r="AW53" s="339" t="n"/>
      <c r="AX53" s="430" t="n"/>
      <c r="AY53" s="336" t="n"/>
      <c r="AZ53" s="336" t="n"/>
      <c r="BA53" s="336" t="n"/>
      <c r="BB53" s="336" t="n"/>
      <c r="BC53" s="336" t="n"/>
      <c r="BD53" s="336" t="n"/>
      <c r="BE53" s="336" t="n"/>
      <c r="BF53" s="336" t="n"/>
      <c r="BG53" s="336" t="n"/>
      <c r="BH53" s="336" t="n"/>
      <c r="BI53" s="336" t="n"/>
      <c r="BJ53" s="336" t="n"/>
      <c r="BK53" s="336" t="n"/>
      <c r="BL53" s="336" t="n"/>
      <c r="BM53" s="336" t="n"/>
      <c r="BN53" s="336" t="n"/>
      <c r="BO53" s="336" t="n"/>
      <c r="BP53" s="336" t="n"/>
      <c r="BQ53" s="336" t="n"/>
      <c r="BR53" s="336" t="n"/>
      <c r="BS53" s="336" t="n"/>
      <c r="BT53" s="336" t="n"/>
      <c r="BU53" s="336" t="n"/>
      <c r="BV53" s="336" t="n"/>
      <c r="BW53" s="336" t="n"/>
      <c r="BX53" s="336" t="n"/>
      <c r="BY53" s="336" t="n"/>
      <c r="BZ53" s="336" t="n"/>
      <c r="CA53" s="336" t="n"/>
      <c r="CB53" s="336" t="n"/>
      <c r="CC53" s="336" t="n"/>
      <c r="CD53" s="336" t="n"/>
      <c r="CE53" s="336" t="n"/>
    </row>
    <row r="54" customFormat="1" s="538">
      <c r="A54" s="349" t="n"/>
      <c r="B54" s="350" t="n"/>
      <c r="C54" s="353" t="n"/>
      <c r="D54" s="333" t="n"/>
      <c r="E54" s="332" t="n"/>
      <c r="F54" s="336" t="n"/>
      <c r="G54" s="336" t="n"/>
      <c r="H54" s="335" t="n"/>
      <c r="I54" s="336" t="n"/>
      <c r="J54" s="336" t="n"/>
      <c r="K54" s="336" t="n"/>
      <c r="L54" s="336" t="n"/>
      <c r="M54" s="336" t="n"/>
      <c r="N54" s="336" t="n"/>
      <c r="O54" s="336" t="n"/>
      <c r="P54" s="430" t="n"/>
      <c r="Q54" s="430" t="n"/>
      <c r="R54" s="430" t="n"/>
      <c r="S54" s="430" t="n"/>
      <c r="T54" s="430" t="n"/>
      <c r="U54" s="430" t="n"/>
      <c r="V54" s="430" t="n"/>
      <c r="W54" s="430" t="n"/>
      <c r="X54" s="430" t="n"/>
      <c r="Y54" s="430" t="n"/>
      <c r="Z54" s="430" t="n"/>
      <c r="AA54" s="430" t="n"/>
      <c r="AB54" s="430" t="n"/>
      <c r="AC54" s="357" t="n"/>
      <c r="AD54" s="357" t="n"/>
      <c r="AE54" s="357" t="n"/>
      <c r="AF54" s="357" t="n"/>
      <c r="AG54" s="339" t="n"/>
      <c r="AH54" s="339" t="n"/>
      <c r="AI54" s="339" t="n"/>
      <c r="AJ54" s="339" t="n"/>
      <c r="AK54" s="339" t="n"/>
      <c r="AL54" s="339" t="n"/>
      <c r="AM54" s="339" t="n"/>
      <c r="AN54" s="339" t="n"/>
      <c r="AO54" s="339" t="n"/>
      <c r="AP54" s="339" t="n"/>
      <c r="AQ54" s="339" t="n"/>
      <c r="AR54" s="339" t="n"/>
      <c r="AS54" s="339" t="n"/>
      <c r="AT54" s="357" t="n"/>
      <c r="AU54" s="357" t="n"/>
      <c r="AV54" s="357" t="n"/>
      <c r="AW54" s="357" t="n"/>
      <c r="AX54" s="430" t="n"/>
      <c r="AY54" s="336" t="n"/>
      <c r="AZ54" s="336" t="n"/>
      <c r="BA54" s="336" t="n"/>
      <c r="BB54" s="336" t="n"/>
      <c r="BC54" s="336" t="n"/>
      <c r="BD54" s="336" t="n"/>
      <c r="BE54" s="336" t="n"/>
      <c r="BF54" s="336" t="n"/>
      <c r="BG54" s="336" t="n"/>
      <c r="BH54" s="336" t="n"/>
      <c r="BI54" s="336" t="n"/>
      <c r="BJ54" s="336" t="n"/>
      <c r="BK54" s="336" t="n"/>
      <c r="BL54" s="336" t="n"/>
      <c r="BM54" s="336" t="n"/>
      <c r="BN54" s="336" t="n"/>
      <c r="BO54" s="336" t="n"/>
      <c r="BP54" s="336" t="n"/>
      <c r="BQ54" s="336" t="n"/>
      <c r="BR54" s="336" t="n"/>
      <c r="BS54" s="336" t="n"/>
      <c r="BT54" s="336" t="n"/>
      <c r="BU54" s="336" t="n"/>
      <c r="BV54" s="336" t="n"/>
      <c r="BW54" s="336" t="n"/>
      <c r="BX54" s="336" t="n"/>
      <c r="BY54" s="336" t="n"/>
      <c r="BZ54" s="336" t="n"/>
      <c r="CA54" s="336" t="n"/>
      <c r="CB54" s="336" t="n"/>
      <c r="CC54" s="336" t="n"/>
      <c r="CD54" s="336" t="n"/>
      <c r="CE54" s="336" t="n"/>
    </row>
    <row r="55" customFormat="1" s="538">
      <c r="A55" s="349" t="n"/>
      <c r="B55" s="350" t="n"/>
      <c r="C55" s="353" t="n"/>
      <c r="D55" s="333" t="n"/>
      <c r="E55" s="332" t="n"/>
      <c r="F55" s="336" t="n"/>
      <c r="G55" s="336" t="n"/>
      <c r="H55" s="335" t="n"/>
      <c r="I55" s="336" t="n"/>
      <c r="J55" s="336" t="n"/>
      <c r="K55" s="336" t="n"/>
      <c r="L55" s="336" t="n"/>
      <c r="M55" s="336" t="n"/>
      <c r="N55" s="336" t="n"/>
      <c r="O55" s="336" t="n"/>
      <c r="P55" s="430" t="n"/>
      <c r="Q55" s="430" t="n"/>
      <c r="R55" s="430" t="n"/>
      <c r="S55" s="430" t="n"/>
      <c r="T55" s="430" t="n"/>
      <c r="U55" s="430" t="n"/>
      <c r="V55" s="430" t="n"/>
      <c r="W55" s="430" t="n"/>
      <c r="X55" s="430" t="n"/>
      <c r="Y55" s="430" t="n"/>
      <c r="Z55" s="430" t="n"/>
      <c r="AA55" s="430" t="n"/>
      <c r="AB55" s="430" t="n"/>
      <c r="AC55" s="338" t="n"/>
      <c r="AD55" s="338" t="n"/>
      <c r="AE55" s="338" t="n"/>
      <c r="AF55" s="338" t="n"/>
      <c r="AG55" s="339" t="n"/>
      <c r="AH55" s="339" t="n"/>
      <c r="AI55" s="339" t="n"/>
      <c r="AJ55" s="339" t="n"/>
      <c r="AK55" s="339" t="n"/>
      <c r="AL55" s="339" t="n"/>
      <c r="AM55" s="339" t="n"/>
      <c r="AN55" s="339" t="n"/>
      <c r="AO55" s="339" t="n"/>
      <c r="AP55" s="339" t="n"/>
      <c r="AQ55" s="339" t="n"/>
      <c r="AR55" s="339" t="n"/>
      <c r="AS55" s="339" t="n"/>
      <c r="AT55" s="339" t="n"/>
      <c r="AU55" s="339" t="n"/>
      <c r="AV55" s="339" t="n"/>
      <c r="AW55" s="339" t="n"/>
      <c r="AX55" s="430" t="n"/>
      <c r="AY55" s="336" t="n"/>
      <c r="AZ55" s="336" t="n"/>
      <c r="BA55" s="336" t="n"/>
      <c r="BB55" s="336" t="n"/>
      <c r="BC55" s="336" t="n"/>
      <c r="BD55" s="336" t="n"/>
      <c r="BE55" s="336" t="n"/>
      <c r="BF55" s="336" t="n"/>
      <c r="BG55" s="336" t="n"/>
      <c r="BH55" s="336" t="n"/>
      <c r="BI55" s="336" t="n"/>
      <c r="BJ55" s="336" t="n"/>
      <c r="BK55" s="336" t="n"/>
      <c r="BL55" s="336" t="n"/>
      <c r="BM55" s="336" t="n"/>
      <c r="BN55" s="336" t="n"/>
      <c r="BO55" s="336" t="n"/>
      <c r="BP55" s="336" t="n"/>
      <c r="BQ55" s="336" t="n"/>
      <c r="BR55" s="336" t="n"/>
      <c r="BS55" s="336" t="n"/>
      <c r="BT55" s="336" t="n"/>
      <c r="BU55" s="336" t="n"/>
      <c r="BV55" s="336" t="n"/>
      <c r="BW55" s="336" t="n"/>
      <c r="BX55" s="336" t="n"/>
      <c r="BY55" s="336" t="n"/>
      <c r="BZ55" s="336" t="n"/>
      <c r="CA55" s="336" t="n"/>
      <c r="CB55" s="336" t="n"/>
      <c r="CC55" s="336" t="n"/>
      <c r="CD55" s="336" t="n"/>
      <c r="CE55" s="336" t="n"/>
    </row>
    <row r="56" customFormat="1" s="538">
      <c r="A56" s="349" t="n"/>
      <c r="B56" s="350" t="n"/>
      <c r="C56" s="353" t="n"/>
      <c r="D56" s="333" t="n"/>
      <c r="E56" s="332" t="n"/>
      <c r="F56" s="336" t="n"/>
      <c r="G56" s="336" t="n"/>
      <c r="H56" s="335" t="n"/>
      <c r="I56" s="336" t="n"/>
      <c r="J56" s="336" t="n"/>
      <c r="K56" s="336" t="n"/>
      <c r="L56" s="336" t="n"/>
      <c r="M56" s="336" t="n"/>
      <c r="N56" s="336" t="n"/>
      <c r="O56" s="336" t="n"/>
      <c r="P56" s="430" t="n"/>
      <c r="Q56" s="430" t="n"/>
      <c r="R56" s="430" t="n"/>
      <c r="S56" s="430" t="n"/>
      <c r="T56" s="430" t="n"/>
      <c r="U56" s="430" t="n"/>
      <c r="V56" s="430" t="n"/>
      <c r="W56" s="430" t="n"/>
      <c r="X56" s="430" t="n"/>
      <c r="Y56" s="430" t="n"/>
      <c r="Z56" s="430" t="n"/>
      <c r="AA56" s="430" t="n"/>
      <c r="AB56" s="430" t="n"/>
      <c r="AC56" s="338" t="n"/>
      <c r="AD56" s="338" t="n"/>
      <c r="AE56" s="338" t="n"/>
      <c r="AF56" s="338" t="n"/>
      <c r="AG56" s="339" t="n"/>
      <c r="AH56" s="339" t="n"/>
      <c r="AI56" s="339" t="n"/>
      <c r="AJ56" s="339" t="n"/>
      <c r="AK56" s="339" t="n"/>
      <c r="AL56" s="339" t="n"/>
      <c r="AM56" s="339" t="n"/>
      <c r="AN56" s="339" t="n"/>
      <c r="AO56" s="339" t="n"/>
      <c r="AP56" s="339" t="n"/>
      <c r="AQ56" s="339" t="n"/>
      <c r="AR56" s="339" t="n"/>
      <c r="AS56" s="339" t="n"/>
      <c r="AT56" s="339" t="n"/>
      <c r="AU56" s="339" t="n"/>
      <c r="AV56" s="339" t="n"/>
      <c r="AW56" s="339" t="n"/>
      <c r="AX56" s="430" t="n"/>
      <c r="AY56" s="336" t="n"/>
      <c r="AZ56" s="336" t="n"/>
      <c r="BA56" s="336" t="n"/>
      <c r="BB56" s="336" t="n"/>
      <c r="BC56" s="336" t="n"/>
      <c r="BD56" s="336" t="n"/>
      <c r="BE56" s="336" t="n"/>
      <c r="BF56" s="336" t="n"/>
      <c r="BG56" s="336" t="n"/>
      <c r="BH56" s="336" t="n"/>
      <c r="BI56" s="336" t="n"/>
      <c r="BJ56" s="336" t="n"/>
      <c r="BK56" s="336" t="n"/>
      <c r="BL56" s="336" t="n"/>
      <c r="BM56" s="336" t="n"/>
      <c r="BN56" s="336" t="n"/>
      <c r="BO56" s="336" t="n"/>
      <c r="BP56" s="336" t="n"/>
      <c r="BQ56" s="336" t="n"/>
      <c r="BR56" s="336" t="n"/>
      <c r="BS56" s="336" t="n"/>
      <c r="BT56" s="336" t="n"/>
      <c r="BU56" s="336" t="n"/>
      <c r="BV56" s="336" t="n"/>
      <c r="BW56" s="336" t="n"/>
      <c r="BX56" s="336" t="n"/>
      <c r="BY56" s="336" t="n"/>
      <c r="BZ56" s="336" t="n"/>
      <c r="CA56" s="336" t="n"/>
      <c r="CB56" s="336" t="n"/>
      <c r="CC56" s="336" t="n"/>
      <c r="CD56" s="336" t="n"/>
      <c r="CE56" s="336" t="n"/>
    </row>
    <row r="57" customFormat="1" s="538">
      <c r="A57" s="349" t="n"/>
      <c r="B57" s="350" t="n"/>
      <c r="C57" s="353" t="n"/>
      <c r="D57" s="333" t="n"/>
      <c r="E57" s="332" t="n"/>
      <c r="F57" s="336" t="n"/>
      <c r="G57" s="336" t="n"/>
      <c r="H57" s="335" t="n"/>
      <c r="I57" s="336" t="n"/>
      <c r="J57" s="336" t="n"/>
      <c r="K57" s="336" t="n"/>
      <c r="L57" s="336" t="n"/>
      <c r="M57" s="336" t="n"/>
      <c r="N57" s="336" t="n"/>
      <c r="O57" s="336" t="n"/>
      <c r="P57" s="430" t="n"/>
      <c r="Q57" s="430" t="n"/>
      <c r="R57" s="430" t="n"/>
      <c r="S57" s="430" t="n"/>
      <c r="T57" s="430" t="n"/>
      <c r="U57" s="430" t="n"/>
      <c r="V57" s="430" t="n"/>
      <c r="W57" s="430" t="n"/>
      <c r="X57" s="430" t="n"/>
      <c r="Y57" s="430" t="n"/>
      <c r="Z57" s="430" t="n"/>
      <c r="AA57" s="430" t="n"/>
      <c r="AB57" s="430" t="n"/>
      <c r="AC57" s="338" t="n"/>
      <c r="AD57" s="338" t="n"/>
      <c r="AE57" s="338" t="n"/>
      <c r="AF57" s="338" t="n"/>
      <c r="AG57" s="339" t="n"/>
      <c r="AH57" s="339" t="n"/>
      <c r="AI57" s="339" t="n"/>
      <c r="AJ57" s="339" t="n"/>
      <c r="AK57" s="339" t="n"/>
      <c r="AL57" s="339" t="n"/>
      <c r="AM57" s="339" t="n"/>
      <c r="AN57" s="339" t="n"/>
      <c r="AO57" s="339" t="n"/>
      <c r="AP57" s="339" t="n"/>
      <c r="AQ57" s="339" t="n"/>
      <c r="AR57" s="339" t="n"/>
      <c r="AS57" s="339" t="n"/>
      <c r="AT57" s="339" t="n"/>
      <c r="AU57" s="339" t="n"/>
      <c r="AV57" s="339" t="n"/>
      <c r="AW57" s="339" t="n"/>
      <c r="AX57" s="430" t="n"/>
      <c r="AY57" s="336" t="n"/>
      <c r="AZ57" s="336" t="n"/>
      <c r="BA57" s="336" t="n"/>
      <c r="BB57" s="336" t="n"/>
      <c r="BC57" s="336" t="n"/>
      <c r="BD57" s="336" t="n"/>
      <c r="BE57" s="336" t="n"/>
      <c r="BF57" s="336" t="n"/>
      <c r="BG57" s="336" t="n"/>
      <c r="BH57" s="336" t="n"/>
      <c r="BI57" s="336" t="n"/>
      <c r="BJ57" s="336" t="n"/>
      <c r="BK57" s="336" t="n"/>
      <c r="BL57" s="336" t="n"/>
      <c r="BM57" s="336" t="n"/>
      <c r="BN57" s="336" t="n"/>
      <c r="BO57" s="336" t="n"/>
      <c r="BP57" s="336" t="n"/>
      <c r="BQ57" s="336" t="n"/>
      <c r="BR57" s="336" t="n"/>
      <c r="BS57" s="336" t="n"/>
      <c r="BT57" s="336" t="n"/>
      <c r="BU57" s="336" t="n"/>
      <c r="BV57" s="336" t="n"/>
      <c r="BW57" s="336" t="n"/>
      <c r="BX57" s="336" t="n"/>
      <c r="BY57" s="336" t="n"/>
      <c r="BZ57" s="336" t="n"/>
      <c r="CA57" s="336" t="n"/>
      <c r="CB57" s="336" t="n"/>
      <c r="CC57" s="336" t="n"/>
      <c r="CD57" s="336" t="n"/>
      <c r="CE57" s="336" t="n"/>
    </row>
    <row r="58" customFormat="1" s="538">
      <c r="A58" s="358" t="n"/>
      <c r="B58" s="358" t="n"/>
      <c r="C58" s="344" t="n"/>
      <c r="D58" s="345" t="n"/>
      <c r="E58" s="346" t="n"/>
      <c r="F58" s="336" t="n"/>
      <c r="G58" s="336" t="n"/>
      <c r="H58" s="336" t="n"/>
      <c r="I58" s="336" t="n"/>
      <c r="J58" s="336" t="n"/>
      <c r="K58" s="336" t="n"/>
      <c r="L58" s="336" t="n"/>
      <c r="M58" s="336" t="n"/>
      <c r="N58" s="336" t="n"/>
      <c r="O58" s="336" t="n"/>
      <c r="P58" s="357" t="n"/>
      <c r="Q58" s="357" t="n"/>
      <c r="R58" s="357" t="n"/>
      <c r="S58" s="357" t="n"/>
      <c r="T58" s="357" t="n"/>
      <c r="U58" s="357" t="n"/>
      <c r="V58" s="357" t="n"/>
      <c r="W58" s="357" t="n"/>
      <c r="X58" s="357" t="n"/>
      <c r="Y58" s="357" t="n"/>
      <c r="Z58" s="357" t="n"/>
      <c r="AA58" s="357" t="n"/>
      <c r="AB58" s="336" t="n"/>
      <c r="AC58" s="357" t="n"/>
      <c r="AD58" s="357" t="n"/>
      <c r="AE58" s="357" t="n"/>
      <c r="AF58" s="357" t="n"/>
      <c r="AG58" s="339" t="n"/>
      <c r="AH58" s="339" t="n"/>
      <c r="AI58" s="339" t="n"/>
      <c r="AJ58" s="339" t="n"/>
      <c r="AK58" s="339" t="n"/>
      <c r="AL58" s="339" t="n"/>
      <c r="AM58" s="339" t="n"/>
      <c r="AN58" s="339" t="n"/>
      <c r="AO58" s="339" t="n"/>
      <c r="AP58" s="339" t="n"/>
      <c r="AQ58" s="339" t="n"/>
      <c r="AR58" s="339" t="n"/>
      <c r="AS58" s="339" t="n"/>
      <c r="AT58" s="339" t="n"/>
      <c r="AU58" s="339" t="n"/>
      <c r="AV58" s="339" t="n"/>
      <c r="AW58" s="339" t="n"/>
      <c r="AX58" s="357" t="n"/>
      <c r="AY58" s="336" t="n"/>
      <c r="AZ58" s="336" t="n"/>
      <c r="BA58" s="336" t="n"/>
      <c r="BB58" s="336" t="n"/>
      <c r="BC58" s="336" t="n"/>
      <c r="BD58" s="336" t="n"/>
      <c r="BE58" s="336" t="n"/>
      <c r="BF58" s="336" t="n"/>
      <c r="BG58" s="336" t="n"/>
      <c r="BH58" s="336" t="n"/>
      <c r="BI58" s="336" t="n"/>
      <c r="BJ58" s="336" t="n"/>
      <c r="BK58" s="336" t="n"/>
      <c r="BL58" s="336" t="n"/>
      <c r="BM58" s="336" t="n"/>
      <c r="BN58" s="336" t="n"/>
      <c r="BO58" s="336" t="n"/>
      <c r="BP58" s="336" t="n"/>
      <c r="BQ58" s="336" t="n"/>
      <c r="BR58" s="336" t="n"/>
      <c r="BS58" s="336" t="n"/>
      <c r="BT58" s="336" t="n"/>
      <c r="BU58" s="336" t="n"/>
      <c r="BV58" s="336" t="n"/>
      <c r="BW58" s="336" t="n"/>
      <c r="BX58" s="336" t="n"/>
      <c r="BY58" s="336" t="n"/>
      <c r="BZ58" s="336" t="n"/>
      <c r="CA58" s="336" t="n"/>
      <c r="CB58" s="336" t="n"/>
      <c r="CC58" s="336" t="n"/>
      <c r="CD58" s="336" t="n"/>
      <c r="CE58" s="336" t="n"/>
      <c r="CF58" s="361" t="n"/>
    </row>
    <row r="59" customFormat="1" s="538">
      <c r="A59" s="350" t="n"/>
      <c r="B59" s="350" t="n"/>
      <c r="C59" s="353" t="n"/>
      <c r="D59" s="333" t="n"/>
      <c r="E59" s="332" t="n"/>
      <c r="F59" s="336" t="n"/>
      <c r="G59" s="336" t="n"/>
      <c r="H59" s="335" t="n"/>
      <c r="I59" s="336" t="n"/>
      <c r="J59" s="336" t="n"/>
      <c r="K59" s="336" t="n"/>
      <c r="L59" s="336" t="n"/>
      <c r="M59" s="336" t="n"/>
      <c r="N59" s="336" t="n"/>
      <c r="O59" s="336" t="n"/>
      <c r="P59" s="430" t="n"/>
      <c r="Q59" s="430" t="n"/>
      <c r="R59" s="430" t="n"/>
      <c r="S59" s="430" t="n"/>
      <c r="T59" s="430" t="n"/>
      <c r="U59" s="430" t="n"/>
      <c r="V59" s="430" t="n"/>
      <c r="W59" s="430" t="n"/>
      <c r="X59" s="430" t="n"/>
      <c r="Y59" s="430" t="n"/>
      <c r="Z59" s="430" t="n"/>
      <c r="AA59" s="430" t="n"/>
      <c r="AB59" s="430" t="n"/>
      <c r="AC59" s="338" t="n"/>
      <c r="AD59" s="338" t="n"/>
      <c r="AE59" s="338" t="n"/>
      <c r="AF59" s="338" t="n"/>
      <c r="AG59" s="339" t="n"/>
      <c r="AH59" s="339" t="n"/>
      <c r="AI59" s="339" t="n"/>
      <c r="AJ59" s="339" t="n"/>
      <c r="AK59" s="339" t="n"/>
      <c r="AL59" s="339" t="n"/>
      <c r="AM59" s="339" t="n"/>
      <c r="AN59" s="339" t="n"/>
      <c r="AO59" s="339" t="n"/>
      <c r="AP59" s="339" t="n"/>
      <c r="AQ59" s="339" t="n"/>
      <c r="AR59" s="339" t="n"/>
      <c r="AS59" s="339" t="n"/>
      <c r="AT59" s="339" t="n"/>
      <c r="AU59" s="339" t="n"/>
      <c r="AV59" s="339" t="n"/>
      <c r="AW59" s="339" t="n"/>
      <c r="AX59" s="430" t="n"/>
      <c r="AY59" s="336" t="n"/>
      <c r="AZ59" s="336" t="n"/>
      <c r="BA59" s="336" t="n"/>
      <c r="BB59" s="336" t="n"/>
      <c r="BC59" s="336" t="n"/>
      <c r="BD59" s="336" t="n"/>
      <c r="BE59" s="336" t="n"/>
      <c r="BF59" s="336" t="n"/>
      <c r="BG59" s="336" t="n"/>
      <c r="BH59" s="336" t="n"/>
      <c r="BI59" s="336" t="n"/>
      <c r="BJ59" s="336" t="n"/>
      <c r="BK59" s="336" t="n"/>
      <c r="BL59" s="336" t="n"/>
      <c r="BM59" s="336" t="n"/>
      <c r="BN59" s="336" t="n"/>
      <c r="BO59" s="336" t="n"/>
      <c r="BP59" s="336" t="n"/>
      <c r="BQ59" s="336" t="n"/>
      <c r="BR59" s="336" t="n"/>
      <c r="BS59" s="336" t="n"/>
      <c r="BT59" s="336" t="n"/>
      <c r="BU59" s="336" t="n"/>
      <c r="BV59" s="336" t="n"/>
      <c r="BW59" s="336" t="n"/>
      <c r="BX59" s="336" t="n"/>
      <c r="BY59" s="336" t="n"/>
      <c r="BZ59" s="336" t="n"/>
      <c r="CA59" s="336" t="n"/>
      <c r="CB59" s="336" t="n"/>
      <c r="CC59" s="336" t="n"/>
      <c r="CD59" s="336" t="n"/>
      <c r="CE59" s="336" t="n"/>
    </row>
    <row r="60" customFormat="1" s="538">
      <c r="A60" s="350" t="n"/>
      <c r="B60" s="350" t="n"/>
      <c r="C60" s="353" t="n"/>
      <c r="D60" s="333" t="n"/>
      <c r="E60" s="332" t="n"/>
      <c r="F60" s="336" t="n"/>
      <c r="G60" s="336" t="n"/>
      <c r="H60" s="335" t="n"/>
      <c r="I60" s="336" t="n"/>
      <c r="J60" s="336" t="n"/>
      <c r="K60" s="336" t="n"/>
      <c r="L60" s="336" t="n"/>
      <c r="M60" s="336" t="n"/>
      <c r="N60" s="336" t="n"/>
      <c r="O60" s="336" t="n"/>
      <c r="P60" s="430" t="n"/>
      <c r="Q60" s="430" t="n"/>
      <c r="R60" s="430" t="n"/>
      <c r="S60" s="430" t="n"/>
      <c r="T60" s="430" t="n"/>
      <c r="U60" s="430" t="n"/>
      <c r="V60" s="430" t="n"/>
      <c r="W60" s="430" t="n"/>
      <c r="X60" s="430" t="n"/>
      <c r="Y60" s="430" t="n"/>
      <c r="Z60" s="430" t="n"/>
      <c r="AA60" s="430" t="n"/>
      <c r="AB60" s="430" t="n"/>
      <c r="AC60" s="338" t="n"/>
      <c r="AD60" s="338" t="n"/>
      <c r="AE60" s="338" t="n"/>
      <c r="AF60" s="338" t="n"/>
      <c r="AG60" s="339" t="n"/>
      <c r="AH60" s="339" t="n"/>
      <c r="AI60" s="339" t="n"/>
      <c r="AJ60" s="339" t="n"/>
      <c r="AK60" s="339" t="n"/>
      <c r="AL60" s="339" t="n"/>
      <c r="AM60" s="339" t="n"/>
      <c r="AN60" s="339" t="n"/>
      <c r="AO60" s="339" t="n"/>
      <c r="AP60" s="339" t="n"/>
      <c r="AQ60" s="339" t="n"/>
      <c r="AR60" s="339" t="n"/>
      <c r="AS60" s="339" t="n"/>
      <c r="AT60" s="339" t="n"/>
      <c r="AU60" s="339" t="n"/>
      <c r="AV60" s="339" t="n"/>
      <c r="AW60" s="339" t="n"/>
      <c r="AX60" s="430" t="n"/>
      <c r="AY60" s="336" t="n"/>
      <c r="AZ60" s="336" t="n"/>
      <c r="BA60" s="336" t="n"/>
      <c r="BB60" s="336" t="n"/>
      <c r="BC60" s="336" t="n"/>
      <c r="BD60" s="336" t="n"/>
      <c r="BE60" s="336" t="n"/>
      <c r="BF60" s="336" t="n"/>
      <c r="BG60" s="336" t="n"/>
      <c r="BH60" s="336" t="n"/>
      <c r="BI60" s="336" t="n"/>
      <c r="BJ60" s="336" t="n"/>
      <c r="BK60" s="336" t="n"/>
      <c r="BL60" s="336" t="n"/>
      <c r="BM60" s="336" t="n"/>
      <c r="BN60" s="336" t="n"/>
      <c r="BO60" s="336" t="n"/>
      <c r="BP60" s="336" t="n"/>
      <c r="BQ60" s="336" t="n"/>
      <c r="BR60" s="336" t="n"/>
      <c r="BS60" s="336" t="n"/>
      <c r="BT60" s="336" t="n"/>
      <c r="BU60" s="336" t="n"/>
      <c r="BV60" s="336" t="n"/>
      <c r="BW60" s="336" t="n"/>
      <c r="BX60" s="336" t="n"/>
      <c r="BY60" s="336" t="n"/>
      <c r="BZ60" s="336" t="n"/>
      <c r="CA60" s="336" t="n"/>
      <c r="CB60" s="336" t="n"/>
      <c r="CC60" s="336" t="n"/>
      <c r="CD60" s="336" t="n"/>
      <c r="CE60" s="336" t="n"/>
    </row>
    <row r="61" customFormat="1" s="538">
      <c r="A61" s="350" t="n"/>
      <c r="B61" s="350" t="n"/>
      <c r="C61" s="353" t="n"/>
      <c r="D61" s="333" t="n"/>
      <c r="E61" s="332" t="n"/>
      <c r="F61" s="336" t="n"/>
      <c r="G61" s="336" t="n"/>
      <c r="H61" s="335" t="n"/>
      <c r="I61" s="336" t="n"/>
      <c r="J61" s="336" t="n"/>
      <c r="K61" s="336" t="n"/>
      <c r="L61" s="336" t="n"/>
      <c r="M61" s="336" t="n"/>
      <c r="N61" s="336" t="n"/>
      <c r="O61" s="336" t="n"/>
      <c r="P61" s="430" t="n"/>
      <c r="Q61" s="430" t="n"/>
      <c r="R61" s="430" t="n"/>
      <c r="S61" s="430" t="n"/>
      <c r="T61" s="430" t="n"/>
      <c r="U61" s="430" t="n"/>
      <c r="V61" s="430" t="n"/>
      <c r="W61" s="430" t="n"/>
      <c r="X61" s="430" t="n"/>
      <c r="Y61" s="430" t="n"/>
      <c r="Z61" s="430" t="n"/>
      <c r="AA61" s="430" t="n"/>
      <c r="AB61" s="685" t="n"/>
      <c r="AC61" s="338" t="n"/>
      <c r="AD61" s="338" t="n"/>
      <c r="AE61" s="338" t="n"/>
      <c r="AF61" s="338" t="n"/>
      <c r="AG61" s="339" t="n"/>
      <c r="AH61" s="339" t="n"/>
      <c r="AI61" s="339" t="n"/>
      <c r="AJ61" s="339" t="n"/>
      <c r="AK61" s="339" t="n"/>
      <c r="AL61" s="339" t="n"/>
      <c r="AM61" s="339" t="n"/>
      <c r="AN61" s="339" t="n"/>
      <c r="AO61" s="339" t="n"/>
      <c r="AP61" s="339" t="n"/>
      <c r="AQ61" s="339" t="n"/>
      <c r="AR61" s="339" t="n"/>
      <c r="AS61" s="339" t="n"/>
      <c r="AT61" s="339" t="n"/>
      <c r="AU61" s="339" t="n"/>
      <c r="AV61" s="339" t="n"/>
      <c r="AW61" s="339" t="n"/>
      <c r="AX61" s="430" t="n"/>
      <c r="AY61" s="336" t="n"/>
      <c r="AZ61" s="336" t="n"/>
      <c r="BA61" s="336" t="n"/>
      <c r="BB61" s="336" t="n"/>
      <c r="BC61" s="336" t="n"/>
      <c r="BD61" s="336" t="n"/>
      <c r="BE61" s="336" t="n"/>
      <c r="BF61" s="336" t="n"/>
      <c r="BG61" s="336" t="n"/>
      <c r="BH61" s="336" t="n"/>
      <c r="BI61" s="336" t="n"/>
      <c r="BJ61" s="336" t="n"/>
      <c r="BK61" s="336" t="n"/>
      <c r="BL61" s="336" t="n"/>
      <c r="BM61" s="336" t="n"/>
      <c r="BN61" s="336" t="n"/>
      <c r="BO61" s="336" t="n"/>
      <c r="BP61" s="336" t="n"/>
      <c r="BQ61" s="336" t="n"/>
      <c r="BR61" s="336" t="n"/>
      <c r="BS61" s="336" t="n"/>
      <c r="BT61" s="336" t="n"/>
      <c r="BU61" s="336" t="n"/>
      <c r="BV61" s="336" t="n"/>
      <c r="BW61" s="336" t="n"/>
      <c r="BX61" s="336" t="n"/>
      <c r="BY61" s="336" t="n"/>
      <c r="BZ61" s="336" t="n"/>
      <c r="CA61" s="336" t="n"/>
      <c r="CB61" s="336" t="n"/>
      <c r="CC61" s="336" t="n"/>
      <c r="CD61" s="336" t="n"/>
      <c r="CE61" s="336" t="n"/>
    </row>
    <row r="62" customFormat="1" s="538">
      <c r="A62" s="350" t="n"/>
      <c r="B62" s="350" t="n"/>
      <c r="C62" s="353" t="n"/>
      <c r="D62" s="333" t="n"/>
      <c r="E62" s="354" t="n"/>
      <c r="F62" s="336" t="n"/>
      <c r="G62" s="336" t="n"/>
      <c r="H62" s="335" t="n"/>
      <c r="I62" s="336" t="n"/>
      <c r="J62" s="336" t="n"/>
      <c r="K62" s="336" t="n"/>
      <c r="L62" s="336" t="n"/>
      <c r="M62" s="336" t="n"/>
      <c r="N62" s="336" t="n"/>
      <c r="O62" s="336" t="n"/>
      <c r="P62" s="430" t="n"/>
      <c r="Q62" s="430" t="n"/>
      <c r="R62" s="430" t="n"/>
      <c r="S62" s="430" t="n"/>
      <c r="T62" s="430" t="n"/>
      <c r="U62" s="430" t="n"/>
      <c r="V62" s="430" t="n"/>
      <c r="W62" s="430" t="n"/>
      <c r="X62" s="430" t="n"/>
      <c r="Y62" s="430" t="n"/>
      <c r="Z62" s="430" t="n"/>
      <c r="AA62" s="430" t="n"/>
      <c r="AB62" s="430" t="n"/>
      <c r="AC62" s="338" t="n"/>
      <c r="AD62" s="338" t="n"/>
      <c r="AE62" s="338" t="n"/>
      <c r="AF62" s="338" t="n"/>
      <c r="AG62" s="339" t="n"/>
      <c r="AH62" s="339" t="n"/>
      <c r="AI62" s="339" t="n"/>
      <c r="AJ62" s="339" t="n"/>
      <c r="AK62" s="339" t="n"/>
      <c r="AL62" s="339" t="n"/>
      <c r="AM62" s="339" t="n"/>
      <c r="AN62" s="339" t="n"/>
      <c r="AO62" s="339" t="n"/>
      <c r="AP62" s="339" t="n"/>
      <c r="AQ62" s="339" t="n"/>
      <c r="AR62" s="339" t="n"/>
      <c r="AS62" s="339" t="n"/>
      <c r="AT62" s="339" t="n"/>
      <c r="AU62" s="339" t="n"/>
      <c r="AV62" s="339" t="n"/>
      <c r="AW62" s="339" t="n"/>
      <c r="AX62" s="430" t="n"/>
      <c r="AY62" s="336" t="n"/>
      <c r="AZ62" s="336" t="n"/>
      <c r="BA62" s="336" t="n"/>
      <c r="BB62" s="336" t="n"/>
      <c r="BC62" s="336" t="n"/>
      <c r="BD62" s="336" t="n"/>
      <c r="BE62" s="336" t="n"/>
      <c r="BF62" s="336" t="n"/>
      <c r="BG62" s="336" t="n"/>
      <c r="BH62" s="336" t="n"/>
      <c r="BI62" s="336" t="n"/>
      <c r="BJ62" s="336" t="n"/>
      <c r="BK62" s="336" t="n"/>
      <c r="BL62" s="336" t="n"/>
      <c r="BM62" s="336" t="n"/>
      <c r="BN62" s="336" t="n"/>
      <c r="BO62" s="336" t="n"/>
      <c r="BP62" s="336" t="n"/>
      <c r="BQ62" s="336" t="n"/>
      <c r="BR62" s="336" t="n"/>
      <c r="BS62" s="336" t="n"/>
      <c r="BT62" s="336" t="n"/>
      <c r="BU62" s="336" t="n"/>
      <c r="BV62" s="336" t="n"/>
      <c r="BW62" s="336" t="n"/>
      <c r="BX62" s="336" t="n"/>
      <c r="BY62" s="336" t="n"/>
      <c r="BZ62" s="336" t="n"/>
      <c r="CA62" s="336" t="n"/>
      <c r="CB62" s="336" t="n"/>
      <c r="CC62" s="336" t="n"/>
      <c r="CD62" s="336" t="n"/>
      <c r="CE62" s="336" t="n"/>
    </row>
    <row r="63" customFormat="1" s="538">
      <c r="A63" s="342" t="n"/>
      <c r="B63" s="358" t="n"/>
      <c r="C63" s="344" t="n"/>
      <c r="D63" s="345" t="n"/>
      <c r="E63" s="346" t="n"/>
      <c r="F63" s="336" t="n"/>
      <c r="G63" s="336" t="n"/>
      <c r="H63" s="336" t="n"/>
      <c r="I63" s="336" t="n"/>
      <c r="J63" s="336" t="n"/>
      <c r="K63" s="336" t="n"/>
      <c r="L63" s="336" t="n"/>
      <c r="M63" s="336" t="n"/>
      <c r="N63" s="336" t="n"/>
      <c r="O63" s="336" t="n"/>
      <c r="P63" s="357" t="n"/>
      <c r="Q63" s="357" t="n"/>
      <c r="R63" s="357" t="n"/>
      <c r="S63" s="357" t="n"/>
      <c r="T63" s="357" t="n"/>
      <c r="U63" s="357" t="n"/>
      <c r="V63" s="357" t="n"/>
      <c r="W63" s="357" t="n"/>
      <c r="X63" s="357" t="n"/>
      <c r="Y63" s="357" t="n"/>
      <c r="Z63" s="357" t="n"/>
      <c r="AA63" s="357" t="n"/>
      <c r="AB63" s="336" t="n"/>
      <c r="AC63" s="338" t="n"/>
      <c r="AD63" s="338" t="n"/>
      <c r="AE63" s="338" t="n"/>
      <c r="AF63" s="338" t="n"/>
      <c r="AG63" s="339" t="n"/>
      <c r="AH63" s="339" t="n"/>
      <c r="AI63" s="339" t="n"/>
      <c r="AJ63" s="339" t="n"/>
      <c r="AK63" s="339" t="n"/>
      <c r="AL63" s="339" t="n"/>
      <c r="AM63" s="339" t="n"/>
      <c r="AN63" s="339" t="n"/>
      <c r="AO63" s="339" t="n"/>
      <c r="AP63" s="339" t="n"/>
      <c r="AQ63" s="339" t="n"/>
      <c r="AR63" s="339" t="n"/>
      <c r="AS63" s="339" t="n"/>
      <c r="AT63" s="339" t="n"/>
      <c r="AU63" s="339" t="n"/>
      <c r="AV63" s="339" t="n"/>
      <c r="AW63" s="339" t="n"/>
      <c r="AX63" s="357" t="n"/>
      <c r="AY63" s="336" t="n"/>
      <c r="AZ63" s="336" t="n"/>
      <c r="BA63" s="336" t="n"/>
      <c r="BB63" s="336" t="n"/>
      <c r="BC63" s="336" t="n"/>
      <c r="BD63" s="336" t="n"/>
      <c r="BE63" s="336" t="n"/>
      <c r="BF63" s="336" t="n"/>
      <c r="BG63" s="336" t="n"/>
      <c r="BH63" s="336" t="n"/>
      <c r="BI63" s="336" t="n"/>
      <c r="BJ63" s="336" t="n"/>
      <c r="BK63" s="336" t="n"/>
      <c r="BL63" s="336" t="n"/>
      <c r="BM63" s="336" t="n"/>
      <c r="BN63" s="336" t="n"/>
      <c r="BO63" s="336" t="n"/>
      <c r="BP63" s="336" t="n"/>
      <c r="BQ63" s="336" t="n"/>
      <c r="BR63" s="336" t="n"/>
      <c r="BS63" s="336" t="n"/>
      <c r="BT63" s="336" t="n"/>
      <c r="BU63" s="336" t="n"/>
      <c r="BV63" s="336" t="n"/>
      <c r="BW63" s="336" t="n"/>
      <c r="BX63" s="336" t="n"/>
      <c r="BY63" s="336" t="n"/>
      <c r="BZ63" s="336" t="n"/>
      <c r="CA63" s="336" t="n"/>
      <c r="CB63" s="336" t="n"/>
      <c r="CC63" s="336" t="n"/>
      <c r="CD63" s="336" t="n"/>
      <c r="CE63" s="336" t="n"/>
      <c r="CF63" s="361" t="n"/>
    </row>
    <row r="64" customFormat="1" s="538">
      <c r="A64" s="349" t="n"/>
      <c r="B64" s="350" t="n"/>
      <c r="C64" s="353" t="n"/>
      <c r="D64" s="333" t="n"/>
      <c r="E64" s="332" t="n"/>
      <c r="F64" s="336" t="n"/>
      <c r="G64" s="336" t="n"/>
      <c r="H64" s="335" t="n"/>
      <c r="I64" s="336" t="n"/>
      <c r="J64" s="336" t="n"/>
      <c r="K64" s="336" t="n"/>
      <c r="L64" s="336" t="n"/>
      <c r="M64" s="336" t="n"/>
      <c r="N64" s="336" t="n"/>
      <c r="O64" s="336" t="n"/>
      <c r="P64" s="430" t="n"/>
      <c r="Q64" s="430" t="n"/>
      <c r="R64" s="430" t="n"/>
      <c r="S64" s="430" t="n"/>
      <c r="T64" s="430" t="n"/>
      <c r="U64" s="430" t="n"/>
      <c r="V64" s="430" t="n"/>
      <c r="W64" s="430" t="n"/>
      <c r="X64" s="430" t="n"/>
      <c r="Y64" s="430" t="n"/>
      <c r="Z64" s="430" t="n"/>
      <c r="AA64" s="430" t="n"/>
      <c r="AB64" s="430" t="n"/>
      <c r="AC64" s="338" t="n"/>
      <c r="AD64" s="338" t="n"/>
      <c r="AE64" s="338" t="n"/>
      <c r="AF64" s="338" t="n"/>
      <c r="AG64" s="339" t="n"/>
      <c r="AH64" s="339" t="n"/>
      <c r="AI64" s="339" t="n"/>
      <c r="AJ64" s="339" t="n"/>
      <c r="AK64" s="339" t="n"/>
      <c r="AL64" s="339" t="n"/>
      <c r="AM64" s="339" t="n"/>
      <c r="AN64" s="339" t="n"/>
      <c r="AO64" s="339" t="n"/>
      <c r="AP64" s="339" t="n"/>
      <c r="AQ64" s="339" t="n"/>
      <c r="AR64" s="339" t="n"/>
      <c r="AS64" s="339" t="n"/>
      <c r="AT64" s="339" t="n"/>
      <c r="AU64" s="339" t="n"/>
      <c r="AV64" s="339" t="n"/>
      <c r="AW64" s="339" t="n"/>
      <c r="AX64" s="430" t="n"/>
      <c r="AY64" s="336" t="n"/>
      <c r="AZ64" s="336" t="n"/>
      <c r="BA64" s="336" t="n"/>
      <c r="BB64" s="336" t="n"/>
      <c r="BC64" s="336" t="n"/>
      <c r="BD64" s="336" t="n"/>
      <c r="BE64" s="336" t="n"/>
      <c r="BF64" s="336" t="n"/>
      <c r="BG64" s="336" t="n"/>
      <c r="BH64" s="336" t="n"/>
      <c r="BI64" s="336" t="n"/>
      <c r="BJ64" s="336" t="n"/>
      <c r="BK64" s="336" t="n"/>
      <c r="BL64" s="336" t="n"/>
      <c r="BM64" s="336" t="n"/>
      <c r="BN64" s="336" t="n"/>
      <c r="BO64" s="336" t="n"/>
      <c r="BP64" s="336" t="n"/>
      <c r="BQ64" s="336" t="n"/>
      <c r="BR64" s="336" t="n"/>
      <c r="BS64" s="336" t="n"/>
      <c r="BT64" s="336" t="n"/>
      <c r="BU64" s="336" t="n"/>
      <c r="BV64" s="336" t="n"/>
      <c r="BW64" s="336" t="n"/>
      <c r="BX64" s="336" t="n"/>
      <c r="BY64" s="336" t="n"/>
      <c r="BZ64" s="336" t="n"/>
      <c r="CA64" s="336" t="n"/>
      <c r="CB64" s="336" t="n"/>
      <c r="CC64" s="336" t="n"/>
      <c r="CD64" s="336" t="n"/>
      <c r="CE64" s="336" t="n"/>
    </row>
    <row r="65" customFormat="1" s="538">
      <c r="A65" s="349" t="n"/>
      <c r="B65" s="350" t="n"/>
      <c r="C65" s="353" t="n"/>
      <c r="D65" s="333" t="n"/>
      <c r="E65" s="332" t="n"/>
      <c r="F65" s="336" t="n"/>
      <c r="G65" s="336" t="n"/>
      <c r="H65" s="335" t="n"/>
      <c r="I65" s="336" t="n"/>
      <c r="J65" s="336" t="n"/>
      <c r="K65" s="336" t="n"/>
      <c r="L65" s="336" t="n"/>
      <c r="M65" s="336" t="n"/>
      <c r="N65" s="336" t="n"/>
      <c r="O65" s="336" t="n"/>
      <c r="P65" s="430" t="n"/>
      <c r="Q65" s="430" t="n"/>
      <c r="R65" s="430" t="n"/>
      <c r="S65" s="430" t="n"/>
      <c r="T65" s="430" t="n"/>
      <c r="U65" s="430" t="n"/>
      <c r="V65" s="430" t="n"/>
      <c r="W65" s="430" t="n"/>
      <c r="X65" s="430" t="n"/>
      <c r="Y65" s="430" t="n"/>
      <c r="Z65" s="430" t="n"/>
      <c r="AA65" s="430" t="n"/>
      <c r="AB65" s="430" t="n"/>
      <c r="AC65" s="357" t="n"/>
      <c r="AD65" s="357" t="n"/>
      <c r="AE65" s="357" t="n"/>
      <c r="AF65" s="357" t="n"/>
      <c r="AG65" s="339" t="n"/>
      <c r="AH65" s="339" t="n"/>
      <c r="AI65" s="339" t="n"/>
      <c r="AJ65" s="339" t="n"/>
      <c r="AK65" s="339" t="n"/>
      <c r="AL65" s="339" t="n"/>
      <c r="AM65" s="339" t="n"/>
      <c r="AN65" s="339" t="n"/>
      <c r="AO65" s="339" t="n"/>
      <c r="AP65" s="339" t="n"/>
      <c r="AQ65" s="339" t="n"/>
      <c r="AR65" s="339" t="n"/>
      <c r="AS65" s="339" t="n"/>
      <c r="AT65" s="357" t="n"/>
      <c r="AU65" s="357" t="n"/>
      <c r="AV65" s="357" t="n"/>
      <c r="AW65" s="357" t="n"/>
      <c r="AX65" s="430" t="n"/>
      <c r="AY65" s="336" t="n"/>
      <c r="AZ65" s="336" t="n"/>
      <c r="BA65" s="336" t="n"/>
      <c r="BB65" s="336" t="n"/>
      <c r="BC65" s="336" t="n"/>
      <c r="BD65" s="336" t="n"/>
      <c r="BE65" s="336" t="n"/>
      <c r="BF65" s="336" t="n"/>
      <c r="BG65" s="336" t="n"/>
      <c r="BH65" s="336" t="n"/>
      <c r="BI65" s="336" t="n"/>
      <c r="BJ65" s="336" t="n"/>
      <c r="BK65" s="336" t="n"/>
      <c r="BL65" s="336" t="n"/>
      <c r="BM65" s="336" t="n"/>
      <c r="BN65" s="336" t="n"/>
      <c r="BO65" s="336" t="n"/>
      <c r="BP65" s="336" t="n"/>
      <c r="BQ65" s="336" t="n"/>
      <c r="BR65" s="336" t="n"/>
      <c r="BS65" s="336" t="n"/>
      <c r="BT65" s="336" t="n"/>
      <c r="BU65" s="336" t="n"/>
      <c r="BV65" s="336" t="n"/>
      <c r="BW65" s="336" t="n"/>
      <c r="BX65" s="336" t="n"/>
      <c r="BY65" s="336" t="n"/>
      <c r="BZ65" s="336" t="n"/>
      <c r="CA65" s="336" t="n"/>
      <c r="CB65" s="336" t="n"/>
      <c r="CC65" s="336" t="n"/>
      <c r="CD65" s="336" t="n"/>
      <c r="CE65" s="336" t="n"/>
    </row>
    <row r="66" customFormat="1" s="538">
      <c r="A66" s="358" t="n"/>
      <c r="B66" s="358" t="n"/>
      <c r="C66" s="344" t="n"/>
      <c r="D66" s="345" t="n"/>
      <c r="E66" s="346" t="n"/>
      <c r="F66" s="336" t="n"/>
      <c r="G66" s="336" t="n"/>
      <c r="H66" s="336" t="n"/>
      <c r="I66" s="336" t="n"/>
      <c r="J66" s="336" t="n"/>
      <c r="K66" s="336" t="n"/>
      <c r="L66" s="336" t="n"/>
      <c r="M66" s="336" t="n"/>
      <c r="N66" s="336" t="n"/>
      <c r="O66" s="336" t="n"/>
      <c r="P66" s="357" t="n"/>
      <c r="Q66" s="357" t="n"/>
      <c r="R66" s="357" t="n"/>
      <c r="S66" s="357" t="n"/>
      <c r="T66" s="357" t="n"/>
      <c r="U66" s="357" t="n"/>
      <c r="V66" s="357" t="n"/>
      <c r="W66" s="357" t="n"/>
      <c r="X66" s="357" t="n"/>
      <c r="Y66" s="357" t="n"/>
      <c r="Z66" s="357" t="n"/>
      <c r="AA66" s="357" t="n"/>
      <c r="AB66" s="336" t="n"/>
      <c r="AC66" s="338" t="n"/>
      <c r="AD66" s="338" t="n"/>
      <c r="AE66" s="338" t="n"/>
      <c r="AF66" s="338" t="n"/>
      <c r="AG66" s="339" t="n"/>
      <c r="AH66" s="339" t="n"/>
      <c r="AI66" s="339" t="n"/>
      <c r="AJ66" s="339" t="n"/>
      <c r="AK66" s="339" t="n"/>
      <c r="AL66" s="339" t="n"/>
      <c r="AM66" s="339" t="n"/>
      <c r="AN66" s="339" t="n"/>
      <c r="AO66" s="339" t="n"/>
      <c r="AP66" s="339" t="n"/>
      <c r="AQ66" s="339" t="n"/>
      <c r="AR66" s="339" t="n"/>
      <c r="AS66" s="339" t="n"/>
      <c r="AT66" s="339" t="n"/>
      <c r="AU66" s="339" t="n"/>
      <c r="AV66" s="339" t="n"/>
      <c r="AW66" s="339" t="n"/>
      <c r="AX66" s="357" t="n"/>
      <c r="AY66" s="336" t="n"/>
      <c r="AZ66" s="336" t="n"/>
      <c r="BA66" s="336" t="n"/>
      <c r="BB66" s="336" t="n"/>
      <c r="BC66" s="336" t="n"/>
      <c r="BD66" s="336" t="n"/>
      <c r="BE66" s="336" t="n"/>
      <c r="BF66" s="336" t="n"/>
      <c r="BG66" s="336" t="n"/>
      <c r="BH66" s="336" t="n"/>
      <c r="BI66" s="336" t="n"/>
      <c r="BJ66" s="336" t="n"/>
      <c r="BK66" s="336" t="n"/>
      <c r="BL66" s="336" t="n"/>
      <c r="BM66" s="336" t="n"/>
      <c r="BN66" s="336" t="n"/>
      <c r="BO66" s="336" t="n"/>
      <c r="BP66" s="336" t="n"/>
      <c r="BQ66" s="336" t="n"/>
      <c r="BR66" s="336" t="n"/>
      <c r="BS66" s="336" t="n"/>
      <c r="BT66" s="336" t="n"/>
      <c r="BU66" s="336" t="n"/>
      <c r="BV66" s="336" t="n"/>
      <c r="BW66" s="336" t="n"/>
      <c r="BX66" s="336" t="n"/>
      <c r="BY66" s="336" t="n"/>
      <c r="BZ66" s="336" t="n"/>
      <c r="CA66" s="336" t="n"/>
      <c r="CB66" s="336" t="n"/>
      <c r="CC66" s="336" t="n"/>
      <c r="CD66" s="336" t="n"/>
      <c r="CE66" s="336" t="n"/>
      <c r="CF66" s="361" t="n"/>
    </row>
    <row r="67" customFormat="1" s="538">
      <c r="A67" s="350" t="n"/>
      <c r="B67" s="350" t="n"/>
      <c r="C67" s="353" t="n"/>
      <c r="D67" s="333" t="n"/>
      <c r="E67" s="332" t="n"/>
      <c r="F67" s="336" t="n"/>
      <c r="G67" s="336" t="n"/>
      <c r="H67" s="335" t="n"/>
      <c r="I67" s="336" t="n"/>
      <c r="J67" s="336" t="n"/>
      <c r="K67" s="336" t="n"/>
      <c r="L67" s="336" t="n"/>
      <c r="M67" s="336" t="n"/>
      <c r="N67" s="336" t="n"/>
      <c r="O67" s="336" t="n"/>
      <c r="P67" s="430" t="n"/>
      <c r="Q67" s="430" t="n"/>
      <c r="R67" s="430" t="n"/>
      <c r="S67" s="430" t="n"/>
      <c r="T67" s="430" t="n"/>
      <c r="U67" s="430" t="n"/>
      <c r="V67" s="430" t="n"/>
      <c r="W67" s="430" t="n"/>
      <c r="X67" s="430" t="n"/>
      <c r="Y67" s="430" t="n"/>
      <c r="Z67" s="430" t="n"/>
      <c r="AA67" s="430" t="n"/>
      <c r="AB67" s="430" t="n"/>
      <c r="AC67" s="338" t="n"/>
      <c r="AD67" s="338" t="n"/>
      <c r="AE67" s="338" t="n"/>
      <c r="AF67" s="338" t="n"/>
      <c r="AG67" s="339" t="n"/>
      <c r="AH67" s="339" t="n"/>
      <c r="AI67" s="339" t="n"/>
      <c r="AJ67" s="339" t="n"/>
      <c r="AK67" s="339" t="n"/>
      <c r="AL67" s="339" t="n"/>
      <c r="AM67" s="339" t="n"/>
      <c r="AN67" s="339" t="n"/>
      <c r="AO67" s="339" t="n"/>
      <c r="AP67" s="339" t="n"/>
      <c r="AQ67" s="339" t="n"/>
      <c r="AR67" s="339" t="n"/>
      <c r="AS67" s="339" t="n"/>
      <c r="AT67" s="339" t="n"/>
      <c r="AU67" s="339" t="n"/>
      <c r="AV67" s="339" t="n"/>
      <c r="AW67" s="339" t="n"/>
      <c r="AX67" s="430" t="n"/>
      <c r="AY67" s="336" t="n"/>
      <c r="AZ67" s="336" t="n"/>
      <c r="BA67" s="336" t="n"/>
      <c r="BB67" s="336" t="n"/>
      <c r="BC67" s="336" t="n"/>
      <c r="BD67" s="336" t="n"/>
      <c r="BE67" s="336" t="n"/>
      <c r="BF67" s="336" t="n"/>
      <c r="BG67" s="336" t="n"/>
      <c r="BH67" s="336" t="n"/>
      <c r="BI67" s="336" t="n"/>
      <c r="BJ67" s="336" t="n"/>
      <c r="BK67" s="336" t="n"/>
      <c r="BL67" s="336" t="n"/>
      <c r="BM67" s="336" t="n"/>
      <c r="BN67" s="336" t="n"/>
      <c r="BO67" s="336" t="n"/>
      <c r="BP67" s="336" t="n"/>
      <c r="BQ67" s="336" t="n"/>
      <c r="BR67" s="336" t="n"/>
      <c r="BS67" s="336" t="n"/>
      <c r="BT67" s="336" t="n"/>
      <c r="BU67" s="336" t="n"/>
      <c r="BV67" s="336" t="n"/>
      <c r="BW67" s="336" t="n"/>
      <c r="BX67" s="336" t="n"/>
      <c r="BY67" s="336" t="n"/>
      <c r="BZ67" s="336" t="n"/>
      <c r="CA67" s="336" t="n"/>
      <c r="CB67" s="336" t="n"/>
      <c r="CC67" s="336" t="n"/>
      <c r="CD67" s="336" t="n"/>
      <c r="CE67" s="336" t="n"/>
    </row>
    <row r="68" customFormat="1" s="538">
      <c r="A68" s="350" t="n"/>
      <c r="B68" s="350" t="n"/>
      <c r="C68" s="353" t="n"/>
      <c r="D68" s="333" t="n"/>
      <c r="E68" s="332" t="n"/>
      <c r="F68" s="336" t="n"/>
      <c r="G68" s="336" t="n"/>
      <c r="H68" s="335" t="n"/>
      <c r="I68" s="336" t="n"/>
      <c r="J68" s="336" t="n"/>
      <c r="K68" s="336" t="n"/>
      <c r="L68" s="336" t="n"/>
      <c r="M68" s="336" t="n"/>
      <c r="N68" s="336" t="n"/>
      <c r="O68" s="336" t="n"/>
      <c r="P68" s="430" t="n"/>
      <c r="Q68" s="430" t="n"/>
      <c r="R68" s="430" t="n"/>
      <c r="S68" s="430" t="n"/>
      <c r="T68" s="430" t="n"/>
      <c r="U68" s="430" t="n"/>
      <c r="V68" s="430" t="n"/>
      <c r="W68" s="430" t="n"/>
      <c r="X68" s="430" t="n"/>
      <c r="Y68" s="430" t="n"/>
      <c r="Z68" s="430" t="n"/>
      <c r="AA68" s="430" t="n"/>
      <c r="AB68" s="430" t="n"/>
      <c r="AC68" s="338" t="n"/>
      <c r="AD68" s="338" t="n"/>
      <c r="AE68" s="338" t="n"/>
      <c r="AF68" s="338" t="n"/>
      <c r="AG68" s="339" t="n"/>
      <c r="AH68" s="339" t="n"/>
      <c r="AI68" s="339" t="n"/>
      <c r="AJ68" s="339" t="n"/>
      <c r="AK68" s="339" t="n"/>
      <c r="AL68" s="339" t="n"/>
      <c r="AM68" s="339" t="n"/>
      <c r="AN68" s="339" t="n"/>
      <c r="AO68" s="339" t="n"/>
      <c r="AP68" s="339" t="n"/>
      <c r="AQ68" s="339" t="n"/>
      <c r="AR68" s="339" t="n"/>
      <c r="AS68" s="339" t="n"/>
      <c r="AT68" s="339" t="n"/>
      <c r="AU68" s="339" t="n"/>
      <c r="AV68" s="339" t="n"/>
      <c r="AW68" s="339" t="n"/>
      <c r="AX68" s="430" t="n"/>
      <c r="AY68" s="336" t="n"/>
      <c r="AZ68" s="336" t="n"/>
      <c r="BA68" s="336" t="n"/>
      <c r="BB68" s="336" t="n"/>
      <c r="BC68" s="336" t="n"/>
      <c r="BD68" s="336" t="n"/>
      <c r="BE68" s="336" t="n"/>
      <c r="BF68" s="336" t="n"/>
      <c r="BG68" s="336" t="n"/>
      <c r="BH68" s="336" t="n"/>
      <c r="BI68" s="336" t="n"/>
      <c r="BJ68" s="336" t="n"/>
      <c r="BK68" s="336" t="n"/>
      <c r="BL68" s="336" t="n"/>
      <c r="BM68" s="336" t="n"/>
      <c r="BN68" s="336" t="n"/>
      <c r="BO68" s="336" t="n"/>
      <c r="BP68" s="336" t="n"/>
      <c r="BQ68" s="336" t="n"/>
      <c r="BR68" s="336" t="n"/>
      <c r="BS68" s="336" t="n"/>
      <c r="BT68" s="336" t="n"/>
      <c r="BU68" s="336" t="n"/>
      <c r="BV68" s="336" t="n"/>
      <c r="BW68" s="336" t="n"/>
      <c r="BX68" s="336" t="n"/>
      <c r="BY68" s="336" t="n"/>
      <c r="BZ68" s="336" t="n"/>
      <c r="CA68" s="336" t="n"/>
      <c r="CB68" s="336" t="n"/>
      <c r="CC68" s="336" t="n"/>
      <c r="CD68" s="336" t="n"/>
      <c r="CE68" s="336" t="n"/>
    </row>
    <row r="69" customFormat="1" s="538">
      <c r="A69" s="342" t="n"/>
      <c r="B69" s="358" t="n"/>
      <c r="C69" s="344" t="n"/>
      <c r="D69" s="345" t="n"/>
      <c r="E69" s="346" t="n"/>
      <c r="F69" s="336" t="n"/>
      <c r="G69" s="336" t="n"/>
      <c r="H69" s="335" t="n"/>
      <c r="I69" s="336" t="n"/>
      <c r="J69" s="336" t="n"/>
      <c r="K69" s="336" t="n"/>
      <c r="L69" s="336" t="n"/>
      <c r="M69" s="336" t="n"/>
      <c r="N69" s="336" t="n"/>
      <c r="O69" s="336" t="n"/>
      <c r="P69" s="430" t="n"/>
      <c r="Q69" s="430" t="n"/>
      <c r="R69" s="430" t="n"/>
      <c r="S69" s="430" t="n"/>
      <c r="T69" s="430" t="n"/>
      <c r="U69" s="430" t="n"/>
      <c r="V69" s="430" t="n"/>
      <c r="W69" s="430" t="n"/>
      <c r="X69" s="430" t="n"/>
      <c r="Y69" s="430" t="n"/>
      <c r="Z69" s="430" t="n"/>
      <c r="AA69" s="430" t="n"/>
      <c r="AB69" s="430" t="n"/>
      <c r="AC69" s="338" t="n"/>
      <c r="AD69" s="338" t="n"/>
      <c r="AE69" s="338" t="n"/>
      <c r="AF69" s="338" t="n"/>
      <c r="AG69" s="339" t="n"/>
      <c r="AH69" s="339" t="n"/>
      <c r="AI69" s="339" t="n"/>
      <c r="AJ69" s="339" t="n"/>
      <c r="AK69" s="339" t="n"/>
      <c r="AL69" s="339" t="n"/>
      <c r="AM69" s="339" t="n"/>
      <c r="AN69" s="339" t="n"/>
      <c r="AO69" s="339" t="n"/>
      <c r="AP69" s="339" t="n"/>
      <c r="AQ69" s="339" t="n"/>
      <c r="AR69" s="339" t="n"/>
      <c r="AS69" s="339" t="n"/>
      <c r="AT69" s="339" t="n"/>
      <c r="AU69" s="339" t="n"/>
      <c r="AV69" s="339" t="n"/>
      <c r="AW69" s="339" t="n"/>
      <c r="AX69" s="430" t="n"/>
      <c r="AY69" s="336" t="n"/>
      <c r="AZ69" s="336" t="n"/>
      <c r="BA69" s="336" t="n"/>
      <c r="BB69" s="336" t="n"/>
      <c r="BC69" s="336" t="n"/>
      <c r="BD69" s="336" t="n"/>
      <c r="BE69" s="336" t="n"/>
      <c r="BF69" s="336" t="n"/>
      <c r="BG69" s="336" t="n"/>
      <c r="BH69" s="336" t="n"/>
      <c r="BI69" s="336" t="n"/>
      <c r="BJ69" s="336" t="n"/>
      <c r="BK69" s="336" t="n"/>
      <c r="BL69" s="336" t="n"/>
      <c r="BM69" s="336" t="n"/>
      <c r="BN69" s="336" t="n"/>
      <c r="BO69" s="336" t="n"/>
      <c r="BP69" s="336" t="n"/>
      <c r="BQ69" s="336" t="n"/>
      <c r="BR69" s="336" t="n"/>
      <c r="BS69" s="336" t="n"/>
      <c r="BT69" s="336" t="n"/>
      <c r="BU69" s="336" t="n"/>
      <c r="BV69" s="336" t="n"/>
      <c r="BW69" s="336" t="n"/>
      <c r="BX69" s="336" t="n"/>
      <c r="BY69" s="336" t="n"/>
      <c r="BZ69" s="336" t="n"/>
      <c r="CA69" s="336" t="n"/>
      <c r="CB69" s="336" t="n"/>
      <c r="CC69" s="336" t="n"/>
      <c r="CD69" s="336" t="n"/>
      <c r="CE69" s="336" t="n"/>
      <c r="CF69" s="361" t="n"/>
    </row>
    <row r="70" ht="18" customFormat="1" customHeight="1" s="538">
      <c r="A70" s="660" t="n"/>
      <c r="G70" s="361" t="n"/>
      <c r="H70" s="361" t="n"/>
      <c r="AF70" s="362" t="n"/>
      <c r="AG70" s="362" t="n"/>
      <c r="AH70" s="362" t="n"/>
      <c r="AI70" s="362" t="n"/>
      <c r="AJ70" s="362" t="n"/>
      <c r="AK70" s="362" t="n"/>
      <c r="AL70" s="362" t="n"/>
      <c r="AM70" s="362" t="n"/>
      <c r="AN70" s="362" t="n"/>
      <c r="AO70" s="362" t="n"/>
      <c r="AP70" s="362" t="n"/>
      <c r="AQ70" s="362" t="n"/>
      <c r="AR70" s="362" t="n"/>
      <c r="AS70" s="362" t="n"/>
      <c r="AT70" s="362" t="n"/>
      <c r="AU70" s="362" t="n"/>
      <c r="AV70" s="362" t="n"/>
      <c r="AW70" s="362" t="n"/>
      <c r="AX70" s="358" t="n"/>
      <c r="AY70" s="362" t="n"/>
      <c r="AZ70" s="358" t="n"/>
      <c r="BA70" s="363" t="n"/>
      <c r="BB70" s="362" t="n"/>
      <c r="BI70" s="364" t="n"/>
      <c r="BL70" s="364" t="n"/>
      <c r="BO70" s="364" t="n"/>
      <c r="BR70" s="364" t="n"/>
      <c r="BS70" s="364" t="n"/>
      <c r="BW70" s="364" t="n"/>
      <c r="CA70" s="364" t="n"/>
      <c r="CE70" s="364" t="n"/>
    </row>
    <row r="71" customFormat="1" s="538">
      <c r="A71" s="351" t="n"/>
      <c r="B71" s="351" t="n"/>
      <c r="C71" s="351" t="n"/>
      <c r="D71" s="351" t="n"/>
      <c r="E71" s="351" t="n"/>
      <c r="F71" s="351" t="n"/>
      <c r="G71" s="351" t="n"/>
      <c r="H71" s="351" t="n"/>
      <c r="I71" s="351" t="n"/>
      <c r="J71" s="351" t="n"/>
      <c r="K71" s="351" t="n"/>
      <c r="L71" s="351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  <c r="Y71" s="351" t="n"/>
      <c r="Z71" s="351" t="n"/>
      <c r="AA71" s="351" t="n"/>
      <c r="AB71" s="351" t="n"/>
      <c r="AC71" s="351" t="n"/>
      <c r="AD71" s="351" t="n"/>
      <c r="AE71" s="351" t="n"/>
      <c r="AF71" s="351" t="n"/>
      <c r="AG71" s="351" t="n"/>
      <c r="AH71" s="351" t="n"/>
      <c r="AI71" s="351" t="n"/>
      <c r="AJ71" s="351" t="n"/>
      <c r="AK71" s="351" t="n"/>
      <c r="AL71" s="351" t="n"/>
      <c r="AM71" s="351" t="n"/>
      <c r="AN71" s="351" t="n"/>
      <c r="AO71" s="351" t="n"/>
      <c r="AP71" s="351" t="n"/>
      <c r="AQ71" s="351" t="n"/>
      <c r="AR71" s="351" t="n"/>
      <c r="AS71" s="351" t="n"/>
      <c r="AT71" s="351" t="n"/>
      <c r="AU71" s="351" t="n"/>
      <c r="AV71" s="351" t="n"/>
      <c r="AW71" s="351" t="n"/>
      <c r="CF71" s="361" t="n"/>
    </row>
    <row r="72" customFormat="1" s="538">
      <c r="A72" s="351" t="n"/>
      <c r="B72" s="351" t="n"/>
      <c r="C72" s="351" t="n"/>
      <c r="D72" s="352" t="n"/>
      <c r="E72" s="365" t="n"/>
      <c r="F72" s="361" t="n"/>
      <c r="G72" s="361" t="n"/>
      <c r="H72" s="361" t="n"/>
    </row>
    <row r="73" customFormat="1" s="538">
      <c r="A73" s="351" t="n"/>
      <c r="B73" s="351" t="n"/>
      <c r="C73" s="351" t="n"/>
      <c r="D73" s="352" t="n"/>
      <c r="E73" s="365" t="n"/>
    </row>
    <row r="74" customFormat="1" s="538">
      <c r="A74" s="351" t="n"/>
      <c r="B74" s="351" t="n"/>
      <c r="C74" s="351" t="n"/>
      <c r="D74" s="352" t="n"/>
      <c r="E74" s="365" t="n"/>
    </row>
    <row r="75"/>
    <row r="76"/>
    <row r="77"/>
    <row r="78" ht="18" customHeight="1" s="191">
      <c r="AR78" s="200" t="n"/>
    </row>
  </sheetData>
  <mergeCells count="1">
    <mergeCell ref="A70:E70"/>
  </mergeCells>
  <conditionalFormatting sqref="P75:BC77 P78:AQ78 P79:AB1048576 AG79:AS1048576 AS78:BC78">
    <cfRule type="cellIs" priority="8" operator="greaterThan" dxfId="0">
      <formula>0</formula>
    </cfRule>
  </conditionalFormatting>
  <conditionalFormatting sqref="P6:AB9 P11:AB16 P18:AB23 P25:AB29 Q4:AB4 AG4:CE4 AG6:AS9 AG11:AS16 AG18:AS23 AG25:AS29">
    <cfRule type="cellIs" priority="7" operator="greaterThan" dxfId="0">
      <formula>0</formula>
    </cfRule>
  </conditionalFormatting>
  <conditionalFormatting sqref="Q5:CE5">
    <cfRule type="cellIs" priority="1" operator="greaterThan" dxfId="0">
      <formula>0</formula>
    </cfRule>
  </conditionalFormatting>
  <conditionalFormatting sqref="AC6:AF9 AC11:AF16 AC18:AF23 AC25:AF29">
    <cfRule type="cellIs" priority="5" operator="greaterThan" dxfId="51">
      <formula>0</formula>
    </cfRule>
  </conditionalFormatting>
  <conditionalFormatting sqref="O10:AB10 AG10:CE10">
    <cfRule type="cellIs" priority="4" operator="greaterThan" dxfId="0">
      <formula>0</formula>
    </cfRule>
  </conditionalFormatting>
  <conditionalFormatting sqref="O17:AB17 AG17:CE17">
    <cfRule type="cellIs" priority="3" operator="greaterThan" dxfId="0">
      <formula>0</formula>
    </cfRule>
  </conditionalFormatting>
  <conditionalFormatting sqref="O24:AB24 AG24:CE24">
    <cfRule type="cellIs" priority="2" operator="greaterThan" dxfId="0">
      <formula>0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78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1" sqref="H1:H1048576"/>
    </sheetView>
  </sheetViews>
  <sheetFormatPr baseColWidth="8" defaultColWidth="14.44140625" defaultRowHeight="14.4"/>
  <cols>
    <col width="5" customWidth="1" style="104" min="1" max="1"/>
    <col width="4.44140625" customWidth="1" style="104" min="2" max="2"/>
    <col width="3" customWidth="1" style="104" min="3" max="3"/>
    <col width="9" bestFit="1" customWidth="1" style="117" min="4" max="4"/>
    <col width="78.33203125" customWidth="1" style="125" min="5" max="5"/>
    <col width="11.33203125" customWidth="1" style="191" min="6" max="7"/>
    <col width="8.109375" bestFit="1" customWidth="1" style="191" min="8" max="8"/>
    <col width="11.33203125" customWidth="1" style="191" min="9" max="13"/>
    <col width="9.109375" customWidth="1" style="191" min="14" max="28"/>
    <col width="9.109375" customWidth="1" style="191" min="29" max="32"/>
    <col width="9.109375" customWidth="1" style="191" min="33" max="45"/>
    <col width="9.109375" customWidth="1" style="191" min="46" max="49"/>
    <col width="9.109375" customWidth="1" style="191" min="50" max="52"/>
    <col width="10.88671875" bestFit="1" customWidth="1" style="191" min="53" max="54"/>
    <col width="14.88671875" customWidth="1" style="191" min="55" max="55"/>
    <col width="9.109375" customWidth="1" style="191" min="56" max="61"/>
    <col width="11.5546875" customWidth="1" style="191" min="62" max="62"/>
    <col width="8.6640625" customWidth="1" style="191" min="63" max="70"/>
    <col width="10.33203125" customWidth="1" style="191" min="71" max="71"/>
    <col width="7.44140625" customWidth="1" style="191" min="72" max="72"/>
    <col width="8.6640625" customWidth="1" style="191" min="73" max="75"/>
    <col width="8.44140625" customWidth="1" style="191" min="76" max="76"/>
    <col width="8.6640625" customWidth="1" style="191" min="77" max="84"/>
  </cols>
  <sheetData>
    <row r="1" ht="15" customHeight="1" s="191" thickBot="1">
      <c r="A1" s="115" t="n"/>
      <c r="B1" s="115" t="n"/>
      <c r="C1" s="115" t="n"/>
      <c r="D1" s="115" t="n"/>
      <c r="E1" s="678" t="inlineStr">
        <is>
          <t>HARMONOGRAM SKOMPRESOWANY v1  |  01.01.2027 – 28.09.2029  |  Kompresja −40% per zadanie  |  Endava +5 etatów  |  AGH +4 etatów</t>
        </is>
      </c>
      <c r="F1" s="662" t="n"/>
      <c r="G1" s="662" t="n"/>
      <c r="H1" s="662" t="n"/>
      <c r="I1" s="662" t="n"/>
      <c r="J1" s="551">
        <f>I_Wzorcowa_BD!M1+1</f>
        <v/>
      </c>
      <c r="K1" s="475" t="inlineStr">
        <is>
          <t>równolegle z Zadaniem II</t>
        </is>
      </c>
      <c r="L1" s="475" t="n"/>
      <c r="M1" s="551">
        <f>MAX(M3:M9999)</f>
        <v/>
      </c>
      <c r="N1" s="679">
        <f>SUM(N$4:N$999)</f>
        <v/>
      </c>
      <c r="O1" s="686">
        <f>SUM(O$4:O$999)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AX1" s="373">
        <f>#REF!</f>
        <v/>
      </c>
      <c r="AY1" s="374" t="n"/>
      <c r="AZ1" s="374" t="n"/>
      <c r="BA1" s="374" t="n"/>
      <c r="BB1" s="375" t="n"/>
      <c r="BC1" s="369">
        <f>#REF!</f>
        <v/>
      </c>
      <c r="BD1" s="370" t="n"/>
      <c r="BE1" s="369" t="n"/>
      <c r="BF1" s="370" t="n"/>
      <c r="BG1" s="369" t="n"/>
      <c r="BH1" s="370" t="n"/>
      <c r="BI1" s="371">
        <f>#REF!</f>
        <v/>
      </c>
      <c r="BJ1" s="371" t="n"/>
      <c r="BK1" s="371" t="n"/>
      <c r="BL1" s="371" t="n"/>
      <c r="BM1" s="372" t="n"/>
      <c r="BN1" s="372" t="n"/>
      <c r="BO1" s="372" t="n"/>
      <c r="BP1" s="372" t="n"/>
      <c r="BQ1" s="372" t="n"/>
      <c r="BR1" s="372" t="n"/>
      <c r="BS1" s="372" t="n"/>
      <c r="BT1" s="372" t="n"/>
      <c r="BU1" s="372" t="n"/>
      <c r="BV1" s="372" t="n"/>
      <c r="BW1" s="372" t="n"/>
      <c r="BX1" s="687">
        <f>#REF!</f>
        <v/>
      </c>
      <c r="BY1" s="688" t="n"/>
      <c r="BZ1" s="688" t="n"/>
      <c r="CA1" s="689" t="n"/>
      <c r="CB1" s="687">
        <f>#REF!</f>
        <v/>
      </c>
      <c r="CC1" s="688" t="n"/>
      <c r="CD1" s="688" t="n"/>
      <c r="CE1" s="689" t="n"/>
    </row>
    <row r="2" ht="100.8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380">
        <f>Karta!BH2</f>
        <v/>
      </c>
      <c r="AY2" s="380">
        <f>Karta!BI2</f>
        <v/>
      </c>
      <c r="AZ2" s="380">
        <f>Karta!BJ2</f>
        <v/>
      </c>
      <c r="BA2" s="380">
        <f>Karta!BK2</f>
        <v/>
      </c>
      <c r="BB2" s="380">
        <f>Karta!BL2</f>
        <v/>
      </c>
      <c r="BC2" s="6">
        <f>Karta!BM2</f>
        <v/>
      </c>
      <c r="BD2" s="6">
        <f>Karta!BN2</f>
        <v/>
      </c>
      <c r="BE2" s="6">
        <f>Karta!BO2</f>
        <v/>
      </c>
      <c r="BF2" s="6">
        <f>Karta!BP2</f>
        <v/>
      </c>
      <c r="BG2" s="6">
        <f>Karta!BQ2</f>
        <v/>
      </c>
      <c r="BH2" s="6">
        <f>Karta!BR2</f>
        <v/>
      </c>
      <c r="BI2" s="6">
        <f>Karta!BS2</f>
        <v/>
      </c>
      <c r="BJ2" s="6">
        <f>Karta!BT2</f>
        <v/>
      </c>
      <c r="BK2" s="6">
        <f>Karta!BU2</f>
        <v/>
      </c>
      <c r="BL2" s="6">
        <f>Karta!BV2</f>
        <v/>
      </c>
      <c r="BM2" s="6">
        <f>Karta!BW2</f>
        <v/>
      </c>
      <c r="BN2" s="6">
        <f>Karta!BX2</f>
        <v/>
      </c>
      <c r="BO2" s="6">
        <f>Karta!BY2</f>
        <v/>
      </c>
      <c r="BP2" s="6">
        <f>Karta!BZ2</f>
        <v/>
      </c>
      <c r="BQ2" s="6">
        <f>Karta!CA2</f>
        <v/>
      </c>
      <c r="BR2" s="6">
        <f>Karta!CB2</f>
        <v/>
      </c>
      <c r="BS2" s="6">
        <f>Karta!CC2</f>
        <v/>
      </c>
      <c r="BT2" s="6">
        <f>Karta!CD2</f>
        <v/>
      </c>
      <c r="BU2" s="6">
        <f>Karta!CE2</f>
        <v/>
      </c>
      <c r="BV2" s="6">
        <f>Karta!CF2</f>
        <v/>
      </c>
      <c r="BW2" s="6">
        <f>Karta!CG2</f>
        <v/>
      </c>
      <c r="BX2" s="6">
        <f>Karta!CH2</f>
        <v/>
      </c>
      <c r="BY2" s="6">
        <f>Karta!CI2</f>
        <v/>
      </c>
      <c r="BZ2" s="6">
        <f>Karta!CJ2</f>
        <v/>
      </c>
      <c r="CA2" s="6">
        <f>Karta!CK2</f>
        <v/>
      </c>
      <c r="CB2" s="6">
        <f>Karta!CL2</f>
        <v/>
      </c>
      <c r="CC2" s="6">
        <f>Karta!CM2</f>
        <v/>
      </c>
      <c r="CD2" s="6">
        <f>Karta!CN2</f>
        <v/>
      </c>
      <c r="CE2" s="6">
        <f>Karta!CO2</f>
        <v/>
      </c>
      <c r="CF2" s="6">
        <f>Karta!CP2</f>
        <v/>
      </c>
    </row>
    <row r="3" ht="15.6" customFormat="1" customHeight="1" s="141">
      <c r="A3" s="110" t="inlineStr">
        <is>
          <t>.z04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202" t="n"/>
      <c r="G3" s="202" t="n"/>
      <c r="H3" s="203" t="n"/>
      <c r="I3" s="203" t="n"/>
      <c r="J3" s="172" t="n"/>
      <c r="K3" s="172" t="n"/>
      <c r="L3" s="172" t="n"/>
      <c r="M3" s="172" t="n"/>
      <c r="N3" s="172" t="n"/>
      <c r="P3" s="204" t="n"/>
      <c r="Q3" s="204" t="n"/>
      <c r="R3" s="204" t="n"/>
      <c r="S3" s="204" t="n"/>
      <c r="T3" s="204" t="n"/>
      <c r="U3" s="204" t="n"/>
      <c r="V3" s="204" t="n"/>
      <c r="W3" s="204" t="n"/>
      <c r="X3" s="204" t="n"/>
      <c r="Y3" s="205" t="n"/>
      <c r="Z3" s="205" t="n"/>
      <c r="AA3" s="205" t="n"/>
      <c r="AB3" s="205" t="n"/>
      <c r="AC3" s="303" t="n"/>
      <c r="AD3" s="303" t="n"/>
      <c r="AE3" s="303" t="n"/>
      <c r="AF3" s="303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5" t="n"/>
      <c r="AQ3" s="205" t="n"/>
      <c r="AR3" s="205" t="n"/>
      <c r="AS3" s="245" t="n"/>
      <c r="AT3" s="303" t="n"/>
      <c r="AU3" s="303" t="n"/>
      <c r="AV3" s="303" t="n"/>
      <c r="AW3" s="303" t="n"/>
      <c r="AX3" s="206" t="n"/>
      <c r="AY3" s="206" t="n"/>
      <c r="AZ3" s="207" t="n"/>
      <c r="BA3" s="208" t="n"/>
      <c r="BB3" s="175" t="n"/>
      <c r="BC3" s="4" t="n"/>
      <c r="BD3" s="3" t="n"/>
      <c r="BE3" s="3" t="n"/>
      <c r="BF3" s="4" t="n"/>
      <c r="BG3" s="4" t="n"/>
      <c r="BH3" s="3" t="n"/>
      <c r="BI3" s="174" t="n"/>
      <c r="BJ3" s="4" t="n"/>
      <c r="BK3" s="209" t="n"/>
      <c r="BL3" s="483" t="n"/>
      <c r="BM3" s="210" t="n"/>
      <c r="BN3" s="209" t="n"/>
      <c r="BO3" s="483" t="n"/>
      <c r="BP3" s="210" t="n"/>
      <c r="BQ3" s="209" t="n"/>
      <c r="BR3" s="483" t="n"/>
      <c r="BS3" s="483" t="n"/>
      <c r="BT3" s="210" t="n"/>
      <c r="BU3" s="4" t="n"/>
      <c r="BV3" s="4" t="n"/>
      <c r="BW3" s="483" t="n"/>
      <c r="BX3" s="4" t="n"/>
      <c r="BY3" s="4" t="n"/>
      <c r="BZ3" s="4" t="n"/>
      <c r="CA3" s="483" t="n"/>
      <c r="CB3" s="4" t="n"/>
      <c r="CC3" s="4" t="n"/>
      <c r="CD3" s="4" t="n"/>
      <c r="CE3" s="483" t="n"/>
      <c r="CF3" s="659" t="n"/>
    </row>
    <row r="4" ht="18" customHeight="1" s="191">
      <c r="A4" s="410" t="n">
        <v>1</v>
      </c>
      <c r="B4" s="411" t="inlineStr">
        <is>
          <t>a</t>
        </is>
      </c>
      <c r="C4" s="105" t="n">
        <v>-1</v>
      </c>
      <c r="D4" s="116">
        <f>CONCATENATE(A$3,"_",A4,"_",B4,"_",C4)</f>
        <v/>
      </c>
      <c r="E4" s="410" t="inlineStr">
        <is>
          <t>1.Opracowanie koncepcji standaryzowanej bazy danych Cyfrowego Bliźniaka</t>
        </is>
      </c>
      <c r="F4" s="148" t="n"/>
      <c r="G4" s="148" t="n"/>
      <c r="H4" s="51" t="n"/>
      <c r="I4" s="85" t="inlineStr">
        <is>
          <t>ACT</t>
        </is>
      </c>
      <c r="J4" s="90" t="n"/>
      <c r="K4" s="90" t="n"/>
      <c r="L4" s="90" t="n"/>
      <c r="M4" s="90" t="n"/>
      <c r="N4" s="90" t="n"/>
      <c r="O4" s="90" t="n"/>
      <c r="P4" s="90" t="n"/>
      <c r="Q4" s="90" t="n"/>
      <c r="R4" s="468" t="n"/>
      <c r="S4" s="468" t="n"/>
      <c r="T4" s="130" t="n"/>
      <c r="U4" s="130" t="n"/>
      <c r="V4" s="130" t="n"/>
      <c r="W4" s="130" t="n"/>
      <c r="X4" s="130" t="n"/>
      <c r="Y4" s="468" t="n"/>
      <c r="Z4" s="468" t="n"/>
      <c r="AA4" s="468" t="n"/>
      <c r="AB4" s="148" t="n"/>
      <c r="AC4" s="173" t="n"/>
      <c r="AD4" s="173" t="n"/>
      <c r="AE4" s="173" t="n"/>
      <c r="AF4" s="173" t="n"/>
      <c r="AG4" s="148" t="n"/>
      <c r="AH4" s="148" t="n"/>
      <c r="AI4" s="148" t="n"/>
      <c r="AJ4" s="148" t="n"/>
      <c r="AK4" s="190" t="n"/>
      <c r="AL4" s="190" t="n"/>
      <c r="AM4" s="190" t="n"/>
      <c r="AN4" s="190" t="n"/>
      <c r="AO4" s="190" t="n"/>
      <c r="AP4" s="148" t="n"/>
      <c r="AQ4" s="148" t="n"/>
      <c r="AR4" s="148" t="n"/>
      <c r="AS4" s="148" t="n"/>
      <c r="AT4" s="148" t="n"/>
      <c r="AU4" s="148" t="n"/>
      <c r="AV4" s="148" t="n"/>
      <c r="AW4" s="148" t="n"/>
      <c r="AX4" s="148" t="n"/>
      <c r="AY4" s="148" t="n"/>
      <c r="AZ4" s="148" t="n"/>
      <c r="BA4" s="148" t="n"/>
      <c r="BB4" s="148" t="n"/>
      <c r="BC4" s="148" t="n"/>
      <c r="BD4" s="148" t="n"/>
      <c r="BE4" s="148" t="n"/>
      <c r="BF4" s="148" t="n"/>
      <c r="BG4" s="148" t="n"/>
      <c r="BH4" s="148" t="n"/>
      <c r="BI4" s="148" t="n"/>
      <c r="BJ4" s="148" t="n"/>
      <c r="BK4" s="148" t="n"/>
      <c r="BL4" s="148" t="n"/>
      <c r="BM4" s="148" t="n"/>
      <c r="BN4" s="148" t="n"/>
      <c r="BO4" s="148" t="n"/>
      <c r="BP4" s="148" t="n"/>
      <c r="BQ4" s="148" t="n"/>
      <c r="BR4" s="148" t="n"/>
      <c r="BS4" s="148" t="n"/>
      <c r="BT4" s="148" t="n"/>
      <c r="BU4" s="148" t="n"/>
      <c r="BV4" s="148" t="n"/>
      <c r="BW4" s="148" t="n"/>
      <c r="BX4" s="148" t="n"/>
      <c r="BY4" s="148" t="n"/>
      <c r="BZ4" s="148" t="n"/>
      <c r="CA4" s="148" t="n"/>
      <c r="CB4" s="148" t="n"/>
      <c r="CC4" s="148" t="n"/>
      <c r="CD4" s="148" t="n"/>
      <c r="CE4" s="148" t="n"/>
      <c r="CF4" s="659" t="n"/>
    </row>
    <row r="5" ht="15.6" customHeight="1" s="191">
      <c r="A5" s="444" t="n">
        <v>1</v>
      </c>
      <c r="B5" s="411" t="inlineStr">
        <is>
          <t>a</t>
        </is>
      </c>
      <c r="C5" s="105" t="n">
        <v>0</v>
      </c>
      <c r="D5" s="116">
        <f>CONCATENATE(A$3,"_",A5,"_",B5,"_",C5)</f>
        <v/>
      </c>
      <c r="E5" s="412" t="inlineStr">
        <is>
          <t>Projektowanie struktury bazy danych, która zapewni jej wydajność, spójność i skalowalność</t>
        </is>
      </c>
      <c r="F5" s="468" t="n"/>
      <c r="G5" s="468" t="n"/>
      <c r="H5" s="468" t="n"/>
      <c r="I5" s="468" t="n"/>
      <c r="J5" s="468" t="n"/>
      <c r="K5" s="468" t="n"/>
      <c r="L5" s="468" t="n"/>
      <c r="M5" s="468" t="n"/>
      <c r="N5" s="468" t="n"/>
      <c r="O5" s="468" t="n"/>
      <c r="P5" s="468" t="n"/>
      <c r="Q5" s="468" t="n"/>
      <c r="R5" s="468" t="n"/>
      <c r="S5" s="468" t="n"/>
      <c r="T5" s="187" t="n"/>
      <c r="U5" s="187" t="n"/>
      <c r="V5" s="187" t="n"/>
      <c r="W5" s="187" t="n"/>
      <c r="X5" s="187" t="n"/>
      <c r="Y5" s="292" t="n"/>
      <c r="Z5" s="292" t="n"/>
      <c r="AA5" s="292" t="n"/>
      <c r="AB5" s="292" t="n"/>
      <c r="AC5" s="302" t="n"/>
      <c r="AD5" s="302" t="n"/>
      <c r="AE5" s="302" t="n"/>
      <c r="AF5" s="302" t="n"/>
      <c r="AG5" s="192">
        <f>ROUND($O5*P5,0)</f>
        <v/>
      </c>
      <c r="AH5" s="192">
        <f>ROUND($O5*Q5,0)</f>
        <v/>
      </c>
      <c r="AI5" s="192">
        <f>ROUND($O5*R5,0)</f>
        <v/>
      </c>
      <c r="AJ5" s="192">
        <f>ROUND($O5*S5,0)</f>
        <v/>
      </c>
      <c r="AK5" s="192">
        <f>ROUND($O5*T5,0)</f>
        <v/>
      </c>
      <c r="AL5" s="192">
        <f>ROUND($O5*U5,0)</f>
        <v/>
      </c>
      <c r="AM5" s="192">
        <f>ROUND($O5*V5,0)</f>
        <v/>
      </c>
      <c r="AN5" s="192">
        <f>ROUND($O5*W5,0)</f>
        <v/>
      </c>
      <c r="AO5" s="192">
        <f>ROUND($O5*X5,0)</f>
        <v/>
      </c>
      <c r="AP5" s="193">
        <f>ROUND($O5*Y5,0)</f>
        <v/>
      </c>
      <c r="AQ5" s="193">
        <f>ROUND($O5*Z5,0)</f>
        <v/>
      </c>
      <c r="AR5" s="193">
        <f>ROUND($O5*AA5,0)</f>
        <v/>
      </c>
      <c r="AS5" s="307">
        <f>ROUND($O5*AB5,0)</f>
        <v/>
      </c>
      <c r="AT5" s="304" t="n"/>
      <c r="AU5" s="304" t="n"/>
      <c r="AV5" s="304" t="n"/>
      <c r="AW5" s="304" t="n"/>
      <c r="AX5" s="236">
        <f>SUM(AG5:AO5)</f>
        <v/>
      </c>
      <c r="AY5" s="528">
        <f>AX5/160</f>
        <v/>
      </c>
      <c r="AZ5" s="87">
        <f>VLOOKUP(I5,Listy!$A$1:$H$9,6,FALSE)</f>
        <v/>
      </c>
      <c r="BA5" s="682">
        <f>AY5*AZ5</f>
        <v/>
      </c>
      <c r="BB5" s="683">
        <f>AY5*BA5</f>
        <v/>
      </c>
      <c r="BC5" s="528" t="n"/>
      <c r="BD5" s="528" t="n"/>
      <c r="BE5" s="528" t="n"/>
      <c r="BF5" s="528" t="n"/>
      <c r="BG5" s="528" t="n"/>
      <c r="BH5" s="528" t="n"/>
      <c r="BI5" s="21">
        <f>BG5*BH5</f>
        <v/>
      </c>
      <c r="BJ5" s="528" t="n"/>
      <c r="BK5" s="528" t="n"/>
      <c r="BL5" s="528" t="n"/>
      <c r="BM5" s="528" t="n"/>
      <c r="BN5" s="528" t="n"/>
      <c r="BO5" s="528" t="n"/>
      <c r="BP5" s="528" t="n"/>
      <c r="BQ5" s="528" t="n"/>
      <c r="BR5" s="528" t="n"/>
      <c r="BS5" s="528" t="n"/>
      <c r="BT5" s="528" t="n"/>
      <c r="BU5" s="528" t="n"/>
      <c r="BV5" s="528" t="n"/>
      <c r="BW5" s="21">
        <f>BU5*BV5</f>
        <v/>
      </c>
      <c r="BX5" s="528" t="n"/>
      <c r="BY5" s="528" t="n"/>
      <c r="BZ5" s="528" t="n"/>
      <c r="CA5" s="21">
        <f>BY5*BZ5</f>
        <v/>
      </c>
      <c r="CB5" s="528" t="n"/>
      <c r="CC5" s="528" t="n"/>
      <c r="CD5" s="528" t="n"/>
      <c r="CE5" s="21">
        <f>CC5*CD5</f>
        <v/>
      </c>
      <c r="CF5" s="659" t="n"/>
    </row>
    <row r="6">
      <c r="A6" s="444" t="n">
        <v>1</v>
      </c>
      <c r="B6" s="411" t="inlineStr">
        <is>
          <t>a</t>
        </is>
      </c>
      <c r="C6" s="105" t="n">
        <v>1</v>
      </c>
      <c r="D6" s="116">
        <f>CONCATENATE(A$3,"_",A6,"_",B6,"_",C6)</f>
        <v/>
      </c>
      <c r="E6" s="417" t="inlineStr">
        <is>
          <t>Opracowanie logicznego i fizycznego modelu bazy danych, uwzględniającego wszystkie kluczowe ele-menty (np. tabele, relacje, indeksy i klucze)</t>
        </is>
      </c>
      <c r="F6" s="528">
        <f>IFERROR(VLOOKUP($I6,Listy!$A:$H,2,FALSE),"XXX")</f>
        <v/>
      </c>
      <c r="G6" s="528">
        <f>IFERROR(VLOOKUP($I6,Listy!$A:$H,3,FALSE),"XXX")</f>
        <v/>
      </c>
      <c r="H6" s="416" t="n">
        <v>1</v>
      </c>
      <c r="I6" s="89" t="inlineStr">
        <is>
          <t>.a03</t>
        </is>
      </c>
      <c r="J6" s="475">
        <f>J1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74" t="n">
        <v>1</v>
      </c>
      <c r="O6" s="444" t="n">
        <v>160</v>
      </c>
      <c r="P6" s="187" t="n">
        <v>0</v>
      </c>
      <c r="Q6" s="187" t="n">
        <v>0</v>
      </c>
      <c r="R6" s="187" t="n">
        <v>0</v>
      </c>
      <c r="S6" s="187" t="n">
        <v>0</v>
      </c>
      <c r="T6" s="187" t="n">
        <v>0.2</v>
      </c>
      <c r="U6" s="187" t="n">
        <v>0.2</v>
      </c>
      <c r="V6" s="187" t="n">
        <v>0.2</v>
      </c>
      <c r="W6" s="187" t="n">
        <v>0.2</v>
      </c>
      <c r="X6" s="187" t="n">
        <v>0.2</v>
      </c>
      <c r="Y6" s="292" t="n">
        <v>0</v>
      </c>
      <c r="Z6" s="292" t="n"/>
      <c r="AA6" s="292" t="n"/>
      <c r="AB6" s="292" t="n"/>
      <c r="AC6" s="302" t="n"/>
      <c r="AD6" s="302" t="n"/>
      <c r="AE6" s="302" t="n"/>
      <c r="AF6" s="302" t="n"/>
      <c r="AG6" s="192">
        <f>ROUND($O6*P6,0)</f>
        <v/>
      </c>
      <c r="AH6" s="192">
        <f>ROUND($O6*Q6,0)</f>
        <v/>
      </c>
      <c r="AI6" s="192">
        <f>ROUND($O6*R6,0)</f>
        <v/>
      </c>
      <c r="AJ6" s="192">
        <f>ROUND($O6*S6,0)</f>
        <v/>
      </c>
      <c r="AK6" s="192">
        <f>ROUND($O6*T6,0)</f>
        <v/>
      </c>
      <c r="AL6" s="192">
        <f>ROUND($O6*U6,0)</f>
        <v/>
      </c>
      <c r="AM6" s="192">
        <f>ROUND($O6*V6,0)</f>
        <v/>
      </c>
      <c r="AN6" s="192">
        <f>ROUND($O6*W6,0)</f>
        <v/>
      </c>
      <c r="AO6" s="192">
        <f>ROUND($O6*X6,0)</f>
        <v/>
      </c>
      <c r="AP6" s="193">
        <f>ROUND($O6*Y6,0)</f>
        <v/>
      </c>
      <c r="AQ6" s="193">
        <f>ROUND($O6*Z6,0)</f>
        <v/>
      </c>
      <c r="AR6" s="193">
        <f>ROUND($O6*AA6,0)</f>
        <v/>
      </c>
      <c r="AS6" s="307">
        <f>ROUND($O6*AB6,0)</f>
        <v/>
      </c>
      <c r="AT6" s="304" t="n"/>
      <c r="AU6" s="304" t="n"/>
      <c r="AV6" s="304" t="n"/>
      <c r="AW6" s="304" t="n"/>
      <c r="AX6" s="236">
        <f>SUM(AG6:AO6)</f>
        <v/>
      </c>
      <c r="AY6" s="528">
        <f>AX6/160</f>
        <v/>
      </c>
      <c r="AZ6" s="87">
        <f>VLOOKUP(I6,Listy!$A$1:$H$9,6,FALSE)</f>
        <v/>
      </c>
      <c r="BA6" s="682">
        <f>AY6*AZ6</f>
        <v/>
      </c>
      <c r="BB6" s="683">
        <f>AY6*BA6</f>
        <v/>
      </c>
      <c r="BC6" s="528" t="n"/>
      <c r="BD6" s="528" t="n"/>
      <c r="BE6" s="528" t="n"/>
      <c r="BF6" s="528" t="n"/>
      <c r="BG6" s="528" t="n"/>
      <c r="BH6" s="528" t="n"/>
      <c r="BI6" s="21">
        <f>BG6*BH6</f>
        <v/>
      </c>
      <c r="BJ6" s="528" t="n"/>
      <c r="BK6" s="528" t="n"/>
      <c r="BL6" s="528" t="n"/>
      <c r="BM6" s="528" t="n"/>
      <c r="BN6" s="528" t="n"/>
      <c r="BO6" s="528" t="n"/>
      <c r="BP6" s="528" t="n"/>
      <c r="BQ6" s="528" t="n"/>
      <c r="BR6" s="528" t="n"/>
      <c r="BS6" s="528" t="n"/>
      <c r="BT6" s="528" t="n"/>
      <c r="BU6" s="528" t="n"/>
      <c r="BV6" s="528" t="n"/>
      <c r="BW6" s="21">
        <f>BU6*BV6</f>
        <v/>
      </c>
      <c r="BX6" s="528" t="n"/>
      <c r="BY6" s="528" t="n"/>
      <c r="BZ6" s="528" t="n"/>
      <c r="CA6" s="21">
        <f>BY6*BZ6</f>
        <v/>
      </c>
      <c r="CB6" s="528" t="n"/>
      <c r="CC6" s="528" t="n"/>
      <c r="CD6" s="528" t="n"/>
      <c r="CE6" s="21">
        <f>CC6*CD6</f>
        <v/>
      </c>
    </row>
    <row r="7">
      <c r="A7" s="444" t="n">
        <v>1</v>
      </c>
      <c r="B7" s="411" t="inlineStr">
        <is>
          <t>a</t>
        </is>
      </c>
      <c r="C7" s="105" t="n">
        <v>2</v>
      </c>
      <c r="D7" s="116">
        <f>CONCATENATE(A$3,"_",A7,"_",B7,"_",C7)</f>
        <v/>
      </c>
      <c r="E7" s="417" t="inlineStr">
        <is>
          <t>Opracowanie architektury systemu, zapewniającą obsługę rosnącej ilości danych celem szybkiego i efektywnego ich przetwarzania</t>
        </is>
      </c>
      <c r="F7" s="528">
        <f>IFERROR(VLOOKUP($I7,Listy!$A:$H,2,FALSE),"XXX")</f>
        <v/>
      </c>
      <c r="G7" s="528">
        <f>IFERROR(VLOOKUP($I7,Listy!$A:$H,3,FALSE),"XXX")</f>
        <v/>
      </c>
      <c r="H7" s="444" t="n">
        <v>1</v>
      </c>
      <c r="I7" s="89" t="inlineStr">
        <is>
          <t>.a01</t>
        </is>
      </c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74">
        <f>ROUND(MAX(AG7:AO7)/Listy!$U$5,0)</f>
        <v/>
      </c>
      <c r="O7" s="444" t="n">
        <v>20</v>
      </c>
      <c r="P7" s="187" t="n">
        <v>0</v>
      </c>
      <c r="Q7" s="187" t="n">
        <v>0</v>
      </c>
      <c r="R7" s="187" t="n">
        <v>0</v>
      </c>
      <c r="S7" s="187" t="n">
        <v>0</v>
      </c>
      <c r="T7" s="187" t="n">
        <v>0.2</v>
      </c>
      <c r="U7" s="187" t="n">
        <v>0.2</v>
      </c>
      <c r="V7" s="187" t="n">
        <v>0.2</v>
      </c>
      <c r="W7" s="187" t="n">
        <v>0.2</v>
      </c>
      <c r="X7" s="187" t="n">
        <v>0.2</v>
      </c>
      <c r="Y7" s="292" t="n">
        <v>0</v>
      </c>
      <c r="Z7" s="292" t="n"/>
      <c r="AA7" s="292" t="n"/>
      <c r="AB7" s="292" t="n"/>
      <c r="AC7" s="302" t="n"/>
      <c r="AD7" s="302" t="n"/>
      <c r="AE7" s="302" t="n"/>
      <c r="AF7" s="302" t="n"/>
      <c r="AG7" s="192">
        <f>ROUND($O7*P7,0)</f>
        <v/>
      </c>
      <c r="AH7" s="192">
        <f>ROUND($O7*Q7,0)</f>
        <v/>
      </c>
      <c r="AI7" s="192">
        <f>ROUND($O7*R7,0)</f>
        <v/>
      </c>
      <c r="AJ7" s="192">
        <f>ROUND($O7*S7,0)</f>
        <v/>
      </c>
      <c r="AK7" s="192">
        <f>ROUND($O7*T7,0)</f>
        <v/>
      </c>
      <c r="AL7" s="192">
        <f>ROUND($O7*U7,0)</f>
        <v/>
      </c>
      <c r="AM7" s="192">
        <f>ROUND($O7*V7,0)</f>
        <v/>
      </c>
      <c r="AN7" s="192">
        <f>ROUND($O7*W7,0)</f>
        <v/>
      </c>
      <c r="AO7" s="192">
        <f>ROUND($O7*X7,0)</f>
        <v/>
      </c>
      <c r="AP7" s="193">
        <f>ROUND($O7*Y7,0)</f>
        <v/>
      </c>
      <c r="AQ7" s="193">
        <f>ROUND($O7*Z7,0)</f>
        <v/>
      </c>
      <c r="AR7" s="193">
        <f>ROUND($O7*AA7,0)</f>
        <v/>
      </c>
      <c r="AS7" s="307">
        <f>ROUND($O7*AB7,0)</f>
        <v/>
      </c>
      <c r="AT7" s="304" t="n"/>
      <c r="AU7" s="304" t="n"/>
      <c r="AV7" s="304" t="n"/>
      <c r="AW7" s="304" t="n"/>
      <c r="AX7" s="236">
        <f>SUM(AG7:AO7)</f>
        <v/>
      </c>
      <c r="AY7" s="528">
        <f>AX7/160</f>
        <v/>
      </c>
      <c r="AZ7" s="87">
        <f>VLOOKUP(I7,Listy!$A$1:$H$9,6,FALSE)</f>
        <v/>
      </c>
      <c r="BA7" s="682">
        <f>AY7*AZ7</f>
        <v/>
      </c>
      <c r="BB7" s="683">
        <f>AY7*BA7</f>
        <v/>
      </c>
      <c r="BC7" s="528" t="n"/>
      <c r="BD7" s="528" t="n"/>
      <c r="BE7" s="528" t="n"/>
      <c r="BF7" s="528" t="n"/>
      <c r="BG7" s="528" t="n"/>
      <c r="BH7" s="528" t="n"/>
      <c r="BI7" s="21">
        <f>BG7*BH7</f>
        <v/>
      </c>
      <c r="BJ7" s="528" t="n"/>
      <c r="BK7" s="528" t="n"/>
      <c r="BL7" s="528" t="n"/>
      <c r="BM7" s="528" t="n"/>
      <c r="BN7" s="528" t="n"/>
      <c r="BO7" s="528" t="n"/>
      <c r="BP7" s="528" t="n"/>
      <c r="BQ7" s="528" t="n"/>
      <c r="BR7" s="528" t="n"/>
      <c r="BS7" s="528" t="n"/>
      <c r="BT7" s="528" t="n"/>
      <c r="BU7" s="528" t="n"/>
      <c r="BV7" s="528" t="n"/>
      <c r="BW7" s="21">
        <f>BU7*BV7</f>
        <v/>
      </c>
      <c r="BX7" s="528" t="n"/>
      <c r="BY7" s="528" t="n"/>
      <c r="BZ7" s="528" t="n"/>
      <c r="CA7" s="21">
        <f>BY7*BZ7</f>
        <v/>
      </c>
      <c r="CB7" s="528" t="n"/>
      <c r="CC7" s="528" t="n"/>
      <c r="CD7" s="528" t="n"/>
      <c r="CE7" s="21">
        <f>CC7*CD7</f>
        <v/>
      </c>
    </row>
    <row r="8">
      <c r="A8" s="444" t="n">
        <v>1</v>
      </c>
      <c r="B8" s="411" t="inlineStr">
        <is>
          <t>a</t>
        </is>
      </c>
      <c r="C8" s="105" t="n">
        <v>3</v>
      </c>
      <c r="D8" s="116">
        <f>CONCATENATE(A$3,"_",A8,"_",B8,"_",C8)</f>
        <v/>
      </c>
      <c r="E8" s="417" t="inlineStr">
        <is>
          <t>Opracowanie mechanizmów do administrowania, eksploatacji i monitorowania bazy danych oraz współ-pracy z modułami planowanej platformy ICT</t>
        </is>
      </c>
      <c r="F8" s="528">
        <f>IFERROR(VLOOKUP($I8,Listy!$A:$H,2,FALSE),"XXX")</f>
        <v/>
      </c>
      <c r="G8" s="528">
        <f>IFERROR(VLOOKUP($I8,Listy!$A:$H,3,FALSE),"XXX")</f>
        <v/>
      </c>
      <c r="H8" s="444" t="n">
        <v>1</v>
      </c>
      <c r="I8" s="89" t="inlineStr">
        <is>
          <t>.a02</t>
        </is>
      </c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74">
        <f>ROUND(MAX(AG8:AO8)/Listy!$U$5,0)</f>
        <v/>
      </c>
      <c r="O8" s="444" t="n">
        <v>20</v>
      </c>
      <c r="P8" s="187" t="n">
        <v>0</v>
      </c>
      <c r="Q8" s="187" t="n">
        <v>0</v>
      </c>
      <c r="R8" s="187" t="n">
        <v>0</v>
      </c>
      <c r="S8" s="187" t="n">
        <v>0</v>
      </c>
      <c r="T8" s="187" t="n">
        <v>0.2</v>
      </c>
      <c r="U8" s="187" t="n">
        <v>0.2</v>
      </c>
      <c r="V8" s="187" t="n">
        <v>0.2</v>
      </c>
      <c r="W8" s="187" t="n">
        <v>0.2</v>
      </c>
      <c r="X8" s="187" t="n">
        <v>0.2</v>
      </c>
      <c r="Y8" s="292" t="n">
        <v>0</v>
      </c>
      <c r="Z8" s="292" t="n"/>
      <c r="AA8" s="292" t="n"/>
      <c r="AB8" s="292" t="n"/>
      <c r="AC8" s="302" t="n"/>
      <c r="AD8" s="302" t="n"/>
      <c r="AE8" s="302" t="n"/>
      <c r="AF8" s="302" t="n"/>
      <c r="AG8" s="192">
        <f>ROUND($O8*P8,0)</f>
        <v/>
      </c>
      <c r="AH8" s="192">
        <f>ROUND($O8*Q8,0)</f>
        <v/>
      </c>
      <c r="AI8" s="192">
        <f>ROUND($O8*R8,0)</f>
        <v/>
      </c>
      <c r="AJ8" s="192">
        <f>ROUND($O8*S8,0)</f>
        <v/>
      </c>
      <c r="AK8" s="192">
        <f>ROUND($O8*T8,0)</f>
        <v/>
      </c>
      <c r="AL8" s="192">
        <f>ROUND($O8*U8,0)</f>
        <v/>
      </c>
      <c r="AM8" s="192">
        <f>ROUND($O8*V8,0)</f>
        <v/>
      </c>
      <c r="AN8" s="192">
        <f>ROUND($O8*W8,0)</f>
        <v/>
      </c>
      <c r="AO8" s="192">
        <f>ROUND($O8*X8,0)</f>
        <v/>
      </c>
      <c r="AP8" s="193">
        <f>ROUND($O8*Y8,0)</f>
        <v/>
      </c>
      <c r="AQ8" s="193">
        <f>ROUND($O8*Z8,0)</f>
        <v/>
      </c>
      <c r="AR8" s="193">
        <f>ROUND($O8*AA8,0)</f>
        <v/>
      </c>
      <c r="AS8" s="307">
        <f>ROUND($O8*AB8,0)</f>
        <v/>
      </c>
      <c r="AT8" s="304" t="n"/>
      <c r="AU8" s="304" t="n"/>
      <c r="AV8" s="304" t="n"/>
      <c r="AW8" s="304" t="n"/>
      <c r="AX8" s="236">
        <f>SUM(AG8:AO8)</f>
        <v/>
      </c>
      <c r="AY8" s="528">
        <f>AX8/160</f>
        <v/>
      </c>
      <c r="AZ8" s="87">
        <f>VLOOKUP(I8,Listy!$A$1:$H$9,6,FALSE)</f>
        <v/>
      </c>
      <c r="BA8" s="682">
        <f>AY8*AZ8</f>
        <v/>
      </c>
      <c r="BB8" s="683">
        <f>AY8*BA8</f>
        <v/>
      </c>
      <c r="BC8" s="528" t="n"/>
      <c r="BD8" s="528" t="n"/>
      <c r="BE8" s="528" t="n"/>
      <c r="BF8" s="528" t="n"/>
      <c r="BG8" s="528" t="n"/>
      <c r="BH8" s="528" t="n"/>
      <c r="BI8" s="21">
        <f>BG8*BH8</f>
        <v/>
      </c>
      <c r="BJ8" s="528" t="n"/>
      <c r="BK8" s="528" t="n"/>
      <c r="BL8" s="528" t="n"/>
      <c r="BM8" s="528" t="n"/>
      <c r="BN8" s="528" t="n"/>
      <c r="BO8" s="528" t="n"/>
      <c r="BP8" s="528" t="n"/>
      <c r="BQ8" s="528" t="n"/>
      <c r="BR8" s="528" t="n"/>
      <c r="BS8" s="528" t="n"/>
      <c r="BT8" s="528" t="n"/>
      <c r="BU8" s="528" t="n"/>
      <c r="BV8" s="528" t="n"/>
      <c r="BW8" s="21">
        <f>BU8*BV8</f>
        <v/>
      </c>
      <c r="BX8" s="528" t="n"/>
      <c r="BY8" s="528" t="n"/>
      <c r="BZ8" s="528" t="n"/>
      <c r="CA8" s="21">
        <f>BY8*BZ8</f>
        <v/>
      </c>
      <c r="CB8" s="528" t="n"/>
      <c r="CC8" s="528" t="n"/>
      <c r="CD8" s="528" t="n"/>
      <c r="CE8" s="21">
        <f>CC8*CD8</f>
        <v/>
      </c>
    </row>
    <row r="9">
      <c r="A9" s="444" t="n">
        <v>1</v>
      </c>
      <c r="B9" s="411" t="inlineStr">
        <is>
          <t>a</t>
        </is>
      </c>
      <c r="C9" s="105" t="n">
        <v>4</v>
      </c>
      <c r="D9" s="116">
        <f>CONCATENATE(A$3,"_",A9,"_",B9,"_",C9)</f>
        <v/>
      </c>
      <c r="E9" s="417" t="inlineStr">
        <is>
          <t>Testowanie, walidacja i optymalizacja projektu struktury bazy danych</t>
        </is>
      </c>
      <c r="F9" s="148" t="n"/>
      <c r="G9" s="528">
        <f>IFERROR(VLOOKUP($I9,Listy!$A:$H,3,FALSE),"XXX")</f>
        <v/>
      </c>
      <c r="H9" s="444" t="n">
        <v>1</v>
      </c>
      <c r="I9" s="89" t="inlineStr">
        <is>
          <t>.a03</t>
        </is>
      </c>
      <c r="J9" s="91">
        <f>M8+1</f>
        <v/>
      </c>
      <c r="K9" s="681">
        <f>VLOOKUP(J9,Kalendarz!B:E,4,FALSE)</f>
        <v/>
      </c>
      <c r="L9" s="681">
        <f>K9+N9</f>
        <v/>
      </c>
      <c r="M9" s="528">
        <f>J9+N9-1</f>
        <v/>
      </c>
      <c r="N9" s="474">
        <f>ROUND(MAX(AG9:AO9)/Listy!$U$5,0)</f>
        <v/>
      </c>
      <c r="O9" s="444" t="n">
        <v>20</v>
      </c>
      <c r="P9" s="187" t="n">
        <v>0</v>
      </c>
      <c r="Q9" s="187" t="n">
        <v>0</v>
      </c>
      <c r="R9" s="187" t="n">
        <v>0</v>
      </c>
      <c r="S9" s="187" t="n">
        <v>0</v>
      </c>
      <c r="T9" s="187" t="n">
        <v>0.2</v>
      </c>
      <c r="U9" s="187" t="n">
        <v>0.2</v>
      </c>
      <c r="V9" s="187" t="n">
        <v>0.2</v>
      </c>
      <c r="W9" s="187" t="n">
        <v>0.2</v>
      </c>
      <c r="X9" s="187" t="n">
        <v>0.2</v>
      </c>
      <c r="Y9" s="292" t="n">
        <v>0</v>
      </c>
      <c r="Z9" s="292" t="n"/>
      <c r="AA9" s="292" t="n"/>
      <c r="AB9" s="292" t="n"/>
      <c r="AC9" s="302" t="n"/>
      <c r="AD9" s="302" t="n"/>
      <c r="AE9" s="302" t="n"/>
      <c r="AF9" s="302" t="n"/>
      <c r="AG9" s="192">
        <f>ROUND($O9*P9,0)</f>
        <v/>
      </c>
      <c r="AH9" s="192">
        <f>ROUND($O9*Q9,0)</f>
        <v/>
      </c>
      <c r="AI9" s="192">
        <f>ROUND($O9*R9,0)</f>
        <v/>
      </c>
      <c r="AJ9" s="192">
        <f>ROUND($O9*S9,0)</f>
        <v/>
      </c>
      <c r="AK9" s="192">
        <f>ROUND($O9*T9,0)</f>
        <v/>
      </c>
      <c r="AL9" s="192">
        <f>ROUND($O9*U9,0)</f>
        <v/>
      </c>
      <c r="AM9" s="192">
        <f>ROUND($O9*V9,0)</f>
        <v/>
      </c>
      <c r="AN9" s="192">
        <f>ROUND($O9*W9,0)</f>
        <v/>
      </c>
      <c r="AO9" s="192">
        <f>ROUND($O9*X9,0)</f>
        <v/>
      </c>
      <c r="AP9" s="193">
        <f>ROUND($O9*Y9,0)</f>
        <v/>
      </c>
      <c r="AQ9" s="193">
        <f>ROUND($O9*Z9,0)</f>
        <v/>
      </c>
      <c r="AR9" s="193">
        <f>ROUND($O9*AA9,0)</f>
        <v/>
      </c>
      <c r="AS9" s="307">
        <f>ROUND($O9*AB9,0)</f>
        <v/>
      </c>
      <c r="AT9" s="304" t="n"/>
      <c r="AU9" s="304" t="n"/>
      <c r="AV9" s="304" t="n"/>
      <c r="AW9" s="304" t="n"/>
      <c r="AX9" s="236">
        <f>SUM(AG9:AO9)</f>
        <v/>
      </c>
      <c r="AY9" s="528">
        <f>AX9/160</f>
        <v/>
      </c>
      <c r="AZ9" s="87">
        <f>VLOOKUP(I9,Listy!$A$1:$H$9,6,FALSE)</f>
        <v/>
      </c>
      <c r="BA9" s="682">
        <f>AY9*AZ9</f>
        <v/>
      </c>
      <c r="BB9" s="683">
        <f>AY9*BA9</f>
        <v/>
      </c>
      <c r="BC9" s="528" t="n"/>
      <c r="BD9" s="148" t="n"/>
      <c r="BE9" s="148" t="n"/>
      <c r="BF9" s="148" t="n"/>
      <c r="BG9" s="148" t="n"/>
      <c r="BH9" s="148" t="n"/>
      <c r="BI9" s="148" t="n"/>
      <c r="BJ9" s="148" t="n"/>
      <c r="BK9" s="148" t="n"/>
      <c r="BL9" s="148" t="n"/>
      <c r="BM9" s="148" t="n"/>
      <c r="BN9" s="148" t="n"/>
      <c r="BO9" s="148" t="n"/>
      <c r="BP9" s="148" t="n"/>
      <c r="BQ9" s="148" t="n"/>
      <c r="BR9" s="148" t="n"/>
      <c r="BS9" s="148" t="n"/>
      <c r="BT9" s="148" t="n"/>
      <c r="BU9" s="148" t="n"/>
      <c r="BV9" s="148" t="n"/>
      <c r="BW9" s="148" t="n"/>
      <c r="BX9" s="148" t="n"/>
      <c r="BY9" s="148" t="n"/>
      <c r="BZ9" s="148" t="n"/>
      <c r="CA9" s="148" t="n"/>
      <c r="CB9" s="148" t="n"/>
      <c r="CC9" s="148" t="n"/>
      <c r="CD9" s="148" t="n"/>
      <c r="CE9" s="148" t="n"/>
      <c r="CF9" s="659" t="n"/>
    </row>
    <row r="10" ht="15.6" customHeight="1" s="191">
      <c r="A10" s="444" t="n">
        <v>1</v>
      </c>
      <c r="B10" s="411" t="inlineStr">
        <is>
          <t>b</t>
        </is>
      </c>
      <c r="C10" s="105" t="n">
        <v>0</v>
      </c>
      <c r="D10" s="116">
        <f>CONCATENATE(A$3,"_",A10,"_",B10,"_",C10)</f>
        <v/>
      </c>
      <c r="E10" s="413" t="inlineStr">
        <is>
          <t>Zbieranie i przygotowanie danych w celu uzyskania pełnego obrazu operacji w magazynie i umożliwienia kompleksowych analiz</t>
        </is>
      </c>
      <c r="F10" s="528">
        <f>IFERROR(VLOOKUP($I10,Listy!$A:$H,2,FALSE),"XXX")</f>
        <v/>
      </c>
      <c r="G10" s="528" t="n"/>
      <c r="H10" s="444" t="n"/>
      <c r="I10" s="528" t="n"/>
      <c r="J10" s="91">
        <f>M9+1</f>
        <v/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74">
        <f>ROUND(MAX(AG10:AO10)/Listy!$U$5,0)</f>
        <v/>
      </c>
      <c r="O10" s="444" t="n"/>
      <c r="P10" s="528" t="n"/>
      <c r="Q10" s="187" t="n"/>
      <c r="R10" s="187" t="n"/>
      <c r="S10" s="187" t="n"/>
      <c r="T10" s="187" t="n"/>
      <c r="U10" s="187" t="n"/>
      <c r="V10" s="187" t="n"/>
      <c r="W10" s="187" t="n"/>
      <c r="X10" s="187" t="n"/>
      <c r="Y10" s="292" t="n"/>
      <c r="Z10" s="292" t="n"/>
      <c r="AA10" s="292" t="n"/>
      <c r="AB10" s="292" t="n"/>
      <c r="AC10" s="302" t="n"/>
      <c r="AD10" s="302" t="n"/>
      <c r="AE10" s="302" t="n"/>
      <c r="AF10" s="302" t="n"/>
      <c r="AG10" s="192">
        <f>ROUND($O10*P10,0)</f>
        <v/>
      </c>
      <c r="AH10" s="192">
        <f>ROUND($O10*Q10,0)</f>
        <v/>
      </c>
      <c r="AI10" s="192">
        <f>ROUND($O10*R10,0)</f>
        <v/>
      </c>
      <c r="AJ10" s="192">
        <f>ROUND($O10*S10,0)</f>
        <v/>
      </c>
      <c r="AK10" s="192">
        <f>ROUND($O10*T10,0)</f>
        <v/>
      </c>
      <c r="AL10" s="192">
        <f>ROUND($O10*U10,0)</f>
        <v/>
      </c>
      <c r="AM10" s="192">
        <f>ROUND($O10*V10,0)</f>
        <v/>
      </c>
      <c r="AN10" s="192">
        <f>ROUND($O10*W10,0)</f>
        <v/>
      </c>
      <c r="AO10" s="192">
        <f>ROUND($O10*X10,0)</f>
        <v/>
      </c>
      <c r="AP10" s="193">
        <f>ROUND($O10*Y10,0)</f>
        <v/>
      </c>
      <c r="AQ10" s="193">
        <f>ROUND($O10*Z10,0)</f>
        <v/>
      </c>
      <c r="AR10" s="193">
        <f>ROUND($O10*AA10,0)</f>
        <v/>
      </c>
      <c r="AS10" s="307">
        <f>ROUND($O10*AB10,0)</f>
        <v/>
      </c>
      <c r="AT10" s="304" t="n"/>
      <c r="AU10" s="304" t="n"/>
      <c r="AV10" s="304" t="n"/>
      <c r="AW10" s="304" t="n"/>
      <c r="AX10" s="236">
        <f>SUM(AG10:AO10)</f>
        <v/>
      </c>
      <c r="AY10" s="528">
        <f>AX10/160</f>
        <v/>
      </c>
      <c r="AZ10" s="87">
        <f>VLOOKUP(I10,Listy!$A$1:$H$9,6,FALSE)</f>
        <v/>
      </c>
      <c r="BA10" s="682">
        <f>AY10*AZ10</f>
        <v/>
      </c>
      <c r="BB10" s="683">
        <f>AY10*BA10</f>
        <v/>
      </c>
      <c r="BC10" s="528" t="n"/>
      <c r="BD10" s="528" t="n"/>
      <c r="BE10" s="528" t="n"/>
      <c r="BF10" s="528" t="n"/>
      <c r="BG10" s="528" t="n"/>
      <c r="BH10" s="528" t="n"/>
      <c r="BI10" s="21">
        <f>BG10*BH10</f>
        <v/>
      </c>
      <c r="BJ10" s="528" t="n"/>
      <c r="BK10" s="528" t="n"/>
      <c r="BL10" s="21" t="n"/>
      <c r="BM10" s="528" t="n"/>
      <c r="BN10" s="528" t="n"/>
      <c r="BO10" s="21" t="n"/>
      <c r="BP10" s="528" t="n"/>
      <c r="BQ10" s="528" t="n"/>
      <c r="BR10" s="21" t="n"/>
      <c r="BS10" s="21" t="n"/>
      <c r="BT10" s="528" t="n"/>
      <c r="BU10" s="528" t="n"/>
      <c r="BV10" s="528" t="n"/>
      <c r="BW10" s="21">
        <f>BU10*BV10</f>
        <v/>
      </c>
      <c r="BX10" s="528" t="n"/>
      <c r="BY10" s="528" t="n"/>
      <c r="BZ10" s="528" t="n"/>
      <c r="CA10" s="21">
        <f>BY10*BZ10</f>
        <v/>
      </c>
      <c r="CB10" s="528" t="n"/>
      <c r="CC10" s="528" t="n"/>
      <c r="CD10" s="528" t="n"/>
      <c r="CE10" s="21">
        <f>CC10*CD10</f>
        <v/>
      </c>
      <c r="CF10" s="659" t="n"/>
      <c r="CG10" s="538" t="n"/>
    </row>
    <row r="11" customFormat="1" s="538">
      <c r="A11" s="444" t="n">
        <v>1</v>
      </c>
      <c r="B11" s="411" t="inlineStr">
        <is>
          <t>b</t>
        </is>
      </c>
      <c r="C11" s="105" t="n">
        <v>1</v>
      </c>
      <c r="D11" s="116">
        <f>CONCATENATE(A$3,"_",A11,"_",B11,"_",C11)</f>
        <v/>
      </c>
      <c r="E11" s="418" t="inlineStr">
        <is>
          <t>Stworzenie procedur zbierania, analizy i przetwarzania danych</t>
        </is>
      </c>
      <c r="F11" s="528">
        <f>IFERROR(VLOOKUP($I11,Listy!$A:$H,2,FALSE),"XXX")</f>
        <v/>
      </c>
      <c r="G11" s="528">
        <f>IFERROR(VLOOKUP($I11,Listy!$A:$H,3,FALSE),"XXX")</f>
        <v/>
      </c>
      <c r="H11" s="444" t="n">
        <v>2</v>
      </c>
      <c r="I11" s="89" t="inlineStr">
        <is>
          <t>.a03</t>
        </is>
      </c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474">
        <f>ROUND(MAX(AG11:AO11)/Listy!$U$5,0)</f>
        <v/>
      </c>
      <c r="O11" s="444" t="n">
        <v>40</v>
      </c>
      <c r="P11" s="187" t="n">
        <v>0</v>
      </c>
      <c r="Q11" s="187" t="n">
        <v>0</v>
      </c>
      <c r="R11" s="187" t="n">
        <v>0</v>
      </c>
      <c r="S11" s="187" t="n">
        <v>0</v>
      </c>
      <c r="T11" s="187" t="n">
        <v>0.2</v>
      </c>
      <c r="U11" s="187" t="n">
        <v>0.2</v>
      </c>
      <c r="V11" s="187" t="n">
        <v>0.2</v>
      </c>
      <c r="W11" s="187" t="n">
        <v>0.2</v>
      </c>
      <c r="X11" s="187" t="n">
        <v>0.2</v>
      </c>
      <c r="Y11" s="292" t="n">
        <v>0</v>
      </c>
      <c r="Z11" s="292" t="n"/>
      <c r="AA11" s="292" t="n"/>
      <c r="AB11" s="292" t="n"/>
      <c r="AC11" s="302" t="n"/>
      <c r="AD11" s="302" t="n"/>
      <c r="AE11" s="302" t="n"/>
      <c r="AF11" s="302" t="n"/>
      <c r="AG11" s="192">
        <f>ROUND($O11*P11,0)</f>
        <v/>
      </c>
      <c r="AH11" s="192">
        <f>ROUND($O11*Q11,0)</f>
        <v/>
      </c>
      <c r="AI11" s="192">
        <f>ROUND($O11*R11,0)</f>
        <v/>
      </c>
      <c r="AJ11" s="192">
        <f>ROUND($O11*S11,0)</f>
        <v/>
      </c>
      <c r="AK11" s="192">
        <f>ROUND($O11*T11,0)</f>
        <v/>
      </c>
      <c r="AL11" s="192">
        <f>ROUND($O11*U11,0)</f>
        <v/>
      </c>
      <c r="AM11" s="192">
        <f>ROUND($O11*V11,0)</f>
        <v/>
      </c>
      <c r="AN11" s="192">
        <f>ROUND($O11*W11,0)</f>
        <v/>
      </c>
      <c r="AO11" s="192">
        <f>ROUND($O11*X11,0)</f>
        <v/>
      </c>
      <c r="AP11" s="193">
        <f>ROUND($O11*Y11,0)</f>
        <v/>
      </c>
      <c r="AQ11" s="193">
        <f>ROUND($O11*Z11,0)</f>
        <v/>
      </c>
      <c r="AR11" s="193">
        <f>ROUND($O11*AA11,0)</f>
        <v/>
      </c>
      <c r="AS11" s="307">
        <f>ROUND($O11*AB11,0)</f>
        <v/>
      </c>
      <c r="AT11" s="304" t="n"/>
      <c r="AU11" s="304" t="n"/>
      <c r="AV11" s="304" t="n"/>
      <c r="AW11" s="304" t="n"/>
      <c r="AX11" s="236">
        <f>SUM(AG11:AO11)</f>
        <v/>
      </c>
      <c r="AY11" s="528">
        <f>AX11/160</f>
        <v/>
      </c>
      <c r="AZ11" s="87">
        <f>VLOOKUP(I11,Listy!$A$1:$H$9,6,FALSE)</f>
        <v/>
      </c>
      <c r="BA11" s="682">
        <f>AY11*AZ11</f>
        <v/>
      </c>
      <c r="BB11" s="683">
        <f>AY11*BA11</f>
        <v/>
      </c>
      <c r="BC11" s="528" t="n"/>
      <c r="BD11" s="528" t="n"/>
      <c r="BE11" s="528" t="n"/>
      <c r="BF11" s="528" t="n"/>
      <c r="BG11" s="528" t="n"/>
      <c r="BH11" s="528" t="n"/>
      <c r="BI11" s="21">
        <f>BG11*BH11</f>
        <v/>
      </c>
      <c r="BJ11" s="528" t="n"/>
      <c r="BK11" s="528" t="n"/>
      <c r="BL11" s="528" t="n"/>
      <c r="BM11" s="528" t="n"/>
      <c r="BN11" s="528" t="n"/>
      <c r="BO11" s="528" t="n"/>
      <c r="BP11" s="528" t="n"/>
      <c r="BQ11" s="528" t="n"/>
      <c r="BR11" s="528" t="n"/>
      <c r="BS11" s="528" t="n"/>
      <c r="BT11" s="528" t="n"/>
      <c r="BU11" s="528" t="n"/>
      <c r="BV11" s="528" t="n"/>
      <c r="BW11" s="21">
        <f>BU11*BV11</f>
        <v/>
      </c>
      <c r="BX11" s="528" t="n"/>
      <c r="BY11" s="528" t="n"/>
      <c r="BZ11" s="528" t="n"/>
      <c r="CA11" s="21">
        <f>BY11*BZ11</f>
        <v/>
      </c>
      <c r="CB11" s="528" t="n"/>
      <c r="CC11" s="528" t="n"/>
      <c r="CD11" s="528" t="n"/>
      <c r="CE11" s="21">
        <f>CC11*CD11</f>
        <v/>
      </c>
      <c r="CF11" s="659" t="n"/>
      <c r="CG11" s="538" t="n"/>
    </row>
    <row r="12" customFormat="1" s="538">
      <c r="A12" s="444" t="n">
        <v>1</v>
      </c>
      <c r="B12" s="411" t="inlineStr">
        <is>
          <t>b</t>
        </is>
      </c>
      <c r="C12" s="105" t="n">
        <v>2</v>
      </c>
      <c r="D12" s="116">
        <f>CONCATENATE(A$3,"_",A12,"_",B12,"_",C12)</f>
        <v/>
      </c>
      <c r="E12" s="418" t="inlineStr">
        <is>
          <t>Pozyskanie danych z różnych źródeł, np. systemy WMS, ERP, SSI</t>
        </is>
      </c>
      <c r="F12" s="528">
        <f>IFERROR(VLOOKUP($I12,Listy!$A:$H,2,FALSE),"XXX")</f>
        <v/>
      </c>
      <c r="G12" s="528">
        <f>IFERROR(VLOOKUP($I12,Listy!$A:$H,3,FALSE),"XXX")</f>
        <v/>
      </c>
      <c r="H12" s="444" t="n">
        <v>2</v>
      </c>
      <c r="I12" s="89" t="inlineStr">
        <is>
          <t>.a01</t>
        </is>
      </c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474" t="n">
        <v>1</v>
      </c>
      <c r="O12" s="444" t="n">
        <v>80</v>
      </c>
      <c r="P12" s="187" t="n">
        <v>0</v>
      </c>
      <c r="Q12" s="187" t="n">
        <v>0</v>
      </c>
      <c r="R12" s="187" t="n">
        <v>0</v>
      </c>
      <c r="S12" s="187" t="n">
        <v>0</v>
      </c>
      <c r="T12" s="187" t="n">
        <v>0.2</v>
      </c>
      <c r="U12" s="187" t="n">
        <v>0.2</v>
      </c>
      <c r="V12" s="187" t="n">
        <v>0.2</v>
      </c>
      <c r="W12" s="187" t="n">
        <v>0.2</v>
      </c>
      <c r="X12" s="187" t="n">
        <v>0.2</v>
      </c>
      <c r="Y12" s="292" t="n">
        <v>0</v>
      </c>
      <c r="Z12" s="292" t="n"/>
      <c r="AA12" s="292" t="n"/>
      <c r="AB12" s="292" t="n"/>
      <c r="AC12" s="302" t="n"/>
      <c r="AD12" s="302" t="n"/>
      <c r="AE12" s="302" t="n"/>
      <c r="AF12" s="302" t="n"/>
      <c r="AG12" s="192">
        <f>ROUND($O12*P12,0)</f>
        <v/>
      </c>
      <c r="AH12" s="192">
        <f>ROUND($O12*Q12,0)</f>
        <v/>
      </c>
      <c r="AI12" s="192">
        <f>ROUND($O12*R12,0)</f>
        <v/>
      </c>
      <c r="AJ12" s="192">
        <f>ROUND($O12*S12,0)</f>
        <v/>
      </c>
      <c r="AK12" s="192">
        <f>ROUND($O12*T12,0)</f>
        <v/>
      </c>
      <c r="AL12" s="192">
        <f>ROUND($O12*U12,0)</f>
        <v/>
      </c>
      <c r="AM12" s="192">
        <f>ROUND($O12*V12,0)</f>
        <v/>
      </c>
      <c r="AN12" s="192">
        <f>ROUND($O12*W12,0)</f>
        <v/>
      </c>
      <c r="AO12" s="192">
        <f>ROUND($O12*X12,0)</f>
        <v/>
      </c>
      <c r="AP12" s="193">
        <f>ROUND($O12*Y12,0)</f>
        <v/>
      </c>
      <c r="AQ12" s="193">
        <f>ROUND($O12*Z12,0)</f>
        <v/>
      </c>
      <c r="AR12" s="193">
        <f>ROUND($O12*AA12,0)</f>
        <v/>
      </c>
      <c r="AS12" s="307">
        <f>ROUND($O12*AB12,0)</f>
        <v/>
      </c>
      <c r="AT12" s="304" t="n"/>
      <c r="AU12" s="304" t="n"/>
      <c r="AV12" s="304" t="n"/>
      <c r="AW12" s="304" t="n"/>
      <c r="AX12" s="236">
        <f>SUM(AG12:AO12)</f>
        <v/>
      </c>
      <c r="AY12" s="528">
        <f>AX12/160</f>
        <v/>
      </c>
      <c r="AZ12" s="87">
        <f>VLOOKUP(I12,Listy!$A$1:$H$9,6,FALSE)</f>
        <v/>
      </c>
      <c r="BA12" s="682">
        <f>AY12*AZ12</f>
        <v/>
      </c>
      <c r="BB12" s="683">
        <f>AY12*BA12</f>
        <v/>
      </c>
      <c r="BC12" s="528" t="n"/>
      <c r="BD12" s="528" t="n"/>
      <c r="BE12" s="528" t="n"/>
      <c r="BF12" s="528" t="n"/>
      <c r="BG12" s="528" t="n"/>
      <c r="BH12" s="528" t="n"/>
      <c r="BI12" s="21">
        <f>BG12*BH12</f>
        <v/>
      </c>
      <c r="BJ12" s="528" t="n"/>
      <c r="BK12" s="528" t="n"/>
      <c r="BL12" s="528" t="n"/>
      <c r="BM12" s="528" t="n"/>
      <c r="BN12" s="528" t="n"/>
      <c r="BO12" s="528" t="n"/>
      <c r="BP12" s="528" t="n"/>
      <c r="BQ12" s="528" t="n"/>
      <c r="BR12" s="528" t="n"/>
      <c r="BS12" s="528" t="n"/>
      <c r="BT12" s="528" t="n"/>
      <c r="BU12" s="528" t="n"/>
      <c r="BV12" s="528" t="n"/>
      <c r="BW12" s="21">
        <f>BU12*BV12</f>
        <v/>
      </c>
      <c r="BX12" s="528" t="n"/>
      <c r="BY12" s="528" t="n"/>
      <c r="BZ12" s="528" t="n"/>
      <c r="CA12" s="21">
        <f>BY12*BZ12</f>
        <v/>
      </c>
      <c r="CB12" s="528" t="n"/>
      <c r="CC12" s="528" t="n"/>
      <c r="CD12" s="528" t="n"/>
      <c r="CE12" s="21">
        <f>CC12*CD12</f>
        <v/>
      </c>
    </row>
    <row r="13" customFormat="1" s="538">
      <c r="A13" s="444" t="n">
        <v>1</v>
      </c>
      <c r="B13" s="411" t="inlineStr">
        <is>
          <t>b</t>
        </is>
      </c>
      <c r="C13" s="105" t="n">
        <v>3</v>
      </c>
      <c r="D13" s="116">
        <f>CONCATENATE(A$3,"_",A13,"_",B13,"_",C13)</f>
        <v/>
      </c>
      <c r="E13" s="418" t="inlineStr">
        <is>
          <t xml:space="preserve"> Identyfikacja aktualnie przypisywanych atrybutów do rekordów/obiektów w WMS/ERP</t>
        </is>
      </c>
      <c r="F13" s="528">
        <f>IFERROR(VLOOKUP($I13,Listy!$A:$H,2,FALSE),"XXX")</f>
        <v/>
      </c>
      <c r="G13" s="528">
        <f>IFERROR(VLOOKUP($I13,Listy!$A:$H,3,FALSE),"XXX")</f>
        <v/>
      </c>
      <c r="H13" s="444" t="n">
        <v>2</v>
      </c>
      <c r="I13" s="89" t="inlineStr">
        <is>
          <t>.a03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1</v>
      </c>
      <c r="O13" s="444" t="n">
        <v>60</v>
      </c>
      <c r="P13" s="187" t="n">
        <v>0</v>
      </c>
      <c r="Q13" s="187" t="n">
        <v>0</v>
      </c>
      <c r="R13" s="187" t="n">
        <v>0</v>
      </c>
      <c r="S13" s="187" t="n">
        <v>0</v>
      </c>
      <c r="T13" s="187" t="n">
        <v>0.2</v>
      </c>
      <c r="U13" s="187" t="n">
        <v>0.2</v>
      </c>
      <c r="V13" s="187" t="n">
        <v>0.2</v>
      </c>
      <c r="W13" s="187" t="n">
        <v>0.2</v>
      </c>
      <c r="X13" s="187" t="n">
        <v>0.2</v>
      </c>
      <c r="Y13" s="292" t="n">
        <v>0</v>
      </c>
      <c r="Z13" s="292" t="n"/>
      <c r="AA13" s="292" t="n"/>
      <c r="AB13" s="292" t="n"/>
      <c r="AC13" s="302" t="n"/>
      <c r="AD13" s="302" t="n"/>
      <c r="AE13" s="302" t="n"/>
      <c r="AF13" s="302" t="n"/>
      <c r="AG13" s="192">
        <f>ROUND($O13*P13,0)</f>
        <v/>
      </c>
      <c r="AH13" s="192">
        <f>ROUND($O13*Q13,0)</f>
        <v/>
      </c>
      <c r="AI13" s="192">
        <f>ROUND($O13*R13,0)</f>
        <v/>
      </c>
      <c r="AJ13" s="192">
        <f>ROUND($O13*S13,0)</f>
        <v/>
      </c>
      <c r="AK13" s="192">
        <f>ROUND($O13*T13,0)</f>
        <v/>
      </c>
      <c r="AL13" s="192">
        <f>ROUND($O13*U13,0)</f>
        <v/>
      </c>
      <c r="AM13" s="192">
        <f>ROUND($O13*V13,0)</f>
        <v/>
      </c>
      <c r="AN13" s="192">
        <f>ROUND($O13*W13,0)</f>
        <v/>
      </c>
      <c r="AO13" s="192">
        <f>ROUND($O13*X13,0)</f>
        <v/>
      </c>
      <c r="AP13" s="193">
        <f>ROUND($O13*Y13,0)</f>
        <v/>
      </c>
      <c r="AQ13" s="193">
        <f>ROUND($O13*Z13,0)</f>
        <v/>
      </c>
      <c r="AR13" s="193">
        <f>ROUND($O13*AA13,0)</f>
        <v/>
      </c>
      <c r="AS13" s="307">
        <f>ROUND($O13*AB13,0)</f>
        <v/>
      </c>
      <c r="AT13" s="304" t="n"/>
      <c r="AU13" s="304" t="n"/>
      <c r="AV13" s="304" t="n"/>
      <c r="AW13" s="304" t="n"/>
      <c r="AX13" s="236">
        <f>SUM(AG13:AO13)</f>
        <v/>
      </c>
      <c r="AY13" s="528">
        <f>AX13/160</f>
        <v/>
      </c>
      <c r="AZ13" s="87">
        <f>VLOOKUP(I13,Listy!$A$1:$H$9,6,FALSE)</f>
        <v/>
      </c>
      <c r="BA13" s="682">
        <f>AY13*AZ13</f>
        <v/>
      </c>
      <c r="BB13" s="683">
        <f>AY13*BA13</f>
        <v/>
      </c>
      <c r="BC13" s="528" t="n"/>
      <c r="BD13" s="528" t="n"/>
      <c r="BE13" s="528" t="n"/>
      <c r="BF13" s="528" t="n"/>
      <c r="BG13" s="528" t="n"/>
      <c r="BH13" s="528" t="n"/>
      <c r="BI13" s="21">
        <f>BG13*BH13</f>
        <v/>
      </c>
      <c r="BJ13" s="528" t="n"/>
      <c r="BK13" s="528" t="n"/>
      <c r="BL13" s="528" t="n"/>
      <c r="BM13" s="528" t="n"/>
      <c r="BN13" s="528" t="n"/>
      <c r="BO13" s="528" t="n"/>
      <c r="BP13" s="528" t="n"/>
      <c r="BQ13" s="528" t="n"/>
      <c r="BR13" s="528" t="n"/>
      <c r="BS13" s="528" t="n"/>
      <c r="BT13" s="528" t="n"/>
      <c r="BU13" s="528" t="n"/>
      <c r="BV13" s="528" t="n"/>
      <c r="BW13" s="21">
        <f>BU13*BV13</f>
        <v/>
      </c>
      <c r="BX13" s="528" t="n"/>
      <c r="BY13" s="528" t="n"/>
      <c r="BZ13" s="528" t="n"/>
      <c r="CA13" s="21">
        <f>BY13*BZ13</f>
        <v/>
      </c>
      <c r="CB13" s="528" t="n"/>
      <c r="CC13" s="528" t="n"/>
      <c r="CD13" s="528" t="n"/>
      <c r="CE13" s="21">
        <f>CC13*CD13</f>
        <v/>
      </c>
    </row>
    <row r="14" customFormat="1" s="538">
      <c r="A14" s="445" t="n">
        <v>1</v>
      </c>
      <c r="B14" s="120" t="inlineStr">
        <is>
          <t>b</t>
        </is>
      </c>
      <c r="C14" s="439" t="n">
        <v>4</v>
      </c>
      <c r="D14" s="400">
        <f>CONCATENATE(A$3,"_",A14,"_",B14,"_",C14)</f>
        <v/>
      </c>
      <c r="E14" s="418" t="inlineStr">
        <is>
          <t>Opracowanie założeń modeli, schematów, organizacji i prezentacji danych wejściowych</t>
        </is>
      </c>
      <c r="F14" s="528">
        <f>IFERROR(VLOOKUP($I14,Listy!$A:$H,2,FALSE),"XXX")</f>
        <v/>
      </c>
      <c r="G14" s="528">
        <f>IFERROR(VLOOKUP($I14,Listy!$A:$H,3,FALSE),"XXX")</f>
        <v/>
      </c>
      <c r="H14" s="444" t="n">
        <v>2</v>
      </c>
      <c r="I14" s="89" t="inlineStr">
        <is>
          <t>.a04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 t="n">
        <v>1</v>
      </c>
      <c r="O14" s="444" t="n">
        <v>80</v>
      </c>
      <c r="P14" s="187" t="n">
        <v>0</v>
      </c>
      <c r="Q14" s="187" t="n">
        <v>0</v>
      </c>
      <c r="R14" s="187" t="n">
        <v>0</v>
      </c>
      <c r="S14" s="187" t="n">
        <v>0</v>
      </c>
      <c r="T14" s="187" t="n">
        <v>0.2</v>
      </c>
      <c r="U14" s="187" t="n">
        <v>0.2</v>
      </c>
      <c r="V14" s="187" t="n">
        <v>0.2</v>
      </c>
      <c r="W14" s="187" t="n">
        <v>0.2</v>
      </c>
      <c r="X14" s="187" t="n">
        <v>0.2</v>
      </c>
      <c r="Y14" s="292" t="n">
        <v>0</v>
      </c>
      <c r="Z14" s="292" t="n"/>
      <c r="AA14" s="292" t="n"/>
      <c r="AB14" s="292" t="n"/>
      <c r="AC14" s="302" t="n"/>
      <c r="AD14" s="302" t="n"/>
      <c r="AE14" s="302" t="n"/>
      <c r="AF14" s="302" t="n"/>
      <c r="AG14" s="192">
        <f>ROUND($O14*P14,0)</f>
        <v/>
      </c>
      <c r="AH14" s="192">
        <f>ROUND($O14*Q14,0)</f>
        <v/>
      </c>
      <c r="AI14" s="192">
        <f>ROUND($O14*R14,0)</f>
        <v/>
      </c>
      <c r="AJ14" s="192">
        <f>ROUND($O14*S14,0)</f>
        <v/>
      </c>
      <c r="AK14" s="192">
        <f>ROUND($O14*T14,0)</f>
        <v/>
      </c>
      <c r="AL14" s="192">
        <f>ROUND($O14*U14,0)</f>
        <v/>
      </c>
      <c r="AM14" s="192">
        <f>ROUND($O14*V14,0)</f>
        <v/>
      </c>
      <c r="AN14" s="192">
        <f>ROUND($O14*W14,0)</f>
        <v/>
      </c>
      <c r="AO14" s="192">
        <f>ROUND($O14*X14,0)</f>
        <v/>
      </c>
      <c r="AP14" s="193">
        <f>ROUND($O14*Y14,0)</f>
        <v/>
      </c>
      <c r="AQ14" s="193">
        <f>ROUND($O14*Z14,0)</f>
        <v/>
      </c>
      <c r="AR14" s="193">
        <f>ROUND($O14*AA14,0)</f>
        <v/>
      </c>
      <c r="AS14" s="307">
        <f>ROUND($O14*AB14,0)</f>
        <v/>
      </c>
      <c r="AT14" s="304" t="n"/>
      <c r="AU14" s="304" t="n"/>
      <c r="AV14" s="304" t="n"/>
      <c r="AW14" s="304" t="n"/>
      <c r="AX14" s="236">
        <f>SUM(AG14:AO14)</f>
        <v/>
      </c>
      <c r="AY14" s="528">
        <f>AX14/160</f>
        <v/>
      </c>
      <c r="AZ14" s="87">
        <f>VLOOKUP(I14,Listy!$A$1:$H$9,6,FALSE)</f>
        <v/>
      </c>
      <c r="BA14" s="682">
        <f>AY14*AZ14</f>
        <v/>
      </c>
      <c r="BB14" s="683">
        <f>AY14*BA14</f>
        <v/>
      </c>
      <c r="BC14" s="528" t="n"/>
      <c r="BD14" s="528" t="n"/>
      <c r="BE14" s="528" t="n"/>
      <c r="BF14" s="528" t="n"/>
      <c r="BG14" s="528" t="n"/>
      <c r="BH14" s="528" t="n"/>
      <c r="BI14" s="21">
        <f>BG14*BH14</f>
        <v/>
      </c>
      <c r="BJ14" s="528" t="n"/>
      <c r="BK14" s="528" t="n"/>
      <c r="BL14" s="528" t="n"/>
      <c r="BM14" s="528" t="n"/>
      <c r="BN14" s="528" t="n"/>
      <c r="BO14" s="528" t="n"/>
      <c r="BP14" s="528" t="n"/>
      <c r="BQ14" s="528" t="n"/>
      <c r="BR14" s="528" t="n"/>
      <c r="BS14" s="528" t="n"/>
      <c r="BT14" s="528" t="n"/>
      <c r="BU14" s="528" t="n"/>
      <c r="BV14" s="528" t="n"/>
      <c r="BW14" s="21">
        <f>BU14*BV14</f>
        <v/>
      </c>
      <c r="BX14" s="528" t="n"/>
      <c r="BY14" s="528" t="n"/>
      <c r="BZ14" s="528" t="n"/>
      <c r="CA14" s="21">
        <f>BY14*BZ14</f>
        <v/>
      </c>
      <c r="CB14" s="528" t="n"/>
      <c r="CC14" s="528" t="n"/>
      <c r="CD14" s="528" t="n"/>
      <c r="CE14" s="21">
        <f>CC14*CD14</f>
        <v/>
      </c>
    </row>
    <row r="15" ht="15.6" customFormat="1" customHeight="1" s="538">
      <c r="A15" s="444" t="n">
        <v>1</v>
      </c>
      <c r="B15" s="411" t="inlineStr">
        <is>
          <t>c</t>
        </is>
      </c>
      <c r="C15" s="404" t="n">
        <v>1</v>
      </c>
      <c r="D15" s="443">
        <f>CONCATENATE(A$3,"_",A15,"_",B15,"_",C15)</f>
        <v/>
      </c>
      <c r="E15" s="466" t="inlineStr">
        <is>
          <t>Zgromadzenie danych historycznych (ostatnie 3 lata), dot. procesów omawianych w ramach niniejszego pro-jektu</t>
        </is>
      </c>
      <c r="F15" s="528">
        <f>IFERROR(VLOOKUP($I15,Listy!$A:$H,2,FALSE),"XXX")</f>
        <v/>
      </c>
      <c r="G15" s="528">
        <f>IFERROR(VLOOKUP($I15,Listy!$A:$H,3,FALSE),"XXX")</f>
        <v/>
      </c>
      <c r="H15" s="444" t="n">
        <v>3</v>
      </c>
      <c r="I15" s="89" t="inlineStr">
        <is>
          <t>.a02</t>
        </is>
      </c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>
        <f>ROUND(MAX(AG15:AO15)/Listy!$U$5,0)</f>
        <v/>
      </c>
      <c r="O15" s="444" t="n">
        <v>40</v>
      </c>
      <c r="P15" s="187" t="n">
        <v>0</v>
      </c>
      <c r="Q15" s="187" t="n">
        <v>0</v>
      </c>
      <c r="R15" s="187" t="n">
        <v>0</v>
      </c>
      <c r="S15" s="187" t="n">
        <v>0</v>
      </c>
      <c r="T15" s="187" t="n">
        <v>0.2</v>
      </c>
      <c r="U15" s="187" t="n">
        <v>0.2</v>
      </c>
      <c r="V15" s="187" t="n">
        <v>0.2</v>
      </c>
      <c r="W15" s="187" t="n">
        <v>0.2</v>
      </c>
      <c r="X15" s="187" t="n">
        <v>0.2</v>
      </c>
      <c r="Y15" s="292" t="n">
        <v>0</v>
      </c>
      <c r="Z15" s="292" t="n"/>
      <c r="AA15" s="292" t="n"/>
      <c r="AB15" s="292" t="n"/>
      <c r="AC15" s="302" t="n"/>
      <c r="AD15" s="302" t="n"/>
      <c r="AE15" s="302" t="n"/>
      <c r="AF15" s="302" t="n"/>
      <c r="AG15" s="192">
        <f>ROUND($O15*P15,0)</f>
        <v/>
      </c>
      <c r="AH15" s="192">
        <f>ROUND($O15*Q15,0)</f>
        <v/>
      </c>
      <c r="AI15" s="192">
        <f>ROUND($O15*R15,0)</f>
        <v/>
      </c>
      <c r="AJ15" s="192">
        <f>ROUND($O15*S15,0)</f>
        <v/>
      </c>
      <c r="AK15" s="192">
        <f>ROUND($O15*T15,0)</f>
        <v/>
      </c>
      <c r="AL15" s="192">
        <f>ROUND($O15*U15,0)</f>
        <v/>
      </c>
      <c r="AM15" s="192">
        <f>ROUND($O15*V15,0)</f>
        <v/>
      </c>
      <c r="AN15" s="192">
        <f>ROUND($O15*W15,0)</f>
        <v/>
      </c>
      <c r="AO15" s="192">
        <f>ROUND($O15*X15,0)</f>
        <v/>
      </c>
      <c r="AP15" s="193">
        <f>ROUND($O15*Y15,0)</f>
        <v/>
      </c>
      <c r="AQ15" s="193">
        <f>ROUND($O15*Z15,0)</f>
        <v/>
      </c>
      <c r="AR15" s="193">
        <f>ROUND($O15*AA15,0)</f>
        <v/>
      </c>
      <c r="AS15" s="307">
        <f>ROUND($O15*AB15,0)</f>
        <v/>
      </c>
      <c r="AT15" s="304" t="n"/>
      <c r="AU15" s="304" t="n"/>
      <c r="AV15" s="304" t="n"/>
      <c r="AW15" s="304" t="n"/>
      <c r="AX15" s="236">
        <f>SUM(AG15:AO15)</f>
        <v/>
      </c>
      <c r="AY15" s="528">
        <f>AX15/160</f>
        <v/>
      </c>
      <c r="AZ15" s="87">
        <f>VLOOKUP(I15,Listy!$A$1:$H$9,6,FALSE)</f>
        <v/>
      </c>
      <c r="BA15" s="682">
        <f>AY15*AZ15</f>
        <v/>
      </c>
      <c r="BB15" s="683">
        <f>AY15*BA15</f>
        <v/>
      </c>
      <c r="BC15" s="528" t="n"/>
      <c r="BD15" s="528" t="n"/>
      <c r="BE15" s="528" t="n"/>
      <c r="BF15" s="528" t="n"/>
      <c r="BG15" s="528" t="n"/>
      <c r="BH15" s="528" t="n"/>
      <c r="BI15" s="22">
        <f>BG15*BH15</f>
        <v/>
      </c>
      <c r="BJ15" s="528" t="n"/>
      <c r="BK15" s="528" t="n"/>
      <c r="BL15" s="314" t="n"/>
      <c r="BM15" s="528" t="n"/>
      <c r="BN15" s="528" t="n"/>
      <c r="BO15" s="314" t="n"/>
      <c r="BP15" s="528" t="n"/>
      <c r="BQ15" s="528" t="n"/>
      <c r="BR15" s="314" t="n"/>
      <c r="BS15" s="314" t="n"/>
      <c r="BT15" s="528" t="n"/>
      <c r="BU15" s="528" t="n"/>
      <c r="BV15" s="528" t="n"/>
      <c r="BW15" s="22">
        <f>BU15*BV15</f>
        <v/>
      </c>
      <c r="BX15" s="528" t="n"/>
      <c r="BY15" s="528" t="n"/>
      <c r="BZ15" s="528" t="n"/>
      <c r="CA15" s="22">
        <f>BY15*BZ15</f>
        <v/>
      </c>
      <c r="CB15" s="528" t="n"/>
      <c r="CC15" s="528" t="n"/>
      <c r="CD15" s="528" t="n"/>
      <c r="CE15" s="22">
        <f>CC15*CD15</f>
        <v/>
      </c>
    </row>
    <row r="16" ht="15.6" customFormat="1" customHeight="1" s="538">
      <c r="A16" s="444" t="n">
        <v>1</v>
      </c>
      <c r="B16" s="411" t="inlineStr">
        <is>
          <t>d</t>
        </is>
      </c>
      <c r="C16" s="404" t="n">
        <v>1</v>
      </c>
      <c r="D16" s="443">
        <f>CONCATENATE(A$3,"_",A16,"_",B16,"_",C16)</f>
        <v/>
      </c>
      <c r="E16" s="466" t="inlineStr">
        <is>
          <t>Oczyszczanie, normalizacja, konwersja i standaryzacja danych (procedury ETL), w tym usuwanie duplikatów i korekcji błędów, do jednolitego formatu na potrzeby dokładności analiz i predykcji, spójności i możliwość ła-twego przetwarzania,</t>
        </is>
      </c>
      <c r="F16" s="148" t="n"/>
      <c r="G16" s="148" t="n"/>
      <c r="H16" s="444" t="n">
        <v>4</v>
      </c>
      <c r="I16" s="148" t="n"/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4" t="n">
        <v>1</v>
      </c>
      <c r="O16" s="444" t="n">
        <v>80</v>
      </c>
      <c r="P16" s="187" t="n">
        <v>0</v>
      </c>
      <c r="Q16" s="187" t="n">
        <v>0</v>
      </c>
      <c r="R16" s="187" t="n">
        <v>0</v>
      </c>
      <c r="S16" s="187" t="n">
        <v>0</v>
      </c>
      <c r="T16" s="187" t="n">
        <v>0.2</v>
      </c>
      <c r="U16" s="187" t="n">
        <v>0.2</v>
      </c>
      <c r="V16" s="187" t="n">
        <v>0.2</v>
      </c>
      <c r="W16" s="187" t="n">
        <v>0.2</v>
      </c>
      <c r="X16" s="187" t="n">
        <v>0.2</v>
      </c>
      <c r="Y16" s="292" t="n">
        <v>0</v>
      </c>
      <c r="Z16" s="292" t="n"/>
      <c r="AA16" s="292" t="n"/>
      <c r="AB16" s="292" t="n"/>
      <c r="AC16" s="302" t="n"/>
      <c r="AD16" s="302" t="n"/>
      <c r="AE16" s="302" t="n"/>
      <c r="AF16" s="302" t="n"/>
      <c r="AG16" s="192">
        <f>ROUND($O16*P16,0)</f>
        <v/>
      </c>
      <c r="AH16" s="192">
        <f>ROUND($O16*Q16,0)</f>
        <v/>
      </c>
      <c r="AI16" s="192">
        <f>ROUND($O16*R16,0)</f>
        <v/>
      </c>
      <c r="AJ16" s="192">
        <f>ROUND($O16*S16,0)</f>
        <v/>
      </c>
      <c r="AK16" s="190">
        <f>ROUND($O16*T16,0)</f>
        <v/>
      </c>
      <c r="AL16" s="190">
        <f>ROUND($O16*U16,0)</f>
        <v/>
      </c>
      <c r="AM16" s="190">
        <f>ROUND($O16*V16,0)</f>
        <v/>
      </c>
      <c r="AN16" s="190">
        <f>ROUND($O16*W16,0)</f>
        <v/>
      </c>
      <c r="AO16" s="190">
        <f>ROUND($O16*X16,0)</f>
        <v/>
      </c>
      <c r="AP16" s="148">
        <f>ROUND($O16*Y16,0)</f>
        <v/>
      </c>
      <c r="AQ16" s="148">
        <f>ROUND($O16*Z16,0)</f>
        <v/>
      </c>
      <c r="AR16" s="148">
        <f>ROUND($O16*AA16,0)</f>
        <v/>
      </c>
      <c r="AS16" s="148">
        <f>ROUND($O16*AB16,0)</f>
        <v/>
      </c>
      <c r="AT16" s="148" t="n"/>
      <c r="AU16" s="148" t="n"/>
      <c r="AV16" s="148" t="n"/>
      <c r="AW16" s="148" t="n"/>
      <c r="AX16" s="148" t="n"/>
      <c r="AY16" s="148" t="n"/>
      <c r="AZ16" s="148" t="n"/>
      <c r="BA16" s="148" t="n"/>
      <c r="BB16" s="148" t="n"/>
      <c r="BC16" s="148" t="n"/>
      <c r="BD16" s="148" t="n"/>
      <c r="BE16" s="148" t="n"/>
      <c r="BF16" s="148" t="n"/>
      <c r="BG16" s="148" t="n"/>
      <c r="BH16" s="148" t="n"/>
      <c r="BI16" s="148" t="n"/>
      <c r="BJ16" s="148" t="n"/>
      <c r="BK16" s="148" t="n"/>
      <c r="BL16" s="148" t="n"/>
      <c r="BM16" s="148" t="n"/>
      <c r="BN16" s="148" t="n"/>
      <c r="BO16" s="148" t="n"/>
      <c r="BP16" s="148" t="n"/>
      <c r="BQ16" s="148" t="n"/>
      <c r="BR16" s="148" t="n"/>
      <c r="BS16" s="148" t="n"/>
      <c r="BT16" s="148" t="n"/>
      <c r="BU16" s="148" t="n"/>
      <c r="BV16" s="148" t="n"/>
      <c r="BW16" s="148" t="n"/>
      <c r="BX16" s="148" t="n"/>
      <c r="BY16" s="148" t="n"/>
      <c r="BZ16" s="148" t="n"/>
      <c r="CA16" s="148" t="n"/>
      <c r="CB16" s="148" t="n"/>
      <c r="CC16" s="148" t="n"/>
      <c r="CD16" s="148" t="n"/>
      <c r="CE16" s="148" t="n"/>
      <c r="CF16" s="659" t="n"/>
    </row>
    <row r="17" ht="18" customFormat="1" customHeight="1" s="538">
      <c r="A17" s="447" t="n">
        <v>2</v>
      </c>
      <c r="B17" s="411" t="inlineStr">
        <is>
          <t>a</t>
        </is>
      </c>
      <c r="C17" s="449" t="n">
        <v>0</v>
      </c>
      <c r="D17" s="443">
        <f>CONCATENATE(A$3,"_",A17,"_",B17,"_",C17)</f>
        <v/>
      </c>
      <c r="E17" s="448" t="inlineStr">
        <is>
          <t>2.Implementacja BDCB w infrastrukturze Wnioskodawcy w oparciu o wybrane platformy bazodanowe, np. Orac-le, MSSQL, MySQL</t>
        </is>
      </c>
      <c r="F17" s="528">
        <f>IFERROR(VLOOKUP($I17,Listy!$A:$H,2,FALSE),"XXX")</f>
        <v/>
      </c>
      <c r="G17" s="528">
        <f>IFERROR(VLOOKUP($I17,Listy!$A:$H,3,FALSE),"XXX")</f>
        <v/>
      </c>
      <c r="H17" s="444" t="n"/>
      <c r="I17" s="89" t="inlineStr">
        <is>
          <t>.a01</t>
        </is>
      </c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>
        <f>ROUND(MAX(AG17:AO17)/Listy!$U$5,0)</f>
        <v/>
      </c>
      <c r="O17" s="444" t="n"/>
      <c r="P17" s="187" t="n"/>
      <c r="Q17" s="187" t="n"/>
      <c r="R17" s="187" t="n"/>
      <c r="S17" s="187" t="n"/>
      <c r="T17" s="187" t="n"/>
      <c r="U17" s="187" t="n"/>
      <c r="V17" s="187" t="n"/>
      <c r="W17" s="187" t="n"/>
      <c r="X17" s="187" t="n"/>
      <c r="Y17" s="292" t="n"/>
      <c r="Z17" s="292" t="n"/>
      <c r="AA17" s="292" t="n"/>
      <c r="AB17" s="292" t="n"/>
      <c r="AC17" s="173" t="n"/>
      <c r="AD17" s="173" t="n"/>
      <c r="AE17" s="173" t="n"/>
      <c r="AF17" s="173" t="n"/>
      <c r="AG17" s="192">
        <f>ROUND($O17*P17,0)</f>
        <v/>
      </c>
      <c r="AH17" s="192">
        <f>ROUND($O17*Q17,0)</f>
        <v/>
      </c>
      <c r="AI17" s="192">
        <f>ROUND($O17*R17,0)</f>
        <v/>
      </c>
      <c r="AJ17" s="192">
        <f>ROUND($O17*S17,0)</f>
        <v/>
      </c>
      <c r="AK17" s="192">
        <f>ROUND($O17*T17,0)</f>
        <v/>
      </c>
      <c r="AL17" s="192">
        <f>ROUND($O17*U17,0)</f>
        <v/>
      </c>
      <c r="AM17" s="192">
        <f>ROUND($O17*V17,0)</f>
        <v/>
      </c>
      <c r="AN17" s="192">
        <f>ROUND($O17*W17,0)</f>
        <v/>
      </c>
      <c r="AO17" s="192">
        <f>ROUND($O17*X17,0)</f>
        <v/>
      </c>
      <c r="AP17" s="193">
        <f>ROUND($O17*Y17,0)</f>
        <v/>
      </c>
      <c r="AQ17" s="193">
        <f>ROUND($O17*Z17,0)</f>
        <v/>
      </c>
      <c r="AR17" s="193">
        <f>ROUND($O17*AA17,0)</f>
        <v/>
      </c>
      <c r="AS17" s="307">
        <f>ROUND($O17*AB17,0)</f>
        <v/>
      </c>
      <c r="AT17" s="304" t="n"/>
      <c r="AU17" s="304" t="n"/>
      <c r="AV17" s="304" t="n"/>
      <c r="AW17" s="304" t="n"/>
      <c r="AX17" s="236">
        <f>SUM(AG17:AO17)</f>
        <v/>
      </c>
      <c r="AY17" s="528">
        <f>AX17/160</f>
        <v/>
      </c>
      <c r="AZ17" s="87">
        <f>VLOOKUP(I17,Listy!$A$1:$H$9,6,FALSE)</f>
        <v/>
      </c>
      <c r="BA17" s="682">
        <f>AY17*AZ17</f>
        <v/>
      </c>
      <c r="BB17" s="683">
        <f>AY17*BA17</f>
        <v/>
      </c>
      <c r="BC17" s="528" t="n"/>
      <c r="BD17" s="528" t="n"/>
      <c r="BE17" s="528" t="n"/>
      <c r="BF17" s="528" t="n"/>
      <c r="BG17" s="528" t="n"/>
      <c r="BH17" s="528" t="n"/>
      <c r="BI17" s="21">
        <f>BG17*BH17</f>
        <v/>
      </c>
      <c r="BJ17" s="528" t="n"/>
      <c r="BK17" s="528" t="n"/>
      <c r="BL17" s="528" t="n"/>
      <c r="BM17" s="528" t="n"/>
      <c r="BN17" s="528" t="n"/>
      <c r="BO17" s="528" t="n"/>
      <c r="BP17" s="528" t="n"/>
      <c r="BQ17" s="528" t="n"/>
      <c r="BR17" s="528" t="n"/>
      <c r="BS17" s="528" t="n"/>
      <c r="BT17" s="528" t="n"/>
      <c r="BU17" s="528" t="n"/>
      <c r="BV17" s="528" t="n"/>
      <c r="BW17" s="21">
        <f>BU17*BV17</f>
        <v/>
      </c>
      <c r="BX17" s="528" t="n"/>
      <c r="BY17" s="528" t="n"/>
      <c r="BZ17" s="528" t="n"/>
      <c r="CA17" s="21">
        <f>BY17*BZ17</f>
        <v/>
      </c>
      <c r="CB17" s="528" t="n"/>
      <c r="CC17" s="528" t="n"/>
      <c r="CD17" s="528" t="n"/>
      <c r="CE17" s="21">
        <f>CC17*CD17</f>
        <v/>
      </c>
      <c r="CF17" s="659" t="n"/>
    </row>
    <row r="18" ht="15.6" customFormat="1" customHeight="1" s="538">
      <c r="A18" s="444" t="n">
        <v>2</v>
      </c>
      <c r="B18" s="411" t="inlineStr">
        <is>
          <t>a</t>
        </is>
      </c>
      <c r="C18" s="449" t="n">
        <v>1</v>
      </c>
      <c r="D18" s="443">
        <f>CONCATENATE(A$3,"_",A18,"_",B18,"_",C18)</f>
        <v/>
      </c>
      <c r="E18" s="425" t="inlineStr">
        <is>
          <t>Testowanie i walidacja platform bazodanowych (testy funkcjonalne i wydajnościowe, w tym obciążeniowe i regresyjne) jest kluczowe dla zapewnienia, że baza danych działa zgodnie z wymaganiami i jest gotowa do użycia</t>
        </is>
      </c>
      <c r="F18" s="528">
        <f>IFERROR(VLOOKUP($I18,Listy!$A:$H,2,FALSE),"XXX")</f>
        <v/>
      </c>
      <c r="G18" s="528">
        <f>IFERROR(VLOOKUP($I18,Listy!$A:$H,3,FALSE),"XXX")</f>
        <v/>
      </c>
      <c r="H18" s="444" t="n">
        <v>5</v>
      </c>
      <c r="I18" s="89" t="inlineStr">
        <is>
          <t>.a03</t>
        </is>
      </c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4" t="n">
        <v>1</v>
      </c>
      <c r="O18" s="444" t="n">
        <v>80</v>
      </c>
      <c r="P18" s="187" t="n">
        <v>0</v>
      </c>
      <c r="Q18" s="187" t="n">
        <v>0</v>
      </c>
      <c r="R18" s="187" t="n">
        <v>0</v>
      </c>
      <c r="S18" s="187" t="n">
        <v>0</v>
      </c>
      <c r="T18" s="187" t="n">
        <v>0.2</v>
      </c>
      <c r="U18" s="187" t="n">
        <v>0.2</v>
      </c>
      <c r="V18" s="187" t="n">
        <v>0.2</v>
      </c>
      <c r="W18" s="187" t="n">
        <v>0.2</v>
      </c>
      <c r="X18" s="187" t="n">
        <v>0.2</v>
      </c>
      <c r="Y18" s="292" t="n">
        <v>0</v>
      </c>
      <c r="Z18" s="292" t="n"/>
      <c r="AA18" s="292" t="n"/>
      <c r="AB18" s="292" t="n"/>
      <c r="AC18" s="302" t="n"/>
      <c r="AD18" s="302" t="n"/>
      <c r="AE18" s="302" t="n"/>
      <c r="AF18" s="302" t="n"/>
      <c r="AG18" s="192">
        <f>ROUND($O18*P18,0)</f>
        <v/>
      </c>
      <c r="AH18" s="192">
        <f>ROUND($O18*Q18,0)</f>
        <v/>
      </c>
      <c r="AI18" s="192">
        <f>ROUND($O18*R18,0)</f>
        <v/>
      </c>
      <c r="AJ18" s="192">
        <f>ROUND($O18*S18,0)</f>
        <v/>
      </c>
      <c r="AK18" s="192">
        <f>ROUND($O18*T18,0)</f>
        <v/>
      </c>
      <c r="AL18" s="192">
        <f>ROUND($O18*U18,0)</f>
        <v/>
      </c>
      <c r="AM18" s="192">
        <f>ROUND($O18*V18,0)</f>
        <v/>
      </c>
      <c r="AN18" s="192">
        <f>ROUND($O18*W18,0)</f>
        <v/>
      </c>
      <c r="AO18" s="192">
        <f>ROUND($O18*X18,0)</f>
        <v/>
      </c>
      <c r="AP18" s="193">
        <f>ROUND($O18*Y18,0)</f>
        <v/>
      </c>
      <c r="AQ18" s="193">
        <f>ROUND($O18*Z18,0)</f>
        <v/>
      </c>
      <c r="AR18" s="193">
        <f>ROUND($O18*AA18,0)</f>
        <v/>
      </c>
      <c r="AS18" s="307">
        <f>ROUND($O18*AB18,0)</f>
        <v/>
      </c>
      <c r="AT18" s="304" t="n"/>
      <c r="AU18" s="304" t="n"/>
      <c r="AV18" s="304" t="n"/>
      <c r="AW18" s="304" t="n"/>
      <c r="AX18" s="236">
        <f>SUM(AG18:AO18)</f>
        <v/>
      </c>
      <c r="AY18" s="528">
        <f>AX18/160</f>
        <v/>
      </c>
      <c r="AZ18" s="87">
        <f>VLOOKUP(I18,Listy!$A$1:$H$9,6,FALSE)</f>
        <v/>
      </c>
      <c r="BA18" s="682">
        <f>AY18*AZ18</f>
        <v/>
      </c>
      <c r="BB18" s="683">
        <f>AY18*BA18</f>
        <v/>
      </c>
      <c r="BC18" s="528" t="n"/>
      <c r="BD18" s="528" t="n"/>
      <c r="BE18" s="528" t="n"/>
      <c r="BF18" s="528" t="n"/>
      <c r="BG18" s="528" t="n"/>
      <c r="BH18" s="528" t="n"/>
      <c r="BI18" s="21">
        <f>BG18*BH18</f>
        <v/>
      </c>
      <c r="BJ18" s="528" t="n"/>
      <c r="BK18" s="528" t="n"/>
      <c r="BL18" s="528" t="n"/>
      <c r="BM18" s="528" t="n"/>
      <c r="BN18" s="528" t="n"/>
      <c r="BO18" s="528" t="n"/>
      <c r="BP18" s="528" t="n"/>
      <c r="BQ18" s="528" t="n"/>
      <c r="BR18" s="528" t="n"/>
      <c r="BS18" s="528" t="n"/>
      <c r="BT18" s="528" t="n"/>
      <c r="BU18" s="528" t="n"/>
      <c r="BV18" s="528" t="n"/>
      <c r="BW18" s="21">
        <f>BU18*BV18</f>
        <v/>
      </c>
      <c r="BX18" s="528" t="n"/>
      <c r="BY18" s="528" t="n"/>
      <c r="BZ18" s="528" t="n"/>
      <c r="CA18" s="21">
        <f>BY18*BZ18</f>
        <v/>
      </c>
      <c r="CB18" s="528" t="n"/>
      <c r="CC18" s="528" t="n"/>
      <c r="CD18" s="528" t="n"/>
      <c r="CE18" s="21">
        <f>CC18*CD18</f>
        <v/>
      </c>
    </row>
    <row r="19" ht="15.6" customFormat="1" customHeight="1" s="538">
      <c r="A19" s="444" t="n">
        <v>2</v>
      </c>
      <c r="B19" s="411" t="inlineStr">
        <is>
          <t>b</t>
        </is>
      </c>
      <c r="C19" s="449" t="n">
        <v>2</v>
      </c>
      <c r="D19" s="443">
        <f>CONCATENATE(A$3,"_",A19,"_",B19,"_",C19)</f>
        <v/>
      </c>
      <c r="E19" s="425" t="inlineStr">
        <is>
          <t>Wybór platformy bazodanowej na podstawie testów wydajnościowych BDCB</t>
        </is>
      </c>
      <c r="F19" s="528">
        <f>IFERROR(VLOOKUP($I19,Listy!$A:$H,2,FALSE),"XXX")</f>
        <v/>
      </c>
      <c r="G19" s="528">
        <f>IFERROR(VLOOKUP($I19,Listy!$A:$H,3,FALSE),"XXX")</f>
        <v/>
      </c>
      <c r="H19" s="444" t="n">
        <v>5</v>
      </c>
      <c r="I19" s="89" t="inlineStr">
        <is>
          <t>.a04</t>
        </is>
      </c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>
        <f>ROUND(MAX(AG19:AO19)/Listy!$U$5,0)</f>
        <v/>
      </c>
      <c r="O19" s="444" t="n">
        <v>8</v>
      </c>
      <c r="P19" s="187" t="n">
        <v>0</v>
      </c>
      <c r="Q19" s="187" t="n">
        <v>0</v>
      </c>
      <c r="R19" s="187" t="n">
        <v>0</v>
      </c>
      <c r="S19" s="187" t="n">
        <v>0</v>
      </c>
      <c r="T19" s="187" t="n">
        <v>0.2</v>
      </c>
      <c r="U19" s="187" t="n">
        <v>0.2</v>
      </c>
      <c r="V19" s="187" t="n">
        <v>0.2</v>
      </c>
      <c r="W19" s="187" t="n">
        <v>0.2</v>
      </c>
      <c r="X19" s="187" t="n">
        <v>0.2</v>
      </c>
      <c r="Y19" s="292" t="n">
        <v>0</v>
      </c>
      <c r="Z19" s="292" t="n"/>
      <c r="AA19" s="292" t="n"/>
      <c r="AB19" s="292" t="n"/>
      <c r="AC19" s="302" t="n"/>
      <c r="AD19" s="302" t="n"/>
      <c r="AE19" s="302" t="n"/>
      <c r="AF19" s="302" t="n"/>
      <c r="AG19" s="192">
        <f>ROUND($O19*P19,0)</f>
        <v/>
      </c>
      <c r="AH19" s="192">
        <f>ROUND($O19*Q19,0)</f>
        <v/>
      </c>
      <c r="AI19" s="192">
        <f>ROUND($O19*R19,0)</f>
        <v/>
      </c>
      <c r="AJ19" s="192">
        <f>ROUND($O19*S19,0)</f>
        <v/>
      </c>
      <c r="AK19" s="192">
        <f>ROUND($O19*T19,0)</f>
        <v/>
      </c>
      <c r="AL19" s="192">
        <f>ROUND($O19*U19,0)</f>
        <v/>
      </c>
      <c r="AM19" s="192">
        <f>ROUND($O19*V19,0)</f>
        <v/>
      </c>
      <c r="AN19" s="192">
        <f>ROUND($O19*W19,0)</f>
        <v/>
      </c>
      <c r="AO19" s="192">
        <f>ROUND($O19*X19,0)</f>
        <v/>
      </c>
      <c r="AP19" s="193">
        <f>ROUND($O19*Y19,0)</f>
        <v/>
      </c>
      <c r="AQ19" s="193">
        <f>ROUND($O19*Z19,0)</f>
        <v/>
      </c>
      <c r="AR19" s="193">
        <f>ROUND($O19*AA19,0)</f>
        <v/>
      </c>
      <c r="AS19" s="307">
        <f>ROUND($O19*AB19,0)</f>
        <v/>
      </c>
      <c r="AT19" s="304" t="n"/>
      <c r="AU19" s="304" t="n"/>
      <c r="AV19" s="304" t="n"/>
      <c r="AW19" s="304" t="n"/>
      <c r="AX19" s="236">
        <f>SUM(AG19:AO19)</f>
        <v/>
      </c>
      <c r="AY19" s="528">
        <f>AX19/160</f>
        <v/>
      </c>
      <c r="AZ19" s="87">
        <f>VLOOKUP(I19,Listy!$A$1:$H$9,6,FALSE)</f>
        <v/>
      </c>
      <c r="BA19" s="682">
        <f>AY19*AZ19</f>
        <v/>
      </c>
      <c r="BB19" s="683">
        <f>AY19*BA19</f>
        <v/>
      </c>
      <c r="BC19" s="528" t="n"/>
      <c r="BD19" s="528" t="n"/>
      <c r="BE19" s="528" t="n"/>
      <c r="BF19" s="528" t="n"/>
      <c r="BG19" s="528" t="n"/>
      <c r="BH19" s="528" t="n"/>
      <c r="BI19" s="21">
        <f>BG19*BH19</f>
        <v/>
      </c>
      <c r="BJ19" s="528" t="n"/>
      <c r="BK19" s="528" t="n"/>
      <c r="BL19" s="528" t="n"/>
      <c r="BM19" s="528" t="n"/>
      <c r="BN19" s="528" t="n"/>
      <c r="BO19" s="528" t="n"/>
      <c r="BP19" s="528" t="n"/>
      <c r="BQ19" s="528" t="n"/>
      <c r="BR19" s="528" t="n"/>
      <c r="BS19" s="528" t="n"/>
      <c r="BT19" s="528" t="n"/>
      <c r="BU19" s="528" t="n"/>
      <c r="BV19" s="528" t="n"/>
      <c r="BW19" s="21">
        <f>BU19*BV19</f>
        <v/>
      </c>
      <c r="BX19" s="528" t="n"/>
      <c r="BY19" s="528" t="n"/>
      <c r="BZ19" s="528" t="n"/>
      <c r="CA19" s="21">
        <f>BY19*BZ19</f>
        <v/>
      </c>
      <c r="CB19" s="528" t="n"/>
      <c r="CC19" s="528" t="n"/>
      <c r="CD19" s="528" t="n"/>
      <c r="CE19" s="21">
        <f>CC19*CD19</f>
        <v/>
      </c>
    </row>
    <row r="20" ht="15.6" customFormat="1" customHeight="1" s="538">
      <c r="A20" s="444" t="n">
        <v>2</v>
      </c>
      <c r="B20" s="411" t="inlineStr">
        <is>
          <t>c</t>
        </is>
      </c>
      <c r="C20" s="449" t="n">
        <v>3</v>
      </c>
      <c r="D20" s="443">
        <f>CONCATENATE(A$3,"_",A20,"_",B20,"_",C20)</f>
        <v/>
      </c>
      <c r="E20" s="425" t="inlineStr">
        <is>
          <t>Wybór odpowiedniej platformy technologicznej zapewniającej skalowalność, bezpieczeństwo i wydajność analiz AI/ML</t>
        </is>
      </c>
      <c r="F20" s="528">
        <f>IFERROR(VLOOKUP($I20,Listy!$A:$H,2,FALSE),"XXX")</f>
        <v/>
      </c>
      <c r="G20" s="528">
        <f>IFERROR(VLOOKUP($I20,Listy!$A:$H,3,FALSE),"XXX")</f>
        <v/>
      </c>
      <c r="H20" s="444" t="n">
        <v>5</v>
      </c>
      <c r="I20" s="89" t="inlineStr">
        <is>
          <t>.a02</t>
        </is>
      </c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4">
        <f>ROUND(MAX(AG20:AO20)/Listy!$U$5,0)</f>
        <v/>
      </c>
      <c r="O20" s="444" t="n">
        <v>8</v>
      </c>
      <c r="P20" s="187" t="n">
        <v>0</v>
      </c>
      <c r="Q20" s="187" t="n">
        <v>0</v>
      </c>
      <c r="R20" s="187" t="n">
        <v>0</v>
      </c>
      <c r="S20" s="187" t="n">
        <v>0</v>
      </c>
      <c r="T20" s="187" t="n">
        <v>0.2</v>
      </c>
      <c r="U20" s="187" t="n">
        <v>0.2</v>
      </c>
      <c r="V20" s="187" t="n">
        <v>0.2</v>
      </c>
      <c r="W20" s="187" t="n">
        <v>0.2</v>
      </c>
      <c r="X20" s="187" t="n">
        <v>0.2</v>
      </c>
      <c r="Y20" s="292" t="n">
        <v>0</v>
      </c>
      <c r="Z20" s="292" t="n"/>
      <c r="AA20" s="292" t="n"/>
      <c r="AB20" s="292" t="n"/>
      <c r="AC20" s="302" t="n"/>
      <c r="AD20" s="302" t="n"/>
      <c r="AE20" s="302" t="n"/>
      <c r="AF20" s="302" t="n"/>
      <c r="AG20" s="192">
        <f>ROUND($O20*P20,0)</f>
        <v/>
      </c>
      <c r="AH20" s="192">
        <f>ROUND($O20*Q20,0)</f>
        <v/>
      </c>
      <c r="AI20" s="192">
        <f>ROUND($O20*R20,0)</f>
        <v/>
      </c>
      <c r="AJ20" s="192">
        <f>ROUND($O20*S20,0)</f>
        <v/>
      </c>
      <c r="AK20" s="192">
        <f>ROUND($O20*T20,0)</f>
        <v/>
      </c>
      <c r="AL20" s="192">
        <f>ROUND($O20*U20,0)</f>
        <v/>
      </c>
      <c r="AM20" s="192">
        <f>ROUND($O20*V20,0)</f>
        <v/>
      </c>
      <c r="AN20" s="192">
        <f>ROUND($O20*W20,0)</f>
        <v/>
      </c>
      <c r="AO20" s="192">
        <f>ROUND($O20*X20,0)</f>
        <v/>
      </c>
      <c r="AP20" s="193">
        <f>ROUND($O20*Y20,0)</f>
        <v/>
      </c>
      <c r="AQ20" s="193">
        <f>ROUND($O20*Z20,0)</f>
        <v/>
      </c>
      <c r="AR20" s="193">
        <f>ROUND($O20*AA20,0)</f>
        <v/>
      </c>
      <c r="AS20" s="307">
        <f>ROUND($O20*AB20,0)</f>
        <v/>
      </c>
      <c r="AT20" s="304" t="n"/>
      <c r="AU20" s="304" t="n"/>
      <c r="AV20" s="304" t="n"/>
      <c r="AW20" s="304" t="n"/>
      <c r="AX20" s="236">
        <f>SUM(AG20:AO20)</f>
        <v/>
      </c>
      <c r="AY20" s="528">
        <f>AX20/160</f>
        <v/>
      </c>
      <c r="AZ20" s="87">
        <f>VLOOKUP(I20,Listy!$A$1:$H$9,6,FALSE)</f>
        <v/>
      </c>
      <c r="BA20" s="682">
        <f>AY20*AZ20</f>
        <v/>
      </c>
      <c r="BB20" s="683">
        <f>AY20*BA20</f>
        <v/>
      </c>
      <c r="BC20" s="528" t="n"/>
      <c r="BD20" s="528" t="n"/>
      <c r="BE20" s="528" t="n"/>
      <c r="BF20" s="528" t="n"/>
      <c r="BG20" s="528" t="n"/>
      <c r="BH20" s="528" t="n"/>
      <c r="BI20" s="21">
        <f>BG20*BH20</f>
        <v/>
      </c>
      <c r="BJ20" s="528" t="n"/>
      <c r="BK20" s="528" t="n"/>
      <c r="BL20" s="528" t="n"/>
      <c r="BM20" s="528" t="n"/>
      <c r="BN20" s="528" t="n"/>
      <c r="BO20" s="528" t="n"/>
      <c r="BP20" s="528" t="n"/>
      <c r="BQ20" s="528" t="n"/>
      <c r="BR20" s="528" t="n"/>
      <c r="BS20" s="528" t="n"/>
      <c r="BT20" s="528" t="n"/>
      <c r="BU20" s="528" t="n"/>
      <c r="BV20" s="528" t="n"/>
      <c r="BW20" s="21">
        <f>BU20*BV20</f>
        <v/>
      </c>
      <c r="BX20" s="528" t="n"/>
      <c r="BY20" s="528" t="n"/>
      <c r="BZ20" s="528" t="n"/>
      <c r="CA20" s="21">
        <f>BY20*BZ20</f>
        <v/>
      </c>
      <c r="CB20" s="528" t="n"/>
      <c r="CC20" s="528" t="n"/>
      <c r="CD20" s="528" t="n"/>
      <c r="CE20" s="21">
        <f>CC20*CD20</f>
        <v/>
      </c>
    </row>
    <row r="21" ht="15.6" customFormat="1" customHeight="1" s="538">
      <c r="A21" s="444" t="n">
        <v>2</v>
      </c>
      <c r="B21" s="411" t="inlineStr">
        <is>
          <t>d</t>
        </is>
      </c>
      <c r="C21" s="449" t="n">
        <v>4</v>
      </c>
      <c r="D21" s="443">
        <f>CONCATENATE(A$3,"_",A21,"_",B21,"_",C21)</f>
        <v/>
      </c>
      <c r="E21" s="425" t="inlineStr">
        <is>
          <t>Fizyczna implementacja BDCB na platformach technologicznych (np. Google Cloud, Microsoft Azure, NVidia AI)</t>
        </is>
      </c>
      <c r="F21" s="528">
        <f>IFERROR(VLOOKUP($I21,Listy!$A:$H,2,FALSE),"XXX")</f>
        <v/>
      </c>
      <c r="G21" s="528">
        <f>IFERROR(VLOOKUP($I21,Listy!$A:$H,3,FALSE),"XXX")</f>
        <v/>
      </c>
      <c r="H21" s="444" t="n">
        <v>6</v>
      </c>
      <c r="I21" s="89" t="inlineStr">
        <is>
          <t>.e01</t>
        </is>
      </c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4" t="n">
        <v>1</v>
      </c>
      <c r="O21" s="444" t="n">
        <v>100</v>
      </c>
      <c r="P21" s="187" t="n">
        <v>0</v>
      </c>
      <c r="Q21" s="187" t="n">
        <v>0</v>
      </c>
      <c r="R21" s="187" t="n">
        <v>0</v>
      </c>
      <c r="S21" s="187" t="n">
        <v>0</v>
      </c>
      <c r="T21" s="187" t="n">
        <v>0.2</v>
      </c>
      <c r="U21" s="187" t="n">
        <v>0.2</v>
      </c>
      <c r="V21" s="187" t="n">
        <v>0.2</v>
      </c>
      <c r="W21" s="187" t="n">
        <v>0.2</v>
      </c>
      <c r="X21" s="187" t="n">
        <v>0.2</v>
      </c>
      <c r="Y21" s="292" t="n">
        <v>0</v>
      </c>
      <c r="Z21" s="292" t="n"/>
      <c r="AA21" s="292" t="n"/>
      <c r="AB21" s="292" t="n"/>
      <c r="AC21" s="302" t="n"/>
      <c r="AD21" s="302" t="n"/>
      <c r="AE21" s="302" t="n"/>
      <c r="AF21" s="302" t="n"/>
      <c r="AG21" s="192">
        <f>ROUND($O21*P21,0)</f>
        <v/>
      </c>
      <c r="AH21" s="192">
        <f>ROUND($O21*Q21,0)</f>
        <v/>
      </c>
      <c r="AI21" s="192">
        <f>ROUND($O21*R21,0)</f>
        <v/>
      </c>
      <c r="AJ21" s="192">
        <f>ROUND($O21*S21,0)</f>
        <v/>
      </c>
      <c r="AK21" s="192">
        <f>ROUND($O21*T21,0)</f>
        <v/>
      </c>
      <c r="AL21" s="192">
        <f>ROUND($O21*U21,0)</f>
        <v/>
      </c>
      <c r="AM21" s="192">
        <f>ROUND($O21*V21,0)</f>
        <v/>
      </c>
      <c r="AN21" s="192">
        <f>ROUND($O21*W21,0)</f>
        <v/>
      </c>
      <c r="AO21" s="192">
        <f>ROUND($O21*X21,0)</f>
        <v/>
      </c>
      <c r="AP21" s="193">
        <f>ROUND($O21*Y21,0)</f>
        <v/>
      </c>
      <c r="AQ21" s="193">
        <f>ROUND($O21*Z21,0)</f>
        <v/>
      </c>
      <c r="AR21" s="193">
        <f>ROUND($O21*AA21,0)</f>
        <v/>
      </c>
      <c r="AS21" s="307">
        <f>ROUND($O21*AB21,0)</f>
        <v/>
      </c>
      <c r="AT21" s="304" t="n"/>
      <c r="AU21" s="304" t="n"/>
      <c r="AV21" s="304" t="n"/>
      <c r="AW21" s="304" t="n"/>
      <c r="AX21" s="236">
        <f>SUM(AG21:AO21)</f>
        <v/>
      </c>
      <c r="AY21" s="528">
        <f>AX21/160</f>
        <v/>
      </c>
      <c r="AZ21" s="87">
        <f>VLOOKUP(I21,Listy!$A$1:$H$9,6,FALSE)</f>
        <v/>
      </c>
      <c r="BA21" s="682">
        <f>AY21*AZ21</f>
        <v/>
      </c>
      <c r="BB21" s="683">
        <f>AY21*BA21</f>
        <v/>
      </c>
      <c r="BC21" s="528" t="n"/>
      <c r="BD21" s="528" t="n"/>
      <c r="BE21" s="528" t="n"/>
      <c r="BF21" s="528" t="n"/>
      <c r="BG21" s="528" t="n"/>
      <c r="BH21" s="528" t="n"/>
      <c r="BI21" s="22">
        <f>BG21*BH21</f>
        <v/>
      </c>
      <c r="BJ21" s="528" t="n"/>
      <c r="BK21" s="528" t="n"/>
      <c r="BL21" s="314" t="n"/>
      <c r="BM21" s="528" t="n"/>
      <c r="BN21" s="528" t="n"/>
      <c r="BO21" s="314" t="n"/>
      <c r="BP21" s="528" t="n"/>
      <c r="BQ21" s="528" t="n"/>
      <c r="BR21" s="314" t="n"/>
      <c r="BS21" s="314" t="n"/>
      <c r="BT21" s="528" t="n"/>
      <c r="BU21" s="528" t="n"/>
      <c r="BV21" s="528" t="n"/>
      <c r="BW21" s="22">
        <f>BU21*BV21</f>
        <v/>
      </c>
      <c r="BX21" s="528" t="n"/>
      <c r="BY21" s="528" t="n"/>
      <c r="BZ21" s="528" t="n"/>
      <c r="CA21" s="22">
        <f>BY21*BZ21</f>
        <v/>
      </c>
      <c r="CB21" s="528" t="n"/>
      <c r="CC21" s="528" t="n"/>
      <c r="CD21" s="528" t="n"/>
      <c r="CE21" s="22">
        <f>CC21*CD21</f>
        <v/>
      </c>
    </row>
    <row r="22" ht="15.6" customFormat="1" customHeight="1" s="538">
      <c r="A22" s="444" t="n">
        <v>2</v>
      </c>
      <c r="B22" s="420" t="inlineStr">
        <is>
          <t>e</t>
        </is>
      </c>
      <c r="C22" s="449" t="n">
        <v>5</v>
      </c>
      <c r="D22" s="443">
        <f>CONCATENATE(A$3,"_",A22,"_",B22,"_",C22)</f>
        <v/>
      </c>
      <c r="E22" s="425" t="inlineStr">
        <is>
          <t>Utworzenie mechanizmu do transferu danych między infrastrukturą Wnioskodawcy a platformami technologicznymi (np. Google Cloud, Microsoft Azure, NVidia AI)</t>
        </is>
      </c>
      <c r="F22" s="528">
        <f>IFERROR(VLOOKUP($I22,Listy!$A:$H,2,FALSE),"XXX")</f>
        <v/>
      </c>
      <c r="G22" s="528">
        <f>IFERROR(VLOOKUP($I22,Listy!$A:$H,3,FALSE),"XXX")</f>
        <v/>
      </c>
      <c r="H22" s="444" t="n">
        <v>7</v>
      </c>
      <c r="I22" s="89" t="inlineStr">
        <is>
          <t>.a01</t>
        </is>
      </c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4" t="n">
        <v>1</v>
      </c>
      <c r="O22" s="444" t="n">
        <v>200</v>
      </c>
      <c r="P22" s="187" t="n">
        <v>0</v>
      </c>
      <c r="Q22" s="187" t="n">
        <v>0</v>
      </c>
      <c r="R22" s="187" t="n">
        <v>0</v>
      </c>
      <c r="S22" s="187" t="n">
        <v>0</v>
      </c>
      <c r="T22" s="187" t="n">
        <v>0.12</v>
      </c>
      <c r="U22" s="187" t="n">
        <v>0.12</v>
      </c>
      <c r="V22" s="187" t="n">
        <v>0.12</v>
      </c>
      <c r="W22" s="187" t="n">
        <v>0.12</v>
      </c>
      <c r="X22" s="187" t="n">
        <v>0.12</v>
      </c>
      <c r="Y22" s="292" t="n">
        <v>0.4</v>
      </c>
      <c r="Z22" s="292" t="n"/>
      <c r="AA22" s="292" t="n"/>
      <c r="AB22" s="292" t="n"/>
      <c r="AC22" s="302" t="n"/>
      <c r="AD22" s="302" t="n"/>
      <c r="AE22" s="302" t="n"/>
      <c r="AF22" s="302" t="n"/>
      <c r="AG22" s="192">
        <f>ROUND($O22*P22,0)</f>
        <v/>
      </c>
      <c r="AH22" s="192">
        <f>ROUND($O22*Q22,0)</f>
        <v/>
      </c>
      <c r="AI22" s="192">
        <f>ROUND($O22*R22,0)</f>
        <v/>
      </c>
      <c r="AJ22" s="192">
        <f>ROUND($O22*S22,0)</f>
        <v/>
      </c>
      <c r="AK22" s="192">
        <f>ROUND($O22*T22,0)</f>
        <v/>
      </c>
      <c r="AL22" s="192">
        <f>ROUND($O22*U22,0)</f>
        <v/>
      </c>
      <c r="AM22" s="192">
        <f>ROUND($O22*V22,0)</f>
        <v/>
      </c>
      <c r="AN22" s="192">
        <f>ROUND($O22*W22,0)</f>
        <v/>
      </c>
      <c r="AO22" s="192">
        <f>ROUND($O22*X22,0)</f>
        <v/>
      </c>
      <c r="AP22" s="193">
        <f>ROUND($O22*Y22,0)</f>
        <v/>
      </c>
      <c r="AQ22" s="193">
        <f>ROUND($O22*Z22,0)</f>
        <v/>
      </c>
      <c r="AR22" s="193">
        <f>ROUND($O22*AA22,0)</f>
        <v/>
      </c>
      <c r="AS22" s="307">
        <f>ROUND($O22*AB22,0)</f>
        <v/>
      </c>
      <c r="AT22" s="304" t="n"/>
      <c r="AU22" s="304" t="n"/>
      <c r="AV22" s="304" t="n"/>
      <c r="AW22" s="304" t="n"/>
      <c r="AX22" s="236">
        <f>SUM(AG22:AO22)</f>
        <v/>
      </c>
      <c r="AY22" s="528">
        <f>AX22/160</f>
        <v/>
      </c>
      <c r="AZ22" s="87">
        <f>VLOOKUP(I22,Listy!$A$1:$H$9,6,FALSE)</f>
        <v/>
      </c>
      <c r="BA22" s="682">
        <f>AY22*AZ22</f>
        <v/>
      </c>
      <c r="BB22" s="683">
        <f>AY22*BA22</f>
        <v/>
      </c>
      <c r="BC22" s="528" t="n"/>
      <c r="BD22" s="528" t="n"/>
      <c r="BE22" s="528" t="n"/>
      <c r="BF22" s="528" t="n"/>
      <c r="BG22" s="528" t="n"/>
      <c r="BH22" s="528" t="n"/>
      <c r="BI22" s="21">
        <f>BG22*BH22</f>
        <v/>
      </c>
      <c r="BJ22" s="528" t="n"/>
      <c r="BK22" s="528" t="n"/>
      <c r="BL22" s="21" t="n"/>
      <c r="BM22" s="528" t="n"/>
      <c r="BN22" s="528" t="n"/>
      <c r="BO22" s="21" t="n"/>
      <c r="BP22" s="528" t="n"/>
      <c r="BQ22" s="528" t="n"/>
      <c r="BR22" s="21" t="n"/>
      <c r="BS22" s="21" t="n"/>
      <c r="BT22" s="528" t="n"/>
      <c r="BU22" s="528" t="n"/>
      <c r="BV22" s="528" t="n"/>
      <c r="BW22" s="21">
        <f>BU22*BV22</f>
        <v/>
      </c>
      <c r="BX22" s="528" t="n"/>
      <c r="BY22" s="528" t="n"/>
      <c r="BZ22" s="528" t="n"/>
      <c r="CA22" s="21">
        <f>BY22*BZ22</f>
        <v/>
      </c>
      <c r="CB22" s="528" t="n"/>
      <c r="CC22" s="528" t="n"/>
      <c r="CD22" s="528" t="n"/>
      <c r="CE22" s="21">
        <f>CC22*CD22</f>
        <v/>
      </c>
      <c r="CF22" s="659" t="n"/>
    </row>
    <row r="23" ht="18" customFormat="1" customHeight="1" s="538">
      <c r="A23" s="410" t="n">
        <v>3</v>
      </c>
      <c r="B23" s="411" t="inlineStr">
        <is>
          <t>a</t>
        </is>
      </c>
      <c r="C23" s="449" t="n">
        <v>1</v>
      </c>
      <c r="D23" s="443">
        <f>CONCATENATE(A$3,"_",A23,"_",B23,"_",C23)</f>
        <v/>
      </c>
      <c r="E23" s="465" t="inlineStr">
        <is>
          <t>Opracowanie narzędzi do automatycznego monitorowania, wykrywających anomalie i nieprawidłowości w danych w czasie rzeczywistym, współpracujących z wybraną platformą bazodanową, przeprowadzających au-tomatyczne sprawdzanie kompletności rekordów. Flagowane będą rekordy z brakującymi danymi natychmiast po ich wprowadzeniu/aktualizacji i wysyłane powiadomienia do administratorów, gdy liczba tych rekordów przekro-czy próg 10 rekordów. Będą śledzić czas ostatniej aktualizacji każdego rekordu, flagując te, które nie były aktua-lizowane zgodnie z ustalonym harmonogramem (co 24h i generować odpowiednie alerty.</t>
        </is>
      </c>
      <c r="F23" s="148" t="n"/>
      <c r="G23" s="148" t="n"/>
      <c r="H23" s="444" t="n">
        <v>8</v>
      </c>
      <c r="I23" s="148" t="n"/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>
        <f>ROUND(MAX(AG23:AO23)/Listy!$U$5,0)</f>
        <v/>
      </c>
      <c r="O23" s="444" t="n">
        <v>30</v>
      </c>
      <c r="P23" s="187" t="n">
        <v>0</v>
      </c>
      <c r="Q23" s="187" t="n">
        <v>0</v>
      </c>
      <c r="R23" s="187" t="n">
        <v>0</v>
      </c>
      <c r="S23" s="187" t="n">
        <v>0</v>
      </c>
      <c r="T23" s="187" t="n">
        <v>0.2</v>
      </c>
      <c r="U23" s="187" t="n">
        <v>0.2</v>
      </c>
      <c r="V23" s="187" t="n">
        <v>0.2</v>
      </c>
      <c r="W23" s="187" t="n">
        <v>0.2</v>
      </c>
      <c r="X23" s="187" t="n">
        <v>0.2</v>
      </c>
      <c r="Y23" s="292" t="n">
        <v>0</v>
      </c>
      <c r="Z23" s="292" t="n"/>
      <c r="AA23" s="292" t="n"/>
      <c r="AB23" s="292" t="n"/>
      <c r="AC23" s="302" t="n"/>
      <c r="AD23" s="302" t="n"/>
      <c r="AE23" s="302" t="n"/>
      <c r="AF23" s="302" t="n"/>
      <c r="AG23" s="192">
        <f>ROUND($O23*P23,0)</f>
        <v/>
      </c>
      <c r="AH23" s="192">
        <f>ROUND($O23*Q23,0)</f>
        <v/>
      </c>
      <c r="AI23" s="192">
        <f>ROUND($O23*R23,0)</f>
        <v/>
      </c>
      <c r="AJ23" s="192">
        <f>ROUND($O23*S23,0)</f>
        <v/>
      </c>
      <c r="AK23" s="192">
        <f>ROUND($O23*T23,0)</f>
        <v/>
      </c>
      <c r="AL23" s="192">
        <f>ROUND($O23*U23,0)</f>
        <v/>
      </c>
      <c r="AM23" s="192">
        <f>ROUND($O23*V23,0)</f>
        <v/>
      </c>
      <c r="AN23" s="192">
        <f>ROUND($O23*W23,0)</f>
        <v/>
      </c>
      <c r="AO23" s="192">
        <f>ROUND($O23*X23,0)</f>
        <v/>
      </c>
      <c r="AP23" s="193">
        <f>ROUND($O23*Y23,0)</f>
        <v/>
      </c>
      <c r="AQ23" s="193">
        <f>ROUND($O23*Z23,0)</f>
        <v/>
      </c>
      <c r="AR23" s="193">
        <f>ROUND($O23*AA23,0)</f>
        <v/>
      </c>
      <c r="AS23" s="307">
        <f>ROUND($O23*AB23,0)</f>
        <v/>
      </c>
      <c r="AT23" s="304" t="n"/>
      <c r="AU23" s="304" t="n"/>
      <c r="AV23" s="304" t="n"/>
      <c r="AW23" s="304" t="n"/>
      <c r="AX23" s="236">
        <f>SUM(AG23:AO23)</f>
        <v/>
      </c>
      <c r="AY23" s="528">
        <f>AX23/160</f>
        <v/>
      </c>
      <c r="AZ23" s="87">
        <f>VLOOKUP(I23,Listy!$A$1:$H$9,6,FALSE)</f>
        <v/>
      </c>
      <c r="BA23" s="682">
        <f>AY23*AZ23</f>
        <v/>
      </c>
      <c r="BB23" s="683">
        <f>AY23*BA23</f>
        <v/>
      </c>
      <c r="BC23" s="148" t="n"/>
      <c r="BD23" s="148" t="n"/>
      <c r="BE23" s="148" t="n"/>
      <c r="BF23" s="148" t="n"/>
      <c r="BG23" s="148" t="n"/>
      <c r="BH23" s="148" t="n"/>
      <c r="BI23" s="148" t="n"/>
      <c r="BJ23" s="148" t="n"/>
      <c r="BK23" s="148" t="n"/>
      <c r="BL23" s="148" t="n"/>
      <c r="BM23" s="148" t="n"/>
      <c r="BN23" s="148" t="n"/>
      <c r="BO23" s="148" t="n"/>
      <c r="BP23" s="148" t="n"/>
      <c r="BQ23" s="148" t="n"/>
      <c r="BR23" s="148" t="n"/>
      <c r="BS23" s="148" t="n"/>
      <c r="BT23" s="148" t="n"/>
      <c r="BU23" s="148" t="n"/>
      <c r="BV23" s="148" t="n"/>
      <c r="BW23" s="148" t="n"/>
      <c r="BX23" s="148" t="n"/>
      <c r="BY23" s="148" t="n"/>
      <c r="BZ23" s="148" t="n"/>
      <c r="CA23" s="148" t="n"/>
      <c r="CB23" s="148" t="n"/>
      <c r="CC23" s="148" t="n"/>
      <c r="CD23" s="148" t="n"/>
      <c r="CE23" s="148" t="n"/>
      <c r="CF23" s="659" t="n"/>
    </row>
    <row r="24" ht="18" customFormat="1" customHeight="1" s="538">
      <c r="A24" s="446" t="n">
        <v>4</v>
      </c>
      <c r="B24" s="411" t="inlineStr">
        <is>
          <t>a</t>
        </is>
      </c>
      <c r="C24" s="449" t="n">
        <v>0</v>
      </c>
      <c r="D24" s="443">
        <f>CONCATENATE(A$3,"_",A24,"_",B24,"_",C24)</f>
        <v/>
      </c>
      <c r="E24" s="446" t="inlineStr">
        <is>
          <t>4.Połączenie BDCB z wybranym systemem AI/ML, co pozwoli na zbadanie potencjału zaawansowanych me-tod analitycznych AI/ML w celu zwiększenia wydajności procesów magazynowych.</t>
        </is>
      </c>
      <c r="F24" s="528">
        <f>IFERROR(VLOOKUP($I24,Listy!$A:$H,2,FALSE),"XXX")</f>
        <v/>
      </c>
      <c r="G24" s="528">
        <f>IFERROR(VLOOKUP($I24,Listy!$A:$H,3,FALSE),"XXX")</f>
        <v/>
      </c>
      <c r="H24" s="444" t="n"/>
      <c r="I24" s="89" t="inlineStr">
        <is>
          <t>.a04</t>
        </is>
      </c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4">
        <f>ROUND(MAX(AG24:AO24)/Listy!$U$5,0)</f>
        <v/>
      </c>
      <c r="O24" s="444" t="n"/>
      <c r="P24" s="187" t="n"/>
      <c r="Q24" s="187" t="n"/>
      <c r="R24" s="187" t="n"/>
      <c r="S24" s="187" t="n"/>
      <c r="T24" s="187" t="n"/>
      <c r="U24" s="187" t="n"/>
      <c r="V24" s="187" t="n"/>
      <c r="W24" s="187" t="n"/>
      <c r="X24" s="187" t="n"/>
      <c r="Y24" s="292" t="n"/>
      <c r="Z24" s="292" t="n"/>
      <c r="AA24" s="292" t="n"/>
      <c r="AB24" s="292" t="n"/>
      <c r="AC24" s="302" t="n"/>
      <c r="AD24" s="302" t="n"/>
      <c r="AE24" s="302" t="n"/>
      <c r="AF24" s="302" t="n"/>
      <c r="AG24" s="192">
        <f>ROUND($O24*P24,0)</f>
        <v/>
      </c>
      <c r="AH24" s="192">
        <f>ROUND($O24*Q24,0)</f>
        <v/>
      </c>
      <c r="AI24" s="192">
        <f>ROUND($O24*R24,0)</f>
        <v/>
      </c>
      <c r="AJ24" s="192">
        <f>ROUND($O24*S24,0)</f>
        <v/>
      </c>
      <c r="AK24" s="192">
        <f>ROUND($O24*T24,0)</f>
        <v/>
      </c>
      <c r="AL24" s="192">
        <f>ROUND($O24*U24,0)</f>
        <v/>
      </c>
      <c r="AM24" s="192">
        <f>ROUND($O24*V24,0)</f>
        <v/>
      </c>
      <c r="AN24" s="192">
        <f>ROUND($O24*W24,0)</f>
        <v/>
      </c>
      <c r="AO24" s="192">
        <f>ROUND($O24*X24,0)</f>
        <v/>
      </c>
      <c r="AP24" s="193">
        <f>ROUND($O24*Y24,0)</f>
        <v/>
      </c>
      <c r="AQ24" s="193">
        <f>ROUND($O24*Z24,0)</f>
        <v/>
      </c>
      <c r="AR24" s="193">
        <f>ROUND($O24*AA24,0)</f>
        <v/>
      </c>
      <c r="AS24" s="307">
        <f>ROUND($O24*AB24,0)</f>
        <v/>
      </c>
      <c r="AT24" s="304" t="n"/>
      <c r="AU24" s="304" t="n"/>
      <c r="AV24" s="304" t="n"/>
      <c r="AW24" s="304" t="n"/>
      <c r="AX24" s="236">
        <f>SUM(AG24:AO24)</f>
        <v/>
      </c>
      <c r="AY24" s="528">
        <f>AX24/160</f>
        <v/>
      </c>
      <c r="AZ24" s="87">
        <f>VLOOKUP(I24,Listy!$A$1:$H$9,6,FALSE)</f>
        <v/>
      </c>
      <c r="BA24" s="682">
        <f>AY24*AZ24</f>
        <v/>
      </c>
      <c r="BB24" s="683">
        <f>AY24*BA24</f>
        <v/>
      </c>
      <c r="BC24" s="528" t="n"/>
      <c r="BD24" s="528" t="n"/>
      <c r="BE24" s="528" t="n"/>
      <c r="BF24" s="528" t="n"/>
      <c r="BG24" s="528" t="n"/>
      <c r="BH24" s="528" t="n"/>
      <c r="BI24" s="21">
        <f>BG24*BH24</f>
        <v/>
      </c>
      <c r="BJ24" s="528" t="n"/>
      <c r="BK24" s="528" t="n"/>
      <c r="BL24" s="528" t="n"/>
      <c r="BM24" s="528" t="n"/>
      <c r="BN24" s="528" t="n"/>
      <c r="BO24" s="528" t="n"/>
      <c r="BP24" s="528" t="n"/>
      <c r="BQ24" s="528" t="n"/>
      <c r="BR24" s="528" t="n"/>
      <c r="BS24" s="528" t="n"/>
      <c r="BT24" s="528" t="n"/>
      <c r="BU24" s="528" t="n"/>
      <c r="BV24" s="528" t="n"/>
      <c r="BW24" s="21">
        <f>BU24*BV24</f>
        <v/>
      </c>
      <c r="BX24" s="528" t="n"/>
      <c r="BY24" s="528" t="n"/>
      <c r="BZ24" s="528" t="n"/>
      <c r="CA24" s="21">
        <f>BY24*BZ24</f>
        <v/>
      </c>
      <c r="CB24" s="528" t="n"/>
      <c r="CC24" s="528" t="n"/>
      <c r="CD24" s="528" t="n"/>
      <c r="CE24" s="21">
        <f>CC24*CD24</f>
        <v/>
      </c>
    </row>
    <row r="25" ht="15.6" customFormat="1" customHeight="1" s="538">
      <c r="A25" s="444" t="n">
        <v>4</v>
      </c>
      <c r="B25" s="411" t="inlineStr">
        <is>
          <t>a</t>
        </is>
      </c>
      <c r="C25" s="449" t="n">
        <v>1</v>
      </c>
      <c r="D25" s="443">
        <f>CONCATENATE(A$3,"_",A25,"_",B25,"_",C25)</f>
        <v/>
      </c>
      <c r="E25" s="412" t="inlineStr">
        <is>
          <t xml:space="preserve">Zaimportowanie BDCB w środowisku wybranej platformy AI/ML </t>
        </is>
      </c>
      <c r="F25" s="528">
        <f>IFERROR(VLOOKUP($I25,Listy!$A:$H,2,FALSE),"XXX")</f>
        <v/>
      </c>
      <c r="G25" s="528">
        <f>IFERROR(VLOOKUP($I25,Listy!$A:$H,3,FALSE),"XXX")</f>
        <v/>
      </c>
      <c r="H25" s="444" t="n">
        <v>8</v>
      </c>
      <c r="I25" s="89" t="inlineStr">
        <is>
          <t>.a02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4">
        <f>ROUND(MAX(AG25:AO25)/Listy!$U$5,0)</f>
        <v/>
      </c>
      <c r="O25" s="444" t="n">
        <v>40</v>
      </c>
      <c r="P25" s="187" t="n">
        <v>0</v>
      </c>
      <c r="Q25" s="187" t="n">
        <v>0</v>
      </c>
      <c r="R25" s="187" t="n">
        <v>0</v>
      </c>
      <c r="S25" s="187" t="n">
        <v>0</v>
      </c>
      <c r="T25" s="187" t="n">
        <v>0.2</v>
      </c>
      <c r="U25" s="187" t="n">
        <v>0.2</v>
      </c>
      <c r="V25" s="187" t="n">
        <v>0.2</v>
      </c>
      <c r="W25" s="187" t="n">
        <v>0.2</v>
      </c>
      <c r="X25" s="187" t="n">
        <v>0.2</v>
      </c>
      <c r="Y25" s="292" t="n">
        <v>0</v>
      </c>
      <c r="Z25" s="292" t="n"/>
      <c r="AA25" s="292" t="n"/>
      <c r="AB25" s="292" t="n"/>
      <c r="AC25" s="302" t="n"/>
      <c r="AD25" s="302" t="n"/>
      <c r="AE25" s="302" t="n"/>
      <c r="AF25" s="302" t="n"/>
      <c r="AG25" s="192">
        <f>ROUND($O25*P25,0)</f>
        <v/>
      </c>
      <c r="AH25" s="192">
        <f>ROUND($O25*Q25,0)</f>
        <v/>
      </c>
      <c r="AI25" s="192">
        <f>ROUND($O25*R25,0)</f>
        <v/>
      </c>
      <c r="AJ25" s="192">
        <f>ROUND($O25*S25,0)</f>
        <v/>
      </c>
      <c r="AK25" s="192">
        <f>ROUND($O25*T25,0)</f>
        <v/>
      </c>
      <c r="AL25" s="192">
        <f>ROUND($O25*U25,0)</f>
        <v/>
      </c>
      <c r="AM25" s="192">
        <f>ROUND($O25*V25,0)</f>
        <v/>
      </c>
      <c r="AN25" s="192">
        <f>ROUND($O25*W25,0)</f>
        <v/>
      </c>
      <c r="AO25" s="192">
        <f>ROUND($O25*X25,0)</f>
        <v/>
      </c>
      <c r="AP25" s="193">
        <f>ROUND($O25*Y25,0)</f>
        <v/>
      </c>
      <c r="AQ25" s="193">
        <f>ROUND($O25*Z25,0)</f>
        <v/>
      </c>
      <c r="AR25" s="193">
        <f>ROUND($O25*AA25,0)</f>
        <v/>
      </c>
      <c r="AS25" s="307">
        <f>ROUND($O25*AB25,0)</f>
        <v/>
      </c>
      <c r="AT25" s="304" t="n"/>
      <c r="AU25" s="304" t="n"/>
      <c r="AV25" s="304" t="n"/>
      <c r="AW25" s="304" t="n"/>
      <c r="AX25" s="236">
        <f>SUM(AG25:AO25)</f>
        <v/>
      </c>
      <c r="AY25" s="528">
        <f>AX25/160</f>
        <v/>
      </c>
      <c r="AZ25" s="87">
        <f>VLOOKUP(I25,Listy!$A$1:$H$9,6,FALSE)</f>
        <v/>
      </c>
      <c r="BA25" s="682">
        <f>AY25*AZ25</f>
        <v/>
      </c>
      <c r="BB25" s="683">
        <f>AY25*BA25</f>
        <v/>
      </c>
      <c r="BC25" s="528" t="n"/>
      <c r="BD25" s="528" t="n"/>
      <c r="BE25" s="528" t="n"/>
      <c r="BF25" s="528" t="n"/>
      <c r="BG25" s="528" t="n"/>
      <c r="BH25" s="528" t="n"/>
      <c r="BI25" s="21">
        <f>BG25*BH25</f>
        <v/>
      </c>
      <c r="BJ25" s="528" t="n"/>
      <c r="BK25" s="528" t="n"/>
      <c r="BL25" s="528" t="n"/>
      <c r="BM25" s="528" t="n"/>
      <c r="BN25" s="528" t="n"/>
      <c r="BO25" s="528" t="n"/>
      <c r="BP25" s="528" t="n"/>
      <c r="BQ25" s="528" t="n"/>
      <c r="BR25" s="528" t="n"/>
      <c r="BS25" s="528" t="n"/>
      <c r="BT25" s="528" t="n"/>
      <c r="BU25" s="528" t="n"/>
      <c r="BV25" s="528" t="n"/>
      <c r="BW25" s="21">
        <f>BU25*BV25</f>
        <v/>
      </c>
      <c r="BX25" s="528" t="n"/>
      <c r="BY25" s="528" t="n"/>
      <c r="BZ25" s="528" t="n"/>
      <c r="CA25" s="21">
        <f>BY25*BZ25</f>
        <v/>
      </c>
      <c r="CB25" s="528" t="n"/>
      <c r="CC25" s="528" t="n"/>
      <c r="CD25" s="528" t="n"/>
      <c r="CE25" s="21">
        <f>CC25*CD25</f>
        <v/>
      </c>
    </row>
    <row r="26" ht="15.6" customFormat="1" customHeight="1" s="538">
      <c r="A26" s="444" t="n">
        <v>4</v>
      </c>
      <c r="B26" s="411" t="inlineStr">
        <is>
          <t>b</t>
        </is>
      </c>
      <c r="C26" s="449" t="n">
        <v>1</v>
      </c>
      <c r="D26" s="443">
        <f>CONCATENATE(A$3,"_",A26,"_",B26,"_",C26)</f>
        <v/>
      </c>
      <c r="E26" s="412" t="inlineStr">
        <is>
          <t>Sprawdzenie i potwierdzenie poprawności zaimplementowanych danych. Określenie zestawu danych testowych i referencyjnych do dalszych analiz</t>
        </is>
      </c>
      <c r="F26" s="528">
        <f>IFERROR(VLOOKUP($I26,Listy!$A:$H,2,FALSE),"XXX")</f>
        <v/>
      </c>
      <c r="G26" s="528">
        <f>IFERROR(VLOOKUP($I26,Listy!$A:$H,3,FALSE),"XXX")</f>
        <v/>
      </c>
      <c r="H26" s="444" t="n">
        <v>8</v>
      </c>
      <c r="I26" s="89" t="inlineStr">
        <is>
          <t>.a03</t>
        </is>
      </c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4">
        <f>ROUND(MAX(AG26:AO26)/Listy!$U$5,0)</f>
        <v/>
      </c>
      <c r="O26" s="444" t="n">
        <v>40</v>
      </c>
      <c r="P26" s="187" t="n">
        <v>0</v>
      </c>
      <c r="Q26" s="187" t="n">
        <v>0</v>
      </c>
      <c r="R26" s="187" t="n">
        <v>0</v>
      </c>
      <c r="S26" s="187" t="n">
        <v>0</v>
      </c>
      <c r="T26" s="187" t="n">
        <v>0.2</v>
      </c>
      <c r="U26" s="187" t="n">
        <v>0.2</v>
      </c>
      <c r="V26" s="187" t="n">
        <v>0.2</v>
      </c>
      <c r="W26" s="187" t="n">
        <v>0.2</v>
      </c>
      <c r="X26" s="187" t="n">
        <v>0.2</v>
      </c>
      <c r="Y26" s="292" t="n">
        <v>0</v>
      </c>
      <c r="Z26" s="292" t="n"/>
      <c r="AA26" s="292" t="n"/>
      <c r="AB26" s="292" t="n"/>
      <c r="AC26" s="302" t="n"/>
      <c r="AD26" s="302" t="n"/>
      <c r="AE26" s="302" t="n"/>
      <c r="AF26" s="302" t="n"/>
      <c r="AG26" s="192">
        <f>ROUND($O26*P26,0)</f>
        <v/>
      </c>
      <c r="AH26" s="192">
        <f>ROUND($O26*Q26,0)</f>
        <v/>
      </c>
      <c r="AI26" s="192">
        <f>ROUND($O26*R26,0)</f>
        <v/>
      </c>
      <c r="AJ26" s="192">
        <f>ROUND($O26*S26,0)</f>
        <v/>
      </c>
      <c r="AK26" s="192">
        <f>ROUND($O26*T26,0)</f>
        <v/>
      </c>
      <c r="AL26" s="192">
        <f>ROUND($O26*U26,0)</f>
        <v/>
      </c>
      <c r="AM26" s="192">
        <f>ROUND($O26*V26,0)</f>
        <v/>
      </c>
      <c r="AN26" s="192">
        <f>ROUND($O26*W26,0)</f>
        <v/>
      </c>
      <c r="AO26" s="192">
        <f>ROUND($O26*X26,0)</f>
        <v/>
      </c>
      <c r="AP26" s="193">
        <f>ROUND($O26*Y26,0)</f>
        <v/>
      </c>
      <c r="AQ26" s="193">
        <f>ROUND($O26*Z26,0)</f>
        <v/>
      </c>
      <c r="AR26" s="193">
        <f>ROUND($O26*AA26,0)</f>
        <v/>
      </c>
      <c r="AS26" s="307">
        <f>ROUND($O26*AB26,0)</f>
        <v/>
      </c>
      <c r="AT26" s="304" t="n"/>
      <c r="AU26" s="304" t="n"/>
      <c r="AV26" s="304" t="n"/>
      <c r="AW26" s="304" t="n"/>
      <c r="AX26" s="236">
        <f>SUM(AG26:AO26)</f>
        <v/>
      </c>
      <c r="AY26" s="528">
        <f>AX26/160</f>
        <v/>
      </c>
      <c r="AZ26" s="87">
        <f>VLOOKUP(I26,Listy!$A$1:$H$9,6,FALSE)</f>
        <v/>
      </c>
      <c r="BA26" s="682">
        <f>AY26*AZ26</f>
        <v/>
      </c>
      <c r="BB26" s="683">
        <f>AY26*BA26</f>
        <v/>
      </c>
      <c r="BC26" s="528" t="n"/>
      <c r="BD26" s="528" t="n"/>
      <c r="BE26" s="528" t="n"/>
      <c r="BF26" s="528" t="n"/>
      <c r="BG26" s="528" t="n"/>
      <c r="BH26" s="528" t="n"/>
      <c r="BI26" s="21">
        <f>BG26*BH26</f>
        <v/>
      </c>
      <c r="BJ26" s="528" t="n"/>
      <c r="BK26" s="528" t="n"/>
      <c r="BL26" s="528" t="n"/>
      <c r="BM26" s="528" t="n"/>
      <c r="BN26" s="528" t="n"/>
      <c r="BO26" s="528" t="n"/>
      <c r="BP26" s="528" t="n"/>
      <c r="BQ26" s="528" t="n"/>
      <c r="BR26" s="528" t="n"/>
      <c r="BS26" s="528" t="n"/>
      <c r="BT26" s="528" t="n"/>
      <c r="BU26" s="528" t="n"/>
      <c r="BV26" s="528" t="n"/>
      <c r="BW26" s="21">
        <f>BU26*BV26</f>
        <v/>
      </c>
      <c r="BX26" s="528" t="n"/>
      <c r="BY26" s="528" t="n"/>
      <c r="BZ26" s="528" t="n"/>
      <c r="CA26" s="21">
        <f>BY26*BZ26</f>
        <v/>
      </c>
      <c r="CB26" s="528" t="n"/>
      <c r="CC26" s="528" t="n"/>
      <c r="CD26" s="528" t="n"/>
      <c r="CE26" s="21">
        <f>CC26*CD26</f>
        <v/>
      </c>
    </row>
    <row r="27" ht="15.6" customFormat="1" customHeight="1" s="538">
      <c r="A27" s="444" t="n">
        <v>4</v>
      </c>
      <c r="B27" s="411" t="inlineStr">
        <is>
          <t>c</t>
        </is>
      </c>
      <c r="C27" s="449" t="n">
        <v>1</v>
      </c>
      <c r="D27" s="443">
        <f>CONCATENATE(A$3,"_",A27,"_",B27,"_",C27)</f>
        <v/>
      </c>
      <c r="E27" s="412" t="inlineStr">
        <is>
          <t xml:space="preserve">Stworzenie zautomatyzowanego systemu aktualizacji danych BDCB zintegrowanej z platformą. </t>
        </is>
      </c>
      <c r="F27" s="528">
        <f>IFERROR(VLOOKUP($I27,Listy!$A:$H,2,FALSE),"XXX")</f>
        <v/>
      </c>
      <c r="G27" s="528">
        <f>IFERROR(VLOOKUP($I27,Listy!$A:$H,3,FALSE),"XXX")</f>
        <v/>
      </c>
      <c r="H27" s="444" t="n">
        <v>8</v>
      </c>
      <c r="I27" s="89" t="inlineStr">
        <is>
          <t>.a01</t>
        </is>
      </c>
      <c r="J27" s="91">
        <f>M26+1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4" t="n">
        <v>1</v>
      </c>
      <c r="O27" s="444" t="n">
        <v>80</v>
      </c>
      <c r="P27" s="187" t="n">
        <v>0</v>
      </c>
      <c r="Q27" s="187" t="n">
        <v>0</v>
      </c>
      <c r="R27" s="187" t="n">
        <v>0</v>
      </c>
      <c r="S27" s="187" t="n">
        <v>0</v>
      </c>
      <c r="T27" s="187" t="n">
        <v>0.2</v>
      </c>
      <c r="U27" s="187" t="n">
        <v>0.2</v>
      </c>
      <c r="V27" s="187" t="n">
        <v>0.2</v>
      </c>
      <c r="W27" s="187" t="n">
        <v>0.2</v>
      </c>
      <c r="X27" s="187" t="n">
        <v>0.2</v>
      </c>
      <c r="Y27" s="292" t="n">
        <v>0</v>
      </c>
      <c r="Z27" s="292" t="n"/>
      <c r="AA27" s="292" t="n"/>
      <c r="AB27" s="292" t="n"/>
      <c r="AC27" s="302" t="n"/>
      <c r="AD27" s="302" t="n"/>
      <c r="AE27" s="302" t="n"/>
      <c r="AF27" s="302" t="n"/>
      <c r="AG27" s="192">
        <f>ROUND($O27*P27,0)</f>
        <v/>
      </c>
      <c r="AH27" s="192">
        <f>ROUND($O27*Q27,0)</f>
        <v/>
      </c>
      <c r="AI27" s="192">
        <f>ROUND($O27*R27,0)</f>
        <v/>
      </c>
      <c r="AJ27" s="192">
        <f>ROUND($O27*S27,0)</f>
        <v/>
      </c>
      <c r="AK27" s="192">
        <f>ROUND($O27*T27,0)</f>
        <v/>
      </c>
      <c r="AL27" s="192">
        <f>ROUND($O27*U27,0)</f>
        <v/>
      </c>
      <c r="AM27" s="192">
        <f>ROUND($O27*V27,0)</f>
        <v/>
      </c>
      <c r="AN27" s="192">
        <f>ROUND($O27*W27,0)</f>
        <v/>
      </c>
      <c r="AO27" s="192">
        <f>ROUND($O27*X27,0)</f>
        <v/>
      </c>
      <c r="AP27" s="193">
        <f>ROUND($O27*Y27,0)</f>
        <v/>
      </c>
      <c r="AQ27" s="193">
        <f>ROUND($O27*Z27,0)</f>
        <v/>
      </c>
      <c r="AR27" s="193">
        <f>ROUND($O27*AA27,0)</f>
        <v/>
      </c>
      <c r="AS27" s="307">
        <f>ROUND($O27*AB27,0)</f>
        <v/>
      </c>
      <c r="AT27" s="304" t="n"/>
      <c r="AU27" s="304" t="n"/>
      <c r="AV27" s="304" t="n"/>
      <c r="AW27" s="304" t="n"/>
      <c r="AX27" s="236">
        <f>SUM(AG27:AO27)</f>
        <v/>
      </c>
      <c r="AY27" s="528">
        <f>AX27/160</f>
        <v/>
      </c>
      <c r="AZ27" s="87">
        <f>VLOOKUP(I27,Listy!$A$1:$H$9,6,FALSE)</f>
        <v/>
      </c>
      <c r="BA27" s="682">
        <f>AY27*AZ27</f>
        <v/>
      </c>
      <c r="BB27" s="683">
        <f>AY27*BA27</f>
        <v/>
      </c>
      <c r="BC27" s="528" t="n"/>
      <c r="BD27" s="528" t="n"/>
      <c r="BE27" s="528" t="n"/>
      <c r="BF27" s="528" t="n"/>
      <c r="BG27" s="528" t="n"/>
      <c r="BH27" s="528" t="n"/>
      <c r="BI27" s="22">
        <f>BG27*BH27</f>
        <v/>
      </c>
      <c r="BJ27" s="528" t="n"/>
      <c r="BK27" s="528" t="n"/>
      <c r="BL27" s="314" t="n"/>
      <c r="BM27" s="528" t="n"/>
      <c r="BN27" s="528" t="n"/>
      <c r="BO27" s="314" t="n"/>
      <c r="BP27" s="528" t="n"/>
      <c r="BQ27" s="528" t="n"/>
      <c r="BR27" s="314" t="n"/>
      <c r="BS27" s="314" t="n"/>
      <c r="BT27" s="528" t="n"/>
      <c r="BU27" s="528" t="n"/>
      <c r="BV27" s="528" t="n"/>
      <c r="BW27" s="22">
        <f>BU27*BV27</f>
        <v/>
      </c>
      <c r="BX27" s="528" t="n"/>
      <c r="BY27" s="528" t="n"/>
      <c r="BZ27" s="528" t="n"/>
      <c r="CA27" s="22">
        <f>BY27*BZ27</f>
        <v/>
      </c>
      <c r="CB27" s="528" t="n"/>
      <c r="CC27" s="528" t="n"/>
      <c r="CD27" s="528" t="n"/>
      <c r="CE27" s="22">
        <f>CC27*CD27</f>
        <v/>
      </c>
    </row>
    <row r="28" ht="18" customFormat="1" customHeight="1" s="538">
      <c r="A28" s="410" t="n">
        <v>5</v>
      </c>
      <c r="B28" s="411" t="inlineStr">
        <is>
          <t>a</t>
        </is>
      </c>
      <c r="C28" s="449" t="n">
        <v>1</v>
      </c>
      <c r="D28" s="443">
        <f>CONCATENATE(A$3,"_",A28,"_",B28,"_",C28)</f>
        <v/>
      </c>
      <c r="E28" s="410" t="inlineStr">
        <is>
          <t>5.Opracowanie procedur/strategii bezpieczeństwa i zarządzania BDCB</t>
        </is>
      </c>
      <c r="F28" s="528">
        <f>IFERROR(VLOOKUP($I28,Listy!$A:$H,2,FALSE),"XXX")</f>
        <v/>
      </c>
      <c r="G28" s="528">
        <f>IFERROR(VLOOKUP($I28,Listy!$A:$H,3,FALSE),"XXX")</f>
        <v/>
      </c>
      <c r="H28" s="444" t="n">
        <v>9</v>
      </c>
      <c r="I28" s="89" t="inlineStr">
        <is>
          <t>.a03</t>
        </is>
      </c>
      <c r="J28" s="91">
        <f>M27+1</f>
        <v/>
      </c>
      <c r="K28" s="681">
        <f>VLOOKUP(J28,Kalendarz!B:E,4,FALSE)</f>
        <v/>
      </c>
      <c r="L28" s="681">
        <f>K28+N28</f>
        <v/>
      </c>
      <c r="M28" s="528">
        <f>J28+N28-1</f>
        <v/>
      </c>
      <c r="N28" s="474">
        <f>ROUND(MAX(AG28:AO28)/Listy!$U$5,0)</f>
        <v/>
      </c>
      <c r="O28" s="444" t="n">
        <v>20</v>
      </c>
      <c r="P28" s="187" t="n">
        <v>0</v>
      </c>
      <c r="Q28" s="187" t="n">
        <v>0</v>
      </c>
      <c r="R28" s="187" t="n">
        <v>0</v>
      </c>
      <c r="S28" s="187" t="n">
        <v>0</v>
      </c>
      <c r="T28" s="187" t="n">
        <v>0.2</v>
      </c>
      <c r="U28" s="187" t="n">
        <v>0.2</v>
      </c>
      <c r="V28" s="187" t="n">
        <v>0.2</v>
      </c>
      <c r="W28" s="187" t="n">
        <v>0.2</v>
      </c>
      <c r="X28" s="187" t="n">
        <v>0.2</v>
      </c>
      <c r="Y28" s="292" t="n">
        <v>0</v>
      </c>
      <c r="Z28" s="292" t="n"/>
      <c r="AA28" s="292" t="n"/>
      <c r="AB28" s="292" t="n"/>
      <c r="AC28" s="302" t="n"/>
      <c r="AD28" s="302" t="n"/>
      <c r="AE28" s="302" t="n"/>
      <c r="AF28" s="302" t="n"/>
      <c r="AG28" s="192">
        <f>ROUND($O28*P28,0)</f>
        <v/>
      </c>
      <c r="AH28" s="192">
        <f>ROUND($O28*Q28,0)</f>
        <v/>
      </c>
      <c r="AI28" s="192">
        <f>ROUND($O28*R28,0)</f>
        <v/>
      </c>
      <c r="AJ28" s="192">
        <f>ROUND($O28*S28,0)</f>
        <v/>
      </c>
      <c r="AK28" s="192">
        <f>ROUND($O28*T28,0)</f>
        <v/>
      </c>
      <c r="AL28" s="192">
        <f>ROUND($O28*U28,0)</f>
        <v/>
      </c>
      <c r="AM28" s="192">
        <f>ROUND($O28*V28,0)</f>
        <v/>
      </c>
      <c r="AN28" s="192">
        <f>ROUND($O28*W28,0)</f>
        <v/>
      </c>
      <c r="AO28" s="192">
        <f>ROUND($O28*X28,0)</f>
        <v/>
      </c>
      <c r="AP28" s="193">
        <f>ROUND($O28*Y28,0)</f>
        <v/>
      </c>
      <c r="AQ28" s="193">
        <f>ROUND($O28*Z28,0)</f>
        <v/>
      </c>
      <c r="AR28" s="193">
        <f>ROUND($O28*AA28,0)</f>
        <v/>
      </c>
      <c r="AS28" s="307">
        <f>ROUND($O28*AB28,0)</f>
        <v/>
      </c>
      <c r="AT28" s="304" t="n"/>
      <c r="AU28" s="304" t="n"/>
      <c r="AV28" s="304" t="n"/>
      <c r="AW28" s="304" t="n"/>
      <c r="AX28" s="236">
        <f>SUM(AG28:AO28)</f>
        <v/>
      </c>
      <c r="AY28" s="528">
        <f>AX28/160</f>
        <v/>
      </c>
      <c r="AZ28" s="87">
        <f>VLOOKUP(I28,Listy!$A$1:$H$9,6,FALSE)</f>
        <v/>
      </c>
      <c r="BA28" s="682">
        <f>AY28*AZ28</f>
        <v/>
      </c>
      <c r="BB28" s="683">
        <f>AY28*BA28</f>
        <v/>
      </c>
      <c r="BC28" s="528" t="n"/>
      <c r="BD28" s="528" t="n"/>
      <c r="BE28" s="528" t="n"/>
      <c r="BF28" s="528" t="n"/>
      <c r="BG28" s="528" t="n"/>
      <c r="BH28" s="528" t="n"/>
      <c r="BI28" s="22">
        <f>BG28*BH28</f>
        <v/>
      </c>
      <c r="BJ28" s="336" t="n"/>
      <c r="BK28" s="336" t="n"/>
      <c r="BL28" s="336" t="n"/>
      <c r="BM28" s="336" t="n"/>
      <c r="BN28" s="336" t="n"/>
      <c r="BO28" s="336" t="n"/>
      <c r="BP28" s="336" t="n"/>
      <c r="BQ28" s="336" t="n"/>
      <c r="BR28" s="336" t="n"/>
      <c r="BS28" s="336" t="n"/>
      <c r="BT28" s="336" t="n"/>
      <c r="BU28" s="336" t="n"/>
      <c r="BV28" s="336" t="n"/>
      <c r="BW28" s="336" t="n"/>
      <c r="BX28" s="336" t="n"/>
      <c r="BY28" s="336" t="n"/>
      <c r="BZ28" s="336" t="n"/>
      <c r="CA28" s="336" t="n"/>
      <c r="CB28" s="336" t="n"/>
      <c r="CC28" s="336" t="n"/>
      <c r="CD28" s="336" t="n"/>
      <c r="CE28" s="336" t="n"/>
    </row>
    <row r="29" ht="18" customFormat="1" customHeight="1" s="538">
      <c r="A29" s="410" t="n">
        <v>6</v>
      </c>
      <c r="B29" s="411" t="inlineStr">
        <is>
          <t>a</t>
        </is>
      </c>
      <c r="C29" s="449" t="n">
        <v>1</v>
      </c>
      <c r="D29" s="443">
        <f>CONCATENATE(A$3,"_",A29,"_",B29,"_",C29)</f>
        <v/>
      </c>
      <c r="E29" s="410" t="inlineStr">
        <is>
          <t>6.Opracowanie dokumentacji BDCB</t>
        </is>
      </c>
      <c r="F29" s="528">
        <f>IFERROR(VLOOKUP($I29,Listy!$A:$H,2,FALSE),"XXX")</f>
        <v/>
      </c>
      <c r="G29" s="528">
        <f>IFERROR(VLOOKUP($I29,Listy!$A:$H,3,FALSE),"XXX")</f>
        <v/>
      </c>
      <c r="H29" s="444" t="n">
        <v>10</v>
      </c>
      <c r="I29" s="89" t="inlineStr">
        <is>
          <t>.a03</t>
        </is>
      </c>
      <c r="J29" s="91">
        <f>M28+1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4" t="n">
        <v>1</v>
      </c>
      <c r="O29" s="444" t="n">
        <v>60</v>
      </c>
      <c r="P29" s="187" t="n">
        <v>0</v>
      </c>
      <c r="Q29" s="187" t="n">
        <v>0</v>
      </c>
      <c r="R29" s="187" t="n">
        <v>0</v>
      </c>
      <c r="S29" s="187" t="n">
        <v>0</v>
      </c>
      <c r="T29" s="187" t="n">
        <v>0.2</v>
      </c>
      <c r="U29" s="187" t="n">
        <v>0.2</v>
      </c>
      <c r="V29" s="187" t="n">
        <v>0.2</v>
      </c>
      <c r="W29" s="187" t="n">
        <v>0.2</v>
      </c>
      <c r="X29" s="187" t="n">
        <v>0.2</v>
      </c>
      <c r="Y29" s="292" t="n">
        <v>0</v>
      </c>
      <c r="Z29" s="292" t="n"/>
      <c r="AA29" s="292" t="n"/>
      <c r="AB29" s="292" t="n"/>
      <c r="AC29" s="302" t="n"/>
      <c r="AD29" s="302" t="n"/>
      <c r="AE29" s="302" t="n"/>
      <c r="AF29" s="302" t="n"/>
      <c r="AG29" s="192">
        <f>ROUND($O29*P29,0)</f>
        <v/>
      </c>
      <c r="AH29" s="192">
        <f>ROUND($O29*Q29,0)</f>
        <v/>
      </c>
      <c r="AI29" s="192">
        <f>ROUND($O29*R29,0)</f>
        <v/>
      </c>
      <c r="AJ29" s="192">
        <f>ROUND($O29*S29,0)</f>
        <v/>
      </c>
      <c r="AK29" s="192">
        <f>ROUND($O29*T29,0)</f>
        <v/>
      </c>
      <c r="AL29" s="192">
        <f>ROUND($O29*U29,0)</f>
        <v/>
      </c>
      <c r="AM29" s="192">
        <f>ROUND($O29*V29,0)</f>
        <v/>
      </c>
      <c r="AN29" s="192">
        <f>ROUND($O29*W29,0)</f>
        <v/>
      </c>
      <c r="AO29" s="192">
        <f>ROUND($O29*X29,0)</f>
        <v/>
      </c>
      <c r="AP29" s="193">
        <f>ROUND($O29*Y29,0)</f>
        <v/>
      </c>
      <c r="AQ29" s="193">
        <f>ROUND($O29*Z29,0)</f>
        <v/>
      </c>
      <c r="AR29" s="193">
        <f>ROUND($O29*AA29,0)</f>
        <v/>
      </c>
      <c r="AS29" s="193">
        <f>ROUND($O29*AB29,0)</f>
        <v/>
      </c>
      <c r="AT29" s="306">
        <f>ROUND($O29*AC29,0)</f>
        <v/>
      </c>
      <c r="AU29" s="306">
        <f>ROUND($O29*AD29,0)</f>
        <v/>
      </c>
      <c r="AV29" s="306">
        <f>ROUND($O29*AE29,0)</f>
        <v/>
      </c>
      <c r="AW29" s="306">
        <f>ROUND($O29*AF29,0)</f>
        <v/>
      </c>
      <c r="AX29" s="236">
        <f>SUM(AG29:AO29)</f>
        <v/>
      </c>
      <c r="AY29" s="528">
        <f>AX29/160</f>
        <v/>
      </c>
      <c r="AZ29" s="87">
        <f>VLOOKUP(I29,Listy!$A$1:$H$9,6,FALSE)</f>
        <v/>
      </c>
      <c r="BA29" s="682">
        <f>AY29*AZ29</f>
        <v/>
      </c>
      <c r="BB29" s="683">
        <f>AY29*BA29</f>
        <v/>
      </c>
      <c r="BC29" s="528" t="n"/>
      <c r="BD29" s="528" t="n"/>
      <c r="BE29" s="528" t="n"/>
      <c r="BF29" s="528" t="n"/>
      <c r="BG29" s="528" t="n"/>
      <c r="BH29" s="528" t="n"/>
      <c r="BI29" s="22">
        <f>BG29*BH29</f>
        <v/>
      </c>
      <c r="BJ29" s="336" t="n"/>
      <c r="BK29" s="336" t="n"/>
      <c r="BL29" s="336" t="n"/>
      <c r="BM29" s="336" t="n"/>
      <c r="BN29" s="336" t="n"/>
      <c r="BO29" s="336" t="n"/>
      <c r="BP29" s="336" t="n"/>
      <c r="BQ29" s="336" t="n"/>
      <c r="BR29" s="336" t="n"/>
      <c r="BS29" s="336" t="n"/>
      <c r="BT29" s="336" t="n"/>
      <c r="BU29" s="336" t="n"/>
      <c r="BV29" s="336" t="n"/>
      <c r="BW29" s="336" t="n"/>
      <c r="BX29" s="336" t="n"/>
      <c r="BY29" s="336" t="n"/>
      <c r="BZ29" s="336" t="n"/>
      <c r="CA29" s="336" t="n"/>
      <c r="CB29" s="336" t="n"/>
      <c r="CC29" s="336" t="n"/>
      <c r="CD29" s="336" t="n"/>
      <c r="CE29" s="336" t="n"/>
    </row>
    <row r="30" ht="18" customFormat="1" customHeight="1" s="538">
      <c r="A30" s="421" t="inlineStr">
        <is>
          <t xml:space="preserve">Łącznie </t>
        </is>
      </c>
      <c r="B30" s="421" t="n"/>
      <c r="C30" s="349" t="n"/>
      <c r="D30" s="333" t="n"/>
      <c r="E30" s="354" t="n"/>
      <c r="F30" s="336" t="n"/>
      <c r="G30" s="336" t="n"/>
      <c r="H30" s="336" t="n"/>
      <c r="I30" s="336" t="n"/>
      <c r="J30" s="336" t="n"/>
      <c r="K30" s="336" t="n"/>
      <c r="L30" s="336" t="n"/>
      <c r="M30" s="336" t="n"/>
      <c r="N30" s="336" t="n"/>
      <c r="O30" s="336" t="n"/>
      <c r="P30" s="336" t="n"/>
      <c r="Q30" s="336" t="n"/>
      <c r="R30" s="336" t="n"/>
      <c r="S30" s="336" t="n"/>
      <c r="T30" s="336" t="n"/>
      <c r="U30" s="336" t="n"/>
      <c r="V30" s="336" t="n"/>
      <c r="W30" s="336" t="n"/>
      <c r="X30" s="336" t="n"/>
      <c r="Y30" s="336" t="n"/>
      <c r="Z30" s="336" t="n"/>
      <c r="AA30" s="336" t="n"/>
      <c r="AB30" s="336" t="n"/>
      <c r="AC30" s="336" t="n"/>
      <c r="AD30" s="336" t="n"/>
      <c r="AE30" s="336" t="n"/>
      <c r="AF30" s="336" t="n"/>
      <c r="AG30" s="585">
        <f>SUM(AG$3:AG29)</f>
        <v/>
      </c>
      <c r="AH30" s="586">
        <f>SUM(AH$3:AH29)</f>
        <v/>
      </c>
      <c r="AI30" s="586">
        <f>SUM(AI$3:AI29)</f>
        <v/>
      </c>
      <c r="AJ30" s="586">
        <f>SUM(AJ$3:AJ29)</f>
        <v/>
      </c>
      <c r="AK30" s="586">
        <f>SUM(AK$3:AK29)</f>
        <v/>
      </c>
      <c r="AL30" s="586">
        <f>SUM(AL$3:AL29)</f>
        <v/>
      </c>
      <c r="AM30" s="586">
        <f>SUM(AM$3:AM29)</f>
        <v/>
      </c>
      <c r="AN30" s="586">
        <f>SUM(AN$3:AN29)</f>
        <v/>
      </c>
      <c r="AO30" s="587">
        <f>SUM(AO$3:AO29)</f>
        <v/>
      </c>
      <c r="AP30" s="579">
        <f>SUM(AP$3:AP29)</f>
        <v/>
      </c>
      <c r="AQ30" s="580">
        <f>SUM(AQ$3:AQ29)</f>
        <v/>
      </c>
      <c r="AR30" s="580">
        <f>SUM(AR$3:AR29)</f>
        <v/>
      </c>
      <c r="AS30" s="581">
        <f>SUM(AS$3:AS29)</f>
        <v/>
      </c>
      <c r="AT30" s="572">
        <f>SUM(AT$3:AT29)</f>
        <v/>
      </c>
      <c r="AU30" s="573">
        <f>SUM(AU$3:AU29)</f>
        <v/>
      </c>
      <c r="AV30" s="573">
        <f>SUM(AV$3:AV29)</f>
        <v/>
      </c>
      <c r="AW30" s="574">
        <f>SUM(AW$3:AW29)</f>
        <v/>
      </c>
      <c r="AX30" s="684">
        <f>SUM(AX$3:AX29)</f>
        <v/>
      </c>
      <c r="AY30" s="336" t="n"/>
      <c r="AZ30" s="336" t="n"/>
      <c r="BA30" s="336" t="n"/>
      <c r="BB30" s="336" t="n"/>
      <c r="BC30" s="336" t="n"/>
      <c r="BD30" s="336" t="n"/>
      <c r="BE30" s="336" t="n"/>
      <c r="BF30" s="336" t="n"/>
      <c r="BG30" s="336" t="n"/>
      <c r="BH30" s="336" t="n"/>
      <c r="BI30" s="336" t="n"/>
      <c r="BJ30" s="336" t="n"/>
      <c r="BK30" s="336" t="n"/>
      <c r="BM30" s="336" t="n"/>
      <c r="BN30" s="336" t="n"/>
      <c r="BP30" s="336" t="n"/>
      <c r="BQ30" s="336" t="n"/>
      <c r="BT30" s="336" t="n"/>
      <c r="BU30" s="336" t="n"/>
      <c r="BV30" s="336" t="n"/>
      <c r="BX30" s="336" t="n"/>
      <c r="BY30" s="336" t="n"/>
      <c r="BZ30" s="336" t="n"/>
      <c r="CB30" s="336" t="n"/>
      <c r="CC30" s="336" t="n"/>
      <c r="CD30" s="336" t="n"/>
    </row>
    <row r="31" customFormat="1" s="538">
      <c r="A31" s="349" t="n"/>
      <c r="B31" s="350" t="n"/>
      <c r="C31" s="349" t="n"/>
      <c r="D31" s="333" t="n"/>
      <c r="E31" s="354" t="n"/>
      <c r="F31" s="336" t="n"/>
      <c r="G31" s="336" t="n"/>
      <c r="H31" s="336" t="n"/>
      <c r="I31" s="336" t="n"/>
      <c r="J31" s="336" t="n"/>
      <c r="K31" s="336" t="n"/>
      <c r="L31" s="336" t="n"/>
      <c r="M31" s="336" t="n"/>
      <c r="N31" s="430" t="n"/>
      <c r="O31" s="430" t="n"/>
      <c r="P31" s="336" t="n"/>
      <c r="Q31" s="336" t="n"/>
      <c r="R31" s="336" t="n"/>
      <c r="S31" s="336" t="n"/>
      <c r="T31" s="336" t="n"/>
      <c r="U31" s="336" t="n"/>
      <c r="V31" s="336" t="n"/>
      <c r="W31" s="336" t="n"/>
      <c r="X31" s="336" t="n"/>
      <c r="Y31" s="336" t="n"/>
      <c r="Z31" s="336" t="n"/>
      <c r="AA31" s="336" t="n"/>
      <c r="AB31" s="336" t="n"/>
      <c r="AC31" s="336" t="n"/>
      <c r="AD31" s="336" t="n"/>
      <c r="AE31" s="336" t="n"/>
      <c r="AF31" s="336" t="n"/>
      <c r="AG31" s="588">
        <f>Listy!$AA$1&amp;AG30/20</f>
        <v/>
      </c>
      <c r="AH31" s="589">
        <f>Listy!$AA$1&amp;AH30/20</f>
        <v/>
      </c>
      <c r="AI31" s="589">
        <f>Listy!$AA$1&amp;AI30/20</f>
        <v/>
      </c>
      <c r="AJ31" s="589">
        <f>Listy!$AA$1&amp;AJ30/20</f>
        <v/>
      </c>
      <c r="AK31" s="589">
        <f>Listy!$AA$1&amp;AK30/20</f>
        <v/>
      </c>
      <c r="AL31" s="589">
        <f>Listy!$AA$1&amp;AL30/20</f>
        <v/>
      </c>
      <c r="AM31" s="589">
        <f>Listy!$AA$1&amp;AM30/20</f>
        <v/>
      </c>
      <c r="AN31" s="589">
        <f>Listy!$AA$1&amp;AN30/20</f>
        <v/>
      </c>
      <c r="AO31" s="590">
        <f>Listy!$AA$1&amp;AO30/20</f>
        <v/>
      </c>
      <c r="AP31" s="582">
        <f>Listy!$AA$1&amp;AP30/20</f>
        <v/>
      </c>
      <c r="AQ31" s="583">
        <f>Listy!$AA$1&amp;AQ30/20</f>
        <v/>
      </c>
      <c r="AR31" s="583">
        <f>Listy!$AA$1&amp;AR30/20</f>
        <v/>
      </c>
      <c r="AS31" s="584">
        <f>Listy!$AA$1&amp;AS30/20</f>
        <v/>
      </c>
      <c r="AT31" s="575">
        <f>Listy!$AA$1&amp;AT30/20</f>
        <v/>
      </c>
      <c r="AU31" s="576">
        <f>Listy!$AA$1&amp;AU30/20</f>
        <v/>
      </c>
      <c r="AV31" s="576">
        <f>Listy!$AA$1&amp;AV30/20</f>
        <v/>
      </c>
      <c r="AW31" s="577">
        <f>Listy!$AA$1&amp;AW30/20</f>
        <v/>
      </c>
      <c r="AX31" s="591">
        <f>Listy!$AA$1&amp;AX30/20</f>
        <v/>
      </c>
      <c r="AY31" s="336" t="n"/>
      <c r="AZ31" s="336" t="n"/>
      <c r="BA31" s="336" t="n"/>
      <c r="BB31" s="336" t="n"/>
      <c r="BC31" s="336" t="n"/>
      <c r="BD31" s="336" t="n"/>
      <c r="BE31" s="336" t="n"/>
      <c r="BF31" s="336" t="n"/>
      <c r="BG31" s="336" t="n"/>
      <c r="BH31" s="336" t="n"/>
      <c r="BI31" s="336" t="n"/>
      <c r="BJ31" s="336" t="n"/>
      <c r="BK31" s="336" t="n"/>
      <c r="BM31" s="336" t="n"/>
      <c r="BN31" s="336" t="n"/>
      <c r="BP31" s="336" t="n"/>
      <c r="BQ31" s="336" t="n"/>
      <c r="BT31" s="336" t="n"/>
      <c r="BU31" s="336" t="n"/>
      <c r="BV31" s="336" t="n"/>
      <c r="BX31" s="336" t="n"/>
      <c r="BY31" s="336" t="n"/>
      <c r="BZ31" s="336" t="n"/>
      <c r="CB31" s="336" t="n"/>
      <c r="CC31" s="336" t="n"/>
      <c r="CD31" s="336" t="n"/>
    </row>
    <row r="32" customFormat="1" s="538">
      <c r="A32" s="349" t="n"/>
      <c r="B32" s="350" t="n"/>
      <c r="C32" s="349" t="n"/>
      <c r="D32" s="333" t="n"/>
      <c r="E32" s="354" t="n"/>
      <c r="F32" s="336" t="n"/>
      <c r="G32" s="336" t="n"/>
      <c r="H32" s="335" t="n"/>
      <c r="I32" s="336" t="n"/>
      <c r="J32" s="336" t="n"/>
      <c r="K32" s="336" t="n"/>
      <c r="L32" s="336" t="n"/>
      <c r="M32" s="336" t="n"/>
      <c r="N32" s="336" t="n"/>
      <c r="O32" s="336" t="n"/>
      <c r="P32" s="430" t="n"/>
      <c r="Q32" s="430" t="n"/>
      <c r="R32" s="430" t="n"/>
      <c r="S32" s="430" t="n"/>
      <c r="T32" s="430" t="n"/>
      <c r="U32" s="430" t="n"/>
      <c r="V32" s="430" t="n"/>
      <c r="W32" s="430" t="n"/>
      <c r="X32" s="430" t="n"/>
      <c r="Y32" s="430" t="n"/>
      <c r="Z32" s="430" t="n"/>
      <c r="AA32" s="430" t="n"/>
      <c r="AB32" s="430" t="n"/>
      <c r="AC32" s="336" t="n"/>
      <c r="AD32" s="336" t="n"/>
      <c r="AE32" s="336" t="n"/>
      <c r="AF32" s="336" t="n"/>
      <c r="AG32" s="339" t="n"/>
      <c r="AH32" s="339" t="n"/>
      <c r="AI32" s="339" t="n"/>
      <c r="AJ32" s="339" t="n"/>
      <c r="AK32" s="339" t="n"/>
      <c r="AL32" s="339" t="n"/>
      <c r="AM32" s="339" t="n"/>
      <c r="AN32" s="339" t="n"/>
      <c r="AO32" s="339" t="n"/>
      <c r="AP32" s="339" t="n"/>
      <c r="AQ32" s="339" t="n"/>
      <c r="AR32" s="339" t="n"/>
      <c r="AS32" s="339" t="n"/>
      <c r="AT32" s="336" t="n"/>
      <c r="AU32" s="336" t="n"/>
      <c r="AV32" s="336" t="n"/>
      <c r="AW32" s="336" t="n"/>
      <c r="AX32" s="430" t="n"/>
      <c r="AZ32" s="336" t="n"/>
      <c r="BA32" s="336" t="n"/>
      <c r="BC32" s="336" t="n"/>
      <c r="BD32" s="336" t="n"/>
      <c r="BE32" s="336" t="n"/>
      <c r="BF32" s="336" t="n"/>
      <c r="BG32" s="336" t="n"/>
      <c r="BH32" s="336" t="n"/>
      <c r="BJ32" s="336" t="n"/>
      <c r="BK32" s="336" t="n"/>
      <c r="BM32" s="336" t="n"/>
      <c r="BN32" s="336" t="n"/>
      <c r="BP32" s="336" t="n"/>
      <c r="BQ32" s="336" t="n"/>
      <c r="BT32" s="336" t="n"/>
      <c r="BU32" s="336" t="n"/>
      <c r="BV32" s="336" t="n"/>
      <c r="BX32" s="336" t="n"/>
      <c r="BY32" s="336" t="n"/>
      <c r="BZ32" s="336" t="n"/>
      <c r="CB32" s="336" t="n"/>
      <c r="CC32" s="336" t="n"/>
      <c r="CD32" s="336" t="n"/>
    </row>
    <row r="33" customFormat="1" s="538">
      <c r="A33" s="349" t="n"/>
      <c r="B33" s="350" t="n"/>
      <c r="C33" s="349" t="n"/>
      <c r="D33" s="333" t="n"/>
      <c r="E33" s="354" t="n"/>
      <c r="F33" s="336" t="n"/>
      <c r="G33" s="336" t="n"/>
      <c r="H33" s="335" t="n"/>
      <c r="I33" s="336" t="n"/>
      <c r="J33" s="336" t="n"/>
      <c r="K33" s="336" t="n"/>
      <c r="L33" s="336" t="n"/>
      <c r="M33" s="336" t="n"/>
      <c r="N33" s="336" t="n"/>
      <c r="O33" s="336" t="n"/>
      <c r="P33" s="430" t="n"/>
      <c r="Q33" s="430" t="n"/>
      <c r="R33" s="430" t="n"/>
      <c r="S33" s="430" t="n"/>
      <c r="T33" s="430" t="n"/>
      <c r="U33" s="430" t="n"/>
      <c r="V33" s="430" t="n"/>
      <c r="W33" s="430" t="n"/>
      <c r="X33" s="430" t="n"/>
      <c r="Y33" s="430" t="n"/>
      <c r="Z33" s="430" t="n"/>
      <c r="AA33" s="430" t="n"/>
      <c r="AB33" s="430" t="n"/>
      <c r="AC33" s="338" t="n"/>
      <c r="AD33" s="338" t="n"/>
      <c r="AE33" s="338" t="n"/>
      <c r="AF33" s="338" t="n"/>
      <c r="AG33" s="339" t="n"/>
      <c r="AH33" s="339" t="n"/>
      <c r="AI33" s="339" t="n"/>
      <c r="AJ33" s="339" t="n"/>
      <c r="AK33" s="339" t="n"/>
      <c r="AL33" s="339" t="n"/>
      <c r="AM33" s="339" t="n"/>
      <c r="AN33" s="339" t="n"/>
      <c r="AO33" s="339" t="n"/>
      <c r="AP33" s="339" t="n"/>
      <c r="AQ33" s="339" t="n"/>
      <c r="AR33" s="339" t="n"/>
      <c r="AS33" s="339" t="n"/>
      <c r="AT33" s="339" t="n"/>
      <c r="AU33" s="339" t="n"/>
      <c r="AV33" s="339" t="n"/>
      <c r="AW33" s="339" t="n"/>
      <c r="AX33" s="430" t="n"/>
      <c r="AZ33" s="336" t="n"/>
      <c r="BA33" s="336" t="n"/>
      <c r="BC33" s="336" t="n"/>
      <c r="BD33" s="336" t="n"/>
      <c r="BE33" s="336" t="n"/>
      <c r="BF33" s="336" t="n"/>
      <c r="BG33" s="336" t="n"/>
      <c r="BH33" s="336" t="n"/>
      <c r="BJ33" s="336" t="n"/>
      <c r="BK33" s="336" t="n"/>
      <c r="BM33" s="336" t="n"/>
      <c r="BN33" s="336" t="n"/>
      <c r="BP33" s="336" t="n"/>
      <c r="BQ33" s="336" t="n"/>
      <c r="BT33" s="336" t="n"/>
      <c r="BU33" s="336" t="n"/>
      <c r="BV33" s="336" t="n"/>
      <c r="BX33" s="336" t="n"/>
      <c r="BY33" s="336" t="n"/>
      <c r="BZ33" s="336" t="n"/>
      <c r="CB33" s="336" t="n"/>
      <c r="CC33" s="336" t="n"/>
      <c r="CD33" s="336" t="n"/>
    </row>
    <row r="34" customFormat="1" s="538">
      <c r="A34" s="349" t="n"/>
      <c r="B34" s="350" t="n"/>
      <c r="C34" s="349" t="n"/>
      <c r="D34" s="333" t="n"/>
      <c r="E34" s="354" t="n"/>
      <c r="F34" s="336" t="n"/>
      <c r="G34" s="336" t="n"/>
      <c r="H34" s="335" t="n"/>
      <c r="I34" s="336" t="n"/>
      <c r="J34" s="336" t="n"/>
      <c r="K34" s="336" t="n"/>
      <c r="L34" s="336" t="n"/>
      <c r="M34" s="336" t="n"/>
      <c r="N34" s="336" t="n"/>
      <c r="O34" s="336" t="n"/>
      <c r="P34" s="430" t="n"/>
      <c r="Q34" s="430" t="n"/>
      <c r="R34" s="430" t="n"/>
      <c r="S34" s="430" t="n"/>
      <c r="T34" s="430" t="n"/>
      <c r="U34" s="430" t="n"/>
      <c r="V34" s="430" t="n"/>
      <c r="W34" s="430" t="n"/>
      <c r="X34" s="430" t="n"/>
      <c r="Y34" s="430" t="n"/>
      <c r="Z34" s="430" t="n"/>
      <c r="AA34" s="430" t="n"/>
      <c r="AB34" s="430" t="n"/>
      <c r="AC34" s="338" t="n"/>
      <c r="AD34" s="338" t="n"/>
      <c r="AE34" s="338" t="n"/>
      <c r="AF34" s="338" t="n"/>
      <c r="AG34" s="339" t="n"/>
      <c r="AH34" s="339" t="n"/>
      <c r="AI34" s="339" t="n"/>
      <c r="AJ34" s="339" t="n"/>
      <c r="AK34" s="339" t="n"/>
      <c r="AL34" s="339" t="n"/>
      <c r="AM34" s="339" t="n"/>
      <c r="AN34" s="339" t="n"/>
      <c r="AO34" s="339" t="n"/>
      <c r="AP34" s="339" t="n"/>
      <c r="AQ34" s="339" t="n"/>
      <c r="AR34" s="339" t="n"/>
      <c r="AS34" s="339" t="n"/>
      <c r="AT34" s="339" t="n"/>
      <c r="AU34" s="339" t="n"/>
      <c r="AV34" s="339" t="n"/>
      <c r="AW34" s="339" t="n"/>
      <c r="AX34" s="430" t="n"/>
      <c r="AZ34" s="336" t="n"/>
      <c r="BA34" s="336" t="n"/>
      <c r="BC34" s="336" t="n"/>
      <c r="BD34" s="336" t="n"/>
      <c r="BE34" s="336" t="n"/>
      <c r="BF34" s="336" t="n"/>
      <c r="BG34" s="336" t="n"/>
      <c r="BH34" s="336" t="n"/>
      <c r="BJ34" s="336" t="n"/>
      <c r="BK34" s="336" t="n"/>
      <c r="BM34" s="336" t="n"/>
      <c r="BN34" s="336" t="n"/>
      <c r="BP34" s="336" t="n"/>
      <c r="BQ34" s="336" t="n"/>
      <c r="BT34" s="336" t="n"/>
      <c r="BU34" s="336" t="n"/>
      <c r="BV34" s="336" t="n"/>
      <c r="BX34" s="336" t="n"/>
      <c r="BY34" s="336" t="n"/>
      <c r="BZ34" s="336" t="n"/>
      <c r="CB34" s="336" t="n"/>
      <c r="CC34" s="336" t="n"/>
      <c r="CD34" s="336" t="n"/>
    </row>
    <row r="35" customFormat="1" s="538">
      <c r="A35" s="349" t="n"/>
      <c r="B35" s="350" t="n"/>
      <c r="C35" s="349" t="n"/>
      <c r="D35" s="333" t="n"/>
      <c r="E35" s="354" t="n"/>
      <c r="F35" s="336" t="n"/>
      <c r="G35" s="336" t="n"/>
      <c r="H35" s="335" t="n"/>
      <c r="I35" s="336" t="n"/>
      <c r="J35" s="336" t="n"/>
      <c r="K35" s="336" t="n"/>
      <c r="L35" s="336" t="n"/>
      <c r="M35" s="336" t="n"/>
      <c r="N35" s="336" t="n"/>
      <c r="O35" s="336" t="n"/>
      <c r="P35" s="430" t="n"/>
      <c r="Q35" s="430" t="n"/>
      <c r="R35" s="430" t="n"/>
      <c r="S35" s="430" t="n"/>
      <c r="T35" s="430" t="n"/>
      <c r="U35" s="430" t="n"/>
      <c r="V35" s="430" t="n"/>
      <c r="W35" s="430" t="n"/>
      <c r="X35" s="430" t="n"/>
      <c r="Y35" s="430" t="n"/>
      <c r="Z35" s="430" t="n"/>
      <c r="AA35" s="430" t="n"/>
      <c r="AB35" s="430" t="n"/>
      <c r="AC35" s="338" t="n"/>
      <c r="AD35" s="338" t="n"/>
      <c r="AE35" s="338" t="n"/>
      <c r="AF35" s="338" t="n"/>
      <c r="AG35" s="339" t="n"/>
      <c r="AH35" s="339" t="n"/>
      <c r="AI35" s="339" t="n"/>
      <c r="AJ35" s="339" t="n"/>
      <c r="AK35" s="339" t="n"/>
      <c r="AL35" s="339" t="n"/>
      <c r="AM35" s="339" t="n"/>
      <c r="AN35" s="339" t="n"/>
      <c r="AO35" s="339" t="n"/>
      <c r="AP35" s="339" t="n"/>
      <c r="AQ35" s="339" t="n"/>
      <c r="AR35" s="339" t="n"/>
      <c r="AS35" s="339" t="n"/>
      <c r="AT35" s="339" t="n"/>
      <c r="AU35" s="339" t="n"/>
      <c r="AV35" s="339" t="n"/>
      <c r="AW35" s="339" t="n"/>
      <c r="AX35" s="430" t="n"/>
      <c r="AZ35" s="336" t="n"/>
      <c r="BA35" s="336" t="n"/>
      <c r="BC35" s="336" t="n"/>
      <c r="BD35" s="336" t="n"/>
      <c r="BE35" s="336" t="n"/>
      <c r="BF35" s="336" t="n"/>
      <c r="BG35" s="336" t="n"/>
      <c r="BH35" s="336" t="n"/>
      <c r="BJ35" s="336" t="n"/>
      <c r="BK35" s="336" t="n"/>
      <c r="BM35" s="336" t="n"/>
      <c r="BN35" s="336" t="n"/>
      <c r="BP35" s="336" t="n"/>
      <c r="BQ35" s="336" t="n"/>
      <c r="BT35" s="336" t="n"/>
      <c r="BU35" s="336" t="n"/>
      <c r="BV35" s="336" t="n"/>
      <c r="BX35" s="336" t="n"/>
      <c r="BY35" s="336" t="n"/>
      <c r="BZ35" s="336" t="n"/>
      <c r="CB35" s="336" t="n"/>
      <c r="CC35" s="336" t="n"/>
      <c r="CD35" s="336" t="n"/>
    </row>
    <row r="36" customFormat="1" s="538">
      <c r="A36" s="349" t="n"/>
      <c r="B36" s="350" t="n"/>
      <c r="C36" s="353" t="n"/>
      <c r="D36" s="333" t="n"/>
      <c r="E36" s="332" t="n"/>
      <c r="F36" s="336" t="n"/>
      <c r="G36" s="336" t="n"/>
      <c r="H36" s="335" t="n"/>
      <c r="I36" s="336" t="n"/>
      <c r="J36" s="336" t="n"/>
      <c r="K36" s="336" t="n"/>
      <c r="L36" s="336" t="n"/>
      <c r="M36" s="336" t="n"/>
      <c r="N36" s="336" t="n"/>
      <c r="O36" s="336" t="n"/>
      <c r="P36" s="430" t="n"/>
      <c r="Q36" s="430" t="n"/>
      <c r="R36" s="430" t="n"/>
      <c r="S36" s="430" t="n"/>
      <c r="T36" s="430" t="n"/>
      <c r="U36" s="430" t="n"/>
      <c r="V36" s="430" t="n"/>
      <c r="W36" s="430" t="n"/>
      <c r="X36" s="430" t="n"/>
      <c r="Y36" s="430" t="n"/>
      <c r="Z36" s="430" t="n"/>
      <c r="AA36" s="430" t="n"/>
      <c r="AB36" s="430" t="n"/>
      <c r="AC36" s="338" t="n"/>
      <c r="AD36" s="338" t="n"/>
      <c r="AE36" s="338" t="n"/>
      <c r="AF36" s="338" t="n"/>
      <c r="AG36" s="339" t="n"/>
      <c r="AH36" s="339" t="n"/>
      <c r="AI36" s="339" t="n"/>
      <c r="AJ36" s="339" t="n"/>
      <c r="AK36" s="339" t="n"/>
      <c r="AL36" s="339" t="n"/>
      <c r="AM36" s="339" t="n"/>
      <c r="AN36" s="339" t="n"/>
      <c r="AO36" s="339" t="n"/>
      <c r="AP36" s="339" t="n"/>
      <c r="AQ36" s="339" t="n"/>
      <c r="AR36" s="339" t="n"/>
      <c r="AS36" s="339" t="n"/>
      <c r="AT36" s="339" t="n"/>
      <c r="AU36" s="339" t="n"/>
      <c r="AV36" s="339" t="n"/>
      <c r="AW36" s="339" t="n"/>
      <c r="AX36" s="430" t="n"/>
      <c r="AY36" s="336" t="n"/>
      <c r="AZ36" s="336" t="n"/>
      <c r="BA36" s="336" t="n"/>
      <c r="BB36" s="336" t="n"/>
      <c r="BC36" s="336" t="n"/>
      <c r="BD36" s="336" t="n"/>
      <c r="BE36" s="336" t="n"/>
      <c r="BF36" s="336" t="n"/>
      <c r="BG36" s="336" t="n"/>
      <c r="BH36" s="336" t="n"/>
      <c r="BI36" s="336" t="n"/>
      <c r="BJ36" s="336" t="n"/>
      <c r="BK36" s="336" t="n"/>
      <c r="BL36" s="336" t="n"/>
      <c r="BM36" s="336" t="n"/>
      <c r="BN36" s="336" t="n"/>
      <c r="BO36" s="336" t="n"/>
      <c r="BP36" s="336" t="n"/>
      <c r="BQ36" s="336" t="n"/>
      <c r="BR36" s="336" t="n"/>
      <c r="BS36" s="336" t="n"/>
      <c r="BT36" s="336" t="n"/>
      <c r="BU36" s="336" t="n"/>
      <c r="BV36" s="336" t="n"/>
      <c r="BW36" s="336" t="n"/>
      <c r="BX36" s="336" t="n"/>
      <c r="BY36" s="336" t="n"/>
      <c r="BZ36" s="336" t="n"/>
      <c r="CA36" s="336" t="n"/>
      <c r="CB36" s="336" t="n"/>
      <c r="CC36" s="336" t="n"/>
      <c r="CD36" s="336" t="n"/>
      <c r="CE36" s="336" t="n"/>
    </row>
    <row r="37" customFormat="1" s="538">
      <c r="A37" s="358" t="n"/>
      <c r="B37" s="358" t="n"/>
      <c r="C37" s="344" t="n"/>
      <c r="D37" s="345" t="n"/>
      <c r="E37" s="346" t="n"/>
      <c r="F37" s="336" t="n"/>
      <c r="G37" s="336" t="n"/>
      <c r="H37" s="336" t="n"/>
      <c r="I37" s="336" t="n"/>
      <c r="J37" s="336" t="n"/>
      <c r="K37" s="336" t="n"/>
      <c r="L37" s="336" t="n"/>
      <c r="M37" s="336" t="n"/>
      <c r="N37" s="336" t="n"/>
      <c r="O37" s="336" t="n"/>
      <c r="P37" s="357" t="n"/>
      <c r="Q37" s="357" t="n"/>
      <c r="R37" s="357" t="n"/>
      <c r="S37" s="357" t="n"/>
      <c r="T37" s="357" t="n"/>
      <c r="U37" s="357" t="n"/>
      <c r="V37" s="357" t="n"/>
      <c r="W37" s="357" t="n"/>
      <c r="X37" s="357" t="n"/>
      <c r="Y37" s="357" t="n"/>
      <c r="Z37" s="357" t="n"/>
      <c r="AA37" s="357" t="n"/>
      <c r="AB37" s="336" t="n"/>
      <c r="AC37" s="338" t="n"/>
      <c r="AD37" s="338" t="n"/>
      <c r="AE37" s="338" t="n"/>
      <c r="AF37" s="338" t="n"/>
      <c r="AG37" s="339" t="n"/>
      <c r="AH37" s="339" t="n"/>
      <c r="AI37" s="339" t="n"/>
      <c r="AJ37" s="339" t="n"/>
      <c r="AK37" s="339" t="n"/>
      <c r="AL37" s="339" t="n"/>
      <c r="AM37" s="339" t="n"/>
      <c r="AN37" s="339" t="n"/>
      <c r="AO37" s="339" t="n"/>
      <c r="AP37" s="339" t="n"/>
      <c r="AQ37" s="339" t="n"/>
      <c r="AR37" s="339" t="n"/>
      <c r="AS37" s="339" t="n"/>
      <c r="AT37" s="339" t="n"/>
      <c r="AU37" s="339" t="n"/>
      <c r="AV37" s="339" t="n"/>
      <c r="AW37" s="339" t="n"/>
      <c r="AX37" s="357" t="n"/>
      <c r="AY37" s="359" t="n"/>
      <c r="AZ37" s="336" t="n"/>
      <c r="BA37" s="336" t="n"/>
      <c r="BB37" s="359" t="n"/>
      <c r="BC37" s="336" t="n"/>
      <c r="BD37" s="336" t="n"/>
      <c r="BE37" s="336" t="n"/>
      <c r="BF37" s="336" t="n"/>
      <c r="BG37" s="336" t="n"/>
      <c r="BH37" s="336" t="n"/>
      <c r="BI37" s="359" t="n"/>
      <c r="BJ37" s="336" t="n"/>
      <c r="BK37" s="336" t="n"/>
      <c r="BL37" s="359" t="n"/>
      <c r="BM37" s="336" t="n"/>
      <c r="BN37" s="336" t="n"/>
      <c r="BO37" s="359" t="n"/>
      <c r="BP37" s="336" t="n"/>
      <c r="BQ37" s="336" t="n"/>
      <c r="BR37" s="359" t="n"/>
      <c r="BS37" s="359" t="n"/>
      <c r="BT37" s="336" t="n"/>
      <c r="BU37" s="336" t="n"/>
      <c r="BV37" s="336" t="n"/>
      <c r="BW37" s="359" t="n"/>
      <c r="BX37" s="336" t="n"/>
      <c r="BY37" s="336" t="n"/>
      <c r="BZ37" s="336" t="n"/>
      <c r="CA37" s="359" t="n"/>
      <c r="CB37" s="336" t="n"/>
      <c r="CC37" s="336" t="n"/>
      <c r="CD37" s="336" t="n"/>
      <c r="CE37" s="359" t="n"/>
      <c r="CF37" s="361" t="n"/>
    </row>
    <row r="38" customFormat="1" s="538">
      <c r="A38" s="350" t="n"/>
      <c r="B38" s="350" t="n"/>
      <c r="C38" s="353" t="n"/>
      <c r="D38" s="333" t="n"/>
      <c r="E38" s="332" t="n"/>
      <c r="F38" s="336" t="n"/>
      <c r="G38" s="336" t="n"/>
      <c r="H38" s="335" t="n"/>
      <c r="I38" s="336" t="n"/>
      <c r="J38" s="336" t="n"/>
      <c r="K38" s="336" t="n"/>
      <c r="L38" s="336" t="n"/>
      <c r="M38" s="336" t="n"/>
      <c r="N38" s="336" t="n"/>
      <c r="O38" s="336" t="n"/>
      <c r="P38" s="430" t="n"/>
      <c r="Q38" s="430" t="n"/>
      <c r="R38" s="430" t="n"/>
      <c r="S38" s="430" t="n"/>
      <c r="T38" s="430" t="n"/>
      <c r="U38" s="430" t="n"/>
      <c r="V38" s="430" t="n"/>
      <c r="W38" s="430" t="n"/>
      <c r="X38" s="430" t="n"/>
      <c r="Y38" s="430" t="n"/>
      <c r="Z38" s="430" t="n"/>
      <c r="AA38" s="430" t="n"/>
      <c r="AB38" s="430" t="n"/>
      <c r="AC38" s="338" t="n"/>
      <c r="AD38" s="338" t="n"/>
      <c r="AE38" s="338" t="n"/>
      <c r="AF38" s="338" t="n"/>
      <c r="AG38" s="339" t="n"/>
      <c r="AH38" s="339" t="n"/>
      <c r="AI38" s="339" t="n"/>
      <c r="AJ38" s="339" t="n"/>
      <c r="AK38" s="339" t="n"/>
      <c r="AL38" s="339" t="n"/>
      <c r="AM38" s="339" t="n"/>
      <c r="AN38" s="339" t="n"/>
      <c r="AO38" s="339" t="n"/>
      <c r="AP38" s="339" t="n"/>
      <c r="AQ38" s="339" t="n"/>
      <c r="AR38" s="339" t="n"/>
      <c r="AS38" s="339" t="n"/>
      <c r="AT38" s="339" t="n"/>
      <c r="AU38" s="339" t="n"/>
      <c r="AV38" s="339" t="n"/>
      <c r="AW38" s="339" t="n"/>
      <c r="AX38" s="430" t="n"/>
      <c r="AY38" s="336" t="n"/>
      <c r="AZ38" s="336" t="n"/>
      <c r="BA38" s="336" t="n"/>
      <c r="BB38" s="336" t="n"/>
      <c r="BC38" s="336" t="n"/>
      <c r="BD38" s="336" t="n"/>
      <c r="BE38" s="336" t="n"/>
      <c r="BF38" s="336" t="n"/>
      <c r="BG38" s="336" t="n"/>
      <c r="BH38" s="336" t="n"/>
      <c r="BI38" s="336" t="n"/>
      <c r="BJ38" s="336" t="n"/>
      <c r="BK38" s="336" t="n"/>
      <c r="BL38" s="336" t="n"/>
      <c r="BM38" s="336" t="n"/>
      <c r="BN38" s="336" t="n"/>
      <c r="BO38" s="336" t="n"/>
      <c r="BP38" s="336" t="n"/>
      <c r="BQ38" s="336" t="n"/>
      <c r="BR38" s="336" t="n"/>
      <c r="BS38" s="336" t="n"/>
      <c r="BT38" s="336" t="n"/>
      <c r="BU38" s="336" t="n"/>
      <c r="BV38" s="336" t="n"/>
      <c r="BW38" s="336" t="n"/>
      <c r="BX38" s="336" t="n"/>
      <c r="BY38" s="336" t="n"/>
      <c r="BZ38" s="336" t="n"/>
      <c r="CA38" s="336" t="n"/>
      <c r="CB38" s="336" t="n"/>
      <c r="CC38" s="336" t="n"/>
      <c r="CD38" s="336" t="n"/>
      <c r="CE38" s="336" t="n"/>
    </row>
    <row r="39" customFormat="1" s="538">
      <c r="A39" s="350" t="n"/>
      <c r="B39" s="350" t="n"/>
      <c r="C39" s="353" t="n"/>
      <c r="D39" s="333" t="n"/>
      <c r="E39" s="332" t="n"/>
      <c r="F39" s="336" t="n"/>
      <c r="G39" s="336" t="n"/>
      <c r="H39" s="335" t="n"/>
      <c r="I39" s="336" t="n"/>
      <c r="J39" s="336" t="n"/>
      <c r="K39" s="336" t="n"/>
      <c r="L39" s="336" t="n"/>
      <c r="M39" s="336" t="n"/>
      <c r="N39" s="336" t="n"/>
      <c r="O39" s="336" t="n"/>
      <c r="P39" s="430" t="n"/>
      <c r="Q39" s="430" t="n"/>
      <c r="R39" s="430" t="n"/>
      <c r="S39" s="430" t="n"/>
      <c r="T39" s="430" t="n"/>
      <c r="U39" s="430" t="n"/>
      <c r="V39" s="430" t="n"/>
      <c r="W39" s="430" t="n"/>
      <c r="X39" s="430" t="n"/>
      <c r="Y39" s="430" t="n"/>
      <c r="Z39" s="430" t="n"/>
      <c r="AA39" s="430" t="n"/>
      <c r="AB39" s="430" t="n"/>
      <c r="AC39" s="336" t="n"/>
      <c r="AD39" s="336" t="n"/>
      <c r="AE39" s="336" t="n"/>
      <c r="AF39" s="336" t="n"/>
      <c r="AG39" s="339" t="n"/>
      <c r="AH39" s="339" t="n"/>
      <c r="AI39" s="339" t="n"/>
      <c r="AJ39" s="339" t="n"/>
      <c r="AK39" s="339" t="n"/>
      <c r="AL39" s="339" t="n"/>
      <c r="AM39" s="339" t="n"/>
      <c r="AN39" s="339" t="n"/>
      <c r="AO39" s="339" t="n"/>
      <c r="AP39" s="339" t="n"/>
      <c r="AQ39" s="339" t="n"/>
      <c r="AR39" s="339" t="n"/>
      <c r="AS39" s="339" t="n"/>
      <c r="AT39" s="336" t="n"/>
      <c r="AU39" s="336" t="n"/>
      <c r="AV39" s="336" t="n"/>
      <c r="AW39" s="336" t="n"/>
      <c r="AX39" s="430" t="n"/>
      <c r="AY39" s="336" t="n"/>
      <c r="AZ39" s="336" t="n"/>
      <c r="BA39" s="336" t="n"/>
      <c r="BB39" s="336" t="n"/>
      <c r="BC39" s="336" t="n"/>
      <c r="BD39" s="336" t="n"/>
      <c r="BE39" s="336" t="n"/>
      <c r="BF39" s="336" t="n"/>
      <c r="BG39" s="336" t="n"/>
      <c r="BH39" s="336" t="n"/>
      <c r="BI39" s="336" t="n"/>
      <c r="BJ39" s="336" t="n"/>
      <c r="BK39" s="336" t="n"/>
      <c r="BL39" s="336" t="n"/>
      <c r="BM39" s="336" t="n"/>
      <c r="BN39" s="336" t="n"/>
      <c r="BO39" s="336" t="n"/>
      <c r="BP39" s="336" t="n"/>
      <c r="BQ39" s="336" t="n"/>
      <c r="BR39" s="336" t="n"/>
      <c r="BS39" s="336" t="n"/>
      <c r="BT39" s="336" t="n"/>
      <c r="BU39" s="336" t="n"/>
      <c r="BV39" s="336" t="n"/>
      <c r="BW39" s="336" t="n"/>
      <c r="BX39" s="336" t="n"/>
      <c r="BY39" s="336" t="n"/>
      <c r="BZ39" s="336" t="n"/>
      <c r="CA39" s="336" t="n"/>
      <c r="CB39" s="336" t="n"/>
      <c r="CC39" s="336" t="n"/>
      <c r="CD39" s="336" t="n"/>
      <c r="CE39" s="336" t="n"/>
    </row>
    <row r="40" customFormat="1" s="538">
      <c r="A40" s="350" t="n"/>
      <c r="B40" s="350" t="n"/>
      <c r="C40" s="353" t="n"/>
      <c r="D40" s="333" t="n"/>
      <c r="E40" s="332" t="n"/>
      <c r="F40" s="336" t="n"/>
      <c r="G40" s="336" t="n"/>
      <c r="H40" s="335" t="n"/>
      <c r="I40" s="336" t="n"/>
      <c r="J40" s="336" t="n"/>
      <c r="K40" s="336" t="n"/>
      <c r="L40" s="336" t="n"/>
      <c r="M40" s="336" t="n"/>
      <c r="N40" s="336" t="n"/>
      <c r="O40" s="336" t="n"/>
      <c r="P40" s="430" t="n"/>
      <c r="Q40" s="430" t="n"/>
      <c r="R40" s="430" t="n"/>
      <c r="S40" s="430" t="n"/>
      <c r="T40" s="430" t="n"/>
      <c r="U40" s="430" t="n"/>
      <c r="V40" s="430" t="n"/>
      <c r="W40" s="430" t="n"/>
      <c r="X40" s="430" t="n"/>
      <c r="Y40" s="430" t="n"/>
      <c r="Z40" s="430" t="n"/>
      <c r="AA40" s="430" t="n"/>
      <c r="AB40" s="430" t="n"/>
      <c r="AC40" s="338" t="n"/>
      <c r="AD40" s="338" t="n"/>
      <c r="AE40" s="338" t="n"/>
      <c r="AF40" s="338" t="n"/>
      <c r="AG40" s="339" t="n"/>
      <c r="AH40" s="339" t="n"/>
      <c r="AI40" s="339" t="n"/>
      <c r="AJ40" s="339" t="n"/>
      <c r="AK40" s="339" t="n"/>
      <c r="AL40" s="339" t="n"/>
      <c r="AM40" s="339" t="n"/>
      <c r="AN40" s="339" t="n"/>
      <c r="AO40" s="339" t="n"/>
      <c r="AP40" s="339" t="n"/>
      <c r="AQ40" s="339" t="n"/>
      <c r="AR40" s="339" t="n"/>
      <c r="AS40" s="339" t="n"/>
      <c r="AT40" s="339" t="n"/>
      <c r="AU40" s="339" t="n"/>
      <c r="AV40" s="339" t="n"/>
      <c r="AW40" s="339" t="n"/>
      <c r="AX40" s="430" t="n"/>
      <c r="AY40" s="336" t="n"/>
      <c r="AZ40" s="336" t="n"/>
      <c r="BA40" s="336" t="n"/>
      <c r="BB40" s="336" t="n"/>
      <c r="BC40" s="336" t="n"/>
      <c r="BD40" s="336" t="n"/>
      <c r="BE40" s="336" t="n"/>
      <c r="BF40" s="336" t="n"/>
      <c r="BG40" s="336" t="n"/>
      <c r="BH40" s="336" t="n"/>
      <c r="BI40" s="336" t="n"/>
      <c r="BJ40" s="336" t="n"/>
      <c r="BK40" s="336" t="n"/>
      <c r="BL40" s="336" t="n"/>
      <c r="BM40" s="336" t="n"/>
      <c r="BN40" s="336" t="n"/>
      <c r="BO40" s="336" t="n"/>
      <c r="BP40" s="336" t="n"/>
      <c r="BQ40" s="336" t="n"/>
      <c r="BR40" s="336" t="n"/>
      <c r="BS40" s="336" t="n"/>
      <c r="BT40" s="336" t="n"/>
      <c r="BU40" s="336" t="n"/>
      <c r="BV40" s="336" t="n"/>
      <c r="BW40" s="336" t="n"/>
      <c r="BX40" s="336" t="n"/>
      <c r="BY40" s="336" t="n"/>
      <c r="BZ40" s="336" t="n"/>
      <c r="CA40" s="336" t="n"/>
      <c r="CB40" s="336" t="n"/>
      <c r="CC40" s="336" t="n"/>
      <c r="CD40" s="336" t="n"/>
      <c r="CE40" s="336" t="n"/>
    </row>
    <row r="41" customFormat="1" s="538">
      <c r="A41" s="350" t="n"/>
      <c r="B41" s="350" t="n"/>
      <c r="C41" s="353" t="n"/>
      <c r="D41" s="333" t="n"/>
      <c r="E41" s="332" t="n"/>
      <c r="F41" s="336" t="n"/>
      <c r="G41" s="336" t="n"/>
      <c r="H41" s="335" t="n"/>
      <c r="I41" s="336" t="n"/>
      <c r="J41" s="336" t="n"/>
      <c r="K41" s="336" t="n"/>
      <c r="L41" s="336" t="n"/>
      <c r="M41" s="336" t="n"/>
      <c r="N41" s="336" t="n"/>
      <c r="O41" s="336" t="n"/>
      <c r="P41" s="430" t="n"/>
      <c r="Q41" s="430" t="n"/>
      <c r="R41" s="430" t="n"/>
      <c r="S41" s="430" t="n"/>
      <c r="T41" s="430" t="n"/>
      <c r="U41" s="430" t="n"/>
      <c r="V41" s="430" t="n"/>
      <c r="W41" s="430" t="n"/>
      <c r="X41" s="430" t="n"/>
      <c r="Y41" s="430" t="n"/>
      <c r="Z41" s="430" t="n"/>
      <c r="AA41" s="430" t="n"/>
      <c r="AB41" s="430" t="n"/>
      <c r="AC41" s="338" t="n"/>
      <c r="AD41" s="338" t="n"/>
      <c r="AE41" s="338" t="n"/>
      <c r="AF41" s="338" t="n"/>
      <c r="AG41" s="339" t="n"/>
      <c r="AH41" s="339" t="n"/>
      <c r="AI41" s="339" t="n"/>
      <c r="AJ41" s="339" t="n"/>
      <c r="AK41" s="339" t="n"/>
      <c r="AL41" s="339" t="n"/>
      <c r="AM41" s="339" t="n"/>
      <c r="AN41" s="339" t="n"/>
      <c r="AO41" s="339" t="n"/>
      <c r="AP41" s="339" t="n"/>
      <c r="AQ41" s="339" t="n"/>
      <c r="AR41" s="339" t="n"/>
      <c r="AS41" s="339" t="n"/>
      <c r="AT41" s="339" t="n"/>
      <c r="AU41" s="339" t="n"/>
      <c r="AV41" s="339" t="n"/>
      <c r="AW41" s="339" t="n"/>
      <c r="AX41" s="430" t="n"/>
      <c r="AY41" s="336" t="n"/>
      <c r="AZ41" s="336" t="n"/>
      <c r="BA41" s="336" t="n"/>
      <c r="BB41" s="336" t="n"/>
      <c r="BC41" s="336" t="n"/>
      <c r="BD41" s="336" t="n"/>
      <c r="BE41" s="336" t="n"/>
      <c r="BF41" s="336" t="n"/>
      <c r="BG41" s="336" t="n"/>
      <c r="BH41" s="336" t="n"/>
      <c r="BI41" s="336" t="n"/>
      <c r="BJ41" s="336" t="n"/>
      <c r="BK41" s="336" t="n"/>
      <c r="BL41" s="336" t="n"/>
      <c r="BM41" s="336" t="n"/>
      <c r="BN41" s="336" t="n"/>
      <c r="BO41" s="336" t="n"/>
      <c r="BP41" s="336" t="n"/>
      <c r="BQ41" s="336" t="n"/>
      <c r="BR41" s="336" t="n"/>
      <c r="BS41" s="336" t="n"/>
      <c r="BT41" s="336" t="n"/>
      <c r="BU41" s="336" t="n"/>
      <c r="BV41" s="336" t="n"/>
      <c r="BW41" s="336" t="n"/>
      <c r="BX41" s="336" t="n"/>
      <c r="BY41" s="336" t="n"/>
      <c r="BZ41" s="336" t="n"/>
      <c r="CA41" s="336" t="n"/>
      <c r="CB41" s="336" t="n"/>
      <c r="CC41" s="336" t="n"/>
      <c r="CD41" s="336" t="n"/>
      <c r="CE41" s="336" t="n"/>
    </row>
    <row r="42" customFormat="1" s="538">
      <c r="A42" s="342" t="n"/>
      <c r="B42" s="358" t="n"/>
      <c r="C42" s="344" t="n"/>
      <c r="D42" s="345" t="n"/>
      <c r="E42" s="346" t="n"/>
      <c r="F42" s="336" t="n"/>
      <c r="G42" s="336" t="n"/>
      <c r="H42" s="336" t="n"/>
      <c r="I42" s="336" t="n"/>
      <c r="J42" s="336" t="n"/>
      <c r="K42" s="336" t="n"/>
      <c r="L42" s="336" t="n"/>
      <c r="M42" s="336" t="n"/>
      <c r="N42" s="336" t="n"/>
      <c r="O42" s="336" t="n"/>
      <c r="P42" s="357" t="n"/>
      <c r="Q42" s="357" t="n"/>
      <c r="R42" s="357" t="n"/>
      <c r="S42" s="357" t="n"/>
      <c r="T42" s="357" t="n"/>
      <c r="U42" s="357" t="n"/>
      <c r="V42" s="357" t="n"/>
      <c r="W42" s="357" t="n"/>
      <c r="X42" s="357" t="n"/>
      <c r="Y42" s="357" t="n"/>
      <c r="Z42" s="357" t="n"/>
      <c r="AA42" s="357" t="n"/>
      <c r="AB42" s="336" t="n"/>
      <c r="AC42" s="338" t="n"/>
      <c r="AD42" s="338" t="n"/>
      <c r="AE42" s="338" t="n"/>
      <c r="AF42" s="338" t="n"/>
      <c r="AG42" s="339" t="n"/>
      <c r="AH42" s="339" t="n"/>
      <c r="AI42" s="339" t="n"/>
      <c r="AJ42" s="339" t="n"/>
      <c r="AK42" s="339" t="n"/>
      <c r="AL42" s="339" t="n"/>
      <c r="AM42" s="339" t="n"/>
      <c r="AN42" s="339" t="n"/>
      <c r="AO42" s="339" t="n"/>
      <c r="AP42" s="339" t="n"/>
      <c r="AQ42" s="339" t="n"/>
      <c r="AR42" s="339" t="n"/>
      <c r="AS42" s="339" t="n"/>
      <c r="AT42" s="339" t="n"/>
      <c r="AU42" s="339" t="n"/>
      <c r="AV42" s="339" t="n"/>
      <c r="AW42" s="339" t="n"/>
      <c r="AX42" s="357" t="n"/>
      <c r="AY42" s="336" t="n"/>
      <c r="AZ42" s="336" t="n"/>
      <c r="BA42" s="336" t="n"/>
      <c r="BB42" s="336" t="n"/>
      <c r="BC42" s="336" t="n"/>
      <c r="BD42" s="336" t="n"/>
      <c r="BE42" s="336" t="n"/>
      <c r="BF42" s="336" t="n"/>
      <c r="BG42" s="336" t="n"/>
      <c r="BH42" s="336" t="n"/>
      <c r="BI42" s="336" t="n"/>
      <c r="BJ42" s="336" t="n"/>
      <c r="BK42" s="336" t="n"/>
      <c r="BL42" s="336" t="n"/>
      <c r="BM42" s="336" t="n"/>
      <c r="BN42" s="336" t="n"/>
      <c r="BO42" s="336" t="n"/>
      <c r="BP42" s="336" t="n"/>
      <c r="BQ42" s="336" t="n"/>
      <c r="BR42" s="336" t="n"/>
      <c r="BS42" s="336" t="n"/>
      <c r="BT42" s="336" t="n"/>
      <c r="BU42" s="336" t="n"/>
      <c r="BV42" s="336" t="n"/>
      <c r="BW42" s="336" t="n"/>
      <c r="BX42" s="336" t="n"/>
      <c r="BY42" s="336" t="n"/>
      <c r="BZ42" s="336" t="n"/>
      <c r="CA42" s="336" t="n"/>
      <c r="CB42" s="336" t="n"/>
      <c r="CC42" s="336" t="n"/>
      <c r="CD42" s="336" t="n"/>
      <c r="CE42" s="336" t="n"/>
      <c r="CF42" s="361" t="n"/>
    </row>
    <row r="43" customFormat="1" s="538">
      <c r="A43" s="349" t="n"/>
      <c r="B43" s="350" t="n"/>
      <c r="C43" s="353" t="n"/>
      <c r="D43" s="333" t="n"/>
      <c r="E43" s="332" t="n"/>
      <c r="F43" s="336" t="n"/>
      <c r="G43" s="336" t="n"/>
      <c r="H43" s="335" t="n"/>
      <c r="I43" s="336" t="n"/>
      <c r="J43" s="336" t="n"/>
      <c r="K43" s="336" t="n"/>
      <c r="L43" s="336" t="n"/>
      <c r="M43" s="336" t="n"/>
      <c r="N43" s="336" t="n"/>
      <c r="O43" s="336" t="n"/>
      <c r="P43" s="430" t="n"/>
      <c r="Q43" s="430" t="n"/>
      <c r="R43" s="430" t="n"/>
      <c r="S43" s="430" t="n"/>
      <c r="T43" s="430" t="n"/>
      <c r="U43" s="430" t="n"/>
      <c r="V43" s="430" t="n"/>
      <c r="W43" s="430" t="n"/>
      <c r="X43" s="430" t="n"/>
      <c r="Y43" s="430" t="n"/>
      <c r="Z43" s="430" t="n"/>
      <c r="AA43" s="430" t="n"/>
      <c r="AB43" s="430" t="n"/>
      <c r="AC43" s="338" t="n"/>
      <c r="AD43" s="338" t="n"/>
      <c r="AE43" s="338" t="n"/>
      <c r="AF43" s="338" t="n"/>
      <c r="AG43" s="339" t="n"/>
      <c r="AH43" s="339" t="n"/>
      <c r="AI43" s="339" t="n"/>
      <c r="AJ43" s="339" t="n"/>
      <c r="AK43" s="339" t="n"/>
      <c r="AL43" s="339" t="n"/>
      <c r="AM43" s="339" t="n"/>
      <c r="AN43" s="339" t="n"/>
      <c r="AO43" s="339" t="n"/>
      <c r="AP43" s="339" t="n"/>
      <c r="AQ43" s="339" t="n"/>
      <c r="AR43" s="339" t="n"/>
      <c r="AS43" s="339" t="n"/>
      <c r="AT43" s="339" t="n"/>
      <c r="AU43" s="339" t="n"/>
      <c r="AV43" s="339" t="n"/>
      <c r="AW43" s="339" t="n"/>
      <c r="AX43" s="430" t="n"/>
      <c r="AY43" s="336" t="n"/>
      <c r="AZ43" s="336" t="n"/>
      <c r="BA43" s="336" t="n"/>
      <c r="BB43" s="336" t="n"/>
      <c r="BC43" s="336" t="n"/>
      <c r="BD43" s="336" t="n"/>
      <c r="BE43" s="336" t="n"/>
      <c r="BF43" s="336" t="n"/>
      <c r="BG43" s="336" t="n"/>
      <c r="BH43" s="336" t="n"/>
      <c r="BI43" s="336" t="n"/>
      <c r="BJ43" s="336" t="n"/>
      <c r="BK43" s="336" t="n"/>
      <c r="BL43" s="336" t="n"/>
      <c r="BM43" s="336" t="n"/>
      <c r="BN43" s="336" t="n"/>
      <c r="BO43" s="336" t="n"/>
      <c r="BP43" s="336" t="n"/>
      <c r="BQ43" s="336" t="n"/>
      <c r="BR43" s="336" t="n"/>
      <c r="BS43" s="336" t="n"/>
      <c r="BT43" s="336" t="n"/>
      <c r="BU43" s="336" t="n"/>
      <c r="BV43" s="336" t="n"/>
      <c r="BW43" s="336" t="n"/>
      <c r="BX43" s="336" t="n"/>
      <c r="BY43" s="336" t="n"/>
      <c r="BZ43" s="336" t="n"/>
      <c r="CA43" s="336" t="n"/>
      <c r="CB43" s="336" t="n"/>
      <c r="CC43" s="336" t="n"/>
      <c r="CD43" s="336" t="n"/>
      <c r="CE43" s="336" t="n"/>
    </row>
    <row r="44" customFormat="1" s="538">
      <c r="A44" s="349" t="n"/>
      <c r="B44" s="350" t="n"/>
      <c r="C44" s="353" t="n"/>
      <c r="D44" s="333" t="n"/>
      <c r="E44" s="332" t="n"/>
      <c r="F44" s="336" t="n"/>
      <c r="G44" s="336" t="n"/>
      <c r="H44" s="335" t="n"/>
      <c r="I44" s="336" t="n"/>
      <c r="J44" s="336" t="n"/>
      <c r="K44" s="336" t="n"/>
      <c r="L44" s="336" t="n"/>
      <c r="M44" s="336" t="n"/>
      <c r="N44" s="336" t="n"/>
      <c r="O44" s="336" t="n"/>
      <c r="P44" s="430" t="n"/>
      <c r="Q44" s="430" t="n"/>
      <c r="R44" s="430" t="n"/>
      <c r="S44" s="430" t="n"/>
      <c r="T44" s="430" t="n"/>
      <c r="U44" s="430" t="n"/>
      <c r="V44" s="430" t="n"/>
      <c r="W44" s="430" t="n"/>
      <c r="X44" s="430" t="n"/>
      <c r="Y44" s="430" t="n"/>
      <c r="Z44" s="430" t="n"/>
      <c r="AA44" s="430" t="n"/>
      <c r="AB44" s="430" t="n"/>
      <c r="AC44" s="357" t="n"/>
      <c r="AD44" s="357" t="n"/>
      <c r="AE44" s="357" t="n"/>
      <c r="AF44" s="357" t="n"/>
      <c r="AG44" s="339" t="n"/>
      <c r="AH44" s="339" t="n"/>
      <c r="AI44" s="339" t="n"/>
      <c r="AJ44" s="339" t="n"/>
      <c r="AK44" s="339" t="n"/>
      <c r="AL44" s="339" t="n"/>
      <c r="AM44" s="339" t="n"/>
      <c r="AN44" s="339" t="n"/>
      <c r="AO44" s="339" t="n"/>
      <c r="AP44" s="339" t="n"/>
      <c r="AQ44" s="339" t="n"/>
      <c r="AR44" s="339" t="n"/>
      <c r="AS44" s="339" t="n"/>
      <c r="AT44" s="357" t="n"/>
      <c r="AU44" s="357" t="n"/>
      <c r="AV44" s="357" t="n"/>
      <c r="AW44" s="357" t="n"/>
      <c r="AX44" s="430" t="n"/>
      <c r="AY44" s="336" t="n"/>
      <c r="AZ44" s="336" t="n"/>
      <c r="BA44" s="336" t="n"/>
      <c r="BB44" s="336" t="n"/>
      <c r="BC44" s="336" t="n"/>
      <c r="BD44" s="336" t="n"/>
      <c r="BE44" s="336" t="n"/>
      <c r="BF44" s="336" t="n"/>
      <c r="BG44" s="336" t="n"/>
      <c r="BH44" s="336" t="n"/>
      <c r="BI44" s="336" t="n"/>
      <c r="BJ44" s="336" t="n"/>
      <c r="BK44" s="336" t="n"/>
      <c r="BL44" s="336" t="n"/>
      <c r="BM44" s="336" t="n"/>
      <c r="BN44" s="336" t="n"/>
      <c r="BO44" s="336" t="n"/>
      <c r="BP44" s="336" t="n"/>
      <c r="BQ44" s="336" t="n"/>
      <c r="BR44" s="336" t="n"/>
      <c r="BS44" s="336" t="n"/>
      <c r="BT44" s="336" t="n"/>
      <c r="BU44" s="336" t="n"/>
      <c r="BV44" s="336" t="n"/>
      <c r="BW44" s="336" t="n"/>
      <c r="BX44" s="336" t="n"/>
      <c r="BY44" s="336" t="n"/>
      <c r="BZ44" s="336" t="n"/>
      <c r="CA44" s="336" t="n"/>
      <c r="CB44" s="336" t="n"/>
      <c r="CC44" s="336" t="n"/>
      <c r="CD44" s="336" t="n"/>
      <c r="CE44" s="336" t="n"/>
    </row>
    <row r="45" customFormat="1" s="538">
      <c r="A45" s="349" t="n"/>
      <c r="B45" s="350" t="n"/>
      <c r="C45" s="353" t="n"/>
      <c r="D45" s="333" t="n"/>
      <c r="E45" s="332" t="n"/>
      <c r="F45" s="336" t="n"/>
      <c r="G45" s="336" t="n"/>
      <c r="H45" s="335" t="n"/>
      <c r="I45" s="336" t="n"/>
      <c r="J45" s="336" t="n"/>
      <c r="K45" s="336" t="n"/>
      <c r="L45" s="336" t="n"/>
      <c r="M45" s="336" t="n"/>
      <c r="N45" s="336" t="n"/>
      <c r="O45" s="336" t="n"/>
      <c r="P45" s="430" t="n"/>
      <c r="Q45" s="430" t="n"/>
      <c r="R45" s="430" t="n"/>
      <c r="S45" s="430" t="n"/>
      <c r="T45" s="430" t="n"/>
      <c r="U45" s="430" t="n"/>
      <c r="V45" s="430" t="n"/>
      <c r="W45" s="430" t="n"/>
      <c r="X45" s="430" t="n"/>
      <c r="Y45" s="430" t="n"/>
      <c r="Z45" s="430" t="n"/>
      <c r="AA45" s="430" t="n"/>
      <c r="AB45" s="430" t="n"/>
      <c r="AC45" s="338" t="n"/>
      <c r="AD45" s="338" t="n"/>
      <c r="AE45" s="338" t="n"/>
      <c r="AF45" s="338" t="n"/>
      <c r="AG45" s="339" t="n"/>
      <c r="AH45" s="339" t="n"/>
      <c r="AI45" s="339" t="n"/>
      <c r="AJ45" s="339" t="n"/>
      <c r="AK45" s="339" t="n"/>
      <c r="AL45" s="339" t="n"/>
      <c r="AM45" s="339" t="n"/>
      <c r="AN45" s="339" t="n"/>
      <c r="AO45" s="339" t="n"/>
      <c r="AP45" s="339" t="n"/>
      <c r="AQ45" s="339" t="n"/>
      <c r="AR45" s="339" t="n"/>
      <c r="AS45" s="339" t="n"/>
      <c r="AT45" s="339" t="n"/>
      <c r="AU45" s="339" t="n"/>
      <c r="AV45" s="339" t="n"/>
      <c r="AW45" s="339" t="n"/>
      <c r="AX45" s="430" t="n"/>
      <c r="AY45" s="336" t="n"/>
      <c r="AZ45" s="336" t="n"/>
      <c r="BA45" s="336" t="n"/>
      <c r="BB45" s="336" t="n"/>
      <c r="BC45" s="336" t="n"/>
      <c r="BD45" s="336" t="n"/>
      <c r="BE45" s="336" t="n"/>
      <c r="BF45" s="336" t="n"/>
      <c r="BG45" s="336" t="n"/>
      <c r="BH45" s="336" t="n"/>
      <c r="BI45" s="336" t="n"/>
      <c r="BJ45" s="336" t="n"/>
      <c r="BK45" s="336" t="n"/>
      <c r="BL45" s="336" t="n"/>
      <c r="BM45" s="336" t="n"/>
      <c r="BN45" s="336" t="n"/>
      <c r="BO45" s="336" t="n"/>
      <c r="BP45" s="336" t="n"/>
      <c r="BQ45" s="336" t="n"/>
      <c r="BR45" s="336" t="n"/>
      <c r="BS45" s="336" t="n"/>
      <c r="BT45" s="336" t="n"/>
      <c r="BU45" s="336" t="n"/>
      <c r="BV45" s="336" t="n"/>
      <c r="BW45" s="336" t="n"/>
      <c r="BX45" s="336" t="n"/>
      <c r="BY45" s="336" t="n"/>
      <c r="BZ45" s="336" t="n"/>
      <c r="CA45" s="336" t="n"/>
      <c r="CB45" s="336" t="n"/>
      <c r="CC45" s="336" t="n"/>
      <c r="CD45" s="336" t="n"/>
      <c r="CE45" s="336" t="n"/>
    </row>
    <row r="46" customFormat="1" s="538">
      <c r="A46" s="349" t="n"/>
      <c r="B46" s="350" t="n"/>
      <c r="C46" s="353" t="n"/>
      <c r="D46" s="333" t="n"/>
      <c r="E46" s="332" t="n"/>
      <c r="F46" s="336" t="n"/>
      <c r="G46" s="336" t="n"/>
      <c r="H46" s="335" t="n"/>
      <c r="I46" s="336" t="n"/>
      <c r="J46" s="336" t="n"/>
      <c r="K46" s="336" t="n"/>
      <c r="L46" s="336" t="n"/>
      <c r="M46" s="336" t="n"/>
      <c r="N46" s="336" t="n"/>
      <c r="O46" s="336" t="n"/>
      <c r="P46" s="430" t="n"/>
      <c r="Q46" s="430" t="n"/>
      <c r="R46" s="430" t="n"/>
      <c r="S46" s="430" t="n"/>
      <c r="T46" s="430" t="n"/>
      <c r="U46" s="430" t="n"/>
      <c r="V46" s="430" t="n"/>
      <c r="W46" s="430" t="n"/>
      <c r="X46" s="430" t="n"/>
      <c r="Y46" s="430" t="n"/>
      <c r="Z46" s="430" t="n"/>
      <c r="AA46" s="430" t="n"/>
      <c r="AB46" s="430" t="n"/>
      <c r="AC46" s="338" t="n"/>
      <c r="AD46" s="338" t="n"/>
      <c r="AE46" s="338" t="n"/>
      <c r="AF46" s="338" t="n"/>
      <c r="AG46" s="339" t="n"/>
      <c r="AH46" s="339" t="n"/>
      <c r="AI46" s="339" t="n"/>
      <c r="AJ46" s="339" t="n"/>
      <c r="AK46" s="339" t="n"/>
      <c r="AL46" s="339" t="n"/>
      <c r="AM46" s="339" t="n"/>
      <c r="AN46" s="339" t="n"/>
      <c r="AO46" s="339" t="n"/>
      <c r="AP46" s="339" t="n"/>
      <c r="AQ46" s="339" t="n"/>
      <c r="AR46" s="339" t="n"/>
      <c r="AS46" s="339" t="n"/>
      <c r="AT46" s="339" t="n"/>
      <c r="AU46" s="339" t="n"/>
      <c r="AV46" s="339" t="n"/>
      <c r="AW46" s="339" t="n"/>
      <c r="AX46" s="430" t="n"/>
      <c r="AY46" s="336" t="n"/>
      <c r="AZ46" s="336" t="n"/>
      <c r="BA46" s="336" t="n"/>
      <c r="BB46" s="336" t="n"/>
      <c r="BC46" s="336" t="n"/>
      <c r="BD46" s="336" t="n"/>
      <c r="BE46" s="336" t="n"/>
      <c r="BF46" s="336" t="n"/>
      <c r="BG46" s="336" t="n"/>
      <c r="BH46" s="336" t="n"/>
      <c r="BI46" s="336" t="n"/>
      <c r="BJ46" s="336" t="n"/>
      <c r="BK46" s="336" t="n"/>
      <c r="BL46" s="336" t="n"/>
      <c r="BM46" s="336" t="n"/>
      <c r="BN46" s="336" t="n"/>
      <c r="BO46" s="336" t="n"/>
      <c r="BP46" s="336" t="n"/>
      <c r="BQ46" s="336" t="n"/>
      <c r="BR46" s="336" t="n"/>
      <c r="BS46" s="336" t="n"/>
      <c r="BT46" s="336" t="n"/>
      <c r="BU46" s="336" t="n"/>
      <c r="BV46" s="336" t="n"/>
      <c r="BW46" s="336" t="n"/>
      <c r="BX46" s="336" t="n"/>
      <c r="BY46" s="336" t="n"/>
      <c r="BZ46" s="336" t="n"/>
      <c r="CA46" s="336" t="n"/>
      <c r="CB46" s="336" t="n"/>
      <c r="CC46" s="336" t="n"/>
      <c r="CD46" s="336" t="n"/>
      <c r="CE46" s="336" t="n"/>
    </row>
    <row r="47" customFormat="1" s="538">
      <c r="A47" s="349" t="n"/>
      <c r="B47" s="350" t="n"/>
      <c r="C47" s="353" t="n"/>
      <c r="D47" s="333" t="n"/>
      <c r="E47" s="332" t="n"/>
      <c r="F47" s="336" t="n"/>
      <c r="G47" s="336" t="n"/>
      <c r="H47" s="335" t="n"/>
      <c r="I47" s="336" t="n"/>
      <c r="J47" s="336" t="n"/>
      <c r="K47" s="336" t="n"/>
      <c r="L47" s="336" t="n"/>
      <c r="M47" s="336" t="n"/>
      <c r="N47" s="336" t="n"/>
      <c r="O47" s="336" t="n"/>
      <c r="P47" s="430" t="n"/>
      <c r="Q47" s="430" t="n"/>
      <c r="R47" s="430" t="n"/>
      <c r="S47" s="430" t="n"/>
      <c r="T47" s="430" t="n"/>
      <c r="U47" s="430" t="n"/>
      <c r="V47" s="430" t="n"/>
      <c r="W47" s="430" t="n"/>
      <c r="X47" s="430" t="n"/>
      <c r="Y47" s="430" t="n"/>
      <c r="Z47" s="430" t="n"/>
      <c r="AA47" s="430" t="n"/>
      <c r="AB47" s="430" t="n"/>
      <c r="AC47" s="338" t="n"/>
      <c r="AD47" s="338" t="n"/>
      <c r="AE47" s="338" t="n"/>
      <c r="AF47" s="338" t="n"/>
      <c r="AG47" s="339" t="n"/>
      <c r="AH47" s="339" t="n"/>
      <c r="AI47" s="339" t="n"/>
      <c r="AJ47" s="339" t="n"/>
      <c r="AK47" s="339" t="n"/>
      <c r="AL47" s="339" t="n"/>
      <c r="AM47" s="339" t="n"/>
      <c r="AN47" s="339" t="n"/>
      <c r="AO47" s="339" t="n"/>
      <c r="AP47" s="339" t="n"/>
      <c r="AQ47" s="339" t="n"/>
      <c r="AR47" s="339" t="n"/>
      <c r="AS47" s="339" t="n"/>
      <c r="AT47" s="339" t="n"/>
      <c r="AU47" s="339" t="n"/>
      <c r="AV47" s="339" t="n"/>
      <c r="AW47" s="339" t="n"/>
      <c r="AX47" s="430" t="n"/>
      <c r="AY47" s="336" t="n"/>
      <c r="AZ47" s="336" t="n"/>
      <c r="BA47" s="336" t="n"/>
      <c r="BB47" s="336" t="n"/>
      <c r="BC47" s="336" t="n"/>
      <c r="BD47" s="336" t="n"/>
      <c r="BE47" s="336" t="n"/>
      <c r="BF47" s="336" t="n"/>
      <c r="BG47" s="336" t="n"/>
      <c r="BH47" s="336" t="n"/>
      <c r="BI47" s="336" t="n"/>
      <c r="BJ47" s="336" t="n"/>
      <c r="BK47" s="336" t="n"/>
      <c r="BL47" s="336" t="n"/>
      <c r="BM47" s="336" t="n"/>
      <c r="BN47" s="336" t="n"/>
      <c r="BO47" s="336" t="n"/>
      <c r="BP47" s="336" t="n"/>
      <c r="BQ47" s="336" t="n"/>
      <c r="BR47" s="336" t="n"/>
      <c r="BS47" s="336" t="n"/>
      <c r="BT47" s="336" t="n"/>
      <c r="BU47" s="336" t="n"/>
      <c r="BV47" s="336" t="n"/>
      <c r="BW47" s="336" t="n"/>
      <c r="BX47" s="336" t="n"/>
      <c r="BY47" s="336" t="n"/>
      <c r="BZ47" s="336" t="n"/>
      <c r="CA47" s="336" t="n"/>
      <c r="CB47" s="336" t="n"/>
      <c r="CC47" s="336" t="n"/>
      <c r="CD47" s="336" t="n"/>
      <c r="CE47" s="336" t="n"/>
    </row>
    <row r="48" customFormat="1" s="538">
      <c r="A48" s="358" t="n"/>
      <c r="B48" s="358" t="n"/>
      <c r="C48" s="344" t="n"/>
      <c r="D48" s="345" t="n"/>
      <c r="E48" s="346" t="n"/>
      <c r="F48" s="336" t="n"/>
      <c r="G48" s="336" t="n"/>
      <c r="H48" s="336" t="n"/>
      <c r="I48" s="336" t="n"/>
      <c r="J48" s="336" t="n"/>
      <c r="K48" s="336" t="n"/>
      <c r="L48" s="336" t="n"/>
      <c r="M48" s="336" t="n"/>
      <c r="N48" s="336" t="n"/>
      <c r="O48" s="336" t="n"/>
      <c r="P48" s="357" t="n"/>
      <c r="Q48" s="357" t="n"/>
      <c r="R48" s="357" t="n"/>
      <c r="S48" s="357" t="n"/>
      <c r="T48" s="357" t="n"/>
      <c r="U48" s="357" t="n"/>
      <c r="V48" s="357" t="n"/>
      <c r="W48" s="357" t="n"/>
      <c r="X48" s="357" t="n"/>
      <c r="Y48" s="357" t="n"/>
      <c r="Z48" s="357" t="n"/>
      <c r="AA48" s="357" t="n"/>
      <c r="AB48" s="336" t="n"/>
      <c r="AC48" s="357" t="n"/>
      <c r="AD48" s="357" t="n"/>
      <c r="AE48" s="357" t="n"/>
      <c r="AF48" s="357" t="n"/>
      <c r="AG48" s="339" t="n"/>
      <c r="AH48" s="339" t="n"/>
      <c r="AI48" s="339" t="n"/>
      <c r="AJ48" s="339" t="n"/>
      <c r="AK48" s="339" t="n"/>
      <c r="AL48" s="339" t="n"/>
      <c r="AM48" s="339" t="n"/>
      <c r="AN48" s="339" t="n"/>
      <c r="AO48" s="339" t="n"/>
      <c r="AP48" s="339" t="n"/>
      <c r="AQ48" s="339" t="n"/>
      <c r="AR48" s="339" t="n"/>
      <c r="AS48" s="339" t="n"/>
      <c r="AT48" s="357" t="n"/>
      <c r="AU48" s="357" t="n"/>
      <c r="AV48" s="357" t="n"/>
      <c r="AW48" s="357" t="n"/>
      <c r="AX48" s="357" t="n"/>
      <c r="AY48" s="336" t="n"/>
      <c r="AZ48" s="336" t="n"/>
      <c r="BA48" s="336" t="n"/>
      <c r="BB48" s="336" t="n"/>
      <c r="BC48" s="336" t="n"/>
      <c r="BD48" s="336" t="n"/>
      <c r="BE48" s="336" t="n"/>
      <c r="BF48" s="336" t="n"/>
      <c r="BG48" s="336" t="n"/>
      <c r="BH48" s="336" t="n"/>
      <c r="BI48" s="336" t="n"/>
      <c r="BJ48" s="336" t="n"/>
      <c r="BK48" s="336" t="n"/>
      <c r="BL48" s="336" t="n"/>
      <c r="BM48" s="336" t="n"/>
      <c r="BN48" s="336" t="n"/>
      <c r="BO48" s="336" t="n"/>
      <c r="BP48" s="336" t="n"/>
      <c r="BQ48" s="336" t="n"/>
      <c r="BR48" s="336" t="n"/>
      <c r="BS48" s="336" t="n"/>
      <c r="BT48" s="336" t="n"/>
      <c r="BU48" s="336" t="n"/>
      <c r="BV48" s="336" t="n"/>
      <c r="BW48" s="336" t="n"/>
      <c r="BX48" s="336" t="n"/>
      <c r="BY48" s="336" t="n"/>
      <c r="BZ48" s="336" t="n"/>
      <c r="CA48" s="336" t="n"/>
      <c r="CB48" s="336" t="n"/>
      <c r="CC48" s="336" t="n"/>
      <c r="CD48" s="336" t="n"/>
      <c r="CE48" s="336" t="n"/>
      <c r="CF48" s="361" t="n"/>
    </row>
    <row r="49" customFormat="1" s="538">
      <c r="A49" s="350" t="n"/>
      <c r="B49" s="350" t="n"/>
      <c r="C49" s="353" t="n"/>
      <c r="D49" s="333" t="n"/>
      <c r="E49" s="332" t="n"/>
      <c r="F49" s="336" t="n"/>
      <c r="G49" s="336" t="n"/>
      <c r="H49" s="335" t="n"/>
      <c r="I49" s="336" t="n"/>
      <c r="J49" s="336" t="n"/>
      <c r="K49" s="336" t="n"/>
      <c r="L49" s="336" t="n"/>
      <c r="M49" s="336" t="n"/>
      <c r="N49" s="336" t="n"/>
      <c r="O49" s="336" t="n"/>
      <c r="P49" s="430" t="n"/>
      <c r="Q49" s="430" t="n"/>
      <c r="R49" s="430" t="n"/>
      <c r="S49" s="430" t="n"/>
      <c r="T49" s="430" t="n"/>
      <c r="U49" s="430" t="n"/>
      <c r="V49" s="430" t="n"/>
      <c r="W49" s="430" t="n"/>
      <c r="X49" s="430" t="n"/>
      <c r="Y49" s="430" t="n"/>
      <c r="Z49" s="430" t="n"/>
      <c r="AA49" s="430" t="n"/>
      <c r="AB49" s="430" t="n"/>
      <c r="AC49" s="338" t="n"/>
      <c r="AD49" s="338" t="n"/>
      <c r="AE49" s="338" t="n"/>
      <c r="AF49" s="338" t="n"/>
      <c r="AG49" s="339" t="n"/>
      <c r="AH49" s="339" t="n"/>
      <c r="AI49" s="339" t="n"/>
      <c r="AJ49" s="339" t="n"/>
      <c r="AK49" s="339" t="n"/>
      <c r="AL49" s="339" t="n"/>
      <c r="AM49" s="339" t="n"/>
      <c r="AN49" s="339" t="n"/>
      <c r="AO49" s="339" t="n"/>
      <c r="AP49" s="339" t="n"/>
      <c r="AQ49" s="339" t="n"/>
      <c r="AR49" s="339" t="n"/>
      <c r="AS49" s="339" t="n"/>
      <c r="AT49" s="339" t="n"/>
      <c r="AU49" s="339" t="n"/>
      <c r="AV49" s="339" t="n"/>
      <c r="AW49" s="339" t="n"/>
      <c r="AX49" s="430" t="n"/>
      <c r="AY49" s="336" t="n"/>
      <c r="AZ49" s="336" t="n"/>
      <c r="BA49" s="336" t="n"/>
      <c r="BB49" s="336" t="n"/>
      <c r="BC49" s="336" t="n"/>
      <c r="BD49" s="336" t="n"/>
      <c r="BE49" s="336" t="n"/>
      <c r="BF49" s="336" t="n"/>
      <c r="BG49" s="336" t="n"/>
      <c r="BH49" s="336" t="n"/>
      <c r="BI49" s="336" t="n"/>
      <c r="BJ49" s="336" t="n"/>
      <c r="BK49" s="336" t="n"/>
      <c r="BL49" s="336" t="n"/>
      <c r="BM49" s="336" t="n"/>
      <c r="BN49" s="336" t="n"/>
      <c r="BO49" s="336" t="n"/>
      <c r="BP49" s="336" t="n"/>
      <c r="BQ49" s="336" t="n"/>
      <c r="BR49" s="336" t="n"/>
      <c r="BS49" s="336" t="n"/>
      <c r="BT49" s="336" t="n"/>
      <c r="BU49" s="336" t="n"/>
      <c r="BV49" s="336" t="n"/>
      <c r="BW49" s="336" t="n"/>
      <c r="BX49" s="336" t="n"/>
      <c r="BY49" s="336" t="n"/>
      <c r="BZ49" s="336" t="n"/>
      <c r="CA49" s="336" t="n"/>
      <c r="CB49" s="336" t="n"/>
      <c r="CC49" s="336" t="n"/>
      <c r="CD49" s="336" t="n"/>
      <c r="CE49" s="336" t="n"/>
    </row>
    <row r="50" customFormat="1" s="538">
      <c r="A50" s="350" t="n"/>
      <c r="B50" s="350" t="n"/>
      <c r="C50" s="353" t="n"/>
      <c r="D50" s="333" t="n"/>
      <c r="E50" s="332" t="n"/>
      <c r="F50" s="336" t="n"/>
      <c r="G50" s="336" t="n"/>
      <c r="H50" s="335" t="n"/>
      <c r="I50" s="336" t="n"/>
      <c r="J50" s="336" t="n"/>
      <c r="K50" s="336" t="n"/>
      <c r="L50" s="336" t="n"/>
      <c r="M50" s="336" t="n"/>
      <c r="N50" s="336" t="n"/>
      <c r="O50" s="336" t="n"/>
      <c r="P50" s="430" t="n"/>
      <c r="Q50" s="430" t="n"/>
      <c r="R50" s="430" t="n"/>
      <c r="S50" s="430" t="n"/>
      <c r="T50" s="430" t="n"/>
      <c r="U50" s="430" t="n"/>
      <c r="V50" s="430" t="n"/>
      <c r="W50" s="430" t="n"/>
      <c r="X50" s="430" t="n"/>
      <c r="Y50" s="430" t="n"/>
      <c r="Z50" s="430" t="n"/>
      <c r="AA50" s="430" t="n"/>
      <c r="AB50" s="430" t="n"/>
      <c r="AC50" s="338" t="n"/>
      <c r="AD50" s="338" t="n"/>
      <c r="AE50" s="338" t="n"/>
      <c r="AF50" s="338" t="n"/>
      <c r="AG50" s="339" t="n"/>
      <c r="AH50" s="339" t="n"/>
      <c r="AI50" s="339" t="n"/>
      <c r="AJ50" s="339" t="n"/>
      <c r="AK50" s="339" t="n"/>
      <c r="AL50" s="339" t="n"/>
      <c r="AM50" s="339" t="n"/>
      <c r="AN50" s="339" t="n"/>
      <c r="AO50" s="339" t="n"/>
      <c r="AP50" s="339" t="n"/>
      <c r="AQ50" s="339" t="n"/>
      <c r="AR50" s="339" t="n"/>
      <c r="AS50" s="339" t="n"/>
      <c r="AT50" s="339" t="n"/>
      <c r="AU50" s="339" t="n"/>
      <c r="AV50" s="339" t="n"/>
      <c r="AW50" s="339" t="n"/>
      <c r="AX50" s="430" t="n"/>
      <c r="AY50" s="336" t="n"/>
      <c r="AZ50" s="336" t="n"/>
      <c r="BA50" s="336" t="n"/>
      <c r="BB50" s="336" t="n"/>
      <c r="BC50" s="336" t="n"/>
      <c r="BD50" s="336" t="n"/>
      <c r="BE50" s="336" t="n"/>
      <c r="BF50" s="336" t="n"/>
      <c r="BG50" s="336" t="n"/>
      <c r="BH50" s="336" t="n"/>
      <c r="BI50" s="336" t="n"/>
      <c r="BJ50" s="336" t="n"/>
      <c r="BK50" s="336" t="n"/>
      <c r="BL50" s="336" t="n"/>
      <c r="BM50" s="336" t="n"/>
      <c r="BN50" s="336" t="n"/>
      <c r="BO50" s="336" t="n"/>
      <c r="BP50" s="336" t="n"/>
      <c r="BQ50" s="336" t="n"/>
      <c r="BR50" s="336" t="n"/>
      <c r="BS50" s="336" t="n"/>
      <c r="BT50" s="336" t="n"/>
      <c r="BU50" s="336" t="n"/>
      <c r="BV50" s="336" t="n"/>
      <c r="BW50" s="336" t="n"/>
      <c r="BX50" s="336" t="n"/>
      <c r="BY50" s="336" t="n"/>
      <c r="BZ50" s="336" t="n"/>
      <c r="CA50" s="336" t="n"/>
      <c r="CB50" s="336" t="n"/>
      <c r="CC50" s="336" t="n"/>
      <c r="CD50" s="336" t="n"/>
      <c r="CE50" s="336" t="n"/>
    </row>
    <row r="51" customFormat="1" s="538">
      <c r="A51" s="350" t="n"/>
      <c r="B51" s="350" t="n"/>
      <c r="C51" s="353" t="n"/>
      <c r="D51" s="333" t="n"/>
      <c r="E51" s="332" t="n"/>
      <c r="F51" s="336" t="n"/>
      <c r="G51" s="336" t="n"/>
      <c r="H51" s="335" t="n"/>
      <c r="I51" s="336" t="n"/>
      <c r="J51" s="336" t="n"/>
      <c r="K51" s="336" t="n"/>
      <c r="L51" s="336" t="n"/>
      <c r="M51" s="336" t="n"/>
      <c r="N51" s="336" t="n"/>
      <c r="O51" s="336" t="n"/>
      <c r="P51" s="430" t="n"/>
      <c r="Q51" s="430" t="n"/>
      <c r="R51" s="430" t="n"/>
      <c r="S51" s="430" t="n"/>
      <c r="T51" s="430" t="n"/>
      <c r="U51" s="430" t="n"/>
      <c r="V51" s="430" t="n"/>
      <c r="W51" s="430" t="n"/>
      <c r="X51" s="430" t="n"/>
      <c r="Y51" s="430" t="n"/>
      <c r="Z51" s="430" t="n"/>
      <c r="AA51" s="430" t="n"/>
      <c r="AB51" s="430" t="n"/>
      <c r="AC51" s="338" t="n"/>
      <c r="AD51" s="338" t="n"/>
      <c r="AE51" s="338" t="n"/>
      <c r="AF51" s="338" t="n"/>
      <c r="AG51" s="339" t="n"/>
      <c r="AH51" s="339" t="n"/>
      <c r="AI51" s="339" t="n"/>
      <c r="AJ51" s="339" t="n"/>
      <c r="AK51" s="339" t="n"/>
      <c r="AL51" s="339" t="n"/>
      <c r="AM51" s="339" t="n"/>
      <c r="AN51" s="339" t="n"/>
      <c r="AO51" s="339" t="n"/>
      <c r="AP51" s="339" t="n"/>
      <c r="AQ51" s="339" t="n"/>
      <c r="AR51" s="339" t="n"/>
      <c r="AS51" s="339" t="n"/>
      <c r="AT51" s="339" t="n"/>
      <c r="AU51" s="339" t="n"/>
      <c r="AV51" s="339" t="n"/>
      <c r="AW51" s="339" t="n"/>
      <c r="AX51" s="430" t="n"/>
      <c r="AY51" s="336" t="n"/>
      <c r="AZ51" s="336" t="n"/>
      <c r="BA51" s="336" t="n"/>
      <c r="BB51" s="336" t="n"/>
      <c r="BC51" s="336" t="n"/>
      <c r="BD51" s="336" t="n"/>
      <c r="BE51" s="336" t="n"/>
      <c r="BF51" s="336" t="n"/>
      <c r="BG51" s="336" t="n"/>
      <c r="BH51" s="336" t="n"/>
      <c r="BI51" s="336" t="n"/>
      <c r="BJ51" s="336" t="n"/>
      <c r="BK51" s="336" t="n"/>
      <c r="BL51" s="336" t="n"/>
      <c r="BM51" s="336" t="n"/>
      <c r="BN51" s="336" t="n"/>
      <c r="BO51" s="336" t="n"/>
      <c r="BP51" s="336" t="n"/>
      <c r="BQ51" s="336" t="n"/>
      <c r="BR51" s="336" t="n"/>
      <c r="BS51" s="336" t="n"/>
      <c r="BT51" s="336" t="n"/>
      <c r="BU51" s="336" t="n"/>
      <c r="BV51" s="336" t="n"/>
      <c r="BW51" s="336" t="n"/>
      <c r="BX51" s="336" t="n"/>
      <c r="BY51" s="336" t="n"/>
      <c r="BZ51" s="336" t="n"/>
      <c r="CA51" s="336" t="n"/>
      <c r="CB51" s="336" t="n"/>
      <c r="CC51" s="336" t="n"/>
      <c r="CD51" s="336" t="n"/>
      <c r="CE51" s="336" t="n"/>
    </row>
    <row r="52" customFormat="1" s="538">
      <c r="A52" s="342" t="n"/>
      <c r="B52" s="358" t="n"/>
      <c r="C52" s="344" t="n"/>
      <c r="D52" s="345" t="n"/>
      <c r="E52" s="346" t="n"/>
      <c r="F52" s="336" t="n"/>
      <c r="G52" s="336" t="n"/>
      <c r="H52" s="336" t="n"/>
      <c r="I52" s="336" t="n"/>
      <c r="J52" s="336" t="n"/>
      <c r="K52" s="336" t="n"/>
      <c r="L52" s="336" t="n"/>
      <c r="M52" s="336" t="n"/>
      <c r="N52" s="336" t="n"/>
      <c r="O52" s="336" t="n"/>
      <c r="P52" s="357" t="n"/>
      <c r="Q52" s="357" t="n"/>
      <c r="R52" s="357" t="n"/>
      <c r="S52" s="357" t="n"/>
      <c r="T52" s="357" t="n"/>
      <c r="U52" s="357" t="n"/>
      <c r="V52" s="357" t="n"/>
      <c r="W52" s="357" t="n"/>
      <c r="X52" s="357" t="n"/>
      <c r="Y52" s="357" t="n"/>
      <c r="Z52" s="357" t="n"/>
      <c r="AA52" s="357" t="n"/>
      <c r="AB52" s="336" t="n"/>
      <c r="AC52" s="338" t="n"/>
      <c r="AD52" s="338" t="n"/>
      <c r="AE52" s="338" t="n"/>
      <c r="AF52" s="338" t="n"/>
      <c r="AG52" s="339" t="n"/>
      <c r="AH52" s="339" t="n"/>
      <c r="AI52" s="339" t="n"/>
      <c r="AJ52" s="339" t="n"/>
      <c r="AK52" s="339" t="n"/>
      <c r="AL52" s="339" t="n"/>
      <c r="AM52" s="339" t="n"/>
      <c r="AN52" s="339" t="n"/>
      <c r="AO52" s="339" t="n"/>
      <c r="AP52" s="339" t="n"/>
      <c r="AQ52" s="339" t="n"/>
      <c r="AR52" s="339" t="n"/>
      <c r="AS52" s="339" t="n"/>
      <c r="AT52" s="339" t="n"/>
      <c r="AU52" s="339" t="n"/>
      <c r="AV52" s="339" t="n"/>
      <c r="AW52" s="339" t="n"/>
      <c r="AX52" s="357" t="n"/>
      <c r="AY52" s="336" t="n"/>
      <c r="AZ52" s="336" t="n"/>
      <c r="BA52" s="336" t="n"/>
      <c r="BB52" s="336" t="n"/>
      <c r="BC52" s="336" t="n"/>
      <c r="BD52" s="336" t="n"/>
      <c r="BE52" s="336" t="n"/>
      <c r="BF52" s="336" t="n"/>
      <c r="BG52" s="336" t="n"/>
      <c r="BH52" s="336" t="n"/>
      <c r="BI52" s="336" t="n"/>
      <c r="BJ52" s="336" t="n"/>
      <c r="BK52" s="336" t="n"/>
      <c r="BL52" s="336" t="n"/>
      <c r="BM52" s="336" t="n"/>
      <c r="BN52" s="336" t="n"/>
      <c r="BO52" s="336" t="n"/>
      <c r="BP52" s="336" t="n"/>
      <c r="BQ52" s="336" t="n"/>
      <c r="BR52" s="336" t="n"/>
      <c r="BS52" s="336" t="n"/>
      <c r="BT52" s="336" t="n"/>
      <c r="BU52" s="336" t="n"/>
      <c r="BV52" s="336" t="n"/>
      <c r="BW52" s="336" t="n"/>
      <c r="BX52" s="336" t="n"/>
      <c r="BY52" s="336" t="n"/>
      <c r="BZ52" s="336" t="n"/>
      <c r="CA52" s="336" t="n"/>
      <c r="CB52" s="336" t="n"/>
      <c r="CC52" s="336" t="n"/>
      <c r="CD52" s="336" t="n"/>
      <c r="CE52" s="336" t="n"/>
      <c r="CF52" s="361" t="n"/>
    </row>
    <row r="53" customFormat="1" s="538">
      <c r="A53" s="349" t="n"/>
      <c r="B53" s="350" t="n"/>
      <c r="C53" s="353" t="n"/>
      <c r="D53" s="333" t="n"/>
      <c r="E53" s="332" t="n"/>
      <c r="F53" s="336" t="n"/>
      <c r="G53" s="336" t="n"/>
      <c r="H53" s="335" t="n"/>
      <c r="I53" s="336" t="n"/>
      <c r="J53" s="336" t="n"/>
      <c r="K53" s="336" t="n"/>
      <c r="L53" s="336" t="n"/>
      <c r="M53" s="336" t="n"/>
      <c r="N53" s="336" t="n"/>
      <c r="O53" s="336" t="n"/>
      <c r="P53" s="430" t="n"/>
      <c r="Q53" s="430" t="n"/>
      <c r="R53" s="430" t="n"/>
      <c r="S53" s="430" t="n"/>
      <c r="T53" s="430" t="n"/>
      <c r="U53" s="430" t="n"/>
      <c r="V53" s="430" t="n"/>
      <c r="W53" s="430" t="n"/>
      <c r="X53" s="430" t="n"/>
      <c r="Y53" s="430" t="n"/>
      <c r="Z53" s="430" t="n"/>
      <c r="AA53" s="430" t="n"/>
      <c r="AB53" s="430" t="n"/>
      <c r="AC53" s="338" t="n"/>
      <c r="AD53" s="338" t="n"/>
      <c r="AE53" s="338" t="n"/>
      <c r="AF53" s="338" t="n"/>
      <c r="AG53" s="339" t="n"/>
      <c r="AH53" s="339" t="n"/>
      <c r="AI53" s="339" t="n"/>
      <c r="AJ53" s="339" t="n"/>
      <c r="AK53" s="339" t="n"/>
      <c r="AL53" s="339" t="n"/>
      <c r="AM53" s="339" t="n"/>
      <c r="AN53" s="339" t="n"/>
      <c r="AO53" s="339" t="n"/>
      <c r="AP53" s="339" t="n"/>
      <c r="AQ53" s="339" t="n"/>
      <c r="AR53" s="339" t="n"/>
      <c r="AS53" s="339" t="n"/>
      <c r="AT53" s="339" t="n"/>
      <c r="AU53" s="339" t="n"/>
      <c r="AV53" s="339" t="n"/>
      <c r="AW53" s="339" t="n"/>
      <c r="AX53" s="430" t="n"/>
      <c r="AY53" s="336" t="n"/>
      <c r="AZ53" s="336" t="n"/>
      <c r="BA53" s="336" t="n"/>
      <c r="BB53" s="336" t="n"/>
      <c r="BC53" s="336" t="n"/>
      <c r="BD53" s="336" t="n"/>
      <c r="BE53" s="336" t="n"/>
      <c r="BF53" s="336" t="n"/>
      <c r="BG53" s="336" t="n"/>
      <c r="BH53" s="336" t="n"/>
      <c r="BI53" s="336" t="n"/>
      <c r="BJ53" s="336" t="n"/>
      <c r="BK53" s="336" t="n"/>
      <c r="BL53" s="336" t="n"/>
      <c r="BM53" s="336" t="n"/>
      <c r="BN53" s="336" t="n"/>
      <c r="BO53" s="336" t="n"/>
      <c r="BP53" s="336" t="n"/>
      <c r="BQ53" s="336" t="n"/>
      <c r="BR53" s="336" t="n"/>
      <c r="BS53" s="336" t="n"/>
      <c r="BT53" s="336" t="n"/>
      <c r="BU53" s="336" t="n"/>
      <c r="BV53" s="336" t="n"/>
      <c r="BW53" s="336" t="n"/>
      <c r="BX53" s="336" t="n"/>
      <c r="BY53" s="336" t="n"/>
      <c r="BZ53" s="336" t="n"/>
      <c r="CA53" s="336" t="n"/>
      <c r="CB53" s="336" t="n"/>
      <c r="CC53" s="336" t="n"/>
      <c r="CD53" s="336" t="n"/>
      <c r="CE53" s="336" t="n"/>
    </row>
    <row r="54" customFormat="1" s="538">
      <c r="A54" s="349" t="n"/>
      <c r="B54" s="350" t="n"/>
      <c r="C54" s="353" t="n"/>
      <c r="D54" s="333" t="n"/>
      <c r="E54" s="332" t="n"/>
      <c r="F54" s="336" t="n"/>
      <c r="G54" s="336" t="n"/>
      <c r="H54" s="335" t="n"/>
      <c r="I54" s="336" t="n"/>
      <c r="J54" s="336" t="n"/>
      <c r="K54" s="336" t="n"/>
      <c r="L54" s="336" t="n"/>
      <c r="M54" s="336" t="n"/>
      <c r="N54" s="336" t="n"/>
      <c r="O54" s="336" t="n"/>
      <c r="P54" s="430" t="n"/>
      <c r="Q54" s="430" t="n"/>
      <c r="R54" s="430" t="n"/>
      <c r="S54" s="430" t="n"/>
      <c r="T54" s="430" t="n"/>
      <c r="U54" s="430" t="n"/>
      <c r="V54" s="430" t="n"/>
      <c r="W54" s="430" t="n"/>
      <c r="X54" s="430" t="n"/>
      <c r="Y54" s="430" t="n"/>
      <c r="Z54" s="430" t="n"/>
      <c r="AA54" s="430" t="n"/>
      <c r="AB54" s="430" t="n"/>
      <c r="AC54" s="357" t="n"/>
      <c r="AD54" s="357" t="n"/>
      <c r="AE54" s="357" t="n"/>
      <c r="AF54" s="357" t="n"/>
      <c r="AG54" s="339" t="n"/>
      <c r="AH54" s="339" t="n"/>
      <c r="AI54" s="339" t="n"/>
      <c r="AJ54" s="339" t="n"/>
      <c r="AK54" s="339" t="n"/>
      <c r="AL54" s="339" t="n"/>
      <c r="AM54" s="339" t="n"/>
      <c r="AN54" s="339" t="n"/>
      <c r="AO54" s="339" t="n"/>
      <c r="AP54" s="339" t="n"/>
      <c r="AQ54" s="339" t="n"/>
      <c r="AR54" s="339" t="n"/>
      <c r="AS54" s="339" t="n"/>
      <c r="AT54" s="357" t="n"/>
      <c r="AU54" s="357" t="n"/>
      <c r="AV54" s="357" t="n"/>
      <c r="AW54" s="357" t="n"/>
      <c r="AX54" s="430" t="n"/>
      <c r="AY54" s="336" t="n"/>
      <c r="AZ54" s="336" t="n"/>
      <c r="BA54" s="336" t="n"/>
      <c r="BB54" s="336" t="n"/>
      <c r="BC54" s="336" t="n"/>
      <c r="BD54" s="336" t="n"/>
      <c r="BE54" s="336" t="n"/>
      <c r="BF54" s="336" t="n"/>
      <c r="BG54" s="336" t="n"/>
      <c r="BH54" s="336" t="n"/>
      <c r="BI54" s="336" t="n"/>
      <c r="BJ54" s="336" t="n"/>
      <c r="BK54" s="336" t="n"/>
      <c r="BL54" s="336" t="n"/>
      <c r="BM54" s="336" t="n"/>
      <c r="BN54" s="336" t="n"/>
      <c r="BO54" s="336" t="n"/>
      <c r="BP54" s="336" t="n"/>
      <c r="BQ54" s="336" t="n"/>
      <c r="BR54" s="336" t="n"/>
      <c r="BS54" s="336" t="n"/>
      <c r="BT54" s="336" t="n"/>
      <c r="BU54" s="336" t="n"/>
      <c r="BV54" s="336" t="n"/>
      <c r="BW54" s="336" t="n"/>
      <c r="BX54" s="336" t="n"/>
      <c r="BY54" s="336" t="n"/>
      <c r="BZ54" s="336" t="n"/>
      <c r="CA54" s="336" t="n"/>
      <c r="CB54" s="336" t="n"/>
      <c r="CC54" s="336" t="n"/>
      <c r="CD54" s="336" t="n"/>
      <c r="CE54" s="336" t="n"/>
    </row>
    <row r="55" customFormat="1" s="538">
      <c r="A55" s="349" t="n"/>
      <c r="B55" s="350" t="n"/>
      <c r="C55" s="353" t="n"/>
      <c r="D55" s="333" t="n"/>
      <c r="E55" s="332" t="n"/>
      <c r="F55" s="336" t="n"/>
      <c r="G55" s="336" t="n"/>
      <c r="H55" s="335" t="n"/>
      <c r="I55" s="336" t="n"/>
      <c r="J55" s="336" t="n"/>
      <c r="K55" s="336" t="n"/>
      <c r="L55" s="336" t="n"/>
      <c r="M55" s="336" t="n"/>
      <c r="N55" s="336" t="n"/>
      <c r="O55" s="336" t="n"/>
      <c r="P55" s="430" t="n"/>
      <c r="Q55" s="430" t="n"/>
      <c r="R55" s="430" t="n"/>
      <c r="S55" s="430" t="n"/>
      <c r="T55" s="430" t="n"/>
      <c r="U55" s="430" t="n"/>
      <c r="V55" s="430" t="n"/>
      <c r="W55" s="430" t="n"/>
      <c r="X55" s="430" t="n"/>
      <c r="Y55" s="430" t="n"/>
      <c r="Z55" s="430" t="n"/>
      <c r="AA55" s="430" t="n"/>
      <c r="AB55" s="430" t="n"/>
      <c r="AC55" s="338" t="n"/>
      <c r="AD55" s="338" t="n"/>
      <c r="AE55" s="338" t="n"/>
      <c r="AF55" s="338" t="n"/>
      <c r="AG55" s="339" t="n"/>
      <c r="AH55" s="339" t="n"/>
      <c r="AI55" s="339" t="n"/>
      <c r="AJ55" s="339" t="n"/>
      <c r="AK55" s="339" t="n"/>
      <c r="AL55" s="339" t="n"/>
      <c r="AM55" s="339" t="n"/>
      <c r="AN55" s="339" t="n"/>
      <c r="AO55" s="339" t="n"/>
      <c r="AP55" s="339" t="n"/>
      <c r="AQ55" s="339" t="n"/>
      <c r="AR55" s="339" t="n"/>
      <c r="AS55" s="339" t="n"/>
      <c r="AT55" s="339" t="n"/>
      <c r="AU55" s="339" t="n"/>
      <c r="AV55" s="339" t="n"/>
      <c r="AW55" s="339" t="n"/>
      <c r="AX55" s="430" t="n"/>
      <c r="AY55" s="336" t="n"/>
      <c r="AZ55" s="336" t="n"/>
      <c r="BA55" s="336" t="n"/>
      <c r="BB55" s="336" t="n"/>
      <c r="BC55" s="336" t="n"/>
      <c r="BD55" s="336" t="n"/>
      <c r="BE55" s="336" t="n"/>
      <c r="BF55" s="336" t="n"/>
      <c r="BG55" s="336" t="n"/>
      <c r="BH55" s="336" t="n"/>
      <c r="BI55" s="336" t="n"/>
      <c r="BJ55" s="336" t="n"/>
      <c r="BK55" s="336" t="n"/>
      <c r="BL55" s="336" t="n"/>
      <c r="BM55" s="336" t="n"/>
      <c r="BN55" s="336" t="n"/>
      <c r="BO55" s="336" t="n"/>
      <c r="BP55" s="336" t="n"/>
      <c r="BQ55" s="336" t="n"/>
      <c r="BR55" s="336" t="n"/>
      <c r="BS55" s="336" t="n"/>
      <c r="BT55" s="336" t="n"/>
      <c r="BU55" s="336" t="n"/>
      <c r="BV55" s="336" t="n"/>
      <c r="BW55" s="336" t="n"/>
      <c r="BX55" s="336" t="n"/>
      <c r="BY55" s="336" t="n"/>
      <c r="BZ55" s="336" t="n"/>
      <c r="CA55" s="336" t="n"/>
      <c r="CB55" s="336" t="n"/>
      <c r="CC55" s="336" t="n"/>
      <c r="CD55" s="336" t="n"/>
      <c r="CE55" s="336" t="n"/>
    </row>
    <row r="56" customFormat="1" s="538">
      <c r="A56" s="349" t="n"/>
      <c r="B56" s="350" t="n"/>
      <c r="C56" s="353" t="n"/>
      <c r="D56" s="333" t="n"/>
      <c r="E56" s="332" t="n"/>
      <c r="F56" s="336" t="n"/>
      <c r="G56" s="336" t="n"/>
      <c r="H56" s="335" t="n"/>
      <c r="I56" s="336" t="n"/>
      <c r="J56" s="336" t="n"/>
      <c r="K56" s="336" t="n"/>
      <c r="L56" s="336" t="n"/>
      <c r="M56" s="336" t="n"/>
      <c r="N56" s="336" t="n"/>
      <c r="O56" s="336" t="n"/>
      <c r="P56" s="430" t="n"/>
      <c r="Q56" s="430" t="n"/>
      <c r="R56" s="430" t="n"/>
      <c r="S56" s="430" t="n"/>
      <c r="T56" s="430" t="n"/>
      <c r="U56" s="430" t="n"/>
      <c r="V56" s="430" t="n"/>
      <c r="W56" s="430" t="n"/>
      <c r="X56" s="430" t="n"/>
      <c r="Y56" s="430" t="n"/>
      <c r="Z56" s="430" t="n"/>
      <c r="AA56" s="430" t="n"/>
      <c r="AB56" s="430" t="n"/>
      <c r="AC56" s="338" t="n"/>
      <c r="AD56" s="338" t="n"/>
      <c r="AE56" s="338" t="n"/>
      <c r="AF56" s="338" t="n"/>
      <c r="AG56" s="339" t="n"/>
      <c r="AH56" s="339" t="n"/>
      <c r="AI56" s="339" t="n"/>
      <c r="AJ56" s="339" t="n"/>
      <c r="AK56" s="339" t="n"/>
      <c r="AL56" s="339" t="n"/>
      <c r="AM56" s="339" t="n"/>
      <c r="AN56" s="339" t="n"/>
      <c r="AO56" s="339" t="n"/>
      <c r="AP56" s="339" t="n"/>
      <c r="AQ56" s="339" t="n"/>
      <c r="AR56" s="339" t="n"/>
      <c r="AS56" s="339" t="n"/>
      <c r="AT56" s="339" t="n"/>
      <c r="AU56" s="339" t="n"/>
      <c r="AV56" s="339" t="n"/>
      <c r="AW56" s="339" t="n"/>
      <c r="AX56" s="430" t="n"/>
      <c r="AY56" s="336" t="n"/>
      <c r="AZ56" s="336" t="n"/>
      <c r="BA56" s="336" t="n"/>
      <c r="BB56" s="336" t="n"/>
      <c r="BC56" s="336" t="n"/>
      <c r="BD56" s="336" t="n"/>
      <c r="BE56" s="336" t="n"/>
      <c r="BF56" s="336" t="n"/>
      <c r="BG56" s="336" t="n"/>
      <c r="BH56" s="336" t="n"/>
      <c r="BI56" s="336" t="n"/>
      <c r="BJ56" s="336" t="n"/>
      <c r="BK56" s="336" t="n"/>
      <c r="BL56" s="336" t="n"/>
      <c r="BM56" s="336" t="n"/>
      <c r="BN56" s="336" t="n"/>
      <c r="BO56" s="336" t="n"/>
      <c r="BP56" s="336" t="n"/>
      <c r="BQ56" s="336" t="n"/>
      <c r="BR56" s="336" t="n"/>
      <c r="BS56" s="336" t="n"/>
      <c r="BT56" s="336" t="n"/>
      <c r="BU56" s="336" t="n"/>
      <c r="BV56" s="336" t="n"/>
      <c r="BW56" s="336" t="n"/>
      <c r="BX56" s="336" t="n"/>
      <c r="BY56" s="336" t="n"/>
      <c r="BZ56" s="336" t="n"/>
      <c r="CA56" s="336" t="n"/>
      <c r="CB56" s="336" t="n"/>
      <c r="CC56" s="336" t="n"/>
      <c r="CD56" s="336" t="n"/>
      <c r="CE56" s="336" t="n"/>
    </row>
    <row r="57" customFormat="1" s="538">
      <c r="A57" s="349" t="n"/>
      <c r="B57" s="350" t="n"/>
      <c r="C57" s="353" t="n"/>
      <c r="D57" s="333" t="n"/>
      <c r="E57" s="332" t="n"/>
      <c r="F57" s="336" t="n"/>
      <c r="G57" s="336" t="n"/>
      <c r="H57" s="335" t="n"/>
      <c r="I57" s="336" t="n"/>
      <c r="J57" s="336" t="n"/>
      <c r="K57" s="336" t="n"/>
      <c r="L57" s="336" t="n"/>
      <c r="M57" s="336" t="n"/>
      <c r="N57" s="336" t="n"/>
      <c r="O57" s="336" t="n"/>
      <c r="P57" s="430" t="n"/>
      <c r="Q57" s="430" t="n"/>
      <c r="R57" s="430" t="n"/>
      <c r="S57" s="430" t="n"/>
      <c r="T57" s="430" t="n"/>
      <c r="U57" s="430" t="n"/>
      <c r="V57" s="430" t="n"/>
      <c r="W57" s="430" t="n"/>
      <c r="X57" s="430" t="n"/>
      <c r="Y57" s="430" t="n"/>
      <c r="Z57" s="430" t="n"/>
      <c r="AA57" s="430" t="n"/>
      <c r="AB57" s="430" t="n"/>
      <c r="AC57" s="338" t="n"/>
      <c r="AD57" s="338" t="n"/>
      <c r="AE57" s="338" t="n"/>
      <c r="AF57" s="338" t="n"/>
      <c r="AG57" s="339" t="n"/>
      <c r="AH57" s="339" t="n"/>
      <c r="AI57" s="339" t="n"/>
      <c r="AJ57" s="339" t="n"/>
      <c r="AK57" s="339" t="n"/>
      <c r="AL57" s="339" t="n"/>
      <c r="AM57" s="339" t="n"/>
      <c r="AN57" s="339" t="n"/>
      <c r="AO57" s="339" t="n"/>
      <c r="AP57" s="339" t="n"/>
      <c r="AQ57" s="339" t="n"/>
      <c r="AR57" s="339" t="n"/>
      <c r="AS57" s="339" t="n"/>
      <c r="AT57" s="339" t="n"/>
      <c r="AU57" s="339" t="n"/>
      <c r="AV57" s="339" t="n"/>
      <c r="AW57" s="339" t="n"/>
      <c r="AX57" s="430" t="n"/>
      <c r="AY57" s="336" t="n"/>
      <c r="AZ57" s="336" t="n"/>
      <c r="BA57" s="336" t="n"/>
      <c r="BB57" s="336" t="n"/>
      <c r="BC57" s="336" t="n"/>
      <c r="BD57" s="336" t="n"/>
      <c r="BE57" s="336" t="n"/>
      <c r="BF57" s="336" t="n"/>
      <c r="BG57" s="336" t="n"/>
      <c r="BH57" s="336" t="n"/>
      <c r="BI57" s="336" t="n"/>
      <c r="BJ57" s="336" t="n"/>
      <c r="BK57" s="336" t="n"/>
      <c r="BL57" s="336" t="n"/>
      <c r="BM57" s="336" t="n"/>
      <c r="BN57" s="336" t="n"/>
      <c r="BO57" s="336" t="n"/>
      <c r="BP57" s="336" t="n"/>
      <c r="BQ57" s="336" t="n"/>
      <c r="BR57" s="336" t="n"/>
      <c r="BS57" s="336" t="n"/>
      <c r="BT57" s="336" t="n"/>
      <c r="BU57" s="336" t="n"/>
      <c r="BV57" s="336" t="n"/>
      <c r="BW57" s="336" t="n"/>
      <c r="BX57" s="336" t="n"/>
      <c r="BY57" s="336" t="n"/>
      <c r="BZ57" s="336" t="n"/>
      <c r="CA57" s="336" t="n"/>
      <c r="CB57" s="336" t="n"/>
      <c r="CC57" s="336" t="n"/>
      <c r="CD57" s="336" t="n"/>
      <c r="CE57" s="336" t="n"/>
    </row>
    <row r="58" customFormat="1" s="538">
      <c r="A58" s="358" t="n"/>
      <c r="B58" s="358" t="n"/>
      <c r="C58" s="344" t="n"/>
      <c r="D58" s="345" t="n"/>
      <c r="E58" s="346" t="n"/>
      <c r="F58" s="336" t="n"/>
      <c r="G58" s="336" t="n"/>
      <c r="H58" s="336" t="n"/>
      <c r="I58" s="336" t="n"/>
      <c r="J58" s="336" t="n"/>
      <c r="K58" s="336" t="n"/>
      <c r="L58" s="336" t="n"/>
      <c r="M58" s="336" t="n"/>
      <c r="N58" s="336" t="n"/>
      <c r="O58" s="336" t="n"/>
      <c r="P58" s="357" t="n"/>
      <c r="Q58" s="357" t="n"/>
      <c r="R58" s="357" t="n"/>
      <c r="S58" s="357" t="n"/>
      <c r="T58" s="357" t="n"/>
      <c r="U58" s="357" t="n"/>
      <c r="V58" s="357" t="n"/>
      <c r="W58" s="357" t="n"/>
      <c r="X58" s="357" t="n"/>
      <c r="Y58" s="357" t="n"/>
      <c r="Z58" s="357" t="n"/>
      <c r="AA58" s="357" t="n"/>
      <c r="AB58" s="336" t="n"/>
      <c r="AC58" s="357" t="n"/>
      <c r="AD58" s="357" t="n"/>
      <c r="AE58" s="357" t="n"/>
      <c r="AF58" s="357" t="n"/>
      <c r="AG58" s="339" t="n"/>
      <c r="AH58" s="339" t="n"/>
      <c r="AI58" s="339" t="n"/>
      <c r="AJ58" s="339" t="n"/>
      <c r="AK58" s="339" t="n"/>
      <c r="AL58" s="339" t="n"/>
      <c r="AM58" s="339" t="n"/>
      <c r="AN58" s="339" t="n"/>
      <c r="AO58" s="339" t="n"/>
      <c r="AP58" s="339" t="n"/>
      <c r="AQ58" s="339" t="n"/>
      <c r="AR58" s="339" t="n"/>
      <c r="AS58" s="339" t="n"/>
      <c r="AT58" s="339" t="n"/>
      <c r="AU58" s="339" t="n"/>
      <c r="AV58" s="339" t="n"/>
      <c r="AW58" s="339" t="n"/>
      <c r="AX58" s="357" t="n"/>
      <c r="AY58" s="336" t="n"/>
      <c r="AZ58" s="336" t="n"/>
      <c r="BA58" s="336" t="n"/>
      <c r="BB58" s="336" t="n"/>
      <c r="BC58" s="336" t="n"/>
      <c r="BD58" s="336" t="n"/>
      <c r="BE58" s="336" t="n"/>
      <c r="BF58" s="336" t="n"/>
      <c r="BG58" s="336" t="n"/>
      <c r="BH58" s="336" t="n"/>
      <c r="BI58" s="336" t="n"/>
      <c r="BJ58" s="336" t="n"/>
      <c r="BK58" s="336" t="n"/>
      <c r="BL58" s="336" t="n"/>
      <c r="BM58" s="336" t="n"/>
      <c r="BN58" s="336" t="n"/>
      <c r="BO58" s="336" t="n"/>
      <c r="BP58" s="336" t="n"/>
      <c r="BQ58" s="336" t="n"/>
      <c r="BR58" s="336" t="n"/>
      <c r="BS58" s="336" t="n"/>
      <c r="BT58" s="336" t="n"/>
      <c r="BU58" s="336" t="n"/>
      <c r="BV58" s="336" t="n"/>
      <c r="BW58" s="336" t="n"/>
      <c r="BX58" s="336" t="n"/>
      <c r="BY58" s="336" t="n"/>
      <c r="BZ58" s="336" t="n"/>
      <c r="CA58" s="336" t="n"/>
      <c r="CB58" s="336" t="n"/>
      <c r="CC58" s="336" t="n"/>
      <c r="CD58" s="336" t="n"/>
      <c r="CE58" s="336" t="n"/>
      <c r="CF58" s="361" t="n"/>
    </row>
    <row r="59" customFormat="1" s="538">
      <c r="A59" s="350" t="n"/>
      <c r="B59" s="350" t="n"/>
      <c r="C59" s="353" t="n"/>
      <c r="D59" s="333" t="n"/>
      <c r="E59" s="332" t="n"/>
      <c r="F59" s="336" t="n"/>
      <c r="G59" s="336" t="n"/>
      <c r="H59" s="335" t="n"/>
      <c r="I59" s="336" t="n"/>
      <c r="J59" s="336" t="n"/>
      <c r="K59" s="336" t="n"/>
      <c r="L59" s="336" t="n"/>
      <c r="M59" s="336" t="n"/>
      <c r="N59" s="336" t="n"/>
      <c r="O59" s="336" t="n"/>
      <c r="P59" s="430" t="n"/>
      <c r="Q59" s="430" t="n"/>
      <c r="R59" s="430" t="n"/>
      <c r="S59" s="430" t="n"/>
      <c r="T59" s="430" t="n"/>
      <c r="U59" s="430" t="n"/>
      <c r="V59" s="430" t="n"/>
      <c r="W59" s="430" t="n"/>
      <c r="X59" s="430" t="n"/>
      <c r="Y59" s="430" t="n"/>
      <c r="Z59" s="430" t="n"/>
      <c r="AA59" s="430" t="n"/>
      <c r="AB59" s="430" t="n"/>
      <c r="AC59" s="338" t="n"/>
      <c r="AD59" s="338" t="n"/>
      <c r="AE59" s="338" t="n"/>
      <c r="AF59" s="338" t="n"/>
      <c r="AG59" s="339" t="n"/>
      <c r="AH59" s="339" t="n"/>
      <c r="AI59" s="339" t="n"/>
      <c r="AJ59" s="339" t="n"/>
      <c r="AK59" s="339" t="n"/>
      <c r="AL59" s="339" t="n"/>
      <c r="AM59" s="339" t="n"/>
      <c r="AN59" s="339" t="n"/>
      <c r="AO59" s="339" t="n"/>
      <c r="AP59" s="339" t="n"/>
      <c r="AQ59" s="339" t="n"/>
      <c r="AR59" s="339" t="n"/>
      <c r="AS59" s="339" t="n"/>
      <c r="AT59" s="339" t="n"/>
      <c r="AU59" s="339" t="n"/>
      <c r="AV59" s="339" t="n"/>
      <c r="AW59" s="339" t="n"/>
      <c r="AX59" s="430" t="n"/>
      <c r="AY59" s="336" t="n"/>
      <c r="AZ59" s="336" t="n"/>
      <c r="BA59" s="336" t="n"/>
      <c r="BB59" s="336" t="n"/>
      <c r="BC59" s="336" t="n"/>
      <c r="BD59" s="336" t="n"/>
      <c r="BE59" s="336" t="n"/>
      <c r="BF59" s="336" t="n"/>
      <c r="BG59" s="336" t="n"/>
      <c r="BH59" s="336" t="n"/>
      <c r="BI59" s="336" t="n"/>
      <c r="BJ59" s="336" t="n"/>
      <c r="BK59" s="336" t="n"/>
      <c r="BL59" s="336" t="n"/>
      <c r="BM59" s="336" t="n"/>
      <c r="BN59" s="336" t="n"/>
      <c r="BO59" s="336" t="n"/>
      <c r="BP59" s="336" t="n"/>
      <c r="BQ59" s="336" t="n"/>
      <c r="BR59" s="336" t="n"/>
      <c r="BS59" s="336" t="n"/>
      <c r="BT59" s="336" t="n"/>
      <c r="BU59" s="336" t="n"/>
      <c r="BV59" s="336" t="n"/>
      <c r="BW59" s="336" t="n"/>
      <c r="BX59" s="336" t="n"/>
      <c r="BY59" s="336" t="n"/>
      <c r="BZ59" s="336" t="n"/>
      <c r="CA59" s="336" t="n"/>
      <c r="CB59" s="336" t="n"/>
      <c r="CC59" s="336" t="n"/>
      <c r="CD59" s="336" t="n"/>
      <c r="CE59" s="336" t="n"/>
    </row>
    <row r="60" customFormat="1" s="538">
      <c r="A60" s="350" t="n"/>
      <c r="B60" s="350" t="n"/>
      <c r="C60" s="353" t="n"/>
      <c r="D60" s="333" t="n"/>
      <c r="E60" s="332" t="n"/>
      <c r="F60" s="336" t="n"/>
      <c r="G60" s="336" t="n"/>
      <c r="H60" s="335" t="n"/>
      <c r="I60" s="336" t="n"/>
      <c r="J60" s="336" t="n"/>
      <c r="K60" s="336" t="n"/>
      <c r="L60" s="336" t="n"/>
      <c r="M60" s="336" t="n"/>
      <c r="N60" s="336" t="n"/>
      <c r="O60" s="336" t="n"/>
      <c r="P60" s="430" t="n"/>
      <c r="Q60" s="430" t="n"/>
      <c r="R60" s="430" t="n"/>
      <c r="S60" s="430" t="n"/>
      <c r="T60" s="430" t="n"/>
      <c r="U60" s="430" t="n"/>
      <c r="V60" s="430" t="n"/>
      <c r="W60" s="430" t="n"/>
      <c r="X60" s="430" t="n"/>
      <c r="Y60" s="430" t="n"/>
      <c r="Z60" s="430" t="n"/>
      <c r="AA60" s="430" t="n"/>
      <c r="AB60" s="430" t="n"/>
      <c r="AC60" s="338" t="n"/>
      <c r="AD60" s="338" t="n"/>
      <c r="AE60" s="338" t="n"/>
      <c r="AF60" s="338" t="n"/>
      <c r="AG60" s="339" t="n"/>
      <c r="AH60" s="339" t="n"/>
      <c r="AI60" s="339" t="n"/>
      <c r="AJ60" s="339" t="n"/>
      <c r="AK60" s="339" t="n"/>
      <c r="AL60" s="339" t="n"/>
      <c r="AM60" s="339" t="n"/>
      <c r="AN60" s="339" t="n"/>
      <c r="AO60" s="339" t="n"/>
      <c r="AP60" s="339" t="n"/>
      <c r="AQ60" s="339" t="n"/>
      <c r="AR60" s="339" t="n"/>
      <c r="AS60" s="339" t="n"/>
      <c r="AT60" s="339" t="n"/>
      <c r="AU60" s="339" t="n"/>
      <c r="AV60" s="339" t="n"/>
      <c r="AW60" s="339" t="n"/>
      <c r="AX60" s="430" t="n"/>
      <c r="AY60" s="336" t="n"/>
      <c r="AZ60" s="336" t="n"/>
      <c r="BA60" s="336" t="n"/>
      <c r="BB60" s="336" t="n"/>
      <c r="BC60" s="336" t="n"/>
      <c r="BD60" s="336" t="n"/>
      <c r="BE60" s="336" t="n"/>
      <c r="BF60" s="336" t="n"/>
      <c r="BG60" s="336" t="n"/>
      <c r="BH60" s="336" t="n"/>
      <c r="BI60" s="336" t="n"/>
      <c r="BJ60" s="336" t="n"/>
      <c r="BK60" s="336" t="n"/>
      <c r="BL60" s="336" t="n"/>
      <c r="BM60" s="336" t="n"/>
      <c r="BN60" s="336" t="n"/>
      <c r="BO60" s="336" t="n"/>
      <c r="BP60" s="336" t="n"/>
      <c r="BQ60" s="336" t="n"/>
      <c r="BR60" s="336" t="n"/>
      <c r="BS60" s="336" t="n"/>
      <c r="BT60" s="336" t="n"/>
      <c r="BU60" s="336" t="n"/>
      <c r="BV60" s="336" t="n"/>
      <c r="BW60" s="336" t="n"/>
      <c r="BX60" s="336" t="n"/>
      <c r="BY60" s="336" t="n"/>
      <c r="BZ60" s="336" t="n"/>
      <c r="CA60" s="336" t="n"/>
      <c r="CB60" s="336" t="n"/>
      <c r="CC60" s="336" t="n"/>
      <c r="CD60" s="336" t="n"/>
      <c r="CE60" s="336" t="n"/>
    </row>
    <row r="61" customFormat="1" s="538">
      <c r="A61" s="350" t="n"/>
      <c r="B61" s="350" t="n"/>
      <c r="C61" s="353" t="n"/>
      <c r="D61" s="333" t="n"/>
      <c r="E61" s="332" t="n"/>
      <c r="F61" s="336" t="n"/>
      <c r="G61" s="336" t="n"/>
      <c r="H61" s="335" t="n"/>
      <c r="I61" s="336" t="n"/>
      <c r="J61" s="336" t="n"/>
      <c r="K61" s="336" t="n"/>
      <c r="L61" s="336" t="n"/>
      <c r="M61" s="336" t="n"/>
      <c r="N61" s="336" t="n"/>
      <c r="O61" s="336" t="n"/>
      <c r="P61" s="430" t="n"/>
      <c r="Q61" s="430" t="n"/>
      <c r="R61" s="430" t="n"/>
      <c r="S61" s="430" t="n"/>
      <c r="T61" s="430" t="n"/>
      <c r="U61" s="430" t="n"/>
      <c r="V61" s="430" t="n"/>
      <c r="W61" s="430" t="n"/>
      <c r="X61" s="430" t="n"/>
      <c r="Y61" s="430" t="n"/>
      <c r="Z61" s="430" t="n"/>
      <c r="AA61" s="430" t="n"/>
      <c r="AB61" s="685" t="n"/>
      <c r="AC61" s="338" t="n"/>
      <c r="AD61" s="338" t="n"/>
      <c r="AE61" s="338" t="n"/>
      <c r="AF61" s="338" t="n"/>
      <c r="AG61" s="339" t="n"/>
      <c r="AH61" s="339" t="n"/>
      <c r="AI61" s="339" t="n"/>
      <c r="AJ61" s="339" t="n"/>
      <c r="AK61" s="339" t="n"/>
      <c r="AL61" s="339" t="n"/>
      <c r="AM61" s="339" t="n"/>
      <c r="AN61" s="339" t="n"/>
      <c r="AO61" s="339" t="n"/>
      <c r="AP61" s="339" t="n"/>
      <c r="AQ61" s="339" t="n"/>
      <c r="AR61" s="339" t="n"/>
      <c r="AS61" s="339" t="n"/>
      <c r="AT61" s="339" t="n"/>
      <c r="AU61" s="339" t="n"/>
      <c r="AV61" s="339" t="n"/>
      <c r="AW61" s="339" t="n"/>
      <c r="AX61" s="430" t="n"/>
      <c r="AY61" s="336" t="n"/>
      <c r="AZ61" s="336" t="n"/>
      <c r="BA61" s="336" t="n"/>
      <c r="BB61" s="336" t="n"/>
      <c r="BC61" s="336" t="n"/>
      <c r="BD61" s="336" t="n"/>
      <c r="BE61" s="336" t="n"/>
      <c r="BF61" s="336" t="n"/>
      <c r="BG61" s="336" t="n"/>
      <c r="BH61" s="336" t="n"/>
      <c r="BI61" s="336" t="n"/>
      <c r="BJ61" s="336" t="n"/>
      <c r="BK61" s="336" t="n"/>
      <c r="BL61" s="336" t="n"/>
      <c r="BM61" s="336" t="n"/>
      <c r="BN61" s="336" t="n"/>
      <c r="BO61" s="336" t="n"/>
      <c r="BP61" s="336" t="n"/>
      <c r="BQ61" s="336" t="n"/>
      <c r="BR61" s="336" t="n"/>
      <c r="BS61" s="336" t="n"/>
      <c r="BT61" s="336" t="n"/>
      <c r="BU61" s="336" t="n"/>
      <c r="BV61" s="336" t="n"/>
      <c r="BW61" s="336" t="n"/>
      <c r="BX61" s="336" t="n"/>
      <c r="BY61" s="336" t="n"/>
      <c r="BZ61" s="336" t="n"/>
      <c r="CA61" s="336" t="n"/>
      <c r="CB61" s="336" t="n"/>
      <c r="CC61" s="336" t="n"/>
      <c r="CD61" s="336" t="n"/>
      <c r="CE61" s="336" t="n"/>
    </row>
    <row r="62" customFormat="1" s="538">
      <c r="A62" s="350" t="n"/>
      <c r="B62" s="350" t="n"/>
      <c r="C62" s="353" t="n"/>
      <c r="D62" s="333" t="n"/>
      <c r="E62" s="354" t="n"/>
      <c r="F62" s="336" t="n"/>
      <c r="G62" s="336" t="n"/>
      <c r="H62" s="335" t="n"/>
      <c r="I62" s="336" t="n"/>
      <c r="J62" s="336" t="n"/>
      <c r="K62" s="336" t="n"/>
      <c r="L62" s="336" t="n"/>
      <c r="M62" s="336" t="n"/>
      <c r="N62" s="336" t="n"/>
      <c r="O62" s="336" t="n"/>
      <c r="P62" s="430" t="n"/>
      <c r="Q62" s="430" t="n"/>
      <c r="R62" s="430" t="n"/>
      <c r="S62" s="430" t="n"/>
      <c r="T62" s="430" t="n"/>
      <c r="U62" s="430" t="n"/>
      <c r="V62" s="430" t="n"/>
      <c r="W62" s="430" t="n"/>
      <c r="X62" s="430" t="n"/>
      <c r="Y62" s="430" t="n"/>
      <c r="Z62" s="430" t="n"/>
      <c r="AA62" s="430" t="n"/>
      <c r="AB62" s="430" t="n"/>
      <c r="AC62" s="338" t="n"/>
      <c r="AD62" s="338" t="n"/>
      <c r="AE62" s="338" t="n"/>
      <c r="AF62" s="338" t="n"/>
      <c r="AG62" s="339" t="n"/>
      <c r="AH62" s="339" t="n"/>
      <c r="AI62" s="339" t="n"/>
      <c r="AJ62" s="339" t="n"/>
      <c r="AK62" s="339" t="n"/>
      <c r="AL62" s="339" t="n"/>
      <c r="AM62" s="339" t="n"/>
      <c r="AN62" s="339" t="n"/>
      <c r="AO62" s="339" t="n"/>
      <c r="AP62" s="339" t="n"/>
      <c r="AQ62" s="339" t="n"/>
      <c r="AR62" s="339" t="n"/>
      <c r="AS62" s="339" t="n"/>
      <c r="AT62" s="339" t="n"/>
      <c r="AU62" s="339" t="n"/>
      <c r="AV62" s="339" t="n"/>
      <c r="AW62" s="339" t="n"/>
      <c r="AX62" s="430" t="n"/>
      <c r="AY62" s="336" t="n"/>
      <c r="AZ62" s="336" t="n"/>
      <c r="BA62" s="336" t="n"/>
      <c r="BB62" s="336" t="n"/>
      <c r="BC62" s="336" t="n"/>
      <c r="BD62" s="336" t="n"/>
      <c r="BE62" s="336" t="n"/>
      <c r="BF62" s="336" t="n"/>
      <c r="BG62" s="336" t="n"/>
      <c r="BH62" s="336" t="n"/>
      <c r="BI62" s="336" t="n"/>
      <c r="BJ62" s="336" t="n"/>
      <c r="BK62" s="336" t="n"/>
      <c r="BL62" s="336" t="n"/>
      <c r="BM62" s="336" t="n"/>
      <c r="BN62" s="336" t="n"/>
      <c r="BO62" s="336" t="n"/>
      <c r="BP62" s="336" t="n"/>
      <c r="BQ62" s="336" t="n"/>
      <c r="BR62" s="336" t="n"/>
      <c r="BS62" s="336" t="n"/>
      <c r="BT62" s="336" t="n"/>
      <c r="BU62" s="336" t="n"/>
      <c r="BV62" s="336" t="n"/>
      <c r="BW62" s="336" t="n"/>
      <c r="BX62" s="336" t="n"/>
      <c r="BY62" s="336" t="n"/>
      <c r="BZ62" s="336" t="n"/>
      <c r="CA62" s="336" t="n"/>
      <c r="CB62" s="336" t="n"/>
      <c r="CC62" s="336" t="n"/>
      <c r="CD62" s="336" t="n"/>
      <c r="CE62" s="336" t="n"/>
    </row>
    <row r="63" customFormat="1" s="538">
      <c r="A63" s="342" t="n"/>
      <c r="B63" s="358" t="n"/>
      <c r="C63" s="344" t="n"/>
      <c r="D63" s="345" t="n"/>
      <c r="E63" s="346" t="n"/>
      <c r="F63" s="336" t="n"/>
      <c r="G63" s="336" t="n"/>
      <c r="H63" s="336" t="n"/>
      <c r="I63" s="336" t="n"/>
      <c r="J63" s="336" t="n"/>
      <c r="K63" s="336" t="n"/>
      <c r="L63" s="336" t="n"/>
      <c r="M63" s="336" t="n"/>
      <c r="N63" s="336" t="n"/>
      <c r="O63" s="336" t="n"/>
      <c r="P63" s="357" t="n"/>
      <c r="Q63" s="357" t="n"/>
      <c r="R63" s="357" t="n"/>
      <c r="S63" s="357" t="n"/>
      <c r="T63" s="357" t="n"/>
      <c r="U63" s="357" t="n"/>
      <c r="V63" s="357" t="n"/>
      <c r="W63" s="357" t="n"/>
      <c r="X63" s="357" t="n"/>
      <c r="Y63" s="357" t="n"/>
      <c r="Z63" s="357" t="n"/>
      <c r="AA63" s="357" t="n"/>
      <c r="AB63" s="336" t="n"/>
      <c r="AC63" s="338" t="n"/>
      <c r="AD63" s="338" t="n"/>
      <c r="AE63" s="338" t="n"/>
      <c r="AF63" s="338" t="n"/>
      <c r="AG63" s="339" t="n"/>
      <c r="AH63" s="339" t="n"/>
      <c r="AI63" s="339" t="n"/>
      <c r="AJ63" s="339" t="n"/>
      <c r="AK63" s="339" t="n"/>
      <c r="AL63" s="339" t="n"/>
      <c r="AM63" s="339" t="n"/>
      <c r="AN63" s="339" t="n"/>
      <c r="AO63" s="339" t="n"/>
      <c r="AP63" s="339" t="n"/>
      <c r="AQ63" s="339" t="n"/>
      <c r="AR63" s="339" t="n"/>
      <c r="AS63" s="339" t="n"/>
      <c r="AT63" s="339" t="n"/>
      <c r="AU63" s="339" t="n"/>
      <c r="AV63" s="339" t="n"/>
      <c r="AW63" s="339" t="n"/>
      <c r="AX63" s="357" t="n"/>
      <c r="AY63" s="336" t="n"/>
      <c r="AZ63" s="336" t="n"/>
      <c r="BA63" s="336" t="n"/>
      <c r="BB63" s="336" t="n"/>
      <c r="BC63" s="336" t="n"/>
      <c r="BD63" s="336" t="n"/>
      <c r="BE63" s="336" t="n"/>
      <c r="BF63" s="336" t="n"/>
      <c r="BG63" s="336" t="n"/>
      <c r="BH63" s="336" t="n"/>
      <c r="BI63" s="336" t="n"/>
      <c r="BJ63" s="336" t="n"/>
      <c r="BK63" s="336" t="n"/>
      <c r="BL63" s="336" t="n"/>
      <c r="BM63" s="336" t="n"/>
      <c r="BN63" s="336" t="n"/>
      <c r="BO63" s="336" t="n"/>
      <c r="BP63" s="336" t="n"/>
      <c r="BQ63" s="336" t="n"/>
      <c r="BR63" s="336" t="n"/>
      <c r="BS63" s="336" t="n"/>
      <c r="BT63" s="336" t="n"/>
      <c r="BU63" s="336" t="n"/>
      <c r="BV63" s="336" t="n"/>
      <c r="BW63" s="336" t="n"/>
      <c r="BX63" s="336" t="n"/>
      <c r="BY63" s="336" t="n"/>
      <c r="BZ63" s="336" t="n"/>
      <c r="CA63" s="336" t="n"/>
      <c r="CB63" s="336" t="n"/>
      <c r="CC63" s="336" t="n"/>
      <c r="CD63" s="336" t="n"/>
      <c r="CE63" s="336" t="n"/>
      <c r="CF63" s="361" t="n"/>
    </row>
    <row r="64" customFormat="1" s="538">
      <c r="A64" s="349" t="n"/>
      <c r="B64" s="350" t="n"/>
      <c r="C64" s="353" t="n"/>
      <c r="D64" s="333" t="n"/>
      <c r="E64" s="332" t="n"/>
      <c r="F64" s="336" t="n"/>
      <c r="G64" s="336" t="n"/>
      <c r="H64" s="335" t="n"/>
      <c r="I64" s="336" t="n"/>
      <c r="J64" s="336" t="n"/>
      <c r="K64" s="336" t="n"/>
      <c r="L64" s="336" t="n"/>
      <c r="M64" s="336" t="n"/>
      <c r="N64" s="336" t="n"/>
      <c r="O64" s="336" t="n"/>
      <c r="P64" s="430" t="n"/>
      <c r="Q64" s="430" t="n"/>
      <c r="R64" s="430" t="n"/>
      <c r="S64" s="430" t="n"/>
      <c r="T64" s="430" t="n"/>
      <c r="U64" s="430" t="n"/>
      <c r="V64" s="430" t="n"/>
      <c r="W64" s="430" t="n"/>
      <c r="X64" s="430" t="n"/>
      <c r="Y64" s="430" t="n"/>
      <c r="Z64" s="430" t="n"/>
      <c r="AA64" s="430" t="n"/>
      <c r="AB64" s="430" t="n"/>
      <c r="AC64" s="338" t="n"/>
      <c r="AD64" s="338" t="n"/>
      <c r="AE64" s="338" t="n"/>
      <c r="AF64" s="338" t="n"/>
      <c r="AG64" s="339" t="n"/>
      <c r="AH64" s="339" t="n"/>
      <c r="AI64" s="339" t="n"/>
      <c r="AJ64" s="339" t="n"/>
      <c r="AK64" s="339" t="n"/>
      <c r="AL64" s="339" t="n"/>
      <c r="AM64" s="339" t="n"/>
      <c r="AN64" s="339" t="n"/>
      <c r="AO64" s="339" t="n"/>
      <c r="AP64" s="339" t="n"/>
      <c r="AQ64" s="339" t="n"/>
      <c r="AR64" s="339" t="n"/>
      <c r="AS64" s="339" t="n"/>
      <c r="AT64" s="339" t="n"/>
      <c r="AU64" s="339" t="n"/>
      <c r="AV64" s="339" t="n"/>
      <c r="AW64" s="339" t="n"/>
      <c r="AX64" s="430" t="n"/>
      <c r="AY64" s="336" t="n"/>
      <c r="AZ64" s="336" t="n"/>
      <c r="BA64" s="336" t="n"/>
      <c r="BB64" s="336" t="n"/>
      <c r="BC64" s="336" t="n"/>
      <c r="BD64" s="336" t="n"/>
      <c r="BE64" s="336" t="n"/>
      <c r="BF64" s="336" t="n"/>
      <c r="BG64" s="336" t="n"/>
      <c r="BH64" s="336" t="n"/>
      <c r="BI64" s="336" t="n"/>
      <c r="BJ64" s="336" t="n"/>
      <c r="BK64" s="336" t="n"/>
      <c r="BL64" s="336" t="n"/>
      <c r="BM64" s="336" t="n"/>
      <c r="BN64" s="336" t="n"/>
      <c r="BO64" s="336" t="n"/>
      <c r="BP64" s="336" t="n"/>
      <c r="BQ64" s="336" t="n"/>
      <c r="BR64" s="336" t="n"/>
      <c r="BS64" s="336" t="n"/>
      <c r="BT64" s="336" t="n"/>
      <c r="BU64" s="336" t="n"/>
      <c r="BV64" s="336" t="n"/>
      <c r="BW64" s="336" t="n"/>
      <c r="BX64" s="336" t="n"/>
      <c r="BY64" s="336" t="n"/>
      <c r="BZ64" s="336" t="n"/>
      <c r="CA64" s="336" t="n"/>
      <c r="CB64" s="336" t="n"/>
      <c r="CC64" s="336" t="n"/>
      <c r="CD64" s="336" t="n"/>
      <c r="CE64" s="336" t="n"/>
    </row>
    <row r="65" customFormat="1" s="538">
      <c r="A65" s="349" t="n"/>
      <c r="B65" s="350" t="n"/>
      <c r="C65" s="353" t="n"/>
      <c r="D65" s="333" t="n"/>
      <c r="E65" s="332" t="n"/>
      <c r="F65" s="336" t="n"/>
      <c r="G65" s="336" t="n"/>
      <c r="H65" s="335" t="n"/>
      <c r="I65" s="336" t="n"/>
      <c r="J65" s="336" t="n"/>
      <c r="K65" s="336" t="n"/>
      <c r="L65" s="336" t="n"/>
      <c r="M65" s="336" t="n"/>
      <c r="N65" s="336" t="n"/>
      <c r="O65" s="336" t="n"/>
      <c r="P65" s="430" t="n"/>
      <c r="Q65" s="430" t="n"/>
      <c r="R65" s="430" t="n"/>
      <c r="S65" s="430" t="n"/>
      <c r="T65" s="430" t="n"/>
      <c r="U65" s="430" t="n"/>
      <c r="V65" s="430" t="n"/>
      <c r="W65" s="430" t="n"/>
      <c r="X65" s="430" t="n"/>
      <c r="Y65" s="430" t="n"/>
      <c r="Z65" s="430" t="n"/>
      <c r="AA65" s="430" t="n"/>
      <c r="AB65" s="430" t="n"/>
      <c r="AC65" s="357" t="n"/>
      <c r="AD65" s="357" t="n"/>
      <c r="AE65" s="357" t="n"/>
      <c r="AF65" s="357" t="n"/>
      <c r="AG65" s="339" t="n"/>
      <c r="AH65" s="339" t="n"/>
      <c r="AI65" s="339" t="n"/>
      <c r="AJ65" s="339" t="n"/>
      <c r="AK65" s="339" t="n"/>
      <c r="AL65" s="339" t="n"/>
      <c r="AM65" s="339" t="n"/>
      <c r="AN65" s="339" t="n"/>
      <c r="AO65" s="339" t="n"/>
      <c r="AP65" s="339" t="n"/>
      <c r="AQ65" s="339" t="n"/>
      <c r="AR65" s="339" t="n"/>
      <c r="AS65" s="339" t="n"/>
      <c r="AT65" s="357" t="n"/>
      <c r="AU65" s="357" t="n"/>
      <c r="AV65" s="357" t="n"/>
      <c r="AW65" s="357" t="n"/>
      <c r="AX65" s="430" t="n"/>
      <c r="AY65" s="336" t="n"/>
      <c r="AZ65" s="336" t="n"/>
      <c r="BA65" s="336" t="n"/>
      <c r="BB65" s="336" t="n"/>
      <c r="BC65" s="336" t="n"/>
      <c r="BD65" s="336" t="n"/>
      <c r="BE65" s="336" t="n"/>
      <c r="BF65" s="336" t="n"/>
      <c r="BG65" s="336" t="n"/>
      <c r="BH65" s="336" t="n"/>
      <c r="BI65" s="336" t="n"/>
      <c r="BJ65" s="336" t="n"/>
      <c r="BK65" s="336" t="n"/>
      <c r="BL65" s="336" t="n"/>
      <c r="BM65" s="336" t="n"/>
      <c r="BN65" s="336" t="n"/>
      <c r="BO65" s="336" t="n"/>
      <c r="BP65" s="336" t="n"/>
      <c r="BQ65" s="336" t="n"/>
      <c r="BR65" s="336" t="n"/>
      <c r="BS65" s="336" t="n"/>
      <c r="BT65" s="336" t="n"/>
      <c r="BU65" s="336" t="n"/>
      <c r="BV65" s="336" t="n"/>
      <c r="BW65" s="336" t="n"/>
      <c r="BX65" s="336" t="n"/>
      <c r="BY65" s="336" t="n"/>
      <c r="BZ65" s="336" t="n"/>
      <c r="CA65" s="336" t="n"/>
      <c r="CB65" s="336" t="n"/>
      <c r="CC65" s="336" t="n"/>
      <c r="CD65" s="336" t="n"/>
      <c r="CE65" s="336" t="n"/>
    </row>
    <row r="66" customFormat="1" s="538">
      <c r="A66" s="358" t="n"/>
      <c r="B66" s="358" t="n"/>
      <c r="C66" s="344" t="n"/>
      <c r="D66" s="345" t="n"/>
      <c r="E66" s="346" t="n"/>
      <c r="F66" s="336" t="n"/>
      <c r="G66" s="336" t="n"/>
      <c r="H66" s="336" t="n"/>
      <c r="I66" s="336" t="n"/>
      <c r="J66" s="336" t="n"/>
      <c r="K66" s="336" t="n"/>
      <c r="L66" s="336" t="n"/>
      <c r="M66" s="336" t="n"/>
      <c r="N66" s="336" t="n"/>
      <c r="O66" s="336" t="n"/>
      <c r="P66" s="357" t="n"/>
      <c r="Q66" s="357" t="n"/>
      <c r="R66" s="357" t="n"/>
      <c r="S66" s="357" t="n"/>
      <c r="T66" s="357" t="n"/>
      <c r="U66" s="357" t="n"/>
      <c r="V66" s="357" t="n"/>
      <c r="W66" s="357" t="n"/>
      <c r="X66" s="357" t="n"/>
      <c r="Y66" s="357" t="n"/>
      <c r="Z66" s="357" t="n"/>
      <c r="AA66" s="357" t="n"/>
      <c r="AB66" s="336" t="n"/>
      <c r="AC66" s="338" t="n"/>
      <c r="AD66" s="338" t="n"/>
      <c r="AE66" s="338" t="n"/>
      <c r="AF66" s="338" t="n"/>
      <c r="AG66" s="339" t="n"/>
      <c r="AH66" s="339" t="n"/>
      <c r="AI66" s="339" t="n"/>
      <c r="AJ66" s="339" t="n"/>
      <c r="AK66" s="339" t="n"/>
      <c r="AL66" s="339" t="n"/>
      <c r="AM66" s="339" t="n"/>
      <c r="AN66" s="339" t="n"/>
      <c r="AO66" s="339" t="n"/>
      <c r="AP66" s="339" t="n"/>
      <c r="AQ66" s="339" t="n"/>
      <c r="AR66" s="339" t="n"/>
      <c r="AS66" s="339" t="n"/>
      <c r="AT66" s="339" t="n"/>
      <c r="AU66" s="339" t="n"/>
      <c r="AV66" s="339" t="n"/>
      <c r="AW66" s="339" t="n"/>
      <c r="AX66" s="357" t="n"/>
      <c r="AY66" s="336" t="n"/>
      <c r="AZ66" s="336" t="n"/>
      <c r="BA66" s="336" t="n"/>
      <c r="BB66" s="336" t="n"/>
      <c r="BC66" s="336" t="n"/>
      <c r="BD66" s="336" t="n"/>
      <c r="BE66" s="336" t="n"/>
      <c r="BF66" s="336" t="n"/>
      <c r="BG66" s="336" t="n"/>
      <c r="BH66" s="336" t="n"/>
      <c r="BI66" s="336" t="n"/>
      <c r="BJ66" s="336" t="n"/>
      <c r="BK66" s="336" t="n"/>
      <c r="BL66" s="336" t="n"/>
      <c r="BM66" s="336" t="n"/>
      <c r="BN66" s="336" t="n"/>
      <c r="BO66" s="336" t="n"/>
      <c r="BP66" s="336" t="n"/>
      <c r="BQ66" s="336" t="n"/>
      <c r="BR66" s="336" t="n"/>
      <c r="BS66" s="336" t="n"/>
      <c r="BT66" s="336" t="n"/>
      <c r="BU66" s="336" t="n"/>
      <c r="BV66" s="336" t="n"/>
      <c r="BW66" s="336" t="n"/>
      <c r="BX66" s="336" t="n"/>
      <c r="BY66" s="336" t="n"/>
      <c r="BZ66" s="336" t="n"/>
      <c r="CA66" s="336" t="n"/>
      <c r="CB66" s="336" t="n"/>
      <c r="CC66" s="336" t="n"/>
      <c r="CD66" s="336" t="n"/>
      <c r="CE66" s="336" t="n"/>
      <c r="CF66" s="361" t="n"/>
    </row>
    <row r="67" customFormat="1" s="538">
      <c r="A67" s="350" t="n"/>
      <c r="B67" s="350" t="n"/>
      <c r="C67" s="353" t="n"/>
      <c r="D67" s="333" t="n"/>
      <c r="E67" s="332" t="n"/>
      <c r="F67" s="336" t="n"/>
      <c r="G67" s="336" t="n"/>
      <c r="H67" s="335" t="n"/>
      <c r="I67" s="336" t="n"/>
      <c r="J67" s="336" t="n"/>
      <c r="K67" s="336" t="n"/>
      <c r="L67" s="336" t="n"/>
      <c r="M67" s="336" t="n"/>
      <c r="N67" s="336" t="n"/>
      <c r="O67" s="336" t="n"/>
      <c r="P67" s="430" t="n"/>
      <c r="Q67" s="430" t="n"/>
      <c r="R67" s="430" t="n"/>
      <c r="S67" s="430" t="n"/>
      <c r="T67" s="430" t="n"/>
      <c r="U67" s="430" t="n"/>
      <c r="V67" s="430" t="n"/>
      <c r="W67" s="430" t="n"/>
      <c r="X67" s="430" t="n"/>
      <c r="Y67" s="430" t="n"/>
      <c r="Z67" s="430" t="n"/>
      <c r="AA67" s="430" t="n"/>
      <c r="AB67" s="430" t="n"/>
      <c r="AC67" s="338" t="n"/>
      <c r="AD67" s="338" t="n"/>
      <c r="AE67" s="338" t="n"/>
      <c r="AF67" s="338" t="n"/>
      <c r="AG67" s="339" t="n"/>
      <c r="AH67" s="339" t="n"/>
      <c r="AI67" s="339" t="n"/>
      <c r="AJ67" s="339" t="n"/>
      <c r="AK67" s="339" t="n"/>
      <c r="AL67" s="339" t="n"/>
      <c r="AM67" s="339" t="n"/>
      <c r="AN67" s="339" t="n"/>
      <c r="AO67" s="339" t="n"/>
      <c r="AP67" s="339" t="n"/>
      <c r="AQ67" s="339" t="n"/>
      <c r="AR67" s="339" t="n"/>
      <c r="AS67" s="339" t="n"/>
      <c r="AT67" s="339" t="n"/>
      <c r="AU67" s="339" t="n"/>
      <c r="AV67" s="339" t="n"/>
      <c r="AW67" s="339" t="n"/>
      <c r="AX67" s="430" t="n"/>
      <c r="AY67" s="336" t="n"/>
      <c r="AZ67" s="336" t="n"/>
      <c r="BA67" s="336" t="n"/>
      <c r="BB67" s="336" t="n"/>
      <c r="BC67" s="336" t="n"/>
      <c r="BD67" s="336" t="n"/>
      <c r="BE67" s="336" t="n"/>
      <c r="BF67" s="336" t="n"/>
      <c r="BG67" s="336" t="n"/>
      <c r="BH67" s="336" t="n"/>
      <c r="BI67" s="336" t="n"/>
      <c r="BJ67" s="336" t="n"/>
      <c r="BK67" s="336" t="n"/>
      <c r="BL67" s="336" t="n"/>
      <c r="BM67" s="336" t="n"/>
      <c r="BN67" s="336" t="n"/>
      <c r="BO67" s="336" t="n"/>
      <c r="BP67" s="336" t="n"/>
      <c r="BQ67" s="336" t="n"/>
      <c r="BR67" s="336" t="n"/>
      <c r="BS67" s="336" t="n"/>
      <c r="BT67" s="336" t="n"/>
      <c r="BU67" s="336" t="n"/>
      <c r="BV67" s="336" t="n"/>
      <c r="BW67" s="336" t="n"/>
      <c r="BX67" s="336" t="n"/>
      <c r="BY67" s="336" t="n"/>
      <c r="BZ67" s="336" t="n"/>
      <c r="CA67" s="336" t="n"/>
      <c r="CB67" s="336" t="n"/>
      <c r="CC67" s="336" t="n"/>
      <c r="CD67" s="336" t="n"/>
      <c r="CE67" s="336" t="n"/>
    </row>
    <row r="68" customFormat="1" s="538">
      <c r="A68" s="350" t="n"/>
      <c r="B68" s="350" t="n"/>
      <c r="C68" s="353" t="n"/>
      <c r="D68" s="333" t="n"/>
      <c r="E68" s="332" t="n"/>
      <c r="F68" s="336" t="n"/>
      <c r="G68" s="336" t="n"/>
      <c r="H68" s="335" t="n"/>
      <c r="I68" s="336" t="n"/>
      <c r="J68" s="336" t="n"/>
      <c r="K68" s="336" t="n"/>
      <c r="L68" s="336" t="n"/>
      <c r="M68" s="336" t="n"/>
      <c r="N68" s="336" t="n"/>
      <c r="O68" s="336" t="n"/>
      <c r="P68" s="430" t="n"/>
      <c r="Q68" s="430" t="n"/>
      <c r="R68" s="430" t="n"/>
      <c r="S68" s="430" t="n"/>
      <c r="T68" s="430" t="n"/>
      <c r="U68" s="430" t="n"/>
      <c r="V68" s="430" t="n"/>
      <c r="W68" s="430" t="n"/>
      <c r="X68" s="430" t="n"/>
      <c r="Y68" s="430" t="n"/>
      <c r="Z68" s="430" t="n"/>
      <c r="AA68" s="430" t="n"/>
      <c r="AB68" s="430" t="n"/>
      <c r="AC68" s="338" t="n"/>
      <c r="AD68" s="338" t="n"/>
      <c r="AE68" s="338" t="n"/>
      <c r="AF68" s="338" t="n"/>
      <c r="AG68" s="339" t="n"/>
      <c r="AH68" s="339" t="n"/>
      <c r="AI68" s="339" t="n"/>
      <c r="AJ68" s="339" t="n"/>
      <c r="AK68" s="339" t="n"/>
      <c r="AL68" s="339" t="n"/>
      <c r="AM68" s="339" t="n"/>
      <c r="AN68" s="339" t="n"/>
      <c r="AO68" s="339" t="n"/>
      <c r="AP68" s="339" t="n"/>
      <c r="AQ68" s="339" t="n"/>
      <c r="AR68" s="339" t="n"/>
      <c r="AS68" s="339" t="n"/>
      <c r="AT68" s="339" t="n"/>
      <c r="AU68" s="339" t="n"/>
      <c r="AV68" s="339" t="n"/>
      <c r="AW68" s="339" t="n"/>
      <c r="AX68" s="430" t="n"/>
      <c r="AY68" s="336" t="n"/>
      <c r="AZ68" s="336" t="n"/>
      <c r="BA68" s="336" t="n"/>
      <c r="BB68" s="336" t="n"/>
      <c r="BC68" s="336" t="n"/>
      <c r="BD68" s="336" t="n"/>
      <c r="BE68" s="336" t="n"/>
      <c r="BF68" s="336" t="n"/>
      <c r="BG68" s="336" t="n"/>
      <c r="BH68" s="336" t="n"/>
      <c r="BI68" s="336" t="n"/>
      <c r="BJ68" s="336" t="n"/>
      <c r="BK68" s="336" t="n"/>
      <c r="BL68" s="336" t="n"/>
      <c r="BM68" s="336" t="n"/>
      <c r="BN68" s="336" t="n"/>
      <c r="BO68" s="336" t="n"/>
      <c r="BP68" s="336" t="n"/>
      <c r="BQ68" s="336" t="n"/>
      <c r="BR68" s="336" t="n"/>
      <c r="BS68" s="336" t="n"/>
      <c r="BT68" s="336" t="n"/>
      <c r="BU68" s="336" t="n"/>
      <c r="BV68" s="336" t="n"/>
      <c r="BW68" s="336" t="n"/>
      <c r="BX68" s="336" t="n"/>
      <c r="BY68" s="336" t="n"/>
      <c r="BZ68" s="336" t="n"/>
      <c r="CA68" s="336" t="n"/>
      <c r="CB68" s="336" t="n"/>
      <c r="CC68" s="336" t="n"/>
      <c r="CD68" s="336" t="n"/>
      <c r="CE68" s="336" t="n"/>
    </row>
    <row r="69" customFormat="1" s="538">
      <c r="A69" s="342" t="n"/>
      <c r="B69" s="358" t="n"/>
      <c r="C69" s="344" t="n"/>
      <c r="D69" s="345" t="n"/>
      <c r="E69" s="346" t="n"/>
      <c r="F69" s="336" t="n"/>
      <c r="G69" s="336" t="n"/>
      <c r="H69" s="335" t="n"/>
      <c r="I69" s="336" t="n"/>
      <c r="J69" s="336" t="n"/>
      <c r="K69" s="336" t="n"/>
      <c r="L69" s="336" t="n"/>
      <c r="M69" s="336" t="n"/>
      <c r="N69" s="336" t="n"/>
      <c r="O69" s="336" t="n"/>
      <c r="P69" s="430" t="n"/>
      <c r="Q69" s="430" t="n"/>
      <c r="R69" s="430" t="n"/>
      <c r="S69" s="430" t="n"/>
      <c r="T69" s="430" t="n"/>
      <c r="U69" s="430" t="n"/>
      <c r="V69" s="430" t="n"/>
      <c r="W69" s="430" t="n"/>
      <c r="X69" s="430" t="n"/>
      <c r="Y69" s="430" t="n"/>
      <c r="Z69" s="430" t="n"/>
      <c r="AA69" s="430" t="n"/>
      <c r="AB69" s="430" t="n"/>
      <c r="AC69" s="338" t="n"/>
      <c r="AD69" s="338" t="n"/>
      <c r="AE69" s="338" t="n"/>
      <c r="AF69" s="338" t="n"/>
      <c r="AG69" s="339" t="n"/>
      <c r="AH69" s="339" t="n"/>
      <c r="AI69" s="339" t="n"/>
      <c r="AJ69" s="339" t="n"/>
      <c r="AK69" s="339" t="n"/>
      <c r="AL69" s="339" t="n"/>
      <c r="AM69" s="339" t="n"/>
      <c r="AN69" s="339" t="n"/>
      <c r="AO69" s="339" t="n"/>
      <c r="AP69" s="339" t="n"/>
      <c r="AQ69" s="339" t="n"/>
      <c r="AR69" s="339" t="n"/>
      <c r="AS69" s="339" t="n"/>
      <c r="AT69" s="339" t="n"/>
      <c r="AU69" s="339" t="n"/>
      <c r="AV69" s="339" t="n"/>
      <c r="AW69" s="339" t="n"/>
      <c r="AX69" s="430" t="n"/>
      <c r="AY69" s="336" t="n"/>
      <c r="AZ69" s="336" t="n"/>
      <c r="BA69" s="336" t="n"/>
      <c r="BB69" s="336" t="n"/>
      <c r="BC69" s="336" t="n"/>
      <c r="BD69" s="336" t="n"/>
      <c r="BE69" s="336" t="n"/>
      <c r="BF69" s="336" t="n"/>
      <c r="BG69" s="336" t="n"/>
      <c r="BH69" s="336" t="n"/>
      <c r="BI69" s="336" t="n"/>
      <c r="BJ69" s="336" t="n"/>
      <c r="BK69" s="336" t="n"/>
      <c r="BL69" s="336" t="n"/>
      <c r="BM69" s="336" t="n"/>
      <c r="BN69" s="336" t="n"/>
      <c r="BO69" s="336" t="n"/>
      <c r="BP69" s="336" t="n"/>
      <c r="BQ69" s="336" t="n"/>
      <c r="BR69" s="336" t="n"/>
      <c r="BS69" s="336" t="n"/>
      <c r="BT69" s="336" t="n"/>
      <c r="BU69" s="336" t="n"/>
      <c r="BV69" s="336" t="n"/>
      <c r="BW69" s="336" t="n"/>
      <c r="BX69" s="336" t="n"/>
      <c r="BY69" s="336" t="n"/>
      <c r="BZ69" s="336" t="n"/>
      <c r="CA69" s="336" t="n"/>
      <c r="CB69" s="336" t="n"/>
      <c r="CC69" s="336" t="n"/>
      <c r="CD69" s="336" t="n"/>
      <c r="CE69" s="336" t="n"/>
      <c r="CF69" s="361" t="n"/>
    </row>
    <row r="70" ht="18" customFormat="1" customHeight="1" s="538">
      <c r="A70" s="660" t="n"/>
      <c r="G70" s="361" t="n"/>
      <c r="H70" s="361" t="n"/>
      <c r="AF70" s="362" t="n"/>
      <c r="AG70" s="362" t="n"/>
      <c r="AH70" s="362" t="n"/>
      <c r="AI70" s="362" t="n"/>
      <c r="AJ70" s="362" t="n"/>
      <c r="AK70" s="362" t="n"/>
      <c r="AL70" s="362" t="n"/>
      <c r="AM70" s="362" t="n"/>
      <c r="AN70" s="362" t="n"/>
      <c r="AO70" s="362" t="n"/>
      <c r="AP70" s="362" t="n"/>
      <c r="AQ70" s="362" t="n"/>
      <c r="AR70" s="362" t="n"/>
      <c r="AS70" s="362" t="n"/>
      <c r="AT70" s="362" t="n"/>
      <c r="AU70" s="362" t="n"/>
      <c r="AV70" s="362" t="n"/>
      <c r="AW70" s="362" t="n"/>
      <c r="AX70" s="358" t="n"/>
      <c r="AY70" s="362" t="n"/>
      <c r="AZ70" s="358" t="n"/>
      <c r="BA70" s="363" t="n"/>
      <c r="BB70" s="362" t="n"/>
      <c r="BI70" s="364" t="n"/>
      <c r="BL70" s="364" t="n"/>
      <c r="BO70" s="364" t="n"/>
      <c r="BR70" s="364" t="n"/>
      <c r="BS70" s="364" t="n"/>
      <c r="BW70" s="364" t="n"/>
      <c r="CA70" s="364" t="n"/>
      <c r="CE70" s="364" t="n"/>
    </row>
    <row r="71" customFormat="1" s="538">
      <c r="A71" s="351" t="n"/>
      <c r="B71" s="351" t="n"/>
      <c r="C71" s="351" t="n"/>
      <c r="D71" s="351" t="n"/>
      <c r="E71" s="351" t="n"/>
      <c r="F71" s="351" t="n"/>
      <c r="G71" s="351" t="n"/>
      <c r="H71" s="351" t="n"/>
      <c r="I71" s="351" t="n"/>
      <c r="J71" s="351" t="n"/>
      <c r="K71" s="351" t="n"/>
      <c r="L71" s="351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  <c r="Y71" s="351" t="n"/>
      <c r="Z71" s="351" t="n"/>
      <c r="AA71" s="351" t="n"/>
      <c r="AB71" s="351" t="n"/>
      <c r="AC71" s="351" t="n"/>
      <c r="AD71" s="351" t="n"/>
      <c r="AE71" s="351" t="n"/>
      <c r="AF71" s="351" t="n"/>
      <c r="AG71" s="351" t="n"/>
      <c r="AH71" s="351" t="n"/>
      <c r="AI71" s="351" t="n"/>
      <c r="AJ71" s="351" t="n"/>
      <c r="AK71" s="351" t="n"/>
      <c r="AL71" s="351" t="n"/>
      <c r="AM71" s="351" t="n"/>
      <c r="AN71" s="351" t="n"/>
      <c r="AO71" s="351" t="n"/>
      <c r="AP71" s="351" t="n"/>
      <c r="AQ71" s="351" t="n"/>
      <c r="AR71" s="351" t="n"/>
      <c r="AS71" s="351" t="n"/>
      <c r="AT71" s="351" t="n"/>
      <c r="AU71" s="351" t="n"/>
      <c r="AV71" s="351" t="n"/>
      <c r="AW71" s="351" t="n"/>
      <c r="CF71" s="361" t="n"/>
    </row>
    <row r="72" customFormat="1" s="538">
      <c r="A72" s="351" t="n"/>
      <c r="B72" s="351" t="n"/>
      <c r="C72" s="351" t="n"/>
      <c r="D72" s="352" t="n"/>
      <c r="E72" s="365" t="n"/>
      <c r="F72" s="361" t="n"/>
      <c r="G72" s="361" t="n"/>
      <c r="H72" s="361" t="n"/>
    </row>
    <row r="73" customFormat="1" s="538">
      <c r="A73" s="351" t="n"/>
      <c r="B73" s="351" t="n"/>
      <c r="C73" s="351" t="n"/>
      <c r="D73" s="352" t="n"/>
      <c r="E73" s="365" t="n"/>
    </row>
    <row r="74" customFormat="1" s="538">
      <c r="A74" s="351" t="n"/>
      <c r="B74" s="351" t="n"/>
      <c r="C74" s="351" t="n"/>
      <c r="D74" s="352" t="n"/>
      <c r="E74" s="365" t="n"/>
    </row>
    <row r="75"/>
    <row r="76"/>
    <row r="77"/>
    <row r="78" ht="18" customHeight="1" s="191">
      <c r="AR78" s="200" t="n"/>
    </row>
  </sheetData>
  <mergeCells count="3">
    <mergeCell ref="A70:E70"/>
    <mergeCell ref="BX1:CA1"/>
    <mergeCell ref="CB1:CE1"/>
  </mergeCells>
  <conditionalFormatting sqref="P75:AW77 P78:AQ78 P79:AB1048576 AG79:AS1048576 AS78:AW78">
    <cfRule type="cellIs" priority="19" operator="greaterThan" dxfId="0">
      <formula>0</formula>
    </cfRule>
  </conditionalFormatting>
  <conditionalFormatting sqref="F5:S5 P29:Y29 R4:AB4 AG4:AW4 AP29:AW29">
    <cfRule type="cellIs" priority="18" operator="greaterThan" dxfId="0">
      <formula>0</formula>
    </cfRule>
  </conditionalFormatting>
  <conditionalFormatting sqref="AX75:BC78">
    <cfRule type="cellIs" priority="16" operator="greaterThan" dxfId="0">
      <formula>0</formula>
    </cfRule>
  </conditionalFormatting>
  <conditionalFormatting sqref="AX4:CE4">
    <cfRule type="cellIs" priority="15" operator="greaterThan" dxfId="0">
      <formula>0</formula>
    </cfRule>
  </conditionalFormatting>
  <conditionalFormatting sqref="BD9:CE9">
    <cfRule type="cellIs" priority="8" operator="greaterThan" dxfId="0">
      <formula>0</formula>
    </cfRule>
  </conditionalFormatting>
  <conditionalFormatting sqref="AK16:CE16">
    <cfRule type="cellIs" priority="7" operator="greaterThan" dxfId="0">
      <formula>0</formula>
    </cfRule>
  </conditionalFormatting>
  <conditionalFormatting sqref="BC23:CE23">
    <cfRule type="cellIs" priority="6" operator="greaterThan" dxfId="0">
      <formula>0</formula>
    </cfRule>
  </conditionalFormatting>
  <conditionalFormatting sqref="P6:AB9 P11:AB22 P23:S23 P24:AB28 Q10:AB10 T5:AB5 Z29:AB29 AG5:AS15 AG16:AJ16 AG17:AS25 AP26:AS28">
    <cfRule type="cellIs" priority="10" operator="greaterThan" dxfId="0">
      <formula>0</formula>
    </cfRule>
  </conditionalFormatting>
  <conditionalFormatting sqref="AC5:AF16 AC18:AF29">
    <cfRule type="cellIs" priority="9" operator="greaterThan" dxfId="51">
      <formula>0</formula>
    </cfRule>
  </conditionalFormatting>
  <conditionalFormatting sqref="AG26:AO29">
    <cfRule type="cellIs" priority="4" operator="greaterThan" dxfId="0">
      <formula>0</formula>
    </cfRule>
  </conditionalFormatting>
  <conditionalFormatting sqref="Y23:AB23">
    <cfRule type="cellIs" priority="2" operator="greaterThan" dxfId="0">
      <formula>0</formula>
    </cfRule>
  </conditionalFormatting>
  <conditionalFormatting sqref="T23:X23">
    <cfRule type="cellIs" priority="3" operator="greaterThan" dxfId="0">
      <formula>0</formula>
    </cfRule>
  </conditionalFormatting>
  <conditionalFormatting sqref="N31:O31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M78"/>
  <sheetViews>
    <sheetView zoomScale="85" zoomScaleNormal="85"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E3" sqref="E3"/>
    </sheetView>
  </sheetViews>
  <sheetFormatPr baseColWidth="8" defaultColWidth="14.44140625" defaultRowHeight="14.4"/>
  <cols>
    <col width="5" customWidth="1" style="104" min="1" max="1"/>
    <col width="4.44140625" customWidth="1" style="104" min="2" max="2"/>
    <col width="3" customWidth="1" style="104" min="3" max="3"/>
    <col width="9" bestFit="1" customWidth="1" style="117" min="4" max="4"/>
    <col width="78.33203125" customWidth="1" style="125" min="5" max="5"/>
    <col width="11.33203125" customWidth="1" style="191" min="6" max="7"/>
    <col width="8.109375" bestFit="1" customWidth="1" style="191" min="8" max="8"/>
    <col width="11.33203125" customWidth="1" style="191" min="9" max="13"/>
    <col width="9.109375" customWidth="1" style="191" min="14" max="28"/>
    <col width="9.109375" customWidth="1" style="191" min="29" max="32"/>
    <col width="8.21875" customWidth="1" style="191" min="33" max="41"/>
    <col width="9.109375" customWidth="1" style="191" min="42" max="45"/>
    <col width="9.109375" customWidth="1" style="191" min="46" max="49"/>
    <col width="9.109375" customWidth="1" style="191" min="50" max="52"/>
    <col width="10.88671875" bestFit="1" customWidth="1" style="191" min="53" max="53"/>
    <col width="13.109375" bestFit="1" customWidth="1" style="191" min="54" max="54"/>
    <col width="14.88671875" customWidth="1" style="191" min="55" max="55"/>
    <col width="9.109375" customWidth="1" style="191" min="56" max="61"/>
    <col width="11.5546875" customWidth="1" style="191" min="62" max="62"/>
    <col width="8.6640625" customWidth="1" style="191" min="63" max="70"/>
    <col width="10.33203125" customWidth="1" style="191" min="71" max="71"/>
    <col width="7.44140625" customWidth="1" style="191" min="72" max="72"/>
    <col width="8.6640625" customWidth="1" style="191" min="73" max="75"/>
    <col width="8.44140625" customWidth="1" style="191" min="76" max="76"/>
    <col width="8.6640625" customWidth="1" style="191" min="77" max="84"/>
  </cols>
  <sheetData>
    <row r="1" ht="15" customHeight="1" s="191" thickBot="1">
      <c r="A1" s="538" t="n"/>
      <c r="B1" s="309" t="n"/>
      <c r="C1" s="285" t="n"/>
      <c r="D1" s="156" t="n"/>
      <c r="E1" s="678" t="inlineStr">
        <is>
          <t>HARMONOGRAM SKOMPRESOWANY v1  |  01.01.2027 – 28.09.2029  |  Kompresja −40% per zadanie  |  Endava +5 etatów  |  AGH +4 etatów</t>
        </is>
      </c>
      <c r="F1" s="538" t="n"/>
      <c r="G1" s="538" t="n"/>
      <c r="H1" s="538" t="n"/>
      <c r="I1" s="538" t="n"/>
      <c r="J1" s="551">
        <f>II_Baza_BDP!M1+1</f>
        <v/>
      </c>
      <c r="K1" s="475" t="inlineStr">
        <is>
          <t>równolegle z Zadaniem V</t>
        </is>
      </c>
      <c r="L1" s="475" t="n"/>
      <c r="M1" s="551">
        <f>MAX(M3:M9999)</f>
        <v/>
      </c>
      <c r="N1" s="679">
        <f>SUM(N$4:N$999)</f>
        <v/>
      </c>
      <c r="O1" s="686">
        <f>SUM(O$4:O$999)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AX1" s="373">
        <f>#REF!</f>
        <v/>
      </c>
      <c r="AY1" s="374" t="n"/>
      <c r="AZ1" s="374" t="n"/>
      <c r="BA1" s="374" t="n"/>
      <c r="BB1" s="375" t="n"/>
    </row>
    <row r="2" ht="100.8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380">
        <f>Karta!BH2</f>
        <v/>
      </c>
      <c r="AY2" s="380">
        <f>Karta!BI2</f>
        <v/>
      </c>
      <c r="AZ2" s="380">
        <f>Karta!BJ2</f>
        <v/>
      </c>
      <c r="BA2" s="380">
        <f>Karta!BK2</f>
        <v/>
      </c>
      <c r="BB2" s="380">
        <f>Karta!BL2</f>
        <v/>
      </c>
      <c r="BC2" s="6">
        <f>Karta!BM2</f>
        <v/>
      </c>
      <c r="BD2" s="6">
        <f>Karta!BN2</f>
        <v/>
      </c>
      <c r="BE2" s="6">
        <f>Karta!BO2</f>
        <v/>
      </c>
      <c r="BF2" s="6">
        <f>Karta!BP2</f>
        <v/>
      </c>
      <c r="BG2" s="6">
        <f>Karta!BQ2</f>
        <v/>
      </c>
      <c r="BH2" s="6">
        <f>Karta!BR2</f>
        <v/>
      </c>
      <c r="BI2" s="6">
        <f>Karta!BS2</f>
        <v/>
      </c>
      <c r="BJ2" s="6">
        <f>Karta!BT2</f>
        <v/>
      </c>
      <c r="BK2" s="6">
        <f>Karta!BU2</f>
        <v/>
      </c>
      <c r="BL2" s="6">
        <f>Karta!BV2</f>
        <v/>
      </c>
      <c r="BM2" s="6">
        <f>Karta!BW2</f>
        <v/>
      </c>
      <c r="BN2" s="6">
        <f>Karta!BX2</f>
        <v/>
      </c>
      <c r="BO2" s="6">
        <f>Karta!BY2</f>
        <v/>
      </c>
      <c r="BP2" s="6">
        <f>Karta!BZ2</f>
        <v/>
      </c>
      <c r="BQ2" s="6">
        <f>Karta!CA2</f>
        <v/>
      </c>
      <c r="BR2" s="6">
        <f>Karta!CB2</f>
        <v/>
      </c>
      <c r="BS2" s="6">
        <f>Karta!CC2</f>
        <v/>
      </c>
      <c r="BT2" s="6">
        <f>Karta!CD2</f>
        <v/>
      </c>
      <c r="BU2" s="6">
        <f>Karta!CE2</f>
        <v/>
      </c>
      <c r="BV2" s="6">
        <f>Karta!CF2</f>
        <v/>
      </c>
      <c r="BW2" s="6">
        <f>Karta!CG2</f>
        <v/>
      </c>
      <c r="BX2" s="6">
        <f>Karta!CH2</f>
        <v/>
      </c>
      <c r="BY2" s="6">
        <f>Karta!CI2</f>
        <v/>
      </c>
      <c r="BZ2" s="6">
        <f>Karta!CJ2</f>
        <v/>
      </c>
      <c r="CA2" s="6">
        <f>Karta!CK2</f>
        <v/>
      </c>
      <c r="CB2" s="6">
        <f>Karta!CL2</f>
        <v/>
      </c>
      <c r="CC2" s="6">
        <f>Karta!CM2</f>
        <v/>
      </c>
      <c r="CD2" s="6">
        <f>Karta!CN2</f>
        <v/>
      </c>
      <c r="CE2" s="6">
        <f>Karta!CO2</f>
        <v/>
      </c>
      <c r="CF2" s="6">
        <f>Karta!CP2</f>
        <v/>
      </c>
    </row>
    <row r="3" ht="15.6" customFormat="1" customHeight="1" s="141">
      <c r="A3" s="182" t="inlineStr">
        <is>
          <t>.z03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202" t="n"/>
      <c r="G3" s="202" t="n"/>
      <c r="H3" s="203" t="n"/>
      <c r="I3" s="203" t="n"/>
      <c r="J3" s="172" t="n"/>
      <c r="K3" s="172" t="n"/>
      <c r="L3" s="172" t="n"/>
      <c r="M3" s="172" t="n"/>
      <c r="N3" s="172" t="n"/>
      <c r="O3" s="172" t="n"/>
      <c r="P3" s="172" t="n"/>
      <c r="Q3" s="172" t="n"/>
      <c r="R3" s="172" t="n"/>
      <c r="S3" s="172" t="n"/>
      <c r="T3" s="172" t="n"/>
      <c r="U3" s="172" t="n"/>
      <c r="V3" s="172" t="n"/>
      <c r="W3" s="172" t="n"/>
      <c r="X3" s="172" t="n"/>
      <c r="Y3" s="172" t="n"/>
      <c r="Z3" s="172" t="n"/>
      <c r="AA3" s="172" t="n"/>
      <c r="AB3" s="172" t="n"/>
      <c r="AC3" s="172" t="n"/>
      <c r="AD3" s="172" t="n"/>
      <c r="AE3" s="172" t="n"/>
      <c r="AF3" s="172" t="n"/>
      <c r="AG3" s="172" t="n"/>
      <c r="AH3" s="172" t="n"/>
      <c r="AI3" s="172" t="n"/>
      <c r="AJ3" s="172" t="n"/>
      <c r="AK3" s="172" t="n"/>
      <c r="AL3" s="172" t="n"/>
      <c r="AM3" s="172" t="n"/>
      <c r="AN3" s="172" t="n"/>
      <c r="AO3" s="172" t="n"/>
      <c r="AP3" s="172" t="n"/>
      <c r="AQ3" s="172" t="n"/>
      <c r="AR3" s="172" t="n"/>
      <c r="AS3" s="172" t="n"/>
      <c r="AT3" s="172" t="n"/>
      <c r="AU3" s="172" t="n"/>
      <c r="AV3" s="172" t="n"/>
      <c r="AW3" s="172" t="n"/>
      <c r="AX3" s="4" t="n"/>
      <c r="AY3" s="4" t="n"/>
      <c r="AZ3" s="4" t="n"/>
      <c r="BA3" s="4" t="n"/>
      <c r="BB3" s="4" t="n"/>
      <c r="BC3" s="4" t="n"/>
      <c r="BD3" s="3" t="n"/>
      <c r="BE3" s="3" t="n"/>
      <c r="BF3" s="4" t="n"/>
      <c r="BG3" s="4" t="n"/>
      <c r="BH3" s="3" t="n"/>
      <c r="BI3" s="174" t="n"/>
      <c r="BJ3" s="4" t="n"/>
      <c r="BK3" s="209" t="n"/>
      <c r="BL3" s="483" t="n"/>
      <c r="BM3" s="210" t="n"/>
      <c r="BN3" s="209" t="n"/>
      <c r="BO3" s="483" t="n"/>
      <c r="BP3" s="210" t="n"/>
      <c r="BQ3" s="209" t="n"/>
      <c r="BR3" s="483" t="n"/>
      <c r="BS3" s="483" t="n"/>
      <c r="BT3" s="210" t="n"/>
      <c r="BU3" s="4" t="n"/>
      <c r="BV3" s="4" t="n"/>
      <c r="BW3" s="483" t="n"/>
      <c r="BX3" s="4" t="n"/>
      <c r="BY3" s="4" t="n"/>
      <c r="BZ3" s="4" t="n"/>
      <c r="CA3" s="483" t="n"/>
      <c r="CB3" s="4" t="n"/>
      <c r="CC3" s="4" t="n"/>
      <c r="CD3" s="4" t="n"/>
      <c r="CE3" s="483" t="n"/>
      <c r="CF3" s="659" t="n"/>
    </row>
    <row r="4">
      <c r="A4" s="118" t="n">
        <v>1</v>
      </c>
      <c r="B4" s="64" t="inlineStr">
        <is>
          <t>a</t>
        </is>
      </c>
      <c r="C4" s="105" t="n">
        <v>0</v>
      </c>
      <c r="D4" s="116">
        <f>CONCATENATE(A$3,"_",A4,"_",B4,"_",C4)</f>
        <v/>
      </c>
      <c r="E4" s="85" t="inlineStr">
        <is>
          <t>1.Identyfikacja, analiza i mapowanie procesu pakowania towarów (PT</t>
        </is>
      </c>
      <c r="F4" s="148" t="n"/>
      <c r="G4" s="148" t="n"/>
      <c r="H4" s="51" t="n"/>
      <c r="I4" s="85" t="inlineStr">
        <is>
          <t>ACT</t>
        </is>
      </c>
      <c r="J4" s="90" t="n"/>
      <c r="K4" s="90" t="n"/>
      <c r="L4" s="90" t="n"/>
      <c r="M4" s="90" t="n"/>
      <c r="N4" s="90" t="n"/>
      <c r="O4" s="90" t="n"/>
      <c r="P4" s="90" t="n"/>
      <c r="Q4" s="468" t="n"/>
      <c r="R4" s="468" t="n"/>
      <c r="S4" s="468" t="n"/>
      <c r="T4" s="468" t="n"/>
      <c r="U4" s="130" t="n"/>
      <c r="V4" s="130" t="n"/>
      <c r="W4" s="130" t="n"/>
      <c r="X4" s="468" t="n"/>
      <c r="Y4" s="468" t="n"/>
      <c r="Z4" s="468" t="n"/>
      <c r="AA4" s="468" t="n"/>
      <c r="AB4" s="468" t="n"/>
      <c r="AC4" s="468" t="n"/>
      <c r="AD4" s="468" t="n"/>
      <c r="AE4" s="468" t="n"/>
      <c r="AF4" s="468" t="n"/>
      <c r="AG4" s="468" t="n"/>
      <c r="AH4" s="468" t="n"/>
      <c r="AI4" s="468" t="n"/>
      <c r="AJ4" s="468" t="n"/>
      <c r="AK4" s="468" t="n"/>
      <c r="AL4" s="130" t="n"/>
      <c r="AM4" s="130" t="n"/>
      <c r="AN4" s="130" t="n"/>
      <c r="AO4" s="468" t="n"/>
      <c r="AP4" s="468" t="n"/>
      <c r="AQ4" s="468" t="n"/>
      <c r="AR4" s="468" t="n"/>
      <c r="AS4" s="468" t="n"/>
      <c r="AT4" s="468" t="n"/>
      <c r="AU4" s="468" t="n"/>
      <c r="AV4" s="468" t="n"/>
      <c r="AW4" s="468" t="n"/>
      <c r="AX4" s="468" t="n"/>
      <c r="AY4" s="468" t="n"/>
      <c r="AZ4" s="468" t="n"/>
      <c r="BA4" s="468" t="n"/>
      <c r="BB4" s="468" t="n"/>
      <c r="BC4" s="468" t="n"/>
      <c r="BD4" s="468" t="n"/>
      <c r="BE4" s="468" t="n"/>
      <c r="BF4" s="468" t="n"/>
      <c r="BG4" s="468" t="n"/>
      <c r="BH4" s="468" t="n"/>
      <c r="BI4" s="468" t="n"/>
      <c r="BJ4" s="468" t="n"/>
      <c r="BK4" s="468" t="n"/>
      <c r="BL4" s="468" t="n"/>
      <c r="BM4" s="468" t="n"/>
      <c r="BN4" s="468" t="n"/>
      <c r="BO4" s="468" t="n"/>
      <c r="BP4" s="468" t="n"/>
      <c r="BQ4" s="468" t="n"/>
      <c r="BR4" s="468" t="n"/>
      <c r="BS4" s="468" t="n"/>
      <c r="BT4" s="468" t="n"/>
      <c r="BU4" s="468" t="n"/>
      <c r="BV4" s="468" t="n"/>
      <c r="BW4" s="468" t="n"/>
      <c r="BX4" s="468" t="n"/>
      <c r="BY4" s="468" t="n"/>
      <c r="BZ4" s="468" t="n"/>
      <c r="CA4" s="468" t="n"/>
      <c r="CB4" s="468" t="n"/>
      <c r="CC4" s="468" t="n"/>
      <c r="CD4" s="468" t="n"/>
      <c r="CE4" s="468" t="n"/>
      <c r="CF4" s="468" t="n"/>
      <c r="CG4" s="468" t="n"/>
      <c r="CH4" s="468" t="n"/>
      <c r="CI4" s="468" t="n"/>
      <c r="CJ4" s="468" t="n"/>
      <c r="CK4" s="468" t="n"/>
      <c r="CL4" s="468" t="n"/>
      <c r="CM4" s="468" t="n"/>
    </row>
    <row r="5">
      <c r="A5" s="112" t="n">
        <v>1</v>
      </c>
      <c r="B5" s="64" t="inlineStr">
        <is>
          <t>a</t>
        </is>
      </c>
      <c r="C5" s="105" t="n">
        <v>1</v>
      </c>
      <c r="D5" s="116">
        <f>CONCATENATE(A$3,"_",A5,"_",B5,"_",C5)</f>
        <v/>
      </c>
      <c r="E5" s="122" t="inlineStr">
        <is>
          <t>Identyfikacja i analiza kluczowych etapów PT i ich interakcji</t>
        </is>
      </c>
      <c r="F5" s="528">
        <f>IFERROR(VLOOKUP($I5,Listy!$A:$H,2,FALSE),"XXX")</f>
        <v/>
      </c>
      <c r="G5" s="528">
        <f>IFERROR(VLOOKUP($I5,Listy!$A:$H,3,FALSE),"XXX")</f>
        <v/>
      </c>
      <c r="H5" s="140" t="n">
        <v>1</v>
      </c>
      <c r="I5" s="89" t="inlineStr">
        <is>
          <t>.a01</t>
        </is>
      </c>
      <c r="J5" s="475">
        <f>J1</f>
        <v/>
      </c>
      <c r="K5" s="681">
        <f>VLOOKUP(J5,Kalendarz!B:E,4,FALSE)</f>
        <v/>
      </c>
      <c r="L5" s="681">
        <f>K5+N5</f>
        <v/>
      </c>
      <c r="M5" s="528">
        <f>J5+N5-1</f>
        <v/>
      </c>
      <c r="N5" s="474" t="n">
        <v>7</v>
      </c>
      <c r="O5" s="528" t="n">
        <v>120</v>
      </c>
      <c r="P5" s="187" t="n">
        <v>1</v>
      </c>
      <c r="Q5" s="187" t="n"/>
      <c r="R5" s="187" t="n"/>
      <c r="S5" s="187" t="n"/>
      <c r="T5" s="187" t="n"/>
      <c r="U5" s="187" t="n"/>
      <c r="V5" s="187" t="n"/>
      <c r="W5" s="187" t="n"/>
      <c r="X5" s="187" t="n"/>
      <c r="Y5" s="243" t="n">
        <v>0</v>
      </c>
      <c r="Z5" s="243" t="n">
        <v>0</v>
      </c>
      <c r="AA5" s="243" t="n">
        <v>0</v>
      </c>
      <c r="AB5" s="243" t="n">
        <v>0</v>
      </c>
      <c r="AC5" s="300" t="n"/>
      <c r="AD5" s="300" t="n"/>
      <c r="AE5" s="300" t="n"/>
      <c r="AF5" s="300" t="n"/>
      <c r="AG5" s="297">
        <f>ROUND($O5*P5,0)</f>
        <v/>
      </c>
      <c r="AH5" s="297">
        <f>ROUND($O5*Q5,0)</f>
        <v/>
      </c>
      <c r="AI5" s="297">
        <f>ROUND($O5*R5,0)</f>
        <v/>
      </c>
      <c r="AJ5" s="297">
        <f>ROUND($O5*S5,0)</f>
        <v/>
      </c>
      <c r="AK5" s="297">
        <f>ROUND($O5*T5,0)</f>
        <v/>
      </c>
      <c r="AL5" s="297">
        <f>ROUND($O5*U5,0)</f>
        <v/>
      </c>
      <c r="AM5" s="297">
        <f>ROUND($O5*V5,0)</f>
        <v/>
      </c>
      <c r="AN5" s="297">
        <f>ROUND($O5*W5,0)</f>
        <v/>
      </c>
      <c r="AO5" s="297">
        <f>ROUND($O5*X5,0)</f>
        <v/>
      </c>
      <c r="AP5" s="298">
        <f>ROUND($O5*Y5,0)</f>
        <v/>
      </c>
      <c r="AQ5" s="298">
        <f>ROUND($O5*Z5,0)</f>
        <v/>
      </c>
      <c r="AR5" s="298">
        <f>ROUND($O5*AA5,0)</f>
        <v/>
      </c>
      <c r="AS5" s="298">
        <f>ROUND($O5*AB5,0)</f>
        <v/>
      </c>
      <c r="AT5" s="196" t="n"/>
      <c r="AU5" s="196" t="n"/>
      <c r="AV5" s="196" t="n"/>
      <c r="AW5" s="196" t="n"/>
      <c r="AX5" s="236">
        <f>SUM(AG5:AO5)</f>
        <v/>
      </c>
      <c r="AY5" s="528">
        <f>AX5/160</f>
        <v/>
      </c>
      <c r="AZ5" s="87">
        <f>VLOOKUP(I5,Listy!$A$1:$H$9,6,FALSE)</f>
        <v/>
      </c>
      <c r="BA5" s="682">
        <f>AY5*AZ5</f>
        <v/>
      </c>
      <c r="BB5" s="683">
        <f>AY5*BA5</f>
        <v/>
      </c>
      <c r="BC5" s="528" t="n"/>
      <c r="BD5" s="528" t="n"/>
      <c r="BE5" s="528" t="n"/>
      <c r="BF5" s="528" t="n"/>
      <c r="BG5" s="528" t="n"/>
      <c r="BH5" s="528" t="n"/>
      <c r="BI5" s="21">
        <f>BG5*BH5</f>
        <v/>
      </c>
      <c r="BJ5" s="528" t="n"/>
      <c r="BK5" s="528" t="n"/>
      <c r="BL5" s="21" t="n"/>
      <c r="BM5" s="528" t="n"/>
      <c r="BN5" s="528" t="n"/>
      <c r="BO5" s="21" t="n"/>
      <c r="BP5" s="528" t="n"/>
      <c r="BQ5" s="528" t="n"/>
      <c r="BR5" s="21" t="n"/>
      <c r="BS5" s="21" t="n"/>
      <c r="BT5" s="528" t="n"/>
      <c r="BU5" s="528" t="n"/>
      <c r="BV5" s="528" t="n"/>
      <c r="BW5" s="21">
        <f>BU5*BV5</f>
        <v/>
      </c>
      <c r="BX5" s="528" t="n"/>
      <c r="BY5" s="528" t="n"/>
      <c r="BZ5" s="528" t="n"/>
      <c r="CA5" s="21">
        <f>BY5*BZ5</f>
        <v/>
      </c>
      <c r="CB5" s="528" t="n"/>
      <c r="CC5" s="528" t="n"/>
      <c r="CD5" s="528" t="n"/>
      <c r="CE5" s="21">
        <f>CC5*CD5</f>
        <v/>
      </c>
    </row>
    <row r="6">
      <c r="A6" s="112" t="n">
        <v>1</v>
      </c>
      <c r="B6" s="64" t="inlineStr">
        <is>
          <t>b</t>
        </is>
      </c>
      <c r="C6" s="105" t="n">
        <v>1</v>
      </c>
      <c r="D6" s="116">
        <f>CONCATENATE(A$3,"_",A6,"_",B6,"_",C6)</f>
        <v/>
      </c>
      <c r="E6" s="122" t="inlineStr">
        <is>
          <t>Określenie wskaźników KPI do oceny efektywności symulacji</t>
        </is>
      </c>
      <c r="F6" s="528">
        <f>IFERROR(VLOOKUP($I6,Listy!$A:$H,2,FALSE),"XXX")</f>
        <v/>
      </c>
      <c r="G6" s="528">
        <f>IFERROR(VLOOKUP($I6,Listy!$A:$H,3,FALSE),"XXX")</f>
        <v/>
      </c>
      <c r="H6" s="140" t="n">
        <v>1</v>
      </c>
      <c r="I6" s="89" t="inlineStr">
        <is>
          <t>.a02</t>
        </is>
      </c>
      <c r="J6" s="91">
        <f>M5+1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76" t="n">
        <v>0</v>
      </c>
      <c r="O6" s="528" t="n">
        <v>120</v>
      </c>
      <c r="P6" s="187" t="n"/>
      <c r="Q6" s="187" t="n">
        <v>1</v>
      </c>
      <c r="R6" s="187" t="n"/>
      <c r="S6" s="187" t="n"/>
      <c r="T6" s="187" t="n"/>
      <c r="U6" s="187" t="n"/>
      <c r="V6" s="187" t="n"/>
      <c r="W6" s="187" t="n"/>
      <c r="X6" s="187" t="n"/>
      <c r="Y6" s="243" t="n">
        <v>0</v>
      </c>
      <c r="Z6" s="243" t="n">
        <v>0</v>
      </c>
      <c r="AA6" s="243" t="n">
        <v>0</v>
      </c>
      <c r="AB6" s="243" t="n">
        <v>0</v>
      </c>
      <c r="AC6" s="300" t="n"/>
      <c r="AD6" s="300" t="n"/>
      <c r="AE6" s="300" t="n"/>
      <c r="AF6" s="300" t="n"/>
      <c r="AG6" s="297">
        <f>ROUND($O6*P6,0)</f>
        <v/>
      </c>
      <c r="AH6" s="297">
        <f>ROUND($O6*Q6,0)</f>
        <v/>
      </c>
      <c r="AI6" s="297">
        <f>ROUND($O6*R6,0)</f>
        <v/>
      </c>
      <c r="AJ6" s="297">
        <f>ROUND($O6*S6,0)</f>
        <v/>
      </c>
      <c r="AK6" s="297">
        <f>ROUND($O6*T6,0)</f>
        <v/>
      </c>
      <c r="AL6" s="297">
        <f>ROUND($O6*U6,0)</f>
        <v/>
      </c>
      <c r="AM6" s="297">
        <f>ROUND($O6*V6,0)</f>
        <v/>
      </c>
      <c r="AN6" s="297">
        <f>ROUND($O6*W6,0)</f>
        <v/>
      </c>
      <c r="AO6" s="297">
        <f>ROUND($O6*X6,0)</f>
        <v/>
      </c>
      <c r="AP6" s="298">
        <f>ROUND($O6*Y6,0)</f>
        <v/>
      </c>
      <c r="AQ6" s="298">
        <f>ROUND($O6*Z6,0)</f>
        <v/>
      </c>
      <c r="AR6" s="298">
        <f>ROUND($O6*AA6,0)</f>
        <v/>
      </c>
      <c r="AS6" s="298">
        <f>ROUND($O6*AB6,0)</f>
        <v/>
      </c>
      <c r="AT6" s="194" t="n"/>
      <c r="AU6" s="194" t="n"/>
      <c r="AV6" s="194" t="n"/>
      <c r="AW6" s="194" t="n"/>
      <c r="AX6" s="236">
        <f>SUM(AG6:AO6)</f>
        <v/>
      </c>
      <c r="AY6" s="528">
        <f>AX6/160</f>
        <v/>
      </c>
      <c r="AZ6" s="87">
        <f>VLOOKUP(I6,Listy!$A$1:$H$9,6,FALSE)</f>
        <v/>
      </c>
      <c r="BA6" s="682">
        <f>AY6*AZ6</f>
        <v/>
      </c>
      <c r="BB6" s="683">
        <f>AY6*BA6</f>
        <v/>
      </c>
      <c r="BC6" s="528" t="n"/>
      <c r="BD6" s="528" t="n"/>
      <c r="BE6" s="528" t="n"/>
      <c r="BF6" s="528" t="n"/>
      <c r="BG6" s="528" t="n"/>
      <c r="BH6" s="528" t="n"/>
      <c r="BI6" s="21">
        <f>BG6*BH6</f>
        <v/>
      </c>
      <c r="BJ6" s="528" t="n"/>
      <c r="BK6" s="528" t="n"/>
      <c r="BL6" s="528" t="n"/>
      <c r="BM6" s="528" t="n"/>
      <c r="BN6" s="528" t="n"/>
      <c r="BO6" s="528" t="n"/>
      <c r="BP6" s="528" t="n"/>
      <c r="BQ6" s="528" t="n"/>
      <c r="BR6" s="528" t="n"/>
      <c r="BS6" s="528" t="n"/>
      <c r="BT6" s="528" t="n"/>
      <c r="BU6" s="528" t="n"/>
      <c r="BV6" s="528" t="n"/>
      <c r="BW6" s="21">
        <f>BU6*BV6</f>
        <v/>
      </c>
      <c r="BX6" s="528" t="n"/>
      <c r="BY6" s="528" t="n"/>
      <c r="BZ6" s="528" t="n"/>
      <c r="CA6" s="21">
        <f>BY6*BZ6</f>
        <v/>
      </c>
      <c r="CB6" s="528" t="n"/>
      <c r="CC6" s="528" t="n"/>
      <c r="CD6" s="528" t="n"/>
      <c r="CE6" s="21">
        <f>CC6*CD6</f>
        <v/>
      </c>
    </row>
    <row r="7">
      <c r="A7" s="112" t="n">
        <v>1</v>
      </c>
      <c r="B7" s="64" t="inlineStr">
        <is>
          <t>c</t>
        </is>
      </c>
      <c r="C7" s="105" t="n">
        <v>1</v>
      </c>
      <c r="D7" s="116">
        <f>CONCATENATE(A$3,"_",A7,"_",B7,"_",C7)</f>
        <v/>
      </c>
      <c r="E7" s="122" t="inlineStr">
        <is>
          <t>Analiza wydajności</t>
        </is>
      </c>
      <c r="F7" s="528">
        <f>IFERROR(VLOOKUP($I7,Listy!$A:$H,2,FALSE),"XXX")</f>
        <v/>
      </c>
      <c r="G7" s="528">
        <f>IFERROR(VLOOKUP($I7,Listy!$A:$H,3,FALSE),"XXX")</f>
        <v/>
      </c>
      <c r="H7" s="140" t="n">
        <v>2</v>
      </c>
      <c r="I7" s="89" t="inlineStr">
        <is>
          <t>.a03</t>
        </is>
      </c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76" t="n">
        <v>0</v>
      </c>
      <c r="O7" s="528" t="n">
        <v>120</v>
      </c>
      <c r="P7" s="187" t="n"/>
      <c r="Q7" s="187" t="n"/>
      <c r="R7" s="187" t="n">
        <v>1</v>
      </c>
      <c r="S7" s="187" t="n"/>
      <c r="T7" s="187" t="n"/>
      <c r="U7" s="187" t="n"/>
      <c r="V7" s="187" t="n"/>
      <c r="W7" s="187" t="n"/>
      <c r="X7" s="187" t="n"/>
      <c r="Y7" s="243" t="n">
        <v>0</v>
      </c>
      <c r="Z7" s="243" t="n">
        <v>0</v>
      </c>
      <c r="AA7" s="243" t="n">
        <v>0</v>
      </c>
      <c r="AB7" s="243" t="n">
        <v>0</v>
      </c>
      <c r="AC7" s="300" t="n"/>
      <c r="AD7" s="300" t="n"/>
      <c r="AE7" s="300" t="n"/>
      <c r="AF7" s="300" t="n"/>
      <c r="AG7" s="297">
        <f>ROUND($O7*P7,0)</f>
        <v/>
      </c>
      <c r="AH7" s="297">
        <f>ROUND($O7*Q7,0)</f>
        <v/>
      </c>
      <c r="AI7" s="297">
        <f>ROUND($O7*R7,0)</f>
        <v/>
      </c>
      <c r="AJ7" s="297">
        <f>ROUND($O7*S7,0)</f>
        <v/>
      </c>
      <c r="AK7" s="297">
        <f>ROUND($O7*T7,0)</f>
        <v/>
      </c>
      <c r="AL7" s="297">
        <f>ROUND($O7*U7,0)</f>
        <v/>
      </c>
      <c r="AM7" s="297">
        <f>ROUND($O7*V7,0)</f>
        <v/>
      </c>
      <c r="AN7" s="297">
        <f>ROUND($O7*W7,0)</f>
        <v/>
      </c>
      <c r="AO7" s="297">
        <f>ROUND($O7*X7,0)</f>
        <v/>
      </c>
      <c r="AP7" s="298">
        <f>ROUND($O7*Y7,0)</f>
        <v/>
      </c>
      <c r="AQ7" s="298">
        <f>ROUND($O7*Z7,0)</f>
        <v/>
      </c>
      <c r="AR7" s="298">
        <f>ROUND($O7*AA7,0)</f>
        <v/>
      </c>
      <c r="AS7" s="298">
        <f>ROUND($O7*AB7,0)</f>
        <v/>
      </c>
      <c r="AT7" s="194" t="n"/>
      <c r="AU7" s="194" t="n"/>
      <c r="AV7" s="194" t="n"/>
      <c r="AW7" s="194" t="n"/>
      <c r="AX7" s="236">
        <f>SUM(AG7:AO7)</f>
        <v/>
      </c>
      <c r="AY7" s="528">
        <f>AX7/160</f>
        <v/>
      </c>
      <c r="AZ7" s="87">
        <f>VLOOKUP(I7,Listy!$A$1:$H$9,6,FALSE)</f>
        <v/>
      </c>
      <c r="BA7" s="682">
        <f>AY7*AZ7</f>
        <v/>
      </c>
      <c r="BB7" s="683">
        <f>AY7*BA7</f>
        <v/>
      </c>
      <c r="BC7" s="528" t="n"/>
      <c r="BD7" s="528" t="n"/>
      <c r="BE7" s="528" t="n"/>
      <c r="BF7" s="528" t="n"/>
      <c r="BG7" s="528" t="n"/>
      <c r="BH7" s="528" t="n"/>
      <c r="BI7" s="21">
        <f>BG7*BH7</f>
        <v/>
      </c>
      <c r="BJ7" s="528" t="n"/>
      <c r="BK7" s="528" t="n"/>
      <c r="BL7" s="528" t="n"/>
      <c r="BM7" s="528" t="n"/>
      <c r="BN7" s="528" t="n"/>
      <c r="BO7" s="528" t="n"/>
      <c r="BP7" s="528" t="n"/>
      <c r="BQ7" s="528" t="n"/>
      <c r="BR7" s="528" t="n"/>
      <c r="BS7" s="528" t="n"/>
      <c r="BT7" s="528" t="n"/>
      <c r="BU7" s="528" t="n"/>
      <c r="BV7" s="528" t="n"/>
      <c r="BW7" s="21">
        <f>BU7*BV7</f>
        <v/>
      </c>
      <c r="BX7" s="528" t="n"/>
      <c r="BY7" s="528" t="n"/>
      <c r="BZ7" s="528" t="n"/>
      <c r="CA7" s="21">
        <f>BY7*BZ7</f>
        <v/>
      </c>
      <c r="CB7" s="528" t="n"/>
      <c r="CC7" s="528" t="n"/>
      <c r="CD7" s="528" t="n"/>
      <c r="CE7" s="21">
        <f>CC7*CD7</f>
        <v/>
      </c>
    </row>
    <row r="8">
      <c r="A8" s="112" t="n">
        <v>1</v>
      </c>
      <c r="B8" s="64" t="inlineStr">
        <is>
          <t>d</t>
        </is>
      </c>
      <c r="C8" s="105" t="n">
        <v>1</v>
      </c>
      <c r="D8" s="116">
        <f>CONCATENATE(A$3,"_",A8,"_",B8,"_",C8)</f>
        <v/>
      </c>
      <c r="E8" s="122" t="inlineStr">
        <is>
          <t>Identyfikacja wyzwań/„wąskich gardeł”</t>
        </is>
      </c>
      <c r="F8" s="528">
        <f>IFERROR(VLOOKUP($I8,Listy!$A:$H,2,FALSE),"XXX")</f>
        <v/>
      </c>
      <c r="G8" s="528">
        <f>IFERROR(VLOOKUP($I8,Listy!$A:$H,3,FALSE),"XXX")</f>
        <v/>
      </c>
      <c r="H8" s="140" t="n">
        <v>1</v>
      </c>
      <c r="I8" s="89" t="inlineStr">
        <is>
          <t>.a01</t>
        </is>
      </c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76" t="n">
        <v>0</v>
      </c>
      <c r="O8" s="528" t="n">
        <v>120</v>
      </c>
      <c r="P8" s="187" t="n"/>
      <c r="Q8" s="187" t="n"/>
      <c r="R8" s="187" t="n"/>
      <c r="S8" s="187" t="n">
        <v>1</v>
      </c>
      <c r="T8" s="187" t="n"/>
      <c r="U8" s="187" t="n"/>
      <c r="V8" s="187" t="n"/>
      <c r="W8" s="187" t="n"/>
      <c r="X8" s="187" t="n"/>
      <c r="Y8" s="243" t="n">
        <v>0</v>
      </c>
      <c r="Z8" s="243" t="n">
        <v>0</v>
      </c>
      <c r="AA8" s="243" t="n">
        <v>0</v>
      </c>
      <c r="AB8" s="243" t="n">
        <v>0</v>
      </c>
      <c r="AC8" s="300" t="n"/>
      <c r="AD8" s="300" t="n"/>
      <c r="AE8" s="300" t="n"/>
      <c r="AF8" s="300" t="n"/>
      <c r="AG8" s="297">
        <f>ROUND($O8*P8,0)</f>
        <v/>
      </c>
      <c r="AH8" s="297">
        <f>ROUND($O8*Q8,0)</f>
        <v/>
      </c>
      <c r="AI8" s="297">
        <f>ROUND($O8*R8,0)</f>
        <v/>
      </c>
      <c r="AJ8" s="297">
        <f>ROUND($O8*S8,0)</f>
        <v/>
      </c>
      <c r="AK8" s="297">
        <f>ROUND($O8*T8,0)</f>
        <v/>
      </c>
      <c r="AL8" s="297">
        <f>ROUND($O8*U8,0)</f>
        <v/>
      </c>
      <c r="AM8" s="297">
        <f>ROUND($O8*V8,0)</f>
        <v/>
      </c>
      <c r="AN8" s="297">
        <f>ROUND($O8*W8,0)</f>
        <v/>
      </c>
      <c r="AO8" s="297">
        <f>ROUND($O8*X8,0)</f>
        <v/>
      </c>
      <c r="AP8" s="298">
        <f>ROUND($O8*Y8,0)</f>
        <v/>
      </c>
      <c r="AQ8" s="298">
        <f>ROUND($O8*Z8,0)</f>
        <v/>
      </c>
      <c r="AR8" s="298">
        <f>ROUND($O8*AA8,0)</f>
        <v/>
      </c>
      <c r="AS8" s="298">
        <f>ROUND($O8*AB8,0)</f>
        <v/>
      </c>
      <c r="AT8" s="194" t="n"/>
      <c r="AU8" s="194" t="n"/>
      <c r="AV8" s="194" t="n"/>
      <c r="AW8" s="194" t="n"/>
      <c r="AX8" s="236">
        <f>SUM(AG8:AO8)</f>
        <v/>
      </c>
      <c r="AY8" s="528">
        <f>AX8/160</f>
        <v/>
      </c>
      <c r="AZ8" s="87">
        <f>VLOOKUP(I8,Listy!$A$1:$H$9,6,FALSE)</f>
        <v/>
      </c>
      <c r="BA8" s="682">
        <f>AY8*AZ8</f>
        <v/>
      </c>
      <c r="BB8" s="683">
        <f>AY8*BA8</f>
        <v/>
      </c>
      <c r="BC8" s="528" t="n"/>
      <c r="BD8" s="528" t="n"/>
      <c r="BE8" s="528" t="n"/>
      <c r="BF8" s="528" t="n"/>
      <c r="BG8" s="528" t="n"/>
      <c r="BH8" s="528" t="n"/>
      <c r="BI8" s="21">
        <f>BG8*BH8</f>
        <v/>
      </c>
      <c r="BJ8" s="528" t="n"/>
      <c r="BK8" s="528" t="n"/>
      <c r="BL8" s="528" t="n"/>
      <c r="BM8" s="528" t="n"/>
      <c r="BN8" s="528" t="n"/>
      <c r="BO8" s="528" t="n"/>
      <c r="BP8" s="528" t="n"/>
      <c r="BQ8" s="528" t="n"/>
      <c r="BR8" s="528" t="n"/>
      <c r="BS8" s="528" t="n"/>
      <c r="BT8" s="528" t="n"/>
      <c r="BU8" s="528" t="n"/>
      <c r="BV8" s="528" t="n"/>
      <c r="BW8" s="21">
        <f>BU8*BV8</f>
        <v/>
      </c>
      <c r="BX8" s="528" t="n"/>
      <c r="BY8" s="528" t="n"/>
      <c r="BZ8" s="528" t="n"/>
      <c r="CA8" s="21">
        <f>BY8*BZ8</f>
        <v/>
      </c>
      <c r="CB8" s="528" t="n"/>
      <c r="CC8" s="528" t="n"/>
      <c r="CD8" s="528" t="n"/>
      <c r="CE8" s="21">
        <f>CC8*CD8</f>
        <v/>
      </c>
    </row>
    <row r="9">
      <c r="A9" s="112" t="n">
        <v>1</v>
      </c>
      <c r="B9" s="64" t="inlineStr">
        <is>
          <t>e</t>
        </is>
      </c>
      <c r="C9" s="105" t="n">
        <v>1</v>
      </c>
      <c r="D9" s="116">
        <f>CONCATENATE(A$3,"_",A9,"_",B9,"_",C9)</f>
        <v/>
      </c>
      <c r="E9" s="122" t="inlineStr">
        <is>
          <t>Analiza wpływu zakłóceń dostępności infrastruktury technicznej</t>
        </is>
      </c>
      <c r="F9" s="528">
        <f>IFERROR(VLOOKUP($I9,Listy!$A:$H,2,FALSE),"XXX")</f>
        <v/>
      </c>
      <c r="G9" s="528">
        <f>IFERROR(VLOOKUP($I9,Listy!$A:$H,3,FALSE),"XXX")</f>
        <v/>
      </c>
      <c r="H9" s="140" t="n">
        <v>1</v>
      </c>
      <c r="I9" s="89" t="inlineStr">
        <is>
          <t>.a03</t>
        </is>
      </c>
      <c r="J9" s="91">
        <f>M8+1</f>
        <v/>
      </c>
      <c r="K9" s="681">
        <f>VLOOKUP(J9,Kalendarz!B:E,4,FALSE)</f>
        <v/>
      </c>
      <c r="L9" s="681">
        <f>K9+N9</f>
        <v/>
      </c>
      <c r="M9" s="528">
        <f>J9+N9-1</f>
        <v/>
      </c>
      <c r="N9" s="476" t="n">
        <v>0</v>
      </c>
      <c r="O9" s="528" t="n">
        <v>120</v>
      </c>
      <c r="P9" s="187" t="n"/>
      <c r="Q9" s="187" t="n"/>
      <c r="R9" s="187" t="n">
        <v>1</v>
      </c>
      <c r="S9" s="187" t="n"/>
      <c r="T9" s="187" t="n"/>
      <c r="U9" s="187" t="n"/>
      <c r="V9" s="187" t="n"/>
      <c r="W9" s="187" t="n"/>
      <c r="X9" s="187" t="n"/>
      <c r="Y9" s="243" t="n">
        <v>0</v>
      </c>
      <c r="Z9" s="243" t="n">
        <v>0</v>
      </c>
      <c r="AA9" s="243" t="n">
        <v>0</v>
      </c>
      <c r="AB9" s="243" t="n">
        <v>0</v>
      </c>
      <c r="AC9" s="300" t="n"/>
      <c r="AD9" s="300" t="n"/>
      <c r="AE9" s="300" t="n"/>
      <c r="AF9" s="300" t="n"/>
      <c r="AG9" s="297">
        <f>ROUND($O9*P9,0)</f>
        <v/>
      </c>
      <c r="AH9" s="297">
        <f>ROUND($O9*Q9,0)</f>
        <v/>
      </c>
      <c r="AI9" s="297">
        <f>ROUND($O9*R9,0)</f>
        <v/>
      </c>
      <c r="AJ9" s="297">
        <f>ROUND($O9*S9,0)</f>
        <v/>
      </c>
      <c r="AK9" s="297">
        <f>ROUND($O9*T9,0)</f>
        <v/>
      </c>
      <c r="AL9" s="297">
        <f>ROUND($O9*U9,0)</f>
        <v/>
      </c>
      <c r="AM9" s="297">
        <f>ROUND($O9*V9,0)</f>
        <v/>
      </c>
      <c r="AN9" s="297">
        <f>ROUND($O9*W9,0)</f>
        <v/>
      </c>
      <c r="AO9" s="297">
        <f>ROUND($O9*X9,0)</f>
        <v/>
      </c>
      <c r="AP9" s="298">
        <f>ROUND($O9*Y9,0)</f>
        <v/>
      </c>
      <c r="AQ9" s="298">
        <f>ROUND($O9*Z9,0)</f>
        <v/>
      </c>
      <c r="AR9" s="298">
        <f>ROUND($O9*AA9,0)</f>
        <v/>
      </c>
      <c r="AS9" s="298">
        <f>ROUND($O9*AB9,0)</f>
        <v/>
      </c>
      <c r="AT9" s="194" t="n"/>
      <c r="AU9" s="194" t="n"/>
      <c r="AV9" s="194" t="n"/>
      <c r="AW9" s="194" t="n"/>
      <c r="AX9" s="236">
        <f>SUM(AG9:AO9)</f>
        <v/>
      </c>
      <c r="AY9" s="528">
        <f>AX9/160</f>
        <v/>
      </c>
      <c r="AZ9" s="87">
        <f>VLOOKUP(I9,Listy!$A$1:$H$9,6,FALSE)</f>
        <v/>
      </c>
      <c r="BA9" s="682">
        <f>AY9*AZ9</f>
        <v/>
      </c>
      <c r="BB9" s="683">
        <f>AY9*BA9</f>
        <v/>
      </c>
      <c r="BC9" s="528" t="n"/>
      <c r="BD9" s="528" t="n"/>
      <c r="BE9" s="528" t="n"/>
      <c r="BF9" s="528" t="n"/>
      <c r="BG9" s="528" t="n"/>
      <c r="BH9" s="528" t="n"/>
      <c r="BI9" s="21">
        <f>BG9*BH9</f>
        <v/>
      </c>
      <c r="BJ9" s="528" t="n"/>
      <c r="BK9" s="528" t="n"/>
      <c r="BL9" s="528" t="n"/>
      <c r="BM9" s="528" t="n"/>
      <c r="BN9" s="528" t="n"/>
      <c r="BO9" s="528" t="n"/>
      <c r="BP9" s="528" t="n"/>
      <c r="BQ9" s="528" t="n"/>
      <c r="BR9" s="528" t="n"/>
      <c r="BS9" s="528" t="n"/>
      <c r="BT9" s="528" t="n"/>
      <c r="BU9" s="528" t="n"/>
      <c r="BV9" s="528" t="n"/>
      <c r="BW9" s="21">
        <f>BU9*BV9</f>
        <v/>
      </c>
      <c r="BX9" s="528" t="n"/>
      <c r="BY9" s="528" t="n"/>
      <c r="BZ9" s="528" t="n"/>
      <c r="CA9" s="21">
        <f>BY9*BZ9</f>
        <v/>
      </c>
      <c r="CB9" s="528" t="n"/>
      <c r="CC9" s="528" t="n"/>
      <c r="CD9" s="528" t="n"/>
      <c r="CE9" s="21">
        <f>CC9*CD9</f>
        <v/>
      </c>
    </row>
    <row r="10" ht="15" customHeight="1" s="191" thickBot="1">
      <c r="A10" s="112" t="n">
        <v>1</v>
      </c>
      <c r="B10" s="64" t="inlineStr">
        <is>
          <t>f</t>
        </is>
      </c>
      <c r="C10" s="105" t="n">
        <v>1</v>
      </c>
      <c r="D10" s="116">
        <f>CONCATENATE(A$3,"_",A10,"_",B10,"_",C10)</f>
        <v/>
      </c>
      <c r="E10" s="122" t="inlineStr">
        <is>
          <t>Stworzenie mapy zidentyfikowanych algorytmów/etapów PT</t>
        </is>
      </c>
      <c r="F10" s="528">
        <f>IFERROR(VLOOKUP($I10,Listy!$A:$H,2,FALSE),"XXX")</f>
        <v/>
      </c>
      <c r="G10" s="528">
        <f>IFERROR(VLOOKUP($I10,Listy!$A:$H,3,FALSE),"XXX")</f>
        <v/>
      </c>
      <c r="H10" s="140" t="n">
        <v>2</v>
      </c>
      <c r="I10" s="89" t="inlineStr">
        <is>
          <t>.a04</t>
        </is>
      </c>
      <c r="J10" s="91">
        <f>M9+1</f>
        <v/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76" t="n">
        <v>6</v>
      </c>
      <c r="O10" s="528" t="n">
        <v>120</v>
      </c>
      <c r="P10" s="187" t="n"/>
      <c r="Q10" s="187" t="n"/>
      <c r="R10" s="187" t="n"/>
      <c r="S10" s="187" t="n">
        <v>1</v>
      </c>
      <c r="T10" s="187" t="n"/>
      <c r="U10" s="187" t="n"/>
      <c r="V10" s="187" t="n"/>
      <c r="W10" s="187" t="n"/>
      <c r="X10" s="187" t="n"/>
      <c r="Y10" s="243" t="n">
        <v>0</v>
      </c>
      <c r="Z10" s="243" t="n">
        <v>0</v>
      </c>
      <c r="AA10" s="243" t="n">
        <v>0</v>
      </c>
      <c r="AB10" s="243" t="n">
        <v>0</v>
      </c>
      <c r="AC10" s="300" t="n"/>
      <c r="AD10" s="300" t="n"/>
      <c r="AE10" s="300" t="n"/>
      <c r="AF10" s="300" t="n"/>
      <c r="AG10" s="297">
        <f>ROUND($O10*P10,0)</f>
        <v/>
      </c>
      <c r="AH10" s="297">
        <f>ROUND($O10*Q10,0)</f>
        <v/>
      </c>
      <c r="AI10" s="297">
        <f>ROUND($O10*R10,0)</f>
        <v/>
      </c>
      <c r="AJ10" s="297">
        <f>ROUND($O10*S10,0)</f>
        <v/>
      </c>
      <c r="AK10" s="297">
        <f>ROUND($O10*T10,0)</f>
        <v/>
      </c>
      <c r="AL10" s="297">
        <f>ROUND($O10*U10,0)</f>
        <v/>
      </c>
      <c r="AM10" s="297">
        <f>ROUND($O10*V10,0)</f>
        <v/>
      </c>
      <c r="AN10" s="297">
        <f>ROUND($O10*W10,0)</f>
        <v/>
      </c>
      <c r="AO10" s="297">
        <f>ROUND($O10*X10,0)</f>
        <v/>
      </c>
      <c r="AP10" s="298">
        <f>ROUND($O10*Y10,0)</f>
        <v/>
      </c>
      <c r="AQ10" s="298">
        <f>ROUND($O10*Z10,0)</f>
        <v/>
      </c>
      <c r="AR10" s="298">
        <f>ROUND($O10*AA10,0)</f>
        <v/>
      </c>
      <c r="AS10" s="298">
        <f>ROUND($O10*AB10,0)</f>
        <v/>
      </c>
      <c r="AT10" s="194" t="n"/>
      <c r="AU10" s="194" t="n"/>
      <c r="AV10" s="194" t="n"/>
      <c r="AW10" s="194" t="n"/>
      <c r="AX10" s="236">
        <f>SUM(AG10:AO10)</f>
        <v/>
      </c>
      <c r="AY10" s="528">
        <f>AX10/160</f>
        <v/>
      </c>
      <c r="AZ10" s="87">
        <f>VLOOKUP(I10,Listy!$A$1:$H$9,6,FALSE)</f>
        <v/>
      </c>
      <c r="BA10" s="682">
        <f>AY10*AZ10</f>
        <v/>
      </c>
      <c r="BB10" s="683">
        <f>AY10*BA10</f>
        <v/>
      </c>
      <c r="BC10" s="528" t="n"/>
      <c r="BD10" s="528" t="n"/>
      <c r="BE10" s="528" t="n"/>
      <c r="BF10" s="528" t="n"/>
      <c r="BG10" s="528" t="n"/>
      <c r="BH10" s="528" t="n"/>
      <c r="BI10" s="22">
        <f>BG10*BH10</f>
        <v/>
      </c>
      <c r="BJ10" s="528" t="n"/>
      <c r="BK10" s="528" t="n"/>
      <c r="BL10" s="314" t="n"/>
      <c r="BM10" s="528" t="n"/>
      <c r="BN10" s="528" t="n"/>
      <c r="BO10" s="314" t="n"/>
      <c r="BP10" s="528" t="n"/>
      <c r="BQ10" s="528" t="n"/>
      <c r="BR10" s="314" t="n"/>
      <c r="BS10" s="314" t="n"/>
      <c r="BT10" s="528" t="n"/>
      <c r="BU10" s="528" t="n"/>
      <c r="BV10" s="528" t="n"/>
      <c r="BW10" s="22">
        <f>BU10*BV10</f>
        <v/>
      </c>
      <c r="BX10" s="528" t="n"/>
      <c r="BY10" s="528" t="n"/>
      <c r="BZ10" s="528" t="n"/>
      <c r="CA10" s="22">
        <f>BY10*BZ10</f>
        <v/>
      </c>
      <c r="CB10" s="528" t="n"/>
      <c r="CC10" s="528" t="n"/>
      <c r="CD10" s="528" t="n"/>
      <c r="CE10" s="22">
        <f>CC10*CD10</f>
        <v/>
      </c>
    </row>
    <row r="11" ht="15" customHeight="1" s="191" thickBot="1">
      <c r="A11" s="109" t="n">
        <v>2</v>
      </c>
      <c r="B11" s="64" t="inlineStr">
        <is>
          <t>a</t>
        </is>
      </c>
      <c r="C11" s="105" t="n">
        <v>0</v>
      </c>
      <c r="D11" s="116">
        <f>CONCATENATE(A$3,"_",A11,"_",B11,"_",C11)</f>
        <v/>
      </c>
      <c r="E11" s="85" t="inlineStr">
        <is>
          <t>2.Identyfikacja rozwiązań/narzędzi AI/ML i możliwości ich wdrożenia w modelach matematycznych w obszarach:</t>
        </is>
      </c>
      <c r="F11" s="148" t="n"/>
      <c r="G11" s="148" t="n"/>
      <c r="H11" s="528" t="n"/>
      <c r="I11" s="108" t="inlineStr">
        <is>
          <t>END/ACT</t>
        </is>
      </c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474">
        <f>ROUND(MAX(AG11:AO11)/Listy!$U$2,0)</f>
        <v/>
      </c>
      <c r="O11" s="148" t="n"/>
      <c r="P11" s="148" t="n"/>
      <c r="Q11" s="148" t="n"/>
      <c r="R11" s="148" t="n"/>
      <c r="S11" s="148" t="n"/>
      <c r="T11" s="148" t="n"/>
      <c r="U11" s="148" t="n"/>
      <c r="V11" s="190" t="n"/>
      <c r="W11" s="148" t="n"/>
      <c r="X11" s="148" t="n"/>
      <c r="Y11" s="148" t="n"/>
      <c r="Z11" s="148" t="n"/>
      <c r="AA11" s="148" t="n"/>
      <c r="AB11" s="148" t="n"/>
      <c r="AC11" s="148" t="n"/>
      <c r="AD11" s="148" t="n"/>
      <c r="AE11" s="148" t="n"/>
      <c r="AF11" s="148" t="n"/>
      <c r="AG11" s="148" t="n"/>
      <c r="AH11" s="148" t="n"/>
      <c r="AI11" s="148" t="n"/>
      <c r="AJ11" s="148" t="n"/>
      <c r="AK11" s="148" t="n"/>
      <c r="AL11" s="148" t="n"/>
      <c r="AM11" s="148" t="n"/>
      <c r="AN11" s="148" t="n"/>
      <c r="AO11" s="148" t="n"/>
      <c r="AP11" s="148" t="n"/>
      <c r="AQ11" s="148" t="n"/>
      <c r="AR11" s="148" t="n"/>
      <c r="AS11" s="148" t="n"/>
      <c r="AT11" s="148" t="n"/>
      <c r="AU11" s="148" t="n"/>
      <c r="AV11" s="148" t="n"/>
      <c r="AW11" s="148" t="n"/>
      <c r="AX11" s="148" t="n"/>
      <c r="AY11" s="148" t="n"/>
      <c r="AZ11" s="148" t="n"/>
      <c r="BA11" s="148" t="n"/>
      <c r="BB11" s="148" t="n"/>
      <c r="BC11" s="148" t="n"/>
      <c r="BD11" s="148" t="n"/>
      <c r="BE11" s="148" t="n"/>
      <c r="BF11" s="148" t="n"/>
      <c r="BG11" s="148" t="n"/>
      <c r="BH11" s="148" t="n"/>
      <c r="BI11" s="148" t="n"/>
      <c r="BJ11" s="148" t="n"/>
      <c r="BK11" s="148" t="n"/>
      <c r="BL11" s="24">
        <f>BL12+BL13+BL14+BL16</f>
        <v/>
      </c>
      <c r="BM11" s="528" t="n"/>
      <c r="BN11" s="528" t="n"/>
      <c r="BO11" s="14">
        <f>BO12+BO13+BO14+BO16</f>
        <v/>
      </c>
      <c r="BP11" s="528" t="n"/>
      <c r="BQ11" s="528" t="n"/>
      <c r="BR11" s="14">
        <f>BR12+BR13+BR14+BR16</f>
        <v/>
      </c>
      <c r="BS11" s="14">
        <f>BS12+BS13+BS14+BS16</f>
        <v/>
      </c>
      <c r="BT11" s="528" t="n"/>
      <c r="BU11" s="528" t="n"/>
      <c r="BV11" s="528" t="n"/>
      <c r="BW11" s="14">
        <f>BW12+BW13+BW14+BW15+BW16</f>
        <v/>
      </c>
      <c r="BX11" s="528" t="n"/>
      <c r="BY11" s="528" t="n"/>
      <c r="BZ11" s="528" t="n"/>
      <c r="CA11" s="14">
        <f>CA12+CA13+CA14+CA15+CA16</f>
        <v/>
      </c>
      <c r="CB11" s="528" t="n"/>
      <c r="CC11" s="528" t="n"/>
      <c r="CD11" s="528" t="n"/>
      <c r="CE11" s="14">
        <f>CE12+CE13+CE14+CE15+CE16</f>
        <v/>
      </c>
      <c r="CF11" s="25">
        <f>AY11+BB11+BI11+BL11+BO11+BR11+BS11+BW11+CA11+CE11</f>
        <v/>
      </c>
    </row>
    <row r="12" ht="28.8" customHeight="1" s="191">
      <c r="A12" s="114" t="n">
        <v>2</v>
      </c>
      <c r="B12" s="64" t="inlineStr">
        <is>
          <t>a</t>
        </is>
      </c>
      <c r="C12" s="105" t="n">
        <v>1</v>
      </c>
      <c r="D12" s="116">
        <f>CONCATENATE(A$3,"_",A12,"_",B12,"_",C12)</f>
        <v/>
      </c>
      <c r="E12" s="123" t="inlineStr">
        <is>
          <t>Optymalizacji sposobu układania towarów w opakowaniach, doboru rodzaju opakowań, przestrzeni pakowania (np. algorytmy genetyczne, metaheurystyczne, sieci neuronowe)</t>
        </is>
      </c>
      <c r="F12" s="528">
        <f>IFERROR(VLOOKUP($I12,Listy!$A:$H,2,FALSE),"XXX")</f>
        <v/>
      </c>
      <c r="G12" s="528">
        <f>IFERROR(VLOOKUP($I12,Listy!$A:$H,3,FALSE),"XXX")</f>
        <v/>
      </c>
      <c r="H12" s="45" t="n">
        <v>2</v>
      </c>
      <c r="I12" s="89" t="inlineStr">
        <is>
          <t>.a01</t>
        </is>
      </c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474" t="n">
        <v>1</v>
      </c>
      <c r="O12" s="46" t="n">
        <v>80</v>
      </c>
      <c r="P12" s="187" t="n">
        <v>0.5</v>
      </c>
      <c r="Q12" s="187" t="n">
        <v>0</v>
      </c>
      <c r="R12" s="187" t="n">
        <v>0</v>
      </c>
      <c r="S12" s="187" t="n">
        <v>0</v>
      </c>
      <c r="T12" s="187" t="n"/>
      <c r="U12" s="187" t="n"/>
      <c r="V12" s="187" t="n"/>
      <c r="W12" s="187" t="n"/>
      <c r="X12" s="187" t="n"/>
      <c r="Y12" s="243" t="n">
        <v>0.5</v>
      </c>
      <c r="Z12" s="243" t="n">
        <v>0</v>
      </c>
      <c r="AA12" s="243" t="n">
        <v>0</v>
      </c>
      <c r="AB12" s="243" t="n">
        <v>0</v>
      </c>
      <c r="AC12" s="300" t="n"/>
      <c r="AD12" s="300" t="n"/>
      <c r="AE12" s="300" t="n"/>
      <c r="AF12" s="300" t="n"/>
      <c r="AG12" s="297">
        <f>ROUND($O12*P12,0)</f>
        <v/>
      </c>
      <c r="AH12" s="297">
        <f>ROUND($O12*Q12,0)</f>
        <v/>
      </c>
      <c r="AI12" s="297">
        <f>ROUND($O12*R12,0)</f>
        <v/>
      </c>
      <c r="AJ12" s="297">
        <f>ROUND($O12*S12,0)</f>
        <v/>
      </c>
      <c r="AK12" s="297">
        <f>ROUND($O12*T12,0)</f>
        <v/>
      </c>
      <c r="AL12" s="297">
        <f>ROUND($O12*U12,0)</f>
        <v/>
      </c>
      <c r="AM12" s="297">
        <f>ROUND($O12*V12,0)</f>
        <v/>
      </c>
      <c r="AN12" s="297">
        <f>ROUND($O12*W12,0)</f>
        <v/>
      </c>
      <c r="AO12" s="297">
        <f>ROUND($O12*X12,0)</f>
        <v/>
      </c>
      <c r="AP12" s="298">
        <f>ROUND($O12*Y12,0)</f>
        <v/>
      </c>
      <c r="AQ12" s="298">
        <f>ROUND($O12*Z12,0)</f>
        <v/>
      </c>
      <c r="AR12" s="298">
        <f>ROUND($O12*AA12,0)</f>
        <v/>
      </c>
      <c r="AS12" s="298">
        <f>ROUND($O12*AB12,0)</f>
        <v/>
      </c>
      <c r="AT12" s="197" t="n"/>
      <c r="AU12" s="197" t="n"/>
      <c r="AV12" s="197" t="n"/>
      <c r="AW12" s="197" t="n"/>
      <c r="AX12" s="236">
        <f>SUM(AG12:AO12)</f>
        <v/>
      </c>
      <c r="AY12" s="528">
        <f>AX12/160</f>
        <v/>
      </c>
      <c r="AZ12" s="87">
        <f>VLOOKUP(I12,Listy!$A$1:$H$9,6,FALSE)</f>
        <v/>
      </c>
      <c r="BA12" s="682">
        <f>AY12*AZ12</f>
        <v/>
      </c>
      <c r="BB12" s="683">
        <f>AY12*BA12</f>
        <v/>
      </c>
      <c r="BC12" s="528" t="n"/>
      <c r="BD12" s="528" t="n"/>
      <c r="BE12" s="528" t="n"/>
      <c r="BF12" s="528" t="n"/>
      <c r="BG12" s="528" t="n"/>
      <c r="BH12" s="528" t="n"/>
      <c r="BI12" s="21">
        <f>BG12*BH12</f>
        <v/>
      </c>
      <c r="BJ12" s="528" t="n"/>
      <c r="BK12" s="528" t="n"/>
      <c r="BL12" s="21" t="n">
        <v>0</v>
      </c>
      <c r="BM12" s="528" t="n"/>
      <c r="BN12" s="528" t="n"/>
      <c r="BO12" s="21" t="n">
        <v>0</v>
      </c>
      <c r="BP12" s="528" t="n"/>
      <c r="BQ12" s="528" t="n"/>
      <c r="BR12" s="21" t="n">
        <v>0</v>
      </c>
      <c r="BS12" s="21" t="n">
        <v>0</v>
      </c>
      <c r="BT12" s="528" t="n"/>
      <c r="BU12" s="528" t="n"/>
      <c r="BV12" s="528" t="n"/>
      <c r="BW12" s="21">
        <f>BU12*BV12</f>
        <v/>
      </c>
      <c r="BX12" s="528" t="n"/>
      <c r="BY12" s="528" t="n"/>
      <c r="BZ12" s="528" t="n"/>
      <c r="CA12" s="21">
        <f>BY12*BZ12</f>
        <v/>
      </c>
      <c r="CB12" s="528" t="n"/>
      <c r="CC12" s="528" t="n"/>
      <c r="CD12" s="528" t="n"/>
      <c r="CE12" s="21">
        <f>CC12*CD12</f>
        <v/>
      </c>
    </row>
    <row r="13" ht="28.8" customHeight="1" s="191">
      <c r="A13" s="114" t="n">
        <v>2</v>
      </c>
      <c r="B13" s="64" t="inlineStr">
        <is>
          <t>b</t>
        </is>
      </c>
      <c r="C13" s="105" t="n">
        <v>1</v>
      </c>
      <c r="D13" s="116">
        <f>CONCATENATE(A$3,"_",A13,"_",B13,"_",C13)</f>
        <v/>
      </c>
      <c r="E13" s="123" t="inlineStr">
        <is>
          <t>Predykcji zapotrzebowania i zarządzania zasobami rodzajów opakowań (np. sieci neuronowe, regresja, drzewa decyzyjne)</t>
        </is>
      </c>
      <c r="F13" s="528">
        <f>IFERROR(VLOOKUP($I13,Listy!$A:$H,2,FALSE),"XXX")</f>
        <v/>
      </c>
      <c r="G13" s="528">
        <f>IFERROR(VLOOKUP($I13,Listy!$A:$H,3,FALSE),"XXX")</f>
        <v/>
      </c>
      <c r="H13" s="45" t="n">
        <v>1</v>
      </c>
      <c r="I13" s="89" t="inlineStr">
        <is>
          <t>.a02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0</v>
      </c>
      <c r="O13" s="46" t="n">
        <v>80</v>
      </c>
      <c r="P13" s="187" t="n">
        <v>0</v>
      </c>
      <c r="Q13" s="187" t="n">
        <v>0.5</v>
      </c>
      <c r="R13" s="187" t="n">
        <v>0</v>
      </c>
      <c r="S13" s="187" t="n">
        <v>0</v>
      </c>
      <c r="T13" s="187" t="n"/>
      <c r="U13" s="187" t="n"/>
      <c r="V13" s="187" t="n"/>
      <c r="W13" s="187" t="n"/>
      <c r="X13" s="187" t="n"/>
      <c r="Y13" s="243" t="n">
        <v>0</v>
      </c>
      <c r="Z13" s="243" t="n">
        <v>0.5</v>
      </c>
      <c r="AA13" s="243" t="n">
        <v>0</v>
      </c>
      <c r="AB13" s="243" t="n">
        <v>0</v>
      </c>
      <c r="AC13" s="300" t="n"/>
      <c r="AD13" s="300" t="n"/>
      <c r="AE13" s="300" t="n"/>
      <c r="AF13" s="300" t="n"/>
      <c r="AG13" s="297">
        <f>ROUND($O13*P13,0)</f>
        <v/>
      </c>
      <c r="AH13" s="297">
        <f>ROUND($O13*Q13,0)</f>
        <v/>
      </c>
      <c r="AI13" s="297">
        <f>ROUND($O13*R13,0)</f>
        <v/>
      </c>
      <c r="AJ13" s="297">
        <f>ROUND($O13*S13,0)</f>
        <v/>
      </c>
      <c r="AK13" s="297">
        <f>ROUND($O13*T13,0)</f>
        <v/>
      </c>
      <c r="AL13" s="297">
        <f>ROUND($O13*U13,0)</f>
        <v/>
      </c>
      <c r="AM13" s="297">
        <f>ROUND($O13*V13,0)</f>
        <v/>
      </c>
      <c r="AN13" s="297">
        <f>ROUND($O13*W13,0)</f>
        <v/>
      </c>
      <c r="AO13" s="297">
        <f>ROUND($O13*X13,0)</f>
        <v/>
      </c>
      <c r="AP13" s="298">
        <f>ROUND($O13*Y13,0)</f>
        <v/>
      </c>
      <c r="AQ13" s="298">
        <f>ROUND($O13*Z13,0)</f>
        <v/>
      </c>
      <c r="AR13" s="298">
        <f>ROUND($O13*AA13,0)</f>
        <v/>
      </c>
      <c r="AS13" s="298">
        <f>ROUND($O13*AB13,0)</f>
        <v/>
      </c>
      <c r="AT13" s="197" t="n"/>
      <c r="AU13" s="197" t="n"/>
      <c r="AV13" s="197" t="n"/>
      <c r="AW13" s="197" t="n"/>
      <c r="AX13" s="236">
        <f>SUM(AG13:AO13)</f>
        <v/>
      </c>
      <c r="AY13" s="528">
        <f>AX13/160</f>
        <v/>
      </c>
      <c r="AZ13" s="87">
        <f>VLOOKUP(I13,Listy!$A$1:$H$9,6,FALSE)</f>
        <v/>
      </c>
      <c r="BA13" s="682">
        <f>AY13*AZ13</f>
        <v/>
      </c>
      <c r="BB13" s="683">
        <f>AY13*BA13</f>
        <v/>
      </c>
      <c r="BC13" s="528" t="n"/>
      <c r="BD13" s="528" t="n"/>
      <c r="BE13" s="528" t="n"/>
      <c r="BF13" s="528" t="n"/>
      <c r="BG13" s="528" t="n"/>
      <c r="BH13" s="528" t="n"/>
      <c r="BI13" s="528">
        <f>BG13*BH13</f>
        <v/>
      </c>
      <c r="BJ13" s="528" t="n"/>
      <c r="BK13" s="528" t="n"/>
      <c r="BL13" s="528">
        <f>BJ13*BK13</f>
        <v/>
      </c>
      <c r="BM13" s="528" t="n"/>
      <c r="BN13" s="528" t="n"/>
      <c r="BO13" s="528">
        <f>BM13*BN13</f>
        <v/>
      </c>
      <c r="BP13" s="528" t="n"/>
      <c r="BQ13" s="528" t="n"/>
      <c r="BR13" s="528">
        <f>BP13*BQ13</f>
        <v/>
      </c>
      <c r="BS13" s="528">
        <f>BQ13*BR13</f>
        <v/>
      </c>
      <c r="BT13" s="528" t="n"/>
      <c r="BU13" s="528" t="n"/>
      <c r="BV13" s="528" t="n"/>
      <c r="BW13" s="528">
        <f>BU13*BV13</f>
        <v/>
      </c>
      <c r="BX13" s="528" t="n"/>
      <c r="BY13" s="528" t="n"/>
      <c r="BZ13" s="528" t="n"/>
      <c r="CA13" s="528">
        <f>BY13*BZ13</f>
        <v/>
      </c>
      <c r="CB13" s="528" t="n"/>
      <c r="CC13" s="528" t="n"/>
      <c r="CD13" s="528" t="n"/>
      <c r="CE13" s="528">
        <f>CC13*CD13</f>
        <v/>
      </c>
    </row>
    <row r="14" ht="28.8" customHeight="1" s="191">
      <c r="A14" s="114" t="n">
        <v>2</v>
      </c>
      <c r="B14" s="64" t="inlineStr">
        <is>
          <t>c</t>
        </is>
      </c>
      <c r="C14" s="105" t="n">
        <v>1</v>
      </c>
      <c r="D14" s="116">
        <f>CONCATENATE(A$3,"_",A14,"_",B14,"_",C14)</f>
        <v/>
      </c>
      <c r="E14" s="123" t="inlineStr">
        <is>
          <t>Automatyzacji – zarządzania towarami, ruchem  (np. modele głębokiego uczenia CNN, komputerowego rozpoznawania obrazu CV, skanowanie 3D)</t>
        </is>
      </c>
      <c r="F14" s="528">
        <f>IFERROR(VLOOKUP($I14,Listy!$A:$H,2,FALSE),"XXX")</f>
        <v/>
      </c>
      <c r="G14" s="528">
        <f>IFERROR(VLOOKUP($I14,Listy!$A:$H,3,FALSE),"XXX")</f>
        <v/>
      </c>
      <c r="H14" s="45" t="n">
        <v>2</v>
      </c>
      <c r="I14" s="89" t="inlineStr">
        <is>
          <t>.a03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>
        <f>ROUND(MAX(AG14:AO14)/Listy!$U$2,0)</f>
        <v/>
      </c>
      <c r="O14" s="46" t="n">
        <v>80</v>
      </c>
      <c r="P14" s="187" t="n">
        <v>0</v>
      </c>
      <c r="Q14" s="187" t="n">
        <v>0</v>
      </c>
      <c r="R14" s="187" t="n">
        <v>0</v>
      </c>
      <c r="S14" s="187" t="n">
        <v>0</v>
      </c>
      <c r="T14" s="187" t="n"/>
      <c r="U14" s="187" t="n"/>
      <c r="V14" s="187" t="n"/>
      <c r="W14" s="187" t="n"/>
      <c r="X14" s="187" t="n"/>
      <c r="Y14" s="243" t="n">
        <v>0.5</v>
      </c>
      <c r="Z14" s="243" t="n">
        <v>0</v>
      </c>
      <c r="AA14" s="243" t="n">
        <v>0.5</v>
      </c>
      <c r="AB14" s="243" t="n">
        <v>0</v>
      </c>
      <c r="AC14" s="300" t="n"/>
      <c r="AD14" s="300" t="n"/>
      <c r="AE14" s="300" t="n"/>
      <c r="AF14" s="300" t="n"/>
      <c r="AG14" s="297">
        <f>ROUND($O14*P14,0)</f>
        <v/>
      </c>
      <c r="AH14" s="297">
        <f>ROUND($O14*Q14,0)</f>
        <v/>
      </c>
      <c r="AI14" s="297">
        <f>ROUND($O14*R14,0)</f>
        <v/>
      </c>
      <c r="AJ14" s="297">
        <f>ROUND($O14*S14,0)</f>
        <v/>
      </c>
      <c r="AK14" s="297">
        <f>ROUND($O14*T14,0)</f>
        <v/>
      </c>
      <c r="AL14" s="297">
        <f>ROUND($O14*U14,0)</f>
        <v/>
      </c>
      <c r="AM14" s="297">
        <f>ROUND($O14*V14,0)</f>
        <v/>
      </c>
      <c r="AN14" s="297">
        <f>ROUND($O14*W14,0)</f>
        <v/>
      </c>
      <c r="AO14" s="297">
        <f>ROUND($O14*X14,0)</f>
        <v/>
      </c>
      <c r="AP14" s="298">
        <f>ROUND($O14*Y14,0)</f>
        <v/>
      </c>
      <c r="AQ14" s="298">
        <f>ROUND($O14*Z14,0)</f>
        <v/>
      </c>
      <c r="AR14" s="298">
        <f>ROUND($O14*AA14,0)</f>
        <v/>
      </c>
      <c r="AS14" s="298">
        <f>ROUND($O14*AB14,0)</f>
        <v/>
      </c>
      <c r="AT14" s="194" t="n"/>
      <c r="AU14" s="194" t="n"/>
      <c r="AV14" s="194" t="n"/>
      <c r="AW14" s="194" t="n"/>
      <c r="AX14" s="236">
        <f>SUM(AG14:AO14)</f>
        <v/>
      </c>
      <c r="AY14" s="528">
        <f>AX14/160</f>
        <v/>
      </c>
      <c r="AZ14" s="87">
        <f>VLOOKUP(I14,Listy!$A$1:$H$9,6,FALSE)</f>
        <v/>
      </c>
      <c r="BA14" s="682">
        <f>AY14*AZ14</f>
        <v/>
      </c>
      <c r="BB14" s="683">
        <f>AY14*BA14</f>
        <v/>
      </c>
      <c r="BC14" s="528" t="n"/>
      <c r="BD14" s="528" t="n"/>
      <c r="BE14" s="528" t="n"/>
      <c r="BF14" s="528" t="n"/>
      <c r="BG14" s="528" t="n"/>
      <c r="BH14" s="528" t="n"/>
      <c r="BI14" s="528">
        <f>BG14*BH14</f>
        <v/>
      </c>
      <c r="BJ14" s="84" t="inlineStr">
        <is>
          <t>skaner 3D</t>
        </is>
      </c>
      <c r="BK14" s="29" t="n"/>
      <c r="BL14" s="30" t="n">
        <v>100000</v>
      </c>
      <c r="BM14" s="528" t="n"/>
      <c r="BN14" s="528" t="n"/>
      <c r="BO14" s="528" t="n">
        <v>0</v>
      </c>
      <c r="BP14" s="528" t="n"/>
      <c r="BQ14" s="528" t="n"/>
      <c r="BR14" s="528" t="n">
        <v>0</v>
      </c>
      <c r="BS14" s="528" t="n">
        <v>0</v>
      </c>
      <c r="BT14" s="528" t="n"/>
      <c r="BU14" s="528" t="n"/>
      <c r="BV14" s="528" t="n"/>
      <c r="BW14" s="528">
        <f>BU14*BV14</f>
        <v/>
      </c>
      <c r="BX14" s="528" t="n"/>
      <c r="BY14" s="528" t="n"/>
      <c r="BZ14" s="528" t="n"/>
      <c r="CA14" s="528">
        <f>BY14*BZ14</f>
        <v/>
      </c>
      <c r="CB14" s="528" t="n"/>
      <c r="CC14" s="528" t="n"/>
      <c r="CD14" s="528" t="n"/>
      <c r="CE14" s="528">
        <f>CC14*CD14</f>
        <v/>
      </c>
    </row>
    <row r="15" ht="28.8" customHeight="1" s="191">
      <c r="A15" s="114" t="n">
        <v>2</v>
      </c>
      <c r="B15" s="64" t="inlineStr">
        <is>
          <t>d</t>
        </is>
      </c>
      <c r="C15" s="105" t="n">
        <v>1</v>
      </c>
      <c r="D15" s="116">
        <f>CONCATENATE(A$3,"_",A15,"_",B15,"_",C15)</f>
        <v/>
      </c>
      <c r="E15" s="123" t="inlineStr">
        <is>
          <t>Symulacji procesów PT (np. systemy symulacje Monte Carlo, oparte na AI oraz modele agentowe).</t>
        </is>
      </c>
      <c r="F15" s="528">
        <f>IFERROR(VLOOKUP($I15,Listy!$A:$H,2,FALSE),"XXX")</f>
        <v/>
      </c>
      <c r="G15" s="528">
        <f>IFERROR(VLOOKUP($I15,Listy!$A:$H,3,FALSE),"XXX")</f>
        <v/>
      </c>
      <c r="H15" s="46" t="n"/>
      <c r="I15" s="89" t="inlineStr">
        <is>
          <t>.a03</t>
        </is>
      </c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 t="n">
        <v>2</v>
      </c>
      <c r="O15" s="46" t="n">
        <v>160</v>
      </c>
      <c r="P15" s="187" t="n">
        <v>0</v>
      </c>
      <c r="Q15" s="187" t="n">
        <v>0</v>
      </c>
      <c r="R15" s="187" t="n">
        <v>0.5</v>
      </c>
      <c r="S15" s="187" t="n">
        <v>0.5</v>
      </c>
      <c r="T15" s="187" t="n"/>
      <c r="U15" s="187" t="n"/>
      <c r="V15" s="187" t="n"/>
      <c r="W15" s="187" t="n"/>
      <c r="X15" s="187" t="n"/>
      <c r="Y15" s="243" t="n">
        <v>0</v>
      </c>
      <c r="Z15" s="243" t="n">
        <v>0</v>
      </c>
      <c r="AA15" s="243" t="n">
        <v>0</v>
      </c>
      <c r="AB15" s="243" t="n">
        <v>0</v>
      </c>
      <c r="AC15" s="300" t="n"/>
      <c r="AD15" s="300" t="n"/>
      <c r="AE15" s="300" t="n"/>
      <c r="AF15" s="300" t="n"/>
      <c r="AG15" s="297">
        <f>ROUND($O15*P15,0)</f>
        <v/>
      </c>
      <c r="AH15" s="297">
        <f>ROUND($O15*Q15,0)</f>
        <v/>
      </c>
      <c r="AI15" s="297">
        <f>ROUND($O15*R15,0)</f>
        <v/>
      </c>
      <c r="AJ15" s="297">
        <f>ROUND($O15*S15,0)</f>
        <v/>
      </c>
      <c r="AK15" s="297">
        <f>ROUND($O15*T15,0)</f>
        <v/>
      </c>
      <c r="AL15" s="297">
        <f>ROUND($O15*U15,0)</f>
        <v/>
      </c>
      <c r="AM15" s="297">
        <f>ROUND($O15*V15,0)</f>
        <v/>
      </c>
      <c r="AN15" s="297">
        <f>ROUND($O15*W15,0)</f>
        <v/>
      </c>
      <c r="AO15" s="297">
        <f>ROUND($O15*X15,0)</f>
        <v/>
      </c>
      <c r="AP15" s="298">
        <f>ROUND($O15*Y15,0)</f>
        <v/>
      </c>
      <c r="AQ15" s="298">
        <f>ROUND($O15*Z15,0)</f>
        <v/>
      </c>
      <c r="AR15" s="298">
        <f>ROUND($O15*AA15,0)</f>
        <v/>
      </c>
      <c r="AS15" s="298">
        <f>ROUND($O15*AB15,0)</f>
        <v/>
      </c>
      <c r="AT15" s="194" t="n"/>
      <c r="AU15" s="194" t="n"/>
      <c r="AV15" s="194" t="n"/>
      <c r="AW15" s="194" t="n"/>
      <c r="AX15" s="236">
        <f>SUM(AG15:AO15)</f>
        <v/>
      </c>
      <c r="AY15" s="528">
        <f>AX15/160</f>
        <v/>
      </c>
      <c r="AZ15" s="87">
        <f>VLOOKUP(I15,Listy!$A$1:$H$9,6,FALSE)</f>
        <v/>
      </c>
      <c r="BA15" s="682">
        <f>AY15*AZ15</f>
        <v/>
      </c>
      <c r="BB15" s="683">
        <f>AY15*BA15</f>
        <v/>
      </c>
      <c r="BC15" s="528" t="n"/>
      <c r="BD15" s="528" t="n"/>
      <c r="BE15" s="528" t="n"/>
      <c r="BF15" s="528" t="n"/>
      <c r="BG15" s="528" t="n"/>
      <c r="BH15" s="528" t="n"/>
      <c r="BI15" s="528">
        <f>BG15*BH15</f>
        <v/>
      </c>
      <c r="BJ15" s="528" t="n"/>
      <c r="BK15" s="528" t="n"/>
      <c r="BL15" s="314" t="n"/>
      <c r="BM15" s="528" t="n"/>
      <c r="BN15" s="528" t="n"/>
      <c r="BO15" s="314" t="n"/>
      <c r="BP15" s="528" t="n"/>
      <c r="BQ15" s="528" t="n"/>
      <c r="BR15" s="314" t="n"/>
      <c r="BS15" s="314" t="n"/>
      <c r="BT15" s="528" t="n"/>
      <c r="BU15" s="528" t="n"/>
      <c r="BV15" s="528" t="n"/>
      <c r="BW15" s="528">
        <f>BU15*BV15</f>
        <v/>
      </c>
      <c r="BX15" s="528" t="n"/>
      <c r="BY15" s="528" t="n"/>
      <c r="BZ15" s="528" t="n"/>
      <c r="CA15" s="528">
        <f>BY15*BZ15</f>
        <v/>
      </c>
      <c r="CB15" s="528" t="n"/>
      <c r="CC15" s="528" t="n"/>
      <c r="CD15" s="528" t="n"/>
      <c r="CE15" s="528">
        <f>CC15*CD15</f>
        <v/>
      </c>
    </row>
    <row r="16" ht="29.4" customHeight="1" s="191" thickBot="1">
      <c r="A16" s="114" t="n">
        <v>2</v>
      </c>
      <c r="B16" s="64" t="inlineStr">
        <is>
          <t>e</t>
        </is>
      </c>
      <c r="C16" s="105" t="n">
        <v>1</v>
      </c>
      <c r="D16" s="116">
        <f>CONCATENATE(A$3,"_",A16,"_",B16,"_",C16)</f>
        <v/>
      </c>
      <c r="E16" s="123" t="inlineStr">
        <is>
          <t>Testy i wybór platformy technologicznej (np. Amazon SageMake, Microsoft Azure Machine Learning, OpenCV)</t>
        </is>
      </c>
      <c r="F16" s="528">
        <f>IFERROR(VLOOKUP($I16,Listy!$A:$H,2,FALSE),"XXX")</f>
        <v/>
      </c>
      <c r="G16" s="528">
        <f>IFERROR(VLOOKUP($I16,Listy!$A:$H,3,FALSE),"XXX")</f>
        <v/>
      </c>
      <c r="H16" s="45" t="n">
        <v>2</v>
      </c>
      <c r="I16" s="89" t="inlineStr">
        <is>
          <t>.a04</t>
        </is>
      </c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4" t="n">
        <v>1</v>
      </c>
      <c r="O16" s="46" t="n">
        <v>80</v>
      </c>
      <c r="P16" s="187" t="n">
        <v>0.125</v>
      </c>
      <c r="Q16" s="187" t="n">
        <v>0.125</v>
      </c>
      <c r="R16" s="187" t="n">
        <v>0.125</v>
      </c>
      <c r="S16" s="187" t="n">
        <v>0.125</v>
      </c>
      <c r="T16" s="187" t="n"/>
      <c r="U16" s="187" t="n"/>
      <c r="V16" s="187" t="n"/>
      <c r="W16" s="187" t="n"/>
      <c r="X16" s="187" t="n"/>
      <c r="Y16" s="243" t="n">
        <v>0.25</v>
      </c>
      <c r="Z16" s="243" t="n">
        <v>0.25</v>
      </c>
      <c r="AA16" s="243" t="n">
        <v>0</v>
      </c>
      <c r="AB16" s="243" t="n">
        <v>0</v>
      </c>
      <c r="AC16" s="300" t="n"/>
      <c r="AD16" s="300" t="n"/>
      <c r="AE16" s="300" t="n"/>
      <c r="AF16" s="300" t="n"/>
      <c r="AG16" s="297">
        <f>ROUND($O16*P16,0)</f>
        <v/>
      </c>
      <c r="AH16" s="297">
        <f>ROUND($O16*Q16,0)</f>
        <v/>
      </c>
      <c r="AI16" s="297">
        <f>ROUND($O16*R16,0)</f>
        <v/>
      </c>
      <c r="AJ16" s="297">
        <f>ROUND($O16*S16,0)</f>
        <v/>
      </c>
      <c r="AK16" s="297">
        <f>ROUND($O16*T16,0)</f>
        <v/>
      </c>
      <c r="AL16" s="297">
        <f>ROUND($O16*U16,0)</f>
        <v/>
      </c>
      <c r="AM16" s="297">
        <f>ROUND($O16*V16,0)</f>
        <v/>
      </c>
      <c r="AN16" s="297">
        <f>ROUND($O16*W16,0)</f>
        <v/>
      </c>
      <c r="AO16" s="297">
        <f>ROUND($O16*X16,0)</f>
        <v/>
      </c>
      <c r="AP16" s="298">
        <f>ROUND($O16*Y16,0)</f>
        <v/>
      </c>
      <c r="AQ16" s="298">
        <f>ROUND($O16*Z16,0)</f>
        <v/>
      </c>
      <c r="AR16" s="298">
        <f>ROUND($O16*AA16,0)</f>
        <v/>
      </c>
      <c r="AS16" s="298">
        <f>ROUND($O16*AB16,0)</f>
        <v/>
      </c>
      <c r="AT16" s="194" t="n"/>
      <c r="AU16" s="194" t="n"/>
      <c r="AV16" s="194" t="n"/>
      <c r="AW16" s="194" t="n"/>
      <c r="AX16" s="236">
        <f>SUM(AG16:AO16)</f>
        <v/>
      </c>
      <c r="AY16" s="528">
        <f>AX16/160</f>
        <v/>
      </c>
      <c r="AZ16" s="87">
        <f>VLOOKUP(I16,Listy!$A$1:$H$9,6,FALSE)</f>
        <v/>
      </c>
      <c r="BA16" s="682">
        <f>AY16*AZ16</f>
        <v/>
      </c>
      <c r="BB16" s="683">
        <f>AY16*BA16</f>
        <v/>
      </c>
      <c r="BC16" s="528" t="n"/>
      <c r="BD16" s="528" t="n"/>
      <c r="BE16" s="528" t="n"/>
      <c r="BF16" s="528" t="n"/>
      <c r="BG16" s="528" t="n"/>
      <c r="BH16" s="528" t="n"/>
      <c r="BI16" s="314">
        <f>BG16*BH16</f>
        <v/>
      </c>
      <c r="BJ16" s="528" t="n"/>
      <c r="BK16" s="528" t="n"/>
      <c r="BL16" s="314" t="n">
        <v>0</v>
      </c>
      <c r="BM16" s="528" t="n"/>
      <c r="BN16" s="528" t="n"/>
      <c r="BO16" s="314" t="n">
        <v>0</v>
      </c>
      <c r="BP16" s="528" t="n"/>
      <c r="BQ16" s="528" t="n"/>
      <c r="BR16" s="314" t="n">
        <v>0</v>
      </c>
      <c r="BS16" s="314" t="n">
        <v>0</v>
      </c>
      <c r="BT16" s="528" t="n"/>
      <c r="BU16" s="528" t="n"/>
      <c r="BV16" s="528" t="n"/>
      <c r="BW16" s="314">
        <f>BU16*BV16</f>
        <v/>
      </c>
      <c r="BX16" s="528" t="n"/>
      <c r="BY16" s="528" t="n"/>
      <c r="BZ16" s="528" t="n"/>
      <c r="CA16" s="314">
        <f>BY16*BZ16</f>
        <v/>
      </c>
      <c r="CB16" s="528" t="n"/>
      <c r="CC16" s="528" t="n"/>
      <c r="CD16" s="528" t="n"/>
      <c r="CE16" s="314">
        <f>CC16*CD16</f>
        <v/>
      </c>
    </row>
    <row r="17" ht="15" customHeight="1" s="191" thickBot="1">
      <c r="A17" s="118" t="n">
        <v>3</v>
      </c>
      <c r="B17" s="64" t="inlineStr">
        <is>
          <t>a</t>
        </is>
      </c>
      <c r="C17" s="105" t="n">
        <v>0</v>
      </c>
      <c r="D17" s="602">
        <f>CONCATENATE(A$3,"_",A17,"_",B17,"_",C17)</f>
        <v/>
      </c>
      <c r="E17" s="85" t="inlineStr">
        <is>
          <t>3.Projektowanie i matematyczne modelowanie procesu PT na podstawie zmapowanych mechanizmów/zjawisk/działań</t>
        </is>
      </c>
      <c r="F17" s="148" t="n"/>
      <c r="G17" s="148" t="n"/>
      <c r="H17" s="528" t="n"/>
      <c r="I17" s="528" t="n"/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>
        <f>ROUND(MAX(AG17:AO17)/Listy!$U$2,0)</f>
        <v/>
      </c>
      <c r="O17" s="148" t="n"/>
      <c r="P17" s="148" t="n"/>
      <c r="Q17" s="148" t="n"/>
      <c r="R17" s="148" t="n"/>
      <c r="S17" s="148" t="n"/>
      <c r="T17" s="148" t="n"/>
      <c r="U17" s="148" t="n"/>
      <c r="V17" s="190" t="n"/>
      <c r="W17" s="148" t="n"/>
      <c r="X17" s="148" t="n"/>
      <c r="Y17" s="148" t="n"/>
      <c r="Z17" s="148" t="n"/>
      <c r="AA17" s="148" t="n"/>
      <c r="AB17" s="148" t="n"/>
      <c r="AC17" s="148" t="n"/>
      <c r="AD17" s="148" t="n"/>
      <c r="AE17" s="148" t="n"/>
      <c r="AF17" s="148" t="n"/>
      <c r="AG17" s="148" t="n"/>
      <c r="AH17" s="148" t="n"/>
      <c r="AI17" s="148" t="n"/>
      <c r="AJ17" s="148" t="n"/>
      <c r="AK17" s="148" t="n"/>
      <c r="AL17" s="148" t="n"/>
      <c r="AM17" s="148" t="n"/>
      <c r="AN17" s="148" t="n"/>
      <c r="AO17" s="148" t="n"/>
      <c r="AP17" s="148" t="n"/>
      <c r="AQ17" s="148" t="n"/>
      <c r="AR17" s="148" t="n"/>
      <c r="AS17" s="148" t="n"/>
      <c r="AT17" s="148" t="n"/>
      <c r="AU17" s="148" t="n"/>
      <c r="AV17" s="148" t="n"/>
      <c r="AW17" s="148" t="n"/>
      <c r="AX17" s="148" t="n"/>
      <c r="AY17" s="148" t="n"/>
      <c r="AZ17" s="148" t="n"/>
      <c r="BA17" s="148" t="n"/>
      <c r="BB17" s="148" t="n"/>
      <c r="BC17" s="148" t="n"/>
      <c r="BD17" s="148" t="n"/>
      <c r="BE17" s="148" t="n"/>
      <c r="BF17" s="148" t="n"/>
      <c r="BG17" s="148" t="n"/>
      <c r="BH17" s="148" t="n"/>
      <c r="BI17" s="148" t="n"/>
      <c r="BJ17" s="148" t="n"/>
      <c r="BK17" s="148" t="n"/>
      <c r="BL17" s="14">
        <f>BL18+BL27+BL28+BL29+BL36</f>
        <v/>
      </c>
      <c r="BM17" s="399" t="n"/>
      <c r="BN17" s="528" t="n"/>
      <c r="BO17" s="14">
        <f>BO18+BO27+BO28+BO29+BO36</f>
        <v/>
      </c>
      <c r="BP17" s="528" t="n"/>
      <c r="BQ17" s="528" t="n"/>
      <c r="BR17" s="14">
        <f>BR18+BR27+BR28+BR29+BR36</f>
        <v/>
      </c>
      <c r="BS17" s="14">
        <f>BS18+BS27+BS28+BS29+BS36</f>
        <v/>
      </c>
      <c r="BT17" s="528" t="n"/>
      <c r="BU17" s="528" t="n"/>
      <c r="BV17" s="528" t="n"/>
      <c r="BW17" s="14">
        <f>BW18+BW27+BW28+BW29+BW36</f>
        <v/>
      </c>
      <c r="BX17" s="528" t="n"/>
      <c r="BY17" s="528" t="n"/>
      <c r="BZ17" s="528" t="n"/>
      <c r="CA17" s="14">
        <f>CA18+CA27+CA28+CA29+CA36</f>
        <v/>
      </c>
      <c r="CB17" s="528" t="n"/>
      <c r="CC17" s="528" t="n"/>
      <c r="CD17" s="528" t="n"/>
      <c r="CE17" s="14">
        <f>CE18+CE27+CE28+CE29+CE36</f>
        <v/>
      </c>
      <c r="CF17" s="40">
        <f>AY17+BB17+BI17+BL17+BO17+BR17+BS17+BW17+CA17+CE17</f>
        <v/>
      </c>
    </row>
    <row r="18">
      <c r="A18" s="112" t="n">
        <v>3</v>
      </c>
      <c r="B18" s="64" t="inlineStr">
        <is>
          <t>a</t>
        </is>
      </c>
      <c r="C18" s="105" t="n">
        <v>0</v>
      </c>
      <c r="D18" s="116">
        <f>CONCATENATE(A$3,"_",A18,"_",B18,"_",C18)</f>
        <v/>
      </c>
      <c r="E18" s="280" t="inlineStr">
        <is>
          <t>Zdefiniowanie parametrów wej./wyj. i kluczowych zdarzeń dyskretnych</t>
        </is>
      </c>
      <c r="F18" s="46" t="n"/>
      <c r="G18" s="46" t="n"/>
      <c r="H18" s="46" t="n"/>
      <c r="I18" s="46" t="n"/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4">
        <f>ROUND(MAX(AG18:AO18)/Listy!$U$2,0)</f>
        <v/>
      </c>
      <c r="O18" s="148" t="n"/>
      <c r="P18" s="148" t="n"/>
      <c r="Q18" s="148" t="n"/>
      <c r="R18" s="148" t="n"/>
      <c r="S18" s="148" t="n"/>
      <c r="T18" s="148" t="n"/>
      <c r="U18" s="148" t="n"/>
      <c r="V18" s="190" t="n"/>
      <c r="W18" s="148" t="n"/>
      <c r="X18" s="148" t="n"/>
      <c r="Y18" s="148" t="n"/>
      <c r="Z18" s="148" t="n"/>
      <c r="AA18" s="148" t="n"/>
      <c r="AB18" s="148" t="n"/>
      <c r="AC18" s="148" t="n"/>
      <c r="AD18" s="148" t="n"/>
      <c r="AE18" s="148" t="n"/>
      <c r="AF18" s="148" t="n"/>
      <c r="AG18" s="148" t="n"/>
      <c r="AH18" s="148" t="n"/>
      <c r="AI18" s="148" t="n"/>
      <c r="AJ18" s="148" t="n"/>
      <c r="AK18" s="148" t="n"/>
      <c r="AL18" s="148" t="n"/>
      <c r="AM18" s="148" t="n"/>
      <c r="AN18" s="148" t="n"/>
      <c r="AO18" s="148" t="n"/>
      <c r="AP18" s="148" t="n"/>
      <c r="AQ18" s="148" t="n"/>
      <c r="AR18" s="148" t="n"/>
      <c r="AS18" s="148" t="n"/>
      <c r="AT18" s="148" t="n"/>
      <c r="AU18" s="148" t="n"/>
      <c r="AV18" s="148" t="n"/>
      <c r="AW18" s="148" t="n"/>
      <c r="AX18" s="148" t="n"/>
      <c r="AY18" s="148" t="n"/>
      <c r="AZ18" s="148" t="n"/>
      <c r="BA18" s="148" t="n"/>
      <c r="BB18" s="148" t="n"/>
      <c r="BC18" s="148" t="n"/>
      <c r="BD18" s="148" t="n"/>
      <c r="BE18" s="148" t="n"/>
      <c r="BF18" s="148" t="n"/>
      <c r="BG18" s="148" t="n"/>
      <c r="BH18" s="148" t="n"/>
      <c r="BI18" s="148" t="n"/>
      <c r="BJ18" s="148" t="n"/>
      <c r="BK18" s="148" t="n"/>
      <c r="BL18" s="21" t="n"/>
      <c r="BM18" s="528" t="n"/>
      <c r="BN18" s="528" t="n"/>
      <c r="BO18" s="21" t="n"/>
      <c r="BP18" s="528" t="n"/>
      <c r="BQ18" s="528" t="n"/>
      <c r="BR18" s="21" t="n"/>
      <c r="BS18" s="21" t="n"/>
      <c r="BT18" s="528" t="n"/>
      <c r="BU18" s="528" t="n"/>
      <c r="BV18" s="528" t="n"/>
      <c r="BW18" s="21">
        <f>BU18*BV18</f>
        <v/>
      </c>
      <c r="BX18" s="528" t="n"/>
      <c r="BY18" s="528" t="n"/>
      <c r="BZ18" s="528" t="n"/>
      <c r="CA18" s="21">
        <f>BY18*BZ18</f>
        <v/>
      </c>
      <c r="CB18" s="528" t="n"/>
      <c r="CC18" s="528" t="n"/>
      <c r="CD18" s="528" t="n"/>
      <c r="CE18" s="21">
        <f>CC18*CD18</f>
        <v/>
      </c>
    </row>
    <row r="19">
      <c r="A19" s="112" t="n">
        <v>3</v>
      </c>
      <c r="B19" s="64" t="inlineStr">
        <is>
          <t>a</t>
        </is>
      </c>
      <c r="C19" s="105" t="n">
        <v>1</v>
      </c>
      <c r="D19" s="116">
        <f>CONCATENATE(A$3,"_",A19,"_",B19,"_",C19)</f>
        <v/>
      </c>
      <c r="E19" s="123" t="inlineStr">
        <is>
          <t>Zdefiniowanie parametrów wejściowych</t>
        </is>
      </c>
      <c r="F19" s="528">
        <f>IFERROR(VLOOKUP($I19,Listy!$A:$H,2,FALSE),"XXX")</f>
        <v/>
      </c>
      <c r="G19" s="46" t="n"/>
      <c r="H19" s="45" t="n">
        <v>3</v>
      </c>
      <c r="I19" s="46" t="inlineStr">
        <is>
          <t>ACT/END</t>
        </is>
      </c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 t="n">
        <v>1</v>
      </c>
      <c r="O19" s="46" t="n">
        <v>80</v>
      </c>
      <c r="P19" s="187" t="n">
        <v>0</v>
      </c>
      <c r="Q19" s="187" t="n">
        <v>0</v>
      </c>
      <c r="R19" s="187" t="n">
        <v>0</v>
      </c>
      <c r="S19" s="187" t="n">
        <v>0.5</v>
      </c>
      <c r="T19" s="187" t="n"/>
      <c r="U19" s="187" t="n"/>
      <c r="V19" s="187" t="n"/>
      <c r="W19" s="187" t="n"/>
      <c r="X19" s="187" t="n"/>
      <c r="Y19" s="243" t="n">
        <v>0</v>
      </c>
      <c r="Z19" s="243" t="n">
        <v>0</v>
      </c>
      <c r="AA19" s="243" t="n">
        <v>0.5</v>
      </c>
      <c r="AB19" s="243" t="n">
        <v>0</v>
      </c>
      <c r="AC19" s="300" t="n"/>
      <c r="AD19" s="300" t="n"/>
      <c r="AE19" s="300" t="n"/>
      <c r="AF19" s="300" t="n"/>
      <c r="AG19" s="297">
        <f>ROUND($O19*P19,0)</f>
        <v/>
      </c>
      <c r="AH19" s="297">
        <f>ROUND($O19*Q19,0)</f>
        <v/>
      </c>
      <c r="AI19" s="297">
        <f>ROUND($O19*R19,0)</f>
        <v/>
      </c>
      <c r="AJ19" s="297">
        <f>ROUND($O19*S19,0)</f>
        <v/>
      </c>
      <c r="AK19" s="297">
        <f>ROUND($O19*T19,0)</f>
        <v/>
      </c>
      <c r="AL19" s="297">
        <f>ROUND($O19*U19,0)</f>
        <v/>
      </c>
      <c r="AM19" s="297">
        <f>ROUND($O19*V19,0)</f>
        <v/>
      </c>
      <c r="AN19" s="297">
        <f>ROUND($O19*W19,0)</f>
        <v/>
      </c>
      <c r="AO19" s="297">
        <f>ROUND($O19*X19,0)</f>
        <v/>
      </c>
      <c r="AP19" s="298">
        <f>ROUND($O19*Y19,0)</f>
        <v/>
      </c>
      <c r="AQ19" s="298">
        <f>ROUND($O19*Z19,0)</f>
        <v/>
      </c>
      <c r="AR19" s="298">
        <f>ROUND($O19*AA19,0)</f>
        <v/>
      </c>
      <c r="AS19" s="298">
        <f>ROUND($O19*AB19,0)</f>
        <v/>
      </c>
      <c r="AT19" s="194" t="n"/>
      <c r="AU19" s="194" t="n"/>
      <c r="AV19" s="194" t="n"/>
      <c r="AW19" s="194" t="n"/>
      <c r="AX19" s="236">
        <f>SUM(AG19:AO19)</f>
        <v/>
      </c>
      <c r="AY19" s="528">
        <f>AX19/160</f>
        <v/>
      </c>
      <c r="AZ19" s="87">
        <f>VLOOKUP(I19,Listy!$A$1:$H$9,6,FALSE)</f>
        <v/>
      </c>
      <c r="BA19" s="682">
        <f>AY19*AZ19</f>
        <v/>
      </c>
      <c r="BB19" s="683">
        <f>AY19*BA19</f>
        <v/>
      </c>
      <c r="BC19" s="528" t="n"/>
      <c r="BD19" s="528" t="n"/>
      <c r="BE19" s="528" t="n"/>
      <c r="BF19" s="528" t="n"/>
      <c r="BG19" s="528" t="n"/>
      <c r="BH19" s="528" t="n"/>
      <c r="BI19" s="21">
        <f>BG19*BH19</f>
        <v/>
      </c>
      <c r="BJ19" s="528" t="n"/>
      <c r="BK19" s="528" t="n"/>
      <c r="BL19" s="21" t="n"/>
      <c r="BM19" s="528" t="n"/>
      <c r="BN19" s="528" t="n"/>
      <c r="BO19" s="21" t="n"/>
      <c r="BP19" s="528" t="n"/>
      <c r="BQ19" s="528" t="n"/>
      <c r="BR19" s="21" t="n"/>
      <c r="BS19" s="21" t="n"/>
      <c r="BT19" s="528" t="n"/>
      <c r="BU19" s="528" t="n"/>
      <c r="BV19" s="528" t="n"/>
      <c r="BW19" s="21">
        <f>BU19*BV19</f>
        <v/>
      </c>
      <c r="BX19" s="528" t="n"/>
      <c r="BY19" s="528" t="n"/>
      <c r="BZ19" s="528" t="n"/>
      <c r="CA19" s="21">
        <f>BY19*BZ19</f>
        <v/>
      </c>
      <c r="CB19" s="528" t="n"/>
      <c r="CC19" s="528" t="n"/>
      <c r="CD19" s="528" t="n"/>
      <c r="CE19" s="21">
        <f>CC19*CD19</f>
        <v/>
      </c>
    </row>
    <row r="20">
      <c r="A20" s="112" t="n">
        <v>3</v>
      </c>
      <c r="B20" s="113" t="inlineStr">
        <is>
          <t>a</t>
        </is>
      </c>
      <c r="C20" s="105" t="n">
        <v>1</v>
      </c>
      <c r="D20" s="116">
        <f>CONCATENATE(A$3,"_",A20,"_",B20,"_",C20)</f>
        <v/>
      </c>
      <c r="E20" s="123" t="inlineStr">
        <is>
          <t>Zdefiniowanie parametrów wyjściowych</t>
        </is>
      </c>
      <c r="F20" s="528">
        <f>IFERROR(VLOOKUP($I20,Listy!$A:$H,2,FALSE),"XXX")</f>
        <v/>
      </c>
      <c r="G20" s="46" t="n"/>
      <c r="H20" s="45" t="n">
        <v>3</v>
      </c>
      <c r="I20" s="46" t="inlineStr">
        <is>
          <t>ACT/END</t>
        </is>
      </c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6" t="n">
        <v>0</v>
      </c>
      <c r="O20" s="46" t="n">
        <v>80</v>
      </c>
      <c r="P20" s="187" t="n">
        <v>0</v>
      </c>
      <c r="Q20" s="187" t="n">
        <v>0</v>
      </c>
      <c r="R20" s="187" t="n">
        <v>0.5</v>
      </c>
      <c r="S20" s="187" t="n">
        <v>0</v>
      </c>
      <c r="T20" s="187" t="n"/>
      <c r="U20" s="187" t="n"/>
      <c r="V20" s="187" t="n"/>
      <c r="W20" s="187" t="n"/>
      <c r="X20" s="187" t="n"/>
      <c r="Y20" s="243" t="n">
        <v>0</v>
      </c>
      <c r="Z20" s="243" t="n">
        <v>0</v>
      </c>
      <c r="AA20" s="243" t="n">
        <v>0.5</v>
      </c>
      <c r="AB20" s="243" t="n">
        <v>0</v>
      </c>
      <c r="AC20" s="300" t="n"/>
      <c r="AD20" s="300" t="n"/>
      <c r="AE20" s="300" t="n"/>
      <c r="AF20" s="300" t="n"/>
      <c r="AG20" s="297">
        <f>ROUND($O20*P20,0)</f>
        <v/>
      </c>
      <c r="AH20" s="297">
        <f>ROUND($O20*Q20,0)</f>
        <v/>
      </c>
      <c r="AI20" s="297">
        <f>ROUND($O20*R20,0)</f>
        <v/>
      </c>
      <c r="AJ20" s="297">
        <f>ROUND($O20*S20,0)</f>
        <v/>
      </c>
      <c r="AK20" s="297">
        <f>ROUND($O20*T20,0)</f>
        <v/>
      </c>
      <c r="AL20" s="297">
        <f>ROUND($O20*U20,0)</f>
        <v/>
      </c>
      <c r="AM20" s="297">
        <f>ROUND($O20*V20,0)</f>
        <v/>
      </c>
      <c r="AN20" s="297">
        <f>ROUND($O20*W20,0)</f>
        <v/>
      </c>
      <c r="AO20" s="297">
        <f>ROUND($O20*X20,0)</f>
        <v/>
      </c>
      <c r="AP20" s="298">
        <f>ROUND($O20*Y20,0)</f>
        <v/>
      </c>
      <c r="AQ20" s="298">
        <f>ROUND($O20*Z20,0)</f>
        <v/>
      </c>
      <c r="AR20" s="298">
        <f>ROUND($O20*AA20,0)</f>
        <v/>
      </c>
      <c r="AS20" s="298">
        <f>ROUND($O20*AB20,0)</f>
        <v/>
      </c>
      <c r="AT20" s="194" t="n"/>
      <c r="AU20" s="194" t="n"/>
      <c r="AV20" s="194" t="n"/>
      <c r="AW20" s="194" t="n"/>
      <c r="AX20" s="236">
        <f>SUM(AG20:AO20)</f>
        <v/>
      </c>
      <c r="AY20" s="528">
        <f>AX20/160</f>
        <v/>
      </c>
      <c r="AZ20" s="87">
        <f>VLOOKUP(I20,Listy!$A$1:$H$9,6,FALSE)</f>
        <v/>
      </c>
      <c r="BA20" s="682">
        <f>AY20*AZ20</f>
        <v/>
      </c>
      <c r="BB20" s="683">
        <f>AY20*BA20</f>
        <v/>
      </c>
      <c r="BC20" s="528" t="n"/>
      <c r="BD20" s="528" t="n"/>
      <c r="BE20" s="528" t="n"/>
      <c r="BF20" s="528" t="n"/>
      <c r="BG20" s="528" t="n"/>
      <c r="BH20" s="528" t="n"/>
      <c r="BI20" s="21">
        <f>BG20*BH20</f>
        <v/>
      </c>
      <c r="BJ20" s="528" t="n"/>
      <c r="BK20" s="528" t="n"/>
      <c r="BL20" s="21" t="n"/>
      <c r="BM20" s="528" t="n"/>
      <c r="BN20" s="528" t="n"/>
      <c r="BO20" s="21" t="n"/>
      <c r="BP20" s="528" t="n"/>
      <c r="BQ20" s="528" t="n"/>
      <c r="BR20" s="21" t="n"/>
      <c r="BS20" s="21" t="n"/>
      <c r="BT20" s="528" t="n"/>
      <c r="BU20" s="528" t="n"/>
      <c r="BV20" s="528" t="n"/>
      <c r="BW20" s="21">
        <f>BU20*BV20</f>
        <v/>
      </c>
      <c r="BX20" s="528" t="n"/>
      <c r="BY20" s="528" t="n"/>
      <c r="BZ20" s="528" t="n"/>
      <c r="CA20" s="21">
        <f>BY20*BZ20</f>
        <v/>
      </c>
      <c r="CB20" s="528" t="n"/>
      <c r="CC20" s="528" t="n"/>
      <c r="CD20" s="528" t="n"/>
      <c r="CE20" s="21">
        <f>CC20*CD20</f>
        <v/>
      </c>
    </row>
    <row r="21">
      <c r="A21" s="112" t="n">
        <v>3</v>
      </c>
      <c r="B21" s="64" t="inlineStr">
        <is>
          <t>a</t>
        </is>
      </c>
      <c r="C21" s="105" t="n">
        <v>1</v>
      </c>
      <c r="D21" s="116">
        <f>CONCATENATE(A$3,"_",A21,"_",B21,"_",C21)</f>
        <v/>
      </c>
      <c r="E21" s="124" t="inlineStr">
        <is>
          <t>Badania eksploracyjne dostepnych danych</t>
        </is>
      </c>
      <c r="F21" s="528">
        <f>IFERROR(VLOOKUP($I21,Listy!$A:$H,2,FALSE),"XXX")</f>
        <v/>
      </c>
      <c r="G21" s="455" t="inlineStr">
        <is>
          <t>END</t>
        </is>
      </c>
      <c r="H21" s="133" t="n">
        <v>3</v>
      </c>
      <c r="I21" s="89" t="inlineStr">
        <is>
          <t>.e01</t>
        </is>
      </c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6" t="n">
        <v>0</v>
      </c>
      <c r="O21" s="46" t="n">
        <v>80</v>
      </c>
      <c r="P21" s="187" t="n">
        <v>0.5</v>
      </c>
      <c r="Q21" s="187" t="n">
        <v>0</v>
      </c>
      <c r="R21" s="187" t="n">
        <v>0</v>
      </c>
      <c r="S21" s="187" t="n">
        <v>0</v>
      </c>
      <c r="T21" s="187" t="n"/>
      <c r="U21" s="187" t="n"/>
      <c r="V21" s="187" t="n"/>
      <c r="W21" s="187" t="n"/>
      <c r="X21" s="187" t="n"/>
      <c r="Y21" s="243" t="n">
        <v>0.5</v>
      </c>
      <c r="Z21" s="243" t="n">
        <v>0</v>
      </c>
      <c r="AA21" s="243" t="n">
        <v>0</v>
      </c>
      <c r="AB21" s="243" t="n">
        <v>0</v>
      </c>
      <c r="AC21" s="300" t="n"/>
      <c r="AD21" s="300" t="n"/>
      <c r="AE21" s="300" t="n"/>
      <c r="AF21" s="300" t="n"/>
      <c r="AG21" s="297">
        <f>ROUND($O21*P21,0)</f>
        <v/>
      </c>
      <c r="AH21" s="297">
        <f>ROUND($O21*Q21,0)</f>
        <v/>
      </c>
      <c r="AI21" s="297">
        <f>ROUND($O21*R21,0)</f>
        <v/>
      </c>
      <c r="AJ21" s="297">
        <f>ROUND($O21*S21,0)</f>
        <v/>
      </c>
      <c r="AK21" s="297">
        <f>ROUND($O21*T21,0)</f>
        <v/>
      </c>
      <c r="AL21" s="297">
        <f>ROUND($O21*U21,0)</f>
        <v/>
      </c>
      <c r="AM21" s="297">
        <f>ROUND($O21*V21,0)</f>
        <v/>
      </c>
      <c r="AN21" s="297">
        <f>ROUND($O21*W21,0)</f>
        <v/>
      </c>
      <c r="AO21" s="297">
        <f>ROUND($O21*X21,0)</f>
        <v/>
      </c>
      <c r="AP21" s="298">
        <f>ROUND($O21*Y21,0)</f>
        <v/>
      </c>
      <c r="AQ21" s="298">
        <f>ROUND($O21*Z21,0)</f>
        <v/>
      </c>
      <c r="AR21" s="298">
        <f>ROUND($O21*AA21,0)</f>
        <v/>
      </c>
      <c r="AS21" s="298">
        <f>ROUND($O21*AB21,0)</f>
        <v/>
      </c>
      <c r="AT21" s="194" t="n"/>
      <c r="AU21" s="194" t="n"/>
      <c r="AV21" s="194" t="n"/>
      <c r="AW21" s="194" t="n"/>
      <c r="AX21" s="236">
        <f>SUM(AG21:AO21)</f>
        <v/>
      </c>
      <c r="AY21" s="528">
        <f>AX21/160</f>
        <v/>
      </c>
      <c r="AZ21" s="87">
        <f>VLOOKUP(I21,Listy!$A$1:$H$9,6,FALSE)</f>
        <v/>
      </c>
      <c r="BA21" s="682">
        <f>AY21*AZ21</f>
        <v/>
      </c>
      <c r="BB21" s="683">
        <f>AY21*BA21</f>
        <v/>
      </c>
      <c r="BC21" s="528" t="n"/>
      <c r="BD21" s="528" t="n"/>
      <c r="BE21" s="528" t="n"/>
      <c r="BF21" s="528" t="n"/>
      <c r="BG21" s="528" t="n"/>
      <c r="BH21" s="528" t="n"/>
      <c r="BI21" s="13" t="n"/>
      <c r="BJ21" s="528" t="n"/>
      <c r="BK21" s="51" t="n"/>
      <c r="BL21" s="13" t="n"/>
      <c r="BM21" s="399" t="n"/>
      <c r="BN21" s="528" t="n"/>
      <c r="BO21" s="13" t="n"/>
      <c r="BP21" s="528" t="n"/>
      <c r="BQ21" s="528" t="n"/>
      <c r="BR21" s="13" t="n"/>
      <c r="BS21" s="13" t="n"/>
      <c r="BT21" s="528" t="n"/>
      <c r="BU21" s="528" t="n"/>
      <c r="BV21" s="528" t="n"/>
      <c r="BW21" s="13" t="n"/>
      <c r="BX21" s="528" t="n"/>
      <c r="BY21" s="528" t="n"/>
      <c r="BZ21" s="528" t="n"/>
      <c r="CA21" s="13" t="n"/>
      <c r="CB21" s="528" t="n"/>
      <c r="CC21" s="528" t="n"/>
      <c r="CD21" s="528" t="n"/>
      <c r="CE21" s="13" t="n"/>
    </row>
    <row r="22">
      <c r="A22" s="112" t="n">
        <v>3</v>
      </c>
      <c r="B22" s="113" t="inlineStr">
        <is>
          <t>a</t>
        </is>
      </c>
      <c r="C22" s="105" t="n">
        <v>1</v>
      </c>
      <c r="D22" s="116">
        <f>CONCATENATE(A$3,"_",A22,"_",B22,"_",C22)</f>
        <v/>
      </c>
      <c r="E22" s="124" t="inlineStr">
        <is>
          <t>Analiza jakościowa danych/określenie jakości danych</t>
        </is>
      </c>
      <c r="F22" s="528">
        <f>IFERROR(VLOOKUP($I22,Listy!$A:$H,2,FALSE),"XXX")</f>
        <v/>
      </c>
      <c r="G22" s="455" t="inlineStr">
        <is>
          <t>END</t>
        </is>
      </c>
      <c r="H22" s="133" t="n">
        <v>3</v>
      </c>
      <c r="I22" s="89" t="inlineStr">
        <is>
          <t>.e02</t>
        </is>
      </c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6" t="n">
        <v>0</v>
      </c>
      <c r="O22" s="46" t="n">
        <v>80</v>
      </c>
      <c r="P22" s="187" t="n">
        <v>0</v>
      </c>
      <c r="Q22" s="187" t="n">
        <v>0.5</v>
      </c>
      <c r="R22" s="187" t="n">
        <v>0</v>
      </c>
      <c r="S22" s="187" t="n">
        <v>0</v>
      </c>
      <c r="T22" s="187" t="n"/>
      <c r="U22" s="187" t="n"/>
      <c r="V22" s="187" t="n"/>
      <c r="W22" s="187" t="n"/>
      <c r="X22" s="187" t="n"/>
      <c r="Y22" s="243" t="n">
        <v>0</v>
      </c>
      <c r="Z22" s="243" t="n">
        <v>0</v>
      </c>
      <c r="AA22" s="243" t="n">
        <v>0.5</v>
      </c>
      <c r="AB22" s="243" t="n">
        <v>0</v>
      </c>
      <c r="AC22" s="300" t="n"/>
      <c r="AD22" s="300" t="n"/>
      <c r="AE22" s="300" t="n"/>
      <c r="AF22" s="300" t="n"/>
      <c r="AG22" s="297">
        <f>ROUND($O22*P22,0)</f>
        <v/>
      </c>
      <c r="AH22" s="297">
        <f>ROUND($O22*Q22,0)</f>
        <v/>
      </c>
      <c r="AI22" s="297">
        <f>ROUND($O22*R22,0)</f>
        <v/>
      </c>
      <c r="AJ22" s="297">
        <f>ROUND($O22*S22,0)</f>
        <v/>
      </c>
      <c r="AK22" s="297">
        <f>ROUND($O22*T22,0)</f>
        <v/>
      </c>
      <c r="AL22" s="297">
        <f>ROUND($O22*U22,0)</f>
        <v/>
      </c>
      <c r="AM22" s="297">
        <f>ROUND($O22*V22,0)</f>
        <v/>
      </c>
      <c r="AN22" s="297">
        <f>ROUND($O22*W22,0)</f>
        <v/>
      </c>
      <c r="AO22" s="297">
        <f>ROUND($O22*X22,0)</f>
        <v/>
      </c>
      <c r="AP22" s="298">
        <f>ROUND($O22*Y22,0)</f>
        <v/>
      </c>
      <c r="AQ22" s="298">
        <f>ROUND($O22*Z22,0)</f>
        <v/>
      </c>
      <c r="AR22" s="298">
        <f>ROUND($O22*AA22,0)</f>
        <v/>
      </c>
      <c r="AS22" s="298">
        <f>ROUND($O22*AB22,0)</f>
        <v/>
      </c>
      <c r="AT22" s="194" t="n"/>
      <c r="AU22" s="194" t="n"/>
      <c r="AV22" s="194" t="n"/>
      <c r="AW22" s="194" t="n"/>
      <c r="AX22" s="236">
        <f>SUM(AG22:AO22)</f>
        <v/>
      </c>
      <c r="AY22" s="528">
        <f>AX22/160</f>
        <v/>
      </c>
      <c r="AZ22" s="87">
        <f>VLOOKUP(I22,Listy!$A$1:$H$9,6,FALSE)</f>
        <v/>
      </c>
      <c r="BA22" s="682">
        <f>AY22*AZ22</f>
        <v/>
      </c>
      <c r="BB22" s="683">
        <f>AY22*BA22</f>
        <v/>
      </c>
      <c r="BC22" s="528" t="n"/>
      <c r="BD22" s="528" t="n"/>
      <c r="BE22" s="528" t="n"/>
      <c r="BF22" s="528" t="n"/>
      <c r="BG22" s="528" t="n"/>
      <c r="BH22" s="528" t="n"/>
      <c r="BI22" s="13" t="n"/>
      <c r="BJ22" s="528" t="n"/>
      <c r="BK22" s="51" t="n"/>
      <c r="BL22" s="13" t="n"/>
      <c r="BM22" s="399" t="n"/>
      <c r="BN22" s="528" t="n"/>
      <c r="BO22" s="13" t="n"/>
      <c r="BP22" s="528" t="n"/>
      <c r="BQ22" s="528" t="n"/>
      <c r="BR22" s="13" t="n"/>
      <c r="BS22" s="13" t="n"/>
      <c r="BT22" s="528" t="n"/>
      <c r="BU22" s="528" t="n"/>
      <c r="BV22" s="528" t="n"/>
      <c r="BW22" s="13" t="n"/>
      <c r="BX22" s="528" t="n"/>
      <c r="BY22" s="528" t="n"/>
      <c r="BZ22" s="528" t="n"/>
      <c r="CA22" s="13" t="n"/>
      <c r="CB22" s="528" t="n"/>
      <c r="CC22" s="528" t="n"/>
      <c r="CD22" s="528" t="n"/>
      <c r="CE22" s="13" t="n"/>
    </row>
    <row r="23">
      <c r="A23" s="112" t="n">
        <v>3</v>
      </c>
      <c r="B23" s="64" t="inlineStr">
        <is>
          <t>a</t>
        </is>
      </c>
      <c r="C23" s="105" t="n">
        <v>1</v>
      </c>
      <c r="D23" s="116">
        <f>CONCATENATE(A$3,"_",A23,"_",B23,"_",C23)</f>
        <v/>
      </c>
      <c r="E23" s="124" t="inlineStr">
        <is>
          <t xml:space="preserve">Zdefiniowanie relacji i korelacji  danych </t>
        </is>
      </c>
      <c r="F23" s="528">
        <f>IFERROR(VLOOKUP($I23,Listy!$A:$H,2,FALSE),"XXX")</f>
        <v/>
      </c>
      <c r="G23" s="455" t="inlineStr">
        <is>
          <t>END</t>
        </is>
      </c>
      <c r="H23" s="133" t="n">
        <v>4</v>
      </c>
      <c r="I23" s="89" t="inlineStr">
        <is>
          <t>.e03</t>
        </is>
      </c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 t="n">
        <v>1</v>
      </c>
      <c r="O23" s="46" t="n">
        <v>80</v>
      </c>
      <c r="P23" s="187" t="n">
        <v>0</v>
      </c>
      <c r="Q23" s="187" t="n">
        <v>0</v>
      </c>
      <c r="R23" s="187" t="n">
        <v>0</v>
      </c>
      <c r="S23" s="187" t="n">
        <v>0.5</v>
      </c>
      <c r="T23" s="187" t="n"/>
      <c r="U23" s="187" t="n"/>
      <c r="V23" s="187" t="n"/>
      <c r="W23" s="187" t="n"/>
      <c r="X23" s="187" t="n"/>
      <c r="Y23" s="243" t="n">
        <v>0</v>
      </c>
      <c r="Z23" s="243" t="n">
        <v>0.5</v>
      </c>
      <c r="AA23" s="243" t="n">
        <v>0</v>
      </c>
      <c r="AB23" s="243" t="n">
        <v>0</v>
      </c>
      <c r="AC23" s="300" t="n"/>
      <c r="AD23" s="300" t="n"/>
      <c r="AE23" s="300" t="n"/>
      <c r="AF23" s="300" t="n"/>
      <c r="AG23" s="297">
        <f>ROUND($O23*P23,0)</f>
        <v/>
      </c>
      <c r="AH23" s="297">
        <f>ROUND($O23*Q23,0)</f>
        <v/>
      </c>
      <c r="AI23" s="297">
        <f>ROUND($O23*R23,0)</f>
        <v/>
      </c>
      <c r="AJ23" s="297">
        <f>ROUND($O23*S23,0)</f>
        <v/>
      </c>
      <c r="AK23" s="297">
        <f>ROUND($O23*T23,0)</f>
        <v/>
      </c>
      <c r="AL23" s="297">
        <f>ROUND($O23*U23,0)</f>
        <v/>
      </c>
      <c r="AM23" s="297">
        <f>ROUND($O23*V23,0)</f>
        <v/>
      </c>
      <c r="AN23" s="297">
        <f>ROUND($O23*W23,0)</f>
        <v/>
      </c>
      <c r="AO23" s="297">
        <f>ROUND($O23*X23,0)</f>
        <v/>
      </c>
      <c r="AP23" s="298">
        <f>ROUND($O23*Y23,0)</f>
        <v/>
      </c>
      <c r="AQ23" s="298">
        <f>ROUND($O23*Z23,0)</f>
        <v/>
      </c>
      <c r="AR23" s="298">
        <f>ROUND($O23*AA23,0)</f>
        <v/>
      </c>
      <c r="AS23" s="298">
        <f>ROUND($O23*AB23,0)</f>
        <v/>
      </c>
      <c r="AT23" s="194" t="n"/>
      <c r="AU23" s="194" t="n"/>
      <c r="AV23" s="194" t="n"/>
      <c r="AW23" s="194" t="n"/>
      <c r="AX23" s="236">
        <f>SUM(AG23:AO23)</f>
        <v/>
      </c>
      <c r="AY23" s="528">
        <f>AX23/160</f>
        <v/>
      </c>
      <c r="AZ23" s="87">
        <f>VLOOKUP(I23,Listy!$A$1:$H$9,6,FALSE)</f>
        <v/>
      </c>
      <c r="BA23" s="682">
        <f>AY23*AZ23</f>
        <v/>
      </c>
      <c r="BB23" s="683">
        <f>AY23*BA23</f>
        <v/>
      </c>
      <c r="BC23" s="528" t="n"/>
      <c r="BD23" s="528" t="n"/>
      <c r="BE23" s="528" t="n"/>
      <c r="BF23" s="528" t="n"/>
      <c r="BG23" s="528" t="n"/>
      <c r="BH23" s="528" t="n"/>
      <c r="BI23" s="13" t="n"/>
      <c r="BJ23" s="528" t="n"/>
      <c r="BK23" s="51" t="n"/>
      <c r="BL23" s="13" t="n"/>
      <c r="BM23" s="399" t="n"/>
      <c r="BN23" s="528" t="n"/>
      <c r="BO23" s="13" t="n"/>
      <c r="BP23" s="528" t="n"/>
      <c r="BQ23" s="528" t="n"/>
      <c r="BR23" s="13" t="n"/>
      <c r="BS23" s="13" t="n"/>
      <c r="BT23" s="528" t="n"/>
      <c r="BU23" s="528" t="n"/>
      <c r="BV23" s="528" t="n"/>
      <c r="BW23" s="13" t="n"/>
      <c r="BX23" s="528" t="n"/>
      <c r="BY23" s="528" t="n"/>
      <c r="BZ23" s="528" t="n"/>
      <c r="CA23" s="13" t="n"/>
      <c r="CB23" s="528" t="n"/>
      <c r="CC23" s="528" t="n"/>
      <c r="CD23" s="528" t="n"/>
      <c r="CE23" s="13" t="n"/>
    </row>
    <row r="24">
      <c r="A24" s="112" t="n">
        <v>3</v>
      </c>
      <c r="B24" s="113" t="inlineStr">
        <is>
          <t>a</t>
        </is>
      </c>
      <c r="C24" s="106" t="n">
        <v>6</v>
      </c>
      <c r="D24" s="116">
        <f>CONCATENATE(A$3,"_",A24,"_",B24,"_",C24)</f>
        <v/>
      </c>
      <c r="E24" s="124" t="inlineStr">
        <is>
          <t>Wybór danych do procesu tworzenia modelu</t>
        </is>
      </c>
      <c r="F24" s="528">
        <f>IFERROR(VLOOKUP($I24,Listy!$A:$H,2,FALSE),"XXX")</f>
        <v/>
      </c>
      <c r="G24" s="455" t="inlineStr">
        <is>
          <t>END</t>
        </is>
      </c>
      <c r="H24" s="133" t="n">
        <v>4</v>
      </c>
      <c r="I24" s="89" t="inlineStr">
        <is>
          <t>.e01</t>
        </is>
      </c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6" t="n">
        <v>0</v>
      </c>
      <c r="O24" s="46" t="n">
        <v>80</v>
      </c>
      <c r="P24" s="187" t="n">
        <v>0</v>
      </c>
      <c r="Q24" s="187" t="n">
        <v>0.5</v>
      </c>
      <c r="R24" s="187" t="n">
        <v>0</v>
      </c>
      <c r="S24" s="187" t="n">
        <v>0</v>
      </c>
      <c r="T24" s="187" t="n"/>
      <c r="U24" s="187" t="n"/>
      <c r="V24" s="187" t="n"/>
      <c r="W24" s="187" t="n"/>
      <c r="X24" s="187" t="n"/>
      <c r="Y24" s="243" t="n">
        <v>0.5</v>
      </c>
      <c r="Z24" s="243" t="n">
        <v>0</v>
      </c>
      <c r="AA24" s="243" t="n">
        <v>0</v>
      </c>
      <c r="AB24" s="243" t="n">
        <v>0</v>
      </c>
      <c r="AC24" s="300" t="n"/>
      <c r="AD24" s="300" t="n"/>
      <c r="AE24" s="300" t="n"/>
      <c r="AF24" s="300" t="n"/>
      <c r="AG24" s="297">
        <f>ROUND($O24*P24,0)</f>
        <v/>
      </c>
      <c r="AH24" s="297">
        <f>ROUND($O24*Q24,0)</f>
        <v/>
      </c>
      <c r="AI24" s="297">
        <f>ROUND($O24*R24,0)</f>
        <v/>
      </c>
      <c r="AJ24" s="297">
        <f>ROUND($O24*S24,0)</f>
        <v/>
      </c>
      <c r="AK24" s="297">
        <f>ROUND($O24*T24,0)</f>
        <v/>
      </c>
      <c r="AL24" s="297">
        <f>ROUND($O24*U24,0)</f>
        <v/>
      </c>
      <c r="AM24" s="297">
        <f>ROUND($O24*V24,0)</f>
        <v/>
      </c>
      <c r="AN24" s="297">
        <f>ROUND($O24*W24,0)</f>
        <v/>
      </c>
      <c r="AO24" s="297">
        <f>ROUND($O24*X24,0)</f>
        <v/>
      </c>
      <c r="AP24" s="298">
        <f>ROUND($O24*Y24,0)</f>
        <v/>
      </c>
      <c r="AQ24" s="298">
        <f>ROUND($O24*Z24,0)</f>
        <v/>
      </c>
      <c r="AR24" s="298">
        <f>ROUND($O24*AA24,0)</f>
        <v/>
      </c>
      <c r="AS24" s="298">
        <f>ROUND($O24*AB24,0)</f>
        <v/>
      </c>
      <c r="AT24" s="194" t="n"/>
      <c r="AU24" s="194" t="n"/>
      <c r="AV24" s="194" t="n"/>
      <c r="AW24" s="194" t="n"/>
      <c r="AX24" s="236">
        <f>SUM(AG24:AO24)</f>
        <v/>
      </c>
      <c r="AY24" s="528">
        <f>AX24/160</f>
        <v/>
      </c>
      <c r="AZ24" s="87">
        <f>VLOOKUP(I24,Listy!$A$1:$H$9,6,FALSE)</f>
        <v/>
      </c>
      <c r="BA24" s="682">
        <f>AY24*AZ24</f>
        <v/>
      </c>
      <c r="BB24" s="683">
        <f>AY24*BA24</f>
        <v/>
      </c>
      <c r="BC24" s="528" t="n"/>
      <c r="BD24" s="528" t="n"/>
      <c r="BE24" s="528" t="n"/>
      <c r="BF24" s="528" t="n"/>
      <c r="BG24" s="528" t="n"/>
      <c r="BH24" s="528" t="n"/>
      <c r="BJ24" s="528" t="n"/>
      <c r="BK24" s="51" t="n"/>
      <c r="BM24" s="399" t="n"/>
      <c r="BN24" s="528" t="n"/>
      <c r="BP24" s="528" t="n"/>
      <c r="BQ24" s="528" t="n"/>
      <c r="BT24" s="528" t="n"/>
      <c r="BU24" s="528" t="n"/>
      <c r="BV24" s="528" t="n"/>
      <c r="BX24" s="528" t="n"/>
      <c r="BY24" s="528" t="n"/>
      <c r="BZ24" s="528" t="n"/>
      <c r="CB24" s="528" t="n"/>
      <c r="CC24" s="528" t="n"/>
      <c r="CD24" s="528" t="n"/>
    </row>
    <row r="25">
      <c r="A25" s="112" t="n">
        <v>3</v>
      </c>
      <c r="B25" s="64" t="inlineStr">
        <is>
          <t>a</t>
        </is>
      </c>
      <c r="C25" s="106" t="n">
        <v>7</v>
      </c>
      <c r="D25" s="116">
        <f>CONCATENATE(A$3,"_",A25,"_",B25,"_",C25)</f>
        <v/>
      </c>
      <c r="E25" s="124" t="inlineStr">
        <is>
          <t>Wybór danych do procesu ewaluacji modelu</t>
        </is>
      </c>
      <c r="F25" s="528">
        <f>IFERROR(VLOOKUP($I25,Listy!$A:$H,2,FALSE),"XXX")</f>
        <v/>
      </c>
      <c r="G25" s="455" t="inlineStr">
        <is>
          <t>END</t>
        </is>
      </c>
      <c r="H25" s="133" t="n">
        <v>4</v>
      </c>
      <c r="I25" s="89" t="inlineStr">
        <is>
          <t>.e02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6" t="n">
        <v>0</v>
      </c>
      <c r="O25" s="46" t="n">
        <v>80</v>
      </c>
      <c r="P25" s="187" t="n">
        <v>0</v>
      </c>
      <c r="Q25" s="187" t="n">
        <v>0</v>
      </c>
      <c r="R25" s="187" t="n">
        <v>0.5</v>
      </c>
      <c r="S25" s="187" t="n">
        <v>0</v>
      </c>
      <c r="T25" s="187" t="n"/>
      <c r="U25" s="187" t="n"/>
      <c r="V25" s="187" t="n"/>
      <c r="W25" s="187" t="n"/>
      <c r="X25" s="187" t="n"/>
      <c r="Y25" s="243" t="n">
        <v>0</v>
      </c>
      <c r="Z25" s="243" t="n">
        <v>0.5</v>
      </c>
      <c r="AA25" s="243" t="n">
        <v>0</v>
      </c>
      <c r="AB25" s="243" t="n">
        <v>0</v>
      </c>
      <c r="AC25" s="300" t="n"/>
      <c r="AD25" s="300" t="n"/>
      <c r="AE25" s="300" t="n"/>
      <c r="AF25" s="300" t="n"/>
      <c r="AG25" s="297">
        <f>ROUND($O25*P25,0)</f>
        <v/>
      </c>
      <c r="AH25" s="297">
        <f>ROUND($O25*Q25,0)</f>
        <v/>
      </c>
      <c r="AI25" s="297">
        <f>ROUND($O25*R25,0)</f>
        <v/>
      </c>
      <c r="AJ25" s="297">
        <f>ROUND($O25*S25,0)</f>
        <v/>
      </c>
      <c r="AK25" s="297">
        <f>ROUND($O25*T25,0)</f>
        <v/>
      </c>
      <c r="AL25" s="297">
        <f>ROUND($O25*U25,0)</f>
        <v/>
      </c>
      <c r="AM25" s="297">
        <f>ROUND($O25*V25,0)</f>
        <v/>
      </c>
      <c r="AN25" s="297">
        <f>ROUND($O25*W25,0)</f>
        <v/>
      </c>
      <c r="AO25" s="297">
        <f>ROUND($O25*X25,0)</f>
        <v/>
      </c>
      <c r="AP25" s="298">
        <f>ROUND($O25*Y25,0)</f>
        <v/>
      </c>
      <c r="AQ25" s="298">
        <f>ROUND($O25*Z25,0)</f>
        <v/>
      </c>
      <c r="AR25" s="298">
        <f>ROUND($O25*AA25,0)</f>
        <v/>
      </c>
      <c r="AS25" s="298">
        <f>ROUND($O25*AB25,0)</f>
        <v/>
      </c>
      <c r="AT25" s="194" t="n"/>
      <c r="AU25" s="194" t="n"/>
      <c r="AV25" s="194" t="n"/>
      <c r="AW25" s="194" t="n"/>
      <c r="AX25" s="236">
        <f>SUM(AG25:AO25)</f>
        <v/>
      </c>
      <c r="AY25" s="528">
        <f>AX25/160</f>
        <v/>
      </c>
      <c r="AZ25" s="87">
        <f>VLOOKUP(I25,Listy!$A$1:$H$9,6,FALSE)</f>
        <v/>
      </c>
      <c r="BA25" s="682">
        <f>AY25*AZ25</f>
        <v/>
      </c>
      <c r="BB25" s="683">
        <f>AY25*BA25</f>
        <v/>
      </c>
      <c r="BC25" s="528" t="n"/>
      <c r="BD25" s="528" t="n"/>
      <c r="BE25" s="528" t="n"/>
      <c r="BF25" s="528" t="n"/>
      <c r="BG25" s="528" t="n"/>
      <c r="BH25" s="528" t="n"/>
      <c r="BJ25" s="528" t="n"/>
      <c r="BK25" s="51" t="n"/>
      <c r="BM25" s="399" t="n"/>
      <c r="BN25" s="528" t="n"/>
      <c r="BP25" s="528" t="n"/>
      <c r="BQ25" s="528" t="n"/>
      <c r="BT25" s="528" t="n"/>
      <c r="BU25" s="528" t="n"/>
      <c r="BV25" s="528" t="n"/>
      <c r="BX25" s="528" t="n"/>
      <c r="BY25" s="528" t="n"/>
      <c r="BZ25" s="528" t="n"/>
      <c r="CB25" s="528" t="n"/>
      <c r="CC25" s="528" t="n"/>
      <c r="CD25" s="528" t="n"/>
    </row>
    <row r="26">
      <c r="A26" s="112" t="n">
        <v>3</v>
      </c>
      <c r="B26" s="113" t="inlineStr">
        <is>
          <t>a</t>
        </is>
      </c>
      <c r="C26" s="106" t="n">
        <v>8</v>
      </c>
      <c r="D26" s="116">
        <f>CONCATENATE(A$3,"_",A26,"_",B26,"_",C26)</f>
        <v/>
      </c>
      <c r="E26" s="124" t="inlineStr">
        <is>
          <t>Modelowanie i przekształenie danych na potrzeby tworzenia modeli</t>
        </is>
      </c>
      <c r="F26" s="528">
        <f>IFERROR(VLOOKUP($I26,Listy!$A:$H,2,FALSE),"XXX")</f>
        <v/>
      </c>
      <c r="G26" s="455" t="inlineStr">
        <is>
          <t>END</t>
        </is>
      </c>
      <c r="H26" s="133" t="n">
        <v>5</v>
      </c>
      <c r="I26" s="89" t="inlineStr">
        <is>
          <t>.e03</t>
        </is>
      </c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4" t="n">
        <v>1</v>
      </c>
      <c r="O26" s="46" t="n">
        <v>120</v>
      </c>
      <c r="P26" s="187" t="n">
        <v>0</v>
      </c>
      <c r="Q26" s="187" t="n">
        <v>0</v>
      </c>
      <c r="R26" s="187" t="n">
        <v>0</v>
      </c>
      <c r="S26" s="187" t="n">
        <v>0.333</v>
      </c>
      <c r="T26" s="187" t="n"/>
      <c r="U26" s="187" t="n"/>
      <c r="V26" s="187" t="n"/>
      <c r="W26" s="187" t="n"/>
      <c r="X26" s="187" t="n"/>
      <c r="Y26" s="243" t="n">
        <v>0</v>
      </c>
      <c r="Z26" s="243" t="n">
        <v>0.333</v>
      </c>
      <c r="AA26" s="243" t="n">
        <v>0.333</v>
      </c>
      <c r="AB26" s="243" t="n">
        <v>0</v>
      </c>
      <c r="AC26" s="300" t="n"/>
      <c r="AD26" s="300" t="n"/>
      <c r="AE26" s="300" t="n"/>
      <c r="AF26" s="300" t="n"/>
      <c r="AG26" s="297">
        <f>ROUND($O26*P26,0)</f>
        <v/>
      </c>
      <c r="AH26" s="297">
        <f>ROUND($O26*Q26,0)</f>
        <v/>
      </c>
      <c r="AI26" s="297">
        <f>ROUND($O26*R26,0)</f>
        <v/>
      </c>
      <c r="AJ26" s="297">
        <f>ROUND($O26*S26,0)</f>
        <v/>
      </c>
      <c r="AK26" s="297">
        <f>ROUND($O26*T26,0)</f>
        <v/>
      </c>
      <c r="AL26" s="297">
        <f>ROUND($O26*U26,0)</f>
        <v/>
      </c>
      <c r="AM26" s="297">
        <f>ROUND($O26*V26,0)</f>
        <v/>
      </c>
      <c r="AN26" s="297">
        <f>ROUND($O26*W26,0)</f>
        <v/>
      </c>
      <c r="AO26" s="297">
        <f>ROUND($O26*X26,0)</f>
        <v/>
      </c>
      <c r="AP26" s="298">
        <f>ROUND($O26*Y26,0)</f>
        <v/>
      </c>
      <c r="AQ26" s="298">
        <f>ROUND($O26*Z26,0)</f>
        <v/>
      </c>
      <c r="AR26" s="298">
        <f>ROUND($O26*AA26,0)</f>
        <v/>
      </c>
      <c r="AS26" s="298">
        <f>ROUND($O26*AB26,0)</f>
        <v/>
      </c>
      <c r="AT26" s="194" t="n"/>
      <c r="AU26" s="194" t="n"/>
      <c r="AV26" s="194" t="n"/>
      <c r="AW26" s="194" t="n"/>
      <c r="AX26" s="236">
        <f>SUM(AG26:AO26)</f>
        <v/>
      </c>
      <c r="AY26" s="528">
        <f>AX26/160</f>
        <v/>
      </c>
      <c r="AZ26" s="87">
        <f>VLOOKUP(I26,Listy!$A$1:$H$9,6,FALSE)</f>
        <v/>
      </c>
      <c r="BA26" s="682">
        <f>AY26*AZ26</f>
        <v/>
      </c>
      <c r="BB26" s="683">
        <f>AY26*BA26</f>
        <v/>
      </c>
      <c r="BC26" s="528" t="n"/>
      <c r="BD26" s="528" t="n"/>
      <c r="BE26" s="528" t="n"/>
      <c r="BF26" s="528" t="n"/>
      <c r="BG26" s="528" t="n"/>
      <c r="BH26" s="528" t="n"/>
      <c r="BJ26" s="528" t="n"/>
      <c r="BK26" s="51" t="n"/>
      <c r="BM26" s="399" t="n"/>
      <c r="BN26" s="528" t="n"/>
      <c r="BP26" s="528" t="n"/>
      <c r="BQ26" s="528" t="n"/>
      <c r="BT26" s="528" t="n"/>
      <c r="BU26" s="528" t="n"/>
      <c r="BV26" s="528" t="n"/>
      <c r="BX26" s="528" t="n"/>
      <c r="BY26" s="528" t="n"/>
      <c r="BZ26" s="528" t="n"/>
      <c r="CB26" s="528" t="n"/>
      <c r="CC26" s="528" t="n"/>
      <c r="CD26" s="528" t="n"/>
    </row>
    <row r="27">
      <c r="A27" s="112" t="n">
        <v>3</v>
      </c>
      <c r="B27" s="114" t="inlineStr">
        <is>
          <t>b</t>
        </is>
      </c>
      <c r="C27" s="523" t="n">
        <v>1</v>
      </c>
      <c r="D27" s="116">
        <f>CONCATENATE(A$3,"_",A27,"_",B27,"_",C27)</f>
        <v/>
      </c>
      <c r="E27" s="122" t="inlineStr">
        <is>
          <t>Zbadanie interakcji: dział pakowania vs inne działy magazynu</t>
        </is>
      </c>
      <c r="F27" s="528">
        <f>IFERROR(VLOOKUP($I27,Listy!$A:$H,2,FALSE),"XXX")</f>
        <v/>
      </c>
      <c r="G27" s="528">
        <f>IFERROR(VLOOKUP($I27,Listy!$A:$H,3,FALSE),"XXX")</f>
        <v/>
      </c>
      <c r="H27" s="140" t="n">
        <v>4</v>
      </c>
      <c r="I27" s="89" t="inlineStr">
        <is>
          <t>.a01</t>
        </is>
      </c>
      <c r="J27" s="91">
        <f>M26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6" t="n">
        <v>0</v>
      </c>
      <c r="O27" s="46" t="n">
        <v>160</v>
      </c>
      <c r="P27" s="187" t="n">
        <v>0.5</v>
      </c>
      <c r="Q27" s="187" t="n">
        <v>0</v>
      </c>
      <c r="R27" s="187" t="n">
        <v>0.5</v>
      </c>
      <c r="S27" s="187" t="n">
        <v>0</v>
      </c>
      <c r="T27" s="187" t="n"/>
      <c r="U27" s="187" t="n"/>
      <c r="V27" s="187" t="n"/>
      <c r="W27" s="187" t="n"/>
      <c r="X27" s="187" t="n"/>
      <c r="Y27" s="243" t="n">
        <v>0</v>
      </c>
      <c r="Z27" s="243" t="n">
        <v>0</v>
      </c>
      <c r="AA27" s="243" t="n">
        <v>0</v>
      </c>
      <c r="AB27" s="243" t="n">
        <v>0</v>
      </c>
      <c r="AC27" s="300" t="n"/>
      <c r="AD27" s="300" t="n"/>
      <c r="AE27" s="300" t="n"/>
      <c r="AF27" s="300" t="n"/>
      <c r="AG27" s="297">
        <f>ROUND($O27*P27,0)</f>
        <v/>
      </c>
      <c r="AH27" s="297">
        <f>ROUND($O27*Q27,0)</f>
        <v/>
      </c>
      <c r="AI27" s="297">
        <f>ROUND($O27*R27,0)</f>
        <v/>
      </c>
      <c r="AJ27" s="297">
        <f>ROUND($O27*S27,0)</f>
        <v/>
      </c>
      <c r="AK27" s="297">
        <f>ROUND($O27*T27,0)</f>
        <v/>
      </c>
      <c r="AL27" s="297">
        <f>ROUND($O27*U27,0)</f>
        <v/>
      </c>
      <c r="AM27" s="297">
        <f>ROUND($O27*V27,0)</f>
        <v/>
      </c>
      <c r="AN27" s="297">
        <f>ROUND($O27*W27,0)</f>
        <v/>
      </c>
      <c r="AO27" s="297">
        <f>ROUND($O27*X27,0)</f>
        <v/>
      </c>
      <c r="AP27" s="298">
        <f>ROUND($O27*Y27,0)</f>
        <v/>
      </c>
      <c r="AQ27" s="298">
        <f>ROUND($O27*Z27,0)</f>
        <v/>
      </c>
      <c r="AR27" s="298">
        <f>ROUND($O27*AA27,0)</f>
        <v/>
      </c>
      <c r="AS27" s="298">
        <f>ROUND($O27*AB27,0)</f>
        <v/>
      </c>
      <c r="AT27" s="194" t="n"/>
      <c r="AU27" s="194" t="n"/>
      <c r="AV27" s="194" t="n"/>
      <c r="AW27" s="194" t="n"/>
      <c r="AX27" s="236">
        <f>SUM(AG27:AO27)</f>
        <v/>
      </c>
      <c r="AY27" s="528">
        <f>AX27/160</f>
        <v/>
      </c>
      <c r="AZ27" s="87">
        <f>VLOOKUP(I27,Listy!$A$1:$H$9,6,FALSE)</f>
        <v/>
      </c>
      <c r="BA27" s="682">
        <f>AY27*AZ27</f>
        <v/>
      </c>
      <c r="BB27" s="683">
        <f>AY27*BA27</f>
        <v/>
      </c>
      <c r="BC27" s="528" t="n"/>
      <c r="BD27" s="528" t="n"/>
      <c r="BE27" s="528" t="n"/>
      <c r="BF27" s="528" t="n"/>
      <c r="BG27" s="528" t="n"/>
      <c r="BH27" s="528" t="n"/>
      <c r="BI27" s="528">
        <f>BG27*BH27</f>
        <v/>
      </c>
      <c r="BJ27" s="528" t="n"/>
      <c r="BK27" s="528" t="n"/>
      <c r="BL27" s="528" t="n"/>
      <c r="BM27" s="528" t="n"/>
      <c r="BN27" s="528" t="n"/>
      <c r="BO27" s="528" t="n"/>
      <c r="BP27" s="528" t="n"/>
      <c r="BQ27" s="528" t="n"/>
      <c r="BR27" s="528" t="n"/>
      <c r="BS27" s="528" t="n"/>
      <c r="BT27" s="528" t="n"/>
      <c r="BU27" s="528" t="n"/>
      <c r="BV27" s="528" t="n"/>
      <c r="BW27" s="528">
        <f>BU27*BV27</f>
        <v/>
      </c>
      <c r="BX27" s="528" t="n"/>
      <c r="BY27" s="528" t="n"/>
      <c r="BZ27" s="528" t="n"/>
      <c r="CA27" s="528">
        <f>BY27*BZ27</f>
        <v/>
      </c>
      <c r="CB27" s="528" t="n"/>
      <c r="CC27" s="528" t="n"/>
      <c r="CD27" s="528" t="n"/>
      <c r="CE27" s="528">
        <f>CC27*CD27</f>
        <v/>
      </c>
    </row>
    <row r="28">
      <c r="A28" s="112" t="n">
        <v>3</v>
      </c>
      <c r="B28" s="114" t="inlineStr">
        <is>
          <t>c</t>
        </is>
      </c>
      <c r="C28" s="523" t="n">
        <v>1</v>
      </c>
      <c r="D28" s="116">
        <f>CONCATENATE(A$3,"_",A28,"_",B28,"_",C28)</f>
        <v/>
      </c>
      <c r="E28" s="122" t="inlineStr">
        <is>
          <t>Zbadanie wpływu ograniczeń zasobów i zmiennych dynamicznych na PT</t>
        </is>
      </c>
      <c r="F28" s="528">
        <f>IFERROR(VLOOKUP($I28,Listy!$A:$H,2,FALSE),"XXX")</f>
        <v/>
      </c>
      <c r="G28" s="528">
        <f>IFERROR(VLOOKUP($I28,Listy!$A:$H,3,FALSE),"XXX")</f>
        <v/>
      </c>
      <c r="H28" s="140" t="n">
        <v>4</v>
      </c>
      <c r="I28" s="89" t="inlineStr">
        <is>
          <t>.a02</t>
        </is>
      </c>
      <c r="J28" s="91">
        <f>M27</f>
        <v/>
      </c>
      <c r="K28" s="681">
        <f>VLOOKUP(J28,Kalendarz!B:E,4,FALSE)</f>
        <v/>
      </c>
      <c r="L28" s="681">
        <f>K28+N28</f>
        <v/>
      </c>
      <c r="M28" s="528">
        <f>J28+N28-1</f>
        <v/>
      </c>
      <c r="N28" s="476" t="n">
        <v>0</v>
      </c>
      <c r="O28" s="46" t="n">
        <v>160</v>
      </c>
      <c r="P28" s="187" t="n">
        <v>0</v>
      </c>
      <c r="Q28" s="187" t="n">
        <v>0.5</v>
      </c>
      <c r="R28" s="187" t="n">
        <v>0</v>
      </c>
      <c r="S28" s="187" t="n">
        <v>0.5</v>
      </c>
      <c r="T28" s="187" t="n"/>
      <c r="U28" s="187" t="n"/>
      <c r="V28" s="187" t="n"/>
      <c r="W28" s="187" t="n"/>
      <c r="X28" s="187" t="n"/>
      <c r="Y28" s="243" t="n">
        <v>0</v>
      </c>
      <c r="Z28" s="243" t="n">
        <v>0</v>
      </c>
      <c r="AA28" s="243" t="n">
        <v>0</v>
      </c>
      <c r="AB28" s="243" t="n">
        <v>0</v>
      </c>
      <c r="AC28" s="300" t="n"/>
      <c r="AD28" s="300" t="n"/>
      <c r="AE28" s="300" t="n"/>
      <c r="AF28" s="300" t="n"/>
      <c r="AG28" s="297">
        <f>ROUND($O28*P28,0)</f>
        <v/>
      </c>
      <c r="AH28" s="297">
        <f>ROUND($O28*Q28,0)</f>
        <v/>
      </c>
      <c r="AI28" s="297">
        <f>ROUND($O28*R28,0)</f>
        <v/>
      </c>
      <c r="AJ28" s="297">
        <f>ROUND($O28*S28,0)</f>
        <v/>
      </c>
      <c r="AK28" s="297">
        <f>ROUND($O28*T28,0)</f>
        <v/>
      </c>
      <c r="AL28" s="297">
        <f>ROUND($O28*U28,0)</f>
        <v/>
      </c>
      <c r="AM28" s="297">
        <f>ROUND($O28*V28,0)</f>
        <v/>
      </c>
      <c r="AN28" s="297">
        <f>ROUND($O28*W28,0)</f>
        <v/>
      </c>
      <c r="AO28" s="297">
        <f>ROUND($O28*X28,0)</f>
        <v/>
      </c>
      <c r="AP28" s="298">
        <f>ROUND($O28*Y28,0)</f>
        <v/>
      </c>
      <c r="AQ28" s="298">
        <f>ROUND($O28*Z28,0)</f>
        <v/>
      </c>
      <c r="AR28" s="298">
        <f>ROUND($O28*AA28,0)</f>
        <v/>
      </c>
      <c r="AS28" s="298">
        <f>ROUND($O28*AB28,0)</f>
        <v/>
      </c>
      <c r="AT28" s="194" t="n"/>
      <c r="AU28" s="194" t="n"/>
      <c r="AV28" s="194" t="n"/>
      <c r="AW28" s="194" t="n"/>
      <c r="AX28" s="236">
        <f>SUM(AG28:AO28)</f>
        <v/>
      </c>
      <c r="AY28" s="528">
        <f>AX28/160</f>
        <v/>
      </c>
      <c r="AZ28" s="87">
        <f>VLOOKUP(I28,Listy!$A$1:$H$9,6,FALSE)</f>
        <v/>
      </c>
      <c r="BA28" s="682">
        <f>AY28*AZ28</f>
        <v/>
      </c>
      <c r="BB28" s="683">
        <f>AY28*BA28</f>
        <v/>
      </c>
      <c r="BC28" s="528" t="n"/>
      <c r="BD28" s="528" t="n"/>
      <c r="BE28" s="528" t="n"/>
      <c r="BF28" s="528" t="n"/>
      <c r="BG28" s="528" t="n"/>
      <c r="BH28" s="528" t="n"/>
      <c r="BI28" s="528">
        <f>BG28*BH28</f>
        <v/>
      </c>
      <c r="BJ28" s="528" t="n"/>
      <c r="BK28" s="528" t="n"/>
      <c r="BL28" s="528" t="n"/>
      <c r="BM28" s="528" t="n"/>
      <c r="BN28" s="528" t="n"/>
      <c r="BO28" s="528" t="n"/>
      <c r="BP28" s="528" t="n"/>
      <c r="BQ28" s="528" t="n"/>
      <c r="BR28" s="528" t="n"/>
      <c r="BS28" s="528" t="n"/>
      <c r="BT28" s="528" t="n"/>
      <c r="BU28" s="528" t="n"/>
      <c r="BV28" s="528" t="n"/>
      <c r="BW28" s="528">
        <f>BU28*BV28</f>
        <v/>
      </c>
      <c r="BX28" s="528" t="n"/>
      <c r="BY28" s="528" t="n"/>
      <c r="BZ28" s="528" t="n"/>
      <c r="CA28" s="528">
        <f>BY28*BZ28</f>
        <v/>
      </c>
      <c r="CB28" s="528" t="n"/>
      <c r="CC28" s="528" t="n"/>
      <c r="CD28" s="528" t="n"/>
      <c r="CE28" s="528">
        <f>CC28*CD28</f>
        <v/>
      </c>
    </row>
    <row r="29" ht="28.8" customHeight="1" s="191">
      <c r="A29" s="112" t="n">
        <v>3</v>
      </c>
      <c r="B29" s="113" t="inlineStr">
        <is>
          <t>d</t>
        </is>
      </c>
      <c r="C29" s="106" t="n">
        <v>0</v>
      </c>
      <c r="D29" s="116">
        <f>CONCATENATE(A$3,"_",A29,"_",B29,"_",C29)</f>
        <v/>
      </c>
      <c r="E29" s="280" t="inlineStr">
        <is>
          <t>Opracowanie modeli matematycznych/algorytmów symulacyjnych, uwzględniających KPI</t>
        </is>
      </c>
      <c r="F29" s="148" t="n"/>
      <c r="G29" s="148" t="n"/>
      <c r="H29" s="46" t="n"/>
      <c r="I29" s="148" t="n"/>
      <c r="J29" s="91">
        <f>M28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4">
        <f>ROUND(MAX(AG29:AO29)/Listy!$U$2,0)</f>
        <v/>
      </c>
      <c r="O29" s="148" t="n"/>
      <c r="P29" s="148" t="n"/>
      <c r="Q29" s="148" t="n"/>
      <c r="R29" s="148" t="n"/>
      <c r="S29" s="148" t="n"/>
      <c r="T29" s="148" t="n"/>
      <c r="U29" s="148" t="n"/>
      <c r="V29" s="190" t="n"/>
      <c r="W29" s="148" t="n"/>
      <c r="X29" s="148" t="n"/>
      <c r="Y29" s="148" t="n"/>
      <c r="Z29" s="148" t="n"/>
      <c r="AA29" s="148" t="n"/>
      <c r="AB29" s="148" t="n"/>
      <c r="AC29" s="148" t="n"/>
      <c r="AD29" s="148" t="n"/>
      <c r="AE29" s="148" t="n"/>
      <c r="AF29" s="148" t="n"/>
      <c r="AG29" s="148" t="n"/>
      <c r="AH29" s="148" t="n"/>
      <c r="AI29" s="148" t="n"/>
      <c r="AJ29" s="148" t="n"/>
      <c r="AK29" s="148" t="n"/>
      <c r="AL29" s="148" t="n"/>
      <c r="AM29" s="148" t="n"/>
      <c r="AN29" s="148" t="n"/>
      <c r="AO29" s="148" t="n"/>
      <c r="AP29" s="148" t="n"/>
      <c r="AQ29" s="148" t="n"/>
      <c r="AR29" s="148" t="n"/>
      <c r="AS29" s="148" t="n"/>
      <c r="AT29" s="148" t="n"/>
      <c r="AU29" s="148" t="n"/>
      <c r="AV29" s="148" t="n"/>
      <c r="AW29" s="148" t="n"/>
      <c r="AX29" s="148" t="n"/>
      <c r="AY29" s="148" t="n"/>
      <c r="AZ29" s="148" t="n"/>
      <c r="BA29" s="148" t="n"/>
      <c r="BB29" s="148" t="n"/>
      <c r="BC29" s="148" t="n"/>
      <c r="BD29" s="148" t="n"/>
      <c r="BE29" s="148" t="n"/>
      <c r="BF29" s="148" t="n"/>
      <c r="BG29" s="148" t="n"/>
      <c r="BH29" s="148" t="n"/>
      <c r="BI29" s="148" t="n"/>
      <c r="BJ29" s="148" t="n"/>
      <c r="BK29" s="148" t="n"/>
      <c r="BL29" s="528" t="n"/>
      <c r="BM29" s="528" t="n"/>
      <c r="BN29" s="528" t="n"/>
      <c r="BO29" s="528" t="n"/>
      <c r="BP29" s="528" t="n"/>
      <c r="BQ29" s="528" t="n"/>
      <c r="BR29" s="528" t="n"/>
      <c r="BS29" s="528" t="n"/>
      <c r="BT29" s="528" t="n"/>
      <c r="BU29" s="528" t="n"/>
      <c r="BV29" s="528" t="n"/>
      <c r="BW29" s="528">
        <f>BU29*BV29</f>
        <v/>
      </c>
      <c r="BX29" s="528" t="n"/>
      <c r="BY29" s="528" t="n"/>
      <c r="BZ29" s="528" t="n"/>
      <c r="CA29" s="528">
        <f>BY29*BZ29</f>
        <v/>
      </c>
      <c r="CB29" s="528" t="n"/>
      <c r="CC29" s="528" t="n"/>
      <c r="CD29" s="528" t="n"/>
      <c r="CE29" s="528">
        <f>CC29*CD29</f>
        <v/>
      </c>
    </row>
    <row r="30">
      <c r="A30" s="112" t="n">
        <v>3</v>
      </c>
      <c r="B30" s="113" t="inlineStr">
        <is>
          <t>d</t>
        </is>
      </c>
      <c r="C30" s="103" t="n">
        <v>1</v>
      </c>
      <c r="D30" s="116">
        <f>CONCATENATE(A$3,"_",A30,"_",B30,"_",C30)</f>
        <v/>
      </c>
      <c r="E30" s="124" t="inlineStr">
        <is>
          <t>Opracowanie architektur modeli</t>
        </is>
      </c>
      <c r="F30" s="528">
        <f>IFERROR(VLOOKUP($I30,Listy!$A:$H,2,FALSE),"XXX")</f>
        <v/>
      </c>
      <c r="G30" s="455" t="inlineStr">
        <is>
          <t>END</t>
        </is>
      </c>
      <c r="H30" s="133" t="n">
        <v>4</v>
      </c>
      <c r="I30" s="89" t="inlineStr">
        <is>
          <t>.e01</t>
        </is>
      </c>
      <c r="J30" s="91">
        <f>M29</f>
        <v/>
      </c>
      <c r="K30" s="681">
        <f>VLOOKUP(J30,Kalendarz!B:E,4,FALSE)</f>
        <v/>
      </c>
      <c r="L30" s="681">
        <f>K30+N30</f>
        <v/>
      </c>
      <c r="M30" s="528">
        <f>J30+N30-1</f>
        <v/>
      </c>
      <c r="N30" s="474" t="n">
        <v>1</v>
      </c>
      <c r="O30" s="46" t="n">
        <v>160</v>
      </c>
      <c r="P30" s="187" t="n">
        <v>0</v>
      </c>
      <c r="Q30" s="187" t="n">
        <v>0.25</v>
      </c>
      <c r="R30" s="187" t="n">
        <v>0</v>
      </c>
      <c r="S30" s="187" t="n">
        <v>0</v>
      </c>
      <c r="T30" s="187" t="n"/>
      <c r="U30" s="187" t="n"/>
      <c r="V30" s="187" t="n"/>
      <c r="W30" s="187" t="n"/>
      <c r="X30" s="187" t="n"/>
      <c r="Y30" s="243" t="n">
        <v>0.25</v>
      </c>
      <c r="Z30" s="243" t="n">
        <v>0.25</v>
      </c>
      <c r="AA30" s="243" t="n">
        <v>0.25</v>
      </c>
      <c r="AB30" s="243" t="n">
        <v>0</v>
      </c>
      <c r="AC30" s="300" t="n"/>
      <c r="AD30" s="300" t="n"/>
      <c r="AE30" s="300" t="n"/>
      <c r="AF30" s="300" t="n"/>
      <c r="AG30" s="297">
        <f>ROUND($O30*P30,0)</f>
        <v/>
      </c>
      <c r="AH30" s="297">
        <f>ROUND($O30*Q30,0)</f>
        <v/>
      </c>
      <c r="AI30" s="297">
        <f>ROUND($O30*R30,0)</f>
        <v/>
      </c>
      <c r="AJ30" s="297">
        <f>ROUND($O30*S30,0)</f>
        <v/>
      </c>
      <c r="AK30" s="297">
        <f>ROUND($O30*T30,0)</f>
        <v/>
      </c>
      <c r="AL30" s="297">
        <f>ROUND($O30*U30,0)</f>
        <v/>
      </c>
      <c r="AM30" s="297">
        <f>ROUND($O30*V30,0)</f>
        <v/>
      </c>
      <c r="AN30" s="297">
        <f>ROUND($O30*W30,0)</f>
        <v/>
      </c>
      <c r="AO30" s="297">
        <f>ROUND($O30*X30,0)</f>
        <v/>
      </c>
      <c r="AP30" s="298">
        <f>ROUND($O30*Y30,0)</f>
        <v/>
      </c>
      <c r="AQ30" s="298">
        <f>ROUND($O30*Z30,0)</f>
        <v/>
      </c>
      <c r="AR30" s="298">
        <f>ROUND($O30*AA30,0)</f>
        <v/>
      </c>
      <c r="AS30" s="298">
        <f>ROUND($O30*AB30,0)</f>
        <v/>
      </c>
      <c r="AT30" s="194" t="n"/>
      <c r="AU30" s="194" t="n"/>
      <c r="AV30" s="194" t="n"/>
      <c r="AW30" s="194" t="n"/>
      <c r="AX30" s="236">
        <f>SUM(AG30:AO30)</f>
        <v/>
      </c>
      <c r="AY30" s="528">
        <f>AX30/160</f>
        <v/>
      </c>
      <c r="AZ30" s="87">
        <f>VLOOKUP(I30,Listy!$A$1:$H$9,6,FALSE)</f>
        <v/>
      </c>
      <c r="BA30" s="682">
        <f>AY30*AZ30</f>
        <v/>
      </c>
      <c r="BB30" s="683">
        <f>AY30*BA30</f>
        <v/>
      </c>
      <c r="BC30" s="528" t="n"/>
      <c r="BD30" s="528" t="n"/>
      <c r="BE30" s="528" t="n"/>
      <c r="BF30" s="528" t="n"/>
      <c r="BG30" s="528" t="n"/>
      <c r="BH30" s="528" t="n"/>
      <c r="BJ30" s="528" t="n"/>
      <c r="BK30" s="51" t="n"/>
      <c r="BM30" s="399" t="n"/>
      <c r="BN30" s="528" t="n"/>
      <c r="BP30" s="528" t="n"/>
      <c r="BQ30" s="528" t="n"/>
      <c r="BT30" s="528" t="n"/>
      <c r="BU30" s="528" t="n"/>
      <c r="BV30" s="528" t="n"/>
      <c r="BX30" s="528" t="n"/>
      <c r="BY30" s="528" t="n"/>
      <c r="BZ30" s="528" t="n"/>
      <c r="CB30" s="528" t="n"/>
      <c r="CC30" s="528" t="n"/>
      <c r="CD30" s="528" t="n"/>
    </row>
    <row r="31">
      <c r="A31" s="112" t="n">
        <v>3</v>
      </c>
      <c r="B31" s="113" t="inlineStr">
        <is>
          <t>d</t>
        </is>
      </c>
      <c r="C31" s="103" t="n">
        <v>2</v>
      </c>
      <c r="D31" s="116">
        <f>CONCATENATE(A$3,"_",A31,"_",B31,"_",C31)</f>
        <v/>
      </c>
      <c r="E31" s="124" t="inlineStr">
        <is>
          <t xml:space="preserve">Implementacja opracowanych modeli </t>
        </is>
      </c>
      <c r="F31" s="528">
        <f>IFERROR(VLOOKUP($I31,Listy!$A:$H,2,FALSE),"XXX")</f>
        <v/>
      </c>
      <c r="G31" s="455" t="inlineStr">
        <is>
          <t>END</t>
        </is>
      </c>
      <c r="H31" s="133" t="n">
        <v>5</v>
      </c>
      <c r="I31" s="89" t="inlineStr">
        <is>
          <t>.e02</t>
        </is>
      </c>
      <c r="J31" s="91">
        <f>M30</f>
        <v/>
      </c>
      <c r="K31" s="681">
        <f>VLOOKUP(J31,Kalendarz!B:E,4,FALSE)</f>
        <v/>
      </c>
      <c r="L31" s="681">
        <f>K31+N31</f>
        <v/>
      </c>
      <c r="M31" s="528">
        <f>J31+N31-1</f>
        <v/>
      </c>
      <c r="N31" s="474" t="n">
        <v>2</v>
      </c>
      <c r="O31" s="46" t="n">
        <v>320</v>
      </c>
      <c r="P31" s="187" t="n">
        <v>0.25</v>
      </c>
      <c r="Q31" s="187" t="n">
        <v>0</v>
      </c>
      <c r="R31" s="187" t="n">
        <v>0</v>
      </c>
      <c r="S31" s="187" t="n">
        <v>0</v>
      </c>
      <c r="T31" s="187" t="n"/>
      <c r="U31" s="187" t="n"/>
      <c r="V31" s="187" t="n"/>
      <c r="W31" s="187" t="n"/>
      <c r="X31" s="187" t="n"/>
      <c r="Y31" s="243" t="n">
        <v>0.25</v>
      </c>
      <c r="Z31" s="243" t="n">
        <v>0.25</v>
      </c>
      <c r="AA31" s="243" t="n">
        <v>0.25</v>
      </c>
      <c r="AB31" s="243" t="n">
        <v>0</v>
      </c>
      <c r="AC31" s="300" t="n"/>
      <c r="AD31" s="300" t="n"/>
      <c r="AE31" s="300" t="n"/>
      <c r="AF31" s="300" t="n"/>
      <c r="AG31" s="297">
        <f>ROUND($O31*P31,0)</f>
        <v/>
      </c>
      <c r="AH31" s="297">
        <f>ROUND($O31*Q31,0)</f>
        <v/>
      </c>
      <c r="AI31" s="297">
        <f>ROUND($O31*R31,0)</f>
        <v/>
      </c>
      <c r="AJ31" s="297">
        <f>ROUND($O31*S31,0)</f>
        <v/>
      </c>
      <c r="AK31" s="297">
        <f>ROUND($O31*T31,0)</f>
        <v/>
      </c>
      <c r="AL31" s="297">
        <f>ROUND($O31*U31,0)</f>
        <v/>
      </c>
      <c r="AM31" s="297">
        <f>ROUND($O31*V31,0)</f>
        <v/>
      </c>
      <c r="AN31" s="297">
        <f>ROUND($O31*W31,0)</f>
        <v/>
      </c>
      <c r="AO31" s="297">
        <f>ROUND($O31*X31,0)</f>
        <v/>
      </c>
      <c r="AP31" s="298">
        <f>ROUND($O31*Y31,0)</f>
        <v/>
      </c>
      <c r="AQ31" s="298">
        <f>ROUND($O31*Z31,0)</f>
        <v/>
      </c>
      <c r="AR31" s="298">
        <f>ROUND($O31*AA31,0)</f>
        <v/>
      </c>
      <c r="AS31" s="298">
        <f>ROUND($O31*AB31,0)</f>
        <v/>
      </c>
      <c r="AT31" s="194" t="n"/>
      <c r="AU31" s="194" t="n"/>
      <c r="AV31" s="194" t="n"/>
      <c r="AW31" s="194" t="n"/>
      <c r="AX31" s="236">
        <f>SUM(AG31:AO31)</f>
        <v/>
      </c>
      <c r="AY31" s="528">
        <f>AX31/160</f>
        <v/>
      </c>
      <c r="AZ31" s="87">
        <f>VLOOKUP(I31,Listy!$A$1:$H$9,6,FALSE)</f>
        <v/>
      </c>
      <c r="BA31" s="682">
        <f>AY31*AZ31</f>
        <v/>
      </c>
      <c r="BB31" s="683">
        <f>AY31*BA31</f>
        <v/>
      </c>
      <c r="BC31" s="528" t="n"/>
      <c r="BD31" s="528" t="n"/>
      <c r="BE31" s="528" t="n"/>
      <c r="BF31" s="528" t="n"/>
      <c r="BG31" s="528" t="n"/>
      <c r="BH31" s="528" t="n"/>
      <c r="BJ31" s="528" t="n"/>
      <c r="BK31" s="51" t="n"/>
      <c r="BM31" s="399" t="n"/>
      <c r="BN31" s="528" t="n"/>
      <c r="BP31" s="528" t="n"/>
      <c r="BQ31" s="528" t="n"/>
      <c r="BT31" s="528" t="n"/>
      <c r="BU31" s="528" t="n"/>
      <c r="BV31" s="528" t="n"/>
      <c r="BX31" s="528" t="n"/>
      <c r="BY31" s="528" t="n"/>
      <c r="BZ31" s="528" t="n"/>
      <c r="CB31" s="528" t="n"/>
      <c r="CC31" s="528" t="n"/>
      <c r="CD31" s="528" t="n"/>
    </row>
    <row r="32">
      <c r="A32" s="112" t="n">
        <v>3</v>
      </c>
      <c r="B32" s="113" t="inlineStr">
        <is>
          <t>d</t>
        </is>
      </c>
      <c r="C32" s="103" t="n">
        <v>3</v>
      </c>
      <c r="D32" s="116">
        <f>CONCATENATE(A$3,"_",A32,"_",B32,"_",C32)</f>
        <v/>
      </c>
      <c r="E32" s="124" t="inlineStr">
        <is>
          <t>Stworzenie procesu zasilania danymi</t>
        </is>
      </c>
      <c r="F32" s="528">
        <f>IFERROR(VLOOKUP($I32,Listy!$A:$H,2,FALSE),"XXX")</f>
        <v/>
      </c>
      <c r="G32" s="455" t="inlineStr">
        <is>
          <t>END</t>
        </is>
      </c>
      <c r="H32" s="133" t="n">
        <v>5</v>
      </c>
      <c r="I32" s="89" t="inlineStr">
        <is>
          <t>.e03</t>
        </is>
      </c>
      <c r="J32" s="91">
        <f>M31</f>
        <v/>
      </c>
      <c r="K32" s="681">
        <f>VLOOKUP(J32,Kalendarz!B:E,4,FALSE)</f>
        <v/>
      </c>
      <c r="L32" s="681">
        <f>K32+N32</f>
        <v/>
      </c>
      <c r="M32" s="528">
        <f>J32+N32-1</f>
        <v/>
      </c>
      <c r="N32" s="476" t="n">
        <v>0</v>
      </c>
      <c r="O32" s="46" t="n">
        <v>120</v>
      </c>
      <c r="P32" s="187" t="n">
        <v>0</v>
      </c>
      <c r="Q32" s="187" t="n">
        <v>0</v>
      </c>
      <c r="R32" s="187" t="n">
        <v>0.333</v>
      </c>
      <c r="S32" s="187" t="n">
        <v>0</v>
      </c>
      <c r="T32" s="187" t="n"/>
      <c r="U32" s="187" t="n"/>
      <c r="V32" s="187" t="n"/>
      <c r="W32" s="187" t="n"/>
      <c r="X32" s="187" t="n"/>
      <c r="Y32" s="243" t="n">
        <v>0.333</v>
      </c>
      <c r="Z32" s="243" t="n">
        <v>0.333</v>
      </c>
      <c r="AA32" s="243" t="n">
        <v>0</v>
      </c>
      <c r="AB32" s="243" t="n">
        <v>0</v>
      </c>
      <c r="AC32" s="300" t="n"/>
      <c r="AD32" s="300" t="n"/>
      <c r="AE32" s="300" t="n"/>
      <c r="AF32" s="300" t="n"/>
      <c r="AG32" s="297">
        <f>ROUND($O32*P32,0)</f>
        <v/>
      </c>
      <c r="AH32" s="297">
        <f>ROUND($O32*Q32,0)</f>
        <v/>
      </c>
      <c r="AI32" s="297">
        <f>ROUND($O32*R32,0)</f>
        <v/>
      </c>
      <c r="AJ32" s="297">
        <f>ROUND($O32*S32,0)</f>
        <v/>
      </c>
      <c r="AK32" s="297">
        <f>ROUND($O32*T32,0)</f>
        <v/>
      </c>
      <c r="AL32" s="297">
        <f>ROUND($O32*U32,0)</f>
        <v/>
      </c>
      <c r="AM32" s="297">
        <f>ROUND($O32*V32,0)</f>
        <v/>
      </c>
      <c r="AN32" s="297">
        <f>ROUND($O32*W32,0)</f>
        <v/>
      </c>
      <c r="AO32" s="297">
        <f>ROUND($O32*X32,0)</f>
        <v/>
      </c>
      <c r="AP32" s="298">
        <f>ROUND($O32*Y32,0)</f>
        <v/>
      </c>
      <c r="AQ32" s="298">
        <f>ROUND($O32*Z32,0)</f>
        <v/>
      </c>
      <c r="AR32" s="298">
        <f>ROUND($O32*AA32,0)</f>
        <v/>
      </c>
      <c r="AS32" s="298">
        <f>ROUND($O32*AB32,0)</f>
        <v/>
      </c>
      <c r="AT32" s="198" t="n"/>
      <c r="AU32" s="198" t="n"/>
      <c r="AV32" s="198" t="n"/>
      <c r="AW32" s="198" t="n"/>
      <c r="AX32" s="236">
        <f>SUM(AG32:AO32)</f>
        <v/>
      </c>
      <c r="AY32" s="528">
        <f>AX32/160</f>
        <v/>
      </c>
      <c r="AZ32" s="87">
        <f>VLOOKUP(I32,Listy!$A$1:$H$9,6,FALSE)</f>
        <v/>
      </c>
      <c r="BA32" s="682">
        <f>AY32*AZ32</f>
        <v/>
      </c>
      <c r="BB32" s="683">
        <f>AY32*BA32</f>
        <v/>
      </c>
      <c r="BC32" s="528" t="n"/>
      <c r="BD32" s="528" t="n"/>
      <c r="BE32" s="528" t="n"/>
      <c r="BF32" s="528" t="n"/>
      <c r="BG32" s="528" t="n"/>
      <c r="BH32" s="528" t="n"/>
      <c r="BJ32" s="528" t="n"/>
      <c r="BK32" s="51" t="n"/>
      <c r="BM32" s="399" t="n"/>
      <c r="BN32" s="528" t="n"/>
      <c r="BP32" s="528" t="n"/>
      <c r="BQ32" s="528" t="n"/>
      <c r="BT32" s="528" t="n"/>
      <c r="BU32" s="528" t="n"/>
      <c r="BV32" s="528" t="n"/>
      <c r="BX32" s="528" t="n"/>
      <c r="BY32" s="528" t="n"/>
      <c r="BZ32" s="528" t="n"/>
      <c r="CB32" s="528" t="n"/>
      <c r="CC32" s="528" t="n"/>
      <c r="CD32" s="528" t="n"/>
    </row>
    <row r="33">
      <c r="A33" s="112" t="n">
        <v>3</v>
      </c>
      <c r="B33" s="113" t="inlineStr">
        <is>
          <t>d</t>
        </is>
      </c>
      <c r="C33" s="103" t="n">
        <v>4</v>
      </c>
      <c r="D33" s="116">
        <f>CONCATENATE(A$3,"_",A33,"_",B33,"_",C33)</f>
        <v/>
      </c>
      <c r="E33" s="124" t="inlineStr">
        <is>
          <t>Stworzenie procesu  trenowania/uczenia modelu</t>
        </is>
      </c>
      <c r="F33" s="528">
        <f>IFERROR(VLOOKUP($I33,Listy!$A:$H,2,FALSE),"XXX")</f>
        <v/>
      </c>
      <c r="G33" s="455" t="inlineStr">
        <is>
          <t>END</t>
        </is>
      </c>
      <c r="H33" s="133" t="n">
        <v>5</v>
      </c>
      <c r="I33" s="89" t="inlineStr">
        <is>
          <t>.e04</t>
        </is>
      </c>
      <c r="J33" s="91">
        <f>M32</f>
        <v/>
      </c>
      <c r="K33" s="681">
        <f>VLOOKUP(J33,Kalendarz!B:E,4,FALSE)</f>
        <v/>
      </c>
      <c r="L33" s="681">
        <f>K33+N33</f>
        <v/>
      </c>
      <c r="M33" s="528">
        <f>J33+N33-1</f>
        <v/>
      </c>
      <c r="N33" s="476" t="n">
        <v>0</v>
      </c>
      <c r="O33" s="46" t="n">
        <v>120</v>
      </c>
      <c r="P33" s="187" t="n">
        <v>0</v>
      </c>
      <c r="Q33" s="187" t="n">
        <v>0</v>
      </c>
      <c r="R33" s="187" t="n">
        <v>0</v>
      </c>
      <c r="S33" s="187" t="n">
        <v>0.333</v>
      </c>
      <c r="T33" s="187" t="n"/>
      <c r="U33" s="187" t="n"/>
      <c r="V33" s="187" t="n"/>
      <c r="W33" s="187" t="n"/>
      <c r="X33" s="187" t="n"/>
      <c r="Y33" s="243" t="n">
        <v>0</v>
      </c>
      <c r="Z33" s="243" t="n">
        <v>0.333</v>
      </c>
      <c r="AA33" s="243" t="n">
        <v>0.333</v>
      </c>
      <c r="AB33" s="243" t="n">
        <v>0</v>
      </c>
      <c r="AC33" s="300" t="n"/>
      <c r="AD33" s="300" t="n"/>
      <c r="AE33" s="300" t="n"/>
      <c r="AF33" s="300" t="n"/>
      <c r="AG33" s="297">
        <f>ROUND($O33*P33,0)</f>
        <v/>
      </c>
      <c r="AH33" s="297">
        <f>ROUND($O33*Q33,0)</f>
        <v/>
      </c>
      <c r="AI33" s="297">
        <f>ROUND($O33*R33,0)</f>
        <v/>
      </c>
      <c r="AJ33" s="297">
        <f>ROUND($O33*S33,0)</f>
        <v/>
      </c>
      <c r="AK33" s="297">
        <f>ROUND($O33*T33,0)</f>
        <v/>
      </c>
      <c r="AL33" s="297">
        <f>ROUND($O33*U33,0)</f>
        <v/>
      </c>
      <c r="AM33" s="297">
        <f>ROUND($O33*V33,0)</f>
        <v/>
      </c>
      <c r="AN33" s="297">
        <f>ROUND($O33*W33,0)</f>
        <v/>
      </c>
      <c r="AO33" s="297">
        <f>ROUND($O33*X33,0)</f>
        <v/>
      </c>
      <c r="AP33" s="298">
        <f>ROUND($O33*Y33,0)</f>
        <v/>
      </c>
      <c r="AQ33" s="298">
        <f>ROUND($O33*Z33,0)</f>
        <v/>
      </c>
      <c r="AR33" s="298">
        <f>ROUND($O33*AA33,0)</f>
        <v/>
      </c>
      <c r="AS33" s="298">
        <f>ROUND($O33*AB33,0)</f>
        <v/>
      </c>
      <c r="AT33" s="194" t="n"/>
      <c r="AU33" s="194" t="n"/>
      <c r="AV33" s="194" t="n"/>
      <c r="AW33" s="194" t="n"/>
      <c r="AX33" s="236">
        <f>SUM(AG33:AO33)</f>
        <v/>
      </c>
      <c r="AY33" s="528">
        <f>AX33/160</f>
        <v/>
      </c>
      <c r="AZ33" s="87">
        <f>VLOOKUP(I33,Listy!$A$1:$H$9,6,FALSE)</f>
        <v/>
      </c>
      <c r="BA33" s="682">
        <f>AY33*AZ33</f>
        <v/>
      </c>
      <c r="BB33" s="683">
        <f>AY33*BA33</f>
        <v/>
      </c>
      <c r="BC33" s="528" t="n"/>
      <c r="BD33" s="528" t="n"/>
      <c r="BE33" s="528" t="n"/>
      <c r="BF33" s="528" t="n"/>
      <c r="BG33" s="528" t="n"/>
      <c r="BH33" s="528" t="n"/>
      <c r="BJ33" s="528" t="n"/>
      <c r="BK33" s="51" t="n"/>
      <c r="BM33" s="399" t="n"/>
      <c r="BN33" s="528" t="n"/>
      <c r="BP33" s="528" t="n"/>
      <c r="BQ33" s="528" t="n"/>
      <c r="BT33" s="528" t="n"/>
      <c r="BU33" s="528" t="n"/>
      <c r="BV33" s="528" t="n"/>
      <c r="BX33" s="528" t="n"/>
      <c r="BY33" s="528" t="n"/>
      <c r="BZ33" s="528" t="n"/>
      <c r="CB33" s="528" t="n"/>
      <c r="CC33" s="528" t="n"/>
      <c r="CD33" s="528" t="n"/>
    </row>
    <row r="34">
      <c r="A34" s="112" t="n">
        <v>3</v>
      </c>
      <c r="B34" s="113" t="inlineStr">
        <is>
          <t>d</t>
        </is>
      </c>
      <c r="C34" s="103" t="n">
        <v>5</v>
      </c>
      <c r="D34" s="116">
        <f>CONCATENATE(A$3,"_",A34,"_",B34,"_",C34)</f>
        <v/>
      </c>
      <c r="E34" s="124" t="inlineStr">
        <is>
          <t>Stworzenie procesu ewaluacji modelu</t>
        </is>
      </c>
      <c r="F34" s="528">
        <f>IFERROR(VLOOKUP($I34,Listy!$A:$H,2,FALSE),"XXX")</f>
        <v/>
      </c>
      <c r="G34" s="455" t="inlineStr">
        <is>
          <t>END</t>
        </is>
      </c>
      <c r="H34" s="133" t="n">
        <v>6</v>
      </c>
      <c r="I34" s="89" t="inlineStr">
        <is>
          <t>.e01</t>
        </is>
      </c>
      <c r="J34" s="91">
        <f>M33</f>
        <v/>
      </c>
      <c r="K34" s="681">
        <f>VLOOKUP(J34,Kalendarz!B:E,4,FALSE)</f>
        <v/>
      </c>
      <c r="L34" s="681">
        <f>K34+N34</f>
        <v/>
      </c>
      <c r="M34" s="528">
        <f>J34+N34-1</f>
        <v/>
      </c>
      <c r="N34" s="474" t="n">
        <v>1</v>
      </c>
      <c r="O34" s="46" t="n">
        <v>120</v>
      </c>
      <c r="P34" s="187" t="n">
        <v>0</v>
      </c>
      <c r="Q34" s="187" t="n">
        <v>0.333</v>
      </c>
      <c r="R34" s="187" t="n">
        <v>0</v>
      </c>
      <c r="S34" s="187" t="n">
        <v>0</v>
      </c>
      <c r="T34" s="187" t="n"/>
      <c r="U34" s="187" t="n"/>
      <c r="V34" s="187" t="n"/>
      <c r="W34" s="187" t="n"/>
      <c r="X34" s="187" t="n"/>
      <c r="Y34" s="243" t="n">
        <v>0</v>
      </c>
      <c r="Z34" s="243" t="n">
        <v>0.333</v>
      </c>
      <c r="AA34" s="243" t="n">
        <v>0.333</v>
      </c>
      <c r="AB34" s="243" t="n">
        <v>0</v>
      </c>
      <c r="AC34" s="300" t="n"/>
      <c r="AD34" s="300" t="n"/>
      <c r="AE34" s="300" t="n"/>
      <c r="AF34" s="300" t="n"/>
      <c r="AG34" s="297">
        <f>ROUND($O34*P34,0)</f>
        <v/>
      </c>
      <c r="AH34" s="297">
        <f>ROUND($O34*Q34,0)</f>
        <v/>
      </c>
      <c r="AI34" s="297">
        <f>ROUND($O34*R34,0)</f>
        <v/>
      </c>
      <c r="AJ34" s="297">
        <f>ROUND($O34*S34,0)</f>
        <v/>
      </c>
      <c r="AK34" s="297">
        <f>ROUND($O34*T34,0)</f>
        <v/>
      </c>
      <c r="AL34" s="297">
        <f>ROUND($O34*U34,0)</f>
        <v/>
      </c>
      <c r="AM34" s="297">
        <f>ROUND($O34*V34,0)</f>
        <v/>
      </c>
      <c r="AN34" s="297">
        <f>ROUND($O34*W34,0)</f>
        <v/>
      </c>
      <c r="AO34" s="297">
        <f>ROUND($O34*X34,0)</f>
        <v/>
      </c>
      <c r="AP34" s="298">
        <f>ROUND($O34*Y34,0)</f>
        <v/>
      </c>
      <c r="AQ34" s="298">
        <f>ROUND($O34*Z34,0)</f>
        <v/>
      </c>
      <c r="AR34" s="298">
        <f>ROUND($O34*AA34,0)</f>
        <v/>
      </c>
      <c r="AS34" s="298">
        <f>ROUND($O34*AB34,0)</f>
        <v/>
      </c>
      <c r="AT34" s="194" t="n"/>
      <c r="AU34" s="194" t="n"/>
      <c r="AV34" s="194" t="n"/>
      <c r="AW34" s="194" t="n"/>
      <c r="AX34" s="236">
        <f>SUM(AG34:AO34)</f>
        <v/>
      </c>
      <c r="AY34" s="528">
        <f>AX34/160</f>
        <v/>
      </c>
      <c r="AZ34" s="87">
        <f>VLOOKUP(I34,Listy!$A$1:$H$9,6,FALSE)</f>
        <v/>
      </c>
      <c r="BA34" s="682">
        <f>AY34*AZ34</f>
        <v/>
      </c>
      <c r="BB34" s="683">
        <f>AY34*BA34</f>
        <v/>
      </c>
      <c r="BC34" s="528" t="n"/>
      <c r="BD34" s="528" t="n"/>
      <c r="BE34" s="528" t="n"/>
      <c r="BF34" s="528" t="n"/>
      <c r="BG34" s="528" t="n"/>
      <c r="BH34" s="528" t="n"/>
      <c r="BJ34" s="528" t="n"/>
      <c r="BK34" s="51" t="n"/>
      <c r="BM34" s="399" t="n"/>
      <c r="BN34" s="528" t="n"/>
      <c r="BP34" s="528" t="n"/>
      <c r="BQ34" s="528" t="n"/>
      <c r="BT34" s="528" t="n"/>
      <c r="BU34" s="528" t="n"/>
      <c r="BV34" s="528" t="n"/>
      <c r="BX34" s="528" t="n"/>
      <c r="BY34" s="528" t="n"/>
      <c r="BZ34" s="528" t="n"/>
      <c r="CB34" s="528" t="n"/>
      <c r="CC34" s="528" t="n"/>
      <c r="CD34" s="528" t="n"/>
    </row>
    <row r="35">
      <c r="A35" s="112" t="n">
        <v>3</v>
      </c>
      <c r="B35" s="113" t="inlineStr">
        <is>
          <t>d</t>
        </is>
      </c>
      <c r="C35" s="103" t="n">
        <v>6</v>
      </c>
      <c r="D35" s="116">
        <f>CONCATENATE(A$3,"_",A35,"_",B35,"_",C35)</f>
        <v/>
      </c>
      <c r="E35" s="124" t="inlineStr">
        <is>
          <t>Stworzenie procesu monitorowania modelu</t>
        </is>
      </c>
      <c r="F35" s="528">
        <f>IFERROR(VLOOKUP($I35,Listy!$A:$H,2,FALSE),"XXX")</f>
        <v/>
      </c>
      <c r="G35" s="455" t="inlineStr">
        <is>
          <t>END</t>
        </is>
      </c>
      <c r="H35" s="133" t="n">
        <v>6</v>
      </c>
      <c r="I35" s="89" t="inlineStr">
        <is>
          <t>.e02</t>
        </is>
      </c>
      <c r="J35" s="91">
        <f>M34</f>
        <v/>
      </c>
      <c r="K35" s="681">
        <f>VLOOKUP(J35,Kalendarz!B:E,4,FALSE)</f>
        <v/>
      </c>
      <c r="L35" s="681">
        <f>K35+N35</f>
        <v/>
      </c>
      <c r="M35" s="528">
        <f>J35+N35-1</f>
        <v/>
      </c>
      <c r="N35" s="474" t="n">
        <v>0</v>
      </c>
      <c r="O35" s="46" t="n">
        <v>120</v>
      </c>
      <c r="P35" s="187" t="n">
        <v>0.333</v>
      </c>
      <c r="Q35" s="187" t="n">
        <v>0</v>
      </c>
      <c r="R35" s="187" t="n">
        <v>0</v>
      </c>
      <c r="S35" s="187" t="n">
        <v>0</v>
      </c>
      <c r="T35" s="187" t="n"/>
      <c r="U35" s="187" t="n"/>
      <c r="V35" s="187" t="n"/>
      <c r="W35" s="187" t="n"/>
      <c r="X35" s="187" t="n"/>
      <c r="Y35" s="243" t="n">
        <v>0.333</v>
      </c>
      <c r="Z35" s="243" t="n">
        <v>0</v>
      </c>
      <c r="AA35" s="243" t="n">
        <v>0</v>
      </c>
      <c r="AB35" s="243" t="n">
        <v>0.333</v>
      </c>
      <c r="AC35" s="300" t="n"/>
      <c r="AD35" s="300" t="n"/>
      <c r="AE35" s="300" t="n"/>
      <c r="AF35" s="300" t="n"/>
      <c r="AG35" s="297">
        <f>ROUND($O35*P35,0)</f>
        <v/>
      </c>
      <c r="AH35" s="297">
        <f>ROUND($O35*Q35,0)</f>
        <v/>
      </c>
      <c r="AI35" s="297">
        <f>ROUND($O35*R35,0)</f>
        <v/>
      </c>
      <c r="AJ35" s="297">
        <f>ROUND($O35*S35,0)</f>
        <v/>
      </c>
      <c r="AK35" s="297">
        <f>ROUND($O35*T35,0)</f>
        <v/>
      </c>
      <c r="AL35" s="297">
        <f>ROUND($O35*U35,0)</f>
        <v/>
      </c>
      <c r="AM35" s="297">
        <f>ROUND($O35*V35,0)</f>
        <v/>
      </c>
      <c r="AN35" s="297">
        <f>ROUND($O35*W35,0)</f>
        <v/>
      </c>
      <c r="AO35" s="297">
        <f>ROUND($O35*X35,0)</f>
        <v/>
      </c>
      <c r="AP35" s="298">
        <f>ROUND($O35*Y35,0)</f>
        <v/>
      </c>
      <c r="AQ35" s="298">
        <f>ROUND($O35*Z35,0)</f>
        <v/>
      </c>
      <c r="AR35" s="298">
        <f>ROUND($O35*AA35,0)</f>
        <v/>
      </c>
      <c r="AS35" s="298">
        <f>ROUND($O35*AB35,0)</f>
        <v/>
      </c>
      <c r="AT35" s="194" t="n"/>
      <c r="AU35" s="194" t="n"/>
      <c r="AV35" s="194" t="n"/>
      <c r="AW35" s="194" t="n"/>
      <c r="AX35" s="236">
        <f>SUM(AG35:AO35)</f>
        <v/>
      </c>
      <c r="AY35" s="528">
        <f>AX35/160</f>
        <v/>
      </c>
      <c r="AZ35" s="87">
        <f>VLOOKUP(I35,Listy!$A$1:$H$9,6,FALSE)</f>
        <v/>
      </c>
      <c r="BA35" s="682">
        <f>AY35*AZ35</f>
        <v/>
      </c>
      <c r="BB35" s="683">
        <f>AY35*BA35</f>
        <v/>
      </c>
      <c r="BC35" s="528" t="n"/>
      <c r="BD35" s="528" t="n"/>
      <c r="BE35" s="528" t="n"/>
      <c r="BF35" s="528" t="n"/>
      <c r="BG35" s="528" t="n"/>
      <c r="BH35" s="528" t="n"/>
      <c r="BJ35" s="528" t="n"/>
      <c r="BK35" s="51" t="n"/>
      <c r="BM35" s="399" t="n"/>
      <c r="BN35" s="528" t="n"/>
      <c r="BP35" s="528" t="n"/>
      <c r="BQ35" s="528" t="n"/>
      <c r="BT35" s="528" t="n"/>
      <c r="BU35" s="528" t="n"/>
      <c r="BV35" s="528" t="n"/>
      <c r="BX35" s="528" t="n"/>
      <c r="BY35" s="528" t="n"/>
      <c r="BZ35" s="528" t="n"/>
      <c r="CB35" s="528" t="n"/>
      <c r="CC35" s="528" t="n"/>
      <c r="CD35" s="528" t="n"/>
    </row>
    <row r="36" ht="15" customHeight="1" s="191" thickBot="1">
      <c r="A36" s="112" t="n">
        <v>3</v>
      </c>
      <c r="B36" s="113" t="inlineStr">
        <is>
          <t>e</t>
        </is>
      </c>
      <c r="C36" s="106" t="n">
        <v>1</v>
      </c>
      <c r="D36" s="116">
        <f>CONCATENATE(A$3,"_",A36,"_",B36,"_",C36)</f>
        <v/>
      </c>
      <c r="E36" s="123" t="inlineStr">
        <is>
          <t>Testy, walidacje i wybór Modelu optymalnego</t>
        </is>
      </c>
      <c r="F36" s="528">
        <f>IFERROR(VLOOKUP($I36,Listy!$A:$H,2,FALSE),"XXX")</f>
        <v/>
      </c>
      <c r="G36" s="528">
        <f>IFERROR(VLOOKUP($I36,Listy!$A:$H,3,FALSE),"XXX")</f>
        <v/>
      </c>
      <c r="H36" s="133" t="n">
        <v>7</v>
      </c>
      <c r="I36" s="100" t="inlineStr">
        <is>
          <t>ACT/END</t>
        </is>
      </c>
      <c r="J36" s="91">
        <f>M35</f>
        <v/>
      </c>
      <c r="K36" s="681">
        <f>VLOOKUP(J36,Kalendarz!B:E,4,FALSE)</f>
        <v/>
      </c>
      <c r="L36" s="681">
        <f>K36+N36</f>
        <v/>
      </c>
      <c r="M36" s="528">
        <f>J36+N36-1</f>
        <v/>
      </c>
      <c r="N36" s="474" t="n">
        <v>1</v>
      </c>
      <c r="O36" s="46" t="n">
        <v>120</v>
      </c>
      <c r="P36" s="187" t="n">
        <v>0</v>
      </c>
      <c r="Q36" s="187" t="n">
        <v>0</v>
      </c>
      <c r="R36" s="187" t="n">
        <v>0.25</v>
      </c>
      <c r="S36" s="187" t="n">
        <v>0</v>
      </c>
      <c r="T36" s="187" t="n"/>
      <c r="U36" s="187" t="n"/>
      <c r="V36" s="187" t="n"/>
      <c r="W36" s="187" t="n"/>
      <c r="X36" s="187" t="n"/>
      <c r="Y36" s="243" t="n">
        <v>0.25</v>
      </c>
      <c r="Z36" s="243" t="n">
        <v>0.25</v>
      </c>
      <c r="AA36" s="243" t="n">
        <v>0.25</v>
      </c>
      <c r="AB36" s="243" t="n">
        <v>0</v>
      </c>
      <c r="AC36" s="300" t="n"/>
      <c r="AD36" s="300" t="n"/>
      <c r="AE36" s="300" t="n"/>
      <c r="AF36" s="300" t="n"/>
      <c r="AG36" s="297">
        <f>ROUND($O36*P36,0)</f>
        <v/>
      </c>
      <c r="AH36" s="297">
        <f>ROUND($O36*Q36,0)</f>
        <v/>
      </c>
      <c r="AI36" s="297">
        <f>ROUND($O36*R36,0)</f>
        <v/>
      </c>
      <c r="AJ36" s="297">
        <f>ROUND($O36*S36,0)</f>
        <v/>
      </c>
      <c r="AK36" s="297">
        <f>ROUND($O36*T36,0)</f>
        <v/>
      </c>
      <c r="AL36" s="297">
        <f>ROUND($O36*U36,0)</f>
        <v/>
      </c>
      <c r="AM36" s="297">
        <f>ROUND($O36*V36,0)</f>
        <v/>
      </c>
      <c r="AN36" s="297">
        <f>ROUND($O36*W36,0)</f>
        <v/>
      </c>
      <c r="AO36" s="297">
        <f>ROUND($O36*X36,0)</f>
        <v/>
      </c>
      <c r="AP36" s="298">
        <f>ROUND($O36*Y36,0)</f>
        <v/>
      </c>
      <c r="AQ36" s="298">
        <f>ROUND($O36*Z36,0)</f>
        <v/>
      </c>
      <c r="AR36" s="298">
        <f>ROUND($O36*AA36,0)</f>
        <v/>
      </c>
      <c r="AS36" s="298">
        <f>ROUND($O36*AB36,0)</f>
        <v/>
      </c>
      <c r="AT36" s="194" t="n"/>
      <c r="AU36" s="194" t="n"/>
      <c r="AV36" s="194" t="n"/>
      <c r="AW36" s="194" t="n"/>
      <c r="AX36" s="236">
        <f>SUM(AG36:AO36)</f>
        <v/>
      </c>
      <c r="AY36" s="528">
        <f>AX36/160</f>
        <v/>
      </c>
      <c r="AZ36" s="87">
        <f>VLOOKUP(I36,Listy!$A$1:$H$9,6,FALSE)</f>
        <v/>
      </c>
      <c r="BA36" s="682">
        <f>AY36*AZ36</f>
        <v/>
      </c>
      <c r="BB36" s="683">
        <f>AY36*BA36</f>
        <v/>
      </c>
      <c r="BC36" s="528" t="n"/>
      <c r="BD36" s="528" t="n"/>
      <c r="BE36" s="528" t="n"/>
      <c r="BF36" s="528" t="n"/>
      <c r="BG36" s="528" t="n"/>
      <c r="BH36" s="528" t="n"/>
      <c r="BI36" s="314">
        <f>BG36*BH36</f>
        <v/>
      </c>
      <c r="BJ36" s="528" t="n"/>
      <c r="BK36" s="528" t="n"/>
      <c r="BL36" s="314" t="n"/>
      <c r="BM36" s="528" t="n"/>
      <c r="BN36" s="528" t="n"/>
      <c r="BO36" s="314" t="n"/>
      <c r="BP36" s="528" t="n"/>
      <c r="BQ36" s="528" t="n"/>
      <c r="BR36" s="314" t="n"/>
      <c r="BS36" s="314" t="n"/>
      <c r="BT36" s="528" t="n"/>
      <c r="BU36" s="528" t="n"/>
      <c r="BV36" s="528" t="n"/>
      <c r="BW36" s="314">
        <f>BU36*BV36</f>
        <v/>
      </c>
      <c r="BX36" s="528" t="n"/>
      <c r="BY36" s="528" t="n"/>
      <c r="BZ36" s="528" t="n"/>
      <c r="CA36" s="314">
        <f>BY36*BZ36</f>
        <v/>
      </c>
      <c r="CB36" s="528" t="n"/>
      <c r="CC36" s="528" t="n"/>
      <c r="CD36" s="528" t="n"/>
      <c r="CE36" s="314">
        <f>CC36*CD36</f>
        <v/>
      </c>
    </row>
    <row r="37" ht="15" customHeight="1" s="191" thickBot="1">
      <c r="A37" s="109" t="n">
        <v>4</v>
      </c>
      <c r="B37" s="113" t="inlineStr">
        <is>
          <t>a</t>
        </is>
      </c>
      <c r="C37" s="106" t="n">
        <v>0</v>
      </c>
      <c r="D37" s="116">
        <f>CONCATENATE(A$3,"_",A37,"_",B37,"_",C37)</f>
        <v/>
      </c>
      <c r="E37" s="85" t="inlineStr">
        <is>
          <t>4.Modelowanie symulacyjne PT</t>
        </is>
      </c>
      <c r="F37" s="148" t="n"/>
      <c r="G37" s="148" t="n"/>
      <c r="H37" s="528" t="n"/>
      <c r="I37" s="148" t="n"/>
      <c r="J37" s="91">
        <f>M36</f>
        <v/>
      </c>
      <c r="K37" s="681">
        <f>VLOOKUP(J37,Kalendarz!B:E,4,FALSE)</f>
        <v/>
      </c>
      <c r="L37" s="681">
        <f>K37+N37</f>
        <v/>
      </c>
      <c r="M37" s="528">
        <f>J37+N37-1</f>
        <v/>
      </c>
      <c r="N37" s="474">
        <f>ROUND(MAX(AG37:AO37)/Listy!$U$2,0)</f>
        <v/>
      </c>
      <c r="O37" s="148" t="n"/>
      <c r="P37" s="148" t="n"/>
      <c r="Q37" s="148" t="n"/>
      <c r="R37" s="148" t="n"/>
      <c r="S37" s="148" t="n"/>
      <c r="T37" s="148" t="n"/>
      <c r="U37" s="148" t="n"/>
      <c r="V37" s="190" t="n"/>
      <c r="W37" s="148" t="n"/>
      <c r="X37" s="148" t="n"/>
      <c r="Y37" s="148" t="n"/>
      <c r="Z37" s="148" t="n"/>
      <c r="AA37" s="148" t="n"/>
      <c r="AB37" s="148" t="n"/>
      <c r="AC37" s="148" t="n"/>
      <c r="AD37" s="148" t="n"/>
      <c r="AE37" s="148" t="n"/>
      <c r="AF37" s="148" t="n"/>
      <c r="AG37" s="148" t="n"/>
      <c r="AH37" s="148" t="n"/>
      <c r="AI37" s="148" t="n"/>
      <c r="AJ37" s="148" t="n"/>
      <c r="AK37" s="148" t="n"/>
      <c r="AL37" s="148" t="n"/>
      <c r="AM37" s="148" t="n"/>
      <c r="AN37" s="148" t="n"/>
      <c r="AO37" s="148" t="n"/>
      <c r="AP37" s="148" t="n"/>
      <c r="AQ37" s="148" t="n"/>
      <c r="AR37" s="148" t="n"/>
      <c r="AS37" s="148" t="n"/>
      <c r="AT37" s="148" t="n"/>
      <c r="AU37" s="148" t="n"/>
      <c r="AV37" s="148" t="n"/>
      <c r="AW37" s="148" t="n"/>
      <c r="AX37" s="148" t="n"/>
      <c r="AY37" s="148" t="n"/>
      <c r="AZ37" s="148" t="n"/>
      <c r="BA37" s="148" t="n"/>
      <c r="BB37" s="148" t="n"/>
      <c r="BC37" s="148" t="n"/>
      <c r="BD37" s="148" t="n"/>
      <c r="BE37" s="148" t="n"/>
      <c r="BF37" s="148" t="n"/>
      <c r="BG37" s="148" t="n"/>
      <c r="BH37" s="148" t="n"/>
      <c r="BI37" s="148" t="n"/>
      <c r="BJ37" s="148" t="n"/>
      <c r="BK37" s="148" t="n"/>
      <c r="BL37" s="35">
        <f>BL38+BL39+BL40+BL41</f>
        <v/>
      </c>
      <c r="BM37" s="528" t="n"/>
      <c r="BN37" s="528" t="n"/>
      <c r="BO37" s="35">
        <f>BO38+BO39+BO40+BO41</f>
        <v/>
      </c>
      <c r="BP37" s="528" t="n"/>
      <c r="BQ37" s="528" t="n"/>
      <c r="BR37" s="35">
        <f>BR38+BR39+BR40+BR41</f>
        <v/>
      </c>
      <c r="BS37" s="35">
        <f>BS38+BS39+BS40+BS41</f>
        <v/>
      </c>
      <c r="BT37" s="528" t="n"/>
      <c r="BU37" s="528" t="n"/>
      <c r="BV37" s="528" t="n"/>
      <c r="BW37" s="35">
        <f>BW38+BW39+BW40+BW41</f>
        <v/>
      </c>
      <c r="BX37" s="528" t="n"/>
      <c r="BY37" s="528" t="n"/>
      <c r="BZ37" s="528" t="n"/>
      <c r="CA37" s="35">
        <f>CA38+CA39+CA40+CA41</f>
        <v/>
      </c>
      <c r="CB37" s="528" t="n"/>
      <c r="CC37" s="528" t="n"/>
      <c r="CD37" s="528" t="n"/>
      <c r="CE37" s="35">
        <f>CE38+CE39+CE40+CE41</f>
        <v/>
      </c>
      <c r="CF37" s="40">
        <f>AY37+BB37+BI37+BL37+BO37+BR37+BS37+BW37+CA37+CE37</f>
        <v/>
      </c>
    </row>
    <row r="38">
      <c r="A38" s="114" t="n">
        <v>4</v>
      </c>
      <c r="B38" s="113" t="inlineStr">
        <is>
          <t>a</t>
        </is>
      </c>
      <c r="C38" s="106" t="n">
        <v>1</v>
      </c>
      <c r="D38" s="116">
        <f>CONCATENATE(A$3,"_",A38,"_",B38,"_",C38)</f>
        <v/>
      </c>
      <c r="E38" s="123" t="inlineStr">
        <is>
          <t>Określenie kluczowych zmiennych</t>
        </is>
      </c>
      <c r="F38" s="46" t="n"/>
      <c r="G38" s="46" t="n"/>
      <c r="H38" s="45" t="n">
        <v>4</v>
      </c>
      <c r="I38" s="46" t="inlineStr">
        <is>
          <t>ACT/END</t>
        </is>
      </c>
      <c r="J38" s="91">
        <f>M37</f>
        <v/>
      </c>
      <c r="K38" s="681">
        <f>VLOOKUP(J38,Kalendarz!B:E,4,FALSE)</f>
        <v/>
      </c>
      <c r="L38" s="681">
        <f>K38+N38</f>
        <v/>
      </c>
      <c r="M38" s="528">
        <f>J38+N38-1</f>
        <v/>
      </c>
      <c r="N38" s="474" t="n">
        <v>1</v>
      </c>
      <c r="O38" s="46" t="n">
        <v>160</v>
      </c>
      <c r="P38" s="187" t="n">
        <v>0.25</v>
      </c>
      <c r="Q38" s="187" t="n">
        <v>0</v>
      </c>
      <c r="R38" s="187" t="n">
        <v>0.25</v>
      </c>
      <c r="S38" s="187" t="n">
        <v>0</v>
      </c>
      <c r="T38" s="187" t="n"/>
      <c r="U38" s="187" t="n"/>
      <c r="V38" s="187" t="n"/>
      <c r="W38" s="187" t="n"/>
      <c r="X38" s="187" t="n"/>
      <c r="Y38" s="243" t="n">
        <v>0.5</v>
      </c>
      <c r="Z38" s="243" t="n">
        <v>0</v>
      </c>
      <c r="AA38" s="243" t="n">
        <v>0</v>
      </c>
      <c r="AB38" s="243" t="n">
        <v>0</v>
      </c>
      <c r="AC38" s="300" t="n"/>
      <c r="AD38" s="300" t="n"/>
      <c r="AE38" s="300" t="n"/>
      <c r="AF38" s="300" t="n"/>
      <c r="AG38" s="297">
        <f>ROUND($O38*P38,0)</f>
        <v/>
      </c>
      <c r="AH38" s="297">
        <f>ROUND($O38*Q38,0)</f>
        <v/>
      </c>
      <c r="AI38" s="297">
        <f>ROUND($O38*R38,0)</f>
        <v/>
      </c>
      <c r="AJ38" s="297">
        <f>ROUND($O38*S38,0)</f>
        <v/>
      </c>
      <c r="AK38" s="297">
        <f>ROUND($O38*T38,0)</f>
        <v/>
      </c>
      <c r="AL38" s="297">
        <f>ROUND($O38*U38,0)</f>
        <v/>
      </c>
      <c r="AM38" s="297">
        <f>ROUND($O38*V38,0)</f>
        <v/>
      </c>
      <c r="AN38" s="297">
        <f>ROUND($O38*W38,0)</f>
        <v/>
      </c>
      <c r="AO38" s="297">
        <f>ROUND($O38*X38,0)</f>
        <v/>
      </c>
      <c r="AP38" s="298">
        <f>ROUND($O38*Y38,0)</f>
        <v/>
      </c>
      <c r="AQ38" s="298">
        <f>ROUND($O38*Z38,0)</f>
        <v/>
      </c>
      <c r="AR38" s="298">
        <f>ROUND($O38*AA38,0)</f>
        <v/>
      </c>
      <c r="AS38" s="298">
        <f>ROUND($O38*AB38,0)</f>
        <v/>
      </c>
      <c r="AT38" s="195" t="n"/>
      <c r="AU38" s="195" t="n"/>
      <c r="AV38" s="195" t="n"/>
      <c r="AW38" s="195" t="n"/>
      <c r="AX38" s="236">
        <f>SUM(AG38:AO38)</f>
        <v/>
      </c>
      <c r="AY38" s="528">
        <f>AX38/160</f>
        <v/>
      </c>
      <c r="AZ38" s="87">
        <f>VLOOKUP(I38,Listy!$A$1:$H$9,6,FALSE)</f>
        <v/>
      </c>
      <c r="BA38" s="682">
        <f>AY38*AZ38</f>
        <v/>
      </c>
      <c r="BB38" s="683">
        <f>AY38*BA38</f>
        <v/>
      </c>
      <c r="BC38" s="528" t="n"/>
      <c r="BD38" s="528" t="n"/>
      <c r="BE38" s="528" t="n"/>
      <c r="BF38" s="528" t="n"/>
      <c r="BG38" s="528" t="n"/>
      <c r="BH38" s="528" t="n"/>
      <c r="BI38" s="21">
        <f>BG38*BH38</f>
        <v/>
      </c>
      <c r="BJ38" s="528" t="n"/>
      <c r="BK38" s="528" t="n"/>
      <c r="BL38" s="21" t="n"/>
      <c r="BM38" s="528" t="n"/>
      <c r="BN38" s="528" t="n"/>
      <c r="BO38" s="21" t="n"/>
      <c r="BP38" s="528" t="n"/>
      <c r="BQ38" s="528" t="n"/>
      <c r="BR38" s="21" t="n"/>
      <c r="BS38" s="21" t="n"/>
      <c r="BT38" s="528" t="n"/>
      <c r="BU38" s="528" t="n"/>
      <c r="BV38" s="528" t="n"/>
      <c r="BW38" s="21">
        <f>BU38*BV38</f>
        <v/>
      </c>
      <c r="BX38" s="528" t="n"/>
      <c r="BY38" s="528" t="n"/>
      <c r="BZ38" s="528" t="n"/>
      <c r="CA38" s="21">
        <f>BY38*BZ38</f>
        <v/>
      </c>
      <c r="CB38" s="528" t="n"/>
      <c r="CC38" s="528" t="n"/>
      <c r="CD38" s="528" t="n"/>
      <c r="CE38" s="21">
        <f>CC38*CD38</f>
        <v/>
      </c>
    </row>
    <row r="39">
      <c r="A39" s="114" t="n">
        <v>4</v>
      </c>
      <c r="B39" s="113" t="inlineStr">
        <is>
          <t>b</t>
        </is>
      </c>
      <c r="C39" s="106" t="n">
        <v>1</v>
      </c>
      <c r="D39" s="116">
        <f>CONCATENATE(A$3,"_",A39,"_",B39,"_",C39)</f>
        <v/>
      </c>
      <c r="E39" s="123" t="inlineStr">
        <is>
          <t>Budowa modeli dyskretnych, predykcyjnych i relacyjnych</t>
        </is>
      </c>
      <c r="F39" s="46" t="n"/>
      <c r="G39" s="46" t="n"/>
      <c r="H39" s="133" t="n">
        <v>6</v>
      </c>
      <c r="I39" s="455" t="inlineStr">
        <is>
          <t>END</t>
        </is>
      </c>
      <c r="J39" s="91">
        <f>M38</f>
        <v/>
      </c>
      <c r="K39" s="681">
        <f>VLOOKUP(J39,Kalendarz!B:E,4,FALSE)</f>
        <v/>
      </c>
      <c r="L39" s="681">
        <f>K39+N39</f>
        <v/>
      </c>
      <c r="M39" s="528">
        <f>J39+N39-1</f>
        <v/>
      </c>
      <c r="N39" s="474" t="n">
        <v>0</v>
      </c>
      <c r="O39" s="46" t="n">
        <v>160</v>
      </c>
      <c r="P39" s="187" t="n">
        <v>0</v>
      </c>
      <c r="Q39" s="187" t="n">
        <v>0.25</v>
      </c>
      <c r="R39" s="187" t="n">
        <v>0</v>
      </c>
      <c r="S39" s="187" t="n">
        <v>0.25</v>
      </c>
      <c r="T39" s="187" t="n"/>
      <c r="U39" s="187" t="n"/>
      <c r="V39" s="187" t="n"/>
      <c r="W39" s="187" t="n"/>
      <c r="X39" s="187" t="n"/>
      <c r="Y39" s="243" t="n">
        <v>0</v>
      </c>
      <c r="Z39" s="243" t="n">
        <v>0.25</v>
      </c>
      <c r="AA39" s="243" t="n">
        <v>0.25</v>
      </c>
      <c r="AB39" s="243" t="n">
        <v>0</v>
      </c>
      <c r="AC39" s="300" t="n"/>
      <c r="AD39" s="300" t="n"/>
      <c r="AE39" s="300" t="n"/>
      <c r="AF39" s="300" t="n"/>
      <c r="AG39" s="297">
        <f>ROUND($O39*P39,0)</f>
        <v/>
      </c>
      <c r="AH39" s="297">
        <f>ROUND($O39*Q39,0)</f>
        <v/>
      </c>
      <c r="AI39" s="297">
        <f>ROUND($O39*R39,0)</f>
        <v/>
      </c>
      <c r="AJ39" s="297">
        <f>ROUND($O39*S39,0)</f>
        <v/>
      </c>
      <c r="AK39" s="297">
        <f>ROUND($O39*T39,0)</f>
        <v/>
      </c>
      <c r="AL39" s="297">
        <f>ROUND($O39*U39,0)</f>
        <v/>
      </c>
      <c r="AM39" s="297">
        <f>ROUND($O39*V39,0)</f>
        <v/>
      </c>
      <c r="AN39" s="297">
        <f>ROUND($O39*W39,0)</f>
        <v/>
      </c>
      <c r="AO39" s="297">
        <f>ROUND($O39*X39,0)</f>
        <v/>
      </c>
      <c r="AP39" s="298">
        <f>ROUND($O39*Y39,0)</f>
        <v/>
      </c>
      <c r="AQ39" s="298">
        <f>ROUND($O39*Z39,0)</f>
        <v/>
      </c>
      <c r="AR39" s="298">
        <f>ROUND($O39*AA39,0)</f>
        <v/>
      </c>
      <c r="AS39" s="298">
        <f>ROUND($O39*AB39,0)</f>
        <v/>
      </c>
      <c r="AT39" s="198" t="n"/>
      <c r="AU39" s="198" t="n"/>
      <c r="AV39" s="198" t="n"/>
      <c r="AW39" s="198" t="n"/>
      <c r="AX39" s="236">
        <f>SUM(AG39:AO39)</f>
        <v/>
      </c>
      <c r="AY39" s="528">
        <f>AX39/160</f>
        <v/>
      </c>
      <c r="AZ39" s="87">
        <f>VLOOKUP(I39,Listy!$A$1:$H$9,6,FALSE)</f>
        <v/>
      </c>
      <c r="BA39" s="682">
        <f>AY39*AZ39</f>
        <v/>
      </c>
      <c r="BB39" s="683">
        <f>AY39*BA39</f>
        <v/>
      </c>
      <c r="BC39" s="528" t="n"/>
      <c r="BD39" s="528" t="n"/>
      <c r="BE39" s="528" t="n"/>
      <c r="BF39" s="528" t="n"/>
      <c r="BG39" s="528" t="n"/>
      <c r="BH39" s="528" t="n"/>
      <c r="BI39" s="528">
        <f>BG39*BH39</f>
        <v/>
      </c>
      <c r="BJ39" s="528" t="n"/>
      <c r="BK39" s="528" t="n"/>
      <c r="BL39" s="528" t="n"/>
      <c r="BM39" s="528" t="n"/>
      <c r="BN39" s="528" t="n"/>
      <c r="BO39" s="528" t="n"/>
      <c r="BP39" s="528" t="n"/>
      <c r="BQ39" s="528" t="n"/>
      <c r="BR39" s="528" t="n"/>
      <c r="BS39" s="528" t="n"/>
      <c r="BT39" s="528" t="n"/>
      <c r="BU39" s="528" t="n"/>
      <c r="BV39" s="528" t="n"/>
      <c r="BW39" s="528">
        <f>BU39*BV39</f>
        <v/>
      </c>
      <c r="BX39" s="528" t="n"/>
      <c r="BY39" s="528" t="n"/>
      <c r="BZ39" s="528" t="n"/>
      <c r="CA39" s="528">
        <f>BY39*BZ39</f>
        <v/>
      </c>
      <c r="CB39" s="528" t="n"/>
      <c r="CC39" s="528" t="n"/>
      <c r="CD39" s="528" t="n"/>
      <c r="CE39" s="528">
        <f>CC39*CD39</f>
        <v/>
      </c>
    </row>
    <row r="40">
      <c r="A40" s="114" t="n">
        <v>4</v>
      </c>
      <c r="B40" s="113" t="inlineStr">
        <is>
          <t>c</t>
        </is>
      </c>
      <c r="C40" s="106" t="n">
        <v>1</v>
      </c>
      <c r="D40" s="116">
        <f>CONCATENATE(A$3,"_",A40,"_",B40,"_",C40)</f>
        <v/>
      </c>
      <c r="E40" s="123" t="inlineStr">
        <is>
          <t>Opracowanie scenariuszy symulujących różne strategie w PT</t>
        </is>
      </c>
      <c r="F40" s="46" t="n"/>
      <c r="G40" s="46" t="n"/>
      <c r="H40" s="133" t="n">
        <v>6</v>
      </c>
      <c r="I40" s="455" t="inlineStr">
        <is>
          <t>END</t>
        </is>
      </c>
      <c r="J40" s="91">
        <f>M39</f>
        <v/>
      </c>
      <c r="K40" s="681">
        <f>VLOOKUP(J40,Kalendarz!B:E,4,FALSE)</f>
        <v/>
      </c>
      <c r="L40" s="681">
        <f>K40+N40</f>
        <v/>
      </c>
      <c r="M40" s="528">
        <f>J40+N40-1</f>
        <v/>
      </c>
      <c r="N40" s="474" t="n">
        <v>2</v>
      </c>
      <c r="O40" s="46" t="n">
        <v>160</v>
      </c>
      <c r="P40" s="187" t="n">
        <v>0</v>
      </c>
      <c r="Q40" s="187" t="n">
        <v>0</v>
      </c>
      <c r="R40" s="187" t="n">
        <v>0.5</v>
      </c>
      <c r="S40" s="187" t="n">
        <v>0.5</v>
      </c>
      <c r="T40" s="187" t="n"/>
      <c r="U40" s="187" t="n"/>
      <c r="V40" s="187" t="n"/>
      <c r="W40" s="187" t="n"/>
      <c r="X40" s="187" t="n"/>
      <c r="Y40" s="243" t="n">
        <v>0</v>
      </c>
      <c r="Z40" s="243" t="n">
        <v>0</v>
      </c>
      <c r="AA40" s="243" t="n">
        <v>0</v>
      </c>
      <c r="AB40" s="243" t="n">
        <v>0</v>
      </c>
      <c r="AC40" s="300" t="n"/>
      <c r="AD40" s="300" t="n"/>
      <c r="AE40" s="300" t="n"/>
      <c r="AF40" s="300" t="n"/>
      <c r="AG40" s="297">
        <f>ROUND($O40*P40,0)</f>
        <v/>
      </c>
      <c r="AH40" s="297">
        <f>ROUND($O40*Q40,0)</f>
        <v/>
      </c>
      <c r="AI40" s="297">
        <f>ROUND($O40*R40,0)</f>
        <v/>
      </c>
      <c r="AJ40" s="297">
        <f>ROUND($O40*S40,0)</f>
        <v/>
      </c>
      <c r="AK40" s="297">
        <f>ROUND($O40*T40,0)</f>
        <v/>
      </c>
      <c r="AL40" s="297">
        <f>ROUND($O40*U40,0)</f>
        <v/>
      </c>
      <c r="AM40" s="297">
        <f>ROUND($O40*V40,0)</f>
        <v/>
      </c>
      <c r="AN40" s="297">
        <f>ROUND($O40*W40,0)</f>
        <v/>
      </c>
      <c r="AO40" s="297">
        <f>ROUND($O40*X40,0)</f>
        <v/>
      </c>
      <c r="AP40" s="298">
        <f>ROUND($O40*Y40,0)</f>
        <v/>
      </c>
      <c r="AQ40" s="298">
        <f>ROUND($O40*Z40,0)</f>
        <v/>
      </c>
      <c r="AR40" s="298">
        <f>ROUND($O40*AA40,0)</f>
        <v/>
      </c>
      <c r="AS40" s="298">
        <f>ROUND($O40*AB40,0)</f>
        <v/>
      </c>
      <c r="AT40" s="194" t="n"/>
      <c r="AU40" s="194" t="n"/>
      <c r="AV40" s="194" t="n"/>
      <c r="AW40" s="194" t="n"/>
      <c r="AX40" s="236">
        <f>SUM(AG40:AO40)</f>
        <v/>
      </c>
      <c r="AY40" s="528">
        <f>AX40/160</f>
        <v/>
      </c>
      <c r="AZ40" s="87">
        <f>VLOOKUP(I40,Listy!$A$1:$H$9,6,FALSE)</f>
        <v/>
      </c>
      <c r="BA40" s="682">
        <f>AY40*AZ40</f>
        <v/>
      </c>
      <c r="BB40" s="683">
        <f>AY40*BA40</f>
        <v/>
      </c>
      <c r="BC40" s="528" t="n"/>
      <c r="BD40" s="528" t="n"/>
      <c r="BE40" s="528" t="n"/>
      <c r="BF40" s="528" t="n"/>
      <c r="BG40" s="528" t="n"/>
      <c r="BH40" s="528" t="n"/>
      <c r="BI40" s="528">
        <f>BG40*BH40</f>
        <v/>
      </c>
      <c r="BJ40" s="528" t="n"/>
      <c r="BK40" s="51" t="n"/>
      <c r="BL40" s="528" t="n"/>
      <c r="BM40" s="399" t="n"/>
      <c r="BN40" s="528" t="n"/>
      <c r="BO40" s="528" t="n"/>
      <c r="BP40" s="528" t="n"/>
      <c r="BQ40" s="528" t="n"/>
      <c r="BR40" s="528" t="n"/>
      <c r="BS40" s="528" t="n"/>
      <c r="BT40" s="528" t="n"/>
      <c r="BU40" s="528" t="n"/>
      <c r="BV40" s="528" t="n"/>
      <c r="BW40" s="528">
        <f>BU40*BV40</f>
        <v/>
      </c>
      <c r="BX40" s="528" t="n"/>
      <c r="BY40" s="528" t="n"/>
      <c r="BZ40" s="528" t="n"/>
      <c r="CA40" s="528">
        <f>BY40*BZ40</f>
        <v/>
      </c>
      <c r="CB40" s="528" t="n"/>
      <c r="CC40" s="528" t="n"/>
      <c r="CD40" s="528" t="n"/>
      <c r="CE40" s="528">
        <f>CC40*CD40</f>
        <v/>
      </c>
    </row>
    <row r="41" ht="15" customHeight="1" s="191" thickBot="1">
      <c r="A41" s="114" t="n">
        <v>4</v>
      </c>
      <c r="B41" s="113" t="inlineStr">
        <is>
          <t>d</t>
        </is>
      </c>
      <c r="C41" s="106" t="n">
        <v>1</v>
      </c>
      <c r="D41" s="116">
        <f>CONCATENATE(A$3,"_",A41,"_",B41,"_",C41)</f>
        <v/>
      </c>
      <c r="E41" s="123" t="inlineStr">
        <is>
          <t>Testy, optymalizacja, implementacja zmian</t>
        </is>
      </c>
      <c r="F41" s="46" t="n"/>
      <c r="G41" s="46" t="n"/>
      <c r="H41" s="133" t="n">
        <v>8</v>
      </c>
      <c r="I41" s="455" t="inlineStr">
        <is>
          <t>END</t>
        </is>
      </c>
      <c r="J41" s="91">
        <f>M40</f>
        <v/>
      </c>
      <c r="K41" s="681">
        <f>VLOOKUP(J41,Kalendarz!B:E,4,FALSE)</f>
        <v/>
      </c>
      <c r="L41" s="681">
        <f>K41+N41</f>
        <v/>
      </c>
      <c r="M41" s="528">
        <f>J41+N41-1</f>
        <v/>
      </c>
      <c r="N41" s="474" t="n">
        <v>0</v>
      </c>
      <c r="O41" s="46" t="n">
        <v>160</v>
      </c>
      <c r="P41" s="187" t="n">
        <v>0.25</v>
      </c>
      <c r="Q41" s="187" t="n">
        <v>0.25</v>
      </c>
      <c r="R41" s="187" t="n">
        <v>0</v>
      </c>
      <c r="S41" s="187" t="n">
        <v>0</v>
      </c>
      <c r="T41" s="187" t="n"/>
      <c r="U41" s="187" t="n"/>
      <c r="V41" s="187" t="n"/>
      <c r="W41" s="187" t="n"/>
      <c r="X41" s="187" t="n"/>
      <c r="Y41" s="243" t="n">
        <v>0</v>
      </c>
      <c r="Z41" s="243" t="n">
        <v>0.25</v>
      </c>
      <c r="AA41" s="243" t="n">
        <v>0.25</v>
      </c>
      <c r="AB41" s="243" t="n">
        <v>0</v>
      </c>
      <c r="AC41" s="300" t="n"/>
      <c r="AD41" s="300" t="n"/>
      <c r="AE41" s="300" t="n"/>
      <c r="AF41" s="300" t="n"/>
      <c r="AG41" s="297">
        <f>ROUND($O41*P41,0)</f>
        <v/>
      </c>
      <c r="AH41" s="297">
        <f>ROUND($O41*Q41,0)</f>
        <v/>
      </c>
      <c r="AI41" s="297">
        <f>ROUND($O41*R41,0)</f>
        <v/>
      </c>
      <c r="AJ41" s="297">
        <f>ROUND($O41*S41,0)</f>
        <v/>
      </c>
      <c r="AK41" s="297">
        <f>ROUND($O41*T41,0)</f>
        <v/>
      </c>
      <c r="AL41" s="297">
        <f>ROUND($O41*U41,0)</f>
        <v/>
      </c>
      <c r="AM41" s="297">
        <f>ROUND($O41*V41,0)</f>
        <v/>
      </c>
      <c r="AN41" s="297">
        <f>ROUND($O41*W41,0)</f>
        <v/>
      </c>
      <c r="AO41" s="297">
        <f>ROUND($O41*X41,0)</f>
        <v/>
      </c>
      <c r="AP41" s="298">
        <f>ROUND($O41*Y41,0)</f>
        <v/>
      </c>
      <c r="AQ41" s="298">
        <f>ROUND($O41*Z41,0)</f>
        <v/>
      </c>
      <c r="AR41" s="298">
        <f>ROUND($O41*AA41,0)</f>
        <v/>
      </c>
      <c r="AS41" s="298">
        <f>ROUND($O41*AB41,0)</f>
        <v/>
      </c>
      <c r="AT41" s="194" t="n"/>
      <c r="AU41" s="194" t="n"/>
      <c r="AV41" s="194" t="n"/>
      <c r="AW41" s="194" t="n"/>
      <c r="AX41" s="236">
        <f>SUM(AG41:AO41)</f>
        <v/>
      </c>
      <c r="AY41" s="528">
        <f>AX41/160</f>
        <v/>
      </c>
      <c r="AZ41" s="87">
        <f>VLOOKUP(I41,Listy!$A$1:$H$9,6,FALSE)</f>
        <v/>
      </c>
      <c r="BA41" s="682">
        <f>AY41*AZ41</f>
        <v/>
      </c>
      <c r="BB41" s="683">
        <f>AY41*BA41</f>
        <v/>
      </c>
      <c r="BC41" s="528" t="n"/>
      <c r="BD41" s="528" t="n"/>
      <c r="BE41" s="528" t="n"/>
      <c r="BF41" s="528" t="n"/>
      <c r="BG41" s="528" t="n"/>
      <c r="BH41" s="528" t="n"/>
      <c r="BI41" s="314">
        <f>BG41*BH41</f>
        <v/>
      </c>
      <c r="BJ41" s="528" t="n"/>
      <c r="BK41" s="51" t="n"/>
      <c r="BL41" s="314" t="n"/>
      <c r="BM41" s="399" t="n"/>
      <c r="BN41" s="528" t="n"/>
      <c r="BO41" s="314" t="n"/>
      <c r="BP41" s="528" t="n"/>
      <c r="BQ41" s="528" t="n"/>
      <c r="BR41" s="314" t="n"/>
      <c r="BS41" s="314" t="n"/>
      <c r="BT41" s="528" t="n"/>
      <c r="BU41" s="528" t="n"/>
      <c r="BV41" s="528" t="n"/>
      <c r="BW41" s="314">
        <f>BU41*BV41</f>
        <v/>
      </c>
      <c r="BX41" s="528" t="n"/>
      <c r="BY41" s="528" t="n"/>
      <c r="BZ41" s="528" t="n"/>
      <c r="CA41" s="314">
        <f>BY41*BZ41</f>
        <v/>
      </c>
      <c r="CB41" s="528" t="n"/>
      <c r="CC41" s="528" t="n"/>
      <c r="CD41" s="528" t="n"/>
      <c r="CE41" s="314">
        <f>CC41*CD41</f>
        <v/>
      </c>
    </row>
    <row r="42" ht="15" customHeight="1" s="191" thickBot="1">
      <c r="A42" s="118" t="n">
        <v>5</v>
      </c>
      <c r="B42" s="113" t="inlineStr">
        <is>
          <t>a</t>
        </is>
      </c>
      <c r="C42" s="106" t="n">
        <v>0</v>
      </c>
      <c r="D42" s="116">
        <f>CONCATENATE(A$3,"_",A42,"_",B42,"_",C42)</f>
        <v/>
      </c>
      <c r="E42" s="85" t="inlineStr">
        <is>
          <t>5.Analiza wyników symulacji i testów</t>
        </is>
      </c>
      <c r="F42" s="148" t="n"/>
      <c r="G42" s="148" t="n"/>
      <c r="H42" s="528" t="n"/>
      <c r="I42" s="148" t="n"/>
      <c r="J42" s="91">
        <f>M41</f>
        <v/>
      </c>
      <c r="K42" s="681">
        <f>VLOOKUP(J42,Kalendarz!B:E,4,FALSE)</f>
        <v/>
      </c>
      <c r="L42" s="681">
        <f>K42+N42</f>
        <v/>
      </c>
      <c r="M42" s="528">
        <f>J42+N42-1</f>
        <v/>
      </c>
      <c r="N42" s="474">
        <f>ROUND(MAX(AG42:AO42)/Listy!$U$2,0)</f>
        <v/>
      </c>
      <c r="O42" s="148" t="n"/>
      <c r="P42" s="148" t="n"/>
      <c r="Q42" s="148" t="n"/>
      <c r="R42" s="148" t="n"/>
      <c r="S42" s="148" t="n"/>
      <c r="T42" s="148" t="n"/>
      <c r="U42" s="148" t="n"/>
      <c r="V42" s="190" t="n"/>
      <c r="W42" s="148" t="n"/>
      <c r="X42" s="148" t="n"/>
      <c r="Y42" s="148" t="n"/>
      <c r="Z42" s="148" t="n"/>
      <c r="AA42" s="148" t="n"/>
      <c r="AB42" s="148" t="n"/>
      <c r="AC42" s="148" t="n"/>
      <c r="AD42" s="148" t="n"/>
      <c r="AE42" s="148" t="n"/>
      <c r="AF42" s="148" t="n"/>
      <c r="AG42" s="148" t="n"/>
      <c r="AH42" s="148" t="n"/>
      <c r="AI42" s="148" t="n"/>
      <c r="AJ42" s="148" t="n"/>
      <c r="AK42" s="148" t="n"/>
      <c r="AL42" s="148" t="n"/>
      <c r="AM42" s="148" t="n"/>
      <c r="AN42" s="148" t="n"/>
      <c r="AO42" s="148" t="n"/>
      <c r="AP42" s="148" t="n"/>
      <c r="AQ42" s="148" t="n"/>
      <c r="AR42" s="148" t="n"/>
      <c r="AS42" s="148" t="n"/>
      <c r="AT42" s="148" t="n"/>
      <c r="AU42" s="148" t="n"/>
      <c r="AV42" s="148" t="n"/>
      <c r="AW42" s="148" t="n"/>
      <c r="AX42" s="148" t="n"/>
      <c r="AY42" s="148" t="n"/>
      <c r="AZ42" s="148" t="n"/>
      <c r="BA42" s="148" t="n"/>
      <c r="BB42" s="148" t="n"/>
      <c r="BC42" s="148" t="n"/>
      <c r="BD42" s="148" t="n"/>
      <c r="BE42" s="148" t="n"/>
      <c r="BF42" s="148" t="n"/>
      <c r="BG42" s="148" t="n"/>
      <c r="BH42" s="148" t="n"/>
      <c r="BI42" s="148" t="n"/>
      <c r="BJ42" s="148" t="n"/>
      <c r="BK42" s="148" t="n"/>
      <c r="BL42" s="14">
        <f>BL43+BL44+BL45+BL46+BL47</f>
        <v/>
      </c>
      <c r="BM42" s="399" t="n"/>
      <c r="BN42" s="528" t="n"/>
      <c r="BO42" s="14">
        <f>BO43+BO44+BO45+BO46+BO47</f>
        <v/>
      </c>
      <c r="BP42" s="528" t="n"/>
      <c r="BQ42" s="528" t="n"/>
      <c r="BR42" s="14">
        <f>BR43+BR44+BR45+BR46+BR47</f>
        <v/>
      </c>
      <c r="BS42" s="14">
        <f>BS43+BS44+BS45+BS46+BS47</f>
        <v/>
      </c>
      <c r="BT42" s="528" t="n"/>
      <c r="BU42" s="528" t="n"/>
      <c r="BV42" s="528" t="n"/>
      <c r="BW42" s="14">
        <f>BW43+BW44+BW45+BW46+BW47</f>
        <v/>
      </c>
      <c r="BX42" s="528" t="n"/>
      <c r="BY42" s="528" t="n"/>
      <c r="BZ42" s="528" t="n"/>
      <c r="CA42" s="14">
        <f>CA43+CA44+CA45+CA46+CA47</f>
        <v/>
      </c>
      <c r="CB42" s="528" t="n"/>
      <c r="CC42" s="528" t="n"/>
      <c r="CD42" s="528" t="n"/>
      <c r="CE42" s="14">
        <f>CE43+CE44+CE45+CE46+CE47</f>
        <v/>
      </c>
      <c r="CF42" s="40">
        <f>AY42+BB42+BI42+BL42+BO42+BR42+BS42+BW42+CA42+CE42</f>
        <v/>
      </c>
    </row>
    <row r="43">
      <c r="A43" s="112" t="n">
        <v>5</v>
      </c>
      <c r="B43" s="113" t="inlineStr">
        <is>
          <t>a</t>
        </is>
      </c>
      <c r="C43" s="106" t="n">
        <v>1</v>
      </c>
      <c r="D43" s="116">
        <f>CONCATENATE(A$3,"_",A43,"_",B43,"_",C43)</f>
        <v/>
      </c>
      <c r="E43" s="122" t="inlineStr">
        <is>
          <t>Analiza wyników (np. czas pakowania, zużycie opakowań, liczba błędów, koszty operacyjne)</t>
        </is>
      </c>
      <c r="F43" s="528" t="n"/>
      <c r="G43" s="528" t="n"/>
      <c r="H43" s="529" t="n">
        <v>9</v>
      </c>
      <c r="I43" s="528" t="inlineStr">
        <is>
          <t>ACT/END</t>
        </is>
      </c>
      <c r="J43" s="91">
        <f>M42</f>
        <v/>
      </c>
      <c r="K43" s="681">
        <f>VLOOKUP(J43,Kalendarz!B:E,4,FALSE)</f>
        <v/>
      </c>
      <c r="L43" s="681">
        <f>K43+N43</f>
        <v/>
      </c>
      <c r="M43" s="528">
        <f>J43+N43-1</f>
        <v/>
      </c>
      <c r="N43" s="474" t="n">
        <v>1</v>
      </c>
      <c r="O43" s="528" t="n">
        <v>80</v>
      </c>
      <c r="P43" s="187" t="n">
        <v>0.5</v>
      </c>
      <c r="Q43" s="187" t="n">
        <v>0</v>
      </c>
      <c r="R43" s="187" t="n">
        <v>0</v>
      </c>
      <c r="S43" s="187" t="n">
        <v>0</v>
      </c>
      <c r="T43" s="187" t="n"/>
      <c r="U43" s="187" t="n"/>
      <c r="V43" s="187" t="n"/>
      <c r="W43" s="187" t="n"/>
      <c r="X43" s="187" t="n"/>
      <c r="Y43" s="243" t="n">
        <v>0</v>
      </c>
      <c r="Z43" s="243" t="n">
        <v>0.5</v>
      </c>
      <c r="AA43" s="243" t="n">
        <v>0</v>
      </c>
      <c r="AB43" s="243" t="n">
        <v>0</v>
      </c>
      <c r="AC43" s="300" t="n"/>
      <c r="AD43" s="300" t="n"/>
      <c r="AE43" s="300" t="n"/>
      <c r="AF43" s="300" t="n"/>
      <c r="AG43" s="297">
        <f>ROUND($O43*P43,0)</f>
        <v/>
      </c>
      <c r="AH43" s="297">
        <f>ROUND($O43*Q43,0)</f>
        <v/>
      </c>
      <c r="AI43" s="297">
        <f>ROUND($O43*R43,0)</f>
        <v/>
      </c>
      <c r="AJ43" s="297">
        <f>ROUND($O43*S43,0)</f>
        <v/>
      </c>
      <c r="AK43" s="297">
        <f>ROUND($O43*T43,0)</f>
        <v/>
      </c>
      <c r="AL43" s="297">
        <f>ROUND($O43*U43,0)</f>
        <v/>
      </c>
      <c r="AM43" s="297">
        <f>ROUND($O43*V43,0)</f>
        <v/>
      </c>
      <c r="AN43" s="297">
        <f>ROUND($O43*W43,0)</f>
        <v/>
      </c>
      <c r="AO43" s="297">
        <f>ROUND($O43*X43,0)</f>
        <v/>
      </c>
      <c r="AP43" s="298">
        <f>ROUND($O43*Y43,0)</f>
        <v/>
      </c>
      <c r="AQ43" s="298">
        <f>ROUND($O43*Z43,0)</f>
        <v/>
      </c>
      <c r="AR43" s="298">
        <f>ROUND($O43*AA43,0)</f>
        <v/>
      </c>
      <c r="AS43" s="298">
        <f>ROUND($O43*AB43,0)</f>
        <v/>
      </c>
      <c r="AT43" s="195" t="n"/>
      <c r="AU43" s="195" t="n"/>
      <c r="AV43" s="195" t="n"/>
      <c r="AW43" s="195" t="n"/>
      <c r="AX43" s="236">
        <f>SUM(AG43:AO43)</f>
        <v/>
      </c>
      <c r="AY43" s="528">
        <f>AX43/160</f>
        <v/>
      </c>
      <c r="AZ43" s="87">
        <f>VLOOKUP(I43,Listy!$A$1:$H$9,6,FALSE)</f>
        <v/>
      </c>
      <c r="BA43" s="682">
        <f>AY43*AZ43</f>
        <v/>
      </c>
      <c r="BB43" s="683">
        <f>AY43*BA43</f>
        <v/>
      </c>
      <c r="BC43" s="528" t="n"/>
      <c r="BD43" s="528" t="n"/>
      <c r="BE43" s="528" t="n"/>
      <c r="BF43" s="528" t="n"/>
      <c r="BG43" s="528" t="n"/>
      <c r="BH43" s="528" t="n"/>
      <c r="BI43" s="314">
        <f>BG43*BH43</f>
        <v/>
      </c>
      <c r="BJ43" s="528" t="n"/>
      <c r="BK43" s="51" t="n"/>
      <c r="BL43" s="21" t="n"/>
      <c r="BM43" s="399" t="n"/>
      <c r="BN43" s="528" t="n"/>
      <c r="BO43" s="21" t="n"/>
      <c r="BP43" s="528" t="n"/>
      <c r="BQ43" s="528" t="n"/>
      <c r="BR43" s="21" t="n"/>
      <c r="BS43" s="21" t="n"/>
      <c r="BT43" s="528" t="n"/>
      <c r="BU43" s="528" t="n"/>
      <c r="BV43" s="528" t="n"/>
      <c r="BW43" s="314">
        <f>BU43*BV43</f>
        <v/>
      </c>
      <c r="BX43" s="528" t="n"/>
      <c r="BY43" s="528" t="n"/>
      <c r="BZ43" s="528" t="n"/>
      <c r="CA43" s="314">
        <f>BY43*BZ43</f>
        <v/>
      </c>
      <c r="CB43" s="528" t="n"/>
      <c r="CC43" s="528" t="n"/>
      <c r="CD43" s="528" t="n"/>
      <c r="CE43" s="314">
        <f>CC43*CD43</f>
        <v/>
      </c>
    </row>
    <row r="44">
      <c r="A44" s="112" t="n">
        <v>5</v>
      </c>
      <c r="B44" s="113" t="inlineStr">
        <is>
          <t>b</t>
        </is>
      </c>
      <c r="C44" s="106" t="n">
        <v>1</v>
      </c>
      <c r="D44" s="116">
        <f>CONCATENATE(A$3,"_",A44,"_",B44,"_",C44)</f>
        <v/>
      </c>
      <c r="E44" s="122" t="inlineStr">
        <is>
          <t>Optymalizacja algorytmów (dopasowanie do zmieniających się warunków operacyjnych)</t>
        </is>
      </c>
      <c r="F44" s="528" t="n"/>
      <c r="G44" s="528" t="n"/>
      <c r="H44" s="529" t="n">
        <v>10</v>
      </c>
      <c r="I44" s="528" t="inlineStr">
        <is>
          <t>ACT/END</t>
        </is>
      </c>
      <c r="J44" s="91">
        <f>M43</f>
        <v/>
      </c>
      <c r="K44" s="681">
        <f>VLOOKUP(J44,Kalendarz!B:E,4,FALSE)</f>
        <v/>
      </c>
      <c r="L44" s="681">
        <f>K44+N44</f>
        <v/>
      </c>
      <c r="M44" s="528">
        <f>J44+N44-1</f>
        <v/>
      </c>
      <c r="N44" s="474" t="n">
        <v>1</v>
      </c>
      <c r="O44" s="528" t="n">
        <v>120</v>
      </c>
      <c r="P44" s="187" t="n">
        <v>0</v>
      </c>
      <c r="Q44" s="187" t="n">
        <v>0.333</v>
      </c>
      <c r="R44" s="187" t="n">
        <v>0</v>
      </c>
      <c r="S44" s="187" t="n">
        <v>0</v>
      </c>
      <c r="T44" s="187" t="n"/>
      <c r="U44" s="187" t="n"/>
      <c r="V44" s="187" t="n"/>
      <c r="W44" s="187" t="n"/>
      <c r="X44" s="187" t="n"/>
      <c r="Y44" s="243" t="n">
        <v>0.333</v>
      </c>
      <c r="Z44" s="243" t="n">
        <v>0</v>
      </c>
      <c r="AA44" s="243" t="n">
        <v>0.333</v>
      </c>
      <c r="AB44" s="243" t="n">
        <v>0</v>
      </c>
      <c r="AC44" s="300" t="n"/>
      <c r="AD44" s="300" t="n"/>
      <c r="AE44" s="300" t="n"/>
      <c r="AF44" s="300" t="n"/>
      <c r="AG44" s="297">
        <f>ROUND($O44*P44,0)</f>
        <v/>
      </c>
      <c r="AH44" s="297">
        <f>ROUND($O44*Q44,0)</f>
        <v/>
      </c>
      <c r="AI44" s="297">
        <f>ROUND($O44*R44,0)</f>
        <v/>
      </c>
      <c r="AJ44" s="297">
        <f>ROUND($O44*S44,0)</f>
        <v/>
      </c>
      <c r="AK44" s="297">
        <f>ROUND($O44*T44,0)</f>
        <v/>
      </c>
      <c r="AL44" s="297">
        <f>ROUND($O44*U44,0)</f>
        <v/>
      </c>
      <c r="AM44" s="297">
        <f>ROUND($O44*V44,0)</f>
        <v/>
      </c>
      <c r="AN44" s="297">
        <f>ROUND($O44*W44,0)</f>
        <v/>
      </c>
      <c r="AO44" s="297">
        <f>ROUND($O44*X44,0)</f>
        <v/>
      </c>
      <c r="AP44" s="298">
        <f>ROUND($O44*Y44,0)</f>
        <v/>
      </c>
      <c r="AQ44" s="298">
        <f>ROUND($O44*Z44,0)</f>
        <v/>
      </c>
      <c r="AR44" s="298">
        <f>ROUND($O44*AA44,0)</f>
        <v/>
      </c>
      <c r="AS44" s="298">
        <f>ROUND($O44*AB44,0)</f>
        <v/>
      </c>
      <c r="AT44" s="199" t="n"/>
      <c r="AU44" s="199" t="n"/>
      <c r="AV44" s="199" t="n"/>
      <c r="AW44" s="199" t="n"/>
      <c r="AX44" s="236">
        <f>SUM(AG44:AO44)</f>
        <v/>
      </c>
      <c r="AY44" s="528">
        <f>AX44/160</f>
        <v/>
      </c>
      <c r="AZ44" s="87">
        <f>VLOOKUP(I44,Listy!$A$1:$H$9,6,FALSE)</f>
        <v/>
      </c>
      <c r="BA44" s="682">
        <f>AY44*AZ44</f>
        <v/>
      </c>
      <c r="BB44" s="683">
        <f>AY44*BA44</f>
        <v/>
      </c>
      <c r="BC44" s="528" t="n"/>
      <c r="BD44" s="528" t="n"/>
      <c r="BE44" s="528" t="n"/>
      <c r="BF44" s="528" t="n"/>
      <c r="BG44" s="528" t="n"/>
      <c r="BH44" s="528" t="n"/>
      <c r="BI44" s="314">
        <f>BG44*BH44</f>
        <v/>
      </c>
      <c r="BJ44" s="528" t="n"/>
      <c r="BK44" s="51" t="n"/>
      <c r="BL44" s="528" t="n"/>
      <c r="BM44" s="399" t="n"/>
      <c r="BN44" s="528" t="n"/>
      <c r="BO44" s="528" t="n"/>
      <c r="BP44" s="528" t="n"/>
      <c r="BQ44" s="528" t="n"/>
      <c r="BR44" s="528" t="n"/>
      <c r="BS44" s="528" t="n"/>
      <c r="BT44" s="528" t="n"/>
      <c r="BU44" s="528" t="n"/>
      <c r="BV44" s="528" t="n"/>
      <c r="BW44" s="314">
        <f>BU44*BV44</f>
        <v/>
      </c>
      <c r="BX44" s="528" t="n"/>
      <c r="BY44" s="528" t="n"/>
      <c r="BZ44" s="528" t="n"/>
      <c r="CA44" s="314">
        <f>BY44*BZ44</f>
        <v/>
      </c>
      <c r="CB44" s="528" t="n"/>
      <c r="CC44" s="528" t="n"/>
      <c r="CD44" s="528" t="n"/>
      <c r="CE44" s="314">
        <f>CC44*CD44</f>
        <v/>
      </c>
    </row>
    <row r="45" ht="28.8" customHeight="1" s="191">
      <c r="A45" s="112" t="n">
        <v>5</v>
      </c>
      <c r="B45" s="113" t="inlineStr">
        <is>
          <t>c</t>
        </is>
      </c>
      <c r="C45" s="106" t="n">
        <v>1</v>
      </c>
      <c r="D45" s="116">
        <f>CONCATENATE(A$3,"_",A45,"_",B45,"_",C45)</f>
        <v/>
      </c>
      <c r="E45" s="122" t="inlineStr">
        <is>
          <t>Opracowanie dynamicznych harmonogramów PT opartych na aktualnym obciążeniu zamówieniami i dostępnych zasobach</t>
        </is>
      </c>
      <c r="F45" s="528" t="n"/>
      <c r="G45" s="528" t="n"/>
      <c r="H45" s="529" t="n">
        <v>10</v>
      </c>
      <c r="I45" s="528" t="inlineStr">
        <is>
          <t>ACT/END</t>
        </is>
      </c>
      <c r="J45" s="91">
        <f>M44</f>
        <v/>
      </c>
      <c r="K45" s="681">
        <f>VLOOKUP(J45,Kalendarz!B:E,4,FALSE)</f>
        <v/>
      </c>
      <c r="L45" s="681">
        <f>K45+N45</f>
        <v/>
      </c>
      <c r="M45" s="528">
        <f>J45+N45-1</f>
        <v/>
      </c>
      <c r="N45" s="474" t="n">
        <v>1</v>
      </c>
      <c r="O45" s="528" t="n">
        <v>160</v>
      </c>
      <c r="P45" s="187" t="n">
        <v>0</v>
      </c>
      <c r="Q45" s="187" t="n">
        <v>0</v>
      </c>
      <c r="R45" s="187" t="n">
        <v>0.25</v>
      </c>
      <c r="S45" s="187" t="n">
        <v>0</v>
      </c>
      <c r="T45" s="187" t="n"/>
      <c r="U45" s="187" t="n"/>
      <c r="V45" s="187" t="n"/>
      <c r="W45" s="187" t="n"/>
      <c r="X45" s="187" t="n"/>
      <c r="Y45" s="243" t="n">
        <v>0.25</v>
      </c>
      <c r="Z45" s="243" t="n">
        <v>0.25</v>
      </c>
      <c r="AA45" s="243" t="n">
        <v>0.25</v>
      </c>
      <c r="AB45" s="243" t="n">
        <v>0</v>
      </c>
      <c r="AC45" s="300" t="n"/>
      <c r="AD45" s="300" t="n"/>
      <c r="AE45" s="300" t="n"/>
      <c r="AF45" s="300" t="n"/>
      <c r="AG45" s="297">
        <f>ROUND($O45*P45,0)</f>
        <v/>
      </c>
      <c r="AH45" s="297">
        <f>ROUND($O45*Q45,0)</f>
        <v/>
      </c>
      <c r="AI45" s="297">
        <f>ROUND($O45*R45,0)</f>
        <v/>
      </c>
      <c r="AJ45" s="297">
        <f>ROUND($O45*S45,0)</f>
        <v/>
      </c>
      <c r="AK45" s="297">
        <f>ROUND($O45*T45,0)</f>
        <v/>
      </c>
      <c r="AL45" s="297">
        <f>ROUND($O45*U45,0)</f>
        <v/>
      </c>
      <c r="AM45" s="297">
        <f>ROUND($O45*V45,0)</f>
        <v/>
      </c>
      <c r="AN45" s="297">
        <f>ROUND($O45*W45,0)</f>
        <v/>
      </c>
      <c r="AO45" s="297">
        <f>ROUND($O45*X45,0)</f>
        <v/>
      </c>
      <c r="AP45" s="298">
        <f>ROUND($O45*Y45,0)</f>
        <v/>
      </c>
      <c r="AQ45" s="298">
        <f>ROUND($O45*Z45,0)</f>
        <v/>
      </c>
      <c r="AR45" s="298">
        <f>ROUND($O45*AA45,0)</f>
        <v/>
      </c>
      <c r="AS45" s="298">
        <f>ROUND($O45*AB45,0)</f>
        <v/>
      </c>
      <c r="AT45" s="195" t="n"/>
      <c r="AU45" s="195" t="n"/>
      <c r="AV45" s="195" t="n"/>
      <c r="AW45" s="195" t="n"/>
      <c r="AX45" s="236">
        <f>SUM(AG45:AO45)</f>
        <v/>
      </c>
      <c r="AY45" s="528">
        <f>AX45/160</f>
        <v/>
      </c>
      <c r="AZ45" s="87">
        <f>VLOOKUP(I45,Listy!$A$1:$H$9,6,FALSE)</f>
        <v/>
      </c>
      <c r="BA45" s="682">
        <f>AY45*AZ45</f>
        <v/>
      </c>
      <c r="BB45" s="683">
        <f>AY45*BA45</f>
        <v/>
      </c>
      <c r="BC45" s="528" t="n"/>
      <c r="BD45" s="528" t="n"/>
      <c r="BE45" s="528" t="n"/>
      <c r="BF45" s="528" t="n"/>
      <c r="BG45" s="528" t="n"/>
      <c r="BH45" s="528" t="n"/>
      <c r="BI45" s="314">
        <f>BG45*BH45</f>
        <v/>
      </c>
      <c r="BJ45" s="528" t="n"/>
      <c r="BK45" s="51" t="n"/>
      <c r="BL45" s="528" t="n"/>
      <c r="BM45" s="399" t="n"/>
      <c r="BN45" s="528" t="n"/>
      <c r="BO45" s="528" t="n"/>
      <c r="BP45" s="528" t="n"/>
      <c r="BQ45" s="528" t="n"/>
      <c r="BR45" s="528" t="n"/>
      <c r="BS45" s="528" t="n"/>
      <c r="BT45" s="528" t="n"/>
      <c r="BU45" s="528" t="n"/>
      <c r="BV45" s="528" t="n"/>
      <c r="BW45" s="314">
        <f>BU45*BV45</f>
        <v/>
      </c>
      <c r="BX45" s="528" t="n"/>
      <c r="BY45" s="528" t="n"/>
      <c r="BZ45" s="528" t="n"/>
      <c r="CA45" s="314">
        <f>BY45*BZ45</f>
        <v/>
      </c>
      <c r="CB45" s="528" t="n"/>
      <c r="CC45" s="528" t="n"/>
      <c r="CD45" s="528" t="n"/>
      <c r="CE45" s="314">
        <f>CC45*CD45</f>
        <v/>
      </c>
    </row>
    <row r="46" ht="28.8" customHeight="1" s="191">
      <c r="A46" s="112" t="n">
        <v>5</v>
      </c>
      <c r="B46" s="113" t="inlineStr">
        <is>
          <t>d</t>
        </is>
      </c>
      <c r="C46" s="106" t="n">
        <v>1</v>
      </c>
      <c r="D46" s="116">
        <f>CONCATENATE(A$3,"_",A46,"_",B46,"_",C46)</f>
        <v/>
      </c>
      <c r="E46" s="122" t="inlineStr">
        <is>
          <t>Porównanie wyników symulacji. Ocena efektywności w predykcji zapotrzebowania, optymalizacji ilości i typów opakowań, sezonowości, sytuacji nadzwyczajnych, oszczędności</t>
        </is>
      </c>
      <c r="F46" s="528" t="n"/>
      <c r="G46" s="528" t="n"/>
      <c r="H46" s="529" t="n">
        <v>11</v>
      </c>
      <c r="I46" s="528" t="inlineStr">
        <is>
          <t>ACT/END</t>
        </is>
      </c>
      <c r="J46" s="91">
        <f>M45</f>
        <v/>
      </c>
      <c r="K46" s="681">
        <f>VLOOKUP(J46,Kalendarz!B:E,4,FALSE)</f>
        <v/>
      </c>
      <c r="L46" s="681">
        <f>K46+N46</f>
        <v/>
      </c>
      <c r="M46" s="528">
        <f>J46+N46-1</f>
        <v/>
      </c>
      <c r="N46" s="474" t="n">
        <v>1</v>
      </c>
      <c r="O46" s="528" t="n">
        <v>80</v>
      </c>
      <c r="P46" s="187" t="n">
        <v>0</v>
      </c>
      <c r="Q46" s="187" t="n">
        <v>0</v>
      </c>
      <c r="R46" s="187" t="n">
        <v>0</v>
      </c>
      <c r="S46" s="187" t="n">
        <v>0.5</v>
      </c>
      <c r="T46" s="187" t="n"/>
      <c r="U46" s="187" t="n"/>
      <c r="V46" s="187" t="n"/>
      <c r="W46" s="187" t="n"/>
      <c r="X46" s="187" t="n"/>
      <c r="Y46" s="243" t="n">
        <v>0.5</v>
      </c>
      <c r="Z46" s="243" t="n">
        <v>0</v>
      </c>
      <c r="AA46" s="243" t="n">
        <v>0</v>
      </c>
      <c r="AB46" s="243" t="n">
        <v>0</v>
      </c>
      <c r="AC46" s="300" t="n"/>
      <c r="AD46" s="300" t="n"/>
      <c r="AE46" s="300" t="n"/>
      <c r="AF46" s="300" t="n"/>
      <c r="AG46" s="297">
        <f>ROUND($O46*P46,0)</f>
        <v/>
      </c>
      <c r="AH46" s="297">
        <f>ROUND($O46*Q46,0)</f>
        <v/>
      </c>
      <c r="AI46" s="297">
        <f>ROUND($O46*R46,0)</f>
        <v/>
      </c>
      <c r="AJ46" s="297">
        <f>ROUND($O46*S46,0)</f>
        <v/>
      </c>
      <c r="AK46" s="297">
        <f>ROUND($O46*T46,0)</f>
        <v/>
      </c>
      <c r="AL46" s="297">
        <f>ROUND($O46*U46,0)</f>
        <v/>
      </c>
      <c r="AM46" s="297">
        <f>ROUND($O46*V46,0)</f>
        <v/>
      </c>
      <c r="AN46" s="297">
        <f>ROUND($O46*W46,0)</f>
        <v/>
      </c>
      <c r="AO46" s="297">
        <f>ROUND($O46*X46,0)</f>
        <v/>
      </c>
      <c r="AP46" s="298">
        <f>ROUND($O46*Y46,0)</f>
        <v/>
      </c>
      <c r="AQ46" s="298">
        <f>ROUND($O46*Z46,0)</f>
        <v/>
      </c>
      <c r="AR46" s="298">
        <f>ROUND($O46*AA46,0)</f>
        <v/>
      </c>
      <c r="AS46" s="298">
        <f>ROUND($O46*AB46,0)</f>
        <v/>
      </c>
      <c r="AT46" s="195" t="n"/>
      <c r="AU46" s="195" t="n"/>
      <c r="AV46" s="195" t="n"/>
      <c r="AW46" s="195" t="n"/>
      <c r="AX46" s="236">
        <f>SUM(AG46:AO46)</f>
        <v/>
      </c>
      <c r="AY46" s="528">
        <f>AX46/160</f>
        <v/>
      </c>
      <c r="AZ46" s="87">
        <f>VLOOKUP(I46,Listy!$A$1:$H$9,6,FALSE)</f>
        <v/>
      </c>
      <c r="BA46" s="682">
        <f>AY46*AZ46</f>
        <v/>
      </c>
      <c r="BB46" s="683">
        <f>AY46*BA46</f>
        <v/>
      </c>
      <c r="BC46" s="528" t="n"/>
      <c r="BD46" s="528" t="n"/>
      <c r="BE46" s="528" t="n"/>
      <c r="BF46" s="528" t="n"/>
      <c r="BG46" s="528" t="n"/>
      <c r="BH46" s="528" t="n"/>
      <c r="BI46" s="314">
        <f>BG46*BH46</f>
        <v/>
      </c>
      <c r="BJ46" s="528" t="n"/>
      <c r="BK46" s="51" t="n"/>
      <c r="BL46" s="528" t="n"/>
      <c r="BM46" s="399" t="n"/>
      <c r="BN46" s="528" t="n"/>
      <c r="BO46" s="528" t="n"/>
      <c r="BP46" s="528" t="n"/>
      <c r="BQ46" s="528" t="n"/>
      <c r="BR46" s="528" t="n"/>
      <c r="BS46" s="528" t="n"/>
      <c r="BT46" s="528" t="n"/>
      <c r="BU46" s="528" t="n"/>
      <c r="BV46" s="528" t="n"/>
      <c r="BW46" s="314">
        <f>BU46*BV46</f>
        <v/>
      </c>
      <c r="BX46" s="528" t="n"/>
      <c r="BY46" s="528" t="n"/>
      <c r="BZ46" s="528" t="n"/>
      <c r="CA46" s="314">
        <f>BY46*BZ46</f>
        <v/>
      </c>
      <c r="CB46" s="528" t="n"/>
      <c r="CC46" s="528" t="n"/>
      <c r="CD46" s="528" t="n"/>
      <c r="CE46" s="314">
        <f>CC46*CD46</f>
        <v/>
      </c>
    </row>
    <row r="47" ht="43.8" customHeight="1" s="191" thickBot="1">
      <c r="A47" s="112" t="n">
        <v>5</v>
      </c>
      <c r="B47" s="113" t="inlineStr">
        <is>
          <t>a</t>
        </is>
      </c>
      <c r="C47" s="106" t="n">
        <v>1</v>
      </c>
      <c r="D47" s="116">
        <f>CONCATENATE(A$3,"_",A47,"_",B47,"_",C47)</f>
        <v/>
      </c>
      <c r="E47" s="122" t="inlineStr">
        <is>
          <t>Wybór Modelu optymalizującego liczbę, rodzaj i wielkość kartonów, rekomendującego optymalny sposób ułożenia towarów w opakowaniach, minimalizując pustą przestrzeń w kartonie, optymalizującego pracę personelu</t>
        </is>
      </c>
      <c r="F47" s="528" t="n"/>
      <c r="G47" s="528" t="n"/>
      <c r="H47" s="529" t="n">
        <v>11</v>
      </c>
      <c r="I47" s="528" t="inlineStr">
        <is>
          <t>ACT/END</t>
        </is>
      </c>
      <c r="J47" s="91">
        <f>M46</f>
        <v/>
      </c>
      <c r="K47" s="681">
        <f>VLOOKUP(J47,Kalendarz!B:E,4,FALSE)</f>
        <v/>
      </c>
      <c r="L47" s="681">
        <f>K47+N47</f>
        <v/>
      </c>
      <c r="M47" s="528">
        <f>J47+N47-1</f>
        <v/>
      </c>
      <c r="N47" s="474" t="n">
        <v>1</v>
      </c>
      <c r="O47" s="528" t="n">
        <v>120</v>
      </c>
      <c r="P47" s="187" t="n">
        <v>0</v>
      </c>
      <c r="Q47" s="187" t="n">
        <v>0.34</v>
      </c>
      <c r="R47" s="187" t="n">
        <v>0</v>
      </c>
      <c r="S47" s="187" t="n">
        <v>0</v>
      </c>
      <c r="T47" s="187" t="n"/>
      <c r="U47" s="187" t="n"/>
      <c r="V47" s="187" t="n"/>
      <c r="W47" s="187" t="n"/>
      <c r="X47" s="187" t="n"/>
      <c r="Y47" s="243" t="n">
        <v>0.33</v>
      </c>
      <c r="Z47" s="243" t="n">
        <v>0.33</v>
      </c>
      <c r="AA47" s="243" t="n">
        <v>0</v>
      </c>
      <c r="AB47" s="243" t="n">
        <v>0</v>
      </c>
      <c r="AC47" s="300" t="n"/>
      <c r="AD47" s="300" t="n"/>
      <c r="AE47" s="300" t="n"/>
      <c r="AF47" s="300" t="n"/>
      <c r="AG47" s="297">
        <f>ROUND($O47*P47,0)</f>
        <v/>
      </c>
      <c r="AH47" s="297">
        <f>ROUND($O47*Q47,0)</f>
        <v/>
      </c>
      <c r="AI47" s="297">
        <f>ROUND($O47*R47,0)</f>
        <v/>
      </c>
      <c r="AJ47" s="297">
        <f>ROUND($O47*S47,0)</f>
        <v/>
      </c>
      <c r="AK47" s="297">
        <f>ROUND($O47*T47,0)</f>
        <v/>
      </c>
      <c r="AL47" s="297">
        <f>ROUND($O47*U47,0)</f>
        <v/>
      </c>
      <c r="AM47" s="297">
        <f>ROUND($O47*V47,0)</f>
        <v/>
      </c>
      <c r="AN47" s="297">
        <f>ROUND($O47*W47,0)</f>
        <v/>
      </c>
      <c r="AO47" s="297">
        <f>ROUND($O47*X47,0)</f>
        <v/>
      </c>
      <c r="AP47" s="298">
        <f>ROUND($O47*Y47,0)</f>
        <v/>
      </c>
      <c r="AQ47" s="298">
        <f>ROUND($O47*Z47,0)</f>
        <v/>
      </c>
      <c r="AR47" s="298">
        <f>ROUND($O47*AA47,0)</f>
        <v/>
      </c>
      <c r="AS47" s="298">
        <f>ROUND($O47*AB47,0)</f>
        <v/>
      </c>
      <c r="AT47" s="195" t="n"/>
      <c r="AU47" s="195" t="n"/>
      <c r="AV47" s="195" t="n"/>
      <c r="AW47" s="195" t="n"/>
      <c r="AX47" s="236">
        <f>SUM(AG47:AO47)</f>
        <v/>
      </c>
      <c r="AY47" s="528">
        <f>AX47/160</f>
        <v/>
      </c>
      <c r="AZ47" s="87">
        <f>VLOOKUP(I47,Listy!$A$1:$H$9,6,FALSE)</f>
        <v/>
      </c>
      <c r="BA47" s="682">
        <f>AY47*AZ47</f>
        <v/>
      </c>
      <c r="BB47" s="683">
        <f>AY47*BA47</f>
        <v/>
      </c>
      <c r="BC47" s="528" t="n"/>
      <c r="BD47" s="528" t="n"/>
      <c r="BE47" s="528" t="n"/>
      <c r="BF47" s="528" t="n"/>
      <c r="BG47" s="528" t="n"/>
      <c r="BH47" s="528" t="n"/>
      <c r="BI47" s="314">
        <f>BG47*BH47</f>
        <v/>
      </c>
      <c r="BJ47" s="528" t="n"/>
      <c r="BK47" s="51" t="n"/>
      <c r="BL47" s="314" t="n"/>
      <c r="BM47" s="399" t="n"/>
      <c r="BN47" s="528" t="n"/>
      <c r="BO47" s="314" t="n"/>
      <c r="BP47" s="528" t="n"/>
      <c r="BQ47" s="528" t="n"/>
      <c r="BR47" s="314" t="n"/>
      <c r="BS47" s="314" t="n"/>
      <c r="BT47" s="528" t="n"/>
      <c r="BU47" s="528" t="n"/>
      <c r="BV47" s="528" t="n"/>
      <c r="BW47" s="314">
        <f>BU47*BV47</f>
        <v/>
      </c>
      <c r="BX47" s="528" t="n"/>
      <c r="BY47" s="528" t="n"/>
      <c r="BZ47" s="528" t="n"/>
      <c r="CA47" s="314">
        <f>BY47*BZ47</f>
        <v/>
      </c>
      <c r="CB47" s="528" t="n"/>
      <c r="CC47" s="528" t="n"/>
      <c r="CD47" s="528" t="n"/>
      <c r="CE47" s="314">
        <f>CC47*CD47</f>
        <v/>
      </c>
    </row>
    <row r="48" ht="15" customHeight="1" s="191" thickBot="1">
      <c r="A48" s="109" t="n">
        <v>6</v>
      </c>
      <c r="B48" s="113" t="inlineStr">
        <is>
          <t>a</t>
        </is>
      </c>
      <c r="C48" s="106" t="n">
        <v>0</v>
      </c>
      <c r="D48" s="116">
        <f>CONCATENATE(A$3,"_",A48,"_",B48,"_",C48)</f>
        <v/>
      </c>
      <c r="E48" s="85" t="inlineStr">
        <is>
          <t>6.Walidacja i optymalizacja Modelu</t>
        </is>
      </c>
      <c r="F48" s="148" t="n"/>
      <c r="G48" s="148" t="n"/>
      <c r="H48" s="528" t="n"/>
      <c r="I48" s="148" t="n"/>
      <c r="J48" s="91">
        <f>M47</f>
        <v/>
      </c>
      <c r="K48" s="681">
        <f>VLOOKUP(J48,Kalendarz!B:E,4,FALSE)</f>
        <v/>
      </c>
      <c r="L48" s="681">
        <f>K48+N48</f>
        <v/>
      </c>
      <c r="M48" s="528">
        <f>J48+N48-1</f>
        <v/>
      </c>
      <c r="N48" s="474">
        <f>ROUND(MAX(AG48:AO48)/Listy!$U$2,0)</f>
        <v/>
      </c>
      <c r="O48" s="148" t="n"/>
      <c r="P48" s="148" t="n"/>
      <c r="Q48" s="148" t="n"/>
      <c r="R48" s="148" t="n"/>
      <c r="S48" s="148" t="n"/>
      <c r="T48" s="148" t="n"/>
      <c r="U48" s="148" t="n"/>
      <c r="V48" s="190" t="n"/>
      <c r="W48" s="148" t="n"/>
      <c r="X48" s="148" t="n"/>
      <c r="Y48" s="148" t="n"/>
      <c r="Z48" s="148" t="n"/>
      <c r="AA48" s="148" t="n"/>
      <c r="AB48" s="148" t="n"/>
      <c r="AC48" s="148" t="n"/>
      <c r="AD48" s="148" t="n"/>
      <c r="AE48" s="148" t="n"/>
      <c r="AF48" s="148" t="n"/>
      <c r="AG48" s="148" t="n"/>
      <c r="AH48" s="148" t="n"/>
      <c r="AI48" s="148" t="n"/>
      <c r="AJ48" s="148" t="n"/>
      <c r="AK48" s="148" t="n"/>
      <c r="AL48" s="148" t="n"/>
      <c r="AM48" s="148" t="n"/>
      <c r="AN48" s="148" t="n"/>
      <c r="AO48" s="148" t="n"/>
      <c r="AP48" s="148" t="n"/>
      <c r="AQ48" s="148" t="n"/>
      <c r="AR48" s="148" t="n"/>
      <c r="AS48" s="148" t="n"/>
      <c r="AT48" s="148" t="n"/>
      <c r="AU48" s="148" t="n"/>
      <c r="AV48" s="148" t="n"/>
      <c r="AW48" s="148" t="n"/>
      <c r="AX48" s="148" t="n"/>
      <c r="AY48" s="148" t="n"/>
      <c r="AZ48" s="148" t="n"/>
      <c r="BA48" s="148" t="n"/>
      <c r="BB48" s="148" t="n"/>
      <c r="BC48" s="148" t="n"/>
      <c r="BD48" s="148" t="n"/>
      <c r="BE48" s="148" t="n"/>
      <c r="BF48" s="148" t="n"/>
      <c r="BG48" s="148" t="n"/>
      <c r="BH48" s="148" t="n"/>
      <c r="BI48" s="148" t="n"/>
      <c r="BJ48" s="148" t="n"/>
      <c r="BK48" s="148" t="n"/>
      <c r="BL48" s="14">
        <f>BL49+BL50+BL51</f>
        <v/>
      </c>
      <c r="BM48" s="399" t="n"/>
      <c r="BN48" s="528" t="n"/>
      <c r="BO48" s="14">
        <f>BO49+BO50+BO51</f>
        <v/>
      </c>
      <c r="BP48" s="528" t="n"/>
      <c r="BQ48" s="528" t="n"/>
      <c r="BR48" s="14">
        <f>BR49+BR50+BR51</f>
        <v/>
      </c>
      <c r="BS48" s="14">
        <f>BS49+BS50+BS51</f>
        <v/>
      </c>
      <c r="BT48" s="528" t="n"/>
      <c r="BU48" s="528" t="n"/>
      <c r="BV48" s="528" t="n"/>
      <c r="BW48" s="14">
        <f>BW49+BW50+BW51</f>
        <v/>
      </c>
      <c r="BX48" s="528" t="n"/>
      <c r="BY48" s="528" t="n"/>
      <c r="BZ48" s="528" t="n"/>
      <c r="CA48" s="14">
        <f>CA49+CA50+CA51</f>
        <v/>
      </c>
      <c r="CB48" s="528" t="n"/>
      <c r="CC48" s="528" t="n"/>
      <c r="CD48" s="528" t="n"/>
      <c r="CE48" s="14">
        <f>CE49+CE50+CE51</f>
        <v/>
      </c>
      <c r="CF48" s="40">
        <f>AY48+BB48+BI48+BL48+BO48+BR48+BS48+BW48+CA48+CE48</f>
        <v/>
      </c>
    </row>
    <row r="49" ht="28.8" customHeight="1" s="191">
      <c r="A49" s="114" t="n">
        <v>6</v>
      </c>
      <c r="B49" s="113" t="inlineStr">
        <is>
          <t>a</t>
        </is>
      </c>
      <c r="C49" s="106" t="n">
        <v>1</v>
      </c>
      <c r="D49" s="116">
        <f>CONCATENATE(A$3,"_",A49,"_",B49,"_",C49)</f>
        <v/>
      </c>
      <c r="E49" s="122" t="inlineStr">
        <is>
          <t>Przeprowadzenie testów (np. krzyżowa walidacja, na nowych danych) w warunkach zbliżonych do rzeczywistych</t>
        </is>
      </c>
      <c r="F49" s="528" t="n"/>
      <c r="G49" s="528" t="n"/>
      <c r="H49" s="140" t="n">
        <v>11</v>
      </c>
      <c r="I49" s="51" t="inlineStr">
        <is>
          <t>ACT</t>
        </is>
      </c>
      <c r="J49" s="91">
        <f>M48</f>
        <v/>
      </c>
      <c r="K49" s="681">
        <f>VLOOKUP(J49,Kalendarz!B:E,4,FALSE)</f>
        <v/>
      </c>
      <c r="L49" s="681">
        <f>K49+N49</f>
        <v/>
      </c>
      <c r="M49" s="528">
        <f>J49+N49-1</f>
        <v/>
      </c>
      <c r="N49" s="474" t="n">
        <v>1</v>
      </c>
      <c r="O49" s="528" t="n">
        <v>160</v>
      </c>
      <c r="P49" s="187" t="n">
        <v>0.25</v>
      </c>
      <c r="Q49" s="187" t="n">
        <v>0.25</v>
      </c>
      <c r="R49" s="187" t="n">
        <v>0.25</v>
      </c>
      <c r="S49" s="187" t="n">
        <v>0.25</v>
      </c>
      <c r="T49" s="187" t="n"/>
      <c r="U49" s="187" t="n"/>
      <c r="V49" s="187" t="n"/>
      <c r="W49" s="187" t="n"/>
      <c r="X49" s="187" t="n"/>
      <c r="Y49" s="243" t="n">
        <v>0</v>
      </c>
      <c r="Z49" s="243" t="n">
        <v>0</v>
      </c>
      <c r="AA49" s="243" t="n">
        <v>0</v>
      </c>
      <c r="AB49" s="243" t="n">
        <v>0</v>
      </c>
      <c r="AC49" s="300" t="n"/>
      <c r="AD49" s="300" t="n"/>
      <c r="AE49" s="300" t="n"/>
      <c r="AF49" s="300" t="n"/>
      <c r="AG49" s="297">
        <f>ROUND($O49*P49,0)</f>
        <v/>
      </c>
      <c r="AH49" s="297">
        <f>ROUND($O49*Q49,0)</f>
        <v/>
      </c>
      <c r="AI49" s="297">
        <f>ROUND($O49*R49,0)</f>
        <v/>
      </c>
      <c r="AJ49" s="297">
        <f>ROUND($O49*S49,0)</f>
        <v/>
      </c>
      <c r="AK49" s="297">
        <f>ROUND($O49*T49,0)</f>
        <v/>
      </c>
      <c r="AL49" s="297">
        <f>ROUND($O49*U49,0)</f>
        <v/>
      </c>
      <c r="AM49" s="297">
        <f>ROUND($O49*V49,0)</f>
        <v/>
      </c>
      <c r="AN49" s="297">
        <f>ROUND($O49*W49,0)</f>
        <v/>
      </c>
      <c r="AO49" s="297">
        <f>ROUND($O49*X49,0)</f>
        <v/>
      </c>
      <c r="AP49" s="298">
        <f>ROUND($O49*Y49,0)</f>
        <v/>
      </c>
      <c r="AQ49" s="298">
        <f>ROUND($O49*Z49,0)</f>
        <v/>
      </c>
      <c r="AR49" s="298">
        <f>ROUND($O49*AA49,0)</f>
        <v/>
      </c>
      <c r="AS49" s="298">
        <f>ROUND($O49*AB49,0)</f>
        <v/>
      </c>
      <c r="AT49" s="195" t="n"/>
      <c r="AU49" s="195" t="n"/>
      <c r="AV49" s="195" t="n"/>
      <c r="AW49" s="195" t="n"/>
      <c r="AX49" s="236">
        <f>SUM(AG49:AO49)</f>
        <v/>
      </c>
      <c r="AY49" s="528">
        <f>AX49/160</f>
        <v/>
      </c>
      <c r="AZ49" s="87">
        <f>VLOOKUP(I49,Listy!$A$1:$H$9,6,FALSE)</f>
        <v/>
      </c>
      <c r="BA49" s="682">
        <f>AY49*AZ49</f>
        <v/>
      </c>
      <c r="BB49" s="683">
        <f>AY49*BA49</f>
        <v/>
      </c>
      <c r="BC49" s="528" t="n"/>
      <c r="BD49" s="528" t="n"/>
      <c r="BE49" s="528" t="n"/>
      <c r="BF49" s="528" t="n"/>
      <c r="BG49" s="528" t="n"/>
      <c r="BH49" s="528" t="n"/>
      <c r="BI49" s="314">
        <f>BG49*BH49</f>
        <v/>
      </c>
      <c r="BJ49" s="528" t="n"/>
      <c r="BK49" s="51" t="n"/>
      <c r="BL49" s="21" t="n"/>
      <c r="BM49" s="399" t="n"/>
      <c r="BN49" s="528" t="n"/>
      <c r="BO49" s="21" t="n"/>
      <c r="BP49" s="528" t="n"/>
      <c r="BQ49" s="528" t="n"/>
      <c r="BR49" s="21" t="n"/>
      <c r="BS49" s="21" t="n"/>
      <c r="BT49" s="528" t="n"/>
      <c r="BU49" s="528" t="n"/>
      <c r="BV49" s="528" t="n"/>
      <c r="BW49" s="314">
        <f>BU49*BV49</f>
        <v/>
      </c>
      <c r="BX49" s="528" t="n"/>
      <c r="BY49" s="528" t="n"/>
      <c r="BZ49" s="528" t="n"/>
      <c r="CA49" s="314">
        <f>BY49*BZ49</f>
        <v/>
      </c>
      <c r="CB49" s="528" t="n"/>
      <c r="CC49" s="528" t="n"/>
      <c r="CD49" s="528" t="n"/>
      <c r="CE49" s="314">
        <f>CC49*CD49</f>
        <v/>
      </c>
    </row>
    <row r="50" ht="28.8" customHeight="1" s="191">
      <c r="A50" s="114" t="n">
        <v>6</v>
      </c>
      <c r="B50" s="113" t="inlineStr">
        <is>
          <t>b</t>
        </is>
      </c>
      <c r="C50" s="106" t="n">
        <v>1</v>
      </c>
      <c r="D50" s="116">
        <f>CONCATENATE(A$3,"_",A50,"_",B50,"_",C50)</f>
        <v/>
      </c>
      <c r="E50" s="122" t="inlineStr">
        <is>
          <t>Monitorowanie i porównanie wyników Modelu z danymi operacyjnymi, ocena dokładności prognoz i skuteczności optymalizacji</t>
        </is>
      </c>
      <c r="F50" s="528" t="n"/>
      <c r="G50" s="528" t="n"/>
      <c r="H50" s="140" t="n">
        <v>12</v>
      </c>
      <c r="I50" s="51" t="inlineStr">
        <is>
          <t>ACT</t>
        </is>
      </c>
      <c r="J50" s="91">
        <f>M49</f>
        <v/>
      </c>
      <c r="K50" s="681">
        <f>VLOOKUP(J50,Kalendarz!B:E,4,FALSE)</f>
        <v/>
      </c>
      <c r="L50" s="681">
        <f>K50+N50</f>
        <v/>
      </c>
      <c r="M50" s="528">
        <f>J50+N50-1</f>
        <v/>
      </c>
      <c r="N50" s="474" t="n">
        <v>1</v>
      </c>
      <c r="O50" s="528" t="n">
        <v>120</v>
      </c>
      <c r="P50" s="187" t="n">
        <v>0.34</v>
      </c>
      <c r="Q50" s="187" t="n">
        <v>0.33</v>
      </c>
      <c r="R50" s="187" t="n">
        <v>0</v>
      </c>
      <c r="S50" s="187" t="n">
        <v>0</v>
      </c>
      <c r="T50" s="187" t="n"/>
      <c r="U50" s="187" t="n"/>
      <c r="V50" s="187" t="n"/>
      <c r="W50" s="187" t="n"/>
      <c r="X50" s="187" t="n"/>
      <c r="Y50" s="243" t="n">
        <v>0</v>
      </c>
      <c r="Z50" s="243" t="n">
        <v>0</v>
      </c>
      <c r="AA50" s="243" t="n">
        <v>0.33</v>
      </c>
      <c r="AB50" s="243" t="n">
        <v>0</v>
      </c>
      <c r="AC50" s="300" t="n"/>
      <c r="AD50" s="300" t="n"/>
      <c r="AE50" s="300" t="n"/>
      <c r="AF50" s="300" t="n"/>
      <c r="AG50" s="297">
        <f>ROUND($O50*P50,0)</f>
        <v/>
      </c>
      <c r="AH50" s="297">
        <f>ROUND($O50*Q50,0)</f>
        <v/>
      </c>
      <c r="AI50" s="297">
        <f>ROUND($O50*R50,0)</f>
        <v/>
      </c>
      <c r="AJ50" s="297">
        <f>ROUND($O50*S50,0)</f>
        <v/>
      </c>
      <c r="AK50" s="297">
        <f>ROUND($O50*T50,0)</f>
        <v/>
      </c>
      <c r="AL50" s="297">
        <f>ROUND($O50*U50,0)</f>
        <v/>
      </c>
      <c r="AM50" s="297">
        <f>ROUND($O50*V50,0)</f>
        <v/>
      </c>
      <c r="AN50" s="297">
        <f>ROUND($O50*W50,0)</f>
        <v/>
      </c>
      <c r="AO50" s="297">
        <f>ROUND($O50*X50,0)</f>
        <v/>
      </c>
      <c r="AP50" s="298">
        <f>ROUND($O50*Y50,0)</f>
        <v/>
      </c>
      <c r="AQ50" s="298">
        <f>ROUND($O50*Z50,0)</f>
        <v/>
      </c>
      <c r="AR50" s="298">
        <f>ROUND($O50*AA50,0)</f>
        <v/>
      </c>
      <c r="AS50" s="298">
        <f>ROUND($O50*AB50,0)</f>
        <v/>
      </c>
      <c r="AT50" s="195" t="n"/>
      <c r="AU50" s="195" t="n"/>
      <c r="AV50" s="195" t="n"/>
      <c r="AW50" s="195" t="n"/>
      <c r="AX50" s="236">
        <f>SUM(AG50:AO50)</f>
        <v/>
      </c>
      <c r="AY50" s="528">
        <f>AX50/160</f>
        <v/>
      </c>
      <c r="AZ50" s="87">
        <f>VLOOKUP(I50,Listy!$A$1:$H$9,6,FALSE)</f>
        <v/>
      </c>
      <c r="BA50" s="682">
        <f>AY50*AZ50</f>
        <v/>
      </c>
      <c r="BB50" s="683">
        <f>AY50*BA50</f>
        <v/>
      </c>
      <c r="BC50" s="528" t="n"/>
      <c r="BD50" s="528" t="n"/>
      <c r="BE50" s="528" t="n"/>
      <c r="BF50" s="528" t="n"/>
      <c r="BG50" s="528" t="n"/>
      <c r="BH50" s="528" t="n"/>
      <c r="BI50" s="314">
        <f>BG50*BH50</f>
        <v/>
      </c>
      <c r="BJ50" s="528" t="n"/>
      <c r="BK50" s="51" t="n"/>
      <c r="BL50" s="528" t="n"/>
      <c r="BM50" s="399" t="n"/>
      <c r="BN50" s="528" t="n"/>
      <c r="BO50" s="528" t="n"/>
      <c r="BP50" s="528" t="n"/>
      <c r="BQ50" s="528" t="n"/>
      <c r="BR50" s="528" t="n"/>
      <c r="BS50" s="528" t="n"/>
      <c r="BT50" s="528" t="n"/>
      <c r="BU50" s="528" t="n"/>
      <c r="BV50" s="528" t="n"/>
      <c r="BW50" s="314">
        <f>BU50*BV50</f>
        <v/>
      </c>
      <c r="BX50" s="528" t="n"/>
      <c r="BY50" s="528" t="n"/>
      <c r="BZ50" s="528" t="n"/>
      <c r="CA50" s="314">
        <f>BY50*BZ50</f>
        <v/>
      </c>
      <c r="CB50" s="528" t="n"/>
      <c r="CC50" s="528" t="n"/>
      <c r="CD50" s="528" t="n"/>
      <c r="CE50" s="314">
        <f>CC50*CD50</f>
        <v/>
      </c>
    </row>
    <row r="51" ht="43.8" customHeight="1" s="191" thickBot="1">
      <c r="A51" s="114" t="n">
        <v>6</v>
      </c>
      <c r="B51" s="113" t="inlineStr">
        <is>
          <t>c</t>
        </is>
      </c>
      <c r="C51" s="106" t="n">
        <v>1</v>
      </c>
      <c r="D51" s="116">
        <f>CONCATENATE(A$3,"_",A51,"_",B51,"_",C51)</f>
        <v/>
      </c>
      <c r="E51" s="122" t="inlineStr">
        <is>
          <t>Iteracyjne kalibracje (dopasowanie Modelu do wybranych procesów rzeczywistych [na niewielką skalę], dostosowanie parametrów Modelu i wybór najlepszych algorytmów z przeprowadzonych testów)</t>
        </is>
      </c>
      <c r="F51" s="528" t="n"/>
      <c r="G51" s="528" t="n"/>
      <c r="H51" s="140" t="n">
        <v>12</v>
      </c>
      <c r="I51" s="51" t="inlineStr">
        <is>
          <t>END/ACT</t>
        </is>
      </c>
      <c r="J51" s="91">
        <f>M50</f>
        <v/>
      </c>
      <c r="K51" s="681">
        <f>VLOOKUP(J51,Kalendarz!B:E,4,FALSE)</f>
        <v/>
      </c>
      <c r="L51" s="681">
        <f>K51+N51</f>
        <v/>
      </c>
      <c r="M51" s="528">
        <f>J51+N51-1</f>
        <v/>
      </c>
      <c r="N51" s="474" t="n">
        <v>1</v>
      </c>
      <c r="O51" s="528" t="n">
        <v>120</v>
      </c>
      <c r="P51" s="187" t="n">
        <v>0</v>
      </c>
      <c r="Q51" s="187" t="n">
        <v>0.34</v>
      </c>
      <c r="R51" s="187" t="n">
        <v>0</v>
      </c>
      <c r="S51" s="187" t="n">
        <v>0</v>
      </c>
      <c r="T51" s="187" t="n"/>
      <c r="U51" s="187" t="n"/>
      <c r="V51" s="187" t="n"/>
      <c r="W51" s="187" t="n"/>
      <c r="X51" s="187" t="n"/>
      <c r="Y51" s="243" t="n">
        <v>0.33</v>
      </c>
      <c r="Z51" s="243" t="n">
        <v>0</v>
      </c>
      <c r="AA51" s="243" t="n">
        <v>0.33</v>
      </c>
      <c r="AB51" s="243" t="n">
        <v>0</v>
      </c>
      <c r="AC51" s="300" t="n"/>
      <c r="AD51" s="300" t="n"/>
      <c r="AE51" s="300" t="n"/>
      <c r="AF51" s="300" t="n"/>
      <c r="AG51" s="297">
        <f>ROUND($O51*P51,0)</f>
        <v/>
      </c>
      <c r="AH51" s="297">
        <f>ROUND($O51*Q51,0)</f>
        <v/>
      </c>
      <c r="AI51" s="297">
        <f>ROUND($O51*R51,0)</f>
        <v/>
      </c>
      <c r="AJ51" s="297">
        <f>ROUND($O51*S51,0)</f>
        <v/>
      </c>
      <c r="AK51" s="297">
        <f>ROUND($O51*T51,0)</f>
        <v/>
      </c>
      <c r="AL51" s="297">
        <f>ROUND($O51*U51,0)</f>
        <v/>
      </c>
      <c r="AM51" s="297">
        <f>ROUND($O51*V51,0)</f>
        <v/>
      </c>
      <c r="AN51" s="297">
        <f>ROUND($O51*W51,0)</f>
        <v/>
      </c>
      <c r="AO51" s="297">
        <f>ROUND($O51*X51,0)</f>
        <v/>
      </c>
      <c r="AP51" s="298">
        <f>ROUND($O51*Y51,0)</f>
        <v/>
      </c>
      <c r="AQ51" s="298">
        <f>ROUND($O51*Z51,0)</f>
        <v/>
      </c>
      <c r="AR51" s="298">
        <f>ROUND($O51*AA51,0)</f>
        <v/>
      </c>
      <c r="AS51" s="298">
        <f>ROUND($O51*AB51,0)</f>
        <v/>
      </c>
      <c r="AT51" s="195" t="n"/>
      <c r="AU51" s="195" t="n"/>
      <c r="AV51" s="195" t="n"/>
      <c r="AW51" s="195" t="n"/>
      <c r="AX51" s="236">
        <f>SUM(AG51:AO51)</f>
        <v/>
      </c>
      <c r="AY51" s="528">
        <f>AX51/160</f>
        <v/>
      </c>
      <c r="AZ51" s="87">
        <f>VLOOKUP(I51,Listy!$A$1:$H$9,6,FALSE)</f>
        <v/>
      </c>
      <c r="BA51" s="682">
        <f>AY51*AZ51</f>
        <v/>
      </c>
      <c r="BB51" s="683">
        <f>AY51*BA51</f>
        <v/>
      </c>
      <c r="BC51" s="528" t="n"/>
      <c r="BD51" s="528" t="n"/>
      <c r="BE51" s="528" t="n"/>
      <c r="BF51" s="528" t="n"/>
      <c r="BG51" s="528" t="n"/>
      <c r="BH51" s="528" t="n"/>
      <c r="BI51" s="314">
        <f>BG51*BH51</f>
        <v/>
      </c>
      <c r="BJ51" s="528" t="n"/>
      <c r="BK51" s="51" t="n"/>
      <c r="BL51" s="314" t="n"/>
      <c r="BM51" s="399" t="n"/>
      <c r="BN51" s="528" t="n"/>
      <c r="BO51" s="314" t="n"/>
      <c r="BP51" s="528" t="n"/>
      <c r="BQ51" s="528" t="n"/>
      <c r="BR51" s="314" t="n"/>
      <c r="BS51" s="314" t="n"/>
      <c r="BT51" s="528" t="n"/>
      <c r="BU51" s="528" t="n"/>
      <c r="BV51" s="528" t="n"/>
      <c r="BW51" s="314">
        <f>BU51*BV51</f>
        <v/>
      </c>
      <c r="BX51" s="528" t="n"/>
      <c r="BY51" s="528" t="n"/>
      <c r="BZ51" s="528" t="n"/>
      <c r="CA51" s="314">
        <f>BY51*BZ51</f>
        <v/>
      </c>
      <c r="CB51" s="528" t="n"/>
      <c r="CC51" s="528" t="n"/>
      <c r="CD51" s="528" t="n"/>
      <c r="CE51" s="314">
        <f>CC51*CD51</f>
        <v/>
      </c>
    </row>
    <row r="52" ht="15" customHeight="1" s="191" thickBot="1">
      <c r="A52" s="118" t="n">
        <v>7</v>
      </c>
      <c r="B52" s="113" t="inlineStr">
        <is>
          <t>a</t>
        </is>
      </c>
      <c r="C52" s="106" t="n">
        <v>0</v>
      </c>
      <c r="D52" s="116">
        <f>CONCATENATE(A$3,"_",A52,"_",B52,"_",C52)</f>
        <v/>
      </c>
      <c r="E52" s="85" t="inlineStr">
        <is>
          <t>7.Optymalizacja kosztów i zasobów. Analiza modeli AI/ML w celu optymalizacji:</t>
        </is>
      </c>
      <c r="F52" s="148" t="n"/>
      <c r="G52" s="148" t="n"/>
      <c r="H52" s="528" t="n"/>
      <c r="I52" s="148" t="n"/>
      <c r="J52" s="91">
        <f>M51</f>
        <v/>
      </c>
      <c r="K52" s="681">
        <f>VLOOKUP(J52,Kalendarz!B:E,4,FALSE)</f>
        <v/>
      </c>
      <c r="L52" s="681">
        <f>K52+N52</f>
        <v/>
      </c>
      <c r="M52" s="528">
        <f>J52+N52-1</f>
        <v/>
      </c>
      <c r="N52" s="474">
        <f>ROUND(MAX(AG52:AO52)/Listy!$U$2,0)</f>
        <v/>
      </c>
      <c r="O52" s="148" t="n"/>
      <c r="P52" s="148" t="n"/>
      <c r="Q52" s="148" t="n"/>
      <c r="R52" s="148" t="n"/>
      <c r="S52" s="148" t="n"/>
      <c r="T52" s="148" t="n"/>
      <c r="U52" s="148" t="n"/>
      <c r="V52" s="190" t="n"/>
      <c r="W52" s="148" t="n"/>
      <c r="X52" s="148" t="n"/>
      <c r="Y52" s="148" t="n"/>
      <c r="Z52" s="148" t="n"/>
      <c r="AA52" s="148" t="n"/>
      <c r="AB52" s="148" t="n"/>
      <c r="AC52" s="148" t="n"/>
      <c r="AD52" s="148" t="n"/>
      <c r="AE52" s="148" t="n"/>
      <c r="AF52" s="148" t="n"/>
      <c r="AG52" s="148" t="n"/>
      <c r="AH52" s="148" t="n"/>
      <c r="AI52" s="148" t="n"/>
      <c r="AJ52" s="148" t="n"/>
      <c r="AK52" s="148" t="n"/>
      <c r="AL52" s="148" t="n"/>
      <c r="AM52" s="148" t="n"/>
      <c r="AN52" s="148" t="n"/>
      <c r="AO52" s="148" t="n"/>
      <c r="AP52" s="148" t="n"/>
      <c r="AQ52" s="148" t="n"/>
      <c r="AR52" s="148" t="n"/>
      <c r="AS52" s="148" t="n"/>
      <c r="AT52" s="148" t="n"/>
      <c r="AU52" s="148" t="n"/>
      <c r="AV52" s="148" t="n"/>
      <c r="AW52" s="148" t="n"/>
      <c r="AX52" s="148" t="n"/>
      <c r="AY52" s="148" t="n"/>
      <c r="AZ52" s="148" t="n"/>
      <c r="BA52" s="148" t="n"/>
      <c r="BB52" s="148" t="n"/>
      <c r="BC52" s="148" t="n"/>
      <c r="BD52" s="148" t="n"/>
      <c r="BE52" s="148" t="n"/>
      <c r="BF52" s="148" t="n"/>
      <c r="BG52" s="148" t="n"/>
      <c r="BH52" s="148" t="n"/>
      <c r="BI52" s="148" t="n"/>
      <c r="BJ52" s="148" t="n"/>
      <c r="BK52" s="148" t="n"/>
      <c r="BL52" s="14">
        <f>BL53+BL54+BL55+BL56+BL57</f>
        <v/>
      </c>
      <c r="BM52" s="399" t="n"/>
      <c r="BN52" s="528" t="n"/>
      <c r="BO52" s="14">
        <f>BO53+BO54+BO55+BO56+BO57</f>
        <v/>
      </c>
      <c r="BP52" s="528" t="n"/>
      <c r="BQ52" s="528" t="n"/>
      <c r="BR52" s="14">
        <f>BR53+BR54+BR55+BR56+BR57</f>
        <v/>
      </c>
      <c r="BS52" s="14">
        <f>BS53+BS54+BS55+BS56+BS57</f>
        <v/>
      </c>
      <c r="BT52" s="528" t="n"/>
      <c r="BU52" s="528" t="n"/>
      <c r="BV52" s="528" t="n"/>
      <c r="BW52" s="14">
        <f>BW53+BW54+BW55+BW56+BW57</f>
        <v/>
      </c>
      <c r="BX52" s="528" t="n"/>
      <c r="BY52" s="528" t="n"/>
      <c r="BZ52" s="528" t="n"/>
      <c r="CA52" s="14">
        <f>CA53+CA54+CA55+CA56+CA57</f>
        <v/>
      </c>
      <c r="CB52" s="528" t="n"/>
      <c r="CC52" s="528" t="n"/>
      <c r="CD52" s="528" t="n"/>
      <c r="CE52" s="14">
        <f>CE53+CE54+CE55+CE56+CE57</f>
        <v/>
      </c>
      <c r="CF52" s="40">
        <f>AY52+BB52+BI52+BL52+BO52+BR52+BS52+BW52+CA52+CE52</f>
        <v/>
      </c>
    </row>
    <row r="53">
      <c r="A53" s="112" t="n">
        <v>7</v>
      </c>
      <c r="B53" s="113" t="inlineStr">
        <is>
          <t>a</t>
        </is>
      </c>
      <c r="C53" s="106" t="n">
        <v>1</v>
      </c>
      <c r="D53" s="116">
        <f>CONCATENATE(A$3,"_",A53,"_",B53,"_",C53)</f>
        <v/>
      </c>
      <c r="E53" s="122" t="inlineStr">
        <is>
          <t>kosztów operacyjnych</t>
        </is>
      </c>
      <c r="F53" s="528" t="n"/>
      <c r="G53" s="528" t="n"/>
      <c r="H53" s="140" t="n">
        <v>10</v>
      </c>
      <c r="I53" s="51" t="inlineStr">
        <is>
          <t>ACT</t>
        </is>
      </c>
      <c r="J53" s="91">
        <f>M52</f>
        <v/>
      </c>
      <c r="K53" s="681">
        <f>VLOOKUP(J53,Kalendarz!B:E,4,FALSE)</f>
        <v/>
      </c>
      <c r="L53" s="681">
        <f>K53+N53</f>
        <v/>
      </c>
      <c r="M53" s="528">
        <f>J53+N53-1</f>
        <v/>
      </c>
      <c r="N53" s="474" t="n">
        <v>2</v>
      </c>
      <c r="O53" s="528" t="n">
        <v>80</v>
      </c>
      <c r="P53" s="187" t="n">
        <v>1</v>
      </c>
      <c r="Q53" s="187" t="n">
        <v>0</v>
      </c>
      <c r="R53" s="187" t="n">
        <v>0</v>
      </c>
      <c r="S53" s="187" t="n">
        <v>0</v>
      </c>
      <c r="T53" s="187" t="n"/>
      <c r="U53" s="187" t="n"/>
      <c r="V53" s="187" t="n"/>
      <c r="W53" s="187" t="n"/>
      <c r="X53" s="187" t="n"/>
      <c r="Y53" s="243" t="n">
        <v>0</v>
      </c>
      <c r="Z53" s="243" t="n">
        <v>0</v>
      </c>
      <c r="AA53" s="243" t="n">
        <v>0</v>
      </c>
      <c r="AB53" s="243" t="n">
        <v>0</v>
      </c>
      <c r="AC53" s="300" t="n"/>
      <c r="AD53" s="300" t="n"/>
      <c r="AE53" s="300" t="n"/>
      <c r="AF53" s="300" t="n"/>
      <c r="AG53" s="297">
        <f>ROUND($O53*P53,0)</f>
        <v/>
      </c>
      <c r="AH53" s="297">
        <f>ROUND($O53*Q53,0)</f>
        <v/>
      </c>
      <c r="AI53" s="297">
        <f>ROUND($O53*R53,0)</f>
        <v/>
      </c>
      <c r="AJ53" s="297">
        <f>ROUND($O53*S53,0)</f>
        <v/>
      </c>
      <c r="AK53" s="297">
        <f>ROUND($O53*T53,0)</f>
        <v/>
      </c>
      <c r="AL53" s="297">
        <f>ROUND($O53*U53,0)</f>
        <v/>
      </c>
      <c r="AM53" s="297">
        <f>ROUND($O53*V53,0)</f>
        <v/>
      </c>
      <c r="AN53" s="297">
        <f>ROUND($O53*W53,0)</f>
        <v/>
      </c>
      <c r="AO53" s="297">
        <f>ROUND($O53*X53,0)</f>
        <v/>
      </c>
      <c r="AP53" s="298">
        <f>ROUND($O53*Y53,0)</f>
        <v/>
      </c>
      <c r="AQ53" s="298">
        <f>ROUND($O53*Z53,0)</f>
        <v/>
      </c>
      <c r="AR53" s="298">
        <f>ROUND($O53*AA53,0)</f>
        <v/>
      </c>
      <c r="AS53" s="298">
        <f>ROUND($O53*AB53,0)</f>
        <v/>
      </c>
      <c r="AT53" s="195" t="n"/>
      <c r="AU53" s="195" t="n"/>
      <c r="AV53" s="195" t="n"/>
      <c r="AW53" s="195" t="n"/>
      <c r="AX53" s="236">
        <f>SUM(AG53:AO53)</f>
        <v/>
      </c>
      <c r="AY53" s="528">
        <f>AX53/160</f>
        <v/>
      </c>
      <c r="AZ53" s="87">
        <f>VLOOKUP(I53,Listy!$A$1:$H$9,6,FALSE)</f>
        <v/>
      </c>
      <c r="BA53" s="682">
        <f>AY53*AZ53</f>
        <v/>
      </c>
      <c r="BB53" s="683">
        <f>AY53*BA53</f>
        <v/>
      </c>
      <c r="BC53" s="528" t="n"/>
      <c r="BD53" s="528" t="n"/>
      <c r="BE53" s="528" t="n"/>
      <c r="BF53" s="528" t="n"/>
      <c r="BG53" s="528" t="n"/>
      <c r="BH53" s="528" t="n"/>
      <c r="BI53" s="314">
        <f>BG53*BH53</f>
        <v/>
      </c>
      <c r="BJ53" s="528" t="n"/>
      <c r="BK53" s="51" t="n"/>
      <c r="BL53" s="21" t="n"/>
      <c r="BM53" s="399" t="n"/>
      <c r="BN53" s="528" t="n"/>
      <c r="BO53" s="21" t="n"/>
      <c r="BP53" s="528" t="n"/>
      <c r="BQ53" s="528" t="n"/>
      <c r="BR53" s="21" t="n"/>
      <c r="BS53" s="21" t="n"/>
      <c r="BT53" s="528" t="n"/>
      <c r="BU53" s="528" t="n"/>
      <c r="BV53" s="528" t="n"/>
      <c r="BW53" s="314">
        <f>BU53*BV53</f>
        <v/>
      </c>
      <c r="BX53" s="528" t="n"/>
      <c r="BY53" s="528" t="n"/>
      <c r="BZ53" s="528" t="n"/>
      <c r="CA53" s="314">
        <f>BY53*BZ53</f>
        <v/>
      </c>
      <c r="CB53" s="528" t="n"/>
      <c r="CC53" s="528" t="n"/>
      <c r="CD53" s="528" t="n"/>
      <c r="CE53" s="314">
        <f>CC53*CD53</f>
        <v/>
      </c>
    </row>
    <row r="54">
      <c r="A54" s="112" t="n">
        <v>7</v>
      </c>
      <c r="B54" s="113" t="inlineStr">
        <is>
          <t>b</t>
        </is>
      </c>
      <c r="C54" s="106" t="n">
        <v>1</v>
      </c>
      <c r="D54" s="116">
        <f>CONCATENATE(A$3,"_",A54,"_",B54,"_",C54)</f>
        <v/>
      </c>
      <c r="E54" s="122" t="inlineStr">
        <is>
          <t>czasu i efektywności PT</t>
        </is>
      </c>
      <c r="F54" s="528" t="n"/>
      <c r="G54" s="528" t="n"/>
      <c r="H54" s="140" t="n">
        <v>10</v>
      </c>
      <c r="I54" s="51" t="inlineStr">
        <is>
          <t>ACT</t>
        </is>
      </c>
      <c r="J54" s="91">
        <f>M53</f>
        <v/>
      </c>
      <c r="K54" s="681">
        <f>VLOOKUP(J54,Kalendarz!B:E,4,FALSE)</f>
        <v/>
      </c>
      <c r="L54" s="681">
        <f>K54+N54</f>
        <v/>
      </c>
      <c r="M54" s="528">
        <f>J54+N54-1</f>
        <v/>
      </c>
      <c r="N54" s="474" t="n">
        <v>0</v>
      </c>
      <c r="O54" s="528" t="n">
        <v>80</v>
      </c>
      <c r="P54" s="187" t="n">
        <v>0</v>
      </c>
      <c r="Q54" s="187" t="n">
        <v>1</v>
      </c>
      <c r="R54" s="187" t="n">
        <v>0</v>
      </c>
      <c r="S54" s="187" t="n">
        <v>0</v>
      </c>
      <c r="T54" s="187" t="n"/>
      <c r="U54" s="187" t="n"/>
      <c r="V54" s="187" t="n"/>
      <c r="W54" s="187" t="n"/>
      <c r="X54" s="187" t="n"/>
      <c r="Y54" s="243" t="n">
        <v>0</v>
      </c>
      <c r="Z54" s="243" t="n">
        <v>0</v>
      </c>
      <c r="AA54" s="243" t="n">
        <v>0</v>
      </c>
      <c r="AB54" s="243" t="n">
        <v>0</v>
      </c>
      <c r="AC54" s="300" t="n"/>
      <c r="AD54" s="300" t="n"/>
      <c r="AE54" s="300" t="n"/>
      <c r="AF54" s="300" t="n"/>
      <c r="AG54" s="297">
        <f>ROUND($O54*P54,0)</f>
        <v/>
      </c>
      <c r="AH54" s="297">
        <f>ROUND($O54*Q54,0)</f>
        <v/>
      </c>
      <c r="AI54" s="297">
        <f>ROUND($O54*R54,0)</f>
        <v/>
      </c>
      <c r="AJ54" s="297">
        <f>ROUND($O54*S54,0)</f>
        <v/>
      </c>
      <c r="AK54" s="297">
        <f>ROUND($O54*T54,0)</f>
        <v/>
      </c>
      <c r="AL54" s="297">
        <f>ROUND($O54*U54,0)</f>
        <v/>
      </c>
      <c r="AM54" s="297">
        <f>ROUND($O54*V54,0)</f>
        <v/>
      </c>
      <c r="AN54" s="297">
        <f>ROUND($O54*W54,0)</f>
        <v/>
      </c>
      <c r="AO54" s="297">
        <f>ROUND($O54*X54,0)</f>
        <v/>
      </c>
      <c r="AP54" s="298">
        <f>ROUND($O54*Y54,0)</f>
        <v/>
      </c>
      <c r="AQ54" s="298">
        <f>ROUND($O54*Z54,0)</f>
        <v/>
      </c>
      <c r="AR54" s="298">
        <f>ROUND($O54*AA54,0)</f>
        <v/>
      </c>
      <c r="AS54" s="298">
        <f>ROUND($O54*AB54,0)</f>
        <v/>
      </c>
      <c r="AT54" s="199" t="n"/>
      <c r="AU54" s="199" t="n"/>
      <c r="AV54" s="199" t="n"/>
      <c r="AW54" s="199" t="n"/>
      <c r="AX54" s="236">
        <f>SUM(AG54:AO54)</f>
        <v/>
      </c>
      <c r="AY54" s="528">
        <f>AX54/160</f>
        <v/>
      </c>
      <c r="AZ54" s="87">
        <f>VLOOKUP(I54,Listy!$A$1:$H$9,6,FALSE)</f>
        <v/>
      </c>
      <c r="BA54" s="682">
        <f>AY54*AZ54</f>
        <v/>
      </c>
      <c r="BB54" s="683">
        <f>AY54*BA54</f>
        <v/>
      </c>
      <c r="BC54" s="528" t="n"/>
      <c r="BD54" s="528" t="n"/>
      <c r="BE54" s="528" t="n"/>
      <c r="BF54" s="528" t="n"/>
      <c r="BG54" s="528" t="n"/>
      <c r="BH54" s="528" t="n"/>
      <c r="BI54" s="314">
        <f>BG54*BH54</f>
        <v/>
      </c>
      <c r="BJ54" s="528" t="n"/>
      <c r="BK54" s="51" t="n"/>
      <c r="BL54" s="528" t="n"/>
      <c r="BM54" s="399" t="n"/>
      <c r="BN54" s="528" t="n"/>
      <c r="BO54" s="528" t="n"/>
      <c r="BP54" s="528" t="n"/>
      <c r="BQ54" s="528" t="n"/>
      <c r="BR54" s="528" t="n"/>
      <c r="BS54" s="528" t="n"/>
      <c r="BT54" s="528" t="n"/>
      <c r="BU54" s="528" t="n"/>
      <c r="BV54" s="528" t="n"/>
      <c r="BW54" s="314">
        <f>BU54*BV54</f>
        <v/>
      </c>
      <c r="BX54" s="528" t="n"/>
      <c r="BY54" s="528" t="n"/>
      <c r="BZ54" s="528" t="n"/>
      <c r="CA54" s="314">
        <f>BY54*BZ54</f>
        <v/>
      </c>
      <c r="CB54" s="528" t="n"/>
      <c r="CC54" s="528" t="n"/>
      <c r="CD54" s="528" t="n"/>
      <c r="CE54" s="314">
        <f>CC54*CD54</f>
        <v/>
      </c>
    </row>
    <row r="55">
      <c r="A55" s="112" t="n">
        <v>7</v>
      </c>
      <c r="B55" s="113" t="inlineStr">
        <is>
          <t>c</t>
        </is>
      </c>
      <c r="C55" s="106" t="n">
        <v>1</v>
      </c>
      <c r="D55" s="116">
        <f>CONCATENATE(A$3,"_",A55,"_",B55,"_",C55)</f>
        <v/>
      </c>
      <c r="E55" s="122" t="inlineStr">
        <is>
          <t>efektywności pracy pracowników</t>
        </is>
      </c>
      <c r="F55" s="528" t="n"/>
      <c r="G55" s="528" t="n"/>
      <c r="H55" s="140" t="n">
        <v>10</v>
      </c>
      <c r="I55" s="51" t="inlineStr">
        <is>
          <t>ACT</t>
        </is>
      </c>
      <c r="J55" s="91">
        <f>M54</f>
        <v/>
      </c>
      <c r="K55" s="681">
        <f>VLOOKUP(J55,Kalendarz!B:E,4,FALSE)</f>
        <v/>
      </c>
      <c r="L55" s="681">
        <f>K55+N55</f>
        <v/>
      </c>
      <c r="M55" s="528">
        <f>J55+N55-1</f>
        <v/>
      </c>
      <c r="N55" s="474" t="n">
        <v>2</v>
      </c>
      <c r="O55" s="528" t="n">
        <v>120</v>
      </c>
      <c r="P55" s="187" t="n">
        <v>0.5</v>
      </c>
      <c r="Q55" s="187" t="n">
        <v>0</v>
      </c>
      <c r="R55" s="187" t="n">
        <v>0.5</v>
      </c>
      <c r="S55" s="187" t="n">
        <v>0</v>
      </c>
      <c r="T55" s="187" t="n"/>
      <c r="U55" s="187" t="n"/>
      <c r="V55" s="187" t="n"/>
      <c r="W55" s="187" t="n"/>
      <c r="X55" s="187" t="n"/>
      <c r="Y55" s="243" t="n">
        <v>0</v>
      </c>
      <c r="Z55" s="243" t="n">
        <v>0</v>
      </c>
      <c r="AA55" s="243" t="n">
        <v>0</v>
      </c>
      <c r="AB55" s="243" t="n">
        <v>0</v>
      </c>
      <c r="AC55" s="300" t="n"/>
      <c r="AD55" s="300" t="n"/>
      <c r="AE55" s="300" t="n"/>
      <c r="AF55" s="300" t="n"/>
      <c r="AG55" s="297">
        <f>ROUND($O55*P55,0)</f>
        <v/>
      </c>
      <c r="AH55" s="297">
        <f>ROUND($O55*Q55,0)</f>
        <v/>
      </c>
      <c r="AI55" s="297">
        <f>ROUND($O55*R55,0)</f>
        <v/>
      </c>
      <c r="AJ55" s="297">
        <f>ROUND($O55*S55,0)</f>
        <v/>
      </c>
      <c r="AK55" s="297">
        <f>ROUND($O55*T55,0)</f>
        <v/>
      </c>
      <c r="AL55" s="297">
        <f>ROUND($O55*U55,0)</f>
        <v/>
      </c>
      <c r="AM55" s="297">
        <f>ROUND($O55*V55,0)</f>
        <v/>
      </c>
      <c r="AN55" s="297">
        <f>ROUND($O55*W55,0)</f>
        <v/>
      </c>
      <c r="AO55" s="297">
        <f>ROUND($O55*X55,0)</f>
        <v/>
      </c>
      <c r="AP55" s="298">
        <f>ROUND($O55*Y55,0)</f>
        <v/>
      </c>
      <c r="AQ55" s="298">
        <f>ROUND($O55*Z55,0)</f>
        <v/>
      </c>
      <c r="AR55" s="298">
        <f>ROUND($O55*AA55,0)</f>
        <v/>
      </c>
      <c r="AS55" s="298">
        <f>ROUND($O55*AB55,0)</f>
        <v/>
      </c>
      <c r="AT55" s="195" t="n"/>
      <c r="AU55" s="195" t="n"/>
      <c r="AV55" s="195" t="n"/>
      <c r="AW55" s="195" t="n"/>
      <c r="AX55" s="236">
        <f>SUM(AG55:AO55)</f>
        <v/>
      </c>
      <c r="AY55" s="528">
        <f>AX55/160</f>
        <v/>
      </c>
      <c r="AZ55" s="87">
        <f>VLOOKUP(I55,Listy!$A$1:$H$9,6,FALSE)</f>
        <v/>
      </c>
      <c r="BA55" s="682">
        <f>AY55*AZ55</f>
        <v/>
      </c>
      <c r="BB55" s="683">
        <f>AY55*BA55</f>
        <v/>
      </c>
      <c r="BC55" s="528" t="n"/>
      <c r="BD55" s="528" t="n"/>
      <c r="BE55" s="528" t="n"/>
      <c r="BF55" s="528" t="n"/>
      <c r="BG55" s="528" t="n"/>
      <c r="BH55" s="528" t="n"/>
      <c r="BI55" s="314">
        <f>BG55*BH55</f>
        <v/>
      </c>
      <c r="BJ55" s="528" t="n"/>
      <c r="BK55" s="51" t="n"/>
      <c r="BL55" s="528" t="n"/>
      <c r="BM55" s="399" t="n"/>
      <c r="BN55" s="528" t="n"/>
      <c r="BO55" s="528" t="n"/>
      <c r="BP55" s="528" t="n"/>
      <c r="BQ55" s="528" t="n"/>
      <c r="BR55" s="528" t="n"/>
      <c r="BS55" s="528" t="n"/>
      <c r="BT55" s="528" t="n"/>
      <c r="BU55" s="528" t="n"/>
      <c r="BV55" s="528" t="n"/>
      <c r="BW55" s="314">
        <f>BU55*BV55</f>
        <v/>
      </c>
      <c r="BX55" s="528" t="n"/>
      <c r="BY55" s="528" t="n"/>
      <c r="BZ55" s="528" t="n"/>
      <c r="CA55" s="314">
        <f>BY55*BZ55</f>
        <v/>
      </c>
      <c r="CB55" s="528" t="n"/>
      <c r="CC55" s="528" t="n"/>
      <c r="CD55" s="528" t="n"/>
      <c r="CE55" s="314">
        <f>CC55*CD55</f>
        <v/>
      </c>
    </row>
    <row r="56">
      <c r="A56" s="112" t="n">
        <v>7</v>
      </c>
      <c r="B56" s="113" t="inlineStr">
        <is>
          <t>d</t>
        </is>
      </c>
      <c r="C56" s="106" t="n">
        <v>1</v>
      </c>
      <c r="D56" s="116">
        <f>CONCATENATE(A$3,"_",A56,"_",B56,"_",C56)</f>
        <v/>
      </c>
      <c r="E56" s="122" t="inlineStr">
        <is>
          <t>zarządzania zasobami ludzkimi</t>
        </is>
      </c>
      <c r="F56" s="528" t="n"/>
      <c r="G56" s="528" t="n"/>
      <c r="H56" s="140" t="n">
        <v>10</v>
      </c>
      <c r="I56" s="51" t="inlineStr">
        <is>
          <t>ACT</t>
        </is>
      </c>
      <c r="J56" s="91">
        <f>M55</f>
        <v/>
      </c>
      <c r="K56" s="681">
        <f>VLOOKUP(J56,Kalendarz!B:E,4,FALSE)</f>
        <v/>
      </c>
      <c r="L56" s="681">
        <f>K56+N56</f>
        <v/>
      </c>
      <c r="M56" s="528">
        <f>J56+N56-1</f>
        <v/>
      </c>
      <c r="N56" s="474" t="n">
        <v>0</v>
      </c>
      <c r="O56" s="528" t="n">
        <v>120</v>
      </c>
      <c r="P56" s="187" t="n">
        <v>0</v>
      </c>
      <c r="Q56" s="187" t="n">
        <v>0.5</v>
      </c>
      <c r="R56" s="187" t="n">
        <v>0</v>
      </c>
      <c r="S56" s="187" t="n">
        <v>0.5</v>
      </c>
      <c r="T56" s="187" t="n"/>
      <c r="U56" s="187" t="n"/>
      <c r="V56" s="187" t="n"/>
      <c r="W56" s="187" t="n"/>
      <c r="X56" s="187" t="n"/>
      <c r="Y56" s="243" t="n">
        <v>0</v>
      </c>
      <c r="Z56" s="243" t="n">
        <v>0</v>
      </c>
      <c r="AA56" s="243" t="n">
        <v>0</v>
      </c>
      <c r="AB56" s="243" t="n">
        <v>0</v>
      </c>
      <c r="AC56" s="300" t="n"/>
      <c r="AD56" s="300" t="n"/>
      <c r="AE56" s="300" t="n"/>
      <c r="AF56" s="300" t="n"/>
      <c r="AG56" s="297">
        <f>ROUND($O56*P56,0)</f>
        <v/>
      </c>
      <c r="AH56" s="297">
        <f>ROUND($O56*Q56,0)</f>
        <v/>
      </c>
      <c r="AI56" s="297">
        <f>ROUND($O56*R56,0)</f>
        <v/>
      </c>
      <c r="AJ56" s="297">
        <f>ROUND($O56*S56,0)</f>
        <v/>
      </c>
      <c r="AK56" s="297">
        <f>ROUND($O56*T56,0)</f>
        <v/>
      </c>
      <c r="AL56" s="297">
        <f>ROUND($O56*U56,0)</f>
        <v/>
      </c>
      <c r="AM56" s="297">
        <f>ROUND($O56*V56,0)</f>
        <v/>
      </c>
      <c r="AN56" s="297">
        <f>ROUND($O56*W56,0)</f>
        <v/>
      </c>
      <c r="AO56" s="297">
        <f>ROUND($O56*X56,0)</f>
        <v/>
      </c>
      <c r="AP56" s="298">
        <f>ROUND($O56*Y56,0)</f>
        <v/>
      </c>
      <c r="AQ56" s="298">
        <f>ROUND($O56*Z56,0)</f>
        <v/>
      </c>
      <c r="AR56" s="298">
        <f>ROUND($O56*AA56,0)</f>
        <v/>
      </c>
      <c r="AS56" s="298">
        <f>ROUND($O56*AB56,0)</f>
        <v/>
      </c>
      <c r="AT56" s="195" t="n"/>
      <c r="AU56" s="195" t="n"/>
      <c r="AV56" s="195" t="n"/>
      <c r="AW56" s="195" t="n"/>
      <c r="AX56" s="236">
        <f>SUM(AG56:AO56)</f>
        <v/>
      </c>
      <c r="AY56" s="528">
        <f>AX56/160</f>
        <v/>
      </c>
      <c r="AZ56" s="87">
        <f>VLOOKUP(I56,Listy!$A$1:$H$9,6,FALSE)</f>
        <v/>
      </c>
      <c r="BA56" s="682">
        <f>AY56*AZ56</f>
        <v/>
      </c>
      <c r="BB56" s="683">
        <f>AY56*BA56</f>
        <v/>
      </c>
      <c r="BC56" s="528" t="n"/>
      <c r="BD56" s="528" t="n"/>
      <c r="BE56" s="528" t="n"/>
      <c r="BF56" s="528" t="n"/>
      <c r="BG56" s="528" t="n"/>
      <c r="BH56" s="528" t="n"/>
      <c r="BI56" s="314">
        <f>BG56*BH56</f>
        <v/>
      </c>
      <c r="BJ56" s="528" t="n"/>
      <c r="BK56" s="51" t="n"/>
      <c r="BL56" s="528" t="n"/>
      <c r="BM56" s="399" t="n"/>
      <c r="BN56" s="528" t="n"/>
      <c r="BO56" s="528" t="n"/>
      <c r="BP56" s="528" t="n"/>
      <c r="BQ56" s="528" t="n"/>
      <c r="BR56" s="528" t="n"/>
      <c r="BS56" s="528" t="n"/>
      <c r="BT56" s="528" t="n"/>
      <c r="BU56" s="528" t="n"/>
      <c r="BV56" s="528" t="n"/>
      <c r="BW56" s="314">
        <f>BU56*BV56</f>
        <v/>
      </c>
      <c r="BX56" s="528" t="n"/>
      <c r="BY56" s="528" t="n"/>
      <c r="BZ56" s="528" t="n"/>
      <c r="CA56" s="314">
        <f>BY56*BZ56</f>
        <v/>
      </c>
      <c r="CB56" s="528" t="n"/>
      <c r="CC56" s="528" t="n"/>
      <c r="CD56" s="528" t="n"/>
      <c r="CE56" s="314">
        <f>CC56*CD56</f>
        <v/>
      </c>
    </row>
    <row r="57" ht="15" customHeight="1" s="191" thickBot="1">
      <c r="A57" s="112" t="n">
        <v>7</v>
      </c>
      <c r="B57" s="113" t="inlineStr">
        <is>
          <t>e</t>
        </is>
      </c>
      <c r="C57" s="106" t="n">
        <v>1</v>
      </c>
      <c r="D57" s="116">
        <f>CONCATENATE(A$3,"_",A57,"_",B57,"_",C57)</f>
        <v/>
      </c>
      <c r="E57" s="122" t="inlineStr">
        <is>
          <t xml:space="preserve">ułożenia towarów w opakowaniach </t>
        </is>
      </c>
      <c r="F57" s="528" t="n"/>
      <c r="G57" s="528" t="n"/>
      <c r="H57" s="140" t="n">
        <v>10</v>
      </c>
      <c r="I57" s="51" t="inlineStr">
        <is>
          <t>ACT</t>
        </is>
      </c>
      <c r="J57" s="91">
        <f>M56</f>
        <v/>
      </c>
      <c r="K57" s="681">
        <f>VLOOKUP(J57,Kalendarz!B:E,4,FALSE)</f>
        <v/>
      </c>
      <c r="L57" s="681">
        <f>K57+N57</f>
        <v/>
      </c>
      <c r="M57" s="528">
        <f>J57+N57-1</f>
        <v/>
      </c>
      <c r="N57" s="474" t="n">
        <v>1</v>
      </c>
      <c r="O57" s="528" t="n">
        <v>80</v>
      </c>
      <c r="P57" s="187" t="n">
        <v>0</v>
      </c>
      <c r="Q57" s="187" t="n">
        <v>0</v>
      </c>
      <c r="R57" s="187" t="n">
        <v>0.5</v>
      </c>
      <c r="S57" s="187" t="n">
        <v>0.5</v>
      </c>
      <c r="T57" s="187" t="n"/>
      <c r="U57" s="187" t="n"/>
      <c r="V57" s="187" t="n"/>
      <c r="W57" s="187" t="n"/>
      <c r="X57" s="187" t="n"/>
      <c r="Y57" s="243" t="n">
        <v>0</v>
      </c>
      <c r="Z57" s="243" t="n">
        <v>0</v>
      </c>
      <c r="AA57" s="243" t="n">
        <v>0</v>
      </c>
      <c r="AB57" s="243" t="n">
        <v>0</v>
      </c>
      <c r="AC57" s="300" t="n"/>
      <c r="AD57" s="300" t="n"/>
      <c r="AE57" s="300" t="n"/>
      <c r="AF57" s="300" t="n"/>
      <c r="AG57" s="297">
        <f>ROUND($O57*P57,0)</f>
        <v/>
      </c>
      <c r="AH57" s="297">
        <f>ROUND($O57*Q57,0)</f>
        <v/>
      </c>
      <c r="AI57" s="297">
        <f>ROUND($O57*R57,0)</f>
        <v/>
      </c>
      <c r="AJ57" s="297">
        <f>ROUND($O57*S57,0)</f>
        <v/>
      </c>
      <c r="AK57" s="297">
        <f>ROUND($O57*T57,0)</f>
        <v/>
      </c>
      <c r="AL57" s="297">
        <f>ROUND($O57*U57,0)</f>
        <v/>
      </c>
      <c r="AM57" s="297">
        <f>ROUND($O57*V57,0)</f>
        <v/>
      </c>
      <c r="AN57" s="297">
        <f>ROUND($O57*W57,0)</f>
        <v/>
      </c>
      <c r="AO57" s="297">
        <f>ROUND($O57*X57,0)</f>
        <v/>
      </c>
      <c r="AP57" s="298">
        <f>ROUND($O57*Y57,0)</f>
        <v/>
      </c>
      <c r="AQ57" s="298">
        <f>ROUND($O57*Z57,0)</f>
        <v/>
      </c>
      <c r="AR57" s="298">
        <f>ROUND($O57*AA57,0)</f>
        <v/>
      </c>
      <c r="AS57" s="298">
        <f>ROUND($O57*AB57,0)</f>
        <v/>
      </c>
      <c r="AT57" s="195" t="n"/>
      <c r="AU57" s="195" t="n"/>
      <c r="AV57" s="195" t="n"/>
      <c r="AW57" s="195" t="n"/>
      <c r="AX57" s="236">
        <f>SUM(AG57:AO57)</f>
        <v/>
      </c>
      <c r="AY57" s="528">
        <f>AX57/160</f>
        <v/>
      </c>
      <c r="AZ57" s="87">
        <f>VLOOKUP(I57,Listy!$A$1:$H$9,6,FALSE)</f>
        <v/>
      </c>
      <c r="BA57" s="682">
        <f>AY57*AZ57</f>
        <v/>
      </c>
      <c r="BB57" s="683">
        <f>AY57*BA57</f>
        <v/>
      </c>
      <c r="BC57" s="528" t="n"/>
      <c r="BD57" s="528" t="n"/>
      <c r="BE57" s="528" t="n"/>
      <c r="BF57" s="528" t="n"/>
      <c r="BG57" s="528" t="n"/>
      <c r="BH57" s="528" t="n"/>
      <c r="BI57" s="314">
        <f>BG57*BH57</f>
        <v/>
      </c>
      <c r="BJ57" s="528" t="n"/>
      <c r="BK57" s="51" t="n"/>
      <c r="BL57" s="528" t="n"/>
      <c r="BM57" s="399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314">
        <f>BU57*BV57</f>
        <v/>
      </c>
      <c r="BX57" s="528" t="n"/>
      <c r="BY57" s="528" t="n"/>
      <c r="BZ57" s="528" t="n"/>
      <c r="CA57" s="314">
        <f>BY57*BZ57</f>
        <v/>
      </c>
      <c r="CB57" s="528" t="n"/>
      <c r="CC57" s="528" t="n"/>
      <c r="CD57" s="528" t="n"/>
      <c r="CE57" s="314">
        <f>CC57*CD57</f>
        <v/>
      </c>
    </row>
    <row r="58" ht="15" customHeight="1" s="191" thickBot="1">
      <c r="A58" s="108" t="n">
        <v>8</v>
      </c>
      <c r="B58" s="113" t="inlineStr">
        <is>
          <t>a</t>
        </is>
      </c>
      <c r="C58" s="106" t="n">
        <v>0</v>
      </c>
      <c r="D58" s="116">
        <f>CONCATENATE(A$3,"_",A58,"_",B58,"_",C58)</f>
        <v/>
      </c>
      <c r="E58" s="119" t="inlineStr">
        <is>
          <t xml:space="preserve">8.Zarządzanie bezpieczeństwem i niezawodnością systemu. Opracowanie mechanizmów/narzędzi: </t>
        </is>
      </c>
      <c r="F58" s="148" t="n"/>
      <c r="G58" s="148" t="n"/>
      <c r="H58" s="46" t="n"/>
      <c r="I58" s="148" t="n"/>
      <c r="J58" s="91">
        <f>M57</f>
        <v/>
      </c>
      <c r="K58" s="681">
        <f>VLOOKUP(J58,Kalendarz!B:E,4,FALSE)</f>
        <v/>
      </c>
      <c r="L58" s="681">
        <f>K58+N58</f>
        <v/>
      </c>
      <c r="M58" s="528">
        <f>J58+N58-1</f>
        <v/>
      </c>
      <c r="N58" s="474">
        <f>ROUND(MAX(AG58:AO58)/Listy!$U$2,0)</f>
        <v/>
      </c>
      <c r="O58" s="148" t="n"/>
      <c r="P58" s="148" t="n"/>
      <c r="Q58" s="148" t="n"/>
      <c r="R58" s="148" t="n"/>
      <c r="S58" s="148" t="n"/>
      <c r="T58" s="148" t="n"/>
      <c r="U58" s="148" t="n"/>
      <c r="V58" s="190" t="n"/>
      <c r="W58" s="148" t="n"/>
      <c r="X58" s="148" t="n"/>
      <c r="Y58" s="148" t="n"/>
      <c r="Z58" s="148" t="n"/>
      <c r="AA58" s="148" t="n"/>
      <c r="AB58" s="148" t="n"/>
      <c r="AC58" s="148" t="n"/>
      <c r="AD58" s="148" t="n"/>
      <c r="AE58" s="148" t="n"/>
      <c r="AF58" s="148" t="n"/>
      <c r="AG58" s="148" t="n"/>
      <c r="AH58" s="148" t="n"/>
      <c r="AI58" s="148" t="n"/>
      <c r="AJ58" s="148" t="n"/>
      <c r="AK58" s="148" t="n"/>
      <c r="AL58" s="148" t="n"/>
      <c r="AM58" s="148" t="n"/>
      <c r="AN58" s="148" t="n"/>
      <c r="AO58" s="148" t="n"/>
      <c r="AP58" s="148" t="n"/>
      <c r="AQ58" s="148" t="n"/>
      <c r="AR58" s="148" t="n"/>
      <c r="AS58" s="148" t="n"/>
      <c r="AT58" s="148" t="n"/>
      <c r="AU58" s="148" t="n"/>
      <c r="AV58" s="148" t="n"/>
      <c r="AW58" s="148" t="n"/>
      <c r="AX58" s="148" t="n"/>
      <c r="AY58" s="148" t="n"/>
      <c r="AZ58" s="148" t="n"/>
      <c r="BA58" s="148" t="n"/>
      <c r="BB58" s="148" t="n"/>
      <c r="BC58" s="148" t="n"/>
      <c r="BD58" s="148" t="n"/>
      <c r="BE58" s="148" t="n"/>
      <c r="BF58" s="148" t="n"/>
      <c r="BG58" s="148" t="n"/>
      <c r="BH58" s="148" t="n"/>
      <c r="BI58" s="148" t="n"/>
      <c r="BJ58" s="148" t="n"/>
      <c r="BK58" s="148" t="n"/>
      <c r="BL58" s="14">
        <f>BL59+BL60+BL61+#REF!</f>
        <v/>
      </c>
      <c r="BM58" s="399" t="n"/>
      <c r="BN58" s="528" t="n"/>
      <c r="BO58" s="14">
        <f>BO59+BO60+BO61+#REF!</f>
        <v/>
      </c>
      <c r="BP58" s="528" t="n"/>
      <c r="BQ58" s="528" t="n"/>
      <c r="BR58" s="14">
        <f>BR59+BR60+BR61+#REF!</f>
        <v/>
      </c>
      <c r="BS58" s="14">
        <f>BS59+BS60+BS61+#REF!</f>
        <v/>
      </c>
      <c r="BT58" s="528" t="n"/>
      <c r="BU58" s="528" t="n"/>
      <c r="BV58" s="528" t="n"/>
      <c r="BW58" s="14">
        <f>BW59+BW60+BW61+#REF!</f>
        <v/>
      </c>
      <c r="BX58" s="528" t="n"/>
      <c r="BY58" s="528" t="n"/>
      <c r="BZ58" s="528" t="n"/>
      <c r="CA58" s="14">
        <f>CA59+CA60+CA61+#REF!</f>
        <v/>
      </c>
      <c r="CB58" s="528" t="n"/>
      <c r="CC58" s="528" t="n"/>
      <c r="CD58" s="528" t="n"/>
      <c r="CE58" s="14">
        <f>CE59+CE60+CE61+#REF!</f>
        <v/>
      </c>
      <c r="CF58" s="40">
        <f>AY58+BB58+BI58+BL58+BO58+BR58+BS58+BW58+CA58+CE58</f>
        <v/>
      </c>
    </row>
    <row r="59">
      <c r="A59" s="113" t="n">
        <v>8</v>
      </c>
      <c r="B59" s="113" t="inlineStr">
        <is>
          <t>a</t>
        </is>
      </c>
      <c r="C59" s="106" t="n">
        <v>1</v>
      </c>
      <c r="D59" s="116">
        <f>CONCATENATE(A$3,"_",A59,"_",B59,"_",C59)</f>
        <v/>
      </c>
      <c r="E59" s="123" t="inlineStr">
        <is>
          <t xml:space="preserve">zabezpieczenia danych procesowanych przez AI/ML przed cyberatakami  </t>
        </is>
      </c>
      <c r="F59" s="46" t="n"/>
      <c r="G59" s="46" t="n"/>
      <c r="H59" s="133" t="n">
        <v>8</v>
      </c>
      <c r="I59" s="100" t="inlineStr">
        <is>
          <t>ACT</t>
        </is>
      </c>
      <c r="J59" s="91">
        <f>M58</f>
        <v/>
      </c>
      <c r="K59" s="681">
        <f>VLOOKUP(J59,Kalendarz!B:E,4,FALSE)</f>
        <v/>
      </c>
      <c r="L59" s="681">
        <f>K59+N59</f>
        <v/>
      </c>
      <c r="M59" s="528">
        <f>J59+N59-1</f>
        <v/>
      </c>
      <c r="N59" s="474" t="n">
        <v>1</v>
      </c>
      <c r="O59" s="528" t="n">
        <v>160</v>
      </c>
      <c r="P59" s="187" t="n">
        <v>0</v>
      </c>
      <c r="Q59" s="187" t="n">
        <v>0.25</v>
      </c>
      <c r="R59" s="187" t="n">
        <v>0</v>
      </c>
      <c r="S59" s="187" t="n">
        <v>0.25</v>
      </c>
      <c r="T59" s="187" t="n"/>
      <c r="U59" s="187" t="n"/>
      <c r="V59" s="187" t="n"/>
      <c r="W59" s="187" t="n"/>
      <c r="X59" s="187" t="n"/>
      <c r="Y59" s="243" t="n">
        <v>0</v>
      </c>
      <c r="Z59" s="243" t="n">
        <v>0</v>
      </c>
      <c r="AA59" s="243" t="n">
        <v>0</v>
      </c>
      <c r="AB59" s="243" t="n">
        <v>0.5</v>
      </c>
      <c r="AC59" s="300" t="n"/>
      <c r="AD59" s="300" t="n"/>
      <c r="AE59" s="300" t="n"/>
      <c r="AF59" s="300" t="n"/>
      <c r="AG59" s="297">
        <f>ROUND($O59*P59,0)</f>
        <v/>
      </c>
      <c r="AH59" s="297">
        <f>ROUND($O59*Q59,0)</f>
        <v/>
      </c>
      <c r="AI59" s="297">
        <f>ROUND($O59*R59,0)</f>
        <v/>
      </c>
      <c r="AJ59" s="297">
        <f>ROUND($O59*S59,0)</f>
        <v/>
      </c>
      <c r="AK59" s="297">
        <f>ROUND($O59*T59,0)</f>
        <v/>
      </c>
      <c r="AL59" s="297">
        <f>ROUND($O59*U59,0)</f>
        <v/>
      </c>
      <c r="AM59" s="297">
        <f>ROUND($O59*V59,0)</f>
        <v/>
      </c>
      <c r="AN59" s="297">
        <f>ROUND($O59*W59,0)</f>
        <v/>
      </c>
      <c r="AO59" s="297">
        <f>ROUND($O59*X59,0)</f>
        <v/>
      </c>
      <c r="AP59" s="298">
        <f>ROUND($O59*Y59,0)</f>
        <v/>
      </c>
      <c r="AQ59" s="298">
        <f>ROUND($O59*Z59,0)</f>
        <v/>
      </c>
      <c r="AR59" s="298">
        <f>ROUND($O59*AA59,0)</f>
        <v/>
      </c>
      <c r="AS59" s="298">
        <f>ROUND($O59*AB59,0)</f>
        <v/>
      </c>
      <c r="AT59" s="195" t="n"/>
      <c r="AU59" s="195" t="n"/>
      <c r="AV59" s="195" t="n"/>
      <c r="AW59" s="195" t="n"/>
      <c r="AX59" s="236">
        <f>SUM(AG59:AO59)</f>
        <v/>
      </c>
      <c r="AY59" s="528">
        <f>AX59/160</f>
        <v/>
      </c>
      <c r="AZ59" s="87">
        <f>VLOOKUP(I59,Listy!$A$1:$H$9,6,FALSE)</f>
        <v/>
      </c>
      <c r="BA59" s="682">
        <f>AY59*AZ59</f>
        <v/>
      </c>
      <c r="BB59" s="683">
        <f>AY59*BA59</f>
        <v/>
      </c>
      <c r="BC59" s="528" t="n"/>
      <c r="BD59" s="528" t="n"/>
      <c r="BE59" s="528" t="n"/>
      <c r="BF59" s="528" t="n"/>
      <c r="BG59" s="528" t="n"/>
      <c r="BH59" s="528" t="n"/>
      <c r="BI59" s="314">
        <f>BG59*BH59</f>
        <v/>
      </c>
      <c r="BJ59" s="528" t="n"/>
      <c r="BK59" s="51" t="n"/>
      <c r="BL59" s="21" t="n"/>
      <c r="BM59" s="399" t="n"/>
      <c r="BN59" s="528" t="n"/>
      <c r="BO59" s="21" t="n"/>
      <c r="BP59" s="528" t="n"/>
      <c r="BQ59" s="528" t="n"/>
      <c r="BR59" s="21" t="n"/>
      <c r="BS59" s="21" t="n"/>
      <c r="BT59" s="528" t="n"/>
      <c r="BU59" s="528" t="n"/>
      <c r="BV59" s="528" t="n"/>
      <c r="BW59" s="314">
        <f>BU59*BV59</f>
        <v/>
      </c>
      <c r="BX59" s="528" t="n"/>
      <c r="BY59" s="528" t="n"/>
      <c r="BZ59" s="528" t="n"/>
      <c r="CA59" s="314">
        <f>BY59*BZ59</f>
        <v/>
      </c>
      <c r="CB59" s="528" t="n"/>
      <c r="CC59" s="528" t="n"/>
      <c r="CD59" s="528" t="n"/>
      <c r="CE59" s="314">
        <f>CC59*CD59</f>
        <v/>
      </c>
    </row>
    <row r="60">
      <c r="A60" s="113" t="n">
        <v>8</v>
      </c>
      <c r="B60" s="113" t="inlineStr">
        <is>
          <t>b</t>
        </is>
      </c>
      <c r="C60" s="106" t="n">
        <v>1</v>
      </c>
      <c r="D60" s="116">
        <f>CONCATENATE(A$3,"_",A60,"_",B60,"_",C60)</f>
        <v/>
      </c>
      <c r="E60" s="123" t="inlineStr">
        <is>
          <t>monitorowania wydajności i niezawodności, testy awaryjne</t>
        </is>
      </c>
      <c r="F60" s="46" t="n"/>
      <c r="G60" s="46" t="n"/>
      <c r="H60" s="133" t="n">
        <v>9</v>
      </c>
      <c r="I60" s="100" t="inlineStr">
        <is>
          <t>ACT</t>
        </is>
      </c>
      <c r="J60" s="91">
        <f>M59</f>
        <v/>
      </c>
      <c r="K60" s="681">
        <f>VLOOKUP(J60,Kalendarz!B:E,4,FALSE)</f>
        <v/>
      </c>
      <c r="L60" s="681">
        <f>K60+N60</f>
        <v/>
      </c>
      <c r="M60" s="528">
        <f>J60+N60-1</f>
        <v/>
      </c>
      <c r="N60" s="474" t="n">
        <v>0</v>
      </c>
      <c r="O60" s="528" t="n">
        <v>160</v>
      </c>
      <c r="P60" s="187" t="n">
        <v>0.25</v>
      </c>
      <c r="Q60" s="187" t="n">
        <v>0</v>
      </c>
      <c r="R60" s="187" t="n">
        <v>0.25</v>
      </c>
      <c r="S60" s="187" t="n">
        <v>0</v>
      </c>
      <c r="T60" s="187" t="n"/>
      <c r="U60" s="187" t="n"/>
      <c r="V60" s="187" t="n"/>
      <c r="W60" s="187" t="n"/>
      <c r="X60" s="187" t="n"/>
      <c r="Y60" s="243" t="n">
        <v>0</v>
      </c>
      <c r="Z60" s="243" t="n">
        <v>0</v>
      </c>
      <c r="AA60" s="243" t="n">
        <v>0</v>
      </c>
      <c r="AB60" s="243" t="n">
        <v>0.5</v>
      </c>
      <c r="AC60" s="300" t="n"/>
      <c r="AD60" s="300" t="n"/>
      <c r="AE60" s="300" t="n"/>
      <c r="AF60" s="300" t="n"/>
      <c r="AG60" s="297">
        <f>ROUND($O60*P60,0)</f>
        <v/>
      </c>
      <c r="AH60" s="297">
        <f>ROUND($O60*Q60,0)</f>
        <v/>
      </c>
      <c r="AI60" s="297">
        <f>ROUND($O60*R60,0)</f>
        <v/>
      </c>
      <c r="AJ60" s="297">
        <f>ROUND($O60*S60,0)</f>
        <v/>
      </c>
      <c r="AK60" s="297">
        <f>ROUND($O60*T60,0)</f>
        <v/>
      </c>
      <c r="AL60" s="297">
        <f>ROUND($O60*U60,0)</f>
        <v/>
      </c>
      <c r="AM60" s="297">
        <f>ROUND($O60*V60,0)</f>
        <v/>
      </c>
      <c r="AN60" s="297">
        <f>ROUND($O60*W60,0)</f>
        <v/>
      </c>
      <c r="AO60" s="297">
        <f>ROUND($O60*X60,0)</f>
        <v/>
      </c>
      <c r="AP60" s="298">
        <f>ROUND($O60*Y60,0)</f>
        <v/>
      </c>
      <c r="AQ60" s="298">
        <f>ROUND($O60*Z60,0)</f>
        <v/>
      </c>
      <c r="AR60" s="298">
        <f>ROUND($O60*AA60,0)</f>
        <v/>
      </c>
      <c r="AS60" s="298">
        <f>ROUND($O60*AB60,0)</f>
        <v/>
      </c>
      <c r="AT60" s="195" t="n"/>
      <c r="AU60" s="195" t="n"/>
      <c r="AV60" s="195" t="n"/>
      <c r="AW60" s="195" t="n"/>
      <c r="AX60" s="236">
        <f>SUM(AG60:AO60)</f>
        <v/>
      </c>
      <c r="AY60" s="528">
        <f>AX60/160</f>
        <v/>
      </c>
      <c r="AZ60" s="87">
        <f>VLOOKUP(I60,Listy!$A$1:$H$9,6,FALSE)</f>
        <v/>
      </c>
      <c r="BA60" s="682">
        <f>AY60*AZ60</f>
        <v/>
      </c>
      <c r="BB60" s="683">
        <f>AY60*BA60</f>
        <v/>
      </c>
      <c r="BC60" s="528" t="n"/>
      <c r="BD60" s="528" t="n"/>
      <c r="BE60" s="528" t="n"/>
      <c r="BF60" s="528" t="n"/>
      <c r="BG60" s="528" t="n"/>
      <c r="BH60" s="528" t="n"/>
      <c r="BI60" s="314">
        <f>BG60*BH60</f>
        <v/>
      </c>
      <c r="BJ60" s="528" t="n"/>
      <c r="BK60" s="51" t="n"/>
      <c r="BL60" s="528" t="n"/>
      <c r="BM60" s="399" t="n"/>
      <c r="BN60" s="528" t="n"/>
      <c r="BO60" s="528" t="n"/>
      <c r="BP60" s="528" t="n"/>
      <c r="BQ60" s="528" t="n"/>
      <c r="BR60" s="528" t="n"/>
      <c r="BS60" s="528" t="n"/>
      <c r="BT60" s="528" t="n"/>
      <c r="BU60" s="528" t="n"/>
      <c r="BV60" s="528" t="n"/>
      <c r="BW60" s="314">
        <f>BU60*BV60</f>
        <v/>
      </c>
      <c r="BX60" s="528" t="n"/>
      <c r="BY60" s="528" t="n"/>
      <c r="BZ60" s="528" t="n"/>
      <c r="CA60" s="314">
        <f>BY60*BZ60</f>
        <v/>
      </c>
      <c r="CB60" s="528" t="n"/>
      <c r="CC60" s="528" t="n"/>
      <c r="CD60" s="528" t="n"/>
      <c r="CE60" s="314">
        <f>CC60*CD60</f>
        <v/>
      </c>
    </row>
    <row r="61" ht="28.8" customHeight="1" s="191">
      <c r="A61" s="113" t="n">
        <v>8</v>
      </c>
      <c r="B61" s="113" t="inlineStr">
        <is>
          <t>c</t>
        </is>
      </c>
      <c r="C61" s="106" t="n">
        <v>1</v>
      </c>
      <c r="D61" s="116">
        <f>CONCATENATE(A$3,"_",A61,"_",B61,"_",C61)</f>
        <v/>
      </c>
      <c r="E61" s="123" t="inlineStr">
        <is>
          <t>zabezpieczenia systemów AI/ML (np. zgodność działania z założeniami, odporność na błędy, redundancja za-pobiegająca zakłóceniom PT)</t>
        </is>
      </c>
      <c r="F61" s="38" t="n"/>
      <c r="G61" s="38" t="n"/>
      <c r="H61" s="133" t="n">
        <v>9</v>
      </c>
      <c r="I61" s="455" t="inlineStr">
        <is>
          <t>END/ACT</t>
        </is>
      </c>
      <c r="J61" s="91">
        <f>M60</f>
        <v/>
      </c>
      <c r="K61" s="681">
        <f>VLOOKUP(J61,Kalendarz!B:E,4,FALSE)</f>
        <v/>
      </c>
      <c r="L61" s="681">
        <f>K61+N61</f>
        <v/>
      </c>
      <c r="M61" s="528">
        <f>J61+N61-1</f>
        <v/>
      </c>
      <c r="N61" s="474" t="n">
        <v>1</v>
      </c>
      <c r="O61" s="46" t="n">
        <v>160</v>
      </c>
      <c r="P61" s="187" t="n">
        <v>0</v>
      </c>
      <c r="Q61" s="187" t="n">
        <v>0.25</v>
      </c>
      <c r="R61" s="187" t="n">
        <v>0</v>
      </c>
      <c r="S61" s="187" t="n">
        <v>0.25</v>
      </c>
      <c r="T61" s="187" t="n"/>
      <c r="U61" s="187" t="n"/>
      <c r="V61" s="187" t="n"/>
      <c r="W61" s="187" t="n"/>
      <c r="X61" s="187" t="n"/>
      <c r="Y61" s="243" t="n">
        <v>0</v>
      </c>
      <c r="Z61" s="243" t="n">
        <v>0</v>
      </c>
      <c r="AA61" s="243" t="n">
        <v>0</v>
      </c>
      <c r="AB61" s="243" t="n">
        <v>0.5</v>
      </c>
      <c r="AC61" s="300" t="n"/>
      <c r="AD61" s="300" t="n"/>
      <c r="AE61" s="300" t="n"/>
      <c r="AF61" s="300" t="n"/>
      <c r="AG61" s="297">
        <f>ROUND($O61*P61,0)</f>
        <v/>
      </c>
      <c r="AH61" s="297">
        <f>ROUND($O61*Q61,0)</f>
        <v/>
      </c>
      <c r="AI61" s="297">
        <f>ROUND($O61*R61,0)</f>
        <v/>
      </c>
      <c r="AJ61" s="297">
        <f>ROUND($O61*S61,0)</f>
        <v/>
      </c>
      <c r="AK61" s="297">
        <f>ROUND($O61*T61,0)</f>
        <v/>
      </c>
      <c r="AL61" s="297">
        <f>ROUND($O61*U61,0)</f>
        <v/>
      </c>
      <c r="AM61" s="297">
        <f>ROUND($O61*V61,0)</f>
        <v/>
      </c>
      <c r="AN61" s="297">
        <f>ROUND($O61*W61,0)</f>
        <v/>
      </c>
      <c r="AO61" s="297">
        <f>ROUND($O61*X61,0)</f>
        <v/>
      </c>
      <c r="AP61" s="298">
        <f>ROUND($O61*Y61,0)</f>
        <v/>
      </c>
      <c r="AQ61" s="298">
        <f>ROUND($O61*Z61,0)</f>
        <v/>
      </c>
      <c r="AR61" s="298">
        <f>ROUND($O61*AA61,0)</f>
        <v/>
      </c>
      <c r="AS61" s="298">
        <f>ROUND($O61*AB61,0)</f>
        <v/>
      </c>
      <c r="AT61" s="195" t="n"/>
      <c r="AU61" s="195" t="n"/>
      <c r="AV61" s="195" t="n"/>
      <c r="AW61" s="195" t="n"/>
      <c r="AX61" s="236">
        <f>SUM(AG61:AO61)</f>
        <v/>
      </c>
      <c r="AY61" s="528">
        <f>AX61/160</f>
        <v/>
      </c>
      <c r="AZ61" s="87">
        <f>VLOOKUP(I61,Listy!$A$1:$H$9,6,FALSE)</f>
        <v/>
      </c>
      <c r="BA61" s="682">
        <f>AY61*AZ61</f>
        <v/>
      </c>
      <c r="BB61" s="683">
        <f>AY61*BA61</f>
        <v/>
      </c>
      <c r="BC61" s="528" t="n"/>
      <c r="BD61" s="528" t="n"/>
      <c r="BE61" s="528" t="n"/>
      <c r="BF61" s="528" t="n"/>
      <c r="BG61" s="528" t="n"/>
      <c r="BH61" s="528" t="n"/>
      <c r="BI61" s="314">
        <f>BG61*BH61</f>
        <v/>
      </c>
      <c r="BJ61" s="528" t="n"/>
      <c r="BK61" s="51" t="n"/>
      <c r="BL61" s="528" t="n"/>
      <c r="BM61" s="399" t="n"/>
      <c r="BN61" s="528" t="n"/>
      <c r="BO61" s="528" t="n"/>
      <c r="BP61" s="528" t="n"/>
      <c r="BQ61" s="528" t="n"/>
      <c r="BR61" s="528" t="n"/>
      <c r="BS61" s="528" t="n"/>
      <c r="BT61" s="528" t="n"/>
      <c r="BU61" s="528" t="n"/>
      <c r="BV61" s="528" t="n"/>
      <c r="BW61" s="314">
        <f>BU61*BV61</f>
        <v/>
      </c>
      <c r="BX61" s="528" t="n"/>
      <c r="BY61" s="528" t="n"/>
      <c r="BZ61" s="528" t="n"/>
      <c r="CA61" s="314">
        <f>BY61*BZ61</f>
        <v/>
      </c>
      <c r="CB61" s="528" t="n"/>
      <c r="CC61" s="528" t="n"/>
      <c r="CD61" s="528" t="n"/>
      <c r="CE61" s="314">
        <f>CC61*CD61</f>
        <v/>
      </c>
    </row>
    <row r="62" ht="15" customHeight="1" s="191" thickBot="1">
      <c r="A62" s="113" t="n">
        <v>8</v>
      </c>
      <c r="B62" s="113" t="inlineStr">
        <is>
          <t>d</t>
        </is>
      </c>
      <c r="C62" s="106" t="n">
        <v>1</v>
      </c>
      <c r="D62" s="116">
        <f>CONCATENATE(A$3,"_",A62,"_",B62,"_",C62)</f>
        <v/>
      </c>
      <c r="E62" s="124" t="inlineStr">
        <is>
          <t>automatyzacji procesu aktualizacji modelu (procesy CI/CD)</t>
        </is>
      </c>
      <c r="F62" s="38" t="n"/>
      <c r="G62" s="38" t="n"/>
      <c r="H62" s="133" t="n">
        <v>9</v>
      </c>
      <c r="I62" s="455" t="inlineStr">
        <is>
          <t>END</t>
        </is>
      </c>
      <c r="J62" s="91">
        <f>M61</f>
        <v/>
      </c>
      <c r="K62" s="681">
        <f>VLOOKUP(J62,Kalendarz!B:E,4,FALSE)</f>
        <v/>
      </c>
      <c r="L62" s="681">
        <f>K62+N62</f>
        <v/>
      </c>
      <c r="M62" s="528">
        <f>J62+N62-1</f>
        <v/>
      </c>
      <c r="N62" s="474" t="n">
        <v>0</v>
      </c>
      <c r="O62" s="46" t="n">
        <v>160</v>
      </c>
      <c r="P62" s="187" t="n">
        <v>0.25</v>
      </c>
      <c r="Q62" s="187" t="n">
        <v>0</v>
      </c>
      <c r="R62" s="187" t="n">
        <v>0</v>
      </c>
      <c r="S62" s="187" t="n">
        <v>0</v>
      </c>
      <c r="T62" s="187" t="n"/>
      <c r="U62" s="187" t="n"/>
      <c r="V62" s="187" t="n"/>
      <c r="W62" s="187" t="n"/>
      <c r="X62" s="187" t="n"/>
      <c r="Y62" s="243" t="n">
        <v>0</v>
      </c>
      <c r="Z62" s="243" t="n">
        <v>0</v>
      </c>
      <c r="AA62" s="243" t="n">
        <v>0</v>
      </c>
      <c r="AB62" s="243" t="n">
        <v>0.75</v>
      </c>
      <c r="AC62" s="300" t="n"/>
      <c r="AD62" s="300" t="n"/>
      <c r="AE62" s="300" t="n"/>
      <c r="AF62" s="300" t="n"/>
      <c r="AG62" s="297">
        <f>ROUND($O62*P62,0)</f>
        <v/>
      </c>
      <c r="AH62" s="297">
        <f>ROUND($O62*Q62,0)</f>
        <v/>
      </c>
      <c r="AI62" s="297">
        <f>ROUND($O62*R62,0)</f>
        <v/>
      </c>
      <c r="AJ62" s="297">
        <f>ROUND($O62*S62,0)</f>
        <v/>
      </c>
      <c r="AK62" s="297">
        <f>ROUND($O62*T62,0)</f>
        <v/>
      </c>
      <c r="AL62" s="297">
        <f>ROUND($O62*U62,0)</f>
        <v/>
      </c>
      <c r="AM62" s="297">
        <f>ROUND($O62*V62,0)</f>
        <v/>
      </c>
      <c r="AN62" s="297">
        <f>ROUND($O62*W62,0)</f>
        <v/>
      </c>
      <c r="AO62" s="297">
        <f>ROUND($O62*X62,0)</f>
        <v/>
      </c>
      <c r="AP62" s="298">
        <f>ROUND($O62*Y62,0)</f>
        <v/>
      </c>
      <c r="AQ62" s="298">
        <f>ROUND($O62*Z62,0)</f>
        <v/>
      </c>
      <c r="AR62" s="298">
        <f>ROUND($O62*AA62,0)</f>
        <v/>
      </c>
      <c r="AS62" s="298">
        <f>ROUND($O62*AB62,0)</f>
        <v/>
      </c>
      <c r="AT62" s="195" t="n"/>
      <c r="AU62" s="195" t="n"/>
      <c r="AV62" s="195" t="n"/>
      <c r="AW62" s="195" t="n"/>
      <c r="AX62" s="236">
        <f>SUM(AG62:AO62)</f>
        <v/>
      </c>
      <c r="AY62" s="528">
        <f>AX62/160</f>
        <v/>
      </c>
      <c r="AZ62" s="87">
        <f>VLOOKUP(I62,Listy!$A$1:$H$9,6,FALSE)</f>
        <v/>
      </c>
      <c r="BA62" s="682">
        <f>AY62*AZ62</f>
        <v/>
      </c>
      <c r="BB62" s="683">
        <f>AY62*BA62</f>
        <v/>
      </c>
      <c r="BC62" s="528" t="n"/>
      <c r="BD62" s="528" t="n"/>
      <c r="BE62" s="528" t="n"/>
      <c r="BF62" s="528" t="n"/>
      <c r="BG62" s="528" t="n"/>
      <c r="BH62" s="528" t="n"/>
      <c r="BI62" s="314">
        <f>BG62*BH62</f>
        <v/>
      </c>
      <c r="BJ62" s="528" t="n"/>
      <c r="BK62" s="51" t="n"/>
      <c r="BL62" s="528" t="n"/>
      <c r="BM62" s="399" t="n"/>
      <c r="BN62" s="528" t="n"/>
      <c r="BO62" s="528" t="n"/>
      <c r="BP62" s="528" t="n"/>
      <c r="BQ62" s="528" t="n"/>
      <c r="BR62" s="528" t="n"/>
      <c r="BS62" s="528" t="n"/>
      <c r="BT62" s="528" t="n"/>
      <c r="BU62" s="528" t="n"/>
      <c r="BV62" s="528" t="n"/>
      <c r="BW62" s="314">
        <f>BU62*BV62</f>
        <v/>
      </c>
      <c r="BX62" s="528" t="n"/>
      <c r="BY62" s="528" t="n"/>
      <c r="BZ62" s="528" t="n"/>
      <c r="CA62" s="314">
        <f>BY62*BZ62</f>
        <v/>
      </c>
      <c r="CB62" s="528" t="n"/>
      <c r="CC62" s="528" t="n"/>
      <c r="CD62" s="528" t="n"/>
      <c r="CE62" s="314">
        <f>CC62*CD62</f>
        <v/>
      </c>
    </row>
    <row r="63" ht="15" customHeight="1" s="191" thickBot="1">
      <c r="A63" s="101" t="n">
        <v>9</v>
      </c>
      <c r="B63" s="113" t="inlineStr">
        <is>
          <t>a</t>
        </is>
      </c>
      <c r="C63" s="106" t="n">
        <v>0</v>
      </c>
      <c r="D63" s="116">
        <f>CONCATENATE(A$3,"_",A63,"_",B63,"_",C63)</f>
        <v/>
      </c>
      <c r="E63" s="119" t="inlineStr">
        <is>
          <t>9.Raportowanie i analizy</t>
        </is>
      </c>
      <c r="F63" s="148" t="n"/>
      <c r="G63" s="148" t="n"/>
      <c r="H63" s="46" t="n"/>
      <c r="I63" s="148" t="n"/>
      <c r="J63" s="91">
        <f>M62</f>
        <v/>
      </c>
      <c r="K63" s="681">
        <f>VLOOKUP(J63,Kalendarz!B:E,4,FALSE)</f>
        <v/>
      </c>
      <c r="L63" s="681">
        <f>K63+N63</f>
        <v/>
      </c>
      <c r="M63" s="528">
        <f>J63+N63-1</f>
        <v/>
      </c>
      <c r="N63" s="474">
        <f>ROUND(MAX(AG63:AO63)/Listy!$U$2,0)</f>
        <v/>
      </c>
      <c r="O63" s="148" t="n"/>
      <c r="P63" s="148" t="n"/>
      <c r="Q63" s="148" t="n"/>
      <c r="R63" s="148" t="n"/>
      <c r="S63" s="148" t="n"/>
      <c r="T63" s="148" t="n"/>
      <c r="U63" s="148" t="n"/>
      <c r="V63" s="190" t="n"/>
      <c r="W63" s="148" t="n"/>
      <c r="X63" s="148" t="n"/>
      <c r="Y63" s="148" t="n"/>
      <c r="Z63" s="148" t="n"/>
      <c r="AA63" s="148" t="n"/>
      <c r="AB63" s="148" t="n"/>
      <c r="AC63" s="148" t="n"/>
      <c r="AD63" s="148" t="n"/>
      <c r="AE63" s="148" t="n"/>
      <c r="AF63" s="148" t="n"/>
      <c r="AG63" s="148" t="n"/>
      <c r="AH63" s="148" t="n"/>
      <c r="AI63" s="148" t="n"/>
      <c r="AJ63" s="148" t="n"/>
      <c r="AK63" s="148" t="n"/>
      <c r="AL63" s="148" t="n"/>
      <c r="AM63" s="148" t="n"/>
      <c r="AN63" s="148" t="n"/>
      <c r="AO63" s="148" t="n"/>
      <c r="AP63" s="148" t="n"/>
      <c r="AQ63" s="148" t="n"/>
      <c r="AR63" s="148" t="n"/>
      <c r="AS63" s="148" t="n"/>
      <c r="AT63" s="148" t="n"/>
      <c r="AU63" s="148" t="n"/>
      <c r="AV63" s="148" t="n"/>
      <c r="AW63" s="148" t="n"/>
      <c r="AX63" s="148" t="n"/>
      <c r="AY63" s="148" t="n"/>
      <c r="AZ63" s="148" t="n"/>
      <c r="BA63" s="148" t="n"/>
      <c r="BB63" s="148" t="n"/>
      <c r="BC63" s="148" t="n"/>
      <c r="BD63" s="148" t="n"/>
      <c r="BE63" s="148" t="n"/>
      <c r="BF63" s="148" t="n"/>
      <c r="BG63" s="148" t="n"/>
      <c r="BH63" s="148" t="n"/>
      <c r="BI63" s="148" t="n"/>
      <c r="BJ63" s="148" t="n"/>
      <c r="BK63" s="148" t="n"/>
      <c r="BL63" s="14">
        <f>BL64+BL65</f>
        <v/>
      </c>
      <c r="BM63" s="399" t="n"/>
      <c r="BN63" s="528" t="n"/>
      <c r="BO63" s="14">
        <f>BO64+BO65</f>
        <v/>
      </c>
      <c r="BP63" s="528" t="n"/>
      <c r="BQ63" s="528" t="n"/>
      <c r="BR63" s="14">
        <f>BR64+BR65</f>
        <v/>
      </c>
      <c r="BS63" s="14">
        <f>BS64+BS65</f>
        <v/>
      </c>
      <c r="BT63" s="528" t="n"/>
      <c r="BU63" s="528" t="n"/>
      <c r="BV63" s="528" t="n"/>
      <c r="BW63" s="14">
        <f>BW64+BW65</f>
        <v/>
      </c>
      <c r="BX63" s="528" t="n"/>
      <c r="BY63" s="528" t="n"/>
      <c r="BZ63" s="528" t="n"/>
      <c r="CA63" s="14">
        <f>CA64+CA65</f>
        <v/>
      </c>
      <c r="CB63" s="528" t="n"/>
      <c r="CC63" s="528" t="n"/>
      <c r="CD63" s="528" t="n"/>
      <c r="CE63" s="14">
        <f>CE64+CE65</f>
        <v/>
      </c>
      <c r="CF63" s="40">
        <f>AY63+BB63+BI63+BL63+BO63+BR63+BS63+BW63+CA63+CE63</f>
        <v/>
      </c>
    </row>
    <row r="64" ht="28.8" customHeight="1" s="191">
      <c r="A64" s="103" t="n">
        <v>9</v>
      </c>
      <c r="B64" s="113" t="inlineStr">
        <is>
          <t>a</t>
        </is>
      </c>
      <c r="C64" s="106" t="n">
        <v>1</v>
      </c>
      <c r="D64" s="116">
        <f>CONCATENATE(A$3,"_",A64,"_",B64,"_",C64)</f>
        <v/>
      </c>
      <c r="E64" s="123" t="inlineStr">
        <is>
          <t>Przygotowywanie regularnych raportów dotyczących efektywności modelu i jego wpływu na PT</t>
        </is>
      </c>
      <c r="F64" s="38" t="n"/>
      <c r="G64" s="38" t="n"/>
      <c r="H64" s="133" t="n">
        <v>8</v>
      </c>
      <c r="I64" s="455" t="inlineStr">
        <is>
          <t>END/ACT</t>
        </is>
      </c>
      <c r="J64" s="91">
        <f>M63</f>
        <v/>
      </c>
      <c r="K64" s="681">
        <f>VLOOKUP(J64,Kalendarz!B:E,4,FALSE)</f>
        <v/>
      </c>
      <c r="L64" s="681">
        <f>K64+N64</f>
        <v/>
      </c>
      <c r="M64" s="528">
        <f>J64+N64-1</f>
        <v/>
      </c>
      <c r="N64" s="474" t="n">
        <v>1</v>
      </c>
      <c r="O64" s="46" t="n">
        <v>120</v>
      </c>
      <c r="P64" s="187" t="n">
        <v>0.333</v>
      </c>
      <c r="Q64" s="187" t="n">
        <v>0</v>
      </c>
      <c r="R64" s="187" t="n">
        <v>0</v>
      </c>
      <c r="S64" s="187" t="n">
        <v>0</v>
      </c>
      <c r="T64" s="187" t="n"/>
      <c r="U64" s="187" t="n"/>
      <c r="V64" s="187" t="n"/>
      <c r="W64" s="187" t="n"/>
      <c r="X64" s="187" t="n"/>
      <c r="Y64" s="243" t="n">
        <v>0</v>
      </c>
      <c r="Z64" s="243" t="n">
        <v>0</v>
      </c>
      <c r="AA64" s="243" t="n">
        <v>0</v>
      </c>
      <c r="AB64" s="243" t="n">
        <v>0.67</v>
      </c>
      <c r="AC64" s="300" t="n"/>
      <c r="AD64" s="300" t="n"/>
      <c r="AE64" s="300" t="n"/>
      <c r="AF64" s="300" t="n"/>
      <c r="AG64" s="297">
        <f>ROUND($O64*P64,0)</f>
        <v/>
      </c>
      <c r="AH64" s="297">
        <f>ROUND($O64*Q64,0)</f>
        <v/>
      </c>
      <c r="AI64" s="297">
        <f>ROUND($O64*R64,0)</f>
        <v/>
      </c>
      <c r="AJ64" s="297">
        <f>ROUND($O64*S64,0)</f>
        <v/>
      </c>
      <c r="AK64" s="297">
        <f>ROUND($O64*T64,0)</f>
        <v/>
      </c>
      <c r="AL64" s="297">
        <f>ROUND($O64*U64,0)</f>
        <v/>
      </c>
      <c r="AM64" s="297">
        <f>ROUND($O64*V64,0)</f>
        <v/>
      </c>
      <c r="AN64" s="297">
        <f>ROUND($O64*W64,0)</f>
        <v/>
      </c>
      <c r="AO64" s="297">
        <f>ROUND($O64*X64,0)</f>
        <v/>
      </c>
      <c r="AP64" s="298">
        <f>ROUND($O64*Y64,0)</f>
        <v/>
      </c>
      <c r="AQ64" s="298">
        <f>ROUND($O64*Z64,0)</f>
        <v/>
      </c>
      <c r="AR64" s="298">
        <f>ROUND($O64*AA64,0)</f>
        <v/>
      </c>
      <c r="AS64" s="298">
        <f>ROUND($O64*AB64,0)</f>
        <v/>
      </c>
      <c r="AT64" s="195" t="n"/>
      <c r="AU64" s="195" t="n"/>
      <c r="AV64" s="195" t="n"/>
      <c r="AW64" s="195" t="n"/>
      <c r="AX64" s="236">
        <f>SUM(AG64:AO64)</f>
        <v/>
      </c>
      <c r="AY64" s="528">
        <f>AX64/160</f>
        <v/>
      </c>
      <c r="AZ64" s="87">
        <f>VLOOKUP(I64,Listy!$A$1:$H$9,6,FALSE)</f>
        <v/>
      </c>
      <c r="BA64" s="682">
        <f>AY64*AZ64</f>
        <v/>
      </c>
      <c r="BB64" s="683">
        <f>AY64*BA64</f>
        <v/>
      </c>
      <c r="BC64" s="528" t="n"/>
      <c r="BD64" s="528" t="n"/>
      <c r="BE64" s="528" t="n"/>
      <c r="BF64" s="528" t="n"/>
      <c r="BG64" s="528" t="n"/>
      <c r="BH64" s="528" t="n"/>
      <c r="BI64" s="314">
        <f>BG64*BH64</f>
        <v/>
      </c>
      <c r="BJ64" s="528" t="n"/>
      <c r="BK64" s="51" t="n"/>
      <c r="BL64" s="21" t="n"/>
      <c r="BM64" s="399" t="n"/>
      <c r="BN64" s="528" t="n"/>
      <c r="BO64" s="21" t="n"/>
      <c r="BP64" s="528" t="n"/>
      <c r="BQ64" s="528" t="n"/>
      <c r="BR64" s="21" t="n"/>
      <c r="BS64" s="21" t="n"/>
      <c r="BT64" s="528" t="n"/>
      <c r="BU64" s="528" t="n"/>
      <c r="BV64" s="528" t="n"/>
      <c r="BW64" s="314">
        <f>BU64*BV64</f>
        <v/>
      </c>
      <c r="BX64" s="528" t="n"/>
      <c r="BY64" s="528" t="n"/>
      <c r="BZ64" s="528" t="n"/>
      <c r="CA64" s="314">
        <f>BY64*BZ64</f>
        <v/>
      </c>
      <c r="CB64" s="528" t="n"/>
      <c r="CC64" s="528" t="n"/>
      <c r="CD64" s="528" t="n"/>
      <c r="CE64" s="314">
        <f>CC64*CD64</f>
        <v/>
      </c>
    </row>
    <row r="65" ht="15" customHeight="1" s="191" thickBot="1">
      <c r="A65" s="103" t="n">
        <v>9</v>
      </c>
      <c r="B65" s="113" t="inlineStr">
        <is>
          <t>b</t>
        </is>
      </c>
      <c r="C65" s="106" t="n">
        <v>1</v>
      </c>
      <c r="D65" s="116">
        <f>CONCATENATE(A$3,"_",A65,"_",B65,"_",C65)</f>
        <v/>
      </c>
      <c r="E65" s="123" t="inlineStr">
        <is>
          <t>Analizowanie wyników działania Modelu i ich wpływu na KPI</t>
        </is>
      </c>
      <c r="F65" s="46" t="n"/>
      <c r="G65" s="46" t="n"/>
      <c r="H65" s="133" t="n">
        <v>8</v>
      </c>
      <c r="I65" s="100" t="inlineStr">
        <is>
          <t>ACT</t>
        </is>
      </c>
      <c r="J65" s="91">
        <f>M64</f>
        <v/>
      </c>
      <c r="K65" s="681">
        <f>VLOOKUP(J65,Kalendarz!B:E,4,FALSE)</f>
        <v/>
      </c>
      <c r="L65" s="681">
        <f>K65+N65</f>
        <v/>
      </c>
      <c r="M65" s="528">
        <f>J65+N65-1</f>
        <v/>
      </c>
      <c r="N65" s="474" t="n">
        <v>0</v>
      </c>
      <c r="O65" s="46" t="n">
        <v>80</v>
      </c>
      <c r="P65" s="187" t="n">
        <v>0</v>
      </c>
      <c r="Q65" s="187" t="n">
        <v>0.5</v>
      </c>
      <c r="R65" s="187" t="n">
        <v>0</v>
      </c>
      <c r="S65" s="187" t="n">
        <v>0</v>
      </c>
      <c r="T65" s="187" t="n"/>
      <c r="U65" s="187" t="n"/>
      <c r="V65" s="187" t="n"/>
      <c r="W65" s="187" t="n"/>
      <c r="X65" s="187" t="n"/>
      <c r="Y65" s="243" t="n">
        <v>0</v>
      </c>
      <c r="Z65" s="243" t="n">
        <v>0</v>
      </c>
      <c r="AA65" s="243" t="n">
        <v>0</v>
      </c>
      <c r="AB65" s="243" t="n">
        <v>0.5</v>
      </c>
      <c r="AC65" s="300" t="n"/>
      <c r="AD65" s="300" t="n"/>
      <c r="AE65" s="300" t="n"/>
      <c r="AF65" s="300" t="n"/>
      <c r="AG65" s="297">
        <f>ROUND($O65*P65,0)</f>
        <v/>
      </c>
      <c r="AH65" s="297">
        <f>ROUND($O65*Q65,0)</f>
        <v/>
      </c>
      <c r="AI65" s="297">
        <f>ROUND($O65*R65,0)</f>
        <v/>
      </c>
      <c r="AJ65" s="297">
        <f>ROUND($O65*S65,0)</f>
        <v/>
      </c>
      <c r="AK65" s="297">
        <f>ROUND($O65*T65,0)</f>
        <v/>
      </c>
      <c r="AL65" s="297">
        <f>ROUND($O65*U65,0)</f>
        <v/>
      </c>
      <c r="AM65" s="297">
        <f>ROUND($O65*V65,0)</f>
        <v/>
      </c>
      <c r="AN65" s="297">
        <f>ROUND($O65*W65,0)</f>
        <v/>
      </c>
      <c r="AO65" s="297">
        <f>ROUND($O65*X65,0)</f>
        <v/>
      </c>
      <c r="AP65" s="298">
        <f>ROUND($O65*Y65,0)</f>
        <v/>
      </c>
      <c r="AQ65" s="298">
        <f>ROUND($O65*Z65,0)</f>
        <v/>
      </c>
      <c r="AR65" s="298">
        <f>ROUND($O65*AA65,0)</f>
        <v/>
      </c>
      <c r="AS65" s="298">
        <f>ROUND($O65*AB65,0)</f>
        <v/>
      </c>
      <c r="AT65" s="199" t="n"/>
      <c r="AU65" s="199" t="n"/>
      <c r="AV65" s="199" t="n"/>
      <c r="AW65" s="199" t="n"/>
      <c r="AX65" s="236">
        <f>SUM(AG65:AO65)</f>
        <v/>
      </c>
      <c r="AY65" s="528">
        <f>AX65/160</f>
        <v/>
      </c>
      <c r="AZ65" s="87">
        <f>VLOOKUP(I65,Listy!$A$1:$H$9,6,FALSE)</f>
        <v/>
      </c>
      <c r="BA65" s="682">
        <f>AY65*AZ65</f>
        <v/>
      </c>
      <c r="BB65" s="683">
        <f>AY65*BA65</f>
        <v/>
      </c>
      <c r="BC65" s="528" t="n"/>
      <c r="BD65" s="528" t="n"/>
      <c r="BE65" s="528" t="n"/>
      <c r="BF65" s="528" t="n"/>
      <c r="BG65" s="528" t="n"/>
      <c r="BH65" s="528" t="n"/>
      <c r="BI65" s="314">
        <f>BG65*BH65</f>
        <v/>
      </c>
      <c r="BJ65" s="528" t="n"/>
      <c r="BK65" s="51" t="n"/>
      <c r="BL65" s="314" t="n"/>
      <c r="BM65" s="399" t="n"/>
      <c r="BN65" s="528" t="n"/>
      <c r="BO65" s="314" t="n"/>
      <c r="BP65" s="528" t="n"/>
      <c r="BQ65" s="528" t="n"/>
      <c r="BR65" s="314" t="n"/>
      <c r="BS65" s="314" t="n"/>
      <c r="BT65" s="528" t="n"/>
      <c r="BU65" s="528" t="n"/>
      <c r="BV65" s="528" t="n"/>
      <c r="BW65" s="314">
        <f>BU65*BV65</f>
        <v/>
      </c>
      <c r="BX65" s="528" t="n"/>
      <c r="BY65" s="528" t="n"/>
      <c r="BZ65" s="528" t="n"/>
      <c r="CA65" s="314">
        <f>BY65*BZ65</f>
        <v/>
      </c>
      <c r="CB65" s="528" t="n"/>
      <c r="CC65" s="528" t="n"/>
      <c r="CD65" s="528" t="n"/>
      <c r="CE65" s="314">
        <f>CC65*CD65</f>
        <v/>
      </c>
    </row>
    <row r="66" ht="15" customHeight="1" s="191" thickBot="1">
      <c r="A66" s="108" t="n">
        <v>10</v>
      </c>
      <c r="B66" s="113" t="inlineStr">
        <is>
          <t>a</t>
        </is>
      </c>
      <c r="C66" s="106" t="n">
        <v>0</v>
      </c>
      <c r="D66" s="116">
        <f>CONCATENATE(A$3,"_",A66,"_",B66,"_",C66)</f>
        <v/>
      </c>
      <c r="E66" s="119" t="inlineStr">
        <is>
          <t xml:space="preserve">10.Monitorowanie </t>
        </is>
      </c>
      <c r="F66" s="148" t="n"/>
      <c r="G66" s="148" t="n"/>
      <c r="H66" s="46" t="n"/>
      <c r="I66" s="148" t="n"/>
      <c r="J66" s="91">
        <f>M65</f>
        <v/>
      </c>
      <c r="K66" s="681">
        <f>VLOOKUP(J66,Kalendarz!B:E,4,FALSE)</f>
        <v/>
      </c>
      <c r="L66" s="681">
        <f>K66+N66</f>
        <v/>
      </c>
      <c r="M66" s="528">
        <f>J66+N66-1</f>
        <v/>
      </c>
      <c r="N66" s="474">
        <f>ROUND(MAX(AG66:AO66)/Listy!$U$2,0)</f>
        <v/>
      </c>
      <c r="O66" s="148" t="n"/>
      <c r="P66" s="148" t="n"/>
      <c r="Q66" s="148" t="n"/>
      <c r="R66" s="148" t="n"/>
      <c r="S66" s="148" t="n"/>
      <c r="T66" s="148" t="n"/>
      <c r="U66" s="148" t="n"/>
      <c r="V66" s="190" t="n"/>
      <c r="W66" s="148" t="n"/>
      <c r="X66" s="148" t="n"/>
      <c r="Y66" s="148" t="n"/>
      <c r="Z66" s="148" t="n"/>
      <c r="AA66" s="148" t="n"/>
      <c r="AB66" s="148" t="n"/>
      <c r="AC66" s="148" t="n"/>
      <c r="AD66" s="148" t="n"/>
      <c r="AE66" s="148" t="n"/>
      <c r="AF66" s="148" t="n"/>
      <c r="AG66" s="148" t="n"/>
      <c r="AH66" s="148" t="n"/>
      <c r="AI66" s="148" t="n"/>
      <c r="AJ66" s="148" t="n"/>
      <c r="AK66" s="148" t="n"/>
      <c r="AL66" s="148" t="n"/>
      <c r="AM66" s="148" t="n"/>
      <c r="AN66" s="148" t="n"/>
      <c r="AO66" s="148" t="n"/>
      <c r="AP66" s="148" t="n"/>
      <c r="AQ66" s="148" t="n"/>
      <c r="AR66" s="148" t="n"/>
      <c r="AS66" s="148" t="n"/>
      <c r="AT66" s="148" t="n"/>
      <c r="AU66" s="148" t="n"/>
      <c r="AV66" s="148" t="n"/>
      <c r="AW66" s="148" t="n"/>
      <c r="AX66" s="148" t="n"/>
      <c r="AY66" s="148" t="n"/>
      <c r="AZ66" s="148" t="n"/>
      <c r="BA66" s="148" t="n"/>
      <c r="BB66" s="148" t="n"/>
      <c r="BC66" s="148" t="n"/>
      <c r="BD66" s="148" t="n"/>
      <c r="BE66" s="148" t="n"/>
      <c r="BF66" s="148" t="n"/>
      <c r="BG66" s="148" t="n"/>
      <c r="BH66" s="148" t="n"/>
      <c r="BI66" s="148" t="n"/>
      <c r="BJ66" s="148" t="n"/>
      <c r="BK66" s="148" t="n"/>
      <c r="BL66" s="14">
        <f>BL67+BL68</f>
        <v/>
      </c>
      <c r="BM66" s="399" t="n"/>
      <c r="BN66" s="528" t="n"/>
      <c r="BO66" s="14">
        <f>BO67+BO68</f>
        <v/>
      </c>
      <c r="BP66" s="528" t="n"/>
      <c r="BQ66" s="528" t="n"/>
      <c r="BR66" s="14">
        <f>BR67+BR68</f>
        <v/>
      </c>
      <c r="BS66" s="14">
        <f>BS67+BS68</f>
        <v/>
      </c>
      <c r="BT66" s="528" t="n"/>
      <c r="BU66" s="528" t="n"/>
      <c r="BV66" s="528" t="n"/>
      <c r="BW66" s="14">
        <f>BW67+BW68</f>
        <v/>
      </c>
      <c r="BX66" s="528" t="n"/>
      <c r="BY66" s="528" t="n"/>
      <c r="BZ66" s="528" t="n"/>
      <c r="CA66" s="14">
        <f>CA67+CA68</f>
        <v/>
      </c>
      <c r="CB66" s="528" t="n"/>
      <c r="CC66" s="528" t="n"/>
      <c r="CD66" s="528" t="n"/>
      <c r="CE66" s="14">
        <f>CE67+CE68</f>
        <v/>
      </c>
      <c r="CF66" s="40">
        <f>AY66+BB66+BI66+BL66+BO66+BR66+BS66+BW66+CA66+CE66</f>
        <v/>
      </c>
    </row>
    <row r="67">
      <c r="A67" s="113" t="n">
        <v>10</v>
      </c>
      <c r="B67" s="113" t="inlineStr">
        <is>
          <t>a</t>
        </is>
      </c>
      <c r="C67" s="106" t="n">
        <v>1</v>
      </c>
      <c r="D67" s="116">
        <f>CONCATENATE(A$3,"_",A67,"_",B67,"_",C67)</f>
        <v/>
      </c>
      <c r="E67" s="123" t="inlineStr">
        <is>
          <t>Regularne śledzenie wydajności Modelu</t>
        </is>
      </c>
      <c r="F67" s="46" t="n"/>
      <c r="G67" s="46" t="n"/>
      <c r="H67" s="133" t="n">
        <v>11</v>
      </c>
      <c r="I67" s="455" t="inlineStr">
        <is>
          <t>END</t>
        </is>
      </c>
      <c r="J67" s="91">
        <f>M66</f>
        <v/>
      </c>
      <c r="K67" s="681">
        <f>VLOOKUP(J67,Kalendarz!B:E,4,FALSE)</f>
        <v/>
      </c>
      <c r="L67" s="681">
        <f>K67+N67</f>
        <v/>
      </c>
      <c r="M67" s="528">
        <f>J67+N67-1</f>
        <v/>
      </c>
      <c r="N67" s="474" t="n">
        <v>1</v>
      </c>
      <c r="O67" s="528" t="n">
        <v>120</v>
      </c>
      <c r="P67" s="187" t="n">
        <v>0.333</v>
      </c>
      <c r="Q67" s="187" t="n">
        <v>0</v>
      </c>
      <c r="R67" s="187" t="n">
        <v>0</v>
      </c>
      <c r="S67" s="187" t="n">
        <v>0</v>
      </c>
      <c r="T67" s="187" t="n"/>
      <c r="U67" s="187" t="n"/>
      <c r="V67" s="187" t="n"/>
      <c r="W67" s="187" t="n"/>
      <c r="X67" s="187" t="n"/>
      <c r="Y67" s="243" t="n">
        <v>0</v>
      </c>
      <c r="Z67" s="243" t="n">
        <v>0</v>
      </c>
      <c r="AA67" s="243" t="n">
        <v>0</v>
      </c>
      <c r="AB67" s="243" t="n">
        <v>0.666</v>
      </c>
      <c r="AC67" s="300" t="n"/>
      <c r="AD67" s="300" t="n"/>
      <c r="AE67" s="300" t="n"/>
      <c r="AF67" s="300" t="n"/>
      <c r="AG67" s="297">
        <f>ROUND($O67*P67,0)</f>
        <v/>
      </c>
      <c r="AH67" s="297">
        <f>ROUND($O67*Q67,0)</f>
        <v/>
      </c>
      <c r="AI67" s="297">
        <f>ROUND($O67*R67,0)</f>
        <v/>
      </c>
      <c r="AJ67" s="297">
        <f>ROUND($O67*S67,0)</f>
        <v/>
      </c>
      <c r="AK67" s="297">
        <f>ROUND($O67*T67,0)</f>
        <v/>
      </c>
      <c r="AL67" s="297">
        <f>ROUND($O67*U67,0)</f>
        <v/>
      </c>
      <c r="AM67" s="297">
        <f>ROUND($O67*V67,0)</f>
        <v/>
      </c>
      <c r="AN67" s="297">
        <f>ROUND($O67*W67,0)</f>
        <v/>
      </c>
      <c r="AO67" s="297">
        <f>ROUND($O67*X67,0)</f>
        <v/>
      </c>
      <c r="AP67" s="298">
        <f>ROUND($O67*Y67,0)</f>
        <v/>
      </c>
      <c r="AQ67" s="298">
        <f>ROUND($O67*Z67,0)</f>
        <v/>
      </c>
      <c r="AR67" s="298">
        <f>ROUND($O67*AA67,0)</f>
        <v/>
      </c>
      <c r="AS67" s="298">
        <f>ROUND($O67*AB67,0)</f>
        <v/>
      </c>
      <c r="AT67" s="195" t="n"/>
      <c r="AU67" s="195" t="n"/>
      <c r="AV67" s="195" t="n"/>
      <c r="AW67" s="195" t="n"/>
      <c r="AX67" s="236">
        <f>SUM(AG67:AO67)</f>
        <v/>
      </c>
      <c r="AY67" s="528">
        <f>AX67/160</f>
        <v/>
      </c>
      <c r="AZ67" s="87">
        <f>VLOOKUP(I67,Listy!$A$1:$H$9,6,FALSE)</f>
        <v/>
      </c>
      <c r="BA67" s="682">
        <f>AY67*AZ67</f>
        <v/>
      </c>
      <c r="BB67" s="683">
        <f>AY67*BA67</f>
        <v/>
      </c>
      <c r="BC67" s="528" t="n"/>
      <c r="BD67" s="528" t="n"/>
      <c r="BE67" s="528" t="n"/>
      <c r="BF67" s="528" t="n"/>
      <c r="BG67" s="528" t="n"/>
      <c r="BH67" s="528" t="n"/>
      <c r="BI67" s="314">
        <f>BG67*BH67</f>
        <v/>
      </c>
      <c r="BJ67" s="528" t="n"/>
      <c r="BK67" s="51" t="n"/>
      <c r="BL67" s="21" t="n"/>
      <c r="BM67" s="399" t="n"/>
      <c r="BN67" s="528" t="n"/>
      <c r="BO67" s="21" t="n"/>
      <c r="BP67" s="528" t="n"/>
      <c r="BQ67" s="528" t="n"/>
      <c r="BR67" s="21" t="n"/>
      <c r="BS67" s="21" t="n"/>
      <c r="BT67" s="528" t="n"/>
      <c r="BU67" s="528" t="n"/>
      <c r="BV67" s="528" t="n"/>
      <c r="BW67" s="314">
        <f>BU67*BV67</f>
        <v/>
      </c>
      <c r="BX67" s="528" t="n"/>
      <c r="BY67" s="528" t="n"/>
      <c r="BZ67" s="528" t="n"/>
      <c r="CA67" s="314">
        <f>BY67*BZ67</f>
        <v/>
      </c>
      <c r="CB67" s="528" t="n"/>
      <c r="CC67" s="528" t="n"/>
      <c r="CD67" s="528" t="n"/>
      <c r="CE67" s="314">
        <f>CC67*CD67</f>
        <v/>
      </c>
    </row>
    <row r="68" ht="29.4" customHeight="1" s="191" thickBot="1">
      <c r="A68" s="113" t="n">
        <v>10</v>
      </c>
      <c r="B68" s="113" t="inlineStr">
        <is>
          <t>b</t>
        </is>
      </c>
      <c r="C68" s="106" t="n">
        <v>1</v>
      </c>
      <c r="D68" s="116">
        <f>CONCATENATE(A$3,"_",A68,"_",B68,"_",C68)</f>
        <v/>
      </c>
      <c r="E68" s="123" t="inlineStr">
        <is>
          <t>Wprowadzanie poprawek do Modelu, aktualizacje na podstawie nowych danych i zmieniających się warunków operacyjnych</t>
        </is>
      </c>
      <c r="F68" s="46" t="n"/>
      <c r="G68" s="46" t="n"/>
      <c r="H68" s="133" t="n">
        <v>11</v>
      </c>
      <c r="I68" s="455" t="inlineStr">
        <is>
          <t>END/ACT</t>
        </is>
      </c>
      <c r="J68" s="91">
        <f>M67</f>
        <v/>
      </c>
      <c r="K68" s="681">
        <f>VLOOKUP(J68,Kalendarz!B:E,4,FALSE)</f>
        <v/>
      </c>
      <c r="L68" s="681">
        <f>K68+N68</f>
        <v/>
      </c>
      <c r="M68" s="528">
        <f>J68+N68-1</f>
        <v/>
      </c>
      <c r="N68" s="474" t="n">
        <v>1</v>
      </c>
      <c r="O68" s="528" t="n">
        <v>80</v>
      </c>
      <c r="P68" s="187" t="n">
        <v>0</v>
      </c>
      <c r="Q68" s="187" t="n">
        <v>0.25</v>
      </c>
      <c r="R68" s="187" t="n">
        <v>0</v>
      </c>
      <c r="S68" s="187" t="n">
        <v>0</v>
      </c>
      <c r="T68" s="187" t="n"/>
      <c r="U68" s="187" t="n"/>
      <c r="V68" s="187" t="n"/>
      <c r="W68" s="187" t="n"/>
      <c r="X68" s="187" t="n"/>
      <c r="Y68" s="243" t="n">
        <v>0</v>
      </c>
      <c r="Z68" s="243" t="n">
        <v>0</v>
      </c>
      <c r="AA68" s="243" t="n">
        <v>0.25</v>
      </c>
      <c r="AB68" s="243" t="n">
        <v>0.5</v>
      </c>
      <c r="AC68" s="300" t="n"/>
      <c r="AD68" s="300" t="n"/>
      <c r="AE68" s="300" t="n"/>
      <c r="AF68" s="300" t="n"/>
      <c r="AG68" s="297">
        <f>ROUND($O68*P68,0)</f>
        <v/>
      </c>
      <c r="AH68" s="297">
        <f>ROUND($O68*Q68,0)</f>
        <v/>
      </c>
      <c r="AI68" s="297">
        <f>ROUND($O68*R68,0)</f>
        <v/>
      </c>
      <c r="AJ68" s="297">
        <f>ROUND($O68*S68,0)</f>
        <v/>
      </c>
      <c r="AK68" s="297">
        <f>ROUND($O68*T68,0)</f>
        <v/>
      </c>
      <c r="AL68" s="297">
        <f>ROUND($O68*U68,0)</f>
        <v/>
      </c>
      <c r="AM68" s="297">
        <f>ROUND($O68*V68,0)</f>
        <v/>
      </c>
      <c r="AN68" s="297">
        <f>ROUND($O68*W68,0)</f>
        <v/>
      </c>
      <c r="AO68" s="297">
        <f>ROUND($O68*X68,0)</f>
        <v/>
      </c>
      <c r="AP68" s="298">
        <f>ROUND($O68*Y68,0)</f>
        <v/>
      </c>
      <c r="AQ68" s="298">
        <f>ROUND($O68*Z68,0)</f>
        <v/>
      </c>
      <c r="AR68" s="298">
        <f>ROUND($O68*AA68,0)</f>
        <v/>
      </c>
      <c r="AS68" s="298">
        <f>ROUND($O68*AB68,0)</f>
        <v/>
      </c>
      <c r="AT68" s="195" t="n"/>
      <c r="AU68" s="195" t="n"/>
      <c r="AV68" s="195" t="n"/>
      <c r="AW68" s="195" t="n"/>
      <c r="AX68" s="236">
        <f>SUM(AG68:AO68)</f>
        <v/>
      </c>
      <c r="AY68" s="528">
        <f>AX68/160</f>
        <v/>
      </c>
      <c r="AZ68" s="87">
        <f>VLOOKUP(I68,Listy!$A$1:$H$9,6,FALSE)</f>
        <v/>
      </c>
      <c r="BA68" s="682">
        <f>AY68*AZ68</f>
        <v/>
      </c>
      <c r="BB68" s="683">
        <f>AY68*BA68</f>
        <v/>
      </c>
      <c r="BC68" s="528" t="n"/>
      <c r="BD68" s="528" t="n"/>
      <c r="BE68" s="528" t="n"/>
      <c r="BF68" s="528" t="n"/>
      <c r="BG68" s="528" t="n"/>
      <c r="BH68" s="528" t="n"/>
      <c r="BI68" s="314">
        <f>BG68*BH68</f>
        <v/>
      </c>
      <c r="BJ68" s="528" t="n"/>
      <c r="BK68" s="51" t="n"/>
      <c r="BL68" s="314" t="n"/>
      <c r="BM68" s="399" t="n"/>
      <c r="BN68" s="528" t="n"/>
      <c r="BO68" s="314" t="n"/>
      <c r="BP68" s="528" t="n"/>
      <c r="BQ68" s="528" t="n"/>
      <c r="BR68" s="314" t="n"/>
      <c r="BS68" s="314" t="n"/>
      <c r="BT68" s="528" t="n"/>
      <c r="BU68" s="528" t="n"/>
      <c r="BV68" s="528" t="n"/>
      <c r="BW68" s="314">
        <f>BU68*BV68</f>
        <v/>
      </c>
      <c r="BX68" s="528" t="n"/>
      <c r="BY68" s="528" t="n"/>
      <c r="BZ68" s="528" t="n"/>
      <c r="CA68" s="314">
        <f>BY68*BZ68</f>
        <v/>
      </c>
      <c r="CB68" s="528" t="n"/>
      <c r="CC68" s="528" t="n"/>
      <c r="CD68" s="528" t="n"/>
      <c r="CE68" s="314">
        <f>CC68*CD68</f>
        <v/>
      </c>
    </row>
    <row r="69" ht="15" customHeight="1" s="191" thickBot="1">
      <c r="A69" s="101" t="n">
        <v>11</v>
      </c>
      <c r="B69" s="104" t="inlineStr">
        <is>
          <t>a</t>
        </is>
      </c>
      <c r="C69" s="102" t="n">
        <v>1</v>
      </c>
      <c r="D69" s="115">
        <f>CONCATENATE(A$3,"_",A69,"_",B69,"_",C69)</f>
        <v/>
      </c>
      <c r="E69" s="119" t="inlineStr">
        <is>
          <t>11.Dokumentacja i szkolenie</t>
        </is>
      </c>
      <c r="F69" s="46" t="n"/>
      <c r="G69" s="46" t="n"/>
      <c r="H69" s="133" t="n">
        <v>13</v>
      </c>
      <c r="I69" s="100" t="inlineStr">
        <is>
          <t>ACT</t>
        </is>
      </c>
      <c r="J69" s="91">
        <f>M68</f>
        <v/>
      </c>
      <c r="K69" s="681">
        <f>VLOOKUP(J69,Kalendarz!B:E,4,FALSE)</f>
        <v/>
      </c>
      <c r="L69" s="681">
        <f>K69+N69</f>
        <v/>
      </c>
      <c r="M69" s="528">
        <f>J69+N69-1</f>
        <v/>
      </c>
      <c r="N69" s="474" t="n">
        <v>1</v>
      </c>
      <c r="O69" s="528" t="n">
        <v>200</v>
      </c>
      <c r="P69" s="187" t="n">
        <v>0.2</v>
      </c>
      <c r="Q69" s="187" t="n">
        <v>0.2</v>
      </c>
      <c r="R69" s="187" t="n">
        <v>0</v>
      </c>
      <c r="S69" s="187" t="n">
        <v>0</v>
      </c>
      <c r="T69" s="187" t="n"/>
      <c r="U69" s="187" t="n"/>
      <c r="V69" s="187" t="n"/>
      <c r="W69" s="187" t="n"/>
      <c r="X69" s="187" t="n"/>
      <c r="Y69" s="243" t="n">
        <v>0.2</v>
      </c>
      <c r="Z69" s="243" t="n">
        <v>0.2</v>
      </c>
      <c r="AA69" s="243" t="n">
        <v>0</v>
      </c>
      <c r="AB69" s="243" t="n">
        <v>0.2</v>
      </c>
      <c r="AC69" s="300" t="n"/>
      <c r="AD69" s="300" t="n"/>
      <c r="AE69" s="300" t="n"/>
      <c r="AF69" s="300" t="n"/>
      <c r="AG69" s="297">
        <f>ROUND($O69*P69,0)</f>
        <v/>
      </c>
      <c r="AH69" s="297">
        <f>ROUND($O69*Q69,0)</f>
        <v/>
      </c>
      <c r="AI69" s="297">
        <f>ROUND($O69*R69,0)</f>
        <v/>
      </c>
      <c r="AJ69" s="297">
        <f>ROUND($O69*S69,0)</f>
        <v/>
      </c>
      <c r="AK69" s="297">
        <f>ROUND($O69*T69,0)</f>
        <v/>
      </c>
      <c r="AL69" s="297">
        <f>ROUND($O69*U69,0)</f>
        <v/>
      </c>
      <c r="AM69" s="297">
        <f>ROUND($O69*V69,0)</f>
        <v/>
      </c>
      <c r="AN69" s="297">
        <f>ROUND($O69*W69,0)</f>
        <v/>
      </c>
      <c r="AO69" s="297">
        <f>ROUND($O69*X69,0)</f>
        <v/>
      </c>
      <c r="AP69" s="298">
        <f>ROUND($O69*Y69,0)</f>
        <v/>
      </c>
      <c r="AQ69" s="298">
        <f>ROUND($O69*Z69,0)</f>
        <v/>
      </c>
      <c r="AR69" s="298">
        <f>ROUND($O69*AA69,0)</f>
        <v/>
      </c>
      <c r="AS69" s="298">
        <f>ROUND($O69*AB69,0)</f>
        <v/>
      </c>
      <c r="AT69" s="195" t="n"/>
      <c r="AU69" s="195" t="n"/>
      <c r="AV69" s="195" t="n"/>
      <c r="AW69" s="195" t="n"/>
      <c r="AX69" s="236">
        <f>SUM(AG69:AO69)</f>
        <v/>
      </c>
      <c r="AY69" s="528">
        <f>AX69/160</f>
        <v/>
      </c>
      <c r="AZ69" s="87">
        <f>VLOOKUP(I69,Listy!$A$1:$H$9,6,FALSE)</f>
        <v/>
      </c>
      <c r="BA69" s="682">
        <f>AY69*AZ69</f>
        <v/>
      </c>
      <c r="BB69" s="683">
        <f>AY69*BA69</f>
        <v/>
      </c>
      <c r="BC69" s="528" t="n"/>
      <c r="BD69" s="528" t="n"/>
      <c r="BE69" s="528" t="n"/>
      <c r="BF69" s="528" t="n"/>
      <c r="BG69" s="528" t="n"/>
      <c r="BH69" s="528" t="n"/>
      <c r="BI69" s="14">
        <f>BG69*BH69</f>
        <v/>
      </c>
      <c r="BJ69" s="528" t="n"/>
      <c r="BK69" s="51" t="n"/>
      <c r="BL69" s="14" t="n">
        <v>0</v>
      </c>
      <c r="BM69" s="399" t="n"/>
      <c r="BN69" s="528" t="n"/>
      <c r="BO69" s="14" t="n">
        <v>0</v>
      </c>
      <c r="BP69" s="528" t="n"/>
      <c r="BQ69" s="528" t="n"/>
      <c r="BR69" s="14" t="n">
        <v>0</v>
      </c>
      <c r="BS69" s="14" t="n">
        <v>0</v>
      </c>
      <c r="BT69" s="528" t="n"/>
      <c r="BU69" s="528" t="n"/>
      <c r="BV69" s="528" t="n"/>
      <c r="BW69" s="14">
        <f>BU69*BV69</f>
        <v/>
      </c>
      <c r="BX69" s="528" t="n"/>
      <c r="BY69" s="528" t="n"/>
      <c r="BZ69" s="528" t="n"/>
      <c r="CA69" s="14">
        <f>BY69*BZ69</f>
        <v/>
      </c>
      <c r="CB69" s="528" t="n"/>
      <c r="CC69" s="528" t="n"/>
      <c r="CD69" s="528" t="n"/>
      <c r="CE69" s="14">
        <f>CC69*CD69</f>
        <v/>
      </c>
      <c r="CF69" s="40">
        <f>AY69+BB69+BI69+BL69+BO69+BR69+BS69+BW69+CA69+CE69</f>
        <v/>
      </c>
    </row>
    <row r="70" customFormat="1" s="538">
      <c r="A70" s="349" t="n"/>
      <c r="B70" s="350" t="n"/>
      <c r="C70" s="349" t="n"/>
      <c r="D70" s="333" t="n"/>
      <c r="E70" s="354" t="n"/>
      <c r="F70" s="336" t="n"/>
      <c r="G70" s="336" t="n"/>
      <c r="H70" s="13" t="n"/>
      <c r="I70" s="336" t="n"/>
      <c r="J70" s="336" t="n"/>
      <c r="K70" s="336" t="n"/>
      <c r="L70" s="336" t="n"/>
      <c r="M70" s="336" t="n"/>
      <c r="N70" s="336" t="n"/>
      <c r="O70" s="336" t="n"/>
      <c r="P70" s="336" t="n"/>
      <c r="Q70" s="336" t="n"/>
      <c r="R70" s="430" t="n"/>
      <c r="S70" s="430" t="n"/>
      <c r="T70" s="430" t="n"/>
      <c r="U70" s="430" t="n"/>
      <c r="V70" s="430" t="n"/>
      <c r="W70" s="430" t="n"/>
      <c r="X70" s="430" t="n"/>
      <c r="Y70" s="430" t="n"/>
      <c r="Z70" s="430" t="n"/>
      <c r="AA70" s="430" t="n"/>
      <c r="AB70" s="430" t="n"/>
      <c r="AC70" s="338" t="n"/>
      <c r="AD70" s="338" t="n"/>
      <c r="AE70" s="338" t="n"/>
      <c r="AF70" s="338" t="n"/>
      <c r="AG70" s="585">
        <f>SUM(AG$3:AG69)</f>
        <v/>
      </c>
      <c r="AH70" s="586">
        <f>SUM(AH$3:AH69)</f>
        <v/>
      </c>
      <c r="AI70" s="586">
        <f>SUM(AI$3:AI69)</f>
        <v/>
      </c>
      <c r="AJ70" s="586">
        <f>SUM(AJ$3:AJ69)</f>
        <v/>
      </c>
      <c r="AK70" s="586">
        <f>SUM(AK$3:AK69)</f>
        <v/>
      </c>
      <c r="AL70" s="586">
        <f>SUM(AL$3:AL69)</f>
        <v/>
      </c>
      <c r="AM70" s="586">
        <f>SUM(AM$3:AM69)</f>
        <v/>
      </c>
      <c r="AN70" s="586">
        <f>SUM(AN$3:AN69)</f>
        <v/>
      </c>
      <c r="AO70" s="587">
        <f>SUM(AO$3:AO69)</f>
        <v/>
      </c>
      <c r="AP70" s="579">
        <f>SUM(AP$3:AP69)</f>
        <v/>
      </c>
      <c r="AQ70" s="580">
        <f>SUM(AQ$3:AQ69)</f>
        <v/>
      </c>
      <c r="AR70" s="580">
        <f>SUM(AR$3:AR69)</f>
        <v/>
      </c>
      <c r="AS70" s="581">
        <f>SUM(AS$3:AS69)</f>
        <v/>
      </c>
      <c r="AT70" s="572">
        <f>SUM(AT$3:AT69)</f>
        <v/>
      </c>
      <c r="AU70" s="573">
        <f>SUM(AU$3:AU69)</f>
        <v/>
      </c>
      <c r="AV70" s="573">
        <f>SUM(AV$3:AV69)</f>
        <v/>
      </c>
      <c r="AW70" s="574">
        <f>SUM(AW$3:AW69)</f>
        <v/>
      </c>
      <c r="AX70" s="684">
        <f>SUM(AX$3:AX69)</f>
        <v/>
      </c>
      <c r="AZ70" s="336" t="n"/>
      <c r="BA70" s="336" t="n"/>
      <c r="BC70" s="336" t="n"/>
      <c r="BD70" s="336" t="n"/>
      <c r="BE70" s="336" t="n"/>
      <c r="BF70" s="336" t="n"/>
      <c r="BG70" s="336" t="n"/>
      <c r="BH70" s="336" t="n"/>
      <c r="BJ70" s="336" t="n"/>
      <c r="BK70" s="336" t="n"/>
      <c r="BM70" s="336" t="n"/>
      <c r="BN70" s="336" t="n"/>
      <c r="BP70" s="336" t="n"/>
      <c r="BQ70" s="336" t="n"/>
      <c r="BT70" s="336" t="n"/>
      <c r="BU70" s="336" t="n"/>
      <c r="BV70" s="336" t="n"/>
      <c r="BX70" s="336" t="n"/>
      <c r="BY70" s="336" t="n"/>
      <c r="BZ70" s="336" t="n"/>
      <c r="CB70" s="336" t="n"/>
      <c r="CC70" s="336" t="n"/>
      <c r="CD70" s="336" t="n"/>
    </row>
    <row r="71" customFormat="1" s="538">
      <c r="A71" s="349" t="n"/>
      <c r="B71" s="350" t="n"/>
      <c r="C71" s="349" t="n"/>
      <c r="D71" s="333" t="n"/>
      <c r="E71" s="333" t="n"/>
      <c r="F71" s="336" t="n"/>
      <c r="G71" s="336" t="n"/>
      <c r="H71" s="335" t="n"/>
      <c r="I71" s="336" t="n"/>
      <c r="J71" s="336" t="n"/>
      <c r="K71" s="336" t="n"/>
      <c r="L71" s="336" t="n"/>
      <c r="M71" s="336" t="n"/>
      <c r="N71" s="336" t="n"/>
      <c r="O71" s="336" t="n"/>
      <c r="P71" s="430" t="n"/>
      <c r="Q71" s="430" t="n"/>
      <c r="R71" s="430" t="n"/>
      <c r="S71" s="430" t="n"/>
      <c r="T71" s="430" t="n"/>
      <c r="U71" s="430" t="n"/>
      <c r="V71" s="430" t="n"/>
      <c r="W71" s="430" t="n"/>
      <c r="X71" s="430" t="n"/>
      <c r="Y71" s="357" t="n"/>
      <c r="Z71" s="357" t="n"/>
      <c r="AA71" s="357" t="n"/>
      <c r="AB71" s="430" t="n"/>
      <c r="AC71" s="338" t="n"/>
      <c r="AD71" s="338" t="n"/>
      <c r="AE71" s="338" t="n"/>
      <c r="AF71" s="338" t="n"/>
      <c r="AG71" s="588">
        <f>Listy!$AA$1&amp;AG70/20</f>
        <v/>
      </c>
      <c r="AH71" s="589">
        <f>Listy!$AA$1&amp;AH70/20</f>
        <v/>
      </c>
      <c r="AI71" s="589">
        <f>Listy!$AA$1&amp;AI70/20</f>
        <v/>
      </c>
      <c r="AJ71" s="589">
        <f>Listy!$AA$1&amp;AJ70/20</f>
        <v/>
      </c>
      <c r="AK71" s="589">
        <f>Listy!$AA$1&amp;AK70/20</f>
        <v/>
      </c>
      <c r="AL71" s="589">
        <f>Listy!$AA$1&amp;AL70/20</f>
        <v/>
      </c>
      <c r="AM71" s="589">
        <f>Listy!$AA$1&amp;AM70/20</f>
        <v/>
      </c>
      <c r="AN71" s="589">
        <f>Listy!$AA$1&amp;AN70/20</f>
        <v/>
      </c>
      <c r="AO71" s="590">
        <f>Listy!$AA$1&amp;AO70/20</f>
        <v/>
      </c>
      <c r="AP71" s="582">
        <f>Listy!$AA$1&amp;AP70/20</f>
        <v/>
      </c>
      <c r="AQ71" s="583">
        <f>Listy!$AA$1&amp;AQ70/20</f>
        <v/>
      </c>
      <c r="AR71" s="583">
        <f>Listy!$AA$1&amp;AR70/20</f>
        <v/>
      </c>
      <c r="AS71" s="584">
        <f>Listy!$AA$1&amp;AS70/20</f>
        <v/>
      </c>
      <c r="AT71" s="575">
        <f>Listy!$AA$1&amp;AT70/20</f>
        <v/>
      </c>
      <c r="AU71" s="576">
        <f>Listy!$AA$1&amp;AU70/20</f>
        <v/>
      </c>
      <c r="AV71" s="576">
        <f>Listy!$AA$1&amp;AV70/20</f>
        <v/>
      </c>
      <c r="AW71" s="577">
        <f>Listy!$AA$1&amp;AW70/20</f>
        <v/>
      </c>
      <c r="AX71" s="591">
        <f>Listy!$AA$1&amp;AX70/20</f>
        <v/>
      </c>
      <c r="AZ71" s="336" t="n"/>
      <c r="BA71" s="336" t="n"/>
      <c r="BC71" s="336" t="n"/>
      <c r="BD71" s="336" t="n"/>
      <c r="BE71" s="336" t="n"/>
      <c r="BF71" s="336" t="n"/>
      <c r="BG71" s="336" t="n"/>
      <c r="BH71" s="336" t="n"/>
      <c r="BJ71" s="336" t="n"/>
      <c r="BK71" s="336" t="n"/>
      <c r="BM71" s="336" t="n"/>
      <c r="BN71" s="336" t="n"/>
      <c r="BP71" s="336" t="n"/>
      <c r="BQ71" s="336" t="n"/>
      <c r="BT71" s="336" t="n"/>
      <c r="BU71" s="336" t="n"/>
      <c r="BV71" s="336" t="n"/>
      <c r="BX71" s="336" t="n"/>
      <c r="BY71" s="336" t="n"/>
      <c r="BZ71" s="336" t="n"/>
      <c r="CB71" s="336" t="n"/>
      <c r="CC71" s="336" t="n"/>
      <c r="CD71" s="336" t="n"/>
    </row>
    <row r="72">
      <c r="F72" s="40" t="n"/>
      <c r="G72" s="40" t="n"/>
      <c r="H72" s="40" t="n"/>
      <c r="AG72" s="339" t="n"/>
    </row>
    <row r="73"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H73" s="104" t="n"/>
      <c r="AI73" s="104" t="n"/>
      <c r="AJ73" s="104" t="n"/>
      <c r="AK73" s="104" t="n"/>
      <c r="AL73" s="104" t="n"/>
      <c r="AM73" s="104" t="n"/>
      <c r="AN73" s="104" t="n"/>
      <c r="AO73" s="104" t="n"/>
      <c r="AP73" s="104" t="n"/>
      <c r="AQ73" s="104" t="n"/>
      <c r="AR73" s="104" t="n"/>
      <c r="AS73" s="104" t="n"/>
      <c r="AT73" s="104" t="n"/>
      <c r="AU73" s="104" t="n"/>
      <c r="AV73" s="104" t="n"/>
      <c r="AW73" s="104" t="n"/>
      <c r="CF73" s="40" t="n"/>
    </row>
    <row r="74"/>
    <row r="75"/>
    <row r="76"/>
    <row r="77"/>
    <row r="78" ht="18" customHeight="1" s="191">
      <c r="AR78" s="200" t="n"/>
    </row>
  </sheetData>
  <conditionalFormatting sqref="P5:X10 P12:X16 P19:X28 P30:X36 P38:X41 P43:X47 P49:X51 P53:X57 P59:X62 P64:X65 P67:X69 P72:AF72 P74:BC77 P78:AQ78 P79:AB1048576 Q4:CM4 AG79:AS1048576 AH72:BD72 AS78:BC78">
    <cfRule type="cellIs" priority="24" operator="greaterThan" dxfId="0">
      <formula>0</formula>
    </cfRule>
  </conditionalFormatting>
  <conditionalFormatting sqref="Y5:AB6">
    <cfRule type="cellIs" priority="12" operator="greaterThan" dxfId="51">
      <formula>0</formula>
    </cfRule>
  </conditionalFormatting>
  <conditionalFormatting sqref="Y7:AB10">
    <cfRule type="cellIs" priority="11" operator="greaterThan" dxfId="51">
      <formula>0</formula>
    </cfRule>
  </conditionalFormatting>
  <conditionalFormatting sqref="Y12:AB15 AA16:AB16">
    <cfRule type="cellIs" priority="10" operator="greaterThan" dxfId="51">
      <formula>0</formula>
    </cfRule>
  </conditionalFormatting>
  <conditionalFormatting sqref="Y16:Z16">
    <cfRule type="cellIs" priority="9" operator="greaterThan" dxfId="51">
      <formula>0</formula>
    </cfRule>
  </conditionalFormatting>
  <conditionalFormatting sqref="Y19:AB28 Y30:AB36 Y38:AB41 Y43:AB47 Y49:AB51 Y53:AB57 Y59:AB62 Y64:AB65 Y67:AB69">
    <cfRule type="cellIs" priority="8" operator="greaterThan" dxfId="51">
      <formula>0</formula>
    </cfRule>
  </conditionalFormatting>
  <conditionalFormatting sqref="AC5:AF10 AC12:AF16 AC19:AF28 AC30:AF36 AC38:AF41 AC43:AF47 AC49:AF51 AC53:AF57 AC59:AF62 AC64:AF65 AC67:AF69">
    <cfRule type="cellIs" priority="7" operator="greaterThan" dxfId="51">
      <formula>0</formula>
    </cfRule>
  </conditionalFormatting>
  <conditionalFormatting sqref="AG5:AO10 AG12:AO14">
    <cfRule type="cellIs" priority="6" operator="greaterThan" dxfId="51">
      <formula>0</formula>
    </cfRule>
  </conditionalFormatting>
  <conditionalFormatting sqref="AG15:AO16 AG19:AO28 AG30:AO36 AG38:AO41 AG43:AO47 AG49:AO51 AG53:AO57 AG59:AO62 AG64:AO65 AG67:AO69">
    <cfRule type="cellIs" priority="5" operator="greaterThan" dxfId="51">
      <formula>0</formula>
    </cfRule>
  </conditionalFormatting>
  <conditionalFormatting sqref="AP5:AS8">
    <cfRule type="cellIs" priority="3" operator="greaterThan" dxfId="51">
      <formula>0</formula>
    </cfRule>
  </conditionalFormatting>
  <conditionalFormatting sqref="AP9:AS10 AP12:AS16 AP19:AS28 AP30:AS36 AP38:AS41 AP43:AS47 AP49:AS51 AP53:AS57 AP59:AS62 AP64:AS65 AP67:AS69">
    <cfRule type="cellIs" priority="2" operator="greaterThan" dxfId="51">
      <formula>0</formula>
    </cfRule>
  </conditionalFormatting>
  <conditionalFormatting sqref="AX73:BD73">
    <cfRule type="cellIs" priority="1" operator="greaterThan" dxfId="0">
      <formula>0</formula>
    </cfRule>
  </conditionalFormatting>
  <pageMargins left="0.7" right="0.7" top="0.75" bottom="0.75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F959"/>
  <sheetViews>
    <sheetView zoomScale="85" zoomScaleNormal="85" workbookViewId="0">
      <pane xSplit="5" ySplit="2" topLeftCell="M3" activePane="bottomRight" state="frozen"/>
      <selection pane="topRight" activeCell="F1" sqref="F1"/>
      <selection pane="bottomLeft" activeCell="A3" sqref="A3"/>
      <selection pane="bottomRight" activeCell="N1" sqref="N1"/>
    </sheetView>
  </sheetViews>
  <sheetFormatPr baseColWidth="8" defaultColWidth="14.44140625" defaultRowHeight="15" customHeight="1"/>
  <cols>
    <col width="5" customWidth="1" style="191" min="1" max="2"/>
    <col width="5" customWidth="1" style="289" min="3" max="3"/>
    <col width="9.77734375" customWidth="1" style="191" min="4" max="4"/>
    <col width="75.6640625" customWidth="1" style="69" min="5" max="5"/>
    <col width="8.6640625" customWidth="1" style="191" min="6" max="6"/>
    <col width="16.6640625" customWidth="1" style="191" min="7" max="7"/>
    <col width="8.109375" bestFit="1" customWidth="1" style="191" min="8" max="8"/>
    <col width="11.109375" bestFit="1" customWidth="1" style="191" min="9" max="9"/>
    <col width="16" bestFit="1" customWidth="1" style="191" min="10" max="10"/>
    <col width="9.109375" bestFit="1" customWidth="1" style="191" min="14" max="14"/>
    <col width="9.109375" customWidth="1" style="191" min="15" max="15"/>
    <col width="8.6640625" customWidth="1" style="191" min="16" max="28"/>
    <col width="10.88671875" customWidth="1" style="191" min="29" max="32"/>
    <col width="8.6640625" customWidth="1" style="191" min="33" max="45"/>
    <col width="10.6640625" customWidth="1" style="191" min="46" max="49"/>
    <col width="8.6640625" customWidth="1" style="191" min="50" max="52"/>
    <col width="10.88671875" bestFit="1" customWidth="1" style="191" min="53" max="53"/>
    <col width="14.88671875" customWidth="1" style="191" min="54" max="54"/>
    <col width="8.6640625" customWidth="1" style="191" min="55" max="60"/>
    <col width="11.5546875" customWidth="1" style="191" min="61" max="61"/>
    <col width="8.6640625" customWidth="1" style="191" min="62" max="69"/>
    <col width="10.33203125" customWidth="1" style="191" min="70" max="70"/>
    <col width="7.44140625" customWidth="1" style="191" min="71" max="71"/>
    <col width="8.6640625" customWidth="1" style="191" min="72" max="74"/>
    <col width="8.44140625" customWidth="1" style="191" min="75" max="75"/>
    <col width="8.6640625" customWidth="1" style="191" min="76" max="83"/>
  </cols>
  <sheetData>
    <row r="1" s="191" thickBot="1">
      <c r="A1" s="115" t="n"/>
      <c r="B1" s="115" t="n"/>
      <c r="C1" s="115" t="n"/>
      <c r="D1" s="115" t="n"/>
      <c r="E1" s="678" t="inlineStr">
        <is>
          <t>HARMONOGRAM SKOMPRESOWANY v1  |  01.01.2027 – 28.09.2029  |  Kompresja −40% per zadanie  |  Endava +5 etatów  |  AGH +4 etatów</t>
        </is>
      </c>
      <c r="F1" s="662" t="n"/>
      <c r="G1" s="471" t="n"/>
      <c r="H1" s="662" t="n"/>
      <c r="I1" s="662" t="n"/>
      <c r="J1" s="551">
        <f>IV_Baza_BDCB!M1+1</f>
        <v/>
      </c>
      <c r="K1" s="475" t="inlineStr">
        <is>
          <t>równolegle z Zadaniem III</t>
        </is>
      </c>
      <c r="L1" s="475" t="n"/>
      <c r="M1" s="551">
        <f>MAX(M3:M9999)</f>
        <v/>
      </c>
      <c r="N1" s="679">
        <f>SUM(N$4:N$999)</f>
        <v/>
      </c>
      <c r="O1" s="686">
        <f>SUM(O$4:O$999)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AX1" s="373">
        <f>#REF!</f>
        <v/>
      </c>
      <c r="AY1" s="374" t="n"/>
      <c r="AZ1" s="374" t="n"/>
      <c r="BA1" s="374" t="n"/>
      <c r="BB1" s="375" t="n"/>
      <c r="BC1" s="369">
        <f>#REF!</f>
        <v/>
      </c>
      <c r="BD1" s="370" t="n"/>
      <c r="BE1" s="369" t="n"/>
      <c r="BF1" s="370" t="n"/>
      <c r="BG1" s="369" t="n"/>
      <c r="BH1" s="370" t="n"/>
      <c r="BI1" s="371">
        <f>#REF!</f>
        <v/>
      </c>
      <c r="BJ1" s="371" t="n"/>
      <c r="BK1" s="371" t="n"/>
      <c r="BL1" s="371" t="n"/>
      <c r="BM1" s="372" t="n"/>
      <c r="BN1" s="372" t="n"/>
      <c r="BO1" s="372" t="n"/>
      <c r="BP1" s="372" t="n"/>
      <c r="BQ1" s="372" t="n"/>
      <c r="BR1" s="372" t="n"/>
      <c r="BS1" s="372" t="n"/>
      <c r="BT1" s="372" t="n"/>
      <c r="BU1" s="372" t="n"/>
      <c r="BV1" s="372" t="n"/>
      <c r="BW1" s="372" t="n"/>
      <c r="BX1" s="687">
        <f>#REF!</f>
        <v/>
      </c>
      <c r="BY1" s="688" t="n"/>
      <c r="BZ1" s="688" t="n"/>
      <c r="CA1" s="689" t="n"/>
      <c r="CB1" s="687">
        <f>#REF!</f>
        <v/>
      </c>
      <c r="CC1" s="688" t="n"/>
      <c r="CD1" s="688" t="n"/>
      <c r="CE1" s="689" t="n"/>
    </row>
    <row r="2" ht="72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380">
        <f>Karta!BH2</f>
        <v/>
      </c>
      <c r="AY2" s="380">
        <f>Karta!BI2</f>
        <v/>
      </c>
      <c r="AZ2" s="380">
        <f>Karta!BJ2</f>
        <v/>
      </c>
      <c r="BA2" s="380">
        <f>Karta!BK2</f>
        <v/>
      </c>
      <c r="BB2" s="380">
        <f>Karta!BL2</f>
        <v/>
      </c>
      <c r="BC2" s="6">
        <f>Karta!BM2</f>
        <v/>
      </c>
      <c r="BD2" s="6">
        <f>Karta!BN2</f>
        <v/>
      </c>
      <c r="BE2" s="6">
        <f>Karta!BO2</f>
        <v/>
      </c>
      <c r="BF2" s="6">
        <f>Karta!BP2</f>
        <v/>
      </c>
      <c r="BG2" s="6">
        <f>Karta!BQ2</f>
        <v/>
      </c>
      <c r="BH2" s="6">
        <f>Karta!BR2</f>
        <v/>
      </c>
      <c r="BI2" s="6">
        <f>Karta!BS2</f>
        <v/>
      </c>
      <c r="BJ2" s="6">
        <f>Karta!BT2</f>
        <v/>
      </c>
      <c r="BK2" s="6">
        <f>Karta!BU2</f>
        <v/>
      </c>
      <c r="BL2" s="6">
        <f>Karta!BV2</f>
        <v/>
      </c>
      <c r="BM2" s="6">
        <f>Karta!BW2</f>
        <v/>
      </c>
      <c r="BN2" s="6">
        <f>Karta!BX2</f>
        <v/>
      </c>
      <c r="BO2" s="6">
        <f>Karta!BY2</f>
        <v/>
      </c>
      <c r="BP2" s="6">
        <f>Karta!BZ2</f>
        <v/>
      </c>
      <c r="BQ2" s="6">
        <f>Karta!CA2</f>
        <v/>
      </c>
      <c r="BR2" s="6">
        <f>Karta!CB2</f>
        <v/>
      </c>
      <c r="BS2" s="6">
        <f>Karta!CC2</f>
        <v/>
      </c>
      <c r="BT2" s="6">
        <f>Karta!CD2</f>
        <v/>
      </c>
      <c r="BU2" s="6">
        <f>Karta!CE2</f>
        <v/>
      </c>
      <c r="BV2" s="6">
        <f>Karta!CF2</f>
        <v/>
      </c>
      <c r="BW2" s="6">
        <f>Karta!CG2</f>
        <v/>
      </c>
      <c r="BX2" s="6">
        <f>Karta!CH2</f>
        <v/>
      </c>
      <c r="BY2" s="6">
        <f>Karta!CI2</f>
        <v/>
      </c>
      <c r="BZ2" s="6">
        <f>Karta!CJ2</f>
        <v/>
      </c>
      <c r="CA2" s="6">
        <f>Karta!CK2</f>
        <v/>
      </c>
      <c r="CB2" s="6">
        <f>Karta!CL2</f>
        <v/>
      </c>
      <c r="CC2" s="6">
        <f>Karta!CM2</f>
        <v/>
      </c>
      <c r="CD2" s="6">
        <f>Karta!CN2</f>
        <v/>
      </c>
      <c r="CE2" s="6">
        <f>Karta!CO2</f>
        <v/>
      </c>
    </row>
    <row r="3" ht="18" customHeight="1" s="191">
      <c r="A3" s="182" t="inlineStr">
        <is>
          <t>.z05</t>
        </is>
      </c>
      <c r="B3" s="183" t="n"/>
      <c r="C3" s="287" t="n"/>
      <c r="D3" s="185" t="n"/>
      <c r="E3" s="186">
        <f>VLOOKUP(A3,Listy!A:C,2,FALSE) &amp; "   :  " &amp; VLOOKUP(A3,Listy!A:C,3,FALSE)</f>
        <v/>
      </c>
      <c r="G3" s="229" t="n"/>
      <c r="H3" s="444" t="n"/>
      <c r="I3" s="229" t="n"/>
      <c r="J3" s="229" t="n"/>
      <c r="K3" s="444" t="n"/>
      <c r="L3" s="444" t="n"/>
      <c r="M3" s="444" t="n"/>
      <c r="N3" s="229" t="n"/>
      <c r="O3" s="72" t="n"/>
      <c r="P3" s="451" t="n"/>
      <c r="Q3" s="451" t="n"/>
      <c r="R3" s="451" t="n"/>
      <c r="S3" s="451" t="n"/>
      <c r="T3" s="451" t="n"/>
      <c r="U3" s="451" t="n"/>
      <c r="V3" s="451" t="n"/>
      <c r="W3" s="451" t="n"/>
      <c r="X3" s="451" t="n"/>
      <c r="Y3" s="451" t="n"/>
      <c r="Z3" s="451" t="n"/>
      <c r="AA3" s="451" t="n"/>
      <c r="AB3" s="451" t="n"/>
      <c r="AC3" s="451" t="n"/>
      <c r="AD3" s="451" t="n"/>
      <c r="AE3" s="451" t="n"/>
      <c r="AF3" s="451" t="n"/>
      <c r="AG3" s="451" t="n"/>
      <c r="AH3" s="451" t="n"/>
      <c r="AI3" s="451" t="n"/>
      <c r="AJ3" s="451" t="n"/>
      <c r="AK3" s="451" t="n"/>
      <c r="AL3" s="451" t="n"/>
      <c r="AM3" s="451" t="n"/>
      <c r="AN3" s="451" t="n"/>
      <c r="AO3" s="451" t="n"/>
      <c r="AP3" s="451" t="n"/>
      <c r="AQ3" s="451" t="n"/>
      <c r="AR3" s="451" t="n"/>
      <c r="AS3" s="451" t="n"/>
      <c r="AT3" s="451" t="n"/>
      <c r="AU3" s="451" t="n"/>
      <c r="AV3" s="451" t="n"/>
      <c r="AW3" s="451" t="n"/>
      <c r="AX3" s="662" t="n"/>
      <c r="AY3" s="662" t="n"/>
      <c r="AZ3" s="662" t="n"/>
      <c r="BA3" s="662" t="n"/>
      <c r="BB3" s="662" t="n"/>
      <c r="BC3" s="662" t="n"/>
      <c r="BD3" s="662" t="n"/>
      <c r="BE3" s="662" t="n"/>
      <c r="BF3" s="662" t="n"/>
      <c r="BG3" s="662" t="n"/>
      <c r="BH3" s="663" t="n"/>
      <c r="BI3" s="527" t="n"/>
      <c r="BJ3" s="662" t="n"/>
      <c r="BK3" s="663" t="n"/>
      <c r="BL3" s="661">
        <f>#REF!</f>
        <v/>
      </c>
      <c r="BM3" s="662" t="n"/>
      <c r="BN3" s="663" t="n"/>
      <c r="BO3" s="661">
        <f>#REF!</f>
        <v/>
      </c>
      <c r="BP3" s="662" t="n"/>
      <c r="BQ3" s="662" t="n"/>
      <c r="BR3" s="663" t="n"/>
      <c r="BS3" s="661">
        <f>#REF!</f>
        <v/>
      </c>
      <c r="BT3" s="662" t="n"/>
      <c r="BU3" s="662" t="n"/>
      <c r="BV3" s="663" t="n"/>
      <c r="BW3" s="661">
        <f>#REF!</f>
        <v/>
      </c>
      <c r="BX3" s="662" t="n"/>
      <c r="BY3" s="662" t="n"/>
      <c r="BZ3" s="663" t="n"/>
      <c r="CA3" s="661">
        <f>#REF!</f>
        <v/>
      </c>
      <c r="CB3" s="662" t="n"/>
      <c r="CC3" s="662" t="n"/>
      <c r="CD3" s="663" t="n"/>
      <c r="CE3" s="666" t="inlineStr">
        <is>
          <t>Łącznie [PLN]</t>
        </is>
      </c>
    </row>
    <row r="4" ht="18" customHeight="1" s="191">
      <c r="A4" s="159" t="n">
        <v>1</v>
      </c>
      <c r="B4" s="528" t="inlineStr">
        <is>
          <t>a</t>
        </is>
      </c>
      <c r="C4" s="529" t="n">
        <v>-1</v>
      </c>
      <c r="D4" s="160">
        <f>CONCATENATE(A$3,"_",A4,"_",B4,"_",C4)</f>
        <v/>
      </c>
      <c r="E4" s="607" t="inlineStr">
        <is>
          <t>1.Zbieranie i przetwarzanie danych</t>
        </is>
      </c>
      <c r="F4" s="148" t="n"/>
      <c r="G4" s="148" t="n"/>
      <c r="H4" s="148" t="n"/>
      <c r="I4" s="148" t="n"/>
      <c r="J4" s="148" t="n"/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48" t="n"/>
      <c r="V4" s="190" t="n"/>
      <c r="W4" s="148" t="n"/>
      <c r="X4" s="148" t="n"/>
      <c r="Y4" s="148" t="n"/>
      <c r="Z4" s="148" t="n"/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8" t="n"/>
      <c r="AL4" s="148" t="n"/>
      <c r="AM4" s="190" t="n"/>
      <c r="AN4" s="148" t="n"/>
      <c r="AO4" s="148" t="n"/>
      <c r="AP4" s="148" t="n"/>
      <c r="AQ4" s="148" t="n"/>
      <c r="AR4" s="148" t="n"/>
      <c r="AS4" s="148" t="n"/>
      <c r="AT4" s="148" t="n"/>
      <c r="AU4" s="148" t="n"/>
      <c r="AV4" s="148" t="n"/>
      <c r="AW4" s="148" t="n"/>
      <c r="AX4" s="148" t="n"/>
      <c r="AY4" s="148" t="n"/>
      <c r="AZ4" s="148" t="n"/>
      <c r="BA4" s="148" t="n"/>
      <c r="BB4" s="148" t="n"/>
      <c r="BC4" s="148" t="n"/>
      <c r="BD4" s="148" t="n"/>
      <c r="BE4" s="148" t="n"/>
      <c r="BF4" s="148" t="n"/>
      <c r="BG4" s="148" t="n"/>
      <c r="BH4" s="148" t="n"/>
      <c r="BI4" s="148" t="n"/>
      <c r="BJ4" s="148" t="n"/>
      <c r="BK4" s="148" t="n"/>
      <c r="BL4" s="148" t="n"/>
      <c r="BM4" s="148" t="n"/>
      <c r="BN4" s="148" t="n"/>
      <c r="BO4" s="148" t="n"/>
      <c r="BP4" s="148" t="n"/>
      <c r="BQ4" s="148" t="n"/>
      <c r="BR4" s="148" t="n"/>
      <c r="BS4" s="148" t="n"/>
      <c r="BT4" s="148" t="n"/>
      <c r="BU4" s="148" t="n"/>
      <c r="BV4" s="148" t="n"/>
      <c r="BW4" s="148" t="n"/>
      <c r="BX4" s="148" t="n"/>
      <c r="BY4" s="148" t="n"/>
      <c r="BZ4" s="148" t="n"/>
      <c r="CA4" s="148" t="n"/>
      <c r="CB4" s="148" t="n"/>
      <c r="CC4" s="148" t="n"/>
      <c r="CD4" s="148" t="n"/>
      <c r="CE4" s="148" t="n"/>
      <c r="CF4" s="148" t="n"/>
    </row>
    <row r="5" ht="46.8" customHeight="1" s="191">
      <c r="A5" s="57" t="n">
        <v>1</v>
      </c>
      <c r="B5" s="528" t="inlineStr">
        <is>
          <t>a</t>
        </is>
      </c>
      <c r="C5" s="529" t="n">
        <v>0</v>
      </c>
      <c r="D5" s="160">
        <f>CONCATENATE(A$3,"_",A5,"_",B5,"_",C5)</f>
        <v/>
      </c>
      <c r="E5" s="221" t="inlineStr">
        <is>
          <t>Cyfrowy bliźniak bazuje na danych pochodzących z rzeczywistego obiektu/systemu/procesu, dlatego wykorzystywane będą utworzone w ramach projektu autorskie bazy danych</t>
        </is>
      </c>
      <c r="F5" s="472" t="n"/>
      <c r="G5" s="231" t="n"/>
      <c r="H5" s="231" t="n"/>
      <c r="I5" s="231" t="inlineStr">
        <is>
          <t>END/ACT</t>
        </is>
      </c>
      <c r="J5" s="148" t="n"/>
      <c r="K5" s="148" t="n"/>
      <c r="L5" s="148" t="n"/>
      <c r="M5" s="148" t="n"/>
      <c r="N5" s="148" t="n"/>
      <c r="O5" s="148" t="n"/>
      <c r="P5" s="242" t="n"/>
      <c r="Q5" s="242" t="n"/>
      <c r="R5" s="242" t="n"/>
      <c r="S5" s="242" t="n"/>
      <c r="T5" s="242" t="n"/>
      <c r="U5" s="242" t="n"/>
      <c r="V5" s="242" t="n"/>
      <c r="W5" s="242" t="n"/>
      <c r="X5" s="242" t="n"/>
      <c r="Y5" s="243" t="n"/>
      <c r="Z5" s="243" t="n"/>
      <c r="AA5" s="243" t="n"/>
      <c r="AB5" s="243" t="n"/>
      <c r="AC5" s="300" t="n"/>
      <c r="AD5" s="300" t="n"/>
      <c r="AE5" s="300" t="n"/>
      <c r="AF5" s="300" t="n"/>
      <c r="AG5" s="297" t="n"/>
      <c r="AH5" s="297" t="n"/>
      <c r="AI5" s="297" t="n"/>
      <c r="AJ5" s="297" t="n"/>
      <c r="AK5" s="297" t="n"/>
      <c r="AL5" s="297" t="n"/>
      <c r="AM5" s="297" t="n"/>
      <c r="AN5" s="297" t="n"/>
      <c r="AO5" s="297" t="n"/>
      <c r="AP5" s="298">
        <f>ROUND($O5*Y5,0)</f>
        <v/>
      </c>
      <c r="AQ5" s="298">
        <f>ROUND($O5*Z5,0)</f>
        <v/>
      </c>
      <c r="AR5" s="298">
        <f>ROUND($O5*AA5,0)</f>
        <v/>
      </c>
      <c r="AS5" s="299" t="n"/>
      <c r="AT5" s="302">
        <f>ROUND($O5*AC5,0)</f>
        <v/>
      </c>
      <c r="AU5" s="302">
        <f>ROUND($O5*AD5,0)</f>
        <v/>
      </c>
      <c r="AV5" s="302">
        <f>ROUND($O5*AE5,0)</f>
        <v/>
      </c>
      <c r="AW5" s="302">
        <f>ROUND($O5*AF5,0)</f>
        <v/>
      </c>
      <c r="AX5" s="236" t="n"/>
      <c r="AY5" s="528" t="n"/>
      <c r="AZ5" s="87" t="n"/>
      <c r="BA5" s="682" t="n"/>
      <c r="BB5" s="683">
        <f>AY5*BA5</f>
        <v/>
      </c>
      <c r="BC5" s="528" t="n"/>
      <c r="BD5" s="528" t="n"/>
      <c r="BE5" s="528" t="n"/>
      <c r="BF5" s="528" t="n"/>
      <c r="BG5" s="528" t="n"/>
      <c r="BH5" s="21">
        <f>BF5*BG5</f>
        <v/>
      </c>
      <c r="BI5" s="528" t="n"/>
      <c r="BJ5" s="528" t="n"/>
      <c r="BK5" s="21" t="n">
        <v>0</v>
      </c>
      <c r="BL5" s="528" t="n"/>
      <c r="BM5" s="528" t="n"/>
      <c r="BN5" s="21" t="n">
        <v>0</v>
      </c>
      <c r="BO5" s="528" t="n"/>
      <c r="BP5" s="528" t="n"/>
      <c r="BQ5" s="21" t="n">
        <v>0</v>
      </c>
      <c r="BR5" s="21" t="n">
        <v>0</v>
      </c>
      <c r="BS5" s="528" t="n"/>
      <c r="BT5" s="528" t="n"/>
      <c r="BU5" s="528" t="n"/>
      <c r="BV5" s="21">
        <f>BT5*BU5</f>
        <v/>
      </c>
      <c r="BW5" s="528" t="n"/>
      <c r="BX5" s="528" t="n"/>
      <c r="BY5" s="528" t="n"/>
      <c r="BZ5" s="21">
        <f>BX5*BY5</f>
        <v/>
      </c>
      <c r="CA5" s="528" t="n"/>
      <c r="CB5" s="528" t="n"/>
      <c r="CC5" s="528" t="n"/>
      <c r="CD5" s="21">
        <f>CB5*CC5</f>
        <v/>
      </c>
    </row>
    <row r="6" ht="16.5" customHeight="1" s="191">
      <c r="A6" s="57" t="n">
        <v>1</v>
      </c>
      <c r="B6" s="57" t="inlineStr">
        <is>
          <t>a</t>
        </is>
      </c>
      <c r="C6" s="529" t="n">
        <v>1</v>
      </c>
      <c r="D6" s="160">
        <f>CONCATENATE(A$3,"_",A6,"_",B6,"_",C6)</f>
        <v/>
      </c>
      <c r="E6" s="222" t="inlineStr">
        <is>
          <t>Weryfikacja kompletnosci  danych</t>
        </is>
      </c>
      <c r="F6" s="528">
        <f>IFERROR(VLOOKUP($I6,Listy!$A:$H,2,FALSE),"XXX")</f>
        <v/>
      </c>
      <c r="G6" s="528">
        <f>IFERROR(VLOOKUP($I6,Listy!$A:$H,3,FALSE),"XXX")</f>
        <v/>
      </c>
      <c r="H6" s="190" t="n">
        <v>1</v>
      </c>
      <c r="I6" s="89" t="inlineStr">
        <is>
          <t>.a01</t>
        </is>
      </c>
      <c r="J6" s="475">
        <f>J1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74" t="n">
        <v>1</v>
      </c>
      <c r="O6" s="240" t="n">
        <v>80</v>
      </c>
      <c r="P6" s="242" t="n"/>
      <c r="Q6" s="242" t="n"/>
      <c r="R6" s="242" t="n"/>
      <c r="S6" s="242" t="n"/>
      <c r="T6" s="242" t="n">
        <v>0.25</v>
      </c>
      <c r="U6" s="242" t="n">
        <v>0.25</v>
      </c>
      <c r="V6" s="242" t="n">
        <v>0</v>
      </c>
      <c r="W6" s="242" t="n">
        <v>0</v>
      </c>
      <c r="X6" s="242" t="n">
        <v>0</v>
      </c>
      <c r="Y6" s="243" t="n">
        <v>0</v>
      </c>
      <c r="Z6" s="243" t="n">
        <v>0</v>
      </c>
      <c r="AA6" s="243" t="n">
        <v>0.5</v>
      </c>
      <c r="AB6" s="243" t="n"/>
      <c r="AC6" s="300" t="n">
        <v>0</v>
      </c>
      <c r="AD6" s="300" t="n">
        <v>0</v>
      </c>
      <c r="AE6" s="300" t="n">
        <v>0</v>
      </c>
      <c r="AF6" s="300" t="n">
        <v>0</v>
      </c>
      <c r="AG6" s="297">
        <f>ROUND($O6*P6,0)</f>
        <v/>
      </c>
      <c r="AH6" s="297">
        <f>ROUND($O6*Q6,0)</f>
        <v/>
      </c>
      <c r="AI6" s="297">
        <f>ROUND($O6*R6,0)</f>
        <v/>
      </c>
      <c r="AJ6" s="297">
        <f>ROUND($O6*S6,0)</f>
        <v/>
      </c>
      <c r="AK6" s="297">
        <f>ROUND($O6*T6,0)</f>
        <v/>
      </c>
      <c r="AL6" s="297">
        <f>ROUND($O6*U6,0)</f>
        <v/>
      </c>
      <c r="AM6" s="297">
        <f>ROUND($O6*V6,0)</f>
        <v/>
      </c>
      <c r="AN6" s="297">
        <f>ROUND($O6*W6,0)</f>
        <v/>
      </c>
      <c r="AO6" s="297">
        <f>ROUND($O6*X6,0)</f>
        <v/>
      </c>
      <c r="AP6" s="298">
        <f>ROUND($O6*Y6,0)</f>
        <v/>
      </c>
      <c r="AQ6" s="298">
        <f>ROUND($O6*Z6,0)</f>
        <v/>
      </c>
      <c r="AR6" s="298">
        <f>ROUND($O6*AA6,0)</f>
        <v/>
      </c>
      <c r="AS6" s="299" t="n"/>
      <c r="AT6" s="302">
        <f>ROUND($O6*AC6,0)</f>
        <v/>
      </c>
      <c r="AU6" s="302">
        <f>ROUND($O6*AD6,0)</f>
        <v/>
      </c>
      <c r="AV6" s="302">
        <f>ROUND($O6*AE6,0)</f>
        <v/>
      </c>
      <c r="AW6" s="302">
        <f>ROUND($O6*AF6,0)</f>
        <v/>
      </c>
      <c r="AX6" s="236">
        <f>SUM(AG6:AO6)</f>
        <v/>
      </c>
      <c r="AY6" s="528">
        <f>AX6/160</f>
        <v/>
      </c>
      <c r="AZ6" s="87">
        <f>VLOOKUP(I6,Listy!$A$1:$H$9,6,FALSE)</f>
        <v/>
      </c>
      <c r="BA6" s="682">
        <f>AY6*AZ6</f>
        <v/>
      </c>
      <c r="BB6" s="683">
        <f>AY6*BA6</f>
        <v/>
      </c>
      <c r="BC6" s="528" t="n"/>
      <c r="BD6" s="528" t="n"/>
      <c r="BE6" s="528" t="n"/>
      <c r="BF6" s="528" t="n"/>
      <c r="BG6" s="528" t="n"/>
      <c r="BI6" s="528" t="n"/>
      <c r="BJ6" s="528" t="n"/>
      <c r="BL6" s="528" t="n"/>
      <c r="BM6" s="528" t="n"/>
      <c r="BO6" s="528" t="n"/>
      <c r="BP6" s="528" t="n"/>
      <c r="BS6" s="528" t="n"/>
      <c r="BT6" s="528" t="n"/>
      <c r="BU6" s="528" t="n"/>
      <c r="BW6" s="528" t="n"/>
      <c r="BX6" s="528" t="n"/>
      <c r="BY6" s="528" t="n"/>
      <c r="CA6" s="528" t="n"/>
      <c r="CB6" s="528" t="n"/>
      <c r="CC6" s="528" t="n"/>
    </row>
    <row r="7" ht="18" customHeight="1" s="191">
      <c r="A7" s="604" t="n">
        <v>2</v>
      </c>
      <c r="B7" s="528" t="inlineStr">
        <is>
          <t>a</t>
        </is>
      </c>
      <c r="C7" s="529" t="n">
        <v>-1</v>
      </c>
      <c r="D7" s="160">
        <f>CONCATENATE(A$3,"_",A7,"_",B7,"_",C7)</f>
        <v/>
      </c>
      <c r="E7" s="607" t="inlineStr">
        <is>
          <t>2.Modelowanie i symulacje</t>
        </is>
      </c>
      <c r="F7" s="148" t="n"/>
      <c r="G7" s="148" t="n"/>
      <c r="H7" s="190" t="n"/>
      <c r="I7" s="148" t="n"/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74">
        <f>ROUND(MAX(AG7:AO7)/Listy!$U$2,0)</f>
        <v/>
      </c>
      <c r="O7" s="148" t="n"/>
      <c r="P7" s="148" t="n"/>
      <c r="Q7" s="148" t="n"/>
      <c r="R7" s="148" t="n"/>
      <c r="S7" s="148" t="n"/>
      <c r="T7" s="148" t="n"/>
      <c r="U7" s="148" t="n"/>
      <c r="V7" s="190" t="n"/>
      <c r="W7" s="148" t="n"/>
      <c r="X7" s="148" t="n"/>
      <c r="Y7" s="148" t="n"/>
      <c r="Z7" s="148" t="n"/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8" t="n"/>
      <c r="AL7" s="148" t="n"/>
      <c r="AM7" s="190" t="n"/>
      <c r="AN7" s="148" t="n"/>
      <c r="AO7" s="148" t="n"/>
      <c r="AP7" s="148" t="n"/>
      <c r="AQ7" s="148" t="n"/>
      <c r="AR7" s="148" t="n"/>
      <c r="AS7" s="148" t="n"/>
      <c r="AT7" s="148" t="n"/>
      <c r="AU7" s="148" t="n"/>
      <c r="AV7" s="148" t="n"/>
      <c r="AW7" s="148" t="n"/>
      <c r="AX7" s="148" t="n"/>
      <c r="AY7" s="148" t="n"/>
      <c r="AZ7" s="148" t="n"/>
      <c r="BA7" s="148" t="n"/>
      <c r="BB7" s="148" t="n"/>
      <c r="BC7" s="148" t="n"/>
      <c r="BD7" s="148" t="n"/>
      <c r="BE7" s="148" t="n"/>
      <c r="BF7" s="148" t="n"/>
      <c r="BG7" s="148" t="n"/>
      <c r="BH7" s="148" t="n"/>
      <c r="BI7" s="148" t="n"/>
      <c r="BJ7" s="148" t="n"/>
      <c r="BK7" s="148" t="n"/>
      <c r="BL7" s="148" t="n"/>
      <c r="BM7" s="148" t="n"/>
      <c r="BN7" s="148" t="n"/>
      <c r="BO7" s="148" t="n"/>
      <c r="BP7" s="148" t="n"/>
      <c r="BQ7" s="148" t="n"/>
      <c r="BR7" s="148" t="n"/>
      <c r="BS7" s="148" t="n"/>
      <c r="BT7" s="148" t="n"/>
      <c r="BU7" s="148" t="n"/>
      <c r="BV7" s="148" t="n"/>
      <c r="BW7" s="148" t="n"/>
      <c r="BX7" s="148" t="n"/>
      <c r="BY7" s="148" t="n"/>
      <c r="BZ7" s="148" t="n"/>
      <c r="CA7" s="148" t="n"/>
      <c r="CB7" s="148" t="n"/>
      <c r="CC7" s="148" t="n"/>
      <c r="CD7" s="148" t="n"/>
      <c r="CE7" s="148" t="n"/>
      <c r="CF7" s="148" t="n"/>
    </row>
    <row r="8" ht="46.8" customHeight="1" s="191">
      <c r="A8" s="528" t="n">
        <v>2</v>
      </c>
      <c r="B8" s="528" t="inlineStr">
        <is>
          <t>a</t>
        </is>
      </c>
      <c r="C8" s="529" t="n">
        <v>0</v>
      </c>
      <c r="D8" s="160">
        <f>CONCATENATE(A$3,"_",A8,"_",B8,"_",C8)</f>
        <v/>
      </c>
      <c r="E8" s="221" t="inlineStr">
        <is>
          <t>Utworzenie cyfrowych kopii fizycznych obiektów przypisanych do procesów magazynowych (np. regały wysokiego składu i kompletacyjne, przenośniki rolkowe)we)</t>
        </is>
      </c>
      <c r="F8" s="148" t="n"/>
      <c r="G8" s="148" t="n"/>
      <c r="H8" s="190" t="n"/>
      <c r="I8" s="148" t="n"/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74">
        <f>ROUND(MAX(AG8:AO8)/Listy!$U$2,0)</f>
        <v/>
      </c>
      <c r="O8" s="148" t="n"/>
      <c r="P8" s="148" t="n"/>
      <c r="Q8" s="148" t="n"/>
      <c r="R8" s="148" t="n"/>
      <c r="S8" s="148" t="n"/>
      <c r="T8" s="148" t="n"/>
      <c r="U8" s="148" t="n"/>
      <c r="V8" s="190" t="n"/>
      <c r="W8" s="148" t="n"/>
      <c r="X8" s="148" t="n"/>
      <c r="Y8" s="148" t="n"/>
      <c r="Z8" s="148" t="n"/>
      <c r="AA8" s="148" t="n"/>
      <c r="AB8" s="148" t="n"/>
      <c r="AC8" s="148" t="n"/>
      <c r="AD8" s="148" t="n"/>
      <c r="AE8" s="148" t="n"/>
      <c r="AF8" s="148" t="n"/>
      <c r="AG8" s="148" t="n"/>
      <c r="AH8" s="148" t="n"/>
      <c r="AI8" s="148" t="n"/>
      <c r="AJ8" s="148" t="n"/>
      <c r="AK8" s="148" t="n"/>
      <c r="AL8" s="148" t="n"/>
      <c r="AM8" s="190" t="n"/>
      <c r="AN8" s="148" t="n"/>
      <c r="AO8" s="148" t="n"/>
      <c r="AP8" s="148" t="n"/>
      <c r="AQ8" s="148" t="n"/>
      <c r="AR8" s="148" t="n"/>
      <c r="AS8" s="148" t="n"/>
      <c r="AT8" s="148" t="n"/>
      <c r="AU8" s="148" t="n"/>
      <c r="AV8" s="148" t="n"/>
      <c r="AW8" s="148" t="n"/>
      <c r="AX8" s="148" t="n"/>
      <c r="AY8" s="148" t="n"/>
      <c r="AZ8" s="148" t="n"/>
      <c r="BA8" s="148" t="n"/>
      <c r="BB8" s="148" t="n"/>
      <c r="BC8" s="148" t="n"/>
      <c r="BD8" s="148" t="n"/>
      <c r="BE8" s="148" t="n"/>
      <c r="BF8" s="148" t="n"/>
      <c r="BG8" s="148" t="n"/>
      <c r="BH8" s="148" t="n"/>
      <c r="BI8" s="148" t="n"/>
      <c r="BJ8" s="148" t="n"/>
      <c r="BK8" s="148" t="n"/>
      <c r="BL8" s="148" t="n"/>
      <c r="BM8" s="148" t="n"/>
      <c r="BN8" s="148" t="n"/>
      <c r="BO8" s="148" t="n"/>
      <c r="BP8" s="148" t="n"/>
      <c r="BQ8" s="148" t="n"/>
      <c r="BR8" s="148" t="n"/>
      <c r="BS8" s="148" t="n"/>
      <c r="BT8" s="148" t="n"/>
      <c r="BU8" s="148" t="n"/>
      <c r="BV8" s="148" t="n"/>
      <c r="BW8" s="148" t="n"/>
      <c r="BX8" s="148" t="n"/>
      <c r="BY8" s="148" t="n"/>
      <c r="BZ8" s="148" t="n"/>
      <c r="CA8" s="148" t="n"/>
      <c r="CB8" s="148" t="n"/>
      <c r="CC8" s="148" t="n"/>
      <c r="CD8" s="148" t="n"/>
      <c r="CE8" s="148" t="n"/>
      <c r="CF8" s="148" t="n"/>
    </row>
    <row r="9" ht="15.6" customHeight="1" s="191">
      <c r="A9" s="57" t="n">
        <v>2</v>
      </c>
      <c r="B9" s="57" t="inlineStr">
        <is>
          <t>a</t>
        </is>
      </c>
      <c r="C9" s="529" t="n">
        <v>1</v>
      </c>
      <c r="D9" s="160">
        <f>CONCATENATE(A$3,"_",A9,"_",B9,"_",C9)</f>
        <v/>
      </c>
      <c r="E9" s="222" t="inlineStr">
        <is>
          <t>Inwentaryzacja obiektow magazynowych  - magazyn MWS</t>
        </is>
      </c>
      <c r="F9" s="231" t="n"/>
      <c r="G9" s="231" t="inlineStr">
        <is>
          <t>Specjalista</t>
        </is>
      </c>
      <c r="H9" s="528" t="n">
        <v>1</v>
      </c>
      <c r="I9" s="89" t="inlineStr">
        <is>
          <t>.a01</t>
        </is>
      </c>
      <c r="J9" s="91">
        <f>M8+1</f>
        <v/>
      </c>
      <c r="K9" s="681">
        <f>VLOOKUP(J9,Kalendarz!B:E,4,FALSE)</f>
        <v/>
      </c>
      <c r="L9" s="681">
        <f>K9+N9</f>
        <v/>
      </c>
      <c r="M9" s="528">
        <f>J9+N9-1</f>
        <v/>
      </c>
      <c r="N9" s="474" t="n">
        <v>1</v>
      </c>
      <c r="O9" s="295" t="n">
        <v>40</v>
      </c>
      <c r="P9" s="242" t="n"/>
      <c r="Q9" s="242" t="n"/>
      <c r="R9" s="242" t="n"/>
      <c r="S9" s="242" t="n"/>
      <c r="T9" s="242" t="n">
        <v>0</v>
      </c>
      <c r="U9" s="242" t="n">
        <v>0</v>
      </c>
      <c r="V9" s="242" t="n">
        <v>0.33</v>
      </c>
      <c r="W9" s="242" t="n">
        <v>0.33</v>
      </c>
      <c r="X9" s="242" t="n">
        <v>0.34</v>
      </c>
      <c r="Y9" s="243" t="n">
        <v>0</v>
      </c>
      <c r="Z9" s="243" t="n">
        <v>0</v>
      </c>
      <c r="AA9" s="243" t="n">
        <v>0</v>
      </c>
      <c r="AB9" s="243" t="n"/>
      <c r="AC9" s="300" t="n">
        <v>0</v>
      </c>
      <c r="AD9" s="300" t="n">
        <v>0</v>
      </c>
      <c r="AE9" s="300" t="n">
        <v>0</v>
      </c>
      <c r="AF9" s="300" t="n">
        <v>0</v>
      </c>
      <c r="AG9" s="297">
        <f>ROUND($O9*P9,0)</f>
        <v/>
      </c>
      <c r="AH9" s="297">
        <f>ROUND($O9*Q9,0)</f>
        <v/>
      </c>
      <c r="AI9" s="297">
        <f>ROUND($O9*R9,0)</f>
        <v/>
      </c>
      <c r="AJ9" s="297">
        <f>ROUND($O9*S9,0)</f>
        <v/>
      </c>
      <c r="AK9" s="297">
        <f>ROUND($O9*T9,0)</f>
        <v/>
      </c>
      <c r="AL9" s="297">
        <f>ROUND($O9*U9,0)</f>
        <v/>
      </c>
      <c r="AM9" s="297">
        <f>ROUND($O9*V9,0)</f>
        <v/>
      </c>
      <c r="AN9" s="297">
        <f>ROUND($O9*W9,0)</f>
        <v/>
      </c>
      <c r="AO9" s="297">
        <f>ROUND($O9*X9,0)</f>
        <v/>
      </c>
      <c r="AP9" s="298">
        <f>ROUND($O9*Y9,0)</f>
        <v/>
      </c>
      <c r="AQ9" s="298">
        <f>ROUND($O9*Z9,0)</f>
        <v/>
      </c>
      <c r="AR9" s="298">
        <f>ROUND($O9*AA9,0)</f>
        <v/>
      </c>
      <c r="AS9" s="299" t="n"/>
      <c r="AT9" s="302">
        <f>ROUND($O9*AC9,0)</f>
        <v/>
      </c>
      <c r="AU9" s="302">
        <f>ROUND($O9*AD9,0)</f>
        <v/>
      </c>
      <c r="AV9" s="302">
        <f>ROUND($O9*AE9,0)</f>
        <v/>
      </c>
      <c r="AW9" s="302">
        <f>ROUND($O9*AF9,0)</f>
        <v/>
      </c>
      <c r="AX9" s="236">
        <f>SUM(AG9:AO9)</f>
        <v/>
      </c>
      <c r="AY9" s="528">
        <f>AX9/160</f>
        <v/>
      </c>
      <c r="AZ9" s="87">
        <f>VLOOKUP(I9,Listy!$A$1:$H$9,6,FALSE)</f>
        <v/>
      </c>
      <c r="BA9" s="682">
        <f>AY9*AZ9</f>
        <v/>
      </c>
      <c r="BB9" s="528" t="n"/>
      <c r="BC9" s="528" t="n"/>
      <c r="BD9" s="528" t="n"/>
      <c r="BE9" s="528" t="n"/>
      <c r="BF9" s="528" t="n"/>
      <c r="BG9" s="528" t="n"/>
      <c r="BI9" s="528" t="n"/>
      <c r="BJ9" s="528" t="n"/>
      <c r="BL9" s="528" t="n"/>
      <c r="BM9" s="528" t="n"/>
      <c r="BO9" s="528" t="n"/>
      <c r="BP9" s="528" t="n"/>
      <c r="BS9" s="528" t="n"/>
      <c r="BT9" s="528" t="n"/>
      <c r="BU9" s="528" t="n"/>
      <c r="BW9" s="528" t="n"/>
      <c r="BX9" s="528" t="n"/>
      <c r="BY9" s="528" t="n"/>
      <c r="CA9" s="528" t="n"/>
      <c r="CB9" s="528" t="n"/>
      <c r="CC9" s="528" t="n"/>
    </row>
    <row r="10" ht="15.6" customHeight="1" s="191">
      <c r="A10" s="57" t="n">
        <v>2</v>
      </c>
      <c r="B10" s="57" t="inlineStr">
        <is>
          <t>a</t>
        </is>
      </c>
      <c r="C10" s="529" t="n">
        <v>2</v>
      </c>
      <c r="D10" s="160">
        <f>CONCATENATE(A$3,"_",A10,"_",B10,"_",C10)</f>
        <v/>
      </c>
      <c r="E10" s="222" t="inlineStr">
        <is>
          <t xml:space="preserve">Inwentaryzacja obiektow magazynowych  - magazyn kompletacji  - do dyskusji  </t>
        </is>
      </c>
      <c r="F10" s="231" t="n"/>
      <c r="G10" s="231" t="inlineStr">
        <is>
          <t>Specjalista</t>
        </is>
      </c>
      <c r="H10" s="528" t="n">
        <v>1</v>
      </c>
      <c r="I10" s="89" t="inlineStr">
        <is>
          <t>.a02</t>
        </is>
      </c>
      <c r="J10" s="91">
        <f>M9+1</f>
        <v/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74" t="n">
        <v>1</v>
      </c>
      <c r="O10" s="295" t="n">
        <v>40</v>
      </c>
      <c r="P10" s="242" t="n"/>
      <c r="Q10" s="242" t="n"/>
      <c r="R10" s="242" t="n"/>
      <c r="S10" s="242" t="n"/>
      <c r="T10" s="242" t="n">
        <v>0</v>
      </c>
      <c r="U10" s="242" t="n">
        <v>0</v>
      </c>
      <c r="V10" s="242" t="n">
        <v>0.33</v>
      </c>
      <c r="W10" s="242" t="n">
        <v>0.33</v>
      </c>
      <c r="X10" s="242" t="n">
        <v>0.34</v>
      </c>
      <c r="Y10" s="243" t="n">
        <v>0</v>
      </c>
      <c r="Z10" s="243" t="n">
        <v>0</v>
      </c>
      <c r="AA10" s="243" t="n">
        <v>0</v>
      </c>
      <c r="AB10" s="243" t="n"/>
      <c r="AC10" s="300" t="n">
        <v>0</v>
      </c>
      <c r="AD10" s="300" t="n">
        <v>0</v>
      </c>
      <c r="AE10" s="300" t="n">
        <v>0</v>
      </c>
      <c r="AF10" s="300" t="n">
        <v>0</v>
      </c>
      <c r="AG10" s="297">
        <f>ROUND($O10*P10,0)</f>
        <v/>
      </c>
      <c r="AH10" s="297">
        <f>ROUND($O10*Q10,0)</f>
        <v/>
      </c>
      <c r="AI10" s="297">
        <f>ROUND($O10*R10,0)</f>
        <v/>
      </c>
      <c r="AJ10" s="297">
        <f>ROUND($O10*S10,0)</f>
        <v/>
      </c>
      <c r="AK10" s="297">
        <f>ROUND($O10*T10,0)</f>
        <v/>
      </c>
      <c r="AL10" s="297">
        <f>ROUND($O10*U10,0)</f>
        <v/>
      </c>
      <c r="AM10" s="297">
        <f>ROUND($O10*V10,0)</f>
        <v/>
      </c>
      <c r="AN10" s="297">
        <f>ROUND($O10*W10,0)</f>
        <v/>
      </c>
      <c r="AO10" s="297">
        <f>ROUND($O10*X10,0)</f>
        <v/>
      </c>
      <c r="AP10" s="298">
        <f>ROUND($O10*Y10,0)</f>
        <v/>
      </c>
      <c r="AQ10" s="298">
        <f>ROUND($O10*Z10,0)</f>
        <v/>
      </c>
      <c r="AR10" s="298">
        <f>ROUND($O10*AA10,0)</f>
        <v/>
      </c>
      <c r="AS10" s="299" t="n"/>
      <c r="AT10" s="302">
        <f>ROUND($O10*AC10,0)</f>
        <v/>
      </c>
      <c r="AU10" s="302">
        <f>ROUND($O10*AD10,0)</f>
        <v/>
      </c>
      <c r="AV10" s="302">
        <f>ROUND($O10*AE10,0)</f>
        <v/>
      </c>
      <c r="AW10" s="302">
        <f>ROUND($O10*AF10,0)</f>
        <v/>
      </c>
      <c r="AX10" s="236">
        <f>SUM(AG10:AO10)</f>
        <v/>
      </c>
      <c r="AY10" s="528">
        <f>AX10/160</f>
        <v/>
      </c>
      <c r="AZ10" s="87">
        <f>VLOOKUP(I10,Listy!$A$1:$H$9,6,FALSE)</f>
        <v/>
      </c>
      <c r="BA10" s="682">
        <f>AY10*AZ10</f>
        <v/>
      </c>
      <c r="BB10" s="528" t="n"/>
      <c r="BC10" s="528" t="n"/>
      <c r="BD10" s="528" t="n"/>
      <c r="BE10" s="528" t="n"/>
      <c r="BF10" s="528" t="n"/>
      <c r="BG10" s="528" t="n"/>
      <c r="BI10" s="528" t="n"/>
      <c r="BJ10" s="528" t="n"/>
      <c r="BL10" s="528" t="n"/>
      <c r="BM10" s="528" t="n"/>
      <c r="BO10" s="528" t="n"/>
      <c r="BP10" s="528" t="n"/>
      <c r="BS10" s="528" t="n"/>
      <c r="BT10" s="528" t="n"/>
      <c r="BU10" s="528" t="n"/>
      <c r="BW10" s="528" t="n"/>
      <c r="BX10" s="528" t="n"/>
      <c r="BY10" s="528" t="n"/>
      <c r="CA10" s="528" t="n"/>
      <c r="CB10" s="528" t="n"/>
      <c r="CC10" s="528" t="n"/>
    </row>
    <row r="11" ht="15.6" customHeight="1" s="191">
      <c r="A11" s="57" t="n">
        <v>2</v>
      </c>
      <c r="B11" s="57" t="inlineStr">
        <is>
          <t>a</t>
        </is>
      </c>
      <c r="C11" s="529" t="n">
        <v>3</v>
      </c>
      <c r="D11" s="160">
        <f>CONCATENATE(A$3,"_",A11,"_",B11,"_",C11)</f>
        <v/>
      </c>
      <c r="E11" s="222" t="inlineStr">
        <is>
          <t>Stworzenie listy  typow obiektow i ich atrybutow koniecznych do symulacji</t>
        </is>
      </c>
      <c r="F11" s="231" t="n"/>
      <c r="G11" s="231" t="inlineStr">
        <is>
          <t>Ekspert merytoryczny/ Architekt rozwiazania</t>
        </is>
      </c>
      <c r="H11" s="528" t="n">
        <v>2</v>
      </c>
      <c r="I11" s="231" t="inlineStr">
        <is>
          <t>END/AGH</t>
        </is>
      </c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474" t="n">
        <v>1</v>
      </c>
      <c r="O11" s="295" t="n">
        <v>80</v>
      </c>
      <c r="P11" s="242" t="n"/>
      <c r="Q11" s="242" t="n"/>
      <c r="R11" s="242" t="n"/>
      <c r="S11" s="242" t="n"/>
      <c r="T11" s="242" t="n">
        <v>0.125</v>
      </c>
      <c r="U11" s="242" t="n">
        <v>0.125</v>
      </c>
      <c r="V11" s="242" t="n">
        <v>0.125</v>
      </c>
      <c r="W11" s="242" t="n">
        <v>0.125</v>
      </c>
      <c r="X11" s="242" t="n">
        <v>0</v>
      </c>
      <c r="Y11" s="243" t="n">
        <v>0</v>
      </c>
      <c r="Z11" s="243" t="n">
        <v>0</v>
      </c>
      <c r="AA11" s="243" t="n">
        <v>0.5</v>
      </c>
      <c r="AB11" s="243" t="n"/>
      <c r="AC11" s="300" t="n">
        <v>0.25</v>
      </c>
      <c r="AD11" s="300" t="n">
        <v>0</v>
      </c>
      <c r="AE11" s="300" t="n">
        <v>0</v>
      </c>
      <c r="AF11" s="300" t="n">
        <v>0</v>
      </c>
      <c r="AG11" s="297">
        <f>ROUND($O11*P11,0)</f>
        <v/>
      </c>
      <c r="AH11" s="297">
        <f>ROUND($O11*Q11,0)</f>
        <v/>
      </c>
      <c r="AI11" s="297">
        <f>ROUND($O11*R11,0)</f>
        <v/>
      </c>
      <c r="AJ11" s="297">
        <f>ROUND($O11*S11,0)</f>
        <v/>
      </c>
      <c r="AK11" s="297">
        <f>ROUND($O11*T11,0)</f>
        <v/>
      </c>
      <c r="AL11" s="297">
        <f>ROUND($O11*U11,0)</f>
        <v/>
      </c>
      <c r="AM11" s="297">
        <f>ROUND($O11*V11,0)</f>
        <v/>
      </c>
      <c r="AN11" s="297">
        <f>ROUND($O11*W11,0)</f>
        <v/>
      </c>
      <c r="AO11" s="297">
        <f>ROUND($O11*X11,0)</f>
        <v/>
      </c>
      <c r="AP11" s="298">
        <f>ROUND($O11*Y11,0)</f>
        <v/>
      </c>
      <c r="AQ11" s="298">
        <f>ROUND($O11*Z11,0)</f>
        <v/>
      </c>
      <c r="AR11" s="298">
        <f>ROUND($O11*AA11,0)</f>
        <v/>
      </c>
      <c r="AS11" s="299" t="n"/>
      <c r="AT11" s="302">
        <f>ROUND($O11*AC11,0)</f>
        <v/>
      </c>
      <c r="AU11" s="302">
        <f>ROUND($O11*AD11,0)</f>
        <v/>
      </c>
      <c r="AV11" s="302">
        <f>ROUND($O11*AE11,0)</f>
        <v/>
      </c>
      <c r="AW11" s="302">
        <f>ROUND($O11*AF11,0)</f>
        <v/>
      </c>
      <c r="AX11" s="236">
        <f>SUM(AG11:AO11)</f>
        <v/>
      </c>
      <c r="AY11" s="528">
        <f>AX11/160</f>
        <v/>
      </c>
      <c r="AZ11" s="87">
        <f>VLOOKUP(I11,Listy!$A$1:$H$9,6,FALSE)</f>
        <v/>
      </c>
      <c r="BA11" s="682">
        <f>AY11*AZ11</f>
        <v/>
      </c>
      <c r="BB11" s="528" t="n"/>
      <c r="BC11" s="528" t="n"/>
      <c r="BD11" s="528" t="n"/>
      <c r="BE11" s="528" t="n"/>
      <c r="BF11" s="528" t="n"/>
      <c r="BG11" s="528" t="n"/>
      <c r="BI11" s="528" t="n"/>
      <c r="BJ11" s="528" t="n"/>
      <c r="BL11" s="528" t="n"/>
      <c r="BM11" s="528" t="n"/>
      <c r="BO11" s="528" t="n"/>
      <c r="BP11" s="528" t="n"/>
      <c r="BS11" s="528" t="n"/>
      <c r="BT11" s="528" t="n"/>
      <c r="BU11" s="528" t="n"/>
      <c r="BW11" s="528" t="n"/>
      <c r="BX11" s="528" t="n"/>
      <c r="BY11" s="528" t="n"/>
      <c r="CA11" s="528" t="n"/>
      <c r="CB11" s="528" t="n"/>
      <c r="CC11" s="528" t="n"/>
    </row>
    <row r="12" ht="31.2" customHeight="1" s="191">
      <c r="A12" s="57" t="n">
        <v>2</v>
      </c>
      <c r="B12" s="57" t="inlineStr">
        <is>
          <t>a</t>
        </is>
      </c>
      <c r="C12" s="529" t="n">
        <v>4</v>
      </c>
      <c r="D12" s="160">
        <f>CONCATENATE(A$3,"_",A12,"_",B12,"_",C12)</f>
        <v/>
      </c>
      <c r="E12" s="222" t="inlineStr">
        <is>
          <t>Opracowanie wymagań szczegółowych dla obiektow (wyskaznie parametow fizycznych do implementacji)</t>
        </is>
      </c>
      <c r="F12" s="231" t="n"/>
      <c r="G12" s="231" t="inlineStr">
        <is>
          <t>Ekspert merytoryczny/ Architekt rozwiazania</t>
        </is>
      </c>
      <c r="H12" s="528" t="n">
        <v>3</v>
      </c>
      <c r="I12" s="231" t="inlineStr">
        <is>
          <t>END/AGH</t>
        </is>
      </c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474" t="n">
        <v>1</v>
      </c>
      <c r="O12" s="295" t="n">
        <v>80</v>
      </c>
      <c r="P12" s="242" t="n"/>
      <c r="Q12" s="242" t="n"/>
      <c r="R12" s="242" t="n"/>
      <c r="S12" s="242" t="n"/>
      <c r="T12" s="242" t="n">
        <v>0.13</v>
      </c>
      <c r="U12" s="242" t="n">
        <v>0.13</v>
      </c>
      <c r="V12" s="242" t="n">
        <v>0.12</v>
      </c>
      <c r="W12" s="242" t="n">
        <v>0.12</v>
      </c>
      <c r="X12" s="242" t="n">
        <v>0</v>
      </c>
      <c r="Y12" s="243" t="n">
        <v>0</v>
      </c>
      <c r="Z12" s="243" t="n">
        <v>0</v>
      </c>
      <c r="AA12" s="243" t="n">
        <v>0.25</v>
      </c>
      <c r="AB12" s="243" t="n"/>
      <c r="AC12" s="300" t="n">
        <v>0.13</v>
      </c>
      <c r="AD12" s="300" t="n">
        <v>0.12</v>
      </c>
      <c r="AE12" s="300" t="n">
        <v>0</v>
      </c>
      <c r="AF12" s="300" t="n">
        <v>0</v>
      </c>
      <c r="AG12" s="297">
        <f>ROUND($O12*P12,0)</f>
        <v/>
      </c>
      <c r="AH12" s="297">
        <f>ROUND($O12*Q12,0)</f>
        <v/>
      </c>
      <c r="AI12" s="297">
        <f>ROUND($O12*R12,0)</f>
        <v/>
      </c>
      <c r="AJ12" s="297">
        <f>ROUND($O12*S12,0)</f>
        <v/>
      </c>
      <c r="AK12" s="297">
        <f>ROUND($O12*T12,0)</f>
        <v/>
      </c>
      <c r="AL12" s="297">
        <f>ROUND($O12*U12,0)</f>
        <v/>
      </c>
      <c r="AM12" s="297">
        <f>ROUND($O12*V12,0)</f>
        <v/>
      </c>
      <c r="AN12" s="297">
        <f>ROUND($O12*W12,0)</f>
        <v/>
      </c>
      <c r="AO12" s="297">
        <f>ROUND($O12*X12,0)</f>
        <v/>
      </c>
      <c r="AP12" s="298">
        <f>ROUND($O12*Y12,0)</f>
        <v/>
      </c>
      <c r="AQ12" s="298">
        <f>ROUND($O12*Z12,0)</f>
        <v/>
      </c>
      <c r="AR12" s="298">
        <f>ROUND($O12*AA12,0)</f>
        <v/>
      </c>
      <c r="AS12" s="299" t="n"/>
      <c r="AT12" s="302" t="n">
        <v>10</v>
      </c>
      <c r="AU12" s="302" t="n">
        <v>10</v>
      </c>
      <c r="AV12" s="302">
        <f>ROUND($O12*AE12,0)</f>
        <v/>
      </c>
      <c r="AW12" s="302">
        <f>ROUND($O12*AF12,0)</f>
        <v/>
      </c>
      <c r="AX12" s="236">
        <f>SUM(AG12:AO12)</f>
        <v/>
      </c>
      <c r="AY12" s="528">
        <f>AX12/160</f>
        <v/>
      </c>
      <c r="AZ12" s="87">
        <f>VLOOKUP(I12,Listy!$A$1:$H$9,6,FALSE)</f>
        <v/>
      </c>
      <c r="BA12" s="682">
        <f>AY12*AZ12</f>
        <v/>
      </c>
      <c r="BB12" s="528" t="n"/>
      <c r="BC12" s="528" t="n"/>
      <c r="BD12" s="528" t="n"/>
      <c r="BE12" s="528" t="n"/>
      <c r="BF12" s="528" t="n"/>
      <c r="BG12" s="528" t="n"/>
      <c r="BI12" s="528" t="n"/>
      <c r="BJ12" s="528" t="n"/>
      <c r="BL12" s="528" t="n"/>
      <c r="BM12" s="528" t="n"/>
      <c r="BO12" s="528" t="n"/>
      <c r="BP12" s="528" t="n"/>
      <c r="BS12" s="528" t="n"/>
      <c r="BT12" s="528" t="n"/>
      <c r="BU12" s="528" t="n"/>
      <c r="BW12" s="528" t="n"/>
      <c r="BX12" s="528" t="n"/>
      <c r="BY12" s="528" t="n"/>
      <c r="CA12" s="528" t="n"/>
      <c r="CB12" s="528" t="n"/>
      <c r="CC12" s="528" t="n"/>
    </row>
    <row r="13" ht="17.4" customHeight="1" s="191">
      <c r="A13" s="57" t="n">
        <v>2</v>
      </c>
      <c r="B13" s="57" t="inlineStr">
        <is>
          <t>a</t>
        </is>
      </c>
      <c r="C13" s="529" t="n">
        <v>5</v>
      </c>
      <c r="D13" s="160">
        <f>CONCATENATE(A$3,"_",A13,"_",B13,"_",C13)</f>
        <v/>
      </c>
      <c r="E13" s="222" t="inlineStr">
        <is>
          <t>Analiza wymagan  szczegółowych i ich wpływu</t>
        </is>
      </c>
      <c r="F13" s="231" t="n"/>
      <c r="G13" s="231" t="inlineStr">
        <is>
          <t>Ekspert merytoryczny</t>
        </is>
      </c>
      <c r="H13" s="528" t="n">
        <v>4</v>
      </c>
      <c r="I13" s="231" t="inlineStr">
        <is>
          <t>AGH/END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1</v>
      </c>
      <c r="O13" s="295" t="n">
        <v>80</v>
      </c>
      <c r="P13" s="242" t="n"/>
      <c r="Q13" s="242" t="n"/>
      <c r="R13" s="242" t="n"/>
      <c r="S13" s="242" t="n"/>
      <c r="T13" s="242" t="n">
        <v>0.125</v>
      </c>
      <c r="U13" s="242" t="n">
        <v>0.125</v>
      </c>
      <c r="V13" s="242" t="n">
        <v>0.125</v>
      </c>
      <c r="W13" s="242" t="n">
        <v>0.125</v>
      </c>
      <c r="X13" s="242" t="n">
        <v>0</v>
      </c>
      <c r="Y13" s="243" t="n">
        <v>0</v>
      </c>
      <c r="Z13" s="243" t="n">
        <v>0</v>
      </c>
      <c r="AA13" s="243" t="n">
        <v>0.5</v>
      </c>
      <c r="AB13" s="243" t="n"/>
      <c r="AC13" s="300" t="n">
        <v>0.25</v>
      </c>
      <c r="AD13" s="300" t="n">
        <v>0</v>
      </c>
      <c r="AE13" s="300" t="n">
        <v>0</v>
      </c>
      <c r="AF13" s="300" t="n">
        <v>0</v>
      </c>
      <c r="AG13" s="297">
        <f>ROUND($O13*P13,0)</f>
        <v/>
      </c>
      <c r="AH13" s="297">
        <f>ROUND($O13*Q13,0)</f>
        <v/>
      </c>
      <c r="AI13" s="297">
        <f>ROUND($O13*R13,0)</f>
        <v/>
      </c>
      <c r="AJ13" s="297">
        <f>ROUND($O13*S13,0)</f>
        <v/>
      </c>
      <c r="AK13" s="297">
        <f>ROUND($O13*T13,0)</f>
        <v/>
      </c>
      <c r="AL13" s="297">
        <f>ROUND($O13*U13,0)</f>
        <v/>
      </c>
      <c r="AM13" s="297">
        <f>ROUND($O13*V13,0)</f>
        <v/>
      </c>
      <c r="AN13" s="297">
        <f>ROUND($O13*W13,0)</f>
        <v/>
      </c>
      <c r="AO13" s="297">
        <f>ROUND($O13*X13,0)</f>
        <v/>
      </c>
      <c r="AP13" s="298">
        <f>ROUND($O13*Y13,0)</f>
        <v/>
      </c>
      <c r="AQ13" s="298">
        <f>ROUND($O13*Z13,0)</f>
        <v/>
      </c>
      <c r="AR13" s="298">
        <f>ROUND($O13*AA13,0)</f>
        <v/>
      </c>
      <c r="AS13" s="299" t="n"/>
      <c r="AT13" s="302">
        <f>ROUND($O13*AC13,0)</f>
        <v/>
      </c>
      <c r="AU13" s="302">
        <f>ROUND($O13*AD13,0)</f>
        <v/>
      </c>
      <c r="AV13" s="302">
        <f>ROUND($O13*AE13,0)</f>
        <v/>
      </c>
      <c r="AW13" s="302">
        <f>ROUND($O13*AF13,0)</f>
        <v/>
      </c>
      <c r="AX13" s="236">
        <f>SUM(AG13:AO13)</f>
        <v/>
      </c>
      <c r="AY13" s="528">
        <f>AX13/160</f>
        <v/>
      </c>
      <c r="AZ13" s="87">
        <f>VLOOKUP(I13,Listy!$A$1:$H$9,6,FALSE)</f>
        <v/>
      </c>
      <c r="BA13" s="682">
        <f>AY13*AZ13</f>
        <v/>
      </c>
      <c r="BB13" s="528" t="n"/>
      <c r="BC13" s="528" t="n"/>
      <c r="BD13" s="528" t="n"/>
      <c r="BE13" s="528" t="n"/>
      <c r="BF13" s="528" t="n"/>
      <c r="BG13" s="528" t="n"/>
      <c r="BI13" s="528" t="n"/>
      <c r="BJ13" s="528" t="n"/>
      <c r="BL13" s="528" t="n"/>
      <c r="BM13" s="528" t="n"/>
      <c r="BO13" s="528" t="n"/>
      <c r="BP13" s="528" t="n"/>
      <c r="BS13" s="528" t="n"/>
      <c r="BT13" s="528" t="n"/>
      <c r="BU13" s="528" t="n"/>
      <c r="BW13" s="528" t="n"/>
      <c r="BX13" s="528" t="n"/>
      <c r="BY13" s="528" t="n"/>
      <c r="CA13" s="528" t="n"/>
      <c r="CB13" s="528" t="n"/>
      <c r="CC13" s="528" t="n"/>
    </row>
    <row r="14" ht="15.6" customHeight="1" s="191">
      <c r="A14" s="57" t="n">
        <v>2</v>
      </c>
      <c r="B14" s="57" t="inlineStr">
        <is>
          <t>a</t>
        </is>
      </c>
      <c r="C14" s="529" t="n">
        <v>6</v>
      </c>
      <c r="D14" s="160">
        <f>CONCATENATE(A$3,"_",A14,"_",B14,"_",C14)</f>
        <v/>
      </c>
      <c r="E14" s="222" t="inlineStr">
        <is>
          <t xml:space="preserve">Implementacja zadania MWS </t>
        </is>
      </c>
      <c r="F14" s="231" t="n"/>
      <c r="G14" s="231" t="inlineStr">
        <is>
          <t>Developer</t>
        </is>
      </c>
      <c r="H14" s="528" t="n">
        <v>5</v>
      </c>
      <c r="I14" s="231" t="inlineStr">
        <is>
          <t>END/AGH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 t="n">
        <v>1</v>
      </c>
      <c r="O14" s="295" t="n">
        <v>480</v>
      </c>
      <c r="P14" s="242" t="n"/>
      <c r="Q14" s="242" t="n"/>
      <c r="R14" s="242" t="n"/>
      <c r="S14" s="242" t="n"/>
      <c r="T14" s="242" t="n">
        <v>0.1</v>
      </c>
      <c r="U14" s="242" t="n">
        <v>0.1</v>
      </c>
      <c r="V14" s="242" t="n">
        <v>0</v>
      </c>
      <c r="W14" s="242" t="n">
        <v>0</v>
      </c>
      <c r="X14" s="242" t="n">
        <v>0</v>
      </c>
      <c r="Y14" s="243" t="n">
        <v>0.2</v>
      </c>
      <c r="Z14" s="243" t="n">
        <v>0.2</v>
      </c>
      <c r="AA14" s="243" t="n">
        <v>0.1</v>
      </c>
      <c r="AB14" s="243" t="n"/>
      <c r="AC14" s="300" t="n">
        <v>0</v>
      </c>
      <c r="AD14" s="300" t="n">
        <v>0</v>
      </c>
      <c r="AE14" s="300" t="n">
        <v>0.15</v>
      </c>
      <c r="AF14" s="300" t="n">
        <v>0.15</v>
      </c>
      <c r="AG14" s="297">
        <f>ROUND($O14*P14,0)</f>
        <v/>
      </c>
      <c r="AH14" s="297">
        <f>ROUND($O14*Q14,0)</f>
        <v/>
      </c>
      <c r="AI14" s="297">
        <f>ROUND($O14*R14,0)</f>
        <v/>
      </c>
      <c r="AJ14" s="297">
        <f>ROUND($O14*S14,0)</f>
        <v/>
      </c>
      <c r="AK14" s="297">
        <f>ROUND($O14*T14,0)</f>
        <v/>
      </c>
      <c r="AL14" s="297">
        <f>ROUND($O14*U14,0)</f>
        <v/>
      </c>
      <c r="AM14" s="297">
        <f>ROUND($O14*V14,0)</f>
        <v/>
      </c>
      <c r="AN14" s="297">
        <f>ROUND($O14*W14,0)</f>
        <v/>
      </c>
      <c r="AO14" s="297">
        <f>ROUND($O14*X14,0)</f>
        <v/>
      </c>
      <c r="AP14" s="298">
        <f>ROUND($O14*Y14,0)</f>
        <v/>
      </c>
      <c r="AQ14" s="298">
        <f>ROUND($O14*Z14,0)</f>
        <v/>
      </c>
      <c r="AR14" s="298">
        <f>ROUND($O14*AA14,0)</f>
        <v/>
      </c>
      <c r="AS14" s="299" t="n"/>
      <c r="AT14" s="302">
        <f>ROUND($O14*AC14,0)</f>
        <v/>
      </c>
      <c r="AU14" s="302">
        <f>ROUND($O14*AD14,0)</f>
        <v/>
      </c>
      <c r="AV14" s="302">
        <f>ROUND($O14*AE14,0)</f>
        <v/>
      </c>
      <c r="AW14" s="302">
        <f>ROUND($O14*AF14,0)</f>
        <v/>
      </c>
      <c r="AX14" s="236">
        <f>SUM(AG14:AO14)</f>
        <v/>
      </c>
      <c r="AY14" s="528">
        <f>AX14/160</f>
        <v/>
      </c>
      <c r="AZ14" s="87">
        <f>VLOOKUP(I14,Listy!$A$1:$H$9,6,FALSE)</f>
        <v/>
      </c>
      <c r="BA14" s="682">
        <f>AY14*AZ14</f>
        <v/>
      </c>
      <c r="BB14" s="528" t="n"/>
      <c r="BC14" s="528" t="n"/>
      <c r="BD14" s="528" t="n"/>
      <c r="BE14" s="528" t="n"/>
      <c r="BF14" s="528" t="n"/>
      <c r="BG14" s="528" t="n"/>
      <c r="BI14" s="528" t="n"/>
      <c r="BJ14" s="528" t="n"/>
      <c r="BL14" s="528" t="n"/>
      <c r="BM14" s="528" t="n"/>
      <c r="BO14" s="528" t="n"/>
      <c r="BP14" s="528" t="n"/>
      <c r="BS14" s="528" t="n"/>
      <c r="BT14" s="528" t="n"/>
      <c r="BU14" s="528" t="n"/>
      <c r="BW14" s="528" t="n"/>
      <c r="BX14" s="528" t="n"/>
      <c r="BY14" s="528" t="n"/>
      <c r="CA14" s="528" t="n"/>
      <c r="CB14" s="528" t="n"/>
      <c r="CC14" s="528" t="n"/>
    </row>
    <row r="15" ht="15.75" customHeight="1" s="191">
      <c r="A15" s="57" t="n">
        <v>2</v>
      </c>
      <c r="B15" s="57" t="inlineStr">
        <is>
          <t>a</t>
        </is>
      </c>
      <c r="C15" s="529" t="n">
        <v>7</v>
      </c>
      <c r="D15" s="160">
        <f>CONCATENATE(A$3,"_",A15,"_",B15,"_",C15)</f>
        <v/>
      </c>
      <c r="E15" s="222" t="inlineStr">
        <is>
          <t>Implementacja zadania Kompletacja</t>
        </is>
      </c>
      <c r="F15" s="231" t="n"/>
      <c r="G15" s="231" t="inlineStr">
        <is>
          <t>Developer</t>
        </is>
      </c>
      <c r="H15" s="528" t="n">
        <v>6</v>
      </c>
      <c r="I15" s="231" t="inlineStr">
        <is>
          <t>END/AGH</t>
        </is>
      </c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 t="n">
        <v>1</v>
      </c>
      <c r="O15" s="295" t="n">
        <v>480</v>
      </c>
      <c r="P15" s="242" t="n"/>
      <c r="Q15" s="242" t="n"/>
      <c r="R15" s="242" t="n"/>
      <c r="S15" s="242" t="n"/>
      <c r="T15" s="242" t="n">
        <v>0.1</v>
      </c>
      <c r="U15" s="242" t="n">
        <v>0.1</v>
      </c>
      <c r="V15" s="242" t="n">
        <v>0</v>
      </c>
      <c r="W15" s="242" t="n">
        <v>0</v>
      </c>
      <c r="X15" s="242" t="n">
        <v>0</v>
      </c>
      <c r="Y15" s="243" t="n">
        <v>0.2</v>
      </c>
      <c r="Z15" s="243" t="n">
        <v>0.2</v>
      </c>
      <c r="AA15" s="243" t="n">
        <v>0.1</v>
      </c>
      <c r="AB15" s="243" t="n"/>
      <c r="AC15" s="300" t="n">
        <v>0</v>
      </c>
      <c r="AD15" s="300" t="n">
        <v>0.15</v>
      </c>
      <c r="AE15" s="300" t="n">
        <v>0</v>
      </c>
      <c r="AF15" s="300" t="n">
        <v>0.15</v>
      </c>
      <c r="AG15" s="297">
        <f>ROUND($O15*P15,0)</f>
        <v/>
      </c>
      <c r="AH15" s="297">
        <f>ROUND($O15*Q15,0)</f>
        <v/>
      </c>
      <c r="AI15" s="297">
        <f>ROUND($O15*R15,0)</f>
        <v/>
      </c>
      <c r="AJ15" s="297">
        <f>ROUND($O15*S15,0)</f>
        <v/>
      </c>
      <c r="AK15" s="297">
        <f>ROUND($O15*T15,0)</f>
        <v/>
      </c>
      <c r="AL15" s="297">
        <f>ROUND($O15*U15,0)</f>
        <v/>
      </c>
      <c r="AM15" s="297">
        <f>ROUND($O15*V15,0)</f>
        <v/>
      </c>
      <c r="AN15" s="297">
        <f>ROUND($O15*W15,0)</f>
        <v/>
      </c>
      <c r="AO15" s="297">
        <f>ROUND($O15*X15,0)</f>
        <v/>
      </c>
      <c r="AP15" s="298">
        <f>ROUND($O15*Y15,0)</f>
        <v/>
      </c>
      <c r="AQ15" s="298">
        <f>ROUND($O15*Z15,0)</f>
        <v/>
      </c>
      <c r="AR15" s="298">
        <f>ROUND($O15*AA15,0)</f>
        <v/>
      </c>
      <c r="AS15" s="299" t="n"/>
      <c r="AT15" s="302">
        <f>ROUND($O15*AC15,0)</f>
        <v/>
      </c>
      <c r="AU15" s="302">
        <f>ROUND($O15*AD15,0)</f>
        <v/>
      </c>
      <c r="AV15" s="302">
        <f>ROUND($O15*AE15,0)</f>
        <v/>
      </c>
      <c r="AW15" s="302">
        <f>ROUND($O15*AF15,0)</f>
        <v/>
      </c>
      <c r="AX15" s="236">
        <f>SUM(AG15:AO15)</f>
        <v/>
      </c>
      <c r="AY15" s="528">
        <f>AX15/160</f>
        <v/>
      </c>
      <c r="AZ15" s="87">
        <f>VLOOKUP(I15,Listy!$A$1:$H$9,6,FALSE)</f>
        <v/>
      </c>
      <c r="BA15" s="682">
        <f>AY15*AZ15</f>
        <v/>
      </c>
      <c r="BB15" s="528" t="n"/>
      <c r="BC15" s="528" t="n"/>
      <c r="BD15" s="528" t="n"/>
      <c r="BE15" s="528" t="n"/>
      <c r="BF15" s="528" t="n"/>
      <c r="BG15" s="528" t="n"/>
      <c r="BI15" s="528" t="n"/>
      <c r="BJ15" s="528" t="n"/>
      <c r="BL15" s="528" t="n"/>
      <c r="BM15" s="528" t="n"/>
      <c r="BO15" s="528" t="n"/>
      <c r="BP15" s="528" t="n"/>
      <c r="BS15" s="528" t="n"/>
      <c r="BT15" s="528" t="n"/>
      <c r="BU15" s="528" t="n"/>
      <c r="BW15" s="528" t="n"/>
      <c r="BX15" s="528" t="n"/>
      <c r="BY15" s="528" t="n"/>
      <c r="CA15" s="528" t="n"/>
      <c r="CB15" s="528" t="n"/>
      <c r="CC15" s="528" t="n"/>
    </row>
    <row r="16" ht="15.75" customHeight="1" s="191">
      <c r="A16" s="57" t="n">
        <v>2</v>
      </c>
      <c r="B16" s="57" t="inlineStr">
        <is>
          <t>a</t>
        </is>
      </c>
      <c r="C16" s="529" t="n">
        <v>8</v>
      </c>
      <c r="D16" s="160">
        <f>CONCATENATE(A$3,"_",A16,"_",B16,"_",C16)</f>
        <v/>
      </c>
      <c r="E16" s="224" t="inlineStr">
        <is>
          <t xml:space="preserve">Implementacja zadania Kompletacja- odwzorowanie  mechanizmu decyzyjny sterowania przekaznikami rolkowymi </t>
        </is>
      </c>
      <c r="F16" s="231" t="n"/>
      <c r="G16" s="231" t="inlineStr">
        <is>
          <t>Developer</t>
        </is>
      </c>
      <c r="H16" s="528" t="n">
        <v>7</v>
      </c>
      <c r="I16" s="231" t="inlineStr">
        <is>
          <t>END/AGH</t>
        </is>
      </c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4" t="n">
        <v>1</v>
      </c>
      <c r="O16" s="295" t="n">
        <v>280</v>
      </c>
      <c r="P16" s="242" t="n"/>
      <c r="Q16" s="242" t="n"/>
      <c r="R16" s="242" t="n"/>
      <c r="S16" s="242" t="n"/>
      <c r="T16" s="242" t="n">
        <v>0.1</v>
      </c>
      <c r="U16" s="242" t="n">
        <v>0.1</v>
      </c>
      <c r="V16" s="242" t="n">
        <v>0</v>
      </c>
      <c r="W16" s="242" t="n">
        <v>0</v>
      </c>
      <c r="X16" s="242" t="n">
        <v>0</v>
      </c>
      <c r="Y16" s="243" t="n">
        <v>0</v>
      </c>
      <c r="Z16" s="243" t="n">
        <v>0.1</v>
      </c>
      <c r="AA16" s="243" t="n">
        <v>0</v>
      </c>
      <c r="AB16" s="243" t="n"/>
      <c r="AC16" s="300" t="n">
        <v>0.2</v>
      </c>
      <c r="AD16" s="300" t="n">
        <v>0.2</v>
      </c>
      <c r="AE16" s="300" t="n">
        <v>0.2</v>
      </c>
      <c r="AF16" s="300" t="n">
        <v>0.1</v>
      </c>
      <c r="AG16" s="297">
        <f>ROUND($O16*P16,0)</f>
        <v/>
      </c>
      <c r="AH16" s="297">
        <f>ROUND($O16*Q16,0)</f>
        <v/>
      </c>
      <c r="AI16" s="297">
        <f>ROUND($O16*R16,0)</f>
        <v/>
      </c>
      <c r="AJ16" s="297">
        <f>ROUND($O16*S16,0)</f>
        <v/>
      </c>
      <c r="AK16" s="297">
        <f>ROUND($O16*T16,0)</f>
        <v/>
      </c>
      <c r="AL16" s="297">
        <f>ROUND($O16*U16,0)</f>
        <v/>
      </c>
      <c r="AM16" s="297">
        <f>ROUND($O16*V16,0)</f>
        <v/>
      </c>
      <c r="AN16" s="297">
        <f>ROUND($O16*W16,0)</f>
        <v/>
      </c>
      <c r="AO16" s="297">
        <f>ROUND($O16*X16,0)</f>
        <v/>
      </c>
      <c r="AP16" s="298">
        <f>ROUND($O16*Y16,0)</f>
        <v/>
      </c>
      <c r="AQ16" s="298">
        <f>ROUND($O16*Z16,0)</f>
        <v/>
      </c>
      <c r="AR16" s="298">
        <f>ROUND($O16*AA16,0)</f>
        <v/>
      </c>
      <c r="AS16" s="299" t="n"/>
      <c r="AT16" s="302">
        <f>ROUND($O16*AC16,0)</f>
        <v/>
      </c>
      <c r="AU16" s="302">
        <f>ROUND($O16*AD16,0)</f>
        <v/>
      </c>
      <c r="AV16" s="302">
        <f>ROUND($O16*AE16,0)</f>
        <v/>
      </c>
      <c r="AW16" s="302">
        <f>ROUND($O16*AF16,0)</f>
        <v/>
      </c>
      <c r="AX16" s="236">
        <f>SUM(AG16:AO16)</f>
        <v/>
      </c>
      <c r="AY16" s="528">
        <f>AX16/160</f>
        <v/>
      </c>
      <c r="AZ16" s="87">
        <f>VLOOKUP(I16,Listy!$A$1:$H$9,6,FALSE)</f>
        <v/>
      </c>
      <c r="BA16" s="682">
        <f>AY16*AZ16</f>
        <v/>
      </c>
      <c r="BB16" s="528" t="n"/>
      <c r="BC16" s="528" t="n"/>
      <c r="BD16" s="528" t="n"/>
      <c r="BE16" s="528" t="n"/>
      <c r="BF16" s="528" t="n"/>
      <c r="BG16" s="528" t="n"/>
      <c r="BI16" s="528" t="n"/>
      <c r="BJ16" s="528" t="n"/>
      <c r="BL16" s="528" t="n"/>
      <c r="BM16" s="528" t="n"/>
      <c r="BO16" s="528" t="n"/>
      <c r="BP16" s="528" t="n"/>
      <c r="BS16" s="528" t="n"/>
      <c r="BT16" s="528" t="n"/>
      <c r="BU16" s="528" t="n"/>
      <c r="BW16" s="528" t="n"/>
      <c r="BX16" s="528" t="n"/>
      <c r="BY16" s="528" t="n"/>
      <c r="CA16" s="528" t="n"/>
      <c r="CB16" s="528" t="n"/>
      <c r="CC16" s="528" t="n"/>
    </row>
    <row r="17" ht="46.8" customHeight="1" s="191">
      <c r="A17" s="528" t="n">
        <v>2</v>
      </c>
      <c r="B17" s="528" t="inlineStr">
        <is>
          <t>b</t>
        </is>
      </c>
      <c r="C17" s="529" t="n">
        <v>0</v>
      </c>
      <c r="D17" s="160">
        <f>CONCATENATE(A$3,"_",A17,"_",B17,"_",C17)</f>
        <v/>
      </c>
      <c r="E17" s="221" t="inlineStr">
        <is>
          <t>Opracowanie i optymalizacja mechanizmów/narzędzi pozyskiwania i procesowania danych pozyskiwanych z aktualnego fizycznego systemu magazynowego</t>
        </is>
      </c>
      <c r="F17" s="148" t="n"/>
      <c r="G17" s="148" t="n"/>
      <c r="H17" s="528" t="n"/>
      <c r="I17" s="148" t="n"/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>
        <f>ROUND(MAX(AG17:AO17)/Listy!$U$2,0)</f>
        <v/>
      </c>
      <c r="O17" s="148" t="n"/>
      <c r="P17" s="148" t="n"/>
      <c r="Q17" s="148" t="n"/>
      <c r="R17" s="148" t="n"/>
      <c r="S17" s="148" t="n"/>
      <c r="T17" s="148" t="n"/>
      <c r="U17" s="148" t="n"/>
      <c r="V17" s="190" t="n"/>
      <c r="W17" s="148" t="n"/>
      <c r="X17" s="148" t="n"/>
      <c r="Y17" s="148" t="n"/>
      <c r="Z17" s="148" t="n"/>
      <c r="AA17" s="148" t="n"/>
      <c r="AB17" s="148" t="n"/>
      <c r="AC17" s="148" t="n"/>
      <c r="AD17" s="148" t="n"/>
      <c r="AE17" s="148" t="n"/>
      <c r="AF17" s="148" t="n"/>
      <c r="AG17" s="148" t="n"/>
      <c r="AH17" s="148" t="n"/>
      <c r="AI17" s="148" t="n"/>
      <c r="AJ17" s="148" t="n"/>
      <c r="AK17" s="148" t="n"/>
      <c r="AL17" s="148" t="n"/>
      <c r="AM17" s="190" t="n"/>
      <c r="AN17" s="148" t="n"/>
      <c r="AO17" s="148" t="n"/>
      <c r="AP17" s="148" t="n"/>
      <c r="AQ17" s="148" t="n"/>
      <c r="AR17" s="148" t="n"/>
      <c r="AS17" s="148" t="n"/>
      <c r="AT17" s="148" t="n"/>
      <c r="AU17" s="148" t="n"/>
      <c r="AV17" s="148" t="n"/>
      <c r="AW17" s="148" t="n"/>
      <c r="AX17" s="148" t="n"/>
      <c r="AY17" s="148" t="n"/>
      <c r="AZ17" s="148" t="n"/>
      <c r="BA17" s="148" t="n"/>
      <c r="BB17" s="148" t="n"/>
      <c r="BC17" s="148" t="n"/>
      <c r="BD17" s="148" t="n"/>
      <c r="BE17" s="148" t="n"/>
      <c r="BF17" s="148" t="n"/>
      <c r="BG17" s="148" t="n"/>
      <c r="BH17" s="148" t="n"/>
      <c r="BI17" s="148" t="n"/>
      <c r="BJ17" s="148" t="n"/>
      <c r="BK17" s="148" t="n"/>
      <c r="BL17" s="148" t="n"/>
      <c r="BM17" s="148" t="n"/>
      <c r="BN17" s="148" t="n"/>
      <c r="BO17" s="148" t="n"/>
      <c r="BP17" s="148" t="n"/>
      <c r="BQ17" s="148" t="n"/>
      <c r="BR17" s="148" t="n"/>
      <c r="BS17" s="148" t="n"/>
      <c r="BT17" s="148" t="n"/>
      <c r="BU17" s="148" t="n"/>
      <c r="BV17" s="148" t="n"/>
      <c r="BW17" s="148" t="n"/>
      <c r="BX17" s="148" t="n"/>
      <c r="BY17" s="148" t="n"/>
      <c r="BZ17" s="148" t="n"/>
      <c r="CA17" s="148" t="n"/>
      <c r="CB17" s="148" t="n"/>
      <c r="CC17" s="148" t="n"/>
      <c r="CD17" s="148" t="n"/>
      <c r="CE17" s="148" t="n"/>
      <c r="CF17" s="148" t="n"/>
    </row>
    <row r="18" ht="15.75" customHeight="1" s="191">
      <c r="A18" s="57" t="n">
        <v>2</v>
      </c>
      <c r="B18" s="57" t="inlineStr">
        <is>
          <t>b</t>
        </is>
      </c>
      <c r="C18" s="529" t="n">
        <v>1</v>
      </c>
      <c r="D18" s="160">
        <f>CONCATENATE(A$3,"_",A18,"_",B18,"_",C18)</f>
        <v/>
      </c>
      <c r="E18" s="222" t="inlineStr">
        <is>
          <t xml:space="preserve">Inwentaryzacja procesow magazynowych </t>
        </is>
      </c>
      <c r="F18" s="231" t="n"/>
      <c r="G18" s="231" t="inlineStr">
        <is>
          <t>Ekspert merytoryczny</t>
        </is>
      </c>
      <c r="H18" s="528" t="n">
        <v>8</v>
      </c>
      <c r="I18" s="231" t="inlineStr">
        <is>
          <t>ACT</t>
        </is>
      </c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4" t="n">
        <v>1</v>
      </c>
      <c r="O18" s="295" t="n">
        <v>120</v>
      </c>
      <c r="P18" s="242" t="n"/>
      <c r="Q18" s="242" t="n"/>
      <c r="R18" s="242" t="n"/>
      <c r="S18" s="242" t="n"/>
      <c r="T18" s="242" t="n">
        <v>0.333</v>
      </c>
      <c r="U18" s="242" t="n">
        <v>0.333</v>
      </c>
      <c r="V18" s="242" t="n">
        <v>0.333</v>
      </c>
      <c r="W18" s="242" t="n">
        <v>0</v>
      </c>
      <c r="X18" s="242" t="n">
        <v>0</v>
      </c>
      <c r="Y18" s="243" t="n">
        <v>0</v>
      </c>
      <c r="Z18" s="243" t="n">
        <v>0</v>
      </c>
      <c r="AA18" s="243" t="n">
        <v>0</v>
      </c>
      <c r="AB18" s="243" t="n"/>
      <c r="AC18" s="300" t="n">
        <v>0</v>
      </c>
      <c r="AD18" s="300" t="n">
        <v>0</v>
      </c>
      <c r="AE18" s="300" t="n">
        <v>0</v>
      </c>
      <c r="AF18" s="300" t="n">
        <v>0</v>
      </c>
      <c r="AG18" s="297">
        <f>ROUND($O18*P18,0)</f>
        <v/>
      </c>
      <c r="AH18" s="297">
        <f>ROUND($O18*Q18,0)</f>
        <v/>
      </c>
      <c r="AI18" s="297">
        <f>ROUND($O18*R18,0)</f>
        <v/>
      </c>
      <c r="AJ18" s="297">
        <f>ROUND($O18*S18,0)</f>
        <v/>
      </c>
      <c r="AK18" s="297">
        <f>ROUND($O18*T18,0)</f>
        <v/>
      </c>
      <c r="AL18" s="297">
        <f>ROUND($O18*U18,0)</f>
        <v/>
      </c>
      <c r="AM18" s="297">
        <f>ROUND($O18*V18,0)</f>
        <v/>
      </c>
      <c r="AN18" s="297">
        <f>ROUND($O18*W18,0)</f>
        <v/>
      </c>
      <c r="AO18" s="297">
        <f>ROUND($O18*X18,0)</f>
        <v/>
      </c>
      <c r="AP18" s="298">
        <f>ROUND($O18*Y18,0)</f>
        <v/>
      </c>
      <c r="AQ18" s="298">
        <f>ROUND($O18*Z18,0)</f>
        <v/>
      </c>
      <c r="AR18" s="298">
        <f>ROUND($O18*AA18,0)</f>
        <v/>
      </c>
      <c r="AS18" s="299" t="n"/>
      <c r="AT18" s="302">
        <f>ROUND($O18*AC18,0)</f>
        <v/>
      </c>
      <c r="AU18" s="302">
        <f>ROUND($O18*AD18,0)</f>
        <v/>
      </c>
      <c r="AV18" s="302">
        <f>ROUND($O18*AE18,0)</f>
        <v/>
      </c>
      <c r="AW18" s="302">
        <f>ROUND($O18*AF18,0)</f>
        <v/>
      </c>
      <c r="AX18" s="236">
        <f>SUM(AG18:AO18)</f>
        <v/>
      </c>
      <c r="AY18" s="528">
        <f>AX18/160</f>
        <v/>
      </c>
      <c r="AZ18" s="87">
        <f>VLOOKUP(I18,Listy!$A$1:$H$9,6,FALSE)</f>
        <v/>
      </c>
      <c r="BA18" s="682">
        <f>AY18*AZ18</f>
        <v/>
      </c>
      <c r="BB18" s="528" t="n"/>
      <c r="BC18" s="528" t="n"/>
      <c r="BD18" s="528" t="n"/>
      <c r="BE18" s="528" t="n"/>
      <c r="BF18" s="528" t="n"/>
      <c r="BG18" s="528" t="n"/>
      <c r="BI18" s="528" t="n"/>
      <c r="BJ18" s="528" t="n"/>
      <c r="BL18" s="528" t="n"/>
      <c r="BM18" s="528" t="n"/>
      <c r="BO18" s="528" t="n"/>
      <c r="BP18" s="528" t="n"/>
      <c r="BS18" s="528" t="n"/>
      <c r="BT18" s="528" t="n"/>
      <c r="BU18" s="528" t="n"/>
      <c r="BW18" s="528" t="n"/>
      <c r="BX18" s="528" t="n"/>
      <c r="BY18" s="528" t="n"/>
      <c r="CA18" s="528" t="n"/>
      <c r="CB18" s="528" t="n"/>
      <c r="CC18" s="528" t="n"/>
    </row>
    <row r="19" ht="31.2" customHeight="1" s="191">
      <c r="A19" s="57" t="n">
        <v>2</v>
      </c>
      <c r="B19" s="57" t="inlineStr">
        <is>
          <t>b</t>
        </is>
      </c>
      <c r="C19" s="529" t="n">
        <v>2</v>
      </c>
      <c r="D19" s="160">
        <f>CONCATENATE(A$3,"_",A19,"_",B19,"_",C19)</f>
        <v/>
      </c>
      <c r="E19" s="222" t="inlineStr">
        <is>
          <t>Implementacja mechanizmów wczytywania konfiguracji obiektow na potrzeby symulacji zadania MWS</t>
        </is>
      </c>
      <c r="F19" s="231" t="n"/>
      <c r="G19" s="231" t="inlineStr">
        <is>
          <t>Developer</t>
        </is>
      </c>
      <c r="H19" s="528" t="n">
        <v>9</v>
      </c>
      <c r="I19" s="231" t="n"/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 t="n">
        <v>1</v>
      </c>
      <c r="O19" s="295" t="n">
        <v>120</v>
      </c>
      <c r="P19" s="242" t="n"/>
      <c r="Q19" s="242" t="n"/>
      <c r="R19" s="242" t="n"/>
      <c r="S19" s="242" t="n"/>
      <c r="T19" s="242" t="n">
        <v>0.173</v>
      </c>
      <c r="U19" s="242" t="n">
        <v>0.163</v>
      </c>
      <c r="V19" s="242" t="n">
        <v>0</v>
      </c>
      <c r="W19" s="242" t="n">
        <v>0</v>
      </c>
      <c r="X19" s="242" t="n">
        <v>0</v>
      </c>
      <c r="Y19" s="243" t="n">
        <v>0.33</v>
      </c>
      <c r="Z19" s="243" t="n">
        <v>0</v>
      </c>
      <c r="AA19" s="243" t="n">
        <v>0</v>
      </c>
      <c r="AB19" s="243" t="n"/>
      <c r="AC19" s="300" t="n">
        <v>0</v>
      </c>
      <c r="AD19" s="300" t="n">
        <v>0.333</v>
      </c>
      <c r="AE19" s="300" t="n">
        <v>0</v>
      </c>
      <c r="AF19" s="300" t="n">
        <v>0</v>
      </c>
      <c r="AG19" s="297">
        <f>ROUND($O19*P19,0)</f>
        <v/>
      </c>
      <c r="AH19" s="297">
        <f>ROUND($O19*Q19,0)</f>
        <v/>
      </c>
      <c r="AI19" s="297">
        <f>ROUND($O19*R19,0)</f>
        <v/>
      </c>
      <c r="AJ19" s="297">
        <f>ROUND($O19*S19,0)</f>
        <v/>
      </c>
      <c r="AK19" s="297">
        <f>ROUND($O19*T19,0)</f>
        <v/>
      </c>
      <c r="AL19" s="297">
        <f>ROUND($O19*U19,0)</f>
        <v/>
      </c>
      <c r="AM19" s="297">
        <f>ROUND($O19*V19,0)</f>
        <v/>
      </c>
      <c r="AN19" s="297">
        <f>ROUND($O19*W19,0)</f>
        <v/>
      </c>
      <c r="AO19" s="297">
        <f>ROUND($O19*X19,0)</f>
        <v/>
      </c>
      <c r="AP19" s="298">
        <f>ROUND($O19*Y19,0)</f>
        <v/>
      </c>
      <c r="AQ19" s="298">
        <f>ROUND($O19*Z19,0)</f>
        <v/>
      </c>
      <c r="AR19" s="298">
        <f>ROUND($O19*AA19,0)</f>
        <v/>
      </c>
      <c r="AS19" s="299" t="n"/>
      <c r="AT19" s="302">
        <f>ROUND($O19*AC19,0)</f>
        <v/>
      </c>
      <c r="AU19" s="302">
        <f>ROUND($O19*AD19,0)</f>
        <v/>
      </c>
      <c r="AV19" s="302">
        <f>ROUND($O19*AE19,0)</f>
        <v/>
      </c>
      <c r="AW19" s="302">
        <f>ROUND($O19*AF19,0)</f>
        <v/>
      </c>
      <c r="AX19" s="236">
        <f>SUM(AG19:AO19)</f>
        <v/>
      </c>
      <c r="AY19" s="528">
        <f>AX19/160</f>
        <v/>
      </c>
      <c r="AZ19" s="87">
        <f>VLOOKUP(I19,Listy!$A$1:$H$9,6,FALSE)</f>
        <v/>
      </c>
      <c r="BA19" s="682">
        <f>AY19*AZ19</f>
        <v/>
      </c>
      <c r="BB19" s="528" t="n"/>
      <c r="BC19" s="528" t="n"/>
      <c r="BD19" s="528" t="n"/>
      <c r="BE19" s="528" t="n"/>
      <c r="BF19" s="528" t="n"/>
      <c r="BG19" s="528" t="n"/>
      <c r="BI19" s="528" t="n"/>
      <c r="BJ19" s="528" t="n"/>
      <c r="BL19" s="528" t="n"/>
      <c r="BM19" s="528" t="n"/>
      <c r="BO19" s="528" t="n"/>
      <c r="BP19" s="528" t="n"/>
      <c r="BS19" s="528" t="n"/>
      <c r="BT19" s="528" t="n"/>
      <c r="BU19" s="528" t="n"/>
      <c r="BW19" s="528" t="n"/>
      <c r="BX19" s="528" t="n"/>
      <c r="BY19" s="528" t="n"/>
      <c r="CA19" s="528" t="n"/>
      <c r="CB19" s="528" t="n"/>
      <c r="CC19" s="528" t="n"/>
    </row>
    <row r="20" ht="31.2" customHeight="1" s="191">
      <c r="A20" s="57" t="n">
        <v>2</v>
      </c>
      <c r="B20" s="57" t="inlineStr">
        <is>
          <t>b</t>
        </is>
      </c>
      <c r="C20" s="529" t="n">
        <v>3</v>
      </c>
      <c r="D20" s="160">
        <f>CONCATENATE(A$3,"_",A20,"_",B20,"_",C20)</f>
        <v/>
      </c>
      <c r="E20" s="222" t="inlineStr">
        <is>
          <t>Implementacja mechanizmów wczytywania konfiguracji obiektow na potrzeby symulacji zadania Kompletacja</t>
        </is>
      </c>
      <c r="F20" s="231" t="n"/>
      <c r="G20" s="231" t="inlineStr">
        <is>
          <t>Developer</t>
        </is>
      </c>
      <c r="H20" s="528" t="n">
        <v>9</v>
      </c>
      <c r="I20" s="231" t="inlineStr">
        <is>
          <t>END/AGH</t>
        </is>
      </c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4" t="n">
        <v>1</v>
      </c>
      <c r="O20" s="295" t="n">
        <v>120</v>
      </c>
      <c r="P20" s="242" t="n"/>
      <c r="Q20" s="242" t="n"/>
      <c r="R20" s="242" t="n"/>
      <c r="S20" s="242" t="n"/>
      <c r="T20" s="242" t="n">
        <v>0</v>
      </c>
      <c r="U20" s="242" t="n">
        <v>0</v>
      </c>
      <c r="V20" s="242" t="n">
        <v>0.17</v>
      </c>
      <c r="W20" s="242" t="n">
        <v>0.16</v>
      </c>
      <c r="X20" s="242" t="n">
        <v>0</v>
      </c>
      <c r="Y20" s="243" t="n">
        <v>0</v>
      </c>
      <c r="Z20" s="243" t="n">
        <v>0.33</v>
      </c>
      <c r="AA20" s="243" t="n">
        <v>0</v>
      </c>
      <c r="AB20" s="243" t="n"/>
      <c r="AC20" s="300" t="n">
        <v>0</v>
      </c>
      <c r="AD20" s="300" t="n">
        <v>0</v>
      </c>
      <c r="AE20" s="300" t="n">
        <v>0.333</v>
      </c>
      <c r="AF20" s="300" t="n">
        <v>0</v>
      </c>
      <c r="AG20" s="297">
        <f>ROUND($O20*P20,0)</f>
        <v/>
      </c>
      <c r="AH20" s="297">
        <f>ROUND($O20*Q20,0)</f>
        <v/>
      </c>
      <c r="AI20" s="297">
        <f>ROUND($O20*R20,0)</f>
        <v/>
      </c>
      <c r="AJ20" s="297">
        <f>ROUND($O20*S20,0)</f>
        <v/>
      </c>
      <c r="AK20" s="297">
        <f>ROUND($O20*T20,0)</f>
        <v/>
      </c>
      <c r="AL20" s="297">
        <f>ROUND($O20*U20,0)</f>
        <v/>
      </c>
      <c r="AM20" s="297">
        <f>ROUND($O20*V20,0)</f>
        <v/>
      </c>
      <c r="AN20" s="297">
        <f>ROUND($O20*W20,0)</f>
        <v/>
      </c>
      <c r="AO20" s="297">
        <f>ROUND($O20*X20,0)</f>
        <v/>
      </c>
      <c r="AP20" s="298">
        <f>ROUND($O20*Y20,0)</f>
        <v/>
      </c>
      <c r="AQ20" s="298">
        <f>ROUND($O20*Z20,0)</f>
        <v/>
      </c>
      <c r="AR20" s="298">
        <f>ROUND($O20*AA20,0)</f>
        <v/>
      </c>
      <c r="AS20" s="299" t="n"/>
      <c r="AT20" s="302">
        <f>ROUND($O20*AC20,0)</f>
        <v/>
      </c>
      <c r="AU20" s="302">
        <f>ROUND($O20*AD20,0)</f>
        <v/>
      </c>
      <c r="AV20" s="302">
        <f>ROUND($O20*AE20,0)</f>
        <v/>
      </c>
      <c r="AW20" s="302">
        <f>ROUND($O20*AF20,0)</f>
        <v/>
      </c>
      <c r="AX20" s="236">
        <f>SUM(AG20:AO20)</f>
        <v/>
      </c>
      <c r="AY20" s="528">
        <f>AX20/160</f>
        <v/>
      </c>
      <c r="AZ20" s="87">
        <f>VLOOKUP(I20,Listy!$A$1:$H$9,6,FALSE)</f>
        <v/>
      </c>
      <c r="BA20" s="682">
        <f>AY20*AZ20</f>
        <v/>
      </c>
      <c r="BB20" s="528" t="n"/>
      <c r="BC20" s="528" t="n"/>
      <c r="BD20" s="528" t="n"/>
      <c r="BE20" s="528" t="n"/>
      <c r="BF20" s="528" t="n"/>
      <c r="BG20" s="528" t="n"/>
      <c r="BI20" s="528" t="n"/>
      <c r="BJ20" s="528" t="n"/>
      <c r="BL20" s="528" t="n"/>
      <c r="BM20" s="528" t="n"/>
      <c r="BO20" s="528" t="n"/>
      <c r="BP20" s="528" t="n"/>
      <c r="BS20" s="528" t="n"/>
      <c r="BT20" s="528" t="n"/>
      <c r="BU20" s="528" t="n"/>
      <c r="BW20" s="528" t="n"/>
      <c r="BX20" s="528" t="n"/>
      <c r="BY20" s="528" t="n"/>
      <c r="CA20" s="528" t="n"/>
      <c r="CB20" s="528" t="n"/>
      <c r="CC20" s="528" t="n"/>
    </row>
    <row r="21" ht="15.75" customHeight="1" s="191">
      <c r="A21" s="57" t="n">
        <v>2</v>
      </c>
      <c r="B21" s="57" t="inlineStr">
        <is>
          <t>b</t>
        </is>
      </c>
      <c r="C21" s="529" t="n">
        <v>4</v>
      </c>
      <c r="D21" s="160">
        <f>CONCATENATE(A$3,"_",A21,"_",B21,"_",C21)</f>
        <v/>
      </c>
      <c r="E21" s="222" t="inlineStr">
        <is>
          <t xml:space="preserve">Weryfikacja implementacji obiektow - przygotowanie testów jednostkowych </t>
        </is>
      </c>
      <c r="F21" s="231" t="n"/>
      <c r="G21" s="231" t="inlineStr">
        <is>
          <t>Developer</t>
        </is>
      </c>
      <c r="H21" s="528" t="n">
        <v>10</v>
      </c>
      <c r="I21" s="231" t="inlineStr">
        <is>
          <t>END/AGH</t>
        </is>
      </c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4" t="n">
        <v>1</v>
      </c>
      <c r="O21" s="295" t="n">
        <v>120</v>
      </c>
      <c r="P21" s="242" t="n"/>
      <c r="Q21" s="242" t="n"/>
      <c r="R21" s="242" t="n"/>
      <c r="S21" s="242" t="n"/>
      <c r="T21" s="242" t="n">
        <v>0</v>
      </c>
      <c r="U21" s="242" t="n">
        <v>0</v>
      </c>
      <c r="V21" s="242" t="n">
        <v>0</v>
      </c>
      <c r="W21" s="242" t="n">
        <v>0.163</v>
      </c>
      <c r="X21" s="242" t="n">
        <v>0.173</v>
      </c>
      <c r="Y21" s="243" t="n">
        <v>0</v>
      </c>
      <c r="Z21" s="243" t="n">
        <v>0</v>
      </c>
      <c r="AA21" s="243" t="n">
        <v>0.34</v>
      </c>
      <c r="AB21" s="243" t="n"/>
      <c r="AC21" s="300" t="n">
        <v>0</v>
      </c>
      <c r="AD21" s="300" t="n">
        <v>0</v>
      </c>
      <c r="AE21" s="300" t="n">
        <v>0</v>
      </c>
      <c r="AF21" s="300" t="n">
        <v>0.333</v>
      </c>
      <c r="AG21" s="297">
        <f>ROUND($O21*P21,0)</f>
        <v/>
      </c>
      <c r="AH21" s="297">
        <f>ROUND($O21*Q21,0)</f>
        <v/>
      </c>
      <c r="AI21" s="297">
        <f>ROUND($O21*R21,0)</f>
        <v/>
      </c>
      <c r="AJ21" s="297">
        <f>ROUND($O21*S21,0)</f>
        <v/>
      </c>
      <c r="AK21" s="297">
        <f>ROUND($O21*T21,0)</f>
        <v/>
      </c>
      <c r="AL21" s="297">
        <f>ROUND($O21*U21,0)</f>
        <v/>
      </c>
      <c r="AM21" s="297">
        <f>ROUND($O21*V21,0)</f>
        <v/>
      </c>
      <c r="AN21" s="297">
        <f>ROUND($O21*W21,0)</f>
        <v/>
      </c>
      <c r="AO21" s="297">
        <f>ROUND($O21*X21,0)</f>
        <v/>
      </c>
      <c r="AP21" s="298">
        <f>ROUND($O21*Y21,0)</f>
        <v/>
      </c>
      <c r="AQ21" s="298">
        <f>ROUND($O21*Z21,0)</f>
        <v/>
      </c>
      <c r="AR21" s="298">
        <f>ROUND($O21*AA21,0)</f>
        <v/>
      </c>
      <c r="AS21" s="299" t="n"/>
      <c r="AT21" s="302">
        <f>ROUND($O21*AC21,0)</f>
        <v/>
      </c>
      <c r="AU21" s="302">
        <f>ROUND($O21*AD21,0)</f>
        <v/>
      </c>
      <c r="AV21" s="302">
        <f>ROUND($O21*AE21,0)</f>
        <v/>
      </c>
      <c r="AW21" s="302">
        <f>ROUND($O21*AF21,0)</f>
        <v/>
      </c>
      <c r="AX21" s="236">
        <f>SUM(AG21:AO21)</f>
        <v/>
      </c>
      <c r="AY21" s="528">
        <f>AX21/160</f>
        <v/>
      </c>
      <c r="AZ21" s="87">
        <f>VLOOKUP(I21,Listy!$A$1:$H$9,6,FALSE)</f>
        <v/>
      </c>
      <c r="BA21" s="682">
        <f>AY21*AZ21</f>
        <v/>
      </c>
      <c r="BB21" s="528" t="n"/>
      <c r="BC21" s="528" t="n"/>
      <c r="BD21" s="528" t="n"/>
      <c r="BE21" s="528" t="n"/>
      <c r="BF21" s="528" t="n"/>
      <c r="BG21" s="528" t="n"/>
      <c r="BI21" s="528" t="n"/>
      <c r="BJ21" s="528" t="n"/>
      <c r="BL21" s="528" t="n"/>
      <c r="BM21" s="528" t="n"/>
      <c r="BO21" s="528" t="n"/>
      <c r="BP21" s="528" t="n"/>
      <c r="BS21" s="528" t="n"/>
      <c r="BT21" s="528" t="n"/>
      <c r="BU21" s="528" t="n"/>
      <c r="BW21" s="528" t="n"/>
      <c r="BX21" s="528" t="n"/>
      <c r="BY21" s="528" t="n"/>
      <c r="CA21" s="528" t="n"/>
      <c r="CB21" s="528" t="n"/>
      <c r="CC21" s="528" t="n"/>
    </row>
    <row r="22" ht="31.2" customHeight="1" s="191">
      <c r="A22" s="528" t="n">
        <v>2</v>
      </c>
      <c r="B22" s="57" t="inlineStr">
        <is>
          <t>c</t>
        </is>
      </c>
      <c r="C22" s="288" t="n">
        <v>0</v>
      </c>
      <c r="D22" s="160">
        <f>CONCATENATE(A$3,"_",A22,"_",B22,"_",C22)</f>
        <v/>
      </c>
      <c r="E22" s="221" t="inlineStr">
        <is>
          <t>Przeprowadzenie badań nad metodami prowadzenia symulacji w czasie rzeczywistym, które pozwolą przewidzieć zachowanie obiektu</t>
        </is>
      </c>
      <c r="F22" s="148" t="n"/>
      <c r="G22" s="148" t="n"/>
      <c r="I22" s="148" t="n"/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4">
        <f>ROUND(MAX(AG22:AO22)/Listy!$U$2,0)</f>
        <v/>
      </c>
      <c r="O22" s="148" t="n"/>
      <c r="P22" s="148" t="n"/>
      <c r="Q22" s="148" t="n"/>
      <c r="R22" s="148" t="n"/>
      <c r="S22" s="148" t="n"/>
      <c r="T22" s="148" t="n"/>
      <c r="U22" s="148" t="n"/>
      <c r="V22" s="148" t="n"/>
      <c r="W22" s="148" t="n"/>
      <c r="X22" s="148" t="n"/>
      <c r="Y22" s="148" t="n"/>
      <c r="Z22" s="148" t="n"/>
      <c r="AA22" s="148" t="n"/>
      <c r="AB22" s="148" t="n"/>
      <c r="AC22" s="148" t="n"/>
      <c r="AD22" s="148" t="n"/>
      <c r="AE22" s="148" t="n"/>
      <c r="AF22" s="148" t="n"/>
      <c r="AG22" s="148" t="n"/>
      <c r="AH22" s="148" t="n"/>
      <c r="AI22" s="148" t="n"/>
      <c r="AJ22" s="148" t="n"/>
      <c r="AK22" s="148" t="n"/>
      <c r="AL22" s="148" t="n"/>
      <c r="AM22" s="190" t="n"/>
      <c r="AN22" s="148" t="n"/>
      <c r="AO22" s="148" t="n"/>
      <c r="AP22" s="148" t="n"/>
      <c r="AQ22" s="148" t="n"/>
      <c r="AR22" s="148" t="n"/>
      <c r="AS22" s="148" t="n"/>
      <c r="AT22" s="148" t="n"/>
      <c r="AU22" s="148" t="n"/>
      <c r="AV22" s="148" t="n"/>
      <c r="AW22" s="148" t="n"/>
      <c r="AX22" s="148" t="n"/>
      <c r="AY22" s="148" t="n"/>
      <c r="AZ22" s="148" t="n"/>
      <c r="BA22" s="148" t="n"/>
      <c r="BB22" s="148" t="n"/>
      <c r="BC22" s="148" t="n"/>
      <c r="BD22" s="148" t="n"/>
      <c r="BE22" s="148" t="n"/>
      <c r="BF22" s="148" t="n"/>
      <c r="BG22" s="148" t="n"/>
      <c r="BH22" s="148" t="n"/>
      <c r="BI22" s="148" t="n"/>
      <c r="BJ22" s="148" t="n"/>
      <c r="BK22" s="148" t="n"/>
      <c r="BL22" s="148" t="n"/>
      <c r="BM22" s="148" t="n"/>
      <c r="BN22" s="148" t="n"/>
      <c r="BO22" s="148" t="n"/>
      <c r="BP22" s="148" t="n"/>
      <c r="BQ22" s="148" t="n"/>
      <c r="BR22" s="148" t="n"/>
      <c r="BS22" s="148" t="n"/>
      <c r="BT22" s="148" t="n"/>
      <c r="BU22" s="148" t="n"/>
      <c r="BV22" s="148" t="n"/>
      <c r="BW22" s="148" t="n"/>
      <c r="BX22" s="148" t="n"/>
      <c r="BY22" s="148" t="n"/>
      <c r="BZ22" s="148" t="n"/>
      <c r="CA22" s="148" t="n"/>
      <c r="CB22" s="148" t="n"/>
      <c r="CC22" s="148" t="n"/>
      <c r="CD22" s="148" t="n"/>
      <c r="CE22" s="148" t="n"/>
      <c r="CF22" s="148" t="n"/>
    </row>
    <row r="23" ht="15.75" customHeight="1" s="191">
      <c r="A23" s="57" t="n">
        <v>2</v>
      </c>
      <c r="B23" s="57" t="inlineStr">
        <is>
          <t>c</t>
        </is>
      </c>
      <c r="C23" s="288" t="n">
        <v>1</v>
      </c>
      <c r="D23" s="160">
        <f>CONCATENATE(A$3,"_",A23,"_",B23,"_",C23)</f>
        <v/>
      </c>
      <c r="E23" s="222" t="inlineStr">
        <is>
          <t>Inwentaryzacja reguł stosowanych do procesow</t>
        </is>
      </c>
      <c r="F23" s="231" t="n"/>
      <c r="G23" s="231" t="inlineStr">
        <is>
          <t>Ekspert merytoryczny</t>
        </is>
      </c>
      <c r="H23" s="528" t="n">
        <v>11</v>
      </c>
      <c r="I23" s="231" t="inlineStr">
        <is>
          <t>ACT</t>
        </is>
      </c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 t="n">
        <v>1</v>
      </c>
      <c r="O23" s="295" t="n">
        <v>120</v>
      </c>
      <c r="P23" s="242" t="n"/>
      <c r="Q23" s="242" t="n"/>
      <c r="R23" s="242" t="n"/>
      <c r="S23" s="242" t="n"/>
      <c r="T23" s="242" t="n">
        <v>0</v>
      </c>
      <c r="U23" s="242" t="n">
        <v>0</v>
      </c>
      <c r="V23" s="242" t="n">
        <v>0.333</v>
      </c>
      <c r="W23" s="242" t="n">
        <v>0.333</v>
      </c>
      <c r="X23" s="242" t="n">
        <v>0.333</v>
      </c>
      <c r="Y23" s="243" t="n">
        <v>0</v>
      </c>
      <c r="Z23" s="243" t="n">
        <v>0</v>
      </c>
      <c r="AA23" s="243" t="n">
        <v>0</v>
      </c>
      <c r="AB23" s="243" t="n"/>
      <c r="AC23" s="300" t="n">
        <v>0</v>
      </c>
      <c r="AD23" s="300" t="n">
        <v>0</v>
      </c>
      <c r="AE23" s="300" t="n">
        <v>0</v>
      </c>
      <c r="AF23" s="300" t="n">
        <v>0</v>
      </c>
      <c r="AG23" s="297">
        <f>ROUND($O23*P23,0)</f>
        <v/>
      </c>
      <c r="AH23" s="297">
        <f>ROUND($O23*Q23,0)</f>
        <v/>
      </c>
      <c r="AI23" s="297">
        <f>ROUND($O23*R23,0)</f>
        <v/>
      </c>
      <c r="AJ23" s="297">
        <f>ROUND($O23*S23,0)</f>
        <v/>
      </c>
      <c r="AK23" s="297">
        <f>ROUND($O23*T23,0)</f>
        <v/>
      </c>
      <c r="AL23" s="297">
        <f>ROUND($O23*U23,0)</f>
        <v/>
      </c>
      <c r="AM23" s="297">
        <f>ROUND($O23*V23,0)</f>
        <v/>
      </c>
      <c r="AN23" s="297">
        <f>ROUND($O23*W23,0)</f>
        <v/>
      </c>
      <c r="AO23" s="297">
        <f>ROUND($O23*X23,0)</f>
        <v/>
      </c>
      <c r="AP23" s="298">
        <f>ROUND($O23*Y23,0)</f>
        <v/>
      </c>
      <c r="AQ23" s="298">
        <f>ROUND($O23*Z23,0)</f>
        <v/>
      </c>
      <c r="AR23" s="298">
        <f>ROUND($O23*AA23,0)</f>
        <v/>
      </c>
      <c r="AS23" s="299" t="n"/>
      <c r="AT23" s="302">
        <f>ROUND($O23*AC23,0)</f>
        <v/>
      </c>
      <c r="AU23" s="302">
        <f>ROUND($O23*AD23,0)</f>
        <v/>
      </c>
      <c r="AV23" s="302">
        <f>ROUND($O23*AE23,0)</f>
        <v/>
      </c>
      <c r="AW23" s="302">
        <f>ROUND($O23*AF23,0)</f>
        <v/>
      </c>
      <c r="AX23" s="236">
        <f>SUM(AG23:AO23)</f>
        <v/>
      </c>
      <c r="AY23" s="528">
        <f>AX23/160</f>
        <v/>
      </c>
      <c r="AZ23" s="87">
        <f>VLOOKUP(I23,Listy!$A$1:$H$9,6,FALSE)</f>
        <v/>
      </c>
      <c r="BA23" s="682">
        <f>AY23*AZ23</f>
        <v/>
      </c>
      <c r="BB23" s="528" t="n"/>
      <c r="BC23" s="528" t="n"/>
      <c r="BD23" s="528" t="n"/>
      <c r="BE23" s="528" t="n"/>
      <c r="BF23" s="528" t="n"/>
      <c r="BG23" s="528" t="n"/>
      <c r="BI23" s="528" t="n"/>
      <c r="BJ23" s="528" t="n"/>
      <c r="BL23" s="528" t="n"/>
      <c r="BM23" s="528" t="n"/>
      <c r="BO23" s="528" t="n"/>
      <c r="BP23" s="528" t="n"/>
      <c r="BS23" s="528" t="n"/>
      <c r="BT23" s="528" t="n"/>
      <c r="BU23" s="528" t="n"/>
      <c r="BW23" s="528" t="n"/>
      <c r="BX23" s="528" t="n"/>
      <c r="BY23" s="528" t="n"/>
      <c r="CA23" s="528" t="n"/>
      <c r="CB23" s="528" t="n"/>
      <c r="CC23" s="528" t="n"/>
    </row>
    <row r="24" ht="15.75" customHeight="1" s="191">
      <c r="A24" s="528" t="n">
        <v>2</v>
      </c>
      <c r="B24" s="528" t="inlineStr">
        <is>
          <t>c</t>
        </is>
      </c>
      <c r="C24" s="288" t="n">
        <v>2</v>
      </c>
      <c r="D24" s="160">
        <f>CONCATENATE(A$3,"_",A24,"_",B24,"_",C24)</f>
        <v/>
      </c>
      <c r="E24" s="222" t="inlineStr">
        <is>
          <t xml:space="preserve">Opracowanie wymagań szczegółowych dla symulacji zadania MWS </t>
        </is>
      </c>
      <c r="F24" s="231" t="n"/>
      <c r="G24" s="231" t="inlineStr">
        <is>
          <t>Ekspert merytoryczny</t>
        </is>
      </c>
      <c r="H24" s="528" t="n">
        <v>12</v>
      </c>
      <c r="I24" s="231" t="inlineStr">
        <is>
          <t>AGH/END</t>
        </is>
      </c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4" t="n">
        <v>1</v>
      </c>
      <c r="O24" s="295" t="n">
        <v>60</v>
      </c>
      <c r="P24" s="242" t="n"/>
      <c r="Q24" s="242" t="n"/>
      <c r="R24" s="242" t="n"/>
      <c r="S24" s="242" t="n"/>
      <c r="T24" s="242" t="n">
        <v>0.173</v>
      </c>
      <c r="U24" s="242" t="n">
        <v>0.163</v>
      </c>
      <c r="V24" s="242" t="n">
        <v>0</v>
      </c>
      <c r="W24" s="242" t="n">
        <v>0</v>
      </c>
      <c r="X24" s="242" t="n">
        <v>0</v>
      </c>
      <c r="Y24" s="243" t="n">
        <v>0</v>
      </c>
      <c r="Z24" s="243" t="n">
        <v>0</v>
      </c>
      <c r="AA24" s="243" t="n">
        <v>0.34</v>
      </c>
      <c r="AB24" s="243" t="n"/>
      <c r="AC24" s="300" t="n">
        <v>0.333</v>
      </c>
      <c r="AD24" s="300" t="n">
        <v>0</v>
      </c>
      <c r="AE24" s="300" t="n">
        <v>0</v>
      </c>
      <c r="AF24" s="300" t="n">
        <v>0</v>
      </c>
      <c r="AG24" s="297">
        <f>ROUND($O24*P24,0)</f>
        <v/>
      </c>
      <c r="AH24" s="297">
        <f>ROUND($O24*Q24,0)</f>
        <v/>
      </c>
      <c r="AI24" s="297">
        <f>ROUND($O24*R24,0)</f>
        <v/>
      </c>
      <c r="AJ24" s="297">
        <f>ROUND($O24*S24,0)</f>
        <v/>
      </c>
      <c r="AK24" s="297">
        <f>ROUND($O24*T24,0)</f>
        <v/>
      </c>
      <c r="AL24" s="297">
        <f>ROUND($O24*U24,0)</f>
        <v/>
      </c>
      <c r="AM24" s="297">
        <f>ROUND($O24*V24,0)</f>
        <v/>
      </c>
      <c r="AN24" s="297">
        <f>ROUND($O24*W24,0)</f>
        <v/>
      </c>
      <c r="AO24" s="297">
        <f>ROUND($O24*X24,0)</f>
        <v/>
      </c>
      <c r="AP24" s="298">
        <f>ROUND($O24*Y24,0)</f>
        <v/>
      </c>
      <c r="AQ24" s="298">
        <f>ROUND($O24*Z24,0)</f>
        <v/>
      </c>
      <c r="AR24" s="298">
        <f>ROUND($O24*AA24,0)</f>
        <v/>
      </c>
      <c r="AS24" s="299" t="n"/>
      <c r="AT24" s="302">
        <f>ROUND($O24*AC24,0)</f>
        <v/>
      </c>
      <c r="AU24" s="302">
        <f>ROUND($O24*AD24,0)</f>
        <v/>
      </c>
      <c r="AV24" s="302">
        <f>ROUND($O24*AE24,0)</f>
        <v/>
      </c>
      <c r="AW24" s="302">
        <f>ROUND($O24*AF24,0)</f>
        <v/>
      </c>
      <c r="AX24" s="236">
        <f>SUM(AG24:AO24)</f>
        <v/>
      </c>
      <c r="AY24" s="528">
        <f>AX24/160</f>
        <v/>
      </c>
      <c r="AZ24" s="87">
        <f>VLOOKUP(I24,Listy!$A$1:$H$9,6,FALSE)</f>
        <v/>
      </c>
      <c r="BA24" s="682">
        <f>AY24*AZ24</f>
        <v/>
      </c>
      <c r="BB24" s="528" t="n"/>
      <c r="BC24" s="528" t="n"/>
      <c r="BD24" s="528" t="n"/>
      <c r="BE24" s="528" t="n"/>
      <c r="BF24" s="528" t="n"/>
      <c r="BG24" s="528" t="n"/>
      <c r="BI24" s="528" t="n"/>
      <c r="BJ24" s="528" t="n"/>
      <c r="BK24" s="59" t="n"/>
      <c r="BL24" s="528" t="n"/>
      <c r="BM24" s="528" t="n"/>
      <c r="BO24" s="528" t="n"/>
      <c r="BP24" s="528" t="n"/>
      <c r="BS24" s="528" t="n"/>
      <c r="BT24" s="528" t="n"/>
      <c r="BU24" s="528" t="n"/>
      <c r="BW24" s="528" t="n"/>
      <c r="BX24" s="528" t="n"/>
      <c r="BY24" s="528" t="n"/>
      <c r="CA24" s="528" t="n"/>
      <c r="CB24" s="528" t="n"/>
      <c r="CC24" s="528" t="n"/>
    </row>
    <row r="25" ht="15.75" customHeight="1" s="191">
      <c r="A25" s="528" t="n">
        <v>2</v>
      </c>
      <c r="B25" s="528" t="inlineStr">
        <is>
          <t>c</t>
        </is>
      </c>
      <c r="C25" s="288" t="n">
        <v>3</v>
      </c>
      <c r="D25" s="160">
        <f>CONCATENATE(A$3,"_",A25,"_",B25,"_",C25)</f>
        <v/>
      </c>
      <c r="E25" s="222" t="inlineStr">
        <is>
          <t>Opracowanie wymagań szczegółowych dla symulacji zadania Kompletacja</t>
        </is>
      </c>
      <c r="F25" s="231" t="n"/>
      <c r="G25" s="231" t="inlineStr">
        <is>
          <t>Ekspert merytoryczny</t>
        </is>
      </c>
      <c r="H25" s="528" t="n">
        <v>12</v>
      </c>
      <c r="I25" s="231" t="inlineStr">
        <is>
          <t>AGH/END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4" t="n">
        <v>1</v>
      </c>
      <c r="O25" s="295" t="n">
        <v>60</v>
      </c>
      <c r="P25" s="242" t="n"/>
      <c r="Q25" s="242" t="n"/>
      <c r="R25" s="242" t="n"/>
      <c r="S25" s="242" t="n"/>
      <c r="T25" s="242" t="n">
        <v>0</v>
      </c>
      <c r="U25" s="242" t="n">
        <v>0</v>
      </c>
      <c r="V25" s="242" t="n">
        <v>0.17</v>
      </c>
      <c r="W25" s="242" t="n">
        <v>0.16</v>
      </c>
      <c r="X25" s="242" t="n">
        <v>0</v>
      </c>
      <c r="Y25" s="243" t="n">
        <v>0</v>
      </c>
      <c r="Z25" s="243" t="n">
        <v>0</v>
      </c>
      <c r="AA25" s="243" t="n">
        <v>0.34</v>
      </c>
      <c r="AB25" s="243" t="n"/>
      <c r="AC25" s="300" t="n">
        <v>0.333</v>
      </c>
      <c r="AD25" s="300" t="n">
        <v>0</v>
      </c>
      <c r="AE25" s="300" t="n">
        <v>0</v>
      </c>
      <c r="AF25" s="300" t="n">
        <v>0</v>
      </c>
      <c r="AG25" s="297">
        <f>ROUND($O25*P25,0)</f>
        <v/>
      </c>
      <c r="AH25" s="297">
        <f>ROUND($O25*Q25,0)</f>
        <v/>
      </c>
      <c r="AI25" s="297">
        <f>ROUND($O25*R25,0)</f>
        <v/>
      </c>
      <c r="AJ25" s="297">
        <f>ROUND($O25*S25,0)</f>
        <v/>
      </c>
      <c r="AK25" s="297">
        <f>ROUND($O25*T25,0)</f>
        <v/>
      </c>
      <c r="AL25" s="297">
        <f>ROUND($O25*U25,0)</f>
        <v/>
      </c>
      <c r="AM25" s="297">
        <f>ROUND($O25*V25,0)</f>
        <v/>
      </c>
      <c r="AN25" s="297">
        <f>ROUND($O25*W25,0)</f>
        <v/>
      </c>
      <c r="AO25" s="297">
        <f>ROUND($O25*X25,0)</f>
        <v/>
      </c>
      <c r="AP25" s="298">
        <f>ROUND($O25*Y25,0)</f>
        <v/>
      </c>
      <c r="AQ25" s="298">
        <f>ROUND($O25*Z25,0)</f>
        <v/>
      </c>
      <c r="AR25" s="298">
        <f>ROUND($O25*AA25,0)</f>
        <v/>
      </c>
      <c r="AS25" s="299" t="n"/>
      <c r="AT25" s="302">
        <f>ROUND($O25*AC25,0)</f>
        <v/>
      </c>
      <c r="AU25" s="302">
        <f>ROUND($O25*AD25,0)</f>
        <v/>
      </c>
      <c r="AV25" s="302">
        <f>ROUND($O25*AE25,0)</f>
        <v/>
      </c>
      <c r="AW25" s="302">
        <f>ROUND($O25*AF25,0)</f>
        <v/>
      </c>
      <c r="AX25" s="236">
        <f>SUM(AG25:AO25)</f>
        <v/>
      </c>
      <c r="AY25" s="528">
        <f>AX25/160</f>
        <v/>
      </c>
      <c r="AZ25" s="87">
        <f>VLOOKUP(I25,Listy!$A$1:$H$9,6,FALSE)</f>
        <v/>
      </c>
      <c r="BA25" s="682">
        <f>AY25*AZ25</f>
        <v/>
      </c>
      <c r="BB25" s="528" t="n"/>
      <c r="BC25" s="528" t="n"/>
      <c r="BD25" s="528" t="n"/>
      <c r="BE25" s="528" t="n"/>
      <c r="BF25" s="528" t="n"/>
      <c r="BG25" s="528" t="n"/>
      <c r="BI25" s="528" t="n"/>
      <c r="BJ25" s="528" t="n"/>
      <c r="BK25" s="59" t="n"/>
      <c r="BL25" s="528" t="n"/>
      <c r="BM25" s="528" t="n"/>
      <c r="BO25" s="528" t="n"/>
      <c r="BP25" s="528" t="n"/>
      <c r="BS25" s="528" t="n"/>
      <c r="BT25" s="528" t="n"/>
      <c r="BU25" s="528" t="n"/>
      <c r="BW25" s="528" t="n"/>
      <c r="BX25" s="528" t="n"/>
      <c r="BY25" s="528" t="n"/>
      <c r="CA25" s="528" t="n"/>
      <c r="CB25" s="528" t="n"/>
      <c r="CC25" s="528" t="n"/>
    </row>
    <row r="26" ht="15.75" customHeight="1" s="191">
      <c r="A26" s="57" t="n">
        <v>2</v>
      </c>
      <c r="B26" s="57" t="inlineStr">
        <is>
          <t>c</t>
        </is>
      </c>
      <c r="C26" s="288" t="n">
        <v>4</v>
      </c>
      <c r="D26" s="160">
        <f>CONCATENATE(A$3,"_",A26,"_",B26,"_",C26)</f>
        <v/>
      </c>
      <c r="E26" s="222" t="inlineStr">
        <is>
          <t>Analiza metod symulowania procesów</t>
        </is>
      </c>
      <c r="F26" s="231" t="n"/>
      <c r="G26" s="231" t="inlineStr">
        <is>
          <t>Ekspert merytoryczny</t>
        </is>
      </c>
      <c r="H26" s="528" t="n">
        <v>13</v>
      </c>
      <c r="I26" s="231" t="inlineStr">
        <is>
          <t>AGH</t>
        </is>
      </c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4">
        <f>ROUND(MAX(AG26:AO26)/Listy!$U$2,0)</f>
        <v/>
      </c>
      <c r="O26" s="295" t="n">
        <v>80</v>
      </c>
      <c r="P26" s="242" t="n"/>
      <c r="Q26" s="242" t="n"/>
      <c r="R26" s="242" t="n"/>
      <c r="S26" s="242" t="n"/>
      <c r="T26" s="242" t="n">
        <v>0</v>
      </c>
      <c r="U26" s="242" t="n">
        <v>0</v>
      </c>
      <c r="V26" s="242" t="n">
        <v>0</v>
      </c>
      <c r="W26" s="242" t="n">
        <v>0</v>
      </c>
      <c r="X26" s="242" t="n">
        <v>0</v>
      </c>
      <c r="Y26" s="243" t="n">
        <v>0</v>
      </c>
      <c r="Z26" s="243" t="n">
        <v>0</v>
      </c>
      <c r="AA26" s="243" t="n">
        <v>0</v>
      </c>
      <c r="AB26" s="243" t="n"/>
      <c r="AC26" s="300" t="n">
        <v>0</v>
      </c>
      <c r="AD26" s="300" t="n">
        <v>0.5</v>
      </c>
      <c r="AE26" s="300" t="n">
        <v>0.5</v>
      </c>
      <c r="AF26" s="300" t="n">
        <v>0</v>
      </c>
      <c r="AG26" s="297">
        <f>ROUND($O26*P26,0)</f>
        <v/>
      </c>
      <c r="AH26" s="297">
        <f>ROUND($O26*Q26,0)</f>
        <v/>
      </c>
      <c r="AI26" s="297">
        <f>ROUND($O26*R26,0)</f>
        <v/>
      </c>
      <c r="AJ26" s="297">
        <f>ROUND($O26*S26,0)</f>
        <v/>
      </c>
      <c r="AK26" s="297">
        <f>ROUND($O26*T26,0)</f>
        <v/>
      </c>
      <c r="AL26" s="297">
        <f>ROUND($O26*U26,0)</f>
        <v/>
      </c>
      <c r="AM26" s="297">
        <f>ROUND($O26*V26,0)</f>
        <v/>
      </c>
      <c r="AN26" s="297">
        <f>ROUND($O26*W26,0)</f>
        <v/>
      </c>
      <c r="AO26" s="297">
        <f>ROUND($O26*X26,0)</f>
        <v/>
      </c>
      <c r="AP26" s="298">
        <f>ROUND($O26*Y26,0)</f>
        <v/>
      </c>
      <c r="AQ26" s="298">
        <f>ROUND($O26*Z26,0)</f>
        <v/>
      </c>
      <c r="AR26" s="298">
        <f>ROUND($O26*AA26,0)</f>
        <v/>
      </c>
      <c r="AS26" s="299" t="n"/>
      <c r="AT26" s="302">
        <f>ROUND($O26*AC26,0)</f>
        <v/>
      </c>
      <c r="AU26" s="302">
        <f>ROUND($O26*AD26,0)</f>
        <v/>
      </c>
      <c r="AV26" s="302">
        <f>ROUND($O26*AE26,0)</f>
        <v/>
      </c>
      <c r="AW26" s="302">
        <f>ROUND($O26*AF26,0)</f>
        <v/>
      </c>
      <c r="AX26" s="236">
        <f>SUM(AG26:AO26)</f>
        <v/>
      </c>
      <c r="AY26" s="528">
        <f>AX26/160</f>
        <v/>
      </c>
      <c r="AZ26" s="87">
        <f>VLOOKUP(I26,Listy!$A$1:$H$9,6,FALSE)</f>
        <v/>
      </c>
      <c r="BA26" s="682">
        <f>AY26*AZ26</f>
        <v/>
      </c>
      <c r="BB26" s="528" t="n"/>
      <c r="BC26" s="528" t="n"/>
      <c r="BD26" s="528" t="n"/>
      <c r="BE26" s="528" t="n"/>
      <c r="BF26" s="528" t="n"/>
      <c r="BG26" s="528" t="n"/>
      <c r="BI26" s="528" t="n"/>
      <c r="BJ26" s="528" t="n"/>
      <c r="BL26" s="528" t="n"/>
      <c r="BM26" s="528" t="n"/>
      <c r="BO26" s="528" t="n"/>
      <c r="BP26" s="528" t="n"/>
      <c r="BS26" s="528" t="n"/>
      <c r="BT26" s="528" t="n"/>
      <c r="BU26" s="528" t="n"/>
      <c r="BW26" s="528" t="n"/>
      <c r="BX26" s="528" t="n"/>
      <c r="BY26" s="528" t="n"/>
      <c r="CA26" s="528" t="n"/>
      <c r="CB26" s="528" t="n"/>
      <c r="CC26" s="528" t="n"/>
    </row>
    <row r="27" ht="15.75" customHeight="1" s="191">
      <c r="A27" s="57" t="n">
        <v>2</v>
      </c>
      <c r="B27" s="57" t="inlineStr">
        <is>
          <t>c</t>
        </is>
      </c>
      <c r="C27" s="288" t="n">
        <v>5</v>
      </c>
      <c r="D27" s="160">
        <f>CONCATENATE(A$3,"_",A27,"_",B27,"_",C27)</f>
        <v/>
      </c>
      <c r="E27" s="222" t="inlineStr">
        <is>
          <t>Analiza dostępnych danych dostępnych z procesów logistycznych</t>
        </is>
      </c>
      <c r="F27" s="231" t="n"/>
      <c r="G27" s="231" t="inlineStr">
        <is>
          <t>Ekspert merytoryczny</t>
        </is>
      </c>
      <c r="H27" s="528" t="n">
        <v>13</v>
      </c>
      <c r="I27" s="231" t="inlineStr">
        <is>
          <t>AGH</t>
        </is>
      </c>
      <c r="J27" s="91">
        <f>M26+1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4">
        <f>ROUND(MAX(AG27:AO27)/Listy!$U$2,0)</f>
        <v/>
      </c>
      <c r="O27" s="295" t="n">
        <v>80</v>
      </c>
      <c r="P27" s="242" t="n"/>
      <c r="Q27" s="242" t="n"/>
      <c r="R27" s="242" t="n"/>
      <c r="S27" s="242" t="n"/>
      <c r="T27" s="242" t="n">
        <v>0</v>
      </c>
      <c r="U27" s="242" t="n">
        <v>0</v>
      </c>
      <c r="V27" s="242" t="n">
        <v>0</v>
      </c>
      <c r="W27" s="242" t="n">
        <v>0</v>
      </c>
      <c r="X27" s="242" t="n">
        <v>0</v>
      </c>
      <c r="Y27" s="243" t="n">
        <v>0</v>
      </c>
      <c r="Z27" s="243" t="n">
        <v>0</v>
      </c>
      <c r="AA27" s="243" t="n">
        <v>0</v>
      </c>
      <c r="AB27" s="243" t="n"/>
      <c r="AC27" s="300" t="n">
        <v>0</v>
      </c>
      <c r="AD27" s="300" t="n">
        <v>0</v>
      </c>
      <c r="AE27" s="300" t="n">
        <v>0.5</v>
      </c>
      <c r="AF27" s="300" t="n">
        <v>0.5</v>
      </c>
      <c r="AG27" s="297">
        <f>ROUND($O27*P27,0)</f>
        <v/>
      </c>
      <c r="AH27" s="297">
        <f>ROUND($O27*Q27,0)</f>
        <v/>
      </c>
      <c r="AI27" s="297">
        <f>ROUND($O27*R27,0)</f>
        <v/>
      </c>
      <c r="AJ27" s="297">
        <f>ROUND($O27*S27,0)</f>
        <v/>
      </c>
      <c r="AK27" s="297">
        <f>ROUND($O27*T27,0)</f>
        <v/>
      </c>
      <c r="AL27" s="297">
        <f>ROUND($O27*U27,0)</f>
        <v/>
      </c>
      <c r="AM27" s="297">
        <f>ROUND($O27*V27,0)</f>
        <v/>
      </c>
      <c r="AN27" s="297">
        <f>ROUND($O27*W27,0)</f>
        <v/>
      </c>
      <c r="AO27" s="297">
        <f>ROUND($O27*X27,0)</f>
        <v/>
      </c>
      <c r="AP27" s="298">
        <f>ROUND($O27*Y27,0)</f>
        <v/>
      </c>
      <c r="AQ27" s="298">
        <f>ROUND($O27*Z27,0)</f>
        <v/>
      </c>
      <c r="AR27" s="298">
        <f>ROUND($O27*AA27,0)</f>
        <v/>
      </c>
      <c r="AS27" s="299" t="n"/>
      <c r="AT27" s="302">
        <f>ROUND($O27*AC27,0)</f>
        <v/>
      </c>
      <c r="AU27" s="302">
        <f>ROUND($O27*AD27,0)</f>
        <v/>
      </c>
      <c r="AV27" s="302">
        <f>ROUND($O27*AE27,0)</f>
        <v/>
      </c>
      <c r="AW27" s="302">
        <f>ROUND($O27*AF27,0)</f>
        <v/>
      </c>
      <c r="AX27" s="236">
        <f>SUM(AG27:AO27)</f>
        <v/>
      </c>
      <c r="AY27" s="528">
        <f>AX27/160</f>
        <v/>
      </c>
      <c r="AZ27" s="87">
        <f>VLOOKUP(I27,Listy!$A$1:$H$9,6,FALSE)</f>
        <v/>
      </c>
      <c r="BA27" s="682">
        <f>AY27*AZ27</f>
        <v/>
      </c>
      <c r="BB27" s="528" t="n"/>
      <c r="BC27" s="528" t="n"/>
      <c r="BD27" s="528" t="n"/>
      <c r="BE27" s="528" t="n"/>
      <c r="BF27" s="528" t="n"/>
      <c r="BG27" s="528" t="n"/>
      <c r="BI27" s="528" t="n"/>
      <c r="BJ27" s="528" t="n"/>
      <c r="BL27" s="528" t="n"/>
      <c r="BM27" s="528" t="n"/>
      <c r="BO27" s="528" t="n"/>
      <c r="BP27" s="528" t="n"/>
      <c r="BS27" s="528" t="n"/>
      <c r="BT27" s="528" t="n"/>
      <c r="BU27" s="528" t="n"/>
      <c r="BW27" s="528" t="n"/>
      <c r="BX27" s="528" t="n"/>
      <c r="BY27" s="528" t="n"/>
      <c r="CA27" s="528" t="n"/>
      <c r="CB27" s="528" t="n"/>
      <c r="CC27" s="528" t="n"/>
    </row>
    <row r="28" ht="15.75" customHeight="1" s="191">
      <c r="A28" s="57" t="n">
        <v>2</v>
      </c>
      <c r="B28" s="57" t="inlineStr">
        <is>
          <t>c</t>
        </is>
      </c>
      <c r="C28" s="288" t="n">
        <v>6</v>
      </c>
      <c r="D28" s="160">
        <f>CONCATENATE(A$3,"_",A28,"_",B28,"_",C28)</f>
        <v/>
      </c>
      <c r="E28" s="222" t="inlineStr">
        <is>
          <t>Ustalenie parametrów wejściowych dla symulacji zadania MWS</t>
        </is>
      </c>
      <c r="F28" s="231" t="n"/>
      <c r="G28" s="231" t="inlineStr">
        <is>
          <t>Ekspert merytoryczny/ Architekt rozwiazania</t>
        </is>
      </c>
      <c r="H28" s="528" t="n">
        <v>14</v>
      </c>
      <c r="I28" s="231" t="inlineStr">
        <is>
          <t>AGH/END</t>
        </is>
      </c>
      <c r="J28" s="91">
        <f>M27+1</f>
        <v/>
      </c>
      <c r="K28" s="681">
        <f>VLOOKUP(J28,Kalendarz!B:E,4,FALSE)</f>
        <v/>
      </c>
      <c r="L28" s="681">
        <f>K28+N28</f>
        <v/>
      </c>
      <c r="M28" s="528">
        <f>J28+N28-1</f>
        <v/>
      </c>
      <c r="N28" s="474" t="n">
        <v>1</v>
      </c>
      <c r="O28" s="295" t="n">
        <v>60</v>
      </c>
      <c r="P28" s="242" t="n"/>
      <c r="Q28" s="242" t="n"/>
      <c r="R28" s="242" t="n"/>
      <c r="S28" s="242" t="n"/>
      <c r="T28" s="242" t="n">
        <v>0.173</v>
      </c>
      <c r="U28" s="242" t="n">
        <v>0.163</v>
      </c>
      <c r="V28" s="242" t="n">
        <v>0</v>
      </c>
      <c r="W28" s="242" t="n">
        <v>0</v>
      </c>
      <c r="X28" s="242" t="n">
        <v>0</v>
      </c>
      <c r="Y28" s="243" t="n">
        <v>0.34</v>
      </c>
      <c r="Z28" s="243" t="n">
        <v>0</v>
      </c>
      <c r="AA28" s="243" t="n">
        <v>0</v>
      </c>
      <c r="AB28" s="243" t="n"/>
      <c r="AC28" s="300" t="n">
        <v>0.333</v>
      </c>
      <c r="AD28" s="300" t="n">
        <v>0</v>
      </c>
      <c r="AE28" s="300" t="n">
        <v>0</v>
      </c>
      <c r="AF28" s="300" t="n">
        <v>0</v>
      </c>
      <c r="AG28" s="297">
        <f>ROUND($O28*P28,0)</f>
        <v/>
      </c>
      <c r="AH28" s="297">
        <f>ROUND($O28*Q28,0)</f>
        <v/>
      </c>
      <c r="AI28" s="297">
        <f>ROUND($O28*R28,0)</f>
        <v/>
      </c>
      <c r="AJ28" s="297">
        <f>ROUND($O28*S28,0)</f>
        <v/>
      </c>
      <c r="AK28" s="297">
        <f>ROUND($O28*T28,0)</f>
        <v/>
      </c>
      <c r="AL28" s="297">
        <f>ROUND($O28*U28,0)</f>
        <v/>
      </c>
      <c r="AM28" s="297">
        <f>ROUND($O28*V28,0)</f>
        <v/>
      </c>
      <c r="AN28" s="297">
        <f>ROUND($O28*W28,0)</f>
        <v/>
      </c>
      <c r="AO28" s="297">
        <f>ROUND($O28*X28,0)</f>
        <v/>
      </c>
      <c r="AP28" s="298">
        <f>ROUND($O28*Y28,0)</f>
        <v/>
      </c>
      <c r="AQ28" s="298">
        <f>ROUND($O28*Z28,0)</f>
        <v/>
      </c>
      <c r="AR28" s="298">
        <f>ROUND($O28*AA28,0)</f>
        <v/>
      </c>
      <c r="AS28" s="299" t="n"/>
      <c r="AT28" s="302">
        <f>ROUND($O28*AC28,0)</f>
        <v/>
      </c>
      <c r="AU28" s="302">
        <f>ROUND($O28*AD28,0)</f>
        <v/>
      </c>
      <c r="AV28" s="302">
        <f>ROUND($O28*AE28,0)</f>
        <v/>
      </c>
      <c r="AW28" s="302">
        <f>ROUND($O28*AF28,0)</f>
        <v/>
      </c>
      <c r="AX28" s="236">
        <f>SUM(AG28:AO28)</f>
        <v/>
      </c>
      <c r="AY28" s="528">
        <f>AX28/160</f>
        <v/>
      </c>
      <c r="AZ28" s="87">
        <f>VLOOKUP(I28,Listy!$A$1:$H$9,6,FALSE)</f>
        <v/>
      </c>
      <c r="BA28" s="682">
        <f>AY28*AZ28</f>
        <v/>
      </c>
      <c r="BB28" s="528" t="n"/>
      <c r="BC28" s="528" t="n"/>
      <c r="BD28" s="528" t="n"/>
      <c r="BE28" s="528" t="n"/>
      <c r="BF28" s="528" t="n"/>
      <c r="BG28" s="528" t="n"/>
      <c r="BI28" s="528" t="n"/>
      <c r="BJ28" s="528" t="n"/>
      <c r="BL28" s="528" t="n"/>
      <c r="BM28" s="528" t="n"/>
      <c r="BO28" s="528" t="n"/>
      <c r="BP28" s="528" t="n"/>
      <c r="BS28" s="528" t="n"/>
      <c r="BT28" s="528" t="n"/>
      <c r="BU28" s="528" t="n"/>
      <c r="BW28" s="528" t="n"/>
      <c r="BX28" s="528" t="n"/>
      <c r="BY28" s="528" t="n"/>
      <c r="CA28" s="528" t="n"/>
      <c r="CB28" s="528" t="n"/>
      <c r="CC28" s="528" t="n"/>
    </row>
    <row r="29" ht="15.75" customHeight="1" s="191">
      <c r="A29" s="57" t="n">
        <v>2</v>
      </c>
      <c r="B29" s="57" t="inlineStr">
        <is>
          <t>c</t>
        </is>
      </c>
      <c r="C29" s="288" t="n">
        <v>7</v>
      </c>
      <c r="D29" s="160">
        <f>CONCATENATE(A$3,"_",A29,"_",B29,"_",C29)</f>
        <v/>
      </c>
      <c r="E29" s="222" t="inlineStr">
        <is>
          <t>Ustalenie parametrów wejściowych dla symulacji zadania Kompletacja</t>
        </is>
      </c>
      <c r="F29" s="231" t="n"/>
      <c r="G29" s="231" t="inlineStr">
        <is>
          <t>Ekspert merytoryczny/ Architekt rozwiazania</t>
        </is>
      </c>
      <c r="H29" s="528" t="n">
        <v>14</v>
      </c>
      <c r="I29" s="231" t="inlineStr">
        <is>
          <t>AGH/END</t>
        </is>
      </c>
      <c r="J29" s="91">
        <f>M28+1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4" t="n">
        <v>1</v>
      </c>
      <c r="O29" s="295" t="n">
        <v>60</v>
      </c>
      <c r="P29" s="242" t="n"/>
      <c r="Q29" s="242" t="n"/>
      <c r="R29" s="242" t="n"/>
      <c r="S29" s="242" t="n"/>
      <c r="T29" s="242" t="n">
        <v>0</v>
      </c>
      <c r="U29" s="242" t="n">
        <v>0</v>
      </c>
      <c r="V29" s="242" t="n">
        <v>0</v>
      </c>
      <c r="W29" s="242" t="n">
        <v>0.173</v>
      </c>
      <c r="X29" s="242" t="n">
        <v>0.163</v>
      </c>
      <c r="Y29" s="243" t="n">
        <v>0.34</v>
      </c>
      <c r="Z29" s="243" t="n">
        <v>0</v>
      </c>
      <c r="AA29" s="243" t="n">
        <v>0</v>
      </c>
      <c r="AB29" s="243" t="n"/>
      <c r="AC29" s="300" t="n">
        <v>0.333</v>
      </c>
      <c r="AD29" s="300" t="n">
        <v>0</v>
      </c>
      <c r="AE29" s="300" t="n">
        <v>0</v>
      </c>
      <c r="AF29" s="300" t="n">
        <v>0</v>
      </c>
      <c r="AG29" s="297">
        <f>ROUND($O29*P29,0)</f>
        <v/>
      </c>
      <c r="AH29" s="297">
        <f>ROUND($O29*Q29,0)</f>
        <v/>
      </c>
      <c r="AI29" s="297">
        <f>ROUND($O29*R29,0)</f>
        <v/>
      </c>
      <c r="AJ29" s="297">
        <f>ROUND($O29*S29,0)</f>
        <v/>
      </c>
      <c r="AK29" s="297">
        <f>ROUND($O29*T29,0)</f>
        <v/>
      </c>
      <c r="AL29" s="297">
        <f>ROUND($O29*U29,0)</f>
        <v/>
      </c>
      <c r="AM29" s="297">
        <f>ROUND($O29*V29,0)</f>
        <v/>
      </c>
      <c r="AN29" s="297">
        <f>ROUND($O29*W29,0)</f>
        <v/>
      </c>
      <c r="AO29" s="297">
        <f>ROUND($O29*X29,0)</f>
        <v/>
      </c>
      <c r="AP29" s="298">
        <f>ROUND($O29*Y29,0)</f>
        <v/>
      </c>
      <c r="AQ29" s="298">
        <f>ROUND($O29*Z29,0)</f>
        <v/>
      </c>
      <c r="AR29" s="298">
        <f>ROUND($O29*AA29,0)</f>
        <v/>
      </c>
      <c r="AS29" s="299" t="n"/>
      <c r="AT29" s="302">
        <f>ROUND($O29*AC29,0)</f>
        <v/>
      </c>
      <c r="AU29" s="302">
        <f>ROUND($O29*AD29,0)</f>
        <v/>
      </c>
      <c r="AV29" s="302">
        <f>ROUND($O29*AE29,0)</f>
        <v/>
      </c>
      <c r="AW29" s="302">
        <f>ROUND($O29*AF29,0)</f>
        <v/>
      </c>
      <c r="AX29" s="236">
        <f>SUM(AG29:AO29)</f>
        <v/>
      </c>
      <c r="AY29" s="528">
        <f>AX29/160</f>
        <v/>
      </c>
      <c r="AZ29" s="87">
        <f>VLOOKUP(I29,Listy!$A$1:$H$9,6,FALSE)</f>
        <v/>
      </c>
      <c r="BA29" s="682">
        <f>AY29*AZ29</f>
        <v/>
      </c>
      <c r="BB29" s="528" t="n"/>
      <c r="BC29" s="528" t="n"/>
      <c r="BD29" s="528" t="n"/>
      <c r="BE29" s="528" t="n"/>
      <c r="BF29" s="528" t="n"/>
      <c r="BG29" s="528" t="n"/>
      <c r="BI29" s="528" t="n"/>
      <c r="BJ29" s="528" t="n"/>
      <c r="BL29" s="528" t="n"/>
      <c r="BM29" s="528" t="n"/>
      <c r="BO29" s="528" t="n"/>
      <c r="BP29" s="528" t="n"/>
      <c r="BS29" s="528" t="n"/>
      <c r="BT29" s="528" t="n"/>
      <c r="BU29" s="528" t="n"/>
      <c r="BW29" s="528" t="n"/>
      <c r="BX29" s="528" t="n"/>
      <c r="BY29" s="528" t="n"/>
      <c r="CA29" s="528" t="n"/>
      <c r="CB29" s="528" t="n"/>
      <c r="CC29" s="528" t="n"/>
    </row>
    <row r="30" ht="15.75" customHeight="1" s="191">
      <c r="A30" s="57" t="n">
        <v>2</v>
      </c>
      <c r="B30" s="57" t="inlineStr">
        <is>
          <t>c</t>
        </is>
      </c>
      <c r="C30" s="288" t="n">
        <v>8</v>
      </c>
      <c r="D30" s="160">
        <f>CONCATENATE(A$3,"_",A30,"_",B30,"_",C30)</f>
        <v/>
      </c>
      <c r="E30" s="222" t="inlineStr">
        <is>
          <t>Ustalenie parametrów wyjściowych dla symulacji zadania MWS</t>
        </is>
      </c>
      <c r="F30" s="231" t="n"/>
      <c r="G30" s="231" t="inlineStr">
        <is>
          <t>Ekspert merytoryczny/ Architekt rozwiazania</t>
        </is>
      </c>
      <c r="H30" s="528" t="n">
        <v>15</v>
      </c>
      <c r="I30" s="231" t="inlineStr">
        <is>
          <t>AGH/END</t>
        </is>
      </c>
      <c r="J30" s="91">
        <f>M29+1</f>
        <v/>
      </c>
      <c r="K30" s="681">
        <f>VLOOKUP(J30,Kalendarz!B:E,4,FALSE)</f>
        <v/>
      </c>
      <c r="L30" s="681">
        <f>K30+N30</f>
        <v/>
      </c>
      <c r="M30" s="528">
        <f>J30+N30-1</f>
        <v/>
      </c>
      <c r="N30" s="474" t="n">
        <v>1</v>
      </c>
      <c r="O30" s="295" t="n">
        <v>60</v>
      </c>
      <c r="P30" s="242" t="n"/>
      <c r="Q30" s="242" t="n"/>
      <c r="R30" s="242" t="n"/>
      <c r="S30" s="242" t="n"/>
      <c r="T30" s="242" t="n">
        <v>0.173</v>
      </c>
      <c r="U30" s="242" t="n">
        <v>0.163</v>
      </c>
      <c r="V30" s="242" t="n">
        <v>0</v>
      </c>
      <c r="W30" s="242" t="n">
        <v>0</v>
      </c>
      <c r="X30" s="242" t="n">
        <v>0</v>
      </c>
      <c r="Y30" s="243" t="n">
        <v>0.34</v>
      </c>
      <c r="Z30" s="243" t="n">
        <v>0</v>
      </c>
      <c r="AA30" s="243" t="n">
        <v>0</v>
      </c>
      <c r="AB30" s="243" t="n"/>
      <c r="AC30" s="300" t="n">
        <v>0.333</v>
      </c>
      <c r="AD30" s="300" t="n">
        <v>0</v>
      </c>
      <c r="AE30" s="300" t="n">
        <v>0</v>
      </c>
      <c r="AF30" s="300" t="n">
        <v>0</v>
      </c>
      <c r="AG30" s="297">
        <f>ROUND($O30*P30,0)</f>
        <v/>
      </c>
      <c r="AH30" s="297">
        <f>ROUND($O30*Q30,0)</f>
        <v/>
      </c>
      <c r="AI30" s="297">
        <f>ROUND($O30*R30,0)</f>
        <v/>
      </c>
      <c r="AJ30" s="297">
        <f>ROUND($O30*S30,0)</f>
        <v/>
      </c>
      <c r="AK30" s="297">
        <f>ROUND($O30*T30,0)</f>
        <v/>
      </c>
      <c r="AL30" s="297">
        <f>ROUND($O30*U30,0)</f>
        <v/>
      </c>
      <c r="AM30" s="297">
        <f>ROUND($O30*V30,0)</f>
        <v/>
      </c>
      <c r="AN30" s="297">
        <f>ROUND($O30*W30,0)</f>
        <v/>
      </c>
      <c r="AO30" s="297">
        <f>ROUND($O30*X30,0)</f>
        <v/>
      </c>
      <c r="AP30" s="298">
        <f>ROUND($O30*Y30,0)</f>
        <v/>
      </c>
      <c r="AQ30" s="298">
        <f>ROUND($O30*Z30,0)</f>
        <v/>
      </c>
      <c r="AR30" s="298">
        <f>ROUND($O30*AA30,0)</f>
        <v/>
      </c>
      <c r="AS30" s="299" t="n"/>
      <c r="AT30" s="302">
        <f>ROUND($O30*AC30,0)</f>
        <v/>
      </c>
      <c r="AU30" s="302">
        <f>ROUND($O30*AD30,0)</f>
        <v/>
      </c>
      <c r="AV30" s="302">
        <f>ROUND($O30*AE30,0)</f>
        <v/>
      </c>
      <c r="AW30" s="302">
        <f>ROUND($O30*AF30,0)</f>
        <v/>
      </c>
      <c r="AX30" s="236">
        <f>SUM(AG30:AO30)</f>
        <v/>
      </c>
      <c r="AY30" s="528">
        <f>AX30/160</f>
        <v/>
      </c>
      <c r="AZ30" s="87">
        <f>VLOOKUP(I30,Listy!$A$1:$H$9,6,FALSE)</f>
        <v/>
      </c>
      <c r="BA30" s="682">
        <f>AY30*AZ30</f>
        <v/>
      </c>
      <c r="BB30" s="528" t="n"/>
      <c r="BC30" s="528" t="n"/>
      <c r="BD30" s="528" t="n"/>
      <c r="BE30" s="528" t="n"/>
      <c r="BF30" s="528" t="n"/>
      <c r="BG30" s="528" t="n"/>
      <c r="BI30" s="528" t="n"/>
      <c r="BJ30" s="51" t="n"/>
      <c r="BL30" s="399" t="n"/>
      <c r="BM30" s="528" t="n"/>
      <c r="BO30" s="528" t="n"/>
      <c r="BP30" s="528" t="n"/>
      <c r="BS30" s="528" t="n"/>
      <c r="BT30" s="528" t="n"/>
      <c r="BU30" s="528" t="n"/>
      <c r="BW30" s="528" t="n"/>
      <c r="BX30" s="528" t="n"/>
      <c r="BY30" s="528" t="n"/>
      <c r="CA30" s="528" t="n"/>
      <c r="CB30" s="528" t="n"/>
      <c r="CC30" s="528" t="n"/>
    </row>
    <row r="31" ht="15.75" customHeight="1" s="191">
      <c r="A31" s="57" t="n">
        <v>2</v>
      </c>
      <c r="B31" s="57" t="inlineStr">
        <is>
          <t>c</t>
        </is>
      </c>
      <c r="C31" s="288" t="n">
        <v>9</v>
      </c>
      <c r="D31" s="160">
        <f>CONCATENATE(A$3,"_",A31,"_",B31,"_",C31)</f>
        <v/>
      </c>
      <c r="E31" s="222" t="inlineStr">
        <is>
          <t>Ustalenie parametrów wyjściowych dla symulacji zadania Kompletacja</t>
        </is>
      </c>
      <c r="F31" s="231" t="n"/>
      <c r="G31" s="231" t="inlineStr">
        <is>
          <t>Ekspert merytoryczny/ Architekt rozwiazania</t>
        </is>
      </c>
      <c r="H31" s="528" t="n">
        <v>15</v>
      </c>
      <c r="I31" s="231" t="inlineStr">
        <is>
          <t>AGH/END</t>
        </is>
      </c>
      <c r="J31" s="91">
        <f>M30+1</f>
        <v/>
      </c>
      <c r="K31" s="681">
        <f>VLOOKUP(J31,Kalendarz!B:E,4,FALSE)</f>
        <v/>
      </c>
      <c r="L31" s="681">
        <f>K31+N31</f>
        <v/>
      </c>
      <c r="M31" s="528">
        <f>J31+N31-1</f>
        <v/>
      </c>
      <c r="N31" s="474" t="n">
        <v>1</v>
      </c>
      <c r="O31" s="295" t="n">
        <v>60</v>
      </c>
      <c r="P31" s="242" t="n"/>
      <c r="Q31" s="242" t="n"/>
      <c r="R31" s="242" t="n"/>
      <c r="S31" s="242" t="n"/>
      <c r="T31" s="242" t="n">
        <v>0</v>
      </c>
      <c r="U31" s="242" t="n">
        <v>0</v>
      </c>
      <c r="V31" s="242" t="n">
        <v>0.17</v>
      </c>
      <c r="W31" s="242" t="n">
        <v>0.16</v>
      </c>
      <c r="X31" s="242" t="n">
        <v>0</v>
      </c>
      <c r="Y31" s="243" t="n">
        <v>0.34</v>
      </c>
      <c r="Z31" s="243" t="n">
        <v>0</v>
      </c>
      <c r="AA31" s="243" t="n">
        <v>0</v>
      </c>
      <c r="AB31" s="243" t="n"/>
      <c r="AC31" s="300" t="n">
        <v>0.333</v>
      </c>
      <c r="AD31" s="300" t="n">
        <v>0</v>
      </c>
      <c r="AE31" s="300" t="n">
        <v>0</v>
      </c>
      <c r="AF31" s="300" t="n">
        <v>0</v>
      </c>
      <c r="AG31" s="297">
        <f>ROUND($O31*P31,0)</f>
        <v/>
      </c>
      <c r="AH31" s="297">
        <f>ROUND($O31*Q31,0)</f>
        <v/>
      </c>
      <c r="AI31" s="297">
        <f>ROUND($O31*R31,0)</f>
        <v/>
      </c>
      <c r="AJ31" s="297">
        <f>ROUND($O31*S31,0)</f>
        <v/>
      </c>
      <c r="AK31" s="297">
        <f>ROUND($O31*T31,0)</f>
        <v/>
      </c>
      <c r="AL31" s="297">
        <f>ROUND($O31*U31,0)</f>
        <v/>
      </c>
      <c r="AM31" s="297">
        <f>ROUND($O31*V31,0)</f>
        <v/>
      </c>
      <c r="AN31" s="297">
        <f>ROUND($O31*W31,0)</f>
        <v/>
      </c>
      <c r="AO31" s="297">
        <f>ROUND($O31*X31,0)</f>
        <v/>
      </c>
      <c r="AP31" s="298">
        <f>ROUND($O31*Y31,0)</f>
        <v/>
      </c>
      <c r="AQ31" s="298">
        <f>ROUND($O31*Z31,0)</f>
        <v/>
      </c>
      <c r="AR31" s="298">
        <f>ROUND($O31*AA31,0)</f>
        <v/>
      </c>
      <c r="AS31" s="299" t="n"/>
      <c r="AT31" s="302">
        <f>ROUND($O31*AC31,0)</f>
        <v/>
      </c>
      <c r="AU31" s="302">
        <f>ROUND($O31*AD31,0)</f>
        <v/>
      </c>
      <c r="AV31" s="302">
        <f>ROUND($O31*AE31,0)</f>
        <v/>
      </c>
      <c r="AW31" s="302">
        <f>ROUND($O31*AF31,0)</f>
        <v/>
      </c>
      <c r="AX31" s="236">
        <f>SUM(AG31:AO31)</f>
        <v/>
      </c>
      <c r="AY31" s="528">
        <f>AX31/160</f>
        <v/>
      </c>
      <c r="AZ31" s="87">
        <f>VLOOKUP(I31,Listy!$A$1:$H$9,6,FALSE)</f>
        <v/>
      </c>
      <c r="BA31" s="682">
        <f>AY31*AZ31</f>
        <v/>
      </c>
      <c r="BB31" s="528" t="n"/>
      <c r="BC31" s="528" t="n"/>
      <c r="BD31" s="528" t="n"/>
      <c r="BE31" s="528" t="n"/>
      <c r="BF31" s="528" t="n"/>
      <c r="BG31" s="528" t="n"/>
      <c r="BI31" s="528" t="n"/>
      <c r="BJ31" s="51" t="n"/>
      <c r="BL31" s="399" t="n"/>
      <c r="BM31" s="528" t="n"/>
      <c r="BO31" s="528" t="n"/>
      <c r="BP31" s="528" t="n"/>
      <c r="BS31" s="528" t="n"/>
      <c r="BT31" s="528" t="n"/>
      <c r="BU31" s="528" t="n"/>
      <c r="BW31" s="528" t="n"/>
      <c r="BX31" s="528" t="n"/>
      <c r="BY31" s="528" t="n"/>
      <c r="CA31" s="528" t="n"/>
      <c r="CB31" s="528" t="n"/>
      <c r="CC31" s="528" t="n"/>
    </row>
    <row r="32" ht="15.75" customHeight="1" s="191">
      <c r="A32" s="57" t="n">
        <v>2</v>
      </c>
      <c r="B32" s="57" t="inlineStr">
        <is>
          <t>c</t>
        </is>
      </c>
      <c r="C32" s="288" t="n">
        <v>10</v>
      </c>
      <c r="D32" s="160">
        <f>CONCATENATE(A$3,"_",A32,"_",B32,"_",C32)</f>
        <v/>
      </c>
      <c r="E32" s="222" t="inlineStr">
        <is>
          <t>Badania nad symulacjami zadania MWS</t>
        </is>
      </c>
      <c r="F32" s="231" t="n"/>
      <c r="G32" s="231" t="inlineStr">
        <is>
          <t>Ekspert merytoryczny</t>
        </is>
      </c>
      <c r="H32" s="528" t="n">
        <v>16</v>
      </c>
      <c r="I32" s="231" t="inlineStr">
        <is>
          <t>AGH/END</t>
        </is>
      </c>
      <c r="J32" s="91">
        <f>M31+1</f>
        <v/>
      </c>
      <c r="K32" s="681">
        <f>VLOOKUP(J32,Kalendarz!B:E,4,FALSE)</f>
        <v/>
      </c>
      <c r="L32" s="681">
        <f>K32+N32</f>
        <v/>
      </c>
      <c r="M32" s="528">
        <f>J32+N32-1</f>
        <v/>
      </c>
      <c r="N32" s="474" t="n">
        <v>1</v>
      </c>
      <c r="O32" s="295" t="n">
        <v>200</v>
      </c>
      <c r="P32" s="242" t="n"/>
      <c r="Q32" s="242" t="n"/>
      <c r="R32" s="242" t="n"/>
      <c r="S32" s="242" t="n"/>
      <c r="T32" s="242" t="n">
        <v>0</v>
      </c>
      <c r="U32" s="242" t="n">
        <v>0.1</v>
      </c>
      <c r="V32" s="242" t="n">
        <v>0.1</v>
      </c>
      <c r="W32" s="242" t="n">
        <v>0.1</v>
      </c>
      <c r="X32" s="242" t="n">
        <v>0.1</v>
      </c>
      <c r="Y32" s="243" t="n">
        <v>0</v>
      </c>
      <c r="Z32" s="243" t="n">
        <v>0</v>
      </c>
      <c r="AA32" s="243" t="n">
        <v>0</v>
      </c>
      <c r="AB32" s="243" t="n"/>
      <c r="AC32" s="300" t="n">
        <v>0</v>
      </c>
      <c r="AD32" s="300" t="n">
        <v>0.2</v>
      </c>
      <c r="AE32" s="300" t="n">
        <v>0.2</v>
      </c>
      <c r="AF32" s="300" t="n">
        <v>0.2</v>
      </c>
      <c r="AG32" s="297">
        <f>ROUND($O32*P32,0)</f>
        <v/>
      </c>
      <c r="AH32" s="297">
        <f>ROUND($O32*Q32,0)</f>
        <v/>
      </c>
      <c r="AI32" s="297">
        <f>ROUND($O32*R32,0)</f>
        <v/>
      </c>
      <c r="AJ32" s="297">
        <f>ROUND($O32*S32,0)</f>
        <v/>
      </c>
      <c r="AK32" s="297">
        <f>ROUND($O32*T32,0)</f>
        <v/>
      </c>
      <c r="AL32" s="297">
        <f>ROUND($O32*U32,0)</f>
        <v/>
      </c>
      <c r="AM32" s="297">
        <f>ROUND($O32*V32,0)</f>
        <v/>
      </c>
      <c r="AN32" s="297">
        <f>ROUND($O32*W32,0)</f>
        <v/>
      </c>
      <c r="AO32" s="297">
        <f>ROUND($O32*X32,0)</f>
        <v/>
      </c>
      <c r="AP32" s="298">
        <f>ROUND($O32*Y32,0)</f>
        <v/>
      </c>
      <c r="AQ32" s="298">
        <f>ROUND($O32*Z32,0)</f>
        <v/>
      </c>
      <c r="AR32" s="298">
        <f>ROUND($O32*AA32,0)</f>
        <v/>
      </c>
      <c r="AS32" s="299" t="n"/>
      <c r="AT32" s="302">
        <f>ROUND($O32*AC32,0)</f>
        <v/>
      </c>
      <c r="AU32" s="302">
        <f>ROUND($O32*AD32,0)</f>
        <v/>
      </c>
      <c r="AV32" s="302">
        <f>ROUND($O32*AE32,0)</f>
        <v/>
      </c>
      <c r="AW32" s="302">
        <f>ROUND($O32*AF32,0)</f>
        <v/>
      </c>
      <c r="AX32" s="236">
        <f>SUM(AG32:AO32)</f>
        <v/>
      </c>
      <c r="AY32" s="528">
        <f>AX32/160</f>
        <v/>
      </c>
      <c r="AZ32" s="87">
        <f>VLOOKUP(I32,Listy!$A$1:$H$9,6,FALSE)</f>
        <v/>
      </c>
      <c r="BA32" s="682">
        <f>AY32*AZ32</f>
        <v/>
      </c>
      <c r="BB32" s="528" t="n"/>
      <c r="BC32" s="528" t="n"/>
      <c r="BD32" s="528" t="n"/>
      <c r="BE32" s="528" t="n"/>
      <c r="BF32" s="528" t="n"/>
      <c r="BG32" s="528" t="n"/>
      <c r="BI32" s="528" t="n"/>
      <c r="BJ32" s="51" t="n"/>
      <c r="BL32" s="399" t="n"/>
      <c r="BM32" s="528" t="n"/>
      <c r="BO32" s="528" t="n"/>
      <c r="BP32" s="528" t="n"/>
      <c r="BS32" s="528" t="n"/>
      <c r="BT32" s="528" t="n"/>
      <c r="BU32" s="528" t="n"/>
      <c r="BW32" s="528" t="n"/>
      <c r="BX32" s="528" t="n"/>
      <c r="BY32" s="528" t="n"/>
      <c r="CA32" s="528" t="n"/>
      <c r="CB32" s="528" t="n"/>
      <c r="CC32" s="528" t="n"/>
    </row>
    <row r="33" ht="15.75" customHeight="1" s="191">
      <c r="A33" s="57" t="n">
        <v>2</v>
      </c>
      <c r="B33" s="57" t="inlineStr">
        <is>
          <t>c</t>
        </is>
      </c>
      <c r="C33" s="288" t="n">
        <v>11</v>
      </c>
      <c r="D33" s="160">
        <f>CONCATENATE(A$3,"_",A33,"_",B33,"_",C33)</f>
        <v/>
      </c>
      <c r="E33" s="222" t="inlineStr">
        <is>
          <t xml:space="preserve">Badania nad symulacjami zadania Kompletacja </t>
        </is>
      </c>
      <c r="F33" s="231" t="n"/>
      <c r="G33" s="231" t="inlineStr">
        <is>
          <t>Ekspert merytoryczny</t>
        </is>
      </c>
      <c r="H33" s="528" t="n">
        <v>16</v>
      </c>
      <c r="I33" s="231" t="inlineStr">
        <is>
          <t>AGH/END</t>
        </is>
      </c>
      <c r="J33" s="91">
        <f>M32+1</f>
        <v/>
      </c>
      <c r="K33" s="681">
        <f>VLOOKUP(J33,Kalendarz!B:E,4,FALSE)</f>
        <v/>
      </c>
      <c r="L33" s="681">
        <f>K33+N33</f>
        <v/>
      </c>
      <c r="M33" s="528">
        <f>J33+N33-1</f>
        <v/>
      </c>
      <c r="N33" s="476" t="n">
        <v>0</v>
      </c>
      <c r="O33" s="295" t="n">
        <v>200</v>
      </c>
      <c r="P33" s="242" t="n"/>
      <c r="Q33" s="242" t="n"/>
      <c r="R33" s="242" t="n"/>
      <c r="S33" s="242" t="n"/>
      <c r="T33" s="242" t="n">
        <v>0.1</v>
      </c>
      <c r="U33" s="242" t="n">
        <v>0.1</v>
      </c>
      <c r="V33" s="242" t="n">
        <v>0.1</v>
      </c>
      <c r="W33" s="242" t="n">
        <v>0.1</v>
      </c>
      <c r="X33" s="242" t="n">
        <v>0</v>
      </c>
      <c r="Y33" s="243" t="n">
        <v>0</v>
      </c>
      <c r="Z33" s="243" t="n">
        <v>0</v>
      </c>
      <c r="AA33" s="243" t="n">
        <v>0</v>
      </c>
      <c r="AB33" s="243" t="n"/>
      <c r="AC33" s="300" t="n">
        <v>0</v>
      </c>
      <c r="AD33" s="300" t="n">
        <v>0.2</v>
      </c>
      <c r="AE33" s="300" t="n">
        <v>0.2</v>
      </c>
      <c r="AF33" s="300" t="n">
        <v>0.2</v>
      </c>
      <c r="AG33" s="297">
        <f>ROUND($O33*P33,0)</f>
        <v/>
      </c>
      <c r="AH33" s="297">
        <f>ROUND($O33*Q33,0)</f>
        <v/>
      </c>
      <c r="AI33" s="297">
        <f>ROUND($O33*R33,0)</f>
        <v/>
      </c>
      <c r="AJ33" s="297">
        <f>ROUND($O33*S33,0)</f>
        <v/>
      </c>
      <c r="AK33" s="297">
        <f>ROUND($O33*T33,0)</f>
        <v/>
      </c>
      <c r="AL33" s="297">
        <f>ROUND($O33*U33,0)</f>
        <v/>
      </c>
      <c r="AM33" s="297">
        <f>ROUND($O33*V33,0)</f>
        <v/>
      </c>
      <c r="AN33" s="297">
        <f>ROUND($O33*W33,0)</f>
        <v/>
      </c>
      <c r="AO33" s="297">
        <f>ROUND($O33*X33,0)</f>
        <v/>
      </c>
      <c r="AP33" s="298">
        <f>ROUND($O33*Y33,0)</f>
        <v/>
      </c>
      <c r="AQ33" s="298">
        <f>ROUND($O33*Z33,0)</f>
        <v/>
      </c>
      <c r="AR33" s="298">
        <f>ROUND($O33*AA33,0)</f>
        <v/>
      </c>
      <c r="AS33" s="299" t="n"/>
      <c r="AT33" s="302">
        <f>ROUND($O33*AC33,0)</f>
        <v/>
      </c>
      <c r="AU33" s="302">
        <f>ROUND($O33*AD33,0)</f>
        <v/>
      </c>
      <c r="AV33" s="302">
        <f>ROUND($O33*AE33,0)</f>
        <v/>
      </c>
      <c r="AW33" s="302">
        <f>ROUND($O33*AF33,0)</f>
        <v/>
      </c>
      <c r="AX33" s="236">
        <f>SUM(AG33:AO33)</f>
        <v/>
      </c>
      <c r="AY33" s="528">
        <f>AX33/160</f>
        <v/>
      </c>
      <c r="AZ33" s="87">
        <f>VLOOKUP(I33,Listy!$A$1:$H$9,6,FALSE)</f>
        <v/>
      </c>
      <c r="BA33" s="682">
        <f>AY33*AZ33</f>
        <v/>
      </c>
      <c r="BB33" s="528" t="n"/>
      <c r="BC33" s="528" t="n"/>
      <c r="BD33" s="528" t="n"/>
      <c r="BE33" s="528" t="n"/>
      <c r="BF33" s="528" t="n"/>
      <c r="BG33" s="528" t="n"/>
      <c r="BI33" s="528" t="n"/>
      <c r="BJ33" s="51" t="n"/>
      <c r="BL33" s="399" t="n"/>
      <c r="BM33" s="528" t="n"/>
      <c r="BO33" s="528" t="n"/>
      <c r="BP33" s="528" t="n"/>
      <c r="BS33" s="528" t="n"/>
      <c r="BT33" s="528" t="n"/>
      <c r="BU33" s="528" t="n"/>
      <c r="BW33" s="528" t="n"/>
      <c r="BX33" s="528" t="n"/>
      <c r="BY33" s="528" t="n"/>
      <c r="CA33" s="528" t="n"/>
      <c r="CB33" s="528" t="n"/>
      <c r="CC33" s="528" t="n"/>
    </row>
    <row r="34" ht="15.75" customHeight="1" s="191">
      <c r="A34" s="604" t="n">
        <v>3</v>
      </c>
      <c r="B34" s="528" t="inlineStr">
        <is>
          <t>a</t>
        </is>
      </c>
      <c r="C34" s="529" t="n">
        <v>0</v>
      </c>
      <c r="D34" s="160">
        <f>CONCATENATE(A$3,"_",A34,"_",B34,"_",C34)</f>
        <v/>
      </c>
      <c r="E34" s="607" t="inlineStr">
        <is>
          <t>3.Integracja fizyczno-cyfrowa</t>
        </is>
      </c>
      <c r="F34" s="148" t="n"/>
      <c r="G34" s="148" t="n"/>
      <c r="I34" s="148" t="n"/>
      <c r="J34" s="91">
        <f>M33+1</f>
        <v/>
      </c>
      <c r="K34" s="681">
        <f>VLOOKUP(J34,Kalendarz!B:E,4,FALSE)</f>
        <v/>
      </c>
      <c r="L34" s="681">
        <f>K34+N34</f>
        <v/>
      </c>
      <c r="M34" s="528">
        <f>J34+N34-1</f>
        <v/>
      </c>
      <c r="N34" s="474">
        <f>ROUND(MAX(AG34:AO34)/Listy!$U$2,0)</f>
        <v/>
      </c>
      <c r="O34" s="148" t="n"/>
      <c r="P34" s="148" t="n"/>
      <c r="Q34" s="148" t="n"/>
      <c r="R34" s="148" t="n"/>
      <c r="S34" s="148" t="n"/>
      <c r="T34" s="148" t="n"/>
      <c r="U34" s="148" t="n"/>
      <c r="V34" s="148" t="n"/>
      <c r="W34" s="148" t="n"/>
      <c r="X34" s="148" t="n"/>
      <c r="Y34" s="148" t="n"/>
      <c r="Z34" s="148" t="n"/>
      <c r="AA34" s="148" t="n"/>
      <c r="AB34" s="148" t="n"/>
      <c r="AC34" s="148" t="n"/>
      <c r="AD34" s="148" t="n"/>
      <c r="AE34" s="148" t="n"/>
      <c r="AF34" s="148" t="n"/>
      <c r="AG34" s="148" t="n"/>
      <c r="AH34" s="148" t="n"/>
      <c r="AI34" s="148" t="n"/>
      <c r="AJ34" s="148" t="n"/>
      <c r="AK34" s="148" t="n"/>
      <c r="AL34" s="148" t="n"/>
      <c r="AM34" s="190" t="n"/>
      <c r="AN34" s="148" t="n"/>
      <c r="AO34" s="148" t="n"/>
      <c r="AP34" s="148" t="n"/>
      <c r="AQ34" s="148" t="n"/>
      <c r="AR34" s="148" t="n"/>
      <c r="AS34" s="148" t="n"/>
      <c r="AT34" s="148" t="n"/>
      <c r="AU34" s="148" t="n"/>
      <c r="AV34" s="148" t="n"/>
      <c r="AW34" s="148" t="n"/>
      <c r="AX34" s="148" t="n"/>
      <c r="AY34" s="148" t="n"/>
      <c r="AZ34" s="148" t="n"/>
      <c r="BA34" s="148" t="n"/>
      <c r="BB34" s="148" t="n"/>
      <c r="BC34" s="148" t="n"/>
      <c r="BD34" s="148" t="n"/>
      <c r="BE34" s="148" t="n"/>
      <c r="BF34" s="148" t="n"/>
      <c r="BG34" s="148" t="n"/>
      <c r="BH34" s="148" t="n"/>
      <c r="BI34" s="148" t="n"/>
      <c r="BJ34" s="148" t="n"/>
      <c r="BK34" s="148" t="n"/>
      <c r="BL34" s="148" t="n"/>
      <c r="BM34" s="148" t="n"/>
      <c r="BN34" s="148" t="n"/>
      <c r="BO34" s="148" t="n"/>
      <c r="BP34" s="148" t="n"/>
      <c r="BQ34" s="148" t="n"/>
      <c r="BR34" s="148" t="n"/>
      <c r="BS34" s="148" t="n"/>
      <c r="BT34" s="148" t="n"/>
      <c r="BU34" s="148" t="n"/>
      <c r="BV34" s="148" t="n"/>
      <c r="BW34" s="148" t="n"/>
      <c r="BX34" s="148" t="n"/>
      <c r="BY34" s="148" t="n"/>
      <c r="BZ34" s="148" t="n"/>
      <c r="CA34" s="148" t="n"/>
      <c r="CB34" s="148" t="n"/>
      <c r="CC34" s="148" t="n"/>
      <c r="CD34" s="148" t="n"/>
      <c r="CE34" s="148" t="n"/>
      <c r="CF34" s="148" t="n"/>
    </row>
    <row r="35" ht="15" customHeight="1" s="191">
      <c r="A35" s="528" t="n">
        <v>3</v>
      </c>
      <c r="B35" s="528" t="inlineStr">
        <is>
          <t>a</t>
        </is>
      </c>
      <c r="C35" s="529" t="n">
        <v>1</v>
      </c>
      <c r="D35" s="160">
        <f>CONCATENATE(A$3,"_",A35,"_",B35,"_",C35)</f>
        <v/>
      </c>
      <c r="E35" s="225" t="inlineStr">
        <is>
          <t>Opracowanie mechanizmów dwukierunkowej wymiany informacji między rzeczywistym obiektem a jego cyfrową kopią (badania nad sprzężeniem zwrotnym)</t>
        </is>
      </c>
      <c r="F35" s="148" t="n"/>
      <c r="G35" s="148" t="n"/>
      <c r="H35" s="528" t="n"/>
      <c r="I35" s="148" t="n"/>
      <c r="J35" s="91">
        <f>M34+1</f>
        <v/>
      </c>
      <c r="K35" s="681">
        <f>VLOOKUP(J35,Kalendarz!B:E,4,FALSE)</f>
        <v/>
      </c>
      <c r="L35" s="681">
        <f>K35+N35</f>
        <v/>
      </c>
      <c r="M35" s="528">
        <f>J35+N35-1</f>
        <v/>
      </c>
      <c r="N35" s="474">
        <f>ROUND(MAX(AG35:AO35)/Listy!$U$2,0)</f>
        <v/>
      </c>
      <c r="O35" s="148" t="n"/>
      <c r="P35" s="148" t="n"/>
      <c r="Q35" s="148" t="n"/>
      <c r="R35" s="148" t="n"/>
      <c r="S35" s="148" t="n"/>
      <c r="T35" s="148" t="n"/>
      <c r="U35" s="148" t="n"/>
      <c r="V35" s="190" t="n"/>
      <c r="W35" s="148" t="n"/>
      <c r="X35" s="148" t="n"/>
      <c r="Y35" s="148" t="n"/>
      <c r="Z35" s="148" t="n"/>
      <c r="AA35" s="148" t="n"/>
      <c r="AB35" s="148" t="n"/>
      <c r="AC35" s="148" t="n"/>
      <c r="AD35" s="148" t="n"/>
      <c r="AE35" s="148" t="n"/>
      <c r="AF35" s="148" t="n"/>
      <c r="AG35" s="148" t="n"/>
      <c r="AH35" s="148" t="n"/>
      <c r="AI35" s="148" t="n"/>
      <c r="AJ35" s="148" t="n"/>
      <c r="AK35" s="148" t="n"/>
      <c r="AL35" s="148" t="n"/>
      <c r="AM35" s="190" t="n"/>
      <c r="AN35" s="148" t="n"/>
      <c r="AO35" s="148" t="n"/>
      <c r="AP35" s="148" t="n"/>
      <c r="AQ35" s="148" t="n"/>
      <c r="AR35" s="148" t="n"/>
      <c r="AS35" s="148" t="n"/>
      <c r="AT35" s="148" t="n"/>
      <c r="AU35" s="148" t="n"/>
      <c r="AV35" s="148" t="n"/>
      <c r="AW35" s="148" t="n"/>
      <c r="AX35" s="148" t="n"/>
      <c r="AY35" s="148" t="n"/>
      <c r="AZ35" s="148" t="n"/>
      <c r="BA35" s="148" t="n"/>
      <c r="BB35" s="148" t="n"/>
      <c r="BC35" s="148" t="n"/>
      <c r="BD35" s="148" t="n"/>
      <c r="BE35" s="148" t="n"/>
      <c r="BF35" s="148" t="n"/>
      <c r="BG35" s="148" t="n"/>
      <c r="BH35" s="148" t="n"/>
      <c r="BI35" s="148" t="n"/>
      <c r="BJ35" s="148" t="n"/>
      <c r="BK35" s="148" t="n"/>
      <c r="BL35" s="148" t="n"/>
      <c r="BM35" s="148" t="n"/>
      <c r="BN35" s="148" t="n"/>
      <c r="BO35" s="148" t="n"/>
      <c r="BP35" s="148" t="n"/>
      <c r="BQ35" s="148" t="n"/>
      <c r="BR35" s="148" t="n"/>
      <c r="BS35" s="148" t="n"/>
      <c r="BT35" s="148" t="n"/>
      <c r="BU35" s="148" t="n"/>
      <c r="BV35" s="148" t="n"/>
      <c r="BW35" s="148" t="n"/>
      <c r="BX35" s="148" t="n"/>
      <c r="BY35" s="148" t="n"/>
      <c r="BZ35" s="148" t="n"/>
      <c r="CA35" s="148" t="n"/>
      <c r="CB35" s="148" t="n"/>
      <c r="CC35" s="148" t="n"/>
      <c r="CD35" s="148" t="n"/>
      <c r="CE35" s="148" t="n"/>
      <c r="CF35" s="148" t="n"/>
    </row>
    <row r="36" ht="15" customHeight="1" s="191">
      <c r="A36" s="528" t="n">
        <v>3</v>
      </c>
      <c r="B36" s="528" t="inlineStr">
        <is>
          <t>b</t>
        </is>
      </c>
      <c r="C36" s="171" t="n">
        <v>0</v>
      </c>
      <c r="D36" s="160">
        <f>CONCATENATE(A$3,"_",A36,"_",B36,"_",C36)</f>
        <v/>
      </c>
      <c r="E36" s="221" t="inlineStr">
        <is>
          <t>Opracowanie mechanizmów synchronizacji zmian w czasie rzeczywistym, aby cyfrowy bliźniak mógł wiernie odzwierciedlać stan rzeczywisty (badania nad synchronizacją danych)</t>
        </is>
      </c>
      <c r="F36" s="148" t="n"/>
      <c r="G36" s="148" t="n"/>
      <c r="H36" s="528" t="n"/>
      <c r="I36" s="148" t="n"/>
      <c r="J36" s="91">
        <f>M35+1</f>
        <v/>
      </c>
      <c r="K36" s="681">
        <f>VLOOKUP(J36,Kalendarz!B:E,4,FALSE)</f>
        <v/>
      </c>
      <c r="L36" s="681">
        <f>K36+N36</f>
        <v/>
      </c>
      <c r="M36" s="528">
        <f>J36+N36-1</f>
        <v/>
      </c>
      <c r="N36" s="474">
        <f>ROUND(MAX(AG36:AO36)/Listy!$U$2,0)</f>
        <v/>
      </c>
      <c r="O36" s="148" t="n"/>
      <c r="P36" s="148" t="n"/>
      <c r="Q36" s="148" t="n"/>
      <c r="R36" s="148" t="n"/>
      <c r="S36" s="148" t="n"/>
      <c r="T36" s="148" t="n"/>
      <c r="U36" s="148" t="n"/>
      <c r="V36" s="190" t="n"/>
      <c r="W36" s="148" t="n"/>
      <c r="X36" s="148" t="n"/>
      <c r="Y36" s="148" t="n"/>
      <c r="Z36" s="148" t="n"/>
      <c r="AA36" s="148" t="n"/>
      <c r="AB36" s="148" t="n"/>
      <c r="AC36" s="148" t="n"/>
      <c r="AD36" s="148" t="n"/>
      <c r="AE36" s="148" t="n"/>
      <c r="AF36" s="148" t="n"/>
      <c r="AG36" s="148" t="n"/>
      <c r="AH36" s="148" t="n"/>
      <c r="AI36" s="148" t="n"/>
      <c r="AJ36" s="148" t="n"/>
      <c r="AK36" s="148" t="n"/>
      <c r="AL36" s="148" t="n"/>
      <c r="AM36" s="190" t="n"/>
      <c r="AN36" s="148" t="n"/>
      <c r="AO36" s="148" t="n"/>
      <c r="AP36" s="148" t="n"/>
      <c r="AQ36" s="148" t="n"/>
      <c r="AR36" s="148" t="n"/>
      <c r="AS36" s="148" t="n"/>
      <c r="AT36" s="148" t="n"/>
      <c r="AU36" s="148" t="n"/>
      <c r="AV36" s="148" t="n"/>
      <c r="AW36" s="148" t="n"/>
      <c r="AX36" s="148" t="n"/>
      <c r="AY36" s="148" t="n"/>
      <c r="AZ36" s="148" t="n"/>
      <c r="BA36" s="148" t="n"/>
      <c r="BB36" s="148" t="n"/>
      <c r="BC36" s="148" t="n"/>
      <c r="BD36" s="148" t="n"/>
      <c r="BE36" s="148" t="n"/>
      <c r="BF36" s="148" t="n"/>
      <c r="BG36" s="148" t="n"/>
      <c r="BH36" s="148" t="n"/>
      <c r="BI36" s="148" t="n"/>
      <c r="BJ36" s="148" t="n"/>
      <c r="BK36" s="148" t="n"/>
      <c r="BL36" s="148" t="n"/>
      <c r="BM36" s="148" t="n"/>
      <c r="BN36" s="148" t="n"/>
      <c r="BO36" s="148" t="n"/>
      <c r="BP36" s="148" t="n"/>
      <c r="BQ36" s="148" t="n"/>
      <c r="BR36" s="148" t="n"/>
      <c r="BS36" s="148" t="n"/>
      <c r="BT36" s="148" t="n"/>
      <c r="BU36" s="148" t="n"/>
      <c r="BV36" s="148" t="n"/>
      <c r="BW36" s="148" t="n"/>
      <c r="BX36" s="148" t="n"/>
      <c r="BY36" s="148" t="n"/>
      <c r="BZ36" s="148" t="n"/>
      <c r="CA36" s="148" t="n"/>
      <c r="CB36" s="148" t="n"/>
      <c r="CC36" s="148" t="n"/>
      <c r="CD36" s="148" t="n"/>
      <c r="CE36" s="148" t="n"/>
      <c r="CF36" s="148" t="n"/>
    </row>
    <row r="37" ht="15" customHeight="1" s="191">
      <c r="A37" s="57" t="n">
        <v>3</v>
      </c>
      <c r="B37" s="528" t="inlineStr">
        <is>
          <t>b</t>
        </is>
      </c>
      <c r="C37" s="171" t="n">
        <v>1</v>
      </c>
      <c r="D37" s="160">
        <f>CONCATENATE(A$3,"_",A37,"_",B37,"_",C37)</f>
        <v/>
      </c>
      <c r="E37" s="222" t="inlineStr">
        <is>
          <t>Analiza wykonalności integracji z systemami magazynowymi</t>
        </is>
      </c>
      <c r="F37" s="231" t="n"/>
      <c r="G37" s="231" t="inlineStr">
        <is>
          <t>Ekspert merytoryczny/ Architekt rozwiazania</t>
        </is>
      </c>
      <c r="H37" s="528" t="n">
        <v>17</v>
      </c>
      <c r="I37" s="231" t="inlineStr">
        <is>
          <t>END</t>
        </is>
      </c>
      <c r="J37" s="91">
        <f>M36+1</f>
        <v/>
      </c>
      <c r="K37" s="681">
        <f>VLOOKUP(J37,Kalendarz!B:E,4,FALSE)</f>
        <v/>
      </c>
      <c r="L37" s="681">
        <f>K37+N37</f>
        <v/>
      </c>
      <c r="M37" s="528">
        <f>J37+N37-1</f>
        <v/>
      </c>
      <c r="N37" s="474" t="n">
        <v>1</v>
      </c>
      <c r="O37" s="295" t="n">
        <v>120</v>
      </c>
      <c r="P37" s="242" t="n"/>
      <c r="Q37" s="242" t="n"/>
      <c r="R37" s="242" t="n"/>
      <c r="S37" s="242" t="n"/>
      <c r="T37" s="242" t="n">
        <v>0.25</v>
      </c>
      <c r="U37" s="242" t="n">
        <v>0.25</v>
      </c>
      <c r="V37" s="242" t="n">
        <v>0</v>
      </c>
      <c r="W37" s="242" t="n">
        <v>0.25</v>
      </c>
      <c r="X37" s="242" t="n">
        <v>0.25</v>
      </c>
      <c r="Y37" s="243" t="n">
        <v>0</v>
      </c>
      <c r="Z37" s="243" t="n">
        <v>0</v>
      </c>
      <c r="AA37" s="243" t="n">
        <v>0</v>
      </c>
      <c r="AB37" s="243" t="n"/>
      <c r="AC37" s="300" t="n">
        <v>0</v>
      </c>
      <c r="AD37" s="300" t="n">
        <v>0</v>
      </c>
      <c r="AE37" s="300" t="n">
        <v>0</v>
      </c>
      <c r="AF37" s="300" t="n">
        <v>0</v>
      </c>
      <c r="AG37" s="297">
        <f>ROUND($O37*P37,0)</f>
        <v/>
      </c>
      <c r="AH37" s="297">
        <f>ROUND($O37*Q37,0)</f>
        <v/>
      </c>
      <c r="AI37" s="297">
        <f>ROUND($O37*R37,0)</f>
        <v/>
      </c>
      <c r="AJ37" s="297">
        <f>ROUND($O37*S37,0)</f>
        <v/>
      </c>
      <c r="AK37" s="297">
        <f>ROUND($O37*T37,0)</f>
        <v/>
      </c>
      <c r="AL37" s="297">
        <f>ROUND($O37*U37,0)</f>
        <v/>
      </c>
      <c r="AM37" s="297">
        <f>ROUND($O37*V37,0)</f>
        <v/>
      </c>
      <c r="AN37" s="297">
        <f>ROUND($O37*W37,0)</f>
        <v/>
      </c>
      <c r="AO37" s="297">
        <f>ROUND($O37*X37,0)</f>
        <v/>
      </c>
      <c r="AP37" s="298">
        <f>ROUND($O37*Y37,0)</f>
        <v/>
      </c>
      <c r="AQ37" s="298">
        <f>ROUND($O37*Z37,0)</f>
        <v/>
      </c>
      <c r="AR37" s="298">
        <f>ROUND($O37*AA37,0)</f>
        <v/>
      </c>
      <c r="AS37" s="299" t="n"/>
      <c r="AT37" s="302">
        <f>ROUND($O37*AC37,0)</f>
        <v/>
      </c>
      <c r="AU37" s="302">
        <f>ROUND($O37*AD37,0)</f>
        <v/>
      </c>
      <c r="AV37" s="302">
        <f>ROUND($O37*AE37,0)</f>
        <v/>
      </c>
      <c r="AW37" s="302">
        <f>ROUND($O37*AF37,0)</f>
        <v/>
      </c>
      <c r="AX37" s="236">
        <f>SUM(AG37:AO37)</f>
        <v/>
      </c>
      <c r="AY37" s="528">
        <f>AX37/160</f>
        <v/>
      </c>
      <c r="AZ37" s="87">
        <f>VLOOKUP(I37,Listy!$A$1:$H$9,6,FALSE)</f>
        <v/>
      </c>
      <c r="BA37" s="682">
        <f>AY37*AZ37</f>
        <v/>
      </c>
      <c r="BB37" s="528" t="n"/>
      <c r="BC37" s="528" t="n"/>
      <c r="BD37" s="528" t="n"/>
      <c r="BE37" s="528" t="n"/>
      <c r="BF37" s="528" t="n"/>
      <c r="BG37" s="528" t="n"/>
      <c r="BI37" s="528" t="n"/>
      <c r="BJ37" s="528" t="n"/>
      <c r="BL37" s="528" t="n"/>
      <c r="BM37" s="528" t="n"/>
      <c r="BO37" s="528" t="n"/>
      <c r="BP37" s="528" t="n"/>
      <c r="BS37" s="528" t="n"/>
      <c r="BT37" s="528" t="n"/>
      <c r="BU37" s="528" t="n"/>
      <c r="BW37" s="528" t="n"/>
      <c r="BX37" s="528" t="n"/>
      <c r="BY37" s="528" t="n"/>
      <c r="CA37" s="528" t="n"/>
      <c r="CB37" s="528" t="n"/>
      <c r="CC37" s="528" t="n"/>
    </row>
    <row r="38" ht="15" customHeight="1" s="191">
      <c r="A38" s="57" t="n">
        <v>3</v>
      </c>
      <c r="B38" s="528" t="inlineStr">
        <is>
          <t>b</t>
        </is>
      </c>
      <c r="C38" s="171" t="n">
        <v>2</v>
      </c>
      <c r="D38" s="160">
        <f>CONCATENATE(A$3,"_",A38,"_",B38,"_",C38)</f>
        <v/>
      </c>
      <c r="E38" s="222" t="inlineStr">
        <is>
          <t>Opracowanie wymagań szczegółowych dla mechanizmow synchronizacji</t>
        </is>
      </c>
      <c r="F38" s="231" t="n"/>
      <c r="G38" s="231" t="inlineStr">
        <is>
          <t>Ekspert merytoryczny/ Architekt rozwiazania</t>
        </is>
      </c>
      <c r="H38" s="528" t="n">
        <v>18</v>
      </c>
      <c r="I38" s="231" t="inlineStr">
        <is>
          <t>END</t>
        </is>
      </c>
      <c r="J38" s="91">
        <f>M37+1</f>
        <v/>
      </c>
      <c r="K38" s="681">
        <f>VLOOKUP(J38,Kalendarz!B:E,4,FALSE)</f>
        <v/>
      </c>
      <c r="L38" s="681">
        <f>K38+N38</f>
        <v/>
      </c>
      <c r="M38" s="528">
        <f>J38+N38-1</f>
        <v/>
      </c>
      <c r="N38" s="474" t="n">
        <v>1</v>
      </c>
      <c r="O38" s="295" t="n">
        <v>120</v>
      </c>
      <c r="P38" s="242" t="n"/>
      <c r="Q38" s="242" t="n"/>
      <c r="R38" s="242" t="n"/>
      <c r="S38" s="242" t="n"/>
      <c r="T38" s="242" t="n">
        <v>0</v>
      </c>
      <c r="U38" s="242" t="n">
        <v>0.16</v>
      </c>
      <c r="V38" s="242" t="n">
        <v>0.17</v>
      </c>
      <c r="W38" s="242" t="n">
        <v>0.17</v>
      </c>
      <c r="X38" s="242" t="n">
        <v>0.17</v>
      </c>
      <c r="Y38" s="243" t="n">
        <v>0</v>
      </c>
      <c r="Z38" s="243" t="n">
        <v>0.34</v>
      </c>
      <c r="AA38" s="243" t="n">
        <v>0</v>
      </c>
      <c r="AB38" s="243" t="n"/>
      <c r="AC38" s="300" t="n">
        <v>0</v>
      </c>
      <c r="AD38" s="300" t="n">
        <v>0</v>
      </c>
      <c r="AE38" s="300" t="n">
        <v>0</v>
      </c>
      <c r="AF38" s="300" t="n">
        <v>0</v>
      </c>
      <c r="AG38" s="297">
        <f>ROUND($O38*P38,0)</f>
        <v/>
      </c>
      <c r="AH38" s="297">
        <f>ROUND($O38*Q38,0)</f>
        <v/>
      </c>
      <c r="AI38" s="297">
        <f>ROUND($O38*R38,0)</f>
        <v/>
      </c>
      <c r="AJ38" s="297">
        <f>ROUND($O38*S38,0)</f>
        <v/>
      </c>
      <c r="AK38" s="297">
        <f>ROUND($O38*T38,0)</f>
        <v/>
      </c>
      <c r="AL38" s="297">
        <f>ROUND($O38*U38,0)</f>
        <v/>
      </c>
      <c r="AM38" s="297">
        <f>ROUND($O38*V38,0)</f>
        <v/>
      </c>
      <c r="AN38" s="297">
        <f>ROUND($O38*W38,0)</f>
        <v/>
      </c>
      <c r="AO38" s="297">
        <f>ROUND($O38*X38,0)</f>
        <v/>
      </c>
      <c r="AP38" s="298">
        <f>ROUND($O38*Y38,0)</f>
        <v/>
      </c>
      <c r="AQ38" s="298">
        <f>ROUND($O38*Z38,0)</f>
        <v/>
      </c>
      <c r="AR38" s="298">
        <f>ROUND($O38*AA38,0)</f>
        <v/>
      </c>
      <c r="AS38" s="299" t="n"/>
      <c r="AT38" s="302">
        <f>ROUND($O38*AC38,0)</f>
        <v/>
      </c>
      <c r="AU38" s="302">
        <f>ROUND($O38*AD38,0)</f>
        <v/>
      </c>
      <c r="AV38" s="302">
        <f>ROUND($O38*AE38,0)</f>
        <v/>
      </c>
      <c r="AW38" s="302">
        <f>ROUND($O38*AF38,0)</f>
        <v/>
      </c>
      <c r="AX38" s="236">
        <f>SUM(AG38:AO38)</f>
        <v/>
      </c>
      <c r="AY38" s="528">
        <f>AX38/160</f>
        <v/>
      </c>
      <c r="AZ38" s="87">
        <f>VLOOKUP(I38,Listy!$A$1:$H$9,6,FALSE)</f>
        <v/>
      </c>
      <c r="BA38" s="682">
        <f>AY38*AZ38</f>
        <v/>
      </c>
      <c r="BB38" s="528" t="n"/>
      <c r="BC38" s="528" t="n"/>
      <c r="BD38" s="528" t="n"/>
      <c r="BE38" s="528" t="n"/>
      <c r="BF38" s="528" t="n"/>
      <c r="BG38" s="528" t="n"/>
      <c r="BI38" s="528" t="n"/>
      <c r="BJ38" s="528" t="n"/>
      <c r="BL38" s="528" t="n"/>
      <c r="BM38" s="528" t="n"/>
      <c r="BO38" s="528" t="n"/>
      <c r="BP38" s="528" t="n"/>
      <c r="BS38" s="528" t="n"/>
      <c r="BT38" s="528" t="n"/>
      <c r="BU38" s="528" t="n"/>
      <c r="BW38" s="528" t="n"/>
      <c r="BX38" s="528" t="n"/>
      <c r="BY38" s="528" t="n"/>
      <c r="CA38" s="528" t="n"/>
      <c r="CB38" s="528" t="n"/>
      <c r="CC38" s="528" t="n"/>
    </row>
    <row r="39" ht="15" customHeight="1" s="191">
      <c r="A39" s="57" t="n">
        <v>3</v>
      </c>
      <c r="B39" s="528" t="inlineStr">
        <is>
          <t>b</t>
        </is>
      </c>
      <c r="C39" s="171" t="n">
        <v>3</v>
      </c>
      <c r="D39" s="160">
        <f>CONCATENATE(A$3,"_",A39,"_",B39,"_",C39)</f>
        <v/>
      </c>
      <c r="E39" s="222" t="inlineStr">
        <is>
          <t>Implementacja mechanizmu/mechanizmow synchronizacji danych na potrzeby symulacji zadania MWS</t>
        </is>
      </c>
      <c r="F39" s="231" t="n"/>
      <c r="G39" s="231" t="inlineStr">
        <is>
          <t>Developer</t>
        </is>
      </c>
      <c r="H39" s="528" t="n">
        <v>19</v>
      </c>
      <c r="I39" s="231" t="inlineStr">
        <is>
          <t>END</t>
        </is>
      </c>
      <c r="J39" s="91">
        <f>M38+1</f>
        <v/>
      </c>
      <c r="K39" s="681">
        <f>VLOOKUP(J39,Kalendarz!B:E,4,FALSE)</f>
        <v/>
      </c>
      <c r="L39" s="681">
        <f>K39+N39</f>
        <v/>
      </c>
      <c r="M39" s="528">
        <f>J39+N39-1</f>
        <v/>
      </c>
      <c r="N39" s="474" t="n">
        <v>1</v>
      </c>
      <c r="O39" s="295" t="n">
        <v>160</v>
      </c>
      <c r="P39" s="242" t="n"/>
      <c r="Q39" s="242" t="n"/>
      <c r="R39" s="242" t="n"/>
      <c r="S39" s="242" t="n"/>
      <c r="T39" s="242" t="n">
        <v>0.125</v>
      </c>
      <c r="U39" s="242" t="n">
        <v>0.125</v>
      </c>
      <c r="V39" s="242" t="n">
        <v>0</v>
      </c>
      <c r="W39" s="242" t="n">
        <v>0</v>
      </c>
      <c r="X39" s="242" t="n">
        <v>0</v>
      </c>
      <c r="Y39" s="243" t="n">
        <v>0.75</v>
      </c>
      <c r="Z39" s="243" t="n">
        <v>0</v>
      </c>
      <c r="AA39" s="243" t="n">
        <v>0</v>
      </c>
      <c r="AB39" s="243" t="n"/>
      <c r="AC39" s="300" t="n">
        <v>0</v>
      </c>
      <c r="AD39" s="300" t="n">
        <v>0</v>
      </c>
      <c r="AE39" s="300" t="n">
        <v>0</v>
      </c>
      <c r="AF39" s="300" t="n">
        <v>0</v>
      </c>
      <c r="AG39" s="297">
        <f>ROUND($O39*P39,0)</f>
        <v/>
      </c>
      <c r="AH39" s="297">
        <f>ROUND($O39*Q39,0)</f>
        <v/>
      </c>
      <c r="AI39" s="297">
        <f>ROUND($O39*R39,0)</f>
        <v/>
      </c>
      <c r="AJ39" s="297">
        <f>ROUND($O39*S39,0)</f>
        <v/>
      </c>
      <c r="AK39" s="297">
        <f>ROUND($O39*T39,0)</f>
        <v/>
      </c>
      <c r="AL39" s="297">
        <f>ROUND($O39*U39,0)</f>
        <v/>
      </c>
      <c r="AM39" s="297">
        <f>ROUND($O39*V39,0)</f>
        <v/>
      </c>
      <c r="AN39" s="297">
        <f>ROUND($O39*W39,0)</f>
        <v/>
      </c>
      <c r="AO39" s="297">
        <f>ROUND($O39*X39,0)</f>
        <v/>
      </c>
      <c r="AP39" s="298">
        <f>ROUND($O39*Y39,0)</f>
        <v/>
      </c>
      <c r="AQ39" s="298">
        <f>ROUND($O39*Z39,0)</f>
        <v/>
      </c>
      <c r="AR39" s="298">
        <f>ROUND($O39*AA39,0)</f>
        <v/>
      </c>
      <c r="AS39" s="299" t="n"/>
      <c r="AT39" s="302">
        <f>ROUND($O39*AC39,0)</f>
        <v/>
      </c>
      <c r="AU39" s="302">
        <f>ROUND($O39*AD39,0)</f>
        <v/>
      </c>
      <c r="AV39" s="302">
        <f>ROUND($O39*AE39,0)</f>
        <v/>
      </c>
      <c r="AW39" s="302">
        <f>ROUND($O39*AF39,0)</f>
        <v/>
      </c>
      <c r="AX39" s="236">
        <f>SUM(AG39:AO39)</f>
        <v/>
      </c>
      <c r="AY39" s="528">
        <f>AX39/160</f>
        <v/>
      </c>
      <c r="AZ39" s="87">
        <f>VLOOKUP(I39,Listy!$A$1:$H$9,6,FALSE)</f>
        <v/>
      </c>
      <c r="BA39" s="682">
        <f>AY39*AZ39</f>
        <v/>
      </c>
      <c r="BB39" s="528" t="n"/>
      <c r="BC39" s="528" t="n"/>
      <c r="BD39" s="528" t="n"/>
      <c r="BE39" s="528" t="n"/>
      <c r="BF39" s="528" t="n"/>
      <c r="BG39" s="528" t="n"/>
      <c r="BI39" s="528" t="n"/>
      <c r="BJ39" s="528" t="n"/>
      <c r="BL39" s="528" t="n"/>
      <c r="BM39" s="528" t="n"/>
      <c r="BO39" s="528" t="n"/>
      <c r="BP39" s="528" t="n"/>
      <c r="BS39" s="528" t="n"/>
      <c r="BT39" s="528" t="n"/>
      <c r="BU39" s="528" t="n"/>
      <c r="BW39" s="528" t="n"/>
      <c r="BX39" s="528" t="n"/>
      <c r="BY39" s="528" t="n"/>
      <c r="CA39" s="528" t="n"/>
      <c r="CB39" s="528" t="n"/>
      <c r="CC39" s="528" t="n"/>
    </row>
    <row r="40" ht="15" customHeight="1" s="191">
      <c r="A40" s="57" t="n">
        <v>3</v>
      </c>
      <c r="B40" s="528" t="inlineStr">
        <is>
          <t>b</t>
        </is>
      </c>
      <c r="C40" s="171" t="n">
        <v>4</v>
      </c>
      <c r="D40" s="160">
        <f>CONCATENATE(A$3,"_",A40,"_",B40,"_",C40)</f>
        <v/>
      </c>
      <c r="E40" s="222" t="inlineStr">
        <is>
          <t>Implementacja mechanizmu/mechanizmow synchronizacji danych na potrzeby symulacji zadania Kompletacja</t>
        </is>
      </c>
      <c r="F40" s="231" t="n"/>
      <c r="G40" s="231" t="inlineStr">
        <is>
          <t>Developer</t>
        </is>
      </c>
      <c r="H40" s="528" t="n">
        <v>19</v>
      </c>
      <c r="I40" s="231" t="inlineStr">
        <is>
          <t>END</t>
        </is>
      </c>
      <c r="J40" s="91">
        <f>M39+1</f>
        <v/>
      </c>
      <c r="K40" s="681">
        <f>VLOOKUP(J40,Kalendarz!B:E,4,FALSE)</f>
        <v/>
      </c>
      <c r="L40" s="681">
        <f>K40+N40</f>
        <v/>
      </c>
      <c r="M40" s="528">
        <f>J40+N40-1</f>
        <v/>
      </c>
      <c r="N40" s="476" t="n">
        <v>0</v>
      </c>
      <c r="O40" s="295" t="n">
        <v>160</v>
      </c>
      <c r="P40" s="242" t="n"/>
      <c r="Q40" s="242" t="n"/>
      <c r="R40" s="242" t="n"/>
      <c r="S40" s="242" t="n"/>
      <c r="T40" s="242" t="n">
        <v>0</v>
      </c>
      <c r="U40" s="242" t="n">
        <v>0</v>
      </c>
      <c r="V40" s="242" t="n">
        <v>0.125</v>
      </c>
      <c r="W40" s="242" t="n">
        <v>0</v>
      </c>
      <c r="X40" s="242" t="n">
        <v>0.125</v>
      </c>
      <c r="Y40" s="243" t="n">
        <v>0.75</v>
      </c>
      <c r="Z40" s="243" t="n">
        <v>0</v>
      </c>
      <c r="AA40" s="243" t="n">
        <v>0</v>
      </c>
      <c r="AB40" s="243" t="n"/>
      <c r="AC40" s="300" t="n">
        <v>0</v>
      </c>
      <c r="AD40" s="300" t="n">
        <v>0</v>
      </c>
      <c r="AE40" s="300" t="n">
        <v>0</v>
      </c>
      <c r="AF40" s="300" t="n">
        <v>0</v>
      </c>
      <c r="AG40" s="297">
        <f>ROUND($O40*P40,0)</f>
        <v/>
      </c>
      <c r="AH40" s="297">
        <f>ROUND($O40*Q40,0)</f>
        <v/>
      </c>
      <c r="AI40" s="297">
        <f>ROUND($O40*R40,0)</f>
        <v/>
      </c>
      <c r="AJ40" s="297">
        <f>ROUND($O40*S40,0)</f>
        <v/>
      </c>
      <c r="AK40" s="297">
        <f>ROUND($O40*T40,0)</f>
        <v/>
      </c>
      <c r="AL40" s="297">
        <f>ROUND($O40*U40,0)</f>
        <v/>
      </c>
      <c r="AM40" s="297">
        <f>ROUND($O40*V40,0)</f>
        <v/>
      </c>
      <c r="AN40" s="297">
        <f>ROUND($O40*W40,0)</f>
        <v/>
      </c>
      <c r="AO40" s="297">
        <f>ROUND($O40*X40,0)</f>
        <v/>
      </c>
      <c r="AP40" s="298">
        <f>ROUND($O40*Y40,0)</f>
        <v/>
      </c>
      <c r="AQ40" s="298">
        <f>ROUND($O40*Z40,0)</f>
        <v/>
      </c>
      <c r="AR40" s="298">
        <f>ROUND($O40*AA40,0)</f>
        <v/>
      </c>
      <c r="AS40" s="299" t="n"/>
      <c r="AT40" s="302">
        <f>ROUND($O40*AC40,0)</f>
        <v/>
      </c>
      <c r="AU40" s="302">
        <f>ROUND($O40*AD40,0)</f>
        <v/>
      </c>
      <c r="AV40" s="302">
        <f>ROUND($O40*AE40,0)</f>
        <v/>
      </c>
      <c r="AW40" s="302">
        <f>ROUND($O40*AF40,0)</f>
        <v/>
      </c>
      <c r="AX40" s="236">
        <f>SUM(AG40:AO40)</f>
        <v/>
      </c>
      <c r="AY40" s="528">
        <f>AX40/160</f>
        <v/>
      </c>
      <c r="AZ40" s="87">
        <f>VLOOKUP(I40,Listy!$A$1:$H$9,6,FALSE)</f>
        <v/>
      </c>
      <c r="BA40" s="682">
        <f>AY40*AZ40</f>
        <v/>
      </c>
      <c r="BB40" s="528" t="n"/>
      <c r="BC40" s="528" t="n"/>
      <c r="BD40" s="528" t="n"/>
      <c r="BE40" s="528" t="n"/>
      <c r="BF40" s="528" t="n"/>
      <c r="BG40" s="528" t="n"/>
      <c r="BI40" s="528" t="n"/>
      <c r="BJ40" s="528" t="n"/>
      <c r="BL40" s="528" t="n"/>
      <c r="BM40" s="528" t="n"/>
      <c r="BO40" s="528" t="n"/>
      <c r="BP40" s="528" t="n"/>
      <c r="BS40" s="528" t="n"/>
      <c r="BT40" s="528" t="n"/>
      <c r="BU40" s="528" t="n"/>
      <c r="BW40" s="528" t="n"/>
      <c r="BX40" s="528" t="n"/>
      <c r="BY40" s="528" t="n"/>
      <c r="CA40" s="528" t="n"/>
      <c r="CB40" s="528" t="n"/>
      <c r="CC40" s="528" t="n"/>
    </row>
    <row r="41" ht="15" customHeight="1" s="191">
      <c r="A41" s="528" t="n">
        <v>3</v>
      </c>
      <c r="B41" s="528" t="inlineStr">
        <is>
          <t>c</t>
        </is>
      </c>
      <c r="C41" s="171" t="n">
        <v>0</v>
      </c>
      <c r="D41" s="160">
        <f>CONCATENATE(A$3,"_",A41,"_",B41,"_",C41)</f>
        <v/>
      </c>
      <c r="E41" s="221" t="inlineStr">
        <is>
          <t>Opracowanie mechanizmów/narzędzi zapewniających ochronę danych przed atakami, a także zabezpieczenia przed błędami w transmisji i synchronizacji (badania nad bezpieczeństwem systemów)</t>
        </is>
      </c>
      <c r="F41" s="148" t="n"/>
      <c r="G41" s="148" t="n"/>
      <c r="H41" s="190" t="n"/>
      <c r="I41" s="148" t="n"/>
      <c r="J41" s="91">
        <f>M40+1</f>
        <v/>
      </c>
      <c r="K41" s="681">
        <f>VLOOKUP(J41,Kalendarz!B:E,4,FALSE)</f>
        <v/>
      </c>
      <c r="L41" s="681">
        <f>K41+N41</f>
        <v/>
      </c>
      <c r="M41" s="528">
        <f>J41+N41-1</f>
        <v/>
      </c>
      <c r="N41" s="474">
        <f>ROUND(MAX(AG41:AO41)/Listy!$U$2,0)</f>
        <v/>
      </c>
      <c r="O41" s="148" t="n"/>
      <c r="P41" s="148" t="n"/>
      <c r="Q41" s="148" t="n"/>
      <c r="R41" s="148" t="n"/>
      <c r="S41" s="148" t="n"/>
      <c r="T41" s="148" t="n"/>
      <c r="U41" s="148" t="n"/>
      <c r="V41" s="190" t="n"/>
      <c r="W41" s="148" t="n"/>
      <c r="X41" s="148" t="n"/>
      <c r="Y41" s="148" t="n"/>
      <c r="Z41" s="148" t="n"/>
      <c r="AA41" s="148" t="n"/>
      <c r="AB41" s="148" t="n"/>
      <c r="AC41" s="148" t="n"/>
      <c r="AD41" s="148" t="n"/>
      <c r="AE41" s="148" t="n"/>
      <c r="AF41" s="148" t="n"/>
      <c r="AG41" s="148" t="n"/>
      <c r="AH41" s="148" t="n"/>
      <c r="AI41" s="148" t="n"/>
      <c r="AJ41" s="148" t="n"/>
      <c r="AK41" s="148" t="n"/>
      <c r="AL41" s="148" t="n"/>
      <c r="AM41" s="190" t="n"/>
      <c r="AN41" s="148" t="n"/>
      <c r="AO41" s="148" t="n"/>
      <c r="AP41" s="148" t="n"/>
      <c r="AQ41" s="148" t="n"/>
      <c r="AR41" s="148" t="n"/>
      <c r="AS41" s="148" t="n"/>
      <c r="AT41" s="148" t="n"/>
      <c r="AU41" s="148" t="n"/>
      <c r="AV41" s="148" t="n"/>
      <c r="AW41" s="148" t="n"/>
      <c r="AX41" s="148" t="n"/>
      <c r="AY41" s="148" t="n"/>
      <c r="AZ41" s="148" t="n"/>
      <c r="BA41" s="148" t="n"/>
      <c r="BB41" s="148" t="n"/>
      <c r="BC41" s="148" t="n"/>
      <c r="BD41" s="148" t="n"/>
      <c r="BE41" s="148" t="n"/>
      <c r="BF41" s="148" t="n"/>
      <c r="BG41" s="148" t="n"/>
      <c r="BH41" s="148" t="n"/>
      <c r="BI41" s="148" t="n"/>
      <c r="BJ41" s="148" t="n"/>
      <c r="BK41" s="148" t="n"/>
      <c r="BL41" s="148" t="n"/>
      <c r="BM41" s="148" t="n"/>
      <c r="BN41" s="148" t="n"/>
      <c r="BO41" s="148" t="n"/>
      <c r="BP41" s="148" t="n"/>
      <c r="BQ41" s="148" t="n"/>
      <c r="BR41" s="148" t="n"/>
      <c r="BS41" s="148" t="n"/>
      <c r="BT41" s="148" t="n"/>
      <c r="BU41" s="148" t="n"/>
      <c r="BV41" s="148" t="n"/>
      <c r="BW41" s="148" t="n"/>
      <c r="BX41" s="148" t="n"/>
      <c r="BY41" s="148" t="n"/>
      <c r="BZ41" s="148" t="n"/>
      <c r="CA41" s="148" t="n"/>
      <c r="CB41" s="148" t="n"/>
      <c r="CC41" s="148" t="n"/>
      <c r="CD41" s="148" t="n"/>
      <c r="CE41" s="148" t="n"/>
      <c r="CF41" s="148" t="n"/>
    </row>
    <row r="42" ht="15" customHeight="1" s="191">
      <c r="A42" s="57" t="n">
        <v>3</v>
      </c>
      <c r="B42" s="528" t="inlineStr">
        <is>
          <t>c</t>
        </is>
      </c>
      <c r="C42" s="171" t="n">
        <v>1</v>
      </c>
      <c r="D42" s="160">
        <f>CONCATENATE(A$3,"_",A42,"_",B42,"_",C42)</f>
        <v/>
      </c>
      <c r="E42" s="222" t="inlineStr">
        <is>
          <t>Opracowanie wymagań bezpieczenstwa infrastruktury IT</t>
        </is>
      </c>
      <c r="F42" s="231" t="n"/>
      <c r="G42" s="231" t="inlineStr">
        <is>
          <t>Ekspert merytoryczny/ Architekt rozwiazania</t>
        </is>
      </c>
      <c r="H42" s="528" t="n">
        <v>20</v>
      </c>
      <c r="I42" s="231" t="inlineStr">
        <is>
          <t>END</t>
        </is>
      </c>
      <c r="J42" s="91">
        <f>M41+1</f>
        <v/>
      </c>
      <c r="K42" s="681">
        <f>VLOOKUP(J42,Kalendarz!B:E,4,FALSE)</f>
        <v/>
      </c>
      <c r="L42" s="681">
        <f>K42+N42</f>
        <v/>
      </c>
      <c r="M42" s="528">
        <f>J42+N42-1</f>
        <v/>
      </c>
      <c r="N42" s="474" t="n">
        <v>1</v>
      </c>
      <c r="O42" s="295" t="n">
        <v>80</v>
      </c>
      <c r="P42" s="242" t="n"/>
      <c r="Q42" s="242" t="n"/>
      <c r="R42" s="242" t="n"/>
      <c r="S42" s="242" t="n"/>
      <c r="T42" s="242" t="n">
        <v>0.25</v>
      </c>
      <c r="U42" s="242" t="n">
        <v>0.25</v>
      </c>
      <c r="V42" s="242" t="n">
        <v>0.25</v>
      </c>
      <c r="W42" s="242" t="n">
        <v>0</v>
      </c>
      <c r="X42" s="242" t="n">
        <v>0</v>
      </c>
      <c r="Y42" s="243" t="n">
        <v>0</v>
      </c>
      <c r="Z42" s="243" t="n">
        <v>0</v>
      </c>
      <c r="AA42" s="243" t="n">
        <v>0.25</v>
      </c>
      <c r="AB42" s="243" t="n"/>
      <c r="AC42" s="300" t="n">
        <v>0</v>
      </c>
      <c r="AD42" s="300" t="n">
        <v>0</v>
      </c>
      <c r="AE42" s="300" t="n">
        <v>0</v>
      </c>
      <c r="AF42" s="300" t="n">
        <v>0</v>
      </c>
      <c r="AG42" s="297">
        <f>ROUND($O42*P42,0)</f>
        <v/>
      </c>
      <c r="AH42" s="297">
        <f>ROUND($O42*Q42,0)</f>
        <v/>
      </c>
      <c r="AI42" s="297">
        <f>ROUND($O42*R42,0)</f>
        <v/>
      </c>
      <c r="AJ42" s="297">
        <f>ROUND($O42*S42,0)</f>
        <v/>
      </c>
      <c r="AK42" s="297">
        <f>ROUND($O42*T42,0)</f>
        <v/>
      </c>
      <c r="AL42" s="297">
        <f>ROUND($O42*U42,0)</f>
        <v/>
      </c>
      <c r="AM42" s="297">
        <f>ROUND($O42*V42,0)</f>
        <v/>
      </c>
      <c r="AN42" s="297">
        <f>ROUND($O42*W42,0)</f>
        <v/>
      </c>
      <c r="AO42" s="297">
        <f>ROUND($O42*X42,0)</f>
        <v/>
      </c>
      <c r="AP42" s="298">
        <f>ROUND($O42*Y42,0)</f>
        <v/>
      </c>
      <c r="AQ42" s="298">
        <f>ROUND($O42*Z42,0)</f>
        <v/>
      </c>
      <c r="AR42" s="298">
        <f>ROUND($O42*AA42,0)</f>
        <v/>
      </c>
      <c r="AS42" s="299" t="n"/>
      <c r="AT42" s="302">
        <f>ROUND($O42*AC42,0)</f>
        <v/>
      </c>
      <c r="AU42" s="302">
        <f>ROUND($O42*AD42,0)</f>
        <v/>
      </c>
      <c r="AV42" s="302">
        <f>ROUND($O42*AE42,0)</f>
        <v/>
      </c>
      <c r="AW42" s="302">
        <f>ROUND($O42*AF42,0)</f>
        <v/>
      </c>
      <c r="AX42" s="236">
        <f>SUM(AG42:AO42)</f>
        <v/>
      </c>
      <c r="AY42" s="528">
        <f>AX42/160</f>
        <v/>
      </c>
      <c r="AZ42" s="87">
        <f>VLOOKUP(I42,Listy!$A$1:$H$9,6,FALSE)</f>
        <v/>
      </c>
      <c r="BA42" s="682">
        <f>AY42*AZ42</f>
        <v/>
      </c>
      <c r="BB42" s="528" t="n"/>
      <c r="BC42" s="528" t="n"/>
      <c r="BD42" s="528" t="n"/>
      <c r="BE42" s="528" t="n"/>
      <c r="BF42" s="528" t="n"/>
      <c r="BG42" s="528" t="n"/>
      <c r="BI42" s="528" t="n"/>
      <c r="BJ42" s="528" t="n"/>
      <c r="BL42" s="528" t="n"/>
      <c r="BM42" s="528" t="n"/>
      <c r="BO42" s="528" t="n"/>
      <c r="BP42" s="528" t="n"/>
      <c r="BS42" s="528" t="n"/>
      <c r="BT42" s="528" t="n"/>
      <c r="BU42" s="528" t="n"/>
      <c r="BW42" s="528" t="n"/>
      <c r="BX42" s="528" t="n"/>
      <c r="BY42" s="528" t="n"/>
      <c r="CA42" s="528" t="n"/>
      <c r="CB42" s="528" t="n"/>
      <c r="CC42" s="528" t="n"/>
    </row>
    <row r="43" ht="15" customHeight="1" s="191">
      <c r="A43" s="57" t="n">
        <v>3</v>
      </c>
      <c r="B43" s="528" t="inlineStr">
        <is>
          <t>c</t>
        </is>
      </c>
      <c r="C43" s="171" t="n">
        <v>2</v>
      </c>
      <c r="D43" s="160">
        <f>CONCATENATE(A$3,"_",A43,"_",B43,"_",C43)</f>
        <v/>
      </c>
      <c r="E43" s="222" t="inlineStr">
        <is>
          <t>Opracowanie wymagań bezpieczenstwa danych</t>
        </is>
      </c>
      <c r="F43" s="231" t="n"/>
      <c r="G43" s="231" t="inlineStr">
        <is>
          <t>Ekspert merytoryczny/ Architekt rozwiazania</t>
        </is>
      </c>
      <c r="H43" s="528" t="n">
        <v>20</v>
      </c>
      <c r="I43" s="231" t="inlineStr">
        <is>
          <t>END</t>
        </is>
      </c>
      <c r="J43" s="91">
        <f>M42+1</f>
        <v/>
      </c>
      <c r="K43" s="681">
        <f>VLOOKUP(J43,Kalendarz!B:E,4,FALSE)</f>
        <v/>
      </c>
      <c r="L43" s="681">
        <f>K43+N43</f>
        <v/>
      </c>
      <c r="M43" s="528">
        <f>J43+N43-1</f>
        <v/>
      </c>
      <c r="N43" s="474" t="n">
        <v>1</v>
      </c>
      <c r="O43" s="295" t="n">
        <v>80</v>
      </c>
      <c r="P43" s="242" t="n"/>
      <c r="Q43" s="242" t="n"/>
      <c r="R43" s="242" t="n"/>
      <c r="S43" s="242" t="n"/>
      <c r="T43" s="242" t="n">
        <v>0</v>
      </c>
      <c r="U43" s="242" t="n">
        <v>0</v>
      </c>
      <c r="V43" s="242" t="n">
        <v>0.25</v>
      </c>
      <c r="W43" s="242" t="n">
        <v>0.25</v>
      </c>
      <c r="X43" s="242" t="n">
        <v>0.25</v>
      </c>
      <c r="Y43" s="243" t="n">
        <v>0</v>
      </c>
      <c r="Z43" s="243" t="n">
        <v>0</v>
      </c>
      <c r="AA43" s="243" t="n">
        <v>0.25</v>
      </c>
      <c r="AB43" s="243" t="n"/>
      <c r="AC43" s="300" t="n">
        <v>0</v>
      </c>
      <c r="AD43" s="300" t="n">
        <v>0</v>
      </c>
      <c r="AE43" s="300" t="n">
        <v>0</v>
      </c>
      <c r="AF43" s="300" t="n">
        <v>0</v>
      </c>
      <c r="AG43" s="297">
        <f>ROUND($O43*P43,0)</f>
        <v/>
      </c>
      <c r="AH43" s="297">
        <f>ROUND($O43*Q43,0)</f>
        <v/>
      </c>
      <c r="AI43" s="297">
        <f>ROUND($O43*R43,0)</f>
        <v/>
      </c>
      <c r="AJ43" s="297">
        <f>ROUND($O43*S43,0)</f>
        <v/>
      </c>
      <c r="AK43" s="297">
        <f>ROUND($O43*T43,0)</f>
        <v/>
      </c>
      <c r="AL43" s="297">
        <f>ROUND($O43*U43,0)</f>
        <v/>
      </c>
      <c r="AM43" s="297">
        <f>ROUND($O43*V43,0)</f>
        <v/>
      </c>
      <c r="AN43" s="297">
        <f>ROUND($O43*W43,0)</f>
        <v/>
      </c>
      <c r="AO43" s="297">
        <f>ROUND($O43*X43,0)</f>
        <v/>
      </c>
      <c r="AP43" s="298">
        <f>ROUND($O43*Y43,0)</f>
        <v/>
      </c>
      <c r="AQ43" s="298">
        <f>ROUND($O43*Z43,0)</f>
        <v/>
      </c>
      <c r="AR43" s="298">
        <f>ROUND($O43*AA43,0)</f>
        <v/>
      </c>
      <c r="AS43" s="299" t="n"/>
      <c r="AT43" s="302">
        <f>ROUND($O43*AC43,0)</f>
        <v/>
      </c>
      <c r="AU43" s="302">
        <f>ROUND($O43*AD43,0)</f>
        <v/>
      </c>
      <c r="AV43" s="302">
        <f>ROUND($O43*AE43,0)</f>
        <v/>
      </c>
      <c r="AW43" s="302">
        <f>ROUND($O43*AF43,0)</f>
        <v/>
      </c>
      <c r="AX43" s="236">
        <f>SUM(AG43:AO43)</f>
        <v/>
      </c>
      <c r="AY43" s="528">
        <f>AX43/160</f>
        <v/>
      </c>
      <c r="AZ43" s="87">
        <f>VLOOKUP(I43,Listy!$A$1:$H$9,6,FALSE)</f>
        <v/>
      </c>
      <c r="BA43" s="682">
        <f>AY43*AZ43</f>
        <v/>
      </c>
      <c r="BB43" s="528" t="n"/>
      <c r="BC43" s="528" t="n"/>
      <c r="BD43" s="528" t="n"/>
      <c r="BE43" s="528" t="n"/>
      <c r="BF43" s="528" t="n"/>
      <c r="BG43" s="528" t="n"/>
      <c r="BI43" s="528" t="n"/>
      <c r="BJ43" s="528" t="n"/>
      <c r="BL43" s="528" t="n"/>
      <c r="BM43" s="528" t="n"/>
      <c r="BO43" s="528" t="n"/>
      <c r="BP43" s="528" t="n"/>
      <c r="BS43" s="528" t="n"/>
      <c r="BT43" s="528" t="n"/>
      <c r="BU43" s="528" t="n"/>
      <c r="BW43" s="528" t="n"/>
      <c r="BX43" s="528" t="n"/>
      <c r="BY43" s="528" t="n"/>
      <c r="CA43" s="528" t="n"/>
      <c r="CB43" s="528" t="n"/>
      <c r="CC43" s="528" t="n"/>
    </row>
    <row r="44" ht="15" customHeight="1" s="191">
      <c r="A44" s="57" t="n">
        <v>3</v>
      </c>
      <c r="B44" s="528" t="inlineStr">
        <is>
          <t>c</t>
        </is>
      </c>
      <c r="C44" s="171" t="n">
        <v>3</v>
      </c>
      <c r="D44" s="160">
        <f>CONCATENATE(A$3,"_",A44,"_",B44,"_",C44)</f>
        <v/>
      </c>
      <c r="E44" s="222" t="inlineStr">
        <is>
          <t>Opracowanie wymagań bezpieczenstwa mechanizmow synchronizacji</t>
        </is>
      </c>
      <c r="F44" s="231" t="n"/>
      <c r="G44" s="231" t="inlineStr">
        <is>
          <t>Ekspert merytoryczny/ Architekt rozwiazania</t>
        </is>
      </c>
      <c r="H44" s="528" t="n">
        <v>20</v>
      </c>
      <c r="I44" s="231" t="inlineStr">
        <is>
          <t>END</t>
        </is>
      </c>
      <c r="J44" s="91">
        <f>M43+1</f>
        <v/>
      </c>
      <c r="K44" s="681">
        <f>VLOOKUP(J44,Kalendarz!B:E,4,FALSE)</f>
        <v/>
      </c>
      <c r="L44" s="681">
        <f>K44+N44</f>
        <v/>
      </c>
      <c r="M44" s="528">
        <f>J44+N44-1</f>
        <v/>
      </c>
      <c r="N44" s="474" t="n">
        <v>1</v>
      </c>
      <c r="O44" s="295" t="n">
        <v>80</v>
      </c>
      <c r="P44" s="242" t="n"/>
      <c r="Q44" s="242" t="n"/>
      <c r="R44" s="242" t="n"/>
      <c r="S44" s="242" t="n"/>
      <c r="T44" s="242" t="n">
        <v>0.25</v>
      </c>
      <c r="U44" s="242" t="n">
        <v>0</v>
      </c>
      <c r="V44" s="242" t="n">
        <v>0</v>
      </c>
      <c r="W44" s="242" t="n">
        <v>0.25</v>
      </c>
      <c r="X44" s="242" t="n">
        <v>0.25</v>
      </c>
      <c r="Y44" s="243" t="n">
        <v>0</v>
      </c>
      <c r="Z44" s="243" t="n">
        <v>0</v>
      </c>
      <c r="AA44" s="243" t="n">
        <v>0.25</v>
      </c>
      <c r="AB44" s="243" t="n"/>
      <c r="AC44" s="300" t="n">
        <v>0</v>
      </c>
      <c r="AD44" s="300" t="n">
        <v>0</v>
      </c>
      <c r="AE44" s="300" t="n">
        <v>0</v>
      </c>
      <c r="AF44" s="300" t="n">
        <v>0</v>
      </c>
      <c r="AG44" s="297">
        <f>ROUND($O44*P44,0)</f>
        <v/>
      </c>
      <c r="AH44" s="297">
        <f>ROUND($O44*Q44,0)</f>
        <v/>
      </c>
      <c r="AI44" s="297">
        <f>ROUND($O44*R44,0)</f>
        <v/>
      </c>
      <c r="AJ44" s="297">
        <f>ROUND($O44*S44,0)</f>
        <v/>
      </c>
      <c r="AK44" s="297">
        <f>ROUND($O44*T44,0)</f>
        <v/>
      </c>
      <c r="AL44" s="297">
        <f>ROUND($O44*U44,0)</f>
        <v/>
      </c>
      <c r="AM44" s="297">
        <f>ROUND($O44*V44,0)</f>
        <v/>
      </c>
      <c r="AN44" s="297">
        <f>ROUND($O44*W44,0)</f>
        <v/>
      </c>
      <c r="AO44" s="297">
        <f>ROUND($O44*X44,0)</f>
        <v/>
      </c>
      <c r="AP44" s="298">
        <f>ROUND($O44*Y44,0)</f>
        <v/>
      </c>
      <c r="AQ44" s="298">
        <f>ROUND($O44*Z44,0)</f>
        <v/>
      </c>
      <c r="AR44" s="298">
        <f>ROUND($O44*AA44,0)</f>
        <v/>
      </c>
      <c r="AS44" s="299" t="n"/>
      <c r="AT44" s="302">
        <f>ROUND($O44*AC44,0)</f>
        <v/>
      </c>
      <c r="AU44" s="302">
        <f>ROUND($O44*AD44,0)</f>
        <v/>
      </c>
      <c r="AV44" s="302">
        <f>ROUND($O44*AE44,0)</f>
        <v/>
      </c>
      <c r="AW44" s="302">
        <f>ROUND($O44*AF44,0)</f>
        <v/>
      </c>
      <c r="AX44" s="236">
        <f>SUM(AG44:AO44)</f>
        <v/>
      </c>
      <c r="AY44" s="528">
        <f>AX44/160</f>
        <v/>
      </c>
      <c r="AZ44" s="87">
        <f>VLOOKUP(I44,Listy!$A$1:$H$9,6,FALSE)</f>
        <v/>
      </c>
      <c r="BA44" s="682">
        <f>AY44*AZ44</f>
        <v/>
      </c>
      <c r="BB44" s="528" t="n"/>
      <c r="BC44" s="528" t="n"/>
      <c r="BD44" s="528" t="n"/>
      <c r="BE44" s="528" t="n"/>
      <c r="BF44" s="528" t="n"/>
      <c r="BG44" s="528" t="n"/>
      <c r="BI44" s="528" t="n"/>
      <c r="BJ44" s="528" t="n"/>
      <c r="BL44" s="528" t="n"/>
      <c r="BM44" s="528" t="n"/>
      <c r="BO44" s="528" t="n"/>
      <c r="BP44" s="528" t="n"/>
      <c r="BS44" s="528" t="n"/>
      <c r="BT44" s="528" t="n"/>
      <c r="BU44" s="528" t="n"/>
      <c r="BW44" s="528" t="n"/>
      <c r="BX44" s="528" t="n"/>
      <c r="BY44" s="528" t="n"/>
      <c r="CA44" s="528" t="n"/>
      <c r="CB44" s="528" t="n"/>
      <c r="CC44" s="528" t="n"/>
    </row>
    <row r="45" ht="15" customHeight="1" s="191">
      <c r="A45" s="604" t="n">
        <v>4</v>
      </c>
      <c r="B45" s="528" t="inlineStr">
        <is>
          <t>a</t>
        </is>
      </c>
      <c r="C45" s="171" t="n">
        <v>-1</v>
      </c>
      <c r="D45" s="160">
        <f>CONCATENATE(A$3,"_",A45,"_",B45,"_",C45)</f>
        <v/>
      </c>
      <c r="E45" s="607" t="inlineStr">
        <is>
          <t>4.Zaawansowana analityka</t>
        </is>
      </c>
      <c r="F45" s="148" t="n"/>
      <c r="G45" s="148" t="n"/>
      <c r="H45" s="528" t="n"/>
      <c r="I45" s="148" t="n"/>
      <c r="J45" s="91">
        <f>M44+1</f>
        <v/>
      </c>
      <c r="K45" s="681">
        <f>VLOOKUP(J45,Kalendarz!B:E,4,FALSE)</f>
        <v/>
      </c>
      <c r="L45" s="681">
        <f>K45+N45</f>
        <v/>
      </c>
      <c r="M45" s="528">
        <f>J45+N45-1</f>
        <v/>
      </c>
      <c r="N45" s="474">
        <f>ROUND(MAX(AG45:AO45)/Listy!$U$2,0)</f>
        <v/>
      </c>
      <c r="O45" s="148" t="n"/>
      <c r="P45" s="148" t="n"/>
      <c r="Q45" s="148" t="n"/>
      <c r="R45" s="148" t="n"/>
      <c r="S45" s="148" t="n"/>
      <c r="T45" s="148" t="n"/>
      <c r="U45" s="148" t="n"/>
      <c r="V45" s="190" t="n"/>
      <c r="W45" s="148" t="n"/>
      <c r="X45" s="148" t="n"/>
      <c r="Y45" s="148" t="n"/>
      <c r="Z45" s="148" t="n"/>
      <c r="AA45" s="148" t="n"/>
      <c r="AB45" s="148" t="n"/>
      <c r="AC45" s="148" t="n"/>
      <c r="AD45" s="148" t="n"/>
      <c r="AE45" s="148" t="n"/>
      <c r="AF45" s="148" t="n"/>
      <c r="AG45" s="148" t="n"/>
      <c r="AH45" s="148" t="n"/>
      <c r="AI45" s="148" t="n"/>
      <c r="AJ45" s="148" t="n"/>
      <c r="AK45" s="148" t="n"/>
      <c r="AL45" s="148" t="n"/>
      <c r="AM45" s="190" t="n"/>
      <c r="AN45" s="148" t="n"/>
      <c r="AO45" s="148" t="n"/>
      <c r="AP45" s="148" t="n"/>
      <c r="AQ45" s="148" t="n"/>
      <c r="AR45" s="148" t="n"/>
      <c r="AS45" s="148" t="n"/>
      <c r="AT45" s="148" t="n"/>
      <c r="AU45" s="148" t="n"/>
      <c r="AV45" s="148" t="n"/>
      <c r="AW45" s="148" t="n"/>
      <c r="AX45" s="148" t="n"/>
      <c r="AY45" s="148" t="n"/>
      <c r="AZ45" s="148" t="n"/>
      <c r="BA45" s="148" t="n"/>
      <c r="BB45" s="148" t="n"/>
      <c r="BC45" s="148" t="n"/>
      <c r="BD45" s="148" t="n"/>
      <c r="BE45" s="148" t="n"/>
      <c r="BF45" s="148" t="n"/>
      <c r="BG45" s="148" t="n"/>
      <c r="BH45" s="148" t="n"/>
      <c r="BI45" s="148" t="n"/>
      <c r="BJ45" s="148" t="n"/>
      <c r="BK45" s="148" t="n"/>
      <c r="BL45" s="148" t="n"/>
      <c r="BM45" s="148" t="n"/>
      <c r="BN45" s="148" t="n"/>
      <c r="BO45" s="148" t="n"/>
      <c r="BP45" s="148" t="n"/>
      <c r="BQ45" s="148" t="n"/>
      <c r="BR45" s="148" t="n"/>
      <c r="BS45" s="148" t="n"/>
      <c r="BT45" s="148" t="n"/>
      <c r="BU45" s="148" t="n"/>
      <c r="BV45" s="148" t="n"/>
      <c r="BW45" s="148" t="n"/>
      <c r="BX45" s="148" t="n"/>
      <c r="BY45" s="148" t="n"/>
      <c r="BZ45" s="148" t="n"/>
      <c r="CA45" s="148" t="n"/>
      <c r="CB45" s="148" t="n"/>
      <c r="CC45" s="148" t="n"/>
      <c r="CD45" s="148" t="n"/>
      <c r="CE45" s="148" t="n"/>
      <c r="CF45" s="148" t="n"/>
    </row>
    <row r="46" ht="15.75" customHeight="1" s="191">
      <c r="A46" s="528" t="n">
        <v>4</v>
      </c>
      <c r="B46" s="528" t="inlineStr">
        <is>
          <t>a</t>
        </is>
      </c>
      <c r="C46" s="171" t="n">
        <v>0</v>
      </c>
      <c r="D46" s="160">
        <f>CONCATENATE(A$3,"_",A46,"_",B46,"_",C46)</f>
        <v/>
      </c>
      <c r="E46" s="221" t="inlineStr">
        <is>
          <t>Opracowanie algorytmów/modeli do optymalizacji procesów czy autonomicznych decyzji</t>
        </is>
      </c>
      <c r="F46" s="148" t="n"/>
      <c r="G46" s="148" t="n"/>
      <c r="H46" s="190" t="n"/>
      <c r="I46" s="148" t="n"/>
      <c r="J46" s="91">
        <f>M45+1</f>
        <v/>
      </c>
      <c r="K46" s="681">
        <f>VLOOKUP(J46,Kalendarz!B:E,4,FALSE)</f>
        <v/>
      </c>
      <c r="L46" s="681">
        <f>K46+N46</f>
        <v/>
      </c>
      <c r="M46" s="528">
        <f>J46+N46-1</f>
        <v/>
      </c>
      <c r="N46" s="474">
        <f>ROUND(MAX(AG46:AO46)/Listy!$U$2,0)</f>
        <v/>
      </c>
      <c r="O46" s="148" t="n"/>
      <c r="P46" s="148" t="n"/>
      <c r="Q46" s="148" t="n"/>
      <c r="R46" s="148" t="n"/>
      <c r="S46" s="148" t="n"/>
      <c r="T46" s="148" t="n"/>
      <c r="U46" s="148" t="n"/>
      <c r="V46" s="190" t="n"/>
      <c r="W46" s="148" t="n"/>
      <c r="X46" s="148" t="n"/>
      <c r="Y46" s="148" t="n"/>
      <c r="Z46" s="148" t="n"/>
      <c r="AA46" s="148" t="n"/>
      <c r="AB46" s="148" t="n"/>
      <c r="AC46" s="148" t="n"/>
      <c r="AD46" s="148" t="n"/>
      <c r="AE46" s="148" t="n"/>
      <c r="AF46" s="148" t="n"/>
      <c r="AG46" s="148" t="n"/>
      <c r="AH46" s="148" t="n"/>
      <c r="AI46" s="148" t="n"/>
      <c r="AJ46" s="148" t="n"/>
      <c r="AK46" s="148" t="n"/>
      <c r="AL46" s="148" t="n"/>
      <c r="AM46" s="190" t="n"/>
      <c r="AN46" s="148" t="n"/>
      <c r="AO46" s="148" t="n"/>
      <c r="AP46" s="148" t="n"/>
      <c r="AQ46" s="148" t="n"/>
      <c r="AR46" s="148" t="n"/>
      <c r="AS46" s="148" t="n"/>
      <c r="AT46" s="148" t="n"/>
      <c r="AU46" s="148" t="n"/>
      <c r="AV46" s="148" t="n"/>
      <c r="AW46" s="148" t="n"/>
      <c r="AX46" s="148" t="n"/>
      <c r="AY46" s="148" t="n"/>
      <c r="AZ46" s="148" t="n"/>
      <c r="BA46" s="148" t="n"/>
      <c r="BB46" s="148" t="n"/>
      <c r="BC46" s="148" t="n"/>
      <c r="BD46" s="148" t="n"/>
      <c r="BE46" s="148" t="n"/>
      <c r="BF46" s="148" t="n"/>
      <c r="BG46" s="148" t="n"/>
      <c r="BH46" s="148" t="n"/>
      <c r="BI46" s="148" t="n"/>
      <c r="BJ46" s="148" t="n"/>
      <c r="BK46" s="148" t="n"/>
      <c r="BL46" s="148" t="n"/>
      <c r="BM46" s="148" t="n"/>
      <c r="BN46" s="148" t="n"/>
      <c r="BO46" s="148" t="n"/>
      <c r="BP46" s="148" t="n"/>
      <c r="BQ46" s="148" t="n"/>
      <c r="BR46" s="148" t="n"/>
      <c r="BS46" s="148" t="n"/>
      <c r="BT46" s="148" t="n"/>
      <c r="BU46" s="148" t="n"/>
      <c r="BV46" s="148" t="n"/>
      <c r="BW46" s="148" t="n"/>
      <c r="BX46" s="148" t="n"/>
      <c r="BY46" s="148" t="n"/>
      <c r="BZ46" s="148" t="n"/>
      <c r="CA46" s="148" t="n"/>
      <c r="CB46" s="148" t="n"/>
      <c r="CC46" s="148" t="n"/>
      <c r="CD46" s="148" t="n"/>
      <c r="CE46" s="148" t="n"/>
      <c r="CF46" s="148" t="n"/>
    </row>
    <row r="47" ht="15.75" customHeight="1" s="191">
      <c r="A47" s="57" t="n">
        <v>4</v>
      </c>
      <c r="B47" s="57" t="inlineStr">
        <is>
          <t>a</t>
        </is>
      </c>
      <c r="C47" s="171" t="n">
        <v>1</v>
      </c>
      <c r="D47" s="160">
        <f>CONCATENATE(A$3,"_",A47,"_",B47,"_",C47)</f>
        <v/>
      </c>
      <c r="E47" s="222" t="inlineStr">
        <is>
          <t xml:space="preserve">Analiza rozpoznawcza zgromadzonych danych </t>
        </is>
      </c>
      <c r="F47" s="231" t="n"/>
      <c r="G47" s="231" t="inlineStr">
        <is>
          <t>Analityk danych</t>
        </is>
      </c>
      <c r="H47" s="528" t="n">
        <v>21</v>
      </c>
      <c r="I47" s="231" t="inlineStr">
        <is>
          <t>END</t>
        </is>
      </c>
      <c r="J47" s="91">
        <f>M46+1</f>
        <v/>
      </c>
      <c r="K47" s="681">
        <f>VLOOKUP(J47,Kalendarz!B:E,4,FALSE)</f>
        <v/>
      </c>
      <c r="L47" s="681">
        <f>K47+N47</f>
        <v/>
      </c>
      <c r="M47" s="528">
        <f>J47+N47-1</f>
        <v/>
      </c>
      <c r="N47" s="474" t="n">
        <v>1</v>
      </c>
      <c r="O47" s="295" t="n">
        <v>80</v>
      </c>
      <c r="P47" s="242" t="n"/>
      <c r="Q47" s="242" t="n"/>
      <c r="R47" s="242" t="n"/>
      <c r="S47" s="242" t="n"/>
      <c r="T47" s="242" t="n">
        <v>0</v>
      </c>
      <c r="U47" s="242" t="n">
        <v>0.12</v>
      </c>
      <c r="V47" s="242" t="n">
        <v>0.13</v>
      </c>
      <c r="W47" s="242" t="n">
        <v>0</v>
      </c>
      <c r="X47" s="242" t="n">
        <v>0</v>
      </c>
      <c r="Y47" s="243" t="n">
        <v>0</v>
      </c>
      <c r="Z47" s="243" t="n">
        <v>0.75</v>
      </c>
      <c r="AA47" s="243" t="n">
        <v>0</v>
      </c>
      <c r="AB47" s="243" t="n"/>
      <c r="AC47" s="300" t="n">
        <v>0</v>
      </c>
      <c r="AD47" s="300" t="n">
        <v>0</v>
      </c>
      <c r="AE47" s="300" t="n">
        <v>0</v>
      </c>
      <c r="AF47" s="300" t="n">
        <v>0</v>
      </c>
      <c r="AG47" s="297">
        <f>ROUND($O47*P47,0)</f>
        <v/>
      </c>
      <c r="AH47" s="297">
        <f>ROUND($O47*Q47,0)</f>
        <v/>
      </c>
      <c r="AI47" s="297">
        <f>ROUND($O47*R47,0)</f>
        <v/>
      </c>
      <c r="AJ47" s="297">
        <f>ROUND($O47*S47,0)</f>
        <v/>
      </c>
      <c r="AK47" s="297">
        <f>ROUND($O47*T47,0)</f>
        <v/>
      </c>
      <c r="AL47" s="297">
        <f>ROUND($O47*U47,0)</f>
        <v/>
      </c>
      <c r="AM47" s="297">
        <f>ROUND($O47*V47,0)</f>
        <v/>
      </c>
      <c r="AN47" s="297">
        <f>ROUND($O47*W47,0)</f>
        <v/>
      </c>
      <c r="AO47" s="297">
        <f>ROUND($O47*X47,0)</f>
        <v/>
      </c>
      <c r="AP47" s="298">
        <f>ROUND($O47*Y47,0)</f>
        <v/>
      </c>
      <c r="AQ47" s="298">
        <f>ROUND($O47*Z47,0)</f>
        <v/>
      </c>
      <c r="AR47" s="298">
        <f>ROUND($O47*AA47,0)</f>
        <v/>
      </c>
      <c r="AS47" s="299" t="n"/>
      <c r="AT47" s="302">
        <f>ROUND($O47*AC47,0)</f>
        <v/>
      </c>
      <c r="AU47" s="302">
        <f>ROUND($O47*AD47,0)</f>
        <v/>
      </c>
      <c r="AV47" s="302">
        <f>ROUND($O47*AE47,0)</f>
        <v/>
      </c>
      <c r="AW47" s="302">
        <f>ROUND($O47*AF47,0)</f>
        <v/>
      </c>
      <c r="AX47" s="236">
        <f>SUM(AG47:AO47)</f>
        <v/>
      </c>
      <c r="AY47" s="528">
        <f>AX47/160</f>
        <v/>
      </c>
      <c r="AZ47" s="87">
        <f>VLOOKUP(I47,Listy!$A$1:$H$9,6,FALSE)</f>
        <v/>
      </c>
      <c r="BA47" s="682">
        <f>AY47*AZ47</f>
        <v/>
      </c>
      <c r="BB47" s="528" t="n"/>
      <c r="BC47" s="528" t="n"/>
      <c r="BD47" s="528" t="n"/>
      <c r="BE47" s="528" t="n"/>
      <c r="BF47" s="528" t="n"/>
      <c r="BG47" s="528" t="n"/>
      <c r="BI47" s="528" t="n"/>
      <c r="BJ47" s="528" t="n"/>
      <c r="BL47" s="528" t="n"/>
      <c r="BM47" s="528" t="n"/>
      <c r="BO47" s="528" t="n"/>
      <c r="BP47" s="528" t="n"/>
      <c r="BS47" s="528" t="n"/>
      <c r="BT47" s="528" t="n"/>
      <c r="BU47" s="528" t="n"/>
      <c r="BW47" s="528" t="n"/>
      <c r="BX47" s="528" t="n"/>
      <c r="BY47" s="528" t="n"/>
      <c r="CA47" s="528" t="n"/>
      <c r="CB47" s="528" t="n"/>
      <c r="CC47" s="528" t="n"/>
    </row>
    <row r="48" ht="15.75" customHeight="1" s="191">
      <c r="A48" s="57" t="n">
        <v>4</v>
      </c>
      <c r="B48" s="57" t="inlineStr">
        <is>
          <t>a</t>
        </is>
      </c>
      <c r="C48" s="171" t="n">
        <v>2</v>
      </c>
      <c r="D48" s="160">
        <f>CONCATENATE(A$3,"_",A48,"_",B48,"_",C48)</f>
        <v/>
      </c>
      <c r="E48" s="222" t="inlineStr">
        <is>
          <t xml:space="preserve">Analiza danych dla istniejacego algorytmu trasowania przenośnikow </t>
        </is>
      </c>
      <c r="F48" s="231" t="n"/>
      <c r="G48" s="231" t="inlineStr">
        <is>
          <t>Analityk danych</t>
        </is>
      </c>
      <c r="H48" s="528" t="n">
        <v>22</v>
      </c>
      <c r="I48" s="231" t="inlineStr">
        <is>
          <t>END</t>
        </is>
      </c>
      <c r="J48" s="91">
        <f>M47+1</f>
        <v/>
      </c>
      <c r="K48" s="681">
        <f>VLOOKUP(J48,Kalendarz!B:E,4,FALSE)</f>
        <v/>
      </c>
      <c r="L48" s="681">
        <f>K48+N48</f>
        <v/>
      </c>
      <c r="M48" s="528">
        <f>J48+N48-1</f>
        <v/>
      </c>
      <c r="N48" s="474" t="n">
        <v>1</v>
      </c>
      <c r="O48" s="295" t="n">
        <v>160</v>
      </c>
      <c r="P48" s="242" t="n"/>
      <c r="Q48" s="242" t="n"/>
      <c r="R48" s="242" t="n"/>
      <c r="S48" s="242" t="n"/>
      <c r="T48" s="242" t="n">
        <v>0</v>
      </c>
      <c r="U48" s="242" t="n">
        <v>0</v>
      </c>
      <c r="V48" s="242" t="n">
        <v>0</v>
      </c>
      <c r="W48" s="242" t="n">
        <v>0.12</v>
      </c>
      <c r="X48" s="242" t="n">
        <v>0.13</v>
      </c>
      <c r="Y48" s="243" t="n">
        <v>0</v>
      </c>
      <c r="Z48" s="243" t="n">
        <v>0.25</v>
      </c>
      <c r="AA48" s="243" t="n">
        <v>0</v>
      </c>
      <c r="AB48" s="243" t="n"/>
      <c r="AC48" s="300" t="n">
        <v>0.25</v>
      </c>
      <c r="AD48" s="300" t="n">
        <v>0.25</v>
      </c>
      <c r="AE48" s="300" t="n">
        <v>0</v>
      </c>
      <c r="AF48" s="300" t="n">
        <v>0</v>
      </c>
      <c r="AG48" s="297">
        <f>ROUND($O48*P48,0)</f>
        <v/>
      </c>
      <c r="AH48" s="297">
        <f>ROUND($O48*Q48,0)</f>
        <v/>
      </c>
      <c r="AI48" s="297">
        <f>ROUND($O48*R48,0)</f>
        <v/>
      </c>
      <c r="AJ48" s="297">
        <f>ROUND($O48*S48,0)</f>
        <v/>
      </c>
      <c r="AK48" s="297">
        <f>ROUND($O48*T48,0)</f>
        <v/>
      </c>
      <c r="AL48" s="297">
        <f>ROUND($O48*U48,0)</f>
        <v/>
      </c>
      <c r="AM48" s="297">
        <f>ROUND($O48*V48,0)</f>
        <v/>
      </c>
      <c r="AN48" s="297">
        <f>ROUND($O48*W48,0)</f>
        <v/>
      </c>
      <c r="AO48" s="297">
        <f>ROUND($O48*X48,0)</f>
        <v/>
      </c>
      <c r="AP48" s="298">
        <f>ROUND($O48*Y48,0)</f>
        <v/>
      </c>
      <c r="AQ48" s="298">
        <f>ROUND($O48*Z48,0)</f>
        <v/>
      </c>
      <c r="AR48" s="298">
        <f>ROUND($O48*AA48,0)</f>
        <v/>
      </c>
      <c r="AS48" s="299" t="n"/>
      <c r="AT48" s="302">
        <f>ROUND($O48*AC48,0)</f>
        <v/>
      </c>
      <c r="AU48" s="302">
        <f>ROUND($O48*AD48,0)</f>
        <v/>
      </c>
      <c r="AV48" s="302">
        <f>ROUND($O48*AE48,0)</f>
        <v/>
      </c>
      <c r="AW48" s="302">
        <f>ROUND($O48*AF48,0)</f>
        <v/>
      </c>
      <c r="AX48" s="236">
        <f>SUM(AG48:AO48)</f>
        <v/>
      </c>
      <c r="AY48" s="528">
        <f>AX48/160</f>
        <v/>
      </c>
      <c r="AZ48" s="87">
        <f>VLOOKUP(I48,Listy!$A$1:$H$9,6,FALSE)</f>
        <v/>
      </c>
      <c r="BA48" s="682">
        <f>AY48*AZ48</f>
        <v/>
      </c>
      <c r="BB48" s="528" t="n"/>
      <c r="BC48" s="528" t="n"/>
      <c r="BD48" s="528" t="n"/>
      <c r="BE48" s="528" t="n"/>
      <c r="BF48" s="528" t="n"/>
      <c r="BG48" s="528" t="n"/>
      <c r="BI48" s="528" t="n"/>
      <c r="BJ48" s="528" t="n"/>
      <c r="BL48" s="528" t="n"/>
      <c r="BM48" s="528" t="n"/>
      <c r="BO48" s="528" t="n"/>
      <c r="BP48" s="528" t="n"/>
      <c r="BS48" s="528" t="n"/>
      <c r="BT48" s="528" t="n"/>
      <c r="BU48" s="528" t="n"/>
      <c r="BW48" s="528" t="n"/>
      <c r="BX48" s="528" t="n"/>
      <c r="BY48" s="528" t="n"/>
      <c r="CA48" s="528" t="n"/>
      <c r="CB48" s="528" t="n"/>
      <c r="CC48" s="528" t="n"/>
    </row>
    <row r="49" ht="15.75" customHeight="1" s="191">
      <c r="A49" s="57" t="n">
        <v>4</v>
      </c>
      <c r="B49" s="57" t="inlineStr">
        <is>
          <t>a</t>
        </is>
      </c>
      <c r="C49" s="171" t="n">
        <v>3</v>
      </c>
      <c r="D49" s="160">
        <f>CONCATENATE(A$3,"_",A49,"_",B49,"_",C49)</f>
        <v/>
      </c>
      <c r="E49" s="222" t="inlineStr">
        <is>
          <t>Implementacja nowego algorytmu trasowania wykorzystujacego predykcje modelu ML z zadania Kompletacja</t>
        </is>
      </c>
      <c r="F49" s="231" t="n"/>
      <c r="G49" s="231" t="inlineStr">
        <is>
          <t>Analityk danych/ Developer</t>
        </is>
      </c>
      <c r="H49" s="528" t="n">
        <v>23</v>
      </c>
      <c r="I49" s="231" t="inlineStr">
        <is>
          <t>END</t>
        </is>
      </c>
      <c r="J49" s="91">
        <f>M48+1</f>
        <v/>
      </c>
      <c r="K49" s="681">
        <f>VLOOKUP(J49,Kalendarz!B:E,4,FALSE)</f>
        <v/>
      </c>
      <c r="L49" s="681">
        <f>K49+N49</f>
        <v/>
      </c>
      <c r="M49" s="528">
        <f>J49+N49-1</f>
        <v/>
      </c>
      <c r="N49" s="474" t="n">
        <v>1</v>
      </c>
      <c r="O49" s="295" t="n">
        <v>160</v>
      </c>
      <c r="P49" s="242" t="n"/>
      <c r="Q49" s="242" t="n"/>
      <c r="R49" s="242" t="n"/>
      <c r="S49" s="242" t="n"/>
      <c r="T49" s="242" t="n">
        <v>0.13</v>
      </c>
      <c r="U49" s="242" t="n">
        <v>0.12</v>
      </c>
      <c r="V49" s="242" t="n">
        <v>0</v>
      </c>
      <c r="W49" s="242" t="n">
        <v>0</v>
      </c>
      <c r="X49" s="242" t="n">
        <v>0</v>
      </c>
      <c r="Y49" s="243" t="n">
        <v>0</v>
      </c>
      <c r="Z49" s="243" t="n">
        <v>0.75</v>
      </c>
      <c r="AA49" s="243" t="n">
        <v>0</v>
      </c>
      <c r="AB49" s="243" t="n"/>
      <c r="AC49" s="300" t="n">
        <v>0</v>
      </c>
      <c r="AD49" s="300" t="n">
        <v>0</v>
      </c>
      <c r="AE49" s="300" t="n">
        <v>0</v>
      </c>
      <c r="AF49" s="300" t="n">
        <v>0</v>
      </c>
      <c r="AG49" s="297">
        <f>ROUND($O49*P49,0)</f>
        <v/>
      </c>
      <c r="AH49" s="297">
        <f>ROUND($O49*Q49,0)</f>
        <v/>
      </c>
      <c r="AI49" s="297">
        <f>ROUND($O49*R49,0)</f>
        <v/>
      </c>
      <c r="AJ49" s="297">
        <f>ROUND($O49*S49,0)</f>
        <v/>
      </c>
      <c r="AK49" s="297">
        <f>ROUND($O49*T49,0)</f>
        <v/>
      </c>
      <c r="AL49" s="297">
        <f>ROUND($O49*U49,0)</f>
        <v/>
      </c>
      <c r="AM49" s="297">
        <f>ROUND($O49*V49,0)</f>
        <v/>
      </c>
      <c r="AN49" s="297">
        <f>ROUND($O49*W49,0)</f>
        <v/>
      </c>
      <c r="AO49" s="297">
        <f>ROUND($O49*X49,0)</f>
        <v/>
      </c>
      <c r="AP49" s="298">
        <f>ROUND($O49*Y49,0)</f>
        <v/>
      </c>
      <c r="AQ49" s="298">
        <f>ROUND($O49*Z49,0)</f>
        <v/>
      </c>
      <c r="AR49" s="298">
        <f>ROUND($O49*AA49,0)</f>
        <v/>
      </c>
      <c r="AS49" s="299" t="n"/>
      <c r="AT49" s="302">
        <f>ROUND($O49*AC49,0)</f>
        <v/>
      </c>
      <c r="AU49" s="302">
        <f>ROUND($O49*AD49,0)</f>
        <v/>
      </c>
      <c r="AV49" s="302">
        <f>ROUND($O49*AE49,0)</f>
        <v/>
      </c>
      <c r="AW49" s="302">
        <f>ROUND($O49*AF49,0)</f>
        <v/>
      </c>
      <c r="AX49" s="236">
        <f>SUM(AG49:AO49)</f>
        <v/>
      </c>
      <c r="AY49" s="528">
        <f>AX49/160</f>
        <v/>
      </c>
      <c r="AZ49" s="87">
        <f>VLOOKUP(I49,Listy!$A$1:$H$9,6,FALSE)</f>
        <v/>
      </c>
      <c r="BA49" s="682">
        <f>AY49*AZ49</f>
        <v/>
      </c>
      <c r="BB49" s="528" t="n"/>
      <c r="BC49" s="528" t="n"/>
      <c r="BD49" s="528" t="n"/>
      <c r="BE49" s="528" t="n"/>
      <c r="BF49" s="528" t="n"/>
      <c r="BG49" s="528" t="n"/>
      <c r="BI49" s="528" t="n"/>
      <c r="BJ49" s="528" t="n"/>
      <c r="BL49" s="528" t="n"/>
      <c r="BM49" s="528" t="n"/>
      <c r="BO49" s="528" t="n"/>
      <c r="BP49" s="528" t="n"/>
      <c r="BS49" s="528" t="n"/>
      <c r="BT49" s="528" t="n"/>
      <c r="BU49" s="528" t="n"/>
      <c r="BW49" s="528" t="n"/>
      <c r="BX49" s="528" t="n"/>
      <c r="BY49" s="528" t="n"/>
      <c r="CA49" s="528" t="n"/>
      <c r="CB49" s="528" t="n"/>
      <c r="CC49" s="528" t="n"/>
    </row>
    <row r="50" ht="15.75" customHeight="1" s="191">
      <c r="A50" s="528" t="n">
        <v>4</v>
      </c>
      <c r="B50" s="528" t="inlineStr">
        <is>
          <t>b</t>
        </is>
      </c>
      <c r="C50" s="529" t="n">
        <v>0</v>
      </c>
      <c r="D50" s="160">
        <f>CONCATENATE(A$3,"_",A50,"_",B50,"_",C50)</f>
        <v/>
      </c>
      <c r="E50" s="221" t="inlineStr">
        <is>
          <t>Rozwój modeli predykcyjnych, które pozwolą przewidzieć przyszłe zdarzenia na podstawie aktualnych danych</t>
        </is>
      </c>
      <c r="F50" s="148" t="n"/>
      <c r="G50" s="148" t="n"/>
      <c r="H50" s="190" t="n"/>
      <c r="I50" s="148" t="n"/>
      <c r="J50" s="91">
        <f>M49+1</f>
        <v/>
      </c>
      <c r="K50" s="681">
        <f>VLOOKUP(J50,Kalendarz!B:E,4,FALSE)</f>
        <v/>
      </c>
      <c r="L50" s="681">
        <f>K50+N50</f>
        <v/>
      </c>
      <c r="M50" s="528">
        <f>J50+N50-1</f>
        <v/>
      </c>
      <c r="N50" s="474">
        <f>ROUND(MAX(AG50:AO50)/Listy!$U$2,0)</f>
        <v/>
      </c>
      <c r="O50" s="148" t="n"/>
      <c r="P50" s="148" t="n"/>
      <c r="Q50" s="148" t="n"/>
      <c r="R50" s="148" t="n"/>
      <c r="S50" s="148" t="n"/>
      <c r="T50" s="148" t="n"/>
      <c r="U50" s="148" t="n"/>
      <c r="V50" s="190" t="n"/>
      <c r="W50" s="148" t="n"/>
      <c r="X50" s="148" t="n"/>
      <c r="Y50" s="148" t="n"/>
      <c r="Z50" s="148" t="n"/>
      <c r="AA50" s="148" t="n"/>
      <c r="AB50" s="148" t="n"/>
      <c r="AC50" s="148" t="n"/>
      <c r="AD50" s="148" t="n"/>
      <c r="AE50" s="148" t="n"/>
      <c r="AF50" s="148" t="n"/>
      <c r="AG50" s="148" t="n"/>
      <c r="AH50" s="148" t="n"/>
      <c r="AI50" s="148" t="n"/>
      <c r="AJ50" s="148" t="n"/>
      <c r="AK50" s="148" t="n"/>
      <c r="AL50" s="148" t="n"/>
      <c r="AM50" s="190" t="n"/>
      <c r="AN50" s="148" t="n"/>
      <c r="AO50" s="148" t="n"/>
      <c r="AP50" s="148" t="n"/>
      <c r="AQ50" s="148" t="n"/>
      <c r="AR50" s="148" t="n"/>
      <c r="AS50" s="148" t="n"/>
      <c r="AT50" s="148" t="n"/>
      <c r="AU50" s="148" t="n"/>
      <c r="AV50" s="148" t="n"/>
      <c r="AW50" s="148" t="n"/>
      <c r="AX50" s="148" t="n"/>
      <c r="AY50" s="148" t="n"/>
      <c r="AZ50" s="148" t="n"/>
      <c r="BA50" s="148" t="n"/>
      <c r="BB50" s="148" t="n"/>
      <c r="BC50" s="148" t="n"/>
      <c r="BD50" s="148" t="n"/>
      <c r="BE50" s="148" t="n"/>
      <c r="BF50" s="148" t="n"/>
      <c r="BG50" s="148" t="n"/>
      <c r="BH50" s="148" t="n"/>
      <c r="BI50" s="148" t="n"/>
      <c r="BJ50" s="148" t="n"/>
      <c r="BK50" s="148" t="n"/>
      <c r="BL50" s="148" t="n"/>
      <c r="BM50" s="148" t="n"/>
      <c r="BN50" s="148" t="n"/>
      <c r="BO50" s="148" t="n"/>
      <c r="BP50" s="148" t="n"/>
      <c r="BQ50" s="148" t="n"/>
      <c r="BR50" s="148" t="n"/>
      <c r="BS50" s="148" t="n"/>
      <c r="BT50" s="148" t="n"/>
      <c r="BU50" s="148" t="n"/>
      <c r="BV50" s="148" t="n"/>
      <c r="BW50" s="148" t="n"/>
      <c r="BX50" s="148" t="n"/>
      <c r="BY50" s="148" t="n"/>
      <c r="BZ50" s="148" t="n"/>
      <c r="CA50" s="148" t="n"/>
      <c r="CB50" s="148" t="n"/>
      <c r="CC50" s="148" t="n"/>
      <c r="CD50" s="148" t="n"/>
      <c r="CE50" s="148" t="n"/>
      <c r="CF50" s="148" t="n"/>
    </row>
    <row r="51" ht="15.75" customHeight="1" s="191">
      <c r="A51" s="57" t="n">
        <v>4</v>
      </c>
      <c r="B51" s="57" t="inlineStr">
        <is>
          <t>b</t>
        </is>
      </c>
      <c r="C51" s="529" t="n">
        <v>1</v>
      </c>
      <c r="D51" s="160">
        <f>CONCATENATE(A$3,"_",A51,"_",B51,"_",C51)</f>
        <v/>
      </c>
      <c r="E51" s="222" t="inlineStr">
        <is>
          <t>Integracja z modelem ML stworzonym w ramach zadania Kompletacja</t>
        </is>
      </c>
      <c r="F51" s="231" t="n"/>
      <c r="G51" s="231" t="inlineStr">
        <is>
          <t>Developer</t>
        </is>
      </c>
      <c r="H51" s="528" t="n">
        <v>24</v>
      </c>
      <c r="I51" s="231" t="inlineStr">
        <is>
          <t>END</t>
        </is>
      </c>
      <c r="J51" s="91">
        <f>M50+1</f>
        <v/>
      </c>
      <c r="K51" s="681">
        <f>VLOOKUP(J51,Kalendarz!B:E,4,FALSE)</f>
        <v/>
      </c>
      <c r="L51" s="681">
        <f>K51+N51</f>
        <v/>
      </c>
      <c r="M51" s="528">
        <f>J51+N51-1</f>
        <v/>
      </c>
      <c r="N51" s="474" t="n">
        <v>1</v>
      </c>
      <c r="O51" s="295" t="n">
        <v>120</v>
      </c>
      <c r="P51" s="242" t="n"/>
      <c r="Q51" s="242" t="n"/>
      <c r="R51" s="242" t="n"/>
      <c r="S51" s="242" t="n"/>
      <c r="T51" s="242" t="n">
        <v>0</v>
      </c>
      <c r="U51" s="242" t="n">
        <v>0</v>
      </c>
      <c r="V51" s="242" t="n">
        <v>0.13</v>
      </c>
      <c r="W51" s="242" t="n">
        <v>0.12</v>
      </c>
      <c r="X51" s="242" t="n">
        <v>0</v>
      </c>
      <c r="Y51" s="243" t="n">
        <v>0</v>
      </c>
      <c r="Z51" s="243" t="n">
        <v>0.75</v>
      </c>
      <c r="AA51" s="243" t="n">
        <v>0</v>
      </c>
      <c r="AB51" s="243" t="n"/>
      <c r="AC51" s="300" t="n">
        <v>0</v>
      </c>
      <c r="AD51" s="300" t="n">
        <v>0</v>
      </c>
      <c r="AE51" s="300" t="n">
        <v>0</v>
      </c>
      <c r="AF51" s="300" t="n">
        <v>0</v>
      </c>
      <c r="AG51" s="297">
        <f>ROUND($O51*P51,0)</f>
        <v/>
      </c>
      <c r="AH51" s="297">
        <f>ROUND($O51*Q51,0)</f>
        <v/>
      </c>
      <c r="AI51" s="297">
        <f>ROUND($O51*R51,0)</f>
        <v/>
      </c>
      <c r="AJ51" s="297">
        <f>ROUND($O51*S51,0)</f>
        <v/>
      </c>
      <c r="AK51" s="297">
        <f>ROUND($O51*T51,0)</f>
        <v/>
      </c>
      <c r="AL51" s="297">
        <f>ROUND($O51*U51,0)</f>
        <v/>
      </c>
      <c r="AM51" s="297">
        <f>ROUND($O51*V51,0)</f>
        <v/>
      </c>
      <c r="AN51" s="297">
        <f>ROUND($O51*W51,0)</f>
        <v/>
      </c>
      <c r="AO51" s="297">
        <f>ROUND($O51*X51,0)</f>
        <v/>
      </c>
      <c r="AP51" s="298">
        <f>ROUND($O51*Y51,0)</f>
        <v/>
      </c>
      <c r="AQ51" s="298">
        <f>ROUND($O51*Z51,0)</f>
        <v/>
      </c>
      <c r="AR51" s="298">
        <f>ROUND($O51*AA51,0)</f>
        <v/>
      </c>
      <c r="AS51" s="299" t="n"/>
      <c r="AT51" s="302">
        <f>ROUND($O51*AC51,0)</f>
        <v/>
      </c>
      <c r="AU51" s="302">
        <f>ROUND($O51*AD51,0)</f>
        <v/>
      </c>
      <c r="AV51" s="302">
        <f>ROUND($O51*AE51,0)</f>
        <v/>
      </c>
      <c r="AW51" s="302">
        <f>ROUND($O51*AF51,0)</f>
        <v/>
      </c>
      <c r="AX51" s="236">
        <f>SUM(AG51:AO51)</f>
        <v/>
      </c>
      <c r="AY51" s="528">
        <f>AX51/160</f>
        <v/>
      </c>
      <c r="AZ51" s="87">
        <f>VLOOKUP(I51,Listy!$A$1:$H$9,6,FALSE)</f>
        <v/>
      </c>
      <c r="BA51" s="682">
        <f>AY51*AZ51</f>
        <v/>
      </c>
      <c r="BB51" s="528" t="n"/>
      <c r="BC51" s="528" t="n"/>
      <c r="BD51" s="528" t="n"/>
      <c r="BE51" s="528" t="n"/>
      <c r="BF51" s="528" t="n"/>
      <c r="BG51" s="528" t="n"/>
      <c r="BI51" s="528" t="n"/>
      <c r="BJ51" s="528" t="n"/>
      <c r="BL51" s="528" t="n"/>
      <c r="BM51" s="528" t="n"/>
      <c r="BO51" s="528" t="n"/>
      <c r="BP51" s="528" t="n"/>
      <c r="BS51" s="528" t="n"/>
      <c r="BT51" s="528" t="n"/>
      <c r="BU51" s="528" t="n"/>
      <c r="BW51" s="528" t="n"/>
      <c r="BX51" s="528" t="n"/>
      <c r="BY51" s="528" t="n"/>
      <c r="CA51" s="528" t="n"/>
      <c r="CB51" s="528" t="n"/>
      <c r="CC51" s="528" t="n"/>
    </row>
    <row r="52" ht="15.75" customHeight="1" s="191">
      <c r="A52" s="57" t="n">
        <v>4</v>
      </c>
      <c r="B52" s="57" t="inlineStr">
        <is>
          <t>b</t>
        </is>
      </c>
      <c r="C52" s="529" t="n">
        <v>2</v>
      </c>
      <c r="D52" s="160">
        <f>CONCATENATE(A$3,"_",A52,"_",B52,"_",C52)</f>
        <v/>
      </c>
      <c r="E52" s="222" t="inlineStr">
        <is>
          <t>Integracja z modelem ML stworzonym w ramach zadania MWS</t>
        </is>
      </c>
      <c r="F52" s="231" t="n"/>
      <c r="G52" s="231" t="inlineStr">
        <is>
          <t>Developer</t>
        </is>
      </c>
      <c r="H52" s="528" t="n">
        <v>24</v>
      </c>
      <c r="I52" s="231" t="inlineStr">
        <is>
          <t>END</t>
        </is>
      </c>
      <c r="J52" s="91">
        <f>M51+1</f>
        <v/>
      </c>
      <c r="K52" s="681">
        <f>VLOOKUP(J52,Kalendarz!B:E,4,FALSE)</f>
        <v/>
      </c>
      <c r="L52" s="681">
        <f>K52+N52</f>
        <v/>
      </c>
      <c r="M52" s="528">
        <f>J52+N52-1</f>
        <v/>
      </c>
      <c r="N52" s="476" t="n">
        <v>0</v>
      </c>
      <c r="O52" s="295" t="n">
        <v>120</v>
      </c>
      <c r="P52" s="242" t="n"/>
      <c r="Q52" s="242" t="n"/>
      <c r="R52" s="242" t="n"/>
      <c r="S52" s="242" t="n"/>
      <c r="T52" s="242" t="n">
        <v>0.13</v>
      </c>
      <c r="U52" s="242" t="n">
        <v>0.12</v>
      </c>
      <c r="V52" s="242" t="n">
        <v>0</v>
      </c>
      <c r="W52" s="242" t="n">
        <v>0</v>
      </c>
      <c r="X52" s="242" t="n">
        <v>0</v>
      </c>
      <c r="Y52" s="243" t="n">
        <v>0.75</v>
      </c>
      <c r="Z52" s="243" t="n">
        <v>0</v>
      </c>
      <c r="AA52" s="243" t="n">
        <v>0</v>
      </c>
      <c r="AB52" s="243" t="n"/>
      <c r="AC52" s="300" t="n">
        <v>0</v>
      </c>
      <c r="AD52" s="300" t="n">
        <v>0</v>
      </c>
      <c r="AE52" s="300" t="n">
        <v>0</v>
      </c>
      <c r="AF52" s="300" t="n">
        <v>0</v>
      </c>
      <c r="AG52" s="297">
        <f>ROUND($O52*P52,0)</f>
        <v/>
      </c>
      <c r="AH52" s="297">
        <f>ROUND($O52*Q52,0)</f>
        <v/>
      </c>
      <c r="AI52" s="297">
        <f>ROUND($O52*R52,0)</f>
        <v/>
      </c>
      <c r="AJ52" s="297">
        <f>ROUND($O52*S52,0)</f>
        <v/>
      </c>
      <c r="AK52" s="297">
        <f>ROUND($O52*T52,0)</f>
        <v/>
      </c>
      <c r="AL52" s="297">
        <f>ROUND($O52*U52,0)</f>
        <v/>
      </c>
      <c r="AM52" s="297">
        <f>ROUND($O52*V52,0)</f>
        <v/>
      </c>
      <c r="AN52" s="297">
        <f>ROUND($O52*W52,0)</f>
        <v/>
      </c>
      <c r="AO52" s="297">
        <f>ROUND($O52*X52,0)</f>
        <v/>
      </c>
      <c r="AP52" s="298">
        <f>ROUND($O52*Y52,0)</f>
        <v/>
      </c>
      <c r="AQ52" s="298">
        <f>ROUND($O52*Z52,0)</f>
        <v/>
      </c>
      <c r="AR52" s="298">
        <f>ROUND($O52*AA52,0)</f>
        <v/>
      </c>
      <c r="AS52" s="299" t="n"/>
      <c r="AT52" s="302">
        <f>ROUND($O52*AC52,0)</f>
        <v/>
      </c>
      <c r="AU52" s="302">
        <f>ROUND($O52*AD52,0)</f>
        <v/>
      </c>
      <c r="AV52" s="302">
        <f>ROUND($O52*AE52,0)</f>
        <v/>
      </c>
      <c r="AW52" s="302">
        <f>ROUND($O52*AF52,0)</f>
        <v/>
      </c>
      <c r="AX52" s="236">
        <f>SUM(AG52:AO52)</f>
        <v/>
      </c>
      <c r="AY52" s="528">
        <f>AX52/160</f>
        <v/>
      </c>
      <c r="AZ52" s="87">
        <f>VLOOKUP(I52,Listy!$A$1:$H$9,6,FALSE)</f>
        <v/>
      </c>
      <c r="BA52" s="682">
        <f>AY52*AZ52</f>
        <v/>
      </c>
      <c r="BB52" s="528" t="n"/>
      <c r="BC52" s="528" t="n"/>
      <c r="BD52" s="528" t="n"/>
      <c r="BE52" s="528" t="n"/>
      <c r="BF52" s="528" t="n"/>
      <c r="BG52" s="528" t="n"/>
      <c r="BI52" s="528" t="n"/>
      <c r="BJ52" s="528" t="n"/>
      <c r="BL52" s="528" t="n"/>
      <c r="BM52" s="528" t="n"/>
      <c r="BO52" s="528" t="n"/>
      <c r="BP52" s="528" t="n"/>
      <c r="BS52" s="528" t="n"/>
      <c r="BT52" s="528" t="n"/>
      <c r="BU52" s="528" t="n"/>
      <c r="BW52" s="528" t="n"/>
      <c r="BX52" s="528" t="n"/>
      <c r="BY52" s="528" t="n"/>
      <c r="CA52" s="528" t="n"/>
      <c r="CB52" s="528" t="n"/>
      <c r="CC52" s="528" t="n"/>
    </row>
    <row r="53" ht="15.75" customHeight="1" s="191">
      <c r="A53" s="528" t="n">
        <v>4</v>
      </c>
      <c r="B53" s="528" t="inlineStr">
        <is>
          <t>c</t>
        </is>
      </c>
      <c r="C53" s="529" t="n">
        <v>0</v>
      </c>
      <c r="D53" s="160">
        <f>CONCATENATE(A$3,"_",A53,"_",B53,"_",C53)</f>
        <v/>
      </c>
      <c r="E53" s="221" t="inlineStr">
        <is>
          <t>Badania nad detekcją nieprawidłowości i anomalii, które mogłyby sygnalizować problemy w rzeczywistym systemie</t>
        </is>
      </c>
      <c r="F53" s="148" t="n"/>
      <c r="G53" s="148" t="n"/>
      <c r="H53" s="552" t="n"/>
      <c r="I53" s="148" t="n"/>
      <c r="J53" s="91">
        <f>M52+1</f>
        <v/>
      </c>
      <c r="K53" s="681">
        <f>VLOOKUP(J53,Kalendarz!B:E,4,FALSE)</f>
        <v/>
      </c>
      <c r="L53" s="681">
        <f>K53+N53</f>
        <v/>
      </c>
      <c r="M53" s="528">
        <f>J53+N53-1</f>
        <v/>
      </c>
      <c r="N53" s="474">
        <f>ROUND(MAX(AG53:AO53)/Listy!$U$2,0)</f>
        <v/>
      </c>
      <c r="O53" s="148" t="n"/>
      <c r="P53" s="148" t="n"/>
      <c r="Q53" s="148" t="n"/>
      <c r="R53" s="148" t="n"/>
      <c r="S53" s="148" t="n"/>
      <c r="T53" s="148" t="n"/>
      <c r="U53" s="148" t="n"/>
      <c r="V53" s="190" t="n"/>
      <c r="W53" s="148" t="n"/>
      <c r="X53" s="148" t="n"/>
      <c r="Y53" s="148" t="n"/>
      <c r="Z53" s="148" t="n"/>
      <c r="AA53" s="148" t="n"/>
      <c r="AB53" s="148" t="n"/>
      <c r="AC53" s="148" t="n"/>
      <c r="AD53" s="148" t="n"/>
      <c r="AE53" s="148" t="n"/>
      <c r="AF53" s="148" t="n"/>
      <c r="AG53" s="148" t="n"/>
      <c r="AH53" s="148" t="n"/>
      <c r="AI53" s="148" t="n"/>
      <c r="AJ53" s="148" t="n"/>
      <c r="AK53" s="148" t="n"/>
      <c r="AL53" s="148" t="n"/>
      <c r="AM53" s="190" t="n"/>
      <c r="AN53" s="148" t="n"/>
      <c r="AO53" s="148" t="n"/>
      <c r="AP53" s="148" t="n"/>
      <c r="AQ53" s="148" t="n"/>
      <c r="AR53" s="148" t="n"/>
      <c r="AS53" s="148" t="n"/>
      <c r="AT53" s="148" t="n"/>
      <c r="AU53" s="148" t="n"/>
      <c r="AV53" s="148" t="n"/>
      <c r="AW53" s="148" t="n"/>
      <c r="AX53" s="148" t="n"/>
      <c r="AY53" s="148" t="n"/>
      <c r="AZ53" s="148" t="n"/>
      <c r="BA53" s="148" t="n"/>
      <c r="BB53" s="148" t="n"/>
      <c r="BC53" s="148" t="n"/>
      <c r="BD53" s="148" t="n"/>
      <c r="BE53" s="148" t="n"/>
      <c r="BF53" s="148" t="n"/>
      <c r="BG53" s="148" t="n"/>
      <c r="BH53" s="148" t="n"/>
      <c r="BI53" s="148" t="n"/>
      <c r="BJ53" s="148" t="n"/>
      <c r="BK53" s="148" t="n"/>
      <c r="BL53" s="148" t="n"/>
      <c r="BM53" s="148" t="n"/>
      <c r="BN53" s="148" t="n"/>
      <c r="BO53" s="148" t="n"/>
      <c r="BP53" s="148" t="n"/>
      <c r="BQ53" s="148" t="n"/>
      <c r="BR53" s="148" t="n"/>
      <c r="BS53" s="148" t="n"/>
      <c r="BT53" s="148" t="n"/>
      <c r="BU53" s="148" t="n"/>
      <c r="BV53" s="148" t="n"/>
      <c r="BW53" s="148" t="n"/>
      <c r="BX53" s="148" t="n"/>
      <c r="BY53" s="148" t="n"/>
      <c r="BZ53" s="148" t="n"/>
      <c r="CA53" s="148" t="n"/>
      <c r="CB53" s="148" t="n"/>
      <c r="CC53" s="148" t="n"/>
      <c r="CD53" s="148" t="n"/>
      <c r="CE53" s="148" t="n"/>
      <c r="CF53" s="148" t="n"/>
    </row>
    <row r="54" ht="15.75" customHeight="1" s="191">
      <c r="A54" s="57" t="n">
        <v>4</v>
      </c>
      <c r="B54" s="57" t="inlineStr">
        <is>
          <t>c</t>
        </is>
      </c>
      <c r="C54" s="529" t="n">
        <v>1</v>
      </c>
      <c r="D54" s="160">
        <f>CONCATENATE(A$3,"_",A54,"_",B54,"_",C54)</f>
        <v/>
      </c>
      <c r="E54" s="222" t="inlineStr">
        <is>
          <t>Opracowanie wymagań dotyczacych monitoringu i wykrywania anomalii</t>
        </is>
      </c>
      <c r="F54" s="231" t="n"/>
      <c r="G54" s="231" t="inlineStr">
        <is>
          <t>Specjalista</t>
        </is>
      </c>
      <c r="H54" s="528" t="n">
        <v>25</v>
      </c>
      <c r="I54" s="231" t="inlineStr">
        <is>
          <t>ACT</t>
        </is>
      </c>
      <c r="J54" s="91">
        <f>M53+1</f>
        <v/>
      </c>
      <c r="K54" s="681">
        <f>VLOOKUP(J54,Kalendarz!B:E,4,FALSE)</f>
        <v/>
      </c>
      <c r="L54" s="681">
        <f>K54+N54</f>
        <v/>
      </c>
      <c r="M54" s="528">
        <f>J54+N54-1</f>
        <v/>
      </c>
      <c r="N54" s="474" t="n">
        <v>1</v>
      </c>
      <c r="O54" s="295" t="n">
        <v>80</v>
      </c>
      <c r="P54" s="242" t="n"/>
      <c r="Q54" s="242" t="n"/>
      <c r="R54" s="242" t="n"/>
      <c r="S54" s="242" t="n"/>
      <c r="T54" s="242" t="n">
        <v>0.2</v>
      </c>
      <c r="U54" s="242" t="n">
        <v>0.2</v>
      </c>
      <c r="V54" s="242" t="n">
        <v>0.2</v>
      </c>
      <c r="W54" s="242" t="n">
        <v>0.2</v>
      </c>
      <c r="X54" s="242" t="n">
        <v>0.2</v>
      </c>
      <c r="Y54" s="243" t="n">
        <v>0</v>
      </c>
      <c r="Z54" s="243" t="n">
        <v>0</v>
      </c>
      <c r="AA54" s="243" t="n">
        <v>0</v>
      </c>
      <c r="AB54" s="243" t="n"/>
      <c r="AC54" s="300" t="n">
        <v>0</v>
      </c>
      <c r="AD54" s="300" t="n">
        <v>0</v>
      </c>
      <c r="AE54" s="300" t="n">
        <v>0</v>
      </c>
      <c r="AF54" s="300" t="n">
        <v>0</v>
      </c>
      <c r="AG54" s="297">
        <f>ROUND($O54*P54,0)</f>
        <v/>
      </c>
      <c r="AH54" s="297">
        <f>ROUND($O54*Q54,0)</f>
        <v/>
      </c>
      <c r="AI54" s="297">
        <f>ROUND($O54*R54,0)</f>
        <v/>
      </c>
      <c r="AJ54" s="297">
        <f>ROUND($O54*S54,0)</f>
        <v/>
      </c>
      <c r="AK54" s="297">
        <f>ROUND($O54*T54,0)</f>
        <v/>
      </c>
      <c r="AL54" s="297">
        <f>ROUND($O54*U54,0)</f>
        <v/>
      </c>
      <c r="AM54" s="297">
        <f>ROUND($O54*V54,0)</f>
        <v/>
      </c>
      <c r="AN54" s="297">
        <f>ROUND($O54*W54,0)</f>
        <v/>
      </c>
      <c r="AO54" s="297">
        <f>ROUND($O54*X54,0)</f>
        <v/>
      </c>
      <c r="AP54" s="298">
        <f>ROUND($O54*Y54,0)</f>
        <v/>
      </c>
      <c r="AQ54" s="298">
        <f>ROUND($O54*Z54,0)</f>
        <v/>
      </c>
      <c r="AR54" s="298">
        <f>ROUND($O54*AA54,0)</f>
        <v/>
      </c>
      <c r="AS54" s="299" t="n"/>
      <c r="AT54" s="302">
        <f>ROUND($O54*AC54,0)</f>
        <v/>
      </c>
      <c r="AU54" s="302">
        <f>ROUND($O54*AD54,0)</f>
        <v/>
      </c>
      <c r="AV54" s="302">
        <f>ROUND($O54*AE54,0)</f>
        <v/>
      </c>
      <c r="AW54" s="302">
        <f>ROUND($O54*AF54,0)</f>
        <v/>
      </c>
      <c r="AX54" s="236">
        <f>SUM(AG54:AO54)</f>
        <v/>
      </c>
      <c r="AY54" s="528">
        <f>AX54/160</f>
        <v/>
      </c>
      <c r="AZ54" s="87">
        <f>VLOOKUP(I54,Listy!$A$1:$H$9,6,FALSE)</f>
        <v/>
      </c>
      <c r="BA54" s="682">
        <f>AY54*AZ54</f>
        <v/>
      </c>
      <c r="BB54" s="528" t="n"/>
      <c r="BC54" s="528" t="n"/>
      <c r="BD54" s="528" t="n"/>
      <c r="BE54" s="528" t="n"/>
      <c r="BF54" s="528" t="n"/>
      <c r="BG54" s="528" t="n"/>
      <c r="BI54" s="528" t="n"/>
      <c r="BJ54" s="528" t="n"/>
      <c r="BL54" s="528" t="n"/>
      <c r="BM54" s="528" t="n"/>
      <c r="BO54" s="528" t="n"/>
      <c r="BP54" s="528" t="n"/>
      <c r="BS54" s="528" t="n"/>
      <c r="BT54" s="528" t="n"/>
      <c r="BU54" s="528" t="n"/>
      <c r="BW54" s="528" t="n"/>
      <c r="BX54" s="528" t="n"/>
      <c r="BY54" s="528" t="n"/>
      <c r="CA54" s="528" t="n"/>
      <c r="CB54" s="528" t="n"/>
      <c r="CC54" s="528" t="n"/>
    </row>
    <row r="55" ht="15.75" customHeight="1" s="191">
      <c r="A55" s="57" t="n">
        <v>4</v>
      </c>
      <c r="B55" s="57" t="inlineStr">
        <is>
          <t>c</t>
        </is>
      </c>
      <c r="C55" s="529" t="n">
        <v>2</v>
      </c>
      <c r="D55" s="160">
        <f>CONCATENATE(A$3,"_",A55,"_",B55,"_",C55)</f>
        <v/>
      </c>
      <c r="E55" s="222" t="inlineStr">
        <is>
          <t>Implementacja monitoringu infrastruktury IT</t>
        </is>
      </c>
      <c r="F55" s="231" t="n"/>
      <c r="G55" s="231" t="inlineStr">
        <is>
          <t>Developer/ Devops</t>
        </is>
      </c>
      <c r="H55" s="528" t="n">
        <v>26</v>
      </c>
      <c r="I55" s="231" t="inlineStr">
        <is>
          <t>END</t>
        </is>
      </c>
      <c r="J55" s="91">
        <f>M54+1</f>
        <v/>
      </c>
      <c r="K55" s="681">
        <f>VLOOKUP(J55,Kalendarz!B:E,4,FALSE)</f>
        <v/>
      </c>
      <c r="L55" s="681">
        <f>K55+N55</f>
        <v/>
      </c>
      <c r="M55" s="528">
        <f>J55+N55-1</f>
        <v/>
      </c>
      <c r="N55" s="474" t="n">
        <v>1</v>
      </c>
      <c r="O55" s="295" t="n">
        <v>80</v>
      </c>
      <c r="P55" s="242" t="n"/>
      <c r="Q55" s="242" t="n"/>
      <c r="R55" s="242" t="n"/>
      <c r="S55" s="242" t="n"/>
      <c r="T55" s="242" t="n">
        <v>0.13</v>
      </c>
      <c r="U55" s="242" t="n">
        <v>0.12</v>
      </c>
      <c r="V55" s="242" t="n">
        <v>0.13</v>
      </c>
      <c r="W55" s="242" t="n">
        <v>0.12</v>
      </c>
      <c r="X55" s="242" t="n">
        <v>0</v>
      </c>
      <c r="Y55" s="243" t="n">
        <v>0.5</v>
      </c>
      <c r="Z55" s="243" t="n">
        <v>0</v>
      </c>
      <c r="AA55" s="243" t="n">
        <v>0</v>
      </c>
      <c r="AB55" s="243" t="n"/>
      <c r="AC55" s="300" t="n">
        <v>0</v>
      </c>
      <c r="AD55" s="300" t="n">
        <v>0</v>
      </c>
      <c r="AE55" s="300" t="n">
        <v>0</v>
      </c>
      <c r="AF55" s="300" t="n">
        <v>0</v>
      </c>
      <c r="AG55" s="297">
        <f>ROUND($O55*P55,0)</f>
        <v/>
      </c>
      <c r="AH55" s="297">
        <f>ROUND($O55*Q55,0)</f>
        <v/>
      </c>
      <c r="AI55" s="297">
        <f>ROUND($O55*R55,0)</f>
        <v/>
      </c>
      <c r="AJ55" s="297">
        <f>ROUND($O55*S55,0)</f>
        <v/>
      </c>
      <c r="AK55" s="297">
        <f>ROUND($O55*T55,0)</f>
        <v/>
      </c>
      <c r="AL55" s="297">
        <f>ROUND($O55*U55,0)</f>
        <v/>
      </c>
      <c r="AM55" s="297">
        <f>ROUND($O55*V55,0)</f>
        <v/>
      </c>
      <c r="AN55" s="297">
        <f>ROUND($O55*W55,0)</f>
        <v/>
      </c>
      <c r="AO55" s="297">
        <f>ROUND($O55*X55,0)</f>
        <v/>
      </c>
      <c r="AP55" s="298">
        <f>ROUND($O55*Y55,0)</f>
        <v/>
      </c>
      <c r="AQ55" s="298">
        <f>ROUND($O55*Z55,0)</f>
        <v/>
      </c>
      <c r="AR55" s="298">
        <f>ROUND($O55*AA55,0)</f>
        <v/>
      </c>
      <c r="AS55" s="299" t="n"/>
      <c r="AT55" s="302">
        <f>ROUND($O55*AC55,0)</f>
        <v/>
      </c>
      <c r="AU55" s="302">
        <f>ROUND($O55*AD55,0)</f>
        <v/>
      </c>
      <c r="AV55" s="302">
        <f>ROUND($O55*AE55,0)</f>
        <v/>
      </c>
      <c r="AW55" s="302">
        <f>ROUND($O55*AF55,0)</f>
        <v/>
      </c>
      <c r="AX55" s="236">
        <f>SUM(AG55:AO55)</f>
        <v/>
      </c>
      <c r="AY55" s="528">
        <f>AX55/160</f>
        <v/>
      </c>
      <c r="AZ55" s="87">
        <f>VLOOKUP(I55,Listy!$A$1:$H$9,6,FALSE)</f>
        <v/>
      </c>
      <c r="BA55" s="682">
        <f>AY55*AZ55</f>
        <v/>
      </c>
      <c r="BB55" s="528" t="n"/>
      <c r="BC55" s="528" t="n"/>
      <c r="BD55" s="528" t="n"/>
      <c r="BE55" s="528" t="n"/>
      <c r="BF55" s="528" t="n"/>
      <c r="BG55" s="528" t="n"/>
      <c r="BI55" s="528" t="n"/>
      <c r="BJ55" s="528" t="n"/>
      <c r="BL55" s="528" t="n"/>
      <c r="BM55" s="528" t="n"/>
      <c r="BO55" s="528" t="n"/>
      <c r="BP55" s="528" t="n"/>
      <c r="BS55" s="528" t="n"/>
      <c r="BT55" s="528" t="n"/>
      <c r="BU55" s="528" t="n"/>
      <c r="BW55" s="528" t="n"/>
      <c r="BX55" s="528" t="n"/>
      <c r="BY55" s="528" t="n"/>
      <c r="CA55" s="528" t="n"/>
      <c r="CB55" s="528" t="n"/>
      <c r="CC55" s="528" t="n"/>
    </row>
    <row r="56" ht="15.75" customHeight="1" s="191">
      <c r="A56" s="57" t="n">
        <v>4</v>
      </c>
      <c r="B56" s="57" t="inlineStr">
        <is>
          <t>c</t>
        </is>
      </c>
      <c r="C56" s="529" t="n">
        <v>3</v>
      </c>
      <c r="D56" s="160">
        <f>CONCATENATE(A$3,"_",A56,"_",B56,"_",C56)</f>
        <v/>
      </c>
      <c r="E56" s="222" t="inlineStr">
        <is>
          <t>Implementacja monitoringu  parametrow pracy systemu</t>
        </is>
      </c>
      <c r="F56" s="231" t="n"/>
      <c r="G56" s="231" t="inlineStr">
        <is>
          <t>Developer/ Devops</t>
        </is>
      </c>
      <c r="H56" s="528" t="n">
        <v>26</v>
      </c>
      <c r="I56" s="231" t="inlineStr">
        <is>
          <t>END</t>
        </is>
      </c>
      <c r="J56" s="91">
        <f>M55+1</f>
        <v/>
      </c>
      <c r="K56" s="681">
        <f>VLOOKUP(J56,Kalendarz!B:E,4,FALSE)</f>
        <v/>
      </c>
      <c r="L56" s="681">
        <f>K56+N56</f>
        <v/>
      </c>
      <c r="M56" s="528">
        <f>J56+N56-1</f>
        <v/>
      </c>
      <c r="N56" s="476" t="n">
        <v>0</v>
      </c>
      <c r="O56" s="295" t="n">
        <v>80</v>
      </c>
      <c r="P56" s="242" t="n"/>
      <c r="Q56" s="242" t="n"/>
      <c r="R56" s="242" t="n"/>
      <c r="S56" s="242" t="n"/>
      <c r="T56" s="242" t="n">
        <v>0.13</v>
      </c>
      <c r="U56" s="242" t="n">
        <v>0.12</v>
      </c>
      <c r="V56" s="242" t="n">
        <v>0.13</v>
      </c>
      <c r="W56" s="242" t="n">
        <v>0.12</v>
      </c>
      <c r="X56" s="242" t="n">
        <v>0</v>
      </c>
      <c r="Y56" s="243" t="n">
        <v>0.5</v>
      </c>
      <c r="Z56" s="243" t="n">
        <v>0</v>
      </c>
      <c r="AA56" s="243" t="n">
        <v>0</v>
      </c>
      <c r="AB56" s="243" t="n"/>
      <c r="AC56" s="300" t="n">
        <v>0</v>
      </c>
      <c r="AD56" s="300" t="n">
        <v>0</v>
      </c>
      <c r="AE56" s="300" t="n">
        <v>0</v>
      </c>
      <c r="AF56" s="300" t="n">
        <v>0</v>
      </c>
      <c r="AG56" s="297">
        <f>ROUND($O56*P56,0)</f>
        <v/>
      </c>
      <c r="AH56" s="297">
        <f>ROUND($O56*Q56,0)</f>
        <v/>
      </c>
      <c r="AI56" s="297">
        <f>ROUND($O56*R56,0)</f>
        <v/>
      </c>
      <c r="AJ56" s="297">
        <f>ROUND($O56*S56,0)</f>
        <v/>
      </c>
      <c r="AK56" s="297">
        <f>ROUND($O56*T56,0)</f>
        <v/>
      </c>
      <c r="AL56" s="297">
        <f>ROUND($O56*U56,0)</f>
        <v/>
      </c>
      <c r="AM56" s="297">
        <f>ROUND($O56*V56,0)</f>
        <v/>
      </c>
      <c r="AN56" s="297">
        <f>ROUND($O56*W56,0)</f>
        <v/>
      </c>
      <c r="AO56" s="297">
        <f>ROUND($O56*X56,0)</f>
        <v/>
      </c>
      <c r="AP56" s="298">
        <f>ROUND($O56*Y56,0)</f>
        <v/>
      </c>
      <c r="AQ56" s="298">
        <f>ROUND($O56*Z56,0)</f>
        <v/>
      </c>
      <c r="AR56" s="298">
        <f>ROUND($O56*AA56,0)</f>
        <v/>
      </c>
      <c r="AS56" s="299" t="n"/>
      <c r="AT56" s="302">
        <f>ROUND($O56*AC56,0)</f>
        <v/>
      </c>
      <c r="AU56" s="302">
        <f>ROUND($O56*AD56,0)</f>
        <v/>
      </c>
      <c r="AV56" s="302">
        <f>ROUND($O56*AE56,0)</f>
        <v/>
      </c>
      <c r="AW56" s="302">
        <f>ROUND($O56*AF56,0)</f>
        <v/>
      </c>
      <c r="AX56" s="236">
        <f>SUM(AG56:AO56)</f>
        <v/>
      </c>
      <c r="AY56" s="528">
        <f>AX56/160</f>
        <v/>
      </c>
      <c r="AZ56" s="87">
        <f>VLOOKUP(I56,Listy!$A$1:$H$9,6,FALSE)</f>
        <v/>
      </c>
      <c r="BA56" s="682">
        <f>AY56*AZ56</f>
        <v/>
      </c>
      <c r="BB56" s="528" t="n"/>
      <c r="BC56" s="528" t="n"/>
      <c r="BD56" s="528" t="n"/>
      <c r="BE56" s="528" t="n"/>
      <c r="BF56" s="528" t="n"/>
      <c r="BG56" s="528" t="n"/>
      <c r="BI56" s="528" t="n"/>
      <c r="BJ56" s="528" t="n"/>
      <c r="BL56" s="528" t="n"/>
      <c r="BM56" s="528" t="n"/>
      <c r="BO56" s="528" t="n"/>
      <c r="BP56" s="528" t="n"/>
      <c r="BS56" s="528" t="n"/>
      <c r="BT56" s="528" t="n"/>
      <c r="BU56" s="528" t="n"/>
      <c r="BW56" s="528" t="n"/>
      <c r="BX56" s="528" t="n"/>
      <c r="BY56" s="528" t="n"/>
      <c r="CA56" s="528" t="n"/>
      <c r="CB56" s="528" t="n"/>
      <c r="CC56" s="528" t="n"/>
    </row>
    <row r="57" ht="15.75" customHeight="1" s="191">
      <c r="A57" s="57" t="n">
        <v>4</v>
      </c>
      <c r="B57" s="57" t="inlineStr">
        <is>
          <t>c</t>
        </is>
      </c>
      <c r="C57" s="529" t="n">
        <v>4</v>
      </c>
      <c r="D57" s="160">
        <f>CONCATENATE(A$3,"_",A57,"_",B57,"_",C57)</f>
        <v/>
      </c>
      <c r="E57" s="222" t="inlineStr">
        <is>
          <t>Implementacja  mechanizmu notyfikacji o anomaliach</t>
        </is>
      </c>
      <c r="F57" s="231" t="n"/>
      <c r="G57" s="231" t="inlineStr">
        <is>
          <t>Developer/ Devops</t>
        </is>
      </c>
      <c r="H57" s="528" t="n">
        <v>26</v>
      </c>
      <c r="I57" s="231" t="inlineStr">
        <is>
          <t>END</t>
        </is>
      </c>
      <c r="J57" s="91">
        <f>M56+1</f>
        <v/>
      </c>
      <c r="K57" s="681">
        <f>VLOOKUP(J57,Kalendarz!B:E,4,FALSE)</f>
        <v/>
      </c>
      <c r="L57" s="681">
        <f>K57+N57</f>
        <v/>
      </c>
      <c r="M57" s="528">
        <f>J57+N57-1</f>
        <v/>
      </c>
      <c r="N57" s="476" t="n">
        <v>0</v>
      </c>
      <c r="O57" s="295" t="n">
        <v>80</v>
      </c>
      <c r="P57" s="242" t="n"/>
      <c r="Q57" s="242" t="n"/>
      <c r="R57" s="242" t="n"/>
      <c r="S57" s="242" t="n"/>
      <c r="T57" s="242" t="n">
        <v>0.13</v>
      </c>
      <c r="U57" s="242" t="n">
        <v>0.12</v>
      </c>
      <c r="V57" s="242" t="n">
        <v>0.13</v>
      </c>
      <c r="W57" s="242" t="n">
        <v>0.12</v>
      </c>
      <c r="X57" s="242" t="n">
        <v>0</v>
      </c>
      <c r="Y57" s="243" t="n">
        <v>0.5</v>
      </c>
      <c r="Z57" s="243" t="n">
        <v>0</v>
      </c>
      <c r="AA57" s="243" t="n">
        <v>0</v>
      </c>
      <c r="AB57" s="243" t="n"/>
      <c r="AC57" s="300" t="n">
        <v>0</v>
      </c>
      <c r="AD57" s="300" t="n">
        <v>0</v>
      </c>
      <c r="AE57" s="300" t="n">
        <v>0</v>
      </c>
      <c r="AF57" s="300" t="n">
        <v>0</v>
      </c>
      <c r="AG57" s="297">
        <f>ROUND($O57*P57,0)</f>
        <v/>
      </c>
      <c r="AH57" s="297">
        <f>ROUND($O57*Q57,0)</f>
        <v/>
      </c>
      <c r="AI57" s="297">
        <f>ROUND($O57*R57,0)</f>
        <v/>
      </c>
      <c r="AJ57" s="297">
        <f>ROUND($O57*S57,0)</f>
        <v/>
      </c>
      <c r="AK57" s="297">
        <f>ROUND($O57*T57,0)</f>
        <v/>
      </c>
      <c r="AL57" s="297">
        <f>ROUND($O57*U57,0)</f>
        <v/>
      </c>
      <c r="AM57" s="297">
        <f>ROUND($O57*V57,0)</f>
        <v/>
      </c>
      <c r="AN57" s="297">
        <f>ROUND($O57*W57,0)</f>
        <v/>
      </c>
      <c r="AO57" s="297">
        <f>ROUND($O57*X57,0)</f>
        <v/>
      </c>
      <c r="AP57" s="298">
        <f>ROUND($O57*Y57,0)</f>
        <v/>
      </c>
      <c r="AQ57" s="298">
        <f>ROUND($O57*Z57,0)</f>
        <v/>
      </c>
      <c r="AR57" s="298">
        <f>ROUND($O57*AA57,0)</f>
        <v/>
      </c>
      <c r="AS57" s="299" t="n"/>
      <c r="AT57" s="302">
        <f>ROUND($O57*AC57,0)</f>
        <v/>
      </c>
      <c r="AU57" s="302">
        <f>ROUND($O57*AD57,0)</f>
        <v/>
      </c>
      <c r="AV57" s="302">
        <f>ROUND($O57*AE57,0)</f>
        <v/>
      </c>
      <c r="AW57" s="302">
        <f>ROUND($O57*AF57,0)</f>
        <v/>
      </c>
      <c r="AX57" s="236">
        <f>SUM(AG57:AO57)</f>
        <v/>
      </c>
      <c r="AY57" s="528">
        <f>AX57/160</f>
        <v/>
      </c>
      <c r="AZ57" s="87">
        <f>VLOOKUP(I57,Listy!$A$1:$H$9,6,FALSE)</f>
        <v/>
      </c>
      <c r="BA57" s="682">
        <f>AY57*AZ57</f>
        <v/>
      </c>
      <c r="BB57" s="528" t="n"/>
      <c r="BC57" s="528" t="n"/>
      <c r="BD57" s="528" t="n"/>
      <c r="BE57" s="528" t="n"/>
      <c r="BF57" s="528" t="n"/>
      <c r="BG57" s="528" t="n"/>
      <c r="BI57" s="528" t="n"/>
      <c r="BJ57" s="528" t="n"/>
      <c r="BL57" s="528" t="n"/>
      <c r="BM57" s="528" t="n"/>
      <c r="BO57" s="528" t="n"/>
      <c r="BP57" s="528" t="n"/>
      <c r="BS57" s="528" t="n"/>
      <c r="BT57" s="528" t="n"/>
      <c r="BU57" s="528" t="n"/>
      <c r="BW57" s="528" t="n"/>
      <c r="BX57" s="528" t="n"/>
      <c r="BY57" s="528" t="n"/>
      <c r="CA57" s="528" t="n"/>
      <c r="CB57" s="528" t="n"/>
      <c r="CC57" s="528" t="n"/>
    </row>
    <row r="58" ht="15.75" customHeight="1" s="191">
      <c r="A58" s="528" t="n">
        <v>4</v>
      </c>
      <c r="B58" s="528" t="inlineStr">
        <is>
          <t>d</t>
        </is>
      </c>
      <c r="C58" s="529" t="n">
        <v>5</v>
      </c>
      <c r="D58" s="160">
        <f>CONCATENATE(A$3,"_",A58,"_",B58,"_",C58)</f>
        <v/>
      </c>
      <c r="E58" s="225" t="inlineStr">
        <is>
          <t>Opracowanie i optymalizacja mechanizmów/narzędzi do detekcji nieprawidłowości i anomalii</t>
        </is>
      </c>
      <c r="F58" s="148" t="n"/>
      <c r="G58" s="148" t="n"/>
      <c r="H58" s="46" t="n"/>
      <c r="I58" s="148" t="n"/>
      <c r="J58" s="91">
        <f>M57+1</f>
        <v/>
      </c>
      <c r="K58" s="681">
        <f>VLOOKUP(J58,Kalendarz!B:E,4,FALSE)</f>
        <v/>
      </c>
      <c r="L58" s="681">
        <f>K58+N58</f>
        <v/>
      </c>
      <c r="M58" s="528">
        <f>J58+N58-1</f>
        <v/>
      </c>
      <c r="N58" s="474">
        <f>ROUND(MAX(AG58:AO58)/Listy!$U$2,0)</f>
        <v/>
      </c>
      <c r="O58" s="148" t="n"/>
      <c r="P58" s="148" t="n"/>
      <c r="Q58" s="148" t="n"/>
      <c r="R58" s="148" t="n"/>
      <c r="S58" s="148" t="n"/>
      <c r="T58" s="148" t="n"/>
      <c r="U58" s="148" t="n"/>
      <c r="V58" s="190" t="n"/>
      <c r="W58" s="148" t="n"/>
      <c r="X58" s="148" t="n"/>
      <c r="Y58" s="148" t="n"/>
      <c r="Z58" s="148" t="n"/>
      <c r="AA58" s="148" t="n"/>
      <c r="AB58" s="148" t="n"/>
      <c r="AC58" s="148" t="n"/>
      <c r="AD58" s="148" t="n"/>
      <c r="AE58" s="148" t="n"/>
      <c r="AF58" s="148" t="n"/>
      <c r="AG58" s="148" t="n"/>
      <c r="AH58" s="148" t="n"/>
      <c r="AI58" s="148" t="n"/>
      <c r="AJ58" s="148" t="n"/>
      <c r="AK58" s="148" t="n"/>
      <c r="AL58" s="148" t="n"/>
      <c r="AM58" s="190" t="n"/>
      <c r="AN58" s="148" t="n"/>
      <c r="AO58" s="148" t="n"/>
      <c r="AP58" s="148" t="n"/>
      <c r="AQ58" s="148" t="n"/>
      <c r="AR58" s="148" t="n"/>
      <c r="AS58" s="148" t="n"/>
      <c r="AT58" s="148" t="n"/>
      <c r="AU58" s="148" t="n"/>
      <c r="AV58" s="148" t="n"/>
      <c r="AW58" s="148" t="n"/>
      <c r="AX58" s="148" t="n"/>
      <c r="AY58" s="148" t="n"/>
      <c r="AZ58" s="148" t="n"/>
      <c r="BA58" s="148" t="n"/>
      <c r="BB58" s="148" t="n"/>
      <c r="BC58" s="148" t="n"/>
      <c r="BD58" s="148" t="n"/>
      <c r="BE58" s="148" t="n"/>
      <c r="BF58" s="148" t="n"/>
      <c r="BG58" s="148" t="n"/>
      <c r="BH58" s="148" t="n"/>
      <c r="BI58" s="148" t="n"/>
      <c r="BJ58" s="148" t="n"/>
      <c r="BK58" s="148" t="n"/>
      <c r="BL58" s="148" t="n"/>
      <c r="BM58" s="148" t="n"/>
      <c r="BN58" s="148" t="n"/>
      <c r="BO58" s="148" t="n"/>
      <c r="BP58" s="148" t="n"/>
      <c r="BQ58" s="148" t="n"/>
      <c r="BR58" s="148" t="n"/>
      <c r="BS58" s="148" t="n"/>
      <c r="BT58" s="148" t="n"/>
      <c r="BU58" s="148" t="n"/>
      <c r="BV58" s="148" t="n"/>
      <c r="BW58" s="148" t="n"/>
      <c r="BX58" s="148" t="n"/>
      <c r="BY58" s="148" t="n"/>
      <c r="BZ58" s="148" t="n"/>
      <c r="CA58" s="148" t="n"/>
      <c r="CB58" s="148" t="n"/>
      <c r="CC58" s="148" t="n"/>
      <c r="CD58" s="148" t="n"/>
      <c r="CE58" s="148" t="n"/>
      <c r="CF58" s="148" t="n"/>
    </row>
    <row r="59" ht="15.75" customHeight="1" s="191">
      <c r="A59" s="604" t="n">
        <v>5</v>
      </c>
      <c r="B59" s="528" t="inlineStr">
        <is>
          <t>a</t>
        </is>
      </c>
      <c r="C59" s="529" t="n">
        <v>-1</v>
      </c>
      <c r="D59" s="160">
        <f>CONCATENATE(A$3,"_",A59,"_",B59,"_",C59)</f>
        <v/>
      </c>
      <c r="E59" s="607" t="inlineStr">
        <is>
          <t>5.Interoperacyjność i integracja systemów</t>
        </is>
      </c>
      <c r="F59" s="148" t="n"/>
      <c r="G59" s="148" t="n"/>
      <c r="H59" s="190" t="n"/>
      <c r="I59" s="148" t="n"/>
      <c r="J59" s="91">
        <f>M58+1</f>
        <v/>
      </c>
      <c r="K59" s="681">
        <f>VLOOKUP(J59,Kalendarz!B:E,4,FALSE)</f>
        <v/>
      </c>
      <c r="L59" s="681">
        <f>K59+N59</f>
        <v/>
      </c>
      <c r="M59" s="528">
        <f>J59+N59-1</f>
        <v/>
      </c>
      <c r="N59" s="474">
        <f>ROUND(MAX(AG59:AO59)/Listy!$U$2,0)</f>
        <v/>
      </c>
      <c r="O59" s="148" t="n"/>
      <c r="P59" s="148" t="n"/>
      <c r="Q59" s="148" t="n"/>
      <c r="R59" s="148" t="n"/>
      <c r="S59" s="148" t="n"/>
      <c r="T59" s="148" t="n"/>
      <c r="U59" s="148" t="n"/>
      <c r="V59" s="190" t="n"/>
      <c r="W59" s="148" t="n"/>
      <c r="X59" s="148" t="n"/>
      <c r="Y59" s="148" t="n"/>
      <c r="Z59" s="148" t="n"/>
      <c r="AA59" s="148" t="n"/>
      <c r="AB59" s="148" t="n"/>
      <c r="AC59" s="148" t="n"/>
      <c r="AD59" s="148" t="n"/>
      <c r="AE59" s="148" t="n"/>
      <c r="AF59" s="148" t="n"/>
      <c r="AG59" s="148" t="n"/>
      <c r="AH59" s="148" t="n"/>
      <c r="AI59" s="148" t="n"/>
      <c r="AJ59" s="148" t="n"/>
      <c r="AK59" s="148" t="n"/>
      <c r="AL59" s="148" t="n"/>
      <c r="AM59" s="190" t="n"/>
      <c r="AN59" s="148" t="n"/>
      <c r="AO59" s="148" t="n"/>
      <c r="AP59" s="148" t="n"/>
      <c r="AQ59" s="148" t="n"/>
      <c r="AR59" s="148" t="n"/>
      <c r="AS59" s="148" t="n"/>
      <c r="AT59" s="148" t="n"/>
      <c r="AU59" s="148" t="n"/>
      <c r="AV59" s="148" t="n"/>
      <c r="AW59" s="148" t="n"/>
      <c r="AX59" s="148" t="n"/>
      <c r="AY59" s="148" t="n"/>
      <c r="AZ59" s="148" t="n"/>
      <c r="BA59" s="148" t="n"/>
      <c r="BB59" s="148" t="n"/>
      <c r="BC59" s="148" t="n"/>
      <c r="BD59" s="148" t="n"/>
      <c r="BE59" s="148" t="n"/>
      <c r="BF59" s="148" t="n"/>
      <c r="BG59" s="148" t="n"/>
      <c r="BH59" s="148" t="n"/>
      <c r="BI59" s="148" t="n"/>
      <c r="BJ59" s="148" t="n"/>
      <c r="BK59" s="148" t="n"/>
      <c r="BL59" s="148" t="n"/>
      <c r="BM59" s="148" t="n"/>
      <c r="BN59" s="148" t="n"/>
      <c r="BO59" s="148" t="n"/>
      <c r="BP59" s="148" t="n"/>
      <c r="BQ59" s="148" t="n"/>
      <c r="BR59" s="148" t="n"/>
      <c r="BS59" s="148" t="n"/>
      <c r="BT59" s="148" t="n"/>
      <c r="BU59" s="148" t="n"/>
      <c r="BV59" s="148" t="n"/>
      <c r="BW59" s="148" t="n"/>
      <c r="BX59" s="148" t="n"/>
      <c r="BY59" s="148" t="n"/>
      <c r="BZ59" s="148" t="n"/>
      <c r="CA59" s="148" t="n"/>
      <c r="CB59" s="148" t="n"/>
      <c r="CC59" s="148" t="n"/>
      <c r="CD59" s="148" t="n"/>
      <c r="CE59" s="148" t="n"/>
      <c r="CF59" s="148" t="n"/>
    </row>
    <row r="60" ht="15.75" customHeight="1" s="191">
      <c r="A60" s="528" t="n">
        <v>5</v>
      </c>
      <c r="B60" s="528" t="inlineStr">
        <is>
          <t>a</t>
        </is>
      </c>
      <c r="C60" s="529" t="n">
        <v>0</v>
      </c>
      <c r="D60" s="160">
        <f>CONCATENATE(A$3,"_",A60,"_",B60,"_",C60)</f>
        <v/>
      </c>
      <c r="E60" s="221" t="inlineStr">
        <is>
          <t>Opracowanie mechanizmów/narzędzi do Integracja systemów WMS, ERP</t>
        </is>
      </c>
      <c r="F60" s="148" t="n"/>
      <c r="G60" s="148" t="n"/>
      <c r="H60" s="528" t="n"/>
      <c r="I60" s="148" t="n"/>
      <c r="J60" s="91">
        <f>M59+1</f>
        <v/>
      </c>
      <c r="K60" s="681">
        <f>VLOOKUP(J60,Kalendarz!B:E,4,FALSE)</f>
        <v/>
      </c>
      <c r="L60" s="681">
        <f>K60+N60</f>
        <v/>
      </c>
      <c r="M60" s="528">
        <f>J60+N60-1</f>
        <v/>
      </c>
      <c r="N60" s="474">
        <f>ROUND(MAX(AG60:AO60)/Listy!$U$2,0)</f>
        <v/>
      </c>
      <c r="O60" s="148" t="n"/>
      <c r="P60" s="148" t="n"/>
      <c r="Q60" s="148" t="n"/>
      <c r="R60" s="148" t="n"/>
      <c r="S60" s="148" t="n"/>
      <c r="T60" s="148" t="n"/>
      <c r="U60" s="148" t="n"/>
      <c r="V60" s="190" t="n"/>
      <c r="W60" s="148" t="n"/>
      <c r="X60" s="148" t="n"/>
      <c r="Y60" s="148" t="n"/>
      <c r="Z60" s="148" t="n"/>
      <c r="AA60" s="148" t="n"/>
      <c r="AB60" s="148" t="n"/>
      <c r="AC60" s="148" t="n"/>
      <c r="AD60" s="148" t="n"/>
      <c r="AE60" s="148" t="n"/>
      <c r="AF60" s="148" t="n"/>
      <c r="AG60" s="148" t="n"/>
      <c r="AH60" s="148" t="n"/>
      <c r="AI60" s="148" t="n"/>
      <c r="AJ60" s="148" t="n"/>
      <c r="AK60" s="148" t="n"/>
      <c r="AL60" s="148" t="n"/>
      <c r="AM60" s="190" t="n"/>
      <c r="AN60" s="148" t="n"/>
      <c r="AO60" s="148" t="n"/>
      <c r="AP60" s="148" t="n"/>
      <c r="AQ60" s="148" t="n"/>
      <c r="AR60" s="148" t="n"/>
      <c r="AS60" s="148" t="n"/>
      <c r="AT60" s="148" t="n"/>
      <c r="AU60" s="148" t="n"/>
      <c r="AV60" s="148" t="n"/>
      <c r="AW60" s="148" t="n"/>
      <c r="AX60" s="148" t="n"/>
      <c r="AY60" s="148" t="n"/>
      <c r="AZ60" s="148" t="n"/>
      <c r="BA60" s="148" t="n"/>
      <c r="BB60" s="148" t="n"/>
      <c r="BC60" s="148" t="n"/>
      <c r="BD60" s="148" t="n"/>
      <c r="BE60" s="148" t="n"/>
      <c r="BF60" s="148" t="n"/>
      <c r="BG60" s="148" t="n"/>
      <c r="BH60" s="148" t="n"/>
      <c r="BI60" s="148" t="n"/>
      <c r="BJ60" s="148" t="n"/>
      <c r="BK60" s="148" t="n"/>
      <c r="BL60" s="148" t="n"/>
      <c r="BM60" s="148" t="n"/>
      <c r="BN60" s="148" t="n"/>
      <c r="BO60" s="148" t="n"/>
      <c r="BP60" s="148" t="n"/>
      <c r="BQ60" s="148" t="n"/>
      <c r="BR60" s="148" t="n"/>
      <c r="BS60" s="148" t="n"/>
      <c r="BT60" s="148" t="n"/>
      <c r="BU60" s="148" t="n"/>
      <c r="BV60" s="148" t="n"/>
      <c r="BW60" s="148" t="n"/>
      <c r="BX60" s="148" t="n"/>
      <c r="BY60" s="148" t="n"/>
      <c r="BZ60" s="148" t="n"/>
      <c r="CA60" s="148" t="n"/>
      <c r="CB60" s="148" t="n"/>
      <c r="CC60" s="148" t="n"/>
      <c r="CD60" s="148" t="n"/>
      <c r="CE60" s="148" t="n"/>
      <c r="CF60" s="148" t="n"/>
    </row>
    <row r="61" ht="15.75" customHeight="1" s="191">
      <c r="A61" s="57" t="n">
        <v>5</v>
      </c>
      <c r="B61" s="57" t="inlineStr">
        <is>
          <t>a</t>
        </is>
      </c>
      <c r="C61" s="529" t="n">
        <v>1</v>
      </c>
      <c r="D61" s="160">
        <f>CONCATENATE(A$3,"_",A61,"_",B61,"_",C61)</f>
        <v/>
      </c>
      <c r="E61" s="222" t="inlineStr">
        <is>
          <t>Opracowanie wymagań interfejsów dla systemu WMS</t>
        </is>
      </c>
      <c r="F61" s="231" t="n"/>
      <c r="G61" s="231" t="inlineStr">
        <is>
          <t>Ekspert merytoryczny/ Architekt rozwiazania</t>
        </is>
      </c>
      <c r="H61" s="528" t="n">
        <v>27</v>
      </c>
      <c r="I61" s="231" t="inlineStr">
        <is>
          <t>ACT/END</t>
        </is>
      </c>
      <c r="J61" s="91">
        <f>M60+1</f>
        <v/>
      </c>
      <c r="K61" s="681">
        <f>VLOOKUP(J61,Kalendarz!B:E,4,FALSE)</f>
        <v/>
      </c>
      <c r="L61" s="681">
        <f>K61+N61</f>
        <v/>
      </c>
      <c r="M61" s="528">
        <f>J61+N61-1</f>
        <v/>
      </c>
      <c r="N61" s="474" t="n">
        <v>1</v>
      </c>
      <c r="O61" s="295" t="n">
        <v>160</v>
      </c>
      <c r="P61" s="242" t="n"/>
      <c r="Q61" s="242" t="n"/>
      <c r="R61" s="242" t="n"/>
      <c r="S61" s="242" t="n"/>
      <c r="T61" s="242" t="n">
        <v>0.19</v>
      </c>
      <c r="U61" s="242" t="n">
        <v>0.19</v>
      </c>
      <c r="V61" s="242" t="n">
        <v>0</v>
      </c>
      <c r="W61" s="242" t="n">
        <v>0.12</v>
      </c>
      <c r="X61" s="242" t="n">
        <v>0.13</v>
      </c>
      <c r="Y61" s="243" t="n">
        <v>0</v>
      </c>
      <c r="Z61" s="243" t="n">
        <v>0.125</v>
      </c>
      <c r="AA61" s="243" t="n">
        <v>0.25</v>
      </c>
      <c r="AB61" s="243" t="n"/>
      <c r="AC61" s="300" t="n">
        <v>0</v>
      </c>
      <c r="AD61" s="300" t="n">
        <v>0</v>
      </c>
      <c r="AE61" s="300" t="n">
        <v>0</v>
      </c>
      <c r="AF61" s="300" t="n">
        <v>0</v>
      </c>
      <c r="AG61" s="297">
        <f>ROUND($O61*P61,0)</f>
        <v/>
      </c>
      <c r="AH61" s="297">
        <f>ROUND($O61*Q61,0)</f>
        <v/>
      </c>
      <c r="AI61" s="297">
        <f>ROUND($O61*R61,0)</f>
        <v/>
      </c>
      <c r="AJ61" s="297">
        <f>ROUND($O61*S61,0)</f>
        <v/>
      </c>
      <c r="AK61" s="297">
        <f>ROUND($O61*T61,0)</f>
        <v/>
      </c>
      <c r="AL61" s="297">
        <f>ROUND($O61*U61,0)</f>
        <v/>
      </c>
      <c r="AM61" s="297">
        <f>ROUND($O61*V61,0)</f>
        <v/>
      </c>
      <c r="AN61" s="297">
        <f>ROUND($O61*W61,0)</f>
        <v/>
      </c>
      <c r="AO61" s="297">
        <f>ROUND($O61*X61,0)</f>
        <v/>
      </c>
      <c r="AP61" s="298">
        <f>ROUND($O61*Y61,0)</f>
        <v/>
      </c>
      <c r="AQ61" s="298">
        <f>ROUND($O61*Z61,0)</f>
        <v/>
      </c>
      <c r="AR61" s="298">
        <f>ROUND($O61*AA61,0)</f>
        <v/>
      </c>
      <c r="AS61" s="299" t="n"/>
      <c r="AT61" s="302">
        <f>ROUND($O61*AC61,0)</f>
        <v/>
      </c>
      <c r="AU61" s="302">
        <f>ROUND($O61*AD61,0)</f>
        <v/>
      </c>
      <c r="AV61" s="302">
        <f>ROUND($O61*AE61,0)</f>
        <v/>
      </c>
      <c r="AW61" s="302">
        <f>ROUND($O61*AF61,0)</f>
        <v/>
      </c>
      <c r="AX61" s="236">
        <f>SUM(AG61:AO61)</f>
        <v/>
      </c>
      <c r="AY61" s="528">
        <f>AX61/160</f>
        <v/>
      </c>
      <c r="AZ61" s="87">
        <f>VLOOKUP(I61,Listy!$A$1:$H$9,6,FALSE)</f>
        <v/>
      </c>
      <c r="BA61" s="682">
        <f>AY61*AZ61</f>
        <v/>
      </c>
      <c r="BB61" s="528" t="n"/>
      <c r="BC61" s="528" t="n"/>
      <c r="BD61" s="528" t="n"/>
      <c r="BE61" s="528" t="n"/>
      <c r="BF61" s="528" t="n"/>
      <c r="BG61" s="528" t="n"/>
      <c r="BI61" s="528" t="n"/>
      <c r="BJ61" s="528" t="n"/>
      <c r="BL61" s="528" t="n"/>
      <c r="BM61" s="528" t="n"/>
      <c r="BO61" s="528" t="n"/>
      <c r="BP61" s="528" t="n"/>
      <c r="BS61" s="528" t="n"/>
      <c r="BT61" s="528" t="n"/>
      <c r="BU61" s="528" t="n"/>
      <c r="BW61" s="528" t="n"/>
      <c r="BX61" s="528" t="n"/>
      <c r="BY61" s="528" t="n"/>
      <c r="CA61" s="528" t="n"/>
      <c r="CB61" s="528" t="n"/>
      <c r="CC61" s="528" t="n"/>
    </row>
    <row r="62" ht="15.75" customHeight="1" s="191">
      <c r="A62" s="57" t="n">
        <v>5</v>
      </c>
      <c r="B62" s="57" t="inlineStr">
        <is>
          <t>a</t>
        </is>
      </c>
      <c r="C62" s="529" t="n">
        <v>2</v>
      </c>
      <c r="D62" s="160">
        <f>CONCATENATE(A$3,"_",A62,"_",B62,"_",C62)</f>
        <v/>
      </c>
      <c r="E62" s="222" t="inlineStr">
        <is>
          <t>Opracowanie wymagań interfejsów dla systemu ERP</t>
        </is>
      </c>
      <c r="F62" s="231" t="n"/>
      <c r="G62" s="231" t="inlineStr">
        <is>
          <t>Ekspert merytoryczny/ Architekt rozwiazania</t>
        </is>
      </c>
      <c r="H62" s="528" t="n">
        <v>27</v>
      </c>
      <c r="I62" s="231" t="inlineStr">
        <is>
          <t>ACT/END</t>
        </is>
      </c>
      <c r="J62" s="91">
        <f>M61+1</f>
        <v/>
      </c>
      <c r="K62" s="681">
        <f>VLOOKUP(J62,Kalendarz!B:E,4,FALSE)</f>
        <v/>
      </c>
      <c r="L62" s="681">
        <f>K62+N62</f>
        <v/>
      </c>
      <c r="M62" s="528">
        <f>J62+N62-1</f>
        <v/>
      </c>
      <c r="N62" s="476" t="n">
        <v>0</v>
      </c>
      <c r="O62" s="295" t="n">
        <v>160</v>
      </c>
      <c r="P62" s="242" t="n"/>
      <c r="Q62" s="242" t="n"/>
      <c r="R62" s="242" t="n"/>
      <c r="S62" s="242" t="n"/>
      <c r="T62" s="242" t="n">
        <v>0</v>
      </c>
      <c r="U62" s="242" t="n">
        <v>0.12</v>
      </c>
      <c r="V62" s="242" t="n">
        <v>0.12</v>
      </c>
      <c r="W62" s="242" t="n">
        <v>0.19</v>
      </c>
      <c r="X62" s="242" t="n">
        <v>0.19</v>
      </c>
      <c r="Y62" s="243" t="n">
        <v>0.125</v>
      </c>
      <c r="Z62" s="243" t="n">
        <v>0</v>
      </c>
      <c r="AA62" s="243" t="n">
        <v>0.25</v>
      </c>
      <c r="AB62" s="243" t="n"/>
      <c r="AC62" s="300" t="n">
        <v>0</v>
      </c>
      <c r="AD62" s="300" t="n">
        <v>0</v>
      </c>
      <c r="AE62" s="300" t="n">
        <v>0</v>
      </c>
      <c r="AF62" s="300" t="n">
        <v>0</v>
      </c>
      <c r="AG62" s="297">
        <f>ROUND($O62*P62,0)</f>
        <v/>
      </c>
      <c r="AH62" s="297">
        <f>ROUND($O62*Q62,0)</f>
        <v/>
      </c>
      <c r="AI62" s="297">
        <f>ROUND($O62*R62,0)</f>
        <v/>
      </c>
      <c r="AJ62" s="297">
        <f>ROUND($O62*S62,0)</f>
        <v/>
      </c>
      <c r="AK62" s="297">
        <f>ROUND($O62*T62,0)</f>
        <v/>
      </c>
      <c r="AL62" s="297">
        <f>ROUND($O62*U62,0)</f>
        <v/>
      </c>
      <c r="AM62" s="297">
        <f>ROUND($O62*V62,0)</f>
        <v/>
      </c>
      <c r="AN62" s="297">
        <f>ROUND($O62*W62,0)</f>
        <v/>
      </c>
      <c r="AO62" s="297">
        <f>ROUND($O62*X62,0)</f>
        <v/>
      </c>
      <c r="AP62" s="298">
        <f>ROUND($O62*Y62,0)</f>
        <v/>
      </c>
      <c r="AQ62" s="298">
        <f>ROUND($O62*Z62,0)</f>
        <v/>
      </c>
      <c r="AR62" s="298">
        <f>ROUND($O62*AA62,0)</f>
        <v/>
      </c>
      <c r="AS62" s="299" t="n"/>
      <c r="AT62" s="302">
        <f>ROUND($O62*AC62,0)</f>
        <v/>
      </c>
      <c r="AU62" s="302">
        <f>ROUND($O62*AD62,0)</f>
        <v/>
      </c>
      <c r="AV62" s="302">
        <f>ROUND($O62*AE62,0)</f>
        <v/>
      </c>
      <c r="AW62" s="302">
        <f>ROUND($O62*AF62,0)</f>
        <v/>
      </c>
      <c r="AX62" s="236">
        <f>SUM(AG62:AO62)</f>
        <v/>
      </c>
      <c r="AY62" s="528">
        <f>AX62/160</f>
        <v/>
      </c>
      <c r="AZ62" s="87">
        <f>VLOOKUP(I62,Listy!$A$1:$H$9,6,FALSE)</f>
        <v/>
      </c>
      <c r="BA62" s="682">
        <f>AY62*AZ62</f>
        <v/>
      </c>
      <c r="BB62" s="528" t="n"/>
      <c r="BC62" s="528" t="n"/>
      <c r="BD62" s="528" t="n"/>
      <c r="BE62" s="528" t="n"/>
      <c r="BF62" s="528" t="n"/>
      <c r="BG62" s="528" t="n"/>
      <c r="BI62" s="528" t="n"/>
      <c r="BJ62" s="528" t="n"/>
      <c r="BL62" s="528" t="n"/>
      <c r="BM62" s="528" t="n"/>
      <c r="BO62" s="528" t="n"/>
      <c r="BP62" s="528" t="n"/>
      <c r="BS62" s="528" t="n"/>
      <c r="BT62" s="528" t="n"/>
      <c r="BU62" s="528" t="n"/>
      <c r="BW62" s="528" t="n"/>
      <c r="BX62" s="528" t="n"/>
      <c r="BY62" s="528" t="n"/>
      <c r="CA62" s="528" t="n"/>
      <c r="CB62" s="528" t="n"/>
      <c r="CC62" s="528" t="n"/>
    </row>
    <row r="63" ht="15.75" customHeight="1" s="191">
      <c r="A63" s="57" t="n">
        <v>5</v>
      </c>
      <c r="B63" s="57" t="inlineStr">
        <is>
          <t>a</t>
        </is>
      </c>
      <c r="C63" s="529" t="n">
        <v>3</v>
      </c>
      <c r="D63" s="160">
        <f>CONCATENATE(A$3,"_",A63,"_",B63,"_",C63)</f>
        <v/>
      </c>
      <c r="E63" s="222" t="inlineStr">
        <is>
          <t>Implementacja interfejsów dla systemu WMS</t>
        </is>
      </c>
      <c r="F63" s="231" t="n"/>
      <c r="G63" s="231" t="inlineStr">
        <is>
          <t>Developer</t>
        </is>
      </c>
      <c r="H63" s="528" t="n">
        <v>28</v>
      </c>
      <c r="I63" s="231" t="inlineStr">
        <is>
          <t>END</t>
        </is>
      </c>
      <c r="J63" s="91">
        <f>M62+1</f>
        <v/>
      </c>
      <c r="K63" s="681">
        <f>VLOOKUP(J63,Kalendarz!B:E,4,FALSE)</f>
        <v/>
      </c>
      <c r="L63" s="681">
        <f>K63+N63</f>
        <v/>
      </c>
      <c r="M63" s="528">
        <f>J63+N63-1</f>
        <v/>
      </c>
      <c r="N63" s="474" t="n">
        <v>1</v>
      </c>
      <c r="O63" s="295" t="n">
        <v>160</v>
      </c>
      <c r="P63" s="242" t="n"/>
      <c r="Q63" s="242" t="n"/>
      <c r="R63" s="242" t="n"/>
      <c r="S63" s="242" t="n"/>
      <c r="T63" s="242" t="n">
        <v>0</v>
      </c>
      <c r="U63" s="242" t="n">
        <v>0</v>
      </c>
      <c r="V63" s="242" t="n">
        <v>0.13</v>
      </c>
      <c r="W63" s="242" t="n">
        <v>0.12</v>
      </c>
      <c r="X63" s="242" t="n">
        <v>0</v>
      </c>
      <c r="Y63" s="243" t="n">
        <v>0.5</v>
      </c>
      <c r="Z63" s="243" t="n">
        <v>0.25</v>
      </c>
      <c r="AA63" s="243" t="n">
        <v>0</v>
      </c>
      <c r="AB63" s="243" t="n"/>
      <c r="AC63" s="300" t="n">
        <v>0</v>
      </c>
      <c r="AD63" s="300" t="n">
        <v>0</v>
      </c>
      <c r="AE63" s="300" t="n">
        <v>0</v>
      </c>
      <c r="AF63" s="300" t="n">
        <v>0</v>
      </c>
      <c r="AG63" s="297">
        <f>ROUND($O63*P63,0)</f>
        <v/>
      </c>
      <c r="AH63" s="297">
        <f>ROUND($O63*Q63,0)</f>
        <v/>
      </c>
      <c r="AI63" s="297">
        <f>ROUND($O63*R63,0)</f>
        <v/>
      </c>
      <c r="AJ63" s="297">
        <f>ROUND($O63*S63,0)</f>
        <v/>
      </c>
      <c r="AK63" s="297">
        <f>ROUND($O63*T63,0)</f>
        <v/>
      </c>
      <c r="AL63" s="297">
        <f>ROUND($O63*U63,0)</f>
        <v/>
      </c>
      <c r="AM63" s="297">
        <f>ROUND($O63*V63,0)</f>
        <v/>
      </c>
      <c r="AN63" s="297">
        <f>ROUND($O63*W63,0)</f>
        <v/>
      </c>
      <c r="AO63" s="297">
        <f>ROUND($O63*X63,0)</f>
        <v/>
      </c>
      <c r="AP63" s="298">
        <f>ROUND($O63*Y63,0)</f>
        <v/>
      </c>
      <c r="AQ63" s="298">
        <f>ROUND($O63*Z63,0)</f>
        <v/>
      </c>
      <c r="AR63" s="298">
        <f>ROUND($O63*AA63,0)</f>
        <v/>
      </c>
      <c r="AS63" s="299" t="n"/>
      <c r="AT63" s="302">
        <f>ROUND($O63*AC63,0)</f>
        <v/>
      </c>
      <c r="AU63" s="302">
        <f>ROUND($O63*AD63,0)</f>
        <v/>
      </c>
      <c r="AV63" s="302">
        <f>ROUND($O63*AE63,0)</f>
        <v/>
      </c>
      <c r="AW63" s="302">
        <f>ROUND($O63*AF63,0)</f>
        <v/>
      </c>
      <c r="AX63" s="236">
        <f>SUM(AG63:AO63)</f>
        <v/>
      </c>
      <c r="AY63" s="528">
        <f>AX63/160</f>
        <v/>
      </c>
      <c r="AZ63" s="87">
        <f>VLOOKUP(I63,Listy!$A$1:$H$9,6,FALSE)</f>
        <v/>
      </c>
      <c r="BA63" s="682">
        <f>AY63*AZ63</f>
        <v/>
      </c>
      <c r="BB63" s="528" t="n"/>
      <c r="BC63" s="528" t="n"/>
      <c r="BD63" s="528" t="n"/>
      <c r="BE63" s="528" t="n"/>
      <c r="BF63" s="528" t="n"/>
      <c r="BG63" s="528" t="n"/>
      <c r="BI63" s="528" t="n"/>
      <c r="BJ63" s="528" t="n"/>
      <c r="BL63" s="528" t="n"/>
      <c r="BM63" s="528" t="n"/>
      <c r="BO63" s="528" t="n"/>
      <c r="BP63" s="528" t="n"/>
      <c r="BS63" s="528" t="n"/>
      <c r="BT63" s="528" t="n"/>
      <c r="BU63" s="528" t="n"/>
      <c r="BW63" s="528" t="n"/>
      <c r="BX63" s="528" t="n"/>
      <c r="BY63" s="528" t="n"/>
      <c r="CA63" s="528" t="n"/>
      <c r="CB63" s="528" t="n"/>
      <c r="CC63" s="528" t="n"/>
    </row>
    <row r="64" ht="15.75" customHeight="1" s="191">
      <c r="A64" s="57" t="n">
        <v>5</v>
      </c>
      <c r="B64" s="57" t="inlineStr">
        <is>
          <t>a</t>
        </is>
      </c>
      <c r="C64" s="529" t="n">
        <v>4</v>
      </c>
      <c r="D64" s="160">
        <f>CONCATENATE(A$3,"_",A64,"_",B64,"_",C64)</f>
        <v/>
      </c>
      <c r="E64" s="222" t="inlineStr">
        <is>
          <t>Implementacja interfejsów dla systemu ERP</t>
        </is>
      </c>
      <c r="F64" s="231" t="n"/>
      <c r="G64" s="231" t="inlineStr">
        <is>
          <t>Developer</t>
        </is>
      </c>
      <c r="H64" s="528" t="n">
        <v>28</v>
      </c>
      <c r="I64" s="231" t="inlineStr">
        <is>
          <t>END</t>
        </is>
      </c>
      <c r="J64" s="91">
        <f>M63+1</f>
        <v/>
      </c>
      <c r="K64" s="681">
        <f>VLOOKUP(J64,Kalendarz!B:E,4,FALSE)</f>
        <v/>
      </c>
      <c r="L64" s="681">
        <f>K64+N64</f>
        <v/>
      </c>
      <c r="M64" s="528">
        <f>J64+N64-1</f>
        <v/>
      </c>
      <c r="N64" s="476" t="n">
        <v>0</v>
      </c>
      <c r="O64" s="295" t="n">
        <v>160</v>
      </c>
      <c r="P64" s="242" t="n"/>
      <c r="Q64" s="242" t="n"/>
      <c r="R64" s="242" t="n"/>
      <c r="S64" s="242" t="n"/>
      <c r="T64" s="242" t="n">
        <v>0.13</v>
      </c>
      <c r="U64" s="242" t="n">
        <v>0.12</v>
      </c>
      <c r="V64" s="242" t="n">
        <v>0</v>
      </c>
      <c r="W64" s="242" t="n">
        <v>0</v>
      </c>
      <c r="X64" s="242" t="n">
        <v>0</v>
      </c>
      <c r="Y64" s="243" t="n">
        <v>0.25</v>
      </c>
      <c r="Z64" s="243" t="n">
        <v>0.5</v>
      </c>
      <c r="AA64" s="243" t="n">
        <v>0</v>
      </c>
      <c r="AB64" s="243" t="n"/>
      <c r="AC64" s="300" t="n">
        <v>0</v>
      </c>
      <c r="AD64" s="300" t="n">
        <v>0</v>
      </c>
      <c r="AE64" s="300" t="n">
        <v>0</v>
      </c>
      <c r="AF64" s="300" t="n">
        <v>0</v>
      </c>
      <c r="AG64" s="297">
        <f>ROUND($O64*P64,0)</f>
        <v/>
      </c>
      <c r="AH64" s="297">
        <f>ROUND($O64*Q64,0)</f>
        <v/>
      </c>
      <c r="AI64" s="297">
        <f>ROUND($O64*R64,0)</f>
        <v/>
      </c>
      <c r="AJ64" s="297">
        <f>ROUND($O64*S64,0)</f>
        <v/>
      </c>
      <c r="AK64" s="297">
        <f>ROUND($O64*T64,0)</f>
        <v/>
      </c>
      <c r="AL64" s="297">
        <f>ROUND($O64*U64,0)</f>
        <v/>
      </c>
      <c r="AM64" s="297">
        <f>ROUND($O64*V64,0)</f>
        <v/>
      </c>
      <c r="AN64" s="297">
        <f>ROUND($O64*W64,0)</f>
        <v/>
      </c>
      <c r="AO64" s="297">
        <f>ROUND($O64*X64,0)</f>
        <v/>
      </c>
      <c r="AP64" s="298">
        <f>ROUND($O64*Y64,0)</f>
        <v/>
      </c>
      <c r="AQ64" s="298">
        <f>ROUND($O64*Z64,0)</f>
        <v/>
      </c>
      <c r="AR64" s="298">
        <f>ROUND($O64*AA64,0)</f>
        <v/>
      </c>
      <c r="AS64" s="299" t="n"/>
      <c r="AT64" s="302">
        <f>ROUND($O64*AC64,0)</f>
        <v/>
      </c>
      <c r="AU64" s="302">
        <f>ROUND($O64*AD64,0)</f>
        <v/>
      </c>
      <c r="AV64" s="302">
        <f>ROUND($O64*AE64,0)</f>
        <v/>
      </c>
      <c r="AW64" s="302">
        <f>ROUND($O64*AF64,0)</f>
        <v/>
      </c>
      <c r="AX64" s="236">
        <f>SUM(AG64:AO64)</f>
        <v/>
      </c>
      <c r="AY64" s="528">
        <f>AX64/160</f>
        <v/>
      </c>
      <c r="AZ64" s="87">
        <f>VLOOKUP(I64,Listy!$A$1:$H$9,6,FALSE)</f>
        <v/>
      </c>
      <c r="BA64" s="682">
        <f>AY64*AZ64</f>
        <v/>
      </c>
      <c r="BB64" s="528" t="n"/>
      <c r="BC64" s="528" t="n"/>
      <c r="BD64" s="528" t="n"/>
      <c r="BE64" s="528" t="n"/>
      <c r="BF64" s="528" t="n"/>
      <c r="BG64" s="528" t="n"/>
      <c r="BI64" s="528" t="n"/>
      <c r="BJ64" s="528" t="n"/>
      <c r="BL64" s="528" t="n"/>
      <c r="BM64" s="528" t="n"/>
      <c r="BO64" s="528" t="n"/>
      <c r="BP64" s="528" t="n"/>
      <c r="BS64" s="528" t="n"/>
      <c r="BT64" s="528" t="n"/>
      <c r="BU64" s="528" t="n"/>
      <c r="BW64" s="528" t="n"/>
      <c r="BX64" s="528" t="n"/>
      <c r="BY64" s="528" t="n"/>
      <c r="CA64" s="528" t="n"/>
      <c r="CB64" s="528" t="n"/>
      <c r="CC64" s="528" t="n"/>
    </row>
    <row r="65" ht="15.75" customHeight="1" s="191">
      <c r="A65" s="528" t="n">
        <v>5</v>
      </c>
      <c r="B65" s="528" t="inlineStr">
        <is>
          <t>b</t>
        </is>
      </c>
      <c r="C65" s="529" t="n">
        <v>1</v>
      </c>
      <c r="D65" s="160">
        <f>CONCATENATE(A$3,"_",A65,"_",B65,"_",C65)</f>
        <v/>
      </c>
      <c r="E65" s="221" t="inlineStr">
        <is>
          <t>Opracowanie standardów wymiany danych między różnymi systemami i platformami, tak aby cyfrowy bliźniak mógł działać w różnych środowiskach</t>
        </is>
      </c>
      <c r="F65" s="232" t="n"/>
      <c r="G65" s="231" t="inlineStr">
        <is>
          <t>Ekspert merytoryczny/ Architekt rozwiazania</t>
        </is>
      </c>
      <c r="H65" s="528" t="n">
        <v>29</v>
      </c>
      <c r="I65" s="231" t="inlineStr">
        <is>
          <t>ACT/END</t>
        </is>
      </c>
      <c r="J65" s="91">
        <f>M64+1</f>
        <v/>
      </c>
      <c r="K65" s="681">
        <f>VLOOKUP(J65,Kalendarz!B:E,4,FALSE)</f>
        <v/>
      </c>
      <c r="L65" s="681">
        <f>K65+N65</f>
        <v/>
      </c>
      <c r="M65" s="528">
        <f>J65+N65-1</f>
        <v/>
      </c>
      <c r="N65" s="474" t="n">
        <v>1</v>
      </c>
      <c r="O65" s="296" t="n">
        <v>160</v>
      </c>
      <c r="P65" s="242" t="n"/>
      <c r="Q65" s="242" t="n"/>
      <c r="R65" s="242" t="n"/>
      <c r="S65" s="242" t="n"/>
      <c r="T65" s="242" t="n">
        <v>0.2</v>
      </c>
      <c r="U65" s="242" t="n">
        <v>0.2</v>
      </c>
      <c r="V65" s="242" t="n">
        <v>0.2</v>
      </c>
      <c r="W65" s="242" t="n">
        <v>0.2</v>
      </c>
      <c r="X65" s="242" t="n">
        <v>0.2</v>
      </c>
      <c r="Y65" s="243" t="n">
        <v>0</v>
      </c>
      <c r="Z65" s="243" t="n">
        <v>0</v>
      </c>
      <c r="AA65" s="243" t="n">
        <v>0</v>
      </c>
      <c r="AB65" s="243" t="n"/>
      <c r="AC65" s="300" t="n">
        <v>0</v>
      </c>
      <c r="AD65" s="300" t="n">
        <v>0</v>
      </c>
      <c r="AE65" s="300" t="n">
        <v>0</v>
      </c>
      <c r="AF65" s="300" t="n">
        <v>0</v>
      </c>
      <c r="AG65" s="297">
        <f>ROUND($O65*P65,0)</f>
        <v/>
      </c>
      <c r="AH65" s="297">
        <f>ROUND($O65*Q65,0)</f>
        <v/>
      </c>
      <c r="AI65" s="297">
        <f>ROUND($O65*R65,0)</f>
        <v/>
      </c>
      <c r="AJ65" s="297">
        <f>ROUND($O65*S65,0)</f>
        <v/>
      </c>
      <c r="AK65" s="297">
        <f>ROUND($O65*T65,0)</f>
        <v/>
      </c>
      <c r="AL65" s="297">
        <f>ROUND($O65*U65,0)</f>
        <v/>
      </c>
      <c r="AM65" s="297">
        <f>ROUND($O65*V65,0)</f>
        <v/>
      </c>
      <c r="AN65" s="297">
        <f>ROUND($O65*W65,0)</f>
        <v/>
      </c>
      <c r="AO65" s="297">
        <f>ROUND($O65*X65,0)</f>
        <v/>
      </c>
      <c r="AP65" s="298">
        <f>ROUND($O65*Y65,0)</f>
        <v/>
      </c>
      <c r="AQ65" s="298">
        <f>ROUND($O65*Z65,0)</f>
        <v/>
      </c>
      <c r="AR65" s="298">
        <f>ROUND($O65*AA65,0)</f>
        <v/>
      </c>
      <c r="AS65" s="299" t="n"/>
      <c r="AT65" s="302">
        <f>ROUND($O65*AC65,0)</f>
        <v/>
      </c>
      <c r="AU65" s="302">
        <f>ROUND($O65*AD65,0)</f>
        <v/>
      </c>
      <c r="AV65" s="302">
        <f>ROUND($O65*AE65,0)</f>
        <v/>
      </c>
      <c r="AW65" s="302">
        <f>ROUND($O65*AF65,0)</f>
        <v/>
      </c>
      <c r="AX65" s="236">
        <f>SUM(AG65:AO65)</f>
        <v/>
      </c>
      <c r="AY65" s="528">
        <f>AX65/160</f>
        <v/>
      </c>
      <c r="AZ65" s="87">
        <f>VLOOKUP(I65,Listy!$A$1:$H$9,6,FALSE)</f>
        <v/>
      </c>
      <c r="BA65" s="682">
        <f>AY65*AZ65</f>
        <v/>
      </c>
      <c r="BB65" s="528" t="n"/>
      <c r="BC65" s="528" t="n"/>
      <c r="BD65" s="528" t="n"/>
      <c r="BE65" s="528" t="n"/>
      <c r="BF65" s="528" t="n"/>
      <c r="BG65" s="528" t="n"/>
      <c r="BH65" s="314">
        <f>BF65*BG65</f>
        <v/>
      </c>
      <c r="BI65" s="528" t="n"/>
      <c r="BJ65" s="51" t="n"/>
      <c r="BK65" s="528" t="n"/>
      <c r="BL65" s="399" t="n"/>
      <c r="BM65" s="528" t="n"/>
      <c r="BN65" s="528" t="n"/>
      <c r="BO65" s="528" t="n"/>
      <c r="BP65" s="528" t="n"/>
      <c r="BQ65" s="528" t="n"/>
      <c r="BR65" s="528" t="n"/>
      <c r="BS65" s="528" t="n"/>
      <c r="BT65" s="528" t="n"/>
      <c r="BU65" s="528" t="n"/>
      <c r="BV65" s="314">
        <f>BT65*BU65</f>
        <v/>
      </c>
      <c r="BW65" s="528" t="n"/>
      <c r="BX65" s="528" t="n"/>
      <c r="BY65" s="528" t="n"/>
      <c r="BZ65" s="314">
        <f>BX65*BY65</f>
        <v/>
      </c>
      <c r="CA65" s="528" t="n"/>
      <c r="CB65" s="528" t="n"/>
      <c r="CC65" s="528" t="n"/>
      <c r="CD65" s="314">
        <f>CB65*CC65</f>
        <v/>
      </c>
    </row>
    <row r="66" ht="15.75" customHeight="1" s="191">
      <c r="A66" s="528" t="n">
        <v>5</v>
      </c>
      <c r="B66" s="528" t="inlineStr">
        <is>
          <t>c</t>
        </is>
      </c>
      <c r="C66" s="529" t="n">
        <v>1</v>
      </c>
      <c r="D66" s="160">
        <f>CONCATENATE(A$3,"_",A66,"_",B66,"_",C66)</f>
        <v/>
      </c>
      <c r="E66" s="221" t="inlineStr">
        <is>
          <t>Opracowanie i optymalizacja mechanizmów/narzędzi do wymiany danych między różnymi systemami i platformami</t>
        </is>
      </c>
      <c r="F66" s="232" t="n"/>
      <c r="G66" s="231" t="inlineStr">
        <is>
          <t>Ekspert merytoryczny/ Architekt rozwiazania</t>
        </is>
      </c>
      <c r="H66" s="528" t="n">
        <v>30</v>
      </c>
      <c r="I66" s="231" t="inlineStr">
        <is>
          <t>ACT/END</t>
        </is>
      </c>
      <c r="J66" s="91">
        <f>M65+1</f>
        <v/>
      </c>
      <c r="K66" s="681">
        <f>VLOOKUP(J66,Kalendarz!B:E,4,FALSE)</f>
        <v/>
      </c>
      <c r="L66" s="681">
        <f>K66+N66</f>
        <v/>
      </c>
      <c r="M66" s="528">
        <f>J66+N66-1</f>
        <v/>
      </c>
      <c r="N66" s="474" t="n">
        <v>1</v>
      </c>
      <c r="O66" s="296" t="n">
        <v>160</v>
      </c>
      <c r="P66" s="242" t="n"/>
      <c r="Q66" s="242" t="n"/>
      <c r="R66" s="242" t="n"/>
      <c r="S66" s="242" t="n"/>
      <c r="T66" s="242" t="n">
        <v>0.15</v>
      </c>
      <c r="U66" s="242" t="n">
        <v>0.15</v>
      </c>
      <c r="V66" s="242" t="n">
        <v>0.15</v>
      </c>
      <c r="W66" s="242" t="n">
        <v>0.15</v>
      </c>
      <c r="X66" s="242" t="n">
        <v>0.15</v>
      </c>
      <c r="Y66" s="243" t="n">
        <v>0</v>
      </c>
      <c r="Z66" s="243" t="n">
        <v>0</v>
      </c>
      <c r="AA66" s="243" t="n">
        <v>0.25</v>
      </c>
      <c r="AB66" s="243" t="n"/>
      <c r="AC66" s="300" t="n">
        <v>0</v>
      </c>
      <c r="AD66" s="300" t="n">
        <v>0</v>
      </c>
      <c r="AE66" s="300" t="n">
        <v>0</v>
      </c>
      <c r="AF66" s="300" t="n">
        <v>0</v>
      </c>
      <c r="AG66" s="297">
        <f>ROUND($O66*R66,0)</f>
        <v/>
      </c>
      <c r="AH66" s="297">
        <f>ROUND($O66*Q66,0)</f>
        <v/>
      </c>
      <c r="AI66" s="297">
        <f>ROUND($O66*R66,0)</f>
        <v/>
      </c>
      <c r="AJ66" s="297">
        <f>ROUND($O66*S66,0)</f>
        <v/>
      </c>
      <c r="AK66" s="297">
        <f>ROUND($O66*T66,0)</f>
        <v/>
      </c>
      <c r="AL66" s="297">
        <f>ROUND($O66*U66,0)</f>
        <v/>
      </c>
      <c r="AM66" s="297">
        <f>ROUND($O66*V66,0)</f>
        <v/>
      </c>
      <c r="AN66" s="297">
        <f>ROUND($O66*W66,0)</f>
        <v/>
      </c>
      <c r="AO66" s="297">
        <f>ROUND($O66*X66,0)</f>
        <v/>
      </c>
      <c r="AP66" s="298">
        <f>ROUND($O66*Y66,0)</f>
        <v/>
      </c>
      <c r="AQ66" s="298">
        <f>ROUND($O66*Z66,0)</f>
        <v/>
      </c>
      <c r="AR66" s="298">
        <f>ROUND($O66*AA66,0)</f>
        <v/>
      </c>
      <c r="AS66" s="299" t="n"/>
      <c r="AT66" s="302">
        <f>ROUND($O66*AC66,0)</f>
        <v/>
      </c>
      <c r="AU66" s="302">
        <f>ROUND($O66*AD66,0)</f>
        <v/>
      </c>
      <c r="AV66" s="302">
        <f>ROUND($O66*AE66,0)</f>
        <v/>
      </c>
      <c r="AW66" s="302">
        <f>ROUND($O66*AF66,0)</f>
        <v/>
      </c>
      <c r="AX66" s="236">
        <f>SUM(AG66:AO66)</f>
        <v/>
      </c>
      <c r="AY66" s="528">
        <f>AX66/160</f>
        <v/>
      </c>
      <c r="AZ66" s="87">
        <f>VLOOKUP(I66,Listy!$A$1:$H$9,6,FALSE)</f>
        <v/>
      </c>
      <c r="BA66" s="682">
        <f>AY66*AZ66</f>
        <v/>
      </c>
      <c r="BB66" s="528" t="n"/>
      <c r="BC66" s="528" t="n"/>
      <c r="BD66" s="528" t="n"/>
      <c r="BE66" s="528" t="n"/>
      <c r="BF66" s="528" t="n"/>
      <c r="BG66" s="528" t="n"/>
      <c r="BH66" s="314">
        <f>BF66*BG66</f>
        <v/>
      </c>
      <c r="BI66" s="528" t="n"/>
      <c r="BJ66" s="51" t="n"/>
      <c r="BK66" s="528" t="n"/>
      <c r="BL66" s="399" t="n"/>
      <c r="BM66" s="528" t="n"/>
      <c r="BN66" s="528" t="n"/>
      <c r="BO66" s="528" t="n"/>
      <c r="BP66" s="528" t="n"/>
      <c r="BQ66" s="528" t="n"/>
      <c r="BR66" s="528" t="n"/>
      <c r="BS66" s="528" t="n"/>
      <c r="BT66" s="528" t="n"/>
      <c r="BU66" s="528" t="n"/>
      <c r="BV66" s="314">
        <f>BT66*BU66</f>
        <v/>
      </c>
      <c r="BW66" s="528" t="n"/>
      <c r="BX66" s="528" t="n"/>
      <c r="BY66" s="528" t="n"/>
      <c r="BZ66" s="314">
        <f>BX66*BY66</f>
        <v/>
      </c>
      <c r="CA66" s="528" t="n"/>
      <c r="CB66" s="528" t="n"/>
      <c r="CC66" s="528" t="n"/>
      <c r="CD66" s="314">
        <f>CB66*CC66</f>
        <v/>
      </c>
    </row>
    <row r="67" ht="15.75" customHeight="1" s="191">
      <c r="A67" s="604" t="n">
        <v>6</v>
      </c>
      <c r="B67" s="528" t="inlineStr">
        <is>
          <t>a</t>
        </is>
      </c>
      <c r="C67" s="529" t="n">
        <v>-1</v>
      </c>
      <c r="D67" s="160">
        <f>CONCATENATE(A$3,"_",A67,"_",B67,"_",C67)</f>
        <v/>
      </c>
      <c r="E67" s="607" t="inlineStr">
        <is>
          <t>6.Przetwarzanie na brzegu sieci i w chmurze (EDGE I CLOUD COMPUTING)</t>
        </is>
      </c>
      <c r="F67" s="148" t="n"/>
      <c r="G67" s="148" t="n"/>
      <c r="H67" s="190" t="n"/>
      <c r="I67" s="148" t="n"/>
      <c r="J67" s="91">
        <f>M66+1</f>
        <v/>
      </c>
      <c r="K67" s="681">
        <f>VLOOKUP(J67,Kalendarz!B:E,4,FALSE)</f>
        <v/>
      </c>
      <c r="L67" s="681">
        <f>K67+N67</f>
        <v/>
      </c>
      <c r="M67" s="528">
        <f>J67+N67-1</f>
        <v/>
      </c>
      <c r="N67" s="474">
        <f>ROUND(MAX(AG67:AO67)/Listy!$U$2,0)</f>
        <v/>
      </c>
      <c r="O67" s="148" t="n"/>
      <c r="P67" s="148" t="n"/>
      <c r="Q67" s="148" t="n"/>
      <c r="R67" s="148" t="n"/>
      <c r="S67" s="148" t="n"/>
      <c r="T67" s="148" t="n"/>
      <c r="U67" s="148" t="n"/>
      <c r="V67" s="190" t="n"/>
      <c r="W67" s="148" t="n"/>
      <c r="X67" s="148" t="n"/>
      <c r="Y67" s="148" t="n"/>
      <c r="Z67" s="148" t="n"/>
      <c r="AA67" s="148" t="n"/>
      <c r="AB67" s="148" t="n"/>
      <c r="AC67" s="148" t="n"/>
      <c r="AD67" s="148" t="n"/>
      <c r="AE67" s="148" t="n"/>
      <c r="AF67" s="148" t="n"/>
      <c r="AG67" s="148" t="n"/>
      <c r="AH67" s="148" t="n"/>
      <c r="AI67" s="148" t="n"/>
      <c r="AJ67" s="148" t="n"/>
      <c r="AK67" s="148" t="n"/>
      <c r="AL67" s="148" t="n"/>
      <c r="AM67" s="190" t="n"/>
      <c r="AN67" s="148" t="n"/>
      <c r="AO67" s="148" t="n"/>
      <c r="AP67" s="148" t="n"/>
      <c r="AQ67" s="148" t="n"/>
      <c r="AR67" s="148" t="n"/>
      <c r="AS67" s="148" t="n"/>
      <c r="AT67" s="148" t="n"/>
      <c r="AU67" s="148" t="n"/>
      <c r="AV67" s="148" t="n"/>
      <c r="AW67" s="148" t="n"/>
      <c r="AX67" s="148" t="n"/>
      <c r="AY67" s="148" t="n"/>
      <c r="AZ67" s="148" t="n"/>
      <c r="BA67" s="148" t="n"/>
      <c r="BB67" s="148" t="n"/>
      <c r="BC67" s="148" t="n"/>
      <c r="BD67" s="148" t="n"/>
      <c r="BE67" s="148" t="n"/>
      <c r="BF67" s="148" t="n"/>
      <c r="BG67" s="148" t="n"/>
      <c r="BH67" s="148" t="n"/>
      <c r="BI67" s="148" t="n"/>
      <c r="BJ67" s="148" t="n"/>
      <c r="BK67" s="148" t="n"/>
      <c r="BL67" s="148" t="n"/>
      <c r="BM67" s="148" t="n"/>
      <c r="BN67" s="148" t="n"/>
      <c r="BO67" s="148" t="n"/>
      <c r="BP67" s="148" t="n"/>
      <c r="BQ67" s="148" t="n"/>
      <c r="BR67" s="148" t="n"/>
      <c r="BS67" s="148" t="n"/>
      <c r="BT67" s="148" t="n"/>
      <c r="BU67" s="148" t="n"/>
      <c r="BV67" s="148" t="n"/>
      <c r="BW67" s="148" t="n"/>
      <c r="BX67" s="148" t="n"/>
      <c r="BY67" s="148" t="n"/>
      <c r="BZ67" s="148" t="n"/>
      <c r="CA67" s="148" t="n"/>
      <c r="CB67" s="148" t="n"/>
      <c r="CC67" s="148" t="n"/>
      <c r="CD67" s="148" t="n"/>
      <c r="CE67" s="148" t="n"/>
      <c r="CF67" s="148" t="n"/>
    </row>
    <row r="68" ht="15.75" customHeight="1" s="191">
      <c r="A68" s="528" t="n">
        <v>6</v>
      </c>
      <c r="B68" s="528" t="inlineStr">
        <is>
          <t>a</t>
        </is>
      </c>
      <c r="C68" s="529" t="n">
        <v>0</v>
      </c>
      <c r="D68" s="160">
        <f>CONCATENATE(A$3,"_",A68,"_",B68,"_",C68)</f>
        <v/>
      </c>
      <c r="E68" s="221" t="inlineStr">
        <is>
          <t>Badania nad przetwarzaniem danych na brzegu sieci</t>
        </is>
      </c>
      <c r="F68" s="148" t="n"/>
      <c r="G68" s="148" t="n"/>
      <c r="H68" s="528" t="n"/>
      <c r="I68" s="148" t="n"/>
      <c r="J68" s="91">
        <f>M67+1</f>
        <v/>
      </c>
      <c r="K68" s="681">
        <f>VLOOKUP(J68,Kalendarz!B:E,4,FALSE)</f>
        <v/>
      </c>
      <c r="L68" s="681">
        <f>K68+N68</f>
        <v/>
      </c>
      <c r="M68" s="528">
        <f>J68+N68-1</f>
        <v/>
      </c>
      <c r="N68" s="474">
        <f>ROUND(MAX(AG68:AO68)/Listy!$U$2,0)</f>
        <v/>
      </c>
      <c r="O68" s="148" t="n"/>
      <c r="P68" s="148" t="n"/>
      <c r="Q68" s="148" t="n"/>
      <c r="R68" s="148" t="n"/>
      <c r="S68" s="148" t="n"/>
      <c r="T68" s="148" t="n"/>
      <c r="U68" s="148" t="n"/>
      <c r="V68" s="190" t="n"/>
      <c r="W68" s="148" t="n"/>
      <c r="X68" s="148" t="n"/>
      <c r="Y68" s="148" t="n"/>
      <c r="Z68" s="148" t="n"/>
      <c r="AA68" s="148" t="n"/>
      <c r="AB68" s="148" t="n"/>
      <c r="AC68" s="148" t="n"/>
      <c r="AD68" s="148" t="n"/>
      <c r="AE68" s="148" t="n"/>
      <c r="AF68" s="148" t="n"/>
      <c r="AG68" s="148" t="n"/>
      <c r="AH68" s="148" t="n"/>
      <c r="AI68" s="148" t="n"/>
      <c r="AJ68" s="148" t="n"/>
      <c r="AK68" s="148" t="n"/>
      <c r="AL68" s="148" t="n"/>
      <c r="AM68" s="190" t="n"/>
      <c r="AN68" s="148" t="n"/>
      <c r="AO68" s="148" t="n"/>
      <c r="AP68" s="148" t="n"/>
      <c r="AQ68" s="148" t="n"/>
      <c r="AR68" s="148" t="n"/>
      <c r="AS68" s="148" t="n"/>
      <c r="AT68" s="148" t="n"/>
      <c r="AU68" s="148" t="n"/>
      <c r="AV68" s="148" t="n"/>
      <c r="AW68" s="148" t="n"/>
      <c r="AX68" s="148" t="n"/>
      <c r="AY68" s="148" t="n"/>
      <c r="AZ68" s="148" t="n"/>
      <c r="BA68" s="148" t="n"/>
      <c r="BB68" s="148" t="n"/>
      <c r="BC68" s="148" t="n"/>
      <c r="BD68" s="148" t="n"/>
      <c r="BE68" s="148" t="n"/>
      <c r="BF68" s="148" t="n"/>
      <c r="BG68" s="148" t="n"/>
      <c r="BH68" s="148" t="n"/>
      <c r="BI68" s="148" t="n"/>
      <c r="BJ68" s="148" t="n"/>
      <c r="BK68" s="148" t="n"/>
      <c r="BL68" s="148" t="n"/>
      <c r="BM68" s="148" t="n"/>
      <c r="BN68" s="148" t="n"/>
      <c r="BO68" s="148" t="n"/>
      <c r="BP68" s="148" t="n"/>
      <c r="BQ68" s="148" t="n"/>
      <c r="BR68" s="148" t="n"/>
      <c r="BS68" s="148" t="n"/>
      <c r="BT68" s="148" t="n"/>
      <c r="BU68" s="148" t="n"/>
      <c r="BV68" s="148" t="n"/>
      <c r="BW68" s="148" t="n"/>
      <c r="BX68" s="148" t="n"/>
      <c r="BY68" s="148" t="n"/>
      <c r="BZ68" s="148" t="n"/>
      <c r="CA68" s="148" t="n"/>
      <c r="CB68" s="148" t="n"/>
      <c r="CC68" s="148" t="n"/>
      <c r="CD68" s="148" t="n"/>
      <c r="CE68" s="148" t="n"/>
      <c r="CF68" s="148" t="n"/>
    </row>
    <row r="69" ht="15.75" customHeight="1" s="191">
      <c r="A69" s="57" t="n">
        <v>6</v>
      </c>
      <c r="B69" s="57" t="inlineStr">
        <is>
          <t>a</t>
        </is>
      </c>
      <c r="C69" s="529" t="n">
        <v>1</v>
      </c>
      <c r="D69" s="160">
        <f>CONCATENATE(A$3,"_",A69,"_",B69,"_",C69)</f>
        <v/>
      </c>
      <c r="E69" s="222" t="inlineStr">
        <is>
          <t>Opracowanie wymagan infrastruktury  IT na potrzeby  Cyfrowego Bliźniaka</t>
        </is>
      </c>
      <c r="F69" s="231" t="n"/>
      <c r="G69" s="231" t="inlineStr">
        <is>
          <t>Ekspert merytoryczny/ Architekt rozwiazania</t>
        </is>
      </c>
      <c r="H69" s="528" t="n">
        <v>31</v>
      </c>
      <c r="I69" s="231" t="inlineStr">
        <is>
          <t>END</t>
        </is>
      </c>
      <c r="J69" s="91">
        <f>M68+1</f>
        <v/>
      </c>
      <c r="K69" s="681">
        <f>VLOOKUP(J69,Kalendarz!B:E,4,FALSE)</f>
        <v/>
      </c>
      <c r="L69" s="681">
        <f>K69+N69</f>
        <v/>
      </c>
      <c r="M69" s="528">
        <f>J69+N69-1</f>
        <v/>
      </c>
      <c r="N69" s="474" t="n">
        <v>1</v>
      </c>
      <c r="O69" s="295" t="n">
        <v>80</v>
      </c>
      <c r="P69" s="242" t="n"/>
      <c r="Q69" s="242" t="n"/>
      <c r="R69" s="242" t="n"/>
      <c r="S69" s="242" t="n"/>
      <c r="T69" s="242" t="n">
        <v>0</v>
      </c>
      <c r="U69" s="242" t="n">
        <v>0.13</v>
      </c>
      <c r="V69" s="242" t="n">
        <v>0.12</v>
      </c>
      <c r="W69" s="242" t="n">
        <v>0.13</v>
      </c>
      <c r="X69" s="242" t="n">
        <v>0.12</v>
      </c>
      <c r="Y69" s="243" t="n">
        <v>0</v>
      </c>
      <c r="Z69" s="243" t="n">
        <v>0</v>
      </c>
      <c r="AA69" s="243" t="n">
        <v>0.5</v>
      </c>
      <c r="AB69" s="243" t="n"/>
      <c r="AC69" s="300" t="n">
        <v>0</v>
      </c>
      <c r="AD69" s="300" t="n">
        <v>0</v>
      </c>
      <c r="AE69" s="300" t="n">
        <v>0</v>
      </c>
      <c r="AF69" s="300" t="n">
        <v>0</v>
      </c>
      <c r="AG69" s="297">
        <f>ROUND($O69*P69,0)</f>
        <v/>
      </c>
      <c r="AH69" s="297">
        <f>ROUND($O69*Q69,0)</f>
        <v/>
      </c>
      <c r="AI69" s="297">
        <f>ROUND($O69*R69,0)</f>
        <v/>
      </c>
      <c r="AJ69" s="297">
        <f>ROUND($O69*S69,0)</f>
        <v/>
      </c>
      <c r="AK69" s="297">
        <f>ROUND($O69*T69,0)</f>
        <v/>
      </c>
      <c r="AL69" s="297">
        <f>ROUND($O69*U69,0)</f>
        <v/>
      </c>
      <c r="AM69" s="297">
        <f>ROUND($O69*V69,0)</f>
        <v/>
      </c>
      <c r="AN69" s="297">
        <f>ROUND($O69*W69,0)</f>
        <v/>
      </c>
      <c r="AO69" s="297">
        <f>ROUND($O69*X69,0)</f>
        <v/>
      </c>
      <c r="AP69" s="298">
        <f>ROUND($O69*Y69,0)</f>
        <v/>
      </c>
      <c r="AQ69" s="298">
        <f>ROUND($O69*Z69,0)</f>
        <v/>
      </c>
      <c r="AR69" s="298">
        <f>ROUND($O69*AA69,0)</f>
        <v/>
      </c>
      <c r="AS69" s="299" t="n"/>
      <c r="AT69" s="302">
        <f>ROUND($O69*AC69,0)</f>
        <v/>
      </c>
      <c r="AU69" s="302">
        <f>ROUND($O69*AD69,0)</f>
        <v/>
      </c>
      <c r="AV69" s="302">
        <f>ROUND($O69*AE69,0)</f>
        <v/>
      </c>
      <c r="AW69" s="302">
        <f>ROUND($O69*AF69,0)</f>
        <v/>
      </c>
      <c r="AX69" s="236">
        <f>SUM(AG69:AO69)</f>
        <v/>
      </c>
      <c r="AY69" s="528">
        <f>AX69/160</f>
        <v/>
      </c>
      <c r="AZ69" s="87">
        <f>VLOOKUP(I69,Listy!$A$1:$H$9,6,FALSE)</f>
        <v/>
      </c>
      <c r="BA69" s="682">
        <f>AY69*AZ69</f>
        <v/>
      </c>
      <c r="BB69" s="528" t="n"/>
      <c r="BC69" s="528" t="n"/>
      <c r="BD69" s="528" t="n"/>
      <c r="BE69" s="528" t="n"/>
      <c r="BF69" s="528" t="n"/>
      <c r="BG69" s="528" t="n"/>
      <c r="BI69" s="528" t="n"/>
      <c r="BJ69" s="528" t="n"/>
      <c r="BL69" s="528" t="n"/>
      <c r="BM69" s="528" t="n"/>
      <c r="BO69" s="528" t="n"/>
      <c r="BP69" s="528" t="n"/>
      <c r="BS69" s="528" t="n"/>
      <c r="BT69" s="528" t="n"/>
      <c r="BU69" s="528" t="n"/>
      <c r="BW69" s="528" t="n"/>
      <c r="BX69" s="528" t="n"/>
      <c r="BY69" s="528" t="n"/>
      <c r="CA69" s="528" t="n"/>
      <c r="CB69" s="528" t="n"/>
      <c r="CC69" s="528" t="n"/>
    </row>
    <row r="70" ht="15.75" customHeight="1" s="191">
      <c r="A70" s="57" t="n">
        <v>6</v>
      </c>
      <c r="B70" s="57" t="inlineStr">
        <is>
          <t>a</t>
        </is>
      </c>
      <c r="C70" s="529" t="n">
        <v>2</v>
      </c>
      <c r="D70" s="160">
        <f>CONCATENATE(A$3,"_",A70,"_",B70,"_",C70)</f>
        <v/>
      </c>
      <c r="E70" s="222" t="inlineStr">
        <is>
          <t>Opracowanie wymagan infrastruktury  IT na potrzeby  Cyfrowego Bliźniaka</t>
        </is>
      </c>
      <c r="F70" s="231" t="n"/>
      <c r="G70" s="231" t="inlineStr">
        <is>
          <t>Ekspert merytoryczny/ Architekt rozwiazania</t>
        </is>
      </c>
      <c r="H70" s="528" t="n">
        <v>31</v>
      </c>
      <c r="I70" s="231" t="inlineStr">
        <is>
          <t>END</t>
        </is>
      </c>
      <c r="J70" s="91">
        <f>M69+1</f>
        <v/>
      </c>
      <c r="K70" s="681">
        <f>VLOOKUP(J70,Kalendarz!B:E,4,FALSE)</f>
        <v/>
      </c>
      <c r="L70" s="681">
        <f>K70+N70</f>
        <v/>
      </c>
      <c r="M70" s="528">
        <f>J70+N70-1</f>
        <v/>
      </c>
      <c r="N70" s="474" t="n">
        <v>1</v>
      </c>
      <c r="O70" s="295" t="n">
        <v>80</v>
      </c>
      <c r="P70" s="242" t="n"/>
      <c r="Q70" s="242" t="n"/>
      <c r="R70" s="242" t="n"/>
      <c r="S70" s="242" t="n"/>
      <c r="T70" s="242" t="n">
        <v>0</v>
      </c>
      <c r="U70" s="242" t="n">
        <v>0.13</v>
      </c>
      <c r="V70" s="242" t="n">
        <v>0.12</v>
      </c>
      <c r="W70" s="242" t="n">
        <v>0.13</v>
      </c>
      <c r="X70" s="242" t="n">
        <v>0.12</v>
      </c>
      <c r="Y70" s="243" t="n">
        <v>0</v>
      </c>
      <c r="Z70" s="243" t="n">
        <v>0</v>
      </c>
      <c r="AA70" s="243" t="n">
        <v>0.5</v>
      </c>
      <c r="AB70" s="243" t="n"/>
      <c r="AC70" s="300" t="n">
        <v>0</v>
      </c>
      <c r="AD70" s="300" t="n">
        <v>0</v>
      </c>
      <c r="AE70" s="300" t="n">
        <v>0</v>
      </c>
      <c r="AF70" s="300" t="n">
        <v>0</v>
      </c>
      <c r="AG70" s="297">
        <f>ROUND($O70*P70,0)</f>
        <v/>
      </c>
      <c r="AH70" s="297">
        <f>ROUND($O70*Q70,0)</f>
        <v/>
      </c>
      <c r="AI70" s="297">
        <f>ROUND($O70*R70,0)</f>
        <v/>
      </c>
      <c r="AJ70" s="297">
        <f>ROUND($O70*S70,0)</f>
        <v/>
      </c>
      <c r="AK70" s="297">
        <f>ROUND($O70*T70,0)</f>
        <v/>
      </c>
      <c r="AL70" s="297">
        <f>ROUND($O70*U70,0)</f>
        <v/>
      </c>
      <c r="AM70" s="297">
        <f>ROUND($O70*V70,0)</f>
        <v/>
      </c>
      <c r="AN70" s="297">
        <f>ROUND($O70*W70,0)</f>
        <v/>
      </c>
      <c r="AO70" s="297">
        <f>ROUND($O70*X70,0)</f>
        <v/>
      </c>
      <c r="AP70" s="298">
        <f>ROUND($O70*Y70,0)</f>
        <v/>
      </c>
      <c r="AQ70" s="298">
        <f>ROUND($O70*Z70,0)</f>
        <v/>
      </c>
      <c r="AR70" s="298">
        <f>ROUND($O70*AA70,0)</f>
        <v/>
      </c>
      <c r="AS70" s="299" t="n"/>
      <c r="AT70" s="302">
        <f>ROUND($O70*AC70,0)</f>
        <v/>
      </c>
      <c r="AU70" s="302">
        <f>ROUND($O70*AD70,0)</f>
        <v/>
      </c>
      <c r="AV70" s="302">
        <f>ROUND($O70*AE70,0)</f>
        <v/>
      </c>
      <c r="AW70" s="302">
        <f>ROUND($O70*AF70,0)</f>
        <v/>
      </c>
      <c r="AX70" s="236">
        <f>SUM(AG70:AO70)</f>
        <v/>
      </c>
      <c r="AY70" s="528">
        <f>AX70/160</f>
        <v/>
      </c>
      <c r="AZ70" s="87">
        <f>VLOOKUP(I70,Listy!$A$1:$H$9,6,FALSE)</f>
        <v/>
      </c>
      <c r="BA70" s="682">
        <f>AY70*AZ70</f>
        <v/>
      </c>
      <c r="BB70" s="528" t="n"/>
      <c r="BC70" s="528" t="n"/>
      <c r="BD70" s="528" t="n"/>
      <c r="BE70" s="528" t="n"/>
      <c r="BF70" s="528" t="n"/>
      <c r="BG70" s="528" t="n"/>
      <c r="BI70" s="528" t="n"/>
      <c r="BJ70" s="528" t="n"/>
      <c r="BL70" s="528" t="n"/>
      <c r="BM70" s="528" t="n"/>
      <c r="BO70" s="528" t="n"/>
      <c r="BP70" s="528" t="n"/>
      <c r="BS70" s="528" t="n"/>
      <c r="BT70" s="528" t="n"/>
      <c r="BU70" s="528" t="n"/>
      <c r="BW70" s="528" t="n"/>
      <c r="BX70" s="528" t="n"/>
      <c r="BY70" s="528" t="n"/>
      <c r="CA70" s="528" t="n"/>
      <c r="CB70" s="528" t="n"/>
      <c r="CC70" s="528" t="n"/>
    </row>
    <row r="71" ht="15.75" customHeight="1" s="191">
      <c r="A71" s="57" t="n">
        <v>6</v>
      </c>
      <c r="B71" s="528" t="inlineStr">
        <is>
          <t>a</t>
        </is>
      </c>
      <c r="C71" s="529" t="n">
        <v>3</v>
      </c>
      <c r="D71" s="160">
        <f>CONCATENATE(A$3,"_",A71,"_",B71,"_",C71)</f>
        <v/>
      </c>
      <c r="E71" s="222" t="inlineStr">
        <is>
          <t>Przygotowanie infrastruktury IT na potrzeby Cyfrowego Bliźniaka</t>
        </is>
      </c>
      <c r="F71" s="231" t="n"/>
      <c r="G71" s="231" t="inlineStr">
        <is>
          <t>Developer/ Devops</t>
        </is>
      </c>
      <c r="H71" s="528" t="n">
        <v>32</v>
      </c>
      <c r="I71" s="231" t="inlineStr">
        <is>
          <t>END</t>
        </is>
      </c>
      <c r="J71" s="91">
        <f>M70+1</f>
        <v/>
      </c>
      <c r="K71" s="681">
        <f>VLOOKUP(J71,Kalendarz!B:E,4,FALSE)</f>
        <v/>
      </c>
      <c r="L71" s="681">
        <f>K71+N71</f>
        <v/>
      </c>
      <c r="M71" s="528">
        <f>J71+N71-1</f>
        <v/>
      </c>
      <c r="N71" s="474" t="n">
        <v>1</v>
      </c>
      <c r="O71" s="295" t="n">
        <v>80</v>
      </c>
      <c r="P71" s="242" t="n"/>
      <c r="Q71" s="242" t="n"/>
      <c r="R71" s="242" t="n"/>
      <c r="S71" s="242" t="n"/>
      <c r="T71" s="242" t="n">
        <v>0</v>
      </c>
      <c r="U71" s="242" t="n">
        <v>0.13</v>
      </c>
      <c r="V71" s="242" t="n">
        <v>0.12</v>
      </c>
      <c r="W71" s="242" t="n">
        <v>0.13</v>
      </c>
      <c r="X71" s="242" t="n">
        <v>0.12</v>
      </c>
      <c r="Y71" s="243" t="n">
        <v>0</v>
      </c>
      <c r="Z71" s="243" t="n">
        <v>0</v>
      </c>
      <c r="AA71" s="243" t="n">
        <v>0.5</v>
      </c>
      <c r="AB71" s="243" t="n"/>
      <c r="AC71" s="300" t="n">
        <v>0</v>
      </c>
      <c r="AD71" s="300" t="n">
        <v>0</v>
      </c>
      <c r="AE71" s="300" t="n">
        <v>0</v>
      </c>
      <c r="AF71" s="300" t="n">
        <v>0</v>
      </c>
      <c r="AG71" s="297">
        <f>ROUND($O71*P71,0)</f>
        <v/>
      </c>
      <c r="AH71" s="297">
        <f>ROUND($O71*Q71,0)</f>
        <v/>
      </c>
      <c r="AI71" s="297">
        <f>ROUND($O71*R71,0)</f>
        <v/>
      </c>
      <c r="AJ71" s="297">
        <f>ROUND($O71*S71,0)</f>
        <v/>
      </c>
      <c r="AK71" s="297">
        <f>ROUND($O71*T71,0)</f>
        <v/>
      </c>
      <c r="AL71" s="297">
        <f>ROUND($O71*U71,0)</f>
        <v/>
      </c>
      <c r="AM71" s="297">
        <f>ROUND($O71*V71,0)</f>
        <v/>
      </c>
      <c r="AN71" s="297">
        <f>ROUND($O71*W71,0)</f>
        <v/>
      </c>
      <c r="AO71" s="297">
        <f>ROUND($O71*X71,0)</f>
        <v/>
      </c>
      <c r="AP71" s="298">
        <f>ROUND($O71*Y71,0)</f>
        <v/>
      </c>
      <c r="AQ71" s="298">
        <f>ROUND($O71*Z71,0)</f>
        <v/>
      </c>
      <c r="AR71" s="298">
        <f>ROUND($O71*AA71,0)</f>
        <v/>
      </c>
      <c r="AS71" s="299" t="n"/>
      <c r="AT71" s="302">
        <f>ROUND($O71*AC71,0)</f>
        <v/>
      </c>
      <c r="AU71" s="302">
        <f>ROUND($O71*AD71,0)</f>
        <v/>
      </c>
      <c r="AV71" s="302">
        <f>ROUND($O71*AE71,0)</f>
        <v/>
      </c>
      <c r="AW71" s="302">
        <f>ROUND($O71*AF71,0)</f>
        <v/>
      </c>
      <c r="AX71" s="236">
        <f>SUM(AG71:AO71)</f>
        <v/>
      </c>
      <c r="AY71" s="528">
        <f>AX71/160</f>
        <v/>
      </c>
      <c r="AZ71" s="87">
        <f>VLOOKUP(I71,Listy!$A$1:$H$9,6,FALSE)</f>
        <v/>
      </c>
      <c r="BA71" s="682">
        <f>AY71*AZ71</f>
        <v/>
      </c>
      <c r="BB71" s="528" t="n"/>
      <c r="BC71" s="528" t="n"/>
      <c r="BD71" s="528" t="n"/>
      <c r="BE71" s="528" t="n"/>
      <c r="BF71" s="528" t="n"/>
      <c r="BG71" s="528" t="n"/>
      <c r="BI71" s="528" t="n"/>
      <c r="BJ71" s="528" t="n"/>
      <c r="BL71" s="528" t="n"/>
      <c r="BM71" s="528" t="n"/>
      <c r="BO71" s="528" t="n"/>
      <c r="BP71" s="528" t="n"/>
      <c r="BS71" s="528" t="n"/>
      <c r="BT71" s="528" t="n"/>
      <c r="BU71" s="528" t="n"/>
      <c r="BW71" s="528" t="n"/>
      <c r="BX71" s="528" t="n"/>
      <c r="BY71" s="528" t="n"/>
      <c r="CA71" s="528" t="n"/>
      <c r="CB71" s="528" t="n"/>
      <c r="CC71" s="528" t="n"/>
    </row>
    <row r="72" ht="15.75" customHeight="1" s="191">
      <c r="A72" s="528" t="n">
        <v>6</v>
      </c>
      <c r="B72" s="528" t="inlineStr">
        <is>
          <t>b</t>
        </is>
      </c>
      <c r="C72" s="529" t="n">
        <v>1</v>
      </c>
      <c r="D72" s="160">
        <f>CONCATENATE(A$3,"_",A72,"_",B72,"_",C72)</f>
        <v/>
      </c>
      <c r="E72" s="221" t="inlineStr">
        <is>
          <t>Opracowanie i optymalizacja narzędzi/mechanizmów do zmniejszania opóźnienia i zwiększenia efektywności operacyjnej</t>
        </is>
      </c>
      <c r="F72" s="232" t="n"/>
      <c r="G72" s="231" t="inlineStr">
        <is>
          <t>Ekspert merytoryczny/ Architekt rozwiazania</t>
        </is>
      </c>
      <c r="H72" s="55" t="n">
        <v>33</v>
      </c>
      <c r="I72" s="232" t="n"/>
      <c r="J72" s="91">
        <f>M71+1</f>
        <v/>
      </c>
      <c r="K72" s="681">
        <f>VLOOKUP(J72,Kalendarz!B:E,4,FALSE)</f>
        <v/>
      </c>
      <c r="L72" s="681">
        <f>K72+N72</f>
        <v/>
      </c>
      <c r="M72" s="528">
        <f>J72+N72-1</f>
        <v/>
      </c>
      <c r="N72" s="476" t="n">
        <v>0</v>
      </c>
      <c r="O72" s="296" t="n">
        <v>120</v>
      </c>
      <c r="P72" s="242" t="n"/>
      <c r="Q72" s="242" t="n"/>
      <c r="R72" s="242" t="n"/>
      <c r="S72" s="242" t="n"/>
      <c r="T72" s="242" t="n">
        <v>0.173</v>
      </c>
      <c r="U72" s="242" t="n">
        <v>0.166</v>
      </c>
      <c r="V72" s="242" t="n">
        <v>0.17</v>
      </c>
      <c r="W72" s="242" t="n">
        <v>0.16</v>
      </c>
      <c r="X72" s="242" t="n">
        <v>0</v>
      </c>
      <c r="Y72" s="243" t="n">
        <v>0</v>
      </c>
      <c r="Z72" s="243" t="n">
        <v>0.333</v>
      </c>
      <c r="AA72" s="243" t="n">
        <v>0</v>
      </c>
      <c r="AB72" s="243" t="n"/>
      <c r="AC72" s="300" t="n">
        <v>0</v>
      </c>
      <c r="AD72" s="300" t="n">
        <v>0</v>
      </c>
      <c r="AE72" s="300" t="n">
        <v>0</v>
      </c>
      <c r="AF72" s="300" t="n">
        <v>0</v>
      </c>
      <c r="AG72" s="297">
        <f>ROUND($O72*P72,0)</f>
        <v/>
      </c>
      <c r="AH72" s="297">
        <f>ROUND($O72*Q72,0)</f>
        <v/>
      </c>
      <c r="AI72" s="297">
        <f>ROUND($O72*R72,0)</f>
        <v/>
      </c>
      <c r="AJ72" s="297">
        <f>ROUND($O72*S72,0)</f>
        <v/>
      </c>
      <c r="AK72" s="297">
        <f>ROUND($O72*T72,0)</f>
        <v/>
      </c>
      <c r="AL72" s="297">
        <f>ROUND($O72*U72,0)</f>
        <v/>
      </c>
      <c r="AM72" s="297">
        <f>ROUND($O72*V72,0)</f>
        <v/>
      </c>
      <c r="AN72" s="297">
        <f>ROUND($O72*W72,0)</f>
        <v/>
      </c>
      <c r="AO72" s="297">
        <f>ROUND($O72*X72,0)</f>
        <v/>
      </c>
      <c r="AP72" s="298">
        <f>ROUND($O72*Y72,0)</f>
        <v/>
      </c>
      <c r="AQ72" s="298">
        <f>ROUND($O72*Z72,0)</f>
        <v/>
      </c>
      <c r="AR72" s="298">
        <f>ROUND($O72*AA72,0)</f>
        <v/>
      </c>
      <c r="AS72" s="299" t="n"/>
      <c r="AT72" s="302">
        <f>ROUND($O72*AC72,0)</f>
        <v/>
      </c>
      <c r="AU72" s="302">
        <f>ROUND($O72*AD72,0)</f>
        <v/>
      </c>
      <c r="AV72" s="302">
        <f>ROUND($O72*AE72,0)</f>
        <v/>
      </c>
      <c r="AW72" s="302">
        <f>ROUND($O72*AF72,0)</f>
        <v/>
      </c>
      <c r="AX72" s="236">
        <f>SUM(AG72:AO72)</f>
        <v/>
      </c>
      <c r="AY72" s="528">
        <f>AX72/160</f>
        <v/>
      </c>
      <c r="AZ72" s="87">
        <f>VLOOKUP(I72,Listy!$A$1:$H$9,6,FALSE)</f>
        <v/>
      </c>
      <c r="BA72" s="682">
        <f>AY72*AZ72</f>
        <v/>
      </c>
      <c r="BB72" s="528" t="n"/>
      <c r="BC72" s="528" t="n"/>
      <c r="BD72" s="528" t="n"/>
      <c r="BE72" s="528" t="n"/>
      <c r="BF72" s="528" t="n"/>
      <c r="BG72" s="528" t="n"/>
      <c r="BH72" s="314">
        <f>BF72*BG72</f>
        <v/>
      </c>
      <c r="BI72" s="528" t="n"/>
      <c r="BJ72" s="51" t="n"/>
      <c r="BK72" s="528" t="n"/>
      <c r="BL72" s="399" t="n"/>
      <c r="BM72" s="528" t="n"/>
      <c r="BN72" s="528" t="n"/>
      <c r="BO72" s="528" t="n"/>
      <c r="BP72" s="528" t="n"/>
      <c r="BQ72" s="528" t="n"/>
      <c r="BR72" s="528" t="n"/>
      <c r="BS72" s="528" t="n"/>
      <c r="BT72" s="528" t="n"/>
      <c r="BU72" s="528" t="n"/>
      <c r="BV72" s="314">
        <f>BT72*BU72</f>
        <v/>
      </c>
      <c r="BW72" s="528" t="n"/>
      <c r="BX72" s="528" t="n"/>
      <c r="BY72" s="528" t="n"/>
      <c r="BZ72" s="314">
        <f>BX72*BY72</f>
        <v/>
      </c>
      <c r="CA72" s="528" t="n"/>
      <c r="CB72" s="528" t="n"/>
      <c r="CC72" s="528" t="n"/>
      <c r="CD72" s="314">
        <f>CB72*CC72</f>
        <v/>
      </c>
    </row>
    <row r="73" ht="15.75" customHeight="1" s="191">
      <c r="A73" s="528" t="n">
        <v>6</v>
      </c>
      <c r="B73" s="528" t="inlineStr">
        <is>
          <t>c</t>
        </is>
      </c>
      <c r="C73" s="529" t="n">
        <v>1</v>
      </c>
      <c r="D73" s="160">
        <f>CONCATENATE(A$3,"_",A73,"_",B73,"_",C73)</f>
        <v/>
      </c>
      <c r="E73" s="221" t="inlineStr">
        <is>
          <t>Analiza optymalnych rozwiązań do przechowywania i przetwarzania danych w chmurze, co pozwala na skalowalność cyfrowego bliźniaka</t>
        </is>
      </c>
      <c r="F73" s="232" t="n"/>
      <c r="G73" s="231" t="inlineStr">
        <is>
          <t>Ekspert merytoryczny/ Architekt rozwiazania</t>
        </is>
      </c>
      <c r="H73" s="55" t="n">
        <v>34</v>
      </c>
      <c r="I73" s="232" t="n"/>
      <c r="J73" s="91">
        <f>M72+1</f>
        <v/>
      </c>
      <c r="K73" s="681">
        <f>VLOOKUP(J73,Kalendarz!B:E,4,FALSE)</f>
        <v/>
      </c>
      <c r="L73" s="681">
        <f>K73+N73</f>
        <v/>
      </c>
      <c r="M73" s="528">
        <f>J73+N73-1</f>
        <v/>
      </c>
      <c r="N73" s="476" t="n">
        <v>0</v>
      </c>
      <c r="O73" s="296" t="n">
        <v>120</v>
      </c>
      <c r="P73" s="242" t="n"/>
      <c r="Q73" s="242" t="n"/>
      <c r="R73" s="242" t="n"/>
      <c r="S73" s="242" t="n"/>
      <c r="T73" s="242" t="n">
        <v>0</v>
      </c>
      <c r="U73" s="242" t="n">
        <v>0.173</v>
      </c>
      <c r="V73" s="242" t="n">
        <v>0.163</v>
      </c>
      <c r="W73" s="242" t="n">
        <v>0.17</v>
      </c>
      <c r="X73" s="242" t="n">
        <v>0.16</v>
      </c>
      <c r="Y73" s="243" t="n">
        <v>0</v>
      </c>
      <c r="Z73" s="243" t="n">
        <v>0.333</v>
      </c>
      <c r="AA73" s="243" t="n">
        <v>0</v>
      </c>
      <c r="AB73" s="243" t="n"/>
      <c r="AC73" s="300" t="n">
        <v>0</v>
      </c>
      <c r="AD73" s="300" t="n">
        <v>0</v>
      </c>
      <c r="AE73" s="300" t="n">
        <v>0</v>
      </c>
      <c r="AF73" s="300" t="n">
        <v>0</v>
      </c>
      <c r="AG73" s="297">
        <f>ROUND($O73*P73,0)</f>
        <v/>
      </c>
      <c r="AH73" s="297">
        <f>ROUND($O73*Q73,0)</f>
        <v/>
      </c>
      <c r="AI73" s="297">
        <f>ROUND($O73*R73,0)</f>
        <v/>
      </c>
      <c r="AJ73" s="297">
        <f>ROUND($O73*S73,0)</f>
        <v/>
      </c>
      <c r="AK73" s="297">
        <f>ROUND($O73*T73,0)</f>
        <v/>
      </c>
      <c r="AL73" s="297">
        <f>ROUND($O73*U73,0)</f>
        <v/>
      </c>
      <c r="AM73" s="297">
        <f>ROUND($O73*V73,0)</f>
        <v/>
      </c>
      <c r="AN73" s="297">
        <f>ROUND($O73*W73,0)</f>
        <v/>
      </c>
      <c r="AO73" s="297">
        <f>ROUND($O73*X73,0)</f>
        <v/>
      </c>
      <c r="AP73" s="298">
        <f>ROUND($O73*Y73,0)</f>
        <v/>
      </c>
      <c r="AQ73" s="298">
        <f>ROUND($O73*Z73,0)</f>
        <v/>
      </c>
      <c r="AR73" s="298">
        <f>ROUND($O73*AA73,0)</f>
        <v/>
      </c>
      <c r="AS73" s="299" t="n"/>
      <c r="AT73" s="302">
        <f>ROUND($O73*AC73,0)</f>
        <v/>
      </c>
      <c r="AU73" s="302">
        <f>ROUND($O73*AD73,0)</f>
        <v/>
      </c>
      <c r="AV73" s="302">
        <f>ROUND($O73*AE73,0)</f>
        <v/>
      </c>
      <c r="AW73" s="302">
        <f>ROUND($O73*AF73,0)</f>
        <v/>
      </c>
      <c r="AX73" s="236">
        <f>SUM(AG73:AO73)</f>
        <v/>
      </c>
      <c r="AY73" s="528">
        <f>AX73/160</f>
        <v/>
      </c>
      <c r="AZ73" s="87">
        <f>VLOOKUP(I73,Listy!$A$1:$H$9,6,FALSE)</f>
        <v/>
      </c>
      <c r="BA73" s="682">
        <f>AY73*AZ73</f>
        <v/>
      </c>
      <c r="BB73" s="528" t="n"/>
      <c r="BC73" s="528" t="n"/>
      <c r="BD73" s="528" t="n"/>
      <c r="BE73" s="528" t="n"/>
      <c r="BF73" s="528" t="n"/>
      <c r="BG73" s="528" t="n"/>
      <c r="BH73" s="314">
        <f>BF73*BG73</f>
        <v/>
      </c>
      <c r="BI73" s="528" t="n"/>
      <c r="BJ73" s="51" t="n"/>
      <c r="BK73" s="314" t="n"/>
      <c r="BL73" s="399" t="n"/>
      <c r="BM73" s="528" t="n"/>
      <c r="BN73" s="314" t="n"/>
      <c r="BO73" s="528" t="n"/>
      <c r="BP73" s="528" t="n"/>
      <c r="BQ73" s="314" t="n"/>
      <c r="BR73" s="314" t="n"/>
      <c r="BS73" s="528" t="n"/>
      <c r="BT73" s="528" t="n"/>
      <c r="BU73" s="528" t="n"/>
      <c r="BV73" s="314">
        <f>BT73*BU73</f>
        <v/>
      </c>
      <c r="BW73" s="528" t="n"/>
      <c r="BX73" s="528" t="n"/>
      <c r="BY73" s="528" t="n"/>
      <c r="BZ73" s="314">
        <f>BX73*BY73</f>
        <v/>
      </c>
      <c r="CA73" s="528" t="n"/>
      <c r="CB73" s="528" t="n"/>
      <c r="CC73" s="528" t="n"/>
      <c r="CD73" s="314">
        <f>CB73*CC73</f>
        <v/>
      </c>
    </row>
    <row r="74" ht="15.75" customHeight="1" s="191">
      <c r="A74" s="528" t="n">
        <v>6</v>
      </c>
      <c r="B74" s="528" t="inlineStr">
        <is>
          <t>d</t>
        </is>
      </c>
      <c r="C74" s="529" t="n">
        <v>1</v>
      </c>
      <c r="D74" s="160">
        <f>CONCATENATE(A$3,"_",A74,"_",B74,"_",C74)</f>
        <v/>
      </c>
      <c r="E74" s="223" t="inlineStr">
        <is>
          <t>Opracowanie i optymalizacja mechanizmów/narzędzi do przechowywania i przetwarzania danych w chmurze/importu danych z wybrana platformą AI</t>
        </is>
      </c>
      <c r="F74" s="232" t="n"/>
      <c r="G74" s="231" t="inlineStr">
        <is>
          <t>Ekspert merytoryczny/ Architekt rozwiazania</t>
        </is>
      </c>
      <c r="H74" s="55" t="n">
        <v>35</v>
      </c>
      <c r="I74" s="232" t="n"/>
      <c r="J74" s="91">
        <f>M73+1</f>
        <v/>
      </c>
      <c r="K74" s="681">
        <f>VLOOKUP(J74,Kalendarz!B:E,4,FALSE)</f>
        <v/>
      </c>
      <c r="L74" s="681">
        <f>K74+N74</f>
        <v/>
      </c>
      <c r="M74" s="528">
        <f>J74+N74-1</f>
        <v/>
      </c>
      <c r="N74" s="474" t="n">
        <v>1</v>
      </c>
      <c r="O74" s="296" t="n">
        <v>120</v>
      </c>
      <c r="P74" s="242" t="n"/>
      <c r="Q74" s="242" t="n"/>
      <c r="R74" s="242" t="n"/>
      <c r="S74" s="242" t="n"/>
      <c r="T74" s="242" t="n">
        <v>0.173</v>
      </c>
      <c r="U74" s="242" t="n">
        <v>0.163</v>
      </c>
      <c r="V74" s="242" t="n">
        <v>0</v>
      </c>
      <c r="W74" s="242" t="n">
        <v>0</v>
      </c>
      <c r="X74" s="242" t="n">
        <v>0</v>
      </c>
      <c r="Y74" s="243" t="n">
        <v>0</v>
      </c>
      <c r="Z74" s="243" t="n">
        <v>0</v>
      </c>
      <c r="AA74" s="243" t="n">
        <v>0.666</v>
      </c>
      <c r="AB74" s="243" t="n"/>
      <c r="AC74" s="300" t="n">
        <v>0</v>
      </c>
      <c r="AD74" s="300" t="n">
        <v>0</v>
      </c>
      <c r="AE74" s="300" t="n">
        <v>0</v>
      </c>
      <c r="AF74" s="300" t="n">
        <v>0</v>
      </c>
      <c r="AG74" s="297">
        <f>ROUND($O74*P74,0)</f>
        <v/>
      </c>
      <c r="AH74" s="297">
        <f>ROUND($O74*Q74,0)</f>
        <v/>
      </c>
      <c r="AI74" s="297">
        <f>ROUND($O74*R74,0)</f>
        <v/>
      </c>
      <c r="AJ74" s="297">
        <f>ROUND($O74*S74,0)</f>
        <v/>
      </c>
      <c r="AK74" s="297">
        <f>ROUND($O74*T74,0)</f>
        <v/>
      </c>
      <c r="AL74" s="297">
        <f>ROUND($O74*U74,0)</f>
        <v/>
      </c>
      <c r="AM74" s="297">
        <f>ROUND($O74*V74,0)</f>
        <v/>
      </c>
      <c r="AN74" s="297">
        <f>ROUND($O74*W74,0)</f>
        <v/>
      </c>
      <c r="AO74" s="297">
        <f>ROUND($O74*X74,0)</f>
        <v/>
      </c>
      <c r="AP74" s="298">
        <f>ROUND($O74*Y74,0)</f>
        <v/>
      </c>
      <c r="AQ74" s="298">
        <f>ROUND($O74*Z74,0)</f>
        <v/>
      </c>
      <c r="AR74" s="298">
        <f>ROUND($O74*AA74,0)</f>
        <v/>
      </c>
      <c r="AS74" s="299" t="n"/>
      <c r="AT74" s="302">
        <f>ROUND($O74*AC74,0)</f>
        <v/>
      </c>
      <c r="AU74" s="302">
        <f>ROUND($O74*AD74,0)</f>
        <v/>
      </c>
      <c r="AV74" s="302">
        <f>ROUND($O74*AE74,0)</f>
        <v/>
      </c>
      <c r="AW74" s="302">
        <f>ROUND($O74*AF74,0)</f>
        <v/>
      </c>
      <c r="AX74" s="236">
        <f>SUM(AG74:AO74)</f>
        <v/>
      </c>
      <c r="AY74" s="528">
        <f>AX74/160</f>
        <v/>
      </c>
      <c r="AZ74" s="87">
        <f>VLOOKUP(I74,Listy!$A$1:$H$9,6,FALSE)</f>
        <v/>
      </c>
      <c r="BA74" s="682">
        <f>AY74*AZ74</f>
        <v/>
      </c>
      <c r="BB74" s="528" t="n"/>
      <c r="BC74" s="528" t="n"/>
      <c r="BD74" s="528" t="n"/>
      <c r="BE74" s="528" t="n"/>
      <c r="BF74" s="528" t="n"/>
      <c r="BG74" s="528" t="n"/>
      <c r="BH74" s="314">
        <f>BF74*BG74</f>
        <v/>
      </c>
      <c r="BI74" s="528" t="n"/>
      <c r="BJ74" s="51" t="n"/>
      <c r="BK74" s="314" t="n"/>
      <c r="BL74" s="399" t="n"/>
      <c r="BM74" s="528" t="n"/>
      <c r="BN74" s="314" t="n"/>
      <c r="BO74" s="528" t="n"/>
      <c r="BP74" s="528" t="n"/>
      <c r="BQ74" s="314" t="n"/>
      <c r="BR74" s="314" t="n"/>
      <c r="BS74" s="528" t="n"/>
      <c r="BT74" s="528" t="n"/>
      <c r="BU74" s="528" t="n"/>
      <c r="BV74" s="314">
        <f>BT74*BU74</f>
        <v/>
      </c>
      <c r="BW74" s="528" t="n"/>
      <c r="BX74" s="528" t="n"/>
      <c r="BY74" s="528" t="n"/>
      <c r="BZ74" s="314">
        <f>BX74*BY74</f>
        <v/>
      </c>
      <c r="CA74" s="528" t="n"/>
      <c r="CB74" s="528" t="n"/>
      <c r="CC74" s="528" t="n"/>
      <c r="CD74" s="314">
        <f>CB74*CC74</f>
        <v/>
      </c>
    </row>
    <row r="75" ht="15.75" customHeight="1" s="191">
      <c r="A75" s="604" t="n">
        <v>7</v>
      </c>
      <c r="B75" s="528" t="inlineStr">
        <is>
          <t>a</t>
        </is>
      </c>
      <c r="C75" s="529" t="n">
        <v>-1</v>
      </c>
      <c r="D75" s="160">
        <f>CONCATENATE(A$3,"_",A75,"_",B75,"_",C75)</f>
        <v/>
      </c>
      <c r="E75" s="607" t="inlineStr">
        <is>
          <t>7.Wizualizacja i interfejs użytkownika</t>
        </is>
      </c>
      <c r="F75" s="148" t="n"/>
      <c r="G75" s="148" t="n"/>
      <c r="H75" s="190" t="n"/>
      <c r="I75" s="148" t="n"/>
      <c r="J75" s="91">
        <f>M74+1</f>
        <v/>
      </c>
      <c r="K75" s="681">
        <f>VLOOKUP(J75,Kalendarz!B:E,4,FALSE)</f>
        <v/>
      </c>
      <c r="L75" s="681">
        <f>K75+N75</f>
        <v/>
      </c>
      <c r="M75" s="528">
        <f>J75+N75-1</f>
        <v/>
      </c>
      <c r="N75" s="474">
        <f>ROUND(MAX(AG75:AO75)/Listy!$U$2,0)</f>
        <v/>
      </c>
      <c r="O75" s="148" t="n"/>
      <c r="P75" s="148" t="n"/>
      <c r="Q75" s="148" t="n"/>
      <c r="R75" s="148" t="n"/>
      <c r="S75" s="148" t="n"/>
      <c r="T75" s="148" t="n"/>
      <c r="U75" s="148" t="n"/>
      <c r="V75" s="190" t="n"/>
      <c r="W75" s="148" t="n"/>
      <c r="X75" s="148" t="n"/>
      <c r="Y75" s="148" t="n"/>
      <c r="Z75" s="148" t="n"/>
      <c r="AA75" s="148" t="n"/>
      <c r="AB75" s="148" t="n"/>
      <c r="AC75" s="148" t="n"/>
      <c r="AD75" s="148" t="n"/>
      <c r="AE75" s="148" t="n"/>
      <c r="AF75" s="148" t="n"/>
      <c r="AG75" s="148" t="n"/>
      <c r="AH75" s="148" t="n"/>
      <c r="AI75" s="148" t="n"/>
      <c r="AJ75" s="148" t="n"/>
      <c r="AK75" s="148" t="n"/>
      <c r="AL75" s="148" t="n"/>
      <c r="AM75" s="190" t="n"/>
      <c r="AN75" s="148" t="n"/>
      <c r="AO75" s="148" t="n"/>
      <c r="AP75" s="148" t="n"/>
      <c r="AQ75" s="148" t="n"/>
      <c r="AR75" s="148" t="n"/>
      <c r="AS75" s="148" t="n"/>
      <c r="AT75" s="148" t="n"/>
      <c r="AU75" s="148" t="n"/>
      <c r="AV75" s="148" t="n"/>
      <c r="AW75" s="148" t="n"/>
      <c r="AX75" s="148" t="n"/>
      <c r="AY75" s="148" t="n"/>
      <c r="AZ75" s="148" t="n"/>
      <c r="BA75" s="148" t="n"/>
      <c r="BB75" s="148" t="n"/>
      <c r="BC75" s="148" t="n"/>
      <c r="BD75" s="148" t="n"/>
      <c r="BE75" s="148" t="n"/>
      <c r="BF75" s="148" t="n"/>
      <c r="BG75" s="148" t="n"/>
      <c r="BH75" s="148" t="n"/>
      <c r="BI75" s="148" t="n"/>
      <c r="BJ75" s="148" t="n"/>
      <c r="BK75" s="148" t="n"/>
      <c r="BL75" s="148" t="n"/>
      <c r="BM75" s="148" t="n"/>
      <c r="BN75" s="148" t="n"/>
      <c r="BO75" s="148" t="n"/>
      <c r="BP75" s="148" t="n"/>
      <c r="BQ75" s="148" t="n"/>
      <c r="BR75" s="148" t="n"/>
      <c r="BS75" s="148" t="n"/>
      <c r="BT75" s="148" t="n"/>
      <c r="BU75" s="148" t="n"/>
      <c r="BV75" s="148" t="n"/>
      <c r="BW75" s="148" t="n"/>
      <c r="BX75" s="148" t="n"/>
      <c r="BY75" s="148" t="n"/>
      <c r="BZ75" s="148" t="n"/>
      <c r="CA75" s="148" t="n"/>
      <c r="CB75" s="148" t="n"/>
      <c r="CC75" s="148" t="n"/>
      <c r="CD75" s="148" t="n"/>
      <c r="CE75" s="148" t="n"/>
      <c r="CF75" s="148" t="n"/>
    </row>
    <row r="76" ht="15.75" customHeight="1" s="191">
      <c r="A76" s="528" t="n">
        <v>7</v>
      </c>
      <c r="B76" s="528" t="inlineStr">
        <is>
          <t>a</t>
        </is>
      </c>
      <c r="C76" s="529" t="n">
        <v>0</v>
      </c>
      <c r="D76" s="160">
        <f>CONCATENATE(A$3,"_",A76,"_",B76,"_",C76)</f>
        <v/>
      </c>
      <c r="E76" s="221" t="inlineStr">
        <is>
          <t>Badania nad wykorzystaniem technologii cyfrowych do wizualizacji procesów magazynowych</t>
        </is>
      </c>
      <c r="F76" s="148" t="n"/>
      <c r="G76" s="148" t="n"/>
      <c r="I76" s="148" t="n"/>
      <c r="J76" s="91">
        <f>M75+1</f>
        <v/>
      </c>
      <c r="K76" s="681">
        <f>VLOOKUP(J76,Kalendarz!B:E,4,FALSE)</f>
        <v/>
      </c>
      <c r="L76" s="681">
        <f>K76+N76</f>
        <v/>
      </c>
      <c r="M76" s="528">
        <f>J76+N76-1</f>
        <v/>
      </c>
      <c r="N76" s="474">
        <f>ROUND(MAX(AG76:AO76)/Listy!$U$2,0)</f>
        <v/>
      </c>
      <c r="O76" s="148" t="n"/>
      <c r="P76" s="148" t="n"/>
      <c r="Q76" s="148" t="n"/>
      <c r="R76" s="148" t="n"/>
      <c r="S76" s="148" t="n"/>
      <c r="T76" s="148" t="n"/>
      <c r="U76" s="148" t="n"/>
      <c r="V76" s="190" t="n"/>
      <c r="W76" s="148" t="n"/>
      <c r="X76" s="148" t="n"/>
      <c r="Y76" s="148" t="n"/>
      <c r="Z76" s="148" t="n"/>
      <c r="AA76" s="148" t="n"/>
      <c r="AB76" s="148" t="n"/>
      <c r="AC76" s="148" t="n"/>
      <c r="AD76" s="148" t="n"/>
      <c r="AE76" s="148" t="n"/>
      <c r="AF76" s="148" t="n"/>
      <c r="AG76" s="148" t="n"/>
      <c r="AH76" s="148" t="n"/>
      <c r="AI76" s="148" t="n"/>
      <c r="AJ76" s="148" t="n"/>
      <c r="AK76" s="148" t="n"/>
      <c r="AL76" s="148" t="n"/>
      <c r="AM76" s="190" t="n"/>
      <c r="AN76" s="148" t="n"/>
      <c r="AO76" s="148" t="n"/>
      <c r="AP76" s="148" t="n"/>
      <c r="AQ76" s="148" t="n"/>
      <c r="AR76" s="148" t="n"/>
      <c r="AS76" s="148" t="n"/>
      <c r="AT76" s="148" t="n"/>
      <c r="AU76" s="148" t="n"/>
      <c r="AV76" s="148" t="n"/>
      <c r="AW76" s="148" t="n"/>
      <c r="AX76" s="148" t="n"/>
      <c r="AY76" s="148" t="n"/>
      <c r="AZ76" s="148" t="n"/>
      <c r="BA76" s="148" t="n"/>
      <c r="BB76" s="148" t="n"/>
      <c r="BC76" s="148" t="n"/>
      <c r="BD76" s="148" t="n"/>
      <c r="BE76" s="148" t="n"/>
      <c r="BF76" s="148" t="n"/>
      <c r="BG76" s="148" t="n"/>
      <c r="BH76" s="148" t="n"/>
      <c r="BI76" s="148" t="n"/>
      <c r="BJ76" s="148" t="n"/>
      <c r="BK76" s="148" t="n"/>
      <c r="BL76" s="148" t="n"/>
      <c r="BM76" s="148" t="n"/>
      <c r="BN76" s="148" t="n"/>
      <c r="BO76" s="148" t="n"/>
      <c r="BP76" s="148" t="n"/>
      <c r="BQ76" s="148" t="n"/>
      <c r="BR76" s="148" t="n"/>
      <c r="BS76" s="148" t="n"/>
      <c r="BT76" s="148" t="n"/>
      <c r="BU76" s="148" t="n"/>
      <c r="BV76" s="148" t="n"/>
      <c r="BW76" s="148" t="n"/>
      <c r="BX76" s="148" t="n"/>
      <c r="BY76" s="148" t="n"/>
      <c r="BZ76" s="148" t="n"/>
      <c r="CA76" s="148" t="n"/>
      <c r="CB76" s="148" t="n"/>
      <c r="CC76" s="148" t="n"/>
      <c r="CD76" s="148" t="n"/>
      <c r="CE76" s="148" t="n"/>
      <c r="CF76" s="148" t="n"/>
    </row>
    <row r="77" ht="15.75" customHeight="1" s="191">
      <c r="A77" s="57" t="n">
        <v>7</v>
      </c>
      <c r="B77" s="57" t="inlineStr">
        <is>
          <t>a</t>
        </is>
      </c>
      <c r="C77" s="529" t="n">
        <v>1</v>
      </c>
      <c r="D77" s="160">
        <f>CONCATENATE(A$3,"_",A77,"_",B77,"_",C77)</f>
        <v/>
      </c>
      <c r="E77" s="222" t="inlineStr">
        <is>
          <t xml:space="preserve">Opracowanie wymagań szczegółowych odnośnie wizualizacji </t>
        </is>
      </c>
      <c r="F77" s="231" t="n"/>
      <c r="G77" s="231" t="inlineStr">
        <is>
          <t>Specjalista</t>
        </is>
      </c>
      <c r="H77" s="55" t="n">
        <v>36</v>
      </c>
      <c r="I77" s="231" t="inlineStr">
        <is>
          <t>ACT</t>
        </is>
      </c>
      <c r="J77" s="91">
        <f>M76+1</f>
        <v/>
      </c>
      <c r="K77" s="681">
        <f>VLOOKUP(J77,Kalendarz!B:E,4,FALSE)</f>
        <v/>
      </c>
      <c r="L77" s="681">
        <f>K77+N77</f>
        <v/>
      </c>
      <c r="M77" s="528">
        <f>J77+N77-1</f>
        <v/>
      </c>
      <c r="N77" s="474" t="n">
        <v>1</v>
      </c>
      <c r="O77" s="296" t="n">
        <v>160</v>
      </c>
      <c r="P77" s="242" t="n"/>
      <c r="Q77" s="242" t="n"/>
      <c r="R77" s="242" t="n"/>
      <c r="S77" s="242" t="n"/>
      <c r="T77" s="242" t="n">
        <v>0.13</v>
      </c>
      <c r="U77" s="242" t="n">
        <v>0.12</v>
      </c>
      <c r="V77" s="242" t="n">
        <v>0.13</v>
      </c>
      <c r="W77" s="242" t="n">
        <v>0.12</v>
      </c>
      <c r="X77" s="242" t="n">
        <v>0</v>
      </c>
      <c r="Y77" s="243" t="n">
        <v>0</v>
      </c>
      <c r="Z77" s="243" t="n">
        <v>0.25</v>
      </c>
      <c r="AA77" s="243" t="n">
        <v>0</v>
      </c>
      <c r="AB77" s="243" t="n"/>
      <c r="AC77" s="300" t="n">
        <v>0.25</v>
      </c>
      <c r="AD77" s="300" t="n">
        <v>0</v>
      </c>
      <c r="AE77" s="300" t="n">
        <v>0</v>
      </c>
      <c r="AF77" s="300" t="n">
        <v>0</v>
      </c>
      <c r="AG77" s="297">
        <f>ROUND($O77*P77,0)</f>
        <v/>
      </c>
      <c r="AH77" s="297">
        <f>ROUND($O77*Q77,0)</f>
        <v/>
      </c>
      <c r="AI77" s="297">
        <f>ROUND($O77*R77,0)</f>
        <v/>
      </c>
      <c r="AJ77" s="297">
        <f>ROUND($O77*S77,0)</f>
        <v/>
      </c>
      <c r="AK77" s="297">
        <f>ROUND($O77*T77,0)</f>
        <v/>
      </c>
      <c r="AL77" s="297">
        <f>ROUND($O77*U77,0)</f>
        <v/>
      </c>
      <c r="AM77" s="297">
        <f>ROUND($O77*V77,0)</f>
        <v/>
      </c>
      <c r="AN77" s="297">
        <f>ROUND($O77*W77,0)</f>
        <v/>
      </c>
      <c r="AO77" s="297">
        <f>ROUND($O77*X77,0)</f>
        <v/>
      </c>
      <c r="AP77" s="298">
        <f>ROUND($O77*Y77,0)</f>
        <v/>
      </c>
      <c r="AQ77" s="298">
        <f>ROUND($O77*Z77,0)</f>
        <v/>
      </c>
      <c r="AR77" s="298">
        <f>ROUND($O77*AA77,0)</f>
        <v/>
      </c>
      <c r="AS77" s="299" t="n"/>
      <c r="AT77" s="302">
        <f>ROUND($O77*AC77,0)</f>
        <v/>
      </c>
      <c r="AU77" s="302">
        <f>ROUND($O77*AD77,0)</f>
        <v/>
      </c>
      <c r="AV77" s="302">
        <f>ROUND($O77*AE77,0)</f>
        <v/>
      </c>
      <c r="AW77" s="302">
        <f>ROUND($O77*AF77,0)</f>
        <v/>
      </c>
      <c r="AX77" s="236">
        <f>SUM(AG77:AO77)</f>
        <v/>
      </c>
      <c r="AY77" s="528">
        <f>AX77/160</f>
        <v/>
      </c>
      <c r="AZ77" s="87">
        <f>VLOOKUP(I77,Listy!$A$1:$H$9,6,FALSE)</f>
        <v/>
      </c>
      <c r="BA77" s="682">
        <f>AY77*AZ77</f>
        <v/>
      </c>
      <c r="BB77" s="528" t="n"/>
      <c r="BC77" s="528" t="n"/>
      <c r="BD77" s="528" t="n"/>
      <c r="BE77" s="528" t="n"/>
      <c r="BF77" s="528" t="n"/>
      <c r="BG77" s="528" t="n"/>
      <c r="BI77" s="528" t="n"/>
      <c r="BJ77" s="528" t="n"/>
      <c r="BL77" s="528" t="n"/>
      <c r="BM77" s="528" t="n"/>
      <c r="BO77" s="528" t="n"/>
      <c r="BP77" s="528" t="n"/>
      <c r="BS77" s="528" t="n"/>
      <c r="BT77" s="528" t="n"/>
      <c r="BU77" s="528" t="n"/>
      <c r="BW77" s="528" t="n"/>
      <c r="BX77" s="528" t="n"/>
      <c r="BY77" s="528" t="n"/>
      <c r="CA77" s="528" t="n"/>
      <c r="CB77" s="528" t="n"/>
      <c r="CC77" s="528" t="n"/>
    </row>
    <row r="78" ht="15.75" customHeight="1" s="191">
      <c r="A78" s="47" t="n">
        <v>7</v>
      </c>
      <c r="B78" s="47" t="inlineStr">
        <is>
          <t>b</t>
        </is>
      </c>
      <c r="C78" s="529" t="n">
        <v>0</v>
      </c>
      <c r="D78" s="160">
        <f>CONCATENATE(A$3,"_",A78,"_",B78,"_",C78)</f>
        <v/>
      </c>
      <c r="E78" s="225" t="inlineStr">
        <is>
          <t>Opracowanie i optymalizacja procedur wizualizacyjnych</t>
        </is>
      </c>
      <c r="F78" s="231" t="n"/>
      <c r="G78" s="231" t="n"/>
      <c r="H78" s="528" t="n"/>
      <c r="I78" s="231" t="n"/>
      <c r="J78" s="91">
        <f>M77+1</f>
        <v/>
      </c>
      <c r="K78" s="681">
        <f>VLOOKUP(J78,Kalendarz!B:E,4,FALSE)</f>
        <v/>
      </c>
      <c r="L78" s="681">
        <f>K78+N78</f>
        <v/>
      </c>
      <c r="M78" s="528">
        <f>J78+N78-1</f>
        <v/>
      </c>
      <c r="N78" s="474">
        <f>ROUND(MAX(AG78:AO78)/Listy!$U$2,0)</f>
        <v/>
      </c>
      <c r="O78" s="296" t="n"/>
      <c r="P78" s="233" t="n"/>
      <c r="Q78" s="233" t="n"/>
      <c r="R78" s="233" t="n"/>
      <c r="S78" s="233" t="n"/>
      <c r="T78" s="233" t="n"/>
      <c r="U78" s="233" t="n"/>
      <c r="V78" s="233" t="n"/>
      <c r="W78" s="233" t="n"/>
      <c r="X78" s="233" t="n"/>
      <c r="Y78" s="233" t="n"/>
      <c r="Z78" s="233" t="n"/>
      <c r="AA78" s="233" t="n"/>
      <c r="AB78" s="233" t="n"/>
      <c r="AC78" s="300" t="n"/>
      <c r="AD78" s="300" t="n"/>
      <c r="AE78" s="300" t="n"/>
      <c r="AF78" s="300" t="n"/>
      <c r="AG78" s="297">
        <f>ROUND($O78*P78,0)</f>
        <v/>
      </c>
      <c r="AH78" s="297">
        <f>ROUND($O78*Q78,0)</f>
        <v/>
      </c>
      <c r="AI78" s="297">
        <f>ROUND($O78*R78,0)</f>
        <v/>
      </c>
      <c r="AJ78" s="297">
        <f>ROUND($O78*S78,0)</f>
        <v/>
      </c>
      <c r="AK78" s="297">
        <f>ROUND($O78*T78,0)</f>
        <v/>
      </c>
      <c r="AL78" s="297">
        <f>ROUND($O78*U78,0)</f>
        <v/>
      </c>
      <c r="AM78" s="297">
        <f>ROUND($O78*V78,0)</f>
        <v/>
      </c>
      <c r="AN78" s="297">
        <f>ROUND($O78*W78,0)</f>
        <v/>
      </c>
      <c r="AO78" s="297">
        <f>ROUND($O78*X78,0)</f>
        <v/>
      </c>
      <c r="AP78" s="298">
        <f>ROUND($O78*Y78,0)</f>
        <v/>
      </c>
      <c r="AQ78" s="298">
        <f>ROUND($O78*Z78,0)</f>
        <v/>
      </c>
      <c r="AR78" s="298">
        <f>ROUND($O78*AA78,0)</f>
        <v/>
      </c>
      <c r="AS78" s="299" t="n"/>
      <c r="AT78" s="302">
        <f>ROUND($O78*AC78,0)</f>
        <v/>
      </c>
      <c r="AU78" s="302">
        <f>ROUND($O78*AD78,0)</f>
        <v/>
      </c>
      <c r="AV78" s="302">
        <f>ROUND($O78*AE78,0)</f>
        <v/>
      </c>
      <c r="AW78" s="302">
        <f>ROUND($O78*AF78,0)</f>
        <v/>
      </c>
      <c r="AX78" s="236">
        <f>SUM(AG78:AO78)</f>
        <v/>
      </c>
      <c r="AY78" s="528">
        <f>AX78/160</f>
        <v/>
      </c>
      <c r="AZ78" s="87">
        <f>VLOOKUP(I78,Listy!$A$1:$H$9,6,FALSE)</f>
        <v/>
      </c>
      <c r="BA78" s="682">
        <f>AY78*AZ78</f>
        <v/>
      </c>
      <c r="BB78" s="528" t="n"/>
      <c r="BC78" s="528" t="n"/>
      <c r="BD78" s="528" t="n"/>
      <c r="BE78" s="528" t="n"/>
      <c r="BF78" s="528" t="n"/>
      <c r="BG78" s="528" t="n"/>
      <c r="BH78" s="314">
        <f>BF78*BG78</f>
        <v/>
      </c>
      <c r="BI78" s="528" t="n"/>
      <c r="BJ78" s="51" t="n"/>
      <c r="BK78" s="528" t="n"/>
      <c r="BL78" s="399" t="n"/>
      <c r="BM78" s="528" t="n"/>
      <c r="BN78" s="528" t="n"/>
      <c r="BO78" s="528" t="n"/>
      <c r="BP78" s="528" t="n"/>
      <c r="BQ78" s="528" t="n"/>
      <c r="BR78" s="528" t="n"/>
      <c r="BS78" s="528" t="n"/>
      <c r="BT78" s="528" t="n"/>
      <c r="BU78" s="528" t="n"/>
      <c r="BV78" s="314">
        <f>BT78*BU78</f>
        <v/>
      </c>
      <c r="BW78" s="528" t="n"/>
      <c r="BX78" s="528" t="n"/>
      <c r="BY78" s="528" t="n"/>
      <c r="BZ78" s="314">
        <f>BX78*BY78</f>
        <v/>
      </c>
      <c r="CA78" s="528" t="n"/>
      <c r="CB78" s="528" t="n"/>
      <c r="CC78" s="528" t="n"/>
      <c r="CD78" s="314">
        <f>CB78*CC78</f>
        <v/>
      </c>
    </row>
    <row r="79" ht="15.75" customHeight="1" s="191">
      <c r="A79" s="47" t="n">
        <v>7</v>
      </c>
      <c r="B79" s="47" t="inlineStr">
        <is>
          <t>b</t>
        </is>
      </c>
      <c r="C79" s="529" t="n">
        <v>0</v>
      </c>
      <c r="D79" s="160">
        <f>CONCATENATE(A$3,"_",A79,"_",B79,"_",C79)</f>
        <v/>
      </c>
      <c r="E79" s="225" t="inlineStr">
        <is>
          <t>Opracowanie i optymalizacja intuicyjnych interfejsów do monitorowania i interakcji z cyfrowym bliźniakiem</t>
        </is>
      </c>
      <c r="F79" s="231" t="n"/>
      <c r="G79" s="231" t="n"/>
      <c r="H79" s="528" t="n"/>
      <c r="I79" s="231" t="n"/>
      <c r="J79" s="91">
        <f>M78+1</f>
        <v/>
      </c>
      <c r="K79" s="681">
        <f>VLOOKUP(J79,Kalendarz!B:E,4,FALSE)</f>
        <v/>
      </c>
      <c r="L79" s="681">
        <f>K79+N79</f>
        <v/>
      </c>
      <c r="M79" s="528">
        <f>J79+N79-1</f>
        <v/>
      </c>
      <c r="N79" s="474">
        <f>ROUND(MAX(AG79:AO79)/Listy!$U$2,0)</f>
        <v/>
      </c>
      <c r="O79" s="295" t="n"/>
      <c r="P79" s="233" t="n"/>
      <c r="Q79" s="233" t="n"/>
      <c r="R79" s="233" t="n"/>
      <c r="S79" s="233" t="n"/>
      <c r="T79" s="233" t="n"/>
      <c r="U79" s="233" t="n"/>
      <c r="V79" s="233" t="n"/>
      <c r="W79" s="233" t="n"/>
      <c r="X79" s="233" t="n"/>
      <c r="Y79" s="233" t="n"/>
      <c r="Z79" s="233" t="n"/>
      <c r="AA79" s="233" t="n"/>
      <c r="AB79" s="233" t="n"/>
      <c r="AC79" s="300" t="n"/>
      <c r="AD79" s="300" t="n"/>
      <c r="AE79" s="300" t="n"/>
      <c r="AF79" s="300" t="n"/>
      <c r="AG79" s="297">
        <f>ROUND($O79*P79,0)</f>
        <v/>
      </c>
      <c r="AH79" s="297">
        <f>ROUND($O79*Q79,0)</f>
        <v/>
      </c>
      <c r="AI79" s="297">
        <f>ROUND($O79*R79,0)</f>
        <v/>
      </c>
      <c r="AJ79" s="297">
        <f>ROUND($O79*S79,0)</f>
        <v/>
      </c>
      <c r="AK79" s="297">
        <f>ROUND($O79*T79,0)</f>
        <v/>
      </c>
      <c r="AL79" s="297">
        <f>ROUND($O79*U79,0)</f>
        <v/>
      </c>
      <c r="AM79" s="297">
        <f>ROUND($O79*V79,0)</f>
        <v/>
      </c>
      <c r="AN79" s="297">
        <f>ROUND($O79*W79,0)</f>
        <v/>
      </c>
      <c r="AO79" s="297">
        <f>ROUND($O79*X79,0)</f>
        <v/>
      </c>
      <c r="AP79" s="298">
        <f>ROUND($O79*Y79,0)</f>
        <v/>
      </c>
      <c r="AQ79" s="298">
        <f>ROUND($O79*Z79,0)</f>
        <v/>
      </c>
      <c r="AR79" s="298">
        <f>ROUND($O79*AA79,0)</f>
        <v/>
      </c>
      <c r="AS79" s="299" t="n"/>
      <c r="AT79" s="302">
        <f>ROUND($O79*AC79,0)</f>
        <v/>
      </c>
      <c r="AU79" s="302">
        <f>ROUND($O79*AD79,0)</f>
        <v/>
      </c>
      <c r="AV79" s="302">
        <f>ROUND($O79*AE79,0)</f>
        <v/>
      </c>
      <c r="AW79" s="302">
        <f>ROUND($O79*AF79,0)</f>
        <v/>
      </c>
      <c r="AX79" s="236">
        <f>SUM(AG79:AO79)</f>
        <v/>
      </c>
      <c r="AY79" s="528">
        <f>AX79/160</f>
        <v/>
      </c>
      <c r="AZ79" s="87">
        <f>VLOOKUP(I79,Listy!$A$1:$H$9,6,FALSE)</f>
        <v/>
      </c>
      <c r="BA79" s="682">
        <f>AY79*AZ79</f>
        <v/>
      </c>
      <c r="BB79" s="528" t="n"/>
      <c r="BC79" s="528" t="n"/>
      <c r="BD79" s="528" t="n"/>
      <c r="BE79" s="528" t="n"/>
      <c r="BF79" s="528" t="n"/>
      <c r="BG79" s="528" t="n"/>
      <c r="BH79" s="314">
        <f>BF79*BG79</f>
        <v/>
      </c>
      <c r="BI79" s="528" t="n"/>
      <c r="BJ79" s="51" t="n"/>
      <c r="BK79" s="528" t="n"/>
      <c r="BL79" s="399" t="n"/>
      <c r="BM79" s="528" t="n"/>
      <c r="BN79" s="528" t="n"/>
      <c r="BO79" s="528" t="n"/>
      <c r="BP79" s="528" t="n"/>
      <c r="BQ79" s="528" t="n"/>
      <c r="BR79" s="528" t="n"/>
      <c r="BS79" s="528" t="n"/>
      <c r="BT79" s="528" t="n"/>
      <c r="BU79" s="528" t="n"/>
      <c r="BV79" s="314">
        <f>BT79*BU79</f>
        <v/>
      </c>
      <c r="BW79" s="528" t="n"/>
      <c r="BX79" s="528" t="n"/>
      <c r="BY79" s="528" t="n"/>
      <c r="BZ79" s="314">
        <f>BX79*BY79</f>
        <v/>
      </c>
      <c r="CA79" s="528" t="n"/>
      <c r="CB79" s="528" t="n"/>
      <c r="CC79" s="528" t="n"/>
      <c r="CD79" s="314">
        <f>CB79*CC79</f>
        <v/>
      </c>
    </row>
    <row r="80" ht="15.75" customHeight="1" s="191">
      <c r="A80" s="604" t="n">
        <v>8</v>
      </c>
      <c r="B80" s="528" t="inlineStr">
        <is>
          <t>a</t>
        </is>
      </c>
      <c r="C80" s="529" t="n">
        <v>-1</v>
      </c>
      <c r="D80" s="160">
        <f>CONCATENATE(A$3,"_",A80,"_",B80,"_",C80)</f>
        <v/>
      </c>
      <c r="E80" s="607" t="inlineStr">
        <is>
          <t>8.Bezpieczeństwo i prywatność</t>
        </is>
      </c>
      <c r="F80" s="148" t="n"/>
      <c r="G80" s="148" t="n"/>
      <c r="H80" s="190" t="n"/>
      <c r="I80" s="148" t="n"/>
      <c r="J80" s="91">
        <f>M79+1</f>
        <v/>
      </c>
      <c r="K80" s="681">
        <f>VLOOKUP(J80,Kalendarz!B:E,4,FALSE)</f>
        <v/>
      </c>
      <c r="L80" s="681">
        <f>K80+N80</f>
        <v/>
      </c>
      <c r="M80" s="528">
        <f>J80+N80-1</f>
        <v/>
      </c>
      <c r="N80" s="474">
        <f>ROUND(MAX(AG80:AO80)/Listy!$U$2,0)</f>
        <v/>
      </c>
      <c r="O80" s="148" t="n"/>
      <c r="P80" s="148" t="n"/>
      <c r="Q80" s="148" t="n"/>
      <c r="R80" s="148" t="n"/>
      <c r="S80" s="148" t="n"/>
      <c r="T80" s="148" t="n"/>
      <c r="U80" s="148" t="n"/>
      <c r="V80" s="190" t="n"/>
      <c r="W80" s="148" t="n"/>
      <c r="X80" s="148" t="n"/>
      <c r="Y80" s="148" t="n"/>
      <c r="Z80" s="148" t="n"/>
      <c r="AA80" s="148" t="n"/>
      <c r="AB80" s="148" t="n"/>
      <c r="AC80" s="148" t="n"/>
      <c r="AD80" s="148" t="n"/>
      <c r="AE80" s="148" t="n"/>
      <c r="AF80" s="148" t="n"/>
      <c r="AG80" s="148" t="n"/>
      <c r="AH80" s="148" t="n"/>
      <c r="AI80" s="148" t="n"/>
      <c r="AJ80" s="148" t="n"/>
      <c r="AK80" s="148" t="n"/>
      <c r="AL80" s="148" t="n"/>
      <c r="AM80" s="148" t="n"/>
      <c r="AN80" s="148" t="n"/>
      <c r="AO80" s="148" t="n"/>
      <c r="AP80" s="148" t="n"/>
      <c r="AQ80" s="148" t="n"/>
      <c r="AR80" s="148" t="n"/>
      <c r="AS80" s="148" t="n"/>
      <c r="AT80" s="148" t="n"/>
      <c r="AU80" s="148" t="n"/>
      <c r="AV80" s="148" t="n"/>
      <c r="AW80" s="148" t="n"/>
      <c r="AX80" s="148" t="n"/>
      <c r="AY80" s="148" t="n"/>
      <c r="AZ80" s="148" t="n"/>
      <c r="BA80" s="148" t="n"/>
      <c r="BB80" s="148" t="n"/>
      <c r="BC80" s="148" t="n"/>
      <c r="BD80" s="148" t="n"/>
      <c r="BE80" s="148" t="n"/>
      <c r="BF80" s="148" t="n"/>
      <c r="BG80" s="148" t="n"/>
      <c r="BH80" s="148" t="n"/>
      <c r="BI80" s="148" t="n"/>
      <c r="BJ80" s="148" t="n"/>
      <c r="BK80" s="148" t="n"/>
      <c r="BL80" s="148" t="n"/>
      <c r="BM80" s="148" t="n"/>
      <c r="BN80" s="148" t="n"/>
      <c r="BO80" s="148" t="n"/>
      <c r="BP80" s="148" t="n"/>
      <c r="BQ80" s="148" t="n"/>
      <c r="BR80" s="148" t="n"/>
      <c r="BS80" s="148" t="n"/>
      <c r="BT80" s="148" t="n"/>
      <c r="BU80" s="148" t="n"/>
      <c r="BV80" s="148" t="n"/>
      <c r="BW80" s="148" t="n"/>
      <c r="BX80" s="148" t="n"/>
      <c r="BY80" s="148" t="n"/>
      <c r="BZ80" s="148" t="n"/>
      <c r="CA80" s="148" t="n"/>
      <c r="CB80" s="148" t="n"/>
      <c r="CC80" s="148" t="n"/>
      <c r="CD80" s="148" t="n"/>
      <c r="CE80" s="148" t="n"/>
      <c r="CF80" s="148" t="n"/>
    </row>
    <row r="81" ht="15.75" customHeight="1" s="191">
      <c r="A81" s="528" t="n">
        <v>8</v>
      </c>
      <c r="B81" s="528" t="inlineStr">
        <is>
          <t>a</t>
        </is>
      </c>
      <c r="C81" s="529" t="n">
        <v>0</v>
      </c>
      <c r="D81" s="160">
        <f>CONCATENATE(A$3,"_",A81,"_",B81,"_",C81)</f>
        <v/>
      </c>
      <c r="E81" s="221" t="inlineStr">
        <is>
          <t>Opracowanie i optymalizacja mechanizmów/narzędzi ochrony danych przed cyberatakami oraz ochrona integralności cyfrowego bliźniaka</t>
        </is>
      </c>
      <c r="F81" s="148" t="n"/>
      <c r="G81" s="148" t="n"/>
      <c r="H81" s="55" t="n"/>
      <c r="I81" s="148" t="n"/>
      <c r="J81" s="91">
        <f>M80+1</f>
        <v/>
      </c>
      <c r="K81" s="681">
        <f>VLOOKUP(J81,Kalendarz!B:E,4,FALSE)</f>
        <v/>
      </c>
      <c r="L81" s="681">
        <f>K81+N81</f>
        <v/>
      </c>
      <c r="M81" s="528">
        <f>J81+N81-1</f>
        <v/>
      </c>
      <c r="N81" s="474">
        <f>ROUND(MAX(AG81:AO81)/Listy!$U$2,0)</f>
        <v/>
      </c>
      <c r="O81" s="148" t="n"/>
      <c r="P81" s="148" t="n"/>
      <c r="Q81" s="148" t="n"/>
      <c r="R81" s="148" t="n"/>
      <c r="S81" s="148" t="n"/>
      <c r="T81" s="148" t="n"/>
      <c r="U81" s="148" t="n"/>
      <c r="V81" s="190" t="n"/>
      <c r="W81" s="148" t="n"/>
      <c r="X81" s="148" t="n"/>
      <c r="Y81" s="148" t="n"/>
      <c r="Z81" s="148" t="n"/>
      <c r="AA81" s="148" t="n"/>
      <c r="AB81" s="148" t="n"/>
      <c r="AC81" s="148" t="n"/>
      <c r="AD81" s="148" t="n"/>
      <c r="AE81" s="148" t="n"/>
      <c r="AF81" s="148" t="n"/>
      <c r="AG81" s="148" t="n"/>
      <c r="AH81" s="148" t="n"/>
      <c r="AI81" s="148" t="n"/>
      <c r="AJ81" s="148" t="n"/>
      <c r="AK81" s="148" t="n"/>
      <c r="AL81" s="148" t="n"/>
      <c r="AM81" s="148" t="n"/>
      <c r="AN81" s="148" t="n"/>
      <c r="AO81" s="148" t="n"/>
      <c r="AP81" s="148" t="n"/>
      <c r="AQ81" s="148" t="n"/>
      <c r="AR81" s="148" t="n"/>
      <c r="AS81" s="148" t="n"/>
      <c r="AT81" s="148" t="n"/>
      <c r="AU81" s="148" t="n"/>
      <c r="AV81" s="148" t="n"/>
      <c r="AW81" s="148" t="n"/>
      <c r="AX81" s="148" t="n"/>
      <c r="AY81" s="148" t="n"/>
      <c r="AZ81" s="148" t="n"/>
      <c r="BA81" s="148" t="n"/>
      <c r="BB81" s="148" t="n"/>
      <c r="BC81" s="148" t="n"/>
      <c r="BD81" s="148" t="n"/>
      <c r="BE81" s="148" t="n"/>
      <c r="BF81" s="148" t="n"/>
      <c r="BG81" s="148" t="n"/>
      <c r="BH81" s="148" t="n"/>
      <c r="BI81" s="148" t="n"/>
      <c r="BJ81" s="148" t="n"/>
      <c r="BK81" s="148" t="n"/>
      <c r="BL81" s="148" t="n"/>
      <c r="BM81" s="148" t="n"/>
      <c r="BN81" s="148" t="n"/>
      <c r="BO81" s="148" t="n"/>
      <c r="BP81" s="148" t="n"/>
      <c r="BQ81" s="148" t="n"/>
      <c r="BR81" s="148" t="n"/>
      <c r="BS81" s="148" t="n"/>
      <c r="BT81" s="148" t="n"/>
      <c r="BU81" s="148" t="n"/>
      <c r="BV81" s="148" t="n"/>
      <c r="BW81" s="148" t="n"/>
      <c r="BX81" s="148" t="n"/>
      <c r="BY81" s="148" t="n"/>
      <c r="BZ81" s="148" t="n"/>
      <c r="CA81" s="148" t="n"/>
      <c r="CB81" s="148" t="n"/>
      <c r="CC81" s="148" t="n"/>
      <c r="CD81" s="148" t="n"/>
      <c r="CE81" s="148" t="n"/>
      <c r="CF81" s="148" t="n"/>
    </row>
    <row r="82" ht="15.75" customHeight="1" s="191">
      <c r="A82" s="57" t="n">
        <v>8</v>
      </c>
      <c r="B82" s="57" t="inlineStr">
        <is>
          <t>a</t>
        </is>
      </c>
      <c r="C82" s="529" t="n">
        <v>1</v>
      </c>
      <c r="D82" s="160">
        <f>CONCATENATE(A$3,"_",A82,"_",B82,"_",C82)</f>
        <v/>
      </c>
      <c r="E82" s="222" t="inlineStr">
        <is>
          <t>Implementacja  modelu uprawnień  dla roli administratora systemu</t>
        </is>
      </c>
      <c r="F82" s="231" t="n"/>
      <c r="G82" s="231" t="inlineStr">
        <is>
          <t>Developer/ Devops</t>
        </is>
      </c>
      <c r="H82" s="528" t="n">
        <v>37</v>
      </c>
      <c r="I82" s="231" t="inlineStr">
        <is>
          <t>END</t>
        </is>
      </c>
      <c r="J82" s="91">
        <f>M81+1</f>
        <v/>
      </c>
      <c r="K82" s="681">
        <f>VLOOKUP(J82,Kalendarz!B:E,4,FALSE)</f>
        <v/>
      </c>
      <c r="L82" s="681">
        <f>K82+N82</f>
        <v/>
      </c>
      <c r="M82" s="528">
        <f>J82+N82-1</f>
        <v/>
      </c>
      <c r="N82" s="474">
        <f>ROUND(MAX(AG82:AO82)/Listy!$U$2,0)</f>
        <v/>
      </c>
      <c r="O82" s="295" t="n">
        <v>40</v>
      </c>
      <c r="P82" s="242" t="n"/>
      <c r="Q82" s="242" t="n"/>
      <c r="R82" s="242" t="n"/>
      <c r="S82" s="242" t="n"/>
      <c r="T82" s="242" t="n">
        <v>0.13</v>
      </c>
      <c r="U82" s="242" t="n">
        <v>0.12</v>
      </c>
      <c r="V82" s="242" t="n">
        <v>0.13</v>
      </c>
      <c r="W82" s="242" t="n">
        <v>0.12</v>
      </c>
      <c r="X82" s="242" t="n">
        <v>0</v>
      </c>
      <c r="Y82" s="243" t="n">
        <v>0.5</v>
      </c>
      <c r="Z82" s="243" t="n">
        <v>0</v>
      </c>
      <c r="AA82" s="243" t="n">
        <v>0</v>
      </c>
      <c r="AB82" s="243" t="n"/>
      <c r="AC82" s="300" t="n">
        <v>0</v>
      </c>
      <c r="AD82" s="300" t="n">
        <v>0</v>
      </c>
      <c r="AE82" s="300" t="n">
        <v>0</v>
      </c>
      <c r="AF82" s="300" t="n">
        <v>0</v>
      </c>
      <c r="AG82" s="297">
        <f>ROUND($O82*P82,0)</f>
        <v/>
      </c>
      <c r="AH82" s="297">
        <f>ROUND($O82*Q82,0)</f>
        <v/>
      </c>
      <c r="AI82" s="297">
        <f>ROUND($O82*R82,0)</f>
        <v/>
      </c>
      <c r="AJ82" s="297">
        <f>ROUND($O82*S82,0)</f>
        <v/>
      </c>
      <c r="AK82" s="297">
        <f>ROUND($O82*T82,0)</f>
        <v/>
      </c>
      <c r="AL82" s="297">
        <f>ROUND($O82*U82,0)</f>
        <v/>
      </c>
      <c r="AM82" s="297">
        <f>ROUND($O82*V82,0)</f>
        <v/>
      </c>
      <c r="AN82" s="297">
        <f>ROUND($O82*W82,0)</f>
        <v/>
      </c>
      <c r="AO82" s="297">
        <f>ROUND($O82*X82,0)</f>
        <v/>
      </c>
      <c r="AP82" s="298">
        <f>ROUND($O82*Y82,0)</f>
        <v/>
      </c>
      <c r="AQ82" s="298">
        <f>ROUND($O82*Z82,0)</f>
        <v/>
      </c>
      <c r="AR82" s="298">
        <f>ROUND($O82*AA82,0)</f>
        <v/>
      </c>
      <c r="AS82" s="299" t="n"/>
      <c r="AT82" s="302">
        <f>ROUND($O82*AC82,0)</f>
        <v/>
      </c>
      <c r="AU82" s="302">
        <f>ROUND($O82*AD82,0)</f>
        <v/>
      </c>
      <c r="AV82" s="302">
        <f>ROUND($O82*AE82,0)</f>
        <v/>
      </c>
      <c r="AW82" s="302">
        <f>ROUND($O82*AF82,0)</f>
        <v/>
      </c>
      <c r="AX82" s="236">
        <f>SUM(AG82:AO82)</f>
        <v/>
      </c>
      <c r="AY82" s="528">
        <f>AX82/160</f>
        <v/>
      </c>
      <c r="AZ82" s="87">
        <f>VLOOKUP(I82,Listy!$A$1:$H$9,6,FALSE)</f>
        <v/>
      </c>
      <c r="BA82" s="682">
        <f>AY82*AZ82</f>
        <v/>
      </c>
      <c r="BB82" s="528" t="n"/>
      <c r="BC82" s="528" t="n"/>
      <c r="BD82" s="528" t="n"/>
      <c r="BE82" s="528" t="n"/>
      <c r="BF82" s="528" t="n"/>
      <c r="BG82" s="528" t="n"/>
      <c r="BI82" s="528" t="n"/>
      <c r="BJ82" s="528" t="n"/>
      <c r="BL82" s="528" t="n"/>
      <c r="BM82" s="528" t="n"/>
      <c r="BO82" s="528" t="n"/>
      <c r="BP82" s="528" t="n"/>
      <c r="BS82" s="528" t="n"/>
      <c r="BT82" s="528" t="n"/>
      <c r="BU82" s="528" t="n"/>
      <c r="BW82" s="528" t="n"/>
      <c r="BX82" s="528" t="n"/>
      <c r="BY82" s="528" t="n"/>
      <c r="CA82" s="528" t="n"/>
      <c r="CB82" s="528" t="n"/>
      <c r="CC82" s="528" t="n"/>
    </row>
    <row r="83" ht="15.75" customHeight="1" s="191">
      <c r="A83" s="57" t="n">
        <v>8</v>
      </c>
      <c r="B83" s="57" t="inlineStr">
        <is>
          <t>a</t>
        </is>
      </c>
      <c r="C83" s="529" t="n">
        <v>2</v>
      </c>
      <c r="D83" s="160">
        <f>CONCATENATE(A$3,"_",A83,"_",B83,"_",C83)</f>
        <v/>
      </c>
      <c r="E83" s="222" t="inlineStr">
        <is>
          <t>Implementacja  modelu uprawnień  dla roli operatora systemu</t>
        </is>
      </c>
      <c r="F83" s="231" t="n"/>
      <c r="G83" s="231" t="inlineStr">
        <is>
          <t>Developer/ Devops</t>
        </is>
      </c>
      <c r="H83" s="528" t="n">
        <v>37</v>
      </c>
      <c r="I83" s="231" t="inlineStr">
        <is>
          <t>END</t>
        </is>
      </c>
      <c r="J83" s="91">
        <f>M82+1</f>
        <v/>
      </c>
      <c r="K83" s="681">
        <f>VLOOKUP(J83,Kalendarz!B:E,4,FALSE)</f>
        <v/>
      </c>
      <c r="L83" s="681">
        <f>K83+N83</f>
        <v/>
      </c>
      <c r="M83" s="528">
        <f>J83+N83-1</f>
        <v/>
      </c>
      <c r="N83" s="474">
        <f>ROUND(MAX(AG83:AO83)/Listy!$U$2,0)</f>
        <v/>
      </c>
      <c r="O83" s="295" t="n">
        <v>40</v>
      </c>
      <c r="P83" s="242" t="n"/>
      <c r="Q83" s="242" t="n"/>
      <c r="R83" s="242" t="n"/>
      <c r="S83" s="242" t="n"/>
      <c r="T83" s="242" t="n">
        <v>0</v>
      </c>
      <c r="U83" s="242" t="n">
        <v>0.13</v>
      </c>
      <c r="V83" s="242" t="n">
        <v>0.12</v>
      </c>
      <c r="W83" s="242" t="n">
        <v>0.13</v>
      </c>
      <c r="X83" s="242" t="n">
        <v>0.12</v>
      </c>
      <c r="Y83" s="243" t="n">
        <v>0.5</v>
      </c>
      <c r="Z83" s="243" t="n">
        <v>0</v>
      </c>
      <c r="AA83" s="243" t="n">
        <v>0</v>
      </c>
      <c r="AB83" s="243" t="n"/>
      <c r="AC83" s="300" t="n">
        <v>0</v>
      </c>
      <c r="AD83" s="300" t="n">
        <v>0</v>
      </c>
      <c r="AE83" s="300" t="n">
        <v>0</v>
      </c>
      <c r="AF83" s="300" t="n">
        <v>0</v>
      </c>
      <c r="AG83" s="297">
        <f>ROUND($O83*P83,0)</f>
        <v/>
      </c>
      <c r="AH83" s="297">
        <f>ROUND($O83*Q83,0)</f>
        <v/>
      </c>
      <c r="AI83" s="297">
        <f>ROUND($O83*R83,0)</f>
        <v/>
      </c>
      <c r="AJ83" s="297">
        <f>ROUND($O83*S83,0)</f>
        <v/>
      </c>
      <c r="AK83" s="297">
        <f>ROUND($O83*T83,0)</f>
        <v/>
      </c>
      <c r="AL83" s="297">
        <f>ROUND($O83*U83,0)</f>
        <v/>
      </c>
      <c r="AM83" s="297">
        <f>ROUND($O83*V83,0)</f>
        <v/>
      </c>
      <c r="AN83" s="297">
        <f>ROUND($O83*W83,0)</f>
        <v/>
      </c>
      <c r="AO83" s="297">
        <f>ROUND($O83*X83,0)</f>
        <v/>
      </c>
      <c r="AP83" s="298">
        <f>ROUND($O83*Y83,0)</f>
        <v/>
      </c>
      <c r="AQ83" s="298">
        <f>ROUND($O83*Z83,0)</f>
        <v/>
      </c>
      <c r="AR83" s="298">
        <f>ROUND($O83*AA83,0)</f>
        <v/>
      </c>
      <c r="AS83" s="299" t="n"/>
      <c r="AT83" s="302">
        <f>ROUND($O83*AC83,0)</f>
        <v/>
      </c>
      <c r="AU83" s="302">
        <f>ROUND($O83*AD83,0)</f>
        <v/>
      </c>
      <c r="AV83" s="302">
        <f>ROUND($O83*AE83,0)</f>
        <v/>
      </c>
      <c r="AW83" s="302">
        <f>ROUND($O83*AF83,0)</f>
        <v/>
      </c>
      <c r="AX83" s="236">
        <f>SUM(AG83:AO83)</f>
        <v/>
      </c>
      <c r="AY83" s="528">
        <f>AX83/160</f>
        <v/>
      </c>
      <c r="AZ83" s="87">
        <f>VLOOKUP(I83,Listy!$A$1:$H$9,6,FALSE)</f>
        <v/>
      </c>
      <c r="BA83" s="682">
        <f>AY83*AZ83</f>
        <v/>
      </c>
      <c r="BB83" s="528" t="n"/>
      <c r="BC83" s="528" t="n"/>
      <c r="BD83" s="528" t="n"/>
      <c r="BE83" s="528" t="n"/>
      <c r="BF83" s="528" t="n"/>
      <c r="BG83" s="528" t="n"/>
      <c r="BI83" s="528" t="n"/>
      <c r="BJ83" s="528" t="n"/>
      <c r="BL83" s="528" t="n"/>
      <c r="BM83" s="528" t="n"/>
      <c r="BO83" s="528" t="n"/>
      <c r="BP83" s="528" t="n"/>
      <c r="BS83" s="528" t="n"/>
      <c r="BT83" s="528" t="n"/>
      <c r="BU83" s="528" t="n"/>
      <c r="BW83" s="528" t="n"/>
      <c r="BX83" s="528" t="n"/>
      <c r="BY83" s="528" t="n"/>
      <c r="CA83" s="528" t="n"/>
      <c r="CB83" s="528" t="n"/>
      <c r="CC83" s="528" t="n"/>
    </row>
    <row r="84" ht="15.75" customHeight="1" s="191">
      <c r="A84" s="57" t="n">
        <v>8</v>
      </c>
      <c r="B84" s="57" t="inlineStr">
        <is>
          <t>a</t>
        </is>
      </c>
      <c r="C84" s="529" t="n">
        <v>3</v>
      </c>
      <c r="D84" s="160">
        <f>CONCATENATE(A$3,"_",A84,"_",B84,"_",C84)</f>
        <v/>
      </c>
      <c r="E84" s="222" t="inlineStr">
        <is>
          <t>Implementacja monitoringu  parametrow pracy systemu</t>
        </is>
      </c>
      <c r="F84" s="231" t="n"/>
      <c r="G84" s="231" t="inlineStr">
        <is>
          <t>Developer/ Devops</t>
        </is>
      </c>
      <c r="H84" s="528" t="n">
        <v>37</v>
      </c>
      <c r="I84" s="231" t="inlineStr">
        <is>
          <t>END</t>
        </is>
      </c>
      <c r="J84" s="91">
        <f>M83+1</f>
        <v/>
      </c>
      <c r="K84" s="681">
        <f>VLOOKUP(J84,Kalendarz!B:E,4,FALSE)</f>
        <v/>
      </c>
      <c r="L84" s="681">
        <f>K84+N84</f>
        <v/>
      </c>
      <c r="M84" s="528">
        <f>J84+N84-1</f>
        <v/>
      </c>
      <c r="N84" s="474">
        <f>ROUND(MAX(AG84:AO84)/Listy!$U$2,0)</f>
        <v/>
      </c>
      <c r="O84" s="295" t="n">
        <v>40</v>
      </c>
      <c r="P84" s="242" t="n"/>
      <c r="Q84" s="242" t="n"/>
      <c r="R84" s="242" t="n"/>
      <c r="S84" s="242" t="n"/>
      <c r="T84" s="242" t="n">
        <v>0</v>
      </c>
      <c r="U84" s="242" t="n">
        <v>0.13</v>
      </c>
      <c r="V84" s="242" t="n">
        <v>0.12</v>
      </c>
      <c r="W84" s="242" t="n">
        <v>0.13</v>
      </c>
      <c r="X84" s="242" t="n">
        <v>0.12</v>
      </c>
      <c r="Y84" s="243" t="n">
        <v>0.5</v>
      </c>
      <c r="Z84" s="243" t="n">
        <v>0</v>
      </c>
      <c r="AA84" s="243" t="n">
        <v>0</v>
      </c>
      <c r="AB84" s="243" t="n"/>
      <c r="AC84" s="300" t="n">
        <v>0</v>
      </c>
      <c r="AD84" s="300" t="n">
        <v>0</v>
      </c>
      <c r="AE84" s="300" t="n">
        <v>0</v>
      </c>
      <c r="AF84" s="300" t="n">
        <v>0</v>
      </c>
      <c r="AG84" s="297">
        <f>ROUND($O84*P84,0)</f>
        <v/>
      </c>
      <c r="AH84" s="297">
        <f>ROUND($O84*Q84,0)</f>
        <v/>
      </c>
      <c r="AI84" s="297">
        <f>ROUND($O84*R84,0)</f>
        <v/>
      </c>
      <c r="AJ84" s="297">
        <f>ROUND($O84*S84,0)</f>
        <v/>
      </c>
      <c r="AK84" s="297">
        <f>ROUND($O84*T84,0)</f>
        <v/>
      </c>
      <c r="AL84" s="297">
        <f>ROUND($O84*U84,0)</f>
        <v/>
      </c>
      <c r="AM84" s="297">
        <f>ROUND($O84*V84,0)</f>
        <v/>
      </c>
      <c r="AN84" s="297">
        <f>ROUND($O84*W84,0)</f>
        <v/>
      </c>
      <c r="AO84" s="297">
        <f>ROUND($O84*X84,0)</f>
        <v/>
      </c>
      <c r="AP84" s="298">
        <f>ROUND($O84*Y84,0)</f>
        <v/>
      </c>
      <c r="AQ84" s="298">
        <f>ROUND($O84*Z84,0)</f>
        <v/>
      </c>
      <c r="AR84" s="298">
        <f>ROUND($O84*AA84,0)</f>
        <v/>
      </c>
      <c r="AS84" s="299" t="n"/>
      <c r="AT84" s="302">
        <f>ROUND($O84*AC84,0)</f>
        <v/>
      </c>
      <c r="AU84" s="302">
        <f>ROUND($O84*AD84,0)</f>
        <v/>
      </c>
      <c r="AV84" s="302">
        <f>ROUND($O84*AE84,0)</f>
        <v/>
      </c>
      <c r="AW84" s="302">
        <f>ROUND($O84*AF84,0)</f>
        <v/>
      </c>
      <c r="AX84" s="236">
        <f>SUM(AG84:AO84)</f>
        <v/>
      </c>
      <c r="AY84" s="528">
        <f>AX84/160</f>
        <v/>
      </c>
      <c r="AZ84" s="87">
        <f>VLOOKUP(I84,Listy!$A$1:$H$9,6,FALSE)</f>
        <v/>
      </c>
      <c r="BA84" s="682">
        <f>AY84*AZ84</f>
        <v/>
      </c>
      <c r="BB84" s="528" t="n"/>
      <c r="BC84" s="528" t="n"/>
      <c r="BD84" s="528" t="n"/>
      <c r="BE84" s="528" t="n"/>
      <c r="BF84" s="528" t="n"/>
      <c r="BG84" s="528" t="n"/>
      <c r="BI84" s="528" t="n"/>
      <c r="BJ84" s="528" t="n"/>
      <c r="BL84" s="528" t="n"/>
      <c r="BM84" s="528" t="n"/>
      <c r="BO84" s="528" t="n"/>
      <c r="BP84" s="528" t="n"/>
      <c r="BS84" s="528" t="n"/>
      <c r="BT84" s="528" t="n"/>
      <c r="BU84" s="528" t="n"/>
      <c r="BW84" s="528" t="n"/>
      <c r="BX84" s="528" t="n"/>
      <c r="BY84" s="528" t="n"/>
      <c r="CA84" s="528" t="n"/>
      <c r="CB84" s="528" t="n"/>
      <c r="CC84" s="528" t="n"/>
    </row>
    <row r="85" ht="15.75" customHeight="1" s="191">
      <c r="A85" s="528" t="n">
        <v>8</v>
      </c>
      <c r="B85" s="528" t="inlineStr">
        <is>
          <t>b</t>
        </is>
      </c>
      <c r="C85" s="529" t="n">
        <v>1</v>
      </c>
      <c r="D85" s="160">
        <f>CONCATENATE(A$3,"_",A85,"_",B85,"_",C85)</f>
        <v/>
      </c>
      <c r="E85" s="225" t="inlineStr">
        <is>
          <t>Opracowanie i optymalizacja mechanizmów/narzędzi anonimizacji danych oraz ochrony wrażliwych informacji w cyfrowym bliźniaku</t>
        </is>
      </c>
      <c r="F85" s="148" t="n"/>
      <c r="G85" s="148" t="n"/>
      <c r="H85" s="528" t="n"/>
      <c r="I85" s="148" t="n"/>
      <c r="J85" s="91">
        <f>M84+1</f>
        <v/>
      </c>
      <c r="K85" s="681">
        <f>VLOOKUP(J85,Kalendarz!B:E,4,FALSE)</f>
        <v/>
      </c>
      <c r="L85" s="681">
        <f>K85+N85</f>
        <v/>
      </c>
      <c r="M85" s="528">
        <f>J85+N85-1</f>
        <v/>
      </c>
      <c r="N85" s="474">
        <f>ROUND(MAX(AG85:AO85)/Listy!$U$2,0)</f>
        <v/>
      </c>
      <c r="O85" s="148" t="n"/>
      <c r="P85" s="148" t="n"/>
      <c r="Q85" s="148" t="n"/>
      <c r="R85" s="148" t="n"/>
      <c r="S85" s="148" t="n"/>
      <c r="T85" s="148" t="n"/>
      <c r="U85" s="148" t="n"/>
      <c r="V85" s="190" t="n"/>
      <c r="W85" s="148" t="n"/>
      <c r="X85" s="148" t="n"/>
      <c r="Y85" s="148" t="n"/>
      <c r="Z85" s="148" t="n"/>
      <c r="AA85" s="148" t="n"/>
      <c r="AB85" s="148" t="n"/>
      <c r="AC85" s="148" t="n"/>
      <c r="AD85" s="148" t="n"/>
      <c r="AE85" s="148" t="n"/>
      <c r="AF85" s="148" t="n"/>
      <c r="AG85" s="148" t="n"/>
      <c r="AH85" s="148" t="n"/>
      <c r="AI85" s="148" t="n"/>
      <c r="AJ85" s="148" t="n"/>
      <c r="AK85" s="148" t="n"/>
      <c r="AL85" s="148" t="n"/>
      <c r="AM85" s="148" t="n"/>
      <c r="AN85" s="148" t="n"/>
      <c r="AO85" s="148" t="n"/>
      <c r="AP85" s="148" t="n"/>
      <c r="AQ85" s="148" t="n"/>
      <c r="AR85" s="148" t="n"/>
      <c r="AS85" s="148" t="n"/>
      <c r="AT85" s="148" t="n"/>
      <c r="AU85" s="148" t="n"/>
      <c r="AV85" s="148" t="n"/>
      <c r="AW85" s="148" t="n"/>
      <c r="AX85" s="148" t="n"/>
      <c r="AY85" s="148" t="n"/>
      <c r="AZ85" s="148" t="n"/>
      <c r="BA85" s="148" t="n"/>
      <c r="BB85" s="148" t="n"/>
      <c r="BC85" s="148" t="n"/>
      <c r="BD85" s="148" t="n"/>
      <c r="BE85" s="148" t="n"/>
      <c r="BF85" s="148" t="n"/>
      <c r="BG85" s="148" t="n"/>
      <c r="BH85" s="148" t="n"/>
      <c r="BI85" s="148" t="n"/>
      <c r="BJ85" s="148" t="n"/>
      <c r="BK85" s="148" t="n"/>
      <c r="BL85" s="148" t="n"/>
      <c r="BM85" s="148" t="n"/>
      <c r="BN85" s="148" t="n"/>
      <c r="BO85" s="148" t="n"/>
      <c r="BP85" s="148" t="n"/>
      <c r="BQ85" s="148" t="n"/>
      <c r="BR85" s="148" t="n"/>
      <c r="BS85" s="148" t="n"/>
      <c r="BT85" s="148" t="n"/>
      <c r="BU85" s="148" t="n"/>
      <c r="BV85" s="148" t="n"/>
      <c r="BW85" s="148" t="n"/>
      <c r="BX85" s="148" t="n"/>
      <c r="BY85" s="148" t="n"/>
      <c r="BZ85" s="148" t="n"/>
      <c r="CA85" s="148" t="n"/>
      <c r="CB85" s="148" t="n"/>
      <c r="CC85" s="148" t="n"/>
      <c r="CD85" s="148" t="n"/>
      <c r="CE85" s="148" t="n"/>
      <c r="CF85" s="148" t="n"/>
    </row>
    <row r="86" ht="15.75" customHeight="1" s="191">
      <c r="A86" s="604" t="n">
        <v>9</v>
      </c>
      <c r="B86" s="528" t="inlineStr">
        <is>
          <t>a</t>
        </is>
      </c>
      <c r="C86" s="529" t="n">
        <v>0</v>
      </c>
      <c r="D86" s="160">
        <f>CONCATENATE(A$3,"_",A86,"_",B86,"_",C86)</f>
        <v/>
      </c>
      <c r="E86" s="607" t="inlineStr">
        <is>
          <t>9.Dokumentacja i szkolenie</t>
        </is>
      </c>
      <c r="F86" s="148" t="n"/>
      <c r="G86" s="148" t="n"/>
      <c r="H86" s="552" t="n"/>
      <c r="I86" s="148" t="n"/>
      <c r="J86" s="91">
        <f>M85+1</f>
        <v/>
      </c>
      <c r="K86" s="681">
        <f>VLOOKUP(J86,Kalendarz!B:E,4,FALSE)</f>
        <v/>
      </c>
      <c r="L86" s="681">
        <f>K86+N86</f>
        <v/>
      </c>
      <c r="M86" s="528">
        <f>J86+N86-1</f>
        <v/>
      </c>
      <c r="N86" s="474">
        <f>ROUND(MAX(AG86:AO86)/Listy!$U$2,0)</f>
        <v/>
      </c>
      <c r="O86" s="148" t="n"/>
      <c r="P86" s="148" t="n"/>
      <c r="Q86" s="148" t="n"/>
      <c r="R86" s="148" t="n"/>
      <c r="S86" s="148" t="n"/>
      <c r="T86" s="148" t="n"/>
      <c r="U86" s="148" t="n"/>
      <c r="V86" s="190" t="n"/>
      <c r="W86" s="148" t="n"/>
      <c r="X86" s="148" t="n"/>
      <c r="Y86" s="148" t="n"/>
      <c r="Z86" s="148" t="n"/>
      <c r="AA86" s="148" t="n"/>
      <c r="AB86" s="148" t="n"/>
      <c r="AC86" s="148" t="n"/>
      <c r="AD86" s="148" t="n"/>
      <c r="AE86" s="148" t="n"/>
      <c r="AF86" s="148" t="n"/>
      <c r="AG86" s="148" t="n"/>
      <c r="AH86" s="148" t="n"/>
      <c r="AI86" s="148" t="n"/>
      <c r="AJ86" s="148" t="n"/>
      <c r="AK86" s="148" t="n"/>
      <c r="AL86" s="148" t="n"/>
      <c r="AM86" s="148" t="n"/>
      <c r="AN86" s="148" t="n"/>
      <c r="AO86" s="148" t="n"/>
      <c r="AP86" s="148" t="n"/>
      <c r="AQ86" s="148" t="n"/>
      <c r="AR86" s="148" t="n"/>
      <c r="AS86" s="148" t="n"/>
      <c r="AT86" s="148" t="n"/>
      <c r="AU86" s="148" t="n"/>
      <c r="AV86" s="148" t="n"/>
      <c r="AW86" s="148" t="n"/>
      <c r="AX86" s="148" t="n"/>
      <c r="AY86" s="148" t="n"/>
      <c r="AZ86" s="148" t="n"/>
      <c r="BA86" s="148" t="n"/>
      <c r="BB86" s="148" t="n"/>
      <c r="BC86" s="148" t="n"/>
      <c r="BD86" s="148" t="n"/>
      <c r="BE86" s="148" t="n"/>
      <c r="BF86" s="148" t="n"/>
      <c r="BG86" s="148" t="n"/>
      <c r="BH86" s="148" t="n"/>
      <c r="BI86" s="148" t="n"/>
      <c r="BJ86" s="148" t="n"/>
      <c r="BK86" s="148" t="n"/>
      <c r="BL86" s="148" t="n"/>
      <c r="BM86" s="148" t="n"/>
      <c r="BN86" s="148" t="n"/>
      <c r="BO86" s="148" t="n"/>
      <c r="BP86" s="148" t="n"/>
      <c r="BQ86" s="148" t="n"/>
      <c r="BR86" s="148" t="n"/>
      <c r="BS86" s="148" t="n"/>
      <c r="BT86" s="148" t="n"/>
      <c r="BU86" s="148" t="n"/>
      <c r="BV86" s="148" t="n"/>
      <c r="BW86" s="148" t="n"/>
      <c r="BX86" s="148" t="n"/>
      <c r="BY86" s="148" t="n"/>
      <c r="BZ86" s="148" t="n"/>
      <c r="CA86" s="148" t="n"/>
      <c r="CB86" s="148" t="n"/>
      <c r="CC86" s="148" t="n"/>
      <c r="CD86" s="148" t="n"/>
      <c r="CE86" s="148" t="n"/>
      <c r="CF86" s="148" t="n"/>
    </row>
    <row r="87" ht="15.75" customHeight="1" s="191">
      <c r="A87" s="528" t="n">
        <v>9</v>
      </c>
      <c r="B87" s="528" t="inlineStr">
        <is>
          <t>a</t>
        </is>
      </c>
      <c r="C87" s="529" t="n">
        <v>1</v>
      </c>
      <c r="D87" s="160">
        <f>CONCATENATE(A$3,"_",A87,"_",B87,"_",C87)</f>
        <v/>
      </c>
      <c r="E87" s="226" t="inlineStr">
        <is>
          <t>Utworzenie dokumentacji technicznej cyfrowego blizniaka</t>
        </is>
      </c>
      <c r="F87" s="231" t="n"/>
      <c r="G87" s="231" t="inlineStr">
        <is>
          <t>Ekspert merytoryczny/ Architekt rozwiazania</t>
        </is>
      </c>
      <c r="H87" s="528" t="n">
        <v>38</v>
      </c>
      <c r="I87" s="231" t="inlineStr">
        <is>
          <t>ACT</t>
        </is>
      </c>
      <c r="J87" s="91">
        <f>M86+1</f>
        <v/>
      </c>
      <c r="K87" s="681">
        <f>VLOOKUP(J87,Kalendarz!B:E,4,FALSE)</f>
        <v/>
      </c>
      <c r="L87" s="681">
        <f>K87+N87</f>
        <v/>
      </c>
      <c r="M87" s="528">
        <f>J87+N87-1</f>
        <v/>
      </c>
      <c r="N87" s="474" t="n">
        <v>1</v>
      </c>
      <c r="O87" s="295" t="n">
        <v>120</v>
      </c>
      <c r="P87" s="242" t="n"/>
      <c r="Q87" s="242" t="n"/>
      <c r="R87" s="242" t="n"/>
      <c r="S87" s="242" t="n"/>
      <c r="T87" s="242" t="n">
        <v>0.173</v>
      </c>
      <c r="U87" s="242" t="n">
        <v>0.163</v>
      </c>
      <c r="V87" s="242" t="n">
        <v>0.17</v>
      </c>
      <c r="W87" s="242" t="n">
        <v>0.16</v>
      </c>
      <c r="X87" s="242" t="n">
        <v>0</v>
      </c>
      <c r="Y87" s="243" t="n">
        <v>0</v>
      </c>
      <c r="Z87" s="243" t="n">
        <v>0</v>
      </c>
      <c r="AA87" s="243" t="n">
        <v>0.333</v>
      </c>
      <c r="AB87" s="243" t="n"/>
      <c r="AC87" s="300" t="n">
        <v>0</v>
      </c>
      <c r="AD87" s="300" t="n">
        <v>0</v>
      </c>
      <c r="AE87" s="300" t="n">
        <v>0</v>
      </c>
      <c r="AF87" s="300" t="n">
        <v>0</v>
      </c>
      <c r="AG87" s="297">
        <f>ROUND($O87*P87,0)</f>
        <v/>
      </c>
      <c r="AH87" s="297">
        <f>ROUND($O87*Q87,0)</f>
        <v/>
      </c>
      <c r="AI87" s="297">
        <f>ROUND($O87*R87,0)</f>
        <v/>
      </c>
      <c r="AJ87" s="297">
        <f>ROUND($O87*S87,0)</f>
        <v/>
      </c>
      <c r="AK87" s="297">
        <f>ROUND($O87*T87,0)</f>
        <v/>
      </c>
      <c r="AL87" s="297">
        <f>ROUND($O87*U87,0)</f>
        <v/>
      </c>
      <c r="AM87" s="297">
        <f>ROUND($O87*V87,0)</f>
        <v/>
      </c>
      <c r="AN87" s="297">
        <f>ROUND($O87*W87,0)</f>
        <v/>
      </c>
      <c r="AO87" s="297">
        <f>ROUND($O87*X87,0)</f>
        <v/>
      </c>
      <c r="AP87" s="298">
        <f>ROUND($O87*Y87,0)</f>
        <v/>
      </c>
      <c r="AQ87" s="298">
        <f>ROUND($O87*Z87,0)</f>
        <v/>
      </c>
      <c r="AR87" s="298">
        <f>ROUND($O87*AA87,0)</f>
        <v/>
      </c>
      <c r="AS87" s="299" t="n"/>
      <c r="AT87" s="302">
        <f>ROUND($O87*AC87,0)</f>
        <v/>
      </c>
      <c r="AU87" s="302">
        <f>ROUND($O87*AD87,0)</f>
        <v/>
      </c>
      <c r="AV87" s="302">
        <f>ROUND($O87*AE87,0)</f>
        <v/>
      </c>
      <c r="AW87" s="302">
        <f>ROUND($O87*AF87,0)</f>
        <v/>
      </c>
      <c r="AX87" s="236">
        <f>SUM(AG87:AO87)</f>
        <v/>
      </c>
      <c r="AY87" s="528">
        <f>AX87/160</f>
        <v/>
      </c>
      <c r="AZ87" s="87">
        <f>VLOOKUP(I87,Listy!$A$1:$H$9,6,FALSE)</f>
        <v/>
      </c>
      <c r="BA87" s="682">
        <f>AY87*AZ87</f>
        <v/>
      </c>
      <c r="BB87" s="528" t="n"/>
      <c r="BC87" s="528" t="n"/>
      <c r="BD87" s="528" t="n"/>
      <c r="BE87" s="528" t="n"/>
      <c r="BF87" s="528" t="n"/>
      <c r="BG87" s="528" t="n"/>
      <c r="BH87" s="314">
        <f>BF87*BG87</f>
        <v/>
      </c>
      <c r="BI87" s="528" t="n"/>
      <c r="BJ87" s="51" t="n"/>
      <c r="BK87" s="21" t="n"/>
      <c r="BL87" s="399" t="n"/>
      <c r="BM87" s="528" t="n"/>
      <c r="BN87" s="21" t="n"/>
      <c r="BO87" s="528" t="n"/>
      <c r="BP87" s="528" t="n"/>
      <c r="BQ87" s="21" t="n"/>
      <c r="BR87" s="21" t="n"/>
      <c r="BS87" s="528" t="n"/>
      <c r="BT87" s="528" t="n"/>
      <c r="BU87" s="528" t="n"/>
      <c r="BV87" s="314">
        <f>BT87*BU87</f>
        <v/>
      </c>
      <c r="BW87" s="528" t="n"/>
      <c r="BX87" s="528" t="n"/>
      <c r="BY87" s="528" t="n"/>
      <c r="BZ87" s="314">
        <f>BX87*BY87</f>
        <v/>
      </c>
      <c r="CA87" s="528" t="n"/>
      <c r="CB87" s="528" t="n"/>
      <c r="CC87" s="528" t="n"/>
      <c r="CD87" s="314">
        <f>CB87*CC87</f>
        <v/>
      </c>
    </row>
    <row r="88" ht="15.75" customHeight="1" s="191">
      <c r="A88" s="528" t="n">
        <v>9</v>
      </c>
      <c r="B88" s="528" t="inlineStr">
        <is>
          <t>a</t>
        </is>
      </c>
      <c r="C88" s="529" t="n">
        <v>2</v>
      </c>
      <c r="D88" s="160">
        <f>CONCATENATE(A$3,"_",A88,"_",B88,"_",C88)</f>
        <v/>
      </c>
      <c r="E88" s="226" t="inlineStr">
        <is>
          <t>Szkolenie techniczne  z technologii wykorzystanych w cyfrowym bliźniaku</t>
        </is>
      </c>
      <c r="F88" s="231" t="n"/>
      <c r="G88" s="231" t="inlineStr">
        <is>
          <t>Ekspert merytoryczny/ Architekt rozwiazania</t>
        </is>
      </c>
      <c r="H88" s="528" t="n">
        <v>39</v>
      </c>
      <c r="I88" s="231" t="inlineStr">
        <is>
          <t>END</t>
        </is>
      </c>
      <c r="J88" s="91">
        <f>M87+1</f>
        <v/>
      </c>
      <c r="K88" s="681">
        <f>VLOOKUP(J88,Kalendarz!B:E,4,FALSE)</f>
        <v/>
      </c>
      <c r="L88" s="681">
        <f>K88+N88</f>
        <v/>
      </c>
      <c r="M88" s="528">
        <f>J88+N88-1</f>
        <v/>
      </c>
      <c r="N88" s="474" t="n">
        <v>1</v>
      </c>
      <c r="O88" s="295" t="n">
        <v>200</v>
      </c>
      <c r="P88" s="242" t="n"/>
      <c r="Q88" s="242" t="n"/>
      <c r="R88" s="242" t="n"/>
      <c r="S88" s="242" t="n"/>
      <c r="T88" s="242" t="n">
        <v>0.2</v>
      </c>
      <c r="U88" s="242" t="n">
        <v>0.2</v>
      </c>
      <c r="V88" s="242" t="n">
        <v>0.2</v>
      </c>
      <c r="W88" s="242" t="n">
        <v>0.2</v>
      </c>
      <c r="X88" s="242" t="n">
        <v>0</v>
      </c>
      <c r="Y88" s="243" t="n">
        <v>0</v>
      </c>
      <c r="Z88" s="243" t="n">
        <v>0</v>
      </c>
      <c r="AA88" s="243" t="n">
        <v>0.2</v>
      </c>
      <c r="AB88" s="243" t="n"/>
      <c r="AC88" s="300" t="n">
        <v>0</v>
      </c>
      <c r="AD88" s="300" t="n">
        <v>0</v>
      </c>
      <c r="AE88" s="300" t="n">
        <v>0</v>
      </c>
      <c r="AF88" s="300" t="n">
        <v>0</v>
      </c>
      <c r="AG88" s="297">
        <f>ROUND($O88*P88,0)</f>
        <v/>
      </c>
      <c r="AH88" s="297">
        <f>ROUND($O88*Q88,0)</f>
        <v/>
      </c>
      <c r="AI88" s="297">
        <f>ROUND($O88*R88,0)</f>
        <v/>
      </c>
      <c r="AJ88" s="297">
        <f>ROUND($O88*S88,0)</f>
        <v/>
      </c>
      <c r="AK88" s="297">
        <f>ROUND($O88*T88,0)</f>
        <v/>
      </c>
      <c r="AL88" s="297">
        <f>ROUND($O88*U88,0)</f>
        <v/>
      </c>
      <c r="AM88" s="297">
        <f>ROUND($O88*V88,0)</f>
        <v/>
      </c>
      <c r="AN88" s="297">
        <f>ROUND($O88*W88,0)</f>
        <v/>
      </c>
      <c r="AO88" s="297">
        <f>ROUND($O88*X88,0)</f>
        <v/>
      </c>
      <c r="AP88" s="298">
        <f>ROUND($O88*Y88,0)</f>
        <v/>
      </c>
      <c r="AQ88" s="298">
        <f>ROUND($O88*Z88,0)</f>
        <v/>
      </c>
      <c r="AR88" s="298">
        <f>ROUND($O88*AA88,0)</f>
        <v/>
      </c>
      <c r="AS88" s="299" t="n"/>
      <c r="AT88" s="302">
        <f>ROUND($O88*AC88,0)</f>
        <v/>
      </c>
      <c r="AU88" s="302">
        <f>ROUND($O88*AD88,0)</f>
        <v/>
      </c>
      <c r="AV88" s="302">
        <f>ROUND($O88*AE88,0)</f>
        <v/>
      </c>
      <c r="AW88" s="302">
        <f>ROUND($O88*AF88,0)</f>
        <v/>
      </c>
      <c r="AX88" s="236">
        <f>SUM(AG88:AO88)</f>
        <v/>
      </c>
      <c r="AY88" s="528">
        <f>AX88/160</f>
        <v/>
      </c>
      <c r="AZ88" s="87">
        <f>VLOOKUP(I88,Listy!$A$1:$H$9,6,FALSE)</f>
        <v/>
      </c>
      <c r="BA88" s="682">
        <f>AY88*AZ88</f>
        <v/>
      </c>
      <c r="BB88" s="528" t="n"/>
      <c r="BC88" s="528" t="n"/>
      <c r="BD88" s="528" t="n"/>
      <c r="BE88" s="528" t="n"/>
      <c r="BF88" s="528" t="n"/>
      <c r="BG88" s="528" t="n"/>
      <c r="BH88" s="314">
        <f>BF88*BG88</f>
        <v/>
      </c>
      <c r="BI88" s="528" t="n"/>
      <c r="BJ88" s="51" t="n"/>
      <c r="BK88" s="21" t="n"/>
      <c r="BL88" s="399" t="n"/>
      <c r="BM88" s="528" t="n"/>
      <c r="BN88" s="21" t="n"/>
      <c r="BO88" s="528" t="n"/>
      <c r="BP88" s="528" t="n"/>
      <c r="BQ88" s="21" t="n"/>
      <c r="BR88" s="21" t="n"/>
      <c r="BS88" s="528" t="n"/>
      <c r="BT88" s="528" t="n"/>
      <c r="BU88" s="528" t="n"/>
      <c r="BV88" s="314">
        <f>BT88*BU88</f>
        <v/>
      </c>
      <c r="BW88" s="528" t="n"/>
      <c r="BX88" s="528" t="n"/>
      <c r="BY88" s="528" t="n"/>
      <c r="BZ88" s="314">
        <f>BX88*BY88</f>
        <v/>
      </c>
      <c r="CA88" s="528" t="n"/>
      <c r="CB88" s="528" t="n"/>
      <c r="CC88" s="528" t="n"/>
      <c r="CD88" s="314">
        <f>CB88*CC88</f>
        <v/>
      </c>
    </row>
    <row r="89" ht="15.75" customHeight="1" s="191">
      <c r="A89" s="528" t="n">
        <v>9</v>
      </c>
      <c r="B89" s="528" t="inlineStr">
        <is>
          <t>a</t>
        </is>
      </c>
      <c r="C89" s="529" t="n">
        <v>3</v>
      </c>
      <c r="D89" s="160">
        <f>CONCATENATE(A$3,"_",A89,"_",B89,"_",C89)</f>
        <v/>
      </c>
      <c r="E89" s="226" t="inlineStr">
        <is>
          <t>Szkolenie techniczne  z procesow operacyjnych  cyfrowego bliźniaka</t>
        </is>
      </c>
      <c r="F89" s="231" t="n"/>
      <c r="G89" s="231" t="inlineStr">
        <is>
          <t>Ekspert merytoryczny/ Architekt rozwiazania</t>
        </is>
      </c>
      <c r="H89" s="528" t="n">
        <v>39</v>
      </c>
      <c r="I89" s="231" t="inlineStr">
        <is>
          <t>END</t>
        </is>
      </c>
      <c r="J89" s="91">
        <f>M88+1</f>
        <v/>
      </c>
      <c r="K89" s="681">
        <f>VLOOKUP(J89,Kalendarz!B:E,4,FALSE)</f>
        <v/>
      </c>
      <c r="L89" s="681">
        <f>K89+N89</f>
        <v/>
      </c>
      <c r="M89" s="528">
        <f>J89+N89-1</f>
        <v/>
      </c>
      <c r="N89" s="474" t="n">
        <v>1</v>
      </c>
      <c r="O89" s="295" t="n">
        <v>200</v>
      </c>
      <c r="P89" s="242" t="n"/>
      <c r="Q89" s="242" t="n"/>
      <c r="R89" s="242" t="n"/>
      <c r="S89" s="242" t="n"/>
      <c r="T89" s="242" t="n">
        <v>0.2</v>
      </c>
      <c r="U89" s="242" t="n">
        <v>0.2</v>
      </c>
      <c r="V89" s="242" t="n">
        <v>0.2</v>
      </c>
      <c r="W89" s="242" t="n">
        <v>0.2</v>
      </c>
      <c r="X89" s="242" t="n">
        <v>0</v>
      </c>
      <c r="Y89" s="243" t="n">
        <v>0</v>
      </c>
      <c r="Z89" s="243" t="n">
        <v>0</v>
      </c>
      <c r="AA89" s="243" t="n">
        <v>0.2</v>
      </c>
      <c r="AB89" s="243" t="n"/>
      <c r="AC89" s="300" t="n">
        <v>0</v>
      </c>
      <c r="AD89" s="300" t="n">
        <v>0</v>
      </c>
      <c r="AE89" s="300" t="n">
        <v>0</v>
      </c>
      <c r="AF89" s="300" t="n">
        <v>0</v>
      </c>
      <c r="AG89" s="297">
        <f>ROUND($O89*P89,0)</f>
        <v/>
      </c>
      <c r="AH89" s="297">
        <f>ROUND($O89*Q89,0)</f>
        <v/>
      </c>
      <c r="AI89" s="297">
        <f>ROUND($O89*R89,0)</f>
        <v/>
      </c>
      <c r="AJ89" s="297">
        <f>ROUND($O89*S89,0)</f>
        <v/>
      </c>
      <c r="AK89" s="297">
        <f>ROUND($O89*T89,0)</f>
        <v/>
      </c>
      <c r="AL89" s="297">
        <f>ROUND($O89*U89,0)</f>
        <v/>
      </c>
      <c r="AM89" s="297">
        <f>ROUND($O89*V89,0)</f>
        <v/>
      </c>
      <c r="AN89" s="297">
        <f>ROUND($O89*W89,0)</f>
        <v/>
      </c>
      <c r="AO89" s="297">
        <f>ROUND($O89*X89,0)</f>
        <v/>
      </c>
      <c r="AP89" s="298">
        <f>ROUND($O89*Y89,0)</f>
        <v/>
      </c>
      <c r="AQ89" s="298">
        <f>ROUND($O89*Z89,0)</f>
        <v/>
      </c>
      <c r="AR89" s="298">
        <f>ROUND($O89*AA89,0)</f>
        <v/>
      </c>
      <c r="AS89" s="299" t="n"/>
      <c r="AT89" s="302">
        <f>ROUND($O89*AC89,0)</f>
        <v/>
      </c>
      <c r="AU89" s="302">
        <f>ROUND($O89*AD89,0)</f>
        <v/>
      </c>
      <c r="AV89" s="302">
        <f>ROUND($O89*AE89,0)</f>
        <v/>
      </c>
      <c r="AW89" s="302">
        <f>ROUND($O89*AF89,0)</f>
        <v/>
      </c>
      <c r="AX89" s="236">
        <f>SUM(AG89:AO89)</f>
        <v/>
      </c>
      <c r="AY89" s="528">
        <f>AX89/160</f>
        <v/>
      </c>
      <c r="AZ89" s="87">
        <f>VLOOKUP(I89,Listy!$A$1:$H$9,6,FALSE)</f>
        <v/>
      </c>
      <c r="BA89" s="682">
        <f>AY89*AZ89</f>
        <v/>
      </c>
      <c r="BB89" s="528" t="n"/>
      <c r="BC89" s="528" t="n"/>
      <c r="BD89" s="528" t="n"/>
      <c r="BE89" s="528" t="n"/>
      <c r="BF89" s="528" t="n"/>
      <c r="BG89" s="528" t="n"/>
      <c r="BH89" s="314">
        <f>BF89*BG89</f>
        <v/>
      </c>
      <c r="BI89" s="528" t="n"/>
      <c r="BJ89" s="51" t="n"/>
      <c r="BK89" s="21" t="n"/>
      <c r="BL89" s="399" t="n"/>
      <c r="BM89" s="528" t="n"/>
      <c r="BN89" s="21" t="n"/>
      <c r="BO89" s="528" t="n"/>
      <c r="BP89" s="528" t="n"/>
      <c r="BQ89" s="21" t="n"/>
      <c r="BR89" s="21" t="n"/>
      <c r="BS89" s="528" t="n"/>
      <c r="BT89" s="528" t="n"/>
      <c r="BU89" s="528" t="n"/>
      <c r="BV89" s="314">
        <f>BT89*BU89</f>
        <v/>
      </c>
      <c r="BW89" s="528" t="n"/>
      <c r="BX89" s="528" t="n"/>
      <c r="BY89" s="528" t="n"/>
      <c r="BZ89" s="314">
        <f>BX89*BY89</f>
        <v/>
      </c>
      <c r="CA89" s="528" t="n"/>
      <c r="CB89" s="528" t="n"/>
      <c r="CC89" s="528" t="n"/>
      <c r="CD89" s="314">
        <f>CB89*CC89</f>
        <v/>
      </c>
    </row>
    <row r="90" ht="14.4" customFormat="1" customHeight="1" s="538">
      <c r="A90" s="349" t="n"/>
      <c r="B90" s="350" t="n"/>
      <c r="C90" s="349" t="n"/>
      <c r="D90" s="333" t="n"/>
      <c r="E90" s="354" t="n"/>
      <c r="F90" s="336" t="n"/>
      <c r="G90" s="336" t="n"/>
      <c r="H90" s="335" t="n"/>
      <c r="I90" s="336" t="n"/>
      <c r="J90" s="336" t="n"/>
      <c r="K90" s="336" t="n"/>
      <c r="L90" s="336" t="n"/>
      <c r="M90" s="336" t="n"/>
      <c r="N90" s="336" t="n"/>
      <c r="O90" s="336" t="n"/>
      <c r="P90" s="430" t="n"/>
      <c r="Q90" s="430" t="n"/>
      <c r="R90" s="430" t="n"/>
      <c r="S90" s="430" t="n"/>
      <c r="T90" s="430" t="n"/>
      <c r="U90" s="430" t="n"/>
      <c r="V90" s="430" t="n"/>
      <c r="W90" s="430" t="n"/>
      <c r="X90" s="430" t="n"/>
      <c r="Y90" s="430" t="n"/>
      <c r="Z90" s="430" t="n"/>
      <c r="AA90" s="430" t="n"/>
      <c r="AB90" s="430" t="n"/>
      <c r="AC90" s="338" t="n"/>
      <c r="AD90" s="338" t="n"/>
      <c r="AE90" s="338" t="n"/>
      <c r="AF90" s="338" t="n"/>
      <c r="AG90" s="585">
        <f>SUM(AG$3:AG89)</f>
        <v/>
      </c>
      <c r="AH90" s="586">
        <f>SUM(AH$3:AH89)</f>
        <v/>
      </c>
      <c r="AI90" s="586">
        <f>SUM(AI$3:AI89)</f>
        <v/>
      </c>
      <c r="AJ90" s="586">
        <f>SUM(AJ$3:AJ89)</f>
        <v/>
      </c>
      <c r="AK90" s="586">
        <f>SUM(AK$3:AK89)</f>
        <v/>
      </c>
      <c r="AL90" s="586">
        <f>SUM(AL$3:AL89)</f>
        <v/>
      </c>
      <c r="AM90" s="586">
        <f>SUM(AM$3:AM89)</f>
        <v/>
      </c>
      <c r="AN90" s="586">
        <f>SUM(AN$3:AN89)</f>
        <v/>
      </c>
      <c r="AO90" s="587">
        <f>SUM(AO$3:AO89)</f>
        <v/>
      </c>
      <c r="AP90" s="579">
        <f>SUM(AP$3:AP89)</f>
        <v/>
      </c>
      <c r="AQ90" s="580">
        <f>SUM(AQ$3:AQ89)</f>
        <v/>
      </c>
      <c r="AR90" s="580">
        <f>SUM(AR$3:AR89)</f>
        <v/>
      </c>
      <c r="AS90" s="581">
        <f>SUM(AS$3:AS89)</f>
        <v/>
      </c>
      <c r="AT90" s="572">
        <f>SUM(AT$3:AT89)</f>
        <v/>
      </c>
      <c r="AU90" s="573">
        <f>SUM(AU$3:AU89)</f>
        <v/>
      </c>
      <c r="AV90" s="573">
        <f>SUM(AV$3:AV89)</f>
        <v/>
      </c>
      <c r="AW90" s="574">
        <f>SUM(AW$3:AW89)</f>
        <v/>
      </c>
      <c r="AX90" s="684">
        <f>SUM(AX$3:AX89)</f>
        <v/>
      </c>
      <c r="AZ90" s="336" t="n"/>
      <c r="BA90" s="336" t="n"/>
      <c r="BC90" s="336" t="n"/>
      <c r="BD90" s="336" t="n"/>
      <c r="BE90" s="336" t="n"/>
      <c r="BF90" s="336" t="n"/>
      <c r="BG90" s="336" t="n"/>
      <c r="BH90" s="336" t="n"/>
      <c r="BJ90" s="336" t="n"/>
      <c r="BK90" s="336" t="n"/>
      <c r="BM90" s="336" t="n"/>
      <c r="BN90" s="336" t="n"/>
      <c r="BP90" s="336" t="n"/>
      <c r="BQ90" s="336" t="n"/>
      <c r="BT90" s="336" t="n"/>
      <c r="BU90" s="336" t="n"/>
      <c r="BV90" s="336" t="n"/>
      <c r="BX90" s="336" t="n"/>
      <c r="BY90" s="336" t="n"/>
      <c r="BZ90" s="336" t="n"/>
      <c r="CB90" s="336" t="n"/>
      <c r="CC90" s="336" t="n"/>
      <c r="CD90" s="336" t="n"/>
    </row>
    <row r="91" ht="14.4" customFormat="1" customHeight="1" s="538">
      <c r="A91" s="349" t="n"/>
      <c r="B91" s="350" t="n"/>
      <c r="C91" s="349" t="n"/>
      <c r="D91" s="333" t="n"/>
      <c r="E91" s="333" t="n"/>
      <c r="F91" s="336" t="n"/>
      <c r="G91" s="336" t="n"/>
      <c r="H91" s="335" t="n"/>
      <c r="I91" s="336" t="n"/>
      <c r="J91" s="336" t="n"/>
      <c r="K91" s="336" t="n"/>
      <c r="L91" s="336" t="n"/>
      <c r="M91" s="336" t="n"/>
      <c r="N91" s="336" t="n"/>
      <c r="O91" s="336" t="n"/>
      <c r="P91" s="430" t="n"/>
      <c r="Q91" s="430" t="n"/>
      <c r="R91" s="430" t="n"/>
      <c r="S91" s="430" t="n"/>
      <c r="T91" s="430" t="n"/>
      <c r="U91" s="430" t="n"/>
      <c r="V91" s="430" t="n"/>
      <c r="W91" s="430" t="n"/>
      <c r="X91" s="430" t="n"/>
      <c r="Y91" s="357" t="n"/>
      <c r="Z91" s="357" t="n"/>
      <c r="AA91" s="357" t="n"/>
      <c r="AB91" s="430" t="n"/>
      <c r="AC91" s="338" t="n"/>
      <c r="AD91" s="338" t="n"/>
      <c r="AE91" s="338" t="n"/>
      <c r="AF91" s="338" t="n"/>
      <c r="AG91" s="588">
        <f>Listy!$AA$1&amp;AG90/20</f>
        <v/>
      </c>
      <c r="AH91" s="589">
        <f>Listy!$AA$1&amp;AH90/20</f>
        <v/>
      </c>
      <c r="AI91" s="589">
        <f>Listy!$AA$1&amp;AI90/20</f>
        <v/>
      </c>
      <c r="AJ91" s="589">
        <f>Listy!$AA$1&amp;AJ90/20</f>
        <v/>
      </c>
      <c r="AK91" s="589">
        <f>Listy!$AA$1&amp;AK90/20</f>
        <v/>
      </c>
      <c r="AL91" s="589">
        <f>Listy!$AA$1&amp;AL90/20</f>
        <v/>
      </c>
      <c r="AM91" s="589">
        <f>Listy!$AA$1&amp;AM90/20</f>
        <v/>
      </c>
      <c r="AN91" s="589">
        <f>Listy!$AA$1&amp;AN90/20</f>
        <v/>
      </c>
      <c r="AO91" s="590">
        <f>Listy!$AA$1&amp;AO90/20</f>
        <v/>
      </c>
      <c r="AP91" s="582">
        <f>Listy!$AA$1&amp;AP90/20</f>
        <v/>
      </c>
      <c r="AQ91" s="583">
        <f>Listy!$AA$1&amp;AQ90/20</f>
        <v/>
      </c>
      <c r="AR91" s="583">
        <f>Listy!$AA$1&amp;AR90/20</f>
        <v/>
      </c>
      <c r="AS91" s="584">
        <f>Listy!$AA$1&amp;AS90/20</f>
        <v/>
      </c>
      <c r="AT91" s="575">
        <f>Listy!$AA$1&amp;AT90/20</f>
        <v/>
      </c>
      <c r="AU91" s="576">
        <f>Listy!$AA$1&amp;AU90/20</f>
        <v/>
      </c>
      <c r="AV91" s="576">
        <f>Listy!$AA$1&amp;AV90/20</f>
        <v/>
      </c>
      <c r="AW91" s="577">
        <f>Listy!$AA$1&amp;AW90/20</f>
        <v/>
      </c>
      <c r="AX91" s="591">
        <f>Listy!$AA$1&amp;AX90/20</f>
        <v/>
      </c>
      <c r="AZ91" s="336" t="n"/>
      <c r="BA91" s="336" t="n"/>
      <c r="BC91" s="336" t="n"/>
      <c r="BD91" s="336" t="n"/>
      <c r="BE91" s="336" t="n"/>
      <c r="BF91" s="336" t="n"/>
      <c r="BG91" s="336" t="n"/>
      <c r="BH91" s="336" t="n"/>
      <c r="BJ91" s="336" t="n"/>
      <c r="BK91" s="336" t="n"/>
      <c r="BM91" s="336" t="n"/>
      <c r="BN91" s="336" t="n"/>
      <c r="BP91" s="336" t="n"/>
      <c r="BQ91" s="336" t="n"/>
      <c r="BT91" s="336" t="n"/>
      <c r="BU91" s="336" t="n"/>
      <c r="BV91" s="336" t="n"/>
      <c r="BX91" s="336" t="n"/>
      <c r="BY91" s="336" t="n"/>
      <c r="BZ91" s="336" t="n"/>
      <c r="CB91" s="336" t="n"/>
      <c r="CC91" s="336" t="n"/>
      <c r="CD91" s="336" t="n"/>
    </row>
    <row r="92" ht="15.75" customHeight="1" s="191">
      <c r="O92" s="60" t="n"/>
      <c r="AA92" s="61" t="n"/>
      <c r="AB92" s="40" t="n"/>
      <c r="AC92" s="40" t="n"/>
      <c r="AD92" s="40" t="n"/>
      <c r="AE92" s="40" t="n"/>
      <c r="AF92" s="40" t="n"/>
      <c r="AG92" s="61" t="n"/>
    </row>
    <row r="93" ht="15.75" customHeight="1" s="191">
      <c r="O93" s="60" t="n"/>
      <c r="AA93" s="61" t="n"/>
      <c r="AB93" s="40" t="n"/>
      <c r="AC93" s="40" t="n"/>
      <c r="AD93" s="40" t="n"/>
      <c r="AE93" s="40" t="n"/>
      <c r="AF93" s="40" t="n"/>
      <c r="AG93" s="61" t="n"/>
    </row>
    <row r="94" ht="15.75" customHeight="1" s="191">
      <c r="O94" s="60" t="n"/>
      <c r="AA94" s="61" t="n"/>
      <c r="AB94" s="40" t="n"/>
      <c r="AC94" s="40" t="n"/>
      <c r="AD94" s="40" t="n"/>
      <c r="AE94" s="40" t="n"/>
      <c r="AF94" s="40" t="n"/>
      <c r="AG94" s="61" t="n"/>
    </row>
    <row r="95" ht="15.75" customHeight="1" s="191">
      <c r="O95" s="60" t="n"/>
      <c r="AA95" s="61" t="n"/>
      <c r="AB95" s="40" t="n"/>
      <c r="AC95" s="40" t="n"/>
      <c r="AD95" s="40" t="n"/>
      <c r="AE95" s="40" t="n"/>
      <c r="AF95" s="40" t="n"/>
      <c r="AG95" s="61" t="n"/>
    </row>
    <row r="96" ht="15.75" customHeight="1" s="191">
      <c r="O96" s="60" t="n"/>
      <c r="AA96" s="61" t="n"/>
      <c r="AB96" s="40" t="n"/>
      <c r="AC96" s="40" t="n"/>
      <c r="AD96" s="40" t="n"/>
      <c r="AE96" s="40" t="n"/>
      <c r="AF96" s="40" t="n"/>
      <c r="AG96" s="61" t="n"/>
    </row>
    <row r="97" ht="15.75" customHeight="1" s="191">
      <c r="O97" s="60" t="n"/>
      <c r="AA97" s="61" t="n"/>
      <c r="AB97" s="40" t="n"/>
      <c r="AC97" s="40" t="n"/>
      <c r="AD97" s="40" t="n"/>
      <c r="AE97" s="40" t="n"/>
      <c r="AF97" s="40" t="n"/>
      <c r="AG97" s="61" t="n"/>
    </row>
    <row r="98" ht="15.75" customHeight="1" s="191">
      <c r="O98" s="60" t="n"/>
      <c r="AA98" s="61" t="n"/>
      <c r="AB98" s="40" t="n"/>
      <c r="AC98" s="40" t="n"/>
      <c r="AD98" s="40" t="n"/>
      <c r="AE98" s="40" t="n"/>
      <c r="AF98" s="40" t="n"/>
      <c r="AG98" s="61" t="n"/>
    </row>
    <row r="99" ht="15.75" customHeight="1" s="191">
      <c r="O99" s="60" t="n"/>
      <c r="AA99" s="61" t="n"/>
      <c r="AB99" s="40" t="n"/>
      <c r="AC99" s="40" t="n"/>
      <c r="AD99" s="40" t="n"/>
      <c r="AE99" s="40" t="n"/>
      <c r="AF99" s="40" t="n"/>
      <c r="AG99" s="61" t="n"/>
    </row>
    <row r="100" ht="15.75" customHeight="1" s="191">
      <c r="O100" s="60" t="n"/>
      <c r="AA100" s="61" t="n"/>
      <c r="AB100" s="40" t="n"/>
      <c r="AC100" s="40" t="n"/>
      <c r="AD100" s="40" t="n"/>
      <c r="AE100" s="40" t="n"/>
      <c r="AF100" s="40" t="n"/>
      <c r="AG100" s="61" t="n"/>
    </row>
    <row r="101" ht="15.75" customHeight="1" s="191">
      <c r="O101" s="60" t="n"/>
      <c r="AA101" s="61" t="n"/>
      <c r="AB101" s="40" t="n"/>
      <c r="AC101" s="40" t="n"/>
      <c r="AD101" s="40" t="n"/>
      <c r="AE101" s="40" t="n"/>
      <c r="AF101" s="40" t="n"/>
      <c r="AG101" s="61" t="n"/>
    </row>
    <row r="102" ht="15.75" customHeight="1" s="191">
      <c r="O102" s="60" t="n"/>
      <c r="AA102" s="61" t="n"/>
      <c r="AB102" s="40" t="n"/>
      <c r="AC102" s="40" t="n"/>
      <c r="AD102" s="40" t="n"/>
      <c r="AE102" s="40" t="n"/>
      <c r="AF102" s="40" t="n"/>
      <c r="AG102" s="61" t="n"/>
    </row>
    <row r="103" ht="15.75" customHeight="1" s="191">
      <c r="O103" s="60" t="n"/>
      <c r="AA103" s="61" t="n"/>
      <c r="AB103" s="40" t="n"/>
      <c r="AC103" s="40" t="n"/>
      <c r="AD103" s="40" t="n"/>
      <c r="AE103" s="40" t="n"/>
      <c r="AF103" s="40" t="n"/>
      <c r="AG103" s="61" t="n"/>
    </row>
    <row r="104" ht="15.75" customHeight="1" s="191">
      <c r="O104" s="60" t="n"/>
      <c r="AA104" s="61" t="n"/>
      <c r="AB104" s="40" t="n"/>
      <c r="AC104" s="40" t="n"/>
      <c r="AD104" s="40" t="n"/>
      <c r="AE104" s="40" t="n"/>
      <c r="AF104" s="40" t="n"/>
      <c r="AG104" s="61" t="n"/>
    </row>
    <row r="105" ht="15.75" customHeight="1" s="191">
      <c r="O105" s="60" t="n"/>
      <c r="AA105" s="61" t="n"/>
      <c r="AB105" s="40" t="n"/>
      <c r="AC105" s="40" t="n"/>
      <c r="AD105" s="40" t="n"/>
      <c r="AE105" s="40" t="n"/>
      <c r="AF105" s="40" t="n"/>
      <c r="AG105" s="61" t="n"/>
    </row>
    <row r="106" ht="15.75" customHeight="1" s="191">
      <c r="O106" s="60" t="n"/>
      <c r="AA106" s="61" t="n"/>
      <c r="AB106" s="40" t="n"/>
      <c r="AC106" s="40" t="n"/>
      <c r="AD106" s="40" t="n"/>
      <c r="AE106" s="40" t="n"/>
      <c r="AF106" s="40" t="n"/>
      <c r="AG106" s="61" t="n"/>
    </row>
    <row r="107" ht="15.75" customHeight="1" s="191">
      <c r="O107" s="60" t="n"/>
      <c r="AA107" s="61" t="n"/>
      <c r="AB107" s="40" t="n"/>
      <c r="AC107" s="40" t="n"/>
      <c r="AD107" s="40" t="n"/>
      <c r="AE107" s="40" t="n"/>
      <c r="AF107" s="40" t="n"/>
      <c r="AG107" s="61" t="n"/>
    </row>
    <row r="108" ht="15.75" customHeight="1" s="191">
      <c r="O108" s="60" t="n"/>
      <c r="AA108" s="61" t="n"/>
      <c r="AB108" s="40" t="n"/>
      <c r="AC108" s="40" t="n"/>
      <c r="AD108" s="40" t="n"/>
      <c r="AE108" s="40" t="n"/>
      <c r="AF108" s="40" t="n"/>
      <c r="AG108" s="61" t="n"/>
    </row>
    <row r="109" ht="15.75" customHeight="1" s="191">
      <c r="O109" s="60" t="n"/>
      <c r="AA109" s="61" t="n"/>
      <c r="AB109" s="40" t="n"/>
      <c r="AC109" s="40" t="n"/>
      <c r="AD109" s="40" t="n"/>
      <c r="AE109" s="40" t="n"/>
      <c r="AF109" s="40" t="n"/>
      <c r="AG109" s="61" t="n"/>
    </row>
    <row r="110" ht="15.75" customHeight="1" s="191">
      <c r="O110" s="60" t="n"/>
      <c r="AA110" s="61" t="n"/>
      <c r="AB110" s="40" t="n"/>
      <c r="AC110" s="40" t="n"/>
      <c r="AD110" s="40" t="n"/>
      <c r="AE110" s="40" t="n"/>
      <c r="AF110" s="40" t="n"/>
      <c r="AG110" s="61" t="n"/>
    </row>
    <row r="111" ht="15.75" customHeight="1" s="191">
      <c r="O111" s="60" t="n"/>
      <c r="AA111" s="61" t="n"/>
      <c r="AB111" s="40" t="n"/>
      <c r="AC111" s="40" t="n"/>
      <c r="AD111" s="40" t="n"/>
      <c r="AE111" s="40" t="n"/>
      <c r="AF111" s="40" t="n"/>
      <c r="AG111" s="61" t="n"/>
    </row>
    <row r="112" ht="15.75" customHeight="1" s="191">
      <c r="O112" s="60" t="n"/>
      <c r="AA112" s="61" t="n"/>
      <c r="AB112" s="40" t="n"/>
      <c r="AC112" s="40" t="n"/>
      <c r="AD112" s="40" t="n"/>
      <c r="AE112" s="40" t="n"/>
      <c r="AF112" s="40" t="n"/>
      <c r="AG112" s="61" t="n"/>
    </row>
    <row r="113" ht="15.75" customHeight="1" s="191">
      <c r="O113" s="60" t="n"/>
      <c r="AA113" s="61" t="n"/>
      <c r="AB113" s="40" t="n"/>
      <c r="AC113" s="40" t="n"/>
      <c r="AD113" s="40" t="n"/>
      <c r="AE113" s="40" t="n"/>
      <c r="AF113" s="40" t="n"/>
      <c r="AG113" s="61" t="n"/>
    </row>
    <row r="114" ht="15.75" customHeight="1" s="191">
      <c r="O114" s="60" t="n"/>
      <c r="AA114" s="61" t="n"/>
      <c r="AB114" s="40" t="n"/>
      <c r="AC114" s="40" t="n"/>
      <c r="AD114" s="40" t="n"/>
      <c r="AE114" s="40" t="n"/>
      <c r="AF114" s="40" t="n"/>
      <c r="AG114" s="61" t="n"/>
    </row>
    <row r="115" ht="15.75" customHeight="1" s="191">
      <c r="O115" s="60" t="n"/>
      <c r="AA115" s="61" t="n"/>
      <c r="AB115" s="40" t="n"/>
      <c r="AC115" s="40" t="n"/>
      <c r="AD115" s="40" t="n"/>
      <c r="AE115" s="40" t="n"/>
      <c r="AF115" s="40" t="n"/>
      <c r="AG115" s="61" t="n"/>
    </row>
    <row r="116" ht="15.75" customHeight="1" s="191">
      <c r="O116" s="60" t="n"/>
      <c r="AA116" s="61" t="n"/>
      <c r="AB116" s="40" t="n"/>
      <c r="AC116" s="40" t="n"/>
      <c r="AD116" s="40" t="n"/>
      <c r="AE116" s="40" t="n"/>
      <c r="AF116" s="40" t="n"/>
      <c r="AG116" s="61" t="n"/>
    </row>
    <row r="117" ht="15.75" customHeight="1" s="191">
      <c r="O117" s="60" t="n"/>
      <c r="AA117" s="61" t="n"/>
      <c r="AB117" s="40" t="n"/>
      <c r="AC117" s="40" t="n"/>
      <c r="AD117" s="40" t="n"/>
      <c r="AE117" s="40" t="n"/>
      <c r="AF117" s="40" t="n"/>
      <c r="AG117" s="61" t="n"/>
    </row>
    <row r="118" ht="15.75" customHeight="1" s="191">
      <c r="O118" s="60" t="n"/>
      <c r="AA118" s="61" t="n"/>
      <c r="AB118" s="40" t="n"/>
      <c r="AC118" s="40" t="n"/>
      <c r="AD118" s="40" t="n"/>
      <c r="AE118" s="40" t="n"/>
      <c r="AF118" s="40" t="n"/>
      <c r="AG118" s="61" t="n"/>
    </row>
    <row r="119" ht="15.75" customHeight="1" s="191">
      <c r="O119" s="60" t="n"/>
      <c r="AA119" s="61" t="n"/>
      <c r="AB119" s="40" t="n"/>
      <c r="AC119" s="40" t="n"/>
      <c r="AD119" s="40" t="n"/>
      <c r="AE119" s="40" t="n"/>
      <c r="AF119" s="40" t="n"/>
      <c r="AG119" s="61" t="n"/>
    </row>
    <row r="120" ht="15.75" customHeight="1" s="191">
      <c r="O120" s="60" t="n"/>
      <c r="AA120" s="61" t="n"/>
      <c r="AB120" s="40" t="n"/>
      <c r="AC120" s="40" t="n"/>
      <c r="AD120" s="40" t="n"/>
      <c r="AE120" s="40" t="n"/>
      <c r="AF120" s="40" t="n"/>
      <c r="AG120" s="61" t="n"/>
    </row>
    <row r="121" ht="15.75" customHeight="1" s="191">
      <c r="O121" s="60" t="n"/>
      <c r="AA121" s="61" t="n"/>
      <c r="AB121" s="40" t="n"/>
      <c r="AC121" s="40" t="n"/>
      <c r="AD121" s="40" t="n"/>
      <c r="AE121" s="40" t="n"/>
      <c r="AF121" s="40" t="n"/>
      <c r="AG121" s="61" t="n"/>
    </row>
    <row r="122" ht="15.75" customHeight="1" s="191">
      <c r="O122" s="60" t="n"/>
      <c r="AA122" s="61" t="n"/>
      <c r="AB122" s="40" t="n"/>
      <c r="AC122" s="40" t="n"/>
      <c r="AD122" s="40" t="n"/>
      <c r="AE122" s="40" t="n"/>
      <c r="AF122" s="40" t="n"/>
      <c r="AG122" s="61" t="n"/>
    </row>
    <row r="123" ht="15.75" customHeight="1" s="191">
      <c r="O123" s="60" t="n"/>
      <c r="AA123" s="61" t="n"/>
      <c r="AB123" s="40" t="n"/>
      <c r="AC123" s="40" t="n"/>
      <c r="AD123" s="40" t="n"/>
      <c r="AE123" s="40" t="n"/>
      <c r="AF123" s="40" t="n"/>
      <c r="AG123" s="61" t="n"/>
    </row>
    <row r="124" ht="15.75" customHeight="1" s="191">
      <c r="O124" s="60" t="n"/>
      <c r="AA124" s="61" t="n"/>
      <c r="AB124" s="40" t="n"/>
      <c r="AC124" s="40" t="n"/>
      <c r="AD124" s="40" t="n"/>
      <c r="AE124" s="40" t="n"/>
      <c r="AF124" s="40" t="n"/>
      <c r="AG124" s="61" t="n"/>
    </row>
    <row r="125" ht="15.75" customHeight="1" s="191">
      <c r="O125" s="60" t="n"/>
      <c r="AA125" s="61" t="n"/>
      <c r="AB125" s="40" t="n"/>
      <c r="AC125" s="40" t="n"/>
      <c r="AD125" s="40" t="n"/>
      <c r="AE125" s="40" t="n"/>
      <c r="AF125" s="40" t="n"/>
      <c r="AG125" s="61" t="n"/>
    </row>
    <row r="126" ht="15.75" customHeight="1" s="191">
      <c r="O126" s="60" t="n"/>
      <c r="AA126" s="61" t="n"/>
      <c r="AB126" s="40" t="n"/>
      <c r="AC126" s="40" t="n"/>
      <c r="AD126" s="40" t="n"/>
      <c r="AE126" s="40" t="n"/>
      <c r="AF126" s="40" t="n"/>
      <c r="AG126" s="61" t="n"/>
    </row>
    <row r="127" ht="15.75" customHeight="1" s="191">
      <c r="O127" s="60" t="n"/>
      <c r="AA127" s="61" t="n"/>
      <c r="AB127" s="40" t="n"/>
      <c r="AC127" s="40" t="n"/>
      <c r="AD127" s="40" t="n"/>
      <c r="AE127" s="40" t="n"/>
      <c r="AF127" s="40" t="n"/>
      <c r="AG127" s="61" t="n"/>
    </row>
    <row r="128" ht="15.75" customHeight="1" s="191">
      <c r="O128" s="60" t="n"/>
      <c r="AA128" s="61" t="n"/>
      <c r="AB128" s="40" t="n"/>
      <c r="AC128" s="40" t="n"/>
      <c r="AD128" s="40" t="n"/>
      <c r="AE128" s="40" t="n"/>
      <c r="AF128" s="40" t="n"/>
      <c r="AG128" s="61" t="n"/>
    </row>
    <row r="129" ht="15.75" customHeight="1" s="191">
      <c r="O129" s="60" t="n"/>
      <c r="AA129" s="61" t="n"/>
      <c r="AB129" s="40" t="n"/>
      <c r="AC129" s="40" t="n"/>
      <c r="AD129" s="40" t="n"/>
      <c r="AE129" s="40" t="n"/>
      <c r="AF129" s="40" t="n"/>
      <c r="AG129" s="61" t="n"/>
    </row>
    <row r="130" ht="15.75" customHeight="1" s="191">
      <c r="O130" s="60" t="n"/>
      <c r="AA130" s="61" t="n"/>
      <c r="AB130" s="40" t="n"/>
      <c r="AC130" s="40" t="n"/>
      <c r="AD130" s="40" t="n"/>
      <c r="AE130" s="40" t="n"/>
      <c r="AF130" s="40" t="n"/>
      <c r="AG130" s="61" t="n"/>
    </row>
    <row r="131" ht="15.75" customHeight="1" s="191">
      <c r="O131" s="60" t="n"/>
      <c r="AA131" s="61" t="n"/>
      <c r="AB131" s="40" t="n"/>
      <c r="AC131" s="40" t="n"/>
      <c r="AD131" s="40" t="n"/>
      <c r="AE131" s="40" t="n"/>
      <c r="AF131" s="40" t="n"/>
      <c r="AG131" s="61" t="n"/>
    </row>
    <row r="132" ht="15.75" customHeight="1" s="191">
      <c r="O132" s="60" t="n"/>
      <c r="AA132" s="61" t="n"/>
      <c r="AB132" s="40" t="n"/>
      <c r="AC132" s="40" t="n"/>
      <c r="AD132" s="40" t="n"/>
      <c r="AE132" s="40" t="n"/>
      <c r="AF132" s="40" t="n"/>
      <c r="AG132" s="61" t="n"/>
    </row>
    <row r="133" ht="15.75" customHeight="1" s="191">
      <c r="O133" s="60" t="n"/>
      <c r="AA133" s="61" t="n"/>
      <c r="AB133" s="40" t="n"/>
      <c r="AC133" s="40" t="n"/>
      <c r="AD133" s="40" t="n"/>
      <c r="AE133" s="40" t="n"/>
      <c r="AF133" s="40" t="n"/>
      <c r="AG133" s="61" t="n"/>
    </row>
    <row r="134" ht="15.75" customHeight="1" s="191">
      <c r="O134" s="60" t="n"/>
      <c r="AA134" s="61" t="n"/>
      <c r="AB134" s="40" t="n"/>
      <c r="AC134" s="40" t="n"/>
      <c r="AD134" s="40" t="n"/>
      <c r="AE134" s="40" t="n"/>
      <c r="AF134" s="40" t="n"/>
      <c r="AG134" s="61" t="n"/>
    </row>
    <row r="135" ht="15.75" customHeight="1" s="191">
      <c r="O135" s="60" t="n"/>
      <c r="AA135" s="61" t="n"/>
      <c r="AB135" s="40" t="n"/>
      <c r="AC135" s="40" t="n"/>
      <c r="AD135" s="40" t="n"/>
      <c r="AE135" s="40" t="n"/>
      <c r="AF135" s="40" t="n"/>
      <c r="AG135" s="61" t="n"/>
    </row>
    <row r="136" ht="15.75" customHeight="1" s="191">
      <c r="O136" s="60" t="n"/>
      <c r="AA136" s="61" t="n"/>
      <c r="AB136" s="40" t="n"/>
      <c r="AC136" s="40" t="n"/>
      <c r="AD136" s="40" t="n"/>
      <c r="AE136" s="40" t="n"/>
      <c r="AF136" s="40" t="n"/>
      <c r="AG136" s="61" t="n"/>
    </row>
    <row r="137" ht="15.75" customHeight="1" s="191">
      <c r="O137" s="60" t="n"/>
      <c r="AA137" s="61" t="n"/>
      <c r="AB137" s="40" t="n"/>
      <c r="AC137" s="40" t="n"/>
      <c r="AD137" s="40" t="n"/>
      <c r="AE137" s="40" t="n"/>
      <c r="AF137" s="40" t="n"/>
      <c r="AG137" s="61" t="n"/>
    </row>
    <row r="138" ht="15.75" customHeight="1" s="191">
      <c r="O138" s="60" t="n"/>
      <c r="AA138" s="61" t="n"/>
      <c r="AB138" s="40" t="n"/>
      <c r="AC138" s="40" t="n"/>
      <c r="AD138" s="40" t="n"/>
      <c r="AE138" s="40" t="n"/>
      <c r="AF138" s="40" t="n"/>
      <c r="AG138" s="61" t="n"/>
    </row>
    <row r="139" ht="15.75" customHeight="1" s="191">
      <c r="O139" s="60" t="n"/>
      <c r="AA139" s="61" t="n"/>
      <c r="AB139" s="40" t="n"/>
      <c r="AC139" s="40" t="n"/>
      <c r="AD139" s="40" t="n"/>
      <c r="AE139" s="40" t="n"/>
      <c r="AF139" s="40" t="n"/>
      <c r="AG139" s="61" t="n"/>
    </row>
    <row r="140" ht="15.75" customHeight="1" s="191">
      <c r="O140" s="60" t="n"/>
      <c r="AA140" s="61" t="n"/>
      <c r="AB140" s="40" t="n"/>
      <c r="AC140" s="40" t="n"/>
      <c r="AD140" s="40" t="n"/>
      <c r="AE140" s="40" t="n"/>
      <c r="AF140" s="40" t="n"/>
      <c r="AG140" s="61" t="n"/>
    </row>
    <row r="141" ht="15.75" customHeight="1" s="191">
      <c r="O141" s="60" t="n"/>
      <c r="AA141" s="61" t="n"/>
      <c r="AB141" s="40" t="n"/>
      <c r="AC141" s="40" t="n"/>
      <c r="AD141" s="40" t="n"/>
      <c r="AE141" s="40" t="n"/>
      <c r="AF141" s="40" t="n"/>
      <c r="AG141" s="61" t="n"/>
    </row>
    <row r="142" ht="15.75" customHeight="1" s="191">
      <c r="O142" s="60" t="n"/>
      <c r="AA142" s="61" t="n"/>
      <c r="AB142" s="40" t="n"/>
      <c r="AC142" s="40" t="n"/>
      <c r="AD142" s="40" t="n"/>
      <c r="AE142" s="40" t="n"/>
      <c r="AF142" s="40" t="n"/>
      <c r="AG142" s="61" t="n"/>
    </row>
    <row r="143" ht="15.75" customHeight="1" s="191">
      <c r="O143" s="60" t="n"/>
      <c r="AA143" s="61" t="n"/>
      <c r="AB143" s="40" t="n"/>
      <c r="AC143" s="40" t="n"/>
      <c r="AD143" s="40" t="n"/>
      <c r="AE143" s="40" t="n"/>
      <c r="AF143" s="40" t="n"/>
      <c r="AG143" s="61" t="n"/>
    </row>
    <row r="144" ht="15.75" customHeight="1" s="191">
      <c r="O144" s="60" t="n"/>
      <c r="AA144" s="61" t="n"/>
      <c r="AB144" s="40" t="n"/>
      <c r="AC144" s="40" t="n"/>
      <c r="AD144" s="40" t="n"/>
      <c r="AE144" s="40" t="n"/>
      <c r="AF144" s="40" t="n"/>
      <c r="AG144" s="61" t="n"/>
    </row>
    <row r="145" ht="15.75" customHeight="1" s="191">
      <c r="O145" s="60" t="n"/>
      <c r="AA145" s="61" t="n"/>
      <c r="AB145" s="40" t="n"/>
      <c r="AC145" s="40" t="n"/>
      <c r="AD145" s="40" t="n"/>
      <c r="AE145" s="40" t="n"/>
      <c r="AF145" s="40" t="n"/>
      <c r="AG145" s="61" t="n"/>
    </row>
    <row r="146" ht="15.75" customHeight="1" s="191">
      <c r="O146" s="60" t="n"/>
      <c r="AA146" s="61" t="n"/>
      <c r="AB146" s="40" t="n"/>
      <c r="AC146" s="40" t="n"/>
      <c r="AD146" s="40" t="n"/>
      <c r="AE146" s="40" t="n"/>
      <c r="AF146" s="40" t="n"/>
      <c r="AG146" s="61" t="n"/>
    </row>
    <row r="147" ht="15.75" customHeight="1" s="191">
      <c r="O147" s="60" t="n"/>
      <c r="AA147" s="61" t="n"/>
      <c r="AB147" s="40" t="n"/>
      <c r="AC147" s="40" t="n"/>
      <c r="AD147" s="40" t="n"/>
      <c r="AE147" s="40" t="n"/>
      <c r="AF147" s="40" t="n"/>
      <c r="AG147" s="61" t="n"/>
    </row>
    <row r="148" ht="15.75" customHeight="1" s="191">
      <c r="O148" s="60" t="n"/>
      <c r="AA148" s="61" t="n"/>
      <c r="AB148" s="40" t="n"/>
      <c r="AC148" s="40" t="n"/>
      <c r="AD148" s="40" t="n"/>
      <c r="AE148" s="40" t="n"/>
      <c r="AF148" s="40" t="n"/>
      <c r="AG148" s="61" t="n"/>
    </row>
    <row r="149" ht="15.75" customHeight="1" s="191">
      <c r="O149" s="60" t="n"/>
      <c r="AA149" s="61" t="n"/>
      <c r="AB149" s="40" t="n"/>
      <c r="AC149" s="40" t="n"/>
      <c r="AD149" s="40" t="n"/>
      <c r="AE149" s="40" t="n"/>
      <c r="AF149" s="40" t="n"/>
      <c r="AG149" s="61" t="n"/>
    </row>
    <row r="150" ht="15.75" customHeight="1" s="191">
      <c r="O150" s="60" t="n"/>
      <c r="AA150" s="61" t="n"/>
      <c r="AB150" s="40" t="n"/>
      <c r="AC150" s="40" t="n"/>
      <c r="AD150" s="40" t="n"/>
      <c r="AE150" s="40" t="n"/>
      <c r="AF150" s="40" t="n"/>
      <c r="AG150" s="61" t="n"/>
    </row>
    <row r="151" ht="15.75" customHeight="1" s="191">
      <c r="O151" s="60" t="n"/>
      <c r="AA151" s="61" t="n"/>
      <c r="AB151" s="40" t="n"/>
      <c r="AC151" s="40" t="n"/>
      <c r="AD151" s="40" t="n"/>
      <c r="AE151" s="40" t="n"/>
      <c r="AF151" s="40" t="n"/>
      <c r="AG151" s="61" t="n"/>
    </row>
    <row r="152" ht="15.75" customHeight="1" s="191">
      <c r="O152" s="60" t="n"/>
      <c r="AA152" s="61" t="n"/>
      <c r="AB152" s="40" t="n"/>
      <c r="AC152" s="40" t="n"/>
      <c r="AD152" s="40" t="n"/>
      <c r="AE152" s="40" t="n"/>
      <c r="AF152" s="40" t="n"/>
      <c r="AG152" s="61" t="n"/>
    </row>
    <row r="153" ht="15.75" customHeight="1" s="191">
      <c r="O153" s="60" t="n"/>
      <c r="AA153" s="61" t="n"/>
      <c r="AB153" s="40" t="n"/>
      <c r="AC153" s="40" t="n"/>
      <c r="AD153" s="40" t="n"/>
      <c r="AE153" s="40" t="n"/>
      <c r="AF153" s="40" t="n"/>
      <c r="AG153" s="61" t="n"/>
    </row>
    <row r="154" ht="15.75" customHeight="1" s="191">
      <c r="O154" s="60" t="n"/>
      <c r="AA154" s="61" t="n"/>
      <c r="AB154" s="40" t="n"/>
      <c r="AC154" s="40" t="n"/>
      <c r="AD154" s="40" t="n"/>
      <c r="AE154" s="40" t="n"/>
      <c r="AF154" s="40" t="n"/>
      <c r="AG154" s="61" t="n"/>
    </row>
    <row r="155" ht="15.75" customHeight="1" s="191">
      <c r="O155" s="60" t="n"/>
      <c r="AA155" s="61" t="n"/>
      <c r="AB155" s="40" t="n"/>
      <c r="AC155" s="40" t="n"/>
      <c r="AD155" s="40" t="n"/>
      <c r="AE155" s="40" t="n"/>
      <c r="AF155" s="40" t="n"/>
      <c r="AG155" s="61" t="n"/>
    </row>
    <row r="156" ht="15.75" customHeight="1" s="191">
      <c r="O156" s="60" t="n"/>
      <c r="AA156" s="61" t="n"/>
      <c r="AB156" s="40" t="n"/>
      <c r="AC156" s="40" t="n"/>
      <c r="AD156" s="40" t="n"/>
      <c r="AE156" s="40" t="n"/>
      <c r="AF156" s="40" t="n"/>
      <c r="AG156" s="61" t="n"/>
    </row>
    <row r="157" ht="15.75" customHeight="1" s="191">
      <c r="O157" s="60" t="n"/>
      <c r="AA157" s="61" t="n"/>
      <c r="AB157" s="40" t="n"/>
      <c r="AC157" s="40" t="n"/>
      <c r="AD157" s="40" t="n"/>
      <c r="AE157" s="40" t="n"/>
      <c r="AF157" s="40" t="n"/>
      <c r="AG157" s="61" t="n"/>
    </row>
    <row r="158" ht="15.75" customHeight="1" s="191">
      <c r="O158" s="60" t="n"/>
      <c r="AA158" s="61" t="n"/>
      <c r="AB158" s="40" t="n"/>
      <c r="AC158" s="40" t="n"/>
      <c r="AD158" s="40" t="n"/>
      <c r="AE158" s="40" t="n"/>
      <c r="AF158" s="40" t="n"/>
      <c r="AG158" s="61" t="n"/>
    </row>
    <row r="159" ht="15.75" customHeight="1" s="191">
      <c r="O159" s="60" t="n"/>
      <c r="AA159" s="61" t="n"/>
      <c r="AB159" s="40" t="n"/>
      <c r="AC159" s="40" t="n"/>
      <c r="AD159" s="40" t="n"/>
      <c r="AE159" s="40" t="n"/>
      <c r="AF159" s="40" t="n"/>
      <c r="AG159" s="61" t="n"/>
    </row>
    <row r="160" ht="15.75" customHeight="1" s="191">
      <c r="O160" s="60" t="n"/>
      <c r="AA160" s="61" t="n"/>
      <c r="AB160" s="40" t="n"/>
      <c r="AC160" s="40" t="n"/>
      <c r="AD160" s="40" t="n"/>
      <c r="AE160" s="40" t="n"/>
      <c r="AF160" s="40" t="n"/>
      <c r="AG160" s="61" t="n"/>
    </row>
    <row r="161" ht="15.75" customHeight="1" s="191">
      <c r="O161" s="60" t="n"/>
      <c r="AA161" s="61" t="n"/>
      <c r="AB161" s="40" t="n"/>
      <c r="AC161" s="40" t="n"/>
      <c r="AD161" s="40" t="n"/>
      <c r="AE161" s="40" t="n"/>
      <c r="AF161" s="40" t="n"/>
      <c r="AG161" s="61" t="n"/>
    </row>
    <row r="162" ht="15.75" customHeight="1" s="191">
      <c r="O162" s="60" t="n"/>
      <c r="AA162" s="61" t="n"/>
      <c r="AB162" s="40" t="n"/>
      <c r="AC162" s="40" t="n"/>
      <c r="AD162" s="40" t="n"/>
      <c r="AE162" s="40" t="n"/>
      <c r="AF162" s="40" t="n"/>
      <c r="AG162" s="61" t="n"/>
    </row>
    <row r="163" ht="15.75" customHeight="1" s="191">
      <c r="O163" s="60" t="n"/>
      <c r="AA163" s="61" t="n"/>
      <c r="AB163" s="40" t="n"/>
      <c r="AC163" s="40" t="n"/>
      <c r="AD163" s="40" t="n"/>
      <c r="AE163" s="40" t="n"/>
      <c r="AF163" s="40" t="n"/>
      <c r="AG163" s="61" t="n"/>
    </row>
    <row r="164" ht="15.75" customHeight="1" s="191">
      <c r="O164" s="60" t="n"/>
      <c r="AA164" s="61" t="n"/>
      <c r="AB164" s="40" t="n"/>
      <c r="AC164" s="40" t="n"/>
      <c r="AD164" s="40" t="n"/>
      <c r="AE164" s="40" t="n"/>
      <c r="AF164" s="40" t="n"/>
      <c r="AG164" s="61" t="n"/>
    </row>
    <row r="165" ht="15.75" customHeight="1" s="191">
      <c r="O165" s="60" t="n"/>
      <c r="AA165" s="61" t="n"/>
      <c r="AB165" s="40" t="n"/>
      <c r="AC165" s="40" t="n"/>
      <c r="AD165" s="40" t="n"/>
      <c r="AE165" s="40" t="n"/>
      <c r="AF165" s="40" t="n"/>
      <c r="AG165" s="61" t="n"/>
    </row>
    <row r="166" ht="15.75" customHeight="1" s="191">
      <c r="O166" s="60" t="n"/>
      <c r="AA166" s="61" t="n"/>
      <c r="AB166" s="40" t="n"/>
      <c r="AC166" s="40" t="n"/>
      <c r="AD166" s="40" t="n"/>
      <c r="AE166" s="40" t="n"/>
      <c r="AF166" s="40" t="n"/>
      <c r="AG166" s="61" t="n"/>
    </row>
    <row r="167" ht="15.75" customHeight="1" s="191">
      <c r="O167" s="60" t="n"/>
      <c r="AA167" s="61" t="n"/>
      <c r="AB167" s="40" t="n"/>
      <c r="AC167" s="40" t="n"/>
      <c r="AD167" s="40" t="n"/>
      <c r="AE167" s="40" t="n"/>
      <c r="AF167" s="40" t="n"/>
      <c r="AG167" s="61" t="n"/>
    </row>
    <row r="168" ht="15.75" customHeight="1" s="191">
      <c r="O168" s="60" t="n"/>
      <c r="AA168" s="61" t="n"/>
      <c r="AB168" s="40" t="n"/>
      <c r="AC168" s="40" t="n"/>
      <c r="AD168" s="40" t="n"/>
      <c r="AE168" s="40" t="n"/>
      <c r="AF168" s="40" t="n"/>
      <c r="AG168" s="61" t="n"/>
    </row>
    <row r="169" ht="15.75" customHeight="1" s="191">
      <c r="O169" s="60" t="n"/>
      <c r="AA169" s="61" t="n"/>
      <c r="AB169" s="40" t="n"/>
      <c r="AC169" s="40" t="n"/>
      <c r="AD169" s="40" t="n"/>
      <c r="AE169" s="40" t="n"/>
      <c r="AF169" s="40" t="n"/>
      <c r="AG169" s="61" t="n"/>
    </row>
    <row r="170" ht="15.75" customHeight="1" s="191">
      <c r="O170" s="60" t="n"/>
      <c r="AA170" s="61" t="n"/>
      <c r="AB170" s="40" t="n"/>
      <c r="AC170" s="40" t="n"/>
      <c r="AD170" s="40" t="n"/>
      <c r="AE170" s="40" t="n"/>
      <c r="AF170" s="40" t="n"/>
      <c r="AG170" s="61" t="n"/>
    </row>
    <row r="171" ht="15.75" customHeight="1" s="191">
      <c r="O171" s="60" t="n"/>
      <c r="AA171" s="61" t="n"/>
      <c r="AB171" s="40" t="n"/>
      <c r="AC171" s="40" t="n"/>
      <c r="AD171" s="40" t="n"/>
      <c r="AE171" s="40" t="n"/>
      <c r="AF171" s="40" t="n"/>
      <c r="AG171" s="61" t="n"/>
    </row>
    <row r="172" ht="15.75" customHeight="1" s="191">
      <c r="O172" s="60" t="n"/>
      <c r="AA172" s="61" t="n"/>
      <c r="AB172" s="40" t="n"/>
      <c r="AC172" s="40" t="n"/>
      <c r="AD172" s="40" t="n"/>
      <c r="AE172" s="40" t="n"/>
      <c r="AF172" s="40" t="n"/>
      <c r="AG172" s="61" t="n"/>
    </row>
    <row r="173" ht="15.75" customHeight="1" s="191">
      <c r="O173" s="60" t="n"/>
      <c r="AA173" s="61" t="n"/>
      <c r="AB173" s="40" t="n"/>
      <c r="AC173" s="40" t="n"/>
      <c r="AD173" s="40" t="n"/>
      <c r="AE173" s="40" t="n"/>
      <c r="AF173" s="40" t="n"/>
      <c r="AG173" s="61" t="n"/>
    </row>
    <row r="174" ht="15.75" customHeight="1" s="191">
      <c r="O174" s="60" t="n"/>
      <c r="AA174" s="61" t="n"/>
      <c r="AB174" s="40" t="n"/>
      <c r="AC174" s="40" t="n"/>
      <c r="AD174" s="40" t="n"/>
      <c r="AE174" s="40" t="n"/>
      <c r="AF174" s="40" t="n"/>
      <c r="AG174" s="61" t="n"/>
    </row>
    <row r="175" ht="15.75" customHeight="1" s="191">
      <c r="O175" s="60" t="n"/>
      <c r="AA175" s="61" t="n"/>
      <c r="AB175" s="40" t="n"/>
      <c r="AC175" s="40" t="n"/>
      <c r="AD175" s="40" t="n"/>
      <c r="AE175" s="40" t="n"/>
      <c r="AF175" s="40" t="n"/>
      <c r="AG175" s="61" t="n"/>
    </row>
    <row r="176" ht="15.75" customHeight="1" s="191">
      <c r="O176" s="60" t="n"/>
      <c r="AA176" s="61" t="n"/>
      <c r="AB176" s="40" t="n"/>
      <c r="AC176" s="40" t="n"/>
      <c r="AD176" s="40" t="n"/>
      <c r="AE176" s="40" t="n"/>
      <c r="AF176" s="40" t="n"/>
      <c r="AG176" s="61" t="n"/>
    </row>
    <row r="177" ht="15.75" customHeight="1" s="191">
      <c r="O177" s="60" t="n"/>
      <c r="AA177" s="61" t="n"/>
      <c r="AB177" s="40" t="n"/>
      <c r="AC177" s="40" t="n"/>
      <c r="AD177" s="40" t="n"/>
      <c r="AE177" s="40" t="n"/>
      <c r="AF177" s="40" t="n"/>
      <c r="AG177" s="61" t="n"/>
    </row>
    <row r="178" ht="15.75" customHeight="1" s="191">
      <c r="O178" s="60" t="n"/>
      <c r="AA178" s="61" t="n"/>
      <c r="AB178" s="40" t="n"/>
      <c r="AC178" s="40" t="n"/>
      <c r="AD178" s="40" t="n"/>
      <c r="AE178" s="40" t="n"/>
      <c r="AF178" s="40" t="n"/>
      <c r="AG178" s="61" t="n"/>
    </row>
    <row r="179" ht="15.75" customHeight="1" s="191">
      <c r="O179" s="60" t="n"/>
      <c r="AA179" s="61" t="n"/>
      <c r="AB179" s="40" t="n"/>
      <c r="AC179" s="40" t="n"/>
      <c r="AD179" s="40" t="n"/>
      <c r="AE179" s="40" t="n"/>
      <c r="AF179" s="40" t="n"/>
      <c r="AG179" s="61" t="n"/>
    </row>
    <row r="180" ht="15.75" customHeight="1" s="191">
      <c r="O180" s="60" t="n"/>
      <c r="AA180" s="61" t="n"/>
      <c r="AB180" s="40" t="n"/>
      <c r="AC180" s="40" t="n"/>
      <c r="AD180" s="40" t="n"/>
      <c r="AE180" s="40" t="n"/>
      <c r="AF180" s="40" t="n"/>
      <c r="AG180" s="61" t="n"/>
    </row>
    <row r="181" ht="15.75" customHeight="1" s="191">
      <c r="O181" s="60" t="n"/>
      <c r="AA181" s="61" t="n"/>
      <c r="AB181" s="40" t="n"/>
      <c r="AC181" s="40" t="n"/>
      <c r="AD181" s="40" t="n"/>
      <c r="AE181" s="40" t="n"/>
      <c r="AF181" s="40" t="n"/>
      <c r="AG181" s="61" t="n"/>
    </row>
    <row r="182" ht="15.75" customHeight="1" s="191">
      <c r="O182" s="60" t="n"/>
      <c r="AA182" s="61" t="n"/>
      <c r="AB182" s="40" t="n"/>
      <c r="AC182" s="40" t="n"/>
      <c r="AD182" s="40" t="n"/>
      <c r="AE182" s="40" t="n"/>
      <c r="AF182" s="40" t="n"/>
      <c r="AG182" s="61" t="n"/>
    </row>
    <row r="183" ht="15.75" customHeight="1" s="191">
      <c r="O183" s="60" t="n"/>
      <c r="AA183" s="61" t="n"/>
      <c r="AB183" s="40" t="n"/>
      <c r="AC183" s="40" t="n"/>
      <c r="AD183" s="40" t="n"/>
      <c r="AE183" s="40" t="n"/>
      <c r="AF183" s="40" t="n"/>
      <c r="AG183" s="61" t="n"/>
    </row>
    <row r="184" ht="15.75" customHeight="1" s="191">
      <c r="O184" s="60" t="n"/>
      <c r="AA184" s="61" t="n"/>
      <c r="AB184" s="40" t="n"/>
      <c r="AC184" s="40" t="n"/>
      <c r="AD184" s="40" t="n"/>
      <c r="AE184" s="40" t="n"/>
      <c r="AF184" s="40" t="n"/>
      <c r="AG184" s="61" t="n"/>
    </row>
    <row r="185" ht="15.75" customHeight="1" s="191">
      <c r="O185" s="60" t="n"/>
      <c r="AA185" s="61" t="n"/>
      <c r="AB185" s="40" t="n"/>
      <c r="AC185" s="40" t="n"/>
      <c r="AD185" s="40" t="n"/>
      <c r="AE185" s="40" t="n"/>
      <c r="AF185" s="40" t="n"/>
      <c r="AG185" s="61" t="n"/>
    </row>
    <row r="186" ht="15.75" customHeight="1" s="191">
      <c r="O186" s="60" t="n"/>
      <c r="AA186" s="61" t="n"/>
      <c r="AB186" s="40" t="n"/>
      <c r="AC186" s="40" t="n"/>
      <c r="AD186" s="40" t="n"/>
      <c r="AE186" s="40" t="n"/>
      <c r="AF186" s="40" t="n"/>
      <c r="AG186" s="61" t="n"/>
    </row>
    <row r="187" ht="15.75" customHeight="1" s="191">
      <c r="O187" s="60" t="n"/>
      <c r="AA187" s="61" t="n"/>
      <c r="AB187" s="40" t="n"/>
      <c r="AC187" s="40" t="n"/>
      <c r="AD187" s="40" t="n"/>
      <c r="AE187" s="40" t="n"/>
      <c r="AF187" s="40" t="n"/>
      <c r="AG187" s="61" t="n"/>
    </row>
    <row r="188" ht="15.75" customHeight="1" s="191">
      <c r="O188" s="60" t="n"/>
      <c r="AA188" s="61" t="n"/>
      <c r="AB188" s="40" t="n"/>
      <c r="AC188" s="40" t="n"/>
      <c r="AD188" s="40" t="n"/>
      <c r="AE188" s="40" t="n"/>
      <c r="AF188" s="40" t="n"/>
      <c r="AG188" s="61" t="n"/>
    </row>
    <row r="189" ht="15.75" customHeight="1" s="191">
      <c r="O189" s="60" t="n"/>
      <c r="AA189" s="61" t="n"/>
      <c r="AB189" s="40" t="n"/>
      <c r="AC189" s="40" t="n"/>
      <c r="AD189" s="40" t="n"/>
      <c r="AE189" s="40" t="n"/>
      <c r="AF189" s="40" t="n"/>
      <c r="AG189" s="61" t="n"/>
    </row>
    <row r="190" ht="15.75" customHeight="1" s="191">
      <c r="O190" s="60" t="n"/>
      <c r="AA190" s="61" t="n"/>
      <c r="AB190" s="40" t="n"/>
      <c r="AC190" s="40" t="n"/>
      <c r="AD190" s="40" t="n"/>
      <c r="AE190" s="40" t="n"/>
      <c r="AF190" s="40" t="n"/>
      <c r="AG190" s="61" t="n"/>
    </row>
    <row r="191" ht="15.75" customHeight="1" s="191">
      <c r="O191" s="60" t="n"/>
      <c r="AA191" s="61" t="n"/>
      <c r="AB191" s="40" t="n"/>
      <c r="AC191" s="40" t="n"/>
      <c r="AD191" s="40" t="n"/>
      <c r="AE191" s="40" t="n"/>
      <c r="AF191" s="40" t="n"/>
      <c r="AG191" s="61" t="n"/>
    </row>
    <row r="192" ht="15.75" customHeight="1" s="191">
      <c r="O192" s="60" t="n"/>
      <c r="AA192" s="61" t="n"/>
      <c r="AB192" s="40" t="n"/>
      <c r="AC192" s="40" t="n"/>
      <c r="AD192" s="40" t="n"/>
      <c r="AE192" s="40" t="n"/>
      <c r="AF192" s="40" t="n"/>
      <c r="AG192" s="61" t="n"/>
    </row>
    <row r="193" ht="15.75" customHeight="1" s="191">
      <c r="O193" s="60" t="n"/>
      <c r="AA193" s="61" t="n"/>
      <c r="AB193" s="40" t="n"/>
      <c r="AC193" s="40" t="n"/>
      <c r="AD193" s="40" t="n"/>
      <c r="AE193" s="40" t="n"/>
      <c r="AF193" s="40" t="n"/>
      <c r="AG193" s="61" t="n"/>
    </row>
    <row r="194" ht="15.75" customHeight="1" s="191">
      <c r="O194" s="60" t="n"/>
      <c r="AA194" s="61" t="n"/>
      <c r="AB194" s="40" t="n"/>
      <c r="AC194" s="40" t="n"/>
      <c r="AD194" s="40" t="n"/>
      <c r="AE194" s="40" t="n"/>
      <c r="AF194" s="40" t="n"/>
      <c r="AG194" s="61" t="n"/>
    </row>
    <row r="195" ht="15.75" customHeight="1" s="191">
      <c r="O195" s="60" t="n"/>
      <c r="AA195" s="61" t="n"/>
      <c r="AB195" s="40" t="n"/>
      <c r="AC195" s="40" t="n"/>
      <c r="AD195" s="40" t="n"/>
      <c r="AE195" s="40" t="n"/>
      <c r="AF195" s="40" t="n"/>
      <c r="AG195" s="61" t="n"/>
    </row>
    <row r="196" ht="15.75" customHeight="1" s="191">
      <c r="O196" s="60" t="n"/>
      <c r="AA196" s="61" t="n"/>
      <c r="AB196" s="40" t="n"/>
      <c r="AC196" s="40" t="n"/>
      <c r="AD196" s="40" t="n"/>
      <c r="AE196" s="40" t="n"/>
      <c r="AF196" s="40" t="n"/>
      <c r="AG196" s="61" t="n"/>
    </row>
    <row r="197" ht="15.75" customHeight="1" s="191">
      <c r="O197" s="60" t="n"/>
      <c r="AA197" s="61" t="n"/>
      <c r="AB197" s="40" t="n"/>
      <c r="AC197" s="40" t="n"/>
      <c r="AD197" s="40" t="n"/>
      <c r="AE197" s="40" t="n"/>
      <c r="AF197" s="40" t="n"/>
      <c r="AG197" s="61" t="n"/>
    </row>
    <row r="198" ht="15.75" customHeight="1" s="191">
      <c r="O198" s="60" t="n"/>
      <c r="AA198" s="61" t="n"/>
      <c r="AB198" s="40" t="n"/>
      <c r="AC198" s="40" t="n"/>
      <c r="AD198" s="40" t="n"/>
      <c r="AE198" s="40" t="n"/>
      <c r="AF198" s="40" t="n"/>
      <c r="AG198" s="61" t="n"/>
    </row>
    <row r="199" ht="15.75" customHeight="1" s="191">
      <c r="O199" s="60" t="n"/>
      <c r="AA199" s="61" t="n"/>
      <c r="AB199" s="40" t="n"/>
      <c r="AC199" s="40" t="n"/>
      <c r="AD199" s="40" t="n"/>
      <c r="AE199" s="40" t="n"/>
      <c r="AF199" s="40" t="n"/>
      <c r="AG199" s="61" t="n"/>
    </row>
    <row r="200" ht="15.75" customHeight="1" s="191">
      <c r="O200" s="60" t="n"/>
      <c r="AA200" s="61" t="n"/>
      <c r="AB200" s="40" t="n"/>
      <c r="AC200" s="40" t="n"/>
      <c r="AD200" s="40" t="n"/>
      <c r="AE200" s="40" t="n"/>
      <c r="AF200" s="40" t="n"/>
      <c r="AG200" s="61" t="n"/>
    </row>
    <row r="201" ht="15.75" customHeight="1" s="191">
      <c r="O201" s="60" t="n"/>
      <c r="AA201" s="61" t="n"/>
      <c r="AB201" s="40" t="n"/>
      <c r="AC201" s="40" t="n"/>
      <c r="AD201" s="40" t="n"/>
      <c r="AE201" s="40" t="n"/>
      <c r="AF201" s="40" t="n"/>
      <c r="AG201" s="61" t="n"/>
    </row>
    <row r="202" ht="15.75" customHeight="1" s="191">
      <c r="O202" s="60" t="n"/>
      <c r="AA202" s="61" t="n"/>
      <c r="AB202" s="40" t="n"/>
      <c r="AC202" s="40" t="n"/>
      <c r="AD202" s="40" t="n"/>
      <c r="AE202" s="40" t="n"/>
      <c r="AF202" s="40" t="n"/>
      <c r="AG202" s="61" t="n"/>
    </row>
    <row r="203" ht="15.75" customHeight="1" s="191">
      <c r="O203" s="60" t="n"/>
      <c r="AA203" s="61" t="n"/>
      <c r="AB203" s="40" t="n"/>
      <c r="AC203" s="40" t="n"/>
      <c r="AD203" s="40" t="n"/>
      <c r="AE203" s="40" t="n"/>
      <c r="AF203" s="40" t="n"/>
      <c r="AG203" s="61" t="n"/>
    </row>
    <row r="204" ht="15.75" customHeight="1" s="191">
      <c r="O204" s="60" t="n"/>
      <c r="AA204" s="61" t="n"/>
      <c r="AB204" s="40" t="n"/>
      <c r="AC204" s="40" t="n"/>
      <c r="AD204" s="40" t="n"/>
      <c r="AE204" s="40" t="n"/>
      <c r="AF204" s="40" t="n"/>
      <c r="AG204" s="61" t="n"/>
    </row>
    <row r="205" ht="15.75" customHeight="1" s="191">
      <c r="O205" s="60" t="n"/>
      <c r="AA205" s="61" t="n"/>
      <c r="AB205" s="40" t="n"/>
      <c r="AC205" s="40" t="n"/>
      <c r="AD205" s="40" t="n"/>
      <c r="AE205" s="40" t="n"/>
      <c r="AF205" s="40" t="n"/>
      <c r="AG205" s="61" t="n"/>
    </row>
    <row r="206" ht="15.75" customHeight="1" s="191">
      <c r="O206" s="60" t="n"/>
      <c r="AA206" s="61" t="n"/>
      <c r="AB206" s="40" t="n"/>
      <c r="AC206" s="40" t="n"/>
      <c r="AD206" s="40" t="n"/>
      <c r="AE206" s="40" t="n"/>
      <c r="AF206" s="40" t="n"/>
      <c r="AG206" s="61" t="n"/>
    </row>
    <row r="207" ht="15.75" customHeight="1" s="191">
      <c r="O207" s="60" t="n"/>
      <c r="AA207" s="61" t="n"/>
      <c r="AB207" s="40" t="n"/>
      <c r="AC207" s="40" t="n"/>
      <c r="AD207" s="40" t="n"/>
      <c r="AE207" s="40" t="n"/>
      <c r="AF207" s="40" t="n"/>
      <c r="AG207" s="61" t="n"/>
    </row>
    <row r="208" ht="15.75" customHeight="1" s="191">
      <c r="O208" s="60" t="n"/>
      <c r="AA208" s="61" t="n"/>
      <c r="AB208" s="40" t="n"/>
      <c r="AC208" s="40" t="n"/>
      <c r="AD208" s="40" t="n"/>
      <c r="AE208" s="40" t="n"/>
      <c r="AF208" s="40" t="n"/>
      <c r="AG208" s="61" t="n"/>
    </row>
    <row r="209" ht="15.75" customHeight="1" s="191">
      <c r="O209" s="60" t="n"/>
      <c r="AA209" s="61" t="n"/>
      <c r="AB209" s="40" t="n"/>
      <c r="AC209" s="40" t="n"/>
      <c r="AD209" s="40" t="n"/>
      <c r="AE209" s="40" t="n"/>
      <c r="AF209" s="40" t="n"/>
      <c r="AG209" s="61" t="n"/>
    </row>
    <row r="210" ht="15.75" customHeight="1" s="191">
      <c r="O210" s="60" t="n"/>
      <c r="AA210" s="61" t="n"/>
      <c r="AB210" s="40" t="n"/>
      <c r="AC210" s="40" t="n"/>
      <c r="AD210" s="40" t="n"/>
      <c r="AE210" s="40" t="n"/>
      <c r="AF210" s="40" t="n"/>
      <c r="AG210" s="61" t="n"/>
    </row>
    <row r="211" ht="15.75" customHeight="1" s="191">
      <c r="O211" s="60" t="n"/>
      <c r="AA211" s="61" t="n"/>
      <c r="AB211" s="40" t="n"/>
      <c r="AC211" s="40" t="n"/>
      <c r="AD211" s="40" t="n"/>
      <c r="AE211" s="40" t="n"/>
      <c r="AF211" s="40" t="n"/>
      <c r="AG211" s="61" t="n"/>
    </row>
    <row r="212" ht="15.75" customHeight="1" s="191">
      <c r="O212" s="60" t="n"/>
      <c r="AA212" s="61" t="n"/>
      <c r="AB212" s="40" t="n"/>
      <c r="AC212" s="40" t="n"/>
      <c r="AD212" s="40" t="n"/>
      <c r="AE212" s="40" t="n"/>
      <c r="AF212" s="40" t="n"/>
      <c r="AG212" s="61" t="n"/>
    </row>
    <row r="213" ht="15.75" customHeight="1" s="191">
      <c r="O213" s="60" t="n"/>
      <c r="AA213" s="61" t="n"/>
      <c r="AB213" s="40" t="n"/>
      <c r="AC213" s="40" t="n"/>
      <c r="AD213" s="40" t="n"/>
      <c r="AE213" s="40" t="n"/>
      <c r="AF213" s="40" t="n"/>
      <c r="AG213" s="61" t="n"/>
    </row>
    <row r="214" ht="15.75" customHeight="1" s="191">
      <c r="O214" s="60" t="n"/>
      <c r="AA214" s="61" t="n"/>
      <c r="AB214" s="40" t="n"/>
      <c r="AC214" s="40" t="n"/>
      <c r="AD214" s="40" t="n"/>
      <c r="AE214" s="40" t="n"/>
      <c r="AF214" s="40" t="n"/>
      <c r="AG214" s="61" t="n"/>
    </row>
    <row r="215" ht="15.75" customHeight="1" s="191">
      <c r="O215" s="60" t="n"/>
      <c r="AA215" s="61" t="n"/>
      <c r="AB215" s="40" t="n"/>
      <c r="AC215" s="40" t="n"/>
      <c r="AD215" s="40" t="n"/>
      <c r="AE215" s="40" t="n"/>
      <c r="AF215" s="40" t="n"/>
      <c r="AG215" s="61" t="n"/>
    </row>
    <row r="216" ht="15.75" customHeight="1" s="191">
      <c r="O216" s="60" t="n"/>
      <c r="AA216" s="61" t="n"/>
      <c r="AB216" s="40" t="n"/>
      <c r="AC216" s="40" t="n"/>
      <c r="AD216" s="40" t="n"/>
      <c r="AE216" s="40" t="n"/>
      <c r="AF216" s="40" t="n"/>
      <c r="AG216" s="61" t="n"/>
    </row>
    <row r="217" ht="15.75" customHeight="1" s="191">
      <c r="O217" s="60" t="n"/>
      <c r="AA217" s="61" t="n"/>
      <c r="AB217" s="40" t="n"/>
      <c r="AC217" s="40" t="n"/>
      <c r="AD217" s="40" t="n"/>
      <c r="AE217" s="40" t="n"/>
      <c r="AF217" s="40" t="n"/>
      <c r="AG217" s="61" t="n"/>
    </row>
    <row r="218" ht="15.75" customHeight="1" s="191">
      <c r="O218" s="60" t="n"/>
      <c r="AA218" s="61" t="n"/>
      <c r="AB218" s="40" t="n"/>
      <c r="AC218" s="40" t="n"/>
      <c r="AD218" s="40" t="n"/>
      <c r="AE218" s="40" t="n"/>
      <c r="AF218" s="40" t="n"/>
      <c r="AG218" s="61" t="n"/>
    </row>
    <row r="219" ht="15.75" customHeight="1" s="191">
      <c r="O219" s="60" t="n"/>
      <c r="AA219" s="61" t="n"/>
      <c r="AB219" s="40" t="n"/>
      <c r="AC219" s="40" t="n"/>
      <c r="AD219" s="40" t="n"/>
      <c r="AE219" s="40" t="n"/>
      <c r="AF219" s="40" t="n"/>
      <c r="AG219" s="61" t="n"/>
    </row>
    <row r="220" ht="15.75" customHeight="1" s="191">
      <c r="O220" s="60" t="n"/>
      <c r="AA220" s="61" t="n"/>
      <c r="AB220" s="40" t="n"/>
      <c r="AC220" s="40" t="n"/>
      <c r="AD220" s="40" t="n"/>
      <c r="AE220" s="40" t="n"/>
      <c r="AF220" s="40" t="n"/>
      <c r="AG220" s="61" t="n"/>
    </row>
    <row r="221" ht="15.75" customHeight="1" s="191">
      <c r="O221" s="60" t="n"/>
      <c r="AA221" s="61" t="n"/>
      <c r="AB221" s="40" t="n"/>
      <c r="AC221" s="40" t="n"/>
      <c r="AD221" s="40" t="n"/>
      <c r="AE221" s="40" t="n"/>
      <c r="AF221" s="40" t="n"/>
      <c r="AG221" s="61" t="n"/>
    </row>
    <row r="222" ht="15.75" customHeight="1" s="191">
      <c r="O222" s="60" t="n"/>
      <c r="AA222" s="61" t="n"/>
      <c r="AB222" s="40" t="n"/>
      <c r="AC222" s="40" t="n"/>
      <c r="AD222" s="40" t="n"/>
      <c r="AE222" s="40" t="n"/>
      <c r="AF222" s="40" t="n"/>
      <c r="AG222" s="61" t="n"/>
    </row>
    <row r="223" ht="15.75" customHeight="1" s="191">
      <c r="O223" s="60" t="n"/>
      <c r="AA223" s="61" t="n"/>
      <c r="AB223" s="40" t="n"/>
      <c r="AC223" s="40" t="n"/>
      <c r="AD223" s="40" t="n"/>
      <c r="AE223" s="40" t="n"/>
      <c r="AF223" s="40" t="n"/>
      <c r="AG223" s="61" t="n"/>
    </row>
    <row r="224" ht="15.75" customHeight="1" s="191">
      <c r="O224" s="60" t="n"/>
      <c r="AA224" s="61" t="n"/>
      <c r="AB224" s="40" t="n"/>
      <c r="AC224" s="40" t="n"/>
      <c r="AD224" s="40" t="n"/>
      <c r="AE224" s="40" t="n"/>
      <c r="AF224" s="40" t="n"/>
      <c r="AG224" s="61" t="n"/>
    </row>
    <row r="225" ht="15.75" customHeight="1" s="191">
      <c r="O225" s="60" t="n"/>
      <c r="AA225" s="61" t="n"/>
      <c r="AB225" s="40" t="n"/>
      <c r="AC225" s="40" t="n"/>
      <c r="AD225" s="40" t="n"/>
      <c r="AE225" s="40" t="n"/>
      <c r="AF225" s="40" t="n"/>
      <c r="AG225" s="61" t="n"/>
    </row>
    <row r="226" ht="15.75" customHeight="1" s="191">
      <c r="O226" s="60" t="n"/>
      <c r="AA226" s="61" t="n"/>
      <c r="AB226" s="40" t="n"/>
      <c r="AC226" s="40" t="n"/>
      <c r="AD226" s="40" t="n"/>
      <c r="AE226" s="40" t="n"/>
      <c r="AF226" s="40" t="n"/>
      <c r="AG226" s="61" t="n"/>
    </row>
    <row r="227" ht="15.75" customHeight="1" s="191">
      <c r="O227" s="60" t="n"/>
      <c r="AA227" s="61" t="n"/>
      <c r="AB227" s="40" t="n"/>
      <c r="AC227" s="40" t="n"/>
      <c r="AD227" s="40" t="n"/>
      <c r="AE227" s="40" t="n"/>
      <c r="AF227" s="40" t="n"/>
      <c r="AG227" s="61" t="n"/>
    </row>
    <row r="228" ht="15.75" customHeight="1" s="191">
      <c r="O228" s="60" t="n"/>
      <c r="AA228" s="61" t="n"/>
      <c r="AB228" s="40" t="n"/>
      <c r="AC228" s="40" t="n"/>
      <c r="AD228" s="40" t="n"/>
      <c r="AE228" s="40" t="n"/>
      <c r="AF228" s="40" t="n"/>
      <c r="AG228" s="61" t="n"/>
    </row>
    <row r="229" ht="15.75" customHeight="1" s="191">
      <c r="O229" s="60" t="n"/>
      <c r="AA229" s="61" t="n"/>
      <c r="AB229" s="40" t="n"/>
      <c r="AC229" s="40" t="n"/>
      <c r="AD229" s="40" t="n"/>
      <c r="AE229" s="40" t="n"/>
      <c r="AF229" s="40" t="n"/>
      <c r="AG229" s="61" t="n"/>
    </row>
    <row r="230" ht="15.75" customHeight="1" s="191">
      <c r="O230" s="60" t="n"/>
      <c r="AA230" s="61" t="n"/>
      <c r="AB230" s="40" t="n"/>
      <c r="AC230" s="40" t="n"/>
      <c r="AD230" s="40" t="n"/>
      <c r="AE230" s="40" t="n"/>
      <c r="AF230" s="40" t="n"/>
      <c r="AG230" s="61" t="n"/>
    </row>
    <row r="231" ht="15.75" customHeight="1" s="191">
      <c r="O231" s="60" t="n"/>
      <c r="AA231" s="61" t="n"/>
      <c r="AB231" s="40" t="n"/>
      <c r="AC231" s="40" t="n"/>
      <c r="AD231" s="40" t="n"/>
      <c r="AE231" s="40" t="n"/>
      <c r="AF231" s="40" t="n"/>
      <c r="AG231" s="61" t="n"/>
    </row>
    <row r="232" ht="15.75" customHeight="1" s="191">
      <c r="O232" s="60" t="n"/>
      <c r="AA232" s="61" t="n"/>
      <c r="AB232" s="40" t="n"/>
      <c r="AC232" s="40" t="n"/>
      <c r="AD232" s="40" t="n"/>
      <c r="AE232" s="40" t="n"/>
      <c r="AF232" s="40" t="n"/>
      <c r="AG232" s="61" t="n"/>
    </row>
    <row r="233" ht="15.75" customHeight="1" s="191">
      <c r="O233" s="60" t="n"/>
      <c r="AA233" s="61" t="n"/>
      <c r="AB233" s="40" t="n"/>
      <c r="AC233" s="40" t="n"/>
      <c r="AD233" s="40" t="n"/>
      <c r="AE233" s="40" t="n"/>
      <c r="AF233" s="40" t="n"/>
      <c r="AG233" s="61" t="n"/>
    </row>
    <row r="234" ht="15.75" customHeight="1" s="191">
      <c r="O234" s="60" t="n"/>
      <c r="AA234" s="61" t="n"/>
      <c r="AB234" s="40" t="n"/>
      <c r="AC234" s="40" t="n"/>
      <c r="AD234" s="40" t="n"/>
      <c r="AE234" s="40" t="n"/>
      <c r="AF234" s="40" t="n"/>
      <c r="AG234" s="61" t="n"/>
    </row>
    <row r="235" ht="15.75" customHeight="1" s="191">
      <c r="O235" s="60" t="n"/>
      <c r="AA235" s="61" t="n"/>
      <c r="AB235" s="40" t="n"/>
      <c r="AC235" s="40" t="n"/>
      <c r="AD235" s="40" t="n"/>
      <c r="AE235" s="40" t="n"/>
      <c r="AF235" s="40" t="n"/>
      <c r="AG235" s="61" t="n"/>
    </row>
    <row r="236" ht="15.75" customHeight="1" s="191">
      <c r="O236" s="60" t="n"/>
      <c r="AA236" s="61" t="n"/>
      <c r="AB236" s="40" t="n"/>
      <c r="AC236" s="40" t="n"/>
      <c r="AD236" s="40" t="n"/>
      <c r="AE236" s="40" t="n"/>
      <c r="AF236" s="40" t="n"/>
      <c r="AG236" s="61" t="n"/>
    </row>
    <row r="237" ht="15.75" customHeight="1" s="191">
      <c r="O237" s="60" t="n"/>
      <c r="AA237" s="61" t="n"/>
      <c r="AB237" s="40" t="n"/>
      <c r="AC237" s="40" t="n"/>
      <c r="AD237" s="40" t="n"/>
      <c r="AE237" s="40" t="n"/>
      <c r="AF237" s="40" t="n"/>
      <c r="AG237" s="61" t="n"/>
    </row>
    <row r="238" ht="15.75" customHeight="1" s="191">
      <c r="O238" s="60" t="n"/>
      <c r="AA238" s="61" t="n"/>
      <c r="AB238" s="40" t="n"/>
      <c r="AC238" s="40" t="n"/>
      <c r="AD238" s="40" t="n"/>
      <c r="AE238" s="40" t="n"/>
      <c r="AF238" s="40" t="n"/>
      <c r="AG238" s="61" t="n"/>
    </row>
    <row r="239" ht="15.75" customHeight="1" s="191">
      <c r="O239" s="60" t="n"/>
      <c r="AA239" s="61" t="n"/>
      <c r="AB239" s="40" t="n"/>
      <c r="AC239" s="40" t="n"/>
      <c r="AD239" s="40" t="n"/>
      <c r="AE239" s="40" t="n"/>
      <c r="AF239" s="40" t="n"/>
      <c r="AG239" s="61" t="n"/>
    </row>
    <row r="240" ht="15.75" customHeight="1" s="191">
      <c r="O240" s="60" t="n"/>
      <c r="AA240" s="61" t="n"/>
      <c r="AB240" s="40" t="n"/>
      <c r="AC240" s="40" t="n"/>
      <c r="AD240" s="40" t="n"/>
      <c r="AE240" s="40" t="n"/>
      <c r="AF240" s="40" t="n"/>
      <c r="AG240" s="61" t="n"/>
    </row>
    <row r="241" ht="15.75" customHeight="1" s="191">
      <c r="O241" s="60" t="n"/>
      <c r="AA241" s="61" t="n"/>
      <c r="AB241" s="40" t="n"/>
      <c r="AC241" s="40" t="n"/>
      <c r="AD241" s="40" t="n"/>
      <c r="AE241" s="40" t="n"/>
      <c r="AF241" s="40" t="n"/>
      <c r="AG241" s="61" t="n"/>
    </row>
    <row r="242" ht="15.75" customHeight="1" s="191">
      <c r="O242" s="60" t="n"/>
      <c r="AA242" s="61" t="n"/>
      <c r="AB242" s="40" t="n"/>
      <c r="AC242" s="40" t="n"/>
      <c r="AD242" s="40" t="n"/>
      <c r="AE242" s="40" t="n"/>
      <c r="AF242" s="40" t="n"/>
      <c r="AG242" s="61" t="n"/>
    </row>
    <row r="243" ht="15.75" customHeight="1" s="191">
      <c r="O243" s="60" t="n"/>
      <c r="AA243" s="61" t="n"/>
      <c r="AB243" s="40" t="n"/>
      <c r="AC243" s="40" t="n"/>
      <c r="AD243" s="40" t="n"/>
      <c r="AE243" s="40" t="n"/>
      <c r="AF243" s="40" t="n"/>
      <c r="AG243" s="61" t="n"/>
    </row>
    <row r="244" ht="15.75" customHeight="1" s="191">
      <c r="O244" s="60" t="n"/>
      <c r="AA244" s="61" t="n"/>
      <c r="AB244" s="40" t="n"/>
      <c r="AC244" s="40" t="n"/>
      <c r="AD244" s="40" t="n"/>
      <c r="AE244" s="40" t="n"/>
      <c r="AF244" s="40" t="n"/>
      <c r="AG244" s="61" t="n"/>
    </row>
    <row r="245" ht="15.75" customHeight="1" s="191">
      <c r="O245" s="60" t="n"/>
      <c r="AA245" s="61" t="n"/>
      <c r="AB245" s="40" t="n"/>
      <c r="AC245" s="40" t="n"/>
      <c r="AD245" s="40" t="n"/>
      <c r="AE245" s="40" t="n"/>
      <c r="AF245" s="40" t="n"/>
      <c r="AG245" s="61" t="n"/>
    </row>
    <row r="246" ht="15.75" customHeight="1" s="191">
      <c r="O246" s="60" t="n"/>
      <c r="AA246" s="61" t="n"/>
      <c r="AB246" s="40" t="n"/>
      <c r="AC246" s="40" t="n"/>
      <c r="AD246" s="40" t="n"/>
      <c r="AE246" s="40" t="n"/>
      <c r="AF246" s="40" t="n"/>
      <c r="AG246" s="61" t="n"/>
    </row>
    <row r="247" ht="15.75" customHeight="1" s="191">
      <c r="O247" s="60" t="n"/>
      <c r="AA247" s="61" t="n"/>
      <c r="AB247" s="40" t="n"/>
      <c r="AC247" s="40" t="n"/>
      <c r="AD247" s="40" t="n"/>
      <c r="AE247" s="40" t="n"/>
      <c r="AF247" s="40" t="n"/>
      <c r="AG247" s="61" t="n"/>
    </row>
    <row r="248" ht="15.75" customHeight="1" s="191">
      <c r="O248" s="60" t="n"/>
      <c r="AA248" s="61" t="n"/>
      <c r="AB248" s="40" t="n"/>
      <c r="AC248" s="40" t="n"/>
      <c r="AD248" s="40" t="n"/>
      <c r="AE248" s="40" t="n"/>
      <c r="AF248" s="40" t="n"/>
      <c r="AG248" s="61" t="n"/>
    </row>
    <row r="249" ht="15.75" customHeight="1" s="191">
      <c r="O249" s="60" t="n"/>
      <c r="AA249" s="61" t="n"/>
      <c r="AB249" s="40" t="n"/>
      <c r="AC249" s="40" t="n"/>
      <c r="AD249" s="40" t="n"/>
      <c r="AE249" s="40" t="n"/>
      <c r="AF249" s="40" t="n"/>
      <c r="AG249" s="61" t="n"/>
    </row>
    <row r="250" ht="15.75" customHeight="1" s="191">
      <c r="O250" s="60" t="n"/>
      <c r="AA250" s="61" t="n"/>
      <c r="AB250" s="40" t="n"/>
      <c r="AC250" s="40" t="n"/>
      <c r="AD250" s="40" t="n"/>
      <c r="AE250" s="40" t="n"/>
      <c r="AF250" s="40" t="n"/>
      <c r="AG250" s="61" t="n"/>
    </row>
    <row r="251" ht="15.75" customHeight="1" s="191">
      <c r="O251" s="60" t="n"/>
      <c r="AA251" s="61" t="n"/>
      <c r="AB251" s="40" t="n"/>
      <c r="AC251" s="40" t="n"/>
      <c r="AD251" s="40" t="n"/>
      <c r="AE251" s="40" t="n"/>
      <c r="AF251" s="40" t="n"/>
      <c r="AG251" s="61" t="n"/>
    </row>
    <row r="252" ht="15.75" customHeight="1" s="191">
      <c r="O252" s="60" t="n"/>
      <c r="AA252" s="61" t="n"/>
      <c r="AB252" s="40" t="n"/>
      <c r="AC252" s="40" t="n"/>
      <c r="AD252" s="40" t="n"/>
      <c r="AE252" s="40" t="n"/>
      <c r="AF252" s="40" t="n"/>
      <c r="AG252" s="61" t="n"/>
    </row>
    <row r="253" ht="15.75" customHeight="1" s="191">
      <c r="O253" s="60" t="n"/>
      <c r="AA253" s="61" t="n"/>
      <c r="AB253" s="40" t="n"/>
      <c r="AC253" s="40" t="n"/>
      <c r="AD253" s="40" t="n"/>
      <c r="AE253" s="40" t="n"/>
      <c r="AF253" s="40" t="n"/>
      <c r="AG253" s="61" t="n"/>
    </row>
    <row r="254" ht="15.75" customHeight="1" s="191">
      <c r="O254" s="60" t="n"/>
      <c r="AA254" s="61" t="n"/>
      <c r="AB254" s="40" t="n"/>
      <c r="AC254" s="40" t="n"/>
      <c r="AD254" s="40" t="n"/>
      <c r="AE254" s="40" t="n"/>
      <c r="AF254" s="40" t="n"/>
      <c r="AG254" s="61" t="n"/>
    </row>
    <row r="255" ht="15.75" customHeight="1" s="191">
      <c r="O255" s="60" t="n"/>
      <c r="AA255" s="61" t="n"/>
      <c r="AB255" s="40" t="n"/>
      <c r="AC255" s="40" t="n"/>
      <c r="AD255" s="40" t="n"/>
      <c r="AE255" s="40" t="n"/>
      <c r="AF255" s="40" t="n"/>
      <c r="AG255" s="61" t="n"/>
    </row>
    <row r="256" ht="15.75" customHeight="1" s="191">
      <c r="O256" s="60" t="n"/>
      <c r="AA256" s="61" t="n"/>
      <c r="AB256" s="40" t="n"/>
      <c r="AC256" s="40" t="n"/>
      <c r="AD256" s="40" t="n"/>
      <c r="AE256" s="40" t="n"/>
      <c r="AF256" s="40" t="n"/>
      <c r="AG256" s="61" t="n"/>
    </row>
    <row r="257" ht="15.75" customHeight="1" s="191">
      <c r="O257" s="60" t="n"/>
      <c r="AA257" s="61" t="n"/>
      <c r="AB257" s="40" t="n"/>
      <c r="AC257" s="40" t="n"/>
      <c r="AD257" s="40" t="n"/>
      <c r="AE257" s="40" t="n"/>
      <c r="AF257" s="40" t="n"/>
      <c r="AG257" s="61" t="n"/>
    </row>
    <row r="258" ht="15.75" customHeight="1" s="191">
      <c r="O258" s="60" t="n"/>
      <c r="AA258" s="61" t="n"/>
      <c r="AB258" s="40" t="n"/>
      <c r="AC258" s="40" t="n"/>
      <c r="AD258" s="40" t="n"/>
      <c r="AE258" s="40" t="n"/>
      <c r="AF258" s="40" t="n"/>
      <c r="AG258" s="61" t="n"/>
    </row>
    <row r="259" ht="15.75" customHeight="1" s="191">
      <c r="O259" s="60" t="n"/>
      <c r="AA259" s="61" t="n"/>
      <c r="AB259" s="40" t="n"/>
      <c r="AC259" s="40" t="n"/>
      <c r="AD259" s="40" t="n"/>
      <c r="AE259" s="40" t="n"/>
      <c r="AF259" s="40" t="n"/>
      <c r="AG259" s="61" t="n"/>
    </row>
    <row r="260" ht="15.75" customHeight="1" s="191">
      <c r="O260" s="60" t="n"/>
      <c r="AA260" s="61" t="n"/>
      <c r="AB260" s="40" t="n"/>
      <c r="AC260" s="40" t="n"/>
      <c r="AD260" s="40" t="n"/>
      <c r="AE260" s="40" t="n"/>
      <c r="AF260" s="40" t="n"/>
      <c r="AG260" s="61" t="n"/>
    </row>
    <row r="261" ht="15.75" customHeight="1" s="191">
      <c r="O261" s="60" t="n"/>
      <c r="AA261" s="61" t="n"/>
      <c r="AB261" s="40" t="n"/>
      <c r="AC261" s="40" t="n"/>
      <c r="AD261" s="40" t="n"/>
      <c r="AE261" s="40" t="n"/>
      <c r="AF261" s="40" t="n"/>
      <c r="AG261" s="61" t="n"/>
    </row>
    <row r="262" ht="15.75" customHeight="1" s="191">
      <c r="O262" s="60" t="n"/>
      <c r="AA262" s="61" t="n"/>
      <c r="AB262" s="40" t="n"/>
      <c r="AC262" s="40" t="n"/>
      <c r="AD262" s="40" t="n"/>
      <c r="AE262" s="40" t="n"/>
      <c r="AF262" s="40" t="n"/>
      <c r="AG262" s="61" t="n"/>
    </row>
    <row r="263" ht="15.75" customHeight="1" s="191">
      <c r="O263" s="60" t="n"/>
      <c r="AA263" s="61" t="n"/>
      <c r="AB263" s="40" t="n"/>
      <c r="AC263" s="40" t="n"/>
      <c r="AD263" s="40" t="n"/>
      <c r="AE263" s="40" t="n"/>
      <c r="AF263" s="40" t="n"/>
      <c r="AG263" s="61" t="n"/>
    </row>
    <row r="264" ht="15.75" customHeight="1" s="191">
      <c r="O264" s="60" t="n"/>
      <c r="AA264" s="61" t="n"/>
      <c r="AB264" s="40" t="n"/>
      <c r="AC264" s="40" t="n"/>
      <c r="AD264" s="40" t="n"/>
      <c r="AE264" s="40" t="n"/>
      <c r="AF264" s="40" t="n"/>
      <c r="AG264" s="61" t="n"/>
    </row>
    <row r="265" ht="15.75" customHeight="1" s="191">
      <c r="O265" s="60" t="n"/>
      <c r="AA265" s="61" t="n"/>
      <c r="AB265" s="40" t="n"/>
      <c r="AC265" s="40" t="n"/>
      <c r="AD265" s="40" t="n"/>
      <c r="AE265" s="40" t="n"/>
      <c r="AF265" s="40" t="n"/>
      <c r="AG265" s="61" t="n"/>
    </row>
    <row r="266" ht="15.75" customHeight="1" s="191">
      <c r="O266" s="60" t="n"/>
      <c r="AA266" s="61" t="n"/>
      <c r="AB266" s="40" t="n"/>
      <c r="AC266" s="40" t="n"/>
      <c r="AD266" s="40" t="n"/>
      <c r="AE266" s="40" t="n"/>
      <c r="AF266" s="40" t="n"/>
      <c r="AG266" s="61" t="n"/>
    </row>
    <row r="267" ht="15.75" customHeight="1" s="191">
      <c r="O267" s="60" t="n"/>
      <c r="AA267" s="61" t="n"/>
      <c r="AB267" s="40" t="n"/>
      <c r="AC267" s="40" t="n"/>
      <c r="AD267" s="40" t="n"/>
      <c r="AE267" s="40" t="n"/>
      <c r="AF267" s="40" t="n"/>
      <c r="AG267" s="61" t="n"/>
    </row>
    <row r="268" ht="15.75" customHeight="1" s="191">
      <c r="O268" s="60" t="n"/>
      <c r="AA268" s="61" t="n"/>
      <c r="AB268" s="40" t="n"/>
      <c r="AC268" s="40" t="n"/>
      <c r="AD268" s="40" t="n"/>
      <c r="AE268" s="40" t="n"/>
      <c r="AF268" s="40" t="n"/>
      <c r="AG268" s="61" t="n"/>
    </row>
    <row r="269" ht="15.75" customHeight="1" s="191">
      <c r="O269" s="60" t="n"/>
      <c r="AA269" s="61" t="n"/>
      <c r="AB269" s="40" t="n"/>
      <c r="AC269" s="40" t="n"/>
      <c r="AD269" s="40" t="n"/>
      <c r="AE269" s="40" t="n"/>
      <c r="AF269" s="40" t="n"/>
      <c r="AG269" s="61" t="n"/>
    </row>
    <row r="270" ht="15.75" customHeight="1" s="191">
      <c r="O270" s="60" t="n"/>
      <c r="AA270" s="61" t="n"/>
      <c r="AB270" s="40" t="n"/>
      <c r="AC270" s="40" t="n"/>
      <c r="AD270" s="40" t="n"/>
      <c r="AE270" s="40" t="n"/>
      <c r="AF270" s="40" t="n"/>
      <c r="AG270" s="61" t="n"/>
    </row>
    <row r="271" ht="15.75" customHeight="1" s="191">
      <c r="O271" s="60" t="n"/>
      <c r="AA271" s="61" t="n"/>
      <c r="AB271" s="40" t="n"/>
      <c r="AC271" s="40" t="n"/>
      <c r="AD271" s="40" t="n"/>
      <c r="AE271" s="40" t="n"/>
      <c r="AF271" s="40" t="n"/>
      <c r="AG271" s="61" t="n"/>
    </row>
    <row r="272" ht="15.75" customHeight="1" s="191">
      <c r="O272" s="60" t="n"/>
      <c r="AA272" s="61" t="n"/>
      <c r="AB272" s="40" t="n"/>
      <c r="AC272" s="40" t="n"/>
      <c r="AD272" s="40" t="n"/>
      <c r="AE272" s="40" t="n"/>
      <c r="AF272" s="40" t="n"/>
      <c r="AG272" s="61" t="n"/>
    </row>
    <row r="273" ht="15.75" customHeight="1" s="191">
      <c r="O273" s="60" t="n"/>
      <c r="AA273" s="61" t="n"/>
      <c r="AB273" s="40" t="n"/>
      <c r="AC273" s="40" t="n"/>
      <c r="AD273" s="40" t="n"/>
      <c r="AE273" s="40" t="n"/>
      <c r="AF273" s="40" t="n"/>
      <c r="AG273" s="61" t="n"/>
    </row>
    <row r="274" ht="15.75" customHeight="1" s="191">
      <c r="O274" s="60" t="n"/>
      <c r="AA274" s="61" t="n"/>
      <c r="AB274" s="40" t="n"/>
      <c r="AC274" s="40" t="n"/>
      <c r="AD274" s="40" t="n"/>
      <c r="AE274" s="40" t="n"/>
      <c r="AF274" s="40" t="n"/>
      <c r="AG274" s="61" t="n"/>
    </row>
    <row r="275" ht="15.75" customHeight="1" s="191">
      <c r="O275" s="60" t="n"/>
      <c r="AA275" s="61" t="n"/>
      <c r="AB275" s="40" t="n"/>
      <c r="AC275" s="40" t="n"/>
      <c r="AD275" s="40" t="n"/>
      <c r="AE275" s="40" t="n"/>
      <c r="AF275" s="40" t="n"/>
      <c r="AG275" s="61" t="n"/>
    </row>
    <row r="276" ht="15.75" customHeight="1" s="191">
      <c r="O276" s="60" t="n"/>
      <c r="AA276" s="61" t="n"/>
      <c r="AB276" s="40" t="n"/>
      <c r="AC276" s="40" t="n"/>
      <c r="AD276" s="40" t="n"/>
      <c r="AE276" s="40" t="n"/>
      <c r="AF276" s="40" t="n"/>
      <c r="AG276" s="61" t="n"/>
    </row>
    <row r="277" ht="15.75" customHeight="1" s="191">
      <c r="O277" s="60" t="n"/>
      <c r="AA277" s="61" t="n"/>
      <c r="AB277" s="40" t="n"/>
      <c r="AC277" s="40" t="n"/>
      <c r="AD277" s="40" t="n"/>
      <c r="AE277" s="40" t="n"/>
      <c r="AF277" s="40" t="n"/>
      <c r="AG277" s="61" t="n"/>
    </row>
    <row r="278" ht="15.75" customHeight="1" s="191">
      <c r="O278" s="60" t="n"/>
      <c r="AA278" s="61" t="n"/>
      <c r="AB278" s="40" t="n"/>
      <c r="AC278" s="40" t="n"/>
      <c r="AD278" s="40" t="n"/>
      <c r="AE278" s="40" t="n"/>
      <c r="AF278" s="40" t="n"/>
      <c r="AG278" s="61" t="n"/>
    </row>
    <row r="279" ht="15.75" customHeight="1" s="191">
      <c r="O279" s="60" t="n"/>
      <c r="AA279" s="61" t="n"/>
      <c r="AB279" s="40" t="n"/>
      <c r="AC279" s="40" t="n"/>
      <c r="AD279" s="40" t="n"/>
      <c r="AE279" s="40" t="n"/>
      <c r="AF279" s="40" t="n"/>
      <c r="AG279" s="61" t="n"/>
    </row>
    <row r="280" ht="15.75" customHeight="1" s="191">
      <c r="O280" s="60" t="n"/>
      <c r="AA280" s="61" t="n"/>
      <c r="AB280" s="40" t="n"/>
      <c r="AC280" s="40" t="n"/>
      <c r="AD280" s="40" t="n"/>
      <c r="AE280" s="40" t="n"/>
      <c r="AF280" s="40" t="n"/>
      <c r="AG280" s="61" t="n"/>
    </row>
    <row r="281" ht="15.75" customHeight="1" s="191">
      <c r="O281" s="60" t="n"/>
      <c r="AA281" s="61" t="n"/>
      <c r="AB281" s="40" t="n"/>
      <c r="AC281" s="40" t="n"/>
      <c r="AD281" s="40" t="n"/>
      <c r="AE281" s="40" t="n"/>
      <c r="AF281" s="40" t="n"/>
      <c r="AG281" s="61" t="n"/>
    </row>
    <row r="282" ht="15.75" customHeight="1" s="191">
      <c r="O282" s="60" t="n"/>
      <c r="AA282" s="61" t="n"/>
      <c r="AB282" s="40" t="n"/>
      <c r="AC282" s="40" t="n"/>
      <c r="AD282" s="40" t="n"/>
      <c r="AE282" s="40" t="n"/>
      <c r="AF282" s="40" t="n"/>
      <c r="AG282" s="61" t="n"/>
    </row>
    <row r="283" ht="15.75" customHeight="1" s="191">
      <c r="O283" s="60" t="n"/>
      <c r="AA283" s="61" t="n"/>
      <c r="AB283" s="40" t="n"/>
      <c r="AC283" s="40" t="n"/>
      <c r="AD283" s="40" t="n"/>
      <c r="AE283" s="40" t="n"/>
      <c r="AF283" s="40" t="n"/>
      <c r="AG283" s="61" t="n"/>
    </row>
    <row r="284" ht="15.75" customHeight="1" s="191">
      <c r="O284" s="60" t="n"/>
      <c r="AA284" s="61" t="n"/>
      <c r="AB284" s="40" t="n"/>
      <c r="AC284" s="40" t="n"/>
      <c r="AD284" s="40" t="n"/>
      <c r="AE284" s="40" t="n"/>
      <c r="AF284" s="40" t="n"/>
      <c r="AG284" s="61" t="n"/>
    </row>
    <row r="285" ht="15.75" customHeight="1" s="191">
      <c r="O285" s="60" t="n"/>
      <c r="AA285" s="61" t="n"/>
      <c r="AB285" s="40" t="n"/>
      <c r="AC285" s="40" t="n"/>
      <c r="AD285" s="40" t="n"/>
      <c r="AE285" s="40" t="n"/>
      <c r="AF285" s="40" t="n"/>
      <c r="AG285" s="61" t="n"/>
    </row>
    <row r="286" ht="15.75" customHeight="1" s="191">
      <c r="O286" s="60" t="n"/>
      <c r="AA286" s="61" t="n"/>
      <c r="AB286" s="40" t="n"/>
      <c r="AC286" s="40" t="n"/>
      <c r="AD286" s="40" t="n"/>
      <c r="AE286" s="40" t="n"/>
      <c r="AF286" s="40" t="n"/>
      <c r="AG286" s="61" t="n"/>
    </row>
    <row r="287" ht="15.75" customHeight="1" s="191">
      <c r="O287" s="60" t="n"/>
      <c r="AA287" s="61" t="n"/>
      <c r="AB287" s="40" t="n"/>
      <c r="AC287" s="40" t="n"/>
      <c r="AD287" s="40" t="n"/>
      <c r="AE287" s="40" t="n"/>
      <c r="AF287" s="40" t="n"/>
      <c r="AG287" s="61" t="n"/>
    </row>
    <row r="288" ht="15.75" customHeight="1" s="191">
      <c r="O288" s="60" t="n"/>
      <c r="AA288" s="61" t="n"/>
      <c r="AB288" s="40" t="n"/>
      <c r="AC288" s="40" t="n"/>
      <c r="AD288" s="40" t="n"/>
      <c r="AE288" s="40" t="n"/>
      <c r="AF288" s="40" t="n"/>
      <c r="AG288" s="61" t="n"/>
    </row>
    <row r="289" ht="15.75" customHeight="1" s="191">
      <c r="O289" s="60" t="n"/>
      <c r="AA289" s="61" t="n"/>
      <c r="AB289" s="40" t="n"/>
      <c r="AC289" s="40" t="n"/>
      <c r="AD289" s="40" t="n"/>
      <c r="AE289" s="40" t="n"/>
      <c r="AF289" s="40" t="n"/>
      <c r="AG289" s="61" t="n"/>
    </row>
    <row r="290" ht="15.75" customHeight="1" s="191">
      <c r="O290" s="60" t="n"/>
      <c r="AA290" s="61" t="n"/>
      <c r="AB290" s="40" t="n"/>
      <c r="AC290" s="40" t="n"/>
      <c r="AD290" s="40" t="n"/>
      <c r="AE290" s="40" t="n"/>
      <c r="AF290" s="40" t="n"/>
      <c r="AG290" s="61" t="n"/>
    </row>
    <row r="291" ht="15.75" customHeight="1" s="191">
      <c r="O291" s="60" t="n"/>
      <c r="AA291" s="61" t="n"/>
      <c r="AB291" s="40" t="n"/>
      <c r="AC291" s="40" t="n"/>
      <c r="AD291" s="40" t="n"/>
      <c r="AE291" s="40" t="n"/>
      <c r="AF291" s="40" t="n"/>
      <c r="AG291" s="61" t="n"/>
    </row>
    <row r="292" ht="15.75" customHeight="1" s="191">
      <c r="O292" s="60" t="n"/>
      <c r="AA292" s="61" t="n"/>
      <c r="AB292" s="40" t="n"/>
      <c r="AC292" s="40" t="n"/>
      <c r="AD292" s="40" t="n"/>
      <c r="AE292" s="40" t="n"/>
      <c r="AF292" s="40" t="n"/>
      <c r="AG292" s="61" t="n"/>
    </row>
    <row r="293" ht="15.75" customHeight="1" s="191">
      <c r="O293" s="60" t="n"/>
      <c r="AA293" s="61" t="n"/>
      <c r="AB293" s="40" t="n"/>
      <c r="AC293" s="40" t="n"/>
      <c r="AD293" s="40" t="n"/>
      <c r="AE293" s="40" t="n"/>
      <c r="AF293" s="40" t="n"/>
      <c r="AG293" s="61" t="n"/>
    </row>
    <row r="294" ht="15.75" customHeight="1" s="191">
      <c r="O294" s="60" t="n"/>
      <c r="AA294" s="61" t="n"/>
      <c r="AB294" s="40" t="n"/>
      <c r="AC294" s="40" t="n"/>
      <c r="AD294" s="40" t="n"/>
      <c r="AE294" s="40" t="n"/>
      <c r="AF294" s="40" t="n"/>
      <c r="AG294" s="61" t="n"/>
    </row>
    <row r="295" ht="15.75" customHeight="1" s="191">
      <c r="O295" s="60" t="n"/>
      <c r="AA295" s="61" t="n"/>
      <c r="AB295" s="40" t="n"/>
      <c r="AC295" s="40" t="n"/>
      <c r="AD295" s="40" t="n"/>
      <c r="AE295" s="40" t="n"/>
      <c r="AF295" s="40" t="n"/>
      <c r="AG295" s="61" t="n"/>
    </row>
    <row r="296" ht="15.75" customHeight="1" s="191">
      <c r="O296" s="60" t="n"/>
      <c r="AA296" s="61" t="n"/>
      <c r="AB296" s="40" t="n"/>
      <c r="AC296" s="40" t="n"/>
      <c r="AD296" s="40" t="n"/>
      <c r="AE296" s="40" t="n"/>
      <c r="AF296" s="40" t="n"/>
      <c r="AG296" s="61" t="n"/>
    </row>
    <row r="297" ht="15.75" customHeight="1" s="191">
      <c r="O297" s="60" t="n"/>
      <c r="AA297" s="61" t="n"/>
      <c r="AB297" s="40" t="n"/>
      <c r="AC297" s="40" t="n"/>
      <c r="AD297" s="40" t="n"/>
      <c r="AE297" s="40" t="n"/>
      <c r="AF297" s="40" t="n"/>
      <c r="AG297" s="61" t="n"/>
    </row>
    <row r="298" ht="15.75" customHeight="1" s="191">
      <c r="O298" s="60" t="n"/>
      <c r="AA298" s="61" t="n"/>
      <c r="AB298" s="40" t="n"/>
      <c r="AC298" s="40" t="n"/>
      <c r="AD298" s="40" t="n"/>
      <c r="AE298" s="40" t="n"/>
      <c r="AF298" s="40" t="n"/>
      <c r="AG298" s="61" t="n"/>
    </row>
    <row r="299" ht="15.75" customHeight="1" s="191">
      <c r="O299" s="60" t="n"/>
      <c r="AA299" s="61" t="n"/>
      <c r="AB299" s="40" t="n"/>
      <c r="AC299" s="40" t="n"/>
      <c r="AD299" s="40" t="n"/>
      <c r="AE299" s="40" t="n"/>
      <c r="AF299" s="40" t="n"/>
      <c r="AG299" s="61" t="n"/>
    </row>
    <row r="300" ht="15.75" customHeight="1" s="191">
      <c r="O300" s="60" t="n"/>
      <c r="AA300" s="61" t="n"/>
      <c r="AB300" s="40" t="n"/>
      <c r="AC300" s="40" t="n"/>
      <c r="AD300" s="40" t="n"/>
      <c r="AE300" s="40" t="n"/>
      <c r="AF300" s="40" t="n"/>
      <c r="AG300" s="61" t="n"/>
    </row>
    <row r="301" ht="15.75" customHeight="1" s="191">
      <c r="O301" s="60" t="n"/>
      <c r="AA301" s="61" t="n"/>
      <c r="AB301" s="40" t="n"/>
      <c r="AC301" s="40" t="n"/>
      <c r="AD301" s="40" t="n"/>
      <c r="AE301" s="40" t="n"/>
      <c r="AF301" s="40" t="n"/>
      <c r="AG301" s="61" t="n"/>
    </row>
    <row r="302" ht="15.75" customHeight="1" s="191">
      <c r="O302" s="60" t="n"/>
      <c r="AA302" s="61" t="n"/>
      <c r="AB302" s="40" t="n"/>
      <c r="AC302" s="40" t="n"/>
      <c r="AD302" s="40" t="n"/>
      <c r="AE302" s="40" t="n"/>
      <c r="AF302" s="40" t="n"/>
      <c r="AG302" s="61" t="n"/>
    </row>
    <row r="303" ht="15.75" customHeight="1" s="191">
      <c r="O303" s="60" t="n"/>
      <c r="AA303" s="61" t="n"/>
      <c r="AB303" s="40" t="n"/>
      <c r="AC303" s="40" t="n"/>
      <c r="AD303" s="40" t="n"/>
      <c r="AE303" s="40" t="n"/>
      <c r="AF303" s="40" t="n"/>
      <c r="AG303" s="61" t="n"/>
    </row>
    <row r="304" ht="15.75" customHeight="1" s="191">
      <c r="O304" s="60" t="n"/>
      <c r="AA304" s="61" t="n"/>
      <c r="AB304" s="40" t="n"/>
      <c r="AC304" s="40" t="n"/>
      <c r="AD304" s="40" t="n"/>
      <c r="AE304" s="40" t="n"/>
      <c r="AF304" s="40" t="n"/>
      <c r="AG304" s="61" t="n"/>
    </row>
    <row r="305" ht="15.75" customHeight="1" s="191">
      <c r="O305" s="60" t="n"/>
      <c r="AA305" s="61" t="n"/>
      <c r="AB305" s="40" t="n"/>
      <c r="AC305" s="40" t="n"/>
      <c r="AD305" s="40" t="n"/>
      <c r="AE305" s="40" t="n"/>
      <c r="AF305" s="40" t="n"/>
      <c r="AG305" s="61" t="n"/>
    </row>
    <row r="306" ht="15.75" customHeight="1" s="191">
      <c r="O306" s="60" t="n"/>
      <c r="AA306" s="61" t="n"/>
      <c r="AB306" s="40" t="n"/>
      <c r="AC306" s="40" t="n"/>
      <c r="AD306" s="40" t="n"/>
      <c r="AE306" s="40" t="n"/>
      <c r="AF306" s="40" t="n"/>
      <c r="AG306" s="61" t="n"/>
    </row>
    <row r="307" ht="15.75" customHeight="1" s="191">
      <c r="O307" s="60" t="n"/>
      <c r="AA307" s="61" t="n"/>
      <c r="AB307" s="40" t="n"/>
      <c r="AC307" s="40" t="n"/>
      <c r="AD307" s="40" t="n"/>
      <c r="AE307" s="40" t="n"/>
      <c r="AF307" s="40" t="n"/>
      <c r="AG307" s="61" t="n"/>
    </row>
    <row r="308" ht="15.75" customHeight="1" s="191">
      <c r="O308" s="60" t="n"/>
      <c r="AA308" s="61" t="n"/>
      <c r="AB308" s="40" t="n"/>
      <c r="AC308" s="40" t="n"/>
      <c r="AD308" s="40" t="n"/>
      <c r="AE308" s="40" t="n"/>
      <c r="AF308" s="40" t="n"/>
      <c r="AG308" s="61" t="n"/>
    </row>
    <row r="309" ht="15.75" customHeight="1" s="191">
      <c r="O309" s="60" t="n"/>
      <c r="AA309" s="61" t="n"/>
      <c r="AB309" s="40" t="n"/>
      <c r="AC309" s="40" t="n"/>
      <c r="AD309" s="40" t="n"/>
      <c r="AE309" s="40" t="n"/>
      <c r="AF309" s="40" t="n"/>
      <c r="AG309" s="61" t="n"/>
    </row>
    <row r="310" ht="15.75" customHeight="1" s="191">
      <c r="O310" s="60" t="n"/>
      <c r="AA310" s="61" t="n"/>
      <c r="AB310" s="40" t="n"/>
      <c r="AC310" s="40" t="n"/>
      <c r="AD310" s="40" t="n"/>
      <c r="AE310" s="40" t="n"/>
      <c r="AF310" s="40" t="n"/>
      <c r="AG310" s="61" t="n"/>
    </row>
    <row r="311" ht="15.75" customHeight="1" s="191">
      <c r="O311" s="60" t="n"/>
      <c r="AA311" s="61" t="n"/>
      <c r="AB311" s="40" t="n"/>
      <c r="AC311" s="40" t="n"/>
      <c r="AD311" s="40" t="n"/>
      <c r="AE311" s="40" t="n"/>
      <c r="AF311" s="40" t="n"/>
      <c r="AG311" s="61" t="n"/>
    </row>
    <row r="312" ht="15.75" customHeight="1" s="191">
      <c r="O312" s="60" t="n"/>
      <c r="AA312" s="61" t="n"/>
      <c r="AB312" s="40" t="n"/>
      <c r="AC312" s="40" t="n"/>
      <c r="AD312" s="40" t="n"/>
      <c r="AE312" s="40" t="n"/>
      <c r="AF312" s="40" t="n"/>
      <c r="AG312" s="61" t="n"/>
    </row>
    <row r="313" ht="15.75" customHeight="1" s="191">
      <c r="O313" s="60" t="n"/>
      <c r="AA313" s="61" t="n"/>
      <c r="AB313" s="40" t="n"/>
      <c r="AC313" s="40" t="n"/>
      <c r="AD313" s="40" t="n"/>
      <c r="AE313" s="40" t="n"/>
      <c r="AF313" s="40" t="n"/>
      <c r="AG313" s="61" t="n"/>
    </row>
    <row r="314" ht="15.75" customHeight="1" s="191">
      <c r="O314" s="60" t="n"/>
      <c r="AA314" s="61" t="n"/>
      <c r="AB314" s="40" t="n"/>
      <c r="AC314" s="40" t="n"/>
      <c r="AD314" s="40" t="n"/>
      <c r="AE314" s="40" t="n"/>
      <c r="AF314" s="40" t="n"/>
      <c r="AG314" s="61" t="n"/>
    </row>
    <row r="315" ht="15.75" customHeight="1" s="191">
      <c r="O315" s="60" t="n"/>
      <c r="AA315" s="61" t="n"/>
      <c r="AB315" s="40" t="n"/>
      <c r="AC315" s="40" t="n"/>
      <c r="AD315" s="40" t="n"/>
      <c r="AE315" s="40" t="n"/>
      <c r="AF315" s="40" t="n"/>
      <c r="AG315" s="61" t="n"/>
    </row>
    <row r="316" ht="15.75" customHeight="1" s="191">
      <c r="O316" s="60" t="n"/>
      <c r="AA316" s="61" t="n"/>
      <c r="AB316" s="40" t="n"/>
      <c r="AC316" s="40" t="n"/>
      <c r="AD316" s="40" t="n"/>
      <c r="AE316" s="40" t="n"/>
      <c r="AF316" s="40" t="n"/>
      <c r="AG316" s="61" t="n"/>
    </row>
    <row r="317" ht="15.75" customHeight="1" s="191">
      <c r="O317" s="60" t="n"/>
      <c r="AA317" s="61" t="n"/>
      <c r="AB317" s="40" t="n"/>
      <c r="AC317" s="40" t="n"/>
      <c r="AD317" s="40" t="n"/>
      <c r="AE317" s="40" t="n"/>
      <c r="AF317" s="40" t="n"/>
      <c r="AG317" s="61" t="n"/>
    </row>
    <row r="318" ht="15.75" customHeight="1" s="191">
      <c r="O318" s="60" t="n"/>
      <c r="AA318" s="61" t="n"/>
      <c r="AB318" s="40" t="n"/>
      <c r="AC318" s="40" t="n"/>
      <c r="AD318" s="40" t="n"/>
      <c r="AE318" s="40" t="n"/>
      <c r="AF318" s="40" t="n"/>
      <c r="AG318" s="61" t="n"/>
    </row>
    <row r="319" ht="15.75" customHeight="1" s="191">
      <c r="O319" s="60" t="n"/>
      <c r="AA319" s="61" t="n"/>
      <c r="AB319" s="40" t="n"/>
      <c r="AC319" s="40" t="n"/>
      <c r="AD319" s="40" t="n"/>
      <c r="AE319" s="40" t="n"/>
      <c r="AF319" s="40" t="n"/>
      <c r="AG319" s="61" t="n"/>
    </row>
    <row r="320" ht="15.75" customHeight="1" s="191">
      <c r="O320" s="60" t="n"/>
      <c r="AA320" s="61" t="n"/>
      <c r="AB320" s="40" t="n"/>
      <c r="AC320" s="40" t="n"/>
      <c r="AD320" s="40" t="n"/>
      <c r="AE320" s="40" t="n"/>
      <c r="AF320" s="40" t="n"/>
      <c r="AG320" s="61" t="n"/>
    </row>
    <row r="321" ht="15.75" customHeight="1" s="191">
      <c r="O321" s="60" t="n"/>
      <c r="AA321" s="61" t="n"/>
      <c r="AB321" s="40" t="n"/>
      <c r="AC321" s="40" t="n"/>
      <c r="AD321" s="40" t="n"/>
      <c r="AE321" s="40" t="n"/>
      <c r="AF321" s="40" t="n"/>
      <c r="AG321" s="61" t="n"/>
    </row>
    <row r="322" ht="15.75" customHeight="1" s="191">
      <c r="O322" s="60" t="n"/>
      <c r="AA322" s="61" t="n"/>
      <c r="AB322" s="40" t="n"/>
      <c r="AC322" s="40" t="n"/>
      <c r="AD322" s="40" t="n"/>
      <c r="AE322" s="40" t="n"/>
      <c r="AF322" s="40" t="n"/>
      <c r="AG322" s="61" t="n"/>
    </row>
    <row r="323" ht="15.75" customHeight="1" s="191">
      <c r="O323" s="60" t="n"/>
      <c r="AA323" s="61" t="n"/>
      <c r="AB323" s="40" t="n"/>
      <c r="AC323" s="40" t="n"/>
      <c r="AD323" s="40" t="n"/>
      <c r="AE323" s="40" t="n"/>
      <c r="AF323" s="40" t="n"/>
      <c r="AG323" s="61" t="n"/>
    </row>
    <row r="324" ht="15.75" customHeight="1" s="191">
      <c r="O324" s="60" t="n"/>
      <c r="AA324" s="61" t="n"/>
      <c r="AB324" s="40" t="n"/>
      <c r="AC324" s="40" t="n"/>
      <c r="AD324" s="40" t="n"/>
      <c r="AE324" s="40" t="n"/>
      <c r="AF324" s="40" t="n"/>
      <c r="AG324" s="61" t="n"/>
    </row>
    <row r="325" ht="15.75" customHeight="1" s="191">
      <c r="O325" s="60" t="n"/>
      <c r="AA325" s="61" t="n"/>
      <c r="AB325" s="40" t="n"/>
      <c r="AC325" s="40" t="n"/>
      <c r="AD325" s="40" t="n"/>
      <c r="AE325" s="40" t="n"/>
      <c r="AF325" s="40" t="n"/>
      <c r="AG325" s="61" t="n"/>
    </row>
    <row r="326" ht="15.75" customHeight="1" s="191">
      <c r="O326" s="60" t="n"/>
      <c r="AA326" s="61" t="n"/>
      <c r="AB326" s="40" t="n"/>
      <c r="AC326" s="40" t="n"/>
      <c r="AD326" s="40" t="n"/>
      <c r="AE326" s="40" t="n"/>
      <c r="AF326" s="40" t="n"/>
      <c r="AG326" s="61" t="n"/>
    </row>
    <row r="327" ht="15.75" customHeight="1" s="191">
      <c r="O327" s="60" t="n"/>
      <c r="AA327" s="61" t="n"/>
      <c r="AB327" s="40" t="n"/>
      <c r="AC327" s="40" t="n"/>
      <c r="AD327" s="40" t="n"/>
      <c r="AE327" s="40" t="n"/>
      <c r="AF327" s="40" t="n"/>
      <c r="AG327" s="61" t="n"/>
    </row>
    <row r="328" ht="15.75" customHeight="1" s="191">
      <c r="O328" s="60" t="n"/>
      <c r="AA328" s="61" t="n"/>
      <c r="AB328" s="40" t="n"/>
      <c r="AC328" s="40" t="n"/>
      <c r="AD328" s="40" t="n"/>
      <c r="AE328" s="40" t="n"/>
      <c r="AF328" s="40" t="n"/>
      <c r="AG328" s="61" t="n"/>
    </row>
    <row r="329" ht="15.75" customHeight="1" s="191">
      <c r="O329" s="60" t="n"/>
      <c r="AA329" s="61" t="n"/>
      <c r="AB329" s="40" t="n"/>
      <c r="AC329" s="40" t="n"/>
      <c r="AD329" s="40" t="n"/>
      <c r="AE329" s="40" t="n"/>
      <c r="AF329" s="40" t="n"/>
      <c r="AG329" s="61" t="n"/>
    </row>
    <row r="330" ht="15.75" customHeight="1" s="191">
      <c r="O330" s="60" t="n"/>
      <c r="AA330" s="61" t="n"/>
      <c r="AB330" s="40" t="n"/>
      <c r="AC330" s="40" t="n"/>
      <c r="AD330" s="40" t="n"/>
      <c r="AE330" s="40" t="n"/>
      <c r="AF330" s="40" t="n"/>
      <c r="AG330" s="61" t="n"/>
    </row>
    <row r="331" ht="15.75" customHeight="1" s="191">
      <c r="O331" s="60" t="n"/>
      <c r="AA331" s="61" t="n"/>
      <c r="AB331" s="40" t="n"/>
      <c r="AC331" s="40" t="n"/>
      <c r="AD331" s="40" t="n"/>
      <c r="AE331" s="40" t="n"/>
      <c r="AF331" s="40" t="n"/>
      <c r="AG331" s="61" t="n"/>
    </row>
    <row r="332" ht="15.75" customHeight="1" s="191">
      <c r="O332" s="60" t="n"/>
      <c r="AA332" s="61" t="n"/>
      <c r="AB332" s="40" t="n"/>
      <c r="AC332" s="40" t="n"/>
      <c r="AD332" s="40" t="n"/>
      <c r="AE332" s="40" t="n"/>
      <c r="AF332" s="40" t="n"/>
      <c r="AG332" s="61" t="n"/>
    </row>
    <row r="333" ht="15.75" customHeight="1" s="191">
      <c r="O333" s="60" t="n"/>
      <c r="AA333" s="61" t="n"/>
      <c r="AB333" s="40" t="n"/>
      <c r="AC333" s="40" t="n"/>
      <c r="AD333" s="40" t="n"/>
      <c r="AE333" s="40" t="n"/>
      <c r="AF333" s="40" t="n"/>
      <c r="AG333" s="61" t="n"/>
    </row>
    <row r="334" ht="15.75" customHeight="1" s="191">
      <c r="O334" s="60" t="n"/>
      <c r="AA334" s="61" t="n"/>
      <c r="AB334" s="40" t="n"/>
      <c r="AC334" s="40" t="n"/>
      <c r="AD334" s="40" t="n"/>
      <c r="AE334" s="40" t="n"/>
      <c r="AF334" s="40" t="n"/>
      <c r="AG334" s="61" t="n"/>
    </row>
    <row r="335" ht="15.75" customHeight="1" s="191">
      <c r="O335" s="60" t="n"/>
      <c r="AA335" s="61" t="n"/>
      <c r="AB335" s="40" t="n"/>
      <c r="AC335" s="40" t="n"/>
      <c r="AD335" s="40" t="n"/>
      <c r="AE335" s="40" t="n"/>
      <c r="AF335" s="40" t="n"/>
      <c r="AG335" s="61" t="n"/>
    </row>
    <row r="336" ht="15.75" customHeight="1" s="191">
      <c r="O336" s="60" t="n"/>
      <c r="AA336" s="61" t="n"/>
      <c r="AB336" s="40" t="n"/>
      <c r="AC336" s="40" t="n"/>
      <c r="AD336" s="40" t="n"/>
      <c r="AE336" s="40" t="n"/>
      <c r="AF336" s="40" t="n"/>
      <c r="AG336" s="61" t="n"/>
    </row>
    <row r="337" ht="15.75" customHeight="1" s="191">
      <c r="O337" s="60" t="n"/>
      <c r="AA337" s="61" t="n"/>
      <c r="AB337" s="40" t="n"/>
      <c r="AC337" s="40" t="n"/>
      <c r="AD337" s="40" t="n"/>
      <c r="AE337" s="40" t="n"/>
      <c r="AF337" s="40" t="n"/>
      <c r="AG337" s="61" t="n"/>
    </row>
    <row r="338" ht="15.75" customHeight="1" s="191">
      <c r="O338" s="60" t="n"/>
      <c r="AA338" s="61" t="n"/>
      <c r="AB338" s="40" t="n"/>
      <c r="AC338" s="40" t="n"/>
      <c r="AD338" s="40" t="n"/>
      <c r="AE338" s="40" t="n"/>
      <c r="AF338" s="40" t="n"/>
      <c r="AG338" s="61" t="n"/>
    </row>
    <row r="339" ht="15.75" customHeight="1" s="191">
      <c r="O339" s="60" t="n"/>
      <c r="AA339" s="61" t="n"/>
      <c r="AB339" s="40" t="n"/>
      <c r="AC339" s="40" t="n"/>
      <c r="AD339" s="40" t="n"/>
      <c r="AE339" s="40" t="n"/>
      <c r="AF339" s="40" t="n"/>
      <c r="AG339" s="61" t="n"/>
    </row>
    <row r="340" ht="15.75" customHeight="1" s="191">
      <c r="O340" s="60" t="n"/>
      <c r="AA340" s="61" t="n"/>
      <c r="AB340" s="40" t="n"/>
      <c r="AC340" s="40" t="n"/>
      <c r="AD340" s="40" t="n"/>
      <c r="AE340" s="40" t="n"/>
      <c r="AF340" s="40" t="n"/>
      <c r="AG340" s="61" t="n"/>
    </row>
    <row r="341" ht="15.75" customHeight="1" s="191">
      <c r="O341" s="60" t="n"/>
      <c r="AA341" s="61" t="n"/>
      <c r="AB341" s="40" t="n"/>
      <c r="AC341" s="40" t="n"/>
      <c r="AD341" s="40" t="n"/>
      <c r="AE341" s="40" t="n"/>
      <c r="AF341" s="40" t="n"/>
      <c r="AG341" s="61" t="n"/>
    </row>
    <row r="342" ht="15.75" customHeight="1" s="191">
      <c r="O342" s="60" t="n"/>
      <c r="AA342" s="61" t="n"/>
      <c r="AB342" s="40" t="n"/>
      <c r="AC342" s="40" t="n"/>
      <c r="AD342" s="40" t="n"/>
      <c r="AE342" s="40" t="n"/>
      <c r="AF342" s="40" t="n"/>
      <c r="AG342" s="61" t="n"/>
    </row>
    <row r="343" ht="15.75" customHeight="1" s="191">
      <c r="O343" s="60" t="n"/>
      <c r="AA343" s="61" t="n"/>
      <c r="AB343" s="40" t="n"/>
      <c r="AC343" s="40" t="n"/>
      <c r="AD343" s="40" t="n"/>
      <c r="AE343" s="40" t="n"/>
      <c r="AF343" s="40" t="n"/>
      <c r="AG343" s="61" t="n"/>
    </row>
    <row r="344" ht="15.75" customHeight="1" s="191">
      <c r="O344" s="60" t="n"/>
      <c r="AA344" s="61" t="n"/>
      <c r="AB344" s="40" t="n"/>
      <c r="AC344" s="40" t="n"/>
      <c r="AD344" s="40" t="n"/>
      <c r="AE344" s="40" t="n"/>
      <c r="AF344" s="40" t="n"/>
      <c r="AG344" s="61" t="n"/>
    </row>
    <row r="345" ht="15.75" customHeight="1" s="191">
      <c r="O345" s="60" t="n"/>
      <c r="AA345" s="61" t="n"/>
      <c r="AB345" s="40" t="n"/>
      <c r="AC345" s="40" t="n"/>
      <c r="AD345" s="40" t="n"/>
      <c r="AE345" s="40" t="n"/>
      <c r="AF345" s="40" t="n"/>
      <c r="AG345" s="61" t="n"/>
    </row>
    <row r="346" ht="15.75" customHeight="1" s="191">
      <c r="O346" s="60" t="n"/>
      <c r="AA346" s="61" t="n"/>
      <c r="AB346" s="40" t="n"/>
      <c r="AC346" s="40" t="n"/>
      <c r="AD346" s="40" t="n"/>
      <c r="AE346" s="40" t="n"/>
      <c r="AF346" s="40" t="n"/>
      <c r="AG346" s="61" t="n"/>
    </row>
    <row r="347" ht="15.75" customHeight="1" s="191">
      <c r="O347" s="60" t="n"/>
      <c r="AA347" s="61" t="n"/>
      <c r="AB347" s="40" t="n"/>
      <c r="AC347" s="40" t="n"/>
      <c r="AD347" s="40" t="n"/>
      <c r="AE347" s="40" t="n"/>
      <c r="AF347" s="40" t="n"/>
      <c r="AG347" s="61" t="n"/>
    </row>
    <row r="348" ht="15.75" customHeight="1" s="191">
      <c r="O348" s="60" t="n"/>
      <c r="AA348" s="61" t="n"/>
      <c r="AB348" s="40" t="n"/>
      <c r="AC348" s="40" t="n"/>
      <c r="AD348" s="40" t="n"/>
      <c r="AE348" s="40" t="n"/>
      <c r="AF348" s="40" t="n"/>
      <c r="AG348" s="61" t="n"/>
    </row>
    <row r="349" ht="15.75" customHeight="1" s="191">
      <c r="O349" s="60" t="n"/>
      <c r="AA349" s="61" t="n"/>
      <c r="AB349" s="40" t="n"/>
      <c r="AC349" s="40" t="n"/>
      <c r="AD349" s="40" t="n"/>
      <c r="AE349" s="40" t="n"/>
      <c r="AF349" s="40" t="n"/>
      <c r="AG349" s="61" t="n"/>
    </row>
    <row r="350" ht="15.75" customHeight="1" s="191">
      <c r="O350" s="60" t="n"/>
      <c r="AA350" s="61" t="n"/>
      <c r="AB350" s="40" t="n"/>
      <c r="AC350" s="40" t="n"/>
      <c r="AD350" s="40" t="n"/>
      <c r="AE350" s="40" t="n"/>
      <c r="AF350" s="40" t="n"/>
      <c r="AG350" s="61" t="n"/>
    </row>
    <row r="351" ht="15.75" customHeight="1" s="191">
      <c r="O351" s="60" t="n"/>
      <c r="AA351" s="61" t="n"/>
      <c r="AB351" s="40" t="n"/>
      <c r="AC351" s="40" t="n"/>
      <c r="AD351" s="40" t="n"/>
      <c r="AE351" s="40" t="n"/>
      <c r="AF351" s="40" t="n"/>
      <c r="AG351" s="61" t="n"/>
    </row>
    <row r="352" ht="15.75" customHeight="1" s="191">
      <c r="O352" s="60" t="n"/>
      <c r="AA352" s="61" t="n"/>
      <c r="AB352" s="40" t="n"/>
      <c r="AC352" s="40" t="n"/>
      <c r="AD352" s="40" t="n"/>
      <c r="AE352" s="40" t="n"/>
      <c r="AF352" s="40" t="n"/>
      <c r="AG352" s="61" t="n"/>
    </row>
    <row r="353" ht="15.75" customHeight="1" s="191">
      <c r="O353" s="60" t="n"/>
      <c r="AA353" s="61" t="n"/>
      <c r="AB353" s="40" t="n"/>
      <c r="AC353" s="40" t="n"/>
      <c r="AD353" s="40" t="n"/>
      <c r="AE353" s="40" t="n"/>
      <c r="AF353" s="40" t="n"/>
      <c r="AG353" s="61" t="n"/>
    </row>
    <row r="354" ht="15.75" customHeight="1" s="191">
      <c r="O354" s="60" t="n"/>
      <c r="AA354" s="61" t="n"/>
      <c r="AB354" s="40" t="n"/>
      <c r="AC354" s="40" t="n"/>
      <c r="AD354" s="40" t="n"/>
      <c r="AE354" s="40" t="n"/>
      <c r="AF354" s="40" t="n"/>
      <c r="AG354" s="61" t="n"/>
    </row>
    <row r="355" ht="15.75" customHeight="1" s="191">
      <c r="O355" s="60" t="n"/>
      <c r="AA355" s="61" t="n"/>
      <c r="AB355" s="40" t="n"/>
      <c r="AC355" s="40" t="n"/>
      <c r="AD355" s="40" t="n"/>
      <c r="AE355" s="40" t="n"/>
      <c r="AF355" s="40" t="n"/>
      <c r="AG355" s="61" t="n"/>
    </row>
    <row r="356" ht="15.75" customHeight="1" s="191">
      <c r="O356" s="60" t="n"/>
      <c r="AA356" s="61" t="n"/>
      <c r="AB356" s="40" t="n"/>
      <c r="AC356" s="40" t="n"/>
      <c r="AD356" s="40" t="n"/>
      <c r="AE356" s="40" t="n"/>
      <c r="AF356" s="40" t="n"/>
      <c r="AG356" s="61" t="n"/>
    </row>
    <row r="357" ht="15.75" customHeight="1" s="191">
      <c r="O357" s="60" t="n"/>
      <c r="AA357" s="61" t="n"/>
      <c r="AB357" s="40" t="n"/>
      <c r="AC357" s="40" t="n"/>
      <c r="AD357" s="40" t="n"/>
      <c r="AE357" s="40" t="n"/>
      <c r="AF357" s="40" t="n"/>
      <c r="AG357" s="61" t="n"/>
    </row>
    <row r="358" ht="15.75" customHeight="1" s="191">
      <c r="O358" s="60" t="n"/>
      <c r="AA358" s="61" t="n"/>
      <c r="AB358" s="40" t="n"/>
      <c r="AC358" s="40" t="n"/>
      <c r="AD358" s="40" t="n"/>
      <c r="AE358" s="40" t="n"/>
      <c r="AF358" s="40" t="n"/>
      <c r="AG358" s="61" t="n"/>
    </row>
    <row r="359" ht="15.75" customHeight="1" s="191">
      <c r="O359" s="60" t="n"/>
      <c r="AA359" s="61" t="n"/>
      <c r="AB359" s="40" t="n"/>
      <c r="AC359" s="40" t="n"/>
      <c r="AD359" s="40" t="n"/>
      <c r="AE359" s="40" t="n"/>
      <c r="AF359" s="40" t="n"/>
      <c r="AG359" s="61" t="n"/>
    </row>
    <row r="360" ht="15.75" customHeight="1" s="191">
      <c r="O360" s="60" t="n"/>
      <c r="AA360" s="61" t="n"/>
      <c r="AB360" s="40" t="n"/>
      <c r="AC360" s="40" t="n"/>
      <c r="AD360" s="40" t="n"/>
      <c r="AE360" s="40" t="n"/>
      <c r="AF360" s="40" t="n"/>
      <c r="AG360" s="61" t="n"/>
    </row>
    <row r="361" ht="15.75" customHeight="1" s="191">
      <c r="O361" s="60" t="n"/>
      <c r="AA361" s="61" t="n"/>
      <c r="AB361" s="40" t="n"/>
      <c r="AC361" s="40" t="n"/>
      <c r="AD361" s="40" t="n"/>
      <c r="AE361" s="40" t="n"/>
      <c r="AF361" s="40" t="n"/>
      <c r="AG361" s="61" t="n"/>
    </row>
    <row r="362" ht="15.75" customHeight="1" s="191">
      <c r="O362" s="60" t="n"/>
      <c r="AA362" s="61" t="n"/>
      <c r="AB362" s="40" t="n"/>
      <c r="AC362" s="40" t="n"/>
      <c r="AD362" s="40" t="n"/>
      <c r="AE362" s="40" t="n"/>
      <c r="AF362" s="40" t="n"/>
      <c r="AG362" s="61" t="n"/>
    </row>
    <row r="363" ht="15.75" customHeight="1" s="191">
      <c r="O363" s="60" t="n"/>
      <c r="AA363" s="61" t="n"/>
      <c r="AB363" s="40" t="n"/>
      <c r="AC363" s="40" t="n"/>
      <c r="AD363" s="40" t="n"/>
      <c r="AE363" s="40" t="n"/>
      <c r="AF363" s="40" t="n"/>
      <c r="AG363" s="61" t="n"/>
    </row>
    <row r="364" ht="15.75" customHeight="1" s="191">
      <c r="O364" s="60" t="n"/>
      <c r="AA364" s="61" t="n"/>
      <c r="AB364" s="40" t="n"/>
      <c r="AC364" s="40" t="n"/>
      <c r="AD364" s="40" t="n"/>
      <c r="AE364" s="40" t="n"/>
      <c r="AF364" s="40" t="n"/>
      <c r="AG364" s="61" t="n"/>
    </row>
    <row r="365" ht="15.75" customHeight="1" s="191">
      <c r="O365" s="60" t="n"/>
      <c r="AA365" s="61" t="n"/>
      <c r="AB365" s="40" t="n"/>
      <c r="AC365" s="40" t="n"/>
      <c r="AD365" s="40" t="n"/>
      <c r="AE365" s="40" t="n"/>
      <c r="AF365" s="40" t="n"/>
      <c r="AG365" s="61" t="n"/>
    </row>
    <row r="366" ht="15.75" customHeight="1" s="191">
      <c r="O366" s="60" t="n"/>
      <c r="AA366" s="61" t="n"/>
      <c r="AB366" s="40" t="n"/>
      <c r="AC366" s="40" t="n"/>
      <c r="AD366" s="40" t="n"/>
      <c r="AE366" s="40" t="n"/>
      <c r="AF366" s="40" t="n"/>
      <c r="AG366" s="61" t="n"/>
    </row>
    <row r="367" ht="15.75" customHeight="1" s="191">
      <c r="O367" s="60" t="n"/>
      <c r="AA367" s="61" t="n"/>
      <c r="AB367" s="40" t="n"/>
      <c r="AC367" s="40" t="n"/>
      <c r="AD367" s="40" t="n"/>
      <c r="AE367" s="40" t="n"/>
      <c r="AF367" s="40" t="n"/>
      <c r="AG367" s="61" t="n"/>
    </row>
    <row r="368" ht="15.75" customHeight="1" s="191">
      <c r="O368" s="60" t="n"/>
      <c r="AA368" s="61" t="n"/>
      <c r="AB368" s="40" t="n"/>
      <c r="AC368" s="40" t="n"/>
      <c r="AD368" s="40" t="n"/>
      <c r="AE368" s="40" t="n"/>
      <c r="AF368" s="40" t="n"/>
      <c r="AG368" s="61" t="n"/>
    </row>
    <row r="369" ht="15.75" customHeight="1" s="191">
      <c r="O369" s="60" t="n"/>
      <c r="AA369" s="61" t="n"/>
      <c r="AB369" s="40" t="n"/>
      <c r="AC369" s="40" t="n"/>
      <c r="AD369" s="40" t="n"/>
      <c r="AE369" s="40" t="n"/>
      <c r="AF369" s="40" t="n"/>
      <c r="AG369" s="61" t="n"/>
    </row>
    <row r="370" ht="15.75" customHeight="1" s="191">
      <c r="O370" s="60" t="n"/>
      <c r="AA370" s="61" t="n"/>
      <c r="AB370" s="40" t="n"/>
      <c r="AC370" s="40" t="n"/>
      <c r="AD370" s="40" t="n"/>
      <c r="AE370" s="40" t="n"/>
      <c r="AF370" s="40" t="n"/>
      <c r="AG370" s="61" t="n"/>
    </row>
    <row r="371" ht="15.75" customHeight="1" s="191">
      <c r="O371" s="60" t="n"/>
      <c r="AA371" s="61" t="n"/>
      <c r="AB371" s="40" t="n"/>
      <c r="AC371" s="40" t="n"/>
      <c r="AD371" s="40" t="n"/>
      <c r="AE371" s="40" t="n"/>
      <c r="AF371" s="40" t="n"/>
      <c r="AG371" s="61" t="n"/>
    </row>
    <row r="372" ht="15.75" customHeight="1" s="191">
      <c r="O372" s="60" t="n"/>
      <c r="AA372" s="61" t="n"/>
      <c r="AB372" s="40" t="n"/>
      <c r="AC372" s="40" t="n"/>
      <c r="AD372" s="40" t="n"/>
      <c r="AE372" s="40" t="n"/>
      <c r="AF372" s="40" t="n"/>
      <c r="AG372" s="61" t="n"/>
    </row>
    <row r="373" ht="15.75" customHeight="1" s="191">
      <c r="O373" s="60" t="n"/>
      <c r="AA373" s="61" t="n"/>
      <c r="AB373" s="40" t="n"/>
      <c r="AC373" s="40" t="n"/>
      <c r="AD373" s="40" t="n"/>
      <c r="AE373" s="40" t="n"/>
      <c r="AF373" s="40" t="n"/>
      <c r="AG373" s="61" t="n"/>
    </row>
    <row r="374" ht="15.75" customHeight="1" s="191">
      <c r="O374" s="60" t="n"/>
      <c r="AA374" s="61" t="n"/>
      <c r="AB374" s="40" t="n"/>
      <c r="AC374" s="40" t="n"/>
      <c r="AD374" s="40" t="n"/>
      <c r="AE374" s="40" t="n"/>
      <c r="AF374" s="40" t="n"/>
      <c r="AG374" s="61" t="n"/>
    </row>
    <row r="375" ht="15.75" customHeight="1" s="191">
      <c r="O375" s="60" t="n"/>
      <c r="AA375" s="61" t="n"/>
      <c r="AB375" s="40" t="n"/>
      <c r="AC375" s="40" t="n"/>
      <c r="AD375" s="40" t="n"/>
      <c r="AE375" s="40" t="n"/>
      <c r="AF375" s="40" t="n"/>
      <c r="AG375" s="61" t="n"/>
    </row>
    <row r="376" ht="15.75" customHeight="1" s="191">
      <c r="O376" s="60" t="n"/>
      <c r="AA376" s="61" t="n"/>
      <c r="AB376" s="40" t="n"/>
      <c r="AC376" s="40" t="n"/>
      <c r="AD376" s="40" t="n"/>
      <c r="AE376" s="40" t="n"/>
      <c r="AF376" s="40" t="n"/>
      <c r="AG376" s="61" t="n"/>
    </row>
    <row r="377" ht="15.75" customHeight="1" s="191">
      <c r="O377" s="60" t="n"/>
      <c r="AA377" s="61" t="n"/>
      <c r="AB377" s="40" t="n"/>
      <c r="AC377" s="40" t="n"/>
      <c r="AD377" s="40" t="n"/>
      <c r="AE377" s="40" t="n"/>
      <c r="AF377" s="40" t="n"/>
      <c r="AG377" s="61" t="n"/>
    </row>
    <row r="378" ht="15.75" customHeight="1" s="191">
      <c r="O378" s="60" t="n"/>
      <c r="AA378" s="61" t="n"/>
      <c r="AB378" s="40" t="n"/>
      <c r="AC378" s="40" t="n"/>
      <c r="AD378" s="40" t="n"/>
      <c r="AE378" s="40" t="n"/>
      <c r="AF378" s="40" t="n"/>
      <c r="AG378" s="61" t="n"/>
    </row>
    <row r="379" ht="15.75" customHeight="1" s="191">
      <c r="O379" s="60" t="n"/>
      <c r="AA379" s="61" t="n"/>
      <c r="AB379" s="40" t="n"/>
      <c r="AC379" s="40" t="n"/>
      <c r="AD379" s="40" t="n"/>
      <c r="AE379" s="40" t="n"/>
      <c r="AF379" s="40" t="n"/>
      <c r="AG379" s="61" t="n"/>
    </row>
    <row r="380" ht="15.75" customHeight="1" s="191">
      <c r="O380" s="60" t="n"/>
      <c r="AA380" s="61" t="n"/>
      <c r="AB380" s="40" t="n"/>
      <c r="AC380" s="40" t="n"/>
      <c r="AD380" s="40" t="n"/>
      <c r="AE380" s="40" t="n"/>
      <c r="AF380" s="40" t="n"/>
      <c r="AG380" s="61" t="n"/>
    </row>
    <row r="381" ht="15.75" customHeight="1" s="191">
      <c r="O381" s="60" t="n"/>
      <c r="AA381" s="61" t="n"/>
      <c r="AB381" s="40" t="n"/>
      <c r="AC381" s="40" t="n"/>
      <c r="AD381" s="40" t="n"/>
      <c r="AE381" s="40" t="n"/>
      <c r="AF381" s="40" t="n"/>
      <c r="AG381" s="61" t="n"/>
    </row>
    <row r="382" ht="15.75" customHeight="1" s="191">
      <c r="O382" s="60" t="n"/>
      <c r="AA382" s="61" t="n"/>
      <c r="AB382" s="40" t="n"/>
      <c r="AC382" s="40" t="n"/>
      <c r="AD382" s="40" t="n"/>
      <c r="AE382" s="40" t="n"/>
      <c r="AF382" s="40" t="n"/>
      <c r="AG382" s="61" t="n"/>
    </row>
    <row r="383" ht="15.75" customHeight="1" s="191">
      <c r="O383" s="60" t="n"/>
      <c r="AA383" s="61" t="n"/>
      <c r="AB383" s="40" t="n"/>
      <c r="AC383" s="40" t="n"/>
      <c r="AD383" s="40" t="n"/>
      <c r="AE383" s="40" t="n"/>
      <c r="AF383" s="40" t="n"/>
      <c r="AG383" s="61" t="n"/>
    </row>
    <row r="384" ht="15.75" customHeight="1" s="191">
      <c r="O384" s="60" t="n"/>
      <c r="AA384" s="61" t="n"/>
      <c r="AB384" s="40" t="n"/>
      <c r="AC384" s="40" t="n"/>
      <c r="AD384" s="40" t="n"/>
      <c r="AE384" s="40" t="n"/>
      <c r="AF384" s="40" t="n"/>
      <c r="AG384" s="61" t="n"/>
    </row>
    <row r="385" ht="15.75" customHeight="1" s="191">
      <c r="O385" s="60" t="n"/>
      <c r="AA385" s="61" t="n"/>
      <c r="AB385" s="40" t="n"/>
      <c r="AC385" s="40" t="n"/>
      <c r="AD385" s="40" t="n"/>
      <c r="AE385" s="40" t="n"/>
      <c r="AF385" s="40" t="n"/>
      <c r="AG385" s="61" t="n"/>
    </row>
    <row r="386" ht="15.75" customHeight="1" s="191">
      <c r="O386" s="60" t="n"/>
      <c r="AA386" s="61" t="n"/>
      <c r="AB386" s="40" t="n"/>
      <c r="AC386" s="40" t="n"/>
      <c r="AD386" s="40" t="n"/>
      <c r="AE386" s="40" t="n"/>
      <c r="AF386" s="40" t="n"/>
      <c r="AG386" s="61" t="n"/>
    </row>
    <row r="387" ht="15.75" customHeight="1" s="191">
      <c r="O387" s="60" t="n"/>
      <c r="AA387" s="61" t="n"/>
      <c r="AB387" s="40" t="n"/>
      <c r="AC387" s="40" t="n"/>
      <c r="AD387" s="40" t="n"/>
      <c r="AE387" s="40" t="n"/>
      <c r="AF387" s="40" t="n"/>
      <c r="AG387" s="61" t="n"/>
    </row>
    <row r="388" ht="15.75" customHeight="1" s="191">
      <c r="O388" s="60" t="n"/>
      <c r="AA388" s="61" t="n"/>
      <c r="AB388" s="40" t="n"/>
      <c r="AC388" s="40" t="n"/>
      <c r="AD388" s="40" t="n"/>
      <c r="AE388" s="40" t="n"/>
      <c r="AF388" s="40" t="n"/>
      <c r="AG388" s="61" t="n"/>
    </row>
    <row r="389" ht="15.75" customHeight="1" s="191">
      <c r="O389" s="60" t="n"/>
      <c r="AA389" s="61" t="n"/>
      <c r="AB389" s="40" t="n"/>
      <c r="AC389" s="40" t="n"/>
      <c r="AD389" s="40" t="n"/>
      <c r="AE389" s="40" t="n"/>
      <c r="AF389" s="40" t="n"/>
      <c r="AG389" s="61" t="n"/>
    </row>
    <row r="390" ht="15.75" customHeight="1" s="191">
      <c r="O390" s="60" t="n"/>
      <c r="AA390" s="61" t="n"/>
      <c r="AB390" s="40" t="n"/>
      <c r="AC390" s="40" t="n"/>
      <c r="AD390" s="40" t="n"/>
      <c r="AE390" s="40" t="n"/>
      <c r="AF390" s="40" t="n"/>
      <c r="AG390" s="61" t="n"/>
    </row>
    <row r="391" ht="15.75" customHeight="1" s="191">
      <c r="O391" s="60" t="n"/>
      <c r="AA391" s="61" t="n"/>
      <c r="AB391" s="40" t="n"/>
      <c r="AC391" s="40" t="n"/>
      <c r="AD391" s="40" t="n"/>
      <c r="AE391" s="40" t="n"/>
      <c r="AF391" s="40" t="n"/>
      <c r="AG391" s="61" t="n"/>
    </row>
    <row r="392" ht="15.75" customHeight="1" s="191">
      <c r="O392" s="60" t="n"/>
      <c r="AA392" s="61" t="n"/>
      <c r="AB392" s="40" t="n"/>
      <c r="AC392" s="40" t="n"/>
      <c r="AD392" s="40" t="n"/>
      <c r="AE392" s="40" t="n"/>
      <c r="AF392" s="40" t="n"/>
      <c r="AG392" s="61" t="n"/>
    </row>
    <row r="393" ht="15.75" customHeight="1" s="191">
      <c r="O393" s="60" t="n"/>
      <c r="AA393" s="61" t="n"/>
      <c r="AB393" s="40" t="n"/>
      <c r="AC393" s="40" t="n"/>
      <c r="AD393" s="40" t="n"/>
      <c r="AE393" s="40" t="n"/>
      <c r="AF393" s="40" t="n"/>
      <c r="AG393" s="61" t="n"/>
    </row>
    <row r="394" ht="15.75" customHeight="1" s="191">
      <c r="O394" s="60" t="n"/>
      <c r="AA394" s="61" t="n"/>
      <c r="AB394" s="40" t="n"/>
      <c r="AC394" s="40" t="n"/>
      <c r="AD394" s="40" t="n"/>
      <c r="AE394" s="40" t="n"/>
      <c r="AF394" s="40" t="n"/>
      <c r="AG394" s="61" t="n"/>
    </row>
    <row r="395" ht="15.75" customHeight="1" s="191">
      <c r="O395" s="60" t="n"/>
      <c r="AA395" s="61" t="n"/>
      <c r="AB395" s="40" t="n"/>
      <c r="AC395" s="40" t="n"/>
      <c r="AD395" s="40" t="n"/>
      <c r="AE395" s="40" t="n"/>
      <c r="AF395" s="40" t="n"/>
      <c r="AG395" s="61" t="n"/>
    </row>
    <row r="396" ht="15.75" customHeight="1" s="191">
      <c r="O396" s="60" t="n"/>
      <c r="AA396" s="61" t="n"/>
      <c r="AB396" s="40" t="n"/>
      <c r="AC396" s="40" t="n"/>
      <c r="AD396" s="40" t="n"/>
      <c r="AE396" s="40" t="n"/>
      <c r="AF396" s="40" t="n"/>
      <c r="AG396" s="61" t="n"/>
    </row>
    <row r="397" ht="15.75" customHeight="1" s="191">
      <c r="O397" s="60" t="n"/>
      <c r="AA397" s="61" t="n"/>
      <c r="AB397" s="40" t="n"/>
      <c r="AC397" s="40" t="n"/>
      <c r="AD397" s="40" t="n"/>
      <c r="AE397" s="40" t="n"/>
      <c r="AF397" s="40" t="n"/>
      <c r="AG397" s="61" t="n"/>
    </row>
    <row r="398" ht="15.75" customHeight="1" s="191">
      <c r="O398" s="60" t="n"/>
      <c r="AA398" s="61" t="n"/>
      <c r="AB398" s="40" t="n"/>
      <c r="AC398" s="40" t="n"/>
      <c r="AD398" s="40" t="n"/>
      <c r="AE398" s="40" t="n"/>
      <c r="AF398" s="40" t="n"/>
      <c r="AG398" s="61" t="n"/>
    </row>
    <row r="399" ht="15.75" customHeight="1" s="191">
      <c r="O399" s="60" t="n"/>
      <c r="AA399" s="61" t="n"/>
      <c r="AB399" s="40" t="n"/>
      <c r="AC399" s="40" t="n"/>
      <c r="AD399" s="40" t="n"/>
      <c r="AE399" s="40" t="n"/>
      <c r="AF399" s="40" t="n"/>
      <c r="AG399" s="61" t="n"/>
    </row>
    <row r="400" ht="15.75" customHeight="1" s="191">
      <c r="O400" s="60" t="n"/>
      <c r="AA400" s="61" t="n"/>
      <c r="AB400" s="40" t="n"/>
      <c r="AC400" s="40" t="n"/>
      <c r="AD400" s="40" t="n"/>
      <c r="AE400" s="40" t="n"/>
      <c r="AF400" s="40" t="n"/>
      <c r="AG400" s="61" t="n"/>
    </row>
    <row r="401" ht="15.75" customHeight="1" s="191">
      <c r="O401" s="60" t="n"/>
      <c r="AA401" s="61" t="n"/>
      <c r="AB401" s="40" t="n"/>
      <c r="AC401" s="40" t="n"/>
      <c r="AD401" s="40" t="n"/>
      <c r="AE401" s="40" t="n"/>
      <c r="AF401" s="40" t="n"/>
      <c r="AG401" s="61" t="n"/>
    </row>
    <row r="402" ht="15.75" customHeight="1" s="191">
      <c r="O402" s="60" t="n"/>
      <c r="AA402" s="61" t="n"/>
      <c r="AB402" s="40" t="n"/>
      <c r="AC402" s="40" t="n"/>
      <c r="AD402" s="40" t="n"/>
      <c r="AE402" s="40" t="n"/>
      <c r="AF402" s="40" t="n"/>
      <c r="AG402" s="61" t="n"/>
    </row>
    <row r="403" ht="15.75" customHeight="1" s="191">
      <c r="O403" s="60" t="n"/>
      <c r="AA403" s="61" t="n"/>
      <c r="AB403" s="40" t="n"/>
      <c r="AC403" s="40" t="n"/>
      <c r="AD403" s="40" t="n"/>
      <c r="AE403" s="40" t="n"/>
      <c r="AF403" s="40" t="n"/>
      <c r="AG403" s="61" t="n"/>
    </row>
    <row r="404" ht="15.75" customHeight="1" s="191">
      <c r="O404" s="60" t="n"/>
      <c r="AA404" s="61" t="n"/>
      <c r="AB404" s="40" t="n"/>
      <c r="AC404" s="40" t="n"/>
      <c r="AD404" s="40" t="n"/>
      <c r="AE404" s="40" t="n"/>
      <c r="AF404" s="40" t="n"/>
      <c r="AG404" s="61" t="n"/>
    </row>
    <row r="405" ht="15.75" customHeight="1" s="191">
      <c r="O405" s="60" t="n"/>
      <c r="AA405" s="61" t="n"/>
      <c r="AB405" s="40" t="n"/>
      <c r="AC405" s="40" t="n"/>
      <c r="AD405" s="40" t="n"/>
      <c r="AE405" s="40" t="n"/>
      <c r="AF405" s="40" t="n"/>
      <c r="AG405" s="61" t="n"/>
    </row>
    <row r="406" ht="15.75" customHeight="1" s="191">
      <c r="O406" s="60" t="n"/>
      <c r="AA406" s="61" t="n"/>
      <c r="AB406" s="40" t="n"/>
      <c r="AC406" s="40" t="n"/>
      <c r="AD406" s="40" t="n"/>
      <c r="AE406" s="40" t="n"/>
      <c r="AF406" s="40" t="n"/>
      <c r="AG406" s="61" t="n"/>
    </row>
    <row r="407" ht="15.75" customHeight="1" s="191">
      <c r="O407" s="60" t="n"/>
      <c r="AA407" s="61" t="n"/>
      <c r="AB407" s="40" t="n"/>
      <c r="AC407" s="40" t="n"/>
      <c r="AD407" s="40" t="n"/>
      <c r="AE407" s="40" t="n"/>
      <c r="AF407" s="40" t="n"/>
      <c r="AG407" s="61" t="n"/>
    </row>
    <row r="408" ht="15.75" customHeight="1" s="191">
      <c r="O408" s="60" t="n"/>
      <c r="AA408" s="61" t="n"/>
      <c r="AB408" s="40" t="n"/>
      <c r="AC408" s="40" t="n"/>
      <c r="AD408" s="40" t="n"/>
      <c r="AE408" s="40" t="n"/>
      <c r="AF408" s="40" t="n"/>
      <c r="AG408" s="61" t="n"/>
    </row>
    <row r="409" ht="15.75" customHeight="1" s="191">
      <c r="O409" s="60" t="n"/>
      <c r="AA409" s="61" t="n"/>
      <c r="AB409" s="40" t="n"/>
      <c r="AC409" s="40" t="n"/>
      <c r="AD409" s="40" t="n"/>
      <c r="AE409" s="40" t="n"/>
      <c r="AF409" s="40" t="n"/>
      <c r="AG409" s="61" t="n"/>
    </row>
    <row r="410" ht="15.75" customHeight="1" s="191">
      <c r="O410" s="60" t="n"/>
      <c r="AA410" s="61" t="n"/>
      <c r="AB410" s="40" t="n"/>
      <c r="AC410" s="40" t="n"/>
      <c r="AD410" s="40" t="n"/>
      <c r="AE410" s="40" t="n"/>
      <c r="AF410" s="40" t="n"/>
      <c r="AG410" s="61" t="n"/>
    </row>
    <row r="411" ht="15.75" customHeight="1" s="191">
      <c r="O411" s="60" t="n"/>
      <c r="AA411" s="61" t="n"/>
      <c r="AB411" s="40" t="n"/>
      <c r="AC411" s="40" t="n"/>
      <c r="AD411" s="40" t="n"/>
      <c r="AE411" s="40" t="n"/>
      <c r="AF411" s="40" t="n"/>
      <c r="AG411" s="61" t="n"/>
    </row>
    <row r="412" ht="15.75" customHeight="1" s="191">
      <c r="O412" s="60" t="n"/>
      <c r="AA412" s="61" t="n"/>
      <c r="AB412" s="40" t="n"/>
      <c r="AC412" s="40" t="n"/>
      <c r="AD412" s="40" t="n"/>
      <c r="AE412" s="40" t="n"/>
      <c r="AF412" s="40" t="n"/>
      <c r="AG412" s="61" t="n"/>
    </row>
    <row r="413" ht="15.75" customHeight="1" s="191">
      <c r="O413" s="60" t="n"/>
      <c r="AA413" s="61" t="n"/>
      <c r="AB413" s="40" t="n"/>
      <c r="AC413" s="40" t="n"/>
      <c r="AD413" s="40" t="n"/>
      <c r="AE413" s="40" t="n"/>
      <c r="AF413" s="40" t="n"/>
      <c r="AG413" s="61" t="n"/>
    </row>
    <row r="414" ht="15.75" customHeight="1" s="191">
      <c r="O414" s="60" t="n"/>
      <c r="AA414" s="61" t="n"/>
      <c r="AB414" s="40" t="n"/>
      <c r="AC414" s="40" t="n"/>
      <c r="AD414" s="40" t="n"/>
      <c r="AE414" s="40" t="n"/>
      <c r="AF414" s="40" t="n"/>
      <c r="AG414" s="61" t="n"/>
    </row>
    <row r="415" ht="15.75" customHeight="1" s="191">
      <c r="O415" s="60" t="n"/>
      <c r="AA415" s="61" t="n"/>
      <c r="AB415" s="40" t="n"/>
      <c r="AC415" s="40" t="n"/>
      <c r="AD415" s="40" t="n"/>
      <c r="AE415" s="40" t="n"/>
      <c r="AF415" s="40" t="n"/>
      <c r="AG415" s="61" t="n"/>
    </row>
    <row r="416" ht="15.75" customHeight="1" s="191">
      <c r="O416" s="60" t="n"/>
      <c r="AA416" s="61" t="n"/>
      <c r="AB416" s="40" t="n"/>
      <c r="AC416" s="40" t="n"/>
      <c r="AD416" s="40" t="n"/>
      <c r="AE416" s="40" t="n"/>
      <c r="AF416" s="40" t="n"/>
      <c r="AG416" s="61" t="n"/>
    </row>
    <row r="417" ht="15.75" customHeight="1" s="191">
      <c r="O417" s="60" t="n"/>
      <c r="AA417" s="61" t="n"/>
      <c r="AB417" s="40" t="n"/>
      <c r="AC417" s="40" t="n"/>
      <c r="AD417" s="40" t="n"/>
      <c r="AE417" s="40" t="n"/>
      <c r="AF417" s="40" t="n"/>
      <c r="AG417" s="61" t="n"/>
    </row>
    <row r="418" ht="15.75" customHeight="1" s="191">
      <c r="O418" s="60" t="n"/>
      <c r="AA418" s="61" t="n"/>
      <c r="AB418" s="40" t="n"/>
      <c r="AC418" s="40" t="n"/>
      <c r="AD418" s="40" t="n"/>
      <c r="AE418" s="40" t="n"/>
      <c r="AF418" s="40" t="n"/>
      <c r="AG418" s="61" t="n"/>
    </row>
    <row r="419" ht="15.75" customHeight="1" s="191">
      <c r="O419" s="60" t="n"/>
      <c r="AA419" s="61" t="n"/>
      <c r="AB419" s="40" t="n"/>
      <c r="AC419" s="40" t="n"/>
      <c r="AD419" s="40" t="n"/>
      <c r="AE419" s="40" t="n"/>
      <c r="AF419" s="40" t="n"/>
      <c r="AG419" s="61" t="n"/>
    </row>
    <row r="420" ht="15.75" customHeight="1" s="191">
      <c r="O420" s="60" t="n"/>
      <c r="AA420" s="61" t="n"/>
      <c r="AB420" s="40" t="n"/>
      <c r="AC420" s="40" t="n"/>
      <c r="AD420" s="40" t="n"/>
      <c r="AE420" s="40" t="n"/>
      <c r="AF420" s="40" t="n"/>
      <c r="AG420" s="61" t="n"/>
    </row>
    <row r="421" ht="15.75" customHeight="1" s="191">
      <c r="O421" s="60" t="n"/>
      <c r="AA421" s="61" t="n"/>
      <c r="AB421" s="40" t="n"/>
      <c r="AC421" s="40" t="n"/>
      <c r="AD421" s="40" t="n"/>
      <c r="AE421" s="40" t="n"/>
      <c r="AF421" s="40" t="n"/>
      <c r="AG421" s="61" t="n"/>
    </row>
    <row r="422" ht="15.75" customHeight="1" s="191">
      <c r="O422" s="60" t="n"/>
      <c r="AA422" s="61" t="n"/>
      <c r="AB422" s="40" t="n"/>
      <c r="AC422" s="40" t="n"/>
      <c r="AD422" s="40" t="n"/>
      <c r="AE422" s="40" t="n"/>
      <c r="AF422" s="40" t="n"/>
      <c r="AG422" s="61" t="n"/>
    </row>
    <row r="423" ht="15.75" customHeight="1" s="191">
      <c r="O423" s="60" t="n"/>
      <c r="AA423" s="61" t="n"/>
      <c r="AB423" s="40" t="n"/>
      <c r="AC423" s="40" t="n"/>
      <c r="AD423" s="40" t="n"/>
      <c r="AE423" s="40" t="n"/>
      <c r="AF423" s="40" t="n"/>
      <c r="AG423" s="61" t="n"/>
    </row>
    <row r="424" ht="15.75" customHeight="1" s="191">
      <c r="O424" s="60" t="n"/>
      <c r="AA424" s="61" t="n"/>
      <c r="AB424" s="40" t="n"/>
      <c r="AC424" s="40" t="n"/>
      <c r="AD424" s="40" t="n"/>
      <c r="AE424" s="40" t="n"/>
      <c r="AF424" s="40" t="n"/>
      <c r="AG424" s="61" t="n"/>
    </row>
    <row r="425" ht="15.75" customHeight="1" s="191">
      <c r="O425" s="60" t="n"/>
      <c r="AA425" s="61" t="n"/>
      <c r="AB425" s="40" t="n"/>
      <c r="AC425" s="40" t="n"/>
      <c r="AD425" s="40" t="n"/>
      <c r="AE425" s="40" t="n"/>
      <c r="AF425" s="40" t="n"/>
      <c r="AG425" s="61" t="n"/>
    </row>
    <row r="426" ht="15.75" customHeight="1" s="191">
      <c r="O426" s="60" t="n"/>
      <c r="AA426" s="61" t="n"/>
      <c r="AB426" s="40" t="n"/>
      <c r="AC426" s="40" t="n"/>
      <c r="AD426" s="40" t="n"/>
      <c r="AE426" s="40" t="n"/>
      <c r="AF426" s="40" t="n"/>
      <c r="AG426" s="61" t="n"/>
    </row>
    <row r="427" ht="15.75" customHeight="1" s="191">
      <c r="O427" s="60" t="n"/>
      <c r="AA427" s="61" t="n"/>
      <c r="AB427" s="40" t="n"/>
      <c r="AC427" s="40" t="n"/>
      <c r="AD427" s="40" t="n"/>
      <c r="AE427" s="40" t="n"/>
      <c r="AF427" s="40" t="n"/>
      <c r="AG427" s="61" t="n"/>
    </row>
    <row r="428" ht="15.75" customHeight="1" s="191">
      <c r="O428" s="60" t="n"/>
      <c r="AA428" s="61" t="n"/>
      <c r="AB428" s="40" t="n"/>
      <c r="AC428" s="40" t="n"/>
      <c r="AD428" s="40" t="n"/>
      <c r="AE428" s="40" t="n"/>
      <c r="AF428" s="40" t="n"/>
      <c r="AG428" s="61" t="n"/>
    </row>
    <row r="429" ht="15.75" customHeight="1" s="191">
      <c r="O429" s="60" t="n"/>
      <c r="AA429" s="61" t="n"/>
      <c r="AB429" s="40" t="n"/>
      <c r="AC429" s="40" t="n"/>
      <c r="AD429" s="40" t="n"/>
      <c r="AE429" s="40" t="n"/>
      <c r="AF429" s="40" t="n"/>
      <c r="AG429" s="61" t="n"/>
    </row>
    <row r="430" ht="15.75" customHeight="1" s="191">
      <c r="O430" s="60" t="n"/>
      <c r="AA430" s="61" t="n"/>
      <c r="AB430" s="40" t="n"/>
      <c r="AC430" s="40" t="n"/>
      <c r="AD430" s="40" t="n"/>
      <c r="AE430" s="40" t="n"/>
      <c r="AF430" s="40" t="n"/>
      <c r="AG430" s="61" t="n"/>
    </row>
    <row r="431" ht="15.75" customHeight="1" s="191">
      <c r="O431" s="60" t="n"/>
      <c r="AA431" s="61" t="n"/>
      <c r="AB431" s="40" t="n"/>
      <c r="AC431" s="40" t="n"/>
      <c r="AD431" s="40" t="n"/>
      <c r="AE431" s="40" t="n"/>
      <c r="AF431" s="40" t="n"/>
      <c r="AG431" s="61" t="n"/>
    </row>
    <row r="432" ht="15.75" customHeight="1" s="191">
      <c r="O432" s="60" t="n"/>
      <c r="AA432" s="61" t="n"/>
      <c r="AB432" s="40" t="n"/>
      <c r="AC432" s="40" t="n"/>
      <c r="AD432" s="40" t="n"/>
      <c r="AE432" s="40" t="n"/>
      <c r="AF432" s="40" t="n"/>
      <c r="AG432" s="61" t="n"/>
    </row>
    <row r="433" ht="15.75" customHeight="1" s="191">
      <c r="O433" s="60" t="n"/>
      <c r="AA433" s="61" t="n"/>
      <c r="AB433" s="40" t="n"/>
      <c r="AC433" s="40" t="n"/>
      <c r="AD433" s="40" t="n"/>
      <c r="AE433" s="40" t="n"/>
      <c r="AF433" s="40" t="n"/>
      <c r="AG433" s="61" t="n"/>
    </row>
    <row r="434" ht="15.75" customHeight="1" s="191">
      <c r="O434" s="60" t="n"/>
      <c r="AA434" s="61" t="n"/>
      <c r="AB434" s="40" t="n"/>
      <c r="AC434" s="40" t="n"/>
      <c r="AD434" s="40" t="n"/>
      <c r="AE434" s="40" t="n"/>
      <c r="AF434" s="40" t="n"/>
      <c r="AG434" s="61" t="n"/>
    </row>
    <row r="435" ht="15.75" customHeight="1" s="191">
      <c r="O435" s="60" t="n"/>
      <c r="AA435" s="61" t="n"/>
      <c r="AB435" s="40" t="n"/>
      <c r="AC435" s="40" t="n"/>
      <c r="AD435" s="40" t="n"/>
      <c r="AE435" s="40" t="n"/>
      <c r="AF435" s="40" t="n"/>
      <c r="AG435" s="61" t="n"/>
    </row>
    <row r="436" ht="15.75" customHeight="1" s="191">
      <c r="O436" s="60" t="n"/>
      <c r="AA436" s="61" t="n"/>
      <c r="AB436" s="40" t="n"/>
      <c r="AC436" s="40" t="n"/>
      <c r="AD436" s="40" t="n"/>
      <c r="AE436" s="40" t="n"/>
      <c r="AF436" s="40" t="n"/>
      <c r="AG436" s="61" t="n"/>
    </row>
    <row r="437" ht="15.75" customHeight="1" s="191">
      <c r="O437" s="60" t="n"/>
      <c r="AA437" s="61" t="n"/>
      <c r="AB437" s="40" t="n"/>
      <c r="AC437" s="40" t="n"/>
      <c r="AD437" s="40" t="n"/>
      <c r="AE437" s="40" t="n"/>
      <c r="AF437" s="40" t="n"/>
      <c r="AG437" s="61" t="n"/>
    </row>
    <row r="438" ht="15.75" customHeight="1" s="191">
      <c r="O438" s="60" t="n"/>
      <c r="AA438" s="61" t="n"/>
      <c r="AB438" s="40" t="n"/>
      <c r="AC438" s="40" t="n"/>
      <c r="AD438" s="40" t="n"/>
      <c r="AE438" s="40" t="n"/>
      <c r="AF438" s="40" t="n"/>
      <c r="AG438" s="61" t="n"/>
    </row>
    <row r="439" ht="15.75" customHeight="1" s="191">
      <c r="O439" s="60" t="n"/>
      <c r="AA439" s="61" t="n"/>
      <c r="AB439" s="40" t="n"/>
      <c r="AC439" s="40" t="n"/>
      <c r="AD439" s="40" t="n"/>
      <c r="AE439" s="40" t="n"/>
      <c r="AF439" s="40" t="n"/>
      <c r="AG439" s="61" t="n"/>
    </row>
    <row r="440" ht="15.75" customHeight="1" s="191">
      <c r="O440" s="60" t="n"/>
      <c r="AA440" s="61" t="n"/>
      <c r="AB440" s="40" t="n"/>
      <c r="AC440" s="40" t="n"/>
      <c r="AD440" s="40" t="n"/>
      <c r="AE440" s="40" t="n"/>
      <c r="AF440" s="40" t="n"/>
      <c r="AG440" s="61" t="n"/>
    </row>
    <row r="441" ht="15.75" customHeight="1" s="191">
      <c r="O441" s="60" t="n"/>
      <c r="AA441" s="61" t="n"/>
      <c r="AB441" s="40" t="n"/>
      <c r="AC441" s="40" t="n"/>
      <c r="AD441" s="40" t="n"/>
      <c r="AE441" s="40" t="n"/>
      <c r="AF441" s="40" t="n"/>
      <c r="AG441" s="61" t="n"/>
    </row>
    <row r="442" ht="15.75" customHeight="1" s="191">
      <c r="O442" s="60" t="n"/>
      <c r="AA442" s="61" t="n"/>
      <c r="AB442" s="40" t="n"/>
      <c r="AC442" s="40" t="n"/>
      <c r="AD442" s="40" t="n"/>
      <c r="AE442" s="40" t="n"/>
      <c r="AF442" s="40" t="n"/>
      <c r="AG442" s="61" t="n"/>
    </row>
    <row r="443" ht="15.75" customHeight="1" s="191">
      <c r="O443" s="60" t="n"/>
      <c r="AA443" s="61" t="n"/>
      <c r="AB443" s="40" t="n"/>
      <c r="AC443" s="40" t="n"/>
      <c r="AD443" s="40" t="n"/>
      <c r="AE443" s="40" t="n"/>
      <c r="AF443" s="40" t="n"/>
      <c r="AG443" s="61" t="n"/>
    </row>
    <row r="444" ht="15.75" customHeight="1" s="191">
      <c r="O444" s="60" t="n"/>
      <c r="AA444" s="61" t="n"/>
      <c r="AB444" s="40" t="n"/>
      <c r="AC444" s="40" t="n"/>
      <c r="AD444" s="40" t="n"/>
      <c r="AE444" s="40" t="n"/>
      <c r="AF444" s="40" t="n"/>
      <c r="AG444" s="61" t="n"/>
    </row>
    <row r="445" ht="15.75" customHeight="1" s="191">
      <c r="O445" s="60" t="n"/>
      <c r="AA445" s="61" t="n"/>
      <c r="AB445" s="40" t="n"/>
      <c r="AC445" s="40" t="n"/>
      <c r="AD445" s="40" t="n"/>
      <c r="AE445" s="40" t="n"/>
      <c r="AF445" s="40" t="n"/>
      <c r="AG445" s="61" t="n"/>
    </row>
    <row r="446" ht="15.75" customHeight="1" s="191">
      <c r="O446" s="60" t="n"/>
      <c r="AA446" s="61" t="n"/>
      <c r="AB446" s="40" t="n"/>
      <c r="AC446" s="40" t="n"/>
      <c r="AD446" s="40" t="n"/>
      <c r="AE446" s="40" t="n"/>
      <c r="AF446" s="40" t="n"/>
      <c r="AG446" s="61" t="n"/>
    </row>
    <row r="447" ht="15.75" customHeight="1" s="191">
      <c r="O447" s="60" t="n"/>
      <c r="AA447" s="61" t="n"/>
      <c r="AB447" s="40" t="n"/>
      <c r="AC447" s="40" t="n"/>
      <c r="AD447" s="40" t="n"/>
      <c r="AE447" s="40" t="n"/>
      <c r="AF447" s="40" t="n"/>
      <c r="AG447" s="61" t="n"/>
    </row>
    <row r="448" ht="15.75" customHeight="1" s="191">
      <c r="O448" s="60" t="n"/>
      <c r="AA448" s="61" t="n"/>
      <c r="AB448" s="40" t="n"/>
      <c r="AC448" s="40" t="n"/>
      <c r="AD448" s="40" t="n"/>
      <c r="AE448" s="40" t="n"/>
      <c r="AF448" s="40" t="n"/>
      <c r="AG448" s="61" t="n"/>
    </row>
    <row r="449" ht="15.75" customHeight="1" s="191">
      <c r="O449" s="60" t="n"/>
      <c r="AA449" s="61" t="n"/>
      <c r="AB449" s="40" t="n"/>
      <c r="AC449" s="40" t="n"/>
      <c r="AD449" s="40" t="n"/>
      <c r="AE449" s="40" t="n"/>
      <c r="AF449" s="40" t="n"/>
      <c r="AG449" s="61" t="n"/>
    </row>
    <row r="450" ht="15.75" customHeight="1" s="191">
      <c r="O450" s="60" t="n"/>
      <c r="AA450" s="61" t="n"/>
      <c r="AB450" s="40" t="n"/>
      <c r="AC450" s="40" t="n"/>
      <c r="AD450" s="40" t="n"/>
      <c r="AE450" s="40" t="n"/>
      <c r="AF450" s="40" t="n"/>
      <c r="AG450" s="61" t="n"/>
    </row>
    <row r="451" ht="15.75" customHeight="1" s="191">
      <c r="O451" s="60" t="n"/>
      <c r="AA451" s="61" t="n"/>
      <c r="AB451" s="40" t="n"/>
      <c r="AC451" s="40" t="n"/>
      <c r="AD451" s="40" t="n"/>
      <c r="AE451" s="40" t="n"/>
      <c r="AF451" s="40" t="n"/>
      <c r="AG451" s="61" t="n"/>
    </row>
    <row r="452" ht="15.75" customHeight="1" s="191">
      <c r="O452" s="60" t="n"/>
      <c r="AA452" s="61" t="n"/>
      <c r="AB452" s="40" t="n"/>
      <c r="AC452" s="40" t="n"/>
      <c r="AD452" s="40" t="n"/>
      <c r="AE452" s="40" t="n"/>
      <c r="AF452" s="40" t="n"/>
      <c r="AG452" s="61" t="n"/>
    </row>
    <row r="453" ht="15.75" customHeight="1" s="191">
      <c r="O453" s="60" t="n"/>
      <c r="AA453" s="61" t="n"/>
      <c r="AB453" s="40" t="n"/>
      <c r="AC453" s="40" t="n"/>
      <c r="AD453" s="40" t="n"/>
      <c r="AE453" s="40" t="n"/>
      <c r="AF453" s="40" t="n"/>
      <c r="AG453" s="61" t="n"/>
    </row>
    <row r="454" ht="15.75" customHeight="1" s="191">
      <c r="O454" s="60" t="n"/>
      <c r="AA454" s="61" t="n"/>
      <c r="AB454" s="40" t="n"/>
      <c r="AC454" s="40" t="n"/>
      <c r="AD454" s="40" t="n"/>
      <c r="AE454" s="40" t="n"/>
      <c r="AF454" s="40" t="n"/>
      <c r="AG454" s="61" t="n"/>
    </row>
    <row r="455" ht="15.75" customHeight="1" s="191">
      <c r="O455" s="60" t="n"/>
      <c r="AA455" s="61" t="n"/>
      <c r="AB455" s="40" t="n"/>
      <c r="AC455" s="40" t="n"/>
      <c r="AD455" s="40" t="n"/>
      <c r="AE455" s="40" t="n"/>
      <c r="AF455" s="40" t="n"/>
      <c r="AG455" s="61" t="n"/>
    </row>
    <row r="456" ht="15.75" customHeight="1" s="191">
      <c r="O456" s="60" t="n"/>
      <c r="AA456" s="61" t="n"/>
      <c r="AB456" s="40" t="n"/>
      <c r="AC456" s="40" t="n"/>
      <c r="AD456" s="40" t="n"/>
      <c r="AE456" s="40" t="n"/>
      <c r="AF456" s="40" t="n"/>
      <c r="AG456" s="61" t="n"/>
    </row>
    <row r="457" ht="15.75" customHeight="1" s="191">
      <c r="O457" s="60" t="n"/>
      <c r="AA457" s="61" t="n"/>
      <c r="AB457" s="40" t="n"/>
      <c r="AC457" s="40" t="n"/>
      <c r="AD457" s="40" t="n"/>
      <c r="AE457" s="40" t="n"/>
      <c r="AF457" s="40" t="n"/>
      <c r="AG457" s="61" t="n"/>
    </row>
    <row r="458" ht="15.75" customHeight="1" s="191">
      <c r="O458" s="60" t="n"/>
      <c r="AA458" s="61" t="n"/>
      <c r="AB458" s="40" t="n"/>
      <c r="AC458" s="40" t="n"/>
      <c r="AD458" s="40" t="n"/>
      <c r="AE458" s="40" t="n"/>
      <c r="AF458" s="40" t="n"/>
      <c r="AG458" s="61" t="n"/>
    </row>
    <row r="459" ht="15.75" customHeight="1" s="191">
      <c r="O459" s="60" t="n"/>
      <c r="AA459" s="61" t="n"/>
      <c r="AB459" s="40" t="n"/>
      <c r="AC459" s="40" t="n"/>
      <c r="AD459" s="40" t="n"/>
      <c r="AE459" s="40" t="n"/>
      <c r="AF459" s="40" t="n"/>
      <c r="AG459" s="61" t="n"/>
    </row>
    <row r="460" ht="15.75" customHeight="1" s="191">
      <c r="O460" s="60" t="n"/>
      <c r="AA460" s="61" t="n"/>
      <c r="AB460" s="40" t="n"/>
      <c r="AC460" s="40" t="n"/>
      <c r="AD460" s="40" t="n"/>
      <c r="AE460" s="40" t="n"/>
      <c r="AF460" s="40" t="n"/>
      <c r="AG460" s="61" t="n"/>
    </row>
    <row r="461" ht="15.75" customHeight="1" s="191">
      <c r="O461" s="60" t="n"/>
      <c r="AA461" s="61" t="n"/>
      <c r="AB461" s="40" t="n"/>
      <c r="AC461" s="40" t="n"/>
      <c r="AD461" s="40" t="n"/>
      <c r="AE461" s="40" t="n"/>
      <c r="AF461" s="40" t="n"/>
      <c r="AG461" s="61" t="n"/>
    </row>
    <row r="462" ht="15.75" customHeight="1" s="191">
      <c r="O462" s="60" t="n"/>
      <c r="AA462" s="61" t="n"/>
      <c r="AB462" s="40" t="n"/>
      <c r="AC462" s="40" t="n"/>
      <c r="AD462" s="40" t="n"/>
      <c r="AE462" s="40" t="n"/>
      <c r="AF462" s="40" t="n"/>
      <c r="AG462" s="61" t="n"/>
    </row>
    <row r="463" ht="15.75" customHeight="1" s="191">
      <c r="O463" s="60" t="n"/>
      <c r="AA463" s="61" t="n"/>
      <c r="AB463" s="40" t="n"/>
      <c r="AC463" s="40" t="n"/>
      <c r="AD463" s="40" t="n"/>
      <c r="AE463" s="40" t="n"/>
      <c r="AF463" s="40" t="n"/>
      <c r="AG463" s="61" t="n"/>
    </row>
    <row r="464" ht="15.75" customHeight="1" s="191">
      <c r="O464" s="60" t="n"/>
      <c r="AA464" s="61" t="n"/>
      <c r="AB464" s="40" t="n"/>
      <c r="AC464" s="40" t="n"/>
      <c r="AD464" s="40" t="n"/>
      <c r="AE464" s="40" t="n"/>
      <c r="AF464" s="40" t="n"/>
      <c r="AG464" s="61" t="n"/>
    </row>
    <row r="465" ht="15.75" customHeight="1" s="191">
      <c r="O465" s="60" t="n"/>
      <c r="AA465" s="61" t="n"/>
      <c r="AB465" s="40" t="n"/>
      <c r="AC465" s="40" t="n"/>
      <c r="AD465" s="40" t="n"/>
      <c r="AE465" s="40" t="n"/>
      <c r="AF465" s="40" t="n"/>
      <c r="AG465" s="61" t="n"/>
    </row>
    <row r="466" ht="15.75" customHeight="1" s="191">
      <c r="O466" s="60" t="n"/>
      <c r="AA466" s="61" t="n"/>
      <c r="AB466" s="40" t="n"/>
      <c r="AC466" s="40" t="n"/>
      <c r="AD466" s="40" t="n"/>
      <c r="AE466" s="40" t="n"/>
      <c r="AF466" s="40" t="n"/>
      <c r="AG466" s="61" t="n"/>
    </row>
    <row r="467" ht="15.75" customHeight="1" s="191">
      <c r="O467" s="60" t="n"/>
      <c r="AA467" s="61" t="n"/>
      <c r="AB467" s="40" t="n"/>
      <c r="AC467" s="40" t="n"/>
      <c r="AD467" s="40" t="n"/>
      <c r="AE467" s="40" t="n"/>
      <c r="AF467" s="40" t="n"/>
      <c r="AG467" s="61" t="n"/>
    </row>
    <row r="468" ht="15.75" customHeight="1" s="191">
      <c r="O468" s="60" t="n"/>
      <c r="AA468" s="61" t="n"/>
      <c r="AB468" s="40" t="n"/>
      <c r="AC468" s="40" t="n"/>
      <c r="AD468" s="40" t="n"/>
      <c r="AE468" s="40" t="n"/>
      <c r="AF468" s="40" t="n"/>
      <c r="AG468" s="61" t="n"/>
    </row>
    <row r="469" ht="15.75" customHeight="1" s="191">
      <c r="O469" s="60" t="n"/>
      <c r="AA469" s="61" t="n"/>
      <c r="AB469" s="40" t="n"/>
      <c r="AC469" s="40" t="n"/>
      <c r="AD469" s="40" t="n"/>
      <c r="AE469" s="40" t="n"/>
      <c r="AF469" s="40" t="n"/>
      <c r="AG469" s="61" t="n"/>
    </row>
    <row r="470" ht="15.75" customHeight="1" s="191">
      <c r="O470" s="60" t="n"/>
      <c r="AA470" s="61" t="n"/>
      <c r="AB470" s="40" t="n"/>
      <c r="AC470" s="40" t="n"/>
      <c r="AD470" s="40" t="n"/>
      <c r="AE470" s="40" t="n"/>
      <c r="AF470" s="40" t="n"/>
      <c r="AG470" s="61" t="n"/>
    </row>
    <row r="471" ht="15.75" customHeight="1" s="191">
      <c r="O471" s="60" t="n"/>
      <c r="AA471" s="61" t="n"/>
      <c r="AB471" s="40" t="n"/>
      <c r="AC471" s="40" t="n"/>
      <c r="AD471" s="40" t="n"/>
      <c r="AE471" s="40" t="n"/>
      <c r="AF471" s="40" t="n"/>
      <c r="AG471" s="61" t="n"/>
    </row>
    <row r="472" ht="15.75" customHeight="1" s="191">
      <c r="O472" s="60" t="n"/>
      <c r="AA472" s="61" t="n"/>
      <c r="AB472" s="40" t="n"/>
      <c r="AC472" s="40" t="n"/>
      <c r="AD472" s="40" t="n"/>
      <c r="AE472" s="40" t="n"/>
      <c r="AF472" s="40" t="n"/>
      <c r="AG472" s="61" t="n"/>
    </row>
    <row r="473" ht="15.75" customHeight="1" s="191">
      <c r="O473" s="60" t="n"/>
      <c r="AA473" s="61" t="n"/>
      <c r="AB473" s="40" t="n"/>
      <c r="AC473" s="40" t="n"/>
      <c r="AD473" s="40" t="n"/>
      <c r="AE473" s="40" t="n"/>
      <c r="AF473" s="40" t="n"/>
      <c r="AG473" s="61" t="n"/>
    </row>
    <row r="474" ht="15.75" customHeight="1" s="191">
      <c r="O474" s="60" t="n"/>
      <c r="AA474" s="61" t="n"/>
      <c r="AB474" s="40" t="n"/>
      <c r="AC474" s="40" t="n"/>
      <c r="AD474" s="40" t="n"/>
      <c r="AE474" s="40" t="n"/>
      <c r="AF474" s="40" t="n"/>
      <c r="AG474" s="61" t="n"/>
    </row>
    <row r="475" ht="15.75" customHeight="1" s="191">
      <c r="O475" s="60" t="n"/>
      <c r="AA475" s="61" t="n"/>
      <c r="AB475" s="40" t="n"/>
      <c r="AC475" s="40" t="n"/>
      <c r="AD475" s="40" t="n"/>
      <c r="AE475" s="40" t="n"/>
      <c r="AF475" s="40" t="n"/>
      <c r="AG475" s="61" t="n"/>
    </row>
    <row r="476" ht="15.75" customHeight="1" s="191">
      <c r="O476" s="60" t="n"/>
      <c r="AA476" s="61" t="n"/>
      <c r="AB476" s="40" t="n"/>
      <c r="AC476" s="40" t="n"/>
      <c r="AD476" s="40" t="n"/>
      <c r="AE476" s="40" t="n"/>
      <c r="AF476" s="40" t="n"/>
      <c r="AG476" s="61" t="n"/>
    </row>
    <row r="477" ht="15.75" customHeight="1" s="191">
      <c r="O477" s="60" t="n"/>
      <c r="AA477" s="61" t="n"/>
      <c r="AB477" s="40" t="n"/>
      <c r="AC477" s="40" t="n"/>
      <c r="AD477" s="40" t="n"/>
      <c r="AE477" s="40" t="n"/>
      <c r="AF477" s="40" t="n"/>
      <c r="AG477" s="61" t="n"/>
    </row>
    <row r="478" ht="15.75" customHeight="1" s="191">
      <c r="O478" s="60" t="n"/>
      <c r="AA478" s="61" t="n"/>
      <c r="AB478" s="40" t="n"/>
      <c r="AC478" s="40" t="n"/>
      <c r="AD478" s="40" t="n"/>
      <c r="AE478" s="40" t="n"/>
      <c r="AF478" s="40" t="n"/>
      <c r="AG478" s="61" t="n"/>
    </row>
    <row r="479" ht="15.75" customHeight="1" s="191">
      <c r="O479" s="60" t="n"/>
      <c r="AA479" s="61" t="n"/>
      <c r="AB479" s="40" t="n"/>
      <c r="AC479" s="40" t="n"/>
      <c r="AD479" s="40" t="n"/>
      <c r="AE479" s="40" t="n"/>
      <c r="AF479" s="40" t="n"/>
      <c r="AG479" s="61" t="n"/>
    </row>
    <row r="480" ht="15.75" customHeight="1" s="191">
      <c r="O480" s="60" t="n"/>
      <c r="AA480" s="61" t="n"/>
      <c r="AB480" s="40" t="n"/>
      <c r="AC480" s="40" t="n"/>
      <c r="AD480" s="40" t="n"/>
      <c r="AE480" s="40" t="n"/>
      <c r="AF480" s="40" t="n"/>
      <c r="AG480" s="61" t="n"/>
    </row>
    <row r="481" ht="15.75" customHeight="1" s="191">
      <c r="O481" s="60" t="n"/>
      <c r="AA481" s="61" t="n"/>
      <c r="AB481" s="40" t="n"/>
      <c r="AC481" s="40" t="n"/>
      <c r="AD481" s="40" t="n"/>
      <c r="AE481" s="40" t="n"/>
      <c r="AF481" s="40" t="n"/>
      <c r="AG481" s="61" t="n"/>
    </row>
    <row r="482" ht="15.75" customHeight="1" s="191">
      <c r="O482" s="60" t="n"/>
      <c r="AA482" s="61" t="n"/>
      <c r="AB482" s="40" t="n"/>
      <c r="AC482" s="40" t="n"/>
      <c r="AD482" s="40" t="n"/>
      <c r="AE482" s="40" t="n"/>
      <c r="AF482" s="40" t="n"/>
      <c r="AG482" s="61" t="n"/>
    </row>
    <row r="483" ht="15.75" customHeight="1" s="191">
      <c r="O483" s="60" t="n"/>
      <c r="AA483" s="61" t="n"/>
      <c r="AB483" s="40" t="n"/>
      <c r="AC483" s="40" t="n"/>
      <c r="AD483" s="40" t="n"/>
      <c r="AE483" s="40" t="n"/>
      <c r="AF483" s="40" t="n"/>
      <c r="AG483" s="61" t="n"/>
    </row>
    <row r="484" ht="15.75" customHeight="1" s="191">
      <c r="O484" s="60" t="n"/>
      <c r="AA484" s="61" t="n"/>
      <c r="AB484" s="40" t="n"/>
      <c r="AC484" s="40" t="n"/>
      <c r="AD484" s="40" t="n"/>
      <c r="AE484" s="40" t="n"/>
      <c r="AF484" s="40" t="n"/>
      <c r="AG484" s="61" t="n"/>
    </row>
    <row r="485" ht="15.75" customHeight="1" s="191">
      <c r="O485" s="60" t="n"/>
      <c r="AA485" s="61" t="n"/>
      <c r="AB485" s="40" t="n"/>
      <c r="AC485" s="40" t="n"/>
      <c r="AD485" s="40" t="n"/>
      <c r="AE485" s="40" t="n"/>
      <c r="AF485" s="40" t="n"/>
      <c r="AG485" s="61" t="n"/>
    </row>
    <row r="486" ht="15.75" customHeight="1" s="191">
      <c r="O486" s="60" t="n"/>
      <c r="AA486" s="61" t="n"/>
      <c r="AB486" s="40" t="n"/>
      <c r="AC486" s="40" t="n"/>
      <c r="AD486" s="40" t="n"/>
      <c r="AE486" s="40" t="n"/>
      <c r="AF486" s="40" t="n"/>
      <c r="AG486" s="61" t="n"/>
    </row>
    <row r="487" ht="15.75" customHeight="1" s="191">
      <c r="O487" s="60" t="n"/>
      <c r="AA487" s="61" t="n"/>
      <c r="AB487" s="40" t="n"/>
      <c r="AC487" s="40" t="n"/>
      <c r="AD487" s="40" t="n"/>
      <c r="AE487" s="40" t="n"/>
      <c r="AF487" s="40" t="n"/>
      <c r="AG487" s="61" t="n"/>
    </row>
    <row r="488" ht="15.75" customHeight="1" s="191">
      <c r="O488" s="60" t="n"/>
      <c r="AA488" s="61" t="n"/>
      <c r="AB488" s="40" t="n"/>
      <c r="AC488" s="40" t="n"/>
      <c r="AD488" s="40" t="n"/>
      <c r="AE488" s="40" t="n"/>
      <c r="AF488" s="40" t="n"/>
      <c r="AG488" s="61" t="n"/>
    </row>
    <row r="489" ht="15.75" customHeight="1" s="191">
      <c r="O489" s="60" t="n"/>
      <c r="AA489" s="61" t="n"/>
      <c r="AB489" s="40" t="n"/>
      <c r="AC489" s="40" t="n"/>
      <c r="AD489" s="40" t="n"/>
      <c r="AE489" s="40" t="n"/>
      <c r="AF489" s="40" t="n"/>
      <c r="AG489" s="61" t="n"/>
    </row>
    <row r="490" ht="15.75" customHeight="1" s="191">
      <c r="O490" s="60" t="n"/>
      <c r="AA490" s="61" t="n"/>
      <c r="AB490" s="40" t="n"/>
      <c r="AC490" s="40" t="n"/>
      <c r="AD490" s="40" t="n"/>
      <c r="AE490" s="40" t="n"/>
      <c r="AF490" s="40" t="n"/>
      <c r="AG490" s="61" t="n"/>
    </row>
    <row r="491" ht="15.75" customHeight="1" s="191">
      <c r="O491" s="60" t="n"/>
      <c r="AA491" s="61" t="n"/>
      <c r="AB491" s="40" t="n"/>
      <c r="AC491" s="40" t="n"/>
      <c r="AD491" s="40" t="n"/>
      <c r="AE491" s="40" t="n"/>
      <c r="AF491" s="40" t="n"/>
      <c r="AG491" s="61" t="n"/>
    </row>
    <row r="492" ht="15.75" customHeight="1" s="191">
      <c r="O492" s="60" t="n"/>
      <c r="AA492" s="61" t="n"/>
      <c r="AB492" s="40" t="n"/>
      <c r="AC492" s="40" t="n"/>
      <c r="AD492" s="40" t="n"/>
      <c r="AE492" s="40" t="n"/>
      <c r="AF492" s="40" t="n"/>
      <c r="AG492" s="61" t="n"/>
    </row>
    <row r="493" ht="15.75" customHeight="1" s="191">
      <c r="O493" s="60" t="n"/>
      <c r="AA493" s="61" t="n"/>
      <c r="AB493" s="40" t="n"/>
      <c r="AC493" s="40" t="n"/>
      <c r="AD493" s="40" t="n"/>
      <c r="AE493" s="40" t="n"/>
      <c r="AF493" s="40" t="n"/>
      <c r="AG493" s="61" t="n"/>
    </row>
    <row r="494" ht="15.75" customHeight="1" s="191">
      <c r="O494" s="60" t="n"/>
      <c r="AA494" s="61" t="n"/>
      <c r="AB494" s="40" t="n"/>
      <c r="AC494" s="40" t="n"/>
      <c r="AD494" s="40" t="n"/>
      <c r="AE494" s="40" t="n"/>
      <c r="AF494" s="40" t="n"/>
      <c r="AG494" s="61" t="n"/>
    </row>
    <row r="495" ht="15.75" customHeight="1" s="191">
      <c r="O495" s="60" t="n"/>
      <c r="AA495" s="61" t="n"/>
      <c r="AB495" s="40" t="n"/>
      <c r="AC495" s="40" t="n"/>
      <c r="AD495" s="40" t="n"/>
      <c r="AE495" s="40" t="n"/>
      <c r="AF495" s="40" t="n"/>
      <c r="AG495" s="61" t="n"/>
    </row>
    <row r="496" ht="15.75" customHeight="1" s="191">
      <c r="O496" s="60" t="n"/>
      <c r="AA496" s="61" t="n"/>
      <c r="AB496" s="40" t="n"/>
      <c r="AC496" s="40" t="n"/>
      <c r="AD496" s="40" t="n"/>
      <c r="AE496" s="40" t="n"/>
      <c r="AF496" s="40" t="n"/>
      <c r="AG496" s="61" t="n"/>
    </row>
    <row r="497" ht="15.75" customHeight="1" s="191">
      <c r="O497" s="60" t="n"/>
      <c r="AA497" s="61" t="n"/>
      <c r="AB497" s="40" t="n"/>
      <c r="AC497" s="40" t="n"/>
      <c r="AD497" s="40" t="n"/>
      <c r="AE497" s="40" t="n"/>
      <c r="AF497" s="40" t="n"/>
      <c r="AG497" s="61" t="n"/>
    </row>
    <row r="498" ht="15.75" customHeight="1" s="191">
      <c r="O498" s="60" t="n"/>
      <c r="AA498" s="61" t="n"/>
      <c r="AB498" s="40" t="n"/>
      <c r="AC498" s="40" t="n"/>
      <c r="AD498" s="40" t="n"/>
      <c r="AE498" s="40" t="n"/>
      <c r="AF498" s="40" t="n"/>
      <c r="AG498" s="61" t="n"/>
    </row>
    <row r="499" ht="15.75" customHeight="1" s="191">
      <c r="O499" s="60" t="n"/>
      <c r="AA499" s="61" t="n"/>
      <c r="AB499" s="40" t="n"/>
      <c r="AC499" s="40" t="n"/>
      <c r="AD499" s="40" t="n"/>
      <c r="AE499" s="40" t="n"/>
      <c r="AF499" s="40" t="n"/>
      <c r="AG499" s="61" t="n"/>
    </row>
    <row r="500" ht="15.75" customHeight="1" s="191">
      <c r="O500" s="60" t="n"/>
      <c r="AA500" s="61" t="n"/>
      <c r="AB500" s="40" t="n"/>
      <c r="AC500" s="40" t="n"/>
      <c r="AD500" s="40" t="n"/>
      <c r="AE500" s="40" t="n"/>
      <c r="AF500" s="40" t="n"/>
      <c r="AG500" s="61" t="n"/>
    </row>
    <row r="501" ht="15.75" customHeight="1" s="191">
      <c r="O501" s="60" t="n"/>
      <c r="AA501" s="61" t="n"/>
      <c r="AB501" s="40" t="n"/>
      <c r="AC501" s="40" t="n"/>
      <c r="AD501" s="40" t="n"/>
      <c r="AE501" s="40" t="n"/>
      <c r="AF501" s="40" t="n"/>
      <c r="AG501" s="61" t="n"/>
    </row>
    <row r="502" ht="15.75" customHeight="1" s="191">
      <c r="O502" s="60" t="n"/>
      <c r="AA502" s="61" t="n"/>
      <c r="AB502" s="40" t="n"/>
      <c r="AC502" s="40" t="n"/>
      <c r="AD502" s="40" t="n"/>
      <c r="AE502" s="40" t="n"/>
      <c r="AF502" s="40" t="n"/>
      <c r="AG502" s="61" t="n"/>
    </row>
    <row r="503" ht="15.75" customHeight="1" s="191">
      <c r="O503" s="60" t="n"/>
      <c r="AA503" s="61" t="n"/>
      <c r="AB503" s="40" t="n"/>
      <c r="AC503" s="40" t="n"/>
      <c r="AD503" s="40" t="n"/>
      <c r="AE503" s="40" t="n"/>
      <c r="AF503" s="40" t="n"/>
      <c r="AG503" s="61" t="n"/>
    </row>
    <row r="504" ht="15.75" customHeight="1" s="191">
      <c r="O504" s="60" t="n"/>
      <c r="AA504" s="61" t="n"/>
      <c r="AB504" s="40" t="n"/>
      <c r="AC504" s="40" t="n"/>
      <c r="AD504" s="40" t="n"/>
      <c r="AE504" s="40" t="n"/>
      <c r="AF504" s="40" t="n"/>
      <c r="AG504" s="61" t="n"/>
    </row>
    <row r="505" ht="15.75" customHeight="1" s="191">
      <c r="O505" s="60" t="n"/>
      <c r="AA505" s="61" t="n"/>
      <c r="AB505" s="40" t="n"/>
      <c r="AC505" s="40" t="n"/>
      <c r="AD505" s="40" t="n"/>
      <c r="AE505" s="40" t="n"/>
      <c r="AF505" s="40" t="n"/>
      <c r="AG505" s="61" t="n"/>
    </row>
    <row r="506" ht="15.75" customHeight="1" s="191">
      <c r="O506" s="60" t="n"/>
      <c r="AA506" s="61" t="n"/>
      <c r="AB506" s="40" t="n"/>
      <c r="AC506" s="40" t="n"/>
      <c r="AD506" s="40" t="n"/>
      <c r="AE506" s="40" t="n"/>
      <c r="AF506" s="40" t="n"/>
      <c r="AG506" s="61" t="n"/>
    </row>
    <row r="507" ht="15.75" customHeight="1" s="191">
      <c r="O507" s="60" t="n"/>
      <c r="AA507" s="61" t="n"/>
      <c r="AB507" s="40" t="n"/>
      <c r="AC507" s="40" t="n"/>
      <c r="AD507" s="40" t="n"/>
      <c r="AE507" s="40" t="n"/>
      <c r="AF507" s="40" t="n"/>
      <c r="AG507" s="61" t="n"/>
    </row>
    <row r="508" ht="15.75" customHeight="1" s="191">
      <c r="O508" s="60" t="n"/>
      <c r="AA508" s="61" t="n"/>
      <c r="AB508" s="40" t="n"/>
      <c r="AC508" s="40" t="n"/>
      <c r="AD508" s="40" t="n"/>
      <c r="AE508" s="40" t="n"/>
      <c r="AF508" s="40" t="n"/>
      <c r="AG508" s="61" t="n"/>
    </row>
    <row r="509" ht="15.75" customHeight="1" s="191">
      <c r="O509" s="60" t="n"/>
      <c r="AA509" s="61" t="n"/>
      <c r="AB509" s="40" t="n"/>
      <c r="AC509" s="40" t="n"/>
      <c r="AD509" s="40" t="n"/>
      <c r="AE509" s="40" t="n"/>
      <c r="AF509" s="40" t="n"/>
      <c r="AG509" s="61" t="n"/>
    </row>
    <row r="510" ht="15.75" customHeight="1" s="191">
      <c r="O510" s="60" t="n"/>
      <c r="AA510" s="61" t="n"/>
      <c r="AB510" s="40" t="n"/>
      <c r="AC510" s="40" t="n"/>
      <c r="AD510" s="40" t="n"/>
      <c r="AE510" s="40" t="n"/>
      <c r="AF510" s="40" t="n"/>
      <c r="AG510" s="61" t="n"/>
    </row>
    <row r="511" ht="15.75" customHeight="1" s="191">
      <c r="O511" s="60" t="n"/>
      <c r="AA511" s="61" t="n"/>
      <c r="AB511" s="40" t="n"/>
      <c r="AC511" s="40" t="n"/>
      <c r="AD511" s="40" t="n"/>
      <c r="AE511" s="40" t="n"/>
      <c r="AF511" s="40" t="n"/>
      <c r="AG511" s="61" t="n"/>
    </row>
    <row r="512" ht="15.75" customHeight="1" s="191">
      <c r="O512" s="60" t="n"/>
      <c r="AA512" s="61" t="n"/>
      <c r="AB512" s="40" t="n"/>
      <c r="AC512" s="40" t="n"/>
      <c r="AD512" s="40" t="n"/>
      <c r="AE512" s="40" t="n"/>
      <c r="AF512" s="40" t="n"/>
      <c r="AG512" s="61" t="n"/>
    </row>
    <row r="513" ht="15.75" customHeight="1" s="191">
      <c r="O513" s="60" t="n"/>
      <c r="AA513" s="61" t="n"/>
      <c r="AB513" s="40" t="n"/>
      <c r="AC513" s="40" t="n"/>
      <c r="AD513" s="40" t="n"/>
      <c r="AE513" s="40" t="n"/>
      <c r="AF513" s="40" t="n"/>
      <c r="AG513" s="61" t="n"/>
    </row>
    <row r="514" ht="15.75" customHeight="1" s="191">
      <c r="O514" s="60" t="n"/>
      <c r="AA514" s="61" t="n"/>
      <c r="AB514" s="40" t="n"/>
      <c r="AC514" s="40" t="n"/>
      <c r="AD514" s="40" t="n"/>
      <c r="AE514" s="40" t="n"/>
      <c r="AF514" s="40" t="n"/>
      <c r="AG514" s="61" t="n"/>
    </row>
    <row r="515" ht="15.75" customHeight="1" s="191">
      <c r="O515" s="60" t="n"/>
      <c r="AA515" s="61" t="n"/>
      <c r="AB515" s="40" t="n"/>
      <c r="AC515" s="40" t="n"/>
      <c r="AD515" s="40" t="n"/>
      <c r="AE515" s="40" t="n"/>
      <c r="AF515" s="40" t="n"/>
      <c r="AG515" s="61" t="n"/>
    </row>
    <row r="516" ht="15.75" customHeight="1" s="191">
      <c r="O516" s="60" t="n"/>
      <c r="AA516" s="61" t="n"/>
      <c r="AB516" s="40" t="n"/>
      <c r="AC516" s="40" t="n"/>
      <c r="AD516" s="40" t="n"/>
      <c r="AE516" s="40" t="n"/>
      <c r="AF516" s="40" t="n"/>
      <c r="AG516" s="61" t="n"/>
    </row>
    <row r="517" ht="15.75" customHeight="1" s="191">
      <c r="O517" s="60" t="n"/>
      <c r="AA517" s="61" t="n"/>
      <c r="AB517" s="40" t="n"/>
      <c r="AC517" s="40" t="n"/>
      <c r="AD517" s="40" t="n"/>
      <c r="AE517" s="40" t="n"/>
      <c r="AF517" s="40" t="n"/>
      <c r="AG517" s="61" t="n"/>
    </row>
    <row r="518" ht="15.75" customHeight="1" s="191">
      <c r="O518" s="60" t="n"/>
      <c r="AA518" s="61" t="n"/>
      <c r="AB518" s="40" t="n"/>
      <c r="AC518" s="40" t="n"/>
      <c r="AD518" s="40" t="n"/>
      <c r="AE518" s="40" t="n"/>
      <c r="AF518" s="40" t="n"/>
      <c r="AG518" s="61" t="n"/>
    </row>
    <row r="519" ht="15.75" customHeight="1" s="191">
      <c r="O519" s="60" t="n"/>
      <c r="AA519" s="61" t="n"/>
      <c r="AB519" s="40" t="n"/>
      <c r="AC519" s="40" t="n"/>
      <c r="AD519" s="40" t="n"/>
      <c r="AE519" s="40" t="n"/>
      <c r="AF519" s="40" t="n"/>
      <c r="AG519" s="61" t="n"/>
    </row>
    <row r="520" ht="15.75" customHeight="1" s="191">
      <c r="O520" s="60" t="n"/>
      <c r="AA520" s="61" t="n"/>
      <c r="AB520" s="40" t="n"/>
      <c r="AC520" s="40" t="n"/>
      <c r="AD520" s="40" t="n"/>
      <c r="AE520" s="40" t="n"/>
      <c r="AF520" s="40" t="n"/>
      <c r="AG520" s="61" t="n"/>
    </row>
    <row r="521" ht="15.75" customHeight="1" s="191">
      <c r="O521" s="60" t="n"/>
      <c r="AA521" s="61" t="n"/>
      <c r="AB521" s="40" t="n"/>
      <c r="AC521" s="40" t="n"/>
      <c r="AD521" s="40" t="n"/>
      <c r="AE521" s="40" t="n"/>
      <c r="AF521" s="40" t="n"/>
      <c r="AG521" s="61" t="n"/>
    </row>
    <row r="522" ht="15.75" customHeight="1" s="191">
      <c r="O522" s="60" t="n"/>
      <c r="AA522" s="61" t="n"/>
      <c r="AB522" s="40" t="n"/>
      <c r="AC522" s="40" t="n"/>
      <c r="AD522" s="40" t="n"/>
      <c r="AE522" s="40" t="n"/>
      <c r="AF522" s="40" t="n"/>
      <c r="AG522" s="61" t="n"/>
    </row>
    <row r="523" ht="15.75" customHeight="1" s="191">
      <c r="O523" s="60" t="n"/>
      <c r="AA523" s="61" t="n"/>
      <c r="AB523" s="40" t="n"/>
      <c r="AC523" s="40" t="n"/>
      <c r="AD523" s="40" t="n"/>
      <c r="AE523" s="40" t="n"/>
      <c r="AF523" s="40" t="n"/>
      <c r="AG523" s="61" t="n"/>
    </row>
    <row r="524" ht="15.75" customHeight="1" s="191">
      <c r="O524" s="60" t="n"/>
      <c r="AA524" s="61" t="n"/>
      <c r="AB524" s="40" t="n"/>
      <c r="AC524" s="40" t="n"/>
      <c r="AD524" s="40" t="n"/>
      <c r="AE524" s="40" t="n"/>
      <c r="AF524" s="40" t="n"/>
      <c r="AG524" s="61" t="n"/>
    </row>
    <row r="525" ht="15.75" customHeight="1" s="191">
      <c r="O525" s="60" t="n"/>
      <c r="AA525" s="61" t="n"/>
      <c r="AB525" s="40" t="n"/>
      <c r="AC525" s="40" t="n"/>
      <c r="AD525" s="40" t="n"/>
      <c r="AE525" s="40" t="n"/>
      <c r="AF525" s="40" t="n"/>
      <c r="AG525" s="61" t="n"/>
    </row>
    <row r="526" ht="15.75" customHeight="1" s="191">
      <c r="O526" s="60" t="n"/>
      <c r="AA526" s="61" t="n"/>
      <c r="AB526" s="40" t="n"/>
      <c r="AC526" s="40" t="n"/>
      <c r="AD526" s="40" t="n"/>
      <c r="AE526" s="40" t="n"/>
      <c r="AF526" s="40" t="n"/>
      <c r="AG526" s="61" t="n"/>
    </row>
    <row r="527" ht="15.75" customHeight="1" s="191">
      <c r="O527" s="60" t="n"/>
      <c r="AA527" s="61" t="n"/>
      <c r="AB527" s="40" t="n"/>
      <c r="AC527" s="40" t="n"/>
      <c r="AD527" s="40" t="n"/>
      <c r="AE527" s="40" t="n"/>
      <c r="AF527" s="40" t="n"/>
      <c r="AG527" s="61" t="n"/>
    </row>
    <row r="528" ht="15.75" customHeight="1" s="191">
      <c r="O528" s="60" t="n"/>
      <c r="AA528" s="61" t="n"/>
      <c r="AB528" s="40" t="n"/>
      <c r="AC528" s="40" t="n"/>
      <c r="AD528" s="40" t="n"/>
      <c r="AE528" s="40" t="n"/>
      <c r="AF528" s="40" t="n"/>
      <c r="AG528" s="61" t="n"/>
    </row>
    <row r="529" ht="15.75" customHeight="1" s="191">
      <c r="O529" s="60" t="n"/>
      <c r="AA529" s="61" t="n"/>
      <c r="AB529" s="40" t="n"/>
      <c r="AC529" s="40" t="n"/>
      <c r="AD529" s="40" t="n"/>
      <c r="AE529" s="40" t="n"/>
      <c r="AF529" s="40" t="n"/>
      <c r="AG529" s="61" t="n"/>
    </row>
    <row r="530" ht="15.75" customHeight="1" s="191">
      <c r="O530" s="60" t="n"/>
      <c r="AA530" s="61" t="n"/>
      <c r="AB530" s="40" t="n"/>
      <c r="AC530" s="40" t="n"/>
      <c r="AD530" s="40" t="n"/>
      <c r="AE530" s="40" t="n"/>
      <c r="AF530" s="40" t="n"/>
      <c r="AG530" s="61" t="n"/>
    </row>
    <row r="531" ht="15.75" customHeight="1" s="191">
      <c r="O531" s="60" t="n"/>
      <c r="AA531" s="61" t="n"/>
      <c r="AB531" s="40" t="n"/>
      <c r="AC531" s="40" t="n"/>
      <c r="AD531" s="40" t="n"/>
      <c r="AE531" s="40" t="n"/>
      <c r="AF531" s="40" t="n"/>
      <c r="AG531" s="61" t="n"/>
    </row>
    <row r="532" ht="15.75" customHeight="1" s="191">
      <c r="O532" s="60" t="n"/>
      <c r="AA532" s="61" t="n"/>
      <c r="AB532" s="40" t="n"/>
      <c r="AC532" s="40" t="n"/>
      <c r="AD532" s="40" t="n"/>
      <c r="AE532" s="40" t="n"/>
      <c r="AF532" s="40" t="n"/>
      <c r="AG532" s="61" t="n"/>
    </row>
    <row r="533" ht="15.75" customHeight="1" s="191">
      <c r="O533" s="60" t="n"/>
      <c r="AA533" s="61" t="n"/>
      <c r="AB533" s="40" t="n"/>
      <c r="AC533" s="40" t="n"/>
      <c r="AD533" s="40" t="n"/>
      <c r="AE533" s="40" t="n"/>
      <c r="AF533" s="40" t="n"/>
      <c r="AG533" s="61" t="n"/>
    </row>
    <row r="534" ht="15.75" customHeight="1" s="191">
      <c r="O534" s="60" t="n"/>
      <c r="AA534" s="61" t="n"/>
      <c r="AB534" s="40" t="n"/>
      <c r="AC534" s="40" t="n"/>
      <c r="AD534" s="40" t="n"/>
      <c r="AE534" s="40" t="n"/>
      <c r="AF534" s="40" t="n"/>
      <c r="AG534" s="61" t="n"/>
    </row>
    <row r="535" ht="15.75" customHeight="1" s="191">
      <c r="O535" s="60" t="n"/>
      <c r="AA535" s="61" t="n"/>
      <c r="AB535" s="40" t="n"/>
      <c r="AC535" s="40" t="n"/>
      <c r="AD535" s="40" t="n"/>
      <c r="AE535" s="40" t="n"/>
      <c r="AF535" s="40" t="n"/>
      <c r="AG535" s="61" t="n"/>
    </row>
    <row r="536" ht="15.75" customHeight="1" s="191">
      <c r="O536" s="60" t="n"/>
      <c r="AA536" s="61" t="n"/>
      <c r="AB536" s="40" t="n"/>
      <c r="AC536" s="40" t="n"/>
      <c r="AD536" s="40" t="n"/>
      <c r="AE536" s="40" t="n"/>
      <c r="AF536" s="40" t="n"/>
      <c r="AG536" s="61" t="n"/>
    </row>
    <row r="537" ht="15.75" customHeight="1" s="191">
      <c r="O537" s="60" t="n"/>
      <c r="AA537" s="61" t="n"/>
      <c r="AB537" s="40" t="n"/>
      <c r="AC537" s="40" t="n"/>
      <c r="AD537" s="40" t="n"/>
      <c r="AE537" s="40" t="n"/>
      <c r="AF537" s="40" t="n"/>
      <c r="AG537" s="61" t="n"/>
    </row>
    <row r="538" ht="15.75" customHeight="1" s="191">
      <c r="O538" s="60" t="n"/>
      <c r="AA538" s="61" t="n"/>
      <c r="AB538" s="40" t="n"/>
      <c r="AC538" s="40" t="n"/>
      <c r="AD538" s="40" t="n"/>
      <c r="AE538" s="40" t="n"/>
      <c r="AF538" s="40" t="n"/>
      <c r="AG538" s="61" t="n"/>
    </row>
    <row r="539" ht="15.75" customHeight="1" s="191">
      <c r="O539" s="60" t="n"/>
      <c r="AA539" s="61" t="n"/>
      <c r="AB539" s="40" t="n"/>
      <c r="AC539" s="40" t="n"/>
      <c r="AD539" s="40" t="n"/>
      <c r="AE539" s="40" t="n"/>
      <c r="AF539" s="40" t="n"/>
      <c r="AG539" s="61" t="n"/>
    </row>
    <row r="540" ht="15.75" customHeight="1" s="191">
      <c r="O540" s="60" t="n"/>
      <c r="AA540" s="61" t="n"/>
      <c r="AB540" s="40" t="n"/>
      <c r="AC540" s="40" t="n"/>
      <c r="AD540" s="40" t="n"/>
      <c r="AE540" s="40" t="n"/>
      <c r="AF540" s="40" t="n"/>
      <c r="AG540" s="61" t="n"/>
    </row>
    <row r="541" ht="15.75" customHeight="1" s="191">
      <c r="O541" s="60" t="n"/>
      <c r="AA541" s="61" t="n"/>
      <c r="AB541" s="40" t="n"/>
      <c r="AC541" s="40" t="n"/>
      <c r="AD541" s="40" t="n"/>
      <c r="AE541" s="40" t="n"/>
      <c r="AF541" s="40" t="n"/>
      <c r="AG541" s="61" t="n"/>
    </row>
    <row r="542" ht="15.75" customHeight="1" s="191">
      <c r="O542" s="60" t="n"/>
      <c r="AA542" s="61" t="n"/>
      <c r="AB542" s="40" t="n"/>
      <c r="AC542" s="40" t="n"/>
      <c r="AD542" s="40" t="n"/>
      <c r="AE542" s="40" t="n"/>
      <c r="AF542" s="40" t="n"/>
      <c r="AG542" s="61" t="n"/>
    </row>
    <row r="543" ht="15.75" customHeight="1" s="191">
      <c r="O543" s="60" t="n"/>
      <c r="AA543" s="61" t="n"/>
      <c r="AB543" s="40" t="n"/>
      <c r="AC543" s="40" t="n"/>
      <c r="AD543" s="40" t="n"/>
      <c r="AE543" s="40" t="n"/>
      <c r="AF543" s="40" t="n"/>
      <c r="AG543" s="61" t="n"/>
    </row>
    <row r="544" ht="15.75" customHeight="1" s="191">
      <c r="O544" s="60" t="n"/>
      <c r="AA544" s="61" t="n"/>
      <c r="AB544" s="40" t="n"/>
      <c r="AC544" s="40" t="n"/>
      <c r="AD544" s="40" t="n"/>
      <c r="AE544" s="40" t="n"/>
      <c r="AF544" s="40" t="n"/>
      <c r="AG544" s="61" t="n"/>
    </row>
    <row r="545" ht="15.75" customHeight="1" s="191">
      <c r="O545" s="60" t="n"/>
      <c r="AA545" s="61" t="n"/>
      <c r="AB545" s="40" t="n"/>
      <c r="AC545" s="40" t="n"/>
      <c r="AD545" s="40" t="n"/>
      <c r="AE545" s="40" t="n"/>
      <c r="AF545" s="40" t="n"/>
      <c r="AG545" s="61" t="n"/>
    </row>
    <row r="546" ht="15.75" customHeight="1" s="191">
      <c r="O546" s="60" t="n"/>
      <c r="AA546" s="61" t="n"/>
      <c r="AB546" s="40" t="n"/>
      <c r="AC546" s="40" t="n"/>
      <c r="AD546" s="40" t="n"/>
      <c r="AE546" s="40" t="n"/>
      <c r="AF546" s="40" t="n"/>
      <c r="AG546" s="61" t="n"/>
    </row>
    <row r="547" ht="15.75" customHeight="1" s="191">
      <c r="O547" s="60" t="n"/>
      <c r="AA547" s="61" t="n"/>
      <c r="AB547" s="40" t="n"/>
      <c r="AC547" s="40" t="n"/>
      <c r="AD547" s="40" t="n"/>
      <c r="AE547" s="40" t="n"/>
      <c r="AF547" s="40" t="n"/>
      <c r="AG547" s="61" t="n"/>
    </row>
    <row r="548" ht="15.75" customHeight="1" s="191">
      <c r="O548" s="60" t="n"/>
      <c r="AA548" s="61" t="n"/>
      <c r="AB548" s="40" t="n"/>
      <c r="AC548" s="40" t="n"/>
      <c r="AD548" s="40" t="n"/>
      <c r="AE548" s="40" t="n"/>
      <c r="AF548" s="40" t="n"/>
      <c r="AG548" s="61" t="n"/>
    </row>
    <row r="549" ht="15.75" customHeight="1" s="191">
      <c r="O549" s="60" t="n"/>
      <c r="AA549" s="61" t="n"/>
      <c r="AB549" s="40" t="n"/>
      <c r="AC549" s="40" t="n"/>
      <c r="AD549" s="40" t="n"/>
      <c r="AE549" s="40" t="n"/>
      <c r="AF549" s="40" t="n"/>
      <c r="AG549" s="61" t="n"/>
    </row>
    <row r="550" ht="15.75" customHeight="1" s="191">
      <c r="O550" s="60" t="n"/>
      <c r="AA550" s="61" t="n"/>
      <c r="AB550" s="40" t="n"/>
      <c r="AC550" s="40" t="n"/>
      <c r="AD550" s="40" t="n"/>
      <c r="AE550" s="40" t="n"/>
      <c r="AF550" s="40" t="n"/>
      <c r="AG550" s="61" t="n"/>
    </row>
    <row r="551" ht="15.75" customHeight="1" s="191">
      <c r="O551" s="60" t="n"/>
      <c r="AA551" s="61" t="n"/>
      <c r="AB551" s="40" t="n"/>
      <c r="AC551" s="40" t="n"/>
      <c r="AD551" s="40" t="n"/>
      <c r="AE551" s="40" t="n"/>
      <c r="AF551" s="40" t="n"/>
      <c r="AG551" s="61" t="n"/>
    </row>
    <row r="552" ht="15.75" customHeight="1" s="191">
      <c r="O552" s="60" t="n"/>
      <c r="AA552" s="61" t="n"/>
      <c r="AB552" s="40" t="n"/>
      <c r="AC552" s="40" t="n"/>
      <c r="AD552" s="40" t="n"/>
      <c r="AE552" s="40" t="n"/>
      <c r="AF552" s="40" t="n"/>
      <c r="AG552" s="61" t="n"/>
    </row>
    <row r="553" ht="15.75" customHeight="1" s="191">
      <c r="O553" s="60" t="n"/>
      <c r="AA553" s="61" t="n"/>
      <c r="AB553" s="40" t="n"/>
      <c r="AC553" s="40" t="n"/>
      <c r="AD553" s="40" t="n"/>
      <c r="AE553" s="40" t="n"/>
      <c r="AF553" s="40" t="n"/>
      <c r="AG553" s="61" t="n"/>
    </row>
    <row r="554" ht="15.75" customHeight="1" s="191">
      <c r="O554" s="60" t="n"/>
      <c r="AA554" s="61" t="n"/>
      <c r="AB554" s="40" t="n"/>
      <c r="AC554" s="40" t="n"/>
      <c r="AD554" s="40" t="n"/>
      <c r="AE554" s="40" t="n"/>
      <c r="AF554" s="40" t="n"/>
      <c r="AG554" s="61" t="n"/>
    </row>
    <row r="555" ht="15.75" customHeight="1" s="191">
      <c r="O555" s="60" t="n"/>
      <c r="AA555" s="61" t="n"/>
      <c r="AB555" s="40" t="n"/>
      <c r="AC555" s="40" t="n"/>
      <c r="AD555" s="40" t="n"/>
      <c r="AE555" s="40" t="n"/>
      <c r="AF555" s="40" t="n"/>
      <c r="AG555" s="61" t="n"/>
    </row>
    <row r="556" ht="15.75" customHeight="1" s="191">
      <c r="O556" s="60" t="n"/>
      <c r="AA556" s="61" t="n"/>
      <c r="AB556" s="40" t="n"/>
      <c r="AC556" s="40" t="n"/>
      <c r="AD556" s="40" t="n"/>
      <c r="AE556" s="40" t="n"/>
      <c r="AF556" s="40" t="n"/>
      <c r="AG556" s="61" t="n"/>
    </row>
    <row r="557" ht="15.75" customHeight="1" s="191">
      <c r="O557" s="60" t="n"/>
      <c r="AA557" s="61" t="n"/>
      <c r="AB557" s="40" t="n"/>
      <c r="AC557" s="40" t="n"/>
      <c r="AD557" s="40" t="n"/>
      <c r="AE557" s="40" t="n"/>
      <c r="AF557" s="40" t="n"/>
      <c r="AG557" s="61" t="n"/>
    </row>
    <row r="558" ht="15.75" customHeight="1" s="191">
      <c r="O558" s="60" t="n"/>
      <c r="AA558" s="61" t="n"/>
      <c r="AB558" s="40" t="n"/>
      <c r="AC558" s="40" t="n"/>
      <c r="AD558" s="40" t="n"/>
      <c r="AE558" s="40" t="n"/>
      <c r="AF558" s="40" t="n"/>
      <c r="AG558" s="61" t="n"/>
    </row>
    <row r="559" ht="15.75" customHeight="1" s="191">
      <c r="O559" s="60" t="n"/>
      <c r="AA559" s="61" t="n"/>
      <c r="AB559" s="40" t="n"/>
      <c r="AC559" s="40" t="n"/>
      <c r="AD559" s="40" t="n"/>
      <c r="AE559" s="40" t="n"/>
      <c r="AF559" s="40" t="n"/>
      <c r="AG559" s="61" t="n"/>
    </row>
    <row r="560" ht="15.75" customHeight="1" s="191">
      <c r="O560" s="60" t="n"/>
      <c r="AA560" s="61" t="n"/>
      <c r="AB560" s="40" t="n"/>
      <c r="AC560" s="40" t="n"/>
      <c r="AD560" s="40" t="n"/>
      <c r="AE560" s="40" t="n"/>
      <c r="AF560" s="40" t="n"/>
      <c r="AG560" s="61" t="n"/>
    </row>
    <row r="561" ht="15.75" customHeight="1" s="191">
      <c r="O561" s="60" t="n"/>
      <c r="AA561" s="61" t="n"/>
      <c r="AB561" s="40" t="n"/>
      <c r="AC561" s="40" t="n"/>
      <c r="AD561" s="40" t="n"/>
      <c r="AE561" s="40" t="n"/>
      <c r="AF561" s="40" t="n"/>
      <c r="AG561" s="61" t="n"/>
    </row>
    <row r="562" ht="15.75" customHeight="1" s="191">
      <c r="O562" s="60" t="n"/>
      <c r="AA562" s="61" t="n"/>
      <c r="AB562" s="40" t="n"/>
      <c r="AC562" s="40" t="n"/>
      <c r="AD562" s="40" t="n"/>
      <c r="AE562" s="40" t="n"/>
      <c r="AF562" s="40" t="n"/>
      <c r="AG562" s="61" t="n"/>
    </row>
    <row r="563" ht="15.75" customHeight="1" s="191">
      <c r="O563" s="60" t="n"/>
      <c r="AA563" s="61" t="n"/>
      <c r="AB563" s="40" t="n"/>
      <c r="AC563" s="40" t="n"/>
      <c r="AD563" s="40" t="n"/>
      <c r="AE563" s="40" t="n"/>
      <c r="AF563" s="40" t="n"/>
      <c r="AG563" s="61" t="n"/>
    </row>
    <row r="564" ht="15.75" customHeight="1" s="191">
      <c r="O564" s="60" t="n"/>
      <c r="AA564" s="61" t="n"/>
      <c r="AB564" s="40" t="n"/>
      <c r="AC564" s="40" t="n"/>
      <c r="AD564" s="40" t="n"/>
      <c r="AE564" s="40" t="n"/>
      <c r="AF564" s="40" t="n"/>
      <c r="AG564" s="61" t="n"/>
    </row>
    <row r="565" ht="15.75" customHeight="1" s="191">
      <c r="O565" s="60" t="n"/>
      <c r="AA565" s="61" t="n"/>
      <c r="AB565" s="40" t="n"/>
      <c r="AC565" s="40" t="n"/>
      <c r="AD565" s="40" t="n"/>
      <c r="AE565" s="40" t="n"/>
      <c r="AF565" s="40" t="n"/>
      <c r="AG565" s="61" t="n"/>
    </row>
    <row r="566" ht="15.75" customHeight="1" s="191">
      <c r="O566" s="60" t="n"/>
      <c r="AA566" s="61" t="n"/>
      <c r="AB566" s="40" t="n"/>
      <c r="AC566" s="40" t="n"/>
      <c r="AD566" s="40" t="n"/>
      <c r="AE566" s="40" t="n"/>
      <c r="AF566" s="40" t="n"/>
      <c r="AG566" s="61" t="n"/>
    </row>
    <row r="567" ht="15.75" customHeight="1" s="191">
      <c r="O567" s="60" t="n"/>
      <c r="AA567" s="61" t="n"/>
      <c r="AB567" s="40" t="n"/>
      <c r="AC567" s="40" t="n"/>
      <c r="AD567" s="40" t="n"/>
      <c r="AE567" s="40" t="n"/>
      <c r="AF567" s="40" t="n"/>
      <c r="AG567" s="61" t="n"/>
    </row>
    <row r="568" ht="15.75" customHeight="1" s="191">
      <c r="O568" s="60" t="n"/>
      <c r="AA568" s="61" t="n"/>
      <c r="AB568" s="40" t="n"/>
      <c r="AC568" s="40" t="n"/>
      <c r="AD568" s="40" t="n"/>
      <c r="AE568" s="40" t="n"/>
      <c r="AF568" s="40" t="n"/>
      <c r="AG568" s="61" t="n"/>
    </row>
    <row r="569" ht="15.75" customHeight="1" s="191">
      <c r="O569" s="60" t="n"/>
      <c r="AA569" s="61" t="n"/>
      <c r="AB569" s="40" t="n"/>
      <c r="AC569" s="40" t="n"/>
      <c r="AD569" s="40" t="n"/>
      <c r="AE569" s="40" t="n"/>
      <c r="AF569" s="40" t="n"/>
      <c r="AG569" s="61" t="n"/>
    </row>
    <row r="570" ht="15.75" customHeight="1" s="191">
      <c r="O570" s="60" t="n"/>
      <c r="AA570" s="61" t="n"/>
      <c r="AB570" s="40" t="n"/>
      <c r="AC570" s="40" t="n"/>
      <c r="AD570" s="40" t="n"/>
      <c r="AE570" s="40" t="n"/>
      <c r="AF570" s="40" t="n"/>
      <c r="AG570" s="61" t="n"/>
    </row>
    <row r="571" ht="15.75" customHeight="1" s="191">
      <c r="O571" s="60" t="n"/>
      <c r="AA571" s="61" t="n"/>
      <c r="AB571" s="40" t="n"/>
      <c r="AC571" s="40" t="n"/>
      <c r="AD571" s="40" t="n"/>
      <c r="AE571" s="40" t="n"/>
      <c r="AF571" s="40" t="n"/>
      <c r="AG571" s="61" t="n"/>
    </row>
    <row r="572" ht="15.75" customHeight="1" s="191">
      <c r="O572" s="60" t="n"/>
      <c r="AA572" s="61" t="n"/>
      <c r="AB572" s="40" t="n"/>
      <c r="AC572" s="40" t="n"/>
      <c r="AD572" s="40" t="n"/>
      <c r="AE572" s="40" t="n"/>
      <c r="AF572" s="40" t="n"/>
      <c r="AG572" s="61" t="n"/>
    </row>
    <row r="573" ht="15.75" customHeight="1" s="191">
      <c r="O573" s="60" t="n"/>
      <c r="AA573" s="61" t="n"/>
      <c r="AB573" s="40" t="n"/>
      <c r="AC573" s="40" t="n"/>
      <c r="AD573" s="40" t="n"/>
      <c r="AE573" s="40" t="n"/>
      <c r="AF573" s="40" t="n"/>
      <c r="AG573" s="61" t="n"/>
    </row>
    <row r="574" ht="15.75" customHeight="1" s="191">
      <c r="O574" s="60" t="n"/>
      <c r="AA574" s="61" t="n"/>
      <c r="AB574" s="40" t="n"/>
      <c r="AC574" s="40" t="n"/>
      <c r="AD574" s="40" t="n"/>
      <c r="AE574" s="40" t="n"/>
      <c r="AF574" s="40" t="n"/>
      <c r="AG574" s="61" t="n"/>
    </row>
    <row r="575" ht="15.75" customHeight="1" s="191">
      <c r="O575" s="60" t="n"/>
      <c r="AA575" s="61" t="n"/>
      <c r="AB575" s="40" t="n"/>
      <c r="AC575" s="40" t="n"/>
      <c r="AD575" s="40" t="n"/>
      <c r="AE575" s="40" t="n"/>
      <c r="AF575" s="40" t="n"/>
      <c r="AG575" s="61" t="n"/>
    </row>
    <row r="576" ht="15.75" customHeight="1" s="191">
      <c r="O576" s="60" t="n"/>
      <c r="AA576" s="61" t="n"/>
      <c r="AB576" s="40" t="n"/>
      <c r="AC576" s="40" t="n"/>
      <c r="AD576" s="40" t="n"/>
      <c r="AE576" s="40" t="n"/>
      <c r="AF576" s="40" t="n"/>
      <c r="AG576" s="61" t="n"/>
    </row>
    <row r="577" ht="15.75" customHeight="1" s="191">
      <c r="O577" s="60" t="n"/>
      <c r="AA577" s="61" t="n"/>
      <c r="AB577" s="40" t="n"/>
      <c r="AC577" s="40" t="n"/>
      <c r="AD577" s="40" t="n"/>
      <c r="AE577" s="40" t="n"/>
      <c r="AF577" s="40" t="n"/>
      <c r="AG577" s="61" t="n"/>
    </row>
    <row r="578" ht="15.75" customHeight="1" s="191">
      <c r="O578" s="60" t="n"/>
      <c r="AA578" s="61" t="n"/>
      <c r="AB578" s="40" t="n"/>
      <c r="AC578" s="40" t="n"/>
      <c r="AD578" s="40" t="n"/>
      <c r="AE578" s="40" t="n"/>
      <c r="AF578" s="40" t="n"/>
      <c r="AG578" s="61" t="n"/>
    </row>
    <row r="579" ht="15.75" customHeight="1" s="191">
      <c r="O579" s="60" t="n"/>
      <c r="AA579" s="61" t="n"/>
      <c r="AB579" s="40" t="n"/>
      <c r="AC579" s="40" t="n"/>
      <c r="AD579" s="40" t="n"/>
      <c r="AE579" s="40" t="n"/>
      <c r="AF579" s="40" t="n"/>
      <c r="AG579" s="61" t="n"/>
    </row>
    <row r="580" ht="15.75" customHeight="1" s="191">
      <c r="O580" s="60" t="n"/>
      <c r="AA580" s="61" t="n"/>
      <c r="AB580" s="40" t="n"/>
      <c r="AC580" s="40" t="n"/>
      <c r="AD580" s="40" t="n"/>
      <c r="AE580" s="40" t="n"/>
      <c r="AF580" s="40" t="n"/>
      <c r="AG580" s="61" t="n"/>
    </row>
    <row r="581" ht="15.75" customHeight="1" s="191">
      <c r="O581" s="60" t="n"/>
      <c r="AA581" s="61" t="n"/>
      <c r="AB581" s="40" t="n"/>
      <c r="AC581" s="40" t="n"/>
      <c r="AD581" s="40" t="n"/>
      <c r="AE581" s="40" t="n"/>
      <c r="AF581" s="40" t="n"/>
      <c r="AG581" s="61" t="n"/>
    </row>
    <row r="582" ht="15.75" customHeight="1" s="191">
      <c r="O582" s="60" t="n"/>
      <c r="AA582" s="61" t="n"/>
      <c r="AB582" s="40" t="n"/>
      <c r="AC582" s="40" t="n"/>
      <c r="AD582" s="40" t="n"/>
      <c r="AE582" s="40" t="n"/>
      <c r="AF582" s="40" t="n"/>
      <c r="AG582" s="61" t="n"/>
    </row>
    <row r="583" ht="15.75" customHeight="1" s="191">
      <c r="O583" s="60" t="n"/>
      <c r="AA583" s="61" t="n"/>
      <c r="AB583" s="40" t="n"/>
      <c r="AC583" s="40" t="n"/>
      <c r="AD583" s="40" t="n"/>
      <c r="AE583" s="40" t="n"/>
      <c r="AF583" s="40" t="n"/>
      <c r="AG583" s="61" t="n"/>
    </row>
    <row r="584" ht="15.75" customHeight="1" s="191">
      <c r="O584" s="60" t="n"/>
      <c r="AA584" s="61" t="n"/>
      <c r="AB584" s="40" t="n"/>
      <c r="AC584" s="40" t="n"/>
      <c r="AD584" s="40" t="n"/>
      <c r="AE584" s="40" t="n"/>
      <c r="AF584" s="40" t="n"/>
      <c r="AG584" s="61" t="n"/>
    </row>
    <row r="585" ht="15.75" customHeight="1" s="191">
      <c r="O585" s="60" t="n"/>
      <c r="AA585" s="61" t="n"/>
      <c r="AB585" s="40" t="n"/>
      <c r="AC585" s="40" t="n"/>
      <c r="AD585" s="40" t="n"/>
      <c r="AE585" s="40" t="n"/>
      <c r="AF585" s="40" t="n"/>
      <c r="AG585" s="61" t="n"/>
    </row>
    <row r="586" ht="15.75" customHeight="1" s="191">
      <c r="O586" s="60" t="n"/>
      <c r="AA586" s="61" t="n"/>
      <c r="AB586" s="40" t="n"/>
      <c r="AC586" s="40" t="n"/>
      <c r="AD586" s="40" t="n"/>
      <c r="AE586" s="40" t="n"/>
      <c r="AF586" s="40" t="n"/>
      <c r="AG586" s="61" t="n"/>
    </row>
    <row r="587" ht="15.75" customHeight="1" s="191">
      <c r="O587" s="60" t="n"/>
      <c r="AA587" s="61" t="n"/>
      <c r="AB587" s="40" t="n"/>
      <c r="AC587" s="40" t="n"/>
      <c r="AD587" s="40" t="n"/>
      <c r="AE587" s="40" t="n"/>
      <c r="AF587" s="40" t="n"/>
      <c r="AG587" s="61" t="n"/>
    </row>
    <row r="588" ht="15.75" customHeight="1" s="191">
      <c r="O588" s="60" t="n"/>
      <c r="AA588" s="61" t="n"/>
      <c r="AB588" s="40" t="n"/>
      <c r="AC588" s="40" t="n"/>
      <c r="AD588" s="40" t="n"/>
      <c r="AE588" s="40" t="n"/>
      <c r="AF588" s="40" t="n"/>
      <c r="AG588" s="61" t="n"/>
    </row>
    <row r="589" ht="15.75" customHeight="1" s="191">
      <c r="O589" s="60" t="n"/>
      <c r="AA589" s="61" t="n"/>
      <c r="AB589" s="40" t="n"/>
      <c r="AC589" s="40" t="n"/>
      <c r="AD589" s="40" t="n"/>
      <c r="AE589" s="40" t="n"/>
      <c r="AF589" s="40" t="n"/>
      <c r="AG589" s="61" t="n"/>
    </row>
    <row r="590" ht="15.75" customHeight="1" s="191">
      <c r="O590" s="60" t="n"/>
      <c r="AA590" s="61" t="n"/>
      <c r="AB590" s="40" t="n"/>
      <c r="AC590" s="40" t="n"/>
      <c r="AD590" s="40" t="n"/>
      <c r="AE590" s="40" t="n"/>
      <c r="AF590" s="40" t="n"/>
      <c r="AG590" s="61" t="n"/>
    </row>
    <row r="591" ht="15.75" customHeight="1" s="191">
      <c r="O591" s="60" t="n"/>
      <c r="AA591" s="61" t="n"/>
      <c r="AB591" s="40" t="n"/>
      <c r="AC591" s="40" t="n"/>
      <c r="AD591" s="40" t="n"/>
      <c r="AE591" s="40" t="n"/>
      <c r="AF591" s="40" t="n"/>
      <c r="AG591" s="61" t="n"/>
    </row>
    <row r="592" ht="15.75" customHeight="1" s="191">
      <c r="O592" s="60" t="n"/>
      <c r="AA592" s="61" t="n"/>
      <c r="AB592" s="40" t="n"/>
      <c r="AC592" s="40" t="n"/>
      <c r="AD592" s="40" t="n"/>
      <c r="AE592" s="40" t="n"/>
      <c r="AF592" s="40" t="n"/>
      <c r="AG592" s="61" t="n"/>
    </row>
    <row r="593" ht="15.75" customHeight="1" s="191">
      <c r="O593" s="60" t="n"/>
      <c r="AA593" s="61" t="n"/>
      <c r="AB593" s="40" t="n"/>
      <c r="AC593" s="40" t="n"/>
      <c r="AD593" s="40" t="n"/>
      <c r="AE593" s="40" t="n"/>
      <c r="AF593" s="40" t="n"/>
      <c r="AG593" s="61" t="n"/>
    </row>
    <row r="594" ht="15.75" customHeight="1" s="191">
      <c r="O594" s="60" t="n"/>
      <c r="AA594" s="61" t="n"/>
      <c r="AB594" s="40" t="n"/>
      <c r="AC594" s="40" t="n"/>
      <c r="AD594" s="40" t="n"/>
      <c r="AE594" s="40" t="n"/>
      <c r="AF594" s="40" t="n"/>
      <c r="AG594" s="61" t="n"/>
    </row>
    <row r="595" ht="15.75" customHeight="1" s="191">
      <c r="O595" s="60" t="n"/>
      <c r="AA595" s="61" t="n"/>
      <c r="AB595" s="40" t="n"/>
      <c r="AC595" s="40" t="n"/>
      <c r="AD595" s="40" t="n"/>
      <c r="AE595" s="40" t="n"/>
      <c r="AF595" s="40" t="n"/>
      <c r="AG595" s="61" t="n"/>
    </row>
    <row r="596" ht="15.75" customHeight="1" s="191">
      <c r="O596" s="60" t="n"/>
      <c r="AA596" s="61" t="n"/>
      <c r="AB596" s="40" t="n"/>
      <c r="AC596" s="40" t="n"/>
      <c r="AD596" s="40" t="n"/>
      <c r="AE596" s="40" t="n"/>
      <c r="AF596" s="40" t="n"/>
      <c r="AG596" s="61" t="n"/>
    </row>
    <row r="597" ht="15.75" customHeight="1" s="191">
      <c r="O597" s="60" t="n"/>
      <c r="AA597" s="61" t="n"/>
      <c r="AB597" s="40" t="n"/>
      <c r="AC597" s="40" t="n"/>
      <c r="AD597" s="40" t="n"/>
      <c r="AE597" s="40" t="n"/>
      <c r="AF597" s="40" t="n"/>
      <c r="AG597" s="61" t="n"/>
    </row>
    <row r="598" ht="15.75" customHeight="1" s="191">
      <c r="O598" s="60" t="n"/>
      <c r="AA598" s="61" t="n"/>
      <c r="AB598" s="40" t="n"/>
      <c r="AC598" s="40" t="n"/>
      <c r="AD598" s="40" t="n"/>
      <c r="AE598" s="40" t="n"/>
      <c r="AF598" s="40" t="n"/>
      <c r="AG598" s="61" t="n"/>
    </row>
    <row r="599" ht="15.75" customHeight="1" s="191">
      <c r="O599" s="60" t="n"/>
      <c r="AA599" s="61" t="n"/>
      <c r="AB599" s="40" t="n"/>
      <c r="AC599" s="40" t="n"/>
      <c r="AD599" s="40" t="n"/>
      <c r="AE599" s="40" t="n"/>
      <c r="AF599" s="40" t="n"/>
      <c r="AG599" s="61" t="n"/>
    </row>
    <row r="600" ht="15.75" customHeight="1" s="191">
      <c r="O600" s="60" t="n"/>
      <c r="AA600" s="61" t="n"/>
      <c r="AB600" s="40" t="n"/>
      <c r="AC600" s="40" t="n"/>
      <c r="AD600" s="40" t="n"/>
      <c r="AE600" s="40" t="n"/>
      <c r="AF600" s="40" t="n"/>
      <c r="AG600" s="61" t="n"/>
    </row>
    <row r="601" ht="15.75" customHeight="1" s="191">
      <c r="O601" s="60" t="n"/>
      <c r="AA601" s="61" t="n"/>
      <c r="AB601" s="40" t="n"/>
      <c r="AC601" s="40" t="n"/>
      <c r="AD601" s="40" t="n"/>
      <c r="AE601" s="40" t="n"/>
      <c r="AF601" s="40" t="n"/>
      <c r="AG601" s="61" t="n"/>
    </row>
    <row r="602" ht="15.75" customHeight="1" s="191">
      <c r="O602" s="60" t="n"/>
      <c r="AA602" s="61" t="n"/>
      <c r="AB602" s="40" t="n"/>
      <c r="AC602" s="40" t="n"/>
      <c r="AD602" s="40" t="n"/>
      <c r="AE602" s="40" t="n"/>
      <c r="AF602" s="40" t="n"/>
      <c r="AG602" s="61" t="n"/>
    </row>
    <row r="603" ht="15.75" customHeight="1" s="191">
      <c r="O603" s="60" t="n"/>
      <c r="AA603" s="61" t="n"/>
      <c r="AB603" s="40" t="n"/>
      <c r="AC603" s="40" t="n"/>
      <c r="AD603" s="40" t="n"/>
      <c r="AE603" s="40" t="n"/>
      <c r="AF603" s="40" t="n"/>
      <c r="AG603" s="61" t="n"/>
    </row>
    <row r="604" ht="15.75" customHeight="1" s="191">
      <c r="O604" s="60" t="n"/>
      <c r="AA604" s="61" t="n"/>
      <c r="AB604" s="40" t="n"/>
      <c r="AC604" s="40" t="n"/>
      <c r="AD604" s="40" t="n"/>
      <c r="AE604" s="40" t="n"/>
      <c r="AF604" s="40" t="n"/>
      <c r="AG604" s="61" t="n"/>
    </row>
    <row r="605" ht="15.75" customHeight="1" s="191">
      <c r="O605" s="60" t="n"/>
      <c r="AA605" s="61" t="n"/>
      <c r="AB605" s="40" t="n"/>
      <c r="AC605" s="40" t="n"/>
      <c r="AD605" s="40" t="n"/>
      <c r="AE605" s="40" t="n"/>
      <c r="AF605" s="40" t="n"/>
      <c r="AG605" s="61" t="n"/>
    </row>
    <row r="606" ht="15.75" customHeight="1" s="191">
      <c r="O606" s="60" t="n"/>
      <c r="AA606" s="61" t="n"/>
      <c r="AB606" s="40" t="n"/>
      <c r="AC606" s="40" t="n"/>
      <c r="AD606" s="40" t="n"/>
      <c r="AE606" s="40" t="n"/>
      <c r="AF606" s="40" t="n"/>
      <c r="AG606" s="61" t="n"/>
    </row>
    <row r="607" ht="15.75" customHeight="1" s="191">
      <c r="O607" s="60" t="n"/>
      <c r="AA607" s="61" t="n"/>
      <c r="AB607" s="40" t="n"/>
      <c r="AC607" s="40" t="n"/>
      <c r="AD607" s="40" t="n"/>
      <c r="AE607" s="40" t="n"/>
      <c r="AF607" s="40" t="n"/>
      <c r="AG607" s="61" t="n"/>
    </row>
    <row r="608" ht="15.75" customHeight="1" s="191">
      <c r="O608" s="60" t="n"/>
      <c r="AA608" s="61" t="n"/>
      <c r="AB608" s="40" t="n"/>
      <c r="AC608" s="40" t="n"/>
      <c r="AD608" s="40" t="n"/>
      <c r="AE608" s="40" t="n"/>
      <c r="AF608" s="40" t="n"/>
      <c r="AG608" s="61" t="n"/>
    </row>
    <row r="609" ht="15.75" customHeight="1" s="191">
      <c r="O609" s="60" t="n"/>
      <c r="AA609" s="61" t="n"/>
      <c r="AB609" s="40" t="n"/>
      <c r="AC609" s="40" t="n"/>
      <c r="AD609" s="40" t="n"/>
      <c r="AE609" s="40" t="n"/>
      <c r="AF609" s="40" t="n"/>
      <c r="AG609" s="61" t="n"/>
    </row>
    <row r="610" ht="15.75" customHeight="1" s="191">
      <c r="O610" s="60" t="n"/>
      <c r="AA610" s="61" t="n"/>
      <c r="AB610" s="40" t="n"/>
      <c r="AC610" s="40" t="n"/>
      <c r="AD610" s="40" t="n"/>
      <c r="AE610" s="40" t="n"/>
      <c r="AF610" s="40" t="n"/>
      <c r="AG610" s="61" t="n"/>
    </row>
    <row r="611" ht="15.75" customHeight="1" s="191">
      <c r="O611" s="60" t="n"/>
      <c r="AA611" s="61" t="n"/>
      <c r="AB611" s="40" t="n"/>
      <c r="AC611" s="40" t="n"/>
      <c r="AD611" s="40" t="n"/>
      <c r="AE611" s="40" t="n"/>
      <c r="AF611" s="40" t="n"/>
      <c r="AG611" s="61" t="n"/>
    </row>
    <row r="612" ht="15.75" customHeight="1" s="191">
      <c r="O612" s="60" t="n"/>
      <c r="AA612" s="61" t="n"/>
      <c r="AB612" s="40" t="n"/>
      <c r="AC612" s="40" t="n"/>
      <c r="AD612" s="40" t="n"/>
      <c r="AE612" s="40" t="n"/>
      <c r="AF612" s="40" t="n"/>
      <c r="AG612" s="61" t="n"/>
    </row>
    <row r="613" ht="15.75" customHeight="1" s="191">
      <c r="O613" s="60" t="n"/>
      <c r="AA613" s="61" t="n"/>
      <c r="AB613" s="40" t="n"/>
      <c r="AC613" s="40" t="n"/>
      <c r="AD613" s="40" t="n"/>
      <c r="AE613" s="40" t="n"/>
      <c r="AF613" s="40" t="n"/>
      <c r="AG613" s="61" t="n"/>
    </row>
    <row r="614" ht="15.75" customHeight="1" s="191">
      <c r="O614" s="60" t="n"/>
      <c r="AA614" s="61" t="n"/>
      <c r="AB614" s="40" t="n"/>
      <c r="AC614" s="40" t="n"/>
      <c r="AD614" s="40" t="n"/>
      <c r="AE614" s="40" t="n"/>
      <c r="AF614" s="40" t="n"/>
      <c r="AG614" s="61" t="n"/>
    </row>
    <row r="615" ht="15.75" customHeight="1" s="191">
      <c r="O615" s="60" t="n"/>
      <c r="AA615" s="61" t="n"/>
      <c r="AB615" s="40" t="n"/>
      <c r="AC615" s="40" t="n"/>
      <c r="AD615" s="40" t="n"/>
      <c r="AE615" s="40" t="n"/>
      <c r="AF615" s="40" t="n"/>
      <c r="AG615" s="61" t="n"/>
    </row>
    <row r="616" ht="15.75" customHeight="1" s="191">
      <c r="O616" s="60" t="n"/>
      <c r="AA616" s="61" t="n"/>
      <c r="AB616" s="40" t="n"/>
      <c r="AC616" s="40" t="n"/>
      <c r="AD616" s="40" t="n"/>
      <c r="AE616" s="40" t="n"/>
      <c r="AF616" s="40" t="n"/>
      <c r="AG616" s="61" t="n"/>
    </row>
    <row r="617" ht="15.75" customHeight="1" s="191">
      <c r="O617" s="60" t="n"/>
      <c r="AA617" s="61" t="n"/>
      <c r="AB617" s="40" t="n"/>
      <c r="AC617" s="40" t="n"/>
      <c r="AD617" s="40" t="n"/>
      <c r="AE617" s="40" t="n"/>
      <c r="AF617" s="40" t="n"/>
      <c r="AG617" s="61" t="n"/>
    </row>
    <row r="618" ht="15.75" customHeight="1" s="191">
      <c r="O618" s="60" t="n"/>
      <c r="AA618" s="61" t="n"/>
      <c r="AB618" s="40" t="n"/>
      <c r="AC618" s="40" t="n"/>
      <c r="AD618" s="40" t="n"/>
      <c r="AE618" s="40" t="n"/>
      <c r="AF618" s="40" t="n"/>
      <c r="AG618" s="61" t="n"/>
    </row>
    <row r="619" ht="15.75" customHeight="1" s="191">
      <c r="O619" s="60" t="n"/>
      <c r="AA619" s="61" t="n"/>
      <c r="AB619" s="40" t="n"/>
      <c r="AC619" s="40" t="n"/>
      <c r="AD619" s="40" t="n"/>
      <c r="AE619" s="40" t="n"/>
      <c r="AF619" s="40" t="n"/>
      <c r="AG619" s="61" t="n"/>
    </row>
    <row r="620" ht="15.75" customHeight="1" s="191">
      <c r="O620" s="60" t="n"/>
      <c r="AA620" s="61" t="n"/>
      <c r="AB620" s="40" t="n"/>
      <c r="AC620" s="40" t="n"/>
      <c r="AD620" s="40" t="n"/>
      <c r="AE620" s="40" t="n"/>
      <c r="AF620" s="40" t="n"/>
      <c r="AG620" s="61" t="n"/>
    </row>
    <row r="621" ht="15.75" customHeight="1" s="191">
      <c r="O621" s="60" t="n"/>
      <c r="AA621" s="61" t="n"/>
      <c r="AB621" s="40" t="n"/>
      <c r="AC621" s="40" t="n"/>
      <c r="AD621" s="40" t="n"/>
      <c r="AE621" s="40" t="n"/>
      <c r="AF621" s="40" t="n"/>
      <c r="AG621" s="61" t="n"/>
    </row>
    <row r="622" ht="15.75" customHeight="1" s="191">
      <c r="O622" s="60" t="n"/>
      <c r="AA622" s="61" t="n"/>
      <c r="AB622" s="40" t="n"/>
      <c r="AC622" s="40" t="n"/>
      <c r="AD622" s="40" t="n"/>
      <c r="AE622" s="40" t="n"/>
      <c r="AF622" s="40" t="n"/>
      <c r="AG622" s="61" t="n"/>
    </row>
    <row r="623" ht="15.75" customHeight="1" s="191">
      <c r="O623" s="60" t="n"/>
      <c r="AA623" s="61" t="n"/>
      <c r="AB623" s="40" t="n"/>
      <c r="AC623" s="40" t="n"/>
      <c r="AD623" s="40" t="n"/>
      <c r="AE623" s="40" t="n"/>
      <c r="AF623" s="40" t="n"/>
      <c r="AG623" s="61" t="n"/>
    </row>
    <row r="624" ht="15.75" customHeight="1" s="191">
      <c r="O624" s="60" t="n"/>
      <c r="AA624" s="61" t="n"/>
      <c r="AB624" s="40" t="n"/>
      <c r="AC624" s="40" t="n"/>
      <c r="AD624" s="40" t="n"/>
      <c r="AE624" s="40" t="n"/>
      <c r="AF624" s="40" t="n"/>
      <c r="AG624" s="61" t="n"/>
    </row>
    <row r="625" ht="15.75" customHeight="1" s="191">
      <c r="O625" s="60" t="n"/>
      <c r="AA625" s="61" t="n"/>
      <c r="AB625" s="40" t="n"/>
      <c r="AC625" s="40" t="n"/>
      <c r="AD625" s="40" t="n"/>
      <c r="AE625" s="40" t="n"/>
      <c r="AF625" s="40" t="n"/>
      <c r="AG625" s="61" t="n"/>
    </row>
    <row r="626" ht="15.75" customHeight="1" s="191">
      <c r="O626" s="60" t="n"/>
      <c r="AA626" s="61" t="n"/>
      <c r="AB626" s="40" t="n"/>
      <c r="AC626" s="40" t="n"/>
      <c r="AD626" s="40" t="n"/>
      <c r="AE626" s="40" t="n"/>
      <c r="AF626" s="40" t="n"/>
      <c r="AG626" s="61" t="n"/>
    </row>
    <row r="627" ht="15.75" customHeight="1" s="191">
      <c r="O627" s="60" t="n"/>
      <c r="AA627" s="61" t="n"/>
      <c r="AB627" s="40" t="n"/>
      <c r="AC627" s="40" t="n"/>
      <c r="AD627" s="40" t="n"/>
      <c r="AE627" s="40" t="n"/>
      <c r="AF627" s="40" t="n"/>
      <c r="AG627" s="61" t="n"/>
    </row>
    <row r="628" ht="15.75" customHeight="1" s="191">
      <c r="O628" s="60" t="n"/>
      <c r="AA628" s="61" t="n"/>
      <c r="AB628" s="40" t="n"/>
      <c r="AC628" s="40" t="n"/>
      <c r="AD628" s="40" t="n"/>
      <c r="AE628" s="40" t="n"/>
      <c r="AF628" s="40" t="n"/>
      <c r="AG628" s="61" t="n"/>
    </row>
    <row r="629" ht="15.75" customHeight="1" s="191">
      <c r="O629" s="60" t="n"/>
      <c r="AA629" s="61" t="n"/>
      <c r="AB629" s="40" t="n"/>
      <c r="AC629" s="40" t="n"/>
      <c r="AD629" s="40" t="n"/>
      <c r="AE629" s="40" t="n"/>
      <c r="AF629" s="40" t="n"/>
      <c r="AG629" s="61" t="n"/>
    </row>
    <row r="630" ht="15.75" customHeight="1" s="191">
      <c r="O630" s="60" t="n"/>
      <c r="AA630" s="61" t="n"/>
      <c r="AB630" s="40" t="n"/>
      <c r="AC630" s="40" t="n"/>
      <c r="AD630" s="40" t="n"/>
      <c r="AE630" s="40" t="n"/>
      <c r="AF630" s="40" t="n"/>
      <c r="AG630" s="61" t="n"/>
    </row>
    <row r="631" ht="15.75" customHeight="1" s="191">
      <c r="O631" s="60" t="n"/>
      <c r="AA631" s="61" t="n"/>
      <c r="AB631" s="40" t="n"/>
      <c r="AC631" s="40" t="n"/>
      <c r="AD631" s="40" t="n"/>
      <c r="AE631" s="40" t="n"/>
      <c r="AF631" s="40" t="n"/>
      <c r="AG631" s="61" t="n"/>
    </row>
    <row r="632" ht="15.75" customHeight="1" s="191">
      <c r="O632" s="60" t="n"/>
      <c r="AA632" s="61" t="n"/>
      <c r="AB632" s="40" t="n"/>
      <c r="AC632" s="40" t="n"/>
      <c r="AD632" s="40" t="n"/>
      <c r="AE632" s="40" t="n"/>
      <c r="AF632" s="40" t="n"/>
      <c r="AG632" s="61" t="n"/>
    </row>
    <row r="633" ht="15.75" customHeight="1" s="191">
      <c r="O633" s="60" t="n"/>
      <c r="AA633" s="61" t="n"/>
      <c r="AB633" s="40" t="n"/>
      <c r="AC633" s="40" t="n"/>
      <c r="AD633" s="40" t="n"/>
      <c r="AE633" s="40" t="n"/>
      <c r="AF633" s="40" t="n"/>
      <c r="AG633" s="61" t="n"/>
    </row>
    <row r="634" ht="15.75" customHeight="1" s="191">
      <c r="O634" s="60" t="n"/>
      <c r="AA634" s="61" t="n"/>
      <c r="AB634" s="40" t="n"/>
      <c r="AC634" s="40" t="n"/>
      <c r="AD634" s="40" t="n"/>
      <c r="AE634" s="40" t="n"/>
      <c r="AF634" s="40" t="n"/>
      <c r="AG634" s="61" t="n"/>
    </row>
    <row r="635" ht="15.75" customHeight="1" s="191">
      <c r="O635" s="60" t="n"/>
      <c r="AA635" s="61" t="n"/>
      <c r="AB635" s="40" t="n"/>
      <c r="AC635" s="40" t="n"/>
      <c r="AD635" s="40" t="n"/>
      <c r="AE635" s="40" t="n"/>
      <c r="AF635" s="40" t="n"/>
      <c r="AG635" s="61" t="n"/>
    </row>
    <row r="636" ht="15.75" customHeight="1" s="191">
      <c r="O636" s="60" t="n"/>
      <c r="AA636" s="61" t="n"/>
      <c r="AB636" s="40" t="n"/>
      <c r="AC636" s="40" t="n"/>
      <c r="AD636" s="40" t="n"/>
      <c r="AE636" s="40" t="n"/>
      <c r="AF636" s="40" t="n"/>
      <c r="AG636" s="61" t="n"/>
    </row>
    <row r="637" ht="15.75" customHeight="1" s="191">
      <c r="O637" s="60" t="n"/>
      <c r="AA637" s="61" t="n"/>
      <c r="AB637" s="40" t="n"/>
      <c r="AC637" s="40" t="n"/>
      <c r="AD637" s="40" t="n"/>
      <c r="AE637" s="40" t="n"/>
      <c r="AF637" s="40" t="n"/>
      <c r="AG637" s="61" t="n"/>
    </row>
    <row r="638" ht="15.75" customHeight="1" s="191">
      <c r="O638" s="60" t="n"/>
      <c r="AA638" s="61" t="n"/>
      <c r="AB638" s="40" t="n"/>
      <c r="AC638" s="40" t="n"/>
      <c r="AD638" s="40" t="n"/>
      <c r="AE638" s="40" t="n"/>
      <c r="AF638" s="40" t="n"/>
      <c r="AG638" s="61" t="n"/>
    </row>
    <row r="639" ht="15.75" customHeight="1" s="191">
      <c r="O639" s="60" t="n"/>
      <c r="AA639" s="61" t="n"/>
      <c r="AB639" s="40" t="n"/>
      <c r="AC639" s="40" t="n"/>
      <c r="AD639" s="40" t="n"/>
      <c r="AE639" s="40" t="n"/>
      <c r="AF639" s="40" t="n"/>
      <c r="AG639" s="61" t="n"/>
    </row>
    <row r="640" ht="15.75" customHeight="1" s="191">
      <c r="O640" s="60" t="n"/>
      <c r="AA640" s="61" t="n"/>
      <c r="AB640" s="40" t="n"/>
      <c r="AC640" s="40" t="n"/>
      <c r="AD640" s="40" t="n"/>
      <c r="AE640" s="40" t="n"/>
      <c r="AF640" s="40" t="n"/>
      <c r="AG640" s="61" t="n"/>
    </row>
    <row r="641" ht="15.75" customHeight="1" s="191">
      <c r="O641" s="60" t="n"/>
      <c r="AA641" s="61" t="n"/>
      <c r="AB641" s="40" t="n"/>
      <c r="AC641" s="40" t="n"/>
      <c r="AD641" s="40" t="n"/>
      <c r="AE641" s="40" t="n"/>
      <c r="AF641" s="40" t="n"/>
      <c r="AG641" s="61" t="n"/>
    </row>
    <row r="642" ht="15.75" customHeight="1" s="191">
      <c r="O642" s="60" t="n"/>
      <c r="AA642" s="61" t="n"/>
      <c r="AB642" s="40" t="n"/>
      <c r="AC642" s="40" t="n"/>
      <c r="AD642" s="40" t="n"/>
      <c r="AE642" s="40" t="n"/>
      <c r="AF642" s="40" t="n"/>
      <c r="AG642" s="61" t="n"/>
    </row>
    <row r="643" ht="15.75" customHeight="1" s="191">
      <c r="O643" s="60" t="n"/>
      <c r="AA643" s="61" t="n"/>
      <c r="AB643" s="40" t="n"/>
      <c r="AC643" s="40" t="n"/>
      <c r="AD643" s="40" t="n"/>
      <c r="AE643" s="40" t="n"/>
      <c r="AF643" s="40" t="n"/>
      <c r="AG643" s="61" t="n"/>
    </row>
    <row r="644" ht="15.75" customHeight="1" s="191">
      <c r="O644" s="60" t="n"/>
      <c r="AA644" s="61" t="n"/>
      <c r="AB644" s="40" t="n"/>
      <c r="AC644" s="40" t="n"/>
      <c r="AD644" s="40" t="n"/>
      <c r="AE644" s="40" t="n"/>
      <c r="AF644" s="40" t="n"/>
      <c r="AG644" s="61" t="n"/>
    </row>
    <row r="645" ht="15.75" customHeight="1" s="191">
      <c r="O645" s="60" t="n"/>
      <c r="AA645" s="61" t="n"/>
      <c r="AB645" s="40" t="n"/>
      <c r="AC645" s="40" t="n"/>
      <c r="AD645" s="40" t="n"/>
      <c r="AE645" s="40" t="n"/>
      <c r="AF645" s="40" t="n"/>
      <c r="AG645" s="61" t="n"/>
    </row>
    <row r="646" ht="15.75" customHeight="1" s="191">
      <c r="O646" s="60" t="n"/>
      <c r="AA646" s="61" t="n"/>
      <c r="AB646" s="40" t="n"/>
      <c r="AC646" s="40" t="n"/>
      <c r="AD646" s="40" t="n"/>
      <c r="AE646" s="40" t="n"/>
      <c r="AF646" s="40" t="n"/>
      <c r="AG646" s="61" t="n"/>
    </row>
    <row r="647" ht="15.75" customHeight="1" s="191">
      <c r="O647" s="60" t="n"/>
      <c r="AA647" s="61" t="n"/>
      <c r="AB647" s="40" t="n"/>
      <c r="AC647" s="40" t="n"/>
      <c r="AD647" s="40" t="n"/>
      <c r="AE647" s="40" t="n"/>
      <c r="AF647" s="40" t="n"/>
      <c r="AG647" s="61" t="n"/>
    </row>
    <row r="648" ht="15.75" customHeight="1" s="191">
      <c r="O648" s="60" t="n"/>
      <c r="AA648" s="61" t="n"/>
      <c r="AB648" s="40" t="n"/>
      <c r="AC648" s="40" t="n"/>
      <c r="AD648" s="40" t="n"/>
      <c r="AE648" s="40" t="n"/>
      <c r="AF648" s="40" t="n"/>
      <c r="AG648" s="61" t="n"/>
    </row>
    <row r="649" ht="15.75" customHeight="1" s="191">
      <c r="O649" s="60" t="n"/>
      <c r="AA649" s="61" t="n"/>
      <c r="AB649" s="40" t="n"/>
      <c r="AC649" s="40" t="n"/>
      <c r="AD649" s="40" t="n"/>
      <c r="AE649" s="40" t="n"/>
      <c r="AF649" s="40" t="n"/>
      <c r="AG649" s="61" t="n"/>
    </row>
    <row r="650" ht="15.75" customHeight="1" s="191">
      <c r="O650" s="60" t="n"/>
      <c r="AA650" s="61" t="n"/>
      <c r="AB650" s="40" t="n"/>
      <c r="AC650" s="40" t="n"/>
      <c r="AD650" s="40" t="n"/>
      <c r="AE650" s="40" t="n"/>
      <c r="AF650" s="40" t="n"/>
      <c r="AG650" s="61" t="n"/>
    </row>
    <row r="651" ht="15.75" customHeight="1" s="191">
      <c r="O651" s="60" t="n"/>
      <c r="AA651" s="61" t="n"/>
      <c r="AB651" s="40" t="n"/>
      <c r="AC651" s="40" t="n"/>
      <c r="AD651" s="40" t="n"/>
      <c r="AE651" s="40" t="n"/>
      <c r="AF651" s="40" t="n"/>
      <c r="AG651" s="61" t="n"/>
    </row>
    <row r="652" ht="15.75" customHeight="1" s="191">
      <c r="O652" s="60" t="n"/>
      <c r="AA652" s="61" t="n"/>
      <c r="AB652" s="40" t="n"/>
      <c r="AC652" s="40" t="n"/>
      <c r="AD652" s="40" t="n"/>
      <c r="AE652" s="40" t="n"/>
      <c r="AF652" s="40" t="n"/>
      <c r="AG652" s="61" t="n"/>
    </row>
    <row r="653" ht="15.75" customHeight="1" s="191">
      <c r="O653" s="60" t="n"/>
      <c r="AA653" s="61" t="n"/>
      <c r="AB653" s="40" t="n"/>
      <c r="AC653" s="40" t="n"/>
      <c r="AD653" s="40" t="n"/>
      <c r="AE653" s="40" t="n"/>
      <c r="AF653" s="40" t="n"/>
      <c r="AG653" s="61" t="n"/>
    </row>
    <row r="654" ht="15.75" customHeight="1" s="191">
      <c r="O654" s="60" t="n"/>
      <c r="AA654" s="61" t="n"/>
      <c r="AB654" s="40" t="n"/>
      <c r="AC654" s="40" t="n"/>
      <c r="AD654" s="40" t="n"/>
      <c r="AE654" s="40" t="n"/>
      <c r="AF654" s="40" t="n"/>
      <c r="AG654" s="61" t="n"/>
    </row>
    <row r="655" ht="15.75" customHeight="1" s="191">
      <c r="O655" s="60" t="n"/>
      <c r="AA655" s="61" t="n"/>
      <c r="AB655" s="40" t="n"/>
      <c r="AC655" s="40" t="n"/>
      <c r="AD655" s="40" t="n"/>
      <c r="AE655" s="40" t="n"/>
      <c r="AF655" s="40" t="n"/>
      <c r="AG655" s="61" t="n"/>
    </row>
    <row r="656" ht="15.75" customHeight="1" s="191">
      <c r="O656" s="60" t="n"/>
      <c r="AA656" s="61" t="n"/>
      <c r="AB656" s="40" t="n"/>
      <c r="AC656" s="40" t="n"/>
      <c r="AD656" s="40" t="n"/>
      <c r="AE656" s="40" t="n"/>
      <c r="AF656" s="40" t="n"/>
      <c r="AG656" s="61" t="n"/>
    </row>
    <row r="657" ht="15.75" customHeight="1" s="191">
      <c r="O657" s="60" t="n"/>
      <c r="AA657" s="61" t="n"/>
      <c r="AB657" s="40" t="n"/>
      <c r="AC657" s="40" t="n"/>
      <c r="AD657" s="40" t="n"/>
      <c r="AE657" s="40" t="n"/>
      <c r="AF657" s="40" t="n"/>
      <c r="AG657" s="61" t="n"/>
    </row>
    <row r="658" ht="15.75" customHeight="1" s="191">
      <c r="O658" s="60" t="n"/>
      <c r="AA658" s="61" t="n"/>
      <c r="AB658" s="40" t="n"/>
      <c r="AC658" s="40" t="n"/>
      <c r="AD658" s="40" t="n"/>
      <c r="AE658" s="40" t="n"/>
      <c r="AF658" s="40" t="n"/>
      <c r="AG658" s="61" t="n"/>
    </row>
    <row r="659" ht="15.75" customHeight="1" s="191">
      <c r="O659" s="60" t="n"/>
      <c r="AA659" s="61" t="n"/>
      <c r="AB659" s="40" t="n"/>
      <c r="AC659" s="40" t="n"/>
      <c r="AD659" s="40" t="n"/>
      <c r="AE659" s="40" t="n"/>
      <c r="AF659" s="40" t="n"/>
      <c r="AG659" s="61" t="n"/>
    </row>
    <row r="660" ht="15.75" customHeight="1" s="191">
      <c r="O660" s="60" t="n"/>
      <c r="AA660" s="61" t="n"/>
      <c r="AB660" s="40" t="n"/>
      <c r="AC660" s="40" t="n"/>
      <c r="AD660" s="40" t="n"/>
      <c r="AE660" s="40" t="n"/>
      <c r="AF660" s="40" t="n"/>
      <c r="AG660" s="61" t="n"/>
    </row>
    <row r="661" ht="15.75" customHeight="1" s="191">
      <c r="O661" s="60" t="n"/>
      <c r="AA661" s="61" t="n"/>
      <c r="AB661" s="40" t="n"/>
      <c r="AC661" s="40" t="n"/>
      <c r="AD661" s="40" t="n"/>
      <c r="AE661" s="40" t="n"/>
      <c r="AF661" s="40" t="n"/>
      <c r="AG661" s="61" t="n"/>
    </row>
    <row r="662" ht="15.75" customHeight="1" s="191">
      <c r="O662" s="60" t="n"/>
      <c r="AA662" s="61" t="n"/>
      <c r="AB662" s="40" t="n"/>
      <c r="AC662" s="40" t="n"/>
      <c r="AD662" s="40" t="n"/>
      <c r="AE662" s="40" t="n"/>
      <c r="AF662" s="40" t="n"/>
      <c r="AG662" s="61" t="n"/>
    </row>
    <row r="663" ht="15.75" customHeight="1" s="191">
      <c r="O663" s="60" t="n"/>
      <c r="AA663" s="61" t="n"/>
      <c r="AB663" s="40" t="n"/>
      <c r="AC663" s="40" t="n"/>
      <c r="AD663" s="40" t="n"/>
      <c r="AE663" s="40" t="n"/>
      <c r="AF663" s="40" t="n"/>
      <c r="AG663" s="61" t="n"/>
    </row>
    <row r="664" ht="15.75" customHeight="1" s="191">
      <c r="O664" s="60" t="n"/>
      <c r="AA664" s="61" t="n"/>
      <c r="AB664" s="40" t="n"/>
      <c r="AC664" s="40" t="n"/>
      <c r="AD664" s="40" t="n"/>
      <c r="AE664" s="40" t="n"/>
      <c r="AF664" s="40" t="n"/>
      <c r="AG664" s="61" t="n"/>
    </row>
    <row r="665" ht="15.75" customHeight="1" s="191">
      <c r="O665" s="60" t="n"/>
      <c r="AA665" s="61" t="n"/>
      <c r="AB665" s="40" t="n"/>
      <c r="AC665" s="40" t="n"/>
      <c r="AD665" s="40" t="n"/>
      <c r="AE665" s="40" t="n"/>
      <c r="AF665" s="40" t="n"/>
      <c r="AG665" s="61" t="n"/>
    </row>
    <row r="666" ht="15.75" customHeight="1" s="191">
      <c r="O666" s="60" t="n"/>
      <c r="AA666" s="61" t="n"/>
      <c r="AB666" s="40" t="n"/>
      <c r="AC666" s="40" t="n"/>
      <c r="AD666" s="40" t="n"/>
      <c r="AE666" s="40" t="n"/>
      <c r="AF666" s="40" t="n"/>
      <c r="AG666" s="61" t="n"/>
    </row>
    <row r="667" ht="15.75" customHeight="1" s="191">
      <c r="O667" s="60" t="n"/>
      <c r="AA667" s="61" t="n"/>
      <c r="AB667" s="40" t="n"/>
      <c r="AC667" s="40" t="n"/>
      <c r="AD667" s="40" t="n"/>
      <c r="AE667" s="40" t="n"/>
      <c r="AF667" s="40" t="n"/>
      <c r="AG667" s="61" t="n"/>
    </row>
    <row r="668" ht="15.75" customHeight="1" s="191">
      <c r="O668" s="60" t="n"/>
      <c r="AA668" s="61" t="n"/>
      <c r="AB668" s="40" t="n"/>
      <c r="AC668" s="40" t="n"/>
      <c r="AD668" s="40" t="n"/>
      <c r="AE668" s="40" t="n"/>
      <c r="AF668" s="40" t="n"/>
      <c r="AG668" s="61" t="n"/>
    </row>
    <row r="669" ht="15.75" customHeight="1" s="191">
      <c r="O669" s="60" t="n"/>
      <c r="AA669" s="61" t="n"/>
      <c r="AB669" s="40" t="n"/>
      <c r="AC669" s="40" t="n"/>
      <c r="AD669" s="40" t="n"/>
      <c r="AE669" s="40" t="n"/>
      <c r="AF669" s="40" t="n"/>
      <c r="AG669" s="61" t="n"/>
    </row>
    <row r="670" ht="15.75" customHeight="1" s="191">
      <c r="O670" s="60" t="n"/>
      <c r="AA670" s="61" t="n"/>
      <c r="AB670" s="40" t="n"/>
      <c r="AC670" s="40" t="n"/>
      <c r="AD670" s="40" t="n"/>
      <c r="AE670" s="40" t="n"/>
      <c r="AF670" s="40" t="n"/>
      <c r="AG670" s="61" t="n"/>
    </row>
    <row r="671" ht="15.75" customHeight="1" s="191">
      <c r="O671" s="60" t="n"/>
      <c r="AA671" s="61" t="n"/>
      <c r="AB671" s="40" t="n"/>
      <c r="AC671" s="40" t="n"/>
      <c r="AD671" s="40" t="n"/>
      <c r="AE671" s="40" t="n"/>
      <c r="AF671" s="40" t="n"/>
      <c r="AG671" s="61" t="n"/>
    </row>
    <row r="672" ht="15.75" customHeight="1" s="191">
      <c r="O672" s="60" t="n"/>
      <c r="AA672" s="61" t="n"/>
      <c r="AB672" s="40" t="n"/>
      <c r="AC672" s="40" t="n"/>
      <c r="AD672" s="40" t="n"/>
      <c r="AE672" s="40" t="n"/>
      <c r="AF672" s="40" t="n"/>
      <c r="AG672" s="61" t="n"/>
    </row>
    <row r="673" ht="15.75" customHeight="1" s="191">
      <c r="O673" s="60" t="n"/>
      <c r="AA673" s="61" t="n"/>
      <c r="AB673" s="40" t="n"/>
      <c r="AC673" s="40" t="n"/>
      <c r="AD673" s="40" t="n"/>
      <c r="AE673" s="40" t="n"/>
      <c r="AF673" s="40" t="n"/>
      <c r="AG673" s="61" t="n"/>
    </row>
    <row r="674" ht="15.75" customHeight="1" s="191">
      <c r="O674" s="60" t="n"/>
      <c r="AA674" s="61" t="n"/>
      <c r="AB674" s="40" t="n"/>
      <c r="AC674" s="40" t="n"/>
      <c r="AD674" s="40" t="n"/>
      <c r="AE674" s="40" t="n"/>
      <c r="AF674" s="40" t="n"/>
      <c r="AG674" s="61" t="n"/>
    </row>
    <row r="675" ht="15.75" customHeight="1" s="191">
      <c r="O675" s="60" t="n"/>
      <c r="AA675" s="61" t="n"/>
      <c r="AB675" s="40" t="n"/>
      <c r="AC675" s="40" t="n"/>
      <c r="AD675" s="40" t="n"/>
      <c r="AE675" s="40" t="n"/>
      <c r="AF675" s="40" t="n"/>
      <c r="AG675" s="61" t="n"/>
    </row>
    <row r="676" ht="15.75" customHeight="1" s="191">
      <c r="O676" s="60" t="n"/>
      <c r="AA676" s="61" t="n"/>
      <c r="AB676" s="40" t="n"/>
      <c r="AC676" s="40" t="n"/>
      <c r="AD676" s="40" t="n"/>
      <c r="AE676" s="40" t="n"/>
      <c r="AF676" s="40" t="n"/>
      <c r="AG676" s="61" t="n"/>
    </row>
    <row r="677" ht="15.75" customHeight="1" s="191">
      <c r="O677" s="60" t="n"/>
      <c r="AA677" s="61" t="n"/>
      <c r="AB677" s="40" t="n"/>
      <c r="AC677" s="40" t="n"/>
      <c r="AD677" s="40" t="n"/>
      <c r="AE677" s="40" t="n"/>
      <c r="AF677" s="40" t="n"/>
      <c r="AG677" s="61" t="n"/>
    </row>
    <row r="678" ht="15.75" customHeight="1" s="191">
      <c r="O678" s="60" t="n"/>
      <c r="AA678" s="61" t="n"/>
      <c r="AB678" s="40" t="n"/>
      <c r="AC678" s="40" t="n"/>
      <c r="AD678" s="40" t="n"/>
      <c r="AE678" s="40" t="n"/>
      <c r="AF678" s="40" t="n"/>
      <c r="AG678" s="61" t="n"/>
    </row>
    <row r="679" ht="15.75" customHeight="1" s="191">
      <c r="O679" s="60" t="n"/>
      <c r="AA679" s="61" t="n"/>
      <c r="AB679" s="40" t="n"/>
      <c r="AC679" s="40" t="n"/>
      <c r="AD679" s="40" t="n"/>
      <c r="AE679" s="40" t="n"/>
      <c r="AF679" s="40" t="n"/>
      <c r="AG679" s="61" t="n"/>
    </row>
    <row r="680" ht="15.75" customHeight="1" s="191">
      <c r="O680" s="60" t="n"/>
      <c r="AA680" s="61" t="n"/>
      <c r="AB680" s="40" t="n"/>
      <c r="AC680" s="40" t="n"/>
      <c r="AD680" s="40" t="n"/>
      <c r="AE680" s="40" t="n"/>
      <c r="AF680" s="40" t="n"/>
      <c r="AG680" s="61" t="n"/>
    </row>
    <row r="681" ht="15.75" customHeight="1" s="191">
      <c r="O681" s="60" t="n"/>
      <c r="AA681" s="61" t="n"/>
      <c r="AB681" s="40" t="n"/>
      <c r="AC681" s="40" t="n"/>
      <c r="AD681" s="40" t="n"/>
      <c r="AE681" s="40" t="n"/>
      <c r="AF681" s="40" t="n"/>
      <c r="AG681" s="61" t="n"/>
    </row>
    <row r="682" ht="15.75" customHeight="1" s="191">
      <c r="O682" s="60" t="n"/>
      <c r="AA682" s="61" t="n"/>
      <c r="AB682" s="40" t="n"/>
      <c r="AC682" s="40" t="n"/>
      <c r="AD682" s="40" t="n"/>
      <c r="AE682" s="40" t="n"/>
      <c r="AF682" s="40" t="n"/>
      <c r="AG682" s="61" t="n"/>
    </row>
    <row r="683" ht="15.75" customHeight="1" s="191">
      <c r="O683" s="60" t="n"/>
      <c r="AA683" s="61" t="n"/>
      <c r="AB683" s="40" t="n"/>
      <c r="AC683" s="40" t="n"/>
      <c r="AD683" s="40" t="n"/>
      <c r="AE683" s="40" t="n"/>
      <c r="AF683" s="40" t="n"/>
      <c r="AG683" s="61" t="n"/>
    </row>
    <row r="684" ht="15.75" customHeight="1" s="191">
      <c r="O684" s="60" t="n"/>
      <c r="AA684" s="61" t="n"/>
      <c r="AB684" s="40" t="n"/>
      <c r="AC684" s="40" t="n"/>
      <c r="AD684" s="40" t="n"/>
      <c r="AE684" s="40" t="n"/>
      <c r="AF684" s="40" t="n"/>
      <c r="AG684" s="61" t="n"/>
    </row>
    <row r="685" ht="15.75" customHeight="1" s="191">
      <c r="O685" s="60" t="n"/>
      <c r="AA685" s="61" t="n"/>
      <c r="AB685" s="40" t="n"/>
      <c r="AC685" s="40" t="n"/>
      <c r="AD685" s="40" t="n"/>
      <c r="AE685" s="40" t="n"/>
      <c r="AF685" s="40" t="n"/>
      <c r="AG685" s="61" t="n"/>
    </row>
    <row r="686" ht="15.75" customHeight="1" s="191">
      <c r="O686" s="60" t="n"/>
      <c r="AA686" s="61" t="n"/>
      <c r="AB686" s="40" t="n"/>
      <c r="AC686" s="40" t="n"/>
      <c r="AD686" s="40" t="n"/>
      <c r="AE686" s="40" t="n"/>
      <c r="AF686" s="40" t="n"/>
      <c r="AG686" s="61" t="n"/>
    </row>
    <row r="687" ht="15.75" customHeight="1" s="191">
      <c r="O687" s="60" t="n"/>
      <c r="AA687" s="61" t="n"/>
      <c r="AB687" s="40" t="n"/>
      <c r="AC687" s="40" t="n"/>
      <c r="AD687" s="40" t="n"/>
      <c r="AE687" s="40" t="n"/>
      <c r="AF687" s="40" t="n"/>
      <c r="AG687" s="61" t="n"/>
    </row>
    <row r="688" ht="15.75" customHeight="1" s="191">
      <c r="O688" s="60" t="n"/>
      <c r="AA688" s="61" t="n"/>
      <c r="AB688" s="40" t="n"/>
      <c r="AC688" s="40" t="n"/>
      <c r="AD688" s="40" t="n"/>
      <c r="AE688" s="40" t="n"/>
      <c r="AF688" s="40" t="n"/>
      <c r="AG688" s="61" t="n"/>
    </row>
    <row r="689" ht="15.75" customHeight="1" s="191">
      <c r="O689" s="60" t="n"/>
      <c r="AA689" s="61" t="n"/>
      <c r="AB689" s="40" t="n"/>
      <c r="AC689" s="40" t="n"/>
      <c r="AD689" s="40" t="n"/>
      <c r="AE689" s="40" t="n"/>
      <c r="AF689" s="40" t="n"/>
      <c r="AG689" s="61" t="n"/>
    </row>
    <row r="690" ht="15.75" customHeight="1" s="191">
      <c r="O690" s="60" t="n"/>
      <c r="AA690" s="61" t="n"/>
      <c r="AB690" s="40" t="n"/>
      <c r="AC690" s="40" t="n"/>
      <c r="AD690" s="40" t="n"/>
      <c r="AE690" s="40" t="n"/>
      <c r="AF690" s="40" t="n"/>
      <c r="AG690" s="61" t="n"/>
    </row>
    <row r="691" ht="15.75" customHeight="1" s="191">
      <c r="O691" s="60" t="n"/>
      <c r="AA691" s="61" t="n"/>
      <c r="AB691" s="40" t="n"/>
      <c r="AC691" s="40" t="n"/>
      <c r="AD691" s="40" t="n"/>
      <c r="AE691" s="40" t="n"/>
      <c r="AF691" s="40" t="n"/>
      <c r="AG691" s="61" t="n"/>
    </row>
    <row r="692" ht="15.75" customHeight="1" s="191">
      <c r="O692" s="60" t="n"/>
      <c r="AA692" s="61" t="n"/>
      <c r="AB692" s="40" t="n"/>
      <c r="AC692" s="40" t="n"/>
      <c r="AD692" s="40" t="n"/>
      <c r="AE692" s="40" t="n"/>
      <c r="AF692" s="40" t="n"/>
      <c r="AG692" s="61" t="n"/>
    </row>
    <row r="693" ht="15.75" customHeight="1" s="191">
      <c r="O693" s="60" t="n"/>
      <c r="AA693" s="61" t="n"/>
      <c r="AB693" s="40" t="n"/>
      <c r="AC693" s="40" t="n"/>
      <c r="AD693" s="40" t="n"/>
      <c r="AE693" s="40" t="n"/>
      <c r="AF693" s="40" t="n"/>
      <c r="AG693" s="61" t="n"/>
    </row>
    <row r="694" ht="15.75" customHeight="1" s="191">
      <c r="O694" s="60" t="n"/>
      <c r="AA694" s="61" t="n"/>
      <c r="AB694" s="40" t="n"/>
      <c r="AC694" s="40" t="n"/>
      <c r="AD694" s="40" t="n"/>
      <c r="AE694" s="40" t="n"/>
      <c r="AF694" s="40" t="n"/>
      <c r="AG694" s="61" t="n"/>
    </row>
    <row r="695" ht="15.75" customHeight="1" s="191">
      <c r="O695" s="60" t="n"/>
      <c r="AA695" s="61" t="n"/>
      <c r="AB695" s="40" t="n"/>
      <c r="AC695" s="40" t="n"/>
      <c r="AD695" s="40" t="n"/>
      <c r="AE695" s="40" t="n"/>
      <c r="AF695" s="40" t="n"/>
      <c r="AG695" s="61" t="n"/>
    </row>
    <row r="696" ht="15.75" customHeight="1" s="191">
      <c r="O696" s="60" t="n"/>
      <c r="AA696" s="61" t="n"/>
      <c r="AB696" s="40" t="n"/>
      <c r="AC696" s="40" t="n"/>
      <c r="AD696" s="40" t="n"/>
      <c r="AE696" s="40" t="n"/>
      <c r="AF696" s="40" t="n"/>
      <c r="AG696" s="61" t="n"/>
    </row>
    <row r="697" ht="15.75" customHeight="1" s="191">
      <c r="O697" s="60" t="n"/>
      <c r="AA697" s="61" t="n"/>
      <c r="AB697" s="40" t="n"/>
      <c r="AC697" s="40" t="n"/>
      <c r="AD697" s="40" t="n"/>
      <c r="AE697" s="40" t="n"/>
      <c r="AF697" s="40" t="n"/>
      <c r="AG697" s="61" t="n"/>
    </row>
    <row r="698" ht="15.75" customHeight="1" s="191">
      <c r="O698" s="60" t="n"/>
      <c r="AA698" s="61" t="n"/>
      <c r="AB698" s="40" t="n"/>
      <c r="AC698" s="40" t="n"/>
      <c r="AD698" s="40" t="n"/>
      <c r="AE698" s="40" t="n"/>
      <c r="AF698" s="40" t="n"/>
      <c r="AG698" s="61" t="n"/>
    </row>
    <row r="699" ht="15.75" customHeight="1" s="191">
      <c r="O699" s="60" t="n"/>
      <c r="AA699" s="61" t="n"/>
      <c r="AB699" s="40" t="n"/>
      <c r="AC699" s="40" t="n"/>
      <c r="AD699" s="40" t="n"/>
      <c r="AE699" s="40" t="n"/>
      <c r="AF699" s="40" t="n"/>
      <c r="AG699" s="61" t="n"/>
    </row>
    <row r="700" ht="15.75" customHeight="1" s="191">
      <c r="O700" s="60" t="n"/>
      <c r="AA700" s="61" t="n"/>
      <c r="AB700" s="40" t="n"/>
      <c r="AC700" s="40" t="n"/>
      <c r="AD700" s="40" t="n"/>
      <c r="AE700" s="40" t="n"/>
      <c r="AF700" s="40" t="n"/>
      <c r="AG700" s="61" t="n"/>
    </row>
    <row r="701" ht="15.75" customHeight="1" s="191">
      <c r="O701" s="60" t="n"/>
      <c r="AA701" s="61" t="n"/>
      <c r="AB701" s="40" t="n"/>
      <c r="AC701" s="40" t="n"/>
      <c r="AD701" s="40" t="n"/>
      <c r="AE701" s="40" t="n"/>
      <c r="AF701" s="40" t="n"/>
      <c r="AG701" s="61" t="n"/>
    </row>
    <row r="702" ht="15.75" customHeight="1" s="191">
      <c r="O702" s="60" t="n"/>
      <c r="AA702" s="61" t="n"/>
      <c r="AB702" s="40" t="n"/>
      <c r="AC702" s="40" t="n"/>
      <c r="AD702" s="40" t="n"/>
      <c r="AE702" s="40" t="n"/>
      <c r="AF702" s="40" t="n"/>
      <c r="AG702" s="61" t="n"/>
    </row>
    <row r="703" ht="15.75" customHeight="1" s="191">
      <c r="O703" s="60" t="n"/>
      <c r="AA703" s="61" t="n"/>
      <c r="AB703" s="40" t="n"/>
      <c r="AC703" s="40" t="n"/>
      <c r="AD703" s="40" t="n"/>
      <c r="AE703" s="40" t="n"/>
      <c r="AF703" s="40" t="n"/>
      <c r="AG703" s="61" t="n"/>
    </row>
    <row r="704" ht="15.75" customHeight="1" s="191">
      <c r="O704" s="60" t="n"/>
      <c r="AA704" s="61" t="n"/>
      <c r="AB704" s="40" t="n"/>
      <c r="AC704" s="40" t="n"/>
      <c r="AD704" s="40" t="n"/>
      <c r="AE704" s="40" t="n"/>
      <c r="AF704" s="40" t="n"/>
      <c r="AG704" s="61" t="n"/>
    </row>
    <row r="705" ht="15.75" customHeight="1" s="191">
      <c r="O705" s="60" t="n"/>
      <c r="AA705" s="61" t="n"/>
      <c r="AB705" s="40" t="n"/>
      <c r="AC705" s="40" t="n"/>
      <c r="AD705" s="40" t="n"/>
      <c r="AE705" s="40" t="n"/>
      <c r="AF705" s="40" t="n"/>
      <c r="AG705" s="61" t="n"/>
    </row>
    <row r="706" ht="15.75" customHeight="1" s="191">
      <c r="O706" s="60" t="n"/>
      <c r="AA706" s="61" t="n"/>
      <c r="AB706" s="40" t="n"/>
      <c r="AC706" s="40" t="n"/>
      <c r="AD706" s="40" t="n"/>
      <c r="AE706" s="40" t="n"/>
      <c r="AF706" s="40" t="n"/>
      <c r="AG706" s="61" t="n"/>
    </row>
    <row r="707" ht="15.75" customHeight="1" s="191">
      <c r="O707" s="60" t="n"/>
      <c r="AA707" s="61" t="n"/>
      <c r="AB707" s="40" t="n"/>
      <c r="AC707" s="40" t="n"/>
      <c r="AD707" s="40" t="n"/>
      <c r="AE707" s="40" t="n"/>
      <c r="AF707" s="40" t="n"/>
      <c r="AG707" s="61" t="n"/>
    </row>
    <row r="708" ht="15.75" customHeight="1" s="191">
      <c r="O708" s="60" t="n"/>
      <c r="AA708" s="61" t="n"/>
      <c r="AB708" s="40" t="n"/>
      <c r="AC708" s="40" t="n"/>
      <c r="AD708" s="40" t="n"/>
      <c r="AE708" s="40" t="n"/>
      <c r="AF708" s="40" t="n"/>
      <c r="AG708" s="61" t="n"/>
    </row>
    <row r="709" ht="15.75" customHeight="1" s="191">
      <c r="O709" s="60" t="n"/>
      <c r="AA709" s="61" t="n"/>
      <c r="AB709" s="40" t="n"/>
      <c r="AC709" s="40" t="n"/>
      <c r="AD709" s="40" t="n"/>
      <c r="AE709" s="40" t="n"/>
      <c r="AF709" s="40" t="n"/>
      <c r="AG709" s="61" t="n"/>
    </row>
    <row r="710" ht="15.75" customHeight="1" s="191">
      <c r="O710" s="60" t="n"/>
      <c r="AA710" s="61" t="n"/>
      <c r="AB710" s="40" t="n"/>
      <c r="AC710" s="40" t="n"/>
      <c r="AD710" s="40" t="n"/>
      <c r="AE710" s="40" t="n"/>
      <c r="AF710" s="40" t="n"/>
      <c r="AG710" s="61" t="n"/>
    </row>
    <row r="711" ht="15.75" customHeight="1" s="191">
      <c r="O711" s="60" t="n"/>
      <c r="AA711" s="61" t="n"/>
      <c r="AB711" s="40" t="n"/>
      <c r="AC711" s="40" t="n"/>
      <c r="AD711" s="40" t="n"/>
      <c r="AE711" s="40" t="n"/>
      <c r="AF711" s="40" t="n"/>
      <c r="AG711" s="61" t="n"/>
    </row>
    <row r="712" ht="15.75" customHeight="1" s="191">
      <c r="O712" s="60" t="n"/>
      <c r="AA712" s="61" t="n"/>
      <c r="AB712" s="40" t="n"/>
      <c r="AC712" s="40" t="n"/>
      <c r="AD712" s="40" t="n"/>
      <c r="AE712" s="40" t="n"/>
      <c r="AF712" s="40" t="n"/>
      <c r="AG712" s="61" t="n"/>
    </row>
    <row r="713" ht="15.75" customHeight="1" s="191">
      <c r="O713" s="60" t="n"/>
      <c r="AA713" s="61" t="n"/>
      <c r="AB713" s="40" t="n"/>
      <c r="AC713" s="40" t="n"/>
      <c r="AD713" s="40" t="n"/>
      <c r="AE713" s="40" t="n"/>
      <c r="AF713" s="40" t="n"/>
      <c r="AG713" s="61" t="n"/>
    </row>
    <row r="714" ht="15.75" customHeight="1" s="191">
      <c r="O714" s="60" t="n"/>
      <c r="AA714" s="61" t="n"/>
      <c r="AB714" s="40" t="n"/>
      <c r="AC714" s="40" t="n"/>
      <c r="AD714" s="40" t="n"/>
      <c r="AE714" s="40" t="n"/>
      <c r="AF714" s="40" t="n"/>
      <c r="AG714" s="61" t="n"/>
    </row>
    <row r="715" ht="15.75" customHeight="1" s="191">
      <c r="O715" s="60" t="n"/>
      <c r="AA715" s="61" t="n"/>
      <c r="AB715" s="40" t="n"/>
      <c r="AC715" s="40" t="n"/>
      <c r="AD715" s="40" t="n"/>
      <c r="AE715" s="40" t="n"/>
      <c r="AF715" s="40" t="n"/>
      <c r="AG715" s="61" t="n"/>
    </row>
    <row r="716" ht="15.75" customHeight="1" s="191">
      <c r="O716" s="60" t="n"/>
      <c r="AA716" s="61" t="n"/>
      <c r="AB716" s="40" t="n"/>
      <c r="AC716" s="40" t="n"/>
      <c r="AD716" s="40" t="n"/>
      <c r="AE716" s="40" t="n"/>
      <c r="AF716" s="40" t="n"/>
      <c r="AG716" s="61" t="n"/>
    </row>
    <row r="717" ht="15.75" customHeight="1" s="191">
      <c r="O717" s="60" t="n"/>
      <c r="AA717" s="61" t="n"/>
      <c r="AB717" s="40" t="n"/>
      <c r="AC717" s="40" t="n"/>
      <c r="AD717" s="40" t="n"/>
      <c r="AE717" s="40" t="n"/>
      <c r="AF717" s="40" t="n"/>
      <c r="AG717" s="61" t="n"/>
    </row>
    <row r="718" ht="15.75" customHeight="1" s="191">
      <c r="O718" s="60" t="n"/>
      <c r="AA718" s="61" t="n"/>
      <c r="AB718" s="40" t="n"/>
      <c r="AC718" s="40" t="n"/>
      <c r="AD718" s="40" t="n"/>
      <c r="AE718" s="40" t="n"/>
      <c r="AF718" s="40" t="n"/>
      <c r="AG718" s="61" t="n"/>
    </row>
    <row r="719" ht="15.75" customHeight="1" s="191">
      <c r="O719" s="60" t="n"/>
      <c r="AA719" s="61" t="n"/>
      <c r="AB719" s="40" t="n"/>
      <c r="AC719" s="40" t="n"/>
      <c r="AD719" s="40" t="n"/>
      <c r="AE719" s="40" t="n"/>
      <c r="AF719" s="40" t="n"/>
      <c r="AG719" s="61" t="n"/>
    </row>
    <row r="720" ht="15.75" customHeight="1" s="191">
      <c r="O720" s="60" t="n"/>
      <c r="AA720" s="61" t="n"/>
      <c r="AB720" s="40" t="n"/>
      <c r="AC720" s="40" t="n"/>
      <c r="AD720" s="40" t="n"/>
      <c r="AE720" s="40" t="n"/>
      <c r="AF720" s="40" t="n"/>
      <c r="AG720" s="61" t="n"/>
    </row>
    <row r="721" ht="15.75" customHeight="1" s="191">
      <c r="O721" s="60" t="n"/>
      <c r="AA721" s="61" t="n"/>
      <c r="AB721" s="40" t="n"/>
      <c r="AC721" s="40" t="n"/>
      <c r="AD721" s="40" t="n"/>
      <c r="AE721" s="40" t="n"/>
      <c r="AF721" s="40" t="n"/>
      <c r="AG721" s="61" t="n"/>
    </row>
    <row r="722" ht="15.75" customHeight="1" s="191">
      <c r="O722" s="60" t="n"/>
      <c r="AA722" s="61" t="n"/>
      <c r="AB722" s="40" t="n"/>
      <c r="AC722" s="40" t="n"/>
      <c r="AD722" s="40" t="n"/>
      <c r="AE722" s="40" t="n"/>
      <c r="AF722" s="40" t="n"/>
      <c r="AG722" s="61" t="n"/>
    </row>
    <row r="723" ht="15.75" customHeight="1" s="191">
      <c r="O723" s="60" t="n"/>
      <c r="AA723" s="61" t="n"/>
      <c r="AB723" s="40" t="n"/>
      <c r="AC723" s="40" t="n"/>
      <c r="AD723" s="40" t="n"/>
      <c r="AE723" s="40" t="n"/>
      <c r="AF723" s="40" t="n"/>
      <c r="AG723" s="61" t="n"/>
    </row>
    <row r="724" ht="15.75" customHeight="1" s="191">
      <c r="O724" s="60" t="n"/>
      <c r="AA724" s="61" t="n"/>
      <c r="AB724" s="40" t="n"/>
      <c r="AC724" s="40" t="n"/>
      <c r="AD724" s="40" t="n"/>
      <c r="AE724" s="40" t="n"/>
      <c r="AF724" s="40" t="n"/>
      <c r="AG724" s="61" t="n"/>
    </row>
    <row r="725" ht="15.75" customHeight="1" s="191">
      <c r="O725" s="60" t="n"/>
      <c r="AA725" s="61" t="n"/>
      <c r="AB725" s="40" t="n"/>
      <c r="AC725" s="40" t="n"/>
      <c r="AD725" s="40" t="n"/>
      <c r="AE725" s="40" t="n"/>
      <c r="AF725" s="40" t="n"/>
      <c r="AG725" s="61" t="n"/>
    </row>
    <row r="726" ht="15.75" customHeight="1" s="191">
      <c r="O726" s="60" t="n"/>
      <c r="AA726" s="61" t="n"/>
      <c r="AB726" s="40" t="n"/>
      <c r="AC726" s="40" t="n"/>
      <c r="AD726" s="40" t="n"/>
      <c r="AE726" s="40" t="n"/>
      <c r="AF726" s="40" t="n"/>
      <c r="AG726" s="61" t="n"/>
    </row>
    <row r="727" ht="15.75" customHeight="1" s="191">
      <c r="O727" s="60" t="n"/>
      <c r="AA727" s="61" t="n"/>
      <c r="AB727" s="40" t="n"/>
      <c r="AC727" s="40" t="n"/>
      <c r="AD727" s="40" t="n"/>
      <c r="AE727" s="40" t="n"/>
      <c r="AF727" s="40" t="n"/>
      <c r="AG727" s="61" t="n"/>
    </row>
    <row r="728" ht="15.75" customHeight="1" s="191">
      <c r="O728" s="60" t="n"/>
      <c r="AA728" s="61" t="n"/>
      <c r="AB728" s="40" t="n"/>
      <c r="AC728" s="40" t="n"/>
      <c r="AD728" s="40" t="n"/>
      <c r="AE728" s="40" t="n"/>
      <c r="AF728" s="40" t="n"/>
      <c r="AG728" s="61" t="n"/>
    </row>
    <row r="729" ht="15.75" customHeight="1" s="191">
      <c r="O729" s="60" t="n"/>
      <c r="AA729" s="61" t="n"/>
      <c r="AB729" s="40" t="n"/>
      <c r="AC729" s="40" t="n"/>
      <c r="AD729" s="40" t="n"/>
      <c r="AE729" s="40" t="n"/>
      <c r="AF729" s="40" t="n"/>
      <c r="AG729" s="61" t="n"/>
    </row>
    <row r="730" ht="15.75" customHeight="1" s="191">
      <c r="O730" s="60" t="n"/>
      <c r="AA730" s="61" t="n"/>
      <c r="AB730" s="40" t="n"/>
      <c r="AC730" s="40" t="n"/>
      <c r="AD730" s="40" t="n"/>
      <c r="AE730" s="40" t="n"/>
      <c r="AF730" s="40" t="n"/>
      <c r="AG730" s="61" t="n"/>
    </row>
    <row r="731" ht="15.75" customHeight="1" s="191">
      <c r="O731" s="60" t="n"/>
      <c r="AA731" s="61" t="n"/>
      <c r="AB731" s="40" t="n"/>
      <c r="AC731" s="40" t="n"/>
      <c r="AD731" s="40" t="n"/>
      <c r="AE731" s="40" t="n"/>
      <c r="AF731" s="40" t="n"/>
      <c r="AG731" s="61" t="n"/>
    </row>
    <row r="732" ht="15.75" customHeight="1" s="191">
      <c r="O732" s="60" t="n"/>
      <c r="AA732" s="61" t="n"/>
      <c r="AB732" s="40" t="n"/>
      <c r="AC732" s="40" t="n"/>
      <c r="AD732" s="40" t="n"/>
      <c r="AE732" s="40" t="n"/>
      <c r="AF732" s="40" t="n"/>
      <c r="AG732" s="61" t="n"/>
    </row>
    <row r="733" ht="15.75" customHeight="1" s="191">
      <c r="O733" s="60" t="n"/>
      <c r="AA733" s="61" t="n"/>
      <c r="AB733" s="40" t="n"/>
      <c r="AC733" s="40" t="n"/>
      <c r="AD733" s="40" t="n"/>
      <c r="AE733" s="40" t="n"/>
      <c r="AF733" s="40" t="n"/>
      <c r="AG733" s="61" t="n"/>
    </row>
    <row r="734" ht="15.75" customHeight="1" s="191">
      <c r="O734" s="60" t="n"/>
      <c r="AA734" s="61" t="n"/>
      <c r="AB734" s="40" t="n"/>
      <c r="AC734" s="40" t="n"/>
      <c r="AD734" s="40" t="n"/>
      <c r="AE734" s="40" t="n"/>
      <c r="AF734" s="40" t="n"/>
      <c r="AG734" s="61" t="n"/>
    </row>
    <row r="735" ht="15.75" customHeight="1" s="191">
      <c r="O735" s="60" t="n"/>
      <c r="AA735" s="61" t="n"/>
      <c r="AB735" s="40" t="n"/>
      <c r="AC735" s="40" t="n"/>
      <c r="AD735" s="40" t="n"/>
      <c r="AE735" s="40" t="n"/>
      <c r="AF735" s="40" t="n"/>
      <c r="AG735" s="61" t="n"/>
    </row>
    <row r="736" ht="15.75" customHeight="1" s="191">
      <c r="O736" s="60" t="n"/>
      <c r="AA736" s="61" t="n"/>
      <c r="AB736" s="40" t="n"/>
      <c r="AC736" s="40" t="n"/>
      <c r="AD736" s="40" t="n"/>
      <c r="AE736" s="40" t="n"/>
      <c r="AF736" s="40" t="n"/>
      <c r="AG736" s="61" t="n"/>
    </row>
    <row r="737" ht="15.75" customHeight="1" s="191">
      <c r="O737" s="60" t="n"/>
      <c r="AA737" s="61" t="n"/>
      <c r="AB737" s="40" t="n"/>
      <c r="AC737" s="40" t="n"/>
      <c r="AD737" s="40" t="n"/>
      <c r="AE737" s="40" t="n"/>
      <c r="AF737" s="40" t="n"/>
      <c r="AG737" s="61" t="n"/>
    </row>
    <row r="738" ht="15.75" customHeight="1" s="191">
      <c r="O738" s="60" t="n"/>
      <c r="AA738" s="61" t="n"/>
      <c r="AB738" s="40" t="n"/>
      <c r="AC738" s="40" t="n"/>
      <c r="AD738" s="40" t="n"/>
      <c r="AE738" s="40" t="n"/>
      <c r="AF738" s="40" t="n"/>
      <c r="AG738" s="61" t="n"/>
    </row>
    <row r="739" ht="15.75" customHeight="1" s="191">
      <c r="O739" s="60" t="n"/>
      <c r="AA739" s="61" t="n"/>
      <c r="AB739" s="40" t="n"/>
      <c r="AC739" s="40" t="n"/>
      <c r="AD739" s="40" t="n"/>
      <c r="AE739" s="40" t="n"/>
      <c r="AF739" s="40" t="n"/>
      <c r="AG739" s="61" t="n"/>
    </row>
    <row r="740" ht="15.75" customHeight="1" s="191">
      <c r="O740" s="60" t="n"/>
      <c r="AA740" s="61" t="n"/>
      <c r="AB740" s="40" t="n"/>
      <c r="AC740" s="40" t="n"/>
      <c r="AD740" s="40" t="n"/>
      <c r="AE740" s="40" t="n"/>
      <c r="AF740" s="40" t="n"/>
      <c r="AG740" s="61" t="n"/>
    </row>
    <row r="741" ht="15.75" customHeight="1" s="191">
      <c r="O741" s="60" t="n"/>
      <c r="AA741" s="61" t="n"/>
      <c r="AB741" s="40" t="n"/>
      <c r="AC741" s="40" t="n"/>
      <c r="AD741" s="40" t="n"/>
      <c r="AE741" s="40" t="n"/>
      <c r="AF741" s="40" t="n"/>
      <c r="AG741" s="61" t="n"/>
    </row>
    <row r="742" ht="15.75" customHeight="1" s="191">
      <c r="O742" s="60" t="n"/>
      <c r="AA742" s="61" t="n"/>
      <c r="AB742" s="40" t="n"/>
      <c r="AC742" s="40" t="n"/>
      <c r="AD742" s="40" t="n"/>
      <c r="AE742" s="40" t="n"/>
      <c r="AF742" s="40" t="n"/>
      <c r="AG742" s="61" t="n"/>
    </row>
    <row r="743" ht="15.75" customHeight="1" s="191">
      <c r="O743" s="60" t="n"/>
      <c r="AA743" s="61" t="n"/>
      <c r="AB743" s="40" t="n"/>
      <c r="AC743" s="40" t="n"/>
      <c r="AD743" s="40" t="n"/>
      <c r="AE743" s="40" t="n"/>
      <c r="AF743" s="40" t="n"/>
      <c r="AG743" s="61" t="n"/>
    </row>
    <row r="744" ht="15.75" customHeight="1" s="191">
      <c r="O744" s="60" t="n"/>
      <c r="AA744" s="61" t="n"/>
      <c r="AB744" s="40" t="n"/>
      <c r="AC744" s="40" t="n"/>
      <c r="AD744" s="40" t="n"/>
      <c r="AE744" s="40" t="n"/>
      <c r="AF744" s="40" t="n"/>
      <c r="AG744" s="61" t="n"/>
    </row>
    <row r="745" ht="15.75" customHeight="1" s="191">
      <c r="O745" s="60" t="n"/>
      <c r="AA745" s="61" t="n"/>
      <c r="AB745" s="40" t="n"/>
      <c r="AC745" s="40" t="n"/>
      <c r="AD745" s="40" t="n"/>
      <c r="AE745" s="40" t="n"/>
      <c r="AF745" s="40" t="n"/>
      <c r="AG745" s="61" t="n"/>
    </row>
    <row r="746" ht="15.75" customHeight="1" s="191">
      <c r="O746" s="60" t="n"/>
      <c r="AA746" s="61" t="n"/>
      <c r="AB746" s="40" t="n"/>
      <c r="AC746" s="40" t="n"/>
      <c r="AD746" s="40" t="n"/>
      <c r="AE746" s="40" t="n"/>
      <c r="AF746" s="40" t="n"/>
      <c r="AG746" s="61" t="n"/>
    </row>
    <row r="747" ht="15.75" customHeight="1" s="191">
      <c r="O747" s="60" t="n"/>
      <c r="AA747" s="61" t="n"/>
      <c r="AB747" s="40" t="n"/>
      <c r="AC747" s="40" t="n"/>
      <c r="AD747" s="40" t="n"/>
      <c r="AE747" s="40" t="n"/>
      <c r="AF747" s="40" t="n"/>
      <c r="AG747" s="61" t="n"/>
    </row>
    <row r="748" ht="15.75" customHeight="1" s="191">
      <c r="O748" s="60" t="n"/>
      <c r="AA748" s="61" t="n"/>
      <c r="AB748" s="40" t="n"/>
      <c r="AC748" s="40" t="n"/>
      <c r="AD748" s="40" t="n"/>
      <c r="AE748" s="40" t="n"/>
      <c r="AF748" s="40" t="n"/>
      <c r="AG748" s="61" t="n"/>
    </row>
    <row r="749" ht="15.75" customHeight="1" s="191">
      <c r="O749" s="60" t="n"/>
      <c r="AA749" s="61" t="n"/>
      <c r="AB749" s="40" t="n"/>
      <c r="AC749" s="40" t="n"/>
      <c r="AD749" s="40" t="n"/>
      <c r="AE749" s="40" t="n"/>
      <c r="AF749" s="40" t="n"/>
      <c r="AG749" s="61" t="n"/>
    </row>
    <row r="750" ht="15.75" customHeight="1" s="191">
      <c r="O750" s="60" t="n"/>
      <c r="AA750" s="61" t="n"/>
      <c r="AB750" s="40" t="n"/>
      <c r="AC750" s="40" t="n"/>
      <c r="AD750" s="40" t="n"/>
      <c r="AE750" s="40" t="n"/>
      <c r="AF750" s="40" t="n"/>
      <c r="AG750" s="61" t="n"/>
    </row>
    <row r="751" ht="15.75" customHeight="1" s="191">
      <c r="O751" s="60" t="n"/>
      <c r="AA751" s="61" t="n"/>
      <c r="AB751" s="40" t="n"/>
      <c r="AC751" s="40" t="n"/>
      <c r="AD751" s="40" t="n"/>
      <c r="AE751" s="40" t="n"/>
      <c r="AF751" s="40" t="n"/>
      <c r="AG751" s="61" t="n"/>
    </row>
    <row r="752" ht="15.75" customHeight="1" s="191">
      <c r="O752" s="60" t="n"/>
      <c r="AA752" s="61" t="n"/>
      <c r="AB752" s="40" t="n"/>
      <c r="AC752" s="40" t="n"/>
      <c r="AD752" s="40" t="n"/>
      <c r="AE752" s="40" t="n"/>
      <c r="AF752" s="40" t="n"/>
      <c r="AG752" s="61" t="n"/>
    </row>
    <row r="753" ht="15.75" customHeight="1" s="191">
      <c r="O753" s="60" t="n"/>
      <c r="AA753" s="61" t="n"/>
      <c r="AB753" s="40" t="n"/>
      <c r="AC753" s="40" t="n"/>
      <c r="AD753" s="40" t="n"/>
      <c r="AE753" s="40" t="n"/>
      <c r="AF753" s="40" t="n"/>
      <c r="AG753" s="61" t="n"/>
    </row>
    <row r="754" ht="15.75" customHeight="1" s="191">
      <c r="O754" s="60" t="n"/>
      <c r="AA754" s="61" t="n"/>
      <c r="AB754" s="40" t="n"/>
      <c r="AC754" s="40" t="n"/>
      <c r="AD754" s="40" t="n"/>
      <c r="AE754" s="40" t="n"/>
      <c r="AF754" s="40" t="n"/>
      <c r="AG754" s="61" t="n"/>
    </row>
    <row r="755" ht="15.75" customHeight="1" s="191">
      <c r="O755" s="60" t="n"/>
      <c r="AA755" s="61" t="n"/>
      <c r="AB755" s="40" t="n"/>
      <c r="AC755" s="40" t="n"/>
      <c r="AD755" s="40" t="n"/>
      <c r="AE755" s="40" t="n"/>
      <c r="AF755" s="40" t="n"/>
      <c r="AG755" s="61" t="n"/>
    </row>
    <row r="756" ht="15.75" customHeight="1" s="191">
      <c r="O756" s="60" t="n"/>
      <c r="AA756" s="61" t="n"/>
      <c r="AB756" s="40" t="n"/>
      <c r="AC756" s="40" t="n"/>
      <c r="AD756" s="40" t="n"/>
      <c r="AE756" s="40" t="n"/>
      <c r="AF756" s="40" t="n"/>
      <c r="AG756" s="61" t="n"/>
    </row>
    <row r="757" ht="15.75" customHeight="1" s="191">
      <c r="O757" s="60" t="n"/>
      <c r="AA757" s="61" t="n"/>
      <c r="AB757" s="40" t="n"/>
      <c r="AC757" s="40" t="n"/>
      <c r="AD757" s="40" t="n"/>
      <c r="AE757" s="40" t="n"/>
      <c r="AF757" s="40" t="n"/>
      <c r="AG757" s="61" t="n"/>
    </row>
    <row r="758" ht="15.75" customHeight="1" s="191">
      <c r="O758" s="60" t="n"/>
      <c r="AA758" s="61" t="n"/>
      <c r="AB758" s="40" t="n"/>
      <c r="AC758" s="40" t="n"/>
      <c r="AD758" s="40" t="n"/>
      <c r="AE758" s="40" t="n"/>
      <c r="AF758" s="40" t="n"/>
      <c r="AG758" s="61" t="n"/>
    </row>
    <row r="759" ht="15.75" customHeight="1" s="191">
      <c r="O759" s="60" t="n"/>
      <c r="AA759" s="61" t="n"/>
      <c r="AB759" s="40" t="n"/>
      <c r="AC759" s="40" t="n"/>
      <c r="AD759" s="40" t="n"/>
      <c r="AE759" s="40" t="n"/>
      <c r="AF759" s="40" t="n"/>
      <c r="AG759" s="61" t="n"/>
    </row>
    <row r="760" ht="15.75" customHeight="1" s="191">
      <c r="O760" s="60" t="n"/>
      <c r="AA760" s="61" t="n"/>
      <c r="AB760" s="40" t="n"/>
      <c r="AC760" s="40" t="n"/>
      <c r="AD760" s="40" t="n"/>
      <c r="AE760" s="40" t="n"/>
      <c r="AF760" s="40" t="n"/>
      <c r="AG760" s="61" t="n"/>
    </row>
    <row r="761" ht="15.75" customHeight="1" s="191">
      <c r="O761" s="60" t="n"/>
      <c r="AA761" s="61" t="n"/>
      <c r="AB761" s="40" t="n"/>
      <c r="AC761" s="40" t="n"/>
      <c r="AD761" s="40" t="n"/>
      <c r="AE761" s="40" t="n"/>
      <c r="AF761" s="40" t="n"/>
      <c r="AG761" s="61" t="n"/>
    </row>
    <row r="762" ht="15.75" customHeight="1" s="191">
      <c r="O762" s="60" t="n"/>
      <c r="AA762" s="61" t="n"/>
      <c r="AB762" s="40" t="n"/>
      <c r="AC762" s="40" t="n"/>
      <c r="AD762" s="40" t="n"/>
      <c r="AE762" s="40" t="n"/>
      <c r="AF762" s="40" t="n"/>
      <c r="AG762" s="61" t="n"/>
    </row>
    <row r="763" ht="15.75" customHeight="1" s="191">
      <c r="O763" s="60" t="n"/>
      <c r="AA763" s="61" t="n"/>
      <c r="AB763" s="40" t="n"/>
      <c r="AC763" s="40" t="n"/>
      <c r="AD763" s="40" t="n"/>
      <c r="AE763" s="40" t="n"/>
      <c r="AF763" s="40" t="n"/>
      <c r="AG763" s="61" t="n"/>
    </row>
    <row r="764" ht="15.75" customHeight="1" s="191">
      <c r="O764" s="60" t="n"/>
      <c r="AA764" s="61" t="n"/>
      <c r="AB764" s="40" t="n"/>
      <c r="AC764" s="40" t="n"/>
      <c r="AD764" s="40" t="n"/>
      <c r="AE764" s="40" t="n"/>
      <c r="AF764" s="40" t="n"/>
      <c r="AG764" s="61" t="n"/>
    </row>
    <row r="765" ht="15.75" customHeight="1" s="191">
      <c r="O765" s="60" t="n"/>
      <c r="AA765" s="61" t="n"/>
      <c r="AB765" s="40" t="n"/>
      <c r="AC765" s="40" t="n"/>
      <c r="AD765" s="40" t="n"/>
      <c r="AE765" s="40" t="n"/>
      <c r="AF765" s="40" t="n"/>
      <c r="AG765" s="61" t="n"/>
    </row>
    <row r="766" ht="15.75" customHeight="1" s="191">
      <c r="O766" s="60" t="n"/>
      <c r="AA766" s="61" t="n"/>
      <c r="AB766" s="40" t="n"/>
      <c r="AC766" s="40" t="n"/>
      <c r="AD766" s="40" t="n"/>
      <c r="AE766" s="40" t="n"/>
      <c r="AF766" s="40" t="n"/>
      <c r="AG766" s="61" t="n"/>
    </row>
    <row r="767" ht="15.75" customHeight="1" s="191">
      <c r="O767" s="60" t="n"/>
      <c r="AA767" s="61" t="n"/>
      <c r="AB767" s="40" t="n"/>
      <c r="AC767" s="40" t="n"/>
      <c r="AD767" s="40" t="n"/>
      <c r="AE767" s="40" t="n"/>
      <c r="AF767" s="40" t="n"/>
      <c r="AG767" s="61" t="n"/>
    </row>
    <row r="768" ht="15.75" customHeight="1" s="191">
      <c r="O768" s="60" t="n"/>
      <c r="AA768" s="61" t="n"/>
      <c r="AB768" s="40" t="n"/>
      <c r="AC768" s="40" t="n"/>
      <c r="AD768" s="40" t="n"/>
      <c r="AE768" s="40" t="n"/>
      <c r="AF768" s="40" t="n"/>
      <c r="AG768" s="61" t="n"/>
    </row>
    <row r="769" ht="15.75" customHeight="1" s="191">
      <c r="O769" s="60" t="n"/>
      <c r="AA769" s="61" t="n"/>
      <c r="AB769" s="40" t="n"/>
      <c r="AC769" s="40" t="n"/>
      <c r="AD769" s="40" t="n"/>
      <c r="AE769" s="40" t="n"/>
      <c r="AF769" s="40" t="n"/>
      <c r="AG769" s="61" t="n"/>
    </row>
    <row r="770" ht="15.75" customHeight="1" s="191">
      <c r="O770" s="60" t="n"/>
      <c r="AA770" s="61" t="n"/>
      <c r="AB770" s="40" t="n"/>
      <c r="AC770" s="40" t="n"/>
      <c r="AD770" s="40" t="n"/>
      <c r="AE770" s="40" t="n"/>
      <c r="AF770" s="40" t="n"/>
      <c r="AG770" s="61" t="n"/>
    </row>
    <row r="771" ht="15.75" customHeight="1" s="191">
      <c r="O771" s="60" t="n"/>
      <c r="AA771" s="61" t="n"/>
      <c r="AB771" s="40" t="n"/>
      <c r="AC771" s="40" t="n"/>
      <c r="AD771" s="40" t="n"/>
      <c r="AE771" s="40" t="n"/>
      <c r="AF771" s="40" t="n"/>
      <c r="AG771" s="61" t="n"/>
    </row>
    <row r="772" ht="15.75" customHeight="1" s="191">
      <c r="O772" s="60" t="n"/>
      <c r="AA772" s="61" t="n"/>
      <c r="AB772" s="40" t="n"/>
      <c r="AC772" s="40" t="n"/>
      <c r="AD772" s="40" t="n"/>
      <c r="AE772" s="40" t="n"/>
      <c r="AF772" s="40" t="n"/>
      <c r="AG772" s="61" t="n"/>
    </row>
    <row r="773" ht="15.75" customHeight="1" s="191">
      <c r="O773" s="60" t="n"/>
      <c r="AA773" s="61" t="n"/>
      <c r="AB773" s="40" t="n"/>
      <c r="AC773" s="40" t="n"/>
      <c r="AD773" s="40" t="n"/>
      <c r="AE773" s="40" t="n"/>
      <c r="AF773" s="40" t="n"/>
      <c r="AG773" s="61" t="n"/>
    </row>
    <row r="774" ht="15.75" customHeight="1" s="191">
      <c r="O774" s="60" t="n"/>
      <c r="AA774" s="61" t="n"/>
      <c r="AB774" s="40" t="n"/>
      <c r="AC774" s="40" t="n"/>
      <c r="AD774" s="40" t="n"/>
      <c r="AE774" s="40" t="n"/>
      <c r="AF774" s="40" t="n"/>
      <c r="AG774" s="61" t="n"/>
    </row>
    <row r="775" ht="15.75" customHeight="1" s="191">
      <c r="O775" s="60" t="n"/>
      <c r="AA775" s="61" t="n"/>
      <c r="AB775" s="40" t="n"/>
      <c r="AC775" s="40" t="n"/>
      <c r="AD775" s="40" t="n"/>
      <c r="AE775" s="40" t="n"/>
      <c r="AF775" s="40" t="n"/>
      <c r="AG775" s="61" t="n"/>
    </row>
    <row r="776" ht="15.75" customHeight="1" s="191">
      <c r="O776" s="60" t="n"/>
      <c r="AA776" s="61" t="n"/>
      <c r="AB776" s="40" t="n"/>
      <c r="AC776" s="40" t="n"/>
      <c r="AD776" s="40" t="n"/>
      <c r="AE776" s="40" t="n"/>
      <c r="AF776" s="40" t="n"/>
      <c r="AG776" s="61" t="n"/>
    </row>
    <row r="777" ht="15.75" customHeight="1" s="191">
      <c r="O777" s="60" t="n"/>
      <c r="AA777" s="61" t="n"/>
      <c r="AB777" s="40" t="n"/>
      <c r="AC777" s="40" t="n"/>
      <c r="AD777" s="40" t="n"/>
      <c r="AE777" s="40" t="n"/>
      <c r="AF777" s="40" t="n"/>
      <c r="AG777" s="61" t="n"/>
    </row>
    <row r="778" ht="15.75" customHeight="1" s="191">
      <c r="O778" s="60" t="n"/>
      <c r="AA778" s="61" t="n"/>
      <c r="AB778" s="40" t="n"/>
      <c r="AC778" s="40" t="n"/>
      <c r="AD778" s="40" t="n"/>
      <c r="AE778" s="40" t="n"/>
      <c r="AF778" s="40" t="n"/>
      <c r="AG778" s="61" t="n"/>
    </row>
    <row r="779" ht="15.75" customHeight="1" s="191">
      <c r="O779" s="60" t="n"/>
      <c r="AA779" s="61" t="n"/>
      <c r="AB779" s="40" t="n"/>
      <c r="AC779" s="40" t="n"/>
      <c r="AD779" s="40" t="n"/>
      <c r="AE779" s="40" t="n"/>
      <c r="AF779" s="40" t="n"/>
      <c r="AG779" s="61" t="n"/>
    </row>
    <row r="780" ht="15.75" customHeight="1" s="191">
      <c r="O780" s="60" t="n"/>
      <c r="AA780" s="61" t="n"/>
      <c r="AB780" s="40" t="n"/>
      <c r="AC780" s="40" t="n"/>
      <c r="AD780" s="40" t="n"/>
      <c r="AE780" s="40" t="n"/>
      <c r="AF780" s="40" t="n"/>
      <c r="AG780" s="61" t="n"/>
    </row>
    <row r="781" ht="15.75" customHeight="1" s="191">
      <c r="O781" s="60" t="n"/>
      <c r="AA781" s="61" t="n"/>
      <c r="AB781" s="40" t="n"/>
      <c r="AC781" s="40" t="n"/>
      <c r="AD781" s="40" t="n"/>
      <c r="AE781" s="40" t="n"/>
      <c r="AF781" s="40" t="n"/>
      <c r="AG781" s="61" t="n"/>
    </row>
    <row r="782" ht="15.75" customHeight="1" s="191">
      <c r="O782" s="60" t="n"/>
      <c r="AA782" s="61" t="n"/>
      <c r="AB782" s="40" t="n"/>
      <c r="AC782" s="40" t="n"/>
      <c r="AD782" s="40" t="n"/>
      <c r="AE782" s="40" t="n"/>
      <c r="AF782" s="40" t="n"/>
      <c r="AG782" s="61" t="n"/>
    </row>
    <row r="783" ht="15.75" customHeight="1" s="191">
      <c r="O783" s="60" t="n"/>
      <c r="AA783" s="61" t="n"/>
      <c r="AB783" s="40" t="n"/>
      <c r="AC783" s="40" t="n"/>
      <c r="AD783" s="40" t="n"/>
      <c r="AE783" s="40" t="n"/>
      <c r="AF783" s="40" t="n"/>
      <c r="AG783" s="61" t="n"/>
    </row>
    <row r="784" ht="15.75" customHeight="1" s="191">
      <c r="O784" s="60" t="n"/>
      <c r="AA784" s="61" t="n"/>
      <c r="AB784" s="40" t="n"/>
      <c r="AC784" s="40" t="n"/>
      <c r="AD784" s="40" t="n"/>
      <c r="AE784" s="40" t="n"/>
      <c r="AF784" s="40" t="n"/>
      <c r="AG784" s="61" t="n"/>
    </row>
    <row r="785" ht="15.75" customHeight="1" s="191">
      <c r="O785" s="60" t="n"/>
      <c r="AA785" s="61" t="n"/>
      <c r="AB785" s="40" t="n"/>
      <c r="AC785" s="40" t="n"/>
      <c r="AD785" s="40" t="n"/>
      <c r="AE785" s="40" t="n"/>
      <c r="AF785" s="40" t="n"/>
      <c r="AG785" s="61" t="n"/>
    </row>
    <row r="786" ht="15.75" customHeight="1" s="191">
      <c r="O786" s="60" t="n"/>
      <c r="AA786" s="61" t="n"/>
      <c r="AB786" s="40" t="n"/>
      <c r="AC786" s="40" t="n"/>
      <c r="AD786" s="40" t="n"/>
      <c r="AE786" s="40" t="n"/>
      <c r="AF786" s="40" t="n"/>
      <c r="AG786" s="61" t="n"/>
    </row>
    <row r="787" ht="15.75" customHeight="1" s="191">
      <c r="O787" s="60" t="n"/>
      <c r="AA787" s="61" t="n"/>
      <c r="AB787" s="40" t="n"/>
      <c r="AC787" s="40" t="n"/>
      <c r="AD787" s="40" t="n"/>
      <c r="AE787" s="40" t="n"/>
      <c r="AF787" s="40" t="n"/>
      <c r="AG787" s="61" t="n"/>
    </row>
    <row r="788" ht="15.75" customHeight="1" s="191">
      <c r="O788" s="60" t="n"/>
      <c r="AA788" s="61" t="n"/>
      <c r="AB788" s="40" t="n"/>
      <c r="AC788" s="40" t="n"/>
      <c r="AD788" s="40" t="n"/>
      <c r="AE788" s="40" t="n"/>
      <c r="AF788" s="40" t="n"/>
      <c r="AG788" s="61" t="n"/>
    </row>
    <row r="789" ht="15.75" customHeight="1" s="191">
      <c r="O789" s="60" t="n"/>
      <c r="AA789" s="61" t="n"/>
      <c r="AB789" s="40" t="n"/>
      <c r="AC789" s="40" t="n"/>
      <c r="AD789" s="40" t="n"/>
      <c r="AE789" s="40" t="n"/>
      <c r="AF789" s="40" t="n"/>
      <c r="AG789" s="61" t="n"/>
    </row>
    <row r="790" ht="15.75" customHeight="1" s="191">
      <c r="O790" s="60" t="n"/>
      <c r="AA790" s="61" t="n"/>
      <c r="AB790" s="40" t="n"/>
      <c r="AC790" s="40" t="n"/>
      <c r="AD790" s="40" t="n"/>
      <c r="AE790" s="40" t="n"/>
      <c r="AF790" s="40" t="n"/>
      <c r="AG790" s="61" t="n"/>
    </row>
    <row r="791" ht="15.75" customHeight="1" s="191">
      <c r="O791" s="60" t="n"/>
      <c r="AA791" s="61" t="n"/>
      <c r="AB791" s="40" t="n"/>
      <c r="AC791" s="40" t="n"/>
      <c r="AD791" s="40" t="n"/>
      <c r="AE791" s="40" t="n"/>
      <c r="AF791" s="40" t="n"/>
      <c r="AG791" s="61" t="n"/>
    </row>
    <row r="792" ht="15.75" customHeight="1" s="191">
      <c r="O792" s="60" t="n"/>
      <c r="AA792" s="61" t="n"/>
      <c r="AB792" s="40" t="n"/>
      <c r="AC792" s="40" t="n"/>
      <c r="AD792" s="40" t="n"/>
      <c r="AE792" s="40" t="n"/>
      <c r="AF792" s="40" t="n"/>
      <c r="AG792" s="61" t="n"/>
    </row>
    <row r="793" ht="15.75" customHeight="1" s="191">
      <c r="O793" s="60" t="n"/>
      <c r="AA793" s="61" t="n"/>
      <c r="AB793" s="40" t="n"/>
      <c r="AC793" s="40" t="n"/>
      <c r="AD793" s="40" t="n"/>
      <c r="AE793" s="40" t="n"/>
      <c r="AF793" s="40" t="n"/>
      <c r="AG793" s="61" t="n"/>
    </row>
    <row r="794" ht="15.75" customHeight="1" s="191">
      <c r="O794" s="60" t="n"/>
      <c r="AA794" s="61" t="n"/>
      <c r="AB794" s="40" t="n"/>
      <c r="AC794" s="40" t="n"/>
      <c r="AD794" s="40" t="n"/>
      <c r="AE794" s="40" t="n"/>
      <c r="AF794" s="40" t="n"/>
      <c r="AG794" s="61" t="n"/>
    </row>
    <row r="795" ht="15.75" customHeight="1" s="191">
      <c r="O795" s="60" t="n"/>
      <c r="AA795" s="61" t="n"/>
      <c r="AB795" s="40" t="n"/>
      <c r="AC795" s="40" t="n"/>
      <c r="AD795" s="40" t="n"/>
      <c r="AE795" s="40" t="n"/>
      <c r="AF795" s="40" t="n"/>
      <c r="AG795" s="61" t="n"/>
    </row>
    <row r="796" ht="15.75" customHeight="1" s="191">
      <c r="O796" s="60" t="n"/>
      <c r="AA796" s="61" t="n"/>
      <c r="AB796" s="40" t="n"/>
      <c r="AC796" s="40" t="n"/>
      <c r="AD796" s="40" t="n"/>
      <c r="AE796" s="40" t="n"/>
      <c r="AF796" s="40" t="n"/>
      <c r="AG796" s="61" t="n"/>
    </row>
    <row r="797" ht="15.75" customHeight="1" s="191">
      <c r="O797" s="60" t="n"/>
      <c r="AA797" s="61" t="n"/>
      <c r="AB797" s="40" t="n"/>
      <c r="AC797" s="40" t="n"/>
      <c r="AD797" s="40" t="n"/>
      <c r="AE797" s="40" t="n"/>
      <c r="AF797" s="40" t="n"/>
      <c r="AG797" s="61" t="n"/>
    </row>
    <row r="798" ht="15.75" customHeight="1" s="191">
      <c r="O798" s="60" t="n"/>
      <c r="AA798" s="61" t="n"/>
      <c r="AB798" s="40" t="n"/>
      <c r="AC798" s="40" t="n"/>
      <c r="AD798" s="40" t="n"/>
      <c r="AE798" s="40" t="n"/>
      <c r="AF798" s="40" t="n"/>
      <c r="AG798" s="61" t="n"/>
    </row>
    <row r="799" ht="15.75" customHeight="1" s="191">
      <c r="O799" s="60" t="n"/>
      <c r="AA799" s="61" t="n"/>
      <c r="AB799" s="40" t="n"/>
      <c r="AC799" s="40" t="n"/>
      <c r="AD799" s="40" t="n"/>
      <c r="AE799" s="40" t="n"/>
      <c r="AF799" s="40" t="n"/>
      <c r="AG799" s="61" t="n"/>
    </row>
    <row r="800" ht="15.75" customHeight="1" s="191">
      <c r="O800" s="60" t="n"/>
      <c r="AA800" s="61" t="n"/>
      <c r="AB800" s="40" t="n"/>
      <c r="AC800" s="40" t="n"/>
      <c r="AD800" s="40" t="n"/>
      <c r="AE800" s="40" t="n"/>
      <c r="AF800" s="40" t="n"/>
      <c r="AG800" s="61" t="n"/>
    </row>
    <row r="801" ht="15.75" customHeight="1" s="191">
      <c r="O801" s="60" t="n"/>
      <c r="AA801" s="61" t="n"/>
      <c r="AB801" s="40" t="n"/>
      <c r="AC801" s="40" t="n"/>
      <c r="AD801" s="40" t="n"/>
      <c r="AE801" s="40" t="n"/>
      <c r="AF801" s="40" t="n"/>
      <c r="AG801" s="61" t="n"/>
    </row>
    <row r="802" ht="15.75" customHeight="1" s="191">
      <c r="O802" s="60" t="n"/>
      <c r="AA802" s="61" t="n"/>
      <c r="AB802" s="40" t="n"/>
      <c r="AC802" s="40" t="n"/>
      <c r="AD802" s="40" t="n"/>
      <c r="AE802" s="40" t="n"/>
      <c r="AF802" s="40" t="n"/>
      <c r="AG802" s="61" t="n"/>
    </row>
    <row r="803" ht="15.75" customHeight="1" s="191">
      <c r="O803" s="60" t="n"/>
      <c r="AA803" s="61" t="n"/>
      <c r="AB803" s="40" t="n"/>
      <c r="AC803" s="40" t="n"/>
      <c r="AD803" s="40" t="n"/>
      <c r="AE803" s="40" t="n"/>
      <c r="AF803" s="40" t="n"/>
      <c r="AG803" s="61" t="n"/>
    </row>
    <row r="804" ht="15.75" customHeight="1" s="191">
      <c r="O804" s="60" t="n"/>
      <c r="AA804" s="61" t="n"/>
      <c r="AB804" s="40" t="n"/>
      <c r="AC804" s="40" t="n"/>
      <c r="AD804" s="40" t="n"/>
      <c r="AE804" s="40" t="n"/>
      <c r="AF804" s="40" t="n"/>
      <c r="AG804" s="61" t="n"/>
    </row>
    <row r="805" ht="15.75" customHeight="1" s="191">
      <c r="O805" s="60" t="n"/>
      <c r="AA805" s="61" t="n"/>
      <c r="AB805" s="40" t="n"/>
      <c r="AC805" s="40" t="n"/>
      <c r="AD805" s="40" t="n"/>
      <c r="AE805" s="40" t="n"/>
      <c r="AF805" s="40" t="n"/>
      <c r="AG805" s="61" t="n"/>
    </row>
    <row r="806" ht="15.75" customHeight="1" s="191">
      <c r="O806" s="60" t="n"/>
      <c r="AA806" s="61" t="n"/>
      <c r="AB806" s="40" t="n"/>
      <c r="AC806" s="40" t="n"/>
      <c r="AD806" s="40" t="n"/>
      <c r="AE806" s="40" t="n"/>
      <c r="AF806" s="40" t="n"/>
      <c r="AG806" s="61" t="n"/>
    </row>
    <row r="807" ht="15.75" customHeight="1" s="191">
      <c r="O807" s="60" t="n"/>
      <c r="AA807" s="61" t="n"/>
      <c r="AB807" s="40" t="n"/>
      <c r="AC807" s="40" t="n"/>
      <c r="AD807" s="40" t="n"/>
      <c r="AE807" s="40" t="n"/>
      <c r="AF807" s="40" t="n"/>
      <c r="AG807" s="61" t="n"/>
    </row>
    <row r="808" ht="15.75" customHeight="1" s="191">
      <c r="O808" s="60" t="n"/>
      <c r="AA808" s="61" t="n"/>
      <c r="AB808" s="40" t="n"/>
      <c r="AC808" s="40" t="n"/>
      <c r="AD808" s="40" t="n"/>
      <c r="AE808" s="40" t="n"/>
      <c r="AF808" s="40" t="n"/>
      <c r="AG808" s="61" t="n"/>
    </row>
    <row r="809" ht="15.75" customHeight="1" s="191">
      <c r="O809" s="60" t="n"/>
      <c r="AA809" s="61" t="n"/>
      <c r="AB809" s="40" t="n"/>
      <c r="AC809" s="40" t="n"/>
      <c r="AD809" s="40" t="n"/>
      <c r="AE809" s="40" t="n"/>
      <c r="AF809" s="40" t="n"/>
      <c r="AG809" s="61" t="n"/>
    </row>
    <row r="810" ht="15.75" customHeight="1" s="191">
      <c r="O810" s="60" t="n"/>
      <c r="AA810" s="61" t="n"/>
      <c r="AB810" s="40" t="n"/>
      <c r="AC810" s="40" t="n"/>
      <c r="AD810" s="40" t="n"/>
      <c r="AE810" s="40" t="n"/>
      <c r="AF810" s="40" t="n"/>
      <c r="AG810" s="61" t="n"/>
    </row>
    <row r="811" ht="15.75" customHeight="1" s="191">
      <c r="O811" s="60" t="n"/>
      <c r="AA811" s="61" t="n"/>
      <c r="AB811" s="40" t="n"/>
      <c r="AC811" s="40" t="n"/>
      <c r="AD811" s="40" t="n"/>
      <c r="AE811" s="40" t="n"/>
      <c r="AF811" s="40" t="n"/>
      <c r="AG811" s="61" t="n"/>
    </row>
    <row r="812" ht="15.75" customHeight="1" s="191">
      <c r="O812" s="60" t="n"/>
      <c r="AA812" s="61" t="n"/>
      <c r="AB812" s="40" t="n"/>
      <c r="AC812" s="40" t="n"/>
      <c r="AD812" s="40" t="n"/>
      <c r="AE812" s="40" t="n"/>
      <c r="AF812" s="40" t="n"/>
      <c r="AG812" s="61" t="n"/>
    </row>
    <row r="813" ht="15.75" customHeight="1" s="191">
      <c r="O813" s="60" t="n"/>
      <c r="AA813" s="61" t="n"/>
      <c r="AB813" s="40" t="n"/>
      <c r="AC813" s="40" t="n"/>
      <c r="AD813" s="40" t="n"/>
      <c r="AE813" s="40" t="n"/>
      <c r="AF813" s="40" t="n"/>
      <c r="AG813" s="61" t="n"/>
    </row>
    <row r="814" ht="15.75" customHeight="1" s="191">
      <c r="O814" s="60" t="n"/>
      <c r="AA814" s="61" t="n"/>
      <c r="AB814" s="40" t="n"/>
      <c r="AC814" s="40" t="n"/>
      <c r="AD814" s="40" t="n"/>
      <c r="AE814" s="40" t="n"/>
      <c r="AF814" s="40" t="n"/>
      <c r="AG814" s="61" t="n"/>
    </row>
    <row r="815" ht="15.75" customHeight="1" s="191">
      <c r="O815" s="60" t="n"/>
      <c r="AA815" s="61" t="n"/>
      <c r="AB815" s="40" t="n"/>
      <c r="AC815" s="40" t="n"/>
      <c r="AD815" s="40" t="n"/>
      <c r="AE815" s="40" t="n"/>
      <c r="AF815" s="40" t="n"/>
      <c r="AG815" s="61" t="n"/>
    </row>
    <row r="816" ht="15.75" customHeight="1" s="191">
      <c r="O816" s="60" t="n"/>
      <c r="AA816" s="61" t="n"/>
      <c r="AB816" s="40" t="n"/>
      <c r="AC816" s="40" t="n"/>
      <c r="AD816" s="40" t="n"/>
      <c r="AE816" s="40" t="n"/>
      <c r="AF816" s="40" t="n"/>
      <c r="AG816" s="61" t="n"/>
    </row>
    <row r="817" ht="15.75" customHeight="1" s="191">
      <c r="O817" s="60" t="n"/>
      <c r="AA817" s="61" t="n"/>
      <c r="AB817" s="40" t="n"/>
      <c r="AC817" s="40" t="n"/>
      <c r="AD817" s="40" t="n"/>
      <c r="AE817" s="40" t="n"/>
      <c r="AF817" s="40" t="n"/>
      <c r="AG817" s="61" t="n"/>
    </row>
    <row r="818" ht="15.75" customHeight="1" s="191">
      <c r="O818" s="60" t="n"/>
      <c r="AA818" s="61" t="n"/>
      <c r="AB818" s="40" t="n"/>
      <c r="AC818" s="40" t="n"/>
      <c r="AD818" s="40" t="n"/>
      <c r="AE818" s="40" t="n"/>
      <c r="AF818" s="40" t="n"/>
      <c r="AG818" s="61" t="n"/>
    </row>
    <row r="819" ht="15.75" customHeight="1" s="191">
      <c r="O819" s="60" t="n"/>
      <c r="AA819" s="61" t="n"/>
      <c r="AB819" s="40" t="n"/>
      <c r="AC819" s="40" t="n"/>
      <c r="AD819" s="40" t="n"/>
      <c r="AE819" s="40" t="n"/>
      <c r="AF819" s="40" t="n"/>
      <c r="AG819" s="61" t="n"/>
    </row>
    <row r="820" ht="15.75" customHeight="1" s="191">
      <c r="O820" s="60" t="n"/>
      <c r="AA820" s="61" t="n"/>
      <c r="AB820" s="40" t="n"/>
      <c r="AC820" s="40" t="n"/>
      <c r="AD820" s="40" t="n"/>
      <c r="AE820" s="40" t="n"/>
      <c r="AF820" s="40" t="n"/>
      <c r="AG820" s="61" t="n"/>
    </row>
    <row r="821" ht="15.75" customHeight="1" s="191">
      <c r="O821" s="60" t="n"/>
      <c r="AA821" s="61" t="n"/>
      <c r="AB821" s="40" t="n"/>
      <c r="AC821" s="40" t="n"/>
      <c r="AD821" s="40" t="n"/>
      <c r="AE821" s="40" t="n"/>
      <c r="AF821" s="40" t="n"/>
      <c r="AG821" s="61" t="n"/>
    </row>
    <row r="822" ht="15.75" customHeight="1" s="191">
      <c r="O822" s="60" t="n"/>
      <c r="AA822" s="61" t="n"/>
      <c r="AB822" s="40" t="n"/>
      <c r="AC822" s="40" t="n"/>
      <c r="AD822" s="40" t="n"/>
      <c r="AE822" s="40" t="n"/>
      <c r="AF822" s="40" t="n"/>
      <c r="AG822" s="61" t="n"/>
    </row>
    <row r="823" ht="15.75" customHeight="1" s="191">
      <c r="O823" s="60" t="n"/>
      <c r="AA823" s="61" t="n"/>
      <c r="AB823" s="40" t="n"/>
      <c r="AC823" s="40" t="n"/>
      <c r="AD823" s="40" t="n"/>
      <c r="AE823" s="40" t="n"/>
      <c r="AF823" s="40" t="n"/>
      <c r="AG823" s="61" t="n"/>
    </row>
    <row r="824" ht="15.75" customHeight="1" s="191">
      <c r="O824" s="60" t="n"/>
      <c r="AA824" s="61" t="n"/>
      <c r="AB824" s="40" t="n"/>
      <c r="AC824" s="40" t="n"/>
      <c r="AD824" s="40" t="n"/>
      <c r="AE824" s="40" t="n"/>
      <c r="AF824" s="40" t="n"/>
      <c r="AG824" s="61" t="n"/>
    </row>
    <row r="825" ht="15.75" customHeight="1" s="191">
      <c r="O825" s="60" t="n"/>
      <c r="AA825" s="61" t="n"/>
      <c r="AB825" s="40" t="n"/>
      <c r="AC825" s="40" t="n"/>
      <c r="AD825" s="40" t="n"/>
      <c r="AE825" s="40" t="n"/>
      <c r="AF825" s="40" t="n"/>
      <c r="AG825" s="61" t="n"/>
    </row>
    <row r="826" ht="15.75" customHeight="1" s="191">
      <c r="O826" s="60" t="n"/>
      <c r="AA826" s="61" t="n"/>
      <c r="AB826" s="40" t="n"/>
      <c r="AC826" s="40" t="n"/>
      <c r="AD826" s="40" t="n"/>
      <c r="AE826" s="40" t="n"/>
      <c r="AF826" s="40" t="n"/>
      <c r="AG826" s="61" t="n"/>
    </row>
    <row r="827" ht="15.75" customHeight="1" s="191">
      <c r="O827" s="60" t="n"/>
      <c r="AA827" s="61" t="n"/>
      <c r="AB827" s="40" t="n"/>
      <c r="AC827" s="40" t="n"/>
      <c r="AD827" s="40" t="n"/>
      <c r="AE827" s="40" t="n"/>
      <c r="AF827" s="40" t="n"/>
      <c r="AG827" s="61" t="n"/>
    </row>
    <row r="828" ht="15.75" customHeight="1" s="191">
      <c r="O828" s="60" t="n"/>
      <c r="AA828" s="61" t="n"/>
      <c r="AB828" s="40" t="n"/>
      <c r="AC828" s="40" t="n"/>
      <c r="AD828" s="40" t="n"/>
      <c r="AE828" s="40" t="n"/>
      <c r="AF828" s="40" t="n"/>
      <c r="AG828" s="61" t="n"/>
    </row>
    <row r="829" ht="15.75" customHeight="1" s="191">
      <c r="O829" s="60" t="n"/>
      <c r="AA829" s="61" t="n"/>
      <c r="AB829" s="40" t="n"/>
      <c r="AC829" s="40" t="n"/>
      <c r="AD829" s="40" t="n"/>
      <c r="AE829" s="40" t="n"/>
      <c r="AF829" s="40" t="n"/>
      <c r="AG829" s="61" t="n"/>
    </row>
    <row r="830" ht="15.75" customHeight="1" s="191">
      <c r="O830" s="60" t="n"/>
      <c r="AA830" s="61" t="n"/>
      <c r="AB830" s="40" t="n"/>
      <c r="AC830" s="40" t="n"/>
      <c r="AD830" s="40" t="n"/>
      <c r="AE830" s="40" t="n"/>
      <c r="AF830" s="40" t="n"/>
      <c r="AG830" s="61" t="n"/>
    </row>
    <row r="831" ht="15.75" customHeight="1" s="191">
      <c r="O831" s="60" t="n"/>
      <c r="AA831" s="61" t="n"/>
      <c r="AB831" s="40" t="n"/>
      <c r="AC831" s="40" t="n"/>
      <c r="AD831" s="40" t="n"/>
      <c r="AE831" s="40" t="n"/>
      <c r="AF831" s="40" t="n"/>
      <c r="AG831" s="61" t="n"/>
    </row>
    <row r="832" ht="15.75" customHeight="1" s="191">
      <c r="O832" s="60" t="n"/>
      <c r="AA832" s="61" t="n"/>
      <c r="AB832" s="40" t="n"/>
      <c r="AC832" s="40" t="n"/>
      <c r="AD832" s="40" t="n"/>
      <c r="AE832" s="40" t="n"/>
      <c r="AF832" s="40" t="n"/>
      <c r="AG832" s="61" t="n"/>
    </row>
    <row r="833" ht="15.75" customHeight="1" s="191">
      <c r="O833" s="60" t="n"/>
      <c r="AA833" s="61" t="n"/>
      <c r="AB833" s="40" t="n"/>
      <c r="AC833" s="40" t="n"/>
      <c r="AD833" s="40" t="n"/>
      <c r="AE833" s="40" t="n"/>
      <c r="AF833" s="40" t="n"/>
      <c r="AG833" s="61" t="n"/>
    </row>
    <row r="834" ht="15.75" customHeight="1" s="191">
      <c r="O834" s="60" t="n"/>
      <c r="AA834" s="61" t="n"/>
      <c r="AB834" s="40" t="n"/>
      <c r="AC834" s="40" t="n"/>
      <c r="AD834" s="40" t="n"/>
      <c r="AE834" s="40" t="n"/>
      <c r="AF834" s="40" t="n"/>
      <c r="AG834" s="61" t="n"/>
    </row>
    <row r="835" ht="15.75" customHeight="1" s="191">
      <c r="O835" s="60" t="n"/>
      <c r="AA835" s="61" t="n"/>
      <c r="AB835" s="40" t="n"/>
      <c r="AC835" s="40" t="n"/>
      <c r="AD835" s="40" t="n"/>
      <c r="AE835" s="40" t="n"/>
      <c r="AF835" s="40" t="n"/>
      <c r="AG835" s="61" t="n"/>
    </row>
    <row r="836" ht="15.75" customHeight="1" s="191">
      <c r="O836" s="60" t="n"/>
      <c r="AA836" s="61" t="n"/>
      <c r="AB836" s="40" t="n"/>
      <c r="AC836" s="40" t="n"/>
      <c r="AD836" s="40" t="n"/>
      <c r="AE836" s="40" t="n"/>
      <c r="AF836" s="40" t="n"/>
      <c r="AG836" s="61" t="n"/>
    </row>
    <row r="837" ht="15.75" customHeight="1" s="191">
      <c r="O837" s="60" t="n"/>
      <c r="AA837" s="61" t="n"/>
      <c r="AB837" s="40" t="n"/>
      <c r="AC837" s="40" t="n"/>
      <c r="AD837" s="40" t="n"/>
      <c r="AE837" s="40" t="n"/>
      <c r="AF837" s="40" t="n"/>
      <c r="AG837" s="61" t="n"/>
    </row>
    <row r="838" ht="15.75" customHeight="1" s="191">
      <c r="O838" s="60" t="n"/>
      <c r="AA838" s="61" t="n"/>
      <c r="AB838" s="40" t="n"/>
      <c r="AC838" s="40" t="n"/>
      <c r="AD838" s="40" t="n"/>
      <c r="AE838" s="40" t="n"/>
      <c r="AF838" s="40" t="n"/>
      <c r="AG838" s="61" t="n"/>
    </row>
    <row r="839" ht="15.75" customHeight="1" s="191">
      <c r="O839" s="60" t="n"/>
      <c r="AA839" s="61" t="n"/>
      <c r="AB839" s="40" t="n"/>
      <c r="AC839" s="40" t="n"/>
      <c r="AD839" s="40" t="n"/>
      <c r="AE839" s="40" t="n"/>
      <c r="AF839" s="40" t="n"/>
      <c r="AG839" s="61" t="n"/>
    </row>
    <row r="840" ht="15.75" customHeight="1" s="191">
      <c r="O840" s="60" t="n"/>
      <c r="AA840" s="61" t="n"/>
      <c r="AB840" s="40" t="n"/>
      <c r="AC840" s="40" t="n"/>
      <c r="AD840" s="40" t="n"/>
      <c r="AE840" s="40" t="n"/>
      <c r="AF840" s="40" t="n"/>
      <c r="AG840" s="61" t="n"/>
    </row>
    <row r="841" ht="15.75" customHeight="1" s="191">
      <c r="O841" s="60" t="n"/>
      <c r="AA841" s="61" t="n"/>
      <c r="AB841" s="40" t="n"/>
      <c r="AC841" s="40" t="n"/>
      <c r="AD841" s="40" t="n"/>
      <c r="AE841" s="40" t="n"/>
      <c r="AF841" s="40" t="n"/>
      <c r="AG841" s="61" t="n"/>
    </row>
    <row r="842" ht="15.75" customHeight="1" s="191">
      <c r="O842" s="60" t="n"/>
      <c r="AA842" s="61" t="n"/>
      <c r="AB842" s="40" t="n"/>
      <c r="AC842" s="40" t="n"/>
      <c r="AD842" s="40" t="n"/>
      <c r="AE842" s="40" t="n"/>
      <c r="AF842" s="40" t="n"/>
      <c r="AG842" s="61" t="n"/>
    </row>
    <row r="843" ht="15.75" customHeight="1" s="191">
      <c r="O843" s="60" t="n"/>
      <c r="AA843" s="61" t="n"/>
      <c r="AB843" s="40" t="n"/>
      <c r="AC843" s="40" t="n"/>
      <c r="AD843" s="40" t="n"/>
      <c r="AE843" s="40" t="n"/>
      <c r="AF843" s="40" t="n"/>
      <c r="AG843" s="61" t="n"/>
    </row>
    <row r="844" ht="15.75" customHeight="1" s="191">
      <c r="O844" s="60" t="n"/>
      <c r="AA844" s="61" t="n"/>
      <c r="AB844" s="40" t="n"/>
      <c r="AC844" s="40" t="n"/>
      <c r="AD844" s="40" t="n"/>
      <c r="AE844" s="40" t="n"/>
      <c r="AF844" s="40" t="n"/>
      <c r="AG844" s="61" t="n"/>
    </row>
    <row r="845" ht="15.75" customHeight="1" s="191">
      <c r="O845" s="60" t="n"/>
      <c r="AA845" s="61" t="n"/>
      <c r="AB845" s="40" t="n"/>
      <c r="AC845" s="40" t="n"/>
      <c r="AD845" s="40" t="n"/>
      <c r="AE845" s="40" t="n"/>
      <c r="AF845" s="40" t="n"/>
      <c r="AG845" s="61" t="n"/>
    </row>
    <row r="846" ht="15.75" customHeight="1" s="191">
      <c r="O846" s="60" t="n"/>
      <c r="AA846" s="61" t="n"/>
      <c r="AB846" s="40" t="n"/>
      <c r="AC846" s="40" t="n"/>
      <c r="AD846" s="40" t="n"/>
      <c r="AE846" s="40" t="n"/>
      <c r="AF846" s="40" t="n"/>
      <c r="AG846" s="61" t="n"/>
    </row>
    <row r="847" ht="15.75" customHeight="1" s="191">
      <c r="O847" s="60" t="n"/>
      <c r="AA847" s="61" t="n"/>
      <c r="AB847" s="40" t="n"/>
      <c r="AC847" s="40" t="n"/>
      <c r="AD847" s="40" t="n"/>
      <c r="AE847" s="40" t="n"/>
      <c r="AF847" s="40" t="n"/>
      <c r="AG847" s="61" t="n"/>
    </row>
    <row r="848" ht="15.75" customHeight="1" s="191">
      <c r="O848" s="60" t="n"/>
      <c r="AA848" s="61" t="n"/>
      <c r="AB848" s="40" t="n"/>
      <c r="AC848" s="40" t="n"/>
      <c r="AD848" s="40" t="n"/>
      <c r="AE848" s="40" t="n"/>
      <c r="AF848" s="40" t="n"/>
      <c r="AG848" s="61" t="n"/>
    </row>
    <row r="849" ht="15.75" customHeight="1" s="191">
      <c r="O849" s="60" t="n"/>
      <c r="AA849" s="61" t="n"/>
      <c r="AB849" s="40" t="n"/>
      <c r="AC849" s="40" t="n"/>
      <c r="AD849" s="40" t="n"/>
      <c r="AE849" s="40" t="n"/>
      <c r="AF849" s="40" t="n"/>
      <c r="AG849" s="61" t="n"/>
    </row>
    <row r="850" ht="15.75" customHeight="1" s="191">
      <c r="O850" s="60" t="n"/>
      <c r="AA850" s="61" t="n"/>
      <c r="AB850" s="40" t="n"/>
      <c r="AC850" s="40" t="n"/>
      <c r="AD850" s="40" t="n"/>
      <c r="AE850" s="40" t="n"/>
      <c r="AF850" s="40" t="n"/>
      <c r="AG850" s="61" t="n"/>
    </row>
    <row r="851" ht="15.75" customHeight="1" s="191">
      <c r="O851" s="60" t="n"/>
      <c r="AA851" s="61" t="n"/>
      <c r="AB851" s="40" t="n"/>
      <c r="AC851" s="40" t="n"/>
      <c r="AD851" s="40" t="n"/>
      <c r="AE851" s="40" t="n"/>
      <c r="AF851" s="40" t="n"/>
      <c r="AG851" s="61" t="n"/>
    </row>
    <row r="852" ht="15.75" customHeight="1" s="191">
      <c r="O852" s="60" t="n"/>
      <c r="AA852" s="61" t="n"/>
      <c r="AB852" s="40" t="n"/>
      <c r="AC852" s="40" t="n"/>
      <c r="AD852" s="40" t="n"/>
      <c r="AE852" s="40" t="n"/>
      <c r="AF852" s="40" t="n"/>
      <c r="AG852" s="61" t="n"/>
    </row>
    <row r="853" ht="15.75" customHeight="1" s="191">
      <c r="O853" s="60" t="n"/>
      <c r="AA853" s="61" t="n"/>
      <c r="AB853" s="40" t="n"/>
      <c r="AC853" s="40" t="n"/>
      <c r="AD853" s="40" t="n"/>
      <c r="AE853" s="40" t="n"/>
      <c r="AF853" s="40" t="n"/>
      <c r="AG853" s="61" t="n"/>
    </row>
    <row r="854" ht="15.75" customHeight="1" s="191">
      <c r="O854" s="60" t="n"/>
      <c r="AA854" s="61" t="n"/>
      <c r="AB854" s="40" t="n"/>
      <c r="AC854" s="40" t="n"/>
      <c r="AD854" s="40" t="n"/>
      <c r="AE854" s="40" t="n"/>
      <c r="AF854" s="40" t="n"/>
      <c r="AG854" s="61" t="n"/>
    </row>
    <row r="855" ht="15.75" customHeight="1" s="191">
      <c r="O855" s="60" t="n"/>
      <c r="AA855" s="61" t="n"/>
      <c r="AB855" s="40" t="n"/>
      <c r="AC855" s="40" t="n"/>
      <c r="AD855" s="40" t="n"/>
      <c r="AE855" s="40" t="n"/>
      <c r="AF855" s="40" t="n"/>
      <c r="AG855" s="61" t="n"/>
    </row>
    <row r="856" ht="15.75" customHeight="1" s="191">
      <c r="O856" s="60" t="n"/>
      <c r="AA856" s="61" t="n"/>
      <c r="AB856" s="40" t="n"/>
      <c r="AC856" s="40" t="n"/>
      <c r="AD856" s="40" t="n"/>
      <c r="AE856" s="40" t="n"/>
      <c r="AF856" s="40" t="n"/>
      <c r="AG856" s="61" t="n"/>
    </row>
    <row r="857" ht="15.75" customHeight="1" s="191">
      <c r="O857" s="60" t="n"/>
      <c r="AA857" s="61" t="n"/>
      <c r="AB857" s="40" t="n"/>
      <c r="AC857" s="40" t="n"/>
      <c r="AD857" s="40" t="n"/>
      <c r="AE857" s="40" t="n"/>
      <c r="AF857" s="40" t="n"/>
      <c r="AG857" s="61" t="n"/>
    </row>
    <row r="858" ht="15.75" customHeight="1" s="191">
      <c r="O858" s="60" t="n"/>
      <c r="AA858" s="61" t="n"/>
      <c r="AB858" s="40" t="n"/>
      <c r="AC858" s="40" t="n"/>
      <c r="AD858" s="40" t="n"/>
      <c r="AE858" s="40" t="n"/>
      <c r="AF858" s="40" t="n"/>
      <c r="AG858" s="61" t="n"/>
    </row>
    <row r="859" ht="15.75" customHeight="1" s="191">
      <c r="O859" s="60" t="n"/>
      <c r="AA859" s="61" t="n"/>
      <c r="AB859" s="40" t="n"/>
      <c r="AC859" s="40" t="n"/>
      <c r="AD859" s="40" t="n"/>
      <c r="AE859" s="40" t="n"/>
      <c r="AF859" s="40" t="n"/>
      <c r="AG859" s="61" t="n"/>
    </row>
    <row r="860" ht="15.75" customHeight="1" s="191">
      <c r="O860" s="60" t="n"/>
      <c r="AA860" s="61" t="n"/>
      <c r="AB860" s="40" t="n"/>
      <c r="AC860" s="40" t="n"/>
      <c r="AD860" s="40" t="n"/>
      <c r="AE860" s="40" t="n"/>
      <c r="AF860" s="40" t="n"/>
      <c r="AG860" s="61" t="n"/>
    </row>
    <row r="861" ht="15.75" customHeight="1" s="191">
      <c r="O861" s="60" t="n"/>
      <c r="AA861" s="61" t="n"/>
      <c r="AB861" s="40" t="n"/>
      <c r="AC861" s="40" t="n"/>
      <c r="AD861" s="40" t="n"/>
      <c r="AE861" s="40" t="n"/>
      <c r="AF861" s="40" t="n"/>
      <c r="AG861" s="61" t="n"/>
    </row>
    <row r="862" ht="15.75" customHeight="1" s="191">
      <c r="O862" s="60" t="n"/>
      <c r="AA862" s="61" t="n"/>
      <c r="AB862" s="40" t="n"/>
      <c r="AC862" s="40" t="n"/>
      <c r="AD862" s="40" t="n"/>
      <c r="AE862" s="40" t="n"/>
      <c r="AF862" s="40" t="n"/>
      <c r="AG862" s="61" t="n"/>
    </row>
    <row r="863" ht="15.75" customHeight="1" s="191">
      <c r="O863" s="60" t="n"/>
      <c r="AA863" s="61" t="n"/>
      <c r="AB863" s="40" t="n"/>
      <c r="AC863" s="40" t="n"/>
      <c r="AD863" s="40" t="n"/>
      <c r="AE863" s="40" t="n"/>
      <c r="AF863" s="40" t="n"/>
      <c r="AG863" s="61" t="n"/>
    </row>
    <row r="864" ht="15.75" customHeight="1" s="191">
      <c r="O864" s="60" t="n"/>
      <c r="AA864" s="61" t="n"/>
      <c r="AB864" s="40" t="n"/>
      <c r="AC864" s="40" t="n"/>
      <c r="AD864" s="40" t="n"/>
      <c r="AE864" s="40" t="n"/>
      <c r="AF864" s="40" t="n"/>
      <c r="AG864" s="61" t="n"/>
    </row>
    <row r="865" ht="15.75" customHeight="1" s="191">
      <c r="O865" s="60" t="n"/>
      <c r="AA865" s="61" t="n"/>
      <c r="AB865" s="40" t="n"/>
      <c r="AC865" s="40" t="n"/>
      <c r="AD865" s="40" t="n"/>
      <c r="AE865" s="40" t="n"/>
      <c r="AF865" s="40" t="n"/>
      <c r="AG865" s="61" t="n"/>
    </row>
    <row r="866" ht="15.75" customHeight="1" s="191">
      <c r="O866" s="60" t="n"/>
      <c r="AA866" s="61" t="n"/>
      <c r="AB866" s="40" t="n"/>
      <c r="AC866" s="40" t="n"/>
      <c r="AD866" s="40" t="n"/>
      <c r="AE866" s="40" t="n"/>
      <c r="AF866" s="40" t="n"/>
      <c r="AG866" s="61" t="n"/>
    </row>
    <row r="867" ht="15.75" customHeight="1" s="191">
      <c r="O867" s="60" t="n"/>
      <c r="AA867" s="61" t="n"/>
      <c r="AB867" s="40" t="n"/>
      <c r="AC867" s="40" t="n"/>
      <c r="AD867" s="40" t="n"/>
      <c r="AE867" s="40" t="n"/>
      <c r="AF867" s="40" t="n"/>
      <c r="AG867" s="61" t="n"/>
    </row>
    <row r="868" ht="15.75" customHeight="1" s="191">
      <c r="O868" s="60" t="n"/>
      <c r="AA868" s="61" t="n"/>
      <c r="AB868" s="40" t="n"/>
      <c r="AC868" s="40" t="n"/>
      <c r="AD868" s="40" t="n"/>
      <c r="AE868" s="40" t="n"/>
      <c r="AF868" s="40" t="n"/>
      <c r="AG868" s="61" t="n"/>
    </row>
    <row r="869" ht="15.75" customHeight="1" s="191">
      <c r="O869" s="60" t="n"/>
      <c r="AA869" s="61" t="n"/>
      <c r="AB869" s="40" t="n"/>
      <c r="AC869" s="40" t="n"/>
      <c r="AD869" s="40" t="n"/>
      <c r="AE869" s="40" t="n"/>
      <c r="AF869" s="40" t="n"/>
      <c r="AG869" s="61" t="n"/>
    </row>
    <row r="870" ht="15.75" customHeight="1" s="191">
      <c r="O870" s="60" t="n"/>
      <c r="AA870" s="61" t="n"/>
      <c r="AB870" s="40" t="n"/>
      <c r="AC870" s="40" t="n"/>
      <c r="AD870" s="40" t="n"/>
      <c r="AE870" s="40" t="n"/>
      <c r="AF870" s="40" t="n"/>
      <c r="AG870" s="61" t="n"/>
    </row>
    <row r="871" ht="15.75" customHeight="1" s="191">
      <c r="O871" s="60" t="n"/>
      <c r="AA871" s="61" t="n"/>
      <c r="AB871" s="40" t="n"/>
      <c r="AC871" s="40" t="n"/>
      <c r="AD871" s="40" t="n"/>
      <c r="AE871" s="40" t="n"/>
      <c r="AF871" s="40" t="n"/>
      <c r="AG871" s="61" t="n"/>
    </row>
    <row r="872" ht="15.75" customHeight="1" s="191">
      <c r="O872" s="60" t="n"/>
      <c r="AA872" s="61" t="n"/>
      <c r="AB872" s="40" t="n"/>
      <c r="AC872" s="40" t="n"/>
      <c r="AD872" s="40" t="n"/>
      <c r="AE872" s="40" t="n"/>
      <c r="AF872" s="40" t="n"/>
      <c r="AG872" s="61" t="n"/>
    </row>
    <row r="873" ht="15.75" customHeight="1" s="191">
      <c r="O873" s="60" t="n"/>
      <c r="AA873" s="61" t="n"/>
      <c r="AB873" s="40" t="n"/>
      <c r="AC873" s="40" t="n"/>
      <c r="AD873" s="40" t="n"/>
      <c r="AE873" s="40" t="n"/>
      <c r="AF873" s="40" t="n"/>
      <c r="AG873" s="61" t="n"/>
    </row>
    <row r="874" ht="15.75" customHeight="1" s="191">
      <c r="O874" s="60" t="n"/>
      <c r="AA874" s="61" t="n"/>
      <c r="AB874" s="40" t="n"/>
      <c r="AC874" s="40" t="n"/>
      <c r="AD874" s="40" t="n"/>
      <c r="AE874" s="40" t="n"/>
      <c r="AF874" s="40" t="n"/>
      <c r="AG874" s="61" t="n"/>
    </row>
    <row r="875" ht="15.75" customHeight="1" s="191">
      <c r="O875" s="60" t="n"/>
      <c r="AA875" s="61" t="n"/>
      <c r="AB875" s="40" t="n"/>
      <c r="AC875" s="40" t="n"/>
      <c r="AD875" s="40" t="n"/>
      <c r="AE875" s="40" t="n"/>
      <c r="AF875" s="40" t="n"/>
      <c r="AG875" s="61" t="n"/>
    </row>
    <row r="876" ht="15.75" customHeight="1" s="191">
      <c r="O876" s="60" t="n"/>
      <c r="AA876" s="61" t="n"/>
      <c r="AB876" s="40" t="n"/>
      <c r="AC876" s="40" t="n"/>
      <c r="AD876" s="40" t="n"/>
      <c r="AE876" s="40" t="n"/>
      <c r="AF876" s="40" t="n"/>
      <c r="AG876" s="61" t="n"/>
    </row>
    <row r="877" ht="15.75" customHeight="1" s="191">
      <c r="O877" s="60" t="n"/>
      <c r="AA877" s="61" t="n"/>
      <c r="AB877" s="40" t="n"/>
      <c r="AC877" s="40" t="n"/>
      <c r="AD877" s="40" t="n"/>
      <c r="AE877" s="40" t="n"/>
      <c r="AF877" s="40" t="n"/>
      <c r="AG877" s="61" t="n"/>
    </row>
    <row r="878" ht="15.75" customHeight="1" s="191">
      <c r="O878" s="60" t="n"/>
      <c r="AA878" s="61" t="n"/>
      <c r="AB878" s="40" t="n"/>
      <c r="AC878" s="40" t="n"/>
      <c r="AD878" s="40" t="n"/>
      <c r="AE878" s="40" t="n"/>
      <c r="AF878" s="40" t="n"/>
      <c r="AG878" s="61" t="n"/>
    </row>
    <row r="879" ht="15.75" customHeight="1" s="191">
      <c r="O879" s="60" t="n"/>
      <c r="AA879" s="61" t="n"/>
      <c r="AB879" s="40" t="n"/>
      <c r="AC879" s="40" t="n"/>
      <c r="AD879" s="40" t="n"/>
      <c r="AE879" s="40" t="n"/>
      <c r="AF879" s="40" t="n"/>
      <c r="AG879" s="61" t="n"/>
    </row>
    <row r="880" ht="15.75" customHeight="1" s="191">
      <c r="O880" s="60" t="n"/>
      <c r="AA880" s="61" t="n"/>
      <c r="AB880" s="40" t="n"/>
      <c r="AC880" s="40" t="n"/>
      <c r="AD880" s="40" t="n"/>
      <c r="AE880" s="40" t="n"/>
      <c r="AF880" s="40" t="n"/>
      <c r="AG880" s="61" t="n"/>
    </row>
    <row r="881" ht="15.75" customHeight="1" s="191">
      <c r="O881" s="60" t="n"/>
      <c r="AA881" s="61" t="n"/>
      <c r="AB881" s="40" t="n"/>
      <c r="AC881" s="40" t="n"/>
      <c r="AD881" s="40" t="n"/>
      <c r="AE881" s="40" t="n"/>
      <c r="AF881" s="40" t="n"/>
      <c r="AG881" s="61" t="n"/>
    </row>
    <row r="882" ht="15.75" customHeight="1" s="191">
      <c r="O882" s="60" t="n"/>
      <c r="AA882" s="61" t="n"/>
      <c r="AB882" s="40" t="n"/>
      <c r="AC882" s="40" t="n"/>
      <c r="AD882" s="40" t="n"/>
      <c r="AE882" s="40" t="n"/>
      <c r="AF882" s="40" t="n"/>
      <c r="AG882" s="61" t="n"/>
    </row>
    <row r="883" ht="15.75" customHeight="1" s="191">
      <c r="O883" s="60" t="n"/>
      <c r="AA883" s="61" t="n"/>
      <c r="AB883" s="40" t="n"/>
      <c r="AC883" s="40" t="n"/>
      <c r="AD883" s="40" t="n"/>
      <c r="AE883" s="40" t="n"/>
      <c r="AF883" s="40" t="n"/>
      <c r="AG883" s="61" t="n"/>
    </row>
    <row r="884" ht="15.75" customHeight="1" s="191">
      <c r="O884" s="60" t="n"/>
      <c r="AA884" s="61" t="n"/>
      <c r="AB884" s="40" t="n"/>
      <c r="AC884" s="40" t="n"/>
      <c r="AD884" s="40" t="n"/>
      <c r="AE884" s="40" t="n"/>
      <c r="AF884" s="40" t="n"/>
      <c r="AG884" s="61" t="n"/>
    </row>
    <row r="885" ht="15.75" customHeight="1" s="191">
      <c r="O885" s="60" t="n"/>
      <c r="AA885" s="61" t="n"/>
      <c r="AB885" s="40" t="n"/>
      <c r="AC885" s="40" t="n"/>
      <c r="AD885" s="40" t="n"/>
      <c r="AE885" s="40" t="n"/>
      <c r="AF885" s="40" t="n"/>
      <c r="AG885" s="61" t="n"/>
    </row>
    <row r="886" ht="15.75" customHeight="1" s="191">
      <c r="O886" s="60" t="n"/>
      <c r="AA886" s="61" t="n"/>
      <c r="AB886" s="40" t="n"/>
      <c r="AC886" s="40" t="n"/>
      <c r="AD886" s="40" t="n"/>
      <c r="AE886" s="40" t="n"/>
      <c r="AF886" s="40" t="n"/>
      <c r="AG886" s="61" t="n"/>
    </row>
    <row r="887" ht="15.75" customHeight="1" s="191">
      <c r="O887" s="60" t="n"/>
      <c r="AA887" s="61" t="n"/>
      <c r="AB887" s="40" t="n"/>
      <c r="AC887" s="40" t="n"/>
      <c r="AD887" s="40" t="n"/>
      <c r="AE887" s="40" t="n"/>
      <c r="AF887" s="40" t="n"/>
      <c r="AG887" s="61" t="n"/>
    </row>
    <row r="888" ht="15.75" customHeight="1" s="191">
      <c r="O888" s="60" t="n"/>
      <c r="AA888" s="61" t="n"/>
      <c r="AB888" s="40" t="n"/>
      <c r="AC888" s="40" t="n"/>
      <c r="AD888" s="40" t="n"/>
      <c r="AE888" s="40" t="n"/>
      <c r="AF888" s="40" t="n"/>
      <c r="AG888" s="61" t="n"/>
    </row>
    <row r="889" ht="15.75" customHeight="1" s="191">
      <c r="O889" s="60" t="n"/>
      <c r="AA889" s="61" t="n"/>
      <c r="AB889" s="40" t="n"/>
      <c r="AC889" s="40" t="n"/>
      <c r="AD889" s="40" t="n"/>
      <c r="AE889" s="40" t="n"/>
      <c r="AF889" s="40" t="n"/>
      <c r="AG889" s="61" t="n"/>
    </row>
    <row r="890" ht="15.75" customHeight="1" s="191">
      <c r="O890" s="60" t="n"/>
      <c r="AA890" s="61" t="n"/>
      <c r="AB890" s="40" t="n"/>
      <c r="AC890" s="40" t="n"/>
      <c r="AD890" s="40" t="n"/>
      <c r="AE890" s="40" t="n"/>
      <c r="AF890" s="40" t="n"/>
      <c r="AG890" s="61" t="n"/>
    </row>
    <row r="891" ht="15.75" customHeight="1" s="191">
      <c r="O891" s="60" t="n"/>
      <c r="AA891" s="61" t="n"/>
      <c r="AB891" s="40" t="n"/>
      <c r="AC891" s="40" t="n"/>
      <c r="AD891" s="40" t="n"/>
      <c r="AE891" s="40" t="n"/>
      <c r="AF891" s="40" t="n"/>
      <c r="AG891" s="61" t="n"/>
    </row>
    <row r="892" ht="15.75" customHeight="1" s="191">
      <c r="O892" s="60" t="n"/>
      <c r="AA892" s="61" t="n"/>
      <c r="AB892" s="40" t="n"/>
      <c r="AC892" s="40" t="n"/>
      <c r="AD892" s="40" t="n"/>
      <c r="AE892" s="40" t="n"/>
      <c r="AF892" s="40" t="n"/>
      <c r="AG892" s="61" t="n"/>
    </row>
    <row r="893" ht="15.75" customHeight="1" s="191">
      <c r="O893" s="60" t="n"/>
      <c r="AA893" s="61" t="n"/>
      <c r="AB893" s="40" t="n"/>
      <c r="AC893" s="40" t="n"/>
      <c r="AD893" s="40" t="n"/>
      <c r="AE893" s="40" t="n"/>
      <c r="AF893" s="40" t="n"/>
      <c r="AG893" s="61" t="n"/>
    </row>
    <row r="894" ht="15.75" customHeight="1" s="191">
      <c r="O894" s="60" t="n"/>
      <c r="AA894" s="61" t="n"/>
      <c r="AB894" s="40" t="n"/>
      <c r="AC894" s="40" t="n"/>
      <c r="AD894" s="40" t="n"/>
      <c r="AE894" s="40" t="n"/>
      <c r="AF894" s="40" t="n"/>
      <c r="AG894" s="61" t="n"/>
    </row>
    <row r="895" ht="15.75" customHeight="1" s="191">
      <c r="O895" s="60" t="n"/>
      <c r="AA895" s="61" t="n"/>
      <c r="AB895" s="40" t="n"/>
      <c r="AC895" s="40" t="n"/>
      <c r="AD895" s="40" t="n"/>
      <c r="AE895" s="40" t="n"/>
      <c r="AF895" s="40" t="n"/>
      <c r="AG895" s="61" t="n"/>
    </row>
    <row r="896" ht="15.75" customHeight="1" s="191">
      <c r="O896" s="60" t="n"/>
      <c r="AA896" s="61" t="n"/>
      <c r="AB896" s="40" t="n"/>
      <c r="AC896" s="40" t="n"/>
      <c r="AD896" s="40" t="n"/>
      <c r="AE896" s="40" t="n"/>
      <c r="AF896" s="40" t="n"/>
      <c r="AG896" s="61" t="n"/>
    </row>
    <row r="897" ht="15.75" customHeight="1" s="191">
      <c r="O897" s="60" t="n"/>
      <c r="AA897" s="61" t="n"/>
      <c r="AB897" s="40" t="n"/>
      <c r="AC897" s="40" t="n"/>
      <c r="AD897" s="40" t="n"/>
      <c r="AE897" s="40" t="n"/>
      <c r="AF897" s="40" t="n"/>
      <c r="AG897" s="61" t="n"/>
    </row>
    <row r="898" ht="15.75" customHeight="1" s="191">
      <c r="O898" s="60" t="n"/>
      <c r="AA898" s="61" t="n"/>
      <c r="AB898" s="40" t="n"/>
      <c r="AC898" s="40" t="n"/>
      <c r="AD898" s="40" t="n"/>
      <c r="AE898" s="40" t="n"/>
      <c r="AF898" s="40" t="n"/>
      <c r="AG898" s="61" t="n"/>
    </row>
    <row r="899" ht="15.75" customHeight="1" s="191">
      <c r="O899" s="60" t="n"/>
      <c r="AA899" s="61" t="n"/>
      <c r="AB899" s="40" t="n"/>
      <c r="AC899" s="40" t="n"/>
      <c r="AD899" s="40" t="n"/>
      <c r="AE899" s="40" t="n"/>
      <c r="AF899" s="40" t="n"/>
      <c r="AG899" s="61" t="n"/>
    </row>
    <row r="900" ht="15.75" customHeight="1" s="191">
      <c r="O900" s="60" t="n"/>
      <c r="AA900" s="61" t="n"/>
      <c r="AB900" s="40" t="n"/>
      <c r="AC900" s="40" t="n"/>
      <c r="AD900" s="40" t="n"/>
      <c r="AE900" s="40" t="n"/>
      <c r="AF900" s="40" t="n"/>
      <c r="AG900" s="61" t="n"/>
    </row>
    <row r="901" ht="15.75" customHeight="1" s="191">
      <c r="O901" s="60" t="n"/>
      <c r="AA901" s="61" t="n"/>
      <c r="AB901" s="40" t="n"/>
      <c r="AC901" s="40" t="n"/>
      <c r="AD901" s="40" t="n"/>
      <c r="AE901" s="40" t="n"/>
      <c r="AF901" s="40" t="n"/>
      <c r="AG901" s="61" t="n"/>
    </row>
    <row r="902" ht="15.75" customHeight="1" s="191">
      <c r="O902" s="60" t="n"/>
      <c r="AA902" s="61" t="n"/>
      <c r="AB902" s="40" t="n"/>
      <c r="AC902" s="40" t="n"/>
      <c r="AD902" s="40" t="n"/>
      <c r="AE902" s="40" t="n"/>
      <c r="AF902" s="40" t="n"/>
      <c r="AG902" s="61" t="n"/>
    </row>
    <row r="903" ht="15.75" customHeight="1" s="191">
      <c r="O903" s="60" t="n"/>
      <c r="AA903" s="61" t="n"/>
      <c r="AB903" s="40" t="n"/>
      <c r="AC903" s="40" t="n"/>
      <c r="AD903" s="40" t="n"/>
      <c r="AE903" s="40" t="n"/>
      <c r="AF903" s="40" t="n"/>
      <c r="AG903" s="61" t="n"/>
    </row>
    <row r="904" ht="15.75" customHeight="1" s="191">
      <c r="O904" s="60" t="n"/>
      <c r="AA904" s="61" t="n"/>
      <c r="AB904" s="40" t="n"/>
      <c r="AC904" s="40" t="n"/>
      <c r="AD904" s="40" t="n"/>
      <c r="AE904" s="40" t="n"/>
      <c r="AF904" s="40" t="n"/>
      <c r="AG904" s="61" t="n"/>
    </row>
    <row r="905" ht="15.75" customHeight="1" s="191">
      <c r="O905" s="60" t="n"/>
      <c r="AA905" s="61" t="n"/>
      <c r="AB905" s="40" t="n"/>
      <c r="AC905" s="40" t="n"/>
      <c r="AD905" s="40" t="n"/>
      <c r="AE905" s="40" t="n"/>
      <c r="AF905" s="40" t="n"/>
      <c r="AG905" s="61" t="n"/>
    </row>
    <row r="906" ht="15.75" customHeight="1" s="191">
      <c r="O906" s="60" t="n"/>
      <c r="AA906" s="61" t="n"/>
      <c r="AB906" s="40" t="n"/>
      <c r="AC906" s="40" t="n"/>
      <c r="AD906" s="40" t="n"/>
      <c r="AE906" s="40" t="n"/>
      <c r="AF906" s="40" t="n"/>
      <c r="AG906" s="61" t="n"/>
    </row>
    <row r="907" ht="15.75" customHeight="1" s="191">
      <c r="O907" s="60" t="n"/>
      <c r="AA907" s="61" t="n"/>
      <c r="AB907" s="40" t="n"/>
      <c r="AC907" s="40" t="n"/>
      <c r="AD907" s="40" t="n"/>
      <c r="AE907" s="40" t="n"/>
      <c r="AF907" s="40" t="n"/>
      <c r="AG907" s="61" t="n"/>
    </row>
    <row r="908" ht="15.75" customHeight="1" s="191">
      <c r="O908" s="60" t="n"/>
      <c r="AA908" s="61" t="n"/>
      <c r="AB908" s="40" t="n"/>
      <c r="AC908" s="40" t="n"/>
      <c r="AD908" s="40" t="n"/>
      <c r="AE908" s="40" t="n"/>
      <c r="AF908" s="40" t="n"/>
      <c r="AG908" s="61" t="n"/>
    </row>
    <row r="909" ht="15.75" customHeight="1" s="191">
      <c r="O909" s="60" t="n"/>
      <c r="AA909" s="61" t="n"/>
      <c r="AB909" s="40" t="n"/>
      <c r="AC909" s="40" t="n"/>
      <c r="AD909" s="40" t="n"/>
      <c r="AE909" s="40" t="n"/>
      <c r="AF909" s="40" t="n"/>
      <c r="AG909" s="61" t="n"/>
    </row>
    <row r="910" ht="15.75" customHeight="1" s="191">
      <c r="O910" s="60" t="n"/>
      <c r="AA910" s="61" t="n"/>
      <c r="AB910" s="40" t="n"/>
      <c r="AC910" s="40" t="n"/>
      <c r="AD910" s="40" t="n"/>
      <c r="AE910" s="40" t="n"/>
      <c r="AF910" s="40" t="n"/>
      <c r="AG910" s="61" t="n"/>
    </row>
    <row r="911" ht="15.75" customHeight="1" s="191">
      <c r="O911" s="60" t="n"/>
      <c r="AA911" s="61" t="n"/>
      <c r="AB911" s="40" t="n"/>
      <c r="AC911" s="40" t="n"/>
      <c r="AD911" s="40" t="n"/>
      <c r="AE911" s="40" t="n"/>
      <c r="AF911" s="40" t="n"/>
      <c r="AG911" s="61" t="n"/>
    </row>
    <row r="912" ht="15.75" customHeight="1" s="191">
      <c r="O912" s="60" t="n"/>
      <c r="AA912" s="61" t="n"/>
      <c r="AB912" s="40" t="n"/>
      <c r="AC912" s="40" t="n"/>
      <c r="AD912" s="40" t="n"/>
      <c r="AE912" s="40" t="n"/>
      <c r="AF912" s="40" t="n"/>
      <c r="AG912" s="61" t="n"/>
    </row>
    <row r="913" ht="15.75" customHeight="1" s="191">
      <c r="O913" s="60" t="n"/>
      <c r="AA913" s="61" t="n"/>
      <c r="AB913" s="40" t="n"/>
      <c r="AC913" s="40" t="n"/>
      <c r="AD913" s="40" t="n"/>
      <c r="AE913" s="40" t="n"/>
      <c r="AF913" s="40" t="n"/>
      <c r="AG913" s="61" t="n"/>
    </row>
    <row r="914" ht="15.75" customHeight="1" s="191">
      <c r="O914" s="60" t="n"/>
      <c r="AA914" s="61" t="n"/>
      <c r="AB914" s="40" t="n"/>
      <c r="AC914" s="40" t="n"/>
      <c r="AD914" s="40" t="n"/>
      <c r="AE914" s="40" t="n"/>
      <c r="AF914" s="40" t="n"/>
      <c r="AG914" s="61" t="n"/>
    </row>
    <row r="915" ht="15.75" customHeight="1" s="191">
      <c r="O915" s="60" t="n"/>
      <c r="AA915" s="61" t="n"/>
      <c r="AB915" s="40" t="n"/>
      <c r="AC915" s="40" t="n"/>
      <c r="AD915" s="40" t="n"/>
      <c r="AE915" s="40" t="n"/>
      <c r="AF915" s="40" t="n"/>
      <c r="AG915" s="61" t="n"/>
    </row>
    <row r="916" ht="15.75" customHeight="1" s="191">
      <c r="O916" s="60" t="n"/>
      <c r="AA916" s="61" t="n"/>
      <c r="AB916" s="40" t="n"/>
      <c r="AC916" s="40" t="n"/>
      <c r="AD916" s="40" t="n"/>
      <c r="AE916" s="40" t="n"/>
      <c r="AF916" s="40" t="n"/>
      <c r="AG916" s="61" t="n"/>
    </row>
    <row r="917" ht="15.75" customHeight="1" s="191">
      <c r="O917" s="60" t="n"/>
      <c r="AA917" s="61" t="n"/>
      <c r="AB917" s="40" t="n"/>
      <c r="AC917" s="40" t="n"/>
      <c r="AD917" s="40" t="n"/>
      <c r="AE917" s="40" t="n"/>
      <c r="AF917" s="40" t="n"/>
      <c r="AG917" s="61" t="n"/>
    </row>
    <row r="918" ht="15.75" customHeight="1" s="191">
      <c r="O918" s="60" t="n"/>
      <c r="AA918" s="61" t="n"/>
      <c r="AB918" s="40" t="n"/>
      <c r="AC918" s="40" t="n"/>
      <c r="AD918" s="40" t="n"/>
      <c r="AE918" s="40" t="n"/>
      <c r="AF918" s="40" t="n"/>
      <c r="AG918" s="61" t="n"/>
    </row>
    <row r="919" ht="15.75" customHeight="1" s="191">
      <c r="O919" s="60" t="n"/>
      <c r="AA919" s="61" t="n"/>
      <c r="AB919" s="40" t="n"/>
      <c r="AC919" s="40" t="n"/>
      <c r="AD919" s="40" t="n"/>
      <c r="AE919" s="40" t="n"/>
      <c r="AF919" s="40" t="n"/>
      <c r="AG919" s="61" t="n"/>
    </row>
    <row r="920" ht="15.75" customHeight="1" s="191">
      <c r="O920" s="60" t="n"/>
      <c r="AA920" s="61" t="n"/>
      <c r="AB920" s="40" t="n"/>
      <c r="AC920" s="40" t="n"/>
      <c r="AD920" s="40" t="n"/>
      <c r="AE920" s="40" t="n"/>
      <c r="AF920" s="40" t="n"/>
      <c r="AG920" s="61" t="n"/>
    </row>
    <row r="921" ht="15.75" customHeight="1" s="191">
      <c r="O921" s="60" t="n"/>
      <c r="AA921" s="61" t="n"/>
      <c r="AB921" s="40" t="n"/>
      <c r="AC921" s="40" t="n"/>
      <c r="AD921" s="40" t="n"/>
      <c r="AE921" s="40" t="n"/>
      <c r="AF921" s="40" t="n"/>
      <c r="AG921" s="61" t="n"/>
    </row>
    <row r="922" ht="15.75" customHeight="1" s="191">
      <c r="O922" s="60" t="n"/>
      <c r="AA922" s="61" t="n"/>
      <c r="AB922" s="40" t="n"/>
      <c r="AC922" s="40" t="n"/>
      <c r="AD922" s="40" t="n"/>
      <c r="AE922" s="40" t="n"/>
      <c r="AF922" s="40" t="n"/>
      <c r="AG922" s="61" t="n"/>
    </row>
    <row r="923" ht="15.75" customHeight="1" s="191">
      <c r="O923" s="60" t="n"/>
      <c r="AA923" s="61" t="n"/>
      <c r="AB923" s="40" t="n"/>
      <c r="AC923" s="40" t="n"/>
      <c r="AD923" s="40" t="n"/>
      <c r="AE923" s="40" t="n"/>
      <c r="AF923" s="40" t="n"/>
      <c r="AG923" s="61" t="n"/>
    </row>
    <row r="924" ht="15.75" customHeight="1" s="191">
      <c r="O924" s="60" t="n"/>
      <c r="AA924" s="61" t="n"/>
      <c r="AB924" s="40" t="n"/>
      <c r="AC924" s="40" t="n"/>
      <c r="AD924" s="40" t="n"/>
      <c r="AE924" s="40" t="n"/>
      <c r="AF924" s="40" t="n"/>
      <c r="AG924" s="61" t="n"/>
    </row>
    <row r="925" ht="15.75" customHeight="1" s="191">
      <c r="O925" s="60" t="n"/>
      <c r="AA925" s="61" t="n"/>
      <c r="AB925" s="40" t="n"/>
      <c r="AC925" s="40" t="n"/>
      <c r="AD925" s="40" t="n"/>
      <c r="AE925" s="40" t="n"/>
      <c r="AF925" s="40" t="n"/>
      <c r="AG925" s="61" t="n"/>
    </row>
    <row r="926" ht="15.75" customHeight="1" s="191">
      <c r="O926" s="60" t="n"/>
      <c r="AA926" s="61" t="n"/>
      <c r="AB926" s="40" t="n"/>
      <c r="AC926" s="40" t="n"/>
      <c r="AD926" s="40" t="n"/>
      <c r="AE926" s="40" t="n"/>
      <c r="AF926" s="40" t="n"/>
      <c r="AG926" s="61" t="n"/>
    </row>
    <row r="927" ht="15.75" customHeight="1" s="191">
      <c r="O927" s="60" t="n"/>
      <c r="AA927" s="61" t="n"/>
      <c r="AB927" s="40" t="n"/>
      <c r="AC927" s="40" t="n"/>
      <c r="AD927" s="40" t="n"/>
      <c r="AE927" s="40" t="n"/>
      <c r="AF927" s="40" t="n"/>
      <c r="AG927" s="61" t="n"/>
    </row>
    <row r="928" ht="15.75" customHeight="1" s="191">
      <c r="O928" s="60" t="n"/>
      <c r="AA928" s="61" t="n"/>
      <c r="AB928" s="40" t="n"/>
      <c r="AC928" s="40" t="n"/>
      <c r="AD928" s="40" t="n"/>
      <c r="AE928" s="40" t="n"/>
      <c r="AF928" s="40" t="n"/>
      <c r="AG928" s="61" t="n"/>
    </row>
    <row r="929" ht="15.75" customHeight="1" s="191">
      <c r="O929" s="60" t="n"/>
      <c r="AA929" s="61" t="n"/>
      <c r="AB929" s="40" t="n"/>
      <c r="AC929" s="40" t="n"/>
      <c r="AD929" s="40" t="n"/>
      <c r="AE929" s="40" t="n"/>
      <c r="AF929" s="40" t="n"/>
      <c r="AG929" s="61" t="n"/>
    </row>
    <row r="930" ht="15.75" customHeight="1" s="191">
      <c r="O930" s="60" t="n"/>
      <c r="AA930" s="61" t="n"/>
      <c r="AB930" s="40" t="n"/>
      <c r="AC930" s="40" t="n"/>
      <c r="AD930" s="40" t="n"/>
      <c r="AE930" s="40" t="n"/>
      <c r="AF930" s="40" t="n"/>
      <c r="AG930" s="61" t="n"/>
    </row>
    <row r="931" ht="15.75" customHeight="1" s="191">
      <c r="O931" s="60" t="n"/>
      <c r="AA931" s="61" t="n"/>
      <c r="AB931" s="40" t="n"/>
      <c r="AC931" s="40" t="n"/>
      <c r="AD931" s="40" t="n"/>
      <c r="AE931" s="40" t="n"/>
      <c r="AF931" s="40" t="n"/>
      <c r="AG931" s="61" t="n"/>
    </row>
    <row r="932" ht="15.75" customHeight="1" s="191">
      <c r="O932" s="60" t="n"/>
      <c r="AA932" s="61" t="n"/>
      <c r="AB932" s="40" t="n"/>
      <c r="AC932" s="40" t="n"/>
      <c r="AD932" s="40" t="n"/>
      <c r="AE932" s="40" t="n"/>
      <c r="AF932" s="40" t="n"/>
      <c r="AG932" s="61" t="n"/>
    </row>
    <row r="933" ht="15.75" customHeight="1" s="191">
      <c r="O933" s="60" t="n"/>
      <c r="AA933" s="61" t="n"/>
      <c r="AB933" s="40" t="n"/>
      <c r="AC933" s="40" t="n"/>
      <c r="AD933" s="40" t="n"/>
      <c r="AE933" s="40" t="n"/>
      <c r="AF933" s="40" t="n"/>
      <c r="AG933" s="61" t="n"/>
    </row>
    <row r="934" ht="15.75" customHeight="1" s="191">
      <c r="O934" s="60" t="n"/>
      <c r="AA934" s="61" t="n"/>
      <c r="AB934" s="40" t="n"/>
      <c r="AC934" s="40" t="n"/>
      <c r="AD934" s="40" t="n"/>
      <c r="AE934" s="40" t="n"/>
      <c r="AF934" s="40" t="n"/>
      <c r="AG934" s="61" t="n"/>
    </row>
    <row r="935" ht="15.75" customHeight="1" s="191">
      <c r="O935" s="60" t="n"/>
      <c r="AA935" s="61" t="n"/>
      <c r="AB935" s="40" t="n"/>
      <c r="AC935" s="40" t="n"/>
      <c r="AD935" s="40" t="n"/>
      <c r="AE935" s="40" t="n"/>
      <c r="AF935" s="40" t="n"/>
      <c r="AG935" s="61" t="n"/>
    </row>
    <row r="936" ht="15.75" customHeight="1" s="191">
      <c r="O936" s="60" t="n"/>
      <c r="AA936" s="61" t="n"/>
      <c r="AB936" s="40" t="n"/>
      <c r="AC936" s="40" t="n"/>
      <c r="AD936" s="40" t="n"/>
      <c r="AE936" s="40" t="n"/>
      <c r="AF936" s="40" t="n"/>
      <c r="AG936" s="61" t="n"/>
    </row>
    <row r="937" ht="15.75" customHeight="1" s="191">
      <c r="O937" s="60" t="n"/>
      <c r="AA937" s="61" t="n"/>
      <c r="AB937" s="40" t="n"/>
      <c r="AC937" s="40" t="n"/>
      <c r="AD937" s="40" t="n"/>
      <c r="AE937" s="40" t="n"/>
      <c r="AF937" s="40" t="n"/>
      <c r="AG937" s="61" t="n"/>
    </row>
    <row r="938" ht="15.75" customHeight="1" s="191">
      <c r="O938" s="60" t="n"/>
      <c r="AA938" s="61" t="n"/>
      <c r="AB938" s="40" t="n"/>
      <c r="AC938" s="40" t="n"/>
      <c r="AD938" s="40" t="n"/>
      <c r="AE938" s="40" t="n"/>
      <c r="AF938" s="40" t="n"/>
      <c r="AG938" s="61" t="n"/>
    </row>
    <row r="939" ht="15.75" customHeight="1" s="191">
      <c r="O939" s="60" t="n"/>
      <c r="AA939" s="61" t="n"/>
      <c r="AB939" s="40" t="n"/>
      <c r="AC939" s="40" t="n"/>
      <c r="AD939" s="40" t="n"/>
      <c r="AE939" s="40" t="n"/>
      <c r="AF939" s="40" t="n"/>
      <c r="AG939" s="61" t="n"/>
    </row>
    <row r="940" ht="15.75" customHeight="1" s="191">
      <c r="O940" s="60" t="n"/>
      <c r="AA940" s="61" t="n"/>
      <c r="AB940" s="40" t="n"/>
      <c r="AC940" s="40" t="n"/>
      <c r="AD940" s="40" t="n"/>
      <c r="AE940" s="40" t="n"/>
      <c r="AF940" s="40" t="n"/>
      <c r="AG940" s="61" t="n"/>
    </row>
    <row r="941" ht="15.75" customHeight="1" s="191">
      <c r="O941" s="60" t="n"/>
      <c r="AA941" s="61" t="n"/>
      <c r="AB941" s="40" t="n"/>
      <c r="AC941" s="40" t="n"/>
      <c r="AD941" s="40" t="n"/>
      <c r="AE941" s="40" t="n"/>
      <c r="AF941" s="40" t="n"/>
      <c r="AG941" s="61" t="n"/>
    </row>
    <row r="942" ht="15.75" customHeight="1" s="191">
      <c r="O942" s="60" t="n"/>
      <c r="AA942" s="61" t="n"/>
      <c r="AB942" s="40" t="n"/>
      <c r="AC942" s="40" t="n"/>
      <c r="AD942" s="40" t="n"/>
      <c r="AE942" s="40" t="n"/>
      <c r="AF942" s="40" t="n"/>
      <c r="AG942" s="61" t="n"/>
    </row>
    <row r="943" ht="15.75" customHeight="1" s="191">
      <c r="O943" s="60" t="n"/>
      <c r="AA943" s="61" t="n"/>
      <c r="AB943" s="40" t="n"/>
      <c r="AC943" s="40" t="n"/>
      <c r="AD943" s="40" t="n"/>
      <c r="AE943" s="40" t="n"/>
      <c r="AF943" s="40" t="n"/>
      <c r="AG943" s="61" t="n"/>
    </row>
    <row r="944" ht="15.75" customHeight="1" s="191">
      <c r="O944" s="60" t="n"/>
      <c r="AA944" s="61" t="n"/>
      <c r="AB944" s="40" t="n"/>
      <c r="AC944" s="40" t="n"/>
      <c r="AD944" s="40" t="n"/>
      <c r="AE944" s="40" t="n"/>
      <c r="AF944" s="40" t="n"/>
      <c r="AG944" s="61" t="n"/>
    </row>
    <row r="945" ht="15.75" customHeight="1" s="191">
      <c r="O945" s="60" t="n"/>
      <c r="AA945" s="61" t="n"/>
      <c r="AB945" s="40" t="n"/>
      <c r="AC945" s="40" t="n"/>
      <c r="AD945" s="40" t="n"/>
      <c r="AE945" s="40" t="n"/>
      <c r="AF945" s="40" t="n"/>
      <c r="AG945" s="61" t="n"/>
    </row>
    <row r="946" ht="15.75" customHeight="1" s="191">
      <c r="O946" s="60" t="n"/>
      <c r="AA946" s="61" t="n"/>
      <c r="AB946" s="40" t="n"/>
      <c r="AC946" s="40" t="n"/>
      <c r="AD946" s="40" t="n"/>
      <c r="AE946" s="40" t="n"/>
      <c r="AF946" s="40" t="n"/>
      <c r="AG946" s="61" t="n"/>
    </row>
    <row r="947" ht="15.75" customHeight="1" s="191">
      <c r="O947" s="60" t="n"/>
      <c r="AA947" s="61" t="n"/>
      <c r="AB947" s="40" t="n"/>
      <c r="AC947" s="40" t="n"/>
      <c r="AD947" s="40" t="n"/>
      <c r="AE947" s="40" t="n"/>
      <c r="AF947" s="40" t="n"/>
      <c r="AG947" s="61" t="n"/>
    </row>
    <row r="948" ht="15.75" customHeight="1" s="191">
      <c r="O948" s="60" t="n"/>
      <c r="AA948" s="61" t="n"/>
      <c r="AB948" s="40" t="n"/>
      <c r="AC948" s="40" t="n"/>
      <c r="AD948" s="40" t="n"/>
      <c r="AE948" s="40" t="n"/>
      <c r="AF948" s="40" t="n"/>
      <c r="AG948" s="61" t="n"/>
    </row>
    <row r="949" ht="15.75" customHeight="1" s="191">
      <c r="O949" s="60" t="n"/>
      <c r="AA949" s="61" t="n"/>
      <c r="AB949" s="40" t="n"/>
      <c r="AC949" s="40" t="n"/>
      <c r="AD949" s="40" t="n"/>
      <c r="AE949" s="40" t="n"/>
      <c r="AF949" s="40" t="n"/>
      <c r="AG949" s="61" t="n"/>
    </row>
    <row r="950" ht="15.75" customHeight="1" s="191">
      <c r="O950" s="60" t="n"/>
      <c r="AA950" s="61" t="n"/>
      <c r="AB950" s="40" t="n"/>
      <c r="AC950" s="40" t="n"/>
      <c r="AD950" s="40" t="n"/>
      <c r="AE950" s="40" t="n"/>
      <c r="AF950" s="40" t="n"/>
      <c r="AG950" s="61" t="n"/>
    </row>
    <row r="951" ht="15.75" customHeight="1" s="191">
      <c r="O951" s="60" t="n"/>
      <c r="AA951" s="61" t="n"/>
      <c r="AB951" s="40" t="n"/>
      <c r="AC951" s="40" t="n"/>
      <c r="AD951" s="40" t="n"/>
      <c r="AE951" s="40" t="n"/>
      <c r="AF951" s="40" t="n"/>
      <c r="AG951" s="61" t="n"/>
    </row>
    <row r="952" ht="15.75" customHeight="1" s="191">
      <c r="O952" s="60" t="n"/>
      <c r="AA952" s="61" t="n"/>
      <c r="AB952" s="40" t="n"/>
      <c r="AC952" s="40" t="n"/>
      <c r="AD952" s="40" t="n"/>
      <c r="AE952" s="40" t="n"/>
      <c r="AF952" s="40" t="n"/>
      <c r="AG952" s="61" t="n"/>
    </row>
    <row r="953" ht="15.75" customHeight="1" s="191">
      <c r="O953" s="60" t="n"/>
      <c r="AA953" s="61" t="n"/>
      <c r="AB953" s="40" t="n"/>
      <c r="AC953" s="40" t="n"/>
      <c r="AD953" s="40" t="n"/>
      <c r="AE953" s="40" t="n"/>
      <c r="AF953" s="40" t="n"/>
      <c r="AG953" s="61" t="n"/>
    </row>
    <row r="954" ht="15.75" customHeight="1" s="191">
      <c r="O954" s="60" t="n"/>
      <c r="AA954" s="61" t="n"/>
      <c r="AB954" s="40" t="n"/>
      <c r="AC954" s="40" t="n"/>
      <c r="AD954" s="40" t="n"/>
      <c r="AE954" s="40" t="n"/>
      <c r="AF954" s="40" t="n"/>
      <c r="AG954" s="61" t="n"/>
    </row>
    <row r="955" ht="15.75" customHeight="1" s="191">
      <c r="O955" s="60" t="n"/>
      <c r="AA955" s="61" t="n"/>
      <c r="AB955" s="40" t="n"/>
      <c r="AC955" s="40" t="n"/>
      <c r="AD955" s="40" t="n"/>
      <c r="AE955" s="40" t="n"/>
      <c r="AF955" s="40" t="n"/>
      <c r="AG955" s="61" t="n"/>
    </row>
    <row r="956" ht="15.75" customHeight="1" s="191">
      <c r="O956" s="60" t="n"/>
      <c r="AA956" s="61" t="n"/>
      <c r="AB956" s="40" t="n"/>
      <c r="AC956" s="40" t="n"/>
      <c r="AD956" s="40" t="n"/>
      <c r="AE956" s="40" t="n"/>
      <c r="AF956" s="40" t="n"/>
      <c r="AG956" s="61" t="n"/>
    </row>
    <row r="957" ht="15.75" customHeight="1" s="191">
      <c r="O957" s="31" t="n"/>
      <c r="AA957" s="61" t="n"/>
      <c r="AB957" s="40" t="n"/>
      <c r="AC957" s="40" t="n"/>
      <c r="AD957" s="40" t="n"/>
      <c r="AE957" s="40" t="n"/>
      <c r="AF957" s="40" t="n"/>
      <c r="AG957" s="61" t="n"/>
    </row>
    <row r="958" ht="15" customHeight="1" s="191">
      <c r="AB958" s="40" t="n"/>
      <c r="AC958" s="40" t="n"/>
      <c r="AD958" s="40" t="n"/>
      <c r="AE958" s="40" t="n"/>
      <c r="AF958" s="40" t="n"/>
      <c r="AG958" s="61" t="n"/>
    </row>
    <row r="959" ht="15" customHeight="1" s="191">
      <c r="AB959" s="40" t="n"/>
      <c r="AC959" s="40" t="n"/>
      <c r="AD959" s="40" t="n"/>
      <c r="AE959" s="40" t="n"/>
      <c r="AF959" s="40" t="n"/>
      <c r="AG959" s="61" t="n"/>
    </row>
  </sheetData>
  <mergeCells count="2">
    <mergeCell ref="BX1:CA1"/>
    <mergeCell ref="CB1:CE1"/>
  </mergeCells>
  <conditionalFormatting sqref="P3:AW3 P5:AW6 P9:AW16 P18:AW21 P23:AW33 P37:AW40 P42:AW44 P47:AW49 P51:AW52 P54:AW57 P61:AW66 P69:AW74 P77:AW79 P82:AW84 P87:AW89">
    <cfRule type="cellIs" priority="1" operator="greaterThan" dxfId="51">
      <formula>0</formula>
    </cfRule>
  </conditionalFormatting>
  <pageMargins left="0.7" right="0.7" top="0.75" bottom="0.75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F78"/>
  <sheetViews>
    <sheetView workbookViewId="0">
      <pane xSplit="5" ySplit="2" topLeftCell="N21" activePane="bottomRight" state="frozen"/>
      <selection activeCell="J6" sqref="J6"/>
      <selection pane="topRight" activeCell="J6" sqref="J6"/>
      <selection pane="bottomLeft" activeCell="J6" sqref="J6"/>
      <selection pane="bottomRight" activeCell="H1" sqref="H1:H1048576"/>
    </sheetView>
  </sheetViews>
  <sheetFormatPr baseColWidth="8" defaultColWidth="14.44140625" defaultRowHeight="14.4"/>
  <cols>
    <col width="5" customWidth="1" style="104" min="1" max="1"/>
    <col width="4.44140625" customWidth="1" style="104" min="2" max="2"/>
    <col width="3" customWidth="1" style="104" min="3" max="3"/>
    <col width="9" bestFit="1" customWidth="1" style="117" min="4" max="4"/>
    <col width="78.33203125" customWidth="1" style="125" min="5" max="5"/>
    <col width="11.33203125" customWidth="1" style="191" min="6" max="7"/>
    <col width="8.109375" bestFit="1" customWidth="1" style="191" min="8" max="8"/>
    <col width="11.33203125" customWidth="1" style="191" min="9" max="13"/>
    <col width="9.109375" customWidth="1" style="191" min="14" max="28"/>
    <col width="9.109375" customWidth="1" style="191" min="29" max="32"/>
    <col width="9.109375" customWidth="1" style="191" min="33" max="45"/>
    <col width="9.109375" customWidth="1" style="191" min="46" max="49"/>
    <col width="9.109375" customWidth="1" style="191" min="50" max="52"/>
    <col width="10.88671875" bestFit="1" customWidth="1" style="191" min="53" max="54"/>
    <col width="14.88671875" customWidth="1" style="191" min="55" max="55"/>
    <col width="9.109375" customWidth="1" style="191" min="56" max="61"/>
    <col width="11.5546875" customWidth="1" style="191" min="62" max="62"/>
    <col width="8.6640625" customWidth="1" style="191" min="63" max="70"/>
    <col width="10.33203125" customWidth="1" style="191" min="71" max="71"/>
    <col width="7.44140625" customWidth="1" style="191" min="72" max="72"/>
    <col width="8.6640625" customWidth="1" style="191" min="73" max="75"/>
    <col width="8.44140625" customWidth="1" style="191" min="76" max="76"/>
    <col width="8.6640625" customWidth="1" style="191" min="77" max="84"/>
  </cols>
  <sheetData>
    <row r="1" ht="15" customHeight="1" s="191" thickBot="1">
      <c r="A1" s="115" t="n"/>
      <c r="B1" s="115" t="n"/>
      <c r="C1" s="115" t="n"/>
      <c r="D1" s="115" t="n"/>
      <c r="E1" s="678" t="inlineStr">
        <is>
          <t>HARMONOGRAM SKOMPRESOWANY v1  |  01.01.2027 – 28.09.2029  |  Kompresja −40% per zadanie  |  Endava +5 etatów  |  AGH +4 etatów</t>
        </is>
      </c>
      <c r="F1" s="662" t="n"/>
      <c r="G1" s="662" t="n"/>
      <c r="H1" s="662" t="n"/>
      <c r="I1" s="662" t="n"/>
      <c r="J1" s="551">
        <f>III_Model_PT!M1+1</f>
        <v/>
      </c>
      <c r="K1" s="475" t="inlineStr">
        <is>
          <t>równolegle z Zadaniem VIII</t>
        </is>
      </c>
      <c r="L1" s="475" t="n"/>
      <c r="M1" s="551">
        <f>MAX(M3:M9999)</f>
        <v/>
      </c>
      <c r="N1" s="679">
        <f>SUM(N$4:N$999)</f>
        <v/>
      </c>
      <c r="O1" s="686">
        <f>SUM(O$4:O$999)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AX1" s="373">
        <f>#REF!</f>
        <v/>
      </c>
      <c r="AY1" s="374" t="n"/>
      <c r="AZ1" s="374" t="n"/>
      <c r="BA1" s="374" t="n"/>
      <c r="BB1" s="375" t="n"/>
      <c r="BC1" s="369">
        <f>#REF!</f>
        <v/>
      </c>
      <c r="BD1" s="370" t="n"/>
      <c r="BE1" s="369" t="n"/>
      <c r="BF1" s="370" t="n"/>
      <c r="BG1" s="369" t="n"/>
      <c r="BH1" s="370" t="n"/>
      <c r="BI1" s="371">
        <f>#REF!</f>
        <v/>
      </c>
      <c r="BJ1" s="371" t="n"/>
      <c r="BK1" s="371" t="n"/>
      <c r="BL1" s="371" t="n"/>
      <c r="BM1" s="372" t="n"/>
      <c r="BN1" s="372" t="n"/>
      <c r="BO1" s="372" t="n"/>
      <c r="BP1" s="372" t="n"/>
      <c r="BQ1" s="372" t="n"/>
      <c r="BR1" s="372" t="n"/>
      <c r="BS1" s="372" t="n"/>
      <c r="BT1" s="372" t="n"/>
      <c r="BU1" s="372" t="n"/>
      <c r="BV1" s="372" t="n"/>
      <c r="BW1" s="372" t="n"/>
      <c r="BX1" s="687">
        <f>#REF!</f>
        <v/>
      </c>
      <c r="BY1" s="688" t="n"/>
      <c r="BZ1" s="688" t="n"/>
      <c r="CA1" s="689" t="n"/>
      <c r="CB1" s="687">
        <f>#REF!</f>
        <v/>
      </c>
      <c r="CC1" s="688" t="n"/>
      <c r="CD1" s="688" t="n"/>
      <c r="CE1" s="689" t="n"/>
    </row>
    <row r="2" ht="100.8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380">
        <f>Karta!BH2</f>
        <v/>
      </c>
      <c r="AY2" s="380">
        <f>Karta!BI2</f>
        <v/>
      </c>
      <c r="AZ2" s="380">
        <f>Karta!BJ2</f>
        <v/>
      </c>
      <c r="BA2" s="380">
        <f>Karta!BK2</f>
        <v/>
      </c>
      <c r="BB2" s="380">
        <f>Karta!BL2</f>
        <v/>
      </c>
      <c r="BC2" s="6">
        <f>Karta!BM2</f>
        <v/>
      </c>
      <c r="BD2" s="6">
        <f>Karta!BN2</f>
        <v/>
      </c>
      <c r="BE2" s="6">
        <f>Karta!BO2</f>
        <v/>
      </c>
      <c r="BF2" s="6">
        <f>Karta!BP2</f>
        <v/>
      </c>
      <c r="BG2" s="6">
        <f>Karta!BQ2</f>
        <v/>
      </c>
      <c r="BH2" s="6">
        <f>Karta!BR2</f>
        <v/>
      </c>
      <c r="BI2" s="6">
        <f>Karta!BS2</f>
        <v/>
      </c>
      <c r="BJ2" s="6">
        <f>Karta!BT2</f>
        <v/>
      </c>
      <c r="BK2" s="6">
        <f>Karta!BU2</f>
        <v/>
      </c>
      <c r="BL2" s="6">
        <f>Karta!BV2</f>
        <v/>
      </c>
      <c r="BM2" s="6">
        <f>Karta!BW2</f>
        <v/>
      </c>
      <c r="BN2" s="6">
        <f>Karta!BX2</f>
        <v/>
      </c>
      <c r="BO2" s="6">
        <f>Karta!BY2</f>
        <v/>
      </c>
      <c r="BP2" s="6">
        <f>Karta!BZ2</f>
        <v/>
      </c>
      <c r="BQ2" s="6">
        <f>Karta!CA2</f>
        <v/>
      </c>
      <c r="BR2" s="6">
        <f>Karta!CB2</f>
        <v/>
      </c>
      <c r="BS2" s="6">
        <f>Karta!CC2</f>
        <v/>
      </c>
      <c r="BT2" s="6">
        <f>Karta!CD2</f>
        <v/>
      </c>
      <c r="BU2" s="6">
        <f>Karta!CE2</f>
        <v/>
      </c>
      <c r="BV2" s="6">
        <f>Karta!CF2</f>
        <v/>
      </c>
      <c r="BW2" s="6">
        <f>Karta!CG2</f>
        <v/>
      </c>
      <c r="BX2" s="6">
        <f>Karta!CH2</f>
        <v/>
      </c>
      <c r="BY2" s="6">
        <f>Karta!CI2</f>
        <v/>
      </c>
      <c r="BZ2" s="6">
        <f>Karta!CJ2</f>
        <v/>
      </c>
      <c r="CA2" s="6">
        <f>Karta!CK2</f>
        <v/>
      </c>
      <c r="CB2" s="6">
        <f>Karta!CL2</f>
        <v/>
      </c>
      <c r="CC2" s="6">
        <f>Karta!CM2</f>
        <v/>
      </c>
      <c r="CD2" s="6">
        <f>Karta!CN2</f>
        <v/>
      </c>
      <c r="CE2" s="6">
        <f>Karta!CO2</f>
        <v/>
      </c>
      <c r="CF2" s="6">
        <f>Karta!CP2</f>
        <v/>
      </c>
    </row>
    <row r="3" ht="16.2" customFormat="1" customHeight="1" s="141" thickBot="1">
      <c r="A3" s="110" t="inlineStr">
        <is>
          <t>.z06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202" t="n"/>
      <c r="G3" s="202" t="n"/>
      <c r="H3" s="203" t="n"/>
      <c r="I3" s="203" t="n"/>
      <c r="J3" s="172" t="n"/>
      <c r="K3" s="172" t="n"/>
      <c r="L3" s="172" t="n"/>
      <c r="M3" s="172" t="n"/>
      <c r="N3" s="172" t="n"/>
      <c r="P3" s="204" t="n"/>
      <c r="Q3" s="204" t="n"/>
      <c r="R3" s="204" t="n"/>
      <c r="S3" s="204" t="n"/>
      <c r="T3" s="204" t="n"/>
      <c r="U3" s="204" t="n"/>
      <c r="V3" s="204" t="n"/>
      <c r="W3" s="204" t="n"/>
      <c r="X3" s="204" t="n"/>
      <c r="Y3" s="205" t="n"/>
      <c r="Z3" s="205" t="n"/>
      <c r="AA3" s="205" t="n"/>
      <c r="AB3" s="205" t="n"/>
      <c r="AC3" s="303" t="n"/>
      <c r="AD3" s="303" t="n"/>
      <c r="AE3" s="303" t="n"/>
      <c r="AF3" s="303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5" t="n"/>
      <c r="AQ3" s="205" t="n"/>
      <c r="AR3" s="205" t="n"/>
      <c r="AS3" s="245" t="n"/>
      <c r="AT3" s="303" t="n"/>
      <c r="AU3" s="303" t="n"/>
      <c r="AV3" s="303" t="n"/>
      <c r="AW3" s="303" t="n"/>
      <c r="AX3" s="206" t="n"/>
      <c r="AY3" s="206" t="n"/>
      <c r="AZ3" s="207" t="n"/>
      <c r="BA3" s="208" t="n"/>
      <c r="BB3" s="175" t="n"/>
      <c r="BC3" s="4" t="n"/>
      <c r="BD3" s="3" t="n"/>
      <c r="BE3" s="3" t="n"/>
      <c r="BF3" s="4" t="n"/>
      <c r="BG3" s="4" t="n"/>
      <c r="BH3" s="3" t="n"/>
      <c r="BI3" s="174" t="n"/>
      <c r="BJ3" s="4" t="n"/>
      <c r="BK3" s="209" t="n"/>
      <c r="BL3" s="483" t="n"/>
      <c r="BM3" s="210" t="n"/>
      <c r="BN3" s="209" t="n"/>
      <c r="BO3" s="483" t="n"/>
      <c r="BP3" s="210" t="n"/>
      <c r="BQ3" s="209" t="n"/>
      <c r="BR3" s="483" t="n"/>
      <c r="BS3" s="483" t="n"/>
      <c r="BT3" s="210" t="n"/>
      <c r="BU3" s="4" t="n"/>
      <c r="BV3" s="4" t="n"/>
      <c r="BW3" s="483" t="n"/>
      <c r="BX3" s="4" t="n"/>
      <c r="BY3" s="4" t="n"/>
      <c r="BZ3" s="4" t="n"/>
      <c r="CA3" s="483" t="n"/>
      <c r="CB3" s="4" t="n"/>
      <c r="CC3" s="4" t="n"/>
      <c r="CD3" s="4" t="n"/>
      <c r="CE3" s="483" t="n"/>
      <c r="CF3" s="659" t="n"/>
    </row>
    <row r="4" ht="18.6" customHeight="1" s="191" thickBot="1">
      <c r="A4" s="410" t="n">
        <v>1</v>
      </c>
      <c r="B4" s="441" t="inlineStr">
        <is>
          <t>a</t>
        </is>
      </c>
      <c r="C4" s="105" t="n">
        <v>-1</v>
      </c>
      <c r="D4" s="116">
        <f>CONCATENATE(A$3,"_",A4,"_",B4,"_",C4)</f>
        <v/>
      </c>
      <c r="E4" s="410" t="inlineStr">
        <is>
          <t>1.Opracowanie koncepcji standaryzowanej bazy danych Kompletacji Zamówień</t>
        </is>
      </c>
      <c r="F4" s="148" t="n"/>
      <c r="G4" s="148" t="n"/>
      <c r="H4" s="51" t="n"/>
      <c r="I4" s="85" t="inlineStr">
        <is>
          <t>ACT</t>
        </is>
      </c>
      <c r="J4" s="90" t="n"/>
      <c r="K4" s="90" t="n"/>
      <c r="L4" s="90" t="n"/>
      <c r="M4" s="90" t="n"/>
      <c r="N4" s="415" t="n"/>
      <c r="O4" s="415" t="n"/>
      <c r="P4" s="415" t="n"/>
      <c r="Q4" s="468" t="n"/>
      <c r="R4" s="468" t="n"/>
      <c r="S4" s="468" t="n"/>
      <c r="T4" s="130" t="n"/>
      <c r="U4" s="130" t="n"/>
      <c r="V4" s="130" t="n"/>
      <c r="W4" s="130" t="n"/>
      <c r="X4" s="130" t="n"/>
      <c r="Y4" s="468" t="n"/>
      <c r="Z4" s="468" t="n"/>
      <c r="AA4" s="468" t="n"/>
      <c r="AB4" s="148" t="n"/>
      <c r="AC4" s="173" t="n"/>
      <c r="AD4" s="173" t="n"/>
      <c r="AE4" s="173" t="n"/>
      <c r="AF4" s="173" t="n"/>
      <c r="AG4" s="148" t="n"/>
      <c r="AH4" s="148" t="n"/>
      <c r="AI4" s="148" t="n"/>
      <c r="AJ4" s="148" t="n"/>
      <c r="AK4" s="190" t="n"/>
      <c r="AL4" s="190" t="n"/>
      <c r="AM4" s="190" t="n"/>
      <c r="AN4" s="190" t="n"/>
      <c r="AO4" s="190" t="n"/>
      <c r="AP4" s="148" t="n"/>
      <c r="AQ4" s="148" t="n"/>
      <c r="AR4" s="148" t="n"/>
      <c r="AS4" s="148" t="n"/>
      <c r="AT4" s="148" t="n"/>
      <c r="AU4" s="148" t="n"/>
      <c r="AV4" s="148" t="n"/>
      <c r="AW4" s="148" t="n"/>
      <c r="AX4" s="148" t="n"/>
      <c r="AY4" s="148" t="n"/>
      <c r="AZ4" s="148" t="n"/>
      <c r="BA4" s="663" t="n"/>
      <c r="BB4" s="14">
        <f>BB5+BB6+BB7+BB8+BB9+BB10</f>
        <v/>
      </c>
      <c r="BC4" s="528" t="n"/>
      <c r="BD4" s="528" t="n"/>
      <c r="BE4" s="528" t="n"/>
      <c r="BF4" s="528" t="n"/>
      <c r="BG4" s="528" t="n"/>
      <c r="BH4" s="528" t="n"/>
      <c r="BI4" s="14">
        <f>BI5+BI6+BI7+BI8+BI9+BI10</f>
        <v/>
      </c>
      <c r="BJ4" s="528" t="n"/>
      <c r="BK4" s="51" t="n"/>
      <c r="BL4" s="14">
        <f>BL5+BL6+BL7+BL9+BL8+BL10</f>
        <v/>
      </c>
      <c r="BM4" s="399" t="n"/>
      <c r="BN4" s="51" t="n"/>
      <c r="BO4" s="14">
        <f>BO5+BO6+BO7+BO9+BO8+BO10</f>
        <v/>
      </c>
      <c r="BP4" s="399" t="n"/>
      <c r="BQ4" s="51" t="n"/>
      <c r="BR4" s="14">
        <f>BR5+BR6+BR7+BR9+BR8+BR10</f>
        <v/>
      </c>
      <c r="BS4" s="14">
        <f>BS5+BS6+BS7+BS9+BS8+BS10</f>
        <v/>
      </c>
      <c r="BT4" s="399" t="n"/>
      <c r="BU4" s="528" t="n"/>
      <c r="BV4" s="528" t="n"/>
      <c r="BW4" s="14">
        <f>BW5+BW6+BW7+BW8+BW9+BW10</f>
        <v/>
      </c>
      <c r="BX4" s="528" t="n"/>
      <c r="BY4" s="528" t="n"/>
      <c r="BZ4" s="528" t="n"/>
      <c r="CA4" s="14">
        <f>CA5+CA6+CA7+CA8+CA9+CA10</f>
        <v/>
      </c>
      <c r="CB4" s="528" t="n"/>
      <c r="CC4" s="528" t="n"/>
      <c r="CD4" s="528" t="n"/>
      <c r="CE4" s="14">
        <f>CE5+CE6+CE7+CE8+CE9+CE10</f>
        <v/>
      </c>
      <c r="CF4" s="40">
        <f>AY4+BB4+BI4+BL4+BO4+BR4+BS4+BW4+CA4+CE4</f>
        <v/>
      </c>
    </row>
    <row r="5">
      <c r="A5" s="441" t="n">
        <v>1</v>
      </c>
      <c r="B5" s="441" t="inlineStr">
        <is>
          <t>a</t>
        </is>
      </c>
      <c r="C5" s="105" t="n">
        <v>0</v>
      </c>
      <c r="D5" s="116">
        <f>CONCATENATE(A$3,"_",A5,"_",B5,"_",C5)</f>
        <v/>
      </c>
      <c r="E5" s="435" t="inlineStr">
        <is>
          <t>Projektowanie struktury bazy danych, która zapewni jej wydajność, spójność i skalowalność</t>
        </is>
      </c>
      <c r="F5" s="148" t="n"/>
      <c r="G5" s="148" t="n"/>
      <c r="H5" s="148" t="n"/>
      <c r="I5" s="148" t="n"/>
      <c r="J5" s="148" t="n"/>
      <c r="K5" s="148" t="n"/>
      <c r="L5" s="148" t="n"/>
      <c r="M5" s="148" t="n"/>
      <c r="N5" s="444" t="n"/>
      <c r="O5" s="444" t="n"/>
      <c r="P5" s="444" t="n"/>
      <c r="Q5" s="468" t="n"/>
      <c r="R5" s="468" t="n"/>
      <c r="S5" s="468" t="n"/>
      <c r="T5" s="468" t="n"/>
      <c r="U5" s="130" t="n"/>
      <c r="V5" s="130" t="n"/>
      <c r="W5" s="130" t="n"/>
      <c r="X5" s="468" t="n"/>
      <c r="Y5" s="468" t="n"/>
      <c r="Z5" s="468" t="n"/>
      <c r="AA5" s="468" t="n"/>
      <c r="AB5" s="468" t="n"/>
      <c r="AC5" s="468" t="n"/>
      <c r="AD5" s="468" t="n"/>
      <c r="AE5" s="468" t="n"/>
      <c r="AF5" s="468" t="n"/>
      <c r="AG5" s="468" t="n"/>
      <c r="AH5" s="468" t="n"/>
      <c r="AI5" s="468" t="n"/>
      <c r="AJ5" s="468" t="n"/>
      <c r="AK5" s="468" t="n"/>
      <c r="AL5" s="130" t="n"/>
      <c r="AM5" s="130" t="n"/>
      <c r="AN5" s="130" t="n"/>
      <c r="AO5" s="468" t="n"/>
      <c r="AP5" s="468" t="n"/>
      <c r="AQ5" s="468" t="n"/>
      <c r="AR5" s="468" t="n"/>
      <c r="AS5" s="468" t="n"/>
      <c r="AT5" s="468" t="n"/>
      <c r="AU5" s="468" t="n"/>
      <c r="AV5" s="468" t="n"/>
      <c r="AW5" s="468" t="n"/>
      <c r="AX5" s="468" t="n"/>
      <c r="AY5" s="468" t="n"/>
      <c r="AZ5" s="468" t="n"/>
      <c r="BA5" s="468" t="n"/>
      <c r="BB5" s="468" t="n"/>
      <c r="BC5" s="468" t="n"/>
      <c r="BD5" s="468" t="n"/>
      <c r="BE5" s="468" t="n"/>
      <c r="BF5" s="468" t="n"/>
      <c r="BG5" s="468" t="n"/>
      <c r="BH5" s="468" t="n"/>
      <c r="BI5" s="21">
        <f>BG5*BH5</f>
        <v/>
      </c>
      <c r="BJ5" s="528" t="n"/>
      <c r="BK5" s="528" t="n"/>
      <c r="BL5" s="21" t="n"/>
      <c r="BM5" s="528" t="n"/>
      <c r="BN5" s="528" t="n"/>
      <c r="BO5" s="21" t="n"/>
      <c r="BP5" s="528" t="n"/>
      <c r="BQ5" s="528" t="n"/>
      <c r="BR5" s="21" t="n"/>
      <c r="BS5" s="21" t="n"/>
      <c r="BT5" s="528" t="n"/>
      <c r="BU5" s="528" t="n"/>
      <c r="BV5" s="528" t="n"/>
      <c r="BW5" s="21">
        <f>BU5*BV5</f>
        <v/>
      </c>
      <c r="BX5" s="528" t="n"/>
      <c r="BY5" s="528" t="n"/>
      <c r="BZ5" s="528" t="n"/>
      <c r="CA5" s="21">
        <f>BY5*BZ5</f>
        <v/>
      </c>
      <c r="CB5" s="528" t="n"/>
      <c r="CC5" s="528" t="n"/>
      <c r="CD5" s="528" t="n"/>
      <c r="CE5" s="21">
        <f>CC5*CD5</f>
        <v/>
      </c>
    </row>
    <row r="6" ht="27.6" customHeight="1" s="191">
      <c r="A6" s="441" t="n">
        <v>1</v>
      </c>
      <c r="B6" s="441" t="inlineStr">
        <is>
          <t>a</t>
        </is>
      </c>
      <c r="C6" s="105" t="n">
        <v>1</v>
      </c>
      <c r="D6" s="116">
        <f>CONCATENATE(A$3,"_",A6,"_",B6,"_",C6)</f>
        <v/>
      </c>
      <c r="E6" s="422" t="inlineStr">
        <is>
          <t>Opracowanie logicznego i fizycznego modelu bazy danych, uwzględniającego wszystkie kluczowe elementy (np. tabele, relacje, indeksy i klucze)</t>
        </is>
      </c>
      <c r="F6" s="528">
        <f>IFERROR(VLOOKUP($I6,Listy!$A:$H,2,FALSE),"XXX")</f>
        <v/>
      </c>
      <c r="G6" s="528">
        <f>IFERROR(VLOOKUP($I6,Listy!$A:$H,3,FALSE),"XXX")</f>
        <v/>
      </c>
      <c r="H6" s="416" t="n">
        <v>1</v>
      </c>
      <c r="I6" s="89" t="inlineStr">
        <is>
          <t>.a02</t>
        </is>
      </c>
      <c r="J6" s="475">
        <f>J1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74" t="n">
        <v>1</v>
      </c>
      <c r="O6" s="444" t="n">
        <v>160</v>
      </c>
      <c r="P6" s="187" t="n">
        <v>0.25</v>
      </c>
      <c r="Q6" s="187" t="n">
        <v>0.25</v>
      </c>
      <c r="R6" s="187" t="n">
        <v>0.25</v>
      </c>
      <c r="S6" s="187" t="n">
        <v>0.25</v>
      </c>
      <c r="T6" s="187" t="n"/>
      <c r="U6" s="187" t="n"/>
      <c r="V6" s="187" t="n"/>
      <c r="W6" s="187" t="n"/>
      <c r="X6" s="187" t="n"/>
      <c r="Y6" s="292" t="n">
        <v>0</v>
      </c>
      <c r="Z6" s="292" t="n">
        <v>0</v>
      </c>
      <c r="AA6" s="292" t="n">
        <v>0</v>
      </c>
      <c r="AB6" s="292" t="n">
        <v>0</v>
      </c>
      <c r="AC6" s="305" t="n"/>
      <c r="AD6" s="305" t="n"/>
      <c r="AE6" s="305" t="n"/>
      <c r="AF6" s="305" t="n"/>
      <c r="AG6" s="192">
        <f>ROUND($O6*P6,0)</f>
        <v/>
      </c>
      <c r="AH6" s="192">
        <f>ROUND($O6*Q6,0)</f>
        <v/>
      </c>
      <c r="AI6" s="192">
        <f>ROUND($O6*R6,0)</f>
        <v/>
      </c>
      <c r="AJ6" s="192">
        <f>ROUND($O6*S6,0)</f>
        <v/>
      </c>
      <c r="AK6" s="192">
        <f>ROUND($O6*T6,0)</f>
        <v/>
      </c>
      <c r="AL6" s="192">
        <f>ROUND($O6*U6,0)</f>
        <v/>
      </c>
      <c r="AM6" s="192">
        <f>ROUND($O6*V6,0)</f>
        <v/>
      </c>
      <c r="AN6" s="192">
        <f>ROUND($O6*W6,0)</f>
        <v/>
      </c>
      <c r="AO6" s="192">
        <f>ROUND($O6*X6,0)</f>
        <v/>
      </c>
      <c r="AP6" s="193">
        <f>ROUND($O6*Y6,0)</f>
        <v/>
      </c>
      <c r="AQ6" s="193">
        <f>ROUND($O6*Z6,0)</f>
        <v/>
      </c>
      <c r="AR6" s="193">
        <f>ROUND($O6*AA6,0)</f>
        <v/>
      </c>
      <c r="AS6" s="193">
        <f>ROUND($O6*AB6,0)</f>
        <v/>
      </c>
      <c r="AT6" s="306">
        <f>ROUND($O6*AC6,0)</f>
        <v/>
      </c>
      <c r="AU6" s="306">
        <f>ROUND($O6*AD6,0)</f>
        <v/>
      </c>
      <c r="AV6" s="306">
        <f>ROUND($O6*AE6,0)</f>
        <v/>
      </c>
      <c r="AW6" s="306">
        <f>ROUND($O6*AF6,0)</f>
        <v/>
      </c>
      <c r="AX6" s="236">
        <f>SUM(AG6:AO6)</f>
        <v/>
      </c>
      <c r="AY6" s="528">
        <f>AX6/160</f>
        <v/>
      </c>
      <c r="AZ6" s="87">
        <f>VLOOKUP(I6,Listy!$A$1:$H$9,6,FALSE)</f>
        <v/>
      </c>
      <c r="BA6" s="682">
        <f>AY6*AZ6</f>
        <v/>
      </c>
      <c r="BB6" s="683">
        <f>AY6*BA6</f>
        <v/>
      </c>
      <c r="BC6" s="528" t="n"/>
      <c r="BD6" s="528" t="n"/>
      <c r="BE6" s="528" t="n"/>
      <c r="BF6" s="528" t="n"/>
      <c r="BG6" s="528" t="n"/>
      <c r="BH6" s="528" t="n"/>
      <c r="BI6" s="21">
        <f>BG6*BH6</f>
        <v/>
      </c>
      <c r="BJ6" s="528" t="n"/>
      <c r="BK6" s="528" t="n"/>
      <c r="BL6" s="528" t="n"/>
      <c r="BM6" s="528" t="n"/>
      <c r="BN6" s="528" t="n"/>
      <c r="BO6" s="528" t="n"/>
      <c r="BP6" s="528" t="n"/>
      <c r="BQ6" s="528" t="n"/>
      <c r="BR6" s="528" t="n"/>
      <c r="BS6" s="528" t="n"/>
      <c r="BT6" s="528" t="n"/>
      <c r="BU6" s="528" t="n"/>
      <c r="BV6" s="528" t="n"/>
      <c r="BW6" s="21">
        <f>BU6*BV6</f>
        <v/>
      </c>
      <c r="BX6" s="528" t="n"/>
      <c r="BY6" s="528" t="n"/>
      <c r="BZ6" s="528" t="n"/>
      <c r="CA6" s="21">
        <f>BY6*BZ6</f>
        <v/>
      </c>
      <c r="CB6" s="528" t="n"/>
      <c r="CC6" s="528" t="n"/>
      <c r="CD6" s="528" t="n"/>
      <c r="CE6" s="21">
        <f>CC6*CD6</f>
        <v/>
      </c>
    </row>
    <row r="7" ht="27.6" customHeight="1" s="191">
      <c r="A7" s="441" t="n">
        <v>1</v>
      </c>
      <c r="B7" s="441" t="inlineStr">
        <is>
          <t>a</t>
        </is>
      </c>
      <c r="C7" s="105" t="n">
        <v>2</v>
      </c>
      <c r="D7" s="116">
        <f>CONCATENATE(A$3,"_",A7,"_",B7,"_",C7)</f>
        <v/>
      </c>
      <c r="E7" s="422" t="inlineStr">
        <is>
          <t>Opracowanie architektury systemu, zapewniającą obsługę rosnącej ilości danych celem szybkiego i efektywnego ich przetwarzania</t>
        </is>
      </c>
      <c r="F7" s="528">
        <f>IFERROR(VLOOKUP($I7,Listy!$A:$H,2,FALSE),"XXX")</f>
        <v/>
      </c>
      <c r="G7" s="528">
        <f>IFERROR(VLOOKUP($I7,Listy!$A:$H,3,FALSE),"XXX")</f>
        <v/>
      </c>
      <c r="H7" s="444" t="n">
        <v>1</v>
      </c>
      <c r="I7" s="89" t="inlineStr">
        <is>
          <t>.a03</t>
        </is>
      </c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74">
        <f>ROUND(MAX(AG7:AO7)/Listy!$U$2,0)</f>
        <v/>
      </c>
      <c r="O7" s="444" t="n">
        <v>20</v>
      </c>
      <c r="P7" s="187" t="n">
        <v>0.25</v>
      </c>
      <c r="Q7" s="187" t="n">
        <v>0.25</v>
      </c>
      <c r="R7" s="187" t="n">
        <v>0.25</v>
      </c>
      <c r="S7" s="187" t="n">
        <v>0.25</v>
      </c>
      <c r="T7" s="187" t="n"/>
      <c r="U7" s="187" t="n"/>
      <c r="V7" s="187" t="n"/>
      <c r="W7" s="187" t="n"/>
      <c r="X7" s="187" t="n"/>
      <c r="Y7" s="292" t="n">
        <v>0</v>
      </c>
      <c r="Z7" s="292" t="n">
        <v>0</v>
      </c>
      <c r="AA7" s="292" t="n">
        <v>0</v>
      </c>
      <c r="AB7" s="292" t="n">
        <v>0</v>
      </c>
      <c r="AC7" s="305" t="n"/>
      <c r="AD7" s="305" t="n"/>
      <c r="AE7" s="305" t="n"/>
      <c r="AF7" s="305" t="n"/>
      <c r="AG7" s="192">
        <f>ROUND($O7*P7,0)</f>
        <v/>
      </c>
      <c r="AH7" s="192">
        <f>ROUND($O7*Q7,0)</f>
        <v/>
      </c>
      <c r="AI7" s="192">
        <f>ROUND($O7*R7,0)</f>
        <v/>
      </c>
      <c r="AJ7" s="192">
        <f>ROUND($O7*S7,0)</f>
        <v/>
      </c>
      <c r="AK7" s="192">
        <f>ROUND($O7*T7,0)</f>
        <v/>
      </c>
      <c r="AL7" s="192">
        <f>ROUND($O7*U7,0)</f>
        <v/>
      </c>
      <c r="AM7" s="192">
        <f>ROUND($O7*V7,0)</f>
        <v/>
      </c>
      <c r="AN7" s="192">
        <f>ROUND($O7*W7,0)</f>
        <v/>
      </c>
      <c r="AO7" s="192">
        <f>ROUND($O7*X7,0)</f>
        <v/>
      </c>
      <c r="AP7" s="193">
        <f>ROUND($O7*Y7,0)</f>
        <v/>
      </c>
      <c r="AQ7" s="193">
        <f>ROUND($O7*Z7,0)</f>
        <v/>
      </c>
      <c r="AR7" s="193">
        <f>ROUND($O7*AA7,0)</f>
        <v/>
      </c>
      <c r="AS7" s="193">
        <f>ROUND($O7*AB7,0)</f>
        <v/>
      </c>
      <c r="AT7" s="306">
        <f>ROUND($O7*AC7,0)</f>
        <v/>
      </c>
      <c r="AU7" s="306">
        <f>ROUND($O7*AD7,0)</f>
        <v/>
      </c>
      <c r="AV7" s="306">
        <f>ROUND($O7*AE7,0)</f>
        <v/>
      </c>
      <c r="AW7" s="306">
        <f>ROUND($O7*AF7,0)</f>
        <v/>
      </c>
      <c r="AX7" s="236">
        <f>SUM(AG7:AO7)</f>
        <v/>
      </c>
      <c r="AY7" s="528">
        <f>AX7/160</f>
        <v/>
      </c>
      <c r="AZ7" s="87">
        <f>VLOOKUP(I7,Listy!$A$1:$H$9,6,FALSE)</f>
        <v/>
      </c>
      <c r="BA7" s="682">
        <f>AY7*AZ7</f>
        <v/>
      </c>
      <c r="BB7" s="683">
        <f>AY7*BA7</f>
        <v/>
      </c>
      <c r="BC7" s="528" t="n"/>
      <c r="BD7" s="528" t="n"/>
      <c r="BE7" s="528" t="n"/>
      <c r="BF7" s="528" t="n"/>
      <c r="BG7" s="528" t="n"/>
      <c r="BH7" s="528" t="n"/>
      <c r="BI7" s="21">
        <f>BG7*BH7</f>
        <v/>
      </c>
      <c r="BJ7" s="528" t="n"/>
      <c r="BK7" s="528" t="n"/>
      <c r="BL7" s="528" t="n"/>
      <c r="BM7" s="528" t="n"/>
      <c r="BN7" s="528" t="n"/>
      <c r="BO7" s="528" t="n"/>
      <c r="BP7" s="528" t="n"/>
      <c r="BQ7" s="528" t="n"/>
      <c r="BR7" s="528" t="n"/>
      <c r="BS7" s="528" t="n"/>
      <c r="BT7" s="528" t="n"/>
      <c r="BU7" s="528" t="n"/>
      <c r="BV7" s="528" t="n"/>
      <c r="BW7" s="21">
        <f>BU7*BV7</f>
        <v/>
      </c>
      <c r="BX7" s="528" t="n"/>
      <c r="BY7" s="528" t="n"/>
      <c r="BZ7" s="528" t="n"/>
      <c r="CA7" s="21">
        <f>BY7*BZ7</f>
        <v/>
      </c>
      <c r="CB7" s="528" t="n"/>
      <c r="CC7" s="528" t="n"/>
      <c r="CD7" s="528" t="n"/>
      <c r="CE7" s="21">
        <f>CC7*CD7</f>
        <v/>
      </c>
    </row>
    <row r="8" ht="27.6" customHeight="1" s="191">
      <c r="A8" s="441" t="n">
        <v>1</v>
      </c>
      <c r="B8" s="441" t="inlineStr">
        <is>
          <t>a</t>
        </is>
      </c>
      <c r="C8" s="105" t="n">
        <v>3</v>
      </c>
      <c r="D8" s="116">
        <f>CONCATENATE(A$3,"_",A8,"_",B8,"_",C8)</f>
        <v/>
      </c>
      <c r="E8" s="422" t="inlineStr">
        <is>
          <t>Opracowanie mechanizmów do administrowania, eksploatacji i monitorowania bazy danych oraz współpracy z modułami planowanej platformy ICT</t>
        </is>
      </c>
      <c r="F8" s="528">
        <f>IFERROR(VLOOKUP($I8,Listy!$A:$H,2,FALSE),"XXX")</f>
        <v/>
      </c>
      <c r="G8" s="528">
        <f>IFERROR(VLOOKUP($I8,Listy!$A:$H,3,FALSE),"XXX")</f>
        <v/>
      </c>
      <c r="H8" s="444" t="n">
        <v>1</v>
      </c>
      <c r="I8" s="89" t="inlineStr">
        <is>
          <t>.a01</t>
        </is>
      </c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74">
        <f>ROUND(MAX(AG8:AO8)/Listy!$U$2,0)</f>
        <v/>
      </c>
      <c r="O8" s="444" t="n">
        <v>20</v>
      </c>
      <c r="P8" s="187" t="n">
        <v>0.25</v>
      </c>
      <c r="Q8" s="187" t="n">
        <v>0.25</v>
      </c>
      <c r="R8" s="187" t="n">
        <v>0.25</v>
      </c>
      <c r="S8" s="187" t="n">
        <v>0.25</v>
      </c>
      <c r="T8" s="187" t="n"/>
      <c r="U8" s="187" t="n"/>
      <c r="V8" s="187" t="n"/>
      <c r="W8" s="187" t="n"/>
      <c r="X8" s="187" t="n"/>
      <c r="Y8" s="292" t="n">
        <v>0</v>
      </c>
      <c r="Z8" s="292" t="n">
        <v>0</v>
      </c>
      <c r="AA8" s="292" t="n">
        <v>0</v>
      </c>
      <c r="AB8" s="292" t="n">
        <v>0</v>
      </c>
      <c r="AC8" s="305" t="n"/>
      <c r="AD8" s="305" t="n"/>
      <c r="AE8" s="305" t="n"/>
      <c r="AF8" s="305" t="n"/>
      <c r="AG8" s="192">
        <f>ROUND($O8*P8,0)</f>
        <v/>
      </c>
      <c r="AH8" s="192">
        <f>ROUND($O8*Q8,0)</f>
        <v/>
      </c>
      <c r="AI8" s="192">
        <f>ROUND($O8*R8,0)</f>
        <v/>
      </c>
      <c r="AJ8" s="192">
        <f>ROUND($O8*S8,0)</f>
        <v/>
      </c>
      <c r="AK8" s="192">
        <f>ROUND($O8*T8,0)</f>
        <v/>
      </c>
      <c r="AL8" s="192">
        <f>ROUND($O8*U8,0)</f>
        <v/>
      </c>
      <c r="AM8" s="192">
        <f>ROUND($O8*V8,0)</f>
        <v/>
      </c>
      <c r="AN8" s="192">
        <f>ROUND($O8*W8,0)</f>
        <v/>
      </c>
      <c r="AO8" s="192">
        <f>ROUND($O8*X8,0)</f>
        <v/>
      </c>
      <c r="AP8" s="193">
        <f>ROUND($O8*Y8,0)</f>
        <v/>
      </c>
      <c r="AQ8" s="193">
        <f>ROUND($O8*Z8,0)</f>
        <v/>
      </c>
      <c r="AR8" s="193">
        <f>ROUND($O8*AA8,0)</f>
        <v/>
      </c>
      <c r="AS8" s="193">
        <f>ROUND($O8*AB8,0)</f>
        <v/>
      </c>
      <c r="AT8" s="306">
        <f>ROUND($O8*AC8,0)</f>
        <v/>
      </c>
      <c r="AU8" s="306">
        <f>ROUND($O8*AD8,0)</f>
        <v/>
      </c>
      <c r="AV8" s="306">
        <f>ROUND($O8*AE8,0)</f>
        <v/>
      </c>
      <c r="AW8" s="306">
        <f>ROUND($O8*AF8,0)</f>
        <v/>
      </c>
      <c r="AX8" s="236">
        <f>SUM(AG8:AO8)</f>
        <v/>
      </c>
      <c r="AY8" s="528">
        <f>AX8/160</f>
        <v/>
      </c>
      <c r="AZ8" s="87">
        <f>VLOOKUP(I8,Listy!$A$1:$H$9,6,FALSE)</f>
        <v/>
      </c>
      <c r="BA8" s="682">
        <f>AY8*AZ8</f>
        <v/>
      </c>
      <c r="BB8" s="683">
        <f>AY8*BA8</f>
        <v/>
      </c>
      <c r="BC8" s="528" t="n"/>
      <c r="BD8" s="528" t="n"/>
      <c r="BE8" s="528" t="n"/>
      <c r="BF8" s="528" t="n"/>
      <c r="BG8" s="528" t="n"/>
      <c r="BH8" s="528" t="n"/>
      <c r="BI8" s="21">
        <f>BG8*BH8</f>
        <v/>
      </c>
      <c r="BJ8" s="528" t="n"/>
      <c r="BK8" s="528" t="n"/>
      <c r="BL8" s="528" t="n"/>
      <c r="BM8" s="528" t="n"/>
      <c r="BN8" s="528" t="n"/>
      <c r="BO8" s="528" t="n"/>
      <c r="BP8" s="528" t="n"/>
      <c r="BQ8" s="528" t="n"/>
      <c r="BR8" s="528" t="n"/>
      <c r="BS8" s="528" t="n"/>
      <c r="BT8" s="528" t="n"/>
      <c r="BU8" s="528" t="n"/>
      <c r="BV8" s="528" t="n"/>
      <c r="BW8" s="21">
        <f>BU8*BV8</f>
        <v/>
      </c>
      <c r="BX8" s="528" t="n"/>
      <c r="BY8" s="528" t="n"/>
      <c r="BZ8" s="528" t="n"/>
      <c r="CA8" s="21">
        <f>BY8*BZ8</f>
        <v/>
      </c>
      <c r="CB8" s="528" t="n"/>
      <c r="CC8" s="528" t="n"/>
      <c r="CD8" s="528" t="n"/>
      <c r="CE8" s="21">
        <f>CC8*CD8</f>
        <v/>
      </c>
    </row>
    <row r="9">
      <c r="A9" s="441" t="n">
        <v>1</v>
      </c>
      <c r="B9" s="441" t="inlineStr">
        <is>
          <t>a</t>
        </is>
      </c>
      <c r="C9" s="105" t="n">
        <v>4</v>
      </c>
      <c r="D9" s="116">
        <f>CONCATENATE(A$3,"_",A9,"_",B9,"_",C9)</f>
        <v/>
      </c>
      <c r="E9" s="422" t="inlineStr">
        <is>
          <t>Testowanie, walidacja i optymalizacja projektu struktury bazy danych</t>
        </is>
      </c>
      <c r="F9" s="528">
        <f>IFERROR(VLOOKUP($I9,Listy!$A:$H,2,FALSE),"XXX")</f>
        <v/>
      </c>
      <c r="G9" s="528">
        <f>IFERROR(VLOOKUP($I9,Listy!$A:$H,3,FALSE),"XXX")</f>
        <v/>
      </c>
      <c r="H9" s="444" t="n">
        <v>1</v>
      </c>
      <c r="I9" s="89" t="inlineStr">
        <is>
          <t>.a02</t>
        </is>
      </c>
      <c r="J9" s="91">
        <f>M8+1</f>
        <v/>
      </c>
      <c r="K9" s="681">
        <f>VLOOKUP(J9,Kalendarz!B:E,4,FALSE)</f>
        <v/>
      </c>
      <c r="L9" s="681">
        <f>K9+N9</f>
        <v/>
      </c>
      <c r="M9" s="553">
        <f>J9+N9-1+1</f>
        <v/>
      </c>
      <c r="N9" s="474">
        <f>ROUND(MAX(AG9:AO9)/Listy!$U$2,0)</f>
        <v/>
      </c>
      <c r="O9" s="444" t="n">
        <v>20</v>
      </c>
      <c r="P9" s="187" t="n">
        <v>0.25</v>
      </c>
      <c r="Q9" s="187" t="n">
        <v>0.25</v>
      </c>
      <c r="R9" s="187" t="n">
        <v>0.25</v>
      </c>
      <c r="S9" s="187" t="n">
        <v>0.25</v>
      </c>
      <c r="T9" s="187" t="n"/>
      <c r="U9" s="187" t="n"/>
      <c r="V9" s="187" t="n"/>
      <c r="W9" s="187" t="n"/>
      <c r="X9" s="187" t="n"/>
      <c r="Y9" s="292" t="n">
        <v>0</v>
      </c>
      <c r="Z9" s="292" t="n">
        <v>0</v>
      </c>
      <c r="AA9" s="292" t="n">
        <v>0</v>
      </c>
      <c r="AB9" s="292" t="n">
        <v>0</v>
      </c>
      <c r="AC9" s="305" t="n"/>
      <c r="AD9" s="305" t="n"/>
      <c r="AE9" s="305" t="n"/>
      <c r="AF9" s="305" t="n"/>
      <c r="AG9" s="192">
        <f>ROUND($O9*P9,0)</f>
        <v/>
      </c>
      <c r="AH9" s="192">
        <f>ROUND($O9*Q9,0)</f>
        <v/>
      </c>
      <c r="AI9" s="192">
        <f>ROUND($O9*R9,0)</f>
        <v/>
      </c>
      <c r="AJ9" s="192">
        <f>ROUND($O9*S9,0)</f>
        <v/>
      </c>
      <c r="AK9" s="192">
        <f>ROUND($O9*T9,0)</f>
        <v/>
      </c>
      <c r="AL9" s="192">
        <f>ROUND($O9*U9,0)</f>
        <v/>
      </c>
      <c r="AM9" s="192">
        <f>ROUND($O9*V9,0)</f>
        <v/>
      </c>
      <c r="AN9" s="192">
        <f>ROUND($O9*W9,0)</f>
        <v/>
      </c>
      <c r="AO9" s="192">
        <f>ROUND($O9*X9,0)</f>
        <v/>
      </c>
      <c r="AP9" s="193">
        <f>ROUND($O9*Y9,0)</f>
        <v/>
      </c>
      <c r="AQ9" s="193">
        <f>ROUND($O9*Z9,0)</f>
        <v/>
      </c>
      <c r="AR9" s="193">
        <f>ROUND($O9*AA9,0)</f>
        <v/>
      </c>
      <c r="AS9" s="193">
        <f>ROUND($O9*AB9,0)</f>
        <v/>
      </c>
      <c r="AT9" s="306">
        <f>ROUND($O9*AC9,0)</f>
        <v/>
      </c>
      <c r="AU9" s="306">
        <f>ROUND($O9*AD9,0)</f>
        <v/>
      </c>
      <c r="AV9" s="306">
        <f>ROUND($O9*AE9,0)</f>
        <v/>
      </c>
      <c r="AW9" s="306">
        <f>ROUND($O9*AF9,0)</f>
        <v/>
      </c>
      <c r="AX9" s="236">
        <f>SUM(AG9:AO9)</f>
        <v/>
      </c>
      <c r="AY9" s="528">
        <f>AX9/160</f>
        <v/>
      </c>
      <c r="AZ9" s="87">
        <f>VLOOKUP(I9,Listy!$A$1:$H$9,6,FALSE)</f>
        <v/>
      </c>
      <c r="BA9" s="682">
        <f>AY9*AZ9</f>
        <v/>
      </c>
      <c r="BB9" s="683">
        <f>AY9*BA9</f>
        <v/>
      </c>
      <c r="BC9" s="528" t="n"/>
      <c r="BD9" s="528" t="n"/>
      <c r="BE9" s="528" t="n"/>
      <c r="BF9" s="528" t="n"/>
      <c r="BG9" s="528" t="n"/>
      <c r="BH9" s="528" t="n"/>
      <c r="BI9" s="21">
        <f>BG9*BH9</f>
        <v/>
      </c>
      <c r="BJ9" s="528" t="n"/>
      <c r="BK9" s="528" t="n"/>
      <c r="BL9" s="528" t="n"/>
      <c r="BM9" s="528" t="n"/>
      <c r="BN9" s="528" t="n"/>
      <c r="BO9" s="528" t="n"/>
      <c r="BP9" s="528" t="n"/>
      <c r="BQ9" s="528" t="n"/>
      <c r="BR9" s="528" t="n"/>
      <c r="BS9" s="528" t="n"/>
      <c r="BT9" s="528" t="n"/>
      <c r="BU9" s="528" t="n"/>
      <c r="BV9" s="528" t="n"/>
      <c r="BW9" s="21">
        <f>BU9*BV9</f>
        <v/>
      </c>
      <c r="BX9" s="528" t="n"/>
      <c r="BY9" s="528" t="n"/>
      <c r="BZ9" s="528" t="n"/>
      <c r="CA9" s="21">
        <f>BY9*BZ9</f>
        <v/>
      </c>
      <c r="CB9" s="528" t="n"/>
      <c r="CC9" s="528" t="n"/>
      <c r="CD9" s="528" t="n"/>
      <c r="CE9" s="21">
        <f>CC9*CD9</f>
        <v/>
      </c>
    </row>
    <row r="10" ht="28.8" customHeight="1" s="191">
      <c r="A10" s="441" t="n">
        <v>1</v>
      </c>
      <c r="B10" s="441" t="inlineStr">
        <is>
          <t>b</t>
        </is>
      </c>
      <c r="C10" s="105" t="n">
        <v>0</v>
      </c>
      <c r="D10" s="116">
        <f>CONCATENATE(A$3,"_",A10,"_",B10,"_",C10)</f>
        <v/>
      </c>
      <c r="E10" s="436" t="inlineStr">
        <is>
          <t>Zbieranie i przygotowanie danych w celu  uzyskania pełnego obrazu operacji dot. kompletacji zamówień i umożliwienia kompleksowych analiz</t>
        </is>
      </c>
      <c r="F10" s="90" t="n"/>
      <c r="G10" s="90" t="n"/>
      <c r="H10" s="90" t="n"/>
      <c r="I10" s="90" t="n"/>
      <c r="J10" s="91">
        <f>M9+1</f>
        <v/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74">
        <f>ROUND(MAX(AG10:AO10)/Listy!$U$2,0)</f>
        <v/>
      </c>
      <c r="O10" s="444" t="n"/>
      <c r="P10" s="90" t="n"/>
      <c r="Q10" s="90" t="n"/>
      <c r="R10" s="90" t="n"/>
      <c r="S10" s="90" t="n"/>
      <c r="T10" s="90" t="n"/>
      <c r="U10" s="90" t="n"/>
      <c r="V10" s="90" t="n"/>
      <c r="W10" s="90" t="n"/>
      <c r="X10" s="90" t="n"/>
      <c r="Y10" s="90" t="n"/>
      <c r="Z10" s="90" t="n"/>
      <c r="AA10" s="90" t="n"/>
      <c r="AB10" s="90" t="n"/>
      <c r="AC10" s="90" t="n"/>
      <c r="AD10" s="90" t="n"/>
      <c r="AE10" s="90" t="n"/>
      <c r="AF10" s="90" t="n"/>
      <c r="AG10" s="90" t="n"/>
      <c r="AH10" s="90" t="n"/>
      <c r="AI10" s="90" t="n"/>
      <c r="AJ10" s="90" t="n"/>
      <c r="AK10" s="90" t="n"/>
      <c r="AL10" s="90" t="n"/>
      <c r="AM10" s="90" t="n"/>
      <c r="AN10" s="90" t="n"/>
      <c r="AO10" s="90" t="n"/>
      <c r="AP10" s="90" t="n"/>
      <c r="AQ10" s="90" t="n"/>
      <c r="AR10" s="90" t="n"/>
      <c r="AS10" s="90" t="n"/>
      <c r="AT10" s="90" t="n"/>
      <c r="AU10" s="90" t="n"/>
      <c r="AV10" s="90" t="n"/>
      <c r="AW10" s="90" t="n"/>
      <c r="AX10" s="90" t="n"/>
      <c r="AY10" s="90" t="n"/>
      <c r="AZ10" s="90" t="n"/>
      <c r="BA10" s="90" t="n"/>
      <c r="BB10" s="90" t="n"/>
      <c r="BC10" s="90" t="n"/>
      <c r="BD10" s="90" t="n"/>
      <c r="BE10" s="90" t="n"/>
      <c r="BF10" s="90" t="n"/>
      <c r="BG10" s="90" t="n"/>
      <c r="BH10" s="90" t="n"/>
      <c r="BI10" s="90" t="n"/>
      <c r="BJ10" s="90" t="n"/>
      <c r="BK10" s="90" t="n"/>
      <c r="BL10" s="90" t="n"/>
      <c r="BM10" s="90" t="n"/>
      <c r="BN10" s="90" t="n"/>
      <c r="BO10" s="90" t="n"/>
      <c r="BP10" s="90" t="n"/>
      <c r="BQ10" s="90" t="n"/>
      <c r="BR10" s="90" t="n"/>
      <c r="BS10" s="90" t="n"/>
      <c r="BT10" s="90" t="n"/>
      <c r="BU10" s="90" t="n"/>
      <c r="BV10" s="90" t="n"/>
      <c r="BW10" s="90" t="n"/>
      <c r="BX10" s="90" t="n"/>
      <c r="BY10" s="90" t="n"/>
      <c r="BZ10" s="90" t="n"/>
      <c r="CA10" s="90" t="n"/>
      <c r="CB10" s="90" t="n"/>
      <c r="CC10" s="90" t="n"/>
      <c r="CD10" s="90" t="n"/>
      <c r="CE10" s="90" t="n"/>
    </row>
    <row r="11" customFormat="1" s="538">
      <c r="A11" s="441" t="n">
        <v>1</v>
      </c>
      <c r="B11" s="441" t="inlineStr">
        <is>
          <t>b</t>
        </is>
      </c>
      <c r="C11" s="105" t="n">
        <v>1</v>
      </c>
      <c r="D11" s="116">
        <f>CONCATENATE(A$3,"_",A11,"_",B11,"_",C11)</f>
        <v/>
      </c>
      <c r="E11" s="424" t="inlineStr">
        <is>
          <t>Stworzenie procedur zbierania, analizy i przetwarzania danych</t>
        </is>
      </c>
      <c r="F11" s="528">
        <f>IFERROR(VLOOKUP($I11,Listy!$A:$H,2,FALSE),"XXX")</f>
        <v/>
      </c>
      <c r="G11" s="528">
        <f>IFERROR(VLOOKUP($I11,Listy!$A:$H,3,FALSE),"XXX")</f>
        <v/>
      </c>
      <c r="H11" s="444" t="n">
        <v>2</v>
      </c>
      <c r="I11" s="89" t="inlineStr">
        <is>
          <t>.a01</t>
        </is>
      </c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474" t="n">
        <v>1</v>
      </c>
      <c r="O11" s="444" t="n">
        <v>40</v>
      </c>
      <c r="P11" s="187" t="n">
        <v>0.25</v>
      </c>
      <c r="Q11" s="187" t="n">
        <v>0.25</v>
      </c>
      <c r="R11" s="187" t="n">
        <v>0.25</v>
      </c>
      <c r="S11" s="187" t="n">
        <v>0.25</v>
      </c>
      <c r="T11" s="187" t="n"/>
      <c r="U11" s="187" t="n"/>
      <c r="V11" s="187" t="n"/>
      <c r="W11" s="187" t="n"/>
      <c r="X11" s="187" t="n"/>
      <c r="Y11" s="292" t="n">
        <v>0</v>
      </c>
      <c r="Z11" s="292" t="n">
        <v>0</v>
      </c>
      <c r="AA11" s="292" t="n">
        <v>0</v>
      </c>
      <c r="AB11" s="292" t="n">
        <v>0</v>
      </c>
      <c r="AC11" s="305" t="n"/>
      <c r="AD11" s="305" t="n"/>
      <c r="AE11" s="305" t="n"/>
      <c r="AF11" s="305" t="n"/>
      <c r="AG11" s="192">
        <f>ROUND($O11*P11,0)</f>
        <v/>
      </c>
      <c r="AH11" s="192">
        <f>ROUND($O11*Q11,0)</f>
        <v/>
      </c>
      <c r="AI11" s="192">
        <f>ROUND($O11*R11,0)</f>
        <v/>
      </c>
      <c r="AJ11" s="192">
        <f>ROUND($O11*S11,0)</f>
        <v/>
      </c>
      <c r="AK11" s="192">
        <f>ROUND($O11*T11,0)</f>
        <v/>
      </c>
      <c r="AL11" s="192">
        <f>ROUND($O11*U11,0)</f>
        <v/>
      </c>
      <c r="AM11" s="192">
        <f>ROUND($O11*V11,0)</f>
        <v/>
      </c>
      <c r="AN11" s="192">
        <f>ROUND($O11*W11,0)</f>
        <v/>
      </c>
      <c r="AO11" s="192">
        <f>ROUND($O11*X11,0)</f>
        <v/>
      </c>
      <c r="AP11" s="193">
        <f>ROUND($O11*Y11,0)</f>
        <v/>
      </c>
      <c r="AQ11" s="193">
        <f>ROUND($O11*Z11,0)</f>
        <v/>
      </c>
      <c r="AR11" s="193">
        <f>ROUND($O11*AA11,0)</f>
        <v/>
      </c>
      <c r="AS11" s="193">
        <f>ROUND($O11*AB11,0)</f>
        <v/>
      </c>
      <c r="AT11" s="306">
        <f>ROUND($O11*AC11,0)</f>
        <v/>
      </c>
      <c r="AU11" s="306">
        <f>ROUND($O11*AD11,0)</f>
        <v/>
      </c>
      <c r="AV11" s="306">
        <f>ROUND($O11*AE11,0)</f>
        <v/>
      </c>
      <c r="AW11" s="306">
        <f>ROUND($O11*AF11,0)</f>
        <v/>
      </c>
      <c r="AX11" s="236">
        <f>SUM(AG11:AO11)</f>
        <v/>
      </c>
      <c r="AY11" s="528">
        <f>AX11/160</f>
        <v/>
      </c>
      <c r="AZ11" s="87">
        <f>VLOOKUP(I11,Listy!$A$1:$H$9,6,FALSE)</f>
        <v/>
      </c>
      <c r="BA11" s="682">
        <f>AY11*AZ11</f>
        <v/>
      </c>
      <c r="BB11" s="683">
        <f>AY11*BA11</f>
        <v/>
      </c>
      <c r="BC11" s="528" t="n"/>
      <c r="BD11" s="528" t="n"/>
      <c r="BE11" s="528" t="n"/>
      <c r="BF11" s="528" t="n"/>
      <c r="BG11" s="528" t="n"/>
      <c r="BH11" s="528" t="n"/>
      <c r="BI11" s="21">
        <f>BG11*BH11</f>
        <v/>
      </c>
      <c r="BJ11" s="528" t="n"/>
      <c r="BK11" s="528" t="n"/>
      <c r="BL11" s="528" t="n"/>
      <c r="BM11" s="528" t="n"/>
      <c r="BN11" s="528" t="n"/>
      <c r="BO11" s="528" t="n"/>
      <c r="BP11" s="528" t="n"/>
      <c r="BQ11" s="528" t="n"/>
      <c r="BR11" s="528" t="n"/>
      <c r="BS11" s="528" t="n"/>
      <c r="BT11" s="528" t="n"/>
      <c r="BU11" s="528" t="n"/>
      <c r="BV11" s="528" t="n"/>
      <c r="BW11" s="21">
        <f>BU11*BV11</f>
        <v/>
      </c>
      <c r="BX11" s="528" t="n"/>
      <c r="BY11" s="528" t="n"/>
      <c r="BZ11" s="528" t="n"/>
      <c r="CA11" s="21">
        <f>BY11*BZ11</f>
        <v/>
      </c>
      <c r="CB11" s="528" t="n"/>
      <c r="CC11" s="528" t="n"/>
      <c r="CD11" s="528" t="n"/>
      <c r="CE11" s="21">
        <f>CC11*CD11</f>
        <v/>
      </c>
    </row>
    <row r="12" customFormat="1" s="538">
      <c r="A12" s="441" t="n">
        <v>1</v>
      </c>
      <c r="B12" s="441" t="inlineStr">
        <is>
          <t>b</t>
        </is>
      </c>
      <c r="C12" s="105" t="n">
        <v>2</v>
      </c>
      <c r="D12" s="116">
        <f>CONCATENATE(A$3,"_",A12,"_",B12,"_",C12)</f>
        <v/>
      </c>
      <c r="E12" s="424" t="inlineStr">
        <is>
          <t xml:space="preserve">Pozyskanie danych z różnych źródeł, np. systemy WMS, ERP </t>
        </is>
      </c>
      <c r="F12" s="528">
        <f>IFERROR(VLOOKUP($I12,Listy!$A:$H,2,FALSE),"XXX")</f>
        <v/>
      </c>
      <c r="G12" s="528">
        <f>IFERROR(VLOOKUP($I12,Listy!$A:$H,3,FALSE),"XXX")</f>
        <v/>
      </c>
      <c r="H12" s="444" t="n">
        <v>2</v>
      </c>
      <c r="I12" s="89" t="inlineStr">
        <is>
          <t>.a02</t>
        </is>
      </c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474" t="n">
        <v>1</v>
      </c>
      <c r="O12" s="444" t="n">
        <v>80</v>
      </c>
      <c r="P12" s="187" t="n">
        <v>0.25</v>
      </c>
      <c r="Q12" s="187" t="n">
        <v>0.25</v>
      </c>
      <c r="R12" s="187" t="n">
        <v>0.25</v>
      </c>
      <c r="S12" s="187" t="n">
        <v>0.25</v>
      </c>
      <c r="T12" s="187" t="n"/>
      <c r="U12" s="187" t="n"/>
      <c r="V12" s="187" t="n"/>
      <c r="W12" s="187" t="n"/>
      <c r="X12" s="187" t="n"/>
      <c r="Y12" s="292" t="n">
        <v>0</v>
      </c>
      <c r="Z12" s="292" t="n">
        <v>0</v>
      </c>
      <c r="AA12" s="292" t="n">
        <v>0</v>
      </c>
      <c r="AB12" s="292" t="n">
        <v>0</v>
      </c>
      <c r="AC12" s="305" t="n"/>
      <c r="AD12" s="305" t="n"/>
      <c r="AE12" s="305" t="n"/>
      <c r="AF12" s="305" t="n"/>
      <c r="AG12" s="192">
        <f>ROUND($O12*P12,0)</f>
        <v/>
      </c>
      <c r="AH12" s="192">
        <f>ROUND($O12*Q12,0)</f>
        <v/>
      </c>
      <c r="AI12" s="192">
        <f>ROUND($O12*R12,0)</f>
        <v/>
      </c>
      <c r="AJ12" s="192">
        <f>ROUND($O12*S12,0)</f>
        <v/>
      </c>
      <c r="AK12" s="192">
        <f>ROUND($O12*T12,0)</f>
        <v/>
      </c>
      <c r="AL12" s="192">
        <f>ROUND($O12*U12,0)</f>
        <v/>
      </c>
      <c r="AM12" s="192">
        <f>ROUND($O12*V12,0)</f>
        <v/>
      </c>
      <c r="AN12" s="192">
        <f>ROUND($O12*W12,0)</f>
        <v/>
      </c>
      <c r="AO12" s="192">
        <f>ROUND($O12*X12,0)</f>
        <v/>
      </c>
      <c r="AP12" s="193">
        <f>ROUND($O12*Y12,0)</f>
        <v/>
      </c>
      <c r="AQ12" s="193">
        <f>ROUND($O12*Z12,0)</f>
        <v/>
      </c>
      <c r="AR12" s="193">
        <f>ROUND($O12*AA12,0)</f>
        <v/>
      </c>
      <c r="AS12" s="193">
        <f>ROUND($O12*AB12,0)</f>
        <v/>
      </c>
      <c r="AT12" s="306">
        <f>ROUND($O12*AC12,0)</f>
        <v/>
      </c>
      <c r="AU12" s="306">
        <f>ROUND($O12*AD12,0)</f>
        <v/>
      </c>
      <c r="AV12" s="306">
        <f>ROUND($O12*AE12,0)</f>
        <v/>
      </c>
      <c r="AW12" s="306">
        <f>ROUND($O12*AF12,0)</f>
        <v/>
      </c>
      <c r="AX12" s="236">
        <f>SUM(AG12:AO12)</f>
        <v/>
      </c>
      <c r="AY12" s="528">
        <f>AX12/160</f>
        <v/>
      </c>
      <c r="AZ12" s="87">
        <f>VLOOKUP(I12,Listy!$A$1:$H$9,6,FALSE)</f>
        <v/>
      </c>
      <c r="BA12" s="682">
        <f>AY12*AZ12</f>
        <v/>
      </c>
      <c r="BB12" s="683">
        <f>AY12*BA12</f>
        <v/>
      </c>
      <c r="BC12" s="528" t="n"/>
      <c r="BD12" s="528" t="n"/>
      <c r="BE12" s="528" t="n"/>
      <c r="BF12" s="528" t="n"/>
      <c r="BG12" s="528" t="n"/>
      <c r="BH12" s="528" t="n"/>
      <c r="BI12" s="21">
        <f>BG12*BH12</f>
        <v/>
      </c>
      <c r="BJ12" s="528" t="n"/>
      <c r="BK12" s="528" t="n"/>
      <c r="BL12" s="528" t="n"/>
      <c r="BM12" s="528" t="n"/>
      <c r="BN12" s="528" t="n"/>
      <c r="BO12" s="528" t="n"/>
      <c r="BP12" s="528" t="n"/>
      <c r="BQ12" s="528" t="n"/>
      <c r="BR12" s="528" t="n"/>
      <c r="BS12" s="528" t="n"/>
      <c r="BT12" s="528" t="n"/>
      <c r="BU12" s="528" t="n"/>
      <c r="BV12" s="528" t="n"/>
      <c r="BW12" s="21">
        <f>BU12*BV12</f>
        <v/>
      </c>
      <c r="BX12" s="528" t="n"/>
      <c r="BY12" s="528" t="n"/>
      <c r="BZ12" s="528" t="n"/>
      <c r="CA12" s="21">
        <f>BY12*BZ12</f>
        <v/>
      </c>
      <c r="CB12" s="528" t="n"/>
      <c r="CC12" s="528" t="n"/>
      <c r="CD12" s="528" t="n"/>
      <c r="CE12" s="21">
        <f>CC12*CD12</f>
        <v/>
      </c>
    </row>
    <row r="13" customFormat="1" s="538">
      <c r="A13" s="441" t="n">
        <v>1</v>
      </c>
      <c r="B13" s="441" t="inlineStr">
        <is>
          <t>b</t>
        </is>
      </c>
      <c r="C13" s="439" t="n">
        <v>3</v>
      </c>
      <c r="D13" s="116">
        <f>CONCATENATE(A$3,"_",A13,"_",B13,"_",C13)</f>
        <v/>
      </c>
      <c r="E13" s="424" t="inlineStr">
        <is>
          <t>Identyfikacja aktualnie przypisywanych atrybutów do rekordów/obiektów w WMS/ERP</t>
        </is>
      </c>
      <c r="F13" s="528">
        <f>IFERROR(VLOOKUP($I13,Listy!$A:$H,2,FALSE),"XXX")</f>
        <v/>
      </c>
      <c r="G13" s="528">
        <f>IFERROR(VLOOKUP($I13,Listy!$A:$H,3,FALSE),"XXX")</f>
        <v/>
      </c>
      <c r="H13" s="444" t="n">
        <v>2</v>
      </c>
      <c r="I13" s="89" t="inlineStr">
        <is>
          <t>.a03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1</v>
      </c>
      <c r="O13" s="444" t="n">
        <v>60</v>
      </c>
      <c r="P13" s="187" t="n">
        <v>0.25</v>
      </c>
      <c r="Q13" s="187" t="n">
        <v>0.25</v>
      </c>
      <c r="R13" s="187" t="n">
        <v>0.25</v>
      </c>
      <c r="S13" s="187" t="n">
        <v>0.25</v>
      </c>
      <c r="T13" s="187" t="n"/>
      <c r="U13" s="187" t="n"/>
      <c r="V13" s="187" t="n"/>
      <c r="W13" s="187" t="n"/>
      <c r="X13" s="187" t="n"/>
      <c r="Y13" s="292" t="n">
        <v>0</v>
      </c>
      <c r="Z13" s="292" t="n">
        <v>0</v>
      </c>
      <c r="AA13" s="292" t="n">
        <v>0</v>
      </c>
      <c r="AB13" s="292" t="n">
        <v>0</v>
      </c>
      <c r="AC13" s="305" t="n"/>
      <c r="AD13" s="305" t="n"/>
      <c r="AE13" s="305" t="n"/>
      <c r="AF13" s="305" t="n"/>
      <c r="AG13" s="192">
        <f>ROUND($O13*P13,0)</f>
        <v/>
      </c>
      <c r="AH13" s="192">
        <f>ROUND($O13*Q13,0)</f>
        <v/>
      </c>
      <c r="AI13" s="192">
        <f>ROUND($O13*R13,0)</f>
        <v/>
      </c>
      <c r="AJ13" s="192">
        <f>ROUND($O13*S13,0)</f>
        <v/>
      </c>
      <c r="AK13" s="192">
        <f>ROUND($O13*T13,0)</f>
        <v/>
      </c>
      <c r="AL13" s="192">
        <f>ROUND($O13*U13,0)</f>
        <v/>
      </c>
      <c r="AM13" s="192">
        <f>ROUND($O13*V13,0)</f>
        <v/>
      </c>
      <c r="AN13" s="192">
        <f>ROUND($O13*W13,0)</f>
        <v/>
      </c>
      <c r="AO13" s="192">
        <f>ROUND($O13*X13,0)</f>
        <v/>
      </c>
      <c r="AP13" s="193">
        <f>ROUND($O13*Y13,0)</f>
        <v/>
      </c>
      <c r="AQ13" s="193">
        <f>ROUND($O13*Z13,0)</f>
        <v/>
      </c>
      <c r="AR13" s="193">
        <f>ROUND($O13*AA13,0)</f>
        <v/>
      </c>
      <c r="AS13" s="193">
        <f>ROUND($O13*AB13,0)</f>
        <v/>
      </c>
      <c r="AT13" s="306">
        <f>ROUND($O13*AC13,0)</f>
        <v/>
      </c>
      <c r="AU13" s="306">
        <f>ROUND($O13*AD13,0)</f>
        <v/>
      </c>
      <c r="AV13" s="306">
        <f>ROUND($O13*AE13,0)</f>
        <v/>
      </c>
      <c r="AW13" s="306">
        <f>ROUND($O13*AF13,0)</f>
        <v/>
      </c>
      <c r="AX13" s="236">
        <f>SUM(AG13:AO13)</f>
        <v/>
      </c>
      <c r="AY13" s="528">
        <f>AX13/160</f>
        <v/>
      </c>
      <c r="AZ13" s="87">
        <f>VLOOKUP(I13,Listy!$A$1:$H$9,6,FALSE)</f>
        <v/>
      </c>
      <c r="BA13" s="682">
        <f>AY13*AZ13</f>
        <v/>
      </c>
      <c r="BB13" s="683">
        <f>AY13*BA13</f>
        <v/>
      </c>
      <c r="BC13" s="528" t="n"/>
      <c r="BD13" s="528" t="n"/>
      <c r="BE13" s="528" t="n"/>
      <c r="BF13" s="528" t="n"/>
      <c r="BG13" s="528" t="n"/>
      <c r="BH13" s="528" t="n"/>
      <c r="BI13" s="21">
        <f>BG13*BH13</f>
        <v/>
      </c>
      <c r="BJ13" s="528" t="n"/>
      <c r="BK13" s="528" t="n"/>
      <c r="BL13" s="528" t="n"/>
      <c r="BM13" s="528" t="n"/>
      <c r="BN13" s="528" t="n"/>
      <c r="BO13" s="528" t="n"/>
      <c r="BP13" s="528" t="n"/>
      <c r="BQ13" s="528" t="n"/>
      <c r="BR13" s="528" t="n"/>
      <c r="BS13" s="528" t="n"/>
      <c r="BT13" s="528" t="n"/>
      <c r="BU13" s="528" t="n"/>
      <c r="BV13" s="528" t="n"/>
      <c r="BW13" s="21">
        <f>BU13*BV13</f>
        <v/>
      </c>
      <c r="BX13" s="528" t="n"/>
      <c r="BY13" s="528" t="n"/>
      <c r="BZ13" s="528" t="n"/>
      <c r="CA13" s="21">
        <f>BY13*BZ13</f>
        <v/>
      </c>
      <c r="CB13" s="528" t="n"/>
      <c r="CC13" s="528" t="n"/>
      <c r="CD13" s="528" t="n"/>
      <c r="CE13" s="21">
        <f>CC13*CD13</f>
        <v/>
      </c>
    </row>
    <row r="14" customFormat="1" s="538">
      <c r="A14" s="441" t="n">
        <v>1</v>
      </c>
      <c r="B14" s="441" t="inlineStr">
        <is>
          <t>b</t>
        </is>
      </c>
      <c r="C14" s="404" t="n">
        <v>4</v>
      </c>
      <c r="D14" s="438">
        <f>CONCATENATE(A$3,"_",A14,"_",B14,"_",C14)</f>
        <v/>
      </c>
      <c r="E14" s="424" t="inlineStr">
        <is>
          <t>Opracowanie założeń modeli, schematów, organizacji i prezentacji danych wejściowych</t>
        </is>
      </c>
      <c r="F14" s="528">
        <f>IFERROR(VLOOKUP($I14,Listy!$A:$H,2,FALSE),"XXX")</f>
        <v/>
      </c>
      <c r="G14" s="528">
        <f>IFERROR(VLOOKUP($I14,Listy!$A:$H,3,FALSE),"XXX")</f>
        <v/>
      </c>
      <c r="H14" s="444" t="n">
        <v>2</v>
      </c>
      <c r="I14" s="89" t="inlineStr">
        <is>
          <t>.a01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 t="n">
        <v>1</v>
      </c>
      <c r="O14" s="444" t="n">
        <v>80</v>
      </c>
      <c r="P14" s="187" t="n">
        <v>0.25</v>
      </c>
      <c r="Q14" s="187" t="n">
        <v>0.25</v>
      </c>
      <c r="R14" s="187" t="n">
        <v>0.25</v>
      </c>
      <c r="S14" s="187" t="n">
        <v>0.25</v>
      </c>
      <c r="T14" s="187" t="n"/>
      <c r="U14" s="187" t="n"/>
      <c r="V14" s="187" t="n"/>
      <c r="W14" s="187" t="n"/>
      <c r="X14" s="187" t="n"/>
      <c r="Y14" s="292" t="n">
        <v>0</v>
      </c>
      <c r="Z14" s="292" t="n">
        <v>0</v>
      </c>
      <c r="AA14" s="292" t="n">
        <v>0</v>
      </c>
      <c r="AB14" s="292" t="n">
        <v>0</v>
      </c>
      <c r="AC14" s="305" t="n"/>
      <c r="AD14" s="305" t="n"/>
      <c r="AE14" s="305" t="n"/>
      <c r="AF14" s="305" t="n"/>
      <c r="AG14" s="192">
        <f>ROUND($O14*P14,0)</f>
        <v/>
      </c>
      <c r="AH14" s="192">
        <f>ROUND($O14*Q14,0)</f>
        <v/>
      </c>
      <c r="AI14" s="192">
        <f>ROUND($O14*R14,0)</f>
        <v/>
      </c>
      <c r="AJ14" s="192">
        <f>ROUND($O14*S14,0)</f>
        <v/>
      </c>
      <c r="AK14" s="192">
        <f>ROUND($O14*T14,0)</f>
        <v/>
      </c>
      <c r="AL14" s="192">
        <f>ROUND($O14*U14,0)</f>
        <v/>
      </c>
      <c r="AM14" s="192">
        <f>ROUND($O14*V14,0)</f>
        <v/>
      </c>
      <c r="AN14" s="192">
        <f>ROUND($O14*W14,0)</f>
        <v/>
      </c>
      <c r="AO14" s="192">
        <f>ROUND($O14*X14,0)</f>
        <v/>
      </c>
      <c r="AP14" s="193">
        <f>ROUND($O14*Y14,0)</f>
        <v/>
      </c>
      <c r="AQ14" s="193">
        <f>ROUND($O14*Z14,0)</f>
        <v/>
      </c>
      <c r="AR14" s="193">
        <f>ROUND($O14*AA14,0)</f>
        <v/>
      </c>
      <c r="AS14" s="193">
        <f>ROUND($O14*AB14,0)</f>
        <v/>
      </c>
      <c r="AT14" s="306">
        <f>ROUND($O14*AC14,0)</f>
        <v/>
      </c>
      <c r="AU14" s="306">
        <f>ROUND($O14*AD14,0)</f>
        <v/>
      </c>
      <c r="AV14" s="306">
        <f>ROUND($O14*AE14,0)</f>
        <v/>
      </c>
      <c r="AW14" s="306">
        <f>ROUND($O14*AF14,0)</f>
        <v/>
      </c>
      <c r="AX14" s="236">
        <f>SUM(AG14:AO14)</f>
        <v/>
      </c>
      <c r="AY14" s="528">
        <f>AX14/160</f>
        <v/>
      </c>
      <c r="AZ14" s="87">
        <f>VLOOKUP(I14,Listy!$A$1:$H$9,6,FALSE)</f>
        <v/>
      </c>
      <c r="BA14" s="682">
        <f>AY14*AZ14</f>
        <v/>
      </c>
      <c r="BB14" s="683">
        <f>AY14*BA14</f>
        <v/>
      </c>
      <c r="BC14" s="528" t="n"/>
      <c r="BD14" s="528" t="n"/>
      <c r="BE14" s="528" t="n"/>
      <c r="BF14" s="528" t="n"/>
      <c r="BG14" s="528" t="n"/>
      <c r="BH14" s="528" t="n"/>
      <c r="BI14" s="21">
        <f>BG14*BH14</f>
        <v/>
      </c>
      <c r="BJ14" s="528" t="n"/>
      <c r="BK14" s="528" t="n"/>
      <c r="BL14" s="528" t="n"/>
      <c r="BM14" s="528" t="n"/>
      <c r="BN14" s="528" t="n"/>
      <c r="BO14" s="528" t="n"/>
      <c r="BP14" s="528" t="n"/>
      <c r="BQ14" s="528" t="n"/>
      <c r="BR14" s="528" t="n"/>
      <c r="BS14" s="528" t="n"/>
      <c r="BT14" s="528" t="n"/>
      <c r="BU14" s="528" t="n"/>
      <c r="BV14" s="528" t="n"/>
      <c r="BW14" s="21">
        <f>BU14*BV14</f>
        <v/>
      </c>
      <c r="BX14" s="528" t="n"/>
      <c r="BY14" s="528" t="n"/>
      <c r="BZ14" s="528" t="n"/>
      <c r="CA14" s="21">
        <f>BY14*BZ14</f>
        <v/>
      </c>
      <c r="CB14" s="528" t="n"/>
      <c r="CC14" s="528" t="n"/>
      <c r="CD14" s="528" t="n"/>
      <c r="CE14" s="21">
        <f>CC14*CD14</f>
        <v/>
      </c>
    </row>
    <row r="15" ht="27.6" customFormat="1" customHeight="1" s="538">
      <c r="A15" s="441" t="n">
        <v>1</v>
      </c>
      <c r="B15" s="441" t="inlineStr">
        <is>
          <t>c</t>
        </is>
      </c>
      <c r="C15" s="404" t="n">
        <v>1</v>
      </c>
      <c r="D15" s="438">
        <f>CONCATENATE(A$3,"_",A15,"_",B15,"_",C15)</f>
        <v/>
      </c>
      <c r="E15" s="424" t="inlineStr">
        <is>
          <t>Zgromadzenie danych historycznych (ostatnie 3 lata), dot. procesów omawianych w ramach niniejszego projektu.</t>
        </is>
      </c>
      <c r="F15" s="528">
        <f>IFERROR(VLOOKUP($I15,Listy!$A:$H,2,FALSE),"XXX")</f>
        <v/>
      </c>
      <c r="G15" s="528">
        <f>IFERROR(VLOOKUP($I15,Listy!$A:$H,3,FALSE),"XXX")</f>
        <v/>
      </c>
      <c r="H15" s="444" t="n">
        <v>3</v>
      </c>
      <c r="I15" s="89" t="inlineStr">
        <is>
          <t>.a02</t>
        </is>
      </c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 t="n">
        <v>1</v>
      </c>
      <c r="O15" s="444" t="n">
        <v>40</v>
      </c>
      <c r="P15" s="187" t="n">
        <v>0.25</v>
      </c>
      <c r="Q15" s="187" t="n">
        <v>0.25</v>
      </c>
      <c r="R15" s="187" t="n">
        <v>0.25</v>
      </c>
      <c r="S15" s="187" t="n">
        <v>0.25</v>
      </c>
      <c r="T15" s="187" t="n"/>
      <c r="U15" s="187" t="n"/>
      <c r="V15" s="187" t="n"/>
      <c r="W15" s="187" t="n"/>
      <c r="X15" s="187" t="n"/>
      <c r="Y15" s="292" t="n">
        <v>0</v>
      </c>
      <c r="Z15" s="292" t="n">
        <v>0</v>
      </c>
      <c r="AA15" s="292" t="n">
        <v>0</v>
      </c>
      <c r="AB15" s="292" t="n">
        <v>0</v>
      </c>
      <c r="AC15" s="305" t="n"/>
      <c r="AD15" s="305" t="n"/>
      <c r="AE15" s="305" t="n"/>
      <c r="AF15" s="305" t="n"/>
      <c r="AG15" s="192">
        <f>ROUND($O15*P15,0)</f>
        <v/>
      </c>
      <c r="AH15" s="192">
        <f>ROUND($O15*Q15,0)</f>
        <v/>
      </c>
      <c r="AI15" s="192">
        <f>ROUND($O15*R15,0)</f>
        <v/>
      </c>
      <c r="AJ15" s="192">
        <f>ROUND($O15*S15,0)</f>
        <v/>
      </c>
      <c r="AK15" s="192">
        <f>ROUND($O15*T15,0)</f>
        <v/>
      </c>
      <c r="AL15" s="192">
        <f>ROUND($O15*U15,0)</f>
        <v/>
      </c>
      <c r="AM15" s="192">
        <f>ROUND($O15*V15,0)</f>
        <v/>
      </c>
      <c r="AN15" s="192">
        <f>ROUND($O15*W15,0)</f>
        <v/>
      </c>
      <c r="AO15" s="192">
        <f>ROUND($O15*X15,0)</f>
        <v/>
      </c>
      <c r="AP15" s="193">
        <f>ROUND($O15*Y15,0)</f>
        <v/>
      </c>
      <c r="AQ15" s="193">
        <f>ROUND($O15*Z15,0)</f>
        <v/>
      </c>
      <c r="AR15" s="193">
        <f>ROUND($O15*AA15,0)</f>
        <v/>
      </c>
      <c r="AS15" s="193">
        <f>ROUND($O15*AB15,0)</f>
        <v/>
      </c>
      <c r="AT15" s="306">
        <f>ROUND($O15*AC15,0)</f>
        <v/>
      </c>
      <c r="AU15" s="306">
        <f>ROUND($O15*AD15,0)</f>
        <v/>
      </c>
      <c r="AV15" s="306">
        <f>ROUND($O15*AE15,0)</f>
        <v/>
      </c>
      <c r="AW15" s="306">
        <f>ROUND($O15*AF15,0)</f>
        <v/>
      </c>
      <c r="AX15" s="236">
        <f>SUM(AG15:AO15)</f>
        <v/>
      </c>
      <c r="AY15" s="528">
        <f>AX15/160</f>
        <v/>
      </c>
      <c r="AZ15" s="87">
        <f>VLOOKUP(I15,Listy!$A$1:$H$9,6,FALSE)</f>
        <v/>
      </c>
      <c r="BA15" s="682">
        <f>AY15*AZ15</f>
        <v/>
      </c>
      <c r="BB15" s="683">
        <f>AY15*BA15</f>
        <v/>
      </c>
      <c r="BC15" s="528" t="n"/>
      <c r="BD15" s="528" t="n"/>
      <c r="BE15" s="528" t="n"/>
      <c r="BF15" s="528" t="n"/>
      <c r="BG15" s="528" t="n"/>
      <c r="BH15" s="528" t="n"/>
      <c r="BI15" s="21">
        <f>BG15*BH15</f>
        <v/>
      </c>
      <c r="BJ15" s="528" t="n"/>
      <c r="BK15" s="528" t="n"/>
      <c r="BL15" s="528" t="n"/>
      <c r="BM15" s="528" t="n"/>
      <c r="BN15" s="528" t="n"/>
      <c r="BO15" s="528" t="n"/>
      <c r="BP15" s="528" t="n"/>
      <c r="BQ15" s="528" t="n"/>
      <c r="BR15" s="528" t="n"/>
      <c r="BS15" s="528" t="n"/>
      <c r="BT15" s="528" t="n"/>
      <c r="BU15" s="528" t="n"/>
      <c r="BV15" s="528" t="n"/>
      <c r="BW15" s="21">
        <f>BU15*BV15</f>
        <v/>
      </c>
      <c r="BX15" s="528" t="n"/>
      <c r="BY15" s="528" t="n"/>
      <c r="BZ15" s="528" t="n"/>
      <c r="CA15" s="21">
        <f>BY15*BZ15</f>
        <v/>
      </c>
      <c r="CB15" s="528" t="n"/>
      <c r="CC15" s="528" t="n"/>
      <c r="CD15" s="528" t="n"/>
      <c r="CE15" s="21">
        <f>CC15*CD15</f>
        <v/>
      </c>
    </row>
    <row r="16" ht="41.4" customFormat="1" customHeight="1" s="538">
      <c r="A16" s="441" t="n">
        <v>1</v>
      </c>
      <c r="B16" s="441" t="inlineStr">
        <is>
          <t>d</t>
        </is>
      </c>
      <c r="C16" s="404" t="n">
        <v>1</v>
      </c>
      <c r="D16" s="438">
        <f>CONCATENATE(A$3,"_",A16,"_",B16,"_",C16)</f>
        <v/>
      </c>
      <c r="E16" s="424" t="inlineStr">
        <is>
          <t>Oczyszczanie, normalizacja, konwersja i standaryzacja danych (procedury ETL), w tym usuwanie duplikatów i korekcji błędów, do jednolitego formatu na potrzeby dokładności analiz i predykcji, spójności i możliwość łatwego przetwarzania,</t>
        </is>
      </c>
      <c r="F16" s="528">
        <f>IFERROR(VLOOKUP($I16,Listy!$A:$H,2,FALSE),"XXX")</f>
        <v/>
      </c>
      <c r="G16" s="528">
        <f>IFERROR(VLOOKUP($I16,Listy!$A:$H,3,FALSE),"XXX")</f>
        <v/>
      </c>
      <c r="H16" s="444" t="n">
        <v>4</v>
      </c>
      <c r="I16" s="89" t="inlineStr">
        <is>
          <t>.a01</t>
        </is>
      </c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4" t="n">
        <v>1</v>
      </c>
      <c r="O16" s="444" t="n">
        <v>80</v>
      </c>
      <c r="P16" s="187" t="n">
        <v>0.25</v>
      </c>
      <c r="Q16" s="187" t="n">
        <v>0.25</v>
      </c>
      <c r="R16" s="187" t="n">
        <v>0.25</v>
      </c>
      <c r="S16" s="187" t="n">
        <v>0.25</v>
      </c>
      <c r="T16" s="187" t="n"/>
      <c r="U16" s="187" t="n"/>
      <c r="V16" s="187" t="n"/>
      <c r="W16" s="187" t="n"/>
      <c r="X16" s="187" t="n"/>
      <c r="Y16" s="292" t="n">
        <v>0</v>
      </c>
      <c r="Z16" s="292" t="n">
        <v>0</v>
      </c>
      <c r="AA16" s="292" t="n">
        <v>0</v>
      </c>
      <c r="AB16" s="292" t="n">
        <v>0</v>
      </c>
      <c r="AC16" s="305" t="n"/>
      <c r="AD16" s="305" t="n"/>
      <c r="AE16" s="305" t="n"/>
      <c r="AF16" s="305" t="n"/>
      <c r="AG16" s="192">
        <f>ROUND($O16*P16,0)</f>
        <v/>
      </c>
      <c r="AH16" s="192">
        <f>ROUND($O16*Q16,0)</f>
        <v/>
      </c>
      <c r="AI16" s="192">
        <f>ROUND($O16*R16,0)</f>
        <v/>
      </c>
      <c r="AJ16" s="192">
        <f>ROUND($O16*S16,0)</f>
        <v/>
      </c>
      <c r="AK16" s="192">
        <f>ROUND($O16*T16,0)</f>
        <v/>
      </c>
      <c r="AL16" s="192">
        <f>ROUND($O16*U16,0)</f>
        <v/>
      </c>
      <c r="AM16" s="192">
        <f>ROUND($O16*V16,0)</f>
        <v/>
      </c>
      <c r="AN16" s="192">
        <f>ROUND($O16*W16,0)</f>
        <v/>
      </c>
      <c r="AO16" s="192">
        <f>ROUND($O16*X16,0)</f>
        <v/>
      </c>
      <c r="AP16" s="193">
        <f>ROUND($O16*Y16,0)</f>
        <v/>
      </c>
      <c r="AQ16" s="193">
        <f>ROUND($O16*Z16,0)</f>
        <v/>
      </c>
      <c r="AR16" s="193">
        <f>ROUND($O16*AA16,0)</f>
        <v/>
      </c>
      <c r="AS16" s="193">
        <f>ROUND($O16*AB16,0)</f>
        <v/>
      </c>
      <c r="AT16" s="306">
        <f>ROUND($O16*AC16,0)</f>
        <v/>
      </c>
      <c r="AU16" s="306">
        <f>ROUND($O16*AD16,0)</f>
        <v/>
      </c>
      <c r="AV16" s="306">
        <f>ROUND($O16*AE16,0)</f>
        <v/>
      </c>
      <c r="AW16" s="306">
        <f>ROUND($O16*AF16,0)</f>
        <v/>
      </c>
      <c r="AX16" s="236">
        <f>SUM(AG16:AO16)</f>
        <v/>
      </c>
      <c r="AY16" s="528">
        <f>AX16/160</f>
        <v/>
      </c>
      <c r="AZ16" s="87">
        <f>VLOOKUP(I16,Listy!$A$1:$H$9,6,FALSE)</f>
        <v/>
      </c>
      <c r="BA16" s="682">
        <f>AY16*AZ16</f>
        <v/>
      </c>
      <c r="BB16" s="683">
        <f>AY16*BA16</f>
        <v/>
      </c>
      <c r="BC16" s="528" t="n"/>
      <c r="BD16" s="528" t="n"/>
      <c r="BE16" s="528" t="n"/>
      <c r="BF16" s="528" t="n"/>
      <c r="BG16" s="528" t="n"/>
      <c r="BH16" s="528" t="n"/>
      <c r="BI16" s="21">
        <f>BG16*BH16</f>
        <v/>
      </c>
      <c r="BJ16" s="528" t="n"/>
      <c r="BK16" s="528" t="n"/>
      <c r="BL16" s="528" t="n"/>
      <c r="BM16" s="528" t="n"/>
      <c r="BN16" s="528" t="n"/>
      <c r="BO16" s="528" t="n"/>
      <c r="BP16" s="528" t="n"/>
      <c r="BQ16" s="528" t="n"/>
      <c r="BR16" s="528" t="n"/>
      <c r="BS16" s="528" t="n"/>
      <c r="BT16" s="528" t="n"/>
      <c r="BU16" s="528" t="n"/>
      <c r="BV16" s="528" t="n"/>
      <c r="BW16" s="21">
        <f>BU16*BV16</f>
        <v/>
      </c>
      <c r="BX16" s="528" t="n"/>
      <c r="BY16" s="528" t="n"/>
      <c r="BZ16" s="528" t="n"/>
      <c r="CA16" s="21">
        <f>BY16*BZ16</f>
        <v/>
      </c>
      <c r="CB16" s="528" t="n"/>
      <c r="CC16" s="528" t="n"/>
      <c r="CD16" s="528" t="n"/>
      <c r="CE16" s="21">
        <f>CC16*CD16</f>
        <v/>
      </c>
    </row>
    <row r="17" ht="18" customFormat="1" customHeight="1" s="538">
      <c r="A17" s="410" t="n">
        <v>2</v>
      </c>
      <c r="B17" s="441" t="inlineStr">
        <is>
          <t>a</t>
        </is>
      </c>
      <c r="C17" s="404" t="n">
        <v>0</v>
      </c>
      <c r="D17" s="438">
        <f>CONCATENATE(A$3,"_",A17,"_",B17,"_",C17)</f>
        <v/>
      </c>
      <c r="E17" s="419" t="inlineStr">
        <is>
          <t>2.Implementacja BDKZ w infrastrukturze Wnioskodawcy w oparciu o wybrane platformy bazodanowe, np. Oracle, MSSQL, MySQL</t>
        </is>
      </c>
      <c r="F17" s="528" t="n"/>
      <c r="G17" s="528" t="n"/>
      <c r="H17" s="528" t="n"/>
      <c r="I17" s="528" t="n"/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>
        <f>ROUND(MAX(AG17:AO17)/Listy!$U$2,0)</f>
        <v/>
      </c>
      <c r="O17" s="444" t="n"/>
      <c r="P17" s="468" t="n"/>
      <c r="Q17" s="468" t="n"/>
      <c r="R17" s="468" t="n"/>
      <c r="S17" s="468" t="n"/>
      <c r="T17" s="468" t="n"/>
      <c r="U17" s="130" t="n"/>
      <c r="V17" s="130" t="n"/>
      <c r="W17" s="130" t="n"/>
      <c r="X17" s="468" t="n"/>
      <c r="Y17" s="468" t="n"/>
      <c r="Z17" s="468" t="n"/>
      <c r="AA17" s="468" t="n"/>
      <c r="AB17" s="468" t="n"/>
      <c r="AC17" s="468" t="n"/>
      <c r="AD17" s="468" t="n"/>
      <c r="AE17" s="468" t="n"/>
      <c r="AF17" s="468" t="n"/>
      <c r="AG17" s="468" t="n"/>
      <c r="AH17" s="468" t="n"/>
      <c r="AI17" s="468" t="n"/>
      <c r="AJ17" s="468" t="n"/>
      <c r="AK17" s="468" t="n"/>
      <c r="AL17" s="130" t="n"/>
      <c r="AM17" s="130" t="n"/>
      <c r="AN17" s="130" t="n"/>
      <c r="AO17" s="468" t="n"/>
      <c r="AP17" s="468" t="n"/>
      <c r="AQ17" s="468" t="n"/>
      <c r="AR17" s="468" t="n"/>
      <c r="AS17" s="468" t="n"/>
      <c r="AT17" s="468" t="n"/>
      <c r="AU17" s="468" t="n"/>
      <c r="AV17" s="468" t="n"/>
      <c r="AW17" s="468" t="n"/>
      <c r="AX17" s="468" t="n"/>
      <c r="AY17" s="468" t="n"/>
      <c r="AZ17" s="468" t="n"/>
      <c r="BA17" s="468" t="n"/>
      <c r="BB17" s="468" t="n"/>
      <c r="BC17" s="468" t="n"/>
      <c r="BD17" s="468" t="n"/>
      <c r="BE17" s="468" t="n"/>
      <c r="BF17" s="468" t="n"/>
      <c r="BG17" s="468" t="n"/>
      <c r="BH17" s="468" t="n"/>
      <c r="BI17" s="468" t="n"/>
      <c r="BJ17" s="528" t="n"/>
      <c r="BK17" s="528" t="n"/>
      <c r="BL17" s="528" t="n"/>
      <c r="BM17" s="528" t="n"/>
      <c r="BN17" s="528" t="n"/>
      <c r="BO17" s="528" t="n"/>
      <c r="BP17" s="528" t="n"/>
      <c r="BQ17" s="528" t="n"/>
      <c r="BR17" s="528" t="n"/>
      <c r="BS17" s="528" t="n"/>
      <c r="BT17" s="528" t="n"/>
      <c r="BU17" s="528" t="n"/>
      <c r="BV17" s="528" t="n"/>
      <c r="BW17" s="21">
        <f>BU17*BV17</f>
        <v/>
      </c>
      <c r="BX17" s="528" t="n"/>
      <c r="BY17" s="528" t="n"/>
      <c r="BZ17" s="528" t="n"/>
      <c r="CA17" s="21">
        <f>BY17*BZ17</f>
        <v/>
      </c>
      <c r="CB17" s="528" t="n"/>
      <c r="CC17" s="528" t="n"/>
      <c r="CD17" s="528" t="n"/>
      <c r="CE17" s="21">
        <f>CC17*CD17</f>
        <v/>
      </c>
    </row>
    <row r="18" customFormat="1" s="538">
      <c r="A18" s="444" t="n">
        <v>2</v>
      </c>
      <c r="B18" s="441" t="inlineStr">
        <is>
          <t>a</t>
        </is>
      </c>
      <c r="C18" s="404" t="n">
        <v>1</v>
      </c>
      <c r="D18" s="438">
        <f>CONCATENATE(A$3,"_",A18,"_",B18,"_",C18)</f>
        <v/>
      </c>
      <c r="E18" s="437" t="inlineStr">
        <is>
          <t>Testowanie i walidacja platform bazodanowych (testy funkcjonalne i wydajnościowe, w tym obciążeniowe i regresyjne) jest kluczowe dla zapewnienia, że baza danych działa zgodnie z wymaganiami i jest gotowa do użycia</t>
        </is>
      </c>
      <c r="F18" s="528">
        <f>IFERROR(VLOOKUP($I18,Listy!$A:$H,2,FALSE),"XXX")</f>
        <v/>
      </c>
      <c r="G18" s="528">
        <f>IFERROR(VLOOKUP($I18,Listy!$A:$H,3,FALSE),"XXX")</f>
        <v/>
      </c>
      <c r="H18" s="444" t="n">
        <v>5</v>
      </c>
      <c r="I18" s="89" t="inlineStr">
        <is>
          <t>.a03</t>
        </is>
      </c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4" t="n">
        <v>1</v>
      </c>
      <c r="O18" s="444" t="n">
        <v>80</v>
      </c>
      <c r="P18" s="187" t="n">
        <v>0.25</v>
      </c>
      <c r="Q18" s="187" t="n">
        <v>0.25</v>
      </c>
      <c r="R18" s="187" t="n">
        <v>0.25</v>
      </c>
      <c r="S18" s="187" t="n">
        <v>0.25</v>
      </c>
      <c r="T18" s="187" t="n"/>
      <c r="U18" s="187" t="n"/>
      <c r="V18" s="187" t="n"/>
      <c r="W18" s="187" t="n"/>
      <c r="X18" s="187" t="n"/>
      <c r="Y18" s="292" t="n">
        <v>0</v>
      </c>
      <c r="Z18" s="292" t="n">
        <v>0</v>
      </c>
      <c r="AA18" s="292" t="n">
        <v>0</v>
      </c>
      <c r="AB18" s="292" t="n">
        <v>0</v>
      </c>
      <c r="AC18" s="305" t="n"/>
      <c r="AD18" s="305" t="n"/>
      <c r="AE18" s="305" t="n"/>
      <c r="AF18" s="305" t="n"/>
      <c r="AG18" s="192">
        <f>ROUND($O18*P18,0)</f>
        <v/>
      </c>
      <c r="AH18" s="192">
        <f>ROUND($O18*Q18,0)</f>
        <v/>
      </c>
      <c r="AI18" s="192">
        <f>ROUND($O18*R18,0)</f>
        <v/>
      </c>
      <c r="AJ18" s="192">
        <f>ROUND($O18*S18,0)</f>
        <v/>
      </c>
      <c r="AK18" s="192">
        <f>ROUND($O18*T18,0)</f>
        <v/>
      </c>
      <c r="AL18" s="192">
        <f>ROUND($O18*U18,0)</f>
        <v/>
      </c>
      <c r="AM18" s="192">
        <f>ROUND($O18*V18,0)</f>
        <v/>
      </c>
      <c r="AN18" s="192">
        <f>ROUND($O18*W18,0)</f>
        <v/>
      </c>
      <c r="AO18" s="192">
        <f>ROUND($O18*X18,0)</f>
        <v/>
      </c>
      <c r="AP18" s="193">
        <f>ROUND($O18*Y18,0)</f>
        <v/>
      </c>
      <c r="AQ18" s="193">
        <f>ROUND($O18*Z18,0)</f>
        <v/>
      </c>
      <c r="AR18" s="193">
        <f>ROUND($O18*AA18,0)</f>
        <v/>
      </c>
      <c r="AS18" s="193">
        <f>ROUND($O18*AB18,0)</f>
        <v/>
      </c>
      <c r="AT18" s="306">
        <f>ROUND($O18*AC18,0)</f>
        <v/>
      </c>
      <c r="AU18" s="306">
        <f>ROUND($O18*AD18,0)</f>
        <v/>
      </c>
      <c r="AV18" s="306">
        <f>ROUND($O18*AE18,0)</f>
        <v/>
      </c>
      <c r="AW18" s="306">
        <f>ROUND($O18*AF18,0)</f>
        <v/>
      </c>
      <c r="AX18" s="236">
        <f>SUM(AG18:AO18)</f>
        <v/>
      </c>
      <c r="AY18" s="528">
        <f>AX18/160</f>
        <v/>
      </c>
      <c r="AZ18" s="87">
        <f>VLOOKUP(I18,Listy!$A$1:$H$9,6,FALSE)</f>
        <v/>
      </c>
      <c r="BA18" s="682">
        <f>AY18*AZ18</f>
        <v/>
      </c>
      <c r="BB18" s="683">
        <f>AY18*BA18</f>
        <v/>
      </c>
      <c r="BC18" s="528" t="n"/>
      <c r="BD18" s="528" t="n"/>
      <c r="BE18" s="528" t="n"/>
      <c r="BF18" s="528" t="n"/>
      <c r="BG18" s="528" t="n"/>
      <c r="BH18" s="528" t="n"/>
      <c r="BI18" s="21">
        <f>BG18*BH18</f>
        <v/>
      </c>
      <c r="BJ18" s="528" t="n"/>
      <c r="BK18" s="528" t="n"/>
      <c r="BL18" s="528" t="n"/>
      <c r="BM18" s="528" t="n"/>
      <c r="BN18" s="528" t="n"/>
      <c r="BO18" s="528" t="n"/>
      <c r="BP18" s="528" t="n"/>
      <c r="BQ18" s="528" t="n"/>
      <c r="BR18" s="528" t="n"/>
      <c r="BS18" s="528" t="n"/>
      <c r="BT18" s="528" t="n"/>
      <c r="BU18" s="528" t="n"/>
      <c r="BV18" s="528" t="n"/>
      <c r="BW18" s="21">
        <f>BU18*BV18</f>
        <v/>
      </c>
      <c r="BX18" s="528" t="n"/>
      <c r="BY18" s="528" t="n"/>
      <c r="BZ18" s="528" t="n"/>
      <c r="CA18" s="21">
        <f>BY18*BZ18</f>
        <v/>
      </c>
      <c r="CB18" s="528" t="n"/>
      <c r="CC18" s="528" t="n"/>
      <c r="CD18" s="528" t="n"/>
      <c r="CE18" s="21">
        <f>CC18*CD18</f>
        <v/>
      </c>
    </row>
    <row r="19" customFormat="1" s="538">
      <c r="A19" s="444" t="n">
        <v>2</v>
      </c>
      <c r="B19" s="441" t="inlineStr">
        <is>
          <t>b</t>
        </is>
      </c>
      <c r="C19" s="404" t="n">
        <v>2</v>
      </c>
      <c r="D19" s="438">
        <f>CONCATENATE(A$3,"_",A19,"_",B19,"_",C19)</f>
        <v/>
      </c>
      <c r="E19" s="437" t="inlineStr">
        <is>
          <t>Wybór platformy bazodanowej na podstawie testów wydajnościowych BDKZ</t>
        </is>
      </c>
      <c r="F19" s="528">
        <f>IFERROR(VLOOKUP($I19,Listy!$A:$H,2,FALSE),"XXX")</f>
        <v/>
      </c>
      <c r="G19" s="528">
        <f>IFERROR(VLOOKUP($I19,Listy!$A:$H,3,FALSE),"XXX")</f>
        <v/>
      </c>
      <c r="H19" s="444" t="n">
        <v>5</v>
      </c>
      <c r="I19" s="89" t="inlineStr">
        <is>
          <t>.a01</t>
        </is>
      </c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>
        <f>ROUND(MAX(AG19:AO19)/Listy!$U$2,0)</f>
        <v/>
      </c>
      <c r="O19" s="444" t="n">
        <v>8</v>
      </c>
      <c r="P19" s="187" t="n">
        <v>0.25</v>
      </c>
      <c r="Q19" s="187" t="n">
        <v>0.25</v>
      </c>
      <c r="R19" s="187" t="n">
        <v>0.25</v>
      </c>
      <c r="S19" s="187" t="n">
        <v>0.25</v>
      </c>
      <c r="T19" s="187" t="n"/>
      <c r="U19" s="187" t="n"/>
      <c r="V19" s="187" t="n"/>
      <c r="W19" s="187" t="n"/>
      <c r="X19" s="187" t="n"/>
      <c r="Y19" s="292" t="n">
        <v>0</v>
      </c>
      <c r="Z19" s="292" t="n">
        <v>0</v>
      </c>
      <c r="AA19" s="292" t="n">
        <v>0</v>
      </c>
      <c r="AB19" s="292" t="n">
        <v>0</v>
      </c>
      <c r="AC19" s="305" t="n"/>
      <c r="AD19" s="305" t="n"/>
      <c r="AE19" s="305" t="n"/>
      <c r="AF19" s="305" t="n"/>
      <c r="AG19" s="192">
        <f>ROUND($O19*P19,0)</f>
        <v/>
      </c>
      <c r="AH19" s="192">
        <f>ROUND($O19*Q19,0)</f>
        <v/>
      </c>
      <c r="AI19" s="192">
        <f>ROUND($O19*R19,0)</f>
        <v/>
      </c>
      <c r="AJ19" s="192">
        <f>ROUND($O19*S19,0)</f>
        <v/>
      </c>
      <c r="AK19" s="192">
        <f>ROUND($O19*T19,0)</f>
        <v/>
      </c>
      <c r="AL19" s="192">
        <f>ROUND($O19*U19,0)</f>
        <v/>
      </c>
      <c r="AM19" s="192">
        <f>ROUND($O19*V19,0)</f>
        <v/>
      </c>
      <c r="AN19" s="192">
        <f>ROUND($O19*W19,0)</f>
        <v/>
      </c>
      <c r="AO19" s="192">
        <f>ROUND($O19*X19,0)</f>
        <v/>
      </c>
      <c r="AP19" s="193">
        <f>ROUND($O19*Y19,0)</f>
        <v/>
      </c>
      <c r="AQ19" s="193">
        <f>ROUND($O19*Z19,0)</f>
        <v/>
      </c>
      <c r="AR19" s="193">
        <f>ROUND($O19*AA19,0)</f>
        <v/>
      </c>
      <c r="AS19" s="193">
        <f>ROUND($O19*AB19,0)</f>
        <v/>
      </c>
      <c r="AT19" s="306">
        <f>ROUND($O19*AC19,0)</f>
        <v/>
      </c>
      <c r="AU19" s="306">
        <f>ROUND($O19*AD19,0)</f>
        <v/>
      </c>
      <c r="AV19" s="306">
        <f>ROUND($O19*AE19,0)</f>
        <v/>
      </c>
      <c r="AW19" s="306">
        <f>ROUND($O19*AF19,0)</f>
        <v/>
      </c>
      <c r="AX19" s="236">
        <f>SUM(AG19:AO19)</f>
        <v/>
      </c>
      <c r="AY19" s="528">
        <f>AX19/160</f>
        <v/>
      </c>
      <c r="AZ19" s="87">
        <f>VLOOKUP(I19,Listy!$A$1:$H$9,6,FALSE)</f>
        <v/>
      </c>
      <c r="BA19" s="682">
        <f>AY19*AZ19</f>
        <v/>
      </c>
      <c r="BB19" s="683">
        <f>AY19*BA19</f>
        <v/>
      </c>
      <c r="BC19" s="528" t="n"/>
      <c r="BD19" s="528" t="n"/>
      <c r="BE19" s="528" t="n"/>
      <c r="BF19" s="528" t="n"/>
      <c r="BG19" s="528" t="n"/>
      <c r="BH19" s="528" t="n"/>
      <c r="BI19" s="21">
        <f>BG19*BH19</f>
        <v/>
      </c>
      <c r="BJ19" s="528" t="n"/>
      <c r="BK19" s="528" t="n"/>
      <c r="BL19" s="528" t="n"/>
      <c r="BM19" s="528" t="n"/>
      <c r="BN19" s="528" t="n"/>
      <c r="BO19" s="528" t="n"/>
      <c r="BP19" s="528" t="n"/>
      <c r="BQ19" s="528" t="n"/>
      <c r="BR19" s="528" t="n"/>
      <c r="BS19" s="528" t="n"/>
      <c r="BT19" s="528" t="n"/>
      <c r="BU19" s="528" t="n"/>
      <c r="BV19" s="528" t="n"/>
      <c r="BW19" s="21">
        <f>BU19*BV19</f>
        <v/>
      </c>
      <c r="BX19" s="528" t="n"/>
      <c r="BY19" s="528" t="n"/>
      <c r="BZ19" s="528" t="n"/>
      <c r="CA19" s="21">
        <f>BY19*BZ19</f>
        <v/>
      </c>
      <c r="CB19" s="528" t="n"/>
      <c r="CC19" s="528" t="n"/>
      <c r="CD19" s="528" t="n"/>
      <c r="CE19" s="21">
        <f>CC19*CD19</f>
        <v/>
      </c>
    </row>
    <row r="20" customFormat="1" s="538">
      <c r="A20" s="444" t="n">
        <v>2</v>
      </c>
      <c r="B20" s="441" t="inlineStr">
        <is>
          <t>c</t>
        </is>
      </c>
      <c r="C20" s="404" t="n">
        <v>3</v>
      </c>
      <c r="D20" s="438">
        <f>CONCATENATE(A$3,"_",A20,"_",B20,"_",C20)</f>
        <v/>
      </c>
      <c r="E20" s="437" t="inlineStr">
        <is>
          <t>Wybór odpowiedniej platformy technologicznej zapewniającej skalowalność, bezpieczeństwo i wydajność analiz AI/ML</t>
        </is>
      </c>
      <c r="F20" s="528">
        <f>IFERROR(VLOOKUP($I20,Listy!$A:$H,2,FALSE),"XXX")</f>
        <v/>
      </c>
      <c r="G20" s="528">
        <f>IFERROR(VLOOKUP($I20,Listy!$A:$H,3,FALSE),"XXX")</f>
        <v/>
      </c>
      <c r="H20" s="444" t="n">
        <v>5</v>
      </c>
      <c r="I20" s="89" t="inlineStr">
        <is>
          <t>.a02</t>
        </is>
      </c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4">
        <f>ROUND(MAX(AG20:AO20)/Listy!$U$2,0)</f>
        <v/>
      </c>
      <c r="O20" s="444" t="n">
        <v>8</v>
      </c>
      <c r="P20" s="187" t="n">
        <v>0.25</v>
      </c>
      <c r="Q20" s="187" t="n">
        <v>0.25</v>
      </c>
      <c r="R20" s="187" t="n">
        <v>0.25</v>
      </c>
      <c r="S20" s="187" t="n">
        <v>0.25</v>
      </c>
      <c r="T20" s="187" t="n"/>
      <c r="U20" s="187" t="n"/>
      <c r="V20" s="187" t="n"/>
      <c r="W20" s="187" t="n"/>
      <c r="X20" s="187" t="n"/>
      <c r="Y20" s="292" t="n">
        <v>0</v>
      </c>
      <c r="Z20" s="292" t="n">
        <v>0</v>
      </c>
      <c r="AA20" s="292" t="n">
        <v>0</v>
      </c>
      <c r="AB20" s="292" t="n">
        <v>0</v>
      </c>
      <c r="AC20" s="305" t="n"/>
      <c r="AD20" s="305" t="n"/>
      <c r="AE20" s="305" t="n"/>
      <c r="AF20" s="305" t="n"/>
      <c r="AG20" s="192">
        <f>ROUND($O20*P20,0)</f>
        <v/>
      </c>
      <c r="AH20" s="192">
        <f>ROUND($O20*Q20,0)</f>
        <v/>
      </c>
      <c r="AI20" s="192">
        <f>ROUND($O20*R20,0)</f>
        <v/>
      </c>
      <c r="AJ20" s="192">
        <f>ROUND($O20*S20,0)</f>
        <v/>
      </c>
      <c r="AK20" s="192">
        <f>ROUND($O20*T20,0)</f>
        <v/>
      </c>
      <c r="AL20" s="192">
        <f>ROUND($O20*U20,0)</f>
        <v/>
      </c>
      <c r="AM20" s="192">
        <f>ROUND($O20*V20,0)</f>
        <v/>
      </c>
      <c r="AN20" s="192">
        <f>ROUND($O20*W20,0)</f>
        <v/>
      </c>
      <c r="AO20" s="192">
        <f>ROUND($O20*X20,0)</f>
        <v/>
      </c>
      <c r="AP20" s="193">
        <f>ROUND($O20*Y20,0)</f>
        <v/>
      </c>
      <c r="AQ20" s="193">
        <f>ROUND($O20*Z20,0)</f>
        <v/>
      </c>
      <c r="AR20" s="193">
        <f>ROUND($O20*AA20,0)</f>
        <v/>
      </c>
      <c r="AS20" s="193">
        <f>ROUND($O20*AB20,0)</f>
        <v/>
      </c>
      <c r="AT20" s="306">
        <f>ROUND($O20*AC20,0)</f>
        <v/>
      </c>
      <c r="AU20" s="306">
        <f>ROUND($O20*AD20,0)</f>
        <v/>
      </c>
      <c r="AV20" s="306">
        <f>ROUND($O20*AE20,0)</f>
        <v/>
      </c>
      <c r="AW20" s="306">
        <f>ROUND($O20*AF20,0)</f>
        <v/>
      </c>
      <c r="AX20" s="236">
        <f>SUM(AG20:AO20)</f>
        <v/>
      </c>
      <c r="AY20" s="528">
        <f>AX20/160</f>
        <v/>
      </c>
      <c r="AZ20" s="87">
        <f>VLOOKUP(I20,Listy!$A$1:$H$9,6,FALSE)</f>
        <v/>
      </c>
      <c r="BA20" s="682">
        <f>AY20*AZ20</f>
        <v/>
      </c>
      <c r="BB20" s="683">
        <f>AY20*BA20</f>
        <v/>
      </c>
      <c r="BC20" s="528" t="n"/>
      <c r="BD20" s="528" t="n"/>
      <c r="BE20" s="528" t="n"/>
      <c r="BF20" s="528" t="n"/>
      <c r="BG20" s="528" t="n"/>
      <c r="BH20" s="528" t="n"/>
      <c r="BI20" s="21">
        <f>BG20*BH20</f>
        <v/>
      </c>
      <c r="BJ20" s="528" t="n"/>
      <c r="BK20" s="528" t="n"/>
      <c r="BL20" s="528" t="n"/>
      <c r="BM20" s="528" t="n"/>
      <c r="BN20" s="528" t="n"/>
      <c r="BO20" s="528" t="n"/>
      <c r="BP20" s="528" t="n"/>
      <c r="BQ20" s="528" t="n"/>
      <c r="BR20" s="528" t="n"/>
      <c r="BS20" s="528" t="n"/>
      <c r="BT20" s="528" t="n"/>
      <c r="BU20" s="528" t="n"/>
      <c r="BV20" s="528" t="n"/>
      <c r="BW20" s="21">
        <f>BU20*BV20</f>
        <v/>
      </c>
      <c r="BX20" s="528" t="n"/>
      <c r="BY20" s="528" t="n"/>
      <c r="BZ20" s="528" t="n"/>
      <c r="CA20" s="21">
        <f>BY20*BZ20</f>
        <v/>
      </c>
      <c r="CB20" s="528" t="n"/>
      <c r="CC20" s="528" t="n"/>
      <c r="CD20" s="528" t="n"/>
      <c r="CE20" s="21">
        <f>CC20*CD20</f>
        <v/>
      </c>
    </row>
    <row r="21" customFormat="1" s="538">
      <c r="A21" s="444" t="n">
        <v>2</v>
      </c>
      <c r="B21" s="441" t="inlineStr">
        <is>
          <t>d</t>
        </is>
      </c>
      <c r="C21" s="404" t="n">
        <v>4</v>
      </c>
      <c r="D21" s="438">
        <f>CONCATENATE(A$3,"_",A21,"_",B21,"_",C21)</f>
        <v/>
      </c>
      <c r="E21" s="437" t="inlineStr">
        <is>
          <t>Fizyczna implementacja BDKZ na platformach technologicznych (np. Google Cloud, Microsoft Azure, NVidia AI)</t>
        </is>
      </c>
      <c r="F21" s="528">
        <f>IFERROR(VLOOKUP($I21,Listy!$A:$H,2,FALSE),"XXX")</f>
        <v/>
      </c>
      <c r="G21" s="528">
        <f>IFERROR(VLOOKUP($I21,Listy!$A:$H,3,FALSE),"XXX")</f>
        <v/>
      </c>
      <c r="H21" s="444" t="n">
        <v>6</v>
      </c>
      <c r="I21" s="89" t="inlineStr">
        <is>
          <t>.a01</t>
        </is>
      </c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4" t="n">
        <v>1</v>
      </c>
      <c r="O21" s="444" t="n">
        <v>100</v>
      </c>
      <c r="P21" s="187" t="n">
        <v>0.25</v>
      </c>
      <c r="Q21" s="187" t="n">
        <v>0.25</v>
      </c>
      <c r="R21" s="187" t="n">
        <v>0.25</v>
      </c>
      <c r="S21" s="187" t="n">
        <v>0.25</v>
      </c>
      <c r="T21" s="187" t="n"/>
      <c r="U21" s="187" t="n"/>
      <c r="V21" s="187" t="n"/>
      <c r="W21" s="187" t="n"/>
      <c r="X21" s="187" t="n"/>
      <c r="Y21" s="292" t="n">
        <v>0</v>
      </c>
      <c r="Z21" s="292" t="n">
        <v>0</v>
      </c>
      <c r="AA21" s="292" t="n">
        <v>0</v>
      </c>
      <c r="AB21" s="292" t="n">
        <v>0</v>
      </c>
      <c r="AC21" s="305" t="n"/>
      <c r="AD21" s="305" t="n"/>
      <c r="AE21" s="305" t="n"/>
      <c r="AF21" s="305" t="n"/>
      <c r="AG21" s="192">
        <f>ROUND($O21*P21,0)</f>
        <v/>
      </c>
      <c r="AH21" s="192">
        <f>ROUND($O21*Q21,0)</f>
        <v/>
      </c>
      <c r="AI21" s="192">
        <f>ROUND($O21*R21,0)</f>
        <v/>
      </c>
      <c r="AJ21" s="192">
        <f>ROUND($O21*S21,0)</f>
        <v/>
      </c>
      <c r="AK21" s="192">
        <f>ROUND($O21*T21,0)</f>
        <v/>
      </c>
      <c r="AL21" s="192">
        <f>ROUND($O21*U21,0)</f>
        <v/>
      </c>
      <c r="AM21" s="192">
        <f>ROUND($O21*V21,0)</f>
        <v/>
      </c>
      <c r="AN21" s="192">
        <f>ROUND($O21*W21,0)</f>
        <v/>
      </c>
      <c r="AO21" s="192">
        <f>ROUND($O21*X21,0)</f>
        <v/>
      </c>
      <c r="AP21" s="193">
        <f>ROUND($O21*Y21,0)</f>
        <v/>
      </c>
      <c r="AQ21" s="193">
        <f>ROUND($O21*Z21,0)</f>
        <v/>
      </c>
      <c r="AR21" s="193">
        <f>ROUND($O21*AA21,0)</f>
        <v/>
      </c>
      <c r="AS21" s="193">
        <f>ROUND($O21*AB21,0)</f>
        <v/>
      </c>
      <c r="AT21" s="306">
        <f>ROUND($O21*AC21,0)</f>
        <v/>
      </c>
      <c r="AU21" s="306">
        <f>ROUND($O21*AD21,0)</f>
        <v/>
      </c>
      <c r="AV21" s="306">
        <f>ROUND($O21*AE21,0)</f>
        <v/>
      </c>
      <c r="AW21" s="306">
        <f>ROUND($O21*AF21,0)</f>
        <v/>
      </c>
      <c r="AX21" s="236">
        <f>SUM(AG21:AO21)</f>
        <v/>
      </c>
      <c r="AY21" s="528">
        <f>AX21/160</f>
        <v/>
      </c>
      <c r="AZ21" s="87">
        <f>VLOOKUP(I21,Listy!$A$1:$H$9,6,FALSE)</f>
        <v/>
      </c>
      <c r="BA21" s="682">
        <f>AY21*AZ21</f>
        <v/>
      </c>
      <c r="BB21" s="683">
        <f>AY21*BA21</f>
        <v/>
      </c>
      <c r="BC21" s="528" t="n"/>
      <c r="BD21" s="528" t="n"/>
      <c r="BE21" s="528" t="n"/>
      <c r="BF21" s="528" t="n"/>
      <c r="BG21" s="528" t="n"/>
      <c r="BH21" s="528" t="n"/>
      <c r="BI21" s="21">
        <f>BG21*BH21</f>
        <v/>
      </c>
      <c r="BJ21" s="528" t="n"/>
      <c r="BK21" s="528" t="n"/>
      <c r="BL21" s="528" t="n"/>
      <c r="BM21" s="528" t="n"/>
      <c r="BN21" s="528" t="n"/>
      <c r="BO21" s="528" t="n"/>
      <c r="BP21" s="528" t="n"/>
      <c r="BQ21" s="528" t="n"/>
      <c r="BR21" s="528" t="n"/>
      <c r="BS21" s="528" t="n"/>
      <c r="BT21" s="528" t="n"/>
      <c r="BU21" s="528" t="n"/>
      <c r="BV21" s="528" t="n"/>
      <c r="BW21" s="21">
        <f>BU21*BV21</f>
        <v/>
      </c>
      <c r="BX21" s="528" t="n"/>
      <c r="BY21" s="528" t="n"/>
      <c r="BZ21" s="528" t="n"/>
      <c r="CA21" s="21">
        <f>BY21*BZ21</f>
        <v/>
      </c>
      <c r="CB21" s="528" t="n"/>
      <c r="CC21" s="528" t="n"/>
      <c r="CD21" s="528" t="n"/>
      <c r="CE21" s="21">
        <f>CC21*CD21</f>
        <v/>
      </c>
    </row>
    <row r="22" customFormat="1" s="538">
      <c r="A22" s="444" t="n">
        <v>2</v>
      </c>
      <c r="B22" s="429" t="inlineStr">
        <is>
          <t>e</t>
        </is>
      </c>
      <c r="C22" s="404" t="n">
        <v>5</v>
      </c>
      <c r="D22" s="438">
        <f>CONCATENATE(A$3,"_",A22,"_",B22,"_",C22)</f>
        <v/>
      </c>
      <c r="E22" s="437" t="inlineStr">
        <is>
          <t>Utworzenie mechanizmu do transferu danych między infrastrukturą Wnioskodawcy a platformami technologicznymi (np. Google Cloud, Microsoft Azure, NVidia AI)</t>
        </is>
      </c>
      <c r="F22" s="528">
        <f>IFERROR(VLOOKUP($I22,Listy!$A:$H,2,FALSE),"XXX")</f>
        <v/>
      </c>
      <c r="G22" s="528">
        <f>IFERROR(VLOOKUP($I22,Listy!$A:$H,3,FALSE),"XXX")</f>
        <v/>
      </c>
      <c r="H22" s="444" t="n">
        <v>7</v>
      </c>
      <c r="I22" s="89" t="inlineStr">
        <is>
          <t>.e02</t>
        </is>
      </c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4" t="n">
        <v>1</v>
      </c>
      <c r="O22" s="444" t="n">
        <v>200</v>
      </c>
      <c r="P22" s="187" t="n">
        <v>0.15</v>
      </c>
      <c r="Q22" s="187" t="n">
        <v>0.15</v>
      </c>
      <c r="R22" s="187" t="n">
        <v>0.15</v>
      </c>
      <c r="S22" s="187" t="n">
        <v>0.15</v>
      </c>
      <c r="T22" s="187" t="n"/>
      <c r="U22" s="187" t="n"/>
      <c r="V22" s="187" t="n"/>
      <c r="W22" s="187" t="n"/>
      <c r="X22" s="187" t="n"/>
      <c r="Y22" s="292" t="n">
        <v>0.4</v>
      </c>
      <c r="Z22" s="292" t="n">
        <v>0</v>
      </c>
      <c r="AA22" s="292" t="n">
        <v>0</v>
      </c>
      <c r="AB22" s="292" t="n">
        <v>0</v>
      </c>
      <c r="AC22" s="305" t="n"/>
      <c r="AD22" s="305" t="n"/>
      <c r="AE22" s="305" t="n"/>
      <c r="AF22" s="305" t="n"/>
      <c r="AG22" s="192">
        <f>ROUND($O22*P22,0)</f>
        <v/>
      </c>
      <c r="AH22" s="192">
        <f>ROUND($O22*Q22,0)</f>
        <v/>
      </c>
      <c r="AI22" s="192">
        <f>ROUND($O22*R22,0)</f>
        <v/>
      </c>
      <c r="AJ22" s="192">
        <f>ROUND($O22*S22,0)</f>
        <v/>
      </c>
      <c r="AK22" s="192">
        <f>ROUND($O22*T22,0)</f>
        <v/>
      </c>
      <c r="AL22" s="192">
        <f>ROUND($O22*U22,0)</f>
        <v/>
      </c>
      <c r="AM22" s="192">
        <f>ROUND($O22*V22,0)</f>
        <v/>
      </c>
      <c r="AN22" s="192">
        <f>ROUND($O22*W22,0)</f>
        <v/>
      </c>
      <c r="AO22" s="192">
        <f>ROUND($O22*X22,0)</f>
        <v/>
      </c>
      <c r="AP22" s="193">
        <f>ROUND($O22*Y22,0)</f>
        <v/>
      </c>
      <c r="AQ22" s="193">
        <f>ROUND($O22*Z22,0)</f>
        <v/>
      </c>
      <c r="AR22" s="193">
        <f>ROUND($O22*AA22,0)</f>
        <v/>
      </c>
      <c r="AS22" s="193">
        <f>ROUND($O22*AB22,0)</f>
        <v/>
      </c>
      <c r="AT22" s="306">
        <f>ROUND($O22*AC22,0)</f>
        <v/>
      </c>
      <c r="AU22" s="306">
        <f>ROUND($O22*AD22,0)</f>
        <v/>
      </c>
      <c r="AV22" s="306">
        <f>ROUND($O22*AE22,0)</f>
        <v/>
      </c>
      <c r="AW22" s="306">
        <f>ROUND($O22*AF22,0)</f>
        <v/>
      </c>
      <c r="AX22" s="236">
        <f>SUM(AG22:AO22)</f>
        <v/>
      </c>
      <c r="AY22" s="528">
        <f>AX22/160</f>
        <v/>
      </c>
      <c r="AZ22" s="87">
        <f>VLOOKUP(I22,Listy!$A$1:$H$9,6,FALSE)</f>
        <v/>
      </c>
      <c r="BA22" s="682">
        <f>AY22*AZ22</f>
        <v/>
      </c>
      <c r="BB22" s="683">
        <f>AY22*BA22</f>
        <v/>
      </c>
      <c r="BC22" s="528" t="n"/>
      <c r="BD22" s="528" t="n"/>
      <c r="BE22" s="528" t="n"/>
      <c r="BF22" s="528" t="n"/>
      <c r="BG22" s="528" t="n"/>
      <c r="BH22" s="528" t="n"/>
      <c r="BI22" s="21">
        <f>BG22*BH22</f>
        <v/>
      </c>
      <c r="BJ22" s="528" t="n"/>
      <c r="BK22" s="528" t="n"/>
      <c r="BL22" s="528" t="n"/>
      <c r="BM22" s="528" t="n"/>
      <c r="BN22" s="528" t="n"/>
      <c r="BO22" s="528" t="n"/>
      <c r="BP22" s="528" t="n"/>
      <c r="BQ22" s="528" t="n"/>
      <c r="BR22" s="528" t="n"/>
      <c r="BS22" s="528" t="n"/>
      <c r="BT22" s="528" t="n"/>
      <c r="BU22" s="528" t="n"/>
      <c r="BV22" s="528" t="n"/>
      <c r="BW22" s="21">
        <f>BU22*BV22</f>
        <v/>
      </c>
      <c r="BX22" s="528" t="n"/>
      <c r="BY22" s="528" t="n"/>
      <c r="BZ22" s="528" t="n"/>
      <c r="CA22" s="21">
        <f>BY22*BZ22</f>
        <v/>
      </c>
      <c r="CB22" s="528" t="n"/>
      <c r="CC22" s="528" t="n"/>
      <c r="CD22" s="528" t="n"/>
      <c r="CE22" s="21">
        <f>CC22*CD22</f>
        <v/>
      </c>
    </row>
    <row r="23" ht="18" customFormat="1" customHeight="1" s="538">
      <c r="A23" s="410" t="n">
        <v>3</v>
      </c>
      <c r="B23" s="441" t="inlineStr">
        <is>
          <t>a</t>
        </is>
      </c>
      <c r="C23" s="404" t="n">
        <v>1</v>
      </c>
      <c r="D23" s="438">
        <f>CONCATENATE(A$3,"_",A23,"_",B23,"_",C23)</f>
        <v/>
      </c>
      <c r="E23" s="410" t="inlineStr">
        <is>
          <t>3.Opracowanie narzędzi do automatycznego monitorowania, wykrywających anomalie i nieprawidłowości w danych w czasie rzeczywistym, współpracujących z wybraną platformą bazodanową, przeprowadzających automatyczne sprawdzanie kompletności rekordów. Flagowane będą rekordy z brakującymi danymi natychmiast po ich wprowadzeniu/aktualizacji i wysyłane powiadomienia do administratorów, gdy liczba tych rekordów przekroczy próg 10 rekordów. Będą śledzić czas ostatniej aktualizacji każdego rekordu, flagując te, które nie były aktualizowane zgodnie z ustalonym harmonogramem (co 24h i generować odpowiednie alerty.</t>
        </is>
      </c>
      <c r="F23" s="528">
        <f>IFERROR(VLOOKUP($I23,Listy!$A:$H,2,FALSE),"XXX")</f>
        <v/>
      </c>
      <c r="G23" s="528">
        <f>IFERROR(VLOOKUP($I23,Listy!$A:$H,3,FALSE),"XXX")</f>
        <v/>
      </c>
      <c r="H23" s="444" t="n">
        <v>8</v>
      </c>
      <c r="I23" s="89" t="inlineStr">
        <is>
          <t>.a03</t>
        </is>
      </c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>
        <f>ROUND(MAX(AG23:AO23)/Listy!$U$2,0)</f>
        <v/>
      </c>
      <c r="O23" s="444" t="n">
        <v>30</v>
      </c>
      <c r="P23" s="187" t="n">
        <v>0.25</v>
      </c>
      <c r="Q23" s="187" t="n">
        <v>0.25</v>
      </c>
      <c r="R23" s="187" t="n">
        <v>0.25</v>
      </c>
      <c r="S23" s="187" t="n">
        <v>0.25</v>
      </c>
      <c r="T23" s="187" t="n"/>
      <c r="U23" s="187" t="n"/>
      <c r="V23" s="187" t="n"/>
      <c r="W23" s="187" t="n"/>
      <c r="X23" s="187" t="n"/>
      <c r="Y23" s="292" t="n">
        <v>0</v>
      </c>
      <c r="Z23" s="292" t="n">
        <v>0</v>
      </c>
      <c r="AA23" s="292" t="n">
        <v>0</v>
      </c>
      <c r="AB23" s="292" t="n">
        <v>0</v>
      </c>
      <c r="AC23" s="305" t="n"/>
      <c r="AD23" s="305" t="n"/>
      <c r="AE23" s="305" t="n"/>
      <c r="AF23" s="305" t="n"/>
      <c r="AG23" s="192">
        <f>ROUND($O23*P23,0)</f>
        <v/>
      </c>
      <c r="AH23" s="192">
        <f>ROUND($O23*Q23,0)</f>
        <v/>
      </c>
      <c r="AI23" s="192">
        <f>ROUND($O23*R23,0)</f>
        <v/>
      </c>
      <c r="AJ23" s="192">
        <f>ROUND($O23*S23,0)</f>
        <v/>
      </c>
      <c r="AK23" s="192">
        <f>ROUND($O23*T23,0)</f>
        <v/>
      </c>
      <c r="AL23" s="192">
        <f>ROUND($O23*U23,0)</f>
        <v/>
      </c>
      <c r="AM23" s="192">
        <f>ROUND($O23*V23,0)</f>
        <v/>
      </c>
      <c r="AN23" s="192">
        <f>ROUND($O23*W23,0)</f>
        <v/>
      </c>
      <c r="AO23" s="192">
        <f>ROUND($O23*X23,0)</f>
        <v/>
      </c>
      <c r="AP23" s="193">
        <f>ROUND($O23*Y23,0)</f>
        <v/>
      </c>
      <c r="AQ23" s="193">
        <f>ROUND($O23*Z23,0)</f>
        <v/>
      </c>
      <c r="AR23" s="193">
        <f>ROUND($O23*AA23,0)</f>
        <v/>
      </c>
      <c r="AS23" s="193">
        <f>ROUND($O23*AB23,0)</f>
        <v/>
      </c>
      <c r="AT23" s="306">
        <f>ROUND($O23*AC23,0)</f>
        <v/>
      </c>
      <c r="AU23" s="306">
        <f>ROUND($O23*AD23,0)</f>
        <v/>
      </c>
      <c r="AV23" s="306">
        <f>ROUND($O23*AE23,0)</f>
        <v/>
      </c>
      <c r="AW23" s="306">
        <f>ROUND($O23*AF23,0)</f>
        <v/>
      </c>
      <c r="AX23" s="236">
        <f>SUM(AG23:AO23)</f>
        <v/>
      </c>
      <c r="AY23" s="528">
        <f>AX23/160</f>
        <v/>
      </c>
      <c r="AZ23" s="87">
        <f>VLOOKUP(I23,Listy!$A$1:$H$9,6,FALSE)</f>
        <v/>
      </c>
      <c r="BA23" s="682">
        <f>AY23*AZ23</f>
        <v/>
      </c>
      <c r="BB23" s="683">
        <f>AY23*BA23</f>
        <v/>
      </c>
      <c r="BC23" s="528" t="n"/>
      <c r="BD23" s="528" t="n"/>
      <c r="BE23" s="528" t="n"/>
      <c r="BF23" s="528" t="n"/>
      <c r="BG23" s="528" t="n"/>
      <c r="BH23" s="528" t="n"/>
      <c r="BI23" s="21">
        <f>BG23*BH23</f>
        <v/>
      </c>
      <c r="BJ23" s="528" t="n"/>
      <c r="BK23" s="528" t="n"/>
      <c r="BL23" s="528" t="n"/>
      <c r="BM23" s="528" t="n"/>
      <c r="BN23" s="528" t="n"/>
      <c r="BO23" s="528" t="n"/>
      <c r="BP23" s="528" t="n"/>
      <c r="BQ23" s="528" t="n"/>
      <c r="BR23" s="528" t="n"/>
      <c r="BS23" s="528" t="n"/>
      <c r="BT23" s="528" t="n"/>
      <c r="BU23" s="528" t="n"/>
      <c r="BV23" s="528" t="n"/>
      <c r="BW23" s="21">
        <f>BU23*BV23</f>
        <v/>
      </c>
      <c r="BX23" s="528" t="n"/>
      <c r="BY23" s="528" t="n"/>
      <c r="BZ23" s="528" t="n"/>
      <c r="CA23" s="21">
        <f>BY23*BZ23</f>
        <v/>
      </c>
      <c r="CB23" s="528" t="n"/>
      <c r="CC23" s="528" t="n"/>
      <c r="CD23" s="528" t="n"/>
      <c r="CE23" s="21">
        <f>CC23*CD23</f>
        <v/>
      </c>
    </row>
    <row r="24" ht="18" customFormat="1" customHeight="1" s="538">
      <c r="A24" s="410" t="n">
        <v>4</v>
      </c>
      <c r="B24" s="441" t="inlineStr">
        <is>
          <t>a</t>
        </is>
      </c>
      <c r="C24" s="407" t="n">
        <v>0</v>
      </c>
      <c r="D24" s="438">
        <f>CONCATENATE(A$3,"_",A24,"_",B24,"_",C24)</f>
        <v/>
      </c>
      <c r="E24" s="440" t="inlineStr">
        <is>
          <t>4.Połączenie BDKZ z wybranym systemem AI/ML, co pozwoli na zbadanie potencjału zaawansowanych metod  analitycznych AI/ML w celu zwiększenia wydajności procesów magazynowych.</t>
        </is>
      </c>
      <c r="F24" s="444" t="n"/>
      <c r="G24" s="444" t="n"/>
      <c r="H24" s="444" t="n"/>
      <c r="I24" s="444" t="n"/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4">
        <f>ROUND(MAX(AG24:AO24)/Listy!$U$2,0)</f>
        <v/>
      </c>
      <c r="O24" s="444" t="n"/>
      <c r="P24" s="444" t="n"/>
      <c r="Q24" s="468" t="n"/>
      <c r="R24" s="468" t="n"/>
      <c r="S24" s="468" t="n"/>
      <c r="T24" s="468" t="n"/>
      <c r="U24" s="130" t="n"/>
      <c r="V24" s="130" t="n"/>
      <c r="W24" s="130" t="n"/>
      <c r="X24" s="468" t="n"/>
      <c r="Y24" s="468" t="n"/>
      <c r="Z24" s="468" t="n"/>
      <c r="AA24" s="468" t="n"/>
      <c r="AB24" s="468" t="n"/>
      <c r="AC24" s="468" t="n"/>
      <c r="AD24" s="468" t="n"/>
      <c r="AE24" s="468" t="n"/>
      <c r="AF24" s="468" t="n"/>
      <c r="AG24" s="468" t="n"/>
      <c r="AH24" s="468" t="n"/>
      <c r="AI24" s="468" t="n"/>
      <c r="AJ24" s="468" t="n"/>
      <c r="AK24" s="468" t="n"/>
      <c r="AL24" s="130" t="n"/>
      <c r="AM24" s="130" t="n"/>
      <c r="AN24" s="130" t="n"/>
      <c r="AO24" s="468" t="n"/>
      <c r="AP24" s="468" t="n"/>
      <c r="AQ24" s="468" t="n"/>
      <c r="AR24" s="468" t="n"/>
      <c r="AS24" s="468" t="n"/>
      <c r="AT24" s="468" t="n"/>
      <c r="AU24" s="468" t="n"/>
      <c r="AV24" s="468" t="n"/>
      <c r="AW24" s="468" t="n"/>
      <c r="AX24" s="468" t="n"/>
      <c r="AY24" s="468" t="n"/>
      <c r="AZ24" s="468" t="n"/>
      <c r="BA24" s="468" t="n"/>
      <c r="BB24" s="468" t="n"/>
      <c r="BC24" s="468" t="n"/>
      <c r="BD24" s="468" t="n"/>
      <c r="BE24" s="468" t="n"/>
      <c r="BF24" s="468" t="n"/>
      <c r="BG24" s="468" t="n"/>
      <c r="BH24" s="468" t="n"/>
      <c r="BI24" s="468" t="n"/>
      <c r="BJ24" s="468" t="n"/>
      <c r="BK24" s="468" t="n"/>
      <c r="BL24" s="468" t="n"/>
      <c r="BM24" s="468" t="n"/>
      <c r="BN24" s="468" t="n"/>
      <c r="BO24" s="468" t="n"/>
      <c r="BP24" s="468" t="n"/>
      <c r="BQ24" s="468" t="n"/>
      <c r="BR24" s="468" t="n"/>
      <c r="BS24" s="468" t="n"/>
      <c r="BT24" s="468" t="n"/>
      <c r="BU24" s="468" t="n"/>
      <c r="BV24" s="468" t="n"/>
      <c r="BW24" s="468" t="n"/>
      <c r="BX24" s="468" t="n"/>
      <c r="BY24" s="468" t="n"/>
      <c r="BZ24" s="468" t="n"/>
      <c r="CA24" s="468" t="n"/>
      <c r="CB24" s="468" t="n"/>
      <c r="CC24" s="468" t="n"/>
      <c r="CD24" s="468" t="n"/>
      <c r="CE24" s="468" t="n"/>
    </row>
    <row r="25" customFormat="1" s="538">
      <c r="A25" s="441" t="n">
        <v>4</v>
      </c>
      <c r="B25" s="441" t="inlineStr">
        <is>
          <t>a</t>
        </is>
      </c>
      <c r="C25" s="407" t="n">
        <v>1</v>
      </c>
      <c r="D25" s="438">
        <f>CONCATENATE(A$3,"_",A25,"_",B25,"_",C25)</f>
        <v/>
      </c>
      <c r="E25" s="437" t="inlineStr">
        <is>
          <t xml:space="preserve">Zaimportowanie BDKZ w środowisku wybranej platformy AI/ML </t>
        </is>
      </c>
      <c r="F25" s="528">
        <f>IFERROR(VLOOKUP($I25,Listy!$A:$H,2,FALSE),"XXX")</f>
        <v/>
      </c>
      <c r="G25" s="528">
        <f>IFERROR(VLOOKUP($I25,Listy!$A:$H,3,FALSE),"XXX")</f>
        <v/>
      </c>
      <c r="H25" s="444" t="n">
        <v>8</v>
      </c>
      <c r="I25" s="89" t="inlineStr">
        <is>
          <t>.a02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4" t="n">
        <v>1</v>
      </c>
      <c r="O25" s="444" t="n">
        <v>40</v>
      </c>
      <c r="P25" s="187" t="n">
        <v>0.25</v>
      </c>
      <c r="Q25" s="187" t="n">
        <v>0.25</v>
      </c>
      <c r="R25" s="187" t="n">
        <v>0.25</v>
      </c>
      <c r="S25" s="187" t="n">
        <v>0.25</v>
      </c>
      <c r="T25" s="187" t="n"/>
      <c r="U25" s="187" t="n"/>
      <c r="V25" s="187" t="n"/>
      <c r="W25" s="187" t="n"/>
      <c r="X25" s="187" t="n"/>
      <c r="Y25" s="292" t="n">
        <v>0</v>
      </c>
      <c r="Z25" s="292" t="n">
        <v>0</v>
      </c>
      <c r="AA25" s="292" t="n">
        <v>0</v>
      </c>
      <c r="AB25" s="292" t="n">
        <v>0</v>
      </c>
      <c r="AC25" s="305" t="n"/>
      <c r="AD25" s="305" t="n"/>
      <c r="AE25" s="305" t="n"/>
      <c r="AF25" s="305" t="n"/>
      <c r="AG25" s="192">
        <f>ROUND($O25*P25,0)</f>
        <v/>
      </c>
      <c r="AH25" s="192">
        <f>ROUND($O25*Q25,0)</f>
        <v/>
      </c>
      <c r="AI25" s="192">
        <f>ROUND($O25*R25,0)</f>
        <v/>
      </c>
      <c r="AJ25" s="192">
        <f>ROUND($O25*S25,0)</f>
        <v/>
      </c>
      <c r="AK25" s="192">
        <f>ROUND($O25*T25,0)</f>
        <v/>
      </c>
      <c r="AL25" s="192">
        <f>ROUND($O25*U25,0)</f>
        <v/>
      </c>
      <c r="AM25" s="192">
        <f>ROUND($O25*V25,0)</f>
        <v/>
      </c>
      <c r="AN25" s="192">
        <f>ROUND($O25*W25,0)</f>
        <v/>
      </c>
      <c r="AO25" s="192">
        <f>ROUND($O25*X25,0)</f>
        <v/>
      </c>
      <c r="AP25" s="193">
        <f>ROUND($O25*Y25,0)</f>
        <v/>
      </c>
      <c r="AQ25" s="193">
        <f>ROUND($O25*Z25,0)</f>
        <v/>
      </c>
      <c r="AR25" s="193">
        <f>ROUND($O25*AA25,0)</f>
        <v/>
      </c>
      <c r="AS25" s="193">
        <f>ROUND($O25*AB25,0)</f>
        <v/>
      </c>
      <c r="AT25" s="306">
        <f>ROUND($O25*AC25,0)</f>
        <v/>
      </c>
      <c r="AU25" s="306">
        <f>ROUND($O25*AD25,0)</f>
        <v/>
      </c>
      <c r="AV25" s="306">
        <f>ROUND($O25*AE25,0)</f>
        <v/>
      </c>
      <c r="AW25" s="306">
        <f>ROUND($O25*AF25,0)</f>
        <v/>
      </c>
      <c r="AX25" s="236">
        <f>SUM(AG25:AO25)</f>
        <v/>
      </c>
      <c r="AY25" s="528">
        <f>AX25/160</f>
        <v/>
      </c>
      <c r="AZ25" s="87">
        <f>VLOOKUP(I25,Listy!$A$1:$H$9,6,FALSE)</f>
        <v/>
      </c>
      <c r="BA25" s="682">
        <f>AY25*AZ25</f>
        <v/>
      </c>
      <c r="BB25" s="683">
        <f>AY25*BA25</f>
        <v/>
      </c>
      <c r="BC25" s="528" t="n"/>
      <c r="BD25" s="528" t="n"/>
      <c r="BE25" s="528" t="n"/>
      <c r="BF25" s="528" t="n"/>
      <c r="BG25" s="528" t="n"/>
      <c r="BH25" s="528" t="n"/>
      <c r="BI25" s="21">
        <f>BG25*BH25</f>
        <v/>
      </c>
      <c r="BJ25" s="528" t="n"/>
      <c r="BK25" s="528" t="n"/>
      <c r="BL25" s="528" t="n"/>
      <c r="BM25" s="528" t="n"/>
      <c r="BN25" s="528" t="n"/>
      <c r="BO25" s="528" t="n"/>
      <c r="BP25" s="528" t="n"/>
      <c r="BQ25" s="528" t="n"/>
      <c r="BR25" s="528" t="n"/>
      <c r="BS25" s="528" t="n"/>
      <c r="BT25" s="528" t="n"/>
      <c r="BU25" s="528" t="n"/>
      <c r="BV25" s="528" t="n"/>
      <c r="BW25" s="21">
        <f>BU25*BV25</f>
        <v/>
      </c>
      <c r="BX25" s="528" t="n"/>
      <c r="BY25" s="528" t="n"/>
      <c r="BZ25" s="528" t="n"/>
      <c r="CA25" s="21">
        <f>BY25*BZ25</f>
        <v/>
      </c>
      <c r="CB25" s="528" t="n"/>
      <c r="CC25" s="528" t="n"/>
      <c r="CD25" s="528" t="n"/>
      <c r="CE25" s="21">
        <f>CC25*CD25</f>
        <v/>
      </c>
    </row>
    <row r="26" customFormat="1" s="538">
      <c r="A26" s="441" t="n">
        <v>4</v>
      </c>
      <c r="B26" s="441" t="inlineStr">
        <is>
          <t>b</t>
        </is>
      </c>
      <c r="C26" s="407" t="n">
        <v>2</v>
      </c>
      <c r="D26" s="438">
        <f>CONCATENATE(A$3,"_",A26,"_",B26,"_",C26)</f>
        <v/>
      </c>
      <c r="E26" s="437" t="inlineStr">
        <is>
          <t>Sprawdzenie i potwierdzenie poprawności zaimplementowanych danych. Określenie zestawu danych testowych i referencyjnych do dalszych analiz</t>
        </is>
      </c>
      <c r="F26" s="528">
        <f>IFERROR(VLOOKUP($I26,Listy!$A:$H,2,FALSE),"XXX")</f>
        <v/>
      </c>
      <c r="G26" s="528">
        <f>IFERROR(VLOOKUP($I26,Listy!$A:$H,3,FALSE),"XXX")</f>
        <v/>
      </c>
      <c r="H26" s="444" t="n">
        <v>8</v>
      </c>
      <c r="I26" s="89" t="inlineStr">
        <is>
          <t>.a01</t>
        </is>
      </c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4" t="n">
        <v>1</v>
      </c>
      <c r="O26" s="444" t="n">
        <v>40</v>
      </c>
      <c r="P26" s="187" t="n">
        <v>0.25</v>
      </c>
      <c r="Q26" s="187" t="n">
        <v>0.25</v>
      </c>
      <c r="R26" s="187" t="n">
        <v>0.25</v>
      </c>
      <c r="S26" s="187" t="n">
        <v>0.25</v>
      </c>
      <c r="T26" s="187" t="n"/>
      <c r="U26" s="187" t="n"/>
      <c r="V26" s="187" t="n"/>
      <c r="W26" s="187" t="n"/>
      <c r="X26" s="187" t="n"/>
      <c r="Y26" s="292" t="n">
        <v>0</v>
      </c>
      <c r="Z26" s="292" t="n">
        <v>0</v>
      </c>
      <c r="AA26" s="292" t="n">
        <v>0</v>
      </c>
      <c r="AB26" s="292" t="n">
        <v>0</v>
      </c>
      <c r="AC26" s="305" t="n"/>
      <c r="AD26" s="305" t="n"/>
      <c r="AE26" s="305" t="n"/>
      <c r="AF26" s="305" t="n"/>
      <c r="AG26" s="192">
        <f>ROUND($O26*P26,0)</f>
        <v/>
      </c>
      <c r="AH26" s="192">
        <f>ROUND($O26*Q26,0)</f>
        <v/>
      </c>
      <c r="AI26" s="192">
        <f>ROUND($O26*R26,0)</f>
        <v/>
      </c>
      <c r="AJ26" s="192">
        <f>ROUND($O26*S26,0)</f>
        <v/>
      </c>
      <c r="AK26" s="192">
        <f>ROUND($O26*T26,0)</f>
        <v/>
      </c>
      <c r="AL26" s="192">
        <f>ROUND($O26*U26,0)</f>
        <v/>
      </c>
      <c r="AM26" s="192">
        <f>ROUND($O26*V26,0)</f>
        <v/>
      </c>
      <c r="AN26" s="192">
        <f>ROUND($O26*W26,0)</f>
        <v/>
      </c>
      <c r="AO26" s="192">
        <f>ROUND($O26*X26,0)</f>
        <v/>
      </c>
      <c r="AP26" s="193">
        <f>ROUND($O26*Y26,0)</f>
        <v/>
      </c>
      <c r="AQ26" s="193">
        <f>ROUND($O26*Z26,0)</f>
        <v/>
      </c>
      <c r="AR26" s="193">
        <f>ROUND($O26*AA26,0)</f>
        <v/>
      </c>
      <c r="AS26" s="193">
        <f>ROUND($O26*AB26,0)</f>
        <v/>
      </c>
      <c r="AT26" s="306">
        <f>ROUND($O26*AC26,0)</f>
        <v/>
      </c>
      <c r="AU26" s="306">
        <f>ROUND($O26*AD26,0)</f>
        <v/>
      </c>
      <c r="AV26" s="306">
        <f>ROUND($O26*AE26,0)</f>
        <v/>
      </c>
      <c r="AW26" s="306">
        <f>ROUND($O26*AF26,0)</f>
        <v/>
      </c>
      <c r="AX26" s="236">
        <f>SUM(AG26:AO26)</f>
        <v/>
      </c>
      <c r="AY26" s="528">
        <f>AX26/160</f>
        <v/>
      </c>
      <c r="AZ26" s="87">
        <f>VLOOKUP(I26,Listy!$A$1:$H$9,6,FALSE)</f>
        <v/>
      </c>
      <c r="BA26" s="682">
        <f>AY26*AZ26</f>
        <v/>
      </c>
      <c r="BB26" s="683">
        <f>AY26*BA26</f>
        <v/>
      </c>
      <c r="BC26" s="528" t="n"/>
      <c r="BD26" s="528" t="n"/>
      <c r="BE26" s="528" t="n"/>
      <c r="BF26" s="528" t="n"/>
      <c r="BG26" s="528" t="n"/>
      <c r="BH26" s="528" t="n"/>
      <c r="BI26" s="21">
        <f>BG26*BH26</f>
        <v/>
      </c>
      <c r="BJ26" s="528" t="n"/>
      <c r="BK26" s="528" t="n"/>
      <c r="BL26" s="528" t="n"/>
      <c r="BM26" s="528" t="n"/>
      <c r="BN26" s="528" t="n"/>
      <c r="BO26" s="528" t="n"/>
      <c r="BP26" s="528" t="n"/>
      <c r="BQ26" s="528" t="n"/>
      <c r="BR26" s="528" t="n"/>
      <c r="BS26" s="528" t="n"/>
      <c r="BT26" s="528" t="n"/>
      <c r="BU26" s="528" t="n"/>
      <c r="BV26" s="528" t="n"/>
      <c r="BW26" s="21">
        <f>BU26*BV26</f>
        <v/>
      </c>
      <c r="BX26" s="528" t="n"/>
      <c r="BY26" s="528" t="n"/>
      <c r="BZ26" s="528" t="n"/>
      <c r="CA26" s="21">
        <f>BY26*BZ26</f>
        <v/>
      </c>
      <c r="CB26" s="528" t="n"/>
      <c r="CC26" s="528" t="n"/>
      <c r="CD26" s="528" t="n"/>
      <c r="CE26" s="21">
        <f>CC26*CD26</f>
        <v/>
      </c>
    </row>
    <row r="27" customFormat="1" s="538">
      <c r="A27" s="441" t="n">
        <v>4</v>
      </c>
      <c r="B27" s="441" t="inlineStr">
        <is>
          <t>c</t>
        </is>
      </c>
      <c r="C27" s="407" t="n">
        <v>3</v>
      </c>
      <c r="D27" s="438">
        <f>CONCATENATE(A$3,"_",A27,"_",B27,"_",C27)</f>
        <v/>
      </c>
      <c r="E27" s="437" t="inlineStr">
        <is>
          <t xml:space="preserve">Stworzenie zautomatyzowanego systemu aktualizacji danych BDKZ zintegrowanej z platformą. </t>
        </is>
      </c>
      <c r="F27" s="528">
        <f>IFERROR(VLOOKUP($I27,Listy!$A:$H,2,FALSE),"XXX")</f>
        <v/>
      </c>
      <c r="G27" s="528">
        <f>IFERROR(VLOOKUP($I27,Listy!$A:$H,3,FALSE),"XXX")</f>
        <v/>
      </c>
      <c r="H27" s="444" t="n">
        <v>8</v>
      </c>
      <c r="I27" s="89" t="inlineStr">
        <is>
          <t>.a02</t>
        </is>
      </c>
      <c r="J27" s="91">
        <f>M26+1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4" t="n">
        <v>1</v>
      </c>
      <c r="O27" s="444" t="n">
        <v>80</v>
      </c>
      <c r="P27" s="187" t="n">
        <v>0.25</v>
      </c>
      <c r="Q27" s="187" t="n">
        <v>0.25</v>
      </c>
      <c r="R27" s="187" t="n">
        <v>0.25</v>
      </c>
      <c r="S27" s="187" t="n">
        <v>0.25</v>
      </c>
      <c r="T27" s="187" t="n"/>
      <c r="U27" s="187" t="n"/>
      <c r="V27" s="187" t="n"/>
      <c r="W27" s="187" t="n"/>
      <c r="X27" s="187" t="n"/>
      <c r="Y27" s="292" t="n">
        <v>0</v>
      </c>
      <c r="Z27" s="292" t="n">
        <v>0</v>
      </c>
      <c r="AA27" s="292" t="n">
        <v>0</v>
      </c>
      <c r="AB27" s="292" t="n">
        <v>0</v>
      </c>
      <c r="AC27" s="305" t="n"/>
      <c r="AD27" s="305" t="n"/>
      <c r="AE27" s="305" t="n"/>
      <c r="AF27" s="305" t="n"/>
      <c r="AG27" s="192">
        <f>ROUND($O27*P27,0)</f>
        <v/>
      </c>
      <c r="AH27" s="192">
        <f>ROUND($O27*Q27,0)</f>
        <v/>
      </c>
      <c r="AI27" s="192">
        <f>ROUND($O27*R27,0)</f>
        <v/>
      </c>
      <c r="AJ27" s="192">
        <f>ROUND($O27*S27,0)</f>
        <v/>
      </c>
      <c r="AK27" s="192">
        <f>ROUND($O27*T27,0)</f>
        <v/>
      </c>
      <c r="AL27" s="192">
        <f>ROUND($O27*U27,0)</f>
        <v/>
      </c>
      <c r="AM27" s="192">
        <f>ROUND($O27*V27,0)</f>
        <v/>
      </c>
      <c r="AN27" s="192">
        <f>ROUND($O27*W27,0)</f>
        <v/>
      </c>
      <c r="AO27" s="192">
        <f>ROUND($O27*X27,0)</f>
        <v/>
      </c>
      <c r="AP27" s="193">
        <f>ROUND($O27*Y27,0)</f>
        <v/>
      </c>
      <c r="AQ27" s="193">
        <f>ROUND($O27*Z27,0)</f>
        <v/>
      </c>
      <c r="AR27" s="193">
        <f>ROUND($O27*AA27,0)</f>
        <v/>
      </c>
      <c r="AS27" s="193">
        <f>ROUND($O27*AB27,0)</f>
        <v/>
      </c>
      <c r="AT27" s="306">
        <f>ROUND($O27*AC27,0)</f>
        <v/>
      </c>
      <c r="AU27" s="306">
        <f>ROUND($O27*AD27,0)</f>
        <v/>
      </c>
      <c r="AV27" s="306">
        <f>ROUND($O27*AE27,0)</f>
        <v/>
      </c>
      <c r="AW27" s="306">
        <f>ROUND($O27*AF27,0)</f>
        <v/>
      </c>
      <c r="AX27" s="236">
        <f>SUM(AG27:AO27)</f>
        <v/>
      </c>
      <c r="AY27" s="528">
        <f>AX27/160</f>
        <v/>
      </c>
      <c r="AZ27" s="87">
        <f>VLOOKUP(I27,Listy!$A$1:$H$9,6,FALSE)</f>
        <v/>
      </c>
      <c r="BA27" s="682">
        <f>AY27*AZ27</f>
        <v/>
      </c>
      <c r="BB27" s="683">
        <f>AY27*BA27</f>
        <v/>
      </c>
      <c r="BC27" s="528" t="n"/>
      <c r="BD27" s="528" t="n"/>
      <c r="BE27" s="528" t="n"/>
      <c r="BF27" s="528" t="n"/>
      <c r="BG27" s="528" t="n"/>
      <c r="BH27" s="528" t="n"/>
      <c r="BI27" s="21">
        <f>BG27*BH27</f>
        <v/>
      </c>
      <c r="BJ27" s="528" t="n"/>
      <c r="BK27" s="528" t="n"/>
      <c r="BL27" s="528" t="n"/>
      <c r="BM27" s="528" t="n"/>
      <c r="BN27" s="528" t="n"/>
      <c r="BO27" s="528" t="n"/>
      <c r="BP27" s="528" t="n"/>
      <c r="BQ27" s="528" t="n"/>
      <c r="BR27" s="528" t="n"/>
      <c r="BS27" s="528" t="n"/>
      <c r="BT27" s="528" t="n"/>
      <c r="BU27" s="528" t="n"/>
      <c r="BV27" s="528" t="n"/>
      <c r="BW27" s="21">
        <f>BU27*BV27</f>
        <v/>
      </c>
      <c r="BX27" s="528" t="n"/>
      <c r="BY27" s="528" t="n"/>
      <c r="BZ27" s="528" t="n"/>
      <c r="CA27" s="21">
        <f>BY27*BZ27</f>
        <v/>
      </c>
      <c r="CB27" s="528" t="n"/>
      <c r="CC27" s="528" t="n"/>
      <c r="CD27" s="528" t="n"/>
      <c r="CE27" s="21">
        <f>CC27*CD27</f>
        <v/>
      </c>
    </row>
    <row r="28" ht="18" customFormat="1" customHeight="1" s="538">
      <c r="A28" s="410" t="n">
        <v>5</v>
      </c>
      <c r="B28" s="441" t="inlineStr">
        <is>
          <t>a</t>
        </is>
      </c>
      <c r="C28" s="407" t="n">
        <v>1</v>
      </c>
      <c r="D28" s="438">
        <f>CONCATENATE(A$3,"_",A28,"_",B28,"_",C28)</f>
        <v/>
      </c>
      <c r="E28" s="410" t="inlineStr">
        <is>
          <t>5.Opracowanie procedur/strategii bezpieczeństwa i zarządzania BDKZ</t>
        </is>
      </c>
      <c r="F28" s="528">
        <f>IFERROR(VLOOKUP($I28,Listy!$A:$H,2,FALSE),"XXX")</f>
        <v/>
      </c>
      <c r="G28" s="528">
        <f>IFERROR(VLOOKUP($I28,Listy!$A:$H,3,FALSE),"XXX")</f>
        <v/>
      </c>
      <c r="H28" s="444" t="n">
        <v>9</v>
      </c>
      <c r="I28" s="89" t="inlineStr">
        <is>
          <t>.a03</t>
        </is>
      </c>
      <c r="J28" s="91">
        <f>M27+1</f>
        <v/>
      </c>
      <c r="K28" s="681">
        <f>VLOOKUP(J28,Kalendarz!B:E,4,FALSE)</f>
        <v/>
      </c>
      <c r="L28" s="681">
        <f>K28+N28</f>
        <v/>
      </c>
      <c r="M28" s="528">
        <f>J28+N28-1</f>
        <v/>
      </c>
      <c r="N28" s="474">
        <f>ROUND(MAX(AG28:AO28)/Listy!$U$2,0)</f>
        <v/>
      </c>
      <c r="O28" s="444" t="n">
        <v>20</v>
      </c>
      <c r="P28" s="187" t="n">
        <v>0.25</v>
      </c>
      <c r="Q28" s="187" t="n">
        <v>0.25</v>
      </c>
      <c r="R28" s="187" t="n">
        <v>0.25</v>
      </c>
      <c r="S28" s="187" t="n">
        <v>0.25</v>
      </c>
      <c r="T28" s="187" t="n"/>
      <c r="U28" s="187" t="n"/>
      <c r="V28" s="187" t="n"/>
      <c r="W28" s="187" t="n"/>
      <c r="X28" s="187" t="n"/>
      <c r="Y28" s="292" t="n">
        <v>0</v>
      </c>
      <c r="Z28" s="292" t="n">
        <v>0</v>
      </c>
      <c r="AA28" s="292" t="n">
        <v>0</v>
      </c>
      <c r="AB28" s="292" t="n">
        <v>0</v>
      </c>
      <c r="AC28" s="305" t="n"/>
      <c r="AD28" s="305" t="n"/>
      <c r="AE28" s="305" t="n"/>
      <c r="AF28" s="305" t="n"/>
      <c r="AG28" s="192">
        <f>ROUND($O28*P28,0)</f>
        <v/>
      </c>
      <c r="AH28" s="192">
        <f>ROUND($O28*Q28,0)</f>
        <v/>
      </c>
      <c r="AI28" s="192">
        <f>ROUND($O28*R28,0)</f>
        <v/>
      </c>
      <c r="AJ28" s="192">
        <f>ROUND($O28*S28,0)</f>
        <v/>
      </c>
      <c r="AK28" s="192">
        <f>ROUND($O28*T28,0)</f>
        <v/>
      </c>
      <c r="AL28" s="192">
        <f>ROUND($O28*U28,0)</f>
        <v/>
      </c>
      <c r="AM28" s="192">
        <f>ROUND($O28*V28,0)</f>
        <v/>
      </c>
      <c r="AN28" s="192">
        <f>ROUND($O28*W28,0)</f>
        <v/>
      </c>
      <c r="AO28" s="192">
        <f>ROUND($O28*X28,0)</f>
        <v/>
      </c>
      <c r="AP28" s="193">
        <f>ROUND($O28*Y28,0)</f>
        <v/>
      </c>
      <c r="AQ28" s="193">
        <f>ROUND($O28*Z28,0)</f>
        <v/>
      </c>
      <c r="AR28" s="193">
        <f>ROUND($O28*AA28,0)</f>
        <v/>
      </c>
      <c r="AS28" s="193">
        <f>ROUND($O28*AB28,0)</f>
        <v/>
      </c>
      <c r="AT28" s="306">
        <f>ROUND($O28*AC28,0)</f>
        <v/>
      </c>
      <c r="AU28" s="306">
        <f>ROUND($O28*AD28,0)</f>
        <v/>
      </c>
      <c r="AV28" s="306">
        <f>ROUND($O28*AE28,0)</f>
        <v/>
      </c>
      <c r="AW28" s="306">
        <f>ROUND($O28*AF28,0)</f>
        <v/>
      </c>
      <c r="AX28" s="236">
        <f>SUM(AG28:AO28)</f>
        <v/>
      </c>
      <c r="AY28" s="528">
        <f>AX28/160</f>
        <v/>
      </c>
      <c r="AZ28" s="87">
        <f>VLOOKUP(I28,Listy!$A$1:$H$9,6,FALSE)</f>
        <v/>
      </c>
      <c r="BA28" s="682">
        <f>AY28*AZ28</f>
        <v/>
      </c>
      <c r="BB28" s="683">
        <f>AY28*BA28</f>
        <v/>
      </c>
      <c r="BC28" s="528" t="n"/>
      <c r="BD28" s="528" t="n"/>
      <c r="BE28" s="528" t="n"/>
      <c r="BF28" s="528" t="n"/>
      <c r="BG28" s="528" t="n"/>
      <c r="BH28" s="528" t="n"/>
      <c r="BI28" s="21">
        <f>BG28*BH28</f>
        <v/>
      </c>
      <c r="BJ28" s="528" t="n"/>
      <c r="BK28" s="528" t="n"/>
      <c r="BL28" s="528" t="n"/>
      <c r="BM28" s="528" t="n"/>
      <c r="BN28" s="528" t="n"/>
      <c r="BO28" s="528" t="n"/>
      <c r="BP28" s="528" t="n"/>
      <c r="BQ28" s="528" t="n"/>
      <c r="BR28" s="528" t="n"/>
      <c r="BS28" s="528" t="n"/>
      <c r="BT28" s="528" t="n"/>
      <c r="BU28" s="528" t="n"/>
      <c r="BV28" s="528" t="n"/>
      <c r="BW28" s="21">
        <f>BU28*BV28</f>
        <v/>
      </c>
      <c r="BX28" s="528" t="n"/>
      <c r="BY28" s="528" t="n"/>
      <c r="BZ28" s="528" t="n"/>
      <c r="CA28" s="21">
        <f>BY28*BZ28</f>
        <v/>
      </c>
      <c r="CB28" s="528" t="n"/>
      <c r="CC28" s="528" t="n"/>
      <c r="CD28" s="528" t="n"/>
      <c r="CE28" s="21">
        <f>CC28*CD28</f>
        <v/>
      </c>
    </row>
    <row r="29" ht="18" customFormat="1" customHeight="1" s="538">
      <c r="A29" s="410" t="n">
        <v>6</v>
      </c>
      <c r="B29" s="441" t="inlineStr">
        <is>
          <t>a</t>
        </is>
      </c>
      <c r="C29" s="407" t="n">
        <v>1</v>
      </c>
      <c r="D29" s="438">
        <f>CONCATENATE(A$3,"_",A29,"_",B29,"_",C29)</f>
        <v/>
      </c>
      <c r="E29" s="410" t="inlineStr">
        <is>
          <t>6.Opracowanie dokumentacji BDKZ</t>
        </is>
      </c>
      <c r="F29" s="528">
        <f>IFERROR(VLOOKUP($I29,Listy!$A:$H,2,FALSE),"XXX")</f>
        <v/>
      </c>
      <c r="G29" s="528">
        <f>IFERROR(VLOOKUP($I29,Listy!$A:$H,3,FALSE),"XXX")</f>
        <v/>
      </c>
      <c r="H29" s="444" t="n">
        <v>10</v>
      </c>
      <c r="I29" s="89" t="inlineStr">
        <is>
          <t>.a01</t>
        </is>
      </c>
      <c r="J29" s="91">
        <f>M28+1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4" t="n">
        <v>1</v>
      </c>
      <c r="O29" s="444" t="n">
        <v>60</v>
      </c>
      <c r="P29" s="187" t="n">
        <v>0.25</v>
      </c>
      <c r="Q29" s="187" t="n">
        <v>0.25</v>
      </c>
      <c r="R29" s="187" t="n">
        <v>0.25</v>
      </c>
      <c r="S29" s="187" t="n">
        <v>0.25</v>
      </c>
      <c r="T29" s="187" t="n"/>
      <c r="U29" s="187" t="n"/>
      <c r="V29" s="187" t="n"/>
      <c r="W29" s="187" t="n"/>
      <c r="X29" s="187" t="n"/>
      <c r="Y29" s="292" t="n">
        <v>0</v>
      </c>
      <c r="Z29" s="292" t="n">
        <v>0</v>
      </c>
      <c r="AA29" s="292" t="n">
        <v>0</v>
      </c>
      <c r="AB29" s="292" t="n">
        <v>0</v>
      </c>
      <c r="AC29" s="305" t="n"/>
      <c r="AD29" s="305" t="n"/>
      <c r="AE29" s="305" t="n"/>
      <c r="AF29" s="305" t="n"/>
      <c r="AG29" s="192">
        <f>ROUND($O29*P29,0)</f>
        <v/>
      </c>
      <c r="AH29" s="192">
        <f>ROUND($O29*Q29,0)</f>
        <v/>
      </c>
      <c r="AI29" s="192">
        <f>ROUND($O29*R29,0)</f>
        <v/>
      </c>
      <c r="AJ29" s="192">
        <f>ROUND($O29*S29,0)</f>
        <v/>
      </c>
      <c r="AK29" s="192">
        <f>ROUND($O29*T29,0)</f>
        <v/>
      </c>
      <c r="AL29" s="192">
        <f>ROUND($O29*U29,0)</f>
        <v/>
      </c>
      <c r="AM29" s="192">
        <f>ROUND($O29*V29,0)</f>
        <v/>
      </c>
      <c r="AN29" s="192">
        <f>ROUND($O29*W29,0)</f>
        <v/>
      </c>
      <c r="AO29" s="192">
        <f>ROUND($O29*X29,0)</f>
        <v/>
      </c>
      <c r="AP29" s="193">
        <f>ROUND($O29*Y29,0)</f>
        <v/>
      </c>
      <c r="AQ29" s="193">
        <f>ROUND($O29*Z29,0)</f>
        <v/>
      </c>
      <c r="AR29" s="193">
        <f>ROUND($O29*AA29,0)</f>
        <v/>
      </c>
      <c r="AS29" s="193">
        <f>ROUND($O29*AB29,0)</f>
        <v/>
      </c>
      <c r="AT29" s="306">
        <f>ROUND($O29*AC29,0)</f>
        <v/>
      </c>
      <c r="AU29" s="306">
        <f>ROUND($O29*AD29,0)</f>
        <v/>
      </c>
      <c r="AV29" s="306">
        <f>ROUND($O29*AE29,0)</f>
        <v/>
      </c>
      <c r="AW29" s="306">
        <f>ROUND($O29*AF29,0)</f>
        <v/>
      </c>
      <c r="AX29" s="236">
        <f>SUM(AG29:AO29)</f>
        <v/>
      </c>
      <c r="AY29" s="528">
        <f>AX29/160</f>
        <v/>
      </c>
      <c r="AZ29" s="87">
        <f>VLOOKUP(I29,Listy!$A$1:$H$9,6,FALSE)</f>
        <v/>
      </c>
      <c r="BA29" s="682">
        <f>AY29*AZ29</f>
        <v/>
      </c>
      <c r="BB29" s="683">
        <f>AY29*BA29</f>
        <v/>
      </c>
      <c r="BC29" s="528" t="n"/>
      <c r="BD29" s="528" t="n"/>
      <c r="BE29" s="528" t="n"/>
      <c r="BF29" s="528" t="n"/>
      <c r="BG29" s="528" t="n"/>
      <c r="BH29" s="528" t="n"/>
      <c r="BI29" s="21">
        <f>BG29*BH29</f>
        <v/>
      </c>
      <c r="BJ29" s="528" t="n"/>
      <c r="BK29" s="528" t="n"/>
      <c r="BL29" s="528" t="n"/>
      <c r="BM29" s="528" t="n"/>
      <c r="BN29" s="528" t="n"/>
      <c r="BO29" s="528" t="n"/>
      <c r="BP29" s="528" t="n"/>
      <c r="BQ29" s="528" t="n"/>
      <c r="BR29" s="528" t="n"/>
      <c r="BS29" s="528" t="n"/>
      <c r="BT29" s="528" t="n"/>
      <c r="BU29" s="528" t="n"/>
      <c r="BV29" s="528" t="n"/>
      <c r="BW29" s="21">
        <f>BU29*BV29</f>
        <v/>
      </c>
      <c r="BX29" s="528" t="n"/>
      <c r="BY29" s="528" t="n"/>
      <c r="BZ29" s="528" t="n"/>
      <c r="CA29" s="21">
        <f>BY29*BZ29</f>
        <v/>
      </c>
      <c r="CB29" s="528" t="n"/>
      <c r="CC29" s="528" t="n"/>
      <c r="CD29" s="528" t="n"/>
      <c r="CE29" s="21">
        <f>CC29*CD29</f>
        <v/>
      </c>
    </row>
    <row r="30" customFormat="1" s="538">
      <c r="A30" s="349" t="n"/>
      <c r="B30" s="350" t="n"/>
      <c r="C30" s="349" t="n"/>
      <c r="D30" s="333" t="n"/>
      <c r="E30" s="354" t="n"/>
      <c r="F30" s="336" t="n"/>
      <c r="G30" s="336" t="n"/>
      <c r="H30" s="335" t="n"/>
      <c r="I30" s="336" t="n"/>
      <c r="J30" s="336" t="n"/>
      <c r="K30" s="336" t="n"/>
      <c r="L30" s="336" t="n"/>
      <c r="M30" s="336" t="n"/>
      <c r="N30" s="336" t="n"/>
      <c r="O30" s="336" t="n"/>
      <c r="P30" s="336" t="n"/>
      <c r="Q30" s="336" t="n"/>
      <c r="R30" s="430" t="n"/>
      <c r="S30" s="430" t="n"/>
      <c r="T30" s="430" t="n"/>
      <c r="U30" s="430" t="n"/>
      <c r="V30" s="430" t="n"/>
      <c r="W30" s="430" t="n"/>
      <c r="X30" s="430" t="n"/>
      <c r="Y30" s="430" t="n"/>
      <c r="Z30" s="430" t="n"/>
      <c r="AA30" s="430" t="n"/>
      <c r="AB30" s="430" t="n"/>
      <c r="AC30" s="338" t="n"/>
      <c r="AD30" s="338" t="n"/>
      <c r="AE30" s="338" t="n"/>
      <c r="AF30" s="338" t="n"/>
      <c r="AG30" s="585">
        <f>SUM(AG$3:AG29)</f>
        <v/>
      </c>
      <c r="AH30" s="586">
        <f>SUM(AH$3:AH29)</f>
        <v/>
      </c>
      <c r="AI30" s="586">
        <f>SUM(AI$3:AI29)</f>
        <v/>
      </c>
      <c r="AJ30" s="586">
        <f>SUM(AJ$3:AJ29)</f>
        <v/>
      </c>
      <c r="AK30" s="586">
        <f>SUM(AK$3:AK29)</f>
        <v/>
      </c>
      <c r="AL30" s="586">
        <f>SUM(AL$3:AL29)</f>
        <v/>
      </c>
      <c r="AM30" s="586">
        <f>SUM(AM$3:AM29)</f>
        <v/>
      </c>
      <c r="AN30" s="586">
        <f>SUM(AN$3:AN29)</f>
        <v/>
      </c>
      <c r="AO30" s="587">
        <f>SUM(AO$3:AO29)</f>
        <v/>
      </c>
      <c r="AP30" s="579">
        <f>SUM(AP$3:AP29)</f>
        <v/>
      </c>
      <c r="AQ30" s="580">
        <f>SUM(AQ$3:AQ29)</f>
        <v/>
      </c>
      <c r="AR30" s="580">
        <f>SUM(AR$3:AR29)</f>
        <v/>
      </c>
      <c r="AS30" s="581">
        <f>SUM(AS$3:AS29)</f>
        <v/>
      </c>
      <c r="AT30" s="572">
        <f>SUM(AT$3:AT29)</f>
        <v/>
      </c>
      <c r="AU30" s="573">
        <f>SUM(AU$3:AU29)</f>
        <v/>
      </c>
      <c r="AV30" s="573">
        <f>SUM(AV$3:AV29)</f>
        <v/>
      </c>
      <c r="AW30" s="574">
        <f>SUM(AW$3:AW29)</f>
        <v/>
      </c>
      <c r="AX30" s="684">
        <f>SUM(AX$3:AX29)</f>
        <v/>
      </c>
      <c r="AZ30" s="336" t="n"/>
      <c r="BA30" s="336" t="n"/>
      <c r="BC30" s="336" t="n"/>
      <c r="BD30" s="336" t="n"/>
      <c r="BE30" s="336" t="n"/>
      <c r="BF30" s="336" t="n"/>
      <c r="BG30" s="336" t="n"/>
      <c r="BH30" s="336" t="n"/>
      <c r="BJ30" s="336" t="n"/>
      <c r="BK30" s="336" t="n"/>
      <c r="BM30" s="336" t="n"/>
      <c r="BN30" s="336" t="n"/>
      <c r="BP30" s="336" t="n"/>
      <c r="BQ30" s="336" t="n"/>
      <c r="BT30" s="336" t="n"/>
      <c r="BU30" s="336" t="n"/>
      <c r="BV30" s="336" t="n"/>
      <c r="BX30" s="336" t="n"/>
      <c r="BY30" s="336" t="n"/>
      <c r="BZ30" s="336" t="n"/>
      <c r="CB30" s="336" t="n"/>
      <c r="CC30" s="336" t="n"/>
      <c r="CD30" s="336" t="n"/>
    </row>
    <row r="31" customFormat="1" s="538">
      <c r="A31" s="349" t="n"/>
      <c r="B31" s="350" t="n"/>
      <c r="C31" s="349" t="n"/>
      <c r="D31" s="333" t="n"/>
      <c r="E31" s="333" t="n"/>
      <c r="F31" s="336" t="n"/>
      <c r="G31" s="336" t="n"/>
      <c r="H31" s="335" t="n"/>
      <c r="I31" s="336" t="n"/>
      <c r="J31" s="336" t="n"/>
      <c r="K31" s="336" t="n"/>
      <c r="L31" s="336" t="n"/>
      <c r="M31" s="336" t="n"/>
      <c r="N31" s="336" t="n"/>
      <c r="O31" s="336" t="n"/>
      <c r="P31" s="430" t="n"/>
      <c r="Q31" s="430" t="n"/>
      <c r="R31" s="430" t="n"/>
      <c r="S31" s="430" t="n"/>
      <c r="T31" s="430" t="n"/>
      <c r="U31" s="430" t="n"/>
      <c r="V31" s="430" t="n"/>
      <c r="W31" s="430" t="n"/>
      <c r="X31" s="430" t="n"/>
      <c r="Y31" s="357" t="n"/>
      <c r="Z31" s="357" t="n"/>
      <c r="AA31" s="357" t="n"/>
      <c r="AB31" s="430" t="n"/>
      <c r="AC31" s="338" t="n"/>
      <c r="AD31" s="338" t="n"/>
      <c r="AE31" s="338" t="n"/>
      <c r="AF31" s="338" t="n"/>
      <c r="AG31" s="588">
        <f>Listy!$AA$1&amp;AG30/20</f>
        <v/>
      </c>
      <c r="AH31" s="589">
        <f>Listy!$AA$1&amp;AH30/20</f>
        <v/>
      </c>
      <c r="AI31" s="589">
        <f>Listy!$AA$1&amp;AI30/20</f>
        <v/>
      </c>
      <c r="AJ31" s="589">
        <f>Listy!$AA$1&amp;AJ30/20</f>
        <v/>
      </c>
      <c r="AK31" s="589">
        <f>Listy!$AA$1&amp;AK30/20</f>
        <v/>
      </c>
      <c r="AL31" s="589">
        <f>Listy!$AA$1&amp;AL30/20</f>
        <v/>
      </c>
      <c r="AM31" s="589">
        <f>Listy!$AA$1&amp;AM30/20</f>
        <v/>
      </c>
      <c r="AN31" s="589">
        <f>Listy!$AA$1&amp;AN30/20</f>
        <v/>
      </c>
      <c r="AO31" s="590">
        <f>Listy!$AA$1&amp;AO30/20</f>
        <v/>
      </c>
      <c r="AP31" s="582">
        <f>Listy!$AA$1&amp;AP30/20</f>
        <v/>
      </c>
      <c r="AQ31" s="583">
        <f>Listy!$AA$1&amp;AQ30/20</f>
        <v/>
      </c>
      <c r="AR31" s="583">
        <f>Listy!$AA$1&amp;AR30/20</f>
        <v/>
      </c>
      <c r="AS31" s="584">
        <f>Listy!$AA$1&amp;AS30/20</f>
        <v/>
      </c>
      <c r="AT31" s="575">
        <f>Listy!$AA$1&amp;AT30/20</f>
        <v/>
      </c>
      <c r="AU31" s="576">
        <f>Listy!$AA$1&amp;AU30/20</f>
        <v/>
      </c>
      <c r="AV31" s="576">
        <f>Listy!$AA$1&amp;AV30/20</f>
        <v/>
      </c>
      <c r="AW31" s="577">
        <f>Listy!$AA$1&amp;AW30/20</f>
        <v/>
      </c>
      <c r="AX31" s="591">
        <f>Listy!$AA$1&amp;AX30/20</f>
        <v/>
      </c>
      <c r="AZ31" s="336" t="n"/>
      <c r="BA31" s="336" t="n"/>
      <c r="BC31" s="336" t="n"/>
      <c r="BD31" s="336" t="n"/>
      <c r="BE31" s="336" t="n"/>
      <c r="BF31" s="336" t="n"/>
      <c r="BG31" s="336" t="n"/>
      <c r="BH31" s="336" t="n"/>
      <c r="BJ31" s="336" t="n"/>
      <c r="BK31" s="336" t="n"/>
      <c r="BM31" s="336" t="n"/>
      <c r="BN31" s="336" t="n"/>
      <c r="BP31" s="336" t="n"/>
      <c r="BQ31" s="336" t="n"/>
      <c r="BT31" s="336" t="n"/>
      <c r="BU31" s="336" t="n"/>
      <c r="BV31" s="336" t="n"/>
      <c r="BX31" s="336" t="n"/>
      <c r="BY31" s="336" t="n"/>
      <c r="BZ31" s="336" t="n"/>
      <c r="CB31" s="336" t="n"/>
      <c r="CC31" s="336" t="n"/>
      <c r="CD31" s="336" t="n"/>
    </row>
    <row r="32" customFormat="1" s="538">
      <c r="A32" s="349" t="n"/>
      <c r="B32" s="350" t="n"/>
      <c r="C32" s="349" t="n"/>
      <c r="D32" s="333" t="n"/>
      <c r="E32" s="354" t="n"/>
      <c r="F32" s="336" t="n"/>
      <c r="G32" s="336" t="n"/>
      <c r="H32" s="335" t="n"/>
      <c r="I32" s="336" t="n"/>
      <c r="J32" s="336" t="n"/>
      <c r="K32" s="336" t="n"/>
      <c r="L32" s="336" t="n"/>
      <c r="M32" s="336" t="n"/>
      <c r="N32" s="336" t="n"/>
      <c r="P32" s="430" t="n"/>
      <c r="Q32" s="430" t="n"/>
      <c r="R32" s="430" t="n"/>
      <c r="S32" s="430" t="n"/>
      <c r="T32" s="430" t="n"/>
      <c r="U32" s="430" t="n"/>
      <c r="V32" s="430" t="n"/>
      <c r="W32" s="430" t="n"/>
      <c r="X32" s="430" t="n"/>
      <c r="Y32" s="430" t="n"/>
      <c r="Z32" s="430" t="n"/>
      <c r="AA32" s="430" t="n"/>
      <c r="AB32" s="430" t="n"/>
      <c r="AC32" s="336" t="n"/>
      <c r="AD32" s="336" t="n"/>
      <c r="AE32" s="336" t="n"/>
      <c r="AF32" s="336" t="n"/>
      <c r="AG32" s="339" t="n"/>
      <c r="AH32" s="339" t="n"/>
      <c r="AI32" s="339" t="n"/>
      <c r="AJ32" s="339" t="n"/>
      <c r="AK32" s="339" t="n"/>
      <c r="AL32" s="339" t="n"/>
      <c r="AM32" s="339" t="n"/>
      <c r="AN32" s="339" t="n"/>
      <c r="AO32" s="339" t="n"/>
      <c r="AP32" s="339" t="n"/>
      <c r="AQ32" s="339" t="n"/>
      <c r="AR32" s="339" t="n"/>
      <c r="AS32" s="339" t="n"/>
      <c r="AT32" s="336" t="n"/>
      <c r="AU32" s="336" t="n"/>
      <c r="AV32" s="336" t="n"/>
      <c r="AW32" s="336" t="n"/>
      <c r="AX32" s="430" t="n"/>
      <c r="AZ32" s="336" t="n"/>
      <c r="BA32" s="336" t="n"/>
      <c r="BC32" s="336" t="n"/>
      <c r="BD32" s="336" t="n"/>
      <c r="BE32" s="336" t="n"/>
      <c r="BF32" s="336" t="n"/>
      <c r="BG32" s="336" t="n"/>
      <c r="BH32" s="336" t="n"/>
      <c r="BJ32" s="336" t="n"/>
      <c r="BK32" s="336" t="n"/>
      <c r="BM32" s="336" t="n"/>
      <c r="BN32" s="336" t="n"/>
      <c r="BP32" s="336" t="n"/>
      <c r="BQ32" s="336" t="n"/>
      <c r="BT32" s="336" t="n"/>
      <c r="BU32" s="336" t="n"/>
      <c r="BV32" s="336" t="n"/>
      <c r="BX32" s="336" t="n"/>
      <c r="BY32" s="336" t="n"/>
      <c r="BZ32" s="336" t="n"/>
      <c r="CB32" s="336" t="n"/>
      <c r="CC32" s="336" t="n"/>
      <c r="CD32" s="336" t="n"/>
    </row>
    <row r="33" customFormat="1" s="538">
      <c r="A33" s="349" t="n"/>
      <c r="B33" s="350" t="n"/>
      <c r="C33" s="349" t="n"/>
      <c r="D33" s="333" t="n"/>
      <c r="E33" s="354" t="n"/>
      <c r="F33" s="336" t="n"/>
      <c r="G33" s="336" t="n"/>
      <c r="H33" s="335" t="n"/>
      <c r="I33" s="336" t="n"/>
      <c r="J33" s="336" t="n"/>
      <c r="K33" s="336" t="n"/>
      <c r="L33" s="336" t="n"/>
      <c r="M33" s="336" t="n"/>
      <c r="N33" s="336" t="n"/>
      <c r="P33" s="430" t="n"/>
      <c r="Q33" s="430" t="n"/>
      <c r="R33" s="430" t="n"/>
      <c r="S33" s="430" t="n"/>
      <c r="T33" s="430" t="n"/>
      <c r="U33" s="430" t="n"/>
      <c r="V33" s="430" t="n"/>
      <c r="W33" s="430" t="n"/>
      <c r="X33" s="430" t="n"/>
      <c r="Y33" s="430" t="n"/>
      <c r="Z33" s="430" t="n"/>
      <c r="AA33" s="430" t="n"/>
      <c r="AB33" s="430" t="n"/>
      <c r="AC33" s="338" t="n"/>
      <c r="AD33" s="338" t="n"/>
      <c r="AE33" s="338" t="n"/>
      <c r="AF33" s="338" t="n"/>
      <c r="AG33" s="339" t="n"/>
      <c r="AH33" s="339" t="n"/>
      <c r="AI33" s="339" t="n"/>
      <c r="AJ33" s="339" t="n"/>
      <c r="AK33" s="339" t="n"/>
      <c r="AL33" s="339" t="n"/>
      <c r="AM33" s="339" t="n"/>
      <c r="AN33" s="339" t="n"/>
      <c r="AO33" s="339" t="n"/>
      <c r="AP33" s="339" t="n"/>
      <c r="AQ33" s="339" t="n"/>
      <c r="AR33" s="339" t="n"/>
      <c r="AS33" s="339" t="n"/>
      <c r="AT33" s="339" t="n"/>
      <c r="AU33" s="339" t="n"/>
      <c r="AV33" s="339" t="n"/>
      <c r="AW33" s="339" t="n"/>
      <c r="AX33" s="430" t="n"/>
      <c r="AZ33" s="336" t="n"/>
      <c r="BA33" s="336" t="n"/>
      <c r="BC33" s="336" t="n"/>
      <c r="BD33" s="336" t="n"/>
      <c r="BE33" s="336" t="n"/>
      <c r="BF33" s="336" t="n"/>
      <c r="BG33" s="336" t="n"/>
      <c r="BH33" s="336" t="n"/>
      <c r="BJ33" s="336" t="n"/>
      <c r="BK33" s="336" t="n"/>
      <c r="BM33" s="336" t="n"/>
      <c r="BN33" s="336" t="n"/>
      <c r="BP33" s="336" t="n"/>
      <c r="BQ33" s="336" t="n"/>
      <c r="BT33" s="336" t="n"/>
      <c r="BU33" s="336" t="n"/>
      <c r="BV33" s="336" t="n"/>
      <c r="BX33" s="336" t="n"/>
      <c r="BY33" s="336" t="n"/>
      <c r="BZ33" s="336" t="n"/>
      <c r="CB33" s="336" t="n"/>
      <c r="CC33" s="336" t="n"/>
      <c r="CD33" s="336" t="n"/>
    </row>
    <row r="34" customFormat="1" s="538">
      <c r="A34" s="349" t="n"/>
      <c r="B34" s="350" t="n"/>
      <c r="C34" s="349" t="n"/>
      <c r="D34" s="333" t="n"/>
      <c r="E34" s="354" t="n"/>
      <c r="F34" s="336" t="n"/>
      <c r="G34" s="336" t="n"/>
      <c r="H34" s="335" t="n"/>
      <c r="I34" s="336" t="n"/>
      <c r="J34" s="336" t="n"/>
      <c r="K34" s="336" t="n"/>
      <c r="L34" s="336" t="n"/>
      <c r="M34" s="336" t="n"/>
      <c r="N34" s="336" t="n"/>
      <c r="P34" s="430" t="n"/>
      <c r="Q34" s="430" t="n"/>
      <c r="R34" s="430" t="n"/>
      <c r="S34" s="430" t="n"/>
      <c r="T34" s="430" t="n"/>
      <c r="U34" s="430" t="n"/>
      <c r="V34" s="430" t="n"/>
      <c r="W34" s="430" t="n"/>
      <c r="X34" s="430" t="n"/>
      <c r="Y34" s="430" t="n"/>
      <c r="Z34" s="430" t="n"/>
      <c r="AA34" s="430" t="n"/>
      <c r="AB34" s="430" t="n"/>
      <c r="AC34" s="338" t="n"/>
      <c r="AD34" s="338" t="n"/>
      <c r="AE34" s="338" t="n"/>
      <c r="AF34" s="338" t="n"/>
      <c r="AG34" s="339" t="n"/>
      <c r="AH34" s="339" t="n"/>
      <c r="AI34" s="339" t="n"/>
      <c r="AJ34" s="339" t="n"/>
      <c r="AK34" s="339" t="n"/>
      <c r="AL34" s="339" t="n"/>
      <c r="AM34" s="339" t="n"/>
      <c r="AN34" s="339" t="n"/>
      <c r="AO34" s="339" t="n"/>
      <c r="AP34" s="339" t="n"/>
      <c r="AQ34" s="339" t="n"/>
      <c r="AR34" s="339" t="n"/>
      <c r="AS34" s="339" t="n"/>
      <c r="AT34" s="339" t="n"/>
      <c r="AU34" s="339" t="n"/>
      <c r="AV34" s="339" t="n"/>
      <c r="AW34" s="339" t="n"/>
      <c r="AX34" s="430" t="n"/>
      <c r="AZ34" s="336" t="n"/>
      <c r="BA34" s="336" t="n"/>
      <c r="BC34" s="336" t="n"/>
      <c r="BD34" s="336" t="n"/>
      <c r="BE34" s="336" t="n"/>
      <c r="BF34" s="336" t="n"/>
      <c r="BG34" s="336" t="n"/>
      <c r="BH34" s="336" t="n"/>
      <c r="BJ34" s="336" t="n"/>
      <c r="BK34" s="336" t="n"/>
      <c r="BM34" s="336" t="n"/>
      <c r="BN34" s="336" t="n"/>
      <c r="BP34" s="336" t="n"/>
      <c r="BQ34" s="336" t="n"/>
      <c r="BT34" s="336" t="n"/>
      <c r="BU34" s="336" t="n"/>
      <c r="BV34" s="336" t="n"/>
      <c r="BX34" s="336" t="n"/>
      <c r="BY34" s="336" t="n"/>
      <c r="BZ34" s="336" t="n"/>
      <c r="CB34" s="336" t="n"/>
      <c r="CC34" s="336" t="n"/>
      <c r="CD34" s="336" t="n"/>
    </row>
    <row r="35" customFormat="1" s="538">
      <c r="A35" s="349" t="n"/>
      <c r="B35" s="350" t="n"/>
      <c r="C35" s="349" t="n"/>
      <c r="D35" s="333" t="n"/>
      <c r="E35" s="354" t="n"/>
      <c r="F35" s="336" t="n"/>
      <c r="G35" s="336" t="n"/>
      <c r="H35" s="335" t="n"/>
      <c r="I35" s="336" t="n"/>
      <c r="J35" s="336" t="n"/>
      <c r="K35" s="336" t="n"/>
      <c r="L35" s="336" t="n"/>
      <c r="M35" s="336" t="n"/>
      <c r="N35" s="336" t="n"/>
      <c r="P35" s="430" t="n"/>
      <c r="Q35" s="430" t="n"/>
      <c r="R35" s="430" t="n"/>
      <c r="S35" s="430" t="n"/>
      <c r="T35" s="430" t="n"/>
      <c r="U35" s="430" t="n"/>
      <c r="V35" s="430" t="n"/>
      <c r="W35" s="430" t="n"/>
      <c r="X35" s="430" t="n"/>
      <c r="Y35" s="430" t="n"/>
      <c r="Z35" s="430" t="n"/>
      <c r="AA35" s="430" t="n"/>
      <c r="AB35" s="430" t="n"/>
      <c r="AC35" s="338" t="n"/>
      <c r="AD35" s="338" t="n"/>
      <c r="AE35" s="338" t="n"/>
      <c r="AF35" s="338" t="n"/>
      <c r="AG35" s="339" t="n"/>
      <c r="AH35" s="339" t="n"/>
      <c r="AI35" s="339" t="n"/>
      <c r="AJ35" s="339" t="n"/>
      <c r="AK35" s="339" t="n"/>
      <c r="AL35" s="339" t="n"/>
      <c r="AM35" s="339" t="n"/>
      <c r="AN35" s="339" t="n"/>
      <c r="AO35" s="339" t="n"/>
      <c r="AP35" s="339" t="n"/>
      <c r="AQ35" s="339" t="n"/>
      <c r="AR35" s="339" t="n"/>
      <c r="AS35" s="339" t="n"/>
      <c r="AT35" s="339" t="n"/>
      <c r="AU35" s="339" t="n"/>
      <c r="AV35" s="339" t="n"/>
      <c r="AW35" s="339" t="n"/>
      <c r="AX35" s="430" t="n"/>
      <c r="AZ35" s="336" t="n"/>
      <c r="BA35" s="336" t="n"/>
      <c r="BC35" s="336" t="n"/>
      <c r="BD35" s="336" t="n"/>
      <c r="BE35" s="336" t="n"/>
      <c r="BF35" s="336" t="n"/>
      <c r="BG35" s="336" t="n"/>
      <c r="BH35" s="336" t="n"/>
      <c r="BJ35" s="336" t="n"/>
      <c r="BK35" s="336" t="n"/>
      <c r="BM35" s="336" t="n"/>
      <c r="BN35" s="336" t="n"/>
      <c r="BP35" s="336" t="n"/>
      <c r="BQ35" s="336" t="n"/>
      <c r="BT35" s="336" t="n"/>
      <c r="BU35" s="336" t="n"/>
      <c r="BV35" s="336" t="n"/>
      <c r="BX35" s="336" t="n"/>
      <c r="BY35" s="336" t="n"/>
      <c r="BZ35" s="336" t="n"/>
      <c r="CB35" s="336" t="n"/>
      <c r="CC35" s="336" t="n"/>
      <c r="CD35" s="336" t="n"/>
    </row>
    <row r="36" customFormat="1" s="538">
      <c r="A36" s="349" t="n"/>
      <c r="B36" s="350" t="n"/>
      <c r="C36" s="353" t="n"/>
      <c r="D36" s="333" t="n"/>
      <c r="E36" s="332" t="n"/>
      <c r="F36" s="336" t="n"/>
      <c r="G36" s="336" t="n"/>
      <c r="H36" s="335" t="n"/>
      <c r="I36" s="336" t="n"/>
      <c r="J36" s="336" t="n"/>
      <c r="K36" s="336" t="n"/>
      <c r="L36" s="336" t="n"/>
      <c r="M36" s="336" t="n"/>
      <c r="N36" s="336" t="n"/>
      <c r="O36" s="336" t="n"/>
      <c r="P36" s="430" t="n"/>
      <c r="Q36" s="430" t="n"/>
      <c r="R36" s="430" t="n"/>
      <c r="S36" s="430" t="n"/>
      <c r="T36" s="430" t="n"/>
      <c r="U36" s="430" t="n"/>
      <c r="V36" s="430" t="n"/>
      <c r="W36" s="430" t="n"/>
      <c r="X36" s="430" t="n"/>
      <c r="Y36" s="430" t="n"/>
      <c r="Z36" s="430" t="n"/>
      <c r="AA36" s="430" t="n"/>
      <c r="AB36" s="430" t="n"/>
      <c r="AC36" s="338" t="n"/>
      <c r="AD36" s="338" t="n"/>
      <c r="AE36" s="338" t="n"/>
      <c r="AF36" s="338" t="n"/>
      <c r="AG36" s="339" t="n"/>
      <c r="AH36" s="339" t="n"/>
      <c r="AI36" s="339" t="n"/>
      <c r="AJ36" s="339" t="n"/>
      <c r="AK36" s="339" t="n"/>
      <c r="AL36" s="339" t="n"/>
      <c r="AM36" s="339" t="n"/>
      <c r="AN36" s="339" t="n"/>
      <c r="AO36" s="339" t="n"/>
      <c r="AP36" s="339" t="n"/>
      <c r="AQ36" s="339" t="n"/>
      <c r="AR36" s="339" t="n"/>
      <c r="AS36" s="339" t="n"/>
      <c r="AT36" s="339" t="n"/>
      <c r="AU36" s="339" t="n"/>
      <c r="AV36" s="339" t="n"/>
      <c r="AW36" s="339" t="n"/>
      <c r="AX36" s="430" t="n"/>
      <c r="AY36" s="336" t="n"/>
      <c r="AZ36" s="336" t="n"/>
      <c r="BA36" s="336" t="n"/>
      <c r="BB36" s="336" t="n"/>
      <c r="BC36" s="336" t="n"/>
      <c r="BD36" s="336" t="n"/>
      <c r="BE36" s="336" t="n"/>
      <c r="BF36" s="336" t="n"/>
      <c r="BG36" s="336" t="n"/>
      <c r="BH36" s="336" t="n"/>
      <c r="BI36" s="336" t="n"/>
      <c r="BJ36" s="336" t="n"/>
      <c r="BK36" s="336" t="n"/>
      <c r="BL36" s="336" t="n"/>
      <c r="BM36" s="336" t="n"/>
      <c r="BN36" s="336" t="n"/>
      <c r="BO36" s="336" t="n"/>
      <c r="BP36" s="336" t="n"/>
      <c r="BQ36" s="336" t="n"/>
      <c r="BR36" s="336" t="n"/>
      <c r="BS36" s="336" t="n"/>
      <c r="BT36" s="336" t="n"/>
      <c r="BU36" s="336" t="n"/>
      <c r="BV36" s="336" t="n"/>
      <c r="BW36" s="336" t="n"/>
      <c r="BX36" s="336" t="n"/>
      <c r="BY36" s="336" t="n"/>
      <c r="BZ36" s="336" t="n"/>
      <c r="CA36" s="336" t="n"/>
      <c r="CB36" s="336" t="n"/>
      <c r="CC36" s="336" t="n"/>
      <c r="CD36" s="336" t="n"/>
      <c r="CE36" s="336" t="n"/>
    </row>
    <row r="37" customFormat="1" s="538">
      <c r="A37" s="358" t="n"/>
      <c r="B37" s="358" t="n"/>
      <c r="C37" s="344" t="n"/>
      <c r="D37" s="345" t="n"/>
      <c r="E37" s="346" t="n"/>
      <c r="F37" s="336" t="n"/>
      <c r="G37" s="336" t="n"/>
      <c r="H37" s="336" t="n"/>
      <c r="I37" s="336" t="n"/>
      <c r="J37" s="336" t="n"/>
      <c r="K37" s="336" t="n"/>
      <c r="L37" s="336" t="n"/>
      <c r="M37" s="336" t="n"/>
      <c r="N37" s="336" t="n"/>
      <c r="O37" s="336" t="n"/>
      <c r="P37" s="357" t="n"/>
      <c r="Q37" s="357" t="n"/>
      <c r="R37" s="357" t="n"/>
      <c r="S37" s="357" t="n"/>
      <c r="T37" s="357" t="n"/>
      <c r="U37" s="357" t="n"/>
      <c r="V37" s="357" t="n"/>
      <c r="W37" s="357" t="n"/>
      <c r="X37" s="357" t="n"/>
      <c r="Y37" s="357" t="n"/>
      <c r="Z37" s="357" t="n"/>
      <c r="AA37" s="357" t="n"/>
      <c r="AB37" s="336" t="n"/>
      <c r="AC37" s="338" t="n"/>
      <c r="AD37" s="338" t="n"/>
      <c r="AE37" s="338" t="n"/>
      <c r="AF37" s="338" t="n"/>
      <c r="AG37" s="339" t="n"/>
      <c r="AH37" s="339" t="n"/>
      <c r="AI37" s="339" t="n"/>
      <c r="AJ37" s="339" t="n"/>
      <c r="AK37" s="339" t="n"/>
      <c r="AL37" s="339" t="n"/>
      <c r="AM37" s="339" t="n"/>
      <c r="AN37" s="339" t="n"/>
      <c r="AO37" s="339" t="n"/>
      <c r="AP37" s="339" t="n"/>
      <c r="AQ37" s="339" t="n"/>
      <c r="AR37" s="339" t="n"/>
      <c r="AS37" s="339" t="n"/>
      <c r="AT37" s="339" t="n"/>
      <c r="AU37" s="339" t="n"/>
      <c r="AV37" s="339" t="n"/>
      <c r="AW37" s="339" t="n"/>
      <c r="AX37" s="357" t="n"/>
      <c r="AY37" s="359" t="n"/>
      <c r="AZ37" s="336" t="n"/>
      <c r="BA37" s="336" t="n"/>
      <c r="BB37" s="359" t="n"/>
      <c r="BC37" s="336" t="n"/>
      <c r="BD37" s="336" t="n"/>
      <c r="BE37" s="336" t="n"/>
      <c r="BF37" s="336" t="n"/>
      <c r="BG37" s="336" t="n"/>
      <c r="BH37" s="336" t="n"/>
      <c r="BI37" s="359" t="n"/>
      <c r="BJ37" s="336" t="n"/>
      <c r="BK37" s="336" t="n"/>
      <c r="BL37" s="359" t="n"/>
      <c r="BM37" s="336" t="n"/>
      <c r="BN37" s="336" t="n"/>
      <c r="BO37" s="359" t="n"/>
      <c r="BP37" s="336" t="n"/>
      <c r="BQ37" s="336" t="n"/>
      <c r="BR37" s="359" t="n"/>
      <c r="BS37" s="359" t="n"/>
      <c r="BT37" s="336" t="n"/>
      <c r="BU37" s="336" t="n"/>
      <c r="BV37" s="336" t="n"/>
      <c r="BW37" s="359" t="n"/>
      <c r="BX37" s="336" t="n"/>
      <c r="BY37" s="336" t="n"/>
      <c r="BZ37" s="336" t="n"/>
      <c r="CA37" s="359" t="n"/>
      <c r="CB37" s="336" t="n"/>
      <c r="CC37" s="336" t="n"/>
      <c r="CD37" s="336" t="n"/>
      <c r="CE37" s="359" t="n"/>
      <c r="CF37" s="361" t="n"/>
    </row>
    <row r="38" customFormat="1" s="538">
      <c r="A38" s="350" t="n"/>
      <c r="B38" s="350" t="n"/>
      <c r="C38" s="353" t="n"/>
      <c r="D38" s="333" t="n"/>
      <c r="E38" s="332" t="n"/>
      <c r="F38" s="336" t="n"/>
      <c r="G38" s="336" t="n"/>
      <c r="H38" s="335" t="n"/>
      <c r="I38" s="336" t="n"/>
      <c r="J38" s="336" t="n"/>
      <c r="K38" s="336" t="n"/>
      <c r="L38" s="336" t="n"/>
      <c r="M38" s="336" t="n"/>
      <c r="N38" s="336" t="n"/>
      <c r="O38" s="336" t="n"/>
      <c r="P38" s="430" t="n"/>
      <c r="Q38" s="430" t="n"/>
      <c r="R38" s="430" t="n"/>
      <c r="S38" s="430" t="n"/>
      <c r="T38" s="430" t="n"/>
      <c r="U38" s="430" t="n"/>
      <c r="V38" s="430" t="n"/>
      <c r="W38" s="430" t="n"/>
      <c r="X38" s="430" t="n"/>
      <c r="Y38" s="430" t="n"/>
      <c r="Z38" s="430" t="n"/>
      <c r="AA38" s="430" t="n"/>
      <c r="AB38" s="430" t="n"/>
      <c r="AC38" s="338" t="n"/>
      <c r="AD38" s="338" t="n"/>
      <c r="AE38" s="338" t="n"/>
      <c r="AF38" s="338" t="n"/>
      <c r="AG38" s="339" t="n"/>
      <c r="AH38" s="339" t="n"/>
      <c r="AI38" s="339" t="n"/>
      <c r="AJ38" s="339" t="n"/>
      <c r="AK38" s="339" t="n"/>
      <c r="AL38" s="339" t="n"/>
      <c r="AM38" s="339" t="n"/>
      <c r="AN38" s="339" t="n"/>
      <c r="AO38" s="339" t="n"/>
      <c r="AP38" s="339" t="n"/>
      <c r="AQ38" s="339" t="n"/>
      <c r="AR38" s="339" t="n"/>
      <c r="AS38" s="339" t="n"/>
      <c r="AT38" s="339" t="n"/>
      <c r="AU38" s="339" t="n"/>
      <c r="AV38" s="339" t="n"/>
      <c r="AW38" s="339" t="n"/>
      <c r="AX38" s="430" t="n"/>
      <c r="AY38" s="336" t="n"/>
      <c r="AZ38" s="336" t="n"/>
      <c r="BA38" s="336" t="n"/>
      <c r="BB38" s="336" t="n"/>
      <c r="BC38" s="336" t="n"/>
      <c r="BD38" s="336" t="n"/>
      <c r="BE38" s="336" t="n"/>
      <c r="BF38" s="336" t="n"/>
      <c r="BG38" s="336" t="n"/>
      <c r="BH38" s="336" t="n"/>
      <c r="BI38" s="336" t="n"/>
      <c r="BJ38" s="336" t="n"/>
      <c r="BK38" s="336" t="n"/>
      <c r="BL38" s="336" t="n"/>
      <c r="BM38" s="336" t="n"/>
      <c r="BN38" s="336" t="n"/>
      <c r="BO38" s="336" t="n"/>
      <c r="BP38" s="336" t="n"/>
      <c r="BQ38" s="336" t="n"/>
      <c r="BR38" s="336" t="n"/>
      <c r="BS38" s="336" t="n"/>
      <c r="BT38" s="336" t="n"/>
      <c r="BU38" s="336" t="n"/>
      <c r="BV38" s="336" t="n"/>
      <c r="BW38" s="336" t="n"/>
      <c r="BX38" s="336" t="n"/>
      <c r="BY38" s="336" t="n"/>
      <c r="BZ38" s="336" t="n"/>
      <c r="CA38" s="336" t="n"/>
      <c r="CB38" s="336" t="n"/>
      <c r="CC38" s="336" t="n"/>
      <c r="CD38" s="336" t="n"/>
      <c r="CE38" s="336" t="n"/>
    </row>
    <row r="39" customFormat="1" s="538">
      <c r="A39" s="350" t="n"/>
      <c r="B39" s="350" t="n"/>
      <c r="C39" s="353" t="n"/>
      <c r="D39" s="333" t="n"/>
      <c r="E39" s="332" t="n"/>
      <c r="F39" s="336" t="n"/>
      <c r="G39" s="336" t="n"/>
      <c r="H39" s="335" t="n"/>
      <c r="I39" s="336" t="n"/>
      <c r="J39" s="336" t="n"/>
      <c r="K39" s="336" t="n"/>
      <c r="L39" s="336" t="n"/>
      <c r="M39" s="336" t="n"/>
      <c r="N39" s="336" t="n"/>
      <c r="O39" s="336" t="n"/>
      <c r="P39" s="430" t="n"/>
      <c r="Q39" s="430" t="n"/>
      <c r="R39" s="430" t="n"/>
      <c r="S39" s="430" t="n"/>
      <c r="T39" s="430" t="n"/>
      <c r="U39" s="430" t="n"/>
      <c r="V39" s="430" t="n"/>
      <c r="W39" s="430" t="n"/>
      <c r="X39" s="430" t="n"/>
      <c r="Y39" s="430" t="n"/>
      <c r="Z39" s="430" t="n"/>
      <c r="AA39" s="430" t="n"/>
      <c r="AB39" s="430" t="n"/>
      <c r="AC39" s="336" t="n"/>
      <c r="AD39" s="336" t="n"/>
      <c r="AE39" s="336" t="n"/>
      <c r="AF39" s="336" t="n"/>
      <c r="AG39" s="339" t="n"/>
      <c r="AH39" s="339" t="n"/>
      <c r="AI39" s="339" t="n"/>
      <c r="AJ39" s="339" t="n"/>
      <c r="AK39" s="339" t="n"/>
      <c r="AL39" s="339" t="n"/>
      <c r="AM39" s="339" t="n"/>
      <c r="AN39" s="339" t="n"/>
      <c r="AO39" s="339" t="n"/>
      <c r="AP39" s="339" t="n"/>
      <c r="AQ39" s="339" t="n"/>
      <c r="AR39" s="339" t="n"/>
      <c r="AS39" s="339" t="n"/>
      <c r="AT39" s="336" t="n"/>
      <c r="AU39" s="336" t="n"/>
      <c r="AV39" s="336" t="n"/>
      <c r="AW39" s="336" t="n"/>
      <c r="AX39" s="430" t="n"/>
      <c r="AY39" s="336" t="n"/>
      <c r="AZ39" s="336" t="n"/>
      <c r="BA39" s="336" t="n"/>
      <c r="BB39" s="336" t="n"/>
      <c r="BC39" s="336" t="n"/>
      <c r="BD39" s="336" t="n"/>
      <c r="BE39" s="336" t="n"/>
      <c r="BF39" s="336" t="n"/>
      <c r="BG39" s="336" t="n"/>
      <c r="BH39" s="336" t="n"/>
      <c r="BI39" s="336" t="n"/>
      <c r="BJ39" s="336" t="n"/>
      <c r="BK39" s="336" t="n"/>
      <c r="BL39" s="336" t="n"/>
      <c r="BM39" s="336" t="n"/>
      <c r="BN39" s="336" t="n"/>
      <c r="BO39" s="336" t="n"/>
      <c r="BP39" s="336" t="n"/>
      <c r="BQ39" s="336" t="n"/>
      <c r="BR39" s="336" t="n"/>
      <c r="BS39" s="336" t="n"/>
      <c r="BT39" s="336" t="n"/>
      <c r="BU39" s="336" t="n"/>
      <c r="BV39" s="336" t="n"/>
      <c r="BW39" s="336" t="n"/>
      <c r="BX39" s="336" t="n"/>
      <c r="BY39" s="336" t="n"/>
      <c r="BZ39" s="336" t="n"/>
      <c r="CA39" s="336" t="n"/>
      <c r="CB39" s="336" t="n"/>
      <c r="CC39" s="336" t="n"/>
      <c r="CD39" s="336" t="n"/>
      <c r="CE39" s="336" t="n"/>
    </row>
    <row r="40" customFormat="1" s="538">
      <c r="A40" s="350" t="n"/>
      <c r="B40" s="350" t="n"/>
      <c r="C40" s="353" t="n"/>
      <c r="D40" s="333" t="n"/>
      <c r="E40" s="332" t="n"/>
      <c r="F40" s="336" t="n"/>
      <c r="G40" s="336" t="n"/>
      <c r="H40" s="335" t="n"/>
      <c r="I40" s="336" t="n"/>
      <c r="J40" s="336" t="n"/>
      <c r="K40" s="336" t="n"/>
      <c r="L40" s="336" t="n"/>
      <c r="M40" s="336" t="n"/>
      <c r="N40" s="336" t="n"/>
      <c r="O40" s="336" t="n"/>
      <c r="P40" s="430" t="n"/>
      <c r="Q40" s="430" t="n"/>
      <c r="R40" s="430" t="n"/>
      <c r="S40" s="430" t="n"/>
      <c r="T40" s="430" t="n"/>
      <c r="U40" s="430" t="n"/>
      <c r="V40" s="430" t="n"/>
      <c r="W40" s="430" t="n"/>
      <c r="X40" s="430" t="n"/>
      <c r="Y40" s="430" t="n"/>
      <c r="Z40" s="430" t="n"/>
      <c r="AA40" s="430" t="n"/>
      <c r="AB40" s="430" t="n"/>
      <c r="AC40" s="338" t="n"/>
      <c r="AD40" s="338" t="n"/>
      <c r="AE40" s="338" t="n"/>
      <c r="AF40" s="338" t="n"/>
      <c r="AG40" s="339" t="n"/>
      <c r="AH40" s="339" t="n"/>
      <c r="AI40" s="339" t="n"/>
      <c r="AJ40" s="339" t="n"/>
      <c r="AK40" s="339" t="n"/>
      <c r="AL40" s="339" t="n"/>
      <c r="AM40" s="339" t="n"/>
      <c r="AN40" s="339" t="n"/>
      <c r="AO40" s="339" t="n"/>
      <c r="AP40" s="339" t="n"/>
      <c r="AQ40" s="339" t="n"/>
      <c r="AR40" s="339" t="n"/>
      <c r="AS40" s="339" t="n"/>
      <c r="AT40" s="339" t="n"/>
      <c r="AU40" s="339" t="n"/>
      <c r="AV40" s="339" t="n"/>
      <c r="AW40" s="339" t="n"/>
      <c r="AX40" s="430" t="n"/>
      <c r="AY40" s="336" t="n"/>
      <c r="AZ40" s="336" t="n"/>
      <c r="BA40" s="336" t="n"/>
      <c r="BB40" s="336" t="n"/>
      <c r="BC40" s="336" t="n"/>
      <c r="BD40" s="336" t="n"/>
      <c r="BE40" s="336" t="n"/>
      <c r="BF40" s="336" t="n"/>
      <c r="BG40" s="336" t="n"/>
      <c r="BH40" s="336" t="n"/>
      <c r="BI40" s="336" t="n"/>
      <c r="BJ40" s="336" t="n"/>
      <c r="BK40" s="336" t="n"/>
      <c r="BL40" s="336" t="n"/>
      <c r="BM40" s="336" t="n"/>
      <c r="BN40" s="336" t="n"/>
      <c r="BO40" s="336" t="n"/>
      <c r="BP40" s="336" t="n"/>
      <c r="BQ40" s="336" t="n"/>
      <c r="BR40" s="336" t="n"/>
      <c r="BS40" s="336" t="n"/>
      <c r="BT40" s="336" t="n"/>
      <c r="BU40" s="336" t="n"/>
      <c r="BV40" s="336" t="n"/>
      <c r="BW40" s="336" t="n"/>
      <c r="BX40" s="336" t="n"/>
      <c r="BY40" s="336" t="n"/>
      <c r="BZ40" s="336" t="n"/>
      <c r="CA40" s="336" t="n"/>
      <c r="CB40" s="336" t="n"/>
      <c r="CC40" s="336" t="n"/>
      <c r="CD40" s="336" t="n"/>
      <c r="CE40" s="336" t="n"/>
    </row>
    <row r="41" customFormat="1" s="538">
      <c r="A41" s="350" t="n"/>
      <c r="B41" s="350" t="n"/>
      <c r="C41" s="353" t="n"/>
      <c r="D41" s="333" t="n"/>
      <c r="E41" s="332" t="n"/>
      <c r="F41" s="336" t="n"/>
      <c r="G41" s="336" t="n"/>
      <c r="H41" s="335" t="n"/>
      <c r="I41" s="336" t="n"/>
      <c r="J41" s="336" t="n"/>
      <c r="K41" s="336" t="n"/>
      <c r="L41" s="336" t="n"/>
      <c r="M41" s="336" t="n"/>
      <c r="N41" s="336" t="n"/>
      <c r="O41" s="336" t="n"/>
      <c r="P41" s="430" t="n"/>
      <c r="Q41" s="430" t="n"/>
      <c r="R41" s="430" t="n"/>
      <c r="S41" s="430" t="n"/>
      <c r="T41" s="430" t="n"/>
      <c r="U41" s="430" t="n"/>
      <c r="V41" s="430" t="n"/>
      <c r="W41" s="430" t="n"/>
      <c r="X41" s="430" t="n"/>
      <c r="Y41" s="430" t="n"/>
      <c r="Z41" s="430" t="n"/>
      <c r="AA41" s="430" t="n"/>
      <c r="AB41" s="430" t="n"/>
      <c r="AC41" s="338" t="n"/>
      <c r="AD41" s="338" t="n"/>
      <c r="AE41" s="338" t="n"/>
      <c r="AF41" s="338" t="n"/>
      <c r="AG41" s="339" t="n"/>
      <c r="AH41" s="339" t="n"/>
      <c r="AI41" s="339" t="n"/>
      <c r="AJ41" s="339" t="n"/>
      <c r="AK41" s="339" t="n"/>
      <c r="AL41" s="339" t="n"/>
      <c r="AM41" s="339" t="n"/>
      <c r="AN41" s="339" t="n"/>
      <c r="AO41" s="339" t="n"/>
      <c r="AP41" s="339" t="n"/>
      <c r="AQ41" s="339" t="n"/>
      <c r="AR41" s="339" t="n"/>
      <c r="AS41" s="339" t="n"/>
      <c r="AT41" s="339" t="n"/>
      <c r="AU41" s="339" t="n"/>
      <c r="AV41" s="339" t="n"/>
      <c r="AW41" s="339" t="n"/>
      <c r="AX41" s="430" t="n"/>
      <c r="AY41" s="336" t="n"/>
      <c r="AZ41" s="336" t="n"/>
      <c r="BA41" s="336" t="n"/>
      <c r="BB41" s="336" t="n"/>
      <c r="BC41" s="336" t="n"/>
      <c r="BD41" s="336" t="n"/>
      <c r="BE41" s="336" t="n"/>
      <c r="BF41" s="336" t="n"/>
      <c r="BG41" s="336" t="n"/>
      <c r="BH41" s="336" t="n"/>
      <c r="BI41" s="336" t="n"/>
      <c r="BJ41" s="336" t="n"/>
      <c r="BK41" s="336" t="n"/>
      <c r="BL41" s="336" t="n"/>
      <c r="BM41" s="336" t="n"/>
      <c r="BN41" s="336" t="n"/>
      <c r="BO41" s="336" t="n"/>
      <c r="BP41" s="336" t="n"/>
      <c r="BQ41" s="336" t="n"/>
      <c r="BR41" s="336" t="n"/>
      <c r="BS41" s="336" t="n"/>
      <c r="BT41" s="336" t="n"/>
      <c r="BU41" s="336" t="n"/>
      <c r="BV41" s="336" t="n"/>
      <c r="BW41" s="336" t="n"/>
      <c r="BX41" s="336" t="n"/>
      <c r="BY41" s="336" t="n"/>
      <c r="BZ41" s="336" t="n"/>
      <c r="CA41" s="336" t="n"/>
      <c r="CB41" s="336" t="n"/>
      <c r="CC41" s="336" t="n"/>
      <c r="CD41" s="336" t="n"/>
      <c r="CE41" s="336" t="n"/>
    </row>
    <row r="42" customFormat="1" s="538">
      <c r="A42" s="342" t="n"/>
      <c r="B42" s="358" t="n"/>
      <c r="C42" s="344" t="n"/>
      <c r="D42" s="345" t="n"/>
      <c r="E42" s="346" t="n"/>
      <c r="F42" s="336" t="n"/>
      <c r="G42" s="336" t="n"/>
      <c r="H42" s="336" t="n"/>
      <c r="I42" s="336" t="n"/>
      <c r="J42" s="336" t="n"/>
      <c r="K42" s="336" t="n"/>
      <c r="L42" s="336" t="n"/>
      <c r="M42" s="336" t="n"/>
      <c r="N42" s="336" t="n"/>
      <c r="O42" s="336" t="n"/>
      <c r="P42" s="357" t="n"/>
      <c r="Q42" s="357" t="n"/>
      <c r="R42" s="357" t="n"/>
      <c r="S42" s="357" t="n"/>
      <c r="T42" s="357" t="n"/>
      <c r="U42" s="357" t="n"/>
      <c r="V42" s="357" t="n"/>
      <c r="W42" s="357" t="n"/>
      <c r="X42" s="357" t="n"/>
      <c r="Y42" s="357" t="n"/>
      <c r="Z42" s="357" t="n"/>
      <c r="AA42" s="357" t="n"/>
      <c r="AB42" s="336" t="n"/>
      <c r="AC42" s="338" t="n"/>
      <c r="AD42" s="338" t="n"/>
      <c r="AE42" s="338" t="n"/>
      <c r="AF42" s="338" t="n"/>
      <c r="AG42" s="339" t="n"/>
      <c r="AH42" s="339" t="n"/>
      <c r="AI42" s="339" t="n"/>
      <c r="AJ42" s="339" t="n"/>
      <c r="AK42" s="339" t="n"/>
      <c r="AL42" s="339" t="n"/>
      <c r="AM42" s="339" t="n"/>
      <c r="AN42" s="339" t="n"/>
      <c r="AO42" s="339" t="n"/>
      <c r="AP42" s="339" t="n"/>
      <c r="AQ42" s="339" t="n"/>
      <c r="AR42" s="339" t="n"/>
      <c r="AS42" s="339" t="n"/>
      <c r="AT42" s="339" t="n"/>
      <c r="AU42" s="339" t="n"/>
      <c r="AV42" s="339" t="n"/>
      <c r="AW42" s="339" t="n"/>
      <c r="AX42" s="357" t="n"/>
      <c r="AY42" s="336" t="n"/>
      <c r="AZ42" s="336" t="n"/>
      <c r="BA42" s="336" t="n"/>
      <c r="BB42" s="336" t="n"/>
      <c r="BC42" s="336" t="n"/>
      <c r="BD42" s="336" t="n"/>
      <c r="BE42" s="336" t="n"/>
      <c r="BF42" s="336" t="n"/>
      <c r="BG42" s="336" t="n"/>
      <c r="BH42" s="336" t="n"/>
      <c r="BI42" s="336" t="n"/>
      <c r="BJ42" s="336" t="n"/>
      <c r="BK42" s="336" t="n"/>
      <c r="BL42" s="336" t="n"/>
      <c r="BM42" s="336" t="n"/>
      <c r="BN42" s="336" t="n"/>
      <c r="BO42" s="336" t="n"/>
      <c r="BP42" s="336" t="n"/>
      <c r="BQ42" s="336" t="n"/>
      <c r="BR42" s="336" t="n"/>
      <c r="BS42" s="336" t="n"/>
      <c r="BT42" s="336" t="n"/>
      <c r="BU42" s="336" t="n"/>
      <c r="BV42" s="336" t="n"/>
      <c r="BW42" s="336" t="n"/>
      <c r="BX42" s="336" t="n"/>
      <c r="BY42" s="336" t="n"/>
      <c r="BZ42" s="336" t="n"/>
      <c r="CA42" s="336" t="n"/>
      <c r="CB42" s="336" t="n"/>
      <c r="CC42" s="336" t="n"/>
      <c r="CD42" s="336" t="n"/>
      <c r="CE42" s="336" t="n"/>
      <c r="CF42" s="361" t="n"/>
    </row>
    <row r="43" customFormat="1" s="538">
      <c r="A43" s="349" t="n"/>
      <c r="B43" s="350" t="n"/>
      <c r="C43" s="353" t="n"/>
      <c r="D43" s="333" t="n"/>
      <c r="E43" s="332" t="n"/>
      <c r="F43" s="336" t="n"/>
      <c r="G43" s="336" t="n"/>
      <c r="H43" s="335" t="n"/>
      <c r="I43" s="336" t="n"/>
      <c r="J43" s="336" t="n"/>
      <c r="K43" s="336" t="n"/>
      <c r="L43" s="336" t="n"/>
      <c r="M43" s="336" t="n"/>
      <c r="N43" s="336" t="n"/>
      <c r="O43" s="336" t="n"/>
      <c r="P43" s="430" t="n"/>
      <c r="Q43" s="430" t="n"/>
      <c r="R43" s="430" t="n"/>
      <c r="S43" s="430" t="n"/>
      <c r="T43" s="430" t="n"/>
      <c r="U43" s="430" t="n"/>
      <c r="V43" s="430" t="n"/>
      <c r="W43" s="430" t="n"/>
      <c r="X43" s="430" t="n"/>
      <c r="Y43" s="430" t="n"/>
      <c r="Z43" s="430" t="n"/>
      <c r="AA43" s="430" t="n"/>
      <c r="AB43" s="430" t="n"/>
      <c r="AC43" s="338" t="n"/>
      <c r="AD43" s="338" t="n"/>
      <c r="AE43" s="338" t="n"/>
      <c r="AF43" s="338" t="n"/>
      <c r="AG43" s="339" t="n"/>
      <c r="AH43" s="339" t="n"/>
      <c r="AI43" s="339" t="n"/>
      <c r="AJ43" s="339" t="n"/>
      <c r="AK43" s="339" t="n"/>
      <c r="AL43" s="339" t="n"/>
      <c r="AM43" s="339" t="n"/>
      <c r="AN43" s="339" t="n"/>
      <c r="AO43" s="339" t="n"/>
      <c r="AP43" s="339" t="n"/>
      <c r="AQ43" s="339" t="n"/>
      <c r="AR43" s="339" t="n"/>
      <c r="AS43" s="339" t="n"/>
      <c r="AT43" s="339" t="n"/>
      <c r="AU43" s="339" t="n"/>
      <c r="AV43" s="339" t="n"/>
      <c r="AW43" s="339" t="n"/>
      <c r="AX43" s="430" t="n"/>
      <c r="AY43" s="336" t="n"/>
      <c r="AZ43" s="336" t="n"/>
      <c r="BA43" s="336" t="n"/>
      <c r="BB43" s="336" t="n"/>
      <c r="BC43" s="336" t="n"/>
      <c r="BD43" s="336" t="n"/>
      <c r="BE43" s="336" t="n"/>
      <c r="BF43" s="336" t="n"/>
      <c r="BG43" s="336" t="n"/>
      <c r="BH43" s="336" t="n"/>
      <c r="BI43" s="336" t="n"/>
      <c r="BJ43" s="336" t="n"/>
      <c r="BK43" s="336" t="n"/>
      <c r="BL43" s="336" t="n"/>
      <c r="BM43" s="336" t="n"/>
      <c r="BN43" s="336" t="n"/>
      <c r="BO43" s="336" t="n"/>
      <c r="BP43" s="336" t="n"/>
      <c r="BQ43" s="336" t="n"/>
      <c r="BR43" s="336" t="n"/>
      <c r="BS43" s="336" t="n"/>
      <c r="BT43" s="336" t="n"/>
      <c r="BU43" s="336" t="n"/>
      <c r="BV43" s="336" t="n"/>
      <c r="BW43" s="336" t="n"/>
      <c r="BX43" s="336" t="n"/>
      <c r="BY43" s="336" t="n"/>
      <c r="BZ43" s="336" t="n"/>
      <c r="CA43" s="336" t="n"/>
      <c r="CB43" s="336" t="n"/>
      <c r="CC43" s="336" t="n"/>
      <c r="CD43" s="336" t="n"/>
      <c r="CE43" s="336" t="n"/>
    </row>
    <row r="44" customFormat="1" s="538">
      <c r="A44" s="349" t="n"/>
      <c r="B44" s="350" t="n"/>
      <c r="C44" s="353" t="n"/>
      <c r="D44" s="333" t="n"/>
      <c r="E44" s="332" t="n"/>
      <c r="F44" s="336" t="n"/>
      <c r="G44" s="336" t="n"/>
      <c r="H44" s="335" t="n"/>
      <c r="I44" s="336" t="n"/>
      <c r="J44" s="336" t="n"/>
      <c r="K44" s="336" t="n"/>
      <c r="L44" s="336" t="n"/>
      <c r="M44" s="336" t="n"/>
      <c r="N44" s="336" t="n"/>
      <c r="O44" s="336" t="n"/>
      <c r="P44" s="430" t="n"/>
      <c r="Q44" s="430" t="n"/>
      <c r="R44" s="430" t="n"/>
      <c r="S44" s="430" t="n"/>
      <c r="T44" s="430" t="n"/>
      <c r="U44" s="430" t="n"/>
      <c r="V44" s="430" t="n"/>
      <c r="W44" s="430" t="n"/>
      <c r="X44" s="430" t="n"/>
      <c r="Y44" s="430" t="n"/>
      <c r="Z44" s="430" t="n"/>
      <c r="AA44" s="430" t="n"/>
      <c r="AB44" s="430" t="n"/>
      <c r="AC44" s="357" t="n"/>
      <c r="AD44" s="357" t="n"/>
      <c r="AE44" s="357" t="n"/>
      <c r="AF44" s="357" t="n"/>
      <c r="AG44" s="339" t="n"/>
      <c r="AH44" s="339" t="n"/>
      <c r="AI44" s="339" t="n"/>
      <c r="AJ44" s="339" t="n"/>
      <c r="AK44" s="339" t="n"/>
      <c r="AL44" s="339" t="n"/>
      <c r="AM44" s="339" t="n"/>
      <c r="AN44" s="339" t="n"/>
      <c r="AO44" s="339" t="n"/>
      <c r="AP44" s="339" t="n"/>
      <c r="AQ44" s="339" t="n"/>
      <c r="AR44" s="339" t="n"/>
      <c r="AS44" s="339" t="n"/>
      <c r="AT44" s="357" t="n"/>
      <c r="AU44" s="357" t="n"/>
      <c r="AV44" s="357" t="n"/>
      <c r="AW44" s="357" t="n"/>
      <c r="AX44" s="430" t="n"/>
      <c r="AY44" s="336" t="n"/>
      <c r="AZ44" s="336" t="n"/>
      <c r="BA44" s="336" t="n"/>
      <c r="BB44" s="336" t="n"/>
      <c r="BC44" s="336" t="n"/>
      <c r="BD44" s="336" t="n"/>
      <c r="BE44" s="336" t="n"/>
      <c r="BF44" s="336" t="n"/>
      <c r="BG44" s="336" t="n"/>
      <c r="BH44" s="336" t="n"/>
      <c r="BI44" s="336" t="n"/>
      <c r="BJ44" s="336" t="n"/>
      <c r="BK44" s="336" t="n"/>
      <c r="BL44" s="336" t="n"/>
      <c r="BM44" s="336" t="n"/>
      <c r="BN44" s="336" t="n"/>
      <c r="BO44" s="336" t="n"/>
      <c r="BP44" s="336" t="n"/>
      <c r="BQ44" s="336" t="n"/>
      <c r="BR44" s="336" t="n"/>
      <c r="BS44" s="336" t="n"/>
      <c r="BT44" s="336" t="n"/>
      <c r="BU44" s="336" t="n"/>
      <c r="BV44" s="336" t="n"/>
      <c r="BW44" s="336" t="n"/>
      <c r="BX44" s="336" t="n"/>
      <c r="BY44" s="336" t="n"/>
      <c r="BZ44" s="336" t="n"/>
      <c r="CA44" s="336" t="n"/>
      <c r="CB44" s="336" t="n"/>
      <c r="CC44" s="336" t="n"/>
      <c r="CD44" s="336" t="n"/>
      <c r="CE44" s="336" t="n"/>
    </row>
    <row r="45" customFormat="1" s="538">
      <c r="A45" s="349" t="n"/>
      <c r="B45" s="350" t="n"/>
      <c r="C45" s="353" t="n"/>
      <c r="D45" s="333" t="n"/>
      <c r="E45" s="332" t="n"/>
      <c r="F45" s="336" t="n"/>
      <c r="G45" s="336" t="n"/>
      <c r="H45" s="335" t="n"/>
      <c r="I45" s="336" t="n"/>
      <c r="J45" s="336" t="n"/>
      <c r="K45" s="336" t="n"/>
      <c r="L45" s="336" t="n"/>
      <c r="M45" s="336" t="n"/>
      <c r="N45" s="336" t="n"/>
      <c r="O45" s="336" t="n"/>
      <c r="P45" s="430" t="n"/>
      <c r="Q45" s="430" t="n"/>
      <c r="R45" s="430" t="n"/>
      <c r="S45" s="430" t="n"/>
      <c r="T45" s="430" t="n"/>
      <c r="U45" s="430" t="n"/>
      <c r="V45" s="430" t="n"/>
      <c r="W45" s="430" t="n"/>
      <c r="X45" s="430" t="n"/>
      <c r="Y45" s="430" t="n"/>
      <c r="Z45" s="430" t="n"/>
      <c r="AA45" s="430" t="n"/>
      <c r="AB45" s="430" t="n"/>
      <c r="AC45" s="338" t="n"/>
      <c r="AD45" s="338" t="n"/>
      <c r="AE45" s="338" t="n"/>
      <c r="AF45" s="338" t="n"/>
      <c r="AG45" s="339" t="n"/>
      <c r="AH45" s="339" t="n"/>
      <c r="AI45" s="339" t="n"/>
      <c r="AJ45" s="339" t="n"/>
      <c r="AK45" s="339" t="n"/>
      <c r="AL45" s="339" t="n"/>
      <c r="AM45" s="339" t="n"/>
      <c r="AN45" s="339" t="n"/>
      <c r="AO45" s="339" t="n"/>
      <c r="AP45" s="339" t="n"/>
      <c r="AQ45" s="339" t="n"/>
      <c r="AR45" s="339" t="n"/>
      <c r="AS45" s="339" t="n"/>
      <c r="AT45" s="339" t="n"/>
      <c r="AU45" s="339" t="n"/>
      <c r="AV45" s="339" t="n"/>
      <c r="AW45" s="339" t="n"/>
      <c r="AX45" s="430" t="n"/>
      <c r="AY45" s="336" t="n"/>
      <c r="AZ45" s="336" t="n"/>
      <c r="BA45" s="336" t="n"/>
      <c r="BB45" s="336" t="n"/>
      <c r="BC45" s="336" t="n"/>
      <c r="BD45" s="336" t="n"/>
      <c r="BE45" s="336" t="n"/>
      <c r="BF45" s="336" t="n"/>
      <c r="BG45" s="336" t="n"/>
      <c r="BH45" s="336" t="n"/>
      <c r="BI45" s="336" t="n"/>
      <c r="BJ45" s="336" t="n"/>
      <c r="BK45" s="336" t="n"/>
      <c r="BL45" s="336" t="n"/>
      <c r="BM45" s="336" t="n"/>
      <c r="BN45" s="336" t="n"/>
      <c r="BO45" s="336" t="n"/>
      <c r="BP45" s="336" t="n"/>
      <c r="BQ45" s="336" t="n"/>
      <c r="BR45" s="336" t="n"/>
      <c r="BS45" s="336" t="n"/>
      <c r="BT45" s="336" t="n"/>
      <c r="BU45" s="336" t="n"/>
      <c r="BV45" s="336" t="n"/>
      <c r="BW45" s="336" t="n"/>
      <c r="BX45" s="336" t="n"/>
      <c r="BY45" s="336" t="n"/>
      <c r="BZ45" s="336" t="n"/>
      <c r="CA45" s="336" t="n"/>
      <c r="CB45" s="336" t="n"/>
      <c r="CC45" s="336" t="n"/>
      <c r="CD45" s="336" t="n"/>
      <c r="CE45" s="336" t="n"/>
    </row>
    <row r="46" customFormat="1" s="538">
      <c r="A46" s="349" t="n"/>
      <c r="B46" s="350" t="n"/>
      <c r="C46" s="353" t="n"/>
      <c r="D46" s="333" t="n"/>
      <c r="E46" s="332" t="n"/>
      <c r="F46" s="336" t="n"/>
      <c r="G46" s="336" t="n"/>
      <c r="H46" s="335" t="n"/>
      <c r="I46" s="336" t="n"/>
      <c r="J46" s="336" t="n"/>
      <c r="K46" s="336" t="n"/>
      <c r="L46" s="336" t="n"/>
      <c r="M46" s="336" t="n"/>
      <c r="N46" s="336" t="n"/>
      <c r="O46" s="336" t="n"/>
      <c r="P46" s="430" t="n"/>
      <c r="Q46" s="430" t="n"/>
      <c r="R46" s="430" t="n"/>
      <c r="S46" s="430" t="n"/>
      <c r="T46" s="430" t="n"/>
      <c r="U46" s="430" t="n"/>
      <c r="V46" s="430" t="n"/>
      <c r="W46" s="430" t="n"/>
      <c r="X46" s="430" t="n"/>
      <c r="Y46" s="430" t="n"/>
      <c r="Z46" s="430" t="n"/>
      <c r="AA46" s="430" t="n"/>
      <c r="AB46" s="430" t="n"/>
      <c r="AC46" s="338" t="n"/>
      <c r="AD46" s="338" t="n"/>
      <c r="AE46" s="338" t="n"/>
      <c r="AF46" s="338" t="n"/>
      <c r="AG46" s="339" t="n"/>
      <c r="AH46" s="339" t="n"/>
      <c r="AI46" s="339" t="n"/>
      <c r="AJ46" s="339" t="n"/>
      <c r="AK46" s="339" t="n"/>
      <c r="AL46" s="339" t="n"/>
      <c r="AM46" s="339" t="n"/>
      <c r="AN46" s="339" t="n"/>
      <c r="AO46" s="339" t="n"/>
      <c r="AP46" s="339" t="n"/>
      <c r="AQ46" s="339" t="n"/>
      <c r="AR46" s="339" t="n"/>
      <c r="AS46" s="339" t="n"/>
      <c r="AT46" s="339" t="n"/>
      <c r="AU46" s="339" t="n"/>
      <c r="AV46" s="339" t="n"/>
      <c r="AW46" s="339" t="n"/>
      <c r="AX46" s="430" t="n"/>
      <c r="AY46" s="336" t="n"/>
      <c r="AZ46" s="336" t="n"/>
      <c r="BA46" s="336" t="n"/>
      <c r="BB46" s="336" t="n"/>
      <c r="BC46" s="336" t="n"/>
      <c r="BD46" s="336" t="n"/>
      <c r="BE46" s="336" t="n"/>
      <c r="BF46" s="336" t="n"/>
      <c r="BG46" s="336" t="n"/>
      <c r="BH46" s="336" t="n"/>
      <c r="BI46" s="336" t="n"/>
      <c r="BJ46" s="336" t="n"/>
      <c r="BK46" s="336" t="n"/>
      <c r="BL46" s="336" t="n"/>
      <c r="BM46" s="336" t="n"/>
      <c r="BN46" s="336" t="n"/>
      <c r="BO46" s="336" t="n"/>
      <c r="BP46" s="336" t="n"/>
      <c r="BQ46" s="336" t="n"/>
      <c r="BR46" s="336" t="n"/>
      <c r="BS46" s="336" t="n"/>
      <c r="BT46" s="336" t="n"/>
      <c r="BU46" s="336" t="n"/>
      <c r="BV46" s="336" t="n"/>
      <c r="BW46" s="336" t="n"/>
      <c r="BX46" s="336" t="n"/>
      <c r="BY46" s="336" t="n"/>
      <c r="BZ46" s="336" t="n"/>
      <c r="CA46" s="336" t="n"/>
      <c r="CB46" s="336" t="n"/>
      <c r="CC46" s="336" t="n"/>
      <c r="CD46" s="336" t="n"/>
      <c r="CE46" s="336" t="n"/>
    </row>
    <row r="47" customFormat="1" s="538">
      <c r="A47" s="349" t="n"/>
      <c r="B47" s="350" t="n"/>
      <c r="C47" s="353" t="n"/>
      <c r="D47" s="333" t="n"/>
      <c r="E47" s="332" t="n"/>
      <c r="F47" s="336" t="n"/>
      <c r="G47" s="336" t="n"/>
      <c r="H47" s="335" t="n"/>
      <c r="I47" s="336" t="n"/>
      <c r="J47" s="336" t="n"/>
      <c r="K47" s="336" t="n"/>
      <c r="L47" s="336" t="n"/>
      <c r="M47" s="336" t="n"/>
      <c r="N47" s="336" t="n"/>
      <c r="O47" s="336" t="n"/>
      <c r="P47" s="430" t="n"/>
      <c r="Q47" s="430" t="n"/>
      <c r="R47" s="430" t="n"/>
      <c r="S47" s="430" t="n"/>
      <c r="T47" s="430" t="n"/>
      <c r="U47" s="430" t="n"/>
      <c r="V47" s="430" t="n"/>
      <c r="W47" s="430" t="n"/>
      <c r="X47" s="430" t="n"/>
      <c r="Y47" s="430" t="n"/>
      <c r="Z47" s="430" t="n"/>
      <c r="AA47" s="430" t="n"/>
      <c r="AB47" s="430" t="n"/>
      <c r="AC47" s="338" t="n"/>
      <c r="AD47" s="338" t="n"/>
      <c r="AE47" s="338" t="n"/>
      <c r="AF47" s="338" t="n"/>
      <c r="AG47" s="339" t="n"/>
      <c r="AH47" s="339" t="n"/>
      <c r="AI47" s="339" t="n"/>
      <c r="AJ47" s="339" t="n"/>
      <c r="AK47" s="339" t="n"/>
      <c r="AL47" s="339" t="n"/>
      <c r="AM47" s="339" t="n"/>
      <c r="AN47" s="339" t="n"/>
      <c r="AO47" s="339" t="n"/>
      <c r="AP47" s="339" t="n"/>
      <c r="AQ47" s="339" t="n"/>
      <c r="AR47" s="339" t="n"/>
      <c r="AS47" s="339" t="n"/>
      <c r="AT47" s="339" t="n"/>
      <c r="AU47" s="339" t="n"/>
      <c r="AV47" s="339" t="n"/>
      <c r="AW47" s="339" t="n"/>
      <c r="AX47" s="430" t="n"/>
      <c r="AY47" s="336" t="n"/>
      <c r="AZ47" s="336" t="n"/>
      <c r="BA47" s="336" t="n"/>
      <c r="BB47" s="336" t="n"/>
      <c r="BC47" s="336" t="n"/>
      <c r="BD47" s="336" t="n"/>
      <c r="BE47" s="336" t="n"/>
      <c r="BF47" s="336" t="n"/>
      <c r="BG47" s="336" t="n"/>
      <c r="BH47" s="336" t="n"/>
      <c r="BI47" s="336" t="n"/>
      <c r="BJ47" s="336" t="n"/>
      <c r="BK47" s="336" t="n"/>
      <c r="BL47" s="336" t="n"/>
      <c r="BM47" s="336" t="n"/>
      <c r="BN47" s="336" t="n"/>
      <c r="BO47" s="336" t="n"/>
      <c r="BP47" s="336" t="n"/>
      <c r="BQ47" s="336" t="n"/>
      <c r="BR47" s="336" t="n"/>
      <c r="BS47" s="336" t="n"/>
      <c r="BT47" s="336" t="n"/>
      <c r="BU47" s="336" t="n"/>
      <c r="BV47" s="336" t="n"/>
      <c r="BW47" s="336" t="n"/>
      <c r="BX47" s="336" t="n"/>
      <c r="BY47" s="336" t="n"/>
      <c r="BZ47" s="336" t="n"/>
      <c r="CA47" s="336" t="n"/>
      <c r="CB47" s="336" t="n"/>
      <c r="CC47" s="336" t="n"/>
      <c r="CD47" s="336" t="n"/>
      <c r="CE47" s="336" t="n"/>
    </row>
    <row r="48" customFormat="1" s="538">
      <c r="A48" s="358" t="n"/>
      <c r="B48" s="358" t="n"/>
      <c r="C48" s="344" t="n"/>
      <c r="D48" s="345" t="n"/>
      <c r="E48" s="346" t="n"/>
      <c r="F48" s="336" t="n"/>
      <c r="G48" s="336" t="n"/>
      <c r="H48" s="336" t="n"/>
      <c r="I48" s="336" t="n"/>
      <c r="J48" s="336" t="n"/>
      <c r="K48" s="336" t="n"/>
      <c r="L48" s="336" t="n"/>
      <c r="M48" s="336" t="n"/>
      <c r="N48" s="336" t="n"/>
      <c r="O48" s="336" t="n"/>
      <c r="P48" s="357" t="n"/>
      <c r="Q48" s="357" t="n"/>
      <c r="R48" s="357" t="n"/>
      <c r="S48" s="357" t="n"/>
      <c r="T48" s="357" t="n"/>
      <c r="U48" s="357" t="n"/>
      <c r="V48" s="357" t="n"/>
      <c r="W48" s="357" t="n"/>
      <c r="X48" s="357" t="n"/>
      <c r="Y48" s="357" t="n"/>
      <c r="Z48" s="357" t="n"/>
      <c r="AA48" s="357" t="n"/>
      <c r="AB48" s="336" t="n"/>
      <c r="AC48" s="357" t="n"/>
      <c r="AD48" s="357" t="n"/>
      <c r="AE48" s="357" t="n"/>
      <c r="AF48" s="357" t="n"/>
      <c r="AG48" s="339" t="n"/>
      <c r="AH48" s="339" t="n"/>
      <c r="AI48" s="339" t="n"/>
      <c r="AJ48" s="339" t="n"/>
      <c r="AK48" s="339" t="n"/>
      <c r="AL48" s="339" t="n"/>
      <c r="AM48" s="339" t="n"/>
      <c r="AN48" s="339" t="n"/>
      <c r="AO48" s="339" t="n"/>
      <c r="AP48" s="339" t="n"/>
      <c r="AQ48" s="339" t="n"/>
      <c r="AR48" s="339" t="n"/>
      <c r="AS48" s="339" t="n"/>
      <c r="AT48" s="357" t="n"/>
      <c r="AU48" s="357" t="n"/>
      <c r="AV48" s="357" t="n"/>
      <c r="AW48" s="357" t="n"/>
      <c r="AX48" s="357" t="n"/>
      <c r="AY48" s="336" t="n"/>
      <c r="AZ48" s="336" t="n"/>
      <c r="BA48" s="336" t="n"/>
      <c r="BB48" s="336" t="n"/>
      <c r="BC48" s="336" t="n"/>
      <c r="BD48" s="336" t="n"/>
      <c r="BE48" s="336" t="n"/>
      <c r="BF48" s="336" t="n"/>
      <c r="BG48" s="336" t="n"/>
      <c r="BH48" s="336" t="n"/>
      <c r="BI48" s="336" t="n"/>
      <c r="BJ48" s="336" t="n"/>
      <c r="BK48" s="336" t="n"/>
      <c r="BL48" s="336" t="n"/>
      <c r="BM48" s="336" t="n"/>
      <c r="BN48" s="336" t="n"/>
      <c r="BO48" s="336" t="n"/>
      <c r="BP48" s="336" t="n"/>
      <c r="BQ48" s="336" t="n"/>
      <c r="BR48" s="336" t="n"/>
      <c r="BS48" s="336" t="n"/>
      <c r="BT48" s="336" t="n"/>
      <c r="BU48" s="336" t="n"/>
      <c r="BV48" s="336" t="n"/>
      <c r="BW48" s="336" t="n"/>
      <c r="BX48" s="336" t="n"/>
      <c r="BY48" s="336" t="n"/>
      <c r="BZ48" s="336" t="n"/>
      <c r="CA48" s="336" t="n"/>
      <c r="CB48" s="336" t="n"/>
      <c r="CC48" s="336" t="n"/>
      <c r="CD48" s="336" t="n"/>
      <c r="CE48" s="336" t="n"/>
      <c r="CF48" s="361" t="n"/>
    </row>
    <row r="49" customFormat="1" s="538">
      <c r="A49" s="350" t="n"/>
      <c r="B49" s="350" t="n"/>
      <c r="C49" s="353" t="n"/>
      <c r="D49" s="333" t="n"/>
      <c r="E49" s="332" t="n"/>
      <c r="F49" s="336" t="n"/>
      <c r="G49" s="336" t="n"/>
      <c r="H49" s="335" t="n"/>
      <c r="I49" s="336" t="n"/>
      <c r="J49" s="336" t="n"/>
      <c r="K49" s="336" t="n"/>
      <c r="L49" s="336" t="n"/>
      <c r="M49" s="336" t="n"/>
      <c r="N49" s="336" t="n"/>
      <c r="O49" s="336" t="n"/>
      <c r="P49" s="430" t="n"/>
      <c r="Q49" s="430" t="n"/>
      <c r="R49" s="430" t="n"/>
      <c r="S49" s="430" t="n"/>
      <c r="T49" s="430" t="n"/>
      <c r="U49" s="430" t="n"/>
      <c r="V49" s="430" t="n"/>
      <c r="W49" s="430" t="n"/>
      <c r="X49" s="430" t="n"/>
      <c r="Y49" s="430" t="n"/>
      <c r="Z49" s="430" t="n"/>
      <c r="AA49" s="430" t="n"/>
      <c r="AB49" s="430" t="n"/>
      <c r="AC49" s="338" t="n"/>
      <c r="AD49" s="338" t="n"/>
      <c r="AE49" s="338" t="n"/>
      <c r="AF49" s="338" t="n"/>
      <c r="AG49" s="339" t="n"/>
      <c r="AH49" s="339" t="n"/>
      <c r="AI49" s="339" t="n"/>
      <c r="AJ49" s="339" t="n"/>
      <c r="AK49" s="339" t="n"/>
      <c r="AL49" s="339" t="n"/>
      <c r="AM49" s="339" t="n"/>
      <c r="AN49" s="339" t="n"/>
      <c r="AO49" s="339" t="n"/>
      <c r="AP49" s="339" t="n"/>
      <c r="AQ49" s="339" t="n"/>
      <c r="AR49" s="339" t="n"/>
      <c r="AS49" s="339" t="n"/>
      <c r="AT49" s="339" t="n"/>
      <c r="AU49" s="339" t="n"/>
      <c r="AV49" s="339" t="n"/>
      <c r="AW49" s="339" t="n"/>
      <c r="AX49" s="430" t="n"/>
      <c r="AY49" s="336" t="n"/>
      <c r="AZ49" s="336" t="n"/>
      <c r="BA49" s="336" t="n"/>
      <c r="BB49" s="336" t="n"/>
      <c r="BC49" s="336" t="n"/>
      <c r="BD49" s="336" t="n"/>
      <c r="BE49" s="336" t="n"/>
      <c r="BF49" s="336" t="n"/>
      <c r="BG49" s="336" t="n"/>
      <c r="BH49" s="336" t="n"/>
      <c r="BI49" s="336" t="n"/>
      <c r="BJ49" s="336" t="n"/>
      <c r="BK49" s="336" t="n"/>
      <c r="BL49" s="336" t="n"/>
      <c r="BM49" s="336" t="n"/>
      <c r="BN49" s="336" t="n"/>
      <c r="BO49" s="336" t="n"/>
      <c r="BP49" s="336" t="n"/>
      <c r="BQ49" s="336" t="n"/>
      <c r="BR49" s="336" t="n"/>
      <c r="BS49" s="336" t="n"/>
      <c r="BT49" s="336" t="n"/>
      <c r="BU49" s="336" t="n"/>
      <c r="BV49" s="336" t="n"/>
      <c r="BW49" s="336" t="n"/>
      <c r="BX49" s="336" t="n"/>
      <c r="BY49" s="336" t="n"/>
      <c r="BZ49" s="336" t="n"/>
      <c r="CA49" s="336" t="n"/>
      <c r="CB49" s="336" t="n"/>
      <c r="CC49" s="336" t="n"/>
      <c r="CD49" s="336" t="n"/>
      <c r="CE49" s="336" t="n"/>
    </row>
    <row r="50" customFormat="1" s="538">
      <c r="A50" s="350" t="n"/>
      <c r="B50" s="350" t="n"/>
      <c r="C50" s="353" t="n"/>
      <c r="D50" s="333" t="n"/>
      <c r="E50" s="332" t="n"/>
      <c r="F50" s="336" t="n"/>
      <c r="G50" s="336" t="n"/>
      <c r="H50" s="335" t="n"/>
      <c r="I50" s="336" t="n"/>
      <c r="J50" s="336" t="n"/>
      <c r="K50" s="336" t="n"/>
      <c r="L50" s="336" t="n"/>
      <c r="M50" s="336" t="n"/>
      <c r="N50" s="336" t="n"/>
      <c r="O50" s="336" t="n"/>
      <c r="P50" s="430" t="n"/>
      <c r="Q50" s="430" t="n"/>
      <c r="R50" s="430" t="n"/>
      <c r="S50" s="430" t="n"/>
      <c r="T50" s="430" t="n"/>
      <c r="U50" s="430" t="n"/>
      <c r="V50" s="430" t="n"/>
      <c r="W50" s="430" t="n"/>
      <c r="X50" s="430" t="n"/>
      <c r="Y50" s="430" t="n"/>
      <c r="Z50" s="430" t="n"/>
      <c r="AA50" s="430" t="n"/>
      <c r="AB50" s="430" t="n"/>
      <c r="AC50" s="338" t="n"/>
      <c r="AD50" s="338" t="n"/>
      <c r="AE50" s="338" t="n"/>
      <c r="AF50" s="338" t="n"/>
      <c r="AG50" s="339" t="n"/>
      <c r="AH50" s="339" t="n"/>
      <c r="AI50" s="339" t="n"/>
      <c r="AJ50" s="339" t="n"/>
      <c r="AK50" s="339" t="n"/>
      <c r="AL50" s="339" t="n"/>
      <c r="AM50" s="339" t="n"/>
      <c r="AN50" s="339" t="n"/>
      <c r="AO50" s="339" t="n"/>
      <c r="AP50" s="339" t="n"/>
      <c r="AQ50" s="339" t="n"/>
      <c r="AR50" s="339" t="n"/>
      <c r="AS50" s="339" t="n"/>
      <c r="AT50" s="339" t="n"/>
      <c r="AU50" s="339" t="n"/>
      <c r="AV50" s="339" t="n"/>
      <c r="AW50" s="339" t="n"/>
      <c r="AX50" s="430" t="n"/>
      <c r="AY50" s="336" t="n"/>
      <c r="AZ50" s="336" t="n"/>
      <c r="BA50" s="336" t="n"/>
      <c r="BB50" s="336" t="n"/>
      <c r="BC50" s="336" t="n"/>
      <c r="BD50" s="336" t="n"/>
      <c r="BE50" s="336" t="n"/>
      <c r="BF50" s="336" t="n"/>
      <c r="BG50" s="336" t="n"/>
      <c r="BH50" s="336" t="n"/>
      <c r="BI50" s="336" t="n"/>
      <c r="BJ50" s="336" t="n"/>
      <c r="BK50" s="336" t="n"/>
      <c r="BL50" s="336" t="n"/>
      <c r="BM50" s="336" t="n"/>
      <c r="BN50" s="336" t="n"/>
      <c r="BO50" s="336" t="n"/>
      <c r="BP50" s="336" t="n"/>
      <c r="BQ50" s="336" t="n"/>
      <c r="BR50" s="336" t="n"/>
      <c r="BS50" s="336" t="n"/>
      <c r="BT50" s="336" t="n"/>
      <c r="BU50" s="336" t="n"/>
      <c r="BV50" s="336" t="n"/>
      <c r="BW50" s="336" t="n"/>
      <c r="BX50" s="336" t="n"/>
      <c r="BY50" s="336" t="n"/>
      <c r="BZ50" s="336" t="n"/>
      <c r="CA50" s="336" t="n"/>
      <c r="CB50" s="336" t="n"/>
      <c r="CC50" s="336" t="n"/>
      <c r="CD50" s="336" t="n"/>
      <c r="CE50" s="336" t="n"/>
    </row>
    <row r="51" customFormat="1" s="538">
      <c r="A51" s="350" t="n"/>
      <c r="B51" s="350" t="n"/>
      <c r="C51" s="353" t="n"/>
      <c r="D51" s="333" t="n"/>
      <c r="E51" s="332" t="n"/>
      <c r="F51" s="336" t="n"/>
      <c r="G51" s="336" t="n"/>
      <c r="H51" s="335" t="n"/>
      <c r="I51" s="336" t="n"/>
      <c r="J51" s="336" t="n"/>
      <c r="K51" s="336" t="n"/>
      <c r="L51" s="336" t="n"/>
      <c r="M51" s="336" t="n"/>
      <c r="N51" s="336" t="n"/>
      <c r="O51" s="336" t="n"/>
      <c r="P51" s="430" t="n"/>
      <c r="Q51" s="430" t="n"/>
      <c r="R51" s="430" t="n"/>
      <c r="S51" s="430" t="n"/>
      <c r="T51" s="430" t="n"/>
      <c r="U51" s="430" t="n"/>
      <c r="V51" s="430" t="n"/>
      <c r="W51" s="430" t="n"/>
      <c r="X51" s="430" t="n"/>
      <c r="Y51" s="430" t="n"/>
      <c r="Z51" s="430" t="n"/>
      <c r="AA51" s="430" t="n"/>
      <c r="AB51" s="430" t="n"/>
      <c r="AC51" s="338" t="n"/>
      <c r="AD51" s="338" t="n"/>
      <c r="AE51" s="338" t="n"/>
      <c r="AF51" s="338" t="n"/>
      <c r="AG51" s="339" t="n"/>
      <c r="AH51" s="339" t="n"/>
      <c r="AI51" s="339" t="n"/>
      <c r="AJ51" s="339" t="n"/>
      <c r="AK51" s="339" t="n"/>
      <c r="AL51" s="339" t="n"/>
      <c r="AM51" s="339" t="n"/>
      <c r="AN51" s="339" t="n"/>
      <c r="AO51" s="339" t="n"/>
      <c r="AP51" s="339" t="n"/>
      <c r="AQ51" s="339" t="n"/>
      <c r="AR51" s="339" t="n"/>
      <c r="AS51" s="339" t="n"/>
      <c r="AT51" s="339" t="n"/>
      <c r="AU51" s="339" t="n"/>
      <c r="AV51" s="339" t="n"/>
      <c r="AW51" s="339" t="n"/>
      <c r="AX51" s="430" t="n"/>
      <c r="AY51" s="336" t="n"/>
      <c r="AZ51" s="336" t="n"/>
      <c r="BA51" s="336" t="n"/>
      <c r="BB51" s="336" t="n"/>
      <c r="BC51" s="336" t="n"/>
      <c r="BD51" s="336" t="n"/>
      <c r="BE51" s="336" t="n"/>
      <c r="BF51" s="336" t="n"/>
      <c r="BG51" s="336" t="n"/>
      <c r="BH51" s="336" t="n"/>
      <c r="BI51" s="336" t="n"/>
      <c r="BJ51" s="336" t="n"/>
      <c r="BK51" s="336" t="n"/>
      <c r="BL51" s="336" t="n"/>
      <c r="BM51" s="336" t="n"/>
      <c r="BN51" s="336" t="n"/>
      <c r="BO51" s="336" t="n"/>
      <c r="BP51" s="336" t="n"/>
      <c r="BQ51" s="336" t="n"/>
      <c r="BR51" s="336" t="n"/>
      <c r="BS51" s="336" t="n"/>
      <c r="BT51" s="336" t="n"/>
      <c r="BU51" s="336" t="n"/>
      <c r="BV51" s="336" t="n"/>
      <c r="BW51" s="336" t="n"/>
      <c r="BX51" s="336" t="n"/>
      <c r="BY51" s="336" t="n"/>
      <c r="BZ51" s="336" t="n"/>
      <c r="CA51" s="336" t="n"/>
      <c r="CB51" s="336" t="n"/>
      <c r="CC51" s="336" t="n"/>
      <c r="CD51" s="336" t="n"/>
      <c r="CE51" s="336" t="n"/>
    </row>
    <row r="52" customFormat="1" s="538">
      <c r="A52" s="342" t="n"/>
      <c r="B52" s="358" t="n"/>
      <c r="C52" s="344" t="n"/>
      <c r="D52" s="345" t="n"/>
      <c r="E52" s="346" t="n"/>
      <c r="F52" s="336" t="n"/>
      <c r="G52" s="336" t="n"/>
      <c r="H52" s="336" t="n"/>
      <c r="I52" s="336" t="n"/>
      <c r="J52" s="336" t="n"/>
      <c r="K52" s="336" t="n"/>
      <c r="L52" s="336" t="n"/>
      <c r="M52" s="336" t="n"/>
      <c r="N52" s="336" t="n"/>
      <c r="O52" s="336" t="n"/>
      <c r="P52" s="357" t="n"/>
      <c r="Q52" s="357" t="n"/>
      <c r="R52" s="357" t="n"/>
      <c r="S52" s="357" t="n"/>
      <c r="T52" s="357" t="n"/>
      <c r="U52" s="357" t="n"/>
      <c r="V52" s="357" t="n"/>
      <c r="W52" s="357" t="n"/>
      <c r="X52" s="357" t="n"/>
      <c r="Y52" s="357" t="n"/>
      <c r="Z52" s="357" t="n"/>
      <c r="AA52" s="357" t="n"/>
      <c r="AB52" s="336" t="n"/>
      <c r="AC52" s="338" t="n"/>
      <c r="AD52" s="338" t="n"/>
      <c r="AE52" s="338" t="n"/>
      <c r="AF52" s="338" t="n"/>
      <c r="AG52" s="339" t="n"/>
      <c r="AH52" s="339" t="n"/>
      <c r="AI52" s="339" t="n"/>
      <c r="AJ52" s="339" t="n"/>
      <c r="AK52" s="339" t="n"/>
      <c r="AL52" s="339" t="n"/>
      <c r="AM52" s="339" t="n"/>
      <c r="AN52" s="339" t="n"/>
      <c r="AO52" s="339" t="n"/>
      <c r="AP52" s="339" t="n"/>
      <c r="AQ52" s="339" t="n"/>
      <c r="AR52" s="339" t="n"/>
      <c r="AS52" s="339" t="n"/>
      <c r="AT52" s="339" t="n"/>
      <c r="AU52" s="339" t="n"/>
      <c r="AV52" s="339" t="n"/>
      <c r="AW52" s="339" t="n"/>
      <c r="AX52" s="357" t="n"/>
      <c r="AY52" s="336" t="n"/>
      <c r="AZ52" s="336" t="n"/>
      <c r="BA52" s="336" t="n"/>
      <c r="BB52" s="336" t="n"/>
      <c r="BC52" s="336" t="n"/>
      <c r="BD52" s="336" t="n"/>
      <c r="BE52" s="336" t="n"/>
      <c r="BF52" s="336" t="n"/>
      <c r="BG52" s="336" t="n"/>
      <c r="BH52" s="336" t="n"/>
      <c r="BI52" s="336" t="n"/>
      <c r="BJ52" s="336" t="n"/>
      <c r="BK52" s="336" t="n"/>
      <c r="BL52" s="336" t="n"/>
      <c r="BM52" s="336" t="n"/>
      <c r="BN52" s="336" t="n"/>
      <c r="BO52" s="336" t="n"/>
      <c r="BP52" s="336" t="n"/>
      <c r="BQ52" s="336" t="n"/>
      <c r="BR52" s="336" t="n"/>
      <c r="BS52" s="336" t="n"/>
      <c r="BT52" s="336" t="n"/>
      <c r="BU52" s="336" t="n"/>
      <c r="BV52" s="336" t="n"/>
      <c r="BW52" s="336" t="n"/>
      <c r="BX52" s="336" t="n"/>
      <c r="BY52" s="336" t="n"/>
      <c r="BZ52" s="336" t="n"/>
      <c r="CA52" s="336" t="n"/>
      <c r="CB52" s="336" t="n"/>
      <c r="CC52" s="336" t="n"/>
      <c r="CD52" s="336" t="n"/>
      <c r="CE52" s="336" t="n"/>
      <c r="CF52" s="361" t="n"/>
    </row>
    <row r="53" customFormat="1" s="538">
      <c r="A53" s="349" t="n"/>
      <c r="B53" s="350" t="n"/>
      <c r="C53" s="353" t="n"/>
      <c r="D53" s="333" t="n"/>
      <c r="E53" s="332" t="n"/>
      <c r="F53" s="336" t="n"/>
      <c r="G53" s="336" t="n"/>
      <c r="H53" s="335" t="n"/>
      <c r="I53" s="336" t="n"/>
      <c r="J53" s="336" t="n"/>
      <c r="K53" s="336" t="n"/>
      <c r="L53" s="336" t="n"/>
      <c r="M53" s="336" t="n"/>
      <c r="N53" s="336" t="n"/>
      <c r="O53" s="336" t="n"/>
      <c r="P53" s="430" t="n"/>
      <c r="Q53" s="430" t="n"/>
      <c r="R53" s="430" t="n"/>
      <c r="S53" s="430" t="n"/>
      <c r="T53" s="430" t="n"/>
      <c r="U53" s="430" t="n"/>
      <c r="V53" s="430" t="n"/>
      <c r="W53" s="430" t="n"/>
      <c r="X53" s="430" t="n"/>
      <c r="Y53" s="430" t="n"/>
      <c r="Z53" s="430" t="n"/>
      <c r="AA53" s="430" t="n"/>
      <c r="AB53" s="430" t="n"/>
      <c r="AC53" s="338" t="n"/>
      <c r="AD53" s="338" t="n"/>
      <c r="AE53" s="338" t="n"/>
      <c r="AF53" s="338" t="n"/>
      <c r="AG53" s="339" t="n"/>
      <c r="AH53" s="339" t="n"/>
      <c r="AI53" s="339" t="n"/>
      <c r="AJ53" s="339" t="n"/>
      <c r="AK53" s="339" t="n"/>
      <c r="AL53" s="339" t="n"/>
      <c r="AM53" s="339" t="n"/>
      <c r="AN53" s="339" t="n"/>
      <c r="AO53" s="339" t="n"/>
      <c r="AP53" s="339" t="n"/>
      <c r="AQ53" s="339" t="n"/>
      <c r="AR53" s="339" t="n"/>
      <c r="AS53" s="339" t="n"/>
      <c r="AT53" s="339" t="n"/>
      <c r="AU53" s="339" t="n"/>
      <c r="AV53" s="339" t="n"/>
      <c r="AW53" s="339" t="n"/>
      <c r="AX53" s="430" t="n"/>
      <c r="AY53" s="336" t="n"/>
      <c r="AZ53" s="336" t="n"/>
      <c r="BA53" s="336" t="n"/>
      <c r="BB53" s="336" t="n"/>
      <c r="BC53" s="336" t="n"/>
      <c r="BD53" s="336" t="n"/>
      <c r="BE53" s="336" t="n"/>
      <c r="BF53" s="336" t="n"/>
      <c r="BG53" s="336" t="n"/>
      <c r="BH53" s="336" t="n"/>
      <c r="BI53" s="336" t="n"/>
      <c r="BJ53" s="336" t="n"/>
      <c r="BK53" s="336" t="n"/>
      <c r="BL53" s="336" t="n"/>
      <c r="BM53" s="336" t="n"/>
      <c r="BN53" s="336" t="n"/>
      <c r="BO53" s="336" t="n"/>
      <c r="BP53" s="336" t="n"/>
      <c r="BQ53" s="336" t="n"/>
      <c r="BR53" s="336" t="n"/>
      <c r="BS53" s="336" t="n"/>
      <c r="BT53" s="336" t="n"/>
      <c r="BU53" s="336" t="n"/>
      <c r="BV53" s="336" t="n"/>
      <c r="BW53" s="336" t="n"/>
      <c r="BX53" s="336" t="n"/>
      <c r="BY53" s="336" t="n"/>
      <c r="BZ53" s="336" t="n"/>
      <c r="CA53" s="336" t="n"/>
      <c r="CB53" s="336" t="n"/>
      <c r="CC53" s="336" t="n"/>
      <c r="CD53" s="336" t="n"/>
      <c r="CE53" s="336" t="n"/>
    </row>
    <row r="54" customFormat="1" s="538">
      <c r="A54" s="349" t="n"/>
      <c r="B54" s="350" t="n"/>
      <c r="C54" s="353" t="n"/>
      <c r="D54" s="333" t="n"/>
      <c r="E54" s="332" t="n"/>
      <c r="F54" s="336" t="n"/>
      <c r="G54" s="336" t="n"/>
      <c r="H54" s="335" t="n"/>
      <c r="I54" s="336" t="n"/>
      <c r="J54" s="336" t="n"/>
      <c r="K54" s="336" t="n"/>
      <c r="L54" s="336" t="n"/>
      <c r="M54" s="336" t="n"/>
      <c r="N54" s="336" t="n"/>
      <c r="O54" s="336" t="n"/>
      <c r="P54" s="430" t="n"/>
      <c r="Q54" s="430" t="n"/>
      <c r="R54" s="430" t="n"/>
      <c r="S54" s="430" t="n"/>
      <c r="T54" s="430" t="n"/>
      <c r="U54" s="430" t="n"/>
      <c r="V54" s="430" t="n"/>
      <c r="W54" s="430" t="n"/>
      <c r="X54" s="430" t="n"/>
      <c r="Y54" s="430" t="n"/>
      <c r="Z54" s="430" t="n"/>
      <c r="AA54" s="430" t="n"/>
      <c r="AB54" s="430" t="n"/>
      <c r="AC54" s="357" t="n"/>
      <c r="AD54" s="357" t="n"/>
      <c r="AE54" s="357" t="n"/>
      <c r="AF54" s="357" t="n"/>
      <c r="AG54" s="339" t="n"/>
      <c r="AH54" s="339" t="n"/>
      <c r="AI54" s="339" t="n"/>
      <c r="AJ54" s="339" t="n"/>
      <c r="AK54" s="339" t="n"/>
      <c r="AL54" s="339" t="n"/>
      <c r="AM54" s="339" t="n"/>
      <c r="AN54" s="339" t="n"/>
      <c r="AO54" s="339" t="n"/>
      <c r="AP54" s="339" t="n"/>
      <c r="AQ54" s="339" t="n"/>
      <c r="AR54" s="339" t="n"/>
      <c r="AS54" s="339" t="n"/>
      <c r="AT54" s="357" t="n"/>
      <c r="AU54" s="357" t="n"/>
      <c r="AV54" s="357" t="n"/>
      <c r="AW54" s="357" t="n"/>
      <c r="AX54" s="430" t="n"/>
      <c r="AY54" s="336" t="n"/>
      <c r="AZ54" s="336" t="n"/>
      <c r="BA54" s="336" t="n"/>
      <c r="BB54" s="336" t="n"/>
      <c r="BC54" s="336" t="n"/>
      <c r="BD54" s="336" t="n"/>
      <c r="BE54" s="336" t="n"/>
      <c r="BF54" s="336" t="n"/>
      <c r="BG54" s="336" t="n"/>
      <c r="BH54" s="336" t="n"/>
      <c r="BI54" s="336" t="n"/>
      <c r="BJ54" s="336" t="n"/>
      <c r="BK54" s="336" t="n"/>
      <c r="BL54" s="336" t="n"/>
      <c r="BM54" s="336" t="n"/>
      <c r="BN54" s="336" t="n"/>
      <c r="BO54" s="336" t="n"/>
      <c r="BP54" s="336" t="n"/>
      <c r="BQ54" s="336" t="n"/>
      <c r="BR54" s="336" t="n"/>
      <c r="BS54" s="336" t="n"/>
      <c r="BT54" s="336" t="n"/>
      <c r="BU54" s="336" t="n"/>
      <c r="BV54" s="336" t="n"/>
      <c r="BW54" s="336" t="n"/>
      <c r="BX54" s="336" t="n"/>
      <c r="BY54" s="336" t="n"/>
      <c r="BZ54" s="336" t="n"/>
      <c r="CA54" s="336" t="n"/>
      <c r="CB54" s="336" t="n"/>
      <c r="CC54" s="336" t="n"/>
      <c r="CD54" s="336" t="n"/>
      <c r="CE54" s="336" t="n"/>
    </row>
    <row r="55" customFormat="1" s="538">
      <c r="A55" s="349" t="n"/>
      <c r="B55" s="350" t="n"/>
      <c r="C55" s="353" t="n"/>
      <c r="D55" s="333" t="n"/>
      <c r="E55" s="332" t="n"/>
      <c r="F55" s="336" t="n"/>
      <c r="G55" s="336" t="n"/>
      <c r="H55" s="335" t="n"/>
      <c r="I55" s="336" t="n"/>
      <c r="J55" s="336" t="n"/>
      <c r="K55" s="336" t="n"/>
      <c r="L55" s="336" t="n"/>
      <c r="M55" s="336" t="n"/>
      <c r="N55" s="336" t="n"/>
      <c r="O55" s="336" t="n"/>
      <c r="P55" s="430" t="n"/>
      <c r="Q55" s="430" t="n"/>
      <c r="R55" s="430" t="n"/>
      <c r="S55" s="430" t="n"/>
      <c r="T55" s="430" t="n"/>
      <c r="U55" s="430" t="n"/>
      <c r="V55" s="430" t="n"/>
      <c r="W55" s="430" t="n"/>
      <c r="X55" s="430" t="n"/>
      <c r="Y55" s="430" t="n"/>
      <c r="Z55" s="430" t="n"/>
      <c r="AA55" s="430" t="n"/>
      <c r="AB55" s="430" t="n"/>
      <c r="AC55" s="338" t="n"/>
      <c r="AD55" s="338" t="n"/>
      <c r="AE55" s="338" t="n"/>
      <c r="AF55" s="338" t="n"/>
      <c r="AG55" s="339" t="n"/>
      <c r="AH55" s="339" t="n"/>
      <c r="AI55" s="339" t="n"/>
      <c r="AJ55" s="339" t="n"/>
      <c r="AK55" s="339" t="n"/>
      <c r="AL55" s="339" t="n"/>
      <c r="AM55" s="339" t="n"/>
      <c r="AN55" s="339" t="n"/>
      <c r="AO55" s="339" t="n"/>
      <c r="AP55" s="339" t="n"/>
      <c r="AQ55" s="339" t="n"/>
      <c r="AR55" s="339" t="n"/>
      <c r="AS55" s="339" t="n"/>
      <c r="AT55" s="339" t="n"/>
      <c r="AU55" s="339" t="n"/>
      <c r="AV55" s="339" t="n"/>
      <c r="AW55" s="339" t="n"/>
      <c r="AX55" s="430" t="n"/>
      <c r="AY55" s="336" t="n"/>
      <c r="AZ55" s="336" t="n"/>
      <c r="BA55" s="336" t="n"/>
      <c r="BB55" s="336" t="n"/>
      <c r="BC55" s="336" t="n"/>
      <c r="BD55" s="336" t="n"/>
      <c r="BE55" s="336" t="n"/>
      <c r="BF55" s="336" t="n"/>
      <c r="BG55" s="336" t="n"/>
      <c r="BH55" s="336" t="n"/>
      <c r="BI55" s="336" t="n"/>
      <c r="BJ55" s="336" t="n"/>
      <c r="BK55" s="336" t="n"/>
      <c r="BL55" s="336" t="n"/>
      <c r="BM55" s="336" t="n"/>
      <c r="BN55" s="336" t="n"/>
      <c r="BO55" s="336" t="n"/>
      <c r="BP55" s="336" t="n"/>
      <c r="BQ55" s="336" t="n"/>
      <c r="BR55" s="336" t="n"/>
      <c r="BS55" s="336" t="n"/>
      <c r="BT55" s="336" t="n"/>
      <c r="BU55" s="336" t="n"/>
      <c r="BV55" s="336" t="n"/>
      <c r="BW55" s="336" t="n"/>
      <c r="BX55" s="336" t="n"/>
      <c r="BY55" s="336" t="n"/>
      <c r="BZ55" s="336" t="n"/>
      <c r="CA55" s="336" t="n"/>
      <c r="CB55" s="336" t="n"/>
      <c r="CC55" s="336" t="n"/>
      <c r="CD55" s="336" t="n"/>
      <c r="CE55" s="336" t="n"/>
    </row>
    <row r="56" customFormat="1" s="538">
      <c r="A56" s="349" t="n"/>
      <c r="B56" s="350" t="n"/>
      <c r="C56" s="353" t="n"/>
      <c r="D56" s="333" t="n"/>
      <c r="E56" s="332" t="n"/>
      <c r="F56" s="336" t="n"/>
      <c r="G56" s="336" t="n"/>
      <c r="H56" s="335" t="n"/>
      <c r="I56" s="336" t="n"/>
      <c r="J56" s="336" t="n"/>
      <c r="K56" s="336" t="n"/>
      <c r="L56" s="336" t="n"/>
      <c r="M56" s="336" t="n"/>
      <c r="N56" s="336" t="n"/>
      <c r="O56" s="336" t="n"/>
      <c r="P56" s="430" t="n"/>
      <c r="Q56" s="430" t="n"/>
      <c r="R56" s="430" t="n"/>
      <c r="S56" s="430" t="n"/>
      <c r="T56" s="430" t="n"/>
      <c r="U56" s="430" t="n"/>
      <c r="V56" s="430" t="n"/>
      <c r="W56" s="430" t="n"/>
      <c r="X56" s="430" t="n"/>
      <c r="Y56" s="430" t="n"/>
      <c r="Z56" s="430" t="n"/>
      <c r="AA56" s="430" t="n"/>
      <c r="AB56" s="430" t="n"/>
      <c r="AC56" s="338" t="n"/>
      <c r="AD56" s="338" t="n"/>
      <c r="AE56" s="338" t="n"/>
      <c r="AF56" s="338" t="n"/>
      <c r="AG56" s="339" t="n"/>
      <c r="AH56" s="339" t="n"/>
      <c r="AI56" s="339" t="n"/>
      <c r="AJ56" s="339" t="n"/>
      <c r="AK56" s="339" t="n"/>
      <c r="AL56" s="339" t="n"/>
      <c r="AM56" s="339" t="n"/>
      <c r="AN56" s="339" t="n"/>
      <c r="AO56" s="339" t="n"/>
      <c r="AP56" s="339" t="n"/>
      <c r="AQ56" s="339" t="n"/>
      <c r="AR56" s="339" t="n"/>
      <c r="AS56" s="339" t="n"/>
      <c r="AT56" s="339" t="n"/>
      <c r="AU56" s="339" t="n"/>
      <c r="AV56" s="339" t="n"/>
      <c r="AW56" s="339" t="n"/>
      <c r="AX56" s="430" t="n"/>
      <c r="AY56" s="336" t="n"/>
      <c r="AZ56" s="336" t="n"/>
      <c r="BA56" s="336" t="n"/>
      <c r="BB56" s="336" t="n"/>
      <c r="BC56" s="336" t="n"/>
      <c r="BD56" s="336" t="n"/>
      <c r="BE56" s="336" t="n"/>
      <c r="BF56" s="336" t="n"/>
      <c r="BG56" s="336" t="n"/>
      <c r="BH56" s="336" t="n"/>
      <c r="BI56" s="336" t="n"/>
      <c r="BJ56" s="336" t="n"/>
      <c r="BK56" s="336" t="n"/>
      <c r="BL56" s="336" t="n"/>
      <c r="BM56" s="336" t="n"/>
      <c r="BN56" s="336" t="n"/>
      <c r="BO56" s="336" t="n"/>
      <c r="BP56" s="336" t="n"/>
      <c r="BQ56" s="336" t="n"/>
      <c r="BR56" s="336" t="n"/>
      <c r="BS56" s="336" t="n"/>
      <c r="BT56" s="336" t="n"/>
      <c r="BU56" s="336" t="n"/>
      <c r="BV56" s="336" t="n"/>
      <c r="BW56" s="336" t="n"/>
      <c r="BX56" s="336" t="n"/>
      <c r="BY56" s="336" t="n"/>
      <c r="BZ56" s="336" t="n"/>
      <c r="CA56" s="336" t="n"/>
      <c r="CB56" s="336" t="n"/>
      <c r="CC56" s="336" t="n"/>
      <c r="CD56" s="336" t="n"/>
      <c r="CE56" s="336" t="n"/>
    </row>
    <row r="57" customFormat="1" s="538">
      <c r="A57" s="349" t="n"/>
      <c r="B57" s="350" t="n"/>
      <c r="C57" s="353" t="n"/>
      <c r="D57" s="333" t="n"/>
      <c r="E57" s="332" t="n"/>
      <c r="F57" s="336" t="n"/>
      <c r="G57" s="336" t="n"/>
      <c r="H57" s="335" t="n"/>
      <c r="I57" s="336" t="n"/>
      <c r="J57" s="336" t="n"/>
      <c r="K57" s="336" t="n"/>
      <c r="L57" s="336" t="n"/>
      <c r="M57" s="336" t="n"/>
      <c r="N57" s="336" t="n"/>
      <c r="O57" s="336" t="n"/>
      <c r="P57" s="430" t="n"/>
      <c r="Q57" s="430" t="n"/>
      <c r="R57" s="430" t="n"/>
      <c r="S57" s="430" t="n"/>
      <c r="T57" s="430" t="n"/>
      <c r="U57" s="430" t="n"/>
      <c r="V57" s="430" t="n"/>
      <c r="W57" s="430" t="n"/>
      <c r="X57" s="430" t="n"/>
      <c r="Y57" s="430" t="n"/>
      <c r="Z57" s="430" t="n"/>
      <c r="AA57" s="430" t="n"/>
      <c r="AB57" s="430" t="n"/>
      <c r="AC57" s="338" t="n"/>
      <c r="AD57" s="338" t="n"/>
      <c r="AE57" s="338" t="n"/>
      <c r="AF57" s="338" t="n"/>
      <c r="AG57" s="339" t="n"/>
      <c r="AH57" s="339" t="n"/>
      <c r="AI57" s="339" t="n"/>
      <c r="AJ57" s="339" t="n"/>
      <c r="AK57" s="339" t="n"/>
      <c r="AL57" s="339" t="n"/>
      <c r="AM57" s="339" t="n"/>
      <c r="AN57" s="339" t="n"/>
      <c r="AO57" s="339" t="n"/>
      <c r="AP57" s="339" t="n"/>
      <c r="AQ57" s="339" t="n"/>
      <c r="AR57" s="339" t="n"/>
      <c r="AS57" s="339" t="n"/>
      <c r="AT57" s="339" t="n"/>
      <c r="AU57" s="339" t="n"/>
      <c r="AV57" s="339" t="n"/>
      <c r="AW57" s="339" t="n"/>
      <c r="AX57" s="430" t="n"/>
      <c r="AY57" s="336" t="n"/>
      <c r="AZ57" s="336" t="n"/>
      <c r="BA57" s="336" t="n"/>
      <c r="BB57" s="336" t="n"/>
      <c r="BC57" s="336" t="n"/>
      <c r="BD57" s="336" t="n"/>
      <c r="BE57" s="336" t="n"/>
      <c r="BF57" s="336" t="n"/>
      <c r="BG57" s="336" t="n"/>
      <c r="BH57" s="336" t="n"/>
      <c r="BI57" s="336" t="n"/>
      <c r="BJ57" s="336" t="n"/>
      <c r="BK57" s="336" t="n"/>
      <c r="BL57" s="336" t="n"/>
      <c r="BM57" s="336" t="n"/>
      <c r="BN57" s="336" t="n"/>
      <c r="BO57" s="336" t="n"/>
      <c r="BP57" s="336" t="n"/>
      <c r="BQ57" s="336" t="n"/>
      <c r="BR57" s="336" t="n"/>
      <c r="BS57" s="336" t="n"/>
      <c r="BT57" s="336" t="n"/>
      <c r="BU57" s="336" t="n"/>
      <c r="BV57" s="336" t="n"/>
      <c r="BW57" s="336" t="n"/>
      <c r="BX57" s="336" t="n"/>
      <c r="BY57" s="336" t="n"/>
      <c r="BZ57" s="336" t="n"/>
      <c r="CA57" s="336" t="n"/>
      <c r="CB57" s="336" t="n"/>
      <c r="CC57" s="336" t="n"/>
      <c r="CD57" s="336" t="n"/>
      <c r="CE57" s="336" t="n"/>
    </row>
    <row r="58" customFormat="1" s="538">
      <c r="A58" s="358" t="n"/>
      <c r="B58" s="358" t="n"/>
      <c r="C58" s="344" t="n"/>
      <c r="D58" s="345" t="n"/>
      <c r="E58" s="346" t="n"/>
      <c r="F58" s="336" t="n"/>
      <c r="G58" s="336" t="n"/>
      <c r="H58" s="336" t="n"/>
      <c r="I58" s="336" t="n"/>
      <c r="J58" s="336" t="n"/>
      <c r="K58" s="336" t="n"/>
      <c r="L58" s="336" t="n"/>
      <c r="M58" s="336" t="n"/>
      <c r="N58" s="336" t="n"/>
      <c r="O58" s="336" t="n"/>
      <c r="P58" s="357" t="n"/>
      <c r="Q58" s="357" t="n"/>
      <c r="R58" s="357" t="n"/>
      <c r="S58" s="357" t="n"/>
      <c r="T58" s="357" t="n"/>
      <c r="U58" s="357" t="n"/>
      <c r="V58" s="357" t="n"/>
      <c r="W58" s="357" t="n"/>
      <c r="X58" s="357" t="n"/>
      <c r="Y58" s="357" t="n"/>
      <c r="Z58" s="357" t="n"/>
      <c r="AA58" s="357" t="n"/>
      <c r="AB58" s="336" t="n"/>
      <c r="AC58" s="357" t="n"/>
      <c r="AD58" s="357" t="n"/>
      <c r="AE58" s="357" t="n"/>
      <c r="AF58" s="357" t="n"/>
      <c r="AG58" s="339" t="n"/>
      <c r="AH58" s="339" t="n"/>
      <c r="AI58" s="339" t="n"/>
      <c r="AJ58" s="339" t="n"/>
      <c r="AK58" s="339" t="n"/>
      <c r="AL58" s="339" t="n"/>
      <c r="AM58" s="339" t="n"/>
      <c r="AN58" s="339" t="n"/>
      <c r="AO58" s="339" t="n"/>
      <c r="AP58" s="339" t="n"/>
      <c r="AQ58" s="339" t="n"/>
      <c r="AR58" s="339" t="n"/>
      <c r="AS58" s="339" t="n"/>
      <c r="AT58" s="339" t="n"/>
      <c r="AU58" s="339" t="n"/>
      <c r="AV58" s="339" t="n"/>
      <c r="AW58" s="339" t="n"/>
      <c r="AX58" s="357" t="n"/>
      <c r="AY58" s="336" t="n"/>
      <c r="AZ58" s="336" t="n"/>
      <c r="BA58" s="336" t="n"/>
      <c r="BB58" s="336" t="n"/>
      <c r="BC58" s="336" t="n"/>
      <c r="BD58" s="336" t="n"/>
      <c r="BE58" s="336" t="n"/>
      <c r="BF58" s="336" t="n"/>
      <c r="BG58" s="336" t="n"/>
      <c r="BH58" s="336" t="n"/>
      <c r="BI58" s="336" t="n"/>
      <c r="BJ58" s="336" t="n"/>
      <c r="BK58" s="336" t="n"/>
      <c r="BL58" s="336" t="n"/>
      <c r="BM58" s="336" t="n"/>
      <c r="BN58" s="336" t="n"/>
      <c r="BO58" s="336" t="n"/>
      <c r="BP58" s="336" t="n"/>
      <c r="BQ58" s="336" t="n"/>
      <c r="BR58" s="336" t="n"/>
      <c r="BS58" s="336" t="n"/>
      <c r="BT58" s="336" t="n"/>
      <c r="BU58" s="336" t="n"/>
      <c r="BV58" s="336" t="n"/>
      <c r="BW58" s="336" t="n"/>
      <c r="BX58" s="336" t="n"/>
      <c r="BY58" s="336" t="n"/>
      <c r="BZ58" s="336" t="n"/>
      <c r="CA58" s="336" t="n"/>
      <c r="CB58" s="336" t="n"/>
      <c r="CC58" s="336" t="n"/>
      <c r="CD58" s="336" t="n"/>
      <c r="CE58" s="336" t="n"/>
      <c r="CF58" s="361" t="n"/>
    </row>
    <row r="59" customFormat="1" s="538">
      <c r="A59" s="350" t="n"/>
      <c r="B59" s="350" t="n"/>
      <c r="C59" s="353" t="n"/>
      <c r="D59" s="333" t="n"/>
      <c r="E59" s="332" t="n"/>
      <c r="F59" s="336" t="n"/>
      <c r="G59" s="336" t="n"/>
      <c r="H59" s="335" t="n"/>
      <c r="I59" s="336" t="n"/>
      <c r="J59" s="336" t="n"/>
      <c r="K59" s="336" t="n"/>
      <c r="L59" s="336" t="n"/>
      <c r="M59" s="336" t="n"/>
      <c r="N59" s="336" t="n"/>
      <c r="O59" s="336" t="n"/>
      <c r="P59" s="430" t="n"/>
      <c r="Q59" s="430" t="n"/>
      <c r="R59" s="430" t="n"/>
      <c r="S59" s="430" t="n"/>
      <c r="T59" s="430" t="n"/>
      <c r="U59" s="430" t="n"/>
      <c r="V59" s="430" t="n"/>
      <c r="W59" s="430" t="n"/>
      <c r="X59" s="430" t="n"/>
      <c r="Y59" s="430" t="n"/>
      <c r="Z59" s="430" t="n"/>
      <c r="AA59" s="430" t="n"/>
      <c r="AB59" s="430" t="n"/>
      <c r="AC59" s="338" t="n"/>
      <c r="AD59" s="338" t="n"/>
      <c r="AE59" s="338" t="n"/>
      <c r="AF59" s="338" t="n"/>
      <c r="AG59" s="339" t="n"/>
      <c r="AH59" s="339" t="n"/>
      <c r="AI59" s="339" t="n"/>
      <c r="AJ59" s="339" t="n"/>
      <c r="AK59" s="339" t="n"/>
      <c r="AL59" s="339" t="n"/>
      <c r="AM59" s="339" t="n"/>
      <c r="AN59" s="339" t="n"/>
      <c r="AO59" s="339" t="n"/>
      <c r="AP59" s="339" t="n"/>
      <c r="AQ59" s="339" t="n"/>
      <c r="AR59" s="339" t="n"/>
      <c r="AS59" s="339" t="n"/>
      <c r="AT59" s="339" t="n"/>
      <c r="AU59" s="339" t="n"/>
      <c r="AV59" s="339" t="n"/>
      <c r="AW59" s="339" t="n"/>
      <c r="AX59" s="430" t="n"/>
      <c r="AY59" s="336" t="n"/>
      <c r="AZ59" s="336" t="n"/>
      <c r="BA59" s="336" t="n"/>
      <c r="BB59" s="336" t="n"/>
      <c r="BC59" s="336" t="n"/>
      <c r="BD59" s="336" t="n"/>
      <c r="BE59" s="336" t="n"/>
      <c r="BF59" s="336" t="n"/>
      <c r="BG59" s="336" t="n"/>
      <c r="BH59" s="336" t="n"/>
      <c r="BI59" s="336" t="n"/>
      <c r="BJ59" s="336" t="n"/>
      <c r="BK59" s="336" t="n"/>
      <c r="BL59" s="336" t="n"/>
      <c r="BM59" s="336" t="n"/>
      <c r="BN59" s="336" t="n"/>
      <c r="BO59" s="336" t="n"/>
      <c r="BP59" s="336" t="n"/>
      <c r="BQ59" s="336" t="n"/>
      <c r="BR59" s="336" t="n"/>
      <c r="BS59" s="336" t="n"/>
      <c r="BT59" s="336" t="n"/>
      <c r="BU59" s="336" t="n"/>
      <c r="BV59" s="336" t="n"/>
      <c r="BW59" s="336" t="n"/>
      <c r="BX59" s="336" t="n"/>
      <c r="BY59" s="336" t="n"/>
      <c r="BZ59" s="336" t="n"/>
      <c r="CA59" s="336" t="n"/>
      <c r="CB59" s="336" t="n"/>
      <c r="CC59" s="336" t="n"/>
      <c r="CD59" s="336" t="n"/>
      <c r="CE59" s="336" t="n"/>
    </row>
    <row r="60" customFormat="1" s="538">
      <c r="A60" s="350" t="n"/>
      <c r="B60" s="350" t="n"/>
      <c r="C60" s="353" t="n"/>
      <c r="D60" s="333" t="n"/>
      <c r="E60" s="332" t="n"/>
      <c r="F60" s="336" t="n"/>
      <c r="G60" s="336" t="n"/>
      <c r="H60" s="335" t="n"/>
      <c r="I60" s="336" t="n"/>
      <c r="J60" s="336" t="n"/>
      <c r="K60" s="336" t="n"/>
      <c r="L60" s="336" t="n"/>
      <c r="M60" s="336" t="n"/>
      <c r="N60" s="336" t="n"/>
      <c r="O60" s="336" t="n"/>
      <c r="P60" s="430" t="n"/>
      <c r="Q60" s="430" t="n"/>
      <c r="R60" s="430" t="n"/>
      <c r="S60" s="430" t="n"/>
      <c r="T60" s="430" t="n"/>
      <c r="U60" s="430" t="n"/>
      <c r="V60" s="430" t="n"/>
      <c r="W60" s="430" t="n"/>
      <c r="X60" s="430" t="n"/>
      <c r="Y60" s="430" t="n"/>
      <c r="Z60" s="430" t="n"/>
      <c r="AA60" s="430" t="n"/>
      <c r="AB60" s="430" t="n"/>
      <c r="AC60" s="338" t="n"/>
      <c r="AD60" s="338" t="n"/>
      <c r="AE60" s="338" t="n"/>
      <c r="AF60" s="338" t="n"/>
      <c r="AG60" s="339" t="n"/>
      <c r="AH60" s="339" t="n"/>
      <c r="AI60" s="339" t="n"/>
      <c r="AJ60" s="339" t="n"/>
      <c r="AK60" s="339" t="n"/>
      <c r="AL60" s="339" t="n"/>
      <c r="AM60" s="339" t="n"/>
      <c r="AN60" s="339" t="n"/>
      <c r="AO60" s="339" t="n"/>
      <c r="AP60" s="339" t="n"/>
      <c r="AQ60" s="339" t="n"/>
      <c r="AR60" s="339" t="n"/>
      <c r="AS60" s="339" t="n"/>
      <c r="AT60" s="339" t="n"/>
      <c r="AU60" s="339" t="n"/>
      <c r="AV60" s="339" t="n"/>
      <c r="AW60" s="339" t="n"/>
      <c r="AX60" s="430" t="n"/>
      <c r="AY60" s="336" t="n"/>
      <c r="AZ60" s="336" t="n"/>
      <c r="BA60" s="336" t="n"/>
      <c r="BB60" s="336" t="n"/>
      <c r="BC60" s="336" t="n"/>
      <c r="BD60" s="336" t="n"/>
      <c r="BE60" s="336" t="n"/>
      <c r="BF60" s="336" t="n"/>
      <c r="BG60" s="336" t="n"/>
      <c r="BH60" s="336" t="n"/>
      <c r="BI60" s="336" t="n"/>
      <c r="BJ60" s="336" t="n"/>
      <c r="BK60" s="336" t="n"/>
      <c r="BL60" s="336" t="n"/>
      <c r="BM60" s="336" t="n"/>
      <c r="BN60" s="336" t="n"/>
      <c r="BO60" s="336" t="n"/>
      <c r="BP60" s="336" t="n"/>
      <c r="BQ60" s="336" t="n"/>
      <c r="BR60" s="336" t="n"/>
      <c r="BS60" s="336" t="n"/>
      <c r="BT60" s="336" t="n"/>
      <c r="BU60" s="336" t="n"/>
      <c r="BV60" s="336" t="n"/>
      <c r="BW60" s="336" t="n"/>
      <c r="BX60" s="336" t="n"/>
      <c r="BY60" s="336" t="n"/>
      <c r="BZ60" s="336" t="n"/>
      <c r="CA60" s="336" t="n"/>
      <c r="CB60" s="336" t="n"/>
      <c r="CC60" s="336" t="n"/>
      <c r="CD60" s="336" t="n"/>
      <c r="CE60" s="336" t="n"/>
    </row>
    <row r="61" customFormat="1" s="538">
      <c r="A61" s="350" t="n"/>
      <c r="B61" s="350" t="n"/>
      <c r="C61" s="353" t="n"/>
      <c r="D61" s="333" t="n"/>
      <c r="E61" s="332" t="n"/>
      <c r="F61" s="336" t="n"/>
      <c r="G61" s="336" t="n"/>
      <c r="H61" s="335" t="n"/>
      <c r="I61" s="336" t="n"/>
      <c r="J61" s="336" t="n"/>
      <c r="K61" s="336" t="n"/>
      <c r="L61" s="336" t="n"/>
      <c r="M61" s="336" t="n"/>
      <c r="N61" s="336" t="n"/>
      <c r="O61" s="336" t="n"/>
      <c r="P61" s="430" t="n"/>
      <c r="Q61" s="430" t="n"/>
      <c r="R61" s="430" t="n"/>
      <c r="S61" s="430" t="n"/>
      <c r="T61" s="430" t="n"/>
      <c r="U61" s="430" t="n"/>
      <c r="V61" s="430" t="n"/>
      <c r="W61" s="430" t="n"/>
      <c r="X61" s="430" t="n"/>
      <c r="Y61" s="430" t="n"/>
      <c r="Z61" s="430" t="n"/>
      <c r="AA61" s="430" t="n"/>
      <c r="AB61" s="685" t="n"/>
      <c r="AC61" s="338" t="n"/>
      <c r="AD61" s="338" t="n"/>
      <c r="AE61" s="338" t="n"/>
      <c r="AF61" s="338" t="n"/>
      <c r="AG61" s="339" t="n"/>
      <c r="AH61" s="339" t="n"/>
      <c r="AI61" s="339" t="n"/>
      <c r="AJ61" s="339" t="n"/>
      <c r="AK61" s="339" t="n"/>
      <c r="AL61" s="339" t="n"/>
      <c r="AM61" s="339" t="n"/>
      <c r="AN61" s="339" t="n"/>
      <c r="AO61" s="339" t="n"/>
      <c r="AP61" s="339" t="n"/>
      <c r="AQ61" s="339" t="n"/>
      <c r="AR61" s="339" t="n"/>
      <c r="AS61" s="339" t="n"/>
      <c r="AT61" s="339" t="n"/>
      <c r="AU61" s="339" t="n"/>
      <c r="AV61" s="339" t="n"/>
      <c r="AW61" s="339" t="n"/>
      <c r="AX61" s="430" t="n"/>
      <c r="AY61" s="336" t="n"/>
      <c r="AZ61" s="336" t="n"/>
      <c r="BA61" s="336" t="n"/>
      <c r="BB61" s="336" t="n"/>
      <c r="BC61" s="336" t="n"/>
      <c r="BD61" s="336" t="n"/>
      <c r="BE61" s="336" t="n"/>
      <c r="BF61" s="336" t="n"/>
      <c r="BG61" s="336" t="n"/>
      <c r="BH61" s="336" t="n"/>
      <c r="BI61" s="336" t="n"/>
      <c r="BJ61" s="336" t="n"/>
      <c r="BK61" s="336" t="n"/>
      <c r="BL61" s="336" t="n"/>
      <c r="BM61" s="336" t="n"/>
      <c r="BN61" s="336" t="n"/>
      <c r="BO61" s="336" t="n"/>
      <c r="BP61" s="336" t="n"/>
      <c r="BQ61" s="336" t="n"/>
      <c r="BR61" s="336" t="n"/>
      <c r="BS61" s="336" t="n"/>
      <c r="BT61" s="336" t="n"/>
      <c r="BU61" s="336" t="n"/>
      <c r="BV61" s="336" t="n"/>
      <c r="BW61" s="336" t="n"/>
      <c r="BX61" s="336" t="n"/>
      <c r="BY61" s="336" t="n"/>
      <c r="BZ61" s="336" t="n"/>
      <c r="CA61" s="336" t="n"/>
      <c r="CB61" s="336" t="n"/>
      <c r="CC61" s="336" t="n"/>
      <c r="CD61" s="336" t="n"/>
      <c r="CE61" s="336" t="n"/>
    </row>
    <row r="62" customFormat="1" s="538">
      <c r="A62" s="350" t="n"/>
      <c r="B62" s="350" t="n"/>
      <c r="C62" s="353" t="n"/>
      <c r="D62" s="333" t="n"/>
      <c r="E62" s="354" t="n"/>
      <c r="F62" s="336" t="n"/>
      <c r="G62" s="336" t="n"/>
      <c r="H62" s="335" t="n"/>
      <c r="I62" s="336" t="n"/>
      <c r="J62" s="336" t="n"/>
      <c r="K62" s="336" t="n"/>
      <c r="L62" s="336" t="n"/>
      <c r="M62" s="336" t="n"/>
      <c r="N62" s="336" t="n"/>
      <c r="O62" s="336" t="n"/>
      <c r="P62" s="430" t="n"/>
      <c r="Q62" s="430" t="n"/>
      <c r="R62" s="430" t="n"/>
      <c r="S62" s="430" t="n"/>
      <c r="T62" s="430" t="n"/>
      <c r="U62" s="430" t="n"/>
      <c r="V62" s="430" t="n"/>
      <c r="W62" s="430" t="n"/>
      <c r="X62" s="430" t="n"/>
      <c r="Y62" s="430" t="n"/>
      <c r="Z62" s="430" t="n"/>
      <c r="AA62" s="430" t="n"/>
      <c r="AB62" s="430" t="n"/>
      <c r="AC62" s="338" t="n"/>
      <c r="AD62" s="338" t="n"/>
      <c r="AE62" s="338" t="n"/>
      <c r="AF62" s="338" t="n"/>
      <c r="AG62" s="339" t="n"/>
      <c r="AH62" s="339" t="n"/>
      <c r="AI62" s="339" t="n"/>
      <c r="AJ62" s="339" t="n"/>
      <c r="AK62" s="339" t="n"/>
      <c r="AL62" s="339" t="n"/>
      <c r="AM62" s="339" t="n"/>
      <c r="AN62" s="339" t="n"/>
      <c r="AO62" s="339" t="n"/>
      <c r="AP62" s="339" t="n"/>
      <c r="AQ62" s="339" t="n"/>
      <c r="AR62" s="339" t="n"/>
      <c r="AS62" s="339" t="n"/>
      <c r="AT62" s="339" t="n"/>
      <c r="AU62" s="339" t="n"/>
      <c r="AV62" s="339" t="n"/>
      <c r="AW62" s="339" t="n"/>
      <c r="AX62" s="430" t="n"/>
      <c r="AY62" s="336" t="n"/>
      <c r="AZ62" s="336" t="n"/>
      <c r="BA62" s="336" t="n"/>
      <c r="BB62" s="336" t="n"/>
      <c r="BC62" s="336" t="n"/>
      <c r="BD62" s="336" t="n"/>
      <c r="BE62" s="336" t="n"/>
      <c r="BF62" s="336" t="n"/>
      <c r="BG62" s="336" t="n"/>
      <c r="BH62" s="336" t="n"/>
      <c r="BI62" s="336" t="n"/>
      <c r="BJ62" s="336" t="n"/>
      <c r="BK62" s="336" t="n"/>
      <c r="BL62" s="336" t="n"/>
      <c r="BM62" s="336" t="n"/>
      <c r="BN62" s="336" t="n"/>
      <c r="BO62" s="336" t="n"/>
      <c r="BP62" s="336" t="n"/>
      <c r="BQ62" s="336" t="n"/>
      <c r="BR62" s="336" t="n"/>
      <c r="BS62" s="336" t="n"/>
      <c r="BT62" s="336" t="n"/>
      <c r="BU62" s="336" t="n"/>
      <c r="BV62" s="336" t="n"/>
      <c r="BW62" s="336" t="n"/>
      <c r="BX62" s="336" t="n"/>
      <c r="BY62" s="336" t="n"/>
      <c r="BZ62" s="336" t="n"/>
      <c r="CA62" s="336" t="n"/>
      <c r="CB62" s="336" t="n"/>
      <c r="CC62" s="336" t="n"/>
      <c r="CD62" s="336" t="n"/>
      <c r="CE62" s="336" t="n"/>
    </row>
    <row r="63" customFormat="1" s="538">
      <c r="A63" s="342" t="n"/>
      <c r="B63" s="358" t="n"/>
      <c r="C63" s="344" t="n"/>
      <c r="D63" s="345" t="n"/>
      <c r="E63" s="346" t="n"/>
      <c r="F63" s="336" t="n"/>
      <c r="G63" s="336" t="n"/>
      <c r="H63" s="336" t="n"/>
      <c r="I63" s="336" t="n"/>
      <c r="J63" s="336" t="n"/>
      <c r="K63" s="336" t="n"/>
      <c r="L63" s="336" t="n"/>
      <c r="M63" s="336" t="n"/>
      <c r="N63" s="336" t="n"/>
      <c r="O63" s="336" t="n"/>
      <c r="P63" s="357" t="n"/>
      <c r="Q63" s="357" t="n"/>
      <c r="R63" s="357" t="n"/>
      <c r="S63" s="357" t="n"/>
      <c r="T63" s="357" t="n"/>
      <c r="U63" s="357" t="n"/>
      <c r="V63" s="357" t="n"/>
      <c r="W63" s="357" t="n"/>
      <c r="X63" s="357" t="n"/>
      <c r="Y63" s="357" t="n"/>
      <c r="Z63" s="357" t="n"/>
      <c r="AA63" s="357" t="n"/>
      <c r="AB63" s="336" t="n"/>
      <c r="AC63" s="338" t="n"/>
      <c r="AD63" s="338" t="n"/>
      <c r="AE63" s="338" t="n"/>
      <c r="AF63" s="338" t="n"/>
      <c r="AG63" s="339" t="n"/>
      <c r="AH63" s="339" t="n"/>
      <c r="AI63" s="339" t="n"/>
      <c r="AJ63" s="339" t="n"/>
      <c r="AK63" s="339" t="n"/>
      <c r="AL63" s="339" t="n"/>
      <c r="AM63" s="339" t="n"/>
      <c r="AN63" s="339" t="n"/>
      <c r="AO63" s="339" t="n"/>
      <c r="AP63" s="339" t="n"/>
      <c r="AQ63" s="339" t="n"/>
      <c r="AR63" s="339" t="n"/>
      <c r="AS63" s="339" t="n"/>
      <c r="AT63" s="339" t="n"/>
      <c r="AU63" s="339" t="n"/>
      <c r="AV63" s="339" t="n"/>
      <c r="AW63" s="339" t="n"/>
      <c r="AX63" s="357" t="n"/>
      <c r="AY63" s="336" t="n"/>
      <c r="AZ63" s="336" t="n"/>
      <c r="BA63" s="336" t="n"/>
      <c r="BB63" s="336" t="n"/>
      <c r="BC63" s="336" t="n"/>
      <c r="BD63" s="336" t="n"/>
      <c r="BE63" s="336" t="n"/>
      <c r="BF63" s="336" t="n"/>
      <c r="BG63" s="336" t="n"/>
      <c r="BH63" s="336" t="n"/>
      <c r="BI63" s="336" t="n"/>
      <c r="BJ63" s="336" t="n"/>
      <c r="BK63" s="336" t="n"/>
      <c r="BL63" s="336" t="n"/>
      <c r="BM63" s="336" t="n"/>
      <c r="BN63" s="336" t="n"/>
      <c r="BO63" s="336" t="n"/>
      <c r="BP63" s="336" t="n"/>
      <c r="BQ63" s="336" t="n"/>
      <c r="BR63" s="336" t="n"/>
      <c r="BS63" s="336" t="n"/>
      <c r="BT63" s="336" t="n"/>
      <c r="BU63" s="336" t="n"/>
      <c r="BV63" s="336" t="n"/>
      <c r="BW63" s="336" t="n"/>
      <c r="BX63" s="336" t="n"/>
      <c r="BY63" s="336" t="n"/>
      <c r="BZ63" s="336" t="n"/>
      <c r="CA63" s="336" t="n"/>
      <c r="CB63" s="336" t="n"/>
      <c r="CC63" s="336" t="n"/>
      <c r="CD63" s="336" t="n"/>
      <c r="CE63" s="336" t="n"/>
      <c r="CF63" s="361" t="n"/>
    </row>
    <row r="64" customFormat="1" s="538">
      <c r="A64" s="349" t="n"/>
      <c r="B64" s="350" t="n"/>
      <c r="C64" s="353" t="n"/>
      <c r="D64" s="333" t="n"/>
      <c r="E64" s="332" t="n"/>
      <c r="F64" s="336" t="n"/>
      <c r="G64" s="336" t="n"/>
      <c r="H64" s="335" t="n"/>
      <c r="I64" s="336" t="n"/>
      <c r="J64" s="336" t="n"/>
      <c r="K64" s="336" t="n"/>
      <c r="L64" s="336" t="n"/>
      <c r="M64" s="336" t="n"/>
      <c r="N64" s="336" t="n"/>
      <c r="O64" s="336" t="n"/>
      <c r="P64" s="430" t="n"/>
      <c r="Q64" s="430" t="n"/>
      <c r="R64" s="430" t="n"/>
      <c r="S64" s="430" t="n"/>
      <c r="T64" s="430" t="n"/>
      <c r="U64" s="430" t="n"/>
      <c r="V64" s="430" t="n"/>
      <c r="W64" s="430" t="n"/>
      <c r="X64" s="430" t="n"/>
      <c r="Y64" s="430" t="n"/>
      <c r="Z64" s="430" t="n"/>
      <c r="AA64" s="430" t="n"/>
      <c r="AB64" s="430" t="n"/>
      <c r="AC64" s="338" t="n"/>
      <c r="AD64" s="338" t="n"/>
      <c r="AE64" s="338" t="n"/>
      <c r="AF64" s="338" t="n"/>
      <c r="AG64" s="339" t="n"/>
      <c r="AH64" s="339" t="n"/>
      <c r="AI64" s="339" t="n"/>
      <c r="AJ64" s="339" t="n"/>
      <c r="AK64" s="339" t="n"/>
      <c r="AL64" s="339" t="n"/>
      <c r="AM64" s="339" t="n"/>
      <c r="AN64" s="339" t="n"/>
      <c r="AO64" s="339" t="n"/>
      <c r="AP64" s="339" t="n"/>
      <c r="AQ64" s="339" t="n"/>
      <c r="AR64" s="339" t="n"/>
      <c r="AS64" s="339" t="n"/>
      <c r="AT64" s="339" t="n"/>
      <c r="AU64" s="339" t="n"/>
      <c r="AV64" s="339" t="n"/>
      <c r="AW64" s="339" t="n"/>
      <c r="AX64" s="430" t="n"/>
      <c r="AY64" s="336" t="n"/>
      <c r="AZ64" s="336" t="n"/>
      <c r="BA64" s="336" t="n"/>
      <c r="BB64" s="336" t="n"/>
      <c r="BC64" s="336" t="n"/>
      <c r="BD64" s="336" t="n"/>
      <c r="BE64" s="336" t="n"/>
      <c r="BF64" s="336" t="n"/>
      <c r="BG64" s="336" t="n"/>
      <c r="BH64" s="336" t="n"/>
      <c r="BI64" s="336" t="n"/>
      <c r="BJ64" s="336" t="n"/>
      <c r="BK64" s="336" t="n"/>
      <c r="BL64" s="336" t="n"/>
      <c r="BM64" s="336" t="n"/>
      <c r="BN64" s="336" t="n"/>
      <c r="BO64" s="336" t="n"/>
      <c r="BP64" s="336" t="n"/>
      <c r="BQ64" s="336" t="n"/>
      <c r="BR64" s="336" t="n"/>
      <c r="BS64" s="336" t="n"/>
      <c r="BT64" s="336" t="n"/>
      <c r="BU64" s="336" t="n"/>
      <c r="BV64" s="336" t="n"/>
      <c r="BW64" s="336" t="n"/>
      <c r="BX64" s="336" t="n"/>
      <c r="BY64" s="336" t="n"/>
      <c r="BZ64" s="336" t="n"/>
      <c r="CA64" s="336" t="n"/>
      <c r="CB64" s="336" t="n"/>
      <c r="CC64" s="336" t="n"/>
      <c r="CD64" s="336" t="n"/>
      <c r="CE64" s="336" t="n"/>
    </row>
    <row r="65" customFormat="1" s="538">
      <c r="A65" s="349" t="n"/>
      <c r="B65" s="350" t="n"/>
      <c r="C65" s="353" t="n"/>
      <c r="D65" s="333" t="n"/>
      <c r="E65" s="332" t="n"/>
      <c r="F65" s="336" t="n"/>
      <c r="G65" s="336" t="n"/>
      <c r="H65" s="335" t="n"/>
      <c r="I65" s="336" t="n"/>
      <c r="J65" s="336" t="n"/>
      <c r="K65" s="336" t="n"/>
      <c r="L65" s="336" t="n"/>
      <c r="M65" s="336" t="n"/>
      <c r="N65" s="336" t="n"/>
      <c r="O65" s="336" t="n"/>
      <c r="P65" s="430" t="n"/>
      <c r="Q65" s="430" t="n"/>
      <c r="R65" s="430" t="n"/>
      <c r="S65" s="430" t="n"/>
      <c r="T65" s="430" t="n"/>
      <c r="U65" s="430" t="n"/>
      <c r="V65" s="430" t="n"/>
      <c r="W65" s="430" t="n"/>
      <c r="X65" s="430" t="n"/>
      <c r="Y65" s="430" t="n"/>
      <c r="Z65" s="430" t="n"/>
      <c r="AA65" s="430" t="n"/>
      <c r="AB65" s="430" t="n"/>
      <c r="AC65" s="357" t="n"/>
      <c r="AD65" s="357" t="n"/>
      <c r="AE65" s="357" t="n"/>
      <c r="AF65" s="357" t="n"/>
      <c r="AG65" s="339" t="n"/>
      <c r="AH65" s="339" t="n"/>
      <c r="AI65" s="339" t="n"/>
      <c r="AJ65" s="339" t="n"/>
      <c r="AK65" s="339" t="n"/>
      <c r="AL65" s="339" t="n"/>
      <c r="AM65" s="339" t="n"/>
      <c r="AN65" s="339" t="n"/>
      <c r="AO65" s="339" t="n"/>
      <c r="AP65" s="339" t="n"/>
      <c r="AQ65" s="339" t="n"/>
      <c r="AR65" s="339" t="n"/>
      <c r="AS65" s="339" t="n"/>
      <c r="AT65" s="357" t="n"/>
      <c r="AU65" s="357" t="n"/>
      <c r="AV65" s="357" t="n"/>
      <c r="AW65" s="357" t="n"/>
      <c r="AX65" s="430" t="n"/>
      <c r="AY65" s="336" t="n"/>
      <c r="AZ65" s="336" t="n"/>
      <c r="BA65" s="336" t="n"/>
      <c r="BB65" s="336" t="n"/>
      <c r="BC65" s="336" t="n"/>
      <c r="BD65" s="336" t="n"/>
      <c r="BE65" s="336" t="n"/>
      <c r="BF65" s="336" t="n"/>
      <c r="BG65" s="336" t="n"/>
      <c r="BH65" s="336" t="n"/>
      <c r="BI65" s="336" t="n"/>
      <c r="BJ65" s="336" t="n"/>
      <c r="BK65" s="336" t="n"/>
      <c r="BL65" s="336" t="n"/>
      <c r="BM65" s="336" t="n"/>
      <c r="BN65" s="336" t="n"/>
      <c r="BO65" s="336" t="n"/>
      <c r="BP65" s="336" t="n"/>
      <c r="BQ65" s="336" t="n"/>
      <c r="BR65" s="336" t="n"/>
      <c r="BS65" s="336" t="n"/>
      <c r="BT65" s="336" t="n"/>
      <c r="BU65" s="336" t="n"/>
      <c r="BV65" s="336" t="n"/>
      <c r="BW65" s="336" t="n"/>
      <c r="BX65" s="336" t="n"/>
      <c r="BY65" s="336" t="n"/>
      <c r="BZ65" s="336" t="n"/>
      <c r="CA65" s="336" t="n"/>
      <c r="CB65" s="336" t="n"/>
      <c r="CC65" s="336" t="n"/>
      <c r="CD65" s="336" t="n"/>
      <c r="CE65" s="336" t="n"/>
    </row>
    <row r="66" customFormat="1" s="538">
      <c r="A66" s="358" t="n"/>
      <c r="B66" s="358" t="n"/>
      <c r="C66" s="344" t="n"/>
      <c r="D66" s="345" t="n"/>
      <c r="E66" s="346" t="n"/>
      <c r="F66" s="336" t="n"/>
      <c r="G66" s="336" t="n"/>
      <c r="H66" s="336" t="n"/>
      <c r="I66" s="336" t="n"/>
      <c r="J66" s="336" t="n"/>
      <c r="K66" s="336" t="n"/>
      <c r="L66" s="336" t="n"/>
      <c r="M66" s="336" t="n"/>
      <c r="N66" s="336" t="n"/>
      <c r="O66" s="336" t="n"/>
      <c r="P66" s="357" t="n"/>
      <c r="Q66" s="357" t="n"/>
      <c r="R66" s="357" t="n"/>
      <c r="S66" s="357" t="n"/>
      <c r="T66" s="357" t="n"/>
      <c r="U66" s="357" t="n"/>
      <c r="V66" s="357" t="n"/>
      <c r="W66" s="357" t="n"/>
      <c r="X66" s="357" t="n"/>
      <c r="Y66" s="357" t="n"/>
      <c r="Z66" s="357" t="n"/>
      <c r="AA66" s="357" t="n"/>
      <c r="AB66" s="336" t="n"/>
      <c r="AC66" s="338" t="n"/>
      <c r="AD66" s="338" t="n"/>
      <c r="AE66" s="338" t="n"/>
      <c r="AF66" s="338" t="n"/>
      <c r="AG66" s="339" t="n"/>
      <c r="AH66" s="339" t="n"/>
      <c r="AI66" s="339" t="n"/>
      <c r="AJ66" s="339" t="n"/>
      <c r="AK66" s="339" t="n"/>
      <c r="AL66" s="339" t="n"/>
      <c r="AM66" s="339" t="n"/>
      <c r="AN66" s="339" t="n"/>
      <c r="AO66" s="339" t="n"/>
      <c r="AP66" s="339" t="n"/>
      <c r="AQ66" s="339" t="n"/>
      <c r="AR66" s="339" t="n"/>
      <c r="AS66" s="339" t="n"/>
      <c r="AT66" s="339" t="n"/>
      <c r="AU66" s="339" t="n"/>
      <c r="AV66" s="339" t="n"/>
      <c r="AW66" s="339" t="n"/>
      <c r="AX66" s="357" t="n"/>
      <c r="AY66" s="336" t="n"/>
      <c r="AZ66" s="336" t="n"/>
      <c r="BA66" s="336" t="n"/>
      <c r="BB66" s="336" t="n"/>
      <c r="BC66" s="336" t="n"/>
      <c r="BD66" s="336" t="n"/>
      <c r="BE66" s="336" t="n"/>
      <c r="BF66" s="336" t="n"/>
      <c r="BG66" s="336" t="n"/>
      <c r="BH66" s="336" t="n"/>
      <c r="BI66" s="336" t="n"/>
      <c r="BJ66" s="336" t="n"/>
      <c r="BK66" s="336" t="n"/>
      <c r="BL66" s="336" t="n"/>
      <c r="BM66" s="336" t="n"/>
      <c r="BN66" s="336" t="n"/>
      <c r="BO66" s="336" t="n"/>
      <c r="BP66" s="336" t="n"/>
      <c r="BQ66" s="336" t="n"/>
      <c r="BR66" s="336" t="n"/>
      <c r="BS66" s="336" t="n"/>
      <c r="BT66" s="336" t="n"/>
      <c r="BU66" s="336" t="n"/>
      <c r="BV66" s="336" t="n"/>
      <c r="BW66" s="336" t="n"/>
      <c r="BX66" s="336" t="n"/>
      <c r="BY66" s="336" t="n"/>
      <c r="BZ66" s="336" t="n"/>
      <c r="CA66" s="336" t="n"/>
      <c r="CB66" s="336" t="n"/>
      <c r="CC66" s="336" t="n"/>
      <c r="CD66" s="336" t="n"/>
      <c r="CE66" s="336" t="n"/>
      <c r="CF66" s="361" t="n"/>
    </row>
    <row r="67" customFormat="1" s="538">
      <c r="A67" s="350" t="n"/>
      <c r="B67" s="350" t="n"/>
      <c r="C67" s="353" t="n"/>
      <c r="D67" s="333" t="n"/>
      <c r="E67" s="332" t="n"/>
      <c r="F67" s="336" t="n"/>
      <c r="G67" s="336" t="n"/>
      <c r="H67" s="335" t="n"/>
      <c r="I67" s="336" t="n"/>
      <c r="J67" s="336" t="n"/>
      <c r="K67" s="336" t="n"/>
      <c r="L67" s="336" t="n"/>
      <c r="M67" s="336" t="n"/>
      <c r="N67" s="336" t="n"/>
      <c r="O67" s="336" t="n"/>
      <c r="P67" s="430" t="n"/>
      <c r="Q67" s="430" t="n"/>
      <c r="R67" s="430" t="n"/>
      <c r="S67" s="430" t="n"/>
      <c r="T67" s="430" t="n"/>
      <c r="U67" s="430" t="n"/>
      <c r="V67" s="430" t="n"/>
      <c r="W67" s="430" t="n"/>
      <c r="X67" s="430" t="n"/>
      <c r="Y67" s="430" t="n"/>
      <c r="Z67" s="430" t="n"/>
      <c r="AA67" s="430" t="n"/>
      <c r="AB67" s="430" t="n"/>
      <c r="AC67" s="338" t="n"/>
      <c r="AD67" s="338" t="n"/>
      <c r="AE67" s="338" t="n"/>
      <c r="AF67" s="338" t="n"/>
      <c r="AG67" s="339" t="n"/>
      <c r="AH67" s="339" t="n"/>
      <c r="AI67" s="339" t="n"/>
      <c r="AJ67" s="339" t="n"/>
      <c r="AK67" s="339" t="n"/>
      <c r="AL67" s="339" t="n"/>
      <c r="AM67" s="339" t="n"/>
      <c r="AN67" s="339" t="n"/>
      <c r="AO67" s="339" t="n"/>
      <c r="AP67" s="339" t="n"/>
      <c r="AQ67" s="339" t="n"/>
      <c r="AR67" s="339" t="n"/>
      <c r="AS67" s="339" t="n"/>
      <c r="AT67" s="339" t="n"/>
      <c r="AU67" s="339" t="n"/>
      <c r="AV67" s="339" t="n"/>
      <c r="AW67" s="339" t="n"/>
      <c r="AX67" s="430" t="n"/>
      <c r="AY67" s="336" t="n"/>
      <c r="AZ67" s="336" t="n"/>
      <c r="BA67" s="336" t="n"/>
      <c r="BB67" s="336" t="n"/>
      <c r="BC67" s="336" t="n"/>
      <c r="BD67" s="336" t="n"/>
      <c r="BE67" s="336" t="n"/>
      <c r="BF67" s="336" t="n"/>
      <c r="BG67" s="336" t="n"/>
      <c r="BH67" s="336" t="n"/>
      <c r="BI67" s="336" t="n"/>
      <c r="BJ67" s="336" t="n"/>
      <c r="BK67" s="336" t="n"/>
      <c r="BL67" s="336" t="n"/>
      <c r="BM67" s="336" t="n"/>
      <c r="BN67" s="336" t="n"/>
      <c r="BO67" s="336" t="n"/>
      <c r="BP67" s="336" t="n"/>
      <c r="BQ67" s="336" t="n"/>
      <c r="BR67" s="336" t="n"/>
      <c r="BS67" s="336" t="n"/>
      <c r="BT67" s="336" t="n"/>
      <c r="BU67" s="336" t="n"/>
      <c r="BV67" s="336" t="n"/>
      <c r="BW67" s="336" t="n"/>
      <c r="BX67" s="336" t="n"/>
      <c r="BY67" s="336" t="n"/>
      <c r="BZ67" s="336" t="n"/>
      <c r="CA67" s="336" t="n"/>
      <c r="CB67" s="336" t="n"/>
      <c r="CC67" s="336" t="n"/>
      <c r="CD67" s="336" t="n"/>
      <c r="CE67" s="336" t="n"/>
    </row>
    <row r="68" customFormat="1" s="538">
      <c r="A68" s="350" t="n"/>
      <c r="B68" s="350" t="n"/>
      <c r="C68" s="353" t="n"/>
      <c r="D68" s="333" t="n"/>
      <c r="E68" s="332" t="n"/>
      <c r="F68" s="336" t="n"/>
      <c r="G68" s="336" t="n"/>
      <c r="H68" s="335" t="n"/>
      <c r="I68" s="336" t="n"/>
      <c r="J68" s="336" t="n"/>
      <c r="K68" s="336" t="n"/>
      <c r="L68" s="336" t="n"/>
      <c r="M68" s="336" t="n"/>
      <c r="N68" s="336" t="n"/>
      <c r="O68" s="336" t="n"/>
      <c r="P68" s="430" t="n"/>
      <c r="Q68" s="430" t="n"/>
      <c r="R68" s="430" t="n"/>
      <c r="S68" s="430" t="n"/>
      <c r="T68" s="430" t="n"/>
      <c r="U68" s="430" t="n"/>
      <c r="V68" s="430" t="n"/>
      <c r="W68" s="430" t="n"/>
      <c r="X68" s="430" t="n"/>
      <c r="Y68" s="430" t="n"/>
      <c r="Z68" s="430" t="n"/>
      <c r="AA68" s="430" t="n"/>
      <c r="AB68" s="430" t="n"/>
      <c r="AC68" s="338" t="n"/>
      <c r="AD68" s="338" t="n"/>
      <c r="AE68" s="338" t="n"/>
      <c r="AF68" s="338" t="n"/>
      <c r="AG68" s="339" t="n"/>
      <c r="AH68" s="339" t="n"/>
      <c r="AI68" s="339" t="n"/>
      <c r="AJ68" s="339" t="n"/>
      <c r="AK68" s="339" t="n"/>
      <c r="AL68" s="339" t="n"/>
      <c r="AM68" s="339" t="n"/>
      <c r="AN68" s="339" t="n"/>
      <c r="AO68" s="339" t="n"/>
      <c r="AP68" s="339" t="n"/>
      <c r="AQ68" s="339" t="n"/>
      <c r="AR68" s="339" t="n"/>
      <c r="AS68" s="339" t="n"/>
      <c r="AT68" s="339" t="n"/>
      <c r="AU68" s="339" t="n"/>
      <c r="AV68" s="339" t="n"/>
      <c r="AW68" s="339" t="n"/>
      <c r="AX68" s="430" t="n"/>
      <c r="AY68" s="336" t="n"/>
      <c r="AZ68" s="336" t="n"/>
      <c r="BA68" s="336" t="n"/>
      <c r="BB68" s="336" t="n"/>
      <c r="BC68" s="336" t="n"/>
      <c r="BD68" s="336" t="n"/>
      <c r="BE68" s="336" t="n"/>
      <c r="BF68" s="336" t="n"/>
      <c r="BG68" s="336" t="n"/>
      <c r="BH68" s="336" t="n"/>
      <c r="BI68" s="336" t="n"/>
      <c r="BJ68" s="336" t="n"/>
      <c r="BK68" s="336" t="n"/>
      <c r="BL68" s="336" t="n"/>
      <c r="BM68" s="336" t="n"/>
      <c r="BN68" s="336" t="n"/>
      <c r="BO68" s="336" t="n"/>
      <c r="BP68" s="336" t="n"/>
      <c r="BQ68" s="336" t="n"/>
      <c r="BR68" s="336" t="n"/>
      <c r="BS68" s="336" t="n"/>
      <c r="BT68" s="336" t="n"/>
      <c r="BU68" s="336" t="n"/>
      <c r="BV68" s="336" t="n"/>
      <c r="BW68" s="336" t="n"/>
      <c r="BX68" s="336" t="n"/>
      <c r="BY68" s="336" t="n"/>
      <c r="BZ68" s="336" t="n"/>
      <c r="CA68" s="336" t="n"/>
      <c r="CB68" s="336" t="n"/>
      <c r="CC68" s="336" t="n"/>
      <c r="CD68" s="336" t="n"/>
      <c r="CE68" s="336" t="n"/>
    </row>
    <row r="69" customFormat="1" s="538">
      <c r="A69" s="342" t="n"/>
      <c r="B69" s="358" t="n"/>
      <c r="C69" s="344" t="n"/>
      <c r="D69" s="345" t="n"/>
      <c r="E69" s="346" t="n"/>
      <c r="F69" s="336" t="n"/>
      <c r="G69" s="336" t="n"/>
      <c r="H69" s="335" t="n"/>
      <c r="I69" s="336" t="n"/>
      <c r="J69" s="336" t="n"/>
      <c r="K69" s="336" t="n"/>
      <c r="L69" s="336" t="n"/>
      <c r="M69" s="336" t="n"/>
      <c r="N69" s="336" t="n"/>
      <c r="O69" s="336" t="n"/>
      <c r="P69" s="430" t="n"/>
      <c r="Q69" s="430" t="n"/>
      <c r="R69" s="430" t="n"/>
      <c r="S69" s="430" t="n"/>
      <c r="T69" s="430" t="n"/>
      <c r="U69" s="430" t="n"/>
      <c r="V69" s="430" t="n"/>
      <c r="W69" s="430" t="n"/>
      <c r="X69" s="430" t="n"/>
      <c r="Y69" s="430" t="n"/>
      <c r="Z69" s="430" t="n"/>
      <c r="AA69" s="430" t="n"/>
      <c r="AB69" s="430" t="n"/>
      <c r="AC69" s="338" t="n"/>
      <c r="AD69" s="338" t="n"/>
      <c r="AE69" s="338" t="n"/>
      <c r="AF69" s="338" t="n"/>
      <c r="AG69" s="339" t="n"/>
      <c r="AH69" s="339" t="n"/>
      <c r="AI69" s="339" t="n"/>
      <c r="AJ69" s="339" t="n"/>
      <c r="AK69" s="339" t="n"/>
      <c r="AL69" s="339" t="n"/>
      <c r="AM69" s="339" t="n"/>
      <c r="AN69" s="339" t="n"/>
      <c r="AO69" s="339" t="n"/>
      <c r="AP69" s="339" t="n"/>
      <c r="AQ69" s="339" t="n"/>
      <c r="AR69" s="339" t="n"/>
      <c r="AS69" s="339" t="n"/>
      <c r="AT69" s="339" t="n"/>
      <c r="AU69" s="339" t="n"/>
      <c r="AV69" s="339" t="n"/>
      <c r="AW69" s="339" t="n"/>
      <c r="AX69" s="430" t="n"/>
      <c r="AY69" s="336" t="n"/>
      <c r="AZ69" s="336" t="n"/>
      <c r="BA69" s="336" t="n"/>
      <c r="BB69" s="336" t="n"/>
      <c r="BC69" s="336" t="n"/>
      <c r="BD69" s="336" t="n"/>
      <c r="BE69" s="336" t="n"/>
      <c r="BF69" s="336" t="n"/>
      <c r="BG69" s="336" t="n"/>
      <c r="BH69" s="336" t="n"/>
      <c r="BI69" s="336" t="n"/>
      <c r="BJ69" s="336" t="n"/>
      <c r="BK69" s="336" t="n"/>
      <c r="BL69" s="336" t="n"/>
      <c r="BM69" s="336" t="n"/>
      <c r="BN69" s="336" t="n"/>
      <c r="BO69" s="336" t="n"/>
      <c r="BP69" s="336" t="n"/>
      <c r="BQ69" s="336" t="n"/>
      <c r="BR69" s="336" t="n"/>
      <c r="BS69" s="336" t="n"/>
      <c r="BT69" s="336" t="n"/>
      <c r="BU69" s="336" t="n"/>
      <c r="BV69" s="336" t="n"/>
      <c r="BW69" s="336" t="n"/>
      <c r="BX69" s="336" t="n"/>
      <c r="BY69" s="336" t="n"/>
      <c r="BZ69" s="336" t="n"/>
      <c r="CA69" s="336" t="n"/>
      <c r="CB69" s="336" t="n"/>
      <c r="CC69" s="336" t="n"/>
      <c r="CD69" s="336" t="n"/>
      <c r="CE69" s="336" t="n"/>
      <c r="CF69" s="361" t="n"/>
    </row>
    <row r="70" ht="18" customFormat="1" customHeight="1" s="538">
      <c r="A70" s="660" t="n"/>
      <c r="G70" s="361" t="n"/>
      <c r="H70" s="361" t="n"/>
      <c r="AF70" s="362" t="n"/>
      <c r="AG70" s="362" t="n"/>
      <c r="AH70" s="362" t="n"/>
      <c r="AI70" s="362" t="n"/>
      <c r="AJ70" s="362" t="n"/>
      <c r="AK70" s="362" t="n"/>
      <c r="AL70" s="362" t="n"/>
      <c r="AM70" s="362" t="n"/>
      <c r="AN70" s="362" t="n"/>
      <c r="AO70" s="362" t="n"/>
      <c r="AP70" s="362" t="n"/>
      <c r="AQ70" s="362" t="n"/>
      <c r="AR70" s="362" t="n"/>
      <c r="AS70" s="362" t="n"/>
      <c r="AT70" s="362" t="n"/>
      <c r="AU70" s="362" t="n"/>
      <c r="AV70" s="362" t="n"/>
      <c r="AW70" s="362" t="n"/>
      <c r="AX70" s="358" t="n"/>
      <c r="AY70" s="362" t="n"/>
      <c r="AZ70" s="358" t="n"/>
      <c r="BA70" s="363" t="n"/>
      <c r="BB70" s="362" t="n"/>
      <c r="BI70" s="364" t="n"/>
      <c r="BL70" s="364" t="n"/>
      <c r="BO70" s="364" t="n"/>
      <c r="BR70" s="364" t="n"/>
      <c r="BS70" s="364" t="n"/>
      <c r="BW70" s="364" t="n"/>
      <c r="CA70" s="364" t="n"/>
      <c r="CE70" s="364" t="n"/>
    </row>
    <row r="71" customFormat="1" s="538">
      <c r="A71" s="351" t="n"/>
      <c r="B71" s="351" t="n"/>
      <c r="C71" s="351" t="n"/>
      <c r="D71" s="351" t="n"/>
      <c r="E71" s="351" t="n"/>
      <c r="F71" s="351" t="n"/>
      <c r="G71" s="351" t="n"/>
      <c r="H71" s="351" t="n"/>
      <c r="I71" s="351" t="n"/>
      <c r="J71" s="351" t="n"/>
      <c r="K71" s="351" t="n"/>
      <c r="L71" s="351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  <c r="Y71" s="351" t="n"/>
      <c r="Z71" s="351" t="n"/>
      <c r="AA71" s="351" t="n"/>
      <c r="AB71" s="351" t="n"/>
      <c r="AC71" s="351" t="n"/>
      <c r="AD71" s="351" t="n"/>
      <c r="AE71" s="351" t="n"/>
      <c r="AF71" s="351" t="n"/>
      <c r="AG71" s="351" t="n"/>
      <c r="AH71" s="351" t="n"/>
      <c r="AI71" s="351" t="n"/>
      <c r="AJ71" s="351" t="n"/>
      <c r="AK71" s="351" t="n"/>
      <c r="AL71" s="351" t="n"/>
      <c r="AM71" s="351" t="n"/>
      <c r="AN71" s="351" t="n"/>
      <c r="AO71" s="351" t="n"/>
      <c r="AP71" s="351" t="n"/>
      <c r="AQ71" s="351" t="n"/>
      <c r="AR71" s="351" t="n"/>
      <c r="AS71" s="351" t="n"/>
      <c r="AT71" s="351" t="n"/>
      <c r="AU71" s="351" t="n"/>
      <c r="AV71" s="351" t="n"/>
      <c r="AW71" s="351" t="n"/>
      <c r="CF71" s="361" t="n"/>
    </row>
    <row r="72" customFormat="1" s="538">
      <c r="A72" s="351" t="n"/>
      <c r="B72" s="351" t="n"/>
      <c r="C72" s="351" t="n"/>
      <c r="D72" s="352" t="n"/>
      <c r="E72" s="365" t="n"/>
      <c r="F72" s="361" t="n"/>
      <c r="G72" s="361" t="n"/>
      <c r="H72" s="361" t="n"/>
    </row>
    <row r="73" customFormat="1" s="538">
      <c r="A73" s="351" t="n"/>
      <c r="B73" s="351" t="n"/>
      <c r="C73" s="351" t="n"/>
      <c r="D73" s="352" t="n"/>
      <c r="E73" s="365" t="n"/>
    </row>
    <row r="74" customFormat="1" s="538">
      <c r="A74" s="351" t="n"/>
      <c r="B74" s="351" t="n"/>
      <c r="C74" s="351" t="n"/>
      <c r="D74" s="352" t="n"/>
      <c r="E74" s="365" t="n"/>
    </row>
    <row r="75"/>
    <row r="76"/>
    <row r="77"/>
    <row r="78" ht="18" customHeight="1" s="191">
      <c r="AR78" s="200" t="n"/>
    </row>
  </sheetData>
  <mergeCells count="3">
    <mergeCell ref="A70:E70"/>
    <mergeCell ref="BX1:CA1"/>
    <mergeCell ref="CB1:CE1"/>
  </mergeCells>
  <conditionalFormatting sqref="P75:BC77 P78:AQ78 P79:AB1048576 AG79:AS1048576 AS78:BC78">
    <cfRule type="cellIs" priority="6" operator="greaterThan" dxfId="0">
      <formula>0</formula>
    </cfRule>
  </conditionalFormatting>
  <conditionalFormatting sqref="P6:AB9 P11:AB16 P18:AB23 P25:AB29 Q4:AB4 Q24:CE24 AG4:AZ4 AG6:AW9 AG11:AW16 AG18:AW23 AG25:AW29">
    <cfRule type="cellIs" priority="5" operator="greaterThan" dxfId="0">
      <formula>0</formula>
    </cfRule>
  </conditionalFormatting>
  <conditionalFormatting sqref="AC6:AF9 AC11:AF16 AC18:AF23 AC25:AF29">
    <cfRule type="cellIs" priority="4" operator="greaterThan" dxfId="0">
      <formula>0</formula>
    </cfRule>
  </conditionalFormatting>
  <conditionalFormatting sqref="P17:BI17">
    <cfRule type="cellIs" priority="3" operator="greaterThan" dxfId="0">
      <formula>0</formula>
    </cfRule>
  </conditionalFormatting>
  <conditionalFormatting sqref="Q5:BH5">
    <cfRule type="cellIs" priority="1" operator="greater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H78"/>
  <sheetViews>
    <sheetView zoomScale="85" zoomScaleNormal="85" workbookViewId="0">
      <pane xSplit="5" ySplit="2" topLeftCell="R21" activePane="bottomRight" state="frozen"/>
      <selection pane="topRight" activeCell="F1" sqref="F1"/>
      <selection pane="bottomLeft" activeCell="A3" sqref="A3"/>
      <selection pane="bottomRight" activeCell="T26" sqref="T26:Y26"/>
    </sheetView>
  </sheetViews>
  <sheetFormatPr baseColWidth="8" defaultColWidth="14.44140625" defaultRowHeight="14.4"/>
  <cols>
    <col width="5" customWidth="1" style="104" min="1" max="1"/>
    <col width="4.44140625" customWidth="1" style="104" min="2" max="2"/>
    <col width="3" customWidth="1" style="104" min="3" max="3"/>
    <col width="9" bestFit="1" customWidth="1" style="117" min="4" max="4"/>
    <col width="78.33203125" customWidth="1" style="125" min="5" max="5"/>
    <col width="11.33203125" customWidth="1" style="191" min="6" max="7"/>
    <col width="8.109375" bestFit="1" customWidth="1" style="191" min="8" max="8"/>
    <col width="11.33203125" customWidth="1" style="191" min="9" max="13"/>
    <col width="9.109375" customWidth="1" style="191" min="14" max="28"/>
    <col width="9.109375" customWidth="1" style="191" min="29" max="32"/>
    <col width="9.109375" customWidth="1" style="191" min="33" max="45"/>
    <col width="9.109375" customWidth="1" style="191" min="46" max="49"/>
    <col width="6.77734375" customWidth="1" style="191" min="50" max="50"/>
    <col width="6.88671875" customWidth="1" style="191" min="51" max="51"/>
    <col width="9.109375" customWidth="1" style="191" min="52" max="52"/>
    <col width="10.88671875" bestFit="1" customWidth="1" style="191" min="53" max="54"/>
    <col width="14.88671875" customWidth="1" style="191" min="55" max="55"/>
    <col width="9.109375" customWidth="1" style="191" min="56" max="61"/>
    <col width="11.5546875" customWidth="1" style="191" min="62" max="62"/>
    <col width="8.6640625" customWidth="1" style="191" min="63" max="70"/>
    <col width="10.33203125" customWidth="1" style="191" min="71" max="71"/>
    <col width="7.44140625" customWidth="1" style="191" min="72" max="72"/>
    <col width="8.6640625" customWidth="1" style="191" min="73" max="75"/>
    <col width="8.44140625" customWidth="1" style="191" min="76" max="76"/>
    <col width="8.6640625" customWidth="1" style="191" min="77" max="84"/>
  </cols>
  <sheetData>
    <row r="1" ht="15" customHeight="1" s="191" thickBot="1">
      <c r="A1" s="115" t="n"/>
      <c r="B1" s="115" t="n"/>
      <c r="C1" s="115" t="n"/>
      <c r="D1" s="115" t="n"/>
      <c r="E1" s="678" t="inlineStr">
        <is>
          <t>HARMONOGRAM SKOMPRESOWANY v1  |  01.01.2027 – 28.09.2029  |  Kompresja −40% per zadanie  |  Endava +5 etatów  |  AGH +4 etatów</t>
        </is>
      </c>
      <c r="F1" s="662" t="n"/>
      <c r="G1" s="662" t="n"/>
      <c r="H1" s="662" t="n"/>
      <c r="I1" s="85" t="inlineStr">
        <is>
          <t>ACT</t>
        </is>
      </c>
      <c r="J1" s="551">
        <f>V_Model_CB!M1+1</f>
        <v/>
      </c>
      <c r="K1" s="475" t="inlineStr">
        <is>
          <t>równolegle z Zadaniem VI</t>
        </is>
      </c>
      <c r="L1" s="475" t="n"/>
      <c r="M1" s="551">
        <f>MAX(M3:M9999)</f>
        <v/>
      </c>
      <c r="N1" s="679">
        <f>SUM(N$4:N$999)</f>
        <v/>
      </c>
      <c r="O1" s="686">
        <f>SUM(O$4:O$999)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AX1" s="373">
        <f>#REF!</f>
        <v/>
      </c>
      <c r="AY1" s="374" t="n"/>
      <c r="AZ1" s="374" t="n"/>
      <c r="BA1" s="374" t="n"/>
      <c r="BB1" s="375" t="n"/>
      <c r="BC1" s="369">
        <f>#REF!</f>
        <v/>
      </c>
      <c r="BD1" s="370" t="n"/>
      <c r="BE1" s="369" t="n"/>
      <c r="BF1" s="370" t="n"/>
      <c r="BG1" s="369" t="n"/>
      <c r="BH1" s="370" t="n"/>
      <c r="BI1" s="371">
        <f>#REF!</f>
        <v/>
      </c>
      <c r="BJ1" s="371" t="n"/>
      <c r="BK1" s="371" t="n"/>
      <c r="BL1" s="371" t="n"/>
      <c r="BM1" s="372" t="n"/>
      <c r="BN1" s="372" t="n"/>
      <c r="BO1" s="372" t="n"/>
      <c r="BP1" s="372" t="n"/>
      <c r="BQ1" s="372" t="n"/>
      <c r="BR1" s="372" t="n"/>
      <c r="BS1" s="372" t="n"/>
      <c r="BT1" s="372" t="n"/>
      <c r="BU1" s="372" t="n"/>
      <c r="BV1" s="372" t="n"/>
      <c r="BW1" s="372" t="n"/>
      <c r="BX1" s="687">
        <f>#REF!</f>
        <v/>
      </c>
      <c r="BY1" s="688" t="n"/>
      <c r="BZ1" s="688" t="n"/>
      <c r="CA1" s="689" t="n"/>
      <c r="CB1" s="687">
        <f>#REF!</f>
        <v/>
      </c>
      <c r="CC1" s="688" t="n"/>
      <c r="CD1" s="688" t="n"/>
      <c r="CE1" s="689" t="n"/>
    </row>
    <row r="2" ht="72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380">
        <f>Karta!BH2</f>
        <v/>
      </c>
      <c r="AY2" s="380">
        <f>Karta!BI2</f>
        <v/>
      </c>
      <c r="AZ2" s="380">
        <f>Karta!BJ2</f>
        <v/>
      </c>
      <c r="BA2" s="380">
        <f>Karta!BK2</f>
        <v/>
      </c>
      <c r="BB2" s="380">
        <f>Karta!BL2</f>
        <v/>
      </c>
      <c r="BC2" s="6">
        <f>Karta!BM2</f>
        <v/>
      </c>
      <c r="BD2" s="6">
        <f>Karta!BN2</f>
        <v/>
      </c>
      <c r="BE2" s="6">
        <f>Karta!BO2</f>
        <v/>
      </c>
      <c r="BF2" s="6">
        <f>Karta!BP2</f>
        <v/>
      </c>
      <c r="BG2" s="6">
        <f>Karta!BQ2</f>
        <v/>
      </c>
      <c r="BH2" s="6">
        <f>Karta!BR2</f>
        <v/>
      </c>
      <c r="BI2" s="6">
        <f>Karta!BS2</f>
        <v/>
      </c>
      <c r="BJ2" s="6">
        <f>Karta!BT2</f>
        <v/>
      </c>
      <c r="BK2" s="6">
        <f>Karta!BU2</f>
        <v/>
      </c>
      <c r="BL2" s="6">
        <f>Karta!BV2</f>
        <v/>
      </c>
      <c r="BM2" s="6">
        <f>Karta!BW2</f>
        <v/>
      </c>
      <c r="BN2" s="6">
        <f>Karta!BX2</f>
        <v/>
      </c>
      <c r="BO2" s="6">
        <f>Karta!BY2</f>
        <v/>
      </c>
      <c r="BP2" s="6">
        <f>Karta!BZ2</f>
        <v/>
      </c>
      <c r="BQ2" s="6">
        <f>Karta!CA2</f>
        <v/>
      </c>
      <c r="BR2" s="6">
        <f>Karta!CB2</f>
        <v/>
      </c>
      <c r="BS2" s="6">
        <f>Karta!CC2</f>
        <v/>
      </c>
      <c r="BT2" s="6">
        <f>Karta!CD2</f>
        <v/>
      </c>
      <c r="BU2" s="6">
        <f>Karta!CE2</f>
        <v/>
      </c>
      <c r="BV2" s="6">
        <f>Karta!CF2</f>
        <v/>
      </c>
      <c r="BW2" s="6">
        <f>Karta!CG2</f>
        <v/>
      </c>
      <c r="BX2" s="6">
        <f>Karta!CH2</f>
        <v/>
      </c>
      <c r="BY2" s="6">
        <f>Karta!CI2</f>
        <v/>
      </c>
      <c r="BZ2" s="6">
        <f>Karta!CJ2</f>
        <v/>
      </c>
      <c r="CA2" s="6">
        <f>Karta!CK2</f>
        <v/>
      </c>
      <c r="CB2" s="6">
        <f>Karta!CL2</f>
        <v/>
      </c>
      <c r="CC2" s="6">
        <f>Karta!CM2</f>
        <v/>
      </c>
      <c r="CD2" s="6">
        <f>Karta!CN2</f>
        <v/>
      </c>
      <c r="CE2" s="6">
        <f>Karta!CO2</f>
        <v/>
      </c>
      <c r="CF2" s="6">
        <f>Karta!CP2</f>
        <v/>
      </c>
    </row>
    <row r="3" ht="15.6" customFormat="1" customHeight="1" s="141">
      <c r="A3" s="110" t="inlineStr">
        <is>
          <t>.z08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202" t="n"/>
      <c r="G3" s="202" t="n"/>
      <c r="H3" s="203" t="n"/>
      <c r="I3" s="203" t="n"/>
      <c r="J3" s="172" t="n"/>
      <c r="K3" s="172" t="n"/>
      <c r="L3" s="172" t="n"/>
      <c r="M3" s="172" t="n"/>
      <c r="N3" s="172" t="n"/>
      <c r="P3" s="204" t="n"/>
      <c r="Q3" s="204" t="n"/>
      <c r="R3" s="204" t="n"/>
      <c r="S3" s="204" t="n"/>
      <c r="T3" s="204" t="n"/>
      <c r="U3" s="204" t="n"/>
      <c r="V3" s="204" t="n"/>
      <c r="W3" s="204" t="n"/>
      <c r="X3" s="204" t="n"/>
      <c r="Y3" s="205" t="n"/>
      <c r="Z3" s="205" t="n"/>
      <c r="AA3" s="205" t="n"/>
      <c r="AB3" s="205" t="n"/>
      <c r="AC3" s="303" t="n"/>
      <c r="AD3" s="303" t="n"/>
      <c r="AE3" s="303" t="n"/>
      <c r="AF3" s="303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5" t="n"/>
      <c r="AQ3" s="205" t="n"/>
      <c r="AR3" s="205" t="n"/>
      <c r="AS3" s="245" t="n"/>
      <c r="AT3" s="303" t="n"/>
      <c r="AU3" s="303" t="n"/>
      <c r="AV3" s="303" t="n"/>
      <c r="AW3" s="303" t="n"/>
      <c r="AX3" s="431" t="n"/>
      <c r="AY3" s="431" t="n"/>
      <c r="AZ3" s="432" t="n"/>
      <c r="BA3" s="433" t="n"/>
      <c r="BB3" s="434" t="n"/>
      <c r="BC3" s="4" t="n"/>
      <c r="BD3" s="3" t="n"/>
      <c r="BE3" s="3" t="n"/>
      <c r="BF3" s="4" t="n"/>
      <c r="BG3" s="4" t="n"/>
      <c r="BH3" s="3" t="n"/>
      <c r="BI3" s="174" t="n"/>
      <c r="BJ3" s="4" t="n"/>
      <c r="BK3" s="209" t="n"/>
      <c r="BL3" s="483" t="n"/>
      <c r="BM3" s="210" t="n"/>
      <c r="BN3" s="209" t="n"/>
      <c r="BO3" s="483" t="n"/>
      <c r="BP3" s="210" t="n"/>
      <c r="BQ3" s="209" t="n"/>
      <c r="BR3" s="483" t="n"/>
      <c r="BS3" s="483" t="n"/>
      <c r="BT3" s="210" t="n"/>
      <c r="BU3" s="4" t="n"/>
      <c r="BV3" s="4" t="n"/>
      <c r="BW3" s="483" t="n"/>
      <c r="BX3" s="4" t="n"/>
      <c r="BY3" s="4" t="n"/>
      <c r="BZ3" s="4" t="n"/>
      <c r="CA3" s="483" t="n"/>
      <c r="CB3" s="4" t="n"/>
      <c r="CC3" s="4" t="n"/>
      <c r="CD3" s="4" t="n"/>
      <c r="CE3" s="483" t="n"/>
      <c r="CF3" s="659" t="n"/>
    </row>
    <row r="4" ht="18" customHeight="1" s="191">
      <c r="A4" s="441" t="n">
        <v>1</v>
      </c>
      <c r="B4" s="441" t="inlineStr">
        <is>
          <t>a</t>
        </is>
      </c>
      <c r="C4" s="105" t="n">
        <v>-1</v>
      </c>
      <c r="D4" s="116">
        <f>CONCATENATE(A$3,"_",A4,"_",B4,"_",C4)</f>
        <v/>
      </c>
      <c r="E4" s="410" t="inlineStr">
        <is>
          <t>1.Opracowanie koncepcji standaryzowanej bazy danych wejściowych dla MWS</t>
        </is>
      </c>
      <c r="F4" s="148" t="n"/>
      <c r="G4" s="148" t="n"/>
      <c r="H4" s="148" t="n"/>
      <c r="I4" s="148" t="n"/>
      <c r="J4" s="475">
        <f>J1</f>
        <v/>
      </c>
      <c r="K4" s="681">
        <f>VLOOKUP(J4,Kalendarz!B:E,4,FALSE)</f>
        <v/>
      </c>
      <c r="L4" s="681">
        <f>K4+N4</f>
        <v/>
      </c>
      <c r="M4" s="528">
        <f>J4+N4-1</f>
        <v/>
      </c>
      <c r="N4" s="474">
        <f>ROUND(MAX(AG4:AO4)/Listy!$U$2,0)</f>
        <v/>
      </c>
      <c r="O4" s="148" t="n"/>
      <c r="P4" s="148" t="n"/>
      <c r="Q4" s="148" t="n"/>
      <c r="R4" s="148" t="n"/>
      <c r="S4" s="148" t="n"/>
      <c r="T4" s="148" t="n"/>
      <c r="U4" s="148" t="n"/>
      <c r="V4" s="190" t="n"/>
      <c r="W4" s="148" t="n"/>
      <c r="X4" s="148" t="n"/>
      <c r="Y4" s="148" t="n"/>
      <c r="Z4" s="148" t="n"/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8" t="n"/>
      <c r="AL4" s="148" t="n"/>
      <c r="AM4" s="190" t="n"/>
      <c r="AN4" s="148" t="n"/>
      <c r="AO4" s="148" t="n"/>
      <c r="AP4" s="148" t="n"/>
      <c r="AQ4" s="148" t="n"/>
      <c r="AR4" s="148" t="n"/>
      <c r="AS4" s="148" t="n"/>
      <c r="AT4" s="148" t="n"/>
      <c r="AU4" s="148" t="n"/>
      <c r="AV4" s="148" t="n"/>
      <c r="AW4" s="148" t="n"/>
      <c r="AX4" s="148" t="n"/>
      <c r="AY4" s="148" t="n"/>
      <c r="AZ4" s="148" t="n"/>
      <c r="BA4" s="148" t="n"/>
      <c r="BB4" s="148" t="n"/>
      <c r="BC4" s="148" t="n"/>
      <c r="BD4" s="148" t="n"/>
      <c r="BE4" s="148" t="n"/>
      <c r="BF4" s="148" t="n"/>
      <c r="BG4" s="148" t="n"/>
      <c r="BH4" s="148" t="n"/>
      <c r="BI4" s="148" t="n"/>
      <c r="BJ4" s="148" t="n"/>
      <c r="BK4" s="148" t="n"/>
      <c r="BL4" s="148" t="n"/>
      <c r="BM4" s="148" t="n"/>
      <c r="BN4" s="148" t="n"/>
      <c r="BO4" s="148" t="n"/>
      <c r="BP4" s="148" t="n"/>
      <c r="BQ4" s="148" t="n"/>
      <c r="BR4" s="148" t="n"/>
      <c r="BS4" s="148" t="n"/>
      <c r="BT4" s="148" t="n"/>
      <c r="BU4" s="148" t="n"/>
      <c r="BV4" s="148" t="n"/>
      <c r="BW4" s="148" t="n"/>
      <c r="BX4" s="148" t="n"/>
      <c r="BY4" s="148" t="n"/>
      <c r="BZ4" s="148" t="n"/>
      <c r="CA4" s="148" t="n"/>
      <c r="CB4" s="148" t="n"/>
      <c r="CC4" s="148" t="n"/>
      <c r="CD4" s="148" t="n"/>
      <c r="CE4" s="148" t="n"/>
      <c r="CF4" s="148" t="n"/>
      <c r="CG4" s="148" t="n"/>
      <c r="CH4" s="148" t="n"/>
    </row>
    <row r="5" ht="15.6" customHeight="1" s="191">
      <c r="A5" s="441" t="n">
        <v>1</v>
      </c>
      <c r="B5" s="441" t="inlineStr">
        <is>
          <t>a</t>
        </is>
      </c>
      <c r="C5" s="105" t="n">
        <v>0</v>
      </c>
      <c r="D5" s="116">
        <f>CONCATENATE(A$3,"_",A5,"_",B5,"_",C5)</f>
        <v/>
      </c>
      <c r="E5" s="412" t="inlineStr">
        <is>
          <t>Projektowanie struktury bazy danych, która zapewni jej wydajność, spójność i skalowalność</t>
        </is>
      </c>
      <c r="F5" s="528" t="n"/>
      <c r="G5" s="528" t="n"/>
      <c r="H5" s="528" t="n"/>
      <c r="I5" s="528" t="n"/>
      <c r="J5" s="91">
        <f>M4+1</f>
        <v/>
      </c>
      <c r="K5" s="681">
        <f>VLOOKUP(J5,Kalendarz!B:E,4,FALSE)</f>
        <v/>
      </c>
      <c r="L5" s="681">
        <f>K5+N5</f>
        <v/>
      </c>
      <c r="M5" s="528">
        <f>J5+N5-1</f>
        <v/>
      </c>
      <c r="N5" s="474">
        <f>ROUND(MAX(AG5:AO5)/Listy!$U$2,0)</f>
        <v/>
      </c>
      <c r="O5" s="444" t="n"/>
      <c r="P5" s="444" t="n"/>
      <c r="Q5" s="528" t="n"/>
      <c r="R5" s="528" t="n"/>
      <c r="S5" s="528" t="n"/>
      <c r="T5" s="528" t="n"/>
      <c r="U5" s="528" t="n"/>
      <c r="V5" s="528" t="n"/>
      <c r="W5" s="528" t="n"/>
      <c r="X5" s="528" t="n"/>
      <c r="Y5" s="528" t="n"/>
      <c r="Z5" s="528" t="n"/>
      <c r="AA5" s="528" t="n"/>
      <c r="AB5" s="528" t="n"/>
      <c r="AC5" s="528" t="n"/>
      <c r="AD5" s="528" t="n"/>
      <c r="AE5" s="528" t="n"/>
      <c r="AF5" s="528" t="n"/>
      <c r="AG5" s="528" t="n"/>
      <c r="AH5" s="528" t="n"/>
      <c r="AI5" s="528" t="n"/>
      <c r="AJ5" s="528" t="n"/>
      <c r="AK5" s="528" t="n"/>
      <c r="AL5" s="528" t="n"/>
      <c r="AM5" s="528" t="n"/>
      <c r="AN5" s="528" t="n"/>
      <c r="AO5" s="528" t="n"/>
      <c r="AP5" s="528" t="n"/>
      <c r="AQ5" s="528" t="n"/>
      <c r="AR5" s="528" t="n"/>
      <c r="AS5" s="528" t="n"/>
      <c r="AT5" s="528" t="n"/>
      <c r="AU5" s="528" t="n"/>
      <c r="AV5" s="528" t="n"/>
      <c r="AW5" s="528" t="n"/>
      <c r="AX5" s="528" t="n"/>
      <c r="AY5" s="528" t="n"/>
      <c r="AZ5" s="528" t="n"/>
      <c r="BA5" s="528" t="n"/>
      <c r="BB5" s="528" t="n"/>
      <c r="BC5" s="528" t="n"/>
      <c r="BD5" s="528" t="n"/>
      <c r="BE5" s="528" t="n"/>
      <c r="BF5" s="528" t="n"/>
      <c r="BG5" s="528" t="n"/>
      <c r="BH5" s="528" t="n"/>
      <c r="BI5" s="528" t="n"/>
      <c r="BJ5" s="528" t="n"/>
      <c r="BK5" s="528" t="n"/>
      <c r="BL5" s="528" t="n"/>
      <c r="BM5" s="528" t="n"/>
      <c r="BN5" s="528" t="n"/>
      <c r="BO5" s="528" t="n"/>
      <c r="BP5" s="528" t="n"/>
      <c r="BQ5" s="528" t="n"/>
      <c r="BR5" s="528" t="n"/>
      <c r="BS5" s="528" t="n"/>
      <c r="BT5" s="528" t="n"/>
      <c r="BU5" s="528" t="n"/>
      <c r="BV5" s="528" t="n"/>
      <c r="BW5" s="528" t="n"/>
      <c r="BX5" s="528" t="n"/>
      <c r="BY5" s="528" t="n"/>
      <c r="BZ5" s="528" t="n"/>
      <c r="CA5" s="528" t="n"/>
      <c r="CB5" s="528" t="n"/>
      <c r="CC5" s="528" t="n"/>
      <c r="CD5" s="528" t="n"/>
      <c r="CE5" s="528" t="n"/>
      <c r="CF5" s="528" t="n"/>
      <c r="CG5" s="528" t="n"/>
      <c r="CH5" s="528" t="n"/>
    </row>
    <row r="6" ht="27.6" customHeight="1" s="191">
      <c r="A6" s="441" t="n">
        <v>1</v>
      </c>
      <c r="B6" s="441" t="inlineStr">
        <is>
          <t>a</t>
        </is>
      </c>
      <c r="C6" s="105" t="n">
        <v>1</v>
      </c>
      <c r="D6" s="116">
        <f>CONCATENATE(A$3,"_",A6,"_",B6,"_",C6)</f>
        <v/>
      </c>
      <c r="E6" s="422" t="inlineStr">
        <is>
          <t>Opracowanie logicznego i fizycznego modelu bazy danych, uwzględniającego wszystkie kluczowe ele-menty (np. tabele, relacje, indeksy i klucze)</t>
        </is>
      </c>
      <c r="F6" s="528">
        <f>IFERROR(VLOOKUP($I6,Listy!$A:$H,2,FALSE),"XXX")</f>
        <v/>
      </c>
      <c r="G6" s="528">
        <f>IFERROR(VLOOKUP($I6,Listy!$A:$H,3,FALSE),"XXX")</f>
        <v/>
      </c>
      <c r="H6" s="416" t="n">
        <v>1</v>
      </c>
      <c r="I6" s="89" t="inlineStr">
        <is>
          <t>.a02</t>
        </is>
      </c>
      <c r="J6" s="91">
        <f>M5+1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74" t="n">
        <v>1</v>
      </c>
      <c r="O6" s="479" t="n">
        <v>160</v>
      </c>
      <c r="P6" s="187" t="n">
        <v>0</v>
      </c>
      <c r="Q6" s="187" t="n">
        <v>0</v>
      </c>
      <c r="R6" s="187" t="n">
        <v>0</v>
      </c>
      <c r="S6" s="187" t="n">
        <v>0</v>
      </c>
      <c r="T6" s="187" t="n">
        <v>0.2</v>
      </c>
      <c r="U6" s="187" t="n">
        <v>0.2</v>
      </c>
      <c r="V6" s="187" t="n">
        <v>0.2</v>
      </c>
      <c r="W6" s="187" t="n">
        <v>0.2</v>
      </c>
      <c r="X6" s="187" t="n">
        <v>0.2</v>
      </c>
      <c r="Y6" s="292" t="n">
        <v>0</v>
      </c>
      <c r="Z6" s="292" t="n">
        <v>0</v>
      </c>
      <c r="AA6" s="292" t="n">
        <v>0</v>
      </c>
      <c r="AB6" s="292" t="n">
        <v>0</v>
      </c>
      <c r="AC6" s="305" t="n"/>
      <c r="AD6" s="305" t="n"/>
      <c r="AE6" s="305" t="n"/>
      <c r="AF6" s="305" t="n"/>
      <c r="AG6" s="192">
        <f>ROUND($O6*P6,0)</f>
        <v/>
      </c>
      <c r="AH6" s="192">
        <f>ROUND($O6*Q6,0)</f>
        <v/>
      </c>
      <c r="AI6" s="192">
        <f>ROUND($O6*R6,0)</f>
        <v/>
      </c>
      <c r="AJ6" s="192">
        <f>ROUND($O6*S6,0)</f>
        <v/>
      </c>
      <c r="AK6" s="192">
        <f>ROUND($O6*T6,0)</f>
        <v/>
      </c>
      <c r="AL6" s="192">
        <f>ROUND($O6*U6,0)</f>
        <v/>
      </c>
      <c r="AM6" s="192">
        <f>ROUND($O6*V6,0)</f>
        <v/>
      </c>
      <c r="AN6" s="192">
        <f>ROUND($O6*W6,0)</f>
        <v/>
      </c>
      <c r="AO6" s="192">
        <f>ROUND($O6*X6,0)</f>
        <v/>
      </c>
      <c r="AP6" s="193">
        <f>ROUND($O6*Y6,0)</f>
        <v/>
      </c>
      <c r="AQ6" s="193">
        <f>ROUND($O6*Z6,0)</f>
        <v/>
      </c>
      <c r="AR6" s="193">
        <f>ROUND($O6*AA6,0)</f>
        <v/>
      </c>
      <c r="AS6" s="193">
        <f>ROUND($O6*AB6,0)</f>
        <v/>
      </c>
      <c r="AT6" s="306">
        <f>ROUND($O6*AC6,0)</f>
        <v/>
      </c>
      <c r="AU6" s="306">
        <f>ROUND($O6*AD6,0)</f>
        <v/>
      </c>
      <c r="AV6" s="306">
        <f>ROUND($O6*AE6,0)</f>
        <v/>
      </c>
      <c r="AW6" s="306">
        <f>ROUND($O6*AF6,0)</f>
        <v/>
      </c>
      <c r="AX6" s="236">
        <f>SUM(AG6:AO6)</f>
        <v/>
      </c>
      <c r="AY6" s="528">
        <f>AX6/160</f>
        <v/>
      </c>
      <c r="AZ6" s="87">
        <f>VLOOKUP(I6,Listy!$A$1:$H$9,6,FALSE)</f>
        <v/>
      </c>
      <c r="BA6" s="682">
        <f>AY6*AZ6</f>
        <v/>
      </c>
      <c r="BB6" s="683">
        <f>AY6*BA6</f>
        <v/>
      </c>
      <c r="BC6" s="528" t="n"/>
      <c r="BD6" s="528" t="n"/>
      <c r="BE6" s="528" t="n"/>
      <c r="BF6" s="528" t="n"/>
      <c r="BG6" s="528" t="n"/>
      <c r="BI6" s="528" t="n"/>
      <c r="BJ6" s="528" t="n"/>
      <c r="BL6" s="528" t="n"/>
      <c r="BM6" s="528" t="n"/>
      <c r="BO6" s="528" t="n"/>
      <c r="BP6" s="528" t="n"/>
      <c r="BS6" s="528" t="n"/>
      <c r="BT6" s="528" t="n"/>
      <c r="BU6" s="528" t="n"/>
      <c r="BW6" s="528" t="n"/>
      <c r="BX6" s="528" t="n"/>
      <c r="BY6" s="528" t="n"/>
      <c r="CA6" s="528" t="n"/>
      <c r="CB6" s="528" t="n"/>
      <c r="CC6" s="528" t="n"/>
    </row>
    <row r="7" ht="27.6" customHeight="1" s="191">
      <c r="A7" s="441" t="n">
        <v>1</v>
      </c>
      <c r="B7" s="441" t="inlineStr">
        <is>
          <t>a</t>
        </is>
      </c>
      <c r="C7" s="105" t="n">
        <v>1</v>
      </c>
      <c r="D7" s="116">
        <f>CONCATENATE(A$3,"_",A7,"_",B7,"_",C7)</f>
        <v/>
      </c>
      <c r="E7" s="422" t="inlineStr">
        <is>
          <t>Opracowanie architektury systemu, zapewniającą obsługę rosnącej ilości danych celem szybkiego i efektywnego ich przetwarzania</t>
        </is>
      </c>
      <c r="F7" s="528">
        <f>IFERROR(VLOOKUP($I7,Listy!$A:$H,2,FALSE),"XXX")</f>
        <v/>
      </c>
      <c r="G7" s="528">
        <f>IFERROR(VLOOKUP($I7,Listy!$A:$H,3,FALSE),"XXX")</f>
        <v/>
      </c>
      <c r="H7" s="444" t="n">
        <v>1</v>
      </c>
      <c r="I7" s="89" t="inlineStr">
        <is>
          <t>.b03</t>
        </is>
      </c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74">
        <f>ROUND(MAX(AG7:AO7)/Listy!$U$2,0)</f>
        <v/>
      </c>
      <c r="O7" s="479" t="n">
        <v>20</v>
      </c>
      <c r="P7" s="187" t="n">
        <v>0</v>
      </c>
      <c r="Q7" s="187" t="n">
        <v>0</v>
      </c>
      <c r="R7" s="187" t="n">
        <v>0</v>
      </c>
      <c r="S7" s="187" t="n">
        <v>0</v>
      </c>
      <c r="T7" s="187" t="n">
        <v>0.2</v>
      </c>
      <c r="U7" s="187" t="n">
        <v>0.2</v>
      </c>
      <c r="V7" s="187" t="n">
        <v>0.2</v>
      </c>
      <c r="W7" s="187" t="n">
        <v>0.2</v>
      </c>
      <c r="X7" s="187" t="n">
        <v>0.2</v>
      </c>
      <c r="Y7" s="292" t="n">
        <v>0</v>
      </c>
      <c r="Z7" s="292" t="n">
        <v>0</v>
      </c>
      <c r="AA7" s="292" t="n">
        <v>0</v>
      </c>
      <c r="AB7" s="292" t="n">
        <v>0</v>
      </c>
      <c r="AC7" s="305" t="n"/>
      <c r="AD7" s="305" t="n"/>
      <c r="AE7" s="305" t="n"/>
      <c r="AF7" s="305" t="n"/>
      <c r="AG7" s="192">
        <f>ROUND($O7*P7,0)</f>
        <v/>
      </c>
      <c r="AH7" s="192">
        <f>ROUND($O7*Q7,0)</f>
        <v/>
      </c>
      <c r="AI7" s="192">
        <f>ROUND($O7*R7,0)</f>
        <v/>
      </c>
      <c r="AJ7" s="192">
        <f>ROUND($O7*S7,0)</f>
        <v/>
      </c>
      <c r="AK7" s="192">
        <f>ROUND($O7*T7,0)</f>
        <v/>
      </c>
      <c r="AL7" s="192">
        <f>ROUND($O7*U7,0)</f>
        <v/>
      </c>
      <c r="AM7" s="192">
        <f>ROUND($O7*V7,0)</f>
        <v/>
      </c>
      <c r="AN7" s="192">
        <f>ROUND($O7*W7,0)</f>
        <v/>
      </c>
      <c r="AO7" s="192">
        <f>ROUND($O7*X7,0)</f>
        <v/>
      </c>
      <c r="AP7" s="193">
        <f>ROUND($O7*Y7,0)</f>
        <v/>
      </c>
      <c r="AQ7" s="193">
        <f>ROUND($O7*Z7,0)</f>
        <v/>
      </c>
      <c r="AR7" s="193">
        <f>ROUND($O7*AA7,0)</f>
        <v/>
      </c>
      <c r="AS7" s="193">
        <f>ROUND($O7*AB7,0)</f>
        <v/>
      </c>
      <c r="AT7" s="306">
        <f>ROUND($O7*AC7,0)</f>
        <v/>
      </c>
      <c r="AU7" s="306">
        <f>ROUND($O7*AD7,0)</f>
        <v/>
      </c>
      <c r="AV7" s="306">
        <f>ROUND($O7*AE7,0)</f>
        <v/>
      </c>
      <c r="AW7" s="306">
        <f>ROUND($O7*AF7,0)</f>
        <v/>
      </c>
      <c r="AX7" s="236">
        <f>SUM(AG7:AO7)</f>
        <v/>
      </c>
      <c r="AY7" s="528">
        <f>AX7/160</f>
        <v/>
      </c>
      <c r="AZ7" s="87">
        <f>VLOOKUP(I7,Listy!$A$1:$H$9,6,FALSE)</f>
        <v/>
      </c>
      <c r="BA7" s="682">
        <f>AY7*AZ7</f>
        <v/>
      </c>
      <c r="BB7" s="683">
        <f>AY7*BA7</f>
        <v/>
      </c>
      <c r="BC7" s="528" t="n"/>
      <c r="BD7" s="528" t="n"/>
      <c r="BE7" s="528" t="n"/>
      <c r="BF7" s="528" t="n"/>
      <c r="BG7" s="528" t="n"/>
      <c r="BH7" s="528" t="n"/>
      <c r="BI7" s="21">
        <f>BG7*BH7</f>
        <v/>
      </c>
      <c r="BJ7" s="528" t="n"/>
      <c r="BK7" s="528" t="n"/>
      <c r="BL7" s="528" t="n"/>
      <c r="BM7" s="528" t="n"/>
      <c r="BN7" s="528" t="n"/>
      <c r="BO7" s="528" t="n"/>
      <c r="BP7" s="528" t="n"/>
      <c r="BQ7" s="528" t="n"/>
      <c r="BR7" s="528" t="n"/>
      <c r="BS7" s="528" t="n"/>
      <c r="BT7" s="528" t="n"/>
      <c r="BU7" s="528" t="n"/>
      <c r="BV7" s="528" t="n"/>
      <c r="BW7" s="21">
        <f>BU7*BV7</f>
        <v/>
      </c>
      <c r="BX7" s="528" t="n"/>
      <c r="BY7" s="528" t="n"/>
      <c r="BZ7" s="528" t="n"/>
      <c r="CA7" s="21">
        <f>BY7*BZ7</f>
        <v/>
      </c>
      <c r="CB7" s="528" t="n"/>
      <c r="CC7" s="528" t="n"/>
      <c r="CD7" s="528" t="n"/>
      <c r="CE7" s="21">
        <f>CC7*CD7</f>
        <v/>
      </c>
    </row>
    <row r="8" ht="27.6" customHeight="1" s="191">
      <c r="A8" s="441" t="n">
        <v>1</v>
      </c>
      <c r="B8" s="441" t="inlineStr">
        <is>
          <t>a</t>
        </is>
      </c>
      <c r="C8" s="105" t="n">
        <v>1</v>
      </c>
      <c r="D8" s="116">
        <f>CONCATENATE(A$3,"_",A8,"_",B8,"_",C8)</f>
        <v/>
      </c>
      <c r="E8" s="422" t="inlineStr">
        <is>
          <t>Opracowanie mechanizmów do administrowania, eksploatacji i monitorowania bazy danych oraz współ-pracy z modułami planowanej platformy ICT</t>
        </is>
      </c>
      <c r="F8" s="528">
        <f>IFERROR(VLOOKUP($I8,Listy!$A:$H,2,FALSE),"XXX")</f>
        <v/>
      </c>
      <c r="G8" s="528">
        <f>IFERROR(VLOOKUP($I8,Listy!$A:$H,3,FALSE),"XXX")</f>
        <v/>
      </c>
      <c r="H8" s="444" t="n">
        <v>1</v>
      </c>
      <c r="I8" s="89" t="inlineStr">
        <is>
          <t>.a01</t>
        </is>
      </c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74">
        <f>ROUND(MAX(AG8:AO8)/Listy!$U$2,0)</f>
        <v/>
      </c>
      <c r="O8" s="479" t="n">
        <v>20</v>
      </c>
      <c r="P8" s="187" t="n">
        <v>0</v>
      </c>
      <c r="Q8" s="187" t="n">
        <v>0</v>
      </c>
      <c r="R8" s="187" t="n">
        <v>0</v>
      </c>
      <c r="S8" s="187" t="n">
        <v>0</v>
      </c>
      <c r="T8" s="187" t="n">
        <v>0.2</v>
      </c>
      <c r="U8" s="187" t="n">
        <v>0.2</v>
      </c>
      <c r="V8" s="187" t="n">
        <v>0.2</v>
      </c>
      <c r="W8" s="187" t="n">
        <v>0.2</v>
      </c>
      <c r="X8" s="187" t="n">
        <v>0.2</v>
      </c>
      <c r="Y8" s="292" t="n">
        <v>0</v>
      </c>
      <c r="Z8" s="292" t="n">
        <v>0</v>
      </c>
      <c r="AA8" s="292" t="n">
        <v>0</v>
      </c>
      <c r="AB8" s="292" t="n">
        <v>0</v>
      </c>
      <c r="AC8" s="305" t="n"/>
      <c r="AD8" s="305" t="n"/>
      <c r="AE8" s="305" t="n"/>
      <c r="AF8" s="305" t="n"/>
      <c r="AG8" s="192">
        <f>ROUND($O8*P8,0)</f>
        <v/>
      </c>
      <c r="AH8" s="192">
        <f>ROUND($O8*Q8,0)</f>
        <v/>
      </c>
      <c r="AI8" s="192">
        <f>ROUND($O8*R8,0)</f>
        <v/>
      </c>
      <c r="AJ8" s="192">
        <f>ROUND($O8*S8,0)</f>
        <v/>
      </c>
      <c r="AK8" s="192">
        <f>ROUND($O8*T8,0)</f>
        <v/>
      </c>
      <c r="AL8" s="192">
        <f>ROUND($O8*U8,0)</f>
        <v/>
      </c>
      <c r="AM8" s="192">
        <f>ROUND($O8*V8,0)</f>
        <v/>
      </c>
      <c r="AN8" s="192">
        <f>ROUND($O8*W8,0)</f>
        <v/>
      </c>
      <c r="AO8" s="192">
        <f>ROUND($O8*X8,0)</f>
        <v/>
      </c>
      <c r="AP8" s="193">
        <f>ROUND($O8*Y8,0)</f>
        <v/>
      </c>
      <c r="AQ8" s="193">
        <f>ROUND($O8*Z8,0)</f>
        <v/>
      </c>
      <c r="AR8" s="193">
        <f>ROUND($O8*AA8,0)</f>
        <v/>
      </c>
      <c r="AS8" s="193">
        <f>ROUND($O8*AB8,0)</f>
        <v/>
      </c>
      <c r="AT8" s="306">
        <f>ROUND($O8*AC8,0)</f>
        <v/>
      </c>
      <c r="AU8" s="306">
        <f>ROUND($O8*AD8,0)</f>
        <v/>
      </c>
      <c r="AV8" s="306">
        <f>ROUND($O8*AE8,0)</f>
        <v/>
      </c>
      <c r="AW8" s="306">
        <f>ROUND($O8*AF8,0)</f>
        <v/>
      </c>
      <c r="AX8" s="236">
        <f>SUM(AG8:AO8)</f>
        <v/>
      </c>
      <c r="AY8" s="528">
        <f>AX8/160</f>
        <v/>
      </c>
      <c r="AZ8" s="87">
        <f>VLOOKUP(I8,Listy!$A$1:$H$9,6,FALSE)</f>
        <v/>
      </c>
      <c r="BA8" s="682">
        <f>AY8*AZ8</f>
        <v/>
      </c>
      <c r="BB8" s="683">
        <f>AY8*BA8</f>
        <v/>
      </c>
      <c r="BC8" s="528" t="n"/>
      <c r="BD8" s="528" t="n"/>
      <c r="BE8" s="528" t="n"/>
      <c r="BF8" s="528" t="n"/>
      <c r="BG8" s="528" t="n"/>
      <c r="BH8" s="528" t="n"/>
      <c r="BI8" s="21">
        <f>BG8*BH8</f>
        <v/>
      </c>
      <c r="BJ8" s="528" t="n"/>
      <c r="BK8" s="528" t="n"/>
      <c r="BL8" s="528" t="n"/>
      <c r="BM8" s="528" t="n"/>
      <c r="BN8" s="528" t="n"/>
      <c r="BO8" s="528" t="n"/>
      <c r="BP8" s="528" t="n"/>
      <c r="BQ8" s="528" t="n"/>
      <c r="BR8" s="528" t="n"/>
      <c r="BS8" s="528" t="n"/>
      <c r="BT8" s="528" t="n"/>
      <c r="BU8" s="528" t="n"/>
      <c r="BV8" s="528" t="n"/>
      <c r="BW8" s="21">
        <f>BU8*BV8</f>
        <v/>
      </c>
      <c r="BX8" s="528" t="n"/>
      <c r="BY8" s="528" t="n"/>
      <c r="BZ8" s="528" t="n"/>
      <c r="CA8" s="21">
        <f>BY8*BZ8</f>
        <v/>
      </c>
      <c r="CB8" s="528" t="n"/>
      <c r="CC8" s="528" t="n"/>
      <c r="CD8" s="528" t="n"/>
      <c r="CE8" s="21">
        <f>CC8*CD8</f>
        <v/>
      </c>
    </row>
    <row r="9">
      <c r="A9" s="441" t="n">
        <v>1</v>
      </c>
      <c r="B9" s="441" t="inlineStr">
        <is>
          <t>a</t>
        </is>
      </c>
      <c r="C9" s="105" t="n">
        <v>1</v>
      </c>
      <c r="D9" s="116">
        <f>CONCATENATE(A$3,"_",A9,"_",B9,"_",C9)</f>
        <v/>
      </c>
      <c r="E9" s="422" t="inlineStr">
        <is>
          <t>Testowanie, walidacja i optymalizacja projektu struktury bazy danych</t>
        </is>
      </c>
      <c r="F9" s="528">
        <f>IFERROR(VLOOKUP($I9,Listy!$A:$H,2,FALSE),"XXX")</f>
        <v/>
      </c>
      <c r="G9" s="528">
        <f>IFERROR(VLOOKUP($I9,Listy!$A:$H,3,FALSE),"XXX")</f>
        <v/>
      </c>
      <c r="H9" s="444" t="n">
        <v>1</v>
      </c>
      <c r="I9" s="89" t="inlineStr">
        <is>
          <t>.a03</t>
        </is>
      </c>
      <c r="J9" s="91">
        <f>M8+1</f>
        <v/>
      </c>
      <c r="K9" s="681">
        <f>VLOOKUP(J9,Kalendarz!B:E,4,FALSE)</f>
        <v/>
      </c>
      <c r="L9" s="681">
        <f>K9+N9</f>
        <v/>
      </c>
      <c r="M9" s="528">
        <f>J9+N9-1</f>
        <v/>
      </c>
      <c r="N9" s="474">
        <f>ROUND(MAX(AG9:AO9)/Listy!$U$2,0)</f>
        <v/>
      </c>
      <c r="O9" s="479" t="n">
        <v>20</v>
      </c>
      <c r="P9" s="187" t="n">
        <v>0</v>
      </c>
      <c r="Q9" s="187" t="n">
        <v>0</v>
      </c>
      <c r="R9" s="187" t="n">
        <v>0</v>
      </c>
      <c r="S9" s="187" t="n">
        <v>0</v>
      </c>
      <c r="T9" s="187" t="n">
        <v>0.2</v>
      </c>
      <c r="U9" s="187" t="n">
        <v>0.2</v>
      </c>
      <c r="V9" s="187" t="n">
        <v>0.2</v>
      </c>
      <c r="W9" s="187" t="n">
        <v>0.2</v>
      </c>
      <c r="X9" s="187" t="n">
        <v>0.2</v>
      </c>
      <c r="Y9" s="292" t="n">
        <v>0</v>
      </c>
      <c r="Z9" s="292" t="n">
        <v>0</v>
      </c>
      <c r="AA9" s="292" t="n">
        <v>0</v>
      </c>
      <c r="AB9" s="292" t="n">
        <v>0</v>
      </c>
      <c r="AC9" s="305" t="n"/>
      <c r="AD9" s="305" t="n"/>
      <c r="AE9" s="305" t="n"/>
      <c r="AF9" s="305" t="n"/>
      <c r="AG9" s="192">
        <f>ROUND($O9*P9,0)</f>
        <v/>
      </c>
      <c r="AH9" s="192">
        <f>ROUND($O9*Q9,0)</f>
        <v/>
      </c>
      <c r="AI9" s="192">
        <f>ROUND($O9*R9,0)</f>
        <v/>
      </c>
      <c r="AJ9" s="192">
        <f>ROUND($O9*S9,0)</f>
        <v/>
      </c>
      <c r="AK9" s="192">
        <f>ROUND($O9*T9,0)</f>
        <v/>
      </c>
      <c r="AL9" s="192">
        <f>ROUND($O9*U9,0)</f>
        <v/>
      </c>
      <c r="AM9" s="192">
        <f>ROUND($O9*V9,0)</f>
        <v/>
      </c>
      <c r="AN9" s="192">
        <f>ROUND($O9*W9,0)</f>
        <v/>
      </c>
      <c r="AO9" s="192">
        <f>ROUND($O9*X9,0)</f>
        <v/>
      </c>
      <c r="AP9" s="193">
        <f>ROUND($O9*Y9,0)</f>
        <v/>
      </c>
      <c r="AQ9" s="193">
        <f>ROUND($O9*Z9,0)</f>
        <v/>
      </c>
      <c r="AR9" s="193">
        <f>ROUND($O9*AA9,0)</f>
        <v/>
      </c>
      <c r="AS9" s="193">
        <f>ROUND($O9*AB9,0)</f>
        <v/>
      </c>
      <c r="AT9" s="306">
        <f>ROUND($O9*AC9,0)</f>
        <v/>
      </c>
      <c r="AU9" s="306">
        <f>ROUND($O9*AD9,0)</f>
        <v/>
      </c>
      <c r="AV9" s="306">
        <f>ROUND($O9*AE9,0)</f>
        <v/>
      </c>
      <c r="AW9" s="306">
        <f>ROUND($O9*AF9,0)</f>
        <v/>
      </c>
      <c r="AX9" s="236">
        <f>SUM(AG9:AO9)</f>
        <v/>
      </c>
      <c r="AY9" s="528">
        <f>AX9/160</f>
        <v/>
      </c>
      <c r="AZ9" s="87">
        <f>VLOOKUP(I9,Listy!$A$1:$H$9,6,FALSE)</f>
        <v/>
      </c>
      <c r="BA9" s="682">
        <f>AY9*AZ9</f>
        <v/>
      </c>
      <c r="BB9" s="683">
        <f>AY9*BA9</f>
        <v/>
      </c>
      <c r="BC9" s="528" t="n"/>
      <c r="BD9" s="528" t="n"/>
      <c r="BE9" s="528" t="n"/>
      <c r="BF9" s="528" t="n"/>
      <c r="BG9" s="528" t="n"/>
      <c r="BH9" s="528" t="n"/>
      <c r="BI9" s="21">
        <f>BG9*BH9</f>
        <v/>
      </c>
      <c r="BJ9" s="528" t="n"/>
      <c r="BK9" s="528" t="n"/>
      <c r="BL9" s="528" t="n"/>
      <c r="BM9" s="528" t="n"/>
      <c r="BN9" s="528" t="n"/>
      <c r="BO9" s="528" t="n"/>
      <c r="BP9" s="528" t="n"/>
      <c r="BQ9" s="528" t="n"/>
      <c r="BR9" s="528" t="n"/>
      <c r="BS9" s="528" t="n"/>
      <c r="BT9" s="528" t="n"/>
      <c r="BU9" s="528" t="n"/>
      <c r="BV9" s="528" t="n"/>
      <c r="BW9" s="21">
        <f>BU9*BV9</f>
        <v/>
      </c>
      <c r="BX9" s="528" t="n"/>
      <c r="BY9" s="528" t="n"/>
      <c r="BZ9" s="528" t="n"/>
      <c r="CA9" s="21">
        <f>BY9*BZ9</f>
        <v/>
      </c>
      <c r="CB9" s="528" t="n"/>
      <c r="CC9" s="528" t="n"/>
      <c r="CD9" s="528" t="n"/>
      <c r="CE9" s="21">
        <f>CC9*CD9</f>
        <v/>
      </c>
    </row>
    <row r="10" ht="31.8" customHeight="1" s="191" thickBot="1">
      <c r="A10" s="441" t="n">
        <v>1</v>
      </c>
      <c r="B10" s="441" t="inlineStr">
        <is>
          <t>b</t>
        </is>
      </c>
      <c r="C10" s="105" t="n">
        <v>0</v>
      </c>
      <c r="D10" s="116">
        <f>CONCATENATE(A$3,"_",A10,"_",B10,"_",C10)</f>
        <v/>
      </c>
      <c r="E10" s="423" t="inlineStr">
        <is>
          <t>Zbieranie i przygotowanie danych w celu  uzyskania pełnego obrazu operacji w MWS i umożliwienia komplek-sowych analiz</t>
        </is>
      </c>
      <c r="F10" s="528" t="n"/>
      <c r="G10" s="528" t="n"/>
      <c r="H10" s="528" t="n"/>
      <c r="I10" s="528" t="n"/>
      <c r="J10" s="91">
        <f>M9+1</f>
        <v/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74">
        <f>ROUND(MAX(AG10:AO10)/Listy!$U$2,0)</f>
        <v/>
      </c>
      <c r="O10" s="480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  <c r="AF10" s="528" t="n"/>
      <c r="AG10" s="192">
        <f>ROUND($O10*P10,0)</f>
        <v/>
      </c>
      <c r="AH10" s="192">
        <f>ROUND($O10*Q10,0)</f>
        <v/>
      </c>
      <c r="AI10" s="192">
        <f>ROUND($O10*R10,0)</f>
        <v/>
      </c>
      <c r="AJ10" s="192">
        <f>ROUND($O10*S10,0)</f>
        <v/>
      </c>
      <c r="AK10" s="192">
        <f>ROUND($O10*T10,0)</f>
        <v/>
      </c>
      <c r="AL10" s="192">
        <f>ROUND($O10*U10,0)</f>
        <v/>
      </c>
      <c r="AM10" s="192">
        <f>ROUND($O10*V10,0)</f>
        <v/>
      </c>
      <c r="AN10" s="192">
        <f>ROUND($O10*W10,0)</f>
        <v/>
      </c>
      <c r="AO10" s="192">
        <f>ROUND($O10*X10,0)</f>
        <v/>
      </c>
      <c r="AP10" s="528" t="n"/>
      <c r="AQ10" s="528" t="n"/>
      <c r="AR10" s="528" t="n"/>
      <c r="AS10" s="528" t="n"/>
      <c r="AT10" s="528" t="n"/>
      <c r="AU10" s="528" t="n"/>
      <c r="AV10" s="528" t="n"/>
      <c r="AW10" s="528" t="n"/>
      <c r="AX10" s="528" t="n"/>
      <c r="AY10" s="528" t="n"/>
      <c r="AZ10" s="528" t="n"/>
      <c r="BA10" s="528" t="n"/>
      <c r="BB10" s="528" t="n"/>
      <c r="BC10" s="528" t="n"/>
      <c r="BD10" s="528" t="n"/>
      <c r="BE10" s="528" t="n"/>
      <c r="BF10" s="528" t="n"/>
      <c r="BG10" s="528" t="n"/>
      <c r="BH10" s="528" t="n"/>
      <c r="BI10" s="22">
        <f>BG10*BH10</f>
        <v/>
      </c>
      <c r="BJ10" s="528" t="n"/>
      <c r="BK10" s="528" t="n"/>
      <c r="BL10" s="314" t="n"/>
      <c r="BM10" s="528" t="n"/>
      <c r="BN10" s="528" t="n"/>
      <c r="BO10" s="314" t="n"/>
      <c r="BP10" s="528" t="n"/>
      <c r="BQ10" s="528" t="n"/>
      <c r="BR10" s="314" t="n"/>
      <c r="BS10" s="314" t="n"/>
      <c r="BT10" s="528" t="n"/>
      <c r="BU10" s="528" t="n"/>
      <c r="BV10" s="528" t="n"/>
      <c r="BW10" s="22">
        <f>BU10*BV10</f>
        <v/>
      </c>
      <c r="BX10" s="528" t="n"/>
      <c r="BY10" s="528" t="n"/>
      <c r="BZ10" s="528" t="n"/>
      <c r="CA10" s="22">
        <f>BY10*BZ10</f>
        <v/>
      </c>
      <c r="CB10" s="528" t="n"/>
      <c r="CC10" s="528" t="n"/>
      <c r="CD10" s="528" t="n"/>
      <c r="CE10" s="22">
        <f>CC10*CD10</f>
        <v/>
      </c>
    </row>
    <row r="11" customFormat="1" s="538">
      <c r="A11" s="441" t="n">
        <v>1</v>
      </c>
      <c r="B11" s="441" t="inlineStr">
        <is>
          <t>b</t>
        </is>
      </c>
      <c r="C11" s="310" t="n">
        <v>1</v>
      </c>
      <c r="D11" s="311">
        <f>CONCATENATE(A$3,"_",A11,"_",B11,"_",C11)</f>
        <v/>
      </c>
      <c r="E11" s="424" t="inlineStr">
        <is>
          <t>Stworzenie procedur zbierania, analizy i przetwarzania danych</t>
        </is>
      </c>
      <c r="F11" s="528">
        <f>IFERROR(VLOOKUP($I11,Listy!$A:$H,2,FALSE),"XXX")</f>
        <v/>
      </c>
      <c r="G11" s="528">
        <f>IFERROR(VLOOKUP($I11,Listy!$A:$H,3,FALSE),"XXX")</f>
        <v/>
      </c>
      <c r="H11" s="444" t="n">
        <v>2</v>
      </c>
      <c r="I11" s="89" t="inlineStr">
        <is>
          <t>.a05</t>
        </is>
      </c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474">
        <f>ROUND(MAX(AG11:AO11)/Listy!$U$2,0)</f>
        <v/>
      </c>
      <c r="O11" s="479" t="n">
        <v>40</v>
      </c>
      <c r="P11" s="187" t="n">
        <v>0</v>
      </c>
      <c r="Q11" s="187" t="n">
        <v>0</v>
      </c>
      <c r="R11" s="187" t="n">
        <v>0</v>
      </c>
      <c r="S11" s="187" t="n">
        <v>0</v>
      </c>
      <c r="T11" s="187" t="n">
        <v>0.2</v>
      </c>
      <c r="U11" s="187" t="n">
        <v>0.2</v>
      </c>
      <c r="V11" s="187" t="n">
        <v>0.2</v>
      </c>
      <c r="W11" s="187" t="n">
        <v>0.2</v>
      </c>
      <c r="X11" s="187" t="n">
        <v>0.2</v>
      </c>
      <c r="Y11" s="292" t="n">
        <v>0</v>
      </c>
      <c r="Z11" s="292" t="n">
        <v>0</v>
      </c>
      <c r="AA11" s="292" t="n">
        <v>0</v>
      </c>
      <c r="AB11" s="292" t="n">
        <v>0</v>
      </c>
      <c r="AC11" s="305" t="n"/>
      <c r="AD11" s="305" t="n"/>
      <c r="AE11" s="305" t="n"/>
      <c r="AF11" s="305" t="n"/>
      <c r="AG11" s="192">
        <f>ROUND($O11*P11,0)</f>
        <v/>
      </c>
      <c r="AH11" s="192">
        <f>ROUND($O11*Q11,0)</f>
        <v/>
      </c>
      <c r="AI11" s="192">
        <f>ROUND($O11*R11,0)</f>
        <v/>
      </c>
      <c r="AJ11" s="192">
        <f>ROUND($O11*S11,0)</f>
        <v/>
      </c>
      <c r="AK11" s="192">
        <f>ROUND($O11*T11,0)</f>
        <v/>
      </c>
      <c r="AL11" s="192">
        <f>ROUND($O11*U11,0)</f>
        <v/>
      </c>
      <c r="AM11" s="192">
        <f>ROUND($O11*V11,0)</f>
        <v/>
      </c>
      <c r="AN11" s="192">
        <f>ROUND($O11*W11,0)</f>
        <v/>
      </c>
      <c r="AO11" s="192">
        <f>ROUND($O11*X11,0)</f>
        <v/>
      </c>
      <c r="AP11" s="193">
        <f>ROUND($O11*Y11,0)</f>
        <v/>
      </c>
      <c r="AQ11" s="193">
        <f>ROUND($O11*Z11,0)</f>
        <v/>
      </c>
      <c r="AR11" s="193">
        <f>ROUND($O11*AA11,0)</f>
        <v/>
      </c>
      <c r="AS11" s="193">
        <f>ROUND($O11*AB11,0)</f>
        <v/>
      </c>
      <c r="AT11" s="306">
        <f>ROUND($O11*AC11,0)</f>
        <v/>
      </c>
      <c r="AU11" s="306">
        <f>ROUND($O11*AD11,0)</f>
        <v/>
      </c>
      <c r="AV11" s="306">
        <f>ROUND($O11*AE11,0)</f>
        <v/>
      </c>
      <c r="AW11" s="306">
        <f>ROUND($O11*AF11,0)</f>
        <v/>
      </c>
      <c r="AX11" s="236">
        <f>SUM(AG11:AO11)</f>
        <v/>
      </c>
      <c r="AY11" s="528">
        <f>AX11/160</f>
        <v/>
      </c>
      <c r="AZ11" s="87">
        <f>VLOOKUP(I11,Listy!$A$1:$H$9,6,FALSE)</f>
        <v/>
      </c>
      <c r="BA11" s="682">
        <f>AY11*AZ11</f>
        <v/>
      </c>
      <c r="BB11" s="683">
        <f>AY11*BA11</f>
        <v/>
      </c>
      <c r="BC11" s="528" t="n"/>
      <c r="BD11" s="314" t="n"/>
      <c r="BE11" s="314" t="n"/>
      <c r="BF11" s="314" t="n"/>
      <c r="BG11" s="314" t="n"/>
      <c r="BH11" s="314" t="n"/>
      <c r="BI11" s="327" t="n"/>
      <c r="BJ11" s="314" t="n"/>
      <c r="BK11" s="314" t="n"/>
      <c r="BL11" s="328" t="n"/>
      <c r="BM11" s="314" t="n"/>
      <c r="BN11" s="314" t="n"/>
      <c r="BO11" s="327" t="n"/>
      <c r="BP11" s="314" t="n"/>
      <c r="BQ11" s="314" t="n"/>
      <c r="BR11" s="327" t="n"/>
      <c r="BS11" s="327" t="n"/>
      <c r="BT11" s="314" t="n"/>
      <c r="BU11" s="314" t="n"/>
      <c r="BV11" s="314" t="n"/>
      <c r="BW11" s="327" t="n"/>
      <c r="BX11" s="314" t="n"/>
      <c r="BY11" s="314" t="n"/>
      <c r="BZ11" s="314" t="n"/>
      <c r="CA11" s="327" t="n"/>
      <c r="CB11" s="314" t="n"/>
      <c r="CC11" s="314" t="n"/>
      <c r="CD11" s="314" t="n"/>
      <c r="CE11" s="327" t="n"/>
      <c r="CF11" s="329" t="n"/>
    </row>
    <row r="12" customFormat="1" s="538">
      <c r="A12" s="441" t="n">
        <v>1</v>
      </c>
      <c r="B12" s="441" t="inlineStr">
        <is>
          <t>b</t>
        </is>
      </c>
      <c r="C12" s="332" t="n">
        <v>2</v>
      </c>
      <c r="D12" s="311">
        <f>CONCATENATE(A$3,"_",A12,"_",B12,"_",C12)</f>
        <v/>
      </c>
      <c r="E12" s="424" t="inlineStr">
        <is>
          <t xml:space="preserve">Pozyskanie danych z różnych źródeł, np. systemy WMS, ERP </t>
        </is>
      </c>
      <c r="F12" s="528">
        <f>IFERROR(VLOOKUP($I12,Listy!$A:$H,2,FALSE),"XXX")</f>
        <v/>
      </c>
      <c r="G12" s="528">
        <f>IFERROR(VLOOKUP($I12,Listy!$A:$H,3,FALSE),"XXX")</f>
        <v/>
      </c>
      <c r="H12" s="444" t="n">
        <v>2</v>
      </c>
      <c r="I12" s="89" t="inlineStr">
        <is>
          <t>.a04</t>
        </is>
      </c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474" t="n">
        <v>1</v>
      </c>
      <c r="O12" s="479" t="n">
        <v>80</v>
      </c>
      <c r="P12" s="187" t="n">
        <v>0</v>
      </c>
      <c r="Q12" s="187" t="n">
        <v>0</v>
      </c>
      <c r="R12" s="187" t="n">
        <v>0</v>
      </c>
      <c r="S12" s="187" t="n">
        <v>0</v>
      </c>
      <c r="T12" s="187" t="n">
        <v>0.2</v>
      </c>
      <c r="U12" s="187" t="n">
        <v>0.2</v>
      </c>
      <c r="V12" s="187" t="n">
        <v>0.2</v>
      </c>
      <c r="W12" s="187" t="n">
        <v>0.2</v>
      </c>
      <c r="X12" s="187" t="n">
        <v>0.2</v>
      </c>
      <c r="Y12" s="292" t="n">
        <v>0</v>
      </c>
      <c r="Z12" s="292" t="n">
        <v>0</v>
      </c>
      <c r="AA12" s="292" t="n">
        <v>0</v>
      </c>
      <c r="AB12" s="292" t="n">
        <v>0</v>
      </c>
      <c r="AC12" s="305" t="n"/>
      <c r="AD12" s="305" t="n"/>
      <c r="AE12" s="305" t="n"/>
      <c r="AF12" s="305" t="n"/>
      <c r="AG12" s="192">
        <f>ROUND($O12*P12,0)</f>
        <v/>
      </c>
      <c r="AH12" s="192">
        <f>ROUND($O12*Q12,0)</f>
        <v/>
      </c>
      <c r="AI12" s="192">
        <f>ROUND($O12*R12,0)</f>
        <v/>
      </c>
      <c r="AJ12" s="192">
        <f>ROUND($O12*S12,0)</f>
        <v/>
      </c>
      <c r="AK12" s="192">
        <f>ROUND($O12*T12,0)</f>
        <v/>
      </c>
      <c r="AL12" s="192">
        <f>ROUND($O12*U12,0)</f>
        <v/>
      </c>
      <c r="AM12" s="192">
        <f>ROUND($O12*V12,0)</f>
        <v/>
      </c>
      <c r="AN12" s="192">
        <f>ROUND($O12*W12,0)</f>
        <v/>
      </c>
      <c r="AO12" s="192">
        <f>ROUND($O12*X12,0)</f>
        <v/>
      </c>
      <c r="AP12" s="193">
        <f>ROUND($O12*Y12,0)</f>
        <v/>
      </c>
      <c r="AQ12" s="193">
        <f>ROUND($O12*Z12,0)</f>
        <v/>
      </c>
      <c r="AR12" s="193">
        <f>ROUND($O12*AA12,0)</f>
        <v/>
      </c>
      <c r="AS12" s="193">
        <f>ROUND($O12*AB12,0)</f>
        <v/>
      </c>
      <c r="AT12" s="306">
        <f>ROUND($O12*AC12,0)</f>
        <v/>
      </c>
      <c r="AU12" s="306">
        <f>ROUND($O12*AD12,0)</f>
        <v/>
      </c>
      <c r="AV12" s="306">
        <f>ROUND($O12*AE12,0)</f>
        <v/>
      </c>
      <c r="AW12" s="306">
        <f>ROUND($O12*AF12,0)</f>
        <v/>
      </c>
      <c r="AX12" s="236">
        <f>SUM(AG12:AO12)</f>
        <v/>
      </c>
      <c r="AY12" s="528">
        <f>AX12/160</f>
        <v/>
      </c>
      <c r="AZ12" s="87">
        <f>VLOOKUP(I12,Listy!$A$1:$H$9,6,FALSE)</f>
        <v/>
      </c>
      <c r="BA12" s="682">
        <f>AY12*AZ12</f>
        <v/>
      </c>
      <c r="BB12" s="683">
        <f>AY12*BA12</f>
        <v/>
      </c>
      <c r="BC12" s="528" t="n"/>
      <c r="BD12" s="336" t="n"/>
      <c r="BE12" s="336" t="n"/>
      <c r="BF12" s="336" t="n"/>
      <c r="BG12" s="336" t="n"/>
      <c r="BH12" s="336" t="n"/>
      <c r="BI12" s="336" t="n"/>
      <c r="BJ12" s="336" t="n"/>
      <c r="BK12" s="336" t="n"/>
      <c r="BL12" s="336" t="n"/>
      <c r="BM12" s="336" t="n"/>
      <c r="BN12" s="336" t="n"/>
      <c r="BO12" s="336" t="n"/>
      <c r="BP12" s="336" t="n"/>
      <c r="BQ12" s="336" t="n"/>
      <c r="BR12" s="336" t="n"/>
      <c r="BS12" s="336" t="n"/>
      <c r="BT12" s="336" t="n"/>
      <c r="BU12" s="336" t="n"/>
      <c r="BV12" s="336" t="n"/>
      <c r="BW12" s="336" t="n"/>
      <c r="BX12" s="336" t="n"/>
      <c r="BY12" s="336" t="n"/>
      <c r="BZ12" s="336" t="n"/>
      <c r="CA12" s="336" t="n"/>
      <c r="CB12" s="336" t="n"/>
      <c r="CC12" s="336" t="n"/>
      <c r="CD12" s="336" t="n"/>
      <c r="CE12" s="336" t="n"/>
    </row>
    <row r="13" customFormat="1" s="538">
      <c r="A13" s="441" t="n">
        <v>1</v>
      </c>
      <c r="B13" s="441" t="inlineStr">
        <is>
          <t>b</t>
        </is>
      </c>
      <c r="C13" s="310" t="n">
        <v>3</v>
      </c>
      <c r="D13" s="311">
        <f>CONCATENATE(A$3,"_",A13,"_",B13,"_",C13)</f>
        <v/>
      </c>
      <c r="E13" s="424" t="inlineStr">
        <is>
          <t>Identyfikacja aktualnie przypisywanych atrybutów do rekordów/obiektów w WMS/ERP</t>
        </is>
      </c>
      <c r="F13" s="528">
        <f>IFERROR(VLOOKUP($I13,Listy!$A:$H,2,FALSE),"XXX")</f>
        <v/>
      </c>
      <c r="G13" s="528">
        <f>IFERROR(VLOOKUP($I13,Listy!$A:$H,3,FALSE),"XXX")</f>
        <v/>
      </c>
      <c r="H13" s="444" t="n">
        <v>2</v>
      </c>
      <c r="I13" s="89" t="inlineStr">
        <is>
          <t>.a05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1</v>
      </c>
      <c r="O13" s="479" t="n">
        <v>60</v>
      </c>
      <c r="P13" s="187" t="n">
        <v>0</v>
      </c>
      <c r="Q13" s="187" t="n">
        <v>0</v>
      </c>
      <c r="R13" s="187" t="n">
        <v>0</v>
      </c>
      <c r="S13" s="187" t="n">
        <v>0</v>
      </c>
      <c r="T13" s="187" t="n">
        <v>0.2</v>
      </c>
      <c r="U13" s="187" t="n">
        <v>0.2</v>
      </c>
      <c r="V13" s="187" t="n">
        <v>0.2</v>
      </c>
      <c r="W13" s="187" t="n">
        <v>0.2</v>
      </c>
      <c r="X13" s="187" t="n">
        <v>0.2</v>
      </c>
      <c r="Y13" s="292" t="n">
        <v>0</v>
      </c>
      <c r="Z13" s="292" t="n">
        <v>0</v>
      </c>
      <c r="AA13" s="292" t="n">
        <v>0</v>
      </c>
      <c r="AB13" s="292" t="n">
        <v>0</v>
      </c>
      <c r="AC13" s="305" t="n"/>
      <c r="AD13" s="305" t="n"/>
      <c r="AE13" s="305" t="n"/>
      <c r="AF13" s="305" t="n"/>
      <c r="AG13" s="192">
        <f>ROUND($O13*P13,0)</f>
        <v/>
      </c>
      <c r="AH13" s="192">
        <f>ROUND($O13*Q13,0)</f>
        <v/>
      </c>
      <c r="AI13" s="192">
        <f>ROUND($O13*R13,0)</f>
        <v/>
      </c>
      <c r="AJ13" s="192">
        <f>ROUND($O13*S13,0)</f>
        <v/>
      </c>
      <c r="AK13" s="192">
        <f>ROUND($O13*T13,0)</f>
        <v/>
      </c>
      <c r="AL13" s="192">
        <f>ROUND($O13*U13,0)</f>
        <v/>
      </c>
      <c r="AM13" s="192">
        <f>ROUND($O13*V13,0)</f>
        <v/>
      </c>
      <c r="AN13" s="192">
        <f>ROUND($O13*W13,0)</f>
        <v/>
      </c>
      <c r="AO13" s="192">
        <f>ROUND($O13*X13,0)</f>
        <v/>
      </c>
      <c r="AP13" s="193">
        <f>ROUND($O13*Y13,0)</f>
        <v/>
      </c>
      <c r="AQ13" s="193">
        <f>ROUND($O13*Z13,0)</f>
        <v/>
      </c>
      <c r="AR13" s="193">
        <f>ROUND($O13*AA13,0)</f>
        <v/>
      </c>
      <c r="AS13" s="193">
        <f>ROUND($O13*AB13,0)</f>
        <v/>
      </c>
      <c r="AT13" s="306">
        <f>ROUND($O13*AC13,0)</f>
        <v/>
      </c>
      <c r="AU13" s="306">
        <f>ROUND($O13*AD13,0)</f>
        <v/>
      </c>
      <c r="AV13" s="306">
        <f>ROUND($O13*AE13,0)</f>
        <v/>
      </c>
      <c r="AW13" s="306">
        <f>ROUND($O13*AF13,0)</f>
        <v/>
      </c>
      <c r="AX13" s="236">
        <f>SUM(AG13:AO13)</f>
        <v/>
      </c>
      <c r="AY13" s="528">
        <f>AX13/160</f>
        <v/>
      </c>
      <c r="AZ13" s="87">
        <f>VLOOKUP(I13,Listy!$A$1:$H$9,6,FALSE)</f>
        <v/>
      </c>
      <c r="BA13" s="682">
        <f>AY13*AZ13</f>
        <v/>
      </c>
      <c r="BB13" s="683">
        <f>AY13*BA13</f>
        <v/>
      </c>
      <c r="BC13" s="528" t="n"/>
      <c r="BD13" s="336" t="n"/>
      <c r="BE13" s="336" t="n"/>
      <c r="BF13" s="336" t="n"/>
      <c r="BG13" s="336" t="n"/>
      <c r="BH13" s="336" t="n"/>
      <c r="BI13" s="336" t="n"/>
      <c r="BJ13" s="336" t="n"/>
      <c r="BK13" s="336" t="n"/>
      <c r="BL13" s="336" t="n"/>
      <c r="BM13" s="336" t="n"/>
      <c r="BN13" s="336" t="n"/>
      <c r="BO13" s="336" t="n"/>
      <c r="BP13" s="336" t="n"/>
      <c r="BQ13" s="336" t="n"/>
      <c r="BR13" s="336" t="n"/>
      <c r="BS13" s="336" t="n"/>
      <c r="BT13" s="336" t="n"/>
      <c r="BU13" s="336" t="n"/>
      <c r="BV13" s="336" t="n"/>
      <c r="BW13" s="336" t="n"/>
      <c r="BX13" s="336" t="n"/>
      <c r="BY13" s="336" t="n"/>
      <c r="BZ13" s="336" t="n"/>
      <c r="CA13" s="336" t="n"/>
      <c r="CB13" s="336" t="n"/>
      <c r="CC13" s="336" t="n"/>
      <c r="CD13" s="336" t="n"/>
      <c r="CE13" s="336" t="n"/>
    </row>
    <row r="14" customFormat="1" s="538">
      <c r="A14" s="441" t="n">
        <v>1</v>
      </c>
      <c r="B14" s="441" t="inlineStr">
        <is>
          <t>b</t>
        </is>
      </c>
      <c r="C14" s="332" t="n">
        <v>4</v>
      </c>
      <c r="D14" s="311">
        <f>CONCATENATE(A$3,"_",A14,"_",B14,"_",C14)</f>
        <v/>
      </c>
      <c r="E14" s="424" t="inlineStr">
        <is>
          <t>Opracowanie założeń modeli, schematów, organizacji i prezentacji danych wejściowych</t>
        </is>
      </c>
      <c r="F14" s="528">
        <f>IFERROR(VLOOKUP($I14,Listy!$A:$H,2,FALSE),"XXX")</f>
        <v/>
      </c>
      <c r="G14" s="528">
        <f>IFERROR(VLOOKUP($I14,Listy!$A:$H,3,FALSE),"XXX")</f>
        <v/>
      </c>
      <c r="H14" s="444" t="n">
        <v>2</v>
      </c>
      <c r="I14" s="89" t="inlineStr">
        <is>
          <t>.a04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 t="n">
        <v>1</v>
      </c>
      <c r="O14" s="479" t="n">
        <v>80</v>
      </c>
      <c r="P14" s="187" t="n">
        <v>0</v>
      </c>
      <c r="Q14" s="187" t="n">
        <v>0</v>
      </c>
      <c r="R14" s="187" t="n">
        <v>0</v>
      </c>
      <c r="S14" s="187" t="n">
        <v>0</v>
      </c>
      <c r="T14" s="187" t="n">
        <v>0.2</v>
      </c>
      <c r="U14" s="187" t="n">
        <v>0.2</v>
      </c>
      <c r="V14" s="187" t="n">
        <v>0.2</v>
      </c>
      <c r="W14" s="187" t="n">
        <v>0.2</v>
      </c>
      <c r="X14" s="187" t="n">
        <v>0.2</v>
      </c>
      <c r="Y14" s="292" t="n">
        <v>0</v>
      </c>
      <c r="Z14" s="292" t="n">
        <v>0</v>
      </c>
      <c r="AA14" s="292" t="n">
        <v>0</v>
      </c>
      <c r="AB14" s="292" t="n">
        <v>0</v>
      </c>
      <c r="AC14" s="305" t="n"/>
      <c r="AD14" s="305" t="n"/>
      <c r="AE14" s="305" t="n"/>
      <c r="AF14" s="305" t="n"/>
      <c r="AG14" s="192">
        <f>ROUND($O14*P14,0)</f>
        <v/>
      </c>
      <c r="AH14" s="192">
        <f>ROUND($O14*Q14,0)</f>
        <v/>
      </c>
      <c r="AI14" s="192">
        <f>ROUND($O14*R14,0)</f>
        <v/>
      </c>
      <c r="AJ14" s="192">
        <f>ROUND($O14*S14,0)</f>
        <v/>
      </c>
      <c r="AK14" s="192">
        <f>ROUND($O14*T14,0)</f>
        <v/>
      </c>
      <c r="AL14" s="192">
        <f>ROUND($O14*U14,0)</f>
        <v/>
      </c>
      <c r="AM14" s="192">
        <f>ROUND($O14*V14,0)</f>
        <v/>
      </c>
      <c r="AN14" s="192">
        <f>ROUND($O14*W14,0)</f>
        <v/>
      </c>
      <c r="AO14" s="192">
        <f>ROUND($O14*X14,0)</f>
        <v/>
      </c>
      <c r="AP14" s="193">
        <f>ROUND($O14*Y14,0)</f>
        <v/>
      </c>
      <c r="AQ14" s="193">
        <f>ROUND($O14*Z14,0)</f>
        <v/>
      </c>
      <c r="AR14" s="193">
        <f>ROUND($O14*AA14,0)</f>
        <v/>
      </c>
      <c r="AS14" s="193">
        <f>ROUND($O14*AB14,0)</f>
        <v/>
      </c>
      <c r="AT14" s="306">
        <f>ROUND($O14*AC14,0)</f>
        <v/>
      </c>
      <c r="AU14" s="306">
        <f>ROUND($O14*AD14,0)</f>
        <v/>
      </c>
      <c r="AV14" s="306">
        <f>ROUND($O14*AE14,0)</f>
        <v/>
      </c>
      <c r="AW14" s="306">
        <f>ROUND($O14*AF14,0)</f>
        <v/>
      </c>
      <c r="AX14" s="236">
        <f>SUM(AG14:AO14)</f>
        <v/>
      </c>
      <c r="AY14" s="528">
        <f>AX14/160</f>
        <v/>
      </c>
      <c r="AZ14" s="87">
        <f>VLOOKUP(I14,Listy!$A$1:$H$9,6,FALSE)</f>
        <v/>
      </c>
      <c r="BA14" s="682">
        <f>AY14*AZ14</f>
        <v/>
      </c>
      <c r="BB14" s="683">
        <f>AY14*BA14</f>
        <v/>
      </c>
      <c r="BC14" s="528" t="n"/>
      <c r="BD14" s="336" t="n"/>
      <c r="BE14" s="336" t="n"/>
      <c r="BF14" s="336" t="n"/>
      <c r="BG14" s="336" t="n"/>
      <c r="BH14" s="336" t="n"/>
      <c r="BI14" s="336" t="n"/>
      <c r="BJ14" s="336" t="n"/>
      <c r="BK14" s="336" t="n"/>
      <c r="BL14" s="341" t="n"/>
      <c r="BM14" s="336" t="n"/>
      <c r="BN14" s="336" t="n"/>
      <c r="BO14" s="336" t="n"/>
      <c r="BP14" s="336" t="n"/>
      <c r="BQ14" s="336" t="n"/>
      <c r="BR14" s="336" t="n"/>
      <c r="BS14" s="336" t="n"/>
      <c r="BT14" s="336" t="n"/>
      <c r="BU14" s="336" t="n"/>
      <c r="BV14" s="336" t="n"/>
      <c r="BW14" s="336" t="n"/>
      <c r="BX14" s="336" t="n"/>
      <c r="BY14" s="336" t="n"/>
      <c r="BZ14" s="336" t="n"/>
      <c r="CA14" s="336" t="n"/>
      <c r="CB14" s="336" t="n"/>
      <c r="CC14" s="336" t="n"/>
      <c r="CD14" s="336" t="n"/>
      <c r="CE14" s="336" t="n"/>
    </row>
    <row r="15" ht="15.6" customFormat="1" customHeight="1" s="538">
      <c r="A15" s="441" t="n">
        <v>1</v>
      </c>
      <c r="B15" s="441" t="inlineStr">
        <is>
          <t>c</t>
        </is>
      </c>
      <c r="C15" s="332" t="n">
        <v>0</v>
      </c>
      <c r="D15" s="311">
        <f>CONCATENATE(A$3,"_",A15,"_",B15,"_",C15)</f>
        <v/>
      </c>
      <c r="E15" s="423" t="inlineStr">
        <is>
          <t>Zgromadzenie danych historycznych (ostatnie 3 lata), dot.</t>
        </is>
      </c>
      <c r="F15" s="528" t="n"/>
      <c r="G15" s="528" t="n"/>
      <c r="H15" s="528" t="n"/>
      <c r="I15" s="528" t="n"/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>
        <f>ROUND(MAX(AG15:AO15)/Listy!$U$2,0)</f>
        <v/>
      </c>
      <c r="O15" s="480" t="n"/>
      <c r="P15" s="528" t="n"/>
      <c r="Q15" s="528" t="n"/>
      <c r="R15" s="528" t="n"/>
      <c r="S15" s="528" t="n"/>
      <c r="T15" s="528" t="n"/>
      <c r="U15" s="528" t="n"/>
      <c r="V15" s="528" t="n"/>
      <c r="W15" s="528" t="n"/>
      <c r="X15" s="528" t="n"/>
      <c r="Y15" s="528" t="n"/>
      <c r="Z15" s="528" t="n"/>
      <c r="AA15" s="528" t="n"/>
      <c r="AB15" s="528" t="n"/>
      <c r="AC15" s="528" t="n"/>
      <c r="AD15" s="528" t="n"/>
      <c r="AE15" s="528" t="n"/>
      <c r="AF15" s="528" t="n"/>
      <c r="AG15" s="192">
        <f>ROUND($O15*P15,0)</f>
        <v/>
      </c>
      <c r="AH15" s="192">
        <f>ROUND($O15*Q15,0)</f>
        <v/>
      </c>
      <c r="AI15" s="192">
        <f>ROUND($O15*R15,0)</f>
        <v/>
      </c>
      <c r="AJ15" s="192">
        <f>ROUND($O15*S15,0)</f>
        <v/>
      </c>
      <c r="AK15" s="192">
        <f>ROUND($O15*T15,0)</f>
        <v/>
      </c>
      <c r="AL15" s="192">
        <f>ROUND($O15*U15,0)</f>
        <v/>
      </c>
      <c r="AM15" s="192">
        <f>ROUND($O15*V15,0)</f>
        <v/>
      </c>
      <c r="AN15" s="192">
        <f>ROUND($O15*W15,0)</f>
        <v/>
      </c>
      <c r="AO15" s="192">
        <f>ROUND($O15*X15,0)</f>
        <v/>
      </c>
      <c r="AP15" s="528" t="n"/>
      <c r="AQ15" s="528" t="n"/>
      <c r="AR15" s="528" t="n"/>
      <c r="AS15" s="528" t="n"/>
      <c r="AT15" s="528" t="n"/>
      <c r="AU15" s="528" t="n"/>
      <c r="AV15" s="528" t="n"/>
      <c r="AW15" s="528" t="n"/>
      <c r="AX15" s="528" t="n"/>
      <c r="AY15" s="528" t="n"/>
      <c r="AZ15" s="528" t="n"/>
      <c r="BA15" s="528" t="n"/>
      <c r="BB15" s="528" t="n"/>
      <c r="BC15" s="528" t="n"/>
      <c r="BD15" s="336" t="n"/>
      <c r="BE15" s="336" t="n"/>
      <c r="BF15" s="336" t="n"/>
      <c r="BG15" s="336" t="n"/>
      <c r="BH15" s="336" t="n"/>
      <c r="BI15" s="336" t="n"/>
      <c r="BJ15" s="336" t="n"/>
      <c r="BK15" s="336" t="n"/>
      <c r="BL15" s="336" t="n"/>
      <c r="BM15" s="336" t="n"/>
      <c r="BN15" s="336" t="n"/>
      <c r="BO15" s="336" t="n"/>
      <c r="BP15" s="336" t="n"/>
      <c r="BQ15" s="336" t="n"/>
      <c r="BR15" s="336" t="n"/>
      <c r="BS15" s="336" t="n"/>
      <c r="BT15" s="336" t="n"/>
      <c r="BU15" s="336" t="n"/>
      <c r="BV15" s="336" t="n"/>
      <c r="BW15" s="336" t="n"/>
      <c r="BX15" s="336" t="n"/>
      <c r="BY15" s="336" t="n"/>
      <c r="BZ15" s="336" t="n"/>
      <c r="CA15" s="336" t="n"/>
      <c r="CB15" s="336" t="n"/>
      <c r="CC15" s="336" t="n"/>
      <c r="CD15" s="336" t="n"/>
      <c r="CE15" s="336" t="n"/>
    </row>
    <row r="16" customFormat="1" s="538">
      <c r="A16" s="441" t="n">
        <v>1</v>
      </c>
      <c r="B16" s="441" t="inlineStr">
        <is>
          <t>c</t>
        </is>
      </c>
      <c r="C16" s="332" t="n">
        <v>1</v>
      </c>
      <c r="D16" s="311">
        <f>CONCATENATE(A$3,"_",A16,"_",B16,"_",C16)</f>
        <v/>
      </c>
      <c r="E16" s="444" t="inlineStr">
        <is>
          <t>Ruchu wózków widłowych (trasy, czas przejazdu, częstotliwość)</t>
        </is>
      </c>
      <c r="F16" s="528">
        <f>IFERROR(VLOOKUP($I16,Listy!$A:$H,2,FALSE),"XXX")</f>
        <v/>
      </c>
      <c r="G16" s="528">
        <f>IFERROR(VLOOKUP($I16,Listy!$A:$H,3,FALSE),"XXX")</f>
        <v/>
      </c>
      <c r="H16" s="444" t="n">
        <v>3</v>
      </c>
      <c r="I16" s="89" t="inlineStr">
        <is>
          <t>.a04</t>
        </is>
      </c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4">
        <f>ROUND(MAX(AG16:AO16)/Listy!$U$2,0)</f>
        <v/>
      </c>
      <c r="O16" s="479" t="n">
        <v>30</v>
      </c>
      <c r="P16" s="187" t="n">
        <v>0</v>
      </c>
      <c r="Q16" s="187" t="n">
        <v>0</v>
      </c>
      <c r="R16" s="187" t="n">
        <v>0</v>
      </c>
      <c r="S16" s="187" t="n">
        <v>0</v>
      </c>
      <c r="T16" s="187" t="n">
        <v>0.2</v>
      </c>
      <c r="U16" s="187" t="n">
        <v>0.2</v>
      </c>
      <c r="V16" s="187" t="n">
        <v>0.2</v>
      </c>
      <c r="W16" s="187" t="n">
        <v>0.2</v>
      </c>
      <c r="X16" s="187" t="n">
        <v>0.2</v>
      </c>
      <c r="Y16" s="292" t="n">
        <v>0</v>
      </c>
      <c r="Z16" s="292" t="n">
        <v>0</v>
      </c>
      <c r="AA16" s="292" t="n">
        <v>0</v>
      </c>
      <c r="AB16" s="292" t="n">
        <v>0</v>
      </c>
      <c r="AC16" s="305" t="n"/>
      <c r="AD16" s="305" t="n"/>
      <c r="AE16" s="305" t="n"/>
      <c r="AF16" s="305" t="n"/>
      <c r="AG16" s="192">
        <f>ROUND($O16*P16,0)</f>
        <v/>
      </c>
      <c r="AH16" s="192">
        <f>ROUND($O16*Q16,0)</f>
        <v/>
      </c>
      <c r="AI16" s="192">
        <f>ROUND($O16*R16,0)</f>
        <v/>
      </c>
      <c r="AJ16" s="192">
        <f>ROUND($O16*S16,0)</f>
        <v/>
      </c>
      <c r="AK16" s="192">
        <f>ROUND($O16*T16,0)</f>
        <v/>
      </c>
      <c r="AL16" s="192">
        <f>ROUND($O16*U16,0)</f>
        <v/>
      </c>
      <c r="AM16" s="192">
        <f>ROUND($O16*V16,0)</f>
        <v/>
      </c>
      <c r="AN16" s="192">
        <f>ROUND($O16*W16,0)</f>
        <v/>
      </c>
      <c r="AO16" s="192">
        <f>ROUND($O16*X16,0)</f>
        <v/>
      </c>
      <c r="AP16" s="193">
        <f>ROUND($O16*Y16,0)</f>
        <v/>
      </c>
      <c r="AQ16" s="193">
        <f>ROUND($O16*Z16,0)</f>
        <v/>
      </c>
      <c r="AR16" s="193">
        <f>ROUND($O16*AA16,0)</f>
        <v/>
      </c>
      <c r="AS16" s="193">
        <f>ROUND($O16*AB16,0)</f>
        <v/>
      </c>
      <c r="AT16" s="306">
        <f>ROUND($O16*AC16,0)</f>
        <v/>
      </c>
      <c r="AU16" s="306">
        <f>ROUND($O16*AD16,0)</f>
        <v/>
      </c>
      <c r="AV16" s="306">
        <f>ROUND($O16*AE16,0)</f>
        <v/>
      </c>
      <c r="AW16" s="306">
        <f>ROUND($O16*AF16,0)</f>
        <v/>
      </c>
      <c r="AX16" s="236">
        <f>SUM(AG16:AO16)</f>
        <v/>
      </c>
      <c r="AY16" s="528">
        <f>AX16/160</f>
        <v/>
      </c>
      <c r="AZ16" s="87">
        <f>VLOOKUP(I16,Listy!$A$1:$H$9,6,FALSE)</f>
        <v/>
      </c>
      <c r="BA16" s="682">
        <f>AY16*AZ16</f>
        <v/>
      </c>
      <c r="BB16" s="683">
        <f>AY16*BA16</f>
        <v/>
      </c>
      <c r="BC16" s="528" t="n"/>
      <c r="BD16" s="336" t="n"/>
      <c r="BE16" s="336" t="n"/>
      <c r="BF16" s="336" t="n"/>
      <c r="BG16" s="336" t="n"/>
      <c r="BH16" s="336" t="n"/>
      <c r="BI16" s="336" t="n"/>
      <c r="BJ16" s="336" t="n"/>
      <c r="BK16" s="336" t="n"/>
      <c r="BL16" s="336" t="n"/>
      <c r="BM16" s="336" t="n"/>
      <c r="BN16" s="336" t="n"/>
      <c r="BO16" s="336" t="n"/>
      <c r="BP16" s="336" t="n"/>
      <c r="BQ16" s="336" t="n"/>
      <c r="BR16" s="336" t="n"/>
      <c r="BS16" s="336" t="n"/>
      <c r="BT16" s="336" t="n"/>
      <c r="BU16" s="336" t="n"/>
      <c r="BV16" s="336" t="n"/>
      <c r="BW16" s="336" t="n"/>
      <c r="BX16" s="336" t="n"/>
      <c r="BY16" s="336" t="n"/>
      <c r="BZ16" s="336" t="n"/>
      <c r="CA16" s="336" t="n"/>
      <c r="CB16" s="336" t="n"/>
      <c r="CC16" s="336" t="n"/>
      <c r="CD16" s="336" t="n"/>
      <c r="CE16" s="336" t="n"/>
    </row>
    <row r="17" customFormat="1" s="538">
      <c r="A17" s="441" t="n">
        <v>1</v>
      </c>
      <c r="B17" s="441" t="inlineStr">
        <is>
          <t>c</t>
        </is>
      </c>
      <c r="C17" s="344" t="n">
        <v>2</v>
      </c>
      <c r="D17" s="311">
        <f>CONCATENATE(A$3,"_",A17,"_",B17,"_",C17)</f>
        <v/>
      </c>
      <c r="E17" s="424" t="inlineStr">
        <is>
          <t>Umieszczania i pobierania palet z półek regałów</t>
        </is>
      </c>
      <c r="F17" s="528">
        <f>IFERROR(VLOOKUP($I17,Listy!$A:$H,2,FALSE),"XXX")</f>
        <v/>
      </c>
      <c r="G17" s="528">
        <f>IFERROR(VLOOKUP($I17,Listy!$A:$H,3,FALSE),"XXX")</f>
        <v/>
      </c>
      <c r="H17" s="444" t="n">
        <v>3</v>
      </c>
      <c r="I17" s="89" t="inlineStr">
        <is>
          <t>.a05</t>
        </is>
      </c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>
        <f>ROUND(MAX(AG17:AO17)/Listy!$U$2,0)</f>
        <v/>
      </c>
      <c r="O17" s="479" t="n">
        <v>25</v>
      </c>
      <c r="P17" s="187" t="n">
        <v>0</v>
      </c>
      <c r="Q17" s="187" t="n">
        <v>0</v>
      </c>
      <c r="R17" s="187" t="n">
        <v>0</v>
      </c>
      <c r="S17" s="187" t="n">
        <v>0</v>
      </c>
      <c r="T17" s="187" t="n">
        <v>0.2</v>
      </c>
      <c r="U17" s="187" t="n">
        <v>0.2</v>
      </c>
      <c r="V17" s="187" t="n">
        <v>0.2</v>
      </c>
      <c r="W17" s="187" t="n">
        <v>0.2</v>
      </c>
      <c r="X17" s="187" t="n">
        <v>0.2</v>
      </c>
      <c r="Y17" s="292" t="n">
        <v>0</v>
      </c>
      <c r="Z17" s="292" t="n">
        <v>0</v>
      </c>
      <c r="AA17" s="292" t="n">
        <v>0</v>
      </c>
      <c r="AB17" s="292" t="n">
        <v>0</v>
      </c>
      <c r="AC17" s="305" t="n"/>
      <c r="AD17" s="305" t="n"/>
      <c r="AE17" s="305" t="n"/>
      <c r="AF17" s="305" t="n"/>
      <c r="AG17" s="192">
        <f>ROUND($O17*P17,0)</f>
        <v/>
      </c>
      <c r="AH17" s="192">
        <f>ROUND($O17*Q17,0)</f>
        <v/>
      </c>
      <c r="AI17" s="192">
        <f>ROUND($O17*R17,0)</f>
        <v/>
      </c>
      <c r="AJ17" s="192">
        <f>ROUND($O17*S17,0)</f>
        <v/>
      </c>
      <c r="AK17" s="192">
        <f>ROUND($O17*T17,0)</f>
        <v/>
      </c>
      <c r="AL17" s="192">
        <f>ROUND($O17*U17,0)</f>
        <v/>
      </c>
      <c r="AM17" s="192">
        <f>ROUND($O17*V17,0)</f>
        <v/>
      </c>
      <c r="AN17" s="192">
        <f>ROUND($O17*W17,0)</f>
        <v/>
      </c>
      <c r="AO17" s="192">
        <f>ROUND($O17*X17,0)</f>
        <v/>
      </c>
      <c r="AP17" s="193">
        <f>ROUND($O17*Y17,0)</f>
        <v/>
      </c>
      <c r="AQ17" s="193">
        <f>ROUND($O17*Z17,0)</f>
        <v/>
      </c>
      <c r="AR17" s="193">
        <f>ROUND($O17*AA17,0)</f>
        <v/>
      </c>
      <c r="AS17" s="193">
        <f>ROUND($O17*AB17,0)</f>
        <v/>
      </c>
      <c r="AT17" s="306">
        <f>ROUND($O17*AC17,0)</f>
        <v/>
      </c>
      <c r="AU17" s="306">
        <f>ROUND($O17*AD17,0)</f>
        <v/>
      </c>
      <c r="AV17" s="306">
        <f>ROUND($O17*AE17,0)</f>
        <v/>
      </c>
      <c r="AW17" s="306">
        <f>ROUND($O17*AF17,0)</f>
        <v/>
      </c>
      <c r="AX17" s="236">
        <f>SUM(AG17:AO17)</f>
        <v/>
      </c>
      <c r="AY17" s="528">
        <f>AX17/160</f>
        <v/>
      </c>
      <c r="AZ17" s="87">
        <f>VLOOKUP(I17,Listy!$A$1:$H$9,6,FALSE)</f>
        <v/>
      </c>
      <c r="BA17" s="682">
        <f>AY17*AZ17</f>
        <v/>
      </c>
      <c r="BB17" s="683">
        <f>AY17*BA17</f>
        <v/>
      </c>
      <c r="BC17" s="528" t="n"/>
      <c r="BD17" s="336" t="n"/>
      <c r="BE17" s="336" t="n"/>
      <c r="BF17" s="336" t="n"/>
      <c r="BG17" s="336" t="n"/>
      <c r="BH17" s="336" t="n"/>
      <c r="BI17" s="336" t="n"/>
      <c r="BJ17" s="336" t="n"/>
      <c r="BK17" s="336" t="n"/>
      <c r="BL17" s="336" t="n"/>
      <c r="BM17" s="336" t="n"/>
      <c r="BN17" s="336" t="n"/>
      <c r="BO17" s="336" t="n"/>
      <c r="BP17" s="336" t="n"/>
      <c r="BQ17" s="336" t="n"/>
      <c r="BR17" s="336" t="n"/>
      <c r="BS17" s="336" t="n"/>
      <c r="BT17" s="336" t="n"/>
      <c r="BU17" s="336" t="n"/>
      <c r="BV17" s="336" t="n"/>
      <c r="BW17" s="336" t="n"/>
      <c r="BX17" s="336" t="n"/>
      <c r="BY17" s="336" t="n"/>
      <c r="BZ17" s="336" t="n"/>
      <c r="CA17" s="336" t="n"/>
      <c r="CB17" s="336" t="n"/>
      <c r="CC17" s="336" t="n"/>
      <c r="CD17" s="336" t="n"/>
      <c r="CE17" s="336" t="n"/>
      <c r="CF17" s="361" t="n"/>
    </row>
    <row r="18" ht="27.6" customFormat="1" customHeight="1" s="538">
      <c r="A18" s="441" t="n">
        <v>1</v>
      </c>
      <c r="B18" s="441" t="inlineStr">
        <is>
          <t>c</t>
        </is>
      </c>
      <c r="C18" s="351" t="n">
        <v>3</v>
      </c>
      <c r="D18" s="311">
        <f>CONCATENATE(A$3,"_",A18,"_",B18,"_",C18)</f>
        <v/>
      </c>
      <c r="E18" s="424" t="inlineStr">
        <is>
          <t>Parametrów operacyjnych (np. załadunki, rozładunki, czas spędzony na poszczególnych operacjach)</t>
        </is>
      </c>
      <c r="F18" s="528">
        <f>IFERROR(VLOOKUP($I18,Listy!$A:$H,2,FALSE),"XXX")</f>
        <v/>
      </c>
      <c r="G18" s="528">
        <f>IFERROR(VLOOKUP($I18,Listy!$A:$H,3,FALSE),"XXX")</f>
        <v/>
      </c>
      <c r="H18" s="444" t="n">
        <v>3</v>
      </c>
      <c r="I18" s="89" t="inlineStr">
        <is>
          <t>.a04</t>
        </is>
      </c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4">
        <f>ROUND(MAX(AG18:AO18)/Listy!$U$2,0)</f>
        <v/>
      </c>
      <c r="O18" s="479" t="n">
        <v>25</v>
      </c>
      <c r="P18" s="187" t="n">
        <v>0</v>
      </c>
      <c r="Q18" s="187" t="n">
        <v>0</v>
      </c>
      <c r="R18" s="187" t="n">
        <v>0</v>
      </c>
      <c r="S18" s="187" t="n">
        <v>0</v>
      </c>
      <c r="T18" s="187" t="n">
        <v>0.2</v>
      </c>
      <c r="U18" s="187" t="n">
        <v>0.2</v>
      </c>
      <c r="V18" s="187" t="n">
        <v>0.2</v>
      </c>
      <c r="W18" s="187" t="n">
        <v>0.2</v>
      </c>
      <c r="X18" s="187" t="n">
        <v>0.2</v>
      </c>
      <c r="Y18" s="292" t="n">
        <v>0</v>
      </c>
      <c r="Z18" s="292" t="n">
        <v>0</v>
      </c>
      <c r="AA18" s="292" t="n">
        <v>0</v>
      </c>
      <c r="AB18" s="292" t="n">
        <v>0</v>
      </c>
      <c r="AC18" s="305" t="n"/>
      <c r="AD18" s="305" t="n"/>
      <c r="AE18" s="305" t="n"/>
      <c r="AF18" s="305" t="n"/>
      <c r="AG18" s="192">
        <f>ROUND($O18*P18,0)</f>
        <v/>
      </c>
      <c r="AH18" s="192">
        <f>ROUND($O18*Q18,0)</f>
        <v/>
      </c>
      <c r="AI18" s="192">
        <f>ROUND($O18*R18,0)</f>
        <v/>
      </c>
      <c r="AJ18" s="192">
        <f>ROUND($O18*S18,0)</f>
        <v/>
      </c>
      <c r="AK18" s="192">
        <f>ROUND($O18*T18,0)</f>
        <v/>
      </c>
      <c r="AL18" s="192">
        <f>ROUND($O18*U18,0)</f>
        <v/>
      </c>
      <c r="AM18" s="192">
        <f>ROUND($O18*V18,0)</f>
        <v/>
      </c>
      <c r="AN18" s="192">
        <f>ROUND($O18*W18,0)</f>
        <v/>
      </c>
      <c r="AO18" s="192">
        <f>ROUND($O18*X18,0)</f>
        <v/>
      </c>
      <c r="AP18" s="193">
        <f>ROUND($O18*Y18,0)</f>
        <v/>
      </c>
      <c r="AQ18" s="193">
        <f>ROUND($O18*Z18,0)</f>
        <v/>
      </c>
      <c r="AR18" s="193">
        <f>ROUND($O18*AA18,0)</f>
        <v/>
      </c>
      <c r="AS18" s="193">
        <f>ROUND($O18*AB18,0)</f>
        <v/>
      </c>
      <c r="AT18" s="306">
        <f>ROUND($O18*AC18,0)</f>
        <v/>
      </c>
      <c r="AU18" s="306">
        <f>ROUND($O18*AD18,0)</f>
        <v/>
      </c>
      <c r="AV18" s="306">
        <f>ROUND($O18*AE18,0)</f>
        <v/>
      </c>
      <c r="AW18" s="306">
        <f>ROUND($O18*AF18,0)</f>
        <v/>
      </c>
      <c r="AX18" s="236">
        <f>SUM(AG18:AO18)</f>
        <v/>
      </c>
      <c r="AY18" s="528">
        <f>AX18/160</f>
        <v/>
      </c>
      <c r="AZ18" s="87">
        <f>VLOOKUP(I18,Listy!$A$1:$H$9,6,FALSE)</f>
        <v/>
      </c>
      <c r="BA18" s="682">
        <f>AY18*AZ18</f>
        <v/>
      </c>
      <c r="BB18" s="683">
        <f>AY18*BA18</f>
        <v/>
      </c>
      <c r="BC18" s="528" t="n"/>
      <c r="BD18" s="336" t="n"/>
      <c r="BE18" s="336" t="n"/>
      <c r="BF18" s="336" t="n"/>
      <c r="BG18" s="336" t="n"/>
      <c r="BH18" s="336" t="n"/>
      <c r="BI18" s="336" t="n"/>
      <c r="BJ18" s="336" t="n"/>
      <c r="BK18" s="336" t="n"/>
      <c r="BL18" s="336" t="n"/>
      <c r="BM18" s="336" t="n"/>
      <c r="BN18" s="336" t="n"/>
      <c r="BO18" s="336" t="n"/>
      <c r="BP18" s="336" t="n"/>
      <c r="BQ18" s="336" t="n"/>
      <c r="BR18" s="336" t="n"/>
      <c r="BS18" s="336" t="n"/>
      <c r="BT18" s="336" t="n"/>
      <c r="BU18" s="336" t="n"/>
      <c r="BV18" s="336" t="n"/>
      <c r="BW18" s="336" t="n"/>
      <c r="BX18" s="336" t="n"/>
      <c r="BY18" s="336" t="n"/>
      <c r="BZ18" s="336" t="n"/>
      <c r="CA18" s="336" t="n"/>
      <c r="CB18" s="336" t="n"/>
      <c r="CC18" s="336" t="n"/>
      <c r="CD18" s="336" t="n"/>
      <c r="CE18" s="336" t="n"/>
    </row>
    <row r="19" ht="46.8" customFormat="1" customHeight="1" s="538">
      <c r="A19" s="441" t="n">
        <v>1</v>
      </c>
      <c r="B19" s="441" t="inlineStr">
        <is>
          <t>d</t>
        </is>
      </c>
      <c r="C19" s="353" t="n">
        <v>1</v>
      </c>
      <c r="D19" s="311">
        <f>CONCATENATE(A$3,"_",A19,"_",B19,"_",C19)</f>
        <v/>
      </c>
      <c r="E19" s="428" t="inlineStr">
        <is>
          <t>Oczyszczanie, normalizacja, konwersja i standaryzacja danych (procedury ETL), w tym usuwanie duplikatów i korekcji błędów, do jednolitego formatu na potrzeby dokładności analiz i predykcji, spójności i możliwość ła-twego przetwarzania,</t>
        </is>
      </c>
      <c r="F19" s="528">
        <f>IFERROR(VLOOKUP($I19,Listy!$A:$H,2,FALSE),"XXX")</f>
        <v/>
      </c>
      <c r="G19" s="528">
        <f>IFERROR(VLOOKUP($I19,Listy!$A:$H,3,FALSE),"XXX")</f>
        <v/>
      </c>
      <c r="H19" s="444" t="n">
        <v>4</v>
      </c>
      <c r="I19" s="89" t="inlineStr">
        <is>
          <t>.a05</t>
        </is>
      </c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 t="n">
        <v>1</v>
      </c>
      <c r="O19" s="479" t="n">
        <v>80</v>
      </c>
      <c r="P19" s="187" t="n">
        <v>0</v>
      </c>
      <c r="Q19" s="187" t="n">
        <v>0</v>
      </c>
      <c r="R19" s="187" t="n">
        <v>0</v>
      </c>
      <c r="S19" s="187" t="n">
        <v>0</v>
      </c>
      <c r="T19" s="187" t="n">
        <v>0.2</v>
      </c>
      <c r="U19" s="187" t="n">
        <v>0.2</v>
      </c>
      <c r="V19" s="187" t="n">
        <v>0.2</v>
      </c>
      <c r="W19" s="187" t="n">
        <v>0.2</v>
      </c>
      <c r="X19" s="187" t="n">
        <v>0.2</v>
      </c>
      <c r="Y19" s="292" t="n">
        <v>0</v>
      </c>
      <c r="Z19" s="292" t="n">
        <v>0</v>
      </c>
      <c r="AA19" s="292" t="n">
        <v>0</v>
      </c>
      <c r="AB19" s="292" t="n">
        <v>0</v>
      </c>
      <c r="AC19" s="305" t="n"/>
      <c r="AD19" s="305" t="n"/>
      <c r="AE19" s="305" t="n"/>
      <c r="AF19" s="305" t="n"/>
      <c r="AG19" s="192">
        <f>ROUND($O19*P19,0)</f>
        <v/>
      </c>
      <c r="AH19" s="192">
        <f>ROUND($O19*Q19,0)</f>
        <v/>
      </c>
      <c r="AI19" s="192">
        <f>ROUND($O19*R19,0)</f>
        <v/>
      </c>
      <c r="AJ19" s="192">
        <f>ROUND($O19*S19,0)</f>
        <v/>
      </c>
      <c r="AK19" s="192">
        <f>ROUND($O19*T19,0)</f>
        <v/>
      </c>
      <c r="AL19" s="192">
        <f>ROUND($O19*U19,0)</f>
        <v/>
      </c>
      <c r="AM19" s="192">
        <f>ROUND($O19*V19,0)</f>
        <v/>
      </c>
      <c r="AN19" s="192">
        <f>ROUND($O19*W19,0)</f>
        <v/>
      </c>
      <c r="AO19" s="192">
        <f>ROUND($O19*X19,0)</f>
        <v/>
      </c>
      <c r="AP19" s="193">
        <f>ROUND($O19*Y19,0)</f>
        <v/>
      </c>
      <c r="AQ19" s="193">
        <f>ROUND($O19*Z19,0)</f>
        <v/>
      </c>
      <c r="AR19" s="193">
        <f>ROUND($O19*AA19,0)</f>
        <v/>
      </c>
      <c r="AS19" s="193">
        <f>ROUND($O19*AB19,0)</f>
        <v/>
      </c>
      <c r="AT19" s="306">
        <f>ROUND($O19*AC19,0)</f>
        <v/>
      </c>
      <c r="AU19" s="306">
        <f>ROUND($O19*AD19,0)</f>
        <v/>
      </c>
      <c r="AV19" s="306">
        <f>ROUND($O19*AE19,0)</f>
        <v/>
      </c>
      <c r="AW19" s="306">
        <f>ROUND($O19*AF19,0)</f>
        <v/>
      </c>
      <c r="AX19" s="236">
        <f>SUM(AG19:AO19)</f>
        <v/>
      </c>
      <c r="AY19" s="528">
        <f>AX19/160</f>
        <v/>
      </c>
      <c r="AZ19" s="87">
        <f>VLOOKUP(I19,Listy!$A$1:$H$9,6,FALSE)</f>
        <v/>
      </c>
      <c r="BA19" s="682">
        <f>AY19*AZ19</f>
        <v/>
      </c>
      <c r="BB19" s="683">
        <f>AY19*BA19</f>
        <v/>
      </c>
      <c r="BC19" s="528" t="n"/>
      <c r="BD19" s="336" t="n"/>
      <c r="BE19" s="336" t="n"/>
      <c r="BF19" s="336" t="n"/>
      <c r="BG19" s="336" t="n"/>
      <c r="BH19" s="336" t="n"/>
      <c r="BI19" s="336" t="n"/>
      <c r="BJ19" s="336" t="n"/>
      <c r="BK19" s="336" t="n"/>
      <c r="BL19" s="336" t="n"/>
      <c r="BM19" s="336" t="n"/>
      <c r="BN19" s="336" t="n"/>
      <c r="BO19" s="336" t="n"/>
      <c r="BP19" s="336" t="n"/>
      <c r="BQ19" s="336" t="n"/>
      <c r="BR19" s="336" t="n"/>
      <c r="BS19" s="336" t="n"/>
      <c r="BT19" s="336" t="n"/>
      <c r="BU19" s="336" t="n"/>
      <c r="BV19" s="336" t="n"/>
      <c r="BW19" s="336" t="n"/>
      <c r="BX19" s="336" t="n"/>
      <c r="BY19" s="336" t="n"/>
      <c r="BZ19" s="336" t="n"/>
      <c r="CA19" s="336" t="n"/>
      <c r="CB19" s="336" t="n"/>
      <c r="CC19" s="336" t="n"/>
      <c r="CD19" s="336" t="n"/>
      <c r="CE19" s="336" t="n"/>
    </row>
    <row r="20" ht="72" customFormat="1" customHeight="1" s="538">
      <c r="A20" s="410" t="n">
        <v>2</v>
      </c>
      <c r="B20" s="410" t="inlineStr">
        <is>
          <t>a</t>
        </is>
      </c>
      <c r="C20" s="353" t="n">
        <v>1</v>
      </c>
      <c r="D20" s="311">
        <f>CONCATENATE(A$3,"_",A20,"_",B20,"_",C20)</f>
        <v/>
      </c>
      <c r="E20" s="427" t="inlineStr">
        <is>
          <t>2.Badanie technologii do śledzenia ruchu wózków widłowych i lokalizacji palet (np. GPS i RFID) pod kątem przechowywania inffromacjiw bazie danych. Przeprowadzenie analiz w celu optymalizacji tras wózków widłowych i efektywności składowania</t>
        </is>
      </c>
      <c r="F20" s="528">
        <f>IFERROR(VLOOKUP($I20,Listy!$A:$H,2,FALSE),"XXX")</f>
        <v/>
      </c>
      <c r="G20" s="528">
        <f>IFERROR(VLOOKUP($I20,Listy!$A:$H,3,FALSE),"XXX")</f>
        <v/>
      </c>
      <c r="H20" s="444" t="n">
        <v>5</v>
      </c>
      <c r="I20" s="89" t="inlineStr">
        <is>
          <t>.a04</t>
        </is>
      </c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4" t="n">
        <v>1</v>
      </c>
      <c r="O20" s="479" t="n">
        <v>160</v>
      </c>
      <c r="P20" s="187" t="n">
        <v>0</v>
      </c>
      <c r="Q20" s="187" t="n">
        <v>0</v>
      </c>
      <c r="R20" s="187" t="n">
        <v>0</v>
      </c>
      <c r="S20" s="187" t="n">
        <v>0</v>
      </c>
      <c r="T20" s="187" t="n">
        <v>0.2</v>
      </c>
      <c r="U20" s="187" t="n">
        <v>0.2</v>
      </c>
      <c r="V20" s="187" t="n">
        <v>0.2</v>
      </c>
      <c r="W20" s="187" t="n">
        <v>0.2</v>
      </c>
      <c r="X20" s="187" t="n">
        <v>0.2</v>
      </c>
      <c r="Y20" s="292" t="n">
        <v>0</v>
      </c>
      <c r="Z20" s="292" t="n">
        <v>0</v>
      </c>
      <c r="AA20" s="292" t="n">
        <v>0</v>
      </c>
      <c r="AB20" s="292" t="n">
        <v>0</v>
      </c>
      <c r="AC20" s="305" t="n"/>
      <c r="AD20" s="305" t="n"/>
      <c r="AE20" s="305" t="n"/>
      <c r="AF20" s="305" t="n"/>
      <c r="AG20" s="192">
        <f>ROUND($O20*P20,0)</f>
        <v/>
      </c>
      <c r="AH20" s="192">
        <f>ROUND($O20*Q20,0)</f>
        <v/>
      </c>
      <c r="AI20" s="192">
        <f>ROUND($O20*R20,0)</f>
        <v/>
      </c>
      <c r="AJ20" s="192">
        <f>ROUND($O20*S20,0)</f>
        <v/>
      </c>
      <c r="AK20" s="192">
        <f>ROUND($O20*T20,0)</f>
        <v/>
      </c>
      <c r="AL20" s="192">
        <f>ROUND($O20*U20,0)</f>
        <v/>
      </c>
      <c r="AM20" s="192">
        <f>ROUND($O20*V20,0)</f>
        <v/>
      </c>
      <c r="AN20" s="192">
        <f>ROUND($O20*W20,0)</f>
        <v/>
      </c>
      <c r="AO20" s="192">
        <f>ROUND($O20*X20,0)</f>
        <v/>
      </c>
      <c r="AP20" s="193">
        <f>ROUND($O20*Y20,0)</f>
        <v/>
      </c>
      <c r="AQ20" s="193">
        <f>ROUND($O20*Z20,0)</f>
        <v/>
      </c>
      <c r="AR20" s="193">
        <f>ROUND($O20*AA20,0)</f>
        <v/>
      </c>
      <c r="AS20" s="193">
        <f>ROUND($O20*AB20,0)</f>
        <v/>
      </c>
      <c r="AT20" s="306">
        <f>ROUND($O20*AC20,0)</f>
        <v/>
      </c>
      <c r="AU20" s="306">
        <f>ROUND($O20*AD20,0)</f>
        <v/>
      </c>
      <c r="AV20" s="306">
        <f>ROUND($O20*AE20,0)</f>
        <v/>
      </c>
      <c r="AW20" s="306">
        <f>ROUND($O20*AF20,0)</f>
        <v/>
      </c>
      <c r="AX20" s="236">
        <f>SUM(AG20:AO20)</f>
        <v/>
      </c>
      <c r="AY20" s="528">
        <f>AX20/160</f>
        <v/>
      </c>
      <c r="AZ20" s="87">
        <f>VLOOKUP(I20,Listy!$A$1:$H$9,6,FALSE)</f>
        <v/>
      </c>
      <c r="BA20" s="682">
        <f>AY20*AZ20</f>
        <v/>
      </c>
      <c r="BB20" s="683">
        <f>AY20*BA20</f>
        <v/>
      </c>
      <c r="BC20" s="528" t="n"/>
      <c r="BD20" s="336" t="n"/>
      <c r="BE20" s="336" t="n"/>
      <c r="BF20" s="336" t="n"/>
      <c r="BG20" s="336" t="n"/>
      <c r="BH20" s="336" t="n"/>
      <c r="BI20" s="336" t="n"/>
      <c r="BJ20" s="336" t="n"/>
      <c r="BK20" s="336" t="n"/>
      <c r="BL20" s="336" t="n"/>
      <c r="BM20" s="336" t="n"/>
      <c r="BN20" s="336" t="n"/>
      <c r="BO20" s="336" t="n"/>
      <c r="BP20" s="336" t="n"/>
      <c r="BQ20" s="336" t="n"/>
      <c r="BR20" s="336" t="n"/>
      <c r="BS20" s="336" t="n"/>
      <c r="BT20" s="336" t="n"/>
      <c r="BU20" s="336" t="n"/>
      <c r="BV20" s="336" t="n"/>
      <c r="BW20" s="336" t="n"/>
      <c r="BX20" s="336" t="n"/>
      <c r="BY20" s="336" t="n"/>
      <c r="BZ20" s="336" t="n"/>
      <c r="CA20" s="336" t="n"/>
      <c r="CB20" s="336" t="n"/>
      <c r="CC20" s="336" t="n"/>
      <c r="CD20" s="336" t="n"/>
      <c r="CE20" s="336" t="n"/>
    </row>
    <row r="21" ht="18" customFormat="1" customHeight="1" s="538">
      <c r="A21" s="410" t="n">
        <v>3</v>
      </c>
      <c r="B21" s="441" t="inlineStr">
        <is>
          <t>a</t>
        </is>
      </c>
      <c r="C21" s="353" t="n">
        <v>0</v>
      </c>
      <c r="D21" s="311">
        <f>CONCATENATE(A$3,"_",A21,"_",B21,"_",C21)</f>
        <v/>
      </c>
      <c r="E21" s="419" t="inlineStr">
        <is>
          <t>3.Implementacja BDMWS w infrastrukturze Wnioskodawcy w oparciu o wybrane platformy bazodanowe, np. Oracle, MSSQL, MySQL</t>
        </is>
      </c>
      <c r="F21" s="528" t="n"/>
      <c r="G21" s="528" t="n"/>
      <c r="H21" s="528" t="n"/>
      <c r="I21" s="528" t="n"/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4">
        <f>ROUND(MAX(AG21:AO21)/Listy!$U$2,0)</f>
        <v/>
      </c>
      <c r="O21" s="480" t="n"/>
      <c r="P21" s="528" t="n"/>
      <c r="Q21" s="528" t="n"/>
      <c r="R21" s="528" t="n"/>
      <c r="S21" s="528" t="n"/>
      <c r="T21" s="528" t="n"/>
      <c r="U21" s="528" t="n"/>
      <c r="V21" s="528" t="n"/>
      <c r="W21" s="528" t="n"/>
      <c r="X21" s="528" t="n"/>
      <c r="Y21" s="528" t="n"/>
      <c r="Z21" s="528" t="n"/>
      <c r="AA21" s="528" t="n"/>
      <c r="AB21" s="528" t="n"/>
      <c r="AC21" s="528" t="n"/>
      <c r="AD21" s="528" t="n"/>
      <c r="AE21" s="528" t="n"/>
      <c r="AF21" s="528" t="n"/>
      <c r="AG21" s="192">
        <f>ROUND($O21*P21,0)</f>
        <v/>
      </c>
      <c r="AH21" s="192">
        <f>ROUND($O21*Q21,0)</f>
        <v/>
      </c>
      <c r="AI21" s="192">
        <f>ROUND($O21*R21,0)</f>
        <v/>
      </c>
      <c r="AJ21" s="192">
        <f>ROUND($O21*S21,0)</f>
        <v/>
      </c>
      <c r="AK21" s="192">
        <f>ROUND($O21*T21,0)</f>
        <v/>
      </c>
      <c r="AL21" s="192">
        <f>ROUND($O21*U21,0)</f>
        <v/>
      </c>
      <c r="AM21" s="192">
        <f>ROUND($O21*V21,0)</f>
        <v/>
      </c>
      <c r="AN21" s="192">
        <f>ROUND($O21*W21,0)</f>
        <v/>
      </c>
      <c r="AO21" s="192">
        <f>ROUND($O21*X21,0)</f>
        <v/>
      </c>
      <c r="AP21" s="528" t="n"/>
      <c r="AQ21" s="528" t="n"/>
      <c r="AR21" s="528" t="n"/>
      <c r="AS21" s="528" t="n"/>
      <c r="AT21" s="528" t="n"/>
      <c r="AU21" s="528" t="n"/>
      <c r="AV21" s="528" t="n"/>
      <c r="AW21" s="528" t="n"/>
      <c r="AX21" s="528" t="n"/>
      <c r="AY21" s="528" t="n"/>
      <c r="AZ21" s="528" t="n"/>
      <c r="BA21" s="528" t="n"/>
      <c r="BB21" s="528" t="n"/>
      <c r="BC21" s="528" t="n"/>
      <c r="BD21" s="336" t="n"/>
      <c r="BE21" s="336" t="n"/>
      <c r="BF21" s="336" t="n"/>
      <c r="BG21" s="336" t="n"/>
      <c r="BH21" s="336" t="n"/>
      <c r="BI21" s="336" t="n"/>
      <c r="BJ21" s="336" t="n"/>
      <c r="BK21" s="336" t="n"/>
      <c r="BL21" s="336" t="n"/>
      <c r="BM21" s="336" t="n"/>
      <c r="BN21" s="336" t="n"/>
      <c r="BO21" s="336" t="n"/>
      <c r="BP21" s="336" t="n"/>
      <c r="BQ21" s="336" t="n"/>
      <c r="BR21" s="336" t="n"/>
      <c r="BS21" s="336" t="n"/>
      <c r="BT21" s="336" t="n"/>
      <c r="BU21" s="336" t="n"/>
      <c r="BV21" s="336" t="n"/>
      <c r="BW21" s="336" t="n"/>
      <c r="BX21" s="336" t="n"/>
      <c r="BY21" s="336" t="n"/>
      <c r="BZ21" s="336" t="n"/>
      <c r="CA21" s="336" t="n"/>
      <c r="CB21" s="336" t="n"/>
      <c r="CC21" s="336" t="n"/>
      <c r="CD21" s="336" t="n"/>
      <c r="CE21" s="336" t="n"/>
    </row>
    <row r="22" ht="15.6" customFormat="1" customHeight="1" s="538">
      <c r="A22" s="441" t="n">
        <v>3</v>
      </c>
      <c r="B22" s="441" t="inlineStr">
        <is>
          <t>a</t>
        </is>
      </c>
      <c r="C22" s="353" t="n">
        <v>1</v>
      </c>
      <c r="D22" s="311">
        <f>CONCATENATE(A$3,"_",A22,"_",B22,"_",C22)</f>
        <v/>
      </c>
      <c r="E22" s="425" t="inlineStr">
        <is>
          <t>Testowanie i walidacja platform bazodanowych (testy funkcjonalne i wydajnościowe, w tym obciążeniowe i regresyjne) jest kluczowe dla zapewnienia, że baza danych działa zgodnie z wymaganiami i jest gotowa do użycia</t>
        </is>
      </c>
      <c r="F22" s="528">
        <f>IFERROR(VLOOKUP($I22,Listy!$A:$H,2,FALSE),"XXX")</f>
        <v/>
      </c>
      <c r="G22" s="528">
        <f>IFERROR(VLOOKUP($I22,Listy!$A:$H,3,FALSE),"XXX")</f>
        <v/>
      </c>
      <c r="H22" s="444" t="n">
        <v>6</v>
      </c>
      <c r="I22" s="89" t="inlineStr">
        <is>
          <t>.a04</t>
        </is>
      </c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4" t="n">
        <v>1</v>
      </c>
      <c r="O22" s="479" t="n">
        <v>80</v>
      </c>
      <c r="P22" s="187" t="n">
        <v>0</v>
      </c>
      <c r="Q22" s="187" t="n">
        <v>0</v>
      </c>
      <c r="R22" s="187" t="n">
        <v>0</v>
      </c>
      <c r="S22" s="187" t="n">
        <v>0</v>
      </c>
      <c r="T22" s="187" t="n">
        <v>0.2</v>
      </c>
      <c r="U22" s="187" t="n">
        <v>0.2</v>
      </c>
      <c r="V22" s="187" t="n">
        <v>0.2</v>
      </c>
      <c r="W22" s="187" t="n">
        <v>0.2</v>
      </c>
      <c r="X22" s="187" t="n">
        <v>0.2</v>
      </c>
      <c r="Y22" s="292" t="n">
        <v>0</v>
      </c>
      <c r="Z22" s="292" t="n">
        <v>0</v>
      </c>
      <c r="AA22" s="292" t="n">
        <v>0</v>
      </c>
      <c r="AB22" s="292" t="n">
        <v>0</v>
      </c>
      <c r="AC22" s="305" t="n"/>
      <c r="AD22" s="305" t="n"/>
      <c r="AE22" s="305" t="n"/>
      <c r="AF22" s="305" t="n"/>
      <c r="AG22" s="192">
        <f>ROUND($O22*P22,0)</f>
        <v/>
      </c>
      <c r="AH22" s="192">
        <f>ROUND($O22*Q22,0)</f>
        <v/>
      </c>
      <c r="AI22" s="192">
        <f>ROUND($O22*R22,0)</f>
        <v/>
      </c>
      <c r="AJ22" s="192">
        <f>ROUND($O22*S22,0)</f>
        <v/>
      </c>
      <c r="AK22" s="192">
        <f>ROUND($O22*T22,0)</f>
        <v/>
      </c>
      <c r="AL22" s="192">
        <f>ROUND($O22*U22,0)</f>
        <v/>
      </c>
      <c r="AM22" s="192">
        <f>ROUND($O22*V22,0)</f>
        <v/>
      </c>
      <c r="AN22" s="192">
        <f>ROUND($O22*W22,0)</f>
        <v/>
      </c>
      <c r="AO22" s="192">
        <f>ROUND($O22*X22,0)</f>
        <v/>
      </c>
      <c r="AP22" s="193">
        <f>ROUND($O22*Y22,0)</f>
        <v/>
      </c>
      <c r="AQ22" s="193">
        <f>ROUND($O22*Z22,0)</f>
        <v/>
      </c>
      <c r="AR22" s="193">
        <f>ROUND($O22*AA22,0)</f>
        <v/>
      </c>
      <c r="AS22" s="193">
        <f>ROUND($O22*AB22,0)</f>
        <v/>
      </c>
      <c r="AT22" s="306">
        <f>ROUND($O22*AC22,0)</f>
        <v/>
      </c>
      <c r="AU22" s="306">
        <f>ROUND($O22*AD22,0)</f>
        <v/>
      </c>
      <c r="AV22" s="306">
        <f>ROUND($O22*AE22,0)</f>
        <v/>
      </c>
      <c r="AW22" s="306">
        <f>ROUND($O22*AF22,0)</f>
        <v/>
      </c>
      <c r="AX22" s="236">
        <f>SUM(AG22:AO22)</f>
        <v/>
      </c>
      <c r="AY22" s="528">
        <f>AX22/160</f>
        <v/>
      </c>
      <c r="AZ22" s="87">
        <f>VLOOKUP(I22,Listy!$A$1:$H$9,6,FALSE)</f>
        <v/>
      </c>
      <c r="BA22" s="682">
        <f>AY22*AZ22</f>
        <v/>
      </c>
      <c r="BB22" s="683">
        <f>AY22*BA22</f>
        <v/>
      </c>
      <c r="BC22" s="528" t="n"/>
      <c r="BD22" s="336" t="n"/>
      <c r="BE22" s="336" t="n"/>
      <c r="BF22" s="336" t="n"/>
      <c r="BG22" s="336" t="n"/>
      <c r="BH22" s="336" t="n"/>
      <c r="BI22" s="336" t="n"/>
      <c r="BJ22" s="336" t="n"/>
      <c r="BK22" s="336" t="n"/>
      <c r="BL22" s="336" t="n"/>
      <c r="BM22" s="336" t="n"/>
      <c r="BN22" s="336" t="n"/>
      <c r="BO22" s="336" t="n"/>
      <c r="BP22" s="336" t="n"/>
      <c r="BQ22" s="336" t="n"/>
      <c r="BR22" s="336" t="n"/>
      <c r="BS22" s="336" t="n"/>
      <c r="BT22" s="336" t="n"/>
      <c r="BU22" s="336" t="n"/>
      <c r="BV22" s="336" t="n"/>
      <c r="BW22" s="336" t="n"/>
      <c r="BX22" s="336" t="n"/>
      <c r="BY22" s="336" t="n"/>
      <c r="BZ22" s="336" t="n"/>
      <c r="CA22" s="336" t="n"/>
      <c r="CB22" s="336" t="n"/>
      <c r="CC22" s="336" t="n"/>
      <c r="CD22" s="336" t="n"/>
      <c r="CE22" s="336" t="n"/>
    </row>
    <row r="23" ht="15.6" customFormat="1" customHeight="1" s="538">
      <c r="A23" s="441" t="n">
        <v>3</v>
      </c>
      <c r="B23" s="441" t="inlineStr">
        <is>
          <t>b</t>
        </is>
      </c>
      <c r="C23" s="353" t="n">
        <v>1</v>
      </c>
      <c r="D23" s="311">
        <f>CONCATENATE(A$3,"_",A23,"_",B23,"_",C23)</f>
        <v/>
      </c>
      <c r="E23" s="425" t="inlineStr">
        <is>
          <t>Wybór platformy bazodanowej na podstawie testów wydajnościowych BDMWS</t>
        </is>
      </c>
      <c r="F23" s="528">
        <f>IFERROR(VLOOKUP($I23,Listy!$A:$H,2,FALSE),"XXX")</f>
        <v/>
      </c>
      <c r="G23" s="528">
        <f>IFERROR(VLOOKUP($I23,Listy!$A:$H,3,FALSE),"XXX")</f>
        <v/>
      </c>
      <c r="H23" s="444" t="n">
        <v>6</v>
      </c>
      <c r="I23" s="89" t="inlineStr">
        <is>
          <t>.a05</t>
        </is>
      </c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>
        <f>ROUND(MAX(AG23:AO23)/Listy!$U$2,0)</f>
        <v/>
      </c>
      <c r="O23" s="479" t="n">
        <v>8</v>
      </c>
      <c r="P23" s="187" t="n">
        <v>0</v>
      </c>
      <c r="Q23" s="187" t="n">
        <v>0</v>
      </c>
      <c r="R23" s="187" t="n">
        <v>0</v>
      </c>
      <c r="S23" s="187" t="n">
        <v>0</v>
      </c>
      <c r="T23" s="187" t="n">
        <v>0.2</v>
      </c>
      <c r="U23" s="187" t="n">
        <v>0.2</v>
      </c>
      <c r="V23" s="187" t="n">
        <v>0.2</v>
      </c>
      <c r="W23" s="187" t="n">
        <v>0.2</v>
      </c>
      <c r="X23" s="187" t="n">
        <v>0.2</v>
      </c>
      <c r="Y23" s="292" t="n">
        <v>0</v>
      </c>
      <c r="Z23" s="292" t="n">
        <v>0</v>
      </c>
      <c r="AA23" s="292" t="n">
        <v>0</v>
      </c>
      <c r="AB23" s="292" t="n">
        <v>0</v>
      </c>
      <c r="AC23" s="305" t="n"/>
      <c r="AD23" s="305" t="n"/>
      <c r="AE23" s="305" t="n"/>
      <c r="AF23" s="305" t="n"/>
      <c r="AG23" s="192">
        <f>ROUND($O23*P23,0)</f>
        <v/>
      </c>
      <c r="AH23" s="192">
        <f>ROUND($O23*Q23,0)</f>
        <v/>
      </c>
      <c r="AI23" s="192">
        <f>ROUND($O23*R23,0)</f>
        <v/>
      </c>
      <c r="AJ23" s="192">
        <f>ROUND($O23*S23,0)</f>
        <v/>
      </c>
      <c r="AK23" s="192">
        <f>ROUND($O23*T23,0)</f>
        <v/>
      </c>
      <c r="AL23" s="192">
        <f>ROUND($O23*U23,0)</f>
        <v/>
      </c>
      <c r="AM23" s="192">
        <f>ROUND($O23*V23,0)</f>
        <v/>
      </c>
      <c r="AN23" s="192">
        <f>ROUND($O23*W23,0)</f>
        <v/>
      </c>
      <c r="AO23" s="192">
        <f>ROUND($O23*X23,0)</f>
        <v/>
      </c>
      <c r="AP23" s="193">
        <f>ROUND($O23*Y23,0)</f>
        <v/>
      </c>
      <c r="AQ23" s="193">
        <f>ROUND($O23*Z23,0)</f>
        <v/>
      </c>
      <c r="AR23" s="193">
        <f>ROUND($O23*AA23,0)</f>
        <v/>
      </c>
      <c r="AS23" s="193">
        <f>ROUND($O23*AB23,0)</f>
        <v/>
      </c>
      <c r="AT23" s="306">
        <f>ROUND($O23*AC23,0)</f>
        <v/>
      </c>
      <c r="AU23" s="306">
        <f>ROUND($O23*AD23,0)</f>
        <v/>
      </c>
      <c r="AV23" s="306">
        <f>ROUND($O23*AE23,0)</f>
        <v/>
      </c>
      <c r="AW23" s="306">
        <f>ROUND($O23*AF23,0)</f>
        <v/>
      </c>
      <c r="AX23" s="236">
        <f>SUM(AG23:AO23)</f>
        <v/>
      </c>
      <c r="AY23" s="528">
        <f>AX23/160</f>
        <v/>
      </c>
      <c r="AZ23" s="87">
        <f>VLOOKUP(I23,Listy!$A$1:$H$9,6,FALSE)</f>
        <v/>
      </c>
      <c r="BA23" s="682">
        <f>AY23*AZ23</f>
        <v/>
      </c>
      <c r="BB23" s="683">
        <f>AY23*BA23</f>
        <v/>
      </c>
      <c r="BC23" s="528" t="n"/>
      <c r="BD23" s="336" t="n"/>
      <c r="BE23" s="336" t="n"/>
      <c r="BF23" s="336" t="n"/>
      <c r="BG23" s="336" t="n"/>
      <c r="BH23" s="336" t="n"/>
      <c r="BI23" s="336" t="n"/>
      <c r="BJ23" s="336" t="n"/>
      <c r="BK23" s="336" t="n"/>
      <c r="BL23" s="336" t="n"/>
      <c r="BM23" s="336" t="n"/>
      <c r="BN23" s="336" t="n"/>
      <c r="BO23" s="336" t="n"/>
      <c r="BP23" s="336" t="n"/>
      <c r="BQ23" s="336" t="n"/>
      <c r="BR23" s="336" t="n"/>
      <c r="BS23" s="336" t="n"/>
      <c r="BT23" s="336" t="n"/>
      <c r="BU23" s="336" t="n"/>
      <c r="BV23" s="336" t="n"/>
      <c r="BW23" s="336" t="n"/>
      <c r="BX23" s="336" t="n"/>
      <c r="BY23" s="336" t="n"/>
      <c r="BZ23" s="336" t="n"/>
      <c r="CA23" s="336" t="n"/>
      <c r="CB23" s="336" t="n"/>
      <c r="CC23" s="336" t="n"/>
      <c r="CD23" s="336" t="n"/>
      <c r="CE23" s="336" t="n"/>
    </row>
    <row r="24" ht="15.6" customFormat="1" customHeight="1" s="538">
      <c r="A24" s="441" t="n">
        <v>3</v>
      </c>
      <c r="B24" s="441" t="inlineStr">
        <is>
          <t>c</t>
        </is>
      </c>
      <c r="C24" s="353" t="n">
        <v>1</v>
      </c>
      <c r="D24" s="311">
        <f>CONCATENATE(A$3,"_",A24,"_",B24,"_",C24)</f>
        <v/>
      </c>
      <c r="E24" s="425" t="inlineStr">
        <is>
          <t>Wybór odpowiedniej platformy technologicznej zapewniającej skalowalność, bezpieczeństwo i wydajność analiz AI/ML</t>
        </is>
      </c>
      <c r="F24" s="528">
        <f>IFERROR(VLOOKUP($I24,Listy!$A:$H,2,FALSE),"XXX")</f>
        <v/>
      </c>
      <c r="G24" s="528">
        <f>IFERROR(VLOOKUP($I24,Listy!$A:$H,3,FALSE),"XXX")</f>
        <v/>
      </c>
      <c r="H24" s="444" t="n">
        <v>6</v>
      </c>
      <c r="I24" s="89" t="inlineStr">
        <is>
          <t>.a04</t>
        </is>
      </c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4">
        <f>ROUND(MAX(AG24:AO24)/Listy!$U$2,0)</f>
        <v/>
      </c>
      <c r="O24" s="479" t="n">
        <v>8</v>
      </c>
      <c r="P24" s="187" t="n">
        <v>0</v>
      </c>
      <c r="Q24" s="187" t="n">
        <v>0</v>
      </c>
      <c r="R24" s="187" t="n">
        <v>0</v>
      </c>
      <c r="S24" s="187" t="n">
        <v>0</v>
      </c>
      <c r="T24" s="187" t="n">
        <v>0.2</v>
      </c>
      <c r="U24" s="187" t="n">
        <v>0.2</v>
      </c>
      <c r="V24" s="187" t="n">
        <v>0.2</v>
      </c>
      <c r="W24" s="187" t="n">
        <v>0.2</v>
      </c>
      <c r="X24" s="187" t="n">
        <v>0.2</v>
      </c>
      <c r="Y24" s="292" t="n">
        <v>0</v>
      </c>
      <c r="Z24" s="292" t="n">
        <v>0</v>
      </c>
      <c r="AA24" s="292" t="n">
        <v>0</v>
      </c>
      <c r="AB24" s="292" t="n">
        <v>0</v>
      </c>
      <c r="AC24" s="305" t="n"/>
      <c r="AD24" s="305" t="n"/>
      <c r="AE24" s="305" t="n"/>
      <c r="AF24" s="305" t="n"/>
      <c r="AG24" s="192">
        <f>ROUND($O24*P24,0)</f>
        <v/>
      </c>
      <c r="AH24" s="192">
        <f>ROUND($O24*Q24,0)</f>
        <v/>
      </c>
      <c r="AI24" s="192">
        <f>ROUND($O24*R24,0)</f>
        <v/>
      </c>
      <c r="AJ24" s="192">
        <f>ROUND($O24*S24,0)</f>
        <v/>
      </c>
      <c r="AK24" s="192">
        <f>ROUND($O24*T24,0)</f>
        <v/>
      </c>
      <c r="AL24" s="192">
        <f>ROUND($O24*U24,0)</f>
        <v/>
      </c>
      <c r="AM24" s="192">
        <f>ROUND($O24*V24,0)</f>
        <v/>
      </c>
      <c r="AN24" s="192">
        <f>ROUND($O24*W24,0)</f>
        <v/>
      </c>
      <c r="AO24" s="192">
        <f>ROUND($O24*X24,0)</f>
        <v/>
      </c>
      <c r="AP24" s="193">
        <f>ROUND($O24*Y24,0)</f>
        <v/>
      </c>
      <c r="AQ24" s="193">
        <f>ROUND($O24*Z24,0)</f>
        <v/>
      </c>
      <c r="AR24" s="193">
        <f>ROUND($O24*AA24,0)</f>
        <v/>
      </c>
      <c r="AS24" s="193">
        <f>ROUND($O24*AB24,0)</f>
        <v/>
      </c>
      <c r="AT24" s="306">
        <f>ROUND($O24*AC24,0)</f>
        <v/>
      </c>
      <c r="AU24" s="306">
        <f>ROUND($O24*AD24,0)</f>
        <v/>
      </c>
      <c r="AV24" s="306">
        <f>ROUND($O24*AE24,0)</f>
        <v/>
      </c>
      <c r="AW24" s="306">
        <f>ROUND($O24*AF24,0)</f>
        <v/>
      </c>
      <c r="AX24" s="236">
        <f>SUM(AG24:AO24)</f>
        <v/>
      </c>
      <c r="AY24" s="528">
        <f>AX24/160</f>
        <v/>
      </c>
      <c r="AZ24" s="87">
        <f>VLOOKUP(I24,Listy!$A$1:$H$9,6,FALSE)</f>
        <v/>
      </c>
      <c r="BA24" s="682">
        <f>AY24*AZ24</f>
        <v/>
      </c>
      <c r="BB24" s="683">
        <f>AY24*BA24</f>
        <v/>
      </c>
      <c r="BC24" s="528" t="n"/>
      <c r="BD24" s="336" t="n"/>
      <c r="BE24" s="336" t="n"/>
      <c r="BF24" s="336" t="n"/>
      <c r="BG24" s="336" t="n"/>
      <c r="BH24" s="336" t="n"/>
      <c r="BJ24" s="336" t="n"/>
      <c r="BK24" s="336" t="n"/>
      <c r="BM24" s="336" t="n"/>
      <c r="BN24" s="336" t="n"/>
      <c r="BP24" s="336" t="n"/>
      <c r="BQ24" s="336" t="n"/>
      <c r="BT24" s="336" t="n"/>
      <c r="BU24" s="336" t="n"/>
      <c r="BV24" s="336" t="n"/>
      <c r="BX24" s="336" t="n"/>
      <c r="BY24" s="336" t="n"/>
      <c r="BZ24" s="336" t="n"/>
      <c r="CB24" s="336" t="n"/>
      <c r="CC24" s="336" t="n"/>
      <c r="CD24" s="336" t="n"/>
    </row>
    <row r="25" ht="15.6" customFormat="1" customHeight="1" s="538">
      <c r="A25" s="441" t="n">
        <v>3</v>
      </c>
      <c r="B25" s="441" t="inlineStr">
        <is>
          <t>d</t>
        </is>
      </c>
      <c r="C25" s="353" t="n">
        <v>1</v>
      </c>
      <c r="D25" s="311">
        <f>CONCATENATE(A$3,"_",A25,"_",B25,"_",C25)</f>
        <v/>
      </c>
      <c r="E25" s="425" t="inlineStr">
        <is>
          <t>Fizyczna implementacja BDMWS na platformach technologicznych (np. Google Cloud, Microsoft Azure, NVidia AI)</t>
        </is>
      </c>
      <c r="F25" s="528">
        <f>IFERROR(VLOOKUP($I25,Listy!$A:$H,2,FALSE),"XXX")</f>
        <v/>
      </c>
      <c r="G25" s="528">
        <f>IFERROR(VLOOKUP($I25,Listy!$A:$H,3,FALSE),"XXX")</f>
        <v/>
      </c>
      <c r="H25" s="444" t="n">
        <v>7</v>
      </c>
      <c r="I25" s="89" t="inlineStr">
        <is>
          <t>.a05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4" t="n">
        <v>1</v>
      </c>
      <c r="O25" s="479" t="n">
        <v>100</v>
      </c>
      <c r="P25" s="187" t="n">
        <v>0</v>
      </c>
      <c r="Q25" s="187" t="n">
        <v>0</v>
      </c>
      <c r="R25" s="187" t="n">
        <v>0</v>
      </c>
      <c r="S25" s="187" t="n">
        <v>0</v>
      </c>
      <c r="T25" s="187" t="n">
        <v>0.2</v>
      </c>
      <c r="U25" s="187" t="n">
        <v>0.2</v>
      </c>
      <c r="V25" s="187" t="n">
        <v>0.2</v>
      </c>
      <c r="W25" s="187" t="n">
        <v>0.2</v>
      </c>
      <c r="X25" s="187" t="n">
        <v>0.2</v>
      </c>
      <c r="Y25" s="292" t="n">
        <v>0</v>
      </c>
      <c r="Z25" s="292" t="n">
        <v>0</v>
      </c>
      <c r="AA25" s="292" t="n">
        <v>0</v>
      </c>
      <c r="AB25" s="292" t="n">
        <v>0</v>
      </c>
      <c r="AC25" s="305" t="n"/>
      <c r="AD25" s="305" t="n"/>
      <c r="AE25" s="305" t="n"/>
      <c r="AF25" s="305" t="n"/>
      <c r="AG25" s="192">
        <f>ROUND($O25*P25,0)</f>
        <v/>
      </c>
      <c r="AH25" s="192">
        <f>ROUND($O25*Q25,0)</f>
        <v/>
      </c>
      <c r="AI25" s="192">
        <f>ROUND($O25*R25,0)</f>
        <v/>
      </c>
      <c r="AJ25" s="192">
        <f>ROUND($O25*S25,0)</f>
        <v/>
      </c>
      <c r="AK25" s="192">
        <f>ROUND($O25*T25,0)</f>
        <v/>
      </c>
      <c r="AL25" s="192">
        <f>ROUND($O25*U25,0)</f>
        <v/>
      </c>
      <c r="AM25" s="192">
        <f>ROUND($O25*V25,0)</f>
        <v/>
      </c>
      <c r="AN25" s="192">
        <f>ROUND($O25*W25,0)</f>
        <v/>
      </c>
      <c r="AO25" s="192">
        <f>ROUND($O25*X25,0)</f>
        <v/>
      </c>
      <c r="AP25" s="193">
        <f>ROUND($O25*Y25,0)</f>
        <v/>
      </c>
      <c r="AQ25" s="193">
        <f>ROUND($O25*Z25,0)</f>
        <v/>
      </c>
      <c r="AR25" s="193">
        <f>ROUND($O25*AA25,0)</f>
        <v/>
      </c>
      <c r="AS25" s="193">
        <f>ROUND($O25*AB25,0)</f>
        <v/>
      </c>
      <c r="AT25" s="306">
        <f>ROUND($O25*AC25,0)</f>
        <v/>
      </c>
      <c r="AU25" s="306">
        <f>ROUND($O25*AD25,0)</f>
        <v/>
      </c>
      <c r="AV25" s="306">
        <f>ROUND($O25*AE25,0)</f>
        <v/>
      </c>
      <c r="AW25" s="306">
        <f>ROUND($O25*AF25,0)</f>
        <v/>
      </c>
      <c r="AX25" s="236">
        <f>SUM(AG25:AO25)</f>
        <v/>
      </c>
      <c r="AY25" s="528">
        <f>AX25/160</f>
        <v/>
      </c>
      <c r="AZ25" s="87">
        <f>VLOOKUP(I25,Listy!$A$1:$H$9,6,FALSE)</f>
        <v/>
      </c>
      <c r="BA25" s="682">
        <f>AY25*AZ25</f>
        <v/>
      </c>
      <c r="BB25" s="683">
        <f>AY25*BA25</f>
        <v/>
      </c>
      <c r="BC25" s="528" t="n"/>
      <c r="BD25" s="336" t="n"/>
      <c r="BE25" s="336" t="n"/>
      <c r="BF25" s="336" t="n"/>
      <c r="BG25" s="336" t="n"/>
      <c r="BH25" s="336" t="n"/>
      <c r="BJ25" s="336" t="n"/>
      <c r="BK25" s="336" t="n"/>
      <c r="BM25" s="336" t="n"/>
      <c r="BN25" s="336" t="n"/>
      <c r="BP25" s="336" t="n"/>
      <c r="BQ25" s="336" t="n"/>
      <c r="BT25" s="336" t="n"/>
      <c r="BU25" s="336" t="n"/>
      <c r="BV25" s="336" t="n"/>
      <c r="BX25" s="336" t="n"/>
      <c r="BY25" s="336" t="n"/>
      <c r="BZ25" s="336" t="n"/>
      <c r="CB25" s="336" t="n"/>
      <c r="CC25" s="336" t="n"/>
      <c r="CD25" s="336" t="n"/>
    </row>
    <row r="26" ht="15.6" customFormat="1" customHeight="1" s="538">
      <c r="A26" s="441" t="n">
        <v>3</v>
      </c>
      <c r="B26" s="429" t="inlineStr">
        <is>
          <t>e</t>
        </is>
      </c>
      <c r="C26" s="353" t="n">
        <v>1</v>
      </c>
      <c r="D26" s="311">
        <f>CONCATENATE(A$3,"_",A26,"_",B26,"_",C26)</f>
        <v/>
      </c>
      <c r="E26" s="426" t="inlineStr">
        <is>
          <t>Utworzenie mechanizmu do transferu danych między infrastrukturą Wnioskodawcy a platformami technologicznymi (np. Google Cloud, Microsoft Azure, NVidia AI)</t>
        </is>
      </c>
      <c r="F26" s="528">
        <f>IFERROR(VLOOKUP($I26,Listy!$A:$H,2,FALSE),"XXX")</f>
        <v/>
      </c>
      <c r="G26" s="528">
        <f>IFERROR(VLOOKUP($I26,Listy!$A:$H,3,FALSE),"XXX")</f>
        <v/>
      </c>
      <c r="H26" s="444" t="n">
        <v>8</v>
      </c>
      <c r="I26" s="89" t="inlineStr">
        <is>
          <t>.e01</t>
        </is>
      </c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4" t="n">
        <v>1</v>
      </c>
      <c r="O26" s="479" t="n">
        <v>200</v>
      </c>
      <c r="P26" s="187" t="n">
        <v>0</v>
      </c>
      <c r="Q26" s="187" t="n">
        <v>0</v>
      </c>
      <c r="R26" s="187" t="n">
        <v>0</v>
      </c>
      <c r="S26" s="187" t="n">
        <v>0</v>
      </c>
      <c r="T26" s="187" t="n">
        <v>0.12</v>
      </c>
      <c r="U26" s="187" t="n">
        <v>0.12</v>
      </c>
      <c r="V26" s="187" t="n">
        <v>0.12</v>
      </c>
      <c r="W26" s="187" t="n">
        <v>0.12</v>
      </c>
      <c r="X26" s="187" t="n">
        <v>0.12</v>
      </c>
      <c r="Y26" s="292" t="n">
        <v>0.4</v>
      </c>
      <c r="Z26" s="292" t="n">
        <v>0</v>
      </c>
      <c r="AA26" s="292" t="n">
        <v>0</v>
      </c>
      <c r="AB26" s="292" t="n">
        <v>0</v>
      </c>
      <c r="AC26" s="305" t="n"/>
      <c r="AD26" s="305" t="n"/>
      <c r="AE26" s="305" t="n"/>
      <c r="AF26" s="305" t="n"/>
      <c r="AG26" s="192">
        <f>ROUND($O26*P26,0)</f>
        <v/>
      </c>
      <c r="AH26" s="192">
        <f>ROUND($O26*Q26,0)</f>
        <v/>
      </c>
      <c r="AI26" s="192">
        <f>ROUND($O26*R26,0)</f>
        <v/>
      </c>
      <c r="AJ26" s="192">
        <f>ROUND($O26*S26,0)</f>
        <v/>
      </c>
      <c r="AK26" s="192">
        <f>ROUND($O26*T26,0)</f>
        <v/>
      </c>
      <c r="AL26" s="192">
        <f>ROUND($O26*U26,0)</f>
        <v/>
      </c>
      <c r="AM26" s="192">
        <f>ROUND($O26*V26,0)</f>
        <v/>
      </c>
      <c r="AN26" s="192">
        <f>ROUND($O26*W26,0)</f>
        <v/>
      </c>
      <c r="AO26" s="192">
        <f>ROUND($O26*X26,0)</f>
        <v/>
      </c>
      <c r="AP26" s="193">
        <f>ROUND($O26*Y26,0)</f>
        <v/>
      </c>
      <c r="AQ26" s="193">
        <f>ROUND($O26*Z26,0)</f>
        <v/>
      </c>
      <c r="AR26" s="193">
        <f>ROUND($O26*AA26,0)</f>
        <v/>
      </c>
      <c r="AS26" s="193">
        <f>ROUND($O26*AB26,0)</f>
        <v/>
      </c>
      <c r="AT26" s="306">
        <f>ROUND($O26*AC26,0)</f>
        <v/>
      </c>
      <c r="AU26" s="306">
        <f>ROUND($O26*AD26,0)</f>
        <v/>
      </c>
      <c r="AV26" s="306">
        <f>ROUND($O26*AE26,0)</f>
        <v/>
      </c>
      <c r="AW26" s="306">
        <f>ROUND($O26*AF26,0)</f>
        <v/>
      </c>
      <c r="AX26" s="236">
        <f>SUM(AG26:AO26)</f>
        <v/>
      </c>
      <c r="AY26" s="528">
        <f>AX26/160</f>
        <v/>
      </c>
      <c r="AZ26" s="87">
        <f>VLOOKUP(I26,Listy!$A$1:$H$9,6,FALSE)</f>
        <v/>
      </c>
      <c r="BA26" s="682">
        <f>AY26*AZ26</f>
        <v/>
      </c>
      <c r="BB26" s="683">
        <f>AY26*BA26</f>
        <v/>
      </c>
      <c r="BC26" s="528" t="n"/>
      <c r="BD26" s="336" t="n"/>
      <c r="BE26" s="336" t="n"/>
      <c r="BF26" s="336" t="n"/>
      <c r="BG26" s="336" t="n"/>
      <c r="BH26" s="336" t="n"/>
      <c r="BJ26" s="336" t="n"/>
      <c r="BK26" s="336" t="n"/>
      <c r="BM26" s="336" t="n"/>
      <c r="BN26" s="336" t="n"/>
      <c r="BP26" s="336" t="n"/>
      <c r="BQ26" s="336" t="n"/>
      <c r="BT26" s="336" t="n"/>
      <c r="BU26" s="336" t="n"/>
      <c r="BV26" s="336" t="n"/>
      <c r="BX26" s="336" t="n"/>
      <c r="BY26" s="336" t="n"/>
      <c r="BZ26" s="336" t="n"/>
      <c r="CB26" s="336" t="n"/>
      <c r="CC26" s="336" t="n"/>
      <c r="CD26" s="336" t="n"/>
    </row>
    <row r="27" ht="18" customFormat="1" customHeight="1" s="538">
      <c r="A27" s="410" t="n">
        <v>4</v>
      </c>
      <c r="B27" s="538" t="inlineStr">
        <is>
          <t>a</t>
        </is>
      </c>
      <c r="C27" s="353" t="n">
        <v>1</v>
      </c>
      <c r="D27" s="311">
        <f>CONCATENATE(A$3,"_",A27,"_",B27,"_",C27)</f>
        <v/>
      </c>
      <c r="E27" s="410" t="inlineStr">
        <is>
          <t>4.Opracowanie narzędzi do automatycznego monitorowania, wykrywających anomalie i nieprawidłowości w danych w czasie rzeczywistym, współpracujących z wybraną platformą bazodanową, przeprowadzających au-tomatyczne sprawdzanie kompletności rekordów. Flagowane będą rekordy z brakującymi danymi natychmiast po ich wprowadzeniu/aktualizacji i wysyłane powiadomienia do administratorów, gdy liczba tych rekordów przekro-czy próg 10 rekordów. Będą śledzić czas ostatniej aktualizacji każdego rekordu, flagując te, które nie były aktua-lizowane zgodnie z ustalonym harmonogramem (co 24h i generować odpowiednie alerty.</t>
        </is>
      </c>
      <c r="F27" s="528" t="n"/>
      <c r="G27" s="528">
        <f>IFERROR(VLOOKUP($I27,Listy!$A:$H,3,FALSE),"XXX")</f>
        <v/>
      </c>
      <c r="H27" s="444" t="n">
        <v>9</v>
      </c>
      <c r="I27" s="89" t="inlineStr">
        <is>
          <t>.a05</t>
        </is>
      </c>
      <c r="J27" s="91">
        <f>M26+1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4">
        <f>ROUND(MAX(AG27:AO27)/Listy!$U$2,0)</f>
        <v/>
      </c>
      <c r="O27" s="479" t="n">
        <v>30</v>
      </c>
      <c r="P27" s="187" t="n">
        <v>0</v>
      </c>
      <c r="Q27" s="187" t="n">
        <v>0</v>
      </c>
      <c r="R27" s="187" t="n">
        <v>0</v>
      </c>
      <c r="S27" s="187" t="n">
        <v>0</v>
      </c>
      <c r="T27" s="187" t="n">
        <v>0.2</v>
      </c>
      <c r="U27" s="187" t="n">
        <v>0.2</v>
      </c>
      <c r="V27" s="187" t="n">
        <v>0.2</v>
      </c>
      <c r="W27" s="187" t="n">
        <v>0.2</v>
      </c>
      <c r="X27" s="187" t="n">
        <v>0.2</v>
      </c>
      <c r="Y27" s="292" t="n">
        <v>0</v>
      </c>
      <c r="Z27" s="292" t="n">
        <v>0</v>
      </c>
      <c r="AA27" s="292" t="n">
        <v>0</v>
      </c>
      <c r="AB27" s="292" t="n">
        <v>0</v>
      </c>
      <c r="AC27" s="305" t="n"/>
      <c r="AD27" s="305" t="n"/>
      <c r="AE27" s="305" t="n"/>
      <c r="AF27" s="305" t="n"/>
      <c r="AG27" s="192">
        <f>ROUND($O27*P27,0)</f>
        <v/>
      </c>
      <c r="AH27" s="192">
        <f>ROUND($O27*Q27,0)</f>
        <v/>
      </c>
      <c r="AI27" s="192">
        <f>ROUND($O27*R27,0)</f>
        <v/>
      </c>
      <c r="AJ27" s="192">
        <f>ROUND($O27*S27,0)</f>
        <v/>
      </c>
      <c r="AK27" s="192">
        <f>ROUND($O27*T27,0)</f>
        <v/>
      </c>
      <c r="AL27" s="192">
        <f>ROUND($O27*U27,0)</f>
        <v/>
      </c>
      <c r="AM27" s="192">
        <f>ROUND($O27*V27,0)</f>
        <v/>
      </c>
      <c r="AN27" s="192">
        <f>ROUND($O27*W27,0)</f>
        <v/>
      </c>
      <c r="AO27" s="192">
        <f>ROUND($O27*X27,0)</f>
        <v/>
      </c>
      <c r="AP27" s="193">
        <f>ROUND($O27*Y27,0)</f>
        <v/>
      </c>
      <c r="AQ27" s="193">
        <f>ROUND($O27*Z27,0)</f>
        <v/>
      </c>
      <c r="AR27" s="193">
        <f>ROUND($O27*AA27,0)</f>
        <v/>
      </c>
      <c r="AS27" s="193">
        <f>ROUND($O27*AB27,0)</f>
        <v/>
      </c>
      <c r="AT27" s="306">
        <f>ROUND($O27*AC27,0)</f>
        <v/>
      </c>
      <c r="AU27" s="306">
        <f>ROUND($O27*AD27,0)</f>
        <v/>
      </c>
      <c r="AV27" s="306">
        <f>ROUND($O27*AE27,0)</f>
        <v/>
      </c>
      <c r="AW27" s="306">
        <f>ROUND($O27*AF27,0)</f>
        <v/>
      </c>
      <c r="AX27" s="236">
        <f>SUM(AG27:AO27)</f>
        <v/>
      </c>
      <c r="AY27" s="528">
        <f>AX27/160</f>
        <v/>
      </c>
      <c r="AZ27" s="87">
        <f>VLOOKUP(I27,Listy!$A$1:$H$9,6,FALSE)</f>
        <v/>
      </c>
      <c r="BA27" s="682">
        <f>AY27*AZ27</f>
        <v/>
      </c>
      <c r="BB27" s="683">
        <f>AY27*BA27</f>
        <v/>
      </c>
      <c r="BC27" s="528" t="n"/>
      <c r="BD27" s="336" t="n"/>
      <c r="BE27" s="336" t="n"/>
      <c r="BF27" s="336" t="n"/>
      <c r="BG27" s="336" t="n"/>
      <c r="BH27" s="336" t="n"/>
      <c r="BI27" s="336" t="n"/>
      <c r="BJ27" s="336" t="n"/>
      <c r="BK27" s="336" t="n"/>
      <c r="BL27" s="336" t="n"/>
      <c r="BM27" s="336" t="n"/>
      <c r="BN27" s="336" t="n"/>
      <c r="BO27" s="336" t="n"/>
      <c r="BP27" s="336" t="n"/>
      <c r="BQ27" s="336" t="n"/>
      <c r="BR27" s="336" t="n"/>
      <c r="BS27" s="336" t="n"/>
      <c r="BT27" s="336" t="n"/>
      <c r="BU27" s="336" t="n"/>
      <c r="BV27" s="336" t="n"/>
      <c r="BW27" s="336" t="n"/>
      <c r="BX27" s="336" t="n"/>
      <c r="BY27" s="336" t="n"/>
      <c r="BZ27" s="336" t="n"/>
      <c r="CA27" s="336" t="n"/>
      <c r="CB27" s="336" t="n"/>
      <c r="CC27" s="336" t="n"/>
      <c r="CD27" s="336" t="n"/>
      <c r="CE27" s="336" t="n"/>
    </row>
    <row r="28" ht="18" customFormat="1" customHeight="1" s="538">
      <c r="A28" s="410" t="n">
        <v>5</v>
      </c>
      <c r="B28" s="441" t="inlineStr">
        <is>
          <t>a</t>
        </is>
      </c>
      <c r="C28" s="353" t="n">
        <v>0</v>
      </c>
      <c r="D28" s="311">
        <f>CONCATENATE(A$3,"_",A28,"_",B28,"_",C28)</f>
        <v/>
      </c>
      <c r="E28" s="410" t="inlineStr">
        <is>
          <t>5.Połączenie BDMWS z wybranym systemem AI/ML, co pozwoli na zbadanie potencjału zaawansowanych me-tod analitycznych AI/ML w celu zwiększenia wydajności procesów magazynowych.</t>
        </is>
      </c>
      <c r="F28" s="528" t="n"/>
      <c r="G28" s="528" t="n"/>
      <c r="H28" s="528" t="n"/>
      <c r="I28" s="528" t="n"/>
      <c r="J28" s="91">
        <f>M27+1</f>
        <v/>
      </c>
      <c r="K28" s="528" t="n"/>
      <c r="L28" s="528" t="n"/>
      <c r="M28" s="528">
        <f>J28+N28-1</f>
        <v/>
      </c>
      <c r="N28" s="474">
        <f>ROUND(MAX(AG28:AO28)/Listy!$U$2,0)</f>
        <v/>
      </c>
      <c r="O28" s="528" t="n"/>
      <c r="P28" s="528" t="n"/>
      <c r="Q28" s="528" t="n"/>
      <c r="R28" s="528" t="n"/>
      <c r="S28" s="528" t="n"/>
      <c r="T28" s="528" t="n"/>
      <c r="U28" s="528" t="n"/>
      <c r="V28" s="528" t="n"/>
      <c r="W28" s="528" t="n"/>
      <c r="X28" s="528" t="n"/>
      <c r="Y28" s="528" t="n"/>
      <c r="Z28" s="528" t="n"/>
      <c r="AA28" s="528" t="n"/>
      <c r="AB28" s="528" t="n"/>
      <c r="AC28" s="528" t="n"/>
      <c r="AD28" s="528" t="n"/>
      <c r="AE28" s="528" t="n"/>
      <c r="AF28" s="528" t="n"/>
      <c r="AG28" s="192">
        <f>ROUND($O28*P28,0)</f>
        <v/>
      </c>
      <c r="AH28" s="192">
        <f>ROUND($O28*Q28,0)</f>
        <v/>
      </c>
      <c r="AI28" s="192">
        <f>ROUND($O28*R28,0)</f>
        <v/>
      </c>
      <c r="AJ28" s="192">
        <f>ROUND($O28*S28,0)</f>
        <v/>
      </c>
      <c r="AK28" s="192">
        <f>ROUND($O28*T28,0)</f>
        <v/>
      </c>
      <c r="AL28" s="192">
        <f>ROUND($O28*U28,0)</f>
        <v/>
      </c>
      <c r="AM28" s="192">
        <f>ROUND($O28*V28,0)</f>
        <v/>
      </c>
      <c r="AN28" s="192">
        <f>ROUND($O28*W28,0)</f>
        <v/>
      </c>
      <c r="AO28" s="192">
        <f>ROUND($O28*X28,0)</f>
        <v/>
      </c>
      <c r="AP28" s="528" t="n"/>
      <c r="AQ28" s="528" t="n"/>
      <c r="AR28" s="528" t="n"/>
      <c r="AS28" s="528" t="n"/>
      <c r="AT28" s="528" t="n"/>
      <c r="AU28" s="528" t="n"/>
      <c r="AV28" s="528" t="n"/>
      <c r="AW28" s="528" t="n"/>
      <c r="AX28" s="528" t="n"/>
      <c r="AY28" s="528" t="n"/>
      <c r="AZ28" s="528" t="n"/>
      <c r="BA28" s="528" t="n"/>
      <c r="BB28" s="528" t="n"/>
      <c r="BC28" s="528" t="n"/>
      <c r="BD28" s="336" t="n"/>
      <c r="BE28" s="336" t="n"/>
      <c r="BF28" s="336" t="n"/>
      <c r="BG28" s="336" t="n"/>
      <c r="BH28" s="336" t="n"/>
      <c r="BI28" s="336" t="n"/>
      <c r="BJ28" s="336" t="n"/>
      <c r="BK28" s="336" t="n"/>
      <c r="BL28" s="336" t="n"/>
      <c r="BM28" s="336" t="n"/>
      <c r="BN28" s="336" t="n"/>
      <c r="BO28" s="336" t="n"/>
      <c r="BP28" s="336" t="n"/>
      <c r="BQ28" s="336" t="n"/>
      <c r="BR28" s="336" t="n"/>
      <c r="BS28" s="336" t="n"/>
      <c r="BT28" s="336" t="n"/>
      <c r="BU28" s="336" t="n"/>
      <c r="BV28" s="336" t="n"/>
      <c r="BW28" s="336" t="n"/>
      <c r="BX28" s="336" t="n"/>
      <c r="BY28" s="336" t="n"/>
      <c r="BZ28" s="336" t="n"/>
      <c r="CA28" s="336" t="n"/>
      <c r="CB28" s="336" t="n"/>
      <c r="CC28" s="336" t="n"/>
      <c r="CD28" s="336" t="n"/>
      <c r="CE28" s="336" t="n"/>
    </row>
    <row r="29" ht="15.6" customFormat="1" customHeight="1" s="538">
      <c r="A29" s="444" t="n">
        <v>5</v>
      </c>
      <c r="B29" s="441" t="inlineStr">
        <is>
          <t>a</t>
        </is>
      </c>
      <c r="C29" s="353" t="n">
        <v>1</v>
      </c>
      <c r="D29" s="311">
        <f>CONCATENATE(A$3,"_",A29,"_",B29,"_",C29)</f>
        <v/>
      </c>
      <c r="E29" s="425" t="inlineStr">
        <is>
          <t xml:space="preserve">Zaimportowanie BDMWS w środowisku wybranej platformy AI/ML </t>
        </is>
      </c>
      <c r="F29" s="528">
        <f>IFERROR(VLOOKUP($I29,Listy!$A:$H,2,FALSE),"XXX")</f>
        <v/>
      </c>
      <c r="G29" s="528">
        <f>IFERROR(VLOOKUP($I29,Listy!$A:$H,3,FALSE),"XXX")</f>
        <v/>
      </c>
      <c r="H29" s="444" t="n">
        <v>9</v>
      </c>
      <c r="I29" s="89" t="inlineStr">
        <is>
          <t>.a05</t>
        </is>
      </c>
      <c r="J29" s="91">
        <f>M28+1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4">
        <f>ROUND(MAX(AG29:AO29)/Listy!$U$2,0)</f>
        <v/>
      </c>
      <c r="O29" s="479" t="n">
        <v>40</v>
      </c>
      <c r="P29" s="187" t="n">
        <v>0</v>
      </c>
      <c r="Q29" s="187" t="n">
        <v>0</v>
      </c>
      <c r="R29" s="187" t="n">
        <v>0</v>
      </c>
      <c r="S29" s="187" t="n">
        <v>0</v>
      </c>
      <c r="T29" s="187" t="n">
        <v>0.2</v>
      </c>
      <c r="U29" s="187" t="n">
        <v>0.2</v>
      </c>
      <c r="V29" s="187" t="n">
        <v>0.2</v>
      </c>
      <c r="W29" s="187" t="n">
        <v>0.2</v>
      </c>
      <c r="X29" s="187" t="n">
        <v>0.2</v>
      </c>
      <c r="Y29" s="292" t="n">
        <v>0</v>
      </c>
      <c r="Z29" s="292" t="n">
        <v>0</v>
      </c>
      <c r="AA29" s="292" t="n">
        <v>0</v>
      </c>
      <c r="AB29" s="292" t="n">
        <v>0</v>
      </c>
      <c r="AC29" s="305" t="n"/>
      <c r="AD29" s="305" t="n"/>
      <c r="AE29" s="305" t="n"/>
      <c r="AF29" s="305" t="n"/>
      <c r="AG29" s="192">
        <f>ROUND($O29*P29,0)</f>
        <v/>
      </c>
      <c r="AH29" s="192">
        <f>ROUND($O29*Q29,0)</f>
        <v/>
      </c>
      <c r="AI29" s="192">
        <f>ROUND($O29*R29,0)</f>
        <v/>
      </c>
      <c r="AJ29" s="192">
        <f>ROUND($O29*S29,0)</f>
        <v/>
      </c>
      <c r="AK29" s="192">
        <f>ROUND($O29*T29,0)</f>
        <v/>
      </c>
      <c r="AL29" s="192">
        <f>ROUND($O29*U29,0)</f>
        <v/>
      </c>
      <c r="AM29" s="192">
        <f>ROUND($O29*V29,0)</f>
        <v/>
      </c>
      <c r="AN29" s="192">
        <f>ROUND($O29*W29,0)</f>
        <v/>
      </c>
      <c r="AO29" s="192">
        <f>ROUND($O29*X29,0)</f>
        <v/>
      </c>
      <c r="AP29" s="193">
        <f>ROUND($O29*Y29,0)</f>
        <v/>
      </c>
      <c r="AQ29" s="193">
        <f>ROUND($O29*Z29,0)</f>
        <v/>
      </c>
      <c r="AR29" s="193">
        <f>ROUND($O29*AA29,0)</f>
        <v/>
      </c>
      <c r="AS29" s="193">
        <f>ROUND($O29*AB29,0)</f>
        <v/>
      </c>
      <c r="AT29" s="306">
        <f>ROUND($O29*AC29,0)</f>
        <v/>
      </c>
      <c r="AU29" s="306">
        <f>ROUND($O29*AD29,0)</f>
        <v/>
      </c>
      <c r="AV29" s="306">
        <f>ROUND($O29*AE29,0)</f>
        <v/>
      </c>
      <c r="AW29" s="306">
        <f>ROUND($O29*AF29,0)</f>
        <v/>
      </c>
      <c r="AX29" s="236">
        <f>SUM(AG29:AO29)</f>
        <v/>
      </c>
      <c r="AY29" s="528">
        <f>AX29/160</f>
        <v/>
      </c>
      <c r="AZ29" s="87">
        <f>VLOOKUP(I29,Listy!$A$1:$H$9,6,FALSE)</f>
        <v/>
      </c>
      <c r="BA29" s="682">
        <f>AY29*AZ29</f>
        <v/>
      </c>
      <c r="BB29" s="683">
        <f>AY29*BA29</f>
        <v/>
      </c>
      <c r="BC29" s="528" t="n"/>
      <c r="BD29" s="336" t="n"/>
      <c r="BE29" s="336" t="n"/>
      <c r="BF29" s="336" t="n"/>
      <c r="BG29" s="336" t="n"/>
      <c r="BH29" s="336" t="n"/>
      <c r="BI29" s="336" t="n"/>
      <c r="BJ29" s="336" t="n"/>
      <c r="BK29" s="336" t="n"/>
      <c r="BL29" s="336" t="n"/>
      <c r="BM29" s="336" t="n"/>
      <c r="BN29" s="336" t="n"/>
      <c r="BO29" s="336" t="n"/>
      <c r="BP29" s="336" t="n"/>
      <c r="BQ29" s="336" t="n"/>
      <c r="BR29" s="336" t="n"/>
      <c r="BS29" s="336" t="n"/>
      <c r="BT29" s="336" t="n"/>
      <c r="BU29" s="336" t="n"/>
      <c r="BV29" s="336" t="n"/>
      <c r="BW29" s="336" t="n"/>
      <c r="BX29" s="336" t="n"/>
      <c r="BY29" s="336" t="n"/>
      <c r="BZ29" s="336" t="n"/>
      <c r="CA29" s="336" t="n"/>
      <c r="CB29" s="336" t="n"/>
      <c r="CC29" s="336" t="n"/>
      <c r="CD29" s="336" t="n"/>
      <c r="CE29" s="336" t="n"/>
    </row>
    <row r="30" ht="15.6" customFormat="1" customHeight="1" s="538">
      <c r="A30" s="444" t="n">
        <v>5</v>
      </c>
      <c r="B30" s="441" t="inlineStr">
        <is>
          <t>b</t>
        </is>
      </c>
      <c r="C30" s="353" t="n">
        <v>1</v>
      </c>
      <c r="D30" s="311">
        <f>CONCATENATE(A$3,"_",A30,"_",B30,"_",C30)</f>
        <v/>
      </c>
      <c r="E30" s="425" t="inlineStr">
        <is>
          <t>Sprawdzenie i potwierdzenie poprawności zaimplementowanych danych. Określenie zestawu danych testowych i referencyjnych do dalszych analiz</t>
        </is>
      </c>
      <c r="F30" s="528">
        <f>IFERROR(VLOOKUP($I30,Listy!$A:$H,2,FALSE),"XXX")</f>
        <v/>
      </c>
      <c r="G30" s="528">
        <f>IFERROR(VLOOKUP($I30,Listy!$A:$H,3,FALSE),"XXX")</f>
        <v/>
      </c>
      <c r="H30" s="444" t="n">
        <v>9</v>
      </c>
      <c r="I30" s="89" t="inlineStr">
        <is>
          <t>.a04</t>
        </is>
      </c>
      <c r="J30" s="91">
        <f>M29+1</f>
        <v/>
      </c>
      <c r="K30" s="681">
        <f>VLOOKUP(J30,Kalendarz!B:E,4,FALSE)</f>
        <v/>
      </c>
      <c r="L30" s="681">
        <f>K30+N30</f>
        <v/>
      </c>
      <c r="M30" s="528">
        <f>J30+N30-1</f>
        <v/>
      </c>
      <c r="N30" s="474">
        <f>ROUND(MAX(AG30:AO30)/Listy!$U$2,0)</f>
        <v/>
      </c>
      <c r="O30" s="479" t="n">
        <v>40</v>
      </c>
      <c r="P30" s="187" t="n">
        <v>0</v>
      </c>
      <c r="Q30" s="187" t="n">
        <v>0</v>
      </c>
      <c r="R30" s="187" t="n">
        <v>0</v>
      </c>
      <c r="S30" s="187" t="n">
        <v>0</v>
      </c>
      <c r="T30" s="187" t="n">
        <v>0.2</v>
      </c>
      <c r="U30" s="187" t="n">
        <v>0.2</v>
      </c>
      <c r="V30" s="187" t="n">
        <v>0.2</v>
      </c>
      <c r="W30" s="187" t="n">
        <v>0.2</v>
      </c>
      <c r="X30" s="187" t="n">
        <v>0.2</v>
      </c>
      <c r="Y30" s="292" t="n">
        <v>0</v>
      </c>
      <c r="Z30" s="292" t="n">
        <v>0</v>
      </c>
      <c r="AA30" s="292" t="n">
        <v>0</v>
      </c>
      <c r="AB30" s="292" t="n">
        <v>0</v>
      </c>
      <c r="AC30" s="305" t="n"/>
      <c r="AD30" s="305" t="n"/>
      <c r="AE30" s="305" t="n"/>
      <c r="AF30" s="305" t="n"/>
      <c r="AG30" s="192">
        <f>ROUND($O30*P30,0)</f>
        <v/>
      </c>
      <c r="AH30" s="192">
        <f>ROUND($O30*Q30,0)</f>
        <v/>
      </c>
      <c r="AI30" s="192">
        <f>ROUND($O30*R30,0)</f>
        <v/>
      </c>
      <c r="AJ30" s="192">
        <f>ROUND($O30*S30,0)</f>
        <v/>
      </c>
      <c r="AK30" s="192">
        <f>ROUND($O30*T30,0)</f>
        <v/>
      </c>
      <c r="AL30" s="192">
        <f>ROUND($O30*U30,0)</f>
        <v/>
      </c>
      <c r="AM30" s="192">
        <f>ROUND($O30*V30,0)</f>
        <v/>
      </c>
      <c r="AN30" s="192">
        <f>ROUND($O30*W30,0)</f>
        <v/>
      </c>
      <c r="AO30" s="192">
        <f>ROUND($O30*X30,0)</f>
        <v/>
      </c>
      <c r="AP30" s="193">
        <f>ROUND($O30*Y30,0)</f>
        <v/>
      </c>
      <c r="AQ30" s="193">
        <f>ROUND($O30*Z30,0)</f>
        <v/>
      </c>
      <c r="AR30" s="193">
        <f>ROUND($O30*AA30,0)</f>
        <v/>
      </c>
      <c r="AS30" s="193">
        <f>ROUND($O30*AB30,0)</f>
        <v/>
      </c>
      <c r="AT30" s="306">
        <f>ROUND($O30*AC30,0)</f>
        <v/>
      </c>
      <c r="AU30" s="306">
        <f>ROUND($O30*AD30,0)</f>
        <v/>
      </c>
      <c r="AV30" s="306">
        <f>ROUND($O30*AE30,0)</f>
        <v/>
      </c>
      <c r="AW30" s="306">
        <f>ROUND($O30*AF30,0)</f>
        <v/>
      </c>
      <c r="AX30" s="236">
        <f>SUM(AG30:AO30)</f>
        <v/>
      </c>
      <c r="AY30" s="528">
        <f>AX30/160</f>
        <v/>
      </c>
      <c r="AZ30" s="87">
        <f>VLOOKUP(I30,Listy!$A$1:$H$9,6,FALSE)</f>
        <v/>
      </c>
      <c r="BA30" s="682">
        <f>AY30*AZ30</f>
        <v/>
      </c>
      <c r="BB30" s="683">
        <f>AY30*BA30</f>
        <v/>
      </c>
      <c r="BC30" s="528" t="n"/>
      <c r="BD30" s="336" t="n"/>
      <c r="BE30" s="336" t="n"/>
      <c r="BF30" s="336" t="n"/>
      <c r="BG30" s="336" t="n"/>
      <c r="BH30" s="336" t="n"/>
      <c r="BJ30" s="336" t="n"/>
      <c r="BK30" s="336" t="n"/>
      <c r="BM30" s="336" t="n"/>
      <c r="BN30" s="336" t="n"/>
      <c r="BP30" s="336" t="n"/>
      <c r="BQ30" s="336" t="n"/>
      <c r="BT30" s="336" t="n"/>
      <c r="BU30" s="336" t="n"/>
      <c r="BV30" s="336" t="n"/>
      <c r="BX30" s="336" t="n"/>
      <c r="BY30" s="336" t="n"/>
      <c r="BZ30" s="336" t="n"/>
      <c r="CB30" s="336" t="n"/>
      <c r="CC30" s="336" t="n"/>
      <c r="CD30" s="336" t="n"/>
    </row>
    <row r="31" ht="15.6" customFormat="1" customHeight="1" s="538">
      <c r="A31" s="444" t="n">
        <v>5</v>
      </c>
      <c r="B31" s="441" t="inlineStr">
        <is>
          <t>c</t>
        </is>
      </c>
      <c r="C31" s="353" t="n">
        <v>1</v>
      </c>
      <c r="D31" s="311">
        <f>CONCATENATE(A$3,"_",A31,"_",B31,"_",C31)</f>
        <v/>
      </c>
      <c r="E31" s="425" t="inlineStr">
        <is>
          <t xml:space="preserve">Stworzenie zautomatyzowanego systemu aktualizacji danych BDMWS zintegrowanej z platformą. </t>
        </is>
      </c>
      <c r="F31" s="528">
        <f>IFERROR(VLOOKUP($I31,Listy!$A:$H,2,FALSE),"XXX")</f>
        <v/>
      </c>
      <c r="G31" s="528">
        <f>IFERROR(VLOOKUP($I31,Listy!$A:$H,3,FALSE),"XXX")</f>
        <v/>
      </c>
      <c r="H31" s="444" t="n">
        <v>9</v>
      </c>
      <c r="I31" s="89" t="inlineStr">
        <is>
          <t>.a05</t>
        </is>
      </c>
      <c r="J31" s="91">
        <f>M30+1</f>
        <v/>
      </c>
      <c r="K31" s="681">
        <f>VLOOKUP(J31,Kalendarz!B:E,4,FALSE)</f>
        <v/>
      </c>
      <c r="L31" s="681">
        <f>K31+N31</f>
        <v/>
      </c>
      <c r="M31" s="528">
        <f>J31+N31-1</f>
        <v/>
      </c>
      <c r="N31" s="474" t="n">
        <v>1</v>
      </c>
      <c r="O31" s="479" t="n">
        <v>80</v>
      </c>
      <c r="P31" s="187" t="n">
        <v>0</v>
      </c>
      <c r="Q31" s="187" t="n">
        <v>0</v>
      </c>
      <c r="R31" s="187" t="n">
        <v>0</v>
      </c>
      <c r="S31" s="187" t="n">
        <v>0</v>
      </c>
      <c r="T31" s="187" t="n">
        <v>0.2</v>
      </c>
      <c r="U31" s="187" t="n">
        <v>0.2</v>
      </c>
      <c r="V31" s="187" t="n">
        <v>0.2</v>
      </c>
      <c r="W31" s="187" t="n">
        <v>0.2</v>
      </c>
      <c r="X31" s="187" t="n">
        <v>0.2</v>
      </c>
      <c r="Y31" s="292" t="n">
        <v>0</v>
      </c>
      <c r="Z31" s="292" t="n">
        <v>0</v>
      </c>
      <c r="AA31" s="292" t="n">
        <v>0</v>
      </c>
      <c r="AB31" s="292" t="n">
        <v>0</v>
      </c>
      <c r="AC31" s="305" t="n"/>
      <c r="AD31" s="305" t="n"/>
      <c r="AE31" s="305" t="n"/>
      <c r="AF31" s="305" t="n"/>
      <c r="AG31" s="192">
        <f>ROUND($O31*P31,0)</f>
        <v/>
      </c>
      <c r="AH31" s="192">
        <f>ROUND($O31*Q31,0)</f>
        <v/>
      </c>
      <c r="AI31" s="192">
        <f>ROUND($O31*R31,0)</f>
        <v/>
      </c>
      <c r="AJ31" s="192">
        <f>ROUND($O31*S31,0)</f>
        <v/>
      </c>
      <c r="AK31" s="192">
        <f>ROUND($O31*T31,0)</f>
        <v/>
      </c>
      <c r="AL31" s="192">
        <f>ROUND($O31*U31,0)</f>
        <v/>
      </c>
      <c r="AM31" s="192">
        <f>ROUND($O31*V31,0)</f>
        <v/>
      </c>
      <c r="AN31" s="192">
        <f>ROUND($O31*W31,0)</f>
        <v/>
      </c>
      <c r="AO31" s="192">
        <f>ROUND($O31*X31,0)</f>
        <v/>
      </c>
      <c r="AP31" s="193">
        <f>ROUND($O31*Y31,0)</f>
        <v/>
      </c>
      <c r="AQ31" s="193">
        <f>ROUND($O31*Z31,0)</f>
        <v/>
      </c>
      <c r="AR31" s="193">
        <f>ROUND($O31*AA31,0)</f>
        <v/>
      </c>
      <c r="AS31" s="193">
        <f>ROUND($O31*AB31,0)</f>
        <v/>
      </c>
      <c r="AT31" s="306">
        <f>ROUND($O31*AC31,0)</f>
        <v/>
      </c>
      <c r="AU31" s="306">
        <f>ROUND($O31*AD31,0)</f>
        <v/>
      </c>
      <c r="AV31" s="306">
        <f>ROUND($O31*AE31,0)</f>
        <v/>
      </c>
      <c r="AW31" s="306">
        <f>ROUND($O31*AF31,0)</f>
        <v/>
      </c>
      <c r="AX31" s="236">
        <f>SUM(AG31:AO31)</f>
        <v/>
      </c>
      <c r="AY31" s="528">
        <f>AX31/160</f>
        <v/>
      </c>
      <c r="AZ31" s="87">
        <f>VLOOKUP(I31,Listy!$A$1:$H$9,6,FALSE)</f>
        <v/>
      </c>
      <c r="BA31" s="682">
        <f>AY31*AZ31</f>
        <v/>
      </c>
      <c r="BB31" s="683">
        <f>AY31*BA31</f>
        <v/>
      </c>
      <c r="BC31" s="528" t="n"/>
      <c r="BD31" s="336" t="n"/>
      <c r="BE31" s="336" t="n"/>
      <c r="BF31" s="336" t="n"/>
      <c r="BG31" s="336" t="n"/>
      <c r="BH31" s="336" t="n"/>
      <c r="BJ31" s="336" t="n"/>
      <c r="BK31" s="336" t="n"/>
      <c r="BM31" s="336" t="n"/>
      <c r="BN31" s="336" t="n"/>
      <c r="BP31" s="336" t="n"/>
      <c r="BQ31" s="336" t="n"/>
      <c r="BT31" s="336" t="n"/>
      <c r="BU31" s="336" t="n"/>
      <c r="BV31" s="336" t="n"/>
      <c r="BX31" s="336" t="n"/>
      <c r="BY31" s="336" t="n"/>
      <c r="BZ31" s="336" t="n"/>
      <c r="CB31" s="336" t="n"/>
      <c r="CC31" s="336" t="n"/>
      <c r="CD31" s="336" t="n"/>
    </row>
    <row r="32" ht="18" customFormat="1" customHeight="1" s="538">
      <c r="A32" s="410" t="n">
        <v>6</v>
      </c>
      <c r="B32" s="410" t="inlineStr">
        <is>
          <t>a</t>
        </is>
      </c>
      <c r="C32" s="353" t="n">
        <v>1</v>
      </c>
      <c r="D32" s="311">
        <f>CONCATENATE(A$3,"_",A32,"_",B32,"_",C32)</f>
        <v/>
      </c>
      <c r="E32" s="410" t="inlineStr">
        <is>
          <t>6.Opracowanie procedur/strategii bezpieczeństwa i zarządzania BDMWS</t>
        </is>
      </c>
      <c r="F32" s="528">
        <f>IFERROR(VLOOKUP($I32,Listy!$A:$H,2,FALSE),"XXX")</f>
        <v/>
      </c>
      <c r="G32" s="528">
        <f>IFERROR(VLOOKUP($I32,Listy!$A:$H,3,FALSE),"XXX")</f>
        <v/>
      </c>
      <c r="H32" s="444" t="n">
        <v>10</v>
      </c>
      <c r="I32" s="89" t="inlineStr">
        <is>
          <t>.a04</t>
        </is>
      </c>
      <c r="J32" s="91">
        <f>M31+1</f>
        <v/>
      </c>
      <c r="K32" s="681">
        <f>VLOOKUP(J32,Kalendarz!B:E,4,FALSE)</f>
        <v/>
      </c>
      <c r="L32" s="681">
        <f>K32+N32</f>
        <v/>
      </c>
      <c r="M32" s="528">
        <f>J32+N32-1</f>
        <v/>
      </c>
      <c r="N32" s="474">
        <f>ROUND(MAX(AG32:AO32)/Listy!$U$2,0)</f>
        <v/>
      </c>
      <c r="O32" s="479" t="n">
        <v>20</v>
      </c>
      <c r="P32" s="187" t="n">
        <v>0</v>
      </c>
      <c r="Q32" s="187" t="n">
        <v>0</v>
      </c>
      <c r="R32" s="187" t="n">
        <v>0</v>
      </c>
      <c r="S32" s="187" t="n">
        <v>0</v>
      </c>
      <c r="T32" s="187" t="n">
        <v>0.2</v>
      </c>
      <c r="U32" s="187" t="n">
        <v>0.2</v>
      </c>
      <c r="V32" s="187" t="n">
        <v>0.2</v>
      </c>
      <c r="W32" s="187" t="n">
        <v>0.2</v>
      </c>
      <c r="X32" s="187" t="n">
        <v>0.2</v>
      </c>
      <c r="Y32" s="292" t="n">
        <v>0</v>
      </c>
      <c r="Z32" s="292" t="n">
        <v>0</v>
      </c>
      <c r="AA32" s="292" t="n">
        <v>0</v>
      </c>
      <c r="AB32" s="292" t="n">
        <v>0</v>
      </c>
      <c r="AC32" s="305" t="n"/>
      <c r="AD32" s="305" t="n"/>
      <c r="AE32" s="305" t="n"/>
      <c r="AF32" s="305" t="n"/>
      <c r="AG32" s="192">
        <f>ROUND($O32*P32,0)</f>
        <v/>
      </c>
      <c r="AH32" s="192">
        <f>ROUND($O32*Q32,0)</f>
        <v/>
      </c>
      <c r="AI32" s="192">
        <f>ROUND($O32*R32,0)</f>
        <v/>
      </c>
      <c r="AJ32" s="192">
        <f>ROUND($O32*S32,0)</f>
        <v/>
      </c>
      <c r="AK32" s="192">
        <f>ROUND($O32*T32,0)</f>
        <v/>
      </c>
      <c r="AL32" s="192">
        <f>ROUND($O32*U32,0)</f>
        <v/>
      </c>
      <c r="AM32" s="192">
        <f>ROUND($O32*V32,0)</f>
        <v/>
      </c>
      <c r="AN32" s="192">
        <f>ROUND($O32*W32,0)</f>
        <v/>
      </c>
      <c r="AO32" s="192">
        <f>ROUND($O32*X32,0)</f>
        <v/>
      </c>
      <c r="AP32" s="193">
        <f>ROUND($O32*Y32,0)</f>
        <v/>
      </c>
      <c r="AQ32" s="193">
        <f>ROUND($O32*Z32,0)</f>
        <v/>
      </c>
      <c r="AR32" s="193">
        <f>ROUND($O32*AA32,0)</f>
        <v/>
      </c>
      <c r="AS32" s="193">
        <f>ROUND($O32*AB32,0)</f>
        <v/>
      </c>
      <c r="AT32" s="306">
        <f>ROUND($O32*AC32,0)</f>
        <v/>
      </c>
      <c r="AU32" s="306">
        <f>ROUND($O32*AD32,0)</f>
        <v/>
      </c>
      <c r="AV32" s="306">
        <f>ROUND($O32*AE32,0)</f>
        <v/>
      </c>
      <c r="AW32" s="306">
        <f>ROUND($O32*AF32,0)</f>
        <v/>
      </c>
      <c r="AX32" s="236">
        <f>SUM(AG32:AO32)</f>
        <v/>
      </c>
      <c r="AY32" s="528">
        <f>AX32/160</f>
        <v/>
      </c>
      <c r="AZ32" s="87">
        <f>VLOOKUP(I32,Listy!$A$1:$H$9,6,FALSE)</f>
        <v/>
      </c>
      <c r="BA32" s="682">
        <f>AY32*AZ32</f>
        <v/>
      </c>
      <c r="BB32" s="683">
        <f>AY32*BA32</f>
        <v/>
      </c>
      <c r="BC32" s="528" t="n"/>
      <c r="BD32" s="336" t="n"/>
      <c r="BE32" s="336" t="n"/>
      <c r="BF32" s="336" t="n"/>
      <c r="BG32" s="336" t="n"/>
      <c r="BH32" s="336" t="n"/>
      <c r="BJ32" s="336" t="n"/>
      <c r="BK32" s="336" t="n"/>
      <c r="BM32" s="336" t="n"/>
      <c r="BN32" s="336" t="n"/>
      <c r="BP32" s="336" t="n"/>
      <c r="BQ32" s="336" t="n"/>
      <c r="BT32" s="336" t="n"/>
      <c r="BU32" s="336" t="n"/>
      <c r="BV32" s="336" t="n"/>
      <c r="BX32" s="336" t="n"/>
      <c r="BY32" s="336" t="n"/>
      <c r="BZ32" s="336" t="n"/>
      <c r="CB32" s="336" t="n"/>
      <c r="CC32" s="336" t="n"/>
      <c r="CD32" s="336" t="n"/>
    </row>
    <row r="33" ht="18" customFormat="1" customHeight="1" s="538">
      <c r="A33" s="410" t="n">
        <v>7</v>
      </c>
      <c r="B33" s="410" t="inlineStr">
        <is>
          <t>a</t>
        </is>
      </c>
      <c r="C33" s="353" t="n">
        <v>1</v>
      </c>
      <c r="D33" s="311">
        <f>CONCATENATE(A$3,"_",A33,"_",B33,"_",C33)</f>
        <v/>
      </c>
      <c r="E33" s="410" t="inlineStr">
        <is>
          <t>7.Opracowanie dokumentacji BDMWS</t>
        </is>
      </c>
      <c r="F33" s="528">
        <f>IFERROR(VLOOKUP($I33,Listy!$A:$H,2,FALSE),"XXX")</f>
        <v/>
      </c>
      <c r="G33" s="528">
        <f>IFERROR(VLOOKUP($I33,Listy!$A:$H,3,FALSE),"XXX")</f>
        <v/>
      </c>
      <c r="H33" s="444" t="n">
        <v>11</v>
      </c>
      <c r="I33" s="89" t="inlineStr">
        <is>
          <t>.a05</t>
        </is>
      </c>
      <c r="J33" s="91">
        <f>M32+1</f>
        <v/>
      </c>
      <c r="K33" s="681">
        <f>VLOOKUP(J33,Kalendarz!B:E,4,FALSE)</f>
        <v/>
      </c>
      <c r="L33" s="681">
        <f>K33+N33</f>
        <v/>
      </c>
      <c r="M33" s="528">
        <f>J33+N33-1</f>
        <v/>
      </c>
      <c r="N33" s="474" t="n">
        <v>1</v>
      </c>
      <c r="O33" s="479" t="n">
        <v>60</v>
      </c>
      <c r="P33" s="187" t="n">
        <v>0</v>
      </c>
      <c r="Q33" s="187" t="n">
        <v>0</v>
      </c>
      <c r="R33" s="187" t="n">
        <v>0</v>
      </c>
      <c r="S33" s="187" t="n">
        <v>0</v>
      </c>
      <c r="T33" s="187" t="n">
        <v>0.2</v>
      </c>
      <c r="U33" s="187" t="n">
        <v>0.2</v>
      </c>
      <c r="V33" s="187" t="n">
        <v>0.2</v>
      </c>
      <c r="W33" s="187" t="n">
        <v>0.2</v>
      </c>
      <c r="X33" s="187" t="n">
        <v>0.2</v>
      </c>
      <c r="Y33" s="292" t="n">
        <v>0</v>
      </c>
      <c r="Z33" s="292" t="n">
        <v>0</v>
      </c>
      <c r="AA33" s="292" t="n">
        <v>0</v>
      </c>
      <c r="AB33" s="292" t="n">
        <v>0</v>
      </c>
      <c r="AC33" s="305" t="n"/>
      <c r="AD33" s="305" t="n"/>
      <c r="AE33" s="305" t="n"/>
      <c r="AF33" s="305" t="n"/>
      <c r="AG33" s="192">
        <f>ROUND($O33*P33,0)</f>
        <v/>
      </c>
      <c r="AH33" s="192">
        <f>ROUND($O33*Q33,0)</f>
        <v/>
      </c>
      <c r="AI33" s="192">
        <f>ROUND($O33*R33,0)</f>
        <v/>
      </c>
      <c r="AJ33" s="192">
        <f>ROUND($O33*S33,0)</f>
        <v/>
      </c>
      <c r="AK33" s="192">
        <f>ROUND($O33*T33,0)</f>
        <v/>
      </c>
      <c r="AL33" s="192">
        <f>ROUND($O33*U33,0)</f>
        <v/>
      </c>
      <c r="AM33" s="192">
        <f>ROUND($O33*V33,0)</f>
        <v/>
      </c>
      <c r="AN33" s="192">
        <f>ROUND($O33*W33,0)</f>
        <v/>
      </c>
      <c r="AO33" s="192">
        <f>ROUND($O33*X33,0)</f>
        <v/>
      </c>
      <c r="AP33" s="193">
        <f>ROUND($O33*Y33,0)</f>
        <v/>
      </c>
      <c r="AQ33" s="193">
        <f>ROUND($O33*Z33,0)</f>
        <v/>
      </c>
      <c r="AR33" s="193">
        <f>ROUND($O33*AA33,0)</f>
        <v/>
      </c>
      <c r="AS33" s="193">
        <f>ROUND($O33*AB33,0)</f>
        <v/>
      </c>
      <c r="AT33" s="306">
        <f>ROUND($O33*AC33,0)</f>
        <v/>
      </c>
      <c r="AU33" s="306">
        <f>ROUND($O33*AD33,0)</f>
        <v/>
      </c>
      <c r="AV33" s="306">
        <f>ROUND($O33*AE33,0)</f>
        <v/>
      </c>
      <c r="AW33" s="306">
        <f>ROUND($O33*AF33,0)</f>
        <v/>
      </c>
      <c r="AX33" s="236">
        <f>SUM(AG33:AO33)</f>
        <v/>
      </c>
      <c r="AY33" s="528">
        <f>AX33/160</f>
        <v/>
      </c>
      <c r="AZ33" s="87">
        <f>VLOOKUP(I33,Listy!$A$1:$H$9,6,FALSE)</f>
        <v/>
      </c>
      <c r="BA33" s="682">
        <f>AY33*AZ33</f>
        <v/>
      </c>
      <c r="BB33" s="683">
        <f>AY33*BA33</f>
        <v/>
      </c>
      <c r="BC33" s="528" t="n"/>
      <c r="BD33" s="336" t="n"/>
      <c r="BE33" s="336" t="n"/>
      <c r="BF33" s="336" t="n"/>
      <c r="BG33" s="336" t="n"/>
      <c r="BH33" s="336" t="n"/>
      <c r="BJ33" s="336" t="n"/>
      <c r="BK33" s="336" t="n"/>
      <c r="BM33" s="336" t="n"/>
      <c r="BN33" s="336" t="n"/>
      <c r="BP33" s="336" t="n"/>
      <c r="BQ33" s="336" t="n"/>
      <c r="BT33" s="336" t="n"/>
      <c r="BU33" s="336" t="n"/>
      <c r="BV33" s="336" t="n"/>
      <c r="BX33" s="336" t="n"/>
      <c r="BY33" s="336" t="n"/>
      <c r="BZ33" s="336" t="n"/>
      <c r="CB33" s="336" t="n"/>
      <c r="CC33" s="336" t="n"/>
      <c r="CD33" s="336" t="n"/>
    </row>
    <row r="34" ht="18" customFormat="1" customHeight="1" s="538">
      <c r="A34" s="421" t="inlineStr">
        <is>
          <t xml:space="preserve">Łącznie </t>
        </is>
      </c>
      <c r="B34" s="421" t="n"/>
      <c r="C34" s="349" t="n"/>
      <c r="D34" s="333" t="n"/>
      <c r="E34" s="354" t="n"/>
      <c r="F34" s="336" t="n"/>
      <c r="G34" s="336" t="n"/>
      <c r="H34" s="336" t="n"/>
      <c r="I34" s="336" t="n"/>
      <c r="J34" s="336" t="n"/>
      <c r="K34" s="336" t="n"/>
      <c r="L34" s="336" t="n"/>
      <c r="M34" s="336" t="n"/>
      <c r="N34" s="336" t="n"/>
      <c r="O34" s="336" t="n"/>
      <c r="P34" s="336" t="n"/>
      <c r="Q34" s="336" t="n"/>
      <c r="R34" s="336" t="n"/>
      <c r="S34" s="336" t="n"/>
      <c r="T34" s="336" t="n"/>
      <c r="U34" s="336" t="n"/>
      <c r="V34" s="336" t="n"/>
      <c r="W34" s="336" t="n"/>
      <c r="X34" s="336" t="n"/>
      <c r="Y34" s="336" t="n"/>
      <c r="Z34" s="336" t="n"/>
      <c r="AA34" s="336" t="n"/>
      <c r="AB34" s="336" t="n"/>
      <c r="AC34" s="336" t="n"/>
      <c r="AD34" s="336" t="n"/>
      <c r="AE34" s="336" t="n"/>
      <c r="AF34" s="336" t="n"/>
      <c r="AG34" s="585">
        <f>SUM(AG$3:AG33)</f>
        <v/>
      </c>
      <c r="AH34" s="586">
        <f>SUM(AH$3:AH33)</f>
        <v/>
      </c>
      <c r="AI34" s="586">
        <f>SUM(AI$3:AI33)</f>
        <v/>
      </c>
      <c r="AJ34" s="586">
        <f>SUM(AJ$3:AJ33)</f>
        <v/>
      </c>
      <c r="AK34" s="586">
        <f>SUM(AK$3:AK33)</f>
        <v/>
      </c>
      <c r="AL34" s="586">
        <f>SUM(AL$3:AL33)</f>
        <v/>
      </c>
      <c r="AM34" s="586">
        <f>SUM(AM$3:AM33)</f>
        <v/>
      </c>
      <c r="AN34" s="586">
        <f>SUM(AN$3:AN33)</f>
        <v/>
      </c>
      <c r="AO34" s="587">
        <f>SUM(AO$3:AO33)</f>
        <v/>
      </c>
      <c r="AP34" s="579">
        <f>SUM(AP$3:AP33)</f>
        <v/>
      </c>
      <c r="AQ34" s="580">
        <f>SUM(AQ$3:AQ33)</f>
        <v/>
      </c>
      <c r="AR34" s="580">
        <f>SUM(AR$3:AR33)</f>
        <v/>
      </c>
      <c r="AS34" s="581">
        <f>SUM(AS$3:AS33)</f>
        <v/>
      </c>
      <c r="AT34" s="572">
        <f>SUM(AT$3:AT33)</f>
        <v/>
      </c>
      <c r="AU34" s="573">
        <f>SUM(AU$3:AU33)</f>
        <v/>
      </c>
      <c r="AV34" s="573">
        <f>SUM(AV$3:AV33)</f>
        <v/>
      </c>
      <c r="AW34" s="574">
        <f>SUM(AW$3:AW33)</f>
        <v/>
      </c>
      <c r="AX34" s="684">
        <f>SUM(AX$3:AX33)</f>
        <v/>
      </c>
      <c r="AY34" s="336" t="n"/>
      <c r="AZ34" s="336" t="n"/>
      <c r="BA34" s="336" t="n"/>
      <c r="BB34" s="336" t="n"/>
      <c r="BC34" s="336" t="n"/>
      <c r="BD34" s="336" t="n"/>
      <c r="BE34" s="336" t="n"/>
      <c r="BF34" s="336" t="n"/>
      <c r="BG34" s="336" t="n"/>
      <c r="BH34" s="336" t="n"/>
      <c r="BI34" s="336" t="n"/>
      <c r="BJ34" s="336" t="n"/>
      <c r="BK34" s="336" t="n"/>
      <c r="BM34" s="336" t="n"/>
      <c r="BN34" s="336" t="n"/>
      <c r="BP34" s="336" t="n"/>
      <c r="BQ34" s="336" t="n"/>
      <c r="BT34" s="336" t="n"/>
      <c r="BU34" s="336" t="n"/>
      <c r="BV34" s="336" t="n"/>
      <c r="BX34" s="336" t="n"/>
      <c r="BY34" s="336" t="n"/>
      <c r="BZ34" s="336" t="n"/>
      <c r="CB34" s="336" t="n"/>
      <c r="CC34" s="336" t="n"/>
      <c r="CD34" s="336" t="n"/>
    </row>
    <row r="35" customFormat="1" s="538">
      <c r="A35" s="349" t="n"/>
      <c r="B35" s="350" t="n"/>
      <c r="C35" s="349" t="n"/>
      <c r="D35" s="333" t="n"/>
      <c r="E35" s="354" t="n"/>
      <c r="F35" s="336" t="n"/>
      <c r="G35" s="336" t="n"/>
      <c r="H35" s="336" t="n"/>
      <c r="I35" s="336" t="n"/>
      <c r="J35" s="336" t="n"/>
      <c r="K35" s="336" t="n"/>
      <c r="L35" s="336" t="n"/>
      <c r="M35" s="336" t="n"/>
      <c r="N35" s="430" t="n"/>
      <c r="O35" s="430" t="n"/>
      <c r="P35" s="336" t="n"/>
      <c r="Q35" s="336" t="n"/>
      <c r="R35" s="336" t="n"/>
      <c r="S35" s="336" t="n"/>
      <c r="T35" s="336" t="n"/>
      <c r="U35" s="336" t="n"/>
      <c r="V35" s="336" t="n"/>
      <c r="W35" s="336" t="n"/>
      <c r="X35" s="336" t="n"/>
      <c r="Y35" s="336" t="n"/>
      <c r="Z35" s="336" t="n"/>
      <c r="AA35" s="336" t="n"/>
      <c r="AB35" s="336" t="n"/>
      <c r="AC35" s="336" t="n"/>
      <c r="AD35" s="336" t="n"/>
      <c r="AE35" s="336" t="n"/>
      <c r="AF35" s="336" t="n"/>
      <c r="AG35" s="588">
        <f>Listy!$AA$1&amp;AG34/20</f>
        <v/>
      </c>
      <c r="AH35" s="589">
        <f>Listy!$AA$1&amp;AH34/20</f>
        <v/>
      </c>
      <c r="AI35" s="589">
        <f>Listy!$AA$1&amp;AI34/20</f>
        <v/>
      </c>
      <c r="AJ35" s="589">
        <f>Listy!$AA$1&amp;AJ34/20</f>
        <v/>
      </c>
      <c r="AK35" s="589">
        <f>Listy!$AA$1&amp;AK34/20</f>
        <v/>
      </c>
      <c r="AL35" s="589">
        <f>Listy!$AA$1&amp;AL34/20</f>
        <v/>
      </c>
      <c r="AM35" s="589">
        <f>Listy!$AA$1&amp;AM34/20</f>
        <v/>
      </c>
      <c r="AN35" s="589">
        <f>Listy!$AA$1&amp;AN34/20</f>
        <v/>
      </c>
      <c r="AO35" s="590">
        <f>Listy!$AA$1&amp;AO34/20</f>
        <v/>
      </c>
      <c r="AP35" s="582">
        <f>Listy!$AA$1&amp;AP34/20</f>
        <v/>
      </c>
      <c r="AQ35" s="583">
        <f>Listy!$AA$1&amp;AQ34/20</f>
        <v/>
      </c>
      <c r="AR35" s="583">
        <f>Listy!$AA$1&amp;AR34/20</f>
        <v/>
      </c>
      <c r="AS35" s="584">
        <f>Listy!$AA$1&amp;AS34/20</f>
        <v/>
      </c>
      <c r="AT35" s="575">
        <f>Listy!$AA$1&amp;AT34/20</f>
        <v/>
      </c>
      <c r="AU35" s="576">
        <f>Listy!$AA$1&amp;AU34/20</f>
        <v/>
      </c>
      <c r="AV35" s="576">
        <f>Listy!$AA$1&amp;AV34/20</f>
        <v/>
      </c>
      <c r="AW35" s="577">
        <f>Listy!$AA$1&amp;AW34/20</f>
        <v/>
      </c>
      <c r="AX35" s="591">
        <f>Listy!$AA$1&amp;AX34/20</f>
        <v/>
      </c>
      <c r="AY35" s="336" t="n"/>
      <c r="AZ35" s="336" t="n"/>
      <c r="BA35" s="336" t="n"/>
      <c r="BB35" s="336" t="n"/>
      <c r="BC35" s="336" t="n"/>
      <c r="BD35" s="336" t="n"/>
      <c r="BE35" s="336" t="n"/>
      <c r="BF35" s="336" t="n"/>
      <c r="BG35" s="336" t="n"/>
      <c r="BH35" s="336" t="n"/>
      <c r="BI35" s="336" t="n"/>
      <c r="BJ35" s="336" t="n"/>
      <c r="BK35" s="336" t="n"/>
      <c r="BM35" s="336" t="n"/>
      <c r="BN35" s="336" t="n"/>
      <c r="BP35" s="336" t="n"/>
      <c r="BQ35" s="336" t="n"/>
      <c r="BT35" s="336" t="n"/>
      <c r="BU35" s="336" t="n"/>
      <c r="BV35" s="336" t="n"/>
      <c r="BX35" s="336" t="n"/>
      <c r="BY35" s="336" t="n"/>
      <c r="BZ35" s="336" t="n"/>
      <c r="CB35" s="336" t="n"/>
      <c r="CC35" s="336" t="n"/>
      <c r="CD35" s="336" t="n"/>
    </row>
    <row r="36" customFormat="1" s="538">
      <c r="A36" s="349" t="n"/>
      <c r="B36" s="350" t="n"/>
      <c r="C36" s="353" t="n"/>
      <c r="D36" s="333" t="n"/>
      <c r="E36" s="332" t="n"/>
      <c r="F36" s="336" t="n"/>
      <c r="G36" s="336" t="n"/>
      <c r="H36" s="335" t="n"/>
      <c r="I36" s="336" t="n"/>
      <c r="J36" s="336" t="n"/>
      <c r="K36" s="336" t="n"/>
      <c r="L36" s="336" t="n"/>
      <c r="M36" s="336" t="n"/>
      <c r="N36" s="336" t="n"/>
      <c r="O36" s="336" t="n"/>
      <c r="P36" s="430" t="n"/>
      <c r="Q36" s="430" t="n"/>
      <c r="R36" s="430" t="n"/>
      <c r="S36" s="430" t="n"/>
      <c r="T36" s="430" t="n"/>
      <c r="U36" s="430" t="n"/>
      <c r="V36" s="430" t="n"/>
      <c r="W36" s="430" t="n"/>
      <c r="X36" s="430" t="n"/>
      <c r="Y36" s="430" t="n"/>
      <c r="Z36" s="430" t="n"/>
      <c r="AA36" s="430" t="n"/>
      <c r="AB36" s="430" t="n"/>
      <c r="AC36" s="338" t="n"/>
      <c r="AD36" s="338" t="n"/>
      <c r="AE36" s="338" t="n"/>
      <c r="AF36" s="338" t="n"/>
      <c r="AG36" s="339" t="n"/>
      <c r="AH36" s="339" t="n"/>
      <c r="AI36" s="339" t="n"/>
      <c r="AJ36" s="339" t="n"/>
      <c r="AK36" s="339" t="n"/>
      <c r="AL36" s="339" t="n"/>
      <c r="AM36" s="339" t="n"/>
      <c r="AN36" s="339" t="n"/>
      <c r="AO36" s="339" t="n"/>
      <c r="AP36" s="339" t="n"/>
      <c r="AQ36" s="339" t="n"/>
      <c r="AR36" s="339" t="n"/>
      <c r="AS36" s="339" t="n"/>
      <c r="AT36" s="339" t="n"/>
      <c r="AU36" s="339" t="n"/>
      <c r="AV36" s="339" t="n"/>
      <c r="AW36" s="339" t="n"/>
      <c r="AX36" s="430" t="n"/>
      <c r="AY36" s="336" t="n"/>
      <c r="AZ36" s="336" t="n"/>
      <c r="BA36" s="336" t="n"/>
      <c r="BB36" s="336" t="n"/>
      <c r="BC36" s="336" t="n"/>
      <c r="BD36" s="336" t="n"/>
      <c r="BE36" s="336" t="n"/>
      <c r="BF36" s="336" t="n"/>
      <c r="BG36" s="336" t="n"/>
      <c r="BH36" s="336" t="n"/>
      <c r="BI36" s="336" t="n"/>
      <c r="BJ36" s="336" t="n"/>
      <c r="BK36" s="336" t="n"/>
      <c r="BL36" s="336" t="n"/>
      <c r="BM36" s="336" t="n"/>
      <c r="BN36" s="336" t="n"/>
      <c r="BO36" s="336" t="n"/>
      <c r="BP36" s="336" t="n"/>
      <c r="BQ36" s="336" t="n"/>
      <c r="BR36" s="336" t="n"/>
      <c r="BS36" s="336" t="n"/>
      <c r="BT36" s="336" t="n"/>
      <c r="BU36" s="336" t="n"/>
      <c r="BV36" s="336" t="n"/>
      <c r="BW36" s="336" t="n"/>
      <c r="BX36" s="336" t="n"/>
      <c r="BY36" s="336" t="n"/>
      <c r="BZ36" s="336" t="n"/>
      <c r="CA36" s="336" t="n"/>
      <c r="CB36" s="336" t="n"/>
      <c r="CC36" s="336" t="n"/>
      <c r="CD36" s="336" t="n"/>
      <c r="CE36" s="336" t="n"/>
    </row>
    <row r="37" customFormat="1" s="538">
      <c r="A37" s="358" t="n"/>
      <c r="B37" s="358" t="n"/>
      <c r="C37" s="344" t="n"/>
      <c r="D37" s="345" t="n"/>
      <c r="E37" s="346" t="n"/>
      <c r="F37" s="336" t="n"/>
      <c r="G37" s="336" t="n"/>
      <c r="H37" s="336" t="n"/>
      <c r="I37" s="336" t="n"/>
      <c r="J37" s="336" t="n"/>
      <c r="K37" s="336" t="n"/>
      <c r="L37" s="336" t="n"/>
      <c r="M37" s="336" t="n"/>
      <c r="N37" s="336" t="n"/>
      <c r="O37" s="336" t="n"/>
      <c r="P37" s="357" t="n"/>
      <c r="Q37" s="357" t="n"/>
      <c r="R37" s="357" t="n"/>
      <c r="S37" s="357" t="n"/>
      <c r="T37" s="357" t="n"/>
      <c r="U37" s="357" t="n"/>
      <c r="V37" s="357" t="n"/>
      <c r="W37" s="357" t="n"/>
      <c r="X37" s="357" t="n"/>
      <c r="Y37" s="357" t="n"/>
      <c r="Z37" s="357" t="n"/>
      <c r="AA37" s="357" t="n"/>
      <c r="AB37" s="336" t="n"/>
      <c r="AC37" s="338" t="n"/>
      <c r="AD37" s="338" t="n"/>
      <c r="AE37" s="338" t="n"/>
      <c r="AF37" s="338" t="n"/>
      <c r="AG37" s="339" t="n"/>
      <c r="AH37" s="339" t="n"/>
      <c r="AI37" s="339" t="n"/>
      <c r="AJ37" s="339" t="n"/>
      <c r="AK37" s="339" t="n"/>
      <c r="AL37" s="339" t="n"/>
      <c r="AM37" s="339" t="n"/>
      <c r="AN37" s="339" t="n"/>
      <c r="AO37" s="339" t="n"/>
      <c r="AP37" s="339" t="n"/>
      <c r="AQ37" s="339" t="n"/>
      <c r="AR37" s="339" t="n"/>
      <c r="AS37" s="339" t="n"/>
      <c r="AT37" s="339" t="n"/>
      <c r="AU37" s="339" t="n"/>
      <c r="AV37" s="339" t="n"/>
      <c r="AW37" s="339" t="n"/>
      <c r="AX37" s="357" t="n"/>
      <c r="AY37" s="359" t="n"/>
      <c r="AZ37" s="336" t="n"/>
      <c r="BA37" s="336" t="n"/>
      <c r="BB37" s="359" t="n"/>
      <c r="BC37" s="336" t="n"/>
      <c r="BD37" s="336" t="n"/>
      <c r="BE37" s="336" t="n"/>
      <c r="BF37" s="336" t="n"/>
      <c r="BG37" s="336" t="n"/>
      <c r="BH37" s="336" t="n"/>
      <c r="BI37" s="359" t="n"/>
      <c r="BJ37" s="336" t="n"/>
      <c r="BK37" s="336" t="n"/>
      <c r="BL37" s="359" t="n"/>
      <c r="BM37" s="336" t="n"/>
      <c r="BN37" s="336" t="n"/>
      <c r="BO37" s="359" t="n"/>
      <c r="BP37" s="336" t="n"/>
      <c r="BQ37" s="336" t="n"/>
      <c r="BR37" s="359" t="n"/>
      <c r="BS37" s="359" t="n"/>
      <c r="BT37" s="336" t="n"/>
      <c r="BU37" s="336" t="n"/>
      <c r="BV37" s="336" t="n"/>
      <c r="BW37" s="359" t="n"/>
      <c r="BX37" s="336" t="n"/>
      <c r="BY37" s="336" t="n"/>
      <c r="BZ37" s="336" t="n"/>
      <c r="CA37" s="359" t="n"/>
      <c r="CB37" s="336" t="n"/>
      <c r="CC37" s="336" t="n"/>
      <c r="CD37" s="336" t="n"/>
      <c r="CE37" s="359" t="n"/>
      <c r="CF37" s="361" t="n"/>
    </row>
    <row r="38" customFormat="1" s="538">
      <c r="A38" s="350" t="n"/>
      <c r="B38" s="350" t="n"/>
      <c r="C38" s="353" t="n"/>
      <c r="D38" s="333" t="n"/>
      <c r="E38" s="332" t="n"/>
      <c r="F38" s="336" t="n"/>
      <c r="G38" s="336" t="n"/>
      <c r="H38" s="335" t="n"/>
      <c r="I38" s="336" t="n"/>
      <c r="J38" s="336" t="n"/>
      <c r="K38" s="336" t="n"/>
      <c r="L38" s="336" t="n"/>
      <c r="M38" s="336" t="n"/>
      <c r="N38" s="336" t="n"/>
      <c r="O38" s="336" t="n"/>
      <c r="P38" s="430" t="n"/>
      <c r="Q38" s="430" t="n"/>
      <c r="R38" s="430" t="n"/>
      <c r="S38" s="430" t="n"/>
      <c r="T38" s="430" t="n"/>
      <c r="U38" s="430" t="n"/>
      <c r="V38" s="430" t="n"/>
      <c r="W38" s="430" t="n"/>
      <c r="X38" s="430" t="n"/>
      <c r="Y38" s="430" t="n"/>
      <c r="Z38" s="430" t="n"/>
      <c r="AA38" s="430" t="n"/>
      <c r="AB38" s="430" t="n"/>
      <c r="AC38" s="338" t="n"/>
      <c r="AD38" s="338" t="n"/>
      <c r="AE38" s="338" t="n"/>
      <c r="AF38" s="338" t="n"/>
      <c r="AG38" s="339" t="n"/>
      <c r="AH38" s="339" t="n"/>
      <c r="AI38" s="339" t="n"/>
      <c r="AJ38" s="339" t="n"/>
      <c r="AK38" s="339" t="n"/>
      <c r="AL38" s="339" t="n"/>
      <c r="AM38" s="339" t="n"/>
      <c r="AN38" s="339" t="n"/>
      <c r="AO38" s="339" t="n"/>
      <c r="AP38" s="339" t="n"/>
      <c r="AQ38" s="339" t="n"/>
      <c r="AR38" s="339" t="n"/>
      <c r="AS38" s="339" t="n"/>
      <c r="AT38" s="339" t="n"/>
      <c r="AU38" s="339" t="n"/>
      <c r="AV38" s="339" t="n"/>
      <c r="AW38" s="339" t="n"/>
      <c r="AX38" s="430" t="n"/>
      <c r="AY38" s="336" t="n"/>
      <c r="AZ38" s="336" t="n"/>
      <c r="BA38" s="336" t="n"/>
      <c r="BB38" s="336" t="n"/>
      <c r="BC38" s="336" t="n"/>
      <c r="BD38" s="336" t="n"/>
      <c r="BE38" s="336" t="n"/>
      <c r="BF38" s="336" t="n"/>
      <c r="BG38" s="336" t="n"/>
      <c r="BH38" s="336" t="n"/>
      <c r="BI38" s="336" t="n"/>
      <c r="BJ38" s="336" t="n"/>
      <c r="BK38" s="336" t="n"/>
      <c r="BL38" s="336" t="n"/>
      <c r="BM38" s="336" t="n"/>
      <c r="BN38" s="336" t="n"/>
      <c r="BO38" s="336" t="n"/>
      <c r="BP38" s="336" t="n"/>
      <c r="BQ38" s="336" t="n"/>
      <c r="BR38" s="336" t="n"/>
      <c r="BS38" s="336" t="n"/>
      <c r="BT38" s="336" t="n"/>
      <c r="BU38" s="336" t="n"/>
      <c r="BV38" s="336" t="n"/>
      <c r="BW38" s="336" t="n"/>
      <c r="BX38" s="336" t="n"/>
      <c r="BY38" s="336" t="n"/>
      <c r="BZ38" s="336" t="n"/>
      <c r="CA38" s="336" t="n"/>
      <c r="CB38" s="336" t="n"/>
      <c r="CC38" s="336" t="n"/>
      <c r="CD38" s="336" t="n"/>
      <c r="CE38" s="336" t="n"/>
    </row>
    <row r="39" customFormat="1" s="538">
      <c r="A39" s="350" t="n"/>
      <c r="B39" s="350" t="n"/>
      <c r="C39" s="353" t="n"/>
      <c r="D39" s="333" t="n"/>
      <c r="E39" s="332" t="n"/>
      <c r="F39" s="336" t="n"/>
      <c r="G39" s="336" t="n"/>
      <c r="H39" s="335" t="n"/>
      <c r="I39" s="336" t="n"/>
      <c r="J39" s="336" t="n"/>
      <c r="K39" s="336" t="n"/>
      <c r="L39" s="336" t="n"/>
      <c r="M39" s="336" t="n"/>
      <c r="N39" s="336" t="n"/>
      <c r="O39" s="336" t="n"/>
      <c r="P39" s="430" t="n"/>
      <c r="Q39" s="430" t="n"/>
      <c r="R39" s="430" t="n"/>
      <c r="S39" s="430" t="n"/>
      <c r="T39" s="430" t="n"/>
      <c r="U39" s="430" t="n"/>
      <c r="V39" s="430" t="n"/>
      <c r="W39" s="430" t="n"/>
      <c r="X39" s="430" t="n"/>
      <c r="Y39" s="430" t="n"/>
      <c r="Z39" s="430" t="n"/>
      <c r="AA39" s="430" t="n"/>
      <c r="AB39" s="430" t="n"/>
      <c r="AC39" s="336" t="n"/>
      <c r="AD39" s="336" t="n"/>
      <c r="AE39" s="336" t="n"/>
      <c r="AF39" s="336" t="n"/>
      <c r="AG39" s="339" t="n"/>
      <c r="AH39" s="339" t="n"/>
      <c r="AI39" s="339" t="n"/>
      <c r="AJ39" s="339" t="n"/>
      <c r="AK39" s="339" t="n"/>
      <c r="AL39" s="339" t="n"/>
      <c r="AM39" s="339" t="n"/>
      <c r="AN39" s="339" t="n"/>
      <c r="AO39" s="339" t="n"/>
      <c r="AP39" s="339" t="n"/>
      <c r="AQ39" s="339" t="n"/>
      <c r="AR39" s="339" t="n"/>
      <c r="AS39" s="339" t="n"/>
      <c r="AT39" s="336" t="n"/>
      <c r="AU39" s="336" t="n"/>
      <c r="AV39" s="336" t="n"/>
      <c r="AW39" s="336" t="n"/>
      <c r="AX39" s="430" t="n"/>
      <c r="AY39" s="336" t="n"/>
      <c r="AZ39" s="336" t="n"/>
      <c r="BA39" s="336" t="n"/>
      <c r="BB39" s="336" t="n"/>
      <c r="BC39" s="336" t="n"/>
      <c r="BD39" s="336" t="n"/>
      <c r="BE39" s="336" t="n"/>
      <c r="BF39" s="336" t="n"/>
      <c r="BG39" s="336" t="n"/>
      <c r="BH39" s="336" t="n"/>
      <c r="BI39" s="336" t="n"/>
      <c r="BJ39" s="336" t="n"/>
      <c r="BK39" s="336" t="n"/>
      <c r="BL39" s="336" t="n"/>
      <c r="BM39" s="336" t="n"/>
      <c r="BN39" s="336" t="n"/>
      <c r="BO39" s="336" t="n"/>
      <c r="BP39" s="336" t="n"/>
      <c r="BQ39" s="336" t="n"/>
      <c r="BR39" s="336" t="n"/>
      <c r="BS39" s="336" t="n"/>
      <c r="BT39" s="336" t="n"/>
      <c r="BU39" s="336" t="n"/>
      <c r="BV39" s="336" t="n"/>
      <c r="BW39" s="336" t="n"/>
      <c r="BX39" s="336" t="n"/>
      <c r="BY39" s="336" t="n"/>
      <c r="BZ39" s="336" t="n"/>
      <c r="CA39" s="336" t="n"/>
      <c r="CB39" s="336" t="n"/>
      <c r="CC39" s="336" t="n"/>
      <c r="CD39" s="336" t="n"/>
      <c r="CE39" s="336" t="n"/>
    </row>
    <row r="40" customFormat="1" s="538">
      <c r="A40" s="350" t="n"/>
      <c r="B40" s="350" t="n"/>
      <c r="C40" s="353" t="n"/>
      <c r="D40" s="333" t="n"/>
      <c r="E40" s="332" t="n"/>
      <c r="F40" s="336" t="n"/>
      <c r="G40" s="336" t="n"/>
      <c r="H40" s="335" t="n"/>
      <c r="I40" s="336" t="n"/>
      <c r="J40" s="336" t="n"/>
      <c r="K40" s="336" t="n"/>
      <c r="L40" s="336" t="n"/>
      <c r="M40" s="336" t="n"/>
      <c r="N40" s="336" t="n"/>
      <c r="O40" s="336" t="n"/>
      <c r="P40" s="430" t="n"/>
      <c r="Q40" s="430" t="n"/>
      <c r="R40" s="430" t="n"/>
      <c r="S40" s="430" t="n"/>
      <c r="T40" s="430" t="n"/>
      <c r="U40" s="430" t="n"/>
      <c r="V40" s="430" t="n"/>
      <c r="W40" s="430" t="n"/>
      <c r="X40" s="430" t="n"/>
      <c r="Y40" s="430" t="n"/>
      <c r="Z40" s="430" t="n"/>
      <c r="AA40" s="430" t="n"/>
      <c r="AB40" s="430" t="n"/>
      <c r="AC40" s="338" t="n"/>
      <c r="AD40" s="338" t="n"/>
      <c r="AE40" s="338" t="n"/>
      <c r="AF40" s="338" t="n"/>
      <c r="AG40" s="339" t="n"/>
      <c r="AH40" s="339" t="n"/>
      <c r="AI40" s="339" t="n"/>
      <c r="AJ40" s="339" t="n"/>
      <c r="AK40" s="339" t="n"/>
      <c r="AL40" s="339" t="n"/>
      <c r="AM40" s="339" t="n"/>
      <c r="AN40" s="339" t="n"/>
      <c r="AO40" s="339" t="n"/>
      <c r="AP40" s="339" t="n"/>
      <c r="AQ40" s="339" t="n"/>
      <c r="AR40" s="339" t="n"/>
      <c r="AS40" s="339" t="n"/>
      <c r="AT40" s="339" t="n"/>
      <c r="AU40" s="339" t="n"/>
      <c r="AV40" s="339" t="n"/>
      <c r="AW40" s="339" t="n"/>
      <c r="AX40" s="430" t="n"/>
      <c r="AY40" s="336" t="n"/>
      <c r="AZ40" s="336" t="n"/>
      <c r="BA40" s="336" t="n"/>
      <c r="BB40" s="336" t="n"/>
      <c r="BC40" s="336" t="n"/>
      <c r="BD40" s="336" t="n"/>
      <c r="BE40" s="336" t="n"/>
      <c r="BF40" s="336" t="n"/>
      <c r="BG40" s="336" t="n"/>
      <c r="BH40" s="336" t="n"/>
      <c r="BI40" s="336" t="n"/>
      <c r="BJ40" s="336" t="n"/>
      <c r="BK40" s="336" t="n"/>
      <c r="BL40" s="336" t="n"/>
      <c r="BM40" s="336" t="n"/>
      <c r="BN40" s="336" t="n"/>
      <c r="BO40" s="336" t="n"/>
      <c r="BP40" s="336" t="n"/>
      <c r="BQ40" s="336" t="n"/>
      <c r="BR40" s="336" t="n"/>
      <c r="BS40" s="336" t="n"/>
      <c r="BT40" s="336" t="n"/>
      <c r="BU40" s="336" t="n"/>
      <c r="BV40" s="336" t="n"/>
      <c r="BW40" s="336" t="n"/>
      <c r="BX40" s="336" t="n"/>
      <c r="BY40" s="336" t="n"/>
      <c r="BZ40" s="336" t="n"/>
      <c r="CA40" s="336" t="n"/>
      <c r="CB40" s="336" t="n"/>
      <c r="CC40" s="336" t="n"/>
      <c r="CD40" s="336" t="n"/>
      <c r="CE40" s="336" t="n"/>
    </row>
    <row r="41" customFormat="1" s="538">
      <c r="A41" s="350" t="n"/>
      <c r="B41" s="350" t="n"/>
      <c r="C41" s="353" t="n"/>
      <c r="D41" s="333" t="n"/>
      <c r="E41" s="332" t="n"/>
      <c r="F41" s="336" t="n"/>
      <c r="G41" s="336" t="n"/>
      <c r="H41" s="335" t="n"/>
      <c r="I41" s="336" t="n"/>
      <c r="J41" s="336" t="n"/>
      <c r="K41" s="336" t="n"/>
      <c r="L41" s="336" t="n"/>
      <c r="M41" s="336" t="n"/>
      <c r="N41" s="336" t="n"/>
      <c r="O41" s="336" t="n"/>
      <c r="P41" s="430" t="n"/>
      <c r="Q41" s="430" t="n"/>
      <c r="R41" s="430" t="n"/>
      <c r="S41" s="430" t="n"/>
      <c r="T41" s="430" t="n"/>
      <c r="U41" s="430" t="n"/>
      <c r="V41" s="430" t="n"/>
      <c r="W41" s="430" t="n"/>
      <c r="X41" s="430" t="n"/>
      <c r="Y41" s="430" t="n"/>
      <c r="Z41" s="430" t="n"/>
      <c r="AA41" s="430" t="n"/>
      <c r="AB41" s="430" t="n"/>
      <c r="AC41" s="338" t="n"/>
      <c r="AD41" s="338" t="n"/>
      <c r="AE41" s="338" t="n"/>
      <c r="AF41" s="338" t="n"/>
      <c r="AG41" s="339" t="n"/>
      <c r="AH41" s="339" t="n"/>
      <c r="AI41" s="339" t="n"/>
      <c r="AJ41" s="339" t="n"/>
      <c r="AK41" s="339" t="n"/>
      <c r="AL41" s="339" t="n"/>
      <c r="AM41" s="339" t="n"/>
      <c r="AN41" s="339" t="n"/>
      <c r="AO41" s="339" t="n"/>
      <c r="AP41" s="339" t="n"/>
      <c r="AQ41" s="339" t="n"/>
      <c r="AR41" s="339" t="n"/>
      <c r="AS41" s="339" t="n"/>
      <c r="AT41" s="339" t="n"/>
      <c r="AU41" s="339" t="n"/>
      <c r="AV41" s="339" t="n"/>
      <c r="AW41" s="339" t="n"/>
      <c r="AX41" s="430" t="n"/>
      <c r="AY41" s="336" t="n"/>
      <c r="AZ41" s="336" t="n"/>
      <c r="BA41" s="336" t="n"/>
      <c r="BB41" s="336" t="n"/>
      <c r="BC41" s="336" t="n"/>
      <c r="BD41" s="336" t="n"/>
      <c r="BE41" s="336" t="n"/>
      <c r="BF41" s="336" t="n"/>
      <c r="BG41" s="336" t="n"/>
      <c r="BH41" s="336" t="n"/>
      <c r="BI41" s="336" t="n"/>
      <c r="BJ41" s="336" t="n"/>
      <c r="BK41" s="336" t="n"/>
      <c r="BL41" s="336" t="n"/>
      <c r="BM41" s="336" t="n"/>
      <c r="BN41" s="336" t="n"/>
      <c r="BO41" s="336" t="n"/>
      <c r="BP41" s="336" t="n"/>
      <c r="BQ41" s="336" t="n"/>
      <c r="BR41" s="336" t="n"/>
      <c r="BS41" s="336" t="n"/>
      <c r="BT41" s="336" t="n"/>
      <c r="BU41" s="336" t="n"/>
      <c r="BV41" s="336" t="n"/>
      <c r="BW41" s="336" t="n"/>
      <c r="BX41" s="336" t="n"/>
      <c r="BY41" s="336" t="n"/>
      <c r="BZ41" s="336" t="n"/>
      <c r="CA41" s="336" t="n"/>
      <c r="CB41" s="336" t="n"/>
      <c r="CC41" s="336" t="n"/>
      <c r="CD41" s="336" t="n"/>
      <c r="CE41" s="336" t="n"/>
    </row>
    <row r="42" customFormat="1" s="538">
      <c r="A42" s="342" t="n"/>
      <c r="B42" s="358" t="n"/>
      <c r="C42" s="344" t="n"/>
      <c r="D42" s="345" t="n"/>
      <c r="E42" s="346" t="n"/>
      <c r="F42" s="336" t="n"/>
      <c r="G42" s="336" t="n"/>
      <c r="H42" s="336" t="n"/>
      <c r="I42" s="336" t="n"/>
      <c r="J42" s="336" t="n"/>
      <c r="K42" s="336" t="n"/>
      <c r="L42" s="336" t="n"/>
      <c r="M42" s="336" t="n"/>
      <c r="N42" s="336" t="n"/>
      <c r="O42" s="336" t="n"/>
      <c r="P42" s="357" t="n"/>
      <c r="Q42" s="357" t="n"/>
      <c r="R42" s="357" t="n"/>
      <c r="S42" s="357" t="n"/>
      <c r="T42" s="357" t="n"/>
      <c r="U42" s="357" t="n"/>
      <c r="V42" s="357" t="n"/>
      <c r="W42" s="357" t="n"/>
      <c r="X42" s="357" t="n"/>
      <c r="Y42" s="357" t="n"/>
      <c r="Z42" s="357" t="n"/>
      <c r="AA42" s="357" t="n"/>
      <c r="AB42" s="336" t="n"/>
      <c r="AC42" s="338" t="n"/>
      <c r="AD42" s="338" t="n"/>
      <c r="AE42" s="338" t="n"/>
      <c r="AF42" s="338" t="n"/>
      <c r="AG42" s="339" t="n"/>
      <c r="AH42" s="339" t="n"/>
      <c r="AI42" s="339" t="n"/>
      <c r="AJ42" s="339" t="n"/>
      <c r="AK42" s="339" t="n"/>
      <c r="AL42" s="339" t="n"/>
      <c r="AM42" s="339" t="n"/>
      <c r="AN42" s="339" t="n"/>
      <c r="AO42" s="339" t="n"/>
      <c r="AP42" s="339" t="n"/>
      <c r="AQ42" s="339" t="n"/>
      <c r="AR42" s="339" t="n"/>
      <c r="AS42" s="339" t="n"/>
      <c r="AT42" s="339" t="n"/>
      <c r="AU42" s="339" t="n"/>
      <c r="AV42" s="339" t="n"/>
      <c r="AW42" s="339" t="n"/>
      <c r="AX42" s="357" t="n"/>
      <c r="AY42" s="336" t="n"/>
      <c r="AZ42" s="336" t="n"/>
      <c r="BA42" s="336" t="n"/>
      <c r="BB42" s="336" t="n"/>
      <c r="BC42" s="336" t="n"/>
      <c r="BD42" s="336" t="n"/>
      <c r="BE42" s="336" t="n"/>
      <c r="BF42" s="336" t="n"/>
      <c r="BG42" s="336" t="n"/>
      <c r="BH42" s="336" t="n"/>
      <c r="BI42" s="336" t="n"/>
      <c r="BJ42" s="336" t="n"/>
      <c r="BK42" s="336" t="n"/>
      <c r="BL42" s="336" t="n"/>
      <c r="BM42" s="336" t="n"/>
      <c r="BN42" s="336" t="n"/>
      <c r="BO42" s="336" t="n"/>
      <c r="BP42" s="336" t="n"/>
      <c r="BQ42" s="336" t="n"/>
      <c r="BR42" s="336" t="n"/>
      <c r="BS42" s="336" t="n"/>
      <c r="BT42" s="336" t="n"/>
      <c r="BU42" s="336" t="n"/>
      <c r="BV42" s="336" t="n"/>
      <c r="BW42" s="336" t="n"/>
      <c r="BX42" s="336" t="n"/>
      <c r="BY42" s="336" t="n"/>
      <c r="BZ42" s="336" t="n"/>
      <c r="CA42" s="336" t="n"/>
      <c r="CB42" s="336" t="n"/>
      <c r="CC42" s="336" t="n"/>
      <c r="CD42" s="336" t="n"/>
      <c r="CE42" s="336" t="n"/>
      <c r="CF42" s="361" t="n"/>
    </row>
    <row r="43" customFormat="1" s="538">
      <c r="A43" s="349" t="n"/>
      <c r="B43" s="350" t="n"/>
      <c r="C43" s="353" t="n"/>
      <c r="D43" s="333" t="n"/>
      <c r="E43" s="332" t="n"/>
      <c r="F43" s="336" t="n"/>
      <c r="G43" s="336" t="n"/>
      <c r="H43" s="335" t="n"/>
      <c r="I43" s="336" t="n"/>
      <c r="J43" s="336" t="n"/>
      <c r="K43" s="336" t="n"/>
      <c r="L43" s="336" t="n"/>
      <c r="M43" s="336" t="n"/>
      <c r="N43" s="336" t="n"/>
      <c r="O43" s="336" t="n"/>
      <c r="P43" s="430" t="n"/>
      <c r="Q43" s="430" t="n"/>
      <c r="R43" s="430" t="n"/>
      <c r="S43" s="430" t="n"/>
      <c r="T43" s="430" t="n"/>
      <c r="U43" s="430" t="n"/>
      <c r="V43" s="430" t="n"/>
      <c r="W43" s="430" t="n"/>
      <c r="X43" s="430" t="n"/>
      <c r="Y43" s="430" t="n"/>
      <c r="Z43" s="430" t="n"/>
      <c r="AA43" s="430" t="n"/>
      <c r="AB43" s="430" t="n"/>
      <c r="AC43" s="338" t="n"/>
      <c r="AD43" s="338" t="n"/>
      <c r="AE43" s="338" t="n"/>
      <c r="AF43" s="338" t="n"/>
      <c r="AG43" s="339" t="n"/>
      <c r="AH43" s="339" t="n"/>
      <c r="AI43" s="339" t="n"/>
      <c r="AJ43" s="339" t="n"/>
      <c r="AK43" s="339" t="n"/>
      <c r="AL43" s="339" t="n"/>
      <c r="AM43" s="339" t="n"/>
      <c r="AN43" s="339" t="n"/>
      <c r="AO43" s="339" t="n"/>
      <c r="AP43" s="339" t="n"/>
      <c r="AQ43" s="339" t="n"/>
      <c r="AR43" s="339" t="n"/>
      <c r="AS43" s="339" t="n"/>
      <c r="AT43" s="339" t="n"/>
      <c r="AU43" s="339" t="n"/>
      <c r="AV43" s="339" t="n"/>
      <c r="AW43" s="339" t="n"/>
      <c r="AX43" s="430" t="n"/>
      <c r="AY43" s="336" t="n"/>
      <c r="AZ43" s="336" t="n"/>
      <c r="BA43" s="336" t="n"/>
      <c r="BB43" s="336" t="n"/>
      <c r="BC43" s="336" t="n"/>
      <c r="BD43" s="336" t="n"/>
      <c r="BE43" s="336" t="n"/>
      <c r="BF43" s="336" t="n"/>
      <c r="BG43" s="336" t="n"/>
      <c r="BH43" s="336" t="n"/>
      <c r="BI43" s="336" t="n"/>
      <c r="BJ43" s="336" t="n"/>
      <c r="BK43" s="336" t="n"/>
      <c r="BL43" s="336" t="n"/>
      <c r="BM43" s="336" t="n"/>
      <c r="BN43" s="336" t="n"/>
      <c r="BO43" s="336" t="n"/>
      <c r="BP43" s="336" t="n"/>
      <c r="BQ43" s="336" t="n"/>
      <c r="BR43" s="336" t="n"/>
      <c r="BS43" s="336" t="n"/>
      <c r="BT43" s="336" t="n"/>
      <c r="BU43" s="336" t="n"/>
      <c r="BV43" s="336" t="n"/>
      <c r="BW43" s="336" t="n"/>
      <c r="BX43" s="336" t="n"/>
      <c r="BY43" s="336" t="n"/>
      <c r="BZ43" s="336" t="n"/>
      <c r="CA43" s="336" t="n"/>
      <c r="CB43" s="336" t="n"/>
      <c r="CC43" s="336" t="n"/>
      <c r="CD43" s="336" t="n"/>
      <c r="CE43" s="336" t="n"/>
    </row>
    <row r="44" customFormat="1" s="538">
      <c r="A44" s="349" t="n"/>
      <c r="B44" s="350" t="n"/>
      <c r="C44" s="353" t="n"/>
      <c r="D44" s="333" t="n"/>
      <c r="E44" s="332" t="n"/>
      <c r="F44" s="336" t="n"/>
      <c r="G44" s="336" t="n"/>
      <c r="H44" s="335" t="n"/>
      <c r="I44" s="336" t="n"/>
      <c r="J44" s="336" t="n"/>
      <c r="K44" s="336" t="n"/>
      <c r="L44" s="336" t="n"/>
      <c r="M44" s="336" t="n"/>
      <c r="N44" s="336" t="n"/>
      <c r="O44" s="336" t="n"/>
      <c r="P44" s="430" t="n"/>
      <c r="Q44" s="430" t="n"/>
      <c r="R44" s="430" t="n"/>
      <c r="S44" s="430" t="n"/>
      <c r="T44" s="430" t="n"/>
      <c r="U44" s="430" t="n"/>
      <c r="V44" s="430" t="n"/>
      <c r="W44" s="430" t="n"/>
      <c r="X44" s="430" t="n"/>
      <c r="Y44" s="430" t="n"/>
      <c r="Z44" s="430" t="n"/>
      <c r="AA44" s="430" t="n"/>
      <c r="AB44" s="430" t="n"/>
      <c r="AC44" s="357" t="n"/>
      <c r="AD44" s="357" t="n"/>
      <c r="AE44" s="357" t="n"/>
      <c r="AF44" s="357" t="n"/>
      <c r="AG44" s="339" t="n"/>
      <c r="AH44" s="339" t="n"/>
      <c r="AI44" s="339" t="n"/>
      <c r="AJ44" s="339" t="n"/>
      <c r="AK44" s="339" t="n"/>
      <c r="AL44" s="339" t="n"/>
      <c r="AM44" s="339" t="n"/>
      <c r="AN44" s="339" t="n"/>
      <c r="AO44" s="339" t="n"/>
      <c r="AP44" s="339" t="n"/>
      <c r="AQ44" s="339" t="n"/>
      <c r="AR44" s="339" t="n"/>
      <c r="AS44" s="339" t="n"/>
      <c r="AT44" s="357" t="n"/>
      <c r="AU44" s="357" t="n"/>
      <c r="AV44" s="357" t="n"/>
      <c r="AW44" s="357" t="n"/>
      <c r="AX44" s="430" t="n"/>
      <c r="AY44" s="336" t="n"/>
      <c r="AZ44" s="336" t="n"/>
      <c r="BA44" s="336" t="n"/>
      <c r="BB44" s="336" t="n"/>
      <c r="BC44" s="336" t="n"/>
      <c r="BD44" s="336" t="n"/>
      <c r="BE44" s="336" t="n"/>
      <c r="BF44" s="336" t="n"/>
      <c r="BG44" s="336" t="n"/>
      <c r="BH44" s="336" t="n"/>
      <c r="BI44" s="336" t="n"/>
      <c r="BJ44" s="336" t="n"/>
      <c r="BK44" s="336" t="n"/>
      <c r="BL44" s="336" t="n"/>
      <c r="BM44" s="336" t="n"/>
      <c r="BN44" s="336" t="n"/>
      <c r="BO44" s="336" t="n"/>
      <c r="BP44" s="336" t="n"/>
      <c r="BQ44" s="336" t="n"/>
      <c r="BR44" s="336" t="n"/>
      <c r="BS44" s="336" t="n"/>
      <c r="BT44" s="336" t="n"/>
      <c r="BU44" s="336" t="n"/>
      <c r="BV44" s="336" t="n"/>
      <c r="BW44" s="336" t="n"/>
      <c r="BX44" s="336" t="n"/>
      <c r="BY44" s="336" t="n"/>
      <c r="BZ44" s="336" t="n"/>
      <c r="CA44" s="336" t="n"/>
      <c r="CB44" s="336" t="n"/>
      <c r="CC44" s="336" t="n"/>
      <c r="CD44" s="336" t="n"/>
      <c r="CE44" s="336" t="n"/>
    </row>
    <row r="45" customFormat="1" s="538">
      <c r="A45" s="349" t="n"/>
      <c r="B45" s="350" t="n"/>
      <c r="C45" s="353" t="n"/>
      <c r="D45" s="333" t="n"/>
      <c r="E45" s="332" t="n"/>
      <c r="F45" s="336" t="n"/>
      <c r="G45" s="336" t="n"/>
      <c r="H45" s="335" t="n"/>
      <c r="I45" s="336" t="n"/>
      <c r="J45" s="336" t="n"/>
      <c r="K45" s="336" t="n"/>
      <c r="L45" s="336" t="n"/>
      <c r="M45" s="336" t="n"/>
      <c r="N45" s="336" t="n"/>
      <c r="O45" s="336" t="n"/>
      <c r="P45" s="430" t="n"/>
      <c r="Q45" s="430" t="n"/>
      <c r="R45" s="430" t="n"/>
      <c r="S45" s="430" t="n"/>
      <c r="T45" s="430" t="n"/>
      <c r="U45" s="430" t="n"/>
      <c r="V45" s="430" t="n"/>
      <c r="W45" s="430" t="n"/>
      <c r="X45" s="430" t="n"/>
      <c r="Y45" s="430" t="n"/>
      <c r="Z45" s="430" t="n"/>
      <c r="AA45" s="430" t="n"/>
      <c r="AB45" s="430" t="n"/>
      <c r="AC45" s="338" t="n"/>
      <c r="AD45" s="338" t="n"/>
      <c r="AE45" s="338" t="n"/>
      <c r="AF45" s="338" t="n"/>
      <c r="AG45" s="339" t="n"/>
      <c r="AH45" s="339" t="n"/>
      <c r="AI45" s="339" t="n"/>
      <c r="AJ45" s="339" t="n"/>
      <c r="AK45" s="339" t="n"/>
      <c r="AL45" s="339" t="n"/>
      <c r="AM45" s="339" t="n"/>
      <c r="AN45" s="339" t="n"/>
      <c r="AO45" s="339" t="n"/>
      <c r="AP45" s="339" t="n"/>
      <c r="AQ45" s="339" t="n"/>
      <c r="AR45" s="339" t="n"/>
      <c r="AS45" s="339" t="n"/>
      <c r="AT45" s="339" t="n"/>
      <c r="AU45" s="339" t="n"/>
      <c r="AV45" s="339" t="n"/>
      <c r="AW45" s="339" t="n"/>
      <c r="AX45" s="430" t="n"/>
      <c r="AY45" s="336" t="n"/>
      <c r="AZ45" s="336" t="n"/>
      <c r="BA45" s="336" t="n"/>
      <c r="BB45" s="336" t="n"/>
      <c r="BC45" s="336" t="n"/>
      <c r="BD45" s="336" t="n"/>
      <c r="BE45" s="336" t="n"/>
      <c r="BF45" s="336" t="n"/>
      <c r="BG45" s="336" t="n"/>
      <c r="BH45" s="336" t="n"/>
      <c r="BI45" s="336" t="n"/>
      <c r="BJ45" s="336" t="n"/>
      <c r="BK45" s="336" t="n"/>
      <c r="BL45" s="336" t="n"/>
      <c r="BM45" s="336" t="n"/>
      <c r="BN45" s="336" t="n"/>
      <c r="BO45" s="336" t="n"/>
      <c r="BP45" s="336" t="n"/>
      <c r="BQ45" s="336" t="n"/>
      <c r="BR45" s="336" t="n"/>
      <c r="BS45" s="336" t="n"/>
      <c r="BT45" s="336" t="n"/>
      <c r="BU45" s="336" t="n"/>
      <c r="BV45" s="336" t="n"/>
      <c r="BW45" s="336" t="n"/>
      <c r="BX45" s="336" t="n"/>
      <c r="BY45" s="336" t="n"/>
      <c r="BZ45" s="336" t="n"/>
      <c r="CA45" s="336" t="n"/>
      <c r="CB45" s="336" t="n"/>
      <c r="CC45" s="336" t="n"/>
      <c r="CD45" s="336" t="n"/>
      <c r="CE45" s="336" t="n"/>
    </row>
    <row r="46" customFormat="1" s="538">
      <c r="A46" s="349" t="n"/>
      <c r="B46" s="350" t="n"/>
      <c r="C46" s="353" t="n"/>
      <c r="D46" s="333" t="n"/>
      <c r="E46" s="332" t="n"/>
      <c r="F46" s="336" t="n"/>
      <c r="G46" s="336" t="n"/>
      <c r="H46" s="335" t="n"/>
      <c r="I46" s="336" t="n"/>
      <c r="J46" s="336" t="n"/>
      <c r="K46" s="336" t="n"/>
      <c r="L46" s="336" t="n"/>
      <c r="M46" s="336" t="n"/>
      <c r="N46" s="336" t="n"/>
      <c r="O46" s="336" t="n"/>
      <c r="P46" s="430" t="n"/>
      <c r="Q46" s="430" t="n"/>
      <c r="R46" s="430" t="n"/>
      <c r="S46" s="430" t="n"/>
      <c r="T46" s="430" t="n"/>
      <c r="U46" s="430" t="n"/>
      <c r="V46" s="430" t="n"/>
      <c r="W46" s="430" t="n"/>
      <c r="X46" s="430" t="n"/>
      <c r="Y46" s="430" t="n"/>
      <c r="Z46" s="430" t="n"/>
      <c r="AA46" s="430" t="n"/>
      <c r="AB46" s="430" t="n"/>
      <c r="AC46" s="338" t="n"/>
      <c r="AD46" s="338" t="n"/>
      <c r="AE46" s="338" t="n"/>
      <c r="AF46" s="338" t="n"/>
      <c r="AG46" s="339" t="n"/>
      <c r="AH46" s="339" t="n"/>
      <c r="AI46" s="339" t="n"/>
      <c r="AJ46" s="339" t="n"/>
      <c r="AK46" s="339" t="n"/>
      <c r="AL46" s="339" t="n"/>
      <c r="AM46" s="339" t="n"/>
      <c r="AN46" s="339" t="n"/>
      <c r="AO46" s="339" t="n"/>
      <c r="AP46" s="339" t="n"/>
      <c r="AQ46" s="339" t="n"/>
      <c r="AR46" s="339" t="n"/>
      <c r="AS46" s="339" t="n"/>
      <c r="AT46" s="339" t="n"/>
      <c r="AU46" s="339" t="n"/>
      <c r="AV46" s="339" t="n"/>
      <c r="AW46" s="339" t="n"/>
      <c r="AX46" s="430" t="n"/>
      <c r="AY46" s="336" t="n"/>
      <c r="AZ46" s="336" t="n"/>
      <c r="BA46" s="336" t="n"/>
      <c r="BB46" s="336" t="n"/>
      <c r="BC46" s="336" t="n"/>
      <c r="BD46" s="336" t="n"/>
      <c r="BE46" s="336" t="n"/>
      <c r="BF46" s="336" t="n"/>
      <c r="BG46" s="336" t="n"/>
      <c r="BH46" s="336" t="n"/>
      <c r="BI46" s="336" t="n"/>
      <c r="BJ46" s="336" t="n"/>
      <c r="BK46" s="336" t="n"/>
      <c r="BL46" s="336" t="n"/>
      <c r="BM46" s="336" t="n"/>
      <c r="BN46" s="336" t="n"/>
      <c r="BO46" s="336" t="n"/>
      <c r="BP46" s="336" t="n"/>
      <c r="BQ46" s="336" t="n"/>
      <c r="BR46" s="336" t="n"/>
      <c r="BS46" s="336" t="n"/>
      <c r="BT46" s="336" t="n"/>
      <c r="BU46" s="336" t="n"/>
      <c r="BV46" s="336" t="n"/>
      <c r="BW46" s="336" t="n"/>
      <c r="BX46" s="336" t="n"/>
      <c r="BY46" s="336" t="n"/>
      <c r="BZ46" s="336" t="n"/>
      <c r="CA46" s="336" t="n"/>
      <c r="CB46" s="336" t="n"/>
      <c r="CC46" s="336" t="n"/>
      <c r="CD46" s="336" t="n"/>
      <c r="CE46" s="336" t="n"/>
    </row>
    <row r="47" customFormat="1" s="538">
      <c r="A47" s="349" t="n"/>
      <c r="B47" s="350" t="n"/>
      <c r="C47" s="353" t="n"/>
      <c r="D47" s="333" t="n"/>
      <c r="E47" s="332" t="n"/>
      <c r="F47" s="336" t="n"/>
      <c r="G47" s="336" t="n"/>
      <c r="H47" s="335" t="n"/>
      <c r="I47" s="336" t="n"/>
      <c r="J47" s="336" t="n"/>
      <c r="K47" s="336" t="n"/>
      <c r="L47" s="336" t="n"/>
      <c r="M47" s="336" t="n"/>
      <c r="N47" s="336" t="n"/>
      <c r="O47" s="336" t="n"/>
      <c r="P47" s="430" t="n"/>
      <c r="Q47" s="430" t="n"/>
      <c r="R47" s="430" t="n"/>
      <c r="S47" s="430" t="n"/>
      <c r="T47" s="430" t="n"/>
      <c r="U47" s="430" t="n"/>
      <c r="V47" s="430" t="n"/>
      <c r="W47" s="430" t="n"/>
      <c r="X47" s="430" t="n"/>
      <c r="Y47" s="430" t="n"/>
      <c r="Z47" s="430" t="n"/>
      <c r="AA47" s="430" t="n"/>
      <c r="AB47" s="430" t="n"/>
      <c r="AC47" s="338" t="n"/>
      <c r="AD47" s="338" t="n"/>
      <c r="AE47" s="338" t="n"/>
      <c r="AF47" s="338" t="n"/>
      <c r="AG47" s="339" t="n"/>
      <c r="AH47" s="339" t="n"/>
      <c r="AI47" s="339" t="n"/>
      <c r="AJ47" s="339" t="n"/>
      <c r="AK47" s="339" t="n"/>
      <c r="AL47" s="339" t="n"/>
      <c r="AM47" s="339" t="n"/>
      <c r="AN47" s="339" t="n"/>
      <c r="AO47" s="339" t="n"/>
      <c r="AP47" s="339" t="n"/>
      <c r="AQ47" s="339" t="n"/>
      <c r="AR47" s="339" t="n"/>
      <c r="AS47" s="339" t="n"/>
      <c r="AT47" s="339" t="n"/>
      <c r="AU47" s="339" t="n"/>
      <c r="AV47" s="339" t="n"/>
      <c r="AW47" s="339" t="n"/>
      <c r="AX47" s="430" t="n"/>
      <c r="AY47" s="336" t="n"/>
      <c r="AZ47" s="336" t="n"/>
      <c r="BA47" s="336" t="n"/>
      <c r="BB47" s="336" t="n"/>
      <c r="BC47" s="336" t="n"/>
      <c r="BD47" s="336" t="n"/>
      <c r="BE47" s="336" t="n"/>
      <c r="BF47" s="336" t="n"/>
      <c r="BG47" s="336" t="n"/>
      <c r="BH47" s="336" t="n"/>
      <c r="BI47" s="336" t="n"/>
      <c r="BJ47" s="336" t="n"/>
      <c r="BK47" s="336" t="n"/>
      <c r="BL47" s="336" t="n"/>
      <c r="BM47" s="336" t="n"/>
      <c r="BN47" s="336" t="n"/>
      <c r="BO47" s="336" t="n"/>
      <c r="BP47" s="336" t="n"/>
      <c r="BQ47" s="336" t="n"/>
      <c r="BR47" s="336" t="n"/>
      <c r="BS47" s="336" t="n"/>
      <c r="BT47" s="336" t="n"/>
      <c r="BU47" s="336" t="n"/>
      <c r="BV47" s="336" t="n"/>
      <c r="BW47" s="336" t="n"/>
      <c r="BX47" s="336" t="n"/>
      <c r="BY47" s="336" t="n"/>
      <c r="BZ47" s="336" t="n"/>
      <c r="CA47" s="336" t="n"/>
      <c r="CB47" s="336" t="n"/>
      <c r="CC47" s="336" t="n"/>
      <c r="CD47" s="336" t="n"/>
      <c r="CE47" s="336" t="n"/>
    </row>
    <row r="48" customFormat="1" s="538">
      <c r="A48" s="358" t="n"/>
      <c r="B48" s="358" t="n"/>
      <c r="C48" s="344" t="n"/>
      <c r="D48" s="345" t="n"/>
      <c r="E48" s="346" t="n"/>
      <c r="F48" s="336" t="n"/>
      <c r="G48" s="336" t="n"/>
      <c r="H48" s="336" t="n"/>
      <c r="I48" s="336" t="n"/>
      <c r="J48" s="336" t="n"/>
      <c r="K48" s="336" t="n"/>
      <c r="L48" s="336" t="n"/>
      <c r="M48" s="336" t="n"/>
      <c r="N48" s="336" t="n"/>
      <c r="O48" s="336" t="n"/>
      <c r="P48" s="357" t="n"/>
      <c r="Q48" s="357" t="n"/>
      <c r="R48" s="357" t="n"/>
      <c r="S48" s="357" t="n"/>
      <c r="T48" s="357" t="n"/>
      <c r="U48" s="357" t="n"/>
      <c r="V48" s="357" t="n"/>
      <c r="W48" s="357" t="n"/>
      <c r="X48" s="357" t="n"/>
      <c r="Y48" s="357" t="n"/>
      <c r="Z48" s="357" t="n"/>
      <c r="AA48" s="357" t="n"/>
      <c r="AB48" s="336" t="n"/>
      <c r="AC48" s="357" t="n"/>
      <c r="AD48" s="357" t="n"/>
      <c r="AE48" s="357" t="n"/>
      <c r="AF48" s="357" t="n"/>
      <c r="AG48" s="339" t="n"/>
      <c r="AH48" s="339" t="n"/>
      <c r="AI48" s="339" t="n"/>
      <c r="AJ48" s="339" t="n"/>
      <c r="AK48" s="339" t="n"/>
      <c r="AL48" s="339" t="n"/>
      <c r="AM48" s="339" t="n"/>
      <c r="AN48" s="339" t="n"/>
      <c r="AO48" s="339" t="n"/>
      <c r="AP48" s="339" t="n"/>
      <c r="AQ48" s="339" t="n"/>
      <c r="AR48" s="339" t="n"/>
      <c r="AS48" s="339" t="n"/>
      <c r="AT48" s="357" t="n"/>
      <c r="AU48" s="357" t="n"/>
      <c r="AV48" s="357" t="n"/>
      <c r="AW48" s="357" t="n"/>
      <c r="AX48" s="357" t="n"/>
      <c r="AY48" s="336" t="n"/>
      <c r="AZ48" s="336" t="n"/>
      <c r="BA48" s="336" t="n"/>
      <c r="BB48" s="336" t="n"/>
      <c r="BC48" s="336" t="n"/>
      <c r="BD48" s="336" t="n"/>
      <c r="BE48" s="336" t="n"/>
      <c r="BF48" s="336" t="n"/>
      <c r="BG48" s="336" t="n"/>
      <c r="BH48" s="336" t="n"/>
      <c r="BI48" s="336" t="n"/>
      <c r="BJ48" s="336" t="n"/>
      <c r="BK48" s="336" t="n"/>
      <c r="BL48" s="336" t="n"/>
      <c r="BM48" s="336" t="n"/>
      <c r="BN48" s="336" t="n"/>
      <c r="BO48" s="336" t="n"/>
      <c r="BP48" s="336" t="n"/>
      <c r="BQ48" s="336" t="n"/>
      <c r="BR48" s="336" t="n"/>
      <c r="BS48" s="336" t="n"/>
      <c r="BT48" s="336" t="n"/>
      <c r="BU48" s="336" t="n"/>
      <c r="BV48" s="336" t="n"/>
      <c r="BW48" s="336" t="n"/>
      <c r="BX48" s="336" t="n"/>
      <c r="BY48" s="336" t="n"/>
      <c r="BZ48" s="336" t="n"/>
      <c r="CA48" s="336" t="n"/>
      <c r="CB48" s="336" t="n"/>
      <c r="CC48" s="336" t="n"/>
      <c r="CD48" s="336" t="n"/>
      <c r="CE48" s="336" t="n"/>
      <c r="CF48" s="361" t="n"/>
    </row>
    <row r="49" customFormat="1" s="538">
      <c r="A49" s="350" t="n"/>
      <c r="B49" s="350" t="n"/>
      <c r="C49" s="353" t="n"/>
      <c r="D49" s="333" t="n"/>
      <c r="E49" s="332" t="n"/>
      <c r="F49" s="336" t="n"/>
      <c r="G49" s="336" t="n"/>
      <c r="H49" s="335" t="n"/>
      <c r="I49" s="336" t="n"/>
      <c r="J49" s="336" t="n"/>
      <c r="K49" s="336" t="n"/>
      <c r="L49" s="336" t="n"/>
      <c r="M49" s="336" t="n"/>
      <c r="N49" s="336" t="n"/>
      <c r="O49" s="336" t="n"/>
      <c r="P49" s="430" t="n"/>
      <c r="Q49" s="430" t="n"/>
      <c r="R49" s="430" t="n"/>
      <c r="S49" s="430" t="n"/>
      <c r="T49" s="430" t="n"/>
      <c r="U49" s="430" t="n"/>
      <c r="V49" s="430" t="n"/>
      <c r="W49" s="430" t="n"/>
      <c r="X49" s="430" t="n"/>
      <c r="Y49" s="430" t="n"/>
      <c r="Z49" s="430" t="n"/>
      <c r="AA49" s="430" t="n"/>
      <c r="AB49" s="430" t="n"/>
      <c r="AC49" s="338" t="n"/>
      <c r="AD49" s="338" t="n"/>
      <c r="AE49" s="338" t="n"/>
      <c r="AF49" s="338" t="n"/>
      <c r="AG49" s="339" t="n"/>
      <c r="AH49" s="339" t="n"/>
      <c r="AI49" s="339" t="n"/>
      <c r="AJ49" s="339" t="n"/>
      <c r="AK49" s="339" t="n"/>
      <c r="AL49" s="339" t="n"/>
      <c r="AM49" s="339" t="n"/>
      <c r="AN49" s="339" t="n"/>
      <c r="AO49" s="339" t="n"/>
      <c r="AP49" s="339" t="n"/>
      <c r="AQ49" s="339" t="n"/>
      <c r="AR49" s="339" t="n"/>
      <c r="AS49" s="339" t="n"/>
      <c r="AT49" s="339" t="n"/>
      <c r="AU49" s="339" t="n"/>
      <c r="AV49" s="339" t="n"/>
      <c r="AW49" s="339" t="n"/>
      <c r="AX49" s="430" t="n"/>
      <c r="AY49" s="336" t="n"/>
      <c r="AZ49" s="336" t="n"/>
      <c r="BA49" s="336" t="n"/>
      <c r="BB49" s="336" t="n"/>
      <c r="BC49" s="336" t="n"/>
      <c r="BD49" s="336" t="n"/>
      <c r="BE49" s="336" t="n"/>
      <c r="BF49" s="336" t="n"/>
      <c r="BG49" s="336" t="n"/>
      <c r="BH49" s="336" t="n"/>
      <c r="BI49" s="336" t="n"/>
      <c r="BJ49" s="336" t="n"/>
      <c r="BK49" s="336" t="n"/>
      <c r="BL49" s="336" t="n"/>
      <c r="BM49" s="336" t="n"/>
      <c r="BN49" s="336" t="n"/>
      <c r="BO49" s="336" t="n"/>
      <c r="BP49" s="336" t="n"/>
      <c r="BQ49" s="336" t="n"/>
      <c r="BR49" s="336" t="n"/>
      <c r="BS49" s="336" t="n"/>
      <c r="BT49" s="336" t="n"/>
      <c r="BU49" s="336" t="n"/>
      <c r="BV49" s="336" t="n"/>
      <c r="BW49" s="336" t="n"/>
      <c r="BX49" s="336" t="n"/>
      <c r="BY49" s="336" t="n"/>
      <c r="BZ49" s="336" t="n"/>
      <c r="CA49" s="336" t="n"/>
      <c r="CB49" s="336" t="n"/>
      <c r="CC49" s="336" t="n"/>
      <c r="CD49" s="336" t="n"/>
      <c r="CE49" s="336" t="n"/>
    </row>
    <row r="50" customFormat="1" s="538">
      <c r="A50" s="350" t="n"/>
      <c r="B50" s="350" t="n"/>
      <c r="C50" s="353" t="n"/>
      <c r="D50" s="333" t="n"/>
      <c r="E50" s="332" t="n"/>
      <c r="F50" s="336" t="n"/>
      <c r="G50" s="336" t="n"/>
      <c r="H50" s="335" t="n"/>
      <c r="I50" s="336" t="n"/>
      <c r="J50" s="336" t="n"/>
      <c r="K50" s="336" t="n"/>
      <c r="L50" s="336" t="n"/>
      <c r="M50" s="336" t="n"/>
      <c r="N50" s="336" t="n"/>
      <c r="O50" s="336" t="n"/>
      <c r="P50" s="430" t="n"/>
      <c r="Q50" s="430" t="n"/>
      <c r="R50" s="430" t="n"/>
      <c r="S50" s="430" t="n"/>
      <c r="T50" s="430" t="n"/>
      <c r="U50" s="430" t="n"/>
      <c r="V50" s="430" t="n"/>
      <c r="W50" s="430" t="n"/>
      <c r="X50" s="430" t="n"/>
      <c r="Y50" s="430" t="n"/>
      <c r="Z50" s="430" t="n"/>
      <c r="AA50" s="430" t="n"/>
      <c r="AB50" s="430" t="n"/>
      <c r="AC50" s="338" t="n"/>
      <c r="AD50" s="338" t="n"/>
      <c r="AE50" s="338" t="n"/>
      <c r="AF50" s="338" t="n"/>
      <c r="AG50" s="339" t="n"/>
      <c r="AH50" s="339" t="n"/>
      <c r="AI50" s="339" t="n"/>
      <c r="AJ50" s="339" t="n"/>
      <c r="AK50" s="339" t="n"/>
      <c r="AL50" s="339" t="n"/>
      <c r="AM50" s="339" t="n"/>
      <c r="AN50" s="339" t="n"/>
      <c r="AO50" s="339" t="n"/>
      <c r="AP50" s="339" t="n"/>
      <c r="AQ50" s="339" t="n"/>
      <c r="AR50" s="339" t="n"/>
      <c r="AS50" s="339" t="n"/>
      <c r="AT50" s="339" t="n"/>
      <c r="AU50" s="339" t="n"/>
      <c r="AV50" s="339" t="n"/>
      <c r="AW50" s="339" t="n"/>
      <c r="AX50" s="430" t="n"/>
      <c r="AY50" s="336" t="n"/>
      <c r="AZ50" s="336" t="n"/>
      <c r="BA50" s="336" t="n"/>
      <c r="BB50" s="336" t="n"/>
      <c r="BC50" s="336" t="n"/>
      <c r="BD50" s="336" t="n"/>
      <c r="BE50" s="336" t="n"/>
      <c r="BF50" s="336" t="n"/>
      <c r="BG50" s="336" t="n"/>
      <c r="BH50" s="336" t="n"/>
      <c r="BI50" s="336" t="n"/>
      <c r="BJ50" s="336" t="n"/>
      <c r="BK50" s="336" t="n"/>
      <c r="BL50" s="336" t="n"/>
      <c r="BM50" s="336" t="n"/>
      <c r="BN50" s="336" t="n"/>
      <c r="BO50" s="336" t="n"/>
      <c r="BP50" s="336" t="n"/>
      <c r="BQ50" s="336" t="n"/>
      <c r="BR50" s="336" t="n"/>
      <c r="BS50" s="336" t="n"/>
      <c r="BT50" s="336" t="n"/>
      <c r="BU50" s="336" t="n"/>
      <c r="BV50" s="336" t="n"/>
      <c r="BW50" s="336" t="n"/>
      <c r="BX50" s="336" t="n"/>
      <c r="BY50" s="336" t="n"/>
      <c r="BZ50" s="336" t="n"/>
      <c r="CA50" s="336" t="n"/>
      <c r="CB50" s="336" t="n"/>
      <c r="CC50" s="336" t="n"/>
      <c r="CD50" s="336" t="n"/>
      <c r="CE50" s="336" t="n"/>
    </row>
    <row r="51" customFormat="1" s="538">
      <c r="A51" s="350" t="n"/>
      <c r="B51" s="350" t="n"/>
      <c r="C51" s="353" t="n"/>
      <c r="D51" s="333" t="n"/>
      <c r="E51" s="332" t="n"/>
      <c r="F51" s="336" t="n"/>
      <c r="G51" s="336" t="n"/>
      <c r="H51" s="335" t="n"/>
      <c r="I51" s="336" t="n"/>
      <c r="J51" s="336" t="n"/>
      <c r="K51" s="336" t="n"/>
      <c r="L51" s="336" t="n"/>
      <c r="M51" s="336" t="n"/>
      <c r="N51" s="336" t="n"/>
      <c r="O51" s="336" t="n"/>
      <c r="P51" s="430" t="n"/>
      <c r="Q51" s="430" t="n"/>
      <c r="R51" s="430" t="n"/>
      <c r="S51" s="430" t="n"/>
      <c r="T51" s="430" t="n"/>
      <c r="U51" s="430" t="n"/>
      <c r="V51" s="430" t="n"/>
      <c r="W51" s="430" t="n"/>
      <c r="X51" s="430" t="n"/>
      <c r="Y51" s="430" t="n"/>
      <c r="Z51" s="430" t="n"/>
      <c r="AA51" s="430" t="n"/>
      <c r="AB51" s="430" t="n"/>
      <c r="AC51" s="338" t="n"/>
      <c r="AD51" s="338" t="n"/>
      <c r="AE51" s="338" t="n"/>
      <c r="AF51" s="338" t="n"/>
      <c r="AG51" s="339" t="n"/>
      <c r="AH51" s="339" t="n"/>
      <c r="AI51" s="339" t="n"/>
      <c r="AJ51" s="339" t="n"/>
      <c r="AK51" s="339" t="n"/>
      <c r="AL51" s="339" t="n"/>
      <c r="AM51" s="339" t="n"/>
      <c r="AN51" s="339" t="n"/>
      <c r="AO51" s="339" t="n"/>
      <c r="AP51" s="339" t="n"/>
      <c r="AQ51" s="339" t="n"/>
      <c r="AR51" s="339" t="n"/>
      <c r="AS51" s="339" t="n"/>
      <c r="AT51" s="339" t="n"/>
      <c r="AU51" s="339" t="n"/>
      <c r="AV51" s="339" t="n"/>
      <c r="AW51" s="339" t="n"/>
      <c r="AX51" s="430" t="n"/>
      <c r="AY51" s="336" t="n"/>
      <c r="AZ51" s="336" t="n"/>
      <c r="BA51" s="336" t="n"/>
      <c r="BB51" s="336" t="n"/>
      <c r="BC51" s="336" t="n"/>
      <c r="BD51" s="336" t="n"/>
      <c r="BE51" s="336" t="n"/>
      <c r="BF51" s="336" t="n"/>
      <c r="BG51" s="336" t="n"/>
      <c r="BH51" s="336" t="n"/>
      <c r="BI51" s="336" t="n"/>
      <c r="BJ51" s="336" t="n"/>
      <c r="BK51" s="336" t="n"/>
      <c r="BL51" s="336" t="n"/>
      <c r="BM51" s="336" t="n"/>
      <c r="BN51" s="336" t="n"/>
      <c r="BO51" s="336" t="n"/>
      <c r="BP51" s="336" t="n"/>
      <c r="BQ51" s="336" t="n"/>
      <c r="BR51" s="336" t="n"/>
      <c r="BS51" s="336" t="n"/>
      <c r="BT51" s="336" t="n"/>
      <c r="BU51" s="336" t="n"/>
      <c r="BV51" s="336" t="n"/>
      <c r="BW51" s="336" t="n"/>
      <c r="BX51" s="336" t="n"/>
      <c r="BY51" s="336" t="n"/>
      <c r="BZ51" s="336" t="n"/>
      <c r="CA51" s="336" t="n"/>
      <c r="CB51" s="336" t="n"/>
      <c r="CC51" s="336" t="n"/>
      <c r="CD51" s="336" t="n"/>
      <c r="CE51" s="336" t="n"/>
    </row>
    <row r="52" customFormat="1" s="538">
      <c r="A52" s="342" t="n"/>
      <c r="B52" s="358" t="n"/>
      <c r="C52" s="344" t="n"/>
      <c r="D52" s="345" t="n"/>
      <c r="E52" s="346" t="n"/>
      <c r="F52" s="336" t="n"/>
      <c r="G52" s="336" t="n"/>
      <c r="H52" s="336" t="n"/>
      <c r="I52" s="336" t="n"/>
      <c r="J52" s="336" t="n"/>
      <c r="K52" s="336" t="n"/>
      <c r="L52" s="336" t="n"/>
      <c r="M52" s="336" t="n"/>
      <c r="N52" s="336" t="n"/>
      <c r="O52" s="336" t="n"/>
      <c r="P52" s="357" t="n"/>
      <c r="Q52" s="357" t="n"/>
      <c r="R52" s="357" t="n"/>
      <c r="S52" s="357" t="n"/>
      <c r="T52" s="357" t="n"/>
      <c r="U52" s="357" t="n"/>
      <c r="V52" s="357" t="n"/>
      <c r="W52" s="357" t="n"/>
      <c r="X52" s="357" t="n"/>
      <c r="Y52" s="357" t="n"/>
      <c r="Z52" s="357" t="n"/>
      <c r="AA52" s="357" t="n"/>
      <c r="AB52" s="336" t="n"/>
      <c r="AC52" s="338" t="n"/>
      <c r="AD52" s="338" t="n"/>
      <c r="AE52" s="338" t="n"/>
      <c r="AF52" s="338" t="n"/>
      <c r="AG52" s="339" t="n"/>
      <c r="AH52" s="339" t="n"/>
      <c r="AI52" s="339" t="n"/>
      <c r="AJ52" s="339" t="n"/>
      <c r="AK52" s="339" t="n"/>
      <c r="AL52" s="339" t="n"/>
      <c r="AM52" s="339" t="n"/>
      <c r="AN52" s="339" t="n"/>
      <c r="AO52" s="339" t="n"/>
      <c r="AP52" s="339" t="n"/>
      <c r="AQ52" s="339" t="n"/>
      <c r="AR52" s="339" t="n"/>
      <c r="AS52" s="339" t="n"/>
      <c r="AT52" s="339" t="n"/>
      <c r="AU52" s="339" t="n"/>
      <c r="AV52" s="339" t="n"/>
      <c r="AW52" s="339" t="n"/>
      <c r="AX52" s="357" t="n"/>
      <c r="AY52" s="336" t="n"/>
      <c r="AZ52" s="336" t="n"/>
      <c r="BA52" s="336" t="n"/>
      <c r="BB52" s="336" t="n"/>
      <c r="BC52" s="336" t="n"/>
      <c r="BD52" s="336" t="n"/>
      <c r="BE52" s="336" t="n"/>
      <c r="BF52" s="336" t="n"/>
      <c r="BG52" s="336" t="n"/>
      <c r="BH52" s="336" t="n"/>
      <c r="BI52" s="336" t="n"/>
      <c r="BJ52" s="336" t="n"/>
      <c r="BK52" s="336" t="n"/>
      <c r="BL52" s="336" t="n"/>
      <c r="BM52" s="336" t="n"/>
      <c r="BN52" s="336" t="n"/>
      <c r="BO52" s="336" t="n"/>
      <c r="BP52" s="336" t="n"/>
      <c r="BQ52" s="336" t="n"/>
      <c r="BR52" s="336" t="n"/>
      <c r="BS52" s="336" t="n"/>
      <c r="BT52" s="336" t="n"/>
      <c r="BU52" s="336" t="n"/>
      <c r="BV52" s="336" t="n"/>
      <c r="BW52" s="336" t="n"/>
      <c r="BX52" s="336" t="n"/>
      <c r="BY52" s="336" t="n"/>
      <c r="BZ52" s="336" t="n"/>
      <c r="CA52" s="336" t="n"/>
      <c r="CB52" s="336" t="n"/>
      <c r="CC52" s="336" t="n"/>
      <c r="CD52" s="336" t="n"/>
      <c r="CE52" s="336" t="n"/>
      <c r="CF52" s="361" t="n"/>
    </row>
    <row r="53" customFormat="1" s="538">
      <c r="A53" s="349" t="n"/>
      <c r="B53" s="350" t="n"/>
      <c r="C53" s="353" t="n"/>
      <c r="D53" s="333" t="n"/>
      <c r="E53" s="332" t="n"/>
      <c r="F53" s="336" t="n"/>
      <c r="G53" s="336" t="n"/>
      <c r="H53" s="335" t="n"/>
      <c r="I53" s="336" t="n"/>
      <c r="J53" s="336" t="n"/>
      <c r="K53" s="336" t="n"/>
      <c r="L53" s="336" t="n"/>
      <c r="M53" s="336" t="n"/>
      <c r="N53" s="336" t="n"/>
      <c r="O53" s="336" t="n"/>
      <c r="P53" s="430" t="n"/>
      <c r="Q53" s="430" t="n"/>
      <c r="R53" s="430" t="n"/>
      <c r="S53" s="430" t="n"/>
      <c r="T53" s="430" t="n"/>
      <c r="U53" s="430" t="n"/>
      <c r="V53" s="430" t="n"/>
      <c r="W53" s="430" t="n"/>
      <c r="X53" s="430" t="n"/>
      <c r="Y53" s="430" t="n"/>
      <c r="Z53" s="430" t="n"/>
      <c r="AA53" s="430" t="n"/>
      <c r="AB53" s="430" t="n"/>
      <c r="AC53" s="338" t="n"/>
      <c r="AD53" s="338" t="n"/>
      <c r="AE53" s="338" t="n"/>
      <c r="AF53" s="338" t="n"/>
      <c r="AG53" s="339" t="n"/>
      <c r="AH53" s="339" t="n"/>
      <c r="AI53" s="339" t="n"/>
      <c r="AJ53" s="339" t="n"/>
      <c r="AK53" s="339" t="n"/>
      <c r="AL53" s="339" t="n"/>
      <c r="AM53" s="339" t="n"/>
      <c r="AN53" s="339" t="n"/>
      <c r="AO53" s="339" t="n"/>
      <c r="AP53" s="339" t="n"/>
      <c r="AQ53" s="339" t="n"/>
      <c r="AR53" s="339" t="n"/>
      <c r="AS53" s="339" t="n"/>
      <c r="AT53" s="339" t="n"/>
      <c r="AU53" s="339" t="n"/>
      <c r="AV53" s="339" t="n"/>
      <c r="AW53" s="339" t="n"/>
      <c r="AX53" s="430" t="n"/>
      <c r="AY53" s="336" t="n"/>
      <c r="AZ53" s="336" t="n"/>
      <c r="BA53" s="336" t="n"/>
      <c r="BB53" s="336" t="n"/>
      <c r="BC53" s="336" t="n"/>
      <c r="BD53" s="336" t="n"/>
      <c r="BE53" s="336" t="n"/>
      <c r="BF53" s="336" t="n"/>
      <c r="BG53" s="336" t="n"/>
      <c r="BH53" s="336" t="n"/>
      <c r="BI53" s="336" t="n"/>
      <c r="BJ53" s="336" t="n"/>
      <c r="BK53" s="336" t="n"/>
      <c r="BL53" s="336" t="n"/>
      <c r="BM53" s="336" t="n"/>
      <c r="BN53" s="336" t="n"/>
      <c r="BO53" s="336" t="n"/>
      <c r="BP53" s="336" t="n"/>
      <c r="BQ53" s="336" t="n"/>
      <c r="BR53" s="336" t="n"/>
      <c r="BS53" s="336" t="n"/>
      <c r="BT53" s="336" t="n"/>
      <c r="BU53" s="336" t="n"/>
      <c r="BV53" s="336" t="n"/>
      <c r="BW53" s="336" t="n"/>
      <c r="BX53" s="336" t="n"/>
      <c r="BY53" s="336" t="n"/>
      <c r="BZ53" s="336" t="n"/>
      <c r="CA53" s="336" t="n"/>
      <c r="CB53" s="336" t="n"/>
      <c r="CC53" s="336" t="n"/>
      <c r="CD53" s="336" t="n"/>
      <c r="CE53" s="336" t="n"/>
    </row>
    <row r="54" customFormat="1" s="538">
      <c r="A54" s="349" t="n"/>
      <c r="B54" s="350" t="n"/>
      <c r="C54" s="353" t="n"/>
      <c r="D54" s="333" t="n"/>
      <c r="E54" s="332" t="n"/>
      <c r="F54" s="336" t="n"/>
      <c r="G54" s="336" t="n"/>
      <c r="H54" s="335" t="n"/>
      <c r="I54" s="336" t="n"/>
      <c r="J54" s="336" t="n"/>
      <c r="K54" s="336" t="n"/>
      <c r="L54" s="336" t="n"/>
      <c r="M54" s="336" t="n"/>
      <c r="N54" s="336" t="n"/>
      <c r="O54" s="336" t="n"/>
      <c r="P54" s="430" t="n"/>
      <c r="Q54" s="430" t="n"/>
      <c r="R54" s="430" t="n"/>
      <c r="S54" s="430" t="n"/>
      <c r="T54" s="430" t="n"/>
      <c r="U54" s="430" t="n"/>
      <c r="V54" s="430" t="n"/>
      <c r="W54" s="430" t="n"/>
      <c r="X54" s="430" t="n"/>
      <c r="Y54" s="430" t="n"/>
      <c r="Z54" s="430" t="n"/>
      <c r="AA54" s="430" t="n"/>
      <c r="AB54" s="430" t="n"/>
      <c r="AC54" s="357" t="n"/>
      <c r="AD54" s="357" t="n"/>
      <c r="AE54" s="357" t="n"/>
      <c r="AF54" s="357" t="n"/>
      <c r="AG54" s="339" t="n"/>
      <c r="AH54" s="339" t="n"/>
      <c r="AI54" s="339" t="n"/>
      <c r="AJ54" s="339" t="n"/>
      <c r="AK54" s="339" t="n"/>
      <c r="AL54" s="339" t="n"/>
      <c r="AM54" s="339" t="n"/>
      <c r="AN54" s="339" t="n"/>
      <c r="AO54" s="339" t="n"/>
      <c r="AP54" s="339" t="n"/>
      <c r="AQ54" s="339" t="n"/>
      <c r="AR54" s="339" t="n"/>
      <c r="AS54" s="339" t="n"/>
      <c r="AT54" s="357" t="n"/>
      <c r="AU54" s="357" t="n"/>
      <c r="AV54" s="357" t="n"/>
      <c r="AW54" s="357" t="n"/>
      <c r="AX54" s="430" t="n"/>
      <c r="AY54" s="336" t="n"/>
      <c r="AZ54" s="336" t="n"/>
      <c r="BA54" s="336" t="n"/>
      <c r="BB54" s="336" t="n"/>
      <c r="BC54" s="336" t="n"/>
      <c r="BD54" s="336" t="n"/>
      <c r="BE54" s="336" t="n"/>
      <c r="BF54" s="336" t="n"/>
      <c r="BG54" s="336" t="n"/>
      <c r="BH54" s="336" t="n"/>
      <c r="BI54" s="336" t="n"/>
      <c r="BJ54" s="336" t="n"/>
      <c r="BK54" s="336" t="n"/>
      <c r="BL54" s="336" t="n"/>
      <c r="BM54" s="336" t="n"/>
      <c r="BN54" s="336" t="n"/>
      <c r="BO54" s="336" t="n"/>
      <c r="BP54" s="336" t="n"/>
      <c r="BQ54" s="336" t="n"/>
      <c r="BR54" s="336" t="n"/>
      <c r="BS54" s="336" t="n"/>
      <c r="BT54" s="336" t="n"/>
      <c r="BU54" s="336" t="n"/>
      <c r="BV54" s="336" t="n"/>
      <c r="BW54" s="336" t="n"/>
      <c r="BX54" s="336" t="n"/>
      <c r="BY54" s="336" t="n"/>
      <c r="BZ54" s="336" t="n"/>
      <c r="CA54" s="336" t="n"/>
      <c r="CB54" s="336" t="n"/>
      <c r="CC54" s="336" t="n"/>
      <c r="CD54" s="336" t="n"/>
      <c r="CE54" s="336" t="n"/>
    </row>
    <row r="55" customFormat="1" s="538">
      <c r="A55" s="349" t="n"/>
      <c r="B55" s="350" t="n"/>
      <c r="C55" s="353" t="n"/>
      <c r="D55" s="333" t="n"/>
      <c r="E55" s="332" t="n"/>
      <c r="F55" s="336" t="n"/>
      <c r="G55" s="336" t="n"/>
      <c r="H55" s="335" t="n"/>
      <c r="I55" s="336" t="n"/>
      <c r="J55" s="336" t="n"/>
      <c r="K55" s="336" t="n"/>
      <c r="L55" s="336" t="n"/>
      <c r="M55" s="336" t="n"/>
      <c r="N55" s="336" t="n"/>
      <c r="O55" s="336" t="n"/>
      <c r="P55" s="430" t="n"/>
      <c r="Q55" s="430" t="n"/>
      <c r="R55" s="430" t="n"/>
      <c r="S55" s="430" t="n"/>
      <c r="T55" s="430" t="n"/>
      <c r="U55" s="430" t="n"/>
      <c r="V55" s="430" t="n"/>
      <c r="W55" s="430" t="n"/>
      <c r="X55" s="430" t="n"/>
      <c r="Y55" s="430" t="n"/>
      <c r="Z55" s="430" t="n"/>
      <c r="AA55" s="430" t="n"/>
      <c r="AB55" s="430" t="n"/>
      <c r="AC55" s="338" t="n"/>
      <c r="AD55" s="338" t="n"/>
      <c r="AE55" s="338" t="n"/>
      <c r="AF55" s="338" t="n"/>
      <c r="AG55" s="339" t="n"/>
      <c r="AH55" s="339" t="n"/>
      <c r="AI55" s="339" t="n"/>
      <c r="AJ55" s="339" t="n"/>
      <c r="AK55" s="339" t="n"/>
      <c r="AL55" s="339" t="n"/>
      <c r="AM55" s="339" t="n"/>
      <c r="AN55" s="339" t="n"/>
      <c r="AO55" s="339" t="n"/>
      <c r="AP55" s="339" t="n"/>
      <c r="AQ55" s="339" t="n"/>
      <c r="AR55" s="339" t="n"/>
      <c r="AS55" s="339" t="n"/>
      <c r="AT55" s="339" t="n"/>
      <c r="AU55" s="339" t="n"/>
      <c r="AV55" s="339" t="n"/>
      <c r="AW55" s="339" t="n"/>
      <c r="AX55" s="430" t="n"/>
      <c r="AY55" s="336" t="n"/>
      <c r="AZ55" s="336" t="n"/>
      <c r="BA55" s="336" t="n"/>
      <c r="BB55" s="336" t="n"/>
      <c r="BC55" s="336" t="n"/>
      <c r="BD55" s="336" t="n"/>
      <c r="BE55" s="336" t="n"/>
      <c r="BF55" s="336" t="n"/>
      <c r="BG55" s="336" t="n"/>
      <c r="BH55" s="336" t="n"/>
      <c r="BI55" s="336" t="n"/>
      <c r="BJ55" s="336" t="n"/>
      <c r="BK55" s="336" t="n"/>
      <c r="BL55" s="336" t="n"/>
      <c r="BM55" s="336" t="n"/>
      <c r="BN55" s="336" t="n"/>
      <c r="BO55" s="336" t="n"/>
      <c r="BP55" s="336" t="n"/>
      <c r="BQ55" s="336" t="n"/>
      <c r="BR55" s="336" t="n"/>
      <c r="BS55" s="336" t="n"/>
      <c r="BT55" s="336" t="n"/>
      <c r="BU55" s="336" t="n"/>
      <c r="BV55" s="336" t="n"/>
      <c r="BW55" s="336" t="n"/>
      <c r="BX55" s="336" t="n"/>
      <c r="BY55" s="336" t="n"/>
      <c r="BZ55" s="336" t="n"/>
      <c r="CA55" s="336" t="n"/>
      <c r="CB55" s="336" t="n"/>
      <c r="CC55" s="336" t="n"/>
      <c r="CD55" s="336" t="n"/>
      <c r="CE55" s="336" t="n"/>
    </row>
    <row r="56" customFormat="1" s="538">
      <c r="A56" s="349" t="n"/>
      <c r="B56" s="350" t="n"/>
      <c r="C56" s="353" t="n"/>
      <c r="D56" s="333" t="n"/>
      <c r="E56" s="332" t="n"/>
      <c r="F56" s="336" t="n"/>
      <c r="G56" s="336" t="n"/>
      <c r="H56" s="335" t="n"/>
      <c r="I56" s="336" t="n"/>
      <c r="J56" s="336" t="n"/>
      <c r="K56" s="336" t="n"/>
      <c r="L56" s="336" t="n"/>
      <c r="M56" s="336" t="n"/>
      <c r="N56" s="336" t="n"/>
      <c r="O56" s="336" t="n"/>
      <c r="P56" s="430" t="n"/>
      <c r="Q56" s="430" t="n"/>
      <c r="R56" s="430" t="n"/>
      <c r="S56" s="430" t="n"/>
      <c r="T56" s="430" t="n"/>
      <c r="U56" s="430" t="n"/>
      <c r="V56" s="430" t="n"/>
      <c r="W56" s="430" t="n"/>
      <c r="X56" s="430" t="n"/>
      <c r="Y56" s="430" t="n"/>
      <c r="Z56" s="430" t="n"/>
      <c r="AA56" s="430" t="n"/>
      <c r="AB56" s="430" t="n"/>
      <c r="AC56" s="338" t="n"/>
      <c r="AD56" s="338" t="n"/>
      <c r="AE56" s="338" t="n"/>
      <c r="AF56" s="338" t="n"/>
      <c r="AG56" s="339" t="n"/>
      <c r="AH56" s="339" t="n"/>
      <c r="AI56" s="339" t="n"/>
      <c r="AJ56" s="339" t="n"/>
      <c r="AK56" s="339" t="n"/>
      <c r="AL56" s="339" t="n"/>
      <c r="AM56" s="339" t="n"/>
      <c r="AN56" s="339" t="n"/>
      <c r="AO56" s="339" t="n"/>
      <c r="AP56" s="339" t="n"/>
      <c r="AQ56" s="339" t="n"/>
      <c r="AR56" s="339" t="n"/>
      <c r="AS56" s="339" t="n"/>
      <c r="AT56" s="339" t="n"/>
      <c r="AU56" s="339" t="n"/>
      <c r="AV56" s="339" t="n"/>
      <c r="AW56" s="339" t="n"/>
      <c r="AX56" s="430" t="n"/>
      <c r="AY56" s="336" t="n"/>
      <c r="AZ56" s="336" t="n"/>
      <c r="BA56" s="336" t="n"/>
      <c r="BB56" s="336" t="n"/>
      <c r="BC56" s="336" t="n"/>
      <c r="BD56" s="336" t="n"/>
      <c r="BE56" s="336" t="n"/>
      <c r="BF56" s="336" t="n"/>
      <c r="BG56" s="336" t="n"/>
      <c r="BH56" s="336" t="n"/>
      <c r="BI56" s="336" t="n"/>
      <c r="BJ56" s="336" t="n"/>
      <c r="BK56" s="336" t="n"/>
      <c r="BL56" s="336" t="n"/>
      <c r="BM56" s="336" t="n"/>
      <c r="BN56" s="336" t="n"/>
      <c r="BO56" s="336" t="n"/>
      <c r="BP56" s="336" t="n"/>
      <c r="BQ56" s="336" t="n"/>
      <c r="BR56" s="336" t="n"/>
      <c r="BS56" s="336" t="n"/>
      <c r="BT56" s="336" t="n"/>
      <c r="BU56" s="336" t="n"/>
      <c r="BV56" s="336" t="n"/>
      <c r="BW56" s="336" t="n"/>
      <c r="BX56" s="336" t="n"/>
      <c r="BY56" s="336" t="n"/>
      <c r="BZ56" s="336" t="n"/>
      <c r="CA56" s="336" t="n"/>
      <c r="CB56" s="336" t="n"/>
      <c r="CC56" s="336" t="n"/>
      <c r="CD56" s="336" t="n"/>
      <c r="CE56" s="336" t="n"/>
    </row>
    <row r="57" customFormat="1" s="538">
      <c r="A57" s="349" t="n"/>
      <c r="B57" s="350" t="n"/>
      <c r="C57" s="353" t="n"/>
      <c r="D57" s="333" t="n"/>
      <c r="E57" s="332" t="n"/>
      <c r="F57" s="336" t="n"/>
      <c r="G57" s="336" t="n"/>
      <c r="H57" s="335" t="n"/>
      <c r="I57" s="336" t="n"/>
      <c r="J57" s="336" t="n"/>
      <c r="K57" s="336" t="n"/>
      <c r="L57" s="336" t="n"/>
      <c r="M57" s="336" t="n"/>
      <c r="N57" s="336" t="n"/>
      <c r="O57" s="336" t="n"/>
      <c r="P57" s="430" t="n"/>
      <c r="Q57" s="430" t="n"/>
      <c r="R57" s="430" t="n"/>
      <c r="S57" s="430" t="n"/>
      <c r="T57" s="430" t="n"/>
      <c r="U57" s="430" t="n"/>
      <c r="V57" s="430" t="n"/>
      <c r="W57" s="430" t="n"/>
      <c r="X57" s="430" t="n"/>
      <c r="Y57" s="430" t="n"/>
      <c r="Z57" s="430" t="n"/>
      <c r="AA57" s="430" t="n"/>
      <c r="AB57" s="430" t="n"/>
      <c r="AC57" s="338" t="n"/>
      <c r="AD57" s="338" t="n"/>
      <c r="AE57" s="338" t="n"/>
      <c r="AF57" s="338" t="n"/>
      <c r="AG57" s="339" t="n"/>
      <c r="AH57" s="339" t="n"/>
      <c r="AI57" s="339" t="n"/>
      <c r="AJ57" s="339" t="n"/>
      <c r="AK57" s="339" t="n"/>
      <c r="AL57" s="339" t="n"/>
      <c r="AM57" s="339" t="n"/>
      <c r="AN57" s="339" t="n"/>
      <c r="AO57" s="339" t="n"/>
      <c r="AP57" s="339" t="n"/>
      <c r="AQ57" s="339" t="n"/>
      <c r="AR57" s="339" t="n"/>
      <c r="AS57" s="339" t="n"/>
      <c r="AT57" s="339" t="n"/>
      <c r="AU57" s="339" t="n"/>
      <c r="AV57" s="339" t="n"/>
      <c r="AW57" s="339" t="n"/>
      <c r="AX57" s="430" t="n"/>
      <c r="AY57" s="336" t="n"/>
      <c r="AZ57" s="336" t="n"/>
      <c r="BA57" s="336" t="n"/>
      <c r="BB57" s="336" t="n"/>
      <c r="BC57" s="336" t="n"/>
      <c r="BD57" s="336" t="n"/>
      <c r="BE57" s="336" t="n"/>
      <c r="BF57" s="336" t="n"/>
      <c r="BG57" s="336" t="n"/>
      <c r="BH57" s="336" t="n"/>
      <c r="BI57" s="336" t="n"/>
      <c r="BJ57" s="336" t="n"/>
      <c r="BK57" s="336" t="n"/>
      <c r="BL57" s="336" t="n"/>
      <c r="BM57" s="336" t="n"/>
      <c r="BN57" s="336" t="n"/>
      <c r="BO57" s="336" t="n"/>
      <c r="BP57" s="336" t="n"/>
      <c r="BQ57" s="336" t="n"/>
      <c r="BR57" s="336" t="n"/>
      <c r="BS57" s="336" t="n"/>
      <c r="BT57" s="336" t="n"/>
      <c r="BU57" s="336" t="n"/>
      <c r="BV57" s="336" t="n"/>
      <c r="BW57" s="336" t="n"/>
      <c r="BX57" s="336" t="n"/>
      <c r="BY57" s="336" t="n"/>
      <c r="BZ57" s="336" t="n"/>
      <c r="CA57" s="336" t="n"/>
      <c r="CB57" s="336" t="n"/>
      <c r="CC57" s="336" t="n"/>
      <c r="CD57" s="336" t="n"/>
      <c r="CE57" s="336" t="n"/>
    </row>
    <row r="58" customFormat="1" s="538">
      <c r="A58" s="358" t="n"/>
      <c r="B58" s="358" t="n"/>
      <c r="C58" s="344" t="n"/>
      <c r="D58" s="345" t="n"/>
      <c r="E58" s="346" t="n"/>
      <c r="F58" s="336" t="n"/>
      <c r="G58" s="336" t="n"/>
      <c r="H58" s="336" t="n"/>
      <c r="I58" s="336" t="n"/>
      <c r="J58" s="336" t="n"/>
      <c r="K58" s="336" t="n"/>
      <c r="L58" s="336" t="n"/>
      <c r="M58" s="336" t="n"/>
      <c r="N58" s="336" t="n"/>
      <c r="O58" s="336" t="n"/>
      <c r="P58" s="357" t="n"/>
      <c r="Q58" s="357" t="n"/>
      <c r="R58" s="357" t="n"/>
      <c r="S58" s="357" t="n"/>
      <c r="T58" s="357" t="n"/>
      <c r="U58" s="357" t="n"/>
      <c r="V58" s="357" t="n"/>
      <c r="W58" s="357" t="n"/>
      <c r="X58" s="357" t="n"/>
      <c r="Y58" s="357" t="n"/>
      <c r="Z58" s="357" t="n"/>
      <c r="AA58" s="357" t="n"/>
      <c r="AB58" s="336" t="n"/>
      <c r="AC58" s="357" t="n"/>
      <c r="AD58" s="357" t="n"/>
      <c r="AE58" s="357" t="n"/>
      <c r="AF58" s="357" t="n"/>
      <c r="AG58" s="339" t="n"/>
      <c r="AH58" s="339" t="n"/>
      <c r="AI58" s="339" t="n"/>
      <c r="AJ58" s="339" t="n"/>
      <c r="AK58" s="339" t="n"/>
      <c r="AL58" s="339" t="n"/>
      <c r="AM58" s="339" t="n"/>
      <c r="AN58" s="339" t="n"/>
      <c r="AO58" s="339" t="n"/>
      <c r="AP58" s="339" t="n"/>
      <c r="AQ58" s="339" t="n"/>
      <c r="AR58" s="339" t="n"/>
      <c r="AS58" s="339" t="n"/>
      <c r="AT58" s="339" t="n"/>
      <c r="AU58" s="339" t="n"/>
      <c r="AV58" s="339" t="n"/>
      <c r="AW58" s="339" t="n"/>
      <c r="AX58" s="357" t="n"/>
      <c r="AY58" s="336" t="n"/>
      <c r="AZ58" s="336" t="n"/>
      <c r="BA58" s="336" t="n"/>
      <c r="BB58" s="336" t="n"/>
      <c r="BC58" s="336" t="n"/>
      <c r="BD58" s="336" t="n"/>
      <c r="BE58" s="336" t="n"/>
      <c r="BF58" s="336" t="n"/>
      <c r="BG58" s="336" t="n"/>
      <c r="BH58" s="336" t="n"/>
      <c r="BI58" s="336" t="n"/>
      <c r="BJ58" s="336" t="n"/>
      <c r="BK58" s="336" t="n"/>
      <c r="BL58" s="336" t="n"/>
      <c r="BM58" s="336" t="n"/>
      <c r="BN58" s="336" t="n"/>
      <c r="BO58" s="336" t="n"/>
      <c r="BP58" s="336" t="n"/>
      <c r="BQ58" s="336" t="n"/>
      <c r="BR58" s="336" t="n"/>
      <c r="BS58" s="336" t="n"/>
      <c r="BT58" s="336" t="n"/>
      <c r="BU58" s="336" t="n"/>
      <c r="BV58" s="336" t="n"/>
      <c r="BW58" s="336" t="n"/>
      <c r="BX58" s="336" t="n"/>
      <c r="BY58" s="336" t="n"/>
      <c r="BZ58" s="336" t="n"/>
      <c r="CA58" s="336" t="n"/>
      <c r="CB58" s="336" t="n"/>
      <c r="CC58" s="336" t="n"/>
      <c r="CD58" s="336" t="n"/>
      <c r="CE58" s="336" t="n"/>
      <c r="CF58" s="361" t="n"/>
    </row>
    <row r="59" customFormat="1" s="538">
      <c r="A59" s="350" t="n"/>
      <c r="B59" s="350" t="n"/>
      <c r="C59" s="353" t="n"/>
      <c r="D59" s="333" t="n"/>
      <c r="E59" s="332" t="n"/>
      <c r="F59" s="336" t="n"/>
      <c r="G59" s="336" t="n"/>
      <c r="H59" s="335" t="n"/>
      <c r="I59" s="336" t="n"/>
      <c r="J59" s="336" t="n"/>
      <c r="K59" s="336" t="n"/>
      <c r="L59" s="336" t="n"/>
      <c r="M59" s="336" t="n"/>
      <c r="N59" s="336" t="n"/>
      <c r="O59" s="336" t="n"/>
      <c r="P59" s="430" t="n"/>
      <c r="Q59" s="430" t="n"/>
      <c r="R59" s="430" t="n"/>
      <c r="S59" s="430" t="n"/>
      <c r="T59" s="430" t="n"/>
      <c r="U59" s="430" t="n"/>
      <c r="V59" s="430" t="n"/>
      <c r="W59" s="430" t="n"/>
      <c r="X59" s="430" t="n"/>
      <c r="Y59" s="430" t="n"/>
      <c r="Z59" s="430" t="n"/>
      <c r="AA59" s="430" t="n"/>
      <c r="AB59" s="430" t="n"/>
      <c r="AC59" s="338" t="n"/>
      <c r="AD59" s="338" t="n"/>
      <c r="AE59" s="338" t="n"/>
      <c r="AF59" s="338" t="n"/>
      <c r="AG59" s="339" t="n"/>
      <c r="AH59" s="339" t="n"/>
      <c r="AI59" s="339" t="n"/>
      <c r="AJ59" s="339" t="n"/>
      <c r="AK59" s="339" t="n"/>
      <c r="AL59" s="339" t="n"/>
      <c r="AM59" s="339" t="n"/>
      <c r="AN59" s="339" t="n"/>
      <c r="AO59" s="339" t="n"/>
      <c r="AP59" s="339" t="n"/>
      <c r="AQ59" s="339" t="n"/>
      <c r="AR59" s="339" t="n"/>
      <c r="AS59" s="339" t="n"/>
      <c r="AT59" s="339" t="n"/>
      <c r="AU59" s="339" t="n"/>
      <c r="AV59" s="339" t="n"/>
      <c r="AW59" s="339" t="n"/>
      <c r="AX59" s="430" t="n"/>
      <c r="AY59" s="336" t="n"/>
      <c r="AZ59" s="336" t="n"/>
      <c r="BA59" s="336" t="n"/>
      <c r="BB59" s="336" t="n"/>
      <c r="BC59" s="336" t="n"/>
      <c r="BD59" s="336" t="n"/>
      <c r="BE59" s="336" t="n"/>
      <c r="BF59" s="336" t="n"/>
      <c r="BG59" s="336" t="n"/>
      <c r="BH59" s="336" t="n"/>
      <c r="BI59" s="336" t="n"/>
      <c r="BJ59" s="336" t="n"/>
      <c r="BK59" s="336" t="n"/>
      <c r="BL59" s="336" t="n"/>
      <c r="BM59" s="336" t="n"/>
      <c r="BN59" s="336" t="n"/>
      <c r="BO59" s="336" t="n"/>
      <c r="BP59" s="336" t="n"/>
      <c r="BQ59" s="336" t="n"/>
      <c r="BR59" s="336" t="n"/>
      <c r="BS59" s="336" t="n"/>
      <c r="BT59" s="336" t="n"/>
      <c r="BU59" s="336" t="n"/>
      <c r="BV59" s="336" t="n"/>
      <c r="BW59" s="336" t="n"/>
      <c r="BX59" s="336" t="n"/>
      <c r="BY59" s="336" t="n"/>
      <c r="BZ59" s="336" t="n"/>
      <c r="CA59" s="336" t="n"/>
      <c r="CB59" s="336" t="n"/>
      <c r="CC59" s="336" t="n"/>
      <c r="CD59" s="336" t="n"/>
      <c r="CE59" s="336" t="n"/>
    </row>
    <row r="60" customFormat="1" s="538">
      <c r="A60" s="350" t="n"/>
      <c r="B60" s="350" t="n"/>
      <c r="C60" s="353" t="n"/>
      <c r="D60" s="333" t="n"/>
      <c r="E60" s="332" t="n"/>
      <c r="F60" s="336" t="n"/>
      <c r="G60" s="336" t="n"/>
      <c r="H60" s="335" t="n"/>
      <c r="I60" s="336" t="n"/>
      <c r="J60" s="336" t="n"/>
      <c r="K60" s="336" t="n"/>
      <c r="L60" s="336" t="n"/>
      <c r="M60" s="336" t="n"/>
      <c r="N60" s="336" t="n"/>
      <c r="O60" s="336" t="n"/>
      <c r="P60" s="430" t="n"/>
      <c r="Q60" s="430" t="n"/>
      <c r="R60" s="430" t="n"/>
      <c r="S60" s="430" t="n"/>
      <c r="T60" s="430" t="n"/>
      <c r="U60" s="430" t="n"/>
      <c r="V60" s="430" t="n"/>
      <c r="W60" s="430" t="n"/>
      <c r="X60" s="430" t="n"/>
      <c r="Y60" s="430" t="n"/>
      <c r="Z60" s="430" t="n"/>
      <c r="AA60" s="430" t="n"/>
      <c r="AB60" s="430" t="n"/>
      <c r="AC60" s="338" t="n"/>
      <c r="AD60" s="338" t="n"/>
      <c r="AE60" s="338" t="n"/>
      <c r="AF60" s="338" t="n"/>
      <c r="AG60" s="339" t="n"/>
      <c r="AH60" s="339" t="n"/>
      <c r="AI60" s="339" t="n"/>
      <c r="AJ60" s="339" t="n"/>
      <c r="AK60" s="339" t="n"/>
      <c r="AL60" s="339" t="n"/>
      <c r="AM60" s="339" t="n"/>
      <c r="AN60" s="339" t="n"/>
      <c r="AO60" s="339" t="n"/>
      <c r="AP60" s="339" t="n"/>
      <c r="AQ60" s="339" t="n"/>
      <c r="AR60" s="339" t="n"/>
      <c r="AS60" s="339" t="n"/>
      <c r="AT60" s="339" t="n"/>
      <c r="AU60" s="339" t="n"/>
      <c r="AV60" s="339" t="n"/>
      <c r="AW60" s="339" t="n"/>
      <c r="AX60" s="430" t="n"/>
      <c r="AY60" s="336" t="n"/>
      <c r="AZ60" s="336" t="n"/>
      <c r="BA60" s="336" t="n"/>
      <c r="BB60" s="336" t="n"/>
      <c r="BC60" s="336" t="n"/>
      <c r="BD60" s="336" t="n"/>
      <c r="BE60" s="336" t="n"/>
      <c r="BF60" s="336" t="n"/>
      <c r="BG60" s="336" t="n"/>
      <c r="BH60" s="336" t="n"/>
      <c r="BI60" s="336" t="n"/>
      <c r="BJ60" s="336" t="n"/>
      <c r="BK60" s="336" t="n"/>
      <c r="BL60" s="336" t="n"/>
      <c r="BM60" s="336" t="n"/>
      <c r="BN60" s="336" t="n"/>
      <c r="BO60" s="336" t="n"/>
      <c r="BP60" s="336" t="n"/>
      <c r="BQ60" s="336" t="n"/>
      <c r="BR60" s="336" t="n"/>
      <c r="BS60" s="336" t="n"/>
      <c r="BT60" s="336" t="n"/>
      <c r="BU60" s="336" t="n"/>
      <c r="BV60" s="336" t="n"/>
      <c r="BW60" s="336" t="n"/>
      <c r="BX60" s="336" t="n"/>
      <c r="BY60" s="336" t="n"/>
      <c r="BZ60" s="336" t="n"/>
      <c r="CA60" s="336" t="n"/>
      <c r="CB60" s="336" t="n"/>
      <c r="CC60" s="336" t="n"/>
      <c r="CD60" s="336" t="n"/>
      <c r="CE60" s="336" t="n"/>
    </row>
    <row r="61" customFormat="1" s="538">
      <c r="A61" s="350" t="n"/>
      <c r="B61" s="350" t="n"/>
      <c r="C61" s="353" t="n"/>
      <c r="D61" s="333" t="n"/>
      <c r="E61" s="332" t="n"/>
      <c r="F61" s="336" t="n"/>
      <c r="G61" s="336" t="n"/>
      <c r="H61" s="335" t="n"/>
      <c r="I61" s="336" t="n"/>
      <c r="J61" s="336" t="n"/>
      <c r="K61" s="336" t="n"/>
      <c r="L61" s="336" t="n"/>
      <c r="M61" s="336" t="n"/>
      <c r="N61" s="336" t="n"/>
      <c r="O61" s="336" t="n"/>
      <c r="P61" s="430" t="n"/>
      <c r="Q61" s="430" t="n"/>
      <c r="R61" s="430" t="n"/>
      <c r="S61" s="430" t="n"/>
      <c r="T61" s="430" t="n"/>
      <c r="U61" s="430" t="n"/>
      <c r="V61" s="430" t="n"/>
      <c r="W61" s="430" t="n"/>
      <c r="X61" s="430" t="n"/>
      <c r="Y61" s="430" t="n"/>
      <c r="Z61" s="430" t="n"/>
      <c r="AA61" s="430" t="n"/>
      <c r="AB61" s="685" t="n"/>
      <c r="AC61" s="338" t="n"/>
      <c r="AD61" s="338" t="n"/>
      <c r="AE61" s="338" t="n"/>
      <c r="AF61" s="338" t="n"/>
      <c r="AG61" s="339" t="n"/>
      <c r="AH61" s="339" t="n"/>
      <c r="AI61" s="339" t="n"/>
      <c r="AJ61" s="339" t="n"/>
      <c r="AK61" s="339" t="n"/>
      <c r="AL61" s="339" t="n"/>
      <c r="AM61" s="339" t="n"/>
      <c r="AN61" s="339" t="n"/>
      <c r="AO61" s="339" t="n"/>
      <c r="AP61" s="339" t="n"/>
      <c r="AQ61" s="339" t="n"/>
      <c r="AR61" s="339" t="n"/>
      <c r="AS61" s="339" t="n"/>
      <c r="AT61" s="339" t="n"/>
      <c r="AU61" s="339" t="n"/>
      <c r="AV61" s="339" t="n"/>
      <c r="AW61" s="339" t="n"/>
      <c r="AX61" s="430" t="n"/>
      <c r="AY61" s="336" t="n"/>
      <c r="AZ61" s="336" t="n"/>
      <c r="BA61" s="336" t="n"/>
      <c r="BB61" s="336" t="n"/>
      <c r="BC61" s="336" t="n"/>
      <c r="BD61" s="336" t="n"/>
      <c r="BE61" s="336" t="n"/>
      <c r="BF61" s="336" t="n"/>
      <c r="BG61" s="336" t="n"/>
      <c r="BH61" s="336" t="n"/>
      <c r="BI61" s="336" t="n"/>
      <c r="BJ61" s="336" t="n"/>
      <c r="BK61" s="336" t="n"/>
      <c r="BL61" s="336" t="n"/>
      <c r="BM61" s="336" t="n"/>
      <c r="BN61" s="336" t="n"/>
      <c r="BO61" s="336" t="n"/>
      <c r="BP61" s="336" t="n"/>
      <c r="BQ61" s="336" t="n"/>
      <c r="BR61" s="336" t="n"/>
      <c r="BS61" s="336" t="n"/>
      <c r="BT61" s="336" t="n"/>
      <c r="BU61" s="336" t="n"/>
      <c r="BV61" s="336" t="n"/>
      <c r="BW61" s="336" t="n"/>
      <c r="BX61" s="336" t="n"/>
      <c r="BY61" s="336" t="n"/>
      <c r="BZ61" s="336" t="n"/>
      <c r="CA61" s="336" t="n"/>
      <c r="CB61" s="336" t="n"/>
      <c r="CC61" s="336" t="n"/>
      <c r="CD61" s="336" t="n"/>
      <c r="CE61" s="336" t="n"/>
    </row>
    <row r="62" customFormat="1" s="538">
      <c r="A62" s="350" t="n"/>
      <c r="B62" s="350" t="n"/>
      <c r="C62" s="353" t="n"/>
      <c r="D62" s="333" t="n"/>
      <c r="E62" s="354" t="n"/>
      <c r="F62" s="336" t="n"/>
      <c r="G62" s="336" t="n"/>
      <c r="H62" s="335" t="n"/>
      <c r="I62" s="336" t="n"/>
      <c r="J62" s="336" t="n"/>
      <c r="K62" s="336" t="n"/>
      <c r="L62" s="336" t="n"/>
      <c r="M62" s="336" t="n"/>
      <c r="N62" s="336" t="n"/>
      <c r="O62" s="336" t="n"/>
      <c r="P62" s="430" t="n"/>
      <c r="Q62" s="430" t="n"/>
      <c r="R62" s="430" t="n"/>
      <c r="S62" s="430" t="n"/>
      <c r="T62" s="430" t="n"/>
      <c r="U62" s="430" t="n"/>
      <c r="V62" s="430" t="n"/>
      <c r="W62" s="430" t="n"/>
      <c r="X62" s="430" t="n"/>
      <c r="Y62" s="430" t="n"/>
      <c r="Z62" s="430" t="n"/>
      <c r="AA62" s="430" t="n"/>
      <c r="AB62" s="430" t="n"/>
      <c r="AC62" s="338" t="n"/>
      <c r="AD62" s="338" t="n"/>
      <c r="AE62" s="338" t="n"/>
      <c r="AF62" s="338" t="n"/>
      <c r="AG62" s="339" t="n"/>
      <c r="AH62" s="339" t="n"/>
      <c r="AI62" s="339" t="n"/>
      <c r="AJ62" s="339" t="n"/>
      <c r="AK62" s="339" t="n"/>
      <c r="AL62" s="339" t="n"/>
      <c r="AM62" s="339" t="n"/>
      <c r="AN62" s="339" t="n"/>
      <c r="AO62" s="339" t="n"/>
      <c r="AP62" s="339" t="n"/>
      <c r="AQ62" s="339" t="n"/>
      <c r="AR62" s="339" t="n"/>
      <c r="AS62" s="339" t="n"/>
      <c r="AT62" s="339" t="n"/>
      <c r="AU62" s="339" t="n"/>
      <c r="AV62" s="339" t="n"/>
      <c r="AW62" s="339" t="n"/>
      <c r="AX62" s="430" t="n"/>
      <c r="AY62" s="336" t="n"/>
      <c r="AZ62" s="336" t="n"/>
      <c r="BA62" s="336" t="n"/>
      <c r="BB62" s="336" t="n"/>
      <c r="BC62" s="336" t="n"/>
      <c r="BD62" s="336" t="n"/>
      <c r="BE62" s="336" t="n"/>
      <c r="BF62" s="336" t="n"/>
      <c r="BG62" s="336" t="n"/>
      <c r="BH62" s="336" t="n"/>
      <c r="BI62" s="336" t="n"/>
      <c r="BJ62" s="336" t="n"/>
      <c r="BK62" s="336" t="n"/>
      <c r="BL62" s="336" t="n"/>
      <c r="BM62" s="336" t="n"/>
      <c r="BN62" s="336" t="n"/>
      <c r="BO62" s="336" t="n"/>
      <c r="BP62" s="336" t="n"/>
      <c r="BQ62" s="336" t="n"/>
      <c r="BR62" s="336" t="n"/>
      <c r="BS62" s="336" t="n"/>
      <c r="BT62" s="336" t="n"/>
      <c r="BU62" s="336" t="n"/>
      <c r="BV62" s="336" t="n"/>
      <c r="BW62" s="336" t="n"/>
      <c r="BX62" s="336" t="n"/>
      <c r="BY62" s="336" t="n"/>
      <c r="BZ62" s="336" t="n"/>
      <c r="CA62" s="336" t="n"/>
      <c r="CB62" s="336" t="n"/>
      <c r="CC62" s="336" t="n"/>
      <c r="CD62" s="336" t="n"/>
      <c r="CE62" s="336" t="n"/>
    </row>
    <row r="63" customFormat="1" s="538">
      <c r="A63" s="342" t="n"/>
      <c r="B63" s="358" t="n"/>
      <c r="C63" s="344" t="n"/>
      <c r="D63" s="345" t="n"/>
      <c r="E63" s="346" t="n"/>
      <c r="F63" s="336" t="n"/>
      <c r="G63" s="336" t="n"/>
      <c r="H63" s="336" t="n"/>
      <c r="I63" s="336" t="n"/>
      <c r="J63" s="336" t="n"/>
      <c r="K63" s="336" t="n"/>
      <c r="L63" s="336" t="n"/>
      <c r="M63" s="336" t="n"/>
      <c r="N63" s="336" t="n"/>
      <c r="O63" s="336" t="n"/>
      <c r="P63" s="357" t="n"/>
      <c r="Q63" s="357" t="n"/>
      <c r="R63" s="357" t="n"/>
      <c r="S63" s="357" t="n"/>
      <c r="T63" s="357" t="n"/>
      <c r="U63" s="357" t="n"/>
      <c r="V63" s="357" t="n"/>
      <c r="W63" s="357" t="n"/>
      <c r="X63" s="357" t="n"/>
      <c r="Y63" s="357" t="n"/>
      <c r="Z63" s="357" t="n"/>
      <c r="AA63" s="357" t="n"/>
      <c r="AB63" s="336" t="n"/>
      <c r="AC63" s="338" t="n"/>
      <c r="AD63" s="338" t="n"/>
      <c r="AE63" s="338" t="n"/>
      <c r="AF63" s="338" t="n"/>
      <c r="AG63" s="339" t="n"/>
      <c r="AH63" s="339" t="n"/>
      <c r="AI63" s="339" t="n"/>
      <c r="AJ63" s="339" t="n"/>
      <c r="AK63" s="339" t="n"/>
      <c r="AL63" s="339" t="n"/>
      <c r="AM63" s="339" t="n"/>
      <c r="AN63" s="339" t="n"/>
      <c r="AO63" s="339" t="n"/>
      <c r="AP63" s="339" t="n"/>
      <c r="AQ63" s="339" t="n"/>
      <c r="AR63" s="339" t="n"/>
      <c r="AS63" s="339" t="n"/>
      <c r="AT63" s="339" t="n"/>
      <c r="AU63" s="339" t="n"/>
      <c r="AV63" s="339" t="n"/>
      <c r="AW63" s="339" t="n"/>
      <c r="AX63" s="357" t="n"/>
      <c r="AY63" s="336" t="n"/>
      <c r="AZ63" s="336" t="n"/>
      <c r="BA63" s="336" t="n"/>
      <c r="BB63" s="336" t="n"/>
      <c r="BC63" s="336" t="n"/>
      <c r="BD63" s="336" t="n"/>
      <c r="BE63" s="336" t="n"/>
      <c r="BF63" s="336" t="n"/>
      <c r="BG63" s="336" t="n"/>
      <c r="BH63" s="336" t="n"/>
      <c r="BI63" s="336" t="n"/>
      <c r="BJ63" s="336" t="n"/>
      <c r="BK63" s="336" t="n"/>
      <c r="BL63" s="336" t="n"/>
      <c r="BM63" s="336" t="n"/>
      <c r="BN63" s="336" t="n"/>
      <c r="BO63" s="336" t="n"/>
      <c r="BP63" s="336" t="n"/>
      <c r="BQ63" s="336" t="n"/>
      <c r="BR63" s="336" t="n"/>
      <c r="BS63" s="336" t="n"/>
      <c r="BT63" s="336" t="n"/>
      <c r="BU63" s="336" t="n"/>
      <c r="BV63" s="336" t="n"/>
      <c r="BW63" s="336" t="n"/>
      <c r="BX63" s="336" t="n"/>
      <c r="BY63" s="336" t="n"/>
      <c r="BZ63" s="336" t="n"/>
      <c r="CA63" s="336" t="n"/>
      <c r="CB63" s="336" t="n"/>
      <c r="CC63" s="336" t="n"/>
      <c r="CD63" s="336" t="n"/>
      <c r="CE63" s="336" t="n"/>
      <c r="CF63" s="361" t="n"/>
    </row>
    <row r="64" customFormat="1" s="538">
      <c r="A64" s="349" t="n"/>
      <c r="B64" s="350" t="n"/>
      <c r="C64" s="353" t="n"/>
      <c r="D64" s="333" t="n"/>
      <c r="E64" s="332" t="n"/>
      <c r="F64" s="336" t="n"/>
      <c r="G64" s="336" t="n"/>
      <c r="H64" s="335" t="n"/>
      <c r="I64" s="336" t="n"/>
      <c r="J64" s="336" t="n"/>
      <c r="K64" s="336" t="n"/>
      <c r="L64" s="336" t="n"/>
      <c r="M64" s="336" t="n"/>
      <c r="N64" s="336" t="n"/>
      <c r="O64" s="336" t="n"/>
      <c r="P64" s="430" t="n"/>
      <c r="Q64" s="430" t="n"/>
      <c r="R64" s="430" t="n"/>
      <c r="S64" s="430" t="n"/>
      <c r="T64" s="430" t="n"/>
      <c r="U64" s="430" t="n"/>
      <c r="V64" s="430" t="n"/>
      <c r="W64" s="430" t="n"/>
      <c r="X64" s="430" t="n"/>
      <c r="Y64" s="430" t="n"/>
      <c r="Z64" s="430" t="n"/>
      <c r="AA64" s="430" t="n"/>
      <c r="AB64" s="430" t="n"/>
      <c r="AC64" s="338" t="n"/>
      <c r="AD64" s="338" t="n"/>
      <c r="AE64" s="338" t="n"/>
      <c r="AF64" s="338" t="n"/>
      <c r="AG64" s="339" t="n"/>
      <c r="AH64" s="339" t="n"/>
      <c r="AI64" s="339" t="n"/>
      <c r="AJ64" s="339" t="n"/>
      <c r="AK64" s="339" t="n"/>
      <c r="AL64" s="339" t="n"/>
      <c r="AM64" s="339" t="n"/>
      <c r="AN64" s="339" t="n"/>
      <c r="AO64" s="339" t="n"/>
      <c r="AP64" s="339" t="n"/>
      <c r="AQ64" s="339" t="n"/>
      <c r="AR64" s="339" t="n"/>
      <c r="AS64" s="339" t="n"/>
      <c r="AT64" s="339" t="n"/>
      <c r="AU64" s="339" t="n"/>
      <c r="AV64" s="339" t="n"/>
      <c r="AW64" s="339" t="n"/>
      <c r="AX64" s="430" t="n"/>
      <c r="AY64" s="336" t="n"/>
      <c r="AZ64" s="336" t="n"/>
      <c r="BA64" s="336" t="n"/>
      <c r="BB64" s="336" t="n"/>
      <c r="BC64" s="336" t="n"/>
      <c r="BD64" s="336" t="n"/>
      <c r="BE64" s="336" t="n"/>
      <c r="BF64" s="336" t="n"/>
      <c r="BG64" s="336" t="n"/>
      <c r="BH64" s="336" t="n"/>
      <c r="BI64" s="336" t="n"/>
      <c r="BJ64" s="336" t="n"/>
      <c r="BK64" s="336" t="n"/>
      <c r="BL64" s="336" t="n"/>
      <c r="BM64" s="336" t="n"/>
      <c r="BN64" s="336" t="n"/>
      <c r="BO64" s="336" t="n"/>
      <c r="BP64" s="336" t="n"/>
      <c r="BQ64" s="336" t="n"/>
      <c r="BR64" s="336" t="n"/>
      <c r="BS64" s="336" t="n"/>
      <c r="BT64" s="336" t="n"/>
      <c r="BU64" s="336" t="n"/>
      <c r="BV64" s="336" t="n"/>
      <c r="BW64" s="336" t="n"/>
      <c r="BX64" s="336" t="n"/>
      <c r="BY64" s="336" t="n"/>
      <c r="BZ64" s="336" t="n"/>
      <c r="CA64" s="336" t="n"/>
      <c r="CB64" s="336" t="n"/>
      <c r="CC64" s="336" t="n"/>
      <c r="CD64" s="336" t="n"/>
      <c r="CE64" s="336" t="n"/>
    </row>
    <row r="65" customFormat="1" s="538">
      <c r="A65" s="349" t="n"/>
      <c r="B65" s="350" t="n"/>
      <c r="C65" s="353" t="n"/>
      <c r="D65" s="333" t="n"/>
      <c r="E65" s="332" t="n"/>
      <c r="F65" s="336" t="n"/>
      <c r="G65" s="336" t="n"/>
      <c r="H65" s="335" t="n"/>
      <c r="I65" s="336" t="n"/>
      <c r="J65" s="336" t="n"/>
      <c r="K65" s="336" t="n"/>
      <c r="L65" s="336" t="n"/>
      <c r="M65" s="336" t="n"/>
      <c r="N65" s="336" t="n"/>
      <c r="O65" s="336" t="n"/>
      <c r="P65" s="430" t="n"/>
      <c r="Q65" s="430" t="n"/>
      <c r="R65" s="430" t="n"/>
      <c r="S65" s="430" t="n"/>
      <c r="T65" s="430" t="n"/>
      <c r="U65" s="430" t="n"/>
      <c r="V65" s="430" t="n"/>
      <c r="W65" s="430" t="n"/>
      <c r="X65" s="430" t="n"/>
      <c r="Y65" s="430" t="n"/>
      <c r="Z65" s="430" t="n"/>
      <c r="AA65" s="430" t="n"/>
      <c r="AB65" s="430" t="n"/>
      <c r="AC65" s="357" t="n"/>
      <c r="AD65" s="357" t="n"/>
      <c r="AE65" s="357" t="n"/>
      <c r="AF65" s="357" t="n"/>
      <c r="AG65" s="339" t="n"/>
      <c r="AH65" s="339" t="n"/>
      <c r="AI65" s="339" t="n"/>
      <c r="AJ65" s="339" t="n"/>
      <c r="AK65" s="339" t="n"/>
      <c r="AL65" s="339" t="n"/>
      <c r="AM65" s="339" t="n"/>
      <c r="AN65" s="339" t="n"/>
      <c r="AO65" s="339" t="n"/>
      <c r="AP65" s="339" t="n"/>
      <c r="AQ65" s="339" t="n"/>
      <c r="AR65" s="339" t="n"/>
      <c r="AS65" s="339" t="n"/>
      <c r="AT65" s="357" t="n"/>
      <c r="AU65" s="357" t="n"/>
      <c r="AV65" s="357" t="n"/>
      <c r="AW65" s="357" t="n"/>
      <c r="AX65" s="430" t="n"/>
      <c r="AY65" s="336" t="n"/>
      <c r="AZ65" s="336" t="n"/>
      <c r="BA65" s="336" t="n"/>
      <c r="BB65" s="336" t="n"/>
      <c r="BC65" s="336" t="n"/>
      <c r="BD65" s="336" t="n"/>
      <c r="BE65" s="336" t="n"/>
      <c r="BF65" s="336" t="n"/>
      <c r="BG65" s="336" t="n"/>
      <c r="BH65" s="336" t="n"/>
      <c r="BI65" s="336" t="n"/>
      <c r="BJ65" s="336" t="n"/>
      <c r="BK65" s="336" t="n"/>
      <c r="BL65" s="336" t="n"/>
      <c r="BM65" s="336" t="n"/>
      <c r="BN65" s="336" t="n"/>
      <c r="BO65" s="336" t="n"/>
      <c r="BP65" s="336" t="n"/>
      <c r="BQ65" s="336" t="n"/>
      <c r="BR65" s="336" t="n"/>
      <c r="BS65" s="336" t="n"/>
      <c r="BT65" s="336" t="n"/>
      <c r="BU65" s="336" t="n"/>
      <c r="BV65" s="336" t="n"/>
      <c r="BW65" s="336" t="n"/>
      <c r="BX65" s="336" t="n"/>
      <c r="BY65" s="336" t="n"/>
      <c r="BZ65" s="336" t="n"/>
      <c r="CA65" s="336" t="n"/>
      <c r="CB65" s="336" t="n"/>
      <c r="CC65" s="336" t="n"/>
      <c r="CD65" s="336" t="n"/>
      <c r="CE65" s="336" t="n"/>
    </row>
    <row r="66" customFormat="1" s="538">
      <c r="A66" s="358" t="n"/>
      <c r="B66" s="358" t="n"/>
      <c r="C66" s="344" t="n"/>
      <c r="D66" s="345" t="n"/>
      <c r="E66" s="346" t="n"/>
      <c r="F66" s="336" t="n"/>
      <c r="G66" s="336" t="n"/>
      <c r="H66" s="336" t="n"/>
      <c r="I66" s="336" t="n"/>
      <c r="J66" s="336" t="n"/>
      <c r="K66" s="336" t="n"/>
      <c r="L66" s="336" t="n"/>
      <c r="M66" s="336" t="n"/>
      <c r="N66" s="336" t="n"/>
      <c r="O66" s="336" t="n"/>
      <c r="P66" s="357" t="n"/>
      <c r="Q66" s="357" t="n"/>
      <c r="R66" s="357" t="n"/>
      <c r="S66" s="357" t="n"/>
      <c r="T66" s="357" t="n"/>
      <c r="U66" s="357" t="n"/>
      <c r="V66" s="357" t="n"/>
      <c r="W66" s="357" t="n"/>
      <c r="X66" s="357" t="n"/>
      <c r="Y66" s="357" t="n"/>
      <c r="Z66" s="357" t="n"/>
      <c r="AA66" s="357" t="n"/>
      <c r="AB66" s="336" t="n"/>
      <c r="AC66" s="338" t="n"/>
      <c r="AD66" s="338" t="n"/>
      <c r="AE66" s="338" t="n"/>
      <c r="AF66" s="338" t="n"/>
      <c r="AG66" s="339" t="n"/>
      <c r="AH66" s="339" t="n"/>
      <c r="AI66" s="339" t="n"/>
      <c r="AJ66" s="339" t="n"/>
      <c r="AK66" s="339" t="n"/>
      <c r="AL66" s="339" t="n"/>
      <c r="AM66" s="339" t="n"/>
      <c r="AN66" s="339" t="n"/>
      <c r="AO66" s="339" t="n"/>
      <c r="AP66" s="339" t="n"/>
      <c r="AQ66" s="339" t="n"/>
      <c r="AR66" s="339" t="n"/>
      <c r="AS66" s="339" t="n"/>
      <c r="AT66" s="339" t="n"/>
      <c r="AU66" s="339" t="n"/>
      <c r="AV66" s="339" t="n"/>
      <c r="AW66" s="339" t="n"/>
      <c r="AX66" s="357" t="n"/>
      <c r="AY66" s="336" t="n"/>
      <c r="AZ66" s="336" t="n"/>
      <c r="BA66" s="336" t="n"/>
      <c r="BB66" s="336" t="n"/>
      <c r="BC66" s="336" t="n"/>
      <c r="BD66" s="336" t="n"/>
      <c r="BE66" s="336" t="n"/>
      <c r="BF66" s="336" t="n"/>
      <c r="BG66" s="336" t="n"/>
      <c r="BH66" s="336" t="n"/>
      <c r="BI66" s="336" t="n"/>
      <c r="BJ66" s="336" t="n"/>
      <c r="BK66" s="336" t="n"/>
      <c r="BL66" s="336" t="n"/>
      <c r="BM66" s="336" t="n"/>
      <c r="BN66" s="336" t="n"/>
      <c r="BO66" s="336" t="n"/>
      <c r="BP66" s="336" t="n"/>
      <c r="BQ66" s="336" t="n"/>
      <c r="BR66" s="336" t="n"/>
      <c r="BS66" s="336" t="n"/>
      <c r="BT66" s="336" t="n"/>
      <c r="BU66" s="336" t="n"/>
      <c r="BV66" s="336" t="n"/>
      <c r="BW66" s="336" t="n"/>
      <c r="BX66" s="336" t="n"/>
      <c r="BY66" s="336" t="n"/>
      <c r="BZ66" s="336" t="n"/>
      <c r="CA66" s="336" t="n"/>
      <c r="CB66" s="336" t="n"/>
      <c r="CC66" s="336" t="n"/>
      <c r="CD66" s="336" t="n"/>
      <c r="CE66" s="336" t="n"/>
      <c r="CF66" s="361" t="n"/>
    </row>
    <row r="67" customFormat="1" s="538">
      <c r="A67" s="350" t="n"/>
      <c r="B67" s="350" t="n"/>
      <c r="C67" s="353" t="n"/>
      <c r="D67" s="333" t="n"/>
      <c r="E67" s="332" t="n"/>
      <c r="F67" s="336" t="n"/>
      <c r="G67" s="336" t="n"/>
      <c r="H67" s="335" t="n"/>
      <c r="I67" s="336" t="n"/>
      <c r="J67" s="336" t="n"/>
      <c r="K67" s="336" t="n"/>
      <c r="L67" s="336" t="n"/>
      <c r="M67" s="336" t="n"/>
      <c r="N67" s="336" t="n"/>
      <c r="O67" s="336" t="n"/>
      <c r="P67" s="430" t="n"/>
      <c r="Q67" s="430" t="n"/>
      <c r="R67" s="430" t="n"/>
      <c r="S67" s="430" t="n"/>
      <c r="T67" s="430" t="n"/>
      <c r="U67" s="430" t="n"/>
      <c r="V67" s="430" t="n"/>
      <c r="W67" s="430" t="n"/>
      <c r="X67" s="430" t="n"/>
      <c r="Y67" s="430" t="n"/>
      <c r="Z67" s="430" t="n"/>
      <c r="AA67" s="430" t="n"/>
      <c r="AB67" s="430" t="n"/>
      <c r="AC67" s="338" t="n"/>
      <c r="AD67" s="338" t="n"/>
      <c r="AE67" s="338" t="n"/>
      <c r="AF67" s="338" t="n"/>
      <c r="AG67" s="339" t="n"/>
      <c r="AH67" s="339" t="n"/>
      <c r="AI67" s="339" t="n"/>
      <c r="AJ67" s="339" t="n"/>
      <c r="AK67" s="339" t="n"/>
      <c r="AL67" s="339" t="n"/>
      <c r="AM67" s="339" t="n"/>
      <c r="AN67" s="339" t="n"/>
      <c r="AO67" s="339" t="n"/>
      <c r="AP67" s="339" t="n"/>
      <c r="AQ67" s="339" t="n"/>
      <c r="AR67" s="339" t="n"/>
      <c r="AS67" s="339" t="n"/>
      <c r="AT67" s="339" t="n"/>
      <c r="AU67" s="339" t="n"/>
      <c r="AV67" s="339" t="n"/>
      <c r="AW67" s="339" t="n"/>
      <c r="AX67" s="430" t="n"/>
      <c r="AY67" s="336" t="n"/>
      <c r="AZ67" s="336" t="n"/>
      <c r="BA67" s="336" t="n"/>
      <c r="BB67" s="336" t="n"/>
      <c r="BC67" s="336" t="n"/>
      <c r="BD67" s="336" t="n"/>
      <c r="BE67" s="336" t="n"/>
      <c r="BF67" s="336" t="n"/>
      <c r="BG67" s="336" t="n"/>
      <c r="BH67" s="336" t="n"/>
      <c r="BI67" s="336" t="n"/>
      <c r="BJ67" s="336" t="n"/>
      <c r="BK67" s="336" t="n"/>
      <c r="BL67" s="336" t="n"/>
      <c r="BM67" s="336" t="n"/>
      <c r="BN67" s="336" t="n"/>
      <c r="BO67" s="336" t="n"/>
      <c r="BP67" s="336" t="n"/>
      <c r="BQ67" s="336" t="n"/>
      <c r="BR67" s="336" t="n"/>
      <c r="BS67" s="336" t="n"/>
      <c r="BT67" s="336" t="n"/>
      <c r="BU67" s="336" t="n"/>
      <c r="BV67" s="336" t="n"/>
      <c r="BW67" s="336" t="n"/>
      <c r="BX67" s="336" t="n"/>
      <c r="BY67" s="336" t="n"/>
      <c r="BZ67" s="336" t="n"/>
      <c r="CA67" s="336" t="n"/>
      <c r="CB67" s="336" t="n"/>
      <c r="CC67" s="336" t="n"/>
      <c r="CD67" s="336" t="n"/>
      <c r="CE67" s="336" t="n"/>
    </row>
    <row r="68" customFormat="1" s="538">
      <c r="A68" s="350" t="n"/>
      <c r="B68" s="350" t="n"/>
      <c r="C68" s="353" t="n"/>
      <c r="D68" s="333" t="n"/>
      <c r="E68" s="332" t="n"/>
      <c r="F68" s="336" t="n"/>
      <c r="G68" s="336" t="n"/>
      <c r="H68" s="335" t="n"/>
      <c r="I68" s="336" t="n"/>
      <c r="J68" s="336" t="n"/>
      <c r="K68" s="336" t="n"/>
      <c r="L68" s="336" t="n"/>
      <c r="M68" s="336" t="n"/>
      <c r="N68" s="336" t="n"/>
      <c r="O68" s="336" t="n"/>
      <c r="P68" s="430" t="n"/>
      <c r="Q68" s="430" t="n"/>
      <c r="R68" s="430" t="n"/>
      <c r="S68" s="430" t="n"/>
      <c r="T68" s="430" t="n"/>
      <c r="U68" s="430" t="n"/>
      <c r="V68" s="430" t="n"/>
      <c r="W68" s="430" t="n"/>
      <c r="X68" s="430" t="n"/>
      <c r="Y68" s="430" t="n"/>
      <c r="Z68" s="430" t="n"/>
      <c r="AA68" s="430" t="n"/>
      <c r="AB68" s="430" t="n"/>
      <c r="AC68" s="338" t="n"/>
      <c r="AD68" s="338" t="n"/>
      <c r="AE68" s="338" t="n"/>
      <c r="AF68" s="338" t="n"/>
      <c r="AG68" s="339" t="n"/>
      <c r="AH68" s="339" t="n"/>
      <c r="AI68" s="339" t="n"/>
      <c r="AJ68" s="339" t="n"/>
      <c r="AK68" s="339" t="n"/>
      <c r="AL68" s="339" t="n"/>
      <c r="AM68" s="339" t="n"/>
      <c r="AN68" s="339" t="n"/>
      <c r="AO68" s="339" t="n"/>
      <c r="AP68" s="339" t="n"/>
      <c r="AQ68" s="339" t="n"/>
      <c r="AR68" s="339" t="n"/>
      <c r="AS68" s="339" t="n"/>
      <c r="AT68" s="339" t="n"/>
      <c r="AU68" s="339" t="n"/>
      <c r="AV68" s="339" t="n"/>
      <c r="AW68" s="339" t="n"/>
      <c r="AX68" s="430" t="n"/>
      <c r="AY68" s="336" t="n"/>
      <c r="AZ68" s="336" t="n"/>
      <c r="BA68" s="336" t="n"/>
      <c r="BB68" s="336" t="n"/>
      <c r="BC68" s="336" t="n"/>
      <c r="BD68" s="336" t="n"/>
      <c r="BE68" s="336" t="n"/>
      <c r="BF68" s="336" t="n"/>
      <c r="BG68" s="336" t="n"/>
      <c r="BH68" s="336" t="n"/>
      <c r="BI68" s="336" t="n"/>
      <c r="BJ68" s="336" t="n"/>
      <c r="BK68" s="336" t="n"/>
      <c r="BL68" s="336" t="n"/>
      <c r="BM68" s="336" t="n"/>
      <c r="BN68" s="336" t="n"/>
      <c r="BO68" s="336" t="n"/>
      <c r="BP68" s="336" t="n"/>
      <c r="BQ68" s="336" t="n"/>
      <c r="BR68" s="336" t="n"/>
      <c r="BS68" s="336" t="n"/>
      <c r="BT68" s="336" t="n"/>
      <c r="BU68" s="336" t="n"/>
      <c r="BV68" s="336" t="n"/>
      <c r="BW68" s="336" t="n"/>
      <c r="BX68" s="336" t="n"/>
      <c r="BY68" s="336" t="n"/>
      <c r="BZ68" s="336" t="n"/>
      <c r="CA68" s="336" t="n"/>
      <c r="CB68" s="336" t="n"/>
      <c r="CC68" s="336" t="n"/>
      <c r="CD68" s="336" t="n"/>
      <c r="CE68" s="336" t="n"/>
    </row>
    <row r="69" customFormat="1" s="538">
      <c r="A69" s="342" t="n"/>
      <c r="B69" s="358" t="n"/>
      <c r="C69" s="344" t="n"/>
      <c r="D69" s="345" t="n"/>
      <c r="E69" s="346" t="n"/>
      <c r="F69" s="336" t="n"/>
      <c r="G69" s="336" t="n"/>
      <c r="H69" s="335" t="n"/>
      <c r="I69" s="336" t="n"/>
      <c r="J69" s="336" t="n"/>
      <c r="K69" s="336" t="n"/>
      <c r="L69" s="336" t="n"/>
      <c r="M69" s="336" t="n"/>
      <c r="N69" s="336" t="n"/>
      <c r="O69" s="336" t="n"/>
      <c r="P69" s="430" t="n"/>
      <c r="Q69" s="430" t="n"/>
      <c r="R69" s="430" t="n"/>
      <c r="S69" s="430" t="n"/>
      <c r="T69" s="430" t="n"/>
      <c r="U69" s="430" t="n"/>
      <c r="V69" s="430" t="n"/>
      <c r="W69" s="430" t="n"/>
      <c r="X69" s="430" t="n"/>
      <c r="Y69" s="430" t="n"/>
      <c r="Z69" s="430" t="n"/>
      <c r="AA69" s="430" t="n"/>
      <c r="AB69" s="430" t="n"/>
      <c r="AC69" s="338" t="n"/>
      <c r="AD69" s="338" t="n"/>
      <c r="AE69" s="338" t="n"/>
      <c r="AF69" s="338" t="n"/>
      <c r="AG69" s="339" t="n"/>
      <c r="AH69" s="339" t="n"/>
      <c r="AI69" s="339" t="n"/>
      <c r="AJ69" s="339" t="n"/>
      <c r="AK69" s="339" t="n"/>
      <c r="AL69" s="339" t="n"/>
      <c r="AM69" s="339" t="n"/>
      <c r="AN69" s="339" t="n"/>
      <c r="AO69" s="339" t="n"/>
      <c r="AP69" s="339" t="n"/>
      <c r="AQ69" s="339" t="n"/>
      <c r="AR69" s="339" t="n"/>
      <c r="AS69" s="339" t="n"/>
      <c r="AT69" s="339" t="n"/>
      <c r="AU69" s="339" t="n"/>
      <c r="AV69" s="339" t="n"/>
      <c r="AW69" s="339" t="n"/>
      <c r="AX69" s="430" t="n"/>
      <c r="AY69" s="336" t="n"/>
      <c r="AZ69" s="336" t="n"/>
      <c r="BA69" s="336" t="n"/>
      <c r="BB69" s="336" t="n"/>
      <c r="BC69" s="336" t="n"/>
      <c r="BD69" s="336" t="n"/>
      <c r="BE69" s="336" t="n"/>
      <c r="BF69" s="336" t="n"/>
      <c r="BG69" s="336" t="n"/>
      <c r="BH69" s="336" t="n"/>
      <c r="BI69" s="336" t="n"/>
      <c r="BJ69" s="336" t="n"/>
      <c r="BK69" s="336" t="n"/>
      <c r="BL69" s="336" t="n"/>
      <c r="BM69" s="336" t="n"/>
      <c r="BN69" s="336" t="n"/>
      <c r="BO69" s="336" t="n"/>
      <c r="BP69" s="336" t="n"/>
      <c r="BQ69" s="336" t="n"/>
      <c r="BR69" s="336" t="n"/>
      <c r="BS69" s="336" t="n"/>
      <c r="BT69" s="336" t="n"/>
      <c r="BU69" s="336" t="n"/>
      <c r="BV69" s="336" t="n"/>
      <c r="BW69" s="336" t="n"/>
      <c r="BX69" s="336" t="n"/>
      <c r="BY69" s="336" t="n"/>
      <c r="BZ69" s="336" t="n"/>
      <c r="CA69" s="336" t="n"/>
      <c r="CB69" s="336" t="n"/>
      <c r="CC69" s="336" t="n"/>
      <c r="CD69" s="336" t="n"/>
      <c r="CE69" s="336" t="n"/>
      <c r="CF69" s="361" t="n"/>
    </row>
    <row r="70" ht="18" customFormat="1" customHeight="1" s="538">
      <c r="A70" s="660" t="n"/>
      <c r="G70" s="361" t="n"/>
      <c r="H70" s="361" t="n"/>
      <c r="AF70" s="362" t="n"/>
      <c r="AG70" s="362" t="n"/>
      <c r="AH70" s="362" t="n"/>
      <c r="AI70" s="362" t="n"/>
      <c r="AJ70" s="362" t="n"/>
      <c r="AK70" s="362" t="n"/>
      <c r="AL70" s="362" t="n"/>
      <c r="AM70" s="362" t="n"/>
      <c r="AN70" s="362" t="n"/>
      <c r="AO70" s="362" t="n"/>
      <c r="AP70" s="362" t="n"/>
      <c r="AQ70" s="362" t="n"/>
      <c r="AR70" s="362" t="n"/>
      <c r="AS70" s="362" t="n"/>
      <c r="AT70" s="362" t="n"/>
      <c r="AU70" s="362" t="n"/>
      <c r="AV70" s="362" t="n"/>
      <c r="AW70" s="362" t="n"/>
      <c r="AX70" s="358" t="n"/>
      <c r="AY70" s="362" t="n"/>
      <c r="AZ70" s="358" t="n"/>
      <c r="BA70" s="363" t="n"/>
      <c r="BB70" s="362" t="n"/>
      <c r="BI70" s="364" t="n"/>
      <c r="BL70" s="364" t="n"/>
      <c r="BO70" s="364" t="n"/>
      <c r="BR70" s="364" t="n"/>
      <c r="BS70" s="364" t="n"/>
      <c r="BW70" s="364" t="n"/>
      <c r="CA70" s="364" t="n"/>
      <c r="CE70" s="364" t="n"/>
    </row>
    <row r="71" customFormat="1" s="538">
      <c r="A71" s="351" t="n"/>
      <c r="B71" s="351" t="n"/>
      <c r="C71" s="351" t="n"/>
      <c r="D71" s="351" t="n"/>
      <c r="E71" s="351" t="n"/>
      <c r="F71" s="351" t="n"/>
      <c r="G71" s="351" t="n"/>
      <c r="H71" s="351" t="n"/>
      <c r="I71" s="351" t="n"/>
      <c r="J71" s="351" t="n"/>
      <c r="K71" s="351" t="n"/>
      <c r="L71" s="351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  <c r="Y71" s="351" t="n"/>
      <c r="Z71" s="351" t="n"/>
      <c r="AA71" s="351" t="n"/>
      <c r="AB71" s="351" t="n"/>
      <c r="AC71" s="351" t="n"/>
      <c r="AD71" s="351" t="n"/>
      <c r="AE71" s="351" t="n"/>
      <c r="AF71" s="351" t="n"/>
      <c r="AG71" s="351" t="n"/>
      <c r="AH71" s="351" t="n"/>
      <c r="AI71" s="351" t="n"/>
      <c r="AJ71" s="351" t="n"/>
      <c r="AK71" s="351" t="n"/>
      <c r="AL71" s="351" t="n"/>
      <c r="AM71" s="351" t="n"/>
      <c r="AN71" s="351" t="n"/>
      <c r="AO71" s="351" t="n"/>
      <c r="AP71" s="351" t="n"/>
      <c r="AQ71" s="351" t="n"/>
      <c r="AR71" s="351" t="n"/>
      <c r="AS71" s="351" t="n"/>
      <c r="AT71" s="351" t="n"/>
      <c r="AU71" s="351" t="n"/>
      <c r="AV71" s="351" t="n"/>
      <c r="AW71" s="351" t="n"/>
      <c r="CF71" s="361" t="n"/>
    </row>
    <row r="72" customFormat="1" s="538">
      <c r="A72" s="351" t="n"/>
      <c r="B72" s="351" t="n"/>
      <c r="C72" s="351" t="n"/>
      <c r="D72" s="352" t="n"/>
      <c r="E72" s="365" t="n"/>
      <c r="F72" s="361" t="n"/>
      <c r="G72" s="361" t="n"/>
      <c r="H72" s="361" t="n"/>
    </row>
    <row r="73" customFormat="1" s="538">
      <c r="A73" s="351" t="n"/>
      <c r="B73" s="351" t="n"/>
      <c r="C73" s="351" t="n"/>
      <c r="D73" s="352" t="n"/>
      <c r="E73" s="365" t="n"/>
    </row>
    <row r="74" customFormat="1" s="538">
      <c r="A74" s="351" t="n"/>
      <c r="B74" s="351" t="n"/>
      <c r="C74" s="351" t="n"/>
      <c r="D74" s="352" t="n"/>
      <c r="E74" s="365" t="n"/>
    </row>
    <row r="75"/>
    <row r="76"/>
    <row r="77"/>
    <row r="78" ht="18" customHeight="1" s="191">
      <c r="AR78" s="200" t="n"/>
    </row>
  </sheetData>
  <mergeCells count="3">
    <mergeCell ref="A70:E70"/>
    <mergeCell ref="BX1:CA1"/>
    <mergeCell ref="CB1:CE1"/>
  </mergeCells>
  <conditionalFormatting sqref="P75:BC77 P78:AQ78 P79:AB1048576 AG79:AS1048576 AS78:BC78">
    <cfRule type="cellIs" priority="4" operator="greaterThan" dxfId="0">
      <formula>0</formula>
    </cfRule>
  </conditionalFormatting>
  <conditionalFormatting sqref="P6:AB9 P11:AB14 P16:AB20 P22:AB27 P29:AB33 AG6:AW6 AG7:AO33 AP7:AW9 AP11:AW14 AP16:AW20 AP22:AW27 AP29:AW33">
    <cfRule type="cellIs" priority="3" operator="greaterThan" dxfId="0">
      <formula>0</formula>
    </cfRule>
  </conditionalFormatting>
  <conditionalFormatting sqref="AC6:AF9 AC11:AF14 AC16:AF20 AC22:AF27 AC29:AF33">
    <cfRule type="cellIs" priority="2" operator="greaterThan" dxfId="0">
      <formula>0</formula>
    </cfRule>
  </conditionalFormatting>
  <conditionalFormatting sqref="N35:O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F92"/>
  <sheetViews>
    <sheetView zoomScale="70" zoomScaleNormal="70" workbookViewId="0">
      <pane xSplit="5" ySplit="2" topLeftCell="F72" activePane="bottomRight" state="frozen"/>
      <selection activeCell="E33" sqref="E33"/>
      <selection pane="topRight" activeCell="E33" sqref="E33"/>
      <selection pane="bottomLeft" activeCell="E33" sqref="E33"/>
      <selection pane="bottomRight" activeCell="E75" sqref="E75"/>
    </sheetView>
  </sheetViews>
  <sheetFormatPr baseColWidth="8" defaultColWidth="14.44140625" defaultRowHeight="15" customHeight="1"/>
  <cols>
    <col width="5" customWidth="1" style="191" min="1" max="1"/>
    <col width="2.44140625" customWidth="1" style="191" min="2" max="2"/>
    <col width="3" customWidth="1" style="117" min="3" max="3"/>
    <col width="10.33203125" customWidth="1" style="163" min="4" max="4"/>
    <col width="63" customWidth="1" style="170" min="5" max="5"/>
    <col width="9.109375" customWidth="1" style="191" min="6" max="10"/>
    <col width="10.5546875" customWidth="1" style="191" min="11" max="11"/>
    <col width="10.6640625" customWidth="1" style="191" min="12" max="12"/>
    <col width="9.109375" customWidth="1" style="191" min="13" max="28"/>
    <col width="9.109375" customWidth="1" style="191" min="29" max="32"/>
    <col width="9.109375" customWidth="1" style="191" min="33" max="45"/>
    <col width="9.109375" customWidth="1" style="191" min="46" max="49"/>
    <col width="8.6640625" customWidth="1" style="191" min="50" max="52"/>
    <col width="10.88671875" bestFit="1" customWidth="1" style="191" min="53" max="53"/>
    <col width="14.88671875" customWidth="1" style="191" min="54" max="54"/>
    <col width="8.6640625" customWidth="1" style="191" min="55" max="60"/>
    <col width="11.5546875" customWidth="1" style="191" min="61" max="61"/>
    <col width="8.6640625" customWidth="1" style="191" min="62" max="69"/>
    <col width="10.33203125" customWidth="1" style="191" min="70" max="70"/>
    <col width="7.44140625" customWidth="1" style="191" min="71" max="71"/>
    <col width="8.6640625" customWidth="1" style="191" min="72" max="74"/>
    <col width="8.44140625" customWidth="1" style="191" min="75" max="75"/>
    <col width="8.6640625" customWidth="1" style="191" min="76" max="83"/>
  </cols>
  <sheetData>
    <row r="1" ht="18" customHeight="1" s="191">
      <c r="A1" s="68" t="n"/>
      <c r="B1" s="158" t="n"/>
      <c r="C1" s="134" t="n"/>
      <c r="D1" s="132" t="n"/>
      <c r="E1" s="678" t="inlineStr">
        <is>
          <t>HARMONOGRAM SKOMPRESOWANY v1  |  01.01.2027 – 28.09.2029  |  Kompresja −40% per zadanie  |  Endava +5 etatów  |  AGH +4 etatów</t>
        </is>
      </c>
      <c r="F1" s="661">
        <f>#REF!</f>
        <v/>
      </c>
      <c r="G1" s="662" t="n"/>
      <c r="H1" s="662" t="n"/>
      <c r="I1" s="662" t="inlineStr">
        <is>
          <t>ACT</t>
        </is>
      </c>
      <c r="J1" s="551">
        <f>VI_Baza_BDKZ!M1+1</f>
        <v/>
      </c>
      <c r="K1" s="475" t="inlineStr">
        <is>
          <t>równolegle z Zadaniem IX</t>
        </is>
      </c>
      <c r="L1" s="475" t="n"/>
      <c r="M1" s="551">
        <f>MAX(M3:M9999)</f>
        <v/>
      </c>
      <c r="N1" s="679">
        <f>SUM(N$5:N$1000)</f>
        <v/>
      </c>
      <c r="O1" s="686">
        <f>SUM(O$5:O$1000)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BC1" s="381">
        <f>#REF!</f>
        <v/>
      </c>
    </row>
    <row r="2" ht="87.59999999999999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380">
        <f>Karta!BH2</f>
        <v/>
      </c>
      <c r="AY2" s="380">
        <f>Karta!BI2</f>
        <v/>
      </c>
      <c r="AZ2" s="380">
        <f>Karta!BJ2</f>
        <v/>
      </c>
      <c r="BA2" s="380">
        <f>Karta!BK2</f>
        <v/>
      </c>
      <c r="BB2" s="380">
        <f>Karta!BL2</f>
        <v/>
      </c>
      <c r="BC2" s="237">
        <f>Karta!BM2</f>
        <v/>
      </c>
      <c r="BD2" s="237">
        <f>Karta!BN2</f>
        <v/>
      </c>
      <c r="BE2" s="237">
        <f>Karta!BO2</f>
        <v/>
      </c>
      <c r="BF2" s="237">
        <f>Karta!BP2</f>
        <v/>
      </c>
      <c r="BG2" s="237">
        <f>Karta!BQ2</f>
        <v/>
      </c>
      <c r="BH2" s="237">
        <f>Karta!BR2</f>
        <v/>
      </c>
      <c r="BI2" s="237">
        <f>Karta!BS2</f>
        <v/>
      </c>
      <c r="BJ2" s="237">
        <f>Karta!BT2</f>
        <v/>
      </c>
      <c r="BK2" s="237">
        <f>Karta!BU2</f>
        <v/>
      </c>
      <c r="BL2" s="237">
        <f>Karta!BV2</f>
        <v/>
      </c>
      <c r="BM2" s="237">
        <f>Karta!BW2</f>
        <v/>
      </c>
      <c r="BN2" s="237">
        <f>Karta!BX2</f>
        <v/>
      </c>
      <c r="BO2" s="237">
        <f>Karta!BY2</f>
        <v/>
      </c>
      <c r="BP2" s="237">
        <f>Karta!BZ2</f>
        <v/>
      </c>
      <c r="BQ2" s="237">
        <f>Karta!CA2</f>
        <v/>
      </c>
      <c r="BR2" s="237">
        <f>Karta!CB2</f>
        <v/>
      </c>
      <c r="BS2" s="237">
        <f>Karta!CC2</f>
        <v/>
      </c>
      <c r="BT2" s="237">
        <f>Karta!CD2</f>
        <v/>
      </c>
      <c r="BU2" s="237">
        <f>Karta!CE2</f>
        <v/>
      </c>
      <c r="BV2" s="237">
        <f>Karta!CF2</f>
        <v/>
      </c>
      <c r="BW2" s="237">
        <f>Karta!CG2</f>
        <v/>
      </c>
      <c r="BX2" s="237">
        <f>Karta!CH2</f>
        <v/>
      </c>
      <c r="BY2" s="237">
        <f>Karta!CI2</f>
        <v/>
      </c>
      <c r="BZ2" s="237">
        <f>Karta!CJ2</f>
        <v/>
      </c>
      <c r="CA2" s="237">
        <f>Karta!CK2</f>
        <v/>
      </c>
      <c r="CB2" s="237">
        <f>Karta!CL2</f>
        <v/>
      </c>
      <c r="CC2" s="237">
        <f>Karta!CM2</f>
        <v/>
      </c>
      <c r="CD2" s="237">
        <f>Karta!CN2</f>
        <v/>
      </c>
      <c r="CE2" s="237">
        <f>Karta!CO2</f>
        <v/>
      </c>
    </row>
    <row r="3" ht="15.6" customHeight="1" s="191">
      <c r="A3" s="68" t="inlineStr">
        <is>
          <t>.z07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495" t="n"/>
      <c r="G3" s="495" t="n"/>
      <c r="H3" s="495" t="n"/>
      <c r="I3" s="495" t="n"/>
      <c r="J3" s="495" t="n"/>
      <c r="K3" s="495" t="n"/>
      <c r="L3" s="495" t="n"/>
      <c r="M3" s="495" t="n"/>
      <c r="N3" s="495" t="n"/>
      <c r="O3" s="495" t="n"/>
      <c r="P3" s="483" t="n"/>
      <c r="Q3" s="483" t="n"/>
      <c r="R3" s="483" t="n"/>
      <c r="S3" s="483" t="n"/>
      <c r="T3" s="483" t="n"/>
      <c r="U3" s="483" t="n"/>
      <c r="V3" s="483" t="n"/>
      <c r="W3" s="483" t="n"/>
      <c r="X3" s="483" t="n"/>
      <c r="Y3" s="483" t="n"/>
      <c r="Z3" s="483" t="n"/>
      <c r="AA3" s="483" t="n"/>
      <c r="AB3" s="483" t="n"/>
      <c r="AC3" s="483" t="n"/>
      <c r="AD3" s="483" t="n"/>
      <c r="AE3" s="483" t="n"/>
      <c r="AF3" s="483" t="n"/>
      <c r="AG3" s="483" t="n"/>
      <c r="AH3" s="483" t="n"/>
      <c r="AI3" s="483" t="n"/>
      <c r="AJ3" s="483" t="n"/>
      <c r="AK3" s="483" t="n"/>
      <c r="AL3" s="483" t="n"/>
      <c r="AM3" s="483" t="n"/>
      <c r="AN3" s="483" t="n"/>
      <c r="AO3" s="483" t="n"/>
      <c r="AP3" s="483" t="n"/>
      <c r="AQ3" s="483" t="n"/>
      <c r="AR3" s="483" t="n"/>
      <c r="AS3" s="483" t="n"/>
      <c r="AT3" s="483" t="n"/>
      <c r="AU3" s="483" t="n"/>
      <c r="AV3" s="483" t="n"/>
      <c r="AW3" s="483" t="n"/>
      <c r="AX3" s="496" t="n"/>
      <c r="AY3" s="496" t="n"/>
      <c r="AZ3" s="496" t="n"/>
      <c r="BA3" s="496" t="n"/>
      <c r="BB3" s="496" t="n"/>
      <c r="BC3" s="483" t="n"/>
      <c r="BD3" s="483" t="n"/>
      <c r="BE3" s="483" t="n"/>
      <c r="BF3" s="483" t="n"/>
      <c r="BG3" s="483" t="n"/>
      <c r="BH3" s="483" t="n"/>
      <c r="BI3" s="483" t="n"/>
      <c r="BJ3" s="483" t="n"/>
      <c r="BK3" s="483" t="n"/>
      <c r="BL3" s="483" t="n"/>
      <c r="BM3" s="483" t="n"/>
      <c r="BN3" s="483" t="n"/>
      <c r="BO3" s="483" t="n"/>
      <c r="BP3" s="483" t="n"/>
      <c r="BQ3" s="483" t="n"/>
      <c r="BR3" s="483" t="n"/>
      <c r="BS3" s="483" t="n"/>
      <c r="BT3" s="483" t="n"/>
      <c r="BU3" s="483" t="n"/>
      <c r="BV3" s="483" t="n"/>
      <c r="BW3" s="483" t="n"/>
      <c r="BX3" s="483" t="n"/>
      <c r="BY3" s="483" t="n"/>
      <c r="BZ3" s="483" t="n"/>
      <c r="CA3" s="483" t="n"/>
      <c r="CB3" s="483" t="n"/>
      <c r="CC3" s="483" t="n"/>
      <c r="CD3" s="483" t="n"/>
      <c r="CE3" s="483" t="n"/>
    </row>
    <row r="4" ht="18.6" customHeight="1" s="191" thickBot="1">
      <c r="A4" s="604" t="n">
        <v>1</v>
      </c>
      <c r="B4" s="55" t="inlineStr">
        <is>
          <t>a</t>
        </is>
      </c>
      <c r="C4" s="139" t="n">
        <v>0</v>
      </c>
      <c r="D4" s="160">
        <f>CONCATENATE(A$1,"_",A4,"_",B4,"_",C4)</f>
        <v/>
      </c>
      <c r="E4" s="607" t="inlineStr">
        <is>
          <t>1.Identyfikacja, analiza i mapowanie procesu kompletacji zamówień (PKZ</t>
        </is>
      </c>
      <c r="F4" s="190" t="n"/>
      <c r="G4" s="190" t="n"/>
      <c r="H4" s="391" t="n"/>
      <c r="I4" s="190" t="n"/>
      <c r="J4" s="190" t="n"/>
      <c r="K4" s="190" t="n"/>
      <c r="L4" s="190" t="n"/>
      <c r="M4" s="190" t="n"/>
      <c r="N4" s="190" t="n"/>
      <c r="O4" s="190" t="n"/>
      <c r="P4" s="190" t="n"/>
      <c r="Q4" s="190" t="n"/>
      <c r="R4" s="190" t="n"/>
      <c r="S4" s="190" t="n"/>
      <c r="T4" s="190" t="n"/>
      <c r="U4" s="190" t="n"/>
      <c r="V4" s="190" t="n"/>
      <c r="W4" s="190" t="n"/>
      <c r="X4" s="190" t="n"/>
      <c r="Y4" s="190" t="n"/>
      <c r="Z4" s="190" t="n"/>
      <c r="AA4" s="190" t="n"/>
      <c r="AB4" s="190" t="n"/>
      <c r="AC4" s="190" t="n"/>
      <c r="AD4" s="190" t="n"/>
      <c r="AE4" s="190" t="n"/>
      <c r="AF4" s="190" t="n"/>
      <c r="AG4" s="190" t="n"/>
      <c r="AH4" s="190" t="n"/>
      <c r="AI4" s="190" t="n"/>
      <c r="AJ4" s="190" t="n"/>
      <c r="AK4" s="190" t="n"/>
      <c r="AL4" s="190" t="n"/>
      <c r="AM4" s="190" t="n"/>
      <c r="AN4" s="190" t="n"/>
      <c r="AO4" s="190" t="n"/>
      <c r="AP4" s="190" t="n"/>
      <c r="AQ4" s="190" t="n"/>
      <c r="AR4" s="190" t="n"/>
      <c r="AS4" s="190" t="n"/>
      <c r="AT4" s="190" t="n"/>
      <c r="AU4" s="190" t="n"/>
      <c r="AV4" s="190" t="n"/>
      <c r="AW4" s="190" t="n"/>
      <c r="AX4" s="190" t="n"/>
      <c r="AY4" s="190" t="n"/>
      <c r="AZ4" s="190" t="n"/>
      <c r="BA4" s="190" t="n"/>
      <c r="BB4" s="190" t="n"/>
      <c r="BC4" s="190" t="n"/>
      <c r="BD4" s="190" t="n"/>
      <c r="BE4" s="190" t="n"/>
      <c r="BF4" s="190" t="n"/>
      <c r="BG4" s="190" t="n"/>
      <c r="BH4" s="190" t="n"/>
      <c r="BI4" s="190" t="n"/>
      <c r="BJ4" s="190" t="n"/>
      <c r="BK4" s="190" t="n"/>
      <c r="BL4" s="190" t="n"/>
      <c r="BM4" s="190" t="n"/>
      <c r="BN4" s="190" t="n"/>
      <c r="BO4" s="190" t="n"/>
      <c r="BP4" s="190" t="n"/>
      <c r="BQ4" s="190" t="n"/>
      <c r="BR4" s="190" t="n"/>
      <c r="BS4" s="190" t="n"/>
      <c r="BT4" s="190" t="n"/>
      <c r="BU4" s="190" t="n"/>
      <c r="BV4" s="190" t="n"/>
      <c r="BW4" s="190" t="n"/>
      <c r="BX4" s="190" t="n"/>
      <c r="BY4" s="190" t="n"/>
      <c r="BZ4" s="190" t="n"/>
      <c r="CA4" s="190" t="n"/>
      <c r="CB4" s="190" t="n"/>
      <c r="CC4" s="190" t="n"/>
      <c r="CD4" s="190" t="n"/>
      <c r="CE4" s="190" t="n"/>
      <c r="CF4" s="190" t="n"/>
    </row>
    <row r="5" s="191" thickBot="1">
      <c r="A5" s="528" t="n">
        <v>1</v>
      </c>
      <c r="B5" s="55" t="inlineStr">
        <is>
          <t>a</t>
        </is>
      </c>
      <c r="C5" s="139" t="n">
        <v>1</v>
      </c>
      <c r="D5" s="160">
        <f>CONCATENATE(A$1,"_",A5,"_",B5,"_",C5)</f>
        <v/>
      </c>
      <c r="E5" s="526" t="inlineStr">
        <is>
          <t>Identyfikacja i analiza kluczowych etapów PKZ i ich interakcji</t>
        </is>
      </c>
      <c r="F5" s="528">
        <f>IFERROR(VLOOKUP($I5,Listy!$A:$H,2,FALSE),"XXX")</f>
        <v/>
      </c>
      <c r="G5" s="528">
        <f>IFERROR(VLOOKUP($I5,Listy!$A:$H,3,FALSE),"XXX")</f>
        <v/>
      </c>
      <c r="H5" s="140" t="n">
        <v>1</v>
      </c>
      <c r="I5" s="89" t="inlineStr">
        <is>
          <t>.a01</t>
        </is>
      </c>
      <c r="J5" s="475">
        <f>J1</f>
        <v/>
      </c>
      <c r="K5" s="681">
        <f>VLOOKUP(J5,Kalendarz!B:E,4,FALSE)</f>
        <v/>
      </c>
      <c r="L5" s="681">
        <f>K5+N5</f>
        <v/>
      </c>
      <c r="M5" s="528">
        <f>J5+N5-1</f>
        <v/>
      </c>
      <c r="N5" s="474" t="n">
        <v>1</v>
      </c>
      <c r="O5" s="529" t="n">
        <v>120</v>
      </c>
      <c r="P5" s="242" t="n">
        <v>1</v>
      </c>
      <c r="Q5" s="242" t="n">
        <v>0</v>
      </c>
      <c r="R5" s="242" t="n">
        <v>0</v>
      </c>
      <c r="S5" s="242" t="n">
        <v>0</v>
      </c>
      <c r="T5" s="242" t="n"/>
      <c r="U5" s="242" t="n"/>
      <c r="V5" s="242" t="n"/>
      <c r="W5" s="242" t="n"/>
      <c r="X5" s="242" t="n"/>
      <c r="Y5" s="243" t="n">
        <v>0</v>
      </c>
      <c r="Z5" s="243" t="n">
        <v>0</v>
      </c>
      <c r="AA5" s="243" t="n">
        <v>0</v>
      </c>
      <c r="AB5" s="243" t="n">
        <v>0</v>
      </c>
      <c r="AC5" s="300" t="n"/>
      <c r="AD5" s="300" t="n"/>
      <c r="AE5" s="300" t="n"/>
      <c r="AF5" s="300" t="n"/>
      <c r="AG5" s="297">
        <f>ROUND($O5*P5,0)</f>
        <v/>
      </c>
      <c r="AH5" s="297">
        <f>ROUND($O5*Q5,0)</f>
        <v/>
      </c>
      <c r="AI5" s="297">
        <f>ROUND($O5*R5,0)</f>
        <v/>
      </c>
      <c r="AJ5" s="297">
        <f>ROUND($O5*S5,0)</f>
        <v/>
      </c>
      <c r="AK5" s="297">
        <f>ROUND($O5*T5,0)</f>
        <v/>
      </c>
      <c r="AL5" s="297">
        <f>ROUND($O5*U5,0)</f>
        <v/>
      </c>
      <c r="AM5" s="297">
        <f>ROUND($O5*V5,0)</f>
        <v/>
      </c>
      <c r="AN5" s="297">
        <f>ROUND($O5*W5,0)</f>
        <v/>
      </c>
      <c r="AO5" s="297">
        <f>ROUND($O5*X5,0)</f>
        <v/>
      </c>
      <c r="AP5" s="298">
        <f>ROUND($O5*Y5,0)</f>
        <v/>
      </c>
      <c r="AQ5" s="298">
        <f>ROUND($O5*Z5,0)</f>
        <v/>
      </c>
      <c r="AR5" s="298">
        <f>ROUND($O5*AA5,0)</f>
        <v/>
      </c>
      <c r="AS5" s="298">
        <f>ROUND($O5*AB5,0)</f>
        <v/>
      </c>
      <c r="AT5" s="302">
        <f>ROUND($O5*AC5,0)</f>
        <v/>
      </c>
      <c r="AU5" s="302">
        <f>ROUND($O5*AD5,0)</f>
        <v/>
      </c>
      <c r="AV5" s="302">
        <f>ROUND($O5*AE5,0)</f>
        <v/>
      </c>
      <c r="AW5" s="302">
        <f>ROUND($O5*AF5,0)</f>
        <v/>
      </c>
      <c r="AX5" s="236">
        <f>SUM(AG5:AO5)</f>
        <v/>
      </c>
      <c r="AY5" s="231">
        <f>AX5/160</f>
        <v/>
      </c>
      <c r="AZ5" s="231">
        <f>VLOOKUP(I5,Listy!$A$1:$H$9,6,FALSE)</f>
        <v/>
      </c>
      <c r="BA5" s="690">
        <f>AY5*AZ5</f>
        <v/>
      </c>
      <c r="BB5" s="690">
        <f>AY5*BA5</f>
        <v/>
      </c>
      <c r="BC5" s="399" t="n"/>
      <c r="BD5" s="528" t="n"/>
      <c r="BE5" s="528" t="n"/>
      <c r="BF5" s="528" t="n"/>
      <c r="BG5" s="528" t="n"/>
      <c r="BH5" s="14">
        <f>#REF!+#REF!+#REF!+#REF!+#REF!+#REF!</f>
        <v/>
      </c>
      <c r="BI5" s="528" t="n"/>
      <c r="BJ5" s="51" t="n"/>
      <c r="BK5" s="14">
        <f>#REF!+#REF!+#REF!+#REF!+#REF!+#REF!</f>
        <v/>
      </c>
      <c r="BL5" s="399" t="n"/>
      <c r="BM5" s="51" t="n"/>
      <c r="BN5" s="14">
        <f>#REF!+#REF!+#REF!+#REF!+#REF!+#REF!</f>
        <v/>
      </c>
      <c r="BO5" s="399" t="n"/>
      <c r="BP5" s="51" t="n"/>
      <c r="BQ5" s="14">
        <f>#REF!+#REF!+#REF!+#REF!+#REF!+#REF!</f>
        <v/>
      </c>
      <c r="BR5" s="14">
        <f>#REF!+#REF!+#REF!+#REF!+#REF!+#REF!</f>
        <v/>
      </c>
      <c r="BS5" s="399" t="n"/>
      <c r="BT5" s="528" t="n"/>
      <c r="BU5" s="528" t="n"/>
      <c r="BV5" s="14">
        <f>#REF!+#REF!+#REF!+#REF!+#REF!+#REF!</f>
        <v/>
      </c>
      <c r="BW5" s="528" t="n"/>
      <c r="BX5" s="528" t="n"/>
      <c r="BY5" s="528" t="n"/>
      <c r="BZ5" s="14">
        <f>#REF!+#REF!+#REF!+#REF!+#REF!+#REF!</f>
        <v/>
      </c>
      <c r="CA5" s="528" t="n"/>
      <c r="CB5" s="528" t="n"/>
      <c r="CC5" s="528" t="n"/>
      <c r="CD5" s="14">
        <f>#REF!+#REF!+#REF!+#REF!+#REF!+#REF!</f>
        <v/>
      </c>
      <c r="CE5" s="40">
        <f>AX5+BA5+BH5+BK5+BN5+BQ5+BR5+BV5+BZ5+CD5</f>
        <v/>
      </c>
    </row>
    <row r="6" ht="14.4" customHeight="1" s="191">
      <c r="A6" s="528" t="n">
        <v>1</v>
      </c>
      <c r="B6" s="55" t="inlineStr">
        <is>
          <t>b</t>
        </is>
      </c>
      <c r="C6" s="139" t="n">
        <v>1</v>
      </c>
      <c r="D6" s="160">
        <f>CONCATENATE(A$1,"_",A6,"_",B6,"_",C6)</f>
        <v/>
      </c>
      <c r="E6" s="526" t="inlineStr">
        <is>
          <t>Określenie wskaźników KPI do oceny efektywności symulacji</t>
        </is>
      </c>
      <c r="F6" s="528">
        <f>IFERROR(VLOOKUP($I6,Listy!$A:$H,2,FALSE),"XXX")</f>
        <v/>
      </c>
      <c r="G6" s="528">
        <f>IFERROR(VLOOKUP($I6,Listy!$A:$H,3,FALSE),"XXX")</f>
        <v/>
      </c>
      <c r="H6" s="140" t="n">
        <v>1</v>
      </c>
      <c r="I6" s="89" t="inlineStr">
        <is>
          <t>.a02</t>
        </is>
      </c>
      <c r="J6" s="91">
        <f>M5+1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76" t="n">
        <v>0</v>
      </c>
      <c r="O6" s="529" t="n">
        <v>120</v>
      </c>
      <c r="P6" s="242" t="n">
        <v>0</v>
      </c>
      <c r="Q6" s="242" t="n">
        <v>1</v>
      </c>
      <c r="R6" s="242" t="n">
        <v>0</v>
      </c>
      <c r="S6" s="242" t="n">
        <v>0</v>
      </c>
      <c r="T6" s="242" t="n"/>
      <c r="U6" s="242" t="n"/>
      <c r="V6" s="242" t="n"/>
      <c r="W6" s="242" t="n"/>
      <c r="X6" s="242" t="n"/>
      <c r="Y6" s="243" t="n">
        <v>0</v>
      </c>
      <c r="Z6" s="243" t="n">
        <v>0</v>
      </c>
      <c r="AA6" s="243" t="n">
        <v>0</v>
      </c>
      <c r="AB6" s="243" t="n">
        <v>0</v>
      </c>
      <c r="AC6" s="300" t="n"/>
      <c r="AD6" s="300" t="n"/>
      <c r="AE6" s="300" t="n"/>
      <c r="AF6" s="300" t="n"/>
      <c r="AG6" s="297">
        <f>ROUND($O6*P6,0)</f>
        <v/>
      </c>
      <c r="AH6" s="297">
        <f>ROUND($O6*Q6,0)</f>
        <v/>
      </c>
      <c r="AI6" s="297">
        <f>ROUND($O6*R6,0)</f>
        <v/>
      </c>
      <c r="AJ6" s="297">
        <f>ROUND($O6*S6,0)</f>
        <v/>
      </c>
      <c r="AK6" s="297">
        <f>ROUND($O6*T6,0)</f>
        <v/>
      </c>
      <c r="AL6" s="297">
        <f>ROUND($O6*U6,0)</f>
        <v/>
      </c>
      <c r="AM6" s="297">
        <f>ROUND($O6*V6,0)</f>
        <v/>
      </c>
      <c r="AN6" s="297">
        <f>ROUND($O6*W6,0)</f>
        <v/>
      </c>
      <c r="AO6" s="297">
        <f>ROUND($O6*X6,0)</f>
        <v/>
      </c>
      <c r="AP6" s="298">
        <f>ROUND($O6*Y6,0)</f>
        <v/>
      </c>
      <c r="AQ6" s="298">
        <f>ROUND($O6*Z6,0)</f>
        <v/>
      </c>
      <c r="AR6" s="298">
        <f>ROUND($O6*AA6,0)</f>
        <v/>
      </c>
      <c r="AS6" s="298">
        <f>ROUND($O6*AB6,0)</f>
        <v/>
      </c>
      <c r="AT6" s="302">
        <f>ROUND($O6*AC6,0)</f>
        <v/>
      </c>
      <c r="AU6" s="302">
        <f>ROUND($O6*AD6,0)</f>
        <v/>
      </c>
      <c r="AV6" s="302">
        <f>ROUND($O6*AE6,0)</f>
        <v/>
      </c>
      <c r="AW6" s="302">
        <f>ROUND($O6*AF6,0)</f>
        <v/>
      </c>
      <c r="AX6" s="236">
        <f>SUM(AG6:AO6)</f>
        <v/>
      </c>
      <c r="AY6" s="231">
        <f>AX6/160</f>
        <v/>
      </c>
      <c r="AZ6" s="231">
        <f>VLOOKUP(I6,Listy!$A$1:$H$9,6,FALSE)</f>
        <v/>
      </c>
      <c r="BA6" s="690">
        <f>AY6*AZ6</f>
        <v/>
      </c>
      <c r="BB6" s="690">
        <f>AY6*BA6</f>
        <v/>
      </c>
      <c r="BC6" s="528" t="n"/>
      <c r="BD6" s="528" t="n"/>
      <c r="BE6" s="528" t="n"/>
      <c r="BF6" s="528" t="n"/>
      <c r="BG6" s="528" t="n"/>
      <c r="BH6" s="21">
        <f>BF6*BG6</f>
        <v/>
      </c>
      <c r="BI6" s="528" t="n"/>
      <c r="BJ6" s="528" t="n"/>
      <c r="BK6" s="21" t="n">
        <v>0</v>
      </c>
      <c r="BL6" s="528" t="n"/>
      <c r="BM6" s="528" t="n"/>
      <c r="BN6" s="21" t="n">
        <v>0</v>
      </c>
      <c r="BO6" s="528" t="n"/>
      <c r="BP6" s="528" t="n"/>
      <c r="BQ6" s="21" t="n">
        <v>0</v>
      </c>
      <c r="BR6" s="21" t="n">
        <v>0</v>
      </c>
      <c r="BS6" s="528" t="n"/>
      <c r="BT6" s="528" t="n"/>
      <c r="BU6" s="528" t="n"/>
      <c r="BV6" s="21">
        <f>BT6*BU6</f>
        <v/>
      </c>
      <c r="BW6" s="528" t="n"/>
      <c r="BX6" s="528" t="n"/>
      <c r="BY6" s="528" t="n"/>
      <c r="BZ6" s="21">
        <f>BX6*BY6</f>
        <v/>
      </c>
      <c r="CA6" s="528" t="n"/>
      <c r="CB6" s="528" t="n"/>
      <c r="CC6" s="528" t="n"/>
      <c r="CD6" s="21">
        <f>CB6*CC6</f>
        <v/>
      </c>
    </row>
    <row r="7" s="191" thickBot="1">
      <c r="A7" s="528" t="n">
        <v>1</v>
      </c>
      <c r="B7" s="55" t="inlineStr">
        <is>
          <t>c</t>
        </is>
      </c>
      <c r="C7" s="139" t="n">
        <v>1</v>
      </c>
      <c r="D7" s="160">
        <f>CONCATENATE(A$1,"_",A7,"_",B7,"_",C7)</f>
        <v/>
      </c>
      <c r="E7" s="526" t="inlineStr">
        <is>
          <t>Analiza wydajności</t>
        </is>
      </c>
      <c r="F7" s="528">
        <f>IFERROR(VLOOKUP($I7,Listy!$A:$H,2,FALSE),"XXX")</f>
        <v/>
      </c>
      <c r="G7" s="528">
        <f>IFERROR(VLOOKUP($I7,Listy!$A:$H,3,FALSE),"XXX")</f>
        <v/>
      </c>
      <c r="H7" s="140" t="n">
        <v>2</v>
      </c>
      <c r="I7" s="89" t="inlineStr">
        <is>
          <t>.a03</t>
        </is>
      </c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76" t="n">
        <v>0</v>
      </c>
      <c r="O7" s="529" t="n">
        <v>120</v>
      </c>
      <c r="P7" s="242" t="n">
        <v>0.5</v>
      </c>
      <c r="Q7" s="242" t="n">
        <v>0</v>
      </c>
      <c r="R7" s="242" t="n">
        <v>0.5</v>
      </c>
      <c r="S7" s="242" t="n">
        <v>0</v>
      </c>
      <c r="T7" s="242" t="n"/>
      <c r="U7" s="242" t="n"/>
      <c r="V7" s="242" t="n"/>
      <c r="W7" s="242" t="n"/>
      <c r="X7" s="242" t="n"/>
      <c r="Y7" s="243" t="n">
        <v>0</v>
      </c>
      <c r="Z7" s="243" t="n">
        <v>0</v>
      </c>
      <c r="AA7" s="243" t="n">
        <v>0</v>
      </c>
      <c r="AB7" s="243" t="n">
        <v>0</v>
      </c>
      <c r="AC7" s="300" t="n"/>
      <c r="AD7" s="300" t="n"/>
      <c r="AE7" s="300" t="n"/>
      <c r="AF7" s="300" t="n"/>
      <c r="AG7" s="297">
        <f>ROUND($O7*P7,0)</f>
        <v/>
      </c>
      <c r="AH7" s="297">
        <f>ROUND($O7*Q7,0)</f>
        <v/>
      </c>
      <c r="AI7" s="297">
        <f>ROUND($O7*R7,0)</f>
        <v/>
      </c>
      <c r="AJ7" s="297">
        <f>ROUND($O7*S7,0)</f>
        <v/>
      </c>
      <c r="AK7" s="297">
        <f>ROUND($O7*T7,0)</f>
        <v/>
      </c>
      <c r="AL7" s="297">
        <f>ROUND($O7*U7,0)</f>
        <v/>
      </c>
      <c r="AM7" s="297">
        <f>ROUND($O7*V7,0)</f>
        <v/>
      </c>
      <c r="AN7" s="297">
        <f>ROUND($O7*W7,0)</f>
        <v/>
      </c>
      <c r="AO7" s="297">
        <f>ROUND($O7*X7,0)</f>
        <v/>
      </c>
      <c r="AP7" s="298">
        <f>ROUND($O7*Y7,0)</f>
        <v/>
      </c>
      <c r="AQ7" s="298">
        <f>ROUND($O7*Z7,0)</f>
        <v/>
      </c>
      <c r="AR7" s="298">
        <f>ROUND($O7*AA7,0)</f>
        <v/>
      </c>
      <c r="AS7" s="298">
        <f>ROUND($O7*AB7,0)</f>
        <v/>
      </c>
      <c r="AT7" s="302">
        <f>ROUND($O7*AC7,0)</f>
        <v/>
      </c>
      <c r="AU7" s="302">
        <f>ROUND($O7*AD7,0)</f>
        <v/>
      </c>
      <c r="AV7" s="302">
        <f>ROUND($O7*AE7,0)</f>
        <v/>
      </c>
      <c r="AW7" s="302">
        <f>ROUND($O7*AF7,0)</f>
        <v/>
      </c>
      <c r="AX7" s="236">
        <f>SUM(AG7:AO7)</f>
        <v/>
      </c>
      <c r="AY7" s="231">
        <f>AX7/160</f>
        <v/>
      </c>
      <c r="AZ7" s="231">
        <f>VLOOKUP(I7,Listy!$A$1:$H$9,6,FALSE)</f>
        <v/>
      </c>
      <c r="BA7" s="690">
        <f>AY7*AZ7</f>
        <v/>
      </c>
      <c r="BB7" s="690">
        <f>AY7*BA7</f>
        <v/>
      </c>
      <c r="BC7" s="528" t="n"/>
      <c r="BD7" s="528" t="n"/>
      <c r="BE7" s="528" t="n"/>
      <c r="BF7" s="528" t="n"/>
      <c r="BG7" s="528" t="n"/>
      <c r="BI7" s="528" t="n"/>
      <c r="BJ7" s="528" t="n"/>
      <c r="BL7" s="528" t="n"/>
      <c r="BM7" s="528" t="n"/>
      <c r="BO7" s="528" t="n"/>
      <c r="BP7" s="528" t="n"/>
      <c r="BS7" s="528" t="n"/>
      <c r="BT7" s="528" t="n"/>
      <c r="BU7" s="528" t="n"/>
      <c r="BW7" s="528" t="n"/>
      <c r="BX7" s="528" t="n"/>
      <c r="BY7" s="528" t="n"/>
      <c r="CA7" s="528" t="n"/>
      <c r="CB7" s="528" t="n"/>
      <c r="CC7" s="528" t="n"/>
    </row>
    <row r="8" s="191" thickBot="1">
      <c r="A8" s="528" t="n">
        <v>1</v>
      </c>
      <c r="B8" s="55" t="inlineStr">
        <is>
          <t>d</t>
        </is>
      </c>
      <c r="C8" s="139" t="n">
        <v>1</v>
      </c>
      <c r="D8" s="160">
        <f>CONCATENATE(A$1,"_",A8,"_",B8,"_",C8)</f>
        <v/>
      </c>
      <c r="E8" s="526" t="inlineStr">
        <is>
          <t>Identyfikacja wyzwań/„wąskich gardeł”</t>
        </is>
      </c>
      <c r="F8" s="528">
        <f>IFERROR(VLOOKUP($I8,Listy!$A:$H,2,FALSE),"XXX")</f>
        <v/>
      </c>
      <c r="G8" s="528">
        <f>IFERROR(VLOOKUP($I8,Listy!$A:$H,3,FALSE),"XXX")</f>
        <v/>
      </c>
      <c r="H8" s="140" t="n">
        <v>1</v>
      </c>
      <c r="I8" s="89" t="inlineStr">
        <is>
          <t>.a04</t>
        </is>
      </c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76" t="n">
        <v>0</v>
      </c>
      <c r="O8" s="529" t="n">
        <v>120</v>
      </c>
      <c r="P8" s="242" t="n">
        <v>0</v>
      </c>
      <c r="Q8" s="242" t="n">
        <v>0</v>
      </c>
      <c r="R8" s="242" t="n">
        <v>0</v>
      </c>
      <c r="S8" s="242" t="n">
        <v>1</v>
      </c>
      <c r="T8" s="242" t="n"/>
      <c r="U8" s="242" t="n"/>
      <c r="V8" s="242" t="n"/>
      <c r="W8" s="242" t="n"/>
      <c r="X8" s="242" t="n"/>
      <c r="Y8" s="243" t="n">
        <v>0</v>
      </c>
      <c r="Z8" s="243" t="n">
        <v>0</v>
      </c>
      <c r="AA8" s="243" t="n">
        <v>0</v>
      </c>
      <c r="AB8" s="243" t="n">
        <v>0</v>
      </c>
      <c r="AC8" s="300" t="n"/>
      <c r="AD8" s="300" t="n"/>
      <c r="AE8" s="300" t="n"/>
      <c r="AF8" s="300" t="n"/>
      <c r="AG8" s="297">
        <f>ROUND($O8*P8,0)</f>
        <v/>
      </c>
      <c r="AH8" s="297">
        <f>ROUND($O8*Q8,0)</f>
        <v/>
      </c>
      <c r="AI8" s="297">
        <f>ROUND($O8*R8,0)</f>
        <v/>
      </c>
      <c r="AJ8" s="297">
        <f>ROUND($O8*S8,0)</f>
        <v/>
      </c>
      <c r="AK8" s="297">
        <f>ROUND($O8*T8,0)</f>
        <v/>
      </c>
      <c r="AL8" s="297">
        <f>ROUND($O8*U8,0)</f>
        <v/>
      </c>
      <c r="AM8" s="297">
        <f>ROUND($O8*V8,0)</f>
        <v/>
      </c>
      <c r="AN8" s="297">
        <f>ROUND($O8*W8,0)</f>
        <v/>
      </c>
      <c r="AO8" s="297">
        <f>ROUND($O8*X8,0)</f>
        <v/>
      </c>
      <c r="AP8" s="298">
        <f>ROUND($O8*Y8,0)</f>
        <v/>
      </c>
      <c r="AQ8" s="298">
        <f>ROUND($O8*Z8,0)</f>
        <v/>
      </c>
      <c r="AR8" s="298">
        <f>ROUND($O8*AA8,0)</f>
        <v/>
      </c>
      <c r="AS8" s="298">
        <f>ROUND($O8*AB8,0)</f>
        <v/>
      </c>
      <c r="AT8" s="302">
        <f>ROUND($O8*AC8,0)</f>
        <v/>
      </c>
      <c r="AU8" s="302">
        <f>ROUND($O8*AD8,0)</f>
        <v/>
      </c>
      <c r="AV8" s="302">
        <f>ROUND($O8*AE8,0)</f>
        <v/>
      </c>
      <c r="AW8" s="302">
        <f>ROUND($O8*AF8,0)</f>
        <v/>
      </c>
      <c r="AX8" s="236">
        <f>SUM(AG8:AO8)</f>
        <v/>
      </c>
      <c r="AY8" s="231">
        <f>AX8/160</f>
        <v/>
      </c>
      <c r="AZ8" s="231">
        <f>VLOOKUP(I8,Listy!$A$1:$H$9,6,FALSE)</f>
        <v/>
      </c>
      <c r="BA8" s="690">
        <f>AY8*AZ8</f>
        <v/>
      </c>
      <c r="BB8" s="690">
        <f>AY8*BA8</f>
        <v/>
      </c>
      <c r="BC8" s="528" t="n"/>
      <c r="BD8" s="528" t="n"/>
      <c r="BE8" s="528" t="n"/>
      <c r="BF8" s="528" t="n"/>
      <c r="BG8" s="528" t="n"/>
      <c r="BH8" s="14">
        <f>BH9+BH19+BH24+#REF!+#REF!</f>
        <v/>
      </c>
      <c r="BI8" s="528" t="n"/>
      <c r="BJ8" s="528" t="n"/>
      <c r="BK8" s="14">
        <f>BK9+BK19+BK24+#REF!</f>
        <v/>
      </c>
      <c r="BL8" s="528" t="n"/>
      <c r="BM8" s="528" t="n"/>
      <c r="BN8" s="14">
        <f>BN9+BN19+BN24+#REF!</f>
        <v/>
      </c>
      <c r="BO8" s="528" t="n"/>
      <c r="BP8" s="528" t="n"/>
      <c r="BQ8" s="14">
        <f>BQ9+BQ19+BQ24+#REF!</f>
        <v/>
      </c>
      <c r="BR8" s="14">
        <f>BR9+BR19+BR24+#REF!</f>
        <v/>
      </c>
      <c r="BS8" s="528" t="n"/>
      <c r="BT8" s="528" t="n"/>
      <c r="BU8" s="528" t="n"/>
      <c r="BV8" s="14">
        <f>BV9+BV19+BV24+#REF!+#REF!</f>
        <v/>
      </c>
      <c r="BW8" s="528" t="n"/>
      <c r="BX8" s="528" t="n"/>
      <c r="BY8" s="528" t="n"/>
      <c r="BZ8" s="14">
        <f>BZ9+BZ19+BZ24+#REF!+#REF!</f>
        <v/>
      </c>
      <c r="CA8" s="528" t="n"/>
      <c r="CB8" s="528" t="n"/>
      <c r="CC8" s="528" t="n"/>
      <c r="CD8" s="14">
        <f>CD9+CD19+CD24+#REF!+#REF!</f>
        <v/>
      </c>
      <c r="CE8" s="40">
        <f>AX8+BA8+BH8+BK8+BN8+BQ8+BR8+BV8+BZ8+CD8</f>
        <v/>
      </c>
    </row>
    <row r="9" ht="15" customHeight="1" s="191">
      <c r="A9" s="528" t="n">
        <v>1</v>
      </c>
      <c r="B9" s="55" t="inlineStr">
        <is>
          <t>e</t>
        </is>
      </c>
      <c r="C9" s="139" t="n">
        <v>1</v>
      </c>
      <c r="D9" s="160">
        <f>CONCATENATE(A$1,"_",A9,"_",B9,"_",C9)</f>
        <v/>
      </c>
      <c r="E9" s="526" t="inlineStr">
        <is>
          <t>Analiza wpływu zakłóceń dostępności infrastruktury technicznej</t>
        </is>
      </c>
      <c r="F9" s="528">
        <f>IFERROR(VLOOKUP($I9,Listy!$A:$H,2,FALSE),"XXX")</f>
        <v/>
      </c>
      <c r="G9" s="528">
        <f>IFERROR(VLOOKUP($I9,Listy!$A:$H,3,FALSE),"XXX")</f>
        <v/>
      </c>
      <c r="H9" s="140" t="n">
        <v>1</v>
      </c>
      <c r="I9" s="89" t="inlineStr">
        <is>
          <t>.a03</t>
        </is>
      </c>
      <c r="J9" s="91">
        <f>M8+1</f>
        <v/>
      </c>
      <c r="K9" s="681">
        <f>VLOOKUP(J9,Kalendarz!B:E,4,FALSE)</f>
        <v/>
      </c>
      <c r="L9" s="681">
        <f>K9+N9</f>
        <v/>
      </c>
      <c r="M9" s="528">
        <f>J9+N9-1</f>
        <v/>
      </c>
      <c r="N9" s="476" t="n">
        <v>0</v>
      </c>
      <c r="O9" s="529" t="n">
        <v>120</v>
      </c>
      <c r="P9" s="242" t="n">
        <v>0</v>
      </c>
      <c r="Q9" s="242" t="n">
        <v>0</v>
      </c>
      <c r="R9" s="242" t="n">
        <v>1</v>
      </c>
      <c r="S9" s="242" t="n">
        <v>0</v>
      </c>
      <c r="T9" s="242" t="n"/>
      <c r="U9" s="242" t="n"/>
      <c r="V9" s="242" t="n"/>
      <c r="W9" s="242" t="n"/>
      <c r="X9" s="242" t="n"/>
      <c r="Y9" s="243" t="n">
        <v>0</v>
      </c>
      <c r="Z9" s="243" t="n">
        <v>0</v>
      </c>
      <c r="AA9" s="243" t="n">
        <v>0</v>
      </c>
      <c r="AB9" s="243" t="n">
        <v>0</v>
      </c>
      <c r="AC9" s="300" t="n"/>
      <c r="AD9" s="300" t="n"/>
      <c r="AE9" s="300" t="n"/>
      <c r="AF9" s="300" t="n"/>
      <c r="AG9" s="297">
        <f>ROUND($O9*P9,0)</f>
        <v/>
      </c>
      <c r="AH9" s="297">
        <f>ROUND($O9*Q9,0)</f>
        <v/>
      </c>
      <c r="AI9" s="297">
        <f>ROUND($O9*R9,0)</f>
        <v/>
      </c>
      <c r="AJ9" s="297">
        <f>ROUND($O9*S9,0)</f>
        <v/>
      </c>
      <c r="AK9" s="297">
        <f>ROUND($O9*T9,0)</f>
        <v/>
      </c>
      <c r="AL9" s="297">
        <f>ROUND($O9*U9,0)</f>
        <v/>
      </c>
      <c r="AM9" s="297">
        <f>ROUND($O9*V9,0)</f>
        <v/>
      </c>
      <c r="AN9" s="297">
        <f>ROUND($O9*W9,0)</f>
        <v/>
      </c>
      <c r="AO9" s="297">
        <f>ROUND($O9*X9,0)</f>
        <v/>
      </c>
      <c r="AP9" s="298">
        <f>ROUND($O9*Y9,0)</f>
        <v/>
      </c>
      <c r="AQ9" s="298">
        <f>ROUND($O9*Z9,0)</f>
        <v/>
      </c>
      <c r="AR9" s="298">
        <f>ROUND($O9*AA9,0)</f>
        <v/>
      </c>
      <c r="AS9" s="298">
        <f>ROUND($O9*AB9,0)</f>
        <v/>
      </c>
      <c r="AT9" s="302">
        <f>ROUND($O9*AC9,0)</f>
        <v/>
      </c>
      <c r="AU9" s="302">
        <f>ROUND($O9*AD9,0)</f>
        <v/>
      </c>
      <c r="AV9" s="302">
        <f>ROUND($O9*AE9,0)</f>
        <v/>
      </c>
      <c r="AW9" s="302">
        <f>ROUND($O9*AF9,0)</f>
        <v/>
      </c>
      <c r="AX9" s="236">
        <f>SUM(AG9:AO9)</f>
        <v/>
      </c>
      <c r="AY9" s="231">
        <f>AX9/160</f>
        <v/>
      </c>
      <c r="AZ9" s="231">
        <f>VLOOKUP(I9,Listy!$A$1:$H$9,6,FALSE)</f>
        <v/>
      </c>
      <c r="BA9" s="690">
        <f>AY9*AZ9</f>
        <v/>
      </c>
      <c r="BB9" s="690">
        <f>AY9*BA9</f>
        <v/>
      </c>
      <c r="BC9" s="528" t="n"/>
      <c r="BD9" s="528" t="n"/>
      <c r="BE9" s="528" t="n"/>
      <c r="BF9" s="528" t="n"/>
      <c r="BG9" s="528" t="n"/>
      <c r="BH9" s="21">
        <f>BF9*BG9</f>
        <v/>
      </c>
      <c r="BI9" s="528" t="n"/>
      <c r="BJ9" s="528" t="n"/>
      <c r="BK9" s="21" t="n">
        <v>0</v>
      </c>
      <c r="BL9" s="528" t="n"/>
      <c r="BM9" s="528" t="n"/>
      <c r="BN9" s="21" t="n">
        <v>0</v>
      </c>
      <c r="BO9" s="528" t="n"/>
      <c r="BP9" s="528" t="n"/>
      <c r="BQ9" s="21" t="n">
        <v>0</v>
      </c>
      <c r="BR9" s="21" t="n">
        <v>0</v>
      </c>
      <c r="BS9" s="528" t="n"/>
      <c r="BT9" s="528" t="n"/>
      <c r="BU9" s="528" t="n"/>
      <c r="BV9" s="21">
        <f>BT9*BU9</f>
        <v/>
      </c>
      <c r="BW9" s="528" t="n"/>
      <c r="BX9" s="528" t="n"/>
      <c r="BY9" s="528" t="n"/>
      <c r="BZ9" s="21">
        <f>BX9*BY9</f>
        <v/>
      </c>
      <c r="CA9" s="528" t="n"/>
      <c r="CB9" s="528" t="n"/>
      <c r="CC9" s="528" t="n"/>
      <c r="CD9" s="21">
        <f>CB9*CC9</f>
        <v/>
      </c>
    </row>
    <row r="10" ht="15" customHeight="1" s="191">
      <c r="A10" s="528" t="n">
        <v>1</v>
      </c>
      <c r="B10" s="55" t="inlineStr">
        <is>
          <t>f</t>
        </is>
      </c>
      <c r="C10" s="139" t="n">
        <v>1</v>
      </c>
      <c r="D10" s="160">
        <f>CONCATENATE(A$1,"_",A10,"_",B10,"_",C10)</f>
        <v/>
      </c>
      <c r="E10" s="526" t="inlineStr">
        <is>
          <t xml:space="preserve">Stworzenie mapy zidentyfikowanych algorytmów/etapów kompletacji </t>
        </is>
      </c>
      <c r="F10" s="528">
        <f>IFERROR(VLOOKUP($I10,Listy!$A:$H,2,FALSE),"XXX")</f>
        <v/>
      </c>
      <c r="G10" s="528">
        <f>IFERROR(VLOOKUP($I10,Listy!$A:$H,3,FALSE),"XXX")</f>
        <v/>
      </c>
      <c r="H10" s="140" t="n">
        <v>2</v>
      </c>
      <c r="I10" s="89" t="inlineStr">
        <is>
          <t>.a04</t>
        </is>
      </c>
      <c r="J10" s="91">
        <f>M9+1</f>
        <v/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76" t="n">
        <v>0</v>
      </c>
      <c r="O10" s="529" t="n">
        <v>120</v>
      </c>
      <c r="P10" s="242" t="n">
        <v>0</v>
      </c>
      <c r="Q10" s="242" t="n">
        <v>0.5</v>
      </c>
      <c r="R10" s="242" t="n">
        <v>0</v>
      </c>
      <c r="S10" s="242" t="n">
        <v>0.5</v>
      </c>
      <c r="T10" s="242" t="n"/>
      <c r="U10" s="242" t="n"/>
      <c r="V10" s="242" t="n"/>
      <c r="W10" s="242" t="n"/>
      <c r="X10" s="242" t="n"/>
      <c r="Y10" s="243" t="n">
        <v>0</v>
      </c>
      <c r="Z10" s="243" t="n">
        <v>0</v>
      </c>
      <c r="AA10" s="243" t="n">
        <v>0</v>
      </c>
      <c r="AB10" s="243" t="n">
        <v>0</v>
      </c>
      <c r="AC10" s="300" t="n"/>
      <c r="AD10" s="300" t="n"/>
      <c r="AE10" s="300" t="n"/>
      <c r="AF10" s="300" t="n"/>
      <c r="AG10" s="297">
        <f>ROUND($O10*P10,0)</f>
        <v/>
      </c>
      <c r="AH10" s="297">
        <f>ROUND($O10*Q10,0)</f>
        <v/>
      </c>
      <c r="AI10" s="297">
        <f>ROUND($O10*R10,0)</f>
        <v/>
      </c>
      <c r="AJ10" s="297">
        <f>ROUND($O10*S10,0)</f>
        <v/>
      </c>
      <c r="AK10" s="297">
        <f>ROUND($O10*T10,0)</f>
        <v/>
      </c>
      <c r="AL10" s="297">
        <f>ROUND($O10*U10,0)</f>
        <v/>
      </c>
      <c r="AM10" s="297">
        <f>ROUND($O10*V10,0)</f>
        <v/>
      </c>
      <c r="AN10" s="297">
        <f>ROUND($O10*W10,0)</f>
        <v/>
      </c>
      <c r="AO10" s="297">
        <f>ROUND($O10*X10,0)</f>
        <v/>
      </c>
      <c r="AP10" s="298">
        <f>ROUND($O10*Y10,0)</f>
        <v/>
      </c>
      <c r="AQ10" s="298">
        <f>ROUND($O10*Z10,0)</f>
        <v/>
      </c>
      <c r="AR10" s="298">
        <f>ROUND($O10*AA10,0)</f>
        <v/>
      </c>
      <c r="AS10" s="298">
        <f>ROUND($O10*AB10,0)</f>
        <v/>
      </c>
      <c r="AT10" s="302">
        <f>ROUND($O10*AC10,0)</f>
        <v/>
      </c>
      <c r="AU10" s="302">
        <f>ROUND($O10*AD10,0)</f>
        <v/>
      </c>
      <c r="AV10" s="302">
        <f>ROUND($O10*AE10,0)</f>
        <v/>
      </c>
      <c r="AW10" s="302">
        <f>ROUND($O10*AF10,0)</f>
        <v/>
      </c>
      <c r="AX10" s="236">
        <f>SUM(AG10:AO10)</f>
        <v/>
      </c>
      <c r="AY10" s="231">
        <f>AX10/160</f>
        <v/>
      </c>
      <c r="AZ10" s="231">
        <f>VLOOKUP(I10,Listy!$A$1:$H$9,6,FALSE)</f>
        <v/>
      </c>
      <c r="BA10" s="690">
        <f>AY10*AZ10</f>
        <v/>
      </c>
      <c r="BB10" s="690">
        <f>AY10*BA10</f>
        <v/>
      </c>
      <c r="BC10" s="528" t="n"/>
      <c r="BD10" s="528" t="n"/>
      <c r="BE10" s="528" t="n"/>
      <c r="BF10" s="528" t="n"/>
      <c r="BG10" s="528" t="n"/>
      <c r="BI10" s="528" t="n"/>
      <c r="BJ10" s="528" t="n"/>
      <c r="BL10" s="528" t="n"/>
      <c r="BM10" s="528" t="n"/>
      <c r="BO10" s="528" t="n"/>
      <c r="BP10" s="528" t="n"/>
      <c r="BS10" s="528" t="n"/>
      <c r="BT10" s="528" t="n"/>
      <c r="BU10" s="528" t="n"/>
      <c r="BW10" s="528" t="n"/>
      <c r="BX10" s="528" t="n"/>
      <c r="BY10" s="528" t="n"/>
      <c r="CA10" s="528" t="n"/>
      <c r="CB10" s="528" t="n"/>
      <c r="CC10" s="528" t="n"/>
    </row>
    <row r="11" ht="15" customHeight="1" s="191">
      <c r="A11" s="604" t="n">
        <v>2</v>
      </c>
      <c r="C11" s="139" t="n">
        <v>-1</v>
      </c>
      <c r="D11" s="161">
        <f>CONCATENATE(A$1,"_",A11,"_",B11,"_",C11)</f>
        <v/>
      </c>
      <c r="E11" s="607" t="inlineStr">
        <is>
          <t xml:space="preserve">2.Projektowanie i matematyczne modelowanie PKZ </t>
        </is>
      </c>
      <c r="F11" s="190" t="n"/>
      <c r="G11" s="190" t="n"/>
      <c r="H11" s="528" t="n"/>
      <c r="I11" s="190" t="n"/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474">
        <f>ROUND(MAX(AG11:AO11)/Listy!$U$2,0)</f>
        <v/>
      </c>
      <c r="O11" s="190" t="n"/>
      <c r="P11" s="190" t="n"/>
      <c r="Q11" s="190" t="n"/>
      <c r="R11" s="190" t="n"/>
      <c r="S11" s="190" t="n"/>
      <c r="T11" s="190" t="n"/>
      <c r="U11" s="190" t="n"/>
      <c r="V11" s="190" t="n"/>
      <c r="W11" s="190" t="n"/>
      <c r="X11" s="190" t="n"/>
      <c r="Y11" s="190" t="n"/>
      <c r="Z11" s="190" t="n"/>
      <c r="AA11" s="190" t="n"/>
      <c r="AB11" s="190" t="n"/>
      <c r="AC11" s="190" t="n"/>
      <c r="AD11" s="190" t="n"/>
      <c r="AE11" s="190" t="n"/>
      <c r="AF11" s="190" t="n"/>
      <c r="AG11" s="190" t="n"/>
      <c r="AH11" s="190" t="n"/>
      <c r="AI11" s="190" t="n"/>
      <c r="AJ11" s="190" t="n"/>
      <c r="AK11" s="190" t="n"/>
      <c r="AL11" s="190" t="n"/>
      <c r="AM11" s="190" t="n"/>
      <c r="AN11" s="190" t="n"/>
      <c r="AO11" s="190" t="n"/>
      <c r="AP11" s="190" t="n"/>
      <c r="AQ11" s="190" t="n"/>
      <c r="AR11" s="190" t="n"/>
      <c r="AS11" s="190" t="n"/>
      <c r="AT11" s="190" t="n"/>
      <c r="AU11" s="190" t="n"/>
      <c r="AV11" s="190" t="n"/>
      <c r="AW11" s="190" t="n"/>
      <c r="AX11" s="190" t="n"/>
      <c r="AY11" s="190" t="n"/>
      <c r="AZ11" s="190" t="n"/>
      <c r="BA11" s="190" t="n"/>
      <c r="BB11" s="190" t="n"/>
      <c r="BC11" s="190" t="n"/>
      <c r="BD11" s="190" t="n"/>
      <c r="BE11" s="190" t="n"/>
      <c r="BF11" s="190" t="n"/>
      <c r="BG11" s="190" t="n"/>
      <c r="BH11" s="190" t="n"/>
      <c r="BI11" s="190" t="n"/>
      <c r="BJ11" s="190" t="n"/>
      <c r="BK11" s="190" t="n"/>
      <c r="BL11" s="190" t="n"/>
      <c r="BM11" s="190" t="n"/>
      <c r="BN11" s="190" t="n"/>
      <c r="BO11" s="190" t="n"/>
      <c r="BP11" s="190" t="n"/>
      <c r="BQ11" s="190" t="n"/>
      <c r="BR11" s="190" t="n"/>
      <c r="BS11" s="190" t="n"/>
      <c r="BT11" s="190" t="n"/>
      <c r="BU11" s="190" t="n"/>
      <c r="BV11" s="190" t="n"/>
      <c r="BW11" s="190" t="n"/>
      <c r="BX11" s="190" t="n"/>
      <c r="BY11" s="190" t="n"/>
      <c r="BZ11" s="190" t="n"/>
      <c r="CA11" s="190" t="n"/>
      <c r="CB11" s="190" t="n"/>
      <c r="CC11" s="190" t="n"/>
      <c r="CD11" s="190" t="n"/>
      <c r="CE11" s="190" t="n"/>
      <c r="CF11" s="190" t="n"/>
    </row>
    <row r="12" ht="15" customHeight="1" s="191">
      <c r="A12" s="528" t="n">
        <v>2</v>
      </c>
      <c r="B12" s="55" t="inlineStr">
        <is>
          <t>a</t>
        </is>
      </c>
      <c r="C12" s="139" t="n">
        <v>0</v>
      </c>
      <c r="D12" s="161">
        <f>CONCATENATE(A$1,"_",A12,"_",B12,"_",C12)</f>
        <v/>
      </c>
      <c r="E12" s="166" t="inlineStr">
        <is>
          <t>Zdefiniowanie parametrów wej./wyj. i kluczowych zdarzeń dyskretnych</t>
        </is>
      </c>
      <c r="F12" s="190" t="n"/>
      <c r="G12" s="190" t="n"/>
      <c r="H12" s="528" t="n"/>
      <c r="I12" s="190" t="n"/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474">
        <f>ROUND(MAX(AG12:AO12)/Listy!$U$2,0)</f>
        <v/>
      </c>
      <c r="O12" s="190" t="n"/>
      <c r="P12" s="190" t="n"/>
      <c r="Q12" s="190" t="n"/>
      <c r="R12" s="190" t="n"/>
      <c r="S12" s="190" t="n"/>
      <c r="T12" s="190" t="n"/>
      <c r="U12" s="190" t="n"/>
      <c r="V12" s="190" t="n"/>
      <c r="W12" s="190" t="n"/>
      <c r="X12" s="190" t="n"/>
      <c r="Y12" s="190" t="n"/>
      <c r="Z12" s="190" t="n"/>
      <c r="AA12" s="190" t="n"/>
      <c r="AB12" s="190" t="n"/>
      <c r="AC12" s="190" t="n"/>
      <c r="AD12" s="190" t="n"/>
      <c r="AE12" s="190" t="n"/>
      <c r="AF12" s="190" t="n"/>
      <c r="AG12" s="190" t="n"/>
      <c r="AH12" s="190" t="n"/>
      <c r="AI12" s="190" t="n"/>
      <c r="AJ12" s="190" t="n"/>
      <c r="AK12" s="190" t="n"/>
      <c r="AL12" s="190" t="n"/>
      <c r="AM12" s="190" t="n"/>
      <c r="AN12" s="190" t="n"/>
      <c r="AO12" s="190" t="n"/>
      <c r="AP12" s="190" t="n"/>
      <c r="AQ12" s="190" t="n"/>
      <c r="AR12" s="190" t="n"/>
      <c r="AS12" s="190" t="n"/>
      <c r="AT12" s="190" t="n"/>
      <c r="AU12" s="190" t="n"/>
      <c r="AV12" s="190" t="n"/>
      <c r="AW12" s="190" t="n"/>
      <c r="AX12" s="190" t="n"/>
      <c r="AY12" s="190" t="n"/>
      <c r="AZ12" s="190" t="n"/>
      <c r="BA12" s="190" t="n"/>
      <c r="BB12" s="190" t="n"/>
      <c r="BC12" s="190" t="n"/>
      <c r="BD12" s="190" t="n"/>
      <c r="BE12" s="190" t="n"/>
      <c r="BF12" s="190" t="n"/>
      <c r="BG12" s="190" t="n"/>
      <c r="BH12" s="190" t="n"/>
      <c r="BI12" s="190" t="n"/>
      <c r="BJ12" s="190" t="n"/>
      <c r="BK12" s="190" t="n"/>
      <c r="BL12" s="190" t="n"/>
      <c r="BM12" s="190" t="n"/>
      <c r="BN12" s="190" t="n"/>
      <c r="BO12" s="190" t="n"/>
      <c r="BP12" s="190" t="n"/>
      <c r="BQ12" s="190" t="n"/>
      <c r="BR12" s="190" t="n"/>
      <c r="BS12" s="190" t="n"/>
      <c r="BT12" s="190" t="n"/>
      <c r="BU12" s="190" t="n"/>
      <c r="BV12" s="190" t="n"/>
      <c r="BW12" s="190" t="n"/>
      <c r="BX12" s="190" t="n"/>
      <c r="BY12" s="190" t="n"/>
      <c r="BZ12" s="190" t="n"/>
      <c r="CA12" s="190" t="n"/>
      <c r="CB12" s="190" t="n"/>
      <c r="CC12" s="190" t="n"/>
      <c r="CD12" s="190" t="n"/>
      <c r="CE12" s="190" t="n"/>
      <c r="CF12" s="190" t="n"/>
    </row>
    <row r="13" ht="15" customHeight="1" s="191">
      <c r="A13" s="46" t="n">
        <v>2</v>
      </c>
      <c r="B13" s="385" t="inlineStr">
        <is>
          <t>a</t>
        </is>
      </c>
      <c r="C13" s="135" t="n">
        <v>1</v>
      </c>
      <c r="D13" s="160">
        <f>CONCATENATE(A$1,"_",A13,"_",B13,"_",C13)</f>
        <v/>
      </c>
      <c r="E13" s="167" t="inlineStr">
        <is>
          <t>Zdefiniowanie parametrów wejściowych</t>
        </is>
      </c>
      <c r="F13" s="528" t="n"/>
      <c r="G13" s="528" t="n"/>
      <c r="H13" s="45" t="n">
        <v>3</v>
      </c>
      <c r="I13" s="46" t="inlineStr">
        <is>
          <t>ACT/END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1</v>
      </c>
      <c r="O13" s="45" t="n">
        <v>80</v>
      </c>
      <c r="P13" s="242" t="n">
        <v>0.25</v>
      </c>
      <c r="Q13" s="242" t="n">
        <v>0.25</v>
      </c>
      <c r="R13" s="242" t="n">
        <v>0</v>
      </c>
      <c r="S13" s="242" t="n">
        <v>0</v>
      </c>
      <c r="T13" s="242" t="n"/>
      <c r="U13" s="242" t="n"/>
      <c r="V13" s="242" t="n"/>
      <c r="W13" s="242" t="n"/>
      <c r="X13" s="242" t="n"/>
      <c r="Y13" s="243" t="n">
        <v>0</v>
      </c>
      <c r="Z13" s="243" t="n">
        <v>0</v>
      </c>
      <c r="AA13" s="243" t="n">
        <v>0.5</v>
      </c>
      <c r="AB13" s="243" t="n">
        <v>0</v>
      </c>
      <c r="AC13" s="300" t="n"/>
      <c r="AD13" s="300" t="n"/>
      <c r="AE13" s="300" t="n"/>
      <c r="AF13" s="300" t="n"/>
      <c r="AG13" s="297">
        <f>ROUND($O13*P13,0)</f>
        <v/>
      </c>
      <c r="AH13" s="297">
        <f>ROUND($O13*Q13,0)</f>
        <v/>
      </c>
      <c r="AI13" s="297">
        <f>ROUND($O13*R13,0)</f>
        <v/>
      </c>
      <c r="AJ13" s="297">
        <f>ROUND($O13*S13,0)</f>
        <v/>
      </c>
      <c r="AK13" s="297">
        <f>ROUND($O13*T13,0)</f>
        <v/>
      </c>
      <c r="AL13" s="297">
        <f>ROUND($O13*U13,0)</f>
        <v/>
      </c>
      <c r="AM13" s="297">
        <f>ROUND($O13*V13,0)</f>
        <v/>
      </c>
      <c r="AN13" s="297">
        <f>ROUND($O13*W13,0)</f>
        <v/>
      </c>
      <c r="AO13" s="297">
        <f>ROUND($O13*X13,0)</f>
        <v/>
      </c>
      <c r="AP13" s="298">
        <f>ROUND($O13*Y13,0)</f>
        <v/>
      </c>
      <c r="AQ13" s="298">
        <f>ROUND($O13*Z13,0)</f>
        <v/>
      </c>
      <c r="AR13" s="298">
        <f>ROUND($O13*AA13,0)</f>
        <v/>
      </c>
      <c r="AS13" s="298">
        <f>ROUND($O13*AB13,0)</f>
        <v/>
      </c>
      <c r="AT13" s="302">
        <f>ROUND($O13*AC13,0)</f>
        <v/>
      </c>
      <c r="AU13" s="302">
        <f>ROUND($O13*AD13,0)</f>
        <v/>
      </c>
      <c r="AV13" s="302">
        <f>ROUND($O13*AE13,0)</f>
        <v/>
      </c>
      <c r="AW13" s="302">
        <f>ROUND($O13*AF13,0)</f>
        <v/>
      </c>
      <c r="AX13" s="236">
        <f>SUM(AG13:AO13)</f>
        <v/>
      </c>
      <c r="AY13" s="231">
        <f>AX13/160</f>
        <v/>
      </c>
      <c r="AZ13" s="231">
        <f>VLOOKUP(I13,Listy!$A$1:$H$9,6,FALSE)</f>
        <v/>
      </c>
      <c r="BA13" s="690">
        <f>AY13*AZ13</f>
        <v/>
      </c>
      <c r="BB13" s="690">
        <f>AY13*BA13</f>
        <v/>
      </c>
      <c r="BC13" s="528" t="n"/>
      <c r="BD13" s="528" t="n"/>
      <c r="BE13" s="528" t="n"/>
      <c r="BF13" s="528" t="n"/>
      <c r="BG13" s="528" t="n"/>
      <c r="BI13" s="528" t="n"/>
      <c r="BJ13" s="528" t="n"/>
      <c r="BL13" s="528" t="n"/>
      <c r="BM13" s="528" t="n"/>
      <c r="BO13" s="528" t="n"/>
      <c r="BP13" s="528" t="n"/>
      <c r="BS13" s="528" t="n"/>
      <c r="BT13" s="528" t="n"/>
      <c r="BU13" s="528" t="n"/>
      <c r="BW13" s="528" t="n"/>
      <c r="BX13" s="528" t="n"/>
      <c r="BY13" s="528" t="n"/>
      <c r="CA13" s="528" t="n"/>
      <c r="CB13" s="528" t="n"/>
      <c r="CC13" s="528" t="n"/>
    </row>
    <row r="14" ht="15" customHeight="1" s="191">
      <c r="A14" s="46" t="n">
        <v>2</v>
      </c>
      <c r="B14" s="385" t="inlineStr">
        <is>
          <t>a</t>
        </is>
      </c>
      <c r="C14" s="135" t="n">
        <v>2</v>
      </c>
      <c r="D14" s="160">
        <f>CONCATENATE(A$1,"_",A14,"_",B14,"_",C14)</f>
        <v/>
      </c>
      <c r="E14" s="167" t="inlineStr">
        <is>
          <t>Zdefiniowanie parametrów wyjściowych</t>
        </is>
      </c>
      <c r="F14" s="528" t="n"/>
      <c r="G14" s="528" t="n"/>
      <c r="H14" s="45" t="n">
        <v>3</v>
      </c>
      <c r="I14" s="46" t="inlineStr">
        <is>
          <t>ACT/END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 t="n">
        <v>0</v>
      </c>
      <c r="O14" s="45" t="n">
        <v>80</v>
      </c>
      <c r="P14" s="242" t="n">
        <v>0</v>
      </c>
      <c r="Q14" s="242" t="n">
        <v>0</v>
      </c>
      <c r="R14" s="242" t="n">
        <v>0.25</v>
      </c>
      <c r="S14" s="242" t="n">
        <v>0.25</v>
      </c>
      <c r="T14" s="242" t="n"/>
      <c r="U14" s="242" t="n"/>
      <c r="V14" s="242" t="n"/>
      <c r="W14" s="242" t="n"/>
      <c r="X14" s="242" t="n"/>
      <c r="Y14" s="243" t="n">
        <v>0</v>
      </c>
      <c r="Z14" s="243" t="n">
        <v>0.5</v>
      </c>
      <c r="AA14" s="243" t="n">
        <v>0</v>
      </c>
      <c r="AB14" s="243" t="n">
        <v>0</v>
      </c>
      <c r="AC14" s="300" t="n"/>
      <c r="AD14" s="300" t="n"/>
      <c r="AE14" s="300" t="n"/>
      <c r="AF14" s="300" t="n"/>
      <c r="AG14" s="297">
        <f>ROUND($O14*P14,0)</f>
        <v/>
      </c>
      <c r="AH14" s="297">
        <f>ROUND($O14*Q14,0)</f>
        <v/>
      </c>
      <c r="AI14" s="297">
        <f>ROUND($O14*R14,0)</f>
        <v/>
      </c>
      <c r="AJ14" s="297">
        <f>ROUND($O14*S14,0)</f>
        <v/>
      </c>
      <c r="AK14" s="297">
        <f>ROUND($O14*T14,0)</f>
        <v/>
      </c>
      <c r="AL14" s="297">
        <f>ROUND($O14*U14,0)</f>
        <v/>
      </c>
      <c r="AM14" s="297">
        <f>ROUND($O14*V14,0)</f>
        <v/>
      </c>
      <c r="AN14" s="297">
        <f>ROUND($O14*W14,0)</f>
        <v/>
      </c>
      <c r="AO14" s="297">
        <f>ROUND($O14*X14,0)</f>
        <v/>
      </c>
      <c r="AP14" s="298">
        <f>ROUND($O14*Y14,0)</f>
        <v/>
      </c>
      <c r="AQ14" s="298">
        <f>ROUND($O14*Z14,0)</f>
        <v/>
      </c>
      <c r="AR14" s="298">
        <f>ROUND($O14*AA14,0)</f>
        <v/>
      </c>
      <c r="AS14" s="298">
        <f>ROUND($O14*AB14,0)</f>
        <v/>
      </c>
      <c r="AT14" s="302">
        <f>ROUND($O14*AC14,0)</f>
        <v/>
      </c>
      <c r="AU14" s="302">
        <f>ROUND($O14*AD14,0)</f>
        <v/>
      </c>
      <c r="AV14" s="302">
        <f>ROUND($O14*AE14,0)</f>
        <v/>
      </c>
      <c r="AW14" s="302">
        <f>ROUND($O14*AF14,0)</f>
        <v/>
      </c>
      <c r="AX14" s="236">
        <f>SUM(AG14:AO14)</f>
        <v/>
      </c>
      <c r="AY14" s="231">
        <f>AX14/160</f>
        <v/>
      </c>
      <c r="AZ14" s="231">
        <f>VLOOKUP(I14,Listy!$A$1:$H$9,6,FALSE)</f>
        <v/>
      </c>
      <c r="BA14" s="690">
        <f>AY14*AZ14</f>
        <v/>
      </c>
      <c r="BB14" s="690">
        <f>AY14*BA14</f>
        <v/>
      </c>
      <c r="BC14" s="528" t="n"/>
      <c r="BD14" s="528" t="n"/>
      <c r="BE14" s="528" t="n"/>
      <c r="BF14" s="528" t="n"/>
      <c r="BG14" s="528" t="n"/>
      <c r="BI14" s="528" t="n"/>
      <c r="BJ14" s="528" t="n"/>
      <c r="BL14" s="528" t="n"/>
      <c r="BM14" s="528" t="n"/>
      <c r="BO14" s="528" t="n"/>
      <c r="BP14" s="528" t="n"/>
      <c r="BS14" s="528" t="n"/>
      <c r="BT14" s="528" t="n"/>
      <c r="BU14" s="528" t="n"/>
      <c r="BW14" s="528" t="n"/>
      <c r="BX14" s="528" t="n"/>
      <c r="BY14" s="528" t="n"/>
      <c r="CA14" s="528" t="n"/>
      <c r="CB14" s="528" t="n"/>
      <c r="CC14" s="528" t="n"/>
    </row>
    <row r="15" ht="15" customHeight="1" s="191">
      <c r="A15" s="46" t="n">
        <v>2</v>
      </c>
      <c r="B15" s="385" t="inlineStr">
        <is>
          <t>a</t>
        </is>
      </c>
      <c r="C15" s="135" t="n">
        <v>3</v>
      </c>
      <c r="D15" s="160">
        <f>CONCATENATE(A$1,"_",A15,"_",B15,"_",C15)</f>
        <v/>
      </c>
      <c r="E15" s="167" t="inlineStr">
        <is>
          <t>Badania eksploracyjne dostepnych danych</t>
        </is>
      </c>
      <c r="F15" s="528" t="n"/>
      <c r="G15" s="528" t="n"/>
      <c r="H15" s="133" t="n">
        <v>4</v>
      </c>
      <c r="I15" s="46" t="inlineStr">
        <is>
          <t>ACT/END</t>
        </is>
      </c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 t="n">
        <v>1</v>
      </c>
      <c r="O15" s="45" t="n">
        <v>160</v>
      </c>
      <c r="P15" s="242" t="n">
        <v>0.2</v>
      </c>
      <c r="Q15" s="242" t="n">
        <v>0.2</v>
      </c>
      <c r="R15" s="242" t="n">
        <v>0.2</v>
      </c>
      <c r="S15" s="242" t="n">
        <v>0.15</v>
      </c>
      <c r="T15" s="242" t="n"/>
      <c r="U15" s="242" t="n"/>
      <c r="V15" s="242" t="n"/>
      <c r="W15" s="242" t="n"/>
      <c r="X15" s="242" t="n"/>
      <c r="Y15" s="243" t="n">
        <v>0.25</v>
      </c>
      <c r="Z15" s="243" t="n">
        <v>0</v>
      </c>
      <c r="AA15" s="243" t="n">
        <v>0</v>
      </c>
      <c r="AB15" s="243" t="n">
        <v>0</v>
      </c>
      <c r="AC15" s="300" t="n"/>
      <c r="AD15" s="300" t="n"/>
      <c r="AE15" s="300" t="n"/>
      <c r="AF15" s="300" t="n"/>
      <c r="AG15" s="297">
        <f>ROUND($O15*P15,0)</f>
        <v/>
      </c>
      <c r="AH15" s="297">
        <f>ROUND($O15*Q15,0)</f>
        <v/>
      </c>
      <c r="AI15" s="297">
        <f>ROUND($O15*R15,0)</f>
        <v/>
      </c>
      <c r="AJ15" s="297">
        <f>ROUND($O15*S15,0)</f>
        <v/>
      </c>
      <c r="AK15" s="297">
        <f>ROUND($O15*T15,0)</f>
        <v/>
      </c>
      <c r="AL15" s="297">
        <f>ROUND($O15*U15,0)</f>
        <v/>
      </c>
      <c r="AM15" s="297">
        <f>ROUND($O15*V15,0)</f>
        <v/>
      </c>
      <c r="AN15" s="297">
        <f>ROUND($O15*W15,0)</f>
        <v/>
      </c>
      <c r="AO15" s="297">
        <f>ROUND($O15*X15,0)</f>
        <v/>
      </c>
      <c r="AP15" s="298">
        <f>ROUND($O15*Y15,0)</f>
        <v/>
      </c>
      <c r="AQ15" s="298">
        <f>ROUND($O15*Z15,0)</f>
        <v/>
      </c>
      <c r="AR15" s="298">
        <f>ROUND($O15*AA15,0)</f>
        <v/>
      </c>
      <c r="AS15" s="298">
        <f>ROUND($O15*AB15,0)</f>
        <v/>
      </c>
      <c r="AT15" s="302">
        <f>ROUND($O15*AC15,0)</f>
        <v/>
      </c>
      <c r="AU15" s="302">
        <f>ROUND($O15*AD15,0)</f>
        <v/>
      </c>
      <c r="AV15" s="302">
        <f>ROUND($O15*AE15,0)</f>
        <v/>
      </c>
      <c r="AW15" s="302">
        <f>ROUND($O15*AF15,0)</f>
        <v/>
      </c>
      <c r="AX15" s="236">
        <f>SUM(AG15:AO15)</f>
        <v/>
      </c>
      <c r="AY15" s="231">
        <f>AX15/160</f>
        <v/>
      </c>
      <c r="AZ15" s="231">
        <f>VLOOKUP(I15,Listy!$A$1:$H$9,6,FALSE)</f>
        <v/>
      </c>
      <c r="BA15" s="690">
        <f>AY15*AZ15</f>
        <v/>
      </c>
      <c r="BB15" s="690">
        <f>AY15*BA15</f>
        <v/>
      </c>
      <c r="BC15" s="528" t="n"/>
      <c r="BD15" s="528" t="n"/>
      <c r="BE15" s="528" t="n"/>
      <c r="BF15" s="528" t="n"/>
      <c r="BG15" s="528" t="n"/>
      <c r="BI15" s="528" t="n"/>
      <c r="BJ15" s="528" t="n"/>
      <c r="BL15" s="528" t="n"/>
      <c r="BM15" s="528" t="n"/>
      <c r="BO15" s="528" t="n"/>
      <c r="BP15" s="528" t="n"/>
      <c r="BS15" s="528" t="n"/>
      <c r="BT15" s="528" t="n"/>
      <c r="BU15" s="528" t="n"/>
      <c r="BW15" s="528" t="n"/>
      <c r="BX15" s="528" t="n"/>
      <c r="BY15" s="528" t="n"/>
      <c r="CA15" s="528" t="n"/>
      <c r="CB15" s="528" t="n"/>
      <c r="CC15" s="528" t="n"/>
    </row>
    <row r="16" ht="15" customHeight="1" s="191">
      <c r="A16" s="46" t="n">
        <v>2</v>
      </c>
      <c r="B16" s="385" t="inlineStr">
        <is>
          <t>a</t>
        </is>
      </c>
      <c r="C16" s="135" t="n">
        <v>4</v>
      </c>
      <c r="D16" s="160">
        <f>CONCATENATE(A$1,"_",A16,"_",B16,"_",C16)</f>
        <v/>
      </c>
      <c r="E16" s="167" t="inlineStr">
        <is>
          <t>Analiza jakościowa danych/określenie jakości danych</t>
        </is>
      </c>
      <c r="F16" s="528" t="n"/>
      <c r="G16" s="528" t="n"/>
      <c r="H16" s="133" t="n">
        <v>5</v>
      </c>
      <c r="I16" s="46" t="inlineStr">
        <is>
          <t>ACT/END</t>
        </is>
      </c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6" t="n">
        <v>0</v>
      </c>
      <c r="O16" s="45" t="n">
        <v>160</v>
      </c>
      <c r="P16" s="242" t="n">
        <v>0.2</v>
      </c>
      <c r="Q16" s="242" t="n">
        <v>0.2</v>
      </c>
      <c r="R16" s="242" t="n">
        <v>0.15</v>
      </c>
      <c r="S16" s="242" t="n">
        <v>0.2</v>
      </c>
      <c r="T16" s="242" t="n"/>
      <c r="U16" s="242" t="n"/>
      <c r="V16" s="242" t="n"/>
      <c r="W16" s="242" t="n"/>
      <c r="X16" s="242" t="n"/>
      <c r="Y16" s="243" t="n">
        <v>0</v>
      </c>
      <c r="Z16" s="243" t="n">
        <v>0</v>
      </c>
      <c r="AA16" s="243" t="n">
        <v>0.25</v>
      </c>
      <c r="AB16" s="243" t="n">
        <v>0</v>
      </c>
      <c r="AC16" s="300" t="n"/>
      <c r="AD16" s="300" t="n"/>
      <c r="AE16" s="300" t="n"/>
      <c r="AF16" s="300" t="n"/>
      <c r="AG16" s="297">
        <f>ROUND($O16*P16,0)</f>
        <v/>
      </c>
      <c r="AH16" s="297">
        <f>ROUND($O16*Q16,0)</f>
        <v/>
      </c>
      <c r="AI16" s="297">
        <f>ROUND($O16*R16,0)</f>
        <v/>
      </c>
      <c r="AJ16" s="297">
        <f>ROUND($O16*S16,0)</f>
        <v/>
      </c>
      <c r="AK16" s="297">
        <f>ROUND($O16*T16,0)</f>
        <v/>
      </c>
      <c r="AL16" s="297">
        <f>ROUND($O16*U16,0)</f>
        <v/>
      </c>
      <c r="AM16" s="297">
        <f>ROUND($O16*V16,0)</f>
        <v/>
      </c>
      <c r="AN16" s="297">
        <f>ROUND($O16*W16,0)</f>
        <v/>
      </c>
      <c r="AO16" s="297">
        <f>ROUND($O16*X16,0)</f>
        <v/>
      </c>
      <c r="AP16" s="298">
        <f>ROUND($O16*Y16,0)</f>
        <v/>
      </c>
      <c r="AQ16" s="298">
        <f>ROUND($O16*Z16,0)</f>
        <v/>
      </c>
      <c r="AR16" s="298">
        <f>ROUND($O16*AA16,0)</f>
        <v/>
      </c>
      <c r="AS16" s="298">
        <f>ROUND($O16*AB16,0)</f>
        <v/>
      </c>
      <c r="AT16" s="302">
        <f>ROUND($O16*AC16,0)</f>
        <v/>
      </c>
      <c r="AU16" s="302">
        <f>ROUND($O16*AD16,0)</f>
        <v/>
      </c>
      <c r="AV16" s="302">
        <f>ROUND($O16*AE16,0)</f>
        <v/>
      </c>
      <c r="AW16" s="302">
        <f>ROUND($O16*AF16,0)</f>
        <v/>
      </c>
      <c r="AX16" s="236">
        <f>SUM(AG16:AO16)</f>
        <v/>
      </c>
      <c r="AY16" s="231">
        <f>AX16/160</f>
        <v/>
      </c>
      <c r="AZ16" s="231">
        <f>VLOOKUP(I16,Listy!$A$1:$H$9,6,FALSE)</f>
        <v/>
      </c>
      <c r="BA16" s="690">
        <f>AY16*AZ16</f>
        <v/>
      </c>
      <c r="BB16" s="690">
        <f>AY16*BA16</f>
        <v/>
      </c>
      <c r="BC16" s="528" t="n"/>
      <c r="BD16" s="528" t="n"/>
      <c r="BE16" s="528" t="n"/>
      <c r="BF16" s="528" t="n"/>
      <c r="BG16" s="528" t="n"/>
      <c r="BI16" s="528" t="n"/>
      <c r="BJ16" s="528" t="n"/>
      <c r="BL16" s="528" t="n"/>
      <c r="BM16" s="528" t="n"/>
      <c r="BO16" s="528" t="n"/>
      <c r="BP16" s="528" t="n"/>
      <c r="BS16" s="528" t="n"/>
      <c r="BT16" s="528" t="n"/>
      <c r="BU16" s="528" t="n"/>
      <c r="BW16" s="528" t="n"/>
      <c r="BX16" s="528" t="n"/>
      <c r="BY16" s="528" t="n"/>
      <c r="CA16" s="528" t="n"/>
      <c r="CB16" s="528" t="n"/>
      <c r="CC16" s="528" t="n"/>
    </row>
    <row r="17" ht="15" customHeight="1" s="191">
      <c r="A17" s="46" t="n">
        <v>2</v>
      </c>
      <c r="B17" s="385" t="inlineStr">
        <is>
          <t>a</t>
        </is>
      </c>
      <c r="C17" s="135" t="n">
        <v>5</v>
      </c>
      <c r="D17" s="160">
        <f>CONCATENATE(A$1,"_",A17,"_",B17,"_",C17)</f>
        <v/>
      </c>
      <c r="E17" s="167" t="inlineStr">
        <is>
          <t xml:space="preserve">Zdefiniowanie relacji i korelacji  danych </t>
        </is>
      </c>
      <c r="F17" s="528" t="n"/>
      <c r="G17" s="528" t="n"/>
      <c r="H17" s="133" t="n">
        <v>6</v>
      </c>
      <c r="I17" s="46" t="inlineStr">
        <is>
          <t>ACT/END</t>
        </is>
      </c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 t="n">
        <v>1</v>
      </c>
      <c r="O17" s="45" t="n">
        <v>120</v>
      </c>
      <c r="P17" s="242" t="n">
        <v>0.17</v>
      </c>
      <c r="Q17" s="242" t="n">
        <v>0.17</v>
      </c>
      <c r="R17" s="242" t="n">
        <v>0.17</v>
      </c>
      <c r="S17" s="242" t="n">
        <v>0.16</v>
      </c>
      <c r="T17" s="242" t="n"/>
      <c r="U17" s="242" t="n"/>
      <c r="V17" s="242" t="n"/>
      <c r="W17" s="242" t="n"/>
      <c r="X17" s="242" t="n"/>
      <c r="Y17" s="243" t="n">
        <v>0</v>
      </c>
      <c r="Z17" s="243" t="n">
        <v>0.333</v>
      </c>
      <c r="AA17" s="243" t="n">
        <v>0</v>
      </c>
      <c r="AB17" s="243" t="n">
        <v>0</v>
      </c>
      <c r="AC17" s="300" t="n"/>
      <c r="AD17" s="300" t="n"/>
      <c r="AE17" s="300" t="n"/>
      <c r="AF17" s="300" t="n"/>
      <c r="AG17" s="297">
        <f>ROUND($O17*P17,0)</f>
        <v/>
      </c>
      <c r="AH17" s="297">
        <f>ROUND($O17*Q17,0)</f>
        <v/>
      </c>
      <c r="AI17" s="297">
        <f>ROUND($O17*R17,0)</f>
        <v/>
      </c>
      <c r="AJ17" s="297">
        <f>ROUND($O17*S17,0)</f>
        <v/>
      </c>
      <c r="AK17" s="297">
        <f>ROUND($O17*T17,0)</f>
        <v/>
      </c>
      <c r="AL17" s="297">
        <f>ROUND($O17*U17,0)</f>
        <v/>
      </c>
      <c r="AM17" s="297">
        <f>ROUND($O17*V17,0)</f>
        <v/>
      </c>
      <c r="AN17" s="297">
        <f>ROUND($O17*W17,0)</f>
        <v/>
      </c>
      <c r="AO17" s="297">
        <f>ROUND($O17*X17,0)</f>
        <v/>
      </c>
      <c r="AP17" s="298">
        <f>ROUND($O17*Y17,0)</f>
        <v/>
      </c>
      <c r="AQ17" s="298">
        <f>ROUND($O17*Z17,0)</f>
        <v/>
      </c>
      <c r="AR17" s="298">
        <f>ROUND($O17*AA17,0)</f>
        <v/>
      </c>
      <c r="AS17" s="298">
        <f>ROUND($O17*AB17,0)</f>
        <v/>
      </c>
      <c r="AT17" s="302">
        <f>ROUND($O17*AC17,0)</f>
        <v/>
      </c>
      <c r="AU17" s="302">
        <f>ROUND($O17*AD17,0)</f>
        <v/>
      </c>
      <c r="AV17" s="302">
        <f>ROUND($O17*AE17,0)</f>
        <v/>
      </c>
      <c r="AW17" s="302">
        <f>ROUND($O17*AF17,0)</f>
        <v/>
      </c>
      <c r="AX17" s="236">
        <f>SUM(AG17:AO17)</f>
        <v/>
      </c>
      <c r="AY17" s="231">
        <f>AX17/160</f>
        <v/>
      </c>
      <c r="AZ17" s="231">
        <f>VLOOKUP(I17,Listy!$A$1:$H$9,6,FALSE)</f>
        <v/>
      </c>
      <c r="BA17" s="690">
        <f>AY17*AZ17</f>
        <v/>
      </c>
      <c r="BB17" s="690">
        <f>AY17*BA17</f>
        <v/>
      </c>
      <c r="BC17" s="528" t="n"/>
      <c r="BD17" s="528" t="n"/>
      <c r="BE17" s="528" t="n"/>
      <c r="BF17" s="528" t="n"/>
      <c r="BG17" s="528" t="n"/>
      <c r="BI17" s="528" t="n"/>
      <c r="BJ17" s="528" t="n"/>
      <c r="BL17" s="528" t="n"/>
      <c r="BM17" s="528" t="n"/>
      <c r="BO17" s="528" t="n"/>
      <c r="BP17" s="528" t="n"/>
      <c r="BS17" s="528" t="n"/>
      <c r="BT17" s="528" t="n"/>
      <c r="BU17" s="528" t="n"/>
      <c r="BW17" s="528" t="n"/>
      <c r="BX17" s="528" t="n"/>
      <c r="BY17" s="528" t="n"/>
      <c r="CA17" s="528" t="n"/>
      <c r="CB17" s="528" t="n"/>
      <c r="CC17" s="528" t="n"/>
    </row>
    <row r="18" ht="15" customHeight="1" s="191">
      <c r="A18" s="46" t="n">
        <v>2</v>
      </c>
      <c r="B18" s="385" t="inlineStr">
        <is>
          <t>a</t>
        </is>
      </c>
      <c r="C18" s="135" t="n">
        <v>6</v>
      </c>
      <c r="D18" s="160">
        <f>CONCATENATE(A$1,"_",A18,"_",B18,"_",C18)</f>
        <v/>
      </c>
      <c r="E18" s="167" t="inlineStr">
        <is>
          <t>Wybór danych do procesu tworzenia modelu</t>
        </is>
      </c>
      <c r="F18" s="528" t="n"/>
      <c r="G18" s="528" t="n"/>
      <c r="H18" s="133" t="n">
        <v>7</v>
      </c>
      <c r="I18" s="46" t="inlineStr">
        <is>
          <t>ACT/END</t>
        </is>
      </c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6" t="n">
        <v>0</v>
      </c>
      <c r="O18" s="45" t="n">
        <v>120</v>
      </c>
      <c r="P18" s="242" t="n">
        <v>0.17</v>
      </c>
      <c r="Q18" s="242" t="n">
        <v>0.17</v>
      </c>
      <c r="R18" s="242" t="n">
        <v>0.16</v>
      </c>
      <c r="S18" s="242" t="n">
        <v>0.163</v>
      </c>
      <c r="T18" s="242" t="n"/>
      <c r="U18" s="242" t="n"/>
      <c r="V18" s="242" t="n"/>
      <c r="W18" s="242" t="n"/>
      <c r="X18" s="242" t="n"/>
      <c r="Y18" s="243" t="n">
        <v>0.333</v>
      </c>
      <c r="Z18" s="243" t="n">
        <v>0</v>
      </c>
      <c r="AA18" s="243" t="n">
        <v>0</v>
      </c>
      <c r="AB18" s="243" t="n">
        <v>0</v>
      </c>
      <c r="AC18" s="300" t="n"/>
      <c r="AD18" s="300" t="n"/>
      <c r="AE18" s="300" t="n"/>
      <c r="AF18" s="300" t="n"/>
      <c r="AG18" s="297">
        <f>ROUND($O18*P18,0)</f>
        <v/>
      </c>
      <c r="AH18" s="297">
        <f>ROUND($O18*Q18,0)</f>
        <v/>
      </c>
      <c r="AI18" s="297">
        <f>ROUND($O18*R18,0)</f>
        <v/>
      </c>
      <c r="AJ18" s="297">
        <f>ROUND($O18*S18,0)</f>
        <v/>
      </c>
      <c r="AK18" s="297">
        <f>ROUND($O18*T18,0)</f>
        <v/>
      </c>
      <c r="AL18" s="297">
        <f>ROUND($O18*U18,0)</f>
        <v/>
      </c>
      <c r="AM18" s="297">
        <f>ROUND($O18*V18,0)</f>
        <v/>
      </c>
      <c r="AN18" s="297">
        <f>ROUND($O18*W18,0)</f>
        <v/>
      </c>
      <c r="AO18" s="297">
        <f>ROUND($O18*X18,0)</f>
        <v/>
      </c>
      <c r="AP18" s="298">
        <f>ROUND($O18*Y18,0)</f>
        <v/>
      </c>
      <c r="AQ18" s="298">
        <f>ROUND($O18*Z18,0)</f>
        <v/>
      </c>
      <c r="AR18" s="298">
        <f>ROUND($O18*AA18,0)</f>
        <v/>
      </c>
      <c r="AS18" s="298">
        <f>ROUND($O18*AB18,0)</f>
        <v/>
      </c>
      <c r="AT18" s="302">
        <f>ROUND($O18*AC18,0)</f>
        <v/>
      </c>
      <c r="AU18" s="302">
        <f>ROUND($O18*AD18,0)</f>
        <v/>
      </c>
      <c r="AV18" s="302">
        <f>ROUND($O18*AE18,0)</f>
        <v/>
      </c>
      <c r="AW18" s="302">
        <f>ROUND($O18*AF18,0)</f>
        <v/>
      </c>
      <c r="AX18" s="236">
        <f>SUM(AG18:AO18)</f>
        <v/>
      </c>
      <c r="AY18" s="231">
        <f>AX18/160</f>
        <v/>
      </c>
      <c r="AZ18" s="231">
        <f>VLOOKUP(I18,Listy!$A$1:$H$9,6,FALSE)</f>
        <v/>
      </c>
      <c r="BA18" s="690">
        <f>AY18*AZ18</f>
        <v/>
      </c>
      <c r="BB18" s="690">
        <f>AY18*BA18</f>
        <v/>
      </c>
      <c r="BC18" s="528" t="n"/>
      <c r="BD18" s="528" t="n"/>
      <c r="BE18" s="528" t="n"/>
      <c r="BF18" s="528" t="n"/>
      <c r="BG18" s="528" t="n"/>
      <c r="BI18" s="528" t="n"/>
      <c r="BJ18" s="528" t="n"/>
      <c r="BL18" s="528" t="n"/>
      <c r="BM18" s="528" t="n"/>
      <c r="BO18" s="528" t="n"/>
      <c r="BP18" s="528" t="n"/>
      <c r="BS18" s="528" t="n"/>
      <c r="BT18" s="528" t="n"/>
      <c r="BU18" s="528" t="n"/>
      <c r="BW18" s="528" t="n"/>
      <c r="BX18" s="528" t="n"/>
      <c r="BY18" s="528" t="n"/>
      <c r="CA18" s="528" t="n"/>
      <c r="CB18" s="528" t="n"/>
      <c r="CC18" s="528" t="n"/>
    </row>
    <row r="19" ht="15" customHeight="1" s="191">
      <c r="A19" s="46" t="n">
        <v>2</v>
      </c>
      <c r="B19" s="385" t="inlineStr">
        <is>
          <t>a</t>
        </is>
      </c>
      <c r="C19" s="135" t="n">
        <v>7</v>
      </c>
      <c r="D19" s="160">
        <f>CONCATENATE(A$1,"_",A19,"_",B19,"_",C19)</f>
        <v/>
      </c>
      <c r="E19" s="167" t="inlineStr">
        <is>
          <t>Wybór danych do procesu ewaluacji modelu</t>
        </is>
      </c>
      <c r="F19" s="528" t="n"/>
      <c r="G19" s="528" t="n"/>
      <c r="H19" s="133" t="n">
        <v>8</v>
      </c>
      <c r="I19" s="46" t="inlineStr">
        <is>
          <t>ACT/END</t>
        </is>
      </c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 t="n">
        <v>1</v>
      </c>
      <c r="O19" s="45" t="n">
        <v>120</v>
      </c>
      <c r="P19" s="242" t="n">
        <v>0.17</v>
      </c>
      <c r="Q19" s="242" t="n">
        <v>0.16</v>
      </c>
      <c r="R19" s="242" t="n">
        <v>0.17</v>
      </c>
      <c r="S19" s="242" t="n">
        <v>0.17</v>
      </c>
      <c r="T19" s="242" t="n"/>
      <c r="U19" s="242" t="n"/>
      <c r="V19" s="242" t="n"/>
      <c r="W19" s="242" t="n"/>
      <c r="X19" s="242" t="n"/>
      <c r="Y19" s="243" t="n">
        <v>0</v>
      </c>
      <c r="Z19" s="243" t="n">
        <v>0.333</v>
      </c>
      <c r="AA19" s="243" t="n">
        <v>0</v>
      </c>
      <c r="AB19" s="243" t="n">
        <v>0</v>
      </c>
      <c r="AC19" s="300" t="n"/>
      <c r="AD19" s="300" t="n"/>
      <c r="AE19" s="300" t="n"/>
      <c r="AF19" s="300" t="n"/>
      <c r="AG19" s="297">
        <f>ROUND($O19*P19,0)</f>
        <v/>
      </c>
      <c r="AH19" s="297">
        <f>ROUND($O19*Q19,0)</f>
        <v/>
      </c>
      <c r="AI19" s="297">
        <f>ROUND($O19*R19,0)</f>
        <v/>
      </c>
      <c r="AJ19" s="297">
        <f>ROUND($O19*S19,0)</f>
        <v/>
      </c>
      <c r="AK19" s="297">
        <f>ROUND($O19*T19,0)</f>
        <v/>
      </c>
      <c r="AL19" s="297">
        <f>ROUND($O19*U19,0)</f>
        <v/>
      </c>
      <c r="AM19" s="297">
        <f>ROUND($O19*V19,0)</f>
        <v/>
      </c>
      <c r="AN19" s="297">
        <f>ROUND($O19*W19,0)</f>
        <v/>
      </c>
      <c r="AO19" s="297">
        <f>ROUND($O19*X19,0)</f>
        <v/>
      </c>
      <c r="AP19" s="298">
        <f>ROUND($O19*Y19,0)</f>
        <v/>
      </c>
      <c r="AQ19" s="298">
        <f>ROUND($O19*Z19,0)</f>
        <v/>
      </c>
      <c r="AR19" s="298">
        <f>ROUND($O19*AA19,0)</f>
        <v/>
      </c>
      <c r="AS19" s="298">
        <f>ROUND($O19*AB19,0)</f>
        <v/>
      </c>
      <c r="AT19" s="302">
        <f>ROUND($O19*AC19,0)</f>
        <v/>
      </c>
      <c r="AU19" s="302">
        <f>ROUND($O19*AD19,0)</f>
        <v/>
      </c>
      <c r="AV19" s="302">
        <f>ROUND($O19*AE19,0)</f>
        <v/>
      </c>
      <c r="AW19" s="302">
        <f>ROUND($O19*AF19,0)</f>
        <v/>
      </c>
      <c r="AX19" s="236">
        <f>SUM(AG19:AO19)</f>
        <v/>
      </c>
      <c r="AY19" s="231">
        <f>AX19/160</f>
        <v/>
      </c>
      <c r="AZ19" s="231">
        <f>VLOOKUP(I19,Listy!$A$1:$H$9,6,FALSE)</f>
        <v/>
      </c>
      <c r="BA19" s="690">
        <f>AY19*AZ19</f>
        <v/>
      </c>
      <c r="BB19" s="690">
        <f>AY19*BA19</f>
        <v/>
      </c>
      <c r="BC19" s="528" t="n"/>
      <c r="BD19" s="528" t="n"/>
      <c r="BE19" s="528" t="n"/>
      <c r="BF19" s="528" t="n"/>
      <c r="BG19" s="528" t="n"/>
      <c r="BH19" s="528">
        <f>BF19*BG19</f>
        <v/>
      </c>
      <c r="BI19" s="528" t="n"/>
      <c r="BJ19" s="528" t="n"/>
      <c r="BK19" s="528">
        <f>BI19*BJ19</f>
        <v/>
      </c>
      <c r="BL19" s="528" t="n"/>
      <c r="BM19" s="528" t="n"/>
      <c r="BN19" s="528">
        <f>BL19*BM19</f>
        <v/>
      </c>
      <c r="BO19" s="528" t="n"/>
      <c r="BP19" s="528" t="n"/>
      <c r="BQ19" s="528">
        <f>BO19*BP19</f>
        <v/>
      </c>
      <c r="BR19" s="528">
        <f>BP19*BQ19</f>
        <v/>
      </c>
      <c r="BS19" s="528" t="n"/>
      <c r="BT19" s="528" t="n"/>
      <c r="BU19" s="528" t="n"/>
      <c r="BV19" s="528">
        <f>BT19*BU19</f>
        <v/>
      </c>
      <c r="BW19" s="528" t="n"/>
      <c r="BX19" s="528" t="n"/>
      <c r="BY19" s="528" t="n"/>
      <c r="BZ19" s="528">
        <f>BX19*BY19</f>
        <v/>
      </c>
      <c r="CA19" s="528" t="n"/>
      <c r="CB19" s="528" t="n"/>
      <c r="CC19" s="528" t="n"/>
      <c r="CD19" s="528">
        <f>CB19*CC19</f>
        <v/>
      </c>
    </row>
    <row r="20" ht="15" customHeight="1" s="191">
      <c r="A20" s="46" t="n">
        <v>2</v>
      </c>
      <c r="B20" s="385" t="inlineStr">
        <is>
          <t>a</t>
        </is>
      </c>
      <c r="C20" s="135" t="n">
        <v>8</v>
      </c>
      <c r="D20" s="160">
        <f>CONCATENATE(A$1,"_",A20,"_",B20,"_",C20)</f>
        <v/>
      </c>
      <c r="E20" s="167" t="inlineStr">
        <is>
          <t>Modelowanie i przekształenie danych na potrzeby tworzenia modeli</t>
        </is>
      </c>
      <c r="F20" s="528" t="n"/>
      <c r="G20" s="528" t="n"/>
      <c r="H20" s="133" t="n">
        <v>9</v>
      </c>
      <c r="I20" s="455" t="inlineStr">
        <is>
          <t>END</t>
        </is>
      </c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6" t="n">
        <v>0</v>
      </c>
      <c r="O20" s="45" t="n">
        <v>80</v>
      </c>
      <c r="P20" s="242" t="n">
        <v>0.25</v>
      </c>
      <c r="Q20" s="242" t="n">
        <v>0.25</v>
      </c>
      <c r="R20" s="242" t="n">
        <v>0</v>
      </c>
      <c r="S20" s="242" t="n">
        <v>0</v>
      </c>
      <c r="T20" s="242" t="n"/>
      <c r="U20" s="242" t="n"/>
      <c r="V20" s="242" t="n"/>
      <c r="W20" s="242" t="n"/>
      <c r="X20" s="242" t="n"/>
      <c r="Y20" s="243" t="n">
        <v>0</v>
      </c>
      <c r="Z20" s="243" t="n">
        <v>0</v>
      </c>
      <c r="AA20" s="243" t="n">
        <v>0.5</v>
      </c>
      <c r="AB20" s="243" t="n">
        <v>0</v>
      </c>
      <c r="AC20" s="300" t="n"/>
      <c r="AD20" s="300" t="n"/>
      <c r="AE20" s="300" t="n"/>
      <c r="AF20" s="300" t="n"/>
      <c r="AG20" s="297">
        <f>ROUND($O20*P20,0)</f>
        <v/>
      </c>
      <c r="AH20" s="297">
        <f>ROUND($O20*Q20,0)</f>
        <v/>
      </c>
      <c r="AI20" s="297">
        <f>ROUND($O20*R20,0)</f>
        <v/>
      </c>
      <c r="AJ20" s="297">
        <f>ROUND($O20*S20,0)</f>
        <v/>
      </c>
      <c r="AK20" s="297">
        <f>ROUND($O20*T20,0)</f>
        <v/>
      </c>
      <c r="AL20" s="297">
        <f>ROUND($O20*U20,0)</f>
        <v/>
      </c>
      <c r="AM20" s="297">
        <f>ROUND($O20*V20,0)</f>
        <v/>
      </c>
      <c r="AN20" s="297">
        <f>ROUND($O20*W20,0)</f>
        <v/>
      </c>
      <c r="AO20" s="297">
        <f>ROUND($O20*X20,0)</f>
        <v/>
      </c>
      <c r="AP20" s="298">
        <f>ROUND($O20*Y20,0)</f>
        <v/>
      </c>
      <c r="AQ20" s="298">
        <f>ROUND($O20*Z20,0)</f>
        <v/>
      </c>
      <c r="AR20" s="298">
        <f>ROUND($O20*AA20,0)</f>
        <v/>
      </c>
      <c r="AS20" s="298">
        <f>ROUND($O20*AB20,0)</f>
        <v/>
      </c>
      <c r="AT20" s="302">
        <f>ROUND($O20*AC20,0)</f>
        <v/>
      </c>
      <c r="AU20" s="302">
        <f>ROUND($O20*AD20,0)</f>
        <v/>
      </c>
      <c r="AV20" s="302">
        <f>ROUND($O20*AE20,0)</f>
        <v/>
      </c>
      <c r="AW20" s="302">
        <f>ROUND($O20*AF20,0)</f>
        <v/>
      </c>
      <c r="AX20" s="236">
        <f>SUM(AG20:AO20)</f>
        <v/>
      </c>
      <c r="AY20" s="231">
        <f>AX20/160</f>
        <v/>
      </c>
      <c r="AZ20" s="231">
        <f>VLOOKUP(I20,Listy!$A$1:$H$9,6,FALSE)</f>
        <v/>
      </c>
      <c r="BA20" s="690">
        <f>AY20*AZ20</f>
        <v/>
      </c>
      <c r="BB20" s="690">
        <f>AY20*BA20</f>
        <v/>
      </c>
      <c r="BC20" s="528" t="n"/>
      <c r="BD20" s="528" t="n"/>
      <c r="BE20" s="528" t="n"/>
      <c r="BF20" s="528" t="n"/>
      <c r="BG20" s="528" t="n"/>
      <c r="BI20" s="528" t="n"/>
      <c r="BJ20" s="528" t="n"/>
      <c r="BL20" s="528" t="n"/>
      <c r="BM20" s="528" t="n"/>
      <c r="BO20" s="528" t="n"/>
      <c r="BP20" s="528" t="n"/>
      <c r="BS20" s="528" t="n"/>
      <c r="BT20" s="528" t="n"/>
      <c r="BU20" s="528" t="n"/>
      <c r="BW20" s="528" t="n"/>
      <c r="BX20" s="528" t="n"/>
      <c r="BY20" s="528" t="n"/>
      <c r="CA20" s="528" t="n"/>
      <c r="CB20" s="528" t="n"/>
      <c r="CC20" s="528" t="n"/>
    </row>
    <row r="21" ht="15" customHeight="1" s="191">
      <c r="A21" s="528" t="n">
        <v>2</v>
      </c>
      <c r="B21" s="55" t="inlineStr">
        <is>
          <t>b</t>
        </is>
      </c>
      <c r="C21" s="139" t="n">
        <v>1</v>
      </c>
      <c r="D21" s="160">
        <f>CONCATENATE(A$1,"_",A21,"_",B21,"_",C21)</f>
        <v/>
      </c>
      <c r="E21" s="526" t="inlineStr">
        <is>
          <t>Zbadanie interakcji - Strefa Kompletacji (SK) vs inne strefy magazynu</t>
        </is>
      </c>
      <c r="F21" s="528" t="n"/>
      <c r="G21" s="528" t="n"/>
      <c r="H21" s="140" t="n">
        <v>9</v>
      </c>
      <c r="I21" s="51" t="inlineStr">
        <is>
          <t>ACT</t>
        </is>
      </c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4" t="n">
        <v>2</v>
      </c>
      <c r="O21" s="45" t="n">
        <v>160</v>
      </c>
      <c r="P21" s="242" t="n">
        <v>0</v>
      </c>
      <c r="Q21" s="242" t="n">
        <v>0</v>
      </c>
      <c r="R21" s="242" t="n">
        <v>0.5</v>
      </c>
      <c r="S21" s="242" t="n">
        <v>0.5</v>
      </c>
      <c r="T21" s="242" t="n"/>
      <c r="U21" s="242" t="n"/>
      <c r="V21" s="242" t="n"/>
      <c r="W21" s="242" t="n"/>
      <c r="X21" s="242" t="n"/>
      <c r="Y21" s="243" t="n">
        <v>0</v>
      </c>
      <c r="Z21" s="243" t="n">
        <v>0</v>
      </c>
      <c r="AA21" s="243" t="n">
        <v>0</v>
      </c>
      <c r="AB21" s="243" t="n">
        <v>0</v>
      </c>
      <c r="AC21" s="300" t="n"/>
      <c r="AD21" s="300" t="n"/>
      <c r="AE21" s="300" t="n"/>
      <c r="AF21" s="300" t="n"/>
      <c r="AG21" s="297">
        <f>ROUND($O21*P21,0)</f>
        <v/>
      </c>
      <c r="AH21" s="297">
        <f>ROUND($O21*Q21,0)</f>
        <v/>
      </c>
      <c r="AI21" s="297">
        <f>ROUND($O21*R21,0)</f>
        <v/>
      </c>
      <c r="AJ21" s="297">
        <f>ROUND($O21*S21,0)</f>
        <v/>
      </c>
      <c r="AK21" s="297">
        <f>ROUND($O21*T21,0)</f>
        <v/>
      </c>
      <c r="AL21" s="297">
        <f>ROUND($O21*U21,0)</f>
        <v/>
      </c>
      <c r="AM21" s="297">
        <f>ROUND($O21*V21,0)</f>
        <v/>
      </c>
      <c r="AN21" s="297">
        <f>ROUND($O21*W21,0)</f>
        <v/>
      </c>
      <c r="AO21" s="297">
        <f>ROUND($O21*X21,0)</f>
        <v/>
      </c>
      <c r="AP21" s="298">
        <f>ROUND($O21*Y21,0)</f>
        <v/>
      </c>
      <c r="AQ21" s="298">
        <f>ROUND($O21*Z21,0)</f>
        <v/>
      </c>
      <c r="AR21" s="298">
        <f>ROUND($O21*AA21,0)</f>
        <v/>
      </c>
      <c r="AS21" s="298">
        <f>ROUND($O21*AB21,0)</f>
        <v/>
      </c>
      <c r="AT21" s="302">
        <f>ROUND($O21*AC21,0)</f>
        <v/>
      </c>
      <c r="AU21" s="302">
        <f>ROUND($O21*AD21,0)</f>
        <v/>
      </c>
      <c r="AV21" s="302">
        <f>ROUND($O21*AE21,0)</f>
        <v/>
      </c>
      <c r="AW21" s="302">
        <f>ROUND($O21*AF21,0)</f>
        <v/>
      </c>
      <c r="AX21" s="236">
        <f>SUM(AG21:AO21)</f>
        <v/>
      </c>
      <c r="AY21" s="231">
        <f>AX21/160</f>
        <v/>
      </c>
      <c r="AZ21" s="231">
        <f>VLOOKUP(I21,Listy!$A$1:$H$9,6,FALSE)</f>
        <v/>
      </c>
      <c r="BA21" s="690">
        <f>AY21*AZ21</f>
        <v/>
      </c>
      <c r="BB21" s="690">
        <f>AY21*BA21</f>
        <v/>
      </c>
      <c r="BC21" s="528" t="n"/>
      <c r="BD21" s="528" t="n"/>
      <c r="BE21" s="528" t="n"/>
      <c r="BF21" s="528" t="n"/>
      <c r="BG21" s="528" t="n"/>
      <c r="BI21" s="528" t="n"/>
      <c r="BJ21" s="528" t="n"/>
      <c r="BL21" s="528" t="n"/>
      <c r="BM21" s="528" t="n"/>
      <c r="BO21" s="528" t="n"/>
      <c r="BP21" s="528" t="n"/>
      <c r="BS21" s="528" t="n"/>
      <c r="BT21" s="528" t="n"/>
      <c r="BU21" s="528" t="n"/>
      <c r="BW21" s="528" t="n"/>
      <c r="BX21" s="528" t="n"/>
      <c r="BY21" s="528" t="n"/>
      <c r="CA21" s="528" t="n"/>
      <c r="CB21" s="528" t="n"/>
      <c r="CC21" s="528" t="n"/>
    </row>
    <row r="22" ht="15" customHeight="1" s="191">
      <c r="A22" s="528" t="n">
        <v>2</v>
      </c>
      <c r="B22" s="55" t="inlineStr">
        <is>
          <t>c</t>
        </is>
      </c>
      <c r="C22" s="139" t="n">
        <v>1</v>
      </c>
      <c r="D22" s="160">
        <f>CONCATENATE(A$1,"_",A22,"_",B22,"_",C22)</f>
        <v/>
      </c>
      <c r="E22" s="526" t="inlineStr">
        <is>
          <t>Zbadanie wpływu ograniczeń zasobów na PKZ</t>
        </is>
      </c>
      <c r="F22" s="528" t="n"/>
      <c r="G22" s="528" t="n"/>
      <c r="H22" s="140" t="n">
        <v>9</v>
      </c>
      <c r="I22" s="51" t="inlineStr">
        <is>
          <t>ACT</t>
        </is>
      </c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6" t="n">
        <v>0</v>
      </c>
      <c r="O22" s="45" t="n">
        <v>160</v>
      </c>
      <c r="P22" s="242" t="n">
        <v>0.4</v>
      </c>
      <c r="Q22" s="242" t="n">
        <v>0.4</v>
      </c>
      <c r="R22" s="242" t="n">
        <v>0.1</v>
      </c>
      <c r="S22" s="242" t="n">
        <v>0.1</v>
      </c>
      <c r="T22" s="242" t="n"/>
      <c r="U22" s="242" t="n"/>
      <c r="V22" s="242" t="n"/>
      <c r="W22" s="242" t="n"/>
      <c r="X22" s="242" t="n"/>
      <c r="Y22" s="243" t="n">
        <v>0</v>
      </c>
      <c r="Z22" s="243" t="n">
        <v>0</v>
      </c>
      <c r="AA22" s="243" t="n">
        <v>0</v>
      </c>
      <c r="AB22" s="243" t="n">
        <v>0</v>
      </c>
      <c r="AC22" s="300" t="n"/>
      <c r="AD22" s="300" t="n"/>
      <c r="AE22" s="300" t="n"/>
      <c r="AF22" s="300" t="n"/>
      <c r="AG22" s="297">
        <f>ROUND($O22*P22,0)</f>
        <v/>
      </c>
      <c r="AH22" s="297">
        <f>ROUND($O22*Q22,0)</f>
        <v/>
      </c>
      <c r="AI22" s="297">
        <f>ROUND($O22*R22,0)</f>
        <v/>
      </c>
      <c r="AJ22" s="297">
        <f>ROUND($O22*S22,0)</f>
        <v/>
      </c>
      <c r="AK22" s="297">
        <f>ROUND($O22*T22,0)</f>
        <v/>
      </c>
      <c r="AL22" s="297">
        <f>ROUND($O22*U22,0)</f>
        <v/>
      </c>
      <c r="AM22" s="297">
        <f>ROUND($O22*V22,0)</f>
        <v/>
      </c>
      <c r="AN22" s="297">
        <f>ROUND($O22*W22,0)</f>
        <v/>
      </c>
      <c r="AO22" s="297">
        <f>ROUND($O22*X22,0)</f>
        <v/>
      </c>
      <c r="AP22" s="298">
        <f>ROUND($O22*Y22,0)</f>
        <v/>
      </c>
      <c r="AQ22" s="298">
        <f>ROUND($O22*Z22,0)</f>
        <v/>
      </c>
      <c r="AR22" s="298">
        <f>ROUND($O22*AA22,0)</f>
        <v/>
      </c>
      <c r="AS22" s="298">
        <f>ROUND($O22*AB22,0)</f>
        <v/>
      </c>
      <c r="AT22" s="302">
        <f>ROUND($O22*AC22,0)</f>
        <v/>
      </c>
      <c r="AU22" s="302">
        <f>ROUND($O22*AD22,0)</f>
        <v/>
      </c>
      <c r="AV22" s="302">
        <f>ROUND($O22*AE22,0)</f>
        <v/>
      </c>
      <c r="AW22" s="302">
        <f>ROUND($O22*AF22,0)</f>
        <v/>
      </c>
      <c r="AX22" s="236">
        <f>SUM(AG22:AO22)</f>
        <v/>
      </c>
      <c r="AY22" s="231">
        <f>AX22/160</f>
        <v/>
      </c>
      <c r="AZ22" s="231">
        <f>VLOOKUP(I22,Listy!$A$1:$H$9,6,FALSE)</f>
        <v/>
      </c>
      <c r="BA22" s="690">
        <f>AY22*AZ22</f>
        <v/>
      </c>
      <c r="BB22" s="690">
        <f>AY22*BA22</f>
        <v/>
      </c>
      <c r="BC22" s="528" t="n"/>
      <c r="BD22" s="528" t="n"/>
      <c r="BE22" s="528" t="n"/>
      <c r="BF22" s="528" t="n"/>
      <c r="BG22" s="528" t="n"/>
      <c r="BI22" s="528" t="n"/>
      <c r="BJ22" s="528" t="n"/>
      <c r="BL22" s="528" t="n"/>
      <c r="BM22" s="528" t="n"/>
      <c r="BO22" s="528" t="n"/>
      <c r="BP22" s="528" t="n"/>
      <c r="BS22" s="528" t="n"/>
      <c r="BT22" s="528" t="n"/>
      <c r="BU22" s="528" t="n"/>
      <c r="BW22" s="528" t="n"/>
      <c r="BX22" s="528" t="n"/>
      <c r="BY22" s="528" t="n"/>
      <c r="CA22" s="528" t="n"/>
      <c r="CB22" s="528" t="n"/>
      <c r="CC22" s="528" t="n"/>
    </row>
    <row r="23" ht="15" customHeight="1" s="191">
      <c r="A23" s="528" t="n">
        <v>2</v>
      </c>
      <c r="B23" s="55" t="inlineStr">
        <is>
          <t>d</t>
        </is>
      </c>
      <c r="C23" s="139" t="n">
        <v>0</v>
      </c>
      <c r="D23" s="160">
        <f>CONCATENATE(A$1,"_",A23,"_",B23,"_",C23)</f>
        <v/>
      </c>
      <c r="E23" s="368" t="inlineStr">
        <is>
          <t>Opracowanie modeli matematycznych/algorytmów symulacyjnych PKZ</t>
        </is>
      </c>
      <c r="F23" s="190" t="n"/>
      <c r="G23" s="190" t="n"/>
      <c r="H23" s="46" t="n"/>
      <c r="I23" s="190" t="n"/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>
        <f>ROUND(MAX(AG23:AO23)/Listy!$U$2,0)</f>
        <v/>
      </c>
      <c r="O23" s="190" t="n"/>
      <c r="P23" s="190" t="n"/>
      <c r="Q23" s="190" t="n"/>
      <c r="R23" s="190" t="n"/>
      <c r="S23" s="190" t="n"/>
      <c r="T23" s="190" t="n"/>
      <c r="U23" s="190" t="n"/>
      <c r="V23" s="190" t="n"/>
      <c r="W23" s="190" t="n"/>
      <c r="X23" s="190" t="n"/>
      <c r="Y23" s="190" t="n"/>
      <c r="Z23" s="190" t="n"/>
      <c r="AA23" s="190" t="n"/>
      <c r="AB23" s="190" t="n"/>
      <c r="AC23" s="190" t="n"/>
      <c r="AD23" s="190" t="n"/>
      <c r="AE23" s="190" t="n"/>
      <c r="AF23" s="190" t="n"/>
      <c r="AG23" s="190" t="n"/>
      <c r="AH23" s="190" t="n"/>
      <c r="AI23" s="190" t="n"/>
      <c r="AJ23" s="190" t="n"/>
      <c r="AK23" s="190" t="n"/>
      <c r="AL23" s="190" t="n"/>
      <c r="AM23" s="190" t="n"/>
      <c r="AN23" s="190" t="n"/>
      <c r="AO23" s="190" t="n"/>
      <c r="AP23" s="190" t="n"/>
      <c r="AQ23" s="190" t="n"/>
      <c r="AR23" s="190" t="n"/>
      <c r="AS23" s="190" t="n"/>
      <c r="AT23" s="190" t="n"/>
      <c r="AU23" s="190" t="n"/>
      <c r="AV23" s="190" t="n"/>
      <c r="AW23" s="190" t="n"/>
      <c r="AX23" s="190" t="n"/>
      <c r="AY23" s="190" t="n"/>
      <c r="AZ23" s="190" t="n"/>
      <c r="BA23" s="190" t="n"/>
      <c r="BB23" s="190" t="n"/>
      <c r="BC23" s="190" t="n"/>
      <c r="BD23" s="190" t="n"/>
      <c r="BE23" s="190" t="n"/>
      <c r="BF23" s="190" t="n"/>
      <c r="BG23" s="190" t="n"/>
      <c r="BH23" s="190" t="n"/>
      <c r="BI23" s="190" t="n"/>
      <c r="BJ23" s="190" t="n"/>
      <c r="BK23" s="190" t="n"/>
      <c r="BL23" s="190" t="n"/>
      <c r="BM23" s="190" t="n"/>
      <c r="BN23" s="190" t="n"/>
      <c r="BO23" s="190" t="n"/>
      <c r="BP23" s="190" t="n"/>
      <c r="BQ23" s="190" t="n"/>
      <c r="BR23" s="190" t="n"/>
      <c r="BS23" s="190" t="n"/>
      <c r="BT23" s="190" t="n"/>
      <c r="BU23" s="190" t="n"/>
      <c r="BV23" s="190" t="n"/>
      <c r="BW23" s="190" t="n"/>
      <c r="BX23" s="190" t="n"/>
      <c r="BY23" s="190" t="n"/>
      <c r="BZ23" s="190" t="n"/>
      <c r="CA23" s="190" t="n"/>
      <c r="CB23" s="190" t="n"/>
      <c r="CC23" s="190" t="n"/>
      <c r="CD23" s="190" t="n"/>
      <c r="CE23" s="190" t="n"/>
      <c r="CF23" s="190" t="n"/>
    </row>
    <row r="24" ht="15.75" customHeight="1" s="191">
      <c r="A24" s="528" t="n">
        <v>2</v>
      </c>
      <c r="B24" s="385" t="inlineStr">
        <is>
          <t>d</t>
        </is>
      </c>
      <c r="C24" s="135" t="n">
        <v>1</v>
      </c>
      <c r="D24" s="160">
        <f>CONCATENATE(A$1,"_",A24,"_",B24,"_",C24)</f>
        <v/>
      </c>
      <c r="E24" s="167" t="inlineStr">
        <is>
          <t>Opracowanie architektur modeli</t>
        </is>
      </c>
      <c r="F24" s="528" t="n"/>
      <c r="G24" s="528" t="n"/>
      <c r="H24" s="133" t="n">
        <v>10</v>
      </c>
      <c r="I24" s="455" t="inlineStr">
        <is>
          <t>END</t>
        </is>
      </c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4" t="n">
        <v>1</v>
      </c>
      <c r="O24" s="45" t="n">
        <v>160</v>
      </c>
      <c r="P24" s="242" t="n">
        <v>0.13</v>
      </c>
      <c r="Q24" s="242" t="n">
        <v>0.12</v>
      </c>
      <c r="R24" s="242" t="n">
        <v>0</v>
      </c>
      <c r="S24" s="242" t="n">
        <v>0</v>
      </c>
      <c r="T24" s="242" t="n"/>
      <c r="U24" s="242" t="n"/>
      <c r="V24" s="242" t="n"/>
      <c r="W24" s="242" t="n"/>
      <c r="X24" s="242" t="n"/>
      <c r="Y24" s="243" t="n">
        <v>0.25</v>
      </c>
      <c r="Z24" s="243" t="n">
        <v>0.25</v>
      </c>
      <c r="AA24" s="243" t="n">
        <v>0.25</v>
      </c>
      <c r="AB24" s="243" t="n">
        <v>0</v>
      </c>
      <c r="AC24" s="300" t="n"/>
      <c r="AD24" s="300" t="n"/>
      <c r="AE24" s="300" t="n"/>
      <c r="AF24" s="300" t="n"/>
      <c r="AG24" s="297">
        <f>ROUND($O24*P24,0)</f>
        <v/>
      </c>
      <c r="AH24" s="297">
        <f>ROUND($O24*Q24,0)</f>
        <v/>
      </c>
      <c r="AI24" s="297">
        <f>ROUND($O24*R24,0)</f>
        <v/>
      </c>
      <c r="AJ24" s="297">
        <f>ROUND($O24*S24,0)</f>
        <v/>
      </c>
      <c r="AK24" s="297">
        <f>ROUND($O24*T24,0)</f>
        <v/>
      </c>
      <c r="AL24" s="297">
        <f>ROUND($O24*U24,0)</f>
        <v/>
      </c>
      <c r="AM24" s="297">
        <f>ROUND($O24*V24,0)</f>
        <v/>
      </c>
      <c r="AN24" s="297">
        <f>ROUND($O24*W24,0)</f>
        <v/>
      </c>
      <c r="AO24" s="297">
        <f>ROUND($O24*X24,0)</f>
        <v/>
      </c>
      <c r="AP24" s="298">
        <f>ROUND($O24*Y24,0)</f>
        <v/>
      </c>
      <c r="AQ24" s="298">
        <f>ROUND($O24*Z24,0)</f>
        <v/>
      </c>
      <c r="AR24" s="298">
        <f>ROUND($O24*AA24,0)</f>
        <v/>
      </c>
      <c r="AS24" s="298">
        <f>ROUND($O24*AB24,0)</f>
        <v/>
      </c>
      <c r="AT24" s="302">
        <f>ROUND($O24*AC24,0)</f>
        <v/>
      </c>
      <c r="AU24" s="302">
        <f>ROUND($O24*AD24,0)</f>
        <v/>
      </c>
      <c r="AV24" s="302">
        <f>ROUND($O24*AE24,0)</f>
        <v/>
      </c>
      <c r="AW24" s="302">
        <f>ROUND($O24*AF24,0)</f>
        <v/>
      </c>
      <c r="AX24" s="236">
        <f>SUM(AG24:AO24)</f>
        <v/>
      </c>
      <c r="AY24" s="231">
        <f>AX24/160</f>
        <v/>
      </c>
      <c r="AZ24" s="231">
        <f>VLOOKUP(I24,Listy!$A$1:$H$9,6,FALSE)</f>
        <v/>
      </c>
      <c r="BA24" s="690">
        <f>AY24*AZ24</f>
        <v/>
      </c>
      <c r="BB24" s="690">
        <f>AY24*BA24</f>
        <v/>
      </c>
      <c r="BC24" s="528" t="n"/>
      <c r="BD24" s="528" t="n"/>
      <c r="BE24" s="528" t="n"/>
      <c r="BF24" s="528" t="n"/>
      <c r="BG24" s="528" t="n"/>
      <c r="BH24" s="528">
        <f>BF24*BG24</f>
        <v/>
      </c>
      <c r="BI24" s="528" t="n"/>
      <c r="BJ24" s="528" t="n"/>
      <c r="BK24" s="58" t="n"/>
      <c r="BL24" s="528" t="n"/>
      <c r="BM24" s="528" t="n"/>
      <c r="BN24" s="528" t="n">
        <v>0</v>
      </c>
      <c r="BO24" s="528" t="n"/>
      <c r="BP24" s="528" t="n"/>
      <c r="BQ24" s="528" t="n">
        <v>0</v>
      </c>
      <c r="BR24" s="528" t="n">
        <v>0</v>
      </c>
      <c r="BS24" s="528" t="n"/>
      <c r="BT24" s="528" t="n"/>
      <c r="BU24" s="528" t="n"/>
      <c r="BV24" s="528">
        <f>BT24*BU24</f>
        <v/>
      </c>
      <c r="BW24" s="528" t="n"/>
      <c r="BX24" s="528" t="n"/>
      <c r="BY24" s="528" t="n"/>
      <c r="BZ24" s="528">
        <f>BX24*BY24</f>
        <v/>
      </c>
      <c r="CA24" s="528" t="n"/>
      <c r="CB24" s="528" t="n"/>
      <c r="CC24" s="528" t="n"/>
      <c r="CD24" s="528">
        <f>CB24*CC24</f>
        <v/>
      </c>
    </row>
    <row r="25" ht="15.75" customHeight="1" s="191">
      <c r="A25" s="528" t="n">
        <v>2</v>
      </c>
      <c r="B25" s="385" t="inlineStr">
        <is>
          <t>d</t>
        </is>
      </c>
      <c r="C25" s="135" t="n">
        <v>2</v>
      </c>
      <c r="D25" s="160">
        <f>CONCATENATE(A$1,"_",A25,"_",B25,"_",C25)</f>
        <v/>
      </c>
      <c r="E25" s="167" t="inlineStr">
        <is>
          <t xml:space="preserve">Implementacja opracowanych modeli </t>
        </is>
      </c>
      <c r="F25" s="528" t="n"/>
      <c r="G25" s="528" t="n"/>
      <c r="H25" s="133" t="n">
        <v>11</v>
      </c>
      <c r="I25" s="455" t="inlineStr">
        <is>
          <t>END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6" t="n">
        <v>0</v>
      </c>
      <c r="O25" s="45" t="n">
        <v>320</v>
      </c>
      <c r="P25" s="242" t="n">
        <v>0</v>
      </c>
      <c r="Q25" s="242" t="n">
        <v>0</v>
      </c>
      <c r="R25" s="242" t="n">
        <v>0.13</v>
      </c>
      <c r="S25" s="242" t="n">
        <v>0.12</v>
      </c>
      <c r="T25" s="242" t="n"/>
      <c r="U25" s="242" t="n"/>
      <c r="V25" s="242" t="n"/>
      <c r="W25" s="242" t="n"/>
      <c r="X25" s="242" t="n"/>
      <c r="Y25" s="243" t="n">
        <v>0.25</v>
      </c>
      <c r="Z25" s="243" t="n">
        <v>0.25</v>
      </c>
      <c r="AA25" s="243" t="n">
        <v>0.25</v>
      </c>
      <c r="AB25" s="243" t="n">
        <v>0</v>
      </c>
      <c r="AC25" s="300" t="n"/>
      <c r="AD25" s="300" t="n"/>
      <c r="AE25" s="300" t="n"/>
      <c r="AF25" s="300" t="n"/>
      <c r="AG25" s="297">
        <f>ROUND($O25*P25,0)</f>
        <v/>
      </c>
      <c r="AH25" s="297">
        <f>ROUND($O25*Q25,0)</f>
        <v/>
      </c>
      <c r="AI25" s="297">
        <f>ROUND($O25*R25,0)</f>
        <v/>
      </c>
      <c r="AJ25" s="297">
        <f>ROUND($O25*S25,0)</f>
        <v/>
      </c>
      <c r="AK25" s="297">
        <f>ROUND($O25*T25,0)</f>
        <v/>
      </c>
      <c r="AL25" s="297">
        <f>ROUND($O25*U25,0)</f>
        <v/>
      </c>
      <c r="AM25" s="297">
        <f>ROUND($O25*V25,0)</f>
        <v/>
      </c>
      <c r="AN25" s="297">
        <f>ROUND($O25*W25,0)</f>
        <v/>
      </c>
      <c r="AO25" s="297">
        <f>ROUND($O25*X25,0)</f>
        <v/>
      </c>
      <c r="AP25" s="298">
        <f>ROUND($O25*Y25,0)</f>
        <v/>
      </c>
      <c r="AQ25" s="298">
        <f>ROUND($O25*Z25,0)</f>
        <v/>
      </c>
      <c r="AR25" s="298">
        <f>ROUND($O25*AA25,0)</f>
        <v/>
      </c>
      <c r="AS25" s="298">
        <f>ROUND($O25*AB25,0)</f>
        <v/>
      </c>
      <c r="AT25" s="302">
        <f>ROUND($O25*AC25,0)</f>
        <v/>
      </c>
      <c r="AU25" s="302">
        <f>ROUND($O25*AD25,0)</f>
        <v/>
      </c>
      <c r="AV25" s="302">
        <f>ROUND($O25*AE25,0)</f>
        <v/>
      </c>
      <c r="AW25" s="302">
        <f>ROUND($O25*AF25,0)</f>
        <v/>
      </c>
      <c r="AX25" s="236">
        <f>SUM(AG25:AO25)</f>
        <v/>
      </c>
      <c r="AY25" s="231">
        <f>AX25/160</f>
        <v/>
      </c>
      <c r="AZ25" s="231">
        <f>VLOOKUP(I25,Listy!$A$1:$H$9,6,FALSE)</f>
        <v/>
      </c>
      <c r="BA25" s="690">
        <f>AY25*AZ25</f>
        <v/>
      </c>
      <c r="BB25" s="690">
        <f>AY25*BA25</f>
        <v/>
      </c>
      <c r="BC25" s="528" t="n"/>
      <c r="BD25" s="528" t="n"/>
      <c r="BE25" s="528" t="n"/>
      <c r="BF25" s="528" t="n"/>
      <c r="BG25" s="528" t="n"/>
      <c r="BI25" s="528" t="n"/>
      <c r="BJ25" s="528" t="n"/>
      <c r="BL25" s="528" t="n"/>
      <c r="BM25" s="528" t="n"/>
      <c r="BO25" s="528" t="n"/>
      <c r="BP25" s="528" t="n"/>
      <c r="BS25" s="528" t="n"/>
      <c r="BT25" s="528" t="n"/>
      <c r="BU25" s="528" t="n"/>
      <c r="BW25" s="528" t="n"/>
      <c r="BX25" s="528" t="n"/>
      <c r="BY25" s="528" t="n"/>
      <c r="CA25" s="528" t="n"/>
      <c r="CB25" s="528" t="n"/>
      <c r="CC25" s="528" t="n"/>
    </row>
    <row r="26" ht="15.75" customHeight="1" s="191">
      <c r="A26" s="528" t="n">
        <v>2</v>
      </c>
      <c r="B26" s="385" t="inlineStr">
        <is>
          <t>d</t>
        </is>
      </c>
      <c r="C26" s="135" t="n">
        <v>3</v>
      </c>
      <c r="D26" s="160">
        <f>CONCATENATE(A$1,"_",A26,"_",B26,"_",C26)</f>
        <v/>
      </c>
      <c r="E26" s="167" t="inlineStr">
        <is>
          <t>Stworzenie procesu zasilania danymi</t>
        </is>
      </c>
      <c r="F26" s="528" t="n"/>
      <c r="G26" s="528" t="n"/>
      <c r="H26" s="133" t="n">
        <v>11</v>
      </c>
      <c r="I26" s="455" t="inlineStr">
        <is>
          <t>END</t>
        </is>
      </c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6" t="n">
        <v>0</v>
      </c>
      <c r="O26" s="45" t="n">
        <v>120</v>
      </c>
      <c r="P26" s="242" t="n">
        <v>0.17</v>
      </c>
      <c r="Q26" s="242" t="n">
        <v>0.16</v>
      </c>
      <c r="R26" s="242" t="n">
        <v>0</v>
      </c>
      <c r="S26" s="242" t="n">
        <v>0</v>
      </c>
      <c r="T26" s="242" t="n"/>
      <c r="U26" s="242" t="n"/>
      <c r="V26" s="242" t="n"/>
      <c r="W26" s="242" t="n"/>
      <c r="X26" s="242" t="n"/>
      <c r="Y26" s="243" t="n">
        <v>0.333</v>
      </c>
      <c r="Z26" s="243" t="n">
        <v>0.333</v>
      </c>
      <c r="AA26" s="243" t="n">
        <v>0</v>
      </c>
      <c r="AB26" s="243" t="n">
        <v>0</v>
      </c>
      <c r="AC26" s="300" t="n"/>
      <c r="AD26" s="300" t="n"/>
      <c r="AE26" s="300" t="n"/>
      <c r="AF26" s="300" t="n"/>
      <c r="AG26" s="297">
        <f>ROUND($O26*P26,0)</f>
        <v/>
      </c>
      <c r="AH26" s="297">
        <f>ROUND($O26*Q26,0)</f>
        <v/>
      </c>
      <c r="AI26" s="297">
        <f>ROUND($O26*R26,0)</f>
        <v/>
      </c>
      <c r="AJ26" s="297">
        <f>ROUND($O26*S26,0)</f>
        <v/>
      </c>
      <c r="AK26" s="297">
        <f>ROUND($O26*T26,0)</f>
        <v/>
      </c>
      <c r="AL26" s="297">
        <f>ROUND($O26*U26,0)</f>
        <v/>
      </c>
      <c r="AM26" s="297">
        <f>ROUND($O26*V26,0)</f>
        <v/>
      </c>
      <c r="AN26" s="297">
        <f>ROUND($O26*W26,0)</f>
        <v/>
      </c>
      <c r="AO26" s="297">
        <f>ROUND($O26*X26,0)</f>
        <v/>
      </c>
      <c r="AP26" s="298">
        <f>ROUND($O26*Y26,0)</f>
        <v/>
      </c>
      <c r="AQ26" s="298">
        <f>ROUND($O26*Z26,0)</f>
        <v/>
      </c>
      <c r="AR26" s="298">
        <f>ROUND($O26*AA26,0)</f>
        <v/>
      </c>
      <c r="AS26" s="298">
        <f>ROUND($O26*AB26,0)</f>
        <v/>
      </c>
      <c r="AT26" s="302">
        <f>ROUND($O26*AC26,0)</f>
        <v/>
      </c>
      <c r="AU26" s="302">
        <f>ROUND($O26*AD26,0)</f>
        <v/>
      </c>
      <c r="AV26" s="302">
        <f>ROUND($O26*AE26,0)</f>
        <v/>
      </c>
      <c r="AW26" s="302">
        <f>ROUND($O26*AF26,0)</f>
        <v/>
      </c>
      <c r="AX26" s="236">
        <f>SUM(AG26:AO26)</f>
        <v/>
      </c>
      <c r="AY26" s="231">
        <f>AX26/160</f>
        <v/>
      </c>
      <c r="AZ26" s="231">
        <f>VLOOKUP(I26,Listy!$A$1:$H$9,6,FALSE)</f>
        <v/>
      </c>
      <c r="BA26" s="690">
        <f>AY26*AZ26</f>
        <v/>
      </c>
      <c r="BB26" s="690">
        <f>AY26*BA26</f>
        <v/>
      </c>
      <c r="BC26" s="528" t="n"/>
      <c r="BD26" s="528" t="n"/>
      <c r="BE26" s="528" t="n"/>
      <c r="BF26" s="528" t="n"/>
      <c r="BG26" s="528" t="n"/>
      <c r="BI26" s="528" t="n"/>
      <c r="BJ26" s="528" t="n"/>
      <c r="BK26" s="59" t="n"/>
      <c r="BL26" s="528" t="n"/>
      <c r="BM26" s="528" t="n"/>
      <c r="BO26" s="528" t="n"/>
      <c r="BP26" s="528" t="n"/>
      <c r="BS26" s="528" t="n"/>
      <c r="BT26" s="528" t="n"/>
      <c r="BU26" s="528" t="n"/>
      <c r="BW26" s="528" t="n"/>
      <c r="BX26" s="528" t="n"/>
      <c r="BY26" s="528" t="n"/>
      <c r="CA26" s="528" t="n"/>
      <c r="CB26" s="528" t="n"/>
      <c r="CC26" s="528" t="n"/>
    </row>
    <row r="27" ht="15.75" customHeight="1" s="191">
      <c r="A27" s="528" t="n">
        <v>2</v>
      </c>
      <c r="B27" s="385" t="inlineStr">
        <is>
          <t>d</t>
        </is>
      </c>
      <c r="C27" s="135" t="n">
        <v>4</v>
      </c>
      <c r="D27" s="160">
        <f>CONCATENATE(A$1,"_",A27,"_",B27,"_",C27)</f>
        <v/>
      </c>
      <c r="E27" s="167" t="inlineStr">
        <is>
          <t>Stworzenie procesu  trenowania/uczenia modelu</t>
        </is>
      </c>
      <c r="F27" s="528" t="n"/>
      <c r="G27" s="528" t="n"/>
      <c r="H27" s="133" t="n">
        <v>11</v>
      </c>
      <c r="I27" s="455" t="inlineStr">
        <is>
          <t>END</t>
        </is>
      </c>
      <c r="J27" s="91">
        <f>M26+1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6" t="n">
        <v>0</v>
      </c>
      <c r="O27" s="45" t="n">
        <v>120</v>
      </c>
      <c r="P27" s="242" t="n">
        <v>0.17</v>
      </c>
      <c r="Q27" s="242" t="n">
        <v>0.163</v>
      </c>
      <c r="R27" s="242" t="n">
        <v>0</v>
      </c>
      <c r="S27" s="242" t="n">
        <v>0</v>
      </c>
      <c r="T27" s="242" t="n"/>
      <c r="U27" s="242" t="n"/>
      <c r="V27" s="242" t="n"/>
      <c r="W27" s="242" t="n"/>
      <c r="X27" s="242" t="n"/>
      <c r="Y27" s="243" t="n">
        <v>0</v>
      </c>
      <c r="Z27" s="243" t="n">
        <v>0.333</v>
      </c>
      <c r="AA27" s="243" t="n">
        <v>0.333</v>
      </c>
      <c r="AB27" s="243" t="n">
        <v>0</v>
      </c>
      <c r="AC27" s="300" t="n"/>
      <c r="AD27" s="300" t="n"/>
      <c r="AE27" s="300" t="n"/>
      <c r="AF27" s="300" t="n"/>
      <c r="AG27" s="297">
        <f>ROUND($O27*P27,0)</f>
        <v/>
      </c>
      <c r="AH27" s="297">
        <f>ROUND($O27*Q27,0)</f>
        <v/>
      </c>
      <c r="AI27" s="297">
        <f>ROUND($O27*R27,0)</f>
        <v/>
      </c>
      <c r="AJ27" s="297">
        <f>ROUND($O27*S27,0)</f>
        <v/>
      </c>
      <c r="AK27" s="297">
        <f>ROUND($O27*T27,0)</f>
        <v/>
      </c>
      <c r="AL27" s="297">
        <f>ROUND($O27*U27,0)</f>
        <v/>
      </c>
      <c r="AM27" s="297">
        <f>ROUND($O27*V27,0)</f>
        <v/>
      </c>
      <c r="AN27" s="297">
        <f>ROUND($O27*W27,0)</f>
        <v/>
      </c>
      <c r="AO27" s="297">
        <f>ROUND($O27*X27,0)</f>
        <v/>
      </c>
      <c r="AP27" s="298">
        <f>ROUND($O27*Y27,0)</f>
        <v/>
      </c>
      <c r="AQ27" s="298">
        <f>ROUND($O27*Z27,0)</f>
        <v/>
      </c>
      <c r="AR27" s="298">
        <f>ROUND($O27*AA27,0)</f>
        <v/>
      </c>
      <c r="AS27" s="298">
        <f>ROUND($O27*AB27,0)</f>
        <v/>
      </c>
      <c r="AT27" s="302">
        <f>ROUND($O27*AC27,0)</f>
        <v/>
      </c>
      <c r="AU27" s="302">
        <f>ROUND($O27*AD27,0)</f>
        <v/>
      </c>
      <c r="AV27" s="302">
        <f>ROUND($O27*AE27,0)</f>
        <v/>
      </c>
      <c r="AW27" s="302">
        <f>ROUND($O27*AF27,0)</f>
        <v/>
      </c>
      <c r="AX27" s="236">
        <f>SUM(AG27:AO27)</f>
        <v/>
      </c>
      <c r="AY27" s="231">
        <f>AX27/160</f>
        <v/>
      </c>
      <c r="AZ27" s="231">
        <f>VLOOKUP(I27,Listy!$A$1:$H$9,6,FALSE)</f>
        <v/>
      </c>
      <c r="BA27" s="690">
        <f>AY27*AZ27</f>
        <v/>
      </c>
      <c r="BB27" s="690">
        <f>AY27*BA27</f>
        <v/>
      </c>
      <c r="BC27" s="528" t="n"/>
      <c r="BD27" s="528" t="n"/>
      <c r="BE27" s="528" t="n"/>
      <c r="BF27" s="528" t="n"/>
      <c r="BG27" s="528" t="n"/>
      <c r="BI27" s="528" t="n"/>
      <c r="BJ27" s="528" t="n"/>
      <c r="BK27" s="59" t="n"/>
      <c r="BL27" s="528" t="n"/>
      <c r="BM27" s="528" t="n"/>
      <c r="BO27" s="528" t="n"/>
      <c r="BP27" s="528" t="n"/>
      <c r="BS27" s="528" t="n"/>
      <c r="BT27" s="528" t="n"/>
      <c r="BU27" s="528" t="n"/>
      <c r="BW27" s="528" t="n"/>
      <c r="BX27" s="528" t="n"/>
      <c r="BY27" s="528" t="n"/>
      <c r="CA27" s="528" t="n"/>
      <c r="CB27" s="528" t="n"/>
      <c r="CC27" s="528" t="n"/>
    </row>
    <row r="28" ht="15.75" customHeight="1" s="191">
      <c r="A28" s="528" t="n">
        <v>2</v>
      </c>
      <c r="B28" s="385" t="inlineStr">
        <is>
          <t>d</t>
        </is>
      </c>
      <c r="C28" s="135" t="n">
        <v>5</v>
      </c>
      <c r="D28" s="160">
        <f>CONCATENATE(A$1,"_",A28,"_",B28,"_",C28)</f>
        <v/>
      </c>
      <c r="E28" s="167" t="inlineStr">
        <is>
          <t>Stworzenie procesu ewaluacji modelu</t>
        </is>
      </c>
      <c r="F28" s="528" t="n"/>
      <c r="G28" s="528" t="n"/>
      <c r="H28" s="133" t="n">
        <v>12</v>
      </c>
      <c r="I28" s="455" t="inlineStr">
        <is>
          <t>END</t>
        </is>
      </c>
      <c r="J28" s="91">
        <f>M27+1</f>
        <v/>
      </c>
      <c r="K28" s="681">
        <f>VLOOKUP(J28,Kalendarz!B:E,4,FALSE)</f>
        <v/>
      </c>
      <c r="L28" s="681">
        <f>K28+N28</f>
        <v/>
      </c>
      <c r="M28" s="528">
        <f>J28+N28-1</f>
        <v/>
      </c>
      <c r="N28" s="476" t="n">
        <v>0</v>
      </c>
      <c r="O28" s="45" t="n">
        <v>120</v>
      </c>
      <c r="P28" s="242" t="n">
        <v>0.17</v>
      </c>
      <c r="Q28" s="242" t="n">
        <v>0.165</v>
      </c>
      <c r="R28" s="242" t="n">
        <v>0</v>
      </c>
      <c r="S28" s="242" t="n">
        <v>0</v>
      </c>
      <c r="T28" s="242" t="n"/>
      <c r="U28" s="242" t="n"/>
      <c r="V28" s="242" t="n"/>
      <c r="W28" s="242" t="n"/>
      <c r="X28" s="242" t="n"/>
      <c r="Y28" s="243" t="n">
        <v>0</v>
      </c>
      <c r="Z28" s="243" t="n">
        <v>0.333</v>
      </c>
      <c r="AA28" s="243" t="n">
        <v>0.333</v>
      </c>
      <c r="AB28" s="243" t="n">
        <v>0</v>
      </c>
      <c r="AC28" s="300" t="n"/>
      <c r="AD28" s="300" t="n"/>
      <c r="AE28" s="300" t="n"/>
      <c r="AF28" s="300" t="n"/>
      <c r="AG28" s="297">
        <f>ROUND($O28*P28,0)</f>
        <v/>
      </c>
      <c r="AH28" s="297">
        <f>ROUND($O28*Q28,0)</f>
        <v/>
      </c>
      <c r="AI28" s="297">
        <f>ROUND($O28*R28,0)</f>
        <v/>
      </c>
      <c r="AJ28" s="297">
        <f>ROUND($O28*S28,0)</f>
        <v/>
      </c>
      <c r="AK28" s="297">
        <f>ROUND($O28*T28,0)</f>
        <v/>
      </c>
      <c r="AL28" s="297">
        <f>ROUND($O28*U28,0)</f>
        <v/>
      </c>
      <c r="AM28" s="297">
        <f>ROUND($O28*V28,0)</f>
        <v/>
      </c>
      <c r="AN28" s="297">
        <f>ROUND($O28*W28,0)</f>
        <v/>
      </c>
      <c r="AO28" s="297">
        <f>ROUND($O28*X28,0)</f>
        <v/>
      </c>
      <c r="AP28" s="298">
        <f>ROUND($O28*Y28,0)</f>
        <v/>
      </c>
      <c r="AQ28" s="298">
        <f>ROUND($O28*Z28,0)</f>
        <v/>
      </c>
      <c r="AR28" s="298">
        <f>ROUND($O28*AA28,0)</f>
        <v/>
      </c>
      <c r="AS28" s="298">
        <f>ROUND($O28*AB28,0)</f>
        <v/>
      </c>
      <c r="AT28" s="302">
        <f>ROUND($O28*AC28,0)</f>
        <v/>
      </c>
      <c r="AU28" s="302">
        <f>ROUND($O28*AD28,0)</f>
        <v/>
      </c>
      <c r="AV28" s="302">
        <f>ROUND($O28*AE28,0)</f>
        <v/>
      </c>
      <c r="AW28" s="302">
        <f>ROUND($O28*AF28,0)</f>
        <v/>
      </c>
      <c r="AX28" s="236">
        <f>SUM(AG28:AO28)</f>
        <v/>
      </c>
      <c r="AY28" s="231">
        <f>AX28/160</f>
        <v/>
      </c>
      <c r="AZ28" s="231">
        <f>VLOOKUP(I28,Listy!$A$1:$H$9,6,FALSE)</f>
        <v/>
      </c>
      <c r="BA28" s="690">
        <f>AY28*AZ28</f>
        <v/>
      </c>
      <c r="BB28" s="690">
        <f>AY28*BA28</f>
        <v/>
      </c>
      <c r="BC28" s="528" t="n"/>
      <c r="BD28" s="528" t="n"/>
      <c r="BE28" s="528" t="n"/>
      <c r="BF28" s="528" t="n"/>
      <c r="BG28" s="528" t="n"/>
      <c r="BI28" s="528" t="n"/>
      <c r="BJ28" s="528" t="n"/>
      <c r="BL28" s="528" t="n"/>
      <c r="BM28" s="528" t="n"/>
      <c r="BO28" s="528" t="n"/>
      <c r="BP28" s="528" t="n"/>
      <c r="BS28" s="528" t="n"/>
      <c r="BT28" s="528" t="n"/>
      <c r="BU28" s="528" t="n"/>
      <c r="BW28" s="528" t="n"/>
      <c r="BX28" s="528" t="n"/>
      <c r="BY28" s="528" t="n"/>
      <c r="CA28" s="528" t="n"/>
      <c r="CB28" s="528" t="n"/>
      <c r="CC28" s="528" t="n"/>
    </row>
    <row r="29" ht="15.75" customHeight="1" s="191">
      <c r="A29" s="528" t="n">
        <v>2</v>
      </c>
      <c r="B29" s="385" t="inlineStr">
        <is>
          <t>d</t>
        </is>
      </c>
      <c r="C29" s="135" t="n">
        <v>6</v>
      </c>
      <c r="D29" s="160">
        <f>CONCATENATE(A$1,"_",A29,"_",B29,"_",C29)</f>
        <v/>
      </c>
      <c r="E29" s="167" t="inlineStr">
        <is>
          <t>Stworzenie procesu monitorowania modelu</t>
        </is>
      </c>
      <c r="F29" s="528" t="n"/>
      <c r="G29" s="528" t="n"/>
      <c r="H29" s="133" t="n">
        <v>12</v>
      </c>
      <c r="I29" s="455" t="inlineStr">
        <is>
          <t>END</t>
        </is>
      </c>
      <c r="J29" s="91">
        <f>M28+1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6" t="n">
        <v>0</v>
      </c>
      <c r="O29" s="45" t="n">
        <v>120</v>
      </c>
      <c r="P29" s="242" t="n">
        <v>0</v>
      </c>
      <c r="Q29" s="242" t="n">
        <v>0</v>
      </c>
      <c r="R29" s="242" t="n">
        <v>0.17</v>
      </c>
      <c r="S29" s="242" t="n">
        <v>0.165</v>
      </c>
      <c r="T29" s="242" t="n"/>
      <c r="U29" s="242" t="n"/>
      <c r="V29" s="242" t="n"/>
      <c r="W29" s="242" t="n"/>
      <c r="X29" s="242" t="n"/>
      <c r="Y29" s="243" t="n">
        <v>0.333</v>
      </c>
      <c r="Z29" s="243" t="n">
        <v>0</v>
      </c>
      <c r="AA29" s="243" t="n">
        <v>0</v>
      </c>
      <c r="AB29" s="243" t="n">
        <v>0.333</v>
      </c>
      <c r="AC29" s="300" t="n"/>
      <c r="AD29" s="300" t="n"/>
      <c r="AE29" s="300" t="n"/>
      <c r="AF29" s="300" t="n"/>
      <c r="AG29" s="297">
        <f>ROUND($O29*P29,0)</f>
        <v/>
      </c>
      <c r="AH29" s="297">
        <f>ROUND($O29*Q29,0)</f>
        <v/>
      </c>
      <c r="AI29" s="297">
        <f>ROUND($O29*R29,0)</f>
        <v/>
      </c>
      <c r="AJ29" s="297">
        <f>ROUND($O29*S29,0)</f>
        <v/>
      </c>
      <c r="AK29" s="297">
        <f>ROUND($O29*T29,0)</f>
        <v/>
      </c>
      <c r="AL29" s="297">
        <f>ROUND($O29*U29,0)</f>
        <v/>
      </c>
      <c r="AM29" s="297">
        <f>ROUND($O29*V29,0)</f>
        <v/>
      </c>
      <c r="AN29" s="297">
        <f>ROUND($O29*W29,0)</f>
        <v/>
      </c>
      <c r="AO29" s="297">
        <f>ROUND($O29*X29,0)</f>
        <v/>
      </c>
      <c r="AP29" s="298">
        <f>ROUND($O29*Y29,0)</f>
        <v/>
      </c>
      <c r="AQ29" s="298">
        <f>ROUND($O29*Z29,0)</f>
        <v/>
      </c>
      <c r="AR29" s="298">
        <f>ROUND($O29*AA29,0)</f>
        <v/>
      </c>
      <c r="AS29" s="298">
        <f>ROUND($O29*AB29,0)</f>
        <v/>
      </c>
      <c r="AT29" s="302">
        <f>ROUND($O29*AC29,0)</f>
        <v/>
      </c>
      <c r="AU29" s="302">
        <f>ROUND($O29*AD29,0)</f>
        <v/>
      </c>
      <c r="AV29" s="302">
        <f>ROUND($O29*AE29,0)</f>
        <v/>
      </c>
      <c r="AW29" s="302">
        <f>ROUND($O29*AF29,0)</f>
        <v/>
      </c>
      <c r="AX29" s="236">
        <f>SUM(AG29:AO29)</f>
        <v/>
      </c>
      <c r="AY29" s="231">
        <f>AX29/160</f>
        <v/>
      </c>
      <c r="AZ29" s="231">
        <f>VLOOKUP(I29,Listy!$A$1:$H$9,6,FALSE)</f>
        <v/>
      </c>
      <c r="BA29" s="690">
        <f>AY29*AZ29</f>
        <v/>
      </c>
      <c r="BB29" s="690">
        <f>AY29*BA29</f>
        <v/>
      </c>
      <c r="BC29" s="528" t="n"/>
      <c r="BD29" s="528" t="n"/>
      <c r="BE29" s="528" t="n"/>
      <c r="BF29" s="528" t="n"/>
      <c r="BG29" s="528" t="n"/>
      <c r="BI29" s="528" t="n"/>
      <c r="BJ29" s="528" t="n"/>
      <c r="BL29" s="528" t="n"/>
      <c r="BM29" s="528" t="n"/>
      <c r="BO29" s="528" t="n"/>
      <c r="BP29" s="528" t="n"/>
      <c r="BS29" s="528" t="n"/>
      <c r="BT29" s="528" t="n"/>
      <c r="BU29" s="528" t="n"/>
      <c r="BW29" s="528" t="n"/>
      <c r="BX29" s="528" t="n"/>
      <c r="BY29" s="528" t="n"/>
      <c r="CA29" s="528" t="n"/>
      <c r="CB29" s="528" t="n"/>
      <c r="CC29" s="528" t="n"/>
    </row>
    <row r="30" ht="15.75" customHeight="1" s="191">
      <c r="A30" s="528" t="n">
        <v>2</v>
      </c>
      <c r="B30" s="55" t="inlineStr">
        <is>
          <t>e</t>
        </is>
      </c>
      <c r="C30" s="136" t="n">
        <v>1</v>
      </c>
      <c r="D30" s="160">
        <f>CONCATENATE(A$1,"_",A30,"_",B30,"_",C30)</f>
        <v/>
      </c>
      <c r="E30" s="168" t="inlineStr">
        <is>
          <t>Testy, walidacje i wybór Modelu optymalnego</t>
        </is>
      </c>
      <c r="F30" s="528" t="n"/>
      <c r="G30" s="528" t="n"/>
      <c r="H30" s="133" t="n">
        <v>13</v>
      </c>
      <c r="I30" s="100" t="inlineStr">
        <is>
          <t>ACT/END</t>
        </is>
      </c>
      <c r="J30" s="91">
        <f>M29+1</f>
        <v/>
      </c>
      <c r="K30" s="681">
        <f>VLOOKUP(J30,Kalendarz!B:E,4,FALSE)</f>
        <v/>
      </c>
      <c r="L30" s="681">
        <f>K30+N30</f>
        <v/>
      </c>
      <c r="M30" s="528">
        <f>J30+N30-1</f>
        <v/>
      </c>
      <c r="N30" s="476" t="n">
        <v>0</v>
      </c>
      <c r="O30" s="45" t="n">
        <v>120</v>
      </c>
      <c r="P30" s="242" t="n">
        <v>0.13</v>
      </c>
      <c r="Q30" s="242" t="n">
        <v>0.12</v>
      </c>
      <c r="R30" s="242" t="n">
        <v>0</v>
      </c>
      <c r="S30" s="242" t="n">
        <v>0</v>
      </c>
      <c r="T30" s="242" t="n"/>
      <c r="U30" s="242" t="n"/>
      <c r="V30" s="242" t="n"/>
      <c r="W30" s="242" t="n"/>
      <c r="X30" s="242" t="n"/>
      <c r="Y30" s="243" t="n">
        <v>0.25</v>
      </c>
      <c r="Z30" s="243" t="n">
        <v>0.25</v>
      </c>
      <c r="AA30" s="243" t="n">
        <v>0.25</v>
      </c>
      <c r="AB30" s="243" t="n">
        <v>0</v>
      </c>
      <c r="AC30" s="300" t="n"/>
      <c r="AD30" s="300" t="n"/>
      <c r="AE30" s="300" t="n"/>
      <c r="AF30" s="300" t="n"/>
      <c r="AG30" s="297">
        <f>ROUND($O30*P30,0)</f>
        <v/>
      </c>
      <c r="AH30" s="297">
        <f>ROUND($O30*Q30,0)</f>
        <v/>
      </c>
      <c r="AI30" s="297">
        <f>ROUND($O30*R30,0)</f>
        <v/>
      </c>
      <c r="AJ30" s="297">
        <f>ROUND($O30*S30,0)</f>
        <v/>
      </c>
      <c r="AK30" s="297">
        <f>ROUND($O30*T30,0)</f>
        <v/>
      </c>
      <c r="AL30" s="297">
        <f>ROUND($O30*U30,0)</f>
        <v/>
      </c>
      <c r="AM30" s="297">
        <f>ROUND($O30*V30,0)</f>
        <v/>
      </c>
      <c r="AN30" s="297">
        <f>ROUND($O30*W30,0)</f>
        <v/>
      </c>
      <c r="AO30" s="297">
        <f>ROUND($O30*X30,0)</f>
        <v/>
      </c>
      <c r="AP30" s="298">
        <f>ROUND($O30*Y30,0)</f>
        <v/>
      </c>
      <c r="AQ30" s="298">
        <f>ROUND($O30*Z30,0)</f>
        <v/>
      </c>
      <c r="AR30" s="298">
        <f>ROUND($O30*AA30,0)</f>
        <v/>
      </c>
      <c r="AS30" s="298">
        <f>ROUND($O30*AB30,0)</f>
        <v/>
      </c>
      <c r="AT30" s="302">
        <f>ROUND($O30*AC30,0)</f>
        <v/>
      </c>
      <c r="AU30" s="302">
        <f>ROUND($O30*AD30,0)</f>
        <v/>
      </c>
      <c r="AV30" s="302">
        <f>ROUND($O30*AE30,0)</f>
        <v/>
      </c>
      <c r="AW30" s="302">
        <f>ROUND($O30*AF30,0)</f>
        <v/>
      </c>
      <c r="AX30" s="236">
        <f>SUM(AG30:AO30)</f>
        <v/>
      </c>
      <c r="AY30" s="231">
        <f>AX30/160</f>
        <v/>
      </c>
      <c r="AZ30" s="231">
        <f>VLOOKUP(I30,Listy!$A$1:$H$9,6,FALSE)</f>
        <v/>
      </c>
      <c r="BA30" s="690">
        <f>AY30*AZ30</f>
        <v/>
      </c>
      <c r="BB30" s="690">
        <f>AY30*BA30</f>
        <v/>
      </c>
      <c r="BC30" s="528" t="n"/>
      <c r="BD30" s="528" t="n"/>
      <c r="BE30" s="528" t="n"/>
      <c r="BF30" s="528" t="n"/>
      <c r="BG30" s="528" t="n"/>
      <c r="BI30" s="528" t="n"/>
      <c r="BJ30" s="528" t="n"/>
      <c r="BL30" s="528" t="n"/>
      <c r="BM30" s="528" t="n"/>
      <c r="BO30" s="528" t="n"/>
      <c r="BP30" s="528" t="n"/>
      <c r="BS30" s="528" t="n"/>
      <c r="BT30" s="528" t="n"/>
      <c r="BU30" s="528" t="n"/>
      <c r="BW30" s="528" t="n"/>
      <c r="BX30" s="528" t="n"/>
      <c r="BY30" s="528" t="n"/>
      <c r="CA30" s="528" t="n"/>
      <c r="CB30" s="528" t="n"/>
      <c r="CC30" s="528" t="n"/>
    </row>
    <row r="31" ht="18" customHeight="1" s="191">
      <c r="A31" s="604" t="n">
        <v>3</v>
      </c>
      <c r="B31" s="55" t="inlineStr">
        <is>
          <t>a</t>
        </is>
      </c>
      <c r="C31" s="139" t="n">
        <v>0</v>
      </c>
      <c r="D31" s="160">
        <f>CONCATENATE(A$1,"_",A31,"_",B31,"_",C31)</f>
        <v/>
      </c>
      <c r="E31" s="607" t="inlineStr">
        <is>
          <t>3.Określenie możliwości zastosowania rozwiązań/narzędzi AI/ML do:</t>
        </is>
      </c>
      <c r="F31" s="190" t="n"/>
      <c r="G31" s="190" t="n"/>
      <c r="H31" s="528" t="n"/>
      <c r="I31" s="190" t="n"/>
      <c r="J31" s="91">
        <f>M30+1</f>
        <v/>
      </c>
      <c r="K31" s="681">
        <f>VLOOKUP(J31,Kalendarz!B:E,4,FALSE)</f>
        <v/>
      </c>
      <c r="L31" s="681">
        <f>K31+N31</f>
        <v/>
      </c>
      <c r="M31" s="528">
        <f>J31+N31-1</f>
        <v/>
      </c>
      <c r="N31" s="474">
        <f>ROUND(MAX(AG31:AO31)/Listy!$U$2,0)</f>
        <v/>
      </c>
      <c r="O31" s="190" t="n"/>
      <c r="P31" s="190" t="n"/>
      <c r="Q31" s="190" t="n"/>
      <c r="R31" s="190" t="n"/>
      <c r="S31" s="190" t="n"/>
      <c r="T31" s="190" t="n"/>
      <c r="U31" s="190" t="n"/>
      <c r="V31" s="190" t="n"/>
      <c r="W31" s="190" t="n"/>
      <c r="X31" s="190" t="n"/>
      <c r="Y31" s="190" t="n"/>
      <c r="Z31" s="190" t="n"/>
      <c r="AA31" s="190" t="n"/>
      <c r="AB31" s="190" t="n"/>
      <c r="AC31" s="190" t="n"/>
      <c r="AD31" s="190" t="n"/>
      <c r="AE31" s="190" t="n"/>
      <c r="AF31" s="190" t="n"/>
      <c r="AG31" s="190" t="n"/>
      <c r="AH31" s="190" t="n"/>
      <c r="AI31" s="190" t="n"/>
      <c r="AJ31" s="190" t="n"/>
      <c r="AK31" s="190" t="n"/>
      <c r="AL31" s="190" t="n"/>
      <c r="AM31" s="190" t="n"/>
      <c r="AN31" s="190" t="n"/>
      <c r="AO31" s="190" t="n"/>
      <c r="AP31" s="190" t="n"/>
      <c r="AQ31" s="190" t="n"/>
      <c r="AR31" s="190" t="n"/>
      <c r="AS31" s="190" t="n"/>
      <c r="AT31" s="190" t="n"/>
      <c r="AU31" s="190" t="n"/>
      <c r="AV31" s="190" t="n"/>
      <c r="AW31" s="190" t="n"/>
      <c r="AX31" s="190" t="n"/>
      <c r="AY31" s="190" t="n"/>
      <c r="AZ31" s="190" t="n"/>
      <c r="BA31" s="190" t="n"/>
      <c r="BB31" s="190" t="n"/>
      <c r="BC31" s="190" t="n"/>
      <c r="BD31" s="190" t="n"/>
      <c r="BE31" s="190" t="n"/>
      <c r="BF31" s="190" t="n"/>
      <c r="BG31" s="190" t="n"/>
      <c r="BH31" s="190" t="n"/>
      <c r="BI31" s="190" t="n"/>
      <c r="BJ31" s="190" t="n"/>
      <c r="BK31" s="190" t="n"/>
      <c r="BL31" s="190" t="n"/>
      <c r="BM31" s="190" t="n"/>
      <c r="BN31" s="190" t="n"/>
      <c r="BO31" s="190" t="n"/>
      <c r="BP31" s="190" t="n"/>
      <c r="BQ31" s="190" t="n"/>
      <c r="BR31" s="190" t="n"/>
      <c r="BS31" s="190" t="n"/>
      <c r="BT31" s="190" t="n"/>
      <c r="BU31" s="190" t="n"/>
      <c r="BV31" s="190" t="n"/>
      <c r="BW31" s="190" t="n"/>
      <c r="BX31" s="190" t="n"/>
      <c r="BY31" s="190" t="n"/>
      <c r="BZ31" s="190" t="n"/>
      <c r="CA31" s="190" t="n"/>
      <c r="CB31" s="190" t="n"/>
      <c r="CC31" s="190" t="n"/>
      <c r="CD31" s="190" t="n"/>
      <c r="CE31" s="190" t="n"/>
      <c r="CF31" s="190" t="n"/>
    </row>
    <row r="32" ht="43.2" customHeight="1" s="191">
      <c r="A32" s="528" t="n">
        <v>3</v>
      </c>
      <c r="B32" s="55" t="inlineStr">
        <is>
          <t>a</t>
        </is>
      </c>
      <c r="C32" s="139" t="n">
        <v>1</v>
      </c>
      <c r="D32" s="160">
        <f>CONCATENATE(A$1,"_",A32,"_",B32,"_",C32)</f>
        <v/>
      </c>
      <c r="E32" s="526" t="inlineStr">
        <is>
          <t>Optymalizacji rozmieszczenia towarów w SK i tras kartonów na przenośnikach (np. algorytmy genetyczne, me-taheurystyczne, sieci neuronowe)</t>
        </is>
      </c>
      <c r="F32" s="528" t="n"/>
      <c r="G32" s="528" t="n"/>
      <c r="H32" s="45" t="n">
        <v>14</v>
      </c>
      <c r="I32" s="46" t="inlineStr">
        <is>
          <t>END/ACT</t>
        </is>
      </c>
      <c r="J32" s="91">
        <f>M31+1</f>
        <v/>
      </c>
      <c r="K32" s="681">
        <f>VLOOKUP(J32,Kalendarz!B:E,4,FALSE)</f>
        <v/>
      </c>
      <c r="L32" s="681">
        <f>K32+N32</f>
        <v/>
      </c>
      <c r="M32" s="528">
        <f>J32+N32-1</f>
        <v/>
      </c>
      <c r="N32" s="474" t="n">
        <v>1</v>
      </c>
      <c r="O32" s="45" t="n">
        <v>80</v>
      </c>
      <c r="P32" s="242" t="n">
        <v>0.25</v>
      </c>
      <c r="Q32" s="242" t="n">
        <v>0.25</v>
      </c>
      <c r="R32" s="242" t="n">
        <v>0</v>
      </c>
      <c r="S32" s="242" t="n">
        <v>0</v>
      </c>
      <c r="T32" s="242" t="n"/>
      <c r="U32" s="242" t="n"/>
      <c r="V32" s="242" t="n"/>
      <c r="W32" s="242" t="n"/>
      <c r="X32" s="242" t="n"/>
      <c r="Y32" s="243" t="n">
        <v>0.5</v>
      </c>
      <c r="Z32" s="243" t="n">
        <v>0</v>
      </c>
      <c r="AA32" s="243" t="n">
        <v>0</v>
      </c>
      <c r="AB32" s="243" t="n">
        <v>0</v>
      </c>
      <c r="AC32" s="300" t="n"/>
      <c r="AD32" s="300" t="n"/>
      <c r="AE32" s="300" t="n"/>
      <c r="AF32" s="300" t="n"/>
      <c r="AG32" s="297">
        <f>ROUND($O32*P32,0)</f>
        <v/>
      </c>
      <c r="AH32" s="297">
        <f>ROUND($O32*Q32,0)</f>
        <v/>
      </c>
      <c r="AI32" s="297">
        <f>ROUND($O32*R32,0)</f>
        <v/>
      </c>
      <c r="AJ32" s="297">
        <f>ROUND($O32*S32,0)</f>
        <v/>
      </c>
      <c r="AK32" s="297">
        <f>ROUND($O32*T32,0)</f>
        <v/>
      </c>
      <c r="AL32" s="297">
        <f>ROUND($O32*U32,0)</f>
        <v/>
      </c>
      <c r="AM32" s="297">
        <f>ROUND($O32*V32,0)</f>
        <v/>
      </c>
      <c r="AN32" s="297">
        <f>ROUND($O32*W32,0)</f>
        <v/>
      </c>
      <c r="AO32" s="297">
        <f>ROUND($O32*X32,0)</f>
        <v/>
      </c>
      <c r="AP32" s="298">
        <f>ROUND($O32*Y32,0)</f>
        <v/>
      </c>
      <c r="AQ32" s="298">
        <f>ROUND($O32*Z32,0)</f>
        <v/>
      </c>
      <c r="AR32" s="298">
        <f>ROUND($O32*AA32,0)</f>
        <v/>
      </c>
      <c r="AS32" s="298">
        <f>ROUND($O32*AB32,0)</f>
        <v/>
      </c>
      <c r="AT32" s="302">
        <f>ROUND($O32*AC32,0)</f>
        <v/>
      </c>
      <c r="AU32" s="302">
        <f>ROUND($O32*AD32,0)</f>
        <v/>
      </c>
      <c r="AV32" s="302">
        <f>ROUND($O32*AE32,0)</f>
        <v/>
      </c>
      <c r="AW32" s="302">
        <f>ROUND($O32*AF32,0)</f>
        <v/>
      </c>
      <c r="AX32" s="236">
        <f>SUM(AG32:AO32)</f>
        <v/>
      </c>
      <c r="AY32" s="231">
        <f>AX32/160</f>
        <v/>
      </c>
      <c r="AZ32" s="231">
        <f>VLOOKUP(I32,Listy!$A$1:$H$9,6,FALSE)</f>
        <v/>
      </c>
      <c r="BA32" s="690">
        <f>AY32*AZ32</f>
        <v/>
      </c>
      <c r="BB32" s="690">
        <f>AY32*BA32</f>
        <v/>
      </c>
      <c r="BC32" s="528" t="n"/>
      <c r="BD32" s="528" t="n"/>
      <c r="BE32" s="528" t="n"/>
      <c r="BF32" s="528" t="n"/>
      <c r="BG32" s="528" t="n"/>
      <c r="BI32" s="528" t="n"/>
      <c r="BJ32" s="51" t="n"/>
      <c r="BL32" s="399" t="n"/>
      <c r="BM32" s="528" t="n"/>
      <c r="BO32" s="528" t="n"/>
      <c r="BP32" s="528" t="n"/>
      <c r="BS32" s="528" t="n"/>
      <c r="BT32" s="528" t="n"/>
      <c r="BU32" s="528" t="n"/>
      <c r="BW32" s="528" t="n"/>
      <c r="BX32" s="528" t="n"/>
      <c r="BY32" s="528" t="n"/>
      <c r="CA32" s="528" t="n"/>
      <c r="CB32" s="528" t="n"/>
      <c r="CC32" s="528" t="n"/>
    </row>
    <row r="33" ht="43.2" customHeight="1" s="191">
      <c r="A33" s="528" t="n">
        <v>3</v>
      </c>
      <c r="B33" s="55" t="inlineStr">
        <is>
          <t>b</t>
        </is>
      </c>
      <c r="C33" s="139" t="n">
        <v>1</v>
      </c>
      <c r="D33" s="160">
        <f>CONCATENATE(A$1,"_",A33,"_",B33,"_",C33)</f>
        <v/>
      </c>
      <c r="E33" s="526" t="inlineStr">
        <is>
          <t>Predykcji zapotrzebowania i zarządzania zasobami – infrastruktura, opakowania, towary, personel (np. sieci neuronowe, regresja, drzewa decyzyjne)</t>
        </is>
      </c>
      <c r="F33" s="528" t="n"/>
      <c r="G33" s="528" t="n"/>
      <c r="H33" s="45" t="n">
        <v>14</v>
      </c>
      <c r="I33" s="46" t="inlineStr">
        <is>
          <t>END/ACT</t>
        </is>
      </c>
      <c r="J33" s="91">
        <f>M32+1</f>
        <v/>
      </c>
      <c r="K33" s="681">
        <f>VLOOKUP(J33,Kalendarz!B:E,4,FALSE)</f>
        <v/>
      </c>
      <c r="L33" s="681">
        <f>K33+N33</f>
        <v/>
      </c>
      <c r="M33" s="528">
        <f>J33+N33-1</f>
        <v/>
      </c>
      <c r="N33" s="474" t="n">
        <v>0</v>
      </c>
      <c r="O33" s="45" t="n">
        <v>80</v>
      </c>
      <c r="P33" s="242" t="n">
        <v>0</v>
      </c>
      <c r="Q33" s="242" t="n">
        <v>0</v>
      </c>
      <c r="R33" s="242" t="n">
        <v>0.25</v>
      </c>
      <c r="S33" s="242" t="n">
        <v>0.25</v>
      </c>
      <c r="T33" s="242" t="n"/>
      <c r="U33" s="242" t="n"/>
      <c r="V33" s="242" t="n"/>
      <c r="W33" s="242" t="n"/>
      <c r="X33" s="242" t="n"/>
      <c r="Y33" s="243" t="n">
        <v>0</v>
      </c>
      <c r="Z33" s="243" t="n">
        <v>0.5</v>
      </c>
      <c r="AA33" s="243" t="n">
        <v>0</v>
      </c>
      <c r="AB33" s="243" t="n">
        <v>0</v>
      </c>
      <c r="AC33" s="300" t="n"/>
      <c r="AD33" s="300" t="n"/>
      <c r="AE33" s="300" t="n"/>
      <c r="AF33" s="300" t="n"/>
      <c r="AG33" s="297">
        <f>ROUND($O33*P33,0)</f>
        <v/>
      </c>
      <c r="AH33" s="297">
        <f>ROUND($O33*Q33,0)</f>
        <v/>
      </c>
      <c r="AI33" s="297">
        <f>ROUND($O33*R33,0)</f>
        <v/>
      </c>
      <c r="AJ33" s="297">
        <f>ROUND($O33*S33,0)</f>
        <v/>
      </c>
      <c r="AK33" s="297">
        <f>ROUND($O33*T33,0)</f>
        <v/>
      </c>
      <c r="AL33" s="297">
        <f>ROUND($O33*U33,0)</f>
        <v/>
      </c>
      <c r="AM33" s="297">
        <f>ROUND($O33*V33,0)</f>
        <v/>
      </c>
      <c r="AN33" s="297">
        <f>ROUND($O33*W33,0)</f>
        <v/>
      </c>
      <c r="AO33" s="297">
        <f>ROUND($O33*X33,0)</f>
        <v/>
      </c>
      <c r="AP33" s="298">
        <f>ROUND($O33*Y33,0)</f>
        <v/>
      </c>
      <c r="AQ33" s="298">
        <f>ROUND($O33*Z33,0)</f>
        <v/>
      </c>
      <c r="AR33" s="298">
        <f>ROUND($O33*AA33,0)</f>
        <v/>
      </c>
      <c r="AS33" s="298">
        <f>ROUND($O33*AB33,0)</f>
        <v/>
      </c>
      <c r="AT33" s="302">
        <f>ROUND($O33*AC33,0)</f>
        <v/>
      </c>
      <c r="AU33" s="302">
        <f>ROUND($O33*AD33,0)</f>
        <v/>
      </c>
      <c r="AV33" s="302">
        <f>ROUND($O33*AE33,0)</f>
        <v/>
      </c>
      <c r="AW33" s="302">
        <f>ROUND($O33*AF33,0)</f>
        <v/>
      </c>
      <c r="AX33" s="236">
        <f>SUM(AG33:AO33)</f>
        <v/>
      </c>
      <c r="AY33" s="231">
        <f>AX33/160</f>
        <v/>
      </c>
      <c r="AZ33" s="231">
        <f>VLOOKUP(I33,Listy!$A$1:$H$9,6,FALSE)</f>
        <v/>
      </c>
      <c r="BA33" s="690">
        <f>AY33*AZ33</f>
        <v/>
      </c>
      <c r="BB33" s="690">
        <f>AY33*BA33</f>
        <v/>
      </c>
      <c r="BC33" s="528" t="n"/>
      <c r="BD33" s="528" t="n"/>
      <c r="BE33" s="528" t="n"/>
      <c r="BF33" s="528" t="n"/>
      <c r="BG33" s="528" t="n"/>
      <c r="BI33" s="528" t="n"/>
      <c r="BJ33" s="51" t="n"/>
      <c r="BL33" s="399" t="n"/>
      <c r="BM33" s="528" t="n"/>
      <c r="BO33" s="528" t="n"/>
      <c r="BP33" s="528" t="n"/>
      <c r="BS33" s="528" t="n"/>
      <c r="BT33" s="528" t="n"/>
      <c r="BU33" s="528" t="n"/>
      <c r="BW33" s="528" t="n"/>
      <c r="BX33" s="528" t="n"/>
      <c r="BY33" s="528" t="n"/>
      <c r="CA33" s="528" t="n"/>
      <c r="CB33" s="528" t="n"/>
      <c r="CC33" s="528" t="n"/>
    </row>
    <row r="34" ht="43.2" customHeight="1" s="191">
      <c r="A34" s="528" t="n">
        <v>3</v>
      </c>
      <c r="B34" s="55" t="inlineStr">
        <is>
          <t>c</t>
        </is>
      </c>
      <c r="C34" s="139" t="n">
        <v>1</v>
      </c>
      <c r="D34" s="160">
        <f>CONCATENATE(A$1,"_",A34,"_",B34,"_",C34)</f>
        <v/>
      </c>
      <c r="E34" s="526" t="inlineStr">
        <is>
          <t>Automatyzacji – zarządzania ruchem przenośników, kontroli jakości (np. modele głębokiego uczenia CNN, komputerowego rozpoznawania obrazu CV, skanowanie 3D)</t>
        </is>
      </c>
      <c r="F34" s="528" t="n"/>
      <c r="G34" s="528" t="n"/>
      <c r="H34" s="528" t="n">
        <v>14</v>
      </c>
      <c r="I34" s="46" t="inlineStr">
        <is>
          <t>ACT/END</t>
        </is>
      </c>
      <c r="J34" s="91">
        <f>M33+1</f>
        <v/>
      </c>
      <c r="K34" s="681">
        <f>VLOOKUP(J34,Kalendarz!B:E,4,FALSE)</f>
        <v/>
      </c>
      <c r="L34" s="681">
        <f>K34+N34</f>
        <v/>
      </c>
      <c r="M34" s="528">
        <f>J34+N34-1</f>
        <v/>
      </c>
      <c r="N34" s="474">
        <f>ROUND(MAX(AG34:AO34)/Listy!$U$2,0)</f>
        <v/>
      </c>
      <c r="O34" s="45" t="n">
        <v>80</v>
      </c>
      <c r="P34" s="242" t="n">
        <v>0</v>
      </c>
      <c r="Q34" s="242" t="n">
        <v>0</v>
      </c>
      <c r="R34" s="242" t="n">
        <v>0</v>
      </c>
      <c r="S34" s="242" t="n">
        <v>0</v>
      </c>
      <c r="T34" s="242" t="n"/>
      <c r="U34" s="242" t="n"/>
      <c r="V34" s="242" t="n"/>
      <c r="W34" s="242" t="n"/>
      <c r="X34" s="242" t="n"/>
      <c r="Y34" s="243" t="n">
        <v>0.5</v>
      </c>
      <c r="Z34" s="243" t="n">
        <v>0</v>
      </c>
      <c r="AA34" s="243" t="n">
        <v>0.5</v>
      </c>
      <c r="AB34" s="243" t="n">
        <v>0</v>
      </c>
      <c r="AC34" s="300" t="n"/>
      <c r="AD34" s="300" t="n"/>
      <c r="AE34" s="300" t="n"/>
      <c r="AF34" s="300" t="n"/>
      <c r="AG34" s="297">
        <f>ROUND($O34*P34,0)</f>
        <v/>
      </c>
      <c r="AH34" s="297">
        <f>ROUND($O34*Q34,0)</f>
        <v/>
      </c>
      <c r="AI34" s="297">
        <f>ROUND($O34*R34,0)</f>
        <v/>
      </c>
      <c r="AJ34" s="297">
        <f>ROUND($O34*S34,0)</f>
        <v/>
      </c>
      <c r="AK34" s="297">
        <f>ROUND($O34*T34,0)</f>
        <v/>
      </c>
      <c r="AL34" s="297">
        <f>ROUND($O34*U34,0)</f>
        <v/>
      </c>
      <c r="AM34" s="297">
        <f>ROUND($O34*V34,0)</f>
        <v/>
      </c>
      <c r="AN34" s="297">
        <f>ROUND($O34*W34,0)</f>
        <v/>
      </c>
      <c r="AO34" s="297">
        <f>ROUND($O34*X34,0)</f>
        <v/>
      </c>
      <c r="AP34" s="298">
        <f>ROUND($O34*Y34,0)</f>
        <v/>
      </c>
      <c r="AQ34" s="298">
        <f>ROUND($O34*Z34,0)</f>
        <v/>
      </c>
      <c r="AR34" s="298">
        <f>ROUND($O34*AA34,0)</f>
        <v/>
      </c>
      <c r="AS34" s="298">
        <f>ROUND($O34*AB34,0)</f>
        <v/>
      </c>
      <c r="AT34" s="302">
        <f>ROUND($O34*AC34,0)</f>
        <v/>
      </c>
      <c r="AU34" s="302">
        <f>ROUND($O34*AD34,0)</f>
        <v/>
      </c>
      <c r="AV34" s="302">
        <f>ROUND($O34*AE34,0)</f>
        <v/>
      </c>
      <c r="AW34" s="302">
        <f>ROUND($O34*AF34,0)</f>
        <v/>
      </c>
      <c r="AX34" s="236">
        <f>SUM(AG34:AO34)</f>
        <v/>
      </c>
      <c r="AY34" s="231">
        <f>AX34/160</f>
        <v/>
      </c>
      <c r="AZ34" s="231">
        <f>VLOOKUP(I34,Listy!$A$1:$H$9,6,FALSE)</f>
        <v/>
      </c>
      <c r="BA34" s="690">
        <f>AY34*AZ34</f>
        <v/>
      </c>
      <c r="BB34" s="690">
        <f>AY34*BA34</f>
        <v/>
      </c>
      <c r="BC34" s="528" t="n"/>
      <c r="BD34" s="528" t="n"/>
      <c r="BE34" s="528" t="n"/>
      <c r="BF34" s="528" t="n"/>
      <c r="BG34" s="528" t="n"/>
      <c r="BI34" s="528" t="n"/>
      <c r="BJ34" s="51" t="n"/>
      <c r="BL34" s="399" t="n"/>
      <c r="BM34" s="528" t="n"/>
      <c r="BO34" s="528" t="n"/>
      <c r="BP34" s="528" t="n"/>
      <c r="BS34" s="528" t="n"/>
      <c r="BT34" s="528" t="n"/>
      <c r="BU34" s="528" t="n"/>
      <c r="BW34" s="528" t="n"/>
      <c r="BX34" s="528" t="n"/>
      <c r="BY34" s="528" t="n"/>
      <c r="CA34" s="528" t="n"/>
      <c r="CB34" s="528" t="n"/>
      <c r="CC34" s="528" t="n"/>
    </row>
    <row r="35" ht="29.4" customHeight="1" s="191" thickBot="1">
      <c r="A35" s="528" t="n">
        <v>3</v>
      </c>
      <c r="B35" s="55" t="inlineStr">
        <is>
          <t>d</t>
        </is>
      </c>
      <c r="C35" s="139" t="n">
        <v>1</v>
      </c>
      <c r="D35" s="160">
        <f>CONCATENATE(A$1,"_",A35,"_",B35,"_",C35)</f>
        <v/>
      </c>
      <c r="E35" s="526" t="inlineStr">
        <is>
          <t>Symulacji PKZ (np. systemy symulacje Monte Carlo, oparte na AI oraz modele agentowe)</t>
        </is>
      </c>
      <c r="F35" s="528" t="n"/>
      <c r="G35" s="528" t="n"/>
      <c r="H35" s="133" t="n">
        <v>14</v>
      </c>
      <c r="I35" s="46" t="inlineStr">
        <is>
          <t>ACT/END</t>
        </is>
      </c>
      <c r="J35" s="91">
        <f>M34+1</f>
        <v/>
      </c>
      <c r="K35" s="681">
        <f>VLOOKUP(J35,Kalendarz!B:E,4,FALSE)</f>
        <v/>
      </c>
      <c r="L35" s="681">
        <f>K35+N35</f>
        <v/>
      </c>
      <c r="M35" s="528">
        <f>J35+N35-1</f>
        <v/>
      </c>
      <c r="N35" s="474" t="n">
        <v>1</v>
      </c>
      <c r="O35" s="45" t="n">
        <v>160</v>
      </c>
      <c r="P35" s="242" t="n">
        <v>0.25</v>
      </c>
      <c r="Q35" s="242" t="n">
        <v>0.25</v>
      </c>
      <c r="R35" s="242" t="n">
        <v>0</v>
      </c>
      <c r="S35" s="242" t="n">
        <v>0</v>
      </c>
      <c r="T35" s="242" t="n"/>
      <c r="U35" s="242" t="n"/>
      <c r="V35" s="242" t="n"/>
      <c r="W35" s="242" t="n"/>
      <c r="X35" s="242" t="n"/>
      <c r="Y35" s="243" t="n">
        <v>0.25</v>
      </c>
      <c r="Z35" s="243" t="n">
        <v>0.25</v>
      </c>
      <c r="AA35" s="243" t="n">
        <v>0</v>
      </c>
      <c r="AB35" s="243" t="n">
        <v>0</v>
      </c>
      <c r="AC35" s="300" t="n"/>
      <c r="AD35" s="300" t="n"/>
      <c r="AE35" s="300" t="n"/>
      <c r="AF35" s="300" t="n"/>
      <c r="AG35" s="297">
        <f>ROUND($O35*P35,0)</f>
        <v/>
      </c>
      <c r="AH35" s="297">
        <f>ROUND($O35*Q35,0)</f>
        <v/>
      </c>
      <c r="AI35" s="297">
        <f>ROUND($O35*R35,0)</f>
        <v/>
      </c>
      <c r="AJ35" s="297">
        <f>ROUND($O35*S35,0)</f>
        <v/>
      </c>
      <c r="AK35" s="297">
        <f>ROUND($O35*T35,0)</f>
        <v/>
      </c>
      <c r="AL35" s="297">
        <f>ROUND($O35*U35,0)</f>
        <v/>
      </c>
      <c r="AM35" s="297">
        <f>ROUND($O35*V35,0)</f>
        <v/>
      </c>
      <c r="AN35" s="297">
        <f>ROUND($O35*W35,0)</f>
        <v/>
      </c>
      <c r="AO35" s="297">
        <f>ROUND($O35*X35,0)</f>
        <v/>
      </c>
      <c r="AP35" s="298">
        <f>ROUND($O35*Y35,0)</f>
        <v/>
      </c>
      <c r="AQ35" s="298">
        <f>ROUND($O35*Z35,0)</f>
        <v/>
      </c>
      <c r="AR35" s="298">
        <f>ROUND($O35*AA35,0)</f>
        <v/>
      </c>
      <c r="AS35" s="298">
        <f>ROUND($O35*AB35,0)</f>
        <v/>
      </c>
      <c r="AT35" s="302">
        <f>ROUND($O35*AC35,0)</f>
        <v/>
      </c>
      <c r="AU35" s="302">
        <f>ROUND($O35*AD35,0)</f>
        <v/>
      </c>
      <c r="AV35" s="302">
        <f>ROUND($O35*AE35,0)</f>
        <v/>
      </c>
      <c r="AW35" s="302">
        <f>ROUND($O35*AF35,0)</f>
        <v/>
      </c>
      <c r="AX35" s="236">
        <f>SUM(AG35:AO35)</f>
        <v/>
      </c>
      <c r="AY35" s="231">
        <f>AX35/160</f>
        <v/>
      </c>
      <c r="AZ35" s="231">
        <f>VLOOKUP(I35,Listy!$A$1:$H$9,6,FALSE)</f>
        <v/>
      </c>
      <c r="BA35" s="690">
        <f>AY35*AZ35</f>
        <v/>
      </c>
      <c r="BB35" s="690">
        <f>AY35*BA35</f>
        <v/>
      </c>
      <c r="BC35" s="528" t="n"/>
      <c r="BD35" s="528" t="n"/>
      <c r="BE35" s="528" t="n"/>
      <c r="BF35" s="528" t="n"/>
      <c r="BG35" s="528" t="n"/>
      <c r="BI35" s="528" t="n"/>
      <c r="BJ35" s="51" t="n"/>
      <c r="BL35" s="399" t="n"/>
      <c r="BM35" s="528" t="n"/>
      <c r="BO35" s="528" t="n"/>
      <c r="BP35" s="528" t="n"/>
      <c r="BS35" s="528" t="n"/>
      <c r="BT35" s="528" t="n"/>
      <c r="BU35" s="528" t="n"/>
      <c r="BW35" s="528" t="n"/>
      <c r="BX35" s="528" t="n"/>
      <c r="BY35" s="528" t="n"/>
      <c r="CA35" s="528" t="n"/>
      <c r="CB35" s="528" t="n"/>
      <c r="CC35" s="528" t="n"/>
    </row>
    <row r="36" ht="15.75" customHeight="1" s="191" thickBot="1">
      <c r="A36" s="528" t="n">
        <v>3</v>
      </c>
      <c r="B36" s="55" t="inlineStr">
        <is>
          <t>e</t>
        </is>
      </c>
      <c r="C36" s="139" t="n">
        <v>1</v>
      </c>
      <c r="D36" s="160">
        <f>CONCATENATE(A$1,"_",A36,"_",B36,"_",C36)</f>
        <v/>
      </c>
      <c r="E36" s="526" t="inlineStr">
        <is>
          <t>Testy i wybór platformy technologicznej (np. Amazon SageMake, Microsoft Azure Machine Learning, OpenCV)</t>
        </is>
      </c>
      <c r="F36" s="528" t="n"/>
      <c r="G36" s="528" t="n"/>
      <c r="H36" s="133" t="n">
        <v>15</v>
      </c>
      <c r="I36" s="46" t="inlineStr">
        <is>
          <t>ACT/END</t>
        </is>
      </c>
      <c r="J36" s="91">
        <f>M35+1</f>
        <v/>
      </c>
      <c r="K36" s="681">
        <f>VLOOKUP(J36,Kalendarz!B:E,4,FALSE)</f>
        <v/>
      </c>
      <c r="L36" s="681">
        <f>K36+N36</f>
        <v/>
      </c>
      <c r="M36" s="528">
        <f>J36+N36-1</f>
        <v/>
      </c>
      <c r="N36" s="474">
        <f>ROUND(MAX(AG36:AO36)/Listy!$U$2,0)</f>
        <v/>
      </c>
      <c r="O36" s="45" t="n">
        <v>80</v>
      </c>
      <c r="P36" s="242" t="n">
        <v>0</v>
      </c>
      <c r="Q36" s="242" t="n">
        <v>0</v>
      </c>
      <c r="R36" s="242" t="n">
        <v>0.1</v>
      </c>
      <c r="S36" s="242" t="n">
        <v>0.1</v>
      </c>
      <c r="T36" s="242" t="n"/>
      <c r="U36" s="242" t="n"/>
      <c r="V36" s="242" t="n"/>
      <c r="W36" s="242" t="n"/>
      <c r="X36" s="242" t="n"/>
      <c r="Y36" s="243" t="n">
        <v>0.2</v>
      </c>
      <c r="Z36" s="243" t="n">
        <v>0.2</v>
      </c>
      <c r="AA36" s="243" t="n">
        <v>0.2</v>
      </c>
      <c r="AB36" s="243" t="n">
        <v>0.2</v>
      </c>
      <c r="AC36" s="300" t="n"/>
      <c r="AD36" s="300" t="n"/>
      <c r="AE36" s="300" t="n"/>
      <c r="AF36" s="300" t="n"/>
      <c r="AG36" s="297">
        <f>ROUND($O36*P36,0)</f>
        <v/>
      </c>
      <c r="AH36" s="297">
        <f>ROUND($O36*Q36,0)</f>
        <v/>
      </c>
      <c r="AI36" s="297">
        <f>ROUND($O36*R36,0)</f>
        <v/>
      </c>
      <c r="AJ36" s="297">
        <f>ROUND($O36*S36,0)</f>
        <v/>
      </c>
      <c r="AK36" s="297">
        <f>ROUND($O36*T36,0)</f>
        <v/>
      </c>
      <c r="AL36" s="297">
        <f>ROUND($O36*U36,0)</f>
        <v/>
      </c>
      <c r="AM36" s="297">
        <f>ROUND($O36*V36,0)</f>
        <v/>
      </c>
      <c r="AN36" s="297">
        <f>ROUND($O36*W36,0)</f>
        <v/>
      </c>
      <c r="AO36" s="297">
        <f>ROUND($O36*X36,0)</f>
        <v/>
      </c>
      <c r="AP36" s="298">
        <f>ROUND($O36*Y36,0)</f>
        <v/>
      </c>
      <c r="AQ36" s="298">
        <f>ROUND($O36*Z36,0)</f>
        <v/>
      </c>
      <c r="AR36" s="298">
        <f>ROUND($O36*AA36,0)</f>
        <v/>
      </c>
      <c r="AS36" s="298">
        <f>ROUND($O36*AB36,0)</f>
        <v/>
      </c>
      <c r="AT36" s="302">
        <f>ROUND($O36*AC36,0)</f>
        <v/>
      </c>
      <c r="AU36" s="302">
        <f>ROUND($O36*AD36,0)</f>
        <v/>
      </c>
      <c r="AV36" s="302">
        <f>ROUND($O36*AE36,0)</f>
        <v/>
      </c>
      <c r="AW36" s="302">
        <f>ROUND($O36*AF36,0)</f>
        <v/>
      </c>
      <c r="AX36" s="236">
        <f>SUM(AG36:AO36)</f>
        <v/>
      </c>
      <c r="AY36" s="231">
        <f>AX36/160</f>
        <v/>
      </c>
      <c r="AZ36" s="231">
        <f>VLOOKUP(I36,Listy!$A$1:$H$9,6,FALSE)</f>
        <v/>
      </c>
      <c r="BA36" s="690">
        <f>AY36*AZ36</f>
        <v/>
      </c>
      <c r="BB36" s="690">
        <f>AY36*BA36</f>
        <v/>
      </c>
      <c r="BC36" s="528" t="n"/>
      <c r="BD36" s="528" t="n"/>
      <c r="BE36" s="528" t="n"/>
      <c r="BF36" s="528" t="n"/>
      <c r="BG36" s="528" t="n"/>
      <c r="BH36" s="14">
        <f>BH37+BH38+BH43+#REF!+#REF!</f>
        <v/>
      </c>
      <c r="BI36" s="528" t="n"/>
      <c r="BJ36" s="51" t="n"/>
      <c r="BK36" s="14">
        <f>BK37+BK38+BK43+#REF!+#REF!</f>
        <v/>
      </c>
      <c r="BL36" s="399" t="n"/>
      <c r="BM36" s="528" t="n"/>
      <c r="BN36" s="14">
        <f>BN37+BN38+BN43+#REF!+#REF!</f>
        <v/>
      </c>
      <c r="BO36" s="528" t="n"/>
      <c r="BP36" s="528" t="n"/>
      <c r="BQ36" s="14">
        <f>BQ37+BQ38+BQ43+#REF!+#REF!</f>
        <v/>
      </c>
      <c r="BR36" s="14">
        <f>BR37+BR38+BR43+#REF!+#REF!</f>
        <v/>
      </c>
      <c r="BS36" s="528" t="n"/>
      <c r="BT36" s="528" t="n"/>
      <c r="BU36" s="528" t="n"/>
      <c r="BV36" s="14">
        <f>BV37+BV38+BV43+#REF!+#REF!</f>
        <v/>
      </c>
      <c r="BW36" s="528" t="n"/>
      <c r="BX36" s="528" t="n"/>
      <c r="BY36" s="528" t="n"/>
      <c r="BZ36" s="14">
        <f>BZ37+BZ38+BZ43+#REF!+#REF!</f>
        <v/>
      </c>
      <c r="CA36" s="528" t="n"/>
      <c r="CB36" s="528" t="n"/>
      <c r="CC36" s="528" t="n"/>
      <c r="CD36" s="14">
        <f>CD37+CD38+CD43+#REF!+#REF!</f>
        <v/>
      </c>
      <c r="CE36" s="40">
        <f>AX36+BA36+BH36+BK36+BN36+BQ36+BR36+BV36+BZ36+CD36</f>
        <v/>
      </c>
    </row>
    <row r="37" ht="15.75" customHeight="1" s="191">
      <c r="A37" s="604" t="n">
        <v>4</v>
      </c>
      <c r="B37" s="55" t="inlineStr">
        <is>
          <t>a</t>
        </is>
      </c>
      <c r="C37" s="139" t="n">
        <v>-1</v>
      </c>
      <c r="D37" s="160">
        <f>CONCATENATE(A$1,"_",A37,"_",B37,"_",C37)</f>
        <v/>
      </c>
      <c r="E37" s="607" t="inlineStr">
        <is>
          <t>4.Modelowanie symulacyjne PKZ</t>
        </is>
      </c>
      <c r="F37" s="190" t="n"/>
      <c r="G37" s="190" t="n"/>
      <c r="H37" s="455" t="n"/>
      <c r="I37" s="190" t="n"/>
      <c r="J37" s="91">
        <f>M36+1</f>
        <v/>
      </c>
      <c r="K37" s="681">
        <f>VLOOKUP(J37,Kalendarz!B:E,4,FALSE)</f>
        <v/>
      </c>
      <c r="L37" s="681">
        <f>K37+N37</f>
        <v/>
      </c>
      <c r="M37" s="528">
        <f>J37+N37-1</f>
        <v/>
      </c>
      <c r="N37" s="474">
        <f>ROUND(MAX(AG37:AO37)/Listy!$U$2,0)</f>
        <v/>
      </c>
      <c r="O37" s="190" t="n"/>
      <c r="P37" s="190" t="n"/>
      <c r="Q37" s="190" t="n"/>
      <c r="R37" s="190" t="n"/>
      <c r="S37" s="190" t="n"/>
      <c r="T37" s="190" t="n"/>
      <c r="U37" s="190" t="n"/>
      <c r="V37" s="190" t="n"/>
      <c r="W37" s="190" t="n"/>
      <c r="X37" s="190" t="n"/>
      <c r="Y37" s="190" t="n"/>
      <c r="Z37" s="190" t="n"/>
      <c r="AA37" s="190" t="n"/>
      <c r="AB37" s="190" t="n"/>
      <c r="AC37" s="190" t="n"/>
      <c r="AD37" s="190" t="n"/>
      <c r="AE37" s="190" t="n"/>
      <c r="AF37" s="190" t="n"/>
      <c r="AG37" s="190" t="n"/>
      <c r="AH37" s="190" t="n"/>
      <c r="AI37" s="190" t="n"/>
      <c r="AJ37" s="190" t="n"/>
      <c r="AK37" s="190" t="n"/>
      <c r="AL37" s="190" t="n"/>
      <c r="AM37" s="190" t="n"/>
      <c r="AN37" s="190" t="n"/>
      <c r="AO37" s="190" t="n"/>
      <c r="AP37" s="190" t="n"/>
      <c r="AQ37" s="190" t="n"/>
      <c r="AR37" s="190" t="n"/>
      <c r="AS37" s="190" t="n"/>
      <c r="AT37" s="190" t="n"/>
      <c r="AU37" s="190" t="n"/>
      <c r="AV37" s="190" t="n"/>
      <c r="AW37" s="190" t="n"/>
      <c r="AX37" s="190" t="n"/>
      <c r="AY37" s="190" t="n"/>
      <c r="AZ37" s="190" t="n"/>
      <c r="BA37" s="190" t="n"/>
      <c r="BB37" s="190" t="n"/>
      <c r="BC37" s="190" t="n"/>
      <c r="BD37" s="190" t="n"/>
      <c r="BE37" s="190" t="n"/>
      <c r="BF37" s="190" t="n"/>
      <c r="BG37" s="190" t="n"/>
      <c r="BH37" s="190" t="n"/>
      <c r="BI37" s="190" t="n"/>
      <c r="BJ37" s="190" t="n"/>
      <c r="BK37" s="190" t="n"/>
      <c r="BL37" s="190" t="n"/>
      <c r="BM37" s="190" t="n"/>
      <c r="BN37" s="190" t="n"/>
      <c r="BO37" s="190" t="n"/>
      <c r="BP37" s="190" t="n"/>
      <c r="BQ37" s="190" t="n"/>
      <c r="BR37" s="190" t="n"/>
      <c r="BS37" s="190" t="n"/>
      <c r="BT37" s="190" t="n"/>
      <c r="BU37" s="190" t="n"/>
      <c r="BV37" s="190" t="n"/>
      <c r="BW37" s="190" t="n"/>
      <c r="BX37" s="190" t="n"/>
      <c r="BY37" s="190" t="n"/>
      <c r="BZ37" s="190" t="n"/>
      <c r="CA37" s="190" t="n"/>
      <c r="CB37" s="190" t="n"/>
      <c r="CC37" s="190" t="n"/>
      <c r="CD37" s="190" t="n"/>
      <c r="CE37" s="190" t="n"/>
      <c r="CF37" s="190" t="n"/>
    </row>
    <row r="38" ht="15.75" customHeight="1" s="191">
      <c r="A38" s="528" t="n">
        <v>4</v>
      </c>
      <c r="B38" s="55" t="inlineStr">
        <is>
          <t>a</t>
        </is>
      </c>
      <c r="C38" s="139" t="n">
        <v>0</v>
      </c>
      <c r="D38" s="160">
        <f>CONCATENATE(A$1,"_",A38,"_",B38,"_",C38)</f>
        <v/>
      </c>
      <c r="E38" s="526" t="inlineStr">
        <is>
          <t>Określenie kluczowych zmiennych</t>
        </is>
      </c>
      <c r="F38" s="528" t="n"/>
      <c r="G38" s="528" t="n"/>
      <c r="H38" s="45" t="n">
        <v>16</v>
      </c>
      <c r="I38" s="46" t="inlineStr">
        <is>
          <t>ACT/END</t>
        </is>
      </c>
      <c r="J38" s="91">
        <f>M37+1</f>
        <v/>
      </c>
      <c r="K38" s="681">
        <f>VLOOKUP(J38,Kalendarz!B:E,4,FALSE)</f>
        <v/>
      </c>
      <c r="L38" s="681">
        <f>K38+N38</f>
        <v/>
      </c>
      <c r="M38" s="528">
        <f>J38+N38-1</f>
        <v/>
      </c>
      <c r="N38" s="474" t="n">
        <v>1</v>
      </c>
      <c r="O38" s="45" t="n">
        <v>160</v>
      </c>
      <c r="P38" s="242" t="n">
        <v>0.17</v>
      </c>
      <c r="Q38" s="242" t="n">
        <v>0.16</v>
      </c>
      <c r="R38" s="242" t="n">
        <v>0</v>
      </c>
      <c r="S38" s="242" t="n">
        <v>0</v>
      </c>
      <c r="T38" s="242" t="n"/>
      <c r="U38" s="242" t="n"/>
      <c r="V38" s="242" t="n"/>
      <c r="W38" s="242" t="n"/>
      <c r="X38" s="242" t="n"/>
      <c r="Y38" s="243" t="n">
        <v>0.333</v>
      </c>
      <c r="Z38" s="243" t="n">
        <v>0.333</v>
      </c>
      <c r="AA38" s="243" t="n">
        <v>0</v>
      </c>
      <c r="AB38" s="243" t="n">
        <v>0</v>
      </c>
      <c r="AC38" s="300" t="n"/>
      <c r="AD38" s="300" t="n"/>
      <c r="AE38" s="300" t="n"/>
      <c r="AF38" s="300" t="n"/>
      <c r="AG38" s="297">
        <f>ROUND($O38*P38,0)</f>
        <v/>
      </c>
      <c r="AH38" s="297">
        <f>ROUND($O38*Q38,0)</f>
        <v/>
      </c>
      <c r="AI38" s="297">
        <f>ROUND($O38*R38,0)</f>
        <v/>
      </c>
      <c r="AJ38" s="297">
        <f>ROUND($O38*S38,0)</f>
        <v/>
      </c>
      <c r="AK38" s="297">
        <f>ROUND($O38*T38,0)</f>
        <v/>
      </c>
      <c r="AL38" s="297">
        <f>ROUND($O38*U38,0)</f>
        <v/>
      </c>
      <c r="AM38" s="297">
        <f>ROUND($O38*V38,0)</f>
        <v/>
      </c>
      <c r="AN38" s="297">
        <f>ROUND($O38*W38,0)</f>
        <v/>
      </c>
      <c r="AO38" s="297">
        <f>ROUND($O38*X38,0)</f>
        <v/>
      </c>
      <c r="AP38" s="298">
        <f>ROUND($O38*Y38,0)</f>
        <v/>
      </c>
      <c r="AQ38" s="298">
        <f>ROUND($O38*Z38,0)</f>
        <v/>
      </c>
      <c r="AR38" s="298">
        <f>ROUND($O38*AA38,0)</f>
        <v/>
      </c>
      <c r="AS38" s="298">
        <f>ROUND($O38*AB38,0)</f>
        <v/>
      </c>
      <c r="AT38" s="302">
        <f>ROUND($O38*AC38,0)</f>
        <v/>
      </c>
      <c r="AU38" s="302">
        <f>ROUND($O38*AD38,0)</f>
        <v/>
      </c>
      <c r="AV38" s="302">
        <f>ROUND($O38*AE38,0)</f>
        <v/>
      </c>
      <c r="AW38" s="302">
        <f>ROUND($O38*AF38,0)</f>
        <v/>
      </c>
      <c r="AX38" s="236">
        <f>SUM(AG38:AO38)</f>
        <v/>
      </c>
      <c r="AY38" s="231">
        <f>AX38/160</f>
        <v/>
      </c>
      <c r="AZ38" s="231">
        <f>VLOOKUP(I38,Listy!$A$1:$H$9,6,FALSE)</f>
        <v/>
      </c>
      <c r="BA38" s="690">
        <f>AY38*AZ38</f>
        <v/>
      </c>
      <c r="BB38" s="690">
        <f>AY38*BA38</f>
        <v/>
      </c>
      <c r="BC38" s="528" t="n"/>
      <c r="BD38" s="528" t="n"/>
      <c r="BE38" s="528" t="n"/>
      <c r="BF38" s="528" t="n"/>
      <c r="BG38" s="528" t="n"/>
      <c r="BH38" s="528">
        <f>BF38*BG38</f>
        <v/>
      </c>
      <c r="BI38" s="528" t="n"/>
      <c r="BJ38" s="528" t="n"/>
      <c r="BK38" s="528" t="n"/>
      <c r="BL38" s="528" t="n"/>
      <c r="BM38" s="528" t="n"/>
      <c r="BN38" s="528" t="n"/>
      <c r="BO38" s="528" t="n"/>
      <c r="BP38" s="528" t="n"/>
      <c r="BQ38" s="528" t="n"/>
      <c r="BR38" s="528" t="n"/>
      <c r="BS38" s="528" t="n"/>
      <c r="BT38" s="528" t="n"/>
      <c r="BU38" s="528" t="n"/>
      <c r="BV38" s="528">
        <f>BT38*BU38</f>
        <v/>
      </c>
      <c r="BW38" s="528" t="n"/>
      <c r="BX38" s="528" t="n"/>
      <c r="BY38" s="528" t="n"/>
      <c r="BZ38" s="528">
        <f>BX38*BY38</f>
        <v/>
      </c>
      <c r="CA38" s="528" t="n"/>
      <c r="CB38" s="528" t="n"/>
      <c r="CC38" s="528" t="n"/>
      <c r="CD38" s="528">
        <f>CB38*CC38</f>
        <v/>
      </c>
    </row>
    <row r="39" ht="15.75" customHeight="1" s="191">
      <c r="A39" s="528" t="n">
        <v>4</v>
      </c>
      <c r="B39" s="55" t="inlineStr">
        <is>
          <t>b</t>
        </is>
      </c>
      <c r="C39" s="139" t="n">
        <v>0</v>
      </c>
      <c r="D39" s="160">
        <f>CONCATENATE(A$1,"_",A39,"_",B39,"_",C39)</f>
        <v/>
      </c>
      <c r="E39" s="526" t="inlineStr">
        <is>
          <t>Budowa modeli dyskretnych  i relacyjnych</t>
        </is>
      </c>
      <c r="F39" s="528" t="n"/>
      <c r="G39" s="528" t="n"/>
      <c r="H39" s="133" t="n">
        <v>17</v>
      </c>
      <c r="I39" s="455" t="inlineStr">
        <is>
          <t>END</t>
        </is>
      </c>
      <c r="J39" s="91">
        <f>M38+1</f>
        <v/>
      </c>
      <c r="K39" s="681">
        <f>VLOOKUP(J39,Kalendarz!B:E,4,FALSE)</f>
        <v/>
      </c>
      <c r="L39" s="681">
        <f>K39+N39</f>
        <v/>
      </c>
      <c r="M39" s="528">
        <f>J39+N39-1</f>
        <v/>
      </c>
      <c r="N39" s="474" t="n">
        <v>1</v>
      </c>
      <c r="O39" s="45" t="n">
        <v>120</v>
      </c>
      <c r="P39" s="242" t="n">
        <v>0.163</v>
      </c>
      <c r="Q39" s="242" t="n">
        <v>0.17</v>
      </c>
      <c r="R39" s="242" t="n">
        <v>0</v>
      </c>
      <c r="S39" s="242" t="n">
        <v>0</v>
      </c>
      <c r="T39" s="242" t="n"/>
      <c r="U39" s="242" t="n"/>
      <c r="V39" s="242" t="n"/>
      <c r="W39" s="242" t="n"/>
      <c r="X39" s="242" t="n"/>
      <c r="Y39" s="243" t="n">
        <v>0</v>
      </c>
      <c r="Z39" s="243" t="n">
        <v>0.333</v>
      </c>
      <c r="AA39" s="243" t="n">
        <v>0.333</v>
      </c>
      <c r="AB39" s="243" t="n">
        <v>0</v>
      </c>
      <c r="AC39" s="300" t="n"/>
      <c r="AD39" s="300" t="n"/>
      <c r="AE39" s="300" t="n"/>
      <c r="AF39" s="300" t="n"/>
      <c r="AG39" s="297">
        <f>ROUND($O39*P39,0)</f>
        <v/>
      </c>
      <c r="AH39" s="297">
        <f>ROUND($O39*Q39,0)</f>
        <v/>
      </c>
      <c r="AI39" s="297">
        <f>ROUND($O39*R39,0)</f>
        <v/>
      </c>
      <c r="AJ39" s="297">
        <f>ROUND($O39*S39,0)</f>
        <v/>
      </c>
      <c r="AK39" s="297">
        <f>ROUND($O39*T39,0)</f>
        <v/>
      </c>
      <c r="AL39" s="297">
        <f>ROUND($O39*U39,0)</f>
        <v/>
      </c>
      <c r="AM39" s="297">
        <f>ROUND($O39*V39,0)</f>
        <v/>
      </c>
      <c r="AN39" s="297">
        <f>ROUND($O39*W39,0)</f>
        <v/>
      </c>
      <c r="AO39" s="297">
        <f>ROUND($O39*X39,0)</f>
        <v/>
      </c>
      <c r="AP39" s="298">
        <f>ROUND($O39*Y39,0)</f>
        <v/>
      </c>
      <c r="AQ39" s="298">
        <f>ROUND($O39*Z39,0)</f>
        <v/>
      </c>
      <c r="AR39" s="298">
        <f>ROUND($O39*AA39,0)</f>
        <v/>
      </c>
      <c r="AS39" s="298">
        <f>ROUND($O39*AB39,0)</f>
        <v/>
      </c>
      <c r="AT39" s="302">
        <f>ROUND($O39*AC39,0)</f>
        <v/>
      </c>
      <c r="AU39" s="302">
        <f>ROUND($O39*AD39,0)</f>
        <v/>
      </c>
      <c r="AV39" s="302">
        <f>ROUND($O39*AE39,0)</f>
        <v/>
      </c>
      <c r="AW39" s="302">
        <f>ROUND($O39*AF39,0)</f>
        <v/>
      </c>
      <c r="AX39" s="236">
        <f>SUM(AG39:AO39)</f>
        <v/>
      </c>
      <c r="AY39" s="231">
        <f>AX39/160</f>
        <v/>
      </c>
      <c r="AZ39" s="231">
        <f>VLOOKUP(I39,Listy!$A$1:$H$9,6,FALSE)</f>
        <v/>
      </c>
      <c r="BA39" s="690">
        <f>AY39*AZ39</f>
        <v/>
      </c>
      <c r="BB39" s="690">
        <f>AY39*BA39</f>
        <v/>
      </c>
      <c r="BC39" s="528" t="n"/>
      <c r="BD39" s="528" t="n"/>
      <c r="BE39" s="528" t="n"/>
      <c r="BF39" s="528" t="n"/>
      <c r="BG39" s="528" t="n"/>
      <c r="BI39" s="528" t="n"/>
      <c r="BJ39" s="528" t="n"/>
      <c r="BL39" s="528" t="n"/>
      <c r="BM39" s="528" t="n"/>
      <c r="BO39" s="528" t="n"/>
      <c r="BP39" s="528" t="n"/>
      <c r="BS39" s="528" t="n"/>
      <c r="BT39" s="528" t="n"/>
      <c r="BU39" s="528" t="n"/>
      <c r="BW39" s="528" t="n"/>
      <c r="BX39" s="528" t="n"/>
      <c r="BY39" s="528" t="n"/>
      <c r="CA39" s="528" t="n"/>
      <c r="CB39" s="528" t="n"/>
      <c r="CC39" s="528" t="n"/>
    </row>
    <row r="40" ht="15.75" customHeight="1" s="191">
      <c r="A40" s="528" t="n">
        <v>4</v>
      </c>
      <c r="B40" s="55" t="inlineStr">
        <is>
          <t>c</t>
        </is>
      </c>
      <c r="C40" s="139" t="n">
        <v>0</v>
      </c>
      <c r="D40" s="160">
        <f>CONCATENATE(A$1,"_",A40,"_",B40,"_",C40)</f>
        <v/>
      </c>
      <c r="E40" s="526" t="inlineStr">
        <is>
          <t>Opracowanie scenariuszy symulujących różne strategie w PKZ</t>
        </is>
      </c>
      <c r="F40" s="528" t="n"/>
      <c r="G40" s="528" t="n"/>
      <c r="H40" s="133" t="n">
        <v>17</v>
      </c>
      <c r="I40" s="455" t="inlineStr">
        <is>
          <t>END</t>
        </is>
      </c>
      <c r="J40" s="91">
        <f>M39+1</f>
        <v/>
      </c>
      <c r="K40" s="681">
        <f>VLOOKUP(J40,Kalendarz!B:E,4,FALSE)</f>
        <v/>
      </c>
      <c r="L40" s="681">
        <f>K40+N40</f>
        <v/>
      </c>
      <c r="M40" s="528">
        <f>J40+N40-1</f>
        <v/>
      </c>
      <c r="N40" s="474" t="n">
        <v>1</v>
      </c>
      <c r="O40" s="45" t="n">
        <v>160</v>
      </c>
      <c r="P40" s="242" t="n">
        <v>0</v>
      </c>
      <c r="Q40" s="242" t="n">
        <v>0</v>
      </c>
      <c r="R40" s="242" t="n">
        <v>0.173</v>
      </c>
      <c r="S40" s="242" t="n">
        <v>0.163</v>
      </c>
      <c r="T40" s="242" t="n"/>
      <c r="U40" s="242" t="n"/>
      <c r="V40" s="242" t="n"/>
      <c r="W40" s="242" t="n"/>
      <c r="X40" s="242" t="n"/>
      <c r="Y40" s="243" t="n">
        <v>0</v>
      </c>
      <c r="Z40" s="243" t="n">
        <v>0</v>
      </c>
      <c r="AA40" s="243" t="n">
        <v>0.333</v>
      </c>
      <c r="AB40" s="243" t="n">
        <v>0.333</v>
      </c>
      <c r="AC40" s="300" t="n"/>
      <c r="AD40" s="300" t="n"/>
      <c r="AE40" s="300" t="n"/>
      <c r="AF40" s="300" t="n"/>
      <c r="AG40" s="297">
        <f>ROUND($O40*P40,0)</f>
        <v/>
      </c>
      <c r="AH40" s="297">
        <f>ROUND($O40*Q40,0)</f>
        <v/>
      </c>
      <c r="AI40" s="297">
        <f>ROUND($O40*R40,0)</f>
        <v/>
      </c>
      <c r="AJ40" s="297">
        <f>ROUND($O40*S40,0)</f>
        <v/>
      </c>
      <c r="AK40" s="297">
        <f>ROUND($O40*T40,0)</f>
        <v/>
      </c>
      <c r="AL40" s="297">
        <f>ROUND($O40*U40,0)</f>
        <v/>
      </c>
      <c r="AM40" s="297">
        <f>ROUND($O40*V40,0)</f>
        <v/>
      </c>
      <c r="AN40" s="297">
        <f>ROUND($O40*W40,0)</f>
        <v/>
      </c>
      <c r="AO40" s="297">
        <f>ROUND($O40*X40,0)</f>
        <v/>
      </c>
      <c r="AP40" s="298">
        <f>ROUND($O40*Y40,0)</f>
        <v/>
      </c>
      <c r="AQ40" s="298">
        <f>ROUND($O40*Z40,0)</f>
        <v/>
      </c>
      <c r="AR40" s="298">
        <f>ROUND($O40*AA40,0)</f>
        <v/>
      </c>
      <c r="AS40" s="298">
        <f>ROUND($O40*AB40,0)</f>
        <v/>
      </c>
      <c r="AT40" s="302">
        <f>ROUND($O40*AC40,0)</f>
        <v/>
      </c>
      <c r="AU40" s="302">
        <f>ROUND($O40*AD40,0)</f>
        <v/>
      </c>
      <c r="AV40" s="302">
        <f>ROUND($O40*AE40,0)</f>
        <v/>
      </c>
      <c r="AW40" s="302">
        <f>ROUND($O40*AF40,0)</f>
        <v/>
      </c>
      <c r="AX40" s="236">
        <f>SUM(AG40:AO40)</f>
        <v/>
      </c>
      <c r="AY40" s="231">
        <f>AX40/160</f>
        <v/>
      </c>
      <c r="AZ40" s="231">
        <f>VLOOKUP(I40,Listy!$A$1:$H$9,6,FALSE)</f>
        <v/>
      </c>
      <c r="BA40" s="690">
        <f>AY40*AZ40</f>
        <v/>
      </c>
      <c r="BB40" s="690">
        <f>AY40*BA40</f>
        <v/>
      </c>
      <c r="BC40" s="528" t="n"/>
      <c r="BD40" s="528" t="n"/>
      <c r="BE40" s="528" t="n"/>
      <c r="BF40" s="528" t="n"/>
      <c r="BG40" s="528" t="n"/>
      <c r="BI40" s="528" t="n"/>
      <c r="BJ40" s="528" t="n"/>
      <c r="BL40" s="528" t="n"/>
      <c r="BM40" s="528" t="n"/>
      <c r="BO40" s="528" t="n"/>
      <c r="BP40" s="528" t="n"/>
      <c r="BS40" s="528" t="n"/>
      <c r="BT40" s="528" t="n"/>
      <c r="BU40" s="528" t="n"/>
      <c r="BW40" s="528" t="n"/>
      <c r="BX40" s="528" t="n"/>
      <c r="BY40" s="528" t="n"/>
      <c r="CA40" s="528" t="n"/>
      <c r="CB40" s="528" t="n"/>
      <c r="CC40" s="528" t="n"/>
    </row>
    <row r="41" ht="15.75" customHeight="1" s="191">
      <c r="A41" s="528" t="n">
        <v>4</v>
      </c>
      <c r="B41" s="55" t="inlineStr">
        <is>
          <t>d</t>
        </is>
      </c>
      <c r="C41" s="139" t="n">
        <v>0</v>
      </c>
      <c r="D41" s="160">
        <f>CONCATENATE(A$1,"_",A41,"_",B41,"_",C41)</f>
        <v/>
      </c>
      <c r="E41" s="526" t="inlineStr">
        <is>
          <t>Testy, optymalizacja, implementacja zmian</t>
        </is>
      </c>
      <c r="F41" s="528" t="n"/>
      <c r="G41" s="528" t="n"/>
      <c r="H41" s="133" t="n">
        <v>18</v>
      </c>
      <c r="I41" s="455" t="inlineStr">
        <is>
          <t>END</t>
        </is>
      </c>
      <c r="J41" s="91">
        <f>M40+1</f>
        <v/>
      </c>
      <c r="K41" s="681">
        <f>VLOOKUP(J41,Kalendarz!B:E,4,FALSE)</f>
        <v/>
      </c>
      <c r="L41" s="681">
        <f>K41+N41</f>
        <v/>
      </c>
      <c r="M41" s="528">
        <f>J41+N41-1</f>
        <v/>
      </c>
      <c r="N41" s="474" t="n">
        <v>1</v>
      </c>
      <c r="O41" s="45" t="n">
        <v>160</v>
      </c>
      <c r="P41" s="242" t="n">
        <v>0.12</v>
      </c>
      <c r="Q41" s="242" t="n">
        <v>0.13</v>
      </c>
      <c r="R41" s="242" t="n">
        <v>0</v>
      </c>
      <c r="S41" s="242" t="n">
        <v>0</v>
      </c>
      <c r="T41" s="242" t="n"/>
      <c r="U41" s="242" t="n"/>
      <c r="V41" s="242" t="n"/>
      <c r="W41" s="242" t="n"/>
      <c r="X41" s="242" t="n"/>
      <c r="Y41" s="243" t="n">
        <v>0.25</v>
      </c>
      <c r="Z41" s="243" t="n">
        <v>0.25</v>
      </c>
      <c r="AA41" s="243" t="n">
        <v>0.25</v>
      </c>
      <c r="AB41" s="243" t="n">
        <v>0</v>
      </c>
      <c r="AC41" s="300" t="n"/>
      <c r="AD41" s="300" t="n"/>
      <c r="AE41" s="300" t="n"/>
      <c r="AF41" s="300" t="n"/>
      <c r="AG41" s="297">
        <f>ROUND($O41*P41,0)</f>
        <v/>
      </c>
      <c r="AH41" s="297">
        <f>ROUND($O41*Q41,0)</f>
        <v/>
      </c>
      <c r="AI41" s="297">
        <f>ROUND($O41*R41,0)</f>
        <v/>
      </c>
      <c r="AJ41" s="297">
        <f>ROUND($O41*S41,0)</f>
        <v/>
      </c>
      <c r="AK41" s="297">
        <f>ROUND($O41*T41,0)</f>
        <v/>
      </c>
      <c r="AL41" s="297">
        <f>ROUND($O41*U41,0)</f>
        <v/>
      </c>
      <c r="AM41" s="297">
        <f>ROUND($O41*V41,0)</f>
        <v/>
      </c>
      <c r="AN41" s="297">
        <f>ROUND($O41*W41,0)</f>
        <v/>
      </c>
      <c r="AO41" s="297">
        <f>ROUND($O41*X41,0)</f>
        <v/>
      </c>
      <c r="AP41" s="298">
        <f>ROUND($O41*Y41,0)</f>
        <v/>
      </c>
      <c r="AQ41" s="298">
        <f>ROUND($O41*Z41,0)</f>
        <v/>
      </c>
      <c r="AR41" s="298">
        <f>ROUND($O41*AA41,0)</f>
        <v/>
      </c>
      <c r="AS41" s="298">
        <f>ROUND($O41*AB41,0)</f>
        <v/>
      </c>
      <c r="AT41" s="302">
        <f>ROUND($O41*AC41,0)</f>
        <v/>
      </c>
      <c r="AU41" s="302">
        <f>ROUND($O41*AD41,0)</f>
        <v/>
      </c>
      <c r="AV41" s="302">
        <f>ROUND($O41*AE41,0)</f>
        <v/>
      </c>
      <c r="AW41" s="302">
        <f>ROUND($O41*AF41,0)</f>
        <v/>
      </c>
      <c r="AX41" s="236">
        <f>SUM(AG41:AO41)</f>
        <v/>
      </c>
      <c r="AY41" s="231">
        <f>AX41/160</f>
        <v/>
      </c>
      <c r="AZ41" s="231">
        <f>VLOOKUP(I41,Listy!$A$1:$H$9,6,FALSE)</f>
        <v/>
      </c>
      <c r="BA41" s="690">
        <f>AY41*AZ41</f>
        <v/>
      </c>
      <c r="BB41" s="690">
        <f>AY41*BA41</f>
        <v/>
      </c>
      <c r="BC41" s="528" t="n"/>
      <c r="BD41" s="528" t="n"/>
      <c r="BE41" s="528" t="n"/>
      <c r="BF41" s="528" t="n"/>
      <c r="BG41" s="528" t="n"/>
      <c r="BI41" s="528" t="n"/>
      <c r="BJ41" s="528" t="n"/>
      <c r="BL41" s="528" t="n"/>
      <c r="BM41" s="528" t="n"/>
      <c r="BO41" s="528" t="n"/>
      <c r="BP41" s="528" t="n"/>
      <c r="BS41" s="528" t="n"/>
      <c r="BT41" s="528" t="n"/>
      <c r="BU41" s="528" t="n"/>
      <c r="BW41" s="528" t="n"/>
      <c r="BX41" s="528" t="n"/>
      <c r="BY41" s="528" t="n"/>
      <c r="CA41" s="528" t="n"/>
      <c r="CB41" s="528" t="n"/>
      <c r="CC41" s="528" t="n"/>
    </row>
    <row r="42" ht="15.75" customHeight="1" s="191">
      <c r="A42" s="604" t="n">
        <v>5</v>
      </c>
      <c r="B42" s="55" t="inlineStr">
        <is>
          <t>a</t>
        </is>
      </c>
      <c r="C42" s="139" t="n">
        <v>0</v>
      </c>
      <c r="D42" s="160">
        <f>CONCATENATE(A$1,"_",A42,"_",B42,"_",C42)</f>
        <v/>
      </c>
      <c r="E42" s="607" t="inlineStr">
        <is>
          <t>5.Symulacje i testy z CB</t>
        </is>
      </c>
      <c r="F42" s="190" t="n"/>
      <c r="G42" s="190" t="n"/>
      <c r="H42" s="46" t="n"/>
      <c r="I42" s="190" t="n"/>
      <c r="J42" s="91">
        <f>M41+1</f>
        <v/>
      </c>
      <c r="K42" s="681">
        <f>VLOOKUP(J42,Kalendarz!B:E,4,FALSE)</f>
        <v/>
      </c>
      <c r="L42" s="681">
        <f>K42+N42</f>
        <v/>
      </c>
      <c r="M42" s="528">
        <f>J42+N42-1</f>
        <v/>
      </c>
      <c r="N42" s="474">
        <f>ROUND(MAX(AG42:AO42)/Listy!$U$2,0)</f>
        <v/>
      </c>
      <c r="O42" s="190" t="n"/>
      <c r="P42" s="190" t="n"/>
      <c r="Q42" s="190" t="n"/>
      <c r="R42" s="190" t="n"/>
      <c r="S42" s="190" t="n"/>
      <c r="T42" s="190" t="n"/>
      <c r="U42" s="190" t="n"/>
      <c r="V42" s="190" t="n"/>
      <c r="W42" s="190" t="n"/>
      <c r="X42" s="190" t="n"/>
      <c r="Y42" s="190" t="n"/>
      <c r="Z42" s="190" t="n"/>
      <c r="AA42" s="190" t="n"/>
      <c r="AB42" s="190" t="n"/>
      <c r="AC42" s="190" t="n"/>
      <c r="AD42" s="190" t="n"/>
      <c r="AE42" s="190" t="n"/>
      <c r="AF42" s="190" t="n"/>
      <c r="AG42" s="190" t="n"/>
      <c r="AH42" s="190" t="n"/>
      <c r="AI42" s="190" t="n"/>
      <c r="AJ42" s="190" t="n"/>
      <c r="AK42" s="190" t="n"/>
      <c r="AL42" s="190" t="n"/>
      <c r="AM42" s="190" t="n"/>
      <c r="AN42" s="190" t="n"/>
      <c r="AO42" s="190" t="n"/>
      <c r="AP42" s="190" t="n"/>
      <c r="AQ42" s="190" t="n"/>
      <c r="AR42" s="190" t="n"/>
      <c r="AS42" s="190" t="n"/>
      <c r="AT42" s="190" t="n"/>
      <c r="AU42" s="190" t="n"/>
      <c r="AV42" s="190" t="n"/>
      <c r="AW42" s="190" t="n"/>
      <c r="AX42" s="190" t="n"/>
      <c r="AY42" s="190" t="n"/>
      <c r="AZ42" s="190" t="n"/>
      <c r="BA42" s="190" t="n"/>
      <c r="BB42" s="190" t="n"/>
      <c r="BC42" s="190" t="n"/>
      <c r="BD42" s="190" t="n"/>
      <c r="BE42" s="190" t="n"/>
      <c r="BF42" s="190" t="n"/>
      <c r="BG42" s="190" t="n"/>
      <c r="BH42" s="190" t="n"/>
      <c r="BI42" s="190" t="n"/>
      <c r="BJ42" s="190" t="n"/>
      <c r="BK42" s="190" t="n"/>
      <c r="BL42" s="190" t="n"/>
      <c r="BM42" s="190" t="n"/>
      <c r="BN42" s="190" t="n"/>
      <c r="BO42" s="190" t="n"/>
      <c r="BP42" s="190" t="n"/>
      <c r="BQ42" s="190" t="n"/>
      <c r="BR42" s="190" t="n"/>
      <c r="BS42" s="190" t="n"/>
      <c r="BT42" s="190" t="n"/>
      <c r="BU42" s="190" t="n"/>
      <c r="BV42" s="190" t="n"/>
      <c r="BW42" s="190" t="n"/>
      <c r="BX42" s="190" t="n"/>
      <c r="BY42" s="190" t="n"/>
      <c r="BZ42" s="190" t="n"/>
      <c r="CA42" s="190" t="n"/>
      <c r="CB42" s="190" t="n"/>
      <c r="CC42" s="190" t="n"/>
      <c r="CD42" s="190" t="n"/>
      <c r="CE42" s="190" t="n"/>
      <c r="CF42" s="190" t="n"/>
    </row>
    <row r="43" ht="15.75" customHeight="1" s="191">
      <c r="A43" s="528" t="n">
        <v>5</v>
      </c>
      <c r="B43" s="55" t="inlineStr">
        <is>
          <t>a</t>
        </is>
      </c>
      <c r="C43" s="139" t="n">
        <v>1</v>
      </c>
      <c r="D43" s="160">
        <f>CONCATENATE(A$1,"_",A43,"_",B43,"_",C43)</f>
        <v/>
      </c>
      <c r="E43" s="526" t="inlineStr">
        <is>
          <t>Symulacje etapów PKZ</t>
        </is>
      </c>
      <c r="F43" s="528" t="n"/>
      <c r="G43" s="528" t="n"/>
      <c r="H43" s="133" t="n">
        <v>19</v>
      </c>
      <c r="I43" s="528" t="inlineStr">
        <is>
          <t>ACT/END</t>
        </is>
      </c>
      <c r="J43" s="91">
        <f>M42+1</f>
        <v/>
      </c>
      <c r="K43" s="681">
        <f>VLOOKUP(J43,Kalendarz!B:E,4,FALSE)</f>
        <v/>
      </c>
      <c r="L43" s="681">
        <f>K43+N43</f>
        <v/>
      </c>
      <c r="M43" s="528">
        <f>J43+N43-1</f>
        <v/>
      </c>
      <c r="N43" s="474" t="n">
        <v>1</v>
      </c>
      <c r="O43" s="45" t="n">
        <v>120</v>
      </c>
      <c r="P43" s="242" t="n">
        <v>0.17</v>
      </c>
      <c r="Q43" s="242" t="n">
        <v>0.163</v>
      </c>
      <c r="R43" s="242" t="n">
        <v>0</v>
      </c>
      <c r="S43" s="242" t="n">
        <v>0</v>
      </c>
      <c r="T43" s="242" t="n"/>
      <c r="U43" s="242" t="n"/>
      <c r="V43" s="242" t="n"/>
      <c r="W43" s="242" t="n"/>
      <c r="X43" s="242" t="n"/>
      <c r="Y43" s="243" t="n">
        <v>0.333</v>
      </c>
      <c r="Z43" s="243" t="n">
        <v>0</v>
      </c>
      <c r="AA43" s="243" t="n">
        <v>0</v>
      </c>
      <c r="AB43" s="243" t="n">
        <v>0.333</v>
      </c>
      <c r="AC43" s="300" t="n"/>
      <c r="AD43" s="300" t="n"/>
      <c r="AE43" s="300" t="n"/>
      <c r="AF43" s="300" t="n"/>
      <c r="AG43" s="297">
        <f>ROUND($O43*P43,0)</f>
        <v/>
      </c>
      <c r="AH43" s="297">
        <f>ROUND($O43*Q43,0)</f>
        <v/>
      </c>
      <c r="AI43" s="297">
        <f>ROUND($O43*R43,0)</f>
        <v/>
      </c>
      <c r="AJ43" s="297">
        <f>ROUND($O43*S43,0)</f>
        <v/>
      </c>
      <c r="AK43" s="297">
        <f>ROUND($O43*T43,0)</f>
        <v/>
      </c>
      <c r="AL43" s="297">
        <f>ROUND($O43*U43,0)</f>
        <v/>
      </c>
      <c r="AM43" s="297">
        <f>ROUND($O43*V43,0)</f>
        <v/>
      </c>
      <c r="AN43" s="297">
        <f>ROUND($O43*W43,0)</f>
        <v/>
      </c>
      <c r="AO43" s="297">
        <f>ROUND($O43*X43,0)</f>
        <v/>
      </c>
      <c r="AP43" s="298">
        <f>ROUND($O43*Y43,0)</f>
        <v/>
      </c>
      <c r="AQ43" s="298">
        <f>ROUND($O43*Z43,0)</f>
        <v/>
      </c>
      <c r="AR43" s="298">
        <f>ROUND($O43*AA43,0)</f>
        <v/>
      </c>
      <c r="AS43" s="298">
        <f>ROUND($O43*AB43,0)</f>
        <v/>
      </c>
      <c r="AT43" s="302">
        <f>ROUND($O43*AC43,0)</f>
        <v/>
      </c>
      <c r="AU43" s="302">
        <f>ROUND($O43*AD43,0)</f>
        <v/>
      </c>
      <c r="AV43" s="302">
        <f>ROUND($O43*AE43,0)</f>
        <v/>
      </c>
      <c r="AW43" s="302">
        <f>ROUND($O43*AF43,0)</f>
        <v/>
      </c>
      <c r="AX43" s="236">
        <f>SUM(AG43:AO43)</f>
        <v/>
      </c>
      <c r="AY43" s="231">
        <f>AX43/160</f>
        <v/>
      </c>
      <c r="AZ43" s="231">
        <f>VLOOKUP(I43,Listy!$A$1:$H$9,6,FALSE)</f>
        <v/>
      </c>
      <c r="BA43" s="690">
        <f>AY43*AZ43</f>
        <v/>
      </c>
      <c r="BB43" s="690">
        <f>AY43*BA43</f>
        <v/>
      </c>
      <c r="BC43" s="528" t="n"/>
      <c r="BD43" s="528" t="n"/>
      <c r="BE43" s="528" t="n"/>
      <c r="BF43" s="528" t="n"/>
      <c r="BG43" s="528" t="n"/>
      <c r="BH43" s="528">
        <f>BF43*BG43</f>
        <v/>
      </c>
      <c r="BI43" s="528" t="n"/>
      <c r="BJ43" s="528" t="n"/>
      <c r="BK43" s="528" t="n"/>
      <c r="BL43" s="528" t="n"/>
      <c r="BM43" s="528" t="n"/>
      <c r="BN43" s="528" t="n"/>
      <c r="BO43" s="528" t="n"/>
      <c r="BP43" s="528" t="n"/>
      <c r="BQ43" s="528" t="n"/>
      <c r="BR43" s="528" t="n"/>
      <c r="BS43" s="528" t="n"/>
      <c r="BT43" s="528" t="n"/>
      <c r="BU43" s="528" t="n"/>
      <c r="BV43" s="528">
        <f>BT43*BU43</f>
        <v/>
      </c>
      <c r="BW43" s="528" t="n"/>
      <c r="BX43" s="528" t="n"/>
      <c r="BY43" s="528" t="n"/>
      <c r="BZ43" s="528">
        <f>BX43*BY43</f>
        <v/>
      </c>
      <c r="CA43" s="528" t="n"/>
      <c r="CB43" s="528" t="n"/>
      <c r="CC43" s="528" t="n"/>
      <c r="CD43" s="528">
        <f>CB43*CC43</f>
        <v/>
      </c>
    </row>
    <row r="44" ht="15.75" customHeight="1" s="191">
      <c r="A44" s="528" t="n">
        <v>5</v>
      </c>
      <c r="B44" s="55" t="inlineStr">
        <is>
          <t>b</t>
        </is>
      </c>
      <c r="C44" s="139" t="n">
        <v>1</v>
      </c>
      <c r="D44" s="160">
        <f>CONCATENATE(A$1,"_",A44,"_",B44,"_",C44)</f>
        <v/>
      </c>
      <c r="E44" s="526" t="inlineStr">
        <is>
          <t>Testowanie algorytmów AI/ML w symulowanym środowisku</t>
        </is>
      </c>
      <c r="F44" s="528" t="n"/>
      <c r="G44" s="528" t="n"/>
      <c r="H44" s="133" t="n">
        <v>20</v>
      </c>
      <c r="I44" s="528" t="inlineStr">
        <is>
          <t>ACT/END</t>
        </is>
      </c>
      <c r="J44" s="91">
        <f>M43+1</f>
        <v/>
      </c>
      <c r="K44" s="681">
        <f>VLOOKUP(J44,Kalendarz!B:E,4,FALSE)</f>
        <v/>
      </c>
      <c r="L44" s="681">
        <f>K44+N44</f>
        <v/>
      </c>
      <c r="M44" s="528">
        <f>J44+N44-1</f>
        <v/>
      </c>
      <c r="N44" s="474" t="n">
        <v>0</v>
      </c>
      <c r="O44" s="45" t="n">
        <v>120</v>
      </c>
      <c r="P44" s="242" t="n">
        <v>0</v>
      </c>
      <c r="Q44" s="242" t="n">
        <v>0</v>
      </c>
      <c r="R44" s="242" t="n">
        <v>0.17</v>
      </c>
      <c r="S44" s="242" t="n">
        <v>0.163</v>
      </c>
      <c r="T44" s="242" t="n"/>
      <c r="U44" s="242" t="n"/>
      <c r="V44" s="242" t="n"/>
      <c r="W44" s="242" t="n"/>
      <c r="X44" s="242" t="n"/>
      <c r="Y44" s="243" t="n">
        <v>0</v>
      </c>
      <c r="Z44" s="243" t="n">
        <v>0.333</v>
      </c>
      <c r="AA44" s="243" t="n">
        <v>0.333</v>
      </c>
      <c r="AB44" s="243" t="n">
        <v>0</v>
      </c>
      <c r="AC44" s="300" t="n"/>
      <c r="AD44" s="300" t="n"/>
      <c r="AE44" s="300" t="n"/>
      <c r="AF44" s="300" t="n"/>
      <c r="AG44" s="297">
        <f>ROUND($O44*P44,0)</f>
        <v/>
      </c>
      <c r="AH44" s="297">
        <f>ROUND($O44*Q44,0)</f>
        <v/>
      </c>
      <c r="AI44" s="297">
        <f>ROUND($O44*R44,0)</f>
        <v/>
      </c>
      <c r="AJ44" s="297">
        <f>ROUND($O44*S44,0)</f>
        <v/>
      </c>
      <c r="AK44" s="297">
        <f>ROUND($O44*T44,0)</f>
        <v/>
      </c>
      <c r="AL44" s="297">
        <f>ROUND($O44*U44,0)</f>
        <v/>
      </c>
      <c r="AM44" s="297">
        <f>ROUND($O44*V44,0)</f>
        <v/>
      </c>
      <c r="AN44" s="297">
        <f>ROUND($O44*W44,0)</f>
        <v/>
      </c>
      <c r="AO44" s="297">
        <f>ROUND($O44*X44,0)</f>
        <v/>
      </c>
      <c r="AP44" s="298">
        <f>ROUND($O44*Y44,0)</f>
        <v/>
      </c>
      <c r="AQ44" s="298">
        <f>ROUND($O44*Z44,0)</f>
        <v/>
      </c>
      <c r="AR44" s="298">
        <f>ROUND($O44*AA44,0)</f>
        <v/>
      </c>
      <c r="AS44" s="298">
        <f>ROUND($O44*AB44,0)</f>
        <v/>
      </c>
      <c r="AT44" s="302">
        <f>ROUND($O44*AC44,0)</f>
        <v/>
      </c>
      <c r="AU44" s="302">
        <f>ROUND($O44*AD44,0)</f>
        <v/>
      </c>
      <c r="AV44" s="302">
        <f>ROUND($O44*AE44,0)</f>
        <v/>
      </c>
      <c r="AW44" s="302">
        <f>ROUND($O44*AF44,0)</f>
        <v/>
      </c>
      <c r="AX44" s="236">
        <f>SUM(AG44:AO44)</f>
        <v/>
      </c>
      <c r="AY44" s="231">
        <f>AX44/160</f>
        <v/>
      </c>
      <c r="AZ44" s="231">
        <f>VLOOKUP(I44,Listy!$A$1:$H$9,6,FALSE)</f>
        <v/>
      </c>
      <c r="BA44" s="690">
        <f>AY44*AZ44</f>
        <v/>
      </c>
      <c r="BB44" s="690">
        <f>AY44*BA44</f>
        <v/>
      </c>
      <c r="BC44" s="528" t="n"/>
      <c r="BD44" s="528" t="n"/>
      <c r="BE44" s="528" t="n"/>
      <c r="BF44" s="528" t="n"/>
      <c r="BG44" s="528" t="n"/>
      <c r="BI44" s="528" t="n"/>
      <c r="BJ44" s="528" t="n"/>
      <c r="BL44" s="528" t="n"/>
      <c r="BM44" s="528" t="n"/>
      <c r="BO44" s="528" t="n"/>
      <c r="BP44" s="528" t="n"/>
      <c r="BS44" s="528" t="n"/>
      <c r="BT44" s="528" t="n"/>
      <c r="BU44" s="528" t="n"/>
      <c r="BW44" s="528" t="n"/>
      <c r="BX44" s="528" t="n"/>
      <c r="BY44" s="528" t="n"/>
      <c r="CA44" s="528" t="n"/>
      <c r="CB44" s="528" t="n"/>
      <c r="CC44" s="528" t="n"/>
    </row>
    <row r="45" ht="15.75" customHeight="1" s="191">
      <c r="A45" s="528" t="n">
        <v>5</v>
      </c>
      <c r="B45" s="55" t="inlineStr">
        <is>
          <t>c</t>
        </is>
      </c>
      <c r="C45" s="139" t="n">
        <v>1</v>
      </c>
      <c r="D45" s="160">
        <f>CONCATENATE(A$1,"_",A45,"_",B45,"_",C45)</f>
        <v/>
      </c>
      <c r="E45" s="526" t="inlineStr">
        <is>
          <t>Uczenie/trening modeli</t>
        </is>
      </c>
      <c r="F45" s="528" t="n"/>
      <c r="G45" s="528" t="n"/>
      <c r="H45" s="133" t="n">
        <v>20</v>
      </c>
      <c r="I45" s="528" t="inlineStr">
        <is>
          <t>ACT/END</t>
        </is>
      </c>
      <c r="J45" s="91">
        <f>M44+1</f>
        <v/>
      </c>
      <c r="K45" s="681">
        <f>VLOOKUP(J45,Kalendarz!B:E,4,FALSE)</f>
        <v/>
      </c>
      <c r="L45" s="681">
        <f>K45+N45</f>
        <v/>
      </c>
      <c r="M45" s="528">
        <f>J45+N45-1</f>
        <v/>
      </c>
      <c r="N45" s="474" t="n">
        <v>0</v>
      </c>
      <c r="O45" s="45" t="n">
        <v>120</v>
      </c>
      <c r="P45" s="242" t="n">
        <v>0.17</v>
      </c>
      <c r="Q45" s="242" t="n">
        <v>0.163</v>
      </c>
      <c r="R45" s="242" t="n">
        <v>0</v>
      </c>
      <c r="S45" s="242" t="n">
        <v>0</v>
      </c>
      <c r="T45" s="242" t="n"/>
      <c r="U45" s="242" t="n"/>
      <c r="V45" s="242" t="n"/>
      <c r="W45" s="242" t="n"/>
      <c r="X45" s="242" t="n"/>
      <c r="Y45" s="243" t="n">
        <v>0</v>
      </c>
      <c r="Z45" s="243" t="n">
        <v>0.333</v>
      </c>
      <c r="AA45" s="243" t="n">
        <v>0.333</v>
      </c>
      <c r="AB45" s="243" t="n">
        <v>0</v>
      </c>
      <c r="AC45" s="300" t="n"/>
      <c r="AD45" s="300" t="n"/>
      <c r="AE45" s="300" t="n"/>
      <c r="AF45" s="300" t="n"/>
      <c r="AG45" s="297">
        <f>ROUND($O45*P45,0)</f>
        <v/>
      </c>
      <c r="AH45" s="297">
        <f>ROUND($O45*Q45,0)</f>
        <v/>
      </c>
      <c r="AI45" s="297">
        <f>ROUND($O45*R45,0)</f>
        <v/>
      </c>
      <c r="AJ45" s="297">
        <f>ROUND($O45*S45,0)</f>
        <v/>
      </c>
      <c r="AK45" s="297">
        <f>ROUND($O45*T45,0)</f>
        <v/>
      </c>
      <c r="AL45" s="297">
        <f>ROUND($O45*U45,0)</f>
        <v/>
      </c>
      <c r="AM45" s="297">
        <f>ROUND($O45*V45,0)</f>
        <v/>
      </c>
      <c r="AN45" s="297">
        <f>ROUND($O45*W45,0)</f>
        <v/>
      </c>
      <c r="AO45" s="297">
        <f>ROUND($O45*X45,0)</f>
        <v/>
      </c>
      <c r="AP45" s="298">
        <f>ROUND($O45*Y45,0)</f>
        <v/>
      </c>
      <c r="AQ45" s="298">
        <f>ROUND($O45*Z45,0)</f>
        <v/>
      </c>
      <c r="AR45" s="298">
        <f>ROUND($O45*AA45,0)</f>
        <v/>
      </c>
      <c r="AS45" s="298">
        <f>ROUND($O45*AB45,0)</f>
        <v/>
      </c>
      <c r="AT45" s="302">
        <f>ROUND($O45*AC45,0)</f>
        <v/>
      </c>
      <c r="AU45" s="302">
        <f>ROUND($O45*AD45,0)</f>
        <v/>
      </c>
      <c r="AV45" s="302">
        <f>ROUND($O45*AE45,0)</f>
        <v/>
      </c>
      <c r="AW45" s="302">
        <f>ROUND($O45*AF45,0)</f>
        <v/>
      </c>
      <c r="AX45" s="236">
        <f>SUM(AG45:AO45)</f>
        <v/>
      </c>
      <c r="AY45" s="231">
        <f>AX45/160</f>
        <v/>
      </c>
      <c r="AZ45" s="231">
        <f>VLOOKUP(I45,Listy!$A$1:$H$9,6,FALSE)</f>
        <v/>
      </c>
      <c r="BA45" s="690">
        <f>AY45*AZ45</f>
        <v/>
      </c>
      <c r="BB45" s="690">
        <f>AY45*BA45</f>
        <v/>
      </c>
      <c r="BC45" s="528" t="n"/>
      <c r="BD45" s="528" t="n"/>
      <c r="BE45" s="528" t="n"/>
      <c r="BF45" s="528" t="n"/>
      <c r="BG45" s="528" t="n"/>
      <c r="BI45" s="528" t="n"/>
      <c r="BJ45" s="528" t="n"/>
      <c r="BL45" s="528" t="n"/>
      <c r="BM45" s="528" t="n"/>
      <c r="BO45" s="528" t="n"/>
      <c r="BP45" s="528" t="n"/>
      <c r="BS45" s="528" t="n"/>
      <c r="BT45" s="528" t="n"/>
      <c r="BU45" s="528" t="n"/>
      <c r="BW45" s="528" t="n"/>
      <c r="BX45" s="528" t="n"/>
      <c r="BY45" s="528" t="n"/>
      <c r="CA45" s="528" t="n"/>
      <c r="CB45" s="528" t="n"/>
      <c r="CC45" s="528" t="n"/>
    </row>
    <row r="46" ht="15.75" customHeight="1" s="191" thickBot="1">
      <c r="A46" s="604" t="n">
        <v>6</v>
      </c>
      <c r="C46" s="139" t="n">
        <v>0</v>
      </c>
      <c r="D46" s="160">
        <f>CONCATENATE(A$1,"_",A46,"_",B46,"_",C46)</f>
        <v/>
      </c>
      <c r="E46" s="607" t="inlineStr">
        <is>
          <t>6.Analiza wyników symulacji i testów</t>
        </is>
      </c>
      <c r="F46" s="190" t="n"/>
      <c r="G46" s="190" t="n"/>
      <c r="H46" s="455" t="n"/>
      <c r="I46" s="190" t="n"/>
      <c r="J46" s="91">
        <f>M45+1</f>
        <v/>
      </c>
      <c r="K46" s="681">
        <f>VLOOKUP(J46,Kalendarz!B:E,4,FALSE)</f>
        <v/>
      </c>
      <c r="L46" s="681">
        <f>K46+N46</f>
        <v/>
      </c>
      <c r="M46" s="528">
        <f>J46+N46-1</f>
        <v/>
      </c>
      <c r="N46" s="474">
        <f>ROUND(MAX(AG46:AO46)/Listy!$U$2,0)</f>
        <v/>
      </c>
      <c r="O46" s="190" t="n"/>
      <c r="P46" s="190" t="n"/>
      <c r="Q46" s="190" t="n"/>
      <c r="R46" s="190" t="n"/>
      <c r="S46" s="190" t="n"/>
      <c r="T46" s="190" t="n"/>
      <c r="U46" s="190" t="n"/>
      <c r="V46" s="190" t="n"/>
      <c r="W46" s="190" t="n"/>
      <c r="X46" s="190" t="n"/>
      <c r="Y46" s="190" t="n"/>
      <c r="Z46" s="190" t="n"/>
      <c r="AA46" s="190" t="n"/>
      <c r="AB46" s="190" t="n"/>
      <c r="AC46" s="190" t="n"/>
      <c r="AD46" s="190" t="n"/>
      <c r="AE46" s="190" t="n"/>
      <c r="AF46" s="190" t="n"/>
      <c r="AG46" s="190" t="n"/>
      <c r="AH46" s="190" t="n"/>
      <c r="AI46" s="190" t="n"/>
      <c r="AJ46" s="190" t="n"/>
      <c r="AK46" s="190" t="n"/>
      <c r="AL46" s="190" t="n"/>
      <c r="AM46" s="190" t="n"/>
      <c r="AN46" s="190" t="n"/>
      <c r="AO46" s="190" t="n"/>
      <c r="AP46" s="190" t="n"/>
      <c r="AQ46" s="190" t="n"/>
      <c r="AR46" s="190" t="n"/>
      <c r="AS46" s="190" t="n"/>
      <c r="AT46" s="190" t="n"/>
      <c r="AU46" s="190" t="n"/>
      <c r="AV46" s="190" t="n"/>
      <c r="AW46" s="190" t="n"/>
      <c r="AX46" s="190" t="n"/>
      <c r="AY46" s="190" t="n"/>
      <c r="AZ46" s="190" t="n"/>
      <c r="BA46" s="190" t="n"/>
      <c r="BB46" s="190" t="n"/>
      <c r="BC46" s="190" t="n"/>
      <c r="BD46" s="190" t="n"/>
      <c r="BE46" s="190" t="n"/>
      <c r="BF46" s="190" t="n"/>
      <c r="BG46" s="190" t="n"/>
      <c r="BH46" s="190" t="n"/>
      <c r="BI46" s="190" t="n"/>
      <c r="BJ46" s="190" t="n"/>
      <c r="BK46" s="190" t="n"/>
      <c r="BL46" s="190" t="n"/>
      <c r="BM46" s="190" t="n"/>
      <c r="BN46" s="190" t="n"/>
      <c r="BO46" s="190" t="n"/>
      <c r="BP46" s="190" t="n"/>
      <c r="BQ46" s="190" t="n"/>
      <c r="BR46" s="190" t="n"/>
      <c r="BS46" s="190" t="n"/>
      <c r="BT46" s="190" t="n"/>
      <c r="BU46" s="190" t="n"/>
      <c r="BV46" s="190" t="n"/>
      <c r="BW46" s="190" t="n"/>
      <c r="BX46" s="190" t="n"/>
      <c r="BY46" s="190" t="n"/>
      <c r="BZ46" s="190" t="n"/>
      <c r="CA46" s="190" t="n"/>
      <c r="CB46" s="190" t="n"/>
      <c r="CC46" s="190" t="n"/>
      <c r="CD46" s="190" t="n"/>
      <c r="CE46" s="190" t="n"/>
      <c r="CF46" s="190" t="n"/>
    </row>
    <row r="47" s="191" thickBot="1">
      <c r="A47" s="528" t="n">
        <v>6</v>
      </c>
      <c r="B47" s="55" t="inlineStr">
        <is>
          <t>a</t>
        </is>
      </c>
      <c r="C47" s="139" t="n">
        <v>1</v>
      </c>
      <c r="D47" s="160">
        <f>CONCATENATE(A$1,"_",A47,"_",B47,"_",C47)</f>
        <v/>
      </c>
      <c r="E47" s="526" t="inlineStr">
        <is>
          <t>Analiza wyników</t>
        </is>
      </c>
      <c r="F47" s="528" t="n"/>
      <c r="G47" s="528" t="n"/>
      <c r="H47" s="455" t="n">
        <v>21</v>
      </c>
      <c r="I47" s="528" t="inlineStr">
        <is>
          <t>ACT/END</t>
        </is>
      </c>
      <c r="J47" s="91">
        <f>M46+1</f>
        <v/>
      </c>
      <c r="K47" s="681">
        <f>VLOOKUP(J47,Kalendarz!B:E,4,FALSE)</f>
        <v/>
      </c>
      <c r="L47" s="681">
        <f>K47+N47</f>
        <v/>
      </c>
      <c r="M47" s="528">
        <f>J47+N47-1</f>
        <v/>
      </c>
      <c r="N47" s="474" t="n">
        <v>1</v>
      </c>
      <c r="O47" s="529" t="n">
        <v>80</v>
      </c>
      <c r="P47" s="242" t="n">
        <v>0</v>
      </c>
      <c r="Q47" s="242" t="n">
        <v>0.25</v>
      </c>
      <c r="R47" s="242" t="n">
        <v>0.25</v>
      </c>
      <c r="S47" s="242" t="n">
        <v>0.25</v>
      </c>
      <c r="T47" s="242" t="n"/>
      <c r="U47" s="242" t="n"/>
      <c r="V47" s="242" t="n"/>
      <c r="W47" s="242" t="n"/>
      <c r="X47" s="242" t="n"/>
      <c r="Y47" s="243" t="n">
        <v>0</v>
      </c>
      <c r="Z47" s="243" t="n">
        <v>0.25</v>
      </c>
      <c r="AA47" s="243" t="n">
        <v>0</v>
      </c>
      <c r="AB47" s="243" t="n">
        <v>0</v>
      </c>
      <c r="AC47" s="300" t="n"/>
      <c r="AD47" s="300" t="n"/>
      <c r="AE47" s="300" t="n"/>
      <c r="AF47" s="300" t="n"/>
      <c r="AG47" s="297">
        <f>ROUND($O47*P47,0)</f>
        <v/>
      </c>
      <c r="AH47" s="297">
        <f>ROUND($O47*Q47,0)</f>
        <v/>
      </c>
      <c r="AI47" s="297">
        <f>ROUND($O47*R47,0)</f>
        <v/>
      </c>
      <c r="AJ47" s="297">
        <f>ROUND($O47*S47,0)</f>
        <v/>
      </c>
      <c r="AK47" s="297">
        <f>ROUND($O47*T47,0)</f>
        <v/>
      </c>
      <c r="AL47" s="297">
        <f>ROUND($O47*U47,0)</f>
        <v/>
      </c>
      <c r="AM47" s="297">
        <f>ROUND($O47*V47,0)</f>
        <v/>
      </c>
      <c r="AN47" s="297">
        <f>ROUND($O47*W47,0)</f>
        <v/>
      </c>
      <c r="AO47" s="297">
        <f>ROUND($O47*X47,0)</f>
        <v/>
      </c>
      <c r="AP47" s="298">
        <f>ROUND($O47*Y47,0)</f>
        <v/>
      </c>
      <c r="AQ47" s="298">
        <f>ROUND($O47*Z47,0)</f>
        <v/>
      </c>
      <c r="AR47" s="298">
        <f>ROUND($O47*AA47,0)</f>
        <v/>
      </c>
      <c r="AS47" s="298">
        <f>ROUND($O47*AB47,0)</f>
        <v/>
      </c>
      <c r="AT47" s="302">
        <f>ROUND($O47*AC47,0)</f>
        <v/>
      </c>
      <c r="AU47" s="302">
        <f>ROUND($O47*AD47,0)</f>
        <v/>
      </c>
      <c r="AV47" s="302">
        <f>ROUND($O47*AE47,0)</f>
        <v/>
      </c>
      <c r="AW47" s="302">
        <f>ROUND($O47*AF47,0)</f>
        <v/>
      </c>
      <c r="AX47" s="236">
        <f>SUM(AG47:AO47)</f>
        <v/>
      </c>
      <c r="AY47" s="231">
        <f>AX47/160</f>
        <v/>
      </c>
      <c r="AZ47" s="231">
        <f>VLOOKUP(I47,Listy!$A$1:$H$9,6,FALSE)</f>
        <v/>
      </c>
      <c r="BA47" s="690">
        <f>AY47*AZ47</f>
        <v/>
      </c>
      <c r="BB47" s="690">
        <f>AY47*BA47</f>
        <v/>
      </c>
      <c r="BC47" s="528" t="n"/>
      <c r="BD47" s="528" t="n"/>
      <c r="BE47" s="528" t="n"/>
      <c r="BF47" s="528" t="n"/>
      <c r="BG47" s="528" t="n"/>
      <c r="BH47" s="35">
        <f>BH48+BH52+BH55+BH60</f>
        <v/>
      </c>
      <c r="BI47" s="528" t="n"/>
      <c r="BJ47" s="528" t="n"/>
      <c r="BK47" s="35">
        <f>BK48+BK52+BK55+BK60</f>
        <v/>
      </c>
      <c r="BL47" s="528" t="n"/>
      <c r="BM47" s="528" t="n"/>
      <c r="BN47" s="35">
        <f>BN48+BN52+BN55+BN60</f>
        <v/>
      </c>
      <c r="BO47" s="528" t="n"/>
      <c r="BP47" s="528" t="n"/>
      <c r="BQ47" s="35">
        <f>BQ48+BQ52+BQ55+BQ60</f>
        <v/>
      </c>
      <c r="BR47" s="35">
        <f>BR48+BR52+BR55+BR60</f>
        <v/>
      </c>
      <c r="BS47" s="528" t="n"/>
      <c r="BT47" s="528" t="n"/>
      <c r="BU47" s="528" t="n"/>
      <c r="BV47" s="35">
        <f>BV48+BV52+BV55+BV60</f>
        <v/>
      </c>
      <c r="BW47" s="528" t="n"/>
      <c r="BX47" s="528" t="n"/>
      <c r="BY47" s="528" t="n"/>
      <c r="BZ47" s="35">
        <f>BZ48+BZ52+BZ55+BZ60</f>
        <v/>
      </c>
      <c r="CA47" s="528" t="n"/>
      <c r="CB47" s="528" t="n"/>
      <c r="CC47" s="528" t="n"/>
      <c r="CD47" s="35">
        <f>CD48+CD52+CD55+CD60</f>
        <v/>
      </c>
      <c r="CE47" s="40">
        <f>AX47+BA47+BH47+BK47+BN47+BQ47+BR47+BV47+BZ47+CD47</f>
        <v/>
      </c>
    </row>
    <row r="48" ht="28.8" customHeight="1" s="191">
      <c r="A48" s="528" t="n">
        <v>6</v>
      </c>
      <c r="B48" s="55" t="inlineStr">
        <is>
          <t>b</t>
        </is>
      </c>
      <c r="C48" s="139" t="n">
        <v>1</v>
      </c>
      <c r="D48" s="160">
        <f>CONCATENATE(A$1,"_",A48,"_",B48,"_",C48)</f>
        <v/>
      </c>
      <c r="E48" s="526" t="inlineStr">
        <is>
          <t>Optymalizacja algorytmów (dopasowanie do zmieniających się warunków operacyjnych)</t>
        </is>
      </c>
      <c r="F48" s="528" t="n"/>
      <c r="G48" s="528" t="n"/>
      <c r="H48" s="133" t="n">
        <v>22</v>
      </c>
      <c r="I48" s="528" t="inlineStr">
        <is>
          <t>ACT/END</t>
        </is>
      </c>
      <c r="J48" s="91">
        <f>M47+1</f>
        <v/>
      </c>
      <c r="K48" s="681">
        <f>VLOOKUP(J48,Kalendarz!B:E,4,FALSE)</f>
        <v/>
      </c>
      <c r="L48" s="681">
        <f>K48+N48</f>
        <v/>
      </c>
      <c r="M48" s="528">
        <f>J48+N48-1</f>
        <v/>
      </c>
      <c r="N48" s="474" t="n">
        <v>0</v>
      </c>
      <c r="O48" s="529" t="n">
        <v>120</v>
      </c>
      <c r="P48" s="242" t="n">
        <v>0.163</v>
      </c>
      <c r="Q48" s="242" t="n">
        <v>0.173</v>
      </c>
      <c r="R48" s="242" t="n">
        <v>0</v>
      </c>
      <c r="S48" s="242" t="n">
        <v>0</v>
      </c>
      <c r="T48" s="242" t="n"/>
      <c r="U48" s="242" t="n"/>
      <c r="V48" s="242" t="n"/>
      <c r="W48" s="242" t="n"/>
      <c r="X48" s="242" t="n"/>
      <c r="Y48" s="243" t="n">
        <v>0.33</v>
      </c>
      <c r="Z48" s="243" t="n">
        <v>0</v>
      </c>
      <c r="AA48" s="243" t="n">
        <v>0.33</v>
      </c>
      <c r="AB48" s="243" t="n">
        <v>0</v>
      </c>
      <c r="AC48" s="300" t="n"/>
      <c r="AD48" s="300" t="n"/>
      <c r="AE48" s="300" t="n"/>
      <c r="AF48" s="300" t="n"/>
      <c r="AG48" s="297">
        <f>ROUND($O48*P48,0)</f>
        <v/>
      </c>
      <c r="AH48" s="297">
        <f>ROUND($O48*Q48,0)</f>
        <v/>
      </c>
      <c r="AI48" s="297">
        <f>ROUND($O48*R48,0)</f>
        <v/>
      </c>
      <c r="AJ48" s="297">
        <f>ROUND($O48*S48,0)</f>
        <v/>
      </c>
      <c r="AK48" s="297">
        <f>ROUND($O48*T48,0)</f>
        <v/>
      </c>
      <c r="AL48" s="297">
        <f>ROUND($O48*U48,0)</f>
        <v/>
      </c>
      <c r="AM48" s="297">
        <f>ROUND($O48*V48,0)</f>
        <v/>
      </c>
      <c r="AN48" s="297">
        <f>ROUND($O48*W48,0)</f>
        <v/>
      </c>
      <c r="AO48" s="297">
        <f>ROUND($O48*X48,0)</f>
        <v/>
      </c>
      <c r="AP48" s="298">
        <f>ROUND($O48*Y48,0)</f>
        <v/>
      </c>
      <c r="AQ48" s="298">
        <f>ROUND($O48*Z48,0)</f>
        <v/>
      </c>
      <c r="AR48" s="298">
        <f>ROUND($O48*AA48,0)</f>
        <v/>
      </c>
      <c r="AS48" s="298">
        <f>ROUND($O48*AB48,0)</f>
        <v/>
      </c>
      <c r="AT48" s="302">
        <f>ROUND($O48*AC48,0)</f>
        <v/>
      </c>
      <c r="AU48" s="302">
        <f>ROUND($O48*AD48,0)</f>
        <v/>
      </c>
      <c r="AV48" s="302">
        <f>ROUND($O48*AE48,0)</f>
        <v/>
      </c>
      <c r="AW48" s="302">
        <f>ROUND($O48*AF48,0)</f>
        <v/>
      </c>
      <c r="AX48" s="236">
        <f>SUM(AG48:AO48)</f>
        <v/>
      </c>
      <c r="AY48" s="231">
        <f>AX48/160</f>
        <v/>
      </c>
      <c r="AZ48" s="231">
        <f>VLOOKUP(I48,Listy!$A$1:$H$9,6,FALSE)</f>
        <v/>
      </c>
      <c r="BA48" s="690">
        <f>AY48*AZ48</f>
        <v/>
      </c>
      <c r="BB48" s="690">
        <f>AY48*BA48</f>
        <v/>
      </c>
      <c r="BC48" s="528" t="n"/>
      <c r="BD48" s="528" t="n"/>
      <c r="BE48" s="528" t="n"/>
      <c r="BF48" s="528" t="n"/>
      <c r="BG48" s="528" t="n"/>
      <c r="BH48" s="21">
        <f>BF48*BG48</f>
        <v/>
      </c>
      <c r="BI48" s="528" t="n"/>
      <c r="BJ48" s="528" t="n"/>
      <c r="BK48" s="21" t="n"/>
      <c r="BL48" s="528" t="n"/>
      <c r="BM48" s="528" t="n"/>
      <c r="BN48" s="21" t="n"/>
      <c r="BO48" s="528" t="n"/>
      <c r="BP48" s="528" t="n"/>
      <c r="BQ48" s="21" t="n"/>
      <c r="BR48" s="21" t="n"/>
      <c r="BS48" s="528" t="n"/>
      <c r="BT48" s="528" t="n"/>
      <c r="BU48" s="528" t="n"/>
      <c r="BV48" s="21">
        <f>BT48*BU48</f>
        <v/>
      </c>
      <c r="BW48" s="528" t="n"/>
      <c r="BX48" s="528" t="n"/>
      <c r="BY48" s="528" t="n"/>
      <c r="BZ48" s="21">
        <f>BX48*BY48</f>
        <v/>
      </c>
      <c r="CA48" s="528" t="n"/>
      <c r="CB48" s="528" t="n"/>
      <c r="CC48" s="528" t="n"/>
      <c r="CD48" s="21">
        <f>CB48*CC48</f>
        <v/>
      </c>
    </row>
    <row r="49" ht="28.8" customHeight="1" s="191">
      <c r="A49" s="528" t="n">
        <v>6</v>
      </c>
      <c r="B49" s="55" t="inlineStr">
        <is>
          <t>c</t>
        </is>
      </c>
      <c r="C49" s="139" t="n">
        <v>1</v>
      </c>
      <c r="D49" s="160">
        <f>CONCATENATE(A$1,"_",A49,"_",B49,"_",C49)</f>
        <v/>
      </c>
      <c r="E49" s="526" t="inlineStr">
        <is>
          <t>Opracowanie dynamicznych harmonogramów PKZ (aktualne obciążeniu zamówienia, dostępne zasoby)</t>
        </is>
      </c>
      <c r="F49" s="528" t="n"/>
      <c r="G49" s="528" t="n"/>
      <c r="H49" s="133" t="n">
        <v>23</v>
      </c>
      <c r="I49" s="528" t="inlineStr">
        <is>
          <t>ACT/END</t>
        </is>
      </c>
      <c r="J49" s="91">
        <f>M48+1</f>
        <v/>
      </c>
      <c r="K49" s="681">
        <f>VLOOKUP(J49,Kalendarz!B:E,4,FALSE)</f>
        <v/>
      </c>
      <c r="L49" s="681">
        <f>K49+N49</f>
        <v/>
      </c>
      <c r="M49" s="528">
        <f>J49+N49-1</f>
        <v/>
      </c>
      <c r="N49" s="474" t="n">
        <v>1</v>
      </c>
      <c r="O49" s="529" t="n">
        <v>160</v>
      </c>
      <c r="P49" s="242" t="n">
        <v>0</v>
      </c>
      <c r="Q49" s="242" t="n">
        <v>0</v>
      </c>
      <c r="R49" s="242" t="n">
        <v>0.25</v>
      </c>
      <c r="S49" s="242" t="n">
        <v>0.25</v>
      </c>
      <c r="T49" s="242" t="n"/>
      <c r="U49" s="242" t="n"/>
      <c r="V49" s="242" t="n"/>
      <c r="W49" s="242" t="n"/>
      <c r="X49" s="242" t="n"/>
      <c r="Y49" s="243" t="n">
        <v>0.25</v>
      </c>
      <c r="Z49" s="243" t="n">
        <v>0</v>
      </c>
      <c r="AA49" s="243" t="n">
        <v>0.25</v>
      </c>
      <c r="AB49" s="243" t="n">
        <v>0</v>
      </c>
      <c r="AC49" s="300" t="n"/>
      <c r="AD49" s="300" t="n"/>
      <c r="AE49" s="300" t="n"/>
      <c r="AF49" s="300" t="n"/>
      <c r="AG49" s="297">
        <f>ROUND($O49*P49,0)</f>
        <v/>
      </c>
      <c r="AH49" s="297">
        <f>ROUND($O49*Q49,0)</f>
        <v/>
      </c>
      <c r="AI49" s="297">
        <f>ROUND($O49*R49,0)</f>
        <v/>
      </c>
      <c r="AJ49" s="297">
        <f>ROUND($O49*S49,0)</f>
        <v/>
      </c>
      <c r="AK49" s="297">
        <f>ROUND($O49*T49,0)</f>
        <v/>
      </c>
      <c r="AL49" s="297">
        <f>ROUND($O49*U49,0)</f>
        <v/>
      </c>
      <c r="AM49" s="297">
        <f>ROUND($O49*V49,0)</f>
        <v/>
      </c>
      <c r="AN49" s="297">
        <f>ROUND($O49*W49,0)</f>
        <v/>
      </c>
      <c r="AO49" s="297">
        <f>ROUND($O49*X49,0)</f>
        <v/>
      </c>
      <c r="AP49" s="298">
        <f>ROUND($O49*Y49,0)</f>
        <v/>
      </c>
      <c r="AQ49" s="298">
        <f>ROUND($O49*Z49,0)</f>
        <v/>
      </c>
      <c r="AR49" s="298">
        <f>ROUND($O49*AA49,0)</f>
        <v/>
      </c>
      <c r="AS49" s="298">
        <f>ROUND($O49*AB49,0)</f>
        <v/>
      </c>
      <c r="AT49" s="302">
        <f>ROUND($O49*AC49,0)</f>
        <v/>
      </c>
      <c r="AU49" s="302">
        <f>ROUND($O49*AD49,0)</f>
        <v/>
      </c>
      <c r="AV49" s="302">
        <f>ROUND($O49*AE49,0)</f>
        <v/>
      </c>
      <c r="AW49" s="302">
        <f>ROUND($O49*AF49,0)</f>
        <v/>
      </c>
      <c r="AX49" s="236">
        <f>SUM(AG49:AO49)</f>
        <v/>
      </c>
      <c r="AY49" s="231">
        <f>AX49/160</f>
        <v/>
      </c>
      <c r="AZ49" s="231">
        <f>VLOOKUP(I49,Listy!$A$1:$H$9,6,FALSE)</f>
        <v/>
      </c>
      <c r="BA49" s="690">
        <f>AY49*AZ49</f>
        <v/>
      </c>
      <c r="BB49" s="690">
        <f>AY49*BA49</f>
        <v/>
      </c>
      <c r="BC49" s="528" t="n"/>
      <c r="BD49" s="528" t="n"/>
      <c r="BE49" s="528" t="n"/>
      <c r="BF49" s="528" t="n"/>
      <c r="BG49" s="528" t="n"/>
      <c r="BI49" s="528" t="n"/>
      <c r="BJ49" s="528" t="n"/>
      <c r="BL49" s="528" t="n"/>
      <c r="BM49" s="528" t="n"/>
      <c r="BO49" s="528" t="n"/>
      <c r="BP49" s="528" t="n"/>
      <c r="BS49" s="528" t="n"/>
      <c r="BT49" s="528" t="n"/>
      <c r="BU49" s="528" t="n"/>
      <c r="BW49" s="528" t="n"/>
      <c r="BX49" s="528" t="n"/>
      <c r="BY49" s="528" t="n"/>
      <c r="CA49" s="528" t="n"/>
      <c r="CB49" s="528" t="n"/>
      <c r="CC49" s="528" t="n"/>
    </row>
    <row r="50" ht="28.8" customHeight="1" s="191">
      <c r="A50" s="528" t="n">
        <v>6</v>
      </c>
      <c r="B50" s="55" t="inlineStr">
        <is>
          <t>d</t>
        </is>
      </c>
      <c r="C50" s="139" t="n">
        <v>1</v>
      </c>
      <c r="D50" s="160">
        <f>CONCATENATE(A$1,"_",A50,"_",B50,"_",C50)</f>
        <v/>
      </c>
      <c r="E50" s="526" t="inlineStr">
        <is>
          <t>Porównanie wyników symulacji. Ocena efektywności czasu kompletacji w zależności od sezonowości, sytuacji nadzwyczajnych, oszczędności</t>
        </is>
      </c>
      <c r="F50" s="528" t="n"/>
      <c r="G50" s="528" t="n"/>
      <c r="H50" s="528" t="n">
        <v>24</v>
      </c>
      <c r="I50" s="528" t="inlineStr">
        <is>
          <t>ACT/END</t>
        </is>
      </c>
      <c r="J50" s="91">
        <f>M49+1</f>
        <v/>
      </c>
      <c r="K50" s="681">
        <f>VLOOKUP(J50,Kalendarz!B:E,4,FALSE)</f>
        <v/>
      </c>
      <c r="L50" s="681">
        <f>K50+N50</f>
        <v/>
      </c>
      <c r="M50" s="528">
        <f>J50+N50-1</f>
        <v/>
      </c>
      <c r="N50" s="474" t="n">
        <v>2</v>
      </c>
      <c r="O50" s="529" t="n">
        <v>120</v>
      </c>
      <c r="P50" s="242" t="n">
        <v>0.5</v>
      </c>
      <c r="Q50" s="242" t="n">
        <v>0.5</v>
      </c>
      <c r="R50" s="242" t="n">
        <v>0</v>
      </c>
      <c r="S50" s="242" t="n">
        <v>0</v>
      </c>
      <c r="T50" s="242" t="n"/>
      <c r="U50" s="242" t="n"/>
      <c r="V50" s="242" t="n"/>
      <c r="W50" s="242" t="n"/>
      <c r="X50" s="242" t="n"/>
      <c r="Y50" s="243" t="n">
        <v>0</v>
      </c>
      <c r="Z50" s="243" t="n">
        <v>0</v>
      </c>
      <c r="AA50" s="243" t="n">
        <v>0</v>
      </c>
      <c r="AB50" s="243" t="n">
        <v>0</v>
      </c>
      <c r="AC50" s="300" t="n"/>
      <c r="AD50" s="300" t="n"/>
      <c r="AE50" s="300" t="n"/>
      <c r="AF50" s="300" t="n"/>
      <c r="AG50" s="297">
        <f>ROUND($O50*P50,0)</f>
        <v/>
      </c>
      <c r="AH50" s="297">
        <f>ROUND($O50*Q50,0)</f>
        <v/>
      </c>
      <c r="AI50" s="297">
        <f>ROUND($O50*R50,0)</f>
        <v/>
      </c>
      <c r="AJ50" s="297">
        <f>ROUND($O50*S50,0)</f>
        <v/>
      </c>
      <c r="AK50" s="297">
        <f>ROUND($O50*T50,0)</f>
        <v/>
      </c>
      <c r="AL50" s="297">
        <f>ROUND($O50*U50,0)</f>
        <v/>
      </c>
      <c r="AM50" s="297">
        <f>ROUND($O50*V50,0)</f>
        <v/>
      </c>
      <c r="AN50" s="297">
        <f>ROUND($O50*W50,0)</f>
        <v/>
      </c>
      <c r="AO50" s="297">
        <f>ROUND($O50*X50,0)</f>
        <v/>
      </c>
      <c r="AP50" s="298">
        <f>ROUND($O50*Y50,0)</f>
        <v/>
      </c>
      <c r="AQ50" s="298">
        <f>ROUND($O50*Z50,0)</f>
        <v/>
      </c>
      <c r="AR50" s="298">
        <f>ROUND($O50*AA50,0)</f>
        <v/>
      </c>
      <c r="AS50" s="298">
        <f>ROUND($O50*AB50,0)</f>
        <v/>
      </c>
      <c r="AT50" s="302">
        <f>ROUND($O50*AC50,0)</f>
        <v/>
      </c>
      <c r="AU50" s="302">
        <f>ROUND($O50*AD50,0)</f>
        <v/>
      </c>
      <c r="AV50" s="302">
        <f>ROUND($O50*AE50,0)</f>
        <v/>
      </c>
      <c r="AW50" s="302">
        <f>ROUND($O50*AF50,0)</f>
        <v/>
      </c>
      <c r="AX50" s="236">
        <f>SUM(AG50:AO50)</f>
        <v/>
      </c>
      <c r="AY50" s="231">
        <f>AX50/160</f>
        <v/>
      </c>
      <c r="AZ50" s="231">
        <f>VLOOKUP(I50,Listy!$A$1:$H$9,6,FALSE)</f>
        <v/>
      </c>
      <c r="BA50" s="690">
        <f>AY50*AZ50</f>
        <v/>
      </c>
      <c r="BB50" s="690">
        <f>AY50*BA50</f>
        <v/>
      </c>
      <c r="BC50" s="528" t="n"/>
      <c r="BD50" s="528" t="n"/>
      <c r="BE50" s="528" t="n"/>
      <c r="BF50" s="528" t="n"/>
      <c r="BG50" s="528" t="n"/>
      <c r="BI50" s="528" t="n"/>
      <c r="BJ50" s="528" t="n"/>
      <c r="BL50" s="528" t="n"/>
      <c r="BM50" s="528" t="n"/>
      <c r="BO50" s="528" t="n"/>
      <c r="BP50" s="528" t="n"/>
      <c r="BS50" s="528" t="n"/>
      <c r="BT50" s="528" t="n"/>
      <c r="BU50" s="528" t="n"/>
      <c r="BW50" s="528" t="n"/>
      <c r="BX50" s="528" t="n"/>
      <c r="BY50" s="528" t="n"/>
      <c r="CA50" s="528" t="n"/>
      <c r="CB50" s="528" t="n"/>
      <c r="CC50" s="528" t="n"/>
    </row>
    <row r="51" ht="50.4" customHeight="1" s="191">
      <c r="A51" s="528" t="n">
        <v>6</v>
      </c>
      <c r="B51" s="55" t="inlineStr">
        <is>
          <t>e</t>
        </is>
      </c>
      <c r="C51" s="139" t="n">
        <v>1</v>
      </c>
      <c r="D51" s="160">
        <f>CONCATENATE(A$1,"_",A51,"_",B51,"_",C51)</f>
        <v/>
      </c>
      <c r="E51" s="526" t="inlineStr">
        <is>
          <t>Wybór Modelu rekomendującego optymalny sposób rozłożenia towarów, optymalizującego: czas realizacji za-mówień, trasy i czas przejazdu kartonów po przenośnikach, pracę personelu i przepustowości przenośników</t>
        </is>
      </c>
      <c r="F51" s="528" t="n"/>
      <c r="G51" s="528" t="n"/>
      <c r="H51" s="45" t="n">
        <v>24</v>
      </c>
      <c r="I51" s="528" t="inlineStr">
        <is>
          <t>ACT/END</t>
        </is>
      </c>
      <c r="J51" s="91">
        <f>M50+1</f>
        <v/>
      </c>
      <c r="K51" s="681">
        <f>VLOOKUP(J51,Kalendarz!B:E,4,FALSE)</f>
        <v/>
      </c>
      <c r="L51" s="681">
        <f>K51+N51</f>
        <v/>
      </c>
      <c r="M51" s="528">
        <f>J51+N51-1</f>
        <v/>
      </c>
      <c r="N51" s="474" t="n">
        <v>1</v>
      </c>
      <c r="O51" s="529" t="n">
        <v>120</v>
      </c>
      <c r="P51" s="242" t="n">
        <v>0</v>
      </c>
      <c r="Q51" s="242" t="n">
        <v>0</v>
      </c>
      <c r="R51" s="242" t="n">
        <v>0.333</v>
      </c>
      <c r="S51" s="242" t="n">
        <v>0.333</v>
      </c>
      <c r="T51" s="242" t="n"/>
      <c r="U51" s="242" t="n"/>
      <c r="V51" s="242" t="n"/>
      <c r="W51" s="242" t="n"/>
      <c r="X51" s="242" t="n"/>
      <c r="Y51" s="243" t="n">
        <v>0.333</v>
      </c>
      <c r="Z51" s="243" t="n">
        <v>0</v>
      </c>
      <c r="AA51" s="243" t="n">
        <v>0</v>
      </c>
      <c r="AB51" s="243" t="n">
        <v>0</v>
      </c>
      <c r="AC51" s="300" t="n"/>
      <c r="AD51" s="300" t="n"/>
      <c r="AE51" s="300" t="n"/>
      <c r="AF51" s="300" t="n"/>
      <c r="AG51" s="297">
        <f>ROUND($O51*P51,0)</f>
        <v/>
      </c>
      <c r="AH51" s="297">
        <f>ROUND($O51*Q51,0)</f>
        <v/>
      </c>
      <c r="AI51" s="297">
        <f>ROUND($O51*R51,0)</f>
        <v/>
      </c>
      <c r="AJ51" s="297">
        <f>ROUND($O51*S51,0)</f>
        <v/>
      </c>
      <c r="AK51" s="297">
        <f>ROUND($O51*T51,0)</f>
        <v/>
      </c>
      <c r="AL51" s="297">
        <f>ROUND($O51*U51,0)</f>
        <v/>
      </c>
      <c r="AM51" s="297">
        <f>ROUND($O51*V51,0)</f>
        <v/>
      </c>
      <c r="AN51" s="297">
        <f>ROUND($O51*W51,0)</f>
        <v/>
      </c>
      <c r="AO51" s="297">
        <f>ROUND($O51*X51,0)</f>
        <v/>
      </c>
      <c r="AP51" s="298">
        <f>ROUND($O51*Y51,0)</f>
        <v/>
      </c>
      <c r="AQ51" s="298">
        <f>ROUND($O51*Z51,0)</f>
        <v/>
      </c>
      <c r="AR51" s="298">
        <f>ROUND($O51*AA51,0)</f>
        <v/>
      </c>
      <c r="AS51" s="298">
        <f>ROUND($O51*AB51,0)</f>
        <v/>
      </c>
      <c r="AT51" s="302">
        <f>ROUND($O51*AC51,0)</f>
        <v/>
      </c>
      <c r="AU51" s="302">
        <f>ROUND($O51*AD51,0)</f>
        <v/>
      </c>
      <c r="AV51" s="302">
        <f>ROUND($O51*AE51,0)</f>
        <v/>
      </c>
      <c r="AW51" s="302">
        <f>ROUND($O51*AF51,0)</f>
        <v/>
      </c>
      <c r="AX51" s="236">
        <f>SUM(AG51:AO51)</f>
        <v/>
      </c>
      <c r="AY51" s="231">
        <f>AX51/160</f>
        <v/>
      </c>
      <c r="AZ51" s="231">
        <f>VLOOKUP(I51,Listy!$A$1:$H$9,6,FALSE)</f>
        <v/>
      </c>
      <c r="BA51" s="690">
        <f>AY51*AZ51</f>
        <v/>
      </c>
      <c r="BB51" s="690">
        <f>AY51*BA51</f>
        <v/>
      </c>
      <c r="BC51" s="528" t="n"/>
      <c r="BD51" s="528" t="n"/>
      <c r="BE51" s="528" t="n"/>
      <c r="BF51" s="528" t="n"/>
      <c r="BG51" s="528" t="n"/>
      <c r="BI51" s="528" t="n"/>
      <c r="BJ51" s="528" t="n"/>
      <c r="BL51" s="528" t="n"/>
      <c r="BM51" s="528" t="n"/>
      <c r="BO51" s="528" t="n"/>
      <c r="BP51" s="528" t="n"/>
      <c r="BS51" s="528" t="n"/>
      <c r="BT51" s="528" t="n"/>
      <c r="BU51" s="528" t="n"/>
      <c r="BW51" s="528" t="n"/>
      <c r="BX51" s="528" t="n"/>
      <c r="BY51" s="528" t="n"/>
      <c r="CA51" s="528" t="n"/>
      <c r="CB51" s="528" t="n"/>
      <c r="CC51" s="528" t="n"/>
    </row>
    <row r="52" ht="15.75" customHeight="1" s="191">
      <c r="A52" s="604" t="n">
        <v>7</v>
      </c>
      <c r="B52" s="55" t="inlineStr">
        <is>
          <t>a</t>
        </is>
      </c>
      <c r="C52" s="139" t="n">
        <v>0</v>
      </c>
      <c r="D52" s="160">
        <f>CONCATENATE(A$1,"_",A52,"_",B52,"_",C52)</f>
        <v/>
      </c>
      <c r="E52" s="607" t="inlineStr">
        <is>
          <t>7.Walidacja i optymalizacja Modelu</t>
        </is>
      </c>
      <c r="F52" s="190" t="n"/>
      <c r="G52" s="190" t="n"/>
      <c r="H52" s="455" t="n"/>
      <c r="I52" s="190" t="n"/>
      <c r="J52" s="91">
        <f>M51+1</f>
        <v/>
      </c>
      <c r="K52" s="681">
        <f>VLOOKUP(J52,Kalendarz!B:E,4,FALSE)</f>
        <v/>
      </c>
      <c r="L52" s="681">
        <f>K52+N52</f>
        <v/>
      </c>
      <c r="M52" s="528">
        <f>J52+N52-1</f>
        <v/>
      </c>
      <c r="N52" s="474">
        <f>ROUND(MAX(AG52:AO52)/Listy!$U$2,0)</f>
        <v/>
      </c>
      <c r="O52" s="190" t="n"/>
      <c r="P52" s="190" t="n"/>
      <c r="Q52" s="190" t="n"/>
      <c r="R52" s="190" t="n"/>
      <c r="S52" s="190" t="n"/>
      <c r="T52" s="190" t="n"/>
      <c r="U52" s="190" t="n"/>
      <c r="V52" s="190" t="n"/>
      <c r="W52" s="190" t="n"/>
      <c r="X52" s="190" t="n"/>
      <c r="Y52" s="190" t="n"/>
      <c r="Z52" s="190" t="n"/>
      <c r="AA52" s="190" t="n"/>
      <c r="AB52" s="190" t="n"/>
      <c r="AC52" s="190" t="n"/>
      <c r="AD52" s="190" t="n"/>
      <c r="AE52" s="190" t="n"/>
      <c r="AF52" s="190" t="n"/>
      <c r="AG52" s="190" t="n"/>
      <c r="AH52" s="190" t="n"/>
      <c r="AI52" s="190" t="n"/>
      <c r="AJ52" s="190" t="n"/>
      <c r="AK52" s="190" t="n"/>
      <c r="AL52" s="190" t="n"/>
      <c r="AM52" s="190" t="n"/>
      <c r="AN52" s="190" t="n"/>
      <c r="AO52" s="190" t="n"/>
      <c r="AP52" s="190" t="n"/>
      <c r="AQ52" s="190" t="n"/>
      <c r="AR52" s="190" t="n"/>
      <c r="AS52" s="190" t="n"/>
      <c r="AT52" s="190" t="n"/>
      <c r="AU52" s="190" t="n"/>
      <c r="AV52" s="190" t="n"/>
      <c r="AW52" s="190" t="n"/>
      <c r="AX52" s="190" t="n"/>
      <c r="AY52" s="190" t="n"/>
      <c r="AZ52" s="190" t="n"/>
      <c r="BA52" s="190" t="n"/>
      <c r="BB52" s="190" t="n"/>
      <c r="BC52" s="190" t="n"/>
      <c r="BD52" s="190" t="n"/>
      <c r="BE52" s="190" t="n"/>
      <c r="BF52" s="190" t="n"/>
      <c r="BG52" s="190" t="n"/>
      <c r="BH52" s="190" t="n"/>
      <c r="BI52" s="190" t="n"/>
      <c r="BJ52" s="190" t="n"/>
      <c r="BK52" s="190" t="n"/>
      <c r="BL52" s="190" t="n"/>
      <c r="BM52" s="190" t="n"/>
      <c r="BN52" s="190" t="n"/>
      <c r="BO52" s="190" t="n"/>
      <c r="BP52" s="190" t="n"/>
      <c r="BQ52" s="190" t="n"/>
      <c r="BR52" s="190" t="n"/>
      <c r="BS52" s="190" t="n"/>
      <c r="BT52" s="190" t="n"/>
      <c r="BU52" s="190" t="n"/>
      <c r="BV52" s="190" t="n"/>
      <c r="BW52" s="190" t="n"/>
      <c r="BX52" s="190" t="n"/>
      <c r="BY52" s="190" t="n"/>
      <c r="BZ52" s="190" t="n"/>
      <c r="CA52" s="190" t="n"/>
      <c r="CB52" s="190" t="n"/>
      <c r="CC52" s="190" t="n"/>
      <c r="CD52" s="190" t="n"/>
      <c r="CE52" s="190" t="n"/>
      <c r="CF52" s="190" t="n"/>
    </row>
    <row r="53" ht="28.8" customHeight="1" s="191">
      <c r="A53" s="528" t="n">
        <v>7</v>
      </c>
      <c r="B53" s="55" t="inlineStr">
        <is>
          <t>a</t>
        </is>
      </c>
      <c r="C53" s="139" t="n">
        <v>1</v>
      </c>
      <c r="D53" s="160">
        <f>CONCATENATE(A$1,"_",A53,"_",B53,"_",C53)</f>
        <v/>
      </c>
      <c r="E53" s="526" t="inlineStr">
        <is>
          <t>Przeprowadzenie testów (np. krzyżowa walidacja, na nowych danych) w warunkach zbliżonych do rzeczywi-stych</t>
        </is>
      </c>
      <c r="F53" s="528" t="n"/>
      <c r="G53" s="528" t="n"/>
      <c r="H53" s="455" t="n">
        <v>25</v>
      </c>
      <c r="I53" s="51" t="inlineStr">
        <is>
          <t>ACT</t>
        </is>
      </c>
      <c r="J53" s="91">
        <f>M52+1</f>
        <v/>
      </c>
      <c r="K53" s="681">
        <f>VLOOKUP(J53,Kalendarz!B:E,4,FALSE)</f>
        <v/>
      </c>
      <c r="L53" s="681">
        <f>K53+N53</f>
        <v/>
      </c>
      <c r="M53" s="528">
        <f>J53+N53-1</f>
        <v/>
      </c>
      <c r="N53" s="474" t="n">
        <v>1</v>
      </c>
      <c r="O53" s="529" t="n">
        <v>160</v>
      </c>
      <c r="P53" s="242" t="n">
        <v>0.12</v>
      </c>
      <c r="Q53" s="242" t="n">
        <v>0.13</v>
      </c>
      <c r="R53" s="242" t="n">
        <v>0.12</v>
      </c>
      <c r="S53" s="242" t="n">
        <v>0.13</v>
      </c>
      <c r="T53" s="242" t="n"/>
      <c r="U53" s="242" t="n"/>
      <c r="V53" s="242" t="n"/>
      <c r="W53" s="242" t="n"/>
      <c r="X53" s="242" t="n"/>
      <c r="Y53" s="243" t="n">
        <v>0</v>
      </c>
      <c r="Z53" s="243" t="n">
        <v>0.25</v>
      </c>
      <c r="AA53" s="243" t="n">
        <v>0</v>
      </c>
      <c r="AB53" s="243" t="n">
        <v>0.25</v>
      </c>
      <c r="AC53" s="300" t="n"/>
      <c r="AD53" s="300" t="n"/>
      <c r="AE53" s="300" t="n"/>
      <c r="AF53" s="300" t="n"/>
      <c r="AG53" s="297">
        <f>ROUND($O53*P53,0)</f>
        <v/>
      </c>
      <c r="AH53" s="297">
        <f>ROUND($O53*Q53,0)</f>
        <v/>
      </c>
      <c r="AI53" s="297">
        <f>ROUND($O53*R53,0)</f>
        <v/>
      </c>
      <c r="AJ53" s="297">
        <f>ROUND($O53*S53,0)</f>
        <v/>
      </c>
      <c r="AK53" s="297">
        <f>ROUND($O53*T53,0)</f>
        <v/>
      </c>
      <c r="AL53" s="297">
        <f>ROUND($O53*U53,0)</f>
        <v/>
      </c>
      <c r="AM53" s="297">
        <f>ROUND($O53*V53,0)</f>
        <v/>
      </c>
      <c r="AN53" s="297">
        <f>ROUND($O53*W53,0)</f>
        <v/>
      </c>
      <c r="AO53" s="297">
        <f>ROUND($O53*X53,0)</f>
        <v/>
      </c>
      <c r="AP53" s="298">
        <f>ROUND($O53*Y53,0)</f>
        <v/>
      </c>
      <c r="AQ53" s="298">
        <f>ROUND($O53*Z53,0)</f>
        <v/>
      </c>
      <c r="AR53" s="298">
        <f>ROUND($O53*AA53,0)</f>
        <v/>
      </c>
      <c r="AS53" s="298">
        <f>ROUND($O53*AB53,0)</f>
        <v/>
      </c>
      <c r="AT53" s="302">
        <f>ROUND($O53*AC53,0)</f>
        <v/>
      </c>
      <c r="AU53" s="302">
        <f>ROUND($O53*AD53,0)</f>
        <v/>
      </c>
      <c r="AV53" s="302">
        <f>ROUND($O53*AE53,0)</f>
        <v/>
      </c>
      <c r="AW53" s="302">
        <f>ROUND($O53*AF53,0)</f>
        <v/>
      </c>
      <c r="AX53" s="236">
        <f>SUM(AG53:AO53)</f>
        <v/>
      </c>
      <c r="AY53" s="231">
        <f>AX53/160</f>
        <v/>
      </c>
      <c r="AZ53" s="231">
        <f>VLOOKUP(I53,Listy!$A$1:$H$9,6,FALSE)</f>
        <v/>
      </c>
      <c r="BA53" s="690">
        <f>AY53*AZ53</f>
        <v/>
      </c>
      <c r="BB53" s="690">
        <f>AY53*BA53</f>
        <v/>
      </c>
      <c r="BC53" s="528" t="n"/>
      <c r="BD53" s="528" t="n"/>
      <c r="BE53" s="528" t="n"/>
      <c r="BF53" s="528" t="n"/>
      <c r="BG53" s="528" t="n"/>
      <c r="BI53" s="528" t="n"/>
      <c r="BJ53" s="528" t="n"/>
      <c r="BL53" s="528" t="n"/>
      <c r="BM53" s="528" t="n"/>
      <c r="BO53" s="528" t="n"/>
      <c r="BP53" s="528" t="n"/>
      <c r="BS53" s="528" t="n"/>
      <c r="BT53" s="528" t="n"/>
      <c r="BU53" s="528" t="n"/>
      <c r="BW53" s="528" t="n"/>
      <c r="BX53" s="528" t="n"/>
      <c r="BY53" s="528" t="n"/>
      <c r="CA53" s="528" t="n"/>
      <c r="CB53" s="528" t="n"/>
      <c r="CC53" s="528" t="n"/>
    </row>
    <row r="54" ht="28.8" customHeight="1" s="191">
      <c r="A54" s="528" t="n">
        <v>7</v>
      </c>
      <c r="B54" s="55" t="inlineStr">
        <is>
          <t>b</t>
        </is>
      </c>
      <c r="C54" s="139" t="n">
        <v>1</v>
      </c>
      <c r="D54" s="160">
        <f>CONCATENATE(A$1,"_",A54,"_",B54,"_",C54)</f>
        <v/>
      </c>
      <c r="E54" s="526" t="inlineStr">
        <is>
          <t>Monitorowanie i porównanie wyników Modelu z danymi operacyjnymi, ocena dokładności prognoz i skutecz-ności optymalizacji</t>
        </is>
      </c>
      <c r="F54" s="528" t="n"/>
      <c r="G54" s="528" t="n"/>
      <c r="H54" s="140" t="n">
        <v>26</v>
      </c>
      <c r="I54" s="51" t="inlineStr">
        <is>
          <t>ACT</t>
        </is>
      </c>
      <c r="J54" s="91">
        <f>M53+1</f>
        <v/>
      </c>
      <c r="K54" s="681">
        <f>VLOOKUP(J54,Kalendarz!B:E,4,FALSE)</f>
        <v/>
      </c>
      <c r="L54" s="681">
        <f>K54+N54</f>
        <v/>
      </c>
      <c r="M54" s="528">
        <f>J54+N54-1</f>
        <v/>
      </c>
      <c r="N54" s="474" t="n">
        <v>1</v>
      </c>
      <c r="O54" s="529" t="n">
        <v>120</v>
      </c>
      <c r="P54" s="242" t="n">
        <v>0.16</v>
      </c>
      <c r="Q54" s="242" t="n">
        <v>0.17</v>
      </c>
      <c r="R54" s="242" t="n">
        <v>0.17</v>
      </c>
      <c r="S54" s="242" t="n">
        <v>0.17</v>
      </c>
      <c r="T54" s="242" t="n"/>
      <c r="U54" s="242" t="n"/>
      <c r="V54" s="242" t="n"/>
      <c r="W54" s="242" t="n"/>
      <c r="X54" s="242" t="n"/>
      <c r="Y54" s="243" t="n">
        <v>0</v>
      </c>
      <c r="Z54" s="243" t="n">
        <v>0</v>
      </c>
      <c r="AA54" s="243" t="n">
        <v>0</v>
      </c>
      <c r="AB54" s="243" t="n">
        <v>0.333</v>
      </c>
      <c r="AC54" s="300" t="n"/>
      <c r="AD54" s="300" t="n"/>
      <c r="AE54" s="300" t="n"/>
      <c r="AF54" s="300" t="n"/>
      <c r="AG54" s="297">
        <f>ROUND($O54*P54,0)</f>
        <v/>
      </c>
      <c r="AH54" s="297">
        <f>ROUND($O54*Q54,0)</f>
        <v/>
      </c>
      <c r="AI54" s="297">
        <f>ROUND($O54*R54,0)</f>
        <v/>
      </c>
      <c r="AJ54" s="297">
        <f>ROUND($O54*S54,0)</f>
        <v/>
      </c>
      <c r="AK54" s="297">
        <f>ROUND($O54*T54,0)</f>
        <v/>
      </c>
      <c r="AL54" s="297">
        <f>ROUND($O54*U54,0)</f>
        <v/>
      </c>
      <c r="AM54" s="297">
        <f>ROUND($O54*V54,0)</f>
        <v/>
      </c>
      <c r="AN54" s="297">
        <f>ROUND($O54*W54,0)</f>
        <v/>
      </c>
      <c r="AO54" s="297">
        <f>ROUND($O54*X54,0)</f>
        <v/>
      </c>
      <c r="AP54" s="298">
        <f>ROUND($O54*Y54,0)</f>
        <v/>
      </c>
      <c r="AQ54" s="298">
        <f>ROUND($O54*Z54,0)</f>
        <v/>
      </c>
      <c r="AR54" s="298">
        <f>ROUND($O54*AA54,0)</f>
        <v/>
      </c>
      <c r="AS54" s="298">
        <f>ROUND($O54*AB54,0)</f>
        <v/>
      </c>
      <c r="AT54" s="302">
        <f>ROUND($O54*AC54,0)</f>
        <v/>
      </c>
      <c r="AU54" s="302">
        <f>ROUND($O54*AD54,0)</f>
        <v/>
      </c>
      <c r="AV54" s="302">
        <f>ROUND($O54*AE54,0)</f>
        <v/>
      </c>
      <c r="AW54" s="302">
        <f>ROUND($O54*AF54,0)</f>
        <v/>
      </c>
      <c r="AX54" s="236">
        <f>SUM(AG54:AO54)</f>
        <v/>
      </c>
      <c r="AY54" s="231">
        <f>AX54/160</f>
        <v/>
      </c>
      <c r="AZ54" s="231">
        <f>VLOOKUP(I54,Listy!$A$1:$H$9,6,FALSE)</f>
        <v/>
      </c>
      <c r="BA54" s="690">
        <f>AY54*AZ54</f>
        <v/>
      </c>
      <c r="BB54" s="690">
        <f>AY54*BA54</f>
        <v/>
      </c>
      <c r="BC54" s="528" t="n"/>
      <c r="BD54" s="528" t="n"/>
      <c r="BE54" s="528" t="n"/>
      <c r="BF54" s="528" t="n"/>
      <c r="BG54" s="528" t="n"/>
      <c r="BI54" s="528" t="n"/>
      <c r="BJ54" s="528" t="n"/>
      <c r="BL54" s="528" t="n"/>
      <c r="BM54" s="528" t="n"/>
      <c r="BO54" s="528" t="n"/>
      <c r="BP54" s="528" t="n"/>
      <c r="BS54" s="528" t="n"/>
      <c r="BT54" s="528" t="n"/>
      <c r="BU54" s="528" t="n"/>
      <c r="BW54" s="528" t="n"/>
      <c r="BX54" s="528" t="n"/>
      <c r="BY54" s="528" t="n"/>
      <c r="CA54" s="528" t="n"/>
      <c r="CB54" s="528" t="n"/>
      <c r="CC54" s="528" t="n"/>
    </row>
    <row r="55" ht="43.2" customHeight="1" s="191">
      <c r="A55" s="528" t="n">
        <v>7</v>
      </c>
      <c r="B55" s="55" t="inlineStr">
        <is>
          <t>c</t>
        </is>
      </c>
      <c r="C55" s="139" t="n">
        <v>1</v>
      </c>
      <c r="D55" s="160">
        <f>CONCATENATE(A$1,"_",A55,"_",B55,"_",C55)</f>
        <v/>
      </c>
      <c r="E55" s="526" t="inlineStr">
        <is>
          <t>Iteracyjne kalibracje (dopasowanie Modelu do wybranych procesów rzeczywistych [na niewielką skalę], do-stosowanie parametrów Modelu i wybór najlepszych algorytmów z przeprowadzonych testów)</t>
        </is>
      </c>
      <c r="F55" s="528" t="n"/>
      <c r="G55" s="528" t="n"/>
      <c r="H55" s="140" t="n">
        <v>26</v>
      </c>
      <c r="I55" s="51" t="inlineStr">
        <is>
          <t>END/ACT</t>
        </is>
      </c>
      <c r="J55" s="91">
        <f>M54+1</f>
        <v/>
      </c>
      <c r="K55" s="681">
        <f>VLOOKUP(J55,Kalendarz!B:E,4,FALSE)</f>
        <v/>
      </c>
      <c r="L55" s="681">
        <f>K55+N55</f>
        <v/>
      </c>
      <c r="M55" s="528">
        <f>J55+N55-1</f>
        <v/>
      </c>
      <c r="N55" s="474" t="n">
        <v>1</v>
      </c>
      <c r="O55" s="529" t="n">
        <v>160</v>
      </c>
      <c r="P55" s="242" t="n">
        <v>0.25</v>
      </c>
      <c r="Q55" s="242" t="n">
        <v>0.25</v>
      </c>
      <c r="R55" s="242" t="n">
        <v>0</v>
      </c>
      <c r="S55" s="242" t="n">
        <v>0</v>
      </c>
      <c r="T55" s="242" t="n"/>
      <c r="U55" s="242" t="n"/>
      <c r="V55" s="242" t="n"/>
      <c r="W55" s="242" t="n"/>
      <c r="X55" s="242" t="n"/>
      <c r="Y55" s="243" t="n">
        <v>0.25</v>
      </c>
      <c r="Z55" s="243" t="n">
        <v>0</v>
      </c>
      <c r="AA55" s="243" t="n">
        <v>0.25</v>
      </c>
      <c r="AB55" s="243" t="n">
        <v>0</v>
      </c>
      <c r="AC55" s="300" t="n"/>
      <c r="AD55" s="300" t="n"/>
      <c r="AE55" s="300" t="n"/>
      <c r="AF55" s="300" t="n"/>
      <c r="AG55" s="297">
        <f>ROUND($O55*P55,0)</f>
        <v/>
      </c>
      <c r="AH55" s="297">
        <f>ROUND($O55*Q55,0)</f>
        <v/>
      </c>
      <c r="AI55" s="297">
        <f>ROUND($O55*R55,0)</f>
        <v/>
      </c>
      <c r="AJ55" s="297">
        <f>ROUND($O55*S55,0)</f>
        <v/>
      </c>
      <c r="AK55" s="297">
        <f>ROUND($O55*T55,0)</f>
        <v/>
      </c>
      <c r="AL55" s="297">
        <f>ROUND($O55*U55,0)</f>
        <v/>
      </c>
      <c r="AM55" s="297">
        <f>ROUND($O55*V55,0)</f>
        <v/>
      </c>
      <c r="AN55" s="297">
        <f>ROUND($O55*W55,0)</f>
        <v/>
      </c>
      <c r="AO55" s="297">
        <f>ROUND($O55*X55,0)</f>
        <v/>
      </c>
      <c r="AP55" s="298">
        <f>ROUND($O55*Y55,0)</f>
        <v/>
      </c>
      <c r="AQ55" s="298">
        <f>ROUND($O55*Z55,0)</f>
        <v/>
      </c>
      <c r="AR55" s="298">
        <f>ROUND($O55*AA55,0)</f>
        <v/>
      </c>
      <c r="AS55" s="298">
        <f>ROUND($O55*AB55,0)</f>
        <v/>
      </c>
      <c r="AT55" s="302">
        <f>ROUND($O55*AC55,0)</f>
        <v/>
      </c>
      <c r="AU55" s="302">
        <f>ROUND($O55*AD55,0)</f>
        <v/>
      </c>
      <c r="AV55" s="302">
        <f>ROUND($O55*AE55,0)</f>
        <v/>
      </c>
      <c r="AW55" s="302">
        <f>ROUND($O55*AF55,0)</f>
        <v/>
      </c>
      <c r="AX55" s="236">
        <f>SUM(AG55:AO55)</f>
        <v/>
      </c>
      <c r="AY55" s="231">
        <f>AX55/160</f>
        <v/>
      </c>
      <c r="AZ55" s="231">
        <f>VLOOKUP(I55,Listy!$A$1:$H$9,6,FALSE)</f>
        <v/>
      </c>
      <c r="BA55" s="690">
        <f>AY55*AZ55</f>
        <v/>
      </c>
      <c r="BB55" s="690">
        <f>AY55*BA55</f>
        <v/>
      </c>
      <c r="BC55" s="528" t="n"/>
      <c r="BD55" s="528" t="n"/>
      <c r="BE55" s="528" t="n"/>
      <c r="BF55" s="528" t="n"/>
      <c r="BG55" s="528" t="n"/>
      <c r="BH55" s="528">
        <f>BF55*BG55</f>
        <v/>
      </c>
      <c r="BI55" s="528" t="n"/>
      <c r="BJ55" s="51" t="n"/>
      <c r="BK55" s="528" t="n"/>
      <c r="BL55" s="399" t="n"/>
      <c r="BM55" s="528" t="n"/>
      <c r="BN55" s="528" t="n"/>
      <c r="BO55" s="528" t="n"/>
      <c r="BP55" s="528" t="n"/>
      <c r="BQ55" s="528" t="n"/>
      <c r="BR55" s="528" t="n"/>
      <c r="BS55" s="528" t="n"/>
      <c r="BT55" s="528" t="n"/>
      <c r="BU55" s="528" t="n"/>
      <c r="BV55" s="528">
        <f>BT55*BU55</f>
        <v/>
      </c>
      <c r="BW55" s="528" t="n"/>
      <c r="BX55" s="528" t="n"/>
      <c r="BY55" s="528" t="n"/>
      <c r="BZ55" s="528">
        <f>BX55*BY55</f>
        <v/>
      </c>
      <c r="CA55" s="528" t="n"/>
      <c r="CB55" s="528" t="n"/>
      <c r="CC55" s="528" t="n"/>
      <c r="CD55" s="528">
        <f>CB55*CC55</f>
        <v/>
      </c>
    </row>
    <row r="56" ht="15.75" customHeight="1" s="191">
      <c r="A56" s="604" t="n">
        <v>8</v>
      </c>
      <c r="B56" s="55" t="inlineStr">
        <is>
          <t>a</t>
        </is>
      </c>
      <c r="C56" s="139" t="n">
        <v>0</v>
      </c>
      <c r="D56" s="160">
        <f>CONCATENATE(A$1,"_",A56,"_",B56,"_",C56)</f>
        <v/>
      </c>
      <c r="E56" s="607" t="inlineStr">
        <is>
          <t>8.Optymalizacja kosztów i zasobów. Analiza modeli AI/ML w celu optymalizacji:</t>
        </is>
      </c>
      <c r="F56" s="190" t="n"/>
      <c r="G56" s="190" t="n"/>
      <c r="H56" s="140" t="n"/>
      <c r="I56" s="190" t="n"/>
      <c r="J56" s="91">
        <f>M55+1</f>
        <v/>
      </c>
      <c r="K56" s="681">
        <f>VLOOKUP(J56,Kalendarz!B:E,4,FALSE)</f>
        <v/>
      </c>
      <c r="L56" s="681">
        <f>K56+N56</f>
        <v/>
      </c>
      <c r="M56" s="528">
        <f>J56+N56-1</f>
        <v/>
      </c>
      <c r="N56" s="474">
        <f>ROUND(MAX(AG56:AO56)/Listy!$U$2,0)</f>
        <v/>
      </c>
      <c r="O56" s="190" t="n"/>
      <c r="P56" s="190" t="n"/>
      <c r="Q56" s="190" t="n"/>
      <c r="R56" s="190" t="n"/>
      <c r="S56" s="190" t="n"/>
      <c r="T56" s="190" t="n"/>
      <c r="U56" s="190" t="n"/>
      <c r="V56" s="190" t="n"/>
      <c r="W56" s="190" t="n"/>
      <c r="X56" s="190" t="n"/>
      <c r="Y56" s="190" t="n"/>
      <c r="Z56" s="190" t="n"/>
      <c r="AA56" s="190" t="n"/>
      <c r="AB56" s="190" t="n"/>
      <c r="AC56" s="190" t="n"/>
      <c r="AD56" s="190" t="n"/>
      <c r="AE56" s="190" t="n"/>
      <c r="AF56" s="190" t="n"/>
      <c r="AG56" s="190" t="n"/>
      <c r="AH56" s="190" t="n"/>
      <c r="AI56" s="190" t="n"/>
      <c r="AJ56" s="190" t="n"/>
      <c r="AK56" s="190" t="n"/>
      <c r="AL56" s="190" t="n"/>
      <c r="AM56" s="190" t="n"/>
      <c r="AN56" s="190" t="n"/>
      <c r="AO56" s="190" t="n"/>
      <c r="AP56" s="190" t="n"/>
      <c r="AQ56" s="190" t="n"/>
      <c r="AR56" s="190" t="n"/>
      <c r="AS56" s="190" t="n"/>
      <c r="AT56" s="190" t="n"/>
      <c r="AU56" s="190" t="n"/>
      <c r="AV56" s="190" t="n"/>
      <c r="AW56" s="190" t="n"/>
      <c r="AX56" s="190" t="n"/>
      <c r="AY56" s="190" t="n"/>
      <c r="AZ56" s="190" t="n"/>
      <c r="BA56" s="190" t="n"/>
      <c r="BB56" s="190" t="n"/>
      <c r="BC56" s="190" t="n"/>
      <c r="BD56" s="190" t="n"/>
      <c r="BE56" s="190" t="n"/>
      <c r="BF56" s="190" t="n"/>
      <c r="BG56" s="190" t="n"/>
      <c r="BH56" s="190" t="n"/>
      <c r="BI56" s="190" t="n"/>
      <c r="BJ56" s="190" t="n"/>
      <c r="BK56" s="190" t="n"/>
      <c r="BL56" s="190" t="n"/>
      <c r="BM56" s="190" t="n"/>
      <c r="BN56" s="190" t="n"/>
      <c r="BO56" s="190" t="n"/>
      <c r="BP56" s="190" t="n"/>
      <c r="BQ56" s="190" t="n"/>
      <c r="BR56" s="190" t="n"/>
      <c r="BS56" s="190" t="n"/>
      <c r="BT56" s="190" t="n"/>
      <c r="BU56" s="190" t="n"/>
      <c r="BV56" s="190" t="n"/>
      <c r="BW56" s="190" t="n"/>
      <c r="BX56" s="190" t="n"/>
      <c r="BY56" s="190" t="n"/>
      <c r="BZ56" s="190" t="n"/>
      <c r="CA56" s="190" t="n"/>
      <c r="CB56" s="190" t="n"/>
      <c r="CC56" s="190" t="n"/>
      <c r="CD56" s="190" t="n"/>
      <c r="CE56" s="190" t="n"/>
      <c r="CF56" s="190" t="n"/>
    </row>
    <row r="57" ht="15.75" customHeight="1" s="191">
      <c r="A57" s="528" t="n">
        <v>8</v>
      </c>
      <c r="B57" s="55" t="inlineStr">
        <is>
          <t>a</t>
        </is>
      </c>
      <c r="C57" s="139" t="n">
        <v>1</v>
      </c>
      <c r="D57" s="160">
        <f>CONCATENATE(A$1,"_",A57,"_",B57,"_",C57)</f>
        <v/>
      </c>
      <c r="E57" s="526" t="inlineStr">
        <is>
          <t>kosztów operacyjnych</t>
        </is>
      </c>
      <c r="F57" s="528" t="n"/>
      <c r="G57" s="528" t="n"/>
      <c r="H57" s="140" t="n">
        <v>27</v>
      </c>
      <c r="I57" s="51" t="inlineStr">
        <is>
          <t>ACT</t>
        </is>
      </c>
      <c r="J57" s="91">
        <f>M56+1</f>
        <v/>
      </c>
      <c r="K57" s="681">
        <f>VLOOKUP(J57,Kalendarz!B:E,4,FALSE)</f>
        <v/>
      </c>
      <c r="L57" s="681">
        <f>K57+N57</f>
        <v/>
      </c>
      <c r="M57" s="528">
        <f>J57+N57-1</f>
        <v/>
      </c>
      <c r="N57" s="474" t="n">
        <v>4</v>
      </c>
      <c r="O57" s="529" t="n">
        <v>120</v>
      </c>
      <c r="P57" s="242" t="n">
        <v>1</v>
      </c>
      <c r="Q57" s="242" t="n">
        <v>0</v>
      </c>
      <c r="R57" s="242" t="n">
        <v>0</v>
      </c>
      <c r="S57" s="242" t="n">
        <v>0</v>
      </c>
      <c r="T57" s="242" t="n"/>
      <c r="U57" s="242" t="n"/>
      <c r="V57" s="242" t="n"/>
      <c r="W57" s="242" t="n"/>
      <c r="X57" s="242" t="n"/>
      <c r="Y57" s="243" t="n">
        <v>0</v>
      </c>
      <c r="Z57" s="243" t="n">
        <v>0</v>
      </c>
      <c r="AA57" s="243" t="n">
        <v>0</v>
      </c>
      <c r="AB57" s="243" t="n">
        <v>0</v>
      </c>
      <c r="AC57" s="300" t="n"/>
      <c r="AD57" s="300" t="n"/>
      <c r="AE57" s="300" t="n"/>
      <c r="AF57" s="300" t="n"/>
      <c r="AG57" s="297">
        <f>ROUND($O57*P57,0)</f>
        <v/>
      </c>
      <c r="AH57" s="297">
        <f>ROUND($O57*Q57,0)</f>
        <v/>
      </c>
      <c r="AI57" s="297">
        <f>ROUND($O57*R57,0)</f>
        <v/>
      </c>
      <c r="AJ57" s="297">
        <f>ROUND($O57*S57,0)</f>
        <v/>
      </c>
      <c r="AK57" s="297">
        <f>ROUND($O57*T57,0)</f>
        <v/>
      </c>
      <c r="AL57" s="297">
        <f>ROUND($O57*U57,0)</f>
        <v/>
      </c>
      <c r="AM57" s="297">
        <f>ROUND($O57*V57,0)</f>
        <v/>
      </c>
      <c r="AN57" s="297">
        <f>ROUND($O57*W57,0)</f>
        <v/>
      </c>
      <c r="AO57" s="297">
        <f>ROUND($O57*X57,0)</f>
        <v/>
      </c>
      <c r="AP57" s="298">
        <f>ROUND($O57*Y57,0)</f>
        <v/>
      </c>
      <c r="AQ57" s="298">
        <f>ROUND($O57*Z57,0)</f>
        <v/>
      </c>
      <c r="AR57" s="298">
        <f>ROUND($O57*AA57,0)</f>
        <v/>
      </c>
      <c r="AS57" s="298">
        <f>ROUND($O57*AB57,0)</f>
        <v/>
      </c>
      <c r="AT57" s="302">
        <f>ROUND($O57*AC57,0)</f>
        <v/>
      </c>
      <c r="AU57" s="302">
        <f>ROUND($O57*AD57,0)</f>
        <v/>
      </c>
      <c r="AV57" s="302">
        <f>ROUND($O57*AE57,0)</f>
        <v/>
      </c>
      <c r="AW57" s="302">
        <f>ROUND($O57*AF57,0)</f>
        <v/>
      </c>
      <c r="AX57" s="236">
        <f>SUM(AG57:AO57)</f>
        <v/>
      </c>
      <c r="AY57" s="231">
        <f>AX57/160</f>
        <v/>
      </c>
      <c r="AZ57" s="231">
        <f>VLOOKUP(I57,Listy!$A$1:$H$9,6,FALSE)</f>
        <v/>
      </c>
      <c r="BA57" s="690">
        <f>AY57*AZ57</f>
        <v/>
      </c>
      <c r="BB57" s="690">
        <f>AY57*BA57</f>
        <v/>
      </c>
      <c r="BC57" s="528" t="n"/>
      <c r="BD57" s="528" t="n"/>
      <c r="BE57" s="528" t="n"/>
      <c r="BF57" s="528" t="n"/>
      <c r="BG57" s="528" t="n"/>
      <c r="BI57" s="528" t="n"/>
      <c r="BJ57" s="528" t="n"/>
      <c r="BL57" s="528" t="n"/>
      <c r="BM57" s="528" t="n"/>
      <c r="BO57" s="528" t="n"/>
      <c r="BP57" s="528" t="n"/>
      <c r="BS57" s="528" t="n"/>
      <c r="BT57" s="528" t="n"/>
      <c r="BU57" s="528" t="n"/>
      <c r="BW57" s="528" t="n"/>
      <c r="BX57" s="528" t="n"/>
      <c r="BY57" s="528" t="n"/>
      <c r="CA57" s="528" t="n"/>
      <c r="CB57" s="528" t="n"/>
      <c r="CC57" s="528" t="n"/>
    </row>
    <row r="58" ht="15.75" customHeight="1" s="191">
      <c r="A58" s="528" t="n">
        <v>8</v>
      </c>
      <c r="B58" s="55" t="inlineStr">
        <is>
          <t>b</t>
        </is>
      </c>
      <c r="C58" s="139" t="n">
        <v>1</v>
      </c>
      <c r="D58" s="160">
        <f>CONCATENATE(A$1,"_",A58,"_",B58,"_",C58)</f>
        <v/>
      </c>
      <c r="E58" s="526" t="inlineStr">
        <is>
          <t>czasu i efektywności PKZ</t>
        </is>
      </c>
      <c r="F58" s="528" t="n"/>
      <c r="G58" s="528" t="n"/>
      <c r="H58" s="140" t="n">
        <v>27</v>
      </c>
      <c r="I58" s="51" t="inlineStr">
        <is>
          <t>ACT</t>
        </is>
      </c>
      <c r="J58" s="91">
        <f>M57+1</f>
        <v/>
      </c>
      <c r="K58" s="681">
        <f>VLOOKUP(J58,Kalendarz!B:E,4,FALSE)</f>
        <v/>
      </c>
      <c r="L58" s="681">
        <f>K58+N58</f>
        <v/>
      </c>
      <c r="M58" s="528">
        <f>J58+N58-1</f>
        <v/>
      </c>
      <c r="N58" s="476" t="n">
        <v>0</v>
      </c>
      <c r="O58" s="529" t="n">
        <v>120</v>
      </c>
      <c r="P58" s="242" t="n">
        <v>0</v>
      </c>
      <c r="Q58" s="242" t="n">
        <v>1</v>
      </c>
      <c r="R58" s="242" t="n">
        <v>0</v>
      </c>
      <c r="S58" s="242" t="n">
        <v>0</v>
      </c>
      <c r="T58" s="242" t="n"/>
      <c r="U58" s="242" t="n"/>
      <c r="V58" s="242" t="n"/>
      <c r="W58" s="242" t="n"/>
      <c r="X58" s="242" t="n"/>
      <c r="Y58" s="243" t="n">
        <v>0</v>
      </c>
      <c r="Z58" s="243" t="n">
        <v>0</v>
      </c>
      <c r="AA58" s="243" t="n">
        <v>0</v>
      </c>
      <c r="AB58" s="243" t="n">
        <v>0</v>
      </c>
      <c r="AC58" s="300" t="n"/>
      <c r="AD58" s="300" t="n"/>
      <c r="AE58" s="300" t="n"/>
      <c r="AF58" s="300" t="n"/>
      <c r="AG58" s="297">
        <f>ROUND($O58*P58,0)</f>
        <v/>
      </c>
      <c r="AH58" s="297">
        <f>ROUND($O58*Q58,0)</f>
        <v/>
      </c>
      <c r="AI58" s="297">
        <f>ROUND($O58*R58,0)</f>
        <v/>
      </c>
      <c r="AJ58" s="297">
        <f>ROUND($O58*S58,0)</f>
        <v/>
      </c>
      <c r="AK58" s="297">
        <f>ROUND($O58*T58,0)</f>
        <v/>
      </c>
      <c r="AL58" s="297">
        <f>ROUND($O58*U58,0)</f>
        <v/>
      </c>
      <c r="AM58" s="297">
        <f>ROUND($O58*V58,0)</f>
        <v/>
      </c>
      <c r="AN58" s="297">
        <f>ROUND($O58*W58,0)</f>
        <v/>
      </c>
      <c r="AO58" s="297">
        <f>ROUND($O58*X58,0)</f>
        <v/>
      </c>
      <c r="AP58" s="298">
        <f>ROUND($O58*Y58,0)</f>
        <v/>
      </c>
      <c r="AQ58" s="298">
        <f>ROUND($O58*Z58,0)</f>
        <v/>
      </c>
      <c r="AR58" s="298">
        <f>ROUND($O58*AA58,0)</f>
        <v/>
      </c>
      <c r="AS58" s="298">
        <f>ROUND($O58*AB58,0)</f>
        <v/>
      </c>
      <c r="AT58" s="302">
        <f>ROUND($O58*AC58,0)</f>
        <v/>
      </c>
      <c r="AU58" s="302">
        <f>ROUND($O58*AD58,0)</f>
        <v/>
      </c>
      <c r="AV58" s="302">
        <f>ROUND($O58*AE58,0)</f>
        <v/>
      </c>
      <c r="AW58" s="302">
        <f>ROUND($O58*AF58,0)</f>
        <v/>
      </c>
      <c r="AX58" s="236">
        <f>SUM(AG58:AO58)</f>
        <v/>
      </c>
      <c r="AY58" s="231">
        <f>AX58/160</f>
        <v/>
      </c>
      <c r="AZ58" s="231">
        <f>VLOOKUP(I58,Listy!$A$1:$H$9,6,FALSE)</f>
        <v/>
      </c>
      <c r="BA58" s="690">
        <f>AY58*AZ58</f>
        <v/>
      </c>
      <c r="BB58" s="690">
        <f>AY58*BA58</f>
        <v/>
      </c>
      <c r="BC58" s="528" t="n"/>
      <c r="BD58" s="528" t="n"/>
      <c r="BE58" s="528" t="n"/>
      <c r="BF58" s="528" t="n"/>
      <c r="BG58" s="528" t="n"/>
      <c r="BI58" s="528" t="n"/>
      <c r="BJ58" s="528" t="n"/>
      <c r="BL58" s="528" t="n"/>
      <c r="BM58" s="528" t="n"/>
      <c r="BO58" s="528" t="n"/>
      <c r="BP58" s="528" t="n"/>
      <c r="BS58" s="528" t="n"/>
      <c r="BT58" s="528" t="n"/>
      <c r="BU58" s="528" t="n"/>
      <c r="BW58" s="528" t="n"/>
      <c r="BX58" s="528" t="n"/>
      <c r="BY58" s="528" t="n"/>
      <c r="CA58" s="528" t="n"/>
      <c r="CB58" s="528" t="n"/>
      <c r="CC58" s="528" t="n"/>
    </row>
    <row r="59" ht="15.75" customHeight="1" s="191">
      <c r="A59" s="528" t="n">
        <v>8</v>
      </c>
      <c r="B59" s="55" t="inlineStr">
        <is>
          <t>c</t>
        </is>
      </c>
      <c r="C59" s="139" t="n">
        <v>1</v>
      </c>
      <c r="D59" s="160">
        <f>CONCATENATE(A$1,"_",A59,"_",B59,"_",C59)</f>
        <v/>
      </c>
      <c r="E59" s="526" t="inlineStr">
        <is>
          <t>efektywności pracy pracowników</t>
        </is>
      </c>
      <c r="F59" s="528" t="n"/>
      <c r="G59" s="528" t="n"/>
      <c r="H59" s="140" t="n">
        <v>27</v>
      </c>
      <c r="I59" s="51" t="inlineStr">
        <is>
          <t>ACT</t>
        </is>
      </c>
      <c r="J59" s="91">
        <f>M58+1</f>
        <v/>
      </c>
      <c r="K59" s="681">
        <f>VLOOKUP(J59,Kalendarz!B:E,4,FALSE)</f>
        <v/>
      </c>
      <c r="L59" s="681">
        <f>K59+N59</f>
        <v/>
      </c>
      <c r="M59" s="528">
        <f>J59+N59-1</f>
        <v/>
      </c>
      <c r="N59" s="476" t="n">
        <v>0</v>
      </c>
      <c r="O59" s="529" t="n">
        <v>120</v>
      </c>
      <c r="P59" s="242" t="n">
        <v>0.5</v>
      </c>
      <c r="Q59" s="242" t="n">
        <v>0</v>
      </c>
      <c r="R59" s="242" t="n">
        <v>0.5</v>
      </c>
      <c r="S59" s="242" t="n">
        <v>0</v>
      </c>
      <c r="T59" s="242" t="n"/>
      <c r="U59" s="242" t="n"/>
      <c r="V59" s="242" t="n"/>
      <c r="W59" s="242" t="n"/>
      <c r="X59" s="242" t="n"/>
      <c r="Y59" s="243" t="n">
        <v>0</v>
      </c>
      <c r="Z59" s="243" t="n">
        <v>0</v>
      </c>
      <c r="AA59" s="243" t="n">
        <v>0</v>
      </c>
      <c r="AB59" s="243" t="n">
        <v>0</v>
      </c>
      <c r="AC59" s="300" t="n"/>
      <c r="AD59" s="300" t="n"/>
      <c r="AE59" s="300" t="n"/>
      <c r="AF59" s="300" t="n"/>
      <c r="AG59" s="297">
        <f>ROUND($O59*P59,0)</f>
        <v/>
      </c>
      <c r="AH59" s="297">
        <f>ROUND($O59*Q59,0)</f>
        <v/>
      </c>
      <c r="AI59" s="297">
        <f>ROUND($O59*R59,0)</f>
        <v/>
      </c>
      <c r="AJ59" s="297">
        <f>ROUND($O59*S59,0)</f>
        <v/>
      </c>
      <c r="AK59" s="297">
        <f>ROUND($O59*T59,0)</f>
        <v/>
      </c>
      <c r="AL59" s="297">
        <f>ROUND($O59*U59,0)</f>
        <v/>
      </c>
      <c r="AM59" s="297">
        <f>ROUND($O59*V59,0)</f>
        <v/>
      </c>
      <c r="AN59" s="297">
        <f>ROUND($O59*W59,0)</f>
        <v/>
      </c>
      <c r="AO59" s="297">
        <f>ROUND($O59*X59,0)</f>
        <v/>
      </c>
      <c r="AP59" s="298">
        <f>ROUND($O59*Y59,0)</f>
        <v/>
      </c>
      <c r="AQ59" s="298">
        <f>ROUND($O59*Z59,0)</f>
        <v/>
      </c>
      <c r="AR59" s="298">
        <f>ROUND($O59*AA59,0)</f>
        <v/>
      </c>
      <c r="AS59" s="298">
        <f>ROUND($O59*AB59,0)</f>
        <v/>
      </c>
      <c r="AT59" s="302">
        <f>ROUND($O59*AC59,0)</f>
        <v/>
      </c>
      <c r="AU59" s="302">
        <f>ROUND($O59*AD59,0)</f>
        <v/>
      </c>
      <c r="AV59" s="302">
        <f>ROUND($O59*AE59,0)</f>
        <v/>
      </c>
      <c r="AW59" s="302">
        <f>ROUND($O59*AF59,0)</f>
        <v/>
      </c>
      <c r="AX59" s="236">
        <f>SUM(AG59:AO59)</f>
        <v/>
      </c>
      <c r="AY59" s="231">
        <f>AX59/160</f>
        <v/>
      </c>
      <c r="AZ59" s="231">
        <f>VLOOKUP(I59,Listy!$A$1:$H$9,6,FALSE)</f>
        <v/>
      </c>
      <c r="BA59" s="690">
        <f>AY59*AZ59</f>
        <v/>
      </c>
      <c r="BB59" s="690">
        <f>AY59*BA59</f>
        <v/>
      </c>
      <c r="BC59" s="528" t="n"/>
      <c r="BD59" s="528" t="n"/>
      <c r="BE59" s="528" t="n"/>
      <c r="BF59" s="528" t="n"/>
      <c r="BG59" s="528" t="n"/>
      <c r="BI59" s="528" t="n"/>
      <c r="BJ59" s="528" t="n"/>
      <c r="BL59" s="528" t="n"/>
      <c r="BM59" s="528" t="n"/>
      <c r="BO59" s="528" t="n"/>
      <c r="BP59" s="528" t="n"/>
      <c r="BS59" s="528" t="n"/>
      <c r="BT59" s="528" t="n"/>
      <c r="BU59" s="528" t="n"/>
      <c r="BW59" s="528" t="n"/>
      <c r="BX59" s="528" t="n"/>
      <c r="BY59" s="528" t="n"/>
      <c r="CA59" s="528" t="n"/>
      <c r="CB59" s="528" t="n"/>
      <c r="CC59" s="528" t="n"/>
    </row>
    <row r="60" ht="15.75" customHeight="1" s="191" thickBot="1">
      <c r="A60" s="528" t="n">
        <v>8</v>
      </c>
      <c r="B60" s="55" t="inlineStr">
        <is>
          <t>d</t>
        </is>
      </c>
      <c r="C60" s="139" t="n">
        <v>1</v>
      </c>
      <c r="D60" s="160">
        <f>CONCATENATE(A$1,"_",A60,"_",B60,"_",C60)</f>
        <v/>
      </c>
      <c r="E60" s="526" t="inlineStr">
        <is>
          <t>zarządzania zasobami ludzkimi</t>
        </is>
      </c>
      <c r="F60" s="528" t="n"/>
      <c r="G60" s="528" t="n"/>
      <c r="H60" s="140" t="n">
        <v>27</v>
      </c>
      <c r="I60" s="51" t="inlineStr">
        <is>
          <t>ACT</t>
        </is>
      </c>
      <c r="J60" s="91">
        <f>M59+1</f>
        <v/>
      </c>
      <c r="K60" s="681">
        <f>VLOOKUP(J60,Kalendarz!B:E,4,FALSE)</f>
        <v/>
      </c>
      <c r="L60" s="681">
        <f>K60+N60</f>
        <v/>
      </c>
      <c r="M60" s="528">
        <f>J60+N60-1</f>
        <v/>
      </c>
      <c r="N60" s="476" t="n">
        <v>0</v>
      </c>
      <c r="O60" s="529" t="n">
        <v>120</v>
      </c>
      <c r="P60" s="242" t="n">
        <v>0</v>
      </c>
      <c r="Q60" s="242" t="n">
        <v>0.5</v>
      </c>
      <c r="R60" s="242" t="n">
        <v>0</v>
      </c>
      <c r="S60" s="242" t="n">
        <v>0.5</v>
      </c>
      <c r="T60" s="242" t="n"/>
      <c r="U60" s="242" t="n"/>
      <c r="V60" s="242" t="n"/>
      <c r="W60" s="242" t="n"/>
      <c r="X60" s="242" t="n"/>
      <c r="Y60" s="243" t="n">
        <v>0</v>
      </c>
      <c r="Z60" s="243" t="n">
        <v>0</v>
      </c>
      <c r="AA60" s="243" t="n">
        <v>0</v>
      </c>
      <c r="AB60" s="243" t="n">
        <v>0</v>
      </c>
      <c r="AC60" s="300" t="n"/>
      <c r="AD60" s="300" t="n"/>
      <c r="AE60" s="300" t="n"/>
      <c r="AF60" s="300" t="n"/>
      <c r="AG60" s="297">
        <f>ROUND($O60*P60,0)</f>
        <v/>
      </c>
      <c r="AH60" s="297">
        <f>ROUND($O60*Q60,0)</f>
        <v/>
      </c>
      <c r="AI60" s="297">
        <f>ROUND($O60*R60,0)</f>
        <v/>
      </c>
      <c r="AJ60" s="297">
        <f>ROUND($O60*S60,0)</f>
        <v/>
      </c>
      <c r="AK60" s="297">
        <f>ROUND($O60*T60,0)</f>
        <v/>
      </c>
      <c r="AL60" s="297">
        <f>ROUND($O60*U60,0)</f>
        <v/>
      </c>
      <c r="AM60" s="297">
        <f>ROUND($O60*V60,0)</f>
        <v/>
      </c>
      <c r="AN60" s="297">
        <f>ROUND($O60*W60,0)</f>
        <v/>
      </c>
      <c r="AO60" s="297">
        <f>ROUND($O60*X60,0)</f>
        <v/>
      </c>
      <c r="AP60" s="298">
        <f>ROUND($O60*Y60,0)</f>
        <v/>
      </c>
      <c r="AQ60" s="298">
        <f>ROUND($O60*Z60,0)</f>
        <v/>
      </c>
      <c r="AR60" s="298">
        <f>ROUND($O60*AA60,0)</f>
        <v/>
      </c>
      <c r="AS60" s="298">
        <f>ROUND($O60*AB60,0)</f>
        <v/>
      </c>
      <c r="AT60" s="302">
        <f>ROUND($O60*AC60,0)</f>
        <v/>
      </c>
      <c r="AU60" s="302">
        <f>ROUND($O60*AD60,0)</f>
        <v/>
      </c>
      <c r="AV60" s="302">
        <f>ROUND($O60*AE60,0)</f>
        <v/>
      </c>
      <c r="AW60" s="302">
        <f>ROUND($O60*AF60,0)</f>
        <v/>
      </c>
      <c r="AX60" s="236">
        <f>SUM(AG60:AO60)</f>
        <v/>
      </c>
      <c r="AY60" s="231">
        <f>AX60/160</f>
        <v/>
      </c>
      <c r="AZ60" s="231">
        <f>VLOOKUP(I60,Listy!$A$1:$H$9,6,FALSE)</f>
        <v/>
      </c>
      <c r="BA60" s="690">
        <f>AY60*AZ60</f>
        <v/>
      </c>
      <c r="BB60" s="690">
        <f>AY60*BA60</f>
        <v/>
      </c>
      <c r="BC60" s="528" t="n"/>
      <c r="BD60" s="528" t="n"/>
      <c r="BE60" s="528" t="n"/>
      <c r="BF60" s="528" t="n"/>
      <c r="BG60" s="528" t="n"/>
      <c r="BH60" s="314">
        <f>BF60*BG60</f>
        <v/>
      </c>
      <c r="BI60" s="528" t="n"/>
      <c r="BJ60" s="51" t="n"/>
      <c r="BK60" s="314" t="n"/>
      <c r="BL60" s="399" t="n"/>
      <c r="BM60" s="528" t="n"/>
      <c r="BN60" s="314" t="n"/>
      <c r="BO60" s="528" t="n"/>
      <c r="BP60" s="528" t="n"/>
      <c r="BQ60" s="314" t="n"/>
      <c r="BR60" s="314" t="n"/>
      <c r="BS60" s="528" t="n"/>
      <c r="BT60" s="528" t="n"/>
      <c r="BU60" s="528" t="n"/>
      <c r="BV60" s="314">
        <f>BT60*BU60</f>
        <v/>
      </c>
      <c r="BW60" s="528" t="n"/>
      <c r="BX60" s="528" t="n"/>
      <c r="BY60" s="528" t="n"/>
      <c r="BZ60" s="314">
        <f>BX60*BY60</f>
        <v/>
      </c>
      <c r="CA60" s="528" t="n"/>
      <c r="CB60" s="528" t="n"/>
      <c r="CC60" s="528" t="n"/>
      <c r="CD60" s="314">
        <f>CB60*CC60</f>
        <v/>
      </c>
    </row>
    <row r="61" ht="15.75" customHeight="1" s="191" thickBot="1">
      <c r="A61" s="528" t="n">
        <v>8</v>
      </c>
      <c r="B61" s="55" t="inlineStr">
        <is>
          <t>e</t>
        </is>
      </c>
      <c r="C61" s="139" t="n">
        <v>1</v>
      </c>
      <c r="D61" s="160">
        <f>CONCATENATE(A$1,"_",A61,"_",B61,"_",C61)</f>
        <v/>
      </c>
      <c r="E61" s="526" t="inlineStr">
        <is>
          <t>rozmieszczenia towarów w SK</t>
        </is>
      </c>
      <c r="F61" s="528" t="n"/>
      <c r="G61" s="528" t="n"/>
      <c r="H61" s="140" t="n">
        <v>27</v>
      </c>
      <c r="I61" s="51" t="inlineStr">
        <is>
          <t>ACT</t>
        </is>
      </c>
      <c r="J61" s="91">
        <f>M60+1</f>
        <v/>
      </c>
      <c r="K61" s="681">
        <f>VLOOKUP(J61,Kalendarz!B:E,4,FALSE)</f>
        <v/>
      </c>
      <c r="L61" s="681">
        <f>K61+N61</f>
        <v/>
      </c>
      <c r="M61" s="528">
        <f>J61+N61-1</f>
        <v/>
      </c>
      <c r="N61" s="474" t="n">
        <v>2</v>
      </c>
      <c r="O61" s="529" t="n">
        <v>120</v>
      </c>
      <c r="P61" s="242" t="n">
        <v>0.5</v>
      </c>
      <c r="Q61" s="242" t="n">
        <v>0</v>
      </c>
      <c r="R61" s="242" t="n">
        <v>0.5</v>
      </c>
      <c r="S61" s="242" t="n">
        <v>0</v>
      </c>
      <c r="T61" s="242" t="n"/>
      <c r="U61" s="242" t="n"/>
      <c r="V61" s="242" t="n"/>
      <c r="W61" s="242" t="n"/>
      <c r="X61" s="242" t="n"/>
      <c r="Y61" s="243" t="n">
        <v>0</v>
      </c>
      <c r="Z61" s="243" t="n">
        <v>0</v>
      </c>
      <c r="AA61" s="243" t="n">
        <v>0</v>
      </c>
      <c r="AB61" s="243" t="n">
        <v>0</v>
      </c>
      <c r="AC61" s="300" t="n"/>
      <c r="AD61" s="300" t="n"/>
      <c r="AE61" s="300" t="n"/>
      <c r="AF61" s="300" t="n"/>
      <c r="AG61" s="297">
        <f>ROUND($O61*P61,0)</f>
        <v/>
      </c>
      <c r="AH61" s="297">
        <f>ROUND($O61*Q61,0)</f>
        <v/>
      </c>
      <c r="AI61" s="297">
        <f>ROUND($O61*R61,0)</f>
        <v/>
      </c>
      <c r="AJ61" s="297">
        <f>ROUND($O61*S61,0)</f>
        <v/>
      </c>
      <c r="AK61" s="297">
        <f>ROUND($O61*T61,0)</f>
        <v/>
      </c>
      <c r="AL61" s="297">
        <f>ROUND($O61*U61,0)</f>
        <v/>
      </c>
      <c r="AM61" s="297">
        <f>ROUND($O61*V61,0)</f>
        <v/>
      </c>
      <c r="AN61" s="297">
        <f>ROUND($O61*W61,0)</f>
        <v/>
      </c>
      <c r="AO61" s="297">
        <f>ROUND($O61*X61,0)</f>
        <v/>
      </c>
      <c r="AP61" s="298">
        <f>ROUND($O61*Y61,0)</f>
        <v/>
      </c>
      <c r="AQ61" s="298">
        <f>ROUND($O61*Z61,0)</f>
        <v/>
      </c>
      <c r="AR61" s="298">
        <f>ROUND($O61*AA61,0)</f>
        <v/>
      </c>
      <c r="AS61" s="298">
        <f>ROUND($O61*AB61,0)</f>
        <v/>
      </c>
      <c r="AT61" s="302">
        <f>ROUND($O61*AC61,0)</f>
        <v/>
      </c>
      <c r="AU61" s="302">
        <f>ROUND($O61*AD61,0)</f>
        <v/>
      </c>
      <c r="AV61" s="302">
        <f>ROUND($O61*AE61,0)</f>
        <v/>
      </c>
      <c r="AW61" s="302">
        <f>ROUND($O61*AF61,0)</f>
        <v/>
      </c>
      <c r="AX61" s="236">
        <f>SUM(AG61:AO61)</f>
        <v/>
      </c>
      <c r="AY61" s="231">
        <f>AX61/160</f>
        <v/>
      </c>
      <c r="AZ61" s="231">
        <f>VLOOKUP(I61,Listy!$A$1:$H$9,6,FALSE)</f>
        <v/>
      </c>
      <c r="BA61" s="690">
        <f>AY61*AZ61</f>
        <v/>
      </c>
      <c r="BB61" s="690">
        <f>AY61*BA61</f>
        <v/>
      </c>
      <c r="BC61" s="528" t="n"/>
      <c r="BD61" s="528" t="n"/>
      <c r="BE61" s="528" t="n"/>
      <c r="BF61" s="528" t="n"/>
      <c r="BG61" s="528" t="n"/>
      <c r="BH61" s="14">
        <f>BH62+BH67+BH68+#REF!+#REF!</f>
        <v/>
      </c>
      <c r="BI61" s="528" t="n"/>
      <c r="BJ61" s="51" t="n"/>
      <c r="BK61" s="14">
        <f>BK62+BK67+BK68+#REF!+#REF!</f>
        <v/>
      </c>
      <c r="BL61" s="399" t="n"/>
      <c r="BM61" s="528" t="n"/>
      <c r="BN61" s="14">
        <f>BN62+BN67+BN68+#REF!+#REF!</f>
        <v/>
      </c>
      <c r="BO61" s="528" t="n"/>
      <c r="BP61" s="528" t="n"/>
      <c r="BQ61" s="14">
        <f>BQ62+BQ67+BQ68+#REF!+#REF!</f>
        <v/>
      </c>
      <c r="BR61" s="14">
        <f>BR62+BR67+BR68+#REF!+#REF!</f>
        <v/>
      </c>
      <c r="BS61" s="528" t="n"/>
      <c r="BT61" s="528" t="n"/>
      <c r="BU61" s="528" t="n"/>
      <c r="BV61" s="14">
        <f>BV62+BV67+BV68+#REF!+#REF!</f>
        <v/>
      </c>
      <c r="BW61" s="528" t="n"/>
      <c r="BX61" s="528" t="n"/>
      <c r="BY61" s="528" t="n"/>
      <c r="BZ61" s="14">
        <f>BZ62+BZ67+BZ68+#REF!+#REF!</f>
        <v/>
      </c>
      <c r="CA61" s="528" t="n"/>
      <c r="CB61" s="528" t="n"/>
      <c r="CC61" s="528" t="n"/>
      <c r="CD61" s="14">
        <f>CD62+CD67+CD68+#REF!+#REF!</f>
        <v/>
      </c>
      <c r="CE61" s="40">
        <f>AX61+BA61+BH61+BK61+BN61+BQ61+BR61+BV61+BZ61+CD61</f>
        <v/>
      </c>
    </row>
    <row r="62" ht="26.4" customHeight="1" s="191">
      <c r="A62" s="528" t="n">
        <v>8</v>
      </c>
      <c r="B62" s="55" t="inlineStr">
        <is>
          <t>f</t>
        </is>
      </c>
      <c r="C62" s="139" t="n">
        <v>1</v>
      </c>
      <c r="D62" s="160">
        <f>CONCATENATE(A$1,"_",A62,"_",B62,"_",C62)</f>
        <v/>
      </c>
      <c r="E62" s="526" t="inlineStr">
        <is>
          <t>zużycia energii przez inteligentne zarządzanie przenośnikami i ruchem kartonów</t>
        </is>
      </c>
      <c r="F62" s="528" t="n"/>
      <c r="G62" s="528" t="n"/>
      <c r="H62" s="140" t="n">
        <v>27</v>
      </c>
      <c r="I62" s="51" t="inlineStr">
        <is>
          <t>ACT</t>
        </is>
      </c>
      <c r="J62" s="91">
        <f>M61+1</f>
        <v/>
      </c>
      <c r="K62" s="681">
        <f>VLOOKUP(J62,Kalendarz!B:E,4,FALSE)</f>
        <v/>
      </c>
      <c r="L62" s="681">
        <f>K62+N62</f>
        <v/>
      </c>
      <c r="M62" s="528">
        <f>J62+N62-1</f>
        <v/>
      </c>
      <c r="N62" s="476" t="n">
        <v>0</v>
      </c>
      <c r="O62" s="529" t="n">
        <v>120</v>
      </c>
      <c r="P62" s="242" t="n">
        <v>0</v>
      </c>
      <c r="Q62" s="242" t="n">
        <v>0.5</v>
      </c>
      <c r="R62" s="242" t="n">
        <v>0</v>
      </c>
      <c r="S62" s="242" t="n">
        <v>0.5</v>
      </c>
      <c r="T62" s="242" t="n"/>
      <c r="U62" s="242" t="n"/>
      <c r="V62" s="242" t="n"/>
      <c r="W62" s="242" t="n"/>
      <c r="X62" s="242" t="n"/>
      <c r="Y62" s="243" t="n">
        <v>0</v>
      </c>
      <c r="Z62" s="243" t="n">
        <v>0</v>
      </c>
      <c r="AA62" s="243" t="n">
        <v>0</v>
      </c>
      <c r="AB62" s="243" t="n">
        <v>0</v>
      </c>
      <c r="AC62" s="300" t="n"/>
      <c r="AD62" s="300" t="n"/>
      <c r="AE62" s="300" t="n"/>
      <c r="AF62" s="300" t="n"/>
      <c r="AG62" s="297">
        <f>ROUND($O62*P62,0)</f>
        <v/>
      </c>
      <c r="AH62" s="297">
        <f>ROUND($O62*Q62,0)</f>
        <v/>
      </c>
      <c r="AI62" s="297">
        <f>ROUND($O62*R62,0)</f>
        <v/>
      </c>
      <c r="AJ62" s="297">
        <f>ROUND($O62*S62,0)</f>
        <v/>
      </c>
      <c r="AK62" s="297">
        <f>ROUND($O62*T62,0)</f>
        <v/>
      </c>
      <c r="AL62" s="297">
        <f>ROUND($O62*U62,0)</f>
        <v/>
      </c>
      <c r="AM62" s="297">
        <f>ROUND($O62*V62,0)</f>
        <v/>
      </c>
      <c r="AN62" s="297">
        <f>ROUND($O62*W62,0)</f>
        <v/>
      </c>
      <c r="AO62" s="297">
        <f>ROUND($O62*X62,0)</f>
        <v/>
      </c>
      <c r="AP62" s="298">
        <f>ROUND($O62*Y62,0)</f>
        <v/>
      </c>
      <c r="AQ62" s="298">
        <f>ROUND($O62*Z62,0)</f>
        <v/>
      </c>
      <c r="AR62" s="298">
        <f>ROUND($O62*AA62,0)</f>
        <v/>
      </c>
      <c r="AS62" s="298">
        <f>ROUND($O62*AB62,0)</f>
        <v/>
      </c>
      <c r="AT62" s="302">
        <f>ROUND($O62*AC62,0)</f>
        <v/>
      </c>
      <c r="AU62" s="302">
        <f>ROUND($O62*AD62,0)</f>
        <v/>
      </c>
      <c r="AV62" s="302">
        <f>ROUND($O62*AE62,0)</f>
        <v/>
      </c>
      <c r="AW62" s="302">
        <f>ROUND($O62*AF62,0)</f>
        <v/>
      </c>
      <c r="AX62" s="236">
        <f>SUM(AG62:AO62)</f>
        <v/>
      </c>
      <c r="AY62" s="231">
        <f>AX62/160</f>
        <v/>
      </c>
      <c r="AZ62" s="231">
        <f>VLOOKUP(I62,Listy!$A$1:$H$9,6,FALSE)</f>
        <v/>
      </c>
      <c r="BA62" s="690">
        <f>AY62*AZ62</f>
        <v/>
      </c>
      <c r="BB62" s="690">
        <f>AY62*BA62</f>
        <v/>
      </c>
      <c r="BC62" s="528" t="n"/>
      <c r="BD62" s="528" t="n"/>
      <c r="BE62" s="528" t="n"/>
      <c r="BF62" s="528" t="n"/>
      <c r="BG62" s="528" t="n"/>
      <c r="BH62" s="314">
        <f>BF62*BG62</f>
        <v/>
      </c>
      <c r="BI62" s="528" t="n"/>
      <c r="BJ62" s="51" t="n"/>
      <c r="BK62" s="21" t="n"/>
      <c r="BL62" s="399" t="n"/>
      <c r="BM62" s="528" t="n"/>
      <c r="BN62" s="21" t="n"/>
      <c r="BO62" s="528" t="n"/>
      <c r="BP62" s="528" t="n"/>
      <c r="BQ62" s="21" t="n"/>
      <c r="BR62" s="21" t="n"/>
      <c r="BS62" s="528" t="n"/>
      <c r="BT62" s="528" t="n"/>
      <c r="BU62" s="528" t="n"/>
      <c r="BV62" s="314">
        <f>BT62*BU62</f>
        <v/>
      </c>
      <c r="BW62" s="528" t="n"/>
      <c r="BX62" s="528" t="n"/>
      <c r="BY62" s="528" t="n"/>
      <c r="BZ62" s="314">
        <f>BX62*BY62</f>
        <v/>
      </c>
      <c r="CA62" s="528" t="n"/>
      <c r="CB62" s="528" t="n"/>
      <c r="CC62" s="528" t="n"/>
      <c r="CD62" s="314">
        <f>CB62*CC62</f>
        <v/>
      </c>
    </row>
    <row r="63" ht="15.75" customHeight="1" s="191">
      <c r="A63" s="604" t="n">
        <v>9</v>
      </c>
      <c r="B63" s="55" t="inlineStr">
        <is>
          <t>a</t>
        </is>
      </c>
      <c r="C63" s="139" t="n">
        <v>0</v>
      </c>
      <c r="D63" s="160">
        <f>CONCATENATE(A$1,"_",A63,"_",B63,"_",C63)</f>
        <v/>
      </c>
      <c r="E63" s="607" t="inlineStr">
        <is>
          <t xml:space="preserve">9.Zarządzanie bezpieczeństwem i niezawodnością systemu. Opracowanie mechanizmów/narzędzi: </t>
        </is>
      </c>
      <c r="F63" s="190" t="n"/>
      <c r="G63" s="190" t="n"/>
      <c r="H63" s="391" t="n"/>
      <c r="I63" s="190" t="n"/>
      <c r="J63" s="91">
        <f>M62+1</f>
        <v/>
      </c>
      <c r="K63" s="681">
        <f>VLOOKUP(J63,Kalendarz!B:E,4,FALSE)</f>
        <v/>
      </c>
      <c r="L63" s="681">
        <f>K63+N63</f>
        <v/>
      </c>
      <c r="M63" s="528">
        <f>J63+N63-1</f>
        <v/>
      </c>
      <c r="N63" s="474">
        <f>ROUND(MAX(AG63:AO63)/Listy!$U$2,0)</f>
        <v/>
      </c>
      <c r="O63" s="190" t="n"/>
      <c r="P63" s="190" t="n"/>
      <c r="Q63" s="190" t="n"/>
      <c r="R63" s="190" t="n"/>
      <c r="S63" s="190" t="n"/>
      <c r="T63" s="190" t="n"/>
      <c r="U63" s="190" t="n"/>
      <c r="V63" s="190" t="n"/>
      <c r="W63" s="190" t="n"/>
      <c r="X63" s="190" t="n"/>
      <c r="Y63" s="190" t="n"/>
      <c r="Z63" s="190" t="n"/>
      <c r="AA63" s="190" t="n"/>
      <c r="AB63" s="190" t="n"/>
      <c r="AC63" s="190" t="n"/>
      <c r="AD63" s="190" t="n"/>
      <c r="AE63" s="190" t="n"/>
      <c r="AF63" s="190" t="n"/>
      <c r="AG63" s="190" t="n"/>
      <c r="AH63" s="190" t="n"/>
      <c r="AI63" s="190" t="n"/>
      <c r="AJ63" s="190" t="n"/>
      <c r="AK63" s="190" t="n"/>
      <c r="AL63" s="190" t="n"/>
      <c r="AM63" s="190" t="n"/>
      <c r="AN63" s="190" t="n"/>
      <c r="AO63" s="190" t="n"/>
      <c r="AP63" s="190" t="n"/>
      <c r="AQ63" s="190" t="n"/>
      <c r="AR63" s="190" t="n"/>
      <c r="AS63" s="190" t="n"/>
      <c r="AT63" s="190" t="n"/>
      <c r="AU63" s="190" t="n"/>
      <c r="AV63" s="190" t="n"/>
      <c r="AW63" s="190" t="n"/>
      <c r="AX63" s="190" t="n"/>
      <c r="AY63" s="190" t="n"/>
      <c r="AZ63" s="190" t="n"/>
      <c r="BA63" s="190" t="n"/>
      <c r="BB63" s="190" t="n"/>
      <c r="BC63" s="190" t="n"/>
      <c r="BD63" s="190" t="n"/>
      <c r="BE63" s="190" t="n"/>
      <c r="BF63" s="190" t="n"/>
      <c r="BG63" s="190" t="n"/>
      <c r="BH63" s="190" t="n"/>
      <c r="BI63" s="190" t="n"/>
      <c r="BJ63" s="190" t="n"/>
      <c r="BK63" s="190" t="n"/>
      <c r="BL63" s="190" t="n"/>
      <c r="BM63" s="190" t="n"/>
      <c r="BN63" s="190" t="n"/>
      <c r="BO63" s="190" t="n"/>
      <c r="BP63" s="190" t="n"/>
      <c r="BQ63" s="190" t="n"/>
      <c r="BR63" s="190" t="n"/>
      <c r="BS63" s="190" t="n"/>
      <c r="BT63" s="190" t="n"/>
      <c r="BU63" s="190" t="n"/>
      <c r="BV63" s="190" t="n"/>
      <c r="BW63" s="190" t="n"/>
      <c r="BX63" s="190" t="n"/>
      <c r="BY63" s="190" t="n"/>
      <c r="BZ63" s="190" t="n"/>
      <c r="CA63" s="190" t="n"/>
      <c r="CB63" s="190" t="n"/>
      <c r="CC63" s="190" t="n"/>
      <c r="CD63" s="190" t="n"/>
      <c r="CE63" s="190" t="n"/>
      <c r="CF63" s="190" t="n"/>
    </row>
    <row r="64" ht="28.8" customHeight="1" s="191">
      <c r="A64" s="528" t="n">
        <v>9</v>
      </c>
      <c r="B64" s="55" t="inlineStr">
        <is>
          <t>a</t>
        </is>
      </c>
      <c r="C64" s="139" t="n">
        <v>1</v>
      </c>
      <c r="D64" s="160">
        <f>CONCATENATE(A$1,"_",A64,"_",B64,"_",C64)</f>
        <v/>
      </c>
      <c r="E64" s="526" t="inlineStr">
        <is>
          <t xml:space="preserve">zabezpieczenia danych procesowanych przez CB i AI/ML przed cyberatakami  </t>
        </is>
      </c>
      <c r="F64" s="528" t="n"/>
      <c r="G64" s="528" t="n"/>
      <c r="H64" s="133" t="n">
        <v>28</v>
      </c>
      <c r="I64" s="100" t="inlineStr">
        <is>
          <t>ACT</t>
        </is>
      </c>
      <c r="J64" s="91">
        <f>M63+1</f>
        <v/>
      </c>
      <c r="K64" s="681">
        <f>VLOOKUP(J64,Kalendarz!B:E,4,FALSE)</f>
        <v/>
      </c>
      <c r="L64" s="681">
        <f>K64+N64</f>
        <v/>
      </c>
      <c r="M64" s="528">
        <f>J64+N64-1</f>
        <v/>
      </c>
      <c r="N64" s="474" t="n">
        <v>2</v>
      </c>
      <c r="O64" s="529" t="n">
        <v>160</v>
      </c>
      <c r="P64" s="242" t="n">
        <v>0.5</v>
      </c>
      <c r="Q64" s="242" t="n">
        <v>0.5</v>
      </c>
      <c r="R64" s="242" t="n">
        <v>0</v>
      </c>
      <c r="S64" s="242" t="n">
        <v>0</v>
      </c>
      <c r="T64" s="242" t="n"/>
      <c r="U64" s="242" t="n"/>
      <c r="V64" s="242" t="n"/>
      <c r="W64" s="242" t="n"/>
      <c r="X64" s="242" t="n"/>
      <c r="Y64" s="243" t="n">
        <v>0</v>
      </c>
      <c r="Z64" s="243" t="n">
        <v>0</v>
      </c>
      <c r="AA64" s="243" t="n">
        <v>0</v>
      </c>
      <c r="AB64" s="243" t="n">
        <v>0</v>
      </c>
      <c r="AC64" s="300" t="n"/>
      <c r="AD64" s="300" t="n"/>
      <c r="AE64" s="300" t="n"/>
      <c r="AF64" s="300" t="n"/>
      <c r="AG64" s="297">
        <f>ROUND($O64*P64,0)</f>
        <v/>
      </c>
      <c r="AH64" s="297">
        <f>ROUND($O64*Q64,0)</f>
        <v/>
      </c>
      <c r="AI64" s="297">
        <f>ROUND($O64*R64,0)</f>
        <v/>
      </c>
      <c r="AJ64" s="297">
        <f>ROUND($O64*S64,0)</f>
        <v/>
      </c>
      <c r="AK64" s="297">
        <f>ROUND($O64*T64,0)</f>
        <v/>
      </c>
      <c r="AL64" s="297">
        <f>ROUND($O64*U64,0)</f>
        <v/>
      </c>
      <c r="AM64" s="297">
        <f>ROUND($O64*V64,0)</f>
        <v/>
      </c>
      <c r="AN64" s="297">
        <f>ROUND($O64*W64,0)</f>
        <v/>
      </c>
      <c r="AO64" s="297">
        <f>ROUND($O64*X64,0)</f>
        <v/>
      </c>
      <c r="AP64" s="298">
        <f>ROUND($O64*Y64,0)</f>
        <v/>
      </c>
      <c r="AQ64" s="298">
        <f>ROUND($O64*Z64,0)</f>
        <v/>
      </c>
      <c r="AR64" s="298">
        <f>ROUND($O64*AA64,0)</f>
        <v/>
      </c>
      <c r="AS64" s="298">
        <f>ROUND($O64*AB64,0)</f>
        <v/>
      </c>
      <c r="AT64" s="302">
        <f>ROUND($O64*AC64,0)</f>
        <v/>
      </c>
      <c r="AU64" s="302">
        <f>ROUND($O64*AD64,0)</f>
        <v/>
      </c>
      <c r="AV64" s="302">
        <f>ROUND($O64*AE64,0)</f>
        <v/>
      </c>
      <c r="AW64" s="302">
        <f>ROUND($O64*AF64,0)</f>
        <v/>
      </c>
      <c r="AX64" s="236">
        <f>SUM(AG64:AO64)</f>
        <v/>
      </c>
      <c r="AY64" s="231">
        <f>AX64/160</f>
        <v/>
      </c>
      <c r="AZ64" s="231">
        <f>VLOOKUP(I64,Listy!$A$1:$H$9,6,FALSE)</f>
        <v/>
      </c>
      <c r="BA64" s="690">
        <f>AY64*AZ64</f>
        <v/>
      </c>
      <c r="BB64" s="690">
        <f>AY64*BA64</f>
        <v/>
      </c>
      <c r="BC64" s="528" t="n"/>
      <c r="BD64" s="528" t="n"/>
      <c r="BE64" s="528" t="n"/>
      <c r="BF64" s="528" t="n"/>
      <c r="BG64" s="528" t="n"/>
      <c r="BI64" s="528" t="n"/>
      <c r="BJ64" s="528" t="n"/>
      <c r="BL64" s="528" t="n"/>
      <c r="BM64" s="528" t="n"/>
      <c r="BO64" s="528" t="n"/>
      <c r="BP64" s="528" t="n"/>
      <c r="BS64" s="528" t="n"/>
      <c r="BT64" s="528" t="n"/>
      <c r="BU64" s="528" t="n"/>
      <c r="BW64" s="528" t="n"/>
      <c r="BX64" s="528" t="n"/>
      <c r="BY64" s="528" t="n"/>
      <c r="CA64" s="528" t="n"/>
      <c r="CB64" s="528" t="n"/>
      <c r="CC64" s="528" t="n"/>
    </row>
    <row r="65" ht="28.8" customHeight="1" s="191">
      <c r="A65" s="528" t="n">
        <v>9</v>
      </c>
      <c r="B65" s="55" t="inlineStr">
        <is>
          <t>b</t>
        </is>
      </c>
      <c r="C65" s="139" t="n">
        <v>1</v>
      </c>
      <c r="D65" s="160">
        <f>CONCATENATE(A$1,"_",A65,"_",B65,"_",C65)</f>
        <v/>
      </c>
      <c r="E65" s="526" t="inlineStr">
        <is>
          <t>monitorowania wydajności i niezawodności CB oraz algorytmów AI/ML, testy awaryjne</t>
        </is>
      </c>
      <c r="F65" s="528" t="n"/>
      <c r="G65" s="528" t="n"/>
      <c r="H65" s="133" t="n">
        <v>29</v>
      </c>
      <c r="I65" s="100" t="inlineStr">
        <is>
          <t>ACT</t>
        </is>
      </c>
      <c r="J65" s="91">
        <f>M64+1</f>
        <v/>
      </c>
      <c r="K65" s="681">
        <f>VLOOKUP(J65,Kalendarz!B:E,4,FALSE)</f>
        <v/>
      </c>
      <c r="L65" s="681">
        <f>K65+N65</f>
        <v/>
      </c>
      <c r="M65" s="528">
        <f>J65+N65-1</f>
        <v/>
      </c>
      <c r="N65" s="474" t="n">
        <v>2</v>
      </c>
      <c r="O65" s="529" t="n">
        <v>160</v>
      </c>
      <c r="P65" s="242" t="n">
        <v>0</v>
      </c>
      <c r="Q65" s="242" t="n">
        <v>0.5</v>
      </c>
      <c r="R65" s="242" t="n">
        <v>0.5</v>
      </c>
      <c r="S65" s="242" t="n">
        <v>0</v>
      </c>
      <c r="T65" s="242" t="n"/>
      <c r="U65" s="242" t="n"/>
      <c r="V65" s="242" t="n"/>
      <c r="W65" s="242" t="n"/>
      <c r="X65" s="242" t="n"/>
      <c r="Y65" s="243" t="n">
        <v>0</v>
      </c>
      <c r="Z65" s="243" t="n">
        <v>0</v>
      </c>
      <c r="AA65" s="243" t="n">
        <v>0</v>
      </c>
      <c r="AB65" s="243" t="n">
        <v>0</v>
      </c>
      <c r="AC65" s="300" t="n"/>
      <c r="AD65" s="300" t="n"/>
      <c r="AE65" s="300" t="n"/>
      <c r="AF65" s="300" t="n"/>
      <c r="AG65" s="297">
        <f>ROUND($O65*P65,0)</f>
        <v/>
      </c>
      <c r="AH65" s="297">
        <f>ROUND($O65*Q65,0)</f>
        <v/>
      </c>
      <c r="AI65" s="297">
        <f>ROUND($O65*R65,0)</f>
        <v/>
      </c>
      <c r="AJ65" s="297">
        <f>ROUND($O65*S65,0)</f>
        <v/>
      </c>
      <c r="AK65" s="297">
        <f>ROUND($O65*T65,0)</f>
        <v/>
      </c>
      <c r="AL65" s="297">
        <f>ROUND($O65*U65,0)</f>
        <v/>
      </c>
      <c r="AM65" s="297">
        <f>ROUND($O65*V65,0)</f>
        <v/>
      </c>
      <c r="AN65" s="297">
        <f>ROUND($O65*W65,0)</f>
        <v/>
      </c>
      <c r="AO65" s="297">
        <f>ROUND($O65*X65,0)</f>
        <v/>
      </c>
      <c r="AP65" s="298">
        <f>ROUND($O65*Y65,0)</f>
        <v/>
      </c>
      <c r="AQ65" s="298">
        <f>ROUND($O65*Z65,0)</f>
        <v/>
      </c>
      <c r="AR65" s="298">
        <f>ROUND($O65*AA65,0)</f>
        <v/>
      </c>
      <c r="AS65" s="298">
        <f>ROUND($O65*AB65,0)</f>
        <v/>
      </c>
      <c r="AT65" s="302">
        <f>ROUND($O65*AC65,0)</f>
        <v/>
      </c>
      <c r="AU65" s="302">
        <f>ROUND($O65*AD65,0)</f>
        <v/>
      </c>
      <c r="AV65" s="302">
        <f>ROUND($O65*AE65,0)</f>
        <v/>
      </c>
      <c r="AW65" s="302">
        <f>ROUND($O65*AF65,0)</f>
        <v/>
      </c>
      <c r="AX65" s="236">
        <f>SUM(AG65:AO65)</f>
        <v/>
      </c>
      <c r="AY65" s="231">
        <f>AX65/160</f>
        <v/>
      </c>
      <c r="AZ65" s="231">
        <f>VLOOKUP(I65,Listy!$A$1:$H$9,6,FALSE)</f>
        <v/>
      </c>
      <c r="BA65" s="690">
        <f>AY65*AZ65</f>
        <v/>
      </c>
      <c r="BB65" s="690">
        <f>AY65*BA65</f>
        <v/>
      </c>
      <c r="BC65" s="528" t="n"/>
      <c r="BD65" s="528" t="n"/>
      <c r="BE65" s="528" t="n"/>
      <c r="BF65" s="528" t="n"/>
      <c r="BG65" s="528" t="n"/>
      <c r="BI65" s="528" t="n"/>
      <c r="BJ65" s="528" t="n"/>
      <c r="BL65" s="528" t="n"/>
      <c r="BM65" s="528" t="n"/>
      <c r="BO65" s="528" t="n"/>
      <c r="BP65" s="528" t="n"/>
      <c r="BS65" s="528" t="n"/>
      <c r="BT65" s="528" t="n"/>
      <c r="BU65" s="528" t="n"/>
      <c r="BW65" s="528" t="n"/>
      <c r="BX65" s="528" t="n"/>
      <c r="BY65" s="528" t="n"/>
      <c r="CA65" s="528" t="n"/>
      <c r="CB65" s="528" t="n"/>
      <c r="CC65" s="528" t="n"/>
    </row>
    <row r="66" ht="28.8" customHeight="1" s="191">
      <c r="A66" s="528" t="n">
        <v>9</v>
      </c>
      <c r="B66" s="55" t="inlineStr">
        <is>
          <t>c</t>
        </is>
      </c>
      <c r="C66" s="139" t="n">
        <v>1</v>
      </c>
      <c r="D66" s="160">
        <f>CONCATENATE(A$1,"_",A66,"_",B66,"_",C66)</f>
        <v/>
      </c>
      <c r="E66" s="526" t="inlineStr">
        <is>
          <t>zabezpieczenia systemów AI/ML (np. zgodność działania z założeniami, odporność na błędy, redundancja za-pobiegająca zakłóceniom PKZ)</t>
        </is>
      </c>
      <c r="F66" s="528" t="n"/>
      <c r="G66" s="528" t="n"/>
      <c r="H66" s="133" t="n">
        <v>29</v>
      </c>
      <c r="I66" s="455" t="inlineStr">
        <is>
          <t>END/ACT</t>
        </is>
      </c>
      <c r="J66" s="91">
        <f>M65+1</f>
        <v/>
      </c>
      <c r="K66" s="681">
        <f>VLOOKUP(J66,Kalendarz!B:E,4,FALSE)</f>
        <v/>
      </c>
      <c r="L66" s="681">
        <f>K66+N66</f>
        <v/>
      </c>
      <c r="M66" s="528">
        <f>J66+N66-1</f>
        <v/>
      </c>
      <c r="N66" s="474" t="n">
        <v>2</v>
      </c>
      <c r="O66" s="45" t="n">
        <v>160</v>
      </c>
      <c r="P66" s="242" t="n">
        <v>0.333</v>
      </c>
      <c r="Q66" s="242" t="n">
        <v>0</v>
      </c>
      <c r="R66" s="242" t="n">
        <v>0</v>
      </c>
      <c r="S66" s="242" t="n">
        <v>0</v>
      </c>
      <c r="T66" s="242" t="n"/>
      <c r="U66" s="242" t="n"/>
      <c r="V66" s="242" t="n"/>
      <c r="W66" s="242" t="n"/>
      <c r="X66" s="242" t="n"/>
      <c r="Y66" s="243" t="n">
        <v>0</v>
      </c>
      <c r="Z66" s="243" t="n">
        <v>0</v>
      </c>
      <c r="AA66" s="243" t="n">
        <v>0</v>
      </c>
      <c r="AB66" s="243" t="n">
        <v>0.663</v>
      </c>
      <c r="AC66" s="300" t="n"/>
      <c r="AD66" s="300" t="n"/>
      <c r="AE66" s="300" t="n"/>
      <c r="AF66" s="300" t="n"/>
      <c r="AG66" s="297">
        <f>ROUND($O66*P66,0)</f>
        <v/>
      </c>
      <c r="AH66" s="297">
        <f>ROUND($O66*Q66,0)</f>
        <v/>
      </c>
      <c r="AI66" s="297">
        <f>ROUND($O66*R66,0)</f>
        <v/>
      </c>
      <c r="AJ66" s="297">
        <f>ROUND($O66*S66,0)</f>
        <v/>
      </c>
      <c r="AK66" s="297">
        <f>ROUND($O66*T66,0)</f>
        <v/>
      </c>
      <c r="AL66" s="297">
        <f>ROUND($O66*U66,0)</f>
        <v/>
      </c>
      <c r="AM66" s="297">
        <f>ROUND($O66*V66,0)</f>
        <v/>
      </c>
      <c r="AN66" s="297">
        <f>ROUND($O66*W66,0)</f>
        <v/>
      </c>
      <c r="AO66" s="297">
        <f>ROUND($O66*X66,0)</f>
        <v/>
      </c>
      <c r="AP66" s="298">
        <f>ROUND($O66*Y66,0)</f>
        <v/>
      </c>
      <c r="AQ66" s="298">
        <f>ROUND($O66*Z66,0)</f>
        <v/>
      </c>
      <c r="AR66" s="298">
        <f>ROUND($O66*AA66,0)</f>
        <v/>
      </c>
      <c r="AS66" s="298">
        <f>ROUND($O66*AB66,0)</f>
        <v/>
      </c>
      <c r="AT66" s="302">
        <f>ROUND($O66*AC66,0)</f>
        <v/>
      </c>
      <c r="AU66" s="302">
        <f>ROUND($O66*AD66,0)</f>
        <v/>
      </c>
      <c r="AV66" s="302">
        <f>ROUND($O66*AE66,0)</f>
        <v/>
      </c>
      <c r="AW66" s="302">
        <f>ROUND($O66*AF66,0)</f>
        <v/>
      </c>
      <c r="AX66" s="236">
        <f>SUM(AG66:AO66)</f>
        <v/>
      </c>
      <c r="AY66" s="231">
        <f>AX66/160</f>
        <v/>
      </c>
      <c r="AZ66" s="231">
        <f>VLOOKUP(I66,Listy!$A$1:$H$9,6,FALSE)</f>
        <v/>
      </c>
      <c r="BA66" s="690">
        <f>AY66*AZ66</f>
        <v/>
      </c>
      <c r="BB66" s="690">
        <f>AY66*BA66</f>
        <v/>
      </c>
      <c r="BC66" s="528" t="n"/>
      <c r="BD66" s="528" t="n"/>
      <c r="BE66" s="528" t="n"/>
      <c r="BF66" s="528" t="n"/>
      <c r="BG66" s="528" t="n"/>
      <c r="BI66" s="528" t="n"/>
      <c r="BJ66" s="528" t="n"/>
      <c r="BL66" s="528" t="n"/>
      <c r="BM66" s="528" t="n"/>
      <c r="BO66" s="528" t="n"/>
      <c r="BP66" s="528" t="n"/>
      <c r="BS66" s="528" t="n"/>
      <c r="BT66" s="528" t="n"/>
      <c r="BU66" s="528" t="n"/>
      <c r="BW66" s="528" t="n"/>
      <c r="BX66" s="528" t="n"/>
      <c r="BY66" s="528" t="n"/>
      <c r="CA66" s="528" t="n"/>
      <c r="CB66" s="528" t="n"/>
      <c r="CC66" s="528" t="n"/>
    </row>
    <row r="67" ht="28.8" customHeight="1" s="191">
      <c r="A67" s="528" t="n">
        <v>9</v>
      </c>
      <c r="B67" s="55" t="inlineStr">
        <is>
          <t>d</t>
        </is>
      </c>
      <c r="C67" s="139" t="n">
        <v>1</v>
      </c>
      <c r="D67" s="160">
        <f>CONCATENATE(A$1,"_",A67,"_",B67,"_",C67)</f>
        <v/>
      </c>
      <c r="E67" s="526" t="inlineStr">
        <is>
          <t>gwarancja bezpieczeństwa współpracy ludzi z przenośnikami i systemami automatycznymi</t>
        </is>
      </c>
      <c r="F67" s="528" t="n"/>
      <c r="G67" s="528" t="n"/>
      <c r="H67" s="133" t="n">
        <v>29</v>
      </c>
      <c r="I67" s="455" t="inlineStr">
        <is>
          <t>ACT</t>
        </is>
      </c>
      <c r="J67" s="91">
        <f>M66+1</f>
        <v/>
      </c>
      <c r="K67" s="681">
        <f>VLOOKUP(J67,Kalendarz!B:E,4,FALSE)</f>
        <v/>
      </c>
      <c r="L67" s="681">
        <f>K67+N67</f>
        <v/>
      </c>
      <c r="M67" s="528">
        <f>J67+N67-1</f>
        <v/>
      </c>
      <c r="N67" s="474" t="n">
        <v>1</v>
      </c>
      <c r="O67" s="45" t="n">
        <v>80</v>
      </c>
      <c r="P67" s="242" t="n">
        <v>0</v>
      </c>
      <c r="Q67" s="242" t="n">
        <v>0</v>
      </c>
      <c r="R67" s="242" t="n">
        <v>0.5</v>
      </c>
      <c r="S67" s="242" t="n">
        <v>0.5</v>
      </c>
      <c r="T67" s="242" t="n"/>
      <c r="U67" s="242" t="n"/>
      <c r="V67" s="242" t="n"/>
      <c r="W67" s="242" t="n"/>
      <c r="X67" s="242" t="n"/>
      <c r="Y67" s="243" t="n">
        <v>0</v>
      </c>
      <c r="Z67" s="243" t="n">
        <v>0</v>
      </c>
      <c r="AA67" s="243" t="n">
        <v>0</v>
      </c>
      <c r="AB67" s="243" t="n">
        <v>0</v>
      </c>
      <c r="AC67" s="300" t="n"/>
      <c r="AD67" s="300" t="n"/>
      <c r="AE67" s="300" t="n"/>
      <c r="AF67" s="300" t="n"/>
      <c r="AG67" s="297">
        <f>ROUND($O67*P67,0)</f>
        <v/>
      </c>
      <c r="AH67" s="297">
        <f>ROUND($O67*Q67,0)</f>
        <v/>
      </c>
      <c r="AI67" s="297">
        <f>ROUND($O67*R67,0)</f>
        <v/>
      </c>
      <c r="AJ67" s="297">
        <f>ROUND($O67*S67,0)</f>
        <v/>
      </c>
      <c r="AK67" s="297">
        <f>ROUND($O67*T67,0)</f>
        <v/>
      </c>
      <c r="AL67" s="297">
        <f>ROUND($O67*U67,0)</f>
        <v/>
      </c>
      <c r="AM67" s="297">
        <f>ROUND($O67*V67,0)</f>
        <v/>
      </c>
      <c r="AN67" s="297">
        <f>ROUND($O67*W67,0)</f>
        <v/>
      </c>
      <c r="AO67" s="297">
        <f>ROUND($O67*X67,0)</f>
        <v/>
      </c>
      <c r="AP67" s="298">
        <f>ROUND($O67*Y67,0)</f>
        <v/>
      </c>
      <c r="AQ67" s="298">
        <f>ROUND($O67*Z67,0)</f>
        <v/>
      </c>
      <c r="AR67" s="298">
        <f>ROUND($O67*AA67,0)</f>
        <v/>
      </c>
      <c r="AS67" s="298">
        <f>ROUND($O67*AB67,0)</f>
        <v/>
      </c>
      <c r="AT67" s="302">
        <f>ROUND($O67*AC67,0)</f>
        <v/>
      </c>
      <c r="AU67" s="302">
        <f>ROUND($O67*AD67,0)</f>
        <v/>
      </c>
      <c r="AV67" s="302">
        <f>ROUND($O67*AE67,0)</f>
        <v/>
      </c>
      <c r="AW67" s="302">
        <f>ROUND($O67*AF67,0)</f>
        <v/>
      </c>
      <c r="AX67" s="236">
        <f>SUM(AG67:AO67)</f>
        <v/>
      </c>
      <c r="AY67" s="231">
        <f>AX67/160</f>
        <v/>
      </c>
      <c r="AZ67" s="231">
        <f>VLOOKUP(I67,Listy!$A$1:$H$9,6,FALSE)</f>
        <v/>
      </c>
      <c r="BA67" s="690">
        <f>AY67*AZ67</f>
        <v/>
      </c>
      <c r="BB67" s="690">
        <f>AY67*BA67</f>
        <v/>
      </c>
      <c r="BC67" s="528" t="n"/>
      <c r="BD67" s="528" t="n"/>
      <c r="BE67" s="528" t="n"/>
      <c r="BF67" s="528" t="n"/>
      <c r="BG67" s="528" t="n"/>
      <c r="BH67" s="314">
        <f>BF67*BG67</f>
        <v/>
      </c>
      <c r="BI67" s="528" t="n"/>
      <c r="BJ67" s="51" t="n"/>
      <c r="BK67" s="528" t="n"/>
      <c r="BL67" s="399" t="n"/>
      <c r="BM67" s="528" t="n"/>
      <c r="BN67" s="528" t="n"/>
      <c r="BO67" s="528" t="n"/>
      <c r="BP67" s="528" t="n"/>
      <c r="BQ67" s="528" t="n"/>
      <c r="BR67" s="528" t="n"/>
      <c r="BS67" s="528" t="n"/>
      <c r="BT67" s="528" t="n"/>
      <c r="BU67" s="528" t="n"/>
      <c r="BV67" s="314">
        <f>BT67*BU67</f>
        <v/>
      </c>
      <c r="BW67" s="528" t="n"/>
      <c r="BX67" s="528" t="n"/>
      <c r="BY67" s="528" t="n"/>
      <c r="BZ67" s="314">
        <f>BX67*BY67</f>
        <v/>
      </c>
      <c r="CA67" s="528" t="n"/>
      <c r="CB67" s="528" t="n"/>
      <c r="CC67" s="528" t="n"/>
      <c r="CD67" s="314">
        <f>CB67*CC67</f>
        <v/>
      </c>
    </row>
    <row r="68" ht="18" customHeight="1" s="191">
      <c r="A68" s="604" t="n">
        <v>9</v>
      </c>
      <c r="B68" s="385" t="inlineStr">
        <is>
          <t>e</t>
        </is>
      </c>
      <c r="C68" s="137" t="n">
        <v>1</v>
      </c>
      <c r="D68" s="160">
        <f>CONCATENATE(A$1,"_",A68,"_",B68,"_",C68)</f>
        <v/>
      </c>
      <c r="E68" s="167" t="inlineStr">
        <is>
          <t>automatyzacji procesu aktualizacji modelu (procesy CI/CD)</t>
        </is>
      </c>
      <c r="F68" s="528" t="n"/>
      <c r="G68" s="528" t="n"/>
      <c r="H68" s="140" t="n">
        <v>29</v>
      </c>
      <c r="I68" s="100" t="inlineStr">
        <is>
          <t>END</t>
        </is>
      </c>
      <c r="J68" s="91">
        <f>M67+1</f>
        <v/>
      </c>
      <c r="K68" s="681">
        <f>VLOOKUP(J68,Kalendarz!B:E,4,FALSE)</f>
        <v/>
      </c>
      <c r="L68" s="681">
        <f>K68+N68</f>
        <v/>
      </c>
      <c r="M68" s="528">
        <f>J68+N68-1</f>
        <v/>
      </c>
      <c r="N68" s="474" t="n">
        <v>0</v>
      </c>
      <c r="O68" s="45" t="n">
        <v>160</v>
      </c>
      <c r="P68" s="242" t="n">
        <v>0</v>
      </c>
      <c r="Q68" s="242" t="n">
        <v>0.25</v>
      </c>
      <c r="R68" s="242" t="n">
        <v>0</v>
      </c>
      <c r="S68" s="242" t="n">
        <v>0</v>
      </c>
      <c r="T68" s="242" t="n"/>
      <c r="U68" s="242" t="n"/>
      <c r="V68" s="242" t="n"/>
      <c r="W68" s="242" t="n"/>
      <c r="X68" s="242" t="n"/>
      <c r="Y68" s="243" t="n">
        <v>0</v>
      </c>
      <c r="Z68" s="243" t="n">
        <v>0</v>
      </c>
      <c r="AA68" s="243" t="n">
        <v>0</v>
      </c>
      <c r="AB68" s="243" t="n">
        <v>0.75</v>
      </c>
      <c r="AC68" s="300" t="n"/>
      <c r="AD68" s="300" t="n"/>
      <c r="AE68" s="300" t="n"/>
      <c r="AF68" s="300" t="n"/>
      <c r="AG68" s="297">
        <f>ROUND($O68*P68,0)</f>
        <v/>
      </c>
      <c r="AH68" s="297">
        <f>ROUND($O68*Q68,0)</f>
        <v/>
      </c>
      <c r="AI68" s="297">
        <f>ROUND($O68*R68,0)</f>
        <v/>
      </c>
      <c r="AJ68" s="297">
        <f>ROUND($O68*S68,0)</f>
        <v/>
      </c>
      <c r="AK68" s="297">
        <f>ROUND($O68*T68,0)</f>
        <v/>
      </c>
      <c r="AL68" s="297">
        <f>ROUND($O68*U68,0)</f>
        <v/>
      </c>
      <c r="AM68" s="297">
        <f>ROUND($O68*V68,0)</f>
        <v/>
      </c>
      <c r="AN68" s="297">
        <f>ROUND($O68*W68,0)</f>
        <v/>
      </c>
      <c r="AO68" s="297">
        <f>ROUND($O68*X68,0)</f>
        <v/>
      </c>
      <c r="AP68" s="298">
        <f>ROUND($O68*Y68,0)</f>
        <v/>
      </c>
      <c r="AQ68" s="298">
        <f>ROUND($O68*Z68,0)</f>
        <v/>
      </c>
      <c r="AR68" s="298">
        <f>ROUND($O68*AA68,0)</f>
        <v/>
      </c>
      <c r="AS68" s="298">
        <f>ROUND($O68*AB68,0)</f>
        <v/>
      </c>
      <c r="AT68" s="302">
        <f>ROUND($O68*AC68,0)</f>
        <v/>
      </c>
      <c r="AU68" s="302">
        <f>ROUND($O68*AD68,0)</f>
        <v/>
      </c>
      <c r="AV68" s="302">
        <f>ROUND($O68*AE68,0)</f>
        <v/>
      </c>
      <c r="AW68" s="302">
        <f>ROUND($O68*AF68,0)</f>
        <v/>
      </c>
      <c r="AX68" s="236">
        <f>SUM(AG68:AO68)</f>
        <v/>
      </c>
      <c r="AY68" s="231">
        <f>AX68/160</f>
        <v/>
      </c>
      <c r="AZ68" s="231">
        <f>VLOOKUP(I68,Listy!$A$1:$H$9,6,FALSE)</f>
        <v/>
      </c>
      <c r="BA68" s="690">
        <f>AY68*AZ68</f>
        <v/>
      </c>
      <c r="BB68" s="690">
        <f>AY68*BA68</f>
        <v/>
      </c>
      <c r="BC68" s="528" t="n"/>
      <c r="BD68" s="528" t="n"/>
      <c r="BE68" s="528" t="n"/>
      <c r="BF68" s="528" t="n"/>
      <c r="BG68" s="528" t="n"/>
      <c r="BH68" s="314">
        <f>BF68*BG68</f>
        <v/>
      </c>
      <c r="BI68" s="528" t="n"/>
      <c r="BJ68" s="51" t="n"/>
      <c r="BK68" s="528" t="n"/>
      <c r="BL68" s="399" t="n"/>
      <c r="BM68" s="528" t="n"/>
      <c r="BN68" s="528" t="n"/>
      <c r="BO68" s="528" t="n"/>
      <c r="BP68" s="528" t="n"/>
      <c r="BQ68" s="528" t="n"/>
      <c r="BR68" s="528" t="n"/>
      <c r="BS68" s="528" t="n"/>
      <c r="BT68" s="528" t="n"/>
      <c r="BU68" s="528" t="n"/>
      <c r="BV68" s="314">
        <f>BT68*BU68</f>
        <v/>
      </c>
      <c r="BW68" s="528" t="n"/>
      <c r="BX68" s="528" t="n"/>
      <c r="BY68" s="528" t="n"/>
      <c r="BZ68" s="314">
        <f>BX68*BY68</f>
        <v/>
      </c>
      <c r="CA68" s="528" t="n"/>
      <c r="CB68" s="528" t="n"/>
      <c r="CC68" s="528" t="n"/>
      <c r="CD68" s="314">
        <f>CB68*CC68</f>
        <v/>
      </c>
    </row>
    <row r="69" ht="15.75" customHeight="1" s="191">
      <c r="A69" s="604" t="n">
        <v>10</v>
      </c>
      <c r="B69" s="55" t="inlineStr">
        <is>
          <t>a</t>
        </is>
      </c>
      <c r="C69" s="139" t="n">
        <v>0</v>
      </c>
      <c r="D69" s="160">
        <f>CONCATENATE(A$1,"_",A69,"_",B69,"_",C69)</f>
        <v/>
      </c>
      <c r="E69" s="607" t="inlineStr">
        <is>
          <t>10.Raportowanie i analizy</t>
        </is>
      </c>
      <c r="F69" s="190" t="n"/>
      <c r="G69" s="190" t="n"/>
      <c r="H69" s="391" t="n"/>
      <c r="I69" s="190" t="n"/>
      <c r="J69" s="91">
        <f>M68+1</f>
        <v/>
      </c>
      <c r="K69" s="681">
        <f>VLOOKUP(J69,Kalendarz!B:E,4,FALSE)</f>
        <v/>
      </c>
      <c r="L69" s="681">
        <f>K69+N69</f>
        <v/>
      </c>
      <c r="M69" s="528">
        <f>J69+N69-1</f>
        <v/>
      </c>
      <c r="N69" s="474">
        <f>ROUND(MAX(AG69:AO69)/Listy!$U$2,0)</f>
        <v/>
      </c>
      <c r="O69" s="190" t="n"/>
      <c r="P69" s="190" t="n"/>
      <c r="Q69" s="190" t="n"/>
      <c r="R69" s="190" t="n"/>
      <c r="S69" s="190" t="n"/>
      <c r="T69" s="190" t="n"/>
      <c r="U69" s="190" t="n"/>
      <c r="V69" s="190" t="n"/>
      <c r="W69" s="190" t="n"/>
      <c r="X69" s="190" t="n"/>
      <c r="Y69" s="190" t="n"/>
      <c r="Z69" s="190" t="n"/>
      <c r="AA69" s="190" t="n"/>
      <c r="AB69" s="190" t="n"/>
      <c r="AC69" s="190" t="n"/>
      <c r="AD69" s="190" t="n"/>
      <c r="AE69" s="190" t="n"/>
      <c r="AF69" s="190" t="n"/>
      <c r="AG69" s="190" t="n"/>
      <c r="AH69" s="190" t="n"/>
      <c r="AI69" s="190" t="n"/>
      <c r="AJ69" s="190" t="n"/>
      <c r="AK69" s="190" t="n"/>
      <c r="AL69" s="190" t="n"/>
      <c r="AM69" s="190" t="n"/>
      <c r="AN69" s="190" t="n"/>
      <c r="AO69" s="190" t="n"/>
      <c r="AP69" s="190" t="n"/>
      <c r="AQ69" s="190" t="n"/>
      <c r="AR69" s="190" t="n"/>
      <c r="AS69" s="190" t="n"/>
      <c r="AT69" s="190" t="n"/>
      <c r="AU69" s="190" t="n"/>
      <c r="AV69" s="190" t="n"/>
      <c r="AW69" s="190" t="n"/>
      <c r="AX69" s="190" t="n"/>
      <c r="AY69" s="190" t="n"/>
      <c r="AZ69" s="190" t="n"/>
      <c r="BA69" s="190" t="n"/>
      <c r="BB69" s="190" t="n"/>
      <c r="BC69" s="190" t="n"/>
      <c r="BD69" s="190" t="n"/>
      <c r="BE69" s="190" t="n"/>
      <c r="BF69" s="190" t="n"/>
      <c r="BG69" s="190" t="n"/>
      <c r="BH69" s="190" t="n"/>
      <c r="BI69" s="190" t="n"/>
      <c r="BJ69" s="190" t="n"/>
      <c r="BK69" s="190" t="n"/>
      <c r="BL69" s="190" t="n"/>
      <c r="BM69" s="190" t="n"/>
      <c r="BN69" s="190" t="n"/>
      <c r="BO69" s="190" t="n"/>
      <c r="BP69" s="190" t="n"/>
      <c r="BQ69" s="190" t="n"/>
      <c r="BR69" s="190" t="n"/>
      <c r="BS69" s="190" t="n"/>
      <c r="BT69" s="190" t="n"/>
      <c r="BU69" s="190" t="n"/>
      <c r="BV69" s="190" t="n"/>
      <c r="BW69" s="190" t="n"/>
      <c r="BX69" s="190" t="n"/>
      <c r="BY69" s="190" t="n"/>
      <c r="BZ69" s="190" t="n"/>
      <c r="CA69" s="190" t="n"/>
      <c r="CB69" s="190" t="n"/>
      <c r="CC69" s="190" t="n"/>
      <c r="CD69" s="190" t="n"/>
      <c r="CE69" s="190" t="n"/>
      <c r="CF69" s="190" t="n"/>
    </row>
    <row r="70" ht="28.8" customHeight="1" s="191">
      <c r="A70" s="528" t="n">
        <v>10</v>
      </c>
      <c r="B70" s="55" t="inlineStr">
        <is>
          <t>a</t>
        </is>
      </c>
      <c r="C70" s="139" t="n">
        <v>1</v>
      </c>
      <c r="D70" s="160">
        <f>CONCATENATE(A$1,"_",A70,"_",B70,"_",C70)</f>
        <v/>
      </c>
      <c r="E70" s="526" t="inlineStr">
        <is>
          <t>Przygotowywanie regularnych raportów dotyczących efektywności modelu i jego wpływu na PKZ</t>
        </is>
      </c>
      <c r="F70" s="528" t="n"/>
      <c r="G70" s="528" t="n"/>
      <c r="H70" s="133" t="n">
        <v>30</v>
      </c>
      <c r="I70" s="455" t="inlineStr">
        <is>
          <t>END/ACT</t>
        </is>
      </c>
      <c r="J70" s="91">
        <f>M69+1</f>
        <v/>
      </c>
      <c r="K70" s="681">
        <f>VLOOKUP(J70,Kalendarz!B:E,4,FALSE)</f>
        <v/>
      </c>
      <c r="L70" s="681">
        <f>K70+N70</f>
        <v/>
      </c>
      <c r="M70" s="528">
        <f>J70+N70-1</f>
        <v/>
      </c>
      <c r="N70" s="474" t="n">
        <v>2</v>
      </c>
      <c r="O70" s="45" t="n">
        <v>120</v>
      </c>
      <c r="P70" s="242" t="n">
        <v>0.5</v>
      </c>
      <c r="Q70" s="242" t="n">
        <v>0</v>
      </c>
      <c r="R70" s="242" t="n">
        <v>0</v>
      </c>
      <c r="S70" s="242" t="n">
        <v>0</v>
      </c>
      <c r="T70" s="242" t="n"/>
      <c r="U70" s="242" t="n"/>
      <c r="V70" s="242" t="n"/>
      <c r="W70" s="242" t="n"/>
      <c r="X70" s="242" t="n"/>
      <c r="Y70" s="243" t="n">
        <v>0</v>
      </c>
      <c r="Z70" s="243" t="n">
        <v>0</v>
      </c>
      <c r="AA70" s="243" t="n">
        <v>0</v>
      </c>
      <c r="AB70" s="243" t="n">
        <v>0.5</v>
      </c>
      <c r="AC70" s="300" t="n"/>
      <c r="AD70" s="300" t="n"/>
      <c r="AE70" s="300" t="n"/>
      <c r="AF70" s="300" t="n"/>
      <c r="AG70" s="297">
        <f>ROUND($O70*P70,0)</f>
        <v/>
      </c>
      <c r="AH70" s="297">
        <f>ROUND($O70*Q70,0)</f>
        <v/>
      </c>
      <c r="AI70" s="297">
        <f>ROUND($O70*R70,0)</f>
        <v/>
      </c>
      <c r="AJ70" s="297">
        <f>ROUND($O70*S70,0)</f>
        <v/>
      </c>
      <c r="AK70" s="297">
        <f>ROUND($O70*T70,0)</f>
        <v/>
      </c>
      <c r="AL70" s="297">
        <f>ROUND($O70*U70,0)</f>
        <v/>
      </c>
      <c r="AM70" s="297">
        <f>ROUND($O70*V70,0)</f>
        <v/>
      </c>
      <c r="AN70" s="297">
        <f>ROUND($O70*W70,0)</f>
        <v/>
      </c>
      <c r="AO70" s="297">
        <f>ROUND($O70*X70,0)</f>
        <v/>
      </c>
      <c r="AP70" s="298">
        <f>ROUND($O70*Y70,0)</f>
        <v/>
      </c>
      <c r="AQ70" s="298">
        <f>ROUND($O70*Z70,0)</f>
        <v/>
      </c>
      <c r="AR70" s="298">
        <f>ROUND($O70*AA70,0)</f>
        <v/>
      </c>
      <c r="AS70" s="298">
        <f>ROUND($O70*AB70,0)</f>
        <v/>
      </c>
      <c r="AT70" s="302">
        <f>ROUND($O70*AC70,0)</f>
        <v/>
      </c>
      <c r="AU70" s="302">
        <f>ROUND($O70*AD70,0)</f>
        <v/>
      </c>
      <c r="AV70" s="302">
        <f>ROUND($O70*AE70,0)</f>
        <v/>
      </c>
      <c r="AW70" s="302">
        <f>ROUND($O70*AF70,0)</f>
        <v/>
      </c>
      <c r="AX70" s="236">
        <f>SUM(AG70:AO70)</f>
        <v/>
      </c>
      <c r="AY70" s="231">
        <f>AX70/160</f>
        <v/>
      </c>
      <c r="AZ70" s="231">
        <f>VLOOKUP(I70,Listy!$A$1:$H$9,6,FALSE)</f>
        <v/>
      </c>
      <c r="BA70" s="690">
        <f>AY70*AZ70</f>
        <v/>
      </c>
      <c r="BB70" s="690">
        <f>AY70*BA70</f>
        <v/>
      </c>
      <c r="BC70" s="528" t="n"/>
      <c r="BD70" s="528" t="n"/>
      <c r="BE70" s="528" t="n"/>
      <c r="BF70" s="528" t="n"/>
      <c r="BG70" s="528" t="n"/>
      <c r="BH70" s="314">
        <f>BF70*BG70</f>
        <v/>
      </c>
      <c r="BI70" s="528" t="n"/>
      <c r="BJ70" s="51" t="n"/>
      <c r="BK70" s="21" t="n"/>
      <c r="BL70" s="399" t="n"/>
      <c r="BM70" s="528" t="n"/>
      <c r="BN70" s="21" t="n"/>
      <c r="BO70" s="528" t="n"/>
      <c r="BP70" s="528" t="n"/>
      <c r="BQ70" s="21" t="n"/>
      <c r="BR70" s="21" t="n"/>
      <c r="BS70" s="528" t="n"/>
      <c r="BT70" s="528" t="n"/>
      <c r="BU70" s="528" t="n"/>
      <c r="BV70" s="314">
        <f>BT70*BU70</f>
        <v/>
      </c>
      <c r="BW70" s="528" t="n"/>
      <c r="BX70" s="528" t="n"/>
      <c r="BY70" s="528" t="n"/>
      <c r="BZ70" s="314">
        <f>BX70*BY70</f>
        <v/>
      </c>
      <c r="CA70" s="528" t="n"/>
      <c r="CB70" s="528" t="n"/>
      <c r="CC70" s="528" t="n"/>
      <c r="CD70" s="314">
        <f>CB70*CC70</f>
        <v/>
      </c>
    </row>
    <row r="71" ht="14.4" customHeight="1" s="191">
      <c r="A71" s="528" t="n">
        <v>10</v>
      </c>
      <c r="B71" s="55" t="inlineStr">
        <is>
          <t>b</t>
        </is>
      </c>
      <c r="C71" s="139" t="n">
        <v>1</v>
      </c>
      <c r="D71" s="160">
        <f>CONCATENATE(A$1,"_",A71,"_",B71,"_",C71)</f>
        <v/>
      </c>
      <c r="E71" s="526" t="inlineStr">
        <is>
          <t>Analizowanie wyników działania Modelu i ich wpływu na KPI</t>
        </is>
      </c>
      <c r="F71" s="528" t="n"/>
      <c r="G71" s="528" t="n"/>
      <c r="H71" s="133" t="n">
        <v>30</v>
      </c>
      <c r="I71" s="100" t="inlineStr">
        <is>
          <t>ACT</t>
        </is>
      </c>
      <c r="J71" s="91">
        <f>M70+1</f>
        <v/>
      </c>
      <c r="K71" s="681">
        <f>VLOOKUP(J71,Kalendarz!B:E,4,FALSE)</f>
        <v/>
      </c>
      <c r="L71" s="681">
        <f>K71+N71</f>
        <v/>
      </c>
      <c r="M71" s="528">
        <f>J71+N71-1</f>
        <v/>
      </c>
      <c r="N71" s="474" t="n">
        <v>0</v>
      </c>
      <c r="O71" s="45" t="n">
        <v>120</v>
      </c>
      <c r="P71" s="242" t="n">
        <v>0</v>
      </c>
      <c r="Q71" s="242" t="n">
        <v>0.333</v>
      </c>
      <c r="R71" s="242" t="n">
        <v>0.333</v>
      </c>
      <c r="S71" s="242" t="n">
        <v>0.333</v>
      </c>
      <c r="T71" s="242" t="n"/>
      <c r="U71" s="242" t="n"/>
      <c r="V71" s="242" t="n"/>
      <c r="W71" s="242" t="n"/>
      <c r="X71" s="242" t="n"/>
      <c r="Y71" s="243" t="n">
        <v>0</v>
      </c>
      <c r="Z71" s="243" t="n">
        <v>0</v>
      </c>
      <c r="AA71" s="243" t="n">
        <v>0</v>
      </c>
      <c r="AB71" s="243" t="n">
        <v>0</v>
      </c>
      <c r="AC71" s="300" t="n"/>
      <c r="AD71" s="300" t="n"/>
      <c r="AE71" s="300" t="n"/>
      <c r="AF71" s="300" t="n"/>
      <c r="AG71" s="297">
        <f>ROUND($O71*P71,0)</f>
        <v/>
      </c>
      <c r="AH71" s="297">
        <f>ROUND($O71*Q71,0)</f>
        <v/>
      </c>
      <c r="AI71" s="297">
        <f>ROUND($O71*R71,0)</f>
        <v/>
      </c>
      <c r="AJ71" s="297">
        <f>ROUND($O71*S71,0)</f>
        <v/>
      </c>
      <c r="AK71" s="297">
        <f>ROUND($O71*T71,0)</f>
        <v/>
      </c>
      <c r="AL71" s="297">
        <f>ROUND($O71*U71,0)</f>
        <v/>
      </c>
      <c r="AM71" s="297">
        <f>ROUND($O71*V71,0)</f>
        <v/>
      </c>
      <c r="AN71" s="297">
        <f>ROUND($O71*W71,0)</f>
        <v/>
      </c>
      <c r="AO71" s="297">
        <f>ROUND($O71*X71,0)</f>
        <v/>
      </c>
      <c r="AP71" s="298">
        <f>ROUND($O71*Y71,0)</f>
        <v/>
      </c>
      <c r="AQ71" s="298">
        <f>ROUND($O71*Z71,0)</f>
        <v/>
      </c>
      <c r="AR71" s="298">
        <f>ROUND($O71*AA71,0)</f>
        <v/>
      </c>
      <c r="AS71" s="298">
        <f>ROUND($O71*AB71,0)</f>
        <v/>
      </c>
      <c r="AT71" s="302">
        <f>ROUND($O71*AC71,0)</f>
        <v/>
      </c>
      <c r="AU71" s="302">
        <f>ROUND($O71*AD71,0)</f>
        <v/>
      </c>
      <c r="AV71" s="302">
        <f>ROUND($O71*AE71,0)</f>
        <v/>
      </c>
      <c r="AW71" s="302">
        <f>ROUND($O71*AF71,0)</f>
        <v/>
      </c>
      <c r="AX71" s="236">
        <f>SUM(AG71:AO71)</f>
        <v/>
      </c>
      <c r="AY71" s="231">
        <f>AX71/160</f>
        <v/>
      </c>
      <c r="AZ71" s="231">
        <f>VLOOKUP(I71,Listy!$A$1:$H$9,6,FALSE)</f>
        <v/>
      </c>
      <c r="BA71" s="690">
        <f>AY71*AZ71</f>
        <v/>
      </c>
      <c r="BB71" s="690">
        <f>AY71*BA71</f>
        <v/>
      </c>
      <c r="BC71" s="528" t="n"/>
      <c r="BD71" s="528" t="n"/>
      <c r="BE71" s="528" t="n"/>
      <c r="BF71" s="528" t="n"/>
      <c r="BG71" s="528" t="n"/>
      <c r="BI71" s="528" t="n"/>
      <c r="BJ71" s="528" t="n"/>
      <c r="BL71" s="528" t="n"/>
      <c r="BM71" s="528" t="n"/>
      <c r="BO71" s="528" t="n"/>
      <c r="BP71" s="528" t="n"/>
      <c r="BS71" s="528" t="n"/>
      <c r="BT71" s="528" t="n"/>
      <c r="BU71" s="528" t="n"/>
      <c r="BW71" s="528" t="n"/>
      <c r="BX71" s="528" t="n"/>
      <c r="BY71" s="528" t="n"/>
      <c r="CA71" s="528" t="n"/>
      <c r="CB71" s="528" t="n"/>
      <c r="CC71" s="528" t="n"/>
    </row>
    <row r="72" ht="15.75" customHeight="1" s="191">
      <c r="A72" s="604" t="n">
        <v>11</v>
      </c>
      <c r="B72" s="55" t="inlineStr">
        <is>
          <t>a</t>
        </is>
      </c>
      <c r="C72" s="139" t="n">
        <v>0</v>
      </c>
      <c r="D72" s="160">
        <f>CONCATENATE(A$1,"_",A72,"_",B72,"_",C72)</f>
        <v/>
      </c>
      <c r="E72" s="607" t="inlineStr">
        <is>
          <t xml:space="preserve">11.Monitorowanie </t>
        </is>
      </c>
      <c r="F72" s="190" t="n"/>
      <c r="G72" s="190" t="n"/>
      <c r="H72" s="46" t="n"/>
      <c r="I72" s="190" t="n"/>
      <c r="J72" s="91">
        <f>M71+1</f>
        <v/>
      </c>
      <c r="K72" s="681">
        <f>VLOOKUP(J72,Kalendarz!B:E,4,FALSE)</f>
        <v/>
      </c>
      <c r="L72" s="681">
        <f>K72+N72</f>
        <v/>
      </c>
      <c r="M72" s="528">
        <f>J72+N72-1</f>
        <v/>
      </c>
      <c r="N72" s="474">
        <f>ROUND(MAX(AG72:AO72)/Listy!$U$2,0)</f>
        <v/>
      </c>
      <c r="O72" s="190" t="n"/>
      <c r="P72" s="190" t="n"/>
      <c r="Q72" s="190" t="n"/>
      <c r="R72" s="190" t="n"/>
      <c r="S72" s="190" t="n"/>
      <c r="T72" s="190" t="n"/>
      <c r="U72" s="190" t="n"/>
      <c r="V72" s="190" t="n"/>
      <c r="W72" s="190" t="n"/>
      <c r="X72" s="190" t="n"/>
      <c r="Y72" s="190" t="n"/>
      <c r="Z72" s="190" t="n"/>
      <c r="AA72" s="190" t="n"/>
      <c r="AB72" s="190" t="n"/>
      <c r="AC72" s="190" t="n"/>
      <c r="AD72" s="190" t="n"/>
      <c r="AE72" s="190" t="n"/>
      <c r="AF72" s="190" t="n"/>
      <c r="AG72" s="190" t="n"/>
      <c r="AH72" s="190" t="n"/>
      <c r="AI72" s="190" t="n"/>
      <c r="AJ72" s="190" t="n"/>
      <c r="AK72" s="190" t="n"/>
      <c r="AL72" s="190" t="n"/>
      <c r="AM72" s="190" t="n"/>
      <c r="AN72" s="190" t="n"/>
      <c r="AO72" s="190" t="n"/>
      <c r="AP72" s="190" t="n"/>
      <c r="AQ72" s="190" t="n"/>
      <c r="AR72" s="190" t="n"/>
      <c r="AS72" s="190" t="n"/>
      <c r="AT72" s="190" t="n"/>
      <c r="AU72" s="190" t="n"/>
      <c r="AV72" s="190" t="n"/>
      <c r="AW72" s="190" t="n"/>
      <c r="AX72" s="190" t="n"/>
      <c r="AY72" s="190" t="n"/>
      <c r="AZ72" s="190" t="n"/>
      <c r="BA72" s="190" t="n"/>
      <c r="BB72" s="190" t="n"/>
      <c r="BC72" s="190" t="n"/>
      <c r="BD72" s="190" t="n"/>
      <c r="BE72" s="190" t="n"/>
      <c r="BF72" s="190" t="n"/>
      <c r="BG72" s="190" t="n"/>
      <c r="BH72" s="190" t="n"/>
      <c r="BI72" s="190" t="n"/>
      <c r="BJ72" s="190" t="n"/>
      <c r="BK72" s="190" t="n"/>
      <c r="BL72" s="190" t="n"/>
      <c r="BM72" s="190" t="n"/>
      <c r="BN72" s="190" t="n"/>
      <c r="BO72" s="190" t="n"/>
      <c r="BP72" s="190" t="n"/>
      <c r="BQ72" s="190" t="n"/>
      <c r="BR72" s="190" t="n"/>
      <c r="BS72" s="190" t="n"/>
      <c r="BT72" s="190" t="n"/>
      <c r="BU72" s="190" t="n"/>
      <c r="BV72" s="190" t="n"/>
      <c r="BW72" s="190" t="n"/>
      <c r="BX72" s="190" t="n"/>
      <c r="BY72" s="190" t="n"/>
      <c r="BZ72" s="190" t="n"/>
      <c r="CA72" s="190" t="n"/>
      <c r="CB72" s="190" t="n"/>
      <c r="CC72" s="190" t="n"/>
      <c r="CD72" s="190" t="n"/>
      <c r="CE72" s="190" t="n"/>
      <c r="CF72" s="190" t="n"/>
    </row>
    <row r="73" ht="14.4" customHeight="1" s="191">
      <c r="A73" s="528" t="n">
        <v>11</v>
      </c>
      <c r="B73" s="55" t="inlineStr">
        <is>
          <t>a</t>
        </is>
      </c>
      <c r="C73" s="139" t="n">
        <v>1</v>
      </c>
      <c r="D73" s="160">
        <f>CONCATENATE(A$1,"_",A73,"_",B73,"_",C73)</f>
        <v/>
      </c>
      <c r="E73" s="526" t="inlineStr">
        <is>
          <t>Regularne śledzenie wydajności Modelu</t>
        </is>
      </c>
      <c r="F73" s="528" t="n"/>
      <c r="G73" s="528" t="n"/>
      <c r="H73" s="133" t="n">
        <v>31</v>
      </c>
      <c r="I73" s="455" t="inlineStr">
        <is>
          <t>END</t>
        </is>
      </c>
      <c r="J73" s="91">
        <f>M72+1</f>
        <v/>
      </c>
      <c r="K73" s="681">
        <f>VLOOKUP(J73,Kalendarz!B:E,4,FALSE)</f>
        <v/>
      </c>
      <c r="L73" s="681">
        <f>K73+N73</f>
        <v/>
      </c>
      <c r="M73" s="528">
        <f>J73+N73-1</f>
        <v/>
      </c>
      <c r="N73" s="474" t="n">
        <v>1</v>
      </c>
      <c r="O73" s="529" t="n">
        <v>120</v>
      </c>
      <c r="P73" s="242" t="n">
        <v>0.25</v>
      </c>
      <c r="Q73" s="242" t="n">
        <v>0</v>
      </c>
      <c r="R73" s="242" t="n">
        <v>0</v>
      </c>
      <c r="S73" s="242" t="n">
        <v>0</v>
      </c>
      <c r="T73" s="242" t="n"/>
      <c r="U73" s="242" t="n"/>
      <c r="V73" s="242" t="n"/>
      <c r="W73" s="242" t="n"/>
      <c r="X73" s="242" t="n"/>
      <c r="Y73" s="243" t="n">
        <v>0</v>
      </c>
      <c r="Z73" s="243" t="n">
        <v>0</v>
      </c>
      <c r="AA73" s="243" t="n">
        <v>0</v>
      </c>
      <c r="AB73" s="243" t="n">
        <v>0.75</v>
      </c>
      <c r="AC73" s="300" t="n"/>
      <c r="AD73" s="300" t="n"/>
      <c r="AE73" s="300" t="n"/>
      <c r="AF73" s="300" t="n"/>
      <c r="AG73" s="297">
        <f>ROUND($O73*P73,0)</f>
        <v/>
      </c>
      <c r="AH73" s="297">
        <f>ROUND($O73*Q73,0)</f>
        <v/>
      </c>
      <c r="AI73" s="297">
        <f>ROUND($O73*R73,0)</f>
        <v/>
      </c>
      <c r="AJ73" s="297">
        <f>ROUND($O73*S73,0)</f>
        <v/>
      </c>
      <c r="AK73" s="297">
        <f>ROUND($O73*T73,0)</f>
        <v/>
      </c>
      <c r="AL73" s="297">
        <f>ROUND($O73*U73,0)</f>
        <v/>
      </c>
      <c r="AM73" s="297">
        <f>ROUND($O73*V73,0)</f>
        <v/>
      </c>
      <c r="AN73" s="297">
        <f>ROUND($O73*W73,0)</f>
        <v/>
      </c>
      <c r="AO73" s="297">
        <f>ROUND($O73*X73,0)</f>
        <v/>
      </c>
      <c r="AP73" s="298">
        <f>ROUND($O73*Y73,0)</f>
        <v/>
      </c>
      <c r="AQ73" s="298">
        <f>ROUND($O73*Z73,0)</f>
        <v/>
      </c>
      <c r="AR73" s="298">
        <f>ROUND($O73*AA73,0)</f>
        <v/>
      </c>
      <c r="AS73" s="298">
        <f>ROUND($O73*AB73,0)</f>
        <v/>
      </c>
      <c r="AT73" s="302">
        <f>ROUND($O73*AC73,0)</f>
        <v/>
      </c>
      <c r="AU73" s="302">
        <f>ROUND($O73*AD73,0)</f>
        <v/>
      </c>
      <c r="AV73" s="302">
        <f>ROUND($O73*AE73,0)</f>
        <v/>
      </c>
      <c r="AW73" s="302">
        <f>ROUND($O73*AF73,0)</f>
        <v/>
      </c>
      <c r="AX73" s="236">
        <f>SUM(AG73:AO73)</f>
        <v/>
      </c>
      <c r="AY73" s="231">
        <f>AX73/160</f>
        <v/>
      </c>
      <c r="AZ73" s="231">
        <f>VLOOKUP(I73,Listy!$A$1:$H$9,6,FALSE)</f>
        <v/>
      </c>
      <c r="BA73" s="690">
        <f>AY73*AZ73</f>
        <v/>
      </c>
      <c r="BB73" s="690">
        <f>AY73*BA73</f>
        <v/>
      </c>
      <c r="BC73" s="528" t="n"/>
      <c r="BD73" s="528" t="n"/>
      <c r="BE73" s="528" t="n"/>
      <c r="BF73" s="528" t="n"/>
      <c r="BG73" s="528" t="n"/>
      <c r="BI73" s="528" t="n"/>
      <c r="BJ73" s="528" t="n"/>
      <c r="BL73" s="528" t="n"/>
      <c r="BM73" s="528" t="n"/>
      <c r="BO73" s="528" t="n"/>
      <c r="BP73" s="528" t="n"/>
      <c r="BS73" s="528" t="n"/>
      <c r="BT73" s="528" t="n"/>
      <c r="BU73" s="528" t="n"/>
      <c r="BW73" s="528" t="n"/>
      <c r="BX73" s="528" t="n"/>
      <c r="BY73" s="528" t="n"/>
      <c r="CA73" s="528" t="n"/>
      <c r="CB73" s="528" t="n"/>
      <c r="CC73" s="528" t="n"/>
    </row>
    <row r="74" ht="28.8" customHeight="1" s="191">
      <c r="A74" s="528" t="n">
        <v>11</v>
      </c>
      <c r="B74" s="55" t="inlineStr">
        <is>
          <t>b</t>
        </is>
      </c>
      <c r="C74" s="139" t="n">
        <v>1</v>
      </c>
      <c r="D74" s="160">
        <f>CONCATENATE(A$1,"_",A74,"_",B74,"_",C74)</f>
        <v/>
      </c>
      <c r="E74" s="526" t="inlineStr">
        <is>
          <t>Wprowadzanie poprawek do Modelu, aktualizacje na podstawie nowych danych i zmieniających się warun-ków operacyjnych</t>
        </is>
      </c>
      <c r="F74" s="528" t="n"/>
      <c r="G74" s="528" t="n"/>
      <c r="H74" s="133" t="n">
        <v>31</v>
      </c>
      <c r="I74" s="455" t="inlineStr">
        <is>
          <t>END/ACT</t>
        </is>
      </c>
      <c r="J74" s="91">
        <f>M73+1</f>
        <v/>
      </c>
      <c r="K74" s="681">
        <f>VLOOKUP(J74,Kalendarz!B:E,4,FALSE)</f>
        <v/>
      </c>
      <c r="L74" s="681">
        <f>K74+N74</f>
        <v/>
      </c>
      <c r="M74" s="528">
        <f>J74+N74-1</f>
        <v/>
      </c>
      <c r="N74" s="476" t="n">
        <v>0</v>
      </c>
      <c r="O74" s="529" t="n">
        <v>80</v>
      </c>
      <c r="P74" s="242" t="n">
        <v>0</v>
      </c>
      <c r="Q74" s="242" t="n">
        <v>0.25</v>
      </c>
      <c r="R74" s="242" t="n">
        <v>0</v>
      </c>
      <c r="S74" s="242" t="n">
        <v>0</v>
      </c>
      <c r="T74" s="242" t="n"/>
      <c r="U74" s="242" t="n"/>
      <c r="V74" s="242" t="n"/>
      <c r="W74" s="242" t="n"/>
      <c r="X74" s="242" t="n"/>
      <c r="Y74" s="243" t="n">
        <v>0</v>
      </c>
      <c r="Z74" s="243" t="n">
        <v>0</v>
      </c>
      <c r="AA74" s="243" t="n">
        <v>0.25</v>
      </c>
      <c r="AB74" s="243" t="n">
        <v>0.5</v>
      </c>
      <c r="AC74" s="300" t="n"/>
      <c r="AD74" s="300" t="n"/>
      <c r="AE74" s="300" t="n"/>
      <c r="AF74" s="300" t="n"/>
      <c r="AG74" s="297">
        <f>ROUND($O74*P74,0)</f>
        <v/>
      </c>
      <c r="AH74" s="297">
        <f>ROUND($O74*Q74,0)</f>
        <v/>
      </c>
      <c r="AI74" s="297">
        <f>ROUND($O74*R74,0)</f>
        <v/>
      </c>
      <c r="AJ74" s="297">
        <f>ROUND($O74*S74,0)</f>
        <v/>
      </c>
      <c r="AK74" s="297">
        <f>ROUND($O74*T74,0)</f>
        <v/>
      </c>
      <c r="AL74" s="297">
        <f>ROUND($O74*U74,0)</f>
        <v/>
      </c>
      <c r="AM74" s="297">
        <f>ROUND($O74*V74,0)</f>
        <v/>
      </c>
      <c r="AN74" s="297">
        <f>ROUND($O74*W74,0)</f>
        <v/>
      </c>
      <c r="AO74" s="297">
        <f>ROUND($O74*X74,0)</f>
        <v/>
      </c>
      <c r="AP74" s="298">
        <f>ROUND($O74*Y74,0)</f>
        <v/>
      </c>
      <c r="AQ74" s="298">
        <f>ROUND($O74*Z74,0)</f>
        <v/>
      </c>
      <c r="AR74" s="298">
        <f>ROUND($O74*AA74,0)</f>
        <v/>
      </c>
      <c r="AS74" s="298">
        <f>ROUND($O74*AB74,0)</f>
        <v/>
      </c>
      <c r="AT74" s="302">
        <f>ROUND($O74*AC74,0)</f>
        <v/>
      </c>
      <c r="AU74" s="302">
        <f>ROUND($O74*AD74,0)</f>
        <v/>
      </c>
      <c r="AV74" s="302">
        <f>ROUND($O74*AE74,0)</f>
        <v/>
      </c>
      <c r="AW74" s="302">
        <f>ROUND($O74*AF74,0)</f>
        <v/>
      </c>
      <c r="AX74" s="236">
        <f>SUM(AG74:AO74)</f>
        <v/>
      </c>
      <c r="AY74" s="231">
        <f>AX74/160</f>
        <v/>
      </c>
      <c r="AZ74" s="231">
        <f>VLOOKUP(I74,Listy!$A$1:$H$9,6,FALSE)</f>
        <v/>
      </c>
      <c r="BA74" s="690">
        <f>AY74*AZ74</f>
        <v/>
      </c>
      <c r="BB74" s="690">
        <f>AY74*BA74</f>
        <v/>
      </c>
      <c r="BC74" s="528" t="n"/>
      <c r="BD74" s="528" t="n"/>
      <c r="BE74" s="528" t="n"/>
      <c r="BF74" s="528" t="n"/>
      <c r="BG74" s="528" t="n"/>
      <c r="BH74" s="314">
        <f>BF74*BG74</f>
        <v/>
      </c>
      <c r="BI74" s="528" t="n"/>
      <c r="BJ74" s="51" t="n"/>
      <c r="BK74" s="528" t="n"/>
      <c r="BL74" s="399" t="n"/>
      <c r="BM74" s="528" t="n"/>
      <c r="BN74" s="528" t="n"/>
      <c r="BO74" s="528" t="n"/>
      <c r="BP74" s="528" t="n"/>
      <c r="BQ74" s="528" t="n"/>
      <c r="BR74" s="528" t="n"/>
      <c r="BS74" s="528" t="n"/>
      <c r="BT74" s="528" t="n"/>
      <c r="BU74" s="528" t="n"/>
      <c r="BV74" s="314">
        <f>BT74*BU74</f>
        <v/>
      </c>
      <c r="BW74" s="528" t="n"/>
      <c r="BX74" s="528" t="n"/>
      <c r="BY74" s="528" t="n"/>
      <c r="BZ74" s="314">
        <f>BX74*BY74</f>
        <v/>
      </c>
      <c r="CA74" s="528" t="n"/>
      <c r="CB74" s="528" t="n"/>
      <c r="CC74" s="528" t="n"/>
      <c r="CD74" s="314">
        <f>CB74*CC74</f>
        <v/>
      </c>
    </row>
    <row r="75" ht="15.75" customHeight="1" s="191">
      <c r="A75" s="604" t="n">
        <v>12</v>
      </c>
      <c r="B75" s="55" t="inlineStr">
        <is>
          <t>a</t>
        </is>
      </c>
      <c r="C75" s="139" t="n">
        <v>1</v>
      </c>
      <c r="D75" s="160">
        <f>CONCATENATE(A$1,"_",A75,"_",B75,"_",C75)</f>
        <v/>
      </c>
      <c r="E75" s="607" t="inlineStr">
        <is>
          <t>12.Dokumentacja i szkolenie</t>
        </is>
      </c>
      <c r="F75" s="528" t="n"/>
      <c r="G75" s="528" t="n"/>
      <c r="H75" s="133" t="n">
        <v>32</v>
      </c>
      <c r="I75" s="100" t="inlineStr">
        <is>
          <t>ACT</t>
        </is>
      </c>
      <c r="J75" s="91">
        <f>M74+1</f>
        <v/>
      </c>
      <c r="K75" s="681">
        <f>VLOOKUP(J75,Kalendarz!B:E,4,FALSE)</f>
        <v/>
      </c>
      <c r="L75" s="681">
        <f>K75+N75</f>
        <v/>
      </c>
      <c r="M75" s="528">
        <f>J75+N75-1</f>
        <v/>
      </c>
      <c r="N75" s="474" t="n">
        <v>0</v>
      </c>
      <c r="O75" s="529" t="n">
        <v>200</v>
      </c>
      <c r="P75" s="242" t="n">
        <v>0</v>
      </c>
      <c r="Q75" s="242" t="n">
        <v>0</v>
      </c>
      <c r="R75" s="242" t="n">
        <v>0.1</v>
      </c>
      <c r="S75" s="242" t="n">
        <v>0.1</v>
      </c>
      <c r="T75" s="242" t="n"/>
      <c r="U75" s="242" t="n"/>
      <c r="V75" s="242" t="n"/>
      <c r="W75" s="242" t="n"/>
      <c r="X75" s="242" t="n"/>
      <c r="Y75" s="243" t="n">
        <v>0.2</v>
      </c>
      <c r="Z75" s="243" t="n">
        <v>0.2</v>
      </c>
      <c r="AA75" s="243" t="n">
        <v>0.2</v>
      </c>
      <c r="AB75" s="243" t="n">
        <v>0.2</v>
      </c>
      <c r="AC75" s="300" t="n"/>
      <c r="AD75" s="300" t="n"/>
      <c r="AE75" s="300" t="n"/>
      <c r="AF75" s="300" t="n"/>
      <c r="AG75" s="297">
        <f>ROUND($O75*P75,0)</f>
        <v/>
      </c>
      <c r="AH75" s="297">
        <f>ROUND($O75*Q75,0)</f>
        <v/>
      </c>
      <c r="AI75" s="297">
        <f>ROUND($O75*R75,0)</f>
        <v/>
      </c>
      <c r="AJ75" s="297">
        <f>ROUND($O75*S75,0)</f>
        <v/>
      </c>
      <c r="AK75" s="297">
        <f>ROUND($O75*T75,0)</f>
        <v/>
      </c>
      <c r="AL75" s="297">
        <f>ROUND($O75*U75,0)</f>
        <v/>
      </c>
      <c r="AM75" s="297">
        <f>ROUND($O75*V75,0)</f>
        <v/>
      </c>
      <c r="AN75" s="297">
        <f>ROUND($O75*W75,0)</f>
        <v/>
      </c>
      <c r="AO75" s="297">
        <f>ROUND($O75*X75,0)</f>
        <v/>
      </c>
      <c r="AP75" s="298">
        <f>ROUND($O75*Y75,0)</f>
        <v/>
      </c>
      <c r="AQ75" s="298">
        <f>ROUND($O75*Z75,0)</f>
        <v/>
      </c>
      <c r="AR75" s="298">
        <f>ROUND($O75*AA75,0)</f>
        <v/>
      </c>
      <c r="AS75" s="298">
        <f>ROUND($O75*AB75,0)</f>
        <v/>
      </c>
      <c r="AT75" s="302">
        <f>ROUND($O75*AC75,0)</f>
        <v/>
      </c>
      <c r="AU75" s="302">
        <f>ROUND($O75*AD75,0)</f>
        <v/>
      </c>
      <c r="AV75" s="302">
        <f>ROUND($O75*AE75,0)</f>
        <v/>
      </c>
      <c r="AW75" s="302">
        <f>ROUND($O75*AF75,0)</f>
        <v/>
      </c>
      <c r="AX75" s="236">
        <f>SUM(AG75:AO75)</f>
        <v/>
      </c>
      <c r="AY75" s="231">
        <f>AX75/160</f>
        <v/>
      </c>
      <c r="AZ75" s="231">
        <f>VLOOKUP(I75,Listy!$A$1:$H$9,6,FALSE)</f>
        <v/>
      </c>
      <c r="BA75" s="690">
        <f>AY75*AZ75</f>
        <v/>
      </c>
      <c r="BB75" s="690">
        <f>AY75*BA75</f>
        <v/>
      </c>
      <c r="BC75" s="528" t="n"/>
      <c r="BD75" s="528" t="n"/>
      <c r="BE75" s="528" t="n"/>
      <c r="BF75" s="528" t="n"/>
      <c r="BG75" s="528" t="n"/>
      <c r="BH75" s="314">
        <f>BF75*BG75</f>
        <v/>
      </c>
      <c r="BI75" s="528" t="n"/>
      <c r="BJ75" s="51" t="n"/>
      <c r="BK75" s="314" t="n"/>
      <c r="BL75" s="399" t="n"/>
      <c r="BM75" s="528" t="n"/>
      <c r="BN75" s="314" t="n"/>
      <c r="BO75" s="528" t="n"/>
      <c r="BP75" s="528" t="n"/>
      <c r="BQ75" s="314" t="n"/>
      <c r="BR75" s="314" t="n"/>
      <c r="BS75" s="528" t="n"/>
      <c r="BT75" s="528" t="n"/>
      <c r="BU75" s="528" t="n"/>
      <c r="BV75" s="314">
        <f>BT75*BU75</f>
        <v/>
      </c>
      <c r="BW75" s="528" t="n"/>
      <c r="BX75" s="528" t="n"/>
      <c r="BY75" s="528" t="n"/>
      <c r="BZ75" s="314">
        <f>BX75*BY75</f>
        <v/>
      </c>
      <c r="CA75" s="528" t="n"/>
      <c r="CB75" s="528" t="n"/>
      <c r="CC75" s="528" t="n"/>
      <c r="CD75" s="314">
        <f>CB75*CC75</f>
        <v/>
      </c>
    </row>
    <row r="76" ht="15.75" customHeight="1" s="191">
      <c r="A76" s="450" t="inlineStr">
        <is>
          <t xml:space="preserve">Łącznie </t>
        </is>
      </c>
      <c r="B76" s="451" t="n"/>
      <c r="C76" s="311" t="n"/>
      <c r="D76" s="162" t="n"/>
      <c r="E76" s="169" t="n"/>
      <c r="AG76" s="585">
        <f>SUM(AG$3:AG75)</f>
        <v/>
      </c>
      <c r="AH76" s="586">
        <f>SUM(AH$3:AH75)</f>
        <v/>
      </c>
      <c r="AI76" s="586">
        <f>SUM(AI$3:AI75)</f>
        <v/>
      </c>
      <c r="AJ76" s="586">
        <f>SUM(AJ$3:AJ75)</f>
        <v/>
      </c>
      <c r="AK76" s="586">
        <f>SUM(AK$3:AK75)</f>
        <v/>
      </c>
      <c r="AL76" s="586">
        <f>SUM(AL$3:AL75)</f>
        <v/>
      </c>
      <c r="AM76" s="586">
        <f>SUM(AM$3:AM75)</f>
        <v/>
      </c>
      <c r="AN76" s="586">
        <f>SUM(AN$3:AN75)</f>
        <v/>
      </c>
      <c r="AO76" s="587">
        <f>SUM(AO$3:AO75)</f>
        <v/>
      </c>
      <c r="AP76" s="579">
        <f>SUM(AP$3:AP75)</f>
        <v/>
      </c>
      <c r="AQ76" s="580">
        <f>SUM(AQ$3:AQ75)</f>
        <v/>
      </c>
      <c r="AR76" s="580">
        <f>SUM(AR$3:AR75)</f>
        <v/>
      </c>
      <c r="AS76" s="581">
        <f>SUM(AS$3:AS75)</f>
        <v/>
      </c>
      <c r="AT76" s="572">
        <f>SUM(AT$3:AT75)</f>
        <v/>
      </c>
      <c r="AU76" s="573">
        <f>SUM(AU$3:AU75)</f>
        <v/>
      </c>
      <c r="AV76" s="573">
        <f>SUM(AV$3:AV75)</f>
        <v/>
      </c>
      <c r="AW76" s="574">
        <f>SUM(AW$3:AW75)</f>
        <v/>
      </c>
      <c r="AX76" s="684">
        <f>SUM(AX$3:AX75)</f>
        <v/>
      </c>
    </row>
    <row r="77" ht="15.75" customHeight="1" s="191">
      <c r="AG77" s="588">
        <f>Listy!$AA$1&amp;AG76/20</f>
        <v/>
      </c>
      <c r="AH77" s="589">
        <f>Listy!$AA$1&amp;AH76/20</f>
        <v/>
      </c>
      <c r="AI77" s="589">
        <f>Listy!$AA$1&amp;AI76/20</f>
        <v/>
      </c>
      <c r="AJ77" s="589">
        <f>Listy!$AA$1&amp;AJ76/20</f>
        <v/>
      </c>
      <c r="AK77" s="589">
        <f>Listy!$AA$1&amp;AK76/20</f>
        <v/>
      </c>
      <c r="AL77" s="589">
        <f>Listy!$AA$1&amp;AL76/20</f>
        <v/>
      </c>
      <c r="AM77" s="589">
        <f>Listy!$AA$1&amp;AM76/20</f>
        <v/>
      </c>
      <c r="AN77" s="589">
        <f>Listy!$AA$1&amp;AN76/20</f>
        <v/>
      </c>
      <c r="AO77" s="590">
        <f>Listy!$AA$1&amp;AO76/20</f>
        <v/>
      </c>
      <c r="AP77" s="582">
        <f>Listy!$AA$1&amp;AP76/20</f>
        <v/>
      </c>
      <c r="AQ77" s="583">
        <f>Listy!$AA$1&amp;AQ76/20</f>
        <v/>
      </c>
      <c r="AR77" s="583">
        <f>Listy!$AA$1&amp;AR76/20</f>
        <v/>
      </c>
      <c r="AS77" s="584">
        <f>Listy!$AA$1&amp;AS76/20</f>
        <v/>
      </c>
      <c r="AT77" s="575">
        <f>Listy!$AA$1&amp;AT76/20</f>
        <v/>
      </c>
      <c r="AU77" s="576">
        <f>Listy!$AA$1&amp;AU76/20</f>
        <v/>
      </c>
      <c r="AV77" s="576">
        <f>Listy!$AA$1&amp;AV76/20</f>
        <v/>
      </c>
      <c r="AW77" s="577">
        <f>Listy!$AA$1&amp;AW76/20</f>
        <v/>
      </c>
      <c r="AX77" s="591">
        <f>Listy!$AA$1&amp;AX76/20</f>
        <v/>
      </c>
    </row>
    <row r="78" ht="15.75" customHeight="1" s="191"/>
    <row r="79" ht="15.75" customHeight="1" s="191"/>
    <row r="80" ht="15.75" customHeight="1" s="191"/>
    <row r="81" ht="15.75" customHeight="1" s="191"/>
    <row r="82" ht="15.75" customHeight="1" s="191"/>
    <row r="83" ht="15.75" customHeight="1" s="191"/>
    <row r="84" ht="15.75" customHeight="1" s="191"/>
    <row r="85" ht="15.75" customHeight="1" s="191"/>
    <row r="86" ht="15.75" customHeight="1" s="191"/>
    <row r="87" ht="15.75" customHeight="1" s="191"/>
    <row r="88" ht="15.75" customHeight="1" s="191"/>
    <row r="89" ht="15.75" customHeight="1" s="191"/>
    <row r="90" ht="15.75" customHeight="1" s="191"/>
    <row r="91" ht="15.75" customHeight="1" s="191"/>
    <row r="92" ht="15.75" customHeight="1" s="191"/>
    <row r="93" ht="15.75" customHeight="1" s="191"/>
    <row r="94" ht="15.75" customHeight="1" s="191"/>
    <row r="95" ht="15.75" customHeight="1" s="191"/>
    <row r="96" ht="15.75" customHeight="1" s="191"/>
    <row r="97" ht="15.75" customHeight="1" s="191"/>
    <row r="98" ht="15.75" customHeight="1" s="191"/>
    <row r="99" ht="15.75" customHeight="1" s="191"/>
    <row r="100" ht="15.75" customHeight="1" s="191"/>
    <row r="101" ht="15.75" customHeight="1" s="191"/>
    <row r="102" ht="15.75" customHeight="1" s="191"/>
    <row r="103" ht="15.75" customHeight="1" s="191"/>
    <row r="104" ht="15.75" customHeight="1" s="191"/>
    <row r="105" ht="15.75" customHeight="1" s="191"/>
    <row r="106" ht="15.75" customHeight="1" s="191"/>
    <row r="107" ht="15.75" customHeight="1" s="191"/>
    <row r="108" ht="15.75" customHeight="1" s="191"/>
    <row r="109" ht="15.75" customHeight="1" s="191"/>
    <row r="110" ht="15.75" customHeight="1" s="191"/>
    <row r="111" ht="15.75" customHeight="1" s="191"/>
    <row r="112" ht="15.75" customHeight="1" s="191"/>
    <row r="113" ht="15.75" customHeight="1" s="191"/>
    <row r="114" ht="15.75" customHeight="1" s="191"/>
    <row r="115" ht="15.75" customHeight="1" s="191"/>
    <row r="116" ht="15.75" customHeight="1" s="191"/>
    <row r="117" ht="15.75" customHeight="1" s="191"/>
    <row r="118" ht="15.75" customHeight="1" s="191"/>
    <row r="119" ht="15.75" customHeight="1" s="191"/>
    <row r="120" ht="15.75" customHeight="1" s="191"/>
    <row r="121" ht="15.75" customHeight="1" s="191"/>
    <row r="122" ht="15.75" customHeight="1" s="191"/>
    <row r="123" ht="15.75" customHeight="1" s="191"/>
    <row r="124" ht="15.75" customHeight="1" s="191"/>
    <row r="125" ht="15.75" customHeight="1" s="191"/>
    <row r="126" ht="15.75" customHeight="1" s="191"/>
    <row r="127" ht="15.75" customHeight="1" s="191"/>
    <row r="128" ht="15.75" customHeight="1" s="191"/>
    <row r="129" ht="15.75" customHeight="1" s="191"/>
    <row r="130" ht="15.75" customHeight="1" s="191"/>
    <row r="131" ht="15.75" customHeight="1" s="191"/>
    <row r="132" ht="15.75" customHeight="1" s="191"/>
    <row r="133" ht="15.75" customHeight="1" s="191"/>
    <row r="134" ht="15.75" customHeight="1" s="191"/>
    <row r="135" ht="15.75" customHeight="1" s="191"/>
    <row r="136" ht="15.75" customHeight="1" s="191"/>
    <row r="137" ht="15.75" customHeight="1" s="191"/>
    <row r="138" ht="15.75" customHeight="1" s="191"/>
    <row r="139" ht="15.75" customHeight="1" s="191"/>
    <row r="140" ht="15.75" customHeight="1" s="191"/>
    <row r="141" ht="15.75" customHeight="1" s="191"/>
    <row r="142" ht="15.75" customHeight="1" s="191"/>
    <row r="143" ht="15.75" customHeight="1" s="191"/>
    <row r="144" ht="15.75" customHeight="1" s="191"/>
    <row r="145" ht="15.75" customHeight="1" s="191"/>
    <row r="146" ht="15.75" customHeight="1" s="191"/>
    <row r="147" ht="15.75" customHeight="1" s="191"/>
    <row r="148" ht="15.75" customHeight="1" s="191"/>
    <row r="149" ht="15.75" customHeight="1" s="191"/>
    <row r="150" ht="15.75" customHeight="1" s="191"/>
    <row r="151" ht="15.75" customHeight="1" s="191"/>
    <row r="152" ht="15.75" customHeight="1" s="191"/>
    <row r="153" ht="15.75" customHeight="1" s="191"/>
    <row r="154" ht="15.75" customHeight="1" s="191"/>
    <row r="155" ht="15.75" customHeight="1" s="191"/>
    <row r="156" ht="15.75" customHeight="1" s="191"/>
    <row r="157" ht="15.75" customHeight="1" s="191"/>
    <row r="158" ht="15.75" customHeight="1" s="191"/>
    <row r="159" ht="15.75" customHeight="1" s="191"/>
    <row r="160" ht="15.75" customHeight="1" s="191"/>
    <row r="161" ht="15.75" customHeight="1" s="191"/>
    <row r="162" ht="15.75" customHeight="1" s="191"/>
    <row r="163" ht="15.75" customHeight="1" s="191"/>
    <row r="164" ht="15.75" customHeight="1" s="191"/>
    <row r="165" ht="15.75" customHeight="1" s="191"/>
    <row r="166" ht="15.75" customHeight="1" s="191"/>
    <row r="167" ht="15.75" customHeight="1" s="191"/>
    <row r="168" ht="15.75" customHeight="1" s="191"/>
    <row r="169" ht="15.75" customHeight="1" s="191"/>
    <row r="170" ht="15.75" customHeight="1" s="191"/>
    <row r="171" ht="15.75" customHeight="1" s="191"/>
    <row r="172" ht="15.75" customHeight="1" s="191"/>
    <row r="173" ht="15.75" customHeight="1" s="191"/>
    <row r="174" ht="15.75" customHeight="1" s="191"/>
    <row r="175" ht="15.75" customHeight="1" s="191"/>
    <row r="176" ht="15.75" customHeight="1" s="191"/>
    <row r="177" ht="15.75" customHeight="1" s="191"/>
    <row r="178" ht="15.75" customHeight="1" s="191"/>
    <row r="179" ht="15.75" customHeight="1" s="191"/>
    <row r="180" ht="15.75" customHeight="1" s="191"/>
    <row r="181" ht="15.75" customHeight="1" s="191"/>
    <row r="182" ht="15.75" customHeight="1" s="191"/>
    <row r="183" ht="15.75" customHeight="1" s="191"/>
    <row r="184" ht="15.75" customHeight="1" s="191"/>
    <row r="185" ht="15.75" customHeight="1" s="191"/>
    <row r="186" ht="15.75" customHeight="1" s="191"/>
    <row r="187" ht="15.75" customHeight="1" s="191"/>
    <row r="188" ht="15.75" customHeight="1" s="191"/>
    <row r="189" ht="15.75" customHeight="1" s="191"/>
    <row r="190" ht="15.75" customHeight="1" s="191"/>
    <row r="191" ht="15.75" customHeight="1" s="191"/>
    <row r="192" ht="15.75" customHeight="1" s="191"/>
    <row r="193" ht="15.75" customHeight="1" s="191"/>
    <row r="194" ht="15.75" customHeight="1" s="191"/>
    <row r="195" ht="15.75" customHeight="1" s="191"/>
    <row r="196" ht="15.75" customHeight="1" s="191"/>
    <row r="197" ht="15.75" customHeight="1" s="191"/>
    <row r="198" ht="15.75" customHeight="1" s="191"/>
    <row r="199" ht="15.75" customHeight="1" s="191"/>
    <row r="200" ht="15.75" customHeight="1" s="191"/>
    <row r="201" ht="15.75" customHeight="1" s="191"/>
    <row r="202" ht="15.75" customHeight="1" s="191"/>
    <row r="203" ht="15.75" customHeight="1" s="191"/>
    <row r="204" ht="15.75" customHeight="1" s="191"/>
    <row r="205" ht="15.75" customHeight="1" s="191"/>
    <row r="206" ht="15.75" customHeight="1" s="191"/>
    <row r="207" ht="15.75" customHeight="1" s="191"/>
    <row r="208" ht="15.75" customHeight="1" s="191"/>
    <row r="209" ht="15.75" customHeight="1" s="191"/>
    <row r="210" ht="15.75" customHeight="1" s="191"/>
    <row r="211" ht="15.75" customHeight="1" s="191"/>
    <row r="212" ht="15.75" customHeight="1" s="191"/>
    <row r="213" ht="15.75" customHeight="1" s="191"/>
    <row r="214" ht="15.75" customHeight="1" s="191"/>
    <row r="215" ht="15.75" customHeight="1" s="191"/>
    <row r="216" ht="15.75" customHeight="1" s="191"/>
    <row r="217" ht="15.75" customHeight="1" s="191"/>
    <row r="218" ht="15.75" customHeight="1" s="191"/>
    <row r="219" ht="15.75" customHeight="1" s="191"/>
    <row r="220" ht="15.75" customHeight="1" s="191"/>
    <row r="221" ht="15.75" customHeight="1" s="191"/>
    <row r="222" ht="15.75" customHeight="1" s="191"/>
    <row r="223" ht="15.75" customHeight="1" s="191"/>
    <row r="224" ht="15.75" customHeight="1" s="191"/>
    <row r="225" ht="15.75" customHeight="1" s="191"/>
    <row r="226" ht="15.75" customHeight="1" s="191"/>
    <row r="227" ht="15.75" customHeight="1" s="191"/>
    <row r="228" ht="15.75" customHeight="1" s="191"/>
    <row r="229" ht="15.75" customHeight="1" s="191"/>
    <row r="230" ht="15.75" customHeight="1" s="191"/>
    <row r="231" ht="15.75" customHeight="1" s="191"/>
    <row r="232" ht="15.75" customHeight="1" s="191"/>
    <row r="233" ht="15.75" customHeight="1" s="191"/>
    <row r="234" ht="15.75" customHeight="1" s="191"/>
    <row r="235" ht="15.75" customHeight="1" s="191"/>
    <row r="236" ht="15.75" customHeight="1" s="191"/>
    <row r="237" ht="15.75" customHeight="1" s="191"/>
    <row r="238" ht="15.75" customHeight="1" s="191"/>
    <row r="239" ht="15.75" customHeight="1" s="191"/>
    <row r="240" ht="15.75" customHeight="1" s="191"/>
    <row r="241" ht="15.75" customHeight="1" s="191"/>
    <row r="242" ht="15.75" customHeight="1" s="191"/>
    <row r="243" ht="15.75" customHeight="1" s="191"/>
    <row r="244" ht="15.75" customHeight="1" s="191"/>
    <row r="245" ht="15.75" customHeight="1" s="191"/>
    <row r="246" ht="15.75" customHeight="1" s="191"/>
    <row r="247" ht="15.75" customHeight="1" s="191"/>
    <row r="248" ht="15.75" customHeight="1" s="191"/>
    <row r="249" ht="15.75" customHeight="1" s="191"/>
    <row r="250" ht="15.75" customHeight="1" s="191"/>
    <row r="251" ht="15.75" customHeight="1" s="191"/>
    <row r="252" ht="15.75" customHeight="1" s="191"/>
    <row r="253" ht="15.75" customHeight="1" s="191"/>
    <row r="254" ht="15.75" customHeight="1" s="191"/>
    <row r="255" ht="15.75" customHeight="1" s="191"/>
    <row r="256" ht="15.75" customHeight="1" s="191"/>
    <row r="257" ht="15.75" customHeight="1" s="191"/>
    <row r="258" ht="15.75" customHeight="1" s="191"/>
    <row r="259" ht="15.75" customHeight="1" s="191"/>
    <row r="260" ht="15.75" customHeight="1" s="191"/>
    <row r="261" ht="15.75" customHeight="1" s="191"/>
    <row r="262" ht="15.75" customHeight="1" s="191"/>
    <row r="263" ht="15.75" customHeight="1" s="191"/>
    <row r="264" ht="15.75" customHeight="1" s="191"/>
    <row r="265" ht="15.75" customHeight="1" s="191"/>
    <row r="266" ht="15.75" customHeight="1" s="191"/>
    <row r="267" ht="15.75" customHeight="1" s="191"/>
    <row r="268" ht="15.75" customHeight="1" s="191"/>
    <row r="269" ht="15.75" customHeight="1" s="191"/>
    <row r="270" ht="15.75" customHeight="1" s="191"/>
    <row r="271" ht="15.75" customHeight="1" s="191"/>
    <row r="272" ht="15.75" customHeight="1" s="191"/>
    <row r="273" ht="15.75" customHeight="1" s="191"/>
    <row r="274" ht="15.75" customHeight="1" s="191"/>
    <row r="275" ht="15.75" customHeight="1" s="191"/>
    <row r="276" ht="15.75" customHeight="1" s="191"/>
    <row r="277" ht="15.75" customHeight="1" s="191"/>
    <row r="278" ht="15.75" customHeight="1" s="191"/>
    <row r="279" ht="15.75" customHeight="1" s="191"/>
    <row r="280" ht="15.75" customHeight="1" s="191"/>
    <row r="281" ht="15.75" customHeight="1" s="191"/>
    <row r="282" ht="15.75" customHeight="1" s="191"/>
    <row r="283" ht="15.75" customHeight="1" s="191"/>
    <row r="284" ht="15.75" customHeight="1" s="191"/>
    <row r="285" ht="15.75" customHeight="1" s="191"/>
    <row r="286" ht="15.75" customHeight="1" s="191"/>
    <row r="287" ht="15.75" customHeight="1" s="191"/>
    <row r="288" ht="15.75" customHeight="1" s="191"/>
    <row r="289" ht="15.75" customHeight="1" s="191"/>
    <row r="290" ht="15.75" customHeight="1" s="191"/>
    <row r="291" ht="15.75" customHeight="1" s="191"/>
    <row r="292" ht="15.75" customHeight="1" s="191"/>
    <row r="293" ht="15.75" customHeight="1" s="191"/>
    <row r="294" ht="15.75" customHeight="1" s="191"/>
    <row r="295" ht="15.75" customHeight="1" s="191"/>
    <row r="296" ht="15.75" customHeight="1" s="191"/>
    <row r="297" ht="15.75" customHeight="1" s="191"/>
    <row r="298" ht="15.75" customHeight="1" s="191"/>
    <row r="299" ht="15.75" customHeight="1" s="191"/>
    <row r="300" ht="15.75" customHeight="1" s="191"/>
    <row r="301" ht="15.75" customHeight="1" s="191"/>
    <row r="302" ht="15.75" customHeight="1" s="191"/>
    <row r="303" ht="15.75" customHeight="1" s="191"/>
    <row r="304" ht="15.75" customHeight="1" s="191"/>
    <row r="305" ht="15.75" customHeight="1" s="191"/>
    <row r="306" ht="15.75" customHeight="1" s="191"/>
    <row r="307" ht="15.75" customHeight="1" s="191"/>
    <row r="308" ht="15.75" customHeight="1" s="191"/>
    <row r="309" ht="15.75" customHeight="1" s="191"/>
    <row r="310" ht="15.75" customHeight="1" s="191"/>
    <row r="311" ht="15.75" customHeight="1" s="191"/>
    <row r="312" ht="15.75" customHeight="1" s="191"/>
    <row r="313" ht="15.75" customHeight="1" s="191"/>
    <row r="314" ht="15.75" customHeight="1" s="191"/>
    <row r="315" ht="15.75" customHeight="1" s="191"/>
    <row r="316" ht="15.75" customHeight="1" s="191"/>
    <row r="317" ht="15.75" customHeight="1" s="191"/>
    <row r="318" ht="15.75" customHeight="1" s="191"/>
    <row r="319" ht="15.75" customHeight="1" s="191"/>
    <row r="320" ht="15.75" customHeight="1" s="191"/>
    <row r="321" ht="15.75" customHeight="1" s="191"/>
    <row r="322" ht="15.75" customHeight="1" s="191"/>
    <row r="323" ht="15.75" customHeight="1" s="191"/>
    <row r="324" ht="15.75" customHeight="1" s="191"/>
    <row r="325" ht="15.75" customHeight="1" s="191"/>
    <row r="326" ht="15.75" customHeight="1" s="191"/>
    <row r="327" ht="15.75" customHeight="1" s="191"/>
    <row r="328" ht="15.75" customHeight="1" s="191"/>
    <row r="329" ht="15.75" customHeight="1" s="191"/>
    <row r="330" ht="15.75" customHeight="1" s="191"/>
    <row r="331" ht="15.75" customHeight="1" s="191"/>
    <row r="332" ht="15.75" customHeight="1" s="191"/>
    <row r="333" ht="15.75" customHeight="1" s="191"/>
    <row r="334" ht="15.75" customHeight="1" s="191"/>
    <row r="335" ht="15.75" customHeight="1" s="191"/>
    <row r="336" ht="15.75" customHeight="1" s="191"/>
    <row r="337" ht="15.75" customHeight="1" s="191"/>
    <row r="338" ht="15.75" customHeight="1" s="191"/>
    <row r="339" ht="15.75" customHeight="1" s="191"/>
    <row r="340" ht="15.75" customHeight="1" s="191"/>
    <row r="341" ht="15.75" customHeight="1" s="191"/>
    <row r="342" ht="15.75" customHeight="1" s="191"/>
    <row r="343" ht="15.75" customHeight="1" s="191"/>
    <row r="344" ht="15.75" customHeight="1" s="191"/>
    <row r="345" ht="15.75" customHeight="1" s="191"/>
    <row r="346" ht="15.75" customHeight="1" s="191"/>
    <row r="347" ht="15.75" customHeight="1" s="191"/>
    <row r="348" ht="15.75" customHeight="1" s="191"/>
    <row r="349" ht="15.75" customHeight="1" s="191"/>
    <row r="350" ht="15.75" customHeight="1" s="191"/>
    <row r="351" ht="15.75" customHeight="1" s="191"/>
    <row r="352" ht="15.75" customHeight="1" s="191"/>
    <row r="353" ht="15.75" customHeight="1" s="191"/>
    <row r="354" ht="15.75" customHeight="1" s="191"/>
    <row r="355" ht="15.75" customHeight="1" s="191"/>
    <row r="356" ht="15.75" customHeight="1" s="191"/>
    <row r="357" ht="15.75" customHeight="1" s="191"/>
    <row r="358" ht="15.75" customHeight="1" s="191"/>
    <row r="359" ht="15.75" customHeight="1" s="191"/>
    <row r="360" ht="15.75" customHeight="1" s="191"/>
    <row r="361" ht="15.75" customHeight="1" s="191"/>
    <row r="362" ht="15.75" customHeight="1" s="191"/>
    <row r="363" ht="15.75" customHeight="1" s="191"/>
    <row r="364" ht="15.75" customHeight="1" s="191"/>
    <row r="365" ht="15.75" customHeight="1" s="191"/>
    <row r="366" ht="15.75" customHeight="1" s="191"/>
    <row r="367" ht="15.75" customHeight="1" s="191"/>
    <row r="368" ht="15.75" customHeight="1" s="191"/>
    <row r="369" ht="15.75" customHeight="1" s="191"/>
    <row r="370" ht="15.75" customHeight="1" s="191"/>
    <row r="371" ht="15.75" customHeight="1" s="191"/>
    <row r="372" ht="15.75" customHeight="1" s="191"/>
    <row r="373" ht="15.75" customHeight="1" s="191"/>
    <row r="374" ht="15.75" customHeight="1" s="191"/>
    <row r="375" ht="15.75" customHeight="1" s="191"/>
    <row r="376" ht="15.75" customHeight="1" s="191"/>
    <row r="377" ht="15.75" customHeight="1" s="191"/>
    <row r="378" ht="15.75" customHeight="1" s="191"/>
    <row r="379" ht="15.75" customHeight="1" s="191"/>
    <row r="380" ht="15.75" customHeight="1" s="191"/>
    <row r="381" ht="15.75" customHeight="1" s="191"/>
    <row r="382" ht="15.75" customHeight="1" s="191"/>
    <row r="383" ht="15.75" customHeight="1" s="191"/>
    <row r="384" ht="15.75" customHeight="1" s="191"/>
    <row r="385" ht="15.75" customHeight="1" s="191"/>
    <row r="386" ht="15.75" customHeight="1" s="191"/>
    <row r="387" ht="15.75" customHeight="1" s="191"/>
    <row r="388" ht="15.75" customHeight="1" s="191"/>
    <row r="389" ht="15.75" customHeight="1" s="191"/>
    <row r="390" ht="15.75" customHeight="1" s="191"/>
    <row r="391" ht="15.75" customHeight="1" s="191"/>
    <row r="392" ht="15.75" customHeight="1" s="191"/>
    <row r="393" ht="15.75" customHeight="1" s="191"/>
    <row r="394" ht="15.75" customHeight="1" s="191"/>
    <row r="395" ht="15.75" customHeight="1" s="191"/>
    <row r="396" ht="15.75" customHeight="1" s="191"/>
    <row r="397" ht="15.75" customHeight="1" s="191"/>
    <row r="398" ht="15.75" customHeight="1" s="191"/>
    <row r="399" ht="15.75" customHeight="1" s="191"/>
    <row r="400" ht="15.75" customHeight="1" s="191"/>
    <row r="401" ht="15.75" customHeight="1" s="191"/>
    <row r="402" ht="15.75" customHeight="1" s="191"/>
    <row r="403" ht="15.75" customHeight="1" s="191"/>
    <row r="404" ht="15.75" customHeight="1" s="191"/>
    <row r="405" ht="15.75" customHeight="1" s="191"/>
    <row r="406" ht="15.75" customHeight="1" s="191"/>
    <row r="407" ht="15.75" customHeight="1" s="191"/>
    <row r="408" ht="15.75" customHeight="1" s="191"/>
    <row r="409" ht="15.75" customHeight="1" s="191"/>
    <row r="410" ht="15.75" customHeight="1" s="191"/>
    <row r="411" ht="15.75" customHeight="1" s="191"/>
    <row r="412" ht="15.75" customHeight="1" s="191"/>
    <row r="413" ht="15.75" customHeight="1" s="191"/>
    <row r="414" ht="15.75" customHeight="1" s="191"/>
    <row r="415" ht="15.75" customHeight="1" s="191"/>
    <row r="416" ht="15.75" customHeight="1" s="191"/>
    <row r="417" ht="15.75" customHeight="1" s="191"/>
    <row r="418" ht="15.75" customHeight="1" s="191"/>
    <row r="419" ht="15.75" customHeight="1" s="191"/>
    <row r="420" ht="15.75" customHeight="1" s="191"/>
    <row r="421" ht="15.75" customHeight="1" s="191"/>
    <row r="422" ht="15.75" customHeight="1" s="191"/>
    <row r="423" ht="15.75" customHeight="1" s="191"/>
    <row r="424" ht="15.75" customHeight="1" s="191"/>
    <row r="425" ht="15.75" customHeight="1" s="191"/>
    <row r="426" ht="15.75" customHeight="1" s="191"/>
    <row r="427" ht="15.75" customHeight="1" s="191"/>
    <row r="428" ht="15.75" customHeight="1" s="191"/>
    <row r="429" ht="15.75" customHeight="1" s="191"/>
    <row r="430" ht="15.75" customHeight="1" s="191"/>
    <row r="431" ht="15.75" customHeight="1" s="191"/>
    <row r="432" ht="15.75" customHeight="1" s="191"/>
    <row r="433" ht="15.75" customHeight="1" s="191"/>
    <row r="434" ht="15.75" customHeight="1" s="191"/>
    <row r="435" ht="15.75" customHeight="1" s="191"/>
    <row r="436" ht="15.75" customHeight="1" s="191"/>
    <row r="437" ht="15.75" customHeight="1" s="191"/>
    <row r="438" ht="15.75" customHeight="1" s="191"/>
    <row r="439" ht="15.75" customHeight="1" s="191"/>
    <row r="440" ht="15.75" customHeight="1" s="191"/>
    <row r="441" ht="15.75" customHeight="1" s="191"/>
    <row r="442" ht="15.75" customHeight="1" s="191"/>
    <row r="443" ht="15.75" customHeight="1" s="191"/>
    <row r="444" ht="15.75" customHeight="1" s="191"/>
    <row r="445" ht="15.75" customHeight="1" s="191"/>
    <row r="446" ht="15.75" customHeight="1" s="191"/>
    <row r="447" ht="15.75" customHeight="1" s="191"/>
    <row r="448" ht="15.75" customHeight="1" s="191"/>
    <row r="449" ht="15.75" customHeight="1" s="191"/>
    <row r="450" ht="15.75" customHeight="1" s="191"/>
    <row r="451" ht="15.75" customHeight="1" s="191"/>
    <row r="452" ht="15.75" customHeight="1" s="191"/>
    <row r="453" ht="15.75" customHeight="1" s="191"/>
    <row r="454" ht="15.75" customHeight="1" s="191"/>
    <row r="455" ht="15.75" customHeight="1" s="191"/>
    <row r="456" ht="15.75" customHeight="1" s="191"/>
    <row r="457" ht="15.75" customHeight="1" s="191"/>
    <row r="458" ht="15.75" customHeight="1" s="191"/>
    <row r="459" ht="15.75" customHeight="1" s="191"/>
    <row r="460" ht="15.75" customHeight="1" s="191"/>
    <row r="461" ht="15.75" customHeight="1" s="191"/>
    <row r="462" ht="15.75" customHeight="1" s="191"/>
    <row r="463" ht="15.75" customHeight="1" s="191"/>
    <row r="464" ht="15.75" customHeight="1" s="191"/>
    <row r="465" ht="15.75" customHeight="1" s="191"/>
    <row r="466" ht="15.75" customHeight="1" s="191"/>
    <row r="467" ht="15.75" customHeight="1" s="191"/>
    <row r="468" ht="15.75" customHeight="1" s="191"/>
    <row r="469" ht="15.75" customHeight="1" s="191"/>
    <row r="470" ht="15.75" customHeight="1" s="191"/>
    <row r="471" ht="15.75" customHeight="1" s="191"/>
    <row r="472" ht="15.75" customHeight="1" s="191"/>
    <row r="473" ht="15.75" customHeight="1" s="191"/>
    <row r="474" ht="15.75" customHeight="1" s="191"/>
    <row r="475" ht="15.75" customHeight="1" s="191"/>
    <row r="476" ht="15.75" customHeight="1" s="191"/>
    <row r="477" ht="15.75" customHeight="1" s="191"/>
    <row r="478" ht="15.75" customHeight="1" s="191"/>
    <row r="479" ht="15.75" customHeight="1" s="191"/>
    <row r="480" ht="15.75" customHeight="1" s="191"/>
    <row r="481" ht="15.75" customHeight="1" s="191"/>
    <row r="482" ht="15.75" customHeight="1" s="191"/>
    <row r="483" ht="15.75" customHeight="1" s="191"/>
    <row r="484" ht="15.75" customHeight="1" s="191"/>
    <row r="485" ht="15.75" customHeight="1" s="191"/>
    <row r="486" ht="15.75" customHeight="1" s="191"/>
    <row r="487" ht="15.75" customHeight="1" s="191"/>
    <row r="488" ht="15.75" customHeight="1" s="191"/>
    <row r="489" ht="15.75" customHeight="1" s="191"/>
    <row r="490" ht="15.75" customHeight="1" s="191"/>
    <row r="491" ht="15.75" customHeight="1" s="191"/>
    <row r="492" ht="15.75" customHeight="1" s="191"/>
    <row r="493" ht="15.75" customHeight="1" s="191"/>
    <row r="494" ht="15.75" customHeight="1" s="191"/>
    <row r="495" ht="15.75" customHeight="1" s="191"/>
    <row r="496" ht="15.75" customHeight="1" s="191"/>
    <row r="497" ht="15.75" customHeight="1" s="191"/>
    <row r="498" ht="15.75" customHeight="1" s="191"/>
    <row r="499" ht="15.75" customHeight="1" s="191"/>
    <row r="500" ht="15.75" customHeight="1" s="191"/>
    <row r="501" ht="15.75" customHeight="1" s="191"/>
    <row r="502" ht="15.75" customHeight="1" s="191"/>
    <row r="503" ht="15.75" customHeight="1" s="191"/>
    <row r="504" ht="15.75" customHeight="1" s="191"/>
    <row r="505" ht="15.75" customHeight="1" s="191"/>
    <row r="506" ht="15.75" customHeight="1" s="191"/>
    <row r="507" ht="15.75" customHeight="1" s="191"/>
    <row r="508" ht="15.75" customHeight="1" s="191"/>
    <row r="509" ht="15.75" customHeight="1" s="191"/>
    <row r="510" ht="15.75" customHeight="1" s="191"/>
    <row r="511" ht="15.75" customHeight="1" s="191"/>
    <row r="512" ht="15.75" customHeight="1" s="191"/>
    <row r="513" ht="15.75" customHeight="1" s="191"/>
    <row r="514" ht="15.75" customHeight="1" s="191"/>
    <row r="515" ht="15.75" customHeight="1" s="191"/>
    <row r="516" ht="15.75" customHeight="1" s="191"/>
    <row r="517" ht="15.75" customHeight="1" s="191"/>
    <row r="518" ht="15.75" customHeight="1" s="191"/>
    <row r="519" ht="15.75" customHeight="1" s="191"/>
    <row r="520" ht="15.75" customHeight="1" s="191"/>
    <row r="521" ht="15.75" customHeight="1" s="191"/>
    <row r="522" ht="15.75" customHeight="1" s="191"/>
    <row r="523" ht="15.75" customHeight="1" s="191"/>
    <row r="524" ht="15.75" customHeight="1" s="191"/>
    <row r="525" ht="15.75" customHeight="1" s="191"/>
    <row r="526" ht="15.75" customHeight="1" s="191"/>
    <row r="527" ht="15.75" customHeight="1" s="191"/>
    <row r="528" ht="15.75" customHeight="1" s="191"/>
    <row r="529" ht="15.75" customHeight="1" s="191"/>
    <row r="530" ht="15.75" customHeight="1" s="191"/>
    <row r="531" ht="15.75" customHeight="1" s="191"/>
    <row r="532" ht="15.75" customHeight="1" s="191"/>
    <row r="533" ht="15.75" customHeight="1" s="191"/>
    <row r="534" ht="15.75" customHeight="1" s="191"/>
    <row r="535" ht="15.75" customHeight="1" s="191"/>
    <row r="536" ht="15.75" customHeight="1" s="191"/>
    <row r="537" ht="15.75" customHeight="1" s="191"/>
    <row r="538" ht="15.75" customHeight="1" s="191"/>
    <row r="539" ht="15.75" customHeight="1" s="191"/>
    <row r="540" ht="15.75" customHeight="1" s="191"/>
    <row r="541" ht="15.75" customHeight="1" s="191"/>
    <row r="542" ht="15.75" customHeight="1" s="191"/>
    <row r="543" ht="15.75" customHeight="1" s="191"/>
    <row r="544" ht="15.75" customHeight="1" s="191"/>
    <row r="545" ht="15.75" customHeight="1" s="191"/>
    <row r="546" ht="15.75" customHeight="1" s="191"/>
    <row r="547" ht="15.75" customHeight="1" s="191"/>
    <row r="548" ht="15.75" customHeight="1" s="191"/>
    <row r="549" ht="15.75" customHeight="1" s="191"/>
    <row r="550" ht="15.75" customHeight="1" s="191"/>
    <row r="551" ht="15.75" customHeight="1" s="191"/>
    <row r="552" ht="15.75" customHeight="1" s="191"/>
    <row r="553" ht="15.75" customHeight="1" s="191"/>
    <row r="554" ht="15.75" customHeight="1" s="191"/>
    <row r="555" ht="15.75" customHeight="1" s="191"/>
    <row r="556" ht="15.75" customHeight="1" s="191"/>
    <row r="557" ht="15.75" customHeight="1" s="191"/>
    <row r="558" ht="15.75" customHeight="1" s="191"/>
    <row r="559" ht="15.75" customHeight="1" s="191"/>
    <row r="560" ht="15.75" customHeight="1" s="191"/>
    <row r="561" ht="15.75" customHeight="1" s="191"/>
    <row r="562" ht="15.75" customHeight="1" s="191"/>
    <row r="563" ht="15.75" customHeight="1" s="191"/>
    <row r="564" ht="15.75" customHeight="1" s="191"/>
    <row r="565" ht="15.75" customHeight="1" s="191"/>
    <row r="566" ht="15.75" customHeight="1" s="191"/>
    <row r="567" ht="15.75" customHeight="1" s="191"/>
    <row r="568" ht="15.75" customHeight="1" s="191"/>
    <row r="569" ht="15.75" customHeight="1" s="191"/>
    <row r="570" ht="15.75" customHeight="1" s="191"/>
    <row r="571" ht="15.75" customHeight="1" s="191"/>
    <row r="572" ht="15.75" customHeight="1" s="191"/>
    <row r="573" ht="15.75" customHeight="1" s="191"/>
    <row r="574" ht="15.75" customHeight="1" s="191"/>
    <row r="575" ht="15.75" customHeight="1" s="191"/>
    <row r="576" ht="15.75" customHeight="1" s="191"/>
    <row r="577" ht="15.75" customHeight="1" s="191"/>
    <row r="578" ht="15.75" customHeight="1" s="191"/>
    <row r="579" ht="15.75" customHeight="1" s="191"/>
    <row r="580" ht="15.75" customHeight="1" s="191"/>
    <row r="581" ht="15.75" customHeight="1" s="191"/>
    <row r="582" ht="15.75" customHeight="1" s="191"/>
    <row r="583" ht="15.75" customHeight="1" s="191"/>
    <row r="584" ht="15.75" customHeight="1" s="191"/>
    <row r="585" ht="15.75" customHeight="1" s="191"/>
    <row r="586" ht="15.75" customHeight="1" s="191"/>
    <row r="587" ht="15.75" customHeight="1" s="191"/>
    <row r="588" ht="15.75" customHeight="1" s="191"/>
    <row r="589" ht="15.75" customHeight="1" s="191"/>
    <row r="590" ht="15.75" customHeight="1" s="191"/>
    <row r="591" ht="15.75" customHeight="1" s="191"/>
    <row r="592" ht="15.75" customHeight="1" s="191"/>
    <row r="593" ht="15.75" customHeight="1" s="191"/>
    <row r="594" ht="15.75" customHeight="1" s="191"/>
    <row r="595" ht="15.75" customHeight="1" s="191"/>
    <row r="596" ht="15.75" customHeight="1" s="191"/>
    <row r="597" ht="15.75" customHeight="1" s="191"/>
    <row r="598" ht="15.75" customHeight="1" s="191"/>
    <row r="599" ht="15.75" customHeight="1" s="191"/>
    <row r="600" ht="15.75" customHeight="1" s="191"/>
    <row r="601" ht="15.75" customHeight="1" s="191"/>
    <row r="602" ht="15.75" customHeight="1" s="191"/>
    <row r="603" ht="15.75" customHeight="1" s="191"/>
    <row r="604" ht="15.75" customHeight="1" s="191"/>
    <row r="605" ht="15.75" customHeight="1" s="191"/>
    <row r="606" ht="15.75" customHeight="1" s="191"/>
    <row r="607" ht="15.75" customHeight="1" s="191"/>
    <row r="608" ht="15.75" customHeight="1" s="191"/>
    <row r="609" ht="15.75" customHeight="1" s="191"/>
    <row r="610" ht="15.75" customHeight="1" s="191"/>
    <row r="611" ht="15.75" customHeight="1" s="191"/>
    <row r="612" ht="15.75" customHeight="1" s="191"/>
    <row r="613" ht="15.75" customHeight="1" s="191"/>
    <row r="614" ht="15.75" customHeight="1" s="191"/>
    <row r="615" ht="15.75" customHeight="1" s="191"/>
    <row r="616" ht="15.75" customHeight="1" s="191"/>
    <row r="617" ht="15.75" customHeight="1" s="191"/>
    <row r="618" ht="15.75" customHeight="1" s="191"/>
    <row r="619" ht="15.75" customHeight="1" s="191"/>
    <row r="620" ht="15.75" customHeight="1" s="191"/>
    <row r="621" ht="15.75" customHeight="1" s="191"/>
    <row r="622" ht="15.75" customHeight="1" s="191"/>
    <row r="623" ht="15.75" customHeight="1" s="191"/>
    <row r="624" ht="15.75" customHeight="1" s="191"/>
    <row r="625" ht="15.75" customHeight="1" s="191"/>
    <row r="626" ht="15.75" customHeight="1" s="191"/>
    <row r="627" ht="15.75" customHeight="1" s="191"/>
    <row r="628" ht="15.75" customHeight="1" s="191"/>
    <row r="629" ht="15.75" customHeight="1" s="191"/>
    <row r="630" ht="15.75" customHeight="1" s="191"/>
    <row r="631" ht="15.75" customHeight="1" s="191"/>
    <row r="632" ht="15.75" customHeight="1" s="191"/>
    <row r="633" ht="15.75" customHeight="1" s="191"/>
    <row r="634" ht="15.75" customHeight="1" s="191"/>
    <row r="635" ht="15.75" customHeight="1" s="191"/>
    <row r="636" ht="15.75" customHeight="1" s="191"/>
    <row r="637" ht="15.75" customHeight="1" s="191"/>
    <row r="638" ht="15.75" customHeight="1" s="191"/>
    <row r="639" ht="15.75" customHeight="1" s="191"/>
    <row r="640" ht="15.75" customHeight="1" s="191"/>
    <row r="641" ht="15.75" customHeight="1" s="191"/>
    <row r="642" ht="15.75" customHeight="1" s="191"/>
    <row r="643" ht="15.75" customHeight="1" s="191"/>
    <row r="644" ht="15.75" customHeight="1" s="191"/>
    <row r="645" ht="15.75" customHeight="1" s="191"/>
    <row r="646" ht="15.75" customHeight="1" s="191"/>
    <row r="647" ht="15.75" customHeight="1" s="191"/>
    <row r="648" ht="15.75" customHeight="1" s="191"/>
    <row r="649" ht="15.75" customHeight="1" s="191"/>
    <row r="650" ht="15.75" customHeight="1" s="191"/>
    <row r="651" ht="15.75" customHeight="1" s="191"/>
    <row r="652" ht="15.75" customHeight="1" s="191"/>
    <row r="653" ht="15.75" customHeight="1" s="191"/>
    <row r="654" ht="15.75" customHeight="1" s="191"/>
    <row r="655" ht="15.75" customHeight="1" s="191"/>
    <row r="656" ht="15.75" customHeight="1" s="191"/>
    <row r="657" ht="15.75" customHeight="1" s="191"/>
    <row r="658" ht="15.75" customHeight="1" s="191"/>
    <row r="659" ht="15.75" customHeight="1" s="191"/>
    <row r="660" ht="15.75" customHeight="1" s="191"/>
    <row r="661" ht="15.75" customHeight="1" s="191"/>
    <row r="662" ht="15.75" customHeight="1" s="191"/>
    <row r="663" ht="15.75" customHeight="1" s="191"/>
    <row r="664" ht="15.75" customHeight="1" s="191"/>
    <row r="665" ht="15.75" customHeight="1" s="191"/>
    <row r="666" ht="15.75" customHeight="1" s="191"/>
    <row r="667" ht="15.75" customHeight="1" s="191"/>
    <row r="668" ht="15.75" customHeight="1" s="191"/>
    <row r="669" ht="15.75" customHeight="1" s="191"/>
    <row r="670" ht="15.75" customHeight="1" s="191"/>
    <row r="671" ht="15.75" customHeight="1" s="191"/>
    <row r="672" ht="15.75" customHeight="1" s="191"/>
    <row r="673" ht="15.75" customHeight="1" s="191"/>
    <row r="674" ht="15.75" customHeight="1" s="191"/>
    <row r="675" ht="15.75" customHeight="1" s="191"/>
    <row r="676" ht="15.75" customHeight="1" s="191"/>
    <row r="677" ht="15.75" customHeight="1" s="191"/>
    <row r="678" ht="15.75" customHeight="1" s="191"/>
    <row r="679" ht="15.75" customHeight="1" s="191"/>
    <row r="680" ht="15.75" customHeight="1" s="191"/>
    <row r="681" ht="15.75" customHeight="1" s="191"/>
    <row r="682" ht="15.75" customHeight="1" s="191"/>
    <row r="683" ht="15.75" customHeight="1" s="191"/>
    <row r="684" ht="15.75" customHeight="1" s="191"/>
    <row r="685" ht="15.75" customHeight="1" s="191"/>
    <row r="686" ht="15.75" customHeight="1" s="191"/>
    <row r="687" ht="15.75" customHeight="1" s="191"/>
    <row r="688" ht="15.75" customHeight="1" s="191"/>
    <row r="689" ht="15.75" customHeight="1" s="191"/>
    <row r="690" ht="15.75" customHeight="1" s="191"/>
    <row r="691" ht="15.75" customHeight="1" s="191"/>
    <row r="692" ht="15.75" customHeight="1" s="191"/>
    <row r="693" ht="15.75" customHeight="1" s="191"/>
    <row r="694" ht="15.75" customHeight="1" s="191"/>
    <row r="695" ht="15.75" customHeight="1" s="191"/>
    <row r="696" ht="15.75" customHeight="1" s="191"/>
    <row r="697" ht="15.75" customHeight="1" s="191"/>
    <row r="698" ht="15.75" customHeight="1" s="191"/>
    <row r="699" ht="15.75" customHeight="1" s="191"/>
    <row r="700" ht="15.75" customHeight="1" s="191"/>
    <row r="701" ht="15.75" customHeight="1" s="191"/>
    <row r="702" ht="15.75" customHeight="1" s="191"/>
    <row r="703" ht="15.75" customHeight="1" s="191"/>
    <row r="704" ht="15.75" customHeight="1" s="191"/>
    <row r="705" ht="15.75" customHeight="1" s="191"/>
    <row r="706" ht="15.75" customHeight="1" s="191"/>
    <row r="707" ht="15.75" customHeight="1" s="191"/>
    <row r="708" ht="15.75" customHeight="1" s="191"/>
    <row r="709" ht="15.75" customHeight="1" s="191"/>
    <row r="710" ht="15.75" customHeight="1" s="191"/>
    <row r="711" ht="15.75" customHeight="1" s="191"/>
    <row r="712" ht="15.75" customHeight="1" s="191"/>
    <row r="713" ht="15.75" customHeight="1" s="191"/>
    <row r="714" ht="15.75" customHeight="1" s="191"/>
    <row r="715" ht="15.75" customHeight="1" s="191"/>
    <row r="716" ht="15.75" customHeight="1" s="191"/>
    <row r="717" ht="15.75" customHeight="1" s="191"/>
    <row r="718" ht="15.75" customHeight="1" s="191"/>
    <row r="719" ht="15.75" customHeight="1" s="191"/>
    <row r="720" ht="15.75" customHeight="1" s="191"/>
    <row r="721" ht="15.75" customHeight="1" s="191"/>
    <row r="722" ht="15.75" customHeight="1" s="191"/>
    <row r="723" ht="15.75" customHeight="1" s="191"/>
    <row r="724" ht="15.75" customHeight="1" s="191"/>
    <row r="725" ht="15.75" customHeight="1" s="191"/>
    <row r="726" ht="15.75" customHeight="1" s="191"/>
    <row r="727" ht="15.75" customHeight="1" s="191"/>
    <row r="728" ht="15.75" customHeight="1" s="191"/>
    <row r="729" ht="15.75" customHeight="1" s="191"/>
    <row r="730" ht="15.75" customHeight="1" s="191"/>
    <row r="731" ht="15.75" customHeight="1" s="191"/>
    <row r="732" ht="15.75" customHeight="1" s="191"/>
    <row r="733" ht="15.75" customHeight="1" s="191"/>
    <row r="734" ht="15.75" customHeight="1" s="191"/>
    <row r="735" ht="15.75" customHeight="1" s="191"/>
    <row r="736" ht="15.75" customHeight="1" s="191"/>
    <row r="737" ht="15.75" customHeight="1" s="191"/>
    <row r="738" ht="15.75" customHeight="1" s="191"/>
    <row r="739" ht="15.75" customHeight="1" s="191"/>
    <row r="740" ht="15.75" customHeight="1" s="191"/>
    <row r="741" ht="15.75" customHeight="1" s="191"/>
    <row r="742" ht="15.75" customHeight="1" s="191"/>
    <row r="743" ht="15.75" customHeight="1" s="191"/>
    <row r="744" ht="15.75" customHeight="1" s="191"/>
    <row r="745" ht="15.75" customHeight="1" s="191"/>
    <row r="746" ht="15.75" customHeight="1" s="191"/>
    <row r="747" ht="15.75" customHeight="1" s="191"/>
    <row r="748" ht="15.75" customHeight="1" s="191"/>
    <row r="749" ht="15.75" customHeight="1" s="191"/>
    <row r="750" ht="15.75" customHeight="1" s="191"/>
    <row r="751" ht="15.75" customHeight="1" s="191"/>
    <row r="752" ht="15.75" customHeight="1" s="191"/>
    <row r="753" ht="15.75" customHeight="1" s="191"/>
    <row r="754" ht="15.75" customHeight="1" s="191"/>
    <row r="755" ht="15.75" customHeight="1" s="191"/>
    <row r="756" ht="15.75" customHeight="1" s="191"/>
    <row r="757" ht="15.75" customHeight="1" s="191"/>
    <row r="758" ht="15.75" customHeight="1" s="191"/>
    <row r="759" ht="15.75" customHeight="1" s="191"/>
    <row r="760" ht="15.75" customHeight="1" s="191"/>
    <row r="761" ht="15.75" customHeight="1" s="191"/>
    <row r="762" ht="15.75" customHeight="1" s="191"/>
    <row r="763" ht="15.75" customHeight="1" s="191"/>
    <row r="764" ht="15.75" customHeight="1" s="191"/>
    <row r="765" ht="15.75" customHeight="1" s="191"/>
    <row r="766" ht="15.75" customHeight="1" s="191"/>
    <row r="767" ht="15.75" customHeight="1" s="191"/>
    <row r="768" ht="15.75" customHeight="1" s="191"/>
    <row r="769" ht="15.75" customHeight="1" s="191"/>
    <row r="770" ht="15.75" customHeight="1" s="191"/>
    <row r="771" ht="15.75" customHeight="1" s="191"/>
    <row r="772" ht="15.75" customHeight="1" s="191"/>
    <row r="773" ht="15.75" customHeight="1" s="191"/>
    <row r="774" ht="15.75" customHeight="1" s="191"/>
    <row r="775" ht="15.75" customHeight="1" s="191"/>
    <row r="776" ht="15.75" customHeight="1" s="191"/>
    <row r="777" ht="15.75" customHeight="1" s="191"/>
    <row r="778" ht="15.75" customHeight="1" s="191"/>
    <row r="779" ht="15.75" customHeight="1" s="191"/>
    <row r="780" ht="15.75" customHeight="1" s="191"/>
    <row r="781" ht="15.75" customHeight="1" s="191"/>
    <row r="782" ht="15.75" customHeight="1" s="191"/>
    <row r="783" ht="15.75" customHeight="1" s="191"/>
    <row r="784" ht="15.75" customHeight="1" s="191"/>
    <row r="785" ht="15.75" customHeight="1" s="191"/>
    <row r="786" ht="15.75" customHeight="1" s="191"/>
    <row r="787" ht="15.75" customHeight="1" s="191"/>
    <row r="788" ht="15.75" customHeight="1" s="191"/>
    <row r="789" ht="15.75" customHeight="1" s="191"/>
    <row r="790" ht="15.75" customHeight="1" s="191"/>
    <row r="791" ht="15.75" customHeight="1" s="191"/>
    <row r="792" ht="15.75" customHeight="1" s="191"/>
    <row r="793" ht="15.75" customHeight="1" s="191"/>
    <row r="794" ht="15.75" customHeight="1" s="191"/>
    <row r="795" ht="15.75" customHeight="1" s="191"/>
    <row r="796" ht="15.75" customHeight="1" s="191"/>
    <row r="797" ht="15.75" customHeight="1" s="191"/>
    <row r="798" ht="15.75" customHeight="1" s="191"/>
    <row r="799" ht="15.75" customHeight="1" s="191"/>
    <row r="800" ht="15.75" customHeight="1" s="191"/>
    <row r="801" ht="15.75" customHeight="1" s="191"/>
    <row r="802" ht="15.75" customHeight="1" s="191"/>
    <row r="803" ht="15.75" customHeight="1" s="191"/>
    <row r="804" ht="15.75" customHeight="1" s="191"/>
    <row r="805" ht="15.75" customHeight="1" s="191"/>
    <row r="806" ht="15.75" customHeight="1" s="191"/>
    <row r="807" ht="15.75" customHeight="1" s="191"/>
    <row r="808" ht="15.75" customHeight="1" s="191"/>
    <row r="809" ht="15.75" customHeight="1" s="191"/>
    <row r="810" ht="15.75" customHeight="1" s="191"/>
    <row r="811" ht="15.75" customHeight="1" s="191"/>
    <row r="812" ht="15.75" customHeight="1" s="191"/>
    <row r="813" ht="15.75" customHeight="1" s="191"/>
    <row r="814" ht="15.75" customHeight="1" s="191"/>
    <row r="815" ht="15.75" customHeight="1" s="191"/>
    <row r="816" ht="15.75" customHeight="1" s="191"/>
    <row r="817" ht="15.75" customHeight="1" s="191"/>
    <row r="818" ht="15.75" customHeight="1" s="191"/>
    <row r="819" ht="15.75" customHeight="1" s="191"/>
    <row r="820" ht="15.75" customHeight="1" s="191"/>
    <row r="821" ht="15.75" customHeight="1" s="191"/>
    <row r="822" ht="15.75" customHeight="1" s="191"/>
    <row r="823" ht="15.75" customHeight="1" s="191"/>
    <row r="824" ht="15.75" customHeight="1" s="191"/>
    <row r="825" ht="15.75" customHeight="1" s="191"/>
    <row r="826" ht="15.75" customHeight="1" s="191"/>
    <row r="827" ht="15.75" customHeight="1" s="191"/>
    <row r="828" ht="15.75" customHeight="1" s="191"/>
    <row r="829" ht="15.75" customHeight="1" s="191"/>
    <row r="830" ht="15.75" customHeight="1" s="191"/>
    <row r="831" ht="15.75" customHeight="1" s="191"/>
    <row r="832" ht="15.75" customHeight="1" s="191"/>
    <row r="833" ht="15.75" customHeight="1" s="191"/>
    <row r="834" ht="15.75" customHeight="1" s="191"/>
    <row r="835" ht="15.75" customHeight="1" s="191"/>
    <row r="836" ht="15.75" customHeight="1" s="191"/>
    <row r="837" ht="15.75" customHeight="1" s="191"/>
    <row r="838" ht="15.75" customHeight="1" s="191"/>
    <row r="839" ht="15.75" customHeight="1" s="191"/>
    <row r="840" ht="15.75" customHeight="1" s="191"/>
    <row r="841" ht="15.75" customHeight="1" s="191"/>
    <row r="842" ht="15.75" customHeight="1" s="191"/>
    <row r="843" ht="15.75" customHeight="1" s="191"/>
    <row r="844" ht="15.75" customHeight="1" s="191"/>
    <row r="845" ht="15.75" customHeight="1" s="191"/>
    <row r="846" ht="15.75" customHeight="1" s="191"/>
    <row r="847" ht="15.75" customHeight="1" s="191"/>
    <row r="848" ht="15.75" customHeight="1" s="191"/>
    <row r="849" ht="15.75" customHeight="1" s="191"/>
    <row r="850" ht="15.75" customHeight="1" s="191"/>
    <row r="851" ht="15.75" customHeight="1" s="191"/>
    <row r="852" ht="15.75" customHeight="1" s="191"/>
    <row r="853" ht="15.75" customHeight="1" s="191"/>
    <row r="854" ht="15.75" customHeight="1" s="191"/>
    <row r="855" ht="15.75" customHeight="1" s="191"/>
    <row r="856" ht="15.75" customHeight="1" s="191"/>
    <row r="857" ht="15.75" customHeight="1" s="191"/>
    <row r="858" ht="15.75" customHeight="1" s="191"/>
    <row r="859" ht="15.75" customHeight="1" s="191"/>
    <row r="860" ht="15.75" customHeight="1" s="191"/>
    <row r="861" ht="15.75" customHeight="1" s="191"/>
    <row r="862" ht="15.75" customHeight="1" s="191"/>
    <row r="863" ht="15.75" customHeight="1" s="191"/>
    <row r="864" ht="15.75" customHeight="1" s="191"/>
    <row r="865" ht="15.75" customHeight="1" s="191"/>
    <row r="866" ht="15.75" customHeight="1" s="191"/>
    <row r="867" ht="15.75" customHeight="1" s="191"/>
    <row r="868" ht="15.75" customHeight="1" s="191"/>
    <row r="869" ht="15.75" customHeight="1" s="191"/>
    <row r="870" ht="15.75" customHeight="1" s="191"/>
    <row r="871" ht="15.75" customHeight="1" s="191"/>
    <row r="872" ht="15.75" customHeight="1" s="191"/>
    <row r="873" ht="15.75" customHeight="1" s="191"/>
    <row r="874" ht="15.75" customHeight="1" s="191"/>
    <row r="875" ht="15.75" customHeight="1" s="191"/>
    <row r="876" ht="15.75" customHeight="1" s="191"/>
    <row r="877" ht="15.75" customHeight="1" s="191"/>
    <row r="878" ht="15.75" customHeight="1" s="191"/>
    <row r="879" ht="15.75" customHeight="1" s="191"/>
    <row r="880" ht="15.75" customHeight="1" s="191"/>
    <row r="881" ht="15.75" customHeight="1" s="191"/>
    <row r="882" ht="15.75" customHeight="1" s="191"/>
    <row r="883" ht="15.75" customHeight="1" s="191"/>
    <row r="884" ht="15.75" customHeight="1" s="191"/>
    <row r="885" ht="15.75" customHeight="1" s="191"/>
    <row r="886" ht="15.75" customHeight="1" s="191"/>
    <row r="887" ht="15.75" customHeight="1" s="191"/>
    <row r="888" ht="15.75" customHeight="1" s="191"/>
    <row r="889" ht="15.75" customHeight="1" s="191"/>
    <row r="890" ht="15.75" customHeight="1" s="191"/>
    <row r="891" ht="15.75" customHeight="1" s="191"/>
    <row r="892" ht="15.75" customHeight="1" s="191"/>
    <row r="893" ht="15.75" customHeight="1" s="191"/>
    <row r="894" ht="15.75" customHeight="1" s="191"/>
    <row r="895" ht="15.75" customHeight="1" s="191"/>
    <row r="896" ht="15.75" customHeight="1" s="191"/>
    <row r="897" ht="15.75" customHeight="1" s="191"/>
    <row r="898" ht="15.75" customHeight="1" s="191"/>
    <row r="899" ht="15.75" customHeight="1" s="191"/>
    <row r="900" ht="15.75" customHeight="1" s="191"/>
    <row r="901" ht="15.75" customHeight="1" s="191"/>
    <row r="902" ht="15.75" customHeight="1" s="191"/>
    <row r="903" ht="15.75" customHeight="1" s="191"/>
    <row r="904" ht="15.75" customHeight="1" s="191"/>
    <row r="905" ht="15.75" customHeight="1" s="191"/>
    <row r="906" ht="15.75" customHeight="1" s="191"/>
    <row r="907" ht="15.75" customHeight="1" s="191"/>
    <row r="908" ht="15.75" customHeight="1" s="191"/>
    <row r="909" ht="15.75" customHeight="1" s="191"/>
    <row r="910" ht="15.75" customHeight="1" s="191"/>
    <row r="911" ht="15.75" customHeight="1" s="191"/>
    <row r="912" ht="15.75" customHeight="1" s="191"/>
    <row r="913" ht="15.75" customHeight="1" s="191"/>
    <row r="914" ht="15.75" customHeight="1" s="191"/>
    <row r="915" ht="15.75" customHeight="1" s="191"/>
    <row r="916" ht="15.75" customHeight="1" s="191"/>
    <row r="917" ht="15.75" customHeight="1" s="191"/>
    <row r="918" ht="15.75" customHeight="1" s="191"/>
    <row r="919" ht="15.75" customHeight="1" s="191"/>
    <row r="920" ht="15.75" customHeight="1" s="191"/>
    <row r="921" ht="15.75" customHeight="1" s="191"/>
    <row r="922" ht="15.75" customHeight="1" s="191"/>
    <row r="923" ht="15.75" customHeight="1" s="191"/>
    <row r="924" ht="15.75" customHeight="1" s="191"/>
    <row r="925" ht="15.75" customHeight="1" s="191"/>
    <row r="926" ht="15.75" customHeight="1" s="191"/>
    <row r="927" ht="15.75" customHeight="1" s="191"/>
    <row r="928" ht="15.75" customHeight="1" s="191"/>
    <row r="929" ht="15.75" customHeight="1" s="191"/>
    <row r="930" ht="15.75" customHeight="1" s="191"/>
    <row r="931" ht="15.75" customHeight="1" s="191"/>
    <row r="932" ht="15.75" customHeight="1" s="191"/>
    <row r="933" ht="15.75" customHeight="1" s="191"/>
    <row r="934" ht="15.75" customHeight="1" s="191"/>
    <row r="935" ht="15.75" customHeight="1" s="191"/>
    <row r="936" ht="15.75" customHeight="1" s="191"/>
    <row r="937" ht="15.75" customHeight="1" s="191"/>
    <row r="938" ht="15.75" customHeight="1" s="191"/>
    <row r="939" ht="15.75" customHeight="1" s="191"/>
    <row r="940" ht="15.75" customHeight="1" s="191"/>
    <row r="941" ht="15.75" customHeight="1" s="191"/>
    <row r="942" ht="15.75" customHeight="1" s="191"/>
    <row r="943" ht="15.75" customHeight="1" s="191"/>
    <row r="944" ht="15.75" customHeight="1" s="191"/>
    <row r="945" ht="15.75" customHeight="1" s="191"/>
    <row r="946" ht="15.75" customHeight="1" s="191"/>
    <row r="947" ht="15.75" customHeight="1" s="191"/>
    <row r="948" ht="15.75" customHeight="1" s="191"/>
    <row r="949" ht="15.75" customHeight="1" s="191"/>
    <row r="950" ht="15.75" customHeight="1" s="191"/>
    <row r="951" ht="15.75" customHeight="1" s="191"/>
    <row r="952" ht="15.75" customHeight="1" s="191"/>
    <row r="953" ht="15.75" customHeight="1" s="191"/>
    <row r="954" ht="15.75" customHeight="1" s="191"/>
    <row r="955" ht="15.75" customHeight="1" s="191"/>
    <row r="956" ht="15.75" customHeight="1" s="191"/>
    <row r="957" ht="15.75" customHeight="1" s="191"/>
    <row r="958" ht="15.75" customHeight="1" s="191"/>
    <row r="959" ht="15.75" customHeight="1" s="191"/>
    <row r="960" ht="15.75" customHeight="1" s="191"/>
    <row r="961" ht="15.75" customHeight="1" s="191"/>
    <row r="962" ht="15.75" customHeight="1" s="191"/>
    <row r="963" ht="15.75" customHeight="1" s="191"/>
    <row r="964" ht="15.75" customHeight="1" s="191"/>
    <row r="965" ht="15.75" customHeight="1" s="191"/>
    <row r="966" ht="15.75" customHeight="1" s="191"/>
    <row r="967" ht="15.75" customHeight="1" s="191"/>
    <row r="968" ht="15.75" customHeight="1" s="191"/>
    <row r="969" ht="15.75" customHeight="1" s="191"/>
    <row r="970" ht="15.75" customHeight="1" s="191"/>
    <row r="971" ht="15.75" customHeight="1" s="191"/>
    <row r="972" ht="15.75" customHeight="1" s="191"/>
    <row r="973" ht="15.75" customHeight="1" s="191"/>
    <row r="974" ht="15.75" customHeight="1" s="191"/>
    <row r="975" ht="15.75" customHeight="1" s="191"/>
    <row r="976" ht="15.75" customHeight="1" s="191"/>
    <row r="977" ht="15.75" customHeight="1" s="191"/>
    <row r="978" ht="15.75" customHeight="1" s="191"/>
    <row r="979" ht="15.75" customHeight="1" s="191"/>
    <row r="980" ht="15.75" customHeight="1" s="191"/>
    <row r="981" ht="15.75" customHeight="1" s="191"/>
    <row r="982" ht="15.75" customHeight="1" s="191"/>
    <row r="983" ht="15.75" customHeight="1" s="191"/>
    <row r="984" ht="15.75" customHeight="1" s="191"/>
    <row r="985" ht="15.75" customHeight="1" s="191"/>
    <row r="986" ht="15.75" customHeight="1" s="191"/>
    <row r="987" ht="15.75" customHeight="1" s="191"/>
    <row r="988" ht="15.75" customHeight="1" s="191"/>
    <row r="989" ht="15.75" customHeight="1" s="191"/>
    <row r="990" ht="15.75" customHeight="1" s="191"/>
    <row r="991" ht="15.75" customHeight="1" s="191"/>
    <row r="992" ht="15.75" customHeight="1" s="191"/>
    <row r="993" ht="15.75" customHeight="1" s="191"/>
    <row r="994" ht="15.75" customHeight="1" s="191"/>
    <row r="995" ht="15.75" customHeight="1" s="191"/>
    <row r="996" ht="15.75" customHeight="1" s="191"/>
    <row r="997" ht="15.75" customHeight="1" s="191"/>
    <row r="998" ht="15.75" customHeight="1" s="191"/>
    <row r="999" ht="15.75" customHeight="1" s="191"/>
    <row r="1000" ht="15.75" customHeight="1" s="191"/>
    <row r="1001" ht="15.75" customHeight="1" s="191"/>
    <row r="1002" ht="15.75" customHeight="1" s="191"/>
    <row r="1003" ht="15.75" customHeight="1" s="191"/>
    <row r="1004" ht="15.75" customHeight="1" s="191"/>
    <row r="1005" ht="15.75" customHeight="1" s="191"/>
    <row r="1006" ht="15.75" customHeight="1" s="191"/>
    <row r="1007" ht="15.75" customHeight="1" s="191"/>
    <row r="1008" ht="15.75" customHeight="1" s="191"/>
    <row r="1009" ht="15.75" customHeight="1" s="191"/>
    <row r="1010" ht="15.75" customHeight="1" s="191"/>
    <row r="1011" ht="15.75" customHeight="1" s="191"/>
    <row r="1012" ht="15.75" customHeight="1" s="191"/>
    <row r="1013" ht="15.75" customHeight="1" s="191"/>
    <row r="1014" ht="15.75" customHeight="1" s="191"/>
    <row r="1015" ht="15.75" customHeight="1" s="191"/>
    <row r="1016" ht="15.75" customHeight="1" s="191"/>
  </sheetData>
  <conditionalFormatting sqref="AC76:AF78">
    <cfRule type="cellIs" priority="29" operator="greaterThan" dxfId="0">
      <formula>0</formula>
    </cfRule>
  </conditionalFormatting>
  <conditionalFormatting sqref="AT78:AW78">
    <cfRule type="cellIs" priority="19" operator="greaterThan" dxfId="0">
      <formula>0</formula>
    </cfRule>
  </conditionalFormatting>
  <conditionalFormatting sqref="P5:X10 P13:X15">
    <cfRule type="cellIs" priority="9" operator="greaterThan" dxfId="51">
      <formula>0</formula>
    </cfRule>
  </conditionalFormatting>
  <conditionalFormatting sqref="P16:X22 P24:X30 P32:X36 P38:X41 P43:X45 P47:X51 P53:X55 P57:X62 P64:X68 P70:X71 P73:X75">
    <cfRule type="cellIs" priority="8" operator="greaterThan" dxfId="51">
      <formula>0</formula>
    </cfRule>
  </conditionalFormatting>
  <conditionalFormatting sqref="AT5:AW10 AT13:AW22 AT24:AW30 AT32:AW36 AT38:AW41 AT43:AW45 AT47:AW51 AT53:AW55 AT57:AW62 AT64:AW68 AT70:AW71 AT73:AW75">
    <cfRule type="cellIs" priority="1" operator="greaterThan" dxfId="51">
      <formula>0</formula>
    </cfRule>
  </conditionalFormatting>
  <conditionalFormatting sqref="AG5:AO10 AG13:AO22 AG24:AO30 AG32:AO36 AG38:AO41 AG43:AO45 AG47:AO51 AG53:AO55 AG57:AO62 AG64:AO68 AG70:AO71 AG73:AO75">
    <cfRule type="cellIs" priority="6" operator="greaterThan" dxfId="51">
      <formula>0</formula>
    </cfRule>
  </conditionalFormatting>
  <conditionalFormatting sqref="AC5:AF10 AC13:AF22 AC24:AF30 AC32:AF36 AC38:AF41 AC43:AF45 AC47:AF51 AC53:AF55 AC57:AF62 AC64:AF68 AC70:AF71 AC73:AF75">
    <cfRule type="cellIs" priority="4" operator="greaterThan" dxfId="51">
      <formula>0</formula>
    </cfRule>
  </conditionalFormatting>
  <conditionalFormatting sqref="Y5:AB10 Y13:AB22 Y24:AB30 Y32:AB36 Y38:AB41 Y43:AB45 Y47:AB51 Y53:AB55 Y57:AB62 Y64:AB68 Y70:AB71 Y73:AB75">
    <cfRule type="cellIs" priority="3" operator="greaterThan" dxfId="51">
      <formula>0</formula>
    </cfRule>
  </conditionalFormatting>
  <conditionalFormatting sqref="AP5:AS10 AP13:AS22 AP24:AS30 AP32:AS36 AP38:AS41 AP43:AS45 AP47:AS51 AP53:AS55 AP57:AS62 AP64:AS68 AP70:AS71 AP73:AS75">
    <cfRule type="cellIs" priority="2" operator="greaterThan" dxfId="51">
      <formula>0</formula>
    </cfRule>
  </conditionalFormatting>
  <pageMargins left="0.7" right="0.7" top="0.75" bottom="0.75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F78"/>
  <sheetViews>
    <sheetView zoomScale="70" zoomScaleNormal="70" workbookViewId="0">
      <pane xSplit="5" ySplit="2" topLeftCell="F3" activePane="bottomRight" state="frozen"/>
      <selection pane="topRight" activeCell="M1" sqref="M1"/>
      <selection pane="bottomLeft" activeCell="A3" sqref="A3"/>
      <selection pane="bottomRight" activeCell="E3" sqref="E3:I3"/>
    </sheetView>
  </sheetViews>
  <sheetFormatPr baseColWidth="8" defaultColWidth="14.44140625" defaultRowHeight="15" customHeight="1"/>
  <cols>
    <col width="5" customWidth="1" style="191" min="1" max="1"/>
    <col width="2.44140625" customWidth="1" style="128" min="2" max="2"/>
    <col width="3" customWidth="1" style="129" min="3" max="3"/>
    <col width="10.5546875" customWidth="1" style="157" min="4" max="4"/>
    <col width="40.109375" customWidth="1" style="170" min="5" max="5"/>
    <col width="9.109375" customWidth="1" style="191" min="6" max="6"/>
    <col width="12.6640625" customWidth="1" style="191" min="7" max="7"/>
    <col width="8.5546875" customWidth="1" style="191" min="8" max="8"/>
    <col width="11" bestFit="1" customWidth="1" style="191" min="9" max="9"/>
    <col width="8.5546875" bestFit="1" customWidth="1" style="191" min="10" max="10"/>
    <col width="10.6640625" customWidth="1" style="191" min="11" max="12"/>
    <col width="10.109375" customWidth="1" style="191" min="13" max="13"/>
    <col width="8" customWidth="1" style="191" min="14" max="15"/>
    <col width="9.109375" customWidth="1" style="191" min="16" max="28"/>
    <col width="10.77734375" customWidth="1" style="191" min="29" max="32"/>
    <col width="9.109375" customWidth="1" style="191" min="33" max="46"/>
    <col width="10.6640625" customWidth="1" style="191" min="47" max="47"/>
    <col width="10.77734375" customWidth="1" style="191" min="48" max="48"/>
    <col width="11.21875" customWidth="1" style="191" min="49" max="49"/>
    <col width="9.109375" customWidth="1" style="191" min="50" max="54"/>
    <col width="14.88671875" customWidth="1" style="191" min="55" max="55"/>
    <col width="9.109375" customWidth="1" style="191" min="56" max="61"/>
    <col width="11.5546875" customWidth="1" style="191" min="62" max="62"/>
    <col width="8.6640625" customWidth="1" style="191" min="63" max="70"/>
    <col width="10.33203125" customWidth="1" style="191" min="71" max="71"/>
    <col width="7.44140625" customWidth="1" style="191" min="72" max="72"/>
    <col width="8.6640625" customWidth="1" style="191" min="73" max="75"/>
    <col width="8.44140625" customWidth="1" style="191" min="76" max="76"/>
    <col width="8.6640625" customWidth="1" style="191" min="77" max="84"/>
  </cols>
  <sheetData>
    <row r="1" s="191" thickBot="1">
      <c r="A1" s="538" t="n"/>
      <c r="B1" s="309" t="n"/>
      <c r="C1" s="180" t="n"/>
      <c r="D1" s="156" t="n"/>
      <c r="E1" s="691" t="inlineStr">
        <is>
          <t>HARMONOGRAM SKOMPRESOWANY v1  |  01.01.2027 – 28.09.2029  |  Kompresja −40% per zadanie  |  Endava +5 etatów  |  AGH +4 etatów</t>
        </is>
      </c>
      <c r="F1" s="234" t="n"/>
      <c r="G1" s="235" t="n"/>
      <c r="H1" s="235" t="n"/>
      <c r="I1" s="235" t="n"/>
      <c r="J1" s="551">
        <f>VIII_Baza_BDWMS!M1+1</f>
        <v/>
      </c>
      <c r="K1" s="475" t="inlineStr">
        <is>
          <t>równolegle z Zadaniem VII</t>
        </is>
      </c>
      <c r="L1" s="475" t="n"/>
      <c r="M1" s="551">
        <f>MAX(M3:M9999)</f>
        <v/>
      </c>
      <c r="N1" s="679">
        <f>SUM(N$4:N$999)</f>
        <v/>
      </c>
      <c r="O1" s="686">
        <f>SUM(O$4:O$999)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AX1" s="219" t="n"/>
      <c r="AY1" s="219">
        <f>$F1</f>
        <v/>
      </c>
      <c r="AZ1" s="219" t="n"/>
      <c r="BA1" s="219" t="n"/>
      <c r="BB1" s="220" t="n"/>
      <c r="BC1" s="79">
        <f>#REF!</f>
        <v/>
      </c>
      <c r="BD1" s="80" t="n"/>
      <c r="BE1" s="80" t="n"/>
      <c r="BF1" s="80" t="n"/>
      <c r="BG1" s="80" t="n"/>
      <c r="BH1" s="80" t="n"/>
      <c r="BI1" s="81" t="n"/>
      <c r="BJ1" s="73">
        <f>#REF!</f>
        <v/>
      </c>
      <c r="BK1" s="74" t="n"/>
      <c r="BL1" s="75" t="n"/>
      <c r="BM1" s="76">
        <f>#REF!</f>
        <v/>
      </c>
      <c r="BN1" s="77" t="n"/>
      <c r="BO1" s="78" t="n"/>
      <c r="BP1" s="73">
        <f>#REF!</f>
        <v/>
      </c>
      <c r="BQ1" s="74" t="n"/>
      <c r="BR1" s="74" t="n"/>
      <c r="BS1" s="75" t="n"/>
      <c r="BT1" s="76">
        <f>#REF!</f>
        <v/>
      </c>
      <c r="BU1" s="77" t="n"/>
      <c r="BV1" s="77" t="n"/>
      <c r="BW1" s="78" t="n"/>
      <c r="BX1" s="73">
        <f>#REF!</f>
        <v/>
      </c>
      <c r="BY1" s="74" t="n"/>
      <c r="BZ1" s="74" t="n"/>
      <c r="CA1" s="75" t="n"/>
      <c r="CB1" s="76">
        <f>#REF!</f>
        <v/>
      </c>
      <c r="CC1" s="77" t="n"/>
      <c r="CD1" s="77" t="n"/>
      <c r="CE1" s="78" t="n"/>
      <c r="CF1" s="664" t="inlineStr">
        <is>
          <t>Łącznie [PLN]</t>
        </is>
      </c>
    </row>
    <row r="2" ht="72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5">
        <f>Karta!BH2</f>
        <v/>
      </c>
      <c r="AY2" s="5">
        <f>Karta!BI2</f>
        <v/>
      </c>
      <c r="AZ2" s="5">
        <f>Karta!BJ2</f>
        <v/>
      </c>
      <c r="BA2" s="5">
        <f>Karta!BK2</f>
        <v/>
      </c>
      <c r="BB2" s="4" t="inlineStr">
        <is>
          <t>Firma podwykonawcy</t>
        </is>
      </c>
      <c r="BC2" s="3" t="inlineStr">
        <is>
          <t xml:space="preserve">Imię </t>
        </is>
      </c>
      <c r="BD2" s="3" t="inlineStr">
        <is>
          <t>Nazwisko</t>
        </is>
      </c>
      <c r="BE2" s="4" t="inlineStr">
        <is>
          <t>Termi realizacji</t>
        </is>
      </c>
      <c r="BF2" s="4" t="inlineStr">
        <is>
          <t>Liczba godzin</t>
        </is>
      </c>
      <c r="BG2" s="3" t="inlineStr">
        <is>
          <t>PLN/h</t>
        </is>
      </c>
      <c r="BH2" s="3" t="inlineStr">
        <is>
          <t>Razem</t>
        </is>
      </c>
      <c r="BI2" s="4" t="inlineStr">
        <is>
          <t>Nazwa sprzętu</t>
        </is>
      </c>
      <c r="BJ2" s="4" t="inlineStr">
        <is>
          <t xml:space="preserve">Okres używania </t>
        </is>
      </c>
      <c r="BK2" s="6" t="inlineStr">
        <is>
          <t>Amortyzacja [PLN]</t>
        </is>
      </c>
      <c r="BL2" s="4" t="inlineStr">
        <is>
          <t>Nazwa budynku</t>
        </is>
      </c>
      <c r="BM2" s="4" t="inlineStr">
        <is>
          <t>Uzywana powierzchnia [m2]</t>
        </is>
      </c>
      <c r="BN2" s="6" t="inlineStr">
        <is>
          <t>Amortyzacja [PLN]</t>
        </is>
      </c>
      <c r="BO2" s="4" t="inlineStr">
        <is>
          <t>Nazwa nieruchomości</t>
        </is>
      </c>
      <c r="BP2" s="4" t="inlineStr">
        <is>
          <t>Okres używania</t>
        </is>
      </c>
      <c r="BQ2" s="6" t="inlineStr">
        <is>
          <t>Czynsz dzierżawny [PLN]</t>
        </is>
      </c>
      <c r="BR2" s="6" t="inlineStr">
        <is>
          <t>Wieczyste uzytkowanie [PLN]</t>
        </is>
      </c>
      <c r="BS2" s="4" t="inlineStr">
        <is>
          <t>Nazwa/rodzaj</t>
        </is>
      </c>
      <c r="BT2" s="4" t="inlineStr">
        <is>
          <t>Liczba [szt.]</t>
        </is>
      </c>
      <c r="BU2" s="4" t="inlineStr">
        <is>
          <t>Wartość jednostkowa [PLN]</t>
        </is>
      </c>
      <c r="BV2" s="4" t="inlineStr">
        <is>
          <t>Razem [PLN]</t>
        </is>
      </c>
      <c r="BW2" s="4" t="inlineStr">
        <is>
          <t>Nazwa/rodzaj</t>
        </is>
      </c>
      <c r="BX2" s="4" t="inlineStr">
        <is>
          <t>Liczba [szt.]</t>
        </is>
      </c>
      <c r="BY2" s="4" t="inlineStr">
        <is>
          <t>Wartość jednostkowa [PLN]</t>
        </is>
      </c>
      <c r="BZ2" s="4" t="inlineStr">
        <is>
          <t>Razem [PLN]</t>
        </is>
      </c>
      <c r="CA2" s="4" t="inlineStr">
        <is>
          <t>Nazwa/rodzaj</t>
        </is>
      </c>
      <c r="CB2" s="4" t="inlineStr">
        <is>
          <t>Liczba [szt.]</t>
        </is>
      </c>
      <c r="CC2" s="4" t="inlineStr">
        <is>
          <t>Wartość jednostkowa [PLN]</t>
        </is>
      </c>
      <c r="CD2" s="4" t="inlineStr">
        <is>
          <t>Razem [PLN]</t>
        </is>
      </c>
      <c r="CE2" s="665" t="n"/>
    </row>
    <row r="3" ht="18.6" customFormat="1" customHeight="1" s="525" thickBot="1">
      <c r="A3" s="508" t="inlineStr">
        <is>
          <t>.z09</t>
        </is>
      </c>
      <c r="B3" s="183" t="n"/>
      <c r="C3" s="509" t="n"/>
      <c r="D3" s="510" t="n"/>
      <c r="E3" s="604">
        <f>VLOOKUP(A3,Listy!A:C,2,FALSE) &amp; "   :  " &amp; VLOOKUP(A3,Listy!A:C,3,FALSE)</f>
        <v/>
      </c>
      <c r="F3" s="604" t="n"/>
      <c r="G3" s="605" t="n"/>
      <c r="H3" s="606" t="n"/>
      <c r="I3" s="607" t="n"/>
      <c r="J3" s="173" t="n"/>
      <c r="K3" s="173" t="n"/>
      <c r="L3" s="173" t="n"/>
      <c r="M3" s="173" t="n"/>
      <c r="N3" s="173" t="n"/>
      <c r="O3" s="173" t="n"/>
      <c r="P3" s="173" t="n"/>
      <c r="Q3" s="173" t="n"/>
      <c r="R3" s="173" t="n"/>
      <c r="T3" s="513" t="inlineStr">
        <is>
          <t>sprawdź czy ta piątka ACT</t>
        </is>
      </c>
      <c r="U3" s="514" t="n"/>
      <c r="V3" s="515" t="n"/>
      <c r="W3" s="515" t="n"/>
      <c r="X3" s="515" t="n"/>
      <c r="Y3" s="173" t="n"/>
      <c r="Z3" s="173" t="n"/>
      <c r="AA3" s="173" t="n"/>
      <c r="AB3" s="173" t="n"/>
      <c r="AC3" s="173" t="n"/>
      <c r="AD3" s="173" t="n"/>
      <c r="AE3" s="173" t="n"/>
      <c r="AF3" s="173" t="n"/>
      <c r="AG3" s="173" t="n"/>
      <c r="AH3" s="173" t="n"/>
      <c r="AI3" s="173" t="n"/>
      <c r="AJ3" s="173" t="n"/>
      <c r="AK3" s="173" t="n"/>
      <c r="AL3" s="173" t="n"/>
      <c r="AM3" s="173" t="n"/>
      <c r="AN3" s="173" t="n"/>
      <c r="AO3" s="173" t="n"/>
      <c r="AP3" s="173" t="n"/>
      <c r="AQ3" s="173" t="n"/>
      <c r="AR3" s="173" t="n"/>
      <c r="AS3" s="173" t="n"/>
      <c r="AT3" s="303" t="n"/>
      <c r="AU3" s="303" t="n"/>
      <c r="AV3" s="303" t="n"/>
      <c r="AW3" s="303" t="n"/>
      <c r="AX3" s="511" t="n"/>
      <c r="AY3" s="174" t="n"/>
      <c r="AZ3" s="516" t="n"/>
      <c r="BA3" s="517" t="n"/>
      <c r="BB3" s="175" t="n"/>
      <c r="BC3" s="518" t="n"/>
      <c r="BD3" s="519" t="n"/>
      <c r="BE3" s="519" t="n"/>
      <c r="BF3" s="518" t="n"/>
      <c r="BG3" s="518" t="n"/>
      <c r="BH3" s="519" t="n"/>
      <c r="BI3" s="174" t="n"/>
      <c r="BJ3" s="518" t="n"/>
      <c r="BK3" s="520" t="n"/>
      <c r="BL3" s="483" t="n"/>
      <c r="BM3" s="521" t="n"/>
      <c r="BN3" s="520" t="n"/>
      <c r="BO3" s="483" t="n"/>
      <c r="BP3" s="521" t="n"/>
      <c r="BQ3" s="520" t="n"/>
      <c r="BR3" s="483" t="n"/>
      <c r="BS3" s="483" t="n"/>
      <c r="BT3" s="521" t="n"/>
      <c r="BU3" s="518" t="n"/>
      <c r="BV3" s="518" t="n"/>
      <c r="BW3" s="483" t="n"/>
      <c r="BX3" s="518" t="n"/>
      <c r="BY3" s="518" t="n"/>
      <c r="BZ3" s="518" t="n"/>
      <c r="CA3" s="483" t="n"/>
      <c r="CB3" s="518" t="n"/>
      <c r="CC3" s="518" t="n"/>
      <c r="CD3" s="518" t="n"/>
      <c r="CE3" s="483" t="n"/>
      <c r="CF3" s="659" t="n"/>
    </row>
    <row r="4" ht="36.6" customFormat="1" customHeight="1" s="525" thickBot="1">
      <c r="A4" s="604" t="n">
        <v>1</v>
      </c>
      <c r="B4" s="604" t="inlineStr">
        <is>
          <t>a</t>
        </is>
      </c>
      <c r="C4" s="605" t="n">
        <v>0</v>
      </c>
      <c r="D4" s="606">
        <f>CONCATENATE(A$3,"_",A4,"_",B4,"_",C4)</f>
        <v/>
      </c>
      <c r="E4" s="607" t="inlineStr">
        <is>
          <t>1.Identyfikacja, analiza i mapowanie operacji w MWS</t>
        </is>
      </c>
      <c r="F4" s="51" t="n"/>
      <c r="G4" s="148" t="n"/>
      <c r="H4" s="51" t="n"/>
      <c r="I4" s="51" t="inlineStr">
        <is>
          <t>ACT</t>
        </is>
      </c>
      <c r="J4" s="190" t="n"/>
      <c r="K4" s="190" t="n"/>
      <c r="L4" s="190" t="n"/>
      <c r="M4" s="190" t="n"/>
      <c r="N4" s="190" t="n"/>
      <c r="O4" s="190" t="n"/>
      <c r="P4" s="190" t="n"/>
      <c r="Q4" s="468" t="n"/>
      <c r="R4" s="468" t="n"/>
      <c r="S4" s="468" t="n"/>
      <c r="T4" s="130" t="n"/>
      <c r="U4" s="130" t="n"/>
      <c r="V4" s="130" t="n"/>
      <c r="W4" s="130" t="n"/>
      <c r="X4" s="130" t="n"/>
      <c r="Y4" s="468" t="n"/>
      <c r="Z4" s="468" t="n"/>
      <c r="AA4" s="468" t="n"/>
      <c r="AB4" s="148" t="n"/>
      <c r="AC4" s="190" t="n"/>
      <c r="AD4" s="190" t="n"/>
      <c r="AE4" s="190" t="n"/>
      <c r="AF4" s="190" t="n"/>
      <c r="AG4" s="148" t="n"/>
      <c r="AH4" s="148" t="n"/>
      <c r="AI4" s="148" t="n"/>
      <c r="AJ4" s="148" t="n"/>
      <c r="AK4" s="190" t="n"/>
      <c r="AL4" s="190" t="n"/>
      <c r="AM4" s="190" t="n"/>
      <c r="AN4" s="190" t="n"/>
      <c r="AO4" s="190" t="n"/>
      <c r="AP4" s="190" t="n"/>
      <c r="AQ4" s="190" t="n"/>
      <c r="AR4" s="190" t="n"/>
      <c r="AS4" s="190" t="n"/>
      <c r="AT4" s="304" t="n"/>
      <c r="AU4" s="304" t="n"/>
      <c r="AV4" s="304" t="n"/>
      <c r="AW4" s="304" t="n"/>
      <c r="AX4" s="148" t="n"/>
      <c r="AY4" s="14">
        <f>AY5+AY6+AY7+AY8+AY9+AY10</f>
        <v/>
      </c>
      <c r="AZ4" s="148" t="n"/>
      <c r="BA4" s="663" t="n"/>
      <c r="BB4" s="14">
        <f>BB5+BB6+BB7+BB8+BB9+BB10</f>
        <v/>
      </c>
      <c r="BC4" s="528" t="n"/>
      <c r="BD4" s="528" t="n"/>
      <c r="BE4" s="528" t="n"/>
      <c r="BF4" s="528" t="n"/>
      <c r="BG4" s="528" t="n"/>
      <c r="BH4" s="528" t="n"/>
      <c r="BI4" s="14">
        <f>BI5+BI6+BI7+BI8+BI9+BI10</f>
        <v/>
      </c>
      <c r="BJ4" s="528" t="n"/>
      <c r="BK4" s="51" t="n"/>
      <c r="BL4" s="14">
        <f>BL5+BL6+BL7+BL9+BL8+BL10</f>
        <v/>
      </c>
      <c r="BM4" s="399" t="n"/>
      <c r="BN4" s="51" t="n"/>
      <c r="BO4" s="14">
        <f>BO5+BO6+BO7+BO9+BO8+BO10</f>
        <v/>
      </c>
      <c r="BP4" s="399" t="n"/>
      <c r="BQ4" s="51" t="n"/>
      <c r="BR4" s="14">
        <f>BR5+BR6+BR7+BR9+BR8+BR10</f>
        <v/>
      </c>
      <c r="BS4" s="14">
        <f>BS5+BS6+BS7+BS9+BS8+BS10</f>
        <v/>
      </c>
      <c r="BT4" s="399" t="n"/>
      <c r="BU4" s="528" t="n"/>
      <c r="BV4" s="528" t="n"/>
      <c r="BW4" s="14">
        <f>BW5+BW6+BW7+BW8+BW9+BW10</f>
        <v/>
      </c>
      <c r="BX4" s="528" t="n"/>
      <c r="BY4" s="528" t="n"/>
      <c r="BZ4" s="528" t="n"/>
      <c r="CA4" s="14">
        <f>CA5+CA6+CA7+CA8+CA9+CA10</f>
        <v/>
      </c>
      <c r="CB4" s="528" t="n"/>
      <c r="CC4" s="528" t="n"/>
      <c r="CD4" s="528" t="n"/>
      <c r="CE4" s="14">
        <f>CE5+CE6+CE7+CE8+CE9+CE10</f>
        <v/>
      </c>
      <c r="CF4" s="525">
        <f>AY4+BB4+BI4+BL4+BO4+BR4+BS4+BW4+CA4+CE4</f>
        <v/>
      </c>
    </row>
    <row r="5" ht="28.8" customFormat="1" customHeight="1" s="525">
      <c r="A5" s="528" t="n">
        <v>1</v>
      </c>
      <c r="B5" s="528" t="inlineStr">
        <is>
          <t>a</t>
        </is>
      </c>
      <c r="C5" s="523" t="n">
        <v>1</v>
      </c>
      <c r="D5" s="524">
        <f>CONCATENATE(A$3,"_",A5,"_",B5,"_",C5)</f>
        <v/>
      </c>
      <c r="E5" s="526" t="inlineStr">
        <is>
          <t>Identyfikacja i analiza kluczowych operacji w MWS i ich interakcji</t>
        </is>
      </c>
      <c r="F5" s="528">
        <f>IFERROR(VLOOKUP($I5,Listy!$A:$H,2,FALSE),"XXX")</f>
        <v/>
      </c>
      <c r="G5" s="528">
        <f>IFERROR(VLOOKUP($I5,Listy!$A:$H,3,FALSE),"XXX")</f>
        <v/>
      </c>
      <c r="H5" s="20" t="n">
        <v>1</v>
      </c>
      <c r="I5" s="89" t="inlineStr">
        <is>
          <t>.a01</t>
        </is>
      </c>
      <c r="J5" s="475">
        <f>VIII_Baza_BDWMS!M1+1</f>
        <v/>
      </c>
      <c r="K5" s="681">
        <f>VLOOKUP(J5,Kalendarz!B:E,4,FALSE)</f>
        <v/>
      </c>
      <c r="L5" s="681">
        <f>K5+N5</f>
        <v/>
      </c>
      <c r="M5" s="528">
        <f>J5+N5-1</f>
        <v/>
      </c>
      <c r="N5" s="474" t="n">
        <v>1</v>
      </c>
      <c r="O5" s="528" t="n">
        <v>120</v>
      </c>
      <c r="P5" s="187" t="n"/>
      <c r="Q5" s="187" t="n"/>
      <c r="R5" s="187" t="n"/>
      <c r="S5" s="187" t="n"/>
      <c r="T5" s="187" t="n">
        <v>1</v>
      </c>
      <c r="U5" s="187" t="n">
        <v>0</v>
      </c>
      <c r="V5" s="187" t="n">
        <v>0</v>
      </c>
      <c r="W5" s="187" t="n">
        <v>0</v>
      </c>
      <c r="X5" s="187" t="n">
        <v>0</v>
      </c>
      <c r="Y5" s="188" t="n">
        <v>0</v>
      </c>
      <c r="Z5" s="188" t="n">
        <v>0</v>
      </c>
      <c r="AA5" s="188" t="n">
        <v>0</v>
      </c>
      <c r="AB5" s="188" t="n">
        <v>0</v>
      </c>
      <c r="AC5" s="305" t="n"/>
      <c r="AD5" s="305" t="n"/>
      <c r="AE5" s="305" t="n"/>
      <c r="AF5" s="305" t="n"/>
      <c r="AG5" s="192">
        <f>ROUND($O5*P5,0)</f>
        <v/>
      </c>
      <c r="AH5" s="192">
        <f>ROUND($O5*Q5,0)</f>
        <v/>
      </c>
      <c r="AI5" s="192">
        <f>ROUND($O5*R5,0)</f>
        <v/>
      </c>
      <c r="AJ5" s="192">
        <f>ROUND($O5*S5,0)</f>
        <v/>
      </c>
      <c r="AK5" s="192">
        <f>ROUND($O5*T5,0)</f>
        <v/>
      </c>
      <c r="AL5" s="192">
        <f>ROUND($O5*U5,0)</f>
        <v/>
      </c>
      <c r="AM5" s="192">
        <f>ROUND($O5*V5,0)</f>
        <v/>
      </c>
      <c r="AN5" s="192">
        <f>ROUND($O5*W5,0)</f>
        <v/>
      </c>
      <c r="AO5" s="192">
        <f>ROUND($O5*X5,0)</f>
        <v/>
      </c>
      <c r="AP5" s="193">
        <f>ROUND($O5*Y5,0)</f>
        <v/>
      </c>
      <c r="AQ5" s="193">
        <f>ROUND($O5*Z5,0)</f>
        <v/>
      </c>
      <c r="AR5" s="193">
        <f>ROUND($O5*AA5,0)</f>
        <v/>
      </c>
      <c r="AS5" s="193">
        <f>ROUND($O5*AB5,0)</f>
        <v/>
      </c>
      <c r="AT5" s="306">
        <f>ROUND($O5*AC5,0)</f>
        <v/>
      </c>
      <c r="AU5" s="306">
        <f>ROUND($O5*AD5,0)</f>
        <v/>
      </c>
      <c r="AV5" s="306">
        <f>ROUND($O5*AE5,0)</f>
        <v/>
      </c>
      <c r="AW5" s="306">
        <f>ROUND($O5*AF5,0)</f>
        <v/>
      </c>
      <c r="AX5" s="528" t="n"/>
      <c r="AY5" s="21">
        <f>O5*AX5</f>
        <v/>
      </c>
      <c r="AZ5" s="528" t="n"/>
      <c r="BA5" s="528" t="n"/>
      <c r="BB5" s="21">
        <f>AZ5*BA5</f>
        <v/>
      </c>
      <c r="BC5" s="528" t="n"/>
      <c r="BD5" s="528" t="n"/>
      <c r="BE5" s="528" t="n"/>
      <c r="BF5" s="528" t="n"/>
      <c r="BG5" s="528" t="n"/>
      <c r="BH5" s="528" t="n"/>
      <c r="BI5" s="21">
        <f>BG5*BH5</f>
        <v/>
      </c>
      <c r="BJ5" s="528" t="n"/>
      <c r="BK5" s="528" t="n"/>
      <c r="BL5" s="21" t="n"/>
      <c r="BM5" s="528" t="n"/>
      <c r="BN5" s="528" t="n"/>
      <c r="BO5" s="21" t="n"/>
      <c r="BP5" s="528" t="n"/>
      <c r="BQ5" s="528" t="n"/>
      <c r="BR5" s="21" t="n"/>
      <c r="BS5" s="21" t="n"/>
      <c r="BT5" s="528" t="n"/>
      <c r="BU5" s="528" t="n"/>
      <c r="BV5" s="528" t="n"/>
      <c r="BW5" s="21">
        <f>BU5*BV5</f>
        <v/>
      </c>
      <c r="BX5" s="528" t="n"/>
      <c r="BY5" s="528" t="n"/>
      <c r="BZ5" s="528" t="n"/>
      <c r="CA5" s="21">
        <f>BY5*BZ5</f>
        <v/>
      </c>
      <c r="CB5" s="528" t="n"/>
      <c r="CC5" s="528" t="n"/>
      <c r="CD5" s="528" t="n"/>
      <c r="CE5" s="21">
        <f>CC5*CD5</f>
        <v/>
      </c>
    </row>
    <row r="6" ht="28.8" customFormat="1" customHeight="1" s="525">
      <c r="A6" s="528" t="n">
        <v>1</v>
      </c>
      <c r="B6" s="528" t="inlineStr">
        <is>
          <t>b</t>
        </is>
      </c>
      <c r="C6" s="523" t="n">
        <v>1</v>
      </c>
      <c r="D6" s="524">
        <f>CONCATENATE(A$3,"_",A6,"_",B6,"_",C6)</f>
        <v/>
      </c>
      <c r="E6" s="526" t="inlineStr">
        <is>
          <t>Określenie wskaźników KPI do oceny efektywności symulacji</t>
        </is>
      </c>
      <c r="F6" s="528">
        <f>IFERROR(VLOOKUP($I6,Listy!$A:$H,2,FALSE),"XXX")</f>
        <v/>
      </c>
      <c r="G6" s="528">
        <f>IFERROR(VLOOKUP($I6,Listy!$A:$H,3,FALSE),"XXX")</f>
        <v/>
      </c>
      <c r="H6" s="20" t="n">
        <v>1</v>
      </c>
      <c r="I6" s="89" t="inlineStr">
        <is>
          <t>.a02</t>
        </is>
      </c>
      <c r="J6" s="91">
        <f>M5+1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82" t="n">
        <v>0</v>
      </c>
      <c r="O6" s="528" t="n">
        <v>120</v>
      </c>
      <c r="P6" s="187" t="n"/>
      <c r="Q6" s="187" t="n"/>
      <c r="R6" s="187" t="n"/>
      <c r="S6" s="187" t="n"/>
      <c r="T6" s="187" t="n">
        <v>0</v>
      </c>
      <c r="U6" s="187" t="n">
        <v>1</v>
      </c>
      <c r="V6" s="187" t="n">
        <v>0</v>
      </c>
      <c r="W6" s="187" t="n">
        <v>0</v>
      </c>
      <c r="X6" s="187" t="n">
        <v>0</v>
      </c>
      <c r="Y6" s="188" t="n">
        <v>0</v>
      </c>
      <c r="Z6" s="188" t="n">
        <v>0</v>
      </c>
      <c r="AA6" s="188" t="n">
        <v>0</v>
      </c>
      <c r="AB6" s="188" t="n">
        <v>0</v>
      </c>
      <c r="AC6" s="305" t="n"/>
      <c r="AD6" s="305" t="n"/>
      <c r="AE6" s="305" t="n"/>
      <c r="AF6" s="305" t="n"/>
      <c r="AG6" s="192">
        <f>ROUND($O6*P6,0)</f>
        <v/>
      </c>
      <c r="AH6" s="192">
        <f>ROUND($O6*Q6,0)</f>
        <v/>
      </c>
      <c r="AI6" s="192">
        <f>ROUND($O6*R6,0)</f>
        <v/>
      </c>
      <c r="AJ6" s="192">
        <f>ROUND($O6*S6,0)</f>
        <v/>
      </c>
      <c r="AK6" s="192">
        <f>ROUND($O6*T6,0)</f>
        <v/>
      </c>
      <c r="AL6" s="192">
        <f>ROUND($O6*U6,0)</f>
        <v/>
      </c>
      <c r="AM6" s="192">
        <f>ROUND($O6*V6,0)</f>
        <v/>
      </c>
      <c r="AN6" s="192">
        <f>ROUND($O6*W6,0)</f>
        <v/>
      </c>
      <c r="AO6" s="192">
        <f>ROUND($O6*X6,0)</f>
        <v/>
      </c>
      <c r="AP6" s="193">
        <f>ROUND($O6*Y6,0)</f>
        <v/>
      </c>
      <c r="AQ6" s="193">
        <f>ROUND($O6*Z6,0)</f>
        <v/>
      </c>
      <c r="AR6" s="193">
        <f>ROUND($O6*AA6,0)</f>
        <v/>
      </c>
      <c r="AS6" s="193">
        <f>ROUND($O6*AB6,0)</f>
        <v/>
      </c>
      <c r="AT6" s="306">
        <f>ROUND($O6*AC6,0)</f>
        <v/>
      </c>
      <c r="AU6" s="306">
        <f>ROUND($O6*AD6,0)</f>
        <v/>
      </c>
      <c r="AV6" s="306">
        <f>ROUND($O6*AE6,0)</f>
        <v/>
      </c>
      <c r="AW6" s="306">
        <f>ROUND($O6*AF6,0)</f>
        <v/>
      </c>
      <c r="AX6" s="528" t="n"/>
      <c r="AY6" s="21">
        <f>O6*AX6</f>
        <v/>
      </c>
      <c r="AZ6" s="528" t="n"/>
      <c r="BA6" s="528" t="n"/>
      <c r="BB6" s="21">
        <f>AZ6*BA6</f>
        <v/>
      </c>
      <c r="BC6" s="528" t="n"/>
      <c r="BD6" s="528" t="n"/>
      <c r="BE6" s="528" t="n"/>
      <c r="BF6" s="528" t="n"/>
      <c r="BG6" s="528" t="n"/>
      <c r="BH6" s="528" t="n"/>
      <c r="BI6" s="21">
        <f>BG6*BH6</f>
        <v/>
      </c>
      <c r="BJ6" s="528" t="n"/>
      <c r="BK6" s="528" t="n"/>
      <c r="BL6" s="528" t="n"/>
      <c r="BM6" s="528" t="n"/>
      <c r="BN6" s="528" t="n"/>
      <c r="BO6" s="528" t="n"/>
      <c r="BP6" s="528" t="n"/>
      <c r="BQ6" s="528" t="n"/>
      <c r="BR6" s="528" t="n"/>
      <c r="BS6" s="528" t="n"/>
      <c r="BT6" s="528" t="n"/>
      <c r="BU6" s="528" t="n"/>
      <c r="BV6" s="528" t="n"/>
      <c r="BW6" s="21">
        <f>BU6*BV6</f>
        <v/>
      </c>
      <c r="BX6" s="528" t="n"/>
      <c r="BY6" s="528" t="n"/>
      <c r="BZ6" s="528" t="n"/>
      <c r="CA6" s="21">
        <f>BY6*BZ6</f>
        <v/>
      </c>
      <c r="CB6" s="528" t="n"/>
      <c r="CC6" s="528" t="n"/>
      <c r="CD6" s="528" t="n"/>
      <c r="CE6" s="21">
        <f>CC6*CD6</f>
        <v/>
      </c>
    </row>
    <row r="7" ht="14.4" customFormat="1" customHeight="1" s="525">
      <c r="A7" s="528" t="n">
        <v>1</v>
      </c>
      <c r="B7" s="528" t="inlineStr">
        <is>
          <t>c</t>
        </is>
      </c>
      <c r="C7" s="523" t="n">
        <v>1</v>
      </c>
      <c r="D7" s="524">
        <f>CONCATENATE(A$3,"_",A7,"_",B7,"_",C7)</f>
        <v/>
      </c>
      <c r="E7" s="526" t="inlineStr">
        <is>
          <t>Analiza wydajności</t>
        </is>
      </c>
      <c r="F7" s="528">
        <f>IFERROR(VLOOKUP($I7,Listy!$A:$H,2,FALSE),"XXX")</f>
        <v/>
      </c>
      <c r="G7" s="528">
        <f>IFERROR(VLOOKUP($I7,Listy!$A:$H,3,FALSE),"XXX")</f>
        <v/>
      </c>
      <c r="H7" s="20" t="n">
        <v>2</v>
      </c>
      <c r="I7" s="89" t="inlineStr">
        <is>
          <t>.a03</t>
        </is>
      </c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82" t="n">
        <v>0</v>
      </c>
      <c r="O7" s="528" t="n">
        <v>120</v>
      </c>
      <c r="P7" s="187" t="n"/>
      <c r="Q7" s="187" t="n"/>
      <c r="R7" s="187" t="n"/>
      <c r="S7" s="187" t="n"/>
      <c r="T7" s="187" t="n">
        <v>0</v>
      </c>
      <c r="U7" s="187" t="n">
        <v>0</v>
      </c>
      <c r="V7" s="187" t="n">
        <v>1</v>
      </c>
      <c r="W7" s="187" t="n">
        <v>0</v>
      </c>
      <c r="X7" s="187" t="n">
        <v>0</v>
      </c>
      <c r="Y7" s="188" t="n">
        <v>0</v>
      </c>
      <c r="Z7" s="188" t="n">
        <v>0</v>
      </c>
      <c r="AA7" s="188" t="n">
        <v>0</v>
      </c>
      <c r="AB7" s="188" t="n">
        <v>0</v>
      </c>
      <c r="AC7" s="305" t="n"/>
      <c r="AD7" s="305" t="n"/>
      <c r="AE7" s="305" t="n"/>
      <c r="AF7" s="305" t="n"/>
      <c r="AG7" s="192">
        <f>ROUND($O7*P7,0)</f>
        <v/>
      </c>
      <c r="AH7" s="192">
        <f>ROUND($O7*Q7,0)</f>
        <v/>
      </c>
      <c r="AI7" s="192">
        <f>ROUND($O7*R7,0)</f>
        <v/>
      </c>
      <c r="AJ7" s="192">
        <f>ROUND($O7*S7,0)</f>
        <v/>
      </c>
      <c r="AK7" s="192">
        <f>ROUND($O7*T7,0)</f>
        <v/>
      </c>
      <c r="AL7" s="192">
        <f>ROUND($O7*U7,0)</f>
        <v/>
      </c>
      <c r="AM7" s="192">
        <f>ROUND($O7*V7,0)</f>
        <v/>
      </c>
      <c r="AN7" s="192">
        <f>ROUND($O7*W7,0)</f>
        <v/>
      </c>
      <c r="AO7" s="192">
        <f>ROUND($O7*X7,0)</f>
        <v/>
      </c>
      <c r="AP7" s="193">
        <f>ROUND($O7*Y7,0)</f>
        <v/>
      </c>
      <c r="AQ7" s="193">
        <f>ROUND($O7*Z7,0)</f>
        <v/>
      </c>
      <c r="AR7" s="193">
        <f>ROUND($O7*AA7,0)</f>
        <v/>
      </c>
      <c r="AS7" s="193">
        <f>ROUND($O7*AB7,0)</f>
        <v/>
      </c>
      <c r="AT7" s="306">
        <f>ROUND($O7*AC7,0)</f>
        <v/>
      </c>
      <c r="AU7" s="306">
        <f>ROUND($O7*AD7,0)</f>
        <v/>
      </c>
      <c r="AV7" s="306">
        <f>ROUND($O7*AE7,0)</f>
        <v/>
      </c>
      <c r="AW7" s="306">
        <f>ROUND($O7*AF7,0)</f>
        <v/>
      </c>
      <c r="AX7" s="528" t="n"/>
      <c r="AY7" s="21">
        <f>O7*AX7</f>
        <v/>
      </c>
      <c r="AZ7" s="528" t="n"/>
      <c r="BA7" s="528" t="n"/>
      <c r="BB7" s="21">
        <f>AZ7*BA7</f>
        <v/>
      </c>
      <c r="BC7" s="528" t="n"/>
      <c r="BD7" s="528" t="n"/>
      <c r="BE7" s="528" t="n"/>
      <c r="BF7" s="528" t="n"/>
      <c r="BG7" s="528" t="n"/>
      <c r="BH7" s="528" t="n"/>
      <c r="BI7" s="21">
        <f>BG7*BH7</f>
        <v/>
      </c>
      <c r="BJ7" s="528" t="n"/>
      <c r="BK7" s="528" t="n"/>
      <c r="BL7" s="528" t="n"/>
      <c r="BM7" s="528" t="n"/>
      <c r="BN7" s="528" t="n"/>
      <c r="BO7" s="528" t="n"/>
      <c r="BP7" s="528" t="n"/>
      <c r="BQ7" s="528" t="n"/>
      <c r="BR7" s="528" t="n"/>
      <c r="BS7" s="528" t="n"/>
      <c r="BT7" s="528" t="n"/>
      <c r="BU7" s="528" t="n"/>
      <c r="BV7" s="528" t="n"/>
      <c r="BW7" s="21">
        <f>BU7*BV7</f>
        <v/>
      </c>
      <c r="BX7" s="528" t="n"/>
      <c r="BY7" s="528" t="n"/>
      <c r="BZ7" s="528" t="n"/>
      <c r="CA7" s="21">
        <f>BY7*BZ7</f>
        <v/>
      </c>
      <c r="CB7" s="528" t="n"/>
      <c r="CC7" s="528" t="n"/>
      <c r="CD7" s="528" t="n"/>
      <c r="CE7" s="21">
        <f>CC7*CD7</f>
        <v/>
      </c>
    </row>
    <row r="8" ht="14.4" customFormat="1" customHeight="1" s="525">
      <c r="A8" s="528" t="n">
        <v>1</v>
      </c>
      <c r="B8" s="528" t="inlineStr">
        <is>
          <t>d</t>
        </is>
      </c>
      <c r="C8" s="523" t="n">
        <v>1</v>
      </c>
      <c r="D8" s="524">
        <f>CONCATENATE(A$3,"_",A8,"_",B8,"_",C8)</f>
        <v/>
      </c>
      <c r="E8" s="526" t="inlineStr">
        <is>
          <t>Identyfikacja wyzwań/„wąskich gardeł”</t>
        </is>
      </c>
      <c r="F8" s="528">
        <f>IFERROR(VLOOKUP($I8,Listy!$A:$H,2,FALSE),"XXX")</f>
        <v/>
      </c>
      <c r="G8" s="528">
        <f>IFERROR(VLOOKUP($I8,Listy!$A:$H,3,FALSE),"XXX")</f>
        <v/>
      </c>
      <c r="H8" s="20" t="n">
        <v>1</v>
      </c>
      <c r="I8" s="89" t="inlineStr">
        <is>
          <t>.a04</t>
        </is>
      </c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82" t="n">
        <v>0</v>
      </c>
      <c r="O8" s="528" t="n">
        <v>120</v>
      </c>
      <c r="P8" s="187" t="n"/>
      <c r="Q8" s="187" t="n"/>
      <c r="R8" s="187" t="n"/>
      <c r="S8" s="187" t="n"/>
      <c r="T8" s="187" t="n">
        <v>0</v>
      </c>
      <c r="U8" s="187" t="n">
        <v>0</v>
      </c>
      <c r="V8" s="187" t="n">
        <v>0</v>
      </c>
      <c r="W8" s="187" t="n">
        <v>0.5</v>
      </c>
      <c r="X8" s="187" t="n">
        <v>0.5</v>
      </c>
      <c r="Y8" s="188" t="n">
        <v>0</v>
      </c>
      <c r="Z8" s="188" t="n">
        <v>0</v>
      </c>
      <c r="AA8" s="188" t="n">
        <v>0</v>
      </c>
      <c r="AB8" s="188" t="n">
        <v>0</v>
      </c>
      <c r="AC8" s="305" t="n"/>
      <c r="AD8" s="305" t="n"/>
      <c r="AE8" s="305" t="n"/>
      <c r="AF8" s="305" t="n"/>
      <c r="AG8" s="192">
        <f>ROUND($O8*P8,0)</f>
        <v/>
      </c>
      <c r="AH8" s="192">
        <f>ROUND($O8*Q8,0)</f>
        <v/>
      </c>
      <c r="AI8" s="192">
        <f>ROUND($O8*R8,0)</f>
        <v/>
      </c>
      <c r="AJ8" s="192">
        <f>ROUND($O8*S8,0)</f>
        <v/>
      </c>
      <c r="AK8" s="192">
        <f>ROUND($O8*T8,0)</f>
        <v/>
      </c>
      <c r="AL8" s="192">
        <f>ROUND($O8*U8,0)</f>
        <v/>
      </c>
      <c r="AM8" s="192">
        <f>ROUND($O8*V8,0)</f>
        <v/>
      </c>
      <c r="AN8" s="192">
        <f>ROUND($O8*W8,0)</f>
        <v/>
      </c>
      <c r="AO8" s="192">
        <f>ROUND($O8*X8,0)</f>
        <v/>
      </c>
      <c r="AP8" s="193">
        <f>ROUND($O8*Y8,0)</f>
        <v/>
      </c>
      <c r="AQ8" s="193">
        <f>ROUND($O8*Z8,0)</f>
        <v/>
      </c>
      <c r="AR8" s="193">
        <f>ROUND($O8*AA8,0)</f>
        <v/>
      </c>
      <c r="AS8" s="193">
        <f>ROUND($O8*AB8,0)</f>
        <v/>
      </c>
      <c r="AT8" s="306">
        <f>ROUND($O8*AC8,0)</f>
        <v/>
      </c>
      <c r="AU8" s="306">
        <f>ROUND($O8*AD8,0)</f>
        <v/>
      </c>
      <c r="AV8" s="306">
        <f>ROUND($O8*AE8,0)</f>
        <v/>
      </c>
      <c r="AW8" s="306">
        <f>ROUND($O8*AF8,0)</f>
        <v/>
      </c>
      <c r="AX8" s="528" t="n"/>
      <c r="AY8" s="21">
        <f>O8*AX8</f>
        <v/>
      </c>
      <c r="AZ8" s="528" t="n"/>
      <c r="BA8" s="528" t="n"/>
      <c r="BB8" s="21">
        <f>AZ8*BA8</f>
        <v/>
      </c>
      <c r="BC8" s="528" t="n"/>
      <c r="BD8" s="528" t="n"/>
      <c r="BE8" s="528" t="n"/>
      <c r="BF8" s="528" t="n"/>
      <c r="BG8" s="528" t="n"/>
      <c r="BH8" s="528" t="n"/>
      <c r="BI8" s="21">
        <f>BG8*BH8</f>
        <v/>
      </c>
      <c r="BJ8" s="528" t="n"/>
      <c r="BK8" s="528" t="n"/>
      <c r="BL8" s="528" t="n"/>
      <c r="BM8" s="528" t="n"/>
      <c r="BN8" s="528" t="n"/>
      <c r="BO8" s="528" t="n"/>
      <c r="BP8" s="528" t="n"/>
      <c r="BQ8" s="528" t="n"/>
      <c r="BR8" s="528" t="n"/>
      <c r="BS8" s="528" t="n"/>
      <c r="BT8" s="528" t="n"/>
      <c r="BU8" s="528" t="n"/>
      <c r="BV8" s="528" t="n"/>
      <c r="BW8" s="21">
        <f>BU8*BV8</f>
        <v/>
      </c>
      <c r="BX8" s="528" t="n"/>
      <c r="BY8" s="528" t="n"/>
      <c r="BZ8" s="528" t="n"/>
      <c r="CA8" s="21">
        <f>BY8*BZ8</f>
        <v/>
      </c>
      <c r="CB8" s="528" t="n"/>
      <c r="CC8" s="528" t="n"/>
      <c r="CD8" s="528" t="n"/>
      <c r="CE8" s="21">
        <f>CC8*CD8</f>
        <v/>
      </c>
    </row>
    <row r="9" ht="28.8" customFormat="1" customHeight="1" s="525">
      <c r="A9" s="528" t="n">
        <v>1</v>
      </c>
      <c r="B9" s="528" t="inlineStr">
        <is>
          <t>e</t>
        </is>
      </c>
      <c r="C9" s="523" t="n">
        <v>1</v>
      </c>
      <c r="D9" s="524">
        <f>CONCATENATE(A$3,"_",A9,"_",B9,"_",C9)</f>
        <v/>
      </c>
      <c r="E9" s="526" t="inlineStr">
        <is>
          <t>Analiza wpływu zakłóceń dostępności infrastruktury technicznej</t>
        </is>
      </c>
      <c r="F9" s="528">
        <f>IFERROR(VLOOKUP($I9,Listy!$A:$H,2,FALSE),"XXX")</f>
        <v/>
      </c>
      <c r="G9" s="528">
        <f>IFERROR(VLOOKUP($I9,Listy!$A:$H,3,FALSE),"XXX")</f>
        <v/>
      </c>
      <c r="H9" s="20" t="n">
        <v>1</v>
      </c>
      <c r="I9" s="89" t="inlineStr">
        <is>
          <t>.a03</t>
        </is>
      </c>
      <c r="J9" s="91">
        <f>M8+1</f>
        <v/>
      </c>
      <c r="K9" s="681">
        <f>VLOOKUP(J9,Kalendarz!B:E,4,FALSE)</f>
        <v/>
      </c>
      <c r="L9" s="681">
        <f>K9+N9</f>
        <v/>
      </c>
      <c r="M9" s="528">
        <f>J9+N9-1</f>
        <v/>
      </c>
      <c r="N9" s="482" t="n">
        <v>0</v>
      </c>
      <c r="O9" s="528" t="n">
        <v>120</v>
      </c>
      <c r="P9" s="187" t="n"/>
      <c r="Q9" s="187" t="n"/>
      <c r="R9" s="187" t="n"/>
      <c r="S9" s="187" t="n"/>
      <c r="T9" s="187" t="n">
        <v>0</v>
      </c>
      <c r="U9" s="187" t="n">
        <v>0</v>
      </c>
      <c r="V9" s="187" t="n">
        <v>1</v>
      </c>
      <c r="W9" s="187" t="n">
        <v>0</v>
      </c>
      <c r="X9" s="187" t="n">
        <v>0</v>
      </c>
      <c r="Y9" s="188" t="n">
        <v>0</v>
      </c>
      <c r="Z9" s="188" t="n">
        <v>0</v>
      </c>
      <c r="AA9" s="188" t="n">
        <v>0</v>
      </c>
      <c r="AB9" s="188" t="n">
        <v>0</v>
      </c>
      <c r="AC9" s="305" t="n"/>
      <c r="AD9" s="305" t="n"/>
      <c r="AE9" s="305" t="n"/>
      <c r="AF9" s="305" t="n"/>
      <c r="AG9" s="192">
        <f>ROUND($O9*P9,0)</f>
        <v/>
      </c>
      <c r="AH9" s="192">
        <f>ROUND($O9*Q9,0)</f>
        <v/>
      </c>
      <c r="AI9" s="192">
        <f>ROUND($O9*R9,0)</f>
        <v/>
      </c>
      <c r="AJ9" s="192">
        <f>ROUND($O9*S9,0)</f>
        <v/>
      </c>
      <c r="AK9" s="192">
        <f>ROUND($O9*T9,0)</f>
        <v/>
      </c>
      <c r="AL9" s="192">
        <f>ROUND($O9*U9,0)</f>
        <v/>
      </c>
      <c r="AM9" s="192">
        <f>ROUND($O9*V9,0)</f>
        <v/>
      </c>
      <c r="AN9" s="192">
        <f>ROUND($O9*W9,0)</f>
        <v/>
      </c>
      <c r="AO9" s="192">
        <f>ROUND($O9*X9,0)</f>
        <v/>
      </c>
      <c r="AP9" s="193">
        <f>ROUND($O9*Y9,0)</f>
        <v/>
      </c>
      <c r="AQ9" s="193">
        <f>ROUND($O9*Z9,0)</f>
        <v/>
      </c>
      <c r="AR9" s="193">
        <f>ROUND($O9*AA9,0)</f>
        <v/>
      </c>
      <c r="AS9" s="193">
        <f>ROUND($O9*AB9,0)</f>
        <v/>
      </c>
      <c r="AT9" s="306">
        <f>ROUND($O9*AC9,0)</f>
        <v/>
      </c>
      <c r="AU9" s="306">
        <f>ROUND($O9*AD9,0)</f>
        <v/>
      </c>
      <c r="AV9" s="306">
        <f>ROUND($O9*AE9,0)</f>
        <v/>
      </c>
      <c r="AW9" s="306">
        <f>ROUND($O9*AF9,0)</f>
        <v/>
      </c>
      <c r="AX9" s="528" t="n"/>
      <c r="AY9" s="21">
        <f>O9*AX9</f>
        <v/>
      </c>
      <c r="AZ9" s="528" t="n"/>
      <c r="BA9" s="528" t="n"/>
      <c r="BB9" s="21">
        <f>AZ9*BA9</f>
        <v/>
      </c>
      <c r="BC9" s="528" t="n"/>
      <c r="BD9" s="528" t="n"/>
      <c r="BE9" s="528" t="n"/>
      <c r="BF9" s="528" t="n"/>
      <c r="BG9" s="528" t="n"/>
      <c r="BH9" s="528" t="n"/>
      <c r="BI9" s="21">
        <f>BG9*BH9</f>
        <v/>
      </c>
      <c r="BJ9" s="528" t="n"/>
      <c r="BK9" s="528" t="n"/>
      <c r="BL9" s="528" t="n"/>
      <c r="BM9" s="528" t="n"/>
      <c r="BN9" s="528" t="n"/>
      <c r="BO9" s="528" t="n"/>
      <c r="BP9" s="528" t="n"/>
      <c r="BQ9" s="528" t="n"/>
      <c r="BR9" s="528" t="n"/>
      <c r="BS9" s="528" t="n"/>
      <c r="BT9" s="528" t="n"/>
      <c r="BU9" s="528" t="n"/>
      <c r="BV9" s="528" t="n"/>
      <c r="BW9" s="21">
        <f>BU9*BV9</f>
        <v/>
      </c>
      <c r="BX9" s="528" t="n"/>
      <c r="BY9" s="528" t="n"/>
      <c r="BZ9" s="528" t="n"/>
      <c r="CA9" s="21">
        <f>BY9*BZ9</f>
        <v/>
      </c>
      <c r="CB9" s="528" t="n"/>
      <c r="CC9" s="528" t="n"/>
      <c r="CD9" s="528" t="n"/>
      <c r="CE9" s="21">
        <f>CC9*CD9</f>
        <v/>
      </c>
    </row>
    <row r="10" ht="29.4" customFormat="1" customHeight="1" s="525" thickBot="1">
      <c r="A10" s="528" t="n">
        <v>1</v>
      </c>
      <c r="B10" s="528" t="inlineStr">
        <is>
          <t>f</t>
        </is>
      </c>
      <c r="C10" s="523" t="n">
        <v>1</v>
      </c>
      <c r="D10" s="524">
        <f>CONCATENATE(A$3,"_",A10,"_",B10,"_",C10)</f>
        <v/>
      </c>
      <c r="E10" s="526" t="inlineStr">
        <is>
          <t xml:space="preserve">Stworzenie mapy zidentyfikowanych algorytmów/zjawisk/działań w MWS </t>
        </is>
      </c>
      <c r="F10" s="528">
        <f>IFERROR(VLOOKUP($I10,Listy!$A:$H,2,FALSE),"XXX")</f>
        <v/>
      </c>
      <c r="G10" s="528">
        <f>IFERROR(VLOOKUP($I10,Listy!$A:$H,3,FALSE),"XXX")</f>
        <v/>
      </c>
      <c r="H10" s="20" t="n">
        <v>2</v>
      </c>
      <c r="I10" s="89" t="inlineStr">
        <is>
          <t>.a04</t>
        </is>
      </c>
      <c r="J10" s="91">
        <f>M9+1</f>
        <v/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82" t="n">
        <v>0</v>
      </c>
      <c r="O10" s="528" t="n">
        <v>120</v>
      </c>
      <c r="P10" s="187" t="n"/>
      <c r="Q10" s="187" t="n"/>
      <c r="R10" s="187" t="n"/>
      <c r="S10" s="187" t="n"/>
      <c r="T10" s="187" t="n">
        <v>0</v>
      </c>
      <c r="U10" s="187" t="n">
        <v>0</v>
      </c>
      <c r="V10" s="187" t="n">
        <v>0</v>
      </c>
      <c r="W10" s="187" t="n">
        <v>0.5</v>
      </c>
      <c r="X10" s="187" t="n">
        <v>0.5</v>
      </c>
      <c r="Y10" s="188" t="n">
        <v>0</v>
      </c>
      <c r="Z10" s="188" t="n">
        <v>0</v>
      </c>
      <c r="AA10" s="188" t="n">
        <v>0</v>
      </c>
      <c r="AB10" s="188" t="n">
        <v>0</v>
      </c>
      <c r="AC10" s="305" t="n"/>
      <c r="AD10" s="305" t="n"/>
      <c r="AE10" s="305" t="n"/>
      <c r="AF10" s="305" t="n"/>
      <c r="AG10" s="192">
        <f>ROUND($O10*P10,0)</f>
        <v/>
      </c>
      <c r="AH10" s="192">
        <f>ROUND($O10*Q10,0)</f>
        <v/>
      </c>
      <c r="AI10" s="192">
        <f>ROUND($O10*R10,0)</f>
        <v/>
      </c>
      <c r="AJ10" s="192">
        <f>ROUND($O10*S10,0)</f>
        <v/>
      </c>
      <c r="AK10" s="192">
        <f>ROUND($O10*T10,0)</f>
        <v/>
      </c>
      <c r="AL10" s="192">
        <f>ROUND($O10*U10,0)</f>
        <v/>
      </c>
      <c r="AM10" s="192">
        <f>ROUND($O10*V10,0)</f>
        <v/>
      </c>
      <c r="AN10" s="192">
        <f>ROUND($O10*W10,0)</f>
        <v/>
      </c>
      <c r="AO10" s="192">
        <f>ROUND($O10*X10,0)</f>
        <v/>
      </c>
      <c r="AP10" s="193">
        <f>ROUND($O10*Y10,0)</f>
        <v/>
      </c>
      <c r="AQ10" s="193">
        <f>ROUND($O10*Z10,0)</f>
        <v/>
      </c>
      <c r="AR10" s="193">
        <f>ROUND($O10*AA10,0)</f>
        <v/>
      </c>
      <c r="AS10" s="193">
        <f>ROUND($O10*AB10,0)</f>
        <v/>
      </c>
      <c r="AT10" s="306">
        <f>ROUND($O10*AC10,0)</f>
        <v/>
      </c>
      <c r="AU10" s="306">
        <f>ROUND($O10*AD10,0)</f>
        <v/>
      </c>
      <c r="AV10" s="306">
        <f>ROUND($O10*AE10,0)</f>
        <v/>
      </c>
      <c r="AW10" s="306">
        <f>ROUND($O10*AF10,0)</f>
        <v/>
      </c>
      <c r="AX10" s="528" t="n"/>
      <c r="AY10" s="22">
        <f>O10*AX10</f>
        <v/>
      </c>
      <c r="AZ10" s="528" t="n"/>
      <c r="BA10" s="528" t="n"/>
      <c r="BB10" s="22">
        <f>AZ10*BA10</f>
        <v/>
      </c>
      <c r="BC10" s="528" t="n"/>
      <c r="BD10" s="528" t="n"/>
      <c r="BE10" s="528" t="n"/>
      <c r="BF10" s="528" t="n"/>
      <c r="BG10" s="528" t="n"/>
      <c r="BH10" s="528" t="n"/>
      <c r="BI10" s="22">
        <f>BG10*BH10</f>
        <v/>
      </c>
      <c r="BJ10" s="528" t="n"/>
      <c r="BK10" s="528" t="n"/>
      <c r="BL10" s="314" t="n"/>
      <c r="BM10" s="528" t="n"/>
      <c r="BN10" s="528" t="n"/>
      <c r="BO10" s="314" t="n"/>
      <c r="BP10" s="528" t="n"/>
      <c r="BQ10" s="528" t="n"/>
      <c r="BR10" s="314" t="n"/>
      <c r="BS10" s="314" t="n"/>
      <c r="BT10" s="528" t="n"/>
      <c r="BU10" s="528" t="n"/>
      <c r="BV10" s="528" t="n"/>
      <c r="BW10" s="22">
        <f>BU10*BV10</f>
        <v/>
      </c>
      <c r="BX10" s="528" t="n"/>
      <c r="BY10" s="528" t="n"/>
      <c r="BZ10" s="528" t="n"/>
      <c r="CA10" s="22">
        <f>BY10*BZ10</f>
        <v/>
      </c>
      <c r="CB10" s="528" t="n"/>
      <c r="CC10" s="528" t="n"/>
      <c r="CD10" s="528" t="n"/>
      <c r="CE10" s="22">
        <f>CC10*CD10</f>
        <v/>
      </c>
    </row>
    <row r="11" ht="15" customFormat="1" customHeight="1" s="525" thickBot="1">
      <c r="A11" s="55" t="n">
        <v>2</v>
      </c>
      <c r="B11" s="528" t="inlineStr">
        <is>
          <t>a</t>
        </is>
      </c>
      <c r="C11" s="523" t="n">
        <v>-1</v>
      </c>
      <c r="D11" s="524">
        <f>CONCATENATE(A$3,"_",A11,"_",B11,"_",C11)</f>
        <v/>
      </c>
      <c r="E11" s="527" t="inlineStr">
        <is>
          <t>2.Projektowanie i matematyczne modelowanie procesów w MWS</t>
        </is>
      </c>
      <c r="F11" s="528" t="n"/>
      <c r="G11" s="528" t="n"/>
      <c r="H11" s="528" t="n"/>
      <c r="I11" s="528" t="n"/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190" t="n"/>
      <c r="O11" s="190" t="n"/>
      <c r="P11" s="190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366" t="n"/>
      <c r="AD11" s="366" t="n"/>
      <c r="AE11" s="366" t="n"/>
      <c r="AF11" s="366" t="n"/>
      <c r="AG11" s="192">
        <f>ROUND($O11*P11,0)</f>
        <v/>
      </c>
      <c r="AH11" s="192">
        <f>ROUND($O11*Q11,0)</f>
        <v/>
      </c>
      <c r="AI11" s="192">
        <f>ROUND($O11*R11,0)</f>
        <v/>
      </c>
      <c r="AJ11" s="192">
        <f>ROUND($O11*S11,0)</f>
        <v/>
      </c>
      <c r="AK11" s="192">
        <f>ROUND($O11*T11,0)</f>
        <v/>
      </c>
      <c r="AL11" s="192">
        <f>ROUND($O11*U11,0)</f>
        <v/>
      </c>
      <c r="AM11" s="192">
        <f>ROUND($O11*V11,0)</f>
        <v/>
      </c>
      <c r="AN11" s="192">
        <f>ROUND($O11*W11,0)</f>
        <v/>
      </c>
      <c r="AO11" s="192">
        <f>ROUND($O11*X11,0)</f>
        <v/>
      </c>
      <c r="AP11" s="193" t="n"/>
      <c r="AQ11" s="193" t="n"/>
      <c r="AR11" s="193" t="n"/>
      <c r="AS11" s="193" t="n"/>
      <c r="AT11" s="306">
        <f>ROUND($O11*AC11,0)</f>
        <v/>
      </c>
      <c r="AU11" s="306">
        <f>ROUND($O11*AD11,0)</f>
        <v/>
      </c>
      <c r="AV11" s="306">
        <f>ROUND($O11*AE11,0)</f>
        <v/>
      </c>
      <c r="AW11" s="306">
        <f>ROUND($O11*AF11,0)</f>
        <v/>
      </c>
      <c r="AX11" s="51" t="n"/>
      <c r="AY11" s="14">
        <f>AY12+AY21+AY22+AY23+AY30</f>
        <v/>
      </c>
      <c r="AZ11" s="399" t="n"/>
      <c r="BA11" s="528" t="n"/>
      <c r="BB11" s="14">
        <f>BB12+BB21+BB22+BB23+BB30</f>
        <v/>
      </c>
      <c r="BC11" s="528" t="n"/>
      <c r="BD11" s="528" t="n"/>
      <c r="BE11" s="528" t="n"/>
      <c r="BF11" s="528" t="n"/>
      <c r="BG11" s="528" t="n"/>
      <c r="BH11" s="528" t="n"/>
      <c r="BI11" s="14">
        <f>BI12+BI21+BI22+BI23+BI30</f>
        <v/>
      </c>
      <c r="BJ11" s="528" t="n"/>
      <c r="BK11" s="51" t="n"/>
      <c r="BL11" s="14">
        <f>BL12+BL21+BL22+BL23+BL30</f>
        <v/>
      </c>
      <c r="BM11" s="399" t="n"/>
      <c r="BN11" s="528" t="n"/>
      <c r="BO11" s="14">
        <f>BO12+BO21+BO22+BO23+BO30</f>
        <v/>
      </c>
      <c r="BP11" s="528" t="n"/>
      <c r="BQ11" s="528" t="n"/>
      <c r="BR11" s="14">
        <f>BR12+BR21+BR22+BR23+BR30</f>
        <v/>
      </c>
      <c r="BS11" s="14">
        <f>BS12+BS21+BS22+BS23+BS30</f>
        <v/>
      </c>
      <c r="BT11" s="528" t="n"/>
      <c r="BU11" s="528" t="n"/>
      <c r="BV11" s="528" t="n"/>
      <c r="BW11" s="14">
        <f>BW12+BW21+BW22+BW23+BW30</f>
        <v/>
      </c>
      <c r="BX11" s="528" t="n"/>
      <c r="BY11" s="528" t="n"/>
      <c r="BZ11" s="528" t="n"/>
      <c r="CA11" s="14">
        <f>CA12+CA21+CA22+CA23+CA30</f>
        <v/>
      </c>
      <c r="CB11" s="528" t="n"/>
      <c r="CC11" s="528" t="n"/>
      <c r="CD11" s="528" t="n"/>
      <c r="CE11" s="14">
        <f>CE12+CE21+CE22+CE23+CE30</f>
        <v/>
      </c>
      <c r="CF11" s="525">
        <f>AY11+BB11+BI11+BL11+BO11+BR11+BS11+BW11+CA11+CE11</f>
        <v/>
      </c>
    </row>
    <row r="12" ht="36" customFormat="1" customHeight="1" s="525">
      <c r="A12" s="604" t="n">
        <v>2</v>
      </c>
      <c r="B12" s="604" t="inlineStr">
        <is>
          <t>a</t>
        </is>
      </c>
      <c r="C12" s="605" t="n">
        <v>0</v>
      </c>
      <c r="D12" s="606">
        <f>CONCATENATE(A$3,"_",A12,"_",B12,"_",C12)</f>
        <v/>
      </c>
      <c r="E12" s="607" t="inlineStr">
        <is>
          <t>Zdefiniowanie parametrów wej./wyj. i kluczowych zdarzeń dyskretnych</t>
        </is>
      </c>
      <c r="F12" s="604" t="n"/>
      <c r="G12" s="528" t="n"/>
      <c r="H12" s="46" t="n"/>
      <c r="I12" s="46" t="n"/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190" t="n"/>
      <c r="O12" s="468" t="n"/>
      <c r="P12" s="468" t="n"/>
      <c r="Q12" s="468" t="n"/>
      <c r="R12" s="130" t="n"/>
      <c r="S12" s="130" t="n"/>
      <c r="T12" s="130" t="n"/>
      <c r="U12" s="130" t="n"/>
      <c r="V12" s="130" t="n"/>
      <c r="W12" s="468" t="n"/>
      <c r="X12" s="468" t="n"/>
      <c r="Y12" s="468" t="n"/>
      <c r="Z12" s="148" t="n"/>
      <c r="AA12" s="190" t="n"/>
      <c r="AB12" s="190" t="n"/>
      <c r="AC12" s="190" t="n"/>
      <c r="AD12" s="190" t="n"/>
      <c r="AE12" s="148" t="n"/>
      <c r="AF12" s="148" t="n"/>
      <c r="AG12" s="148" t="n"/>
      <c r="AH12" s="148" t="n"/>
      <c r="AI12" s="190" t="n"/>
      <c r="AJ12" s="190" t="n"/>
      <c r="AK12" s="190" t="n"/>
      <c r="AL12" s="190" t="n"/>
      <c r="AM12" s="190" t="n"/>
      <c r="AN12" s="190" t="n"/>
      <c r="AO12" s="190" t="n"/>
      <c r="AP12" s="190" t="n"/>
      <c r="AQ12" s="190" t="n"/>
      <c r="AR12" s="304" t="n"/>
      <c r="AS12" s="304" t="n"/>
      <c r="AT12" s="304" t="n"/>
      <c r="AU12" s="304" t="n"/>
      <c r="AV12" s="148" t="n"/>
      <c r="AW12" s="306">
        <f>ROUND($O12*AF12,0)</f>
        <v/>
      </c>
      <c r="AX12" s="528" t="n"/>
      <c r="AY12" s="21">
        <f>O12*AX12</f>
        <v/>
      </c>
      <c r="AZ12" s="528" t="n"/>
      <c r="BA12" s="528" t="n"/>
      <c r="BB12" s="21">
        <f>AZ12*BA12</f>
        <v/>
      </c>
      <c r="BC12" s="528" t="n"/>
      <c r="BD12" s="528" t="n"/>
      <c r="BE12" s="528" t="n"/>
      <c r="BF12" s="528" t="n"/>
      <c r="BG12" s="528" t="n"/>
      <c r="BH12" s="528" t="n"/>
      <c r="BI12" s="21">
        <f>BG12*BH12</f>
        <v/>
      </c>
      <c r="BJ12" s="528" t="n"/>
      <c r="BK12" s="528" t="n"/>
      <c r="BL12" s="21" t="n"/>
      <c r="BM12" s="528" t="n"/>
      <c r="BN12" s="528" t="n"/>
      <c r="BO12" s="21" t="n"/>
      <c r="BP12" s="528" t="n"/>
      <c r="BQ12" s="528" t="n"/>
      <c r="BR12" s="21" t="n"/>
      <c r="BS12" s="21" t="n"/>
      <c r="BT12" s="528" t="n"/>
      <c r="BU12" s="528" t="n"/>
      <c r="BV12" s="528" t="n"/>
      <c r="BW12" s="21">
        <f>BU12*BV12</f>
        <v/>
      </c>
      <c r="BX12" s="528" t="n"/>
      <c r="BY12" s="528" t="n"/>
      <c r="BZ12" s="528" t="n"/>
      <c r="CA12" s="21">
        <f>BY12*BZ12</f>
        <v/>
      </c>
      <c r="CB12" s="528" t="n"/>
      <c r="CC12" s="528" t="n"/>
      <c r="CD12" s="528" t="n"/>
      <c r="CE12" s="21">
        <f>CC12*CD12</f>
        <v/>
      </c>
    </row>
    <row r="13" ht="15" customFormat="1" customHeight="1" s="525">
      <c r="A13" s="46" t="n">
        <v>2</v>
      </c>
      <c r="B13" s="528" t="inlineStr">
        <is>
          <t>a</t>
        </is>
      </c>
      <c r="C13" s="529" t="n">
        <v>1</v>
      </c>
      <c r="D13" s="524">
        <f>CONCATENATE(A$3,"_",A13,"_",B13,"_",C13)</f>
        <v/>
      </c>
      <c r="E13" s="530" t="inlineStr">
        <is>
          <t>Zdefiniowanie parametrów wejściowych</t>
        </is>
      </c>
      <c r="F13" s="528" t="n"/>
      <c r="G13" s="528" t="n"/>
      <c r="H13" s="45" t="n">
        <v>3</v>
      </c>
      <c r="I13" s="46" t="inlineStr">
        <is>
          <t>ACT/END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1</v>
      </c>
      <c r="O13" s="45" t="n">
        <v>80</v>
      </c>
      <c r="P13" s="187" t="n"/>
      <c r="Q13" s="187" t="n"/>
      <c r="R13" s="187" t="n"/>
      <c r="S13" s="187" t="n"/>
      <c r="T13" s="187" t="n">
        <v>0.5</v>
      </c>
      <c r="U13" s="187" t="n">
        <v>0</v>
      </c>
      <c r="V13" s="187" t="n">
        <v>0</v>
      </c>
      <c r="W13" s="187" t="n">
        <v>0</v>
      </c>
      <c r="X13" s="187" t="n">
        <v>0</v>
      </c>
      <c r="Y13" s="188" t="n">
        <v>0.5</v>
      </c>
      <c r="Z13" s="188" t="n">
        <v>0</v>
      </c>
      <c r="AA13" s="188" t="n">
        <v>0</v>
      </c>
      <c r="AB13" s="188" t="n">
        <v>0</v>
      </c>
      <c r="AC13" s="305" t="n"/>
      <c r="AD13" s="305" t="n"/>
      <c r="AE13" s="305" t="n"/>
      <c r="AF13" s="305" t="n"/>
      <c r="AG13" s="192">
        <f>ROUND($O13*P13,0)</f>
        <v/>
      </c>
      <c r="AH13" s="192">
        <f>ROUND($O13*Q13,0)</f>
        <v/>
      </c>
      <c r="AI13" s="192">
        <f>ROUND($O13*R13,0)</f>
        <v/>
      </c>
      <c r="AJ13" s="192">
        <f>ROUND($O13*S13,0)</f>
        <v/>
      </c>
      <c r="AK13" s="192">
        <f>ROUND($O13*T13,0)</f>
        <v/>
      </c>
      <c r="AL13" s="192">
        <f>ROUND($O13*U13,0)</f>
        <v/>
      </c>
      <c r="AM13" s="192">
        <f>ROUND($O13*V13,0)</f>
        <v/>
      </c>
      <c r="AN13" s="192">
        <f>ROUND($O13*W13,0)</f>
        <v/>
      </c>
      <c r="AO13" s="192">
        <f>ROUND($O13*X13,0)</f>
        <v/>
      </c>
      <c r="AP13" s="193">
        <f>ROUND($O13*Y13,0)</f>
        <v/>
      </c>
      <c r="AQ13" s="193">
        <f>ROUND($O13*Z13,0)</f>
        <v/>
      </c>
      <c r="AR13" s="193">
        <f>ROUND($O13*AA13,0)</f>
        <v/>
      </c>
      <c r="AS13" s="193">
        <f>ROUND($O13*AB13,0)</f>
        <v/>
      </c>
      <c r="AT13" s="306">
        <f>ROUND($O13*AC13,0)</f>
        <v/>
      </c>
      <c r="AU13" s="306">
        <f>ROUND($O13*AD13,0)</f>
        <v/>
      </c>
      <c r="AV13" s="306">
        <f>ROUND($O13*AE13,0)</f>
        <v/>
      </c>
      <c r="AW13" s="306">
        <f>ROUND($O13*AF13,0)</f>
        <v/>
      </c>
      <c r="AX13" s="528" t="n"/>
      <c r="AY13" s="21" t="n"/>
      <c r="AZ13" s="528" t="n"/>
      <c r="BA13" s="528" t="n"/>
      <c r="BB13" s="21" t="n"/>
      <c r="BC13" s="528" t="n"/>
      <c r="BD13" s="528" t="n"/>
      <c r="BE13" s="528" t="n"/>
      <c r="BF13" s="528" t="n"/>
      <c r="BG13" s="528" t="n"/>
      <c r="BH13" s="528" t="n"/>
      <c r="BI13" s="21" t="n"/>
      <c r="BJ13" s="528" t="n"/>
      <c r="BK13" s="528" t="n"/>
      <c r="BL13" s="21" t="n"/>
      <c r="BM13" s="528" t="n"/>
      <c r="BN13" s="528" t="n"/>
      <c r="BO13" s="21" t="n"/>
      <c r="BP13" s="528" t="n"/>
      <c r="BQ13" s="528" t="n"/>
      <c r="BR13" s="21" t="n"/>
      <c r="BS13" s="21" t="n"/>
      <c r="BT13" s="528" t="n"/>
      <c r="BU13" s="528" t="n"/>
      <c r="BV13" s="528" t="n"/>
      <c r="BW13" s="21" t="n"/>
      <c r="BX13" s="528" t="n"/>
      <c r="BY13" s="528" t="n"/>
      <c r="BZ13" s="528" t="n"/>
      <c r="CA13" s="21" t="n"/>
      <c r="CB13" s="528" t="n"/>
      <c r="CC13" s="528" t="n"/>
      <c r="CD13" s="528" t="n"/>
      <c r="CE13" s="21" t="n"/>
    </row>
    <row r="14" ht="15" customFormat="1" customHeight="1" s="525">
      <c r="A14" s="46" t="n">
        <v>2</v>
      </c>
      <c r="B14" s="528" t="inlineStr">
        <is>
          <t>a</t>
        </is>
      </c>
      <c r="C14" s="529" t="n">
        <v>2</v>
      </c>
      <c r="D14" s="524">
        <f>CONCATENATE(A$3,"_",A14,"_",B14,"_",C14)</f>
        <v/>
      </c>
      <c r="E14" s="530" t="inlineStr">
        <is>
          <t>Zdefiniowanie parametrów wyjściowych</t>
        </is>
      </c>
      <c r="F14" s="528" t="n"/>
      <c r="G14" s="528" t="n"/>
      <c r="H14" s="45" t="n">
        <v>3</v>
      </c>
      <c r="I14" s="46" t="inlineStr">
        <is>
          <t>ACT/END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 t="n">
        <v>1</v>
      </c>
      <c r="O14" s="45" t="n">
        <v>80</v>
      </c>
      <c r="P14" s="187" t="n"/>
      <c r="Q14" s="187" t="n"/>
      <c r="R14" s="187" t="n"/>
      <c r="S14" s="187" t="n"/>
      <c r="T14" s="187" t="n">
        <v>0</v>
      </c>
      <c r="U14" s="187" t="n">
        <v>0.5</v>
      </c>
      <c r="V14" s="187" t="n">
        <v>0</v>
      </c>
      <c r="W14" s="187" t="n">
        <v>0</v>
      </c>
      <c r="X14" s="187" t="n">
        <v>0</v>
      </c>
      <c r="Y14" s="188" t="n">
        <v>0</v>
      </c>
      <c r="Z14" s="188" t="n">
        <v>0.5</v>
      </c>
      <c r="AA14" s="188" t="n">
        <v>0</v>
      </c>
      <c r="AB14" s="188" t="n">
        <v>0</v>
      </c>
      <c r="AC14" s="305" t="n"/>
      <c r="AD14" s="305" t="n"/>
      <c r="AE14" s="305" t="n"/>
      <c r="AF14" s="305" t="n"/>
      <c r="AG14" s="192">
        <f>ROUND($O14*P14,0)</f>
        <v/>
      </c>
      <c r="AH14" s="192">
        <f>ROUND($O14*Q14,0)</f>
        <v/>
      </c>
      <c r="AI14" s="192">
        <f>ROUND($O14*R14,0)</f>
        <v/>
      </c>
      <c r="AJ14" s="192">
        <f>ROUND($O14*S14,0)</f>
        <v/>
      </c>
      <c r="AK14" s="192">
        <f>ROUND($O14*T14,0)</f>
        <v/>
      </c>
      <c r="AL14" s="192">
        <f>ROUND($O14*U14,0)</f>
        <v/>
      </c>
      <c r="AM14" s="192">
        <f>ROUND($O14*V14,0)</f>
        <v/>
      </c>
      <c r="AN14" s="192">
        <f>ROUND($O14*W14,0)</f>
        <v/>
      </c>
      <c r="AO14" s="192">
        <f>ROUND($O14*X14,0)</f>
        <v/>
      </c>
      <c r="AP14" s="193">
        <f>ROUND($O14*Y14,0)</f>
        <v/>
      </c>
      <c r="AQ14" s="193">
        <f>ROUND($O14*Z14,0)</f>
        <v/>
      </c>
      <c r="AR14" s="193">
        <f>ROUND($O14*AA14,0)</f>
        <v/>
      </c>
      <c r="AS14" s="193">
        <f>ROUND($O14*AB14,0)</f>
        <v/>
      </c>
      <c r="AT14" s="306">
        <f>ROUND($O14*AC14,0)</f>
        <v/>
      </c>
      <c r="AU14" s="306">
        <f>ROUND($O14*AD14,0)</f>
        <v/>
      </c>
      <c r="AV14" s="306">
        <f>ROUND($O14*AE14,0)</f>
        <v/>
      </c>
      <c r="AW14" s="306">
        <f>ROUND($O14*AF14,0)</f>
        <v/>
      </c>
      <c r="AX14" s="528" t="n"/>
      <c r="AY14" s="21" t="n"/>
      <c r="AZ14" s="528" t="n"/>
      <c r="BA14" s="528" t="n"/>
      <c r="BB14" s="21" t="n"/>
      <c r="BC14" s="528" t="n"/>
      <c r="BD14" s="528" t="n"/>
      <c r="BE14" s="528" t="n"/>
      <c r="BF14" s="528" t="n"/>
      <c r="BG14" s="528" t="n"/>
      <c r="BH14" s="528" t="n"/>
      <c r="BI14" s="21" t="n"/>
      <c r="BJ14" s="528" t="n"/>
      <c r="BK14" s="528" t="n"/>
      <c r="BL14" s="21" t="n"/>
      <c r="BM14" s="528" t="n"/>
      <c r="BN14" s="528" t="n"/>
      <c r="BO14" s="21" t="n"/>
      <c r="BP14" s="528" t="n"/>
      <c r="BQ14" s="528" t="n"/>
      <c r="BR14" s="21" t="n"/>
      <c r="BS14" s="21" t="n"/>
      <c r="BT14" s="528" t="n"/>
      <c r="BU14" s="528" t="n"/>
      <c r="BV14" s="528" t="n"/>
      <c r="BW14" s="21" t="n"/>
      <c r="BX14" s="528" t="n"/>
      <c r="BY14" s="528" t="n"/>
      <c r="BZ14" s="528" t="n"/>
      <c r="CA14" s="21" t="n"/>
      <c r="CB14" s="528" t="n"/>
      <c r="CC14" s="528" t="n"/>
      <c r="CD14" s="528" t="n"/>
      <c r="CE14" s="21" t="n"/>
    </row>
    <row r="15" ht="15" customFormat="1" customHeight="1" s="525">
      <c r="A15" s="46" t="n">
        <v>2</v>
      </c>
      <c r="B15" s="528" t="inlineStr">
        <is>
          <t>a</t>
        </is>
      </c>
      <c r="C15" s="529" t="n">
        <v>3</v>
      </c>
      <c r="D15" s="524">
        <f>CONCATENATE(A$3,"_",A15,"_",B15,"_",C15)</f>
        <v/>
      </c>
      <c r="E15" s="530" t="inlineStr">
        <is>
          <t>Badania eksploracyjne dostepnych danych</t>
        </is>
      </c>
      <c r="F15" s="528" t="n"/>
      <c r="G15" s="528" t="n"/>
      <c r="H15" s="39" t="n">
        <v>3</v>
      </c>
      <c r="I15" s="46" t="inlineStr">
        <is>
          <t>ACT/END</t>
        </is>
      </c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 t="n">
        <v>1</v>
      </c>
      <c r="O15" s="45" t="n">
        <v>160</v>
      </c>
      <c r="P15" s="187" t="n"/>
      <c r="Q15" s="187" t="n"/>
      <c r="R15" s="187" t="n"/>
      <c r="S15" s="187" t="n"/>
      <c r="T15" s="187" t="n">
        <v>0.25</v>
      </c>
      <c r="U15" s="187" t="n">
        <v>0</v>
      </c>
      <c r="V15" s="187" t="n">
        <v>0.25</v>
      </c>
      <c r="W15" s="187" t="n">
        <v>0</v>
      </c>
      <c r="X15" s="187" t="n">
        <v>0</v>
      </c>
      <c r="Y15" s="188" t="n">
        <v>0</v>
      </c>
      <c r="Z15" s="188" t="n">
        <v>0</v>
      </c>
      <c r="AA15" s="188" t="n">
        <v>0.5</v>
      </c>
      <c r="AB15" s="188" t="n">
        <v>0</v>
      </c>
      <c r="AC15" s="305" t="n"/>
      <c r="AD15" s="305" t="n"/>
      <c r="AE15" s="305" t="n"/>
      <c r="AF15" s="305" t="n"/>
      <c r="AG15" s="192">
        <f>ROUND($O15*P15,0)</f>
        <v/>
      </c>
      <c r="AH15" s="192">
        <f>ROUND($O15*Q15,0)</f>
        <v/>
      </c>
      <c r="AI15" s="192">
        <f>ROUND($O15*R15,0)</f>
        <v/>
      </c>
      <c r="AJ15" s="192">
        <f>ROUND($O15*S15,0)</f>
        <v/>
      </c>
      <c r="AK15" s="192">
        <f>ROUND($O15*T15,0)</f>
        <v/>
      </c>
      <c r="AL15" s="192">
        <f>ROUND($O15*U15,0)</f>
        <v/>
      </c>
      <c r="AM15" s="192">
        <f>ROUND($O15*V15,0)</f>
        <v/>
      </c>
      <c r="AN15" s="192">
        <f>ROUND($O15*W15,0)</f>
        <v/>
      </c>
      <c r="AO15" s="192">
        <f>ROUND($O15*X15,0)</f>
        <v/>
      </c>
      <c r="AP15" s="193">
        <f>ROUND($O15*Y15,0)</f>
        <v/>
      </c>
      <c r="AQ15" s="193">
        <f>ROUND($O15*Z15,0)</f>
        <v/>
      </c>
      <c r="AR15" s="193">
        <f>ROUND($O15*AA15,0)</f>
        <v/>
      </c>
      <c r="AS15" s="193">
        <f>ROUND($O15*AB15,0)</f>
        <v/>
      </c>
      <c r="AT15" s="306">
        <f>ROUND($O15*AC15,0)</f>
        <v/>
      </c>
      <c r="AU15" s="306">
        <f>ROUND($O15*AD15,0)</f>
        <v/>
      </c>
      <c r="AV15" s="306">
        <f>ROUND($O15*AE15,0)</f>
        <v/>
      </c>
      <c r="AW15" s="306">
        <f>ROUND($O15*AF15,0)</f>
        <v/>
      </c>
      <c r="AX15" s="528" t="n"/>
      <c r="AY15" s="21" t="n"/>
      <c r="AZ15" s="528" t="n"/>
      <c r="BA15" s="528" t="n"/>
      <c r="BB15" s="21" t="n"/>
      <c r="BC15" s="528" t="n"/>
      <c r="BD15" s="528" t="n"/>
      <c r="BE15" s="528" t="n"/>
      <c r="BF15" s="528" t="n"/>
      <c r="BG15" s="528" t="n"/>
      <c r="BH15" s="528" t="n"/>
      <c r="BI15" s="21" t="n"/>
      <c r="BJ15" s="528" t="n"/>
      <c r="BK15" s="528" t="n"/>
      <c r="BL15" s="21" t="n"/>
      <c r="BM15" s="528" t="n"/>
      <c r="BN15" s="528" t="n"/>
      <c r="BO15" s="21" t="n"/>
      <c r="BP15" s="528" t="n"/>
      <c r="BQ15" s="528" t="n"/>
      <c r="BR15" s="21" t="n"/>
      <c r="BS15" s="21" t="n"/>
      <c r="BT15" s="528" t="n"/>
      <c r="BU15" s="528" t="n"/>
      <c r="BV15" s="528" t="n"/>
      <c r="BW15" s="21" t="n"/>
      <c r="BX15" s="528" t="n"/>
      <c r="BY15" s="528" t="n"/>
      <c r="BZ15" s="528" t="n"/>
      <c r="CA15" s="21" t="n"/>
      <c r="CB15" s="528" t="n"/>
      <c r="CC15" s="528" t="n"/>
      <c r="CD15" s="528" t="n"/>
      <c r="CE15" s="21" t="n"/>
    </row>
    <row r="16" ht="28.8" customFormat="1" customHeight="1" s="525">
      <c r="A16" s="46" t="n">
        <v>2</v>
      </c>
      <c r="B16" s="528" t="inlineStr">
        <is>
          <t>a</t>
        </is>
      </c>
      <c r="C16" s="529" t="n">
        <v>4</v>
      </c>
      <c r="D16" s="524">
        <f>CONCATENATE(A$3,"_",A16,"_",B16,"_",C16)</f>
        <v/>
      </c>
      <c r="E16" s="530" t="inlineStr">
        <is>
          <t>Analiza jakościowa danych/określenie jakości danych</t>
        </is>
      </c>
      <c r="F16" s="528" t="n"/>
      <c r="G16" s="528" t="n"/>
      <c r="H16" s="39" t="n">
        <v>3</v>
      </c>
      <c r="I16" s="46" t="inlineStr">
        <is>
          <t>ACT/END</t>
        </is>
      </c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4" t="n">
        <v>1</v>
      </c>
      <c r="O16" s="45" t="n">
        <v>160</v>
      </c>
      <c r="P16" s="187" t="n"/>
      <c r="Q16" s="187" t="n"/>
      <c r="R16" s="187" t="n"/>
      <c r="S16" s="187" t="n"/>
      <c r="T16" s="187" t="n">
        <v>0</v>
      </c>
      <c r="U16" s="187" t="n">
        <v>0.25</v>
      </c>
      <c r="V16" s="187" t="n">
        <v>0</v>
      </c>
      <c r="W16" s="187" t="n">
        <v>0.25</v>
      </c>
      <c r="X16" s="187" t="n">
        <v>0.25</v>
      </c>
      <c r="Y16" s="188" t="n">
        <v>0.25</v>
      </c>
      <c r="Z16" s="188" t="n">
        <v>0</v>
      </c>
      <c r="AA16" s="188" t="n">
        <v>0</v>
      </c>
      <c r="AB16" s="188" t="n">
        <v>0</v>
      </c>
      <c r="AC16" s="305" t="n"/>
      <c r="AD16" s="305" t="n"/>
      <c r="AE16" s="305" t="n"/>
      <c r="AF16" s="305" t="n"/>
      <c r="AG16" s="192">
        <f>ROUND($O16*P16,0)</f>
        <v/>
      </c>
      <c r="AH16" s="192">
        <f>ROUND($O16*Q16,0)</f>
        <v/>
      </c>
      <c r="AI16" s="192">
        <f>ROUND($O16*R16,0)</f>
        <v/>
      </c>
      <c r="AJ16" s="192">
        <f>ROUND($O16*S16,0)</f>
        <v/>
      </c>
      <c r="AK16" s="192">
        <f>ROUND($O16*T16,0)</f>
        <v/>
      </c>
      <c r="AL16" s="192">
        <f>ROUND($O16*U16,0)</f>
        <v/>
      </c>
      <c r="AM16" s="192">
        <f>ROUND($O16*V16,0)</f>
        <v/>
      </c>
      <c r="AN16" s="192">
        <f>ROUND($O16*W16,0)</f>
        <v/>
      </c>
      <c r="AO16" s="192">
        <f>ROUND($O16*X16,0)</f>
        <v/>
      </c>
      <c r="AP16" s="193">
        <f>ROUND($O16*Y16,0)</f>
        <v/>
      </c>
      <c r="AQ16" s="193">
        <f>ROUND($O16*Z16,0)</f>
        <v/>
      </c>
      <c r="AR16" s="193">
        <f>ROUND($O16*AA16,0)</f>
        <v/>
      </c>
      <c r="AS16" s="193">
        <f>ROUND($O16*AB16,0)</f>
        <v/>
      </c>
      <c r="AT16" s="306">
        <f>ROUND($O16*AC16,0)</f>
        <v/>
      </c>
      <c r="AU16" s="306">
        <f>ROUND($O16*AD16,0)</f>
        <v/>
      </c>
      <c r="AV16" s="306">
        <f>ROUND($O16*AE16,0)</f>
        <v/>
      </c>
      <c r="AW16" s="306">
        <f>ROUND($O16*AF16,0)</f>
        <v/>
      </c>
      <c r="AX16" s="528" t="n"/>
      <c r="AY16" s="21" t="n"/>
      <c r="AZ16" s="528" t="n"/>
      <c r="BA16" s="528" t="n"/>
      <c r="BB16" s="21" t="n"/>
      <c r="BC16" s="528" t="n"/>
      <c r="BD16" s="528" t="n"/>
      <c r="BE16" s="528" t="n"/>
      <c r="BF16" s="528" t="n"/>
      <c r="BG16" s="528" t="n"/>
      <c r="BH16" s="528" t="n"/>
      <c r="BI16" s="21" t="n"/>
      <c r="BJ16" s="528" t="n"/>
      <c r="BK16" s="528" t="n"/>
      <c r="BL16" s="21" t="n"/>
      <c r="BM16" s="528" t="n"/>
      <c r="BN16" s="528" t="n"/>
      <c r="BO16" s="21" t="n"/>
      <c r="BP16" s="528" t="n"/>
      <c r="BQ16" s="528" t="n"/>
      <c r="BR16" s="21" t="n"/>
      <c r="BS16" s="21" t="n"/>
      <c r="BT16" s="528" t="n"/>
      <c r="BU16" s="528" t="n"/>
      <c r="BV16" s="528" t="n"/>
      <c r="BW16" s="21" t="n"/>
      <c r="BX16" s="528" t="n"/>
      <c r="BY16" s="528" t="n"/>
      <c r="BZ16" s="528" t="n"/>
      <c r="CA16" s="21" t="n"/>
      <c r="CB16" s="528" t="n"/>
      <c r="CC16" s="528" t="n"/>
      <c r="CD16" s="528" t="n"/>
      <c r="CE16" s="21" t="n"/>
    </row>
    <row r="17" ht="15" customFormat="1" customHeight="1" s="525">
      <c r="A17" s="46" t="n">
        <v>2</v>
      </c>
      <c r="B17" s="528" t="inlineStr">
        <is>
          <t>a</t>
        </is>
      </c>
      <c r="C17" s="529" t="n">
        <v>5</v>
      </c>
      <c r="D17" s="524">
        <f>CONCATENATE(A$3,"_",A17,"_",B17,"_",C17)</f>
        <v/>
      </c>
      <c r="E17" s="530" t="inlineStr">
        <is>
          <t xml:space="preserve">Zdefiniowanie relacji i korelacji  danych </t>
        </is>
      </c>
      <c r="F17" s="528" t="n"/>
      <c r="G17" s="528" t="n"/>
      <c r="H17" s="39" t="n">
        <v>4</v>
      </c>
      <c r="I17" s="46" t="inlineStr">
        <is>
          <t>ACT/END</t>
        </is>
      </c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 t="n">
        <v>1</v>
      </c>
      <c r="O17" s="45" t="n">
        <v>160</v>
      </c>
      <c r="P17" s="187" t="n"/>
      <c r="Q17" s="187" t="n"/>
      <c r="R17" s="187" t="n"/>
      <c r="S17" s="187" t="n"/>
      <c r="T17" s="187" t="n">
        <v>0</v>
      </c>
      <c r="U17" s="187" t="n">
        <v>0.25</v>
      </c>
      <c r="V17" s="187" t="n">
        <v>0</v>
      </c>
      <c r="W17" s="187" t="n">
        <v>0.25</v>
      </c>
      <c r="X17" s="187" t="n">
        <v>0.25</v>
      </c>
      <c r="Y17" s="188" t="n">
        <v>0</v>
      </c>
      <c r="Z17" s="188" t="n">
        <v>0.25</v>
      </c>
      <c r="AA17" s="188" t="n">
        <v>0</v>
      </c>
      <c r="AB17" s="188" t="n">
        <v>0</v>
      </c>
      <c r="AC17" s="305" t="n"/>
      <c r="AD17" s="305" t="n"/>
      <c r="AE17" s="305" t="n"/>
      <c r="AF17" s="305" t="n"/>
      <c r="AG17" s="192">
        <f>ROUND($O17*P17,0)</f>
        <v/>
      </c>
      <c r="AH17" s="192">
        <f>ROUND($O17*Q17,0)</f>
        <v/>
      </c>
      <c r="AI17" s="192">
        <f>ROUND($O17*R17,0)</f>
        <v/>
      </c>
      <c r="AJ17" s="192">
        <f>ROUND($O17*S17,0)</f>
        <v/>
      </c>
      <c r="AK17" s="192">
        <f>ROUND($O17*T17,0)</f>
        <v/>
      </c>
      <c r="AL17" s="192">
        <f>ROUND($O17*U17,0)</f>
        <v/>
      </c>
      <c r="AM17" s="192">
        <f>ROUND($O17*V17,0)</f>
        <v/>
      </c>
      <c r="AN17" s="192">
        <f>ROUND($O17*W17,0)</f>
        <v/>
      </c>
      <c r="AO17" s="192">
        <f>ROUND($O17*X17,0)</f>
        <v/>
      </c>
      <c r="AP17" s="193">
        <f>ROUND($O17*Y17,0)</f>
        <v/>
      </c>
      <c r="AQ17" s="193">
        <f>ROUND($O17*Z17,0)</f>
        <v/>
      </c>
      <c r="AR17" s="193">
        <f>ROUND($O17*AA17,0)</f>
        <v/>
      </c>
      <c r="AS17" s="193">
        <f>ROUND($O17*AB17,0)</f>
        <v/>
      </c>
      <c r="AT17" s="306">
        <f>ROUND($O17*AC17,0)</f>
        <v/>
      </c>
      <c r="AU17" s="306">
        <f>ROUND($O17*AD17,0)</f>
        <v/>
      </c>
      <c r="AV17" s="306">
        <f>ROUND($O17*AE17,0)</f>
        <v/>
      </c>
      <c r="AW17" s="306">
        <f>ROUND($O17*AF17,0)</f>
        <v/>
      </c>
      <c r="AX17" s="528" t="n"/>
      <c r="AY17" s="21" t="n"/>
      <c r="AZ17" s="528" t="n"/>
      <c r="BA17" s="528" t="n"/>
      <c r="BB17" s="21" t="n"/>
      <c r="BC17" s="528" t="n"/>
      <c r="BD17" s="528" t="n"/>
      <c r="BE17" s="528" t="n"/>
      <c r="BF17" s="528" t="n"/>
      <c r="BG17" s="528" t="n"/>
      <c r="BH17" s="528" t="n"/>
      <c r="BI17" s="21" t="n"/>
      <c r="BJ17" s="528" t="n"/>
      <c r="BK17" s="528" t="n"/>
      <c r="BL17" s="21" t="n"/>
      <c r="BM17" s="528" t="n"/>
      <c r="BN17" s="528" t="n"/>
      <c r="BO17" s="21" t="n"/>
      <c r="BP17" s="528" t="n"/>
      <c r="BQ17" s="528" t="n"/>
      <c r="BR17" s="21" t="n"/>
      <c r="BS17" s="21" t="n"/>
      <c r="BT17" s="528" t="n"/>
      <c r="BU17" s="528" t="n"/>
      <c r="BV17" s="528" t="n"/>
      <c r="BW17" s="21" t="n"/>
      <c r="BX17" s="528" t="n"/>
      <c r="BY17" s="528" t="n"/>
      <c r="BZ17" s="528" t="n"/>
      <c r="CA17" s="21" t="n"/>
      <c r="CB17" s="528" t="n"/>
      <c r="CC17" s="528" t="n"/>
      <c r="CD17" s="528" t="n"/>
      <c r="CE17" s="21" t="n"/>
    </row>
    <row r="18" ht="15" customFormat="1" customHeight="1" s="525">
      <c r="A18" s="46" t="n">
        <v>2</v>
      </c>
      <c r="B18" s="528" t="inlineStr">
        <is>
          <t>a</t>
        </is>
      </c>
      <c r="C18" s="529" t="n">
        <v>6</v>
      </c>
      <c r="D18" s="524">
        <f>CONCATENATE(A$3,"_",A18,"_",B18,"_",C18)</f>
        <v/>
      </c>
      <c r="E18" s="530" t="inlineStr">
        <is>
          <t>Wybór danych do procesu tworzenia modelu</t>
        </is>
      </c>
      <c r="F18" s="528" t="n"/>
      <c r="G18" s="528" t="n"/>
      <c r="H18" s="39" t="n">
        <v>4</v>
      </c>
      <c r="I18" s="46" t="inlineStr">
        <is>
          <t>ACT/END</t>
        </is>
      </c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4" t="n">
        <v>2</v>
      </c>
      <c r="O18" s="45" t="n">
        <v>160</v>
      </c>
      <c r="P18" s="187" t="n"/>
      <c r="Q18" s="187" t="n"/>
      <c r="R18" s="187" t="n"/>
      <c r="S18" s="187" t="n"/>
      <c r="T18" s="187" t="n">
        <v>0.5</v>
      </c>
      <c r="U18" s="187" t="n">
        <v>0</v>
      </c>
      <c r="V18" s="187" t="n">
        <v>0.25</v>
      </c>
      <c r="W18" s="187" t="n">
        <v>0</v>
      </c>
      <c r="X18" s="187" t="n">
        <v>0</v>
      </c>
      <c r="Y18" s="188" t="n">
        <v>0.25</v>
      </c>
      <c r="Z18" s="188" t="n">
        <v>0</v>
      </c>
      <c r="AA18" s="188" t="n">
        <v>0</v>
      </c>
      <c r="AB18" s="188" t="n">
        <v>0</v>
      </c>
      <c r="AC18" s="305" t="n"/>
      <c r="AD18" s="305" t="n"/>
      <c r="AE18" s="305" t="n"/>
      <c r="AF18" s="305" t="n"/>
      <c r="AG18" s="192">
        <f>ROUND($O18*P18,0)</f>
        <v/>
      </c>
      <c r="AH18" s="192">
        <f>ROUND($O18*Q18,0)</f>
        <v/>
      </c>
      <c r="AI18" s="192">
        <f>ROUND($O18*R18,0)</f>
        <v/>
      </c>
      <c r="AJ18" s="192">
        <f>ROUND($O18*S18,0)</f>
        <v/>
      </c>
      <c r="AK18" s="192">
        <f>ROUND($O18*T18,0)</f>
        <v/>
      </c>
      <c r="AL18" s="192">
        <f>ROUND($O18*U18,0)</f>
        <v/>
      </c>
      <c r="AM18" s="192">
        <f>ROUND($O18*V18,0)</f>
        <v/>
      </c>
      <c r="AN18" s="192">
        <f>ROUND($O18*W18,0)</f>
        <v/>
      </c>
      <c r="AO18" s="192">
        <f>ROUND($O18*X18,0)</f>
        <v/>
      </c>
      <c r="AP18" s="193">
        <f>ROUND($O18*Y18,0)</f>
        <v/>
      </c>
      <c r="AQ18" s="193">
        <f>ROUND($O18*Z18,0)</f>
        <v/>
      </c>
      <c r="AR18" s="193">
        <f>ROUND($O18*AA18,0)</f>
        <v/>
      </c>
      <c r="AS18" s="193">
        <f>ROUND($O18*AB18,0)</f>
        <v/>
      </c>
      <c r="AT18" s="306">
        <f>ROUND($O18*AC18,0)</f>
        <v/>
      </c>
      <c r="AU18" s="306">
        <f>ROUND($O18*AD18,0)</f>
        <v/>
      </c>
      <c r="AV18" s="306">
        <f>ROUND($O18*AE18,0)</f>
        <v/>
      </c>
      <c r="AW18" s="306">
        <f>ROUND($O18*AF18,0)</f>
        <v/>
      </c>
      <c r="AX18" s="528" t="n"/>
      <c r="AY18" s="21" t="n"/>
      <c r="AZ18" s="528" t="n"/>
      <c r="BA18" s="528" t="n"/>
      <c r="BB18" s="21" t="n"/>
      <c r="BC18" s="528" t="n"/>
      <c r="BD18" s="528" t="n"/>
      <c r="BE18" s="528" t="n"/>
      <c r="BF18" s="528" t="n"/>
      <c r="BG18" s="528" t="n"/>
      <c r="BH18" s="528" t="n"/>
      <c r="BI18" s="21" t="n"/>
      <c r="BJ18" s="528" t="n"/>
      <c r="BK18" s="528" t="n"/>
      <c r="BL18" s="21" t="n"/>
      <c r="BM18" s="528" t="n"/>
      <c r="BN18" s="528" t="n"/>
      <c r="BO18" s="21" t="n"/>
      <c r="BP18" s="528" t="n"/>
      <c r="BQ18" s="528" t="n"/>
      <c r="BR18" s="21" t="n"/>
      <c r="BS18" s="21" t="n"/>
      <c r="BT18" s="528" t="n"/>
      <c r="BU18" s="528" t="n"/>
      <c r="BV18" s="528" t="n"/>
      <c r="BW18" s="21" t="n"/>
      <c r="BX18" s="528" t="n"/>
      <c r="BY18" s="528" t="n"/>
      <c r="BZ18" s="528" t="n"/>
      <c r="CA18" s="21" t="n"/>
      <c r="CB18" s="528" t="n"/>
      <c r="CC18" s="528" t="n"/>
      <c r="CD18" s="528" t="n"/>
      <c r="CE18" s="21" t="n"/>
    </row>
    <row r="19" ht="15.6" customFormat="1" customHeight="1" s="525">
      <c r="A19" s="46" t="n">
        <v>2</v>
      </c>
      <c r="B19" s="528" t="inlineStr">
        <is>
          <t>a</t>
        </is>
      </c>
      <c r="C19" s="529" t="n">
        <v>7</v>
      </c>
      <c r="D19" s="524">
        <f>CONCATENATE(A$3,"_",A19,"_",B19,"_",C19)</f>
        <v/>
      </c>
      <c r="E19" s="530" t="inlineStr">
        <is>
          <t>Wybór danych do procesu ewaluacji modelu</t>
        </is>
      </c>
      <c r="F19" s="528" t="n"/>
      <c r="G19" s="528" t="n"/>
      <c r="H19" s="39" t="n">
        <v>4</v>
      </c>
      <c r="I19" s="46" t="inlineStr">
        <is>
          <t>ACT/END</t>
        </is>
      </c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 t="n">
        <v>1</v>
      </c>
      <c r="O19" s="45" t="n">
        <v>160</v>
      </c>
      <c r="P19" s="187" t="n"/>
      <c r="Q19" s="187" t="n"/>
      <c r="R19" s="187" t="n"/>
      <c r="S19" s="187" t="n"/>
      <c r="T19" s="187" t="n">
        <v>0</v>
      </c>
      <c r="U19" s="187" t="n">
        <v>0.25</v>
      </c>
      <c r="V19" s="187" t="n">
        <v>0.25</v>
      </c>
      <c r="W19" s="187" t="n">
        <v>0</v>
      </c>
      <c r="X19" s="187" t="n">
        <v>0.25</v>
      </c>
      <c r="Y19" s="188" t="n">
        <v>0</v>
      </c>
      <c r="Z19" s="188" t="n">
        <v>0.25</v>
      </c>
      <c r="AA19" s="188" t="n">
        <v>0</v>
      </c>
      <c r="AB19" s="188" t="n">
        <v>0</v>
      </c>
      <c r="AC19" s="305" t="n"/>
      <c r="AD19" s="305" t="n"/>
      <c r="AE19" s="305" t="n"/>
      <c r="AF19" s="305" t="n"/>
      <c r="AG19" s="192">
        <f>ROUND($O19*P19,0)</f>
        <v/>
      </c>
      <c r="AH19" s="192">
        <f>ROUND($O19*Q19,0)</f>
        <v/>
      </c>
      <c r="AI19" s="192">
        <f>ROUND($O19*R19,0)</f>
        <v/>
      </c>
      <c r="AJ19" s="192">
        <f>ROUND($O19*S19,0)</f>
        <v/>
      </c>
      <c r="AK19" s="192">
        <f>ROUND($O19*T19,0)</f>
        <v/>
      </c>
      <c r="AL19" s="192">
        <f>ROUND($O19*U19,0)</f>
        <v/>
      </c>
      <c r="AM19" s="192">
        <f>ROUND($O19*V19,0)</f>
        <v/>
      </c>
      <c r="AN19" s="192">
        <f>ROUND($O19*W19,0)</f>
        <v/>
      </c>
      <c r="AO19" s="192">
        <f>ROUND($O19*X19,0)</f>
        <v/>
      </c>
      <c r="AP19" s="193">
        <f>ROUND($O19*Y19,0)</f>
        <v/>
      </c>
      <c r="AQ19" s="193">
        <f>ROUND($O19*Z19,0)</f>
        <v/>
      </c>
      <c r="AR19" s="193">
        <f>ROUND($O19*AA19,0)</f>
        <v/>
      </c>
      <c r="AS19" s="193">
        <f>ROUND($O19*AB19,0)</f>
        <v/>
      </c>
      <c r="AT19" s="306">
        <f>ROUND($O19*AC19,0)</f>
        <v/>
      </c>
      <c r="AU19" s="306">
        <f>ROUND($O19*AD19,0)</f>
        <v/>
      </c>
      <c r="AV19" s="306">
        <f>ROUND($O19*AE19,0)</f>
        <v/>
      </c>
      <c r="AW19" s="306">
        <f>ROUND($O19*AF19,0)</f>
        <v/>
      </c>
      <c r="AX19" s="528" t="n"/>
      <c r="AY19" s="21" t="n"/>
      <c r="AZ19" s="528" t="n"/>
      <c r="BA19" s="528" t="n"/>
      <c r="BB19" s="21" t="n"/>
      <c r="BC19" s="528" t="n"/>
      <c r="BD19" s="528" t="n"/>
      <c r="BE19" s="528" t="n"/>
      <c r="BF19" s="528" t="n"/>
      <c r="BG19" s="528" t="n"/>
      <c r="BH19" s="528" t="n"/>
      <c r="BI19" s="21" t="n"/>
      <c r="BJ19" s="528" t="n"/>
      <c r="BK19" s="528" t="n"/>
      <c r="BL19" s="21" t="n"/>
      <c r="BM19" s="528" t="n"/>
      <c r="BN19" s="528" t="n"/>
      <c r="BO19" s="21" t="n"/>
      <c r="BP19" s="528" t="n"/>
      <c r="BQ19" s="528" t="n"/>
      <c r="BR19" s="21" t="n"/>
      <c r="BS19" s="21" t="n"/>
      <c r="BT19" s="528" t="n"/>
      <c r="BU19" s="528" t="n"/>
      <c r="BV19" s="528" t="n"/>
      <c r="BW19" s="21" t="n"/>
      <c r="BX19" s="528" t="n"/>
      <c r="BY19" s="528" t="n"/>
      <c r="BZ19" s="528" t="n"/>
      <c r="CA19" s="21" t="n"/>
      <c r="CB19" s="528" t="n"/>
      <c r="CC19" s="528" t="n"/>
      <c r="CD19" s="528" t="n"/>
      <c r="CE19" s="21" t="n"/>
    </row>
    <row r="20" ht="28.8" customFormat="1" customHeight="1" s="525">
      <c r="A20" s="46" t="n">
        <v>2</v>
      </c>
      <c r="B20" s="528" t="inlineStr">
        <is>
          <t>a</t>
        </is>
      </c>
      <c r="C20" s="529" t="n">
        <v>8</v>
      </c>
      <c r="D20" s="524">
        <f>CONCATENATE(A$3,"_",A20,"_",B20,"_",C20)</f>
        <v/>
      </c>
      <c r="E20" s="530" t="inlineStr">
        <is>
          <t>Modelowanie i przekształenie danych na potrzeby tworzenia modeli</t>
        </is>
      </c>
      <c r="F20" s="528" t="n"/>
      <c r="G20" s="528" t="n"/>
      <c r="H20" s="39" t="n">
        <v>5</v>
      </c>
      <c r="I20" s="46" t="inlineStr">
        <is>
          <t>ACT/END</t>
        </is>
      </c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4" t="n">
        <v>1</v>
      </c>
      <c r="O20" s="45" t="n">
        <v>80</v>
      </c>
      <c r="P20" s="187" t="n"/>
      <c r="Q20" s="187" t="n"/>
      <c r="R20" s="187" t="n"/>
      <c r="S20" s="187" t="n"/>
      <c r="T20" s="187" t="n">
        <v>0</v>
      </c>
      <c r="U20" s="187" t="n">
        <v>0</v>
      </c>
      <c r="V20" s="187" t="n">
        <v>0.5</v>
      </c>
      <c r="W20" s="187" t="n">
        <v>0</v>
      </c>
      <c r="X20" s="187" t="n">
        <v>0</v>
      </c>
      <c r="Y20" s="188" t="n">
        <v>0</v>
      </c>
      <c r="Z20" s="188" t="n">
        <v>0</v>
      </c>
      <c r="AA20" s="188" t="n">
        <v>0.5</v>
      </c>
      <c r="AB20" s="188" t="n">
        <v>0</v>
      </c>
      <c r="AC20" s="305" t="n"/>
      <c r="AD20" s="305" t="n"/>
      <c r="AE20" s="305" t="n"/>
      <c r="AF20" s="305" t="n"/>
      <c r="AG20" s="192">
        <f>ROUND($O20*P20,0)</f>
        <v/>
      </c>
      <c r="AH20" s="192">
        <f>ROUND($O20*Q20,0)</f>
        <v/>
      </c>
      <c r="AI20" s="192">
        <f>ROUND($O20*R20,0)</f>
        <v/>
      </c>
      <c r="AJ20" s="192">
        <f>ROUND($O20*S20,0)</f>
        <v/>
      </c>
      <c r="AK20" s="192">
        <f>ROUND($O20*T20,0)</f>
        <v/>
      </c>
      <c r="AL20" s="192">
        <f>ROUND($O20*U20,0)</f>
        <v/>
      </c>
      <c r="AM20" s="192">
        <f>ROUND($O20*V20,0)</f>
        <v/>
      </c>
      <c r="AN20" s="192">
        <f>ROUND($O20*W20,0)</f>
        <v/>
      </c>
      <c r="AO20" s="192">
        <f>ROUND($O20*X20,0)</f>
        <v/>
      </c>
      <c r="AP20" s="193">
        <f>ROUND($O20*Y20,0)</f>
        <v/>
      </c>
      <c r="AQ20" s="193">
        <f>ROUND($O20*Z20,0)</f>
        <v/>
      </c>
      <c r="AR20" s="193">
        <f>ROUND($O20*AA20,0)</f>
        <v/>
      </c>
      <c r="AS20" s="193">
        <f>ROUND($O20*AB20,0)</f>
        <v/>
      </c>
      <c r="AT20" s="306">
        <f>ROUND($O20*AC20,0)</f>
        <v/>
      </c>
      <c r="AU20" s="306">
        <f>ROUND($O20*AD20,0)</f>
        <v/>
      </c>
      <c r="AV20" s="306">
        <f>ROUND($O20*AE20,0)</f>
        <v/>
      </c>
      <c r="AW20" s="306">
        <f>ROUND($O20*AF20,0)</f>
        <v/>
      </c>
      <c r="AX20" s="528" t="n"/>
      <c r="AY20" s="21" t="n"/>
      <c r="AZ20" s="528" t="n"/>
      <c r="BA20" s="528" t="n"/>
      <c r="BB20" s="21" t="n"/>
      <c r="BC20" s="528" t="n"/>
      <c r="BD20" s="528" t="n"/>
      <c r="BE20" s="528" t="n"/>
      <c r="BF20" s="528" t="n"/>
      <c r="BG20" s="528" t="n"/>
      <c r="BH20" s="528" t="n"/>
      <c r="BI20" s="21" t="n"/>
      <c r="BJ20" s="528" t="n"/>
      <c r="BK20" s="528" t="n"/>
      <c r="BL20" s="21" t="n"/>
      <c r="BM20" s="528" t="n"/>
      <c r="BN20" s="528" t="n"/>
      <c r="BO20" s="21" t="n"/>
      <c r="BP20" s="528" t="n"/>
      <c r="BQ20" s="528" t="n"/>
      <c r="BR20" s="21" t="n"/>
      <c r="BS20" s="21" t="n"/>
      <c r="BT20" s="528" t="n"/>
      <c r="BU20" s="528" t="n"/>
      <c r="BV20" s="528" t="n"/>
      <c r="BW20" s="21" t="n"/>
      <c r="BX20" s="528" t="n"/>
      <c r="BY20" s="528" t="n"/>
      <c r="BZ20" s="528" t="n"/>
      <c r="CA20" s="21" t="n"/>
      <c r="CB20" s="528" t="n"/>
      <c r="CC20" s="528" t="n"/>
      <c r="CD20" s="528" t="n"/>
      <c r="CE20" s="21" t="n"/>
    </row>
    <row r="21" ht="28.8" customFormat="1" customHeight="1" s="525">
      <c r="A21" s="528" t="n">
        <v>2</v>
      </c>
      <c r="B21" s="528" t="inlineStr">
        <is>
          <t>b</t>
        </is>
      </c>
      <c r="C21" s="523" t="n">
        <v>0</v>
      </c>
      <c r="D21" s="524">
        <f>CONCATENATE(A$3,"_",A21,"_",B21,"_",C21)</f>
        <v/>
      </c>
      <c r="E21" s="526" t="inlineStr">
        <is>
          <t>Zbadanie interakcji - MWS vs inne strefy magazynu</t>
        </is>
      </c>
      <c r="F21" s="528" t="n"/>
      <c r="G21" s="528" t="n"/>
      <c r="H21" s="20" t="n">
        <v>4</v>
      </c>
      <c r="I21" s="51" t="inlineStr">
        <is>
          <t>ACT</t>
        </is>
      </c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4" t="n">
        <v>2</v>
      </c>
      <c r="O21" s="45" t="n">
        <v>160</v>
      </c>
      <c r="P21" s="187" t="n"/>
      <c r="Q21" s="187" t="n"/>
      <c r="R21" s="187" t="n"/>
      <c r="S21" s="187" t="n"/>
      <c r="T21" s="187" t="n">
        <v>0.5</v>
      </c>
      <c r="U21" s="187" t="n">
        <v>0</v>
      </c>
      <c r="V21" s="187" t="n">
        <v>0.5</v>
      </c>
      <c r="W21" s="187" t="n">
        <v>0</v>
      </c>
      <c r="X21" s="187" t="n">
        <v>0</v>
      </c>
      <c r="Y21" s="188" t="n">
        <v>0</v>
      </c>
      <c r="Z21" s="188" t="n">
        <v>0</v>
      </c>
      <c r="AA21" s="188" t="n">
        <v>0</v>
      </c>
      <c r="AB21" s="188" t="n">
        <v>0</v>
      </c>
      <c r="AC21" s="305" t="n"/>
      <c r="AD21" s="305" t="n"/>
      <c r="AE21" s="305" t="n"/>
      <c r="AF21" s="305" t="n"/>
      <c r="AG21" s="192">
        <f>ROUND($O21*P21,0)</f>
        <v/>
      </c>
      <c r="AH21" s="192">
        <f>ROUND($O21*Q21,0)</f>
        <v/>
      </c>
      <c r="AI21" s="192">
        <f>ROUND($O21*R21,0)</f>
        <v/>
      </c>
      <c r="AJ21" s="192">
        <f>ROUND($O21*S21,0)</f>
        <v/>
      </c>
      <c r="AK21" s="192">
        <f>ROUND($O21*T21,0)</f>
        <v/>
      </c>
      <c r="AL21" s="192">
        <f>ROUND($O21*U21,0)</f>
        <v/>
      </c>
      <c r="AM21" s="192">
        <f>ROUND($O21*V21,0)</f>
        <v/>
      </c>
      <c r="AN21" s="192">
        <f>ROUND($O21*W21,0)</f>
        <v/>
      </c>
      <c r="AO21" s="192">
        <f>ROUND($O21*X21,0)</f>
        <v/>
      </c>
      <c r="AP21" s="193">
        <f>ROUND($O21*Y21,0)</f>
        <v/>
      </c>
      <c r="AQ21" s="193">
        <f>ROUND($O21*Z21,0)</f>
        <v/>
      </c>
      <c r="AR21" s="193">
        <f>ROUND($O21*AA21,0)</f>
        <v/>
      </c>
      <c r="AS21" s="193">
        <f>ROUND($O21*AB21,0)</f>
        <v/>
      </c>
      <c r="AT21" s="306">
        <f>ROUND($O21*AC21,0)</f>
        <v/>
      </c>
      <c r="AU21" s="306">
        <f>ROUND($O21*AD21,0)</f>
        <v/>
      </c>
      <c r="AV21" s="306">
        <f>ROUND($O21*AE21,0)</f>
        <v/>
      </c>
      <c r="AW21" s="306">
        <f>ROUND($O21*AF21,0)</f>
        <v/>
      </c>
      <c r="AX21" s="528" t="n"/>
      <c r="AY21" s="528">
        <f>O21*AX21</f>
        <v/>
      </c>
      <c r="AZ21" s="528" t="n"/>
      <c r="BA21" s="528" t="n"/>
      <c r="BB21" s="528">
        <f>AZ21*BA21</f>
        <v/>
      </c>
      <c r="BC21" s="528" t="n"/>
      <c r="BD21" s="528" t="n"/>
      <c r="BE21" s="528" t="n"/>
      <c r="BF21" s="528" t="n"/>
      <c r="BG21" s="528" t="n"/>
      <c r="BH21" s="528" t="n"/>
      <c r="BI21" s="528">
        <f>BG21*BH21</f>
        <v/>
      </c>
      <c r="BJ21" s="528" t="n"/>
      <c r="BK21" s="528" t="n"/>
      <c r="BL21" s="528" t="n"/>
      <c r="BM21" s="528" t="n"/>
      <c r="BN21" s="528" t="n"/>
      <c r="BO21" s="528" t="n"/>
      <c r="BP21" s="528" t="n"/>
      <c r="BQ21" s="528" t="n"/>
      <c r="BR21" s="528" t="n"/>
      <c r="BS21" s="528" t="n"/>
      <c r="BT21" s="528" t="n"/>
      <c r="BU21" s="528" t="n"/>
      <c r="BV21" s="528" t="n"/>
      <c r="BW21" s="528">
        <f>BU21*BV21</f>
        <v/>
      </c>
      <c r="BX21" s="528" t="n"/>
      <c r="BY21" s="528" t="n"/>
      <c r="BZ21" s="528" t="n"/>
      <c r="CA21" s="528">
        <f>BY21*BZ21</f>
        <v/>
      </c>
      <c r="CB21" s="528" t="n"/>
      <c r="CC21" s="528" t="n"/>
      <c r="CD21" s="528" t="n"/>
      <c r="CE21" s="528">
        <f>CC21*CD21</f>
        <v/>
      </c>
    </row>
    <row r="22" ht="28.8" customFormat="1" customHeight="1" s="525">
      <c r="A22" s="528" t="n">
        <v>2</v>
      </c>
      <c r="B22" s="528" t="inlineStr">
        <is>
          <t>c</t>
        </is>
      </c>
      <c r="C22" s="523" t="n">
        <v>0</v>
      </c>
      <c r="D22" s="524">
        <f>CONCATENATE(A$3,"_",A22,"_",B22,"_",C22)</f>
        <v/>
      </c>
      <c r="E22" s="526" t="inlineStr">
        <is>
          <t>Zbadanie wpływu ograniczeń zasobów i zmiennych dynamicznych na pracę MWS</t>
        </is>
      </c>
      <c r="F22" s="528" t="n"/>
      <c r="G22" s="528" t="n"/>
      <c r="H22" s="20" t="n">
        <v>4</v>
      </c>
      <c r="I22" s="51" t="inlineStr">
        <is>
          <t>ACT</t>
        </is>
      </c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4" t="n">
        <v>2</v>
      </c>
      <c r="O22" s="45" t="n">
        <v>160</v>
      </c>
      <c r="P22" s="187" t="n"/>
      <c r="Q22" s="187" t="n"/>
      <c r="R22" s="187" t="n"/>
      <c r="S22" s="187" t="n"/>
      <c r="T22" s="187" t="n">
        <v>0</v>
      </c>
      <c r="U22" s="187" t="n">
        <v>0.5</v>
      </c>
      <c r="V22" s="187" t="n">
        <v>0</v>
      </c>
      <c r="W22" s="187" t="n">
        <v>0.25</v>
      </c>
      <c r="X22" s="187" t="n">
        <v>0.25</v>
      </c>
      <c r="Y22" s="188" t="n">
        <v>0</v>
      </c>
      <c r="Z22" s="188" t="n">
        <v>0</v>
      </c>
      <c r="AA22" s="188" t="n">
        <v>0</v>
      </c>
      <c r="AB22" s="188" t="n">
        <v>0</v>
      </c>
      <c r="AC22" s="305" t="n"/>
      <c r="AD22" s="305" t="n"/>
      <c r="AE22" s="305" t="n"/>
      <c r="AF22" s="305" t="n"/>
      <c r="AG22" s="192">
        <f>ROUND($O22*P22,0)</f>
        <v/>
      </c>
      <c r="AH22" s="192">
        <f>ROUND($O22*Q22,0)</f>
        <v/>
      </c>
      <c r="AI22" s="192">
        <f>ROUND($O22*R22,0)</f>
        <v/>
      </c>
      <c r="AJ22" s="192">
        <f>ROUND($O22*S22,0)</f>
        <v/>
      </c>
      <c r="AK22" s="192">
        <f>ROUND($O22*T22,0)</f>
        <v/>
      </c>
      <c r="AL22" s="192">
        <f>ROUND($O22*U22,0)</f>
        <v/>
      </c>
      <c r="AM22" s="192">
        <f>ROUND($O22*V22,0)</f>
        <v/>
      </c>
      <c r="AN22" s="192">
        <f>ROUND($O22*W22,0)</f>
        <v/>
      </c>
      <c r="AO22" s="192">
        <f>ROUND($O22*X22,0)</f>
        <v/>
      </c>
      <c r="AP22" s="193">
        <f>ROUND($O22*Y22,0)</f>
        <v/>
      </c>
      <c r="AQ22" s="193">
        <f>ROUND($O22*Z22,0)</f>
        <v/>
      </c>
      <c r="AR22" s="193">
        <f>ROUND($O22*AA22,0)</f>
        <v/>
      </c>
      <c r="AS22" s="193">
        <f>ROUND($O22*AB22,0)</f>
        <v/>
      </c>
      <c r="AT22" s="306">
        <f>ROUND($O22*AC22,0)</f>
        <v/>
      </c>
      <c r="AU22" s="306">
        <f>ROUND($O22*AD22,0)</f>
        <v/>
      </c>
      <c r="AV22" s="306">
        <f>ROUND($O22*AE22,0)</f>
        <v/>
      </c>
      <c r="AW22" s="306">
        <f>ROUND($O22*AF22,0)</f>
        <v/>
      </c>
      <c r="AX22" s="528" t="n"/>
      <c r="AY22" s="528">
        <f>O22*AX22</f>
        <v/>
      </c>
      <c r="AZ22" s="528" t="n"/>
      <c r="BA22" s="528" t="n"/>
      <c r="BB22" s="528">
        <f>AZ22*BA22</f>
        <v/>
      </c>
      <c r="BC22" s="528" t="n"/>
      <c r="BD22" s="528" t="n"/>
      <c r="BE22" s="528" t="n"/>
      <c r="BF22" s="528" t="n"/>
      <c r="BG22" s="528" t="n"/>
      <c r="BH22" s="528" t="n"/>
      <c r="BI22" s="528">
        <f>BG22*BH22</f>
        <v/>
      </c>
      <c r="BJ22" s="528" t="n"/>
      <c r="BK22" s="528" t="n"/>
      <c r="BL22" s="528" t="n"/>
      <c r="BM22" s="528" t="n"/>
      <c r="BN22" s="528" t="n"/>
      <c r="BO22" s="528" t="n"/>
      <c r="BP22" s="528" t="n"/>
      <c r="BQ22" s="528" t="n"/>
      <c r="BR22" s="528" t="n"/>
      <c r="BS22" s="528" t="n"/>
      <c r="BT22" s="528" t="n"/>
      <c r="BU22" s="528" t="n"/>
      <c r="BV22" s="528" t="n"/>
      <c r="BW22" s="528">
        <f>BU22*BV22</f>
        <v/>
      </c>
      <c r="BX22" s="528" t="n"/>
      <c r="BY22" s="528" t="n"/>
      <c r="BZ22" s="528" t="n"/>
      <c r="CA22" s="528">
        <f>BY22*BZ22</f>
        <v/>
      </c>
      <c r="CB22" s="528" t="n"/>
      <c r="CC22" s="528" t="n"/>
      <c r="CD22" s="528" t="n"/>
      <c r="CE22" s="528">
        <f>CC22*CD22</f>
        <v/>
      </c>
    </row>
    <row r="23" ht="36" customFormat="1" customHeight="1" s="525">
      <c r="A23" s="604" t="n">
        <v>2</v>
      </c>
      <c r="B23" s="604" t="inlineStr">
        <is>
          <t>d</t>
        </is>
      </c>
      <c r="C23" s="605" t="n">
        <v>0</v>
      </c>
      <c r="D23" s="606">
        <f>CONCATENATE(A$3,"_",A23,"_",B23,"_",C23)</f>
        <v/>
      </c>
      <c r="E23" s="607" t="inlineStr">
        <is>
          <t xml:space="preserve">Opracowanie modeli matematycznych/algorytmów symulacyjnych operacji w MWS </t>
        </is>
      </c>
      <c r="F23" s="528" t="n"/>
      <c r="G23" s="528" t="n"/>
      <c r="H23" s="46" t="n"/>
      <c r="I23" s="46" t="n"/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>
        <f>ROUND(MAX(AG23:AO23)/Listy!$U$2,0)</f>
        <v/>
      </c>
      <c r="O23" s="46" t="n"/>
      <c r="P23" s="187" t="n"/>
      <c r="Q23" s="187" t="n"/>
      <c r="R23" s="187" t="n"/>
      <c r="S23" s="187" t="n"/>
      <c r="T23" s="187" t="n"/>
      <c r="U23" s="187" t="n"/>
      <c r="V23" s="187" t="n"/>
      <c r="W23" s="187" t="n"/>
      <c r="X23" s="187" t="n"/>
      <c r="Y23" s="188" t="n"/>
      <c r="Z23" s="188" t="n"/>
      <c r="AA23" s="188" t="n"/>
      <c r="AB23" s="188" t="n"/>
      <c r="AC23" s="305" t="n"/>
      <c r="AD23" s="305" t="n"/>
      <c r="AE23" s="305" t="n"/>
      <c r="AF23" s="305" t="n"/>
      <c r="AG23" s="192">
        <f>ROUND($O23*P23,0)</f>
        <v/>
      </c>
      <c r="AH23" s="192">
        <f>ROUND($O23*Q23,0)</f>
        <v/>
      </c>
      <c r="AI23" s="192">
        <f>ROUND($O23*R23,0)</f>
        <v/>
      </c>
      <c r="AJ23" s="192">
        <f>ROUND($O23*S23,0)</f>
        <v/>
      </c>
      <c r="AK23" s="192">
        <f>ROUND($O23*T23,0)</f>
        <v/>
      </c>
      <c r="AL23" s="192">
        <f>ROUND($O23*U23,0)</f>
        <v/>
      </c>
      <c r="AM23" s="192">
        <f>ROUND($O23*V23,0)</f>
        <v/>
      </c>
      <c r="AN23" s="192">
        <f>ROUND($O23*W23,0)</f>
        <v/>
      </c>
      <c r="AO23" s="192">
        <f>ROUND($O23*X23,0)</f>
        <v/>
      </c>
      <c r="AP23" s="193">
        <f>ROUND($O23*Y23,0)</f>
        <v/>
      </c>
      <c r="AQ23" s="193">
        <f>ROUND($O23*Z23,0)</f>
        <v/>
      </c>
      <c r="AR23" s="193">
        <f>ROUND($O23*AA23,0)</f>
        <v/>
      </c>
      <c r="AS23" s="193">
        <f>ROUND($O23*AB23,0)</f>
        <v/>
      </c>
      <c r="AT23" s="306">
        <f>ROUND($O23*AC23,0)</f>
        <v/>
      </c>
      <c r="AU23" s="306">
        <f>ROUND($O23*AD23,0)</f>
        <v/>
      </c>
      <c r="AV23" s="306">
        <f>ROUND($O23*AE23,0)</f>
        <v/>
      </c>
      <c r="AW23" s="306">
        <f>ROUND($O23*AF23,0)</f>
        <v/>
      </c>
      <c r="AX23" s="528" t="n"/>
      <c r="AY23" s="528">
        <f>O23*AX23</f>
        <v/>
      </c>
      <c r="AZ23" s="528" t="n"/>
      <c r="BA23" s="528" t="n"/>
      <c r="BB23" s="528">
        <f>AZ23*BA23</f>
        <v/>
      </c>
      <c r="BC23" s="528" t="n"/>
      <c r="BD23" s="528" t="n"/>
      <c r="BE23" s="528" t="n"/>
      <c r="BF23" s="528" t="n"/>
      <c r="BG23" s="528" t="n"/>
      <c r="BH23" s="528" t="n"/>
      <c r="BI23" s="528">
        <f>BG23*BH23</f>
        <v/>
      </c>
      <c r="BJ23" s="528" t="n"/>
      <c r="BK23" s="528" t="n"/>
      <c r="BL23" s="528" t="n"/>
      <c r="BM23" s="528" t="n"/>
      <c r="BN23" s="528" t="n"/>
      <c r="BO23" s="528" t="n"/>
      <c r="BP23" s="528" t="n"/>
      <c r="BQ23" s="528" t="n"/>
      <c r="BR23" s="528" t="n"/>
      <c r="BS23" s="528" t="n"/>
      <c r="BT23" s="528" t="n"/>
      <c r="BU23" s="528" t="n"/>
      <c r="BV23" s="528" t="n"/>
      <c r="BW23" s="528">
        <f>BU23*BV23</f>
        <v/>
      </c>
      <c r="BX23" s="528" t="n"/>
      <c r="BY23" s="528" t="n"/>
      <c r="BZ23" s="528" t="n"/>
      <c r="CA23" s="528">
        <f>BY23*BZ23</f>
        <v/>
      </c>
      <c r="CB23" s="528" t="n"/>
      <c r="CC23" s="528" t="n"/>
      <c r="CD23" s="528" t="n"/>
      <c r="CE23" s="528">
        <f>CC23*CD23</f>
        <v/>
      </c>
    </row>
    <row r="24" ht="15" customFormat="1" customHeight="1" s="525">
      <c r="A24" s="528" t="n">
        <v>2</v>
      </c>
      <c r="B24" s="528" t="inlineStr">
        <is>
          <t>d</t>
        </is>
      </c>
      <c r="C24" s="528" t="n">
        <v>1</v>
      </c>
      <c r="D24" s="524">
        <f>CONCATENATE(A$3,"_",A24,"_",B24,"_",C24)</f>
        <v/>
      </c>
      <c r="E24" s="530" t="inlineStr">
        <is>
          <t>Opracowanie architektur modeli</t>
        </is>
      </c>
      <c r="F24" s="528" t="n"/>
      <c r="G24" s="528" t="n"/>
      <c r="H24" s="39" t="n">
        <v>4</v>
      </c>
      <c r="I24" s="455" t="inlineStr">
        <is>
          <t>END</t>
        </is>
      </c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4" t="n">
        <v>1</v>
      </c>
      <c r="O24" s="45" t="n">
        <v>160</v>
      </c>
      <c r="P24" s="187" t="n"/>
      <c r="Q24" s="187" t="n"/>
      <c r="R24" s="187" t="n"/>
      <c r="S24" s="187" t="n"/>
      <c r="T24" s="187" t="n">
        <v>0</v>
      </c>
      <c r="U24" s="187" t="n">
        <v>0.25</v>
      </c>
      <c r="V24" s="187" t="n">
        <v>0</v>
      </c>
      <c r="W24" s="187" t="n">
        <v>0</v>
      </c>
      <c r="X24" s="187" t="n">
        <v>0</v>
      </c>
      <c r="Y24" s="188" t="n">
        <v>0.25</v>
      </c>
      <c r="Z24" s="188" t="n">
        <v>0.25</v>
      </c>
      <c r="AA24" s="188" t="n">
        <v>0.25</v>
      </c>
      <c r="AB24" s="188" t="n">
        <v>0</v>
      </c>
      <c r="AC24" s="305" t="n"/>
      <c r="AD24" s="305" t="n"/>
      <c r="AE24" s="305" t="n"/>
      <c r="AF24" s="305" t="n"/>
      <c r="AG24" s="192">
        <f>ROUND($O24*P24,0)</f>
        <v/>
      </c>
      <c r="AH24" s="192">
        <f>ROUND($O24*Q24,0)</f>
        <v/>
      </c>
      <c r="AI24" s="192">
        <f>ROUND($O24*R24,0)</f>
        <v/>
      </c>
      <c r="AJ24" s="192">
        <f>ROUND($O24*S24,0)</f>
        <v/>
      </c>
      <c r="AK24" s="192">
        <f>ROUND($O24*T24,0)</f>
        <v/>
      </c>
      <c r="AL24" s="192">
        <f>ROUND($O24*U24,0)</f>
        <v/>
      </c>
      <c r="AM24" s="192">
        <f>ROUND($O24*V24,0)</f>
        <v/>
      </c>
      <c r="AN24" s="192">
        <f>ROUND($O24*W24,0)</f>
        <v/>
      </c>
      <c r="AO24" s="192">
        <f>ROUND($O24*X24,0)</f>
        <v/>
      </c>
      <c r="AP24" s="193">
        <f>ROUND($O24*Y24,0)</f>
        <v/>
      </c>
      <c r="AQ24" s="193">
        <f>ROUND($O24*Z24,0)</f>
        <v/>
      </c>
      <c r="AR24" s="193">
        <f>ROUND($O24*AA24,0)</f>
        <v/>
      </c>
      <c r="AS24" s="193">
        <f>ROUND($O24*AB24,0)</f>
        <v/>
      </c>
      <c r="AT24" s="306">
        <f>ROUND($O24*AC24,0)</f>
        <v/>
      </c>
      <c r="AU24" s="306">
        <f>ROUND($O24*AD24,0)</f>
        <v/>
      </c>
      <c r="AV24" s="306">
        <f>ROUND($O24*AE24,0)</f>
        <v/>
      </c>
      <c r="AW24" s="306">
        <f>ROUND($O24*AF24,0)</f>
        <v/>
      </c>
      <c r="AX24" s="528" t="n"/>
      <c r="AY24" s="314" t="n"/>
      <c r="AZ24" s="528" t="n"/>
      <c r="BA24" s="528" t="n"/>
      <c r="BB24" s="314" t="n"/>
      <c r="BC24" s="528" t="n"/>
      <c r="BD24" s="528" t="n"/>
      <c r="BE24" s="528" t="n"/>
      <c r="BF24" s="528" t="n"/>
      <c r="BG24" s="528" t="n"/>
      <c r="BH24" s="528" t="n"/>
      <c r="BI24" s="314" t="n"/>
      <c r="BJ24" s="528" t="n"/>
      <c r="BK24" s="528" t="n"/>
      <c r="BL24" s="314" t="n"/>
      <c r="BM24" s="528" t="n"/>
      <c r="BN24" s="528" t="n"/>
      <c r="BO24" s="314" t="n"/>
      <c r="BP24" s="528" t="n"/>
      <c r="BQ24" s="528" t="n"/>
      <c r="BR24" s="314" t="n"/>
      <c r="BS24" s="314" t="n"/>
      <c r="BT24" s="528" t="n"/>
      <c r="BU24" s="528" t="n"/>
      <c r="BV24" s="528" t="n"/>
      <c r="BW24" s="314" t="n"/>
      <c r="BX24" s="528" t="n"/>
      <c r="BY24" s="528" t="n"/>
      <c r="BZ24" s="528" t="n"/>
      <c r="CA24" s="314" t="n"/>
      <c r="CB24" s="528" t="n"/>
      <c r="CC24" s="528" t="n"/>
      <c r="CD24" s="528" t="n"/>
      <c r="CE24" s="314" t="n"/>
    </row>
    <row r="25" ht="15" customFormat="1" customHeight="1" s="525">
      <c r="A25" s="528" t="n">
        <v>2</v>
      </c>
      <c r="B25" s="528" t="inlineStr">
        <is>
          <t>d</t>
        </is>
      </c>
      <c r="C25" s="528" t="n">
        <v>2</v>
      </c>
      <c r="D25" s="524">
        <f>CONCATENATE(A$3,"_",A25,"_",B25,"_",C25)</f>
        <v/>
      </c>
      <c r="E25" s="530" t="inlineStr">
        <is>
          <t xml:space="preserve">Implementacja opracowanych modeli </t>
        </is>
      </c>
      <c r="F25" s="528" t="n"/>
      <c r="G25" s="528" t="n"/>
      <c r="H25" s="39" t="n">
        <v>5</v>
      </c>
      <c r="I25" s="455" t="inlineStr">
        <is>
          <t>END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4" t="n">
        <v>2</v>
      </c>
      <c r="O25" s="45" t="n">
        <v>320</v>
      </c>
      <c r="P25" s="187" t="n"/>
      <c r="Q25" s="187" t="n"/>
      <c r="R25" s="187" t="n"/>
      <c r="S25" s="187" t="n"/>
      <c r="T25" s="187" t="n">
        <v>0.25</v>
      </c>
      <c r="U25" s="187" t="n">
        <v>0</v>
      </c>
      <c r="V25" s="187" t="n">
        <v>0</v>
      </c>
      <c r="W25" s="187" t="n">
        <v>0</v>
      </c>
      <c r="X25" s="187" t="n">
        <v>0</v>
      </c>
      <c r="Y25" s="188" t="n">
        <v>0.25</v>
      </c>
      <c r="Z25" s="188" t="n">
        <v>0.25</v>
      </c>
      <c r="AA25" s="188" t="n">
        <v>0.25</v>
      </c>
      <c r="AB25" s="188" t="n">
        <v>0</v>
      </c>
      <c r="AC25" s="305" t="n"/>
      <c r="AD25" s="305" t="n"/>
      <c r="AE25" s="305" t="n"/>
      <c r="AF25" s="305" t="n"/>
      <c r="AG25" s="192">
        <f>ROUND($O25*P25,0)</f>
        <v/>
      </c>
      <c r="AH25" s="192">
        <f>ROUND($O25*Q25,0)</f>
        <v/>
      </c>
      <c r="AI25" s="192">
        <f>ROUND($O25*R25,0)</f>
        <v/>
      </c>
      <c r="AJ25" s="192">
        <f>ROUND($O25*S25,0)</f>
        <v/>
      </c>
      <c r="AK25" s="192">
        <f>ROUND($O25*T25,0)</f>
        <v/>
      </c>
      <c r="AL25" s="192">
        <f>ROUND($O25*U25,0)</f>
        <v/>
      </c>
      <c r="AM25" s="192">
        <f>ROUND($O25*V25,0)</f>
        <v/>
      </c>
      <c r="AN25" s="192">
        <f>ROUND($O25*W25,0)</f>
        <v/>
      </c>
      <c r="AO25" s="192">
        <f>ROUND($O25*X25,0)</f>
        <v/>
      </c>
      <c r="AP25" s="193">
        <f>ROUND($O25*Y25,0)</f>
        <v/>
      </c>
      <c r="AQ25" s="193">
        <f>ROUND($O25*Z25,0)</f>
        <v/>
      </c>
      <c r="AR25" s="193">
        <f>ROUND($O25*AA25,0)</f>
        <v/>
      </c>
      <c r="AS25" s="193">
        <f>ROUND($O25*AB25,0)</f>
        <v/>
      </c>
      <c r="AT25" s="306">
        <f>ROUND($O25*AC25,0)</f>
        <v/>
      </c>
      <c r="AU25" s="306">
        <f>ROUND($O25*AD25,0)</f>
        <v/>
      </c>
      <c r="AV25" s="306">
        <f>ROUND($O25*AE25,0)</f>
        <v/>
      </c>
      <c r="AW25" s="306">
        <f>ROUND($O25*AF25,0)</f>
        <v/>
      </c>
      <c r="AX25" s="528" t="n"/>
      <c r="AY25" s="314" t="n"/>
      <c r="AZ25" s="528" t="n"/>
      <c r="BA25" s="528" t="n"/>
      <c r="BB25" s="314" t="n"/>
      <c r="BC25" s="528" t="n"/>
      <c r="BD25" s="528" t="n"/>
      <c r="BE25" s="528" t="n"/>
      <c r="BF25" s="528" t="n"/>
      <c r="BG25" s="528" t="n"/>
      <c r="BH25" s="528" t="n"/>
      <c r="BI25" s="314" t="n"/>
      <c r="BJ25" s="528" t="n"/>
      <c r="BK25" s="528" t="n"/>
      <c r="BL25" s="314" t="n"/>
      <c r="BM25" s="528" t="n"/>
      <c r="BN25" s="528" t="n"/>
      <c r="BO25" s="314" t="n"/>
      <c r="BP25" s="528" t="n"/>
      <c r="BQ25" s="528" t="n"/>
      <c r="BR25" s="314" t="n"/>
      <c r="BS25" s="314" t="n"/>
      <c r="BT25" s="528" t="n"/>
      <c r="BU25" s="528" t="n"/>
      <c r="BV25" s="528" t="n"/>
      <c r="BW25" s="314" t="n"/>
      <c r="BX25" s="528" t="n"/>
      <c r="BY25" s="528" t="n"/>
      <c r="BZ25" s="528" t="n"/>
      <c r="CA25" s="314" t="n"/>
      <c r="CB25" s="528" t="n"/>
      <c r="CC25" s="528" t="n"/>
      <c r="CD25" s="528" t="n"/>
      <c r="CE25" s="314" t="n"/>
    </row>
    <row r="26" ht="15" customFormat="1" customHeight="1" s="525">
      <c r="A26" s="528" t="n">
        <v>2</v>
      </c>
      <c r="B26" s="528" t="inlineStr">
        <is>
          <t>d</t>
        </is>
      </c>
      <c r="C26" s="528" t="n">
        <v>3</v>
      </c>
      <c r="D26" s="524">
        <f>CONCATENATE(A$3,"_",A26,"_",B26,"_",C26)</f>
        <v/>
      </c>
      <c r="E26" s="530" t="inlineStr">
        <is>
          <t>Stworzenie procesu zasilania danymi</t>
        </is>
      </c>
      <c r="F26" s="528" t="n"/>
      <c r="G26" s="528" t="n"/>
      <c r="H26" s="39" t="n">
        <v>5</v>
      </c>
      <c r="I26" s="455" t="inlineStr">
        <is>
          <t>END</t>
        </is>
      </c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4" t="n">
        <v>1</v>
      </c>
      <c r="O26" s="45" t="n">
        <v>120</v>
      </c>
      <c r="P26" s="187" t="n"/>
      <c r="Q26" s="187" t="n"/>
      <c r="R26" s="187" t="n"/>
      <c r="S26" s="187" t="n"/>
      <c r="T26" s="187" t="n">
        <v>0</v>
      </c>
      <c r="U26" s="187" t="n">
        <v>0</v>
      </c>
      <c r="V26" s="187" t="n">
        <v>0.333</v>
      </c>
      <c r="W26" s="187" t="n">
        <v>0</v>
      </c>
      <c r="X26" s="187" t="n">
        <v>0</v>
      </c>
      <c r="Y26" s="188" t="n">
        <v>0.333</v>
      </c>
      <c r="Z26" s="188" t="n">
        <v>0.333</v>
      </c>
      <c r="AA26" s="188" t="n">
        <v>0</v>
      </c>
      <c r="AB26" s="188" t="n">
        <v>0</v>
      </c>
      <c r="AC26" s="305" t="n"/>
      <c r="AD26" s="305" t="n"/>
      <c r="AE26" s="305" t="n"/>
      <c r="AF26" s="305" t="n"/>
      <c r="AG26" s="192">
        <f>ROUND($O26*P26,0)</f>
        <v/>
      </c>
      <c r="AH26" s="192">
        <f>ROUND($O26*Q26,0)</f>
        <v/>
      </c>
      <c r="AI26" s="192">
        <f>ROUND($O26*R26,0)</f>
        <v/>
      </c>
      <c r="AJ26" s="192">
        <f>ROUND($O26*S26,0)</f>
        <v/>
      </c>
      <c r="AK26" s="192">
        <f>ROUND($O26*T26,0)</f>
        <v/>
      </c>
      <c r="AL26" s="192">
        <f>ROUND($O26*U26,0)</f>
        <v/>
      </c>
      <c r="AM26" s="192">
        <f>ROUND($O26*V26,0)</f>
        <v/>
      </c>
      <c r="AN26" s="192">
        <f>ROUND($O26*W26,0)</f>
        <v/>
      </c>
      <c r="AO26" s="192">
        <f>ROUND($O26*X26,0)</f>
        <v/>
      </c>
      <c r="AP26" s="193">
        <f>ROUND($O26*Y26,0)</f>
        <v/>
      </c>
      <c r="AQ26" s="193">
        <f>ROUND($O26*Z26,0)</f>
        <v/>
      </c>
      <c r="AR26" s="193">
        <f>ROUND($O26*AA26,0)</f>
        <v/>
      </c>
      <c r="AS26" s="193">
        <f>ROUND($O26*AB26,0)</f>
        <v/>
      </c>
      <c r="AT26" s="306">
        <f>ROUND($O26*AC26,0)</f>
        <v/>
      </c>
      <c r="AU26" s="306">
        <f>ROUND($O26*AD26,0)</f>
        <v/>
      </c>
      <c r="AV26" s="306">
        <f>ROUND($O26*AE26,0)</f>
        <v/>
      </c>
      <c r="AW26" s="306">
        <f>ROUND($O26*AF26,0)</f>
        <v/>
      </c>
      <c r="AX26" s="528" t="n"/>
      <c r="AY26" s="314" t="n"/>
      <c r="AZ26" s="528" t="n"/>
      <c r="BA26" s="528" t="n"/>
      <c r="BB26" s="314" t="n"/>
      <c r="BC26" s="528" t="n"/>
      <c r="BD26" s="528" t="n"/>
      <c r="BE26" s="528" t="n"/>
      <c r="BF26" s="528" t="n"/>
      <c r="BG26" s="528" t="n"/>
      <c r="BH26" s="528" t="n"/>
      <c r="BI26" s="314" t="n"/>
      <c r="BJ26" s="528" t="n"/>
      <c r="BK26" s="528" t="n"/>
      <c r="BL26" s="314" t="n"/>
      <c r="BM26" s="528" t="n"/>
      <c r="BN26" s="528" t="n"/>
      <c r="BO26" s="314" t="n"/>
      <c r="BP26" s="528" t="n"/>
      <c r="BQ26" s="528" t="n"/>
      <c r="BR26" s="314" t="n"/>
      <c r="BS26" s="314" t="n"/>
      <c r="BT26" s="528" t="n"/>
      <c r="BU26" s="528" t="n"/>
      <c r="BV26" s="528" t="n"/>
      <c r="BW26" s="314" t="n"/>
      <c r="BX26" s="528" t="n"/>
      <c r="BY26" s="528" t="n"/>
      <c r="BZ26" s="528" t="n"/>
      <c r="CA26" s="314" t="n"/>
      <c r="CB26" s="528" t="n"/>
      <c r="CC26" s="528" t="n"/>
      <c r="CD26" s="528" t="n"/>
      <c r="CE26" s="314" t="n"/>
    </row>
    <row r="27" ht="15" customFormat="1" customHeight="1" s="525">
      <c r="A27" s="528" t="n">
        <v>2</v>
      </c>
      <c r="B27" s="528" t="inlineStr">
        <is>
          <t>d</t>
        </is>
      </c>
      <c r="C27" s="528" t="n">
        <v>4</v>
      </c>
      <c r="D27" s="524">
        <f>CONCATENATE(A$3,"_",A27,"_",B27,"_",C27)</f>
        <v/>
      </c>
      <c r="E27" s="530" t="inlineStr">
        <is>
          <t>Stworzenie procesu  trenowania/uczenia modelu</t>
        </is>
      </c>
      <c r="F27" s="528" t="n"/>
      <c r="G27" s="528" t="n"/>
      <c r="H27" s="39" t="n">
        <v>5</v>
      </c>
      <c r="I27" s="455" t="inlineStr">
        <is>
          <t>END</t>
        </is>
      </c>
      <c r="J27" s="91">
        <f>M26+1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4" t="n">
        <v>1</v>
      </c>
      <c r="O27" s="45" t="n">
        <v>120</v>
      </c>
      <c r="P27" s="187" t="n"/>
      <c r="Q27" s="187" t="n"/>
      <c r="R27" s="187" t="n"/>
      <c r="S27" s="187" t="n"/>
      <c r="T27" s="187" t="n">
        <v>0</v>
      </c>
      <c r="U27" s="187" t="n">
        <v>0</v>
      </c>
      <c r="V27" s="187" t="n">
        <v>0</v>
      </c>
      <c r="W27" s="187" t="n">
        <v>0.333</v>
      </c>
      <c r="X27" s="187" t="n">
        <v>0</v>
      </c>
      <c r="Y27" s="188" t="n">
        <v>0</v>
      </c>
      <c r="Z27" s="188" t="n">
        <v>0.333</v>
      </c>
      <c r="AA27" s="188" t="n">
        <v>0.333</v>
      </c>
      <c r="AB27" s="188" t="n">
        <v>0</v>
      </c>
      <c r="AC27" s="305" t="n"/>
      <c r="AD27" s="305" t="n"/>
      <c r="AE27" s="305" t="n"/>
      <c r="AF27" s="305" t="n"/>
      <c r="AG27" s="192">
        <f>ROUND($O27*P27,0)</f>
        <v/>
      </c>
      <c r="AH27" s="192">
        <f>ROUND($O27*Q27,0)</f>
        <v/>
      </c>
      <c r="AI27" s="192">
        <f>ROUND($O27*R27,0)</f>
        <v/>
      </c>
      <c r="AJ27" s="192">
        <f>ROUND($O27*S27,0)</f>
        <v/>
      </c>
      <c r="AK27" s="192">
        <f>ROUND($O27*T27,0)</f>
        <v/>
      </c>
      <c r="AL27" s="192">
        <f>ROUND($O27*U27,0)</f>
        <v/>
      </c>
      <c r="AM27" s="192">
        <f>ROUND($O27*V27,0)</f>
        <v/>
      </c>
      <c r="AN27" s="192">
        <f>ROUND($O27*W27,0)</f>
        <v/>
      </c>
      <c r="AO27" s="192">
        <f>ROUND($O27*X27,0)</f>
        <v/>
      </c>
      <c r="AP27" s="193">
        <f>ROUND($O27*Y27,0)</f>
        <v/>
      </c>
      <c r="AQ27" s="193">
        <f>ROUND($O27*Z27,0)</f>
        <v/>
      </c>
      <c r="AR27" s="193">
        <f>ROUND($O27*AA27,0)</f>
        <v/>
      </c>
      <c r="AS27" s="193">
        <f>ROUND($O27*AB27,0)</f>
        <v/>
      </c>
      <c r="AT27" s="306">
        <f>ROUND($O27*AC27,0)</f>
        <v/>
      </c>
      <c r="AU27" s="306">
        <f>ROUND($O27*AD27,0)</f>
        <v/>
      </c>
      <c r="AV27" s="306">
        <f>ROUND($O27*AE27,0)</f>
        <v/>
      </c>
      <c r="AW27" s="306">
        <f>ROUND($O27*AF27,0)</f>
        <v/>
      </c>
      <c r="AX27" s="528" t="n"/>
      <c r="AY27" s="314" t="n"/>
      <c r="AZ27" s="528" t="n"/>
      <c r="BA27" s="528" t="n"/>
      <c r="BB27" s="314" t="n"/>
      <c r="BC27" s="528" t="n"/>
      <c r="BD27" s="528" t="n"/>
      <c r="BE27" s="528" t="n"/>
      <c r="BF27" s="528" t="n"/>
      <c r="BG27" s="528" t="n"/>
      <c r="BH27" s="528" t="n"/>
      <c r="BI27" s="314" t="n"/>
      <c r="BJ27" s="528" t="n"/>
      <c r="BK27" s="528" t="n"/>
      <c r="BL27" s="314" t="n"/>
      <c r="BM27" s="528" t="n"/>
      <c r="BN27" s="528" t="n"/>
      <c r="BO27" s="314" t="n"/>
      <c r="BP27" s="528" t="n"/>
      <c r="BQ27" s="528" t="n"/>
      <c r="BR27" s="314" t="n"/>
      <c r="BS27" s="314" t="n"/>
      <c r="BT27" s="528" t="n"/>
      <c r="BU27" s="528" t="n"/>
      <c r="BV27" s="528" t="n"/>
      <c r="BW27" s="314" t="n"/>
      <c r="BX27" s="528" t="n"/>
      <c r="BY27" s="528" t="n"/>
      <c r="BZ27" s="528" t="n"/>
      <c r="CA27" s="314" t="n"/>
      <c r="CB27" s="528" t="n"/>
      <c r="CC27" s="528" t="n"/>
      <c r="CD27" s="528" t="n"/>
      <c r="CE27" s="314" t="n"/>
    </row>
    <row r="28" ht="15" customFormat="1" customHeight="1" s="525">
      <c r="A28" s="528" t="n">
        <v>2</v>
      </c>
      <c r="B28" s="528" t="inlineStr">
        <is>
          <t>d</t>
        </is>
      </c>
      <c r="C28" s="528" t="n">
        <v>5</v>
      </c>
      <c r="D28" s="524">
        <f>CONCATENATE(A$3,"_",A28,"_",B28,"_",C28)</f>
        <v/>
      </c>
      <c r="E28" s="530" t="inlineStr">
        <is>
          <t>Stworzenie procesu ewaluacji modelu</t>
        </is>
      </c>
      <c r="F28" s="528" t="n"/>
      <c r="G28" s="528" t="n"/>
      <c r="H28" s="39" t="n">
        <v>6</v>
      </c>
      <c r="I28" s="455" t="inlineStr">
        <is>
          <t>END</t>
        </is>
      </c>
      <c r="J28" s="91">
        <f>M27+1</f>
        <v/>
      </c>
      <c r="K28" s="681">
        <f>VLOOKUP(J28,Kalendarz!B:E,4,FALSE)</f>
        <v/>
      </c>
      <c r="L28" s="681">
        <f>K28+N28</f>
        <v/>
      </c>
      <c r="M28" s="528">
        <f>J28+N28-1</f>
        <v/>
      </c>
      <c r="N28" s="474" t="n">
        <v>0</v>
      </c>
      <c r="O28" s="45" t="n">
        <v>120</v>
      </c>
      <c r="P28" s="187" t="n"/>
      <c r="Q28" s="187" t="n"/>
      <c r="R28" s="187" t="n"/>
      <c r="S28" s="187" t="n"/>
      <c r="T28" s="187" t="n">
        <v>0.333</v>
      </c>
      <c r="U28" s="187" t="n">
        <v>0</v>
      </c>
      <c r="V28" s="187" t="n">
        <v>0</v>
      </c>
      <c r="W28" s="187" t="n">
        <v>0</v>
      </c>
      <c r="X28" s="187" t="n">
        <v>0</v>
      </c>
      <c r="Y28" s="188" t="n">
        <v>0</v>
      </c>
      <c r="Z28" s="188" t="n">
        <v>0.333</v>
      </c>
      <c r="AA28" s="188" t="n">
        <v>0.333</v>
      </c>
      <c r="AB28" s="188" t="n">
        <v>0</v>
      </c>
      <c r="AC28" s="305" t="n"/>
      <c r="AD28" s="305" t="n"/>
      <c r="AE28" s="305" t="n"/>
      <c r="AF28" s="305" t="n"/>
      <c r="AG28" s="192">
        <f>ROUND($O28*P28,0)</f>
        <v/>
      </c>
      <c r="AH28" s="192">
        <f>ROUND($O28*Q28,0)</f>
        <v/>
      </c>
      <c r="AI28" s="192">
        <f>ROUND($O28*R28,0)</f>
        <v/>
      </c>
      <c r="AJ28" s="192">
        <f>ROUND($O28*S28,0)</f>
        <v/>
      </c>
      <c r="AK28" s="192">
        <f>ROUND($O28*T28,0)</f>
        <v/>
      </c>
      <c r="AL28" s="192">
        <f>ROUND($O28*U28,0)</f>
        <v/>
      </c>
      <c r="AM28" s="192">
        <f>ROUND($O28*V28,0)</f>
        <v/>
      </c>
      <c r="AN28" s="192">
        <f>ROUND($O28*W28,0)</f>
        <v/>
      </c>
      <c r="AO28" s="192">
        <f>ROUND($O28*X28,0)</f>
        <v/>
      </c>
      <c r="AP28" s="193">
        <f>ROUND($O28*Y28,0)</f>
        <v/>
      </c>
      <c r="AQ28" s="193">
        <f>ROUND($O28*Z28,0)</f>
        <v/>
      </c>
      <c r="AR28" s="193">
        <f>ROUND($O28*AA28,0)</f>
        <v/>
      </c>
      <c r="AS28" s="193">
        <f>ROUND($O28*AB28,0)</f>
        <v/>
      </c>
      <c r="AT28" s="306">
        <f>ROUND($O28*AC28,0)</f>
        <v/>
      </c>
      <c r="AU28" s="306">
        <f>ROUND($O28*AD28,0)</f>
        <v/>
      </c>
      <c r="AV28" s="306">
        <f>ROUND($O28*AE28,0)</f>
        <v/>
      </c>
      <c r="AW28" s="306">
        <f>ROUND($O28*AF28,0)</f>
        <v/>
      </c>
      <c r="AX28" s="528" t="n"/>
      <c r="AY28" s="314" t="n"/>
      <c r="AZ28" s="528" t="n"/>
      <c r="BA28" s="528" t="n"/>
      <c r="BB28" s="314" t="n"/>
      <c r="BC28" s="528" t="n"/>
      <c r="BD28" s="528" t="n"/>
      <c r="BE28" s="528" t="n"/>
      <c r="BF28" s="528" t="n"/>
      <c r="BG28" s="528" t="n"/>
      <c r="BH28" s="528" t="n"/>
      <c r="BI28" s="314" t="n"/>
      <c r="BJ28" s="528" t="n"/>
      <c r="BK28" s="528" t="n"/>
      <c r="BL28" s="314" t="n"/>
      <c r="BM28" s="528" t="n"/>
      <c r="BN28" s="528" t="n"/>
      <c r="BO28" s="314" t="n"/>
      <c r="BP28" s="528" t="n"/>
      <c r="BQ28" s="528" t="n"/>
      <c r="BR28" s="314" t="n"/>
      <c r="BS28" s="314" t="n"/>
      <c r="BT28" s="528" t="n"/>
      <c r="BU28" s="528" t="n"/>
      <c r="BV28" s="528" t="n"/>
      <c r="BW28" s="314" t="n"/>
      <c r="BX28" s="528" t="n"/>
      <c r="BY28" s="528" t="n"/>
      <c r="BZ28" s="528" t="n"/>
      <c r="CA28" s="314" t="n"/>
      <c r="CB28" s="528" t="n"/>
      <c r="CC28" s="528" t="n"/>
      <c r="CD28" s="528" t="n"/>
      <c r="CE28" s="314" t="n"/>
    </row>
    <row r="29" ht="15" customFormat="1" customHeight="1" s="525">
      <c r="A29" s="528" t="n">
        <v>2</v>
      </c>
      <c r="B29" s="528" t="inlineStr">
        <is>
          <t>d</t>
        </is>
      </c>
      <c r="C29" s="528" t="n">
        <v>6</v>
      </c>
      <c r="D29" s="524">
        <f>CONCATENATE(A$3,"_",A29,"_",B29,"_",C29)</f>
        <v/>
      </c>
      <c r="E29" s="530" t="inlineStr">
        <is>
          <t>Stworzenie procesu monitorowania modelu</t>
        </is>
      </c>
      <c r="F29" s="528" t="n"/>
      <c r="G29" s="528" t="n"/>
      <c r="H29" s="39" t="n">
        <v>6</v>
      </c>
      <c r="I29" s="455" t="inlineStr">
        <is>
          <t>END</t>
        </is>
      </c>
      <c r="J29" s="91">
        <f>M28+1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4" t="n">
        <v>1</v>
      </c>
      <c r="O29" s="45" t="n">
        <v>120</v>
      </c>
      <c r="P29" s="187" t="n"/>
      <c r="Q29" s="187" t="n"/>
      <c r="R29" s="187" t="n"/>
      <c r="S29" s="187" t="n"/>
      <c r="T29" s="187" t="n">
        <v>0</v>
      </c>
      <c r="U29" s="187" t="n">
        <v>0</v>
      </c>
      <c r="V29" s="187" t="n">
        <v>0.333</v>
      </c>
      <c r="W29" s="187" t="n">
        <v>0</v>
      </c>
      <c r="X29" s="187" t="n">
        <v>0</v>
      </c>
      <c r="Y29" s="188" t="n">
        <v>0.333</v>
      </c>
      <c r="Z29" s="188" t="n">
        <v>0</v>
      </c>
      <c r="AA29" s="188" t="n">
        <v>0</v>
      </c>
      <c r="AB29" s="188" t="n">
        <v>0.333</v>
      </c>
      <c r="AC29" s="305" t="n"/>
      <c r="AD29" s="305" t="n"/>
      <c r="AE29" s="305" t="n"/>
      <c r="AF29" s="305" t="n"/>
      <c r="AG29" s="192">
        <f>ROUND($O29*P29,0)</f>
        <v/>
      </c>
      <c r="AH29" s="192">
        <f>ROUND($O29*Q29,0)</f>
        <v/>
      </c>
      <c r="AI29" s="192">
        <f>ROUND($O29*R29,0)</f>
        <v/>
      </c>
      <c r="AJ29" s="192">
        <f>ROUND($O29*S29,0)</f>
        <v/>
      </c>
      <c r="AK29" s="192">
        <f>ROUND($O29*T29,0)</f>
        <v/>
      </c>
      <c r="AL29" s="192">
        <f>ROUND($O29*U29,0)</f>
        <v/>
      </c>
      <c r="AM29" s="192">
        <f>ROUND($O29*V29,0)</f>
        <v/>
      </c>
      <c r="AN29" s="192">
        <f>ROUND($O29*W29,0)</f>
        <v/>
      </c>
      <c r="AO29" s="192">
        <f>ROUND($O29*X29,0)</f>
        <v/>
      </c>
      <c r="AP29" s="193">
        <f>ROUND($O29*Y29,0)</f>
        <v/>
      </c>
      <c r="AQ29" s="193">
        <f>ROUND($O29*Z29,0)</f>
        <v/>
      </c>
      <c r="AR29" s="193">
        <f>ROUND($O29*AA29,0)</f>
        <v/>
      </c>
      <c r="AS29" s="193">
        <f>ROUND($O29*AB29,0)</f>
        <v/>
      </c>
      <c r="AT29" s="306">
        <f>ROUND($O29*AC29,0)</f>
        <v/>
      </c>
      <c r="AU29" s="306">
        <f>ROUND($O29*AD29,0)</f>
        <v/>
      </c>
      <c r="AV29" s="306">
        <f>ROUND($O29*AE29,0)</f>
        <v/>
      </c>
      <c r="AW29" s="306">
        <f>ROUND($O29*AF29,0)</f>
        <v/>
      </c>
      <c r="AX29" s="528" t="n"/>
      <c r="AY29" s="314" t="n"/>
      <c r="AZ29" s="528" t="n"/>
      <c r="BA29" s="528" t="n"/>
      <c r="BB29" s="314" t="n"/>
      <c r="BC29" s="528" t="n"/>
      <c r="BD29" s="528" t="n"/>
      <c r="BE29" s="528" t="n"/>
      <c r="BF29" s="528" t="n"/>
      <c r="BG29" s="528" t="n"/>
      <c r="BH29" s="528" t="n"/>
      <c r="BI29" s="314" t="n"/>
      <c r="BJ29" s="528" t="n"/>
      <c r="BK29" s="528" t="n"/>
      <c r="BL29" s="314" t="n"/>
      <c r="BM29" s="528" t="n"/>
      <c r="BN29" s="528" t="n"/>
      <c r="BO29" s="314" t="n"/>
      <c r="BP29" s="528" t="n"/>
      <c r="BQ29" s="528" t="n"/>
      <c r="BR29" s="314" t="n"/>
      <c r="BS29" s="314" t="n"/>
      <c r="BT29" s="528" t="n"/>
      <c r="BU29" s="528" t="n"/>
      <c r="BV29" s="528" t="n"/>
      <c r="BW29" s="314" t="n"/>
      <c r="BX29" s="528" t="n"/>
      <c r="BY29" s="528" t="n"/>
      <c r="BZ29" s="528" t="n"/>
      <c r="CA29" s="314" t="n"/>
      <c r="CB29" s="528" t="n"/>
      <c r="CC29" s="528" t="n"/>
      <c r="CD29" s="528" t="n"/>
      <c r="CE29" s="314" t="n"/>
    </row>
    <row r="30" ht="15.75" customFormat="1" customHeight="1" s="525" thickBot="1">
      <c r="A30" s="528" t="n">
        <v>2</v>
      </c>
      <c r="B30" s="528" t="inlineStr">
        <is>
          <t>e</t>
        </is>
      </c>
      <c r="C30" s="523" t="n">
        <v>7</v>
      </c>
      <c r="D30" s="524">
        <f>CONCATENATE(A$3,"_",A30,"_",B30,"_",C30)</f>
        <v/>
      </c>
      <c r="E30" s="526" t="inlineStr">
        <is>
          <t>Testy, walidacje i wybór Modelu optymalnego</t>
        </is>
      </c>
      <c r="F30" s="528" t="n"/>
      <c r="G30" s="528" t="n"/>
      <c r="H30" s="39" t="n">
        <v>7</v>
      </c>
      <c r="I30" s="100" t="inlineStr">
        <is>
          <t>ACT/END</t>
        </is>
      </c>
      <c r="J30" s="91">
        <f>M29+1</f>
        <v/>
      </c>
      <c r="K30" s="681">
        <f>VLOOKUP(J30,Kalendarz!B:E,4,FALSE)</f>
        <v/>
      </c>
      <c r="L30" s="681">
        <f>K30+N30</f>
        <v/>
      </c>
      <c r="M30" s="528">
        <f>J30+N30-1</f>
        <v/>
      </c>
      <c r="N30" s="474" t="n">
        <v>1</v>
      </c>
      <c r="O30" s="45" t="n">
        <v>120</v>
      </c>
      <c r="P30" s="187" t="n"/>
      <c r="Q30" s="187" t="n"/>
      <c r="R30" s="187" t="n"/>
      <c r="S30" s="187" t="n"/>
      <c r="T30" s="187" t="n">
        <v>0</v>
      </c>
      <c r="U30" s="187" t="n">
        <v>0.25</v>
      </c>
      <c r="V30" s="187" t="n">
        <v>0</v>
      </c>
      <c r="W30" s="187" t="n">
        <v>0</v>
      </c>
      <c r="X30" s="187" t="n">
        <v>0</v>
      </c>
      <c r="Y30" s="188" t="n">
        <v>0.25</v>
      </c>
      <c r="Z30" s="188" t="n">
        <v>0.25</v>
      </c>
      <c r="AA30" s="188" t="n">
        <v>0.25</v>
      </c>
      <c r="AB30" s="188" t="n">
        <v>0</v>
      </c>
      <c r="AC30" s="305" t="n"/>
      <c r="AD30" s="305" t="n"/>
      <c r="AE30" s="305" t="n"/>
      <c r="AF30" s="305" t="n"/>
      <c r="AG30" s="192">
        <f>ROUND($O30*P30,0)</f>
        <v/>
      </c>
      <c r="AH30" s="192">
        <f>ROUND($O30*Q30,0)</f>
        <v/>
      </c>
      <c r="AI30" s="192">
        <f>ROUND($O30*R30,0)</f>
        <v/>
      </c>
      <c r="AJ30" s="192">
        <f>ROUND($O30*S30,0)</f>
        <v/>
      </c>
      <c r="AK30" s="192">
        <f>ROUND($O30*T30,0)</f>
        <v/>
      </c>
      <c r="AL30" s="192">
        <f>ROUND($O30*U30,0)</f>
        <v/>
      </c>
      <c r="AM30" s="192">
        <f>ROUND($O30*V30,0)</f>
        <v/>
      </c>
      <c r="AN30" s="192">
        <f>ROUND($O30*W30,0)</f>
        <v/>
      </c>
      <c r="AO30" s="192">
        <f>ROUND($O30*X30,0)</f>
        <v/>
      </c>
      <c r="AP30" s="193">
        <f>ROUND($O30*Y30,0)</f>
        <v/>
      </c>
      <c r="AQ30" s="193">
        <f>ROUND($O30*Z30,0)</f>
        <v/>
      </c>
      <c r="AR30" s="193">
        <f>ROUND($O30*AA30,0)</f>
        <v/>
      </c>
      <c r="AS30" s="193">
        <f>ROUND($O30*AB30,0)</f>
        <v/>
      </c>
      <c r="AT30" s="306">
        <f>ROUND($O30*AC30,0)</f>
        <v/>
      </c>
      <c r="AU30" s="306">
        <f>ROUND($O30*AD30,0)</f>
        <v/>
      </c>
      <c r="AV30" s="306">
        <f>ROUND($O30*AE30,0)</f>
        <v/>
      </c>
      <c r="AW30" s="306">
        <f>ROUND($O30*AF30,0)</f>
        <v/>
      </c>
      <c r="AX30" s="528" t="n"/>
      <c r="AY30" s="314">
        <f>O30*AX30</f>
        <v/>
      </c>
      <c r="AZ30" s="528" t="n"/>
      <c r="BA30" s="528" t="n"/>
      <c r="BB30" s="314">
        <f>AZ30*BA30</f>
        <v/>
      </c>
      <c r="BC30" s="528" t="n"/>
      <c r="BD30" s="528" t="n"/>
      <c r="BE30" s="528" t="n"/>
      <c r="BF30" s="528" t="n"/>
      <c r="BG30" s="528" t="n"/>
      <c r="BH30" s="528" t="n"/>
      <c r="BI30" s="314">
        <f>BG30*BH30</f>
        <v/>
      </c>
      <c r="BJ30" s="528" t="n"/>
      <c r="BK30" s="528" t="n"/>
      <c r="BL30" s="314" t="n"/>
      <c r="BM30" s="528" t="n"/>
      <c r="BN30" s="528" t="n"/>
      <c r="BO30" s="314" t="n"/>
      <c r="BP30" s="528" t="n"/>
      <c r="BQ30" s="528" t="n"/>
      <c r="BR30" s="314" t="n"/>
      <c r="BS30" s="314" t="n"/>
      <c r="BT30" s="528" t="n"/>
      <c r="BU30" s="528" t="n"/>
      <c r="BV30" s="528" t="n"/>
      <c r="BW30" s="314">
        <f>BU30*BV30</f>
        <v/>
      </c>
      <c r="BX30" s="528" t="n"/>
      <c r="BY30" s="528" t="n"/>
      <c r="BZ30" s="528" t="n"/>
      <c r="CA30" s="314">
        <f>BY30*BZ30</f>
        <v/>
      </c>
      <c r="CB30" s="528" t="n"/>
      <c r="CC30" s="528" t="n"/>
      <c r="CD30" s="528" t="n"/>
      <c r="CE30" s="314">
        <f>CC30*CD30</f>
        <v/>
      </c>
    </row>
    <row r="31" ht="36.6" customFormat="1" customHeight="1" s="525" thickBot="1">
      <c r="A31" s="604" t="n">
        <v>3</v>
      </c>
      <c r="B31" s="604" t="inlineStr">
        <is>
          <t>a</t>
        </is>
      </c>
      <c r="C31" s="605" t="n">
        <v>0</v>
      </c>
      <c r="D31" s="606">
        <f>CONCATENATE(A$3,"_",A31,"_",B31,"_",C31)</f>
        <v/>
      </c>
      <c r="E31" s="607" t="inlineStr">
        <is>
          <t>3.Określenie możliwości zastosowania rozwiązań/narzędzi AI/ML do:</t>
        </is>
      </c>
      <c r="F31" s="528" t="n"/>
      <c r="G31" s="528" t="n"/>
      <c r="H31" s="528" t="n"/>
      <c r="I31" s="455" t="n"/>
      <c r="J31" s="91">
        <f>M30+1</f>
        <v/>
      </c>
      <c r="K31" s="681">
        <f>VLOOKUP(J31,Kalendarz!B:E,4,FALSE)</f>
        <v/>
      </c>
      <c r="L31" s="681">
        <f>K31+N31</f>
        <v/>
      </c>
      <c r="M31" s="528">
        <f>J31+N31-1</f>
        <v/>
      </c>
      <c r="N31" s="474">
        <f>ROUND(MAX(AG31:AO31)/Listy!$U$2,0)</f>
        <v/>
      </c>
      <c r="O31" s="190" t="n"/>
      <c r="P31" s="468" t="n"/>
      <c r="Q31" s="468" t="n"/>
      <c r="R31" s="468" t="n"/>
      <c r="S31" s="130" t="n"/>
      <c r="T31" s="130" t="n"/>
      <c r="U31" s="130" t="n"/>
      <c r="V31" s="130" t="n"/>
      <c r="W31" s="130" t="n"/>
      <c r="X31" s="468" t="n"/>
      <c r="Y31" s="468" t="n"/>
      <c r="Z31" s="468" t="n"/>
      <c r="AA31" s="148" t="n"/>
      <c r="AB31" s="190" t="n"/>
      <c r="AC31" s="190" t="n"/>
      <c r="AD31" s="190" t="n"/>
      <c r="AE31" s="190" t="n"/>
      <c r="AF31" s="148" t="n"/>
      <c r="AG31" s="148" t="n"/>
      <c r="AH31" s="148" t="n"/>
      <c r="AI31" s="148" t="n"/>
      <c r="AJ31" s="190" t="n"/>
      <c r="AK31" s="190" t="n"/>
      <c r="AL31" s="190" t="n"/>
      <c r="AM31" s="190" t="n"/>
      <c r="AN31" s="190" t="n"/>
      <c r="AO31" s="190" t="n"/>
      <c r="AP31" s="190" t="n"/>
      <c r="AQ31" s="190" t="n"/>
      <c r="AR31" s="190" t="n"/>
      <c r="AS31" s="304" t="n"/>
      <c r="AT31" s="304" t="n"/>
      <c r="AU31" s="304" t="n"/>
      <c r="AV31" s="304" t="n"/>
      <c r="AW31" s="148" t="n"/>
      <c r="AX31" s="51" t="n"/>
      <c r="AY31" s="14">
        <f>AY32+AY33+AY34+AY35+AY36+AY37</f>
        <v/>
      </c>
      <c r="AZ31" s="399" t="n"/>
      <c r="BA31" s="528" t="n"/>
      <c r="BB31" s="14">
        <f>BB32+BB33+BB34+BB35+BB36+BB37</f>
        <v/>
      </c>
      <c r="BC31" s="528" t="n"/>
      <c r="BD31" s="528" t="n"/>
      <c r="BE31" s="528" t="n"/>
      <c r="BF31" s="528" t="n"/>
      <c r="BG31" s="528" t="n"/>
      <c r="BH31" s="528" t="n"/>
      <c r="BI31" s="14">
        <f>BI32+BI33+BI34+BI35+BI36+BI37</f>
        <v/>
      </c>
      <c r="BJ31" s="528" t="n"/>
      <c r="BK31" s="528" t="n"/>
      <c r="BL31" s="14">
        <f>BL32+BL33+BL34+BL35+BL36+BL37</f>
        <v/>
      </c>
      <c r="BM31" s="528" t="n"/>
      <c r="BN31" s="528" t="n"/>
      <c r="BO31" s="14">
        <f>BO32+BO33+BO34+BO35+BO36+BO37</f>
        <v/>
      </c>
      <c r="BP31" s="528" t="n"/>
      <c r="BQ31" s="528" t="n"/>
      <c r="BR31" s="14">
        <f>BR32+BR33+BR34+BR35+BR36+BR37</f>
        <v/>
      </c>
      <c r="BS31" s="14">
        <f>BS32+BS33+BS34+BS35+BS36+BS37</f>
        <v/>
      </c>
      <c r="BT31" s="528" t="n"/>
      <c r="BU31" s="528" t="n"/>
      <c r="BV31" s="528" t="n"/>
      <c r="BW31" s="14">
        <f>BW32+BW33+BW34+BW35+BW36+BW37</f>
        <v/>
      </c>
      <c r="BX31" s="528" t="n"/>
      <c r="BY31" s="528" t="n"/>
      <c r="BZ31" s="528" t="n"/>
      <c r="CA31" s="14">
        <f>CA32+CA33+CA34+CA35+CA36+CA37</f>
        <v/>
      </c>
      <c r="CB31" s="528" t="n"/>
      <c r="CC31" s="528" t="n"/>
      <c r="CD31" s="528" t="n"/>
      <c r="CE31" s="14">
        <f>CE32+CE33+CE34+CE35+CE36+CE37</f>
        <v/>
      </c>
      <c r="CF31" s="525">
        <f>AY31+BB31+BI31+BL31+BO31+BR31+BS31+BW31+CA31+CE31</f>
        <v/>
      </c>
    </row>
    <row r="32" ht="72" customFormat="1" customHeight="1" s="525">
      <c r="A32" s="528" t="n">
        <v>3</v>
      </c>
      <c r="B32" s="528" t="inlineStr">
        <is>
          <t>a</t>
        </is>
      </c>
      <c r="C32" s="523" t="n">
        <v>1</v>
      </c>
      <c r="D32" s="524">
        <f>CONCATENATE(A$3,"_",A32,"_",B32,"_",C32)</f>
        <v/>
      </c>
      <c r="E32" s="526" t="inlineStr">
        <is>
          <t>Przewidywanie czasów realizacji, optymalizacja tras dla wózków, rozmieszczenia towarów (np. algorytmy genetyczne, regresji i klasyfikacji, uczenie nadzorowane, metaheurystyka, sieci neuronowe)</t>
        </is>
      </c>
      <c r="F32" s="528" t="n"/>
      <c r="G32" s="528" t="n"/>
      <c r="H32" s="46" t="n">
        <v>3</v>
      </c>
      <c r="I32" s="46" t="inlineStr">
        <is>
          <t>END/ACT</t>
        </is>
      </c>
      <c r="J32" s="91">
        <f>M31+1</f>
        <v/>
      </c>
      <c r="K32" s="681">
        <f>VLOOKUP(J32,Kalendarz!B:E,4,FALSE)</f>
        <v/>
      </c>
      <c r="L32" s="681">
        <f>K32+N32</f>
        <v/>
      </c>
      <c r="M32" s="528">
        <f>J32+N32-1</f>
        <v/>
      </c>
      <c r="N32" s="474" t="n">
        <v>1</v>
      </c>
      <c r="O32" s="45" t="n">
        <v>40</v>
      </c>
      <c r="P32" s="187" t="n"/>
      <c r="Q32" s="187" t="n"/>
      <c r="R32" s="187" t="n"/>
      <c r="S32" s="187" t="n"/>
      <c r="T32" s="187" t="n">
        <v>0.5</v>
      </c>
      <c r="U32" s="187" t="n">
        <v>0</v>
      </c>
      <c r="V32" s="187" t="n">
        <v>0</v>
      </c>
      <c r="W32" s="187" t="n">
        <v>0</v>
      </c>
      <c r="X32" s="187" t="n">
        <v>0</v>
      </c>
      <c r="Y32" s="188" t="n">
        <v>0.5</v>
      </c>
      <c r="Z32" s="188" t="n">
        <v>0</v>
      </c>
      <c r="AA32" s="188" t="n">
        <v>0</v>
      </c>
      <c r="AB32" s="188" t="n">
        <v>0</v>
      </c>
      <c r="AC32" s="305" t="n"/>
      <c r="AD32" s="305" t="n"/>
      <c r="AE32" s="305" t="n"/>
      <c r="AF32" s="305" t="n"/>
      <c r="AG32" s="192">
        <f>ROUND($O32*P32,0)</f>
        <v/>
      </c>
      <c r="AH32" s="192">
        <f>ROUND($O32*Q32,0)</f>
        <v/>
      </c>
      <c r="AI32" s="192">
        <f>ROUND($O32*R32,0)</f>
        <v/>
      </c>
      <c r="AJ32" s="192">
        <f>ROUND($O32*S32,0)</f>
        <v/>
      </c>
      <c r="AK32" s="192">
        <f>ROUND($O32*T32,0)</f>
        <v/>
      </c>
      <c r="AL32" s="192">
        <f>ROUND($O32*U32,0)</f>
        <v/>
      </c>
      <c r="AM32" s="192">
        <f>ROUND($O32*V32,0)</f>
        <v/>
      </c>
      <c r="AN32" s="192">
        <f>ROUND($O32*W32,0)</f>
        <v/>
      </c>
      <c r="AO32" s="192">
        <f>ROUND($O32*X32,0)</f>
        <v/>
      </c>
      <c r="AP32" s="193">
        <f>ROUND($O32*Y32,0)</f>
        <v/>
      </c>
      <c r="AQ32" s="193">
        <f>ROUND($O32*Z32,0)</f>
        <v/>
      </c>
      <c r="AR32" s="193">
        <f>ROUND($O32*AA32,0)</f>
        <v/>
      </c>
      <c r="AS32" s="193">
        <f>ROUND($O32*AB32,0)</f>
        <v/>
      </c>
      <c r="AT32" s="306">
        <f>ROUND($O32*AC32,0)</f>
        <v/>
      </c>
      <c r="AU32" s="306">
        <f>ROUND($O32*AD32,0)</f>
        <v/>
      </c>
      <c r="AV32" s="306">
        <f>ROUND($O32*AE32,0)</f>
        <v/>
      </c>
      <c r="AW32" s="306">
        <f>ROUND($O32*AF32,0)</f>
        <v/>
      </c>
      <c r="AX32" s="528" t="n"/>
      <c r="AY32" s="21">
        <f>O32*AX32</f>
        <v/>
      </c>
      <c r="AZ32" s="528" t="n"/>
      <c r="BA32" s="528" t="n"/>
      <c r="BB32" s="21">
        <f>AZ32*BA32</f>
        <v/>
      </c>
      <c r="BC32" s="528" t="n"/>
      <c r="BD32" s="528" t="n"/>
      <c r="BE32" s="528" t="n"/>
      <c r="BF32" s="528" t="n"/>
      <c r="BG32" s="528" t="n"/>
      <c r="BH32" s="528" t="n"/>
      <c r="BI32" s="21">
        <f>BG32*BH32</f>
        <v/>
      </c>
      <c r="BJ32" s="528" t="n"/>
      <c r="BK32" s="528" t="n"/>
      <c r="BL32" s="21" t="n">
        <v>0</v>
      </c>
      <c r="BM32" s="528" t="n"/>
      <c r="BN32" s="528" t="n"/>
      <c r="BO32" s="21" t="n">
        <v>0</v>
      </c>
      <c r="BP32" s="528" t="n"/>
      <c r="BQ32" s="528" t="n"/>
      <c r="BR32" s="21" t="n">
        <v>0</v>
      </c>
      <c r="BS32" s="21" t="n">
        <v>0</v>
      </c>
      <c r="BT32" s="528" t="n"/>
      <c r="BU32" s="528" t="n"/>
      <c r="BV32" s="528" t="n"/>
      <c r="BW32" s="21">
        <f>BU32*BV32</f>
        <v/>
      </c>
      <c r="BX32" s="528" t="n"/>
      <c r="BY32" s="528" t="n"/>
      <c r="BZ32" s="528" t="n"/>
      <c r="CA32" s="21">
        <f>BY32*BZ32</f>
        <v/>
      </c>
      <c r="CB32" s="528" t="n"/>
      <c r="CC32" s="528" t="n"/>
      <c r="CD32" s="528" t="n"/>
      <c r="CE32" s="21">
        <f>CC32*CD32</f>
        <v/>
      </c>
    </row>
    <row r="33" ht="28.8" customFormat="1" customHeight="1" s="525">
      <c r="A33" s="528" t="n">
        <v>3</v>
      </c>
      <c r="B33" s="528" t="inlineStr">
        <is>
          <t>b</t>
        </is>
      </c>
      <c r="C33" s="523" t="n">
        <v>1</v>
      </c>
      <c r="D33" s="524">
        <f>CONCATENATE(A$3,"_",A33,"_",B33,"_",C33)</f>
        <v/>
      </c>
      <c r="E33" s="526" t="inlineStr">
        <is>
          <t>Rozpoznawanie wzorców w ruchu wózków (np. uczenie nienadzorowane, klasteryzacja)</t>
        </is>
      </c>
      <c r="F33" s="528" t="n"/>
      <c r="G33" s="528" t="n"/>
      <c r="H33" s="45" t="n">
        <v>3</v>
      </c>
      <c r="I33" s="46" t="inlineStr">
        <is>
          <t>END/ACT</t>
        </is>
      </c>
      <c r="J33" s="91">
        <f>M32+1</f>
        <v/>
      </c>
      <c r="K33" s="681">
        <f>VLOOKUP(J33,Kalendarz!B:E,4,FALSE)</f>
        <v/>
      </c>
      <c r="L33" s="681">
        <f>K33+N33</f>
        <v/>
      </c>
      <c r="M33" s="528">
        <f>J33+N33-1</f>
        <v/>
      </c>
      <c r="N33" s="474" t="n">
        <v>1</v>
      </c>
      <c r="O33" s="45" t="n">
        <v>40</v>
      </c>
      <c r="P33" s="187" t="n"/>
      <c r="Q33" s="187" t="n"/>
      <c r="R33" s="187" t="n"/>
      <c r="S33" s="187" t="n"/>
      <c r="T33" s="187" t="n">
        <v>0</v>
      </c>
      <c r="U33" s="187" t="n">
        <v>0.5</v>
      </c>
      <c r="V33" s="187" t="n">
        <v>0</v>
      </c>
      <c r="W33" s="187" t="n">
        <v>0</v>
      </c>
      <c r="X33" s="187" t="n">
        <v>0</v>
      </c>
      <c r="Y33" s="188" t="n">
        <v>0.5</v>
      </c>
      <c r="Z33" s="188" t="n">
        <v>0</v>
      </c>
      <c r="AA33" s="188" t="n">
        <v>0</v>
      </c>
      <c r="AB33" s="188" t="n">
        <v>0</v>
      </c>
      <c r="AC33" s="305" t="n"/>
      <c r="AD33" s="305" t="n"/>
      <c r="AE33" s="305" t="n"/>
      <c r="AF33" s="305" t="n"/>
      <c r="AG33" s="192">
        <f>ROUND($O33*P33,0)</f>
        <v/>
      </c>
      <c r="AH33" s="192">
        <f>ROUND($O33*Q33,0)</f>
        <v/>
      </c>
      <c r="AI33" s="192">
        <f>ROUND($O33*R33,0)</f>
        <v/>
      </c>
      <c r="AJ33" s="192">
        <f>ROUND($O33*S33,0)</f>
        <v/>
      </c>
      <c r="AK33" s="192">
        <f>ROUND($O33*T33,0)</f>
        <v/>
      </c>
      <c r="AL33" s="192">
        <f>ROUND($O33*U33,0)</f>
        <v/>
      </c>
      <c r="AM33" s="192">
        <f>ROUND($O33*V33,0)</f>
        <v/>
      </c>
      <c r="AN33" s="192">
        <f>ROUND($O33*W33,0)</f>
        <v/>
      </c>
      <c r="AO33" s="192">
        <f>ROUND($O33*X33,0)</f>
        <v/>
      </c>
      <c r="AP33" s="193">
        <f>ROUND($O33*Y33,0)</f>
        <v/>
      </c>
      <c r="AQ33" s="193">
        <f>ROUND($O33*Z33,0)</f>
        <v/>
      </c>
      <c r="AR33" s="193">
        <f>ROUND($O33*AA33,0)</f>
        <v/>
      </c>
      <c r="AS33" s="193">
        <f>ROUND($O33*AB33,0)</f>
        <v/>
      </c>
      <c r="AT33" s="306">
        <f>ROUND($O33*AC33,0)</f>
        <v/>
      </c>
      <c r="AU33" s="306">
        <f>ROUND($O33*AD33,0)</f>
        <v/>
      </c>
      <c r="AV33" s="306">
        <f>ROUND($O33*AE33,0)</f>
        <v/>
      </c>
      <c r="AW33" s="306">
        <f>ROUND($O33*AF33,0)</f>
        <v/>
      </c>
      <c r="AX33" s="528" t="n"/>
      <c r="AY33" s="528">
        <f>O33*AX33</f>
        <v/>
      </c>
      <c r="AZ33" s="528" t="n"/>
      <c r="BA33" s="528" t="n"/>
      <c r="BB33" s="528">
        <f>AZ33*BA33</f>
        <v/>
      </c>
      <c r="BC33" s="528" t="n"/>
      <c r="BD33" s="528" t="n"/>
      <c r="BE33" s="528" t="n"/>
      <c r="BF33" s="528" t="n"/>
      <c r="BG33" s="528" t="n"/>
      <c r="BH33" s="528" t="n"/>
      <c r="BI33" s="528">
        <f>BG33*BH33</f>
        <v/>
      </c>
      <c r="BJ33" s="528" t="n"/>
      <c r="BK33" s="528" t="n"/>
      <c r="BL33" s="528">
        <f>BJ33*BK33</f>
        <v/>
      </c>
      <c r="BM33" s="528" t="n"/>
      <c r="BN33" s="528" t="n"/>
      <c r="BO33" s="528">
        <f>BM33*BN33</f>
        <v/>
      </c>
      <c r="BP33" s="528" t="n"/>
      <c r="BQ33" s="528" t="n"/>
      <c r="BR33" s="528">
        <f>BP33*BQ33</f>
        <v/>
      </c>
      <c r="BS33" s="528">
        <f>BQ33*BR33</f>
        <v/>
      </c>
      <c r="BT33" s="528" t="n"/>
      <c r="BU33" s="528" t="n"/>
      <c r="BV33" s="528" t="n"/>
      <c r="BW33" s="528">
        <f>BU33*BV33</f>
        <v/>
      </c>
      <c r="BX33" s="528" t="n"/>
      <c r="BY33" s="528" t="n"/>
      <c r="BZ33" s="528" t="n"/>
      <c r="CA33" s="528">
        <f>BY33*BZ33</f>
        <v/>
      </c>
      <c r="CB33" s="528" t="n"/>
      <c r="CC33" s="528" t="n"/>
      <c r="CD33" s="528" t="n"/>
      <c r="CE33" s="528">
        <f>CC33*CD33</f>
        <v/>
      </c>
    </row>
    <row r="34" ht="43.2" customFormat="1" customHeight="1" s="525">
      <c r="A34" s="528" t="n">
        <v>3</v>
      </c>
      <c r="B34" s="528" t="inlineStr">
        <is>
          <t>c</t>
        </is>
      </c>
      <c r="C34" s="523" t="n">
        <v>1</v>
      </c>
      <c r="D34" s="524">
        <f>CONCATENATE(A$3,"_",A34,"_",B34,"_",C34)</f>
        <v/>
      </c>
      <c r="E34" s="526" t="inlineStr">
        <is>
          <t>Prognozowanie zapotrzebowania i zarządzanie zasobami (np. sieci neuronowe, regresja, drzewa decyzyjne)</t>
        </is>
      </c>
      <c r="F34" s="528" t="n"/>
      <c r="G34" s="528" t="n"/>
      <c r="H34" s="45" t="n">
        <v>3</v>
      </c>
      <c r="I34" s="46" t="inlineStr">
        <is>
          <t>END/ACT</t>
        </is>
      </c>
      <c r="J34" s="91">
        <f>M33+1</f>
        <v/>
      </c>
      <c r="K34" s="681">
        <f>VLOOKUP(J34,Kalendarz!B:E,4,FALSE)</f>
        <v/>
      </c>
      <c r="L34" s="681">
        <f>K34+N34</f>
        <v/>
      </c>
      <c r="M34" s="528">
        <f>J34+N34-1</f>
        <v/>
      </c>
      <c r="N34" s="474" t="n">
        <v>1</v>
      </c>
      <c r="O34" s="45" t="n">
        <v>40</v>
      </c>
      <c r="P34" s="187" t="n"/>
      <c r="Q34" s="187" t="n"/>
      <c r="R34" s="187" t="n"/>
      <c r="S34" s="187" t="n"/>
      <c r="T34" s="187" t="n">
        <v>0</v>
      </c>
      <c r="U34" s="187" t="n">
        <v>0.25</v>
      </c>
      <c r="V34" s="187" t="n">
        <v>0</v>
      </c>
      <c r="W34" s="187" t="n">
        <v>0</v>
      </c>
      <c r="X34" s="187" t="n">
        <v>0</v>
      </c>
      <c r="Y34" s="188" t="n">
        <v>0</v>
      </c>
      <c r="Z34" s="188" t="n">
        <v>0.75</v>
      </c>
      <c r="AA34" s="188" t="n">
        <v>0</v>
      </c>
      <c r="AB34" s="188" t="n">
        <v>0</v>
      </c>
      <c r="AC34" s="305" t="n"/>
      <c r="AD34" s="305" t="n"/>
      <c r="AE34" s="305" t="n"/>
      <c r="AF34" s="305" t="n"/>
      <c r="AG34" s="192">
        <f>ROUND($O34*P34,0)</f>
        <v/>
      </c>
      <c r="AH34" s="192">
        <f>ROUND($O34*Q34,0)</f>
        <v/>
      </c>
      <c r="AI34" s="192">
        <f>ROUND($O34*R34,0)</f>
        <v/>
      </c>
      <c r="AJ34" s="192">
        <f>ROUND($O34*S34,0)</f>
        <v/>
      </c>
      <c r="AK34" s="192">
        <f>ROUND($O34*T34,0)</f>
        <v/>
      </c>
      <c r="AL34" s="192">
        <f>ROUND($O34*U34,0)</f>
        <v/>
      </c>
      <c r="AM34" s="192">
        <f>ROUND($O34*V34,0)</f>
        <v/>
      </c>
      <c r="AN34" s="192">
        <f>ROUND($O34*W34,0)</f>
        <v/>
      </c>
      <c r="AO34" s="192">
        <f>ROUND($O34*X34,0)</f>
        <v/>
      </c>
      <c r="AP34" s="193">
        <f>ROUND($O34*Y34,0)</f>
        <v/>
      </c>
      <c r="AQ34" s="193">
        <f>ROUND($O34*Z34,0)</f>
        <v/>
      </c>
      <c r="AR34" s="193">
        <f>ROUND($O34*AA34,0)</f>
        <v/>
      </c>
      <c r="AS34" s="193">
        <f>ROUND($O34*AB34,0)</f>
        <v/>
      </c>
      <c r="AT34" s="306">
        <f>ROUND($O34*AC34,0)</f>
        <v/>
      </c>
      <c r="AU34" s="306">
        <f>ROUND($O34*AD34,0)</f>
        <v/>
      </c>
      <c r="AV34" s="306">
        <f>ROUND($O34*AE34,0)</f>
        <v/>
      </c>
      <c r="AW34" s="306">
        <f>ROUND($O34*AF34,0)</f>
        <v/>
      </c>
      <c r="AX34" s="528" t="n"/>
      <c r="AY34" s="528">
        <f>O34*AX34</f>
        <v/>
      </c>
      <c r="AZ34" s="528" t="n"/>
      <c r="BA34" s="528" t="n"/>
      <c r="BB34" s="528">
        <f>AZ34*BA34</f>
        <v/>
      </c>
      <c r="BC34" s="528" t="n"/>
      <c r="BD34" s="528" t="n"/>
      <c r="BE34" s="528" t="n"/>
      <c r="BF34" s="528" t="n"/>
      <c r="BG34" s="528" t="n"/>
      <c r="BH34" s="528" t="n"/>
      <c r="BI34" s="528">
        <f>BG34*BH34</f>
        <v/>
      </c>
      <c r="BJ34" s="528" t="n"/>
      <c r="BK34" s="528" t="n"/>
      <c r="BL34" s="528" t="n">
        <v>0</v>
      </c>
      <c r="BM34" s="528" t="n"/>
      <c r="BN34" s="528" t="n"/>
      <c r="BO34" s="528" t="n">
        <v>0</v>
      </c>
      <c r="BP34" s="528" t="n"/>
      <c r="BQ34" s="528" t="n"/>
      <c r="BR34" s="528" t="n">
        <v>0</v>
      </c>
      <c r="BS34" s="528" t="n">
        <v>0</v>
      </c>
      <c r="BT34" s="528" t="n"/>
      <c r="BU34" s="528" t="n"/>
      <c r="BV34" s="528" t="n"/>
      <c r="BW34" s="528">
        <f>BU34*BV34</f>
        <v/>
      </c>
      <c r="BX34" s="528" t="n"/>
      <c r="BY34" s="528" t="n"/>
      <c r="BZ34" s="528" t="n"/>
      <c r="CA34" s="528">
        <f>BY34*BZ34</f>
        <v/>
      </c>
      <c r="CB34" s="528" t="n"/>
      <c r="CC34" s="528" t="n"/>
      <c r="CD34" s="528" t="n"/>
      <c r="CE34" s="528">
        <f>CC34*CD34</f>
        <v/>
      </c>
    </row>
    <row r="35" ht="43.2" customFormat="1" customHeight="1" s="525">
      <c r="A35" s="528" t="n">
        <v>3</v>
      </c>
      <c r="B35" s="528" t="inlineStr">
        <is>
          <t>d</t>
        </is>
      </c>
      <c r="C35" s="523" t="n">
        <v>1</v>
      </c>
      <c r="D35" s="524">
        <f>CONCATENATE(A$3,"_",A35,"_",B35,"_",C35)</f>
        <v/>
      </c>
      <c r="E35" s="526" t="inlineStr">
        <is>
          <t>Automatyzacja zarządzania zadaniami i ruchem (np. modele głębokiego uczenia CNN, CV, skanowanie 3D)</t>
        </is>
      </c>
      <c r="F35" s="528" t="n"/>
      <c r="G35" s="528" t="n"/>
      <c r="H35" s="39" t="n">
        <v>3</v>
      </c>
      <c r="I35" s="46" t="inlineStr">
        <is>
          <t>ACT/END</t>
        </is>
      </c>
      <c r="J35" s="91">
        <f>M34+1</f>
        <v/>
      </c>
      <c r="K35" s="681">
        <f>VLOOKUP(J35,Kalendarz!B:E,4,FALSE)</f>
        <v/>
      </c>
      <c r="L35" s="681">
        <f>K35+N35</f>
        <v/>
      </c>
      <c r="M35" s="528">
        <f>J35+N35-1</f>
        <v/>
      </c>
      <c r="N35" s="474" t="n">
        <v>0</v>
      </c>
      <c r="O35" s="45" t="n">
        <v>80</v>
      </c>
      <c r="P35" s="187" t="n"/>
      <c r="Q35" s="187" t="n"/>
      <c r="R35" s="187" t="n"/>
      <c r="S35" s="187" t="n"/>
      <c r="T35" s="187" t="n">
        <v>0.5</v>
      </c>
      <c r="U35" s="187" t="n">
        <v>0</v>
      </c>
      <c r="V35" s="187" t="n">
        <v>0</v>
      </c>
      <c r="W35" s="187" t="n">
        <v>0</v>
      </c>
      <c r="X35" s="187" t="n">
        <v>0</v>
      </c>
      <c r="Y35" s="188" t="n">
        <v>0</v>
      </c>
      <c r="Z35" s="188" t="n">
        <v>0</v>
      </c>
      <c r="AA35" s="188" t="n">
        <v>0.5</v>
      </c>
      <c r="AB35" s="188" t="n">
        <v>0</v>
      </c>
      <c r="AC35" s="305" t="n"/>
      <c r="AD35" s="305" t="n"/>
      <c r="AE35" s="305" t="n"/>
      <c r="AF35" s="305" t="n"/>
      <c r="AG35" s="192">
        <f>ROUND($O35*P35,0)</f>
        <v/>
      </c>
      <c r="AH35" s="192">
        <f>ROUND($O35*Q35,0)</f>
        <v/>
      </c>
      <c r="AI35" s="192">
        <f>ROUND($O35*R35,0)</f>
        <v/>
      </c>
      <c r="AJ35" s="192">
        <f>ROUND($O35*S35,0)</f>
        <v/>
      </c>
      <c r="AK35" s="192">
        <f>ROUND($O35*T35,0)</f>
        <v/>
      </c>
      <c r="AL35" s="192">
        <f>ROUND($O35*U35,0)</f>
        <v/>
      </c>
      <c r="AM35" s="192">
        <f>ROUND($O35*V35,0)</f>
        <v/>
      </c>
      <c r="AN35" s="192">
        <f>ROUND($O35*W35,0)</f>
        <v/>
      </c>
      <c r="AO35" s="192">
        <f>ROUND($O35*X35,0)</f>
        <v/>
      </c>
      <c r="AP35" s="193">
        <f>ROUND($O35*Y35,0)</f>
        <v/>
      </c>
      <c r="AQ35" s="193">
        <f>ROUND($O35*Z35,0)</f>
        <v/>
      </c>
      <c r="AR35" s="193">
        <f>ROUND($O35*AA35,0)</f>
        <v/>
      </c>
      <c r="AS35" s="193">
        <f>ROUND($O35*AB35,0)</f>
        <v/>
      </c>
      <c r="AT35" s="306">
        <f>ROUND($O35*AC35,0)</f>
        <v/>
      </c>
      <c r="AU35" s="306">
        <f>ROUND($O35*AD35,0)</f>
        <v/>
      </c>
      <c r="AV35" s="306">
        <f>ROUND($O35*AE35,0)</f>
        <v/>
      </c>
      <c r="AW35" s="306">
        <f>ROUND($O35*AF35,0)</f>
        <v/>
      </c>
      <c r="AX35" s="528" t="n"/>
      <c r="AY35" s="528">
        <f>O35*AX35</f>
        <v/>
      </c>
      <c r="AZ35" s="528" t="n"/>
      <c r="BA35" s="528" t="n"/>
      <c r="BB35" s="528">
        <f>AZ35*BA35</f>
        <v/>
      </c>
      <c r="BC35" s="528" t="n"/>
      <c r="BD35" s="528" t="n"/>
      <c r="BE35" s="528" t="n"/>
      <c r="BF35" s="528" t="n"/>
      <c r="BG35" s="528" t="n"/>
      <c r="BH35" s="528" t="n"/>
      <c r="BI35" s="528">
        <f>BG35*BH35</f>
        <v/>
      </c>
      <c r="BJ35" s="528" t="n"/>
      <c r="BK35" s="528" t="n"/>
      <c r="BL35" s="314" t="n"/>
      <c r="BM35" s="528" t="n"/>
      <c r="BN35" s="528" t="n"/>
      <c r="BO35" s="314" t="n"/>
      <c r="BP35" s="528" t="n"/>
      <c r="BQ35" s="528" t="n"/>
      <c r="BR35" s="314" t="n"/>
      <c r="BS35" s="314" t="n"/>
      <c r="BT35" s="528" t="n"/>
      <c r="BU35" s="528" t="n"/>
      <c r="BV35" s="528" t="n"/>
      <c r="BW35" s="528">
        <f>BU35*BV35</f>
        <v/>
      </c>
      <c r="BX35" s="528" t="n"/>
      <c r="BY35" s="528" t="n"/>
      <c r="BZ35" s="528" t="n"/>
      <c r="CA35" s="528">
        <f>BY35*BZ35</f>
        <v/>
      </c>
      <c r="CB35" s="528" t="n"/>
      <c r="CC35" s="528" t="n"/>
      <c r="CD35" s="528" t="n"/>
      <c r="CE35" s="528">
        <f>CC35*CD35</f>
        <v/>
      </c>
    </row>
    <row r="36" ht="43.2" customFormat="1" customHeight="1" s="525">
      <c r="A36" s="528" t="n">
        <v>3</v>
      </c>
      <c r="B36" s="528" t="inlineStr">
        <is>
          <t>e</t>
        </is>
      </c>
      <c r="C36" s="523" t="n">
        <v>1</v>
      </c>
      <c r="D36" s="524">
        <f>CONCATENATE(A$3,"_",A36,"_",B36,"_",C36)</f>
        <v/>
      </c>
      <c r="E36" s="526" t="inlineStr">
        <is>
          <t>Symulacja etapów procesów w systemach zarządzania MWS (np. symulacje Monte Carlo, modele agentowe)</t>
        </is>
      </c>
      <c r="F36" s="528" t="n"/>
      <c r="G36" s="528" t="n"/>
      <c r="H36" s="39" t="n">
        <v>3</v>
      </c>
      <c r="I36" s="46" t="inlineStr">
        <is>
          <t>ACT/END</t>
        </is>
      </c>
      <c r="J36" s="91">
        <f>M35+1</f>
        <v/>
      </c>
      <c r="K36" s="681">
        <f>VLOOKUP(J36,Kalendarz!B:E,4,FALSE)</f>
        <v/>
      </c>
      <c r="L36" s="681">
        <f>K36+N36</f>
        <v/>
      </c>
      <c r="M36" s="528">
        <f>J36+N36-1</f>
        <v/>
      </c>
      <c r="N36" s="474" t="n">
        <v>2</v>
      </c>
      <c r="O36" s="45" t="n">
        <v>160</v>
      </c>
      <c r="P36" s="187" t="n"/>
      <c r="Q36" s="187" t="n"/>
      <c r="R36" s="187" t="n"/>
      <c r="S36" s="187" t="n"/>
      <c r="T36" s="187" t="n">
        <v>0</v>
      </c>
      <c r="U36" s="187" t="n">
        <v>0</v>
      </c>
      <c r="V36" s="187" t="n">
        <v>0.5</v>
      </c>
      <c r="W36" s="187" t="n">
        <v>0</v>
      </c>
      <c r="X36" s="187" t="n">
        <v>0.5</v>
      </c>
      <c r="Y36" s="188" t="n">
        <v>0</v>
      </c>
      <c r="Z36" s="188" t="n">
        <v>0</v>
      </c>
      <c r="AA36" s="188" t="n">
        <v>0</v>
      </c>
      <c r="AB36" s="188" t="n">
        <v>0</v>
      </c>
      <c r="AC36" s="305" t="n"/>
      <c r="AD36" s="305" t="n"/>
      <c r="AE36" s="305" t="n"/>
      <c r="AF36" s="305" t="n"/>
      <c r="AG36" s="192">
        <f>ROUND($O36*P36,0)</f>
        <v/>
      </c>
      <c r="AH36" s="192">
        <f>ROUND($O36*Q36,0)</f>
        <v/>
      </c>
      <c r="AI36" s="192">
        <f>ROUND($O36*R36,0)</f>
        <v/>
      </c>
      <c r="AJ36" s="192">
        <f>ROUND($O36*S36,0)</f>
        <v/>
      </c>
      <c r="AK36" s="192">
        <f>ROUND($O36*T36,0)</f>
        <v/>
      </c>
      <c r="AL36" s="192">
        <f>ROUND($O36*U36,0)</f>
        <v/>
      </c>
      <c r="AM36" s="192">
        <f>ROUND($O36*V36,0)</f>
        <v/>
      </c>
      <c r="AN36" s="192">
        <f>ROUND($O36*W36,0)</f>
        <v/>
      </c>
      <c r="AO36" s="192">
        <f>ROUND($O36*X36,0)</f>
        <v/>
      </c>
      <c r="AP36" s="193">
        <f>ROUND($O36*Y36,0)</f>
        <v/>
      </c>
      <c r="AQ36" s="193">
        <f>ROUND($O36*Z36,0)</f>
        <v/>
      </c>
      <c r="AR36" s="193">
        <f>ROUND($O36*AA36,0)</f>
        <v/>
      </c>
      <c r="AS36" s="193">
        <f>ROUND($O36*AB36,0)</f>
        <v/>
      </c>
      <c r="AT36" s="306">
        <f>ROUND($O36*AC36,0)</f>
        <v/>
      </c>
      <c r="AU36" s="306">
        <f>ROUND($O36*AD36,0)</f>
        <v/>
      </c>
      <c r="AV36" s="306">
        <f>ROUND($O36*AE36,0)</f>
        <v/>
      </c>
      <c r="AW36" s="306">
        <f>ROUND($O36*AF36,0)</f>
        <v/>
      </c>
      <c r="AX36" s="47" t="n"/>
      <c r="AY36" s="48">
        <f>O36*AX36</f>
        <v/>
      </c>
      <c r="AZ36" s="47" t="n"/>
      <c r="BA36" s="47" t="n"/>
      <c r="BB36" s="48">
        <f>AZ36*BA36</f>
        <v/>
      </c>
      <c r="BC36" s="47" t="n"/>
      <c r="BD36" s="47" t="n"/>
      <c r="BE36" s="47" t="n"/>
      <c r="BF36" s="47" t="n"/>
      <c r="BG36" s="47" t="n"/>
      <c r="BH36" s="47" t="n"/>
      <c r="BI36" s="48">
        <f>BG36*BH36</f>
        <v/>
      </c>
      <c r="BJ36" s="47" t="n"/>
      <c r="BK36" s="47" t="n"/>
      <c r="BL36" s="48" t="n">
        <v>0</v>
      </c>
      <c r="BM36" s="47" t="n"/>
      <c r="BN36" s="47" t="n"/>
      <c r="BO36" s="48" t="n">
        <v>0</v>
      </c>
      <c r="BP36" s="47" t="n"/>
      <c r="BQ36" s="47" t="n"/>
      <c r="BR36" s="48" t="n">
        <v>0</v>
      </c>
      <c r="BS36" s="48" t="n">
        <v>0</v>
      </c>
      <c r="BT36" s="47" t="n"/>
      <c r="BU36" s="47" t="n"/>
      <c r="BV36" s="47" t="n"/>
      <c r="BW36" s="48">
        <f>BU36*BV36</f>
        <v/>
      </c>
      <c r="BX36" s="47" t="n"/>
      <c r="BY36" s="47" t="n"/>
      <c r="BZ36" s="47" t="n"/>
      <c r="CA36" s="48">
        <f>BY36*BZ36</f>
        <v/>
      </c>
      <c r="CB36" s="47" t="n"/>
      <c r="CC36" s="47" t="n"/>
      <c r="CD36" s="47" t="n"/>
      <c r="CE36" s="48">
        <f>CC36*CD36</f>
        <v/>
      </c>
      <c r="CF36" s="49" t="n"/>
    </row>
    <row r="37" ht="43.8" customFormat="1" customHeight="1" s="525" thickBot="1">
      <c r="A37" s="528" t="n">
        <v>3</v>
      </c>
      <c r="B37" s="528" t="inlineStr">
        <is>
          <t>f</t>
        </is>
      </c>
      <c r="C37" s="523" t="n">
        <v>1</v>
      </c>
      <c r="D37" s="524">
        <f>CONCATENATE(A$3,"_",A37,"_",B37,"_",C37)</f>
        <v/>
      </c>
      <c r="E37" s="526" t="inlineStr">
        <is>
          <t>Ocena i wybór platformy technologicznej (np. Google AI Platform, Microsoft Azure ML, Amazon SageMaker)</t>
        </is>
      </c>
      <c r="F37" s="528" t="n"/>
      <c r="G37" s="528" t="n"/>
      <c r="H37" s="39" t="n">
        <v>4</v>
      </c>
      <c r="I37" s="46" t="inlineStr">
        <is>
          <t>ACT/END</t>
        </is>
      </c>
      <c r="J37" s="91">
        <f>M36+1</f>
        <v/>
      </c>
      <c r="K37" s="681">
        <f>VLOOKUP(J37,Kalendarz!B:E,4,FALSE)</f>
        <v/>
      </c>
      <c r="L37" s="681">
        <f>K37+N37</f>
        <v/>
      </c>
      <c r="M37" s="528">
        <f>J37+N37-1</f>
        <v/>
      </c>
      <c r="N37" s="474" t="n">
        <v>0</v>
      </c>
      <c r="O37" s="45" t="n">
        <v>80</v>
      </c>
      <c r="P37" s="187" t="n"/>
      <c r="Q37" s="187" t="n"/>
      <c r="R37" s="187" t="n"/>
      <c r="S37" s="187" t="n"/>
      <c r="T37" s="187" t="n">
        <v>0.25</v>
      </c>
      <c r="U37" s="187" t="n">
        <v>0.25</v>
      </c>
      <c r="V37" s="187" t="n">
        <v>0</v>
      </c>
      <c r="W37" s="187" t="n">
        <v>0</v>
      </c>
      <c r="X37" s="187" t="n">
        <v>0</v>
      </c>
      <c r="Y37" s="188" t="n">
        <v>0.25</v>
      </c>
      <c r="Z37" s="188" t="n">
        <v>0.25</v>
      </c>
      <c r="AA37" s="188" t="n">
        <v>0</v>
      </c>
      <c r="AB37" s="188" t="n">
        <v>0</v>
      </c>
      <c r="AC37" s="305" t="n"/>
      <c r="AD37" s="305" t="n"/>
      <c r="AE37" s="305" t="n"/>
      <c r="AF37" s="305" t="n"/>
      <c r="AG37" s="192">
        <f>ROUND($O37*P37,0)</f>
        <v/>
      </c>
      <c r="AH37" s="192">
        <f>ROUND($O37*Q37,0)</f>
        <v/>
      </c>
      <c r="AI37" s="192">
        <f>ROUND($O37*R37,0)</f>
        <v/>
      </c>
      <c r="AJ37" s="192">
        <f>ROUND($O37*S37,0)</f>
        <v/>
      </c>
      <c r="AK37" s="192">
        <f>ROUND($O37*T37,0)</f>
        <v/>
      </c>
      <c r="AL37" s="192">
        <f>ROUND($O37*U37,0)</f>
        <v/>
      </c>
      <c r="AM37" s="192">
        <f>ROUND($O37*V37,0)</f>
        <v/>
      </c>
      <c r="AN37" s="192">
        <f>ROUND($O37*W37,0)</f>
        <v/>
      </c>
      <c r="AO37" s="192">
        <f>ROUND($O37*X37,0)</f>
        <v/>
      </c>
      <c r="AP37" s="193">
        <f>ROUND($O37*Y37,0)</f>
        <v/>
      </c>
      <c r="AQ37" s="193">
        <f>ROUND($O37*Z37,0)</f>
        <v/>
      </c>
      <c r="AR37" s="193">
        <f>ROUND($O37*AA37,0)</f>
        <v/>
      </c>
      <c r="AS37" s="193">
        <f>ROUND($O37*AB37,0)</f>
        <v/>
      </c>
      <c r="AT37" s="306">
        <f>ROUND($O37*AC37,0)</f>
        <v/>
      </c>
      <c r="AU37" s="306">
        <f>ROUND($O37*AD37,0)</f>
        <v/>
      </c>
      <c r="AV37" s="306">
        <f>ROUND($O37*AE37,0)</f>
        <v/>
      </c>
      <c r="AW37" s="306">
        <f>ROUND($O37*AF37,0)</f>
        <v/>
      </c>
      <c r="AX37" s="51" t="n"/>
      <c r="AZ37" s="399" t="n"/>
      <c r="BA37" s="528" t="n"/>
      <c r="BC37" s="528" t="n"/>
      <c r="BD37" s="528" t="n"/>
      <c r="BE37" s="528" t="n"/>
      <c r="BF37" s="528" t="n"/>
      <c r="BG37" s="528" t="n"/>
      <c r="BH37" s="528" t="n"/>
      <c r="BJ37" s="528" t="n"/>
      <c r="BK37" s="528" t="n"/>
      <c r="BM37" s="528" t="n"/>
      <c r="BN37" s="528" t="n"/>
      <c r="BP37" s="528" t="n"/>
      <c r="BQ37" s="528" t="n"/>
      <c r="BT37" s="528" t="n"/>
      <c r="BU37" s="528" t="n"/>
      <c r="BV37" s="528" t="n"/>
      <c r="BX37" s="528" t="n"/>
      <c r="BY37" s="528" t="n"/>
      <c r="BZ37" s="528" t="n"/>
      <c r="CB37" s="528" t="n"/>
      <c r="CC37" s="528" t="n"/>
      <c r="CD37" s="528" t="n"/>
    </row>
    <row r="38" ht="15.75" customFormat="1" customHeight="1" s="525" thickBot="1">
      <c r="A38" s="604" t="n">
        <v>4</v>
      </c>
      <c r="B38" s="604" t="inlineStr">
        <is>
          <t>a</t>
        </is>
      </c>
      <c r="C38" s="605" t="n">
        <v>0</v>
      </c>
      <c r="D38" s="606">
        <f>CONCATENATE(A$3,"_",A38,"_",B38,"_",C38)</f>
        <v/>
      </c>
      <c r="E38" s="607" t="inlineStr">
        <is>
          <t>4.Modelowanie symulacyjne procesów w MWS</t>
        </is>
      </c>
      <c r="F38" s="528" t="n"/>
      <c r="G38" s="528" t="n"/>
      <c r="H38" s="39" t="n"/>
      <c r="I38" s="46" t="n"/>
      <c r="J38" s="91">
        <f>M37+1</f>
        <v/>
      </c>
      <c r="K38" s="681">
        <f>VLOOKUP(J38,Kalendarz!B:E,4,FALSE)</f>
        <v/>
      </c>
      <c r="L38" s="681">
        <f>K38+N38</f>
        <v/>
      </c>
      <c r="M38" s="528">
        <f>J38+N38-1</f>
        <v/>
      </c>
      <c r="N38" s="474">
        <f>ROUND(MAX(AG38:AO38)/Listy!$U$2,0)</f>
        <v/>
      </c>
      <c r="O38" s="51" t="n"/>
      <c r="P38" s="51" t="n"/>
      <c r="Q38" s="51" t="n"/>
      <c r="R38" s="51" t="n"/>
      <c r="S38" s="51" t="n"/>
      <c r="T38" s="391" t="n"/>
      <c r="U38" s="391" t="n"/>
      <c r="V38" s="391" t="n"/>
      <c r="W38" s="391" t="n"/>
      <c r="X38" s="391" t="n"/>
      <c r="Y38" s="51" t="n"/>
      <c r="Z38" s="51" t="n"/>
      <c r="AA38" s="51" t="n"/>
      <c r="AB38" s="51" t="n"/>
      <c r="AC38" s="367" t="n"/>
      <c r="AD38" s="367" t="n"/>
      <c r="AE38" s="367" t="n"/>
      <c r="AF38" s="367" t="n"/>
      <c r="AG38" s="192">
        <f>ROUND($O38*P38,0)</f>
        <v/>
      </c>
      <c r="AH38" s="192">
        <f>ROUND($O38*Q38,0)</f>
        <v/>
      </c>
      <c r="AI38" s="192">
        <f>ROUND($O38*R38,0)</f>
        <v/>
      </c>
      <c r="AJ38" s="192">
        <f>ROUND($O38*S38,0)</f>
        <v/>
      </c>
      <c r="AK38" s="192">
        <f>ROUND($O38*T38,0)</f>
        <v/>
      </c>
      <c r="AL38" s="192">
        <f>ROUND($O38*U38,0)</f>
        <v/>
      </c>
      <c r="AM38" s="192">
        <f>ROUND($O38*V38,0)</f>
        <v/>
      </c>
      <c r="AN38" s="192">
        <f>ROUND($O38*W38,0)</f>
        <v/>
      </c>
      <c r="AO38" s="192">
        <f>ROUND($O38*X38,0)</f>
        <v/>
      </c>
      <c r="AP38" s="193" t="n"/>
      <c r="AQ38" s="193" t="n"/>
      <c r="AR38" s="193" t="n"/>
      <c r="AS38" s="193" t="n"/>
      <c r="AT38" s="306">
        <f>ROUND($O38*AC38,0)</f>
        <v/>
      </c>
      <c r="AU38" s="306">
        <f>ROUND($O38*AD38,0)</f>
        <v/>
      </c>
      <c r="AV38" s="306">
        <f>ROUND($O38*AE38,0)</f>
        <v/>
      </c>
      <c r="AW38" s="306">
        <f>ROUND($O38*AF38,0)</f>
        <v/>
      </c>
      <c r="AX38" s="51" t="n"/>
      <c r="AY38" s="35">
        <f>AY39+AY40+AY41+AY42</f>
        <v/>
      </c>
      <c r="AZ38" s="399" t="n"/>
      <c r="BA38" s="528" t="n"/>
      <c r="BB38" s="35">
        <f>BB39+BB40+BB41+BB42</f>
        <v/>
      </c>
      <c r="BC38" s="528" t="n"/>
      <c r="BD38" s="528" t="n"/>
      <c r="BE38" s="528" t="n"/>
      <c r="BF38" s="528" t="n"/>
      <c r="BG38" s="528" t="n"/>
      <c r="BH38" s="528" t="n"/>
      <c r="BI38" s="35">
        <f>BI39+BI40+BI41+BI42</f>
        <v/>
      </c>
      <c r="BJ38" s="528" t="n"/>
      <c r="BK38" s="528" t="n"/>
      <c r="BL38" s="35">
        <f>BL39+BL40+BL41+BL42</f>
        <v/>
      </c>
      <c r="BM38" s="528" t="n"/>
      <c r="BN38" s="528" t="n"/>
      <c r="BO38" s="35">
        <f>BO39+BO40+BO41+BO42</f>
        <v/>
      </c>
      <c r="BP38" s="528" t="n"/>
      <c r="BQ38" s="528" t="n"/>
      <c r="BR38" s="35">
        <f>BR39+BR40+BR41+BR42</f>
        <v/>
      </c>
      <c r="BS38" s="35">
        <f>BS39+BS40+BS41+BS42</f>
        <v/>
      </c>
      <c r="BT38" s="528" t="n"/>
      <c r="BU38" s="528" t="n"/>
      <c r="BV38" s="528" t="n"/>
      <c r="BW38" s="35">
        <f>BW39+BW40+BW41+BW42</f>
        <v/>
      </c>
      <c r="BX38" s="528" t="n"/>
      <c r="BY38" s="528" t="n"/>
      <c r="BZ38" s="528" t="n"/>
      <c r="CA38" s="35">
        <f>CA39+CA40+CA41+CA42</f>
        <v/>
      </c>
      <c r="CB38" s="528" t="n"/>
      <c r="CC38" s="528" t="n"/>
      <c r="CD38" s="528" t="n"/>
      <c r="CE38" s="35">
        <f>CE39+CE40+CE41+CE42</f>
        <v/>
      </c>
      <c r="CF38" s="525">
        <f>AY38+BB38+BI38+BL38+BO38+BR38+BS38+BW38+CA38+CE38</f>
        <v/>
      </c>
    </row>
    <row r="39" ht="14.4" customFormat="1" customHeight="1" s="525">
      <c r="A39" s="528" t="n">
        <v>4</v>
      </c>
      <c r="B39" s="528" t="inlineStr">
        <is>
          <t>a</t>
        </is>
      </c>
      <c r="C39" s="523" t="n">
        <v>1</v>
      </c>
      <c r="D39" s="524">
        <f>CONCATENATE(A$3,"_",A39,"_",B39,"_",C39)</f>
        <v/>
      </c>
      <c r="E39" s="526" t="inlineStr">
        <is>
          <t>Określenie kluczowych zmiennych</t>
        </is>
      </c>
      <c r="F39" s="528" t="n"/>
      <c r="G39" s="528" t="n"/>
      <c r="H39" s="45" t="n">
        <v>4</v>
      </c>
      <c r="I39" s="46" t="inlineStr">
        <is>
          <t>ACT/END</t>
        </is>
      </c>
      <c r="J39" s="91">
        <f>M38+1</f>
        <v/>
      </c>
      <c r="K39" s="681">
        <f>VLOOKUP(J39,Kalendarz!B:E,4,FALSE)</f>
        <v/>
      </c>
      <c r="L39" s="681">
        <f>K39+N39</f>
        <v/>
      </c>
      <c r="M39" s="528">
        <f>J39+N39-1</f>
        <v/>
      </c>
      <c r="N39" s="474" t="n">
        <v>1</v>
      </c>
      <c r="O39" s="45" t="n">
        <v>160</v>
      </c>
      <c r="P39" s="187" t="n"/>
      <c r="Q39" s="187" t="n"/>
      <c r="R39" s="187" t="n"/>
      <c r="S39" s="187" t="n"/>
      <c r="T39" s="187" t="n">
        <v>0.25</v>
      </c>
      <c r="U39" s="187" t="n">
        <v>0</v>
      </c>
      <c r="V39" s="187" t="n">
        <v>0.25</v>
      </c>
      <c r="W39" s="187" t="n">
        <v>0.25</v>
      </c>
      <c r="X39" s="187" t="n">
        <v>0.25</v>
      </c>
      <c r="Y39" s="188" t="n">
        <v>0</v>
      </c>
      <c r="Z39" s="188" t="n">
        <v>0</v>
      </c>
      <c r="AA39" s="188" t="n">
        <v>0</v>
      </c>
      <c r="AB39" s="188" t="n">
        <v>0</v>
      </c>
      <c r="AC39" s="305" t="n"/>
      <c r="AD39" s="305" t="n"/>
      <c r="AE39" s="305" t="n"/>
      <c r="AF39" s="305" t="n"/>
      <c r="AG39" s="192">
        <f>ROUND($O39*P39,0)</f>
        <v/>
      </c>
      <c r="AH39" s="192">
        <f>ROUND($O39*Q39,0)</f>
        <v/>
      </c>
      <c r="AI39" s="192">
        <f>ROUND($O39*R39,0)</f>
        <v/>
      </c>
      <c r="AJ39" s="192">
        <f>ROUND($O39*S39,0)</f>
        <v/>
      </c>
      <c r="AK39" s="192">
        <f>ROUND($O39*T39,0)</f>
        <v/>
      </c>
      <c r="AL39" s="192">
        <f>ROUND($O39*U39,0)</f>
        <v/>
      </c>
      <c r="AM39" s="192">
        <f>ROUND($O39*V39,0)</f>
        <v/>
      </c>
      <c r="AN39" s="192">
        <f>ROUND($O39*W39,0)</f>
        <v/>
      </c>
      <c r="AO39" s="192">
        <f>ROUND($O39*X39,0)</f>
        <v/>
      </c>
      <c r="AP39" s="193">
        <f>ROUND($O39*Y39,0)</f>
        <v/>
      </c>
      <c r="AQ39" s="193">
        <f>ROUND($O39*Z39,0)</f>
        <v/>
      </c>
      <c r="AR39" s="193">
        <f>ROUND($O39*AA39,0)</f>
        <v/>
      </c>
      <c r="AS39" s="193">
        <f>ROUND($O39*AB39,0)</f>
        <v/>
      </c>
      <c r="AT39" s="306">
        <f>ROUND($O39*AC39,0)</f>
        <v/>
      </c>
      <c r="AU39" s="306">
        <f>ROUND($O39*AD39,0)</f>
        <v/>
      </c>
      <c r="AV39" s="306">
        <f>ROUND($O39*AE39,0)</f>
        <v/>
      </c>
      <c r="AW39" s="306">
        <f>ROUND($O39*AF39,0)</f>
        <v/>
      </c>
      <c r="AX39" s="528" t="n"/>
      <c r="AY39" s="21">
        <f>O39*AX39</f>
        <v/>
      </c>
      <c r="AZ39" s="528" t="n"/>
      <c r="BA39" s="528" t="n"/>
      <c r="BB39" s="21">
        <f>AZ39*BA39</f>
        <v/>
      </c>
      <c r="BC39" s="528" t="n"/>
      <c r="BD39" s="528" t="n"/>
      <c r="BE39" s="528" t="n"/>
      <c r="BF39" s="528" t="n"/>
      <c r="BG39" s="528" t="n"/>
      <c r="BH39" s="528" t="n"/>
      <c r="BI39" s="21">
        <f>BG39*BH39</f>
        <v/>
      </c>
      <c r="BJ39" s="528" t="n"/>
      <c r="BK39" s="528" t="n"/>
      <c r="BL39" s="21" t="n"/>
      <c r="BM39" s="528" t="n"/>
      <c r="BN39" s="528" t="n"/>
      <c r="BO39" s="21" t="n"/>
      <c r="BP39" s="528" t="n"/>
      <c r="BQ39" s="528" t="n"/>
      <c r="BR39" s="21" t="n"/>
      <c r="BS39" s="21" t="n"/>
      <c r="BT39" s="528" t="n"/>
      <c r="BU39" s="528" t="n"/>
      <c r="BV39" s="528" t="n"/>
      <c r="BW39" s="21">
        <f>BU39*BV39</f>
        <v/>
      </c>
      <c r="BX39" s="528" t="n"/>
      <c r="BY39" s="528" t="n"/>
      <c r="BZ39" s="528" t="n"/>
      <c r="CA39" s="21">
        <f>BY39*BZ39</f>
        <v/>
      </c>
      <c r="CB39" s="528" t="n"/>
      <c r="CC39" s="528" t="n"/>
      <c r="CD39" s="528" t="n"/>
      <c r="CE39" s="21">
        <f>CC39*CD39</f>
        <v/>
      </c>
    </row>
    <row r="40" ht="28.8" customFormat="1" customHeight="1" s="525">
      <c r="A40" s="528" t="n">
        <v>4</v>
      </c>
      <c r="B40" s="528" t="inlineStr">
        <is>
          <t>b</t>
        </is>
      </c>
      <c r="C40" s="523" t="n">
        <v>1</v>
      </c>
      <c r="D40" s="524">
        <f>CONCATENATE(A$3,"_",A40,"_",B40,"_",C40)</f>
        <v/>
      </c>
      <c r="E40" s="526" t="inlineStr">
        <is>
          <t>Budowa modeli dyskretnych, predykcyjnych  i relacyjnych</t>
        </is>
      </c>
      <c r="F40" s="528" t="n"/>
      <c r="G40" s="528" t="n"/>
      <c r="H40" s="39" t="n">
        <v>6</v>
      </c>
      <c r="I40" s="455" t="inlineStr">
        <is>
          <t>END</t>
        </is>
      </c>
      <c r="J40" s="91">
        <f>M39+1</f>
        <v/>
      </c>
      <c r="K40" s="681">
        <f>VLOOKUP(J40,Kalendarz!B:E,4,FALSE)</f>
        <v/>
      </c>
      <c r="L40" s="681">
        <f>K40+N40</f>
        <v/>
      </c>
      <c r="M40" s="528">
        <f>J40+N40-1</f>
        <v/>
      </c>
      <c r="N40" s="474">
        <f>ROUND(MAX(AG40:AO40)/Listy!$U$2,0)</f>
        <v/>
      </c>
      <c r="O40" s="45" t="n">
        <v>120</v>
      </c>
      <c r="P40" s="187" t="n"/>
      <c r="Q40" s="187" t="n"/>
      <c r="R40" s="187" t="n"/>
      <c r="S40" s="187" t="n"/>
      <c r="T40" s="187" t="n">
        <v>0</v>
      </c>
      <c r="U40" s="187" t="n">
        <v>0</v>
      </c>
      <c r="V40" s="187" t="n">
        <v>0</v>
      </c>
      <c r="W40" s="187" t="n">
        <v>0</v>
      </c>
      <c r="X40" s="187" t="n">
        <v>0</v>
      </c>
      <c r="Y40" s="188" t="n">
        <v>0.333</v>
      </c>
      <c r="Z40" s="188" t="n">
        <v>0.333</v>
      </c>
      <c r="AA40" s="188" t="n">
        <v>0.333</v>
      </c>
      <c r="AB40" s="188" t="n">
        <v>0</v>
      </c>
      <c r="AC40" s="305" t="n"/>
      <c r="AD40" s="305" t="n"/>
      <c r="AE40" s="305" t="n"/>
      <c r="AF40" s="305" t="n"/>
      <c r="AG40" s="192">
        <f>ROUND($O40*P40,0)</f>
        <v/>
      </c>
      <c r="AH40" s="192">
        <f>ROUND($O40*Q40,0)</f>
        <v/>
      </c>
      <c r="AI40" s="192">
        <f>ROUND($O40*R40,0)</f>
        <v/>
      </c>
      <c r="AJ40" s="192">
        <f>ROUND($O40*S40,0)</f>
        <v/>
      </c>
      <c r="AK40" s="192">
        <f>ROUND($O40*T40,0)</f>
        <v/>
      </c>
      <c r="AL40" s="192">
        <f>ROUND($O40*U40,0)</f>
        <v/>
      </c>
      <c r="AM40" s="192">
        <f>ROUND($O40*V40,0)</f>
        <v/>
      </c>
      <c r="AN40" s="192">
        <f>ROUND($O40*W40,0)</f>
        <v/>
      </c>
      <c r="AO40" s="192">
        <f>ROUND($O40*X40,0)</f>
        <v/>
      </c>
      <c r="AP40" s="193">
        <f>ROUND($O40*Y40,0)</f>
        <v/>
      </c>
      <c r="AQ40" s="193">
        <f>ROUND($O40*Z40,0)</f>
        <v/>
      </c>
      <c r="AR40" s="193">
        <f>ROUND($O40*AA40,0)</f>
        <v/>
      </c>
      <c r="AS40" s="193">
        <f>ROUND($O40*AB40,0)</f>
        <v/>
      </c>
      <c r="AT40" s="306">
        <f>ROUND($O40*AC40,0)</f>
        <v/>
      </c>
      <c r="AU40" s="306">
        <f>ROUND($O40*AD40,0)</f>
        <v/>
      </c>
      <c r="AV40" s="306">
        <f>ROUND($O40*AE40,0)</f>
        <v/>
      </c>
      <c r="AW40" s="306">
        <f>ROUND($O40*AF40,0)</f>
        <v/>
      </c>
      <c r="AX40" s="528" t="n"/>
      <c r="AY40" s="528">
        <f>O40*AX40</f>
        <v/>
      </c>
      <c r="AZ40" s="528" t="n"/>
      <c r="BA40" s="528" t="n"/>
      <c r="BB40" s="528">
        <f>AZ40*BA40</f>
        <v/>
      </c>
      <c r="BC40" s="528" t="n"/>
      <c r="BD40" s="528" t="n"/>
      <c r="BE40" s="528" t="n"/>
      <c r="BF40" s="528" t="n"/>
      <c r="BG40" s="528" t="n"/>
      <c r="BH40" s="528" t="n"/>
      <c r="BI40" s="528">
        <f>BG40*BH40</f>
        <v/>
      </c>
      <c r="BJ40" s="528" t="n"/>
      <c r="BK40" s="528" t="n"/>
      <c r="BL40" s="528" t="n"/>
      <c r="BM40" s="528" t="n"/>
      <c r="BN40" s="528" t="n"/>
      <c r="BO40" s="528" t="n"/>
      <c r="BP40" s="528" t="n"/>
      <c r="BQ40" s="528" t="n"/>
      <c r="BR40" s="528" t="n"/>
      <c r="BS40" s="528" t="n"/>
      <c r="BT40" s="528" t="n"/>
      <c r="BU40" s="528" t="n"/>
      <c r="BV40" s="528" t="n"/>
      <c r="BW40" s="528">
        <f>BU40*BV40</f>
        <v/>
      </c>
      <c r="BX40" s="528" t="n"/>
      <c r="BY40" s="528" t="n"/>
      <c r="BZ40" s="528" t="n"/>
      <c r="CA40" s="528">
        <f>BY40*BZ40</f>
        <v/>
      </c>
      <c r="CB40" s="528" t="n"/>
      <c r="CC40" s="528" t="n"/>
      <c r="CD40" s="528" t="n"/>
      <c r="CE40" s="528">
        <f>CC40*CD40</f>
        <v/>
      </c>
    </row>
    <row r="41" ht="28.8" customFormat="1" customHeight="1" s="525">
      <c r="A41" s="528" t="n">
        <v>4</v>
      </c>
      <c r="B41" s="528" t="inlineStr">
        <is>
          <t>c</t>
        </is>
      </c>
      <c r="C41" s="523" t="n">
        <v>1</v>
      </c>
      <c r="D41" s="524">
        <f>CONCATENATE(A$3,"_",A41,"_",B41,"_",C41)</f>
        <v/>
      </c>
      <c r="E41" s="526" t="inlineStr">
        <is>
          <t>Opracowanie scenariuszy symulujących różne strategie w MWS</t>
        </is>
      </c>
      <c r="F41" s="528" t="n"/>
      <c r="G41" s="528" t="n"/>
      <c r="H41" s="39" t="n">
        <v>6</v>
      </c>
      <c r="I41" s="455" t="inlineStr">
        <is>
          <t>END</t>
        </is>
      </c>
      <c r="J41" s="91">
        <f>M40+1</f>
        <v/>
      </c>
      <c r="K41" s="681">
        <f>VLOOKUP(J41,Kalendarz!B:E,4,FALSE)</f>
        <v/>
      </c>
      <c r="L41" s="681">
        <f>K41+N41</f>
        <v/>
      </c>
      <c r="M41" s="528">
        <f>J41+N41-1</f>
        <v/>
      </c>
      <c r="N41" s="474" t="n">
        <v>1</v>
      </c>
      <c r="O41" s="45" t="n">
        <v>160</v>
      </c>
      <c r="P41" s="187" t="n"/>
      <c r="Q41" s="187" t="n"/>
      <c r="R41" s="187" t="n"/>
      <c r="S41" s="187" t="n"/>
      <c r="T41" s="187" t="n">
        <v>0</v>
      </c>
      <c r="U41" s="187" t="n">
        <v>0</v>
      </c>
      <c r="V41" s="187" t="n">
        <v>0.25</v>
      </c>
      <c r="W41" s="187" t="n">
        <v>0</v>
      </c>
      <c r="X41" s="187" t="n">
        <v>0.25</v>
      </c>
      <c r="Y41" s="188" t="n">
        <v>0.25</v>
      </c>
      <c r="Z41" s="188" t="n">
        <v>0.25</v>
      </c>
      <c r="AA41" s="188" t="n">
        <v>0</v>
      </c>
      <c r="AB41" s="188" t="n">
        <v>0</v>
      </c>
      <c r="AC41" s="305" t="n"/>
      <c r="AD41" s="305" t="n"/>
      <c r="AE41" s="305" t="n"/>
      <c r="AF41" s="305" t="n"/>
      <c r="AG41" s="192">
        <f>ROUND($O41*P41,0)</f>
        <v/>
      </c>
      <c r="AH41" s="192">
        <f>ROUND($O41*Q41,0)</f>
        <v/>
      </c>
      <c r="AI41" s="192">
        <f>ROUND($O41*R41,0)</f>
        <v/>
      </c>
      <c r="AJ41" s="192">
        <f>ROUND($O41*S41,0)</f>
        <v/>
      </c>
      <c r="AK41" s="192">
        <f>ROUND($O41*T41,0)</f>
        <v/>
      </c>
      <c r="AL41" s="192">
        <f>ROUND($O41*U41,0)</f>
        <v/>
      </c>
      <c r="AM41" s="192">
        <f>ROUND($O41*V41,0)</f>
        <v/>
      </c>
      <c r="AN41" s="192">
        <f>ROUND($O41*W41,0)</f>
        <v/>
      </c>
      <c r="AO41" s="192">
        <f>ROUND($O41*X41,0)</f>
        <v/>
      </c>
      <c r="AP41" s="193">
        <f>ROUND($O41*Y41,0)</f>
        <v/>
      </c>
      <c r="AQ41" s="193">
        <f>ROUND($O41*Z41,0)</f>
        <v/>
      </c>
      <c r="AR41" s="193">
        <f>ROUND($O41*AA41,0)</f>
        <v/>
      </c>
      <c r="AS41" s="193">
        <f>ROUND($O41*AB41,0)</f>
        <v/>
      </c>
      <c r="AT41" s="306">
        <f>ROUND($O41*AC41,0)</f>
        <v/>
      </c>
      <c r="AU41" s="306">
        <f>ROUND($O41*AD41,0)</f>
        <v/>
      </c>
      <c r="AV41" s="306">
        <f>ROUND($O41*AE41,0)</f>
        <v/>
      </c>
      <c r="AW41" s="306">
        <f>ROUND($O41*AF41,0)</f>
        <v/>
      </c>
      <c r="AX41" s="51" t="n"/>
      <c r="AY41" s="528">
        <f>O41*AX41</f>
        <v/>
      </c>
      <c r="AZ41" s="399" t="n"/>
      <c r="BA41" s="528" t="n"/>
      <c r="BB41" s="528">
        <f>AZ41*BA41</f>
        <v/>
      </c>
      <c r="BC41" s="528" t="n"/>
      <c r="BD41" s="528" t="n"/>
      <c r="BE41" s="528" t="n"/>
      <c r="BF41" s="528" t="n"/>
      <c r="BG41" s="528" t="n"/>
      <c r="BH41" s="528" t="n"/>
      <c r="BI41" s="528">
        <f>BG41*BH41</f>
        <v/>
      </c>
      <c r="BJ41" s="528" t="n"/>
      <c r="BK41" s="51" t="n"/>
      <c r="BL41" s="528" t="n"/>
      <c r="BM41" s="399" t="n"/>
      <c r="BN41" s="528" t="n"/>
      <c r="BO41" s="528" t="n"/>
      <c r="BP41" s="528" t="n"/>
      <c r="BQ41" s="528" t="n"/>
      <c r="BR41" s="528" t="n"/>
      <c r="BS41" s="528" t="n"/>
      <c r="BT41" s="528" t="n"/>
      <c r="BU41" s="528" t="n"/>
      <c r="BV41" s="528" t="n"/>
      <c r="BW41" s="528">
        <f>BU41*BV41</f>
        <v/>
      </c>
      <c r="BX41" s="528" t="n"/>
      <c r="BY41" s="528" t="n"/>
      <c r="BZ41" s="528" t="n"/>
      <c r="CA41" s="528">
        <f>BY41*BZ41</f>
        <v/>
      </c>
      <c r="CB41" s="528" t="n"/>
      <c r="CC41" s="528" t="n"/>
      <c r="CD41" s="528" t="n"/>
      <c r="CE41" s="528">
        <f>CC41*CD41</f>
        <v/>
      </c>
    </row>
    <row r="42" ht="15.75" customFormat="1" customHeight="1" s="525" thickBot="1">
      <c r="A42" s="528" t="n">
        <v>4</v>
      </c>
      <c r="B42" s="528" t="inlineStr">
        <is>
          <t>d</t>
        </is>
      </c>
      <c r="C42" s="523" t="n">
        <v>1</v>
      </c>
      <c r="D42" s="524">
        <f>CONCATENATE(A$3,"_",A42,"_",B42,"_",C42)</f>
        <v/>
      </c>
      <c r="E42" s="526" t="inlineStr">
        <is>
          <t>Testy, optymalizacja, implementacja zmian</t>
        </is>
      </c>
      <c r="F42" s="528" t="n"/>
      <c r="G42" s="528" t="n"/>
      <c r="H42" s="39" t="n">
        <v>8</v>
      </c>
      <c r="I42" s="455" t="inlineStr">
        <is>
          <t>END</t>
        </is>
      </c>
      <c r="J42" s="91">
        <f>M41+1</f>
        <v/>
      </c>
      <c r="K42" s="681">
        <f>VLOOKUP(J42,Kalendarz!B:E,4,FALSE)</f>
        <v/>
      </c>
      <c r="L42" s="681">
        <f>K42+N42</f>
        <v/>
      </c>
      <c r="M42" s="528">
        <f>J42+N42-1</f>
        <v/>
      </c>
      <c r="N42" s="474" t="n">
        <v>1</v>
      </c>
      <c r="O42" s="45" t="n">
        <v>160</v>
      </c>
      <c r="P42" s="187" t="n"/>
      <c r="Q42" s="187" t="n"/>
      <c r="R42" s="187" t="n"/>
      <c r="S42" s="187" t="n"/>
      <c r="T42" s="187" t="n">
        <v>0</v>
      </c>
      <c r="U42" s="187" t="n">
        <v>0</v>
      </c>
      <c r="V42" s="187" t="n">
        <v>0</v>
      </c>
      <c r="W42" s="187" t="n">
        <v>0.25</v>
      </c>
      <c r="X42" s="187" t="n">
        <v>0.25</v>
      </c>
      <c r="Y42" s="188" t="n">
        <v>0</v>
      </c>
      <c r="Z42" s="188" t="n">
        <v>0</v>
      </c>
      <c r="AA42" s="188" t="n">
        <v>0.25</v>
      </c>
      <c r="AB42" s="188" t="n">
        <v>0.25</v>
      </c>
      <c r="AC42" s="305" t="n"/>
      <c r="AD42" s="305" t="n"/>
      <c r="AE42" s="305" t="n"/>
      <c r="AF42" s="305" t="n"/>
      <c r="AG42" s="192">
        <f>ROUND($O42*P42,0)</f>
        <v/>
      </c>
      <c r="AH42" s="192">
        <f>ROUND($O42*Q42,0)</f>
        <v/>
      </c>
      <c r="AI42" s="192">
        <f>ROUND($O42*R42,0)</f>
        <v/>
      </c>
      <c r="AJ42" s="192">
        <f>ROUND($O42*S42,0)</f>
        <v/>
      </c>
      <c r="AK42" s="192">
        <f>ROUND($O42*T42,0)</f>
        <v/>
      </c>
      <c r="AL42" s="192">
        <f>ROUND($O42*U42,0)</f>
        <v/>
      </c>
      <c r="AM42" s="192">
        <f>ROUND($O42*V42,0)</f>
        <v/>
      </c>
      <c r="AN42" s="192">
        <f>ROUND($O42*W42,0)</f>
        <v/>
      </c>
      <c r="AO42" s="192">
        <f>ROUND($O42*X42,0)</f>
        <v/>
      </c>
      <c r="AP42" s="193">
        <f>ROUND($O42*Y42,0)</f>
        <v/>
      </c>
      <c r="AQ42" s="193">
        <f>ROUND($O42*Z42,0)</f>
        <v/>
      </c>
      <c r="AR42" s="193">
        <f>ROUND($O42*AA42,0)</f>
        <v/>
      </c>
      <c r="AS42" s="193">
        <f>ROUND($O42*AB42,0)</f>
        <v/>
      </c>
      <c r="AT42" s="306">
        <f>ROUND($O42*AC42,0)</f>
        <v/>
      </c>
      <c r="AU42" s="306">
        <f>ROUND($O42*AD42,0)</f>
        <v/>
      </c>
      <c r="AV42" s="306">
        <f>ROUND($O42*AE42,0)</f>
        <v/>
      </c>
      <c r="AW42" s="306">
        <f>ROUND($O42*AF42,0)</f>
        <v/>
      </c>
      <c r="AX42" s="51" t="n"/>
      <c r="AY42" s="314">
        <f>O42*AX42</f>
        <v/>
      </c>
      <c r="AZ42" s="399" t="n"/>
      <c r="BA42" s="528" t="n"/>
      <c r="BB42" s="314">
        <f>AZ42*BA42</f>
        <v/>
      </c>
      <c r="BC42" s="528" t="n"/>
      <c r="BD42" s="528" t="n"/>
      <c r="BE42" s="528" t="n"/>
      <c r="BF42" s="528" t="n"/>
      <c r="BG42" s="528" t="n"/>
      <c r="BH42" s="528" t="n"/>
      <c r="BI42" s="314">
        <f>BG42*BH42</f>
        <v/>
      </c>
      <c r="BJ42" s="528" t="n"/>
      <c r="BK42" s="51" t="n"/>
      <c r="BL42" s="314" t="n"/>
      <c r="BM42" s="399" t="n"/>
      <c r="BN42" s="528" t="n"/>
      <c r="BO42" s="314" t="n"/>
      <c r="BP42" s="528" t="n"/>
      <c r="BQ42" s="528" t="n"/>
      <c r="BR42" s="314" t="n"/>
      <c r="BS42" s="314" t="n"/>
      <c r="BT42" s="528" t="n"/>
      <c r="BU42" s="528" t="n"/>
      <c r="BV42" s="528" t="n"/>
      <c r="BW42" s="314">
        <f>BU42*BV42</f>
        <v/>
      </c>
      <c r="BX42" s="528" t="n"/>
      <c r="BY42" s="528" t="n"/>
      <c r="BZ42" s="528" t="n"/>
      <c r="CA42" s="314">
        <f>BY42*BZ42</f>
        <v/>
      </c>
      <c r="CB42" s="528" t="n"/>
      <c r="CC42" s="528" t="n"/>
      <c r="CD42" s="528" t="n"/>
      <c r="CE42" s="314">
        <f>CC42*CD42</f>
        <v/>
      </c>
    </row>
    <row r="43" ht="15.75" customFormat="1" customHeight="1" s="525" thickBot="1">
      <c r="A43" s="604" t="n">
        <v>5</v>
      </c>
      <c r="B43" s="604" t="inlineStr">
        <is>
          <t>a</t>
        </is>
      </c>
      <c r="C43" s="605" t="n">
        <v>0</v>
      </c>
      <c r="D43" s="606">
        <f>CONCATENATE(A$3,"_",A43,"_",B43,"_",C43)</f>
        <v/>
      </c>
      <c r="E43" s="607" t="inlineStr">
        <is>
          <t>5.Symulacje i testy z CB</t>
        </is>
      </c>
      <c r="F43" s="604" t="n"/>
      <c r="G43" s="604" t="n"/>
      <c r="H43" s="604" t="n"/>
      <c r="I43" s="528" t="n"/>
      <c r="J43" s="91">
        <f>M42+1</f>
        <v/>
      </c>
      <c r="K43" s="681">
        <f>VLOOKUP(J43,Kalendarz!B:E,4,FALSE)</f>
        <v/>
      </c>
      <c r="L43" s="681">
        <f>K43+N43</f>
        <v/>
      </c>
      <c r="M43" s="528">
        <f>J43+N43-1</f>
        <v/>
      </c>
      <c r="N43" s="474">
        <f>ROUND(MAX(AG43:AO43)/Listy!$U$2,0)</f>
        <v/>
      </c>
      <c r="O43" s="190" t="n"/>
      <c r="P43" s="468" t="n"/>
      <c r="Q43" s="468" t="n"/>
      <c r="R43" s="468" t="n"/>
      <c r="S43" s="130" t="n"/>
      <c r="T43" s="130" t="n"/>
      <c r="U43" s="130" t="n"/>
      <c r="V43" s="130" t="n"/>
      <c r="W43" s="130" t="n"/>
      <c r="X43" s="468" t="n"/>
      <c r="Y43" s="468" t="n"/>
      <c r="Z43" s="468" t="n"/>
      <c r="AA43" s="148" t="n"/>
      <c r="AB43" s="190" t="n"/>
      <c r="AC43" s="190" t="n"/>
      <c r="AD43" s="190" t="n"/>
      <c r="AE43" s="190" t="n"/>
      <c r="AF43" s="148" t="n"/>
      <c r="AG43" s="148" t="n"/>
      <c r="AH43" s="148" t="n"/>
      <c r="AI43" s="148" t="n"/>
      <c r="AJ43" s="190" t="n"/>
      <c r="AK43" s="190" t="n"/>
      <c r="AL43" s="190" t="n"/>
      <c r="AM43" s="190" t="n"/>
      <c r="AN43" s="190" t="n"/>
      <c r="AO43" s="190" t="n"/>
      <c r="AP43" s="190" t="n"/>
      <c r="AQ43" s="190" t="n"/>
      <c r="AR43" s="190" t="n"/>
      <c r="AS43" s="304" t="n"/>
      <c r="AT43" s="304" t="n"/>
      <c r="AU43" s="304" t="n"/>
      <c r="AV43" s="304" t="n"/>
      <c r="AW43" s="148" t="n"/>
      <c r="AX43" s="51" t="n"/>
      <c r="AY43" s="14">
        <f>AY44+AY45+AY46</f>
        <v/>
      </c>
      <c r="AZ43" s="399" t="n"/>
      <c r="BA43" s="528" t="n"/>
      <c r="BB43" s="14">
        <f>BB44+BB45+BB46</f>
        <v/>
      </c>
      <c r="BC43" s="528" t="n"/>
      <c r="BD43" s="528" t="n"/>
      <c r="BE43" s="528" t="n"/>
      <c r="BF43" s="528" t="n"/>
      <c r="BG43" s="528" t="n"/>
      <c r="BH43" s="528" t="n"/>
      <c r="BI43" s="14">
        <f>BI44+BI45+BI46</f>
        <v/>
      </c>
      <c r="BJ43" s="528" t="n"/>
      <c r="BK43" s="51" t="n"/>
      <c r="BL43" s="14">
        <f>BL44+BL45+BL46</f>
        <v/>
      </c>
      <c r="BM43" s="399" t="n"/>
      <c r="BN43" s="528" t="n"/>
      <c r="BO43" s="14">
        <f>BO44+BO45+BO46</f>
        <v/>
      </c>
      <c r="BP43" s="528" t="n"/>
      <c r="BQ43" s="528" t="n"/>
      <c r="BR43" s="14">
        <f>BR44+BR45+BR46</f>
        <v/>
      </c>
      <c r="BS43" s="14">
        <f>BS44+BS45+BS46</f>
        <v/>
      </c>
      <c r="BT43" s="528" t="n"/>
      <c r="BU43" s="528" t="n"/>
      <c r="BV43" s="528" t="n"/>
      <c r="BW43" s="14">
        <f>BW44+BW45+BW46</f>
        <v/>
      </c>
      <c r="BX43" s="528" t="n"/>
      <c r="BY43" s="528" t="n"/>
      <c r="BZ43" s="528" t="n"/>
      <c r="CA43" s="14">
        <f>CA44+CA45+CA46</f>
        <v/>
      </c>
      <c r="CB43" s="528" t="n"/>
      <c r="CC43" s="528" t="n"/>
      <c r="CD43" s="528" t="n"/>
      <c r="CE43" s="14">
        <f>CE44+CE45+CE46</f>
        <v/>
      </c>
      <c r="CF43" s="525">
        <f>AY43+BB43+BI43+BL43+BO43+BR43+BS43+BW43+CA43+CE43</f>
        <v/>
      </c>
    </row>
    <row r="44" ht="15.75" customFormat="1" customHeight="1" s="525">
      <c r="A44" s="528" t="n">
        <v>5</v>
      </c>
      <c r="B44" s="528" t="inlineStr">
        <is>
          <t>a</t>
        </is>
      </c>
      <c r="C44" s="523" t="n">
        <v>1</v>
      </c>
      <c r="D44" s="524">
        <f>CONCATENATE(A$3,"_",A44,"_",B44,"_",C44)</f>
        <v/>
      </c>
      <c r="E44" s="526" t="inlineStr">
        <is>
          <t>Symulacje etapów procesów MWS</t>
        </is>
      </c>
      <c r="F44" s="604" t="n"/>
      <c r="G44" s="604" t="n"/>
      <c r="H44" s="604" t="n">
        <v>4</v>
      </c>
      <c r="I44" s="528" t="inlineStr">
        <is>
          <t>ACT/END</t>
        </is>
      </c>
      <c r="J44" s="91">
        <f>M43+1</f>
        <v/>
      </c>
      <c r="K44" s="681">
        <f>VLOOKUP(J44,Kalendarz!B:E,4,FALSE)</f>
        <v/>
      </c>
      <c r="L44" s="681">
        <f>K44+N44</f>
        <v/>
      </c>
      <c r="M44" s="528">
        <f>J44+N44-1</f>
        <v/>
      </c>
      <c r="N44" s="474" t="n">
        <v>1</v>
      </c>
      <c r="O44" s="45" t="n">
        <v>80</v>
      </c>
      <c r="P44" s="187" t="n"/>
      <c r="Q44" s="187" t="n"/>
      <c r="R44" s="187" t="n"/>
      <c r="S44" s="187" t="n"/>
      <c r="T44" s="187" t="n">
        <v>0.5</v>
      </c>
      <c r="U44" s="187" t="n">
        <v>0</v>
      </c>
      <c r="V44" s="187" t="n">
        <v>0</v>
      </c>
      <c r="W44" s="187" t="n">
        <v>0</v>
      </c>
      <c r="X44" s="187" t="n">
        <v>0</v>
      </c>
      <c r="Y44" s="188" t="n">
        <v>0.5</v>
      </c>
      <c r="Z44" s="188" t="n">
        <v>0</v>
      </c>
      <c r="AA44" s="188" t="n">
        <v>0</v>
      </c>
      <c r="AB44" s="188" t="n">
        <v>0</v>
      </c>
      <c r="AC44" s="305" t="n"/>
      <c r="AD44" s="305" t="n"/>
      <c r="AE44" s="305" t="n"/>
      <c r="AF44" s="305" t="n"/>
      <c r="AG44" s="192">
        <f>ROUND($O44*P44,0)</f>
        <v/>
      </c>
      <c r="AH44" s="192">
        <f>ROUND($O44*Q44,0)</f>
        <v/>
      </c>
      <c r="AI44" s="192">
        <f>ROUND($O44*R44,0)</f>
        <v/>
      </c>
      <c r="AJ44" s="192">
        <f>ROUND($O44*S44,0)</f>
        <v/>
      </c>
      <c r="AK44" s="192">
        <f>ROUND($O44*T44,0)</f>
        <v/>
      </c>
      <c r="AL44" s="192">
        <f>ROUND($O44*U44,0)</f>
        <v/>
      </c>
      <c r="AM44" s="192">
        <f>ROUND($O44*V44,0)</f>
        <v/>
      </c>
      <c r="AN44" s="192">
        <f>ROUND($O44*W44,0)</f>
        <v/>
      </c>
      <c r="AO44" s="192">
        <f>ROUND($O44*X44,0)</f>
        <v/>
      </c>
      <c r="AP44" s="193">
        <f>ROUND($O44*Y44,0)</f>
        <v/>
      </c>
      <c r="AQ44" s="193">
        <f>ROUND($O44*Z44,0)</f>
        <v/>
      </c>
      <c r="AR44" s="193">
        <f>ROUND($O44*AA44,0)</f>
        <v/>
      </c>
      <c r="AS44" s="193">
        <f>ROUND($O44*AB44,0)</f>
        <v/>
      </c>
      <c r="AT44" s="306">
        <f>ROUND($O44*AC44,0)</f>
        <v/>
      </c>
      <c r="AU44" s="306">
        <f>ROUND($O44*AD44,0)</f>
        <v/>
      </c>
      <c r="AV44" s="306">
        <f>ROUND($O44*AE44,0)</f>
        <v/>
      </c>
      <c r="AW44" s="306">
        <f>ROUND($O44*AF44,0)</f>
        <v/>
      </c>
      <c r="AX44" s="51" t="n"/>
      <c r="AY44" s="21">
        <f>O44*AX44</f>
        <v/>
      </c>
      <c r="AZ44" s="399" t="n"/>
      <c r="BA44" s="528" t="n"/>
      <c r="BB44" s="21">
        <f>AZ44*BA44</f>
        <v/>
      </c>
      <c r="BC44" s="528" t="n"/>
      <c r="BD44" s="528" t="n"/>
      <c r="BE44" s="528" t="n"/>
      <c r="BF44" s="528" t="n"/>
      <c r="BG44" s="528" t="n"/>
      <c r="BH44" s="528" t="n"/>
      <c r="BI44" s="21">
        <f>BG44*BH44</f>
        <v/>
      </c>
      <c r="BJ44" s="528" t="n"/>
      <c r="BK44" s="51" t="n"/>
      <c r="BL44" s="21" t="n"/>
      <c r="BM44" s="399" t="n"/>
      <c r="BN44" s="528" t="n"/>
      <c r="BO44" s="21" t="n"/>
      <c r="BP44" s="528" t="n"/>
      <c r="BQ44" s="528" t="n"/>
      <c r="BR44" s="21" t="n"/>
      <c r="BS44" s="21" t="n"/>
      <c r="BT44" s="528" t="n"/>
      <c r="BU44" s="528" t="n"/>
      <c r="BV44" s="528" t="n"/>
      <c r="BW44" s="21">
        <f>BU44*BV44</f>
        <v/>
      </c>
      <c r="BX44" s="528" t="n"/>
      <c r="BY44" s="528" t="n"/>
      <c r="BZ44" s="528" t="n"/>
      <c r="CA44" s="21">
        <f>BY44*BZ44</f>
        <v/>
      </c>
      <c r="CB44" s="528" t="n"/>
      <c r="CC44" s="528" t="n"/>
      <c r="CD44" s="528" t="n"/>
      <c r="CE44" s="21">
        <f>CC44*CD44</f>
        <v/>
      </c>
    </row>
    <row r="45" ht="15.75" customFormat="1" customHeight="1" s="525">
      <c r="A45" s="528" t="n">
        <v>5</v>
      </c>
      <c r="B45" s="528" t="inlineStr">
        <is>
          <t>b</t>
        </is>
      </c>
      <c r="C45" s="523" t="n">
        <v>1</v>
      </c>
      <c r="D45" s="524">
        <f>CONCATENATE(A$3,"_",A45,"_",B45,"_",C45)</f>
        <v/>
      </c>
      <c r="E45" s="526" t="inlineStr">
        <is>
          <t>Testowanie algorytmów AI/ML w symulowanym środowisku</t>
        </is>
      </c>
      <c r="F45" s="528" t="n"/>
      <c r="G45" s="528" t="n"/>
      <c r="H45" s="39" t="n">
        <v>5</v>
      </c>
      <c r="I45" s="528" t="inlineStr">
        <is>
          <t>ACT/END</t>
        </is>
      </c>
      <c r="J45" s="91">
        <f>M44+1</f>
        <v/>
      </c>
      <c r="K45" s="681">
        <f>VLOOKUP(J45,Kalendarz!B:E,4,FALSE)</f>
        <v/>
      </c>
      <c r="L45" s="681">
        <f>K45+N45</f>
        <v/>
      </c>
      <c r="M45" s="528">
        <f>J45+N45-1</f>
        <v/>
      </c>
      <c r="N45" s="474" t="n">
        <v>1</v>
      </c>
      <c r="O45" s="45" t="n">
        <v>80</v>
      </c>
      <c r="P45" s="187" t="n"/>
      <c r="Q45" s="187" t="n"/>
      <c r="R45" s="187" t="n"/>
      <c r="S45" s="187" t="n"/>
      <c r="T45" s="187" t="n">
        <v>0</v>
      </c>
      <c r="U45" s="187" t="n">
        <v>0.5</v>
      </c>
      <c r="V45" s="187" t="n">
        <v>0</v>
      </c>
      <c r="W45" s="187" t="n">
        <v>0</v>
      </c>
      <c r="X45" s="187" t="n">
        <v>0</v>
      </c>
      <c r="Y45" s="188" t="n">
        <v>0</v>
      </c>
      <c r="Z45" s="188" t="n">
        <v>0</v>
      </c>
      <c r="AA45" s="188" t="n">
        <v>0.5</v>
      </c>
      <c r="AB45" s="188" t="n">
        <v>0</v>
      </c>
      <c r="AC45" s="305" t="n"/>
      <c r="AD45" s="305" t="n"/>
      <c r="AE45" s="305" t="n"/>
      <c r="AF45" s="305" t="n"/>
      <c r="AG45" s="192">
        <f>ROUND($O45*P45,0)</f>
        <v/>
      </c>
      <c r="AH45" s="192">
        <f>ROUND($O45*Q45,0)</f>
        <v/>
      </c>
      <c r="AI45" s="192">
        <f>ROUND($O45*R45,0)</f>
        <v/>
      </c>
      <c r="AJ45" s="192">
        <f>ROUND($O45*S45,0)</f>
        <v/>
      </c>
      <c r="AK45" s="192">
        <f>ROUND($O45*T45,0)</f>
        <v/>
      </c>
      <c r="AL45" s="192">
        <f>ROUND($O45*U45,0)</f>
        <v/>
      </c>
      <c r="AM45" s="192">
        <f>ROUND($O45*V45,0)</f>
        <v/>
      </c>
      <c r="AN45" s="192">
        <f>ROUND($O45*W45,0)</f>
        <v/>
      </c>
      <c r="AO45" s="192">
        <f>ROUND($O45*X45,0)</f>
        <v/>
      </c>
      <c r="AP45" s="193">
        <f>ROUND($O45*Y45,0)</f>
        <v/>
      </c>
      <c r="AQ45" s="193">
        <f>ROUND($O45*Z45,0)</f>
        <v/>
      </c>
      <c r="AR45" s="193">
        <f>ROUND($O45*AA45,0)</f>
        <v/>
      </c>
      <c r="AS45" s="193">
        <f>ROUND($O45*AB45,0)</f>
        <v/>
      </c>
      <c r="AT45" s="306">
        <f>ROUND($O45*AC45,0)</f>
        <v/>
      </c>
      <c r="AU45" s="306">
        <f>ROUND($O45*AD45,0)</f>
        <v/>
      </c>
      <c r="AV45" s="306">
        <f>ROUND($O45*AE45,0)</f>
        <v/>
      </c>
      <c r="AW45" s="306">
        <f>ROUND($O45*AF45,0)</f>
        <v/>
      </c>
      <c r="AX45" s="51" t="n"/>
      <c r="AY45" s="528">
        <f>O45*AX45</f>
        <v/>
      </c>
      <c r="AZ45" s="399" t="n"/>
      <c r="BA45" s="528" t="n"/>
      <c r="BB45" s="528">
        <f>AZ45*BA45</f>
        <v/>
      </c>
      <c r="BC45" s="528" t="n"/>
      <c r="BD45" s="528" t="n"/>
      <c r="BE45" s="528" t="n"/>
      <c r="BF45" s="528" t="n"/>
      <c r="BG45" s="528" t="n"/>
      <c r="BH45" s="528" t="n"/>
      <c r="BI45" s="528">
        <f>BG45*BH45</f>
        <v/>
      </c>
      <c r="BJ45" s="528" t="n"/>
      <c r="BK45" s="51" t="n"/>
      <c r="BL45" s="528" t="n"/>
      <c r="BM45" s="399" t="n"/>
      <c r="BN45" s="528" t="n"/>
      <c r="BO45" s="528" t="n"/>
      <c r="BP45" s="528" t="n"/>
      <c r="BQ45" s="528" t="n"/>
      <c r="BR45" s="528" t="n"/>
      <c r="BS45" s="528" t="n"/>
      <c r="BT45" s="528" t="n"/>
      <c r="BU45" s="528" t="n"/>
      <c r="BV45" s="528" t="n"/>
      <c r="BW45" s="528">
        <f>BU45*BV45</f>
        <v/>
      </c>
      <c r="BX45" s="528" t="n"/>
      <c r="BY45" s="528" t="n"/>
      <c r="BZ45" s="528" t="n"/>
      <c r="CA45" s="528">
        <f>BY45*BZ45</f>
        <v/>
      </c>
      <c r="CB45" s="528" t="n"/>
      <c r="CC45" s="528" t="n"/>
      <c r="CD45" s="528" t="n"/>
      <c r="CE45" s="528">
        <f>CC45*CD45</f>
        <v/>
      </c>
    </row>
    <row r="46" ht="15.75" customFormat="1" customHeight="1" s="525" thickBot="1">
      <c r="A46" s="528" t="n">
        <v>5</v>
      </c>
      <c r="B46" s="528" t="inlineStr">
        <is>
          <t>c</t>
        </is>
      </c>
      <c r="C46" s="523" t="n">
        <v>1</v>
      </c>
      <c r="D46" s="524">
        <f>CONCATENATE(A$3,"_",A46,"_",B46,"_",C46)</f>
        <v/>
      </c>
      <c r="E46" s="526" t="inlineStr">
        <is>
          <t>Uczenie/trening modeli</t>
        </is>
      </c>
      <c r="F46" s="528" t="n"/>
      <c r="G46" s="528" t="n"/>
      <c r="H46" s="39" t="n">
        <v>5</v>
      </c>
      <c r="I46" s="528" t="inlineStr">
        <is>
          <t>ACT/END</t>
        </is>
      </c>
      <c r="J46" s="91">
        <f>M45+1</f>
        <v/>
      </c>
      <c r="K46" s="681">
        <f>VLOOKUP(J46,Kalendarz!B:E,4,FALSE)</f>
        <v/>
      </c>
      <c r="L46" s="681">
        <f>K46+N46</f>
        <v/>
      </c>
      <c r="M46" s="528">
        <f>J46+N46-1</f>
        <v/>
      </c>
      <c r="N46" s="474">
        <f>ROUND(MAX(AG46:AO46)/Listy!$U$2,0)</f>
        <v/>
      </c>
      <c r="O46" s="45" t="n">
        <v>80</v>
      </c>
      <c r="P46" s="187" t="n"/>
      <c r="Q46" s="187" t="n"/>
      <c r="R46" s="187" t="n"/>
      <c r="S46" s="187" t="n"/>
      <c r="T46" s="187" t="n">
        <v>0</v>
      </c>
      <c r="U46" s="187" t="n">
        <v>0</v>
      </c>
      <c r="V46" s="187" t="n">
        <v>0</v>
      </c>
      <c r="W46" s="187" t="n">
        <v>0</v>
      </c>
      <c r="X46" s="187" t="n">
        <v>0</v>
      </c>
      <c r="Y46" s="188" t="n">
        <v>0.5</v>
      </c>
      <c r="Z46" s="188" t="n">
        <v>0.5</v>
      </c>
      <c r="AA46" s="188" t="n">
        <v>0</v>
      </c>
      <c r="AB46" s="188" t="n">
        <v>0</v>
      </c>
      <c r="AC46" s="305" t="n"/>
      <c r="AD46" s="305" t="n"/>
      <c r="AE46" s="305" t="n"/>
      <c r="AF46" s="305" t="n"/>
      <c r="AG46" s="192">
        <f>ROUND($O46*P46,0)</f>
        <v/>
      </c>
      <c r="AH46" s="192">
        <f>ROUND($O46*Q46,0)</f>
        <v/>
      </c>
      <c r="AI46" s="192">
        <f>ROUND($O46*R46,0)</f>
        <v/>
      </c>
      <c r="AJ46" s="192">
        <f>ROUND($O46*S46,0)</f>
        <v/>
      </c>
      <c r="AK46" s="192">
        <f>ROUND($O46*T46,0)</f>
        <v/>
      </c>
      <c r="AL46" s="192">
        <f>ROUND($O46*U46,0)</f>
        <v/>
      </c>
      <c r="AM46" s="192">
        <f>ROUND($O46*V46,0)</f>
        <v/>
      </c>
      <c r="AN46" s="192">
        <f>ROUND($O46*W46,0)</f>
        <v/>
      </c>
      <c r="AO46" s="192">
        <f>ROUND($O46*X46,0)</f>
        <v/>
      </c>
      <c r="AP46" s="193">
        <f>ROUND($O46*Y46,0)</f>
        <v/>
      </c>
      <c r="AQ46" s="193">
        <f>ROUND($O46*Z46,0)</f>
        <v/>
      </c>
      <c r="AR46" s="193">
        <f>ROUND($O46*AA46,0)</f>
        <v/>
      </c>
      <c r="AS46" s="193">
        <f>ROUND($O46*AB46,0)</f>
        <v/>
      </c>
      <c r="AT46" s="306">
        <f>ROUND($O46*AC46,0)</f>
        <v/>
      </c>
      <c r="AU46" s="306">
        <f>ROUND($O46*AD46,0)</f>
        <v/>
      </c>
      <c r="AV46" s="306">
        <f>ROUND($O46*AE46,0)</f>
        <v/>
      </c>
      <c r="AW46" s="306">
        <f>ROUND($O46*AF46,0)</f>
        <v/>
      </c>
      <c r="AX46" s="51" t="n"/>
      <c r="AY46" s="314">
        <f>O46*AX46</f>
        <v/>
      </c>
      <c r="AZ46" s="399" t="n"/>
      <c r="BA46" s="528" t="n"/>
      <c r="BB46" s="314">
        <f>AZ46*BA46</f>
        <v/>
      </c>
      <c r="BC46" s="528" t="n"/>
      <c r="BD46" s="528" t="n"/>
      <c r="BE46" s="528" t="n"/>
      <c r="BF46" s="528" t="n"/>
      <c r="BG46" s="528" t="n"/>
      <c r="BH46" s="528" t="n"/>
      <c r="BI46" s="314">
        <f>BG46*BH46</f>
        <v/>
      </c>
      <c r="BJ46" s="528" t="n"/>
      <c r="BK46" s="51" t="n"/>
      <c r="BL46" s="314" t="n"/>
      <c r="BM46" s="399" t="n"/>
      <c r="BN46" s="528" t="n"/>
      <c r="BO46" s="314" t="n"/>
      <c r="BP46" s="528" t="n"/>
      <c r="BQ46" s="528" t="n"/>
      <c r="BR46" s="314" t="n"/>
      <c r="BS46" s="314" t="n"/>
      <c r="BT46" s="528" t="n"/>
      <c r="BU46" s="528" t="n"/>
      <c r="BV46" s="528" t="n"/>
      <c r="BW46" s="314">
        <f>BU46*BV46</f>
        <v/>
      </c>
      <c r="BX46" s="528" t="n"/>
      <c r="BY46" s="528" t="n"/>
      <c r="BZ46" s="528" t="n"/>
      <c r="CA46" s="314">
        <f>BY46*BZ46</f>
        <v/>
      </c>
      <c r="CB46" s="528" t="n"/>
      <c r="CC46" s="528" t="n"/>
      <c r="CD46" s="528" t="n"/>
      <c r="CE46" s="314">
        <f>CC46*CD46</f>
        <v/>
      </c>
    </row>
    <row r="47" ht="15.75" customFormat="1" customHeight="1" s="525" thickBot="1">
      <c r="A47" s="604" t="n">
        <v>6</v>
      </c>
      <c r="B47" s="604" t="inlineStr">
        <is>
          <t>a</t>
        </is>
      </c>
      <c r="C47" s="605" t="n">
        <v>0</v>
      </c>
      <c r="D47" s="606">
        <f>CONCATENATE(A$3,"_",A47,"_",B47,"_",C47)</f>
        <v/>
      </c>
      <c r="E47" s="607" t="inlineStr">
        <is>
          <t>6.Analiza wyników symulacji i testów</t>
        </is>
      </c>
      <c r="F47" s="528" t="n"/>
      <c r="G47" s="528" t="n"/>
      <c r="H47" s="39" t="n"/>
      <c r="I47" s="528" t="n"/>
      <c r="J47" s="91">
        <f>M46+1</f>
        <v/>
      </c>
      <c r="K47" s="681">
        <f>VLOOKUP(J47,Kalendarz!B:E,4,FALSE)</f>
        <v/>
      </c>
      <c r="L47" s="681">
        <f>K47+N47</f>
        <v/>
      </c>
      <c r="M47" s="528">
        <f>J47+N47-1</f>
        <v/>
      </c>
      <c r="N47" s="474">
        <f>ROUND(MAX(AG47:AO47)/Listy!$U$2,0)</f>
        <v/>
      </c>
      <c r="O47" s="190" t="n"/>
      <c r="P47" s="468" t="n"/>
      <c r="Q47" s="468" t="n"/>
      <c r="R47" s="468" t="n"/>
      <c r="S47" s="130" t="n"/>
      <c r="T47" s="130" t="n"/>
      <c r="U47" s="130" t="n"/>
      <c r="V47" s="130" t="n"/>
      <c r="W47" s="130" t="n"/>
      <c r="X47" s="468" t="n"/>
      <c r="Y47" s="468" t="n"/>
      <c r="Z47" s="468" t="n"/>
      <c r="AA47" s="148" t="n"/>
      <c r="AB47" s="190" t="n"/>
      <c r="AC47" s="190" t="n"/>
      <c r="AD47" s="190" t="n"/>
      <c r="AE47" s="190" t="n"/>
      <c r="AF47" s="148" t="n"/>
      <c r="AG47" s="148" t="n"/>
      <c r="AH47" s="148" t="n"/>
      <c r="AI47" s="148" t="n"/>
      <c r="AJ47" s="190" t="n"/>
      <c r="AK47" s="190" t="n"/>
      <c r="AL47" s="190" t="n"/>
      <c r="AM47" s="190" t="n"/>
      <c r="AN47" s="190" t="n"/>
      <c r="AO47" s="190" t="n"/>
      <c r="AP47" s="190" t="n"/>
      <c r="AQ47" s="190" t="n"/>
      <c r="AR47" s="190" t="n"/>
      <c r="AS47" s="304" t="n"/>
      <c r="AT47" s="304" t="n"/>
      <c r="AU47" s="304" t="n"/>
      <c r="AV47" s="304" t="n"/>
      <c r="AW47" s="148" t="n"/>
      <c r="AX47" s="51" t="n"/>
      <c r="AY47" s="14">
        <f>AY48+AY49+AY50+AY51+AY52</f>
        <v/>
      </c>
      <c r="AZ47" s="399" t="n"/>
      <c r="BA47" s="528" t="n"/>
      <c r="BB47" s="14">
        <f>BB48+BB49+BB50+BB51+BB52</f>
        <v/>
      </c>
      <c r="BC47" s="528" t="n"/>
      <c r="BD47" s="528" t="n"/>
      <c r="BE47" s="528" t="n"/>
      <c r="BF47" s="528" t="n"/>
      <c r="BG47" s="528" t="n"/>
      <c r="BH47" s="528" t="n"/>
      <c r="BI47" s="14">
        <f>BI48+BI49+BI50+BI51+BI52</f>
        <v/>
      </c>
      <c r="BJ47" s="528" t="n"/>
      <c r="BK47" s="51" t="n"/>
      <c r="BL47" s="14">
        <f>BL48+BL49+BL50+BL51+BL52</f>
        <v/>
      </c>
      <c r="BM47" s="399" t="n"/>
      <c r="BN47" s="528" t="n"/>
      <c r="BO47" s="14">
        <f>BO48+BO49+BO50+BO51+BO52</f>
        <v/>
      </c>
      <c r="BP47" s="528" t="n"/>
      <c r="BQ47" s="528" t="n"/>
      <c r="BR47" s="14">
        <f>BR48+BR49+BR50+BR51+BR52</f>
        <v/>
      </c>
      <c r="BS47" s="14">
        <f>BS48+BS49+BS50+BS51+BS52</f>
        <v/>
      </c>
      <c r="BT47" s="528" t="n"/>
      <c r="BU47" s="528" t="n"/>
      <c r="BV47" s="528" t="n"/>
      <c r="BW47" s="14">
        <f>BW48+BW49+BW50+BW51+BW52</f>
        <v/>
      </c>
      <c r="BX47" s="528" t="n"/>
      <c r="BY47" s="528" t="n"/>
      <c r="BZ47" s="528" t="n"/>
      <c r="CA47" s="14">
        <f>CA48+CA49+CA50+CA51+CA52</f>
        <v/>
      </c>
      <c r="CB47" s="528" t="n"/>
      <c r="CC47" s="528" t="n"/>
      <c r="CD47" s="528" t="n"/>
      <c r="CE47" s="14">
        <f>CE48+CE49+CE50+CE51+CE52</f>
        <v/>
      </c>
      <c r="CF47" s="525">
        <f>AY47+BB47+BI47+BL47+BO47+BR47+BS47+BW47+CA47+CE47</f>
        <v/>
      </c>
    </row>
    <row r="48" ht="18" customFormat="1" customHeight="1" s="525">
      <c r="A48" s="528" t="n">
        <v>6</v>
      </c>
      <c r="B48" s="528" t="inlineStr">
        <is>
          <t>a</t>
        </is>
      </c>
      <c r="C48" s="523" t="n">
        <v>1</v>
      </c>
      <c r="D48" s="524">
        <f>CONCATENATE(A$3,"_",A48,"_",B48,"_",C48)</f>
        <v/>
      </c>
      <c r="E48" s="526" t="inlineStr">
        <is>
          <t>Analiza wyników</t>
        </is>
      </c>
      <c r="F48" s="604" t="n"/>
      <c r="G48" s="604" t="n"/>
      <c r="H48" s="604" t="n"/>
      <c r="I48" s="528" t="inlineStr">
        <is>
          <t>ACT/END</t>
        </is>
      </c>
      <c r="J48" s="91">
        <f>M47+1</f>
        <v/>
      </c>
      <c r="K48" s="681">
        <f>VLOOKUP(J48,Kalendarz!B:E,4,FALSE)</f>
        <v/>
      </c>
      <c r="L48" s="681">
        <f>K48+N48</f>
        <v/>
      </c>
      <c r="M48" s="528">
        <f>J48+N48-1</f>
        <v/>
      </c>
      <c r="N48" s="474" t="n">
        <v>1</v>
      </c>
      <c r="O48" s="529" t="n">
        <v>80</v>
      </c>
      <c r="P48" s="187" t="n"/>
      <c r="Q48" s="187" t="n"/>
      <c r="R48" s="187" t="n"/>
      <c r="S48" s="187" t="n"/>
      <c r="T48" s="187" t="n">
        <v>0.5</v>
      </c>
      <c r="U48" s="187" t="n">
        <v>0</v>
      </c>
      <c r="V48" s="187" t="n">
        <v>0</v>
      </c>
      <c r="W48" s="187" t="n">
        <v>0</v>
      </c>
      <c r="X48" s="187" t="n">
        <v>0</v>
      </c>
      <c r="Y48" s="188" t="n">
        <v>0</v>
      </c>
      <c r="Z48" s="188" t="n">
        <v>0.5</v>
      </c>
      <c r="AA48" s="188" t="n">
        <v>0</v>
      </c>
      <c r="AB48" s="188" t="n">
        <v>0</v>
      </c>
      <c r="AC48" s="305" t="n"/>
      <c r="AD48" s="305" t="n"/>
      <c r="AE48" s="305" t="n"/>
      <c r="AF48" s="305" t="n"/>
      <c r="AG48" s="192">
        <f>ROUND($O48*P48,0)</f>
        <v/>
      </c>
      <c r="AH48" s="192">
        <f>ROUND($O48*Q48,0)</f>
        <v/>
      </c>
      <c r="AI48" s="192">
        <f>ROUND($O48*R48,0)</f>
        <v/>
      </c>
      <c r="AJ48" s="192">
        <f>ROUND($O48*S48,0)</f>
        <v/>
      </c>
      <c r="AK48" s="192">
        <f>ROUND($O48*T48,0)</f>
        <v/>
      </c>
      <c r="AL48" s="192">
        <f>ROUND($O48*U48,0)</f>
        <v/>
      </c>
      <c r="AM48" s="192">
        <f>ROUND($O48*V48,0)</f>
        <v/>
      </c>
      <c r="AN48" s="192">
        <f>ROUND($O48*W48,0)</f>
        <v/>
      </c>
      <c r="AO48" s="192">
        <f>ROUND($O48*X48,0)</f>
        <v/>
      </c>
      <c r="AP48" s="193">
        <f>ROUND($O48*Y48,0)</f>
        <v/>
      </c>
      <c r="AQ48" s="193">
        <f>ROUND($O48*Z48,0)</f>
        <v/>
      </c>
      <c r="AR48" s="193">
        <f>ROUND($O48*AA48,0)</f>
        <v/>
      </c>
      <c r="AS48" s="193">
        <f>ROUND($O48*AB48,0)</f>
        <v/>
      </c>
      <c r="AT48" s="306">
        <f>ROUND($O48*AC48,0)</f>
        <v/>
      </c>
      <c r="AU48" s="306">
        <f>ROUND($O48*AD48,0)</f>
        <v/>
      </c>
      <c r="AV48" s="306">
        <f>ROUND($O48*AE48,0)</f>
        <v/>
      </c>
      <c r="AW48" s="306">
        <f>ROUND($O48*AF48,0)</f>
        <v/>
      </c>
      <c r="AX48" s="51" t="n"/>
      <c r="AY48" s="314">
        <f>O47*AX48</f>
        <v/>
      </c>
      <c r="AZ48" s="399" t="n"/>
      <c r="BA48" s="528" t="n"/>
      <c r="BB48" s="314">
        <f>AZ48*BA48</f>
        <v/>
      </c>
      <c r="BC48" s="528" t="n"/>
      <c r="BD48" s="528" t="n"/>
      <c r="BE48" s="528" t="n"/>
      <c r="BF48" s="528" t="n"/>
      <c r="BG48" s="528" t="n"/>
      <c r="BH48" s="528" t="n"/>
      <c r="BI48" s="314">
        <f>BG48*BH48</f>
        <v/>
      </c>
      <c r="BJ48" s="528" t="n"/>
      <c r="BK48" s="51" t="n"/>
      <c r="BL48" s="21" t="n"/>
      <c r="BM48" s="399" t="n"/>
      <c r="BN48" s="528" t="n"/>
      <c r="BO48" s="21" t="n"/>
      <c r="BP48" s="528" t="n"/>
      <c r="BQ48" s="528" t="n"/>
      <c r="BR48" s="21" t="n"/>
      <c r="BS48" s="21" t="n"/>
      <c r="BT48" s="528" t="n"/>
      <c r="BU48" s="528" t="n"/>
      <c r="BV48" s="528" t="n"/>
      <c r="BW48" s="314">
        <f>BU48*BV48</f>
        <v/>
      </c>
      <c r="BX48" s="528" t="n"/>
      <c r="BY48" s="528" t="n"/>
      <c r="BZ48" s="528" t="n"/>
      <c r="CA48" s="314">
        <f>BY48*BZ48</f>
        <v/>
      </c>
      <c r="CB48" s="528" t="n"/>
      <c r="CC48" s="528" t="n"/>
      <c r="CD48" s="528" t="n"/>
      <c r="CE48" s="314">
        <f>CC48*CD48</f>
        <v/>
      </c>
    </row>
    <row r="49" ht="28.8" customFormat="1" customHeight="1" s="525">
      <c r="A49" s="528" t="n">
        <v>6</v>
      </c>
      <c r="B49" s="528" t="inlineStr">
        <is>
          <t>b</t>
        </is>
      </c>
      <c r="C49" s="523" t="n">
        <v>1</v>
      </c>
      <c r="D49" s="524">
        <f>CONCATENATE(A$3,"_",A49,"_",B49,"_",C49)</f>
        <v/>
      </c>
      <c r="E49" s="526" t="inlineStr">
        <is>
          <t>Optymalizacja algorytmów (dopasowanie do zmieniających się warunków operacyjnych)</t>
        </is>
      </c>
      <c r="F49" s="528" t="n"/>
      <c r="G49" s="528" t="n"/>
      <c r="H49" s="39" t="n">
        <v>6</v>
      </c>
      <c r="I49" s="528" t="inlineStr">
        <is>
          <t>ACT/END</t>
        </is>
      </c>
      <c r="J49" s="91">
        <f>M48+1</f>
        <v/>
      </c>
      <c r="K49" s="681">
        <f>VLOOKUP(J49,Kalendarz!B:E,4,FALSE)</f>
        <v/>
      </c>
      <c r="L49" s="681">
        <f>K49+N49</f>
        <v/>
      </c>
      <c r="M49" s="528">
        <f>J49+N49-1</f>
        <v/>
      </c>
      <c r="N49" s="474" t="n">
        <v>0</v>
      </c>
      <c r="O49" s="529" t="n">
        <v>120</v>
      </c>
      <c r="P49" s="187" t="n"/>
      <c r="Q49" s="187" t="n"/>
      <c r="R49" s="187" t="n"/>
      <c r="S49" s="187" t="n"/>
      <c r="T49" s="187" t="n">
        <v>0</v>
      </c>
      <c r="U49" s="187" t="n">
        <v>0.34</v>
      </c>
      <c r="V49" s="187" t="n">
        <v>0</v>
      </c>
      <c r="W49" s="187" t="n">
        <v>0</v>
      </c>
      <c r="X49" s="187" t="n">
        <v>0</v>
      </c>
      <c r="Y49" s="188" t="n">
        <v>0.33</v>
      </c>
      <c r="Z49" s="188" t="n">
        <v>0</v>
      </c>
      <c r="AA49" s="188" t="n">
        <v>0.33</v>
      </c>
      <c r="AB49" s="188" t="n">
        <v>0</v>
      </c>
      <c r="AC49" s="305" t="n"/>
      <c r="AD49" s="305" t="n"/>
      <c r="AE49" s="305" t="n"/>
      <c r="AF49" s="305" t="n"/>
      <c r="AG49" s="192">
        <f>ROUND($O49*P49,0)</f>
        <v/>
      </c>
      <c r="AH49" s="192">
        <f>ROUND($O49*Q49,0)</f>
        <v/>
      </c>
      <c r="AI49" s="192">
        <f>ROUND($O49*R49,0)</f>
        <v/>
      </c>
      <c r="AJ49" s="192">
        <f>ROUND($O49*S49,0)</f>
        <v/>
      </c>
      <c r="AK49" s="192">
        <f>ROUND($O49*T49,0)</f>
        <v/>
      </c>
      <c r="AL49" s="192">
        <f>ROUND($O49*U49,0)</f>
        <v/>
      </c>
      <c r="AM49" s="192">
        <f>ROUND($O49*V49,0)</f>
        <v/>
      </c>
      <c r="AN49" s="192">
        <f>ROUND($O49*W49,0)</f>
        <v/>
      </c>
      <c r="AO49" s="192">
        <f>ROUND($O49*X49,0)</f>
        <v/>
      </c>
      <c r="AP49" s="193">
        <f>ROUND($O49*Y49,0)</f>
        <v/>
      </c>
      <c r="AQ49" s="193">
        <f>ROUND($O49*Z49,0)</f>
        <v/>
      </c>
      <c r="AR49" s="193">
        <f>ROUND($O49*AA49,0)</f>
        <v/>
      </c>
      <c r="AS49" s="193">
        <f>ROUND($O49*AB49,0)</f>
        <v/>
      </c>
      <c r="AT49" s="306">
        <f>ROUND($O49*AC49,0)</f>
        <v/>
      </c>
      <c r="AU49" s="306">
        <f>ROUND($O49*AD49,0)</f>
        <v/>
      </c>
      <c r="AV49" s="306">
        <f>ROUND($O49*AE49,0)</f>
        <v/>
      </c>
      <c r="AW49" s="306">
        <f>ROUND($O49*AF49,0)</f>
        <v/>
      </c>
      <c r="AX49" s="51" t="n"/>
      <c r="AY49" s="314">
        <f>O49*AX49</f>
        <v/>
      </c>
      <c r="AZ49" s="399" t="n"/>
      <c r="BA49" s="528" t="n"/>
      <c r="BB49" s="314">
        <f>AZ49*BA49</f>
        <v/>
      </c>
      <c r="BC49" s="528" t="n"/>
      <c r="BD49" s="528" t="n"/>
      <c r="BE49" s="528" t="n"/>
      <c r="BF49" s="528" t="n"/>
      <c r="BG49" s="528" t="n"/>
      <c r="BH49" s="528" t="n"/>
      <c r="BI49" s="314">
        <f>BG49*BH49</f>
        <v/>
      </c>
      <c r="BJ49" s="528" t="n"/>
      <c r="BK49" s="51" t="n"/>
      <c r="BL49" s="528" t="n"/>
      <c r="BM49" s="399" t="n"/>
      <c r="BN49" s="528" t="n"/>
      <c r="BO49" s="528" t="n"/>
      <c r="BP49" s="528" t="n"/>
      <c r="BQ49" s="528" t="n"/>
      <c r="BR49" s="528" t="n"/>
      <c r="BS49" s="528" t="n"/>
      <c r="BT49" s="528" t="n"/>
      <c r="BU49" s="528" t="n"/>
      <c r="BV49" s="528" t="n"/>
      <c r="BW49" s="314">
        <f>BU49*BV49</f>
        <v/>
      </c>
      <c r="BX49" s="528" t="n"/>
      <c r="BY49" s="528" t="n"/>
      <c r="BZ49" s="528" t="n"/>
      <c r="CA49" s="314">
        <f>BY49*BZ49</f>
        <v/>
      </c>
      <c r="CB49" s="528" t="n"/>
      <c r="CC49" s="528" t="n"/>
      <c r="CD49" s="528" t="n"/>
      <c r="CE49" s="314">
        <f>CC49*CD49</f>
        <v/>
      </c>
    </row>
    <row r="50" ht="43.2" customFormat="1" customHeight="1" s="525">
      <c r="A50" s="528" t="n">
        <v>6</v>
      </c>
      <c r="B50" s="528" t="inlineStr">
        <is>
          <t>c</t>
        </is>
      </c>
      <c r="C50" s="523" t="n">
        <v>1</v>
      </c>
      <c r="D50" s="524">
        <f>CONCATENATE(A$3,"_",A50,"_",B50,"_",C50)</f>
        <v/>
      </c>
      <c r="E50" s="526" t="inlineStr">
        <is>
          <t>Opracowanie dynamicznych harmonogramów w MWS (aktualne obciążeniu zamówienia, dostępne zasoby)</t>
        </is>
      </c>
      <c r="F50" s="528" t="n"/>
      <c r="G50" s="528" t="n"/>
      <c r="H50" s="39" t="n">
        <v>7</v>
      </c>
      <c r="I50" s="528" t="inlineStr">
        <is>
          <t>ACT/END</t>
        </is>
      </c>
      <c r="J50" s="91">
        <f>M49+1</f>
        <v/>
      </c>
      <c r="K50" s="681">
        <f>VLOOKUP(J50,Kalendarz!B:E,4,FALSE)</f>
        <v/>
      </c>
      <c r="L50" s="681">
        <f>K50+N50</f>
        <v/>
      </c>
      <c r="M50" s="528">
        <f>J50+N50-1</f>
        <v/>
      </c>
      <c r="N50" s="474" t="n">
        <v>2</v>
      </c>
      <c r="O50" s="529" t="n">
        <v>160</v>
      </c>
      <c r="P50" s="187" t="n"/>
      <c r="Q50" s="187" t="n"/>
      <c r="R50" s="187" t="n"/>
      <c r="S50" s="187" t="n"/>
      <c r="T50" s="187" t="n">
        <v>0</v>
      </c>
      <c r="U50" s="187" t="n">
        <v>0.5</v>
      </c>
      <c r="V50" s="187" t="n">
        <v>0.5</v>
      </c>
      <c r="W50" s="187" t="n">
        <v>0</v>
      </c>
      <c r="X50" s="187" t="n">
        <v>0</v>
      </c>
      <c r="Y50" s="188" t="n">
        <v>0</v>
      </c>
      <c r="Z50" s="188" t="n">
        <v>0</v>
      </c>
      <c r="AA50" s="188" t="n">
        <v>0</v>
      </c>
      <c r="AB50" s="188" t="n">
        <v>0</v>
      </c>
      <c r="AC50" s="305" t="n"/>
      <c r="AD50" s="305" t="n"/>
      <c r="AE50" s="305" t="n"/>
      <c r="AF50" s="305" t="n"/>
      <c r="AG50" s="192">
        <f>ROUND($O50*P50,0)</f>
        <v/>
      </c>
      <c r="AH50" s="192">
        <f>ROUND($O50*Q50,0)</f>
        <v/>
      </c>
      <c r="AI50" s="192">
        <f>ROUND($O50*R50,0)</f>
        <v/>
      </c>
      <c r="AJ50" s="192">
        <f>ROUND($O50*S50,0)</f>
        <v/>
      </c>
      <c r="AK50" s="192">
        <f>ROUND($O50*T50,0)</f>
        <v/>
      </c>
      <c r="AL50" s="192">
        <f>ROUND($O50*U50,0)</f>
        <v/>
      </c>
      <c r="AM50" s="192">
        <f>ROUND($O50*V50,0)</f>
        <v/>
      </c>
      <c r="AN50" s="192">
        <f>ROUND($O50*W50,0)</f>
        <v/>
      </c>
      <c r="AO50" s="192">
        <f>ROUND($O50*X50,0)</f>
        <v/>
      </c>
      <c r="AP50" s="193">
        <f>ROUND($O50*Y50,0)</f>
        <v/>
      </c>
      <c r="AQ50" s="193">
        <f>ROUND($O50*Z50,0)</f>
        <v/>
      </c>
      <c r="AR50" s="193">
        <f>ROUND($O50*AA50,0)</f>
        <v/>
      </c>
      <c r="AS50" s="193">
        <f>ROUND($O50*AB50,0)</f>
        <v/>
      </c>
      <c r="AT50" s="306">
        <f>ROUND($O50*AC50,0)</f>
        <v/>
      </c>
      <c r="AU50" s="306">
        <f>ROUND($O50*AD50,0)</f>
        <v/>
      </c>
      <c r="AV50" s="306">
        <f>ROUND($O50*AE50,0)</f>
        <v/>
      </c>
      <c r="AW50" s="306">
        <f>ROUND($O50*AF50,0)</f>
        <v/>
      </c>
      <c r="AX50" s="51" t="n"/>
      <c r="AY50" s="314">
        <f>O50*AX50</f>
        <v/>
      </c>
      <c r="AZ50" s="399" t="n"/>
      <c r="BA50" s="528" t="n"/>
      <c r="BB50" s="314">
        <f>AZ50*BA50</f>
        <v/>
      </c>
      <c r="BC50" s="528" t="n"/>
      <c r="BD50" s="528" t="n"/>
      <c r="BE50" s="528" t="n"/>
      <c r="BF50" s="528" t="n"/>
      <c r="BG50" s="528" t="n"/>
      <c r="BH50" s="528" t="n"/>
      <c r="BI50" s="314">
        <f>BG50*BH50</f>
        <v/>
      </c>
      <c r="BJ50" s="528" t="n"/>
      <c r="BK50" s="51" t="n"/>
      <c r="BL50" s="528" t="n"/>
      <c r="BM50" s="399" t="n"/>
      <c r="BN50" s="528" t="n"/>
      <c r="BO50" s="528" t="n"/>
      <c r="BP50" s="528" t="n"/>
      <c r="BQ50" s="528" t="n"/>
      <c r="BR50" s="528" t="n"/>
      <c r="BS50" s="528" t="n"/>
      <c r="BT50" s="528" t="n"/>
      <c r="BU50" s="528" t="n"/>
      <c r="BV50" s="528" t="n"/>
      <c r="BW50" s="314">
        <f>BU50*BV50</f>
        <v/>
      </c>
      <c r="BX50" s="528" t="n"/>
      <c r="BY50" s="528" t="n"/>
      <c r="BZ50" s="528" t="n"/>
      <c r="CA50" s="314">
        <f>BY50*BZ50</f>
        <v/>
      </c>
      <c r="CB50" s="528" t="n"/>
      <c r="CC50" s="528" t="n"/>
      <c r="CD50" s="528" t="n"/>
      <c r="CE50" s="314">
        <f>CC50*CD50</f>
        <v/>
      </c>
    </row>
    <row r="51" ht="57.6" customFormat="1" customHeight="1" s="525">
      <c r="A51" s="528" t="n">
        <v>6</v>
      </c>
      <c r="B51" s="528" t="inlineStr">
        <is>
          <t>d</t>
        </is>
      </c>
      <c r="C51" s="523" t="n">
        <v>1</v>
      </c>
      <c r="D51" s="524">
        <f>CONCATENATE(A$3,"_",A51,"_",B51,"_",C51)</f>
        <v/>
      </c>
      <c r="E51" s="526" t="inlineStr">
        <is>
          <t>Porównanie wyników symulacji. Ocena efektywności czasu kompletacji w zależności od sezonowości, sytuacji nadzwyczajnych, oszczędności</t>
        </is>
      </c>
      <c r="F51" s="528" t="n"/>
      <c r="G51" s="528" t="n"/>
      <c r="H51" s="528" t="n"/>
      <c r="I51" s="528" t="inlineStr">
        <is>
          <t>ACT/END</t>
        </is>
      </c>
      <c r="J51" s="91">
        <f>M50+1</f>
        <v/>
      </c>
      <c r="K51" s="681">
        <f>VLOOKUP(J51,Kalendarz!B:E,4,FALSE)</f>
        <v/>
      </c>
      <c r="L51" s="681">
        <f>K51+N51</f>
        <v/>
      </c>
      <c r="M51" s="528">
        <f>J51+N51-1</f>
        <v/>
      </c>
      <c r="N51" s="474" t="n">
        <v>0</v>
      </c>
      <c r="O51" s="529" t="n">
        <v>80</v>
      </c>
      <c r="P51" s="187" t="n"/>
      <c r="Q51" s="187" t="n"/>
      <c r="R51" s="187" t="n"/>
      <c r="S51" s="187" t="n"/>
      <c r="T51" s="187" t="n">
        <v>0.5</v>
      </c>
      <c r="U51" s="187" t="n">
        <v>0.5</v>
      </c>
      <c r="V51" s="187" t="n">
        <v>0</v>
      </c>
      <c r="W51" s="187" t="n">
        <v>0</v>
      </c>
      <c r="X51" s="187" t="n">
        <v>0</v>
      </c>
      <c r="Y51" s="188" t="n">
        <v>0</v>
      </c>
      <c r="Z51" s="188" t="n">
        <v>0</v>
      </c>
      <c r="AA51" s="188" t="n">
        <v>0</v>
      </c>
      <c r="AB51" s="188" t="n">
        <v>0</v>
      </c>
      <c r="AC51" s="305" t="n"/>
      <c r="AD51" s="305" t="n"/>
      <c r="AE51" s="305" t="n"/>
      <c r="AF51" s="305" t="n"/>
      <c r="AG51" s="192">
        <f>ROUND($O51*P51,0)</f>
        <v/>
      </c>
      <c r="AH51" s="192">
        <f>ROUND($O51*Q51,0)</f>
        <v/>
      </c>
      <c r="AI51" s="192">
        <f>ROUND($O51*R51,0)</f>
        <v/>
      </c>
      <c r="AJ51" s="192">
        <f>ROUND($O51*S51,0)</f>
        <v/>
      </c>
      <c r="AK51" s="192">
        <f>ROUND($O51*T51,0)</f>
        <v/>
      </c>
      <c r="AL51" s="192">
        <f>ROUND($O51*U51,0)</f>
        <v/>
      </c>
      <c r="AM51" s="192">
        <f>ROUND($O51*V51,0)</f>
        <v/>
      </c>
      <c r="AN51" s="192">
        <f>ROUND($O51*W51,0)</f>
        <v/>
      </c>
      <c r="AO51" s="192">
        <f>ROUND($O51*X51,0)</f>
        <v/>
      </c>
      <c r="AP51" s="193">
        <f>ROUND($O51*Y51,0)</f>
        <v/>
      </c>
      <c r="AQ51" s="193">
        <f>ROUND($O51*Z51,0)</f>
        <v/>
      </c>
      <c r="AR51" s="193">
        <f>ROUND($O51*AA51,0)</f>
        <v/>
      </c>
      <c r="AS51" s="193">
        <f>ROUND($O51*AB51,0)</f>
        <v/>
      </c>
      <c r="AT51" s="306">
        <f>ROUND($O51*AC51,0)</f>
        <v/>
      </c>
      <c r="AU51" s="306">
        <f>ROUND($O51*AD51,0)</f>
        <v/>
      </c>
      <c r="AV51" s="306">
        <f>ROUND($O51*AE51,0)</f>
        <v/>
      </c>
      <c r="AW51" s="306">
        <f>ROUND($O51*AF51,0)</f>
        <v/>
      </c>
      <c r="AX51" s="51" t="n"/>
      <c r="AY51" s="314">
        <f>O51*AX51</f>
        <v/>
      </c>
      <c r="AZ51" s="399" t="n"/>
      <c r="BA51" s="528" t="n"/>
      <c r="BB51" s="314">
        <f>AZ51*BA51</f>
        <v/>
      </c>
      <c r="BC51" s="528" t="n"/>
      <c r="BD51" s="528" t="n"/>
      <c r="BE51" s="528" t="n"/>
      <c r="BF51" s="528" t="n"/>
      <c r="BG51" s="528" t="n"/>
      <c r="BH51" s="528" t="n"/>
      <c r="BI51" s="314">
        <f>BG51*BH51</f>
        <v/>
      </c>
      <c r="BJ51" s="528" t="n"/>
      <c r="BK51" s="51" t="n"/>
      <c r="BL51" s="528" t="n"/>
      <c r="BM51" s="399" t="n"/>
      <c r="BN51" s="528" t="n"/>
      <c r="BO51" s="528" t="n"/>
      <c r="BP51" s="528" t="n"/>
      <c r="BQ51" s="528" t="n"/>
      <c r="BR51" s="528" t="n"/>
      <c r="BS51" s="528" t="n"/>
      <c r="BT51" s="528" t="n"/>
      <c r="BU51" s="528" t="n"/>
      <c r="BV51" s="528" t="n"/>
      <c r="BW51" s="314">
        <f>BU51*BV51</f>
        <v/>
      </c>
      <c r="BX51" s="528" t="n"/>
      <c r="BY51" s="528" t="n"/>
      <c r="BZ51" s="528" t="n"/>
      <c r="CA51" s="314">
        <f>BY51*BZ51</f>
        <v/>
      </c>
      <c r="CB51" s="528" t="n"/>
      <c r="CC51" s="528" t="n"/>
      <c r="CD51" s="528" t="n"/>
      <c r="CE51" s="314">
        <f>CC51*CD51</f>
        <v/>
      </c>
    </row>
    <row r="52" ht="57.6" customFormat="1" customHeight="1" s="525">
      <c r="A52" s="528" t="n">
        <v>6</v>
      </c>
      <c r="B52" s="528" t="inlineStr">
        <is>
          <t>e</t>
        </is>
      </c>
      <c r="C52" s="523" t="n">
        <v>1</v>
      </c>
      <c r="D52" s="524">
        <f>CONCATENATE(A$3,"_",A52,"_",B52,"_",C52)</f>
        <v/>
      </c>
      <c r="E52" s="526" t="inlineStr">
        <is>
          <t>Wybór Modelu optymalizującego trasy, czasy przejazdu wózków widłowych i realizacji zadań, pracę personelu, rekomendującego optymalne ułożenie towarów w MWS</t>
        </is>
      </c>
      <c r="F52" s="528" t="n"/>
      <c r="G52" s="528" t="n"/>
      <c r="H52" s="45" t="n">
        <v>4</v>
      </c>
      <c r="I52" s="528" t="inlineStr">
        <is>
          <t>ACT/END</t>
        </is>
      </c>
      <c r="J52" s="91">
        <f>M51+1</f>
        <v/>
      </c>
      <c r="K52" s="681">
        <f>VLOOKUP(J52,Kalendarz!B:E,4,FALSE)</f>
        <v/>
      </c>
      <c r="L52" s="681">
        <f>K52+N52</f>
        <v/>
      </c>
      <c r="M52" s="528">
        <f>J52+N52-1</f>
        <v/>
      </c>
      <c r="N52" s="474" t="n">
        <v>1</v>
      </c>
      <c r="O52" s="529" t="n">
        <v>120</v>
      </c>
      <c r="P52" s="187" t="n"/>
      <c r="Q52" s="187" t="n"/>
      <c r="R52" s="187" t="n"/>
      <c r="S52" s="187" t="n"/>
      <c r="T52" s="187" t="n">
        <v>0.333</v>
      </c>
      <c r="U52" s="187" t="n">
        <v>0.333</v>
      </c>
      <c r="V52" s="187" t="n">
        <v>0</v>
      </c>
      <c r="W52" s="187" t="n">
        <v>0</v>
      </c>
      <c r="X52" s="187" t="n">
        <v>0</v>
      </c>
      <c r="Y52" s="188" t="n">
        <v>0</v>
      </c>
      <c r="Z52" s="188" t="n">
        <v>0.333</v>
      </c>
      <c r="AA52" s="188" t="n">
        <v>0</v>
      </c>
      <c r="AB52" s="188" t="n">
        <v>0</v>
      </c>
      <c r="AC52" s="305" t="n"/>
      <c r="AD52" s="305" t="n"/>
      <c r="AE52" s="305" t="n"/>
      <c r="AF52" s="305" t="n"/>
      <c r="AG52" s="192">
        <f>ROUND($O52*P52,0)</f>
        <v/>
      </c>
      <c r="AH52" s="192">
        <f>ROUND($O52*Q52,0)</f>
        <v/>
      </c>
      <c r="AI52" s="192">
        <f>ROUND($O52*R52,0)</f>
        <v/>
      </c>
      <c r="AJ52" s="192">
        <f>ROUND($O52*S52,0)</f>
        <v/>
      </c>
      <c r="AK52" s="192">
        <f>ROUND($O52*T52,0)</f>
        <v/>
      </c>
      <c r="AL52" s="192">
        <f>ROUND($O52*U52,0)</f>
        <v/>
      </c>
      <c r="AM52" s="192">
        <f>ROUND($O52*V52,0)</f>
        <v/>
      </c>
      <c r="AN52" s="192">
        <f>ROUND($O52*W52,0)</f>
        <v/>
      </c>
      <c r="AO52" s="192">
        <f>ROUND($O52*X52,0)</f>
        <v/>
      </c>
      <c r="AP52" s="193">
        <f>ROUND($O52*Y52,0)</f>
        <v/>
      </c>
      <c r="AQ52" s="193">
        <f>ROUND($O52*Z52,0)</f>
        <v/>
      </c>
      <c r="AR52" s="193">
        <f>ROUND($O52*AA52,0)</f>
        <v/>
      </c>
      <c r="AS52" s="193">
        <f>ROUND($O52*AB52,0)</f>
        <v/>
      </c>
      <c r="AT52" s="306">
        <f>ROUND($O52*AC52,0)</f>
        <v/>
      </c>
      <c r="AU52" s="306">
        <f>ROUND($O52*AD52,0)</f>
        <v/>
      </c>
      <c r="AV52" s="306">
        <f>ROUND($O52*AE52,0)</f>
        <v/>
      </c>
      <c r="AW52" s="306">
        <f>ROUND($O52*AF52,0)</f>
        <v/>
      </c>
      <c r="AX52" s="51" t="n"/>
      <c r="AY52" s="314">
        <f>O52*AX52</f>
        <v/>
      </c>
      <c r="AZ52" s="399" t="n"/>
      <c r="BA52" s="528" t="n"/>
      <c r="BB52" s="314">
        <f>AZ52*BA52</f>
        <v/>
      </c>
      <c r="BC52" s="528" t="n"/>
      <c r="BD52" s="528" t="n"/>
      <c r="BE52" s="528" t="n"/>
      <c r="BF52" s="528" t="n"/>
      <c r="BG52" s="528" t="n"/>
      <c r="BH52" s="528" t="n"/>
      <c r="BI52" s="314">
        <f>BG52*BH52</f>
        <v/>
      </c>
      <c r="BJ52" s="528" t="n"/>
      <c r="BK52" s="51" t="n"/>
      <c r="BL52" s="314" t="n"/>
      <c r="BM52" s="399" t="n"/>
      <c r="BN52" s="528" t="n"/>
      <c r="BO52" s="314" t="n"/>
      <c r="BP52" s="528" t="n"/>
      <c r="BQ52" s="528" t="n"/>
      <c r="BR52" s="314" t="n"/>
      <c r="BS52" s="314" t="n"/>
      <c r="BT52" s="528" t="n"/>
      <c r="BU52" s="528" t="n"/>
      <c r="BV52" s="528" t="n"/>
      <c r="BW52" s="314">
        <f>BU52*BV52</f>
        <v/>
      </c>
      <c r="BX52" s="528" t="n"/>
      <c r="BY52" s="528" t="n"/>
      <c r="BZ52" s="528" t="n"/>
      <c r="CA52" s="314">
        <f>BY52*BZ52</f>
        <v/>
      </c>
      <c r="CB52" s="528" t="n"/>
      <c r="CC52" s="528" t="n"/>
      <c r="CD52" s="528" t="n"/>
      <c r="CE52" s="314">
        <f>CC52*CD52</f>
        <v/>
      </c>
    </row>
    <row r="53" ht="15.75" customFormat="1" customHeight="1" s="525">
      <c r="A53" s="604" t="n">
        <v>7</v>
      </c>
      <c r="B53" s="604" t="inlineStr">
        <is>
          <t>Walidacja i optymalizacja Modelu</t>
        </is>
      </c>
      <c r="C53" s="605" t="n"/>
      <c r="D53" s="606" t="n"/>
      <c r="E53" s="607" t="n"/>
      <c r="F53" s="604" t="n"/>
      <c r="G53" s="604" t="n"/>
      <c r="H53" s="39" t="n"/>
      <c r="I53" s="51" t="n"/>
      <c r="J53" s="91">
        <f>M52+1</f>
        <v/>
      </c>
      <c r="K53" s="681">
        <f>VLOOKUP(J53,Kalendarz!B:E,4,FALSE)</f>
        <v/>
      </c>
      <c r="L53" s="681">
        <f>K53+N53</f>
        <v/>
      </c>
      <c r="M53" s="528">
        <f>J53+N53-1</f>
        <v/>
      </c>
      <c r="N53" s="474">
        <f>ROUND(MAX(AG53:AO53)/Listy!$U$2,0)</f>
        <v/>
      </c>
      <c r="O53" s="190" t="n"/>
      <c r="P53" s="468" t="n"/>
      <c r="Q53" s="468" t="n"/>
      <c r="R53" s="468" t="n"/>
      <c r="S53" s="130" t="n"/>
      <c r="T53" s="130" t="n"/>
      <c r="U53" s="130" t="n"/>
      <c r="V53" s="130" t="n"/>
      <c r="W53" s="130" t="n"/>
      <c r="X53" s="468" t="n"/>
      <c r="Y53" s="468" t="n"/>
      <c r="Z53" s="468" t="n"/>
      <c r="AA53" s="148" t="n"/>
      <c r="AB53" s="190" t="n"/>
      <c r="AC53" s="190" t="n"/>
      <c r="AD53" s="190" t="n"/>
      <c r="AE53" s="190" t="n"/>
      <c r="AF53" s="148" t="n"/>
      <c r="AG53" s="148" t="n"/>
      <c r="AH53" s="148" t="n"/>
      <c r="AI53" s="148" t="n"/>
      <c r="AJ53" s="190" t="n"/>
      <c r="AK53" s="190" t="n"/>
      <c r="AL53" s="190" t="n"/>
      <c r="AM53" s="190" t="n"/>
      <c r="AN53" s="190" t="n"/>
      <c r="AO53" s="190" t="n"/>
      <c r="AP53" s="190" t="n"/>
      <c r="AQ53" s="190" t="n"/>
      <c r="AR53" s="190" t="n"/>
      <c r="AS53" s="304" t="n"/>
      <c r="AT53" s="304" t="n"/>
      <c r="AU53" s="304" t="n"/>
      <c r="AV53" s="304" t="n"/>
      <c r="AW53" s="148" t="n"/>
      <c r="AX53" s="50" t="n"/>
      <c r="AY53" s="50" t="n"/>
      <c r="AZ53" s="50" t="n"/>
      <c r="BA53" s="50" t="n"/>
      <c r="BB53" s="50" t="n"/>
      <c r="BC53" s="50" t="n"/>
      <c r="BD53" s="50" t="n"/>
      <c r="BE53" s="50" t="n"/>
      <c r="BF53" s="50" t="n"/>
      <c r="BG53" s="50" t="n"/>
      <c r="BH53" s="50" t="n"/>
      <c r="BI53" s="50" t="n"/>
      <c r="BJ53" s="50" t="n"/>
      <c r="BK53" s="50" t="n"/>
      <c r="BL53" s="50" t="n"/>
      <c r="BM53" s="50" t="n"/>
      <c r="BN53" s="50" t="n"/>
      <c r="BO53" s="50" t="n"/>
      <c r="BP53" s="50" t="n"/>
      <c r="BQ53" s="50" t="n"/>
      <c r="BR53" s="50" t="n"/>
      <c r="BS53" s="50" t="n"/>
      <c r="BT53" s="50" t="n"/>
      <c r="BU53" s="50" t="n"/>
      <c r="BV53" s="50" t="n"/>
      <c r="BW53" s="50" t="n"/>
      <c r="BX53" s="50" t="n"/>
      <c r="BY53" s="50" t="n"/>
      <c r="BZ53" s="50" t="n"/>
      <c r="CA53" s="50" t="n"/>
      <c r="CB53" s="50" t="n"/>
      <c r="CC53" s="50" t="n"/>
      <c r="CD53" s="50" t="n"/>
      <c r="CE53" s="50" t="n"/>
      <c r="CF53" s="525">
        <f>AY53+BB53+BI53+BL53+BO53+BR53+BS53+BW53+CA53+CE53</f>
        <v/>
      </c>
    </row>
    <row r="54" ht="43.2" customFormat="1" customHeight="1" s="525">
      <c r="A54" s="528" t="n">
        <v>7</v>
      </c>
      <c r="B54" s="528" t="inlineStr">
        <is>
          <t>a</t>
        </is>
      </c>
      <c r="C54" s="523" t="n">
        <v>0</v>
      </c>
      <c r="D54" s="524">
        <f>CONCATENATE(A$3,"_",A54,"_",B54,"_",C54)</f>
        <v/>
      </c>
      <c r="E54" s="526" t="inlineStr">
        <is>
          <t>Przeprowadzenie testów (np. krzyżowa walidacja, na nowych danych) w warunkach zbliżonych do rzeczywistych</t>
        </is>
      </c>
      <c r="F54" s="528" t="n"/>
      <c r="G54" s="528" t="n"/>
      <c r="H54" s="39" t="n"/>
      <c r="I54" s="51" t="inlineStr">
        <is>
          <t>ACT</t>
        </is>
      </c>
      <c r="J54" s="91">
        <f>M53+1</f>
        <v/>
      </c>
      <c r="K54" s="681">
        <f>VLOOKUP(J54,Kalendarz!B:E,4,FALSE)</f>
        <v/>
      </c>
      <c r="L54" s="681">
        <f>K54+N54</f>
        <v/>
      </c>
      <c r="M54" s="528">
        <f>J54+N54-1</f>
        <v/>
      </c>
      <c r="N54" s="474" t="n">
        <v>1</v>
      </c>
      <c r="O54" s="529" t="n">
        <v>80</v>
      </c>
      <c r="P54" s="187" t="n"/>
      <c r="Q54" s="187" t="n"/>
      <c r="R54" s="187" t="n"/>
      <c r="S54" s="187" t="n"/>
      <c r="T54" s="187" t="n">
        <v>0.5</v>
      </c>
      <c r="U54" s="187" t="n">
        <v>0.5</v>
      </c>
      <c r="V54" s="187" t="n">
        <v>0</v>
      </c>
      <c r="W54" s="187" t="n">
        <v>0</v>
      </c>
      <c r="X54" s="187" t="n">
        <v>0</v>
      </c>
      <c r="Y54" s="188" t="n">
        <v>0</v>
      </c>
      <c r="Z54" s="188" t="n">
        <v>0</v>
      </c>
      <c r="AA54" s="188" t="n">
        <v>0</v>
      </c>
      <c r="AB54" s="188" t="n">
        <v>0</v>
      </c>
      <c r="AC54" s="305" t="n"/>
      <c r="AD54" s="305" t="n"/>
      <c r="AE54" s="305" t="n"/>
      <c r="AF54" s="305" t="n"/>
      <c r="AG54" s="192">
        <f>ROUND($O54*P54,0)</f>
        <v/>
      </c>
      <c r="AH54" s="192">
        <f>ROUND($O54*Q54,0)</f>
        <v/>
      </c>
      <c r="AI54" s="192">
        <f>ROUND($O54*R54,0)</f>
        <v/>
      </c>
      <c r="AJ54" s="192">
        <f>ROUND($O54*S54,0)</f>
        <v/>
      </c>
      <c r="AK54" s="192">
        <f>ROUND($O54*T54,0)</f>
        <v/>
      </c>
      <c r="AL54" s="192">
        <f>ROUND($O54*U54,0)</f>
        <v/>
      </c>
      <c r="AM54" s="192">
        <f>ROUND($O54*V54,0)</f>
        <v/>
      </c>
      <c r="AN54" s="192">
        <f>ROUND($O54*W54,0)</f>
        <v/>
      </c>
      <c r="AO54" s="192">
        <f>ROUND($O54*X54,0)</f>
        <v/>
      </c>
      <c r="AP54" s="193">
        <f>ROUND($O54*Y54,0)</f>
        <v/>
      </c>
      <c r="AQ54" s="193">
        <f>ROUND($O54*Z54,0)</f>
        <v/>
      </c>
      <c r="AR54" s="193">
        <f>ROUND($O54*AA54,0)</f>
        <v/>
      </c>
      <c r="AS54" s="193">
        <f>ROUND($O54*AB54,0)</f>
        <v/>
      </c>
      <c r="AT54" s="306">
        <f>ROUND($O54*AC54,0)</f>
        <v/>
      </c>
      <c r="AU54" s="306">
        <f>ROUND($O54*AD54,0)</f>
        <v/>
      </c>
      <c r="AV54" s="306">
        <f>ROUND($O54*AE54,0)</f>
        <v/>
      </c>
      <c r="AW54" s="306">
        <f>ROUND($O54*AF54,0)</f>
        <v/>
      </c>
      <c r="AX54" s="51" t="n"/>
      <c r="AY54" s="314">
        <f>O54*AX54</f>
        <v/>
      </c>
      <c r="AZ54" s="399" t="n"/>
      <c r="BA54" s="528" t="n"/>
      <c r="BB54" s="314">
        <f>AZ54*BA54</f>
        <v/>
      </c>
      <c r="BC54" s="528" t="n"/>
      <c r="BD54" s="528" t="n"/>
      <c r="BE54" s="528" t="n"/>
      <c r="BF54" s="528" t="n"/>
      <c r="BG54" s="528" t="n"/>
      <c r="BH54" s="528" t="n"/>
      <c r="BI54" s="314">
        <f>BG54*BH54</f>
        <v/>
      </c>
      <c r="BJ54" s="528" t="n"/>
      <c r="BK54" s="51" t="n"/>
      <c r="BL54" s="21" t="n"/>
      <c r="BM54" s="399" t="n"/>
      <c r="BN54" s="528" t="n"/>
      <c r="BO54" s="21" t="n"/>
      <c r="BP54" s="528" t="n"/>
      <c r="BQ54" s="528" t="n"/>
      <c r="BR54" s="21" t="n"/>
      <c r="BS54" s="21" t="n"/>
      <c r="BT54" s="528" t="n"/>
      <c r="BU54" s="528" t="n"/>
      <c r="BV54" s="528" t="n"/>
      <c r="BW54" s="314">
        <f>BU54*BV54</f>
        <v/>
      </c>
      <c r="BX54" s="528" t="n"/>
      <c r="BY54" s="528" t="n"/>
      <c r="BZ54" s="528" t="n"/>
      <c r="CA54" s="314">
        <f>BY54*BZ54</f>
        <v/>
      </c>
      <c r="CB54" s="528" t="n"/>
      <c r="CC54" s="528" t="n"/>
      <c r="CD54" s="528" t="n"/>
      <c r="CE54" s="314">
        <f>CC54*CD54</f>
        <v/>
      </c>
    </row>
    <row r="55" ht="57.6" customFormat="1" customHeight="1" s="525">
      <c r="A55" s="528" t="n">
        <v>7</v>
      </c>
      <c r="B55" s="528" t="inlineStr">
        <is>
          <t>b</t>
        </is>
      </c>
      <c r="C55" s="523" t="n">
        <v>0</v>
      </c>
      <c r="D55" s="524">
        <f>CONCATENATE(A$3,"_",A55,"_",B55,"_",C55)</f>
        <v/>
      </c>
      <c r="E55" s="526" t="inlineStr">
        <is>
          <t>Monitorowanie i porównanie wyników Modelu z danymi operacyjnymi, ocena dokładności prognoz i skuteczności optymalizacji</t>
        </is>
      </c>
      <c r="F55" s="528" t="n"/>
      <c r="G55" s="528" t="n"/>
      <c r="H55" s="20" t="n">
        <v>11</v>
      </c>
      <c r="I55" s="51" t="inlineStr">
        <is>
          <t>ACT</t>
        </is>
      </c>
      <c r="J55" s="91">
        <f>M54+1</f>
        <v/>
      </c>
      <c r="K55" s="681">
        <f>VLOOKUP(J55,Kalendarz!B:E,4,FALSE)</f>
        <v/>
      </c>
      <c r="L55" s="681">
        <f>K55+N55</f>
        <v/>
      </c>
      <c r="M55" s="528">
        <f>J55+N55-1</f>
        <v/>
      </c>
      <c r="N55" s="474" t="n">
        <v>1</v>
      </c>
      <c r="O55" s="529" t="n">
        <v>120</v>
      </c>
      <c r="P55" s="187" t="n"/>
      <c r="Q55" s="187" t="n"/>
      <c r="R55" s="187" t="n"/>
      <c r="S55" s="187" t="n"/>
      <c r="T55" s="187" t="n">
        <v>0.34</v>
      </c>
      <c r="U55" s="187" t="n">
        <v>0.33</v>
      </c>
      <c r="V55" s="187" t="n">
        <v>0</v>
      </c>
      <c r="W55" s="187" t="n">
        <v>0</v>
      </c>
      <c r="X55" s="187" t="n">
        <v>0</v>
      </c>
      <c r="Y55" s="188" t="n">
        <v>0</v>
      </c>
      <c r="Z55" s="188" t="n">
        <v>0</v>
      </c>
      <c r="AA55" s="188" t="n">
        <v>0.33</v>
      </c>
      <c r="AB55" s="188" t="n">
        <v>0</v>
      </c>
      <c r="AC55" s="305" t="n"/>
      <c r="AD55" s="305" t="n"/>
      <c r="AE55" s="305" t="n"/>
      <c r="AF55" s="305" t="n"/>
      <c r="AG55" s="192">
        <f>ROUND($O55*P55,0)</f>
        <v/>
      </c>
      <c r="AH55" s="192">
        <f>ROUND($O55*Q55,0)</f>
        <v/>
      </c>
      <c r="AI55" s="192">
        <f>ROUND($O55*R55,0)</f>
        <v/>
      </c>
      <c r="AJ55" s="192">
        <f>ROUND($O55*S55,0)</f>
        <v/>
      </c>
      <c r="AK55" s="192">
        <f>ROUND($O55*T55,0)</f>
        <v/>
      </c>
      <c r="AL55" s="192">
        <f>ROUND($O55*U55,0)</f>
        <v/>
      </c>
      <c r="AM55" s="192">
        <f>ROUND($O55*V55,0)</f>
        <v/>
      </c>
      <c r="AN55" s="192">
        <f>ROUND($O55*W55,0)</f>
        <v/>
      </c>
      <c r="AO55" s="192">
        <f>ROUND($O55*X55,0)</f>
        <v/>
      </c>
      <c r="AP55" s="193">
        <f>ROUND($O55*Y55,0)</f>
        <v/>
      </c>
      <c r="AQ55" s="193">
        <f>ROUND($O55*Z55,0)</f>
        <v/>
      </c>
      <c r="AR55" s="193">
        <f>ROUND($O55*AA55,0)</f>
        <v/>
      </c>
      <c r="AS55" s="193">
        <f>ROUND($O55*AB55,0)</f>
        <v/>
      </c>
      <c r="AT55" s="306">
        <f>ROUND($O55*AC55,0)</f>
        <v/>
      </c>
      <c r="AU55" s="306">
        <f>ROUND($O55*AD55,0)</f>
        <v/>
      </c>
      <c r="AV55" s="306">
        <f>ROUND($O55*AE55,0)</f>
        <v/>
      </c>
      <c r="AW55" s="306">
        <f>ROUND($O55*AF55,0)</f>
        <v/>
      </c>
      <c r="AX55" s="51" t="n"/>
      <c r="AY55" s="314">
        <f>O55*AX55</f>
        <v/>
      </c>
      <c r="AZ55" s="399" t="n"/>
      <c r="BA55" s="528" t="n"/>
      <c r="BB55" s="314">
        <f>AZ55*BA55</f>
        <v/>
      </c>
      <c r="BC55" s="528" t="n"/>
      <c r="BD55" s="528" t="n"/>
      <c r="BE55" s="528" t="n"/>
      <c r="BF55" s="528" t="n"/>
      <c r="BG55" s="528" t="n"/>
      <c r="BH55" s="528" t="n"/>
      <c r="BI55" s="314">
        <f>BG55*BH55</f>
        <v/>
      </c>
      <c r="BJ55" s="528" t="n"/>
      <c r="BK55" s="51" t="n"/>
      <c r="BL55" s="528" t="n"/>
      <c r="BM55" s="399" t="n"/>
      <c r="BN55" s="528" t="n"/>
      <c r="BO55" s="528" t="n"/>
      <c r="BP55" s="528" t="n"/>
      <c r="BQ55" s="528" t="n"/>
      <c r="BR55" s="528" t="n"/>
      <c r="BS55" s="528" t="n"/>
      <c r="BT55" s="528" t="n"/>
      <c r="BU55" s="528" t="n"/>
      <c r="BV55" s="528" t="n"/>
      <c r="BW55" s="314">
        <f>BU55*BV55</f>
        <v/>
      </c>
      <c r="BX55" s="528" t="n"/>
      <c r="BY55" s="528" t="n"/>
      <c r="BZ55" s="528" t="n"/>
      <c r="CA55" s="314">
        <f>BY55*BZ55</f>
        <v/>
      </c>
      <c r="CB55" s="528" t="n"/>
      <c r="CC55" s="528" t="n"/>
      <c r="CD55" s="528" t="n"/>
      <c r="CE55" s="314">
        <f>CC55*CD55</f>
        <v/>
      </c>
    </row>
    <row r="56" ht="72.59999999999999" customFormat="1" customHeight="1" s="525" thickBot="1">
      <c r="A56" s="528" t="n">
        <v>7</v>
      </c>
      <c r="B56" s="528" t="inlineStr">
        <is>
          <t>c</t>
        </is>
      </c>
      <c r="C56" s="523" t="n">
        <v>0</v>
      </c>
      <c r="D56" s="524">
        <f>CONCATENATE(A$3,"_",A56,"_",B56,"_",C56)</f>
        <v/>
      </c>
      <c r="E56" s="526" t="inlineStr">
        <is>
          <t>Iteracyjne kalibracje (dopasowanie do wybranych procesów rzeczywistych [na niewielką skalę], dostosowanie parametrów i wybór najlepszych algorytmów z przeprowadzonych testów)</t>
        </is>
      </c>
      <c r="F56" s="528" t="n"/>
      <c r="G56" s="528" t="n"/>
      <c r="H56" s="20" t="n">
        <v>12</v>
      </c>
      <c r="I56" s="51" t="inlineStr">
        <is>
          <t>END/ACT</t>
        </is>
      </c>
      <c r="J56" s="91">
        <f>M55+1</f>
        <v/>
      </c>
      <c r="K56" s="681">
        <f>VLOOKUP(J56,Kalendarz!B:E,4,FALSE)</f>
        <v/>
      </c>
      <c r="L56" s="681">
        <f>K56+N56</f>
        <v/>
      </c>
      <c r="M56" s="528">
        <f>J56+N56-1</f>
        <v/>
      </c>
      <c r="N56" s="474" t="n">
        <v>1</v>
      </c>
      <c r="O56" s="529" t="n">
        <v>120</v>
      </c>
      <c r="P56" s="187" t="n"/>
      <c r="Q56" s="187" t="n"/>
      <c r="R56" s="187" t="n"/>
      <c r="S56" s="187" t="n"/>
      <c r="T56" s="187" t="n">
        <v>0</v>
      </c>
      <c r="U56" s="187" t="n">
        <v>0.34</v>
      </c>
      <c r="V56" s="187" t="n">
        <v>0</v>
      </c>
      <c r="W56" s="187" t="n">
        <v>0</v>
      </c>
      <c r="X56" s="187" t="n">
        <v>0</v>
      </c>
      <c r="Y56" s="188" t="n">
        <v>0.33</v>
      </c>
      <c r="Z56" s="188" t="n">
        <v>0</v>
      </c>
      <c r="AA56" s="188" t="n">
        <v>0.33</v>
      </c>
      <c r="AB56" s="188" t="n">
        <v>0</v>
      </c>
      <c r="AC56" s="305" t="n"/>
      <c r="AD56" s="305" t="n"/>
      <c r="AE56" s="305" t="n"/>
      <c r="AF56" s="305" t="n"/>
      <c r="AG56" s="192">
        <f>ROUND($O56*P56,0)</f>
        <v/>
      </c>
      <c r="AH56" s="192">
        <f>ROUND($O56*Q56,0)</f>
        <v/>
      </c>
      <c r="AI56" s="192">
        <f>ROUND($O56*R56,0)</f>
        <v/>
      </c>
      <c r="AJ56" s="192">
        <f>ROUND($O56*S56,0)</f>
        <v/>
      </c>
      <c r="AK56" s="192">
        <f>ROUND($O56*T56,0)</f>
        <v/>
      </c>
      <c r="AL56" s="192">
        <f>ROUND($O56*U56,0)</f>
        <v/>
      </c>
      <c r="AM56" s="192">
        <f>ROUND($O56*V56,0)</f>
        <v/>
      </c>
      <c r="AN56" s="192">
        <f>ROUND($O56*W56,0)</f>
        <v/>
      </c>
      <c r="AO56" s="192">
        <f>ROUND($O56*X56,0)</f>
        <v/>
      </c>
      <c r="AP56" s="193">
        <f>ROUND($O56*Y56,0)</f>
        <v/>
      </c>
      <c r="AQ56" s="193">
        <f>ROUND($O56*Z56,0)</f>
        <v/>
      </c>
      <c r="AR56" s="193">
        <f>ROUND($O56*AA56,0)</f>
        <v/>
      </c>
      <c r="AS56" s="193">
        <f>ROUND($O56*AB56,0)</f>
        <v/>
      </c>
      <c r="AT56" s="306">
        <f>ROUND($O56*AC56,0)</f>
        <v/>
      </c>
      <c r="AU56" s="306">
        <f>ROUND($O56*AD56,0)</f>
        <v/>
      </c>
      <c r="AV56" s="306">
        <f>ROUND($O56*AE56,0)</f>
        <v/>
      </c>
      <c r="AW56" s="306">
        <f>ROUND($O56*AF56,0)</f>
        <v/>
      </c>
      <c r="AX56" s="51" t="n"/>
      <c r="AY56" s="314">
        <f>O56*AX56</f>
        <v/>
      </c>
      <c r="AZ56" s="399" t="n"/>
      <c r="BA56" s="528" t="n"/>
      <c r="BB56" s="314">
        <f>AZ56*BA56</f>
        <v/>
      </c>
      <c r="BC56" s="528" t="n"/>
      <c r="BD56" s="528" t="n"/>
      <c r="BE56" s="528" t="n"/>
      <c r="BF56" s="528" t="n"/>
      <c r="BG56" s="528" t="n"/>
      <c r="BH56" s="528" t="n"/>
      <c r="BI56" s="314">
        <f>BG56*BH56</f>
        <v/>
      </c>
      <c r="BJ56" s="528" t="n"/>
      <c r="BK56" s="51" t="n"/>
      <c r="BL56" s="314" t="n"/>
      <c r="BM56" s="399" t="n"/>
      <c r="BN56" s="528" t="n"/>
      <c r="BO56" s="314" t="n"/>
      <c r="BP56" s="528" t="n"/>
      <c r="BQ56" s="528" t="n"/>
      <c r="BR56" s="314" t="n"/>
      <c r="BS56" s="314" t="n"/>
      <c r="BT56" s="528" t="n"/>
      <c r="BU56" s="528" t="n"/>
      <c r="BV56" s="528" t="n"/>
      <c r="BW56" s="314">
        <f>BU56*BV56</f>
        <v/>
      </c>
      <c r="BX56" s="528" t="n"/>
      <c r="BY56" s="528" t="n"/>
      <c r="BZ56" s="528" t="n"/>
      <c r="CA56" s="314">
        <f>BY56*BZ56</f>
        <v/>
      </c>
      <c r="CB56" s="528" t="n"/>
      <c r="CC56" s="528" t="n"/>
      <c r="CD56" s="528" t="n"/>
      <c r="CE56" s="314">
        <f>CC56*CD56</f>
        <v/>
      </c>
    </row>
    <row r="57" ht="15.75" customFormat="1" customHeight="1" s="525" thickBot="1">
      <c r="A57" s="604" t="n">
        <v>8</v>
      </c>
      <c r="B57" s="604" t="inlineStr">
        <is>
          <t>a</t>
        </is>
      </c>
      <c r="C57" s="605" t="n">
        <v>0</v>
      </c>
      <c r="D57" s="606">
        <f>CONCATENATE(A$3,"_",A57,"_",B57,"_",C57)</f>
        <v/>
      </c>
      <c r="E57" s="607" t="inlineStr">
        <is>
          <t>8.Optymalizacja kosztów i zasobów. Analiza modeli AI/ML w celu optymalizacji:</t>
        </is>
      </c>
      <c r="F57" s="604" t="n"/>
      <c r="G57" s="604" t="n"/>
      <c r="H57" s="20" t="n">
        <v>12</v>
      </c>
      <c r="I57" s="46" t="n"/>
      <c r="J57" s="91">
        <f>M56+1</f>
        <v/>
      </c>
      <c r="K57" s="681">
        <f>VLOOKUP(J57,Kalendarz!B:E,4,FALSE)</f>
        <v/>
      </c>
      <c r="L57" s="681">
        <f>K57+N57</f>
        <v/>
      </c>
      <c r="M57" s="528">
        <f>J57+N57-1</f>
        <v/>
      </c>
      <c r="N57" s="474">
        <f>ROUND(MAX(AG57:AO57)/Listy!$U$2,0)</f>
        <v/>
      </c>
      <c r="O57" s="190" t="n"/>
      <c r="P57" s="468" t="n"/>
      <c r="Q57" s="468" t="n"/>
      <c r="R57" s="468" t="n"/>
      <c r="S57" s="130" t="n"/>
      <c r="T57" s="130" t="n"/>
      <c r="U57" s="130" t="n"/>
      <c r="V57" s="130" t="n"/>
      <c r="W57" s="130" t="n"/>
      <c r="X57" s="468" t="n"/>
      <c r="Y57" s="468" t="n"/>
      <c r="Z57" s="468" t="n"/>
      <c r="AA57" s="148" t="n"/>
      <c r="AB57" s="190" t="n"/>
      <c r="AC57" s="190" t="n"/>
      <c r="AD57" s="190" t="n"/>
      <c r="AE57" s="190" t="n"/>
      <c r="AF57" s="148" t="n"/>
      <c r="AG57" s="148" t="n"/>
      <c r="AH57" s="148" t="n"/>
      <c r="AI57" s="148" t="n"/>
      <c r="AJ57" s="190" t="n"/>
      <c r="AK57" s="190" t="n"/>
      <c r="AL57" s="190" t="n"/>
      <c r="AM57" s="190" t="n"/>
      <c r="AN57" s="190" t="n"/>
      <c r="AO57" s="190" t="n"/>
      <c r="AP57" s="190" t="n"/>
      <c r="AQ57" s="190" t="n"/>
      <c r="AR57" s="190" t="n"/>
      <c r="AS57" s="304" t="n"/>
      <c r="AT57" s="304" t="n"/>
      <c r="AU57" s="304" t="n"/>
      <c r="AV57" s="304" t="n"/>
      <c r="AW57" s="148" t="n"/>
      <c r="AX57" s="51" t="n"/>
      <c r="AY57" s="14">
        <f>AY58+AY59+AY60+AY61+AY62+AY63</f>
        <v/>
      </c>
      <c r="AZ57" s="399" t="n"/>
      <c r="BA57" s="528" t="n"/>
      <c r="BB57" s="14">
        <f>BB58+BB59+BB60+BB61+BB62+BB63</f>
        <v/>
      </c>
      <c r="BC57" s="528" t="n"/>
      <c r="BD57" s="528" t="n"/>
      <c r="BE57" s="528" t="n"/>
      <c r="BF57" s="528" t="n"/>
      <c r="BG57" s="528" t="n"/>
      <c r="BH57" s="528" t="n"/>
      <c r="BI57" s="14">
        <f>BI58+BI59+BI60+BI61+BI62+BI63</f>
        <v/>
      </c>
      <c r="BJ57" s="528" t="n"/>
      <c r="BK57" s="51" t="n"/>
      <c r="BL57" s="14">
        <f>BL58+BL59+BL60+BL61+BL62+BL63</f>
        <v/>
      </c>
      <c r="BM57" s="399" t="n"/>
      <c r="BN57" s="528" t="n"/>
      <c r="BO57" s="14">
        <f>BO58+BO59+BO60+BO61+BO62+BO63</f>
        <v/>
      </c>
      <c r="BP57" s="528" t="n"/>
      <c r="BQ57" s="528" t="n"/>
      <c r="BR57" s="14">
        <f>BR58+BR59+BR60+BR61+BR62+BR63</f>
        <v/>
      </c>
      <c r="BS57" s="14">
        <f>BS58+BS59+BS60+BS61+BS62+BS63</f>
        <v/>
      </c>
      <c r="BT57" s="528" t="n"/>
      <c r="BU57" s="528" t="n"/>
      <c r="BV57" s="528" t="n"/>
      <c r="BW57" s="14">
        <f>BW58+BW59+BW60+BW61+BW62+BW63</f>
        <v/>
      </c>
      <c r="BX57" s="528" t="n"/>
      <c r="BY57" s="528" t="n"/>
      <c r="BZ57" s="528" t="n"/>
      <c r="CA57" s="14">
        <f>CA58+CA59+CA60+CA61+CA62+CA63</f>
        <v/>
      </c>
      <c r="CB57" s="528" t="n"/>
      <c r="CC57" s="528" t="n"/>
      <c r="CD57" s="528" t="n"/>
      <c r="CE57" s="14">
        <f>CE58+CE59+CE60+CE61+CE62+CE63</f>
        <v/>
      </c>
      <c r="CF57" s="525">
        <f>AY57+BB57+BI57+BL57+BO57+BR57+BS57+BW57+CA57+CE57</f>
        <v/>
      </c>
    </row>
    <row r="58" ht="14.4" customFormat="1" customHeight="1" s="525">
      <c r="A58" s="528" t="n">
        <v>8</v>
      </c>
      <c r="B58" s="528" t="inlineStr">
        <is>
          <t>a</t>
        </is>
      </c>
      <c r="C58" s="523" t="n">
        <v>1</v>
      </c>
      <c r="D58" s="524">
        <f>CONCATENATE(A$3,"_",A58,"_",B58,"_",C58)</f>
        <v/>
      </c>
      <c r="E58" s="526" t="inlineStr">
        <is>
          <t>kosztów operacyjnych</t>
        </is>
      </c>
      <c r="F58" s="528" t="n"/>
      <c r="G58" s="528" t="n"/>
      <c r="H58" s="20" t="n">
        <v>10</v>
      </c>
      <c r="I58" s="51" t="inlineStr">
        <is>
          <t>ACT</t>
        </is>
      </c>
      <c r="J58" s="91">
        <f>M57+1</f>
        <v/>
      </c>
      <c r="K58" s="681">
        <f>VLOOKUP(J58,Kalendarz!B:E,4,FALSE)</f>
        <v/>
      </c>
      <c r="L58" s="681">
        <f>K58+N58</f>
        <v/>
      </c>
      <c r="M58" s="528">
        <f>J58+N58-1</f>
        <v/>
      </c>
      <c r="N58" s="474" t="n">
        <v>0</v>
      </c>
      <c r="O58" s="529" t="n">
        <v>120</v>
      </c>
      <c r="P58" s="187" t="n"/>
      <c r="Q58" s="187" t="n"/>
      <c r="R58" s="187" t="n"/>
      <c r="S58" s="187" t="n"/>
      <c r="T58" s="187" t="n">
        <v>1</v>
      </c>
      <c r="U58" s="187" t="n">
        <v>0</v>
      </c>
      <c r="V58" s="187" t="n">
        <v>0</v>
      </c>
      <c r="W58" s="187" t="n">
        <v>0</v>
      </c>
      <c r="X58" s="187" t="n">
        <v>0</v>
      </c>
      <c r="Y58" s="188" t="n">
        <v>0</v>
      </c>
      <c r="Z58" s="188" t="n">
        <v>0</v>
      </c>
      <c r="AA58" s="188" t="n">
        <v>0</v>
      </c>
      <c r="AB58" s="188" t="n">
        <v>0</v>
      </c>
      <c r="AC58" s="305" t="n"/>
      <c r="AD58" s="305" t="n"/>
      <c r="AE58" s="305" t="n"/>
      <c r="AF58" s="305" t="n"/>
      <c r="AG58" s="192">
        <f>ROUND($O58*P58,0)</f>
        <v/>
      </c>
      <c r="AH58" s="192">
        <f>ROUND($O58*Q58,0)</f>
        <v/>
      </c>
      <c r="AI58" s="192">
        <f>ROUND($O58*R58,0)</f>
        <v/>
      </c>
      <c r="AJ58" s="192">
        <f>ROUND($O58*S58,0)</f>
        <v/>
      </c>
      <c r="AK58" s="192">
        <f>ROUND($O58*T58,0)</f>
        <v/>
      </c>
      <c r="AL58" s="192">
        <f>ROUND($O58*U58,0)</f>
        <v/>
      </c>
      <c r="AM58" s="192">
        <f>ROUND($O58*V58,0)</f>
        <v/>
      </c>
      <c r="AN58" s="192">
        <f>ROUND($O58*W58,0)</f>
        <v/>
      </c>
      <c r="AO58" s="192">
        <f>ROUND($O58*X58,0)</f>
        <v/>
      </c>
      <c r="AP58" s="193">
        <f>ROUND($O58*Y58,0)</f>
        <v/>
      </c>
      <c r="AQ58" s="193">
        <f>ROUND($O58*Z58,0)</f>
        <v/>
      </c>
      <c r="AR58" s="193">
        <f>ROUND($O58*AA58,0)</f>
        <v/>
      </c>
      <c r="AS58" s="193">
        <f>ROUND($O58*AB58,0)</f>
        <v/>
      </c>
      <c r="AT58" s="306">
        <f>ROUND($O58*AC58,0)</f>
        <v/>
      </c>
      <c r="AU58" s="306">
        <f>ROUND($O58*AD58,0)</f>
        <v/>
      </c>
      <c r="AV58" s="306">
        <f>ROUND($O58*AE58,0)</f>
        <v/>
      </c>
      <c r="AW58" s="306">
        <f>ROUND($O58*AF58,0)</f>
        <v/>
      </c>
      <c r="AX58" s="51" t="n"/>
      <c r="AY58" s="314">
        <f>O57*AX58</f>
        <v/>
      </c>
      <c r="AZ58" s="399" t="n"/>
      <c r="BA58" s="528" t="n"/>
      <c r="BB58" s="314">
        <f>AZ58*BA58</f>
        <v/>
      </c>
      <c r="BC58" s="528" t="n"/>
      <c r="BD58" s="528" t="n"/>
      <c r="BE58" s="528" t="n"/>
      <c r="BF58" s="528" t="n"/>
      <c r="BG58" s="528" t="n"/>
      <c r="BH58" s="528" t="n"/>
      <c r="BI58" s="314">
        <f>BG58*BH58</f>
        <v/>
      </c>
      <c r="BJ58" s="528" t="n"/>
      <c r="BK58" s="51" t="n"/>
      <c r="BL58" s="21" t="n"/>
      <c r="BM58" s="399" t="n"/>
      <c r="BN58" s="528" t="n"/>
      <c r="BO58" s="21" t="n"/>
      <c r="BP58" s="528" t="n"/>
      <c r="BQ58" s="528" t="n"/>
      <c r="BR58" s="21" t="n"/>
      <c r="BS58" s="21" t="n"/>
      <c r="BT58" s="528" t="n"/>
      <c r="BU58" s="528" t="n"/>
      <c r="BV58" s="528" t="n"/>
      <c r="BW58" s="314">
        <f>BU58*BV58</f>
        <v/>
      </c>
      <c r="BX58" s="528" t="n"/>
      <c r="BY58" s="528" t="n"/>
      <c r="BZ58" s="528" t="n"/>
      <c r="CA58" s="314">
        <f>BY58*BZ58</f>
        <v/>
      </c>
      <c r="CB58" s="528" t="n"/>
      <c r="CC58" s="528" t="n"/>
      <c r="CD58" s="528" t="n"/>
      <c r="CE58" s="314">
        <f>CC58*CD58</f>
        <v/>
      </c>
    </row>
    <row r="59" ht="15.75" customFormat="1" customHeight="1" s="525">
      <c r="A59" s="528" t="n">
        <v>8</v>
      </c>
      <c r="B59" s="528" t="inlineStr">
        <is>
          <t>b</t>
        </is>
      </c>
      <c r="C59" s="523" t="n">
        <v>1</v>
      </c>
      <c r="D59" s="524">
        <f>CONCATENATE(A$3,"_",A59,"_",B59,"_",C59)</f>
        <v/>
      </c>
      <c r="E59" s="526" t="inlineStr">
        <is>
          <t>czasu i efektywności pracy wózków widłowych</t>
        </is>
      </c>
      <c r="F59" s="528" t="n"/>
      <c r="G59" s="528" t="n"/>
      <c r="H59" s="20" t="n">
        <v>10</v>
      </c>
      <c r="I59" s="51" t="inlineStr">
        <is>
          <t>ACT</t>
        </is>
      </c>
      <c r="J59" s="91">
        <f>M58+1</f>
        <v/>
      </c>
      <c r="K59" s="681">
        <f>VLOOKUP(J59,Kalendarz!B:E,4,FALSE)</f>
        <v/>
      </c>
      <c r="L59" s="681">
        <f>K59+N59</f>
        <v/>
      </c>
      <c r="M59" s="528">
        <f>J59+N59-1</f>
        <v/>
      </c>
      <c r="N59" s="474" t="n">
        <v>0</v>
      </c>
      <c r="O59" s="529" t="n">
        <v>120</v>
      </c>
      <c r="P59" s="187" t="n"/>
      <c r="Q59" s="187" t="n"/>
      <c r="R59" s="187" t="n"/>
      <c r="S59" s="187" t="n"/>
      <c r="T59" s="187" t="n">
        <v>0</v>
      </c>
      <c r="U59" s="187" t="n">
        <v>1</v>
      </c>
      <c r="V59" s="187" t="n">
        <v>0</v>
      </c>
      <c r="W59" s="187" t="n">
        <v>0</v>
      </c>
      <c r="X59" s="187" t="n">
        <v>0</v>
      </c>
      <c r="Y59" s="188" t="n">
        <v>0</v>
      </c>
      <c r="Z59" s="188" t="n">
        <v>0</v>
      </c>
      <c r="AA59" s="188" t="n">
        <v>0</v>
      </c>
      <c r="AB59" s="188" t="n">
        <v>0</v>
      </c>
      <c r="AC59" s="305" t="n"/>
      <c r="AD59" s="305" t="n"/>
      <c r="AE59" s="305" t="n"/>
      <c r="AF59" s="305" t="n"/>
      <c r="AG59" s="192">
        <f>ROUND($O59*P59,0)</f>
        <v/>
      </c>
      <c r="AH59" s="192">
        <f>ROUND($O59*Q59,0)</f>
        <v/>
      </c>
      <c r="AI59" s="192">
        <f>ROUND($O59*R59,0)</f>
        <v/>
      </c>
      <c r="AJ59" s="192">
        <f>ROUND($O59*S59,0)</f>
        <v/>
      </c>
      <c r="AK59" s="192">
        <f>ROUND($O59*T59,0)</f>
        <v/>
      </c>
      <c r="AL59" s="192">
        <f>ROUND($O59*U59,0)</f>
        <v/>
      </c>
      <c r="AM59" s="192">
        <f>ROUND($O59*V59,0)</f>
        <v/>
      </c>
      <c r="AN59" s="192">
        <f>ROUND($O59*W59,0)</f>
        <v/>
      </c>
      <c r="AO59" s="192">
        <f>ROUND($O59*X59,0)</f>
        <v/>
      </c>
      <c r="AP59" s="193">
        <f>ROUND($O59*Y59,0)</f>
        <v/>
      </c>
      <c r="AQ59" s="193">
        <f>ROUND($O59*Z59,0)</f>
        <v/>
      </c>
      <c r="AR59" s="193">
        <f>ROUND($O59*AA59,0)</f>
        <v/>
      </c>
      <c r="AS59" s="193">
        <f>ROUND($O59*AB59,0)</f>
        <v/>
      </c>
      <c r="AT59" s="306">
        <f>ROUND($O59*AC59,0)</f>
        <v/>
      </c>
      <c r="AU59" s="306">
        <f>ROUND($O59*AD59,0)</f>
        <v/>
      </c>
      <c r="AV59" s="306">
        <f>ROUND($O59*AE59,0)</f>
        <v/>
      </c>
      <c r="AW59" s="306">
        <f>ROUND($O59*AF59,0)</f>
        <v/>
      </c>
      <c r="AX59" s="51" t="n"/>
      <c r="AY59" s="314">
        <f>O59*AX59</f>
        <v/>
      </c>
      <c r="AZ59" s="399" t="n"/>
      <c r="BA59" s="528" t="n"/>
      <c r="BB59" s="314">
        <f>AZ59*BA59</f>
        <v/>
      </c>
      <c r="BC59" s="528" t="n"/>
      <c r="BD59" s="528" t="n"/>
      <c r="BE59" s="528" t="n"/>
      <c r="BF59" s="528" t="n"/>
      <c r="BG59" s="528" t="n"/>
      <c r="BH59" s="528" t="n"/>
      <c r="BI59" s="314">
        <f>BG59*BH59</f>
        <v/>
      </c>
      <c r="BJ59" s="528" t="n"/>
      <c r="BK59" s="51" t="n"/>
      <c r="BL59" s="528" t="n"/>
      <c r="BM59" s="399" t="n"/>
      <c r="BN59" s="528" t="n"/>
      <c r="BO59" s="528" t="n"/>
      <c r="BP59" s="528" t="n"/>
      <c r="BQ59" s="528" t="n"/>
      <c r="BR59" s="528" t="n"/>
      <c r="BS59" s="528" t="n"/>
      <c r="BT59" s="528" t="n"/>
      <c r="BU59" s="528" t="n"/>
      <c r="BV59" s="528" t="n"/>
      <c r="BW59" s="314">
        <f>BU59*BV59</f>
        <v/>
      </c>
      <c r="BX59" s="528" t="n"/>
      <c r="BY59" s="528" t="n"/>
      <c r="BZ59" s="528" t="n"/>
      <c r="CA59" s="314">
        <f>BY59*BZ59</f>
        <v/>
      </c>
      <c r="CB59" s="528" t="n"/>
      <c r="CC59" s="528" t="n"/>
      <c r="CD59" s="528" t="n"/>
      <c r="CE59" s="314">
        <f>CC59*CD59</f>
        <v/>
      </c>
    </row>
    <row r="60" ht="15.75" customFormat="1" customHeight="1" s="525">
      <c r="A60" s="528" t="n">
        <v>8</v>
      </c>
      <c r="B60" s="528" t="inlineStr">
        <is>
          <t>c</t>
        </is>
      </c>
      <c r="C60" s="523" t="n">
        <v>1</v>
      </c>
      <c r="D60" s="524">
        <f>CONCATENATE(A$3,"_",A60,"_",B60,"_",C60)</f>
        <v/>
      </c>
      <c r="E60" s="526" t="inlineStr">
        <is>
          <t>efektywności pracy pracowników</t>
        </is>
      </c>
      <c r="F60" s="528" t="n"/>
      <c r="G60" s="528" t="n"/>
      <c r="H60" s="20" t="n">
        <v>10</v>
      </c>
      <c r="I60" s="51" t="inlineStr">
        <is>
          <t>ACT</t>
        </is>
      </c>
      <c r="J60" s="91">
        <f>M59+1</f>
        <v/>
      </c>
      <c r="K60" s="681">
        <f>VLOOKUP(J60,Kalendarz!B:E,4,FALSE)</f>
        <v/>
      </c>
      <c r="L60" s="681">
        <f>K60+N60</f>
        <v/>
      </c>
      <c r="M60" s="528">
        <f>J60+N60-1</f>
        <v/>
      </c>
      <c r="N60" s="474" t="n">
        <v>0</v>
      </c>
      <c r="O60" s="529" t="n">
        <v>120</v>
      </c>
      <c r="P60" s="187" t="n"/>
      <c r="Q60" s="187" t="n"/>
      <c r="R60" s="187" t="n"/>
      <c r="S60" s="187" t="n"/>
      <c r="T60" s="187" t="n">
        <v>0</v>
      </c>
      <c r="U60" s="187" t="n">
        <v>0</v>
      </c>
      <c r="V60" s="187" t="n">
        <v>1</v>
      </c>
      <c r="W60" s="187" t="n">
        <v>0</v>
      </c>
      <c r="X60" s="187" t="n">
        <v>0</v>
      </c>
      <c r="Y60" s="188" t="n">
        <v>0</v>
      </c>
      <c r="Z60" s="188" t="n">
        <v>0</v>
      </c>
      <c r="AA60" s="188" t="n">
        <v>0</v>
      </c>
      <c r="AB60" s="188" t="n">
        <v>0</v>
      </c>
      <c r="AC60" s="305" t="n"/>
      <c r="AD60" s="305" t="n"/>
      <c r="AE60" s="305" t="n"/>
      <c r="AF60" s="305" t="n"/>
      <c r="AG60" s="192">
        <f>ROUND($O60*P60,0)</f>
        <v/>
      </c>
      <c r="AH60" s="192">
        <f>ROUND($O60*Q60,0)</f>
        <v/>
      </c>
      <c r="AI60" s="192">
        <f>ROUND($O60*R60,0)</f>
        <v/>
      </c>
      <c r="AJ60" s="192">
        <f>ROUND($O60*S60,0)</f>
        <v/>
      </c>
      <c r="AK60" s="192">
        <f>ROUND($O60*T60,0)</f>
        <v/>
      </c>
      <c r="AL60" s="192">
        <f>ROUND($O60*U60,0)</f>
        <v/>
      </c>
      <c r="AM60" s="192">
        <f>ROUND($O60*V60,0)</f>
        <v/>
      </c>
      <c r="AN60" s="192">
        <f>ROUND($O60*W60,0)</f>
        <v/>
      </c>
      <c r="AO60" s="192">
        <f>ROUND($O60*X60,0)</f>
        <v/>
      </c>
      <c r="AP60" s="193">
        <f>ROUND($O60*Y60,0)</f>
        <v/>
      </c>
      <c r="AQ60" s="193">
        <f>ROUND($O60*Z60,0)</f>
        <v/>
      </c>
      <c r="AR60" s="193">
        <f>ROUND($O60*AA60,0)</f>
        <v/>
      </c>
      <c r="AS60" s="193">
        <f>ROUND($O60*AB60,0)</f>
        <v/>
      </c>
      <c r="AT60" s="306">
        <f>ROUND($O60*AC60,0)</f>
        <v/>
      </c>
      <c r="AU60" s="306">
        <f>ROUND($O60*AD60,0)</f>
        <v/>
      </c>
      <c r="AV60" s="306">
        <f>ROUND($O60*AE60,0)</f>
        <v/>
      </c>
      <c r="AW60" s="306">
        <f>ROUND($O60*AF60,0)</f>
        <v/>
      </c>
      <c r="AX60" s="51" t="n"/>
      <c r="AY60" s="314">
        <f>O60*AX60</f>
        <v/>
      </c>
      <c r="AZ60" s="399" t="n"/>
      <c r="BA60" s="528" t="n"/>
      <c r="BB60" s="314">
        <f>AZ60*BA60</f>
        <v/>
      </c>
      <c r="BC60" s="528" t="n"/>
      <c r="BD60" s="528" t="n"/>
      <c r="BE60" s="528" t="n"/>
      <c r="BF60" s="528" t="n"/>
      <c r="BG60" s="528" t="n"/>
      <c r="BH60" s="528" t="n"/>
      <c r="BI60" s="314">
        <f>BG60*BH60</f>
        <v/>
      </c>
      <c r="BJ60" s="528" t="n"/>
      <c r="BK60" s="51" t="n"/>
      <c r="BL60" s="528" t="n"/>
      <c r="BM60" s="399" t="n"/>
      <c r="BN60" s="528" t="n"/>
      <c r="BO60" s="528" t="n"/>
      <c r="BP60" s="528" t="n"/>
      <c r="BQ60" s="528" t="n"/>
      <c r="BR60" s="528" t="n"/>
      <c r="BS60" s="528" t="n"/>
      <c r="BT60" s="528" t="n"/>
      <c r="BU60" s="528" t="n"/>
      <c r="BV60" s="528" t="n"/>
      <c r="BW60" s="314">
        <f>BU60*BV60</f>
        <v/>
      </c>
      <c r="BX60" s="528" t="n"/>
      <c r="BY60" s="528" t="n"/>
      <c r="BZ60" s="528" t="n"/>
      <c r="CA60" s="314">
        <f>BY60*BZ60</f>
        <v/>
      </c>
      <c r="CB60" s="528" t="n"/>
      <c r="CC60" s="528" t="n"/>
      <c r="CD60" s="528" t="n"/>
      <c r="CE60" s="314">
        <f>CC60*CD60</f>
        <v/>
      </c>
    </row>
    <row r="61" ht="15.75" customFormat="1" customHeight="1" s="525">
      <c r="A61" s="528" t="n">
        <v>8</v>
      </c>
      <c r="B61" s="528" t="inlineStr">
        <is>
          <t>d</t>
        </is>
      </c>
      <c r="C61" s="523" t="n">
        <v>1</v>
      </c>
      <c r="D61" s="524">
        <f>CONCATENATE(A$3,"_",A61,"_",B61,"_",C61)</f>
        <v/>
      </c>
      <c r="E61" s="526" t="inlineStr">
        <is>
          <t>zarządzania zasobami ludzkimi</t>
        </is>
      </c>
      <c r="F61" s="528" t="n"/>
      <c r="G61" s="528" t="n"/>
      <c r="H61" s="20" t="n">
        <v>10</v>
      </c>
      <c r="I61" s="51" t="inlineStr">
        <is>
          <t>ACT</t>
        </is>
      </c>
      <c r="J61" s="91">
        <f>M60+1</f>
        <v/>
      </c>
      <c r="K61" s="681">
        <f>VLOOKUP(J61,Kalendarz!B:E,4,FALSE)</f>
        <v/>
      </c>
      <c r="L61" s="681">
        <f>K61+N61</f>
        <v/>
      </c>
      <c r="M61" s="528">
        <f>J61+N61-1</f>
        <v/>
      </c>
      <c r="N61" s="474" t="n">
        <v>0</v>
      </c>
      <c r="O61" s="529" t="n">
        <v>120</v>
      </c>
      <c r="P61" s="187" t="n"/>
      <c r="Q61" s="187" t="n"/>
      <c r="R61" s="187" t="n"/>
      <c r="S61" s="187" t="n"/>
      <c r="T61" s="187" t="n">
        <v>0</v>
      </c>
      <c r="U61" s="187" t="n">
        <v>0</v>
      </c>
      <c r="V61" s="187" t="n">
        <v>0</v>
      </c>
      <c r="W61" s="187" t="n">
        <v>0.5</v>
      </c>
      <c r="X61" s="187" t="n">
        <v>0.5</v>
      </c>
      <c r="Y61" s="188" t="n">
        <v>0</v>
      </c>
      <c r="Z61" s="188" t="n">
        <v>0</v>
      </c>
      <c r="AA61" s="188" t="n">
        <v>0</v>
      </c>
      <c r="AB61" s="188" t="n">
        <v>0</v>
      </c>
      <c r="AC61" s="305" t="n"/>
      <c r="AD61" s="305" t="n"/>
      <c r="AE61" s="305" t="n"/>
      <c r="AF61" s="305" t="n"/>
      <c r="AG61" s="192">
        <f>ROUND($O61*P61,0)</f>
        <v/>
      </c>
      <c r="AH61" s="192">
        <f>ROUND($O61*Q61,0)</f>
        <v/>
      </c>
      <c r="AI61" s="192">
        <f>ROUND($O61*R61,0)</f>
        <v/>
      </c>
      <c r="AJ61" s="192">
        <f>ROUND($O61*S61,0)</f>
        <v/>
      </c>
      <c r="AK61" s="192">
        <f>ROUND($O61*T61,0)</f>
        <v/>
      </c>
      <c r="AL61" s="192">
        <f>ROUND($O61*U61,0)</f>
        <v/>
      </c>
      <c r="AM61" s="192">
        <f>ROUND($O61*V61,0)</f>
        <v/>
      </c>
      <c r="AN61" s="192">
        <f>ROUND($O61*W61,0)</f>
        <v/>
      </c>
      <c r="AO61" s="192">
        <f>ROUND($O61*X61,0)</f>
        <v/>
      </c>
      <c r="AP61" s="193">
        <f>ROUND($O61*Y61,0)</f>
        <v/>
      </c>
      <c r="AQ61" s="193">
        <f>ROUND($O61*Z61,0)</f>
        <v/>
      </c>
      <c r="AR61" s="193">
        <f>ROUND($O61*AA61,0)</f>
        <v/>
      </c>
      <c r="AS61" s="193">
        <f>ROUND($O61*AB61,0)</f>
        <v/>
      </c>
      <c r="AT61" s="306">
        <f>ROUND($O61*AC61,0)</f>
        <v/>
      </c>
      <c r="AU61" s="306">
        <f>ROUND($O61*AD61,0)</f>
        <v/>
      </c>
      <c r="AV61" s="306">
        <f>ROUND($O61*AE61,0)</f>
        <v/>
      </c>
      <c r="AW61" s="306">
        <f>ROUND($O61*AF61,0)</f>
        <v/>
      </c>
      <c r="AX61" s="51" t="n"/>
      <c r="AY61" s="314">
        <f>O61*AX61</f>
        <v/>
      </c>
      <c r="AZ61" s="399" t="n"/>
      <c r="BA61" s="528" t="n"/>
      <c r="BB61" s="314">
        <f>AZ61*BA61</f>
        <v/>
      </c>
      <c r="BC61" s="528" t="n"/>
      <c r="BD61" s="528" t="n"/>
      <c r="BE61" s="528" t="n"/>
      <c r="BF61" s="528" t="n"/>
      <c r="BG61" s="528" t="n"/>
      <c r="BH61" s="528" t="n"/>
      <c r="BI61" s="314">
        <f>BG61*BH61</f>
        <v/>
      </c>
      <c r="BJ61" s="528" t="n"/>
      <c r="BK61" s="51" t="n"/>
      <c r="BL61" s="528" t="n"/>
      <c r="BM61" s="399" t="n"/>
      <c r="BN61" s="528" t="n"/>
      <c r="BO61" s="528" t="n"/>
      <c r="BP61" s="528" t="n"/>
      <c r="BQ61" s="528" t="n"/>
      <c r="BR61" s="528" t="n"/>
      <c r="BS61" s="528" t="n"/>
      <c r="BT61" s="528" t="n"/>
      <c r="BU61" s="528" t="n"/>
      <c r="BV61" s="528" t="n"/>
      <c r="BW61" s="314">
        <f>BU61*BV61</f>
        <v/>
      </c>
      <c r="BX61" s="528" t="n"/>
      <c r="BY61" s="528" t="n"/>
      <c r="BZ61" s="528" t="n"/>
      <c r="CA61" s="314">
        <f>BY61*BZ61</f>
        <v/>
      </c>
      <c r="CB61" s="528" t="n"/>
      <c r="CC61" s="528" t="n"/>
      <c r="CD61" s="528" t="n"/>
      <c r="CE61" s="314">
        <f>CC61*CD61</f>
        <v/>
      </c>
    </row>
    <row r="62" ht="28.8" customFormat="1" customHeight="1" s="525">
      <c r="A62" s="528" t="n">
        <v>8</v>
      </c>
      <c r="B62" s="528" t="inlineStr">
        <is>
          <t>e</t>
        </is>
      </c>
      <c r="C62" s="523" t="n">
        <v>1</v>
      </c>
      <c r="D62" s="524">
        <f>CONCATENATE(A$3,"_",A62,"_",B62,"_",C62)</f>
        <v/>
      </c>
      <c r="E62" s="526" t="inlineStr">
        <is>
          <t>rozmieszczenia towarów w MWS i dostarczania do Strefy Kompletacji</t>
        </is>
      </c>
      <c r="F62" s="528" t="n"/>
      <c r="G62" s="528" t="n"/>
      <c r="H62" s="20" t="n">
        <v>10</v>
      </c>
      <c r="I62" s="51" t="inlineStr">
        <is>
          <t>ACT</t>
        </is>
      </c>
      <c r="J62" s="91">
        <f>M61+1</f>
        <v/>
      </c>
      <c r="K62" s="681">
        <f>VLOOKUP(J62,Kalendarz!B:E,4,FALSE)</f>
        <v/>
      </c>
      <c r="L62" s="681">
        <f>K62+N62</f>
        <v/>
      </c>
      <c r="M62" s="528">
        <f>J62+N62-1</f>
        <v/>
      </c>
      <c r="N62" s="474" t="n">
        <v>1</v>
      </c>
      <c r="O62" s="529" t="n">
        <v>120</v>
      </c>
      <c r="P62" s="187" t="n"/>
      <c r="Q62" s="187" t="n"/>
      <c r="R62" s="187" t="n"/>
      <c r="S62" s="187" t="n"/>
      <c r="T62" s="187" t="n">
        <v>0.5</v>
      </c>
      <c r="U62" s="187" t="n">
        <v>0.5</v>
      </c>
      <c r="V62" s="187" t="n">
        <v>0</v>
      </c>
      <c r="W62" s="187" t="n">
        <v>0</v>
      </c>
      <c r="X62" s="187" t="n">
        <v>0</v>
      </c>
      <c r="Y62" s="188" t="n">
        <v>0</v>
      </c>
      <c r="Z62" s="188" t="n">
        <v>0</v>
      </c>
      <c r="AA62" s="188" t="n">
        <v>0</v>
      </c>
      <c r="AB62" s="188" t="n">
        <v>0</v>
      </c>
      <c r="AC62" s="305" t="n"/>
      <c r="AD62" s="305" t="n"/>
      <c r="AE62" s="305" t="n"/>
      <c r="AF62" s="305" t="n"/>
      <c r="AG62" s="192">
        <f>ROUND($O62*P62,0)</f>
        <v/>
      </c>
      <c r="AH62" s="192">
        <f>ROUND($O62*Q62,0)</f>
        <v/>
      </c>
      <c r="AI62" s="192">
        <f>ROUND($O62*R62,0)</f>
        <v/>
      </c>
      <c r="AJ62" s="192">
        <f>ROUND($O62*S62,0)</f>
        <v/>
      </c>
      <c r="AK62" s="192">
        <f>ROUND($O62*T62,0)</f>
        <v/>
      </c>
      <c r="AL62" s="192">
        <f>ROUND($O62*U62,0)</f>
        <v/>
      </c>
      <c r="AM62" s="192">
        <f>ROUND($O62*V62,0)</f>
        <v/>
      </c>
      <c r="AN62" s="192">
        <f>ROUND($O62*W62,0)</f>
        <v/>
      </c>
      <c r="AO62" s="192">
        <f>ROUND($O62*X62,0)</f>
        <v/>
      </c>
      <c r="AP62" s="193">
        <f>ROUND($O62*Y62,0)</f>
        <v/>
      </c>
      <c r="AQ62" s="193">
        <f>ROUND($O62*Z62,0)</f>
        <v/>
      </c>
      <c r="AR62" s="193">
        <f>ROUND($O62*AA62,0)</f>
        <v/>
      </c>
      <c r="AS62" s="193">
        <f>ROUND($O62*AB62,0)</f>
        <v/>
      </c>
      <c r="AT62" s="306">
        <f>ROUND($O62*AC62,0)</f>
        <v/>
      </c>
      <c r="AU62" s="306">
        <f>ROUND($O62*AD62,0)</f>
        <v/>
      </c>
      <c r="AV62" s="306">
        <f>ROUND($O62*AE62,0)</f>
        <v/>
      </c>
      <c r="AW62" s="306">
        <f>ROUND($O62*AF62,0)</f>
        <v/>
      </c>
      <c r="AX62" s="51" t="n"/>
      <c r="AY62" s="314">
        <f>O62*AX62</f>
        <v/>
      </c>
      <c r="AZ62" s="399" t="n"/>
      <c r="BA62" s="528" t="n"/>
      <c r="BB62" s="314">
        <f>AZ62*BA62</f>
        <v/>
      </c>
      <c r="BC62" s="528" t="n"/>
      <c r="BD62" s="528" t="n"/>
      <c r="BE62" s="528" t="n"/>
      <c r="BF62" s="528" t="n"/>
      <c r="BG62" s="528" t="n"/>
      <c r="BH62" s="528" t="n"/>
      <c r="BI62" s="314">
        <f>BG62*BH62</f>
        <v/>
      </c>
      <c r="BJ62" s="528" t="n"/>
      <c r="BK62" s="51" t="n"/>
      <c r="BL62" s="528" t="n"/>
      <c r="BM62" s="399" t="n"/>
      <c r="BN62" s="528" t="n"/>
      <c r="BO62" s="528" t="n"/>
      <c r="BP62" s="528" t="n"/>
      <c r="BQ62" s="528" t="n"/>
      <c r="BR62" s="528" t="n"/>
      <c r="BS62" s="528" t="n"/>
      <c r="BT62" s="528" t="n"/>
      <c r="BU62" s="528" t="n"/>
      <c r="BV62" s="528" t="n"/>
      <c r="BW62" s="314">
        <f>BU62*BV62</f>
        <v/>
      </c>
      <c r="BX62" s="528" t="n"/>
      <c r="BY62" s="528" t="n"/>
      <c r="BZ62" s="528" t="n"/>
      <c r="CA62" s="314">
        <f>BY62*BZ62</f>
        <v/>
      </c>
      <c r="CB62" s="528" t="n"/>
      <c r="CC62" s="528" t="n"/>
      <c r="CD62" s="528" t="n"/>
      <c r="CE62" s="314">
        <f>CC62*CD62</f>
        <v/>
      </c>
    </row>
    <row r="63" ht="29.4" customFormat="1" customHeight="1" s="525" thickBot="1">
      <c r="A63" s="528" t="n">
        <v>8</v>
      </c>
      <c r="B63" s="528" t="inlineStr">
        <is>
          <t>f</t>
        </is>
      </c>
      <c r="C63" s="523" t="n">
        <v>1</v>
      </c>
      <c r="D63" s="524">
        <f>CONCATENATE(A$3,"_",A63,"_",B63,"_",C63)</f>
        <v/>
      </c>
      <c r="E63" s="526" t="inlineStr">
        <is>
          <t>zużycia energii przez inteligentne zarządzanie wózkami</t>
        </is>
      </c>
      <c r="F63" s="528" t="n"/>
      <c r="G63" s="528" t="n"/>
      <c r="H63" s="20" t="n">
        <v>10</v>
      </c>
      <c r="I63" s="51" t="inlineStr">
        <is>
          <t>ACT</t>
        </is>
      </c>
      <c r="J63" s="91">
        <f>M62+1</f>
        <v/>
      </c>
      <c r="K63" s="681">
        <f>VLOOKUP(J63,Kalendarz!B:E,4,FALSE)</f>
        <v/>
      </c>
      <c r="L63" s="681">
        <f>K63+N63</f>
        <v/>
      </c>
      <c r="M63" s="528">
        <f>J63+N63-1</f>
        <v/>
      </c>
      <c r="N63" s="474" t="n">
        <v>0</v>
      </c>
      <c r="O63" s="529" t="n">
        <v>120</v>
      </c>
      <c r="P63" s="187" t="n"/>
      <c r="Q63" s="187" t="n"/>
      <c r="R63" s="187" t="n"/>
      <c r="S63" s="187" t="n"/>
      <c r="T63" s="187" t="n">
        <v>0</v>
      </c>
      <c r="U63" s="187" t="n">
        <v>0</v>
      </c>
      <c r="V63" s="187" t="n">
        <v>0</v>
      </c>
      <c r="W63" s="187" t="n">
        <v>0.5</v>
      </c>
      <c r="X63" s="187" t="n">
        <v>0.5</v>
      </c>
      <c r="Y63" s="188" t="n">
        <v>0</v>
      </c>
      <c r="Z63" s="188" t="n">
        <v>0</v>
      </c>
      <c r="AA63" s="188" t="n">
        <v>0</v>
      </c>
      <c r="AB63" s="188" t="n">
        <v>0</v>
      </c>
      <c r="AC63" s="305" t="n"/>
      <c r="AD63" s="305" t="n"/>
      <c r="AE63" s="305" t="n"/>
      <c r="AF63" s="305" t="n"/>
      <c r="AG63" s="192">
        <f>ROUND($O63*P63,0)</f>
        <v/>
      </c>
      <c r="AH63" s="192">
        <f>ROUND($O63*Q63,0)</f>
        <v/>
      </c>
      <c r="AI63" s="192">
        <f>ROUND($O63*R63,0)</f>
        <v/>
      </c>
      <c r="AJ63" s="192">
        <f>ROUND($O63*S63,0)</f>
        <v/>
      </c>
      <c r="AK63" s="192">
        <f>ROUND($O63*T63,0)</f>
        <v/>
      </c>
      <c r="AL63" s="192">
        <f>ROUND($O63*U63,0)</f>
        <v/>
      </c>
      <c r="AM63" s="192">
        <f>ROUND($O63*V63,0)</f>
        <v/>
      </c>
      <c r="AN63" s="192">
        <f>ROUND($O63*W63,0)</f>
        <v/>
      </c>
      <c r="AO63" s="192">
        <f>ROUND($O63*X63,0)</f>
        <v/>
      </c>
      <c r="AP63" s="193">
        <f>ROUND($O63*Y63,0)</f>
        <v/>
      </c>
      <c r="AQ63" s="193">
        <f>ROUND($O63*Z63,0)</f>
        <v/>
      </c>
      <c r="AR63" s="193">
        <f>ROUND($O63*AA63,0)</f>
        <v/>
      </c>
      <c r="AS63" s="193">
        <f>ROUND($O63*AB63,0)</f>
        <v/>
      </c>
      <c r="AT63" s="306">
        <f>ROUND($O63*AC63,0)</f>
        <v/>
      </c>
      <c r="AU63" s="306">
        <f>ROUND($O63*AD63,0)</f>
        <v/>
      </c>
      <c r="AV63" s="306">
        <f>ROUND($O63*AE63,0)</f>
        <v/>
      </c>
      <c r="AW63" s="306">
        <f>ROUND($O63*AF63,0)</f>
        <v/>
      </c>
      <c r="AX63" s="51" t="n"/>
      <c r="AY63" s="314">
        <f>O63*AX63</f>
        <v/>
      </c>
      <c r="AZ63" s="399" t="n"/>
      <c r="BA63" s="528" t="n"/>
      <c r="BB63" s="314">
        <f>AZ63*BA63</f>
        <v/>
      </c>
      <c r="BC63" s="528" t="n"/>
      <c r="BD63" s="528" t="n"/>
      <c r="BE63" s="528" t="n"/>
      <c r="BF63" s="528" t="n"/>
      <c r="BG63" s="528" t="n"/>
      <c r="BH63" s="528" t="n"/>
      <c r="BI63" s="314">
        <f>BG63*BH63</f>
        <v/>
      </c>
      <c r="BJ63" s="528" t="n"/>
      <c r="BK63" s="51" t="n"/>
      <c r="BL63" s="314" t="n"/>
      <c r="BM63" s="399" t="n"/>
      <c r="BN63" s="528" t="n"/>
      <c r="BO63" s="314" t="n"/>
      <c r="BP63" s="528" t="n"/>
      <c r="BQ63" s="528" t="n"/>
      <c r="BR63" s="314" t="n"/>
      <c r="BS63" s="314" t="n"/>
      <c r="BT63" s="528" t="n"/>
      <c r="BU63" s="528" t="n"/>
      <c r="BV63" s="528" t="n"/>
      <c r="BW63" s="314">
        <f>BU63*BV63</f>
        <v/>
      </c>
      <c r="BX63" s="528" t="n"/>
      <c r="BY63" s="528" t="n"/>
      <c r="BZ63" s="528" t="n"/>
      <c r="CA63" s="314">
        <f>BY63*BZ63</f>
        <v/>
      </c>
      <c r="CB63" s="528" t="n"/>
      <c r="CC63" s="528" t="n"/>
      <c r="CD63" s="528" t="n"/>
      <c r="CE63" s="314">
        <f>CC63*CD63</f>
        <v/>
      </c>
    </row>
    <row r="64" ht="15.75" customFormat="1" customHeight="1" s="525" thickBot="1">
      <c r="A64" s="604" t="n">
        <v>9</v>
      </c>
      <c r="B64" s="604" t="inlineStr">
        <is>
          <t>a</t>
        </is>
      </c>
      <c r="C64" s="605" t="n">
        <v>0</v>
      </c>
      <c r="D64" s="606">
        <f>CONCATENATE(A$3,"_",A64,"_",B64,"_",C64)</f>
        <v/>
      </c>
      <c r="E64" s="607" t="inlineStr">
        <is>
          <t xml:space="preserve">9.Zarządzanie bezpieczeństwem i niezawodnością systemu. Opracowanie mechanizmów/narzędzi: </t>
        </is>
      </c>
      <c r="F64" s="528" t="n"/>
      <c r="G64" s="528" t="n"/>
      <c r="H64" s="20" t="n"/>
      <c r="I64" s="455" t="n"/>
      <c r="J64" s="91">
        <f>M63+1</f>
        <v/>
      </c>
      <c r="K64" s="681">
        <f>VLOOKUP(J64,Kalendarz!B:E,4,FALSE)</f>
        <v/>
      </c>
      <c r="L64" s="681">
        <f>K64+N64</f>
        <v/>
      </c>
      <c r="M64" s="528">
        <f>J64+N64-1</f>
        <v/>
      </c>
      <c r="N64" s="474">
        <f>ROUND(MAX(AG64:AO64)/Listy!$U$2,0)</f>
        <v/>
      </c>
      <c r="O64" s="190" t="n"/>
      <c r="P64" s="468" t="n"/>
      <c r="Q64" s="468" t="n"/>
      <c r="R64" s="468" t="n"/>
      <c r="S64" s="130" t="n"/>
      <c r="T64" s="130" t="n"/>
      <c r="U64" s="130" t="n"/>
      <c r="V64" s="130" t="n"/>
      <c r="W64" s="130" t="n"/>
      <c r="X64" s="468" t="n"/>
      <c r="Y64" s="468" t="n"/>
      <c r="Z64" s="468" t="n"/>
      <c r="AA64" s="148" t="n"/>
      <c r="AB64" s="190" t="n"/>
      <c r="AC64" s="190" t="n"/>
      <c r="AD64" s="190" t="n"/>
      <c r="AE64" s="190" t="n"/>
      <c r="AF64" s="148" t="n"/>
      <c r="AG64" s="148" t="n"/>
      <c r="AH64" s="148" t="n"/>
      <c r="AI64" s="148" t="n"/>
      <c r="AJ64" s="190" t="n"/>
      <c r="AK64" s="190" t="n"/>
      <c r="AL64" s="190" t="n"/>
      <c r="AM64" s="190" t="n"/>
      <c r="AN64" s="190" t="n"/>
      <c r="AO64" s="190" t="n"/>
      <c r="AP64" s="190" t="n"/>
      <c r="AQ64" s="190" t="n"/>
      <c r="AR64" s="190" t="n"/>
      <c r="AS64" s="304" t="n"/>
      <c r="AT64" s="304" t="n"/>
      <c r="AU64" s="304" t="n"/>
      <c r="AV64" s="304" t="n"/>
      <c r="AW64" s="148" t="n"/>
      <c r="AX64" s="51" t="n"/>
      <c r="AY64" s="14">
        <f>AY65+AY66+AY67+AY68</f>
        <v/>
      </c>
      <c r="AZ64" s="399" t="n"/>
      <c r="BA64" s="528" t="n"/>
      <c r="BB64" s="14">
        <f>BB65+BB66+BB67+BB68</f>
        <v/>
      </c>
      <c r="BC64" s="528" t="n"/>
      <c r="BD64" s="528" t="n"/>
      <c r="BE64" s="528" t="n"/>
      <c r="BF64" s="528" t="n"/>
      <c r="BG64" s="528" t="n"/>
      <c r="BH64" s="528" t="n"/>
      <c r="BI64" s="14">
        <f>BI65+BI66+BI67+BI68</f>
        <v/>
      </c>
      <c r="BJ64" s="528" t="n"/>
      <c r="BK64" s="51" t="n"/>
      <c r="BL64" s="14">
        <f>BL65+BL66+BL67+BL68</f>
        <v/>
      </c>
      <c r="BM64" s="399" t="n"/>
      <c r="BN64" s="528" t="n"/>
      <c r="BO64" s="14">
        <f>BO65+BO66+BO67+BO68</f>
        <v/>
      </c>
      <c r="BP64" s="528" t="n"/>
      <c r="BQ64" s="528" t="n"/>
      <c r="BR64" s="14">
        <f>BR65+BR66+BR67+BR68</f>
        <v/>
      </c>
      <c r="BS64" s="14">
        <f>BS65+BS66+BS67+BS68</f>
        <v/>
      </c>
      <c r="BT64" s="528" t="n"/>
      <c r="BU64" s="528" t="n"/>
      <c r="BV64" s="528" t="n"/>
      <c r="BW64" s="14">
        <f>BW65+BW66+BW67+BW68</f>
        <v/>
      </c>
      <c r="BX64" s="528" t="n"/>
      <c r="BY64" s="528" t="n"/>
      <c r="BZ64" s="528" t="n"/>
      <c r="CA64" s="14">
        <f>CA65+CA66+CA67+CA68</f>
        <v/>
      </c>
      <c r="CB64" s="528" t="n"/>
      <c r="CC64" s="528" t="n"/>
      <c r="CD64" s="528" t="n"/>
      <c r="CE64" s="14">
        <f>CE65+CE66+CE67+CE68</f>
        <v/>
      </c>
      <c r="CF64" s="525">
        <f>AY64+BB64+BI64+BL64+BO64+BR64+BS64+BW64+CA64+CE64</f>
        <v/>
      </c>
    </row>
    <row r="65" ht="28.8" customFormat="1" customHeight="1" s="525">
      <c r="A65" s="528" t="n">
        <v>9</v>
      </c>
      <c r="B65" s="528" t="inlineStr">
        <is>
          <t>a</t>
        </is>
      </c>
      <c r="C65" s="523" t="n">
        <v>1</v>
      </c>
      <c r="D65" s="524">
        <f>CONCATENATE(A$3,"_",A65,"_",B65,"_",C65)</f>
        <v/>
      </c>
      <c r="E65" s="526" t="inlineStr">
        <is>
          <t xml:space="preserve">zabezpieczenia danych procesowanych przez CB i AI/ML przed cyberatakami  </t>
        </is>
      </c>
      <c r="F65" s="528" t="n"/>
      <c r="G65" s="528" t="n"/>
      <c r="H65" s="39" t="n">
        <v>8</v>
      </c>
      <c r="I65" s="100" t="inlineStr">
        <is>
          <t>ACT</t>
        </is>
      </c>
      <c r="J65" s="91">
        <f>M64+1</f>
        <v/>
      </c>
      <c r="K65" s="681">
        <f>VLOOKUP(J65,Kalendarz!B:E,4,FALSE)</f>
        <v/>
      </c>
      <c r="L65" s="681">
        <f>K65+N65</f>
        <v/>
      </c>
      <c r="M65" s="528">
        <f>J65+N65-1</f>
        <v/>
      </c>
      <c r="N65" s="474" t="n">
        <v>2</v>
      </c>
      <c r="O65" s="529" t="n">
        <v>160</v>
      </c>
      <c r="P65" s="187" t="n"/>
      <c r="Q65" s="187" t="n"/>
      <c r="R65" s="187" t="n"/>
      <c r="S65" s="187" t="n"/>
      <c r="T65" s="187" t="n">
        <v>0.5</v>
      </c>
      <c r="U65" s="187" t="n">
        <v>0</v>
      </c>
      <c r="V65" s="187" t="n">
        <v>0</v>
      </c>
      <c r="W65" s="187" t="n">
        <v>0</v>
      </c>
      <c r="X65" s="187" t="n">
        <v>0</v>
      </c>
      <c r="Y65" s="188" t="n">
        <v>0</v>
      </c>
      <c r="Z65" s="188" t="n">
        <v>0</v>
      </c>
      <c r="AA65" s="188" t="n">
        <v>0</v>
      </c>
      <c r="AB65" s="188" t="n">
        <v>0.5</v>
      </c>
      <c r="AC65" s="305" t="n"/>
      <c r="AD65" s="305" t="n"/>
      <c r="AE65" s="305" t="n"/>
      <c r="AF65" s="305" t="n"/>
      <c r="AG65" s="192">
        <f>ROUND($O65*P65,0)</f>
        <v/>
      </c>
      <c r="AH65" s="192">
        <f>ROUND($O65*Q65,0)</f>
        <v/>
      </c>
      <c r="AI65" s="192">
        <f>ROUND($O65*R65,0)</f>
        <v/>
      </c>
      <c r="AJ65" s="192">
        <f>ROUND($O65*S65,0)</f>
        <v/>
      </c>
      <c r="AK65" s="192">
        <f>ROUND($O65*T65,0)</f>
        <v/>
      </c>
      <c r="AL65" s="192">
        <f>ROUND($O65*U65,0)</f>
        <v/>
      </c>
      <c r="AM65" s="192">
        <f>ROUND($O65*V65,0)</f>
        <v/>
      </c>
      <c r="AN65" s="192">
        <f>ROUND($O65*W65,0)</f>
        <v/>
      </c>
      <c r="AO65" s="192">
        <f>ROUND($O65*X65,0)</f>
        <v/>
      </c>
      <c r="AP65" s="193">
        <f>ROUND($O65*Y65,0)</f>
        <v/>
      </c>
      <c r="AQ65" s="193">
        <f>ROUND($O65*Z65,0)</f>
        <v/>
      </c>
      <c r="AR65" s="193">
        <f>ROUND($O65*AA65,0)</f>
        <v/>
      </c>
      <c r="AS65" s="193">
        <f>ROUND($O65*AB65,0)</f>
        <v/>
      </c>
      <c r="AT65" s="306">
        <f>ROUND($O65*AC65,0)</f>
        <v/>
      </c>
      <c r="AU65" s="306">
        <f>ROUND($O65*AD65,0)</f>
        <v/>
      </c>
      <c r="AV65" s="306">
        <f>ROUND($O65*AE65,0)</f>
        <v/>
      </c>
      <c r="AW65" s="306">
        <f>ROUND($O65*AF65,0)</f>
        <v/>
      </c>
      <c r="AX65" s="51" t="n"/>
      <c r="AY65" s="314">
        <f>O65*AX65</f>
        <v/>
      </c>
      <c r="AZ65" s="399" t="n"/>
      <c r="BA65" s="528" t="n"/>
      <c r="BB65" s="314">
        <f>AZ65*BA65</f>
        <v/>
      </c>
      <c r="BC65" s="528" t="n"/>
      <c r="BD65" s="528" t="n"/>
      <c r="BE65" s="528" t="n"/>
      <c r="BF65" s="528" t="n"/>
      <c r="BG65" s="528" t="n"/>
      <c r="BH65" s="528" t="n"/>
      <c r="BI65" s="314">
        <f>BG65*BH65</f>
        <v/>
      </c>
      <c r="BJ65" s="528" t="n"/>
      <c r="BK65" s="51" t="n"/>
      <c r="BL65" s="21" t="n"/>
      <c r="BM65" s="399" t="n"/>
      <c r="BN65" s="528" t="n"/>
      <c r="BO65" s="21" t="n"/>
      <c r="BP65" s="528" t="n"/>
      <c r="BQ65" s="528" t="n"/>
      <c r="BR65" s="21" t="n"/>
      <c r="BS65" s="21" t="n"/>
      <c r="BT65" s="528" t="n"/>
      <c r="BU65" s="528" t="n"/>
      <c r="BV65" s="528" t="n"/>
      <c r="BW65" s="314">
        <f>BU65*BV65</f>
        <v/>
      </c>
      <c r="BX65" s="528" t="n"/>
      <c r="BY65" s="528" t="n"/>
      <c r="BZ65" s="528" t="n"/>
      <c r="CA65" s="314">
        <f>BY65*BZ65</f>
        <v/>
      </c>
      <c r="CB65" s="528" t="n"/>
      <c r="CC65" s="528" t="n"/>
      <c r="CD65" s="528" t="n"/>
      <c r="CE65" s="314">
        <f>CC65*CD65</f>
        <v/>
      </c>
    </row>
    <row r="66" ht="28.8" customFormat="1" customHeight="1" s="525">
      <c r="A66" s="528" t="n">
        <v>9</v>
      </c>
      <c r="B66" s="528" t="inlineStr">
        <is>
          <t>b</t>
        </is>
      </c>
      <c r="C66" s="523" t="n">
        <v>1</v>
      </c>
      <c r="D66" s="524">
        <f>CONCATENATE(A$3,"_",A66,"_",B66,"_",C66)</f>
        <v/>
      </c>
      <c r="E66" s="526" t="inlineStr">
        <is>
          <t>monitorowania wydajności i niezawodności CB oraz algorytmów AI/ML, testy awaryjne</t>
        </is>
      </c>
      <c r="F66" s="528" t="n"/>
      <c r="G66" s="528" t="n"/>
      <c r="H66" s="39" t="n">
        <v>9</v>
      </c>
      <c r="I66" s="100" t="inlineStr">
        <is>
          <t>ACT</t>
        </is>
      </c>
      <c r="J66" s="91">
        <f>M65+1</f>
        <v/>
      </c>
      <c r="K66" s="681">
        <f>VLOOKUP(J66,Kalendarz!B:E,4,FALSE)</f>
        <v/>
      </c>
      <c r="L66" s="681">
        <f>K66+N66</f>
        <v/>
      </c>
      <c r="M66" s="528">
        <f>J66+N66-1</f>
        <v/>
      </c>
      <c r="N66" s="482">
        <f>ROUND(MAX(AG66:AO66)/Listy!$U$2,0)</f>
        <v/>
      </c>
      <c r="O66" s="529" t="n"/>
      <c r="P66" s="187" t="n"/>
      <c r="Q66" s="187" t="n"/>
      <c r="R66" s="187" t="n"/>
      <c r="S66" s="187" t="n"/>
      <c r="T66" s="187" t="n">
        <v>0</v>
      </c>
      <c r="U66" s="187" t="n">
        <v>0.5</v>
      </c>
      <c r="V66" s="187" t="n">
        <v>0</v>
      </c>
      <c r="W66" s="187" t="n">
        <v>0</v>
      </c>
      <c r="X66" s="187" t="n">
        <v>0</v>
      </c>
      <c r="Y66" s="188" t="n">
        <v>0</v>
      </c>
      <c r="Z66" s="188" t="n">
        <v>0</v>
      </c>
      <c r="AA66" s="188" t="n">
        <v>0</v>
      </c>
      <c r="AB66" s="188" t="n">
        <v>0.5</v>
      </c>
      <c r="AC66" s="305" t="n"/>
      <c r="AD66" s="305" t="n"/>
      <c r="AE66" s="305" t="n"/>
      <c r="AF66" s="305" t="n"/>
      <c r="AG66" s="192">
        <f>ROUND($O66*P66,0)</f>
        <v/>
      </c>
      <c r="AH66" s="192">
        <f>ROUND($O66*Q66,0)</f>
        <v/>
      </c>
      <c r="AI66" s="192">
        <f>ROUND($O66*R66,0)</f>
        <v/>
      </c>
      <c r="AJ66" s="192">
        <f>ROUND($O66*S66,0)</f>
        <v/>
      </c>
      <c r="AK66" s="192">
        <f>ROUND($O66*T66,0)</f>
        <v/>
      </c>
      <c r="AL66" s="192">
        <f>ROUND($O66*U66,0)</f>
        <v/>
      </c>
      <c r="AM66" s="192">
        <f>ROUND($O66*V66,0)</f>
        <v/>
      </c>
      <c r="AN66" s="192">
        <f>ROUND($O66*W66,0)</f>
        <v/>
      </c>
      <c r="AO66" s="192">
        <f>ROUND($O66*X66,0)</f>
        <v/>
      </c>
      <c r="AP66" s="193">
        <f>ROUND($O66*Y66,0)</f>
        <v/>
      </c>
      <c r="AQ66" s="193">
        <f>ROUND($O66*Z66,0)</f>
        <v/>
      </c>
      <c r="AR66" s="193">
        <f>ROUND($O66*AA66,0)</f>
        <v/>
      </c>
      <c r="AS66" s="193">
        <f>ROUND($O66*AB66,0)</f>
        <v/>
      </c>
      <c r="AT66" s="306">
        <f>ROUND($O66*AC66,0)</f>
        <v/>
      </c>
      <c r="AU66" s="306">
        <f>ROUND($O66*AD66,0)</f>
        <v/>
      </c>
      <c r="AV66" s="306">
        <f>ROUND($O66*AE66,0)</f>
        <v/>
      </c>
      <c r="AW66" s="306">
        <f>ROUND($O66*AF66,0)</f>
        <v/>
      </c>
      <c r="AX66" s="51" t="n"/>
      <c r="AY66" s="314">
        <f>O66*AX66</f>
        <v/>
      </c>
      <c r="AZ66" s="399" t="n"/>
      <c r="BA66" s="528" t="n"/>
      <c r="BB66" s="314">
        <f>AZ66*BA66</f>
        <v/>
      </c>
      <c r="BC66" s="528" t="n"/>
      <c r="BD66" s="528" t="n"/>
      <c r="BE66" s="528" t="n"/>
      <c r="BF66" s="528" t="n"/>
      <c r="BG66" s="528" t="n"/>
      <c r="BH66" s="528" t="n"/>
      <c r="BI66" s="314">
        <f>BG66*BH66</f>
        <v/>
      </c>
      <c r="BJ66" s="528" t="n"/>
      <c r="BK66" s="51" t="n"/>
      <c r="BL66" s="528" t="n"/>
      <c r="BM66" s="399" t="n"/>
      <c r="BN66" s="528" t="n"/>
      <c r="BO66" s="528" t="n"/>
      <c r="BP66" s="528" t="n"/>
      <c r="BQ66" s="528" t="n"/>
      <c r="BR66" s="528" t="n"/>
      <c r="BS66" s="528" t="n"/>
      <c r="BT66" s="528" t="n"/>
      <c r="BU66" s="528" t="n"/>
      <c r="BV66" s="528" t="n"/>
      <c r="BW66" s="314">
        <f>BU66*BV66</f>
        <v/>
      </c>
      <c r="BX66" s="528" t="n"/>
      <c r="BY66" s="528" t="n"/>
      <c r="BZ66" s="528" t="n"/>
      <c r="CA66" s="314">
        <f>BY66*BZ66</f>
        <v/>
      </c>
      <c r="CB66" s="528" t="n"/>
      <c r="CC66" s="528" t="n"/>
      <c r="CD66" s="528" t="n"/>
      <c r="CE66" s="314">
        <f>CC66*CD66</f>
        <v/>
      </c>
    </row>
    <row r="67" ht="43.2" customFormat="1" customHeight="1" s="525">
      <c r="A67" s="528" t="n">
        <v>9</v>
      </c>
      <c r="B67" s="528" t="inlineStr">
        <is>
          <t>c</t>
        </is>
      </c>
      <c r="C67" s="523" t="n">
        <v>1</v>
      </c>
      <c r="D67" s="524">
        <f>CONCATENATE(A$3,"_",A67,"_",B67,"_",C67)</f>
        <v/>
      </c>
      <c r="E67" s="526" t="inlineStr">
        <is>
          <t>zabezpieczenia systemów AI/ML (np. zgodność działania z założeniami, odporność na błędy, redundancja zapobiegająca zakłóceniom MWS)</t>
        </is>
      </c>
      <c r="F67" s="528" t="n"/>
      <c r="G67" s="528" t="n"/>
      <c r="H67" s="39" t="n">
        <v>9</v>
      </c>
      <c r="I67" s="455" t="inlineStr">
        <is>
          <t>END/ACT</t>
        </is>
      </c>
      <c r="J67" s="91">
        <f>M66+1</f>
        <v/>
      </c>
      <c r="K67" s="681">
        <f>VLOOKUP(J67,Kalendarz!B:E,4,FALSE)</f>
        <v/>
      </c>
      <c r="L67" s="681">
        <f>K67+N67</f>
        <v/>
      </c>
      <c r="M67" s="528">
        <f>J67+N67-1</f>
        <v/>
      </c>
      <c r="N67" s="482" t="n">
        <v>0</v>
      </c>
      <c r="O67" s="45" t="n">
        <v>160</v>
      </c>
      <c r="P67" s="187" t="n"/>
      <c r="Q67" s="187" t="n"/>
      <c r="R67" s="187" t="n"/>
      <c r="S67" s="187" t="n"/>
      <c r="T67" s="187" t="n">
        <v>0</v>
      </c>
      <c r="U67" s="187" t="n">
        <v>0</v>
      </c>
      <c r="V67" s="187" t="n">
        <v>0.5</v>
      </c>
      <c r="W67" s="187" t="n">
        <v>0</v>
      </c>
      <c r="X67" s="187" t="n">
        <v>0</v>
      </c>
      <c r="Y67" s="188" t="n">
        <v>0</v>
      </c>
      <c r="Z67" s="188" t="n">
        <v>0</v>
      </c>
      <c r="AA67" s="188" t="n">
        <v>0</v>
      </c>
      <c r="AB67" s="188" t="n">
        <v>0.5</v>
      </c>
      <c r="AC67" s="305" t="n"/>
      <c r="AD67" s="305" t="n"/>
      <c r="AE67" s="305" t="n"/>
      <c r="AF67" s="305" t="n"/>
      <c r="AG67" s="192">
        <f>ROUND($O67*P67,0)</f>
        <v/>
      </c>
      <c r="AH67" s="192">
        <f>ROUND($O67*Q67,0)</f>
        <v/>
      </c>
      <c r="AI67" s="192">
        <f>ROUND($O67*R67,0)</f>
        <v/>
      </c>
      <c r="AJ67" s="192">
        <f>ROUND($O67*S67,0)</f>
        <v/>
      </c>
      <c r="AK67" s="192">
        <f>ROUND($O67*T67,0)</f>
        <v/>
      </c>
      <c r="AL67" s="192">
        <f>ROUND($O67*U67,0)</f>
        <v/>
      </c>
      <c r="AM67" s="192">
        <f>ROUND($O67*V67,0)</f>
        <v/>
      </c>
      <c r="AN67" s="192">
        <f>ROUND($O67*W67,0)</f>
        <v/>
      </c>
      <c r="AO67" s="192">
        <f>ROUND($O67*X67,0)</f>
        <v/>
      </c>
      <c r="AP67" s="193">
        <f>ROUND($O67*Y67,0)</f>
        <v/>
      </c>
      <c r="AQ67" s="193">
        <f>ROUND($O67*Z67,0)</f>
        <v/>
      </c>
      <c r="AR67" s="193">
        <f>ROUND($O67*AA67,0)</f>
        <v/>
      </c>
      <c r="AS67" s="193">
        <f>ROUND($O67*AB67,0)</f>
        <v/>
      </c>
      <c r="AT67" s="306">
        <f>ROUND($O67*AC67,0)</f>
        <v/>
      </c>
      <c r="AU67" s="306">
        <f>ROUND($O67*AD67,0)</f>
        <v/>
      </c>
      <c r="AV67" s="306">
        <f>ROUND($O67*AE67,0)</f>
        <v/>
      </c>
      <c r="AW67" s="306">
        <f>ROUND($O67*AF67,0)</f>
        <v/>
      </c>
      <c r="AX67" s="51" t="n"/>
      <c r="AY67" s="314">
        <f>O67*AX67</f>
        <v/>
      </c>
      <c r="AZ67" s="399" t="n"/>
      <c r="BA67" s="528" t="n"/>
      <c r="BB67" s="314">
        <f>AZ67*BA67</f>
        <v/>
      </c>
      <c r="BC67" s="528" t="n"/>
      <c r="BD67" s="528" t="n"/>
      <c r="BE67" s="528" t="n"/>
      <c r="BF67" s="528" t="n"/>
      <c r="BG67" s="528" t="n"/>
      <c r="BH67" s="528" t="n"/>
      <c r="BI67" s="314">
        <f>BG67*BH67</f>
        <v/>
      </c>
      <c r="BJ67" s="528" t="n"/>
      <c r="BK67" s="51" t="n"/>
      <c r="BL67" s="528" t="n"/>
      <c r="BM67" s="399" t="n"/>
      <c r="BN67" s="528" t="n"/>
      <c r="BO67" s="528" t="n"/>
      <c r="BP67" s="528" t="n"/>
      <c r="BQ67" s="528" t="n"/>
      <c r="BR67" s="528" t="n"/>
      <c r="BS67" s="528" t="n"/>
      <c r="BT67" s="528" t="n"/>
      <c r="BU67" s="528" t="n"/>
      <c r="BV67" s="528" t="n"/>
      <c r="BW67" s="314">
        <f>BU67*BV67</f>
        <v/>
      </c>
      <c r="BX67" s="528" t="n"/>
      <c r="BY67" s="528" t="n"/>
      <c r="BZ67" s="528" t="n"/>
      <c r="CA67" s="314">
        <f>BY67*BZ67</f>
        <v/>
      </c>
      <c r="CB67" s="528" t="n"/>
      <c r="CC67" s="528" t="n"/>
      <c r="CD67" s="528" t="n"/>
      <c r="CE67" s="314">
        <f>CC67*CD67</f>
        <v/>
      </c>
    </row>
    <row r="68" ht="28.8" customFormat="1" customHeight="1" s="525">
      <c r="A68" s="528" t="n">
        <v>9</v>
      </c>
      <c r="B68" s="528" t="inlineStr">
        <is>
          <t>d</t>
        </is>
      </c>
      <c r="C68" s="523" t="n">
        <v>1</v>
      </c>
      <c r="D68" s="524">
        <f>CONCATENATE(A$3,"_",A68,"_",B68,"_",C68)</f>
        <v/>
      </c>
      <c r="E68" s="526" t="inlineStr">
        <is>
          <t>gwarancji bezpieczeństwa współpracy ludzi z wózkami i systemami automatycznymi</t>
        </is>
      </c>
      <c r="F68" s="528" t="n"/>
      <c r="G68" s="528" t="n"/>
      <c r="H68" s="39" t="n">
        <v>9</v>
      </c>
      <c r="I68" s="455" t="inlineStr">
        <is>
          <t>ACT</t>
        </is>
      </c>
      <c r="J68" s="91">
        <f>M67+1</f>
        <v/>
      </c>
      <c r="K68" s="681">
        <f>VLOOKUP(J68,Kalendarz!B:E,4,FALSE)</f>
        <v/>
      </c>
      <c r="L68" s="681">
        <f>K68+N68</f>
        <v/>
      </c>
      <c r="M68" s="528">
        <f>J68+N68-1</f>
        <v/>
      </c>
      <c r="N68" s="474" t="n">
        <v>1</v>
      </c>
      <c r="O68" s="45" t="n">
        <v>120</v>
      </c>
      <c r="P68" s="187" t="n"/>
      <c r="Q68" s="187" t="n"/>
      <c r="R68" s="187" t="n"/>
      <c r="S68" s="187" t="n"/>
      <c r="T68" s="187" t="n">
        <v>0</v>
      </c>
      <c r="U68" s="187" t="n">
        <v>0</v>
      </c>
      <c r="V68" s="187" t="n">
        <v>0.5</v>
      </c>
      <c r="W68" s="187" t="n">
        <v>0.5</v>
      </c>
      <c r="X68" s="187" t="n">
        <v>0</v>
      </c>
      <c r="Y68" s="188" t="n">
        <v>0</v>
      </c>
      <c r="Z68" s="188" t="n">
        <v>0</v>
      </c>
      <c r="AA68" s="188" t="n">
        <v>0</v>
      </c>
      <c r="AB68" s="188" t="n">
        <v>0</v>
      </c>
      <c r="AC68" s="305" t="n"/>
      <c r="AD68" s="305" t="n"/>
      <c r="AE68" s="305" t="n"/>
      <c r="AF68" s="305" t="n"/>
      <c r="AG68" s="192">
        <f>ROUND($O68*P68,0)</f>
        <v/>
      </c>
      <c r="AH68" s="192">
        <f>ROUND($O68*Q68,0)</f>
        <v/>
      </c>
      <c r="AI68" s="192">
        <f>ROUND($O68*R68,0)</f>
        <v/>
      </c>
      <c r="AJ68" s="192">
        <f>ROUND($O68*S68,0)</f>
        <v/>
      </c>
      <c r="AK68" s="192">
        <f>ROUND($O68*T68,0)</f>
        <v/>
      </c>
      <c r="AL68" s="192">
        <f>ROUND($O68*U68,0)</f>
        <v/>
      </c>
      <c r="AM68" s="192">
        <f>ROUND($O68*V68,0)</f>
        <v/>
      </c>
      <c r="AN68" s="192">
        <f>ROUND($O68*W68,0)</f>
        <v/>
      </c>
      <c r="AO68" s="192">
        <f>ROUND($O68*X68,0)</f>
        <v/>
      </c>
      <c r="AP68" s="193">
        <f>ROUND($O68*Y68,0)</f>
        <v/>
      </c>
      <c r="AQ68" s="193">
        <f>ROUND($O68*Z68,0)</f>
        <v/>
      </c>
      <c r="AR68" s="193">
        <f>ROUND($O68*AA68,0)</f>
        <v/>
      </c>
      <c r="AS68" s="193">
        <f>ROUND($O68*AB68,0)</f>
        <v/>
      </c>
      <c r="AT68" s="306">
        <f>ROUND($O68*AC68,0)</f>
        <v/>
      </c>
      <c r="AU68" s="306">
        <f>ROUND($O68*AD68,0)</f>
        <v/>
      </c>
      <c r="AV68" s="306">
        <f>ROUND($O68*AE68,0)</f>
        <v/>
      </c>
      <c r="AW68" s="306">
        <f>ROUND($O68*AF68,0)</f>
        <v/>
      </c>
      <c r="AX68" s="51" t="n"/>
      <c r="AY68" s="314">
        <f>O69*AX68</f>
        <v/>
      </c>
      <c r="AZ68" s="399" t="n"/>
      <c r="BA68" s="528" t="n"/>
      <c r="BB68" s="314">
        <f>AZ68*BA68</f>
        <v/>
      </c>
      <c r="BC68" s="528" t="n"/>
      <c r="BD68" s="528" t="n"/>
      <c r="BE68" s="528" t="n"/>
      <c r="BF68" s="528" t="n"/>
      <c r="BG68" s="528" t="n"/>
      <c r="BH68" s="528" t="n"/>
      <c r="BI68" s="314">
        <f>BG68*BH68</f>
        <v/>
      </c>
      <c r="BJ68" s="528" t="n"/>
      <c r="BK68" s="51" t="n"/>
      <c r="BL68" s="314" t="n"/>
      <c r="BM68" s="399" t="n"/>
      <c r="BN68" s="528" t="n"/>
      <c r="BO68" s="314" t="n"/>
      <c r="BP68" s="528" t="n"/>
      <c r="BQ68" s="528" t="n"/>
      <c r="BR68" s="314" t="n"/>
      <c r="BS68" s="314" t="n"/>
      <c r="BT68" s="528" t="n"/>
      <c r="BU68" s="528" t="n"/>
      <c r="BV68" s="528" t="n"/>
      <c r="BW68" s="314">
        <f>BU68*BV68</f>
        <v/>
      </c>
      <c r="BX68" s="528" t="n"/>
      <c r="BY68" s="528" t="n"/>
      <c r="BZ68" s="528" t="n"/>
      <c r="CA68" s="314">
        <f>BY68*BZ68</f>
        <v/>
      </c>
      <c r="CB68" s="528" t="n"/>
      <c r="CC68" s="528" t="n"/>
      <c r="CD68" s="528" t="n"/>
      <c r="CE68" s="314">
        <f>CC68*CD68</f>
        <v/>
      </c>
    </row>
    <row r="69" ht="29.4" customFormat="1" customHeight="1" s="525" thickBot="1">
      <c r="A69" s="46" t="n">
        <v>9</v>
      </c>
      <c r="B69" s="528" t="inlineStr">
        <is>
          <t>e</t>
        </is>
      </c>
      <c r="C69" s="528" t="n">
        <v>1</v>
      </c>
      <c r="D69" s="524">
        <f>CONCATENATE(A$3,"_",A69,"_",B69,"_",C69)</f>
        <v/>
      </c>
      <c r="E69" s="530" t="inlineStr">
        <is>
          <t>automatyzacji procesu aktualizacji modelu (procesy CI/CD)</t>
        </is>
      </c>
      <c r="F69" s="528" t="n"/>
      <c r="G69" s="528" t="n"/>
      <c r="H69" s="20" t="n">
        <v>10</v>
      </c>
      <c r="I69" s="100" t="inlineStr">
        <is>
          <t>END</t>
        </is>
      </c>
      <c r="J69" s="91">
        <f>M68+1</f>
        <v/>
      </c>
      <c r="K69" s="681">
        <f>VLOOKUP(J69,Kalendarz!B:E,4,FALSE)</f>
        <v/>
      </c>
      <c r="L69" s="681">
        <f>K69+N69</f>
        <v/>
      </c>
      <c r="M69" s="528">
        <f>J69+N69-1</f>
        <v/>
      </c>
      <c r="N69" s="474" t="n">
        <v>1</v>
      </c>
      <c r="O69" s="45" t="n">
        <v>160</v>
      </c>
      <c r="P69" s="187" t="n"/>
      <c r="Q69" s="187" t="n"/>
      <c r="R69" s="187" t="n"/>
      <c r="S69" s="187" t="n"/>
      <c r="T69" s="187" t="n">
        <v>0</v>
      </c>
      <c r="U69" s="187" t="n">
        <v>0</v>
      </c>
      <c r="V69" s="187" t="n">
        <v>0</v>
      </c>
      <c r="W69" s="187" t="n">
        <v>0</v>
      </c>
      <c r="X69" s="187" t="n">
        <v>0.25</v>
      </c>
      <c r="Y69" s="188" t="n">
        <v>0</v>
      </c>
      <c r="Z69" s="188" t="n">
        <v>0</v>
      </c>
      <c r="AA69" s="188" t="n">
        <v>0</v>
      </c>
      <c r="AB69" s="188" t="n">
        <v>0.75</v>
      </c>
      <c r="AC69" s="305" t="n"/>
      <c r="AD69" s="305" t="n"/>
      <c r="AE69" s="305" t="n"/>
      <c r="AF69" s="305" t="n"/>
      <c r="AG69" s="192">
        <f>ROUND($O69*P69,0)</f>
        <v/>
      </c>
      <c r="AH69" s="192">
        <f>ROUND($O69*Q69,0)</f>
        <v/>
      </c>
      <c r="AI69" s="192">
        <f>ROUND($O69*R69,0)</f>
        <v/>
      </c>
      <c r="AJ69" s="192">
        <f>ROUND($O69*S69,0)</f>
        <v/>
      </c>
      <c r="AK69" s="192">
        <f>ROUND($O69*T69,0)</f>
        <v/>
      </c>
      <c r="AL69" s="192">
        <f>ROUND($O69*U69,0)</f>
        <v/>
      </c>
      <c r="AM69" s="192">
        <f>ROUND($O69*V69,0)</f>
        <v/>
      </c>
      <c r="AN69" s="192">
        <f>ROUND($O69*W69,0)</f>
        <v/>
      </c>
      <c r="AO69" s="192">
        <f>ROUND($O69*X69,0)</f>
        <v/>
      </c>
      <c r="AP69" s="193">
        <f>ROUND($O69*Y69,0)</f>
        <v/>
      </c>
      <c r="AQ69" s="193">
        <f>ROUND($O69*Z69,0)</f>
        <v/>
      </c>
      <c r="AR69" s="193">
        <f>ROUND($O69*AA69,0)</f>
        <v/>
      </c>
      <c r="AS69" s="193">
        <f>ROUND($O69*AB69,0)</f>
        <v/>
      </c>
      <c r="AT69" s="306">
        <f>ROUND($O69*AC69,0)</f>
        <v/>
      </c>
      <c r="AU69" s="306">
        <f>ROUND($O69*AD69,0)</f>
        <v/>
      </c>
      <c r="AV69" s="306">
        <f>ROUND($O69*AE69,0)</f>
        <v/>
      </c>
      <c r="AW69" s="306">
        <f>ROUND($O69*AF69,0)</f>
        <v/>
      </c>
      <c r="AX69" s="51" t="n"/>
      <c r="AY69" s="13" t="n"/>
      <c r="AZ69" s="399" t="n"/>
      <c r="BA69" s="528" t="n"/>
      <c r="BB69" s="13" t="n"/>
      <c r="BC69" s="528" t="n"/>
      <c r="BD69" s="528" t="n"/>
      <c r="BE69" s="528" t="n"/>
      <c r="BF69" s="528" t="n"/>
      <c r="BG69" s="528" t="n"/>
      <c r="BH69" s="528" t="n"/>
      <c r="BI69" s="13" t="n"/>
      <c r="BJ69" s="528" t="n"/>
      <c r="BK69" s="51" t="n"/>
      <c r="BL69" s="13" t="n"/>
      <c r="BM69" s="399" t="n"/>
      <c r="BN69" s="528" t="n"/>
      <c r="BO69" s="13" t="n"/>
      <c r="BP69" s="528" t="n"/>
      <c r="BQ69" s="528" t="n"/>
      <c r="BR69" s="13" t="n"/>
      <c r="BS69" s="13" t="n"/>
      <c r="BT69" s="528" t="n"/>
      <c r="BU69" s="528" t="n"/>
      <c r="BV69" s="528" t="n"/>
      <c r="BW69" s="13" t="n"/>
      <c r="BX69" s="528" t="n"/>
      <c r="BY69" s="528" t="n"/>
      <c r="BZ69" s="528" t="n"/>
      <c r="CA69" s="13" t="n"/>
      <c r="CB69" s="528" t="n"/>
      <c r="CC69" s="528" t="n"/>
      <c r="CD69" s="528" t="n"/>
      <c r="CE69" s="13" t="n"/>
    </row>
    <row r="70" ht="15.75" customFormat="1" customHeight="1" s="525" thickBot="1">
      <c r="A70" s="604" t="n">
        <v>10</v>
      </c>
      <c r="B70" s="604" t="inlineStr">
        <is>
          <t>a</t>
        </is>
      </c>
      <c r="C70" s="605" t="n">
        <v>0</v>
      </c>
      <c r="D70" s="606">
        <f>CONCATENATE(A$3,"_",A70,"_",B70,"_",C70)</f>
        <v/>
      </c>
      <c r="E70" s="607" t="inlineStr">
        <is>
          <t>10.Raportowanie i analizy</t>
        </is>
      </c>
      <c r="F70" s="528" t="n"/>
      <c r="G70" s="528" t="n"/>
      <c r="H70" s="20" t="n"/>
      <c r="I70" s="20" t="n"/>
      <c r="J70" s="91">
        <f>M69+1</f>
        <v/>
      </c>
      <c r="K70" s="681">
        <f>VLOOKUP(J70,Kalendarz!B:E,4,FALSE)</f>
        <v/>
      </c>
      <c r="L70" s="681">
        <f>K70+N70</f>
        <v/>
      </c>
      <c r="M70" s="528">
        <f>J70+N70-1</f>
        <v/>
      </c>
      <c r="N70" s="474">
        <f>ROUND(MAX(AG70:AO70)/Listy!$U$2,0)</f>
        <v/>
      </c>
      <c r="O70" s="190" t="n"/>
      <c r="P70" s="468" t="n"/>
      <c r="Q70" s="468" t="n"/>
      <c r="R70" s="468" t="n"/>
      <c r="S70" s="130" t="n"/>
      <c r="T70" s="130" t="n"/>
      <c r="U70" s="130" t="n"/>
      <c r="V70" s="130" t="n"/>
      <c r="W70" s="130" t="n"/>
      <c r="X70" s="468" t="n"/>
      <c r="Y70" s="468" t="n"/>
      <c r="Z70" s="468" t="n"/>
      <c r="AA70" s="148" t="n"/>
      <c r="AB70" s="190" t="n"/>
      <c r="AC70" s="190" t="n"/>
      <c r="AD70" s="190" t="n"/>
      <c r="AE70" s="190" t="n"/>
      <c r="AF70" s="148" t="n"/>
      <c r="AG70" s="148" t="n"/>
      <c r="AH70" s="148" t="n"/>
      <c r="AI70" s="148" t="n"/>
      <c r="AJ70" s="190" t="n"/>
      <c r="AK70" s="190" t="n"/>
      <c r="AL70" s="190" t="n"/>
      <c r="AM70" s="190" t="n"/>
      <c r="AN70" s="190" t="n"/>
      <c r="AO70" s="190" t="n"/>
      <c r="AP70" s="190" t="n"/>
      <c r="AQ70" s="190" t="n"/>
      <c r="AR70" s="190" t="n"/>
      <c r="AS70" s="304" t="n"/>
      <c r="AT70" s="304" t="n"/>
      <c r="AU70" s="304" t="n"/>
      <c r="AV70" s="304" t="n"/>
      <c r="AW70" s="148" t="n"/>
      <c r="AX70" s="51" t="n"/>
      <c r="AY70" s="14">
        <f>AY71+AY72</f>
        <v/>
      </c>
      <c r="AZ70" s="399" t="n"/>
      <c r="BA70" s="528" t="n"/>
      <c r="BB70" s="14">
        <f>BB71+BB72</f>
        <v/>
      </c>
      <c r="BC70" s="528" t="n"/>
      <c r="BD70" s="528" t="n"/>
      <c r="BE70" s="528" t="n"/>
      <c r="BF70" s="528" t="n"/>
      <c r="BG70" s="528" t="n"/>
      <c r="BH70" s="528" t="n"/>
      <c r="BI70" s="14">
        <f>BI71+BI72</f>
        <v/>
      </c>
      <c r="BJ70" s="528" t="n"/>
      <c r="BK70" s="51" t="n"/>
      <c r="BL70" s="14">
        <f>BL71+BL72</f>
        <v/>
      </c>
      <c r="BM70" s="399" t="n"/>
      <c r="BN70" s="528" t="n"/>
      <c r="BO70" s="14">
        <f>BO71+BO72</f>
        <v/>
      </c>
      <c r="BP70" s="528" t="n"/>
      <c r="BQ70" s="528" t="n"/>
      <c r="BR70" s="14">
        <f>BR71+BR72</f>
        <v/>
      </c>
      <c r="BS70" s="14">
        <f>BS71+BS72</f>
        <v/>
      </c>
      <c r="BT70" s="528" t="n"/>
      <c r="BU70" s="528" t="n"/>
      <c r="BV70" s="528" t="n"/>
      <c r="BW70" s="14">
        <f>BW71+BW72</f>
        <v/>
      </c>
      <c r="BX70" s="528" t="n"/>
      <c r="BY70" s="528" t="n"/>
      <c r="BZ70" s="528" t="n"/>
      <c r="CA70" s="14">
        <f>CA71+CA72</f>
        <v/>
      </c>
      <c r="CB70" s="528" t="n"/>
      <c r="CC70" s="528" t="n"/>
      <c r="CD70" s="528" t="n"/>
      <c r="CE70" s="14">
        <f>CE71+CE72</f>
        <v/>
      </c>
      <c r="CF70" s="525">
        <f>AY70+BB70+BI70+BL70+BO70+BR70+BS70+BW70+CA70+CE70</f>
        <v/>
      </c>
    </row>
    <row r="71" ht="43.2" customFormat="1" customHeight="1" s="525">
      <c r="A71" s="528" t="n">
        <v>10</v>
      </c>
      <c r="B71" s="528" t="inlineStr">
        <is>
          <t>a</t>
        </is>
      </c>
      <c r="C71" s="523" t="n">
        <v>1</v>
      </c>
      <c r="D71" s="524">
        <f>CONCATENATE(A$3,"_",A71,"_",B71,"_",C71)</f>
        <v/>
      </c>
      <c r="E71" s="526" t="inlineStr">
        <is>
          <t>Przygotowywanie regularnych raportów dotyczących efektywności modelu i jego wpływu na MWS</t>
        </is>
      </c>
      <c r="F71" s="528" t="n"/>
      <c r="G71" s="528" t="n"/>
      <c r="H71" s="39" t="n">
        <v>8</v>
      </c>
      <c r="I71" s="455" t="inlineStr">
        <is>
          <t>END/ACT</t>
        </is>
      </c>
      <c r="J71" s="91">
        <f>M70+1</f>
        <v/>
      </c>
      <c r="K71" s="681">
        <f>VLOOKUP(J71,Kalendarz!B:E,4,FALSE)</f>
        <v/>
      </c>
      <c r="L71" s="681">
        <f>K71+N71</f>
        <v/>
      </c>
      <c r="M71" s="528">
        <f>J71+N71-1</f>
        <v/>
      </c>
      <c r="N71" s="474" t="n">
        <v>1</v>
      </c>
      <c r="O71" s="45" t="n">
        <v>120</v>
      </c>
      <c r="P71" s="187" t="n"/>
      <c r="Q71" s="187" t="n"/>
      <c r="R71" s="187" t="n"/>
      <c r="S71" s="187" t="n"/>
      <c r="T71" s="187" t="n">
        <v>0.333</v>
      </c>
      <c r="U71" s="187" t="n">
        <v>0</v>
      </c>
      <c r="V71" s="187" t="n">
        <v>0</v>
      </c>
      <c r="W71" s="187" t="n">
        <v>0</v>
      </c>
      <c r="X71" s="187" t="n">
        <v>0</v>
      </c>
      <c r="Y71" s="188" t="n">
        <v>0</v>
      </c>
      <c r="Z71" s="188" t="n">
        <v>0</v>
      </c>
      <c r="AA71" s="188" t="n">
        <v>0</v>
      </c>
      <c r="AB71" s="188" t="n">
        <v>0.663</v>
      </c>
      <c r="AC71" s="305" t="n"/>
      <c r="AD71" s="305" t="n"/>
      <c r="AE71" s="305" t="n"/>
      <c r="AF71" s="305" t="n"/>
      <c r="AG71" s="192">
        <f>ROUND($O71*P71,0)</f>
        <v/>
      </c>
      <c r="AH71" s="192">
        <f>ROUND($O71*Q71,0)</f>
        <v/>
      </c>
      <c r="AI71" s="192">
        <f>ROUND($O71*R71,0)</f>
        <v/>
      </c>
      <c r="AJ71" s="192">
        <f>ROUND($O71*S71,0)</f>
        <v/>
      </c>
      <c r="AK71" s="192">
        <f>ROUND($O71*T71,0)</f>
        <v/>
      </c>
      <c r="AL71" s="192">
        <f>ROUND($O71*U71,0)</f>
        <v/>
      </c>
      <c r="AM71" s="192">
        <f>ROUND($O71*V71,0)</f>
        <v/>
      </c>
      <c r="AN71" s="192">
        <f>ROUND($O71*W71,0)</f>
        <v/>
      </c>
      <c r="AO71" s="192">
        <f>ROUND($O71*X71,0)</f>
        <v/>
      </c>
      <c r="AP71" s="193">
        <f>ROUND($O71*Y71,0)</f>
        <v/>
      </c>
      <c r="AQ71" s="193">
        <f>ROUND($O71*Z71,0)</f>
        <v/>
      </c>
      <c r="AR71" s="193">
        <f>ROUND($O71*AA71,0)</f>
        <v/>
      </c>
      <c r="AS71" s="193">
        <f>ROUND($O71*AB71,0)</f>
        <v/>
      </c>
      <c r="AT71" s="306">
        <f>ROUND($O71*AC71,0)</f>
        <v/>
      </c>
      <c r="AU71" s="306">
        <f>ROUND($O71*AD71,0)</f>
        <v/>
      </c>
      <c r="AV71" s="306">
        <f>ROUND($O71*AE71,0)</f>
        <v/>
      </c>
      <c r="AW71" s="306">
        <f>ROUND($O71*AF71,0)</f>
        <v/>
      </c>
      <c r="AX71" s="51" t="n"/>
      <c r="AY71" s="314">
        <f>O72*AX71</f>
        <v/>
      </c>
      <c r="AZ71" s="399" t="n"/>
      <c r="BA71" s="528" t="n"/>
      <c r="BB71" s="314">
        <f>AZ71*BA71</f>
        <v/>
      </c>
      <c r="BC71" s="528" t="n"/>
      <c r="BD71" s="528" t="n"/>
      <c r="BE71" s="528" t="n"/>
      <c r="BF71" s="528" t="n"/>
      <c r="BG71" s="528" t="n"/>
      <c r="BH71" s="528" t="n"/>
      <c r="BI71" s="314">
        <f>BG71*BH71</f>
        <v/>
      </c>
      <c r="BJ71" s="528" t="n"/>
      <c r="BK71" s="51" t="n"/>
      <c r="BL71" s="21" t="n"/>
      <c r="BM71" s="399" t="n"/>
      <c r="BN71" s="528" t="n"/>
      <c r="BO71" s="21" t="n"/>
      <c r="BP71" s="528" t="n"/>
      <c r="BQ71" s="528" t="n"/>
      <c r="BR71" s="21" t="n"/>
      <c r="BS71" s="21" t="n"/>
      <c r="BT71" s="528" t="n"/>
      <c r="BU71" s="528" t="n"/>
      <c r="BV71" s="528" t="n"/>
      <c r="BW71" s="314">
        <f>BU71*BV71</f>
        <v/>
      </c>
      <c r="BX71" s="528" t="n"/>
      <c r="BY71" s="528" t="n"/>
      <c r="BZ71" s="528" t="n"/>
      <c r="CA71" s="314">
        <f>BY71*BZ71</f>
        <v/>
      </c>
      <c r="CB71" s="528" t="n"/>
      <c r="CC71" s="528" t="n"/>
      <c r="CD71" s="528" t="n"/>
      <c r="CE71" s="314">
        <f>CC71*CD71</f>
        <v/>
      </c>
    </row>
    <row r="72" ht="29.4" customFormat="1" customHeight="1" s="525" thickBot="1">
      <c r="A72" s="528" t="n">
        <v>10</v>
      </c>
      <c r="B72" s="528" t="inlineStr">
        <is>
          <t>b</t>
        </is>
      </c>
      <c r="C72" s="523" t="n">
        <v>1</v>
      </c>
      <c r="D72" s="524">
        <f>CONCATENATE(A$3,"_",A72,"_",B72,"_",C72)</f>
        <v/>
      </c>
      <c r="E72" s="526" t="inlineStr">
        <is>
          <t>Analizowanie wyników działania Modelu i ich wpływu na KPI</t>
        </is>
      </c>
      <c r="F72" s="528" t="n"/>
      <c r="G72" s="528" t="n"/>
      <c r="H72" s="39" t="n">
        <v>8</v>
      </c>
      <c r="I72" s="100" t="inlineStr">
        <is>
          <t>ACT</t>
        </is>
      </c>
      <c r="J72" s="91">
        <f>M71+1</f>
        <v/>
      </c>
      <c r="K72" s="681">
        <f>VLOOKUP(J72,Kalendarz!B:E,4,FALSE)</f>
        <v/>
      </c>
      <c r="L72" s="681">
        <f>K72+N72</f>
        <v/>
      </c>
      <c r="M72" s="528">
        <f>J72+N72-1</f>
        <v/>
      </c>
      <c r="N72" s="474" t="n">
        <v>0</v>
      </c>
      <c r="O72" s="45" t="n">
        <v>120</v>
      </c>
      <c r="P72" s="187" t="n"/>
      <c r="Q72" s="187" t="n"/>
      <c r="R72" s="187" t="n"/>
      <c r="S72" s="187" t="n"/>
      <c r="T72" s="187" t="n">
        <v>0</v>
      </c>
      <c r="U72" s="187" t="n">
        <v>0</v>
      </c>
      <c r="V72" s="187" t="n">
        <v>0.5</v>
      </c>
      <c r="W72" s="187" t="n">
        <v>0.5</v>
      </c>
      <c r="X72" s="187" t="n">
        <v>0</v>
      </c>
      <c r="Y72" s="188" t="n">
        <v>0</v>
      </c>
      <c r="Z72" s="188" t="n">
        <v>0</v>
      </c>
      <c r="AA72" s="188" t="n">
        <v>0</v>
      </c>
      <c r="AB72" s="188" t="n">
        <v>0</v>
      </c>
      <c r="AC72" s="305" t="n"/>
      <c r="AD72" s="305" t="n"/>
      <c r="AE72" s="305" t="n"/>
      <c r="AF72" s="305" t="n"/>
      <c r="AG72" s="192">
        <f>ROUND($O72*P72,0)</f>
        <v/>
      </c>
      <c r="AH72" s="192">
        <f>ROUND($O72*Q72,0)</f>
        <v/>
      </c>
      <c r="AI72" s="192">
        <f>ROUND($O72*R72,0)</f>
        <v/>
      </c>
      <c r="AJ72" s="192">
        <f>ROUND($O72*S72,0)</f>
        <v/>
      </c>
      <c r="AK72" s="192">
        <f>ROUND($O72*T72,0)</f>
        <v/>
      </c>
      <c r="AL72" s="192">
        <f>ROUND($O72*U72,0)</f>
        <v/>
      </c>
      <c r="AM72" s="192">
        <f>ROUND($O72*V72,0)</f>
        <v/>
      </c>
      <c r="AN72" s="192">
        <f>ROUND($O72*W72,0)</f>
        <v/>
      </c>
      <c r="AO72" s="192">
        <f>ROUND($O72*X72,0)</f>
        <v/>
      </c>
      <c r="AP72" s="193">
        <f>ROUND($O72*Y72,0)</f>
        <v/>
      </c>
      <c r="AQ72" s="193">
        <f>ROUND($O72*Z72,0)</f>
        <v/>
      </c>
      <c r="AR72" s="193">
        <f>ROUND($O72*AA72,0)</f>
        <v/>
      </c>
      <c r="AS72" s="193">
        <f>ROUND($O72*AB72,0)</f>
        <v/>
      </c>
      <c r="AT72" s="306">
        <f>ROUND($O72*AC72,0)</f>
        <v/>
      </c>
      <c r="AU72" s="306">
        <f>ROUND($O72*AD72,0)</f>
        <v/>
      </c>
      <c r="AV72" s="306">
        <f>ROUND($O72*AE72,0)</f>
        <v/>
      </c>
      <c r="AW72" s="306">
        <f>ROUND($O72*AF72,0)</f>
        <v/>
      </c>
      <c r="AX72" s="51" t="n"/>
      <c r="AY72" s="314">
        <f>O73*AX72</f>
        <v/>
      </c>
      <c r="AZ72" s="399" t="n"/>
      <c r="BA72" s="528" t="n"/>
      <c r="BB72" s="314">
        <f>AZ72*BA72</f>
        <v/>
      </c>
      <c r="BC72" s="528" t="n"/>
      <c r="BD72" s="528" t="n"/>
      <c r="BE72" s="528" t="n"/>
      <c r="BF72" s="528" t="n"/>
      <c r="BG72" s="528" t="n"/>
      <c r="BH72" s="528" t="n"/>
      <c r="BI72" s="314">
        <f>BG72*BH72</f>
        <v/>
      </c>
      <c r="BJ72" s="528" t="n"/>
      <c r="BK72" s="51" t="n"/>
      <c r="BL72" s="314" t="n"/>
      <c r="BM72" s="399" t="n"/>
      <c r="BN72" s="528" t="n"/>
      <c r="BO72" s="314" t="n"/>
      <c r="BP72" s="528" t="n"/>
      <c r="BQ72" s="528" t="n"/>
      <c r="BR72" s="314" t="n"/>
      <c r="BS72" s="314" t="n"/>
      <c r="BT72" s="528" t="n"/>
      <c r="BU72" s="528" t="n"/>
      <c r="BV72" s="528" t="n"/>
      <c r="BW72" s="314">
        <f>BU72*BV72</f>
        <v/>
      </c>
      <c r="BX72" s="528" t="n"/>
      <c r="BY72" s="528" t="n"/>
      <c r="BZ72" s="528" t="n"/>
      <c r="CA72" s="314">
        <f>BY72*BZ72</f>
        <v/>
      </c>
      <c r="CB72" s="528" t="n"/>
      <c r="CC72" s="528" t="n"/>
      <c r="CD72" s="528" t="n"/>
      <c r="CE72" s="314">
        <f>CC72*CD72</f>
        <v/>
      </c>
    </row>
    <row r="73" ht="15.75" customFormat="1" customHeight="1" s="525" thickBot="1">
      <c r="A73" s="604" t="n">
        <v>11</v>
      </c>
      <c r="B73" s="604" t="inlineStr">
        <is>
          <t>a</t>
        </is>
      </c>
      <c r="C73" s="605" t="n">
        <v>0</v>
      </c>
      <c r="D73" s="606">
        <f>CONCATENATE(A$3,"_",A73,"_",B73,"_",C73)</f>
        <v/>
      </c>
      <c r="E73" s="607" t="inlineStr">
        <is>
          <t xml:space="preserve">11.Monitorowanie </t>
        </is>
      </c>
      <c r="F73" s="528" t="n"/>
      <c r="G73" s="528" t="n"/>
      <c r="H73" s="46" t="n"/>
      <c r="I73" s="46" t="n"/>
      <c r="J73" s="91">
        <f>M72+1</f>
        <v/>
      </c>
      <c r="K73" s="681">
        <f>VLOOKUP(J73,Kalendarz!B:E,4,FALSE)</f>
        <v/>
      </c>
      <c r="L73" s="681">
        <f>K73+N73</f>
        <v/>
      </c>
      <c r="M73" s="528">
        <f>J73+N73-1</f>
        <v/>
      </c>
      <c r="N73" s="474">
        <f>ROUND(MAX(AG73:AO73)/Listy!$U$2,0)</f>
        <v/>
      </c>
      <c r="O73" s="190" t="n"/>
      <c r="P73" s="468" t="n"/>
      <c r="Q73" s="468" t="n"/>
      <c r="R73" s="468" t="n"/>
      <c r="S73" s="130" t="n"/>
      <c r="T73" s="130" t="n"/>
      <c r="U73" s="130" t="n"/>
      <c r="V73" s="130" t="n"/>
      <c r="W73" s="130" t="n"/>
      <c r="X73" s="468" t="n"/>
      <c r="Y73" s="468" t="n"/>
      <c r="Z73" s="468" t="n"/>
      <c r="AA73" s="148" t="n"/>
      <c r="AB73" s="190" t="n"/>
      <c r="AC73" s="190" t="n"/>
      <c r="AD73" s="190" t="n"/>
      <c r="AE73" s="190" t="n"/>
      <c r="AF73" s="148" t="n"/>
      <c r="AG73" s="148" t="n"/>
      <c r="AH73" s="148" t="n"/>
      <c r="AI73" s="148" t="n"/>
      <c r="AJ73" s="190" t="n"/>
      <c r="AK73" s="190" t="n"/>
      <c r="AL73" s="190" t="n"/>
      <c r="AM73" s="190" t="n"/>
      <c r="AN73" s="190" t="n"/>
      <c r="AO73" s="190" t="n"/>
      <c r="AP73" s="190" t="n"/>
      <c r="AQ73" s="190" t="n"/>
      <c r="AR73" s="190" t="n"/>
      <c r="AS73" s="304" t="n"/>
      <c r="AT73" s="304" t="n"/>
      <c r="AU73" s="304" t="n"/>
      <c r="AV73" s="304" t="n"/>
      <c r="AW73" s="148" t="n"/>
      <c r="AX73" s="51" t="n"/>
      <c r="AY73" s="14">
        <f>AY74+AY75</f>
        <v/>
      </c>
      <c r="AZ73" s="399" t="n"/>
      <c r="BA73" s="528" t="n"/>
      <c r="BB73" s="14">
        <f>BB74+BB75</f>
        <v/>
      </c>
      <c r="BC73" s="528" t="n"/>
      <c r="BD73" s="528" t="n"/>
      <c r="BE73" s="528" t="n"/>
      <c r="BF73" s="528" t="n"/>
      <c r="BG73" s="528" t="n"/>
      <c r="BH73" s="528" t="n"/>
      <c r="BI73" s="14">
        <f>BI74+BI75</f>
        <v/>
      </c>
      <c r="BJ73" s="528" t="n"/>
      <c r="BK73" s="51" t="n"/>
      <c r="BL73" s="14">
        <f>BL74+BL75</f>
        <v/>
      </c>
      <c r="BM73" s="399" t="n"/>
      <c r="BN73" s="528" t="n"/>
      <c r="BO73" s="14">
        <f>BO74+BO75</f>
        <v/>
      </c>
      <c r="BP73" s="528" t="n"/>
      <c r="BQ73" s="528" t="n"/>
      <c r="BR73" s="14">
        <f>BR74+BR75</f>
        <v/>
      </c>
      <c r="BS73" s="14">
        <f>BS74+BS75</f>
        <v/>
      </c>
      <c r="BT73" s="528" t="n"/>
      <c r="BU73" s="528" t="n"/>
      <c r="BV73" s="528" t="n"/>
      <c r="BW73" s="14">
        <f>BW74+BW75</f>
        <v/>
      </c>
      <c r="BX73" s="528" t="n"/>
      <c r="BY73" s="528" t="n"/>
      <c r="BZ73" s="528" t="n"/>
      <c r="CA73" s="14">
        <f>CA74+CA75</f>
        <v/>
      </c>
      <c r="CB73" s="528" t="n"/>
      <c r="CC73" s="528" t="n"/>
      <c r="CD73" s="528" t="n"/>
      <c r="CE73" s="14">
        <f>CE74+CE75</f>
        <v/>
      </c>
      <c r="CF73" s="525">
        <f>AY73+BB73+BI73+BL73+BO73+BR73+BS73+BW73+CA73+CE73</f>
        <v/>
      </c>
    </row>
    <row r="74" ht="28.8" customFormat="1" customHeight="1" s="525">
      <c r="A74" s="528" t="n">
        <v>11</v>
      </c>
      <c r="B74" s="528" t="inlineStr">
        <is>
          <t>a</t>
        </is>
      </c>
      <c r="C74" s="523" t="n">
        <v>1</v>
      </c>
      <c r="D74" s="524">
        <f>CONCATENATE(A$3,"_",A74,"_",B74,"_",C74)</f>
        <v/>
      </c>
      <c r="E74" s="526" t="inlineStr">
        <is>
          <t>Regularne śledzenie wydajności Modelu</t>
        </is>
      </c>
      <c r="F74" s="528" t="n"/>
      <c r="G74" s="528" t="n"/>
      <c r="H74" s="39" t="n">
        <v>9</v>
      </c>
      <c r="I74" s="455" t="inlineStr">
        <is>
          <t>END</t>
        </is>
      </c>
      <c r="J74" s="91">
        <f>M73+1</f>
        <v/>
      </c>
      <c r="K74" s="681">
        <f>VLOOKUP(J74,Kalendarz!B:E,4,FALSE)</f>
        <v/>
      </c>
      <c r="L74" s="681">
        <f>K74+N74</f>
        <v/>
      </c>
      <c r="M74" s="528">
        <f>J74+N74-1</f>
        <v/>
      </c>
      <c r="N74" s="474" t="n">
        <v>1</v>
      </c>
      <c r="O74" s="529" t="n">
        <v>120</v>
      </c>
      <c r="P74" s="187" t="n"/>
      <c r="Q74" s="187" t="n"/>
      <c r="R74" s="187" t="n"/>
      <c r="S74" s="187" t="n"/>
      <c r="T74" s="187" t="n">
        <v>0</v>
      </c>
      <c r="U74" s="187" t="n">
        <v>0</v>
      </c>
      <c r="V74" s="187" t="n">
        <v>0.333</v>
      </c>
      <c r="W74" s="187" t="n">
        <v>0</v>
      </c>
      <c r="X74" s="187" t="n">
        <v>0</v>
      </c>
      <c r="Y74" s="188" t="n">
        <v>0</v>
      </c>
      <c r="Z74" s="188" t="n">
        <v>0</v>
      </c>
      <c r="AA74" s="188" t="n">
        <v>0</v>
      </c>
      <c r="AB74" s="188" t="n">
        <v>0.666</v>
      </c>
      <c r="AC74" s="305" t="n"/>
      <c r="AD74" s="305" t="n"/>
      <c r="AE74" s="305" t="n"/>
      <c r="AF74" s="305" t="n"/>
      <c r="AG74" s="192">
        <f>ROUND($O74*P74,0)</f>
        <v/>
      </c>
      <c r="AH74" s="192">
        <f>ROUND($O74*Q74,0)</f>
        <v/>
      </c>
      <c r="AI74" s="192">
        <f>ROUND($O74*R74,0)</f>
        <v/>
      </c>
      <c r="AJ74" s="192">
        <f>ROUND($O74*S74,0)</f>
        <v/>
      </c>
      <c r="AK74" s="192">
        <f>ROUND($O74*T74,0)</f>
        <v/>
      </c>
      <c r="AL74" s="192">
        <f>ROUND($O74*U74,0)</f>
        <v/>
      </c>
      <c r="AM74" s="192">
        <f>ROUND($O74*V74,0)</f>
        <v/>
      </c>
      <c r="AN74" s="192">
        <f>ROUND($O74*W74,0)</f>
        <v/>
      </c>
      <c r="AO74" s="192">
        <f>ROUND($O74*X74,0)</f>
        <v/>
      </c>
      <c r="AP74" s="193">
        <f>ROUND($O74*Y74,0)</f>
        <v/>
      </c>
      <c r="AQ74" s="193">
        <f>ROUND($O74*Z74,0)</f>
        <v/>
      </c>
      <c r="AR74" s="193">
        <f>ROUND($O74*AA74,0)</f>
        <v/>
      </c>
      <c r="AS74" s="193">
        <f>ROUND($O74*AB74,0)</f>
        <v/>
      </c>
      <c r="AT74" s="306">
        <f>ROUND($O74*AC74,0)</f>
        <v/>
      </c>
      <c r="AU74" s="306">
        <f>ROUND($O74*AD74,0)</f>
        <v/>
      </c>
      <c r="AV74" s="306">
        <f>ROUND($O74*AE74,0)</f>
        <v/>
      </c>
      <c r="AW74" s="306">
        <f>ROUND($O74*AF74,0)</f>
        <v/>
      </c>
      <c r="AX74" s="51" t="n"/>
      <c r="AY74" s="314">
        <f>O75*AX74</f>
        <v/>
      </c>
      <c r="AZ74" s="399" t="n"/>
      <c r="BA74" s="528" t="n"/>
      <c r="BB74" s="314">
        <f>AZ74*BA74</f>
        <v/>
      </c>
      <c r="BC74" s="528" t="n"/>
      <c r="BD74" s="528" t="n"/>
      <c r="BE74" s="528" t="n"/>
      <c r="BF74" s="528" t="n"/>
      <c r="BG74" s="528" t="n"/>
      <c r="BH74" s="528" t="n"/>
      <c r="BI74" s="314">
        <f>BG74*BH74</f>
        <v/>
      </c>
      <c r="BJ74" s="528" t="n"/>
      <c r="BK74" s="51" t="n"/>
      <c r="BL74" s="21" t="n"/>
      <c r="BM74" s="399" t="n"/>
      <c r="BN74" s="528" t="n"/>
      <c r="BO74" s="21" t="n"/>
      <c r="BP74" s="528" t="n"/>
      <c r="BQ74" s="528" t="n"/>
      <c r="BR74" s="21" t="n"/>
      <c r="BS74" s="21" t="n"/>
      <c r="BT74" s="528" t="n"/>
      <c r="BU74" s="528" t="n"/>
      <c r="BV74" s="528" t="n"/>
      <c r="BW74" s="314">
        <f>BU74*BV74</f>
        <v/>
      </c>
      <c r="BX74" s="528" t="n"/>
      <c r="BY74" s="528" t="n"/>
      <c r="BZ74" s="528" t="n"/>
      <c r="CA74" s="314">
        <f>BY74*BZ74</f>
        <v/>
      </c>
      <c r="CB74" s="528" t="n"/>
      <c r="CC74" s="528" t="n"/>
      <c r="CD74" s="528" t="n"/>
      <c r="CE74" s="314">
        <f>CC74*CD74</f>
        <v/>
      </c>
    </row>
    <row r="75" ht="43.8" customFormat="1" customHeight="1" s="525" thickBot="1">
      <c r="A75" s="528" t="n">
        <v>11</v>
      </c>
      <c r="B75" s="528" t="inlineStr">
        <is>
          <t>b</t>
        </is>
      </c>
      <c r="C75" s="523" t="n">
        <v>1</v>
      </c>
      <c r="D75" s="524">
        <f>CONCATENATE(A$3,"_",A75,"_",B75,"_",C75)</f>
        <v/>
      </c>
      <c r="E75" s="526" t="inlineStr">
        <is>
          <t>Wprowadzanie poprawek do Modelu, aktualizacje na podstawie nowych danych i zmieniających się warunków operacyjnych</t>
        </is>
      </c>
      <c r="F75" s="528" t="n"/>
      <c r="G75" s="528" t="n"/>
      <c r="H75" s="39" t="n">
        <v>9</v>
      </c>
      <c r="I75" s="455" t="inlineStr">
        <is>
          <t>END/ACT</t>
        </is>
      </c>
      <c r="J75" s="91">
        <f>M74+1</f>
        <v/>
      </c>
      <c r="K75" s="681">
        <f>VLOOKUP(J75,Kalendarz!B:E,4,FALSE)</f>
        <v/>
      </c>
      <c r="L75" s="681">
        <f>K75+N75</f>
        <v/>
      </c>
      <c r="M75" s="528">
        <f>J75+N75-1</f>
        <v/>
      </c>
      <c r="N75" s="474" t="n">
        <v>0</v>
      </c>
      <c r="O75" s="529" t="n">
        <v>80</v>
      </c>
      <c r="P75" s="187" t="n"/>
      <c r="Q75" s="187" t="n"/>
      <c r="R75" s="187" t="n"/>
      <c r="S75" s="187" t="n"/>
      <c r="T75" s="187" t="n">
        <v>0</v>
      </c>
      <c r="U75" s="187" t="n">
        <v>0.25</v>
      </c>
      <c r="V75" s="187" t="n">
        <v>0</v>
      </c>
      <c r="W75" s="187" t="n">
        <v>0</v>
      </c>
      <c r="X75" s="187" t="n">
        <v>0</v>
      </c>
      <c r="Y75" s="188" t="n">
        <v>0</v>
      </c>
      <c r="Z75" s="188" t="n">
        <v>0</v>
      </c>
      <c r="AA75" s="188" t="n">
        <v>0.25</v>
      </c>
      <c r="AB75" s="188" t="n">
        <v>0.5</v>
      </c>
      <c r="AC75" s="305" t="n"/>
      <c r="AD75" s="305" t="n"/>
      <c r="AE75" s="305" t="n"/>
      <c r="AF75" s="305" t="n"/>
      <c r="AG75" s="192">
        <f>ROUND($O75*P75,0)</f>
        <v/>
      </c>
      <c r="AH75" s="192">
        <f>ROUND($O75*Q75,0)</f>
        <v/>
      </c>
      <c r="AI75" s="192">
        <f>ROUND($O75*R75,0)</f>
        <v/>
      </c>
      <c r="AJ75" s="192">
        <f>ROUND($O75*S75,0)</f>
        <v/>
      </c>
      <c r="AK75" s="192">
        <f>ROUND($O75*T75,0)</f>
        <v/>
      </c>
      <c r="AL75" s="192">
        <f>ROUND($O75*U75,0)</f>
        <v/>
      </c>
      <c r="AM75" s="192">
        <f>ROUND($O75*V75,0)</f>
        <v/>
      </c>
      <c r="AN75" s="192">
        <f>ROUND($O75*W75,0)</f>
        <v/>
      </c>
      <c r="AO75" s="192">
        <f>ROUND($O75*X75,0)</f>
        <v/>
      </c>
      <c r="AP75" s="193">
        <f>ROUND($O75*Y75,0)</f>
        <v/>
      </c>
      <c r="AQ75" s="193">
        <f>ROUND($O75*Z75,0)</f>
        <v/>
      </c>
      <c r="AR75" s="193">
        <f>ROUND($O75*AA75,0)</f>
        <v/>
      </c>
      <c r="AS75" s="193">
        <f>ROUND($O75*AB75,0)</f>
        <v/>
      </c>
      <c r="AT75" s="306">
        <f>ROUND($O75*AC75,0)</f>
        <v/>
      </c>
      <c r="AU75" s="306">
        <f>ROUND($O75*AD75,0)</f>
        <v/>
      </c>
      <c r="AV75" s="306">
        <f>ROUND($O75*AE75,0)</f>
        <v/>
      </c>
      <c r="AW75" s="306">
        <f>ROUND($O75*AF75,0)</f>
        <v/>
      </c>
      <c r="AX75" s="51" t="n"/>
      <c r="AY75" s="314">
        <f>O76*AX75</f>
        <v/>
      </c>
      <c r="AZ75" s="399" t="n"/>
      <c r="BA75" s="528" t="n"/>
      <c r="BB75" s="314">
        <f>AZ75*BA75</f>
        <v/>
      </c>
      <c r="BC75" s="528" t="n"/>
      <c r="BD75" s="528" t="n"/>
      <c r="BE75" s="528" t="n"/>
      <c r="BF75" s="528" t="n"/>
      <c r="BG75" s="528" t="n"/>
      <c r="BH75" s="528" t="n"/>
      <c r="BI75" s="314">
        <f>BG75*BH75</f>
        <v/>
      </c>
      <c r="BJ75" s="528" t="n"/>
      <c r="BK75" s="51" t="n"/>
      <c r="BL75" s="314" t="n"/>
      <c r="BM75" s="399" t="n"/>
      <c r="BN75" s="528" t="n"/>
      <c r="BO75" s="314" t="n"/>
      <c r="BP75" s="528" t="n"/>
      <c r="BQ75" s="528" t="n"/>
      <c r="BR75" s="314" t="n"/>
      <c r="BS75" s="314" t="n"/>
      <c r="BT75" s="528" t="n"/>
      <c r="BU75" s="528" t="n"/>
      <c r="BV75" s="528" t="n"/>
      <c r="BW75" s="314">
        <f>BU75*BV75</f>
        <v/>
      </c>
      <c r="BX75" s="528" t="n"/>
      <c r="BY75" s="528" t="n"/>
      <c r="BZ75" s="528" t="n"/>
      <c r="CA75" s="314">
        <f>BY75*BZ75</f>
        <v/>
      </c>
      <c r="CB75" s="528" t="n"/>
      <c r="CC75" s="528" t="n"/>
      <c r="CD75" s="528" t="n"/>
      <c r="CE75" s="314">
        <f>CC75*CD75</f>
        <v/>
      </c>
    </row>
    <row r="76" ht="36.6" customFormat="1" customHeight="1" s="525" thickBot="1">
      <c r="A76" s="604" t="n">
        <v>12</v>
      </c>
      <c r="B76" s="604" t="inlineStr">
        <is>
          <t>a</t>
        </is>
      </c>
      <c r="C76" s="605" t="n">
        <v>1</v>
      </c>
      <c r="D76" s="606">
        <f>CONCATENATE(A$3,"_",A76,"_",B76,"_",C76)</f>
        <v/>
      </c>
      <c r="E76" s="607" t="inlineStr">
        <is>
          <t>12.Dokumentacja i szkolenie</t>
        </is>
      </c>
      <c r="F76" s="528" t="n"/>
      <c r="G76" s="528" t="n"/>
      <c r="H76" s="39" t="n">
        <v>13</v>
      </c>
      <c r="I76" s="100" t="inlineStr">
        <is>
          <t>ACT</t>
        </is>
      </c>
      <c r="J76" s="91">
        <f>M75+1</f>
        <v/>
      </c>
      <c r="K76" s="681">
        <f>VLOOKUP(J76,Kalendarz!B:E,4,FALSE)</f>
        <v/>
      </c>
      <c r="L76" s="681">
        <f>K76+N76</f>
        <v/>
      </c>
      <c r="M76" s="528">
        <f>J76+N76-1</f>
        <v/>
      </c>
      <c r="N76" s="474" t="n">
        <v>0</v>
      </c>
      <c r="O76" s="56" t="n">
        <v>160</v>
      </c>
      <c r="P76" s="187" t="n"/>
      <c r="Q76" s="187" t="n"/>
      <c r="R76" s="187" t="n"/>
      <c r="S76" s="187" t="n"/>
      <c r="T76" s="187" t="n">
        <v>0.5</v>
      </c>
      <c r="U76" s="187" t="n">
        <v>0</v>
      </c>
      <c r="V76" s="187" t="n">
        <v>0</v>
      </c>
      <c r="W76" s="187" t="n">
        <v>0</v>
      </c>
      <c r="X76" s="187" t="n">
        <v>0</v>
      </c>
      <c r="Y76" s="188" t="n">
        <v>0</v>
      </c>
      <c r="Z76" s="188" t="n">
        <v>0.25</v>
      </c>
      <c r="AA76" s="188" t="n">
        <v>0</v>
      </c>
      <c r="AB76" s="188" t="n">
        <v>0.25</v>
      </c>
      <c r="AC76" s="305" t="n"/>
      <c r="AD76" s="305" t="n"/>
      <c r="AE76" s="305" t="n"/>
      <c r="AF76" s="305" t="n"/>
      <c r="AG76" s="192">
        <f>ROUND($O76*P76,0)</f>
        <v/>
      </c>
      <c r="AH76" s="192">
        <f>ROUND($O76*Q76,0)</f>
        <v/>
      </c>
      <c r="AI76" s="192">
        <f>ROUND($O76*R76,0)</f>
        <v/>
      </c>
      <c r="AJ76" s="192">
        <f>ROUND($O76*S76,0)</f>
        <v/>
      </c>
      <c r="AK76" s="192">
        <f>ROUND($O76*T76,0)</f>
        <v/>
      </c>
      <c r="AL76" s="192">
        <f>ROUND($O76*U76,0)</f>
        <v/>
      </c>
      <c r="AM76" s="192">
        <f>ROUND($O76*V76,0)</f>
        <v/>
      </c>
      <c r="AN76" s="192">
        <f>ROUND($O76*W76,0)</f>
        <v/>
      </c>
      <c r="AO76" s="192">
        <f>ROUND($O76*X76,0)</f>
        <v/>
      </c>
      <c r="AP76" s="193">
        <f>ROUND($O76*Y76,0)</f>
        <v/>
      </c>
      <c r="AQ76" s="193">
        <f>ROUND($O76*Z76,0)</f>
        <v/>
      </c>
      <c r="AR76" s="193">
        <f>ROUND($O76*AA76,0)</f>
        <v/>
      </c>
      <c r="AS76" s="193">
        <f>ROUND($O76*AB76,0)</f>
        <v/>
      </c>
      <c r="AT76" s="306">
        <f>ROUND($O76*AC76,0)</f>
        <v/>
      </c>
      <c r="AU76" s="306">
        <f>ROUND($O76*AD76,0)</f>
        <v/>
      </c>
      <c r="AV76" s="306">
        <f>ROUND($O76*AE76,0)</f>
        <v/>
      </c>
      <c r="AW76" s="306">
        <f>ROUND($O76*AF76,0)</f>
        <v/>
      </c>
      <c r="AX76" s="51" t="n"/>
      <c r="AY76" s="14">
        <f>O77*AX76</f>
        <v/>
      </c>
      <c r="AZ76" s="399" t="n"/>
      <c r="BA76" s="528" t="n"/>
      <c r="BB76" s="14">
        <f>AZ76*BA76</f>
        <v/>
      </c>
      <c r="BC76" s="528" t="n"/>
      <c r="BD76" s="528" t="n"/>
      <c r="BE76" s="528" t="n"/>
      <c r="BF76" s="528" t="n"/>
      <c r="BG76" s="528" t="n"/>
      <c r="BH76" s="528" t="n"/>
      <c r="BI76" s="14">
        <f>BG76*BH76</f>
        <v/>
      </c>
      <c r="BJ76" s="528" t="n"/>
      <c r="BK76" s="51" t="n"/>
      <c r="BL76" s="14" t="n">
        <v>0</v>
      </c>
      <c r="BM76" s="399" t="n"/>
      <c r="BN76" s="528" t="n"/>
      <c r="BO76" s="14" t="n">
        <v>0</v>
      </c>
      <c r="BP76" s="528" t="n"/>
      <c r="BQ76" s="528" t="n"/>
      <c r="BR76" s="14" t="n">
        <v>0</v>
      </c>
      <c r="BS76" s="14" t="n">
        <v>0</v>
      </c>
      <c r="BT76" s="528" t="n"/>
      <c r="BU76" s="528" t="n"/>
      <c r="BV76" s="528" t="n"/>
      <c r="BW76" s="14">
        <f>BU76*BV76</f>
        <v/>
      </c>
      <c r="BX76" s="528" t="n"/>
      <c r="BY76" s="528" t="n"/>
      <c r="BZ76" s="528" t="n"/>
      <c r="CA76" s="14">
        <f>BY76*BZ76</f>
        <v/>
      </c>
      <c r="CB76" s="528" t="n"/>
      <c r="CC76" s="528" t="n"/>
      <c r="CD76" s="528" t="n"/>
      <c r="CE76" s="14">
        <f>CC76*CD76</f>
        <v/>
      </c>
      <c r="CF76" s="525" t="inlineStr">
        <is>
          <t>MWS</t>
        </is>
      </c>
    </row>
    <row r="77" ht="15.75" customHeight="1" s="191">
      <c r="A77" s="450" t="inlineStr">
        <is>
          <t xml:space="preserve">Łącznie </t>
        </is>
      </c>
      <c r="B77" s="310" t="n"/>
      <c r="C77" s="180" t="n"/>
      <c r="D77" s="156" t="n"/>
      <c r="E77" s="169" t="n"/>
      <c r="AG77" s="585">
        <f>SUM(AG$3:AG76)</f>
        <v/>
      </c>
      <c r="AH77" s="586">
        <f>SUM(AH$3:AH76)</f>
        <v/>
      </c>
      <c r="AI77" s="586">
        <f>SUM(AI$3:AI76)</f>
        <v/>
      </c>
      <c r="AJ77" s="586">
        <f>SUM(AJ$3:AJ76)</f>
        <v/>
      </c>
      <c r="AK77" s="586">
        <f>SUM(AK$3:AK76)</f>
        <v/>
      </c>
      <c r="AL77" s="586">
        <f>SUM(AL$3:AL76)</f>
        <v/>
      </c>
      <c r="AM77" s="586">
        <f>SUM(AM$3:AM76)</f>
        <v/>
      </c>
      <c r="AN77" s="586">
        <f>SUM(AN$3:AN76)</f>
        <v/>
      </c>
      <c r="AO77" s="587">
        <f>SUM(AO$3:AO76)</f>
        <v/>
      </c>
      <c r="AP77" s="579">
        <f>SUM(AP$3:AP76)</f>
        <v/>
      </c>
      <c r="AQ77" s="580">
        <f>SUM(AQ$3:AQ76)</f>
        <v/>
      </c>
      <c r="AR77" s="580">
        <f>SUM(AR$3:AR76)</f>
        <v/>
      </c>
      <c r="AS77" s="581">
        <f>SUM(AS$3:AS76)</f>
        <v/>
      </c>
      <c r="AT77" s="572">
        <f>SUM(AT$3:AT76)</f>
        <v/>
      </c>
      <c r="AU77" s="573">
        <f>SUM(AU$3:AU76)</f>
        <v/>
      </c>
      <c r="AV77" s="573">
        <f>SUM(AV$3:AV76)</f>
        <v/>
      </c>
      <c r="AW77" s="574">
        <f>SUM(AW$3:AW76)</f>
        <v/>
      </c>
      <c r="AX77" s="684">
        <f>SUM(AX$3:AX76)</f>
        <v/>
      </c>
      <c r="AY77" s="41">
        <f>AY4+AY11+AY31+AY38+AY43+AY47+AY53+AY57+AY64+AY70+AY73+AY76</f>
        <v/>
      </c>
      <c r="BB77" s="41">
        <f>BB4+BB11+BB31+BB38+BB43+BB47+BB53+BB57+BB64+BB70+BB73+BB76</f>
        <v/>
      </c>
      <c r="BI77" s="41">
        <f>BI4+BI11+BI31+BI38+BI43+BI47+BI53+BI57+BI64+BI70+BI73+BI76</f>
        <v/>
      </c>
      <c r="BL77" s="41">
        <f>BL4+BL11+BL31+BL38+BL43+BL47+BL53+BL57+BL64+BL70+BL73+BL76</f>
        <v/>
      </c>
      <c r="BO77" s="41">
        <f>BO4+BO11+BO31+BO38+BO43+BO47+BO53+BO57+BO64+BO70+BO73+BO76</f>
        <v/>
      </c>
      <c r="BR77" s="41">
        <f>BR4+BR11+BR31+BR38+BR43+BR47+BR53+BR57+BR64+BR70+BR73+BR76</f>
        <v/>
      </c>
      <c r="BS77" s="41">
        <f>BS4+BS11+BS31+BS38+BS43+BS47+BS53+BS57+BS64+BS70+BS73+BS76</f>
        <v/>
      </c>
      <c r="BW77" s="41">
        <f>BW4+BW11+BW31+BW38+BW43+BW47+BW53+BW57+BW64+BW70+BW73+BW76</f>
        <v/>
      </c>
      <c r="CA77" s="41">
        <f>CA4+CA11+CA31+CA38+CA43+CA47+CA53+CA57+CA64+CA70+CA73+CA76</f>
        <v/>
      </c>
      <c r="CE77" s="41">
        <f>CE4+CE11+CE31+CE38+CE43+CE47+CE53+CE57+CE64+CE70+CE73+CE76</f>
        <v/>
      </c>
    </row>
    <row r="78" ht="15.75" customHeight="1" s="191">
      <c r="AG78" s="588">
        <f>Listy!$AA$1&amp;AG77/20</f>
        <v/>
      </c>
      <c r="AH78" s="589">
        <f>Listy!$AA$1&amp;AH77/20</f>
        <v/>
      </c>
      <c r="AI78" s="589">
        <f>Listy!$AA$1&amp;AI77/20</f>
        <v/>
      </c>
      <c r="AJ78" s="589">
        <f>Listy!$AA$1&amp;AJ77/20</f>
        <v/>
      </c>
      <c r="AK78" s="589">
        <f>Listy!$AA$1&amp;AK77/20</f>
        <v/>
      </c>
      <c r="AL78" s="589">
        <f>Listy!$AA$1&amp;AL77/20</f>
        <v/>
      </c>
      <c r="AM78" s="589">
        <f>Listy!$AA$1&amp;AM77/20</f>
        <v/>
      </c>
      <c r="AN78" s="589">
        <f>Listy!$AA$1&amp;AN77/20</f>
        <v/>
      </c>
      <c r="AO78" s="590">
        <f>Listy!$AA$1&amp;AO77/20</f>
        <v/>
      </c>
      <c r="AP78" s="582">
        <f>Listy!$AA$1&amp;AP77/20</f>
        <v/>
      </c>
      <c r="AQ78" s="583">
        <f>Listy!$AA$1&amp;AQ77/20</f>
        <v/>
      </c>
      <c r="AR78" s="583">
        <f>Listy!$AA$1&amp;AR77/20</f>
        <v/>
      </c>
      <c r="AS78" s="584">
        <f>Listy!$AA$1&amp;AS77/20</f>
        <v/>
      </c>
      <c r="AT78" s="575">
        <f>Listy!$AA$1&amp;AT77/20</f>
        <v/>
      </c>
      <c r="AU78" s="576">
        <f>Listy!$AA$1&amp;AU77/20</f>
        <v/>
      </c>
      <c r="AV78" s="576">
        <f>Listy!$AA$1&amp;AV77/20</f>
        <v/>
      </c>
      <c r="AW78" s="577">
        <f>Listy!$AA$1&amp;AW77/20</f>
        <v/>
      </c>
      <c r="AX78" s="591">
        <f>Listy!$AA$1&amp;AX77/20</f>
        <v/>
      </c>
      <c r="CF78" s="40">
        <f>CF4+CF31+#REF!+CF38+CF76+#REF!</f>
        <v/>
      </c>
    </row>
    <row r="79" ht="15.75" customHeight="1" s="191"/>
    <row r="80" ht="15.75" customHeight="1" s="191"/>
    <row r="81" ht="15.75" customHeight="1" s="191"/>
    <row r="82" ht="15.75" customHeight="1" s="191"/>
    <row r="83" ht="15.75" customHeight="1" s="191"/>
    <row r="84" ht="15.75" customHeight="1" s="191"/>
    <row r="85" ht="15.75" customHeight="1" s="191"/>
    <row r="86" ht="15.75" customHeight="1" s="191"/>
    <row r="87" ht="15.75" customHeight="1" s="191"/>
    <row r="88" ht="15.75" customHeight="1" s="191"/>
    <row r="89" ht="15.75" customHeight="1" s="191"/>
    <row r="90" ht="15.75" customHeight="1" s="191"/>
    <row r="91" ht="15.75" customHeight="1" s="191"/>
    <row r="92" ht="15.75" customHeight="1" s="191"/>
    <row r="93" ht="15.75" customHeight="1" s="191"/>
    <row r="94" ht="15.75" customHeight="1" s="191"/>
    <row r="95" ht="15.75" customHeight="1" s="191"/>
    <row r="96" ht="15.75" customHeight="1" s="191"/>
    <row r="97" ht="15.75" customHeight="1" s="191"/>
    <row r="98" ht="15.75" customHeight="1" s="191"/>
    <row r="99" ht="15.75" customHeight="1" s="191"/>
    <row r="100" ht="15.75" customHeight="1" s="191"/>
    <row r="101" ht="15.75" customHeight="1" s="191"/>
    <row r="102" ht="15.75" customHeight="1" s="191"/>
    <row r="103" ht="15.75" customHeight="1" s="191"/>
    <row r="104" ht="15.75" customHeight="1" s="191"/>
    <row r="105" ht="15.75" customHeight="1" s="191"/>
    <row r="106" ht="15.75" customHeight="1" s="191"/>
    <row r="107" ht="15.75" customHeight="1" s="191"/>
    <row r="108" ht="15.75" customHeight="1" s="191"/>
    <row r="109" ht="15.75" customHeight="1" s="191"/>
    <row r="110" ht="15.75" customHeight="1" s="191"/>
    <row r="111" ht="15.75" customHeight="1" s="191"/>
    <row r="112" ht="15.75" customHeight="1" s="191"/>
    <row r="113" ht="15.75" customHeight="1" s="191"/>
    <row r="114" ht="15.75" customHeight="1" s="191"/>
    <row r="115" ht="15.75" customHeight="1" s="191"/>
    <row r="116" ht="15.75" customHeight="1" s="191"/>
    <row r="117" ht="15.75" customHeight="1" s="191"/>
    <row r="118" ht="15.75" customHeight="1" s="191"/>
    <row r="119" ht="15.75" customHeight="1" s="191"/>
    <row r="120" ht="15.75" customHeight="1" s="191"/>
    <row r="121" ht="15.75" customHeight="1" s="191"/>
    <row r="122" ht="15.75" customHeight="1" s="191"/>
    <row r="123" ht="15.75" customHeight="1" s="191"/>
    <row r="124" ht="15.75" customHeight="1" s="191"/>
    <row r="125" ht="15.75" customHeight="1" s="191"/>
    <row r="126" ht="15.75" customHeight="1" s="191"/>
    <row r="127" ht="15.75" customHeight="1" s="191"/>
    <row r="128" ht="15.75" customHeight="1" s="191"/>
    <row r="129" ht="15.75" customHeight="1" s="191"/>
    <row r="130" ht="15.75" customHeight="1" s="191"/>
    <row r="131" ht="15.75" customHeight="1" s="191"/>
    <row r="132" ht="15.75" customHeight="1" s="191"/>
    <row r="133" ht="15.75" customHeight="1" s="191"/>
    <row r="134" ht="15.75" customHeight="1" s="191"/>
    <row r="135" ht="15.75" customHeight="1" s="191"/>
    <row r="136" ht="15.75" customHeight="1" s="191"/>
    <row r="137" ht="15.75" customHeight="1" s="191"/>
    <row r="138" ht="15.75" customHeight="1" s="191"/>
    <row r="139" ht="15.75" customHeight="1" s="191"/>
    <row r="140" ht="15.75" customHeight="1" s="191"/>
    <row r="141" ht="15.75" customHeight="1" s="191"/>
    <row r="142" ht="15.75" customHeight="1" s="191"/>
    <row r="143" ht="15.75" customHeight="1" s="191"/>
    <row r="144" ht="15.75" customHeight="1" s="191"/>
    <row r="145" ht="15.75" customHeight="1" s="191"/>
    <row r="146" ht="15.75" customHeight="1" s="191"/>
    <row r="147" ht="15.75" customHeight="1" s="191"/>
    <row r="148" ht="15.75" customHeight="1" s="191"/>
    <row r="149" ht="15.75" customHeight="1" s="191"/>
    <row r="150" ht="15.75" customHeight="1" s="191"/>
    <row r="151" ht="15.75" customHeight="1" s="191"/>
    <row r="152" ht="15.75" customHeight="1" s="191"/>
    <row r="153" ht="15.75" customHeight="1" s="191"/>
    <row r="154" ht="15.75" customHeight="1" s="191"/>
    <row r="155" ht="15.75" customHeight="1" s="191"/>
    <row r="156" ht="15.75" customHeight="1" s="191"/>
    <row r="157" ht="15.75" customHeight="1" s="191"/>
    <row r="158" ht="15.75" customHeight="1" s="191"/>
    <row r="159" ht="15.75" customHeight="1" s="191"/>
    <row r="160" ht="15.75" customHeight="1" s="191"/>
    <row r="161" ht="15.75" customHeight="1" s="191"/>
    <row r="162" ht="15.75" customHeight="1" s="191"/>
    <row r="163" ht="15.75" customHeight="1" s="191"/>
    <row r="164" ht="15.75" customHeight="1" s="191"/>
    <row r="165" ht="15.75" customHeight="1" s="191"/>
    <row r="166" ht="15.75" customHeight="1" s="191"/>
    <row r="167" ht="15.75" customHeight="1" s="191"/>
    <row r="168" ht="15.75" customHeight="1" s="191"/>
    <row r="169" ht="15.75" customHeight="1" s="191"/>
    <row r="170" ht="15.75" customHeight="1" s="191"/>
    <row r="171" ht="15.75" customHeight="1" s="191"/>
    <row r="172" ht="15.75" customHeight="1" s="191"/>
    <row r="173" ht="15.75" customHeight="1" s="191"/>
    <row r="174" ht="15.75" customHeight="1" s="191"/>
    <row r="175" ht="15.75" customHeight="1" s="191"/>
    <row r="176" ht="15.75" customHeight="1" s="191"/>
    <row r="177" ht="15.75" customHeight="1" s="191"/>
    <row r="178" ht="15.75" customHeight="1" s="191"/>
    <row r="179" ht="15.75" customHeight="1" s="191"/>
    <row r="180" ht="15.75" customHeight="1" s="191"/>
    <row r="181" ht="15.75" customHeight="1" s="191"/>
    <row r="182" ht="15.75" customHeight="1" s="191"/>
    <row r="183" ht="15.75" customHeight="1" s="191"/>
    <row r="184" ht="15.75" customHeight="1" s="191"/>
    <row r="185" ht="15.75" customHeight="1" s="191"/>
    <row r="186" ht="15.75" customHeight="1" s="191"/>
    <row r="187" ht="15.75" customHeight="1" s="191"/>
    <row r="188" ht="15.75" customHeight="1" s="191"/>
    <row r="189" ht="15.75" customHeight="1" s="191"/>
    <row r="190" ht="15.75" customHeight="1" s="191"/>
    <row r="191" ht="15.75" customHeight="1" s="191"/>
    <row r="192" ht="15.75" customHeight="1" s="191"/>
    <row r="193" ht="15.75" customHeight="1" s="191"/>
    <row r="194" ht="15.75" customHeight="1" s="191"/>
    <row r="195" ht="15.75" customHeight="1" s="191"/>
    <row r="196" ht="15.75" customHeight="1" s="191"/>
    <row r="197" ht="15.75" customHeight="1" s="191"/>
    <row r="198" ht="15.75" customHeight="1" s="191"/>
    <row r="199" ht="15.75" customHeight="1" s="191"/>
    <row r="200" ht="15.75" customHeight="1" s="191"/>
    <row r="201" ht="15.75" customHeight="1" s="191"/>
    <row r="202" ht="15.75" customHeight="1" s="191"/>
    <row r="203" ht="15.75" customHeight="1" s="191"/>
    <row r="204" ht="15.75" customHeight="1" s="191"/>
    <row r="205" ht="15.75" customHeight="1" s="191"/>
    <row r="206" ht="15.75" customHeight="1" s="191"/>
    <row r="207" ht="15.75" customHeight="1" s="191"/>
    <row r="208" ht="15.75" customHeight="1" s="191"/>
    <row r="209" ht="15.75" customHeight="1" s="191"/>
    <row r="210" ht="15.75" customHeight="1" s="191"/>
    <row r="211" ht="15.75" customHeight="1" s="191"/>
    <row r="212" ht="15.75" customHeight="1" s="191"/>
    <row r="213" ht="15.75" customHeight="1" s="191"/>
    <row r="214" ht="15.75" customHeight="1" s="191"/>
    <row r="215" ht="15.75" customHeight="1" s="191"/>
    <row r="216" ht="15.75" customHeight="1" s="191"/>
    <row r="217" ht="15.75" customHeight="1" s="191"/>
    <row r="218" ht="15.75" customHeight="1" s="191"/>
    <row r="219" ht="15.75" customHeight="1" s="191"/>
    <row r="220" ht="15.75" customHeight="1" s="191"/>
    <row r="221" ht="15.75" customHeight="1" s="191"/>
    <row r="222" ht="15.75" customHeight="1" s="191"/>
    <row r="223" ht="15.75" customHeight="1" s="191"/>
    <row r="224" ht="15.75" customHeight="1" s="191"/>
    <row r="225" ht="15.75" customHeight="1" s="191"/>
    <row r="226" ht="15.75" customHeight="1" s="191"/>
    <row r="227" ht="15.75" customHeight="1" s="191"/>
    <row r="228" ht="15.75" customHeight="1" s="191"/>
    <row r="229" ht="15.75" customHeight="1" s="191"/>
    <row r="230" ht="15.75" customHeight="1" s="191"/>
    <row r="231" ht="15.75" customHeight="1" s="191"/>
    <row r="232" ht="15.75" customHeight="1" s="191"/>
    <row r="233" ht="15.75" customHeight="1" s="191"/>
    <row r="234" ht="15.75" customHeight="1" s="191"/>
    <row r="235" ht="15.75" customHeight="1" s="191"/>
    <row r="236" ht="15.75" customHeight="1" s="191"/>
    <row r="237" ht="15.75" customHeight="1" s="191"/>
    <row r="238" ht="15.75" customHeight="1" s="191"/>
    <row r="239" ht="15.75" customHeight="1" s="191"/>
    <row r="240" ht="15.75" customHeight="1" s="191"/>
    <row r="241" ht="15.75" customHeight="1" s="191"/>
    <row r="242" ht="15.75" customHeight="1" s="191"/>
    <row r="243" ht="15.75" customHeight="1" s="191"/>
    <row r="244" ht="15.75" customHeight="1" s="191"/>
    <row r="245" ht="15.75" customHeight="1" s="191"/>
    <row r="246" ht="15.75" customHeight="1" s="191"/>
    <row r="247" ht="15.75" customHeight="1" s="191"/>
    <row r="248" ht="15.75" customHeight="1" s="191"/>
    <row r="249" ht="15.75" customHeight="1" s="191"/>
    <row r="250" ht="15.75" customHeight="1" s="191"/>
    <row r="251" ht="15.75" customHeight="1" s="191"/>
    <row r="252" ht="15.75" customHeight="1" s="191"/>
    <row r="253" ht="15.75" customHeight="1" s="191"/>
    <row r="254" ht="15.75" customHeight="1" s="191"/>
    <row r="255" ht="15.75" customHeight="1" s="191"/>
    <row r="256" ht="15.75" customHeight="1" s="191"/>
    <row r="257" ht="15.75" customHeight="1" s="191"/>
    <row r="258" ht="15.75" customHeight="1" s="191"/>
    <row r="259" ht="15.75" customHeight="1" s="191"/>
    <row r="260" ht="15.75" customHeight="1" s="191"/>
    <row r="261" ht="15.75" customHeight="1" s="191"/>
    <row r="262" ht="15.75" customHeight="1" s="191"/>
    <row r="263" ht="15.75" customHeight="1" s="191"/>
    <row r="264" ht="15.75" customHeight="1" s="191"/>
    <row r="265" ht="15.75" customHeight="1" s="191"/>
    <row r="266" ht="15.75" customHeight="1" s="191"/>
    <row r="267" ht="15.75" customHeight="1" s="191"/>
    <row r="268" ht="15.75" customHeight="1" s="191"/>
    <row r="269" ht="15.75" customHeight="1" s="191"/>
    <row r="270" ht="15.75" customHeight="1" s="191"/>
    <row r="271" ht="15.75" customHeight="1" s="191"/>
    <row r="272" ht="15.75" customHeight="1" s="191"/>
    <row r="273" ht="15.75" customHeight="1" s="191"/>
    <row r="274" ht="15.75" customHeight="1" s="191"/>
    <row r="275" ht="15.75" customHeight="1" s="191"/>
    <row r="276" ht="15.75" customHeight="1" s="191"/>
    <row r="277" ht="15.75" customHeight="1" s="191"/>
    <row r="278" ht="15.75" customHeight="1" s="191"/>
    <row r="279" ht="15.75" customHeight="1" s="191"/>
    <row r="280" ht="15.75" customHeight="1" s="191"/>
    <row r="281" ht="15.75" customHeight="1" s="191"/>
    <row r="282" ht="15.75" customHeight="1" s="191"/>
    <row r="283" ht="15.75" customHeight="1" s="191"/>
    <row r="284" ht="15.75" customHeight="1" s="191"/>
    <row r="285" ht="15.75" customHeight="1" s="191"/>
    <row r="286" ht="15.75" customHeight="1" s="191"/>
    <row r="287" ht="15.75" customHeight="1" s="191"/>
    <row r="288" ht="15.75" customHeight="1" s="191"/>
    <row r="289" ht="15.75" customHeight="1" s="191"/>
    <row r="290" ht="15.75" customHeight="1" s="191"/>
    <row r="291" ht="15.75" customHeight="1" s="191"/>
    <row r="292" ht="15.75" customHeight="1" s="191"/>
    <row r="293" ht="15.75" customHeight="1" s="191"/>
    <row r="294" ht="15.75" customHeight="1" s="191"/>
    <row r="295" ht="15.75" customHeight="1" s="191"/>
    <row r="296" ht="15.75" customHeight="1" s="191"/>
    <row r="297" ht="15.75" customHeight="1" s="191"/>
    <row r="298" ht="15.75" customHeight="1" s="191"/>
    <row r="299" ht="15.75" customHeight="1" s="191"/>
    <row r="300" ht="15.75" customHeight="1" s="191"/>
    <row r="301" ht="15.75" customHeight="1" s="191"/>
    <row r="302" ht="15.75" customHeight="1" s="191"/>
    <row r="303" ht="15.75" customHeight="1" s="191"/>
    <row r="304" ht="15.75" customHeight="1" s="191"/>
    <row r="305" ht="15.75" customHeight="1" s="191"/>
    <row r="306" ht="15.75" customHeight="1" s="191"/>
    <row r="307" ht="15.75" customHeight="1" s="191"/>
    <row r="308" ht="15.75" customHeight="1" s="191"/>
    <row r="309" ht="15.75" customHeight="1" s="191"/>
    <row r="310" ht="15.75" customHeight="1" s="191"/>
    <row r="311" ht="15.75" customHeight="1" s="191"/>
    <row r="312" ht="15.75" customHeight="1" s="191"/>
    <row r="313" ht="15.75" customHeight="1" s="191"/>
    <row r="314" ht="15.75" customHeight="1" s="191"/>
    <row r="315" ht="15.75" customHeight="1" s="191"/>
    <row r="316" ht="15.75" customHeight="1" s="191"/>
    <row r="317" ht="15.75" customHeight="1" s="191"/>
    <row r="318" ht="15.75" customHeight="1" s="191"/>
    <row r="319" ht="15.75" customHeight="1" s="191"/>
    <row r="320" ht="15.75" customHeight="1" s="191"/>
    <row r="321" ht="15.75" customHeight="1" s="191"/>
    <row r="322" ht="15.75" customHeight="1" s="191"/>
    <row r="323" ht="15.75" customHeight="1" s="191"/>
    <row r="324" ht="15.75" customHeight="1" s="191"/>
    <row r="325" ht="15.75" customHeight="1" s="191"/>
    <row r="326" ht="15.75" customHeight="1" s="191"/>
    <row r="327" ht="15.75" customHeight="1" s="191"/>
    <row r="328" ht="15.75" customHeight="1" s="191"/>
    <row r="329" ht="15.75" customHeight="1" s="191"/>
    <row r="330" ht="15.75" customHeight="1" s="191"/>
    <row r="331" ht="15.75" customHeight="1" s="191"/>
    <row r="332" ht="15.75" customHeight="1" s="191"/>
    <row r="333" ht="15.75" customHeight="1" s="191"/>
    <row r="334" ht="15.75" customHeight="1" s="191"/>
    <row r="335" ht="15.75" customHeight="1" s="191"/>
    <row r="336" ht="15.75" customHeight="1" s="191"/>
    <row r="337" ht="15.75" customHeight="1" s="191"/>
    <row r="338" ht="15.75" customHeight="1" s="191"/>
    <row r="339" ht="15.75" customHeight="1" s="191"/>
    <row r="340" ht="15.75" customHeight="1" s="191"/>
    <row r="341" ht="15.75" customHeight="1" s="191"/>
    <row r="342" ht="15.75" customHeight="1" s="191"/>
    <row r="343" ht="15.75" customHeight="1" s="191"/>
    <row r="344" ht="15.75" customHeight="1" s="191"/>
    <row r="345" ht="15.75" customHeight="1" s="191"/>
    <row r="346" ht="15.75" customHeight="1" s="191"/>
    <row r="347" ht="15.75" customHeight="1" s="191"/>
    <row r="348" ht="15.75" customHeight="1" s="191"/>
    <row r="349" ht="15.75" customHeight="1" s="191"/>
    <row r="350" ht="15.75" customHeight="1" s="191"/>
    <row r="351" ht="15.75" customHeight="1" s="191"/>
    <row r="352" ht="15.75" customHeight="1" s="191"/>
    <row r="353" ht="15.75" customHeight="1" s="191"/>
    <row r="354" ht="15.75" customHeight="1" s="191"/>
    <row r="355" ht="15.75" customHeight="1" s="191"/>
    <row r="356" ht="15.75" customHeight="1" s="191"/>
    <row r="357" ht="15.75" customHeight="1" s="191"/>
    <row r="358" ht="15.75" customHeight="1" s="191"/>
    <row r="359" ht="15.75" customHeight="1" s="191"/>
    <row r="360" ht="15.75" customHeight="1" s="191"/>
    <row r="361" ht="15.75" customHeight="1" s="191"/>
    <row r="362" ht="15.75" customHeight="1" s="191"/>
    <row r="363" ht="15.75" customHeight="1" s="191"/>
    <row r="364" ht="15.75" customHeight="1" s="191"/>
    <row r="365" ht="15.75" customHeight="1" s="191"/>
    <row r="366" ht="15.75" customHeight="1" s="191"/>
    <row r="367" ht="15.75" customHeight="1" s="191"/>
    <row r="368" ht="15.75" customHeight="1" s="191"/>
    <row r="369" ht="15.75" customHeight="1" s="191"/>
    <row r="370" ht="15.75" customHeight="1" s="191"/>
    <row r="371" ht="15.75" customHeight="1" s="191"/>
    <row r="372" ht="15.75" customHeight="1" s="191"/>
    <row r="373" ht="15.75" customHeight="1" s="191"/>
    <row r="374" ht="15.75" customHeight="1" s="191"/>
    <row r="375" ht="15.75" customHeight="1" s="191"/>
    <row r="376" ht="15.75" customHeight="1" s="191"/>
    <row r="377" ht="15.75" customHeight="1" s="191"/>
    <row r="378" ht="15.75" customHeight="1" s="191"/>
    <row r="379" ht="15.75" customHeight="1" s="191"/>
    <row r="380" ht="15.75" customHeight="1" s="191"/>
    <row r="381" ht="15.75" customHeight="1" s="191"/>
    <row r="382" ht="15.75" customHeight="1" s="191"/>
    <row r="383" ht="15.75" customHeight="1" s="191"/>
    <row r="384" ht="15.75" customHeight="1" s="191"/>
    <row r="385" ht="15.75" customHeight="1" s="191"/>
    <row r="386" ht="15.75" customHeight="1" s="191"/>
    <row r="387" ht="15.75" customHeight="1" s="191"/>
    <row r="388" ht="15.75" customHeight="1" s="191"/>
    <row r="389" ht="15.75" customHeight="1" s="191"/>
    <row r="390" ht="15.75" customHeight="1" s="191"/>
    <row r="391" ht="15.75" customHeight="1" s="191"/>
    <row r="392" ht="15.75" customHeight="1" s="191"/>
    <row r="393" ht="15.75" customHeight="1" s="191"/>
    <row r="394" ht="15.75" customHeight="1" s="191"/>
    <row r="395" ht="15.75" customHeight="1" s="191"/>
    <row r="396" ht="15.75" customHeight="1" s="191"/>
    <row r="397" ht="15.75" customHeight="1" s="191"/>
    <row r="398" ht="15.75" customHeight="1" s="191"/>
    <row r="399" ht="15.75" customHeight="1" s="191"/>
    <row r="400" ht="15.75" customHeight="1" s="191"/>
    <row r="401" ht="15.75" customHeight="1" s="191"/>
    <row r="402" ht="15.75" customHeight="1" s="191"/>
    <row r="403" ht="15.75" customHeight="1" s="191"/>
    <row r="404" ht="15.75" customHeight="1" s="191"/>
    <row r="405" ht="15.75" customHeight="1" s="191"/>
    <row r="406" ht="15.75" customHeight="1" s="191"/>
    <row r="407" ht="15.75" customHeight="1" s="191"/>
    <row r="408" ht="15.75" customHeight="1" s="191"/>
    <row r="409" ht="15.75" customHeight="1" s="191"/>
    <row r="410" ht="15.75" customHeight="1" s="191"/>
    <row r="411" ht="15.75" customHeight="1" s="191"/>
    <row r="412" ht="15.75" customHeight="1" s="191"/>
    <row r="413" ht="15.75" customHeight="1" s="191"/>
    <row r="414" ht="15.75" customHeight="1" s="191"/>
    <row r="415" ht="15.75" customHeight="1" s="191"/>
    <row r="416" ht="15.75" customHeight="1" s="191"/>
    <row r="417" ht="15.75" customHeight="1" s="191"/>
    <row r="418" ht="15.75" customHeight="1" s="191"/>
    <row r="419" ht="15.75" customHeight="1" s="191"/>
    <row r="420" ht="15.75" customHeight="1" s="191"/>
    <row r="421" ht="15.75" customHeight="1" s="191"/>
    <row r="422" ht="15.75" customHeight="1" s="191"/>
    <row r="423" ht="15.75" customHeight="1" s="191"/>
    <row r="424" ht="15.75" customHeight="1" s="191"/>
    <row r="425" ht="15.75" customHeight="1" s="191"/>
    <row r="426" ht="15.75" customHeight="1" s="191"/>
    <row r="427" ht="15.75" customHeight="1" s="191"/>
    <row r="428" ht="15.75" customHeight="1" s="191"/>
    <row r="429" ht="15.75" customHeight="1" s="191"/>
    <row r="430" ht="15.75" customHeight="1" s="191"/>
    <row r="431" ht="15.75" customHeight="1" s="191"/>
    <row r="432" ht="15.75" customHeight="1" s="191"/>
    <row r="433" ht="15.75" customHeight="1" s="191"/>
    <row r="434" ht="15.75" customHeight="1" s="191"/>
    <row r="435" ht="15.75" customHeight="1" s="191"/>
    <row r="436" ht="15.75" customHeight="1" s="191"/>
    <row r="437" ht="15.75" customHeight="1" s="191"/>
    <row r="438" ht="15.75" customHeight="1" s="191"/>
    <row r="439" ht="15.75" customHeight="1" s="191"/>
    <row r="440" ht="15.75" customHeight="1" s="191"/>
    <row r="441" ht="15.75" customHeight="1" s="191"/>
    <row r="442" ht="15.75" customHeight="1" s="191"/>
    <row r="443" ht="15.75" customHeight="1" s="191"/>
    <row r="444" ht="15.75" customHeight="1" s="191"/>
    <row r="445" ht="15.75" customHeight="1" s="191"/>
    <row r="446" ht="15.75" customHeight="1" s="191"/>
    <row r="447" ht="15.75" customHeight="1" s="191"/>
    <row r="448" ht="15.75" customHeight="1" s="191"/>
    <row r="449" ht="15.75" customHeight="1" s="191"/>
    <row r="450" ht="15.75" customHeight="1" s="191"/>
    <row r="451" ht="15.75" customHeight="1" s="191"/>
    <row r="452" ht="15.75" customHeight="1" s="191"/>
    <row r="453" ht="15.75" customHeight="1" s="191"/>
    <row r="454" ht="15.75" customHeight="1" s="191"/>
    <row r="455" ht="15.75" customHeight="1" s="191"/>
    <row r="456" ht="15.75" customHeight="1" s="191"/>
    <row r="457" ht="15.75" customHeight="1" s="191"/>
    <row r="458" ht="15.75" customHeight="1" s="191"/>
    <row r="459" ht="15.75" customHeight="1" s="191"/>
    <row r="460" ht="15.75" customHeight="1" s="191"/>
    <row r="461" ht="15.75" customHeight="1" s="191"/>
    <row r="462" ht="15.75" customHeight="1" s="191"/>
    <row r="463" ht="15.75" customHeight="1" s="191"/>
    <row r="464" ht="15.75" customHeight="1" s="191"/>
    <row r="465" ht="15.75" customHeight="1" s="191"/>
    <row r="466" ht="15.75" customHeight="1" s="191"/>
    <row r="467" ht="15.75" customHeight="1" s="191"/>
    <row r="468" ht="15.75" customHeight="1" s="191"/>
    <row r="469" ht="15.75" customHeight="1" s="191"/>
    <row r="470" ht="15.75" customHeight="1" s="191"/>
    <row r="471" ht="15.75" customHeight="1" s="191"/>
    <row r="472" ht="15.75" customHeight="1" s="191"/>
    <row r="473" ht="15.75" customHeight="1" s="191"/>
    <row r="474" ht="15.75" customHeight="1" s="191"/>
    <row r="475" ht="15.75" customHeight="1" s="191"/>
    <row r="476" ht="15.75" customHeight="1" s="191"/>
    <row r="477" ht="15.75" customHeight="1" s="191"/>
    <row r="478" ht="15.75" customHeight="1" s="191"/>
    <row r="479" ht="15.75" customHeight="1" s="191"/>
    <row r="480" ht="15.75" customHeight="1" s="191"/>
    <row r="481" ht="15.75" customHeight="1" s="191"/>
    <row r="482" ht="15.75" customHeight="1" s="191"/>
    <row r="483" ht="15.75" customHeight="1" s="191"/>
    <row r="484" ht="15.75" customHeight="1" s="191"/>
    <row r="485" ht="15.75" customHeight="1" s="191"/>
    <row r="486" ht="15.75" customHeight="1" s="191"/>
    <row r="487" ht="15.75" customHeight="1" s="191"/>
    <row r="488" ht="15.75" customHeight="1" s="191"/>
    <row r="489" ht="15.75" customHeight="1" s="191"/>
    <row r="490" ht="15.75" customHeight="1" s="191"/>
    <row r="491" ht="15.75" customHeight="1" s="191"/>
    <row r="492" ht="15.75" customHeight="1" s="191"/>
    <row r="493" ht="15.75" customHeight="1" s="191"/>
    <row r="494" ht="15.75" customHeight="1" s="191"/>
    <row r="495" ht="15.75" customHeight="1" s="191"/>
    <row r="496" ht="15.75" customHeight="1" s="191"/>
    <row r="497" ht="15.75" customHeight="1" s="191"/>
    <row r="498" ht="15.75" customHeight="1" s="191"/>
    <row r="499" ht="15.75" customHeight="1" s="191"/>
    <row r="500" ht="15.75" customHeight="1" s="191"/>
    <row r="501" ht="15.75" customHeight="1" s="191"/>
    <row r="502" ht="15.75" customHeight="1" s="191"/>
    <row r="503" ht="15.75" customHeight="1" s="191"/>
    <row r="504" ht="15.75" customHeight="1" s="191"/>
    <row r="505" ht="15.75" customHeight="1" s="191"/>
    <row r="506" ht="15.75" customHeight="1" s="191"/>
    <row r="507" ht="15.75" customHeight="1" s="191"/>
    <row r="508" ht="15.75" customHeight="1" s="191"/>
    <row r="509" ht="15.75" customHeight="1" s="191"/>
    <row r="510" ht="15.75" customHeight="1" s="191"/>
    <row r="511" ht="15.75" customHeight="1" s="191"/>
    <row r="512" ht="15.75" customHeight="1" s="191"/>
    <row r="513" ht="15.75" customHeight="1" s="191"/>
    <row r="514" ht="15.75" customHeight="1" s="191"/>
    <row r="515" ht="15.75" customHeight="1" s="191"/>
    <row r="516" ht="15.75" customHeight="1" s="191"/>
    <row r="517" ht="15.75" customHeight="1" s="191"/>
    <row r="518" ht="15.75" customHeight="1" s="191"/>
    <row r="519" ht="15.75" customHeight="1" s="191"/>
    <row r="520" ht="15.75" customHeight="1" s="191"/>
    <row r="521" ht="15.75" customHeight="1" s="191"/>
    <row r="522" ht="15.75" customHeight="1" s="191"/>
    <row r="523" ht="15.75" customHeight="1" s="191"/>
    <row r="524" ht="15.75" customHeight="1" s="191"/>
    <row r="525" ht="15.75" customHeight="1" s="191"/>
    <row r="526" ht="15.75" customHeight="1" s="191"/>
    <row r="527" ht="15.75" customHeight="1" s="191"/>
    <row r="528" ht="15.75" customHeight="1" s="191"/>
    <row r="529" ht="15.75" customHeight="1" s="191"/>
    <row r="530" ht="15.75" customHeight="1" s="191"/>
    <row r="531" ht="15.75" customHeight="1" s="191"/>
    <row r="532" ht="15.75" customHeight="1" s="191"/>
    <row r="533" ht="15.75" customHeight="1" s="191"/>
    <row r="534" ht="15.75" customHeight="1" s="191"/>
    <row r="535" ht="15.75" customHeight="1" s="191"/>
    <row r="536" ht="15.75" customHeight="1" s="191"/>
    <row r="537" ht="15.75" customHeight="1" s="191"/>
    <row r="538" ht="15.75" customHeight="1" s="191"/>
    <row r="539" ht="15.75" customHeight="1" s="191"/>
    <row r="540" ht="15.75" customHeight="1" s="191"/>
    <row r="541" ht="15.75" customHeight="1" s="191"/>
    <row r="542" ht="15.75" customHeight="1" s="191"/>
    <row r="543" ht="15.75" customHeight="1" s="191"/>
    <row r="544" ht="15.75" customHeight="1" s="191"/>
    <row r="545" ht="15.75" customHeight="1" s="191"/>
    <row r="546" ht="15.75" customHeight="1" s="191"/>
    <row r="547" ht="15.75" customHeight="1" s="191"/>
    <row r="548" ht="15.75" customHeight="1" s="191"/>
    <row r="549" ht="15.75" customHeight="1" s="191"/>
    <row r="550" ht="15.75" customHeight="1" s="191"/>
    <row r="551" ht="15.75" customHeight="1" s="191"/>
    <row r="552" ht="15.75" customHeight="1" s="191"/>
    <row r="553" ht="15.75" customHeight="1" s="191"/>
    <row r="554" ht="15.75" customHeight="1" s="191"/>
    <row r="555" ht="15.75" customHeight="1" s="191"/>
    <row r="556" ht="15.75" customHeight="1" s="191"/>
    <row r="557" ht="15.75" customHeight="1" s="191"/>
    <row r="558" ht="15.75" customHeight="1" s="191"/>
    <row r="559" ht="15.75" customHeight="1" s="191"/>
    <row r="560" ht="15.75" customHeight="1" s="191"/>
    <row r="561" ht="15.75" customHeight="1" s="191"/>
    <row r="562" ht="15.75" customHeight="1" s="191"/>
    <row r="563" ht="15.75" customHeight="1" s="191"/>
    <row r="564" ht="15.75" customHeight="1" s="191"/>
    <row r="565" ht="15.75" customHeight="1" s="191"/>
    <row r="566" ht="15.75" customHeight="1" s="191"/>
    <row r="567" ht="15.75" customHeight="1" s="191"/>
    <row r="568" ht="15.75" customHeight="1" s="191"/>
    <row r="569" ht="15.75" customHeight="1" s="191"/>
    <row r="570" ht="15.75" customHeight="1" s="191"/>
    <row r="571" ht="15.75" customHeight="1" s="191"/>
    <row r="572" ht="15.75" customHeight="1" s="191"/>
    <row r="573" ht="15.75" customHeight="1" s="191"/>
    <row r="574" ht="15.75" customHeight="1" s="191"/>
    <row r="575" ht="15.75" customHeight="1" s="191"/>
    <row r="576" ht="15.75" customHeight="1" s="191"/>
    <row r="577" ht="15.75" customHeight="1" s="191"/>
    <row r="578" ht="15.75" customHeight="1" s="191"/>
    <row r="579" ht="15.75" customHeight="1" s="191"/>
    <row r="580" ht="15.75" customHeight="1" s="191"/>
    <row r="581" ht="15.75" customHeight="1" s="191"/>
    <row r="582" ht="15.75" customHeight="1" s="191"/>
    <row r="583" ht="15.75" customHeight="1" s="191"/>
    <row r="584" ht="15.75" customHeight="1" s="191"/>
    <row r="585" ht="15.75" customHeight="1" s="191"/>
    <row r="586" ht="15.75" customHeight="1" s="191"/>
    <row r="587" ht="15.75" customHeight="1" s="191"/>
    <row r="588" ht="15.75" customHeight="1" s="191"/>
    <row r="589" ht="15.75" customHeight="1" s="191"/>
    <row r="590" ht="15.75" customHeight="1" s="191"/>
    <row r="591" ht="15.75" customHeight="1" s="191"/>
    <row r="592" ht="15.75" customHeight="1" s="191"/>
    <row r="593" ht="15.75" customHeight="1" s="191"/>
    <row r="594" ht="15.75" customHeight="1" s="191"/>
    <row r="595" ht="15.75" customHeight="1" s="191"/>
    <row r="596" ht="15.75" customHeight="1" s="191"/>
    <row r="597" ht="15.75" customHeight="1" s="191"/>
    <row r="598" ht="15.75" customHeight="1" s="191"/>
    <row r="599" ht="15.75" customHeight="1" s="191"/>
    <row r="600" ht="15.75" customHeight="1" s="191"/>
    <row r="601" ht="15.75" customHeight="1" s="191"/>
    <row r="602" ht="15.75" customHeight="1" s="191"/>
    <row r="603" ht="15.75" customHeight="1" s="191"/>
    <row r="604" ht="15.75" customHeight="1" s="191"/>
    <row r="605" ht="15.75" customHeight="1" s="191"/>
    <row r="606" ht="15.75" customHeight="1" s="191"/>
    <row r="607" ht="15.75" customHeight="1" s="191"/>
    <row r="608" ht="15.75" customHeight="1" s="191"/>
    <row r="609" ht="15.75" customHeight="1" s="191"/>
    <row r="610" ht="15.75" customHeight="1" s="191"/>
    <row r="611" ht="15.75" customHeight="1" s="191"/>
    <row r="612" ht="15.75" customHeight="1" s="191"/>
    <row r="613" ht="15.75" customHeight="1" s="191"/>
    <row r="614" ht="15.75" customHeight="1" s="191"/>
    <row r="615" ht="15.75" customHeight="1" s="191"/>
    <row r="616" ht="15.75" customHeight="1" s="191"/>
    <row r="617" ht="15.75" customHeight="1" s="191"/>
    <row r="618" ht="15.75" customHeight="1" s="191"/>
    <row r="619" ht="15.75" customHeight="1" s="191"/>
    <row r="620" ht="15.75" customHeight="1" s="191"/>
    <row r="621" ht="15.75" customHeight="1" s="191"/>
    <row r="622" ht="15.75" customHeight="1" s="191"/>
    <row r="623" ht="15.75" customHeight="1" s="191"/>
    <row r="624" ht="15.75" customHeight="1" s="191"/>
    <row r="625" ht="15.75" customHeight="1" s="191"/>
    <row r="626" ht="15.75" customHeight="1" s="191"/>
    <row r="627" ht="15.75" customHeight="1" s="191"/>
    <row r="628" ht="15.75" customHeight="1" s="191"/>
    <row r="629" ht="15.75" customHeight="1" s="191"/>
    <row r="630" ht="15.75" customHeight="1" s="191"/>
    <row r="631" ht="15.75" customHeight="1" s="191"/>
    <row r="632" ht="15.75" customHeight="1" s="191"/>
    <row r="633" ht="15.75" customHeight="1" s="191"/>
    <row r="634" ht="15.75" customHeight="1" s="191"/>
    <row r="635" ht="15.75" customHeight="1" s="191"/>
    <row r="636" ht="15.75" customHeight="1" s="191"/>
    <row r="637" ht="15.75" customHeight="1" s="191"/>
    <row r="638" ht="15.75" customHeight="1" s="191"/>
    <row r="639" ht="15.75" customHeight="1" s="191"/>
    <row r="640" ht="15.75" customHeight="1" s="191"/>
    <row r="641" ht="15.75" customHeight="1" s="191"/>
    <row r="642" ht="15.75" customHeight="1" s="191"/>
    <row r="643" ht="15.75" customHeight="1" s="191"/>
    <row r="644" ht="15.75" customHeight="1" s="191"/>
    <row r="645" ht="15.75" customHeight="1" s="191"/>
    <row r="646" ht="15.75" customHeight="1" s="191"/>
    <row r="647" ht="15.75" customHeight="1" s="191"/>
    <row r="648" ht="15.75" customHeight="1" s="191"/>
    <row r="649" ht="15.75" customHeight="1" s="191"/>
    <row r="650" ht="15.75" customHeight="1" s="191"/>
    <row r="651" ht="15.75" customHeight="1" s="191"/>
    <row r="652" ht="15.75" customHeight="1" s="191"/>
    <row r="653" ht="15.75" customHeight="1" s="191"/>
    <row r="654" ht="15.75" customHeight="1" s="191"/>
    <row r="655" ht="15.75" customHeight="1" s="191"/>
    <row r="656" ht="15.75" customHeight="1" s="191"/>
    <row r="657" ht="15.75" customHeight="1" s="191"/>
    <row r="658" ht="15.75" customHeight="1" s="191"/>
    <row r="659" ht="15.75" customHeight="1" s="191"/>
    <row r="660" ht="15.75" customHeight="1" s="191"/>
    <row r="661" ht="15.75" customHeight="1" s="191"/>
    <row r="662" ht="15.75" customHeight="1" s="191"/>
    <row r="663" ht="15.75" customHeight="1" s="191"/>
    <row r="664" ht="15.75" customHeight="1" s="191"/>
    <row r="665" ht="15.75" customHeight="1" s="191"/>
    <row r="666" ht="15.75" customHeight="1" s="191"/>
    <row r="667" ht="15.75" customHeight="1" s="191"/>
    <row r="668" ht="15.75" customHeight="1" s="191"/>
    <row r="669" ht="15.75" customHeight="1" s="191"/>
    <row r="670" ht="15.75" customHeight="1" s="191"/>
    <row r="671" ht="15.75" customHeight="1" s="191"/>
    <row r="672" ht="15.75" customHeight="1" s="191"/>
    <row r="673" ht="15.75" customHeight="1" s="191"/>
    <row r="674" ht="15.75" customHeight="1" s="191"/>
    <row r="675" ht="15.75" customHeight="1" s="191"/>
    <row r="676" ht="15.75" customHeight="1" s="191"/>
    <row r="677" ht="15.75" customHeight="1" s="191"/>
    <row r="678" ht="15.75" customHeight="1" s="191"/>
    <row r="679" ht="15.75" customHeight="1" s="191"/>
    <row r="680" ht="15.75" customHeight="1" s="191"/>
    <row r="681" ht="15.75" customHeight="1" s="191"/>
    <row r="682" ht="15.75" customHeight="1" s="191"/>
    <row r="683" ht="15.75" customHeight="1" s="191"/>
    <row r="684" ht="15.75" customHeight="1" s="191"/>
    <row r="685" ht="15.75" customHeight="1" s="191"/>
    <row r="686" ht="15.75" customHeight="1" s="191"/>
    <row r="687" ht="15.75" customHeight="1" s="191"/>
    <row r="688" ht="15.75" customHeight="1" s="191"/>
    <row r="689" ht="15.75" customHeight="1" s="191"/>
    <row r="690" ht="15.75" customHeight="1" s="191"/>
    <row r="691" ht="15.75" customHeight="1" s="191"/>
    <row r="692" ht="15.75" customHeight="1" s="191"/>
    <row r="693" ht="15.75" customHeight="1" s="191"/>
    <row r="694" ht="15.75" customHeight="1" s="191"/>
    <row r="695" ht="15.75" customHeight="1" s="191"/>
    <row r="696" ht="15.75" customHeight="1" s="191"/>
    <row r="697" ht="15.75" customHeight="1" s="191"/>
    <row r="698" ht="15.75" customHeight="1" s="191"/>
    <row r="699" ht="15.75" customHeight="1" s="191"/>
    <row r="700" ht="15.75" customHeight="1" s="191"/>
    <row r="701" ht="15.75" customHeight="1" s="191"/>
    <row r="702" ht="15.75" customHeight="1" s="191"/>
    <row r="703" ht="15.75" customHeight="1" s="191"/>
    <row r="704" ht="15.75" customHeight="1" s="191"/>
    <row r="705" ht="15.75" customHeight="1" s="191"/>
    <row r="706" ht="15.75" customHeight="1" s="191"/>
    <row r="707" ht="15.75" customHeight="1" s="191"/>
    <row r="708" ht="15.75" customHeight="1" s="191"/>
    <row r="709" ht="15.75" customHeight="1" s="191"/>
    <row r="710" ht="15.75" customHeight="1" s="191"/>
    <row r="711" ht="15.75" customHeight="1" s="191"/>
    <row r="712" ht="15.75" customHeight="1" s="191"/>
    <row r="713" ht="15.75" customHeight="1" s="191"/>
    <row r="714" ht="15.75" customHeight="1" s="191"/>
    <row r="715" ht="15.75" customHeight="1" s="191"/>
    <row r="716" ht="15.75" customHeight="1" s="191"/>
    <row r="717" ht="15.75" customHeight="1" s="191"/>
    <row r="718" ht="15.75" customHeight="1" s="191"/>
    <row r="719" ht="15.75" customHeight="1" s="191"/>
    <row r="720" ht="15.75" customHeight="1" s="191"/>
    <row r="721" ht="15.75" customHeight="1" s="191"/>
    <row r="722" ht="15.75" customHeight="1" s="191"/>
    <row r="723" ht="15.75" customHeight="1" s="191"/>
    <row r="724" ht="15.75" customHeight="1" s="191"/>
    <row r="725" ht="15.75" customHeight="1" s="191"/>
    <row r="726" ht="15.75" customHeight="1" s="191"/>
    <row r="727" ht="15.75" customHeight="1" s="191"/>
    <row r="728" ht="15.75" customHeight="1" s="191"/>
    <row r="729" ht="15.75" customHeight="1" s="191"/>
    <row r="730" ht="15.75" customHeight="1" s="191"/>
    <row r="731" ht="15.75" customHeight="1" s="191"/>
    <row r="732" ht="15.75" customHeight="1" s="191"/>
    <row r="733" ht="15.75" customHeight="1" s="191"/>
    <row r="734" ht="15.75" customHeight="1" s="191"/>
    <row r="735" ht="15.75" customHeight="1" s="191"/>
    <row r="736" ht="15.75" customHeight="1" s="191"/>
    <row r="737" ht="15.75" customHeight="1" s="191"/>
    <row r="738" ht="15.75" customHeight="1" s="191"/>
    <row r="739" ht="15.75" customHeight="1" s="191"/>
    <row r="740" ht="15.75" customHeight="1" s="191"/>
    <row r="741" ht="15.75" customHeight="1" s="191"/>
    <row r="742" ht="15.75" customHeight="1" s="191"/>
    <row r="743" ht="15.75" customHeight="1" s="191"/>
    <row r="744" ht="15.75" customHeight="1" s="191"/>
    <row r="745" ht="15.75" customHeight="1" s="191"/>
    <row r="746" ht="15.75" customHeight="1" s="191"/>
    <row r="747" ht="15.75" customHeight="1" s="191"/>
    <row r="748" ht="15.75" customHeight="1" s="191"/>
    <row r="749" ht="15.75" customHeight="1" s="191"/>
    <row r="750" ht="15.75" customHeight="1" s="191"/>
    <row r="751" ht="15.75" customHeight="1" s="191"/>
    <row r="752" ht="15.75" customHeight="1" s="191"/>
    <row r="753" ht="15.75" customHeight="1" s="191"/>
    <row r="754" ht="15.75" customHeight="1" s="191"/>
    <row r="755" ht="15.75" customHeight="1" s="191"/>
    <row r="756" ht="15.75" customHeight="1" s="191"/>
    <row r="757" ht="15.75" customHeight="1" s="191"/>
    <row r="758" ht="15.75" customHeight="1" s="191"/>
    <row r="759" ht="15.75" customHeight="1" s="191"/>
    <row r="760" ht="15.75" customHeight="1" s="191"/>
    <row r="761" ht="15.75" customHeight="1" s="191"/>
    <row r="762" ht="15.75" customHeight="1" s="191"/>
    <row r="763" ht="15.75" customHeight="1" s="191"/>
    <row r="764" ht="15.75" customHeight="1" s="191"/>
    <row r="765" ht="15.75" customHeight="1" s="191"/>
    <row r="766" ht="15.75" customHeight="1" s="191"/>
    <row r="767" ht="15.75" customHeight="1" s="191"/>
    <row r="768" ht="15.75" customHeight="1" s="191"/>
    <row r="769" ht="15.75" customHeight="1" s="191"/>
    <row r="770" ht="15.75" customHeight="1" s="191"/>
    <row r="771" ht="15.75" customHeight="1" s="191"/>
    <row r="772" ht="15.75" customHeight="1" s="191"/>
    <row r="773" ht="15.75" customHeight="1" s="191"/>
    <row r="774" ht="15.75" customHeight="1" s="191"/>
    <row r="775" ht="15.75" customHeight="1" s="191"/>
    <row r="776" ht="15.75" customHeight="1" s="191"/>
    <row r="777" ht="15.75" customHeight="1" s="191"/>
    <row r="778" ht="15.75" customHeight="1" s="191"/>
    <row r="779" ht="15.75" customHeight="1" s="191"/>
    <row r="780" ht="15.75" customHeight="1" s="191"/>
    <row r="781" ht="15.75" customHeight="1" s="191"/>
    <row r="782" ht="15.75" customHeight="1" s="191"/>
    <row r="783" ht="15.75" customHeight="1" s="191"/>
    <row r="784" ht="15.75" customHeight="1" s="191"/>
    <row r="785" ht="15.75" customHeight="1" s="191"/>
    <row r="786" ht="15.75" customHeight="1" s="191"/>
    <row r="787" ht="15.75" customHeight="1" s="191"/>
    <row r="788" ht="15.75" customHeight="1" s="191"/>
    <row r="789" ht="15.75" customHeight="1" s="191"/>
    <row r="790" ht="15.75" customHeight="1" s="191"/>
    <row r="791" ht="15.75" customHeight="1" s="191"/>
    <row r="792" ht="15.75" customHeight="1" s="191"/>
    <row r="793" ht="15.75" customHeight="1" s="191"/>
    <row r="794" ht="15.75" customHeight="1" s="191"/>
    <row r="795" ht="15.75" customHeight="1" s="191"/>
    <row r="796" ht="15.75" customHeight="1" s="191"/>
    <row r="797" ht="15.75" customHeight="1" s="191"/>
    <row r="798" ht="15.75" customHeight="1" s="191"/>
    <row r="799" ht="15.75" customHeight="1" s="191"/>
    <row r="800" ht="15.75" customHeight="1" s="191"/>
    <row r="801" ht="15.75" customHeight="1" s="191"/>
    <row r="802" ht="15.75" customHeight="1" s="191"/>
    <row r="803" ht="15.75" customHeight="1" s="191"/>
    <row r="804" ht="15.75" customHeight="1" s="191"/>
    <row r="805" ht="15.75" customHeight="1" s="191"/>
    <row r="806" ht="15.75" customHeight="1" s="191"/>
    <row r="807" ht="15.75" customHeight="1" s="191"/>
    <row r="808" ht="15.75" customHeight="1" s="191"/>
    <row r="809" ht="15.75" customHeight="1" s="191"/>
    <row r="810" ht="15.75" customHeight="1" s="191"/>
    <row r="811" ht="15.75" customHeight="1" s="191"/>
    <row r="812" ht="15.75" customHeight="1" s="191"/>
    <row r="813" ht="15.75" customHeight="1" s="191"/>
    <row r="814" ht="15.75" customHeight="1" s="191"/>
    <row r="815" ht="15.75" customHeight="1" s="191"/>
    <row r="816" ht="15.75" customHeight="1" s="191"/>
    <row r="817" ht="15.75" customHeight="1" s="191"/>
    <row r="818" ht="15.75" customHeight="1" s="191"/>
    <row r="819" ht="15.75" customHeight="1" s="191"/>
    <row r="820" ht="15.75" customHeight="1" s="191"/>
    <row r="821" ht="15.75" customHeight="1" s="191"/>
    <row r="822" ht="15.75" customHeight="1" s="191"/>
    <row r="823" ht="15.75" customHeight="1" s="191"/>
    <row r="824" ht="15.75" customHeight="1" s="191"/>
    <row r="825" ht="15.75" customHeight="1" s="191"/>
    <row r="826" ht="15.75" customHeight="1" s="191"/>
    <row r="827" ht="15.75" customHeight="1" s="191"/>
    <row r="828" ht="15.75" customHeight="1" s="191"/>
    <row r="829" ht="15.75" customHeight="1" s="191"/>
    <row r="830" ht="15.75" customHeight="1" s="191"/>
    <row r="831" ht="15.75" customHeight="1" s="191"/>
    <row r="832" ht="15.75" customHeight="1" s="191"/>
    <row r="833" ht="15.75" customHeight="1" s="191"/>
    <row r="834" ht="15.75" customHeight="1" s="191"/>
    <row r="835" ht="15.75" customHeight="1" s="191"/>
    <row r="836" ht="15.75" customHeight="1" s="191"/>
    <row r="837" ht="15.75" customHeight="1" s="191"/>
    <row r="838" ht="15.75" customHeight="1" s="191"/>
    <row r="839" ht="15.75" customHeight="1" s="191"/>
    <row r="840" ht="15.75" customHeight="1" s="191"/>
    <row r="841" ht="15.75" customHeight="1" s="191"/>
    <row r="842" ht="15.75" customHeight="1" s="191"/>
    <row r="843" ht="15.75" customHeight="1" s="191"/>
    <row r="844" ht="15.75" customHeight="1" s="191"/>
    <row r="845" ht="15.75" customHeight="1" s="191"/>
    <row r="846" ht="15.75" customHeight="1" s="191"/>
    <row r="847" ht="15.75" customHeight="1" s="191"/>
    <row r="848" ht="15.75" customHeight="1" s="191"/>
    <row r="849" ht="15.75" customHeight="1" s="191"/>
    <row r="850" ht="15.75" customHeight="1" s="191"/>
    <row r="851" ht="15.75" customHeight="1" s="191"/>
    <row r="852" ht="15.75" customHeight="1" s="191"/>
    <row r="853" ht="15.75" customHeight="1" s="191"/>
    <row r="854" ht="15.75" customHeight="1" s="191"/>
    <row r="855" ht="15.75" customHeight="1" s="191"/>
    <row r="856" ht="15.75" customHeight="1" s="191"/>
    <row r="857" ht="15.75" customHeight="1" s="191"/>
    <row r="858" ht="15.75" customHeight="1" s="191"/>
    <row r="859" ht="15.75" customHeight="1" s="191"/>
    <row r="860" ht="15.75" customHeight="1" s="191"/>
    <row r="861" ht="15.75" customHeight="1" s="191"/>
    <row r="862" ht="15.75" customHeight="1" s="191"/>
    <row r="863" ht="15.75" customHeight="1" s="191"/>
    <row r="864" ht="15.75" customHeight="1" s="191"/>
    <row r="865" ht="15.75" customHeight="1" s="191"/>
    <row r="866" ht="15.75" customHeight="1" s="191"/>
    <row r="867" ht="15.75" customHeight="1" s="191"/>
    <row r="868" ht="15.75" customHeight="1" s="191"/>
    <row r="869" ht="15.75" customHeight="1" s="191"/>
    <row r="870" ht="15.75" customHeight="1" s="191"/>
    <row r="871" ht="15.75" customHeight="1" s="191"/>
    <row r="872" ht="15.75" customHeight="1" s="191"/>
    <row r="873" ht="15.75" customHeight="1" s="191"/>
    <row r="874" ht="15.75" customHeight="1" s="191"/>
    <row r="875" ht="15.75" customHeight="1" s="191"/>
    <row r="876" ht="15.75" customHeight="1" s="191"/>
    <row r="877" ht="15.75" customHeight="1" s="191"/>
    <row r="878" ht="15.75" customHeight="1" s="191"/>
    <row r="879" ht="15.75" customHeight="1" s="191"/>
    <row r="880" ht="15.75" customHeight="1" s="191"/>
    <row r="881" ht="15.75" customHeight="1" s="191"/>
    <row r="882" ht="15.75" customHeight="1" s="191"/>
    <row r="883" ht="15.75" customHeight="1" s="191"/>
    <row r="884" ht="15.75" customHeight="1" s="191"/>
    <row r="885" ht="15.75" customHeight="1" s="191"/>
    <row r="886" ht="15.75" customHeight="1" s="191"/>
    <row r="887" ht="15.75" customHeight="1" s="191"/>
    <row r="888" ht="15.75" customHeight="1" s="191"/>
    <row r="889" ht="15.75" customHeight="1" s="191"/>
    <row r="890" ht="15.75" customHeight="1" s="191"/>
    <row r="891" ht="15.75" customHeight="1" s="191"/>
    <row r="892" ht="15.75" customHeight="1" s="191"/>
    <row r="893" ht="15.75" customHeight="1" s="191"/>
    <row r="894" ht="15.75" customHeight="1" s="191"/>
    <row r="895" ht="15.75" customHeight="1" s="191"/>
    <row r="896" ht="15.75" customHeight="1" s="191"/>
    <row r="897" ht="15.75" customHeight="1" s="191"/>
    <row r="898" ht="15.75" customHeight="1" s="191"/>
    <row r="899" ht="15.75" customHeight="1" s="191"/>
    <row r="900" ht="15.75" customHeight="1" s="191"/>
    <row r="901" ht="15.75" customHeight="1" s="191"/>
    <row r="902" ht="15.75" customHeight="1" s="191"/>
    <row r="903" ht="15.75" customHeight="1" s="191"/>
    <row r="904" ht="15.75" customHeight="1" s="191"/>
    <row r="905" ht="15.75" customHeight="1" s="191"/>
    <row r="906" ht="15.75" customHeight="1" s="191"/>
    <row r="907" ht="15.75" customHeight="1" s="191"/>
    <row r="908" ht="15.75" customHeight="1" s="191"/>
    <row r="909" ht="15.75" customHeight="1" s="191"/>
    <row r="910" ht="15.75" customHeight="1" s="191"/>
    <row r="911" ht="15.75" customHeight="1" s="191"/>
    <row r="912" ht="15.75" customHeight="1" s="191"/>
    <row r="913" ht="15.75" customHeight="1" s="191"/>
    <row r="914" ht="15.75" customHeight="1" s="191"/>
    <row r="915" ht="15.75" customHeight="1" s="191"/>
    <row r="916" ht="15.75" customHeight="1" s="191"/>
    <row r="917" ht="15.75" customHeight="1" s="191"/>
    <row r="918" ht="15.75" customHeight="1" s="191"/>
    <row r="919" ht="15.75" customHeight="1" s="191"/>
    <row r="920" ht="15.75" customHeight="1" s="191"/>
    <row r="921" ht="15.75" customHeight="1" s="191"/>
    <row r="922" ht="15.75" customHeight="1" s="191"/>
    <row r="923" ht="15.75" customHeight="1" s="191"/>
    <row r="924" ht="15.75" customHeight="1" s="191"/>
    <row r="925" ht="15.75" customHeight="1" s="191"/>
    <row r="926" ht="15.75" customHeight="1" s="191"/>
    <row r="927" ht="15.75" customHeight="1" s="191"/>
    <row r="928" ht="15.75" customHeight="1" s="191"/>
    <row r="929" ht="15.75" customHeight="1" s="191"/>
    <row r="930" ht="15.75" customHeight="1" s="191"/>
    <row r="931" ht="15.75" customHeight="1" s="191"/>
    <row r="932" ht="15.75" customHeight="1" s="191"/>
    <row r="933" ht="15.75" customHeight="1" s="191"/>
    <row r="934" ht="15.75" customHeight="1" s="191"/>
    <row r="935" ht="15.75" customHeight="1" s="191"/>
    <row r="936" ht="15.75" customHeight="1" s="191"/>
    <row r="937" ht="15.75" customHeight="1" s="191"/>
    <row r="938" ht="15.75" customHeight="1" s="191"/>
    <row r="939" ht="15.75" customHeight="1" s="191"/>
    <row r="940" ht="15.75" customHeight="1" s="191"/>
    <row r="941" ht="15.75" customHeight="1" s="191"/>
    <row r="942" ht="15.75" customHeight="1" s="191"/>
    <row r="943" ht="15.75" customHeight="1" s="191"/>
    <row r="944" ht="15.75" customHeight="1" s="191"/>
    <row r="945" ht="15.75" customHeight="1" s="191"/>
    <row r="946" ht="15.75" customHeight="1" s="191"/>
    <row r="947" ht="15.75" customHeight="1" s="191"/>
    <row r="948" ht="15.75" customHeight="1" s="191"/>
    <row r="949" ht="15.75" customHeight="1" s="191"/>
    <row r="950" ht="15.75" customHeight="1" s="191"/>
    <row r="951" ht="15.75" customHeight="1" s="191"/>
    <row r="952" ht="15.75" customHeight="1" s="191"/>
    <row r="953" ht="15.75" customHeight="1" s="191"/>
    <row r="954" ht="15.75" customHeight="1" s="191"/>
    <row r="955" ht="15.75" customHeight="1" s="191"/>
    <row r="956" ht="15.75" customHeight="1" s="191"/>
    <row r="957" ht="15.75" customHeight="1" s="191"/>
    <row r="958" ht="15.75" customHeight="1" s="191"/>
    <row r="959" ht="15.75" customHeight="1" s="191"/>
    <row r="960" ht="15.75" customHeight="1" s="191"/>
    <row r="961" ht="15.75" customHeight="1" s="191"/>
    <row r="962" ht="15.75" customHeight="1" s="191"/>
    <row r="963" ht="15.75" customHeight="1" s="191"/>
    <row r="964" ht="15.75" customHeight="1" s="191"/>
    <row r="965" ht="15.75" customHeight="1" s="191"/>
    <row r="966" ht="15.75" customHeight="1" s="191"/>
    <row r="967" ht="15.75" customHeight="1" s="191"/>
    <row r="968" ht="15.75" customHeight="1" s="191"/>
    <row r="969" ht="15.75" customHeight="1" s="191"/>
    <row r="970" ht="15.75" customHeight="1" s="191"/>
    <row r="971" ht="15.75" customHeight="1" s="191"/>
    <row r="972" ht="15.75" customHeight="1" s="191"/>
    <row r="973" ht="15.75" customHeight="1" s="191"/>
    <row r="974" ht="15.75" customHeight="1" s="191"/>
    <row r="975" ht="15.75" customHeight="1" s="191"/>
    <row r="976" ht="15.75" customHeight="1" s="191"/>
    <row r="977" ht="15.75" customHeight="1" s="191"/>
    <row r="978" ht="15.75" customHeight="1" s="191"/>
    <row r="979" ht="15.75" customHeight="1" s="191"/>
    <row r="980" ht="15.75" customHeight="1" s="191"/>
    <row r="981" ht="15.75" customHeight="1" s="191"/>
    <row r="982" ht="15.75" customHeight="1" s="191"/>
    <row r="983" ht="15.75" customHeight="1" s="191"/>
    <row r="984" ht="15.75" customHeight="1" s="191"/>
    <row r="985" ht="15.75" customHeight="1" s="191"/>
    <row r="986" ht="15.75" customHeight="1" s="191"/>
    <row r="987" ht="15.75" customHeight="1" s="191"/>
    <row r="988" ht="15.75" customHeight="1" s="191"/>
    <row r="989" ht="15.75" customHeight="1" s="191"/>
    <row r="990" ht="15.75" customHeight="1" s="191"/>
    <row r="991" ht="15.75" customHeight="1" s="191"/>
    <row r="992" ht="15.75" customHeight="1" s="191"/>
    <row r="993" ht="15.75" customHeight="1" s="191"/>
    <row r="994" ht="15.75" customHeight="1" s="191"/>
    <row r="995" ht="15.75" customHeight="1" s="191"/>
    <row r="996" ht="15.75" customHeight="1" s="191"/>
    <row r="997" ht="15.75" customHeight="1" s="191"/>
    <row r="998" ht="15.75" customHeight="1" s="191"/>
    <row r="999" ht="15.75" customHeight="1" s="191"/>
    <row r="1000" ht="15.75" customHeight="1" s="191"/>
    <row r="1001" ht="15.75" customHeight="1" s="191"/>
    <row r="1002" ht="15.75" customHeight="1" s="191"/>
    <row r="1003" ht="15.75" customHeight="1" s="191"/>
    <row r="1004" ht="15.75" customHeight="1" s="191"/>
    <row r="1005" ht="15.75" customHeight="1" s="191"/>
    <row r="1006" ht="15.75" customHeight="1" s="191"/>
    <row r="1007" ht="15.75" customHeight="1" s="191"/>
    <row r="1008" ht="15.75" customHeight="1" s="191"/>
    <row r="1009" ht="15.75" customHeight="1" s="191"/>
    <row r="1010" ht="15.75" customHeight="1" s="191"/>
    <row r="1011" ht="15.75" customHeight="1" s="191"/>
    <row r="1012" ht="15.75" customHeight="1" s="191"/>
    <row r="1013" ht="15.75" customHeight="1" s="191"/>
    <row r="1014" ht="15.75" customHeight="1" s="191"/>
    <row r="1015" ht="15.75" customHeight="1" s="191"/>
    <row r="1016" ht="15.75" customHeight="1" s="191"/>
  </sheetData>
  <mergeCells count="1">
    <mergeCell ref="CF1:CF2"/>
  </mergeCells>
  <conditionalFormatting sqref="P5:X10">
    <cfRule type="cellIs" priority="26" operator="greaterThan" dxfId="0">
      <formula>0</formula>
    </cfRule>
  </conditionalFormatting>
  <conditionalFormatting sqref="P13:X30">
    <cfRule type="cellIs" priority="25" operator="greaterThan" dxfId="0">
      <formula>0</formula>
    </cfRule>
  </conditionalFormatting>
  <conditionalFormatting sqref="P32:X37">
    <cfRule type="cellIs" priority="24" operator="greaterThan" dxfId="0">
      <formula>0</formula>
    </cfRule>
  </conditionalFormatting>
  <conditionalFormatting sqref="P39:X42">
    <cfRule type="cellIs" priority="23" operator="greaterThan" dxfId="0">
      <formula>0</formula>
    </cfRule>
  </conditionalFormatting>
  <conditionalFormatting sqref="P44:X46">
    <cfRule type="cellIs" priority="22" operator="greaterThan" dxfId="0">
      <formula>0</formula>
    </cfRule>
  </conditionalFormatting>
  <conditionalFormatting sqref="P48:X52">
    <cfRule type="cellIs" priority="21" operator="greaterThan" dxfId="0">
      <formula>0</formula>
    </cfRule>
  </conditionalFormatting>
  <conditionalFormatting sqref="P54:X56">
    <cfRule type="cellIs" priority="20" operator="greaterThan" dxfId="0">
      <formula>0</formula>
    </cfRule>
  </conditionalFormatting>
  <conditionalFormatting sqref="P58:X63">
    <cfRule type="cellIs" priority="19" operator="greaterThan" dxfId="0">
      <formula>0</formula>
    </cfRule>
  </conditionalFormatting>
  <conditionalFormatting sqref="P65:X69">
    <cfRule type="cellIs" priority="18" operator="greaterThan" dxfId="0">
      <formula>0</formula>
    </cfRule>
  </conditionalFormatting>
  <conditionalFormatting sqref="P71:X72">
    <cfRule type="cellIs" priority="17" operator="greaterThan" dxfId="0">
      <formula>0</formula>
    </cfRule>
  </conditionalFormatting>
  <conditionalFormatting sqref="P74:X76">
    <cfRule type="cellIs" priority="16" operator="greaterThan" dxfId="0">
      <formula>0</formula>
    </cfRule>
  </conditionalFormatting>
  <conditionalFormatting sqref="Y5:AF10">
    <cfRule type="cellIs" priority="15" operator="greaterThan" dxfId="0">
      <formula>0</formula>
    </cfRule>
  </conditionalFormatting>
  <conditionalFormatting sqref="Y13:AF30">
    <cfRule type="cellIs" priority="14" operator="greaterThan" dxfId="0">
      <formula>0</formula>
    </cfRule>
  </conditionalFormatting>
  <conditionalFormatting sqref="Y32:AF37">
    <cfRule type="cellIs" priority="13" operator="greaterThan" dxfId="0">
      <formula>0</formula>
    </cfRule>
  </conditionalFormatting>
  <conditionalFormatting sqref="Y39:AF42">
    <cfRule type="cellIs" priority="12" operator="greaterThan" dxfId="0">
      <formula>0</formula>
    </cfRule>
  </conditionalFormatting>
  <conditionalFormatting sqref="Y44:AF46">
    <cfRule type="cellIs" priority="11" operator="greaterThan" dxfId="0">
      <formula>0</formula>
    </cfRule>
  </conditionalFormatting>
  <conditionalFormatting sqref="Y48:AF52">
    <cfRule type="cellIs" priority="10" operator="greaterThan" dxfId="0">
      <formula>0</formula>
    </cfRule>
  </conditionalFormatting>
  <conditionalFormatting sqref="Y54:AF56">
    <cfRule type="cellIs" priority="9" operator="greaterThan" dxfId="0">
      <formula>0</formula>
    </cfRule>
  </conditionalFormatting>
  <conditionalFormatting sqref="Y58:AF63">
    <cfRule type="cellIs" priority="8" operator="greaterThan" dxfId="0">
      <formula>0</formula>
    </cfRule>
  </conditionalFormatting>
  <conditionalFormatting sqref="Y65:AF69">
    <cfRule type="cellIs" priority="7" operator="greaterThan" dxfId="0">
      <formula>0</formula>
    </cfRule>
  </conditionalFormatting>
  <conditionalFormatting sqref="Y71:AF72">
    <cfRule type="cellIs" priority="6" operator="greaterThan" dxfId="0">
      <formula>0</formula>
    </cfRule>
  </conditionalFormatting>
  <conditionalFormatting sqref="Y74:AF76">
    <cfRule type="cellIs" priority="5" operator="greaterThan" dxfId="0">
      <formula>0</formula>
    </cfRule>
  </conditionalFormatting>
  <conditionalFormatting sqref="AT5:AW11 AT13:AW30 AT32:AW42 AT44:AW46 AT48:AW52 AT54:AW56 AT58:AW63 AT65:AW69 AT71:AW72 AT74:AW76 AW12">
    <cfRule type="cellIs" priority="3" operator="greaterThan" dxfId="0">
      <formula>0</formula>
    </cfRule>
  </conditionalFormatting>
  <conditionalFormatting sqref="AG5:AO11 AG13:AO30 AG32:AO42 AG44:AO46 AG48:AO52 AG54:AO56 AG58:AO63 AG65:AO69 AG71:AO72 AG74:AO76">
    <cfRule type="cellIs" priority="2" operator="greaterThan" dxfId="0">
      <formula>0</formula>
    </cfRule>
  </conditionalFormatting>
  <conditionalFormatting sqref="AP5:AS11 AP13:AS30 AP32:AS42 AP44:AS46 AP48:AS52 AP54:AS56 AP58:AS63 AP65:AS69 AP71:AS72 AP74:AS76">
    <cfRule type="cellIs" priority="1" operator="greaterThan" dxfId="0">
      <formula>0</formula>
    </cfRule>
  </conditionalFormatting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G78"/>
  <sheetViews>
    <sheetView zoomScale="85" zoomScaleNormal="85" workbookViewId="0">
      <pane xSplit="5" ySplit="2" topLeftCell="F42" activePane="bottomRight" state="frozen"/>
      <selection pane="topRight" activeCell="F1" sqref="F1"/>
      <selection pane="bottomLeft" activeCell="A3" sqref="A3"/>
      <selection pane="bottomRight" activeCell="P43" sqref="P43:U43"/>
    </sheetView>
  </sheetViews>
  <sheetFormatPr baseColWidth="8" defaultColWidth="14.44140625" defaultRowHeight="14.4"/>
  <cols>
    <col width="5" customWidth="1" style="104" min="1" max="1"/>
    <col width="4.44140625" customWidth="1" style="104" min="2" max="2"/>
    <col width="3" customWidth="1" style="104" min="3" max="3"/>
    <col width="9" bestFit="1" customWidth="1" style="117" min="4" max="4"/>
    <col width="60.33203125" customWidth="1" style="125" min="5" max="5"/>
    <col width="11.33203125" customWidth="1" style="191" min="6" max="7"/>
    <col width="8.109375" bestFit="1" customWidth="1" style="191" min="8" max="8"/>
    <col width="8.88671875" customWidth="1" style="191" min="9" max="9"/>
    <col width="9.88671875" customWidth="1" style="191" min="10" max="12"/>
    <col width="11.33203125" customWidth="1" style="191" min="13" max="13"/>
    <col width="9.109375" customWidth="1" style="191" min="14" max="28"/>
    <col width="9.109375" customWidth="1" style="191" min="29" max="32"/>
    <col width="9.109375" customWidth="1" style="191" min="33" max="45"/>
    <col width="9.109375" customWidth="1" style="191" min="46" max="49"/>
    <col width="9.109375" customWidth="1" style="191" min="50" max="52"/>
    <col width="10.88671875" bestFit="1" customWidth="1" style="191" min="53" max="54"/>
    <col width="14.88671875" customWidth="1" style="191" min="55" max="55"/>
    <col width="9.109375" customWidth="1" style="191" min="56" max="61"/>
    <col width="11.5546875" customWidth="1" style="191" min="62" max="62"/>
    <col width="8.6640625" customWidth="1" style="191" min="63" max="70"/>
    <col width="10.33203125" customWidth="1" style="191" min="71" max="71"/>
    <col width="7.44140625" customWidth="1" style="191" min="72" max="72"/>
    <col width="8.6640625" customWidth="1" style="191" min="73" max="75"/>
    <col width="8.44140625" customWidth="1" style="191" min="76" max="76"/>
    <col width="8.6640625" customWidth="1" style="191" min="77" max="84"/>
  </cols>
  <sheetData>
    <row r="1" ht="15" customHeight="1" s="191" thickBot="1">
      <c r="A1" s="115" t="n"/>
      <c r="B1" s="115" t="n"/>
      <c r="C1" s="115" t="n"/>
      <c r="D1" s="115" t="n"/>
      <c r="E1" s="678" t="inlineStr">
        <is>
          <t>HARMONOGRAM SKOMPRESOWANY v1  |  01.01.2027 – 28.09.2029  |  Kompresja −40% per zadanie  |  Endava +5 etatów  |  AGH +4 etatów</t>
        </is>
      </c>
      <c r="F1" s="662" t="n"/>
      <c r="G1" s="662" t="n"/>
      <c r="H1" s="662" t="n"/>
      <c r="I1" s="662" t="n"/>
      <c r="J1" s="551">
        <f>IX_Model_MWS!M1+1</f>
        <v/>
      </c>
      <c r="K1" s="475" t="inlineStr">
        <is>
          <t>po zakończeniu  Zadań</t>
        </is>
      </c>
      <c r="L1" s="475" t="n"/>
      <c r="M1" s="551">
        <f>MAX(M3:M9999)</f>
        <v/>
      </c>
      <c r="N1" s="679">
        <f>SUM(N$4:N$999)</f>
        <v/>
      </c>
      <c r="O1" s="686">
        <f>SUM(O$4:O$999)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AX1" s="373">
        <f>#REF!</f>
        <v/>
      </c>
      <c r="AY1" s="374" t="n"/>
      <c r="AZ1" s="374" t="n"/>
      <c r="BA1" s="374" t="n"/>
      <c r="BB1" s="375" t="n"/>
      <c r="BC1" s="369">
        <f>#REF!</f>
        <v/>
      </c>
      <c r="BD1" s="370" t="n"/>
      <c r="BE1" s="369" t="n"/>
      <c r="BF1" s="370" t="n"/>
      <c r="BG1" s="369" t="n"/>
      <c r="BH1" s="370" t="n"/>
      <c r="BI1" s="371">
        <f>#REF!</f>
        <v/>
      </c>
      <c r="BJ1" s="371" t="n"/>
      <c r="BK1" s="371" t="n"/>
      <c r="BL1" s="371" t="n"/>
      <c r="BM1" s="372" t="n"/>
      <c r="BN1" s="372" t="n"/>
      <c r="BO1" s="372" t="n"/>
      <c r="BP1" s="372" t="n"/>
      <c r="BQ1" s="372" t="n"/>
      <c r="BR1" s="372" t="n"/>
      <c r="BS1" s="372" t="n"/>
      <c r="BT1" s="372" t="n"/>
      <c r="BU1" s="372" t="n"/>
      <c r="BV1" s="372" t="n"/>
      <c r="BW1" s="372" t="n"/>
      <c r="BX1" s="687">
        <f>#REF!</f>
        <v/>
      </c>
      <c r="BY1" s="688" t="n"/>
      <c r="BZ1" s="688" t="n"/>
      <c r="CA1" s="689" t="n"/>
      <c r="CB1" s="687">
        <f>#REF!</f>
        <v/>
      </c>
      <c r="CC1" s="688" t="n"/>
      <c r="CD1" s="688" t="n"/>
      <c r="CE1" s="689" t="n"/>
    </row>
    <row r="2" ht="100.8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380">
        <f>Karta!BH2</f>
        <v/>
      </c>
      <c r="AY2" s="380">
        <f>Karta!BI2</f>
        <v/>
      </c>
      <c r="AZ2" s="380">
        <f>Karta!BJ2</f>
        <v/>
      </c>
      <c r="BA2" s="380">
        <f>Karta!BK2</f>
        <v/>
      </c>
      <c r="BB2" s="380">
        <f>Karta!BL2</f>
        <v/>
      </c>
      <c r="BC2" s="6">
        <f>Karta!BM2</f>
        <v/>
      </c>
      <c r="BD2" s="6">
        <f>Karta!BN2</f>
        <v/>
      </c>
      <c r="BE2" s="6">
        <f>Karta!BO2</f>
        <v/>
      </c>
      <c r="BF2" s="6">
        <f>Karta!BP2</f>
        <v/>
      </c>
      <c r="BG2" s="6">
        <f>Karta!BQ2</f>
        <v/>
      </c>
      <c r="BH2" s="6">
        <f>Karta!BR2</f>
        <v/>
      </c>
      <c r="BI2" s="6">
        <f>Karta!BS2</f>
        <v/>
      </c>
      <c r="BJ2" s="6">
        <f>Karta!BT2</f>
        <v/>
      </c>
      <c r="BK2" s="6">
        <f>Karta!BU2</f>
        <v/>
      </c>
      <c r="BL2" s="6">
        <f>Karta!BV2</f>
        <v/>
      </c>
      <c r="BM2" s="6">
        <f>Karta!BW2</f>
        <v/>
      </c>
      <c r="BN2" s="6">
        <f>Karta!BX2</f>
        <v/>
      </c>
      <c r="BO2" s="6">
        <f>Karta!BY2</f>
        <v/>
      </c>
      <c r="BP2" s="6">
        <f>Karta!BZ2</f>
        <v/>
      </c>
      <c r="BQ2" s="6">
        <f>Karta!CA2</f>
        <v/>
      </c>
      <c r="BR2" s="6">
        <f>Karta!CB2</f>
        <v/>
      </c>
      <c r="BS2" s="6">
        <f>Karta!CC2</f>
        <v/>
      </c>
      <c r="BT2" s="6">
        <f>Karta!CD2</f>
        <v/>
      </c>
      <c r="BU2" s="6">
        <f>Karta!CE2</f>
        <v/>
      </c>
      <c r="BV2" s="6">
        <f>Karta!CF2</f>
        <v/>
      </c>
      <c r="BW2" s="6">
        <f>Karta!CG2</f>
        <v/>
      </c>
      <c r="BX2" s="6">
        <f>Karta!CH2</f>
        <v/>
      </c>
      <c r="BY2" s="6">
        <f>Karta!CI2</f>
        <v/>
      </c>
      <c r="BZ2" s="6">
        <f>Karta!CJ2</f>
        <v/>
      </c>
      <c r="CA2" s="6">
        <f>Karta!CK2</f>
        <v/>
      </c>
      <c r="CB2" s="6">
        <f>Karta!CL2</f>
        <v/>
      </c>
      <c r="CC2" s="6">
        <f>Karta!CM2</f>
        <v/>
      </c>
      <c r="CD2" s="6">
        <f>Karta!CN2</f>
        <v/>
      </c>
      <c r="CE2" s="6">
        <f>Karta!CO2</f>
        <v/>
      </c>
      <c r="CF2" s="6">
        <f>Karta!CP2</f>
        <v/>
      </c>
    </row>
    <row r="3" ht="16.2" customFormat="1" customHeight="1" s="141" thickBot="1">
      <c r="A3" s="110" t="inlineStr">
        <is>
          <t>.z10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202" t="n"/>
      <c r="G3" s="202" t="n"/>
      <c r="H3" s="203" t="n"/>
      <c r="I3" s="203" t="n"/>
      <c r="J3" s="172" t="n"/>
      <c r="K3" s="172" t="n"/>
      <c r="L3" s="172" t="n"/>
      <c r="M3" s="172" t="n"/>
      <c r="N3" s="172" t="n"/>
      <c r="O3" s="172" t="n"/>
      <c r="P3" s="172" t="n"/>
      <c r="Q3" s="172" t="n"/>
      <c r="R3" s="172" t="n"/>
      <c r="S3" s="172" t="n"/>
      <c r="T3" s="172" t="n"/>
      <c r="U3" s="172" t="n"/>
      <c r="V3" s="172" t="n"/>
      <c r="W3" s="172" t="n"/>
      <c r="X3" s="172" t="n"/>
      <c r="Y3" s="205" t="n"/>
      <c r="Z3" s="205" t="n"/>
      <c r="AA3" s="205" t="n"/>
      <c r="AB3" s="205" t="n"/>
      <c r="AC3" s="303" t="n"/>
      <c r="AD3" s="303" t="n"/>
      <c r="AE3" s="303" t="n"/>
      <c r="AF3" s="303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5" t="n"/>
      <c r="AQ3" s="205" t="n"/>
      <c r="AR3" s="205" t="n"/>
      <c r="AS3" s="245" t="n"/>
      <c r="AT3" s="303" t="n"/>
      <c r="AU3" s="303" t="n"/>
      <c r="AV3" s="303" t="n"/>
      <c r="AW3" s="303" t="n"/>
      <c r="AX3" s="206" t="n"/>
      <c r="AY3" s="206" t="n"/>
      <c r="AZ3" s="207" t="n"/>
      <c r="BA3" s="208" t="n"/>
      <c r="BB3" s="175" t="n"/>
      <c r="BC3" s="4" t="n"/>
      <c r="BD3" s="3" t="n"/>
      <c r="BE3" s="3" t="n"/>
      <c r="BF3" s="4" t="n"/>
      <c r="BG3" s="4" t="n"/>
      <c r="BH3" s="3" t="n"/>
      <c r="BI3" s="174" t="n"/>
      <c r="BJ3" s="4" t="n"/>
      <c r="BK3" s="209" t="n"/>
      <c r="BL3" s="483" t="n"/>
      <c r="BM3" s="210" t="n"/>
      <c r="BN3" s="209" t="n"/>
      <c r="BO3" s="483" t="n"/>
      <c r="BP3" s="210" t="n"/>
      <c r="BQ3" s="209" t="n"/>
      <c r="BR3" s="483" t="n"/>
      <c r="BS3" s="483" t="n"/>
      <c r="BT3" s="210" t="n"/>
      <c r="BU3" s="4" t="n"/>
      <c r="BV3" s="4" t="n"/>
      <c r="BW3" s="483" t="n"/>
      <c r="BX3" s="4" t="n"/>
      <c r="BY3" s="4" t="n"/>
      <c r="BZ3" s="4" t="n"/>
      <c r="CA3" s="483" t="n"/>
      <c r="CB3" s="4" t="n"/>
      <c r="CC3" s="4" t="n"/>
      <c r="CD3" s="4" t="n"/>
      <c r="CE3" s="483" t="n"/>
      <c r="CF3" s="659" t="n"/>
    </row>
    <row r="4" ht="18.6" customHeight="1" s="191" thickBot="1">
      <c r="A4" s="604" t="n">
        <v>1</v>
      </c>
      <c r="B4" s="55" t="inlineStr">
        <is>
          <t>a</t>
        </is>
      </c>
      <c r="C4" s="105" t="n">
        <v>0</v>
      </c>
      <c r="D4" s="116">
        <f>CONCATENATE(A$3,"_",A4,"_",B4,"_",C4)</f>
        <v/>
      </c>
      <c r="E4" s="388" t="inlineStr">
        <is>
          <t>1.Identyfikacja, analiza i mapowanie operacji na Platformie</t>
        </is>
      </c>
      <c r="F4" s="148" t="n"/>
      <c r="G4" s="148" t="n"/>
      <c r="H4" s="51" t="n"/>
      <c r="I4" s="85" t="inlineStr">
        <is>
          <t>ACT</t>
        </is>
      </c>
      <c r="J4" s="90" t="n"/>
      <c r="K4" s="90" t="n"/>
      <c r="L4" s="90" t="n"/>
      <c r="M4" s="90" t="n"/>
      <c r="N4" s="90" t="n"/>
      <c r="O4" s="90" t="n"/>
      <c r="P4" s="468" t="n"/>
      <c r="Q4" s="468" t="n"/>
      <c r="R4" s="468" t="n"/>
      <c r="S4" s="468" t="n"/>
      <c r="T4" s="130" t="n"/>
      <c r="U4" s="130" t="n"/>
      <c r="V4" s="130" t="n"/>
      <c r="W4" s="130" t="n"/>
      <c r="X4" s="130" t="n"/>
      <c r="Y4" s="468" t="n"/>
      <c r="Z4" s="468" t="n"/>
      <c r="AA4" s="468" t="n"/>
      <c r="AB4" s="148" t="n"/>
      <c r="AC4" s="173" t="n"/>
      <c r="AD4" s="173" t="n"/>
      <c r="AE4" s="173" t="n"/>
      <c r="AF4" s="173" t="n"/>
      <c r="AG4" s="148" t="n"/>
      <c r="AH4" s="148" t="n"/>
      <c r="AI4" s="148" t="n"/>
      <c r="AJ4" s="148" t="n"/>
      <c r="AK4" s="190" t="n"/>
      <c r="AL4" s="190" t="n"/>
      <c r="AM4" s="190" t="n"/>
      <c r="AN4" s="190" t="n"/>
      <c r="AO4" s="190" t="n"/>
      <c r="AP4" s="148" t="n"/>
      <c r="AQ4" s="148" t="n"/>
      <c r="AR4" s="148" t="n"/>
      <c r="AS4" s="148" t="n"/>
      <c r="AT4" s="148" t="n"/>
      <c r="AU4" s="148" t="n"/>
      <c r="AV4" s="148" t="n"/>
      <c r="AW4" s="148" t="n"/>
      <c r="AX4" s="148" t="n"/>
      <c r="AY4" s="148" t="n"/>
      <c r="AZ4" s="148" t="n"/>
      <c r="BA4" s="663" t="n"/>
      <c r="BB4" s="14">
        <f>BB5+BB6+BB7+BB8+BB9+BB10</f>
        <v/>
      </c>
      <c r="BC4" s="528" t="n"/>
      <c r="BD4" s="528" t="n"/>
      <c r="BE4" s="528" t="n"/>
      <c r="BF4" s="528" t="n"/>
      <c r="BG4" s="528" t="n"/>
      <c r="BH4" s="528" t="n"/>
      <c r="BI4" s="14">
        <f>BI5+BI6+BI7+BI8+BI9+BI10</f>
        <v/>
      </c>
      <c r="BJ4" s="528" t="n"/>
      <c r="BK4" s="51" t="n"/>
      <c r="BL4" s="14">
        <f>BL5+BL6+BL7+BL9+BL8+BL10</f>
        <v/>
      </c>
      <c r="BM4" s="399" t="n"/>
      <c r="BN4" s="51" t="n"/>
      <c r="BO4" s="14">
        <f>BO5+BO6+BO7+BO9+BO8+BO10</f>
        <v/>
      </c>
      <c r="BP4" s="399" t="n"/>
      <c r="BQ4" s="51" t="n"/>
      <c r="BR4" s="14">
        <f>BR5+BR6+BR7+BR9+BR8+BR10</f>
        <v/>
      </c>
      <c r="BS4" s="14">
        <f>BS5+BS6+BS7+BS9+BS8+BS10</f>
        <v/>
      </c>
      <c r="BT4" s="399" t="n"/>
      <c r="BU4" s="528" t="n"/>
      <c r="BV4" s="528" t="n"/>
      <c r="BW4" s="14">
        <f>BW5+BW6+BW7+BW8+BW9+BW10</f>
        <v/>
      </c>
      <c r="BX4" s="528" t="n"/>
      <c r="BY4" s="528" t="n"/>
      <c r="BZ4" s="528" t="n"/>
      <c r="CA4" s="14">
        <f>CA5+CA6+CA7+CA8+CA9+CA10</f>
        <v/>
      </c>
      <c r="CB4" s="528" t="n"/>
      <c r="CC4" s="528" t="n"/>
      <c r="CD4" s="528" t="n"/>
      <c r="CE4" s="14">
        <f>CE5+CE6+CE7+CE8+CE9+CE10</f>
        <v/>
      </c>
      <c r="CF4" s="40">
        <f>AY4+BB4+BI4+BL4+BO4+BR4+BS4+BW4+CA4+CE4</f>
        <v/>
      </c>
    </row>
    <row r="5">
      <c r="A5" s="528" t="n">
        <v>1</v>
      </c>
      <c r="B5" s="55" t="inlineStr">
        <is>
          <t>a</t>
        </is>
      </c>
      <c r="C5" s="105" t="n">
        <v>1</v>
      </c>
      <c r="D5" s="116">
        <f>CONCATENATE(A$3,"_",A5,"_",B5,"_",C5)</f>
        <v/>
      </c>
      <c r="E5" s="391" t="inlineStr">
        <is>
          <t>Identyfikacja i analiza kluczowych operacji na Platformie i ich interakcji</t>
        </is>
      </c>
      <c r="F5" s="528">
        <f>IFERROR(VLOOKUP($I5,Listy!$A:$H,2,FALSE),"XXX")</f>
        <v/>
      </c>
      <c r="G5" s="528">
        <f>IFERROR(VLOOKUP($I5,Listy!$A:$H,3,FALSE),"XXX")</f>
        <v/>
      </c>
      <c r="H5" s="140" t="n">
        <v>1</v>
      </c>
      <c r="I5" s="89" t="inlineStr">
        <is>
          <t>ACT/END</t>
        </is>
      </c>
      <c r="J5" s="475">
        <f>IX_Model_MWS!M1+1</f>
        <v/>
      </c>
      <c r="K5" s="681">
        <f>VLOOKUP(J5,Kalendarz!B:E,4,FALSE)</f>
        <v/>
      </c>
      <c r="L5" s="681">
        <f>K5+N5</f>
        <v/>
      </c>
      <c r="M5" s="528">
        <f>J5+N5-1</f>
        <v/>
      </c>
      <c r="N5" s="474" t="n">
        <v>1</v>
      </c>
      <c r="O5" s="528" t="n">
        <v>160</v>
      </c>
      <c r="P5" s="187" t="n">
        <v>0.15</v>
      </c>
      <c r="Q5" s="187" t="n">
        <v>0.15</v>
      </c>
      <c r="R5" s="187" t="n">
        <v>0.15</v>
      </c>
      <c r="S5" s="187" t="n">
        <v>0.15</v>
      </c>
      <c r="T5" s="187" t="n">
        <v>0.15</v>
      </c>
      <c r="U5" s="187" t="n">
        <v>0.125</v>
      </c>
      <c r="V5" s="187" t="n"/>
      <c r="W5" s="187" t="n"/>
      <c r="X5" s="187" t="n"/>
      <c r="Y5" s="292" t="n">
        <v>0.12</v>
      </c>
      <c r="Z5" s="292" t="n">
        <v>0</v>
      </c>
      <c r="AA5" s="292" t="n">
        <v>0</v>
      </c>
      <c r="AB5" s="292" t="n"/>
      <c r="AC5" s="304" t="n"/>
      <c r="AD5" s="304" t="n"/>
      <c r="AE5" s="304" t="n"/>
      <c r="AF5" s="304" t="n"/>
      <c r="AG5" s="192">
        <f>ROUND($O5*P5,0)</f>
        <v/>
      </c>
      <c r="AH5" s="192">
        <f>ROUND($O5*Q5,0)</f>
        <v/>
      </c>
      <c r="AI5" s="192">
        <f>ROUND($O5*R5,0)</f>
        <v/>
      </c>
      <c r="AJ5" s="192">
        <f>ROUND($O5*S5,0)</f>
        <v/>
      </c>
      <c r="AK5" s="192">
        <f>ROUND($O5*T5,0)</f>
        <v/>
      </c>
      <c r="AL5" s="192">
        <f>ROUND($O5*U5,0)</f>
        <v/>
      </c>
      <c r="AM5" s="192">
        <f>ROUND($O5*V5,0)</f>
        <v/>
      </c>
      <c r="AN5" s="192">
        <f>ROUND($O5*W5,0)</f>
        <v/>
      </c>
      <c r="AO5" s="192">
        <f>ROUND($O5*X5,0)</f>
        <v/>
      </c>
      <c r="AP5" s="193">
        <f>ROUND($O5*Y5,0)</f>
        <v/>
      </c>
      <c r="AQ5" s="193">
        <f>ROUND($O5*Z5,0)</f>
        <v/>
      </c>
      <c r="AR5" s="193">
        <f>ROUND($O5*AA5,0)</f>
        <v/>
      </c>
      <c r="AS5" s="307">
        <f>ROUND($O5*AB5,0)</f>
        <v/>
      </c>
      <c r="AT5" s="304" t="n"/>
      <c r="AU5" s="304" t="n"/>
      <c r="AV5" s="304" t="n"/>
      <c r="AW5" s="304" t="n"/>
      <c r="AX5" s="236">
        <f>SUM(AG5:AO5)</f>
        <v/>
      </c>
      <c r="AY5" s="528">
        <f>AX5/160</f>
        <v/>
      </c>
      <c r="AZ5" s="87">
        <f>VLOOKUP(I5,Listy!$A$1:$H$9,6,FALSE)</f>
        <v/>
      </c>
      <c r="BA5" s="682">
        <f>AY5*AZ5</f>
        <v/>
      </c>
      <c r="BB5" s="683">
        <f>AY5*BA5</f>
        <v/>
      </c>
      <c r="BC5" s="468" t="n"/>
      <c r="BD5" s="468" t="n"/>
      <c r="BE5" s="468" t="n"/>
      <c r="BF5" s="468" t="n"/>
      <c r="BG5" s="468" t="n"/>
      <c r="BH5" s="468" t="n"/>
      <c r="BI5" s="21">
        <f>BG5*BH5</f>
        <v/>
      </c>
      <c r="BJ5" s="528" t="n"/>
      <c r="BK5" s="528" t="n"/>
      <c r="BL5" s="21" t="n"/>
      <c r="BM5" s="528" t="n"/>
      <c r="BN5" s="528" t="n"/>
      <c r="BO5" s="21" t="n"/>
      <c r="BP5" s="528" t="n"/>
      <c r="BQ5" s="528" t="n"/>
      <c r="BR5" s="21" t="n"/>
      <c r="BS5" s="21" t="n"/>
      <c r="BT5" s="528" t="n"/>
      <c r="BU5" s="528" t="n"/>
      <c r="BV5" s="528" t="n"/>
      <c r="BW5" s="21">
        <f>BU5*BV5</f>
        <v/>
      </c>
      <c r="BX5" s="528" t="n"/>
      <c r="BY5" s="528" t="n"/>
      <c r="BZ5" s="528" t="n"/>
      <c r="CA5" s="21">
        <f>BY5*BZ5</f>
        <v/>
      </c>
      <c r="CB5" s="528" t="n"/>
      <c r="CC5" s="528" t="n"/>
      <c r="CD5" s="528" t="n"/>
      <c r="CE5" s="21">
        <f>CC5*CD5</f>
        <v/>
      </c>
    </row>
    <row r="6">
      <c r="A6" s="528" t="n">
        <v>1</v>
      </c>
      <c r="B6" s="55" t="inlineStr">
        <is>
          <t>b</t>
        </is>
      </c>
      <c r="C6" s="105" t="n">
        <v>1</v>
      </c>
      <c r="D6" s="116">
        <f>CONCATENATE(A$3,"_",A6,"_",B6,"_",C6)</f>
        <v/>
      </c>
      <c r="E6" s="391" t="inlineStr">
        <is>
          <t>Określenie wskaźników KPI do oceny efektywności Platformy</t>
        </is>
      </c>
      <c r="F6" s="528">
        <f>IFERROR(VLOOKUP($I6,Listy!$A:$H,2,FALSE),"XXX")</f>
        <v/>
      </c>
      <c r="G6" s="528">
        <f>IFERROR(VLOOKUP($I6,Listy!$A:$H,3,FALSE),"XXX")</f>
        <v/>
      </c>
      <c r="H6" s="140" t="n">
        <v>2</v>
      </c>
      <c r="I6" s="89" t="inlineStr">
        <is>
          <t>ACT</t>
        </is>
      </c>
      <c r="J6" s="91">
        <f>M5+1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74" t="n">
        <v>1</v>
      </c>
      <c r="O6" s="528" t="n">
        <v>160</v>
      </c>
      <c r="P6" s="187" t="n">
        <v>0.17</v>
      </c>
      <c r="Q6" s="187" t="n">
        <v>0.17</v>
      </c>
      <c r="R6" s="187" t="n">
        <v>0.17</v>
      </c>
      <c r="S6" s="187" t="n">
        <v>0.17</v>
      </c>
      <c r="T6" s="187" t="n">
        <v>0.17</v>
      </c>
      <c r="U6" s="187" t="n">
        <v>0.15</v>
      </c>
      <c r="V6" s="187" t="n"/>
      <c r="W6" s="187" t="n"/>
      <c r="X6" s="187" t="n"/>
      <c r="Y6" s="292" t="n">
        <v>0</v>
      </c>
      <c r="Z6" s="292" t="n">
        <v>0</v>
      </c>
      <c r="AA6" s="292" t="n">
        <v>0</v>
      </c>
      <c r="AB6" s="292" t="n"/>
      <c r="AC6" s="305" t="n"/>
      <c r="AD6" s="305" t="n"/>
      <c r="AE6" s="305" t="n"/>
      <c r="AF6" s="305" t="n"/>
      <c r="AG6" s="192">
        <f>ROUND($O6*P6,0)</f>
        <v/>
      </c>
      <c r="AH6" s="192">
        <f>ROUND($O6*Q6,0)</f>
        <v/>
      </c>
      <c r="AI6" s="192">
        <f>ROUND($O6*R6,0)</f>
        <v/>
      </c>
      <c r="AJ6" s="192">
        <f>ROUND($O6*S6,0)</f>
        <v/>
      </c>
      <c r="AK6" s="192">
        <f>ROUND($O6*T6,0)</f>
        <v/>
      </c>
      <c r="AL6" s="192">
        <f>ROUND($O6*U6,0)</f>
        <v/>
      </c>
      <c r="AM6" s="192">
        <f>ROUND($O6*V6,0)</f>
        <v/>
      </c>
      <c r="AN6" s="192">
        <f>ROUND($O6*W6,0)</f>
        <v/>
      </c>
      <c r="AO6" s="192">
        <f>ROUND($O6*X6,0)</f>
        <v/>
      </c>
      <c r="AP6" s="193">
        <f>ROUND($O6*Y6,0)</f>
        <v/>
      </c>
      <c r="AQ6" s="193">
        <f>ROUND($O6*Z6,0)</f>
        <v/>
      </c>
      <c r="AR6" s="193">
        <f>ROUND($O6*AA6,0)</f>
        <v/>
      </c>
      <c r="AS6" s="193">
        <f>ROUND($O6*AB6,0)</f>
        <v/>
      </c>
      <c r="AT6" s="306">
        <f>ROUND($O6*AC6,0)</f>
        <v/>
      </c>
      <c r="AU6" s="306">
        <f>ROUND($O6*AD6,0)</f>
        <v/>
      </c>
      <c r="AV6" s="306">
        <f>ROUND($O6*AE6,0)</f>
        <v/>
      </c>
      <c r="AW6" s="306">
        <f>ROUND($O6*AF6,0)</f>
        <v/>
      </c>
      <c r="AX6" s="236">
        <f>SUM(AG6:AO6)</f>
        <v/>
      </c>
      <c r="AY6" s="528">
        <f>AX6/160</f>
        <v/>
      </c>
      <c r="AZ6" s="87">
        <f>VLOOKUP(I6,Listy!$A$1:$H$9,6,FALSE)</f>
        <v/>
      </c>
      <c r="BA6" s="682">
        <f>AY6*AZ6</f>
        <v/>
      </c>
      <c r="BB6" s="683">
        <f>AY6*BA6</f>
        <v/>
      </c>
      <c r="BC6" s="528" t="n"/>
      <c r="BD6" s="528" t="n"/>
      <c r="BE6" s="528" t="n"/>
      <c r="BF6" s="528" t="n"/>
      <c r="BG6" s="528" t="n"/>
      <c r="BH6" s="528" t="n"/>
      <c r="BI6" s="21">
        <f>BG6*BH6</f>
        <v/>
      </c>
      <c r="BJ6" s="528" t="n"/>
      <c r="BK6" s="528" t="n"/>
      <c r="BL6" s="528" t="n"/>
      <c r="BM6" s="528" t="n"/>
      <c r="BN6" s="528" t="n"/>
      <c r="BO6" s="528" t="n"/>
      <c r="BP6" s="528" t="n"/>
      <c r="BQ6" s="528" t="n"/>
      <c r="BR6" s="528" t="n"/>
      <c r="BS6" s="528" t="n"/>
      <c r="BT6" s="528" t="n"/>
      <c r="BU6" s="528" t="n"/>
      <c r="BV6" s="528" t="n"/>
      <c r="BW6" s="21">
        <f>BU6*BV6</f>
        <v/>
      </c>
      <c r="BX6" s="528" t="n"/>
      <c r="BY6" s="528" t="n"/>
      <c r="BZ6" s="528" t="n"/>
      <c r="CA6" s="21">
        <f>BY6*BZ6</f>
        <v/>
      </c>
      <c r="CB6" s="528" t="n"/>
      <c r="CC6" s="528" t="n"/>
      <c r="CD6" s="528" t="n"/>
      <c r="CE6" s="21">
        <f>CC6*CD6</f>
        <v/>
      </c>
    </row>
    <row r="7">
      <c r="A7" s="528" t="n">
        <v>1</v>
      </c>
      <c r="B7" s="55" t="inlineStr">
        <is>
          <t>c</t>
        </is>
      </c>
      <c r="C7" s="105" t="n">
        <v>1</v>
      </c>
      <c r="D7" s="116">
        <f>CONCATENATE(A$3,"_",A7,"_",B7,"_",C7)</f>
        <v/>
      </c>
      <c r="E7" s="391" t="inlineStr">
        <is>
          <t>Identyfikacja wyzwań/„wąskich gardeł”</t>
        </is>
      </c>
      <c r="F7" s="528">
        <f>IFERROR(VLOOKUP($I7,Listy!$A:$H,2,FALSE),"XXX")</f>
        <v/>
      </c>
      <c r="G7" s="528">
        <f>IFERROR(VLOOKUP($I7,Listy!$A:$H,3,FALSE),"XXX")</f>
        <v/>
      </c>
      <c r="H7" s="140" t="n">
        <v>3</v>
      </c>
      <c r="I7" s="89" t="inlineStr">
        <is>
          <t>ACT/END</t>
        </is>
      </c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74" t="n">
        <v>1</v>
      </c>
      <c r="O7" s="528" t="n">
        <v>160</v>
      </c>
      <c r="P7" s="187" t="n">
        <v>0.15</v>
      </c>
      <c r="Q7" s="187" t="n">
        <v>0.15</v>
      </c>
      <c r="R7" s="187" t="n">
        <v>0.15</v>
      </c>
      <c r="S7" s="187" t="n">
        <v>0.14</v>
      </c>
      <c r="T7" s="187" t="n">
        <v>0.14</v>
      </c>
      <c r="U7" s="187" t="n">
        <v>0.14</v>
      </c>
      <c r="V7" s="187" t="n"/>
      <c r="W7" s="187" t="n"/>
      <c r="X7" s="187" t="n"/>
      <c r="Y7" s="292" t="n">
        <v>0.13</v>
      </c>
      <c r="Z7" s="292" t="n">
        <v>0</v>
      </c>
      <c r="AA7" s="292" t="n">
        <v>0</v>
      </c>
      <c r="AB7" s="292" t="n"/>
      <c r="AC7" s="304" t="n"/>
      <c r="AD7" s="304" t="n"/>
      <c r="AE7" s="304" t="n"/>
      <c r="AF7" s="304" t="n"/>
      <c r="AG7" s="192">
        <f>ROUND($O7*P7,0)</f>
        <v/>
      </c>
      <c r="AH7" s="192">
        <f>ROUND($O7*Q7,0)</f>
        <v/>
      </c>
      <c r="AI7" s="192">
        <f>ROUND($O7*R7,0)</f>
        <v/>
      </c>
      <c r="AJ7" s="192">
        <f>ROUND($O7*S7,0)</f>
        <v/>
      </c>
      <c r="AK7" s="192">
        <f>ROUND($O7*T7,0)</f>
        <v/>
      </c>
      <c r="AL7" s="192">
        <f>ROUND($O7*U7,0)</f>
        <v/>
      </c>
      <c r="AM7" s="192">
        <f>ROUND($O7*V7,0)</f>
        <v/>
      </c>
      <c r="AN7" s="192">
        <f>ROUND($O7*W7,0)</f>
        <v/>
      </c>
      <c r="AO7" s="192">
        <f>ROUND($O7*X7,0)</f>
        <v/>
      </c>
      <c r="AP7" s="193">
        <f>ROUND($O7*Y7,0)</f>
        <v/>
      </c>
      <c r="AQ7" s="193">
        <f>ROUND($O7*Z7,0)</f>
        <v/>
      </c>
      <c r="AR7" s="193">
        <f>ROUND($O7*AA7,0)</f>
        <v/>
      </c>
      <c r="AS7" s="307">
        <f>ROUND($O7*AB7,0)</f>
        <v/>
      </c>
      <c r="AT7" s="304" t="n"/>
      <c r="AU7" s="304" t="n"/>
      <c r="AV7" s="304" t="n"/>
      <c r="AW7" s="304" t="n"/>
      <c r="AX7" s="236">
        <f>SUM(AG7:AO7)</f>
        <v/>
      </c>
      <c r="AY7" s="528">
        <f>AX7/160</f>
        <v/>
      </c>
      <c r="AZ7" s="87">
        <f>VLOOKUP(I7,Listy!$A$1:$H$9,6,FALSE)</f>
        <v/>
      </c>
      <c r="BA7" s="682">
        <f>AY7*AZ7</f>
        <v/>
      </c>
      <c r="BB7" s="683">
        <f>AY7*BA7</f>
        <v/>
      </c>
      <c r="BC7" s="468" t="n"/>
      <c r="BD7" s="468" t="n"/>
      <c r="BE7" s="468" t="n"/>
      <c r="BF7" s="468" t="n"/>
      <c r="BG7" s="468" t="n"/>
      <c r="BH7" s="468" t="n"/>
      <c r="BI7" s="21">
        <f>BG7*BH7</f>
        <v/>
      </c>
      <c r="BJ7" s="528" t="n"/>
      <c r="BK7" s="528" t="n"/>
      <c r="BL7" s="21" t="n"/>
      <c r="BM7" s="528" t="n"/>
      <c r="BN7" s="528" t="n"/>
      <c r="BO7" s="21" t="n"/>
      <c r="BP7" s="528" t="n"/>
      <c r="BQ7" s="528" t="n"/>
      <c r="BR7" s="21" t="n"/>
      <c r="BS7" s="21" t="n"/>
      <c r="BT7" s="528" t="n"/>
      <c r="BU7" s="528" t="n"/>
      <c r="BV7" s="528" t="n"/>
      <c r="BW7" s="21">
        <f>BU7*BV7</f>
        <v/>
      </c>
      <c r="BX7" s="528" t="n"/>
      <c r="BY7" s="528" t="n"/>
      <c r="BZ7" s="528" t="n"/>
      <c r="CA7" s="21">
        <f>BY7*BZ7</f>
        <v/>
      </c>
      <c r="CB7" s="528" t="n"/>
      <c r="CC7" s="528" t="n"/>
      <c r="CD7" s="528" t="n"/>
      <c r="CE7" s="21">
        <f>CC7*CD7</f>
        <v/>
      </c>
    </row>
    <row r="8">
      <c r="A8" s="528" t="n">
        <v>1</v>
      </c>
      <c r="B8" s="55" t="inlineStr">
        <is>
          <t>d</t>
        </is>
      </c>
      <c r="C8" s="105" t="n">
        <v>1</v>
      </c>
      <c r="D8" s="116">
        <f>CONCATENATE(A$3,"_",A8,"_",B8,"_",C8)</f>
        <v/>
      </c>
      <c r="E8" s="391" t="inlineStr">
        <is>
          <t>Analiza wpływu zakłóceń dostępności infrastruktury technicznej</t>
        </is>
      </c>
      <c r="F8" s="528">
        <f>IFERROR(VLOOKUP($I8,Listy!$A:$H,2,FALSE),"XXX")</f>
        <v/>
      </c>
      <c r="G8" s="528">
        <f>IFERROR(VLOOKUP($I8,Listy!$A:$H,3,FALSE),"XXX")</f>
        <v/>
      </c>
      <c r="H8" s="140" t="n">
        <v>4</v>
      </c>
      <c r="I8" s="89" t="inlineStr">
        <is>
          <t>ACT</t>
        </is>
      </c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74" t="n">
        <v>1</v>
      </c>
      <c r="O8" s="528" t="n">
        <v>160</v>
      </c>
      <c r="P8" s="187" t="n">
        <v>0.17</v>
      </c>
      <c r="Q8" s="187" t="n">
        <v>0.17</v>
      </c>
      <c r="R8" s="187" t="n">
        <v>0.17</v>
      </c>
      <c r="S8" s="187" t="n">
        <v>0.17</v>
      </c>
      <c r="T8" s="187" t="n">
        <v>0.17</v>
      </c>
      <c r="U8" s="187" t="n">
        <v>0.15</v>
      </c>
      <c r="V8" s="187" t="n"/>
      <c r="W8" s="187" t="n"/>
      <c r="X8" s="187" t="n"/>
      <c r="Y8" s="292" t="n">
        <v>0</v>
      </c>
      <c r="Z8" s="292" t="n">
        <v>0</v>
      </c>
      <c r="AA8" s="292" t="n">
        <v>0</v>
      </c>
      <c r="AB8" s="292" t="n"/>
      <c r="AC8" s="305" t="n"/>
      <c r="AD8" s="305" t="n"/>
      <c r="AE8" s="305" t="n"/>
      <c r="AF8" s="305" t="n"/>
      <c r="AG8" s="192">
        <f>ROUND($O8*P8,0)</f>
        <v/>
      </c>
      <c r="AH8" s="192">
        <f>ROUND($O8*Q8,0)</f>
        <v/>
      </c>
      <c r="AI8" s="192">
        <f>ROUND($O8*R8,0)</f>
        <v/>
      </c>
      <c r="AJ8" s="192">
        <f>ROUND($O8*S8,0)</f>
        <v/>
      </c>
      <c r="AK8" s="192">
        <f>ROUND($O8*T8,0)</f>
        <v/>
      </c>
      <c r="AL8" s="192">
        <f>ROUND($O8*U8,0)</f>
        <v/>
      </c>
      <c r="AM8" s="192">
        <f>ROUND($O8*V8,0)</f>
        <v/>
      </c>
      <c r="AN8" s="192">
        <f>ROUND($O8*W8,0)</f>
        <v/>
      </c>
      <c r="AO8" s="192">
        <f>ROUND($O8*X8,0)</f>
        <v/>
      </c>
      <c r="AP8" s="193">
        <f>ROUND($O8*Y8,0)</f>
        <v/>
      </c>
      <c r="AQ8" s="193">
        <f>ROUND($O8*Z8,0)</f>
        <v/>
      </c>
      <c r="AR8" s="193">
        <f>ROUND($O8*AA8,0)</f>
        <v/>
      </c>
      <c r="AS8" s="193">
        <f>ROUND($O8*AB8,0)</f>
        <v/>
      </c>
      <c r="AT8" s="306">
        <f>ROUND($O8*AC8,0)</f>
        <v/>
      </c>
      <c r="AU8" s="306">
        <f>ROUND($O8*AD8,0)</f>
        <v/>
      </c>
      <c r="AV8" s="306">
        <f>ROUND($O8*AE8,0)</f>
        <v/>
      </c>
      <c r="AW8" s="306">
        <f>ROUND($O8*AF8,0)</f>
        <v/>
      </c>
      <c r="AX8" s="236">
        <f>SUM(AG8:AO8)</f>
        <v/>
      </c>
      <c r="AY8" s="528">
        <f>AX8/160</f>
        <v/>
      </c>
      <c r="AZ8" s="87">
        <f>VLOOKUP(I8,Listy!$A$1:$H$9,6,FALSE)</f>
        <v/>
      </c>
      <c r="BA8" s="682">
        <f>AY8*AZ8</f>
        <v/>
      </c>
      <c r="BB8" s="683">
        <f>AY8*BA8</f>
        <v/>
      </c>
      <c r="BC8" s="528" t="n"/>
      <c r="BD8" s="528" t="n"/>
      <c r="BE8" s="528" t="n"/>
      <c r="BF8" s="528" t="n"/>
      <c r="BG8" s="528" t="n"/>
      <c r="BH8" s="528" t="n"/>
      <c r="BI8" s="21">
        <f>BG8*BH8</f>
        <v/>
      </c>
      <c r="BJ8" s="528" t="n"/>
      <c r="BK8" s="528" t="n"/>
      <c r="BL8" s="528" t="n"/>
      <c r="BM8" s="528" t="n"/>
      <c r="BN8" s="528" t="n"/>
      <c r="BO8" s="528" t="n"/>
      <c r="BP8" s="528" t="n"/>
      <c r="BQ8" s="528" t="n"/>
      <c r="BR8" s="528" t="n"/>
      <c r="BS8" s="528" t="n"/>
      <c r="BT8" s="528" t="n"/>
      <c r="BU8" s="528" t="n"/>
      <c r="BV8" s="528" t="n"/>
      <c r="BW8" s="21">
        <f>BU8*BV8</f>
        <v/>
      </c>
      <c r="BX8" s="528" t="n"/>
      <c r="BY8" s="528" t="n"/>
      <c r="BZ8" s="528" t="n"/>
      <c r="CA8" s="21">
        <f>BY8*BZ8</f>
        <v/>
      </c>
      <c r="CB8" s="528" t="n"/>
      <c r="CC8" s="528" t="n"/>
      <c r="CD8" s="528" t="n"/>
      <c r="CE8" s="21">
        <f>CC8*CD8</f>
        <v/>
      </c>
    </row>
    <row r="9">
      <c r="A9" s="528" t="n">
        <v>1</v>
      </c>
      <c r="B9" s="55" t="inlineStr">
        <is>
          <t>e</t>
        </is>
      </c>
      <c r="C9" s="105" t="n">
        <v>1</v>
      </c>
      <c r="D9" s="116">
        <f>CONCATENATE(A$3,"_",A9,"_",B9,"_",C9)</f>
        <v/>
      </c>
      <c r="E9" s="391" t="inlineStr">
        <is>
          <t>Stworzenie mapy zidentyfikowanych algorytmów/zjawisk/działań na Platformie</t>
        </is>
      </c>
      <c r="F9" s="528">
        <f>IFERROR(VLOOKUP($I9,Listy!$A:$H,2,FALSE),"XXX")</f>
        <v/>
      </c>
      <c r="G9" s="528">
        <f>IFERROR(VLOOKUP($I9,Listy!$A:$H,3,FALSE),"XXX")</f>
        <v/>
      </c>
      <c r="H9" s="140" t="n">
        <v>5</v>
      </c>
      <c r="I9" s="89" t="inlineStr">
        <is>
          <t>ACT</t>
        </is>
      </c>
      <c r="J9" s="91">
        <f>M8+1</f>
        <v/>
      </c>
      <c r="K9" s="681">
        <f>VLOOKUP(J9,Kalendarz!B:E,4,FALSE)</f>
        <v/>
      </c>
      <c r="L9" s="681">
        <f>K9+N9</f>
        <v/>
      </c>
      <c r="M9" s="528">
        <f>J9+N9-1</f>
        <v/>
      </c>
      <c r="N9" s="474" t="n">
        <v>1</v>
      </c>
      <c r="O9" s="528" t="n">
        <v>160</v>
      </c>
      <c r="P9" s="187" t="n">
        <v>0.17</v>
      </c>
      <c r="Q9" s="187" t="n">
        <v>0.17</v>
      </c>
      <c r="R9" s="187" t="n">
        <v>0.17</v>
      </c>
      <c r="S9" s="187" t="n">
        <v>0.17</v>
      </c>
      <c r="T9" s="187" t="n">
        <v>0.17</v>
      </c>
      <c r="U9" s="187" t="n">
        <v>0.15</v>
      </c>
      <c r="V9" s="187" t="n"/>
      <c r="W9" s="187" t="n"/>
      <c r="X9" s="187" t="n"/>
      <c r="Y9" s="292" t="n">
        <v>0</v>
      </c>
      <c r="Z9" s="292" t="n">
        <v>0</v>
      </c>
      <c r="AA9" s="292" t="n">
        <v>0</v>
      </c>
      <c r="AB9" s="292" t="n"/>
      <c r="AC9" s="304" t="n"/>
      <c r="AD9" s="304" t="n"/>
      <c r="AE9" s="304" t="n"/>
      <c r="AF9" s="304" t="n"/>
      <c r="AG9" s="192">
        <f>ROUND($O9*P9,0)</f>
        <v/>
      </c>
      <c r="AH9" s="192">
        <f>ROUND($O9*Q9,0)</f>
        <v/>
      </c>
      <c r="AI9" s="192">
        <f>ROUND($O9*R9,0)</f>
        <v/>
      </c>
      <c r="AJ9" s="192">
        <f>ROUND($O9*S9,0)</f>
        <v/>
      </c>
      <c r="AK9" s="192">
        <f>ROUND($O9*T9,0)</f>
        <v/>
      </c>
      <c r="AL9" s="192">
        <f>ROUND($O9*U9,0)</f>
        <v/>
      </c>
      <c r="AM9" s="192">
        <f>ROUND($O9*V9,0)</f>
        <v/>
      </c>
      <c r="AN9" s="192">
        <f>ROUND($O9*W9,0)</f>
        <v/>
      </c>
      <c r="AO9" s="192">
        <f>ROUND($O9*X9,0)</f>
        <v/>
      </c>
      <c r="AP9" s="193">
        <f>ROUND($O9*Y9,0)</f>
        <v/>
      </c>
      <c r="AQ9" s="193">
        <f>ROUND($O9*Z9,0)</f>
        <v/>
      </c>
      <c r="AR9" s="193">
        <f>ROUND($O9*AA9,0)</f>
        <v/>
      </c>
      <c r="AS9" s="307">
        <f>ROUND($O9*AB9,0)</f>
        <v/>
      </c>
      <c r="AT9" s="304" t="n"/>
      <c r="AU9" s="304" t="n"/>
      <c r="AV9" s="304" t="n"/>
      <c r="AW9" s="304" t="n"/>
      <c r="AX9" s="468" t="n"/>
      <c r="AY9" s="468" t="n"/>
      <c r="AZ9" s="468" t="n"/>
      <c r="BA9" s="468" t="n"/>
      <c r="BB9" s="468" t="n"/>
      <c r="BC9" s="468" t="n"/>
      <c r="BD9" s="468" t="n"/>
      <c r="BE9" s="468" t="n"/>
      <c r="BF9" s="468" t="n"/>
      <c r="BG9" s="468" t="n"/>
      <c r="BH9" s="468" t="n"/>
      <c r="BI9" s="21">
        <f>BG9*BH9</f>
        <v/>
      </c>
      <c r="BJ9" s="528" t="n"/>
      <c r="BK9" s="528" t="n"/>
      <c r="BL9" s="21" t="n"/>
      <c r="BM9" s="528" t="n"/>
      <c r="BN9" s="528" t="n"/>
      <c r="BO9" s="21" t="n"/>
      <c r="BP9" s="528" t="n"/>
      <c r="BQ9" s="528" t="n"/>
      <c r="BR9" s="21" t="n"/>
      <c r="BS9" s="21" t="n"/>
      <c r="BT9" s="528" t="n"/>
      <c r="BU9" s="528" t="n"/>
      <c r="BV9" s="528" t="n"/>
      <c r="BW9" s="21">
        <f>BU9*BV9</f>
        <v/>
      </c>
      <c r="BX9" s="528" t="n"/>
      <c r="BY9" s="528" t="n"/>
      <c r="BZ9" s="528" t="n"/>
      <c r="CA9" s="21">
        <f>BY9*BZ9</f>
        <v/>
      </c>
      <c r="CB9" s="528" t="n"/>
      <c r="CC9" s="528" t="n"/>
      <c r="CD9" s="528" t="n"/>
      <c r="CE9" s="21">
        <f>CC9*CD9</f>
        <v/>
      </c>
    </row>
    <row r="10" ht="18" customHeight="1" s="191">
      <c r="A10" s="604" t="n">
        <v>2</v>
      </c>
      <c r="B10" s="55" t="inlineStr">
        <is>
          <t>a</t>
        </is>
      </c>
      <c r="C10" s="105" t="n">
        <v>0</v>
      </c>
      <c r="D10" s="116">
        <f>CONCATENATE(A$3,"_",A10,"_",B10,"_",C10)</f>
        <v/>
      </c>
      <c r="E10" s="388" t="inlineStr">
        <is>
          <t>2.Projektowania Architektury Platformy</t>
        </is>
      </c>
      <c r="F10" s="122" t="n"/>
      <c r="G10" s="122" t="n"/>
      <c r="H10" s="528" t="n"/>
      <c r="I10" s="122" t="n"/>
      <c r="J10" s="91">
        <f>M9+1</f>
        <v/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74">
        <f>ROUND(MAX(AG10:AO10)/Listy!$U$2,0)</f>
        <v/>
      </c>
      <c r="O10" s="468" t="n"/>
      <c r="P10" s="468" t="n"/>
      <c r="Q10" s="468" t="n"/>
      <c r="R10" s="468" t="n"/>
      <c r="S10" s="468" t="n"/>
      <c r="T10" s="468" t="n"/>
      <c r="U10" s="468" t="n"/>
      <c r="V10" s="468" t="n"/>
      <c r="W10" s="468" t="n"/>
      <c r="X10" s="468" t="n"/>
      <c r="Y10" s="468" t="n"/>
      <c r="Z10" s="468" t="n"/>
      <c r="AA10" s="468" t="n"/>
      <c r="AB10" s="468" t="n"/>
      <c r="AC10" s="468" t="n"/>
      <c r="AD10" s="468" t="n"/>
      <c r="AE10" s="468" t="n"/>
      <c r="AF10" s="468" t="n"/>
      <c r="AG10" s="468" t="n"/>
      <c r="AH10" s="468" t="n"/>
      <c r="AI10" s="468" t="n"/>
      <c r="AJ10" s="468" t="n"/>
      <c r="AK10" s="468" t="n"/>
      <c r="AL10" s="468" t="n"/>
      <c r="AM10" s="468" t="n"/>
      <c r="AN10" s="468" t="n"/>
      <c r="AO10" s="468" t="n"/>
      <c r="AP10" s="468" t="n"/>
      <c r="AQ10" s="468" t="n"/>
      <c r="AR10" s="468" t="n"/>
      <c r="AS10" s="468" t="n"/>
      <c r="AT10" s="468" t="n"/>
      <c r="AU10" s="468" t="n"/>
      <c r="AV10" s="468" t="n"/>
      <c r="AW10" s="468" t="n"/>
      <c r="AX10" s="468" t="n"/>
      <c r="AY10" s="468" t="n"/>
      <c r="AZ10" s="468" t="n"/>
      <c r="BA10" s="468" t="n"/>
      <c r="BB10" s="468" t="n"/>
      <c r="BC10" s="468" t="n"/>
      <c r="BD10" s="122" t="n"/>
      <c r="BE10" s="122" t="n"/>
      <c r="BF10" s="122" t="n"/>
      <c r="BG10" s="122" t="n"/>
      <c r="BH10" s="122" t="n"/>
      <c r="BI10" s="122" t="n"/>
      <c r="BJ10" s="122" t="n"/>
      <c r="BK10" s="122" t="n"/>
      <c r="BL10" s="122" t="n"/>
      <c r="BM10" s="122" t="n"/>
      <c r="BN10" s="122" t="n"/>
      <c r="BO10" s="122" t="n"/>
      <c r="BP10" s="122" t="n"/>
      <c r="BQ10" s="122" t="n"/>
      <c r="BR10" s="122" t="n"/>
      <c r="BS10" s="122" t="n"/>
      <c r="BT10" s="122" t="n"/>
      <c r="BU10" s="122" t="n"/>
      <c r="BV10" s="122" t="n"/>
      <c r="BW10" s="122" t="n"/>
      <c r="BX10" s="122" t="n"/>
      <c r="BY10" s="122" t="n"/>
      <c r="BZ10" s="122" t="n"/>
      <c r="CA10" s="122" t="n"/>
      <c r="CB10" s="122" t="n"/>
      <c r="CC10" s="122" t="n"/>
      <c r="CD10" s="122" t="n"/>
      <c r="CE10" s="122" t="n"/>
    </row>
    <row r="11" customFormat="1" s="538">
      <c r="A11" s="528" t="n">
        <v>2</v>
      </c>
      <c r="B11" s="55" t="inlineStr">
        <is>
          <t>a</t>
        </is>
      </c>
      <c r="C11" s="105" t="n">
        <v>1</v>
      </c>
      <c r="D11" s="116">
        <f>CONCATENATE(A$3,"_",A11,"_",B11,"_",C11)</f>
        <v/>
      </c>
      <c r="E11" s="391" t="inlineStr">
        <is>
          <t>Zdefiniowanie wymagań technicznych i funkcjonalnych</t>
        </is>
      </c>
      <c r="F11" s="528">
        <f>IFERROR(VLOOKUP($I11,Listy!$A:$H,2,FALSE),"XXX")</f>
        <v/>
      </c>
      <c r="G11" s="528">
        <f>IFERROR(VLOOKUP($I11,Listy!$A:$H,3,FALSE),"XXX")</f>
        <v/>
      </c>
      <c r="H11" s="45" t="n">
        <v>6</v>
      </c>
      <c r="I11" s="89" t="inlineStr">
        <is>
          <t>ACT/END</t>
        </is>
      </c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474" t="n">
        <v>1</v>
      </c>
      <c r="O11" s="528" t="n">
        <v>160</v>
      </c>
      <c r="P11" s="187" t="n">
        <v>0.13</v>
      </c>
      <c r="Q11" s="187" t="n">
        <v>0.13</v>
      </c>
      <c r="R11" s="187" t="n">
        <v>0.13</v>
      </c>
      <c r="S11" s="187" t="n">
        <v>0.12</v>
      </c>
      <c r="T11" s="187" t="n">
        <v>0.12</v>
      </c>
      <c r="U11" s="187" t="n">
        <v>0.12</v>
      </c>
      <c r="V11" s="187" t="n"/>
      <c r="W11" s="187" t="n"/>
      <c r="X11" s="187" t="n"/>
      <c r="Y11" s="292" t="n">
        <v>0.25</v>
      </c>
      <c r="Z11" s="292" t="n">
        <v>0</v>
      </c>
      <c r="AA11" s="292" t="n">
        <v>0</v>
      </c>
      <c r="AB11" s="292" t="n"/>
      <c r="AC11" s="304" t="n"/>
      <c r="AD11" s="304" t="n"/>
      <c r="AE11" s="304" t="n"/>
      <c r="AF11" s="304" t="n"/>
      <c r="AG11" s="192">
        <f>ROUND($O11*P11,0)</f>
        <v/>
      </c>
      <c r="AH11" s="192">
        <f>ROUND($O11*Q11,0)</f>
        <v/>
      </c>
      <c r="AI11" s="192">
        <f>ROUND($O11*R11,0)</f>
        <v/>
      </c>
      <c r="AJ11" s="192">
        <f>ROUND($O11*S11,0)</f>
        <v/>
      </c>
      <c r="AK11" s="192">
        <f>ROUND($O11*T11,0)</f>
        <v/>
      </c>
      <c r="AL11" s="192">
        <f>ROUND($O11*U11,0)</f>
        <v/>
      </c>
      <c r="AM11" s="192">
        <f>ROUND($O11*V11,0)</f>
        <v/>
      </c>
      <c r="AN11" s="192">
        <f>ROUND($O11*W11,0)</f>
        <v/>
      </c>
      <c r="AO11" s="192">
        <f>ROUND($O11*X11,0)</f>
        <v/>
      </c>
      <c r="AP11" s="193">
        <f>ROUND($O11*Y11,0)</f>
        <v/>
      </c>
      <c r="AQ11" s="193">
        <f>ROUND($O11*Z11,0)</f>
        <v/>
      </c>
      <c r="AR11" s="193">
        <f>ROUND($O11*AA11,0)</f>
        <v/>
      </c>
      <c r="AS11" s="307">
        <f>ROUND($O11*AB11,0)</f>
        <v/>
      </c>
      <c r="AT11" s="304" t="n"/>
      <c r="AU11" s="304" t="n"/>
      <c r="AV11" s="304" t="n"/>
      <c r="AW11" s="304" t="n"/>
      <c r="AX11" s="236">
        <f>SUM(AG11:AO11)</f>
        <v/>
      </c>
      <c r="AY11" s="528">
        <f>AX11/160</f>
        <v/>
      </c>
      <c r="AZ11" s="87">
        <f>VLOOKUP(I11,Listy!$A$1:$H$9,6,FALSE)</f>
        <v/>
      </c>
      <c r="BA11" s="682">
        <f>AY11*AZ11</f>
        <v/>
      </c>
      <c r="BB11" s="683">
        <f>AY11*BA11</f>
        <v/>
      </c>
      <c r="BC11" s="468" t="n"/>
      <c r="BD11" s="468" t="n"/>
      <c r="BE11" s="468" t="n"/>
      <c r="BF11" s="468" t="n"/>
      <c r="BG11" s="468" t="n"/>
      <c r="BH11" s="468" t="n"/>
      <c r="BI11" s="21">
        <f>BG11*BH11</f>
        <v/>
      </c>
      <c r="BJ11" s="528" t="n"/>
      <c r="BK11" s="528" t="n"/>
      <c r="BL11" s="21" t="n"/>
      <c r="BM11" s="528" t="n"/>
      <c r="BN11" s="528" t="n"/>
      <c r="BO11" s="21" t="n"/>
      <c r="BP11" s="528" t="n"/>
      <c r="BQ11" s="528" t="n"/>
      <c r="BR11" s="21" t="n"/>
      <c r="BS11" s="21" t="n"/>
      <c r="BT11" s="528" t="n"/>
      <c r="BU11" s="528" t="n"/>
      <c r="BV11" s="528" t="n"/>
      <c r="BW11" s="21">
        <f>BU11*BV11</f>
        <v/>
      </c>
      <c r="BX11" s="528" t="n"/>
      <c r="BY11" s="528" t="n"/>
      <c r="BZ11" s="528" t="n"/>
      <c r="CA11" s="21">
        <f>BY11*BZ11</f>
        <v/>
      </c>
      <c r="CB11" s="528" t="n"/>
      <c r="CC11" s="528" t="n"/>
      <c r="CD11" s="528" t="n"/>
      <c r="CE11" s="21">
        <f>CC11*CD11</f>
        <v/>
      </c>
    </row>
    <row r="12" customFormat="1" s="538">
      <c r="A12" s="46" t="n">
        <v>2</v>
      </c>
      <c r="B12" s="55" t="inlineStr">
        <is>
          <t>b</t>
        </is>
      </c>
      <c r="C12" s="105" t="n">
        <v>1</v>
      </c>
      <c r="D12" s="116">
        <f>CONCATENATE(A$3,"_",A12,"_",B12,"_",C12)</f>
        <v/>
      </c>
      <c r="E12" s="391" t="inlineStr">
        <is>
          <t>Opracowanie architektury systemu</t>
        </is>
      </c>
      <c r="F12" s="528">
        <f>IFERROR(VLOOKUP($I12,Listy!$A:$H,2,FALSE),"XXX")</f>
        <v/>
      </c>
      <c r="G12" s="528">
        <f>IFERROR(VLOOKUP($I12,Listy!$A:$H,3,FALSE),"XXX")</f>
        <v/>
      </c>
      <c r="H12" s="45" t="n">
        <v>7</v>
      </c>
      <c r="I12" s="89" t="inlineStr">
        <is>
          <t>ACT/END</t>
        </is>
      </c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474" t="n">
        <v>1</v>
      </c>
      <c r="O12" s="528" t="n">
        <v>160</v>
      </c>
      <c r="P12" s="187" t="n">
        <v>0.13</v>
      </c>
      <c r="Q12" s="187" t="n">
        <v>0.13</v>
      </c>
      <c r="R12" s="187" t="n">
        <v>0.13</v>
      </c>
      <c r="S12" s="187" t="n">
        <v>0.12</v>
      </c>
      <c r="T12" s="187" t="n">
        <v>0.12</v>
      </c>
      <c r="U12" s="187" t="n">
        <v>0.12</v>
      </c>
      <c r="V12" s="187" t="n"/>
      <c r="W12" s="187" t="n"/>
      <c r="X12" s="187" t="n"/>
      <c r="Y12" s="292" t="n">
        <v>0.25</v>
      </c>
      <c r="Z12" s="292" t="n">
        <v>0</v>
      </c>
      <c r="AA12" s="292" t="n">
        <v>0</v>
      </c>
      <c r="AB12" s="292" t="n"/>
      <c r="AC12" s="305" t="n"/>
      <c r="AD12" s="305" t="n"/>
      <c r="AE12" s="305" t="n"/>
      <c r="AF12" s="305" t="n"/>
      <c r="AG12" s="192">
        <f>ROUND($O12*P12,0)</f>
        <v/>
      </c>
      <c r="AH12" s="192">
        <f>ROUND($O12*Q12,0)</f>
        <v/>
      </c>
      <c r="AI12" s="192">
        <f>ROUND($O12*R12,0)</f>
        <v/>
      </c>
      <c r="AJ12" s="192">
        <f>ROUND($O12*S12,0)</f>
        <v/>
      </c>
      <c r="AK12" s="192">
        <f>ROUND($O12*T12,0)</f>
        <v/>
      </c>
      <c r="AL12" s="192">
        <f>ROUND($O12*U12,0)</f>
        <v/>
      </c>
      <c r="AM12" s="192">
        <f>ROUND($O12*V12,0)</f>
        <v/>
      </c>
      <c r="AN12" s="192">
        <f>ROUND($O12*W12,0)</f>
        <v/>
      </c>
      <c r="AO12" s="192">
        <f>ROUND($O12*X12,0)</f>
        <v/>
      </c>
      <c r="AP12" s="193">
        <f>ROUND($O12*Y12,0)</f>
        <v/>
      </c>
      <c r="AQ12" s="193">
        <f>ROUND($O12*Z12,0)</f>
        <v/>
      </c>
      <c r="AR12" s="193">
        <f>ROUND($O12*AA12,0)</f>
        <v/>
      </c>
      <c r="AS12" s="193">
        <f>ROUND($O12*AB12,0)</f>
        <v/>
      </c>
      <c r="AT12" s="306">
        <f>ROUND($O12*AC12,0)</f>
        <v/>
      </c>
      <c r="AU12" s="306">
        <f>ROUND($O12*AD12,0)</f>
        <v/>
      </c>
      <c r="AV12" s="306">
        <f>ROUND($O12*AE12,0)</f>
        <v/>
      </c>
      <c r="AW12" s="306">
        <f>ROUND($O12*AF12,0)</f>
        <v/>
      </c>
      <c r="AX12" s="236">
        <f>SUM(AG12:AO12)</f>
        <v/>
      </c>
      <c r="AY12" s="528">
        <f>AX12/160</f>
        <v/>
      </c>
      <c r="AZ12" s="87">
        <f>VLOOKUP(I12,Listy!$A$1:$H$9,6,FALSE)</f>
        <v/>
      </c>
      <c r="BA12" s="682">
        <f>AY12*AZ12</f>
        <v/>
      </c>
      <c r="BB12" s="683">
        <f>AY12*BA12</f>
        <v/>
      </c>
      <c r="BC12" s="528" t="n"/>
      <c r="BD12" s="528" t="n"/>
      <c r="BE12" s="528" t="n"/>
      <c r="BF12" s="528" t="n"/>
      <c r="BG12" s="528" t="n"/>
      <c r="BH12" s="528" t="n"/>
      <c r="BI12" s="21">
        <f>BG12*BH12</f>
        <v/>
      </c>
      <c r="BJ12" s="528" t="n"/>
      <c r="BK12" s="528" t="n"/>
      <c r="BL12" s="528" t="n"/>
      <c r="BM12" s="528" t="n"/>
      <c r="BN12" s="528" t="n"/>
      <c r="BO12" s="528" t="n"/>
      <c r="BP12" s="528" t="n"/>
      <c r="BQ12" s="528" t="n"/>
      <c r="BR12" s="528" t="n"/>
      <c r="BS12" s="528" t="n"/>
      <c r="BT12" s="528" t="n"/>
      <c r="BU12" s="528" t="n"/>
      <c r="BV12" s="528" t="n"/>
      <c r="BW12" s="21">
        <f>BU12*BV12</f>
        <v/>
      </c>
      <c r="BX12" s="528" t="n"/>
      <c r="BY12" s="528" t="n"/>
      <c r="BZ12" s="528" t="n"/>
      <c r="CA12" s="21">
        <f>BY12*BZ12</f>
        <v/>
      </c>
      <c r="CB12" s="528" t="n"/>
      <c r="CC12" s="528" t="n"/>
      <c r="CD12" s="528" t="n"/>
      <c r="CE12" s="21">
        <f>CC12*CD12</f>
        <v/>
      </c>
    </row>
    <row r="13" customFormat="1" s="538">
      <c r="A13" s="46" t="n">
        <v>2</v>
      </c>
      <c r="B13" s="55" t="inlineStr">
        <is>
          <t>c</t>
        </is>
      </c>
      <c r="C13" s="105" t="n">
        <v>1</v>
      </c>
      <c r="D13" s="116">
        <f>CONCATENATE(A$3,"_",A13,"_",B13,"_",C13)</f>
        <v/>
      </c>
      <c r="E13" s="391" t="inlineStr">
        <is>
          <t>Ocena i wybór platformy technologicznej/infrastrukturalnej</t>
        </is>
      </c>
      <c r="F13" s="528">
        <f>IFERROR(VLOOKUP($I13,Listy!$A:$H,2,FALSE),"XXX")</f>
        <v/>
      </c>
      <c r="G13" s="528">
        <f>IFERROR(VLOOKUP($I13,Listy!$A:$H,3,FALSE),"XXX")</f>
        <v/>
      </c>
      <c r="H13" s="45" t="n">
        <v>8</v>
      </c>
      <c r="I13" s="89" t="inlineStr">
        <is>
          <t>ACT/END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0</v>
      </c>
      <c r="O13" s="528" t="n">
        <v>120</v>
      </c>
      <c r="P13" s="187" t="n">
        <v>0.12</v>
      </c>
      <c r="Q13" s="187" t="n">
        <v>0.11</v>
      </c>
      <c r="R13" s="187" t="n">
        <v>0.11</v>
      </c>
      <c r="S13" s="187" t="n">
        <v>0.11</v>
      </c>
      <c r="T13" s="187" t="n">
        <v>0.11</v>
      </c>
      <c r="U13" s="187" t="n">
        <v>0.11</v>
      </c>
      <c r="V13" s="187" t="n"/>
      <c r="W13" s="187" t="n"/>
      <c r="X13" s="187" t="n"/>
      <c r="Y13" s="292" t="n">
        <v>0</v>
      </c>
      <c r="Z13" s="292" t="n">
        <v>0.33</v>
      </c>
      <c r="AA13" s="292" t="n">
        <v>0</v>
      </c>
      <c r="AB13" s="292" t="n"/>
      <c r="AC13" s="304" t="n"/>
      <c r="AD13" s="304" t="n"/>
      <c r="AE13" s="304" t="n"/>
      <c r="AF13" s="304" t="n"/>
      <c r="AG13" s="192">
        <f>ROUND($O13*P13,0)</f>
        <v/>
      </c>
      <c r="AH13" s="192">
        <f>ROUND($O13*Q13,0)</f>
        <v/>
      </c>
      <c r="AI13" s="192">
        <f>ROUND($O13*R13,0)</f>
        <v/>
      </c>
      <c r="AJ13" s="192">
        <f>ROUND($O13*S13,0)</f>
        <v/>
      </c>
      <c r="AK13" s="192">
        <f>ROUND($O13*T13,0)</f>
        <v/>
      </c>
      <c r="AL13" s="192">
        <f>ROUND($O13*U13,0)</f>
        <v/>
      </c>
      <c r="AM13" s="192">
        <f>ROUND($O13*V13,0)</f>
        <v/>
      </c>
      <c r="AN13" s="192">
        <f>ROUND($O13*W13,0)</f>
        <v/>
      </c>
      <c r="AO13" s="192">
        <f>ROUND($O13*X13,0)</f>
        <v/>
      </c>
      <c r="AP13" s="193">
        <f>ROUND($O13*Y13,0)</f>
        <v/>
      </c>
      <c r="AQ13" s="193">
        <f>ROUND($O13*Z13,0)</f>
        <v/>
      </c>
      <c r="AR13" s="193">
        <f>ROUND($O13*AA13,0)</f>
        <v/>
      </c>
      <c r="AS13" s="307">
        <f>ROUND($O13*AB13,0)</f>
        <v/>
      </c>
      <c r="AT13" s="304" t="n"/>
      <c r="AU13" s="304" t="n"/>
      <c r="AV13" s="304" t="n"/>
      <c r="AW13" s="304" t="n"/>
      <c r="AX13" s="236">
        <f>SUM(AG13:AO13)</f>
        <v/>
      </c>
      <c r="AY13" s="528">
        <f>AX13/160</f>
        <v/>
      </c>
      <c r="AZ13" s="87">
        <f>VLOOKUP(I13,Listy!$A$1:$H$9,6,FALSE)</f>
        <v/>
      </c>
      <c r="BA13" s="682">
        <f>AY13*AZ13</f>
        <v/>
      </c>
      <c r="BB13" s="683">
        <f>AY13*BA13</f>
        <v/>
      </c>
      <c r="BC13" s="468" t="n"/>
      <c r="BD13" s="468" t="n"/>
      <c r="BE13" s="468" t="n"/>
      <c r="BF13" s="468" t="n"/>
      <c r="BG13" s="468" t="n"/>
      <c r="BH13" s="468" t="n"/>
      <c r="BI13" s="21">
        <f>BG13*BH13</f>
        <v/>
      </c>
      <c r="BJ13" s="528" t="n"/>
      <c r="BK13" s="528" t="n"/>
      <c r="BL13" s="21" t="n"/>
      <c r="BM13" s="528" t="n"/>
      <c r="BN13" s="528" t="n"/>
      <c r="BO13" s="21" t="n"/>
      <c r="BP13" s="528" t="n"/>
      <c r="BQ13" s="528" t="n"/>
      <c r="BR13" s="21" t="n"/>
      <c r="BS13" s="21" t="n"/>
      <c r="BT13" s="528" t="n"/>
      <c r="BU13" s="528" t="n"/>
      <c r="BV13" s="528" t="n"/>
      <c r="BW13" s="21">
        <f>BU13*BV13</f>
        <v/>
      </c>
      <c r="BX13" s="528" t="n"/>
      <c r="BY13" s="528" t="n"/>
      <c r="BZ13" s="528" t="n"/>
      <c r="CA13" s="21">
        <f>BY13*BZ13</f>
        <v/>
      </c>
      <c r="CB13" s="528" t="n"/>
      <c r="CC13" s="528" t="n"/>
      <c r="CD13" s="528" t="n"/>
      <c r="CE13" s="21">
        <f>CC13*CD13</f>
        <v/>
      </c>
    </row>
    <row r="14" customFormat="1" s="538">
      <c r="A14" s="46" t="n">
        <v>2</v>
      </c>
      <c r="B14" s="55" t="inlineStr">
        <is>
          <t>d</t>
        </is>
      </c>
      <c r="C14" s="105" t="n">
        <v>1</v>
      </c>
      <c r="D14" s="116">
        <f>CONCATENATE(A$3,"_",A14,"_",B14,"_",C14)</f>
        <v/>
      </c>
      <c r="E14" s="391" t="inlineStr">
        <is>
          <t>Wybór rozwiązań technologicznych</t>
        </is>
      </c>
      <c r="F14" s="528">
        <f>IFERROR(VLOOKUP($I14,Listy!$A:$H,2,FALSE),"XXX")</f>
        <v/>
      </c>
      <c r="G14" s="528">
        <f>IFERROR(VLOOKUP($I14,Listy!$A:$H,3,FALSE),"XXX")</f>
        <v/>
      </c>
      <c r="H14" s="45" t="n">
        <v>9</v>
      </c>
      <c r="I14" s="89" t="inlineStr">
        <is>
          <t>ACT/END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 t="n">
        <v>1</v>
      </c>
      <c r="O14" s="528" t="n">
        <v>120</v>
      </c>
      <c r="P14" s="187" t="n">
        <v>0.12</v>
      </c>
      <c r="Q14" s="187" t="n">
        <v>0.11</v>
      </c>
      <c r="R14" s="187" t="n">
        <v>0.11</v>
      </c>
      <c r="S14" s="187" t="n">
        <v>0.11</v>
      </c>
      <c r="T14" s="187" t="n">
        <v>0.11</v>
      </c>
      <c r="U14" s="187" t="n">
        <v>0.11</v>
      </c>
      <c r="V14" s="187" t="n"/>
      <c r="W14" s="187" t="n"/>
      <c r="X14" s="187" t="n"/>
      <c r="Y14" s="292" t="n">
        <v>0.33</v>
      </c>
      <c r="Z14" s="292" t="n">
        <v>0</v>
      </c>
      <c r="AA14" s="292" t="n">
        <v>0</v>
      </c>
      <c r="AB14" s="292" t="n"/>
      <c r="AC14" s="305" t="n"/>
      <c r="AD14" s="305" t="n"/>
      <c r="AE14" s="305" t="n"/>
      <c r="AF14" s="305" t="n"/>
      <c r="AG14" s="192">
        <f>ROUND($O14*P14,0)</f>
        <v/>
      </c>
      <c r="AH14" s="192">
        <f>ROUND($O14*Q14,0)</f>
        <v/>
      </c>
      <c r="AI14" s="192">
        <f>ROUND($O14*R14,0)</f>
        <v/>
      </c>
      <c r="AJ14" s="192">
        <f>ROUND($O14*S14,0)</f>
        <v/>
      </c>
      <c r="AK14" s="192">
        <f>ROUND($O14*T14,0)</f>
        <v/>
      </c>
      <c r="AL14" s="192">
        <f>ROUND($O14*U14,0)</f>
        <v/>
      </c>
      <c r="AM14" s="192">
        <f>ROUND($O14*V14,0)</f>
        <v/>
      </c>
      <c r="AN14" s="192">
        <f>ROUND($O14*W14,0)</f>
        <v/>
      </c>
      <c r="AO14" s="192">
        <f>ROUND($O14*X14,0)</f>
        <v/>
      </c>
      <c r="AP14" s="193">
        <f>ROUND($O14*Y14,0)</f>
        <v/>
      </c>
      <c r="AQ14" s="193">
        <f>ROUND($O14*Z14,0)</f>
        <v/>
      </c>
      <c r="AR14" s="193">
        <f>ROUND($O14*AA14,0)</f>
        <v/>
      </c>
      <c r="AS14" s="193">
        <f>ROUND($O14*AB14,0)</f>
        <v/>
      </c>
      <c r="AT14" s="306">
        <f>ROUND($O14*AC14,0)</f>
        <v/>
      </c>
      <c r="AU14" s="306">
        <f>ROUND($O14*AD14,0)</f>
        <v/>
      </c>
      <c r="AV14" s="306">
        <f>ROUND($O14*AE14,0)</f>
        <v/>
      </c>
      <c r="AW14" s="306">
        <f>ROUND($O14*AF14,0)</f>
        <v/>
      </c>
      <c r="AX14" s="236">
        <f>SUM(AG14:AO14)</f>
        <v/>
      </c>
      <c r="AY14" s="528">
        <f>AX14/160</f>
        <v/>
      </c>
      <c r="AZ14" s="87">
        <f>VLOOKUP(I14,Listy!$A$1:$H$9,6,FALSE)</f>
        <v/>
      </c>
      <c r="BA14" s="682">
        <f>AY14*AZ14</f>
        <v/>
      </c>
      <c r="BB14" s="683">
        <f>AY14*BA14</f>
        <v/>
      </c>
      <c r="BC14" s="528" t="n"/>
      <c r="BD14" s="528" t="n"/>
      <c r="BE14" s="528" t="n"/>
      <c r="BF14" s="528" t="n"/>
      <c r="BG14" s="528" t="n"/>
      <c r="BH14" s="528" t="n"/>
      <c r="BI14" s="21">
        <f>BG14*BH14</f>
        <v/>
      </c>
      <c r="BJ14" s="528" t="n"/>
      <c r="BK14" s="528" t="n"/>
      <c r="BL14" s="528" t="n"/>
      <c r="BM14" s="528" t="n"/>
      <c r="BN14" s="528" t="n"/>
      <c r="BO14" s="528" t="n"/>
      <c r="BP14" s="528" t="n"/>
      <c r="BQ14" s="528" t="n"/>
      <c r="BR14" s="528" t="n"/>
      <c r="BS14" s="528" t="n"/>
      <c r="BT14" s="528" t="n"/>
      <c r="BU14" s="528" t="n"/>
      <c r="BV14" s="528" t="n"/>
      <c r="BW14" s="21">
        <f>BU14*BV14</f>
        <v/>
      </c>
      <c r="BX14" s="528" t="n"/>
      <c r="BY14" s="528" t="n"/>
      <c r="BZ14" s="528" t="n"/>
      <c r="CA14" s="21">
        <f>BY14*BZ14</f>
        <v/>
      </c>
      <c r="CB14" s="528" t="n"/>
      <c r="CC14" s="528" t="n"/>
      <c r="CD14" s="528" t="n"/>
      <c r="CE14" s="21">
        <f>CC14*CD14</f>
        <v/>
      </c>
    </row>
    <row r="15" customFormat="1" s="538">
      <c r="A15" s="46" t="n">
        <v>2</v>
      </c>
      <c r="B15" s="55" t="inlineStr">
        <is>
          <t>e</t>
        </is>
      </c>
      <c r="C15" s="105" t="n">
        <v>1</v>
      </c>
      <c r="D15" s="116">
        <f>CONCATENATE(A$3,"_",A15,"_",B15,"_",C15)</f>
        <v/>
      </c>
      <c r="E15" s="391" t="inlineStr">
        <is>
          <t>Opracowanie modelu przepływu danych</t>
        </is>
      </c>
      <c r="F15" s="528">
        <f>IFERROR(VLOOKUP($I15,Listy!$A:$H,2,FALSE),"XXX")</f>
        <v/>
      </c>
      <c r="G15" s="528">
        <f>IFERROR(VLOOKUP($I15,Listy!$A:$H,3,FALSE),"XXX")</f>
        <v/>
      </c>
      <c r="H15" s="133" t="n">
        <v>10</v>
      </c>
      <c r="I15" s="89" t="inlineStr">
        <is>
          <t>ACT/END</t>
        </is>
      </c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 t="n">
        <v>1</v>
      </c>
      <c r="O15" s="528" t="n">
        <v>120</v>
      </c>
      <c r="P15" s="187" t="n">
        <v>0.17</v>
      </c>
      <c r="Q15" s="187" t="n">
        <v>0.17</v>
      </c>
      <c r="R15" s="187" t="n">
        <v>0.17</v>
      </c>
      <c r="S15" s="187" t="n">
        <v>0.17</v>
      </c>
      <c r="T15" s="187" t="n">
        <v>0.17</v>
      </c>
      <c r="U15" s="187" t="n">
        <v>0.15</v>
      </c>
      <c r="V15" s="187" t="n"/>
      <c r="W15" s="187" t="n"/>
      <c r="X15" s="187" t="n"/>
      <c r="Y15" s="292" t="n">
        <v>0</v>
      </c>
      <c r="Z15" s="292" t="n">
        <v>0</v>
      </c>
      <c r="AA15" s="292" t="n">
        <v>0</v>
      </c>
      <c r="AB15" s="292" t="n"/>
      <c r="AC15" s="304" t="n"/>
      <c r="AD15" s="304" t="n"/>
      <c r="AE15" s="304" t="n"/>
      <c r="AF15" s="304" t="n"/>
      <c r="AG15" s="192">
        <f>ROUND($O15*P15,0)</f>
        <v/>
      </c>
      <c r="AH15" s="192">
        <f>ROUND($O15*Q15,0)</f>
        <v/>
      </c>
      <c r="AI15" s="192">
        <f>ROUND($O15*R15,0)</f>
        <v/>
      </c>
      <c r="AJ15" s="192">
        <f>ROUND($O15*S15,0)</f>
        <v/>
      </c>
      <c r="AK15" s="192">
        <f>ROUND($O15*T15,0)</f>
        <v/>
      </c>
      <c r="AL15" s="192">
        <f>ROUND($O15*U15,0)</f>
        <v/>
      </c>
      <c r="AM15" s="192">
        <f>ROUND($O15*V15,0)</f>
        <v/>
      </c>
      <c r="AN15" s="192">
        <f>ROUND($O15*W15,0)</f>
        <v/>
      </c>
      <c r="AO15" s="192">
        <f>ROUND($O15*X15,0)</f>
        <v/>
      </c>
      <c r="AP15" s="193">
        <f>ROUND($O15*Y15,0)</f>
        <v/>
      </c>
      <c r="AQ15" s="193">
        <f>ROUND($O15*Z15,0)</f>
        <v/>
      </c>
      <c r="AR15" s="193">
        <f>ROUND($O15*AA15,0)</f>
        <v/>
      </c>
      <c r="AS15" s="307">
        <f>ROUND($O15*AB15,0)</f>
        <v/>
      </c>
      <c r="AT15" s="304" t="n"/>
      <c r="AU15" s="304" t="n"/>
      <c r="AV15" s="304" t="n"/>
      <c r="AW15" s="304" t="n"/>
      <c r="AX15" s="236">
        <f>SUM(AG15:AO15)</f>
        <v/>
      </c>
      <c r="AY15" s="528">
        <f>AX15/160</f>
        <v/>
      </c>
      <c r="AZ15" s="87">
        <f>VLOOKUP(I15,Listy!$A$1:$H$9,6,FALSE)</f>
        <v/>
      </c>
      <c r="BA15" s="682">
        <f>AY15*AZ15</f>
        <v/>
      </c>
      <c r="BB15" s="683">
        <f>AY15*BA15</f>
        <v/>
      </c>
      <c r="BC15" s="468" t="n"/>
      <c r="BD15" s="468" t="n"/>
      <c r="BE15" s="468" t="n"/>
      <c r="BF15" s="468" t="n"/>
      <c r="BG15" s="468" t="n"/>
      <c r="BH15" s="468" t="n"/>
      <c r="BI15" s="21">
        <f>BG15*BH15</f>
        <v/>
      </c>
      <c r="BJ15" s="528" t="n"/>
      <c r="BK15" s="528" t="n"/>
      <c r="BL15" s="21" t="n"/>
      <c r="BM15" s="528" t="n"/>
      <c r="BN15" s="528" t="n"/>
      <c r="BO15" s="21" t="n"/>
      <c r="BP15" s="528" t="n"/>
      <c r="BQ15" s="528" t="n"/>
      <c r="BR15" s="21" t="n"/>
      <c r="BS15" s="21" t="n"/>
      <c r="BT15" s="528" t="n"/>
      <c r="BU15" s="528" t="n"/>
      <c r="BV15" s="528" t="n"/>
      <c r="BW15" s="21">
        <f>BU15*BV15</f>
        <v/>
      </c>
      <c r="BX15" s="528" t="n"/>
      <c r="BY15" s="528" t="n"/>
      <c r="BZ15" s="528" t="n"/>
      <c r="CA15" s="21">
        <f>BY15*BZ15</f>
        <v/>
      </c>
      <c r="CB15" s="528" t="n"/>
      <c r="CC15" s="528" t="n"/>
      <c r="CD15" s="528" t="n"/>
      <c r="CE15" s="21">
        <f>CC15*CD15</f>
        <v/>
      </c>
    </row>
    <row r="16" customFormat="1" s="538">
      <c r="A16" s="46" t="n">
        <v>2</v>
      </c>
      <c r="B16" s="55" t="inlineStr">
        <is>
          <t>f</t>
        </is>
      </c>
      <c r="C16" s="105" t="n">
        <v>1</v>
      </c>
      <c r="D16" s="116">
        <f>CONCATENATE(A$3,"_",A16,"_",B16,"_",C16)</f>
        <v/>
      </c>
      <c r="E16" s="391" t="inlineStr">
        <is>
          <t>Zdefinowanie standarów wymiany danych i integracji</t>
        </is>
      </c>
      <c r="F16" s="528">
        <f>IFERROR(VLOOKUP($I16,Listy!$A:$H,2,FALSE),"XXX")</f>
        <v/>
      </c>
      <c r="G16" s="528">
        <f>IFERROR(VLOOKUP($I16,Listy!$A:$H,3,FALSE),"XXX")</f>
        <v/>
      </c>
      <c r="H16" s="133" t="n">
        <v>11</v>
      </c>
      <c r="I16" s="89" t="inlineStr">
        <is>
          <t>ACT/END</t>
        </is>
      </c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4" t="n">
        <v>1</v>
      </c>
      <c r="O16" s="528" t="n">
        <v>160</v>
      </c>
      <c r="P16" s="187" t="n">
        <v>0.13</v>
      </c>
      <c r="Q16" s="187" t="n">
        <v>0.13</v>
      </c>
      <c r="R16" s="187" t="n">
        <v>0.13</v>
      </c>
      <c r="S16" s="187" t="n">
        <v>0.12</v>
      </c>
      <c r="T16" s="187" t="n">
        <v>0.12</v>
      </c>
      <c r="U16" s="187" t="n">
        <v>0.12</v>
      </c>
      <c r="V16" s="187" t="n"/>
      <c r="W16" s="187" t="n"/>
      <c r="X16" s="187" t="n"/>
      <c r="Y16" s="292" t="n">
        <v>0.25</v>
      </c>
      <c r="Z16" s="292" t="n">
        <v>0</v>
      </c>
      <c r="AA16" s="292" t="n">
        <v>0</v>
      </c>
      <c r="AB16" s="292" t="n"/>
      <c r="AC16" s="305" t="n"/>
      <c r="AD16" s="305" t="n"/>
      <c r="AE16" s="305" t="n"/>
      <c r="AF16" s="305" t="n"/>
      <c r="AG16" s="192">
        <f>ROUND($O16*P16,0)</f>
        <v/>
      </c>
      <c r="AH16" s="192">
        <f>ROUND($O16*Q16,0)</f>
        <v/>
      </c>
      <c r="AI16" s="192">
        <f>ROUND($O16*R16,0)</f>
        <v/>
      </c>
      <c r="AJ16" s="192">
        <f>ROUND($O16*S16,0)</f>
        <v/>
      </c>
      <c r="AK16" s="192">
        <f>ROUND($O16*T16,0)</f>
        <v/>
      </c>
      <c r="AL16" s="192">
        <f>ROUND($O16*U16,0)</f>
        <v/>
      </c>
      <c r="AM16" s="192">
        <f>ROUND($O16*V16,0)</f>
        <v/>
      </c>
      <c r="AN16" s="192">
        <f>ROUND($O16*W16,0)</f>
        <v/>
      </c>
      <c r="AO16" s="192">
        <f>ROUND($O16*X16,0)</f>
        <v/>
      </c>
      <c r="AP16" s="193">
        <f>ROUND($O16*Y16,0)</f>
        <v/>
      </c>
      <c r="AQ16" s="193">
        <f>ROUND($O16*Z16,0)</f>
        <v/>
      </c>
      <c r="AR16" s="193">
        <f>ROUND($O16*AA16,0)</f>
        <v/>
      </c>
      <c r="AS16" s="193">
        <f>ROUND($O16*AB16,0)</f>
        <v/>
      </c>
      <c r="AT16" s="306">
        <f>ROUND($O16*AC16,0)</f>
        <v/>
      </c>
      <c r="AU16" s="306">
        <f>ROUND($O16*AD16,0)</f>
        <v/>
      </c>
      <c r="AV16" s="306">
        <f>ROUND($O16*AE16,0)</f>
        <v/>
      </c>
      <c r="AW16" s="306">
        <f>ROUND($O16*AF16,0)</f>
        <v/>
      </c>
      <c r="AX16" s="236">
        <f>SUM(AG16:AO16)</f>
        <v/>
      </c>
      <c r="AY16" s="528">
        <f>AX16/160</f>
        <v/>
      </c>
      <c r="AZ16" s="87">
        <f>VLOOKUP(I16,Listy!$A$1:$H$9,6,FALSE)</f>
        <v/>
      </c>
      <c r="BA16" s="682">
        <f>AY16*AZ16</f>
        <v/>
      </c>
      <c r="BB16" s="683">
        <f>AY16*BA16</f>
        <v/>
      </c>
      <c r="BC16" s="528" t="n"/>
      <c r="BD16" s="528" t="n"/>
      <c r="BE16" s="528" t="n"/>
      <c r="BF16" s="528" t="n"/>
      <c r="BG16" s="528" t="n"/>
      <c r="BH16" s="528" t="n"/>
      <c r="BI16" s="21">
        <f>BG16*BH16</f>
        <v/>
      </c>
      <c r="BJ16" s="528" t="n"/>
      <c r="BK16" s="528" t="n"/>
      <c r="BL16" s="528" t="n"/>
      <c r="BM16" s="528" t="n"/>
      <c r="BN16" s="528" t="n"/>
      <c r="BO16" s="528" t="n"/>
      <c r="BP16" s="528" t="n"/>
      <c r="BQ16" s="528" t="n"/>
      <c r="BR16" s="528" t="n"/>
      <c r="BS16" s="528" t="n"/>
      <c r="BT16" s="528" t="n"/>
      <c r="BU16" s="528" t="n"/>
      <c r="BV16" s="528" t="n"/>
      <c r="BW16" s="21">
        <f>BU16*BV16</f>
        <v/>
      </c>
      <c r="BX16" s="528" t="n"/>
      <c r="BY16" s="528" t="n"/>
      <c r="BZ16" s="528" t="n"/>
      <c r="CA16" s="21">
        <f>BY16*BZ16</f>
        <v/>
      </c>
      <c r="CB16" s="528" t="n"/>
      <c r="CC16" s="528" t="n"/>
      <c r="CD16" s="528" t="n"/>
      <c r="CE16" s="21">
        <f>CC16*CD16</f>
        <v/>
      </c>
    </row>
    <row r="17" customFormat="1" s="538">
      <c r="A17" s="46" t="n">
        <v>2</v>
      </c>
      <c r="B17" s="55" t="inlineStr">
        <is>
          <t>g</t>
        </is>
      </c>
      <c r="C17" s="105" t="n">
        <v>1</v>
      </c>
      <c r="D17" s="116">
        <f>CONCATENATE(A$3,"_",A17,"_",B17,"_",C17)</f>
        <v/>
      </c>
      <c r="E17" s="391" t="inlineStr">
        <is>
          <t>Zdefinowanie standardów bezpieczeństwa</t>
        </is>
      </c>
      <c r="F17" s="528">
        <f>IFERROR(VLOOKUP($I17,Listy!$A:$H,2,FALSE),"XXX")</f>
        <v/>
      </c>
      <c r="G17" s="528">
        <f>IFERROR(VLOOKUP($I17,Listy!$A:$H,3,FALSE),"XXX")</f>
        <v/>
      </c>
      <c r="H17" s="133" t="n">
        <v>12</v>
      </c>
      <c r="I17" s="89" t="inlineStr">
        <is>
          <t>ACT/END</t>
        </is>
      </c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 t="n">
        <v>1</v>
      </c>
      <c r="O17" s="528" t="n">
        <v>160</v>
      </c>
      <c r="P17" s="187" t="n">
        <v>0.09</v>
      </c>
      <c r="Q17" s="187" t="n">
        <v>0.09</v>
      </c>
      <c r="R17" s="187" t="n">
        <v>0.08</v>
      </c>
      <c r="S17" s="187" t="n">
        <v>0.08</v>
      </c>
      <c r="T17" s="187" t="n">
        <v>0.08</v>
      </c>
      <c r="U17" s="187" t="n">
        <v>0.08</v>
      </c>
      <c r="V17" s="187" t="n"/>
      <c r="W17" s="187" t="n"/>
      <c r="X17" s="187" t="n"/>
      <c r="Y17" s="292" t="n">
        <v>0</v>
      </c>
      <c r="Z17" s="292" t="n">
        <v>0.25</v>
      </c>
      <c r="AA17" s="292" t="n">
        <v>0.25</v>
      </c>
      <c r="AB17" s="292" t="n"/>
      <c r="AC17" s="304" t="n"/>
      <c r="AD17" s="304" t="n"/>
      <c r="AE17" s="304" t="n"/>
      <c r="AF17" s="304" t="n"/>
      <c r="AG17" s="192">
        <f>ROUND($O17*P17,0)</f>
        <v/>
      </c>
      <c r="AH17" s="192">
        <f>ROUND($O17*Q17,0)</f>
        <v/>
      </c>
      <c r="AI17" s="192">
        <f>ROUND($O17*R17,0)</f>
        <v/>
      </c>
      <c r="AJ17" s="192">
        <f>ROUND($O17*S17,0)</f>
        <v/>
      </c>
      <c r="AK17" s="192">
        <f>ROUND($O17*T17,0)</f>
        <v/>
      </c>
      <c r="AL17" s="192">
        <f>ROUND($O17*U17,0)</f>
        <v/>
      </c>
      <c r="AM17" s="192">
        <f>ROUND($O17*V17,0)</f>
        <v/>
      </c>
      <c r="AN17" s="192">
        <f>ROUND($O17*W17,0)</f>
        <v/>
      </c>
      <c r="AO17" s="192">
        <f>ROUND($O17*X17,0)</f>
        <v/>
      </c>
      <c r="AP17" s="193">
        <f>ROUND($O17*Y17,0)</f>
        <v/>
      </c>
      <c r="AQ17" s="193">
        <f>ROUND($O17*Z17,0)</f>
        <v/>
      </c>
      <c r="AR17" s="193">
        <f>ROUND($O17*AA17,0)</f>
        <v/>
      </c>
      <c r="AS17" s="307">
        <f>ROUND($O17*AB17,0)</f>
        <v/>
      </c>
      <c r="AT17" s="304" t="n"/>
      <c r="AU17" s="304" t="n"/>
      <c r="AV17" s="304" t="n"/>
      <c r="AW17" s="304" t="n"/>
      <c r="AX17" s="236">
        <f>SUM(AG17:AO17)</f>
        <v/>
      </c>
      <c r="AY17" s="528">
        <f>AX17/160</f>
        <v/>
      </c>
      <c r="AZ17" s="87">
        <f>VLOOKUP(I17,Listy!$A$1:$H$9,6,FALSE)</f>
        <v/>
      </c>
      <c r="BA17" s="682">
        <f>AY17*AZ17</f>
        <v/>
      </c>
      <c r="BB17" s="683">
        <f>AY17*BA17</f>
        <v/>
      </c>
      <c r="BC17" s="468" t="n"/>
      <c r="BD17" s="468" t="n"/>
      <c r="BE17" s="468" t="n"/>
      <c r="BF17" s="468" t="n"/>
      <c r="BG17" s="468" t="n"/>
      <c r="BH17" s="468" t="n"/>
      <c r="BI17" s="21">
        <f>BG17*BH17</f>
        <v/>
      </c>
      <c r="BJ17" s="528" t="n"/>
      <c r="BK17" s="528" t="n"/>
      <c r="BL17" s="21" t="n"/>
      <c r="BM17" s="528" t="n"/>
      <c r="BN17" s="528" t="n"/>
      <c r="BO17" s="21" t="n"/>
      <c r="BP17" s="528" t="n"/>
      <c r="BQ17" s="528" t="n"/>
      <c r="BR17" s="21" t="n"/>
      <c r="BS17" s="21" t="n"/>
      <c r="BT17" s="528" t="n"/>
      <c r="BU17" s="528" t="n"/>
      <c r="BV17" s="528" t="n"/>
      <c r="BW17" s="21">
        <f>BU17*BV17</f>
        <v/>
      </c>
      <c r="BX17" s="528" t="n"/>
      <c r="BY17" s="528" t="n"/>
      <c r="BZ17" s="528" t="n"/>
      <c r="CA17" s="21">
        <f>BY17*BZ17</f>
        <v/>
      </c>
      <c r="CB17" s="528" t="n"/>
      <c r="CC17" s="528" t="n"/>
      <c r="CD17" s="528" t="n"/>
      <c r="CE17" s="21">
        <f>CC17*CD17</f>
        <v/>
      </c>
    </row>
    <row r="18" customFormat="1" s="538">
      <c r="A18" s="46" t="n">
        <v>2</v>
      </c>
      <c r="B18" s="55" t="inlineStr">
        <is>
          <t>h</t>
        </is>
      </c>
      <c r="C18" s="105" t="n">
        <v>1</v>
      </c>
      <c r="D18" s="116">
        <f>CONCATENATE(A$3,"_",A18,"_",B18,"_",C18)</f>
        <v/>
      </c>
      <c r="E18" s="391" t="inlineStr">
        <is>
          <t>Zdefinowanie standardów monitoringu i logowania</t>
        </is>
      </c>
      <c r="F18" s="528">
        <f>IFERROR(VLOOKUP($I18,Listy!$A:$H,2,FALSE),"XXX")</f>
        <v/>
      </c>
      <c r="G18" s="528">
        <f>IFERROR(VLOOKUP($I18,Listy!$A:$H,3,FALSE),"XXX")</f>
        <v/>
      </c>
      <c r="H18" s="133" t="n">
        <v>13</v>
      </c>
      <c r="I18" s="89" t="inlineStr">
        <is>
          <t>ACT/END</t>
        </is>
      </c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4" t="n">
        <v>0</v>
      </c>
      <c r="O18" s="528" t="n">
        <v>120</v>
      </c>
      <c r="P18" s="187" t="n">
        <v>0.12</v>
      </c>
      <c r="Q18" s="187" t="n">
        <v>0.11</v>
      </c>
      <c r="R18" s="187" t="n">
        <v>0.11</v>
      </c>
      <c r="S18" s="187" t="n">
        <v>0.11</v>
      </c>
      <c r="T18" s="187" t="n">
        <v>0.11</v>
      </c>
      <c r="U18" s="187" t="n">
        <v>0.11</v>
      </c>
      <c r="V18" s="187" t="n"/>
      <c r="W18" s="187" t="n"/>
      <c r="X18" s="187" t="n"/>
      <c r="Y18" s="292" t="n">
        <v>0</v>
      </c>
      <c r="Z18" s="292" t="n">
        <v>0</v>
      </c>
      <c r="AA18" s="292" t="n">
        <v>0.33</v>
      </c>
      <c r="AB18" s="292" t="n"/>
      <c r="AC18" s="305" t="n"/>
      <c r="AD18" s="305" t="n"/>
      <c r="AE18" s="305" t="n"/>
      <c r="AF18" s="305" t="n"/>
      <c r="AG18" s="192">
        <f>ROUND($O18*P18,0)</f>
        <v/>
      </c>
      <c r="AH18" s="192">
        <f>ROUND($O18*Q18,0)</f>
        <v/>
      </c>
      <c r="AI18" s="192">
        <f>ROUND($O18*R18,0)</f>
        <v/>
      </c>
      <c r="AJ18" s="192">
        <f>ROUND($O18*S18,0)</f>
        <v/>
      </c>
      <c r="AK18" s="192">
        <f>ROUND($O18*T18,0)</f>
        <v/>
      </c>
      <c r="AL18" s="192">
        <f>ROUND($O18*U18,0)</f>
        <v/>
      </c>
      <c r="AM18" s="192">
        <f>ROUND($O18*V18,0)</f>
        <v/>
      </c>
      <c r="AN18" s="192">
        <f>ROUND($O18*W18,0)</f>
        <v/>
      </c>
      <c r="AO18" s="192">
        <f>ROUND($O18*X18,0)</f>
        <v/>
      </c>
      <c r="AP18" s="193">
        <f>ROUND($O18*Y18,0)</f>
        <v/>
      </c>
      <c r="AQ18" s="193">
        <f>ROUND($O18*Z18,0)</f>
        <v/>
      </c>
      <c r="AR18" s="193">
        <f>ROUND($O18*AA18,0)</f>
        <v/>
      </c>
      <c r="AS18" s="193">
        <f>ROUND($O18*AB18,0)</f>
        <v/>
      </c>
      <c r="AT18" s="306">
        <f>ROUND($O18*AC18,0)</f>
        <v/>
      </c>
      <c r="AU18" s="306">
        <f>ROUND($O18*AD18,0)</f>
        <v/>
      </c>
      <c r="AV18" s="306">
        <f>ROUND($O18*AE18,0)</f>
        <v/>
      </c>
      <c r="AW18" s="306">
        <f>ROUND($O18*AF18,0)</f>
        <v/>
      </c>
      <c r="AX18" s="236">
        <f>SUM(AG18:AO18)</f>
        <v/>
      </c>
      <c r="AY18" s="528">
        <f>AX18/160</f>
        <v/>
      </c>
      <c r="AZ18" s="87">
        <f>VLOOKUP(I18,Listy!$A$1:$H$9,6,FALSE)</f>
        <v/>
      </c>
      <c r="BA18" s="682">
        <f>AY18*AZ18</f>
        <v/>
      </c>
      <c r="BB18" s="683">
        <f>AY18*BA18</f>
        <v/>
      </c>
      <c r="BC18" s="528" t="n"/>
      <c r="BD18" s="528" t="n"/>
      <c r="BE18" s="528" t="n"/>
      <c r="BF18" s="528" t="n"/>
      <c r="BG18" s="528" t="n"/>
      <c r="BH18" s="528" t="n"/>
      <c r="BI18" s="21">
        <f>BG18*BH18</f>
        <v/>
      </c>
      <c r="BJ18" s="528" t="n"/>
      <c r="BK18" s="528" t="n"/>
      <c r="BL18" s="528" t="n"/>
      <c r="BM18" s="528" t="n"/>
      <c r="BN18" s="528" t="n"/>
      <c r="BO18" s="528" t="n"/>
      <c r="BP18" s="528" t="n"/>
      <c r="BQ18" s="528" t="n"/>
      <c r="BR18" s="528" t="n"/>
      <c r="BS18" s="528" t="n"/>
      <c r="BT18" s="528" t="n"/>
      <c r="BU18" s="528" t="n"/>
      <c r="BV18" s="528" t="n"/>
      <c r="BW18" s="21">
        <f>BU18*BV18</f>
        <v/>
      </c>
      <c r="BX18" s="528" t="n"/>
      <c r="BY18" s="528" t="n"/>
      <c r="BZ18" s="528" t="n"/>
      <c r="CA18" s="21">
        <f>BY18*BZ18</f>
        <v/>
      </c>
      <c r="CB18" s="528" t="n"/>
      <c r="CC18" s="528" t="n"/>
      <c r="CD18" s="528" t="n"/>
      <c r="CE18" s="21">
        <f>CC18*CD18</f>
        <v/>
      </c>
    </row>
    <row r="19" customFormat="1" s="538">
      <c r="A19" s="46" t="n">
        <v>2</v>
      </c>
      <c r="B19" s="452" t="inlineStr">
        <is>
          <t>i</t>
        </is>
      </c>
      <c r="C19" s="105" t="n">
        <v>1</v>
      </c>
      <c r="D19" s="116">
        <f>CONCATENATE(A$3,"_",A19,"_",B19,"_",C19)</f>
        <v/>
      </c>
      <c r="E19" s="391" t="inlineStr">
        <is>
          <t>Zdefinowanie funkcjonalności użytkownika (GUI)</t>
        </is>
      </c>
      <c r="F19" s="528">
        <f>IFERROR(VLOOKUP($I19,Listy!$A:$H,2,FALSE),"XXX")</f>
        <v/>
      </c>
      <c r="G19" s="528">
        <f>IFERROR(VLOOKUP($I19,Listy!$A:$H,3,FALSE),"XXX")</f>
        <v/>
      </c>
      <c r="H19" s="133" t="n">
        <v>14</v>
      </c>
      <c r="I19" s="89" t="inlineStr">
        <is>
          <t>ACT/END</t>
        </is>
      </c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 t="n">
        <v>0</v>
      </c>
      <c r="O19" s="528" t="n">
        <v>160</v>
      </c>
      <c r="P19" s="187" t="n">
        <v>0.17</v>
      </c>
      <c r="Q19" s="187" t="n">
        <v>0.17</v>
      </c>
      <c r="R19" s="187" t="n">
        <v>0.17</v>
      </c>
      <c r="S19" s="187" t="n">
        <v>0.17</v>
      </c>
      <c r="T19" s="187" t="n">
        <v>0.17</v>
      </c>
      <c r="U19" s="187" t="n">
        <v>0.15</v>
      </c>
      <c r="V19" s="187" t="n"/>
      <c r="W19" s="187" t="n"/>
      <c r="X19" s="187" t="n"/>
      <c r="Y19" s="292" t="n">
        <v>0</v>
      </c>
      <c r="Z19" s="292" t="n">
        <v>0</v>
      </c>
      <c r="AA19" s="292" t="n">
        <v>0</v>
      </c>
      <c r="AB19" s="292" t="n"/>
      <c r="AC19" s="304" t="n"/>
      <c r="AD19" s="304" t="n"/>
      <c r="AE19" s="304" t="n"/>
      <c r="AF19" s="304" t="n"/>
      <c r="AG19" s="192">
        <f>ROUND($O19*P19,0)</f>
        <v/>
      </c>
      <c r="AH19" s="192">
        <f>ROUND($O19*Q19,0)</f>
        <v/>
      </c>
      <c r="AI19" s="192">
        <f>ROUND($O19*R19,0)</f>
        <v/>
      </c>
      <c r="AJ19" s="192">
        <f>ROUND($O19*S19,0)</f>
        <v/>
      </c>
      <c r="AK19" s="192">
        <f>ROUND($O19*T19,0)</f>
        <v/>
      </c>
      <c r="AL19" s="192">
        <f>ROUND($O19*U19,0)</f>
        <v/>
      </c>
      <c r="AM19" s="192">
        <f>ROUND($O19*V19,0)</f>
        <v/>
      </c>
      <c r="AN19" s="192">
        <f>ROUND($O19*W19,0)</f>
        <v/>
      </c>
      <c r="AO19" s="192">
        <f>ROUND($O19*X19,0)</f>
        <v/>
      </c>
      <c r="AP19" s="193">
        <f>ROUND($O19*Y19,0)</f>
        <v/>
      </c>
      <c r="AQ19" s="193">
        <f>ROUND($O19*Z19,0)</f>
        <v/>
      </c>
      <c r="AR19" s="193">
        <f>ROUND($O19*AA19,0)</f>
        <v/>
      </c>
      <c r="AS19" s="307">
        <f>ROUND($O19*AB19,0)</f>
        <v/>
      </c>
      <c r="AT19" s="304" t="n"/>
      <c r="AU19" s="304" t="n"/>
      <c r="AV19" s="304" t="n"/>
      <c r="AW19" s="304" t="n"/>
      <c r="AX19" s="236">
        <f>SUM(AG19:AO19)</f>
        <v/>
      </c>
      <c r="AY19" s="528">
        <f>AX19/160</f>
        <v/>
      </c>
      <c r="AZ19" s="87">
        <f>VLOOKUP(I19,Listy!$A$1:$H$9,6,FALSE)</f>
        <v/>
      </c>
      <c r="BA19" s="682">
        <f>AY19*AZ19</f>
        <v/>
      </c>
      <c r="BB19" s="683">
        <f>AY19*BA19</f>
        <v/>
      </c>
      <c r="BC19" s="468" t="n"/>
      <c r="BD19" s="468" t="n"/>
      <c r="BE19" s="468" t="n"/>
      <c r="BF19" s="468" t="n"/>
      <c r="BG19" s="468" t="n"/>
      <c r="BH19" s="468" t="n"/>
      <c r="BI19" s="21">
        <f>BG19*BH19</f>
        <v/>
      </c>
      <c r="BJ19" s="528" t="n"/>
      <c r="BK19" s="528" t="n"/>
      <c r="BL19" s="21" t="n"/>
      <c r="BM19" s="528" t="n"/>
      <c r="BN19" s="528" t="n"/>
      <c r="BO19" s="21" t="n"/>
      <c r="BP19" s="528" t="n"/>
      <c r="BQ19" s="528" t="n"/>
      <c r="BR19" s="21" t="n"/>
      <c r="BS19" s="21" t="n"/>
      <c r="BT19" s="528" t="n"/>
      <c r="BU19" s="528" t="n"/>
      <c r="BV19" s="528" t="n"/>
      <c r="BW19" s="21">
        <f>BU19*BV19</f>
        <v/>
      </c>
      <c r="BX19" s="528" t="n"/>
      <c r="BY19" s="528" t="n"/>
      <c r="BZ19" s="528" t="n"/>
      <c r="CA19" s="21">
        <f>BY19*BZ19</f>
        <v/>
      </c>
      <c r="CB19" s="528" t="n"/>
      <c r="CC19" s="528" t="n"/>
      <c r="CD19" s="528" t="n"/>
      <c r="CE19" s="21">
        <f>CC19*CD19</f>
        <v/>
      </c>
    </row>
    <row r="20" ht="18" customFormat="1" customHeight="1" s="538">
      <c r="A20" s="604" t="n">
        <v>3</v>
      </c>
      <c r="B20" s="55" t="inlineStr">
        <is>
          <t>a</t>
        </is>
      </c>
      <c r="C20" s="105" t="n">
        <v>0</v>
      </c>
      <c r="D20" s="116">
        <f>CONCATENATE(A$3,"_",A20,"_",B20,"_",C20)</f>
        <v/>
      </c>
      <c r="E20" s="388" t="inlineStr">
        <is>
          <t>3.Przygotowania Środowiska i Fundamentów Platformy</t>
        </is>
      </c>
      <c r="F20" s="122" t="n"/>
      <c r="G20" s="122" t="n"/>
      <c r="H20" s="528" t="n"/>
      <c r="I20" s="122" t="n"/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4">
        <f>ROUND(MAX(AG20:AO20)/Listy!$U$2,0)</f>
        <v/>
      </c>
      <c r="O20" s="468" t="n"/>
      <c r="P20" s="468" t="n"/>
      <c r="Q20" s="468" t="n"/>
      <c r="R20" s="468" t="n"/>
      <c r="S20" s="468" t="n"/>
      <c r="T20" s="468" t="n"/>
      <c r="U20" s="468" t="n"/>
      <c r="V20" s="468" t="n"/>
      <c r="W20" s="468" t="n"/>
      <c r="X20" s="468" t="n"/>
      <c r="Y20" s="468" t="n"/>
      <c r="Z20" s="468" t="n"/>
      <c r="AA20" s="468" t="n"/>
      <c r="AB20" s="468" t="n"/>
      <c r="AC20" s="468" t="n"/>
      <c r="AD20" s="468" t="n"/>
      <c r="AE20" s="468" t="n"/>
      <c r="AF20" s="468" t="n"/>
      <c r="AG20" s="468" t="n"/>
      <c r="AH20" s="468" t="n"/>
      <c r="AI20" s="468" t="n"/>
      <c r="AJ20" s="468" t="n"/>
      <c r="AK20" s="468" t="n"/>
      <c r="AL20" s="468" t="n"/>
      <c r="AM20" s="468" t="n"/>
      <c r="AN20" s="468" t="n"/>
      <c r="AO20" s="468" t="n"/>
      <c r="AP20" s="468" t="n"/>
      <c r="AQ20" s="468" t="n"/>
      <c r="AR20" s="468" t="n"/>
      <c r="AS20" s="468" t="n"/>
      <c r="AT20" s="468" t="n"/>
      <c r="AU20" s="468" t="n"/>
      <c r="AV20" s="468" t="n"/>
      <c r="AW20" s="468" t="n"/>
      <c r="AX20" s="468" t="n"/>
      <c r="AY20" s="468" t="n"/>
      <c r="AZ20" s="468" t="n"/>
      <c r="BA20" s="468" t="n"/>
      <c r="BB20" s="468" t="n"/>
      <c r="BC20" s="468" t="n"/>
      <c r="BD20" s="122" t="n"/>
      <c r="BE20" s="122" t="n"/>
      <c r="BF20" s="122" t="n"/>
      <c r="BG20" s="122" t="n"/>
      <c r="BH20" s="122" t="n"/>
      <c r="BI20" s="122" t="n"/>
      <c r="BJ20" s="122" t="n"/>
      <c r="BK20" s="122" t="n"/>
      <c r="BL20" s="122" t="n"/>
      <c r="BM20" s="122" t="n"/>
      <c r="BN20" s="122" t="n"/>
      <c r="BO20" s="122" t="n"/>
      <c r="BP20" s="122" t="n"/>
      <c r="BQ20" s="122" t="n"/>
      <c r="BR20" s="122" t="n"/>
      <c r="BS20" s="122" t="n"/>
      <c r="BT20" s="122" t="n"/>
      <c r="BU20" s="122" t="n"/>
      <c r="BV20" s="122" t="n"/>
      <c r="BW20" s="122" t="n"/>
      <c r="BX20" s="122" t="n"/>
      <c r="BY20" s="122" t="n"/>
      <c r="BZ20" s="122" t="n"/>
      <c r="CA20" s="122" t="n"/>
      <c r="CB20" s="122" t="n"/>
      <c r="CC20" s="122" t="n"/>
      <c r="CD20" s="122" t="n"/>
      <c r="CE20" s="122" t="n"/>
    </row>
    <row r="21" customFormat="1" s="538">
      <c r="A21" s="528" t="n">
        <v>3</v>
      </c>
      <c r="B21" s="55" t="inlineStr">
        <is>
          <t>a</t>
        </is>
      </c>
      <c r="C21" s="105" t="n">
        <v>1</v>
      </c>
      <c r="D21" s="116">
        <f>CONCATENATE(A$3,"_",A21,"_",B21,"_",C21)</f>
        <v/>
      </c>
      <c r="E21" s="391" t="inlineStr">
        <is>
          <t>Automatyzacja konfiguracja środowiska Kubernetes</t>
        </is>
      </c>
      <c r="F21" s="528">
        <f>IFERROR(VLOOKUP($I21,Listy!$A:$H,2,FALSE),"XXX")</f>
        <v/>
      </c>
      <c r="G21" s="528">
        <f>IFERROR(VLOOKUP($I21,Listy!$A:$H,3,FALSE),"XXX")</f>
        <v/>
      </c>
      <c r="H21" s="45" t="n">
        <v>15</v>
      </c>
      <c r="I21" s="89" t="inlineStr">
        <is>
          <t>END/ACT</t>
        </is>
      </c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4" t="n">
        <v>1</v>
      </c>
      <c r="O21" s="528" t="n">
        <v>120</v>
      </c>
      <c r="P21" s="187" t="n">
        <v>0.06</v>
      </c>
      <c r="Q21" s="187" t="n">
        <v>0.06</v>
      </c>
      <c r="R21" s="187" t="n">
        <v>0.06</v>
      </c>
      <c r="S21" s="187" t="n">
        <v>0.06</v>
      </c>
      <c r="T21" s="187" t="n">
        <v>0.05</v>
      </c>
      <c r="U21" s="187" t="n">
        <v>0.05</v>
      </c>
      <c r="V21" s="187" t="n"/>
      <c r="W21" s="187" t="n"/>
      <c r="X21" s="187" t="n"/>
      <c r="Y21" s="292" t="n">
        <v>0</v>
      </c>
      <c r="Z21" s="292" t="n">
        <v>0.33</v>
      </c>
      <c r="AA21" s="292" t="n">
        <v>0.33</v>
      </c>
      <c r="AB21" s="292" t="n"/>
      <c r="AC21" s="304" t="n"/>
      <c r="AD21" s="304" t="n"/>
      <c r="AE21" s="304" t="n"/>
      <c r="AF21" s="304" t="n"/>
      <c r="AG21" s="192">
        <f>ROUND($O21*P21,0)</f>
        <v/>
      </c>
      <c r="AH21" s="192">
        <f>ROUND($O21*Q21,0)</f>
        <v/>
      </c>
      <c r="AI21" s="192">
        <f>ROUND($O21*R21,0)</f>
        <v/>
      </c>
      <c r="AJ21" s="192">
        <f>ROUND($O21*S21,0)</f>
        <v/>
      </c>
      <c r="AK21" s="192">
        <f>ROUND($O21*T21,0)</f>
        <v/>
      </c>
      <c r="AL21" s="192">
        <f>ROUND($O21*U21,0)</f>
        <v/>
      </c>
      <c r="AM21" s="192">
        <f>ROUND($O21*V21,0)</f>
        <v/>
      </c>
      <c r="AN21" s="192">
        <f>ROUND($O21*W21,0)</f>
        <v/>
      </c>
      <c r="AO21" s="192">
        <f>ROUND($O21*X21,0)</f>
        <v/>
      </c>
      <c r="AP21" s="193">
        <f>ROUND($O21*Y21,0)</f>
        <v/>
      </c>
      <c r="AQ21" s="193">
        <f>ROUND($O21*Z21,0)</f>
        <v/>
      </c>
      <c r="AR21" s="193">
        <f>ROUND($O21*AA21,0)</f>
        <v/>
      </c>
      <c r="AS21" s="307">
        <f>ROUND($O21*AB21,0)</f>
        <v/>
      </c>
      <c r="AT21" s="304" t="n"/>
      <c r="AU21" s="304" t="n"/>
      <c r="AV21" s="304" t="n"/>
      <c r="AW21" s="304" t="n"/>
      <c r="AX21" s="236">
        <f>SUM(AG21:AO21)</f>
        <v/>
      </c>
      <c r="AY21" s="528">
        <f>AX21/160</f>
        <v/>
      </c>
      <c r="AZ21" s="87">
        <f>VLOOKUP(I21,Listy!$A$1:$H$9,6,FALSE)</f>
        <v/>
      </c>
      <c r="BA21" s="682">
        <f>AY21*AZ21</f>
        <v/>
      </c>
      <c r="BB21" s="683">
        <f>AY21*BA21</f>
        <v/>
      </c>
      <c r="BC21" s="468" t="n"/>
      <c r="BD21" s="468" t="n"/>
      <c r="BE21" s="468" t="n"/>
      <c r="BF21" s="468" t="n"/>
      <c r="BG21" s="468" t="n"/>
      <c r="BH21" s="468" t="n"/>
      <c r="BI21" s="21">
        <f>BG21*BH21</f>
        <v/>
      </c>
      <c r="BJ21" s="528" t="n"/>
      <c r="BK21" s="528" t="n"/>
      <c r="BL21" s="21" t="n"/>
      <c r="BM21" s="528" t="n"/>
      <c r="BN21" s="528" t="n"/>
      <c r="BO21" s="21" t="n"/>
      <c r="BP21" s="528" t="n"/>
      <c r="BQ21" s="528" t="n"/>
      <c r="BR21" s="21" t="n"/>
      <c r="BS21" s="21" t="n"/>
      <c r="BT21" s="528" t="n"/>
      <c r="BU21" s="528" t="n"/>
      <c r="BV21" s="528" t="n"/>
      <c r="BW21" s="21">
        <f>BU21*BV21</f>
        <v/>
      </c>
      <c r="BX21" s="528" t="n"/>
      <c r="BY21" s="528" t="n"/>
      <c r="BZ21" s="528" t="n"/>
      <c r="CA21" s="21">
        <f>BY21*BZ21</f>
        <v/>
      </c>
      <c r="CB21" s="528" t="n"/>
      <c r="CC21" s="528" t="n"/>
      <c r="CD21" s="528" t="n"/>
      <c r="CE21" s="21">
        <f>CC21*CD21</f>
        <v/>
      </c>
    </row>
    <row r="22" customFormat="1" s="538">
      <c r="A22" s="46" t="n">
        <v>3</v>
      </c>
      <c r="B22" s="385" t="inlineStr">
        <is>
          <t>b</t>
        </is>
      </c>
      <c r="C22" s="105" t="n">
        <v>1</v>
      </c>
      <c r="D22" s="116">
        <f>CONCATENATE(A$3,"_",A22,"_",B22,"_",C22)</f>
        <v/>
      </c>
      <c r="E22" s="455" t="inlineStr">
        <is>
          <t>Przygotowanie automatyzacji mechanizmów aktualizacji</t>
        </is>
      </c>
      <c r="F22" s="528">
        <f>IFERROR(VLOOKUP($I22,Listy!$A:$H,2,FALSE),"XXX")</f>
        <v/>
      </c>
      <c r="G22" s="528">
        <f>IFERROR(VLOOKUP($I22,Listy!$A:$H,3,FALSE),"XXX")</f>
        <v/>
      </c>
      <c r="H22" s="45" t="n">
        <v>16</v>
      </c>
      <c r="I22" s="89" t="inlineStr">
        <is>
          <t>END/ACT</t>
        </is>
      </c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4">
        <f>ROUND(MAX(AG22:AO22)/Listy!$U$2,0)</f>
        <v/>
      </c>
      <c r="O22" s="528" t="n">
        <v>120</v>
      </c>
      <c r="P22" s="187" t="n">
        <v>0.06</v>
      </c>
      <c r="Q22" s="187" t="n">
        <v>0.06</v>
      </c>
      <c r="R22" s="187" t="n">
        <v>0.06</v>
      </c>
      <c r="S22" s="187" t="n">
        <v>0.06</v>
      </c>
      <c r="T22" s="187" t="n">
        <v>0.05</v>
      </c>
      <c r="U22" s="187" t="n">
        <v>0.05</v>
      </c>
      <c r="V22" s="187" t="n"/>
      <c r="W22" s="187" t="n"/>
      <c r="X22" s="187" t="n"/>
      <c r="Y22" s="292" t="n">
        <v>0</v>
      </c>
      <c r="Z22" s="292" t="n">
        <v>0.33</v>
      </c>
      <c r="AA22" s="292" t="n">
        <v>0.33</v>
      </c>
      <c r="AB22" s="292" t="n"/>
      <c r="AC22" s="305" t="n"/>
      <c r="AD22" s="305" t="n"/>
      <c r="AE22" s="305" t="n"/>
      <c r="AF22" s="305" t="n"/>
      <c r="AG22" s="192">
        <f>ROUND($O22*P22,0)</f>
        <v/>
      </c>
      <c r="AH22" s="192">
        <f>ROUND($O22*Q22,0)</f>
        <v/>
      </c>
      <c r="AI22" s="192">
        <f>ROUND($O22*R22,0)</f>
        <v/>
      </c>
      <c r="AJ22" s="192">
        <f>ROUND($O22*S22,0)</f>
        <v/>
      </c>
      <c r="AK22" s="192">
        <f>ROUND($O22*T22,0)</f>
        <v/>
      </c>
      <c r="AL22" s="192">
        <f>ROUND($O22*U22,0)</f>
        <v/>
      </c>
      <c r="AM22" s="192">
        <f>ROUND($O22*V22,0)</f>
        <v/>
      </c>
      <c r="AN22" s="192">
        <f>ROUND($O22*W22,0)</f>
        <v/>
      </c>
      <c r="AO22" s="192">
        <f>ROUND($O22*X22,0)</f>
        <v/>
      </c>
      <c r="AP22" s="193">
        <f>ROUND($O22*Y22,0)</f>
        <v/>
      </c>
      <c r="AQ22" s="193">
        <f>ROUND($O22*Z22,0)</f>
        <v/>
      </c>
      <c r="AR22" s="193">
        <f>ROUND($O22*AA22,0)</f>
        <v/>
      </c>
      <c r="AS22" s="193">
        <f>ROUND($O22*AB22,0)</f>
        <v/>
      </c>
      <c r="AT22" s="306">
        <f>ROUND($O22*AC22,0)</f>
        <v/>
      </c>
      <c r="AU22" s="306">
        <f>ROUND($O22*AD22,0)</f>
        <v/>
      </c>
      <c r="AV22" s="306">
        <f>ROUND($O22*AE22,0)</f>
        <v/>
      </c>
      <c r="AW22" s="306">
        <f>ROUND($O22*AF22,0)</f>
        <v/>
      </c>
      <c r="AX22" s="236">
        <f>SUM(AG22:AO22)</f>
        <v/>
      </c>
      <c r="AY22" s="528">
        <f>AX22/160</f>
        <v/>
      </c>
      <c r="AZ22" s="87">
        <f>VLOOKUP(I22,Listy!$A$1:$H$9,6,FALSE)</f>
        <v/>
      </c>
      <c r="BA22" s="682">
        <f>AY22*AZ22</f>
        <v/>
      </c>
      <c r="BB22" s="683">
        <f>AY22*BA22</f>
        <v/>
      </c>
      <c r="BC22" s="528" t="n"/>
      <c r="BD22" s="528" t="n"/>
      <c r="BE22" s="528" t="n"/>
      <c r="BF22" s="528" t="n"/>
      <c r="BG22" s="528" t="n"/>
      <c r="BH22" s="528" t="n"/>
      <c r="BI22" s="21">
        <f>BG22*BH22</f>
        <v/>
      </c>
      <c r="BJ22" s="528" t="n"/>
      <c r="BK22" s="528" t="n"/>
      <c r="BL22" s="528" t="n"/>
      <c r="BM22" s="528" t="n"/>
      <c r="BN22" s="528" t="n"/>
      <c r="BO22" s="528" t="n"/>
      <c r="BP22" s="528" t="n"/>
      <c r="BQ22" s="528" t="n"/>
      <c r="BR22" s="528" t="n"/>
      <c r="BS22" s="528" t="n"/>
      <c r="BT22" s="528" t="n"/>
      <c r="BU22" s="528" t="n"/>
      <c r="BV22" s="528" t="n"/>
      <c r="BW22" s="21">
        <f>BU22*BV22</f>
        <v/>
      </c>
      <c r="BX22" s="528" t="n"/>
      <c r="BY22" s="528" t="n"/>
      <c r="BZ22" s="528" t="n"/>
      <c r="CA22" s="21">
        <f>BY22*BZ22</f>
        <v/>
      </c>
      <c r="CB22" s="528" t="n"/>
      <c r="CC22" s="528" t="n"/>
      <c r="CD22" s="528" t="n"/>
      <c r="CE22" s="21">
        <f>CC22*CD22</f>
        <v/>
      </c>
    </row>
    <row r="23" customFormat="1" s="538">
      <c r="A23" s="528" t="n">
        <v>3</v>
      </c>
      <c r="B23" s="55" t="inlineStr">
        <is>
          <t>c</t>
        </is>
      </c>
      <c r="C23" s="105" t="n">
        <v>1</v>
      </c>
      <c r="D23" s="116">
        <f>CONCATENATE(A$3,"_",A23,"_",B23,"_",C23)</f>
        <v/>
      </c>
      <c r="E23" s="391" t="inlineStr">
        <is>
          <t>Utworzenie repozytorum artefaktów</t>
        </is>
      </c>
      <c r="F23" s="528">
        <f>IFERROR(VLOOKUP($I23,Listy!$A:$H,2,FALSE),"XXX")</f>
        <v/>
      </c>
      <c r="G23" s="528">
        <f>IFERROR(VLOOKUP($I23,Listy!$A:$H,3,FALSE),"XXX")</f>
        <v/>
      </c>
      <c r="H23" s="45" t="n">
        <v>17</v>
      </c>
      <c r="I23" s="89" t="inlineStr">
        <is>
          <t>END/ACT</t>
        </is>
      </c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 t="n">
        <v>1</v>
      </c>
      <c r="O23" s="528" t="n">
        <v>120</v>
      </c>
      <c r="P23" s="187" t="n">
        <v>0.06</v>
      </c>
      <c r="Q23" s="187" t="n">
        <v>0.06</v>
      </c>
      <c r="R23" s="187" t="n">
        <v>0.06</v>
      </c>
      <c r="S23" s="187" t="n">
        <v>0.06</v>
      </c>
      <c r="T23" s="187" t="n">
        <v>0.05</v>
      </c>
      <c r="U23" s="187" t="n">
        <v>0.05</v>
      </c>
      <c r="V23" s="187" t="n"/>
      <c r="W23" s="187" t="n"/>
      <c r="X23" s="187" t="n"/>
      <c r="Y23" s="292" t="n">
        <v>0</v>
      </c>
      <c r="Z23" s="292" t="n">
        <v>0.33</v>
      </c>
      <c r="AA23" s="292" t="n">
        <v>0.33</v>
      </c>
      <c r="AB23" s="292" t="n"/>
      <c r="AC23" s="304" t="n"/>
      <c r="AD23" s="304" t="n"/>
      <c r="AE23" s="304" t="n"/>
      <c r="AF23" s="304" t="n"/>
      <c r="AG23" s="192">
        <f>ROUND($O23*P23,0)</f>
        <v/>
      </c>
      <c r="AH23" s="192">
        <f>ROUND($O23*Q23,0)</f>
        <v/>
      </c>
      <c r="AI23" s="192">
        <f>ROUND($O23*R23,0)</f>
        <v/>
      </c>
      <c r="AJ23" s="192">
        <f>ROUND($O23*S23,0)</f>
        <v/>
      </c>
      <c r="AK23" s="192">
        <f>ROUND($O23*T23,0)</f>
        <v/>
      </c>
      <c r="AL23" s="192">
        <f>ROUND($O23*U23,0)</f>
        <v/>
      </c>
      <c r="AM23" s="192">
        <f>ROUND($O23*V23,0)</f>
        <v/>
      </c>
      <c r="AN23" s="192">
        <f>ROUND($O23*W23,0)</f>
        <v/>
      </c>
      <c r="AO23" s="192">
        <f>ROUND($O23*X23,0)</f>
        <v/>
      </c>
      <c r="AP23" s="193">
        <f>ROUND($O23*Y23,0)</f>
        <v/>
      </c>
      <c r="AQ23" s="193">
        <f>ROUND($O23*Z23,0)</f>
        <v/>
      </c>
      <c r="AR23" s="193">
        <f>ROUND($O23*AA23,0)</f>
        <v/>
      </c>
      <c r="AS23" s="307">
        <f>ROUND($O23*AB23,0)</f>
        <v/>
      </c>
      <c r="AT23" s="304" t="n"/>
      <c r="AU23" s="304" t="n"/>
      <c r="AV23" s="304" t="n"/>
      <c r="AW23" s="304" t="n"/>
      <c r="AX23" s="236">
        <f>SUM(AG23:AO23)</f>
        <v/>
      </c>
      <c r="AY23" s="528">
        <f>AX23/160</f>
        <v/>
      </c>
      <c r="AZ23" s="87">
        <f>VLOOKUP(I23,Listy!$A$1:$H$9,6,FALSE)</f>
        <v/>
      </c>
      <c r="BA23" s="682">
        <f>AY23*AZ23</f>
        <v/>
      </c>
      <c r="BB23" s="683">
        <f>AY23*BA23</f>
        <v/>
      </c>
      <c r="BC23" s="468" t="n"/>
      <c r="BD23" s="468" t="n"/>
      <c r="BE23" s="468" t="n"/>
      <c r="BF23" s="468" t="n"/>
      <c r="BG23" s="468" t="n"/>
      <c r="BH23" s="468" t="n"/>
      <c r="BI23" s="21">
        <f>BG23*BH23</f>
        <v/>
      </c>
      <c r="BJ23" s="528" t="n"/>
      <c r="BK23" s="528" t="n"/>
      <c r="BL23" s="21" t="n"/>
      <c r="BM23" s="528" t="n"/>
      <c r="BN23" s="528" t="n"/>
      <c r="BO23" s="21" t="n"/>
      <c r="BP23" s="528" t="n"/>
      <c r="BQ23" s="528" t="n"/>
      <c r="BR23" s="21" t="n"/>
      <c r="BS23" s="21" t="n"/>
      <c r="BT23" s="528" t="n"/>
      <c r="BU23" s="528" t="n"/>
      <c r="BV23" s="528" t="n"/>
      <c r="BW23" s="21">
        <f>BU23*BV23</f>
        <v/>
      </c>
      <c r="BX23" s="528" t="n"/>
      <c r="BY23" s="528" t="n"/>
      <c r="BZ23" s="528" t="n"/>
      <c r="CA23" s="21">
        <f>BY23*BZ23</f>
        <v/>
      </c>
      <c r="CB23" s="528" t="n"/>
      <c r="CC23" s="528" t="n"/>
      <c r="CD23" s="528" t="n"/>
      <c r="CE23" s="21">
        <f>CC23*CD23</f>
        <v/>
      </c>
    </row>
    <row r="24" customFormat="1" s="538">
      <c r="A24" s="528" t="n">
        <v>3</v>
      </c>
      <c r="B24" s="55" t="inlineStr">
        <is>
          <t>d</t>
        </is>
      </c>
      <c r="C24" s="105" t="n">
        <v>1</v>
      </c>
      <c r="D24" s="116">
        <f>CONCATENATE(A$3,"_",A24,"_",B24,"_",C24)</f>
        <v/>
      </c>
      <c r="E24" s="391" t="inlineStr">
        <is>
          <t xml:space="preserve">Automatyzacja zarządzania zadaniami </t>
        </is>
      </c>
      <c r="F24" s="528">
        <f>IFERROR(VLOOKUP($I24,Listy!$A:$H,2,FALSE),"XXX")</f>
        <v/>
      </c>
      <c r="G24" s="528">
        <f>IFERROR(VLOOKUP($I24,Listy!$A:$H,3,FALSE),"XXX")</f>
        <v/>
      </c>
      <c r="H24" s="133" t="n">
        <v>18</v>
      </c>
      <c r="I24" s="89" t="inlineStr">
        <is>
          <t>END/ACT</t>
        </is>
      </c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4">
        <f>ROUND(MAX(AG24:AO24)/Listy!$U$2,0)</f>
        <v/>
      </c>
      <c r="O24" s="528" t="n">
        <v>120</v>
      </c>
      <c r="P24" s="187" t="n">
        <v>0.06</v>
      </c>
      <c r="Q24" s="187" t="n">
        <v>0.06</v>
      </c>
      <c r="R24" s="187" t="n">
        <v>0.06</v>
      </c>
      <c r="S24" s="187" t="n">
        <v>0.06</v>
      </c>
      <c r="T24" s="187" t="n">
        <v>0.05</v>
      </c>
      <c r="U24" s="187" t="n">
        <v>0.05</v>
      </c>
      <c r="V24" s="187" t="n"/>
      <c r="W24" s="187" t="n"/>
      <c r="X24" s="187" t="n"/>
      <c r="Y24" s="292" t="n">
        <v>0</v>
      </c>
      <c r="Z24" s="292" t="n">
        <v>0.33</v>
      </c>
      <c r="AA24" s="292" t="n">
        <v>0.33</v>
      </c>
      <c r="AB24" s="292" t="n"/>
      <c r="AC24" s="305" t="n"/>
      <c r="AD24" s="305" t="n"/>
      <c r="AE24" s="305" t="n"/>
      <c r="AF24" s="305" t="n"/>
      <c r="AG24" s="192">
        <f>ROUND($O24*P24,0)</f>
        <v/>
      </c>
      <c r="AH24" s="192">
        <f>ROUND($O24*Q24,0)</f>
        <v/>
      </c>
      <c r="AI24" s="192">
        <f>ROUND($O24*R24,0)</f>
        <v/>
      </c>
      <c r="AJ24" s="192">
        <f>ROUND($O24*S24,0)</f>
        <v/>
      </c>
      <c r="AK24" s="192">
        <f>ROUND($O24*T24,0)</f>
        <v/>
      </c>
      <c r="AL24" s="192">
        <f>ROUND($O24*U24,0)</f>
        <v/>
      </c>
      <c r="AM24" s="192">
        <f>ROUND($O24*V24,0)</f>
        <v/>
      </c>
      <c r="AN24" s="192">
        <f>ROUND($O24*W24,0)</f>
        <v/>
      </c>
      <c r="AO24" s="192">
        <f>ROUND($O24*X24,0)</f>
        <v/>
      </c>
      <c r="AP24" s="193">
        <f>ROUND($O24*Y24,0)</f>
        <v/>
      </c>
      <c r="AQ24" s="193">
        <f>ROUND($O24*Z24,0)</f>
        <v/>
      </c>
      <c r="AR24" s="193">
        <f>ROUND($O24*AA24,0)</f>
        <v/>
      </c>
      <c r="AS24" s="193">
        <f>ROUND($O24*AB24,0)</f>
        <v/>
      </c>
      <c r="AT24" s="306">
        <f>ROUND($O24*AC24,0)</f>
        <v/>
      </c>
      <c r="AU24" s="306">
        <f>ROUND($O24*AD24,0)</f>
        <v/>
      </c>
      <c r="AV24" s="306">
        <f>ROUND($O24*AE24,0)</f>
        <v/>
      </c>
      <c r="AW24" s="306">
        <f>ROUND($O24*AF24,0)</f>
        <v/>
      </c>
      <c r="AX24" s="236">
        <f>SUM(AG24:AO24)</f>
        <v/>
      </c>
      <c r="AY24" s="528">
        <f>AX24/160</f>
        <v/>
      </c>
      <c r="AZ24" s="87">
        <f>VLOOKUP(I24,Listy!$A$1:$H$9,6,FALSE)</f>
        <v/>
      </c>
      <c r="BA24" s="682">
        <f>AY24*AZ24</f>
        <v/>
      </c>
      <c r="BB24" s="683">
        <f>AY24*BA24</f>
        <v/>
      </c>
      <c r="BC24" s="528" t="n"/>
      <c r="BD24" s="528" t="n"/>
      <c r="BE24" s="528" t="n"/>
      <c r="BF24" s="528" t="n"/>
      <c r="BG24" s="528" t="n"/>
      <c r="BH24" s="528" t="n"/>
      <c r="BI24" s="21">
        <f>BG24*BH24</f>
        <v/>
      </c>
      <c r="BJ24" s="528" t="n"/>
      <c r="BK24" s="528" t="n"/>
      <c r="BL24" s="528" t="n"/>
      <c r="BM24" s="528" t="n"/>
      <c r="BN24" s="528" t="n"/>
      <c r="BO24" s="528" t="n"/>
      <c r="BP24" s="528" t="n"/>
      <c r="BQ24" s="528" t="n"/>
      <c r="BR24" s="528" t="n"/>
      <c r="BS24" s="528" t="n"/>
      <c r="BT24" s="528" t="n"/>
      <c r="BU24" s="528" t="n"/>
      <c r="BV24" s="528" t="n"/>
      <c r="BW24" s="21">
        <f>BU24*BV24</f>
        <v/>
      </c>
      <c r="BX24" s="528" t="n"/>
      <c r="BY24" s="528" t="n"/>
      <c r="BZ24" s="528" t="n"/>
      <c r="CA24" s="21">
        <f>BY24*BZ24</f>
        <v/>
      </c>
      <c r="CB24" s="528" t="n"/>
      <c r="CC24" s="528" t="n"/>
      <c r="CD24" s="528" t="n"/>
      <c r="CE24" s="21">
        <f>CC24*CD24</f>
        <v/>
      </c>
    </row>
    <row r="25" customFormat="1" s="538">
      <c r="A25" s="528" t="n">
        <v>3</v>
      </c>
      <c r="B25" s="55" t="inlineStr">
        <is>
          <t>e</t>
        </is>
      </c>
      <c r="C25" s="105" t="n">
        <v>1</v>
      </c>
      <c r="D25" s="116">
        <f>CONCATENATE(A$3,"_",A25,"_",B25,"_",C25)</f>
        <v/>
      </c>
      <c r="E25" s="391" t="inlineStr">
        <is>
          <t>Przygotowanie procesu tworzenia artefaktow</t>
        </is>
      </c>
      <c r="F25" s="528">
        <f>IFERROR(VLOOKUP($I25,Listy!$A:$H,2,FALSE),"XXX")</f>
        <v/>
      </c>
      <c r="G25" s="528">
        <f>IFERROR(VLOOKUP($I25,Listy!$A:$H,3,FALSE),"XXX")</f>
        <v/>
      </c>
      <c r="H25" s="133" t="n">
        <v>19</v>
      </c>
      <c r="I25" s="89" t="inlineStr">
        <is>
          <t>END/ACT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4">
        <f>ROUND(MAX(AG25:AO25)/Listy!$U$2,0)</f>
        <v/>
      </c>
      <c r="O25" s="528" t="n">
        <v>120</v>
      </c>
      <c r="P25" s="187" t="n">
        <v>0.06</v>
      </c>
      <c r="Q25" s="187" t="n">
        <v>0.06</v>
      </c>
      <c r="R25" s="187" t="n">
        <v>0.06</v>
      </c>
      <c r="S25" s="187" t="n">
        <v>0.06</v>
      </c>
      <c r="T25" s="187" t="n">
        <v>0.05</v>
      </c>
      <c r="U25" s="187" t="n">
        <v>0.05</v>
      </c>
      <c r="V25" s="187" t="n"/>
      <c r="W25" s="187" t="n"/>
      <c r="X25" s="187" t="n"/>
      <c r="Y25" s="292" t="n">
        <v>0</v>
      </c>
      <c r="Z25" s="292" t="n">
        <v>0.33</v>
      </c>
      <c r="AA25" s="292" t="n">
        <v>0.33</v>
      </c>
      <c r="AB25" s="292" t="n"/>
      <c r="AC25" s="304" t="n"/>
      <c r="AD25" s="304" t="n"/>
      <c r="AE25" s="304" t="n"/>
      <c r="AF25" s="304" t="n"/>
      <c r="AG25" s="192">
        <f>ROUND($O25*P25,0)</f>
        <v/>
      </c>
      <c r="AH25" s="192">
        <f>ROUND($O25*Q25,0)</f>
        <v/>
      </c>
      <c r="AI25" s="192">
        <f>ROUND($O25*R25,0)</f>
        <v/>
      </c>
      <c r="AJ25" s="192">
        <f>ROUND($O25*S25,0)</f>
        <v/>
      </c>
      <c r="AK25" s="192">
        <f>ROUND($O25*T25,0)</f>
        <v/>
      </c>
      <c r="AL25" s="192">
        <f>ROUND($O25*U25,0)</f>
        <v/>
      </c>
      <c r="AM25" s="192">
        <f>ROUND($O25*V25,0)</f>
        <v/>
      </c>
      <c r="AN25" s="192">
        <f>ROUND($O25*W25,0)</f>
        <v/>
      </c>
      <c r="AO25" s="192">
        <f>ROUND($O25*X25,0)</f>
        <v/>
      </c>
      <c r="AP25" s="193">
        <f>ROUND($O25*Y25,0)</f>
        <v/>
      </c>
      <c r="AQ25" s="193">
        <f>ROUND($O25*Z25,0)</f>
        <v/>
      </c>
      <c r="AR25" s="193">
        <f>ROUND($O25*AA25,0)</f>
        <v/>
      </c>
      <c r="AS25" s="307">
        <f>ROUND($O25*AB25,0)</f>
        <v/>
      </c>
      <c r="AT25" s="304" t="n"/>
      <c r="AU25" s="304" t="n"/>
      <c r="AV25" s="304" t="n"/>
      <c r="AW25" s="304" t="n"/>
      <c r="AX25" s="236">
        <f>SUM(AG25:AO25)</f>
        <v/>
      </c>
      <c r="AY25" s="528">
        <f>AX25/160</f>
        <v/>
      </c>
      <c r="AZ25" s="87">
        <f>VLOOKUP(I25,Listy!$A$1:$H$9,6,FALSE)</f>
        <v/>
      </c>
      <c r="BA25" s="682">
        <f>AY25*AZ25</f>
        <v/>
      </c>
      <c r="BB25" s="683">
        <f>AY25*BA25</f>
        <v/>
      </c>
      <c r="BC25" s="468" t="n"/>
      <c r="BD25" s="468" t="n"/>
      <c r="BE25" s="468" t="n"/>
      <c r="BF25" s="468" t="n"/>
      <c r="BG25" s="468" t="n"/>
      <c r="BH25" s="468" t="n"/>
      <c r="BI25" s="21">
        <f>BG25*BH25</f>
        <v/>
      </c>
      <c r="BJ25" s="528" t="n"/>
      <c r="BK25" s="528" t="n"/>
      <c r="BL25" s="21" t="n"/>
      <c r="BM25" s="528" t="n"/>
      <c r="BN25" s="528" t="n"/>
      <c r="BO25" s="21" t="n"/>
      <c r="BP25" s="528" t="n"/>
      <c r="BQ25" s="528" t="n"/>
      <c r="BR25" s="21" t="n"/>
      <c r="BS25" s="21" t="n"/>
      <c r="BT25" s="528" t="n"/>
      <c r="BU25" s="528" t="n"/>
      <c r="BV25" s="528" t="n"/>
      <c r="BW25" s="21">
        <f>BU25*BV25</f>
        <v/>
      </c>
      <c r="BX25" s="528" t="n"/>
      <c r="BY25" s="528" t="n"/>
      <c r="BZ25" s="528" t="n"/>
      <c r="CA25" s="21">
        <f>BY25*BZ25</f>
        <v/>
      </c>
      <c r="CB25" s="528" t="n"/>
      <c r="CC25" s="528" t="n"/>
      <c r="CD25" s="528" t="n"/>
      <c r="CE25" s="21">
        <f>CC25*CD25</f>
        <v/>
      </c>
    </row>
    <row r="26" ht="18" customFormat="1" customHeight="1" s="538">
      <c r="A26" s="453" t="n">
        <v>4</v>
      </c>
      <c r="B26" s="55" t="inlineStr">
        <is>
          <t>a</t>
        </is>
      </c>
      <c r="C26" s="105" t="n">
        <v>0</v>
      </c>
      <c r="D26" s="116">
        <f>CONCATENATE(A$3,"_",A26,"_",B26,"_",C26)</f>
        <v/>
      </c>
      <c r="E26" s="388" t="inlineStr">
        <is>
          <t>4.Przygotowania bazy danych Platformy</t>
        </is>
      </c>
      <c r="F26" s="122" t="n"/>
      <c r="G26" s="122" t="n"/>
      <c r="H26" s="528" t="n"/>
      <c r="I26" s="122" t="n"/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4">
        <f>ROUND(MAX(AG26:AO26)/Listy!$U$2,0)</f>
        <v/>
      </c>
      <c r="O26" s="468" t="n"/>
      <c r="P26" s="468" t="n"/>
      <c r="Q26" s="468" t="n"/>
      <c r="R26" s="468" t="n"/>
      <c r="S26" s="468" t="n"/>
      <c r="T26" s="468" t="n"/>
      <c r="U26" s="468" t="n"/>
      <c r="V26" s="468" t="n"/>
      <c r="W26" s="468" t="n"/>
      <c r="X26" s="468" t="n"/>
      <c r="Y26" s="468" t="n"/>
      <c r="Z26" s="468" t="n"/>
      <c r="AA26" s="468" t="n"/>
      <c r="AB26" s="468" t="n"/>
      <c r="AC26" s="468" t="n"/>
      <c r="AD26" s="468" t="n"/>
      <c r="AE26" s="468" t="n"/>
      <c r="AF26" s="468" t="n"/>
      <c r="AG26" s="468" t="n"/>
      <c r="AH26" s="468" t="n"/>
      <c r="AI26" s="468" t="n"/>
      <c r="AJ26" s="468" t="n"/>
      <c r="AK26" s="468" t="n"/>
      <c r="AL26" s="468" t="n"/>
      <c r="AM26" s="468" t="n"/>
      <c r="AN26" s="468" t="n"/>
      <c r="AO26" s="468" t="n"/>
      <c r="AP26" s="468" t="n"/>
      <c r="AQ26" s="468" t="n"/>
      <c r="AR26" s="468" t="n"/>
      <c r="AS26" s="468" t="n"/>
      <c r="AT26" s="468" t="n"/>
      <c r="AU26" s="468" t="n"/>
      <c r="AV26" s="468" t="n"/>
      <c r="AW26" s="468" t="n"/>
      <c r="AX26" s="468" t="n"/>
      <c r="AY26" s="468" t="n"/>
      <c r="AZ26" s="468" t="n"/>
      <c r="BA26" s="468" t="n"/>
      <c r="BB26" s="468" t="n"/>
      <c r="BC26" s="468" t="n"/>
      <c r="BD26" s="122" t="n"/>
      <c r="BE26" s="122" t="n"/>
      <c r="BF26" s="122" t="n"/>
      <c r="BG26" s="122" t="n"/>
      <c r="BH26" s="122" t="n"/>
      <c r="BI26" s="122" t="n"/>
      <c r="BJ26" s="122" t="n"/>
      <c r="BK26" s="122" t="n"/>
      <c r="BL26" s="122" t="n"/>
      <c r="BM26" s="122" t="n"/>
      <c r="BN26" s="122" t="n"/>
      <c r="BO26" s="122" t="n"/>
      <c r="BP26" s="122" t="n"/>
      <c r="BQ26" s="122" t="n"/>
      <c r="BR26" s="122" t="n"/>
      <c r="BS26" s="122" t="n"/>
      <c r="BT26" s="122" t="n"/>
      <c r="BU26" s="122" t="n"/>
      <c r="BV26" s="122" t="n"/>
      <c r="BW26" s="122" t="n"/>
      <c r="BX26" s="122" t="n"/>
      <c r="BY26" s="122" t="n"/>
      <c r="BZ26" s="122" t="n"/>
      <c r="CA26" s="122" t="n"/>
      <c r="CB26" s="122" t="n"/>
      <c r="CC26" s="122" t="n"/>
      <c r="CD26" s="122" t="n"/>
      <c r="CE26" s="122" t="n"/>
    </row>
    <row r="27" customFormat="1" s="538">
      <c r="A27" s="528" t="n">
        <v>4</v>
      </c>
      <c r="B27" s="55" t="inlineStr">
        <is>
          <t>a</t>
        </is>
      </c>
      <c r="C27" s="105" t="n">
        <v>1</v>
      </c>
      <c r="D27" s="116">
        <f>CONCATENATE(A$3,"_",A27,"_",B27,"_",C27)</f>
        <v/>
      </c>
      <c r="E27" s="391" t="inlineStr">
        <is>
          <t>Implementa bazy panelu administracyjnego</t>
        </is>
      </c>
      <c r="F27" s="528">
        <f>IFERROR(VLOOKUP($I27,Listy!$A:$H,2,FALSE),"XXX")</f>
        <v/>
      </c>
      <c r="G27" s="528">
        <f>IFERROR(VLOOKUP($I27,Listy!$A:$H,3,FALSE),"XXX")</f>
        <v/>
      </c>
      <c r="H27" s="133" t="n">
        <v>20</v>
      </c>
      <c r="I27" s="89" t="inlineStr">
        <is>
          <t>ACT/END</t>
        </is>
      </c>
      <c r="J27" s="91">
        <f>M26+1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4" t="n">
        <v>2</v>
      </c>
      <c r="O27" s="528" t="n">
        <v>400</v>
      </c>
      <c r="P27" s="187" t="n">
        <v>0.17</v>
      </c>
      <c r="Q27" s="187" t="n">
        <v>0.17</v>
      </c>
      <c r="R27" s="187" t="n">
        <v>0.17</v>
      </c>
      <c r="S27" s="187" t="n">
        <v>0.17</v>
      </c>
      <c r="T27" s="187" t="n">
        <v>0.17</v>
      </c>
      <c r="U27" s="187" t="n">
        <v>0.15</v>
      </c>
      <c r="V27" s="187" t="n"/>
      <c r="W27" s="187" t="n"/>
      <c r="X27" s="187" t="n"/>
      <c r="Y27" s="292" t="n">
        <v>0</v>
      </c>
      <c r="Z27" s="292" t="n">
        <v>0</v>
      </c>
      <c r="AA27" s="292" t="n">
        <v>0</v>
      </c>
      <c r="AB27" s="292" t="n"/>
      <c r="AC27" s="304" t="n"/>
      <c r="AD27" s="304" t="n"/>
      <c r="AE27" s="304" t="n"/>
      <c r="AF27" s="304" t="n"/>
      <c r="AG27" s="192">
        <f>ROUND($O27*P27,0)</f>
        <v/>
      </c>
      <c r="AH27" s="192">
        <f>ROUND($O27*Q27,0)</f>
        <v/>
      </c>
      <c r="AI27" s="192">
        <f>ROUND($O27*R27,0)</f>
        <v/>
      </c>
      <c r="AJ27" s="192">
        <f>ROUND($O27*S27,0)</f>
        <v/>
      </c>
      <c r="AK27" s="192">
        <f>ROUND($O27*T27,0)</f>
        <v/>
      </c>
      <c r="AL27" s="192">
        <f>ROUND($O27*U27,0)</f>
        <v/>
      </c>
      <c r="AM27" s="192">
        <f>ROUND($O27*V27,0)</f>
        <v/>
      </c>
      <c r="AN27" s="192">
        <f>ROUND($O27*W27,0)</f>
        <v/>
      </c>
      <c r="AO27" s="192">
        <f>ROUND($O27*X27,0)</f>
        <v/>
      </c>
      <c r="AP27" s="193">
        <f>ROUND($O27*Y27,0)</f>
        <v/>
      </c>
      <c r="AQ27" s="193">
        <f>ROUND($O27*Z27,0)</f>
        <v/>
      </c>
      <c r="AR27" s="193">
        <f>ROUND($O27*AA27,0)</f>
        <v/>
      </c>
      <c r="AS27" s="307">
        <f>ROUND($O27*AB27,0)</f>
        <v/>
      </c>
      <c r="AT27" s="304" t="n"/>
      <c r="AU27" s="304" t="n"/>
      <c r="AV27" s="304" t="n"/>
      <c r="AW27" s="304" t="n"/>
      <c r="AX27" s="236">
        <f>SUM(AG27:AO27)</f>
        <v/>
      </c>
      <c r="AY27" s="528">
        <f>AX27/160</f>
        <v/>
      </c>
      <c r="AZ27" s="87">
        <f>VLOOKUP(I27,Listy!$A$1:$H$9,6,FALSE)</f>
        <v/>
      </c>
      <c r="BA27" s="682">
        <f>AY27*AZ27</f>
        <v/>
      </c>
      <c r="BB27" s="683">
        <f>AY27*BA27</f>
        <v/>
      </c>
      <c r="BC27" s="468" t="n"/>
      <c r="BD27" s="468" t="n"/>
      <c r="BE27" s="468" t="n"/>
      <c r="BF27" s="468" t="n"/>
      <c r="BG27" s="468" t="n"/>
      <c r="BH27" s="468" t="n"/>
      <c r="BI27" s="21">
        <f>BG27*BH27</f>
        <v/>
      </c>
      <c r="BJ27" s="528" t="n"/>
      <c r="BK27" s="528" t="n"/>
      <c r="BL27" s="21" t="n"/>
      <c r="BM27" s="528" t="n"/>
      <c r="BN27" s="528" t="n"/>
      <c r="BO27" s="21" t="n"/>
      <c r="BP27" s="528" t="n"/>
      <c r="BQ27" s="528" t="n"/>
      <c r="BR27" s="21" t="n"/>
      <c r="BS27" s="21" t="n"/>
      <c r="BT27" s="528" t="n"/>
      <c r="BU27" s="528" t="n"/>
      <c r="BV27" s="528" t="n"/>
      <c r="BW27" s="21">
        <f>BU27*BV27</f>
        <v/>
      </c>
      <c r="BX27" s="528" t="n"/>
      <c r="BY27" s="528" t="n"/>
      <c r="BZ27" s="528" t="n"/>
      <c r="CA27" s="21">
        <f>BY27*BZ27</f>
        <v/>
      </c>
      <c r="CB27" s="528" t="n"/>
      <c r="CC27" s="528" t="n"/>
      <c r="CD27" s="528" t="n"/>
      <c r="CE27" s="21">
        <f>CC27*CD27</f>
        <v/>
      </c>
    </row>
    <row r="28" customFormat="1" s="538">
      <c r="A28" s="528" t="n">
        <v>4</v>
      </c>
      <c r="B28" s="385" t="inlineStr">
        <is>
          <t>b</t>
        </is>
      </c>
      <c r="C28" s="105" t="n">
        <v>1</v>
      </c>
      <c r="D28" s="116">
        <f>CONCATENATE(A$3,"_",A28,"_",B28,"_",C28)</f>
        <v/>
      </c>
      <c r="E28" s="391" t="inlineStr">
        <is>
          <t>Implementacja bazy użytkowników</t>
        </is>
      </c>
      <c r="F28" s="528">
        <f>IFERROR(VLOOKUP($I28,Listy!$A:$H,2,FALSE),"XXX")</f>
        <v/>
      </c>
      <c r="G28" s="528">
        <f>IFERROR(VLOOKUP($I28,Listy!$A:$H,3,FALSE),"XXX")</f>
        <v/>
      </c>
      <c r="H28" s="133" t="n">
        <v>21</v>
      </c>
      <c r="I28" s="89" t="inlineStr">
        <is>
          <t>ACT/END</t>
        </is>
      </c>
      <c r="J28" s="91">
        <f>M27+1</f>
        <v/>
      </c>
      <c r="K28" s="681">
        <f>VLOOKUP(J28,Kalendarz!B:E,4,FALSE)</f>
        <v/>
      </c>
      <c r="L28" s="681">
        <f>K28+N28</f>
        <v/>
      </c>
      <c r="M28" s="528">
        <f>J28+N28-1</f>
        <v/>
      </c>
      <c r="N28" s="474" t="n">
        <v>2</v>
      </c>
      <c r="O28" s="528" t="n">
        <v>400</v>
      </c>
      <c r="P28" s="187" t="n">
        <v>0.17</v>
      </c>
      <c r="Q28" s="187" t="n">
        <v>0.17</v>
      </c>
      <c r="R28" s="187" t="n">
        <v>0.17</v>
      </c>
      <c r="S28" s="187" t="n">
        <v>0.17</v>
      </c>
      <c r="T28" s="187" t="n">
        <v>0.17</v>
      </c>
      <c r="U28" s="187" t="n">
        <v>0.15</v>
      </c>
      <c r="V28" s="187" t="n"/>
      <c r="W28" s="187" t="n"/>
      <c r="X28" s="187" t="n"/>
      <c r="Y28" s="292" t="n">
        <v>0</v>
      </c>
      <c r="Z28" s="292" t="n">
        <v>0</v>
      </c>
      <c r="AA28" s="292" t="n">
        <v>0</v>
      </c>
      <c r="AB28" s="292" t="n"/>
      <c r="AC28" s="305" t="n"/>
      <c r="AD28" s="305" t="n"/>
      <c r="AE28" s="305" t="n"/>
      <c r="AF28" s="305" t="n"/>
      <c r="AG28" s="192">
        <f>ROUND($O28*P28,0)</f>
        <v/>
      </c>
      <c r="AH28" s="192">
        <f>ROUND($O28*Q28,0)</f>
        <v/>
      </c>
      <c r="AI28" s="192">
        <f>ROUND($O28*R28,0)</f>
        <v/>
      </c>
      <c r="AJ28" s="192">
        <f>ROUND($O28*S28,0)</f>
        <v/>
      </c>
      <c r="AK28" s="192">
        <f>ROUND($O28*T28,0)</f>
        <v/>
      </c>
      <c r="AL28" s="192">
        <f>ROUND($O28*U28,0)</f>
        <v/>
      </c>
      <c r="AM28" s="192">
        <f>ROUND($O28*V28,0)</f>
        <v/>
      </c>
      <c r="AN28" s="192">
        <f>ROUND($O28*W28,0)</f>
        <v/>
      </c>
      <c r="AO28" s="192">
        <f>ROUND($O28*X28,0)</f>
        <v/>
      </c>
      <c r="AP28" s="193">
        <f>ROUND($O28*Y28,0)</f>
        <v/>
      </c>
      <c r="AQ28" s="193">
        <f>ROUND($O28*Z28,0)</f>
        <v/>
      </c>
      <c r="AR28" s="193">
        <f>ROUND($O28*AA28,0)</f>
        <v/>
      </c>
      <c r="AS28" s="193">
        <f>ROUND($O28*AB28,0)</f>
        <v/>
      </c>
      <c r="AT28" s="306">
        <f>ROUND($O28*AC28,0)</f>
        <v/>
      </c>
      <c r="AU28" s="306">
        <f>ROUND($O28*AD28,0)</f>
        <v/>
      </c>
      <c r="AV28" s="306">
        <f>ROUND($O28*AE28,0)</f>
        <v/>
      </c>
      <c r="AW28" s="306">
        <f>ROUND($O28*AF28,0)</f>
        <v/>
      </c>
      <c r="AX28" s="236">
        <f>SUM(AG28:AO28)</f>
        <v/>
      </c>
      <c r="AY28" s="528">
        <f>AX28/160</f>
        <v/>
      </c>
      <c r="AZ28" s="87">
        <f>VLOOKUP(I28,Listy!$A$1:$H$9,6,FALSE)</f>
        <v/>
      </c>
      <c r="BA28" s="682">
        <f>AY28*AZ28</f>
        <v/>
      </c>
      <c r="BB28" s="683">
        <f>AY28*BA28</f>
        <v/>
      </c>
      <c r="BC28" s="528" t="n"/>
      <c r="BD28" s="528" t="n"/>
      <c r="BE28" s="528" t="n"/>
      <c r="BF28" s="528" t="n"/>
      <c r="BG28" s="528" t="n"/>
      <c r="BH28" s="528" t="n"/>
      <c r="BI28" s="21">
        <f>BG28*BH28</f>
        <v/>
      </c>
      <c r="BJ28" s="528" t="n"/>
      <c r="BK28" s="528" t="n"/>
      <c r="BL28" s="528" t="n"/>
      <c r="BM28" s="528" t="n"/>
      <c r="BN28" s="528" t="n"/>
      <c r="BO28" s="528" t="n"/>
      <c r="BP28" s="528" t="n"/>
      <c r="BQ28" s="528" t="n"/>
      <c r="BR28" s="528" t="n"/>
      <c r="BS28" s="528" t="n"/>
      <c r="BT28" s="528" t="n"/>
      <c r="BU28" s="528" t="n"/>
      <c r="BV28" s="528" t="n"/>
      <c r="BW28" s="21">
        <f>BU28*BV28</f>
        <v/>
      </c>
      <c r="BX28" s="528" t="n"/>
      <c r="BY28" s="528" t="n"/>
      <c r="BZ28" s="528" t="n"/>
      <c r="CA28" s="21">
        <f>BY28*BZ28</f>
        <v/>
      </c>
      <c r="CB28" s="528" t="n"/>
      <c r="CC28" s="528" t="n"/>
      <c r="CD28" s="528" t="n"/>
      <c r="CE28" s="21">
        <f>CC28*CD28</f>
        <v/>
      </c>
    </row>
    <row r="29" customFormat="1" s="538">
      <c r="A29" s="528" t="n">
        <v>4</v>
      </c>
      <c r="B29" s="55" t="inlineStr">
        <is>
          <t>c</t>
        </is>
      </c>
      <c r="C29" s="105" t="n">
        <v>1</v>
      </c>
      <c r="D29" s="116">
        <f>CONCATENATE(A$3,"_",A29,"_",B29,"_",C29)</f>
        <v/>
      </c>
      <c r="E29" s="391" t="inlineStr">
        <is>
          <t>Implementacja bazy statystyk i wskaźnikow</t>
        </is>
      </c>
      <c r="F29" s="528">
        <f>IFERROR(VLOOKUP($I29,Listy!$A:$H,2,FALSE),"XXX")</f>
        <v/>
      </c>
      <c r="G29" s="528">
        <f>IFERROR(VLOOKUP($I29,Listy!$A:$H,3,FALSE),"XXX")</f>
        <v/>
      </c>
      <c r="H29" s="133" t="n">
        <v>22</v>
      </c>
      <c r="I29" s="89" t="inlineStr">
        <is>
          <t>ACT/END</t>
        </is>
      </c>
      <c r="J29" s="91">
        <f>M28+1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4" t="n">
        <v>2</v>
      </c>
      <c r="O29" s="528" t="n">
        <v>400</v>
      </c>
      <c r="P29" s="187" t="n">
        <v>0.17</v>
      </c>
      <c r="Q29" s="187" t="n">
        <v>0.17</v>
      </c>
      <c r="R29" s="187" t="n">
        <v>0.17</v>
      </c>
      <c r="S29" s="187" t="n">
        <v>0.17</v>
      </c>
      <c r="T29" s="187" t="n">
        <v>0.17</v>
      </c>
      <c r="U29" s="187" t="n">
        <v>0.15</v>
      </c>
      <c r="V29" s="187" t="n"/>
      <c r="W29" s="187" t="n"/>
      <c r="X29" s="187" t="n"/>
      <c r="Y29" s="292" t="n">
        <v>0</v>
      </c>
      <c r="Z29" s="292" t="n">
        <v>0</v>
      </c>
      <c r="AA29" s="292" t="n">
        <v>0</v>
      </c>
      <c r="AB29" s="292" t="n"/>
      <c r="AC29" s="304" t="n"/>
      <c r="AD29" s="304" t="n"/>
      <c r="AE29" s="304" t="n"/>
      <c r="AF29" s="304" t="n"/>
      <c r="AG29" s="192">
        <f>ROUND($O29*P29,0)</f>
        <v/>
      </c>
      <c r="AH29" s="192">
        <f>ROUND($O29*Q29,0)</f>
        <v/>
      </c>
      <c r="AI29" s="192">
        <f>ROUND($O29*R29,0)</f>
        <v/>
      </c>
      <c r="AJ29" s="192">
        <f>ROUND($O29*S29,0)</f>
        <v/>
      </c>
      <c r="AK29" s="192">
        <f>ROUND($O29*T29,0)</f>
        <v/>
      </c>
      <c r="AL29" s="192">
        <f>ROUND($O29*U29,0)</f>
        <v/>
      </c>
      <c r="AM29" s="192">
        <f>ROUND($O29*V29,0)</f>
        <v/>
      </c>
      <c r="AN29" s="192">
        <f>ROUND($O29*W29,0)</f>
        <v/>
      </c>
      <c r="AO29" s="192">
        <f>ROUND($O29*X29,0)</f>
        <v/>
      </c>
      <c r="AP29" s="193">
        <f>ROUND($O29*Y29,0)</f>
        <v/>
      </c>
      <c r="AQ29" s="193">
        <f>ROUND($O29*Z29,0)</f>
        <v/>
      </c>
      <c r="AR29" s="193">
        <f>ROUND($O29*AA29,0)</f>
        <v/>
      </c>
      <c r="AS29" s="307">
        <f>ROUND($O29*AB29,0)</f>
        <v/>
      </c>
      <c r="AT29" s="304" t="n"/>
      <c r="AU29" s="304" t="n"/>
      <c r="AV29" s="304" t="n"/>
      <c r="AW29" s="304" t="n"/>
      <c r="AX29" s="468" t="n"/>
      <c r="AY29" s="468" t="n"/>
      <c r="AZ29" s="468" t="n"/>
      <c r="BA29" s="468" t="n"/>
      <c r="BB29" s="468" t="n"/>
      <c r="BC29" s="468" t="n"/>
      <c r="BD29" s="468" t="n"/>
      <c r="BE29" s="468" t="n"/>
      <c r="BF29" s="468" t="n"/>
      <c r="BG29" s="468" t="n"/>
      <c r="BH29" s="468" t="n"/>
      <c r="BI29" s="21">
        <f>BG29*BH29</f>
        <v/>
      </c>
      <c r="BJ29" s="528" t="n"/>
      <c r="BK29" s="528" t="n"/>
      <c r="BL29" s="21" t="n"/>
      <c r="BM29" s="528" t="n"/>
      <c r="BN29" s="528" t="n"/>
      <c r="BO29" s="21" t="n"/>
      <c r="BP29" s="528" t="n"/>
      <c r="BQ29" s="528" t="n"/>
      <c r="BR29" s="21" t="n"/>
      <c r="BS29" s="21" t="n"/>
      <c r="BT29" s="528" t="n"/>
      <c r="BU29" s="528" t="n"/>
      <c r="BV29" s="528" t="n"/>
      <c r="BW29" s="21">
        <f>BU29*BV29</f>
        <v/>
      </c>
      <c r="BX29" s="528" t="n"/>
      <c r="BY29" s="528" t="n"/>
      <c r="BZ29" s="528" t="n"/>
      <c r="CA29" s="21">
        <f>BY29*BZ29</f>
        <v/>
      </c>
      <c r="CB29" s="528" t="n"/>
      <c r="CC29" s="528" t="n"/>
      <c r="CD29" s="528" t="n"/>
      <c r="CE29" s="21">
        <f>CC29*CD29</f>
        <v/>
      </c>
    </row>
    <row r="30" ht="18" customFormat="1" customHeight="1" s="538">
      <c r="A30" s="604" t="n">
        <v>5</v>
      </c>
      <c r="B30" s="55" t="inlineStr">
        <is>
          <t>a</t>
        </is>
      </c>
      <c r="C30" s="105" t="n">
        <v>0</v>
      </c>
      <c r="D30" s="116">
        <f>CONCATENATE(A$3,"_",A30,"_",B30,"_",C30)</f>
        <v/>
      </c>
      <c r="E30" s="388" t="inlineStr">
        <is>
          <t>5.Przygotowania oprogramowania Platformy</t>
        </is>
      </c>
      <c r="F30" s="122" t="n"/>
      <c r="G30" s="122" t="n"/>
      <c r="H30" s="528" t="n"/>
      <c r="I30" s="122" t="n"/>
      <c r="J30" s="91">
        <f>M29+1</f>
        <v/>
      </c>
      <c r="K30" s="681">
        <f>VLOOKUP(J30,Kalendarz!B:E,4,FALSE)</f>
        <v/>
      </c>
      <c r="L30" s="681">
        <f>K30+N30</f>
        <v/>
      </c>
      <c r="M30" s="528">
        <f>J30+N30-1</f>
        <v/>
      </c>
      <c r="N30" s="474">
        <f>ROUND(MAX(AG30:AO30)/Listy!$U$2,0)</f>
        <v/>
      </c>
      <c r="O30" s="468" t="n"/>
      <c r="P30" s="468" t="n"/>
      <c r="Q30" s="468" t="n"/>
      <c r="R30" s="468" t="n"/>
      <c r="S30" s="468" t="n"/>
      <c r="T30" s="468" t="n"/>
      <c r="U30" s="468" t="n"/>
      <c r="V30" s="468" t="n"/>
      <c r="W30" s="468" t="n"/>
      <c r="X30" s="468" t="n"/>
      <c r="Y30" s="468" t="n"/>
      <c r="Z30" s="468" t="n"/>
      <c r="AA30" s="468" t="n"/>
      <c r="AB30" s="468" t="n"/>
      <c r="AC30" s="468" t="n"/>
      <c r="AD30" s="468" t="n"/>
      <c r="AE30" s="468" t="n"/>
      <c r="AF30" s="468" t="n"/>
      <c r="AG30" s="468" t="n"/>
      <c r="AH30" s="468" t="n"/>
      <c r="AI30" s="468" t="n"/>
      <c r="AJ30" s="468" t="n"/>
      <c r="AK30" s="468" t="n"/>
      <c r="AL30" s="468" t="n"/>
      <c r="AM30" s="468" t="n"/>
      <c r="AN30" s="468" t="n"/>
      <c r="AO30" s="468" t="n"/>
      <c r="AP30" s="468" t="n"/>
      <c r="AQ30" s="468" t="n"/>
      <c r="AR30" s="468" t="n"/>
      <c r="AS30" s="468" t="n"/>
      <c r="AT30" s="468" t="n"/>
      <c r="AU30" s="468" t="n"/>
      <c r="AV30" s="468" t="n"/>
      <c r="AW30" s="468" t="n"/>
      <c r="AX30" s="468" t="n"/>
      <c r="AY30" s="468" t="n"/>
      <c r="AZ30" s="468" t="n"/>
      <c r="BA30" s="468" t="n"/>
      <c r="BB30" s="468" t="n"/>
      <c r="BC30" s="468" t="n"/>
      <c r="BD30" s="122" t="n"/>
      <c r="BE30" s="122" t="n"/>
      <c r="BF30" s="122" t="n"/>
      <c r="BG30" s="122" t="n"/>
      <c r="BH30" s="122" t="n"/>
      <c r="BI30" s="122" t="n"/>
      <c r="BJ30" s="122" t="n"/>
      <c r="BK30" s="122" t="n"/>
      <c r="BL30" s="122" t="n"/>
      <c r="BM30" s="122" t="n"/>
      <c r="BN30" s="122" t="n"/>
      <c r="BO30" s="122" t="n"/>
      <c r="BP30" s="122" t="n"/>
      <c r="BQ30" s="122" t="n"/>
      <c r="BR30" s="122" t="n"/>
      <c r="BS30" s="122" t="n"/>
      <c r="BT30" s="122" t="n"/>
      <c r="BU30" s="122" t="n"/>
      <c r="BV30" s="122" t="n"/>
      <c r="BW30" s="122" t="n"/>
      <c r="BX30" s="122" t="n"/>
      <c r="BY30" s="122" t="n"/>
      <c r="BZ30" s="122" t="n"/>
      <c r="CA30" s="122" t="n"/>
      <c r="CB30" s="122" t="n"/>
      <c r="CC30" s="122" t="n"/>
      <c r="CD30" s="122" t="n"/>
      <c r="CE30" s="122" t="n"/>
    </row>
    <row r="31" customFormat="1" s="538">
      <c r="A31" s="528" t="n">
        <v>5</v>
      </c>
      <c r="B31" s="55" t="inlineStr">
        <is>
          <t>a</t>
        </is>
      </c>
      <c r="C31" s="105" t="n">
        <v>1</v>
      </c>
      <c r="D31" s="116">
        <f>CONCATENATE(A$3,"_",A31,"_",B31,"_",C31)</f>
        <v/>
      </c>
      <c r="E31" s="391" t="inlineStr">
        <is>
          <t>Implementa panelu administracyjnego</t>
        </is>
      </c>
      <c r="F31" s="528">
        <f>IFERROR(VLOOKUP($I31,Listy!$A:$H,2,FALSE),"XXX")</f>
        <v/>
      </c>
      <c r="G31" s="528">
        <f>IFERROR(VLOOKUP($I31,Listy!$A:$H,3,FALSE),"XXX")</f>
        <v/>
      </c>
      <c r="H31" s="133" t="n">
        <v>22</v>
      </c>
      <c r="I31" s="89" t="inlineStr">
        <is>
          <t>ACT/END</t>
        </is>
      </c>
      <c r="J31" s="91">
        <f>M30+1</f>
        <v/>
      </c>
      <c r="K31" s="681">
        <f>VLOOKUP(J31,Kalendarz!B:E,4,FALSE)</f>
        <v/>
      </c>
      <c r="L31" s="681">
        <f>K31+N31</f>
        <v/>
      </c>
      <c r="M31" s="528">
        <f>J31+N31-1</f>
        <v/>
      </c>
      <c r="N31" s="474" t="n">
        <v>1</v>
      </c>
      <c r="O31" s="528" t="n">
        <v>560</v>
      </c>
      <c r="P31" s="187" t="n">
        <v>0.17</v>
      </c>
      <c r="Q31" s="187" t="n">
        <v>0.17</v>
      </c>
      <c r="R31" s="187" t="n">
        <v>0.17</v>
      </c>
      <c r="S31" s="187" t="n">
        <v>0.17</v>
      </c>
      <c r="T31" s="187" t="n">
        <v>0.17</v>
      </c>
      <c r="U31" s="187" t="n">
        <v>0.15</v>
      </c>
      <c r="V31" s="187" t="n"/>
      <c r="W31" s="187" t="n"/>
      <c r="X31" s="187" t="n"/>
      <c r="Y31" s="292" t="n">
        <v>0</v>
      </c>
      <c r="Z31" s="292" t="n">
        <v>0</v>
      </c>
      <c r="AA31" s="292" t="n">
        <v>0</v>
      </c>
      <c r="AB31" s="292" t="n"/>
      <c r="AC31" s="304" t="n"/>
      <c r="AD31" s="304" t="n"/>
      <c r="AE31" s="304" t="n"/>
      <c r="AF31" s="304" t="n"/>
      <c r="AG31" s="192">
        <f>ROUND($O31*P31,0)</f>
        <v/>
      </c>
      <c r="AH31" s="192">
        <f>ROUND($O31*Q31,0)</f>
        <v/>
      </c>
      <c r="AI31" s="192">
        <f>ROUND($O31*R31,0)</f>
        <v/>
      </c>
      <c r="AJ31" s="192">
        <f>ROUND($O31*S31,0)</f>
        <v/>
      </c>
      <c r="AK31" s="192">
        <f>ROUND($O31*T31,0)</f>
        <v/>
      </c>
      <c r="AL31" s="192">
        <f>ROUND($O31*U31,0)</f>
        <v/>
      </c>
      <c r="AM31" s="192">
        <f>ROUND($O31*V31,0)</f>
        <v/>
      </c>
      <c r="AN31" s="192">
        <f>ROUND($O31*W31,0)</f>
        <v/>
      </c>
      <c r="AO31" s="192">
        <f>ROUND($O31*X31,0)</f>
        <v/>
      </c>
      <c r="AP31" s="193">
        <f>ROUND($O31*Y31,0)</f>
        <v/>
      </c>
      <c r="AQ31" s="193">
        <f>ROUND($O31*Z31,0)</f>
        <v/>
      </c>
      <c r="AR31" s="193">
        <f>ROUND($O31*AA31,0)</f>
        <v/>
      </c>
      <c r="AS31" s="307">
        <f>ROUND($O31*AB31,0)</f>
        <v/>
      </c>
      <c r="AT31" s="304" t="n"/>
      <c r="AU31" s="304" t="n"/>
      <c r="AV31" s="304" t="n"/>
      <c r="AW31" s="304" t="n"/>
      <c r="AX31" s="236">
        <f>SUM(AG31:AO31)</f>
        <v/>
      </c>
      <c r="AY31" s="528">
        <f>AX31/160</f>
        <v/>
      </c>
      <c r="AZ31" s="87">
        <f>VLOOKUP(I31,Listy!$A$1:$H$9,6,FALSE)</f>
        <v/>
      </c>
      <c r="BA31" s="682">
        <f>AY31*AZ31</f>
        <v/>
      </c>
      <c r="BB31" s="683">
        <f>AY31*BA31</f>
        <v/>
      </c>
      <c r="BC31" s="468" t="n"/>
      <c r="BD31" s="468" t="n"/>
      <c r="BE31" s="468" t="n"/>
      <c r="BF31" s="468" t="n"/>
      <c r="BG31" s="468" t="n"/>
      <c r="BH31" s="468" t="n"/>
      <c r="BI31" s="21">
        <f>BG31*BH31</f>
        <v/>
      </c>
      <c r="BJ31" s="528" t="n"/>
      <c r="BK31" s="528" t="n"/>
      <c r="BL31" s="21" t="n"/>
      <c r="BM31" s="528" t="n"/>
      <c r="BN31" s="528" t="n"/>
      <c r="BO31" s="21" t="n"/>
      <c r="BP31" s="528" t="n"/>
      <c r="BQ31" s="528" t="n"/>
      <c r="BR31" s="21" t="n"/>
      <c r="BS31" s="21" t="n"/>
      <c r="BT31" s="528" t="n"/>
      <c r="BU31" s="528" t="n"/>
      <c r="BV31" s="528" t="n"/>
      <c r="BW31" s="21">
        <f>BU31*BV31</f>
        <v/>
      </c>
      <c r="BX31" s="528" t="n"/>
      <c r="BY31" s="528" t="n"/>
      <c r="BZ31" s="528" t="n"/>
      <c r="CA31" s="21">
        <f>BY31*BZ31</f>
        <v/>
      </c>
      <c r="CB31" s="528" t="n"/>
      <c r="CC31" s="528" t="n"/>
      <c r="CD31" s="528" t="n"/>
      <c r="CE31" s="21">
        <f>CC31*CD31</f>
        <v/>
      </c>
    </row>
    <row r="32" customFormat="1" s="538">
      <c r="A32" s="528" t="n">
        <v>5</v>
      </c>
      <c r="B32" s="385" t="inlineStr">
        <is>
          <t>b</t>
        </is>
      </c>
      <c r="C32" s="105" t="n">
        <v>1</v>
      </c>
      <c r="D32" s="116">
        <f>CONCATENATE(A$3,"_",A32,"_",B32,"_",C32)</f>
        <v/>
      </c>
      <c r="E32" s="391" t="inlineStr">
        <is>
          <t>Implementacja panelu użytkownika</t>
        </is>
      </c>
      <c r="F32" s="528">
        <f>IFERROR(VLOOKUP($I32,Listy!$A:$H,2,FALSE),"XXX")</f>
        <v/>
      </c>
      <c r="G32" s="528">
        <f>IFERROR(VLOOKUP($I32,Listy!$A:$H,3,FALSE),"XXX")</f>
        <v/>
      </c>
      <c r="H32" s="133" t="n">
        <v>23</v>
      </c>
      <c r="I32" s="89" t="inlineStr">
        <is>
          <t>ACT/END</t>
        </is>
      </c>
      <c r="J32" s="91">
        <f>M31+1</f>
        <v/>
      </c>
      <c r="K32" s="681">
        <f>VLOOKUP(J32,Kalendarz!B:E,4,FALSE)</f>
        <v/>
      </c>
      <c r="L32" s="681">
        <f>K32+N32</f>
        <v/>
      </c>
      <c r="M32" s="528">
        <f>J32+N32-1</f>
        <v/>
      </c>
      <c r="N32" s="474" t="n">
        <v>3</v>
      </c>
      <c r="O32" s="528" t="n">
        <v>560</v>
      </c>
      <c r="P32" s="187" t="n">
        <v>0.17</v>
      </c>
      <c r="Q32" s="187" t="n">
        <v>0.17</v>
      </c>
      <c r="R32" s="187" t="n">
        <v>0.17</v>
      </c>
      <c r="S32" s="187" t="n">
        <v>0.17</v>
      </c>
      <c r="T32" s="187" t="n">
        <v>0.17</v>
      </c>
      <c r="U32" s="187" t="n">
        <v>0.15</v>
      </c>
      <c r="V32" s="187" t="n"/>
      <c r="W32" s="187" t="n"/>
      <c r="X32" s="187" t="n"/>
      <c r="Y32" s="292" t="n">
        <v>0</v>
      </c>
      <c r="Z32" s="292" t="n">
        <v>0</v>
      </c>
      <c r="AA32" s="292" t="n">
        <v>0</v>
      </c>
      <c r="AB32" s="292" t="n"/>
      <c r="AC32" s="305" t="n"/>
      <c r="AD32" s="305" t="n"/>
      <c r="AE32" s="305" t="n"/>
      <c r="AF32" s="305" t="n"/>
      <c r="AG32" s="192">
        <f>ROUND($O32*P32,0)</f>
        <v/>
      </c>
      <c r="AH32" s="192">
        <f>ROUND($O32*Q32,0)</f>
        <v/>
      </c>
      <c r="AI32" s="192">
        <f>ROUND($O32*R32,0)</f>
        <v/>
      </c>
      <c r="AJ32" s="192">
        <f>ROUND($O32*S32,0)</f>
        <v/>
      </c>
      <c r="AK32" s="192">
        <f>ROUND($O32*T32,0)</f>
        <v/>
      </c>
      <c r="AL32" s="192">
        <f>ROUND($O32*U32,0)</f>
        <v/>
      </c>
      <c r="AM32" s="192">
        <f>ROUND($O32*V32,0)</f>
        <v/>
      </c>
      <c r="AN32" s="192">
        <f>ROUND($O32*W32,0)</f>
        <v/>
      </c>
      <c r="AO32" s="192">
        <f>ROUND($O32*X32,0)</f>
        <v/>
      </c>
      <c r="AP32" s="193">
        <f>ROUND($O32*Y32,0)</f>
        <v/>
      </c>
      <c r="AQ32" s="193">
        <f>ROUND($O32*Z32,0)</f>
        <v/>
      </c>
      <c r="AR32" s="193">
        <f>ROUND($O32*AA32,0)</f>
        <v/>
      </c>
      <c r="AS32" s="193">
        <f>ROUND($O32*AB32,0)</f>
        <v/>
      </c>
      <c r="AT32" s="306">
        <f>ROUND($O32*AC32,0)</f>
        <v/>
      </c>
      <c r="AU32" s="306">
        <f>ROUND($O32*AD32,0)</f>
        <v/>
      </c>
      <c r="AV32" s="306">
        <f>ROUND($O32*AE32,0)</f>
        <v/>
      </c>
      <c r="AW32" s="306">
        <f>ROUND($O32*AF32,0)</f>
        <v/>
      </c>
      <c r="AX32" s="236">
        <f>SUM(AG32:AO32)</f>
        <v/>
      </c>
      <c r="AY32" s="528">
        <f>AX32/160</f>
        <v/>
      </c>
      <c r="AZ32" s="87">
        <f>VLOOKUP(I32,Listy!$A$1:$H$9,6,FALSE)</f>
        <v/>
      </c>
      <c r="BA32" s="682">
        <f>AY32*AZ32</f>
        <v/>
      </c>
      <c r="BB32" s="683">
        <f>AY32*BA32</f>
        <v/>
      </c>
      <c r="BC32" s="528" t="n"/>
      <c r="BD32" s="528" t="n"/>
      <c r="BE32" s="528" t="n"/>
      <c r="BF32" s="528" t="n"/>
      <c r="BG32" s="528" t="n"/>
      <c r="BH32" s="528" t="n"/>
      <c r="BI32" s="21">
        <f>BG32*BH32</f>
        <v/>
      </c>
      <c r="BJ32" s="528" t="n"/>
      <c r="BK32" s="528" t="n"/>
      <c r="BL32" s="528" t="n"/>
      <c r="BM32" s="528" t="n"/>
      <c r="BN32" s="528" t="n"/>
      <c r="BO32" s="528" t="n"/>
      <c r="BP32" s="528" t="n"/>
      <c r="BQ32" s="528" t="n"/>
      <c r="BR32" s="528" t="n"/>
      <c r="BS32" s="528" t="n"/>
      <c r="BT32" s="528" t="n"/>
      <c r="BU32" s="528" t="n"/>
      <c r="BV32" s="528" t="n"/>
      <c r="BW32" s="21">
        <f>BU32*BV32</f>
        <v/>
      </c>
      <c r="BX32" s="528" t="n"/>
      <c r="BY32" s="528" t="n"/>
      <c r="BZ32" s="528" t="n"/>
      <c r="CA32" s="21">
        <f>BY32*BZ32</f>
        <v/>
      </c>
      <c r="CB32" s="528" t="n"/>
      <c r="CC32" s="528" t="n"/>
      <c r="CD32" s="528" t="n"/>
      <c r="CE32" s="21">
        <f>CC32*CD32</f>
        <v/>
      </c>
    </row>
    <row r="33" customFormat="1" s="538">
      <c r="A33" s="528" t="n">
        <v>5</v>
      </c>
      <c r="B33" s="385" t="inlineStr">
        <is>
          <t>c</t>
        </is>
      </c>
      <c r="C33" s="105" t="n">
        <v>1</v>
      </c>
      <c r="D33" s="116">
        <f>CONCATENATE(A$3,"_",A33,"_",B33,"_",C33)</f>
        <v/>
      </c>
      <c r="E33" s="391" t="inlineStr">
        <is>
          <t xml:space="preserve">Implementacja mechanizmow uwierzytelniania użytkownika </t>
        </is>
      </c>
      <c r="F33" s="528">
        <f>IFERROR(VLOOKUP($I33,Listy!$A:$H,2,FALSE),"XXX")</f>
        <v/>
      </c>
      <c r="G33" s="528">
        <f>IFERROR(VLOOKUP($I33,Listy!$A:$H,3,FALSE),"XXX")</f>
        <v/>
      </c>
      <c r="H33" s="133" t="n">
        <v>24</v>
      </c>
      <c r="I33" s="89" t="inlineStr">
        <is>
          <t>ACT/END</t>
        </is>
      </c>
      <c r="J33" s="91">
        <f>M32+1</f>
        <v/>
      </c>
      <c r="K33" s="681">
        <f>VLOOKUP(J33,Kalendarz!B:E,4,FALSE)</f>
        <v/>
      </c>
      <c r="L33" s="681">
        <f>K33+N33</f>
        <v/>
      </c>
      <c r="M33" s="528">
        <f>J33+N33-1</f>
        <v/>
      </c>
      <c r="N33" s="474" t="n">
        <v>3</v>
      </c>
      <c r="O33" s="528" t="n">
        <v>560</v>
      </c>
      <c r="P33" s="187" t="n">
        <v>0.17</v>
      </c>
      <c r="Q33" s="187" t="n">
        <v>0.17</v>
      </c>
      <c r="R33" s="187" t="n">
        <v>0.17</v>
      </c>
      <c r="S33" s="187" t="n">
        <v>0.17</v>
      </c>
      <c r="T33" s="187" t="n">
        <v>0.17</v>
      </c>
      <c r="U33" s="187" t="n">
        <v>0.15</v>
      </c>
      <c r="V33" s="187" t="n"/>
      <c r="W33" s="187" t="n"/>
      <c r="X33" s="187" t="n"/>
      <c r="Y33" s="292" t="n">
        <v>0</v>
      </c>
      <c r="Z33" s="292" t="n">
        <v>0</v>
      </c>
      <c r="AA33" s="292" t="n">
        <v>0</v>
      </c>
      <c r="AB33" s="292" t="n"/>
      <c r="AC33" s="304" t="n"/>
      <c r="AD33" s="304" t="n"/>
      <c r="AE33" s="304" t="n"/>
      <c r="AF33" s="304" t="n"/>
      <c r="AG33" s="192">
        <f>ROUND($O33*P33,0)</f>
        <v/>
      </c>
      <c r="AH33" s="192">
        <f>ROUND($O33*Q33,0)</f>
        <v/>
      </c>
      <c r="AI33" s="192">
        <f>ROUND($O33*R33,0)</f>
        <v/>
      </c>
      <c r="AJ33" s="192">
        <f>ROUND($O33*S33,0)</f>
        <v/>
      </c>
      <c r="AK33" s="192">
        <f>ROUND($O33*T33,0)</f>
        <v/>
      </c>
      <c r="AL33" s="192">
        <f>ROUND($O33*U33,0)</f>
        <v/>
      </c>
      <c r="AM33" s="192">
        <f>ROUND($O33*V33,0)</f>
        <v/>
      </c>
      <c r="AN33" s="192">
        <f>ROUND($O33*W33,0)</f>
        <v/>
      </c>
      <c r="AO33" s="192">
        <f>ROUND($O33*X33,0)</f>
        <v/>
      </c>
      <c r="AP33" s="193">
        <f>ROUND($O33*Y33,0)</f>
        <v/>
      </c>
      <c r="AQ33" s="193">
        <f>ROUND($O33*Z33,0)</f>
        <v/>
      </c>
      <c r="AR33" s="193">
        <f>ROUND($O33*AA33,0)</f>
        <v/>
      </c>
      <c r="AS33" s="307">
        <f>ROUND($O33*AB33,0)</f>
        <v/>
      </c>
      <c r="AT33" s="304" t="n"/>
      <c r="AU33" s="304" t="n"/>
      <c r="AV33" s="304" t="n"/>
      <c r="AW33" s="304" t="n"/>
      <c r="AX33" s="236">
        <f>SUM(AG33:AO33)</f>
        <v/>
      </c>
      <c r="AY33" s="528">
        <f>AX33/160</f>
        <v/>
      </c>
      <c r="AZ33" s="87">
        <f>VLOOKUP(I33,Listy!$A$1:$H$9,6,FALSE)</f>
        <v/>
      </c>
      <c r="BA33" s="682">
        <f>AY33*AZ33</f>
        <v/>
      </c>
      <c r="BB33" s="683">
        <f>AY33*BA33</f>
        <v/>
      </c>
      <c r="BC33" s="468" t="n"/>
      <c r="BD33" s="468" t="n"/>
      <c r="BE33" s="468" t="n"/>
      <c r="BF33" s="468" t="n"/>
      <c r="BG33" s="468" t="n"/>
      <c r="BH33" s="468" t="n"/>
      <c r="BI33" s="21">
        <f>BG33*BH33</f>
        <v/>
      </c>
      <c r="BJ33" s="528" t="n"/>
      <c r="BK33" s="528" t="n"/>
      <c r="BL33" s="21" t="n"/>
      <c r="BM33" s="528" t="n"/>
      <c r="BN33" s="528" t="n"/>
      <c r="BO33" s="21" t="n"/>
      <c r="BP33" s="528" t="n"/>
      <c r="BQ33" s="528" t="n"/>
      <c r="BR33" s="21" t="n"/>
      <c r="BS33" s="21" t="n"/>
      <c r="BT33" s="528" t="n"/>
      <c r="BU33" s="528" t="n"/>
      <c r="BV33" s="528" t="n"/>
      <c r="BW33" s="21">
        <f>BU33*BV33</f>
        <v/>
      </c>
      <c r="BX33" s="528" t="n"/>
      <c r="BY33" s="528" t="n"/>
      <c r="BZ33" s="528" t="n"/>
      <c r="CA33" s="21">
        <f>BY33*BZ33</f>
        <v/>
      </c>
      <c r="CB33" s="528" t="n"/>
      <c r="CC33" s="528" t="n"/>
      <c r="CD33" s="528" t="n"/>
      <c r="CE33" s="21">
        <f>CC33*CD33</f>
        <v/>
      </c>
    </row>
    <row r="34" customFormat="1" s="538">
      <c r="A34" s="528" t="n">
        <v>5</v>
      </c>
      <c r="B34" s="385" t="inlineStr">
        <is>
          <t>d</t>
        </is>
      </c>
      <c r="C34" s="105" t="n">
        <v>1</v>
      </c>
      <c r="D34" s="116">
        <f>CONCATENATE(A$3,"_",A34,"_",B34,"_",C34)</f>
        <v/>
      </c>
      <c r="E34" s="391" t="inlineStr">
        <is>
          <t>Implementacja mechanizmow uprawnień użytkowników</t>
        </is>
      </c>
      <c r="F34" s="528">
        <f>IFERROR(VLOOKUP($I34,Listy!$A:$H,2,FALSE),"XXX")</f>
        <v/>
      </c>
      <c r="G34" s="528">
        <f>IFERROR(VLOOKUP($I34,Listy!$A:$H,3,FALSE),"XXX")</f>
        <v/>
      </c>
      <c r="H34" s="133" t="n">
        <v>25</v>
      </c>
      <c r="I34" s="89" t="inlineStr">
        <is>
          <t>ACT/END</t>
        </is>
      </c>
      <c r="J34" s="91">
        <f>M33+1</f>
        <v/>
      </c>
      <c r="K34" s="681">
        <f>VLOOKUP(J34,Kalendarz!B:E,4,FALSE)</f>
        <v/>
      </c>
      <c r="L34" s="681">
        <f>K34+N34</f>
        <v/>
      </c>
      <c r="M34" s="528">
        <f>J34+N34-1</f>
        <v/>
      </c>
      <c r="N34" s="474" t="n">
        <v>3</v>
      </c>
      <c r="O34" s="528" t="n">
        <v>560</v>
      </c>
      <c r="P34" s="187" t="n">
        <v>0.17</v>
      </c>
      <c r="Q34" s="187" t="n">
        <v>0.17</v>
      </c>
      <c r="R34" s="187" t="n">
        <v>0.17</v>
      </c>
      <c r="S34" s="187" t="n">
        <v>0.17</v>
      </c>
      <c r="T34" s="187" t="n">
        <v>0.17</v>
      </c>
      <c r="U34" s="187" t="n">
        <v>0.15</v>
      </c>
      <c r="V34" s="187" t="n"/>
      <c r="W34" s="187" t="n"/>
      <c r="X34" s="187" t="n"/>
      <c r="Y34" s="292" t="n">
        <v>0</v>
      </c>
      <c r="Z34" s="292" t="n">
        <v>0</v>
      </c>
      <c r="AA34" s="292" t="n">
        <v>0</v>
      </c>
      <c r="AB34" s="292" t="n"/>
      <c r="AC34" s="305" t="n"/>
      <c r="AD34" s="305" t="n"/>
      <c r="AE34" s="305" t="n"/>
      <c r="AF34" s="305" t="n"/>
      <c r="AG34" s="192">
        <f>ROUND($O34*P34,0)</f>
        <v/>
      </c>
      <c r="AH34" s="192">
        <f>ROUND($O34*Q34,0)</f>
        <v/>
      </c>
      <c r="AI34" s="192">
        <f>ROUND($O34*R34,0)</f>
        <v/>
      </c>
      <c r="AJ34" s="192">
        <f>ROUND($O34*S34,0)</f>
        <v/>
      </c>
      <c r="AK34" s="192">
        <f>ROUND($O34*T34,0)</f>
        <v/>
      </c>
      <c r="AL34" s="192">
        <f>ROUND($O34*U34,0)</f>
        <v/>
      </c>
      <c r="AM34" s="192">
        <f>ROUND($O34*V34,0)</f>
        <v/>
      </c>
      <c r="AN34" s="192">
        <f>ROUND($O34*W34,0)</f>
        <v/>
      </c>
      <c r="AO34" s="192">
        <f>ROUND($O34*X34,0)</f>
        <v/>
      </c>
      <c r="AP34" s="193">
        <f>ROUND($O34*Y34,0)</f>
        <v/>
      </c>
      <c r="AQ34" s="193">
        <f>ROUND($O34*Z34,0)</f>
        <v/>
      </c>
      <c r="AR34" s="193">
        <f>ROUND($O34*AA34,0)</f>
        <v/>
      </c>
      <c r="AS34" s="193">
        <f>ROUND($O34*AB34,0)</f>
        <v/>
      </c>
      <c r="AT34" s="306">
        <f>ROUND($O34*AC34,0)</f>
        <v/>
      </c>
      <c r="AU34" s="306">
        <f>ROUND($O34*AD34,0)</f>
        <v/>
      </c>
      <c r="AV34" s="306">
        <f>ROUND($O34*AE34,0)</f>
        <v/>
      </c>
      <c r="AW34" s="306">
        <f>ROUND($O34*AF34,0)</f>
        <v/>
      </c>
      <c r="AX34" s="236">
        <f>SUM(AG34:AO34)</f>
        <v/>
      </c>
      <c r="AY34" s="528">
        <f>AX34/160</f>
        <v/>
      </c>
      <c r="AZ34" s="87">
        <f>VLOOKUP(I34,Listy!$A$1:$H$9,6,FALSE)</f>
        <v/>
      </c>
      <c r="BA34" s="682">
        <f>AY34*AZ34</f>
        <v/>
      </c>
      <c r="BB34" s="683">
        <f>AY34*BA34</f>
        <v/>
      </c>
      <c r="BC34" s="528" t="n"/>
      <c r="BD34" s="528" t="n"/>
      <c r="BE34" s="528" t="n"/>
      <c r="BF34" s="528" t="n"/>
      <c r="BG34" s="528" t="n"/>
      <c r="BH34" s="528" t="n"/>
      <c r="BI34" s="21">
        <f>BG34*BH34</f>
        <v/>
      </c>
      <c r="BJ34" s="528" t="n"/>
      <c r="BK34" s="528" t="n"/>
      <c r="BL34" s="528" t="n"/>
      <c r="BM34" s="528" t="n"/>
      <c r="BN34" s="528" t="n"/>
      <c r="BO34" s="528" t="n"/>
      <c r="BP34" s="528" t="n"/>
      <c r="BQ34" s="528" t="n"/>
      <c r="BR34" s="528" t="n"/>
      <c r="BS34" s="528" t="n"/>
      <c r="BT34" s="528" t="n"/>
      <c r="BU34" s="528" t="n"/>
      <c r="BV34" s="528" t="n"/>
      <c r="BW34" s="21">
        <f>BU34*BV34</f>
        <v/>
      </c>
      <c r="BX34" s="528" t="n"/>
      <c r="BY34" s="528" t="n"/>
      <c r="BZ34" s="528" t="n"/>
      <c r="CA34" s="21">
        <f>BY34*BZ34</f>
        <v/>
      </c>
      <c r="CB34" s="528" t="n"/>
      <c r="CC34" s="528" t="n"/>
      <c r="CD34" s="528" t="n"/>
      <c r="CE34" s="21">
        <f>CC34*CD34</f>
        <v/>
      </c>
    </row>
    <row r="35" ht="18" customFormat="1" customHeight="1" s="538">
      <c r="A35" s="454" t="n">
        <v>6</v>
      </c>
      <c r="B35" s="55" t="inlineStr">
        <is>
          <t>a</t>
        </is>
      </c>
      <c r="C35" s="105" t="n">
        <v>0</v>
      </c>
      <c r="D35" s="116">
        <f>CONCATENATE(A$3,"_",A35,"_",B35,"_",C35)</f>
        <v/>
      </c>
      <c r="E35" s="388" t="inlineStr">
        <is>
          <t>6.Analiza i optymalizacja działania platformy w zakresie:</t>
        </is>
      </c>
      <c r="F35" s="122" t="n"/>
      <c r="G35" s="122" t="n"/>
      <c r="H35" s="391" t="n"/>
      <c r="I35" s="122" t="n"/>
      <c r="J35" s="91">
        <f>M34+1</f>
        <v/>
      </c>
      <c r="K35" s="681">
        <f>VLOOKUP(J35,Kalendarz!B:E,4,FALSE)</f>
        <v/>
      </c>
      <c r="L35" s="681">
        <f>K35+N35</f>
        <v/>
      </c>
      <c r="M35" s="528">
        <f>J35+N35-1</f>
        <v/>
      </c>
      <c r="N35" s="474">
        <f>ROUND(MAX(AG35:AO35)/Listy!$U$2,0)</f>
        <v/>
      </c>
      <c r="O35" s="468" t="n"/>
      <c r="P35" s="468" t="n"/>
      <c r="Q35" s="468" t="n"/>
      <c r="R35" s="468" t="n"/>
      <c r="S35" s="468" t="n"/>
      <c r="T35" s="468" t="n"/>
      <c r="U35" s="468" t="n"/>
      <c r="V35" s="468" t="n"/>
      <c r="W35" s="468" t="n"/>
      <c r="X35" s="468" t="n"/>
      <c r="Y35" s="468" t="n"/>
      <c r="Z35" s="468" t="n"/>
      <c r="AA35" s="468" t="n"/>
      <c r="AB35" s="468" t="n"/>
      <c r="AC35" s="468" t="n"/>
      <c r="AD35" s="468" t="n"/>
      <c r="AE35" s="468" t="n"/>
      <c r="AF35" s="468" t="n"/>
      <c r="AG35" s="468" t="n"/>
      <c r="AH35" s="468" t="n"/>
      <c r="AI35" s="468" t="n"/>
      <c r="AJ35" s="468" t="n"/>
      <c r="AK35" s="468" t="n"/>
      <c r="AL35" s="468" t="n"/>
      <c r="AM35" s="468" t="n"/>
      <c r="AN35" s="468" t="n"/>
      <c r="AO35" s="468" t="n"/>
      <c r="AP35" s="468" t="n"/>
      <c r="AQ35" s="468" t="n"/>
      <c r="AR35" s="468" t="n"/>
      <c r="AS35" s="468" t="n"/>
      <c r="AT35" s="468" t="n"/>
      <c r="AU35" s="468" t="n"/>
      <c r="AV35" s="468" t="n"/>
      <c r="AW35" s="468" t="n"/>
      <c r="AX35" s="468" t="n"/>
      <c r="AY35" s="468" t="n"/>
      <c r="AZ35" s="468" t="n"/>
      <c r="BA35" s="468" t="n"/>
      <c r="BB35" s="468" t="n"/>
      <c r="BC35" s="468" t="n"/>
      <c r="BD35" s="122" t="n"/>
      <c r="BE35" s="122" t="n"/>
      <c r="BF35" s="122" t="n"/>
      <c r="BG35" s="122" t="n"/>
      <c r="BH35" s="122" t="n"/>
      <c r="BI35" s="122" t="n"/>
      <c r="BJ35" s="122" t="n"/>
      <c r="BK35" s="122" t="n"/>
      <c r="BL35" s="122" t="n"/>
      <c r="BM35" s="122" t="n"/>
      <c r="BN35" s="122" t="n"/>
      <c r="BO35" s="122" t="n"/>
      <c r="BP35" s="122" t="n"/>
      <c r="BQ35" s="122" t="n"/>
      <c r="BR35" s="122" t="n"/>
      <c r="BS35" s="122" t="n"/>
      <c r="BT35" s="122" t="n"/>
      <c r="BU35" s="122" t="n"/>
      <c r="BV35" s="122" t="n"/>
      <c r="BW35" s="122" t="n"/>
      <c r="BX35" s="122" t="n"/>
      <c r="BY35" s="122" t="n"/>
      <c r="BZ35" s="122" t="n"/>
      <c r="CA35" s="122" t="n"/>
      <c r="CB35" s="122" t="n"/>
      <c r="CC35" s="122" t="n"/>
      <c r="CD35" s="122" t="n"/>
      <c r="CE35" s="122" t="n"/>
    </row>
    <row r="36" customFormat="1" s="538">
      <c r="A36" s="528" t="n">
        <v>6</v>
      </c>
      <c r="B36" s="55" t="inlineStr">
        <is>
          <t>a</t>
        </is>
      </c>
      <c r="C36" s="105" t="n">
        <v>1</v>
      </c>
      <c r="D36" s="116">
        <f>CONCATENATE(A$3,"_",A36,"_",B36,"_",C36)</f>
        <v/>
      </c>
      <c r="E36" s="391" t="inlineStr">
        <is>
          <t>kosztów operacyjnych</t>
        </is>
      </c>
      <c r="F36" s="528">
        <f>IFERROR(VLOOKUP($I36,Listy!$A:$H,2,FALSE),"XXX")</f>
        <v/>
      </c>
      <c r="G36" s="528">
        <f>IFERROR(VLOOKUP($I36,Listy!$A:$H,3,FALSE),"XXX")</f>
        <v/>
      </c>
      <c r="H36" s="140" t="n">
        <v>26</v>
      </c>
      <c r="I36" s="89" t="inlineStr">
        <is>
          <t>ACT</t>
        </is>
      </c>
      <c r="J36" s="91">
        <f>M35+1</f>
        <v/>
      </c>
      <c r="K36" s="681">
        <f>VLOOKUP(J36,Kalendarz!B:E,4,FALSE)</f>
        <v/>
      </c>
      <c r="L36" s="681">
        <f>K36+N36</f>
        <v/>
      </c>
      <c r="M36" s="528">
        <f>J36+N36-1</f>
        <v/>
      </c>
      <c r="N36" s="474" t="n">
        <v>1</v>
      </c>
      <c r="O36" s="528" t="n">
        <v>200</v>
      </c>
      <c r="P36" s="187" t="n">
        <v>0.17</v>
      </c>
      <c r="Q36" s="187" t="n">
        <v>0.17</v>
      </c>
      <c r="R36" s="187" t="n">
        <v>0.17</v>
      </c>
      <c r="S36" s="187" t="n">
        <v>0.17</v>
      </c>
      <c r="T36" s="187" t="n">
        <v>0.17</v>
      </c>
      <c r="U36" s="187" t="n">
        <v>0.15</v>
      </c>
      <c r="V36" s="187" t="n"/>
      <c r="W36" s="187" t="n"/>
      <c r="X36" s="187" t="n"/>
      <c r="Y36" s="292" t="n">
        <v>0</v>
      </c>
      <c r="Z36" s="292" t="n">
        <v>0</v>
      </c>
      <c r="AA36" s="292" t="n">
        <v>0</v>
      </c>
      <c r="AB36" s="292" t="n"/>
      <c r="AC36" s="305" t="n"/>
      <c r="AD36" s="305" t="n"/>
      <c r="AE36" s="305" t="n"/>
      <c r="AF36" s="305" t="n"/>
      <c r="AG36" s="192">
        <f>ROUND($O36*P36,0)</f>
        <v/>
      </c>
      <c r="AH36" s="192">
        <f>ROUND($O36*Q36,0)</f>
        <v/>
      </c>
      <c r="AI36" s="192">
        <f>ROUND($O36*R36,0)</f>
        <v/>
      </c>
      <c r="AJ36" s="192">
        <f>ROUND($O36*S36,0)</f>
        <v/>
      </c>
      <c r="AK36" s="192">
        <f>ROUND($O36*T36,0)</f>
        <v/>
      </c>
      <c r="AL36" s="192">
        <f>ROUND($O36*U36,0)</f>
        <v/>
      </c>
      <c r="AM36" s="192">
        <f>ROUND($O36*V36,0)</f>
        <v/>
      </c>
      <c r="AN36" s="192">
        <f>ROUND($O36*W36,0)</f>
        <v/>
      </c>
      <c r="AO36" s="192">
        <f>ROUND($O36*X36,0)</f>
        <v/>
      </c>
      <c r="AP36" s="193">
        <f>ROUND($O36*Y36,0)</f>
        <v/>
      </c>
      <c r="AQ36" s="193">
        <f>ROUND($O36*Z36,0)</f>
        <v/>
      </c>
      <c r="AR36" s="193">
        <f>ROUND($O36*AA36,0)</f>
        <v/>
      </c>
      <c r="AS36" s="193">
        <f>ROUND($O36*AB36,0)</f>
        <v/>
      </c>
      <c r="AT36" s="306">
        <f>ROUND($O36*AC36,0)</f>
        <v/>
      </c>
      <c r="AU36" s="306">
        <f>ROUND($O36*AD36,0)</f>
        <v/>
      </c>
      <c r="AV36" s="306">
        <f>ROUND($O36*AE36,0)</f>
        <v/>
      </c>
      <c r="AW36" s="306">
        <f>ROUND($O36*AF36,0)</f>
        <v/>
      </c>
      <c r="AX36" s="236">
        <f>SUM(AG36:AO36)</f>
        <v/>
      </c>
      <c r="AY36" s="528">
        <f>AX36/160</f>
        <v/>
      </c>
      <c r="AZ36" s="87">
        <f>VLOOKUP(I36,Listy!$A$1:$H$9,6,FALSE)</f>
        <v/>
      </c>
      <c r="BA36" s="682">
        <f>AY36*AZ36</f>
        <v/>
      </c>
      <c r="BB36" s="683">
        <f>AY36*BA36</f>
        <v/>
      </c>
      <c r="BC36" s="528" t="n"/>
      <c r="BD36" s="528" t="n"/>
      <c r="BE36" s="528" t="n"/>
      <c r="BF36" s="528" t="n"/>
      <c r="BG36" s="528" t="n"/>
      <c r="BH36" s="528" t="n"/>
      <c r="BI36" s="21">
        <f>BG36*BH36</f>
        <v/>
      </c>
      <c r="BJ36" s="528" t="n"/>
      <c r="BK36" s="528" t="n"/>
      <c r="BL36" s="528" t="n"/>
      <c r="BM36" s="528" t="n"/>
      <c r="BN36" s="528" t="n"/>
      <c r="BO36" s="528" t="n"/>
      <c r="BP36" s="528" t="n"/>
      <c r="BQ36" s="528" t="n"/>
      <c r="BR36" s="528" t="n"/>
      <c r="BS36" s="528" t="n"/>
      <c r="BT36" s="528" t="n"/>
      <c r="BU36" s="528" t="n"/>
      <c r="BV36" s="528" t="n"/>
      <c r="BW36" s="21">
        <f>BU36*BV36</f>
        <v/>
      </c>
      <c r="BX36" s="528" t="n"/>
      <c r="BY36" s="528" t="n"/>
      <c r="BZ36" s="528" t="n"/>
      <c r="CA36" s="21">
        <f>BY36*BZ36</f>
        <v/>
      </c>
      <c r="CB36" s="528" t="n"/>
      <c r="CC36" s="528" t="n"/>
      <c r="CD36" s="528" t="n"/>
      <c r="CE36" s="21">
        <f>CC36*CD36</f>
        <v/>
      </c>
    </row>
    <row r="37" customFormat="1" s="538">
      <c r="A37" s="528" t="n">
        <v>6</v>
      </c>
      <c r="B37" s="55" t="inlineStr">
        <is>
          <t>b</t>
        </is>
      </c>
      <c r="C37" s="105" t="n">
        <v>1</v>
      </c>
      <c r="D37" s="116">
        <f>CONCATENATE(A$3,"_",A37,"_",B37,"_",C37)</f>
        <v/>
      </c>
      <c r="E37" s="391" t="inlineStr">
        <is>
          <t>potencjału przychodu</t>
        </is>
      </c>
      <c r="F37" s="528">
        <f>IFERROR(VLOOKUP($I37,Listy!$A:$H,2,FALSE),"XXX")</f>
        <v/>
      </c>
      <c r="G37" s="528">
        <f>IFERROR(VLOOKUP($I37,Listy!$A:$H,3,FALSE),"XXX")</f>
        <v/>
      </c>
      <c r="H37" s="140" t="n">
        <v>26</v>
      </c>
      <c r="I37" s="89" t="inlineStr">
        <is>
          <t>ACT</t>
        </is>
      </c>
      <c r="J37" s="91">
        <f>M36+1</f>
        <v/>
      </c>
      <c r="K37" s="681">
        <f>VLOOKUP(J37,Kalendarz!B:E,4,FALSE)</f>
        <v/>
      </c>
      <c r="L37" s="681">
        <f>K37+N37</f>
        <v/>
      </c>
      <c r="M37" s="528">
        <f>J37+N37-1</f>
        <v/>
      </c>
      <c r="N37" s="474" t="n">
        <v>1</v>
      </c>
      <c r="O37" s="528" t="n">
        <v>200</v>
      </c>
      <c r="P37" s="187" t="n">
        <v>0.17</v>
      </c>
      <c r="Q37" s="187" t="n">
        <v>0.17</v>
      </c>
      <c r="R37" s="187" t="n">
        <v>0.17</v>
      </c>
      <c r="S37" s="187" t="n">
        <v>0.17</v>
      </c>
      <c r="T37" s="187" t="n">
        <v>0.17</v>
      </c>
      <c r="U37" s="187" t="n">
        <v>0.15</v>
      </c>
      <c r="V37" s="187" t="n"/>
      <c r="W37" s="187" t="n"/>
      <c r="X37" s="187" t="n"/>
      <c r="Y37" s="292" t="n">
        <v>0</v>
      </c>
      <c r="Z37" s="292" t="n">
        <v>0</v>
      </c>
      <c r="AA37" s="292" t="n">
        <v>0</v>
      </c>
      <c r="AB37" s="292" t="n"/>
      <c r="AC37" s="304" t="n"/>
      <c r="AD37" s="304" t="n"/>
      <c r="AE37" s="304" t="n"/>
      <c r="AF37" s="304" t="n"/>
      <c r="AG37" s="192">
        <f>ROUND($O37*P37,0)</f>
        <v/>
      </c>
      <c r="AH37" s="192">
        <f>ROUND($O37*Q37,0)</f>
        <v/>
      </c>
      <c r="AI37" s="192">
        <f>ROUND($O37*R37,0)</f>
        <v/>
      </c>
      <c r="AJ37" s="192">
        <f>ROUND($O37*S37,0)</f>
        <v/>
      </c>
      <c r="AK37" s="192">
        <f>ROUND($O37*T37,0)</f>
        <v/>
      </c>
      <c r="AL37" s="192">
        <f>ROUND($O37*U37,0)</f>
        <v/>
      </c>
      <c r="AM37" s="192">
        <f>ROUND($O37*V37,0)</f>
        <v/>
      </c>
      <c r="AN37" s="192">
        <f>ROUND($O37*W37,0)</f>
        <v/>
      </c>
      <c r="AO37" s="192">
        <f>ROUND($O37*X37,0)</f>
        <v/>
      </c>
      <c r="AP37" s="193">
        <f>ROUND($O37*Y37,0)</f>
        <v/>
      </c>
      <c r="AQ37" s="193">
        <f>ROUND($O37*Z37,0)</f>
        <v/>
      </c>
      <c r="AR37" s="193">
        <f>ROUND($O37*AA37,0)</f>
        <v/>
      </c>
      <c r="AS37" s="307">
        <f>ROUND($O37*AB37,0)</f>
        <v/>
      </c>
      <c r="AT37" s="304" t="n"/>
      <c r="AU37" s="304" t="n"/>
      <c r="AV37" s="304" t="n"/>
      <c r="AW37" s="304" t="n"/>
      <c r="AX37" s="236">
        <f>SUM(AG37:AO37)</f>
        <v/>
      </c>
      <c r="AY37" s="528">
        <f>AX37/160</f>
        <v/>
      </c>
      <c r="AZ37" s="87">
        <f>VLOOKUP(I37,Listy!$A$1:$H$9,6,FALSE)</f>
        <v/>
      </c>
      <c r="BA37" s="682">
        <f>AY37*AZ37</f>
        <v/>
      </c>
      <c r="BB37" s="683">
        <f>AY37*BA37</f>
        <v/>
      </c>
      <c r="BC37" s="468" t="n"/>
      <c r="BD37" s="468" t="n"/>
      <c r="BE37" s="468" t="n"/>
      <c r="BF37" s="468" t="n"/>
      <c r="BG37" s="468" t="n"/>
      <c r="BH37" s="468" t="n"/>
      <c r="BI37" s="21">
        <f>BG37*BH37</f>
        <v/>
      </c>
      <c r="BJ37" s="528" t="n"/>
      <c r="BK37" s="528" t="n"/>
      <c r="BL37" s="21" t="n"/>
      <c r="BM37" s="528" t="n"/>
      <c r="BN37" s="528" t="n"/>
      <c r="BO37" s="21" t="n"/>
      <c r="BP37" s="528" t="n"/>
      <c r="BQ37" s="528" t="n"/>
      <c r="BR37" s="21" t="n"/>
      <c r="BS37" s="21" t="n"/>
      <c r="BT37" s="528" t="n"/>
      <c r="BU37" s="528" t="n"/>
      <c r="BV37" s="528" t="n"/>
      <c r="BW37" s="21">
        <f>BU37*BV37</f>
        <v/>
      </c>
      <c r="BX37" s="528" t="n"/>
      <c r="BY37" s="528" t="n"/>
      <c r="BZ37" s="528" t="n"/>
      <c r="CA37" s="21">
        <f>BY37*BZ37</f>
        <v/>
      </c>
      <c r="CB37" s="528" t="n"/>
      <c r="CC37" s="528" t="n"/>
      <c r="CD37" s="528" t="n"/>
      <c r="CE37" s="21">
        <f>CC37*CD37</f>
        <v/>
      </c>
      <c r="CF37" s="361" t="n"/>
    </row>
    <row r="38" customFormat="1" s="538">
      <c r="A38" s="528" t="n">
        <v>6</v>
      </c>
      <c r="B38" s="55" t="inlineStr">
        <is>
          <t>c</t>
        </is>
      </c>
      <c r="C38" s="105" t="n">
        <v>1</v>
      </c>
      <c r="D38" s="116">
        <f>CONCATENATE(A$3,"_",A38,"_",B38,"_",C38)</f>
        <v/>
      </c>
      <c r="E38" s="391" t="inlineStr">
        <is>
          <t>efektywności pracy pracowników</t>
        </is>
      </c>
      <c r="F38" s="528">
        <f>IFERROR(VLOOKUP($I38,Listy!$A:$H,2,FALSE),"XXX")</f>
        <v/>
      </c>
      <c r="G38" s="528">
        <f>IFERROR(VLOOKUP($I38,Listy!$A:$H,3,FALSE),"XXX")</f>
        <v/>
      </c>
      <c r="H38" s="140" t="n">
        <v>26</v>
      </c>
      <c r="I38" s="89" t="inlineStr">
        <is>
          <t>ACT</t>
        </is>
      </c>
      <c r="J38" s="91">
        <f>M37+1</f>
        <v/>
      </c>
      <c r="K38" s="681">
        <f>VLOOKUP(J38,Kalendarz!B:E,4,FALSE)</f>
        <v/>
      </c>
      <c r="L38" s="681">
        <f>K38+N38</f>
        <v/>
      </c>
      <c r="M38" s="528">
        <f>J38+N38-1</f>
        <v/>
      </c>
      <c r="N38" s="474" t="n">
        <v>1</v>
      </c>
      <c r="O38" s="528" t="n">
        <v>200</v>
      </c>
      <c r="P38" s="187" t="n">
        <v>0.17</v>
      </c>
      <c r="Q38" s="187" t="n">
        <v>0.17</v>
      </c>
      <c r="R38" s="187" t="n">
        <v>0.17</v>
      </c>
      <c r="S38" s="187" t="n">
        <v>0.17</v>
      </c>
      <c r="T38" s="187" t="n">
        <v>0.17</v>
      </c>
      <c r="U38" s="187" t="n">
        <v>0.15</v>
      </c>
      <c r="V38" s="187" t="n"/>
      <c r="W38" s="187" t="n"/>
      <c r="X38" s="187" t="n"/>
      <c r="Y38" s="292" t="n">
        <v>0</v>
      </c>
      <c r="Z38" s="292" t="n">
        <v>0</v>
      </c>
      <c r="AA38" s="292" t="n">
        <v>0</v>
      </c>
      <c r="AB38" s="292" t="n"/>
      <c r="AC38" s="305" t="n"/>
      <c r="AD38" s="305" t="n"/>
      <c r="AE38" s="305" t="n"/>
      <c r="AF38" s="305" t="n"/>
      <c r="AG38" s="192">
        <f>ROUND($O38*P38,0)</f>
        <v/>
      </c>
      <c r="AH38" s="192">
        <f>ROUND($O38*Q38,0)</f>
        <v/>
      </c>
      <c r="AI38" s="192">
        <f>ROUND($O38*R38,0)</f>
        <v/>
      </c>
      <c r="AJ38" s="192">
        <f>ROUND($O38*S38,0)</f>
        <v/>
      </c>
      <c r="AK38" s="192">
        <f>ROUND($O38*T38,0)</f>
        <v/>
      </c>
      <c r="AL38" s="192">
        <f>ROUND($O38*U38,0)</f>
        <v/>
      </c>
      <c r="AM38" s="192">
        <f>ROUND($O38*V38,0)</f>
        <v/>
      </c>
      <c r="AN38" s="192">
        <f>ROUND($O38*W38,0)</f>
        <v/>
      </c>
      <c r="AO38" s="192">
        <f>ROUND($O38*X38,0)</f>
        <v/>
      </c>
      <c r="AP38" s="193">
        <f>ROUND($O38*Y38,0)</f>
        <v/>
      </c>
      <c r="AQ38" s="193">
        <f>ROUND($O38*Z38,0)</f>
        <v/>
      </c>
      <c r="AR38" s="193">
        <f>ROUND($O38*AA38,0)</f>
        <v/>
      </c>
      <c r="AS38" s="193">
        <f>ROUND($O38*AB38,0)</f>
        <v/>
      </c>
      <c r="AT38" s="306">
        <f>ROUND($O38*AC38,0)</f>
        <v/>
      </c>
      <c r="AU38" s="306">
        <f>ROUND($O38*AD38,0)</f>
        <v/>
      </c>
      <c r="AV38" s="306">
        <f>ROUND($O38*AE38,0)</f>
        <v/>
      </c>
      <c r="AW38" s="306">
        <f>ROUND($O38*AF38,0)</f>
        <v/>
      </c>
      <c r="AX38" s="236">
        <f>SUM(AG38:AO38)</f>
        <v/>
      </c>
      <c r="AY38" s="528">
        <f>AX38/160</f>
        <v/>
      </c>
      <c r="AZ38" s="87">
        <f>VLOOKUP(I38,Listy!$A$1:$H$9,6,FALSE)</f>
        <v/>
      </c>
      <c r="BA38" s="682">
        <f>AY38*AZ38</f>
        <v/>
      </c>
      <c r="BB38" s="683">
        <f>AY38*BA38</f>
        <v/>
      </c>
      <c r="BC38" s="528" t="n"/>
      <c r="BD38" s="528" t="n"/>
      <c r="BE38" s="528" t="n"/>
      <c r="BF38" s="528" t="n"/>
      <c r="BG38" s="528" t="n"/>
      <c r="BH38" s="528" t="n"/>
      <c r="BI38" s="21">
        <f>BG38*BH38</f>
        <v/>
      </c>
      <c r="BJ38" s="528" t="n"/>
      <c r="BK38" s="528" t="n"/>
      <c r="BL38" s="528" t="n"/>
      <c r="BM38" s="528" t="n"/>
      <c r="BN38" s="528" t="n"/>
      <c r="BO38" s="528" t="n"/>
      <c r="BP38" s="528" t="n"/>
      <c r="BQ38" s="528" t="n"/>
      <c r="BR38" s="528" t="n"/>
      <c r="BS38" s="528" t="n"/>
      <c r="BT38" s="528" t="n"/>
      <c r="BU38" s="528" t="n"/>
      <c r="BV38" s="528" t="n"/>
      <c r="BW38" s="21">
        <f>BU38*BV38</f>
        <v/>
      </c>
      <c r="BX38" s="528" t="n"/>
      <c r="BY38" s="528" t="n"/>
      <c r="BZ38" s="528" t="n"/>
      <c r="CA38" s="21">
        <f>BY38*BZ38</f>
        <v/>
      </c>
      <c r="CB38" s="528" t="n"/>
      <c r="CC38" s="528" t="n"/>
      <c r="CD38" s="528" t="n"/>
      <c r="CE38" s="21">
        <f>CC38*CD38</f>
        <v/>
      </c>
    </row>
    <row r="39" customFormat="1" s="538">
      <c r="A39" s="528" t="n">
        <v>6</v>
      </c>
      <c r="B39" s="55" t="inlineStr">
        <is>
          <t>d</t>
        </is>
      </c>
      <c r="C39" s="105" t="n">
        <v>1</v>
      </c>
      <c r="D39" s="116">
        <f>CONCATENATE(A$3,"_",A39,"_",B39,"_",C39)</f>
        <v/>
      </c>
      <c r="E39" s="391" t="inlineStr">
        <is>
          <t>zarządzania zasobami ludzkimi</t>
        </is>
      </c>
      <c r="F39" s="528">
        <f>IFERROR(VLOOKUP($I39,Listy!$A:$H,2,FALSE),"XXX")</f>
        <v/>
      </c>
      <c r="G39" s="528">
        <f>IFERROR(VLOOKUP($I39,Listy!$A:$H,3,FALSE),"XXX")</f>
        <v/>
      </c>
      <c r="H39" s="140" t="n">
        <v>26</v>
      </c>
      <c r="I39" s="89" t="inlineStr">
        <is>
          <t>ACT</t>
        </is>
      </c>
      <c r="J39" s="91">
        <f>M38+1</f>
        <v/>
      </c>
      <c r="K39" s="681">
        <f>VLOOKUP(J39,Kalendarz!B:E,4,FALSE)</f>
        <v/>
      </c>
      <c r="L39" s="681">
        <f>K39+N39</f>
        <v/>
      </c>
      <c r="M39" s="528">
        <f>J39+N39-1</f>
        <v/>
      </c>
      <c r="N39" s="474" t="n">
        <v>1</v>
      </c>
      <c r="O39" s="528" t="n">
        <v>200</v>
      </c>
      <c r="P39" s="187" t="n">
        <v>0.17</v>
      </c>
      <c r="Q39" s="187" t="n">
        <v>0.17</v>
      </c>
      <c r="R39" s="187" t="n">
        <v>0.17</v>
      </c>
      <c r="S39" s="187" t="n">
        <v>0.17</v>
      </c>
      <c r="T39" s="187" t="n">
        <v>0.17</v>
      </c>
      <c r="U39" s="187" t="n">
        <v>0.15</v>
      </c>
      <c r="V39" s="187" t="n"/>
      <c r="W39" s="187" t="n"/>
      <c r="X39" s="187" t="n"/>
      <c r="Y39" s="292" t="n">
        <v>0</v>
      </c>
      <c r="Z39" s="292" t="n">
        <v>0</v>
      </c>
      <c r="AA39" s="292" t="n">
        <v>0</v>
      </c>
      <c r="AB39" s="292" t="n"/>
      <c r="AC39" s="304" t="n"/>
      <c r="AD39" s="304" t="n"/>
      <c r="AE39" s="304" t="n"/>
      <c r="AF39" s="304" t="n"/>
      <c r="AG39" s="192">
        <f>ROUND($O39*P39,0)</f>
        <v/>
      </c>
      <c r="AH39" s="192">
        <f>ROUND($O39*Q39,0)</f>
        <v/>
      </c>
      <c r="AI39" s="192">
        <f>ROUND($O39*R39,0)</f>
        <v/>
      </c>
      <c r="AJ39" s="192">
        <f>ROUND($O39*S39,0)</f>
        <v/>
      </c>
      <c r="AK39" s="192">
        <f>ROUND($O39*T39,0)</f>
        <v/>
      </c>
      <c r="AL39" s="192">
        <f>ROUND($O39*U39,0)</f>
        <v/>
      </c>
      <c r="AM39" s="192">
        <f>ROUND($O39*V39,0)</f>
        <v/>
      </c>
      <c r="AN39" s="192">
        <f>ROUND($O39*W39,0)</f>
        <v/>
      </c>
      <c r="AO39" s="192">
        <f>ROUND($O39*X39,0)</f>
        <v/>
      </c>
      <c r="AP39" s="193">
        <f>ROUND($O39*Y39,0)</f>
        <v/>
      </c>
      <c r="AQ39" s="193">
        <f>ROUND($O39*Z39,0)</f>
        <v/>
      </c>
      <c r="AR39" s="193">
        <f>ROUND($O39*AA39,0)</f>
        <v/>
      </c>
      <c r="AS39" s="307">
        <f>ROUND($O39*AB39,0)</f>
        <v/>
      </c>
      <c r="AT39" s="304" t="n"/>
      <c r="AU39" s="304" t="n"/>
      <c r="AV39" s="304" t="n"/>
      <c r="AW39" s="304" t="n"/>
      <c r="AX39" s="236">
        <f>SUM(AG39:AO39)</f>
        <v/>
      </c>
      <c r="AY39" s="528">
        <f>AX39/160</f>
        <v/>
      </c>
      <c r="AZ39" s="87">
        <f>VLOOKUP(I39,Listy!$A$1:$H$9,6,FALSE)</f>
        <v/>
      </c>
      <c r="BA39" s="682">
        <f>AY39*AZ39</f>
        <v/>
      </c>
      <c r="BB39" s="683">
        <f>AY39*BA39</f>
        <v/>
      </c>
      <c r="BC39" s="468" t="n"/>
      <c r="BD39" s="468" t="n"/>
      <c r="BE39" s="468" t="n"/>
      <c r="BF39" s="468" t="n"/>
      <c r="BG39" s="468" t="n"/>
      <c r="BH39" s="468" t="n"/>
      <c r="BI39" s="21">
        <f>BG39*BH39</f>
        <v/>
      </c>
      <c r="BJ39" s="528" t="n"/>
      <c r="BK39" s="528" t="n"/>
      <c r="BL39" s="21" t="n"/>
      <c r="BM39" s="528" t="n"/>
      <c r="BN39" s="528" t="n"/>
      <c r="BO39" s="21" t="n"/>
      <c r="BP39" s="528" t="n"/>
      <c r="BQ39" s="528" t="n"/>
      <c r="BR39" s="21" t="n"/>
      <c r="BS39" s="21" t="n"/>
      <c r="BT39" s="528" t="n"/>
      <c r="BU39" s="528" t="n"/>
      <c r="BV39" s="528" t="n"/>
      <c r="BW39" s="21">
        <f>BU39*BV39</f>
        <v/>
      </c>
      <c r="BX39" s="528" t="n"/>
      <c r="BY39" s="528" t="n"/>
      <c r="BZ39" s="528" t="n"/>
      <c r="CA39" s="21">
        <f>BY39*BZ39</f>
        <v/>
      </c>
      <c r="CB39" s="528" t="n"/>
      <c r="CC39" s="528" t="n"/>
      <c r="CD39" s="528" t="n"/>
      <c r="CE39" s="21">
        <f>CC39*CD39</f>
        <v/>
      </c>
    </row>
    <row r="40" customFormat="1" s="538">
      <c r="A40" s="46" t="n">
        <v>6</v>
      </c>
      <c r="B40" s="385" t="inlineStr">
        <is>
          <t>e</t>
        </is>
      </c>
      <c r="C40" s="105" t="n">
        <v>1</v>
      </c>
      <c r="D40" s="116">
        <f>CONCATENATE(A$3,"_",A40,"_",B40,"_",C40)</f>
        <v/>
      </c>
      <c r="E40" s="455" t="inlineStr">
        <is>
          <t>zużycia energii</t>
        </is>
      </c>
      <c r="F40" s="528">
        <f>IFERROR(VLOOKUP($I40,Listy!$A:$H,2,FALSE),"XXX")</f>
        <v/>
      </c>
      <c r="G40" s="528">
        <f>IFERROR(VLOOKUP($I40,Listy!$A:$H,3,FALSE),"XXX")</f>
        <v/>
      </c>
      <c r="H40" s="140" t="n">
        <v>26</v>
      </c>
      <c r="I40" s="89" t="inlineStr">
        <is>
          <t>ACT</t>
        </is>
      </c>
      <c r="J40" s="91">
        <f>M39+1</f>
        <v/>
      </c>
      <c r="K40" s="681">
        <f>VLOOKUP(J40,Kalendarz!B:E,4,FALSE)</f>
        <v/>
      </c>
      <c r="L40" s="681">
        <f>K40+N40</f>
        <v/>
      </c>
      <c r="M40" s="528">
        <f>J40+N40-1</f>
        <v/>
      </c>
      <c r="N40" s="474" t="n">
        <v>1</v>
      </c>
      <c r="O40" s="528" t="n">
        <v>200</v>
      </c>
      <c r="P40" s="187" t="n">
        <v>0.17</v>
      </c>
      <c r="Q40" s="187" t="n">
        <v>0.17</v>
      </c>
      <c r="R40" s="187" t="n">
        <v>0.17</v>
      </c>
      <c r="S40" s="187" t="n">
        <v>0.17</v>
      </c>
      <c r="T40" s="187" t="n">
        <v>0.17</v>
      </c>
      <c r="U40" s="187" t="n">
        <v>0.15</v>
      </c>
      <c r="V40" s="187" t="n"/>
      <c r="W40" s="187" t="n"/>
      <c r="X40" s="187" t="n"/>
      <c r="Y40" s="292" t="n">
        <v>0</v>
      </c>
      <c r="Z40" s="292" t="n">
        <v>0</v>
      </c>
      <c r="AA40" s="292" t="n">
        <v>0</v>
      </c>
      <c r="AB40" s="292" t="n"/>
      <c r="AC40" s="305" t="n"/>
      <c r="AD40" s="305" t="n"/>
      <c r="AE40" s="305" t="n"/>
      <c r="AF40" s="305" t="n"/>
      <c r="AG40" s="192">
        <f>ROUND($O40*P40,0)</f>
        <v/>
      </c>
      <c r="AH40" s="192">
        <f>ROUND($O40*Q40,0)</f>
        <v/>
      </c>
      <c r="AI40" s="192">
        <f>ROUND($O40*R40,0)</f>
        <v/>
      </c>
      <c r="AJ40" s="192">
        <f>ROUND($O40*S40,0)</f>
        <v/>
      </c>
      <c r="AK40" s="192">
        <f>ROUND($O40*T40,0)</f>
        <v/>
      </c>
      <c r="AL40" s="192">
        <f>ROUND($O40*U40,0)</f>
        <v/>
      </c>
      <c r="AM40" s="192">
        <f>ROUND($O40*V40,0)</f>
        <v/>
      </c>
      <c r="AN40" s="192">
        <f>ROUND($O40*W40,0)</f>
        <v/>
      </c>
      <c r="AO40" s="192">
        <f>ROUND($O40*X40,0)</f>
        <v/>
      </c>
      <c r="AP40" s="193">
        <f>ROUND($O40*Y40,0)</f>
        <v/>
      </c>
      <c r="AQ40" s="193">
        <f>ROUND($O40*Z40,0)</f>
        <v/>
      </c>
      <c r="AR40" s="193">
        <f>ROUND($O40*AA40,0)</f>
        <v/>
      </c>
      <c r="AS40" s="193">
        <f>ROUND($O40*AB40,0)</f>
        <v/>
      </c>
      <c r="AT40" s="306">
        <f>ROUND($O40*AC40,0)</f>
        <v/>
      </c>
      <c r="AU40" s="306">
        <f>ROUND($O40*AD40,0)</f>
        <v/>
      </c>
      <c r="AV40" s="306">
        <f>ROUND($O40*AE40,0)</f>
        <v/>
      </c>
      <c r="AW40" s="306">
        <f>ROUND($O40*AF40,0)</f>
        <v/>
      </c>
      <c r="AX40" s="236">
        <f>SUM(AG40:AO40)</f>
        <v/>
      </c>
      <c r="AY40" s="528">
        <f>AX40/160</f>
        <v/>
      </c>
      <c r="AZ40" s="87">
        <f>VLOOKUP(I40,Listy!$A$1:$H$9,6,FALSE)</f>
        <v/>
      </c>
      <c r="BA40" s="682">
        <f>AY40*AZ40</f>
        <v/>
      </c>
      <c r="BB40" s="683">
        <f>AY40*BA40</f>
        <v/>
      </c>
      <c r="BC40" s="528" t="n"/>
      <c r="BD40" s="528" t="n"/>
      <c r="BE40" s="528" t="n"/>
      <c r="BF40" s="528" t="n"/>
      <c r="BG40" s="528" t="n"/>
      <c r="BH40" s="528" t="n"/>
      <c r="BI40" s="21">
        <f>BG40*BH40</f>
        <v/>
      </c>
      <c r="BJ40" s="528" t="n"/>
      <c r="BK40" s="528" t="n"/>
      <c r="BL40" s="528" t="n"/>
      <c r="BM40" s="528" t="n"/>
      <c r="BN40" s="528" t="n"/>
      <c r="BO40" s="528" t="n"/>
      <c r="BP40" s="528" t="n"/>
      <c r="BQ40" s="528" t="n"/>
      <c r="BR40" s="528" t="n"/>
      <c r="BS40" s="528" t="n"/>
      <c r="BT40" s="528" t="n"/>
      <c r="BU40" s="528" t="n"/>
      <c r="BV40" s="528" t="n"/>
      <c r="BW40" s="21">
        <f>BU40*BV40</f>
        <v/>
      </c>
      <c r="BX40" s="528" t="n"/>
      <c r="BY40" s="528" t="n"/>
      <c r="BZ40" s="528" t="n"/>
      <c r="CA40" s="21">
        <f>BY40*BZ40</f>
        <v/>
      </c>
      <c r="CB40" s="528" t="n"/>
      <c r="CC40" s="528" t="n"/>
      <c r="CD40" s="528" t="n"/>
      <c r="CE40" s="21">
        <f>CC40*CD40</f>
        <v/>
      </c>
    </row>
    <row r="41" customFormat="1" s="538">
      <c r="A41" s="46" t="n">
        <v>6</v>
      </c>
      <c r="B41" s="385" t="inlineStr">
        <is>
          <t>f</t>
        </is>
      </c>
      <c r="C41" s="105" t="n">
        <v>1</v>
      </c>
      <c r="D41" s="116">
        <f>CONCATENATE(A$3,"_",A41,"_",B41,"_",C41)</f>
        <v/>
      </c>
      <c r="E41" s="455" t="inlineStr">
        <is>
          <t>zarządzania ryzykiem biznesowym</t>
        </is>
      </c>
      <c r="F41" s="528">
        <f>IFERROR(VLOOKUP($I41,Listy!$A:$H,2,FALSE),"XXX")</f>
        <v/>
      </c>
      <c r="G41" s="528">
        <f>IFERROR(VLOOKUP($I41,Listy!$A:$H,3,FALSE),"XXX")</f>
        <v/>
      </c>
      <c r="H41" s="140" t="n">
        <v>26</v>
      </c>
      <c r="I41" s="89" t="inlineStr">
        <is>
          <t>ACT</t>
        </is>
      </c>
      <c r="J41" s="91">
        <f>M40+1</f>
        <v/>
      </c>
      <c r="K41" s="681">
        <f>VLOOKUP(J41,Kalendarz!B:E,4,FALSE)</f>
        <v/>
      </c>
      <c r="L41" s="681">
        <f>K41+N41</f>
        <v/>
      </c>
      <c r="M41" s="528">
        <f>J41+N41-1</f>
        <v/>
      </c>
      <c r="N41" s="474" t="n">
        <v>1</v>
      </c>
      <c r="O41" s="528" t="n">
        <v>200</v>
      </c>
      <c r="P41" s="187" t="n">
        <v>0.17</v>
      </c>
      <c r="Q41" s="187" t="n">
        <v>0.17</v>
      </c>
      <c r="R41" s="187" t="n">
        <v>0.17</v>
      </c>
      <c r="S41" s="187" t="n">
        <v>0.17</v>
      </c>
      <c r="T41" s="187" t="n">
        <v>0.17</v>
      </c>
      <c r="U41" s="187" t="n">
        <v>0.15</v>
      </c>
      <c r="V41" s="187" t="n"/>
      <c r="W41" s="187" t="n"/>
      <c r="X41" s="187" t="n"/>
      <c r="Y41" s="292" t="n">
        <v>0</v>
      </c>
      <c r="Z41" s="292" t="n">
        <v>0</v>
      </c>
      <c r="AA41" s="292" t="n">
        <v>0</v>
      </c>
      <c r="AB41" s="292" t="n"/>
      <c r="AC41" s="304" t="n"/>
      <c r="AD41" s="304" t="n"/>
      <c r="AE41" s="304" t="n"/>
      <c r="AF41" s="304" t="n"/>
      <c r="AG41" s="192">
        <f>ROUND($O41*P41,0)</f>
        <v/>
      </c>
      <c r="AH41" s="192">
        <f>ROUND($O41*Q41,0)</f>
        <v/>
      </c>
      <c r="AI41" s="192">
        <f>ROUND($O41*R41,0)</f>
        <v/>
      </c>
      <c r="AJ41" s="192">
        <f>ROUND($O41*S41,0)</f>
        <v/>
      </c>
      <c r="AK41" s="192">
        <f>ROUND($O41*T41,0)</f>
        <v/>
      </c>
      <c r="AL41" s="192">
        <f>ROUND($O41*U41,0)</f>
        <v/>
      </c>
      <c r="AM41" s="192">
        <f>ROUND($O41*V41,0)</f>
        <v/>
      </c>
      <c r="AN41" s="192">
        <f>ROUND($O41*W41,0)</f>
        <v/>
      </c>
      <c r="AO41" s="192">
        <f>ROUND($O41*X41,0)</f>
        <v/>
      </c>
      <c r="AP41" s="193">
        <f>ROUND($O41*Y41,0)</f>
        <v/>
      </c>
      <c r="AQ41" s="193">
        <f>ROUND($O41*Z41,0)</f>
        <v/>
      </c>
      <c r="AR41" s="193">
        <f>ROUND($O41*AA41,0)</f>
        <v/>
      </c>
      <c r="AS41" s="307">
        <f>ROUND($O41*AB41,0)</f>
        <v/>
      </c>
      <c r="AT41" s="304" t="n"/>
      <c r="AU41" s="304" t="n"/>
      <c r="AV41" s="304" t="n"/>
      <c r="AW41" s="304" t="n"/>
      <c r="AX41" s="236">
        <f>SUM(AG41:AO41)</f>
        <v/>
      </c>
      <c r="AY41" s="528">
        <f>AX41/160</f>
        <v/>
      </c>
      <c r="AZ41" s="87">
        <f>VLOOKUP(I41,Listy!$A$1:$H$9,6,FALSE)</f>
        <v/>
      </c>
      <c r="BA41" s="682">
        <f>AY41*AZ41</f>
        <v/>
      </c>
      <c r="BB41" s="683">
        <f>AY41*BA41</f>
        <v/>
      </c>
      <c r="BC41" s="468" t="n"/>
      <c r="BD41" s="468" t="n"/>
      <c r="BE41" s="468" t="n"/>
      <c r="BF41" s="468" t="n"/>
      <c r="BG41" s="468" t="n"/>
      <c r="BH41" s="468" t="n"/>
      <c r="BI41" s="21">
        <f>BG41*BH41</f>
        <v/>
      </c>
      <c r="BJ41" s="528" t="n"/>
      <c r="BK41" s="528" t="n"/>
      <c r="BL41" s="21" t="n"/>
      <c r="BM41" s="528" t="n"/>
      <c r="BN41" s="528" t="n"/>
      <c r="BO41" s="21" t="n"/>
      <c r="BP41" s="528" t="n"/>
      <c r="BQ41" s="528" t="n"/>
      <c r="BR41" s="21" t="n"/>
      <c r="BS41" s="21" t="n"/>
      <c r="BT41" s="528" t="n"/>
      <c r="BU41" s="528" t="n"/>
      <c r="BV41" s="528" t="n"/>
      <c r="BW41" s="21">
        <f>BU41*BV41</f>
        <v/>
      </c>
      <c r="BX41" s="528" t="n"/>
      <c r="BY41" s="528" t="n"/>
      <c r="BZ41" s="528" t="n"/>
      <c r="CA41" s="21">
        <f>BY41*BZ41</f>
        <v/>
      </c>
      <c r="CB41" s="528" t="n"/>
      <c r="CC41" s="528" t="n"/>
      <c r="CD41" s="528" t="n"/>
      <c r="CE41" s="21">
        <f>CC41*CD41</f>
        <v/>
      </c>
    </row>
    <row r="42" ht="18" customFormat="1" customHeight="1" s="538">
      <c r="A42" s="453" t="n">
        <v>7</v>
      </c>
      <c r="B42" s="55" t="inlineStr">
        <is>
          <t>a</t>
        </is>
      </c>
      <c r="C42" s="105" t="n">
        <v>0</v>
      </c>
      <c r="D42" s="116">
        <f>CONCATENATE(A$3,"_",A42,"_",B42,"_",C42)</f>
        <v/>
      </c>
      <c r="E42" s="388" t="inlineStr">
        <is>
          <t xml:space="preserve">7.Zarządzanie bezpieczeństwem i niezawodnością platformy. Opracowanie mechanizmów/narzędzi: </t>
        </is>
      </c>
      <c r="F42" s="122" t="n"/>
      <c r="G42" s="122" t="n"/>
      <c r="H42" s="391" t="n"/>
      <c r="I42" s="122" t="n"/>
      <c r="J42" s="91">
        <f>M41+1</f>
        <v/>
      </c>
      <c r="K42" s="681">
        <f>VLOOKUP(J42,Kalendarz!B:E,4,FALSE)</f>
        <v/>
      </c>
      <c r="L42" s="681">
        <f>K42+N42</f>
        <v/>
      </c>
      <c r="M42" s="528">
        <f>J42+N42-1</f>
        <v/>
      </c>
      <c r="N42" s="474">
        <f>ROUND(MAX(AG42:AO42)/Listy!$U$2,0)</f>
        <v/>
      </c>
      <c r="O42" s="468" t="n"/>
      <c r="P42" s="468" t="n"/>
      <c r="Q42" s="468" t="n"/>
      <c r="R42" s="468" t="n"/>
      <c r="S42" s="468" t="n"/>
      <c r="T42" s="468" t="n"/>
      <c r="U42" s="468" t="n"/>
      <c r="V42" s="468" t="n"/>
      <c r="W42" s="468" t="n"/>
      <c r="X42" s="468" t="n"/>
      <c r="Y42" s="468" t="n"/>
      <c r="Z42" s="468" t="n"/>
      <c r="AA42" s="468" t="n"/>
      <c r="AB42" s="468" t="n"/>
      <c r="AC42" s="468" t="n"/>
      <c r="AD42" s="468" t="n"/>
      <c r="AE42" s="468" t="n"/>
      <c r="AF42" s="468" t="n"/>
      <c r="AG42" s="468" t="n"/>
      <c r="AH42" s="468" t="n"/>
      <c r="AI42" s="468" t="n"/>
      <c r="AJ42" s="468" t="n"/>
      <c r="AK42" s="468" t="n"/>
      <c r="AL42" s="468" t="n"/>
      <c r="AM42" s="468" t="n"/>
      <c r="AN42" s="468" t="n"/>
      <c r="AO42" s="468" t="n"/>
      <c r="AP42" s="468" t="n"/>
      <c r="AQ42" s="468" t="n"/>
      <c r="AR42" s="468" t="n"/>
      <c r="AS42" s="468" t="n"/>
      <c r="AT42" s="468" t="n"/>
      <c r="AU42" s="468" t="n"/>
      <c r="AV42" s="468" t="n"/>
      <c r="AW42" s="468" t="n"/>
      <c r="AX42" s="468" t="n"/>
      <c r="AY42" s="468" t="n"/>
      <c r="AZ42" s="468" t="n"/>
      <c r="BA42" s="468" t="n"/>
      <c r="BB42" s="468" t="n"/>
      <c r="BC42" s="468" t="n"/>
      <c r="BD42" s="122" t="n"/>
      <c r="BE42" s="122" t="n"/>
      <c r="BF42" s="122" t="n"/>
      <c r="BG42" s="122" t="n"/>
      <c r="BH42" s="122" t="n"/>
      <c r="BI42" s="122" t="n"/>
      <c r="BJ42" s="122" t="n"/>
      <c r="BK42" s="122" t="n"/>
      <c r="BL42" s="122" t="n"/>
      <c r="BM42" s="122" t="n"/>
      <c r="BN42" s="122" t="n"/>
      <c r="BO42" s="122" t="n"/>
      <c r="BP42" s="122" t="n"/>
      <c r="BQ42" s="122" t="n"/>
      <c r="BR42" s="122" t="n"/>
      <c r="BS42" s="122" t="n"/>
      <c r="BT42" s="122" t="n"/>
      <c r="BU42" s="122" t="n"/>
      <c r="BV42" s="122" t="n"/>
      <c r="BW42" s="122" t="n"/>
      <c r="BX42" s="122" t="n"/>
      <c r="BY42" s="122" t="n"/>
      <c r="BZ42" s="122" t="n"/>
      <c r="CA42" s="122" t="n"/>
      <c r="CB42" s="122" t="n"/>
      <c r="CC42" s="122" t="n"/>
      <c r="CD42" s="122" t="n"/>
      <c r="CE42" s="122" t="n"/>
    </row>
    <row r="43" customFormat="1" s="538">
      <c r="A43" s="528" t="n">
        <v>7</v>
      </c>
      <c r="B43" s="55" t="inlineStr">
        <is>
          <t>a</t>
        </is>
      </c>
      <c r="C43" s="105" t="n">
        <v>1</v>
      </c>
      <c r="D43" s="116">
        <f>CONCATENATE(A$3,"_",A43,"_",B43,"_",C43)</f>
        <v/>
      </c>
      <c r="E43" s="391" t="inlineStr">
        <is>
          <t xml:space="preserve">zabezpieczenia platformy przed cyberatakami  </t>
        </is>
      </c>
      <c r="F43" s="528">
        <f>IFERROR(VLOOKUP($I43,Listy!$A:$H,2,FALSE),"XXX")</f>
        <v/>
      </c>
      <c r="G43" s="528">
        <f>IFERROR(VLOOKUP($I43,Listy!$A:$H,3,FALSE),"XXX")</f>
        <v/>
      </c>
      <c r="H43" s="133" t="n">
        <v>26</v>
      </c>
      <c r="I43" s="89" t="inlineStr">
        <is>
          <t>ACT</t>
        </is>
      </c>
      <c r="J43" s="91">
        <f>M42+1</f>
        <v/>
      </c>
      <c r="K43" s="681">
        <f>VLOOKUP(J43,Kalendarz!B:E,4,FALSE)</f>
        <v/>
      </c>
      <c r="L43" s="681">
        <f>K43+N43</f>
        <v/>
      </c>
      <c r="M43" s="528">
        <f>J43+N43-1</f>
        <v/>
      </c>
      <c r="N43" s="474" t="n">
        <v>1</v>
      </c>
      <c r="O43" s="528" t="n">
        <v>160</v>
      </c>
      <c r="P43" s="187" t="n">
        <v>0.09</v>
      </c>
      <c r="Q43" s="187" t="n">
        <v>0.09</v>
      </c>
      <c r="R43" s="187" t="n">
        <v>0.08</v>
      </c>
      <c r="S43" s="187" t="n">
        <v>0.08</v>
      </c>
      <c r="T43" s="187" t="n">
        <v>0.08</v>
      </c>
      <c r="U43" s="187" t="n">
        <v>0.08</v>
      </c>
      <c r="V43" s="187" t="n"/>
      <c r="W43" s="187" t="n"/>
      <c r="X43" s="187" t="n"/>
      <c r="Y43" s="292" t="n">
        <v>0.25</v>
      </c>
      <c r="Z43" s="292" t="n">
        <v>0.25</v>
      </c>
      <c r="AA43" s="292" t="n">
        <v>0</v>
      </c>
      <c r="AB43" s="292" t="n"/>
      <c r="AC43" s="304" t="n"/>
      <c r="AD43" s="304" t="n"/>
      <c r="AE43" s="304" t="n"/>
      <c r="AF43" s="304" t="n"/>
      <c r="AG43" s="192">
        <f>ROUND($O43*P43,0)</f>
        <v/>
      </c>
      <c r="AH43" s="192">
        <f>ROUND($O43*Q43,0)</f>
        <v/>
      </c>
      <c r="AI43" s="192">
        <f>ROUND($O43*R43,0)</f>
        <v/>
      </c>
      <c r="AJ43" s="192">
        <f>ROUND($O43*S43,0)</f>
        <v/>
      </c>
      <c r="AK43" s="192">
        <f>ROUND($O43*T43,0)</f>
        <v/>
      </c>
      <c r="AL43" s="192">
        <f>ROUND($O43*U43,0)</f>
        <v/>
      </c>
      <c r="AM43" s="192">
        <f>ROUND($O43*V43,0)</f>
        <v/>
      </c>
      <c r="AN43" s="192">
        <f>ROUND($O43*W43,0)</f>
        <v/>
      </c>
      <c r="AO43" s="192">
        <f>ROUND($O43*X43,0)</f>
        <v/>
      </c>
      <c r="AP43" s="193">
        <f>ROUND($O43*Y43,0)</f>
        <v/>
      </c>
      <c r="AQ43" s="193">
        <f>ROUND($O43*Z43,0)</f>
        <v/>
      </c>
      <c r="AR43" s="193">
        <f>ROUND($O43*AA43,0)</f>
        <v/>
      </c>
      <c r="AS43" s="307">
        <f>ROUND($O43*AB43,0)</f>
        <v/>
      </c>
      <c r="AT43" s="304" t="n"/>
      <c r="AU43" s="304" t="n"/>
      <c r="AV43" s="304" t="n"/>
      <c r="AW43" s="304" t="n"/>
      <c r="AX43" s="236">
        <f>SUM(AG43:AO43)</f>
        <v/>
      </c>
      <c r="AY43" s="528">
        <f>AX43/160</f>
        <v/>
      </c>
      <c r="AZ43" s="87">
        <f>VLOOKUP(I43,Listy!$A$1:$H$9,6,FALSE)</f>
        <v/>
      </c>
      <c r="BA43" s="682">
        <f>AY43*AZ43</f>
        <v/>
      </c>
      <c r="BB43" s="683">
        <f>AY43*BA43</f>
        <v/>
      </c>
      <c r="BC43" s="468" t="n"/>
      <c r="BD43" s="468" t="n"/>
      <c r="BE43" s="468" t="n"/>
      <c r="BF43" s="468" t="n"/>
      <c r="BG43" s="468" t="n"/>
      <c r="BH43" s="468" t="n"/>
      <c r="BI43" s="21">
        <f>BG43*BH43</f>
        <v/>
      </c>
      <c r="BJ43" s="528" t="n"/>
      <c r="BK43" s="528" t="n"/>
      <c r="BL43" s="21" t="n"/>
      <c r="BM43" s="528" t="n"/>
      <c r="BN43" s="528" t="n"/>
      <c r="BO43" s="21" t="n"/>
      <c r="BP43" s="528" t="n"/>
      <c r="BQ43" s="528" t="n"/>
      <c r="BR43" s="21" t="n"/>
      <c r="BS43" s="21" t="n"/>
      <c r="BT43" s="528" t="n"/>
      <c r="BU43" s="528" t="n"/>
      <c r="BV43" s="528" t="n"/>
      <c r="BW43" s="21">
        <f>BU43*BV43</f>
        <v/>
      </c>
      <c r="BX43" s="528" t="n"/>
      <c r="BY43" s="528" t="n"/>
      <c r="BZ43" s="528" t="n"/>
      <c r="CA43" s="21">
        <f>BY43*BZ43</f>
        <v/>
      </c>
      <c r="CB43" s="528" t="n"/>
      <c r="CC43" s="528" t="n"/>
      <c r="CD43" s="528" t="n"/>
      <c r="CE43" s="21">
        <f>CC43*CD43</f>
        <v/>
      </c>
    </row>
    <row r="44" customFormat="1" s="538">
      <c r="A44" s="528" t="n">
        <v>7</v>
      </c>
      <c r="B44" s="55" t="inlineStr">
        <is>
          <t>b</t>
        </is>
      </c>
      <c r="C44" s="105" t="n">
        <v>1</v>
      </c>
      <c r="D44" s="116">
        <f>CONCATENATE(A$3,"_",A44,"_",B44,"_",C44)</f>
        <v/>
      </c>
      <c r="E44" s="391" t="inlineStr">
        <is>
          <t>informowania o awariach i pracach planowych</t>
        </is>
      </c>
      <c r="F44" s="528">
        <f>IFERROR(VLOOKUP($I44,Listy!$A:$H,2,FALSE),"XXX")</f>
        <v/>
      </c>
      <c r="G44" s="528">
        <f>IFERROR(VLOOKUP($I44,Listy!$A:$H,3,FALSE),"XXX")</f>
        <v/>
      </c>
      <c r="H44" s="133" t="n">
        <v>26</v>
      </c>
      <c r="I44" s="89" t="inlineStr">
        <is>
          <t>ACT</t>
        </is>
      </c>
      <c r="J44" s="91">
        <f>M43+1</f>
        <v/>
      </c>
      <c r="K44" s="681">
        <f>VLOOKUP(J44,Kalendarz!B:E,4,FALSE)</f>
        <v/>
      </c>
      <c r="L44" s="681">
        <f>K44+N44</f>
        <v/>
      </c>
      <c r="M44" s="528">
        <f>J44+N44-1</f>
        <v/>
      </c>
      <c r="N44" s="474" t="n">
        <v>0</v>
      </c>
      <c r="O44" s="528" t="n">
        <v>160</v>
      </c>
      <c r="P44" s="187" t="n">
        <v>0.09</v>
      </c>
      <c r="Q44" s="187" t="n">
        <v>0.09</v>
      </c>
      <c r="R44" s="187" t="n">
        <v>0.08</v>
      </c>
      <c r="S44" s="187" t="n">
        <v>0.08</v>
      </c>
      <c r="T44" s="187" t="n">
        <v>0.08</v>
      </c>
      <c r="U44" s="187" t="n">
        <v>0.08</v>
      </c>
      <c r="V44" s="187" t="n"/>
      <c r="W44" s="187" t="n"/>
      <c r="X44" s="187" t="n"/>
      <c r="Y44" s="292" t="n">
        <v>0.25</v>
      </c>
      <c r="Z44" s="292" t="n">
        <v>0.25</v>
      </c>
      <c r="AA44" s="292" t="n">
        <v>0</v>
      </c>
      <c r="AB44" s="292" t="n"/>
      <c r="AC44" s="305" t="n"/>
      <c r="AD44" s="305" t="n"/>
      <c r="AE44" s="305" t="n"/>
      <c r="AF44" s="305" t="n"/>
      <c r="AG44" s="192">
        <f>ROUND($O44*P44,0)</f>
        <v/>
      </c>
      <c r="AH44" s="192">
        <f>ROUND($O44*Q44,0)</f>
        <v/>
      </c>
      <c r="AI44" s="192">
        <f>ROUND($O44*R44,0)</f>
        <v/>
      </c>
      <c r="AJ44" s="192">
        <f>ROUND($O44*S44,0)</f>
        <v/>
      </c>
      <c r="AK44" s="192">
        <f>ROUND($O44*T44,0)</f>
        <v/>
      </c>
      <c r="AL44" s="192">
        <f>ROUND($O44*U44,0)</f>
        <v/>
      </c>
      <c r="AM44" s="192">
        <f>ROUND($O44*V44,0)</f>
        <v/>
      </c>
      <c r="AN44" s="192">
        <f>ROUND($O44*W44,0)</f>
        <v/>
      </c>
      <c r="AO44" s="192">
        <f>ROUND($O44*X44,0)</f>
        <v/>
      </c>
      <c r="AP44" s="193">
        <f>ROUND($O44*Y44,0)</f>
        <v/>
      </c>
      <c r="AQ44" s="193">
        <f>ROUND($O44*Z44,0)</f>
        <v/>
      </c>
      <c r="AR44" s="193">
        <f>ROUND($O44*AA44,0)</f>
        <v/>
      </c>
      <c r="AS44" s="193">
        <f>ROUND($O44*AB44,0)</f>
        <v/>
      </c>
      <c r="AT44" s="306">
        <f>ROUND($O44*AC44,0)</f>
        <v/>
      </c>
      <c r="AU44" s="306">
        <f>ROUND($O44*AD44,0)</f>
        <v/>
      </c>
      <c r="AV44" s="306">
        <f>ROUND($O44*AE44,0)</f>
        <v/>
      </c>
      <c r="AW44" s="306">
        <f>ROUND($O44*AF44,0)</f>
        <v/>
      </c>
      <c r="AX44" s="236">
        <f>SUM(AG44:AO44)</f>
        <v/>
      </c>
      <c r="AY44" s="528">
        <f>AX44/160</f>
        <v/>
      </c>
      <c r="AZ44" s="87">
        <f>VLOOKUP(I44,Listy!$A$1:$H$9,6,FALSE)</f>
        <v/>
      </c>
      <c r="BA44" s="682">
        <f>AY44*AZ44</f>
        <v/>
      </c>
      <c r="BB44" s="683">
        <f>AY44*BA44</f>
        <v/>
      </c>
      <c r="BC44" s="528" t="n"/>
      <c r="BD44" s="528" t="n"/>
      <c r="BE44" s="528" t="n"/>
      <c r="BF44" s="528" t="n"/>
      <c r="BG44" s="528" t="n"/>
      <c r="BH44" s="528" t="n"/>
      <c r="BI44" s="21">
        <f>BG44*BH44</f>
        <v/>
      </c>
      <c r="BJ44" s="528" t="n"/>
      <c r="BK44" s="528" t="n"/>
      <c r="BL44" s="528" t="n"/>
      <c r="BM44" s="528" t="n"/>
      <c r="BN44" s="528" t="n"/>
      <c r="BO44" s="528" t="n"/>
      <c r="BP44" s="528" t="n"/>
      <c r="BQ44" s="528" t="n"/>
      <c r="BR44" s="528" t="n"/>
      <c r="BS44" s="528" t="n"/>
      <c r="BT44" s="528" t="n"/>
      <c r="BU44" s="528" t="n"/>
      <c r="BV44" s="528" t="n"/>
      <c r="BW44" s="21">
        <f>BU44*BV44</f>
        <v/>
      </c>
      <c r="BX44" s="528" t="n"/>
      <c r="BY44" s="528" t="n"/>
      <c r="BZ44" s="528" t="n"/>
      <c r="CA44" s="21">
        <f>BY44*BZ44</f>
        <v/>
      </c>
      <c r="CB44" s="528" t="n"/>
      <c r="CC44" s="528" t="n"/>
      <c r="CD44" s="528" t="n"/>
      <c r="CE44" s="21">
        <f>CC44*CD44</f>
        <v/>
      </c>
    </row>
    <row r="45" customFormat="1" s="538">
      <c r="A45" s="528" t="n">
        <v>7</v>
      </c>
      <c r="B45" s="55" t="inlineStr">
        <is>
          <t>c</t>
        </is>
      </c>
      <c r="C45" s="105" t="n">
        <v>1</v>
      </c>
      <c r="D45" s="116">
        <f>CONCATENATE(A$3,"_",A45,"_",B45,"_",C45)</f>
        <v/>
      </c>
      <c r="E45" s="391" t="inlineStr">
        <is>
          <t>opracowanie mechanizmów redundancji i przywracania operacyjności po awarii</t>
        </is>
      </c>
      <c r="F45" s="528">
        <f>IFERROR(VLOOKUP($I45,Listy!$A:$H,2,FALSE),"XXX")</f>
        <v/>
      </c>
      <c r="G45" s="528">
        <f>IFERROR(VLOOKUP($I45,Listy!$A:$H,3,FALSE),"XXX")</f>
        <v/>
      </c>
      <c r="H45" s="133" t="n">
        <v>26</v>
      </c>
      <c r="I45" s="89" t="inlineStr">
        <is>
          <t>END/ACT</t>
        </is>
      </c>
      <c r="J45" s="91">
        <f>M44+1</f>
        <v/>
      </c>
      <c r="K45" s="681">
        <f>VLOOKUP(J45,Kalendarz!B:E,4,FALSE)</f>
        <v/>
      </c>
      <c r="L45" s="681">
        <f>K45+N45</f>
        <v/>
      </c>
      <c r="M45" s="528">
        <f>J45+N45-1</f>
        <v/>
      </c>
      <c r="N45" s="474">
        <f>ROUND(MAX(AG45:AO45)/Listy!$U$2,0)</f>
        <v/>
      </c>
      <c r="O45" s="528" t="n">
        <v>120</v>
      </c>
      <c r="P45" s="187" t="n">
        <v>0.05</v>
      </c>
      <c r="Q45" s="187" t="n">
        <v>0.05</v>
      </c>
      <c r="R45" s="187" t="n">
        <v>0.05</v>
      </c>
      <c r="S45" s="187" t="n">
        <v>0.06</v>
      </c>
      <c r="T45" s="187" t="n">
        <v>0.06</v>
      </c>
      <c r="U45" s="187" t="n">
        <v>0.06</v>
      </c>
      <c r="V45" s="187" t="n"/>
      <c r="W45" s="187" t="n"/>
      <c r="X45" s="187" t="n"/>
      <c r="Y45" s="292" t="n">
        <v>0</v>
      </c>
      <c r="Z45" s="292" t="n">
        <v>0</v>
      </c>
      <c r="AA45" s="292" t="n">
        <v>0.67</v>
      </c>
      <c r="AB45" s="292" t="n"/>
      <c r="AC45" s="304" t="n"/>
      <c r="AD45" s="304" t="n"/>
      <c r="AE45" s="304" t="n"/>
      <c r="AF45" s="304" t="n"/>
      <c r="AG45" s="192">
        <f>ROUND($O45*P45,0)</f>
        <v/>
      </c>
      <c r="AH45" s="192">
        <f>ROUND($O45*Q45,0)</f>
        <v/>
      </c>
      <c r="AI45" s="192">
        <f>ROUND($O45*R45,0)</f>
        <v/>
      </c>
      <c r="AJ45" s="192">
        <f>ROUND($O45*S45,0)</f>
        <v/>
      </c>
      <c r="AK45" s="192">
        <f>ROUND($O45*T45,0)</f>
        <v/>
      </c>
      <c r="AL45" s="192">
        <f>ROUND($O45*U45,0)</f>
        <v/>
      </c>
      <c r="AM45" s="192">
        <f>ROUND($O45*V45,0)</f>
        <v/>
      </c>
      <c r="AN45" s="192">
        <f>ROUND($O45*W45,0)</f>
        <v/>
      </c>
      <c r="AO45" s="192">
        <f>ROUND($O45*X45,0)</f>
        <v/>
      </c>
      <c r="AP45" s="193">
        <f>ROUND($O45*Y45,0)</f>
        <v/>
      </c>
      <c r="AQ45" s="193">
        <f>ROUND($O45*Z45,0)</f>
        <v/>
      </c>
      <c r="AR45" s="193">
        <f>ROUND($O45*AA45,0)</f>
        <v/>
      </c>
      <c r="AS45" s="307">
        <f>ROUND($O45*AB45,0)</f>
        <v/>
      </c>
      <c r="AT45" s="304" t="n"/>
      <c r="AU45" s="304" t="n"/>
      <c r="AV45" s="304" t="n"/>
      <c r="AW45" s="304" t="n"/>
      <c r="AX45" s="236">
        <f>SUM(AG45:AO45)</f>
        <v/>
      </c>
      <c r="AY45" s="528">
        <f>AX45/160</f>
        <v/>
      </c>
      <c r="AZ45" s="87">
        <f>VLOOKUP(I45,Listy!$A$1:$H$9,6,FALSE)</f>
        <v/>
      </c>
      <c r="BA45" s="682">
        <f>AY45*AZ45</f>
        <v/>
      </c>
      <c r="BB45" s="683">
        <f>AY45*BA45</f>
        <v/>
      </c>
      <c r="BC45" s="468" t="n"/>
      <c r="BD45" s="468" t="n"/>
      <c r="BE45" s="468" t="n"/>
      <c r="BF45" s="468" t="n"/>
      <c r="BG45" s="468" t="n"/>
      <c r="BH45" s="468" t="n"/>
      <c r="BI45" s="21">
        <f>BG45*BH45</f>
        <v/>
      </c>
      <c r="BJ45" s="528" t="n"/>
      <c r="BK45" s="528" t="n"/>
      <c r="BL45" s="21" t="n"/>
      <c r="BM45" s="528" t="n"/>
      <c r="BN45" s="528" t="n"/>
      <c r="BO45" s="21" t="n"/>
      <c r="BP45" s="528" t="n"/>
      <c r="BQ45" s="528" t="n"/>
      <c r="BR45" s="21" t="n"/>
      <c r="BS45" s="21" t="n"/>
      <c r="BT45" s="528" t="n"/>
      <c r="BU45" s="528" t="n"/>
      <c r="BV45" s="528" t="n"/>
      <c r="BW45" s="21">
        <f>BU45*BV45</f>
        <v/>
      </c>
      <c r="BX45" s="528" t="n"/>
      <c r="BY45" s="528" t="n"/>
      <c r="BZ45" s="528" t="n"/>
      <c r="CA45" s="21">
        <f>BY45*BZ45</f>
        <v/>
      </c>
      <c r="CB45" s="528" t="n"/>
      <c r="CC45" s="528" t="n"/>
      <c r="CD45" s="528" t="n"/>
      <c r="CE45" s="21">
        <f>CC45*CD45</f>
        <v/>
      </c>
    </row>
    <row r="46" ht="18" customFormat="1" customHeight="1" s="538">
      <c r="A46" s="453" t="n">
        <v>8</v>
      </c>
      <c r="B46" s="55" t="inlineStr">
        <is>
          <t>a</t>
        </is>
      </c>
      <c r="C46" s="105" t="n">
        <v>0</v>
      </c>
      <c r="D46" s="116">
        <f>CONCATENATE(A$3,"_",A46,"_",B46,"_",C46)</f>
        <v/>
      </c>
      <c r="E46" s="388" t="inlineStr">
        <is>
          <t>8.Raportowanie i analizy</t>
        </is>
      </c>
      <c r="F46" s="122" t="n"/>
      <c r="G46" s="122" t="n"/>
      <c r="H46" s="391" t="n"/>
      <c r="I46" s="122" t="n"/>
      <c r="J46" s="91">
        <f>M45+1</f>
        <v/>
      </c>
      <c r="K46" s="681">
        <f>VLOOKUP(J46,Kalendarz!B:E,4,FALSE)</f>
        <v/>
      </c>
      <c r="L46" s="681">
        <f>K46+N46</f>
        <v/>
      </c>
      <c r="M46" s="528">
        <f>J46+N46-1</f>
        <v/>
      </c>
      <c r="N46" s="474">
        <f>ROUND(MAX(AG46:AO46)/Listy!$U$2,0)</f>
        <v/>
      </c>
      <c r="O46" s="468" t="n"/>
      <c r="P46" s="468" t="n"/>
      <c r="Q46" s="468" t="n"/>
      <c r="R46" s="468" t="n"/>
      <c r="S46" s="468" t="n"/>
      <c r="T46" s="468" t="n"/>
      <c r="U46" s="468" t="n"/>
      <c r="V46" s="468" t="n"/>
      <c r="W46" s="468" t="n"/>
      <c r="X46" s="468" t="n"/>
      <c r="Y46" s="468" t="n"/>
      <c r="Z46" s="468" t="n"/>
      <c r="AA46" s="468" t="n"/>
      <c r="AB46" s="468" t="n"/>
      <c r="AC46" s="468" t="n"/>
      <c r="AD46" s="468" t="n"/>
      <c r="AE46" s="468" t="n"/>
      <c r="AF46" s="468" t="n"/>
      <c r="AG46" s="468" t="n"/>
      <c r="AH46" s="468" t="n"/>
      <c r="AI46" s="468" t="n"/>
      <c r="AJ46" s="468" t="n"/>
      <c r="AK46" s="468" t="n"/>
      <c r="AL46" s="468" t="n"/>
      <c r="AM46" s="468" t="n"/>
      <c r="AN46" s="468" t="n"/>
      <c r="AO46" s="468" t="n"/>
      <c r="AP46" s="468" t="n"/>
      <c r="AQ46" s="468" t="n"/>
      <c r="AR46" s="468" t="n"/>
      <c r="AS46" s="468" t="n"/>
      <c r="AT46" s="468" t="n"/>
      <c r="AU46" s="468" t="n"/>
      <c r="AV46" s="468" t="n"/>
      <c r="AW46" s="468" t="n"/>
      <c r="AX46" s="468" t="n"/>
      <c r="AY46" s="468" t="n"/>
      <c r="AZ46" s="468" t="n"/>
      <c r="BA46" s="468" t="n"/>
      <c r="BB46" s="468" t="n"/>
      <c r="BC46" s="468" t="n"/>
      <c r="BD46" s="122" t="n"/>
      <c r="BE46" s="122" t="n"/>
      <c r="BF46" s="122" t="n"/>
      <c r="BG46" s="122" t="n"/>
      <c r="BH46" s="122" t="n"/>
      <c r="BI46" s="122" t="n"/>
      <c r="BJ46" s="122" t="n"/>
      <c r="BK46" s="122" t="n"/>
      <c r="BL46" s="122" t="n"/>
      <c r="BM46" s="122" t="n"/>
      <c r="BN46" s="122" t="n"/>
      <c r="BO46" s="122" t="n"/>
      <c r="BP46" s="122" t="n"/>
      <c r="BQ46" s="122" t="n"/>
      <c r="BR46" s="122" t="n"/>
      <c r="BS46" s="122" t="n"/>
      <c r="BT46" s="122" t="n"/>
      <c r="BU46" s="122" t="n"/>
      <c r="BV46" s="122" t="n"/>
      <c r="BW46" s="122" t="n"/>
      <c r="BX46" s="122" t="n"/>
      <c r="BY46" s="122" t="n"/>
      <c r="BZ46" s="122" t="n"/>
      <c r="CA46" s="122" t="n"/>
      <c r="CB46" s="122" t="n"/>
      <c r="CC46" s="122" t="n"/>
      <c r="CD46" s="122" t="n"/>
      <c r="CE46" s="122" t="n"/>
    </row>
    <row r="47" customFormat="1" s="538">
      <c r="A47" s="528" t="n">
        <v>8</v>
      </c>
      <c r="B47" s="55" t="inlineStr">
        <is>
          <t>a</t>
        </is>
      </c>
      <c r="C47" s="105" t="n">
        <v>1</v>
      </c>
      <c r="D47" s="116">
        <f>CONCATENATE(A$3,"_",A47,"_",B47,"_",C47)</f>
        <v/>
      </c>
      <c r="E47" s="391" t="inlineStr">
        <is>
          <t>Przygotowywanie procesu raportowania efektywności modeli</t>
        </is>
      </c>
      <c r="F47" s="528">
        <f>IFERROR(VLOOKUP($I47,Listy!$A:$H,2,FALSE),"XXX")</f>
        <v/>
      </c>
      <c r="G47" s="528">
        <f>IFERROR(VLOOKUP($I47,Listy!$A:$H,3,FALSE),"XXX")</f>
        <v/>
      </c>
      <c r="H47" s="133" t="n">
        <v>27</v>
      </c>
      <c r="I47" s="89" t="inlineStr">
        <is>
          <t>END/ACT</t>
        </is>
      </c>
      <c r="J47" s="91">
        <f>M46+1</f>
        <v/>
      </c>
      <c r="K47" s="681">
        <f>VLOOKUP(J47,Kalendarz!B:E,4,FALSE)</f>
        <v/>
      </c>
      <c r="L47" s="681">
        <f>K47+N47</f>
        <v/>
      </c>
      <c r="M47" s="528">
        <f>J47+N47-1</f>
        <v/>
      </c>
      <c r="N47" s="474" t="n">
        <v>1</v>
      </c>
      <c r="O47" s="528" t="n">
        <v>200</v>
      </c>
      <c r="P47" s="187" t="n">
        <v>0.17</v>
      </c>
      <c r="Q47" s="187" t="n">
        <v>0.17</v>
      </c>
      <c r="R47" s="187" t="n">
        <v>0.17</v>
      </c>
      <c r="S47" s="187" t="n">
        <v>0.17</v>
      </c>
      <c r="T47" s="187" t="n">
        <v>0.17</v>
      </c>
      <c r="U47" s="187" t="n">
        <v>0.15</v>
      </c>
      <c r="V47" s="187" t="n"/>
      <c r="W47" s="187" t="n"/>
      <c r="X47" s="187" t="n"/>
      <c r="Y47" s="292" t="n">
        <v>0</v>
      </c>
      <c r="Z47" s="292" t="n">
        <v>0</v>
      </c>
      <c r="AA47" s="292" t="n">
        <v>0</v>
      </c>
      <c r="AB47" s="292" t="n"/>
      <c r="AC47" s="304" t="n"/>
      <c r="AD47" s="304" t="n"/>
      <c r="AE47" s="304" t="n"/>
      <c r="AF47" s="304" t="n"/>
      <c r="AG47" s="192">
        <f>ROUND($O47*P47,0)</f>
        <v/>
      </c>
      <c r="AH47" s="192">
        <f>ROUND($O47*Q47,0)</f>
        <v/>
      </c>
      <c r="AI47" s="192">
        <f>ROUND($O47*R47,0)</f>
        <v/>
      </c>
      <c r="AJ47" s="192">
        <f>ROUND($O47*S47,0)</f>
        <v/>
      </c>
      <c r="AK47" s="192">
        <f>ROUND($O47*T47,0)</f>
        <v/>
      </c>
      <c r="AL47" s="192">
        <f>ROUND($O47*U47,0)</f>
        <v/>
      </c>
      <c r="AM47" s="192">
        <f>ROUND($O47*V47,0)</f>
        <v/>
      </c>
      <c r="AN47" s="192">
        <f>ROUND($O47*W47,0)</f>
        <v/>
      </c>
      <c r="AO47" s="192">
        <f>ROUND($O47*X47,0)</f>
        <v/>
      </c>
      <c r="AP47" s="193">
        <f>ROUND($O47*Y47,0)</f>
        <v/>
      </c>
      <c r="AQ47" s="193">
        <f>ROUND($O47*Z47,0)</f>
        <v/>
      </c>
      <c r="AR47" s="193">
        <f>ROUND($O47*AA47,0)</f>
        <v/>
      </c>
      <c r="AS47" s="307">
        <f>ROUND($O47*AB47,0)</f>
        <v/>
      </c>
      <c r="AT47" s="304" t="n"/>
      <c r="AU47" s="304" t="n"/>
      <c r="AV47" s="304" t="n"/>
      <c r="AW47" s="304" t="n"/>
      <c r="AX47" s="236">
        <f>SUM(AG47:AO47)</f>
        <v/>
      </c>
      <c r="AY47" s="528">
        <f>AX47/160</f>
        <v/>
      </c>
      <c r="AZ47" s="87">
        <f>VLOOKUP(I47,Listy!$A$1:$H$9,6,FALSE)</f>
        <v/>
      </c>
      <c r="BA47" s="682">
        <f>AY47*AZ47</f>
        <v/>
      </c>
      <c r="BB47" s="683">
        <f>AY47*BA47</f>
        <v/>
      </c>
      <c r="BC47" s="468" t="n"/>
      <c r="BD47" s="468" t="n"/>
      <c r="BE47" s="468" t="n"/>
      <c r="BF47" s="468" t="n"/>
      <c r="BG47" s="468" t="n"/>
      <c r="BH47" s="468" t="n"/>
      <c r="BI47" s="21">
        <f>BG47*BH47</f>
        <v/>
      </c>
      <c r="BJ47" s="528" t="n"/>
      <c r="BK47" s="528" t="n"/>
      <c r="BL47" s="21" t="n"/>
      <c r="BM47" s="528" t="n"/>
      <c r="BN47" s="528" t="n"/>
      <c r="BO47" s="21" t="n"/>
      <c r="BP47" s="528" t="n"/>
      <c r="BQ47" s="528" t="n"/>
      <c r="BR47" s="21" t="n"/>
      <c r="BS47" s="21" t="n"/>
      <c r="BT47" s="528" t="n"/>
      <c r="BU47" s="528" t="n"/>
      <c r="BV47" s="528" t="n"/>
      <c r="BW47" s="21">
        <f>BU47*BV47</f>
        <v/>
      </c>
      <c r="BX47" s="528" t="n"/>
      <c r="BY47" s="528" t="n"/>
      <c r="BZ47" s="528" t="n"/>
      <c r="CA47" s="21">
        <f>BY47*BZ47</f>
        <v/>
      </c>
      <c r="CB47" s="528" t="n"/>
      <c r="CC47" s="528" t="n"/>
      <c r="CD47" s="528" t="n"/>
      <c r="CE47" s="21">
        <f>CC47*CD47</f>
        <v/>
      </c>
    </row>
    <row r="48" customFormat="1" s="538">
      <c r="A48" s="528" t="n">
        <v>8</v>
      </c>
      <c r="B48" s="55" t="inlineStr">
        <is>
          <t>b</t>
        </is>
      </c>
      <c r="C48" s="105" t="n">
        <v>1</v>
      </c>
      <c r="D48" s="116">
        <f>CONCATENATE(A$3,"_",A48,"_",B48,"_",C48)</f>
        <v/>
      </c>
      <c r="E48" s="391" t="inlineStr">
        <is>
          <t>Przygotowywanie szablonu wizualizacji wskazanych raportow/widokow wedłóg wymaganych KPI</t>
        </is>
      </c>
      <c r="F48" s="528">
        <f>IFERROR(VLOOKUP($I48,Listy!$A:$H,2,FALSE),"XXX")</f>
        <v/>
      </c>
      <c r="G48" s="528">
        <f>IFERROR(VLOOKUP($I48,Listy!$A:$H,3,FALSE),"XXX")</f>
        <v/>
      </c>
      <c r="H48" s="133" t="n">
        <v>28</v>
      </c>
      <c r="I48" s="89" t="inlineStr">
        <is>
          <t>END/ACT</t>
        </is>
      </c>
      <c r="J48" s="91">
        <f>M47+1</f>
        <v/>
      </c>
      <c r="K48" s="681">
        <f>VLOOKUP(J48,Kalendarz!B:E,4,FALSE)</f>
        <v/>
      </c>
      <c r="L48" s="681">
        <f>K48+N48</f>
        <v/>
      </c>
      <c r="M48" s="528">
        <f>J48+N48-1</f>
        <v/>
      </c>
      <c r="N48" s="474" t="n">
        <v>1</v>
      </c>
      <c r="O48" s="528" t="n">
        <v>200</v>
      </c>
      <c r="P48" s="187" t="n">
        <v>0.17</v>
      </c>
      <c r="Q48" s="187" t="n">
        <v>0.17</v>
      </c>
      <c r="R48" s="187" t="n">
        <v>0.17</v>
      </c>
      <c r="S48" s="187" t="n">
        <v>0.17</v>
      </c>
      <c r="T48" s="187" t="n">
        <v>0.17</v>
      </c>
      <c r="U48" s="187" t="n">
        <v>0.15</v>
      </c>
      <c r="V48" s="187" t="n"/>
      <c r="W48" s="187" t="n"/>
      <c r="X48" s="187" t="n"/>
      <c r="Y48" s="292" t="n">
        <v>0</v>
      </c>
      <c r="Z48" s="292" t="n">
        <v>0</v>
      </c>
      <c r="AA48" s="292" t="n">
        <v>0</v>
      </c>
      <c r="AB48" s="292" t="n"/>
      <c r="AC48" s="305" t="n"/>
      <c r="AD48" s="305" t="n"/>
      <c r="AE48" s="305" t="n"/>
      <c r="AF48" s="305" t="n"/>
      <c r="AG48" s="192">
        <f>ROUND($O48*P48,0)</f>
        <v/>
      </c>
      <c r="AH48" s="192">
        <f>ROUND($O48*Q48,0)</f>
        <v/>
      </c>
      <c r="AI48" s="192">
        <f>ROUND($O48*R48,0)</f>
        <v/>
      </c>
      <c r="AJ48" s="192">
        <f>ROUND($O48*S48,0)</f>
        <v/>
      </c>
      <c r="AK48" s="192">
        <f>ROUND($O48*T48,0)</f>
        <v/>
      </c>
      <c r="AL48" s="192">
        <f>ROUND($O48*U48,0)</f>
        <v/>
      </c>
      <c r="AM48" s="192">
        <f>ROUND($O48*V48,0)</f>
        <v/>
      </c>
      <c r="AN48" s="192">
        <f>ROUND($O48*W48,0)</f>
        <v/>
      </c>
      <c r="AO48" s="192">
        <f>ROUND($O48*X48,0)</f>
        <v/>
      </c>
      <c r="AP48" s="193">
        <f>ROUND($O48*Y48,0)</f>
        <v/>
      </c>
      <c r="AQ48" s="193">
        <f>ROUND($O48*Z48,0)</f>
        <v/>
      </c>
      <c r="AR48" s="193">
        <f>ROUND($O48*AA48,0)</f>
        <v/>
      </c>
      <c r="AS48" s="193">
        <f>ROUND($O48*AB48,0)</f>
        <v/>
      </c>
      <c r="AT48" s="306">
        <f>ROUND($O48*AC48,0)</f>
        <v/>
      </c>
      <c r="AU48" s="306">
        <f>ROUND($O48*AD48,0)</f>
        <v/>
      </c>
      <c r="AV48" s="306">
        <f>ROUND($O48*AE48,0)</f>
        <v/>
      </c>
      <c r="AW48" s="306">
        <f>ROUND($O48*AF48,0)</f>
        <v/>
      </c>
      <c r="AX48" s="236">
        <f>SUM(AG48:AO48)</f>
        <v/>
      </c>
      <c r="AY48" s="528">
        <f>AX48/160</f>
        <v/>
      </c>
      <c r="AZ48" s="87">
        <f>VLOOKUP(I48,Listy!$A$1:$H$9,6,FALSE)</f>
        <v/>
      </c>
      <c r="BA48" s="682">
        <f>AY48*AZ48</f>
        <v/>
      </c>
      <c r="BB48" s="683">
        <f>AY48*BA48</f>
        <v/>
      </c>
      <c r="BC48" s="528" t="n"/>
      <c r="BD48" s="528" t="n"/>
      <c r="BE48" s="528" t="n"/>
      <c r="BF48" s="528" t="n"/>
      <c r="BG48" s="528" t="n"/>
      <c r="BH48" s="528" t="n"/>
      <c r="BI48" s="21">
        <f>BG48*BH48</f>
        <v/>
      </c>
      <c r="BJ48" s="528" t="n"/>
      <c r="BK48" s="528" t="n"/>
      <c r="BL48" s="528" t="n"/>
      <c r="BM48" s="528" t="n"/>
      <c r="BN48" s="528" t="n"/>
      <c r="BO48" s="528" t="n"/>
      <c r="BP48" s="528" t="n"/>
      <c r="BQ48" s="528" t="n"/>
      <c r="BR48" s="528" t="n"/>
      <c r="BS48" s="528" t="n"/>
      <c r="BT48" s="528" t="n"/>
      <c r="BU48" s="528" t="n"/>
      <c r="BV48" s="528" t="n"/>
      <c r="BW48" s="21">
        <f>BU48*BV48</f>
        <v/>
      </c>
      <c r="BX48" s="528" t="n"/>
      <c r="BY48" s="528" t="n"/>
      <c r="BZ48" s="528" t="n"/>
      <c r="CA48" s="21">
        <f>BY48*BZ48</f>
        <v/>
      </c>
      <c r="CB48" s="528" t="n"/>
      <c r="CC48" s="528" t="n"/>
      <c r="CD48" s="528" t="n"/>
      <c r="CE48" s="21">
        <f>CC48*CD48</f>
        <v/>
      </c>
      <c r="CF48" s="361" t="n"/>
    </row>
    <row r="49" ht="18" customFormat="1" customHeight="1" s="538">
      <c r="A49" s="453" t="n">
        <v>9</v>
      </c>
      <c r="B49" s="55" t="inlineStr">
        <is>
          <t>a</t>
        </is>
      </c>
      <c r="C49" s="105" t="n">
        <v>0</v>
      </c>
      <c r="D49" s="116">
        <f>CONCATENATE(A$3,"_",A49,"_",B49,"_",C49)</f>
        <v/>
      </c>
      <c r="E49" s="388" t="inlineStr">
        <is>
          <t xml:space="preserve">9.Monitorowanie </t>
        </is>
      </c>
      <c r="F49" s="122" t="n"/>
      <c r="G49" s="122" t="n"/>
      <c r="H49" s="46" t="n"/>
      <c r="I49" s="122" t="n"/>
      <c r="J49" s="91">
        <f>M48+1</f>
        <v/>
      </c>
      <c r="K49" s="681">
        <f>VLOOKUP(J49,Kalendarz!B:E,4,FALSE)</f>
        <v/>
      </c>
      <c r="L49" s="681">
        <f>K49+N49</f>
        <v/>
      </c>
      <c r="M49" s="528">
        <f>J49+N49-1</f>
        <v/>
      </c>
      <c r="N49" s="474">
        <f>ROUND(MAX(AG49:AO49)/Listy!$U$2,0)</f>
        <v/>
      </c>
      <c r="O49" s="468" t="n"/>
      <c r="P49" s="468" t="n"/>
      <c r="Q49" s="468" t="n"/>
      <c r="R49" s="468" t="n"/>
      <c r="S49" s="468" t="n"/>
      <c r="T49" s="468" t="n"/>
      <c r="U49" s="468" t="n"/>
      <c r="V49" s="468" t="n"/>
      <c r="W49" s="468" t="n"/>
      <c r="X49" s="468" t="n"/>
      <c r="Y49" s="468" t="n"/>
      <c r="Z49" s="468" t="n"/>
      <c r="AA49" s="468" t="n"/>
      <c r="AB49" s="468" t="n"/>
      <c r="AC49" s="468" t="n"/>
      <c r="AD49" s="468" t="n"/>
      <c r="AE49" s="468" t="n"/>
      <c r="AF49" s="468" t="n"/>
      <c r="AG49" s="468" t="n"/>
      <c r="AH49" s="468" t="n"/>
      <c r="AI49" s="468" t="n"/>
      <c r="AJ49" s="468" t="n"/>
      <c r="AK49" s="468" t="n"/>
      <c r="AL49" s="468" t="n"/>
      <c r="AM49" s="468" t="n"/>
      <c r="AN49" s="468" t="n"/>
      <c r="AO49" s="468" t="n"/>
      <c r="AP49" s="468" t="n"/>
      <c r="AQ49" s="468" t="n"/>
      <c r="AR49" s="468" t="n"/>
      <c r="AS49" s="468" t="n"/>
      <c r="AT49" s="468" t="n"/>
      <c r="AU49" s="468" t="n"/>
      <c r="AV49" s="468" t="n"/>
      <c r="AW49" s="468" t="n"/>
      <c r="AX49" s="468" t="n"/>
      <c r="AY49" s="468" t="n"/>
      <c r="AZ49" s="468" t="n"/>
      <c r="BA49" s="468" t="n"/>
      <c r="BB49" s="468" t="n"/>
      <c r="BC49" s="468" t="n"/>
      <c r="BD49" s="122" t="n"/>
      <c r="BE49" s="122" t="n"/>
      <c r="BF49" s="122" t="n"/>
      <c r="BG49" s="122" t="n"/>
      <c r="BH49" s="122" t="n"/>
      <c r="BI49" s="122" t="n"/>
      <c r="BJ49" s="122" t="n"/>
      <c r="BK49" s="122" t="n"/>
      <c r="BL49" s="122" t="n"/>
      <c r="BM49" s="122" t="n"/>
      <c r="BN49" s="122" t="n"/>
      <c r="BO49" s="122" t="n"/>
      <c r="BP49" s="122" t="n"/>
      <c r="BQ49" s="122" t="n"/>
      <c r="BR49" s="122" t="n"/>
      <c r="BS49" s="122" t="n"/>
      <c r="BT49" s="122" t="n"/>
      <c r="BU49" s="122" t="n"/>
      <c r="BV49" s="122" t="n"/>
      <c r="BW49" s="122" t="n"/>
      <c r="BX49" s="122" t="n"/>
      <c r="BY49" s="122" t="n"/>
      <c r="BZ49" s="122" t="n"/>
      <c r="CA49" s="122" t="n"/>
      <c r="CB49" s="122" t="n"/>
      <c r="CC49" s="122" t="n"/>
      <c r="CD49" s="122" t="n"/>
      <c r="CE49" s="122" t="n"/>
    </row>
    <row r="50" customFormat="1" s="538">
      <c r="A50" s="528" t="n">
        <v>9</v>
      </c>
      <c r="B50" s="55" t="inlineStr">
        <is>
          <t>a</t>
        </is>
      </c>
      <c r="C50" s="105" t="n">
        <v>1</v>
      </c>
      <c r="D50" s="116">
        <f>CONCATENATE(A$3,"_",A50,"_",B50,"_",C50)</f>
        <v/>
      </c>
      <c r="E50" s="391" t="inlineStr">
        <is>
          <t>Przygotowanie mechanizmow monitorowania platformy</t>
        </is>
      </c>
      <c r="F50" s="528">
        <f>IFERROR(VLOOKUP($I50,Listy!$A:$H,2,FALSE),"XXX")</f>
        <v/>
      </c>
      <c r="G50" s="528">
        <f>IFERROR(VLOOKUP($I50,Listy!$A:$H,3,FALSE),"XXX")</f>
        <v/>
      </c>
      <c r="H50" s="133" t="n">
        <v>29</v>
      </c>
      <c r="I50" s="89" t="inlineStr">
        <is>
          <t>END</t>
        </is>
      </c>
      <c r="J50" s="91">
        <f>M49+1</f>
        <v/>
      </c>
      <c r="K50" s="681">
        <f>VLOOKUP(J50,Kalendarz!B:E,4,FALSE)</f>
        <v/>
      </c>
      <c r="L50" s="681">
        <f>K50+N50</f>
        <v/>
      </c>
      <c r="M50" s="528">
        <f>J50+N50-1</f>
        <v/>
      </c>
      <c r="N50" s="474" t="n">
        <v>1</v>
      </c>
      <c r="O50" s="528" t="n">
        <v>240</v>
      </c>
      <c r="P50" s="187" t="n">
        <v>0.09</v>
      </c>
      <c r="Q50" s="187" t="n">
        <v>0.09</v>
      </c>
      <c r="R50" s="187" t="n">
        <v>0.08</v>
      </c>
      <c r="S50" s="187" t="n">
        <v>0.08</v>
      </c>
      <c r="T50" s="187" t="n">
        <v>0.08</v>
      </c>
      <c r="U50" s="187" t="n">
        <v>0.08</v>
      </c>
      <c r="V50" s="187" t="n"/>
      <c r="W50" s="187" t="n"/>
      <c r="X50" s="187" t="n"/>
      <c r="Y50" s="292" t="n">
        <v>0</v>
      </c>
      <c r="Z50" s="292" t="n">
        <v>0.25</v>
      </c>
      <c r="AA50" s="292" t="n">
        <v>0.25</v>
      </c>
      <c r="AB50" s="292" t="n"/>
      <c r="AC50" s="305" t="n"/>
      <c r="AD50" s="305" t="n"/>
      <c r="AE50" s="305" t="n"/>
      <c r="AF50" s="305" t="n"/>
      <c r="AG50" s="192">
        <f>ROUND($O50*P50,0)</f>
        <v/>
      </c>
      <c r="AH50" s="192">
        <f>ROUND($O50*Q50,0)</f>
        <v/>
      </c>
      <c r="AI50" s="192">
        <f>ROUND($O50*R50,0)</f>
        <v/>
      </c>
      <c r="AJ50" s="192">
        <f>ROUND($O50*S50,0)</f>
        <v/>
      </c>
      <c r="AK50" s="192">
        <f>ROUND($O50*T50,0)</f>
        <v/>
      </c>
      <c r="AL50" s="192">
        <f>ROUND($O50*U50,0)</f>
        <v/>
      </c>
      <c r="AM50" s="192">
        <f>ROUND($O50*V50,0)</f>
        <v/>
      </c>
      <c r="AN50" s="192">
        <f>ROUND($O50*W50,0)</f>
        <v/>
      </c>
      <c r="AO50" s="192">
        <f>ROUND($O50*X50,0)</f>
        <v/>
      </c>
      <c r="AP50" s="193">
        <f>ROUND($O50*Y50,0)</f>
        <v/>
      </c>
      <c r="AQ50" s="193">
        <f>ROUND($O50*Z50,0)</f>
        <v/>
      </c>
      <c r="AR50" s="193">
        <f>ROUND($O50*AA50,0)</f>
        <v/>
      </c>
      <c r="AS50" s="193">
        <f>ROUND($O50*AB50,0)</f>
        <v/>
      </c>
      <c r="AT50" s="306">
        <f>ROUND($O50*AC50,0)</f>
        <v/>
      </c>
      <c r="AU50" s="306">
        <f>ROUND($O50*AD50,0)</f>
        <v/>
      </c>
      <c r="AV50" s="306">
        <f>ROUND($O50*AE50,0)</f>
        <v/>
      </c>
      <c r="AW50" s="306">
        <f>ROUND($O50*AF50,0)</f>
        <v/>
      </c>
      <c r="AX50" s="236">
        <f>SUM(AG50:AO50)</f>
        <v/>
      </c>
      <c r="AY50" s="528">
        <f>AX50/160</f>
        <v/>
      </c>
      <c r="AZ50" s="87">
        <f>VLOOKUP(I50,Listy!$A$1:$H$9,6,FALSE)</f>
        <v/>
      </c>
      <c r="BA50" s="682">
        <f>AY50*AZ50</f>
        <v/>
      </c>
      <c r="BB50" s="683">
        <f>AY50*BA50</f>
        <v/>
      </c>
      <c r="BC50" s="528" t="n"/>
      <c r="BD50" s="528" t="n"/>
      <c r="BE50" s="528" t="n"/>
      <c r="BF50" s="528" t="n"/>
      <c r="BG50" s="528" t="n"/>
      <c r="BH50" s="528" t="n"/>
      <c r="BI50" s="21">
        <f>BG50*BH50</f>
        <v/>
      </c>
      <c r="BJ50" s="528" t="n"/>
      <c r="BK50" s="528" t="n"/>
      <c r="BL50" s="528" t="n"/>
      <c r="BM50" s="528" t="n"/>
      <c r="BN50" s="528" t="n"/>
      <c r="BO50" s="528" t="n"/>
      <c r="BP50" s="528" t="n"/>
      <c r="BQ50" s="528" t="n"/>
      <c r="BR50" s="528" t="n"/>
      <c r="BS50" s="528" t="n"/>
      <c r="BT50" s="528" t="n"/>
      <c r="BU50" s="528" t="n"/>
      <c r="BV50" s="528" t="n"/>
      <c r="BW50" s="21">
        <f>BU50*BV50</f>
        <v/>
      </c>
      <c r="BX50" s="528" t="n"/>
      <c r="BY50" s="528" t="n"/>
      <c r="BZ50" s="528" t="n"/>
      <c r="CA50" s="21">
        <f>BY50*BZ50</f>
        <v/>
      </c>
      <c r="CB50" s="528" t="n"/>
      <c r="CC50" s="528" t="n"/>
      <c r="CD50" s="528" t="n"/>
      <c r="CE50" s="21">
        <f>CC50*CD50</f>
        <v/>
      </c>
    </row>
    <row r="51" customFormat="1" s="538">
      <c r="A51" s="528" t="n">
        <v>9</v>
      </c>
      <c r="B51" s="55" t="inlineStr">
        <is>
          <t>b</t>
        </is>
      </c>
      <c r="C51" s="105" t="n">
        <v>1</v>
      </c>
      <c r="D51" s="116">
        <f>CONCATENATE(A$3,"_",A51,"_",B51,"_",C51)</f>
        <v/>
      </c>
      <c r="E51" s="391" t="inlineStr">
        <is>
          <t>Regularne śledzenie wydajności Modeli na platformie</t>
        </is>
      </c>
      <c r="F51" s="528">
        <f>IFERROR(VLOOKUP($I51,Listy!$A:$H,2,FALSE),"XXX")</f>
        <v/>
      </c>
      <c r="G51" s="528">
        <f>IFERROR(VLOOKUP($I51,Listy!$A:$H,3,FALSE),"XXX")</f>
        <v/>
      </c>
      <c r="H51" s="133" t="n">
        <v>30</v>
      </c>
      <c r="I51" s="89" t="inlineStr">
        <is>
          <t>END</t>
        </is>
      </c>
      <c r="J51" s="91">
        <f>M50+1</f>
        <v/>
      </c>
      <c r="K51" s="681">
        <f>VLOOKUP(J51,Kalendarz!B:E,4,FALSE)</f>
        <v/>
      </c>
      <c r="L51" s="681">
        <f>K51+N51</f>
        <v/>
      </c>
      <c r="M51" s="528">
        <f>J51+N51-1</f>
        <v/>
      </c>
      <c r="N51" s="474" t="n">
        <v>1</v>
      </c>
      <c r="O51" s="528" t="n">
        <v>240</v>
      </c>
      <c r="P51" s="187" t="n">
        <v>0.09</v>
      </c>
      <c r="Q51" s="187" t="n">
        <v>0.09</v>
      </c>
      <c r="R51" s="187" t="n">
        <v>0.08</v>
      </c>
      <c r="S51" s="187" t="n">
        <v>0.08</v>
      </c>
      <c r="T51" s="187" t="n">
        <v>0.08</v>
      </c>
      <c r="U51" s="187" t="n">
        <v>0.08</v>
      </c>
      <c r="V51" s="187" t="n"/>
      <c r="W51" s="187" t="n"/>
      <c r="X51" s="187" t="n"/>
      <c r="Y51" s="292" t="n">
        <v>0</v>
      </c>
      <c r="Z51" s="292" t="n">
        <v>0.25</v>
      </c>
      <c r="AA51" s="292" t="n">
        <v>0.25</v>
      </c>
      <c r="AB51" s="292" t="n"/>
      <c r="AC51" s="304" t="n"/>
      <c r="AD51" s="304" t="n"/>
      <c r="AE51" s="304" t="n"/>
      <c r="AF51" s="304" t="n"/>
      <c r="AG51" s="192">
        <f>ROUND($O51*P51,0)</f>
        <v/>
      </c>
      <c r="AH51" s="192">
        <f>ROUND($O51*Q51,0)</f>
        <v/>
      </c>
      <c r="AI51" s="192">
        <f>ROUND($O51*R51,0)</f>
        <v/>
      </c>
      <c r="AJ51" s="192">
        <f>ROUND($O51*S51,0)</f>
        <v/>
      </c>
      <c r="AK51" s="192">
        <f>ROUND($O51*T51,0)</f>
        <v/>
      </c>
      <c r="AL51" s="192">
        <f>ROUND($O51*U51,0)</f>
        <v/>
      </c>
      <c r="AM51" s="192">
        <f>ROUND($O51*V51,0)</f>
        <v/>
      </c>
      <c r="AN51" s="192">
        <f>ROUND($O51*W51,0)</f>
        <v/>
      </c>
      <c r="AO51" s="192">
        <f>ROUND($O51*X51,0)</f>
        <v/>
      </c>
      <c r="AP51" s="193">
        <f>ROUND($O51*Y51,0)</f>
        <v/>
      </c>
      <c r="AQ51" s="193">
        <f>ROUND($O51*Z51,0)</f>
        <v/>
      </c>
      <c r="AR51" s="193">
        <f>ROUND($O51*AA51,0)</f>
        <v/>
      </c>
      <c r="AS51" s="307">
        <f>ROUND($O51*AB51,0)</f>
        <v/>
      </c>
      <c r="AT51" s="304" t="n"/>
      <c r="AU51" s="304" t="n"/>
      <c r="AV51" s="304" t="n"/>
      <c r="AW51" s="304" t="n"/>
      <c r="AX51" s="236">
        <f>SUM(AG51:AO51)</f>
        <v/>
      </c>
      <c r="AY51" s="528">
        <f>AX51/160</f>
        <v/>
      </c>
      <c r="AZ51" s="87">
        <f>VLOOKUP(I51,Listy!$A$1:$H$9,6,FALSE)</f>
        <v/>
      </c>
      <c r="BA51" s="682">
        <f>AY51*AZ51</f>
        <v/>
      </c>
      <c r="BB51" s="683">
        <f>AY51*BA51</f>
        <v/>
      </c>
      <c r="BC51" s="468" t="n"/>
      <c r="BD51" s="468" t="n"/>
      <c r="BE51" s="468" t="n"/>
      <c r="BF51" s="468" t="n"/>
      <c r="BG51" s="468" t="n"/>
      <c r="BH51" s="468" t="n"/>
      <c r="BI51" s="21">
        <f>BG51*BH51</f>
        <v/>
      </c>
      <c r="BJ51" s="528" t="n"/>
      <c r="BK51" s="528" t="n"/>
      <c r="BL51" s="21" t="n"/>
      <c r="BM51" s="528" t="n"/>
      <c r="BN51" s="528" t="n"/>
      <c r="BO51" s="21" t="n"/>
      <c r="BP51" s="528" t="n"/>
      <c r="BQ51" s="528" t="n"/>
      <c r="BR51" s="21" t="n"/>
      <c r="BS51" s="21" t="n"/>
      <c r="BT51" s="528" t="n"/>
      <c r="BU51" s="528" t="n"/>
      <c r="BV51" s="528" t="n"/>
      <c r="BW51" s="21">
        <f>BU51*BV51</f>
        <v/>
      </c>
      <c r="BX51" s="528" t="n"/>
      <c r="BY51" s="528" t="n"/>
      <c r="BZ51" s="528" t="n"/>
      <c r="CA51" s="21">
        <f>BY51*BZ51</f>
        <v/>
      </c>
      <c r="CB51" s="528" t="n"/>
      <c r="CC51" s="528" t="n"/>
      <c r="CD51" s="528" t="n"/>
      <c r="CE51" s="21">
        <f>CC51*CD51</f>
        <v/>
      </c>
    </row>
    <row r="52" ht="18" customFormat="1" customHeight="1" s="538">
      <c r="A52" s="453" t="n">
        <v>10</v>
      </c>
      <c r="B52" s="55" t="inlineStr">
        <is>
          <t>a</t>
        </is>
      </c>
      <c r="C52" s="105" t="n">
        <v>0</v>
      </c>
      <c r="D52" s="116">
        <f>CONCATENATE(A$3,"_",A52,"_",B52,"_",C52)</f>
        <v/>
      </c>
      <c r="E52" s="388" t="inlineStr">
        <is>
          <t>10.Dokumentacja</t>
        </is>
      </c>
      <c r="F52" s="122" t="n"/>
      <c r="G52" s="122" t="n"/>
      <c r="H52" s="455" t="n"/>
      <c r="I52" s="122" t="n"/>
      <c r="J52" s="91">
        <f>M51+1</f>
        <v/>
      </c>
      <c r="K52" s="681">
        <f>VLOOKUP(J52,Kalendarz!B:E,4,FALSE)</f>
        <v/>
      </c>
      <c r="L52" s="681">
        <f>K52+N52</f>
        <v/>
      </c>
      <c r="M52" s="528">
        <f>J52+N52-1</f>
        <v/>
      </c>
      <c r="N52" s="474">
        <f>ROUND(MAX(AG52:AO52)/Listy!$U$2,0)</f>
        <v/>
      </c>
      <c r="O52" s="468" t="n"/>
      <c r="P52" s="468" t="n"/>
      <c r="Q52" s="468" t="n"/>
      <c r="R52" s="468" t="n"/>
      <c r="S52" s="468" t="n"/>
      <c r="T52" s="468" t="n"/>
      <c r="U52" s="468" t="n"/>
      <c r="V52" s="468" t="n"/>
      <c r="W52" s="468" t="n"/>
      <c r="X52" s="468" t="n"/>
      <c r="Y52" s="468" t="n"/>
      <c r="Z52" s="468" t="n"/>
      <c r="AA52" s="468" t="n"/>
      <c r="AB52" s="468" t="n"/>
      <c r="AC52" s="468" t="n"/>
      <c r="AD52" s="468" t="n"/>
      <c r="AE52" s="468" t="n"/>
      <c r="AF52" s="468" t="n"/>
      <c r="AG52" s="468" t="n"/>
      <c r="AH52" s="468" t="n"/>
      <c r="AI52" s="468" t="n"/>
      <c r="AJ52" s="468" t="n"/>
      <c r="AK52" s="468" t="n"/>
      <c r="AL52" s="468" t="n"/>
      <c r="AM52" s="468" t="n"/>
      <c r="AN52" s="468" t="n"/>
      <c r="AO52" s="468" t="n"/>
      <c r="AP52" s="468" t="n"/>
      <c r="AQ52" s="468" t="n"/>
      <c r="AR52" s="468" t="n"/>
      <c r="AS52" s="468" t="n"/>
      <c r="AT52" s="468" t="n"/>
      <c r="AU52" s="468" t="n"/>
      <c r="AV52" s="468" t="n"/>
      <c r="AW52" s="468" t="n"/>
      <c r="AX52" s="468" t="n"/>
      <c r="AY52" s="468" t="n"/>
      <c r="AZ52" s="468" t="n"/>
      <c r="BA52" s="468" t="n"/>
      <c r="BB52" s="468" t="n"/>
      <c r="BC52" s="468" t="n"/>
      <c r="BD52" s="122" t="n"/>
      <c r="BE52" s="122" t="n"/>
      <c r="BF52" s="122" t="n"/>
      <c r="BG52" s="122" t="n"/>
      <c r="BH52" s="122" t="n"/>
      <c r="BI52" s="122" t="n"/>
      <c r="BJ52" s="122" t="n"/>
      <c r="BK52" s="122" t="n"/>
      <c r="BL52" s="122" t="n"/>
      <c r="BM52" s="122" t="n"/>
      <c r="BN52" s="122" t="n"/>
      <c r="BO52" s="122" t="n"/>
      <c r="BP52" s="122" t="n"/>
      <c r="BQ52" s="122" t="n"/>
      <c r="BR52" s="122" t="n"/>
      <c r="BS52" s="122" t="n"/>
      <c r="BT52" s="122" t="n"/>
      <c r="BU52" s="122" t="n"/>
      <c r="BV52" s="122" t="n"/>
      <c r="BW52" s="122" t="n"/>
      <c r="BX52" s="122" t="n"/>
      <c r="BY52" s="122" t="n"/>
      <c r="BZ52" s="122" t="n"/>
      <c r="CA52" s="122" t="n"/>
      <c r="CB52" s="122" t="n"/>
      <c r="CC52" s="122" t="n"/>
      <c r="CD52" s="122" t="n"/>
      <c r="CE52" s="122" t="n"/>
    </row>
    <row r="53" customFormat="1" s="538">
      <c r="A53" s="528" t="n">
        <v>10</v>
      </c>
      <c r="B53" s="55" t="inlineStr">
        <is>
          <t>a</t>
        </is>
      </c>
      <c r="C53" s="105" t="n">
        <v>1</v>
      </c>
      <c r="D53" s="116">
        <f>CONCATENATE(A$3,"_",A53,"_",B53,"_",C53)</f>
        <v/>
      </c>
      <c r="E53" s="391" t="inlineStr">
        <is>
          <t>Przygotowanie dokumentacji  integracji z systemami zewnętrznymi</t>
        </is>
      </c>
      <c r="F53" s="528">
        <f>IFERROR(VLOOKUP($I53,Listy!$A:$H,2,FALSE),"XXX")</f>
        <v/>
      </c>
      <c r="G53" s="528">
        <f>IFERROR(VLOOKUP($I53,Listy!$A:$H,3,FALSE),"XXX")</f>
        <v/>
      </c>
      <c r="H53" s="133" t="n">
        <v>31</v>
      </c>
      <c r="I53" s="89" t="inlineStr">
        <is>
          <t>ACT</t>
        </is>
      </c>
      <c r="J53" s="91">
        <f>M52+1</f>
        <v/>
      </c>
      <c r="K53" s="681">
        <f>VLOOKUP(J53,Kalendarz!B:E,4,FALSE)</f>
        <v/>
      </c>
      <c r="L53" s="681">
        <f>K53+N53</f>
        <v/>
      </c>
      <c r="M53" s="528">
        <f>J53+N53-1</f>
        <v/>
      </c>
      <c r="N53" s="474" t="n">
        <v>1</v>
      </c>
      <c r="O53" s="528" t="n">
        <v>200</v>
      </c>
      <c r="P53" s="187" t="n">
        <v>0.17</v>
      </c>
      <c r="Q53" s="187" t="n">
        <v>0.17</v>
      </c>
      <c r="R53" s="187" t="n">
        <v>0.17</v>
      </c>
      <c r="S53" s="187" t="n">
        <v>0.17</v>
      </c>
      <c r="T53" s="187" t="n">
        <v>0.17</v>
      </c>
      <c r="U53" s="187" t="n">
        <v>0.15</v>
      </c>
      <c r="V53" s="187" t="n"/>
      <c r="W53" s="187" t="n"/>
      <c r="X53" s="187" t="n"/>
      <c r="Y53" s="292" t="n">
        <v>0</v>
      </c>
      <c r="Z53" s="292" t="n">
        <v>0</v>
      </c>
      <c r="AA53" s="292" t="n">
        <v>0</v>
      </c>
      <c r="AB53" s="292" t="n"/>
      <c r="AC53" s="304" t="n"/>
      <c r="AD53" s="304" t="n"/>
      <c r="AE53" s="304" t="n"/>
      <c r="AF53" s="304" t="n"/>
      <c r="AG53" s="192">
        <f>ROUND($O53*P53,0)</f>
        <v/>
      </c>
      <c r="AH53" s="192">
        <f>ROUND($O53*Q53,0)</f>
        <v/>
      </c>
      <c r="AI53" s="192">
        <f>ROUND($O53*R53,0)</f>
        <v/>
      </c>
      <c r="AJ53" s="192">
        <f>ROUND($O53*S53,0)</f>
        <v/>
      </c>
      <c r="AK53" s="192">
        <f>ROUND($O53*T53,0)</f>
        <v/>
      </c>
      <c r="AL53" s="192">
        <f>ROUND($O53*U53,0)</f>
        <v/>
      </c>
      <c r="AM53" s="192">
        <f>ROUND($O53*V53,0)</f>
        <v/>
      </c>
      <c r="AN53" s="192">
        <f>ROUND($O53*W53,0)</f>
        <v/>
      </c>
      <c r="AO53" s="192">
        <f>ROUND($O53*X53,0)</f>
        <v/>
      </c>
      <c r="AP53" s="193">
        <f>ROUND($O53*Y53,0)</f>
        <v/>
      </c>
      <c r="AQ53" s="193">
        <f>ROUND($O53*Z53,0)</f>
        <v/>
      </c>
      <c r="AR53" s="193">
        <f>ROUND($O53*AA53,0)</f>
        <v/>
      </c>
      <c r="AS53" s="307">
        <f>ROUND($O53*AB53,0)</f>
        <v/>
      </c>
      <c r="AT53" s="304" t="n"/>
      <c r="AU53" s="304" t="n"/>
      <c r="AV53" s="304" t="n"/>
      <c r="AW53" s="304" t="n"/>
      <c r="AX53" s="236">
        <f>SUM(AG53:AO53)</f>
        <v/>
      </c>
      <c r="AY53" s="528">
        <f>AX53/160</f>
        <v/>
      </c>
      <c r="AZ53" s="87">
        <f>VLOOKUP(I53,Listy!$A$1:$H$9,6,FALSE)</f>
        <v/>
      </c>
      <c r="BA53" s="682">
        <f>AY53*AZ53</f>
        <v/>
      </c>
      <c r="BB53" s="683">
        <f>AY53*BA53</f>
        <v/>
      </c>
      <c r="BC53" s="468" t="n"/>
      <c r="BD53" s="468" t="n"/>
      <c r="BE53" s="468" t="n"/>
      <c r="BF53" s="468" t="n"/>
      <c r="BG53" s="468" t="n"/>
      <c r="BH53" s="468" t="n"/>
      <c r="BI53" s="21">
        <f>BG53*BH53</f>
        <v/>
      </c>
      <c r="BJ53" s="528" t="n"/>
      <c r="BK53" s="528" t="n"/>
      <c r="BL53" s="21" t="n"/>
      <c r="BM53" s="528" t="n"/>
      <c r="BN53" s="528" t="n"/>
      <c r="BO53" s="21" t="n"/>
      <c r="BP53" s="528" t="n"/>
      <c r="BQ53" s="528" t="n"/>
      <c r="BR53" s="21" t="n"/>
      <c r="BS53" s="21" t="n"/>
      <c r="BT53" s="528" t="n"/>
      <c r="BU53" s="528" t="n"/>
      <c r="BV53" s="528" t="n"/>
      <c r="BW53" s="21">
        <f>BU53*BV53</f>
        <v/>
      </c>
      <c r="BX53" s="528" t="n"/>
      <c r="BY53" s="528" t="n"/>
      <c r="BZ53" s="528" t="n"/>
      <c r="CA53" s="21">
        <f>BY53*BZ53</f>
        <v/>
      </c>
      <c r="CB53" s="528" t="n"/>
      <c r="CC53" s="528" t="n"/>
      <c r="CD53" s="528" t="n"/>
      <c r="CE53" s="21">
        <f>CC53*CD53</f>
        <v/>
      </c>
    </row>
    <row r="54" customFormat="1" s="538">
      <c r="A54" s="528" t="n">
        <v>10</v>
      </c>
      <c r="B54" s="55" t="inlineStr">
        <is>
          <t>b</t>
        </is>
      </c>
      <c r="C54" s="105" t="n">
        <v>1</v>
      </c>
      <c r="D54" s="116">
        <f>CONCATENATE(A$3,"_",A54,"_",B54,"_",C54)</f>
        <v/>
      </c>
      <c r="E54" s="391" t="inlineStr">
        <is>
          <t>Przygotowanie dokumentacji  administratora</t>
        </is>
      </c>
      <c r="F54" s="528">
        <f>IFERROR(VLOOKUP($I54,Listy!$A:$H,2,FALSE),"XXX")</f>
        <v/>
      </c>
      <c r="G54" s="528">
        <f>IFERROR(VLOOKUP($I54,Listy!$A:$H,3,FALSE),"XXX")</f>
        <v/>
      </c>
      <c r="H54" s="133" t="n">
        <v>32</v>
      </c>
      <c r="I54" s="89" t="inlineStr">
        <is>
          <t>ACT</t>
        </is>
      </c>
      <c r="J54" s="91">
        <f>M53+1</f>
        <v/>
      </c>
      <c r="K54" s="681">
        <f>VLOOKUP(J54,Kalendarz!B:E,4,FALSE)</f>
        <v/>
      </c>
      <c r="L54" s="681">
        <f>K54+N54</f>
        <v/>
      </c>
      <c r="M54" s="528">
        <f>J54+N54-1</f>
        <v/>
      </c>
      <c r="N54" s="474" t="n">
        <v>1</v>
      </c>
      <c r="O54" s="528" t="n">
        <v>200</v>
      </c>
      <c r="P54" s="187" t="n">
        <v>0.17</v>
      </c>
      <c r="Q54" s="187" t="n">
        <v>0.17</v>
      </c>
      <c r="R54" s="187" t="n">
        <v>0.17</v>
      </c>
      <c r="S54" s="187" t="n">
        <v>0.17</v>
      </c>
      <c r="T54" s="187" t="n">
        <v>0.17</v>
      </c>
      <c r="U54" s="187" t="n">
        <v>0.15</v>
      </c>
      <c r="V54" s="187" t="n"/>
      <c r="W54" s="187" t="n"/>
      <c r="X54" s="187" t="n"/>
      <c r="Y54" s="292" t="n">
        <v>0</v>
      </c>
      <c r="Z54" s="292" t="n">
        <v>0</v>
      </c>
      <c r="AA54" s="292" t="n">
        <v>0</v>
      </c>
      <c r="AB54" s="292" t="n"/>
      <c r="AC54" s="305" t="n"/>
      <c r="AD54" s="305" t="n"/>
      <c r="AE54" s="305" t="n"/>
      <c r="AF54" s="305" t="n"/>
      <c r="AG54" s="192">
        <f>ROUND($O54*P54,0)</f>
        <v/>
      </c>
      <c r="AH54" s="192">
        <f>ROUND($O54*Q54,0)</f>
        <v/>
      </c>
      <c r="AI54" s="192">
        <f>ROUND($O54*R54,0)</f>
        <v/>
      </c>
      <c r="AJ54" s="192">
        <f>ROUND($O54*S54,0)</f>
        <v/>
      </c>
      <c r="AK54" s="192">
        <f>ROUND($O54*T54,0)</f>
        <v/>
      </c>
      <c r="AL54" s="192">
        <f>ROUND($O54*U54,0)</f>
        <v/>
      </c>
      <c r="AM54" s="192">
        <f>ROUND($O54*V54,0)</f>
        <v/>
      </c>
      <c r="AN54" s="192">
        <f>ROUND($O54*W54,0)</f>
        <v/>
      </c>
      <c r="AO54" s="192">
        <f>ROUND($O54*X54,0)</f>
        <v/>
      </c>
      <c r="AP54" s="193">
        <f>ROUND($O54*Y54,0)</f>
        <v/>
      </c>
      <c r="AQ54" s="193">
        <f>ROUND($O54*Z54,0)</f>
        <v/>
      </c>
      <c r="AR54" s="193">
        <f>ROUND($O54*AA54,0)</f>
        <v/>
      </c>
      <c r="AS54" s="193">
        <f>ROUND($O54*AB54,0)</f>
        <v/>
      </c>
      <c r="AT54" s="306">
        <f>ROUND($O54*AC54,0)</f>
        <v/>
      </c>
      <c r="AU54" s="306">
        <f>ROUND($O54*AD54,0)</f>
        <v/>
      </c>
      <c r="AV54" s="306">
        <f>ROUND($O54*AE54,0)</f>
        <v/>
      </c>
      <c r="AW54" s="306">
        <f>ROUND($O54*AF54,0)</f>
        <v/>
      </c>
      <c r="AX54" s="236">
        <f>SUM(AG54:AO54)</f>
        <v/>
      </c>
      <c r="AY54" s="528">
        <f>AX54/160</f>
        <v/>
      </c>
      <c r="AZ54" s="87">
        <f>VLOOKUP(I54,Listy!$A$1:$H$9,6,FALSE)</f>
        <v/>
      </c>
      <c r="BA54" s="682">
        <f>AY54*AZ54</f>
        <v/>
      </c>
      <c r="BB54" s="683">
        <f>AY54*BA54</f>
        <v/>
      </c>
      <c r="BC54" s="528" t="n"/>
      <c r="BD54" s="528" t="n"/>
      <c r="BE54" s="528" t="n"/>
      <c r="BF54" s="528" t="n"/>
      <c r="BG54" s="528" t="n"/>
      <c r="BH54" s="528" t="n"/>
      <c r="BI54" s="21">
        <f>BG54*BH54</f>
        <v/>
      </c>
      <c r="BJ54" s="528" t="n"/>
      <c r="BK54" s="528" t="n"/>
      <c r="BL54" s="528" t="n"/>
      <c r="BM54" s="528" t="n"/>
      <c r="BN54" s="528" t="n"/>
      <c r="BO54" s="528" t="n"/>
      <c r="BP54" s="528" t="n"/>
      <c r="BQ54" s="528" t="n"/>
      <c r="BR54" s="528" t="n"/>
      <c r="BS54" s="528" t="n"/>
      <c r="BT54" s="528" t="n"/>
      <c r="BU54" s="528" t="n"/>
      <c r="BV54" s="528" t="n"/>
      <c r="BW54" s="21">
        <f>BU54*BV54</f>
        <v/>
      </c>
      <c r="BX54" s="528" t="n"/>
      <c r="BY54" s="528" t="n"/>
      <c r="BZ54" s="528" t="n"/>
      <c r="CA54" s="21">
        <f>BY54*BZ54</f>
        <v/>
      </c>
      <c r="CB54" s="528" t="n"/>
      <c r="CC54" s="528" t="n"/>
      <c r="CD54" s="528" t="n"/>
      <c r="CE54" s="21">
        <f>CC54*CD54</f>
        <v/>
      </c>
    </row>
    <row r="55" customFormat="1" s="538">
      <c r="A55" s="528" t="n">
        <v>10</v>
      </c>
      <c r="B55" s="55" t="inlineStr">
        <is>
          <t>c</t>
        </is>
      </c>
      <c r="C55" s="105" t="n">
        <v>1</v>
      </c>
      <c r="D55" s="116">
        <f>CONCATENATE(A$3,"_",A55,"_",B55,"_",C55)</f>
        <v/>
      </c>
      <c r="E55" s="391" t="inlineStr">
        <is>
          <t>Przygotowanie dokumentacji  użytkownika</t>
        </is>
      </c>
      <c r="F55" s="528">
        <f>IFERROR(VLOOKUP($I55,Listy!$A:$H,2,FALSE),"XXX")</f>
        <v/>
      </c>
      <c r="G55" s="528">
        <f>IFERROR(VLOOKUP($I55,Listy!$A:$H,3,FALSE),"XXX")</f>
        <v/>
      </c>
      <c r="H55" s="133" t="n">
        <v>33</v>
      </c>
      <c r="I55" s="89" t="inlineStr">
        <is>
          <t>ACT</t>
        </is>
      </c>
      <c r="J55" s="91">
        <f>M54+1</f>
        <v/>
      </c>
      <c r="K55" s="681">
        <f>VLOOKUP(J55,Kalendarz!B:E,4,FALSE)</f>
        <v/>
      </c>
      <c r="L55" s="681">
        <f>K55+N55</f>
        <v/>
      </c>
      <c r="M55" s="528">
        <f>J55+N55-1</f>
        <v/>
      </c>
      <c r="N55" s="474" t="n">
        <v>1</v>
      </c>
      <c r="O55" s="528" t="n">
        <v>200</v>
      </c>
      <c r="P55" s="187" t="n">
        <v>0.17</v>
      </c>
      <c r="Q55" s="187" t="n">
        <v>0.17</v>
      </c>
      <c r="R55" s="187" t="n">
        <v>0.17</v>
      </c>
      <c r="S55" s="187" t="n">
        <v>0.17</v>
      </c>
      <c r="T55" s="187" t="n">
        <v>0.17</v>
      </c>
      <c r="U55" s="187" t="n">
        <v>0.15</v>
      </c>
      <c r="V55" s="187" t="n"/>
      <c r="W55" s="187" t="n"/>
      <c r="X55" s="187" t="n"/>
      <c r="Y55" s="292" t="n">
        <v>0</v>
      </c>
      <c r="Z55" s="292" t="n">
        <v>0</v>
      </c>
      <c r="AA55" s="292" t="n">
        <v>0</v>
      </c>
      <c r="AB55" s="292" t="n"/>
      <c r="AC55" s="304" t="n"/>
      <c r="AD55" s="304" t="n"/>
      <c r="AE55" s="304" t="n"/>
      <c r="AF55" s="304" t="n"/>
      <c r="AG55" s="192">
        <f>ROUND($O55*P55,0)</f>
        <v/>
      </c>
      <c r="AH55" s="192">
        <f>ROUND($O55*Q55,0)</f>
        <v/>
      </c>
      <c r="AI55" s="192">
        <f>ROUND($O55*R55,0)</f>
        <v/>
      </c>
      <c r="AJ55" s="192">
        <f>ROUND($O55*S55,0)</f>
        <v/>
      </c>
      <c r="AK55" s="192">
        <f>ROUND($O55*T55,0)</f>
        <v/>
      </c>
      <c r="AL55" s="192">
        <f>ROUND($O55*U55,0)</f>
        <v/>
      </c>
      <c r="AM55" s="192">
        <f>ROUND($O55*V55,0)</f>
        <v/>
      </c>
      <c r="AN55" s="192">
        <f>ROUND($O55*W55,0)</f>
        <v/>
      </c>
      <c r="AO55" s="192">
        <f>ROUND($O55*X55,0)</f>
        <v/>
      </c>
      <c r="AP55" s="193">
        <f>ROUND($O55*Y55,0)</f>
        <v/>
      </c>
      <c r="AQ55" s="193">
        <f>ROUND($O55*Z55,0)</f>
        <v/>
      </c>
      <c r="AR55" s="193">
        <f>ROUND($O55*AA55,0)</f>
        <v/>
      </c>
      <c r="AS55" s="307">
        <f>ROUND($O55*AB55,0)</f>
        <v/>
      </c>
      <c r="AT55" s="304" t="n"/>
      <c r="AU55" s="304" t="n"/>
      <c r="AV55" s="304" t="n"/>
      <c r="AW55" s="304" t="n"/>
      <c r="AX55" s="468" t="n"/>
      <c r="AY55" s="468" t="n"/>
      <c r="AZ55" s="468" t="n"/>
      <c r="BA55" s="468" t="n"/>
      <c r="BB55" s="468" t="n"/>
      <c r="BC55" s="468" t="n"/>
      <c r="BD55" s="468" t="n"/>
      <c r="BE55" s="468" t="n"/>
      <c r="BF55" s="468" t="n"/>
      <c r="BG55" s="468" t="n"/>
      <c r="BH55" s="468" t="n"/>
      <c r="BI55" s="21">
        <f>BG55*BH55</f>
        <v/>
      </c>
      <c r="BJ55" s="528" t="n"/>
      <c r="BK55" s="528" t="n"/>
      <c r="BL55" s="21" t="n"/>
      <c r="BM55" s="528" t="n"/>
      <c r="BN55" s="528" t="n"/>
      <c r="BO55" s="21" t="n"/>
      <c r="BP55" s="528" t="n"/>
      <c r="BQ55" s="528" t="n"/>
      <c r="BR55" s="21" t="n"/>
      <c r="BS55" s="21" t="n"/>
      <c r="BT55" s="528" t="n"/>
      <c r="BU55" s="528" t="n"/>
      <c r="BV55" s="528" t="n"/>
      <c r="BW55" s="21">
        <f>BU55*BV55</f>
        <v/>
      </c>
      <c r="BX55" s="528" t="n"/>
      <c r="BY55" s="528" t="n"/>
      <c r="BZ55" s="528" t="n"/>
      <c r="CA55" s="21">
        <f>BY55*BZ55</f>
        <v/>
      </c>
      <c r="CB55" s="528" t="n"/>
      <c r="CC55" s="528" t="n"/>
      <c r="CD55" s="528" t="n"/>
      <c r="CE55" s="21">
        <f>CC55*CD55</f>
        <v/>
      </c>
    </row>
    <row r="56" ht="18" customFormat="1" customHeight="1" s="538">
      <c r="A56" s="453" t="n">
        <v>11</v>
      </c>
      <c r="B56" s="538" t="inlineStr">
        <is>
          <t>a</t>
        </is>
      </c>
      <c r="C56" s="105" t="n">
        <v>1</v>
      </c>
      <c r="D56" s="116">
        <f>CONCATENATE(A$3,"_",A56,"_",B56,"_",C56)</f>
        <v/>
      </c>
      <c r="E56" s="388" t="inlineStr">
        <is>
          <t>11.Szkolenie</t>
        </is>
      </c>
      <c r="F56" s="528">
        <f>IFERROR(VLOOKUP($I56,Listy!$A:$H,2,FALSE),"XXX")</f>
        <v/>
      </c>
      <c r="G56" s="528">
        <f>IFERROR(VLOOKUP($I56,Listy!$A:$H,3,FALSE),"XXX")</f>
        <v/>
      </c>
      <c r="H56" s="133" t="n">
        <v>34</v>
      </c>
      <c r="I56" s="89" t="inlineStr">
        <is>
          <t>ACT</t>
        </is>
      </c>
      <c r="J56" s="91">
        <f>M55+1</f>
        <v/>
      </c>
      <c r="K56" s="681">
        <f>VLOOKUP(J56,Kalendarz!B:E,4,FALSE)</f>
        <v/>
      </c>
      <c r="L56" s="681">
        <f>K56+N56</f>
        <v/>
      </c>
      <c r="M56" s="528">
        <f>J56+N56-1</f>
        <v/>
      </c>
      <c r="N56" s="474" t="n">
        <v>2</v>
      </c>
      <c r="O56" s="528" t="n">
        <v>400</v>
      </c>
      <c r="P56" s="187" t="n">
        <v>0.17</v>
      </c>
      <c r="Q56" s="187" t="n">
        <v>0.17</v>
      </c>
      <c r="R56" s="187" t="n">
        <v>0.17</v>
      </c>
      <c r="S56" s="187" t="n">
        <v>0.17</v>
      </c>
      <c r="T56" s="187" t="n">
        <v>0.17</v>
      </c>
      <c r="U56" s="187" t="n">
        <v>0.15</v>
      </c>
      <c r="V56" s="187" t="n"/>
      <c r="W56" s="187" t="n"/>
      <c r="X56" s="187" t="n"/>
      <c r="Y56" s="292" t="n">
        <v>0</v>
      </c>
      <c r="Z56" s="292" t="n">
        <v>0</v>
      </c>
      <c r="AA56" s="292" t="n">
        <v>0</v>
      </c>
      <c r="AB56" s="292" t="n"/>
      <c r="AC56" s="305" t="n"/>
      <c r="AD56" s="305" t="n"/>
      <c r="AE56" s="305" t="n"/>
      <c r="AF56" s="305" t="n"/>
      <c r="AG56" s="192">
        <f>ROUND($O56*P56,0)</f>
        <v/>
      </c>
      <c r="AH56" s="192">
        <f>ROUND($O56*Q56,0)</f>
        <v/>
      </c>
      <c r="AI56" s="192">
        <f>ROUND($O56*R56,0)</f>
        <v/>
      </c>
      <c r="AJ56" s="192">
        <f>ROUND($O56*S56,0)</f>
        <v/>
      </c>
      <c r="AK56" s="192">
        <f>ROUND($O56*T56,0)</f>
        <v/>
      </c>
      <c r="AL56" s="192">
        <f>ROUND($O56*U56,0)</f>
        <v/>
      </c>
      <c r="AM56" s="192">
        <f>ROUND($O56*V56,0)</f>
        <v/>
      </c>
      <c r="AN56" s="192">
        <f>ROUND($O56*W56,0)</f>
        <v/>
      </c>
      <c r="AO56" s="192">
        <f>ROUND($O56*X56,0)</f>
        <v/>
      </c>
      <c r="AP56" s="193">
        <f>ROUND($O56*Y56,0)</f>
        <v/>
      </c>
      <c r="AQ56" s="193">
        <f>ROUND($O56*Z56,0)</f>
        <v/>
      </c>
      <c r="AR56" s="193">
        <f>ROUND($O56*AA56,0)</f>
        <v/>
      </c>
      <c r="AS56" s="193">
        <f>ROUND($O56*AB56,0)</f>
        <v/>
      </c>
      <c r="AT56" s="306">
        <f>ROUND($O56*AC56,0)</f>
        <v/>
      </c>
      <c r="AU56" s="306">
        <f>ROUND($O56*AD56,0)</f>
        <v/>
      </c>
      <c r="AV56" s="306">
        <f>ROUND($O56*AE56,0)</f>
        <v/>
      </c>
      <c r="AW56" s="306">
        <f>ROUND($O56*AF56,0)</f>
        <v/>
      </c>
      <c r="AX56" s="236">
        <f>SUM(AG56:AO56)</f>
        <v/>
      </c>
      <c r="AY56" s="528">
        <f>AX56/160</f>
        <v/>
      </c>
      <c r="AZ56" s="87">
        <f>VLOOKUP(I56,Listy!$A$1:$H$9,6,FALSE)</f>
        <v/>
      </c>
      <c r="BA56" s="682">
        <f>AY56*AZ56</f>
        <v/>
      </c>
      <c r="BB56" s="683">
        <f>AY56*BA56</f>
        <v/>
      </c>
      <c r="BC56" s="528" t="n"/>
      <c r="BD56" s="528" t="n"/>
      <c r="BE56" s="528" t="n"/>
      <c r="BF56" s="528" t="n"/>
      <c r="BG56" s="528" t="n"/>
      <c r="BH56" s="528" t="n"/>
      <c r="BI56" s="21">
        <f>BG56*BH56</f>
        <v/>
      </c>
      <c r="BJ56" s="528" t="n"/>
      <c r="BK56" s="528" t="n"/>
      <c r="BL56" s="528" t="n"/>
      <c r="BM56" s="528" t="n"/>
      <c r="BN56" s="528" t="n"/>
      <c r="BO56" s="528" t="n"/>
      <c r="BP56" s="528" t="n"/>
      <c r="BQ56" s="528" t="n"/>
      <c r="BR56" s="528" t="n"/>
      <c r="BS56" s="528" t="n"/>
      <c r="BT56" s="528" t="n"/>
      <c r="BU56" s="528" t="n"/>
      <c r="BV56" s="528" t="n"/>
      <c r="BW56" s="21">
        <f>BU56*BV56</f>
        <v/>
      </c>
      <c r="BX56" s="528" t="n"/>
      <c r="BY56" s="528" t="n"/>
      <c r="BZ56" s="528" t="n"/>
      <c r="CA56" s="21">
        <f>BY56*BZ56</f>
        <v/>
      </c>
      <c r="CB56" s="528" t="n"/>
      <c r="CC56" s="528" t="n"/>
      <c r="CD56" s="528" t="n"/>
      <c r="CE56" s="21">
        <f>CC56*CD56</f>
        <v/>
      </c>
    </row>
    <row r="57" ht="18" customFormat="1" customHeight="1" s="538">
      <c r="A57" s="450" t="inlineStr">
        <is>
          <t xml:space="preserve">Łącznie </t>
        </is>
      </c>
      <c r="B57" s="451" t="n"/>
      <c r="C57" s="353" t="n"/>
      <c r="D57" s="333" t="n"/>
      <c r="E57" s="451" t="n"/>
      <c r="F57" s="333" t="n"/>
      <c r="G57" s="333" t="n"/>
      <c r="H57" s="333" t="n"/>
      <c r="I57" s="333" t="n"/>
      <c r="J57" s="333" t="n"/>
      <c r="K57" s="333" t="n"/>
      <c r="L57" s="333" t="n"/>
      <c r="M57" s="333" t="n"/>
      <c r="N57" s="333" t="n"/>
      <c r="O57" s="333" t="n"/>
      <c r="P57" s="333" t="n"/>
      <c r="Q57" s="333" t="n"/>
      <c r="R57" s="333" t="n"/>
      <c r="S57" s="333" t="n"/>
      <c r="T57" s="333" t="n"/>
      <c r="U57" s="333" t="n"/>
      <c r="V57" s="333" t="n"/>
      <c r="W57" s="333" t="n"/>
      <c r="X57" s="333" t="n"/>
      <c r="Y57" s="333" t="n"/>
      <c r="Z57" s="333" t="n"/>
      <c r="AA57" s="333" t="n"/>
      <c r="AB57" s="333" t="n"/>
      <c r="AC57" s="333" t="n"/>
      <c r="AD57" s="333" t="n"/>
      <c r="AE57" s="333" t="n"/>
      <c r="AF57" s="333" t="n"/>
      <c r="AG57" s="585">
        <f>SUM(AG$3:AG56)</f>
        <v/>
      </c>
      <c r="AH57" s="586">
        <f>SUM(AH$3:AH56)</f>
        <v/>
      </c>
      <c r="AI57" s="586">
        <f>SUM(AI$3:AI56)</f>
        <v/>
      </c>
      <c r="AJ57" s="586">
        <f>SUM(AJ$3:AJ56)</f>
        <v/>
      </c>
      <c r="AK57" s="586">
        <f>SUM(AK$3:AK56)</f>
        <v/>
      </c>
      <c r="AL57" s="586">
        <f>SUM(AL$3:AL56)</f>
        <v/>
      </c>
      <c r="AM57" s="586">
        <f>SUM(AM$3:AM56)</f>
        <v/>
      </c>
      <c r="AN57" s="586">
        <f>SUM(AN$3:AN56)</f>
        <v/>
      </c>
      <c r="AO57" s="587">
        <f>SUM(AO$3:AO56)</f>
        <v/>
      </c>
      <c r="AP57" s="579">
        <f>SUM(AP$3:AP56)</f>
        <v/>
      </c>
      <c r="AQ57" s="580">
        <f>SUM(AQ$3:AQ56)</f>
        <v/>
      </c>
      <c r="AR57" s="580">
        <f>SUM(AR$3:AR56)</f>
        <v/>
      </c>
      <c r="AS57" s="581">
        <f>SUM(AS$3:AS56)</f>
        <v/>
      </c>
      <c r="AT57" s="572">
        <f>SUM(AT$3:AT56)</f>
        <v/>
      </c>
      <c r="AU57" s="573">
        <f>SUM(AU$3:AU56)</f>
        <v/>
      </c>
      <c r="AV57" s="573">
        <f>SUM(AV$3:AV56)</f>
        <v/>
      </c>
      <c r="AW57" s="574">
        <f>SUM(AW$3:AW56)</f>
        <v/>
      </c>
      <c r="AX57" s="684">
        <f>SUM(AX$3:AX56)</f>
        <v/>
      </c>
      <c r="AY57" s="333" t="n"/>
      <c r="AZ57" s="333" t="n"/>
      <c r="BA57" s="333" t="n"/>
      <c r="BB57" s="333" t="n"/>
      <c r="BC57" s="333" t="n"/>
      <c r="BD57" s="333" t="n"/>
      <c r="BE57" s="333" t="n"/>
      <c r="BF57" s="333" t="n"/>
      <c r="BG57" s="333" t="n"/>
      <c r="BH57" s="333" t="n"/>
      <c r="BI57" s="333" t="n"/>
      <c r="BJ57" s="333" t="n"/>
      <c r="BK57" s="333" t="n"/>
      <c r="BL57" s="333" t="n"/>
      <c r="BM57" s="333" t="n"/>
      <c r="BN57" s="333" t="n"/>
      <c r="BO57" s="333" t="n"/>
      <c r="BP57" s="333" t="n"/>
      <c r="BQ57" s="333" t="n"/>
      <c r="BR57" s="333" t="n"/>
      <c r="BS57" s="333" t="n"/>
      <c r="BT57" s="333" t="n"/>
      <c r="BU57" s="333" t="n"/>
      <c r="BV57" s="333" t="n"/>
      <c r="BW57" s="333" t="n"/>
      <c r="BX57" s="333" t="n"/>
      <c r="BY57" s="333" t="n"/>
      <c r="BZ57" s="333" t="n"/>
      <c r="CA57" s="333" t="n"/>
      <c r="CB57" s="333" t="n"/>
      <c r="CC57" s="333" t="n"/>
      <c r="CD57" s="333" t="n"/>
      <c r="CE57" s="333" t="n"/>
      <c r="CF57" s="333" t="n"/>
      <c r="CG57" s="333" t="n"/>
    </row>
    <row r="58" customFormat="1" s="538">
      <c r="A58" s="358" t="n"/>
      <c r="B58" s="358" t="n"/>
      <c r="C58" s="344" t="n"/>
      <c r="D58" s="345" t="n"/>
      <c r="E58" s="346" t="n"/>
      <c r="F58" s="336" t="n"/>
      <c r="G58" s="336" t="n"/>
      <c r="H58" s="336" t="n"/>
      <c r="I58" s="336" t="n"/>
      <c r="J58" s="336" t="n"/>
      <c r="K58" s="336" t="n"/>
      <c r="L58" s="336" t="n"/>
      <c r="M58" s="336" t="n"/>
      <c r="N58" s="336" t="n"/>
      <c r="O58" s="336" t="n"/>
      <c r="P58" s="336" t="n"/>
      <c r="Q58" s="336" t="n"/>
      <c r="R58" s="336" t="n"/>
      <c r="S58" s="336" t="n"/>
      <c r="T58" s="336" t="n"/>
      <c r="U58" s="336" t="n"/>
      <c r="V58" s="336" t="n"/>
      <c r="W58" s="336" t="n"/>
      <c r="X58" s="336" t="n"/>
      <c r="Y58" s="336" t="n"/>
      <c r="Z58" s="336" t="n"/>
      <c r="AA58" s="336" t="n"/>
      <c r="AB58" s="336" t="n"/>
      <c r="AC58" s="357" t="n"/>
      <c r="AD58" s="357" t="n"/>
      <c r="AE58" s="357" t="n"/>
      <c r="AF58" s="357" t="n"/>
      <c r="AG58" s="588">
        <f>Listy!$AA$1&amp;AG57/20</f>
        <v/>
      </c>
      <c r="AH58" s="589">
        <f>Listy!$AA$1&amp;AH57/20</f>
        <v/>
      </c>
      <c r="AI58" s="589">
        <f>Listy!$AA$1&amp;AI57/20</f>
        <v/>
      </c>
      <c r="AJ58" s="589">
        <f>Listy!$AA$1&amp;AJ57/20</f>
        <v/>
      </c>
      <c r="AK58" s="589">
        <f>Listy!$AA$1&amp;AK57/20</f>
        <v/>
      </c>
      <c r="AL58" s="589">
        <f>Listy!$AA$1&amp;AL57/20</f>
        <v/>
      </c>
      <c r="AM58" s="589">
        <f>Listy!$AA$1&amp;AM57/20</f>
        <v/>
      </c>
      <c r="AN58" s="589">
        <f>Listy!$AA$1&amp;AN57/20</f>
        <v/>
      </c>
      <c r="AO58" s="590">
        <f>Listy!$AA$1&amp;AO57/20</f>
        <v/>
      </c>
      <c r="AP58" s="582">
        <f>Listy!$AA$1&amp;AP57/20</f>
        <v/>
      </c>
      <c r="AQ58" s="583">
        <f>Listy!$AA$1&amp;AQ57/20</f>
        <v/>
      </c>
      <c r="AR58" s="583">
        <f>Listy!$AA$1&amp;AR57/20</f>
        <v/>
      </c>
      <c r="AS58" s="584">
        <f>Listy!$AA$1&amp;AS57/20</f>
        <v/>
      </c>
      <c r="AT58" s="575">
        <f>Listy!$AA$1&amp;AT57/20</f>
        <v/>
      </c>
      <c r="AU58" s="576">
        <f>Listy!$AA$1&amp;AU57/20</f>
        <v/>
      </c>
      <c r="AV58" s="576">
        <f>Listy!$AA$1&amp;AV57/20</f>
        <v/>
      </c>
      <c r="AW58" s="577">
        <f>Listy!$AA$1&amp;AW57/20</f>
        <v/>
      </c>
      <c r="AX58" s="591">
        <f>Listy!$AA$1&amp;AX57/20</f>
        <v/>
      </c>
      <c r="AY58" s="336" t="n"/>
      <c r="AZ58" s="336" t="n"/>
      <c r="BA58" s="336" t="n"/>
      <c r="BB58" s="336" t="n"/>
      <c r="BC58" s="336" t="n"/>
      <c r="BD58" s="336" t="n"/>
      <c r="BE58" s="336" t="n"/>
      <c r="BF58" s="336" t="n"/>
      <c r="BG58" s="336" t="n"/>
      <c r="BH58" s="336" t="n"/>
      <c r="BI58" s="336" t="n"/>
      <c r="BJ58" s="336" t="n"/>
      <c r="BK58" s="336" t="n"/>
      <c r="BL58" s="336" t="n"/>
      <c r="BM58" s="336" t="n"/>
      <c r="BN58" s="336" t="n"/>
      <c r="BO58" s="336" t="n"/>
      <c r="BP58" s="336" t="n"/>
      <c r="BQ58" s="336" t="n"/>
      <c r="BR58" s="336" t="n"/>
      <c r="BS58" s="336" t="n"/>
      <c r="BT58" s="336" t="n"/>
      <c r="BU58" s="336" t="n"/>
      <c r="BV58" s="336" t="n"/>
      <c r="BW58" s="336" t="n"/>
      <c r="BX58" s="336" t="n"/>
      <c r="BY58" s="336" t="n"/>
      <c r="BZ58" s="336" t="n"/>
      <c r="CA58" s="336" t="n"/>
      <c r="CB58" s="336" t="n"/>
      <c r="CC58" s="336" t="n"/>
      <c r="CD58" s="336" t="n"/>
      <c r="CE58" s="336" t="n"/>
      <c r="CF58" s="361" t="n"/>
    </row>
    <row r="59" customFormat="1" s="538">
      <c r="A59" s="350" t="n"/>
      <c r="B59" s="350" t="n"/>
      <c r="C59" s="353" t="n"/>
      <c r="D59" s="333" t="n"/>
      <c r="E59" s="332" t="n"/>
      <c r="F59" s="336" t="n"/>
      <c r="G59" s="336" t="n"/>
      <c r="H59" s="335" t="n"/>
      <c r="I59" s="336" t="n"/>
      <c r="J59" s="336" t="n"/>
      <c r="K59" s="336" t="n"/>
      <c r="L59" s="336" t="n"/>
      <c r="M59" s="336" t="n"/>
      <c r="N59" s="336" t="n"/>
      <c r="O59" s="336" t="n"/>
      <c r="P59" s="336" t="n"/>
      <c r="Q59" s="336" t="n"/>
      <c r="R59" s="336" t="n"/>
      <c r="S59" s="336" t="n"/>
      <c r="T59" s="336" t="n"/>
      <c r="U59" s="336" t="n"/>
      <c r="V59" s="336" t="n"/>
      <c r="W59" s="336" t="n"/>
      <c r="X59" s="336" t="n"/>
      <c r="Y59" s="336" t="n"/>
      <c r="Z59" s="336" t="n"/>
      <c r="AA59" s="336" t="n"/>
      <c r="AB59" s="430" t="n"/>
      <c r="AC59" s="338" t="n"/>
      <c r="AD59" s="338" t="n"/>
      <c r="AE59" s="338" t="n"/>
      <c r="AF59" s="338" t="n"/>
      <c r="AG59" s="339" t="n"/>
      <c r="AH59" s="339" t="n"/>
      <c r="AI59" s="339" t="n"/>
      <c r="AJ59" s="339" t="n"/>
      <c r="AK59" s="339" t="n"/>
      <c r="AL59" s="339" t="n"/>
      <c r="AM59" s="339" t="n"/>
      <c r="AN59" s="339" t="n"/>
      <c r="AO59" s="339" t="n"/>
      <c r="AP59" s="339" t="n"/>
      <c r="AQ59" s="339" t="n"/>
      <c r="AR59" s="339" t="n"/>
      <c r="AS59" s="339" t="n"/>
      <c r="AT59" s="339" t="n"/>
      <c r="AU59" s="339" t="n"/>
      <c r="AV59" s="339" t="n"/>
      <c r="AW59" s="339" t="n"/>
      <c r="AX59" s="430" t="n"/>
      <c r="AY59" s="336" t="n"/>
      <c r="AZ59" s="336" t="n"/>
      <c r="BA59" s="336" t="n"/>
      <c r="BB59" s="336" t="n"/>
      <c r="BC59" s="336" t="n"/>
      <c r="BD59" s="336" t="n"/>
      <c r="BE59" s="336" t="n"/>
      <c r="BF59" s="336" t="n"/>
      <c r="BG59" s="336" t="n"/>
      <c r="BH59" s="336" t="n"/>
      <c r="BI59" s="336" t="n"/>
      <c r="BJ59" s="336" t="n"/>
      <c r="BK59" s="336" t="n"/>
      <c r="BL59" s="336" t="n"/>
      <c r="BM59" s="336" t="n"/>
      <c r="BN59" s="336" t="n"/>
      <c r="BO59" s="336" t="n"/>
      <c r="BP59" s="336" t="n"/>
      <c r="BQ59" s="336" t="n"/>
      <c r="BR59" s="336" t="n"/>
      <c r="BS59" s="336" t="n"/>
      <c r="BT59" s="336" t="n"/>
      <c r="BU59" s="336" t="n"/>
      <c r="BV59" s="336" t="n"/>
      <c r="BW59" s="336" t="n"/>
      <c r="BX59" s="336" t="n"/>
      <c r="BY59" s="336" t="n"/>
      <c r="BZ59" s="336" t="n"/>
      <c r="CA59" s="336" t="n"/>
      <c r="CB59" s="336" t="n"/>
      <c r="CC59" s="336" t="n"/>
      <c r="CD59" s="336" t="n"/>
      <c r="CE59" s="336" t="n"/>
    </row>
    <row r="60" customFormat="1" s="538">
      <c r="A60" s="350" t="n"/>
      <c r="B60" s="350" t="n"/>
      <c r="C60" s="353" t="n"/>
      <c r="D60" s="333" t="n"/>
      <c r="E60" s="332" t="n"/>
      <c r="F60" s="336" t="n"/>
      <c r="G60" s="336" t="n"/>
      <c r="H60" s="335" t="n"/>
      <c r="I60" s="336" t="n"/>
      <c r="J60" s="336" t="n"/>
      <c r="K60" s="336" t="n"/>
      <c r="L60" s="336" t="n"/>
      <c r="M60" s="336" t="n"/>
      <c r="N60" s="336" t="n"/>
      <c r="O60" s="336" t="n"/>
      <c r="P60" s="336" t="n"/>
      <c r="Q60" s="336" t="n"/>
      <c r="R60" s="336" t="n"/>
      <c r="S60" s="336" t="n"/>
      <c r="T60" s="336" t="n"/>
      <c r="U60" s="336" t="n"/>
      <c r="V60" s="336" t="n"/>
      <c r="W60" s="336" t="n"/>
      <c r="X60" s="336" t="n"/>
      <c r="Y60" s="336" t="n"/>
      <c r="Z60" s="336" t="n"/>
      <c r="AA60" s="336" t="n"/>
      <c r="AB60" s="430" t="n"/>
      <c r="AC60" s="338" t="n"/>
      <c r="AD60" s="338" t="n"/>
      <c r="AE60" s="338" t="n"/>
      <c r="AF60" s="338" t="n"/>
      <c r="AG60" s="339" t="n"/>
      <c r="AH60" s="339" t="n"/>
      <c r="AI60" s="339" t="n"/>
      <c r="AJ60" s="339" t="n"/>
      <c r="AK60" s="339" t="n"/>
      <c r="AL60" s="339" t="n"/>
      <c r="AM60" s="339" t="n"/>
      <c r="AN60" s="339" t="n"/>
      <c r="AO60" s="339" t="n"/>
      <c r="AP60" s="339" t="n"/>
      <c r="AQ60" s="339" t="n"/>
      <c r="AR60" s="339" t="n"/>
      <c r="AS60" s="339" t="n"/>
      <c r="AT60" s="339" t="n"/>
      <c r="AU60" s="339" t="n"/>
      <c r="AV60" s="339" t="n"/>
      <c r="AW60" s="339" t="n"/>
      <c r="AX60" s="430" t="n"/>
      <c r="AY60" s="336" t="n"/>
      <c r="AZ60" s="336" t="n"/>
      <c r="BA60" s="336" t="n"/>
      <c r="BB60" s="336" t="n"/>
      <c r="BC60" s="336" t="n"/>
      <c r="BD60" s="336" t="n"/>
      <c r="BE60" s="336" t="n"/>
      <c r="BF60" s="336" t="n"/>
      <c r="BG60" s="336" t="n"/>
      <c r="BH60" s="336" t="n"/>
      <c r="BI60" s="336" t="n"/>
      <c r="BJ60" s="336" t="n"/>
      <c r="BK60" s="336" t="n"/>
      <c r="BL60" s="336" t="n"/>
      <c r="BM60" s="336" t="n"/>
      <c r="BN60" s="336" t="n"/>
      <c r="BO60" s="336" t="n"/>
      <c r="BP60" s="336" t="n"/>
      <c r="BQ60" s="336" t="n"/>
      <c r="BR60" s="336" t="n"/>
      <c r="BS60" s="336" t="n"/>
      <c r="BT60" s="336" t="n"/>
      <c r="BU60" s="336" t="n"/>
      <c r="BV60" s="336" t="n"/>
      <c r="BW60" s="336" t="n"/>
      <c r="BX60" s="336" t="n"/>
      <c r="BY60" s="336" t="n"/>
      <c r="BZ60" s="336" t="n"/>
      <c r="CA60" s="336" t="n"/>
      <c r="CB60" s="336" t="n"/>
      <c r="CC60" s="336" t="n"/>
      <c r="CD60" s="336" t="n"/>
      <c r="CE60" s="336" t="n"/>
    </row>
    <row r="61" customFormat="1" s="538">
      <c r="A61" s="350" t="n"/>
      <c r="B61" s="350" t="n"/>
      <c r="C61" s="353" t="n"/>
      <c r="D61" s="333" t="n"/>
      <c r="E61" s="332" t="n"/>
      <c r="F61" s="336" t="n"/>
      <c r="G61" s="336" t="n"/>
      <c r="H61" s="335" t="n"/>
      <c r="I61" s="336" t="n"/>
      <c r="J61" s="336" t="n"/>
      <c r="K61" s="336" t="n"/>
      <c r="L61" s="336" t="n"/>
      <c r="M61" s="336" t="n"/>
      <c r="N61" s="336" t="n"/>
      <c r="O61" s="336" t="n"/>
      <c r="P61" s="336" t="n"/>
      <c r="Q61" s="336" t="n"/>
      <c r="R61" s="336" t="n"/>
      <c r="S61" s="336" t="n"/>
      <c r="T61" s="336" t="n"/>
      <c r="U61" s="336" t="n"/>
      <c r="V61" s="336" t="n"/>
      <c r="W61" s="336" t="n"/>
      <c r="X61" s="336" t="n"/>
      <c r="Y61" s="336" t="n"/>
      <c r="Z61" s="336" t="n"/>
      <c r="AA61" s="336" t="n"/>
      <c r="AB61" s="685" t="n"/>
      <c r="AC61" s="338" t="n"/>
      <c r="AD61" s="338" t="n"/>
      <c r="AE61" s="338" t="n"/>
      <c r="AF61" s="338" t="n"/>
      <c r="AG61" s="339" t="n"/>
      <c r="AH61" s="339" t="n"/>
      <c r="AI61" s="339" t="n"/>
      <c r="AJ61" s="339" t="n"/>
      <c r="AK61" s="339" t="n"/>
      <c r="AL61" s="339" t="n"/>
      <c r="AM61" s="339" t="n"/>
      <c r="AN61" s="339" t="n"/>
      <c r="AO61" s="339" t="n"/>
      <c r="AP61" s="339" t="n"/>
      <c r="AQ61" s="339" t="n"/>
      <c r="AR61" s="339" t="n"/>
      <c r="AS61" s="339" t="n"/>
      <c r="AT61" s="339" t="n"/>
      <c r="AU61" s="339" t="n"/>
      <c r="AV61" s="339" t="n"/>
      <c r="AW61" s="339" t="n"/>
      <c r="AX61" s="430" t="n"/>
      <c r="AY61" s="336" t="n"/>
      <c r="AZ61" s="336" t="n"/>
      <c r="BA61" s="336" t="n"/>
      <c r="BB61" s="336" t="n"/>
      <c r="BC61" s="336" t="n"/>
      <c r="BD61" s="336" t="n"/>
      <c r="BE61" s="336" t="n"/>
      <c r="BF61" s="336" t="n"/>
      <c r="BG61" s="336" t="n"/>
      <c r="BH61" s="336" t="n"/>
      <c r="BI61" s="336" t="n"/>
      <c r="BJ61" s="336" t="n"/>
      <c r="BK61" s="336" t="n"/>
      <c r="BL61" s="336" t="n"/>
      <c r="BM61" s="336" t="n"/>
      <c r="BN61" s="336" t="n"/>
      <c r="BO61" s="336" t="n"/>
      <c r="BP61" s="336" t="n"/>
      <c r="BQ61" s="336" t="n"/>
      <c r="BR61" s="336" t="n"/>
      <c r="BS61" s="336" t="n"/>
      <c r="BT61" s="336" t="n"/>
      <c r="BU61" s="336" t="n"/>
      <c r="BV61" s="336" t="n"/>
      <c r="BW61" s="336" t="n"/>
      <c r="BX61" s="336" t="n"/>
      <c r="BY61" s="336" t="n"/>
      <c r="BZ61" s="336" t="n"/>
      <c r="CA61" s="336" t="n"/>
      <c r="CB61" s="336" t="n"/>
      <c r="CC61" s="336" t="n"/>
      <c r="CD61" s="336" t="n"/>
      <c r="CE61" s="336" t="n"/>
    </row>
    <row r="62" customFormat="1" s="538">
      <c r="A62" s="350" t="n"/>
      <c r="B62" s="350" t="n"/>
      <c r="C62" s="353" t="n"/>
      <c r="D62" s="333" t="n"/>
      <c r="E62" s="354" t="n"/>
      <c r="F62" s="336" t="n"/>
      <c r="G62" s="336" t="n"/>
      <c r="H62" s="335" t="n"/>
      <c r="I62" s="336" t="n"/>
      <c r="J62" s="336" t="n"/>
      <c r="K62" s="336" t="n"/>
      <c r="L62" s="336" t="n"/>
      <c r="M62" s="336" t="n"/>
      <c r="N62" s="336" t="n"/>
      <c r="O62" s="336" t="n"/>
      <c r="P62" s="336" t="n"/>
      <c r="Q62" s="336" t="n"/>
      <c r="R62" s="336" t="n"/>
      <c r="S62" s="336" t="n"/>
      <c r="T62" s="336" t="n"/>
      <c r="U62" s="336" t="n"/>
      <c r="V62" s="336" t="n"/>
      <c r="W62" s="336" t="n"/>
      <c r="X62" s="336" t="n"/>
      <c r="Y62" s="336" t="n"/>
      <c r="Z62" s="336" t="n"/>
      <c r="AA62" s="336" t="n"/>
      <c r="AB62" s="430" t="n"/>
      <c r="AC62" s="338" t="n"/>
      <c r="AD62" s="338" t="n"/>
      <c r="AE62" s="338" t="n"/>
      <c r="AF62" s="338" t="n"/>
      <c r="AG62" s="339" t="n"/>
      <c r="AH62" s="339" t="n"/>
      <c r="AI62" s="339" t="n"/>
      <c r="AJ62" s="339" t="n"/>
      <c r="AK62" s="339" t="n"/>
      <c r="AL62" s="339" t="n"/>
      <c r="AM62" s="339" t="n"/>
      <c r="AN62" s="339" t="n"/>
      <c r="AO62" s="339" t="n"/>
      <c r="AP62" s="339" t="n"/>
      <c r="AQ62" s="339" t="n"/>
      <c r="AR62" s="339" t="n"/>
      <c r="AS62" s="339" t="n"/>
      <c r="AT62" s="339" t="n"/>
      <c r="AU62" s="339" t="n"/>
      <c r="AV62" s="339" t="n"/>
      <c r="AW62" s="339" t="n"/>
      <c r="AX62" s="430" t="n"/>
      <c r="AY62" s="336" t="n"/>
      <c r="AZ62" s="336" t="n"/>
      <c r="BA62" s="336" t="n"/>
      <c r="BB62" s="336" t="n"/>
      <c r="BC62" s="336" t="n"/>
      <c r="BD62" s="336" t="n"/>
      <c r="BE62" s="336" t="n"/>
      <c r="BF62" s="336" t="n"/>
      <c r="BG62" s="336" t="n"/>
      <c r="BH62" s="336" t="n"/>
      <c r="BI62" s="336" t="n"/>
      <c r="BJ62" s="336" t="n"/>
      <c r="BK62" s="336" t="n"/>
      <c r="BL62" s="336" t="n"/>
      <c r="BM62" s="336" t="n"/>
      <c r="BN62" s="336" t="n"/>
      <c r="BO62" s="336" t="n"/>
      <c r="BP62" s="336" t="n"/>
      <c r="BQ62" s="336" t="n"/>
      <c r="BR62" s="336" t="n"/>
      <c r="BS62" s="336" t="n"/>
      <c r="BT62" s="336" t="n"/>
      <c r="BU62" s="336" t="n"/>
      <c r="BV62" s="336" t="n"/>
      <c r="BW62" s="336" t="n"/>
      <c r="BX62" s="336" t="n"/>
      <c r="BY62" s="336" t="n"/>
      <c r="BZ62" s="336" t="n"/>
      <c r="CA62" s="336" t="n"/>
      <c r="CB62" s="336" t="n"/>
      <c r="CC62" s="336" t="n"/>
      <c r="CD62" s="336" t="n"/>
      <c r="CE62" s="336" t="n"/>
    </row>
    <row r="63" customFormat="1" s="538">
      <c r="A63" s="342" t="n"/>
      <c r="B63" s="358" t="n"/>
      <c r="C63" s="344" t="n"/>
      <c r="D63" s="345" t="n"/>
      <c r="E63" s="346" t="n"/>
      <c r="F63" s="336" t="n"/>
      <c r="G63" s="336" t="n"/>
      <c r="H63" s="336" t="n"/>
      <c r="I63" s="336" t="n"/>
      <c r="J63" s="336" t="n"/>
      <c r="K63" s="336" t="n"/>
      <c r="L63" s="336" t="n"/>
      <c r="M63" s="336" t="n"/>
      <c r="N63" s="336" t="n"/>
      <c r="O63" s="336" t="n"/>
      <c r="P63" s="357" t="n"/>
      <c r="Q63" s="357" t="n"/>
      <c r="R63" s="357" t="n"/>
      <c r="S63" s="357" t="n"/>
      <c r="T63" s="357" t="n"/>
      <c r="U63" s="357" t="n"/>
      <c r="V63" s="357" t="n"/>
      <c r="W63" s="357" t="n"/>
      <c r="X63" s="357" t="n"/>
      <c r="Y63" s="357" t="n"/>
      <c r="Z63" s="357" t="n"/>
      <c r="AA63" s="357" t="n"/>
      <c r="AB63" s="336" t="n"/>
      <c r="AC63" s="338" t="n"/>
      <c r="AD63" s="338" t="n"/>
      <c r="AE63" s="338" t="n"/>
      <c r="AF63" s="338" t="n"/>
      <c r="AG63" s="339" t="n"/>
      <c r="AH63" s="339" t="n"/>
      <c r="AI63" s="339" t="n"/>
      <c r="AJ63" s="339" t="n"/>
      <c r="AK63" s="339" t="n"/>
      <c r="AL63" s="339" t="n"/>
      <c r="AM63" s="339" t="n"/>
      <c r="AN63" s="339" t="n"/>
      <c r="AO63" s="339" t="n"/>
      <c r="AP63" s="339" t="n"/>
      <c r="AQ63" s="339" t="n"/>
      <c r="AR63" s="339" t="n"/>
      <c r="AS63" s="339" t="n"/>
      <c r="AT63" s="339" t="n"/>
      <c r="AU63" s="339" t="n"/>
      <c r="AV63" s="339" t="n"/>
      <c r="AW63" s="339" t="n"/>
      <c r="AX63" s="357" t="n"/>
      <c r="AY63" s="336" t="n"/>
      <c r="AZ63" s="336" t="n"/>
      <c r="BA63" s="336" t="n"/>
      <c r="BB63" s="336" t="n"/>
      <c r="BC63" s="336" t="n"/>
      <c r="BD63" s="336" t="n"/>
      <c r="BE63" s="336" t="n"/>
      <c r="BF63" s="336" t="n"/>
      <c r="BG63" s="336" t="n"/>
      <c r="BH63" s="336" t="n"/>
      <c r="BI63" s="336" t="n"/>
      <c r="BJ63" s="336" t="n"/>
      <c r="BK63" s="336" t="n"/>
      <c r="BL63" s="336" t="n"/>
      <c r="BM63" s="336" t="n"/>
      <c r="BN63" s="336" t="n"/>
      <c r="BO63" s="336" t="n"/>
      <c r="BP63" s="336" t="n"/>
      <c r="BQ63" s="336" t="n"/>
      <c r="BR63" s="336" t="n"/>
      <c r="BS63" s="336" t="n"/>
      <c r="BT63" s="336" t="n"/>
      <c r="BU63" s="336" t="n"/>
      <c r="BV63" s="336" t="n"/>
      <c r="BW63" s="336" t="n"/>
      <c r="BX63" s="336" t="n"/>
      <c r="BY63" s="336" t="n"/>
      <c r="BZ63" s="336" t="n"/>
      <c r="CA63" s="336" t="n"/>
      <c r="CB63" s="336" t="n"/>
      <c r="CC63" s="336" t="n"/>
      <c r="CD63" s="336" t="n"/>
      <c r="CE63" s="336" t="n"/>
      <c r="CF63" s="361" t="n"/>
    </row>
    <row r="64" customFormat="1" s="538">
      <c r="A64" s="349" t="n"/>
      <c r="B64" s="350" t="n"/>
      <c r="C64" s="353" t="n"/>
      <c r="D64" s="333" t="n"/>
      <c r="E64" s="332" t="n"/>
      <c r="F64" s="336" t="n"/>
      <c r="G64" s="336" t="n"/>
      <c r="H64" s="335" t="n"/>
      <c r="I64" s="336" t="n"/>
      <c r="J64" s="336" t="n"/>
      <c r="K64" s="336" t="n"/>
      <c r="L64" s="336" t="n"/>
      <c r="M64" s="336" t="n"/>
      <c r="N64" s="336" t="n"/>
      <c r="O64" s="336" t="n"/>
      <c r="P64" s="430" t="n"/>
      <c r="Q64" s="430" t="n"/>
      <c r="R64" s="430" t="n"/>
      <c r="S64" s="430" t="n"/>
      <c r="T64" s="430" t="n"/>
      <c r="U64" s="430" t="n"/>
      <c r="V64" s="430" t="n"/>
      <c r="W64" s="430" t="n"/>
      <c r="X64" s="430" t="n"/>
      <c r="Y64" s="430" t="n"/>
      <c r="Z64" s="430" t="n"/>
      <c r="AA64" s="430" t="n"/>
      <c r="AB64" s="430" t="n"/>
      <c r="AC64" s="338" t="n"/>
      <c r="AD64" s="338" t="n"/>
      <c r="AE64" s="338" t="n"/>
      <c r="AF64" s="338" t="n"/>
      <c r="AG64" s="339" t="n"/>
      <c r="AH64" s="339" t="n"/>
      <c r="AI64" s="339" t="n"/>
      <c r="AJ64" s="339" t="n"/>
      <c r="AK64" s="339" t="n"/>
      <c r="AL64" s="339" t="n"/>
      <c r="AM64" s="339" t="n"/>
      <c r="AN64" s="339" t="n"/>
      <c r="AO64" s="339" t="n"/>
      <c r="AP64" s="339" t="n"/>
      <c r="AQ64" s="339" t="n"/>
      <c r="AR64" s="339" t="n"/>
      <c r="AS64" s="339" t="n"/>
      <c r="AT64" s="339" t="n"/>
      <c r="AU64" s="339" t="n"/>
      <c r="AV64" s="339" t="n"/>
      <c r="AW64" s="339" t="n"/>
      <c r="AX64" s="430" t="n"/>
      <c r="AY64" s="336" t="n"/>
      <c r="AZ64" s="336" t="n"/>
      <c r="BA64" s="336" t="n"/>
      <c r="BB64" s="336" t="n"/>
      <c r="BC64" s="336" t="n"/>
      <c r="BD64" s="336" t="n"/>
      <c r="BE64" s="336" t="n"/>
      <c r="BF64" s="336" t="n"/>
      <c r="BG64" s="336" t="n"/>
      <c r="BH64" s="336" t="n"/>
      <c r="BI64" s="336" t="n"/>
      <c r="BJ64" s="336" t="n"/>
      <c r="BK64" s="336" t="n"/>
      <c r="BL64" s="336" t="n"/>
      <c r="BM64" s="336" t="n"/>
      <c r="BN64" s="336" t="n"/>
      <c r="BO64" s="336" t="n"/>
      <c r="BP64" s="336" t="n"/>
      <c r="BQ64" s="336" t="n"/>
      <c r="BR64" s="336" t="n"/>
      <c r="BS64" s="336" t="n"/>
      <c r="BT64" s="336" t="n"/>
      <c r="BU64" s="336" t="n"/>
      <c r="BV64" s="336" t="n"/>
      <c r="BW64" s="336" t="n"/>
      <c r="BX64" s="336" t="n"/>
      <c r="BY64" s="336" t="n"/>
      <c r="BZ64" s="336" t="n"/>
      <c r="CA64" s="336" t="n"/>
      <c r="CB64" s="336" t="n"/>
      <c r="CC64" s="336" t="n"/>
      <c r="CD64" s="336" t="n"/>
      <c r="CE64" s="336" t="n"/>
    </row>
    <row r="65" customFormat="1" s="538">
      <c r="A65" s="349" t="n"/>
      <c r="B65" s="350" t="n"/>
      <c r="C65" s="353" t="n"/>
      <c r="D65" s="333" t="n"/>
      <c r="E65" s="332" t="n"/>
      <c r="F65" s="336" t="n"/>
      <c r="G65" s="336" t="n"/>
      <c r="H65" s="335" t="n"/>
      <c r="I65" s="336" t="n"/>
      <c r="J65" s="336" t="n"/>
      <c r="K65" s="336" t="n"/>
      <c r="L65" s="336" t="n"/>
      <c r="M65" s="336" t="n"/>
      <c r="N65" s="336" t="n"/>
      <c r="O65" s="336" t="n"/>
      <c r="P65" s="430" t="n"/>
      <c r="Q65" s="430" t="n"/>
      <c r="R65" s="430" t="n"/>
      <c r="S65" s="430" t="n"/>
      <c r="T65" s="430" t="n"/>
      <c r="U65" s="430" t="n"/>
      <c r="V65" s="430" t="n"/>
      <c r="W65" s="430" t="n"/>
      <c r="X65" s="430" t="n"/>
      <c r="Y65" s="430" t="n"/>
      <c r="Z65" s="430" t="n"/>
      <c r="AA65" s="430" t="n"/>
      <c r="AB65" s="430" t="n"/>
      <c r="AC65" s="357" t="n"/>
      <c r="AD65" s="357" t="n"/>
      <c r="AE65" s="357" t="n"/>
      <c r="AF65" s="357" t="n"/>
      <c r="AG65" s="339" t="n"/>
      <c r="AH65" s="339" t="n"/>
      <c r="AI65" s="339" t="n"/>
      <c r="AJ65" s="339" t="n"/>
      <c r="AK65" s="339" t="n"/>
      <c r="AL65" s="339" t="n"/>
      <c r="AM65" s="339" t="n"/>
      <c r="AN65" s="339" t="n"/>
      <c r="AO65" s="339" t="n"/>
      <c r="AP65" s="339" t="n"/>
      <c r="AQ65" s="339" t="n"/>
      <c r="AR65" s="339" t="n"/>
      <c r="AS65" s="339" t="n"/>
      <c r="AT65" s="357" t="n"/>
      <c r="AU65" s="357" t="n"/>
      <c r="AV65" s="357" t="n"/>
      <c r="AW65" s="357" t="n"/>
      <c r="AX65" s="430" t="n"/>
      <c r="AY65" s="336" t="n"/>
      <c r="AZ65" s="336" t="n"/>
      <c r="BA65" s="336" t="n"/>
      <c r="BB65" s="336" t="n"/>
      <c r="BC65" s="336" t="n"/>
      <c r="BD65" s="336" t="n"/>
      <c r="BE65" s="336" t="n"/>
      <c r="BF65" s="336" t="n"/>
      <c r="BG65" s="336" t="n"/>
      <c r="BH65" s="336" t="n"/>
      <c r="BI65" s="336" t="n"/>
      <c r="BJ65" s="336" t="n"/>
      <c r="BK65" s="336" t="n"/>
      <c r="BL65" s="336" t="n"/>
      <c r="BM65" s="336" t="n"/>
      <c r="BN65" s="336" t="n"/>
      <c r="BO65" s="336" t="n"/>
      <c r="BP65" s="336" t="n"/>
      <c r="BQ65" s="336" t="n"/>
      <c r="BR65" s="336" t="n"/>
      <c r="BS65" s="336" t="n"/>
      <c r="BT65" s="336" t="n"/>
      <c r="BU65" s="336" t="n"/>
      <c r="BV65" s="336" t="n"/>
      <c r="BW65" s="336" t="n"/>
      <c r="BX65" s="336" t="n"/>
      <c r="BY65" s="336" t="n"/>
      <c r="BZ65" s="336" t="n"/>
      <c r="CA65" s="336" t="n"/>
      <c r="CB65" s="336" t="n"/>
      <c r="CC65" s="336" t="n"/>
      <c r="CD65" s="336" t="n"/>
      <c r="CE65" s="336" t="n"/>
    </row>
    <row r="66" customFormat="1" s="538">
      <c r="A66" s="358" t="n"/>
      <c r="B66" s="358" t="n"/>
      <c r="C66" s="344" t="n"/>
      <c r="D66" s="345" t="n"/>
      <c r="E66" s="346" t="n"/>
      <c r="F66" s="336" t="n"/>
      <c r="G66" s="336" t="n"/>
      <c r="H66" s="336" t="n"/>
      <c r="I66" s="336" t="n"/>
      <c r="J66" s="336" t="n"/>
      <c r="K66" s="336" t="n"/>
      <c r="L66" s="336" t="n"/>
      <c r="M66" s="336" t="n"/>
      <c r="N66" s="336" t="n"/>
      <c r="O66" s="336" t="n"/>
      <c r="P66" s="357" t="n"/>
      <c r="Q66" s="357" t="n"/>
      <c r="R66" s="357" t="n"/>
      <c r="S66" s="357" t="n"/>
      <c r="T66" s="357" t="n"/>
      <c r="U66" s="357" t="n"/>
      <c r="V66" s="357" t="n"/>
      <c r="W66" s="357" t="n"/>
      <c r="X66" s="357" t="n"/>
      <c r="Y66" s="357" t="n"/>
      <c r="Z66" s="357" t="n"/>
      <c r="AA66" s="357" t="n"/>
      <c r="AB66" s="336" t="n"/>
      <c r="AC66" s="338" t="n"/>
      <c r="AD66" s="338" t="n"/>
      <c r="AE66" s="338" t="n"/>
      <c r="AF66" s="338" t="n"/>
      <c r="AG66" s="339" t="n"/>
      <c r="AH66" s="339" t="n"/>
      <c r="AI66" s="339" t="n"/>
      <c r="AJ66" s="339" t="n"/>
      <c r="AK66" s="339" t="n"/>
      <c r="AL66" s="339" t="n"/>
      <c r="AM66" s="339" t="n"/>
      <c r="AN66" s="339" t="n"/>
      <c r="AO66" s="339" t="n"/>
      <c r="AP66" s="339" t="n"/>
      <c r="AQ66" s="339" t="n"/>
      <c r="AR66" s="339" t="n"/>
      <c r="AS66" s="339" t="n"/>
      <c r="AT66" s="339" t="n"/>
      <c r="AU66" s="339" t="n"/>
      <c r="AV66" s="339" t="n"/>
      <c r="AW66" s="339" t="n"/>
      <c r="AX66" s="357" t="n"/>
      <c r="AY66" s="336" t="n"/>
      <c r="AZ66" s="336" t="n"/>
      <c r="BA66" s="336" t="n"/>
      <c r="BB66" s="336" t="n"/>
      <c r="BC66" s="336" t="n"/>
      <c r="BD66" s="336" t="n"/>
      <c r="BE66" s="336" t="n"/>
      <c r="BF66" s="336" t="n"/>
      <c r="BG66" s="336" t="n"/>
      <c r="BH66" s="336" t="n"/>
      <c r="BI66" s="336" t="n"/>
      <c r="BJ66" s="336" t="n"/>
      <c r="BK66" s="336" t="n"/>
      <c r="BL66" s="336" t="n"/>
      <c r="BM66" s="336" t="n"/>
      <c r="BN66" s="336" t="n"/>
      <c r="BO66" s="336" t="n"/>
      <c r="BP66" s="336" t="n"/>
      <c r="BQ66" s="336" t="n"/>
      <c r="BR66" s="336" t="n"/>
      <c r="BS66" s="336" t="n"/>
      <c r="BT66" s="336" t="n"/>
      <c r="BU66" s="336" t="n"/>
      <c r="BV66" s="336" t="n"/>
      <c r="BW66" s="336" t="n"/>
      <c r="BX66" s="336" t="n"/>
      <c r="BY66" s="336" t="n"/>
      <c r="BZ66" s="336" t="n"/>
      <c r="CA66" s="336" t="n"/>
      <c r="CB66" s="336" t="n"/>
      <c r="CC66" s="336" t="n"/>
      <c r="CD66" s="336" t="n"/>
      <c r="CE66" s="336" t="n"/>
      <c r="CF66" s="361" t="n"/>
    </row>
    <row r="67" customFormat="1" s="538">
      <c r="A67" s="350" t="n"/>
      <c r="B67" s="350" t="n"/>
      <c r="C67" s="353" t="n"/>
      <c r="D67" s="333" t="n"/>
      <c r="E67" s="332" t="n"/>
      <c r="F67" s="336" t="n"/>
      <c r="G67" s="336" t="n"/>
      <c r="H67" s="335" t="n"/>
      <c r="I67" s="336" t="n"/>
      <c r="J67" s="336" t="n"/>
      <c r="K67" s="336" t="n"/>
      <c r="L67" s="336" t="n"/>
      <c r="M67" s="336" t="n"/>
      <c r="N67" s="336" t="n"/>
      <c r="O67" s="336" t="n"/>
      <c r="P67" s="430" t="n"/>
      <c r="Q67" s="430" t="n"/>
      <c r="R67" s="430" t="n"/>
      <c r="S67" s="430" t="n"/>
      <c r="T67" s="430" t="n"/>
      <c r="U67" s="430" t="n"/>
      <c r="V67" s="430" t="n"/>
      <c r="W67" s="430" t="n"/>
      <c r="X67" s="430" t="n"/>
      <c r="Y67" s="430" t="n"/>
      <c r="Z67" s="430" t="n"/>
      <c r="AA67" s="430" t="n"/>
      <c r="AB67" s="430" t="n"/>
      <c r="AC67" s="338" t="n"/>
      <c r="AD67" s="338" t="n"/>
      <c r="AE67" s="338" t="n"/>
      <c r="AF67" s="338" t="n"/>
      <c r="AG67" s="339" t="n"/>
      <c r="AH67" s="339" t="n"/>
      <c r="AI67" s="339" t="n"/>
      <c r="AJ67" s="339" t="n"/>
      <c r="AK67" s="339" t="n"/>
      <c r="AL67" s="339" t="n"/>
      <c r="AM67" s="339" t="n"/>
      <c r="AN67" s="339" t="n"/>
      <c r="AO67" s="339" t="n"/>
      <c r="AP67" s="339" t="n"/>
      <c r="AQ67" s="339" t="n"/>
      <c r="AR67" s="339" t="n"/>
      <c r="AS67" s="339" t="n"/>
      <c r="AT67" s="339" t="n"/>
      <c r="AU67" s="339" t="n"/>
      <c r="AV67" s="339" t="n"/>
      <c r="AW67" s="339" t="n"/>
      <c r="AX67" s="430" t="n"/>
      <c r="AY67" s="336" t="n"/>
      <c r="AZ67" s="336" t="n"/>
      <c r="BA67" s="336" t="n"/>
      <c r="BB67" s="336" t="n"/>
      <c r="BC67" s="336" t="n"/>
      <c r="BD67" s="336" t="n"/>
      <c r="BE67" s="336" t="n"/>
      <c r="BF67" s="336" t="n"/>
      <c r="BG67" s="336" t="n"/>
      <c r="BH67" s="336" t="n"/>
      <c r="BI67" s="336" t="n"/>
      <c r="BJ67" s="336" t="n"/>
      <c r="BK67" s="336" t="n"/>
      <c r="BL67" s="336" t="n"/>
      <c r="BM67" s="336" t="n"/>
      <c r="BN67" s="336" t="n"/>
      <c r="BO67" s="336" t="n"/>
      <c r="BP67" s="336" t="n"/>
      <c r="BQ67" s="336" t="n"/>
      <c r="BR67" s="336" t="n"/>
      <c r="BS67" s="336" t="n"/>
      <c r="BT67" s="336" t="n"/>
      <c r="BU67" s="336" t="n"/>
      <c r="BV67" s="336" t="n"/>
      <c r="BW67" s="336" t="n"/>
      <c r="BX67" s="336" t="n"/>
      <c r="BY67" s="336" t="n"/>
      <c r="BZ67" s="336" t="n"/>
      <c r="CA67" s="336" t="n"/>
      <c r="CB67" s="336" t="n"/>
      <c r="CC67" s="336" t="n"/>
      <c r="CD67" s="336" t="n"/>
      <c r="CE67" s="336" t="n"/>
    </row>
    <row r="68" customFormat="1" s="538">
      <c r="A68" s="350" t="n"/>
      <c r="B68" s="350" t="n"/>
      <c r="C68" s="353" t="n"/>
      <c r="D68" s="333" t="n"/>
      <c r="E68" s="332" t="n"/>
      <c r="F68" s="336" t="n"/>
      <c r="G68" s="336" t="n"/>
      <c r="H68" s="335" t="n"/>
      <c r="I68" s="336" t="n"/>
      <c r="J68" s="336" t="n"/>
      <c r="K68" s="336" t="n"/>
      <c r="L68" s="336" t="n"/>
      <c r="M68" s="336" t="n"/>
      <c r="N68" s="336" t="n"/>
      <c r="O68" s="336" t="n"/>
      <c r="P68" s="430" t="n"/>
      <c r="Q68" s="430" t="n"/>
      <c r="R68" s="430" t="n"/>
      <c r="S68" s="430" t="n"/>
      <c r="T68" s="430" t="n"/>
      <c r="U68" s="430" t="n"/>
      <c r="V68" s="430" t="n"/>
      <c r="W68" s="430" t="n"/>
      <c r="X68" s="430" t="n"/>
      <c r="Y68" s="430" t="n"/>
      <c r="Z68" s="430" t="n"/>
      <c r="AA68" s="430" t="n"/>
      <c r="AB68" s="430" t="n"/>
      <c r="AC68" s="338" t="n"/>
      <c r="AD68" s="338" t="n"/>
      <c r="AE68" s="338" t="n"/>
      <c r="AF68" s="338" t="n"/>
      <c r="AG68" s="339" t="n"/>
      <c r="AH68" s="339" t="n"/>
      <c r="AI68" s="339" t="n"/>
      <c r="AJ68" s="339" t="n"/>
      <c r="AK68" s="339" t="n"/>
      <c r="AL68" s="339" t="n"/>
      <c r="AM68" s="339" t="n"/>
      <c r="AN68" s="339" t="n"/>
      <c r="AO68" s="339" t="n"/>
      <c r="AP68" s="339" t="n"/>
      <c r="AQ68" s="339" t="n"/>
      <c r="AR68" s="339" t="n"/>
      <c r="AS68" s="339" t="n"/>
      <c r="AT68" s="339" t="n"/>
      <c r="AU68" s="339" t="n"/>
      <c r="AV68" s="339" t="n"/>
      <c r="AW68" s="339" t="n"/>
      <c r="AX68" s="430" t="n"/>
      <c r="AY68" s="336" t="n"/>
      <c r="AZ68" s="336" t="n"/>
      <c r="BA68" s="336" t="n"/>
      <c r="BB68" s="336" t="n"/>
      <c r="BC68" s="336" t="n"/>
      <c r="BD68" s="336" t="n"/>
      <c r="BE68" s="336" t="n"/>
      <c r="BF68" s="336" t="n"/>
      <c r="BG68" s="336" t="n"/>
      <c r="BH68" s="336" t="n"/>
      <c r="BI68" s="336" t="n"/>
      <c r="BJ68" s="336" t="n"/>
      <c r="BK68" s="336" t="n"/>
      <c r="BL68" s="336" t="n"/>
      <c r="BM68" s="336" t="n"/>
      <c r="BN68" s="336" t="n"/>
      <c r="BO68" s="336" t="n"/>
      <c r="BP68" s="336" t="n"/>
      <c r="BQ68" s="336" t="n"/>
      <c r="BR68" s="336" t="n"/>
      <c r="BS68" s="336" t="n"/>
      <c r="BT68" s="336" t="n"/>
      <c r="BU68" s="336" t="n"/>
      <c r="BV68" s="336" t="n"/>
      <c r="BW68" s="336" t="n"/>
      <c r="BX68" s="336" t="n"/>
      <c r="BY68" s="336" t="n"/>
      <c r="BZ68" s="336" t="n"/>
      <c r="CA68" s="336" t="n"/>
      <c r="CB68" s="336" t="n"/>
      <c r="CC68" s="336" t="n"/>
      <c r="CD68" s="336" t="n"/>
      <c r="CE68" s="336" t="n"/>
    </row>
    <row r="69" customFormat="1" s="538">
      <c r="A69" s="342" t="n"/>
      <c r="B69" s="358" t="n"/>
      <c r="C69" s="344" t="n"/>
      <c r="D69" s="345" t="n"/>
      <c r="E69" s="346" t="n"/>
      <c r="F69" s="336" t="n"/>
      <c r="G69" s="336" t="n"/>
      <c r="H69" s="335" t="n"/>
      <c r="I69" s="336" t="n"/>
      <c r="J69" s="336" t="n"/>
      <c r="K69" s="336" t="n"/>
      <c r="L69" s="336" t="n"/>
      <c r="M69" s="336" t="n"/>
      <c r="N69" s="336" t="n"/>
      <c r="O69" s="336" t="n"/>
      <c r="P69" s="430" t="n"/>
      <c r="Q69" s="430" t="n"/>
      <c r="R69" s="430" t="n"/>
      <c r="S69" s="430" t="n"/>
      <c r="T69" s="430" t="n"/>
      <c r="U69" s="430" t="n"/>
      <c r="V69" s="430" t="n"/>
      <c r="W69" s="430" t="n"/>
      <c r="X69" s="430" t="n"/>
      <c r="Y69" s="430" t="n"/>
      <c r="Z69" s="430" t="n"/>
      <c r="AA69" s="430" t="n"/>
      <c r="AB69" s="430" t="n"/>
      <c r="AC69" s="338" t="n"/>
      <c r="AD69" s="338" t="n"/>
      <c r="AE69" s="338" t="n"/>
      <c r="AF69" s="338" t="n"/>
      <c r="AG69" s="339" t="n"/>
      <c r="AH69" s="339" t="n"/>
      <c r="AI69" s="339" t="n"/>
      <c r="AJ69" s="339" t="n"/>
      <c r="AK69" s="339" t="n"/>
      <c r="AL69" s="339" t="n"/>
      <c r="AM69" s="339" t="n"/>
      <c r="AN69" s="339" t="n"/>
      <c r="AO69" s="339" t="n"/>
      <c r="AP69" s="339" t="n"/>
      <c r="AQ69" s="339" t="n"/>
      <c r="AR69" s="339" t="n"/>
      <c r="AS69" s="339" t="n"/>
      <c r="AT69" s="339" t="n"/>
      <c r="AU69" s="339" t="n"/>
      <c r="AV69" s="339" t="n"/>
      <c r="AW69" s="339" t="n"/>
      <c r="AX69" s="430" t="n"/>
      <c r="AY69" s="336" t="n"/>
      <c r="AZ69" s="336" t="n"/>
      <c r="BA69" s="336" t="n"/>
      <c r="BB69" s="336" t="n"/>
      <c r="BC69" s="336" t="n"/>
      <c r="BD69" s="336" t="n"/>
      <c r="BE69" s="336" t="n"/>
      <c r="BF69" s="336" t="n"/>
      <c r="BG69" s="336" t="n"/>
      <c r="BH69" s="336" t="n"/>
      <c r="BI69" s="336" t="n"/>
      <c r="BJ69" s="336" t="n"/>
      <c r="BK69" s="336" t="n"/>
      <c r="BL69" s="336" t="n"/>
      <c r="BM69" s="336" t="n"/>
      <c r="BN69" s="336" t="n"/>
      <c r="BO69" s="336" t="n"/>
      <c r="BP69" s="336" t="n"/>
      <c r="BQ69" s="336" t="n"/>
      <c r="BR69" s="336" t="n"/>
      <c r="BS69" s="336" t="n"/>
      <c r="BT69" s="336" t="n"/>
      <c r="BU69" s="336" t="n"/>
      <c r="BV69" s="336" t="n"/>
      <c r="BW69" s="336" t="n"/>
      <c r="BX69" s="336" t="n"/>
      <c r="BY69" s="336" t="n"/>
      <c r="BZ69" s="336" t="n"/>
      <c r="CA69" s="336" t="n"/>
      <c r="CB69" s="336" t="n"/>
      <c r="CC69" s="336" t="n"/>
      <c r="CD69" s="336" t="n"/>
      <c r="CE69" s="336" t="n"/>
      <c r="CF69" s="361" t="n"/>
    </row>
    <row r="70" ht="18" customFormat="1" customHeight="1" s="538">
      <c r="A70" s="660" t="n"/>
      <c r="G70" s="361" t="n"/>
      <c r="H70" s="361" t="n"/>
      <c r="AF70" s="362" t="n"/>
      <c r="AG70" s="362" t="n"/>
      <c r="AH70" s="362" t="n"/>
      <c r="AI70" s="362" t="n"/>
      <c r="AJ70" s="362" t="n"/>
      <c r="AK70" s="362" t="n"/>
      <c r="AL70" s="362" t="n"/>
      <c r="AM70" s="362" t="n"/>
      <c r="AN70" s="362" t="n"/>
      <c r="AO70" s="362" t="n"/>
      <c r="AP70" s="362" t="n"/>
      <c r="AQ70" s="362" t="n"/>
      <c r="AR70" s="362" t="n"/>
      <c r="AS70" s="362" t="n"/>
      <c r="AT70" s="362" t="n"/>
      <c r="AU70" s="362" t="n"/>
      <c r="AV70" s="362" t="n"/>
      <c r="AW70" s="362" t="n"/>
      <c r="AX70" s="358" t="n"/>
      <c r="AY70" s="362" t="n"/>
      <c r="AZ70" s="358" t="n"/>
      <c r="BA70" s="363" t="n"/>
      <c r="BB70" s="362" t="n"/>
      <c r="BI70" s="364" t="n"/>
      <c r="BL70" s="364" t="n"/>
      <c r="BO70" s="364" t="n"/>
      <c r="BR70" s="364" t="n"/>
      <c r="BS70" s="364" t="n"/>
      <c r="BW70" s="364" t="n"/>
      <c r="CA70" s="364" t="n"/>
      <c r="CE70" s="364" t="n"/>
    </row>
    <row r="71" customFormat="1" s="538">
      <c r="A71" s="351" t="n"/>
      <c r="B71" s="351" t="n"/>
      <c r="C71" s="351" t="n"/>
      <c r="D71" s="351" t="n"/>
      <c r="E71" s="351" t="n"/>
      <c r="F71" s="351" t="n"/>
      <c r="G71" s="351" t="n"/>
      <c r="H71" s="351" t="n"/>
      <c r="I71" s="351" t="n"/>
      <c r="J71" s="351" t="n"/>
      <c r="K71" s="351" t="n"/>
      <c r="L71" s="351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  <c r="Y71" s="351" t="n"/>
      <c r="Z71" s="351" t="n"/>
      <c r="AA71" s="351" t="n"/>
      <c r="AB71" s="351" t="n"/>
      <c r="AC71" s="351" t="n"/>
      <c r="AD71" s="351" t="n"/>
      <c r="AE71" s="351" t="n"/>
      <c r="AF71" s="351" t="n"/>
      <c r="AG71" s="351" t="n"/>
      <c r="AH71" s="351" t="n"/>
      <c r="AI71" s="351" t="n"/>
      <c r="AJ71" s="351" t="n"/>
      <c r="AK71" s="351" t="n"/>
      <c r="AL71" s="351" t="n"/>
      <c r="AM71" s="351" t="n"/>
      <c r="AN71" s="351" t="n"/>
      <c r="AO71" s="351" t="n"/>
      <c r="AP71" s="351" t="n"/>
      <c r="AQ71" s="351" t="n"/>
      <c r="AR71" s="351" t="n"/>
      <c r="AS71" s="351" t="n"/>
      <c r="AT71" s="351" t="n"/>
      <c r="AU71" s="351" t="n"/>
      <c r="AV71" s="351" t="n"/>
      <c r="AW71" s="351" t="n"/>
      <c r="CF71" s="361" t="n"/>
    </row>
    <row r="72" customFormat="1" s="538">
      <c r="A72" s="351" t="n"/>
      <c r="B72" s="351" t="n"/>
      <c r="C72" s="351" t="n"/>
      <c r="D72" s="352" t="n"/>
      <c r="E72" s="365" t="n"/>
      <c r="F72" s="361" t="n"/>
      <c r="G72" s="361" t="n"/>
      <c r="H72" s="361" t="n"/>
    </row>
    <row r="73" customFormat="1" s="538">
      <c r="A73" s="351" t="n"/>
      <c r="B73" s="351" t="n"/>
      <c r="C73" s="351" t="n"/>
      <c r="D73" s="352" t="n"/>
      <c r="E73" s="365" t="n"/>
    </row>
    <row r="74" customFormat="1" s="538">
      <c r="A74" s="351" t="n"/>
      <c r="B74" s="351" t="n"/>
      <c r="C74" s="351" t="n"/>
      <c r="D74" s="352" t="n"/>
      <c r="E74" s="365" t="n"/>
    </row>
    <row r="75"/>
    <row r="76"/>
    <row r="77"/>
    <row r="78" ht="18" customHeight="1" s="191">
      <c r="AR78" s="200" t="n"/>
    </row>
  </sheetData>
  <mergeCells count="3">
    <mergeCell ref="A70:E70"/>
    <mergeCell ref="BX1:CA1"/>
    <mergeCell ref="CB1:CE1"/>
  </mergeCells>
  <conditionalFormatting sqref="P4:AB4 P75:AW77 P78:AQ78 P79:AB1048576 W5:AB9 W11:AB19 W21:AB25 W27:AB29 W31:AB34 W36:AB41 W43:AB45 W47:AB48 W50:AB51 W53:AB56 AG79:AS1048576 AS78:AW78">
    <cfRule type="cellIs" priority="24" operator="greaterThan" dxfId="0">
      <formula>0</formula>
    </cfRule>
  </conditionalFormatting>
  <conditionalFormatting sqref="P5:T6 P7:R7 P8:T9 P11:T17 P19:T19 P21:T25 P27:T29 P31:T34 P36:T41 P43:T45 P47:T48 P50:T51 P53:T56 AG4:AW4 AG5:AS9 AG11:AS19 AG21:AS25 AG27:AS29 AG31:AS34 AG36:AS41 AG43:AS45 AG47:AS48 AG50:AS51 AG53:AS56 AT6:AW6 AT8:AW8 AT12:AW12 AT14:AW14 AT16:AW16 AT18:AW18 AT22:AW22 AT24:AW24 AT28:AW28 AT32:AW32 AT34:AW34 AT36:AW36 AT38:AW38 AT40:AW40 AT44:AW44 AT48:AW48 AT50:AW50 AT54:AW54 AT56:AW56">
    <cfRule type="cellIs" priority="23" operator="greaterThan" dxfId="0">
      <formula>0</formula>
    </cfRule>
  </conditionalFormatting>
  <conditionalFormatting sqref="AC6:AF6 AC8:AF8 AC12:AF12 AC14:AF14 AC16:AF16 AC18:AF18 AC22:AF22 AC24:AF24 AC28:AF28 AC32:AF32 AC34:AF34 AC36:AF36 AC38:AF38 AC40:AF40 AC44:AF44 AC48:AF48 AC50:AF50 AC54:AF54 AC56:AF56">
    <cfRule type="cellIs" priority="22" operator="greaterThan" dxfId="0">
      <formula>0</formula>
    </cfRule>
  </conditionalFormatting>
  <conditionalFormatting sqref="AX75:BC78">
    <cfRule type="cellIs" priority="21" operator="greaterThan" dxfId="0">
      <formula>0</formula>
    </cfRule>
  </conditionalFormatting>
  <conditionalFormatting sqref="AX4:AZ4">
    <cfRule type="cellIs" priority="20" operator="greaterThan" dxfId="0">
      <formula>0</formula>
    </cfRule>
  </conditionalFormatting>
  <conditionalFormatting sqref="AX9:BH9 AX29:BH29 AX55:BH55 BC5:BH5 BC7:BH7 BC11:BH11 BC13:BH13 BC15:BH15 BC17:BH17 BC19:BH19 BC21:BH21 BC23:BH23 BC25:BH25 BC27:BH27 BC31:BH31 BC33:BH33 BC37:BH37 BC39:BH39 BC41:BH41 BC43:BH43 BC45:BH45 BC47:BH47 BC51:BH51 BC53:BH53">
    <cfRule type="cellIs" priority="17" operator="greaterThan" dxfId="0">
      <formula>0</formula>
    </cfRule>
  </conditionalFormatting>
  <conditionalFormatting sqref="S7:T7 U5:V9 U11:V17 U19:V19 U21:V25 U27:V29 U31:V34 U36:V41 U43:V45 U47:V48 U50:V51 U53:V56 V18">
    <cfRule type="cellIs" priority="16" operator="greaterThan" dxfId="0">
      <formula>0</formula>
    </cfRule>
  </conditionalFormatting>
  <conditionalFormatting sqref="P18:T18">
    <cfRule type="cellIs" priority="15" operator="greaterThan" dxfId="0">
      <formula>0</formula>
    </cfRule>
  </conditionalFormatting>
  <conditionalFormatting sqref="U18">
    <cfRule type="cellIs" priority="14" operator="greaterThan" dxfId="0">
      <formula>0</formula>
    </cfRule>
  </conditionalFormatting>
  <conditionalFormatting sqref="O52:BC52">
    <cfRule type="cellIs" priority="13" operator="greaterThan" dxfId="0">
      <formula>0</formula>
    </cfRule>
  </conditionalFormatting>
  <conditionalFormatting sqref="O49:BC49">
    <cfRule type="cellIs" priority="8" operator="greaterThan" dxfId="0">
      <formula>0</formula>
    </cfRule>
  </conditionalFormatting>
  <conditionalFormatting sqref="O46:BC46">
    <cfRule type="cellIs" priority="7" operator="greaterThan" dxfId="0">
      <formula>0</formula>
    </cfRule>
  </conditionalFormatting>
  <conditionalFormatting sqref="O42:BC42">
    <cfRule type="cellIs" priority="6" operator="greaterThan" dxfId="0">
      <formula>0</formula>
    </cfRule>
  </conditionalFormatting>
  <conditionalFormatting sqref="O35:BC35">
    <cfRule type="cellIs" priority="5" operator="greaterThan" dxfId="0">
      <formula>0</formula>
    </cfRule>
  </conditionalFormatting>
  <conditionalFormatting sqref="O30:BC30">
    <cfRule type="cellIs" priority="4" operator="greaterThan" dxfId="0">
      <formula>0</formula>
    </cfRule>
  </conditionalFormatting>
  <conditionalFormatting sqref="O26:BC26">
    <cfRule type="cellIs" priority="3" operator="greaterThan" dxfId="0">
      <formula>0</formula>
    </cfRule>
  </conditionalFormatting>
  <conditionalFormatting sqref="O20:BC20">
    <cfRule type="cellIs" priority="2" operator="greaterThan" dxfId="0">
      <formula>0</formula>
    </cfRule>
  </conditionalFormatting>
  <conditionalFormatting sqref="O10:BC10">
    <cfRule type="cellIs" priority="1" operator="greaterThan" dxfId="0">
      <formula>0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F80"/>
  <sheetViews>
    <sheetView zoomScale="85" zoomScaleNormal="85" workbookViewId="0">
      <pane xSplit="5" ySplit="2" topLeftCell="H3" activePane="bottomRight" state="frozen"/>
      <selection pane="topRight" activeCell="F1" sqref="F1"/>
      <selection pane="bottomLeft" activeCell="A3" sqref="A3"/>
      <selection pane="bottomRight" activeCell="E18" sqref="E18"/>
    </sheetView>
  </sheetViews>
  <sheetFormatPr baseColWidth="8" defaultColWidth="14.44140625" defaultRowHeight="14.4"/>
  <cols>
    <col width="5" customWidth="1" style="104" min="1" max="1"/>
    <col width="4.44140625" customWidth="1" style="104" min="2" max="2"/>
    <col width="3" customWidth="1" style="104" min="3" max="3"/>
    <col width="9" bestFit="1" customWidth="1" style="117" min="4" max="4"/>
    <col width="65" customWidth="1" style="125" min="5" max="5"/>
    <col width="11.33203125" customWidth="1" style="191" min="6" max="7"/>
    <col width="8.109375" bestFit="1" customWidth="1" style="191" min="8" max="8"/>
    <col width="11.33203125" customWidth="1" style="191" min="9" max="11"/>
    <col width="13.44140625" customWidth="1" style="191" min="12" max="12"/>
    <col width="11.33203125" customWidth="1" style="191" min="13" max="13"/>
    <col width="9.109375" customWidth="1" style="191" min="14" max="28"/>
    <col width="9.109375" customWidth="1" style="191" min="29" max="32"/>
    <col width="9.109375" customWidth="1" style="191" min="33" max="45"/>
    <col width="9.109375" customWidth="1" style="191" min="46" max="49"/>
    <col width="9.109375" customWidth="1" style="191" min="50" max="52"/>
    <col width="11.88671875" bestFit="1" customWidth="1" style="191" min="53" max="54"/>
    <col width="14.88671875" customWidth="1" style="191" min="55" max="55"/>
    <col width="9.109375" customWidth="1" style="191" min="56" max="61"/>
    <col width="11.5546875" customWidth="1" style="191" min="62" max="62"/>
    <col width="8.6640625" customWidth="1" style="191" min="63" max="70"/>
    <col width="10.33203125" customWidth="1" style="191" min="71" max="71"/>
    <col width="7.44140625" customWidth="1" style="191" min="72" max="72"/>
    <col width="8.6640625" customWidth="1" style="191" min="73" max="75"/>
    <col width="8.44140625" customWidth="1" style="191" min="76" max="76"/>
    <col width="8.6640625" customWidth="1" style="191" min="77" max="84"/>
  </cols>
  <sheetData>
    <row r="1" ht="15" customHeight="1" s="191" thickBot="1">
      <c r="A1" s="115" t="n"/>
      <c r="B1" s="115" t="n"/>
      <c r="C1" s="115" t="n"/>
      <c r="D1" s="115" t="n"/>
      <c r="E1" s="678" t="inlineStr">
        <is>
          <t>HARMONOGRAM SKOMPRESOWANY v1  |  01.01.2027 – 28.09.2029  |  Kompresja −40% per zadanie  |  Endava +5 etatów  |  AGH +4 etatów</t>
        </is>
      </c>
      <c r="F1" s="662" t="n"/>
      <c r="G1" s="662" t="n"/>
      <c r="H1" s="662" t="n"/>
      <c r="I1" s="662" t="n"/>
      <c r="J1" s="551">
        <f>X_Platf_WMS!M1+1</f>
        <v/>
      </c>
      <c r="K1" s="475" t="inlineStr">
        <is>
          <t>po zakończeniu  Zadania X</t>
        </is>
      </c>
      <c r="L1" s="475" t="n"/>
      <c r="M1" s="551">
        <f>MAX(M3:M9999)</f>
        <v/>
      </c>
      <c r="N1" s="679">
        <f>SUM(N$4:N$999)</f>
        <v/>
      </c>
      <c r="O1" s="686">
        <f>SUM(O$4:O$999)</f>
        <v/>
      </c>
      <c r="P1" s="596">
        <f>AG1</f>
        <v/>
      </c>
      <c r="Q1" s="597">
        <f>AH1</f>
        <v/>
      </c>
      <c r="R1" s="597">
        <f>AI1</f>
        <v/>
      </c>
      <c r="S1" s="597">
        <f>AJ1</f>
        <v/>
      </c>
      <c r="T1" s="597">
        <f>AK1</f>
        <v/>
      </c>
      <c r="U1" s="597">
        <f>AL1</f>
        <v/>
      </c>
      <c r="V1" s="597">
        <f>AM1</f>
        <v/>
      </c>
      <c r="W1" s="597">
        <f>AN1</f>
        <v/>
      </c>
      <c r="X1" s="598">
        <f>AO1</f>
        <v/>
      </c>
      <c r="Y1" s="593">
        <f>AP1</f>
        <v/>
      </c>
      <c r="Z1" s="594">
        <f>AQ1</f>
        <v/>
      </c>
      <c r="AA1" s="594">
        <f>AR1</f>
        <v/>
      </c>
      <c r="AB1" s="595">
        <f>AS1</f>
        <v/>
      </c>
      <c r="AC1" s="599">
        <f>AT1</f>
        <v/>
      </c>
      <c r="AD1" s="600">
        <f>AU1</f>
        <v/>
      </c>
      <c r="AE1" s="600">
        <f>AV1</f>
        <v/>
      </c>
      <c r="AF1" s="601">
        <f>AW1</f>
        <v/>
      </c>
      <c r="AG1" s="570">
        <f> Listy!$AB$1 &amp; MAX(AG$3:AG99)</f>
        <v/>
      </c>
      <c r="AH1" s="570">
        <f> Listy!$AB$1 &amp; MAX(AH$3:AH99)</f>
        <v/>
      </c>
      <c r="AI1" s="570">
        <f> Listy!$AB$1 &amp; MAX(AI$3:AI99)</f>
        <v/>
      </c>
      <c r="AJ1" s="570">
        <f> Listy!$AB$1 &amp; MAX(AJ$3:AJ99)</f>
        <v/>
      </c>
      <c r="AK1" s="570">
        <f> Listy!$AB$1 &amp; MAX(AK$3:AK99)</f>
        <v/>
      </c>
      <c r="AL1" s="570">
        <f> Listy!$AB$1 &amp; MAX(AL$3:AL99)</f>
        <v/>
      </c>
      <c r="AM1" s="570">
        <f> Listy!$AB$1 &amp; MAX(AM$3:AM99)</f>
        <v/>
      </c>
      <c r="AN1" s="570">
        <f> Listy!$AB$1 &amp; MAX(AN$3:AN99)</f>
        <v/>
      </c>
      <c r="AO1" s="570">
        <f> Listy!$AB$1 &amp; MAX(AO$3:AO99)</f>
        <v/>
      </c>
      <c r="AP1" s="237">
        <f> Listy!$AB$1 &amp; MAX(AP$3:AP99)</f>
        <v/>
      </c>
      <c r="AQ1" s="237">
        <f> Listy!$AB$1 &amp; MAX(AQ$3:AQ99)</f>
        <v/>
      </c>
      <c r="AR1" s="237">
        <f> Listy!$AB$1 &amp; MAX(AR$3:AR99)</f>
        <v/>
      </c>
      <c r="AS1" s="237">
        <f> Listy!$AB$1 &amp; MAX(AS$3:AS99)</f>
        <v/>
      </c>
      <c r="AT1" s="571">
        <f> Listy!$AB$1 &amp; MAX(AT$3:AT99)</f>
        <v/>
      </c>
      <c r="AU1" s="571">
        <f> Listy!$AB$1 &amp; MAX(AU$3:AU99)</f>
        <v/>
      </c>
      <c r="AV1" s="571">
        <f> Listy!$AB$1 &amp; MAX(AV$3:AV99)</f>
        <v/>
      </c>
      <c r="AW1" s="571">
        <f> Listy!$AB$1 &amp; MAX(AW$3:AW99)</f>
        <v/>
      </c>
      <c r="AX1" s="373" t="n"/>
      <c r="AY1" s="374" t="n"/>
      <c r="AZ1" s="374" t="n"/>
      <c r="BA1" s="374" t="n"/>
      <c r="BB1" s="375" t="n"/>
      <c r="BC1" s="369">
        <f>#REF!</f>
        <v/>
      </c>
      <c r="BD1" s="370" t="n"/>
      <c r="BE1" s="369" t="n"/>
      <c r="BF1" s="370" t="n"/>
      <c r="BG1" s="369" t="n"/>
      <c r="BH1" s="370" t="n"/>
      <c r="BI1" s="371">
        <f>#REF!</f>
        <v/>
      </c>
      <c r="BJ1" s="371" t="n"/>
      <c r="BK1" s="371" t="n"/>
      <c r="BL1" s="371" t="n"/>
      <c r="BM1" s="372" t="n"/>
      <c r="BN1" s="372" t="n"/>
      <c r="BO1" s="372" t="n"/>
      <c r="BP1" s="372" t="n"/>
      <c r="BQ1" s="372" t="n"/>
      <c r="BR1" s="372" t="n"/>
      <c r="BS1" s="372" t="n"/>
      <c r="BT1" s="372" t="n"/>
      <c r="BU1" s="372" t="n"/>
      <c r="BV1" s="372" t="n"/>
      <c r="BW1" s="372" t="n"/>
      <c r="BX1" s="687">
        <f>#REF!</f>
        <v/>
      </c>
      <c r="BY1" s="688" t="n"/>
      <c r="BZ1" s="688" t="n"/>
      <c r="CA1" s="689" t="n"/>
      <c r="CB1" s="687">
        <f>#REF!</f>
        <v/>
      </c>
      <c r="CC1" s="688" t="n"/>
      <c r="CD1" s="688" t="n"/>
      <c r="CE1" s="689" t="n"/>
    </row>
    <row r="2" ht="100.8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Karta!U2</f>
        <v/>
      </c>
      <c r="V2" s="236">
        <f>Karta!V2</f>
        <v/>
      </c>
      <c r="W2" s="236">
        <f>Karta!W2</f>
        <v/>
      </c>
      <c r="X2" s="236">
        <f>Karta!X2</f>
        <v/>
      </c>
      <c r="Y2" s="237">
        <f>Karta!Y2</f>
        <v/>
      </c>
      <c r="Z2" s="237">
        <f>Karta!Z2</f>
        <v/>
      </c>
      <c r="AA2" s="237">
        <f>Karta!AA2</f>
        <v/>
      </c>
      <c r="AB2" s="237">
        <f>Karta!AB2</f>
        <v/>
      </c>
      <c r="AC2" s="301">
        <f>Karta!AG2</f>
        <v/>
      </c>
      <c r="AD2" s="301">
        <f>Karta!AH2</f>
        <v/>
      </c>
      <c r="AE2" s="301">
        <f>Karta!AI2</f>
        <v/>
      </c>
      <c r="AF2" s="301">
        <f>Karta!AJ2</f>
        <v/>
      </c>
      <c r="AG2" s="236">
        <f>Karta!AL2</f>
        <v/>
      </c>
      <c r="AH2" s="236">
        <f>Karta!AM2</f>
        <v/>
      </c>
      <c r="AI2" s="236">
        <f>Karta!AN2</f>
        <v/>
      </c>
      <c r="AJ2" s="236">
        <f>Karta!AO2</f>
        <v/>
      </c>
      <c r="AK2" s="236">
        <f>Karta!AP2</f>
        <v/>
      </c>
      <c r="AL2" s="236">
        <f>Karta!AQ2</f>
        <v/>
      </c>
      <c r="AM2" s="236">
        <f>Karta!AR2</f>
        <v/>
      </c>
      <c r="AN2" s="236">
        <f>Karta!AS2</f>
        <v/>
      </c>
      <c r="AO2" s="236">
        <f>Karta!AT2</f>
        <v/>
      </c>
      <c r="AP2" s="237">
        <f>Karta!AU2</f>
        <v/>
      </c>
      <c r="AQ2" s="237">
        <f>Karta!AV2</f>
        <v/>
      </c>
      <c r="AR2" s="237">
        <f>Karta!AW2</f>
        <v/>
      </c>
      <c r="AS2" s="237">
        <f>Karta!AX2</f>
        <v/>
      </c>
      <c r="AT2" s="301">
        <f>Karta!BC2</f>
        <v/>
      </c>
      <c r="AU2" s="301">
        <f>Karta!BD2</f>
        <v/>
      </c>
      <c r="AV2" s="301">
        <f>Karta!BE2</f>
        <v/>
      </c>
      <c r="AW2" s="301">
        <f>Karta!BF2</f>
        <v/>
      </c>
      <c r="AX2" s="380">
        <f>Karta!BH2</f>
        <v/>
      </c>
      <c r="AY2" s="380">
        <f>Karta!BI2</f>
        <v/>
      </c>
      <c r="AZ2" s="380">
        <f>Karta!BJ2</f>
        <v/>
      </c>
      <c r="BA2" s="380">
        <f>Karta!BK2</f>
        <v/>
      </c>
      <c r="BB2" s="380">
        <f>Karta!BL2</f>
        <v/>
      </c>
      <c r="BC2" s="6">
        <f>Karta!BM2</f>
        <v/>
      </c>
      <c r="BD2" s="6">
        <f>Karta!BN2</f>
        <v/>
      </c>
      <c r="BE2" s="6">
        <f>Karta!BO2</f>
        <v/>
      </c>
      <c r="BF2" s="6">
        <f>Karta!BP2</f>
        <v/>
      </c>
      <c r="BG2" s="6">
        <f>Karta!BQ2</f>
        <v/>
      </c>
      <c r="BH2" s="6">
        <f>Karta!BR2</f>
        <v/>
      </c>
      <c r="BI2" s="6">
        <f>Karta!BS2</f>
        <v/>
      </c>
      <c r="BJ2" s="6">
        <f>Karta!BT2</f>
        <v/>
      </c>
      <c r="BK2" s="6">
        <f>Karta!BU2</f>
        <v/>
      </c>
      <c r="BL2" s="6">
        <f>Karta!BV2</f>
        <v/>
      </c>
      <c r="BM2" s="6">
        <f>Karta!BW2</f>
        <v/>
      </c>
      <c r="BN2" s="6">
        <f>Karta!BX2</f>
        <v/>
      </c>
      <c r="BO2" s="6">
        <f>Karta!BY2</f>
        <v/>
      </c>
      <c r="BP2" s="6">
        <f>Karta!BZ2</f>
        <v/>
      </c>
      <c r="BQ2" s="6">
        <f>Karta!CA2</f>
        <v/>
      </c>
      <c r="BR2" s="6">
        <f>Karta!CB2</f>
        <v/>
      </c>
      <c r="BS2" s="6">
        <f>Karta!CC2</f>
        <v/>
      </c>
      <c r="BT2" s="6">
        <f>Karta!CD2</f>
        <v/>
      </c>
      <c r="BU2" s="6">
        <f>Karta!CE2</f>
        <v/>
      </c>
      <c r="BV2" s="6">
        <f>Karta!CF2</f>
        <v/>
      </c>
      <c r="BW2" s="6">
        <f>Karta!CG2</f>
        <v/>
      </c>
      <c r="BX2" s="6">
        <f>Karta!CH2</f>
        <v/>
      </c>
      <c r="BY2" s="6">
        <f>Karta!CI2</f>
        <v/>
      </c>
      <c r="BZ2" s="6">
        <f>Karta!CJ2</f>
        <v/>
      </c>
      <c r="CA2" s="6">
        <f>Karta!CK2</f>
        <v/>
      </c>
      <c r="CB2" s="6">
        <f>Karta!CL2</f>
        <v/>
      </c>
      <c r="CC2" s="6">
        <f>Karta!CM2</f>
        <v/>
      </c>
      <c r="CD2" s="6">
        <f>Karta!CN2</f>
        <v/>
      </c>
      <c r="CE2" s="6">
        <f>Karta!CO2</f>
        <v/>
      </c>
      <c r="CF2" s="6">
        <f>Karta!CP2</f>
        <v/>
      </c>
    </row>
    <row r="3" ht="16.2" customFormat="1" customHeight="1" s="141" thickBot="1">
      <c r="A3" s="110" t="inlineStr">
        <is>
          <t>.z11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202" t="n"/>
      <c r="G3" s="202" t="n"/>
      <c r="H3" s="203" t="n"/>
      <c r="I3" s="203" t="n"/>
      <c r="J3" s="172" t="n"/>
      <c r="K3" s="172" t="n"/>
      <c r="L3" s="172" t="n"/>
      <c r="M3" s="172" t="n"/>
      <c r="N3" s="172" t="n"/>
      <c r="O3" s="172" t="n"/>
      <c r="P3" s="172" t="n"/>
      <c r="Q3" s="172" t="n"/>
      <c r="R3" s="172" t="n"/>
      <c r="S3" s="172" t="n"/>
      <c r="T3" s="172" t="n"/>
      <c r="U3" s="172" t="n"/>
      <c r="V3" s="172" t="n"/>
      <c r="W3" s="172" t="n"/>
      <c r="X3" s="172" t="n"/>
      <c r="Y3" s="205" t="n"/>
      <c r="Z3" s="205" t="n"/>
      <c r="AA3" s="205" t="n"/>
      <c r="AB3" s="205" t="n"/>
      <c r="AC3" s="303" t="n"/>
      <c r="AD3" s="303" t="n"/>
      <c r="AE3" s="303" t="n"/>
      <c r="AF3" s="303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5" t="n"/>
      <c r="AQ3" s="205" t="n"/>
      <c r="AR3" s="205" t="n"/>
      <c r="AS3" s="245" t="n"/>
      <c r="AT3" s="303" t="n"/>
      <c r="AU3" s="303" t="n"/>
      <c r="AV3" s="303" t="n"/>
      <c r="AW3" s="303" t="n"/>
      <c r="AX3" s="206" t="n"/>
      <c r="AY3" s="206" t="n"/>
      <c r="AZ3" s="207" t="n"/>
      <c r="BA3" s="208" t="n"/>
      <c r="BB3" s="175" t="n"/>
      <c r="BC3" s="4" t="n"/>
      <c r="BD3" s="3" t="n"/>
      <c r="BE3" s="3" t="n"/>
      <c r="BF3" s="4" t="n"/>
      <c r="BG3" s="4" t="n"/>
      <c r="BH3" s="3" t="n"/>
      <c r="BI3" s="174" t="n"/>
      <c r="BJ3" s="4" t="n"/>
      <c r="BK3" s="209" t="n"/>
      <c r="BL3" s="483" t="n"/>
      <c r="BM3" s="210" t="n"/>
      <c r="BN3" s="209" t="n"/>
      <c r="BO3" s="483" t="n"/>
      <c r="BP3" s="210" t="n"/>
      <c r="BQ3" s="209" t="n"/>
      <c r="BR3" s="483" t="n"/>
      <c r="BS3" s="483" t="n"/>
      <c r="BT3" s="210" t="n"/>
      <c r="BU3" s="4" t="n"/>
      <c r="BV3" s="4" t="n"/>
      <c r="BW3" s="483" t="n"/>
      <c r="BX3" s="4" t="n"/>
      <c r="BY3" s="4" t="n"/>
      <c r="BZ3" s="4" t="n"/>
      <c r="CA3" s="483" t="n"/>
      <c r="CB3" s="4" t="n"/>
      <c r="CC3" s="4" t="n"/>
      <c r="CD3" s="4" t="n"/>
      <c r="CE3" s="483" t="n"/>
      <c r="CF3" s="659" t="n"/>
    </row>
    <row r="4" ht="18.6" customHeight="1" s="191" thickBot="1">
      <c r="A4" s="387" t="n">
        <v>1</v>
      </c>
      <c r="B4" s="55" t="inlineStr">
        <is>
          <t>a</t>
        </is>
      </c>
      <c r="C4" s="105" t="n">
        <v>0</v>
      </c>
      <c r="D4" s="116">
        <f>CONCATENATE(A$3,"_",A4,"_",B4,"_",C4)</f>
        <v/>
      </c>
      <c r="E4" s="388" t="inlineStr">
        <is>
          <t>1.Planowanie</t>
        </is>
      </c>
      <c r="F4" s="148" t="n"/>
      <c r="G4" s="148" t="n"/>
      <c r="H4" s="391" t="n"/>
      <c r="I4" s="85" t="inlineStr">
        <is>
          <t>ACT</t>
        </is>
      </c>
      <c r="J4" s="90" t="n"/>
      <c r="K4" s="90" t="n"/>
      <c r="L4" s="90" t="n"/>
      <c r="M4" s="90" t="n"/>
      <c r="N4" s="90" t="n"/>
      <c r="O4" s="90" t="n"/>
      <c r="P4" s="90" t="n"/>
      <c r="Q4" s="90" t="n"/>
      <c r="R4" s="468" t="n"/>
      <c r="S4" s="468" t="n"/>
      <c r="T4" s="130" t="n"/>
      <c r="U4" s="130" t="n"/>
      <c r="V4" s="130" t="n"/>
      <c r="W4" s="130" t="n"/>
      <c r="X4" s="130" t="n"/>
      <c r="Y4" s="468" t="n"/>
      <c r="Z4" s="468" t="n"/>
      <c r="AA4" s="468" t="n"/>
      <c r="AB4" s="148" t="n"/>
      <c r="AC4" s="173" t="n"/>
      <c r="AD4" s="173" t="n"/>
      <c r="AE4" s="173" t="n"/>
      <c r="AF4" s="173" t="n"/>
      <c r="AG4" s="148" t="n"/>
      <c r="AH4" s="148" t="n"/>
      <c r="AI4" s="148" t="n"/>
      <c r="AJ4" s="148" t="n"/>
      <c r="AK4" s="190" t="n"/>
      <c r="AL4" s="190" t="n"/>
      <c r="AM4" s="190" t="n"/>
      <c r="AN4" s="190" t="n"/>
      <c r="AO4" s="190" t="n"/>
      <c r="AP4" s="148" t="n"/>
      <c r="AQ4" s="148" t="n"/>
      <c r="AR4" s="148" t="n"/>
      <c r="AS4" s="148" t="n"/>
      <c r="AT4" s="148" t="n"/>
      <c r="AU4" s="148" t="n"/>
      <c r="AV4" s="148" t="n"/>
      <c r="AW4" s="148" t="n"/>
      <c r="AX4" s="148" t="n"/>
      <c r="AY4" s="148" t="n"/>
      <c r="AZ4" s="148" t="n"/>
      <c r="BA4" s="663" t="n"/>
      <c r="BB4" s="14">
        <f>BB5+BB6+BB7+BB8+BB9+BB10</f>
        <v/>
      </c>
      <c r="BC4" s="528" t="n"/>
      <c r="BD4" s="528" t="n"/>
      <c r="BE4" s="528" t="n"/>
      <c r="BF4" s="528" t="n"/>
      <c r="BG4" s="528" t="n"/>
      <c r="BH4" s="528" t="n"/>
      <c r="BI4" s="14">
        <f>BI5+BI6+BI7+BI8+BI9+BI10</f>
        <v/>
      </c>
      <c r="BJ4" s="528" t="n"/>
      <c r="BK4" s="51" t="n"/>
      <c r="BL4" s="14">
        <f>BL5+BL6+BL7+BL9+BL8+BL10</f>
        <v/>
      </c>
      <c r="BM4" s="399" t="n"/>
      <c r="BN4" s="51" t="n"/>
      <c r="BO4" s="14">
        <f>BO5+BO6+BO7+BO9+BO8+BO10</f>
        <v/>
      </c>
      <c r="BP4" s="399" t="n"/>
      <c r="BQ4" s="51" t="n"/>
      <c r="BR4" s="14">
        <f>BR5+BR6+BR7+BR9+BR8+BR10</f>
        <v/>
      </c>
      <c r="BS4" s="14">
        <f>BS5+BS6+BS7+BS9+BS8+BS10</f>
        <v/>
      </c>
      <c r="BT4" s="399" t="n"/>
      <c r="BU4" s="528" t="n"/>
      <c r="BV4" s="528" t="n"/>
      <c r="BW4" s="14">
        <f>BW5+BW6+BW7+BW8+BW9+BW10</f>
        <v/>
      </c>
      <c r="BX4" s="528" t="n"/>
      <c r="BY4" s="528" t="n"/>
      <c r="BZ4" s="528" t="n"/>
      <c r="CA4" s="14">
        <f>CA5+CA6+CA7+CA8+CA9+CA10</f>
        <v/>
      </c>
      <c r="CB4" s="528" t="n"/>
      <c r="CC4" s="528" t="n"/>
      <c r="CD4" s="528" t="n"/>
      <c r="CE4" s="14">
        <f>CE5+CE6+CE7+CE8+CE9+CE10</f>
        <v/>
      </c>
      <c r="CF4" s="40">
        <f>AY4+BB4+BI4+BL4+BO4+BR4+BS4+BW4+CA4+CE4</f>
        <v/>
      </c>
    </row>
    <row r="5" ht="15.6" customHeight="1" s="191">
      <c r="A5" s="387" t="n">
        <v>1</v>
      </c>
      <c r="B5" s="55" t="inlineStr">
        <is>
          <t>a</t>
        </is>
      </c>
      <c r="C5" s="105" t="n">
        <v>1</v>
      </c>
      <c r="D5" s="116">
        <f>CONCATENATE(A$3,"_",A5,"_",B5,"_",C5)</f>
        <v/>
      </c>
      <c r="E5" s="122" t="inlineStr">
        <is>
          <t>Zdefiniowanie celów i zakresu wdrożenia</t>
        </is>
      </c>
      <c r="F5" s="528">
        <f>IFERROR(VLOOKUP($I5,Listy!$A:$H,2,FALSE),"XXX")</f>
        <v/>
      </c>
      <c r="G5" s="528">
        <f>IFERROR(VLOOKUP($I5,Listy!$A:$H,3,FALSE),"XXX")</f>
        <v/>
      </c>
      <c r="H5" s="140" t="n">
        <v>1</v>
      </c>
      <c r="I5" s="89" t="inlineStr">
        <is>
          <t>.a01</t>
        </is>
      </c>
      <c r="J5" s="475">
        <f>X_Platf_WMS!M1+1</f>
        <v/>
      </c>
      <c r="K5" s="681">
        <f>VLOOKUP(J5,Kalendarz!B:E,4,FALSE)</f>
        <v/>
      </c>
      <c r="L5" s="681">
        <f>K5+N5</f>
        <v/>
      </c>
      <c r="M5" s="528">
        <f>J5+N5-1</f>
        <v/>
      </c>
      <c r="N5" s="474" t="n">
        <v>1</v>
      </c>
      <c r="O5" s="529" t="n">
        <v>80</v>
      </c>
      <c r="P5" s="187" t="n">
        <v>0.17</v>
      </c>
      <c r="Q5" s="187" t="n">
        <v>0.17</v>
      </c>
      <c r="R5" s="187" t="n">
        <v>0.17</v>
      </c>
      <c r="S5" s="187" t="n">
        <v>0.17</v>
      </c>
      <c r="T5" s="187" t="n">
        <v>0.17</v>
      </c>
      <c r="U5" s="187" t="n">
        <v>0.15</v>
      </c>
      <c r="V5" s="187" t="n"/>
      <c r="W5" s="187" t="n"/>
      <c r="X5" s="187" t="n"/>
      <c r="Y5" s="292" t="n">
        <v>0</v>
      </c>
      <c r="Z5" s="292" t="n">
        <v>0</v>
      </c>
      <c r="AA5" s="292" t="n">
        <v>0</v>
      </c>
      <c r="AB5" s="292" t="n">
        <v>0</v>
      </c>
      <c r="AC5" s="304" t="n"/>
      <c r="AD5" s="304" t="n"/>
      <c r="AE5" s="304" t="n"/>
      <c r="AF5" s="304" t="n"/>
      <c r="AG5" s="192">
        <f>ROUND($O5*P5,0)</f>
        <v/>
      </c>
      <c r="AH5" s="192">
        <f>ROUND($O5*Q5,0)</f>
        <v/>
      </c>
      <c r="AI5" s="192">
        <f>ROUND($O5*R5,0)</f>
        <v/>
      </c>
      <c r="AJ5" s="192">
        <f>ROUND($O5*S5,0)</f>
        <v/>
      </c>
      <c r="AK5" s="192">
        <f>ROUND($O5*T5,0)</f>
        <v/>
      </c>
      <c r="AL5" s="192">
        <f>ROUND($O5*U5,0)</f>
        <v/>
      </c>
      <c r="AM5" s="192">
        <f>ROUND($O5*V5,0)</f>
        <v/>
      </c>
      <c r="AN5" s="192">
        <f>ROUND($O5*W5,0)</f>
        <v/>
      </c>
      <c r="AO5" s="192">
        <f>ROUND($O5*X5,0)</f>
        <v/>
      </c>
      <c r="AP5" s="193">
        <f>ROUND($O5*Y5,0)</f>
        <v/>
      </c>
      <c r="AQ5" s="193">
        <f>ROUND($O5*Z5,0)</f>
        <v/>
      </c>
      <c r="AR5" s="193">
        <f>ROUND($O5*AA5,0)</f>
        <v/>
      </c>
      <c r="AS5" s="307">
        <f>ROUND($O5*AB5,0)</f>
        <v/>
      </c>
      <c r="AT5" s="304" t="n"/>
      <c r="AU5" s="304" t="n"/>
      <c r="AV5" s="304" t="n"/>
      <c r="AW5" s="304" t="n"/>
      <c r="AX5" s="236">
        <f>SUM(AG5:AO5)</f>
        <v/>
      </c>
      <c r="AY5" s="528">
        <f>AX5/160</f>
        <v/>
      </c>
      <c r="AZ5" s="87">
        <f>VLOOKUP(I5,Listy!$A$1:$H$9,6,FALSE)</f>
        <v/>
      </c>
      <c r="BA5" s="682">
        <f>AY5*AZ5</f>
        <v/>
      </c>
      <c r="BB5" s="683">
        <f>AY5*BA5</f>
        <v/>
      </c>
      <c r="BC5" s="528" t="n"/>
      <c r="BD5" s="528" t="n"/>
      <c r="BE5" s="528" t="n"/>
      <c r="BF5" s="528" t="n"/>
      <c r="BG5" s="528" t="n"/>
      <c r="BH5" s="528" t="n"/>
      <c r="BI5" s="21">
        <f>BG5*BH5</f>
        <v/>
      </c>
      <c r="BJ5" s="528" t="n"/>
      <c r="BK5" s="528" t="n"/>
      <c r="BL5" s="21" t="n"/>
      <c r="BM5" s="528" t="n"/>
      <c r="BN5" s="528" t="n"/>
      <c r="BO5" s="21" t="n"/>
      <c r="BP5" s="528" t="n"/>
      <c r="BQ5" s="528" t="n"/>
      <c r="BR5" s="21" t="n"/>
      <c r="BS5" s="21" t="n"/>
      <c r="BT5" s="528" t="n"/>
      <c r="BU5" s="528" t="n"/>
      <c r="BV5" s="528" t="n"/>
      <c r="BW5" s="21">
        <f>BU5*BV5</f>
        <v/>
      </c>
      <c r="BX5" s="528" t="n"/>
      <c r="BY5" s="528" t="n"/>
      <c r="BZ5" s="528" t="n"/>
      <c r="CA5" s="21">
        <f>BY5*BZ5</f>
        <v/>
      </c>
      <c r="CB5" s="528" t="n"/>
      <c r="CC5" s="528" t="n"/>
      <c r="CD5" s="528" t="n"/>
      <c r="CE5" s="21">
        <f>CC5*CD5</f>
        <v/>
      </c>
    </row>
    <row r="6" ht="15.6" customHeight="1" s="191">
      <c r="A6" s="387" t="n">
        <v>1</v>
      </c>
      <c r="B6" s="55" t="inlineStr">
        <is>
          <t>b</t>
        </is>
      </c>
      <c r="C6" s="105" t="n">
        <v>1</v>
      </c>
      <c r="D6" s="116">
        <f>CONCATENATE(A$3,"_",A6,"_",B6,"_",C6)</f>
        <v/>
      </c>
      <c r="E6" s="122" t="inlineStr">
        <is>
          <t>Analiza potrzeb, zasobów i określenie wymagań technicznych</t>
        </is>
      </c>
      <c r="F6" s="528">
        <f>IFERROR(VLOOKUP($I6,Listy!$A:$H,2,FALSE),"XXX")</f>
        <v/>
      </c>
      <c r="G6" s="528">
        <f>IFERROR(VLOOKUP($I6,Listy!$A:$H,3,FALSE),"XXX")</f>
        <v/>
      </c>
      <c r="H6" s="140" t="n">
        <v>2</v>
      </c>
      <c r="I6" s="89" t="inlineStr">
        <is>
          <t>.a02</t>
        </is>
      </c>
      <c r="J6" s="91">
        <f>M5+1</f>
        <v/>
      </c>
      <c r="K6" s="681">
        <f>VLOOKUP(J6,Kalendarz!B:E,4,FALSE)</f>
        <v/>
      </c>
      <c r="L6" s="681">
        <f>K6+N6</f>
        <v/>
      </c>
      <c r="M6" s="528">
        <f>J6+N6-1</f>
        <v/>
      </c>
      <c r="N6" s="474" t="n">
        <v>1</v>
      </c>
      <c r="O6" s="529" t="n">
        <v>80</v>
      </c>
      <c r="P6" s="187" t="n">
        <v>0.17</v>
      </c>
      <c r="Q6" s="187" t="n">
        <v>0.17</v>
      </c>
      <c r="R6" s="187" t="n">
        <v>0.17</v>
      </c>
      <c r="S6" s="187" t="n">
        <v>0.17</v>
      </c>
      <c r="T6" s="187" t="n">
        <v>0.17</v>
      </c>
      <c r="U6" s="187" t="n">
        <v>0.15</v>
      </c>
      <c r="V6" s="187" t="n"/>
      <c r="W6" s="187" t="n"/>
      <c r="X6" s="187" t="n"/>
      <c r="Y6" s="292" t="n">
        <v>0</v>
      </c>
      <c r="Z6" s="292" t="n">
        <v>0</v>
      </c>
      <c r="AA6" s="292" t="n">
        <v>0</v>
      </c>
      <c r="AB6" s="292" t="n">
        <v>0</v>
      </c>
      <c r="AC6" s="305" t="n"/>
      <c r="AD6" s="305" t="n"/>
      <c r="AE6" s="305" t="n"/>
      <c r="AF6" s="305" t="n"/>
      <c r="AG6" s="192">
        <f>ROUND($O6*P6,0)</f>
        <v/>
      </c>
      <c r="AH6" s="192">
        <f>ROUND($O6*Q6,0)</f>
        <v/>
      </c>
      <c r="AI6" s="192">
        <f>ROUND($O6*R6,0)</f>
        <v/>
      </c>
      <c r="AJ6" s="192">
        <f>ROUND($O6*S6,0)</f>
        <v/>
      </c>
      <c r="AK6" s="192">
        <f>ROUND($O6*T6,0)</f>
        <v/>
      </c>
      <c r="AL6" s="192">
        <f>ROUND($O6*U6,0)</f>
        <v/>
      </c>
      <c r="AM6" s="192">
        <f>ROUND($O6*V6,0)</f>
        <v/>
      </c>
      <c r="AN6" s="192">
        <f>ROUND($O6*W6,0)</f>
        <v/>
      </c>
      <c r="AO6" s="192">
        <f>ROUND($O6*X6,0)</f>
        <v/>
      </c>
      <c r="AP6" s="193">
        <f>ROUND($O6*Y6,0)</f>
        <v/>
      </c>
      <c r="AQ6" s="193">
        <f>ROUND($O6*Z6,0)</f>
        <v/>
      </c>
      <c r="AR6" s="193">
        <f>ROUND($O6*AA6,0)</f>
        <v/>
      </c>
      <c r="AS6" s="193">
        <f>ROUND($O6*AB6,0)</f>
        <v/>
      </c>
      <c r="AT6" s="306">
        <f>ROUND($O6*AC6,0)</f>
        <v/>
      </c>
      <c r="AU6" s="306">
        <f>ROUND($O6*AD6,0)</f>
        <v/>
      </c>
      <c r="AV6" s="306">
        <f>ROUND($O6*AE6,0)</f>
        <v/>
      </c>
      <c r="AW6" s="306">
        <f>ROUND($O6*AF6,0)</f>
        <v/>
      </c>
      <c r="AX6" s="236">
        <f>SUM(AG6:AO6)</f>
        <v/>
      </c>
      <c r="AY6" s="528">
        <f>AX6/160</f>
        <v/>
      </c>
      <c r="AZ6" s="87">
        <f>VLOOKUP(I6,Listy!$A$1:$H$9,6,FALSE)</f>
        <v/>
      </c>
      <c r="BA6" s="682">
        <f>AY6*AZ6</f>
        <v/>
      </c>
      <c r="BB6" s="683">
        <f>AY6*BA6</f>
        <v/>
      </c>
      <c r="BC6" s="528" t="n"/>
      <c r="BD6" s="528" t="n"/>
      <c r="BE6" s="528" t="n"/>
      <c r="BF6" s="528" t="n"/>
      <c r="BG6" s="528" t="n"/>
      <c r="BH6" s="528" t="n"/>
      <c r="BI6" s="21">
        <f>BG6*BH6</f>
        <v/>
      </c>
      <c r="BJ6" s="528" t="n"/>
      <c r="BK6" s="528" t="n"/>
      <c r="BL6" s="528" t="n"/>
      <c r="BM6" s="528" t="n"/>
      <c r="BN6" s="528" t="n"/>
      <c r="BO6" s="528" t="n"/>
      <c r="BP6" s="528" t="n"/>
      <c r="BQ6" s="528" t="n"/>
      <c r="BR6" s="528" t="n"/>
      <c r="BS6" s="528" t="n"/>
      <c r="BT6" s="528" t="n"/>
      <c r="BU6" s="528" t="n"/>
      <c r="BV6" s="528" t="n"/>
      <c r="BW6" s="21">
        <f>BU6*BV6</f>
        <v/>
      </c>
      <c r="BX6" s="528" t="n"/>
      <c r="BY6" s="528" t="n"/>
      <c r="BZ6" s="528" t="n"/>
      <c r="CA6" s="21">
        <f>BY6*BZ6</f>
        <v/>
      </c>
      <c r="CB6" s="528" t="n"/>
      <c r="CC6" s="528" t="n"/>
      <c r="CD6" s="528" t="n"/>
      <c r="CE6" s="21">
        <f>CC6*CD6</f>
        <v/>
      </c>
    </row>
    <row r="7" ht="15.6" customHeight="1" s="191">
      <c r="A7" s="387" t="n">
        <v>1</v>
      </c>
      <c r="B7" s="55" t="inlineStr">
        <is>
          <t>c</t>
        </is>
      </c>
      <c r="C7" s="105" t="n">
        <v>1</v>
      </c>
      <c r="D7" s="116">
        <f>CONCATENATE(A$3,"_",A7,"_",B7,"_",C7)</f>
        <v/>
      </c>
      <c r="E7" s="122" t="inlineStr">
        <is>
          <t>Określenie harmonogramu prac</t>
        </is>
      </c>
      <c r="F7" s="528">
        <f>IFERROR(VLOOKUP($I7,Listy!$A:$H,2,FALSE),"XXX")</f>
        <v/>
      </c>
      <c r="G7" s="528">
        <f>IFERROR(VLOOKUP($I7,Listy!$A:$H,3,FALSE),"XXX")</f>
        <v/>
      </c>
      <c r="H7" s="140" t="n">
        <v>3</v>
      </c>
      <c r="I7" s="89" t="inlineStr">
        <is>
          <t>.a03</t>
        </is>
      </c>
      <c r="J7" s="91">
        <f>M6+1</f>
        <v/>
      </c>
      <c r="K7" s="681">
        <f>VLOOKUP(J7,Kalendarz!B:E,4,FALSE)</f>
        <v/>
      </c>
      <c r="L7" s="681">
        <f>K7+N7</f>
        <v/>
      </c>
      <c r="M7" s="528">
        <f>J7+N7-1</f>
        <v/>
      </c>
      <c r="N7" s="474" t="n">
        <v>1</v>
      </c>
      <c r="O7" s="529" t="n">
        <v>80</v>
      </c>
      <c r="P7" s="187" t="n">
        <v>0.5</v>
      </c>
      <c r="Q7" s="187" t="n">
        <v>0.5</v>
      </c>
      <c r="R7" s="187" t="n">
        <v>0</v>
      </c>
      <c r="S7" s="187" t="n">
        <v>0</v>
      </c>
      <c r="T7" s="187" t="n">
        <v>0</v>
      </c>
      <c r="U7" s="187" t="n">
        <v>0</v>
      </c>
      <c r="V7" s="187" t="n"/>
      <c r="W7" s="187" t="n"/>
      <c r="X7" s="187" t="n"/>
      <c r="Y7" s="292" t="n">
        <v>0</v>
      </c>
      <c r="Z7" s="292" t="n">
        <v>0</v>
      </c>
      <c r="AA7" s="292" t="n">
        <v>0</v>
      </c>
      <c r="AB7" s="292" t="n">
        <v>0</v>
      </c>
      <c r="AC7" s="305" t="n"/>
      <c r="AD7" s="305" t="n"/>
      <c r="AE7" s="305" t="n"/>
      <c r="AF7" s="305" t="n"/>
      <c r="AG7" s="192">
        <f>ROUND($O7*P7,0)</f>
        <v/>
      </c>
      <c r="AH7" s="192">
        <f>ROUND($O7*Q7,0)</f>
        <v/>
      </c>
      <c r="AI7" s="192">
        <f>ROUND($O7*R7,0)</f>
        <v/>
      </c>
      <c r="AJ7" s="192">
        <f>ROUND($O7*S7,0)</f>
        <v/>
      </c>
      <c r="AK7" s="192">
        <f>ROUND($O7*T7,0)</f>
        <v/>
      </c>
      <c r="AL7" s="192">
        <f>ROUND($O7*U7,0)</f>
        <v/>
      </c>
      <c r="AM7" s="192">
        <f>ROUND($O7*V7,0)</f>
        <v/>
      </c>
      <c r="AN7" s="192">
        <f>ROUND($O7*W7,0)</f>
        <v/>
      </c>
      <c r="AO7" s="192">
        <f>ROUND($O7*X7,0)</f>
        <v/>
      </c>
      <c r="AP7" s="193">
        <f>ROUND($O7*Y7,0)</f>
        <v/>
      </c>
      <c r="AQ7" s="193">
        <f>ROUND($O7*Z7,0)</f>
        <v/>
      </c>
      <c r="AR7" s="193">
        <f>ROUND($O7*AA7,0)</f>
        <v/>
      </c>
      <c r="AS7" s="193">
        <f>ROUND($O7*AB7,0)</f>
        <v/>
      </c>
      <c r="AT7" s="306">
        <f>ROUND($O7*AC7,0)</f>
        <v/>
      </c>
      <c r="AU7" s="306">
        <f>ROUND($O7*AD7,0)</f>
        <v/>
      </c>
      <c r="AV7" s="306">
        <f>ROUND($O7*AE7,0)</f>
        <v/>
      </c>
      <c r="AW7" s="306">
        <f>ROUND($O7*AF7,0)</f>
        <v/>
      </c>
      <c r="AX7" s="236">
        <f>SUM(AG7:AO7)</f>
        <v/>
      </c>
      <c r="AY7" s="528">
        <f>AX7/160</f>
        <v/>
      </c>
      <c r="AZ7" s="87">
        <f>VLOOKUP(I7,Listy!$A$1:$H$9,6,FALSE)</f>
        <v/>
      </c>
      <c r="BA7" s="682">
        <f>AY7*AZ7</f>
        <v/>
      </c>
      <c r="BB7" s="683">
        <f>AY7*BA7</f>
        <v/>
      </c>
      <c r="BC7" s="528" t="n"/>
      <c r="BD7" s="528" t="n"/>
      <c r="BE7" s="528" t="n"/>
      <c r="BF7" s="528" t="n"/>
      <c r="BG7" s="528" t="n"/>
      <c r="BH7" s="528" t="n"/>
      <c r="BI7" s="21">
        <f>BG7*BH7</f>
        <v/>
      </c>
      <c r="BJ7" s="528" t="n"/>
      <c r="BK7" s="528" t="n"/>
      <c r="BL7" s="528" t="n"/>
      <c r="BM7" s="528" t="n"/>
      <c r="BN7" s="528" t="n"/>
      <c r="BO7" s="528" t="n"/>
      <c r="BP7" s="528" t="n"/>
      <c r="BQ7" s="528" t="n"/>
      <c r="BR7" s="528" t="n"/>
      <c r="BS7" s="528" t="n"/>
      <c r="BT7" s="528" t="n"/>
      <c r="BU7" s="528" t="n"/>
      <c r="BV7" s="528" t="n"/>
      <c r="BW7" s="21">
        <f>BU7*BV7</f>
        <v/>
      </c>
      <c r="BX7" s="528" t="n"/>
      <c r="BY7" s="528" t="n"/>
      <c r="BZ7" s="528" t="n"/>
      <c r="CA7" s="21">
        <f>BY7*BZ7</f>
        <v/>
      </c>
      <c r="CB7" s="528" t="n"/>
      <c r="CC7" s="528" t="n"/>
      <c r="CD7" s="528" t="n"/>
      <c r="CE7" s="21">
        <f>CC7*CD7</f>
        <v/>
      </c>
    </row>
    <row r="8" ht="15.6" customHeight="1" s="191">
      <c r="A8" s="387" t="n">
        <v>1</v>
      </c>
      <c r="B8" s="55" t="inlineStr">
        <is>
          <t>d</t>
        </is>
      </c>
      <c r="C8" s="105" t="n">
        <v>1</v>
      </c>
      <c r="D8" s="116">
        <f>CONCATENATE(A$3,"_",A8,"_",B8,"_",C8)</f>
        <v/>
      </c>
      <c r="E8" s="122" t="inlineStr">
        <is>
          <t>Identyfikacja potencjalnych ryzyk i planowanie działań zapobiegawczych</t>
        </is>
      </c>
      <c r="F8" s="528">
        <f>IFERROR(VLOOKUP($I8,Listy!$A:$H,2,FALSE),"XXX")</f>
        <v/>
      </c>
      <c r="G8" s="528">
        <f>IFERROR(VLOOKUP($I8,Listy!$A:$H,3,FALSE),"XXX")</f>
        <v/>
      </c>
      <c r="H8" s="140" t="n">
        <v>4</v>
      </c>
      <c r="I8" s="89" t="inlineStr">
        <is>
          <t>.a01</t>
        </is>
      </c>
      <c r="J8" s="91">
        <f>M7+1</f>
        <v/>
      </c>
      <c r="K8" s="681">
        <f>VLOOKUP(J8,Kalendarz!B:E,4,FALSE)</f>
        <v/>
      </c>
      <c r="L8" s="681">
        <f>K8+N8</f>
        <v/>
      </c>
      <c r="M8" s="528">
        <f>J8+N8-1</f>
        <v/>
      </c>
      <c r="N8" s="476" t="n">
        <v>0</v>
      </c>
      <c r="O8" s="529" t="n">
        <v>80</v>
      </c>
      <c r="P8" s="187" t="n">
        <v>0</v>
      </c>
      <c r="Q8" s="187" t="n">
        <v>0</v>
      </c>
      <c r="R8" s="187" t="n">
        <v>0.25</v>
      </c>
      <c r="S8" s="187" t="n">
        <v>0.25</v>
      </c>
      <c r="T8" s="187" t="n">
        <v>0.25</v>
      </c>
      <c r="U8" s="187" t="n">
        <v>0.25</v>
      </c>
      <c r="V8" s="187" t="n"/>
      <c r="W8" s="187" t="n"/>
      <c r="X8" s="187" t="n"/>
      <c r="Y8" s="292" t="n">
        <v>0</v>
      </c>
      <c r="Z8" s="292" t="n">
        <v>0</v>
      </c>
      <c r="AA8" s="292" t="n">
        <v>0</v>
      </c>
      <c r="AB8" s="292" t="n">
        <v>0</v>
      </c>
      <c r="AC8" s="305" t="n"/>
      <c r="AD8" s="305" t="n"/>
      <c r="AE8" s="305" t="n"/>
      <c r="AF8" s="305" t="n"/>
      <c r="AG8" s="192">
        <f>ROUND($O8*P8,0)</f>
        <v/>
      </c>
      <c r="AH8" s="192">
        <f>ROUND($O8*Q8,0)</f>
        <v/>
      </c>
      <c r="AI8" s="192">
        <f>ROUND($O8*R8,0)</f>
        <v/>
      </c>
      <c r="AJ8" s="192">
        <f>ROUND($O8*S8,0)</f>
        <v/>
      </c>
      <c r="AK8" s="192">
        <f>ROUND($O8*T8,0)</f>
        <v/>
      </c>
      <c r="AL8" s="192">
        <f>ROUND($O8*U8,0)</f>
        <v/>
      </c>
      <c r="AM8" s="192">
        <f>ROUND($O8*V8,0)</f>
        <v/>
      </c>
      <c r="AN8" s="192">
        <f>ROUND($O8*W8,0)</f>
        <v/>
      </c>
      <c r="AO8" s="192">
        <f>ROUND($O8*X8,0)</f>
        <v/>
      </c>
      <c r="AP8" s="193">
        <f>ROUND($O8*Y8,0)</f>
        <v/>
      </c>
      <c r="AQ8" s="193">
        <f>ROUND($O8*Z8,0)</f>
        <v/>
      </c>
      <c r="AR8" s="193">
        <f>ROUND($O8*AA8,0)</f>
        <v/>
      </c>
      <c r="AS8" s="193">
        <f>ROUND($O8*AB8,0)</f>
        <v/>
      </c>
      <c r="AT8" s="306">
        <f>ROUND($O8*AC8,0)</f>
        <v/>
      </c>
      <c r="AU8" s="306">
        <f>ROUND($O8*AD8,0)</f>
        <v/>
      </c>
      <c r="AV8" s="306">
        <f>ROUND($O8*AE8,0)</f>
        <v/>
      </c>
      <c r="AW8" s="306">
        <f>ROUND($O8*AF8,0)</f>
        <v/>
      </c>
      <c r="AX8" s="236">
        <f>SUM(AG8:AO8)</f>
        <v/>
      </c>
      <c r="AY8" s="528">
        <f>AX8/160</f>
        <v/>
      </c>
      <c r="AZ8" s="87">
        <f>VLOOKUP(I8,Listy!$A$1:$H$9,6,FALSE)</f>
        <v/>
      </c>
      <c r="BA8" s="682">
        <f>AY8*AZ8</f>
        <v/>
      </c>
      <c r="BB8" s="683">
        <f>AY8*BA8</f>
        <v/>
      </c>
      <c r="BC8" s="528" t="n"/>
      <c r="BD8" s="528" t="n"/>
      <c r="BE8" s="528" t="n"/>
      <c r="BF8" s="528" t="n"/>
      <c r="BG8" s="528" t="n"/>
      <c r="BH8" s="528" t="n"/>
      <c r="BI8" s="21">
        <f>BG8*BH8</f>
        <v/>
      </c>
      <c r="BJ8" s="528" t="n"/>
      <c r="BK8" s="528" t="n"/>
      <c r="BL8" s="528" t="n"/>
      <c r="BM8" s="528" t="n"/>
      <c r="BN8" s="528" t="n"/>
      <c r="BO8" s="528" t="n"/>
      <c r="BP8" s="528" t="n"/>
      <c r="BQ8" s="528" t="n"/>
      <c r="BR8" s="528" t="n"/>
      <c r="BS8" s="528" t="n"/>
      <c r="BT8" s="528" t="n"/>
      <c r="BU8" s="528" t="n"/>
      <c r="BV8" s="528" t="n"/>
      <c r="BW8" s="21">
        <f>BU8*BV8</f>
        <v/>
      </c>
      <c r="BX8" s="528" t="n"/>
      <c r="BY8" s="528" t="n"/>
      <c r="BZ8" s="528" t="n"/>
      <c r="CA8" s="21">
        <f>BY8*BZ8</f>
        <v/>
      </c>
      <c r="CB8" s="528" t="n"/>
      <c r="CC8" s="528" t="n"/>
      <c r="CD8" s="528" t="n"/>
      <c r="CE8" s="21">
        <f>CC8*CD8</f>
        <v/>
      </c>
    </row>
    <row r="9" ht="18" customHeight="1" s="191">
      <c r="A9" s="55" t="n">
        <v>2</v>
      </c>
      <c r="B9" s="55" t="inlineStr">
        <is>
          <t>a</t>
        </is>
      </c>
      <c r="C9" s="397" t="n">
        <v>0</v>
      </c>
      <c r="D9" s="443">
        <f>CONCATENATE(A$3,"_",A9,"_",B9,"_",C9)</f>
        <v/>
      </c>
      <c r="E9" s="388" t="inlineStr">
        <is>
          <t>2.Przygotowanie techniczne i realizacja</t>
        </is>
      </c>
      <c r="F9" s="122" t="n"/>
      <c r="G9" s="122" t="n"/>
      <c r="H9" s="122" t="n"/>
      <c r="I9" s="122" t="n"/>
      <c r="J9" s="91">
        <f>M8+1</f>
        <v/>
      </c>
      <c r="K9" s="681">
        <f>VLOOKUP(J9,Kalendarz!B:E,4,FALSE)</f>
        <v/>
      </c>
      <c r="L9" s="681">
        <f>K9+N9</f>
        <v/>
      </c>
      <c r="M9" s="528">
        <f>J9+N9-1</f>
        <v/>
      </c>
      <c r="N9" s="474">
        <f>ROUND(MAX(AG9:AO9)/Listy!$U$2,0)</f>
        <v/>
      </c>
      <c r="O9" s="332" t="n"/>
      <c r="P9" s="332" t="n"/>
      <c r="Q9" s="538" t="n"/>
      <c r="R9" s="538" t="n"/>
      <c r="S9" s="538" t="n"/>
      <c r="T9" s="538" t="n"/>
      <c r="U9" s="538" t="n"/>
      <c r="V9" s="538" t="n"/>
      <c r="W9" s="538" t="n"/>
      <c r="X9" s="538" t="n"/>
      <c r="Y9" s="538" t="n"/>
      <c r="Z9" s="538" t="n"/>
      <c r="AA9" s="538" t="n"/>
      <c r="AB9" s="538" t="n"/>
      <c r="AC9" s="538" t="n"/>
      <c r="AD9" s="538" t="n"/>
      <c r="AE9" s="538" t="n"/>
      <c r="AF9" s="538" t="n"/>
      <c r="AG9" s="192">
        <f>ROUND($O9*P9,0)</f>
        <v/>
      </c>
      <c r="AH9" s="192">
        <f>ROUND($O9*Q9,0)</f>
        <v/>
      </c>
      <c r="AI9" s="192">
        <f>ROUND($O9*R9,0)</f>
        <v/>
      </c>
      <c r="AJ9" s="192">
        <f>ROUND($O9*S9,0)</f>
        <v/>
      </c>
      <c r="AK9" s="192">
        <f>ROUND($O9*T9,0)</f>
        <v/>
      </c>
      <c r="AL9" s="192">
        <f>ROUND($O9*U9,0)</f>
        <v/>
      </c>
      <c r="AM9" s="192">
        <f>ROUND($O9*V9,0)</f>
        <v/>
      </c>
      <c r="AN9" s="192">
        <f>ROUND($O9*W9,0)</f>
        <v/>
      </c>
      <c r="AO9" s="192">
        <f>ROUND($O9*X9,0)</f>
        <v/>
      </c>
      <c r="AP9" s="538" t="n"/>
      <c r="AQ9" s="538" t="n"/>
      <c r="AR9" s="538" t="n"/>
      <c r="AS9" s="538" t="n"/>
      <c r="AT9" s="538" t="n"/>
      <c r="AU9" s="538" t="n"/>
      <c r="AV9" s="538" t="n"/>
      <c r="AW9" s="538" t="n"/>
      <c r="AX9" s="538" t="n"/>
      <c r="AY9" s="538" t="n"/>
      <c r="AZ9" s="538" t="n"/>
      <c r="BA9" s="538" t="n"/>
      <c r="BB9" s="538" t="n"/>
      <c r="BC9" s="538" t="n"/>
      <c r="BD9" s="538" t="n"/>
      <c r="BE9" s="538" t="n"/>
      <c r="BF9" s="538" t="n"/>
      <c r="BG9" s="538" t="n"/>
      <c r="BH9" s="538" t="n"/>
      <c r="BI9" s="538" t="n"/>
      <c r="BJ9" s="538" t="n"/>
      <c r="BK9" s="538" t="n"/>
      <c r="BL9" s="538" t="n"/>
      <c r="BM9" s="538" t="n"/>
      <c r="BN9" s="538" t="n"/>
      <c r="BO9" s="538" t="n"/>
      <c r="BP9" s="538" t="n"/>
      <c r="BQ9" s="538" t="n"/>
      <c r="BR9" s="538" t="n"/>
      <c r="BS9" s="538" t="n"/>
      <c r="BT9" s="538" t="n"/>
      <c r="BU9" s="538" t="n"/>
      <c r="BV9" s="538" t="n"/>
      <c r="BW9" s="538" t="n"/>
      <c r="BX9" s="538" t="n"/>
      <c r="BY9" s="538" t="n"/>
      <c r="BZ9" s="538" t="n"/>
      <c r="CA9" s="538" t="n"/>
      <c r="CB9" s="538" t="n"/>
      <c r="CC9" s="538" t="n"/>
      <c r="CD9" s="538" t="n"/>
      <c r="CE9" s="538" t="n"/>
      <c r="CF9" s="538" t="n"/>
    </row>
    <row r="10">
      <c r="A10" s="55" t="n">
        <v>2</v>
      </c>
      <c r="B10" s="55" t="inlineStr">
        <is>
          <t>a</t>
        </is>
      </c>
      <c r="C10" s="397" t="n">
        <v>1</v>
      </c>
      <c r="D10" s="443">
        <f>CONCATENATE(A$3,"_",A10,"_",B10,"_",C10)</f>
        <v/>
      </c>
      <c r="E10" s="404" t="inlineStr">
        <is>
          <t>Wybór i instalacja niezbędnych narzędzi, technologii, systemów</t>
        </is>
      </c>
      <c r="F10" s="399">
        <f>IFERROR(VLOOKUP($I10,Listy!$A:$H,2,FALSE),"XXX")</f>
        <v/>
      </c>
      <c r="G10" s="528">
        <f>IFERROR(VLOOKUP($I10,Listy!$A:$H,3,FALSE),"XXX")</f>
        <v/>
      </c>
      <c r="H10" s="45" t="n">
        <v>5</v>
      </c>
      <c r="I10" s="89" t="inlineStr">
        <is>
          <t>.a04</t>
        </is>
      </c>
      <c r="J10" s="91">
        <f>M9+1</f>
        <v/>
      </c>
      <c r="K10" s="681">
        <f>VLOOKUP(J10,Kalendarz!B:E,4,FALSE)</f>
        <v/>
      </c>
      <c r="L10" s="681">
        <f>K10+N10</f>
        <v/>
      </c>
      <c r="M10" s="528">
        <f>J10+N10-1</f>
        <v/>
      </c>
      <c r="N10" s="474" t="n">
        <v>1</v>
      </c>
      <c r="O10" s="529" t="n">
        <v>120</v>
      </c>
      <c r="P10" s="187" t="n">
        <v>0.25</v>
      </c>
      <c r="Q10" s="187" t="n">
        <v>0.25</v>
      </c>
      <c r="R10" s="187" t="n">
        <v>0.25</v>
      </c>
      <c r="S10" s="187" t="n">
        <v>0.25</v>
      </c>
      <c r="T10" s="187" t="n">
        <v>0</v>
      </c>
      <c r="U10" s="187" t="n">
        <v>0</v>
      </c>
      <c r="V10" s="187" t="n"/>
      <c r="W10" s="187" t="n"/>
      <c r="X10" s="187" t="n"/>
      <c r="Y10" s="292" t="n">
        <v>0</v>
      </c>
      <c r="Z10" s="292" t="n">
        <v>0</v>
      </c>
      <c r="AA10" s="292" t="n">
        <v>0</v>
      </c>
      <c r="AB10" s="292" t="n">
        <v>0</v>
      </c>
      <c r="AC10" s="305" t="n"/>
      <c r="AD10" s="305" t="n"/>
      <c r="AE10" s="305" t="n"/>
      <c r="AF10" s="305" t="n"/>
      <c r="AG10" s="192">
        <f>ROUND($O10*P10,0)</f>
        <v/>
      </c>
      <c r="AH10" s="192">
        <f>ROUND($O10*Q10,0)</f>
        <v/>
      </c>
      <c r="AI10" s="192">
        <f>ROUND($O10*R10,0)</f>
        <v/>
      </c>
      <c r="AJ10" s="192">
        <f>ROUND($O10*S10,0)</f>
        <v/>
      </c>
      <c r="AK10" s="192">
        <f>ROUND($O10*T10,0)</f>
        <v/>
      </c>
      <c r="AL10" s="192">
        <f>ROUND($O10*U10,0)</f>
        <v/>
      </c>
      <c r="AM10" s="192">
        <f>ROUND($O10*V10,0)</f>
        <v/>
      </c>
      <c r="AN10" s="192">
        <f>ROUND($O10*W10,0)</f>
        <v/>
      </c>
      <c r="AO10" s="192">
        <f>ROUND($O10*X10,0)</f>
        <v/>
      </c>
      <c r="AP10" s="193">
        <f>ROUND($O10*Y10,0)</f>
        <v/>
      </c>
      <c r="AQ10" s="193">
        <f>ROUND($O10*Z10,0)</f>
        <v/>
      </c>
      <c r="AR10" s="193">
        <f>ROUND($O10*AA10,0)</f>
        <v/>
      </c>
      <c r="AS10" s="193">
        <f>ROUND($O10*AB10,0)</f>
        <v/>
      </c>
      <c r="AT10" s="306">
        <f>ROUND($O10*AC10,0)</f>
        <v/>
      </c>
      <c r="AU10" s="306">
        <f>ROUND($O10*AD10,0)</f>
        <v/>
      </c>
      <c r="AV10" s="306">
        <f>ROUND($O10*AE10,0)</f>
        <v/>
      </c>
      <c r="AW10" s="306">
        <f>ROUND($O10*AF10,0)</f>
        <v/>
      </c>
      <c r="AX10" s="236">
        <f>SUM(AG10:AO10)</f>
        <v/>
      </c>
      <c r="AY10" s="528">
        <f>AX10/160</f>
        <v/>
      </c>
      <c r="AZ10" s="87">
        <f>VLOOKUP(I10,Listy!$A$1:$H$9,6,FALSE)</f>
        <v/>
      </c>
      <c r="BA10" s="682">
        <f>AY10*AZ10</f>
        <v/>
      </c>
      <c r="BB10" s="683">
        <f>AY10*BA10</f>
        <v/>
      </c>
      <c r="BC10" s="528" t="n"/>
      <c r="BD10" s="528" t="n"/>
      <c r="BE10" s="528" t="n"/>
      <c r="BF10" s="528" t="n"/>
      <c r="BG10" s="528" t="n"/>
      <c r="BH10" s="528" t="n"/>
      <c r="BI10" s="21">
        <f>BG10*BH10</f>
        <v/>
      </c>
      <c r="BJ10" s="528" t="n"/>
      <c r="BK10" s="528" t="n"/>
      <c r="BL10" s="528" t="n"/>
      <c r="BM10" s="528" t="n"/>
      <c r="BN10" s="528" t="n"/>
      <c r="BO10" s="528" t="n"/>
      <c r="BP10" s="528" t="n"/>
      <c r="BQ10" s="528" t="n"/>
      <c r="BR10" s="528" t="n"/>
      <c r="BS10" s="528" t="n"/>
      <c r="BT10" s="528" t="n"/>
      <c r="BU10" s="528" t="n"/>
      <c r="BV10" s="528" t="n"/>
      <c r="BW10" s="21">
        <f>BU10*BV10</f>
        <v/>
      </c>
      <c r="BX10" s="528" t="n"/>
      <c r="BY10" s="528" t="n"/>
      <c r="BZ10" s="528" t="n"/>
      <c r="CA10" s="21">
        <f>BY10*BZ10</f>
        <v/>
      </c>
      <c r="CB10" s="528" t="n"/>
      <c r="CC10" s="528" t="n"/>
      <c r="CD10" s="528" t="n"/>
      <c r="CE10" s="21">
        <f>CC10*CD10</f>
        <v/>
      </c>
    </row>
    <row r="11" ht="43.2" customFormat="1" customHeight="1" s="538">
      <c r="A11" s="55" t="n">
        <v>2</v>
      </c>
      <c r="B11" s="55" t="inlineStr">
        <is>
          <t>b</t>
        </is>
      </c>
      <c r="C11" s="397" t="n">
        <v>1</v>
      </c>
      <c r="D11" s="443">
        <f>CONCATENATE(A$3,"_",A11,"_",B11,"_",C11)</f>
        <v/>
      </c>
      <c r="E11" s="406" t="inlineStr">
        <is>
          <t>Konfiguracja i integracja nowych narzędzi platformy z wybranymi systemami (np. ERP/WMS), aby dane dotyczące operacji były automatycznie pobierane i aktualizowane w czasie rzeczywistym lub z minimalnym opóźnieniem</t>
        </is>
      </c>
      <c r="F11" s="399">
        <f>IFERROR(VLOOKUP($I11,Listy!$A:$H,2,FALSE),"XXX")</f>
        <v/>
      </c>
      <c r="G11" s="528">
        <f>IFERROR(VLOOKUP($I11,Listy!$A:$H,3,FALSE),"XXX")</f>
        <v/>
      </c>
      <c r="H11" s="392" t="n">
        <v>6</v>
      </c>
      <c r="I11" s="89" t="inlineStr">
        <is>
          <t>.a01</t>
        </is>
      </c>
      <c r="J11" s="91">
        <f>M10+1</f>
        <v/>
      </c>
      <c r="K11" s="681">
        <f>VLOOKUP(J11,Kalendarz!B:E,4,FALSE)</f>
        <v/>
      </c>
      <c r="L11" s="681">
        <f>K11+N11</f>
        <v/>
      </c>
      <c r="M11" s="528">
        <f>J11+N11-1</f>
        <v/>
      </c>
      <c r="N11" s="474" t="n">
        <v>1</v>
      </c>
      <c r="O11" s="529" t="n">
        <v>120</v>
      </c>
      <c r="P11" s="187" t="n">
        <v>0.17</v>
      </c>
      <c r="Q11" s="187" t="n">
        <v>0.17</v>
      </c>
      <c r="R11" s="187" t="n">
        <v>0.17</v>
      </c>
      <c r="S11" s="187" t="n">
        <v>0.17</v>
      </c>
      <c r="T11" s="187" t="n">
        <v>0.17</v>
      </c>
      <c r="U11" s="187" t="n">
        <v>0.15</v>
      </c>
      <c r="V11" s="187" t="n"/>
      <c r="W11" s="187" t="n"/>
      <c r="X11" s="187" t="n"/>
      <c r="Y11" s="292" t="n">
        <v>0</v>
      </c>
      <c r="Z11" s="292" t="n">
        <v>0</v>
      </c>
      <c r="AA11" s="292" t="n">
        <v>0</v>
      </c>
      <c r="AB11" s="292" t="n">
        <v>0</v>
      </c>
      <c r="AC11" s="305" t="n"/>
      <c r="AD11" s="305" t="n"/>
      <c r="AE11" s="305" t="n"/>
      <c r="AF11" s="305" t="n"/>
      <c r="AG11" s="192">
        <f>ROUND($O11*P11,0)</f>
        <v/>
      </c>
      <c r="AH11" s="192">
        <f>ROUND($O11*Q11,0)</f>
        <v/>
      </c>
      <c r="AI11" s="192">
        <f>ROUND($O11*R11,0)</f>
        <v/>
      </c>
      <c r="AJ11" s="192">
        <f>ROUND($O11*S11,0)</f>
        <v/>
      </c>
      <c r="AK11" s="192">
        <f>ROUND($O11*T11,0)</f>
        <v/>
      </c>
      <c r="AL11" s="192">
        <f>ROUND($O11*U11,0)</f>
        <v/>
      </c>
      <c r="AM11" s="192">
        <f>ROUND($O11*V11,0)</f>
        <v/>
      </c>
      <c r="AN11" s="192">
        <f>ROUND($O11*W11,0)</f>
        <v/>
      </c>
      <c r="AO11" s="192">
        <f>ROUND($O11*X11,0)</f>
        <v/>
      </c>
      <c r="AP11" s="193">
        <f>ROUND($O11*Y11,0)</f>
        <v/>
      </c>
      <c r="AQ11" s="193">
        <f>ROUND($O11*Z11,0)</f>
        <v/>
      </c>
      <c r="AR11" s="193">
        <f>ROUND($O11*AA11,0)</f>
        <v/>
      </c>
      <c r="AS11" s="193">
        <f>ROUND($O11*AB11,0)</f>
        <v/>
      </c>
      <c r="AT11" s="306">
        <f>ROUND($O11*AC11,0)</f>
        <v/>
      </c>
      <c r="AU11" s="306">
        <f>ROUND($O11*AD11,0)</f>
        <v/>
      </c>
      <c r="AV11" s="306">
        <f>ROUND($O11*AE11,0)</f>
        <v/>
      </c>
      <c r="AW11" s="306">
        <f>ROUND($O11*AF11,0)</f>
        <v/>
      </c>
      <c r="AX11" s="236">
        <f>SUM(AG11:AO11)</f>
        <v/>
      </c>
      <c r="AY11" s="528">
        <f>AX11/160</f>
        <v/>
      </c>
      <c r="AZ11" s="87">
        <f>VLOOKUP(I11,Listy!$A$1:$H$9,6,FALSE)</f>
        <v/>
      </c>
      <c r="BA11" s="682">
        <f>AY11*AZ11</f>
        <v/>
      </c>
      <c r="BB11" s="683">
        <f>AY11*BA11</f>
        <v/>
      </c>
      <c r="BC11" s="528" t="n"/>
      <c r="BD11" s="528" t="n"/>
      <c r="BE11" s="528" t="n"/>
      <c r="BF11" s="528" t="n"/>
      <c r="BG11" s="528" t="n"/>
      <c r="BH11" s="528" t="n"/>
      <c r="BI11" s="21">
        <f>BG11*BH11</f>
        <v/>
      </c>
      <c r="BJ11" s="528" t="n"/>
      <c r="BK11" s="528" t="n"/>
      <c r="BL11" s="528" t="n"/>
      <c r="BM11" s="528" t="n"/>
      <c r="BN11" s="528" t="n"/>
      <c r="BO11" s="528" t="n"/>
      <c r="BP11" s="528" t="n"/>
      <c r="BQ11" s="528" t="n"/>
      <c r="BR11" s="528" t="n"/>
      <c r="BS11" s="528" t="n"/>
      <c r="BT11" s="528" t="n"/>
      <c r="BU11" s="528" t="n"/>
      <c r="BV11" s="528" t="n"/>
      <c r="BW11" s="21">
        <f>BU11*BV11</f>
        <v/>
      </c>
      <c r="BX11" s="528" t="n"/>
      <c r="BY11" s="528" t="n"/>
      <c r="BZ11" s="528" t="n"/>
      <c r="CA11" s="21">
        <f>BY11*BZ11</f>
        <v/>
      </c>
      <c r="CB11" s="528" t="n"/>
      <c r="CC11" s="528" t="n"/>
      <c r="CD11" s="528" t="n"/>
      <c r="CE11" s="21">
        <f>CC11*CD11</f>
        <v/>
      </c>
      <c r="CF11" s="329" t="n"/>
    </row>
    <row r="12" customFormat="1" s="538">
      <c r="A12" s="55" t="n">
        <v>2</v>
      </c>
      <c r="B12" s="55" t="inlineStr">
        <is>
          <t>c</t>
        </is>
      </c>
      <c r="C12" s="397" t="n">
        <v>1</v>
      </c>
      <c r="D12" s="443">
        <f>CONCATENATE(A$3,"_",A12,"_",B12,"_",C12)</f>
        <v/>
      </c>
      <c r="E12" s="404" t="inlineStr">
        <is>
          <t>Przygotowanie danych i ich migracja z systemów na platformę</t>
        </is>
      </c>
      <c r="F12" s="399">
        <f>IFERROR(VLOOKUP($I12,Listy!$A:$H,2,FALSE),"XXX")</f>
        <v/>
      </c>
      <c r="G12" s="528">
        <f>IFERROR(VLOOKUP($I12,Listy!$A:$H,3,FALSE),"XXX")</f>
        <v/>
      </c>
      <c r="H12" s="392" t="n">
        <v>7</v>
      </c>
      <c r="I12" s="89" t="inlineStr">
        <is>
          <t>.a02</t>
        </is>
      </c>
      <c r="J12" s="91">
        <f>M11+1</f>
        <v/>
      </c>
      <c r="K12" s="681">
        <f>VLOOKUP(J12,Kalendarz!B:E,4,FALSE)</f>
        <v/>
      </c>
      <c r="L12" s="681">
        <f>K12+N12</f>
        <v/>
      </c>
      <c r="M12" s="528">
        <f>J12+N12-1</f>
        <v/>
      </c>
      <c r="N12" s="474" t="n">
        <v>1</v>
      </c>
      <c r="O12" s="529" t="n">
        <v>80</v>
      </c>
      <c r="P12" s="187" t="n">
        <v>0.17</v>
      </c>
      <c r="Q12" s="187" t="n">
        <v>0.17</v>
      </c>
      <c r="R12" s="187" t="n">
        <v>0.17</v>
      </c>
      <c r="S12" s="187" t="n">
        <v>0.17</v>
      </c>
      <c r="T12" s="187" t="n">
        <v>0.17</v>
      </c>
      <c r="U12" s="187" t="n">
        <v>0.15</v>
      </c>
      <c r="V12" s="187" t="n"/>
      <c r="W12" s="187" t="n"/>
      <c r="X12" s="187" t="n"/>
      <c r="Y12" s="292" t="n">
        <v>0</v>
      </c>
      <c r="Z12" s="292" t="n">
        <v>0</v>
      </c>
      <c r="AA12" s="292" t="n">
        <v>0</v>
      </c>
      <c r="AB12" s="292" t="n">
        <v>0</v>
      </c>
      <c r="AC12" s="305" t="n"/>
      <c r="AD12" s="305" t="n"/>
      <c r="AE12" s="305" t="n"/>
      <c r="AF12" s="305" t="n"/>
      <c r="AG12" s="192">
        <f>ROUND($O12*P12,0)</f>
        <v/>
      </c>
      <c r="AH12" s="192">
        <f>ROUND($O12*Q12,0)</f>
        <v/>
      </c>
      <c r="AI12" s="192">
        <f>ROUND($O12*R12,0)</f>
        <v/>
      </c>
      <c r="AJ12" s="192">
        <f>ROUND($O12*S12,0)</f>
        <v/>
      </c>
      <c r="AK12" s="192">
        <f>ROUND($O12*T12,0)</f>
        <v/>
      </c>
      <c r="AL12" s="192">
        <f>ROUND($O12*U12,0)</f>
        <v/>
      </c>
      <c r="AM12" s="192">
        <f>ROUND($O12*V12,0)</f>
        <v/>
      </c>
      <c r="AN12" s="192">
        <f>ROUND($O12*W12,0)</f>
        <v/>
      </c>
      <c r="AO12" s="192">
        <f>ROUND($O12*X12,0)</f>
        <v/>
      </c>
      <c r="AP12" s="193">
        <f>ROUND($O12*Y12,0)</f>
        <v/>
      </c>
      <c r="AQ12" s="193">
        <f>ROUND($O12*Z12,0)</f>
        <v/>
      </c>
      <c r="AR12" s="193">
        <f>ROUND($O12*AA12,0)</f>
        <v/>
      </c>
      <c r="AS12" s="193">
        <f>ROUND($O12*AB12,0)</f>
        <v/>
      </c>
      <c r="AT12" s="306">
        <f>ROUND($O12*AC12,0)</f>
        <v/>
      </c>
      <c r="AU12" s="306">
        <f>ROUND($O12*AD12,0)</f>
        <v/>
      </c>
      <c r="AV12" s="306">
        <f>ROUND($O12*AE12,0)</f>
        <v/>
      </c>
      <c r="AW12" s="306">
        <f>ROUND($O12*AF12,0)</f>
        <v/>
      </c>
      <c r="AX12" s="236">
        <f>SUM(AG12:AO12)</f>
        <v/>
      </c>
      <c r="AY12" s="528">
        <f>AX12/160</f>
        <v/>
      </c>
      <c r="AZ12" s="87">
        <f>VLOOKUP(I12,Listy!$A$1:$H$9,6,FALSE)</f>
        <v/>
      </c>
      <c r="BA12" s="682">
        <f>AY12*AZ12</f>
        <v/>
      </c>
      <c r="BB12" s="683">
        <f>AY12*BA12</f>
        <v/>
      </c>
      <c r="BC12" s="528" t="n"/>
      <c r="BD12" s="528" t="n"/>
      <c r="BE12" s="528" t="n"/>
      <c r="BF12" s="528" t="n"/>
      <c r="BG12" s="528" t="n"/>
      <c r="BH12" s="528" t="n"/>
      <c r="BI12" s="21">
        <f>BG12*BH12</f>
        <v/>
      </c>
      <c r="BJ12" s="528" t="n"/>
      <c r="BK12" s="528" t="n"/>
      <c r="BL12" s="528" t="n"/>
      <c r="BM12" s="528" t="n"/>
      <c r="BN12" s="528" t="n"/>
      <c r="BO12" s="528" t="n"/>
      <c r="BP12" s="528" t="n"/>
      <c r="BQ12" s="528" t="n"/>
      <c r="BR12" s="528" t="n"/>
      <c r="BS12" s="528" t="n"/>
      <c r="BT12" s="528" t="n"/>
      <c r="BU12" s="528" t="n"/>
      <c r="BV12" s="528" t="n"/>
      <c r="BW12" s="21">
        <f>BU12*BV12</f>
        <v/>
      </c>
      <c r="BX12" s="528" t="n"/>
      <c r="BY12" s="528" t="n"/>
      <c r="BZ12" s="528" t="n"/>
      <c r="CA12" s="21">
        <f>BY12*BZ12</f>
        <v/>
      </c>
      <c r="CB12" s="528" t="n"/>
      <c r="CC12" s="528" t="n"/>
      <c r="CD12" s="528" t="n"/>
      <c r="CE12" s="21">
        <f>CC12*CD12</f>
        <v/>
      </c>
    </row>
    <row r="13" ht="43.2" customFormat="1" customHeight="1" s="538">
      <c r="A13" s="55" t="n">
        <v>2</v>
      </c>
      <c r="B13" s="55" t="inlineStr">
        <is>
          <t>d</t>
        </is>
      </c>
      <c r="C13" s="397" t="n">
        <v>1</v>
      </c>
      <c r="D13" s="443">
        <f>CONCATENATE(A$3,"_",A13,"_",B13,"_",C13)</f>
        <v/>
      </c>
      <c r="E13" s="404" t="inlineStr">
        <is>
          <t>Przygotowanie szczegółowych scenariuszy operacyjnych dla procesów pakowania, kompletacji i obsługi magazynu MWS, aby zoptymalizowane modele matematyczne były zgodne z rzeczywistością magazynową</t>
        </is>
      </c>
      <c r="F13" s="399">
        <f>IFERROR(VLOOKUP($I13,Listy!$A:$H,2,FALSE),"XXX")</f>
        <v/>
      </c>
      <c r="G13" s="528">
        <f>IFERROR(VLOOKUP($I13,Listy!$A:$H,3,FALSE),"XXX")</f>
        <v/>
      </c>
      <c r="H13" s="392" t="n">
        <v>8</v>
      </c>
      <c r="I13" s="89" t="inlineStr">
        <is>
          <t>.a03</t>
        </is>
      </c>
      <c r="J13" s="91">
        <f>M12+1</f>
        <v/>
      </c>
      <c r="K13" s="681">
        <f>VLOOKUP(J13,Kalendarz!B:E,4,FALSE)</f>
        <v/>
      </c>
      <c r="L13" s="681">
        <f>K13+N13</f>
        <v/>
      </c>
      <c r="M13" s="528">
        <f>J13+N13-1</f>
        <v/>
      </c>
      <c r="N13" s="474" t="n">
        <v>1</v>
      </c>
      <c r="O13" s="529" t="n">
        <v>120</v>
      </c>
      <c r="P13" s="187" t="n">
        <v>0.17</v>
      </c>
      <c r="Q13" s="187" t="n">
        <v>0.17</v>
      </c>
      <c r="R13" s="187" t="n">
        <v>0.17</v>
      </c>
      <c r="S13" s="187" t="n">
        <v>0.17</v>
      </c>
      <c r="T13" s="187" t="n">
        <v>0.17</v>
      </c>
      <c r="U13" s="187" t="n">
        <v>0.15</v>
      </c>
      <c r="V13" s="187" t="n"/>
      <c r="W13" s="187" t="n"/>
      <c r="X13" s="187" t="n"/>
      <c r="Y13" s="292" t="n">
        <v>0</v>
      </c>
      <c r="Z13" s="292" t="n">
        <v>0</v>
      </c>
      <c r="AA13" s="292" t="n">
        <v>0</v>
      </c>
      <c r="AB13" s="292" t="n">
        <v>0</v>
      </c>
      <c r="AC13" s="305" t="n"/>
      <c r="AD13" s="305" t="n"/>
      <c r="AE13" s="305" t="n"/>
      <c r="AF13" s="305" t="n"/>
      <c r="AG13" s="192">
        <f>ROUND($O13*P13,0)</f>
        <v/>
      </c>
      <c r="AH13" s="192">
        <f>ROUND($O13*Q13,0)</f>
        <v/>
      </c>
      <c r="AI13" s="192">
        <f>ROUND($O13*R13,0)</f>
        <v/>
      </c>
      <c r="AJ13" s="192">
        <f>ROUND($O13*S13,0)</f>
        <v/>
      </c>
      <c r="AK13" s="192">
        <f>ROUND($O13*T13,0)</f>
        <v/>
      </c>
      <c r="AL13" s="192">
        <f>ROUND($O13*U13,0)</f>
        <v/>
      </c>
      <c r="AM13" s="192">
        <f>ROUND($O13*V13,0)</f>
        <v/>
      </c>
      <c r="AN13" s="192">
        <f>ROUND($O13*W13,0)</f>
        <v/>
      </c>
      <c r="AO13" s="192">
        <f>ROUND($O13*X13,0)</f>
        <v/>
      </c>
      <c r="AP13" s="193">
        <f>ROUND($O13*Y13,0)</f>
        <v/>
      </c>
      <c r="AQ13" s="193">
        <f>ROUND($O13*Z13,0)</f>
        <v/>
      </c>
      <c r="AR13" s="193">
        <f>ROUND($O13*AA13,0)</f>
        <v/>
      </c>
      <c r="AS13" s="193">
        <f>ROUND($O13*AB13,0)</f>
        <v/>
      </c>
      <c r="AT13" s="306">
        <f>ROUND($O13*AC13,0)</f>
        <v/>
      </c>
      <c r="AU13" s="306">
        <f>ROUND($O13*AD13,0)</f>
        <v/>
      </c>
      <c r="AV13" s="306">
        <f>ROUND($O13*AE13,0)</f>
        <v/>
      </c>
      <c r="AW13" s="306">
        <f>ROUND($O13*AF13,0)</f>
        <v/>
      </c>
      <c r="AX13" s="236">
        <f>SUM(AG13:AO13)</f>
        <v/>
      </c>
      <c r="AY13" s="528">
        <f>AX13/160</f>
        <v/>
      </c>
      <c r="AZ13" s="87">
        <f>VLOOKUP(I13,Listy!$A$1:$H$9,6,FALSE)</f>
        <v/>
      </c>
      <c r="BA13" s="682">
        <f>AY13*AZ13</f>
        <v/>
      </c>
      <c r="BB13" s="683">
        <f>AY13*BA13</f>
        <v/>
      </c>
      <c r="BC13" s="528" t="n"/>
      <c r="BD13" s="528" t="n"/>
      <c r="BE13" s="528" t="n"/>
      <c r="BF13" s="528" t="n"/>
      <c r="BG13" s="528" t="n"/>
      <c r="BH13" s="528" t="n"/>
      <c r="BI13" s="21">
        <f>BG13*BH13</f>
        <v/>
      </c>
      <c r="BJ13" s="528" t="n"/>
      <c r="BK13" s="528" t="n"/>
      <c r="BL13" s="528" t="n"/>
      <c r="BM13" s="528" t="n"/>
      <c r="BN13" s="528" t="n"/>
      <c r="BO13" s="528" t="n"/>
      <c r="BP13" s="528" t="n"/>
      <c r="BQ13" s="528" t="n"/>
      <c r="BR13" s="528" t="n"/>
      <c r="BS13" s="528" t="n"/>
      <c r="BT13" s="528" t="n"/>
      <c r="BU13" s="528" t="n"/>
      <c r="BV13" s="528" t="n"/>
      <c r="BW13" s="21">
        <f>BU13*BV13</f>
        <v/>
      </c>
      <c r="BX13" s="528" t="n"/>
      <c r="BY13" s="528" t="n"/>
      <c r="BZ13" s="528" t="n"/>
      <c r="CA13" s="21">
        <f>BY13*BZ13</f>
        <v/>
      </c>
      <c r="CB13" s="528" t="n"/>
      <c r="CC13" s="528" t="n"/>
      <c r="CD13" s="528" t="n"/>
      <c r="CE13" s="21">
        <f>CC13*CD13</f>
        <v/>
      </c>
    </row>
    <row r="14" ht="43.2" customFormat="1" customHeight="1" s="538">
      <c r="A14" s="55" t="n">
        <v>2</v>
      </c>
      <c r="B14" s="55" t="inlineStr">
        <is>
          <t>e</t>
        </is>
      </c>
      <c r="C14" s="397" t="n">
        <v>1</v>
      </c>
      <c r="D14" s="443">
        <f>CONCATENATE(A$3,"_",A14,"_",B14,"_",C14)</f>
        <v/>
      </c>
      <c r="E14" s="404" t="inlineStr">
        <is>
          <t>Wyznaczenie KPI, które będą monitorowane i optymalizowane przez wdrożone modele (np. czas kompletacji, pakowania, efektywność tras wózków widłowych)</t>
        </is>
      </c>
      <c r="F14" s="399">
        <f>IFERROR(VLOOKUP($I14,Listy!$A:$H,2,FALSE),"XXX")</f>
        <v/>
      </c>
      <c r="G14" s="528">
        <f>IFERROR(VLOOKUP($I14,Listy!$A:$H,3,FALSE),"XXX")</f>
        <v/>
      </c>
      <c r="H14" s="393" t="n">
        <v>9</v>
      </c>
      <c r="I14" s="89" t="inlineStr">
        <is>
          <t>.a01</t>
        </is>
      </c>
      <c r="J14" s="91">
        <f>M13+1</f>
        <v/>
      </c>
      <c r="K14" s="681">
        <f>VLOOKUP(J14,Kalendarz!B:E,4,FALSE)</f>
        <v/>
      </c>
      <c r="L14" s="681">
        <f>K14+N14</f>
        <v/>
      </c>
      <c r="M14" s="528">
        <f>J14+N14-1</f>
        <v/>
      </c>
      <c r="N14" s="474" t="n">
        <v>1</v>
      </c>
      <c r="O14" s="529" t="n">
        <v>80</v>
      </c>
      <c r="P14" s="187" t="n">
        <v>0.17</v>
      </c>
      <c r="Q14" s="187" t="n">
        <v>0.17</v>
      </c>
      <c r="R14" s="187" t="n">
        <v>0.17</v>
      </c>
      <c r="S14" s="187" t="n">
        <v>0.17</v>
      </c>
      <c r="T14" s="187" t="n">
        <v>0.17</v>
      </c>
      <c r="U14" s="187" t="n">
        <v>0.15</v>
      </c>
      <c r="V14" s="187" t="n"/>
      <c r="W14" s="187" t="n"/>
      <c r="X14" s="187" t="n"/>
      <c r="Y14" s="292" t="n">
        <v>0</v>
      </c>
      <c r="Z14" s="292" t="n">
        <v>0</v>
      </c>
      <c r="AA14" s="292" t="n">
        <v>0</v>
      </c>
      <c r="AB14" s="292" t="n">
        <v>0</v>
      </c>
      <c r="AC14" s="305" t="n"/>
      <c r="AD14" s="305" t="n"/>
      <c r="AE14" s="305" t="n"/>
      <c r="AF14" s="305" t="n"/>
      <c r="AG14" s="192">
        <f>ROUND($O14*P14,0)</f>
        <v/>
      </c>
      <c r="AH14" s="192">
        <f>ROUND($O14*Q14,0)</f>
        <v/>
      </c>
      <c r="AI14" s="192">
        <f>ROUND($O14*R14,0)</f>
        <v/>
      </c>
      <c r="AJ14" s="192">
        <f>ROUND($O14*S14,0)</f>
        <v/>
      </c>
      <c r="AK14" s="192">
        <f>ROUND($O14*T14,0)</f>
        <v/>
      </c>
      <c r="AL14" s="192">
        <f>ROUND($O14*U14,0)</f>
        <v/>
      </c>
      <c r="AM14" s="192">
        <f>ROUND($O14*V14,0)</f>
        <v/>
      </c>
      <c r="AN14" s="192">
        <f>ROUND($O14*W14,0)</f>
        <v/>
      </c>
      <c r="AO14" s="192">
        <f>ROUND($O14*X14,0)</f>
        <v/>
      </c>
      <c r="AP14" s="193">
        <f>ROUND($O14*Y14,0)</f>
        <v/>
      </c>
      <c r="AQ14" s="193">
        <f>ROUND($O14*Z14,0)</f>
        <v/>
      </c>
      <c r="AR14" s="193">
        <f>ROUND($O14*AA14,0)</f>
        <v/>
      </c>
      <c r="AS14" s="193">
        <f>ROUND($O14*AB14,0)</f>
        <v/>
      </c>
      <c r="AT14" s="306">
        <f>ROUND($O14*AC14,0)</f>
        <v/>
      </c>
      <c r="AU14" s="306">
        <f>ROUND($O14*AD14,0)</f>
        <v/>
      </c>
      <c r="AV14" s="306">
        <f>ROUND($O14*AE14,0)</f>
        <v/>
      </c>
      <c r="AW14" s="306">
        <f>ROUND($O14*AF14,0)</f>
        <v/>
      </c>
      <c r="AX14" s="236">
        <f>SUM(AG14:AO14)</f>
        <v/>
      </c>
      <c r="AY14" s="528">
        <f>AX14/160</f>
        <v/>
      </c>
      <c r="AZ14" s="87">
        <f>VLOOKUP(I14,Listy!$A$1:$H$9,6,FALSE)</f>
        <v/>
      </c>
      <c r="BA14" s="682">
        <f>AY14*AZ14</f>
        <v/>
      </c>
      <c r="BB14" s="683">
        <f>AY14*BA14</f>
        <v/>
      </c>
      <c r="BC14" s="528" t="n"/>
      <c r="BD14" s="528" t="n"/>
      <c r="BE14" s="528" t="n"/>
      <c r="BF14" s="528" t="n"/>
      <c r="BG14" s="528" t="n"/>
      <c r="BH14" s="528" t="n"/>
      <c r="BI14" s="21">
        <f>BG14*BH14</f>
        <v/>
      </c>
      <c r="BJ14" s="528" t="n"/>
      <c r="BK14" s="528" t="n"/>
      <c r="BL14" s="528" t="n"/>
      <c r="BM14" s="528" t="n"/>
      <c r="BN14" s="528" t="n"/>
      <c r="BO14" s="528" t="n"/>
      <c r="BP14" s="528" t="n"/>
      <c r="BQ14" s="528" t="n"/>
      <c r="BR14" s="528" t="n"/>
      <c r="BS14" s="528" t="n"/>
      <c r="BT14" s="528" t="n"/>
      <c r="BU14" s="528" t="n"/>
      <c r="BV14" s="528" t="n"/>
      <c r="BW14" s="21">
        <f>BU14*BV14</f>
        <v/>
      </c>
      <c r="BX14" s="528" t="n"/>
      <c r="BY14" s="528" t="n"/>
      <c r="BZ14" s="528" t="n"/>
      <c r="CA14" s="21">
        <f>BY14*BZ14</f>
        <v/>
      </c>
      <c r="CB14" s="528" t="n"/>
      <c r="CC14" s="528" t="n"/>
      <c r="CD14" s="528" t="n"/>
      <c r="CE14" s="21">
        <f>CC14*CD14</f>
        <v/>
      </c>
    </row>
    <row r="15" ht="18" customFormat="1" customHeight="1" s="538">
      <c r="A15" s="604" t="n">
        <v>3</v>
      </c>
      <c r="B15" s="55" t="inlineStr">
        <is>
          <t>a</t>
        </is>
      </c>
      <c r="C15" s="397" t="n">
        <v>0</v>
      </c>
      <c r="D15" s="443">
        <f>CONCATENATE(A$3,"_",A15,"_",B15,"_",C15)</f>
        <v/>
      </c>
      <c r="E15" s="388" t="inlineStr">
        <is>
          <t>3.Testowanie i symulacje w kontrolowanych warunkach (np. w ramach programu pilotażowego</t>
        </is>
      </c>
      <c r="F15" s="332" t="n"/>
      <c r="G15" s="332" t="n"/>
      <c r="H15" s="332" t="n"/>
      <c r="I15" s="332" t="n"/>
      <c r="J15" s="91">
        <f>M14+1</f>
        <v/>
      </c>
      <c r="K15" s="681">
        <f>VLOOKUP(J15,Kalendarz!B:E,4,FALSE)</f>
        <v/>
      </c>
      <c r="L15" s="681">
        <f>K15+N15</f>
        <v/>
      </c>
      <c r="M15" s="528">
        <f>J15+N15-1</f>
        <v/>
      </c>
      <c r="N15" s="474">
        <f>ROUND(MAX(AG15:AO15)/Listy!$U$2,0)</f>
        <v/>
      </c>
      <c r="O15" s="332" t="n"/>
      <c r="P15" s="332" t="n"/>
      <c r="AG15" s="192">
        <f>ROUND($O15*P15,0)</f>
        <v/>
      </c>
      <c r="AH15" s="192">
        <f>ROUND($O15*Q15,0)</f>
        <v/>
      </c>
      <c r="AI15" s="192">
        <f>ROUND($O15*R15,0)</f>
        <v/>
      </c>
      <c r="AJ15" s="192">
        <f>ROUND($O15*S15,0)</f>
        <v/>
      </c>
      <c r="AK15" s="192">
        <f>ROUND($O15*T15,0)</f>
        <v/>
      </c>
      <c r="AL15" s="192">
        <f>ROUND($O15*U15,0)</f>
        <v/>
      </c>
      <c r="AM15" s="192">
        <f>ROUND($O15*V15,0)</f>
        <v/>
      </c>
      <c r="AN15" s="192">
        <f>ROUND($O15*W15,0)</f>
        <v/>
      </c>
      <c r="AO15" s="192">
        <f>ROUND($O15*X15,0)</f>
        <v/>
      </c>
    </row>
    <row r="16" ht="57.6" customFormat="1" customHeight="1" s="538">
      <c r="A16" s="528" t="n">
        <v>3</v>
      </c>
      <c r="B16" s="55" t="inlineStr">
        <is>
          <t>a</t>
        </is>
      </c>
      <c r="C16" s="397" t="n">
        <v>1</v>
      </c>
      <c r="D16" s="443">
        <f>CONCATENATE(A$3,"_",A16,"_",B16,"_",C16)</f>
        <v/>
      </c>
      <c r="E16" s="404" t="inlineStr">
        <is>
          <t>Wprowadzenie opracowanych modeli do systemu testowego, przetestowanie ich działania na przykładzie rzeczywistych danych z magazynu, a następnie ich kalibracja, uwzględniając wszelkie odstępstwa lub specyficzne warunki operacyjne</t>
        </is>
      </c>
      <c r="F16" s="399">
        <f>IFERROR(VLOOKUP($I16,Listy!$A:$H,2,FALSE),"XXX")</f>
        <v/>
      </c>
      <c r="G16" s="528">
        <f>IFERROR(VLOOKUP($I16,Listy!$A:$H,3,FALSE),"XXX")</f>
        <v/>
      </c>
      <c r="H16" s="392" t="n">
        <v>10</v>
      </c>
      <c r="I16" s="89" t="inlineStr">
        <is>
          <t>.a03</t>
        </is>
      </c>
      <c r="J16" s="91">
        <f>M15+1</f>
        <v/>
      </c>
      <c r="K16" s="681">
        <f>VLOOKUP(J16,Kalendarz!B:E,4,FALSE)</f>
        <v/>
      </c>
      <c r="L16" s="681">
        <f>K16+N16</f>
        <v/>
      </c>
      <c r="M16" s="528">
        <f>J16+N16-1</f>
        <v/>
      </c>
      <c r="N16" s="474" t="n">
        <v>1</v>
      </c>
      <c r="O16" s="529" t="n">
        <v>120</v>
      </c>
      <c r="P16" s="187" t="n">
        <v>0.17</v>
      </c>
      <c r="Q16" s="187" t="n">
        <v>0.17</v>
      </c>
      <c r="R16" s="187" t="n">
        <v>0.17</v>
      </c>
      <c r="S16" s="187" t="n">
        <v>0.17</v>
      </c>
      <c r="T16" s="187" t="n">
        <v>0.17</v>
      </c>
      <c r="U16" s="187" t="n">
        <v>0.15</v>
      </c>
      <c r="V16" s="187" t="n"/>
      <c r="W16" s="187" t="n"/>
      <c r="X16" s="187" t="n"/>
      <c r="Y16" s="292" t="n">
        <v>0</v>
      </c>
      <c r="Z16" s="292" t="n">
        <v>0</v>
      </c>
      <c r="AA16" s="292" t="n">
        <v>0</v>
      </c>
      <c r="AB16" s="292" t="n">
        <v>0</v>
      </c>
      <c r="AC16" s="305" t="n"/>
      <c r="AD16" s="305" t="n"/>
      <c r="AE16" s="305" t="n"/>
      <c r="AF16" s="305" t="n"/>
      <c r="AG16" s="192">
        <f>ROUND($O16*P16,0)</f>
        <v/>
      </c>
      <c r="AH16" s="192">
        <f>ROUND($O16*Q16,0)</f>
        <v/>
      </c>
      <c r="AI16" s="192">
        <f>ROUND($O16*R16,0)</f>
        <v/>
      </c>
      <c r="AJ16" s="192">
        <f>ROUND($O16*S16,0)</f>
        <v/>
      </c>
      <c r="AK16" s="192">
        <f>ROUND($O16*T16,0)</f>
        <v/>
      </c>
      <c r="AL16" s="192">
        <f>ROUND($O16*U16,0)</f>
        <v/>
      </c>
      <c r="AM16" s="192">
        <f>ROUND($O16*V16,0)</f>
        <v/>
      </c>
      <c r="AN16" s="192">
        <f>ROUND($O16*W16,0)</f>
        <v/>
      </c>
      <c r="AO16" s="192">
        <f>ROUND($O16*X16,0)</f>
        <v/>
      </c>
      <c r="AP16" s="193">
        <f>ROUND($O16*Y16,0)</f>
        <v/>
      </c>
      <c r="AQ16" s="193">
        <f>ROUND($O16*Z16,0)</f>
        <v/>
      </c>
      <c r="AR16" s="193">
        <f>ROUND($O16*AA16,0)</f>
        <v/>
      </c>
      <c r="AS16" s="193">
        <f>ROUND($O16*AB16,0)</f>
        <v/>
      </c>
      <c r="AT16" s="306">
        <f>ROUND($O16*AC16,0)</f>
        <v/>
      </c>
      <c r="AU16" s="306">
        <f>ROUND($O16*AD16,0)</f>
        <v/>
      </c>
      <c r="AV16" s="306">
        <f>ROUND($O16*AE16,0)</f>
        <v/>
      </c>
      <c r="AW16" s="306">
        <f>ROUND($O16*AF16,0)</f>
        <v/>
      </c>
      <c r="AX16" s="236">
        <f>SUM(AG16:AO16)</f>
        <v/>
      </c>
      <c r="AY16" s="528">
        <f>AX16/160</f>
        <v/>
      </c>
      <c r="AZ16" s="87">
        <f>VLOOKUP(I16,Listy!$A$1:$H$9,6,FALSE)</f>
        <v/>
      </c>
      <c r="BA16" s="682">
        <f>AY16*AZ16</f>
        <v/>
      </c>
      <c r="BB16" s="683">
        <f>AY16*BA16</f>
        <v/>
      </c>
      <c r="BC16" s="528" t="n"/>
      <c r="BD16" s="528" t="n"/>
      <c r="BE16" s="528" t="n"/>
      <c r="BF16" s="528" t="n"/>
      <c r="BG16" s="528" t="n"/>
      <c r="BH16" s="528" t="n"/>
      <c r="BI16" s="21">
        <f>BG16*BH16</f>
        <v/>
      </c>
      <c r="BJ16" s="528" t="n"/>
      <c r="BK16" s="528" t="n"/>
      <c r="BL16" s="528" t="n"/>
      <c r="BM16" s="528" t="n"/>
      <c r="BN16" s="528" t="n"/>
      <c r="BO16" s="528" t="n"/>
      <c r="BP16" s="528" t="n"/>
      <c r="BQ16" s="528" t="n"/>
      <c r="BR16" s="528" t="n"/>
      <c r="BS16" s="528" t="n"/>
      <c r="BT16" s="528" t="n"/>
      <c r="BU16" s="528" t="n"/>
      <c r="BV16" s="528" t="n"/>
      <c r="BW16" s="21">
        <f>BU16*BV16</f>
        <v/>
      </c>
      <c r="BX16" s="528" t="n"/>
      <c r="BY16" s="528" t="n"/>
      <c r="BZ16" s="528" t="n"/>
      <c r="CA16" s="21">
        <f>BY16*BZ16</f>
        <v/>
      </c>
      <c r="CB16" s="528" t="n"/>
      <c r="CC16" s="528" t="n"/>
      <c r="CD16" s="528" t="n"/>
      <c r="CE16" s="21">
        <f>CC16*CD16</f>
        <v/>
      </c>
    </row>
    <row r="17" ht="57.6" customFormat="1" customHeight="1" s="538">
      <c r="A17" s="46" t="n">
        <v>3</v>
      </c>
      <c r="B17" s="385" t="inlineStr">
        <is>
          <t>b</t>
        </is>
      </c>
      <c r="C17" s="397" t="n">
        <v>1</v>
      </c>
      <c r="D17" s="443">
        <f>CONCATENATE(A$3,"_",A17,"_",B17,"_",C17)</f>
        <v/>
      </c>
      <c r="E17" s="406" t="inlineStr">
        <is>
          <t>Wykorzystanie modeli matematycznych do analizy i optymalizacji wybranych procesów logistycznych np. ruchu wózków widłowych w magazynie, minimalizując czas przejazdów, kolizje oraz maksymalizując efektywność tras, procesu pakowania czy kompletacji</t>
        </is>
      </c>
      <c r="F17" s="399">
        <f>IFERROR(VLOOKUP($I17,Listy!$A:$H,2,FALSE),"XXX")</f>
        <v/>
      </c>
      <c r="G17" s="528">
        <f>IFERROR(VLOOKUP($I17,Listy!$A:$H,3,FALSE),"XXX")</f>
        <v/>
      </c>
      <c r="H17" s="392" t="n">
        <v>11</v>
      </c>
      <c r="I17" s="89" t="inlineStr">
        <is>
          <t>.a04</t>
        </is>
      </c>
      <c r="J17" s="91">
        <f>M16+1</f>
        <v/>
      </c>
      <c r="K17" s="681">
        <f>VLOOKUP(J17,Kalendarz!B:E,4,FALSE)</f>
        <v/>
      </c>
      <c r="L17" s="681">
        <f>K17+N17</f>
        <v/>
      </c>
      <c r="M17" s="528">
        <f>J17+N17-1</f>
        <v/>
      </c>
      <c r="N17" s="474" t="n">
        <v>1</v>
      </c>
      <c r="O17" s="529" t="n">
        <v>120</v>
      </c>
      <c r="P17" s="187" t="n">
        <v>0.17</v>
      </c>
      <c r="Q17" s="187" t="n">
        <v>0.17</v>
      </c>
      <c r="R17" s="187" t="n">
        <v>0.17</v>
      </c>
      <c r="S17" s="187" t="n">
        <v>0.17</v>
      </c>
      <c r="T17" s="187" t="n">
        <v>0.17</v>
      </c>
      <c r="U17" s="187" t="n">
        <v>0.15</v>
      </c>
      <c r="V17" s="187" t="n"/>
      <c r="W17" s="187" t="n"/>
      <c r="X17" s="187" t="n"/>
      <c r="Y17" s="292" t="n">
        <v>0</v>
      </c>
      <c r="Z17" s="292" t="n">
        <v>0</v>
      </c>
      <c r="AA17" s="292" t="n">
        <v>0</v>
      </c>
      <c r="AB17" s="292" t="n">
        <v>0</v>
      </c>
      <c r="AC17" s="305" t="n"/>
      <c r="AD17" s="305" t="n"/>
      <c r="AE17" s="305" t="n"/>
      <c r="AF17" s="305" t="n"/>
      <c r="AG17" s="192">
        <f>ROUND($O17*P17,0)</f>
        <v/>
      </c>
      <c r="AH17" s="192">
        <f>ROUND($O17*Q17,0)</f>
        <v/>
      </c>
      <c r="AI17" s="192">
        <f>ROUND($O17*R17,0)</f>
        <v/>
      </c>
      <c r="AJ17" s="192">
        <f>ROUND($O17*S17,0)</f>
        <v/>
      </c>
      <c r="AK17" s="192">
        <f>ROUND($O17*T17,0)</f>
        <v/>
      </c>
      <c r="AL17" s="192">
        <f>ROUND($O17*U17,0)</f>
        <v/>
      </c>
      <c r="AM17" s="192">
        <f>ROUND($O17*V17,0)</f>
        <v/>
      </c>
      <c r="AN17" s="192">
        <f>ROUND($O17*W17,0)</f>
        <v/>
      </c>
      <c r="AO17" s="192">
        <f>ROUND($O17*X17,0)</f>
        <v/>
      </c>
      <c r="AP17" s="193">
        <f>ROUND($O17*Y17,0)</f>
        <v/>
      </c>
      <c r="AQ17" s="193">
        <f>ROUND($O17*Z17,0)</f>
        <v/>
      </c>
      <c r="AR17" s="193">
        <f>ROUND($O17*AA17,0)</f>
        <v/>
      </c>
      <c r="AS17" s="193">
        <f>ROUND($O17*AB17,0)</f>
        <v/>
      </c>
      <c r="AT17" s="306">
        <f>ROUND($O17*AC17,0)</f>
        <v/>
      </c>
      <c r="AU17" s="306">
        <f>ROUND($O17*AD17,0)</f>
        <v/>
      </c>
      <c r="AV17" s="306">
        <f>ROUND($O17*AE17,0)</f>
        <v/>
      </c>
      <c r="AW17" s="306">
        <f>ROUND($O17*AF17,0)</f>
        <v/>
      </c>
      <c r="AX17" s="236">
        <f>SUM(AG17:AO17)</f>
        <v/>
      </c>
      <c r="AY17" s="528">
        <f>AX17/160</f>
        <v/>
      </c>
      <c r="AZ17" s="87">
        <f>VLOOKUP(I17,Listy!$A$1:$H$9,6,FALSE)</f>
        <v/>
      </c>
      <c r="BA17" s="682">
        <f>AY17*AZ17</f>
        <v/>
      </c>
      <c r="BB17" s="683">
        <f>AY17*BA17</f>
        <v/>
      </c>
      <c r="BC17" s="528" t="n"/>
      <c r="BD17" s="528" t="n"/>
      <c r="BE17" s="528" t="n"/>
      <c r="BF17" s="528" t="n"/>
      <c r="BG17" s="528" t="n"/>
      <c r="BH17" s="528" t="n"/>
      <c r="BI17" s="21">
        <f>BG17*BH17</f>
        <v/>
      </c>
      <c r="BJ17" s="528" t="n"/>
      <c r="BK17" s="528" t="n"/>
      <c r="BL17" s="528" t="n"/>
      <c r="BM17" s="528" t="n"/>
      <c r="BN17" s="528" t="n"/>
      <c r="BO17" s="528" t="n"/>
      <c r="BP17" s="528" t="n"/>
      <c r="BQ17" s="528" t="n"/>
      <c r="BR17" s="528" t="n"/>
      <c r="BS17" s="528" t="n"/>
      <c r="BT17" s="528" t="n"/>
      <c r="BU17" s="528" t="n"/>
      <c r="BV17" s="528" t="n"/>
      <c r="BW17" s="21">
        <f>BU17*BV17</f>
        <v/>
      </c>
      <c r="BX17" s="528" t="n"/>
      <c r="BY17" s="528" t="n"/>
      <c r="BZ17" s="528" t="n"/>
      <c r="CA17" s="21">
        <f>BY17*BZ17</f>
        <v/>
      </c>
      <c r="CB17" s="528" t="n"/>
      <c r="CC17" s="528" t="n"/>
      <c r="CD17" s="528" t="n"/>
      <c r="CE17" s="21">
        <f>CC17*CD17</f>
        <v/>
      </c>
      <c r="CF17" s="361" t="n"/>
    </row>
    <row r="18" ht="57.6" customFormat="1" customHeight="1" s="538">
      <c r="A18" s="528" t="n">
        <v>3</v>
      </c>
      <c r="B18" s="55" t="inlineStr">
        <is>
          <t>c</t>
        </is>
      </c>
      <c r="C18" s="397" t="n">
        <v>1</v>
      </c>
      <c r="D18" s="443">
        <f>CONCATENATE(A$3,"_",A18,"_",B18,"_",C18)</f>
        <v/>
      </c>
      <c r="E18" s="404" t="inlineStr">
        <is>
          <t>Przeprowadzenie testów (np. testy funkcjonalności, wydajności, użytkowe, bezpieczeństwa) celem upewnienia się, że wszystko działa zgodnie z oczekiwaniami i czy użytkownicy potrafią efektywnie korzystać z nowego rozwiązania</t>
        </is>
      </c>
      <c r="F18" s="399">
        <f>IFERROR(VLOOKUP($I18,Listy!$A:$H,2,FALSE),"XXX")</f>
        <v/>
      </c>
      <c r="G18" s="528">
        <f>IFERROR(VLOOKUP($I18,Listy!$A:$H,3,FALSE),"XXX")</f>
        <v/>
      </c>
      <c r="H18" s="392" t="n">
        <v>12</v>
      </c>
      <c r="I18" s="89" t="inlineStr">
        <is>
          <t>.a05</t>
        </is>
      </c>
      <c r="J18" s="91">
        <f>M17+1</f>
        <v/>
      </c>
      <c r="K18" s="681">
        <f>VLOOKUP(J18,Kalendarz!B:E,4,FALSE)</f>
        <v/>
      </c>
      <c r="L18" s="681">
        <f>K18+N18</f>
        <v/>
      </c>
      <c r="M18" s="528">
        <f>J18+N18-1</f>
        <v/>
      </c>
      <c r="N18" s="474" t="n">
        <v>1</v>
      </c>
      <c r="O18" s="529" t="n">
        <v>120</v>
      </c>
      <c r="P18" s="187" t="n">
        <v>0.17</v>
      </c>
      <c r="Q18" s="187" t="n">
        <v>0.17</v>
      </c>
      <c r="R18" s="187" t="n">
        <v>0.17</v>
      </c>
      <c r="S18" s="187" t="n">
        <v>0.17</v>
      </c>
      <c r="T18" s="187" t="n">
        <v>0.17</v>
      </c>
      <c r="U18" s="187" t="n">
        <v>0.15</v>
      </c>
      <c r="V18" s="187" t="n"/>
      <c r="W18" s="187" t="n"/>
      <c r="X18" s="187" t="n"/>
      <c r="Y18" s="292" t="n">
        <v>0</v>
      </c>
      <c r="Z18" s="292" t="n">
        <v>0</v>
      </c>
      <c r="AA18" s="292" t="n">
        <v>0</v>
      </c>
      <c r="AB18" s="292" t="n">
        <v>0</v>
      </c>
      <c r="AC18" s="305" t="n"/>
      <c r="AD18" s="305" t="n"/>
      <c r="AE18" s="305" t="n"/>
      <c r="AF18" s="305" t="n"/>
      <c r="AG18" s="192">
        <f>ROUND($O18*P18,0)</f>
        <v/>
      </c>
      <c r="AH18" s="192">
        <f>ROUND($O18*Q18,0)</f>
        <v/>
      </c>
      <c r="AI18" s="192">
        <f>ROUND($O18*R18,0)</f>
        <v/>
      </c>
      <c r="AJ18" s="192">
        <f>ROUND($O18*S18,0)</f>
        <v/>
      </c>
      <c r="AK18" s="192">
        <f>ROUND($O18*T18,0)</f>
        <v/>
      </c>
      <c r="AL18" s="192">
        <f>ROUND($O18*U18,0)</f>
        <v/>
      </c>
      <c r="AM18" s="192">
        <f>ROUND($O18*V18,0)</f>
        <v/>
      </c>
      <c r="AN18" s="192">
        <f>ROUND($O18*W18,0)</f>
        <v/>
      </c>
      <c r="AO18" s="192">
        <f>ROUND($O18*X18,0)</f>
        <v/>
      </c>
      <c r="AP18" s="193">
        <f>ROUND($O18*Y18,0)</f>
        <v/>
      </c>
      <c r="AQ18" s="193">
        <f>ROUND($O18*Z18,0)</f>
        <v/>
      </c>
      <c r="AR18" s="193">
        <f>ROUND($O18*AA18,0)</f>
        <v/>
      </c>
      <c r="AS18" s="193">
        <f>ROUND($O18*AB18,0)</f>
        <v/>
      </c>
      <c r="AT18" s="306">
        <f>ROUND($O18*AC18,0)</f>
        <v/>
      </c>
      <c r="AU18" s="306">
        <f>ROUND($O18*AD18,0)</f>
        <v/>
      </c>
      <c r="AV18" s="306">
        <f>ROUND($O18*AE18,0)</f>
        <v/>
      </c>
      <c r="AW18" s="306">
        <f>ROUND($O18*AF18,0)</f>
        <v/>
      </c>
      <c r="AX18" s="236">
        <f>SUM(AG18:AO18)</f>
        <v/>
      </c>
      <c r="AY18" s="528">
        <f>AX18/160</f>
        <v/>
      </c>
      <c r="AZ18" s="87">
        <f>VLOOKUP(I18,Listy!$A$1:$H$9,6,FALSE)</f>
        <v/>
      </c>
      <c r="BA18" s="682">
        <f>AY18*AZ18</f>
        <v/>
      </c>
      <c r="BB18" s="683">
        <f>AY18*BA18</f>
        <v/>
      </c>
      <c r="BC18" s="528" t="n"/>
      <c r="BD18" s="528" t="n"/>
      <c r="BE18" s="528" t="n"/>
      <c r="BF18" s="528" t="n"/>
      <c r="BG18" s="528" t="n"/>
      <c r="BH18" s="528" t="n"/>
      <c r="BI18" s="21">
        <f>BG18*BH18</f>
        <v/>
      </c>
      <c r="BJ18" s="528" t="n"/>
      <c r="BK18" s="528" t="n"/>
      <c r="BL18" s="528" t="n"/>
      <c r="BM18" s="528" t="n"/>
      <c r="BN18" s="528" t="n"/>
      <c r="BO18" s="528" t="n"/>
      <c r="BP18" s="528" t="n"/>
      <c r="BQ18" s="528" t="n"/>
      <c r="BR18" s="528" t="n"/>
      <c r="BS18" s="528" t="n"/>
      <c r="BT18" s="528" t="n"/>
      <c r="BU18" s="528" t="n"/>
      <c r="BV18" s="528" t="n"/>
      <c r="BW18" s="21">
        <f>BU18*BV18</f>
        <v/>
      </c>
      <c r="BX18" s="528" t="n"/>
      <c r="BY18" s="528" t="n"/>
      <c r="BZ18" s="528" t="n"/>
      <c r="CA18" s="21">
        <f>BY18*BZ18</f>
        <v/>
      </c>
      <c r="CB18" s="528" t="n"/>
      <c r="CC18" s="528" t="n"/>
      <c r="CD18" s="528" t="n"/>
      <c r="CE18" s="21">
        <f>CC18*CD18</f>
        <v/>
      </c>
    </row>
    <row r="19" ht="18" customFormat="1" customHeight="1" s="538">
      <c r="A19" s="159" t="n">
        <v>4</v>
      </c>
      <c r="B19" s="388" t="inlineStr">
        <is>
          <t>a</t>
        </is>
      </c>
      <c r="C19" s="398" t="n">
        <v>0</v>
      </c>
      <c r="D19" s="443">
        <f>CONCATENATE(A$3,"_",A19,"_",B19,"_",C19)</f>
        <v/>
      </c>
      <c r="E19" s="388" t="inlineStr">
        <is>
          <t>4.Szkolenie użytkowników, obejmujące zarówno teoretyczne wprowadzenie, jak i praktyczne sesje, które uczą, jak obsługiwać nowy system i efektywnie z niego korzystać</t>
        </is>
      </c>
      <c r="F19" s="399" t="n"/>
      <c r="G19" s="528" t="n"/>
      <c r="H19" s="480" t="n"/>
      <c r="I19" s="89" t="n"/>
      <c r="J19" s="91">
        <f>M18+1</f>
        <v/>
      </c>
      <c r="K19" s="681">
        <f>VLOOKUP(J19,Kalendarz!B:E,4,FALSE)</f>
        <v/>
      </c>
      <c r="L19" s="681">
        <f>K19+N19</f>
        <v/>
      </c>
      <c r="M19" s="528">
        <f>J19+N19-1</f>
        <v/>
      </c>
      <c r="N19" s="474">
        <f>ROUND(MAX(AG19:AO19)/Listy!$U$2,0)</f>
        <v/>
      </c>
      <c r="O19" s="681" t="n"/>
      <c r="P19" s="681" t="n"/>
      <c r="Q19" s="681" t="n"/>
      <c r="AG19" s="192">
        <f>ROUND($O19*P19,0)</f>
        <v/>
      </c>
      <c r="AH19" s="192">
        <f>ROUND($O19*Q19,0)</f>
        <v/>
      </c>
      <c r="AI19" s="192">
        <f>ROUND($O19*R19,0)</f>
        <v/>
      </c>
      <c r="AJ19" s="192">
        <f>ROUND($O19*S19,0)</f>
        <v/>
      </c>
      <c r="AK19" s="192">
        <f>ROUND($O19*T19,0)</f>
        <v/>
      </c>
      <c r="AL19" s="192">
        <f>ROUND($O19*U19,0)</f>
        <v/>
      </c>
      <c r="AM19" s="192">
        <f>ROUND($O19*V19,0)</f>
        <v/>
      </c>
      <c r="AN19" s="192">
        <f>ROUND($O19*W19,0)</f>
        <v/>
      </c>
      <c r="AO19" s="192">
        <f>ROUND($O19*X19,0)</f>
        <v/>
      </c>
    </row>
    <row r="20" ht="18" customFormat="1" customHeight="1" s="538">
      <c r="A20" s="529" t="n">
        <v>4</v>
      </c>
      <c r="B20" s="388" t="inlineStr">
        <is>
          <t>a</t>
        </is>
      </c>
      <c r="C20" s="398" t="n">
        <v>1</v>
      </c>
      <c r="D20" s="443">
        <f>CONCATENATE(A$3,"_",A20,"_",B20,"_",C20)</f>
        <v/>
      </c>
      <c r="E20" s="407">
        <f>E19</f>
        <v/>
      </c>
      <c r="F20" s="399" t="n"/>
      <c r="G20" s="528" t="n"/>
      <c r="H20" s="480" t="n"/>
      <c r="I20" s="89" t="inlineStr">
        <is>
          <t>.a07</t>
        </is>
      </c>
      <c r="J20" s="91">
        <f>M19+1</f>
        <v/>
      </c>
      <c r="K20" s="681">
        <f>VLOOKUP(J20,Kalendarz!B:E,4,FALSE)</f>
        <v/>
      </c>
      <c r="L20" s="681">
        <f>K20+N20</f>
        <v/>
      </c>
      <c r="M20" s="528">
        <f>J20+N20-1</f>
        <v/>
      </c>
      <c r="N20" s="474">
        <f>ROUND(MAX(AG20:AO20)/Listy!$U$2,0)</f>
        <v/>
      </c>
      <c r="O20" s="529" t="n">
        <v>40</v>
      </c>
      <c r="P20" s="187" t="n">
        <v>0.17</v>
      </c>
      <c r="Q20" s="187" t="n">
        <v>0.17</v>
      </c>
      <c r="R20" s="187" t="n">
        <v>0.17</v>
      </c>
      <c r="S20" s="187" t="n">
        <v>0.17</v>
      </c>
      <c r="T20" s="187" t="n">
        <v>0.17</v>
      </c>
      <c r="U20" s="187" t="n">
        <v>0.15</v>
      </c>
      <c r="V20" s="187" t="n"/>
      <c r="W20" s="187" t="n"/>
      <c r="X20" s="187" t="n"/>
      <c r="Y20" s="292" t="n">
        <v>0</v>
      </c>
      <c r="Z20" s="292" t="n">
        <v>0</v>
      </c>
      <c r="AA20" s="292" t="n">
        <v>0</v>
      </c>
      <c r="AB20" s="292" t="n">
        <v>0</v>
      </c>
      <c r="AC20" s="305" t="n"/>
      <c r="AD20" s="305" t="n"/>
      <c r="AE20" s="305" t="n"/>
      <c r="AF20" s="305" t="n"/>
      <c r="AG20" s="192">
        <f>ROUND($O20*P20,0)</f>
        <v/>
      </c>
      <c r="AH20" s="192">
        <f>ROUND($O20*Q20,0)</f>
        <v/>
      </c>
      <c r="AI20" s="192">
        <f>ROUND($O20*R20,0)</f>
        <v/>
      </c>
      <c r="AJ20" s="192">
        <f>ROUND($O20*S20,0)</f>
        <v/>
      </c>
      <c r="AK20" s="192">
        <f>ROUND($O20*T20,0)</f>
        <v/>
      </c>
      <c r="AL20" s="192">
        <f>ROUND($O20*U20,0)</f>
        <v/>
      </c>
      <c r="AM20" s="192">
        <f>ROUND($O20*V20,0)</f>
        <v/>
      </c>
      <c r="AN20" s="192">
        <f>ROUND($O20*W20,0)</f>
        <v/>
      </c>
      <c r="AO20" s="192">
        <f>ROUND($O20*X20,0)</f>
        <v/>
      </c>
      <c r="AP20" s="193">
        <f>ROUND($O20*Y20,0)</f>
        <v/>
      </c>
      <c r="AQ20" s="193">
        <f>ROUND($O20*Z20,0)</f>
        <v/>
      </c>
      <c r="AR20" s="193">
        <f>ROUND($O20*AA20,0)</f>
        <v/>
      </c>
      <c r="AS20" s="193">
        <f>ROUND($O20*AB20,0)</f>
        <v/>
      </c>
      <c r="AT20" s="306">
        <f>ROUND($O20*AC20,0)</f>
        <v/>
      </c>
      <c r="AU20" s="306">
        <f>ROUND($O20*AD20,0)</f>
        <v/>
      </c>
      <c r="AV20" s="306">
        <f>ROUND($O20*AE20,0)</f>
        <v/>
      </c>
      <c r="AW20" s="306">
        <f>ROUND($O20*AF20,0)</f>
        <v/>
      </c>
      <c r="AX20" s="236">
        <f>SUM(AG20:AO20)</f>
        <v/>
      </c>
      <c r="AY20" s="528">
        <f>AX20/160</f>
        <v/>
      </c>
      <c r="AZ20" s="87">
        <f>VLOOKUP(I19,Listy!$A$1:$H$9,6,FALSE)</f>
        <v/>
      </c>
      <c r="BA20" s="682">
        <f>AY20*AZ20</f>
        <v/>
      </c>
      <c r="BB20" s="683">
        <f>AY20*BA20</f>
        <v/>
      </c>
      <c r="BC20" s="528" t="n"/>
      <c r="BD20" s="528" t="n"/>
      <c r="BE20" s="528" t="n"/>
      <c r="BF20" s="528" t="n"/>
      <c r="BG20" s="528" t="n"/>
      <c r="BH20" s="528" t="n"/>
      <c r="BI20" s="21">
        <f>BG20*BH20</f>
        <v/>
      </c>
      <c r="BJ20" s="528" t="n"/>
      <c r="BK20" s="528" t="n"/>
      <c r="BL20" s="528" t="n"/>
      <c r="BM20" s="528" t="n"/>
      <c r="BN20" s="528" t="n"/>
      <c r="BO20" s="528" t="n"/>
      <c r="BP20" s="528" t="n"/>
      <c r="BQ20" s="528" t="n"/>
      <c r="BR20" s="528" t="n"/>
      <c r="BS20" s="528" t="n"/>
      <c r="BT20" s="528" t="n"/>
      <c r="BU20" s="528" t="n"/>
      <c r="BV20" s="528" t="n"/>
      <c r="BW20" s="21">
        <f>BU20*BV20</f>
        <v/>
      </c>
      <c r="BX20" s="528" t="n"/>
      <c r="BY20" s="528" t="n"/>
      <c r="BZ20" s="528" t="n"/>
      <c r="CA20" s="21">
        <f>BY20*BZ20</f>
        <v/>
      </c>
      <c r="CB20" s="528" t="n"/>
      <c r="CC20" s="528" t="n"/>
      <c r="CD20" s="528" t="n"/>
      <c r="CE20" s="21">
        <f>CC20*CD20</f>
        <v/>
      </c>
    </row>
    <row r="21" ht="90" customFormat="1" customHeight="1" s="538">
      <c r="A21" s="604" t="n">
        <v>5</v>
      </c>
      <c r="B21" s="388" t="inlineStr">
        <is>
          <t>a</t>
        </is>
      </c>
      <c r="C21" s="398" t="n">
        <v>0</v>
      </c>
      <c r="D21" s="443">
        <f>CONCATENATE(A$3,"_",A21,"_",B21,"_",C21)</f>
        <v/>
      </c>
      <c r="E21" s="608" t="inlineStr">
        <is>
          <t>5.Uruchomienie (go-live. Po udanym przeprowadzeniu testów i szkoleń nastąpi faktyczne uruchomienie nowego rozwiązania w środowisku produkcyjnym. Będzie to stopniowy proces, w którym nowy system działa równolegle ze starym („dual run”, aby ograniczyć ryzyko</t>
        </is>
      </c>
      <c r="F21" s="399" t="n"/>
      <c r="G21" s="528" t="n"/>
      <c r="H21" s="480" t="n"/>
      <c r="I21" s="89" t="n"/>
      <c r="J21" s="91">
        <f>M20+1</f>
        <v/>
      </c>
      <c r="K21" s="681">
        <f>VLOOKUP(J21,Kalendarz!B:E,4,FALSE)</f>
        <v/>
      </c>
      <c r="L21" s="681">
        <f>K21+N21</f>
        <v/>
      </c>
      <c r="M21" s="528">
        <f>J21+N21-1</f>
        <v/>
      </c>
      <c r="N21" s="474">
        <f>ROUND(MAX(AG21:AO21)/Listy!$U$2,0)</f>
        <v/>
      </c>
      <c r="O21" s="681" t="n"/>
      <c r="P21" s="681" t="n"/>
      <c r="AG21" s="192">
        <f>ROUND($O21*P21,0)</f>
        <v/>
      </c>
      <c r="AH21" s="192">
        <f>ROUND($O21*Q21,0)</f>
        <v/>
      </c>
      <c r="AI21" s="192">
        <f>ROUND($O21*R21,0)</f>
        <v/>
      </c>
      <c r="AJ21" s="192">
        <f>ROUND($O21*S21,0)</f>
        <v/>
      </c>
      <c r="AK21" s="192">
        <f>ROUND($O21*T21,0)</f>
        <v/>
      </c>
      <c r="AL21" s="192">
        <f>ROUND($O21*U21,0)</f>
        <v/>
      </c>
      <c r="AM21" s="192">
        <f>ROUND($O21*V21,0)</f>
        <v/>
      </c>
      <c r="AN21" s="192">
        <f>ROUND($O21*W21,0)</f>
        <v/>
      </c>
      <c r="AO21" s="192">
        <f>ROUND($O21*X21,0)</f>
        <v/>
      </c>
    </row>
    <row r="22" ht="18" customFormat="1" customHeight="1" s="538">
      <c r="A22" s="529" t="n">
        <v>5</v>
      </c>
      <c r="B22" s="388" t="inlineStr">
        <is>
          <t>a</t>
        </is>
      </c>
      <c r="C22" s="398" t="n">
        <v>1</v>
      </c>
      <c r="D22" s="443">
        <f>CONCATENATE(A$3,"_",A22,"_",B22,"_",C22)</f>
        <v/>
      </c>
      <c r="E22" s="407">
        <f>E21</f>
        <v/>
      </c>
      <c r="F22" s="399" t="n"/>
      <c r="G22" s="528" t="n"/>
      <c r="H22" s="396" t="n"/>
      <c r="I22" s="89" t="inlineStr">
        <is>
          <t>.a09</t>
        </is>
      </c>
      <c r="J22" s="91">
        <f>M21+1</f>
        <v/>
      </c>
      <c r="K22" s="681">
        <f>VLOOKUP(J22,Kalendarz!B:E,4,FALSE)</f>
        <v/>
      </c>
      <c r="L22" s="681">
        <f>K22+N22</f>
        <v/>
      </c>
      <c r="M22" s="528">
        <f>J22+N22-1</f>
        <v/>
      </c>
      <c r="N22" s="474" t="n">
        <v>1</v>
      </c>
      <c r="O22" s="529" t="n">
        <v>120</v>
      </c>
      <c r="P22" s="187" t="n">
        <v>0.17</v>
      </c>
      <c r="Q22" s="187" t="n">
        <v>0.17</v>
      </c>
      <c r="R22" s="187" t="n">
        <v>0.17</v>
      </c>
      <c r="S22" s="187" t="n">
        <v>0.17</v>
      </c>
      <c r="T22" s="187" t="n">
        <v>0.17</v>
      </c>
      <c r="U22" s="187" t="n">
        <v>0.15</v>
      </c>
      <c r="V22" s="187" t="n"/>
      <c r="W22" s="187" t="n"/>
      <c r="X22" s="187" t="n"/>
      <c r="Y22" s="292" t="n">
        <v>0</v>
      </c>
      <c r="Z22" s="292" t="n">
        <v>0</v>
      </c>
      <c r="AA22" s="292" t="n">
        <v>0</v>
      </c>
      <c r="AB22" s="292" t="n">
        <v>0</v>
      </c>
      <c r="AC22" s="305" t="n"/>
      <c r="AD22" s="305" t="n"/>
      <c r="AE22" s="305" t="n"/>
      <c r="AF22" s="305" t="n"/>
      <c r="AG22" s="192">
        <f>ROUND($O22*P22,0)</f>
        <v/>
      </c>
      <c r="AH22" s="192">
        <f>ROUND($O22*Q22,0)</f>
        <v/>
      </c>
      <c r="AI22" s="192">
        <f>ROUND($O22*R22,0)</f>
        <v/>
      </c>
      <c r="AJ22" s="192">
        <f>ROUND($O22*S22,0)</f>
        <v/>
      </c>
      <c r="AK22" s="192">
        <f>ROUND($O22*T22,0)</f>
        <v/>
      </c>
      <c r="AL22" s="192">
        <f>ROUND($O22*U22,0)</f>
        <v/>
      </c>
      <c r="AM22" s="192">
        <f>ROUND($O22*V22,0)</f>
        <v/>
      </c>
      <c r="AN22" s="192">
        <f>ROUND($O22*W22,0)</f>
        <v/>
      </c>
      <c r="AO22" s="192">
        <f>ROUND($O22*X22,0)</f>
        <v/>
      </c>
      <c r="AP22" s="193">
        <f>ROUND($O22*Y22,0)</f>
        <v/>
      </c>
      <c r="AQ22" s="193">
        <f>ROUND($O22*Z22,0)</f>
        <v/>
      </c>
      <c r="AR22" s="193">
        <f>ROUND($O22*AA22,0)</f>
        <v/>
      </c>
      <c r="AS22" s="193">
        <f>ROUND($O22*AB22,0)</f>
        <v/>
      </c>
      <c r="AT22" s="306">
        <f>ROUND($O22*AC22,0)</f>
        <v/>
      </c>
      <c r="AU22" s="306">
        <f>ROUND($O22*AD22,0)</f>
        <v/>
      </c>
      <c r="AV22" s="306">
        <f>ROUND($O22*AE22,0)</f>
        <v/>
      </c>
      <c r="AW22" s="306">
        <f>ROUND($O22*AF22,0)</f>
        <v/>
      </c>
      <c r="AX22" s="236">
        <f>SUM(AG22:AO22)</f>
        <v/>
      </c>
      <c r="AY22" s="528">
        <f>AX22/160</f>
        <v/>
      </c>
      <c r="AZ22" s="87">
        <f>VLOOKUP(I21,Listy!$A$1:$H$9,6,FALSE)</f>
        <v/>
      </c>
      <c r="BA22" s="682">
        <f>AY22*AZ22</f>
        <v/>
      </c>
      <c r="BB22" s="683">
        <f>AY22*BA22</f>
        <v/>
      </c>
      <c r="BC22" s="528" t="n"/>
      <c r="BD22" s="528" t="n"/>
      <c r="BE22" s="528" t="n"/>
      <c r="BF22" s="528" t="n"/>
      <c r="BG22" s="528" t="n"/>
      <c r="BH22" s="528" t="n"/>
      <c r="BI22" s="21">
        <f>BG22*BH22</f>
        <v/>
      </c>
      <c r="BJ22" s="528" t="n"/>
      <c r="BK22" s="528" t="n"/>
      <c r="BL22" s="528" t="n"/>
      <c r="BM22" s="528" t="n"/>
      <c r="BN22" s="528" t="n"/>
      <c r="BO22" s="528" t="n"/>
      <c r="BP22" s="528" t="n"/>
      <c r="BQ22" s="528" t="n"/>
      <c r="BR22" s="528" t="n"/>
      <c r="BS22" s="528" t="n"/>
      <c r="BT22" s="528" t="n"/>
      <c r="BU22" s="528" t="n"/>
      <c r="BV22" s="528" t="n"/>
      <c r="BW22" s="21">
        <f>BU22*BV22</f>
        <v/>
      </c>
      <c r="BX22" s="528" t="n"/>
      <c r="BY22" s="528" t="n"/>
      <c r="BZ22" s="528" t="n"/>
      <c r="CA22" s="21">
        <f>BY22*BZ22</f>
        <v/>
      </c>
      <c r="CB22" s="528" t="n"/>
      <c r="CC22" s="528" t="n"/>
      <c r="CD22" s="528" t="n"/>
      <c r="CE22" s="21">
        <f>CC22*CD22</f>
        <v/>
      </c>
    </row>
    <row r="23" ht="18" customFormat="1" customHeight="1" s="538">
      <c r="A23" s="604" t="n">
        <v>6</v>
      </c>
      <c r="B23" s="55" t="inlineStr">
        <is>
          <t>a</t>
        </is>
      </c>
      <c r="C23" s="398" t="n">
        <v>0</v>
      </c>
      <c r="D23" s="443">
        <f>CONCATENATE(A$3,"_",A23,"_",B23,"_",C23)</f>
        <v/>
      </c>
      <c r="E23" s="388" t="inlineStr">
        <is>
          <t>6.Monitorowanie i wsparcie</t>
        </is>
      </c>
      <c r="F23" s="349" t="n"/>
      <c r="G23" s="349" t="n"/>
      <c r="H23" s="349" t="n"/>
      <c r="I23" s="349" t="n"/>
      <c r="J23" s="91">
        <f>M22+1</f>
        <v/>
      </c>
      <c r="K23" s="681">
        <f>VLOOKUP(J23,Kalendarz!B:E,4,FALSE)</f>
        <v/>
      </c>
      <c r="L23" s="681">
        <f>K23+N23</f>
        <v/>
      </c>
      <c r="M23" s="528">
        <f>J23+N23-1</f>
        <v/>
      </c>
      <c r="N23" s="474">
        <f>ROUND(MAX(AG23:AO23)/Listy!$U$2,0)</f>
        <v/>
      </c>
      <c r="O23" s="349" t="n"/>
      <c r="P23" s="349" t="n"/>
      <c r="Q23" s="349" t="n"/>
      <c r="R23" s="349" t="n"/>
      <c r="S23" s="349" t="n"/>
      <c r="T23" s="349" t="n"/>
      <c r="U23" s="349" t="n"/>
      <c r="V23" s="349" t="n"/>
      <c r="W23" s="349" t="n"/>
      <c r="X23" s="349" t="n"/>
      <c r="Y23" s="349" t="n"/>
      <c r="Z23" s="349" t="n"/>
      <c r="AA23" s="349" t="n"/>
      <c r="AB23" s="349" t="n"/>
      <c r="AC23" s="349" t="n"/>
      <c r="AD23" s="349" t="n"/>
      <c r="AE23" s="349" t="n"/>
      <c r="AF23" s="349" t="n"/>
      <c r="AG23" s="192">
        <f>ROUND($O23*P23,0)</f>
        <v/>
      </c>
      <c r="AH23" s="192">
        <f>ROUND($O23*Q23,0)</f>
        <v/>
      </c>
      <c r="AI23" s="192">
        <f>ROUND($O23*R23,0)</f>
        <v/>
      </c>
      <c r="AJ23" s="192">
        <f>ROUND($O23*S23,0)</f>
        <v/>
      </c>
      <c r="AK23" s="192">
        <f>ROUND($O23*T23,0)</f>
        <v/>
      </c>
      <c r="AL23" s="192">
        <f>ROUND($O23*U23,0)</f>
        <v/>
      </c>
      <c r="AM23" s="192">
        <f>ROUND($O23*V23,0)</f>
        <v/>
      </c>
      <c r="AN23" s="192">
        <f>ROUND($O23*W23,0)</f>
        <v/>
      </c>
      <c r="AO23" s="192">
        <f>ROUND($O23*X23,0)</f>
        <v/>
      </c>
      <c r="AP23" s="349" t="n"/>
      <c r="AQ23" s="349" t="n"/>
      <c r="AR23" s="349" t="n"/>
      <c r="AS23" s="349" t="n"/>
      <c r="AT23" s="349" t="n"/>
      <c r="AU23" s="349" t="n"/>
      <c r="AV23" s="349" t="n"/>
      <c r="AW23" s="349" t="n"/>
      <c r="AX23" s="349" t="n"/>
      <c r="AY23" s="349" t="n"/>
      <c r="AZ23" s="349" t="n"/>
      <c r="BA23" s="349" t="n"/>
      <c r="BB23" s="349" t="n"/>
      <c r="BC23" s="528" t="n"/>
      <c r="BD23" s="528" t="n"/>
      <c r="BE23" s="528" t="n"/>
      <c r="BF23" s="528" t="n"/>
      <c r="BG23" s="528" t="n"/>
      <c r="BH23" s="528" t="n"/>
      <c r="BI23" s="21">
        <f>BG23*BH23</f>
        <v/>
      </c>
      <c r="BJ23" s="528" t="n"/>
      <c r="BK23" s="528" t="n"/>
      <c r="BL23" s="528" t="n"/>
      <c r="BM23" s="528" t="n"/>
      <c r="BN23" s="528" t="n"/>
      <c r="BO23" s="528" t="n"/>
      <c r="BP23" s="528" t="n"/>
      <c r="BQ23" s="528" t="n"/>
      <c r="BR23" s="528" t="n"/>
      <c r="BS23" s="528" t="n"/>
      <c r="BT23" s="528" t="n"/>
      <c r="BU23" s="528" t="n"/>
      <c r="BV23" s="528" t="n"/>
      <c r="BW23" s="21">
        <f>BU23*BV23</f>
        <v/>
      </c>
      <c r="BX23" s="528" t="n"/>
      <c r="BY23" s="528" t="n"/>
      <c r="BZ23" s="528" t="n"/>
      <c r="CA23" s="21">
        <f>BY23*BZ23</f>
        <v/>
      </c>
      <c r="CB23" s="528" t="n"/>
      <c r="CC23" s="528" t="n"/>
      <c r="CD23" s="528" t="n"/>
      <c r="CE23" s="21">
        <f>CC23*CD23</f>
        <v/>
      </c>
    </row>
    <row r="24" customFormat="1" s="538">
      <c r="A24" s="528" t="n">
        <v>6</v>
      </c>
      <c r="B24" s="55" t="inlineStr">
        <is>
          <t>a</t>
        </is>
      </c>
      <c r="C24" s="398" t="n">
        <v>1</v>
      </c>
      <c r="D24" s="443">
        <f>CONCATENATE(A$3,"_",A24,"_",B24,"_",C24)</f>
        <v/>
      </c>
      <c r="E24" s="408" t="inlineStr">
        <is>
          <t>Monitorowanie wskaźników KPI w celu identyfikacji obszarów do dalszej optymalizacji</t>
        </is>
      </c>
      <c r="F24" s="399">
        <f>IFERROR(VLOOKUP($I24,Listy!$A:$H,2,FALSE),"XXX")</f>
        <v/>
      </c>
      <c r="G24" s="528">
        <f>IFERROR(VLOOKUP($I24,Listy!$A:$H,3,FALSE),"XXX")</f>
        <v/>
      </c>
      <c r="H24" s="395" t="n">
        <v>15</v>
      </c>
      <c r="I24" s="89" t="inlineStr">
        <is>
          <t>.a06</t>
        </is>
      </c>
      <c r="J24" s="91">
        <f>M23+1</f>
        <v/>
      </c>
      <c r="K24" s="681">
        <f>VLOOKUP(J24,Kalendarz!B:E,4,FALSE)</f>
        <v/>
      </c>
      <c r="L24" s="681">
        <f>K24+N24</f>
        <v/>
      </c>
      <c r="M24" s="528">
        <f>J24+N24-1</f>
        <v/>
      </c>
      <c r="N24" s="474" t="n">
        <v>1</v>
      </c>
      <c r="O24" s="529" t="n">
        <v>80</v>
      </c>
      <c r="P24" s="187" t="n">
        <v>0.17</v>
      </c>
      <c r="Q24" s="187" t="n">
        <v>0.17</v>
      </c>
      <c r="R24" s="187" t="n">
        <v>0.17</v>
      </c>
      <c r="S24" s="187" t="n">
        <v>0.17</v>
      </c>
      <c r="T24" s="187" t="n">
        <v>0.17</v>
      </c>
      <c r="U24" s="187" t="n">
        <v>0.15</v>
      </c>
      <c r="V24" s="187" t="n"/>
      <c r="W24" s="187" t="n"/>
      <c r="X24" s="187" t="n"/>
      <c r="Y24" s="292" t="n">
        <v>0</v>
      </c>
      <c r="Z24" s="292" t="n">
        <v>0</v>
      </c>
      <c r="AA24" s="292" t="n">
        <v>0</v>
      </c>
      <c r="AB24" s="292" t="n">
        <v>0</v>
      </c>
      <c r="AC24" s="305" t="n"/>
      <c r="AD24" s="305" t="n"/>
      <c r="AE24" s="305" t="n"/>
      <c r="AF24" s="305" t="n"/>
      <c r="AG24" s="192">
        <f>ROUND($O24*P24,0)</f>
        <v/>
      </c>
      <c r="AH24" s="192">
        <f>ROUND($O24*Q24,0)</f>
        <v/>
      </c>
      <c r="AI24" s="192">
        <f>ROUND($O24*R24,0)</f>
        <v/>
      </c>
      <c r="AJ24" s="192">
        <f>ROUND($O24*S24,0)</f>
        <v/>
      </c>
      <c r="AK24" s="192">
        <f>ROUND($O24*T24,0)</f>
        <v/>
      </c>
      <c r="AL24" s="192">
        <f>ROUND($O24*U24,0)</f>
        <v/>
      </c>
      <c r="AM24" s="192">
        <f>ROUND($O24*V24,0)</f>
        <v/>
      </c>
      <c r="AN24" s="192">
        <f>ROUND($O24*W24,0)</f>
        <v/>
      </c>
      <c r="AO24" s="192">
        <f>ROUND($O24*X24,0)</f>
        <v/>
      </c>
      <c r="AP24" s="193">
        <f>ROUND($O24*Y24,0)</f>
        <v/>
      </c>
      <c r="AQ24" s="193">
        <f>ROUND($O24*Z24,0)</f>
        <v/>
      </c>
      <c r="AR24" s="193">
        <f>ROUND($O24*AA24,0)</f>
        <v/>
      </c>
      <c r="AS24" s="193">
        <f>ROUND($O24*AB24,0)</f>
        <v/>
      </c>
      <c r="AT24" s="306">
        <f>ROUND($O24*AC24,0)</f>
        <v/>
      </c>
      <c r="AU24" s="306">
        <f>ROUND($O24*AD24,0)</f>
        <v/>
      </c>
      <c r="AV24" s="306">
        <f>ROUND($O24*AE24,0)</f>
        <v/>
      </c>
      <c r="AW24" s="306">
        <f>ROUND($O24*AF24,0)</f>
        <v/>
      </c>
      <c r="AX24" s="236">
        <f>SUM(AG24:AO24)</f>
        <v/>
      </c>
      <c r="AY24" s="528">
        <f>AX24/160</f>
        <v/>
      </c>
      <c r="AZ24" s="87">
        <f>VLOOKUP(I24,Listy!$A$1:$H$9,6,FALSE)</f>
        <v/>
      </c>
      <c r="BA24" s="682">
        <f>AY24*AZ24</f>
        <v/>
      </c>
      <c r="BB24" s="683">
        <f>AY24*BA24</f>
        <v/>
      </c>
      <c r="BC24" s="528" t="n"/>
      <c r="BD24" s="528" t="n"/>
      <c r="BE24" s="528" t="n"/>
      <c r="BF24" s="528" t="n"/>
      <c r="BG24" s="528" t="n"/>
      <c r="BH24" s="528" t="n"/>
      <c r="BI24" s="21">
        <f>BG24*BH24</f>
        <v/>
      </c>
      <c r="BJ24" s="528" t="n"/>
      <c r="BK24" s="528" t="n"/>
      <c r="BL24" s="528" t="n"/>
      <c r="BM24" s="528" t="n"/>
      <c r="BN24" s="528" t="n"/>
      <c r="BO24" s="528" t="n"/>
      <c r="BP24" s="528" t="n"/>
      <c r="BQ24" s="528" t="n"/>
      <c r="BR24" s="528" t="n"/>
      <c r="BS24" s="528" t="n"/>
      <c r="BT24" s="528" t="n"/>
      <c r="BU24" s="528" t="n"/>
      <c r="BV24" s="528" t="n"/>
      <c r="BW24" s="21">
        <f>BU24*BV24</f>
        <v/>
      </c>
      <c r="BX24" s="528" t="n"/>
      <c r="BY24" s="528" t="n"/>
      <c r="BZ24" s="528" t="n"/>
      <c r="CA24" s="21">
        <f>BY24*BZ24</f>
        <v/>
      </c>
      <c r="CB24" s="528" t="n"/>
      <c r="CC24" s="528" t="n"/>
      <c r="CD24" s="528" t="n"/>
      <c r="CE24" s="21">
        <f>CC24*CD24</f>
        <v/>
      </c>
    </row>
    <row r="25" customFormat="1" s="538">
      <c r="A25" s="528" t="n">
        <v>6</v>
      </c>
      <c r="B25" s="55" t="inlineStr">
        <is>
          <t>b</t>
        </is>
      </c>
      <c r="C25" s="398" t="n">
        <v>1</v>
      </c>
      <c r="D25" s="405">
        <f>CONCATENATE(A$3,"_",A25,"_",B25,"_",C25)</f>
        <v/>
      </c>
      <c r="E25" s="408" t="inlineStr">
        <is>
          <t xml:space="preserve">Monitorowanie funkcjonowania platformy, zapewnienie wsparcia technicznego i merytorycznego dla użytkowników </t>
        </is>
      </c>
      <c r="F25" s="399">
        <f>IFERROR(VLOOKUP($I25,Listy!$A:$H,2,FALSE),"XXX")</f>
        <v/>
      </c>
      <c r="G25" s="528">
        <f>IFERROR(VLOOKUP($I25,Listy!$A:$H,3,FALSE),"XXX")</f>
        <v/>
      </c>
      <c r="H25" s="395" t="n">
        <v>16</v>
      </c>
      <c r="I25" s="89" t="inlineStr">
        <is>
          <t>.a07</t>
        </is>
      </c>
      <c r="J25" s="91">
        <f>M24+1</f>
        <v/>
      </c>
      <c r="K25" s="681">
        <f>VLOOKUP(J25,Kalendarz!B:E,4,FALSE)</f>
        <v/>
      </c>
      <c r="L25" s="681">
        <f>K25+N25</f>
        <v/>
      </c>
      <c r="M25" s="528">
        <f>J25+N25-1</f>
        <v/>
      </c>
      <c r="N25" s="474" t="n">
        <v>1</v>
      </c>
      <c r="O25" s="529" t="n">
        <v>80</v>
      </c>
      <c r="P25" s="187" t="n">
        <v>0.17</v>
      </c>
      <c r="Q25" s="187" t="n">
        <v>0.17</v>
      </c>
      <c r="R25" s="187" t="n">
        <v>0.17</v>
      </c>
      <c r="S25" s="187" t="n">
        <v>0.17</v>
      </c>
      <c r="T25" s="187" t="n">
        <v>0.17</v>
      </c>
      <c r="U25" s="187" t="n">
        <v>0.15</v>
      </c>
      <c r="V25" s="187" t="n"/>
      <c r="W25" s="187" t="n"/>
      <c r="X25" s="187" t="n"/>
      <c r="Y25" s="292" t="n">
        <v>0</v>
      </c>
      <c r="Z25" s="292" t="n">
        <v>0</v>
      </c>
      <c r="AA25" s="292" t="n">
        <v>0</v>
      </c>
      <c r="AB25" s="292" t="n">
        <v>0</v>
      </c>
      <c r="AC25" s="305" t="n"/>
      <c r="AD25" s="305" t="n"/>
      <c r="AE25" s="305" t="n"/>
      <c r="AF25" s="305" t="n"/>
      <c r="AG25" s="192">
        <f>ROUND($O25*P25,0)</f>
        <v/>
      </c>
      <c r="AH25" s="192">
        <f>ROUND($O25*Q25,0)</f>
        <v/>
      </c>
      <c r="AI25" s="192">
        <f>ROUND($O25*R25,0)</f>
        <v/>
      </c>
      <c r="AJ25" s="192">
        <f>ROUND($O25*S25,0)</f>
        <v/>
      </c>
      <c r="AK25" s="192">
        <f>ROUND($O25*T25,0)</f>
        <v/>
      </c>
      <c r="AL25" s="192">
        <f>ROUND($O25*U25,0)</f>
        <v/>
      </c>
      <c r="AM25" s="192">
        <f>ROUND($O25*V25,0)</f>
        <v/>
      </c>
      <c r="AN25" s="192">
        <f>ROUND($O25*W25,0)</f>
        <v/>
      </c>
      <c r="AO25" s="192">
        <f>ROUND($O25*X25,0)</f>
        <v/>
      </c>
      <c r="AP25" s="193">
        <f>ROUND($O25*Y25,0)</f>
        <v/>
      </c>
      <c r="AQ25" s="193">
        <f>ROUND($O25*Z25,0)</f>
        <v/>
      </c>
      <c r="AR25" s="193">
        <f>ROUND($O25*AA25,0)</f>
        <v/>
      </c>
      <c r="AS25" s="193">
        <f>ROUND($O25*AB25,0)</f>
        <v/>
      </c>
      <c r="AT25" s="306">
        <f>ROUND($O25*AC25,0)</f>
        <v/>
      </c>
      <c r="AU25" s="306">
        <f>ROUND($O25*AD25,0)</f>
        <v/>
      </c>
      <c r="AV25" s="306">
        <f>ROUND($O25*AE25,0)</f>
        <v/>
      </c>
      <c r="AW25" s="306">
        <f>ROUND($O25*AF25,0)</f>
        <v/>
      </c>
      <c r="AX25" s="236">
        <f>SUM(AG25:AO25)</f>
        <v/>
      </c>
      <c r="AY25" s="528">
        <f>AX25/160</f>
        <v/>
      </c>
      <c r="AZ25" s="87">
        <f>VLOOKUP(I25,Listy!$A$1:$H$9,6,FALSE)</f>
        <v/>
      </c>
      <c r="BA25" s="682">
        <f>AY25*AZ25</f>
        <v/>
      </c>
      <c r="BB25" s="683">
        <f>AY25*BA25</f>
        <v/>
      </c>
      <c r="BC25" s="528" t="n"/>
      <c r="BD25" s="528" t="n"/>
      <c r="BE25" s="528" t="n"/>
      <c r="BF25" s="528" t="n"/>
      <c r="BG25" s="528" t="n"/>
      <c r="BH25" s="528" t="n"/>
      <c r="BI25" s="21">
        <f>BG25*BH25</f>
        <v/>
      </c>
      <c r="BJ25" s="528" t="n"/>
      <c r="BK25" s="528" t="n"/>
      <c r="BL25" s="528" t="n"/>
      <c r="BM25" s="528" t="n"/>
      <c r="BN25" s="528" t="n"/>
      <c r="BO25" s="528" t="n"/>
      <c r="BP25" s="528" t="n"/>
      <c r="BQ25" s="528" t="n"/>
      <c r="BR25" s="528" t="n"/>
      <c r="BS25" s="528" t="n"/>
      <c r="BT25" s="528" t="n"/>
      <c r="BU25" s="528" t="n"/>
      <c r="BV25" s="528" t="n"/>
      <c r="BW25" s="21">
        <f>BU25*BV25</f>
        <v/>
      </c>
      <c r="BX25" s="528" t="n"/>
      <c r="BY25" s="528" t="n"/>
      <c r="BZ25" s="528" t="n"/>
      <c r="CA25" s="21">
        <f>BY25*BZ25</f>
        <v/>
      </c>
      <c r="CB25" s="528" t="n"/>
      <c r="CC25" s="528" t="n"/>
      <c r="CD25" s="528" t="n"/>
      <c r="CE25" s="21">
        <f>CC25*CD25</f>
        <v/>
      </c>
    </row>
    <row r="26" customFormat="1" s="538">
      <c r="A26" s="528" t="n">
        <v>6</v>
      </c>
      <c r="B26" s="55" t="inlineStr">
        <is>
          <t>c</t>
        </is>
      </c>
      <c r="C26" s="398" t="n">
        <v>1</v>
      </c>
      <c r="D26" s="405">
        <f>CONCATENATE(A$3,"_",A26,"_",B26,"_",C26)</f>
        <v/>
      </c>
      <c r="E26" s="408" t="inlineStr">
        <is>
          <t>Wprowadzanie ewentualnych korekt i usprawnień w oparciu o dane zebrane w trakcie rzeczywistej pracy magazynu, napotkane problemy, nowe potrzeby lub zmieniające się warunki operacyjne (np. sezonowe wahania w zamówieniach lub zmiany w dostępnych zasobach)</t>
        </is>
      </c>
      <c r="F26" s="399">
        <f>IFERROR(VLOOKUP($I26,Listy!$A:$H,2,FALSE),"XXX")</f>
        <v/>
      </c>
      <c r="G26" s="528">
        <f>IFERROR(VLOOKUP($I26,Listy!$A:$H,3,FALSE),"XXX")</f>
        <v/>
      </c>
      <c r="H26" s="395" t="n">
        <v>17</v>
      </c>
      <c r="I26" s="89" t="inlineStr">
        <is>
          <t>.a05</t>
        </is>
      </c>
      <c r="J26" s="91">
        <f>M25+1</f>
        <v/>
      </c>
      <c r="K26" s="681">
        <f>VLOOKUP(J26,Kalendarz!B:E,4,FALSE)</f>
        <v/>
      </c>
      <c r="L26" s="681">
        <f>K26+N26</f>
        <v/>
      </c>
      <c r="M26" s="528">
        <f>J26+N26-1</f>
        <v/>
      </c>
      <c r="N26" s="474" t="n">
        <v>1</v>
      </c>
      <c r="O26" s="529" t="n">
        <v>80</v>
      </c>
      <c r="P26" s="187" t="n">
        <v>0.17</v>
      </c>
      <c r="Q26" s="187" t="n">
        <v>0.17</v>
      </c>
      <c r="R26" s="187" t="n">
        <v>0.17</v>
      </c>
      <c r="S26" s="187" t="n">
        <v>0.17</v>
      </c>
      <c r="T26" s="187" t="n">
        <v>0.17</v>
      </c>
      <c r="U26" s="187" t="n">
        <v>0.15</v>
      </c>
      <c r="V26" s="187" t="n"/>
      <c r="W26" s="187" t="n"/>
      <c r="X26" s="187" t="n"/>
      <c r="Y26" s="292" t="n">
        <v>0</v>
      </c>
      <c r="Z26" s="292" t="n">
        <v>0</v>
      </c>
      <c r="AA26" s="292" t="n">
        <v>0</v>
      </c>
      <c r="AB26" s="292" t="n">
        <v>0</v>
      </c>
      <c r="AC26" s="305" t="n"/>
      <c r="AD26" s="305" t="n"/>
      <c r="AE26" s="305" t="n"/>
      <c r="AF26" s="305" t="n"/>
      <c r="AG26" s="192">
        <f>ROUND($O26*P26,0)</f>
        <v/>
      </c>
      <c r="AH26" s="192">
        <f>ROUND($O26*Q26,0)</f>
        <v/>
      </c>
      <c r="AI26" s="192">
        <f>ROUND($O26*R26,0)</f>
        <v/>
      </c>
      <c r="AJ26" s="192">
        <f>ROUND($O26*S26,0)</f>
        <v/>
      </c>
      <c r="AK26" s="192">
        <f>ROUND($O26*T26,0)</f>
        <v/>
      </c>
      <c r="AL26" s="192">
        <f>ROUND($O26*U26,0)</f>
        <v/>
      </c>
      <c r="AM26" s="192">
        <f>ROUND($O26*V26,0)</f>
        <v/>
      </c>
      <c r="AN26" s="192">
        <f>ROUND($O26*W26,0)</f>
        <v/>
      </c>
      <c r="AO26" s="192">
        <f>ROUND($O26*X26,0)</f>
        <v/>
      </c>
      <c r="AP26" s="193">
        <f>ROUND($O26*Y26,0)</f>
        <v/>
      </c>
      <c r="AQ26" s="193">
        <f>ROUND($O26*Z26,0)</f>
        <v/>
      </c>
      <c r="AR26" s="193">
        <f>ROUND($O26*AA26,0)</f>
        <v/>
      </c>
      <c r="AS26" s="193">
        <f>ROUND($O26*AB26,0)</f>
        <v/>
      </c>
      <c r="AT26" s="306">
        <f>ROUND($O26*AC26,0)</f>
        <v/>
      </c>
      <c r="AU26" s="306">
        <f>ROUND($O26*AD26,0)</f>
        <v/>
      </c>
      <c r="AV26" s="306">
        <f>ROUND($O26*AE26,0)</f>
        <v/>
      </c>
      <c r="AW26" s="306">
        <f>ROUND($O26*AF26,0)</f>
        <v/>
      </c>
      <c r="AX26" s="236">
        <f>SUM(AG26:AO26)</f>
        <v/>
      </c>
      <c r="AY26" s="528">
        <f>AX26/160</f>
        <v/>
      </c>
      <c r="AZ26" s="87">
        <f>VLOOKUP(I26,Listy!$A$1:$H$9,6,FALSE)</f>
        <v/>
      </c>
      <c r="BA26" s="682">
        <f>AY26*AZ26</f>
        <v/>
      </c>
      <c r="BB26" s="683">
        <f>AY26*BA26</f>
        <v/>
      </c>
      <c r="BC26" s="528" t="n"/>
      <c r="BD26" s="528" t="n"/>
      <c r="BE26" s="528" t="n"/>
      <c r="BF26" s="528" t="n"/>
      <c r="BG26" s="528" t="n"/>
      <c r="BH26" s="528" t="n"/>
      <c r="BI26" s="21">
        <f>BG26*BH26</f>
        <v/>
      </c>
      <c r="BJ26" s="528" t="n"/>
      <c r="BK26" s="528" t="n"/>
      <c r="BL26" s="528" t="n"/>
      <c r="BM26" s="528" t="n"/>
      <c r="BN26" s="528" t="n"/>
      <c r="BO26" s="528" t="n"/>
      <c r="BP26" s="528" t="n"/>
      <c r="BQ26" s="528" t="n"/>
      <c r="BR26" s="528" t="n"/>
      <c r="BS26" s="528" t="n"/>
      <c r="BT26" s="528" t="n"/>
      <c r="BU26" s="528" t="n"/>
      <c r="BV26" s="528" t="n"/>
      <c r="BW26" s="21">
        <f>BU26*BV26</f>
        <v/>
      </c>
      <c r="BX26" s="528" t="n"/>
      <c r="BY26" s="528" t="n"/>
      <c r="BZ26" s="528" t="n"/>
      <c r="CA26" s="21">
        <f>BY26*BZ26</f>
        <v/>
      </c>
      <c r="CB26" s="528" t="n"/>
      <c r="CC26" s="528" t="n"/>
      <c r="CD26" s="528" t="n"/>
      <c r="CE26" s="21">
        <f>CC26*CD26</f>
        <v/>
      </c>
    </row>
    <row r="27" customFormat="1" s="538">
      <c r="A27" s="528" t="n">
        <v>6</v>
      </c>
      <c r="B27" s="55" t="inlineStr">
        <is>
          <t>d</t>
        </is>
      </c>
      <c r="C27" s="398" t="n">
        <v>1</v>
      </c>
      <c r="D27" s="405">
        <f>CONCATENATE(A$3,"_",A27,"_",B27,"_",C27)</f>
        <v/>
      </c>
      <c r="E27" s="408" t="inlineStr">
        <is>
          <t>Regularne aktualizowanie i rozwijanie narzędzi platformy, tak aby były one zawsze aktualne i do symulacji oraz bieżącego zarządzania</t>
        </is>
      </c>
      <c r="F27" s="399">
        <f>IFERROR(VLOOKUP($I27,Listy!$A:$H,2,FALSE),"XXX")</f>
        <v/>
      </c>
      <c r="G27" s="528">
        <f>IFERROR(VLOOKUP($I27,Listy!$A:$H,3,FALSE),"XXX")</f>
        <v/>
      </c>
      <c r="H27" s="395" t="n">
        <v>18</v>
      </c>
      <c r="I27" s="89" t="inlineStr">
        <is>
          <t>.a06</t>
        </is>
      </c>
      <c r="J27" s="91">
        <f>M26+1</f>
        <v/>
      </c>
      <c r="K27" s="681">
        <f>VLOOKUP(J27,Kalendarz!B:E,4,FALSE)</f>
        <v/>
      </c>
      <c r="L27" s="681">
        <f>K27+N27</f>
        <v/>
      </c>
      <c r="M27" s="528">
        <f>J27+N27-1</f>
        <v/>
      </c>
      <c r="N27" s="474" t="n">
        <v>1</v>
      </c>
      <c r="O27" s="529" t="n">
        <v>80</v>
      </c>
      <c r="P27" s="187" t="n">
        <v>0.17</v>
      </c>
      <c r="Q27" s="187" t="n">
        <v>0.17</v>
      </c>
      <c r="R27" s="187" t="n">
        <v>0.17</v>
      </c>
      <c r="S27" s="187" t="n">
        <v>0.17</v>
      </c>
      <c r="T27" s="187" t="n">
        <v>0.17</v>
      </c>
      <c r="U27" s="187" t="n">
        <v>0.15</v>
      </c>
      <c r="V27" s="187" t="n"/>
      <c r="W27" s="187" t="n"/>
      <c r="X27" s="187" t="n"/>
      <c r="Y27" s="292" t="n">
        <v>0</v>
      </c>
      <c r="Z27" s="292" t="n">
        <v>0</v>
      </c>
      <c r="AA27" s="292" t="n">
        <v>0</v>
      </c>
      <c r="AB27" s="292" t="n">
        <v>0</v>
      </c>
      <c r="AC27" s="305" t="n"/>
      <c r="AD27" s="305" t="n"/>
      <c r="AE27" s="305" t="n"/>
      <c r="AF27" s="305" t="n"/>
      <c r="AG27" s="192">
        <f>ROUND($O27*P27,0)</f>
        <v/>
      </c>
      <c r="AH27" s="192">
        <f>ROUND($O27*Q27,0)</f>
        <v/>
      </c>
      <c r="AI27" s="192">
        <f>ROUND($O27*R27,0)</f>
        <v/>
      </c>
      <c r="AJ27" s="192">
        <f>ROUND($O27*S27,0)</f>
        <v/>
      </c>
      <c r="AK27" s="192">
        <f>ROUND($O27*T27,0)</f>
        <v/>
      </c>
      <c r="AL27" s="192">
        <f>ROUND($O27*U27,0)</f>
        <v/>
      </c>
      <c r="AM27" s="192">
        <f>ROUND($O27*V27,0)</f>
        <v/>
      </c>
      <c r="AN27" s="192">
        <f>ROUND($O27*W27,0)</f>
        <v/>
      </c>
      <c r="AO27" s="192">
        <f>ROUND($O27*X27,0)</f>
        <v/>
      </c>
      <c r="AP27" s="193">
        <f>ROUND($O27*Y27,0)</f>
        <v/>
      </c>
      <c r="AQ27" s="193">
        <f>ROUND($O27*Z27,0)</f>
        <v/>
      </c>
      <c r="AR27" s="193">
        <f>ROUND($O27*AA27,0)</f>
        <v/>
      </c>
      <c r="AS27" s="193">
        <f>ROUND($O27*AB27,0)</f>
        <v/>
      </c>
      <c r="AT27" s="306">
        <f>ROUND($O27*AC27,0)</f>
        <v/>
      </c>
      <c r="AU27" s="306">
        <f>ROUND($O27*AD27,0)</f>
        <v/>
      </c>
      <c r="AV27" s="306">
        <f>ROUND($O27*AE27,0)</f>
        <v/>
      </c>
      <c r="AW27" s="306">
        <f>ROUND($O27*AF27,0)</f>
        <v/>
      </c>
      <c r="AX27" s="236">
        <f>SUM(AG27:AO27)</f>
        <v/>
      </c>
      <c r="AY27" s="528">
        <f>AX27/160</f>
        <v/>
      </c>
      <c r="AZ27" s="87">
        <f>VLOOKUP(I27,Listy!$A$1:$H$9,6,FALSE)</f>
        <v/>
      </c>
      <c r="BA27" s="682">
        <f>AY27*AZ27</f>
        <v/>
      </c>
      <c r="BB27" s="683">
        <f>AY27*BA27</f>
        <v/>
      </c>
      <c r="BC27" s="528" t="n"/>
      <c r="BD27" s="528" t="n"/>
      <c r="BE27" s="528" t="n"/>
      <c r="BF27" s="528" t="n"/>
      <c r="BG27" s="528" t="n"/>
      <c r="BH27" s="528" t="n"/>
      <c r="BI27" s="21">
        <f>BG27*BH27</f>
        <v/>
      </c>
      <c r="BJ27" s="528" t="n"/>
      <c r="BK27" s="528" t="n"/>
      <c r="BL27" s="528" t="n"/>
      <c r="BM27" s="528" t="n"/>
      <c r="BN27" s="528" t="n"/>
      <c r="BO27" s="528" t="n"/>
      <c r="BP27" s="528" t="n"/>
      <c r="BQ27" s="528" t="n"/>
      <c r="BR27" s="528" t="n"/>
      <c r="BS27" s="528" t="n"/>
      <c r="BT27" s="528" t="n"/>
      <c r="BU27" s="528" t="n"/>
      <c r="BV27" s="528" t="n"/>
      <c r="BW27" s="21">
        <f>BU27*BV27</f>
        <v/>
      </c>
      <c r="BX27" s="528" t="n"/>
      <c r="BY27" s="528" t="n"/>
      <c r="BZ27" s="528" t="n"/>
      <c r="CA27" s="21">
        <f>BY27*BZ27</f>
        <v/>
      </c>
      <c r="CB27" s="528" t="n"/>
      <c r="CC27" s="528" t="n"/>
      <c r="CD27" s="528" t="n"/>
      <c r="CE27" s="21">
        <f>CC27*CD27</f>
        <v/>
      </c>
    </row>
    <row r="28" ht="18" customFormat="1" customHeight="1" s="538">
      <c r="A28" s="604" t="n">
        <v>7</v>
      </c>
      <c r="B28" s="55" t="inlineStr">
        <is>
          <t>a</t>
        </is>
      </c>
      <c r="C28" s="398" t="n">
        <v>0</v>
      </c>
      <c r="D28" s="405">
        <f>CONCATENATE(A$3,"_",A28,"_",B28,"_",C28)</f>
        <v/>
      </c>
      <c r="E28" s="388" t="inlineStr">
        <is>
          <t>7.Ewaluacja i optymalizacja</t>
        </is>
      </c>
      <c r="F28" s="349" t="n"/>
      <c r="G28" s="349" t="n"/>
      <c r="H28" s="349" t="n"/>
      <c r="I28" s="349" t="n"/>
      <c r="J28" s="91">
        <f>M27+1</f>
        <v/>
      </c>
      <c r="K28" s="681">
        <f>VLOOKUP(J28,Kalendarz!B:E,4,FALSE)</f>
        <v/>
      </c>
      <c r="L28" s="681">
        <f>K28+N28</f>
        <v/>
      </c>
      <c r="M28" s="528">
        <f>J28+N28-1</f>
        <v/>
      </c>
      <c r="N28" s="474">
        <f>ROUND(MAX(AG28:AO28)/Listy!$U$2,0)</f>
        <v/>
      </c>
      <c r="O28" s="349" t="n"/>
      <c r="P28" s="349" t="n"/>
      <c r="Q28" s="357" t="n"/>
      <c r="R28" s="357" t="n"/>
      <c r="S28" s="357" t="n"/>
      <c r="T28" s="357" t="n"/>
      <c r="U28" s="357" t="n"/>
      <c r="V28" s="357" t="n"/>
      <c r="W28" s="357" t="n"/>
      <c r="X28" s="357" t="n"/>
      <c r="Y28" s="357" t="n"/>
      <c r="Z28" s="357" t="n"/>
      <c r="AA28" s="357" t="n"/>
      <c r="AB28" s="357" t="n"/>
      <c r="AC28" s="357" t="n"/>
      <c r="AD28" s="357" t="n"/>
      <c r="AE28" s="357" t="n"/>
      <c r="AF28" s="357" t="n"/>
      <c r="AG28" s="192">
        <f>ROUND($O28*P28,0)</f>
        <v/>
      </c>
      <c r="AH28" s="192">
        <f>ROUND($O28*Q28,0)</f>
        <v/>
      </c>
      <c r="AI28" s="192">
        <f>ROUND($O28*R28,0)</f>
        <v/>
      </c>
      <c r="AJ28" s="192">
        <f>ROUND($O28*S28,0)</f>
        <v/>
      </c>
      <c r="AK28" s="192">
        <f>ROUND($O28*T28,0)</f>
        <v/>
      </c>
      <c r="AL28" s="192">
        <f>ROUND($O28*U28,0)</f>
        <v/>
      </c>
      <c r="AM28" s="192">
        <f>ROUND($O28*V28,0)</f>
        <v/>
      </c>
      <c r="AN28" s="192">
        <f>ROUND($O28*W28,0)</f>
        <v/>
      </c>
      <c r="AO28" s="192">
        <f>ROUND($O28*X28,0)</f>
        <v/>
      </c>
      <c r="AP28" s="357" t="n"/>
      <c r="AQ28" s="357" t="n"/>
      <c r="AR28" s="357" t="n"/>
      <c r="AS28" s="357" t="n"/>
      <c r="AT28" s="357" t="n"/>
      <c r="AU28" s="357" t="n"/>
      <c r="AV28" s="357" t="n"/>
      <c r="AW28" s="357" t="n"/>
      <c r="AX28" s="357" t="n"/>
      <c r="AY28" s="357" t="n"/>
      <c r="AZ28" s="357" t="n"/>
      <c r="BA28" s="357" t="n"/>
      <c r="BB28" s="357" t="n"/>
      <c r="BC28" s="357" t="n"/>
      <c r="BD28" s="357" t="n"/>
      <c r="BE28" s="357" t="n"/>
      <c r="BF28" s="357" t="n"/>
      <c r="BG28" s="357" t="n"/>
      <c r="BH28" s="357" t="n"/>
      <c r="BI28" s="357" t="n"/>
      <c r="BJ28" s="357" t="n"/>
      <c r="BK28" s="357" t="n"/>
      <c r="BL28" s="357" t="n"/>
      <c r="BM28" s="357" t="n"/>
      <c r="BN28" s="357" t="n"/>
      <c r="BO28" s="357" t="n"/>
      <c r="BP28" s="357" t="n"/>
      <c r="BQ28" s="357" t="n"/>
      <c r="BR28" s="357" t="n"/>
      <c r="BS28" s="357" t="n"/>
      <c r="BT28" s="357" t="n"/>
      <c r="BU28" s="357" t="n"/>
      <c r="BV28" s="357" t="n"/>
      <c r="BW28" s="357" t="n"/>
      <c r="BX28" s="357" t="n"/>
      <c r="BY28" s="357" t="n"/>
      <c r="BZ28" s="357" t="n"/>
      <c r="CA28" s="357" t="n"/>
      <c r="CB28" s="357" t="n"/>
      <c r="CC28" s="357" t="n"/>
      <c r="CD28" s="357" t="n"/>
      <c r="CE28" s="357" t="n"/>
      <c r="CF28" s="357" t="n"/>
    </row>
    <row r="29" customFormat="1" s="538">
      <c r="A29" s="528" t="n">
        <v>7</v>
      </c>
      <c r="B29" s="55" t="inlineStr">
        <is>
          <t>a</t>
        </is>
      </c>
      <c r="C29" s="398" t="n">
        <v>1</v>
      </c>
      <c r="D29" s="405">
        <f>CONCATENATE(A$3,"_",A29,"_",B29,"_",C29)</f>
        <v/>
      </c>
      <c r="E29" s="407" t="inlineStr">
        <is>
          <t>Ocena efektywności wdrożenia (np. po 1 m-cu) i analiza osiągnięcia celów</t>
        </is>
      </c>
      <c r="F29" s="399">
        <f>IFERROR(VLOOKUP($I29,Listy!$A:$H,2,FALSE),"XXX")</f>
        <v/>
      </c>
      <c r="G29" s="528">
        <f>IFERROR(VLOOKUP($I29,Listy!$A:$H,3,FALSE),"XXX")</f>
        <v/>
      </c>
      <c r="H29" s="393" t="n">
        <v>19</v>
      </c>
      <c r="I29" s="89" t="inlineStr">
        <is>
          <t>.a05</t>
        </is>
      </c>
      <c r="J29" s="91">
        <f>M28+1</f>
        <v/>
      </c>
      <c r="K29" s="681">
        <f>VLOOKUP(J29,Kalendarz!B:E,4,FALSE)</f>
        <v/>
      </c>
      <c r="L29" s="681">
        <f>K29+N29</f>
        <v/>
      </c>
      <c r="M29" s="528">
        <f>J29+N29-1</f>
        <v/>
      </c>
      <c r="N29" s="474" t="n">
        <v>1</v>
      </c>
      <c r="O29" s="529" t="n">
        <v>120</v>
      </c>
      <c r="P29" s="187" t="n">
        <v>0.17</v>
      </c>
      <c r="Q29" s="187" t="n">
        <v>0.17</v>
      </c>
      <c r="R29" s="187" t="n">
        <v>0.17</v>
      </c>
      <c r="S29" s="187" t="n">
        <v>0.17</v>
      </c>
      <c r="T29" s="187" t="n">
        <v>0.17</v>
      </c>
      <c r="U29" s="187" t="n">
        <v>0.15</v>
      </c>
      <c r="V29" s="187" t="n"/>
      <c r="W29" s="187" t="n"/>
      <c r="X29" s="187" t="n"/>
      <c r="Y29" s="292" t="n">
        <v>0</v>
      </c>
      <c r="Z29" s="292" t="n">
        <v>0</v>
      </c>
      <c r="AA29" s="292" t="n">
        <v>0</v>
      </c>
      <c r="AB29" s="292" t="n">
        <v>0</v>
      </c>
      <c r="AC29" s="305" t="n"/>
      <c r="AD29" s="305" t="n"/>
      <c r="AE29" s="305" t="n"/>
      <c r="AF29" s="305" t="n"/>
      <c r="AG29" s="192">
        <f>ROUND($O29*P29,0)</f>
        <v/>
      </c>
      <c r="AH29" s="192">
        <f>ROUND($O29*Q29,0)</f>
        <v/>
      </c>
      <c r="AI29" s="192">
        <f>ROUND($O29*R29,0)</f>
        <v/>
      </c>
      <c r="AJ29" s="192">
        <f>ROUND($O29*S29,0)</f>
        <v/>
      </c>
      <c r="AK29" s="192">
        <f>ROUND($O29*T29,0)</f>
        <v/>
      </c>
      <c r="AL29" s="192">
        <f>ROUND($O29*U29,0)</f>
        <v/>
      </c>
      <c r="AM29" s="192">
        <f>ROUND($O29*V29,0)</f>
        <v/>
      </c>
      <c r="AN29" s="192">
        <f>ROUND($O29*W29,0)</f>
        <v/>
      </c>
      <c r="AO29" s="192">
        <f>ROUND($O29*X29,0)</f>
        <v/>
      </c>
      <c r="AP29" s="193">
        <f>ROUND($O29*Y29,0)</f>
        <v/>
      </c>
      <c r="AQ29" s="193">
        <f>ROUND($O29*Z29,0)</f>
        <v/>
      </c>
      <c r="AR29" s="193">
        <f>ROUND($O29*AA29,0)</f>
        <v/>
      </c>
      <c r="AS29" s="193">
        <f>ROUND($O29*AB29,0)</f>
        <v/>
      </c>
      <c r="AT29" s="306">
        <f>ROUND($O29*AC29,0)</f>
        <v/>
      </c>
      <c r="AU29" s="306">
        <f>ROUND($O29*AD29,0)</f>
        <v/>
      </c>
      <c r="AV29" s="306">
        <f>ROUND($O29*AE29,0)</f>
        <v/>
      </c>
      <c r="AW29" s="306">
        <f>ROUND($O29*AF29,0)</f>
        <v/>
      </c>
      <c r="AX29" s="236">
        <f>SUM(AG29:AO29)</f>
        <v/>
      </c>
      <c r="AY29" s="528">
        <f>AX29/160</f>
        <v/>
      </c>
      <c r="AZ29" s="87">
        <f>VLOOKUP(I29,Listy!$A$1:$H$9,6,FALSE)</f>
        <v/>
      </c>
      <c r="BA29" s="682">
        <f>AY29*AZ29</f>
        <v/>
      </c>
      <c r="BB29" s="683">
        <f>AY29*BA29</f>
        <v/>
      </c>
      <c r="BC29" s="528" t="n"/>
      <c r="BD29" s="528" t="n"/>
      <c r="BE29" s="528" t="n"/>
      <c r="BF29" s="528" t="n"/>
      <c r="BG29" s="528" t="n"/>
      <c r="BH29" s="528" t="n"/>
      <c r="BI29" s="21">
        <f>BG29*BH29</f>
        <v/>
      </c>
      <c r="BJ29" s="528" t="n"/>
      <c r="BK29" s="528" t="n"/>
      <c r="BL29" s="528" t="n"/>
      <c r="BM29" s="528" t="n"/>
      <c r="BN29" s="528" t="n"/>
      <c r="BO29" s="528" t="n"/>
      <c r="BP29" s="528" t="n"/>
      <c r="BQ29" s="528" t="n"/>
      <c r="BR29" s="528" t="n"/>
      <c r="BS29" s="528" t="n"/>
      <c r="BT29" s="528" t="n"/>
      <c r="BU29" s="528" t="n"/>
      <c r="BV29" s="528" t="n"/>
      <c r="BW29" s="21">
        <f>BU29*BV29</f>
        <v/>
      </c>
      <c r="BX29" s="528" t="n"/>
      <c r="BY29" s="528" t="n"/>
      <c r="BZ29" s="528" t="n"/>
      <c r="CA29" s="21">
        <f>BY29*BZ29</f>
        <v/>
      </c>
      <c r="CB29" s="528" t="n"/>
      <c r="CC29" s="528" t="n"/>
      <c r="CD29" s="528" t="n"/>
      <c r="CE29" s="21">
        <f>CC29*CD29</f>
        <v/>
      </c>
    </row>
    <row r="30" customFormat="1" s="538">
      <c r="A30" s="528" t="n">
        <v>7</v>
      </c>
      <c r="B30" s="55" t="inlineStr">
        <is>
          <t>b</t>
        </is>
      </c>
      <c r="C30" s="398" t="n">
        <v>1</v>
      </c>
      <c r="D30" s="405">
        <f>CONCATENATE(A$3,"_",A30,"_",B30,"_",C30)</f>
        <v/>
      </c>
      <c r="E30" s="407" t="inlineStr">
        <is>
          <t>Stopniowe rozszerzanie wdrożenia na kolejne strefy po udanych testach</t>
        </is>
      </c>
      <c r="F30" s="399">
        <f>IFERROR(VLOOKUP($I30,Listy!$A:$H,2,FALSE),"XXX")</f>
        <v/>
      </c>
      <c r="G30" s="528">
        <f>IFERROR(VLOOKUP($I30,Listy!$A:$H,3,FALSE),"XXX")</f>
        <v/>
      </c>
      <c r="H30" s="393" t="n">
        <v>20</v>
      </c>
      <c r="I30" s="89" t="inlineStr">
        <is>
          <t>.a06</t>
        </is>
      </c>
      <c r="J30" s="91">
        <f>M29+1</f>
        <v/>
      </c>
      <c r="K30" s="681">
        <f>VLOOKUP(J30,Kalendarz!B:E,4,FALSE)</f>
        <v/>
      </c>
      <c r="L30" s="681">
        <f>K30+N30</f>
        <v/>
      </c>
      <c r="M30" s="528">
        <f>J30+N30-1</f>
        <v/>
      </c>
      <c r="N30" s="474" t="n">
        <v>1</v>
      </c>
      <c r="O30" s="529" t="n">
        <v>120</v>
      </c>
      <c r="P30" s="187" t="n">
        <v>0.17</v>
      </c>
      <c r="Q30" s="187" t="n">
        <v>0.17</v>
      </c>
      <c r="R30" s="187" t="n">
        <v>0.17</v>
      </c>
      <c r="S30" s="187" t="n">
        <v>0.17</v>
      </c>
      <c r="T30" s="187" t="n">
        <v>0.17</v>
      </c>
      <c r="U30" s="187" t="n">
        <v>0.15</v>
      </c>
      <c r="V30" s="187" t="n"/>
      <c r="W30" s="187" t="n"/>
      <c r="X30" s="187" t="n"/>
      <c r="Y30" s="292" t="n">
        <v>0</v>
      </c>
      <c r="Z30" s="292" t="n">
        <v>0</v>
      </c>
      <c r="AA30" s="292" t="n">
        <v>0</v>
      </c>
      <c r="AB30" s="292" t="n">
        <v>0</v>
      </c>
      <c r="AC30" s="305" t="n"/>
      <c r="AD30" s="305" t="n"/>
      <c r="AE30" s="305" t="n"/>
      <c r="AF30" s="305" t="n"/>
      <c r="AG30" s="192">
        <f>ROUND($O30*P30,0)</f>
        <v/>
      </c>
      <c r="AH30" s="192">
        <f>ROUND($O30*Q30,0)</f>
        <v/>
      </c>
      <c r="AI30" s="192">
        <f>ROUND($O30*R30,0)</f>
        <v/>
      </c>
      <c r="AJ30" s="192">
        <f>ROUND($O30*S30,0)</f>
        <v/>
      </c>
      <c r="AK30" s="192">
        <f>ROUND($O30*T30,0)</f>
        <v/>
      </c>
      <c r="AL30" s="192">
        <f>ROUND($O30*U30,0)</f>
        <v/>
      </c>
      <c r="AM30" s="192">
        <f>ROUND($O30*V30,0)</f>
        <v/>
      </c>
      <c r="AN30" s="192">
        <f>ROUND($O30*W30,0)</f>
        <v/>
      </c>
      <c r="AO30" s="192">
        <f>ROUND($O30*X30,0)</f>
        <v/>
      </c>
      <c r="AP30" s="193">
        <f>ROUND($O30*Y30,0)</f>
        <v/>
      </c>
      <c r="AQ30" s="193">
        <f>ROUND($O30*Z30,0)</f>
        <v/>
      </c>
      <c r="AR30" s="193">
        <f>ROUND($O30*AA30,0)</f>
        <v/>
      </c>
      <c r="AS30" s="193">
        <f>ROUND($O30*AB30,0)</f>
        <v/>
      </c>
      <c r="AT30" s="306">
        <f>ROUND($O30*AC30,0)</f>
        <v/>
      </c>
      <c r="AU30" s="306">
        <f>ROUND($O30*AD30,0)</f>
        <v/>
      </c>
      <c r="AV30" s="306">
        <f>ROUND($O30*AE30,0)</f>
        <v/>
      </c>
      <c r="AW30" s="306">
        <f>ROUND($O30*AF30,0)</f>
        <v/>
      </c>
      <c r="AX30" s="236">
        <f>SUM(AG30:AO30)</f>
        <v/>
      </c>
      <c r="AY30" s="528">
        <f>AX30/160</f>
        <v/>
      </c>
      <c r="AZ30" s="87">
        <f>VLOOKUP(I30,Listy!$A$1:$H$9,6,FALSE)</f>
        <v/>
      </c>
      <c r="BA30" s="682">
        <f>AY30*AZ30</f>
        <v/>
      </c>
      <c r="BB30" s="683">
        <f>AY30*BA30</f>
        <v/>
      </c>
      <c r="BC30" s="528" t="n"/>
      <c r="BD30" s="528" t="n"/>
      <c r="BE30" s="528" t="n"/>
      <c r="BF30" s="528" t="n"/>
      <c r="BG30" s="528" t="n"/>
      <c r="BH30" s="528" t="n"/>
      <c r="BI30" s="21">
        <f>BG30*BH30</f>
        <v/>
      </c>
      <c r="BJ30" s="528" t="n"/>
      <c r="BK30" s="528" t="n"/>
      <c r="BL30" s="528" t="n"/>
      <c r="BM30" s="528" t="n"/>
      <c r="BN30" s="528" t="n"/>
      <c r="BO30" s="528" t="n"/>
      <c r="BP30" s="528" t="n"/>
      <c r="BQ30" s="528" t="n"/>
      <c r="BR30" s="528" t="n"/>
      <c r="BS30" s="528" t="n"/>
      <c r="BT30" s="528" t="n"/>
      <c r="BU30" s="528" t="n"/>
      <c r="BV30" s="528" t="n"/>
      <c r="BW30" s="21">
        <f>BU30*BV30</f>
        <v/>
      </c>
      <c r="BX30" s="528" t="n"/>
      <c r="BY30" s="528" t="n"/>
      <c r="BZ30" s="528" t="n"/>
      <c r="CA30" s="21">
        <f>BY30*BZ30</f>
        <v/>
      </c>
      <c r="CB30" s="528" t="n"/>
      <c r="CC30" s="528" t="n"/>
      <c r="CD30" s="528" t="n"/>
      <c r="CE30" s="21">
        <f>CC30*CD30</f>
        <v/>
      </c>
    </row>
    <row r="31" customFormat="1" s="538">
      <c r="A31" s="528" t="n">
        <v>7</v>
      </c>
      <c r="B31" s="55" t="inlineStr">
        <is>
          <t>c</t>
        </is>
      </c>
      <c r="C31" s="398" t="n">
        <v>1</v>
      </c>
      <c r="D31" s="405">
        <f>CONCATENATE(A$3,"_",A31,"_",B31,"_",C31)</f>
        <v/>
      </c>
      <c r="E31" s="409" t="inlineStr">
        <is>
          <t>Prowadzenie dalszych usprawnień lub rozszerzenie systemu celem pełnego wdrożenia operacyjnego platformy w kolejnych etapach poza projektowych</t>
        </is>
      </c>
      <c r="F31" s="399">
        <f>IFERROR(VLOOKUP($I31,Listy!$A:$H,2,FALSE),"XXX")</f>
        <v/>
      </c>
      <c r="G31" s="528">
        <f>IFERROR(VLOOKUP($I31,Listy!$A:$H,3,FALSE),"XXX")</f>
        <v/>
      </c>
      <c r="H31" s="393" t="n">
        <v>21</v>
      </c>
      <c r="I31" s="89" t="inlineStr">
        <is>
          <t>.a07</t>
        </is>
      </c>
      <c r="J31" s="91">
        <f>M30+1</f>
        <v/>
      </c>
      <c r="K31" s="681">
        <f>VLOOKUP(J31,Kalendarz!B:E,4,FALSE)</f>
        <v/>
      </c>
      <c r="L31" s="681">
        <f>K31+N31</f>
        <v/>
      </c>
      <c r="M31" s="528">
        <f>J31+N31-1</f>
        <v/>
      </c>
      <c r="N31" s="474" t="n">
        <v>1</v>
      </c>
      <c r="O31" s="529" t="n">
        <v>120</v>
      </c>
      <c r="P31" s="187" t="n">
        <v>0.17</v>
      </c>
      <c r="Q31" s="187" t="n">
        <v>0.17</v>
      </c>
      <c r="R31" s="187" t="n">
        <v>0.17</v>
      </c>
      <c r="S31" s="187" t="n">
        <v>0.17</v>
      </c>
      <c r="T31" s="187" t="n">
        <v>0.17</v>
      </c>
      <c r="U31" s="187" t="n">
        <v>0.15</v>
      </c>
      <c r="V31" s="187" t="n"/>
      <c r="W31" s="187" t="n"/>
      <c r="X31" s="187" t="n"/>
      <c r="Y31" s="292" t="n">
        <v>0</v>
      </c>
      <c r="Z31" s="292" t="n">
        <v>0</v>
      </c>
      <c r="AA31" s="292" t="n">
        <v>0</v>
      </c>
      <c r="AB31" s="292" t="n">
        <v>0</v>
      </c>
      <c r="AC31" s="305" t="n"/>
      <c r="AD31" s="305" t="n"/>
      <c r="AE31" s="305" t="n"/>
      <c r="AF31" s="305" t="n"/>
      <c r="AG31" s="192">
        <f>ROUND($O31*P31,0)</f>
        <v/>
      </c>
      <c r="AH31" s="192">
        <f>ROUND($O31*Q31,0)</f>
        <v/>
      </c>
      <c r="AI31" s="192">
        <f>ROUND($O31*R31,0)</f>
        <v/>
      </c>
      <c r="AJ31" s="192">
        <f>ROUND($O31*S31,0)</f>
        <v/>
      </c>
      <c r="AK31" s="192">
        <f>ROUND($O31*T31,0)</f>
        <v/>
      </c>
      <c r="AL31" s="192">
        <f>ROUND($O31*U31,0)</f>
        <v/>
      </c>
      <c r="AM31" s="192">
        <f>ROUND($O31*V31,0)</f>
        <v/>
      </c>
      <c r="AN31" s="192">
        <f>ROUND($O31*W31,0)</f>
        <v/>
      </c>
      <c r="AO31" s="192">
        <f>ROUND($O31*X31,0)</f>
        <v/>
      </c>
      <c r="AP31" s="193">
        <f>ROUND($O31*Y31,0)</f>
        <v/>
      </c>
      <c r="AQ31" s="193">
        <f>ROUND($O31*Z31,0)</f>
        <v/>
      </c>
      <c r="AR31" s="193">
        <f>ROUND($O31*AA31,0)</f>
        <v/>
      </c>
      <c r="AS31" s="193">
        <f>ROUND($O31*AB31,0)</f>
        <v/>
      </c>
      <c r="AT31" s="306">
        <f>ROUND($O31*AC31,0)</f>
        <v/>
      </c>
      <c r="AU31" s="306">
        <f>ROUND($O31*AD31,0)</f>
        <v/>
      </c>
      <c r="AV31" s="306">
        <f>ROUND($O31*AE31,0)</f>
        <v/>
      </c>
      <c r="AW31" s="306">
        <f>ROUND($O31*AF31,0)</f>
        <v/>
      </c>
      <c r="AX31" s="236">
        <f>SUM(AG31:AO31)</f>
        <v/>
      </c>
      <c r="AY31" s="528">
        <f>AX31/160</f>
        <v/>
      </c>
      <c r="AZ31" s="87">
        <f>VLOOKUP(I31,Listy!$A$1:$H$9,6,FALSE)</f>
        <v/>
      </c>
      <c r="BA31" s="682">
        <f>AY31*AZ31</f>
        <v/>
      </c>
      <c r="BB31" s="683">
        <f>AY31*BA31</f>
        <v/>
      </c>
      <c r="BC31" s="528" t="n"/>
      <c r="BD31" s="528" t="n"/>
      <c r="BE31" s="528" t="n"/>
      <c r="BF31" s="528" t="n"/>
      <c r="BG31" s="528" t="n"/>
      <c r="BH31" s="528" t="n"/>
      <c r="BI31" s="21">
        <f>BG31*BH31</f>
        <v/>
      </c>
      <c r="BJ31" s="528" t="n"/>
      <c r="BK31" s="528" t="n"/>
      <c r="BL31" s="528" t="n"/>
      <c r="BM31" s="528" t="n"/>
      <c r="BN31" s="528" t="n"/>
      <c r="BO31" s="528" t="n"/>
      <c r="BP31" s="528" t="n"/>
      <c r="BQ31" s="528" t="n"/>
      <c r="BR31" s="528" t="n"/>
      <c r="BS31" s="528" t="n"/>
      <c r="BT31" s="528" t="n"/>
      <c r="BU31" s="528" t="n"/>
      <c r="BV31" s="528" t="n"/>
      <c r="BW31" s="21">
        <f>BU31*BV31</f>
        <v/>
      </c>
      <c r="BX31" s="528" t="n"/>
      <c r="BY31" s="528" t="n"/>
      <c r="BZ31" s="528" t="n"/>
      <c r="CA31" s="21">
        <f>BY31*BZ31</f>
        <v/>
      </c>
      <c r="CB31" s="528" t="n"/>
      <c r="CC31" s="528" t="n"/>
      <c r="CD31" s="528" t="n"/>
      <c r="CE31" s="21">
        <f>CC31*CD31</f>
        <v/>
      </c>
    </row>
    <row r="32" ht="54" customFormat="1" customHeight="1" s="538">
      <c r="A32" s="604" t="n">
        <v>8</v>
      </c>
      <c r="B32" s="55" t="inlineStr">
        <is>
          <t>a</t>
        </is>
      </c>
      <c r="C32" s="398" t="n">
        <v>0</v>
      </c>
      <c r="D32" s="405">
        <f>CONCATENATE(A$3,"_",A32,"_",B32,"_",C32)</f>
        <v/>
      </c>
      <c r="E32" s="608" t="inlineStr">
        <is>
          <t>8.Bezpieczeństwo i prywatność. W związku z wymianą dużych ilości danych w czasie rzeczywistym konieczne będzie wdrożenie i optymalizacja narzędzi/mechanizmów:</t>
        </is>
      </c>
      <c r="F32" s="399" t="n"/>
      <c r="G32" s="349" t="n"/>
      <c r="H32" s="349" t="n"/>
      <c r="I32" s="349" t="n"/>
      <c r="J32" s="91">
        <f>M31+1</f>
        <v/>
      </c>
      <c r="K32" s="681">
        <f>VLOOKUP(J32,Kalendarz!B:E,4,FALSE)</f>
        <v/>
      </c>
      <c r="L32" s="681">
        <f>K32+N32</f>
        <v/>
      </c>
      <c r="M32" s="528">
        <f>J32+N32-1</f>
        <v/>
      </c>
      <c r="N32" s="474">
        <f>ROUND(MAX(AG32:AO32)/Listy!$U$2,0)</f>
        <v/>
      </c>
      <c r="O32" s="349" t="n"/>
      <c r="P32" s="349" t="n"/>
      <c r="Q32" s="357" t="n"/>
      <c r="R32" s="357" t="n"/>
      <c r="S32" s="357" t="n"/>
      <c r="T32" s="357" t="n"/>
      <c r="U32" s="357" t="n"/>
      <c r="V32" s="357" t="n"/>
      <c r="W32" s="357" t="n"/>
      <c r="X32" s="357" t="n"/>
      <c r="Y32" s="357" t="n"/>
      <c r="Z32" s="357" t="n"/>
      <c r="AA32" s="357" t="n"/>
      <c r="AB32" s="357" t="n"/>
      <c r="AC32" s="357" t="n"/>
      <c r="AD32" s="357" t="n"/>
      <c r="AE32" s="357" t="n"/>
      <c r="AF32" s="357" t="n"/>
      <c r="AG32" s="192">
        <f>ROUND($O32*P32,0)</f>
        <v/>
      </c>
      <c r="AH32" s="192">
        <f>ROUND($O32*Q32,0)</f>
        <v/>
      </c>
      <c r="AI32" s="192">
        <f>ROUND($O32*R32,0)</f>
        <v/>
      </c>
      <c r="AJ32" s="192">
        <f>ROUND($O32*S32,0)</f>
        <v/>
      </c>
      <c r="AK32" s="192">
        <f>ROUND($O32*T32,0)</f>
        <v/>
      </c>
      <c r="AL32" s="192">
        <f>ROUND($O32*U32,0)</f>
        <v/>
      </c>
      <c r="AM32" s="192">
        <f>ROUND($O32*V32,0)</f>
        <v/>
      </c>
      <c r="AN32" s="192">
        <f>ROUND($O32*W32,0)</f>
        <v/>
      </c>
      <c r="AO32" s="192">
        <f>ROUND($O32*X32,0)</f>
        <v/>
      </c>
      <c r="AP32" s="357" t="n"/>
      <c r="AQ32" s="357" t="n"/>
      <c r="AR32" s="357" t="n"/>
      <c r="AS32" s="357" t="n"/>
      <c r="AT32" s="357" t="n"/>
      <c r="AU32" s="357" t="n"/>
      <c r="AV32" s="357" t="n"/>
      <c r="AW32" s="357" t="n"/>
      <c r="AX32" s="357" t="n"/>
      <c r="AY32" s="357" t="n"/>
      <c r="AZ32" s="357" t="n"/>
      <c r="BA32" s="357" t="n"/>
      <c r="BB32" s="357" t="n"/>
      <c r="BC32" s="357" t="n"/>
      <c r="BD32" s="357" t="n"/>
      <c r="BE32" s="357" t="n"/>
      <c r="BF32" s="357" t="n"/>
      <c r="BG32" s="357" t="n"/>
      <c r="BH32" s="357" t="n"/>
      <c r="BI32" s="357" t="n"/>
      <c r="BJ32" s="357" t="n"/>
      <c r="BK32" s="357" t="n"/>
      <c r="BL32" s="357" t="n"/>
      <c r="BM32" s="357" t="n"/>
      <c r="BN32" s="357" t="n"/>
      <c r="BO32" s="357" t="n"/>
      <c r="BP32" s="357" t="n"/>
      <c r="BQ32" s="357" t="n"/>
      <c r="BR32" s="357" t="n"/>
      <c r="BS32" s="357" t="n"/>
      <c r="BT32" s="357" t="n"/>
      <c r="BU32" s="357" t="n"/>
      <c r="BV32" s="357" t="n"/>
      <c r="BW32" s="357" t="n"/>
      <c r="BX32" s="357" t="n"/>
      <c r="BY32" s="357" t="n"/>
      <c r="BZ32" s="357" t="n"/>
      <c r="CA32" s="357" t="n"/>
      <c r="CB32" s="357" t="n"/>
      <c r="CC32" s="357" t="n"/>
      <c r="CD32" s="357" t="n"/>
      <c r="CE32" s="357" t="n"/>
      <c r="CF32" s="357" t="n"/>
    </row>
    <row r="33" customFormat="1" s="538">
      <c r="A33" s="528" t="n">
        <v>8</v>
      </c>
      <c r="B33" s="55" t="inlineStr">
        <is>
          <t>a</t>
        </is>
      </c>
      <c r="C33" s="398" t="n">
        <v>1</v>
      </c>
      <c r="D33" s="405">
        <f>CONCATENATE(A$3,"_",A33,"_",B33,"_",C33)</f>
        <v/>
      </c>
      <c r="E33" s="408" t="inlineStr">
        <is>
          <t xml:space="preserve">ochrony danych przed cyberatakami oraz ochrona integralności systemów </t>
        </is>
      </c>
      <c r="F33" s="399">
        <f>IFERROR(VLOOKUP($I33,Listy!$A:$H,2,FALSE),"XXX")</f>
        <v/>
      </c>
      <c r="G33" s="528">
        <f>IFERROR(VLOOKUP($I33,Listy!$A:$H,3,FALSE),"XXX")</f>
        <v/>
      </c>
      <c r="H33" s="393" t="n">
        <v>22</v>
      </c>
      <c r="I33" s="89" t="inlineStr">
        <is>
          <t>.a06</t>
        </is>
      </c>
      <c r="J33" s="91">
        <f>M32+1</f>
        <v/>
      </c>
      <c r="K33" s="681">
        <f>VLOOKUP(J33,Kalendarz!B:E,4,FALSE)</f>
        <v/>
      </c>
      <c r="L33" s="681">
        <f>K33+N33</f>
        <v/>
      </c>
      <c r="M33" s="528">
        <f>J33+N33-1</f>
        <v/>
      </c>
      <c r="N33" s="474" t="n">
        <v>1</v>
      </c>
      <c r="O33" s="45" t="n">
        <v>80</v>
      </c>
      <c r="P33" s="187" t="n">
        <v>0</v>
      </c>
      <c r="Q33" s="187" t="n">
        <v>0</v>
      </c>
      <c r="R33" s="187" t="n">
        <v>0</v>
      </c>
      <c r="S33" s="187" t="n">
        <v>0</v>
      </c>
      <c r="T33" s="187" t="n">
        <v>0.5</v>
      </c>
      <c r="U33" s="187" t="n">
        <v>0.5</v>
      </c>
      <c r="V33" s="187" t="n"/>
      <c r="W33" s="187" t="n"/>
      <c r="X33" s="187" t="n"/>
      <c r="Y33" s="292" t="n">
        <v>0</v>
      </c>
      <c r="Z33" s="292" t="n">
        <v>0</v>
      </c>
      <c r="AA33" s="292" t="n">
        <v>0</v>
      </c>
      <c r="AB33" s="292" t="n">
        <v>0</v>
      </c>
      <c r="AC33" s="305" t="n"/>
      <c r="AD33" s="305" t="n"/>
      <c r="AE33" s="305" t="n"/>
      <c r="AF33" s="305" t="n"/>
      <c r="AG33" s="192">
        <f>ROUND($O33*P33,0)</f>
        <v/>
      </c>
      <c r="AH33" s="192">
        <f>ROUND($O33*Q33,0)</f>
        <v/>
      </c>
      <c r="AI33" s="192">
        <f>ROUND($O33*R33,0)</f>
        <v/>
      </c>
      <c r="AJ33" s="192">
        <f>ROUND($O33*S33,0)</f>
        <v/>
      </c>
      <c r="AK33" s="192">
        <f>ROUND($O33*T33,0)</f>
        <v/>
      </c>
      <c r="AL33" s="192">
        <f>ROUND($O33*U33,0)</f>
        <v/>
      </c>
      <c r="AM33" s="192">
        <f>ROUND($O33*V33,0)</f>
        <v/>
      </c>
      <c r="AN33" s="192">
        <f>ROUND($O33*W33,0)</f>
        <v/>
      </c>
      <c r="AO33" s="192">
        <f>ROUND($O33*X33,0)</f>
        <v/>
      </c>
      <c r="AP33" s="193">
        <f>ROUND($O33*Y33,0)</f>
        <v/>
      </c>
      <c r="AQ33" s="193">
        <f>ROUND($O33*Z33,0)</f>
        <v/>
      </c>
      <c r="AR33" s="193">
        <f>ROUND($O33*AA33,0)</f>
        <v/>
      </c>
      <c r="AS33" s="193">
        <f>ROUND($O33*AB33,0)</f>
        <v/>
      </c>
      <c r="AT33" s="306">
        <f>ROUND($O33*AC33,0)</f>
        <v/>
      </c>
      <c r="AU33" s="306">
        <f>ROUND($O33*AD33,0)</f>
        <v/>
      </c>
      <c r="AV33" s="306">
        <f>ROUND($O33*AE33,0)</f>
        <v/>
      </c>
      <c r="AW33" s="306">
        <f>ROUND($O33*AF33,0)</f>
        <v/>
      </c>
      <c r="AX33" s="236">
        <f>SUM(AG33:AO33)</f>
        <v/>
      </c>
      <c r="AY33" s="528">
        <f>AX33/160</f>
        <v/>
      </c>
      <c r="AZ33" s="87">
        <f>VLOOKUP(I33,Listy!$A$1:$H$9,6,FALSE)</f>
        <v/>
      </c>
      <c r="BA33" s="682">
        <f>AY33*AZ33</f>
        <v/>
      </c>
      <c r="BB33" s="683">
        <f>AY33*BA33</f>
        <v/>
      </c>
      <c r="BC33" s="528" t="n"/>
      <c r="BD33" s="528" t="n"/>
      <c r="BE33" s="528" t="n"/>
      <c r="BF33" s="528" t="n"/>
      <c r="BG33" s="528" t="n"/>
      <c r="BH33" s="528" t="n"/>
      <c r="BI33" s="21">
        <f>BG33*BH33</f>
        <v/>
      </c>
      <c r="BJ33" s="528" t="n"/>
      <c r="BK33" s="528" t="n"/>
      <c r="BL33" s="528" t="n"/>
      <c r="BM33" s="528" t="n"/>
      <c r="BN33" s="528" t="n"/>
      <c r="BO33" s="528" t="n"/>
      <c r="BP33" s="528" t="n"/>
      <c r="BQ33" s="528" t="n"/>
      <c r="BR33" s="528" t="n"/>
      <c r="BS33" s="528" t="n"/>
      <c r="BT33" s="528" t="n"/>
      <c r="BU33" s="528" t="n"/>
      <c r="BV33" s="528" t="n"/>
      <c r="BW33" s="21">
        <f>BU33*BV33</f>
        <v/>
      </c>
      <c r="BX33" s="528" t="n"/>
      <c r="BY33" s="528" t="n"/>
      <c r="BZ33" s="528" t="n"/>
      <c r="CA33" s="21">
        <f>BY33*BZ33</f>
        <v/>
      </c>
      <c r="CB33" s="528" t="n"/>
      <c r="CC33" s="528" t="n"/>
      <c r="CD33" s="528" t="n"/>
      <c r="CE33" s="21">
        <f>CC33*CD33</f>
        <v/>
      </c>
    </row>
    <row r="34" customFormat="1" s="538">
      <c r="A34" s="528" t="n">
        <v>8</v>
      </c>
      <c r="B34" s="55" t="inlineStr">
        <is>
          <t>b</t>
        </is>
      </c>
      <c r="C34" s="398" t="n">
        <v>1</v>
      </c>
      <c r="D34" s="405">
        <f>CONCATENATE(A$3,"_",A34,"_",B34,"_",C34)</f>
        <v/>
      </c>
      <c r="E34" s="408" t="inlineStr">
        <is>
          <t>anonimizacji danych oraz ochrony wrażliwych informacji w systemach</t>
        </is>
      </c>
      <c r="F34" s="399">
        <f>IFERROR(VLOOKUP($I34,Listy!$A:$H,2,FALSE),"XXX")</f>
        <v/>
      </c>
      <c r="G34" s="528">
        <f>IFERROR(VLOOKUP($I34,Listy!$A:$H,3,FALSE),"XXX")</f>
        <v/>
      </c>
      <c r="H34" s="393" t="n">
        <v>23</v>
      </c>
      <c r="I34" s="89" t="inlineStr">
        <is>
          <t>.a07</t>
        </is>
      </c>
      <c r="J34" s="91">
        <f>M33+1</f>
        <v/>
      </c>
      <c r="K34" s="681">
        <f>VLOOKUP(J34,Kalendarz!B:E,4,FALSE)</f>
        <v/>
      </c>
      <c r="L34" s="681">
        <f>K34+N34</f>
        <v/>
      </c>
      <c r="M34" s="528">
        <f>J34+N34-1</f>
        <v/>
      </c>
      <c r="N34" s="482" t="n">
        <v>0</v>
      </c>
      <c r="O34" s="45" t="n">
        <v>80</v>
      </c>
      <c r="P34" s="187" t="n">
        <v>0</v>
      </c>
      <c r="Q34" s="187" t="n">
        <v>0</v>
      </c>
      <c r="R34" s="187" t="n">
        <v>0.5</v>
      </c>
      <c r="S34" s="187" t="n">
        <v>0.5</v>
      </c>
      <c r="T34" s="187" t="n">
        <v>0</v>
      </c>
      <c r="U34" s="187" t="n">
        <v>0</v>
      </c>
      <c r="V34" s="187" t="n"/>
      <c r="W34" s="187" t="n"/>
      <c r="X34" s="187" t="n"/>
      <c r="Y34" s="292" t="n">
        <v>0</v>
      </c>
      <c r="Z34" s="292" t="n">
        <v>0</v>
      </c>
      <c r="AA34" s="292" t="n">
        <v>0</v>
      </c>
      <c r="AB34" s="292" t="n">
        <v>0</v>
      </c>
      <c r="AC34" s="305" t="n"/>
      <c r="AD34" s="305" t="n"/>
      <c r="AE34" s="305" t="n"/>
      <c r="AF34" s="305" t="n"/>
      <c r="AG34" s="192">
        <f>ROUND($O34*P34,0)</f>
        <v/>
      </c>
      <c r="AH34" s="192">
        <f>ROUND($O34*Q34,0)</f>
        <v/>
      </c>
      <c r="AI34" s="192">
        <f>ROUND($O34*R34,0)</f>
        <v/>
      </c>
      <c r="AJ34" s="192">
        <f>ROUND($O34*S34,0)</f>
        <v/>
      </c>
      <c r="AK34" s="192">
        <f>ROUND($O34*T34,0)</f>
        <v/>
      </c>
      <c r="AL34" s="192">
        <f>ROUND($O34*U34,0)</f>
        <v/>
      </c>
      <c r="AM34" s="192">
        <f>ROUND($O34*V34,0)</f>
        <v/>
      </c>
      <c r="AN34" s="192">
        <f>ROUND($O34*W34,0)</f>
        <v/>
      </c>
      <c r="AO34" s="192">
        <f>ROUND($O34*X34,0)</f>
        <v/>
      </c>
      <c r="AP34" s="193">
        <f>ROUND($O34*Y34,0)</f>
        <v/>
      </c>
      <c r="AQ34" s="193">
        <f>ROUND($O34*Z34,0)</f>
        <v/>
      </c>
      <c r="AR34" s="193">
        <f>ROUND($O34*AA34,0)</f>
        <v/>
      </c>
      <c r="AS34" s="193">
        <f>ROUND($O34*AB34,0)</f>
        <v/>
      </c>
      <c r="AT34" s="306">
        <f>ROUND($O34*AC34,0)</f>
        <v/>
      </c>
      <c r="AU34" s="306">
        <f>ROUND($O34*AD34,0)</f>
        <v/>
      </c>
      <c r="AV34" s="306">
        <f>ROUND($O34*AE34,0)</f>
        <v/>
      </c>
      <c r="AW34" s="306">
        <f>ROUND($O34*AF34,0)</f>
        <v/>
      </c>
      <c r="AX34" s="236">
        <f>SUM(AG34:AO34)</f>
        <v/>
      </c>
      <c r="AY34" s="528">
        <f>AX34/160</f>
        <v/>
      </c>
      <c r="AZ34" s="87">
        <f>VLOOKUP(I34,Listy!$A$1:$H$9,6,FALSE)</f>
        <v/>
      </c>
      <c r="BA34" s="682">
        <f>AY34*AZ34</f>
        <v/>
      </c>
      <c r="BB34" s="683">
        <f>AY34*BA34</f>
        <v/>
      </c>
      <c r="BC34" s="528" t="n"/>
      <c r="BD34" s="528" t="n"/>
      <c r="BE34" s="528" t="n"/>
      <c r="BF34" s="528" t="n"/>
      <c r="BG34" s="528" t="n"/>
      <c r="BH34" s="528" t="n"/>
      <c r="BI34" s="21">
        <f>BG34*BH34</f>
        <v/>
      </c>
      <c r="BJ34" s="528" t="n"/>
      <c r="BK34" s="528" t="n"/>
      <c r="BL34" s="528" t="n"/>
      <c r="BM34" s="528" t="n"/>
      <c r="BN34" s="528" t="n"/>
      <c r="BO34" s="528" t="n"/>
      <c r="BP34" s="528" t="n"/>
      <c r="BQ34" s="528" t="n"/>
      <c r="BR34" s="528" t="n"/>
      <c r="BS34" s="528" t="n"/>
      <c r="BT34" s="528" t="n"/>
      <c r="BU34" s="528" t="n"/>
      <c r="BV34" s="528" t="n"/>
      <c r="BW34" s="21">
        <f>BU34*BV34</f>
        <v/>
      </c>
      <c r="BX34" s="528" t="n"/>
      <c r="BY34" s="528" t="n"/>
      <c r="BZ34" s="528" t="n"/>
      <c r="CA34" s="21">
        <f>BY34*BZ34</f>
        <v/>
      </c>
      <c r="CB34" s="528" t="n"/>
      <c r="CC34" s="528" t="n"/>
      <c r="CD34" s="528" t="n"/>
      <c r="CE34" s="21">
        <f>CC34*CD34</f>
        <v/>
      </c>
    </row>
    <row r="35" ht="18" customFormat="1" customHeight="1" s="538">
      <c r="A35" s="604" t="n">
        <v>9</v>
      </c>
      <c r="B35" s="55" t="inlineStr">
        <is>
          <t>a</t>
        </is>
      </c>
      <c r="C35" s="398" t="n">
        <v>0</v>
      </c>
      <c r="D35" s="405">
        <f>CONCATENATE(A$3,"_",A35,"_",B35,"_",C35)</f>
        <v/>
      </c>
      <c r="E35" s="388" t="inlineStr">
        <is>
          <t>9.Analiza kosztów i ROI</t>
        </is>
      </c>
      <c r="F35" s="349" t="n"/>
      <c r="G35" s="349" t="n"/>
      <c r="H35" s="349" t="n"/>
      <c r="I35" s="349" t="n"/>
      <c r="J35" s="91">
        <f>M34+1</f>
        <v/>
      </c>
      <c r="K35" s="681">
        <f>VLOOKUP(J35,Kalendarz!B:E,4,FALSE)</f>
        <v/>
      </c>
      <c r="L35" s="681">
        <f>K35+N35</f>
        <v/>
      </c>
      <c r="M35" s="528">
        <f>J35+N35-1</f>
        <v/>
      </c>
      <c r="N35" s="474">
        <f>ROUND(MAX(AG35:AO35)/Listy!$U$2,0)</f>
        <v/>
      </c>
      <c r="O35" s="349" t="n"/>
      <c r="P35" s="349" t="n"/>
      <c r="Q35" s="357" t="n"/>
      <c r="R35" s="357" t="n"/>
      <c r="S35" s="357" t="n"/>
      <c r="T35" s="357" t="n"/>
      <c r="U35" s="357" t="n"/>
      <c r="V35" s="357" t="n"/>
      <c r="W35" s="357" t="n"/>
      <c r="X35" s="357" t="n"/>
      <c r="Y35" s="357" t="n"/>
      <c r="Z35" s="357" t="n"/>
      <c r="AA35" s="357" t="n"/>
      <c r="AB35" s="357" t="n"/>
      <c r="AC35" s="357" t="n"/>
      <c r="AD35" s="357" t="n"/>
      <c r="AE35" s="357" t="n"/>
      <c r="AF35" s="357" t="n"/>
      <c r="AG35" s="357" t="n"/>
      <c r="AH35" s="357" t="n"/>
      <c r="AI35" s="357" t="n"/>
      <c r="AJ35" s="357" t="n"/>
      <c r="AK35" s="357" t="n"/>
      <c r="AL35" s="357" t="n"/>
      <c r="AM35" s="357" t="n"/>
      <c r="AN35" s="357" t="n"/>
      <c r="AO35" s="357" t="n"/>
      <c r="AP35" s="357" t="n"/>
      <c r="AQ35" s="357" t="n"/>
      <c r="AR35" s="357" t="n"/>
      <c r="AS35" s="357" t="n"/>
      <c r="AT35" s="357" t="n"/>
      <c r="AU35" s="357" t="n"/>
      <c r="AV35" s="357" t="n"/>
      <c r="AW35" s="357" t="n"/>
      <c r="AX35" s="357" t="n"/>
      <c r="AY35" s="357" t="n"/>
      <c r="AZ35" s="357" t="n"/>
      <c r="BA35" s="357" t="n"/>
      <c r="BB35" s="357" t="n"/>
      <c r="BC35" s="357" t="n"/>
      <c r="BD35" s="357" t="n"/>
      <c r="BE35" s="357" t="n"/>
      <c r="BF35" s="357" t="n"/>
      <c r="BG35" s="357" t="n"/>
      <c r="BH35" s="357" t="n"/>
      <c r="BI35" s="357" t="n"/>
      <c r="BJ35" s="357" t="n"/>
      <c r="BK35" s="357" t="n"/>
      <c r="BL35" s="357" t="n"/>
      <c r="BM35" s="357" t="n"/>
      <c r="BN35" s="357" t="n"/>
      <c r="BO35" s="357" t="n"/>
      <c r="BP35" s="357" t="n"/>
      <c r="BQ35" s="357" t="n"/>
      <c r="BR35" s="357" t="n"/>
      <c r="BS35" s="357" t="n"/>
      <c r="BT35" s="357" t="n"/>
      <c r="BU35" s="357" t="n"/>
      <c r="BV35" s="357" t="n"/>
      <c r="BW35" s="357" t="n"/>
      <c r="BX35" s="357" t="n"/>
      <c r="BY35" s="357" t="n"/>
      <c r="BZ35" s="357" t="n"/>
      <c r="CA35" s="357" t="n"/>
      <c r="CB35" s="357" t="n"/>
      <c r="CC35" s="357" t="n"/>
      <c r="CD35" s="357" t="n"/>
      <c r="CE35" s="357" t="n"/>
      <c r="CF35" s="357" t="n"/>
    </row>
    <row r="36" customFormat="1" s="538">
      <c r="A36" s="528" t="n">
        <v>9</v>
      </c>
      <c r="B36" s="55" t="inlineStr">
        <is>
          <t>a</t>
        </is>
      </c>
      <c r="C36" s="398" t="n">
        <v>1</v>
      </c>
      <c r="D36" s="405">
        <f>CONCATENATE(A$3,"_",A36,"_",B36,"_",C36)</f>
        <v/>
      </c>
      <c r="E36" s="408" t="inlineStr">
        <is>
          <t>Analiza kosztów wdrożenia, w tym koszty technologii, szkolenia, infrastruktury oraz bieżącej obsługi platformy</t>
        </is>
      </c>
      <c r="F36" s="399">
        <f>IFERROR(VLOOKUP($I36,Listy!$A:$H,2,FALSE),"XXX")</f>
        <v/>
      </c>
      <c r="G36" s="528">
        <f>IFERROR(VLOOKUP($I36,Listy!$A:$H,3,FALSE),"XXX")</f>
        <v/>
      </c>
      <c r="H36" s="393" t="n">
        <v>24</v>
      </c>
      <c r="I36" s="89" t="inlineStr">
        <is>
          <t>.a06</t>
        </is>
      </c>
      <c r="J36" s="91">
        <f>M35+1</f>
        <v/>
      </c>
      <c r="K36" s="681">
        <f>VLOOKUP(J36,Kalendarz!B:E,4,FALSE)</f>
        <v/>
      </c>
      <c r="L36" s="681">
        <f>K36+N36</f>
        <v/>
      </c>
      <c r="M36" s="528">
        <f>J36+N36-1</f>
        <v/>
      </c>
      <c r="N36" s="474" t="n">
        <v>1</v>
      </c>
      <c r="O36" s="529" t="n">
        <v>40</v>
      </c>
      <c r="P36" s="187" t="n">
        <v>0.5</v>
      </c>
      <c r="Q36" s="187" t="n">
        <v>0.5</v>
      </c>
      <c r="R36" s="187" t="n">
        <v>0</v>
      </c>
      <c r="S36" s="187" t="n">
        <v>0</v>
      </c>
      <c r="T36" s="187" t="n">
        <v>0</v>
      </c>
      <c r="U36" s="187" t="n">
        <v>0</v>
      </c>
      <c r="V36" s="187" t="n"/>
      <c r="W36" s="187" t="n"/>
      <c r="X36" s="187" t="n"/>
      <c r="Y36" s="292" t="n">
        <v>0</v>
      </c>
      <c r="Z36" s="292" t="n">
        <v>0</v>
      </c>
      <c r="AA36" s="292" t="n">
        <v>0</v>
      </c>
      <c r="AB36" s="292" t="n">
        <v>0</v>
      </c>
      <c r="AC36" s="305" t="n"/>
      <c r="AD36" s="305" t="n"/>
      <c r="AE36" s="305" t="n"/>
      <c r="AF36" s="305" t="n"/>
      <c r="AG36" s="192">
        <f>ROUND($O36*P36,0)</f>
        <v/>
      </c>
      <c r="AH36" s="192">
        <f>ROUND($O36*Q36,0)</f>
        <v/>
      </c>
      <c r="AI36" s="192">
        <f>ROUND($O36*R36,0)</f>
        <v/>
      </c>
      <c r="AJ36" s="192">
        <f>ROUND($O36*S36,0)</f>
        <v/>
      </c>
      <c r="AK36" s="192">
        <f>ROUND($O36*T36,0)</f>
        <v/>
      </c>
      <c r="AL36" s="192">
        <f>ROUND($O36*U36,0)</f>
        <v/>
      </c>
      <c r="AM36" s="192">
        <f>ROUND($O36*V36,0)</f>
        <v/>
      </c>
      <c r="AN36" s="192">
        <f>ROUND($O36*W36,0)</f>
        <v/>
      </c>
      <c r="AO36" s="192">
        <f>ROUND($O36*X36,0)</f>
        <v/>
      </c>
      <c r="AP36" s="193">
        <f>ROUND($O36*Y36,0)</f>
        <v/>
      </c>
      <c r="AQ36" s="193">
        <f>ROUND($O36*Z36,0)</f>
        <v/>
      </c>
      <c r="AR36" s="193">
        <f>ROUND($O36*AA36,0)</f>
        <v/>
      </c>
      <c r="AS36" s="193">
        <f>ROUND($O36*AB36,0)</f>
        <v/>
      </c>
      <c r="AT36" s="306">
        <f>ROUND($O36*AC36,0)</f>
        <v/>
      </c>
      <c r="AU36" s="306">
        <f>ROUND($O36*AD36,0)</f>
        <v/>
      </c>
      <c r="AV36" s="306">
        <f>ROUND($O36*AE36,0)</f>
        <v/>
      </c>
      <c r="AW36" s="306">
        <f>ROUND($O36*AF36,0)</f>
        <v/>
      </c>
      <c r="AX36" s="236">
        <f>SUM(AG36:AO36)</f>
        <v/>
      </c>
      <c r="AY36" s="528">
        <f>AX36/160</f>
        <v/>
      </c>
      <c r="AZ36" s="87">
        <f>VLOOKUP(I36,Listy!$A$1:$H$9,6,FALSE)</f>
        <v/>
      </c>
      <c r="BA36" s="682">
        <f>AY36*AZ36</f>
        <v/>
      </c>
      <c r="BB36" s="683">
        <f>AY36*BA36</f>
        <v/>
      </c>
      <c r="BC36" s="528" t="n"/>
      <c r="BD36" s="528" t="n"/>
      <c r="BE36" s="528" t="n"/>
      <c r="BF36" s="528" t="n"/>
      <c r="BG36" s="528" t="n"/>
      <c r="BH36" s="528" t="n"/>
      <c r="BI36" s="21">
        <f>BG36*BH36</f>
        <v/>
      </c>
      <c r="BJ36" s="528" t="n"/>
      <c r="BK36" s="528" t="n"/>
      <c r="BL36" s="528" t="n"/>
      <c r="BM36" s="528" t="n"/>
      <c r="BN36" s="528" t="n"/>
      <c r="BO36" s="528" t="n"/>
      <c r="BP36" s="528" t="n"/>
      <c r="BQ36" s="528" t="n"/>
      <c r="BR36" s="528" t="n"/>
      <c r="BS36" s="528" t="n"/>
      <c r="BT36" s="528" t="n"/>
      <c r="BU36" s="528" t="n"/>
      <c r="BV36" s="528" t="n"/>
      <c r="BW36" s="21">
        <f>BU36*BV36</f>
        <v/>
      </c>
      <c r="BX36" s="528" t="n"/>
      <c r="BY36" s="528" t="n"/>
      <c r="BZ36" s="528" t="n"/>
      <c r="CA36" s="21">
        <f>BY36*BZ36</f>
        <v/>
      </c>
      <c r="CB36" s="528" t="n"/>
      <c r="CC36" s="528" t="n"/>
      <c r="CD36" s="528" t="n"/>
      <c r="CE36" s="21">
        <f>CC36*CD36</f>
        <v/>
      </c>
    </row>
    <row r="37" customFormat="1" s="538">
      <c r="A37" s="528" t="n">
        <v>9</v>
      </c>
      <c r="B37" s="55" t="inlineStr">
        <is>
          <t>b</t>
        </is>
      </c>
      <c r="C37" s="398" t="n">
        <v>1</v>
      </c>
      <c r="D37" s="405">
        <f>CONCATENATE(A$3,"_",A37,"_",B37,"_",C37)</f>
        <v/>
      </c>
      <c r="E37" s="408" t="inlineStr">
        <is>
          <t>Określenie ROI na podstawie oszczędności operacyjnych (np. zmniejszenie liczby błędów, skrócenie czasu cyklu zamówienia, redukcja liczby potrzebnych zasobów) oraz wzrostu efektywności</t>
        </is>
      </c>
      <c r="F37" s="399">
        <f>IFERROR(VLOOKUP($I37,Listy!$A:$H,2,FALSE),"XXX")</f>
        <v/>
      </c>
      <c r="G37" s="528">
        <f>IFERROR(VLOOKUP($I37,Listy!$A:$H,3,FALSE),"XXX")</f>
        <v/>
      </c>
      <c r="H37" s="393" t="n">
        <v>25</v>
      </c>
      <c r="I37" s="89" t="inlineStr">
        <is>
          <t>.a07</t>
        </is>
      </c>
      <c r="J37" s="91">
        <f>M36+1</f>
        <v/>
      </c>
      <c r="K37" s="681">
        <f>VLOOKUP(J37,Kalendarz!B:E,4,FALSE)</f>
        <v/>
      </c>
      <c r="L37" s="681">
        <f>K37+N37</f>
        <v/>
      </c>
      <c r="M37" s="528">
        <f>J37+N37-1</f>
        <v/>
      </c>
      <c r="N37" s="474" t="n">
        <v>1</v>
      </c>
      <c r="O37" s="529" t="n">
        <v>40</v>
      </c>
      <c r="P37" s="187" t="n">
        <v>0.5</v>
      </c>
      <c r="Q37" s="187" t="n">
        <v>0.5</v>
      </c>
      <c r="R37" s="187" t="n">
        <v>0</v>
      </c>
      <c r="S37" s="187" t="n">
        <v>0</v>
      </c>
      <c r="T37" s="187" t="n">
        <v>0</v>
      </c>
      <c r="U37" s="187" t="n">
        <v>0</v>
      </c>
      <c r="V37" s="187" t="n"/>
      <c r="W37" s="187" t="n"/>
      <c r="X37" s="187" t="n"/>
      <c r="Y37" s="292" t="n">
        <v>0</v>
      </c>
      <c r="Z37" s="292" t="n">
        <v>0</v>
      </c>
      <c r="AA37" s="292" t="n">
        <v>0</v>
      </c>
      <c r="AB37" s="292" t="n">
        <v>0</v>
      </c>
      <c r="AC37" s="305" t="n"/>
      <c r="AD37" s="305" t="n"/>
      <c r="AE37" s="305" t="n"/>
      <c r="AF37" s="305" t="n"/>
      <c r="AG37" s="192">
        <f>ROUND($O37*P37,0)</f>
        <v/>
      </c>
      <c r="AH37" s="192">
        <f>ROUND($O37*Q37,0)</f>
        <v/>
      </c>
      <c r="AI37" s="192">
        <f>ROUND($O37*R37,0)</f>
        <v/>
      </c>
      <c r="AJ37" s="192">
        <f>ROUND($O37*S37,0)</f>
        <v/>
      </c>
      <c r="AK37" s="192">
        <f>ROUND($O37*T37,0)</f>
        <v/>
      </c>
      <c r="AL37" s="192">
        <f>ROUND($O37*U37,0)</f>
        <v/>
      </c>
      <c r="AM37" s="192">
        <f>ROUND($O37*V37,0)</f>
        <v/>
      </c>
      <c r="AN37" s="192">
        <f>ROUND($O37*W37,0)</f>
        <v/>
      </c>
      <c r="AO37" s="192">
        <f>ROUND($O37*X37,0)</f>
        <v/>
      </c>
      <c r="AP37" s="193">
        <f>ROUND($O37*Y37,0)</f>
        <v/>
      </c>
      <c r="AQ37" s="193">
        <f>ROUND($O37*Z37,0)</f>
        <v/>
      </c>
      <c r="AR37" s="193">
        <f>ROUND($O37*AA37,0)</f>
        <v/>
      </c>
      <c r="AS37" s="193">
        <f>ROUND($O37*AB37,0)</f>
        <v/>
      </c>
      <c r="AT37" s="306">
        <f>ROUND($O37*AC37,0)</f>
        <v/>
      </c>
      <c r="AU37" s="306">
        <f>ROUND($O37*AD37,0)</f>
        <v/>
      </c>
      <c r="AV37" s="306">
        <f>ROUND($O37*AE37,0)</f>
        <v/>
      </c>
      <c r="AW37" s="306">
        <f>ROUND($O37*AF37,0)</f>
        <v/>
      </c>
      <c r="AX37" s="236">
        <f>SUM(AG37:AO37)</f>
        <v/>
      </c>
      <c r="AY37" s="528">
        <f>AX37/160</f>
        <v/>
      </c>
      <c r="AZ37" s="87">
        <f>VLOOKUP(I37,Listy!$A$1:$H$9,6,FALSE)</f>
        <v/>
      </c>
      <c r="BA37" s="682">
        <f>AY37*AZ37</f>
        <v/>
      </c>
      <c r="BB37" s="683">
        <f>AY37*BA37</f>
        <v/>
      </c>
      <c r="BC37" s="528" t="n"/>
      <c r="BD37" s="528" t="n"/>
      <c r="BE37" s="528" t="n"/>
      <c r="BF37" s="528" t="n"/>
      <c r="BG37" s="528" t="n"/>
      <c r="BH37" s="528" t="n"/>
      <c r="BI37" s="21">
        <f>BG37*BH37</f>
        <v/>
      </c>
      <c r="BJ37" s="528" t="n"/>
      <c r="BK37" s="528" t="n"/>
      <c r="BL37" s="528" t="n"/>
      <c r="BM37" s="528" t="n"/>
      <c r="BN37" s="528" t="n"/>
      <c r="BO37" s="528" t="n"/>
      <c r="BP37" s="528" t="n"/>
      <c r="BQ37" s="528" t="n"/>
      <c r="BR37" s="528" t="n"/>
      <c r="BS37" s="528" t="n"/>
      <c r="BT37" s="528" t="n"/>
      <c r="BU37" s="528" t="n"/>
      <c r="BV37" s="528" t="n"/>
      <c r="BW37" s="21">
        <f>BU37*BV37</f>
        <v/>
      </c>
      <c r="BX37" s="528" t="n"/>
      <c r="BY37" s="528" t="n"/>
      <c r="BZ37" s="528" t="n"/>
      <c r="CA37" s="21">
        <f>BY37*BZ37</f>
        <v/>
      </c>
      <c r="CB37" s="528" t="n"/>
      <c r="CC37" s="528" t="n"/>
      <c r="CD37" s="528" t="n"/>
      <c r="CE37" s="21">
        <f>CC37*CD37</f>
        <v/>
      </c>
    </row>
    <row r="38" customFormat="1" s="538">
      <c r="A38" s="349" t="n"/>
      <c r="B38" s="350" t="n"/>
      <c r="C38" s="353" t="n"/>
      <c r="D38" s="390" t="n"/>
      <c r="E38" s="353" t="n"/>
      <c r="F38" s="336" t="n"/>
      <c r="G38" s="336" t="n"/>
      <c r="H38" s="335" t="n"/>
      <c r="I38" s="336" t="n"/>
      <c r="J38" s="336" t="n"/>
      <c r="K38" s="336" t="n"/>
      <c r="L38" s="336" t="n"/>
      <c r="M38" s="336" t="n"/>
      <c r="N38" s="13" t="n"/>
      <c r="O38" s="13" t="n"/>
      <c r="P38" s="430" t="n"/>
      <c r="Q38" s="430" t="n"/>
      <c r="R38" s="430" t="n"/>
      <c r="S38" s="430" t="n"/>
      <c r="T38" s="430" t="n"/>
      <c r="U38" s="430" t="n"/>
      <c r="V38" s="430" t="n"/>
      <c r="W38" s="430" t="n"/>
      <c r="X38" s="430" t="n"/>
      <c r="Y38" s="430" t="n"/>
      <c r="Z38" s="430" t="n"/>
      <c r="AA38" s="430" t="n"/>
      <c r="AB38" s="430" t="n"/>
      <c r="AC38" s="338" t="n"/>
      <c r="AD38" s="338" t="n"/>
      <c r="AE38" s="338" t="n"/>
      <c r="AF38" s="338" t="n"/>
      <c r="AG38" s="585">
        <f>SUM(AG$3:AG37)</f>
        <v/>
      </c>
      <c r="AH38" s="586">
        <f>SUM(AH$3:AH37)</f>
        <v/>
      </c>
      <c r="AI38" s="586">
        <f>SUM(AI$3:AI37)</f>
        <v/>
      </c>
      <c r="AJ38" s="586">
        <f>SUM(AJ$3:AJ37)</f>
        <v/>
      </c>
      <c r="AK38" s="586">
        <f>SUM(AK$3:AK37)</f>
        <v/>
      </c>
      <c r="AL38" s="586">
        <f>SUM(AL$3:AL37)</f>
        <v/>
      </c>
      <c r="AM38" s="586">
        <f>SUM(AM$3:AM37)</f>
        <v/>
      </c>
      <c r="AN38" s="586">
        <f>SUM(AN$3:AN37)</f>
        <v/>
      </c>
      <c r="AO38" s="587">
        <f>SUM(AO$3:AO37)</f>
        <v/>
      </c>
      <c r="AP38" s="579">
        <f>SUM(AP$3:AP37)</f>
        <v/>
      </c>
      <c r="AQ38" s="580">
        <f>SUM(AQ$3:AQ37)</f>
        <v/>
      </c>
      <c r="AR38" s="580">
        <f>SUM(AR$3:AR37)</f>
        <v/>
      </c>
      <c r="AS38" s="581">
        <f>SUM(AS$3:AS37)</f>
        <v/>
      </c>
      <c r="AT38" s="572">
        <f>SUM(AT$3:AT37)</f>
        <v/>
      </c>
      <c r="AU38" s="573">
        <f>SUM(AU$3:AU37)</f>
        <v/>
      </c>
      <c r="AV38" s="573">
        <f>SUM(AV$3:AV37)</f>
        <v/>
      </c>
      <c r="AW38" s="574">
        <f>SUM(AW$3:AW37)</f>
        <v/>
      </c>
      <c r="AX38" s="684">
        <f>SUM(AX$3:AX37)</f>
        <v/>
      </c>
      <c r="AY38" s="336" t="n"/>
      <c r="AZ38" s="336" t="n"/>
      <c r="BA38" s="336" t="n"/>
      <c r="BB38" s="336" t="n"/>
      <c r="BC38" s="336" t="n"/>
      <c r="BD38" s="336" t="n"/>
      <c r="BE38" s="336" t="n"/>
      <c r="BF38" s="336" t="n"/>
      <c r="BG38" s="336" t="n"/>
      <c r="BH38" s="336" t="n"/>
      <c r="BI38" s="336" t="n"/>
      <c r="BJ38" s="336" t="n"/>
      <c r="BK38" s="336" t="n"/>
      <c r="BL38" s="336" t="n"/>
      <c r="BM38" s="336" t="n"/>
      <c r="BN38" s="336" t="n"/>
      <c r="BO38" s="336" t="n"/>
      <c r="BP38" s="336" t="n"/>
      <c r="BQ38" s="336" t="n"/>
      <c r="BR38" s="336" t="n"/>
      <c r="BS38" s="336" t="n"/>
      <c r="BT38" s="336" t="n"/>
      <c r="BU38" s="336" t="n"/>
      <c r="BV38" s="336" t="n"/>
      <c r="BW38" s="336" t="n"/>
      <c r="BX38" s="336" t="n"/>
      <c r="BY38" s="336" t="n"/>
      <c r="BZ38" s="336" t="n"/>
      <c r="CA38" s="336" t="n"/>
      <c r="CB38" s="336" t="n"/>
      <c r="CC38" s="336" t="n"/>
      <c r="CD38" s="336" t="n"/>
      <c r="CE38" s="336" t="n"/>
    </row>
    <row r="39" customFormat="1" s="538">
      <c r="A39" s="358" t="n"/>
      <c r="B39" s="358" t="n"/>
      <c r="C39" s="344" t="n"/>
      <c r="D39" s="345" t="n"/>
      <c r="E39" s="346" t="n"/>
      <c r="F39" s="336" t="n"/>
      <c r="G39" s="336" t="n"/>
      <c r="H39" s="336" t="n"/>
      <c r="I39" s="336" t="n"/>
      <c r="J39" s="336" t="n"/>
      <c r="K39" s="336" t="n"/>
      <c r="L39" s="336" t="n"/>
      <c r="M39" s="336" t="n"/>
      <c r="N39" s="336" t="n"/>
      <c r="O39" s="336" t="n"/>
      <c r="P39" s="357" t="n"/>
      <c r="Q39" s="357" t="n"/>
      <c r="R39" s="357" t="n"/>
      <c r="S39" s="357" t="n"/>
      <c r="T39" s="357" t="n"/>
      <c r="U39" s="357" t="n"/>
      <c r="V39" s="357" t="n"/>
      <c r="W39" s="357" t="n"/>
      <c r="X39" s="357" t="n"/>
      <c r="Y39" s="357" t="n"/>
      <c r="Z39" s="357" t="n"/>
      <c r="AA39" s="357" t="n"/>
      <c r="AB39" s="336" t="n"/>
      <c r="AC39" s="338" t="n"/>
      <c r="AD39" s="338" t="n"/>
      <c r="AE39" s="338" t="n"/>
      <c r="AF39" s="338" t="n"/>
      <c r="AG39" s="588">
        <f>Listy!$AA$1&amp;AG38/20</f>
        <v/>
      </c>
      <c r="AH39" s="589">
        <f>Listy!$AA$1&amp;AH38/20</f>
        <v/>
      </c>
      <c r="AI39" s="589">
        <f>Listy!$AA$1&amp;AI38/20</f>
        <v/>
      </c>
      <c r="AJ39" s="589">
        <f>Listy!$AA$1&amp;AJ38/20</f>
        <v/>
      </c>
      <c r="AK39" s="589">
        <f>Listy!$AA$1&amp;AK38/20</f>
        <v/>
      </c>
      <c r="AL39" s="589">
        <f>Listy!$AA$1&amp;AL38/20</f>
        <v/>
      </c>
      <c r="AM39" s="589">
        <f>Listy!$AA$1&amp;AM38/20</f>
        <v/>
      </c>
      <c r="AN39" s="589">
        <f>Listy!$AA$1&amp;AN38/20</f>
        <v/>
      </c>
      <c r="AO39" s="590">
        <f>Listy!$AA$1&amp;AO38/20</f>
        <v/>
      </c>
      <c r="AP39" s="582">
        <f>Listy!$AA$1&amp;AP38/20</f>
        <v/>
      </c>
      <c r="AQ39" s="583">
        <f>Listy!$AA$1&amp;AQ38/20</f>
        <v/>
      </c>
      <c r="AR39" s="583">
        <f>Listy!$AA$1&amp;AR38/20</f>
        <v/>
      </c>
      <c r="AS39" s="584">
        <f>Listy!$AA$1&amp;AS38/20</f>
        <v/>
      </c>
      <c r="AT39" s="575">
        <f>Listy!$AA$1&amp;AT38/20</f>
        <v/>
      </c>
      <c r="AU39" s="576">
        <f>Listy!$AA$1&amp;AU38/20</f>
        <v/>
      </c>
      <c r="AV39" s="576">
        <f>Listy!$AA$1&amp;AV38/20</f>
        <v/>
      </c>
      <c r="AW39" s="577">
        <f>Listy!$AA$1&amp;AW38/20</f>
        <v/>
      </c>
      <c r="AX39" s="591">
        <f>Listy!$AA$1&amp;AX38/20</f>
        <v/>
      </c>
      <c r="AY39" s="359" t="n"/>
      <c r="AZ39" s="336" t="n"/>
      <c r="BA39" s="336" t="n"/>
      <c r="BB39" s="359" t="n"/>
      <c r="BC39" s="336" t="n"/>
      <c r="BD39" s="336" t="n"/>
      <c r="BE39" s="336" t="n"/>
      <c r="BF39" s="336" t="n"/>
      <c r="BG39" s="336" t="n"/>
      <c r="BH39" s="336" t="n"/>
      <c r="BI39" s="359" t="n"/>
      <c r="BJ39" s="336" t="n"/>
      <c r="BK39" s="336" t="n"/>
      <c r="BL39" s="359" t="n"/>
      <c r="BM39" s="336" t="n"/>
      <c r="BN39" s="336" t="n"/>
      <c r="BO39" s="359" t="n"/>
      <c r="BP39" s="336" t="n"/>
      <c r="BQ39" s="336" t="n"/>
      <c r="BR39" s="359" t="n"/>
      <c r="BS39" s="359" t="n"/>
      <c r="BT39" s="336" t="n"/>
      <c r="BU39" s="336" t="n"/>
      <c r="BV39" s="336" t="n"/>
      <c r="BW39" s="359" t="n"/>
      <c r="BX39" s="336" t="n"/>
      <c r="BY39" s="336" t="n"/>
      <c r="BZ39" s="336" t="n"/>
      <c r="CA39" s="359" t="n"/>
      <c r="CB39" s="336" t="n"/>
      <c r="CC39" s="336" t="n"/>
      <c r="CD39" s="336" t="n"/>
      <c r="CE39" s="359" t="n"/>
      <c r="CF39" s="361" t="n"/>
    </row>
    <row r="40" customFormat="1" s="538">
      <c r="A40" s="350" t="n"/>
      <c r="B40" s="350" t="n"/>
      <c r="C40" s="353" t="n"/>
      <c r="D40" s="333" t="n"/>
      <c r="E40" s="332" t="n"/>
      <c r="F40" s="336" t="n"/>
      <c r="G40" s="336" t="n"/>
      <c r="H40" s="335" t="n"/>
      <c r="I40" s="336" t="n"/>
      <c r="J40" s="336" t="n"/>
      <c r="K40" s="336" t="n"/>
      <c r="L40" s="336" t="n"/>
      <c r="M40" s="336" t="n"/>
      <c r="N40" s="336" t="n"/>
      <c r="O40" s="336" t="n"/>
      <c r="P40" s="430" t="n"/>
      <c r="Q40" s="430" t="n"/>
      <c r="R40" s="430" t="n"/>
      <c r="S40" s="430" t="n"/>
      <c r="T40" s="430" t="n"/>
      <c r="U40" s="430" t="n"/>
      <c r="V40" s="430" t="n"/>
      <c r="W40" s="430" t="n"/>
      <c r="X40" s="430" t="n"/>
      <c r="Y40" s="430" t="n"/>
      <c r="Z40" s="430" t="n"/>
      <c r="AA40" s="430" t="n"/>
      <c r="AB40" s="430" t="n"/>
      <c r="AC40" s="338" t="n"/>
      <c r="AD40" s="338" t="n"/>
      <c r="AE40" s="338" t="n"/>
      <c r="AF40" s="338" t="n"/>
      <c r="AG40" s="339" t="n"/>
      <c r="AH40" s="339" t="n"/>
      <c r="AI40" s="339" t="n"/>
      <c r="AJ40" s="339" t="n"/>
      <c r="AK40" s="339" t="n"/>
      <c r="AL40" s="339" t="n"/>
      <c r="AM40" s="339" t="n"/>
      <c r="AN40" s="339" t="n"/>
      <c r="AO40" s="339" t="n"/>
      <c r="AP40" s="339" t="n"/>
      <c r="AQ40" s="339" t="n"/>
      <c r="AR40" s="339" t="n"/>
      <c r="AS40" s="339" t="n"/>
      <c r="AT40" s="339" t="n"/>
      <c r="AU40" s="339" t="n"/>
      <c r="AV40" s="339" t="n"/>
      <c r="AW40" s="339" t="n"/>
      <c r="AX40" s="430" t="n"/>
      <c r="AY40" s="336" t="n"/>
      <c r="AZ40" s="336" t="n"/>
      <c r="BA40" s="336" t="n"/>
      <c r="BB40" s="336" t="n"/>
      <c r="BC40" s="336" t="n"/>
      <c r="BD40" s="336" t="n"/>
      <c r="BE40" s="336" t="n"/>
      <c r="BF40" s="336" t="n"/>
      <c r="BG40" s="336" t="n"/>
      <c r="BH40" s="336" t="n"/>
      <c r="BI40" s="336" t="n"/>
      <c r="BJ40" s="336" t="n"/>
      <c r="BK40" s="336" t="n"/>
      <c r="BL40" s="336" t="n"/>
      <c r="BM40" s="336" t="n"/>
      <c r="BN40" s="336" t="n"/>
      <c r="BO40" s="336" t="n"/>
      <c r="BP40" s="336" t="n"/>
      <c r="BQ40" s="336" t="n"/>
      <c r="BR40" s="336" t="n"/>
      <c r="BS40" s="336" t="n"/>
      <c r="BT40" s="336" t="n"/>
      <c r="BU40" s="336" t="n"/>
      <c r="BV40" s="336" t="n"/>
      <c r="BW40" s="336" t="n"/>
      <c r="BX40" s="336" t="n"/>
      <c r="BY40" s="336" t="n"/>
      <c r="BZ40" s="336" t="n"/>
      <c r="CA40" s="336" t="n"/>
      <c r="CB40" s="336" t="n"/>
      <c r="CC40" s="336" t="n"/>
      <c r="CD40" s="336" t="n"/>
      <c r="CE40" s="336" t="n"/>
    </row>
    <row r="41" customFormat="1" s="538">
      <c r="A41" s="350" t="n"/>
      <c r="B41" s="350" t="n"/>
      <c r="C41" s="353" t="n"/>
      <c r="D41" s="333" t="n"/>
      <c r="E41" s="332" t="n"/>
      <c r="F41" s="336" t="n"/>
      <c r="G41" s="336" t="n"/>
      <c r="H41" s="335" t="n"/>
      <c r="I41" s="336" t="n"/>
      <c r="J41" s="336" t="n"/>
      <c r="K41" s="336" t="n"/>
      <c r="L41" s="336" t="n"/>
      <c r="M41" s="336" t="n"/>
      <c r="N41" s="336" t="n"/>
      <c r="O41" s="336" t="n"/>
      <c r="P41" s="430" t="n"/>
      <c r="Q41" s="430" t="n"/>
      <c r="R41" s="430" t="n"/>
      <c r="S41" s="430" t="n"/>
      <c r="T41" s="430" t="n"/>
      <c r="U41" s="430" t="n"/>
      <c r="V41" s="430" t="n"/>
      <c r="W41" s="430" t="n"/>
      <c r="X41" s="430" t="n"/>
      <c r="Y41" s="430" t="n"/>
      <c r="Z41" s="430" t="n"/>
      <c r="AA41" s="430" t="n"/>
      <c r="AB41" s="430" t="n"/>
      <c r="AC41" s="336" t="n"/>
      <c r="AD41" s="336" t="n"/>
      <c r="AE41" s="336" t="n"/>
      <c r="AF41" s="336" t="n"/>
      <c r="AG41" s="339" t="n"/>
      <c r="AH41" s="339" t="n"/>
      <c r="AI41" s="339" t="n"/>
      <c r="AJ41" s="339" t="n"/>
      <c r="AK41" s="339" t="n"/>
      <c r="AL41" s="339" t="n"/>
      <c r="AM41" s="339" t="n"/>
      <c r="AN41" s="339" t="n"/>
      <c r="AO41" s="339" t="n"/>
      <c r="AP41" s="339" t="n"/>
      <c r="AQ41" s="339" t="n"/>
      <c r="AR41" s="339" t="n"/>
      <c r="AS41" s="339" t="n"/>
      <c r="AT41" s="336" t="n"/>
      <c r="AU41" s="336" t="n"/>
      <c r="AV41" s="336" t="n"/>
      <c r="AW41" s="336" t="n"/>
      <c r="AX41" s="430" t="n"/>
      <c r="AY41" s="336" t="n"/>
      <c r="AZ41" s="336" t="n"/>
      <c r="BA41" s="336" t="n"/>
      <c r="BB41" s="336" t="n"/>
      <c r="BC41" s="336" t="n"/>
      <c r="BD41" s="336" t="n"/>
      <c r="BE41" s="336" t="n"/>
      <c r="BF41" s="336" t="n"/>
      <c r="BG41" s="336" t="n"/>
      <c r="BH41" s="336" t="n"/>
      <c r="BI41" s="336" t="n"/>
      <c r="BJ41" s="336" t="n"/>
      <c r="BK41" s="336" t="n"/>
      <c r="BL41" s="336" t="n"/>
      <c r="BM41" s="336" t="n"/>
      <c r="BN41" s="336" t="n"/>
      <c r="BO41" s="336" t="n"/>
      <c r="BP41" s="336" t="n"/>
      <c r="BQ41" s="336" t="n"/>
      <c r="BR41" s="336" t="n"/>
      <c r="BS41" s="336" t="n"/>
      <c r="BT41" s="336" t="n"/>
      <c r="BU41" s="336" t="n"/>
      <c r="BV41" s="336" t="n"/>
      <c r="BW41" s="336" t="n"/>
      <c r="BX41" s="336" t="n"/>
      <c r="BY41" s="336" t="n"/>
      <c r="BZ41" s="336" t="n"/>
      <c r="CA41" s="336" t="n"/>
      <c r="CB41" s="336" t="n"/>
      <c r="CC41" s="336" t="n"/>
      <c r="CD41" s="336" t="n"/>
      <c r="CE41" s="336" t="n"/>
    </row>
    <row r="42" customFormat="1" s="538">
      <c r="A42" s="350" t="n"/>
      <c r="B42" s="350" t="n"/>
      <c r="C42" s="353" t="n"/>
      <c r="D42" s="333" t="n"/>
      <c r="E42" s="332" t="n"/>
      <c r="F42" s="336" t="n"/>
      <c r="G42" s="336" t="n"/>
      <c r="H42" s="335" t="n"/>
      <c r="I42" s="336" t="n"/>
      <c r="J42" s="336" t="n"/>
      <c r="K42" s="336" t="n"/>
      <c r="L42" s="336" t="n"/>
      <c r="M42" s="336" t="n"/>
      <c r="N42" s="336" t="n"/>
      <c r="O42" s="336" t="n"/>
      <c r="P42" s="430" t="n"/>
      <c r="Q42" s="430" t="n"/>
      <c r="R42" s="430" t="n"/>
      <c r="S42" s="430" t="n"/>
      <c r="T42" s="430" t="n"/>
      <c r="U42" s="430" t="n"/>
      <c r="V42" s="430" t="n"/>
      <c r="W42" s="430" t="n"/>
      <c r="X42" s="430" t="n"/>
      <c r="Y42" s="430" t="n"/>
      <c r="Z42" s="430" t="n"/>
      <c r="AA42" s="430" t="n"/>
      <c r="AB42" s="430" t="n"/>
      <c r="AC42" s="338" t="n"/>
      <c r="AD42" s="338" t="n"/>
      <c r="AE42" s="338" t="n"/>
      <c r="AF42" s="338" t="n"/>
      <c r="AG42" s="339" t="n"/>
      <c r="AH42" s="339" t="n"/>
      <c r="AI42" s="339" t="n"/>
      <c r="AJ42" s="339" t="n"/>
      <c r="AK42" s="339" t="n"/>
      <c r="AL42" s="339" t="n"/>
      <c r="AM42" s="339" t="n"/>
      <c r="AN42" s="339" t="n"/>
      <c r="AO42" s="339" t="n"/>
      <c r="AP42" s="339" t="n"/>
      <c r="AQ42" s="339" t="n"/>
      <c r="AR42" s="339" t="n"/>
      <c r="AS42" s="339" t="n"/>
      <c r="AT42" s="339" t="n"/>
      <c r="AU42" s="339" t="n"/>
      <c r="AV42" s="339" t="n"/>
      <c r="AW42" s="339" t="n"/>
      <c r="AX42" s="430" t="n"/>
      <c r="AY42" s="336" t="n"/>
      <c r="AZ42" s="336" t="n"/>
      <c r="BA42" s="336" t="n"/>
      <c r="BB42" s="336" t="n"/>
      <c r="BC42" s="336" t="n"/>
      <c r="BD42" s="336" t="n"/>
      <c r="BE42" s="336" t="n"/>
      <c r="BF42" s="336" t="n"/>
      <c r="BG42" s="336" t="n"/>
      <c r="BH42" s="336" t="n"/>
      <c r="BI42" s="336" t="n"/>
      <c r="BJ42" s="336" t="n"/>
      <c r="BK42" s="336" t="n"/>
      <c r="BL42" s="336" t="n"/>
      <c r="BM42" s="336" t="n"/>
      <c r="BN42" s="336" t="n"/>
      <c r="BO42" s="336" t="n"/>
      <c r="BP42" s="336" t="n"/>
      <c r="BQ42" s="336" t="n"/>
      <c r="BR42" s="336" t="n"/>
      <c r="BS42" s="336" t="n"/>
      <c r="BT42" s="336" t="n"/>
      <c r="BU42" s="336" t="n"/>
      <c r="BV42" s="336" t="n"/>
      <c r="BW42" s="336" t="n"/>
      <c r="BX42" s="336" t="n"/>
      <c r="BY42" s="336" t="n"/>
      <c r="BZ42" s="336" t="n"/>
      <c r="CA42" s="336" t="n"/>
      <c r="CB42" s="336" t="n"/>
      <c r="CC42" s="336" t="n"/>
      <c r="CD42" s="336" t="n"/>
      <c r="CE42" s="336" t="n"/>
    </row>
    <row r="43" customFormat="1" s="538">
      <c r="A43" s="350" t="n"/>
      <c r="B43" s="350" t="n"/>
      <c r="C43" s="353" t="n"/>
      <c r="D43" s="333" t="n"/>
      <c r="E43" s="332" t="n"/>
      <c r="F43" s="336" t="n"/>
      <c r="G43" s="336" t="n"/>
      <c r="H43" s="335" t="n"/>
      <c r="I43" s="336" t="n"/>
      <c r="J43" s="336" t="n"/>
      <c r="K43" s="336" t="n"/>
      <c r="L43" s="336" t="n"/>
      <c r="M43" s="336" t="n"/>
      <c r="N43" s="336" t="n"/>
      <c r="O43" s="336" t="n"/>
      <c r="P43" s="430" t="n"/>
      <c r="Q43" s="430" t="n"/>
      <c r="R43" s="430" t="n"/>
      <c r="S43" s="430" t="n"/>
      <c r="T43" s="430" t="n"/>
      <c r="U43" s="430" t="n"/>
      <c r="V43" s="430" t="n"/>
      <c r="W43" s="430" t="n"/>
      <c r="X43" s="430" t="n"/>
      <c r="Y43" s="430" t="n"/>
      <c r="Z43" s="430" t="n"/>
      <c r="AA43" s="430" t="n"/>
      <c r="AB43" s="430" t="n"/>
      <c r="AC43" s="338" t="n"/>
      <c r="AD43" s="338" t="n"/>
      <c r="AE43" s="338" t="n"/>
      <c r="AF43" s="338" t="n"/>
      <c r="AG43" s="339" t="n"/>
      <c r="AH43" s="339" t="n"/>
      <c r="AI43" s="339" t="n"/>
      <c r="AJ43" s="339" t="n"/>
      <c r="AK43" s="339" t="n"/>
      <c r="AL43" s="339" t="n"/>
      <c r="AM43" s="339" t="n"/>
      <c r="AN43" s="339" t="n"/>
      <c r="AO43" s="339" t="n"/>
      <c r="AP43" s="339" t="n"/>
      <c r="AQ43" s="339" t="n"/>
      <c r="AR43" s="339" t="n"/>
      <c r="AS43" s="339" t="n"/>
      <c r="AT43" s="339" t="n"/>
      <c r="AU43" s="339" t="n"/>
      <c r="AV43" s="339" t="n"/>
      <c r="AW43" s="339" t="n"/>
      <c r="AX43" s="430" t="n"/>
      <c r="AY43" s="336" t="n"/>
      <c r="AZ43" s="336" t="n"/>
      <c r="BA43" s="336" t="n"/>
      <c r="BB43" s="336" t="n"/>
      <c r="BC43" s="336" t="n"/>
      <c r="BD43" s="336" t="n"/>
      <c r="BE43" s="336" t="n"/>
      <c r="BF43" s="336" t="n"/>
      <c r="BG43" s="336" t="n"/>
      <c r="BH43" s="336" t="n"/>
      <c r="BI43" s="336" t="n"/>
      <c r="BJ43" s="336" t="n"/>
      <c r="BK43" s="336" t="n"/>
      <c r="BL43" s="336" t="n"/>
      <c r="BM43" s="336" t="n"/>
      <c r="BN43" s="336" t="n"/>
      <c r="BO43" s="336" t="n"/>
      <c r="BP43" s="336" t="n"/>
      <c r="BQ43" s="336" t="n"/>
      <c r="BR43" s="336" t="n"/>
      <c r="BS43" s="336" t="n"/>
      <c r="BT43" s="336" t="n"/>
      <c r="BU43" s="336" t="n"/>
      <c r="BV43" s="336" t="n"/>
      <c r="BW43" s="336" t="n"/>
      <c r="BX43" s="336" t="n"/>
      <c r="BY43" s="336" t="n"/>
      <c r="BZ43" s="336" t="n"/>
      <c r="CA43" s="336" t="n"/>
      <c r="CB43" s="336" t="n"/>
      <c r="CC43" s="336" t="n"/>
      <c r="CD43" s="336" t="n"/>
      <c r="CE43" s="336" t="n"/>
    </row>
    <row r="44" customFormat="1" s="538">
      <c r="A44" s="342" t="n"/>
      <c r="B44" s="358" t="n"/>
      <c r="C44" s="344" t="n"/>
      <c r="D44" s="345" t="n"/>
      <c r="E44" s="346" t="n"/>
      <c r="F44" s="336" t="n"/>
      <c r="G44" s="336" t="n"/>
      <c r="H44" s="336" t="n"/>
      <c r="I44" s="336" t="n"/>
      <c r="J44" s="336" t="n"/>
      <c r="K44" s="336" t="n"/>
      <c r="L44" s="336" t="n"/>
      <c r="M44" s="336" t="n"/>
      <c r="N44" s="336" t="n"/>
      <c r="O44" s="336" t="n"/>
      <c r="P44" s="357" t="n"/>
      <c r="Q44" s="357" t="n"/>
      <c r="R44" s="357" t="n"/>
      <c r="S44" s="357" t="n"/>
      <c r="T44" s="357" t="n"/>
      <c r="U44" s="357" t="n"/>
      <c r="V44" s="357" t="n"/>
      <c r="W44" s="357" t="n"/>
      <c r="X44" s="357" t="n"/>
      <c r="Y44" s="357" t="n"/>
      <c r="Z44" s="357" t="n"/>
      <c r="AA44" s="357" t="n"/>
      <c r="AB44" s="336" t="n"/>
      <c r="AC44" s="338" t="n"/>
      <c r="AD44" s="338" t="n"/>
      <c r="AE44" s="338" t="n"/>
      <c r="AF44" s="338" t="n"/>
      <c r="AG44" s="339" t="n"/>
      <c r="AH44" s="339" t="n"/>
      <c r="AI44" s="339" t="n"/>
      <c r="AJ44" s="339" t="n"/>
      <c r="AK44" s="339" t="n"/>
      <c r="AL44" s="339" t="n"/>
      <c r="AM44" s="339" t="n"/>
      <c r="AN44" s="339" t="n"/>
      <c r="AO44" s="339" t="n"/>
      <c r="AP44" s="339" t="n"/>
      <c r="AQ44" s="339" t="n"/>
      <c r="AR44" s="339" t="n"/>
      <c r="AS44" s="339" t="n"/>
      <c r="AT44" s="339" t="n"/>
      <c r="AU44" s="339" t="n"/>
      <c r="AV44" s="339" t="n"/>
      <c r="AW44" s="339" t="n"/>
      <c r="AX44" s="357" t="n"/>
      <c r="AY44" s="336" t="n"/>
      <c r="AZ44" s="336" t="n"/>
      <c r="BA44" s="336" t="n"/>
      <c r="BB44" s="336" t="n"/>
      <c r="BC44" s="336" t="n"/>
      <c r="BD44" s="336" t="n"/>
      <c r="BE44" s="336" t="n"/>
      <c r="BF44" s="336" t="n"/>
      <c r="BG44" s="336" t="n"/>
      <c r="BH44" s="336" t="n"/>
      <c r="BI44" s="336" t="n"/>
      <c r="BJ44" s="336" t="n"/>
      <c r="BK44" s="336" t="n"/>
      <c r="BL44" s="336" t="n"/>
      <c r="BM44" s="336" t="n"/>
      <c r="BN44" s="336" t="n"/>
      <c r="BO44" s="336" t="n"/>
      <c r="BP44" s="336" t="n"/>
      <c r="BQ44" s="336" t="n"/>
      <c r="BR44" s="336" t="n"/>
      <c r="BS44" s="336" t="n"/>
      <c r="BT44" s="336" t="n"/>
      <c r="BU44" s="336" t="n"/>
      <c r="BV44" s="336" t="n"/>
      <c r="BW44" s="336" t="n"/>
      <c r="BX44" s="336" t="n"/>
      <c r="BY44" s="336" t="n"/>
      <c r="BZ44" s="336" t="n"/>
      <c r="CA44" s="336" t="n"/>
      <c r="CB44" s="336" t="n"/>
      <c r="CC44" s="336" t="n"/>
      <c r="CD44" s="336" t="n"/>
      <c r="CE44" s="336" t="n"/>
      <c r="CF44" s="361" t="n"/>
    </row>
    <row r="45" customFormat="1" s="538">
      <c r="A45" s="349" t="n"/>
      <c r="B45" s="350" t="n"/>
      <c r="C45" s="353" t="n"/>
      <c r="D45" s="333" t="n"/>
      <c r="E45" s="332" t="n"/>
      <c r="F45" s="336" t="n"/>
      <c r="G45" s="336" t="n"/>
      <c r="H45" s="335" t="n"/>
      <c r="I45" s="336" t="n"/>
      <c r="J45" s="336" t="n"/>
      <c r="K45" s="336" t="n"/>
      <c r="L45" s="336" t="n"/>
      <c r="M45" s="336" t="n"/>
      <c r="N45" s="336" t="n"/>
      <c r="O45" s="336" t="n"/>
      <c r="P45" s="430" t="n"/>
      <c r="Q45" s="430" t="n"/>
      <c r="R45" s="430" t="n"/>
      <c r="S45" s="430" t="n"/>
      <c r="T45" s="430" t="n"/>
      <c r="U45" s="430" t="n"/>
      <c r="V45" s="430" t="n"/>
      <c r="W45" s="430" t="n"/>
      <c r="X45" s="430" t="n"/>
      <c r="Y45" s="430" t="n"/>
      <c r="Z45" s="430" t="n"/>
      <c r="AA45" s="430" t="n"/>
      <c r="AB45" s="430" t="n"/>
      <c r="AC45" s="338" t="n"/>
      <c r="AD45" s="338" t="n"/>
      <c r="AE45" s="338" t="n"/>
      <c r="AF45" s="338" t="n"/>
      <c r="AG45" s="339" t="n"/>
      <c r="AH45" s="339" t="n"/>
      <c r="AI45" s="339" t="n"/>
      <c r="AJ45" s="339" t="n"/>
      <c r="AK45" s="339" t="n"/>
      <c r="AL45" s="339" t="n"/>
      <c r="AM45" s="339" t="n"/>
      <c r="AN45" s="339" t="n"/>
      <c r="AO45" s="339" t="n"/>
      <c r="AP45" s="339" t="n"/>
      <c r="AQ45" s="339" t="n"/>
      <c r="AR45" s="339" t="n"/>
      <c r="AS45" s="339" t="n"/>
      <c r="AT45" s="339" t="n"/>
      <c r="AU45" s="339" t="n"/>
      <c r="AV45" s="339" t="n"/>
      <c r="AW45" s="339" t="n"/>
      <c r="AX45" s="430" t="n"/>
      <c r="AY45" s="336" t="n"/>
      <c r="AZ45" s="336" t="n"/>
      <c r="BA45" s="336" t="n"/>
      <c r="BB45" s="336" t="n"/>
      <c r="BC45" s="336" t="n"/>
      <c r="BD45" s="336" t="n"/>
      <c r="BE45" s="336" t="n"/>
      <c r="BF45" s="336" t="n"/>
      <c r="BG45" s="336" t="n"/>
      <c r="BH45" s="336" t="n"/>
      <c r="BI45" s="336" t="n"/>
      <c r="BJ45" s="336" t="n"/>
      <c r="BK45" s="336" t="n"/>
      <c r="BL45" s="336" t="n"/>
      <c r="BM45" s="336" t="n"/>
      <c r="BN45" s="336" t="n"/>
      <c r="BO45" s="336" t="n"/>
      <c r="BP45" s="336" t="n"/>
      <c r="BQ45" s="336" t="n"/>
      <c r="BR45" s="336" t="n"/>
      <c r="BS45" s="336" t="n"/>
      <c r="BT45" s="336" t="n"/>
      <c r="BU45" s="336" t="n"/>
      <c r="BV45" s="336" t="n"/>
      <c r="BW45" s="336" t="n"/>
      <c r="BX45" s="336" t="n"/>
      <c r="BY45" s="336" t="n"/>
      <c r="BZ45" s="336" t="n"/>
      <c r="CA45" s="336" t="n"/>
      <c r="CB45" s="336" t="n"/>
      <c r="CC45" s="336" t="n"/>
      <c r="CD45" s="336" t="n"/>
      <c r="CE45" s="336" t="n"/>
    </row>
    <row r="46" customFormat="1" s="538">
      <c r="A46" s="349" t="n"/>
      <c r="B46" s="350" t="n"/>
      <c r="C46" s="353" t="n"/>
      <c r="D46" s="333" t="n"/>
      <c r="E46" s="332" t="n"/>
      <c r="F46" s="336" t="n"/>
      <c r="G46" s="336" t="n"/>
      <c r="H46" s="335" t="n"/>
      <c r="I46" s="336" t="n"/>
      <c r="J46" s="336" t="n"/>
      <c r="K46" s="336" t="n"/>
      <c r="L46" s="336" t="n"/>
      <c r="M46" s="336" t="n"/>
      <c r="N46" s="336" t="n"/>
      <c r="O46" s="336" t="n"/>
      <c r="P46" s="430" t="n"/>
      <c r="Q46" s="430" t="n"/>
      <c r="R46" s="430" t="n"/>
      <c r="S46" s="430" t="n"/>
      <c r="T46" s="430" t="n"/>
      <c r="U46" s="430" t="n"/>
      <c r="V46" s="430" t="n"/>
      <c r="W46" s="430" t="n"/>
      <c r="X46" s="430" t="n"/>
      <c r="Y46" s="430" t="n"/>
      <c r="Z46" s="430" t="n"/>
      <c r="AA46" s="430" t="n"/>
      <c r="AB46" s="430" t="n"/>
      <c r="AC46" s="357" t="n"/>
      <c r="AD46" s="357" t="n"/>
      <c r="AE46" s="357" t="n"/>
      <c r="AF46" s="357" t="n"/>
      <c r="AG46" s="339" t="n"/>
      <c r="AH46" s="339" t="n"/>
      <c r="AI46" s="339" t="n"/>
      <c r="AJ46" s="339" t="n"/>
      <c r="AK46" s="339" t="n"/>
      <c r="AL46" s="339" t="n"/>
      <c r="AM46" s="339" t="n"/>
      <c r="AN46" s="339" t="n"/>
      <c r="AO46" s="339" t="n"/>
      <c r="AP46" s="339" t="n"/>
      <c r="AQ46" s="339" t="n"/>
      <c r="AR46" s="339" t="n"/>
      <c r="AS46" s="339" t="n"/>
      <c r="AT46" s="357" t="n"/>
      <c r="AU46" s="357" t="n"/>
      <c r="AV46" s="357" t="n"/>
      <c r="AW46" s="357" t="n"/>
      <c r="AX46" s="430" t="n"/>
      <c r="AY46" s="336" t="n"/>
      <c r="AZ46" s="336" t="n"/>
      <c r="BA46" s="336" t="n"/>
      <c r="BB46" s="336" t="n"/>
      <c r="BC46" s="336" t="n"/>
      <c r="BD46" s="336" t="n"/>
      <c r="BE46" s="336" t="n"/>
      <c r="BF46" s="336" t="n"/>
      <c r="BG46" s="336" t="n"/>
      <c r="BH46" s="336" t="n"/>
      <c r="BI46" s="336" t="n"/>
      <c r="BJ46" s="336" t="n"/>
      <c r="BK46" s="336" t="n"/>
      <c r="BL46" s="336" t="n"/>
      <c r="BM46" s="336" t="n"/>
      <c r="BN46" s="336" t="n"/>
      <c r="BO46" s="336" t="n"/>
      <c r="BP46" s="336" t="n"/>
      <c r="BQ46" s="336" t="n"/>
      <c r="BR46" s="336" t="n"/>
      <c r="BS46" s="336" t="n"/>
      <c r="BT46" s="336" t="n"/>
      <c r="BU46" s="336" t="n"/>
      <c r="BV46" s="336" t="n"/>
      <c r="BW46" s="336" t="n"/>
      <c r="BX46" s="336" t="n"/>
      <c r="BY46" s="336" t="n"/>
      <c r="BZ46" s="336" t="n"/>
      <c r="CA46" s="336" t="n"/>
      <c r="CB46" s="336" t="n"/>
      <c r="CC46" s="336" t="n"/>
      <c r="CD46" s="336" t="n"/>
      <c r="CE46" s="336" t="n"/>
    </row>
    <row r="47" customFormat="1" s="538">
      <c r="A47" s="349" t="n"/>
      <c r="B47" s="350" t="n"/>
      <c r="C47" s="353" t="n"/>
      <c r="D47" s="333" t="n"/>
      <c r="E47" s="332" t="n"/>
      <c r="F47" s="336" t="n"/>
      <c r="G47" s="336" t="n"/>
      <c r="H47" s="335" t="n"/>
      <c r="I47" s="336" t="n"/>
      <c r="J47" s="336" t="n"/>
      <c r="K47" s="336" t="n"/>
      <c r="L47" s="336" t="n"/>
      <c r="M47" s="336" t="n"/>
      <c r="N47" s="336" t="n"/>
      <c r="O47" s="336" t="n"/>
      <c r="P47" s="430" t="n"/>
      <c r="Q47" s="430" t="n"/>
      <c r="R47" s="430" t="n"/>
      <c r="S47" s="430" t="n"/>
      <c r="T47" s="430" t="n"/>
      <c r="U47" s="430" t="n"/>
      <c r="V47" s="430" t="n"/>
      <c r="W47" s="430" t="n"/>
      <c r="X47" s="430" t="n"/>
      <c r="Y47" s="430" t="n"/>
      <c r="Z47" s="430" t="n"/>
      <c r="AA47" s="430" t="n"/>
      <c r="AB47" s="430" t="n"/>
      <c r="AC47" s="338" t="n"/>
      <c r="AD47" s="338" t="n"/>
      <c r="AE47" s="338" t="n"/>
      <c r="AF47" s="338" t="n"/>
      <c r="AG47" s="339" t="n"/>
      <c r="AH47" s="339" t="n"/>
      <c r="AI47" s="339" t="n"/>
      <c r="AJ47" s="339" t="n"/>
      <c r="AK47" s="339" t="n"/>
      <c r="AL47" s="339" t="n"/>
      <c r="AM47" s="339" t="n"/>
      <c r="AN47" s="339" t="n"/>
      <c r="AO47" s="339" t="n"/>
      <c r="AP47" s="339" t="n"/>
      <c r="AQ47" s="339" t="n"/>
      <c r="AR47" s="339" t="n"/>
      <c r="AS47" s="339" t="n"/>
      <c r="AT47" s="339" t="n"/>
      <c r="AU47" s="339" t="n"/>
      <c r="AV47" s="339" t="n"/>
      <c r="AW47" s="339" t="n"/>
      <c r="AX47" s="430" t="n"/>
      <c r="AY47" s="336" t="n"/>
      <c r="AZ47" s="336" t="n"/>
      <c r="BA47" s="336" t="n"/>
      <c r="BB47" s="336" t="n"/>
      <c r="BC47" s="336" t="n"/>
      <c r="BD47" s="336" t="n"/>
      <c r="BE47" s="336" t="n"/>
      <c r="BF47" s="336" t="n"/>
      <c r="BG47" s="336" t="n"/>
      <c r="BH47" s="336" t="n"/>
      <c r="BI47" s="336" t="n"/>
      <c r="BJ47" s="336" t="n"/>
      <c r="BK47" s="336" t="n"/>
      <c r="BL47" s="336" t="n"/>
      <c r="BM47" s="336" t="n"/>
      <c r="BN47" s="336" t="n"/>
      <c r="BO47" s="336" t="n"/>
      <c r="BP47" s="336" t="n"/>
      <c r="BQ47" s="336" t="n"/>
      <c r="BR47" s="336" t="n"/>
      <c r="BS47" s="336" t="n"/>
      <c r="BT47" s="336" t="n"/>
      <c r="BU47" s="336" t="n"/>
      <c r="BV47" s="336" t="n"/>
      <c r="BW47" s="336" t="n"/>
      <c r="BX47" s="336" t="n"/>
      <c r="BY47" s="336" t="n"/>
      <c r="BZ47" s="336" t="n"/>
      <c r="CA47" s="336" t="n"/>
      <c r="CB47" s="336" t="n"/>
      <c r="CC47" s="336" t="n"/>
      <c r="CD47" s="336" t="n"/>
      <c r="CE47" s="336" t="n"/>
    </row>
    <row r="48" customFormat="1" s="538">
      <c r="A48" s="349" t="n"/>
      <c r="B48" s="350" t="n"/>
      <c r="C48" s="353" t="n"/>
      <c r="D48" s="333" t="n"/>
      <c r="E48" s="332" t="n"/>
      <c r="F48" s="336" t="n"/>
      <c r="G48" s="336" t="n"/>
      <c r="H48" s="335" t="n"/>
      <c r="I48" s="336" t="n"/>
      <c r="J48" s="336" t="n"/>
      <c r="K48" s="336" t="n"/>
      <c r="L48" s="336" t="n"/>
      <c r="M48" s="336" t="n"/>
      <c r="N48" s="336" t="n"/>
      <c r="O48" s="336" t="n"/>
      <c r="P48" s="430" t="n"/>
      <c r="Q48" s="430" t="n"/>
      <c r="R48" s="430" t="n"/>
      <c r="S48" s="430" t="n"/>
      <c r="T48" s="430" t="n"/>
      <c r="U48" s="430" t="n"/>
      <c r="V48" s="430" t="n"/>
      <c r="W48" s="430" t="n"/>
      <c r="X48" s="430" t="n"/>
      <c r="Y48" s="430" t="n"/>
      <c r="Z48" s="430" t="n"/>
      <c r="AA48" s="430" t="n"/>
      <c r="AB48" s="430" t="n"/>
      <c r="AC48" s="338" t="n"/>
      <c r="AD48" s="338" t="n"/>
      <c r="AE48" s="338" t="n"/>
      <c r="AF48" s="338" t="n"/>
      <c r="AG48" s="339" t="n"/>
      <c r="AH48" s="339" t="n"/>
      <c r="AI48" s="339" t="n"/>
      <c r="AJ48" s="339" t="n"/>
      <c r="AK48" s="339" t="n"/>
      <c r="AL48" s="339" t="n"/>
      <c r="AM48" s="339" t="n"/>
      <c r="AN48" s="339" t="n"/>
      <c r="AO48" s="339" t="n"/>
      <c r="AP48" s="339" t="n"/>
      <c r="AQ48" s="339" t="n"/>
      <c r="AR48" s="339" t="n"/>
      <c r="AS48" s="339" t="n"/>
      <c r="AT48" s="339" t="n"/>
      <c r="AU48" s="339" t="n"/>
      <c r="AV48" s="339" t="n"/>
      <c r="AW48" s="339" t="n"/>
      <c r="AX48" s="430" t="n"/>
      <c r="AY48" s="336" t="n"/>
      <c r="AZ48" s="336" t="n"/>
      <c r="BA48" s="336" t="n"/>
      <c r="BB48" s="336" t="n"/>
      <c r="BC48" s="336" t="n"/>
      <c r="BD48" s="336" t="n"/>
      <c r="BE48" s="336" t="n"/>
      <c r="BF48" s="336" t="n"/>
      <c r="BG48" s="336" t="n"/>
      <c r="BH48" s="336" t="n"/>
      <c r="BI48" s="336" t="n"/>
      <c r="BJ48" s="336" t="n"/>
      <c r="BK48" s="336" t="n"/>
      <c r="BL48" s="336" t="n"/>
      <c r="BM48" s="336" t="n"/>
      <c r="BN48" s="336" t="n"/>
      <c r="BO48" s="336" t="n"/>
      <c r="BP48" s="336" t="n"/>
      <c r="BQ48" s="336" t="n"/>
      <c r="BR48" s="336" t="n"/>
      <c r="BS48" s="336" t="n"/>
      <c r="BT48" s="336" t="n"/>
      <c r="BU48" s="336" t="n"/>
      <c r="BV48" s="336" t="n"/>
      <c r="BW48" s="336" t="n"/>
      <c r="BX48" s="336" t="n"/>
      <c r="BY48" s="336" t="n"/>
      <c r="BZ48" s="336" t="n"/>
      <c r="CA48" s="336" t="n"/>
      <c r="CB48" s="336" t="n"/>
      <c r="CC48" s="336" t="n"/>
      <c r="CD48" s="336" t="n"/>
      <c r="CE48" s="336" t="n"/>
    </row>
    <row r="49" customFormat="1" s="538">
      <c r="A49" s="349" t="n"/>
      <c r="B49" s="350" t="n"/>
      <c r="C49" s="353" t="n"/>
      <c r="D49" s="333" t="n"/>
      <c r="E49" s="332" t="n"/>
      <c r="F49" s="336" t="n"/>
      <c r="G49" s="336" t="n"/>
      <c r="H49" s="335" t="n"/>
      <c r="I49" s="336" t="n"/>
      <c r="J49" s="336" t="n"/>
      <c r="K49" s="336" t="n"/>
      <c r="L49" s="336" t="n"/>
      <c r="M49" s="336" t="n"/>
      <c r="N49" s="336" t="n"/>
      <c r="O49" s="336" t="n"/>
      <c r="P49" s="430" t="n"/>
      <c r="Q49" s="430" t="n"/>
      <c r="R49" s="430" t="n"/>
      <c r="S49" s="430" t="n"/>
      <c r="T49" s="430" t="n"/>
      <c r="U49" s="430" t="n"/>
      <c r="V49" s="430" t="n"/>
      <c r="W49" s="430" t="n"/>
      <c r="X49" s="430" t="n"/>
      <c r="Y49" s="430" t="n"/>
      <c r="Z49" s="430" t="n"/>
      <c r="AA49" s="430" t="n"/>
      <c r="AB49" s="430" t="n"/>
      <c r="AC49" s="338" t="n"/>
      <c r="AD49" s="338" t="n"/>
      <c r="AE49" s="338" t="n"/>
      <c r="AF49" s="338" t="n"/>
      <c r="AG49" s="339" t="n"/>
      <c r="AH49" s="339" t="n"/>
      <c r="AI49" s="339" t="n"/>
      <c r="AJ49" s="339" t="n"/>
      <c r="AK49" s="339" t="n"/>
      <c r="AL49" s="339" t="n"/>
      <c r="AM49" s="339" t="n"/>
      <c r="AN49" s="339" t="n"/>
      <c r="AO49" s="339" t="n"/>
      <c r="AP49" s="339" t="n"/>
      <c r="AQ49" s="339" t="n"/>
      <c r="AR49" s="339" t="n"/>
      <c r="AS49" s="339" t="n"/>
      <c r="AT49" s="339" t="n"/>
      <c r="AU49" s="339" t="n"/>
      <c r="AV49" s="339" t="n"/>
      <c r="AW49" s="339" t="n"/>
      <c r="AX49" s="430" t="n"/>
      <c r="AY49" s="336" t="n"/>
      <c r="AZ49" s="336" t="n"/>
      <c r="BA49" s="336" t="n"/>
      <c r="BB49" s="336" t="n"/>
      <c r="BC49" s="336" t="n"/>
      <c r="BD49" s="336" t="n"/>
      <c r="BE49" s="336" t="n"/>
      <c r="BF49" s="336" t="n"/>
      <c r="BG49" s="336" t="n"/>
      <c r="BH49" s="336" t="n"/>
      <c r="BI49" s="336" t="n"/>
      <c r="BJ49" s="336" t="n"/>
      <c r="BK49" s="336" t="n"/>
      <c r="BL49" s="336" t="n"/>
      <c r="BM49" s="336" t="n"/>
      <c r="BN49" s="336" t="n"/>
      <c r="BO49" s="336" t="n"/>
      <c r="BP49" s="336" t="n"/>
      <c r="BQ49" s="336" t="n"/>
      <c r="BR49" s="336" t="n"/>
      <c r="BS49" s="336" t="n"/>
      <c r="BT49" s="336" t="n"/>
      <c r="BU49" s="336" t="n"/>
      <c r="BV49" s="336" t="n"/>
      <c r="BW49" s="336" t="n"/>
      <c r="BX49" s="336" t="n"/>
      <c r="BY49" s="336" t="n"/>
      <c r="BZ49" s="336" t="n"/>
      <c r="CA49" s="336" t="n"/>
      <c r="CB49" s="336" t="n"/>
      <c r="CC49" s="336" t="n"/>
      <c r="CD49" s="336" t="n"/>
      <c r="CE49" s="336" t="n"/>
    </row>
    <row r="50" customFormat="1" s="538">
      <c r="A50" s="358" t="n"/>
      <c r="B50" s="358" t="n"/>
      <c r="C50" s="344" t="n"/>
      <c r="D50" s="345" t="n"/>
      <c r="E50" s="346" t="n"/>
      <c r="F50" s="336" t="n"/>
      <c r="G50" s="336" t="n"/>
      <c r="H50" s="336" t="n"/>
      <c r="I50" s="336" t="n"/>
      <c r="J50" s="336" t="n"/>
      <c r="K50" s="336" t="n"/>
      <c r="L50" s="336" t="n"/>
      <c r="M50" s="336" t="n"/>
      <c r="N50" s="336" t="n"/>
      <c r="O50" s="336" t="n"/>
      <c r="P50" s="357" t="n"/>
      <c r="Q50" s="357" t="n"/>
      <c r="R50" s="357" t="n"/>
      <c r="S50" s="357" t="n"/>
      <c r="T50" s="357" t="n"/>
      <c r="U50" s="357" t="n"/>
      <c r="V50" s="357" t="n"/>
      <c r="W50" s="357" t="n"/>
      <c r="X50" s="357" t="n"/>
      <c r="Y50" s="357" t="n"/>
      <c r="Z50" s="357" t="n"/>
      <c r="AA50" s="357" t="n"/>
      <c r="AB50" s="336" t="n"/>
      <c r="AC50" s="357" t="n"/>
      <c r="AD50" s="357" t="n"/>
      <c r="AE50" s="357" t="n"/>
      <c r="AF50" s="357" t="n"/>
      <c r="AG50" s="339" t="n"/>
      <c r="AH50" s="339" t="n"/>
      <c r="AI50" s="339" t="n"/>
      <c r="AJ50" s="339" t="n"/>
      <c r="AK50" s="339" t="n"/>
      <c r="AL50" s="339" t="n"/>
      <c r="AM50" s="339" t="n"/>
      <c r="AN50" s="339" t="n"/>
      <c r="AO50" s="339" t="n"/>
      <c r="AP50" s="339" t="n"/>
      <c r="AQ50" s="339" t="n"/>
      <c r="AR50" s="339" t="n"/>
      <c r="AS50" s="339" t="n"/>
      <c r="AT50" s="357" t="n"/>
      <c r="AU50" s="357" t="n"/>
      <c r="AV50" s="357" t="n"/>
      <c r="AW50" s="357" t="n"/>
      <c r="AX50" s="357" t="n"/>
      <c r="AY50" s="336" t="n"/>
      <c r="AZ50" s="336" t="n"/>
      <c r="BA50" s="336" t="n"/>
      <c r="BB50" s="336" t="n"/>
      <c r="BC50" s="336" t="n"/>
      <c r="BD50" s="336" t="n"/>
      <c r="BE50" s="336" t="n"/>
      <c r="BF50" s="336" t="n"/>
      <c r="BG50" s="336" t="n"/>
      <c r="BH50" s="336" t="n"/>
      <c r="BI50" s="336" t="n"/>
      <c r="BJ50" s="336" t="n"/>
      <c r="BK50" s="336" t="n"/>
      <c r="BL50" s="336" t="n"/>
      <c r="BM50" s="336" t="n"/>
      <c r="BN50" s="336" t="n"/>
      <c r="BO50" s="336" t="n"/>
      <c r="BP50" s="336" t="n"/>
      <c r="BQ50" s="336" t="n"/>
      <c r="BR50" s="336" t="n"/>
      <c r="BS50" s="336" t="n"/>
      <c r="BT50" s="336" t="n"/>
      <c r="BU50" s="336" t="n"/>
      <c r="BV50" s="336" t="n"/>
      <c r="BW50" s="336" t="n"/>
      <c r="BX50" s="336" t="n"/>
      <c r="BY50" s="336" t="n"/>
      <c r="BZ50" s="336" t="n"/>
      <c r="CA50" s="336" t="n"/>
      <c r="CB50" s="336" t="n"/>
      <c r="CC50" s="336" t="n"/>
      <c r="CD50" s="336" t="n"/>
      <c r="CE50" s="336" t="n"/>
      <c r="CF50" s="361" t="n"/>
    </row>
    <row r="51" customFormat="1" s="538">
      <c r="A51" s="350" t="n"/>
      <c r="B51" s="350" t="n"/>
      <c r="C51" s="353" t="n"/>
      <c r="D51" s="333" t="n"/>
      <c r="E51" s="332" t="n"/>
      <c r="F51" s="336" t="n"/>
      <c r="G51" s="336" t="n"/>
      <c r="H51" s="335" t="n"/>
      <c r="I51" s="336" t="n"/>
      <c r="J51" s="336" t="n"/>
      <c r="K51" s="336" t="n"/>
      <c r="L51" s="336" t="n"/>
      <c r="M51" s="336" t="n"/>
      <c r="N51" s="336" t="n"/>
      <c r="O51" s="336" t="n"/>
      <c r="P51" s="430" t="n"/>
      <c r="Q51" s="430" t="n"/>
      <c r="R51" s="430" t="n"/>
      <c r="S51" s="430" t="n"/>
      <c r="T51" s="430" t="n"/>
      <c r="U51" s="430" t="n"/>
      <c r="V51" s="430" t="n"/>
      <c r="W51" s="430" t="n"/>
      <c r="X51" s="430" t="n"/>
      <c r="Y51" s="430" t="n"/>
      <c r="Z51" s="430" t="n"/>
      <c r="AA51" s="430" t="n"/>
      <c r="AB51" s="430" t="n"/>
      <c r="AC51" s="338" t="n"/>
      <c r="AD51" s="338" t="n"/>
      <c r="AE51" s="338" t="n"/>
      <c r="AF51" s="338" t="n"/>
      <c r="AG51" s="339" t="n"/>
      <c r="AH51" s="339" t="n"/>
      <c r="AI51" s="339" t="n"/>
      <c r="AJ51" s="339" t="n"/>
      <c r="AK51" s="339" t="n"/>
      <c r="AL51" s="339" t="n"/>
      <c r="AM51" s="339" t="n"/>
      <c r="AN51" s="339" t="n"/>
      <c r="AO51" s="339" t="n"/>
      <c r="AP51" s="339" t="n"/>
      <c r="AQ51" s="339" t="n"/>
      <c r="AR51" s="339" t="n"/>
      <c r="AS51" s="339" t="n"/>
      <c r="AT51" s="339" t="n"/>
      <c r="AU51" s="339" t="n"/>
      <c r="AV51" s="339" t="n"/>
      <c r="AW51" s="339" t="n"/>
      <c r="AX51" s="430" t="n"/>
      <c r="AY51" s="336" t="n"/>
      <c r="AZ51" s="336" t="n"/>
      <c r="BA51" s="336" t="n"/>
      <c r="BB51" s="336" t="n"/>
      <c r="BC51" s="336" t="n"/>
      <c r="BD51" s="336" t="n"/>
      <c r="BE51" s="336" t="n"/>
      <c r="BF51" s="336" t="n"/>
      <c r="BG51" s="336" t="n"/>
      <c r="BH51" s="336" t="n"/>
      <c r="BI51" s="336" t="n"/>
      <c r="BJ51" s="336" t="n"/>
      <c r="BK51" s="336" t="n"/>
      <c r="BL51" s="336" t="n"/>
      <c r="BM51" s="336" t="n"/>
      <c r="BN51" s="336" t="n"/>
      <c r="BO51" s="336" t="n"/>
      <c r="BP51" s="336" t="n"/>
      <c r="BQ51" s="336" t="n"/>
      <c r="BR51" s="336" t="n"/>
      <c r="BS51" s="336" t="n"/>
      <c r="BT51" s="336" t="n"/>
      <c r="BU51" s="336" t="n"/>
      <c r="BV51" s="336" t="n"/>
      <c r="BW51" s="336" t="n"/>
      <c r="BX51" s="336" t="n"/>
      <c r="BY51" s="336" t="n"/>
      <c r="BZ51" s="336" t="n"/>
      <c r="CA51" s="336" t="n"/>
      <c r="CB51" s="336" t="n"/>
      <c r="CC51" s="336" t="n"/>
      <c r="CD51" s="336" t="n"/>
      <c r="CE51" s="336" t="n"/>
    </row>
    <row r="52" customFormat="1" s="538">
      <c r="A52" s="350" t="n"/>
      <c r="B52" s="350" t="n"/>
      <c r="C52" s="353" t="n"/>
      <c r="D52" s="333" t="n"/>
      <c r="E52" s="332" t="n"/>
      <c r="F52" s="336" t="n"/>
      <c r="G52" s="336" t="n"/>
      <c r="H52" s="335" t="n"/>
      <c r="I52" s="336" t="n"/>
      <c r="J52" s="336" t="n"/>
      <c r="K52" s="336" t="n"/>
      <c r="L52" s="336" t="n"/>
      <c r="M52" s="336" t="n"/>
      <c r="N52" s="336" t="n"/>
      <c r="O52" s="336" t="n"/>
      <c r="P52" s="430" t="n"/>
      <c r="Q52" s="430" t="n"/>
      <c r="R52" s="430" t="n"/>
      <c r="S52" s="430" t="n"/>
      <c r="T52" s="430" t="n"/>
      <c r="U52" s="430" t="n"/>
      <c r="V52" s="430" t="n"/>
      <c r="W52" s="430" t="n"/>
      <c r="X52" s="430" t="n"/>
      <c r="Y52" s="430" t="n"/>
      <c r="Z52" s="430" t="n"/>
      <c r="AA52" s="430" t="n"/>
      <c r="AB52" s="430" t="n"/>
      <c r="AC52" s="338" t="n"/>
      <c r="AD52" s="338" t="n"/>
      <c r="AE52" s="338" t="n"/>
      <c r="AF52" s="338" t="n"/>
      <c r="AG52" s="339" t="n"/>
      <c r="AH52" s="339" t="n"/>
      <c r="AI52" s="339" t="n"/>
      <c r="AJ52" s="339" t="n"/>
      <c r="AK52" s="339" t="n"/>
      <c r="AL52" s="339" t="n"/>
      <c r="AM52" s="339" t="n"/>
      <c r="AN52" s="339" t="n"/>
      <c r="AO52" s="339" t="n"/>
      <c r="AP52" s="339" t="n"/>
      <c r="AQ52" s="339" t="n"/>
      <c r="AR52" s="339" t="n"/>
      <c r="AS52" s="339" t="n"/>
      <c r="AT52" s="339" t="n"/>
      <c r="AU52" s="339" t="n"/>
      <c r="AV52" s="339" t="n"/>
      <c r="AW52" s="339" t="n"/>
      <c r="AX52" s="430" t="n"/>
      <c r="AY52" s="336" t="n"/>
      <c r="AZ52" s="336" t="n"/>
      <c r="BA52" s="336" t="n"/>
      <c r="BB52" s="336" t="n"/>
      <c r="BC52" s="336" t="n"/>
      <c r="BD52" s="336" t="n"/>
      <c r="BE52" s="336" t="n"/>
      <c r="BF52" s="336" t="n"/>
      <c r="BG52" s="336" t="n"/>
      <c r="BH52" s="336" t="n"/>
      <c r="BI52" s="336" t="n"/>
      <c r="BJ52" s="336" t="n"/>
      <c r="BK52" s="336" t="n"/>
      <c r="BL52" s="336" t="n"/>
      <c r="BM52" s="336" t="n"/>
      <c r="BN52" s="336" t="n"/>
      <c r="BO52" s="336" t="n"/>
      <c r="BP52" s="336" t="n"/>
      <c r="BQ52" s="336" t="n"/>
      <c r="BR52" s="336" t="n"/>
      <c r="BS52" s="336" t="n"/>
      <c r="BT52" s="336" t="n"/>
      <c r="BU52" s="336" t="n"/>
      <c r="BV52" s="336" t="n"/>
      <c r="BW52" s="336" t="n"/>
      <c r="BX52" s="336" t="n"/>
      <c r="BY52" s="336" t="n"/>
      <c r="BZ52" s="336" t="n"/>
      <c r="CA52" s="336" t="n"/>
      <c r="CB52" s="336" t="n"/>
      <c r="CC52" s="336" t="n"/>
      <c r="CD52" s="336" t="n"/>
      <c r="CE52" s="336" t="n"/>
    </row>
    <row r="53" customFormat="1" s="538">
      <c r="A53" s="350" t="n"/>
      <c r="B53" s="350" t="n"/>
      <c r="C53" s="353" t="n"/>
      <c r="D53" s="333" t="n"/>
      <c r="E53" s="332" t="n"/>
      <c r="F53" s="336" t="n"/>
      <c r="G53" s="336" t="n"/>
      <c r="H53" s="335" t="n"/>
      <c r="I53" s="336" t="n"/>
      <c r="J53" s="336" t="n"/>
      <c r="K53" s="336" t="n"/>
      <c r="L53" s="336" t="n"/>
      <c r="M53" s="336" t="n"/>
      <c r="N53" s="336" t="n"/>
      <c r="O53" s="336" t="n"/>
      <c r="P53" s="430" t="n"/>
      <c r="Q53" s="430" t="n"/>
      <c r="R53" s="430" t="n"/>
      <c r="S53" s="430" t="n"/>
      <c r="T53" s="430" t="n"/>
      <c r="U53" s="430" t="n"/>
      <c r="V53" s="430" t="n"/>
      <c r="W53" s="430" t="n"/>
      <c r="X53" s="430" t="n"/>
      <c r="Y53" s="430" t="n"/>
      <c r="Z53" s="430" t="n"/>
      <c r="AA53" s="430" t="n"/>
      <c r="AB53" s="430" t="n"/>
      <c r="AC53" s="338" t="n"/>
      <c r="AD53" s="338" t="n"/>
      <c r="AE53" s="338" t="n"/>
      <c r="AF53" s="338" t="n"/>
      <c r="AG53" s="339" t="n"/>
      <c r="AH53" s="339" t="n"/>
      <c r="AI53" s="339" t="n"/>
      <c r="AJ53" s="339" t="n"/>
      <c r="AK53" s="339" t="n"/>
      <c r="AL53" s="339" t="n"/>
      <c r="AM53" s="339" t="n"/>
      <c r="AN53" s="339" t="n"/>
      <c r="AO53" s="339" t="n"/>
      <c r="AP53" s="339" t="n"/>
      <c r="AQ53" s="339" t="n"/>
      <c r="AR53" s="339" t="n"/>
      <c r="AS53" s="339" t="n"/>
      <c r="AT53" s="339" t="n"/>
      <c r="AU53" s="339" t="n"/>
      <c r="AV53" s="339" t="n"/>
      <c r="AW53" s="339" t="n"/>
      <c r="AX53" s="430" t="n"/>
      <c r="AY53" s="336" t="n"/>
      <c r="AZ53" s="336" t="n"/>
      <c r="BA53" s="336" t="n"/>
      <c r="BB53" s="336" t="n"/>
      <c r="BC53" s="336" t="n"/>
      <c r="BD53" s="336" t="n"/>
      <c r="BE53" s="336" t="n"/>
      <c r="BF53" s="336" t="n"/>
      <c r="BG53" s="336" t="n"/>
      <c r="BH53" s="336" t="n"/>
      <c r="BI53" s="336" t="n"/>
      <c r="BJ53" s="336" t="n"/>
      <c r="BK53" s="336" t="n"/>
      <c r="BL53" s="336" t="n"/>
      <c r="BM53" s="336" t="n"/>
      <c r="BN53" s="336" t="n"/>
      <c r="BO53" s="336" t="n"/>
      <c r="BP53" s="336" t="n"/>
      <c r="BQ53" s="336" t="n"/>
      <c r="BR53" s="336" t="n"/>
      <c r="BS53" s="336" t="n"/>
      <c r="BT53" s="336" t="n"/>
      <c r="BU53" s="336" t="n"/>
      <c r="BV53" s="336" t="n"/>
      <c r="BW53" s="336" t="n"/>
      <c r="BX53" s="336" t="n"/>
      <c r="BY53" s="336" t="n"/>
      <c r="BZ53" s="336" t="n"/>
      <c r="CA53" s="336" t="n"/>
      <c r="CB53" s="336" t="n"/>
      <c r="CC53" s="336" t="n"/>
      <c r="CD53" s="336" t="n"/>
      <c r="CE53" s="336" t="n"/>
    </row>
    <row r="54" customFormat="1" s="538">
      <c r="A54" s="342" t="n"/>
      <c r="B54" s="358" t="n"/>
      <c r="C54" s="344" t="n"/>
      <c r="D54" s="345" t="n"/>
      <c r="E54" s="346" t="n"/>
      <c r="F54" s="336" t="n"/>
      <c r="G54" s="336" t="n"/>
      <c r="H54" s="336" t="n"/>
      <c r="I54" s="336" t="n"/>
      <c r="J54" s="336" t="n"/>
      <c r="K54" s="336" t="n"/>
      <c r="L54" s="336" t="n"/>
      <c r="M54" s="336" t="n"/>
      <c r="N54" s="336" t="n"/>
      <c r="O54" s="336" t="n"/>
      <c r="P54" s="357" t="n"/>
      <c r="Q54" s="357" t="n"/>
      <c r="R54" s="357" t="n"/>
      <c r="S54" s="357" t="n"/>
      <c r="T54" s="357" t="n"/>
      <c r="U54" s="357" t="n"/>
      <c r="V54" s="357" t="n"/>
      <c r="W54" s="357" t="n"/>
      <c r="X54" s="357" t="n"/>
      <c r="Y54" s="357" t="n"/>
      <c r="Z54" s="357" t="n"/>
      <c r="AA54" s="357" t="n"/>
      <c r="AB54" s="336" t="n"/>
      <c r="AC54" s="338" t="n"/>
      <c r="AD54" s="338" t="n"/>
      <c r="AE54" s="338" t="n"/>
      <c r="AF54" s="338" t="n"/>
      <c r="AG54" s="339" t="n"/>
      <c r="AH54" s="339" t="n"/>
      <c r="AI54" s="339" t="n"/>
      <c r="AJ54" s="339" t="n"/>
      <c r="AK54" s="339" t="n"/>
      <c r="AL54" s="339" t="n"/>
      <c r="AM54" s="339" t="n"/>
      <c r="AN54" s="339" t="n"/>
      <c r="AO54" s="339" t="n"/>
      <c r="AP54" s="339" t="n"/>
      <c r="AQ54" s="339" t="n"/>
      <c r="AR54" s="339" t="n"/>
      <c r="AS54" s="339" t="n"/>
      <c r="AT54" s="339" t="n"/>
      <c r="AU54" s="339" t="n"/>
      <c r="AV54" s="339" t="n"/>
      <c r="AW54" s="339" t="n"/>
      <c r="AX54" s="357" t="n"/>
      <c r="AY54" s="336" t="n"/>
      <c r="AZ54" s="336" t="n"/>
      <c r="BA54" s="336" t="n"/>
      <c r="BB54" s="336" t="n"/>
      <c r="BC54" s="336" t="n"/>
      <c r="BD54" s="336" t="n"/>
      <c r="BE54" s="336" t="n"/>
      <c r="BF54" s="336" t="n"/>
      <c r="BG54" s="336" t="n"/>
      <c r="BH54" s="336" t="n"/>
      <c r="BI54" s="336" t="n"/>
      <c r="BJ54" s="336" t="n"/>
      <c r="BK54" s="336" t="n"/>
      <c r="BL54" s="336" t="n"/>
      <c r="BM54" s="336" t="n"/>
      <c r="BN54" s="336" t="n"/>
      <c r="BO54" s="336" t="n"/>
      <c r="BP54" s="336" t="n"/>
      <c r="BQ54" s="336" t="n"/>
      <c r="BR54" s="336" t="n"/>
      <c r="BS54" s="336" t="n"/>
      <c r="BT54" s="336" t="n"/>
      <c r="BU54" s="336" t="n"/>
      <c r="BV54" s="336" t="n"/>
      <c r="BW54" s="336" t="n"/>
      <c r="BX54" s="336" t="n"/>
      <c r="BY54" s="336" t="n"/>
      <c r="BZ54" s="336" t="n"/>
      <c r="CA54" s="336" t="n"/>
      <c r="CB54" s="336" t="n"/>
      <c r="CC54" s="336" t="n"/>
      <c r="CD54" s="336" t="n"/>
      <c r="CE54" s="336" t="n"/>
      <c r="CF54" s="361" t="n"/>
    </row>
    <row r="55" customFormat="1" s="538">
      <c r="A55" s="349" t="n"/>
      <c r="B55" s="350" t="n"/>
      <c r="C55" s="353" t="n"/>
      <c r="D55" s="333" t="n"/>
      <c r="E55" s="332" t="n"/>
      <c r="F55" s="336" t="n"/>
      <c r="G55" s="336" t="n"/>
      <c r="H55" s="335" t="n"/>
      <c r="I55" s="336" t="n"/>
      <c r="J55" s="336" t="n"/>
      <c r="K55" s="336" t="n"/>
      <c r="L55" s="336" t="n"/>
      <c r="M55" s="336" t="n"/>
      <c r="N55" s="336" t="n"/>
      <c r="O55" s="336" t="n"/>
      <c r="P55" s="430" t="n"/>
      <c r="Q55" s="430" t="n"/>
      <c r="R55" s="430" t="n"/>
      <c r="S55" s="430" t="n"/>
      <c r="T55" s="430" t="n"/>
      <c r="U55" s="430" t="n"/>
      <c r="V55" s="430" t="n"/>
      <c r="W55" s="430" t="n"/>
      <c r="X55" s="430" t="n"/>
      <c r="Y55" s="430" t="n"/>
      <c r="Z55" s="430" t="n"/>
      <c r="AA55" s="430" t="n"/>
      <c r="AB55" s="430" t="n"/>
      <c r="AC55" s="338" t="n"/>
      <c r="AD55" s="338" t="n"/>
      <c r="AE55" s="338" t="n"/>
      <c r="AF55" s="338" t="n"/>
      <c r="AG55" s="339" t="n"/>
      <c r="AH55" s="339" t="n"/>
      <c r="AI55" s="339" t="n"/>
      <c r="AJ55" s="339" t="n"/>
      <c r="AK55" s="339" t="n"/>
      <c r="AL55" s="339" t="n"/>
      <c r="AM55" s="339" t="n"/>
      <c r="AN55" s="339" t="n"/>
      <c r="AO55" s="339" t="n"/>
      <c r="AP55" s="339" t="n"/>
      <c r="AQ55" s="339" t="n"/>
      <c r="AR55" s="339" t="n"/>
      <c r="AS55" s="339" t="n"/>
      <c r="AT55" s="339" t="n"/>
      <c r="AU55" s="339" t="n"/>
      <c r="AV55" s="339" t="n"/>
      <c r="AW55" s="339" t="n"/>
      <c r="AX55" s="430" t="n"/>
      <c r="AY55" s="336" t="n"/>
      <c r="AZ55" s="336" t="n"/>
      <c r="BA55" s="336" t="n"/>
      <c r="BB55" s="336" t="n"/>
      <c r="BC55" s="336" t="n"/>
      <c r="BD55" s="336" t="n"/>
      <c r="BE55" s="336" t="n"/>
      <c r="BF55" s="336" t="n"/>
      <c r="BG55" s="336" t="n"/>
      <c r="BH55" s="336" t="n"/>
      <c r="BI55" s="336" t="n"/>
      <c r="BJ55" s="336" t="n"/>
      <c r="BK55" s="336" t="n"/>
      <c r="BL55" s="336" t="n"/>
      <c r="BM55" s="336" t="n"/>
      <c r="BN55" s="336" t="n"/>
      <c r="BO55" s="336" t="n"/>
      <c r="BP55" s="336" t="n"/>
      <c r="BQ55" s="336" t="n"/>
      <c r="BR55" s="336" t="n"/>
      <c r="BS55" s="336" t="n"/>
      <c r="BT55" s="336" t="n"/>
      <c r="BU55" s="336" t="n"/>
      <c r="BV55" s="336" t="n"/>
      <c r="BW55" s="336" t="n"/>
      <c r="BX55" s="336" t="n"/>
      <c r="BY55" s="336" t="n"/>
      <c r="BZ55" s="336" t="n"/>
      <c r="CA55" s="336" t="n"/>
      <c r="CB55" s="336" t="n"/>
      <c r="CC55" s="336" t="n"/>
      <c r="CD55" s="336" t="n"/>
      <c r="CE55" s="336" t="n"/>
    </row>
    <row r="56" customFormat="1" s="538">
      <c r="A56" s="349" t="n"/>
      <c r="B56" s="350" t="n"/>
      <c r="C56" s="353" t="n"/>
      <c r="D56" s="333" t="n"/>
      <c r="E56" s="332" t="n"/>
      <c r="F56" s="336" t="n"/>
      <c r="G56" s="336" t="n"/>
      <c r="H56" s="335" t="n"/>
      <c r="I56" s="336" t="n"/>
      <c r="J56" s="336" t="n"/>
      <c r="K56" s="336" t="n"/>
      <c r="L56" s="336" t="n"/>
      <c r="M56" s="336" t="n"/>
      <c r="N56" s="336" t="n"/>
      <c r="O56" s="336" t="n"/>
      <c r="P56" s="430" t="n"/>
      <c r="Q56" s="430" t="n"/>
      <c r="R56" s="430" t="n"/>
      <c r="S56" s="430" t="n"/>
      <c r="T56" s="430" t="n"/>
      <c r="U56" s="430" t="n"/>
      <c r="V56" s="430" t="n"/>
      <c r="W56" s="430" t="n"/>
      <c r="X56" s="430" t="n"/>
      <c r="Y56" s="430" t="n"/>
      <c r="Z56" s="430" t="n"/>
      <c r="AA56" s="430" t="n"/>
      <c r="AB56" s="430" t="n"/>
      <c r="AC56" s="357" t="n"/>
      <c r="AD56" s="357" t="n"/>
      <c r="AE56" s="357" t="n"/>
      <c r="AF56" s="357" t="n"/>
      <c r="AG56" s="339" t="n"/>
      <c r="AH56" s="339" t="n"/>
      <c r="AI56" s="339" t="n"/>
      <c r="AJ56" s="339" t="n"/>
      <c r="AK56" s="339" t="n"/>
      <c r="AL56" s="339" t="n"/>
      <c r="AM56" s="339" t="n"/>
      <c r="AN56" s="339" t="n"/>
      <c r="AO56" s="339" t="n"/>
      <c r="AP56" s="339" t="n"/>
      <c r="AQ56" s="339" t="n"/>
      <c r="AR56" s="339" t="n"/>
      <c r="AS56" s="339" t="n"/>
      <c r="AT56" s="357" t="n"/>
      <c r="AU56" s="357" t="n"/>
      <c r="AV56" s="357" t="n"/>
      <c r="AW56" s="357" t="n"/>
      <c r="AX56" s="430" t="n"/>
      <c r="AY56" s="336" t="n"/>
      <c r="AZ56" s="336" t="n"/>
      <c r="BA56" s="336" t="n"/>
      <c r="BB56" s="336" t="n"/>
      <c r="BC56" s="336" t="n"/>
      <c r="BD56" s="336" t="n"/>
      <c r="BE56" s="336" t="n"/>
      <c r="BF56" s="336" t="n"/>
      <c r="BG56" s="336" t="n"/>
      <c r="BH56" s="336" t="n"/>
      <c r="BI56" s="336" t="n"/>
      <c r="BJ56" s="336" t="n"/>
      <c r="BK56" s="336" t="n"/>
      <c r="BL56" s="336" t="n"/>
      <c r="BM56" s="336" t="n"/>
      <c r="BN56" s="336" t="n"/>
      <c r="BO56" s="336" t="n"/>
      <c r="BP56" s="336" t="n"/>
      <c r="BQ56" s="336" t="n"/>
      <c r="BR56" s="336" t="n"/>
      <c r="BS56" s="336" t="n"/>
      <c r="BT56" s="336" t="n"/>
      <c r="BU56" s="336" t="n"/>
      <c r="BV56" s="336" t="n"/>
      <c r="BW56" s="336" t="n"/>
      <c r="BX56" s="336" t="n"/>
      <c r="BY56" s="336" t="n"/>
      <c r="BZ56" s="336" t="n"/>
      <c r="CA56" s="336" t="n"/>
      <c r="CB56" s="336" t="n"/>
      <c r="CC56" s="336" t="n"/>
      <c r="CD56" s="336" t="n"/>
      <c r="CE56" s="336" t="n"/>
    </row>
    <row r="57" customFormat="1" s="538">
      <c r="A57" s="349" t="n"/>
      <c r="B57" s="350" t="n"/>
      <c r="C57" s="353" t="n"/>
      <c r="D57" s="333" t="n"/>
      <c r="E57" s="332" t="n"/>
      <c r="F57" s="336" t="n"/>
      <c r="G57" s="336" t="n"/>
      <c r="H57" s="335" t="n"/>
      <c r="I57" s="336" t="n"/>
      <c r="J57" s="336" t="n"/>
      <c r="K57" s="336" t="n"/>
      <c r="L57" s="336" t="n"/>
      <c r="M57" s="336" t="n"/>
      <c r="N57" s="336" t="n"/>
      <c r="O57" s="336" t="n"/>
      <c r="P57" s="430" t="n"/>
      <c r="Q57" s="430" t="n"/>
      <c r="R57" s="430" t="n"/>
      <c r="S57" s="430" t="n"/>
      <c r="T57" s="430" t="n"/>
      <c r="U57" s="430" t="n"/>
      <c r="V57" s="430" t="n"/>
      <c r="W57" s="430" t="n"/>
      <c r="X57" s="430" t="n"/>
      <c r="Y57" s="430" t="n"/>
      <c r="Z57" s="430" t="n"/>
      <c r="AA57" s="430" t="n"/>
      <c r="AB57" s="430" t="n"/>
      <c r="AC57" s="338" t="n"/>
      <c r="AD57" s="338" t="n"/>
      <c r="AE57" s="338" t="n"/>
      <c r="AF57" s="338" t="n"/>
      <c r="AG57" s="339" t="n"/>
      <c r="AH57" s="339" t="n"/>
      <c r="AI57" s="339" t="n"/>
      <c r="AJ57" s="339" t="n"/>
      <c r="AK57" s="339" t="n"/>
      <c r="AL57" s="339" t="n"/>
      <c r="AM57" s="339" t="n"/>
      <c r="AN57" s="339" t="n"/>
      <c r="AO57" s="339" t="n"/>
      <c r="AP57" s="339" t="n"/>
      <c r="AQ57" s="339" t="n"/>
      <c r="AR57" s="339" t="n"/>
      <c r="AS57" s="339" t="n"/>
      <c r="AT57" s="339" t="n"/>
      <c r="AU57" s="339" t="n"/>
      <c r="AV57" s="339" t="n"/>
      <c r="AW57" s="339" t="n"/>
      <c r="AX57" s="430" t="n"/>
      <c r="AY57" s="336" t="n"/>
      <c r="AZ57" s="336" t="n"/>
      <c r="BA57" s="336" t="n"/>
      <c r="BB57" s="336" t="n"/>
      <c r="BC57" s="336" t="n"/>
      <c r="BD57" s="336" t="n"/>
      <c r="BE57" s="336" t="n"/>
      <c r="BF57" s="336" t="n"/>
      <c r="BG57" s="336" t="n"/>
      <c r="BH57" s="336" t="n"/>
      <c r="BI57" s="336" t="n"/>
      <c r="BJ57" s="336" t="n"/>
      <c r="BK57" s="336" t="n"/>
      <c r="BL57" s="336" t="n"/>
      <c r="BM57" s="336" t="n"/>
      <c r="BN57" s="336" t="n"/>
      <c r="BO57" s="336" t="n"/>
      <c r="BP57" s="336" t="n"/>
      <c r="BQ57" s="336" t="n"/>
      <c r="BR57" s="336" t="n"/>
      <c r="BS57" s="336" t="n"/>
      <c r="BT57" s="336" t="n"/>
      <c r="BU57" s="336" t="n"/>
      <c r="BV57" s="336" t="n"/>
      <c r="BW57" s="336" t="n"/>
      <c r="BX57" s="336" t="n"/>
      <c r="BY57" s="336" t="n"/>
      <c r="BZ57" s="336" t="n"/>
      <c r="CA57" s="336" t="n"/>
      <c r="CB57" s="336" t="n"/>
      <c r="CC57" s="336" t="n"/>
      <c r="CD57" s="336" t="n"/>
      <c r="CE57" s="336" t="n"/>
    </row>
    <row r="58" customFormat="1" s="538">
      <c r="A58" s="349" t="n"/>
      <c r="B58" s="350" t="n"/>
      <c r="C58" s="353" t="n"/>
      <c r="D58" s="333" t="n"/>
      <c r="E58" s="332" t="n"/>
      <c r="F58" s="336" t="n"/>
      <c r="G58" s="336" t="n"/>
      <c r="H58" s="335" t="n"/>
      <c r="I58" s="336" t="n"/>
      <c r="J58" s="336" t="n"/>
      <c r="K58" s="336" t="n"/>
      <c r="L58" s="336" t="n"/>
      <c r="M58" s="336" t="n"/>
      <c r="N58" s="336" t="n"/>
      <c r="O58" s="336" t="n"/>
      <c r="P58" s="430" t="n"/>
      <c r="Q58" s="430" t="n"/>
      <c r="R58" s="430" t="n"/>
      <c r="S58" s="430" t="n"/>
      <c r="T58" s="430" t="n"/>
      <c r="U58" s="430" t="n"/>
      <c r="V58" s="430" t="n"/>
      <c r="W58" s="430" t="n"/>
      <c r="X58" s="430" t="n"/>
      <c r="Y58" s="430" t="n"/>
      <c r="Z58" s="430" t="n"/>
      <c r="AA58" s="430" t="n"/>
      <c r="AB58" s="430" t="n"/>
      <c r="AC58" s="338" t="n"/>
      <c r="AD58" s="338" t="n"/>
      <c r="AE58" s="338" t="n"/>
      <c r="AF58" s="338" t="n"/>
      <c r="AG58" s="339" t="n"/>
      <c r="AH58" s="339" t="n"/>
      <c r="AI58" s="339" t="n"/>
      <c r="AJ58" s="339" t="n"/>
      <c r="AK58" s="339" t="n"/>
      <c r="AL58" s="339" t="n"/>
      <c r="AM58" s="339" t="n"/>
      <c r="AN58" s="339" t="n"/>
      <c r="AO58" s="339" t="n"/>
      <c r="AP58" s="339" t="n"/>
      <c r="AQ58" s="339" t="n"/>
      <c r="AR58" s="339" t="n"/>
      <c r="AS58" s="339" t="n"/>
      <c r="AT58" s="339" t="n"/>
      <c r="AU58" s="339" t="n"/>
      <c r="AV58" s="339" t="n"/>
      <c r="AW58" s="339" t="n"/>
      <c r="AX58" s="430" t="n"/>
      <c r="AY58" s="336" t="n"/>
      <c r="AZ58" s="336" t="n"/>
      <c r="BA58" s="336" t="n"/>
      <c r="BB58" s="336" t="n"/>
      <c r="BC58" s="336" t="n"/>
      <c r="BD58" s="336" t="n"/>
      <c r="BE58" s="336" t="n"/>
      <c r="BF58" s="336" t="n"/>
      <c r="BG58" s="336" t="n"/>
      <c r="BH58" s="336" t="n"/>
      <c r="BI58" s="336" t="n"/>
      <c r="BJ58" s="336" t="n"/>
      <c r="BK58" s="336" t="n"/>
      <c r="BL58" s="336" t="n"/>
      <c r="BM58" s="336" t="n"/>
      <c r="BN58" s="336" t="n"/>
      <c r="BO58" s="336" t="n"/>
      <c r="BP58" s="336" t="n"/>
      <c r="BQ58" s="336" t="n"/>
      <c r="BR58" s="336" t="n"/>
      <c r="BS58" s="336" t="n"/>
      <c r="BT58" s="336" t="n"/>
      <c r="BU58" s="336" t="n"/>
      <c r="BV58" s="336" t="n"/>
      <c r="BW58" s="336" t="n"/>
      <c r="BX58" s="336" t="n"/>
      <c r="BY58" s="336" t="n"/>
      <c r="BZ58" s="336" t="n"/>
      <c r="CA58" s="336" t="n"/>
      <c r="CB58" s="336" t="n"/>
      <c r="CC58" s="336" t="n"/>
      <c r="CD58" s="336" t="n"/>
      <c r="CE58" s="336" t="n"/>
    </row>
    <row r="59" customFormat="1" s="538">
      <c r="A59" s="349" t="n"/>
      <c r="B59" s="350" t="n"/>
      <c r="C59" s="353" t="n"/>
      <c r="D59" s="333" t="n"/>
      <c r="E59" s="332" t="n"/>
      <c r="F59" s="336" t="n"/>
      <c r="G59" s="336" t="n"/>
      <c r="H59" s="335" t="n"/>
      <c r="I59" s="336" t="n"/>
      <c r="J59" s="336" t="n"/>
      <c r="K59" s="336" t="n"/>
      <c r="L59" s="336" t="n"/>
      <c r="M59" s="336" t="n"/>
      <c r="N59" s="336" t="n"/>
      <c r="O59" s="336" t="n"/>
      <c r="P59" s="430" t="n"/>
      <c r="Q59" s="430" t="n"/>
      <c r="R59" s="430" t="n"/>
      <c r="S59" s="430" t="n"/>
      <c r="T59" s="430" t="n"/>
      <c r="U59" s="430" t="n"/>
      <c r="V59" s="430" t="n"/>
      <c r="W59" s="430" t="n"/>
      <c r="X59" s="430" t="n"/>
      <c r="Y59" s="430" t="n"/>
      <c r="Z59" s="430" t="n"/>
      <c r="AA59" s="430" t="n"/>
      <c r="AB59" s="430" t="n"/>
      <c r="AC59" s="338" t="n"/>
      <c r="AD59" s="338" t="n"/>
      <c r="AE59" s="338" t="n"/>
      <c r="AF59" s="338" t="n"/>
      <c r="AG59" s="339" t="n"/>
      <c r="AH59" s="339" t="n"/>
      <c r="AI59" s="339" t="n"/>
      <c r="AJ59" s="339" t="n"/>
      <c r="AK59" s="339" t="n"/>
      <c r="AL59" s="339" t="n"/>
      <c r="AM59" s="339" t="n"/>
      <c r="AN59" s="339" t="n"/>
      <c r="AO59" s="339" t="n"/>
      <c r="AP59" s="339" t="n"/>
      <c r="AQ59" s="339" t="n"/>
      <c r="AR59" s="339" t="n"/>
      <c r="AS59" s="339" t="n"/>
      <c r="AT59" s="339" t="n"/>
      <c r="AU59" s="339" t="n"/>
      <c r="AV59" s="339" t="n"/>
      <c r="AW59" s="339" t="n"/>
      <c r="AX59" s="430" t="n"/>
      <c r="AY59" s="336" t="n"/>
      <c r="AZ59" s="336" t="n"/>
      <c r="BA59" s="336" t="n"/>
      <c r="BB59" s="336" t="n"/>
      <c r="BC59" s="336" t="n"/>
      <c r="BD59" s="336" t="n"/>
      <c r="BE59" s="336" t="n"/>
      <c r="BF59" s="336" t="n"/>
      <c r="BG59" s="336" t="n"/>
      <c r="BH59" s="336" t="n"/>
      <c r="BI59" s="336" t="n"/>
      <c r="BJ59" s="336" t="n"/>
      <c r="BK59" s="336" t="n"/>
      <c r="BL59" s="336" t="n"/>
      <c r="BM59" s="336" t="n"/>
      <c r="BN59" s="336" t="n"/>
      <c r="BO59" s="336" t="n"/>
      <c r="BP59" s="336" t="n"/>
      <c r="BQ59" s="336" t="n"/>
      <c r="BR59" s="336" t="n"/>
      <c r="BS59" s="336" t="n"/>
      <c r="BT59" s="336" t="n"/>
      <c r="BU59" s="336" t="n"/>
      <c r="BV59" s="336" t="n"/>
      <c r="BW59" s="336" t="n"/>
      <c r="BX59" s="336" t="n"/>
      <c r="BY59" s="336" t="n"/>
      <c r="BZ59" s="336" t="n"/>
      <c r="CA59" s="336" t="n"/>
      <c r="CB59" s="336" t="n"/>
      <c r="CC59" s="336" t="n"/>
      <c r="CD59" s="336" t="n"/>
      <c r="CE59" s="336" t="n"/>
    </row>
    <row r="60" customFormat="1" s="538">
      <c r="A60" s="358" t="n"/>
      <c r="B60" s="358" t="n"/>
      <c r="C60" s="344" t="n"/>
      <c r="D60" s="345" t="n"/>
      <c r="E60" s="346" t="n"/>
      <c r="F60" s="336" t="n"/>
      <c r="G60" s="336" t="n"/>
      <c r="H60" s="336" t="n"/>
      <c r="I60" s="336" t="n"/>
      <c r="J60" s="336" t="n"/>
      <c r="K60" s="336" t="n"/>
      <c r="L60" s="336" t="n"/>
      <c r="M60" s="336" t="n"/>
      <c r="N60" s="336" t="n"/>
      <c r="O60" s="336" t="n"/>
      <c r="P60" s="357" t="n"/>
      <c r="Q60" s="357" t="n"/>
      <c r="R60" s="357" t="n"/>
      <c r="S60" s="357" t="n"/>
      <c r="T60" s="357" t="n"/>
      <c r="U60" s="357" t="n"/>
      <c r="V60" s="357" t="n"/>
      <c r="W60" s="357" t="n"/>
      <c r="X60" s="357" t="n"/>
      <c r="Y60" s="357" t="n"/>
      <c r="Z60" s="357" t="n"/>
      <c r="AA60" s="357" t="n"/>
      <c r="AB60" s="336" t="n"/>
      <c r="AC60" s="357" t="n"/>
      <c r="AD60" s="357" t="n"/>
      <c r="AE60" s="357" t="n"/>
      <c r="AF60" s="357" t="n"/>
      <c r="AG60" s="339" t="n"/>
      <c r="AH60" s="339" t="n"/>
      <c r="AI60" s="339" t="n"/>
      <c r="AJ60" s="339" t="n"/>
      <c r="AK60" s="339" t="n"/>
      <c r="AL60" s="339" t="n"/>
      <c r="AM60" s="339" t="n"/>
      <c r="AN60" s="339" t="n"/>
      <c r="AO60" s="339" t="n"/>
      <c r="AP60" s="339" t="n"/>
      <c r="AQ60" s="339" t="n"/>
      <c r="AR60" s="339" t="n"/>
      <c r="AS60" s="339" t="n"/>
      <c r="AT60" s="339" t="n"/>
      <c r="AU60" s="339" t="n"/>
      <c r="AV60" s="339" t="n"/>
      <c r="AW60" s="339" t="n"/>
      <c r="AX60" s="357" t="n"/>
      <c r="AY60" s="336" t="n"/>
      <c r="AZ60" s="336" t="n"/>
      <c r="BA60" s="336" t="n"/>
      <c r="BB60" s="336" t="n"/>
      <c r="BC60" s="336" t="n"/>
      <c r="BD60" s="336" t="n"/>
      <c r="BE60" s="336" t="n"/>
      <c r="BF60" s="336" t="n"/>
      <c r="BG60" s="336" t="n"/>
      <c r="BH60" s="336" t="n"/>
      <c r="BI60" s="336" t="n"/>
      <c r="BJ60" s="336" t="n"/>
      <c r="BK60" s="336" t="n"/>
      <c r="BL60" s="336" t="n"/>
      <c r="BM60" s="336" t="n"/>
      <c r="BN60" s="336" t="n"/>
      <c r="BO60" s="336" t="n"/>
      <c r="BP60" s="336" t="n"/>
      <c r="BQ60" s="336" t="n"/>
      <c r="BR60" s="336" t="n"/>
      <c r="BS60" s="336" t="n"/>
      <c r="BT60" s="336" t="n"/>
      <c r="BU60" s="336" t="n"/>
      <c r="BV60" s="336" t="n"/>
      <c r="BW60" s="336" t="n"/>
      <c r="BX60" s="336" t="n"/>
      <c r="BY60" s="336" t="n"/>
      <c r="BZ60" s="336" t="n"/>
      <c r="CA60" s="336" t="n"/>
      <c r="CB60" s="336" t="n"/>
      <c r="CC60" s="336" t="n"/>
      <c r="CD60" s="336" t="n"/>
      <c r="CE60" s="336" t="n"/>
      <c r="CF60" s="361" t="n"/>
    </row>
    <row r="61" customFormat="1" s="538">
      <c r="A61" s="350" t="n"/>
      <c r="B61" s="350" t="n"/>
      <c r="C61" s="353" t="n"/>
      <c r="D61" s="333" t="n"/>
      <c r="E61" s="332" t="n"/>
      <c r="F61" s="336" t="n"/>
      <c r="G61" s="336" t="n"/>
      <c r="H61" s="335" t="n"/>
      <c r="I61" s="336" t="n"/>
      <c r="J61" s="336" t="n"/>
      <c r="K61" s="336" t="n"/>
      <c r="L61" s="336" t="n"/>
      <c r="M61" s="336" t="n"/>
      <c r="N61" s="336" t="n"/>
      <c r="O61" s="336" t="n"/>
      <c r="P61" s="430" t="n"/>
      <c r="Q61" s="430" t="n"/>
      <c r="R61" s="430" t="n"/>
      <c r="S61" s="430" t="n"/>
      <c r="T61" s="430" t="n"/>
      <c r="U61" s="430" t="n"/>
      <c r="V61" s="430" t="n"/>
      <c r="W61" s="430" t="n"/>
      <c r="X61" s="430" t="n"/>
      <c r="Y61" s="430" t="n"/>
      <c r="Z61" s="430" t="n"/>
      <c r="AA61" s="430" t="n"/>
      <c r="AB61" s="430" t="n"/>
      <c r="AC61" s="338" t="n"/>
      <c r="AD61" s="338" t="n"/>
      <c r="AE61" s="338" t="n"/>
      <c r="AF61" s="338" t="n"/>
      <c r="AG61" s="339" t="n"/>
      <c r="AH61" s="339" t="n"/>
      <c r="AI61" s="339" t="n"/>
      <c r="AJ61" s="339" t="n"/>
      <c r="AK61" s="339" t="n"/>
      <c r="AL61" s="339" t="n"/>
      <c r="AM61" s="339" t="n"/>
      <c r="AN61" s="339" t="n"/>
      <c r="AO61" s="339" t="n"/>
      <c r="AP61" s="339" t="n"/>
      <c r="AQ61" s="339" t="n"/>
      <c r="AR61" s="339" t="n"/>
      <c r="AS61" s="339" t="n"/>
      <c r="AT61" s="339" t="n"/>
      <c r="AU61" s="339" t="n"/>
      <c r="AV61" s="339" t="n"/>
      <c r="AW61" s="339" t="n"/>
      <c r="AX61" s="430" t="n"/>
      <c r="AY61" s="336" t="n"/>
      <c r="AZ61" s="336" t="n"/>
      <c r="BA61" s="336" t="n"/>
      <c r="BB61" s="336" t="n"/>
      <c r="BC61" s="336" t="n"/>
      <c r="BD61" s="336" t="n"/>
      <c r="BE61" s="336" t="n"/>
      <c r="BF61" s="336" t="n"/>
      <c r="BG61" s="336" t="n"/>
      <c r="BH61" s="336" t="n"/>
      <c r="BI61" s="336" t="n"/>
      <c r="BJ61" s="336" t="n"/>
      <c r="BK61" s="336" t="n"/>
      <c r="BL61" s="336" t="n"/>
      <c r="BM61" s="336" t="n"/>
      <c r="BN61" s="336" t="n"/>
      <c r="BO61" s="336" t="n"/>
      <c r="BP61" s="336" t="n"/>
      <c r="BQ61" s="336" t="n"/>
      <c r="BR61" s="336" t="n"/>
      <c r="BS61" s="336" t="n"/>
      <c r="BT61" s="336" t="n"/>
      <c r="BU61" s="336" t="n"/>
      <c r="BV61" s="336" t="n"/>
      <c r="BW61" s="336" t="n"/>
      <c r="BX61" s="336" t="n"/>
      <c r="BY61" s="336" t="n"/>
      <c r="BZ61" s="336" t="n"/>
      <c r="CA61" s="336" t="n"/>
      <c r="CB61" s="336" t="n"/>
      <c r="CC61" s="336" t="n"/>
      <c r="CD61" s="336" t="n"/>
      <c r="CE61" s="336" t="n"/>
    </row>
    <row r="62" customFormat="1" s="538">
      <c r="A62" s="350" t="n"/>
      <c r="B62" s="350" t="n"/>
      <c r="C62" s="353" t="n"/>
      <c r="D62" s="333" t="n"/>
      <c r="E62" s="332" t="n"/>
      <c r="F62" s="336" t="n"/>
      <c r="G62" s="336" t="n"/>
      <c r="H62" s="335" t="n"/>
      <c r="I62" s="336" t="n"/>
      <c r="J62" s="336" t="n"/>
      <c r="K62" s="336" t="n"/>
      <c r="L62" s="336" t="n"/>
      <c r="M62" s="336" t="n"/>
      <c r="N62" s="336" t="n"/>
      <c r="O62" s="336" t="n"/>
      <c r="P62" s="430" t="n"/>
      <c r="Q62" s="430" t="n"/>
      <c r="R62" s="430" t="n"/>
      <c r="S62" s="430" t="n"/>
      <c r="T62" s="430" t="n"/>
      <c r="U62" s="430" t="n"/>
      <c r="V62" s="430" t="n"/>
      <c r="W62" s="430" t="n"/>
      <c r="X62" s="430" t="n"/>
      <c r="Y62" s="430" t="n"/>
      <c r="Z62" s="430" t="n"/>
      <c r="AA62" s="430" t="n"/>
      <c r="AB62" s="430" t="n"/>
      <c r="AC62" s="338" t="n"/>
      <c r="AD62" s="338" t="n"/>
      <c r="AE62" s="338" t="n"/>
      <c r="AF62" s="338" t="n"/>
      <c r="AG62" s="339" t="n"/>
      <c r="AH62" s="339" t="n"/>
      <c r="AI62" s="339" t="n"/>
      <c r="AJ62" s="339" t="n"/>
      <c r="AK62" s="339" t="n"/>
      <c r="AL62" s="339" t="n"/>
      <c r="AM62" s="339" t="n"/>
      <c r="AN62" s="339" t="n"/>
      <c r="AO62" s="339" t="n"/>
      <c r="AP62" s="339" t="n"/>
      <c r="AQ62" s="339" t="n"/>
      <c r="AR62" s="339" t="n"/>
      <c r="AS62" s="339" t="n"/>
      <c r="AT62" s="339" t="n"/>
      <c r="AU62" s="339" t="n"/>
      <c r="AV62" s="339" t="n"/>
      <c r="AW62" s="339" t="n"/>
      <c r="AX62" s="430" t="n"/>
      <c r="AY62" s="336" t="n"/>
      <c r="AZ62" s="336" t="n"/>
      <c r="BA62" s="336" t="n"/>
      <c r="BB62" s="336" t="n"/>
      <c r="BC62" s="336" t="n"/>
      <c r="BD62" s="336" t="n"/>
      <c r="BE62" s="336" t="n"/>
      <c r="BF62" s="336" t="n"/>
      <c r="BG62" s="336" t="n"/>
      <c r="BH62" s="336" t="n"/>
      <c r="BI62" s="336" t="n"/>
      <c r="BJ62" s="336" t="n"/>
      <c r="BK62" s="336" t="n"/>
      <c r="BL62" s="336" t="n"/>
      <c r="BM62" s="336" t="n"/>
      <c r="BN62" s="336" t="n"/>
      <c r="BO62" s="336" t="n"/>
      <c r="BP62" s="336" t="n"/>
      <c r="BQ62" s="336" t="n"/>
      <c r="BR62" s="336" t="n"/>
      <c r="BS62" s="336" t="n"/>
      <c r="BT62" s="336" t="n"/>
      <c r="BU62" s="336" t="n"/>
      <c r="BV62" s="336" t="n"/>
      <c r="BW62" s="336" t="n"/>
      <c r="BX62" s="336" t="n"/>
      <c r="BY62" s="336" t="n"/>
      <c r="BZ62" s="336" t="n"/>
      <c r="CA62" s="336" t="n"/>
      <c r="CB62" s="336" t="n"/>
      <c r="CC62" s="336" t="n"/>
      <c r="CD62" s="336" t="n"/>
      <c r="CE62" s="336" t="n"/>
    </row>
    <row r="63" customFormat="1" s="538">
      <c r="A63" s="350" t="n"/>
      <c r="B63" s="350" t="n"/>
      <c r="C63" s="353" t="n"/>
      <c r="D63" s="333" t="n"/>
      <c r="E63" s="332" t="n"/>
      <c r="F63" s="336" t="n"/>
      <c r="G63" s="336" t="n"/>
      <c r="H63" s="335" t="n"/>
      <c r="I63" s="336" t="n"/>
      <c r="J63" s="336" t="n"/>
      <c r="K63" s="336" t="n"/>
      <c r="L63" s="336" t="n"/>
      <c r="M63" s="336" t="n"/>
      <c r="N63" s="336" t="n"/>
      <c r="O63" s="336" t="n"/>
      <c r="P63" s="430" t="n"/>
      <c r="Q63" s="430" t="n"/>
      <c r="R63" s="430" t="n"/>
      <c r="S63" s="430" t="n"/>
      <c r="T63" s="430" t="n"/>
      <c r="U63" s="430" t="n"/>
      <c r="V63" s="430" t="n"/>
      <c r="W63" s="430" t="n"/>
      <c r="X63" s="430" t="n"/>
      <c r="Y63" s="430" t="n"/>
      <c r="Z63" s="430" t="n"/>
      <c r="AA63" s="430" t="n"/>
      <c r="AB63" s="685" t="n"/>
      <c r="AC63" s="338" t="n"/>
      <c r="AD63" s="338" t="n"/>
      <c r="AE63" s="338" t="n"/>
      <c r="AF63" s="338" t="n"/>
      <c r="AG63" s="339" t="n"/>
      <c r="AH63" s="339" t="n"/>
      <c r="AI63" s="339" t="n"/>
      <c r="AJ63" s="339" t="n"/>
      <c r="AK63" s="339" t="n"/>
      <c r="AL63" s="339" t="n"/>
      <c r="AM63" s="339" t="n"/>
      <c r="AN63" s="339" t="n"/>
      <c r="AO63" s="339" t="n"/>
      <c r="AP63" s="339" t="n"/>
      <c r="AQ63" s="339" t="n"/>
      <c r="AR63" s="339" t="n"/>
      <c r="AS63" s="339" t="n"/>
      <c r="AT63" s="339" t="n"/>
      <c r="AU63" s="339" t="n"/>
      <c r="AV63" s="339" t="n"/>
      <c r="AW63" s="339" t="n"/>
      <c r="AX63" s="430" t="n"/>
      <c r="AY63" s="336" t="n"/>
      <c r="AZ63" s="336" t="n"/>
      <c r="BA63" s="336" t="n"/>
      <c r="BB63" s="336" t="n"/>
      <c r="BC63" s="336" t="n"/>
      <c r="BD63" s="336" t="n"/>
      <c r="BE63" s="336" t="n"/>
      <c r="BF63" s="336" t="n"/>
      <c r="BG63" s="336" t="n"/>
      <c r="BH63" s="336" t="n"/>
      <c r="BI63" s="336" t="n"/>
      <c r="BJ63" s="336" t="n"/>
      <c r="BK63" s="336" t="n"/>
      <c r="BL63" s="336" t="n"/>
      <c r="BM63" s="336" t="n"/>
      <c r="BN63" s="336" t="n"/>
      <c r="BO63" s="336" t="n"/>
      <c r="BP63" s="336" t="n"/>
      <c r="BQ63" s="336" t="n"/>
      <c r="BR63" s="336" t="n"/>
      <c r="BS63" s="336" t="n"/>
      <c r="BT63" s="336" t="n"/>
      <c r="BU63" s="336" t="n"/>
      <c r="BV63" s="336" t="n"/>
      <c r="BW63" s="336" t="n"/>
      <c r="BX63" s="336" t="n"/>
      <c r="BY63" s="336" t="n"/>
      <c r="BZ63" s="336" t="n"/>
      <c r="CA63" s="336" t="n"/>
      <c r="CB63" s="336" t="n"/>
      <c r="CC63" s="336" t="n"/>
      <c r="CD63" s="336" t="n"/>
      <c r="CE63" s="336" t="n"/>
    </row>
    <row r="64" customFormat="1" s="538">
      <c r="A64" s="350" t="n"/>
      <c r="B64" s="350" t="n"/>
      <c r="C64" s="353" t="n"/>
      <c r="D64" s="333" t="n"/>
      <c r="E64" s="354" t="n"/>
      <c r="F64" s="336" t="n"/>
      <c r="G64" s="336" t="n"/>
      <c r="H64" s="335" t="n"/>
      <c r="I64" s="336" t="n"/>
      <c r="J64" s="336" t="n"/>
      <c r="K64" s="336" t="n"/>
      <c r="L64" s="336" t="n"/>
      <c r="M64" s="336" t="n"/>
      <c r="N64" s="336" t="n"/>
      <c r="O64" s="336" t="n"/>
      <c r="P64" s="430" t="n"/>
      <c r="Q64" s="430" t="n"/>
      <c r="R64" s="430" t="n"/>
      <c r="S64" s="430" t="n"/>
      <c r="T64" s="430" t="n"/>
      <c r="U64" s="430" t="n"/>
      <c r="V64" s="430" t="n"/>
      <c r="W64" s="430" t="n"/>
      <c r="X64" s="430" t="n"/>
      <c r="Y64" s="430" t="n"/>
      <c r="Z64" s="430" t="n"/>
      <c r="AA64" s="430" t="n"/>
      <c r="AB64" s="430" t="n"/>
      <c r="AC64" s="338" t="n"/>
      <c r="AD64" s="338" t="n"/>
      <c r="AE64" s="338" t="n"/>
      <c r="AF64" s="338" t="n"/>
      <c r="AG64" s="339" t="n"/>
      <c r="AH64" s="339" t="n"/>
      <c r="AI64" s="339" t="n"/>
      <c r="AJ64" s="339" t="n"/>
      <c r="AK64" s="339" t="n"/>
      <c r="AL64" s="339" t="n"/>
      <c r="AM64" s="339" t="n"/>
      <c r="AN64" s="339" t="n"/>
      <c r="AO64" s="339" t="n"/>
      <c r="AP64" s="339" t="n"/>
      <c r="AQ64" s="339" t="n"/>
      <c r="AR64" s="339" t="n"/>
      <c r="AS64" s="339" t="n"/>
      <c r="AT64" s="339" t="n"/>
      <c r="AU64" s="339" t="n"/>
      <c r="AV64" s="339" t="n"/>
      <c r="AW64" s="339" t="n"/>
      <c r="AX64" s="430" t="n"/>
      <c r="AY64" s="336" t="n"/>
      <c r="AZ64" s="336" t="n"/>
      <c r="BA64" s="336" t="n"/>
      <c r="BB64" s="336" t="n"/>
      <c r="BC64" s="336" t="n"/>
      <c r="BD64" s="336" t="n"/>
      <c r="BE64" s="336" t="n"/>
      <c r="BF64" s="336" t="n"/>
      <c r="BG64" s="336" t="n"/>
      <c r="BH64" s="336" t="n"/>
      <c r="BI64" s="336" t="n"/>
      <c r="BJ64" s="336" t="n"/>
      <c r="BK64" s="336" t="n"/>
      <c r="BL64" s="336" t="n"/>
      <c r="BM64" s="336" t="n"/>
      <c r="BN64" s="336" t="n"/>
      <c r="BO64" s="336" t="n"/>
      <c r="BP64" s="336" t="n"/>
      <c r="BQ64" s="336" t="n"/>
      <c r="BR64" s="336" t="n"/>
      <c r="BS64" s="336" t="n"/>
      <c r="BT64" s="336" t="n"/>
      <c r="BU64" s="336" t="n"/>
      <c r="BV64" s="336" t="n"/>
      <c r="BW64" s="336" t="n"/>
      <c r="BX64" s="336" t="n"/>
      <c r="BY64" s="336" t="n"/>
      <c r="BZ64" s="336" t="n"/>
      <c r="CA64" s="336" t="n"/>
      <c r="CB64" s="336" t="n"/>
      <c r="CC64" s="336" t="n"/>
      <c r="CD64" s="336" t="n"/>
      <c r="CE64" s="336" t="n"/>
    </row>
    <row r="65" customFormat="1" s="538">
      <c r="A65" s="342" t="n"/>
      <c r="B65" s="358" t="n"/>
      <c r="C65" s="344" t="n"/>
      <c r="D65" s="345" t="n"/>
      <c r="E65" s="346" t="n"/>
      <c r="F65" s="336" t="n"/>
      <c r="G65" s="336" t="n"/>
      <c r="H65" s="336" t="n"/>
      <c r="I65" s="336" t="n"/>
      <c r="J65" s="336" t="n"/>
      <c r="K65" s="336" t="n"/>
      <c r="L65" s="336" t="n"/>
      <c r="M65" s="336" t="n"/>
      <c r="N65" s="336" t="n"/>
      <c r="O65" s="336" t="n"/>
      <c r="P65" s="357" t="n"/>
      <c r="Q65" s="357" t="n"/>
      <c r="R65" s="357" t="n"/>
      <c r="S65" s="357" t="n"/>
      <c r="T65" s="357" t="n"/>
      <c r="U65" s="357" t="n"/>
      <c r="V65" s="357" t="n"/>
      <c r="W65" s="357" t="n"/>
      <c r="X65" s="357" t="n"/>
      <c r="Y65" s="357" t="n"/>
      <c r="Z65" s="357" t="n"/>
      <c r="AA65" s="357" t="n"/>
      <c r="AB65" s="336" t="n"/>
      <c r="AC65" s="338" t="n"/>
      <c r="AD65" s="338" t="n"/>
      <c r="AE65" s="338" t="n"/>
      <c r="AF65" s="338" t="n"/>
      <c r="AG65" s="339" t="n"/>
      <c r="AH65" s="339" t="n"/>
      <c r="AI65" s="339" t="n"/>
      <c r="AJ65" s="339" t="n"/>
      <c r="AK65" s="339" t="n"/>
      <c r="AL65" s="339" t="n"/>
      <c r="AM65" s="339" t="n"/>
      <c r="AN65" s="339" t="n"/>
      <c r="AO65" s="339" t="n"/>
      <c r="AP65" s="339" t="n"/>
      <c r="AQ65" s="339" t="n"/>
      <c r="AR65" s="339" t="n"/>
      <c r="AS65" s="339" t="n"/>
      <c r="AT65" s="339" t="n"/>
      <c r="AU65" s="339" t="n"/>
      <c r="AV65" s="339" t="n"/>
      <c r="AW65" s="339" t="n"/>
      <c r="AX65" s="357" t="n"/>
      <c r="AY65" s="336" t="n"/>
      <c r="AZ65" s="336" t="n"/>
      <c r="BA65" s="336" t="n"/>
      <c r="BB65" s="336" t="n"/>
      <c r="BC65" s="336" t="n"/>
      <c r="BD65" s="336" t="n"/>
      <c r="BE65" s="336" t="n"/>
      <c r="BF65" s="336" t="n"/>
      <c r="BG65" s="336" t="n"/>
      <c r="BH65" s="336" t="n"/>
      <c r="BI65" s="336" t="n"/>
      <c r="BJ65" s="336" t="n"/>
      <c r="BK65" s="336" t="n"/>
      <c r="BL65" s="336" t="n"/>
      <c r="BM65" s="336" t="n"/>
      <c r="BN65" s="336" t="n"/>
      <c r="BO65" s="336" t="n"/>
      <c r="BP65" s="336" t="n"/>
      <c r="BQ65" s="336" t="n"/>
      <c r="BR65" s="336" t="n"/>
      <c r="BS65" s="336" t="n"/>
      <c r="BT65" s="336" t="n"/>
      <c r="BU65" s="336" t="n"/>
      <c r="BV65" s="336" t="n"/>
      <c r="BW65" s="336" t="n"/>
      <c r="BX65" s="336" t="n"/>
      <c r="BY65" s="336" t="n"/>
      <c r="BZ65" s="336" t="n"/>
      <c r="CA65" s="336" t="n"/>
      <c r="CB65" s="336" t="n"/>
      <c r="CC65" s="336" t="n"/>
      <c r="CD65" s="336" t="n"/>
      <c r="CE65" s="336" t="n"/>
      <c r="CF65" s="361" t="n"/>
    </row>
    <row r="66" customFormat="1" s="538">
      <c r="A66" s="349" t="n"/>
      <c r="B66" s="350" t="n"/>
      <c r="C66" s="353" t="n"/>
      <c r="D66" s="333" t="n"/>
      <c r="E66" s="332" t="n"/>
      <c r="F66" s="336" t="n"/>
      <c r="G66" s="336" t="n"/>
      <c r="H66" s="335" t="n"/>
      <c r="I66" s="336" t="n"/>
      <c r="J66" s="336" t="n"/>
      <c r="K66" s="336" t="n"/>
      <c r="L66" s="336" t="n"/>
      <c r="M66" s="336" t="n"/>
      <c r="N66" s="336" t="n"/>
      <c r="O66" s="336" t="n"/>
      <c r="P66" s="430" t="n"/>
      <c r="Q66" s="430" t="n"/>
      <c r="R66" s="430" t="n"/>
      <c r="S66" s="430" t="n"/>
      <c r="T66" s="430" t="n"/>
      <c r="U66" s="430" t="n"/>
      <c r="V66" s="430" t="n"/>
      <c r="W66" s="430" t="n"/>
      <c r="X66" s="430" t="n"/>
      <c r="Y66" s="430" t="n"/>
      <c r="Z66" s="430" t="n"/>
      <c r="AA66" s="430" t="n"/>
      <c r="AB66" s="430" t="n"/>
      <c r="AC66" s="338" t="n"/>
      <c r="AD66" s="338" t="n"/>
      <c r="AE66" s="338" t="n"/>
      <c r="AF66" s="338" t="n"/>
      <c r="AG66" s="339" t="n"/>
      <c r="AH66" s="339" t="n"/>
      <c r="AI66" s="339" t="n"/>
      <c r="AJ66" s="339" t="n"/>
      <c r="AK66" s="339" t="n"/>
      <c r="AL66" s="339" t="n"/>
      <c r="AM66" s="339" t="n"/>
      <c r="AN66" s="339" t="n"/>
      <c r="AO66" s="339" t="n"/>
      <c r="AP66" s="339" t="n"/>
      <c r="AQ66" s="339" t="n"/>
      <c r="AR66" s="339" t="n"/>
      <c r="AS66" s="339" t="n"/>
      <c r="AT66" s="339" t="n"/>
      <c r="AU66" s="339" t="n"/>
      <c r="AV66" s="339" t="n"/>
      <c r="AW66" s="339" t="n"/>
      <c r="AX66" s="430" t="n"/>
      <c r="AY66" s="336" t="n"/>
      <c r="AZ66" s="336" t="n"/>
      <c r="BA66" s="336" t="n"/>
      <c r="BB66" s="336" t="n"/>
      <c r="BC66" s="336" t="n"/>
      <c r="BD66" s="336" t="n"/>
      <c r="BE66" s="336" t="n"/>
      <c r="BF66" s="336" t="n"/>
      <c r="BG66" s="336" t="n"/>
      <c r="BH66" s="336" t="n"/>
      <c r="BI66" s="336" t="n"/>
      <c r="BJ66" s="336" t="n"/>
      <c r="BK66" s="336" t="n"/>
      <c r="BL66" s="336" t="n"/>
      <c r="BM66" s="336" t="n"/>
      <c r="BN66" s="336" t="n"/>
      <c r="BO66" s="336" t="n"/>
      <c r="BP66" s="336" t="n"/>
      <c r="BQ66" s="336" t="n"/>
      <c r="BR66" s="336" t="n"/>
      <c r="BS66" s="336" t="n"/>
      <c r="BT66" s="336" t="n"/>
      <c r="BU66" s="336" t="n"/>
      <c r="BV66" s="336" t="n"/>
      <c r="BW66" s="336" t="n"/>
      <c r="BX66" s="336" t="n"/>
      <c r="BY66" s="336" t="n"/>
      <c r="BZ66" s="336" t="n"/>
      <c r="CA66" s="336" t="n"/>
      <c r="CB66" s="336" t="n"/>
      <c r="CC66" s="336" t="n"/>
      <c r="CD66" s="336" t="n"/>
      <c r="CE66" s="336" t="n"/>
    </row>
    <row r="67" customFormat="1" s="538">
      <c r="A67" s="349" t="n"/>
      <c r="B67" s="350" t="n"/>
      <c r="C67" s="353" t="n"/>
      <c r="D67" s="333" t="n"/>
      <c r="E67" s="332" t="n"/>
      <c r="F67" s="336" t="n"/>
      <c r="G67" s="336" t="n"/>
      <c r="H67" s="335" t="n"/>
      <c r="I67" s="336" t="n"/>
      <c r="J67" s="336" t="n"/>
      <c r="K67" s="336" t="n"/>
      <c r="L67" s="336" t="n"/>
      <c r="M67" s="336" t="n"/>
      <c r="N67" s="336" t="n"/>
      <c r="O67" s="336" t="n"/>
      <c r="P67" s="430" t="n"/>
      <c r="Q67" s="430" t="n"/>
      <c r="R67" s="430" t="n"/>
      <c r="S67" s="430" t="n"/>
      <c r="T67" s="430" t="n"/>
      <c r="U67" s="430" t="n"/>
      <c r="V67" s="430" t="n"/>
      <c r="W67" s="430" t="n"/>
      <c r="X67" s="430" t="n"/>
      <c r="Y67" s="430" t="n"/>
      <c r="Z67" s="430" t="n"/>
      <c r="AA67" s="430" t="n"/>
      <c r="AB67" s="430" t="n"/>
      <c r="AC67" s="357" t="n"/>
      <c r="AD67" s="357" t="n"/>
      <c r="AE67" s="357" t="n"/>
      <c r="AF67" s="357" t="n"/>
      <c r="AG67" s="339" t="n"/>
      <c r="AH67" s="339" t="n"/>
      <c r="AI67" s="339" t="n"/>
      <c r="AJ67" s="339" t="n"/>
      <c r="AK67" s="339" t="n"/>
      <c r="AL67" s="339" t="n"/>
      <c r="AM67" s="339" t="n"/>
      <c r="AN67" s="339" t="n"/>
      <c r="AO67" s="339" t="n"/>
      <c r="AP67" s="339" t="n"/>
      <c r="AQ67" s="339" t="n"/>
      <c r="AR67" s="339" t="n"/>
      <c r="AS67" s="339" t="n"/>
      <c r="AT67" s="357" t="n"/>
      <c r="AU67" s="357" t="n"/>
      <c r="AV67" s="357" t="n"/>
      <c r="AW67" s="357" t="n"/>
      <c r="AX67" s="430" t="n"/>
      <c r="AY67" s="336" t="n"/>
      <c r="AZ67" s="336" t="n"/>
      <c r="BA67" s="336" t="n"/>
      <c r="BB67" s="336" t="n"/>
      <c r="BC67" s="336" t="n"/>
      <c r="BD67" s="336" t="n"/>
      <c r="BE67" s="336" t="n"/>
      <c r="BF67" s="336" t="n"/>
      <c r="BG67" s="336" t="n"/>
      <c r="BH67" s="336" t="n"/>
      <c r="BI67" s="336" t="n"/>
      <c r="BJ67" s="336" t="n"/>
      <c r="BK67" s="336" t="n"/>
      <c r="BL67" s="336" t="n"/>
      <c r="BM67" s="336" t="n"/>
      <c r="BN67" s="336" t="n"/>
      <c r="BO67" s="336" t="n"/>
      <c r="BP67" s="336" t="n"/>
      <c r="BQ67" s="336" t="n"/>
      <c r="BR67" s="336" t="n"/>
      <c r="BS67" s="336" t="n"/>
      <c r="BT67" s="336" t="n"/>
      <c r="BU67" s="336" t="n"/>
      <c r="BV67" s="336" t="n"/>
      <c r="BW67" s="336" t="n"/>
      <c r="BX67" s="336" t="n"/>
      <c r="BY67" s="336" t="n"/>
      <c r="BZ67" s="336" t="n"/>
      <c r="CA67" s="336" t="n"/>
      <c r="CB67" s="336" t="n"/>
      <c r="CC67" s="336" t="n"/>
      <c r="CD67" s="336" t="n"/>
      <c r="CE67" s="336" t="n"/>
    </row>
    <row r="68" customFormat="1" s="538">
      <c r="A68" s="358" t="n"/>
      <c r="B68" s="358" t="n"/>
      <c r="C68" s="344" t="n"/>
      <c r="D68" s="345" t="n"/>
      <c r="E68" s="346" t="n"/>
      <c r="F68" s="336" t="n"/>
      <c r="G68" s="336" t="n"/>
      <c r="H68" s="336" t="n"/>
      <c r="I68" s="336" t="n"/>
      <c r="J68" s="336" t="n"/>
      <c r="K68" s="336" t="n"/>
      <c r="L68" s="336" t="n"/>
      <c r="M68" s="336" t="n"/>
      <c r="N68" s="336" t="n"/>
      <c r="O68" s="336" t="n"/>
      <c r="P68" s="357" t="n"/>
      <c r="Q68" s="357" t="n"/>
      <c r="R68" s="357" t="n"/>
      <c r="S68" s="357" t="n"/>
      <c r="T68" s="357" t="n"/>
      <c r="U68" s="357" t="n"/>
      <c r="V68" s="357" t="n"/>
      <c r="W68" s="357" t="n"/>
      <c r="X68" s="357" t="n"/>
      <c r="Y68" s="357" t="n"/>
      <c r="Z68" s="357" t="n"/>
      <c r="AA68" s="357" t="n"/>
      <c r="AB68" s="336" t="n"/>
      <c r="AC68" s="338" t="n"/>
      <c r="AD68" s="338" t="n"/>
      <c r="AE68" s="338" t="n"/>
      <c r="AF68" s="338" t="n"/>
      <c r="AG68" s="339" t="n"/>
      <c r="AH68" s="339" t="n"/>
      <c r="AI68" s="339" t="n"/>
      <c r="AJ68" s="339" t="n"/>
      <c r="AK68" s="339" t="n"/>
      <c r="AL68" s="339" t="n"/>
      <c r="AM68" s="339" t="n"/>
      <c r="AN68" s="339" t="n"/>
      <c r="AO68" s="339" t="n"/>
      <c r="AP68" s="339" t="n"/>
      <c r="AQ68" s="339" t="n"/>
      <c r="AR68" s="339" t="n"/>
      <c r="AS68" s="339" t="n"/>
      <c r="AT68" s="339" t="n"/>
      <c r="AU68" s="339" t="n"/>
      <c r="AV68" s="339" t="n"/>
      <c r="AW68" s="339" t="n"/>
      <c r="AX68" s="357" t="n"/>
      <c r="AY68" s="336" t="n"/>
      <c r="AZ68" s="336" t="n"/>
      <c r="BA68" s="336" t="n"/>
      <c r="BB68" s="336" t="n"/>
      <c r="BC68" s="336" t="n"/>
      <c r="BD68" s="336" t="n"/>
      <c r="BE68" s="336" t="n"/>
      <c r="BF68" s="336" t="n"/>
      <c r="BG68" s="336" t="n"/>
      <c r="BH68" s="336" t="n"/>
      <c r="BI68" s="336" t="n"/>
      <c r="BJ68" s="336" t="n"/>
      <c r="BK68" s="336" t="n"/>
      <c r="BL68" s="336" t="n"/>
      <c r="BM68" s="336" t="n"/>
      <c r="BN68" s="336" t="n"/>
      <c r="BO68" s="336" t="n"/>
      <c r="BP68" s="336" t="n"/>
      <c r="BQ68" s="336" t="n"/>
      <c r="BR68" s="336" t="n"/>
      <c r="BS68" s="336" t="n"/>
      <c r="BT68" s="336" t="n"/>
      <c r="BU68" s="336" t="n"/>
      <c r="BV68" s="336" t="n"/>
      <c r="BW68" s="336" t="n"/>
      <c r="BX68" s="336" t="n"/>
      <c r="BY68" s="336" t="n"/>
      <c r="BZ68" s="336" t="n"/>
      <c r="CA68" s="336" t="n"/>
      <c r="CB68" s="336" t="n"/>
      <c r="CC68" s="336" t="n"/>
      <c r="CD68" s="336" t="n"/>
      <c r="CE68" s="336" t="n"/>
      <c r="CF68" s="361" t="n"/>
    </row>
    <row r="69" customFormat="1" s="538">
      <c r="A69" s="350" t="n"/>
      <c r="B69" s="350" t="n"/>
      <c r="C69" s="353" t="n"/>
      <c r="D69" s="333" t="n"/>
      <c r="E69" s="332" t="n"/>
      <c r="F69" s="336" t="n"/>
      <c r="G69" s="336" t="n"/>
      <c r="H69" s="335" t="n"/>
      <c r="I69" s="336" t="n"/>
      <c r="J69" s="336" t="n"/>
      <c r="K69" s="336" t="n"/>
      <c r="L69" s="336" t="n"/>
      <c r="M69" s="336" t="n"/>
      <c r="N69" s="336" t="n"/>
      <c r="O69" s="336" t="n"/>
      <c r="P69" s="430" t="n"/>
      <c r="Q69" s="430" t="n"/>
      <c r="R69" s="430" t="n"/>
      <c r="S69" s="430" t="n"/>
      <c r="T69" s="430" t="n"/>
      <c r="U69" s="430" t="n"/>
      <c r="V69" s="430" t="n"/>
      <c r="W69" s="430" t="n"/>
      <c r="X69" s="430" t="n"/>
      <c r="Y69" s="430" t="n"/>
      <c r="Z69" s="430" t="n"/>
      <c r="AA69" s="430" t="n"/>
      <c r="AB69" s="430" t="n"/>
      <c r="AC69" s="338" t="n"/>
      <c r="AD69" s="338" t="n"/>
      <c r="AE69" s="338" t="n"/>
      <c r="AF69" s="338" t="n"/>
      <c r="AG69" s="339" t="n"/>
      <c r="AH69" s="339" t="n"/>
      <c r="AI69" s="339" t="n"/>
      <c r="AJ69" s="339" t="n"/>
      <c r="AK69" s="339" t="n"/>
      <c r="AL69" s="339" t="n"/>
      <c r="AM69" s="339" t="n"/>
      <c r="AN69" s="339" t="n"/>
      <c r="AO69" s="339" t="n"/>
      <c r="AP69" s="339" t="n"/>
      <c r="AQ69" s="339" t="n"/>
      <c r="AR69" s="339" t="n"/>
      <c r="AS69" s="339" t="n"/>
      <c r="AT69" s="339" t="n"/>
      <c r="AU69" s="339" t="n"/>
      <c r="AV69" s="339" t="n"/>
      <c r="AW69" s="339" t="n"/>
      <c r="AX69" s="430" t="n"/>
      <c r="AY69" s="336" t="n"/>
      <c r="AZ69" s="336" t="n"/>
      <c r="BA69" s="336" t="n"/>
      <c r="BB69" s="336" t="n"/>
      <c r="BC69" s="336" t="n"/>
      <c r="BD69" s="336" t="n"/>
      <c r="BE69" s="336" t="n"/>
      <c r="BF69" s="336" t="n"/>
      <c r="BG69" s="336" t="n"/>
      <c r="BH69" s="336" t="n"/>
      <c r="BI69" s="336" t="n"/>
      <c r="BJ69" s="336" t="n"/>
      <c r="BK69" s="336" t="n"/>
      <c r="BL69" s="336" t="n"/>
      <c r="BM69" s="336" t="n"/>
      <c r="BN69" s="336" t="n"/>
      <c r="BO69" s="336" t="n"/>
      <c r="BP69" s="336" t="n"/>
      <c r="BQ69" s="336" t="n"/>
      <c r="BR69" s="336" t="n"/>
      <c r="BS69" s="336" t="n"/>
      <c r="BT69" s="336" t="n"/>
      <c r="BU69" s="336" t="n"/>
      <c r="BV69" s="336" t="n"/>
      <c r="BW69" s="336" t="n"/>
      <c r="BX69" s="336" t="n"/>
      <c r="BY69" s="336" t="n"/>
      <c r="BZ69" s="336" t="n"/>
      <c r="CA69" s="336" t="n"/>
      <c r="CB69" s="336" t="n"/>
      <c r="CC69" s="336" t="n"/>
      <c r="CD69" s="336" t="n"/>
      <c r="CE69" s="336" t="n"/>
    </row>
    <row r="70" customFormat="1" s="538">
      <c r="A70" s="350" t="n"/>
      <c r="B70" s="350" t="n"/>
      <c r="C70" s="353" t="n"/>
      <c r="D70" s="333" t="n"/>
      <c r="E70" s="332" t="n"/>
      <c r="F70" s="336" t="n"/>
      <c r="G70" s="336" t="n"/>
      <c r="H70" s="335" t="n"/>
      <c r="I70" s="336" t="n"/>
      <c r="J70" s="336" t="n"/>
      <c r="K70" s="336" t="n"/>
      <c r="L70" s="336" t="n"/>
      <c r="M70" s="336" t="n"/>
      <c r="N70" s="336" t="n"/>
      <c r="O70" s="336" t="n"/>
      <c r="P70" s="430" t="n"/>
      <c r="Q70" s="430" t="n"/>
      <c r="R70" s="430" t="n"/>
      <c r="S70" s="430" t="n"/>
      <c r="T70" s="430" t="n"/>
      <c r="U70" s="430" t="n"/>
      <c r="V70" s="430" t="n"/>
      <c r="W70" s="430" t="n"/>
      <c r="X70" s="430" t="n"/>
      <c r="Y70" s="430" t="n"/>
      <c r="Z70" s="430" t="n"/>
      <c r="AA70" s="430" t="n"/>
      <c r="AB70" s="430" t="n"/>
      <c r="AC70" s="338" t="n"/>
      <c r="AD70" s="338" t="n"/>
      <c r="AE70" s="338" t="n"/>
      <c r="AF70" s="338" t="n"/>
      <c r="AG70" s="339" t="n"/>
      <c r="AH70" s="339" t="n"/>
      <c r="AI70" s="339" t="n"/>
      <c r="AJ70" s="339" t="n"/>
      <c r="AK70" s="339" t="n"/>
      <c r="AL70" s="339" t="n"/>
      <c r="AM70" s="339" t="n"/>
      <c r="AN70" s="339" t="n"/>
      <c r="AO70" s="339" t="n"/>
      <c r="AP70" s="339" t="n"/>
      <c r="AQ70" s="339" t="n"/>
      <c r="AR70" s="339" t="n"/>
      <c r="AS70" s="339" t="n"/>
      <c r="AT70" s="339" t="n"/>
      <c r="AU70" s="339" t="n"/>
      <c r="AV70" s="339" t="n"/>
      <c r="AW70" s="339" t="n"/>
      <c r="AX70" s="430" t="n"/>
      <c r="AY70" s="336" t="n"/>
      <c r="AZ70" s="336" t="n"/>
      <c r="BA70" s="336" t="n"/>
      <c r="BB70" s="336" t="n"/>
      <c r="BC70" s="336" t="n"/>
      <c r="BD70" s="336" t="n"/>
      <c r="BE70" s="336" t="n"/>
      <c r="BF70" s="336" t="n"/>
      <c r="BG70" s="336" t="n"/>
      <c r="BH70" s="336" t="n"/>
      <c r="BI70" s="336" t="n"/>
      <c r="BJ70" s="336" t="n"/>
      <c r="BK70" s="336" t="n"/>
      <c r="BL70" s="336" t="n"/>
      <c r="BM70" s="336" t="n"/>
      <c r="BN70" s="336" t="n"/>
      <c r="BO70" s="336" t="n"/>
      <c r="BP70" s="336" t="n"/>
      <c r="BQ70" s="336" t="n"/>
      <c r="BR70" s="336" t="n"/>
      <c r="BS70" s="336" t="n"/>
      <c r="BT70" s="336" t="n"/>
      <c r="BU70" s="336" t="n"/>
      <c r="BV70" s="336" t="n"/>
      <c r="BW70" s="336" t="n"/>
      <c r="BX70" s="336" t="n"/>
      <c r="BY70" s="336" t="n"/>
      <c r="BZ70" s="336" t="n"/>
      <c r="CA70" s="336" t="n"/>
      <c r="CB70" s="336" t="n"/>
      <c r="CC70" s="336" t="n"/>
      <c r="CD70" s="336" t="n"/>
      <c r="CE70" s="336" t="n"/>
    </row>
    <row r="71" customFormat="1" s="538">
      <c r="A71" s="342" t="n"/>
      <c r="B71" s="358" t="n"/>
      <c r="C71" s="344" t="n"/>
      <c r="D71" s="345" t="n"/>
      <c r="E71" s="346" t="n"/>
      <c r="F71" s="336" t="n"/>
      <c r="G71" s="336" t="n"/>
      <c r="H71" s="335" t="n"/>
      <c r="I71" s="336" t="n"/>
      <c r="J71" s="336" t="n"/>
      <c r="K71" s="336" t="n"/>
      <c r="L71" s="336" t="n"/>
      <c r="M71" s="336" t="n"/>
      <c r="N71" s="336" t="n"/>
      <c r="O71" s="336" t="n"/>
      <c r="P71" s="430" t="n"/>
      <c r="Q71" s="430" t="n"/>
      <c r="R71" s="430" t="n"/>
      <c r="S71" s="430" t="n"/>
      <c r="T71" s="430" t="n"/>
      <c r="U71" s="430" t="n"/>
      <c r="V71" s="430" t="n"/>
      <c r="W71" s="430" t="n"/>
      <c r="X71" s="430" t="n"/>
      <c r="Y71" s="430" t="n"/>
      <c r="Z71" s="430" t="n"/>
      <c r="AA71" s="430" t="n"/>
      <c r="AB71" s="430" t="n"/>
      <c r="AC71" s="338" t="n"/>
      <c r="AD71" s="338" t="n"/>
      <c r="AE71" s="338" t="n"/>
      <c r="AF71" s="338" t="n"/>
      <c r="AG71" s="339" t="n"/>
      <c r="AH71" s="339" t="n"/>
      <c r="AI71" s="339" t="n"/>
      <c r="AJ71" s="339" t="n"/>
      <c r="AK71" s="339" t="n"/>
      <c r="AL71" s="339" t="n"/>
      <c r="AM71" s="339" t="n"/>
      <c r="AN71" s="339" t="n"/>
      <c r="AO71" s="339" t="n"/>
      <c r="AP71" s="339" t="n"/>
      <c r="AQ71" s="339" t="n"/>
      <c r="AR71" s="339" t="n"/>
      <c r="AS71" s="339" t="n"/>
      <c r="AT71" s="339" t="n"/>
      <c r="AU71" s="339" t="n"/>
      <c r="AV71" s="339" t="n"/>
      <c r="AW71" s="339" t="n"/>
      <c r="AX71" s="430" t="n"/>
      <c r="AY71" s="336" t="n"/>
      <c r="AZ71" s="336" t="n"/>
      <c r="BA71" s="336" t="n"/>
      <c r="BB71" s="336" t="n"/>
      <c r="BC71" s="336" t="n"/>
      <c r="BD71" s="336" t="n"/>
      <c r="BE71" s="336" t="n"/>
      <c r="BF71" s="336" t="n"/>
      <c r="BG71" s="336" t="n"/>
      <c r="BH71" s="336" t="n"/>
      <c r="BI71" s="336" t="n"/>
      <c r="BJ71" s="336" t="n"/>
      <c r="BK71" s="336" t="n"/>
      <c r="BL71" s="336" t="n"/>
      <c r="BM71" s="336" t="n"/>
      <c r="BN71" s="336" t="n"/>
      <c r="BO71" s="336" t="n"/>
      <c r="BP71" s="336" t="n"/>
      <c r="BQ71" s="336" t="n"/>
      <c r="BR71" s="336" t="n"/>
      <c r="BS71" s="336" t="n"/>
      <c r="BT71" s="336" t="n"/>
      <c r="BU71" s="336" t="n"/>
      <c r="BV71" s="336" t="n"/>
      <c r="BW71" s="336" t="n"/>
      <c r="BX71" s="336" t="n"/>
      <c r="BY71" s="336" t="n"/>
      <c r="BZ71" s="336" t="n"/>
      <c r="CA71" s="336" t="n"/>
      <c r="CB71" s="336" t="n"/>
      <c r="CC71" s="336" t="n"/>
      <c r="CD71" s="336" t="n"/>
      <c r="CE71" s="336" t="n"/>
      <c r="CF71" s="361" t="n"/>
    </row>
    <row r="72" ht="18" customFormat="1" customHeight="1" s="538">
      <c r="A72" s="660" t="n"/>
      <c r="G72" s="361" t="n"/>
      <c r="H72" s="361" t="n"/>
      <c r="AF72" s="362" t="n"/>
      <c r="AG72" s="362" t="n"/>
      <c r="AH72" s="362" t="n"/>
      <c r="AI72" s="362" t="n"/>
      <c r="AJ72" s="362" t="n"/>
      <c r="AK72" s="362" t="n"/>
      <c r="AL72" s="362" t="n"/>
      <c r="AM72" s="362" t="n"/>
      <c r="AN72" s="362" t="n"/>
      <c r="AO72" s="362" t="n"/>
      <c r="AP72" s="362" t="n"/>
      <c r="AQ72" s="362" t="n"/>
      <c r="AR72" s="362" t="n"/>
      <c r="AS72" s="362" t="n"/>
      <c r="AT72" s="362" t="n"/>
      <c r="AU72" s="362" t="n"/>
      <c r="AV72" s="362" t="n"/>
      <c r="AW72" s="362" t="n"/>
      <c r="AX72" s="358" t="n"/>
      <c r="AY72" s="362" t="n"/>
      <c r="AZ72" s="358" t="n"/>
      <c r="BA72" s="363" t="n"/>
      <c r="BB72" s="362" t="n"/>
      <c r="BI72" s="364" t="n"/>
      <c r="BL72" s="364" t="n"/>
      <c r="BO72" s="364" t="n"/>
      <c r="BR72" s="364" t="n"/>
      <c r="BS72" s="364" t="n"/>
      <c r="BW72" s="364" t="n"/>
      <c r="CA72" s="364" t="n"/>
      <c r="CE72" s="364" t="n"/>
    </row>
    <row r="73" customFormat="1" s="538">
      <c r="A73" s="351" t="n"/>
      <c r="B73" s="351" t="n"/>
      <c r="C73" s="351" t="n"/>
      <c r="D73" s="351" t="n"/>
      <c r="E73" s="351" t="n"/>
      <c r="F73" s="351" t="n"/>
      <c r="G73" s="351" t="n"/>
      <c r="H73" s="351" t="n"/>
      <c r="I73" s="351" t="n"/>
      <c r="J73" s="351" t="n"/>
      <c r="K73" s="351" t="n"/>
      <c r="L73" s="351" t="n"/>
      <c r="M73" s="351" t="n"/>
      <c r="N73" s="351" t="n"/>
      <c r="O73" s="351" t="n"/>
      <c r="P73" s="351" t="n"/>
      <c r="Q73" s="351" t="n"/>
      <c r="R73" s="351" t="n"/>
      <c r="S73" s="351" t="n"/>
      <c r="T73" s="351" t="n"/>
      <c r="U73" s="351" t="n"/>
      <c r="V73" s="351" t="n"/>
      <c r="W73" s="351" t="n"/>
      <c r="X73" s="351" t="n"/>
      <c r="Y73" s="351" t="n"/>
      <c r="Z73" s="351" t="n"/>
      <c r="AA73" s="351" t="n"/>
      <c r="AB73" s="351" t="n"/>
      <c r="AC73" s="351" t="n"/>
      <c r="AD73" s="351" t="n"/>
      <c r="AE73" s="351" t="n"/>
      <c r="AF73" s="351" t="n"/>
      <c r="AG73" s="351" t="n"/>
      <c r="AH73" s="351" t="n"/>
      <c r="AI73" s="351" t="n"/>
      <c r="AJ73" s="351" t="n"/>
      <c r="AK73" s="351" t="n"/>
      <c r="AL73" s="351" t="n"/>
      <c r="AM73" s="351" t="n"/>
      <c r="AN73" s="351" t="n"/>
      <c r="AO73" s="351" t="n"/>
      <c r="AP73" s="351" t="n"/>
      <c r="AQ73" s="351" t="n"/>
      <c r="AR73" s="351" t="n"/>
      <c r="AS73" s="351" t="n"/>
      <c r="AT73" s="351" t="n"/>
      <c r="AU73" s="351" t="n"/>
      <c r="AV73" s="351" t="n"/>
      <c r="AW73" s="351" t="n"/>
      <c r="CF73" s="361" t="n"/>
    </row>
    <row r="74" customFormat="1" s="538">
      <c r="A74" s="351" t="n"/>
      <c r="B74" s="351" t="n"/>
      <c r="C74" s="351" t="n"/>
      <c r="D74" s="352" t="n"/>
      <c r="E74" s="365" t="n"/>
      <c r="F74" s="361" t="n"/>
      <c r="G74" s="361" t="n"/>
      <c r="H74" s="361" t="n"/>
    </row>
    <row r="75" customFormat="1" s="538">
      <c r="A75" s="351" t="n"/>
      <c r="B75" s="351" t="n"/>
      <c r="C75" s="351" t="n"/>
      <c r="D75" s="352" t="n"/>
      <c r="E75" s="365" t="n"/>
    </row>
    <row r="76" customFormat="1" s="538">
      <c r="A76" s="351" t="n"/>
      <c r="B76" s="351" t="n"/>
      <c r="C76" s="351" t="n"/>
      <c r="D76" s="352" t="n"/>
      <c r="E76" s="365" t="n"/>
    </row>
    <row r="77"/>
    <row r="78"/>
    <row r="79"/>
    <row r="80" ht="18" customHeight="1" s="191">
      <c r="AR80" s="200" t="n"/>
    </row>
  </sheetData>
  <mergeCells count="3">
    <mergeCell ref="A72:E72"/>
    <mergeCell ref="BX1:CA1"/>
    <mergeCell ref="CB1:CE1"/>
  </mergeCells>
  <conditionalFormatting sqref="P5:T8 P10:T14 P16:T18 P20:T20 P22:T22 P24:T27 P29:T31 P33:T34 P36:T37 P77:BC79 P80:AQ80 P81:AB1048576 R4:AB4 V5:AB8 V10:AF14 V16:AF18 V20:AF20 V22:AF22 V24:AF27 V29:AF31 V33:AF34 V36:AW37 AC6:AF8 AG5:AS5 AG6:AO34 AG81:AS1048576 AP6:AW8 AP10:AW14 AP16:AW18 AP20:AW20 AP22:AW22 AP24:AW27 AP29:AW31 AP33:AW34 AS80:BC80">
    <cfRule type="cellIs" priority="4" operator="greaterThan" dxfId="0">
      <formula>0</formula>
    </cfRule>
  </conditionalFormatting>
  <conditionalFormatting sqref="AG4:AZ4">
    <cfRule type="cellIs" priority="3" operator="greaterThan" dxfId="0">
      <formula>0</formula>
    </cfRule>
  </conditionalFormatting>
  <conditionalFormatting sqref="U5:U8 U10:U14 U16:U18 U20 U22 U24:U27 U29:U31 U33:U34 U36:U37">
    <cfRule type="cellIs" priority="1" operator="greater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E15" sqref="E15"/>
    </sheetView>
  </sheetViews>
  <sheetFormatPr baseColWidth="8" defaultColWidth="14.44140625" defaultRowHeight="14.4"/>
  <cols>
    <col width="5" customWidth="1" style="104" min="1" max="1"/>
    <col width="4.44140625" customWidth="1" style="104" min="2" max="2"/>
    <col width="3" customWidth="1" style="104" min="3" max="3"/>
    <col width="9" bestFit="1" customWidth="1" style="117" min="4" max="4"/>
    <col width="78.33203125" customWidth="1" style="125" min="5" max="5"/>
    <col width="11.33203125" customWidth="1" style="191" min="6" max="7"/>
    <col width="8.109375" bestFit="1" customWidth="1" style="191" min="8" max="8"/>
    <col width="11.33203125" customWidth="1" style="191" min="9" max="13"/>
    <col width="9.109375" customWidth="1" style="191" min="14" max="25"/>
    <col width="9.109375" customWidth="1" style="191" min="26" max="29"/>
    <col width="9.109375" customWidth="1" style="191" min="30" max="39"/>
    <col width="9.109375" customWidth="1" style="191" min="40" max="43"/>
    <col width="9.109375" customWidth="1" style="191" min="44" max="48"/>
    <col width="14.88671875" customWidth="1" style="191" min="49" max="49"/>
    <col width="9.109375" customWidth="1" style="191" min="50" max="55"/>
    <col width="11.5546875" customWidth="1" style="191" min="56" max="56"/>
    <col width="8.6640625" customWidth="1" style="191" min="57" max="64"/>
    <col width="10.33203125" customWidth="1" style="191" min="65" max="65"/>
    <col width="7.44140625" customWidth="1" style="191" min="66" max="66"/>
    <col width="8.6640625" customWidth="1" style="191" min="67" max="69"/>
    <col width="8.44140625" customWidth="1" style="191" min="70" max="70"/>
    <col width="8.6640625" customWidth="1" style="191" min="71" max="78"/>
  </cols>
  <sheetData>
    <row r="1" ht="15" customHeight="1" s="191">
      <c r="A1" s="538" t="n"/>
      <c r="B1" s="309" t="n"/>
      <c r="C1" s="285" t="n"/>
      <c r="D1" s="156" t="n"/>
      <c r="E1" s="291" t="inlineStr">
        <is>
          <t>S T O P</t>
        </is>
      </c>
      <c r="F1" s="227">
        <f>#REF!</f>
        <v/>
      </c>
      <c r="G1" s="228" t="n"/>
      <c r="H1" s="538" t="n"/>
      <c r="I1" s="538" t="n"/>
      <c r="J1" s="538" t="n"/>
      <c r="K1" s="538" t="n"/>
      <c r="L1" s="538" t="n"/>
      <c r="M1" s="538" t="n"/>
      <c r="N1" s="538" t="n"/>
      <c r="O1" s="283">
        <f>SUM(O$4:O$999)-40*SUM(N$4:N$999)</f>
        <v/>
      </c>
    </row>
    <row r="2" ht="100.8" customHeight="1" s="191">
      <c r="A2" s="238">
        <f>Karta!A2</f>
        <v/>
      </c>
      <c r="B2" s="238">
        <f>Karta!B2</f>
        <v/>
      </c>
      <c r="C2" s="286">
        <f>Karta!C2</f>
        <v/>
      </c>
      <c r="D2" s="238">
        <f>Karta!D2</f>
        <v/>
      </c>
      <c r="E2" s="238">
        <f>Karta!E2</f>
        <v/>
      </c>
      <c r="F2" s="238">
        <f>Karta!F2</f>
        <v/>
      </c>
      <c r="G2" s="238">
        <f>Karta!G2</f>
        <v/>
      </c>
      <c r="H2" s="238">
        <f>Karta!H2</f>
        <v/>
      </c>
      <c r="I2" s="238">
        <f>Karta!I2</f>
        <v/>
      </c>
      <c r="J2" s="238">
        <f>Karta!J2</f>
        <v/>
      </c>
      <c r="K2" s="238">
        <f>Karta!K2</f>
        <v/>
      </c>
      <c r="L2" s="238">
        <f>Karta!L2</f>
        <v/>
      </c>
      <c r="M2" s="238">
        <f>Karta!M2</f>
        <v/>
      </c>
      <c r="N2" s="238">
        <f>Karta!N2</f>
        <v/>
      </c>
      <c r="O2" s="238">
        <f>Karta!O2</f>
        <v/>
      </c>
      <c r="P2" s="236">
        <f>Karta!P2</f>
        <v/>
      </c>
      <c r="Q2" s="236">
        <f>Karta!Q2</f>
        <v/>
      </c>
      <c r="R2" s="236">
        <f>Karta!R2</f>
        <v/>
      </c>
      <c r="S2" s="236">
        <f>Karta!S2</f>
        <v/>
      </c>
      <c r="T2" s="236">
        <f>Karta!T2</f>
        <v/>
      </c>
      <c r="U2" s="236">
        <f>Karta!X2</f>
        <v/>
      </c>
      <c r="V2" s="237">
        <f>Karta!Y2</f>
        <v/>
      </c>
      <c r="W2" s="237">
        <f>Karta!Z2</f>
        <v/>
      </c>
      <c r="X2" s="237">
        <f>Karta!AA2</f>
        <v/>
      </c>
      <c r="Y2" s="237">
        <f>Karta!AB2</f>
        <v/>
      </c>
      <c r="Z2" s="301">
        <f>Karta!AG2</f>
        <v/>
      </c>
      <c r="AA2" s="301">
        <f>Karta!AH2</f>
        <v/>
      </c>
      <c r="AB2" s="301">
        <f>Karta!AI2</f>
        <v/>
      </c>
      <c r="AC2" s="301">
        <f>Karta!AJ2</f>
        <v/>
      </c>
      <c r="AD2" s="236">
        <f>Karta!AL2</f>
        <v/>
      </c>
      <c r="AE2" s="236">
        <f>Karta!AM2</f>
        <v/>
      </c>
      <c r="AF2" s="236">
        <f>Karta!AN2</f>
        <v/>
      </c>
      <c r="AG2" s="236">
        <f>Karta!AO2</f>
        <v/>
      </c>
      <c r="AH2" s="236">
        <f>Karta!AP2</f>
        <v/>
      </c>
      <c r="AI2" s="236">
        <f>Karta!AT2</f>
        <v/>
      </c>
      <c r="AJ2" s="237">
        <f>Karta!AU2</f>
        <v/>
      </c>
      <c r="AK2" s="237">
        <f>Karta!AV2</f>
        <v/>
      </c>
      <c r="AL2" s="237">
        <f>Karta!AW2</f>
        <v/>
      </c>
      <c r="AM2" s="237">
        <f>Karta!AX2</f>
        <v/>
      </c>
      <c r="AN2" s="301">
        <f>Karta!BC2</f>
        <v/>
      </c>
      <c r="AO2" s="301">
        <f>Karta!BD2</f>
        <v/>
      </c>
      <c r="AP2" s="301">
        <f>Karta!BE2</f>
        <v/>
      </c>
      <c r="AQ2" s="301">
        <f>Karta!BF2</f>
        <v/>
      </c>
      <c r="AR2" s="5">
        <f>Karta!BH2</f>
        <v/>
      </c>
      <c r="AS2" s="5">
        <f>Karta!BI2</f>
        <v/>
      </c>
      <c r="AT2" s="5">
        <f>Karta!BJ2</f>
        <v/>
      </c>
      <c r="AU2" s="5">
        <f>Karta!BK2</f>
        <v/>
      </c>
      <c r="AV2" s="4" t="inlineStr">
        <is>
          <t>Firma podwykonawcy</t>
        </is>
      </c>
      <c r="AW2" s="3" t="inlineStr">
        <is>
          <t xml:space="preserve">Imię </t>
        </is>
      </c>
      <c r="AX2" s="3" t="inlineStr">
        <is>
          <t>Nazwisko</t>
        </is>
      </c>
      <c r="AY2" s="4" t="inlineStr">
        <is>
          <t>Termi realizacji</t>
        </is>
      </c>
      <c r="AZ2" s="4" t="inlineStr">
        <is>
          <t>Liczba godzin</t>
        </is>
      </c>
      <c r="BA2" s="3" t="inlineStr">
        <is>
          <t>PLN/h</t>
        </is>
      </c>
      <c r="BB2" s="3" t="inlineStr">
        <is>
          <t>Razem</t>
        </is>
      </c>
      <c r="BC2" s="4" t="inlineStr">
        <is>
          <t>Nazwa sprzętu</t>
        </is>
      </c>
      <c r="BD2" s="4" t="inlineStr">
        <is>
          <t xml:space="preserve">Okres używania </t>
        </is>
      </c>
      <c r="BE2" s="6" t="inlineStr">
        <is>
          <t>Amortyzacja [PLN]</t>
        </is>
      </c>
      <c r="BF2" s="4" t="inlineStr">
        <is>
          <t>Nazwa budynku</t>
        </is>
      </c>
      <c r="BG2" s="4" t="inlineStr">
        <is>
          <t>Uzywana powierzchnia [m2]</t>
        </is>
      </c>
      <c r="BH2" s="6" t="inlineStr">
        <is>
          <t>Amortyzacja [PLN]</t>
        </is>
      </c>
      <c r="BI2" s="4" t="inlineStr">
        <is>
          <t>Nazwa nieruchomości</t>
        </is>
      </c>
      <c r="BJ2" s="4" t="inlineStr">
        <is>
          <t>Okres używania</t>
        </is>
      </c>
      <c r="BK2" s="6" t="inlineStr">
        <is>
          <t>Czynsz dzierżawny [PLN]</t>
        </is>
      </c>
      <c r="BL2" s="6" t="inlineStr">
        <is>
          <t>Wieczyste uzytkowanie [PLN]</t>
        </is>
      </c>
      <c r="BM2" s="4" t="inlineStr">
        <is>
          <t>Nazwa/rodzaj</t>
        </is>
      </c>
      <c r="BN2" s="4" t="inlineStr">
        <is>
          <t>Liczba [szt.]</t>
        </is>
      </c>
      <c r="BO2" s="4" t="inlineStr">
        <is>
          <t>Wartość jednostkowa [PLN]</t>
        </is>
      </c>
      <c r="BP2" s="4" t="inlineStr">
        <is>
          <t>Razem [PLN]</t>
        </is>
      </c>
      <c r="BQ2" s="4" t="inlineStr">
        <is>
          <t>Nazwa/rodzaj</t>
        </is>
      </c>
      <c r="BR2" s="4" t="inlineStr">
        <is>
          <t>Liczba [szt.]</t>
        </is>
      </c>
      <c r="BS2" s="4" t="inlineStr">
        <is>
          <t>Wartość jednostkowa [PLN]</t>
        </is>
      </c>
      <c r="BT2" s="4" t="inlineStr">
        <is>
          <t>Razem [PLN]</t>
        </is>
      </c>
      <c r="BU2" s="4" t="inlineStr">
        <is>
          <t>Nazwa/rodzaj</t>
        </is>
      </c>
      <c r="BV2" s="4" t="inlineStr">
        <is>
          <t>Liczba [szt.]</t>
        </is>
      </c>
      <c r="BW2" s="4" t="inlineStr">
        <is>
          <t>Wartość jednostkowa [PLN]</t>
        </is>
      </c>
      <c r="BX2" s="4" t="inlineStr">
        <is>
          <t>Razem [PLN]</t>
        </is>
      </c>
      <c r="BY2" s="665" t="n"/>
    </row>
    <row r="3" ht="16.2" customFormat="1" customHeight="1" s="141" thickBot="1">
      <c r="A3" s="110" t="inlineStr">
        <is>
          <t>.z12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202" t="n"/>
      <c r="G3" s="202" t="n"/>
      <c r="H3" s="203" t="n"/>
      <c r="I3" s="203" t="n"/>
      <c r="J3" s="172" t="n"/>
      <c r="K3" s="172" t="n"/>
      <c r="L3" s="172" t="n"/>
      <c r="M3" s="172" t="n"/>
      <c r="N3" s="172" t="n"/>
      <c r="P3" s="204" t="n"/>
      <c r="Q3" s="204" t="n"/>
      <c r="R3" s="204" t="n"/>
      <c r="S3" s="204" t="n"/>
      <c r="T3" s="204" t="n"/>
      <c r="U3" s="204" t="n"/>
      <c r="V3" s="205" t="n"/>
      <c r="W3" s="205" t="n"/>
      <c r="X3" s="205" t="n"/>
      <c r="Y3" s="205" t="n"/>
      <c r="Z3" s="303" t="n"/>
      <c r="AA3" s="303" t="n"/>
      <c r="AB3" s="303" t="n"/>
      <c r="AC3" s="303" t="n"/>
      <c r="AD3" s="204" t="n"/>
      <c r="AE3" s="204" t="n"/>
      <c r="AF3" s="204" t="n"/>
      <c r="AG3" s="204" t="n"/>
      <c r="AH3" s="204" t="n"/>
      <c r="AI3" s="204" t="n"/>
      <c r="AJ3" s="205" t="n"/>
      <c r="AK3" s="205" t="n"/>
      <c r="AL3" s="205" t="n"/>
      <c r="AM3" s="245" t="n"/>
      <c r="AN3" s="303" t="n"/>
      <c r="AO3" s="303" t="n"/>
      <c r="AP3" s="303" t="n"/>
      <c r="AQ3" s="303" t="n"/>
      <c r="AR3" s="206" t="n"/>
      <c r="AS3" s="206" t="n"/>
      <c r="AT3" s="207" t="n"/>
      <c r="AU3" s="208" t="n"/>
      <c r="AV3" s="175" t="n"/>
      <c r="AW3" s="4" t="n"/>
      <c r="AX3" s="3" t="n"/>
      <c r="AY3" s="3" t="n"/>
      <c r="AZ3" s="4" t="n"/>
      <c r="BA3" s="4" t="n"/>
      <c r="BB3" s="3" t="n"/>
      <c r="BC3" s="174" t="n"/>
      <c r="BD3" s="4" t="n"/>
      <c r="BE3" s="209" t="n"/>
      <c r="BF3" s="483" t="n"/>
      <c r="BG3" s="210" t="n"/>
      <c r="BH3" s="209" t="n"/>
      <c r="BI3" s="483" t="n"/>
      <c r="BJ3" s="210" t="n"/>
      <c r="BK3" s="209" t="n"/>
      <c r="BL3" s="483" t="n"/>
      <c r="BM3" s="483" t="n"/>
      <c r="BN3" s="210" t="n"/>
      <c r="BO3" s="4" t="n"/>
      <c r="BP3" s="4" t="n"/>
      <c r="BQ3" s="483" t="n"/>
      <c r="BR3" s="4" t="n"/>
      <c r="BS3" s="4" t="n"/>
      <c r="BT3" s="4" t="n"/>
      <c r="BU3" s="483" t="n"/>
      <c r="BV3" s="4" t="n"/>
      <c r="BW3" s="4" t="n"/>
      <c r="BX3" s="4" t="n"/>
      <c r="BY3" s="483" t="n"/>
      <c r="BZ3" s="659" t="n"/>
    </row>
    <row r="4" ht="15" customHeight="1" s="191" thickBot="1">
      <c r="A4" s="118" t="n">
        <v>1</v>
      </c>
      <c r="B4" s="85" t="n"/>
      <c r="C4" s="102" t="n"/>
      <c r="D4" s="115" t="n"/>
      <c r="E4" s="121" t="n"/>
      <c r="F4" s="148" t="n"/>
      <c r="G4" s="148" t="n"/>
      <c r="H4" s="51" t="n"/>
      <c r="I4" s="85" t="inlineStr">
        <is>
          <t>ACT</t>
        </is>
      </c>
      <c r="J4" s="90" t="n"/>
      <c r="K4" s="90" t="n"/>
      <c r="L4" s="90" t="n"/>
      <c r="M4" s="90" t="n"/>
      <c r="N4" s="11" t="n"/>
      <c r="O4" s="11">
        <f>SUM(O5:O10)</f>
        <v/>
      </c>
      <c r="P4" s="468" t="n"/>
      <c r="Q4" s="468" t="n"/>
      <c r="R4" s="468" t="n"/>
      <c r="S4" s="468" t="n"/>
      <c r="T4" s="130" t="n"/>
      <c r="U4" s="130" t="n"/>
      <c r="V4" s="468" t="n"/>
      <c r="W4" s="468" t="n"/>
      <c r="X4" s="468" t="n"/>
      <c r="Y4" s="148" t="n"/>
      <c r="Z4" s="173" t="n"/>
      <c r="AA4" s="173" t="n"/>
      <c r="AB4" s="173" t="n"/>
      <c r="AC4" s="173" t="n"/>
      <c r="AD4" s="148" t="n"/>
      <c r="AE4" s="148" t="n"/>
      <c r="AF4" s="148" t="n"/>
      <c r="AG4" s="148" t="n"/>
      <c r="AH4" s="190" t="n"/>
      <c r="AI4" s="190" t="n"/>
      <c r="AJ4" s="148" t="n"/>
      <c r="AK4" s="148" t="n"/>
      <c r="AL4" s="148" t="n"/>
      <c r="AM4" s="148" t="n"/>
      <c r="AN4" s="148" t="n"/>
      <c r="AO4" s="148" t="n"/>
      <c r="AP4" s="148" t="n"/>
      <c r="AQ4" s="148" t="n"/>
      <c r="AR4" s="148" t="n"/>
      <c r="AS4" s="148" t="n"/>
      <c r="AT4" s="148" t="n"/>
      <c r="AU4" s="663" t="n"/>
      <c r="AV4" s="14">
        <f>AV5+AV6+AV7+AV8+AV9+AV10</f>
        <v/>
      </c>
      <c r="AW4" s="528" t="n"/>
      <c r="AX4" s="528" t="n"/>
      <c r="AY4" s="528" t="n"/>
      <c r="AZ4" s="528" t="n"/>
      <c r="BA4" s="528" t="n"/>
      <c r="BB4" s="528" t="n"/>
      <c r="BC4" s="14">
        <f>BC5+BC6+BC7+BC8+BC9+BC10</f>
        <v/>
      </c>
      <c r="BD4" s="528" t="n"/>
      <c r="BE4" s="51" t="n"/>
      <c r="BF4" s="14">
        <f>BF5+BF6+BF7+BF9+BF8+BF10</f>
        <v/>
      </c>
      <c r="BG4" s="399" t="n"/>
      <c r="BH4" s="51" t="n"/>
      <c r="BI4" s="14">
        <f>BI5+BI6+BI7+BI9+BI8+BI10</f>
        <v/>
      </c>
      <c r="BJ4" s="399" t="n"/>
      <c r="BK4" s="51" t="n"/>
      <c r="BL4" s="14">
        <f>BL5+BL6+BL7+BL9+BL8+BL10</f>
        <v/>
      </c>
      <c r="BM4" s="14">
        <f>BM5+BM6+BM7+BM9+BM8+BM10</f>
        <v/>
      </c>
      <c r="BN4" s="399" t="n"/>
      <c r="BO4" s="528" t="n"/>
      <c r="BP4" s="528" t="n"/>
      <c r="BQ4" s="14">
        <f>BQ5+BQ6+BQ7+BQ8+BQ9+BQ10</f>
        <v/>
      </c>
      <c r="BR4" s="528" t="n"/>
      <c r="BS4" s="528" t="n"/>
      <c r="BT4" s="528" t="n"/>
      <c r="BU4" s="14">
        <f>BU5+BU6+BU7+BU8+BU9+BU10</f>
        <v/>
      </c>
      <c r="BV4" s="528" t="n"/>
      <c r="BW4" s="528" t="n"/>
      <c r="BX4" s="528" t="n"/>
      <c r="BY4" s="14">
        <f>BY5+BY6+BY7+BY8+BY9+BY10</f>
        <v/>
      </c>
      <c r="BZ4" s="40">
        <f>AS4+AV4+BC4+BF4+BI4+BL4+BM4+BQ4+BU4+BY4</f>
        <v/>
      </c>
    </row>
    <row r="5">
      <c r="A5" s="112" t="n">
        <v>1</v>
      </c>
      <c r="B5" s="64" t="inlineStr">
        <is>
          <t>a</t>
        </is>
      </c>
      <c r="C5" s="105" t="n">
        <v>1</v>
      </c>
      <c r="D5" s="116">
        <f>CONCATENATE(A$3,"_",A5,"_",B5,"_",C5)</f>
        <v/>
      </c>
      <c r="E5" s="122" t="n"/>
      <c r="F5" s="528">
        <f>IFERROR(VLOOKUP($I5,Listy!$A:$H,2,FALSE),"XXX")</f>
        <v/>
      </c>
      <c r="G5" s="528">
        <f>IFERROR(VLOOKUP($I5,Listy!$A:$H,3,FALSE),"XXX")</f>
        <v/>
      </c>
      <c r="H5" s="20" t="n">
        <v>1</v>
      </c>
      <c r="I5" s="89" t="inlineStr">
        <is>
          <t>.a01</t>
        </is>
      </c>
      <c r="J5" s="91" t="inlineStr">
        <is>
          <t>.m01</t>
        </is>
      </c>
      <c r="K5" s="681">
        <f>VLOOKUP(J5,Listy!A:B,2,FALSE)</f>
        <v/>
      </c>
      <c r="L5" s="91" t="inlineStr">
        <is>
          <t>.m02</t>
        </is>
      </c>
      <c r="M5" s="681">
        <f>VLOOKUP(L5,Listy!A:B,2,FALSE)</f>
        <v/>
      </c>
      <c r="N5" s="528" t="n">
        <v>3</v>
      </c>
      <c r="O5" s="528">
        <f>N5*40</f>
        <v/>
      </c>
      <c r="P5" s="187" t="n">
        <v>1</v>
      </c>
      <c r="Q5" s="187" t="n"/>
      <c r="R5" s="187" t="n"/>
      <c r="S5" s="187" t="n"/>
      <c r="T5" s="187" t="n"/>
      <c r="U5" s="187" t="n"/>
      <c r="V5" s="292" t="n">
        <v>0</v>
      </c>
      <c r="W5" s="292" t="n">
        <v>0</v>
      </c>
      <c r="X5" s="292" t="n">
        <v>0</v>
      </c>
      <c r="Y5" s="292" t="n">
        <v>0</v>
      </c>
      <c r="Z5" s="304" t="n"/>
      <c r="AA5" s="304" t="n"/>
      <c r="AB5" s="304" t="n"/>
      <c r="AC5" s="304" t="n"/>
      <c r="AD5" s="192">
        <f>ROUND($O5*P5,0)</f>
        <v/>
      </c>
      <c r="AE5" s="192">
        <f>ROUND($O5*Q5,0)</f>
        <v/>
      </c>
      <c r="AF5" s="192">
        <f>ROUND($O5*R5,0)</f>
        <v/>
      </c>
      <c r="AG5" s="192">
        <f>ROUND($O5*S5,0)</f>
        <v/>
      </c>
      <c r="AH5" s="192" t="n"/>
      <c r="AI5" s="192" t="n"/>
      <c r="AJ5" s="193">
        <f>ROUND($O5*V5,0)</f>
        <v/>
      </c>
      <c r="AK5" s="193">
        <f>ROUND($O5*W5,0)</f>
        <v/>
      </c>
      <c r="AL5" s="193">
        <f>ROUND($O5*X5,0)</f>
        <v/>
      </c>
      <c r="AM5" s="307">
        <f>ROUND($O5*Y5,0)</f>
        <v/>
      </c>
      <c r="AN5" s="304" t="n"/>
      <c r="AO5" s="304" t="n"/>
      <c r="AP5" s="304" t="n"/>
      <c r="AQ5" s="304" t="n"/>
      <c r="AR5" s="233">
        <f>SUM(P5:AC5)</f>
        <v/>
      </c>
      <c r="AS5" s="87" t="n"/>
      <c r="AT5" s="528">
        <f>O5/160</f>
        <v/>
      </c>
      <c r="AU5" s="528" t="n"/>
      <c r="AV5" s="21">
        <f>AT5*AU5</f>
        <v/>
      </c>
      <c r="AW5" s="528" t="n"/>
      <c r="AX5" s="528" t="n"/>
      <c r="AY5" s="528" t="n"/>
      <c r="AZ5" s="528" t="n"/>
      <c r="BA5" s="528" t="n"/>
      <c r="BB5" s="528" t="n"/>
      <c r="BC5" s="21">
        <f>BA5*BB5</f>
        <v/>
      </c>
      <c r="BD5" s="528" t="n"/>
      <c r="BE5" s="528" t="n"/>
      <c r="BF5" s="21" t="n"/>
      <c r="BG5" s="528" t="n"/>
      <c r="BH5" s="528" t="n"/>
      <c r="BI5" s="21" t="n"/>
      <c r="BJ5" s="528" t="n"/>
      <c r="BK5" s="528" t="n"/>
      <c r="BL5" s="21" t="n"/>
      <c r="BM5" s="21" t="n"/>
      <c r="BN5" s="528" t="n"/>
      <c r="BO5" s="528" t="n"/>
      <c r="BP5" s="528" t="n"/>
      <c r="BQ5" s="21">
        <f>BO5*BP5</f>
        <v/>
      </c>
      <c r="BR5" s="528" t="n"/>
      <c r="BS5" s="528" t="n"/>
      <c r="BT5" s="528" t="n"/>
      <c r="BU5" s="21">
        <f>BS5*BT5</f>
        <v/>
      </c>
      <c r="BV5" s="528" t="n"/>
      <c r="BW5" s="528" t="n"/>
      <c r="BX5" s="528" t="n"/>
      <c r="BY5" s="21">
        <f>BW5*BX5</f>
        <v/>
      </c>
    </row>
    <row r="6">
      <c r="A6" s="112" t="n">
        <v>1</v>
      </c>
      <c r="B6" s="64" t="inlineStr">
        <is>
          <t>b</t>
        </is>
      </c>
      <c r="C6" s="105" t="n">
        <v>1</v>
      </c>
      <c r="D6" s="116">
        <f>CONCATENATE(A$3,"_",A6,"_",B6,"_",C6)</f>
        <v/>
      </c>
      <c r="E6" s="122" t="n"/>
      <c r="F6" s="528">
        <f>IFERROR(VLOOKUP($I6,Listy!$A:$H,2,FALSE),"XXX")</f>
        <v/>
      </c>
      <c r="G6" s="528">
        <f>IFERROR(VLOOKUP($I6,Listy!$A:$H,3,FALSE),"XXX")</f>
        <v/>
      </c>
      <c r="H6" s="20" t="n">
        <v>1</v>
      </c>
      <c r="I6" s="89" t="inlineStr">
        <is>
          <t>.a02</t>
        </is>
      </c>
      <c r="J6" s="91" t="inlineStr">
        <is>
          <t>.m01</t>
        </is>
      </c>
      <c r="K6" s="681">
        <f>VLOOKUP(J6,Listy!A:B,2,FALSE)</f>
        <v/>
      </c>
      <c r="L6" s="91" t="inlineStr">
        <is>
          <t>.m03</t>
        </is>
      </c>
      <c r="M6" s="681">
        <f>VLOOKUP(L6,Listy!A:B,2,FALSE)</f>
        <v/>
      </c>
      <c r="N6" s="528" t="n">
        <v>3</v>
      </c>
      <c r="O6" s="528">
        <f>N6*40</f>
        <v/>
      </c>
      <c r="P6" s="187" t="n"/>
      <c r="Q6" s="187" t="n">
        <v>1</v>
      </c>
      <c r="R6" s="187" t="n"/>
      <c r="S6" s="187" t="n"/>
      <c r="T6" s="187" t="n"/>
      <c r="U6" s="187" t="n"/>
      <c r="V6" s="292" t="n">
        <v>0</v>
      </c>
      <c r="W6" s="292" t="n">
        <v>0</v>
      </c>
      <c r="X6" s="292" t="n">
        <v>0</v>
      </c>
      <c r="Y6" s="292" t="n">
        <v>0</v>
      </c>
      <c r="Z6" s="305" t="n"/>
      <c r="AA6" s="305" t="n"/>
      <c r="AB6" s="305" t="n"/>
      <c r="AC6" s="305" t="n"/>
      <c r="AD6" s="192">
        <f>ROUND($O6*P6,0)</f>
        <v/>
      </c>
      <c r="AE6" s="192">
        <f>ROUND($O6*Q6,0)</f>
        <v/>
      </c>
      <c r="AF6" s="192">
        <f>ROUND($O6*R6,0)</f>
        <v/>
      </c>
      <c r="AG6" s="192">
        <f>ROUND($O6*S6,0)</f>
        <v/>
      </c>
      <c r="AH6" s="192" t="n"/>
      <c r="AI6" s="192" t="n"/>
      <c r="AJ6" s="193">
        <f>ROUND($O6*V6,0)</f>
        <v/>
      </c>
      <c r="AK6" s="193">
        <f>ROUND($O6*W6,0)</f>
        <v/>
      </c>
      <c r="AL6" s="193">
        <f>ROUND($O6*X6,0)</f>
        <v/>
      </c>
      <c r="AM6" s="193">
        <f>ROUND($O6*Y6,0)</f>
        <v/>
      </c>
      <c r="AN6" s="306">
        <f>ROUND($O6*Z6,0)</f>
        <v/>
      </c>
      <c r="AO6" s="306">
        <f>ROUND($O6*AA6,0)</f>
        <v/>
      </c>
      <c r="AP6" s="306">
        <f>ROUND($O6*AB6,0)</f>
        <v/>
      </c>
      <c r="AQ6" s="306">
        <f>ROUND($O6*AC6,0)</f>
        <v/>
      </c>
      <c r="AR6" s="233">
        <f>SUM(P6:AC6)</f>
        <v/>
      </c>
      <c r="AS6" s="21" t="n"/>
      <c r="AT6" s="528">
        <f>O6/160</f>
        <v/>
      </c>
      <c r="AU6" s="528" t="n"/>
      <c r="AV6" s="21">
        <f>AT6*AU6</f>
        <v/>
      </c>
      <c r="AW6" s="528" t="n"/>
      <c r="AX6" s="528" t="n"/>
      <c r="AY6" s="528" t="n"/>
      <c r="AZ6" s="528" t="n"/>
      <c r="BA6" s="528" t="n"/>
      <c r="BB6" s="528" t="n"/>
      <c r="BC6" s="21">
        <f>BA6*BB6</f>
        <v/>
      </c>
      <c r="BD6" s="528" t="n"/>
      <c r="BE6" s="528" t="n"/>
      <c r="BF6" s="528" t="n"/>
      <c r="BG6" s="528" t="n"/>
      <c r="BH6" s="528" t="n"/>
      <c r="BI6" s="528" t="n"/>
      <c r="BJ6" s="528" t="n"/>
      <c r="BK6" s="528" t="n"/>
      <c r="BL6" s="528" t="n"/>
      <c r="BM6" s="528" t="n"/>
      <c r="BN6" s="528" t="n"/>
      <c r="BO6" s="528" t="n"/>
      <c r="BP6" s="528" t="n"/>
      <c r="BQ6" s="21">
        <f>BO6*BP6</f>
        <v/>
      </c>
      <c r="BR6" s="528" t="n"/>
      <c r="BS6" s="528" t="n"/>
      <c r="BT6" s="528" t="n"/>
      <c r="BU6" s="21">
        <f>BS6*BT6</f>
        <v/>
      </c>
      <c r="BV6" s="528" t="n"/>
      <c r="BW6" s="528" t="n"/>
      <c r="BX6" s="528" t="n"/>
      <c r="BY6" s="21">
        <f>BW6*BX6</f>
        <v/>
      </c>
    </row>
    <row r="7">
      <c r="A7" s="112" t="n">
        <v>1</v>
      </c>
      <c r="B7" s="64" t="inlineStr">
        <is>
          <t>c</t>
        </is>
      </c>
      <c r="C7" s="105" t="n">
        <v>1</v>
      </c>
      <c r="D7" s="116">
        <f>CONCATENATE(A$3,"_",A7,"_",B7,"_",C7)</f>
        <v/>
      </c>
      <c r="E7" s="122" t="n"/>
      <c r="F7" s="528">
        <f>IFERROR(VLOOKUP($I7,Listy!$A:$H,2,FALSE),"XXX")</f>
        <v/>
      </c>
      <c r="G7" s="528">
        <f>IFERROR(VLOOKUP($I7,Listy!$A:$H,3,FALSE),"XXX")</f>
        <v/>
      </c>
      <c r="H7" s="20" t="n">
        <v>2</v>
      </c>
      <c r="I7" s="89" t="inlineStr">
        <is>
          <t>.a03</t>
        </is>
      </c>
      <c r="J7" s="91" t="inlineStr">
        <is>
          <t>.m01</t>
        </is>
      </c>
      <c r="K7" s="681">
        <f>VLOOKUP(J7,Listy!A:B,2,FALSE)</f>
        <v/>
      </c>
      <c r="L7" s="91" t="inlineStr">
        <is>
          <t>.m04</t>
        </is>
      </c>
      <c r="M7" s="681">
        <f>VLOOKUP(L7,Listy!A:B,2,FALSE)</f>
        <v/>
      </c>
      <c r="N7" s="528" t="n">
        <v>3</v>
      </c>
      <c r="O7" s="528">
        <f>N7*40</f>
        <v/>
      </c>
      <c r="P7" s="187" t="n"/>
      <c r="Q7" s="187" t="n"/>
      <c r="R7" s="187" t="n">
        <v>1</v>
      </c>
      <c r="S7" s="187" t="n"/>
      <c r="T7" s="187" t="n"/>
      <c r="U7" s="187" t="n"/>
      <c r="V7" s="292" t="n">
        <v>0</v>
      </c>
      <c r="W7" s="292" t="n">
        <v>0</v>
      </c>
      <c r="X7" s="292" t="n">
        <v>0</v>
      </c>
      <c r="Y7" s="292" t="n">
        <v>0</v>
      </c>
      <c r="Z7" s="305" t="n"/>
      <c r="AA7" s="305" t="n"/>
      <c r="AB7" s="305" t="n"/>
      <c r="AC7" s="305" t="n"/>
      <c r="AD7" s="192">
        <f>ROUND($O7*P7,0)</f>
        <v/>
      </c>
      <c r="AE7" s="192">
        <f>ROUND($O7*Q7,0)</f>
        <v/>
      </c>
      <c r="AF7" s="192">
        <f>ROUND($O7*R7,0)</f>
        <v/>
      </c>
      <c r="AG7" s="192">
        <f>ROUND($O7*S7,0)</f>
        <v/>
      </c>
      <c r="AH7" s="192" t="n"/>
      <c r="AI7" s="192" t="n"/>
      <c r="AJ7" s="193">
        <f>ROUND($O7*V7,0)</f>
        <v/>
      </c>
      <c r="AK7" s="193">
        <f>ROUND($O7*W7,0)</f>
        <v/>
      </c>
      <c r="AL7" s="193">
        <f>ROUND($O7*X7,0)</f>
        <v/>
      </c>
      <c r="AM7" s="193">
        <f>ROUND($O7*Y7,0)</f>
        <v/>
      </c>
      <c r="AN7" s="306">
        <f>ROUND($O7*Z7,0)</f>
        <v/>
      </c>
      <c r="AO7" s="306">
        <f>ROUND($O7*AA7,0)</f>
        <v/>
      </c>
      <c r="AP7" s="306">
        <f>ROUND($O7*AB7,0)</f>
        <v/>
      </c>
      <c r="AQ7" s="306">
        <f>ROUND($O7*AC7,0)</f>
        <v/>
      </c>
      <c r="AR7" s="233">
        <f>SUM(P7:AC7)</f>
        <v/>
      </c>
      <c r="AS7" s="21" t="n"/>
      <c r="AT7" s="528">
        <f>O7/160</f>
        <v/>
      </c>
      <c r="AU7" s="528" t="n"/>
      <c r="AV7" s="21">
        <f>AT7*AU7</f>
        <v/>
      </c>
      <c r="AW7" s="528" t="n"/>
      <c r="AX7" s="528" t="n"/>
      <c r="AY7" s="528" t="n"/>
      <c r="AZ7" s="528" t="n"/>
      <c r="BA7" s="528" t="n"/>
      <c r="BB7" s="528" t="n"/>
      <c r="BC7" s="21">
        <f>BA7*BB7</f>
        <v/>
      </c>
      <c r="BD7" s="528" t="n"/>
      <c r="BE7" s="528" t="n"/>
      <c r="BF7" s="528" t="n"/>
      <c r="BG7" s="528" t="n"/>
      <c r="BH7" s="528" t="n"/>
      <c r="BI7" s="528" t="n"/>
      <c r="BJ7" s="528" t="n"/>
      <c r="BK7" s="528" t="n"/>
      <c r="BL7" s="528" t="n"/>
      <c r="BM7" s="528" t="n"/>
      <c r="BN7" s="528" t="n"/>
      <c r="BO7" s="528" t="n"/>
      <c r="BP7" s="528" t="n"/>
      <c r="BQ7" s="21">
        <f>BO7*BP7</f>
        <v/>
      </c>
      <c r="BR7" s="528" t="n"/>
      <c r="BS7" s="528" t="n"/>
      <c r="BT7" s="528" t="n"/>
      <c r="BU7" s="21">
        <f>BS7*BT7</f>
        <v/>
      </c>
      <c r="BV7" s="528" t="n"/>
      <c r="BW7" s="528" t="n"/>
      <c r="BX7" s="528" t="n"/>
      <c r="BY7" s="21">
        <f>BW7*BX7</f>
        <v/>
      </c>
    </row>
    <row r="8">
      <c r="A8" s="112" t="n">
        <v>1</v>
      </c>
      <c r="B8" s="64" t="inlineStr">
        <is>
          <t>d</t>
        </is>
      </c>
      <c r="C8" s="105" t="n">
        <v>1</v>
      </c>
      <c r="D8" s="116">
        <f>CONCATENATE(A$3,"_",A8,"_",B8,"_",C8)</f>
        <v/>
      </c>
      <c r="E8" s="122" t="n"/>
      <c r="F8" s="528">
        <f>IFERROR(VLOOKUP($I8,Listy!$A:$H,2,FALSE),"XXX")</f>
        <v/>
      </c>
      <c r="G8" s="528">
        <f>IFERROR(VLOOKUP($I8,Listy!$A:$H,3,FALSE),"XXX")</f>
        <v/>
      </c>
      <c r="H8" s="20" t="n">
        <v>1</v>
      </c>
      <c r="I8" s="89" t="inlineStr">
        <is>
          <t>.a01</t>
        </is>
      </c>
      <c r="J8" s="91" t="inlineStr">
        <is>
          <t>.m01</t>
        </is>
      </c>
      <c r="K8" s="681">
        <f>VLOOKUP(J8,Listy!A:B,2,FALSE)</f>
        <v/>
      </c>
      <c r="L8" s="91" t="inlineStr">
        <is>
          <t>.m12</t>
        </is>
      </c>
      <c r="M8" s="681">
        <f>VLOOKUP(L8,Listy!A:B,2,FALSE)</f>
        <v/>
      </c>
      <c r="N8" s="528" t="n">
        <v>3</v>
      </c>
      <c r="O8" s="528">
        <f>N8*40</f>
        <v/>
      </c>
      <c r="P8" s="187" t="n"/>
      <c r="Q8" s="187" t="n"/>
      <c r="R8" s="187" t="n"/>
      <c r="S8" s="187" t="n">
        <v>0.5</v>
      </c>
      <c r="T8" s="187" t="n"/>
      <c r="U8" s="187" t="n"/>
      <c r="V8" s="292" t="n">
        <v>0</v>
      </c>
      <c r="W8" s="292" t="n">
        <v>0</v>
      </c>
      <c r="X8" s="292" t="n">
        <v>0</v>
      </c>
      <c r="Y8" s="292" t="n">
        <v>0</v>
      </c>
      <c r="Z8" s="305" t="n"/>
      <c r="AA8" s="305" t="n"/>
      <c r="AB8" s="305" t="n"/>
      <c r="AC8" s="305" t="n"/>
      <c r="AD8" s="192">
        <f>ROUND($O8*P8,0)</f>
        <v/>
      </c>
      <c r="AE8" s="192">
        <f>ROUND($O8*Q8,0)</f>
        <v/>
      </c>
      <c r="AF8" s="192">
        <f>ROUND($O8*R8,0)</f>
        <v/>
      </c>
      <c r="AG8" s="192">
        <f>ROUND($O8*S8,0)</f>
        <v/>
      </c>
      <c r="AH8" s="192" t="n"/>
      <c r="AI8" s="192" t="n"/>
      <c r="AJ8" s="193">
        <f>ROUND($O8*V8,0)</f>
        <v/>
      </c>
      <c r="AK8" s="193">
        <f>ROUND($O8*W8,0)</f>
        <v/>
      </c>
      <c r="AL8" s="193">
        <f>ROUND($O8*X8,0)</f>
        <v/>
      </c>
      <c r="AM8" s="193">
        <f>ROUND($O8*Y8,0)</f>
        <v/>
      </c>
      <c r="AN8" s="306">
        <f>ROUND($O8*Z8,0)</f>
        <v/>
      </c>
      <c r="AO8" s="306">
        <f>ROUND($O8*AA8,0)</f>
        <v/>
      </c>
      <c r="AP8" s="306">
        <f>ROUND($O8*AB8,0)</f>
        <v/>
      </c>
      <c r="AQ8" s="306">
        <f>ROUND($O8*AC8,0)</f>
        <v/>
      </c>
      <c r="AR8" s="233">
        <f>SUM(P8:AC8)</f>
        <v/>
      </c>
      <c r="AS8" s="21" t="n"/>
      <c r="AT8" s="528">
        <f>O8/160</f>
        <v/>
      </c>
      <c r="AU8" s="528" t="n"/>
      <c r="AV8" s="21">
        <f>AT8*AU8</f>
        <v/>
      </c>
      <c r="AW8" s="528" t="n"/>
      <c r="AX8" s="528" t="n"/>
      <c r="AY8" s="528" t="n"/>
      <c r="AZ8" s="528" t="n"/>
      <c r="BA8" s="528" t="n"/>
      <c r="BB8" s="528" t="n"/>
      <c r="BC8" s="21">
        <f>BA8*BB8</f>
        <v/>
      </c>
      <c r="BD8" s="528" t="n"/>
      <c r="BE8" s="528" t="n"/>
      <c r="BF8" s="528" t="n"/>
      <c r="BG8" s="528" t="n"/>
      <c r="BH8" s="528" t="n"/>
      <c r="BI8" s="528" t="n"/>
      <c r="BJ8" s="528" t="n"/>
      <c r="BK8" s="528" t="n"/>
      <c r="BL8" s="528" t="n"/>
      <c r="BM8" s="528" t="n"/>
      <c r="BN8" s="528" t="n"/>
      <c r="BO8" s="528" t="n"/>
      <c r="BP8" s="528" t="n"/>
      <c r="BQ8" s="21">
        <f>BO8*BP8</f>
        <v/>
      </c>
      <c r="BR8" s="528" t="n"/>
      <c r="BS8" s="528" t="n"/>
      <c r="BT8" s="528" t="n"/>
      <c r="BU8" s="21">
        <f>BS8*BT8</f>
        <v/>
      </c>
      <c r="BV8" s="528" t="n"/>
      <c r="BW8" s="528" t="n"/>
      <c r="BX8" s="528" t="n"/>
      <c r="BY8" s="21">
        <f>BW8*BX8</f>
        <v/>
      </c>
    </row>
    <row r="9">
      <c r="A9" s="112" t="n">
        <v>1</v>
      </c>
      <c r="B9" s="64" t="inlineStr">
        <is>
          <t>e</t>
        </is>
      </c>
      <c r="C9" s="105" t="n">
        <v>1</v>
      </c>
      <c r="D9" s="116">
        <f>CONCATENATE(A$3,"_",A9,"_",B9,"_",C9)</f>
        <v/>
      </c>
      <c r="E9" s="122" t="n"/>
      <c r="F9" s="528">
        <f>IFERROR(VLOOKUP($I9,Listy!$A:$H,2,FALSE),"XXX")</f>
        <v/>
      </c>
      <c r="G9" s="528">
        <f>IFERROR(VLOOKUP($I9,Listy!$A:$H,3,FALSE),"XXX")</f>
        <v/>
      </c>
      <c r="H9" s="20" t="n">
        <v>1</v>
      </c>
      <c r="I9" s="89" t="inlineStr">
        <is>
          <t>.a03</t>
        </is>
      </c>
      <c r="J9" s="91" t="inlineStr">
        <is>
          <t>.m01</t>
        </is>
      </c>
      <c r="K9" s="681">
        <f>VLOOKUP(J9,Listy!A:B,2,FALSE)</f>
        <v/>
      </c>
      <c r="L9" s="91" t="inlineStr">
        <is>
          <t>.m13</t>
        </is>
      </c>
      <c r="M9" s="681">
        <f>VLOOKUP(L9,Listy!A:B,2,FALSE)</f>
        <v/>
      </c>
      <c r="N9" s="528" t="n">
        <v>3</v>
      </c>
      <c r="O9" s="528">
        <f>N9*40</f>
        <v/>
      </c>
      <c r="P9" s="187" t="n"/>
      <c r="Q9" s="187" t="n"/>
      <c r="R9" s="187" t="n">
        <v>1</v>
      </c>
      <c r="S9" s="187" t="n"/>
      <c r="T9" s="187" t="n"/>
      <c r="U9" s="187" t="n"/>
      <c r="V9" s="292" t="n">
        <v>0</v>
      </c>
      <c r="W9" s="292" t="n">
        <v>0</v>
      </c>
      <c r="X9" s="292" t="n">
        <v>0</v>
      </c>
      <c r="Y9" s="292" t="n">
        <v>0</v>
      </c>
      <c r="Z9" s="305" t="n"/>
      <c r="AA9" s="305" t="n"/>
      <c r="AB9" s="305" t="n"/>
      <c r="AC9" s="305" t="n"/>
      <c r="AD9" s="192">
        <f>ROUND($O9*P9,0)</f>
        <v/>
      </c>
      <c r="AE9" s="192">
        <f>ROUND($O9*Q9,0)</f>
        <v/>
      </c>
      <c r="AF9" s="192">
        <f>ROUND($O9*R9,0)</f>
        <v/>
      </c>
      <c r="AG9" s="192">
        <f>ROUND($O9*S9,0)</f>
        <v/>
      </c>
      <c r="AH9" s="192" t="n"/>
      <c r="AI9" s="192" t="n"/>
      <c r="AJ9" s="193">
        <f>ROUND($O9*V9,0)</f>
        <v/>
      </c>
      <c r="AK9" s="193">
        <f>ROUND($O9*W9,0)</f>
        <v/>
      </c>
      <c r="AL9" s="193">
        <f>ROUND($O9*X9,0)</f>
        <v/>
      </c>
      <c r="AM9" s="193">
        <f>ROUND($O9*Y9,0)</f>
        <v/>
      </c>
      <c r="AN9" s="306">
        <f>ROUND($O9*Z9,0)</f>
        <v/>
      </c>
      <c r="AO9" s="306">
        <f>ROUND($O9*AA9,0)</f>
        <v/>
      </c>
      <c r="AP9" s="306">
        <f>ROUND($O9*AB9,0)</f>
        <v/>
      </c>
      <c r="AQ9" s="306">
        <f>ROUND($O9*AC9,0)</f>
        <v/>
      </c>
      <c r="AR9" s="233">
        <f>SUM(P9:AC9)</f>
        <v/>
      </c>
      <c r="AS9" s="21" t="n"/>
      <c r="AT9" s="528">
        <f>O9/160</f>
        <v/>
      </c>
      <c r="AU9" s="528" t="n"/>
      <c r="AV9" s="21">
        <f>AT9*AU9</f>
        <v/>
      </c>
      <c r="AW9" s="528" t="n"/>
      <c r="AX9" s="528" t="n"/>
      <c r="AY9" s="528" t="n"/>
      <c r="AZ9" s="528" t="n"/>
      <c r="BA9" s="528" t="n"/>
      <c r="BB9" s="528" t="n"/>
      <c r="BC9" s="21">
        <f>BA9*BB9</f>
        <v/>
      </c>
      <c r="BD9" s="528" t="n"/>
      <c r="BE9" s="528" t="n"/>
      <c r="BF9" s="528" t="n"/>
      <c r="BG9" s="528" t="n"/>
      <c r="BH9" s="528" t="n"/>
      <c r="BI9" s="528" t="n"/>
      <c r="BJ9" s="528" t="n"/>
      <c r="BK9" s="528" t="n"/>
      <c r="BL9" s="528" t="n"/>
      <c r="BM9" s="528" t="n"/>
      <c r="BN9" s="528" t="n"/>
      <c r="BO9" s="528" t="n"/>
      <c r="BP9" s="528" t="n"/>
      <c r="BQ9" s="21">
        <f>BO9*BP9</f>
        <v/>
      </c>
      <c r="BR9" s="528" t="n"/>
      <c r="BS9" s="528" t="n"/>
      <c r="BT9" s="528" t="n"/>
      <c r="BU9" s="21">
        <f>BS9*BT9</f>
        <v/>
      </c>
      <c r="BV9" s="528" t="n"/>
      <c r="BW9" s="528" t="n"/>
      <c r="BX9" s="528" t="n"/>
      <c r="BY9" s="21">
        <f>BW9*BX9</f>
        <v/>
      </c>
    </row>
    <row r="10" ht="15" customHeight="1" s="191" thickBot="1">
      <c r="A10" s="112" t="n">
        <v>1</v>
      </c>
      <c r="B10" s="64" t="inlineStr">
        <is>
          <t>f</t>
        </is>
      </c>
      <c r="C10" s="105" t="n">
        <v>1</v>
      </c>
      <c r="D10" s="116">
        <f>CONCATENATE(A$3,"_",A10,"_",B10,"_",C10)</f>
        <v/>
      </c>
      <c r="E10" s="122" t="n"/>
      <c r="F10" s="528">
        <f>IFERROR(VLOOKUP($I10,Listy!$A:$H,2,FALSE),"XXX")</f>
        <v/>
      </c>
      <c r="G10" s="528">
        <f>IFERROR(VLOOKUP($I10,Listy!$A:$H,3,FALSE),"XXX")</f>
        <v/>
      </c>
      <c r="H10" s="20" t="n">
        <v>2</v>
      </c>
      <c r="I10" s="89" t="inlineStr">
        <is>
          <t>.a04</t>
        </is>
      </c>
      <c r="J10" s="91" t="inlineStr">
        <is>
          <t>.m01</t>
        </is>
      </c>
      <c r="K10" s="681">
        <f>VLOOKUP(J10,Listy!A:B,2,FALSE)</f>
        <v/>
      </c>
      <c r="L10" s="91" t="inlineStr">
        <is>
          <t>.m14</t>
        </is>
      </c>
      <c r="M10" s="681">
        <f>VLOOKUP(L10,Listy!A:B,2,FALSE)</f>
        <v/>
      </c>
      <c r="N10" s="528" t="n">
        <v>3</v>
      </c>
      <c r="O10" s="528">
        <f>N10*40</f>
        <v/>
      </c>
      <c r="P10" s="187" t="n"/>
      <c r="Q10" s="187" t="n"/>
      <c r="R10" s="187" t="n"/>
      <c r="S10" s="187" t="n">
        <v>1</v>
      </c>
      <c r="T10" s="187" t="n"/>
      <c r="U10" s="187" t="n"/>
      <c r="V10" s="292" t="n">
        <v>0</v>
      </c>
      <c r="W10" s="292" t="n">
        <v>0</v>
      </c>
      <c r="X10" s="292" t="n">
        <v>0</v>
      </c>
      <c r="Y10" s="292" t="n">
        <v>0</v>
      </c>
      <c r="Z10" s="305" t="n"/>
      <c r="AA10" s="305" t="n"/>
      <c r="AB10" s="305" t="n"/>
      <c r="AC10" s="305" t="n"/>
      <c r="AD10" s="192">
        <f>ROUND($O10*P10,0)</f>
        <v/>
      </c>
      <c r="AE10" s="192">
        <f>ROUND($O10*Q10,0)</f>
        <v/>
      </c>
      <c r="AF10" s="192">
        <f>ROUND($O10*R10,0)</f>
        <v/>
      </c>
      <c r="AG10" s="192">
        <f>ROUND($O10*S10,0)</f>
        <v/>
      </c>
      <c r="AH10" s="192" t="n"/>
      <c r="AI10" s="192" t="n"/>
      <c r="AJ10" s="193">
        <f>ROUND($O10*V10,0)</f>
        <v/>
      </c>
      <c r="AK10" s="193">
        <f>ROUND($O10*W10,0)</f>
        <v/>
      </c>
      <c r="AL10" s="193">
        <f>ROUND($O10*X10,0)</f>
        <v/>
      </c>
      <c r="AM10" s="193">
        <f>ROUND($O10*Y10,0)</f>
        <v/>
      </c>
      <c r="AN10" s="306">
        <f>ROUND($O10*Z10,0)</f>
        <v/>
      </c>
      <c r="AO10" s="306">
        <f>ROUND($O10*AA10,0)</f>
        <v/>
      </c>
      <c r="AP10" s="306">
        <f>ROUND($O10*AB10,0)</f>
        <v/>
      </c>
      <c r="AQ10" s="306">
        <f>ROUND($O10*AC10,0)</f>
        <v/>
      </c>
      <c r="AR10" s="233">
        <f>SUM(P10:AC10)</f>
        <v/>
      </c>
      <c r="AS10" s="22" t="n"/>
      <c r="AT10" s="528">
        <f>O10/160</f>
        <v/>
      </c>
      <c r="AU10" s="528" t="n"/>
      <c r="AV10" s="22">
        <f>AT10*AU10</f>
        <v/>
      </c>
      <c r="AW10" s="528" t="n"/>
      <c r="AX10" s="528" t="n"/>
      <c r="AY10" s="528" t="n"/>
      <c r="AZ10" s="528" t="n"/>
      <c r="BA10" s="528" t="n"/>
      <c r="BB10" s="528" t="n"/>
      <c r="BC10" s="22">
        <f>BA10*BB10</f>
        <v/>
      </c>
      <c r="BD10" s="528" t="n"/>
      <c r="BE10" s="528" t="n"/>
      <c r="BF10" s="314" t="n"/>
      <c r="BG10" s="528" t="n"/>
      <c r="BH10" s="528" t="n"/>
      <c r="BI10" s="314" t="n"/>
      <c r="BJ10" s="528" t="n"/>
      <c r="BK10" s="528" t="n"/>
      <c r="BL10" s="314" t="n"/>
      <c r="BM10" s="314" t="n"/>
      <c r="BN10" s="528" t="n"/>
      <c r="BO10" s="528" t="n"/>
      <c r="BP10" s="528" t="n"/>
      <c r="BQ10" s="22">
        <f>BO10*BP10</f>
        <v/>
      </c>
      <c r="BR10" s="528" t="n"/>
      <c r="BS10" s="528" t="n"/>
      <c r="BT10" s="528" t="n"/>
      <c r="BU10" s="22">
        <f>BS10*BT10</f>
        <v/>
      </c>
      <c r="BV10" s="528" t="n"/>
      <c r="BW10" s="528" t="n"/>
      <c r="BX10" s="528" t="n"/>
      <c r="BY10" s="22">
        <f>BW10*BX10</f>
        <v/>
      </c>
    </row>
    <row r="11" customFormat="1" s="538">
      <c r="A11" s="308" t="n"/>
      <c r="B11" s="309" t="n"/>
      <c r="C11" s="310" t="n"/>
      <c r="D11" s="311" t="n"/>
      <c r="E11" s="312" t="n"/>
      <c r="F11" s="313" t="n"/>
      <c r="G11" s="313" t="n"/>
      <c r="H11" s="314" t="n"/>
      <c r="I11" s="315" t="n"/>
      <c r="J11" s="316" t="n"/>
      <c r="K11" s="317" t="n"/>
      <c r="L11" s="317" t="n"/>
      <c r="M11" s="317" t="n"/>
      <c r="N11" s="318" t="n"/>
      <c r="O11" s="319" t="n"/>
      <c r="P11" s="320" t="n"/>
      <c r="Q11" s="320" t="n"/>
      <c r="R11" s="320" t="n"/>
      <c r="S11" s="320" t="n"/>
      <c r="T11" s="320" t="n"/>
      <c r="U11" s="320" t="n"/>
      <c r="V11" s="320" t="n"/>
      <c r="W11" s="320" t="n"/>
      <c r="X11" s="320" t="n"/>
      <c r="Y11" s="321" t="n"/>
      <c r="Z11" s="322" t="n"/>
      <c r="AA11" s="322" t="n"/>
      <c r="AB11" s="322" t="n"/>
      <c r="AC11" s="322" t="n"/>
      <c r="AD11" s="323" t="n"/>
      <c r="AE11" s="323" t="n"/>
      <c r="AF11" s="323" t="n"/>
      <c r="AG11" s="323" t="n"/>
      <c r="AH11" s="323" t="n"/>
      <c r="AI11" s="323" t="n"/>
      <c r="AJ11" s="324" t="n"/>
      <c r="AK11" s="324" t="n"/>
      <c r="AL11" s="324" t="n"/>
      <c r="AM11" s="324" t="n"/>
      <c r="AN11" s="325" t="n"/>
      <c r="AO11" s="325" t="n"/>
      <c r="AP11" s="325" t="n"/>
      <c r="AQ11" s="325" t="n"/>
      <c r="AR11" s="326" t="n"/>
      <c r="AS11" s="327" t="n"/>
      <c r="AT11" s="314" t="n"/>
      <c r="AU11" s="314" t="n"/>
      <c r="AV11" s="327" t="n"/>
      <c r="AW11" s="314" t="n"/>
      <c r="AX11" s="314" t="n"/>
      <c r="AY11" s="314" t="n"/>
      <c r="AZ11" s="314" t="n"/>
      <c r="BA11" s="314" t="n"/>
      <c r="BB11" s="314" t="n"/>
      <c r="BC11" s="327" t="n"/>
      <c r="BD11" s="314" t="n"/>
      <c r="BE11" s="314" t="n"/>
      <c r="BF11" s="328" t="n"/>
      <c r="BG11" s="314" t="n"/>
      <c r="BH11" s="314" t="n"/>
      <c r="BI11" s="327" t="n"/>
      <c r="BJ11" s="314" t="n"/>
      <c r="BK11" s="314" t="n"/>
      <c r="BL11" s="327" t="n"/>
      <c r="BM11" s="327" t="n"/>
      <c r="BN11" s="314" t="n"/>
      <c r="BO11" s="314" t="n"/>
      <c r="BP11" s="314" t="n"/>
      <c r="BQ11" s="327" t="n"/>
      <c r="BR11" s="314" t="n"/>
      <c r="BS11" s="314" t="n"/>
      <c r="BT11" s="314" t="n"/>
      <c r="BU11" s="327" t="n"/>
      <c r="BV11" s="314" t="n"/>
      <c r="BW11" s="314" t="n"/>
      <c r="BX11" s="314" t="n"/>
      <c r="BY11" s="327" t="n"/>
      <c r="BZ11" s="329" t="n"/>
    </row>
    <row r="12" customFormat="1" s="538">
      <c r="A12" s="350" t="n"/>
      <c r="B12" s="331" t="n"/>
      <c r="C12" s="332" t="n"/>
      <c r="D12" s="333" t="n"/>
      <c r="E12" s="332" t="n"/>
      <c r="F12" s="336" t="n"/>
      <c r="G12" s="336" t="n"/>
      <c r="H12" s="335" t="n"/>
      <c r="I12" s="336" t="n"/>
      <c r="J12" s="336" t="n"/>
      <c r="K12" s="672" t="n"/>
      <c r="L12" s="672" t="n"/>
      <c r="M12" s="672" t="n"/>
      <c r="N12" s="336" t="n"/>
      <c r="O12" s="336" t="n"/>
      <c r="P12" s="430" t="n"/>
      <c r="Q12" s="430" t="n"/>
      <c r="R12" s="430" t="n"/>
      <c r="S12" s="430" t="n"/>
      <c r="T12" s="430" t="n"/>
      <c r="U12" s="430" t="n"/>
      <c r="V12" s="430" t="n"/>
      <c r="W12" s="430" t="n"/>
      <c r="X12" s="430" t="n"/>
      <c r="Y12" s="430" t="n"/>
      <c r="Z12" s="338" t="n"/>
      <c r="AA12" s="338" t="n"/>
      <c r="AB12" s="338" t="n"/>
      <c r="AC12" s="338" t="n"/>
      <c r="AD12" s="339" t="n"/>
      <c r="AE12" s="339" t="n"/>
      <c r="AF12" s="339" t="n"/>
      <c r="AG12" s="339" t="n"/>
      <c r="AH12" s="339" t="n"/>
      <c r="AI12" s="339" t="n"/>
      <c r="AJ12" s="339" t="n"/>
      <c r="AK12" s="339" t="n"/>
      <c r="AL12" s="339" t="n"/>
      <c r="AM12" s="339" t="n"/>
      <c r="AN12" s="430" t="n"/>
      <c r="AO12" s="430" t="n"/>
      <c r="AP12" s="430" t="n"/>
      <c r="AQ12" s="430" t="n"/>
      <c r="AR12" s="430" t="n"/>
      <c r="AS12" s="336" t="n"/>
      <c r="AT12" s="336" t="n"/>
      <c r="AU12" s="336" t="n"/>
      <c r="AV12" s="336" t="n"/>
      <c r="AW12" s="336" t="n"/>
      <c r="AX12" s="336" t="n"/>
      <c r="AY12" s="336" t="n"/>
      <c r="AZ12" s="336" t="n"/>
      <c r="BA12" s="336" t="n"/>
      <c r="BB12" s="336" t="n"/>
      <c r="BC12" s="336" t="n"/>
      <c r="BD12" s="336" t="n"/>
      <c r="BE12" s="336" t="n"/>
      <c r="BF12" s="336" t="n"/>
      <c r="BG12" s="336" t="n"/>
      <c r="BH12" s="336" t="n"/>
      <c r="BI12" s="336" t="n"/>
      <c r="BJ12" s="336" t="n"/>
      <c r="BK12" s="336" t="n"/>
      <c r="BL12" s="336" t="n"/>
      <c r="BM12" s="336" t="n"/>
      <c r="BN12" s="336" t="n"/>
      <c r="BO12" s="336" t="n"/>
      <c r="BP12" s="336" t="n"/>
      <c r="BQ12" s="336" t="n"/>
      <c r="BR12" s="336" t="n"/>
      <c r="BS12" s="336" t="n"/>
      <c r="BT12" s="336" t="n"/>
      <c r="BU12" s="336" t="n"/>
      <c r="BV12" s="336" t="n"/>
      <c r="BW12" s="336" t="n"/>
      <c r="BX12" s="336" t="n"/>
      <c r="BY12" s="336" t="n"/>
    </row>
    <row r="13" customFormat="1" s="538">
      <c r="A13" s="350" t="n"/>
      <c r="B13" s="331" t="n"/>
      <c r="C13" s="332" t="n"/>
      <c r="D13" s="333" t="n"/>
      <c r="E13" s="332" t="n"/>
      <c r="F13" s="336" t="n"/>
      <c r="G13" s="336" t="n"/>
      <c r="H13" s="335" t="n"/>
      <c r="I13" s="336" t="n"/>
      <c r="J13" s="336" t="n"/>
      <c r="K13" s="672" t="n"/>
      <c r="L13" s="672" t="n"/>
      <c r="M13" s="672" t="n"/>
      <c r="N13" s="336" t="n"/>
      <c r="O13" s="336" t="n"/>
      <c r="P13" s="430" t="n"/>
      <c r="Q13" s="430" t="n"/>
      <c r="R13" s="430" t="n"/>
      <c r="S13" s="430" t="n"/>
      <c r="T13" s="430" t="n"/>
      <c r="U13" s="430" t="n"/>
      <c r="V13" s="430" t="n"/>
      <c r="W13" s="430" t="n"/>
      <c r="X13" s="430" t="n"/>
      <c r="Y13" s="430" t="n"/>
      <c r="Z13" s="338" t="n"/>
      <c r="AA13" s="338" t="n"/>
      <c r="AB13" s="338" t="n"/>
      <c r="AC13" s="338" t="n"/>
      <c r="AD13" s="339" t="n"/>
      <c r="AE13" s="339" t="n"/>
      <c r="AF13" s="339" t="n"/>
      <c r="AG13" s="339" t="n"/>
      <c r="AH13" s="339" t="n"/>
      <c r="AI13" s="339" t="n"/>
      <c r="AJ13" s="339" t="n"/>
      <c r="AK13" s="339" t="n"/>
      <c r="AL13" s="339" t="n"/>
      <c r="AM13" s="339" t="n"/>
      <c r="AN13" s="430" t="n"/>
      <c r="AO13" s="430" t="n"/>
      <c r="AP13" s="430" t="n"/>
      <c r="AQ13" s="430" t="n"/>
      <c r="AR13" s="430" t="n"/>
      <c r="AS13" s="336" t="n"/>
      <c r="AT13" s="336" t="n"/>
      <c r="AU13" s="336" t="n"/>
      <c r="AV13" s="336" t="n"/>
      <c r="AW13" s="336" t="n"/>
      <c r="AX13" s="336" t="n"/>
      <c r="AY13" s="336" t="n"/>
      <c r="AZ13" s="336" t="n"/>
      <c r="BA13" s="336" t="n"/>
      <c r="BB13" s="336" t="n"/>
      <c r="BC13" s="336" t="n"/>
      <c r="BD13" s="336" t="n"/>
      <c r="BE13" s="336" t="n"/>
      <c r="BF13" s="336" t="n"/>
      <c r="BG13" s="336" t="n"/>
      <c r="BH13" s="336" t="n"/>
      <c r="BI13" s="336" t="n"/>
      <c r="BJ13" s="336" t="n"/>
      <c r="BK13" s="336" t="n"/>
      <c r="BL13" s="336" t="n"/>
      <c r="BM13" s="336" t="n"/>
      <c r="BN13" s="336" t="n"/>
      <c r="BO13" s="336" t="n"/>
      <c r="BP13" s="336" t="n"/>
      <c r="BQ13" s="336" t="n"/>
      <c r="BR13" s="336" t="n"/>
      <c r="BS13" s="336" t="n"/>
      <c r="BT13" s="336" t="n"/>
      <c r="BU13" s="336" t="n"/>
      <c r="BV13" s="336" t="n"/>
      <c r="BW13" s="336" t="n"/>
      <c r="BX13" s="336" t="n"/>
      <c r="BY13" s="336" t="n"/>
    </row>
    <row r="14" customFormat="1" s="538">
      <c r="A14" s="350" t="n"/>
      <c r="B14" s="331" t="n"/>
      <c r="C14" s="332" t="n"/>
      <c r="D14" s="333" t="n"/>
      <c r="E14" s="332" t="n"/>
      <c r="F14" s="336" t="n"/>
      <c r="G14" s="336" t="n"/>
      <c r="H14" s="335" t="n"/>
      <c r="I14" s="336" t="n"/>
      <c r="J14" s="336" t="n"/>
      <c r="K14" s="672" t="n"/>
      <c r="L14" s="672" t="n"/>
      <c r="M14" s="672" t="n"/>
      <c r="N14" s="336" t="n"/>
      <c r="O14" s="336" t="n"/>
      <c r="P14" s="430" t="n"/>
      <c r="Q14" s="430" t="n"/>
      <c r="R14" s="430" t="n"/>
      <c r="S14" s="430" t="n"/>
      <c r="T14" s="430" t="n"/>
      <c r="U14" s="430" t="n"/>
      <c r="V14" s="430" t="n"/>
      <c r="W14" s="430" t="n"/>
      <c r="X14" s="430" t="n"/>
      <c r="Y14" s="430" t="n"/>
      <c r="Z14" s="338" t="n"/>
      <c r="AA14" s="338" t="n"/>
      <c r="AB14" s="338" t="n"/>
      <c r="AC14" s="338" t="n"/>
      <c r="AD14" s="339" t="n"/>
      <c r="AE14" s="339" t="n"/>
      <c r="AF14" s="339" t="n"/>
      <c r="AG14" s="339" t="n"/>
      <c r="AH14" s="339" t="n"/>
      <c r="AI14" s="339" t="n"/>
      <c r="AJ14" s="339" t="n"/>
      <c r="AK14" s="339" t="n"/>
      <c r="AL14" s="339" t="n"/>
      <c r="AM14" s="339" t="n"/>
      <c r="AN14" s="339" t="n"/>
      <c r="AO14" s="339" t="n"/>
      <c r="AP14" s="339" t="n"/>
      <c r="AQ14" s="339" t="n"/>
      <c r="AR14" s="430" t="n"/>
      <c r="AS14" s="336" t="n"/>
      <c r="AT14" s="336" t="n"/>
      <c r="AU14" s="336" t="n"/>
      <c r="AV14" s="336" t="n"/>
      <c r="AW14" s="336" t="n"/>
      <c r="AX14" s="336" t="n"/>
      <c r="AY14" s="336" t="n"/>
      <c r="AZ14" s="336" t="n"/>
      <c r="BA14" s="336" t="n"/>
      <c r="BB14" s="336" t="n"/>
      <c r="BC14" s="336" t="n"/>
      <c r="BD14" s="336" t="n"/>
      <c r="BE14" s="336" t="n"/>
      <c r="BF14" s="341" t="n"/>
      <c r="BG14" s="336" t="n"/>
      <c r="BH14" s="336" t="n"/>
      <c r="BI14" s="336" t="n"/>
      <c r="BJ14" s="336" t="n"/>
      <c r="BK14" s="336" t="n"/>
      <c r="BL14" s="336" t="n"/>
      <c r="BM14" s="336" t="n"/>
      <c r="BN14" s="336" t="n"/>
      <c r="BO14" s="336" t="n"/>
      <c r="BP14" s="336" t="n"/>
      <c r="BQ14" s="336" t="n"/>
      <c r="BR14" s="336" t="n"/>
      <c r="BS14" s="336" t="n"/>
      <c r="BT14" s="336" t="n"/>
      <c r="BU14" s="336" t="n"/>
      <c r="BV14" s="336" t="n"/>
      <c r="BW14" s="336" t="n"/>
      <c r="BX14" s="336" t="n"/>
      <c r="BY14" s="336" t="n"/>
    </row>
    <row r="15" customFormat="1" s="538">
      <c r="A15" s="350" t="n"/>
      <c r="B15" s="331" t="n"/>
      <c r="C15" s="332" t="n"/>
      <c r="D15" s="333" t="n"/>
      <c r="E15" s="332" t="n"/>
      <c r="F15" s="336" t="n"/>
      <c r="G15" s="336" t="n"/>
      <c r="H15" s="336" t="n"/>
      <c r="I15" s="336" t="n"/>
      <c r="J15" s="336" t="n"/>
      <c r="K15" s="672" t="n"/>
      <c r="L15" s="672" t="n"/>
      <c r="M15" s="672" t="n"/>
      <c r="N15" s="336" t="n"/>
      <c r="O15" s="336" t="n"/>
      <c r="P15" s="430" t="n"/>
      <c r="Q15" s="430" t="n"/>
      <c r="R15" s="430" t="n"/>
      <c r="S15" s="430" t="n"/>
      <c r="T15" s="430" t="n"/>
      <c r="U15" s="430" t="n"/>
      <c r="V15" s="430" t="n"/>
      <c r="W15" s="430" t="n"/>
      <c r="X15" s="430" t="n"/>
      <c r="Y15" s="430" t="n"/>
      <c r="Z15" s="338" t="n"/>
      <c r="AA15" s="338" t="n"/>
      <c r="AB15" s="338" t="n"/>
      <c r="AC15" s="338" t="n"/>
      <c r="AD15" s="339" t="n"/>
      <c r="AE15" s="339" t="n"/>
      <c r="AF15" s="339" t="n"/>
      <c r="AG15" s="339" t="n"/>
      <c r="AH15" s="339" t="n"/>
      <c r="AI15" s="339" t="n"/>
      <c r="AJ15" s="339" t="n"/>
      <c r="AK15" s="339" t="n"/>
      <c r="AL15" s="339" t="n"/>
      <c r="AM15" s="339" t="n"/>
      <c r="AN15" s="339" t="n"/>
      <c r="AO15" s="339" t="n"/>
      <c r="AP15" s="339" t="n"/>
      <c r="AQ15" s="339" t="n"/>
      <c r="AR15" s="430" t="n"/>
      <c r="AS15" s="336" t="n"/>
      <c r="AT15" s="336" t="n"/>
      <c r="AU15" s="336" t="n"/>
      <c r="AV15" s="336" t="n"/>
      <c r="AW15" s="336" t="n"/>
      <c r="AX15" s="336" t="n"/>
      <c r="AY15" s="336" t="n"/>
      <c r="AZ15" s="336" t="n"/>
      <c r="BA15" s="336" t="n"/>
      <c r="BB15" s="336" t="n"/>
      <c r="BC15" s="336" t="n"/>
      <c r="BD15" s="336" t="n"/>
      <c r="BE15" s="336" t="n"/>
      <c r="BF15" s="336" t="n"/>
      <c r="BG15" s="336" t="n"/>
      <c r="BH15" s="336" t="n"/>
      <c r="BI15" s="336" t="n"/>
      <c r="BJ15" s="336" t="n"/>
      <c r="BK15" s="336" t="n"/>
      <c r="BL15" s="336" t="n"/>
      <c r="BM15" s="336" t="n"/>
      <c r="BN15" s="336" t="n"/>
      <c r="BO15" s="336" t="n"/>
      <c r="BP15" s="336" t="n"/>
      <c r="BQ15" s="336" t="n"/>
      <c r="BR15" s="336" t="n"/>
      <c r="BS15" s="336" t="n"/>
      <c r="BT15" s="336" t="n"/>
      <c r="BU15" s="336" t="n"/>
      <c r="BV15" s="336" t="n"/>
      <c r="BW15" s="336" t="n"/>
      <c r="BX15" s="336" t="n"/>
      <c r="BY15" s="336" t="n"/>
    </row>
    <row r="16" customFormat="1" s="538">
      <c r="A16" s="350" t="n"/>
      <c r="B16" s="331" t="n"/>
      <c r="C16" s="332" t="n"/>
      <c r="D16" s="333" t="n"/>
      <c r="E16" s="332" t="n"/>
      <c r="F16" s="336" t="n"/>
      <c r="G16" s="336" t="n"/>
      <c r="H16" s="335" t="n"/>
      <c r="I16" s="336" t="n"/>
      <c r="J16" s="336" t="n"/>
      <c r="K16" s="672" t="n"/>
      <c r="L16" s="672" t="n"/>
      <c r="M16" s="672" t="n"/>
      <c r="N16" s="336" t="n"/>
      <c r="O16" s="336" t="n"/>
      <c r="P16" s="430" t="n"/>
      <c r="Q16" s="430" t="n"/>
      <c r="R16" s="430" t="n"/>
      <c r="S16" s="430" t="n"/>
      <c r="T16" s="430" t="n"/>
      <c r="U16" s="430" t="n"/>
      <c r="V16" s="430" t="n"/>
      <c r="W16" s="430" t="n"/>
      <c r="X16" s="430" t="n"/>
      <c r="Y16" s="430" t="n"/>
      <c r="Z16" s="338" t="n"/>
      <c r="AA16" s="338" t="n"/>
      <c r="AB16" s="338" t="n"/>
      <c r="AC16" s="338" t="n"/>
      <c r="AD16" s="339" t="n"/>
      <c r="AE16" s="339" t="n"/>
      <c r="AF16" s="339" t="n"/>
      <c r="AG16" s="339" t="n"/>
      <c r="AH16" s="339" t="n"/>
      <c r="AI16" s="339" t="n"/>
      <c r="AJ16" s="339" t="n"/>
      <c r="AK16" s="339" t="n"/>
      <c r="AL16" s="339" t="n"/>
      <c r="AM16" s="339" t="n"/>
      <c r="AN16" s="339" t="n"/>
      <c r="AO16" s="339" t="n"/>
      <c r="AP16" s="339" t="n"/>
      <c r="AQ16" s="339" t="n"/>
      <c r="AR16" s="430" t="n"/>
      <c r="AS16" s="336" t="n"/>
      <c r="AT16" s="336" t="n"/>
      <c r="AU16" s="336" t="n"/>
      <c r="AV16" s="336" t="n"/>
      <c r="AW16" s="336" t="n"/>
      <c r="AX16" s="336" t="n"/>
      <c r="AY16" s="336" t="n"/>
      <c r="AZ16" s="336" t="n"/>
      <c r="BA16" s="336" t="n"/>
      <c r="BB16" s="336" t="n"/>
      <c r="BC16" s="336" t="n"/>
      <c r="BD16" s="336" t="n"/>
      <c r="BE16" s="336" t="n"/>
      <c r="BF16" s="336" t="n"/>
      <c r="BG16" s="336" t="n"/>
      <c r="BH16" s="336" t="n"/>
      <c r="BI16" s="336" t="n"/>
      <c r="BJ16" s="336" t="n"/>
      <c r="BK16" s="336" t="n"/>
      <c r="BL16" s="336" t="n"/>
      <c r="BM16" s="336" t="n"/>
      <c r="BN16" s="336" t="n"/>
      <c r="BO16" s="336" t="n"/>
      <c r="BP16" s="336" t="n"/>
      <c r="BQ16" s="336" t="n"/>
      <c r="BR16" s="336" t="n"/>
      <c r="BS16" s="336" t="n"/>
      <c r="BT16" s="336" t="n"/>
      <c r="BU16" s="336" t="n"/>
      <c r="BV16" s="336" t="n"/>
      <c r="BW16" s="336" t="n"/>
      <c r="BX16" s="336" t="n"/>
      <c r="BY16" s="336" t="n"/>
    </row>
    <row r="17" customFormat="1" s="538">
      <c r="A17" s="342" t="n"/>
      <c r="B17" s="358" t="n"/>
      <c r="C17" s="344" t="n"/>
      <c r="D17" s="345" t="n"/>
      <c r="E17" s="346" t="n"/>
      <c r="F17" s="336" t="n"/>
      <c r="G17" s="336" t="n"/>
      <c r="H17" s="336" t="n"/>
      <c r="I17" s="336" t="n"/>
      <c r="J17" s="336" t="n"/>
      <c r="K17" s="336" t="n"/>
      <c r="L17" s="336" t="n"/>
      <c r="M17" s="336" t="n"/>
      <c r="N17" s="336" t="n"/>
      <c r="O17" s="336" t="n"/>
      <c r="P17" s="357" t="n"/>
      <c r="Q17" s="357" t="n"/>
      <c r="R17" s="357" t="n"/>
      <c r="S17" s="357" t="n"/>
      <c r="T17" s="357" t="n"/>
      <c r="U17" s="357" t="n"/>
      <c r="V17" s="357" t="n"/>
      <c r="W17" s="357" t="n"/>
      <c r="X17" s="357" t="n"/>
      <c r="Y17" s="336" t="n"/>
      <c r="Z17" s="338" t="n"/>
      <c r="AA17" s="338" t="n"/>
      <c r="AB17" s="338" t="n"/>
      <c r="AC17" s="338" t="n"/>
      <c r="AD17" s="339" t="n"/>
      <c r="AE17" s="339" t="n"/>
      <c r="AF17" s="339" t="n"/>
      <c r="AG17" s="339" t="n"/>
      <c r="AH17" s="339" t="n"/>
      <c r="AI17" s="339" t="n"/>
      <c r="AJ17" s="339" t="n"/>
      <c r="AK17" s="339" t="n"/>
      <c r="AL17" s="339" t="n"/>
      <c r="AM17" s="339" t="n"/>
      <c r="AN17" s="339" t="n"/>
      <c r="AO17" s="339" t="n"/>
      <c r="AP17" s="339" t="n"/>
      <c r="AQ17" s="339" t="n"/>
      <c r="AR17" s="357" t="n"/>
      <c r="AS17" s="336" t="n"/>
      <c r="AT17" s="336" t="n"/>
      <c r="AU17" s="336" t="n"/>
      <c r="AV17" s="336" t="n"/>
      <c r="AW17" s="336" t="n"/>
      <c r="AX17" s="336" t="n"/>
      <c r="AY17" s="336" t="n"/>
      <c r="AZ17" s="336" t="n"/>
      <c r="BA17" s="336" t="n"/>
      <c r="BB17" s="336" t="n"/>
      <c r="BC17" s="336" t="n"/>
      <c r="BD17" s="336" t="n"/>
      <c r="BE17" s="336" t="n"/>
      <c r="BF17" s="336" t="n"/>
      <c r="BG17" s="336" t="n"/>
      <c r="BH17" s="336" t="n"/>
      <c r="BI17" s="336" t="n"/>
      <c r="BJ17" s="336" t="n"/>
      <c r="BK17" s="336" t="n"/>
      <c r="BL17" s="336" t="n"/>
      <c r="BM17" s="336" t="n"/>
      <c r="BN17" s="336" t="n"/>
      <c r="BO17" s="336" t="n"/>
      <c r="BP17" s="336" t="n"/>
      <c r="BQ17" s="336" t="n"/>
      <c r="BR17" s="336" t="n"/>
      <c r="BS17" s="336" t="n"/>
      <c r="BT17" s="336" t="n"/>
      <c r="BU17" s="336" t="n"/>
      <c r="BV17" s="336" t="n"/>
      <c r="BW17" s="336" t="n"/>
      <c r="BX17" s="336" t="n"/>
      <c r="BY17" s="336" t="n"/>
      <c r="BZ17" s="361" t="n"/>
    </row>
    <row r="18" customFormat="1" s="538">
      <c r="A18" s="349" t="n"/>
      <c r="B18" s="350" t="n"/>
      <c r="C18" s="351" t="n"/>
      <c r="D18" s="352" t="n"/>
      <c r="E18" s="332" t="n"/>
      <c r="F18" s="336" t="n"/>
      <c r="G18" s="336" t="n"/>
      <c r="H18" s="336" t="n"/>
      <c r="I18" s="336" t="n"/>
      <c r="J18" s="336" t="n"/>
      <c r="K18" s="336" t="n"/>
      <c r="L18" s="336" t="n"/>
      <c r="M18" s="336" t="n"/>
      <c r="N18" s="336" t="n"/>
      <c r="O18" s="336" t="n"/>
      <c r="P18" s="430" t="n"/>
      <c r="Q18" s="430" t="n"/>
      <c r="R18" s="430" t="n"/>
      <c r="S18" s="430" t="n"/>
      <c r="T18" s="430" t="n"/>
      <c r="U18" s="430" t="n"/>
      <c r="V18" s="430" t="n"/>
      <c r="W18" s="430" t="n"/>
      <c r="X18" s="430" t="n"/>
      <c r="Y18" s="430" t="n"/>
      <c r="Z18" s="338" t="n"/>
      <c r="AA18" s="338" t="n"/>
      <c r="AB18" s="338" t="n"/>
      <c r="AC18" s="338" t="n"/>
      <c r="AD18" s="339" t="n"/>
      <c r="AE18" s="339" t="n"/>
      <c r="AF18" s="339" t="n"/>
      <c r="AG18" s="339" t="n"/>
      <c r="AH18" s="339" t="n"/>
      <c r="AI18" s="339" t="n"/>
      <c r="AJ18" s="339" t="n"/>
      <c r="AK18" s="339" t="n"/>
      <c r="AL18" s="339" t="n"/>
      <c r="AM18" s="339" t="n"/>
      <c r="AN18" s="339" t="n"/>
      <c r="AO18" s="339" t="n"/>
      <c r="AP18" s="339" t="n"/>
      <c r="AQ18" s="339" t="n"/>
      <c r="AR18" s="430" t="n"/>
      <c r="AS18" s="336" t="n"/>
      <c r="AT18" s="336" t="n"/>
      <c r="AU18" s="336" t="n"/>
      <c r="AV18" s="336" t="n"/>
      <c r="AW18" s="336" t="n"/>
      <c r="AX18" s="336" t="n"/>
      <c r="AY18" s="336" t="n"/>
      <c r="AZ18" s="336" t="n"/>
      <c r="BA18" s="336" t="n"/>
      <c r="BB18" s="336" t="n"/>
      <c r="BC18" s="336" t="n"/>
      <c r="BD18" s="336" t="n"/>
      <c r="BE18" s="336" t="n"/>
      <c r="BF18" s="336" t="n"/>
      <c r="BG18" s="336" t="n"/>
      <c r="BH18" s="336" t="n"/>
      <c r="BI18" s="336" t="n"/>
      <c r="BJ18" s="336" t="n"/>
      <c r="BK18" s="336" t="n"/>
      <c r="BL18" s="336" t="n"/>
      <c r="BM18" s="336" t="n"/>
      <c r="BN18" s="336" t="n"/>
      <c r="BO18" s="336" t="n"/>
      <c r="BP18" s="336" t="n"/>
      <c r="BQ18" s="336" t="n"/>
      <c r="BR18" s="336" t="n"/>
      <c r="BS18" s="336" t="n"/>
      <c r="BT18" s="336" t="n"/>
      <c r="BU18" s="336" t="n"/>
      <c r="BV18" s="336" t="n"/>
      <c r="BW18" s="336" t="n"/>
      <c r="BX18" s="336" t="n"/>
      <c r="BY18" s="336" t="n"/>
    </row>
    <row r="19" customFormat="1" s="538">
      <c r="A19" s="349" t="n"/>
      <c r="B19" s="350" t="n"/>
      <c r="C19" s="353" t="n"/>
      <c r="D19" s="333" t="n"/>
      <c r="E19" s="332" t="n"/>
      <c r="F19" s="336" t="n"/>
      <c r="G19" s="336" t="n"/>
      <c r="H19" s="335" t="n"/>
      <c r="I19" s="336" t="n"/>
      <c r="J19" s="336" t="n"/>
      <c r="K19" s="336" t="n"/>
      <c r="L19" s="336" t="n"/>
      <c r="M19" s="336" t="n"/>
      <c r="N19" s="336" t="n"/>
      <c r="O19" s="336" t="n"/>
      <c r="P19" s="430" t="n"/>
      <c r="Q19" s="430" t="n"/>
      <c r="R19" s="430" t="n"/>
      <c r="S19" s="430" t="n"/>
      <c r="T19" s="430" t="n"/>
      <c r="U19" s="430" t="n"/>
      <c r="V19" s="430" t="n"/>
      <c r="W19" s="430" t="n"/>
      <c r="X19" s="430" t="n"/>
      <c r="Y19" s="430" t="n"/>
      <c r="Z19" s="338" t="n"/>
      <c r="AA19" s="338" t="n"/>
      <c r="AB19" s="338" t="n"/>
      <c r="AC19" s="338" t="n"/>
      <c r="AD19" s="339" t="n"/>
      <c r="AE19" s="339" t="n"/>
      <c r="AF19" s="339" t="n"/>
      <c r="AG19" s="339" t="n"/>
      <c r="AH19" s="339" t="n"/>
      <c r="AI19" s="339" t="n"/>
      <c r="AJ19" s="339" t="n"/>
      <c r="AK19" s="339" t="n"/>
      <c r="AL19" s="339" t="n"/>
      <c r="AM19" s="339" t="n"/>
      <c r="AN19" s="339" t="n"/>
      <c r="AO19" s="339" t="n"/>
      <c r="AP19" s="339" t="n"/>
      <c r="AQ19" s="339" t="n"/>
      <c r="AR19" s="430" t="n"/>
      <c r="AS19" s="336" t="n"/>
      <c r="AT19" s="336" t="n"/>
      <c r="AU19" s="336" t="n"/>
      <c r="AV19" s="336" t="n"/>
      <c r="AW19" s="336" t="n"/>
      <c r="AX19" s="336" t="n"/>
      <c r="AY19" s="336" t="n"/>
      <c r="AZ19" s="336" t="n"/>
      <c r="BA19" s="336" t="n"/>
      <c r="BB19" s="336" t="n"/>
      <c r="BC19" s="336" t="n"/>
      <c r="BD19" s="336" t="n"/>
      <c r="BE19" s="336" t="n"/>
      <c r="BF19" s="336" t="n"/>
      <c r="BG19" s="336" t="n"/>
      <c r="BH19" s="336" t="n"/>
      <c r="BI19" s="336" t="n"/>
      <c r="BJ19" s="336" t="n"/>
      <c r="BK19" s="336" t="n"/>
      <c r="BL19" s="336" t="n"/>
      <c r="BM19" s="336" t="n"/>
      <c r="BN19" s="336" t="n"/>
      <c r="BO19" s="336" t="n"/>
      <c r="BP19" s="336" t="n"/>
      <c r="BQ19" s="336" t="n"/>
      <c r="BR19" s="336" t="n"/>
      <c r="BS19" s="336" t="n"/>
      <c r="BT19" s="336" t="n"/>
      <c r="BU19" s="336" t="n"/>
      <c r="BV19" s="336" t="n"/>
      <c r="BW19" s="336" t="n"/>
      <c r="BX19" s="336" t="n"/>
      <c r="BY19" s="336" t="n"/>
    </row>
    <row r="20" customFormat="1" s="538">
      <c r="A20" s="349" t="n"/>
      <c r="B20" s="350" t="n"/>
      <c r="C20" s="353" t="n"/>
      <c r="D20" s="333" t="n"/>
      <c r="E20" s="332" t="n"/>
      <c r="F20" s="336" t="n"/>
      <c r="G20" s="336" t="n"/>
      <c r="H20" s="335" t="n"/>
      <c r="I20" s="336" t="n"/>
      <c r="J20" s="336" t="n"/>
      <c r="K20" s="336" t="n"/>
      <c r="L20" s="336" t="n"/>
      <c r="M20" s="336" t="n"/>
      <c r="N20" s="336" t="n"/>
      <c r="O20" s="336" t="n"/>
      <c r="P20" s="430" t="n"/>
      <c r="Q20" s="430" t="n"/>
      <c r="R20" s="430" t="n"/>
      <c r="S20" s="430" t="n"/>
      <c r="T20" s="430" t="n"/>
      <c r="U20" s="430" t="n"/>
      <c r="V20" s="430" t="n"/>
      <c r="W20" s="430" t="n"/>
      <c r="X20" s="430" t="n"/>
      <c r="Y20" s="430" t="n"/>
      <c r="Z20" s="338" t="n"/>
      <c r="AA20" s="338" t="n"/>
      <c r="AB20" s="338" t="n"/>
      <c r="AC20" s="338" t="n"/>
      <c r="AD20" s="339" t="n"/>
      <c r="AE20" s="339" t="n"/>
      <c r="AF20" s="339" t="n"/>
      <c r="AG20" s="339" t="n"/>
      <c r="AH20" s="339" t="n"/>
      <c r="AI20" s="339" t="n"/>
      <c r="AJ20" s="339" t="n"/>
      <c r="AK20" s="339" t="n"/>
      <c r="AL20" s="339" t="n"/>
      <c r="AM20" s="339" t="n"/>
      <c r="AN20" s="339" t="n"/>
      <c r="AO20" s="339" t="n"/>
      <c r="AP20" s="339" t="n"/>
      <c r="AQ20" s="339" t="n"/>
      <c r="AR20" s="430" t="n"/>
      <c r="AS20" s="336" t="n"/>
      <c r="AT20" s="336" t="n"/>
      <c r="AU20" s="336" t="n"/>
      <c r="AV20" s="336" t="n"/>
      <c r="AW20" s="336" t="n"/>
      <c r="AX20" s="336" t="n"/>
      <c r="AY20" s="336" t="n"/>
      <c r="AZ20" s="336" t="n"/>
      <c r="BA20" s="336" t="n"/>
      <c r="BB20" s="336" t="n"/>
      <c r="BC20" s="336" t="n"/>
      <c r="BD20" s="336" t="n"/>
      <c r="BE20" s="336" t="n"/>
      <c r="BF20" s="336" t="n"/>
      <c r="BG20" s="336" t="n"/>
      <c r="BH20" s="336" t="n"/>
      <c r="BI20" s="336" t="n"/>
      <c r="BJ20" s="336" t="n"/>
      <c r="BK20" s="336" t="n"/>
      <c r="BL20" s="336" t="n"/>
      <c r="BM20" s="336" t="n"/>
      <c r="BN20" s="336" t="n"/>
      <c r="BO20" s="336" t="n"/>
      <c r="BP20" s="336" t="n"/>
      <c r="BQ20" s="336" t="n"/>
      <c r="BR20" s="336" t="n"/>
      <c r="BS20" s="336" t="n"/>
      <c r="BT20" s="336" t="n"/>
      <c r="BU20" s="336" t="n"/>
      <c r="BV20" s="336" t="n"/>
      <c r="BW20" s="336" t="n"/>
      <c r="BX20" s="336" t="n"/>
      <c r="BY20" s="336" t="n"/>
    </row>
    <row r="21" customFormat="1" s="538">
      <c r="A21" s="349" t="n"/>
      <c r="B21" s="350" t="n"/>
      <c r="C21" s="353" t="n"/>
      <c r="D21" s="333" t="n"/>
      <c r="E21" s="354" t="n"/>
      <c r="F21" s="336" t="n"/>
      <c r="G21" s="336" t="n"/>
      <c r="H21" s="335" t="n"/>
      <c r="I21" s="336" t="n"/>
      <c r="J21" s="336" t="n"/>
      <c r="K21" s="336" t="n"/>
      <c r="L21" s="336" t="n"/>
      <c r="M21" s="336" t="n"/>
      <c r="N21" s="336" t="n"/>
      <c r="O21" s="336" t="n"/>
      <c r="P21" s="430" t="n"/>
      <c r="Q21" s="430" t="n"/>
      <c r="R21" s="430" t="n"/>
      <c r="S21" s="430" t="n"/>
      <c r="T21" s="430" t="n"/>
      <c r="U21" s="430" t="n"/>
      <c r="V21" s="430" t="n"/>
      <c r="W21" s="430" t="n"/>
      <c r="X21" s="430" t="n"/>
      <c r="Y21" s="430" t="n"/>
      <c r="Z21" s="338" t="n"/>
      <c r="AA21" s="338" t="n"/>
      <c r="AB21" s="338" t="n"/>
      <c r="AC21" s="338" t="n"/>
      <c r="AD21" s="339" t="n"/>
      <c r="AE21" s="339" t="n"/>
      <c r="AF21" s="339" t="n"/>
      <c r="AG21" s="339" t="n"/>
      <c r="AH21" s="339" t="n"/>
      <c r="AI21" s="339" t="n"/>
      <c r="AJ21" s="339" t="n"/>
      <c r="AK21" s="339" t="n"/>
      <c r="AL21" s="339" t="n"/>
      <c r="AM21" s="339" t="n"/>
      <c r="AN21" s="339" t="n"/>
      <c r="AO21" s="339" t="n"/>
      <c r="AP21" s="339" t="n"/>
      <c r="AQ21" s="339" t="n"/>
      <c r="AR21" s="430" t="n"/>
      <c r="AS21" s="336" t="n"/>
      <c r="AT21" s="336" t="n"/>
      <c r="AU21" s="336" t="n"/>
      <c r="AV21" s="336" t="n"/>
      <c r="AW21" s="336" t="n"/>
      <c r="AX21" s="336" t="n"/>
      <c r="AY21" s="336" t="n"/>
      <c r="AZ21" s="336" t="n"/>
      <c r="BA21" s="336" t="n"/>
      <c r="BB21" s="336" t="n"/>
      <c r="BC21" s="336" t="n"/>
      <c r="BD21" s="336" t="n"/>
      <c r="BE21" s="336" t="n"/>
      <c r="BF21" s="336" t="n"/>
      <c r="BG21" s="336" t="n"/>
      <c r="BH21" s="336" t="n"/>
      <c r="BI21" s="336" t="n"/>
      <c r="BJ21" s="336" t="n"/>
      <c r="BK21" s="336" t="n"/>
      <c r="BL21" s="336" t="n"/>
      <c r="BM21" s="336" t="n"/>
      <c r="BN21" s="336" t="n"/>
      <c r="BO21" s="336" t="n"/>
      <c r="BP21" s="336" t="n"/>
      <c r="BQ21" s="336" t="n"/>
      <c r="BR21" s="336" t="n"/>
      <c r="BS21" s="336" t="n"/>
      <c r="BT21" s="336" t="n"/>
      <c r="BU21" s="336" t="n"/>
      <c r="BV21" s="336" t="n"/>
      <c r="BW21" s="336" t="n"/>
      <c r="BX21" s="336" t="n"/>
      <c r="BY21" s="336" t="n"/>
    </row>
    <row r="22" customFormat="1" s="538">
      <c r="A22" s="349" t="n"/>
      <c r="B22" s="350" t="n"/>
      <c r="C22" s="353" t="n"/>
      <c r="D22" s="333" t="n"/>
      <c r="E22" s="354" t="n"/>
      <c r="F22" s="336" t="n"/>
      <c r="G22" s="336" t="n"/>
      <c r="H22" s="335" t="n"/>
      <c r="I22" s="336" t="n"/>
      <c r="J22" s="336" t="n"/>
      <c r="K22" s="336" t="n"/>
      <c r="L22" s="336" t="n"/>
      <c r="M22" s="336" t="n"/>
      <c r="N22" s="336" t="n"/>
      <c r="O22" s="336" t="n"/>
      <c r="P22" s="430" t="n"/>
      <c r="Q22" s="430" t="n"/>
      <c r="R22" s="430" t="n"/>
      <c r="S22" s="430" t="n"/>
      <c r="T22" s="430" t="n"/>
      <c r="U22" s="430" t="n"/>
      <c r="V22" s="430" t="n"/>
      <c r="W22" s="430" t="n"/>
      <c r="X22" s="430" t="n"/>
      <c r="Y22" s="430" t="n"/>
      <c r="Z22" s="338" t="n"/>
      <c r="AA22" s="338" t="n"/>
      <c r="AB22" s="338" t="n"/>
      <c r="AC22" s="338" t="n"/>
      <c r="AD22" s="339" t="n"/>
      <c r="AE22" s="339" t="n"/>
      <c r="AF22" s="339" t="n"/>
      <c r="AG22" s="339" t="n"/>
      <c r="AH22" s="339" t="n"/>
      <c r="AI22" s="339" t="n"/>
      <c r="AJ22" s="339" t="n"/>
      <c r="AK22" s="339" t="n"/>
      <c r="AL22" s="339" t="n"/>
      <c r="AM22" s="339" t="n"/>
      <c r="AN22" s="339" t="n"/>
      <c r="AO22" s="339" t="n"/>
      <c r="AP22" s="339" t="n"/>
      <c r="AQ22" s="339" t="n"/>
      <c r="AR22" s="430" t="n"/>
      <c r="AS22" s="336" t="n"/>
      <c r="AT22" s="336" t="n"/>
      <c r="AU22" s="336" t="n"/>
      <c r="AV22" s="336" t="n"/>
      <c r="AW22" s="336" t="n"/>
      <c r="AX22" s="336" t="n"/>
      <c r="AY22" s="336" t="n"/>
      <c r="AZ22" s="336" t="n"/>
      <c r="BA22" s="336" t="n"/>
      <c r="BB22" s="336" t="n"/>
      <c r="BC22" s="336" t="n"/>
      <c r="BD22" s="336" t="n"/>
      <c r="BE22" s="336" t="n"/>
      <c r="BF22" s="336" t="n"/>
      <c r="BG22" s="336" t="n"/>
      <c r="BH22" s="336" t="n"/>
      <c r="BI22" s="336" t="n"/>
      <c r="BJ22" s="336" t="n"/>
      <c r="BK22" s="336" t="n"/>
      <c r="BL22" s="336" t="n"/>
      <c r="BM22" s="336" t="n"/>
      <c r="BN22" s="336" t="n"/>
      <c r="BO22" s="336" t="n"/>
      <c r="BP22" s="336" t="n"/>
      <c r="BQ22" s="336" t="n"/>
      <c r="BR22" s="336" t="n"/>
      <c r="BS22" s="336" t="n"/>
      <c r="BT22" s="336" t="n"/>
      <c r="BU22" s="336" t="n"/>
      <c r="BV22" s="336" t="n"/>
      <c r="BW22" s="336" t="n"/>
      <c r="BX22" s="336" t="n"/>
      <c r="BY22" s="336" t="n"/>
    </row>
    <row r="23" customFormat="1" s="538">
      <c r="A23" s="349" t="n"/>
      <c r="B23" s="350" t="n"/>
      <c r="C23" s="353" t="n"/>
      <c r="D23" s="333" t="n"/>
      <c r="E23" s="354" t="n"/>
      <c r="F23" s="336" t="n"/>
      <c r="G23" s="336" t="n"/>
      <c r="H23" s="335" t="n"/>
      <c r="I23" s="336" t="n"/>
      <c r="J23" s="336" t="n"/>
      <c r="K23" s="336" t="n"/>
      <c r="L23" s="336" t="n"/>
      <c r="M23" s="336" t="n"/>
      <c r="N23" s="336" t="n"/>
      <c r="O23" s="336" t="n"/>
      <c r="P23" s="430" t="n"/>
      <c r="Q23" s="430" t="n"/>
      <c r="R23" s="430" t="n"/>
      <c r="S23" s="430" t="n"/>
      <c r="T23" s="430" t="n"/>
      <c r="U23" s="430" t="n"/>
      <c r="V23" s="430" t="n"/>
      <c r="W23" s="430" t="n"/>
      <c r="X23" s="430" t="n"/>
      <c r="Y23" s="430" t="n"/>
      <c r="Z23" s="338" t="n"/>
      <c r="AA23" s="338" t="n"/>
      <c r="AB23" s="338" t="n"/>
      <c r="AC23" s="338" t="n"/>
      <c r="AD23" s="339" t="n"/>
      <c r="AE23" s="339" t="n"/>
      <c r="AF23" s="339" t="n"/>
      <c r="AG23" s="339" t="n"/>
      <c r="AH23" s="339" t="n"/>
      <c r="AI23" s="339" t="n"/>
      <c r="AJ23" s="339" t="n"/>
      <c r="AK23" s="339" t="n"/>
      <c r="AL23" s="339" t="n"/>
      <c r="AM23" s="339" t="n"/>
      <c r="AN23" s="339" t="n"/>
      <c r="AO23" s="339" t="n"/>
      <c r="AP23" s="339" t="n"/>
      <c r="AQ23" s="339" t="n"/>
      <c r="AR23" s="430" t="n"/>
      <c r="AS23" s="336" t="n"/>
      <c r="AT23" s="336" t="n"/>
      <c r="AU23" s="336" t="n"/>
      <c r="AV23" s="336" t="n"/>
      <c r="AW23" s="336" t="n"/>
      <c r="AX23" s="336" t="n"/>
      <c r="AY23" s="336" t="n"/>
      <c r="AZ23" s="336" t="n"/>
      <c r="BA23" s="336" t="n"/>
      <c r="BB23" s="336" t="n"/>
      <c r="BC23" s="336" t="n"/>
      <c r="BD23" s="336" t="n"/>
      <c r="BE23" s="336" t="n"/>
      <c r="BF23" s="336" t="n"/>
      <c r="BG23" s="336" t="n"/>
      <c r="BH23" s="336" t="n"/>
      <c r="BI23" s="336" t="n"/>
      <c r="BJ23" s="336" t="n"/>
      <c r="BK23" s="336" t="n"/>
      <c r="BL23" s="336" t="n"/>
      <c r="BM23" s="336" t="n"/>
      <c r="BN23" s="336" t="n"/>
      <c r="BO23" s="336" t="n"/>
      <c r="BP23" s="336" t="n"/>
      <c r="BQ23" s="336" t="n"/>
      <c r="BR23" s="336" t="n"/>
      <c r="BS23" s="336" t="n"/>
      <c r="BT23" s="336" t="n"/>
      <c r="BU23" s="336" t="n"/>
      <c r="BV23" s="336" t="n"/>
      <c r="BW23" s="336" t="n"/>
      <c r="BX23" s="336" t="n"/>
      <c r="BY23" s="336" t="n"/>
    </row>
    <row r="24" customFormat="1" s="538">
      <c r="A24" s="349" t="n"/>
      <c r="B24" s="350" t="n"/>
      <c r="C24" s="353" t="n"/>
      <c r="D24" s="333" t="n"/>
      <c r="E24" s="354" t="n"/>
      <c r="F24" s="336" t="n"/>
      <c r="G24" s="336" t="n"/>
      <c r="H24" s="335" t="n"/>
      <c r="I24" s="336" t="n"/>
      <c r="J24" s="336" t="n"/>
      <c r="K24" s="336" t="n"/>
      <c r="L24" s="336" t="n"/>
      <c r="M24" s="336" t="n"/>
      <c r="N24" s="336" t="n"/>
      <c r="O24" s="336" t="n"/>
      <c r="P24" s="430" t="n"/>
      <c r="Q24" s="430" t="n"/>
      <c r="R24" s="430" t="n"/>
      <c r="S24" s="430" t="n"/>
      <c r="T24" s="430" t="n"/>
      <c r="U24" s="430" t="n"/>
      <c r="V24" s="430" t="n"/>
      <c r="W24" s="430" t="n"/>
      <c r="X24" s="430" t="n"/>
      <c r="Y24" s="430" t="n"/>
      <c r="Z24" s="338" t="n"/>
      <c r="AA24" s="338" t="n"/>
      <c r="AB24" s="338" t="n"/>
      <c r="AC24" s="338" t="n"/>
      <c r="AD24" s="339" t="n"/>
      <c r="AE24" s="339" t="n"/>
      <c r="AF24" s="339" t="n"/>
      <c r="AG24" s="339" t="n"/>
      <c r="AH24" s="339" t="n"/>
      <c r="AI24" s="339" t="n"/>
      <c r="AJ24" s="339" t="n"/>
      <c r="AK24" s="339" t="n"/>
      <c r="AL24" s="339" t="n"/>
      <c r="AM24" s="339" t="n"/>
      <c r="AN24" s="339" t="n"/>
      <c r="AO24" s="339" t="n"/>
      <c r="AP24" s="339" t="n"/>
      <c r="AQ24" s="339" t="n"/>
      <c r="AR24" s="430" t="n"/>
      <c r="AT24" s="336" t="n"/>
      <c r="AU24" s="336" t="n"/>
      <c r="AW24" s="336" t="n"/>
      <c r="AX24" s="336" t="n"/>
      <c r="AY24" s="336" t="n"/>
      <c r="AZ24" s="336" t="n"/>
      <c r="BA24" s="336" t="n"/>
      <c r="BB24" s="336" t="n"/>
      <c r="BD24" s="336" t="n"/>
      <c r="BE24" s="336" t="n"/>
      <c r="BG24" s="336" t="n"/>
      <c r="BH24" s="336" t="n"/>
      <c r="BJ24" s="336" t="n"/>
      <c r="BK24" s="336" t="n"/>
      <c r="BN24" s="336" t="n"/>
      <c r="BO24" s="336" t="n"/>
      <c r="BP24" s="336" t="n"/>
      <c r="BR24" s="336" t="n"/>
      <c r="BS24" s="336" t="n"/>
      <c r="BT24" s="336" t="n"/>
      <c r="BV24" s="336" t="n"/>
      <c r="BW24" s="336" t="n"/>
      <c r="BX24" s="336" t="n"/>
    </row>
    <row r="25" customFormat="1" s="538">
      <c r="A25" s="349" t="n"/>
      <c r="B25" s="350" t="n"/>
      <c r="C25" s="353" t="n"/>
      <c r="D25" s="333" t="n"/>
      <c r="E25" s="354" t="n"/>
      <c r="F25" s="336" t="n"/>
      <c r="G25" s="336" t="n"/>
      <c r="H25" s="335" t="n"/>
      <c r="I25" s="336" t="n"/>
      <c r="J25" s="336" t="n"/>
      <c r="K25" s="336" t="n"/>
      <c r="L25" s="336" t="n"/>
      <c r="M25" s="336" t="n"/>
      <c r="N25" s="336" t="n"/>
      <c r="O25" s="336" t="n"/>
      <c r="P25" s="430" t="n"/>
      <c r="Q25" s="430" t="n"/>
      <c r="R25" s="430" t="n"/>
      <c r="S25" s="430" t="n"/>
      <c r="T25" s="430" t="n"/>
      <c r="U25" s="430" t="n"/>
      <c r="V25" s="430" t="n"/>
      <c r="W25" s="430" t="n"/>
      <c r="X25" s="430" t="n"/>
      <c r="Y25" s="430" t="n"/>
      <c r="Z25" s="338" t="n"/>
      <c r="AA25" s="338" t="n"/>
      <c r="AB25" s="338" t="n"/>
      <c r="AC25" s="338" t="n"/>
      <c r="AD25" s="339" t="n"/>
      <c r="AE25" s="339" t="n"/>
      <c r="AF25" s="339" t="n"/>
      <c r="AG25" s="339" t="n"/>
      <c r="AH25" s="339" t="n"/>
      <c r="AI25" s="339" t="n"/>
      <c r="AJ25" s="339" t="n"/>
      <c r="AK25" s="339" t="n"/>
      <c r="AL25" s="339" t="n"/>
      <c r="AM25" s="339" t="n"/>
      <c r="AN25" s="339" t="n"/>
      <c r="AO25" s="339" t="n"/>
      <c r="AP25" s="339" t="n"/>
      <c r="AQ25" s="339" t="n"/>
      <c r="AR25" s="430" t="n"/>
      <c r="AT25" s="336" t="n"/>
      <c r="AU25" s="336" t="n"/>
      <c r="AW25" s="336" t="n"/>
      <c r="AX25" s="336" t="n"/>
      <c r="AY25" s="336" t="n"/>
      <c r="AZ25" s="336" t="n"/>
      <c r="BA25" s="336" t="n"/>
      <c r="BB25" s="336" t="n"/>
      <c r="BD25" s="336" t="n"/>
      <c r="BE25" s="336" t="n"/>
      <c r="BG25" s="336" t="n"/>
      <c r="BH25" s="336" t="n"/>
      <c r="BJ25" s="336" t="n"/>
      <c r="BK25" s="336" t="n"/>
      <c r="BN25" s="336" t="n"/>
      <c r="BO25" s="336" t="n"/>
      <c r="BP25" s="336" t="n"/>
      <c r="BR25" s="336" t="n"/>
      <c r="BS25" s="336" t="n"/>
      <c r="BT25" s="336" t="n"/>
      <c r="BV25" s="336" t="n"/>
      <c r="BW25" s="336" t="n"/>
      <c r="BX25" s="336" t="n"/>
    </row>
    <row r="26" customFormat="1" s="538">
      <c r="A26" s="349" t="n"/>
      <c r="B26" s="350" t="n"/>
      <c r="C26" s="353" t="n"/>
      <c r="D26" s="333" t="n"/>
      <c r="E26" s="354" t="n"/>
      <c r="F26" s="336" t="n"/>
      <c r="G26" s="336" t="n"/>
      <c r="H26" s="335" t="n"/>
      <c r="I26" s="336" t="n"/>
      <c r="J26" s="336" t="n"/>
      <c r="K26" s="336" t="n"/>
      <c r="L26" s="336" t="n"/>
      <c r="M26" s="336" t="n"/>
      <c r="N26" s="336" t="n"/>
      <c r="O26" s="336" t="n"/>
      <c r="P26" s="430" t="n"/>
      <c r="Q26" s="430" t="n"/>
      <c r="R26" s="430" t="n"/>
      <c r="S26" s="430" t="n"/>
      <c r="T26" s="430" t="n"/>
      <c r="U26" s="430" t="n"/>
      <c r="V26" s="430" t="n"/>
      <c r="W26" s="430" t="n"/>
      <c r="X26" s="430" t="n"/>
      <c r="Y26" s="430" t="n"/>
      <c r="Z26" s="338" t="n"/>
      <c r="AA26" s="338" t="n"/>
      <c r="AB26" s="338" t="n"/>
      <c r="AC26" s="338" t="n"/>
      <c r="AD26" s="339" t="n"/>
      <c r="AE26" s="339" t="n"/>
      <c r="AF26" s="339" t="n"/>
      <c r="AG26" s="339" t="n"/>
      <c r="AH26" s="339" t="n"/>
      <c r="AI26" s="339" t="n"/>
      <c r="AJ26" s="339" t="n"/>
      <c r="AK26" s="339" t="n"/>
      <c r="AL26" s="339" t="n"/>
      <c r="AM26" s="339" t="n"/>
      <c r="AN26" s="339" t="n"/>
      <c r="AO26" s="339" t="n"/>
      <c r="AP26" s="339" t="n"/>
      <c r="AQ26" s="339" t="n"/>
      <c r="AR26" s="430" t="n"/>
      <c r="AT26" s="336" t="n"/>
      <c r="AU26" s="336" t="n"/>
      <c r="AW26" s="336" t="n"/>
      <c r="AX26" s="336" t="n"/>
      <c r="AY26" s="336" t="n"/>
      <c r="AZ26" s="336" t="n"/>
      <c r="BA26" s="336" t="n"/>
      <c r="BB26" s="336" t="n"/>
      <c r="BD26" s="336" t="n"/>
      <c r="BE26" s="336" t="n"/>
      <c r="BG26" s="336" t="n"/>
      <c r="BH26" s="336" t="n"/>
      <c r="BJ26" s="336" t="n"/>
      <c r="BK26" s="336" t="n"/>
      <c r="BN26" s="336" t="n"/>
      <c r="BO26" s="336" t="n"/>
      <c r="BP26" s="336" t="n"/>
      <c r="BR26" s="336" t="n"/>
      <c r="BS26" s="336" t="n"/>
      <c r="BT26" s="336" t="n"/>
      <c r="BV26" s="336" t="n"/>
      <c r="BW26" s="336" t="n"/>
      <c r="BX26" s="336" t="n"/>
    </row>
    <row r="27" customFormat="1" s="538">
      <c r="A27" s="349" t="n"/>
      <c r="B27" s="350" t="n"/>
      <c r="C27" s="353" t="n"/>
      <c r="D27" s="333" t="n"/>
      <c r="E27" s="332" t="n"/>
      <c r="F27" s="336" t="n"/>
      <c r="G27" s="336" t="n"/>
      <c r="H27" s="335" t="n"/>
      <c r="I27" s="336" t="n"/>
      <c r="J27" s="336" t="n"/>
      <c r="K27" s="336" t="n"/>
      <c r="L27" s="336" t="n"/>
      <c r="M27" s="336" t="n"/>
      <c r="N27" s="336" t="n"/>
      <c r="O27" s="336" t="n"/>
      <c r="P27" s="430" t="n"/>
      <c r="Q27" s="430" t="n"/>
      <c r="R27" s="430" t="n"/>
      <c r="S27" s="430" t="n"/>
      <c r="T27" s="430" t="n"/>
      <c r="U27" s="430" t="n"/>
      <c r="V27" s="430" t="n"/>
      <c r="W27" s="430" t="n"/>
      <c r="X27" s="430" t="n"/>
      <c r="Y27" s="430" t="n"/>
      <c r="Z27" s="338" t="n"/>
      <c r="AA27" s="338" t="n"/>
      <c r="AB27" s="338" t="n"/>
      <c r="AC27" s="338" t="n"/>
      <c r="AD27" s="339" t="n"/>
      <c r="AE27" s="339" t="n"/>
      <c r="AF27" s="339" t="n"/>
      <c r="AG27" s="339" t="n"/>
      <c r="AH27" s="339" t="n"/>
      <c r="AI27" s="339" t="n"/>
      <c r="AJ27" s="339" t="n"/>
      <c r="AK27" s="339" t="n"/>
      <c r="AL27" s="339" t="n"/>
      <c r="AM27" s="339" t="n"/>
      <c r="AN27" s="339" t="n"/>
      <c r="AO27" s="339" t="n"/>
      <c r="AP27" s="339" t="n"/>
      <c r="AQ27" s="339" t="n"/>
      <c r="AR27" s="430" t="n"/>
      <c r="AS27" s="336" t="n"/>
      <c r="AT27" s="336" t="n"/>
      <c r="AU27" s="336" t="n"/>
      <c r="AV27" s="336" t="n"/>
      <c r="AW27" s="336" t="n"/>
      <c r="AX27" s="336" t="n"/>
      <c r="AY27" s="336" t="n"/>
      <c r="AZ27" s="336" t="n"/>
      <c r="BA27" s="336" t="n"/>
      <c r="BB27" s="336" t="n"/>
      <c r="BC27" s="336" t="n"/>
      <c r="BD27" s="336" t="n"/>
      <c r="BE27" s="336" t="n"/>
      <c r="BF27" s="336" t="n"/>
      <c r="BG27" s="336" t="n"/>
      <c r="BH27" s="336" t="n"/>
      <c r="BI27" s="336" t="n"/>
      <c r="BJ27" s="336" t="n"/>
      <c r="BK27" s="336" t="n"/>
      <c r="BL27" s="336" t="n"/>
      <c r="BM27" s="336" t="n"/>
      <c r="BN27" s="336" t="n"/>
      <c r="BO27" s="336" t="n"/>
      <c r="BP27" s="336" t="n"/>
      <c r="BQ27" s="336" t="n"/>
      <c r="BR27" s="336" t="n"/>
      <c r="BS27" s="336" t="n"/>
      <c r="BT27" s="336" t="n"/>
      <c r="BU27" s="336" t="n"/>
      <c r="BV27" s="336" t="n"/>
      <c r="BW27" s="336" t="n"/>
      <c r="BX27" s="336" t="n"/>
      <c r="BY27" s="336" t="n"/>
    </row>
    <row r="28" customFormat="1" s="538">
      <c r="A28" s="349" t="n"/>
      <c r="B28" s="350" t="n"/>
      <c r="C28" s="353" t="n"/>
      <c r="D28" s="333" t="n"/>
      <c r="E28" s="332" t="n"/>
      <c r="F28" s="336" t="n"/>
      <c r="G28" s="336" t="n"/>
      <c r="H28" s="335" t="n"/>
      <c r="I28" s="336" t="n"/>
      <c r="J28" s="336" t="n"/>
      <c r="K28" s="336" t="n"/>
      <c r="L28" s="336" t="n"/>
      <c r="M28" s="336" t="n"/>
      <c r="N28" s="336" t="n"/>
      <c r="O28" s="336" t="n"/>
      <c r="P28" s="430" t="n"/>
      <c r="Q28" s="430" t="n"/>
      <c r="R28" s="430" t="n"/>
      <c r="S28" s="430" t="n"/>
      <c r="T28" s="430" t="n"/>
      <c r="U28" s="430" t="n"/>
      <c r="V28" s="430" t="n"/>
      <c r="W28" s="430" t="n"/>
      <c r="X28" s="430" t="n"/>
      <c r="Y28" s="430" t="n"/>
      <c r="Z28" s="338" t="n"/>
      <c r="AA28" s="338" t="n"/>
      <c r="AB28" s="338" t="n"/>
      <c r="AC28" s="338" t="n"/>
      <c r="AD28" s="339" t="n"/>
      <c r="AE28" s="339" t="n"/>
      <c r="AF28" s="339" t="n"/>
      <c r="AG28" s="339" t="n"/>
      <c r="AH28" s="339" t="n"/>
      <c r="AI28" s="339" t="n"/>
      <c r="AJ28" s="339" t="n"/>
      <c r="AK28" s="339" t="n"/>
      <c r="AL28" s="339" t="n"/>
      <c r="AM28" s="339" t="n"/>
      <c r="AN28" s="339" t="n"/>
      <c r="AO28" s="339" t="n"/>
      <c r="AP28" s="339" t="n"/>
      <c r="AQ28" s="339" t="n"/>
      <c r="AR28" s="430" t="n"/>
      <c r="AS28" s="336" t="n"/>
      <c r="AT28" s="336" t="n"/>
      <c r="AU28" s="336" t="n"/>
      <c r="AV28" s="336" t="n"/>
      <c r="AW28" s="336" t="n"/>
      <c r="AX28" s="336" t="n"/>
      <c r="AY28" s="336" t="n"/>
      <c r="AZ28" s="336" t="n"/>
      <c r="BA28" s="336" t="n"/>
      <c r="BB28" s="336" t="n"/>
      <c r="BC28" s="336" t="n"/>
      <c r="BD28" s="336" t="n"/>
      <c r="BE28" s="336" t="n"/>
      <c r="BF28" s="336" t="n"/>
      <c r="BG28" s="336" t="n"/>
      <c r="BH28" s="336" t="n"/>
      <c r="BI28" s="336" t="n"/>
      <c r="BJ28" s="336" t="n"/>
      <c r="BK28" s="336" t="n"/>
      <c r="BL28" s="336" t="n"/>
      <c r="BM28" s="336" t="n"/>
      <c r="BN28" s="336" t="n"/>
      <c r="BO28" s="336" t="n"/>
      <c r="BP28" s="336" t="n"/>
      <c r="BQ28" s="336" t="n"/>
      <c r="BR28" s="336" t="n"/>
      <c r="BS28" s="336" t="n"/>
      <c r="BT28" s="336" t="n"/>
      <c r="BU28" s="336" t="n"/>
      <c r="BV28" s="336" t="n"/>
      <c r="BW28" s="336" t="n"/>
      <c r="BX28" s="336" t="n"/>
      <c r="BY28" s="336" t="n"/>
    </row>
    <row r="29" customFormat="1" s="538">
      <c r="A29" s="349" t="n"/>
      <c r="B29" s="350" t="n"/>
      <c r="C29" s="353" t="n"/>
      <c r="D29" s="333" t="n"/>
      <c r="E29" s="355" t="n"/>
      <c r="F29" s="336" t="n"/>
      <c r="G29" s="336" t="n"/>
      <c r="H29" s="336" t="n"/>
      <c r="I29" s="336" t="n"/>
      <c r="J29" s="336" t="n"/>
      <c r="K29" s="336" t="n"/>
      <c r="L29" s="336" t="n"/>
      <c r="M29" s="336" t="n"/>
      <c r="N29" s="356" t="n"/>
      <c r="O29" s="336" t="n"/>
      <c r="P29" s="430" t="n"/>
      <c r="Q29" s="430" t="n"/>
      <c r="R29" s="430" t="n"/>
      <c r="S29" s="430" t="n"/>
      <c r="T29" s="430" t="n"/>
      <c r="U29" s="430" t="n"/>
      <c r="V29" s="430" t="n"/>
      <c r="W29" s="430" t="n"/>
      <c r="X29" s="430" t="n"/>
      <c r="Y29" s="430" t="n"/>
      <c r="Z29" s="338" t="n"/>
      <c r="AA29" s="338" t="n"/>
      <c r="AB29" s="338" t="n"/>
      <c r="AC29" s="338" t="n"/>
      <c r="AD29" s="339" t="n"/>
      <c r="AE29" s="339" t="n"/>
      <c r="AF29" s="339" t="n"/>
      <c r="AG29" s="339" t="n"/>
      <c r="AH29" s="339" t="n"/>
      <c r="AI29" s="339" t="n"/>
      <c r="AJ29" s="339" t="n"/>
      <c r="AK29" s="339" t="n"/>
      <c r="AL29" s="339" t="n"/>
      <c r="AM29" s="339" t="n"/>
      <c r="AN29" s="339" t="n"/>
      <c r="AO29" s="339" t="n"/>
      <c r="AP29" s="339" t="n"/>
      <c r="AQ29" s="339" t="n"/>
      <c r="AR29" s="430" t="n"/>
      <c r="AS29" s="336" t="n"/>
      <c r="AT29" s="336" t="n"/>
      <c r="AU29" s="336" t="n"/>
      <c r="AV29" s="336" t="n"/>
      <c r="AW29" s="336" t="n"/>
      <c r="AX29" s="336" t="n"/>
      <c r="AY29" s="336" t="n"/>
      <c r="AZ29" s="336" t="n"/>
      <c r="BA29" s="336" t="n"/>
      <c r="BB29" s="336" t="n"/>
      <c r="BC29" s="336" t="n"/>
      <c r="BD29" s="336" t="n"/>
      <c r="BE29" s="336" t="n"/>
      <c r="BF29" s="336" t="n"/>
      <c r="BG29" s="336" t="n"/>
      <c r="BH29" s="336" t="n"/>
      <c r="BI29" s="336" t="n"/>
      <c r="BJ29" s="336" t="n"/>
      <c r="BK29" s="336" t="n"/>
      <c r="BL29" s="336" t="n"/>
      <c r="BM29" s="336" t="n"/>
      <c r="BN29" s="336" t="n"/>
      <c r="BO29" s="336" t="n"/>
      <c r="BP29" s="336" t="n"/>
      <c r="BQ29" s="336" t="n"/>
      <c r="BR29" s="336" t="n"/>
      <c r="BS29" s="336" t="n"/>
      <c r="BT29" s="336" t="n"/>
      <c r="BU29" s="336" t="n"/>
      <c r="BV29" s="336" t="n"/>
      <c r="BW29" s="336" t="n"/>
      <c r="BX29" s="336" t="n"/>
      <c r="BY29" s="336" t="n"/>
    </row>
    <row r="30" customFormat="1" s="538">
      <c r="A30" s="349" t="n"/>
      <c r="B30" s="350" t="n"/>
      <c r="C30" s="349" t="n"/>
      <c r="D30" s="333" t="n"/>
      <c r="E30" s="354" t="n"/>
      <c r="F30" s="336" t="n"/>
      <c r="G30" s="336" t="n"/>
      <c r="H30" s="335" t="n"/>
      <c r="I30" s="336" t="n"/>
      <c r="J30" s="336" t="n"/>
      <c r="K30" s="336" t="n"/>
      <c r="L30" s="336" t="n"/>
      <c r="M30" s="336" t="n"/>
      <c r="N30" s="336" t="n"/>
      <c r="O30" s="336" t="n"/>
      <c r="P30" s="430" t="n"/>
      <c r="Q30" s="430" t="n"/>
      <c r="R30" s="430" t="n"/>
      <c r="S30" s="430" t="n"/>
      <c r="T30" s="430" t="n"/>
      <c r="U30" s="430" t="n"/>
      <c r="V30" s="430" t="n"/>
      <c r="W30" s="430" t="n"/>
      <c r="X30" s="430" t="n"/>
      <c r="Y30" s="430" t="n"/>
      <c r="Z30" s="338" t="n"/>
      <c r="AA30" s="338" t="n"/>
      <c r="AB30" s="338" t="n"/>
      <c r="AC30" s="338" t="n"/>
      <c r="AD30" s="339" t="n"/>
      <c r="AE30" s="339" t="n"/>
      <c r="AF30" s="339" t="n"/>
      <c r="AG30" s="339" t="n"/>
      <c r="AH30" s="339" t="n"/>
      <c r="AI30" s="339" t="n"/>
      <c r="AJ30" s="339" t="n"/>
      <c r="AK30" s="339" t="n"/>
      <c r="AL30" s="339" t="n"/>
      <c r="AM30" s="339" t="n"/>
      <c r="AN30" s="339" t="n"/>
      <c r="AO30" s="339" t="n"/>
      <c r="AP30" s="339" t="n"/>
      <c r="AQ30" s="339" t="n"/>
      <c r="AR30" s="430" t="n"/>
      <c r="AT30" s="336" t="n"/>
      <c r="AU30" s="336" t="n"/>
      <c r="AW30" s="336" t="n"/>
      <c r="AX30" s="336" t="n"/>
      <c r="AY30" s="336" t="n"/>
      <c r="AZ30" s="336" t="n"/>
      <c r="BA30" s="336" t="n"/>
      <c r="BB30" s="336" t="n"/>
      <c r="BD30" s="336" t="n"/>
      <c r="BE30" s="336" t="n"/>
      <c r="BG30" s="336" t="n"/>
      <c r="BH30" s="336" t="n"/>
      <c r="BJ30" s="336" t="n"/>
      <c r="BK30" s="336" t="n"/>
      <c r="BN30" s="336" t="n"/>
      <c r="BO30" s="336" t="n"/>
      <c r="BP30" s="336" t="n"/>
      <c r="BR30" s="336" t="n"/>
      <c r="BS30" s="336" t="n"/>
      <c r="BT30" s="336" t="n"/>
      <c r="BV30" s="336" t="n"/>
      <c r="BW30" s="336" t="n"/>
      <c r="BX30" s="336" t="n"/>
    </row>
    <row r="31" customFormat="1" s="538">
      <c r="A31" s="349" t="n"/>
      <c r="B31" s="350" t="n"/>
      <c r="C31" s="349" t="n"/>
      <c r="D31" s="333" t="n"/>
      <c r="E31" s="354" t="n"/>
      <c r="F31" s="336" t="n"/>
      <c r="G31" s="336" t="n"/>
      <c r="H31" s="335" t="n"/>
      <c r="I31" s="336" t="n"/>
      <c r="J31" s="336" t="n"/>
      <c r="K31" s="336" t="n"/>
      <c r="L31" s="336" t="n"/>
      <c r="M31" s="336" t="n"/>
      <c r="N31" s="336" t="n"/>
      <c r="O31" s="336" t="n"/>
      <c r="P31" s="430" t="n"/>
      <c r="Q31" s="430" t="n"/>
      <c r="R31" s="430" t="n"/>
      <c r="S31" s="430" t="n"/>
      <c r="T31" s="430" t="n"/>
      <c r="U31" s="430" t="n"/>
      <c r="V31" s="357" t="n"/>
      <c r="W31" s="357" t="n"/>
      <c r="X31" s="357" t="n"/>
      <c r="Y31" s="430" t="n"/>
      <c r="Z31" s="338" t="n"/>
      <c r="AA31" s="338" t="n"/>
      <c r="AB31" s="338" t="n"/>
      <c r="AC31" s="338" t="n"/>
      <c r="AD31" s="339" t="n"/>
      <c r="AE31" s="339" t="n"/>
      <c r="AF31" s="339" t="n"/>
      <c r="AG31" s="339" t="n"/>
      <c r="AH31" s="339" t="n"/>
      <c r="AI31" s="339" t="n"/>
      <c r="AJ31" s="339" t="n"/>
      <c r="AK31" s="339" t="n"/>
      <c r="AL31" s="339" t="n"/>
      <c r="AM31" s="339" t="n"/>
      <c r="AN31" s="339" t="n"/>
      <c r="AO31" s="339" t="n"/>
      <c r="AP31" s="339" t="n"/>
      <c r="AQ31" s="339" t="n"/>
      <c r="AR31" s="430" t="n"/>
      <c r="AT31" s="336" t="n"/>
      <c r="AU31" s="336" t="n"/>
      <c r="AW31" s="336" t="n"/>
      <c r="AX31" s="336" t="n"/>
      <c r="AY31" s="336" t="n"/>
      <c r="AZ31" s="336" t="n"/>
      <c r="BA31" s="336" t="n"/>
      <c r="BB31" s="336" t="n"/>
      <c r="BD31" s="336" t="n"/>
      <c r="BE31" s="336" t="n"/>
      <c r="BG31" s="336" t="n"/>
      <c r="BH31" s="336" t="n"/>
      <c r="BJ31" s="336" t="n"/>
      <c r="BK31" s="336" t="n"/>
      <c r="BN31" s="336" t="n"/>
      <c r="BO31" s="336" t="n"/>
      <c r="BP31" s="336" t="n"/>
      <c r="BR31" s="336" t="n"/>
      <c r="BS31" s="336" t="n"/>
      <c r="BT31" s="336" t="n"/>
      <c r="BV31" s="336" t="n"/>
      <c r="BW31" s="336" t="n"/>
      <c r="BX31" s="336" t="n"/>
    </row>
    <row r="32" customFormat="1" s="538">
      <c r="A32" s="349" t="n"/>
      <c r="B32" s="350" t="n"/>
      <c r="C32" s="349" t="n"/>
      <c r="D32" s="333" t="n"/>
      <c r="E32" s="354" t="n"/>
      <c r="F32" s="336" t="n"/>
      <c r="G32" s="336" t="n"/>
      <c r="H32" s="335" t="n"/>
      <c r="I32" s="336" t="n"/>
      <c r="J32" s="336" t="n"/>
      <c r="K32" s="336" t="n"/>
      <c r="L32" s="336" t="n"/>
      <c r="M32" s="336" t="n"/>
      <c r="N32" s="336" t="n"/>
      <c r="O32" s="336" t="n"/>
      <c r="P32" s="430" t="n"/>
      <c r="Q32" s="430" t="n"/>
      <c r="R32" s="430" t="n"/>
      <c r="S32" s="430" t="n"/>
      <c r="T32" s="430" t="n"/>
      <c r="U32" s="430" t="n"/>
      <c r="V32" s="430" t="n"/>
      <c r="W32" s="430" t="n"/>
      <c r="X32" s="430" t="n"/>
      <c r="Y32" s="430" t="n"/>
      <c r="Z32" s="336" t="n"/>
      <c r="AA32" s="336" t="n"/>
      <c r="AB32" s="336" t="n"/>
      <c r="AC32" s="336" t="n"/>
      <c r="AD32" s="339" t="n"/>
      <c r="AE32" s="339" t="n"/>
      <c r="AF32" s="339" t="n"/>
      <c r="AG32" s="339" t="n"/>
      <c r="AH32" s="339" t="n"/>
      <c r="AI32" s="339" t="n"/>
      <c r="AJ32" s="339" t="n"/>
      <c r="AK32" s="339" t="n"/>
      <c r="AL32" s="339" t="n"/>
      <c r="AM32" s="339" t="n"/>
      <c r="AN32" s="336" t="n"/>
      <c r="AO32" s="336" t="n"/>
      <c r="AP32" s="336" t="n"/>
      <c r="AQ32" s="336" t="n"/>
      <c r="AR32" s="430" t="n"/>
      <c r="AT32" s="336" t="n"/>
      <c r="AU32" s="336" t="n"/>
      <c r="AW32" s="336" t="n"/>
      <c r="AX32" s="336" t="n"/>
      <c r="AY32" s="336" t="n"/>
      <c r="AZ32" s="336" t="n"/>
      <c r="BA32" s="336" t="n"/>
      <c r="BB32" s="336" t="n"/>
      <c r="BD32" s="336" t="n"/>
      <c r="BE32" s="336" t="n"/>
      <c r="BG32" s="336" t="n"/>
      <c r="BH32" s="336" t="n"/>
      <c r="BJ32" s="336" t="n"/>
      <c r="BK32" s="336" t="n"/>
      <c r="BN32" s="336" t="n"/>
      <c r="BO32" s="336" t="n"/>
      <c r="BP32" s="336" t="n"/>
      <c r="BR32" s="336" t="n"/>
      <c r="BS32" s="336" t="n"/>
      <c r="BT32" s="336" t="n"/>
      <c r="BV32" s="336" t="n"/>
      <c r="BW32" s="336" t="n"/>
      <c r="BX32" s="336" t="n"/>
    </row>
    <row r="33" customFormat="1" s="538">
      <c r="A33" s="349" t="n"/>
      <c r="B33" s="350" t="n"/>
      <c r="C33" s="349" t="n"/>
      <c r="D33" s="333" t="n"/>
      <c r="E33" s="354" t="n"/>
      <c r="F33" s="336" t="n"/>
      <c r="G33" s="336" t="n"/>
      <c r="H33" s="335" t="n"/>
      <c r="I33" s="336" t="n"/>
      <c r="J33" s="336" t="n"/>
      <c r="K33" s="336" t="n"/>
      <c r="L33" s="336" t="n"/>
      <c r="M33" s="336" t="n"/>
      <c r="N33" s="336" t="n"/>
      <c r="O33" s="336" t="n"/>
      <c r="P33" s="430" t="n"/>
      <c r="Q33" s="430" t="n"/>
      <c r="R33" s="430" t="n"/>
      <c r="S33" s="430" t="n"/>
      <c r="T33" s="430" t="n"/>
      <c r="U33" s="430" t="n"/>
      <c r="V33" s="430" t="n"/>
      <c r="W33" s="430" t="n"/>
      <c r="X33" s="430" t="n"/>
      <c r="Y33" s="430" t="n"/>
      <c r="Z33" s="338" t="n"/>
      <c r="AA33" s="338" t="n"/>
      <c r="AB33" s="338" t="n"/>
      <c r="AC33" s="338" t="n"/>
      <c r="AD33" s="339" t="n"/>
      <c r="AE33" s="339" t="n"/>
      <c r="AF33" s="339" t="n"/>
      <c r="AG33" s="339" t="n"/>
      <c r="AH33" s="339" t="n"/>
      <c r="AI33" s="339" t="n"/>
      <c r="AJ33" s="339" t="n"/>
      <c r="AK33" s="339" t="n"/>
      <c r="AL33" s="339" t="n"/>
      <c r="AM33" s="339" t="n"/>
      <c r="AN33" s="339" t="n"/>
      <c r="AO33" s="339" t="n"/>
      <c r="AP33" s="339" t="n"/>
      <c r="AQ33" s="339" t="n"/>
      <c r="AR33" s="430" t="n"/>
      <c r="AT33" s="336" t="n"/>
      <c r="AU33" s="336" t="n"/>
      <c r="AW33" s="336" t="n"/>
      <c r="AX33" s="336" t="n"/>
      <c r="AY33" s="336" t="n"/>
      <c r="AZ33" s="336" t="n"/>
      <c r="BA33" s="336" t="n"/>
      <c r="BB33" s="336" t="n"/>
      <c r="BD33" s="336" t="n"/>
      <c r="BE33" s="336" t="n"/>
      <c r="BG33" s="336" t="n"/>
      <c r="BH33" s="336" t="n"/>
      <c r="BJ33" s="336" t="n"/>
      <c r="BK33" s="336" t="n"/>
      <c r="BN33" s="336" t="n"/>
      <c r="BO33" s="336" t="n"/>
      <c r="BP33" s="336" t="n"/>
      <c r="BR33" s="336" t="n"/>
      <c r="BS33" s="336" t="n"/>
      <c r="BT33" s="336" t="n"/>
      <c r="BV33" s="336" t="n"/>
      <c r="BW33" s="336" t="n"/>
      <c r="BX33" s="336" t="n"/>
    </row>
    <row r="34" customFormat="1" s="538">
      <c r="A34" s="349" t="n"/>
      <c r="B34" s="350" t="n"/>
      <c r="C34" s="349" t="n"/>
      <c r="D34" s="333" t="n"/>
      <c r="E34" s="354" t="n"/>
      <c r="F34" s="336" t="n"/>
      <c r="G34" s="336" t="n"/>
      <c r="H34" s="335" t="n"/>
      <c r="I34" s="336" t="n"/>
      <c r="J34" s="336" t="n"/>
      <c r="K34" s="336" t="n"/>
      <c r="L34" s="336" t="n"/>
      <c r="M34" s="336" t="n"/>
      <c r="N34" s="336" t="n"/>
      <c r="O34" s="336" t="n"/>
      <c r="P34" s="430" t="n"/>
      <c r="Q34" s="430" t="n"/>
      <c r="R34" s="430" t="n"/>
      <c r="S34" s="430" t="n"/>
      <c r="T34" s="430" t="n"/>
      <c r="U34" s="430" t="n"/>
      <c r="V34" s="430" t="n"/>
      <c r="W34" s="430" t="n"/>
      <c r="X34" s="430" t="n"/>
      <c r="Y34" s="430" t="n"/>
      <c r="Z34" s="338" t="n"/>
      <c r="AA34" s="338" t="n"/>
      <c r="AB34" s="338" t="n"/>
      <c r="AC34" s="338" t="n"/>
      <c r="AD34" s="339" t="n"/>
      <c r="AE34" s="339" t="n"/>
      <c r="AF34" s="339" t="n"/>
      <c r="AG34" s="339" t="n"/>
      <c r="AH34" s="339" t="n"/>
      <c r="AI34" s="339" t="n"/>
      <c r="AJ34" s="339" t="n"/>
      <c r="AK34" s="339" t="n"/>
      <c r="AL34" s="339" t="n"/>
      <c r="AM34" s="339" t="n"/>
      <c r="AN34" s="339" t="n"/>
      <c r="AO34" s="339" t="n"/>
      <c r="AP34" s="339" t="n"/>
      <c r="AQ34" s="339" t="n"/>
      <c r="AR34" s="430" t="n"/>
      <c r="AT34" s="336" t="n"/>
      <c r="AU34" s="336" t="n"/>
      <c r="AW34" s="336" t="n"/>
      <c r="AX34" s="336" t="n"/>
      <c r="AY34" s="336" t="n"/>
      <c r="AZ34" s="336" t="n"/>
      <c r="BA34" s="336" t="n"/>
      <c r="BB34" s="336" t="n"/>
      <c r="BD34" s="336" t="n"/>
      <c r="BE34" s="336" t="n"/>
      <c r="BG34" s="336" t="n"/>
      <c r="BH34" s="336" t="n"/>
      <c r="BJ34" s="336" t="n"/>
      <c r="BK34" s="336" t="n"/>
      <c r="BN34" s="336" t="n"/>
      <c r="BO34" s="336" t="n"/>
      <c r="BP34" s="336" t="n"/>
      <c r="BR34" s="336" t="n"/>
      <c r="BS34" s="336" t="n"/>
      <c r="BT34" s="336" t="n"/>
      <c r="BV34" s="336" t="n"/>
      <c r="BW34" s="336" t="n"/>
      <c r="BX34" s="336" t="n"/>
    </row>
    <row r="35" customFormat="1" s="538">
      <c r="A35" s="349" t="n"/>
      <c r="B35" s="350" t="n"/>
      <c r="C35" s="349" t="n"/>
      <c r="D35" s="333" t="n"/>
      <c r="E35" s="354" t="n"/>
      <c r="F35" s="336" t="n"/>
      <c r="G35" s="336" t="n"/>
      <c r="H35" s="335" t="n"/>
      <c r="I35" s="336" t="n"/>
      <c r="J35" s="336" t="n"/>
      <c r="K35" s="336" t="n"/>
      <c r="L35" s="336" t="n"/>
      <c r="M35" s="336" t="n"/>
      <c r="N35" s="336" t="n"/>
      <c r="O35" s="336" t="n"/>
      <c r="P35" s="430" t="n"/>
      <c r="Q35" s="430" t="n"/>
      <c r="R35" s="430" t="n"/>
      <c r="S35" s="430" t="n"/>
      <c r="T35" s="430" t="n"/>
      <c r="U35" s="430" t="n"/>
      <c r="V35" s="430" t="n"/>
      <c r="W35" s="430" t="n"/>
      <c r="X35" s="430" t="n"/>
      <c r="Y35" s="430" t="n"/>
      <c r="Z35" s="338" t="n"/>
      <c r="AA35" s="338" t="n"/>
      <c r="AB35" s="338" t="n"/>
      <c r="AC35" s="338" t="n"/>
      <c r="AD35" s="339" t="n"/>
      <c r="AE35" s="339" t="n"/>
      <c r="AF35" s="339" t="n"/>
      <c r="AG35" s="339" t="n"/>
      <c r="AH35" s="339" t="n"/>
      <c r="AI35" s="339" t="n"/>
      <c r="AJ35" s="339" t="n"/>
      <c r="AK35" s="339" t="n"/>
      <c r="AL35" s="339" t="n"/>
      <c r="AM35" s="339" t="n"/>
      <c r="AN35" s="339" t="n"/>
      <c r="AO35" s="339" t="n"/>
      <c r="AP35" s="339" t="n"/>
      <c r="AQ35" s="339" t="n"/>
      <c r="AR35" s="430" t="n"/>
      <c r="AT35" s="336" t="n"/>
      <c r="AU35" s="336" t="n"/>
      <c r="AW35" s="336" t="n"/>
      <c r="AX35" s="336" t="n"/>
      <c r="AY35" s="336" t="n"/>
      <c r="AZ35" s="336" t="n"/>
      <c r="BA35" s="336" t="n"/>
      <c r="BB35" s="336" t="n"/>
      <c r="BD35" s="336" t="n"/>
      <c r="BE35" s="336" t="n"/>
      <c r="BG35" s="336" t="n"/>
      <c r="BH35" s="336" t="n"/>
      <c r="BJ35" s="336" t="n"/>
      <c r="BK35" s="336" t="n"/>
      <c r="BN35" s="336" t="n"/>
      <c r="BO35" s="336" t="n"/>
      <c r="BP35" s="336" t="n"/>
      <c r="BR35" s="336" t="n"/>
      <c r="BS35" s="336" t="n"/>
      <c r="BT35" s="336" t="n"/>
      <c r="BV35" s="336" t="n"/>
      <c r="BW35" s="336" t="n"/>
      <c r="BX35" s="336" t="n"/>
    </row>
    <row r="36" customFormat="1" s="538">
      <c r="A36" s="349" t="n"/>
      <c r="B36" s="350" t="n"/>
      <c r="C36" s="353" t="n"/>
      <c r="D36" s="333" t="n"/>
      <c r="E36" s="332" t="n"/>
      <c r="F36" s="336" t="n"/>
      <c r="G36" s="336" t="n"/>
      <c r="H36" s="335" t="n"/>
      <c r="I36" s="336" t="n"/>
      <c r="J36" s="336" t="n"/>
      <c r="K36" s="336" t="n"/>
      <c r="L36" s="336" t="n"/>
      <c r="M36" s="336" t="n"/>
      <c r="N36" s="336" t="n"/>
      <c r="O36" s="336" t="n"/>
      <c r="P36" s="430" t="n"/>
      <c r="Q36" s="430" t="n"/>
      <c r="R36" s="430" t="n"/>
      <c r="S36" s="430" t="n"/>
      <c r="T36" s="430" t="n"/>
      <c r="U36" s="430" t="n"/>
      <c r="V36" s="430" t="n"/>
      <c r="W36" s="430" t="n"/>
      <c r="X36" s="430" t="n"/>
      <c r="Y36" s="430" t="n"/>
      <c r="Z36" s="338" t="n"/>
      <c r="AA36" s="338" t="n"/>
      <c r="AB36" s="338" t="n"/>
      <c r="AC36" s="338" t="n"/>
      <c r="AD36" s="339" t="n"/>
      <c r="AE36" s="339" t="n"/>
      <c r="AF36" s="339" t="n"/>
      <c r="AG36" s="339" t="n"/>
      <c r="AH36" s="339" t="n"/>
      <c r="AI36" s="339" t="n"/>
      <c r="AJ36" s="339" t="n"/>
      <c r="AK36" s="339" t="n"/>
      <c r="AL36" s="339" t="n"/>
      <c r="AM36" s="339" t="n"/>
      <c r="AN36" s="339" t="n"/>
      <c r="AO36" s="339" t="n"/>
      <c r="AP36" s="339" t="n"/>
      <c r="AQ36" s="339" t="n"/>
      <c r="AR36" s="430" t="n"/>
      <c r="AS36" s="336" t="n"/>
      <c r="AT36" s="336" t="n"/>
      <c r="AU36" s="336" t="n"/>
      <c r="AV36" s="336" t="n"/>
      <c r="AW36" s="336" t="n"/>
      <c r="AX36" s="336" t="n"/>
      <c r="AY36" s="336" t="n"/>
      <c r="AZ36" s="336" t="n"/>
      <c r="BA36" s="336" t="n"/>
      <c r="BB36" s="336" t="n"/>
      <c r="BC36" s="336" t="n"/>
      <c r="BD36" s="336" t="n"/>
      <c r="BE36" s="336" t="n"/>
      <c r="BF36" s="336" t="n"/>
      <c r="BG36" s="336" t="n"/>
      <c r="BH36" s="336" t="n"/>
      <c r="BI36" s="336" t="n"/>
      <c r="BJ36" s="336" t="n"/>
      <c r="BK36" s="336" t="n"/>
      <c r="BL36" s="336" t="n"/>
      <c r="BM36" s="336" t="n"/>
      <c r="BN36" s="336" t="n"/>
      <c r="BO36" s="336" t="n"/>
      <c r="BP36" s="336" t="n"/>
      <c r="BQ36" s="336" t="n"/>
      <c r="BR36" s="336" t="n"/>
      <c r="BS36" s="336" t="n"/>
      <c r="BT36" s="336" t="n"/>
      <c r="BU36" s="336" t="n"/>
      <c r="BV36" s="336" t="n"/>
      <c r="BW36" s="336" t="n"/>
      <c r="BX36" s="336" t="n"/>
      <c r="BY36" s="336" t="n"/>
    </row>
    <row r="37" customFormat="1" s="538">
      <c r="A37" s="358" t="n"/>
      <c r="B37" s="358" t="n"/>
      <c r="C37" s="344" t="n"/>
      <c r="D37" s="345" t="n"/>
      <c r="E37" s="346" t="n"/>
      <c r="F37" s="336" t="n"/>
      <c r="G37" s="336" t="n"/>
      <c r="H37" s="336" t="n"/>
      <c r="I37" s="336" t="n"/>
      <c r="J37" s="336" t="n"/>
      <c r="K37" s="336" t="n"/>
      <c r="L37" s="336" t="n"/>
      <c r="M37" s="336" t="n"/>
      <c r="N37" s="336" t="n"/>
      <c r="O37" s="336" t="n"/>
      <c r="P37" s="357" t="n"/>
      <c r="Q37" s="357" t="n"/>
      <c r="R37" s="357" t="n"/>
      <c r="S37" s="357" t="n"/>
      <c r="T37" s="357" t="n"/>
      <c r="U37" s="357" t="n"/>
      <c r="V37" s="357" t="n"/>
      <c r="W37" s="357" t="n"/>
      <c r="X37" s="357" t="n"/>
      <c r="Y37" s="336" t="n"/>
      <c r="Z37" s="338" t="n"/>
      <c r="AA37" s="338" t="n"/>
      <c r="AB37" s="338" t="n"/>
      <c r="AC37" s="338" t="n"/>
      <c r="AD37" s="339" t="n"/>
      <c r="AE37" s="339" t="n"/>
      <c r="AF37" s="339" t="n"/>
      <c r="AG37" s="339" t="n"/>
      <c r="AH37" s="339" t="n"/>
      <c r="AI37" s="339" t="n"/>
      <c r="AJ37" s="339" t="n"/>
      <c r="AK37" s="339" t="n"/>
      <c r="AL37" s="339" t="n"/>
      <c r="AM37" s="339" t="n"/>
      <c r="AN37" s="339" t="n"/>
      <c r="AO37" s="339" t="n"/>
      <c r="AP37" s="339" t="n"/>
      <c r="AQ37" s="339" t="n"/>
      <c r="AR37" s="357" t="n"/>
      <c r="AS37" s="359" t="n"/>
      <c r="AT37" s="336" t="n"/>
      <c r="AU37" s="336" t="n"/>
      <c r="AV37" s="359" t="n"/>
      <c r="AW37" s="336" t="n"/>
      <c r="AX37" s="336" t="n"/>
      <c r="AY37" s="336" t="n"/>
      <c r="AZ37" s="336" t="n"/>
      <c r="BA37" s="336" t="n"/>
      <c r="BB37" s="336" t="n"/>
      <c r="BC37" s="359" t="n"/>
      <c r="BD37" s="336" t="n"/>
      <c r="BE37" s="336" t="n"/>
      <c r="BF37" s="359" t="n"/>
      <c r="BG37" s="336" t="n"/>
      <c r="BH37" s="336" t="n"/>
      <c r="BI37" s="359" t="n"/>
      <c r="BJ37" s="336" t="n"/>
      <c r="BK37" s="336" t="n"/>
      <c r="BL37" s="359" t="n"/>
      <c r="BM37" s="359" t="n"/>
      <c r="BN37" s="336" t="n"/>
      <c r="BO37" s="336" t="n"/>
      <c r="BP37" s="336" t="n"/>
      <c r="BQ37" s="359" t="n"/>
      <c r="BR37" s="336" t="n"/>
      <c r="BS37" s="336" t="n"/>
      <c r="BT37" s="336" t="n"/>
      <c r="BU37" s="359" t="n"/>
      <c r="BV37" s="336" t="n"/>
      <c r="BW37" s="336" t="n"/>
      <c r="BX37" s="336" t="n"/>
      <c r="BY37" s="359" t="n"/>
      <c r="BZ37" s="361" t="n"/>
    </row>
    <row r="38" customFormat="1" s="538">
      <c r="A38" s="350" t="n"/>
      <c r="B38" s="350" t="n"/>
      <c r="C38" s="353" t="n"/>
      <c r="D38" s="333" t="n"/>
      <c r="E38" s="332" t="n"/>
      <c r="F38" s="336" t="n"/>
      <c r="G38" s="336" t="n"/>
      <c r="H38" s="335" t="n"/>
      <c r="I38" s="336" t="n"/>
      <c r="J38" s="336" t="n"/>
      <c r="K38" s="336" t="n"/>
      <c r="L38" s="336" t="n"/>
      <c r="M38" s="336" t="n"/>
      <c r="N38" s="336" t="n"/>
      <c r="O38" s="336" t="n"/>
      <c r="P38" s="430" t="n"/>
      <c r="Q38" s="430" t="n"/>
      <c r="R38" s="430" t="n"/>
      <c r="S38" s="430" t="n"/>
      <c r="T38" s="430" t="n"/>
      <c r="U38" s="430" t="n"/>
      <c r="V38" s="430" t="n"/>
      <c r="W38" s="430" t="n"/>
      <c r="X38" s="430" t="n"/>
      <c r="Y38" s="430" t="n"/>
      <c r="Z38" s="338" t="n"/>
      <c r="AA38" s="338" t="n"/>
      <c r="AB38" s="338" t="n"/>
      <c r="AC38" s="338" t="n"/>
      <c r="AD38" s="339" t="n"/>
      <c r="AE38" s="339" t="n"/>
      <c r="AF38" s="339" t="n"/>
      <c r="AG38" s="339" t="n"/>
      <c r="AH38" s="339" t="n"/>
      <c r="AI38" s="339" t="n"/>
      <c r="AJ38" s="339" t="n"/>
      <c r="AK38" s="339" t="n"/>
      <c r="AL38" s="339" t="n"/>
      <c r="AM38" s="339" t="n"/>
      <c r="AN38" s="339" t="n"/>
      <c r="AO38" s="339" t="n"/>
      <c r="AP38" s="339" t="n"/>
      <c r="AQ38" s="339" t="n"/>
      <c r="AR38" s="430" t="n"/>
      <c r="AS38" s="336" t="n"/>
      <c r="AT38" s="336" t="n"/>
      <c r="AU38" s="336" t="n"/>
      <c r="AV38" s="336" t="n"/>
      <c r="AW38" s="336" t="n"/>
      <c r="AX38" s="336" t="n"/>
      <c r="AY38" s="336" t="n"/>
      <c r="AZ38" s="336" t="n"/>
      <c r="BA38" s="336" t="n"/>
      <c r="BB38" s="336" t="n"/>
      <c r="BC38" s="336" t="n"/>
      <c r="BD38" s="336" t="n"/>
      <c r="BE38" s="336" t="n"/>
      <c r="BF38" s="336" t="n"/>
      <c r="BG38" s="336" t="n"/>
      <c r="BH38" s="336" t="n"/>
      <c r="BI38" s="336" t="n"/>
      <c r="BJ38" s="336" t="n"/>
      <c r="BK38" s="336" t="n"/>
      <c r="BL38" s="336" t="n"/>
      <c r="BM38" s="336" t="n"/>
      <c r="BN38" s="336" t="n"/>
      <c r="BO38" s="336" t="n"/>
      <c r="BP38" s="336" t="n"/>
      <c r="BQ38" s="336" t="n"/>
      <c r="BR38" s="336" t="n"/>
      <c r="BS38" s="336" t="n"/>
      <c r="BT38" s="336" t="n"/>
      <c r="BU38" s="336" t="n"/>
      <c r="BV38" s="336" t="n"/>
      <c r="BW38" s="336" t="n"/>
      <c r="BX38" s="336" t="n"/>
      <c r="BY38" s="336" t="n"/>
    </row>
    <row r="39" customFormat="1" s="538">
      <c r="A39" s="350" t="n"/>
      <c r="B39" s="350" t="n"/>
      <c r="C39" s="353" t="n"/>
      <c r="D39" s="333" t="n"/>
      <c r="E39" s="332" t="n"/>
      <c r="F39" s="336" t="n"/>
      <c r="G39" s="336" t="n"/>
      <c r="H39" s="335" t="n"/>
      <c r="I39" s="336" t="n"/>
      <c r="J39" s="336" t="n"/>
      <c r="K39" s="336" t="n"/>
      <c r="L39" s="336" t="n"/>
      <c r="M39" s="336" t="n"/>
      <c r="N39" s="336" t="n"/>
      <c r="O39" s="336" t="n"/>
      <c r="P39" s="430" t="n"/>
      <c r="Q39" s="430" t="n"/>
      <c r="R39" s="430" t="n"/>
      <c r="S39" s="430" t="n"/>
      <c r="T39" s="430" t="n"/>
      <c r="U39" s="430" t="n"/>
      <c r="V39" s="430" t="n"/>
      <c r="W39" s="430" t="n"/>
      <c r="X39" s="430" t="n"/>
      <c r="Y39" s="430" t="n"/>
      <c r="Z39" s="336" t="n"/>
      <c r="AA39" s="336" t="n"/>
      <c r="AB39" s="336" t="n"/>
      <c r="AC39" s="336" t="n"/>
      <c r="AD39" s="339" t="n"/>
      <c r="AE39" s="339" t="n"/>
      <c r="AF39" s="339" t="n"/>
      <c r="AG39" s="339" t="n"/>
      <c r="AH39" s="339" t="n"/>
      <c r="AI39" s="339" t="n"/>
      <c r="AJ39" s="339" t="n"/>
      <c r="AK39" s="339" t="n"/>
      <c r="AL39" s="339" t="n"/>
      <c r="AM39" s="339" t="n"/>
      <c r="AN39" s="336" t="n"/>
      <c r="AO39" s="336" t="n"/>
      <c r="AP39" s="336" t="n"/>
      <c r="AQ39" s="336" t="n"/>
      <c r="AR39" s="430" t="n"/>
      <c r="AS39" s="336" t="n"/>
      <c r="AT39" s="336" t="n"/>
      <c r="AU39" s="336" t="n"/>
      <c r="AV39" s="336" t="n"/>
      <c r="AW39" s="336" t="n"/>
      <c r="AX39" s="336" t="n"/>
      <c r="AY39" s="336" t="n"/>
      <c r="AZ39" s="336" t="n"/>
      <c r="BA39" s="336" t="n"/>
      <c r="BB39" s="336" t="n"/>
      <c r="BC39" s="336" t="n"/>
      <c r="BD39" s="336" t="n"/>
      <c r="BE39" s="336" t="n"/>
      <c r="BF39" s="336" t="n"/>
      <c r="BG39" s="336" t="n"/>
      <c r="BH39" s="336" t="n"/>
      <c r="BI39" s="336" t="n"/>
      <c r="BJ39" s="336" t="n"/>
      <c r="BK39" s="336" t="n"/>
      <c r="BL39" s="336" t="n"/>
      <c r="BM39" s="336" t="n"/>
      <c r="BN39" s="336" t="n"/>
      <c r="BO39" s="336" t="n"/>
      <c r="BP39" s="336" t="n"/>
      <c r="BQ39" s="336" t="n"/>
      <c r="BR39" s="336" t="n"/>
      <c r="BS39" s="336" t="n"/>
      <c r="BT39" s="336" t="n"/>
      <c r="BU39" s="336" t="n"/>
      <c r="BV39" s="336" t="n"/>
      <c r="BW39" s="336" t="n"/>
      <c r="BX39" s="336" t="n"/>
      <c r="BY39" s="336" t="n"/>
    </row>
    <row r="40" customFormat="1" s="538">
      <c r="A40" s="350" t="n"/>
      <c r="B40" s="350" t="n"/>
      <c r="C40" s="353" t="n"/>
      <c r="D40" s="333" t="n"/>
      <c r="E40" s="332" t="n"/>
      <c r="F40" s="336" t="n"/>
      <c r="G40" s="336" t="n"/>
      <c r="H40" s="335" t="n"/>
      <c r="I40" s="336" t="n"/>
      <c r="J40" s="336" t="n"/>
      <c r="K40" s="336" t="n"/>
      <c r="L40" s="336" t="n"/>
      <c r="M40" s="336" t="n"/>
      <c r="N40" s="336" t="n"/>
      <c r="O40" s="336" t="n"/>
      <c r="P40" s="430" t="n"/>
      <c r="Q40" s="430" t="n"/>
      <c r="R40" s="430" t="n"/>
      <c r="S40" s="430" t="n"/>
      <c r="T40" s="430" t="n"/>
      <c r="U40" s="430" t="n"/>
      <c r="V40" s="430" t="n"/>
      <c r="W40" s="430" t="n"/>
      <c r="X40" s="430" t="n"/>
      <c r="Y40" s="430" t="n"/>
      <c r="Z40" s="338" t="n"/>
      <c r="AA40" s="338" t="n"/>
      <c r="AB40" s="338" t="n"/>
      <c r="AC40" s="338" t="n"/>
      <c r="AD40" s="339" t="n"/>
      <c r="AE40" s="339" t="n"/>
      <c r="AF40" s="339" t="n"/>
      <c r="AG40" s="339" t="n"/>
      <c r="AH40" s="339" t="n"/>
      <c r="AI40" s="339" t="n"/>
      <c r="AJ40" s="339" t="n"/>
      <c r="AK40" s="339" t="n"/>
      <c r="AL40" s="339" t="n"/>
      <c r="AM40" s="339" t="n"/>
      <c r="AN40" s="339" t="n"/>
      <c r="AO40" s="339" t="n"/>
      <c r="AP40" s="339" t="n"/>
      <c r="AQ40" s="339" t="n"/>
      <c r="AR40" s="430" t="n"/>
      <c r="AS40" s="336" t="n"/>
      <c r="AT40" s="336" t="n"/>
      <c r="AU40" s="336" t="n"/>
      <c r="AV40" s="336" t="n"/>
      <c r="AW40" s="336" t="n"/>
      <c r="AX40" s="336" t="n"/>
      <c r="AY40" s="336" t="n"/>
      <c r="AZ40" s="336" t="n"/>
      <c r="BA40" s="336" t="n"/>
      <c r="BB40" s="336" t="n"/>
      <c r="BC40" s="336" t="n"/>
      <c r="BD40" s="336" t="n"/>
      <c r="BE40" s="336" t="n"/>
      <c r="BF40" s="336" t="n"/>
      <c r="BG40" s="336" t="n"/>
      <c r="BH40" s="336" t="n"/>
      <c r="BI40" s="336" t="n"/>
      <c r="BJ40" s="336" t="n"/>
      <c r="BK40" s="336" t="n"/>
      <c r="BL40" s="336" t="n"/>
      <c r="BM40" s="336" t="n"/>
      <c r="BN40" s="336" t="n"/>
      <c r="BO40" s="336" t="n"/>
      <c r="BP40" s="336" t="n"/>
      <c r="BQ40" s="336" t="n"/>
      <c r="BR40" s="336" t="n"/>
      <c r="BS40" s="336" t="n"/>
      <c r="BT40" s="336" t="n"/>
      <c r="BU40" s="336" t="n"/>
      <c r="BV40" s="336" t="n"/>
      <c r="BW40" s="336" t="n"/>
      <c r="BX40" s="336" t="n"/>
      <c r="BY40" s="336" t="n"/>
    </row>
    <row r="41" customFormat="1" s="538">
      <c r="A41" s="350" t="n"/>
      <c r="B41" s="350" t="n"/>
      <c r="C41" s="353" t="n"/>
      <c r="D41" s="333" t="n"/>
      <c r="E41" s="332" t="n"/>
      <c r="F41" s="336" t="n"/>
      <c r="G41" s="336" t="n"/>
      <c r="H41" s="335" t="n"/>
      <c r="I41" s="336" t="n"/>
      <c r="J41" s="336" t="n"/>
      <c r="K41" s="336" t="n"/>
      <c r="L41" s="336" t="n"/>
      <c r="M41" s="336" t="n"/>
      <c r="N41" s="336" t="n"/>
      <c r="O41" s="336" t="n"/>
      <c r="P41" s="430" t="n"/>
      <c r="Q41" s="430" t="n"/>
      <c r="R41" s="430" t="n"/>
      <c r="S41" s="430" t="n"/>
      <c r="T41" s="430" t="n"/>
      <c r="U41" s="430" t="n"/>
      <c r="V41" s="430" t="n"/>
      <c r="W41" s="430" t="n"/>
      <c r="X41" s="430" t="n"/>
      <c r="Y41" s="430" t="n"/>
      <c r="Z41" s="338" t="n"/>
      <c r="AA41" s="338" t="n"/>
      <c r="AB41" s="338" t="n"/>
      <c r="AC41" s="338" t="n"/>
      <c r="AD41" s="339" t="n"/>
      <c r="AE41" s="339" t="n"/>
      <c r="AF41" s="339" t="n"/>
      <c r="AG41" s="339" t="n"/>
      <c r="AH41" s="339" t="n"/>
      <c r="AI41" s="339" t="n"/>
      <c r="AJ41" s="339" t="n"/>
      <c r="AK41" s="339" t="n"/>
      <c r="AL41" s="339" t="n"/>
      <c r="AM41" s="339" t="n"/>
      <c r="AN41" s="339" t="n"/>
      <c r="AO41" s="339" t="n"/>
      <c r="AP41" s="339" t="n"/>
      <c r="AQ41" s="339" t="n"/>
      <c r="AR41" s="430" t="n"/>
      <c r="AS41" s="336" t="n"/>
      <c r="AT41" s="336" t="n"/>
      <c r="AU41" s="336" t="n"/>
      <c r="AV41" s="336" t="n"/>
      <c r="AW41" s="336" t="n"/>
      <c r="AX41" s="336" t="n"/>
      <c r="AY41" s="336" t="n"/>
      <c r="AZ41" s="336" t="n"/>
      <c r="BA41" s="336" t="n"/>
      <c r="BB41" s="336" t="n"/>
      <c r="BC41" s="336" t="n"/>
      <c r="BD41" s="336" t="n"/>
      <c r="BE41" s="336" t="n"/>
      <c r="BF41" s="336" t="n"/>
      <c r="BG41" s="336" t="n"/>
      <c r="BH41" s="336" t="n"/>
      <c r="BI41" s="336" t="n"/>
      <c r="BJ41" s="336" t="n"/>
      <c r="BK41" s="336" t="n"/>
      <c r="BL41" s="336" t="n"/>
      <c r="BM41" s="336" t="n"/>
      <c r="BN41" s="336" t="n"/>
      <c r="BO41" s="336" t="n"/>
      <c r="BP41" s="336" t="n"/>
      <c r="BQ41" s="336" t="n"/>
      <c r="BR41" s="336" t="n"/>
      <c r="BS41" s="336" t="n"/>
      <c r="BT41" s="336" t="n"/>
      <c r="BU41" s="336" t="n"/>
      <c r="BV41" s="336" t="n"/>
      <c r="BW41" s="336" t="n"/>
      <c r="BX41" s="336" t="n"/>
      <c r="BY41" s="336" t="n"/>
    </row>
    <row r="42" customFormat="1" s="538">
      <c r="A42" s="342" t="n"/>
      <c r="B42" s="358" t="n"/>
      <c r="C42" s="344" t="n"/>
      <c r="D42" s="345" t="n"/>
      <c r="E42" s="346" t="n"/>
      <c r="F42" s="336" t="n"/>
      <c r="G42" s="336" t="n"/>
      <c r="H42" s="336" t="n"/>
      <c r="I42" s="336" t="n"/>
      <c r="J42" s="336" t="n"/>
      <c r="K42" s="336" t="n"/>
      <c r="L42" s="336" t="n"/>
      <c r="M42" s="336" t="n"/>
      <c r="N42" s="336" t="n"/>
      <c r="O42" s="336" t="n"/>
      <c r="P42" s="357" t="n"/>
      <c r="Q42" s="357" t="n"/>
      <c r="R42" s="357" t="n"/>
      <c r="S42" s="357" t="n"/>
      <c r="T42" s="357" t="n"/>
      <c r="U42" s="357" t="n"/>
      <c r="V42" s="357" t="n"/>
      <c r="W42" s="357" t="n"/>
      <c r="X42" s="357" t="n"/>
      <c r="Y42" s="336" t="n"/>
      <c r="Z42" s="338" t="n"/>
      <c r="AA42" s="338" t="n"/>
      <c r="AB42" s="338" t="n"/>
      <c r="AC42" s="338" t="n"/>
      <c r="AD42" s="339" t="n"/>
      <c r="AE42" s="339" t="n"/>
      <c r="AF42" s="339" t="n"/>
      <c r="AG42" s="339" t="n"/>
      <c r="AH42" s="339" t="n"/>
      <c r="AI42" s="339" t="n"/>
      <c r="AJ42" s="339" t="n"/>
      <c r="AK42" s="339" t="n"/>
      <c r="AL42" s="339" t="n"/>
      <c r="AM42" s="339" t="n"/>
      <c r="AN42" s="339" t="n"/>
      <c r="AO42" s="339" t="n"/>
      <c r="AP42" s="339" t="n"/>
      <c r="AQ42" s="339" t="n"/>
      <c r="AR42" s="357" t="n"/>
      <c r="AS42" s="336" t="n"/>
      <c r="AT42" s="336" t="n"/>
      <c r="AU42" s="336" t="n"/>
      <c r="AV42" s="336" t="n"/>
      <c r="AW42" s="336" t="n"/>
      <c r="AX42" s="336" t="n"/>
      <c r="AY42" s="336" t="n"/>
      <c r="AZ42" s="336" t="n"/>
      <c r="BA42" s="336" t="n"/>
      <c r="BB42" s="336" t="n"/>
      <c r="BC42" s="336" t="n"/>
      <c r="BD42" s="336" t="n"/>
      <c r="BE42" s="336" t="n"/>
      <c r="BF42" s="336" t="n"/>
      <c r="BG42" s="336" t="n"/>
      <c r="BH42" s="336" t="n"/>
      <c r="BI42" s="336" t="n"/>
      <c r="BJ42" s="336" t="n"/>
      <c r="BK42" s="336" t="n"/>
      <c r="BL42" s="336" t="n"/>
      <c r="BM42" s="336" t="n"/>
      <c r="BN42" s="336" t="n"/>
      <c r="BO42" s="336" t="n"/>
      <c r="BP42" s="336" t="n"/>
      <c r="BQ42" s="336" t="n"/>
      <c r="BR42" s="336" t="n"/>
      <c r="BS42" s="336" t="n"/>
      <c r="BT42" s="336" t="n"/>
      <c r="BU42" s="336" t="n"/>
      <c r="BV42" s="336" t="n"/>
      <c r="BW42" s="336" t="n"/>
      <c r="BX42" s="336" t="n"/>
      <c r="BY42" s="336" t="n"/>
      <c r="BZ42" s="361" t="n"/>
    </row>
    <row r="43" customFormat="1" s="538">
      <c r="A43" s="349" t="n"/>
      <c r="B43" s="350" t="n"/>
      <c r="C43" s="353" t="n"/>
      <c r="D43" s="333" t="n"/>
      <c r="E43" s="332" t="n"/>
      <c r="F43" s="336" t="n"/>
      <c r="G43" s="336" t="n"/>
      <c r="H43" s="335" t="n"/>
      <c r="I43" s="336" t="n"/>
      <c r="J43" s="336" t="n"/>
      <c r="K43" s="336" t="n"/>
      <c r="L43" s="336" t="n"/>
      <c r="M43" s="336" t="n"/>
      <c r="N43" s="336" t="n"/>
      <c r="O43" s="336" t="n"/>
      <c r="P43" s="430" t="n"/>
      <c r="Q43" s="430" t="n"/>
      <c r="R43" s="430" t="n"/>
      <c r="S43" s="430" t="n"/>
      <c r="T43" s="430" t="n"/>
      <c r="U43" s="430" t="n"/>
      <c r="V43" s="430" t="n"/>
      <c r="W43" s="430" t="n"/>
      <c r="X43" s="430" t="n"/>
      <c r="Y43" s="430" t="n"/>
      <c r="Z43" s="338" t="n"/>
      <c r="AA43" s="338" t="n"/>
      <c r="AB43" s="338" t="n"/>
      <c r="AC43" s="338" t="n"/>
      <c r="AD43" s="339" t="n"/>
      <c r="AE43" s="339" t="n"/>
      <c r="AF43" s="339" t="n"/>
      <c r="AG43" s="339" t="n"/>
      <c r="AH43" s="339" t="n"/>
      <c r="AI43" s="339" t="n"/>
      <c r="AJ43" s="339" t="n"/>
      <c r="AK43" s="339" t="n"/>
      <c r="AL43" s="339" t="n"/>
      <c r="AM43" s="339" t="n"/>
      <c r="AN43" s="339" t="n"/>
      <c r="AO43" s="339" t="n"/>
      <c r="AP43" s="339" t="n"/>
      <c r="AQ43" s="339" t="n"/>
      <c r="AR43" s="430" t="n"/>
      <c r="AS43" s="336" t="n"/>
      <c r="AT43" s="336" t="n"/>
      <c r="AU43" s="336" t="n"/>
      <c r="AV43" s="336" t="n"/>
      <c r="AW43" s="336" t="n"/>
      <c r="AX43" s="336" t="n"/>
      <c r="AY43" s="336" t="n"/>
      <c r="AZ43" s="336" t="n"/>
      <c r="BA43" s="336" t="n"/>
      <c r="BB43" s="336" t="n"/>
      <c r="BC43" s="336" t="n"/>
      <c r="BD43" s="336" t="n"/>
      <c r="BE43" s="336" t="n"/>
      <c r="BF43" s="336" t="n"/>
      <c r="BG43" s="336" t="n"/>
      <c r="BH43" s="336" t="n"/>
      <c r="BI43" s="336" t="n"/>
      <c r="BJ43" s="336" t="n"/>
      <c r="BK43" s="336" t="n"/>
      <c r="BL43" s="336" t="n"/>
      <c r="BM43" s="336" t="n"/>
      <c r="BN43" s="336" t="n"/>
      <c r="BO43" s="336" t="n"/>
      <c r="BP43" s="336" t="n"/>
      <c r="BQ43" s="336" t="n"/>
      <c r="BR43" s="336" t="n"/>
      <c r="BS43" s="336" t="n"/>
      <c r="BT43" s="336" t="n"/>
      <c r="BU43" s="336" t="n"/>
      <c r="BV43" s="336" t="n"/>
      <c r="BW43" s="336" t="n"/>
      <c r="BX43" s="336" t="n"/>
      <c r="BY43" s="336" t="n"/>
    </row>
    <row r="44" customFormat="1" s="538">
      <c r="A44" s="349" t="n"/>
      <c r="B44" s="350" t="n"/>
      <c r="C44" s="353" t="n"/>
      <c r="D44" s="333" t="n"/>
      <c r="E44" s="332" t="n"/>
      <c r="F44" s="336" t="n"/>
      <c r="G44" s="336" t="n"/>
      <c r="H44" s="335" t="n"/>
      <c r="I44" s="336" t="n"/>
      <c r="J44" s="336" t="n"/>
      <c r="K44" s="336" t="n"/>
      <c r="L44" s="336" t="n"/>
      <c r="M44" s="336" t="n"/>
      <c r="N44" s="336" t="n"/>
      <c r="O44" s="336" t="n"/>
      <c r="P44" s="430" t="n"/>
      <c r="Q44" s="430" t="n"/>
      <c r="R44" s="430" t="n"/>
      <c r="S44" s="430" t="n"/>
      <c r="T44" s="430" t="n"/>
      <c r="U44" s="430" t="n"/>
      <c r="V44" s="430" t="n"/>
      <c r="W44" s="430" t="n"/>
      <c r="X44" s="430" t="n"/>
      <c r="Y44" s="430" t="n"/>
      <c r="Z44" s="357" t="n"/>
      <c r="AA44" s="357" t="n"/>
      <c r="AB44" s="357" t="n"/>
      <c r="AC44" s="357" t="n"/>
      <c r="AD44" s="339" t="n"/>
      <c r="AE44" s="339" t="n"/>
      <c r="AF44" s="339" t="n"/>
      <c r="AG44" s="339" t="n"/>
      <c r="AH44" s="339" t="n"/>
      <c r="AI44" s="339" t="n"/>
      <c r="AJ44" s="339" t="n"/>
      <c r="AK44" s="339" t="n"/>
      <c r="AL44" s="339" t="n"/>
      <c r="AM44" s="339" t="n"/>
      <c r="AN44" s="357" t="n"/>
      <c r="AO44" s="357" t="n"/>
      <c r="AP44" s="357" t="n"/>
      <c r="AQ44" s="357" t="n"/>
      <c r="AR44" s="430" t="n"/>
      <c r="AS44" s="336" t="n"/>
      <c r="AT44" s="336" t="n"/>
      <c r="AU44" s="336" t="n"/>
      <c r="AV44" s="336" t="n"/>
      <c r="AW44" s="336" t="n"/>
      <c r="AX44" s="336" t="n"/>
      <c r="AY44" s="336" t="n"/>
      <c r="AZ44" s="336" t="n"/>
      <c r="BA44" s="336" t="n"/>
      <c r="BB44" s="336" t="n"/>
      <c r="BC44" s="336" t="n"/>
      <c r="BD44" s="336" t="n"/>
      <c r="BE44" s="336" t="n"/>
      <c r="BF44" s="336" t="n"/>
      <c r="BG44" s="336" t="n"/>
      <c r="BH44" s="336" t="n"/>
      <c r="BI44" s="336" t="n"/>
      <c r="BJ44" s="336" t="n"/>
      <c r="BK44" s="336" t="n"/>
      <c r="BL44" s="336" t="n"/>
      <c r="BM44" s="336" t="n"/>
      <c r="BN44" s="336" t="n"/>
      <c r="BO44" s="336" t="n"/>
      <c r="BP44" s="336" t="n"/>
      <c r="BQ44" s="336" t="n"/>
      <c r="BR44" s="336" t="n"/>
      <c r="BS44" s="336" t="n"/>
      <c r="BT44" s="336" t="n"/>
      <c r="BU44" s="336" t="n"/>
      <c r="BV44" s="336" t="n"/>
      <c r="BW44" s="336" t="n"/>
      <c r="BX44" s="336" t="n"/>
      <c r="BY44" s="336" t="n"/>
    </row>
    <row r="45" customFormat="1" s="538">
      <c r="A45" s="349" t="n"/>
      <c r="B45" s="350" t="n"/>
      <c r="C45" s="353" t="n"/>
      <c r="D45" s="333" t="n"/>
      <c r="E45" s="332" t="n"/>
      <c r="F45" s="336" t="n"/>
      <c r="G45" s="336" t="n"/>
      <c r="H45" s="335" t="n"/>
      <c r="I45" s="336" t="n"/>
      <c r="J45" s="336" t="n"/>
      <c r="K45" s="336" t="n"/>
      <c r="L45" s="336" t="n"/>
      <c r="M45" s="336" t="n"/>
      <c r="N45" s="336" t="n"/>
      <c r="O45" s="336" t="n"/>
      <c r="P45" s="430" t="n"/>
      <c r="Q45" s="430" t="n"/>
      <c r="R45" s="430" t="n"/>
      <c r="S45" s="430" t="n"/>
      <c r="T45" s="430" t="n"/>
      <c r="U45" s="430" t="n"/>
      <c r="V45" s="430" t="n"/>
      <c r="W45" s="430" t="n"/>
      <c r="X45" s="430" t="n"/>
      <c r="Y45" s="430" t="n"/>
      <c r="Z45" s="338" t="n"/>
      <c r="AA45" s="338" t="n"/>
      <c r="AB45" s="338" t="n"/>
      <c r="AC45" s="338" t="n"/>
      <c r="AD45" s="339" t="n"/>
      <c r="AE45" s="339" t="n"/>
      <c r="AF45" s="339" t="n"/>
      <c r="AG45" s="339" t="n"/>
      <c r="AH45" s="339" t="n"/>
      <c r="AI45" s="339" t="n"/>
      <c r="AJ45" s="339" t="n"/>
      <c r="AK45" s="339" t="n"/>
      <c r="AL45" s="339" t="n"/>
      <c r="AM45" s="339" t="n"/>
      <c r="AN45" s="339" t="n"/>
      <c r="AO45" s="339" t="n"/>
      <c r="AP45" s="339" t="n"/>
      <c r="AQ45" s="339" t="n"/>
      <c r="AR45" s="430" t="n"/>
      <c r="AS45" s="336" t="n"/>
      <c r="AT45" s="336" t="n"/>
      <c r="AU45" s="336" t="n"/>
      <c r="AV45" s="336" t="n"/>
      <c r="AW45" s="336" t="n"/>
      <c r="AX45" s="336" t="n"/>
      <c r="AY45" s="336" t="n"/>
      <c r="AZ45" s="336" t="n"/>
      <c r="BA45" s="336" t="n"/>
      <c r="BB45" s="336" t="n"/>
      <c r="BC45" s="336" t="n"/>
      <c r="BD45" s="336" t="n"/>
      <c r="BE45" s="336" t="n"/>
      <c r="BF45" s="336" t="n"/>
      <c r="BG45" s="336" t="n"/>
      <c r="BH45" s="336" t="n"/>
      <c r="BI45" s="336" t="n"/>
      <c r="BJ45" s="336" t="n"/>
      <c r="BK45" s="336" t="n"/>
      <c r="BL45" s="336" t="n"/>
      <c r="BM45" s="336" t="n"/>
      <c r="BN45" s="336" t="n"/>
      <c r="BO45" s="336" t="n"/>
      <c r="BP45" s="336" t="n"/>
      <c r="BQ45" s="336" t="n"/>
      <c r="BR45" s="336" t="n"/>
      <c r="BS45" s="336" t="n"/>
      <c r="BT45" s="336" t="n"/>
      <c r="BU45" s="336" t="n"/>
      <c r="BV45" s="336" t="n"/>
      <c r="BW45" s="336" t="n"/>
      <c r="BX45" s="336" t="n"/>
      <c r="BY45" s="336" t="n"/>
    </row>
    <row r="46" customFormat="1" s="538">
      <c r="A46" s="349" t="n"/>
      <c r="B46" s="350" t="n"/>
      <c r="C46" s="353" t="n"/>
      <c r="D46" s="333" t="n"/>
      <c r="E46" s="332" t="n"/>
      <c r="F46" s="336" t="n"/>
      <c r="G46" s="336" t="n"/>
      <c r="H46" s="335" t="n"/>
      <c r="I46" s="336" t="n"/>
      <c r="J46" s="336" t="n"/>
      <c r="K46" s="336" t="n"/>
      <c r="L46" s="336" t="n"/>
      <c r="M46" s="336" t="n"/>
      <c r="N46" s="336" t="n"/>
      <c r="O46" s="336" t="n"/>
      <c r="P46" s="430" t="n"/>
      <c r="Q46" s="430" t="n"/>
      <c r="R46" s="430" t="n"/>
      <c r="S46" s="430" t="n"/>
      <c r="T46" s="430" t="n"/>
      <c r="U46" s="430" t="n"/>
      <c r="V46" s="430" t="n"/>
      <c r="W46" s="430" t="n"/>
      <c r="X46" s="430" t="n"/>
      <c r="Y46" s="430" t="n"/>
      <c r="Z46" s="338" t="n"/>
      <c r="AA46" s="338" t="n"/>
      <c r="AB46" s="338" t="n"/>
      <c r="AC46" s="338" t="n"/>
      <c r="AD46" s="339" t="n"/>
      <c r="AE46" s="339" t="n"/>
      <c r="AF46" s="339" t="n"/>
      <c r="AG46" s="339" t="n"/>
      <c r="AH46" s="339" t="n"/>
      <c r="AI46" s="339" t="n"/>
      <c r="AJ46" s="339" t="n"/>
      <c r="AK46" s="339" t="n"/>
      <c r="AL46" s="339" t="n"/>
      <c r="AM46" s="339" t="n"/>
      <c r="AN46" s="339" t="n"/>
      <c r="AO46" s="339" t="n"/>
      <c r="AP46" s="339" t="n"/>
      <c r="AQ46" s="339" t="n"/>
      <c r="AR46" s="430" t="n"/>
      <c r="AS46" s="336" t="n"/>
      <c r="AT46" s="336" t="n"/>
      <c r="AU46" s="336" t="n"/>
      <c r="AV46" s="336" t="n"/>
      <c r="AW46" s="336" t="n"/>
      <c r="AX46" s="336" t="n"/>
      <c r="AY46" s="336" t="n"/>
      <c r="AZ46" s="336" t="n"/>
      <c r="BA46" s="336" t="n"/>
      <c r="BB46" s="336" t="n"/>
      <c r="BC46" s="336" t="n"/>
      <c r="BD46" s="336" t="n"/>
      <c r="BE46" s="336" t="n"/>
      <c r="BF46" s="336" t="n"/>
      <c r="BG46" s="336" t="n"/>
      <c r="BH46" s="336" t="n"/>
      <c r="BI46" s="336" t="n"/>
      <c r="BJ46" s="336" t="n"/>
      <c r="BK46" s="336" t="n"/>
      <c r="BL46" s="336" t="n"/>
      <c r="BM46" s="336" t="n"/>
      <c r="BN46" s="336" t="n"/>
      <c r="BO46" s="336" t="n"/>
      <c r="BP46" s="336" t="n"/>
      <c r="BQ46" s="336" t="n"/>
      <c r="BR46" s="336" t="n"/>
      <c r="BS46" s="336" t="n"/>
      <c r="BT46" s="336" t="n"/>
      <c r="BU46" s="336" t="n"/>
      <c r="BV46" s="336" t="n"/>
      <c r="BW46" s="336" t="n"/>
      <c r="BX46" s="336" t="n"/>
      <c r="BY46" s="336" t="n"/>
    </row>
    <row r="47" customFormat="1" s="538">
      <c r="A47" s="349" t="n"/>
      <c r="B47" s="350" t="n"/>
      <c r="C47" s="353" t="n"/>
      <c r="D47" s="333" t="n"/>
      <c r="E47" s="332" t="n"/>
      <c r="F47" s="336" t="n"/>
      <c r="G47" s="336" t="n"/>
      <c r="H47" s="335" t="n"/>
      <c r="I47" s="336" t="n"/>
      <c r="J47" s="336" t="n"/>
      <c r="K47" s="336" t="n"/>
      <c r="L47" s="336" t="n"/>
      <c r="M47" s="336" t="n"/>
      <c r="N47" s="336" t="n"/>
      <c r="O47" s="336" t="n"/>
      <c r="P47" s="430" t="n"/>
      <c r="Q47" s="430" t="n"/>
      <c r="R47" s="430" t="n"/>
      <c r="S47" s="430" t="n"/>
      <c r="T47" s="430" t="n"/>
      <c r="U47" s="430" t="n"/>
      <c r="V47" s="430" t="n"/>
      <c r="W47" s="430" t="n"/>
      <c r="X47" s="430" t="n"/>
      <c r="Y47" s="430" t="n"/>
      <c r="Z47" s="338" t="n"/>
      <c r="AA47" s="338" t="n"/>
      <c r="AB47" s="338" t="n"/>
      <c r="AC47" s="338" t="n"/>
      <c r="AD47" s="339" t="n"/>
      <c r="AE47" s="339" t="n"/>
      <c r="AF47" s="339" t="n"/>
      <c r="AG47" s="339" t="n"/>
      <c r="AH47" s="339" t="n"/>
      <c r="AI47" s="339" t="n"/>
      <c r="AJ47" s="339" t="n"/>
      <c r="AK47" s="339" t="n"/>
      <c r="AL47" s="339" t="n"/>
      <c r="AM47" s="339" t="n"/>
      <c r="AN47" s="339" t="n"/>
      <c r="AO47" s="339" t="n"/>
      <c r="AP47" s="339" t="n"/>
      <c r="AQ47" s="339" t="n"/>
      <c r="AR47" s="430" t="n"/>
      <c r="AS47" s="336" t="n"/>
      <c r="AT47" s="336" t="n"/>
      <c r="AU47" s="336" t="n"/>
      <c r="AV47" s="336" t="n"/>
      <c r="AW47" s="336" t="n"/>
      <c r="AX47" s="336" t="n"/>
      <c r="AY47" s="336" t="n"/>
      <c r="AZ47" s="336" t="n"/>
      <c r="BA47" s="336" t="n"/>
      <c r="BB47" s="336" t="n"/>
      <c r="BC47" s="336" t="n"/>
      <c r="BD47" s="336" t="n"/>
      <c r="BE47" s="336" t="n"/>
      <c r="BF47" s="336" t="n"/>
      <c r="BG47" s="336" t="n"/>
      <c r="BH47" s="336" t="n"/>
      <c r="BI47" s="336" t="n"/>
      <c r="BJ47" s="336" t="n"/>
      <c r="BK47" s="336" t="n"/>
      <c r="BL47" s="336" t="n"/>
      <c r="BM47" s="336" t="n"/>
      <c r="BN47" s="336" t="n"/>
      <c r="BO47" s="336" t="n"/>
      <c r="BP47" s="336" t="n"/>
      <c r="BQ47" s="336" t="n"/>
      <c r="BR47" s="336" t="n"/>
      <c r="BS47" s="336" t="n"/>
      <c r="BT47" s="336" t="n"/>
      <c r="BU47" s="336" t="n"/>
      <c r="BV47" s="336" t="n"/>
      <c r="BW47" s="336" t="n"/>
      <c r="BX47" s="336" t="n"/>
      <c r="BY47" s="336" t="n"/>
    </row>
    <row r="48" customFormat="1" s="538">
      <c r="A48" s="358" t="n"/>
      <c r="B48" s="358" t="n"/>
      <c r="C48" s="344" t="n"/>
      <c r="D48" s="345" t="n"/>
      <c r="E48" s="346" t="n"/>
      <c r="F48" s="336" t="n"/>
      <c r="G48" s="336" t="n"/>
      <c r="H48" s="336" t="n"/>
      <c r="I48" s="336" t="n"/>
      <c r="J48" s="336" t="n"/>
      <c r="K48" s="336" t="n"/>
      <c r="L48" s="336" t="n"/>
      <c r="M48" s="336" t="n"/>
      <c r="N48" s="336" t="n"/>
      <c r="O48" s="336" t="n"/>
      <c r="P48" s="357" t="n"/>
      <c r="Q48" s="357" t="n"/>
      <c r="R48" s="357" t="n"/>
      <c r="S48" s="357" t="n"/>
      <c r="T48" s="357" t="n"/>
      <c r="U48" s="357" t="n"/>
      <c r="V48" s="357" t="n"/>
      <c r="W48" s="357" t="n"/>
      <c r="X48" s="357" t="n"/>
      <c r="Y48" s="336" t="n"/>
      <c r="Z48" s="357" t="n"/>
      <c r="AA48" s="357" t="n"/>
      <c r="AB48" s="357" t="n"/>
      <c r="AC48" s="357" t="n"/>
      <c r="AD48" s="339" t="n"/>
      <c r="AE48" s="339" t="n"/>
      <c r="AF48" s="339" t="n"/>
      <c r="AG48" s="339" t="n"/>
      <c r="AH48" s="339" t="n"/>
      <c r="AI48" s="339" t="n"/>
      <c r="AJ48" s="339" t="n"/>
      <c r="AK48" s="339" t="n"/>
      <c r="AL48" s="339" t="n"/>
      <c r="AM48" s="339" t="n"/>
      <c r="AN48" s="357" t="n"/>
      <c r="AO48" s="357" t="n"/>
      <c r="AP48" s="357" t="n"/>
      <c r="AQ48" s="357" t="n"/>
      <c r="AR48" s="357" t="n"/>
      <c r="AS48" s="336" t="n"/>
      <c r="AT48" s="336" t="n"/>
      <c r="AU48" s="336" t="n"/>
      <c r="AV48" s="336" t="n"/>
      <c r="AW48" s="336" t="n"/>
      <c r="AX48" s="336" t="n"/>
      <c r="AY48" s="336" t="n"/>
      <c r="AZ48" s="336" t="n"/>
      <c r="BA48" s="336" t="n"/>
      <c r="BB48" s="336" t="n"/>
      <c r="BC48" s="336" t="n"/>
      <c r="BD48" s="336" t="n"/>
      <c r="BE48" s="336" t="n"/>
      <c r="BF48" s="336" t="n"/>
      <c r="BG48" s="336" t="n"/>
      <c r="BH48" s="336" t="n"/>
      <c r="BI48" s="336" t="n"/>
      <c r="BJ48" s="336" t="n"/>
      <c r="BK48" s="336" t="n"/>
      <c r="BL48" s="336" t="n"/>
      <c r="BM48" s="336" t="n"/>
      <c r="BN48" s="336" t="n"/>
      <c r="BO48" s="336" t="n"/>
      <c r="BP48" s="336" t="n"/>
      <c r="BQ48" s="336" t="n"/>
      <c r="BR48" s="336" t="n"/>
      <c r="BS48" s="336" t="n"/>
      <c r="BT48" s="336" t="n"/>
      <c r="BU48" s="336" t="n"/>
      <c r="BV48" s="336" t="n"/>
      <c r="BW48" s="336" t="n"/>
      <c r="BX48" s="336" t="n"/>
      <c r="BY48" s="336" t="n"/>
      <c r="BZ48" s="361" t="n"/>
    </row>
    <row r="49" customFormat="1" s="538">
      <c r="A49" s="350" t="n"/>
      <c r="B49" s="350" t="n"/>
      <c r="C49" s="353" t="n"/>
      <c r="D49" s="333" t="n"/>
      <c r="E49" s="332" t="n"/>
      <c r="F49" s="336" t="n"/>
      <c r="G49" s="336" t="n"/>
      <c r="H49" s="335" t="n"/>
      <c r="I49" s="336" t="n"/>
      <c r="J49" s="336" t="n"/>
      <c r="K49" s="336" t="n"/>
      <c r="L49" s="336" t="n"/>
      <c r="M49" s="336" t="n"/>
      <c r="N49" s="336" t="n"/>
      <c r="O49" s="336" t="n"/>
      <c r="P49" s="430" t="n"/>
      <c r="Q49" s="430" t="n"/>
      <c r="R49" s="430" t="n"/>
      <c r="S49" s="430" t="n"/>
      <c r="T49" s="430" t="n"/>
      <c r="U49" s="430" t="n"/>
      <c r="V49" s="430" t="n"/>
      <c r="W49" s="430" t="n"/>
      <c r="X49" s="430" t="n"/>
      <c r="Y49" s="430" t="n"/>
      <c r="Z49" s="338" t="n"/>
      <c r="AA49" s="338" t="n"/>
      <c r="AB49" s="338" t="n"/>
      <c r="AC49" s="338" t="n"/>
      <c r="AD49" s="339" t="n"/>
      <c r="AE49" s="339" t="n"/>
      <c r="AF49" s="339" t="n"/>
      <c r="AG49" s="339" t="n"/>
      <c r="AH49" s="339" t="n"/>
      <c r="AI49" s="339" t="n"/>
      <c r="AJ49" s="339" t="n"/>
      <c r="AK49" s="339" t="n"/>
      <c r="AL49" s="339" t="n"/>
      <c r="AM49" s="339" t="n"/>
      <c r="AN49" s="339" t="n"/>
      <c r="AO49" s="339" t="n"/>
      <c r="AP49" s="339" t="n"/>
      <c r="AQ49" s="339" t="n"/>
      <c r="AR49" s="430" t="n"/>
      <c r="AS49" s="336" t="n"/>
      <c r="AT49" s="336" t="n"/>
      <c r="AU49" s="336" t="n"/>
      <c r="AV49" s="336" t="n"/>
      <c r="AW49" s="336" t="n"/>
      <c r="AX49" s="336" t="n"/>
      <c r="AY49" s="336" t="n"/>
      <c r="AZ49" s="336" t="n"/>
      <c r="BA49" s="336" t="n"/>
      <c r="BB49" s="336" t="n"/>
      <c r="BC49" s="336" t="n"/>
      <c r="BD49" s="336" t="n"/>
      <c r="BE49" s="336" t="n"/>
      <c r="BF49" s="336" t="n"/>
      <c r="BG49" s="336" t="n"/>
      <c r="BH49" s="336" t="n"/>
      <c r="BI49" s="336" t="n"/>
      <c r="BJ49" s="336" t="n"/>
      <c r="BK49" s="336" t="n"/>
      <c r="BL49" s="336" t="n"/>
      <c r="BM49" s="336" t="n"/>
      <c r="BN49" s="336" t="n"/>
      <c r="BO49" s="336" t="n"/>
      <c r="BP49" s="336" t="n"/>
      <c r="BQ49" s="336" t="n"/>
      <c r="BR49" s="336" t="n"/>
      <c r="BS49" s="336" t="n"/>
      <c r="BT49" s="336" t="n"/>
      <c r="BU49" s="336" t="n"/>
      <c r="BV49" s="336" t="n"/>
      <c r="BW49" s="336" t="n"/>
      <c r="BX49" s="336" t="n"/>
      <c r="BY49" s="336" t="n"/>
    </row>
    <row r="50" customFormat="1" s="538">
      <c r="A50" s="350" t="n"/>
      <c r="B50" s="350" t="n"/>
      <c r="C50" s="353" t="n"/>
      <c r="D50" s="333" t="n"/>
      <c r="E50" s="332" t="n"/>
      <c r="F50" s="336" t="n"/>
      <c r="G50" s="336" t="n"/>
      <c r="H50" s="335" t="n"/>
      <c r="I50" s="336" t="n"/>
      <c r="J50" s="336" t="n"/>
      <c r="K50" s="336" t="n"/>
      <c r="L50" s="336" t="n"/>
      <c r="M50" s="336" t="n"/>
      <c r="N50" s="336" t="n"/>
      <c r="O50" s="336" t="n"/>
      <c r="P50" s="430" t="n"/>
      <c r="Q50" s="430" t="n"/>
      <c r="R50" s="430" t="n"/>
      <c r="S50" s="430" t="n"/>
      <c r="T50" s="430" t="n"/>
      <c r="U50" s="430" t="n"/>
      <c r="V50" s="430" t="n"/>
      <c r="W50" s="430" t="n"/>
      <c r="X50" s="430" t="n"/>
      <c r="Y50" s="430" t="n"/>
      <c r="Z50" s="338" t="n"/>
      <c r="AA50" s="338" t="n"/>
      <c r="AB50" s="338" t="n"/>
      <c r="AC50" s="338" t="n"/>
      <c r="AD50" s="339" t="n"/>
      <c r="AE50" s="339" t="n"/>
      <c r="AF50" s="339" t="n"/>
      <c r="AG50" s="339" t="n"/>
      <c r="AH50" s="339" t="n"/>
      <c r="AI50" s="339" t="n"/>
      <c r="AJ50" s="339" t="n"/>
      <c r="AK50" s="339" t="n"/>
      <c r="AL50" s="339" t="n"/>
      <c r="AM50" s="339" t="n"/>
      <c r="AN50" s="339" t="n"/>
      <c r="AO50" s="339" t="n"/>
      <c r="AP50" s="339" t="n"/>
      <c r="AQ50" s="339" t="n"/>
      <c r="AR50" s="430" t="n"/>
      <c r="AS50" s="336" t="n"/>
      <c r="AT50" s="336" t="n"/>
      <c r="AU50" s="336" t="n"/>
      <c r="AV50" s="336" t="n"/>
      <c r="AW50" s="336" t="n"/>
      <c r="AX50" s="336" t="n"/>
      <c r="AY50" s="336" t="n"/>
      <c r="AZ50" s="336" t="n"/>
      <c r="BA50" s="336" t="n"/>
      <c r="BB50" s="336" t="n"/>
      <c r="BC50" s="336" t="n"/>
      <c r="BD50" s="336" t="n"/>
      <c r="BE50" s="336" t="n"/>
      <c r="BF50" s="336" t="n"/>
      <c r="BG50" s="336" t="n"/>
      <c r="BH50" s="336" t="n"/>
      <c r="BI50" s="336" t="n"/>
      <c r="BJ50" s="336" t="n"/>
      <c r="BK50" s="336" t="n"/>
      <c r="BL50" s="336" t="n"/>
      <c r="BM50" s="336" t="n"/>
      <c r="BN50" s="336" t="n"/>
      <c r="BO50" s="336" t="n"/>
      <c r="BP50" s="336" t="n"/>
      <c r="BQ50" s="336" t="n"/>
      <c r="BR50" s="336" t="n"/>
      <c r="BS50" s="336" t="n"/>
      <c r="BT50" s="336" t="n"/>
      <c r="BU50" s="336" t="n"/>
      <c r="BV50" s="336" t="n"/>
      <c r="BW50" s="336" t="n"/>
      <c r="BX50" s="336" t="n"/>
      <c r="BY50" s="336" t="n"/>
    </row>
    <row r="51" customFormat="1" s="538">
      <c r="A51" s="350" t="n"/>
      <c r="B51" s="350" t="n"/>
      <c r="C51" s="353" t="n"/>
      <c r="D51" s="333" t="n"/>
      <c r="E51" s="332" t="n"/>
      <c r="F51" s="336" t="n"/>
      <c r="G51" s="336" t="n"/>
      <c r="H51" s="335" t="n"/>
      <c r="I51" s="336" t="n"/>
      <c r="J51" s="336" t="n"/>
      <c r="K51" s="336" t="n"/>
      <c r="L51" s="336" t="n"/>
      <c r="M51" s="336" t="n"/>
      <c r="N51" s="336" t="n"/>
      <c r="O51" s="336" t="n"/>
      <c r="P51" s="430" t="n"/>
      <c r="Q51" s="430" t="n"/>
      <c r="R51" s="430" t="n"/>
      <c r="S51" s="430" t="n"/>
      <c r="T51" s="430" t="n"/>
      <c r="U51" s="430" t="n"/>
      <c r="V51" s="430" t="n"/>
      <c r="W51" s="430" t="n"/>
      <c r="X51" s="430" t="n"/>
      <c r="Y51" s="430" t="n"/>
      <c r="Z51" s="338" t="n"/>
      <c r="AA51" s="338" t="n"/>
      <c r="AB51" s="338" t="n"/>
      <c r="AC51" s="338" t="n"/>
      <c r="AD51" s="339" t="n"/>
      <c r="AE51" s="339" t="n"/>
      <c r="AF51" s="339" t="n"/>
      <c r="AG51" s="339" t="n"/>
      <c r="AH51" s="339" t="n"/>
      <c r="AI51" s="339" t="n"/>
      <c r="AJ51" s="339" t="n"/>
      <c r="AK51" s="339" t="n"/>
      <c r="AL51" s="339" t="n"/>
      <c r="AM51" s="339" t="n"/>
      <c r="AN51" s="339" t="n"/>
      <c r="AO51" s="339" t="n"/>
      <c r="AP51" s="339" t="n"/>
      <c r="AQ51" s="339" t="n"/>
      <c r="AR51" s="430" t="n"/>
      <c r="AS51" s="336" t="n"/>
      <c r="AT51" s="336" t="n"/>
      <c r="AU51" s="336" t="n"/>
      <c r="AV51" s="336" t="n"/>
      <c r="AW51" s="336" t="n"/>
      <c r="AX51" s="336" t="n"/>
      <c r="AY51" s="336" t="n"/>
      <c r="AZ51" s="336" t="n"/>
      <c r="BA51" s="336" t="n"/>
      <c r="BB51" s="336" t="n"/>
      <c r="BC51" s="336" t="n"/>
      <c r="BD51" s="336" t="n"/>
      <c r="BE51" s="336" t="n"/>
      <c r="BF51" s="336" t="n"/>
      <c r="BG51" s="336" t="n"/>
      <c r="BH51" s="336" t="n"/>
      <c r="BI51" s="336" t="n"/>
      <c r="BJ51" s="336" t="n"/>
      <c r="BK51" s="336" t="n"/>
      <c r="BL51" s="336" t="n"/>
      <c r="BM51" s="336" t="n"/>
      <c r="BN51" s="336" t="n"/>
      <c r="BO51" s="336" t="n"/>
      <c r="BP51" s="336" t="n"/>
      <c r="BQ51" s="336" t="n"/>
      <c r="BR51" s="336" t="n"/>
      <c r="BS51" s="336" t="n"/>
      <c r="BT51" s="336" t="n"/>
      <c r="BU51" s="336" t="n"/>
      <c r="BV51" s="336" t="n"/>
      <c r="BW51" s="336" t="n"/>
      <c r="BX51" s="336" t="n"/>
      <c r="BY51" s="336" t="n"/>
    </row>
    <row r="52" customFormat="1" s="538">
      <c r="A52" s="342" t="n"/>
      <c r="B52" s="358" t="n"/>
      <c r="C52" s="344" t="n"/>
      <c r="D52" s="345" t="n"/>
      <c r="E52" s="346" t="n"/>
      <c r="F52" s="336" t="n"/>
      <c r="G52" s="336" t="n"/>
      <c r="H52" s="336" t="n"/>
      <c r="I52" s="336" t="n"/>
      <c r="J52" s="336" t="n"/>
      <c r="K52" s="336" t="n"/>
      <c r="L52" s="336" t="n"/>
      <c r="M52" s="336" t="n"/>
      <c r="N52" s="336" t="n"/>
      <c r="O52" s="336" t="n"/>
      <c r="P52" s="357" t="n"/>
      <c r="Q52" s="357" t="n"/>
      <c r="R52" s="357" t="n"/>
      <c r="S52" s="357" t="n"/>
      <c r="T52" s="357" t="n"/>
      <c r="U52" s="357" t="n"/>
      <c r="V52" s="357" t="n"/>
      <c r="W52" s="357" t="n"/>
      <c r="X52" s="357" t="n"/>
      <c r="Y52" s="336" t="n"/>
      <c r="Z52" s="338" t="n"/>
      <c r="AA52" s="338" t="n"/>
      <c r="AB52" s="338" t="n"/>
      <c r="AC52" s="338" t="n"/>
      <c r="AD52" s="339" t="n"/>
      <c r="AE52" s="339" t="n"/>
      <c r="AF52" s="339" t="n"/>
      <c r="AG52" s="339" t="n"/>
      <c r="AH52" s="339" t="n"/>
      <c r="AI52" s="339" t="n"/>
      <c r="AJ52" s="339" t="n"/>
      <c r="AK52" s="339" t="n"/>
      <c r="AL52" s="339" t="n"/>
      <c r="AM52" s="339" t="n"/>
      <c r="AN52" s="339" t="n"/>
      <c r="AO52" s="339" t="n"/>
      <c r="AP52" s="339" t="n"/>
      <c r="AQ52" s="339" t="n"/>
      <c r="AR52" s="357" t="n"/>
      <c r="AS52" s="336" t="n"/>
      <c r="AT52" s="336" t="n"/>
      <c r="AU52" s="336" t="n"/>
      <c r="AV52" s="336" t="n"/>
      <c r="AW52" s="336" t="n"/>
      <c r="AX52" s="336" t="n"/>
      <c r="AY52" s="336" t="n"/>
      <c r="AZ52" s="336" t="n"/>
      <c r="BA52" s="336" t="n"/>
      <c r="BB52" s="336" t="n"/>
      <c r="BC52" s="336" t="n"/>
      <c r="BD52" s="336" t="n"/>
      <c r="BE52" s="336" t="n"/>
      <c r="BF52" s="336" t="n"/>
      <c r="BG52" s="336" t="n"/>
      <c r="BH52" s="336" t="n"/>
      <c r="BI52" s="336" t="n"/>
      <c r="BJ52" s="336" t="n"/>
      <c r="BK52" s="336" t="n"/>
      <c r="BL52" s="336" t="n"/>
      <c r="BM52" s="336" t="n"/>
      <c r="BN52" s="336" t="n"/>
      <c r="BO52" s="336" t="n"/>
      <c r="BP52" s="336" t="n"/>
      <c r="BQ52" s="336" t="n"/>
      <c r="BR52" s="336" t="n"/>
      <c r="BS52" s="336" t="n"/>
      <c r="BT52" s="336" t="n"/>
      <c r="BU52" s="336" t="n"/>
      <c r="BV52" s="336" t="n"/>
      <c r="BW52" s="336" t="n"/>
      <c r="BX52" s="336" t="n"/>
      <c r="BY52" s="336" t="n"/>
      <c r="BZ52" s="361" t="n"/>
    </row>
    <row r="53" customFormat="1" s="538">
      <c r="A53" s="349" t="n"/>
      <c r="B53" s="350" t="n"/>
      <c r="C53" s="353" t="n"/>
      <c r="D53" s="333" t="n"/>
      <c r="E53" s="332" t="n"/>
      <c r="F53" s="336" t="n"/>
      <c r="G53" s="336" t="n"/>
      <c r="H53" s="335" t="n"/>
      <c r="I53" s="336" t="n"/>
      <c r="J53" s="336" t="n"/>
      <c r="K53" s="336" t="n"/>
      <c r="L53" s="336" t="n"/>
      <c r="M53" s="336" t="n"/>
      <c r="N53" s="336" t="n"/>
      <c r="O53" s="336" t="n"/>
      <c r="P53" s="430" t="n"/>
      <c r="Q53" s="430" t="n"/>
      <c r="R53" s="430" t="n"/>
      <c r="S53" s="430" t="n"/>
      <c r="T53" s="430" t="n"/>
      <c r="U53" s="430" t="n"/>
      <c r="V53" s="430" t="n"/>
      <c r="W53" s="430" t="n"/>
      <c r="X53" s="430" t="n"/>
      <c r="Y53" s="430" t="n"/>
      <c r="Z53" s="338" t="n"/>
      <c r="AA53" s="338" t="n"/>
      <c r="AB53" s="338" t="n"/>
      <c r="AC53" s="338" t="n"/>
      <c r="AD53" s="339" t="n"/>
      <c r="AE53" s="339" t="n"/>
      <c r="AF53" s="339" t="n"/>
      <c r="AG53" s="339" t="n"/>
      <c r="AH53" s="339" t="n"/>
      <c r="AI53" s="339" t="n"/>
      <c r="AJ53" s="339" t="n"/>
      <c r="AK53" s="339" t="n"/>
      <c r="AL53" s="339" t="n"/>
      <c r="AM53" s="339" t="n"/>
      <c r="AN53" s="339" t="n"/>
      <c r="AO53" s="339" t="n"/>
      <c r="AP53" s="339" t="n"/>
      <c r="AQ53" s="339" t="n"/>
      <c r="AR53" s="430" t="n"/>
      <c r="AS53" s="336" t="n"/>
      <c r="AT53" s="336" t="n"/>
      <c r="AU53" s="336" t="n"/>
      <c r="AV53" s="336" t="n"/>
      <c r="AW53" s="336" t="n"/>
      <c r="AX53" s="336" t="n"/>
      <c r="AY53" s="336" t="n"/>
      <c r="AZ53" s="336" t="n"/>
      <c r="BA53" s="336" t="n"/>
      <c r="BB53" s="336" t="n"/>
      <c r="BC53" s="336" t="n"/>
      <c r="BD53" s="336" t="n"/>
      <c r="BE53" s="336" t="n"/>
      <c r="BF53" s="336" t="n"/>
      <c r="BG53" s="336" t="n"/>
      <c r="BH53" s="336" t="n"/>
      <c r="BI53" s="336" t="n"/>
      <c r="BJ53" s="336" t="n"/>
      <c r="BK53" s="336" t="n"/>
      <c r="BL53" s="336" t="n"/>
      <c r="BM53" s="336" t="n"/>
      <c r="BN53" s="336" t="n"/>
      <c r="BO53" s="336" t="n"/>
      <c r="BP53" s="336" t="n"/>
      <c r="BQ53" s="336" t="n"/>
      <c r="BR53" s="336" t="n"/>
      <c r="BS53" s="336" t="n"/>
      <c r="BT53" s="336" t="n"/>
      <c r="BU53" s="336" t="n"/>
      <c r="BV53" s="336" t="n"/>
      <c r="BW53" s="336" t="n"/>
      <c r="BX53" s="336" t="n"/>
      <c r="BY53" s="336" t="n"/>
    </row>
    <row r="54" customFormat="1" s="538">
      <c r="A54" s="349" t="n"/>
      <c r="B54" s="350" t="n"/>
      <c r="C54" s="353" t="n"/>
      <c r="D54" s="333" t="n"/>
      <c r="E54" s="332" t="n"/>
      <c r="F54" s="336" t="n"/>
      <c r="G54" s="336" t="n"/>
      <c r="H54" s="335" t="n"/>
      <c r="I54" s="336" t="n"/>
      <c r="J54" s="336" t="n"/>
      <c r="K54" s="336" t="n"/>
      <c r="L54" s="336" t="n"/>
      <c r="M54" s="336" t="n"/>
      <c r="N54" s="336" t="n"/>
      <c r="O54" s="336" t="n"/>
      <c r="P54" s="430" t="n"/>
      <c r="Q54" s="430" t="n"/>
      <c r="R54" s="430" t="n"/>
      <c r="S54" s="430" t="n"/>
      <c r="T54" s="430" t="n"/>
      <c r="U54" s="430" t="n"/>
      <c r="V54" s="430" t="n"/>
      <c r="W54" s="430" t="n"/>
      <c r="X54" s="430" t="n"/>
      <c r="Y54" s="430" t="n"/>
      <c r="Z54" s="357" t="n"/>
      <c r="AA54" s="357" t="n"/>
      <c r="AB54" s="357" t="n"/>
      <c r="AC54" s="357" t="n"/>
      <c r="AD54" s="339" t="n"/>
      <c r="AE54" s="339" t="n"/>
      <c r="AF54" s="339" t="n"/>
      <c r="AG54" s="339" t="n"/>
      <c r="AH54" s="339" t="n"/>
      <c r="AI54" s="339" t="n"/>
      <c r="AJ54" s="339" t="n"/>
      <c r="AK54" s="339" t="n"/>
      <c r="AL54" s="339" t="n"/>
      <c r="AM54" s="339" t="n"/>
      <c r="AN54" s="357" t="n"/>
      <c r="AO54" s="357" t="n"/>
      <c r="AP54" s="357" t="n"/>
      <c r="AQ54" s="357" t="n"/>
      <c r="AR54" s="430" t="n"/>
      <c r="AS54" s="336" t="n"/>
      <c r="AT54" s="336" t="n"/>
      <c r="AU54" s="336" t="n"/>
      <c r="AV54" s="336" t="n"/>
      <c r="AW54" s="336" t="n"/>
      <c r="AX54" s="336" t="n"/>
      <c r="AY54" s="336" t="n"/>
      <c r="AZ54" s="336" t="n"/>
      <c r="BA54" s="336" t="n"/>
      <c r="BB54" s="336" t="n"/>
      <c r="BC54" s="336" t="n"/>
      <c r="BD54" s="336" t="n"/>
      <c r="BE54" s="336" t="n"/>
      <c r="BF54" s="336" t="n"/>
      <c r="BG54" s="336" t="n"/>
      <c r="BH54" s="336" t="n"/>
      <c r="BI54" s="336" t="n"/>
      <c r="BJ54" s="336" t="n"/>
      <c r="BK54" s="336" t="n"/>
      <c r="BL54" s="336" t="n"/>
      <c r="BM54" s="336" t="n"/>
      <c r="BN54" s="336" t="n"/>
      <c r="BO54" s="336" t="n"/>
      <c r="BP54" s="336" t="n"/>
      <c r="BQ54" s="336" t="n"/>
      <c r="BR54" s="336" t="n"/>
      <c r="BS54" s="336" t="n"/>
      <c r="BT54" s="336" t="n"/>
      <c r="BU54" s="336" t="n"/>
      <c r="BV54" s="336" t="n"/>
      <c r="BW54" s="336" t="n"/>
      <c r="BX54" s="336" t="n"/>
      <c r="BY54" s="336" t="n"/>
    </row>
    <row r="55" customFormat="1" s="538">
      <c r="A55" s="349" t="n"/>
      <c r="B55" s="350" t="n"/>
      <c r="C55" s="353" t="n"/>
      <c r="D55" s="333" t="n"/>
      <c r="E55" s="332" t="n"/>
      <c r="F55" s="336" t="n"/>
      <c r="G55" s="336" t="n"/>
      <c r="H55" s="335" t="n"/>
      <c r="I55" s="336" t="n"/>
      <c r="J55" s="336" t="n"/>
      <c r="K55" s="336" t="n"/>
      <c r="L55" s="336" t="n"/>
      <c r="M55" s="336" t="n"/>
      <c r="N55" s="336" t="n"/>
      <c r="O55" s="336" t="n"/>
      <c r="P55" s="430" t="n"/>
      <c r="Q55" s="430" t="n"/>
      <c r="R55" s="430" t="n"/>
      <c r="S55" s="430" t="n"/>
      <c r="T55" s="430" t="n"/>
      <c r="U55" s="430" t="n"/>
      <c r="V55" s="430" t="n"/>
      <c r="W55" s="430" t="n"/>
      <c r="X55" s="430" t="n"/>
      <c r="Y55" s="430" t="n"/>
      <c r="Z55" s="338" t="n"/>
      <c r="AA55" s="338" t="n"/>
      <c r="AB55" s="338" t="n"/>
      <c r="AC55" s="338" t="n"/>
      <c r="AD55" s="339" t="n"/>
      <c r="AE55" s="339" t="n"/>
      <c r="AF55" s="339" t="n"/>
      <c r="AG55" s="339" t="n"/>
      <c r="AH55" s="339" t="n"/>
      <c r="AI55" s="339" t="n"/>
      <c r="AJ55" s="339" t="n"/>
      <c r="AK55" s="339" t="n"/>
      <c r="AL55" s="339" t="n"/>
      <c r="AM55" s="339" t="n"/>
      <c r="AN55" s="339" t="n"/>
      <c r="AO55" s="339" t="n"/>
      <c r="AP55" s="339" t="n"/>
      <c r="AQ55" s="339" t="n"/>
      <c r="AR55" s="430" t="n"/>
      <c r="AS55" s="336" t="n"/>
      <c r="AT55" s="336" t="n"/>
      <c r="AU55" s="336" t="n"/>
      <c r="AV55" s="336" t="n"/>
      <c r="AW55" s="336" t="n"/>
      <c r="AX55" s="336" t="n"/>
      <c r="AY55" s="336" t="n"/>
      <c r="AZ55" s="336" t="n"/>
      <c r="BA55" s="336" t="n"/>
      <c r="BB55" s="336" t="n"/>
      <c r="BC55" s="336" t="n"/>
      <c r="BD55" s="336" t="n"/>
      <c r="BE55" s="336" t="n"/>
      <c r="BF55" s="336" t="n"/>
      <c r="BG55" s="336" t="n"/>
      <c r="BH55" s="336" t="n"/>
      <c r="BI55" s="336" t="n"/>
      <c r="BJ55" s="336" t="n"/>
      <c r="BK55" s="336" t="n"/>
      <c r="BL55" s="336" t="n"/>
      <c r="BM55" s="336" t="n"/>
      <c r="BN55" s="336" t="n"/>
      <c r="BO55" s="336" t="n"/>
      <c r="BP55" s="336" t="n"/>
      <c r="BQ55" s="336" t="n"/>
      <c r="BR55" s="336" t="n"/>
      <c r="BS55" s="336" t="n"/>
      <c r="BT55" s="336" t="n"/>
      <c r="BU55" s="336" t="n"/>
      <c r="BV55" s="336" t="n"/>
      <c r="BW55" s="336" t="n"/>
      <c r="BX55" s="336" t="n"/>
      <c r="BY55" s="336" t="n"/>
    </row>
    <row r="56" customFormat="1" s="538">
      <c r="A56" s="349" t="n"/>
      <c r="B56" s="350" t="n"/>
      <c r="C56" s="353" t="n"/>
      <c r="D56" s="333" t="n"/>
      <c r="E56" s="332" t="n"/>
      <c r="F56" s="336" t="n"/>
      <c r="G56" s="336" t="n"/>
      <c r="H56" s="335" t="n"/>
      <c r="I56" s="336" t="n"/>
      <c r="J56" s="336" t="n"/>
      <c r="K56" s="336" t="n"/>
      <c r="L56" s="336" t="n"/>
      <c r="M56" s="336" t="n"/>
      <c r="N56" s="336" t="n"/>
      <c r="O56" s="336" t="n"/>
      <c r="P56" s="430" t="n"/>
      <c r="Q56" s="430" t="n"/>
      <c r="R56" s="430" t="n"/>
      <c r="S56" s="430" t="n"/>
      <c r="T56" s="430" t="n"/>
      <c r="U56" s="430" t="n"/>
      <c r="V56" s="430" t="n"/>
      <c r="W56" s="430" t="n"/>
      <c r="X56" s="430" t="n"/>
      <c r="Y56" s="430" t="n"/>
      <c r="Z56" s="338" t="n"/>
      <c r="AA56" s="338" t="n"/>
      <c r="AB56" s="338" t="n"/>
      <c r="AC56" s="338" t="n"/>
      <c r="AD56" s="339" t="n"/>
      <c r="AE56" s="339" t="n"/>
      <c r="AF56" s="339" t="n"/>
      <c r="AG56" s="339" t="n"/>
      <c r="AH56" s="339" t="n"/>
      <c r="AI56" s="339" t="n"/>
      <c r="AJ56" s="339" t="n"/>
      <c r="AK56" s="339" t="n"/>
      <c r="AL56" s="339" t="n"/>
      <c r="AM56" s="339" t="n"/>
      <c r="AN56" s="339" t="n"/>
      <c r="AO56" s="339" t="n"/>
      <c r="AP56" s="339" t="n"/>
      <c r="AQ56" s="339" t="n"/>
      <c r="AR56" s="430" t="n"/>
      <c r="AS56" s="336" t="n"/>
      <c r="AT56" s="336" t="n"/>
      <c r="AU56" s="336" t="n"/>
      <c r="AV56" s="336" t="n"/>
      <c r="AW56" s="336" t="n"/>
      <c r="AX56" s="336" t="n"/>
      <c r="AY56" s="336" t="n"/>
      <c r="AZ56" s="336" t="n"/>
      <c r="BA56" s="336" t="n"/>
      <c r="BB56" s="336" t="n"/>
      <c r="BC56" s="336" t="n"/>
      <c r="BD56" s="336" t="n"/>
      <c r="BE56" s="336" t="n"/>
      <c r="BF56" s="336" t="n"/>
      <c r="BG56" s="336" t="n"/>
      <c r="BH56" s="336" t="n"/>
      <c r="BI56" s="336" t="n"/>
      <c r="BJ56" s="336" t="n"/>
      <c r="BK56" s="336" t="n"/>
      <c r="BL56" s="336" t="n"/>
      <c r="BM56" s="336" t="n"/>
      <c r="BN56" s="336" t="n"/>
      <c r="BO56" s="336" t="n"/>
      <c r="BP56" s="336" t="n"/>
      <c r="BQ56" s="336" t="n"/>
      <c r="BR56" s="336" t="n"/>
      <c r="BS56" s="336" t="n"/>
      <c r="BT56" s="336" t="n"/>
      <c r="BU56" s="336" t="n"/>
      <c r="BV56" s="336" t="n"/>
      <c r="BW56" s="336" t="n"/>
      <c r="BX56" s="336" t="n"/>
      <c r="BY56" s="336" t="n"/>
    </row>
    <row r="57" customFormat="1" s="538">
      <c r="A57" s="349" t="n"/>
      <c r="B57" s="350" t="n"/>
      <c r="C57" s="353" t="n"/>
      <c r="D57" s="333" t="n"/>
      <c r="E57" s="332" t="n"/>
      <c r="F57" s="336" t="n"/>
      <c r="G57" s="336" t="n"/>
      <c r="H57" s="335" t="n"/>
      <c r="I57" s="336" t="n"/>
      <c r="J57" s="336" t="n"/>
      <c r="K57" s="336" t="n"/>
      <c r="L57" s="336" t="n"/>
      <c r="M57" s="336" t="n"/>
      <c r="N57" s="336" t="n"/>
      <c r="O57" s="336" t="n"/>
      <c r="P57" s="430" t="n"/>
      <c r="Q57" s="430" t="n"/>
      <c r="R57" s="430" t="n"/>
      <c r="S57" s="430" t="n"/>
      <c r="T57" s="430" t="n"/>
      <c r="U57" s="430" t="n"/>
      <c r="V57" s="430" t="n"/>
      <c r="W57" s="430" t="n"/>
      <c r="X57" s="430" t="n"/>
      <c r="Y57" s="430" t="n"/>
      <c r="Z57" s="338" t="n"/>
      <c r="AA57" s="338" t="n"/>
      <c r="AB57" s="338" t="n"/>
      <c r="AC57" s="338" t="n"/>
      <c r="AD57" s="339" t="n"/>
      <c r="AE57" s="339" t="n"/>
      <c r="AF57" s="339" t="n"/>
      <c r="AG57" s="339" t="n"/>
      <c r="AH57" s="339" t="n"/>
      <c r="AI57" s="339" t="n"/>
      <c r="AJ57" s="339" t="n"/>
      <c r="AK57" s="339" t="n"/>
      <c r="AL57" s="339" t="n"/>
      <c r="AM57" s="339" t="n"/>
      <c r="AN57" s="339" t="n"/>
      <c r="AO57" s="339" t="n"/>
      <c r="AP57" s="339" t="n"/>
      <c r="AQ57" s="339" t="n"/>
      <c r="AR57" s="430" t="n"/>
      <c r="AS57" s="336" t="n"/>
      <c r="AT57" s="336" t="n"/>
      <c r="AU57" s="336" t="n"/>
      <c r="AV57" s="336" t="n"/>
      <c r="AW57" s="336" t="n"/>
      <c r="AX57" s="336" t="n"/>
      <c r="AY57" s="336" t="n"/>
      <c r="AZ57" s="336" t="n"/>
      <c r="BA57" s="336" t="n"/>
      <c r="BB57" s="336" t="n"/>
      <c r="BC57" s="336" t="n"/>
      <c r="BD57" s="336" t="n"/>
      <c r="BE57" s="336" t="n"/>
      <c r="BF57" s="336" t="n"/>
      <c r="BG57" s="336" t="n"/>
      <c r="BH57" s="336" t="n"/>
      <c r="BI57" s="336" t="n"/>
      <c r="BJ57" s="336" t="n"/>
      <c r="BK57" s="336" t="n"/>
      <c r="BL57" s="336" t="n"/>
      <c r="BM57" s="336" t="n"/>
      <c r="BN57" s="336" t="n"/>
      <c r="BO57" s="336" t="n"/>
      <c r="BP57" s="336" t="n"/>
      <c r="BQ57" s="336" t="n"/>
      <c r="BR57" s="336" t="n"/>
      <c r="BS57" s="336" t="n"/>
      <c r="BT57" s="336" t="n"/>
      <c r="BU57" s="336" t="n"/>
      <c r="BV57" s="336" t="n"/>
      <c r="BW57" s="336" t="n"/>
      <c r="BX57" s="336" t="n"/>
      <c r="BY57" s="336" t="n"/>
    </row>
    <row r="58" customFormat="1" s="538">
      <c r="A58" s="358" t="n"/>
      <c r="B58" s="358" t="n"/>
      <c r="C58" s="344" t="n"/>
      <c r="D58" s="345" t="n"/>
      <c r="E58" s="346" t="n"/>
      <c r="F58" s="336" t="n"/>
      <c r="G58" s="336" t="n"/>
      <c r="H58" s="336" t="n"/>
      <c r="I58" s="336" t="n"/>
      <c r="J58" s="336" t="n"/>
      <c r="K58" s="336" t="n"/>
      <c r="L58" s="336" t="n"/>
      <c r="M58" s="336" t="n"/>
      <c r="N58" s="336" t="n"/>
      <c r="O58" s="336" t="n"/>
      <c r="P58" s="357" t="n"/>
      <c r="Q58" s="357" t="n"/>
      <c r="R58" s="357" t="n"/>
      <c r="S58" s="357" t="n"/>
      <c r="T58" s="357" t="n"/>
      <c r="U58" s="357" t="n"/>
      <c r="V58" s="357" t="n"/>
      <c r="W58" s="357" t="n"/>
      <c r="X58" s="357" t="n"/>
      <c r="Y58" s="336" t="n"/>
      <c r="Z58" s="357" t="n"/>
      <c r="AA58" s="357" t="n"/>
      <c r="AB58" s="357" t="n"/>
      <c r="AC58" s="357" t="n"/>
      <c r="AD58" s="339" t="n"/>
      <c r="AE58" s="339" t="n"/>
      <c r="AF58" s="339" t="n"/>
      <c r="AG58" s="339" t="n"/>
      <c r="AH58" s="339" t="n"/>
      <c r="AI58" s="339" t="n"/>
      <c r="AJ58" s="339" t="n"/>
      <c r="AK58" s="339" t="n"/>
      <c r="AL58" s="339" t="n"/>
      <c r="AM58" s="339" t="n"/>
      <c r="AN58" s="339" t="n"/>
      <c r="AO58" s="339" t="n"/>
      <c r="AP58" s="339" t="n"/>
      <c r="AQ58" s="339" t="n"/>
      <c r="AR58" s="357" t="n"/>
      <c r="AS58" s="336" t="n"/>
      <c r="AT58" s="336" t="n"/>
      <c r="AU58" s="336" t="n"/>
      <c r="AV58" s="336" t="n"/>
      <c r="AW58" s="336" t="n"/>
      <c r="AX58" s="336" t="n"/>
      <c r="AY58" s="336" t="n"/>
      <c r="AZ58" s="336" t="n"/>
      <c r="BA58" s="336" t="n"/>
      <c r="BB58" s="336" t="n"/>
      <c r="BC58" s="336" t="n"/>
      <c r="BD58" s="336" t="n"/>
      <c r="BE58" s="336" t="n"/>
      <c r="BF58" s="336" t="n"/>
      <c r="BG58" s="336" t="n"/>
      <c r="BH58" s="336" t="n"/>
      <c r="BI58" s="336" t="n"/>
      <c r="BJ58" s="336" t="n"/>
      <c r="BK58" s="336" t="n"/>
      <c r="BL58" s="336" t="n"/>
      <c r="BM58" s="336" t="n"/>
      <c r="BN58" s="336" t="n"/>
      <c r="BO58" s="336" t="n"/>
      <c r="BP58" s="336" t="n"/>
      <c r="BQ58" s="336" t="n"/>
      <c r="BR58" s="336" t="n"/>
      <c r="BS58" s="336" t="n"/>
      <c r="BT58" s="336" t="n"/>
      <c r="BU58" s="336" t="n"/>
      <c r="BV58" s="336" t="n"/>
      <c r="BW58" s="336" t="n"/>
      <c r="BX58" s="336" t="n"/>
      <c r="BY58" s="336" t="n"/>
      <c r="BZ58" s="361" t="n"/>
    </row>
    <row r="59" customFormat="1" s="538">
      <c r="A59" s="350" t="n"/>
      <c r="B59" s="350" t="n"/>
      <c r="C59" s="353" t="n"/>
      <c r="D59" s="333" t="n"/>
      <c r="E59" s="332" t="n"/>
      <c r="F59" s="336" t="n"/>
      <c r="G59" s="336" t="n"/>
      <c r="H59" s="335" t="n"/>
      <c r="I59" s="336" t="n"/>
      <c r="J59" s="336" t="n"/>
      <c r="K59" s="336" t="n"/>
      <c r="L59" s="336" t="n"/>
      <c r="M59" s="336" t="n"/>
      <c r="N59" s="336" t="n"/>
      <c r="O59" s="336" t="n"/>
      <c r="P59" s="430" t="n"/>
      <c r="Q59" s="430" t="n"/>
      <c r="R59" s="430" t="n"/>
      <c r="S59" s="430" t="n"/>
      <c r="T59" s="430" t="n"/>
      <c r="U59" s="430" t="n"/>
      <c r="V59" s="430" t="n"/>
      <c r="W59" s="430" t="n"/>
      <c r="X59" s="430" t="n"/>
      <c r="Y59" s="430" t="n"/>
      <c r="Z59" s="338" t="n"/>
      <c r="AA59" s="338" t="n"/>
      <c r="AB59" s="338" t="n"/>
      <c r="AC59" s="338" t="n"/>
      <c r="AD59" s="339" t="n"/>
      <c r="AE59" s="339" t="n"/>
      <c r="AF59" s="339" t="n"/>
      <c r="AG59" s="339" t="n"/>
      <c r="AH59" s="339" t="n"/>
      <c r="AI59" s="339" t="n"/>
      <c r="AJ59" s="339" t="n"/>
      <c r="AK59" s="339" t="n"/>
      <c r="AL59" s="339" t="n"/>
      <c r="AM59" s="339" t="n"/>
      <c r="AN59" s="339" t="n"/>
      <c r="AO59" s="339" t="n"/>
      <c r="AP59" s="339" t="n"/>
      <c r="AQ59" s="339" t="n"/>
      <c r="AR59" s="430" t="n"/>
      <c r="AS59" s="336" t="n"/>
      <c r="AT59" s="336" t="n"/>
      <c r="AU59" s="336" t="n"/>
      <c r="AV59" s="336" t="n"/>
      <c r="AW59" s="336" t="n"/>
      <c r="AX59" s="336" t="n"/>
      <c r="AY59" s="336" t="n"/>
      <c r="AZ59" s="336" t="n"/>
      <c r="BA59" s="336" t="n"/>
      <c r="BB59" s="336" t="n"/>
      <c r="BC59" s="336" t="n"/>
      <c r="BD59" s="336" t="n"/>
      <c r="BE59" s="336" t="n"/>
      <c r="BF59" s="336" t="n"/>
      <c r="BG59" s="336" t="n"/>
      <c r="BH59" s="336" t="n"/>
      <c r="BI59" s="336" t="n"/>
      <c r="BJ59" s="336" t="n"/>
      <c r="BK59" s="336" t="n"/>
      <c r="BL59" s="336" t="n"/>
      <c r="BM59" s="336" t="n"/>
      <c r="BN59" s="336" t="n"/>
      <c r="BO59" s="336" t="n"/>
      <c r="BP59" s="336" t="n"/>
      <c r="BQ59" s="336" t="n"/>
      <c r="BR59" s="336" t="n"/>
      <c r="BS59" s="336" t="n"/>
      <c r="BT59" s="336" t="n"/>
      <c r="BU59" s="336" t="n"/>
      <c r="BV59" s="336" t="n"/>
      <c r="BW59" s="336" t="n"/>
      <c r="BX59" s="336" t="n"/>
      <c r="BY59" s="336" t="n"/>
    </row>
    <row r="60" customFormat="1" s="538">
      <c r="A60" s="350" t="n"/>
      <c r="B60" s="350" t="n"/>
      <c r="C60" s="353" t="n"/>
      <c r="D60" s="333" t="n"/>
      <c r="E60" s="332" t="n"/>
      <c r="F60" s="336" t="n"/>
      <c r="G60" s="336" t="n"/>
      <c r="H60" s="335" t="n"/>
      <c r="I60" s="336" t="n"/>
      <c r="J60" s="336" t="n"/>
      <c r="K60" s="336" t="n"/>
      <c r="L60" s="336" t="n"/>
      <c r="M60" s="336" t="n"/>
      <c r="N60" s="336" t="n"/>
      <c r="O60" s="336" t="n"/>
      <c r="P60" s="430" t="n"/>
      <c r="Q60" s="430" t="n"/>
      <c r="R60" s="430" t="n"/>
      <c r="S60" s="430" t="n"/>
      <c r="T60" s="430" t="n"/>
      <c r="U60" s="430" t="n"/>
      <c r="V60" s="430" t="n"/>
      <c r="W60" s="430" t="n"/>
      <c r="X60" s="430" t="n"/>
      <c r="Y60" s="430" t="n"/>
      <c r="Z60" s="338" t="n"/>
      <c r="AA60" s="338" t="n"/>
      <c r="AB60" s="338" t="n"/>
      <c r="AC60" s="338" t="n"/>
      <c r="AD60" s="339" t="n"/>
      <c r="AE60" s="339" t="n"/>
      <c r="AF60" s="339" t="n"/>
      <c r="AG60" s="339" t="n"/>
      <c r="AH60" s="339" t="n"/>
      <c r="AI60" s="339" t="n"/>
      <c r="AJ60" s="339" t="n"/>
      <c r="AK60" s="339" t="n"/>
      <c r="AL60" s="339" t="n"/>
      <c r="AM60" s="339" t="n"/>
      <c r="AN60" s="339" t="n"/>
      <c r="AO60" s="339" t="n"/>
      <c r="AP60" s="339" t="n"/>
      <c r="AQ60" s="339" t="n"/>
      <c r="AR60" s="430" t="n"/>
      <c r="AS60" s="336" t="n"/>
      <c r="AT60" s="336" t="n"/>
      <c r="AU60" s="336" t="n"/>
      <c r="AV60" s="336" t="n"/>
      <c r="AW60" s="336" t="n"/>
      <c r="AX60" s="336" t="n"/>
      <c r="AY60" s="336" t="n"/>
      <c r="AZ60" s="336" t="n"/>
      <c r="BA60" s="336" t="n"/>
      <c r="BB60" s="336" t="n"/>
      <c r="BC60" s="336" t="n"/>
      <c r="BD60" s="336" t="n"/>
      <c r="BE60" s="336" t="n"/>
      <c r="BF60" s="336" t="n"/>
      <c r="BG60" s="336" t="n"/>
      <c r="BH60" s="336" t="n"/>
      <c r="BI60" s="336" t="n"/>
      <c r="BJ60" s="336" t="n"/>
      <c r="BK60" s="336" t="n"/>
      <c r="BL60" s="336" t="n"/>
      <c r="BM60" s="336" t="n"/>
      <c r="BN60" s="336" t="n"/>
      <c r="BO60" s="336" t="n"/>
      <c r="BP60" s="336" t="n"/>
      <c r="BQ60" s="336" t="n"/>
      <c r="BR60" s="336" t="n"/>
      <c r="BS60" s="336" t="n"/>
      <c r="BT60" s="336" t="n"/>
      <c r="BU60" s="336" t="n"/>
      <c r="BV60" s="336" t="n"/>
      <c r="BW60" s="336" t="n"/>
      <c r="BX60" s="336" t="n"/>
      <c r="BY60" s="336" t="n"/>
    </row>
    <row r="61" customFormat="1" s="538">
      <c r="A61" s="350" t="n"/>
      <c r="B61" s="350" t="n"/>
      <c r="C61" s="353" t="n"/>
      <c r="D61" s="333" t="n"/>
      <c r="E61" s="332" t="n"/>
      <c r="F61" s="336" t="n"/>
      <c r="G61" s="336" t="n"/>
      <c r="H61" s="335" t="n"/>
      <c r="I61" s="336" t="n"/>
      <c r="J61" s="336" t="n"/>
      <c r="K61" s="336" t="n"/>
      <c r="L61" s="336" t="n"/>
      <c r="M61" s="336" t="n"/>
      <c r="N61" s="336" t="n"/>
      <c r="O61" s="336" t="n"/>
      <c r="P61" s="430" t="n"/>
      <c r="Q61" s="430" t="n"/>
      <c r="R61" s="430" t="n"/>
      <c r="S61" s="430" t="n"/>
      <c r="T61" s="430" t="n"/>
      <c r="U61" s="430" t="n"/>
      <c r="V61" s="430" t="n"/>
      <c r="W61" s="430" t="n"/>
      <c r="X61" s="430" t="n"/>
      <c r="Y61" s="685" t="n"/>
      <c r="Z61" s="338" t="n"/>
      <c r="AA61" s="338" t="n"/>
      <c r="AB61" s="338" t="n"/>
      <c r="AC61" s="338" t="n"/>
      <c r="AD61" s="339" t="n"/>
      <c r="AE61" s="339" t="n"/>
      <c r="AF61" s="339" t="n"/>
      <c r="AG61" s="339" t="n"/>
      <c r="AH61" s="339" t="n"/>
      <c r="AI61" s="339" t="n"/>
      <c r="AJ61" s="339" t="n"/>
      <c r="AK61" s="339" t="n"/>
      <c r="AL61" s="339" t="n"/>
      <c r="AM61" s="339" t="n"/>
      <c r="AN61" s="339" t="n"/>
      <c r="AO61" s="339" t="n"/>
      <c r="AP61" s="339" t="n"/>
      <c r="AQ61" s="339" t="n"/>
      <c r="AR61" s="430" t="n"/>
      <c r="AS61" s="336" t="n"/>
      <c r="AT61" s="336" t="n"/>
      <c r="AU61" s="336" t="n"/>
      <c r="AV61" s="336" t="n"/>
      <c r="AW61" s="336" t="n"/>
      <c r="AX61" s="336" t="n"/>
      <c r="AY61" s="336" t="n"/>
      <c r="AZ61" s="336" t="n"/>
      <c r="BA61" s="336" t="n"/>
      <c r="BB61" s="336" t="n"/>
      <c r="BC61" s="336" t="n"/>
      <c r="BD61" s="336" t="n"/>
      <c r="BE61" s="336" t="n"/>
      <c r="BF61" s="336" t="n"/>
      <c r="BG61" s="336" t="n"/>
      <c r="BH61" s="336" t="n"/>
      <c r="BI61" s="336" t="n"/>
      <c r="BJ61" s="336" t="n"/>
      <c r="BK61" s="336" t="n"/>
      <c r="BL61" s="336" t="n"/>
      <c r="BM61" s="336" t="n"/>
      <c r="BN61" s="336" t="n"/>
      <c r="BO61" s="336" t="n"/>
      <c r="BP61" s="336" t="n"/>
      <c r="BQ61" s="336" t="n"/>
      <c r="BR61" s="336" t="n"/>
      <c r="BS61" s="336" t="n"/>
      <c r="BT61" s="336" t="n"/>
      <c r="BU61" s="336" t="n"/>
      <c r="BV61" s="336" t="n"/>
      <c r="BW61" s="336" t="n"/>
      <c r="BX61" s="336" t="n"/>
      <c r="BY61" s="336" t="n"/>
    </row>
    <row r="62" customFormat="1" s="538">
      <c r="A62" s="350" t="n"/>
      <c r="B62" s="350" t="n"/>
      <c r="C62" s="353" t="n"/>
      <c r="D62" s="333" t="n"/>
      <c r="E62" s="354" t="n"/>
      <c r="F62" s="336" t="n"/>
      <c r="G62" s="336" t="n"/>
      <c r="H62" s="335" t="n"/>
      <c r="I62" s="336" t="n"/>
      <c r="J62" s="336" t="n"/>
      <c r="K62" s="336" t="n"/>
      <c r="L62" s="336" t="n"/>
      <c r="M62" s="336" t="n"/>
      <c r="N62" s="336" t="n"/>
      <c r="O62" s="336" t="n"/>
      <c r="P62" s="430" t="n"/>
      <c r="Q62" s="430" t="n"/>
      <c r="R62" s="430" t="n"/>
      <c r="S62" s="430" t="n"/>
      <c r="T62" s="430" t="n"/>
      <c r="U62" s="430" t="n"/>
      <c r="V62" s="430" t="n"/>
      <c r="W62" s="430" t="n"/>
      <c r="X62" s="430" t="n"/>
      <c r="Y62" s="430" t="n"/>
      <c r="Z62" s="338" t="n"/>
      <c r="AA62" s="338" t="n"/>
      <c r="AB62" s="338" t="n"/>
      <c r="AC62" s="338" t="n"/>
      <c r="AD62" s="339" t="n"/>
      <c r="AE62" s="339" t="n"/>
      <c r="AF62" s="339" t="n"/>
      <c r="AG62" s="339" t="n"/>
      <c r="AH62" s="339" t="n"/>
      <c r="AI62" s="339" t="n"/>
      <c r="AJ62" s="339" t="n"/>
      <c r="AK62" s="339" t="n"/>
      <c r="AL62" s="339" t="n"/>
      <c r="AM62" s="339" t="n"/>
      <c r="AN62" s="339" t="n"/>
      <c r="AO62" s="339" t="n"/>
      <c r="AP62" s="339" t="n"/>
      <c r="AQ62" s="339" t="n"/>
      <c r="AR62" s="430" t="n"/>
      <c r="AS62" s="336" t="n"/>
      <c r="AT62" s="336" t="n"/>
      <c r="AU62" s="336" t="n"/>
      <c r="AV62" s="336" t="n"/>
      <c r="AW62" s="336" t="n"/>
      <c r="AX62" s="336" t="n"/>
      <c r="AY62" s="336" t="n"/>
      <c r="AZ62" s="336" t="n"/>
      <c r="BA62" s="336" t="n"/>
      <c r="BB62" s="336" t="n"/>
      <c r="BC62" s="336" t="n"/>
      <c r="BD62" s="336" t="n"/>
      <c r="BE62" s="336" t="n"/>
      <c r="BF62" s="336" t="n"/>
      <c r="BG62" s="336" t="n"/>
      <c r="BH62" s="336" t="n"/>
      <c r="BI62" s="336" t="n"/>
      <c r="BJ62" s="336" t="n"/>
      <c r="BK62" s="336" t="n"/>
      <c r="BL62" s="336" t="n"/>
      <c r="BM62" s="336" t="n"/>
      <c r="BN62" s="336" t="n"/>
      <c r="BO62" s="336" t="n"/>
      <c r="BP62" s="336" t="n"/>
      <c r="BQ62" s="336" t="n"/>
      <c r="BR62" s="336" t="n"/>
      <c r="BS62" s="336" t="n"/>
      <c r="BT62" s="336" t="n"/>
      <c r="BU62" s="336" t="n"/>
      <c r="BV62" s="336" t="n"/>
      <c r="BW62" s="336" t="n"/>
      <c r="BX62" s="336" t="n"/>
      <c r="BY62" s="336" t="n"/>
    </row>
    <row r="63" customFormat="1" s="538">
      <c r="A63" s="342" t="n"/>
      <c r="B63" s="358" t="n"/>
      <c r="C63" s="344" t="n"/>
      <c r="D63" s="345" t="n"/>
      <c r="E63" s="346" t="n"/>
      <c r="F63" s="336" t="n"/>
      <c r="G63" s="336" t="n"/>
      <c r="H63" s="336" t="n"/>
      <c r="I63" s="336" t="n"/>
      <c r="J63" s="336" t="n"/>
      <c r="K63" s="336" t="n"/>
      <c r="L63" s="336" t="n"/>
      <c r="M63" s="336" t="n"/>
      <c r="N63" s="336" t="n"/>
      <c r="O63" s="336" t="n"/>
      <c r="P63" s="357" t="n"/>
      <c r="Q63" s="357" t="n"/>
      <c r="R63" s="357" t="n"/>
      <c r="S63" s="357" t="n"/>
      <c r="T63" s="357" t="n"/>
      <c r="U63" s="357" t="n"/>
      <c r="V63" s="357" t="n"/>
      <c r="W63" s="357" t="n"/>
      <c r="X63" s="357" t="n"/>
      <c r="Y63" s="336" t="n"/>
      <c r="Z63" s="338" t="n"/>
      <c r="AA63" s="338" t="n"/>
      <c r="AB63" s="338" t="n"/>
      <c r="AC63" s="338" t="n"/>
      <c r="AD63" s="339" t="n"/>
      <c r="AE63" s="339" t="n"/>
      <c r="AF63" s="339" t="n"/>
      <c r="AG63" s="339" t="n"/>
      <c r="AH63" s="339" t="n"/>
      <c r="AI63" s="339" t="n"/>
      <c r="AJ63" s="339" t="n"/>
      <c r="AK63" s="339" t="n"/>
      <c r="AL63" s="339" t="n"/>
      <c r="AM63" s="339" t="n"/>
      <c r="AN63" s="339" t="n"/>
      <c r="AO63" s="339" t="n"/>
      <c r="AP63" s="339" t="n"/>
      <c r="AQ63" s="339" t="n"/>
      <c r="AR63" s="357" t="n"/>
      <c r="AS63" s="336" t="n"/>
      <c r="AT63" s="336" t="n"/>
      <c r="AU63" s="336" t="n"/>
      <c r="AV63" s="336" t="n"/>
      <c r="AW63" s="336" t="n"/>
      <c r="AX63" s="336" t="n"/>
      <c r="AY63" s="336" t="n"/>
      <c r="AZ63" s="336" t="n"/>
      <c r="BA63" s="336" t="n"/>
      <c r="BB63" s="336" t="n"/>
      <c r="BC63" s="336" t="n"/>
      <c r="BD63" s="336" t="n"/>
      <c r="BE63" s="336" t="n"/>
      <c r="BF63" s="336" t="n"/>
      <c r="BG63" s="336" t="n"/>
      <c r="BH63" s="336" t="n"/>
      <c r="BI63" s="336" t="n"/>
      <c r="BJ63" s="336" t="n"/>
      <c r="BK63" s="336" t="n"/>
      <c r="BL63" s="336" t="n"/>
      <c r="BM63" s="336" t="n"/>
      <c r="BN63" s="336" t="n"/>
      <c r="BO63" s="336" t="n"/>
      <c r="BP63" s="336" t="n"/>
      <c r="BQ63" s="336" t="n"/>
      <c r="BR63" s="336" t="n"/>
      <c r="BS63" s="336" t="n"/>
      <c r="BT63" s="336" t="n"/>
      <c r="BU63" s="336" t="n"/>
      <c r="BV63" s="336" t="n"/>
      <c r="BW63" s="336" t="n"/>
      <c r="BX63" s="336" t="n"/>
      <c r="BY63" s="336" t="n"/>
      <c r="BZ63" s="361" t="n"/>
    </row>
    <row r="64" customFormat="1" s="538">
      <c r="A64" s="349" t="n"/>
      <c r="B64" s="350" t="n"/>
      <c r="C64" s="353" t="n"/>
      <c r="D64" s="333" t="n"/>
      <c r="E64" s="332" t="n"/>
      <c r="F64" s="336" t="n"/>
      <c r="G64" s="336" t="n"/>
      <c r="H64" s="335" t="n"/>
      <c r="I64" s="336" t="n"/>
      <c r="J64" s="336" t="n"/>
      <c r="K64" s="336" t="n"/>
      <c r="L64" s="336" t="n"/>
      <c r="M64" s="336" t="n"/>
      <c r="N64" s="336" t="n"/>
      <c r="O64" s="336" t="n"/>
      <c r="P64" s="430" t="n"/>
      <c r="Q64" s="430" t="n"/>
      <c r="R64" s="430" t="n"/>
      <c r="S64" s="430" t="n"/>
      <c r="T64" s="430" t="n"/>
      <c r="U64" s="430" t="n"/>
      <c r="V64" s="430" t="n"/>
      <c r="W64" s="430" t="n"/>
      <c r="X64" s="430" t="n"/>
      <c r="Y64" s="430" t="n"/>
      <c r="Z64" s="338" t="n"/>
      <c r="AA64" s="338" t="n"/>
      <c r="AB64" s="338" t="n"/>
      <c r="AC64" s="338" t="n"/>
      <c r="AD64" s="339" t="n"/>
      <c r="AE64" s="339" t="n"/>
      <c r="AF64" s="339" t="n"/>
      <c r="AG64" s="339" t="n"/>
      <c r="AH64" s="339" t="n"/>
      <c r="AI64" s="339" t="n"/>
      <c r="AJ64" s="339" t="n"/>
      <c r="AK64" s="339" t="n"/>
      <c r="AL64" s="339" t="n"/>
      <c r="AM64" s="339" t="n"/>
      <c r="AN64" s="339" t="n"/>
      <c r="AO64" s="339" t="n"/>
      <c r="AP64" s="339" t="n"/>
      <c r="AQ64" s="339" t="n"/>
      <c r="AR64" s="430" t="n"/>
      <c r="AS64" s="336" t="n"/>
      <c r="AT64" s="336" t="n"/>
      <c r="AU64" s="336" t="n"/>
      <c r="AV64" s="336" t="n"/>
      <c r="AW64" s="336" t="n"/>
      <c r="AX64" s="336" t="n"/>
      <c r="AY64" s="336" t="n"/>
      <c r="AZ64" s="336" t="n"/>
      <c r="BA64" s="336" t="n"/>
      <c r="BB64" s="336" t="n"/>
      <c r="BC64" s="336" t="n"/>
      <c r="BD64" s="336" t="n"/>
      <c r="BE64" s="336" t="n"/>
      <c r="BF64" s="336" t="n"/>
      <c r="BG64" s="336" t="n"/>
      <c r="BH64" s="336" t="n"/>
      <c r="BI64" s="336" t="n"/>
      <c r="BJ64" s="336" t="n"/>
      <c r="BK64" s="336" t="n"/>
      <c r="BL64" s="336" t="n"/>
      <c r="BM64" s="336" t="n"/>
      <c r="BN64" s="336" t="n"/>
      <c r="BO64" s="336" t="n"/>
      <c r="BP64" s="336" t="n"/>
      <c r="BQ64" s="336" t="n"/>
      <c r="BR64" s="336" t="n"/>
      <c r="BS64" s="336" t="n"/>
      <c r="BT64" s="336" t="n"/>
      <c r="BU64" s="336" t="n"/>
      <c r="BV64" s="336" t="n"/>
      <c r="BW64" s="336" t="n"/>
      <c r="BX64" s="336" t="n"/>
      <c r="BY64" s="336" t="n"/>
    </row>
    <row r="65" customFormat="1" s="538">
      <c r="A65" s="349" t="n"/>
      <c r="B65" s="350" t="n"/>
      <c r="C65" s="353" t="n"/>
      <c r="D65" s="333" t="n"/>
      <c r="E65" s="332" t="n"/>
      <c r="F65" s="336" t="n"/>
      <c r="G65" s="336" t="n"/>
      <c r="H65" s="335" t="n"/>
      <c r="I65" s="336" t="n"/>
      <c r="J65" s="336" t="n"/>
      <c r="K65" s="336" t="n"/>
      <c r="L65" s="336" t="n"/>
      <c r="M65" s="336" t="n"/>
      <c r="N65" s="336" t="n"/>
      <c r="O65" s="336" t="n"/>
      <c r="P65" s="430" t="n"/>
      <c r="Q65" s="430" t="n"/>
      <c r="R65" s="430" t="n"/>
      <c r="S65" s="430" t="n"/>
      <c r="T65" s="430" t="n"/>
      <c r="U65" s="430" t="n"/>
      <c r="V65" s="430" t="n"/>
      <c r="W65" s="430" t="n"/>
      <c r="X65" s="430" t="n"/>
      <c r="Y65" s="430" t="n"/>
      <c r="Z65" s="357" t="n"/>
      <c r="AA65" s="357" t="n"/>
      <c r="AB65" s="357" t="n"/>
      <c r="AC65" s="357" t="n"/>
      <c r="AD65" s="339" t="n"/>
      <c r="AE65" s="339" t="n"/>
      <c r="AF65" s="339" t="n"/>
      <c r="AG65" s="339" t="n"/>
      <c r="AH65" s="339" t="n"/>
      <c r="AI65" s="339" t="n"/>
      <c r="AJ65" s="339" t="n"/>
      <c r="AK65" s="339" t="n"/>
      <c r="AL65" s="339" t="n"/>
      <c r="AM65" s="339" t="n"/>
      <c r="AN65" s="357" t="n"/>
      <c r="AO65" s="357" t="n"/>
      <c r="AP65" s="357" t="n"/>
      <c r="AQ65" s="357" t="n"/>
      <c r="AR65" s="430" t="n"/>
      <c r="AS65" s="336" t="n"/>
      <c r="AT65" s="336" t="n"/>
      <c r="AU65" s="336" t="n"/>
      <c r="AV65" s="336" t="n"/>
      <c r="AW65" s="336" t="n"/>
      <c r="AX65" s="336" t="n"/>
      <c r="AY65" s="336" t="n"/>
      <c r="AZ65" s="336" t="n"/>
      <c r="BA65" s="336" t="n"/>
      <c r="BB65" s="336" t="n"/>
      <c r="BC65" s="336" t="n"/>
      <c r="BD65" s="336" t="n"/>
      <c r="BE65" s="336" t="n"/>
      <c r="BF65" s="336" t="n"/>
      <c r="BG65" s="336" t="n"/>
      <c r="BH65" s="336" t="n"/>
      <c r="BI65" s="336" t="n"/>
      <c r="BJ65" s="336" t="n"/>
      <c r="BK65" s="336" t="n"/>
      <c r="BL65" s="336" t="n"/>
      <c r="BM65" s="336" t="n"/>
      <c r="BN65" s="336" t="n"/>
      <c r="BO65" s="336" t="n"/>
      <c r="BP65" s="336" t="n"/>
      <c r="BQ65" s="336" t="n"/>
      <c r="BR65" s="336" t="n"/>
      <c r="BS65" s="336" t="n"/>
      <c r="BT65" s="336" t="n"/>
      <c r="BU65" s="336" t="n"/>
      <c r="BV65" s="336" t="n"/>
      <c r="BW65" s="336" t="n"/>
      <c r="BX65" s="336" t="n"/>
      <c r="BY65" s="336" t="n"/>
    </row>
    <row r="66" customFormat="1" s="538">
      <c r="A66" s="358" t="n"/>
      <c r="B66" s="358" t="n"/>
      <c r="C66" s="344" t="n"/>
      <c r="D66" s="345" t="n"/>
      <c r="E66" s="346" t="n"/>
      <c r="F66" s="336" t="n"/>
      <c r="G66" s="336" t="n"/>
      <c r="H66" s="336" t="n"/>
      <c r="I66" s="336" t="n"/>
      <c r="J66" s="336" t="n"/>
      <c r="K66" s="336" t="n"/>
      <c r="L66" s="336" t="n"/>
      <c r="M66" s="336" t="n"/>
      <c r="N66" s="336" t="n"/>
      <c r="O66" s="336" t="n"/>
      <c r="P66" s="357" t="n"/>
      <c r="Q66" s="357" t="n"/>
      <c r="R66" s="357" t="n"/>
      <c r="S66" s="357" t="n"/>
      <c r="T66" s="357" t="n"/>
      <c r="U66" s="357" t="n"/>
      <c r="V66" s="357" t="n"/>
      <c r="W66" s="357" t="n"/>
      <c r="X66" s="357" t="n"/>
      <c r="Y66" s="336" t="n"/>
      <c r="Z66" s="338" t="n"/>
      <c r="AA66" s="338" t="n"/>
      <c r="AB66" s="338" t="n"/>
      <c r="AC66" s="338" t="n"/>
      <c r="AD66" s="339" t="n"/>
      <c r="AE66" s="339" t="n"/>
      <c r="AF66" s="339" t="n"/>
      <c r="AG66" s="339" t="n"/>
      <c r="AH66" s="339" t="n"/>
      <c r="AI66" s="339" t="n"/>
      <c r="AJ66" s="339" t="n"/>
      <c r="AK66" s="339" t="n"/>
      <c r="AL66" s="339" t="n"/>
      <c r="AM66" s="339" t="n"/>
      <c r="AN66" s="339" t="n"/>
      <c r="AO66" s="339" t="n"/>
      <c r="AP66" s="339" t="n"/>
      <c r="AQ66" s="339" t="n"/>
      <c r="AR66" s="357" t="n"/>
      <c r="AS66" s="336" t="n"/>
      <c r="AT66" s="336" t="n"/>
      <c r="AU66" s="336" t="n"/>
      <c r="AV66" s="336" t="n"/>
      <c r="AW66" s="336" t="n"/>
      <c r="AX66" s="336" t="n"/>
      <c r="AY66" s="336" t="n"/>
      <c r="AZ66" s="336" t="n"/>
      <c r="BA66" s="336" t="n"/>
      <c r="BB66" s="336" t="n"/>
      <c r="BC66" s="336" t="n"/>
      <c r="BD66" s="336" t="n"/>
      <c r="BE66" s="336" t="n"/>
      <c r="BF66" s="336" t="n"/>
      <c r="BG66" s="336" t="n"/>
      <c r="BH66" s="336" t="n"/>
      <c r="BI66" s="336" t="n"/>
      <c r="BJ66" s="336" t="n"/>
      <c r="BK66" s="336" t="n"/>
      <c r="BL66" s="336" t="n"/>
      <c r="BM66" s="336" t="n"/>
      <c r="BN66" s="336" t="n"/>
      <c r="BO66" s="336" t="n"/>
      <c r="BP66" s="336" t="n"/>
      <c r="BQ66" s="336" t="n"/>
      <c r="BR66" s="336" t="n"/>
      <c r="BS66" s="336" t="n"/>
      <c r="BT66" s="336" t="n"/>
      <c r="BU66" s="336" t="n"/>
      <c r="BV66" s="336" t="n"/>
      <c r="BW66" s="336" t="n"/>
      <c r="BX66" s="336" t="n"/>
      <c r="BY66" s="336" t="n"/>
      <c r="BZ66" s="361" t="n"/>
    </row>
    <row r="67" customFormat="1" s="538">
      <c r="A67" s="350" t="n"/>
      <c r="B67" s="350" t="n"/>
      <c r="C67" s="353" t="n"/>
      <c r="D67" s="333" t="n"/>
      <c r="E67" s="332" t="n"/>
      <c r="F67" s="336" t="n"/>
      <c r="G67" s="336" t="n"/>
      <c r="H67" s="335" t="n"/>
      <c r="I67" s="336" t="n"/>
      <c r="J67" s="336" t="n"/>
      <c r="K67" s="336" t="n"/>
      <c r="L67" s="336" t="n"/>
      <c r="M67" s="336" t="n"/>
      <c r="N67" s="336" t="n"/>
      <c r="O67" s="336" t="n"/>
      <c r="P67" s="430" t="n"/>
      <c r="Q67" s="430" t="n"/>
      <c r="R67" s="430" t="n"/>
      <c r="S67" s="430" t="n"/>
      <c r="T67" s="430" t="n"/>
      <c r="U67" s="430" t="n"/>
      <c r="V67" s="430" t="n"/>
      <c r="W67" s="430" t="n"/>
      <c r="X67" s="430" t="n"/>
      <c r="Y67" s="430" t="n"/>
      <c r="Z67" s="338" t="n"/>
      <c r="AA67" s="338" t="n"/>
      <c r="AB67" s="338" t="n"/>
      <c r="AC67" s="338" t="n"/>
      <c r="AD67" s="339" t="n"/>
      <c r="AE67" s="339" t="n"/>
      <c r="AF67" s="339" t="n"/>
      <c r="AG67" s="339" t="n"/>
      <c r="AH67" s="339" t="n"/>
      <c r="AI67" s="339" t="n"/>
      <c r="AJ67" s="339" t="n"/>
      <c r="AK67" s="339" t="n"/>
      <c r="AL67" s="339" t="n"/>
      <c r="AM67" s="339" t="n"/>
      <c r="AN67" s="339" t="n"/>
      <c r="AO67" s="339" t="n"/>
      <c r="AP67" s="339" t="n"/>
      <c r="AQ67" s="339" t="n"/>
      <c r="AR67" s="430" t="n"/>
      <c r="AS67" s="336" t="n"/>
      <c r="AT67" s="336" t="n"/>
      <c r="AU67" s="336" t="n"/>
      <c r="AV67" s="336" t="n"/>
      <c r="AW67" s="336" t="n"/>
      <c r="AX67" s="336" t="n"/>
      <c r="AY67" s="336" t="n"/>
      <c r="AZ67" s="336" t="n"/>
      <c r="BA67" s="336" t="n"/>
      <c r="BB67" s="336" t="n"/>
      <c r="BC67" s="336" t="n"/>
      <c r="BD67" s="336" t="n"/>
      <c r="BE67" s="336" t="n"/>
      <c r="BF67" s="336" t="n"/>
      <c r="BG67" s="336" t="n"/>
      <c r="BH67" s="336" t="n"/>
      <c r="BI67" s="336" t="n"/>
      <c r="BJ67" s="336" t="n"/>
      <c r="BK67" s="336" t="n"/>
      <c r="BL67" s="336" t="n"/>
      <c r="BM67" s="336" t="n"/>
      <c r="BN67" s="336" t="n"/>
      <c r="BO67" s="336" t="n"/>
      <c r="BP67" s="336" t="n"/>
      <c r="BQ67" s="336" t="n"/>
      <c r="BR67" s="336" t="n"/>
      <c r="BS67" s="336" t="n"/>
      <c r="BT67" s="336" t="n"/>
      <c r="BU67" s="336" t="n"/>
      <c r="BV67" s="336" t="n"/>
      <c r="BW67" s="336" t="n"/>
      <c r="BX67" s="336" t="n"/>
      <c r="BY67" s="336" t="n"/>
    </row>
    <row r="68" customFormat="1" s="538">
      <c r="A68" s="350" t="n"/>
      <c r="B68" s="350" t="n"/>
      <c r="C68" s="353" t="n"/>
      <c r="D68" s="333" t="n"/>
      <c r="E68" s="332" t="n"/>
      <c r="F68" s="336" t="n"/>
      <c r="G68" s="336" t="n"/>
      <c r="H68" s="335" t="n"/>
      <c r="I68" s="336" t="n"/>
      <c r="J68" s="336" t="n"/>
      <c r="K68" s="336" t="n"/>
      <c r="L68" s="336" t="n"/>
      <c r="M68" s="336" t="n"/>
      <c r="N68" s="336" t="n"/>
      <c r="O68" s="336" t="n"/>
      <c r="P68" s="430" t="n"/>
      <c r="Q68" s="430" t="n"/>
      <c r="R68" s="430" t="n"/>
      <c r="S68" s="430" t="n"/>
      <c r="T68" s="430" t="n"/>
      <c r="U68" s="430" t="n"/>
      <c r="V68" s="430" t="n"/>
      <c r="W68" s="430" t="n"/>
      <c r="X68" s="430" t="n"/>
      <c r="Y68" s="430" t="n"/>
      <c r="Z68" s="338" t="n"/>
      <c r="AA68" s="338" t="n"/>
      <c r="AB68" s="338" t="n"/>
      <c r="AC68" s="338" t="n"/>
      <c r="AD68" s="339" t="n"/>
      <c r="AE68" s="339" t="n"/>
      <c r="AF68" s="339" t="n"/>
      <c r="AG68" s="339" t="n"/>
      <c r="AH68" s="339" t="n"/>
      <c r="AI68" s="339" t="n"/>
      <c r="AJ68" s="339" t="n"/>
      <c r="AK68" s="339" t="n"/>
      <c r="AL68" s="339" t="n"/>
      <c r="AM68" s="339" t="n"/>
      <c r="AN68" s="339" t="n"/>
      <c r="AO68" s="339" t="n"/>
      <c r="AP68" s="339" t="n"/>
      <c r="AQ68" s="339" t="n"/>
      <c r="AR68" s="430" t="n"/>
      <c r="AS68" s="336" t="n"/>
      <c r="AT68" s="336" t="n"/>
      <c r="AU68" s="336" t="n"/>
      <c r="AV68" s="336" t="n"/>
      <c r="AW68" s="336" t="n"/>
      <c r="AX68" s="336" t="n"/>
      <c r="AY68" s="336" t="n"/>
      <c r="AZ68" s="336" t="n"/>
      <c r="BA68" s="336" t="n"/>
      <c r="BB68" s="336" t="n"/>
      <c r="BC68" s="336" t="n"/>
      <c r="BD68" s="336" t="n"/>
      <c r="BE68" s="336" t="n"/>
      <c r="BF68" s="336" t="n"/>
      <c r="BG68" s="336" t="n"/>
      <c r="BH68" s="336" t="n"/>
      <c r="BI68" s="336" t="n"/>
      <c r="BJ68" s="336" t="n"/>
      <c r="BK68" s="336" t="n"/>
      <c r="BL68" s="336" t="n"/>
      <c r="BM68" s="336" t="n"/>
      <c r="BN68" s="336" t="n"/>
      <c r="BO68" s="336" t="n"/>
      <c r="BP68" s="336" t="n"/>
      <c r="BQ68" s="336" t="n"/>
      <c r="BR68" s="336" t="n"/>
      <c r="BS68" s="336" t="n"/>
      <c r="BT68" s="336" t="n"/>
      <c r="BU68" s="336" t="n"/>
      <c r="BV68" s="336" t="n"/>
      <c r="BW68" s="336" t="n"/>
      <c r="BX68" s="336" t="n"/>
      <c r="BY68" s="336" t="n"/>
    </row>
    <row r="69" customFormat="1" s="538">
      <c r="A69" s="342" t="n"/>
      <c r="B69" s="358" t="n"/>
      <c r="C69" s="344" t="n"/>
      <c r="D69" s="345" t="n"/>
      <c r="E69" s="346" t="n"/>
      <c r="F69" s="336" t="n"/>
      <c r="G69" s="336" t="n"/>
      <c r="H69" s="335" t="n"/>
      <c r="I69" s="336" t="n"/>
      <c r="J69" s="336" t="n"/>
      <c r="K69" s="336" t="n"/>
      <c r="L69" s="336" t="n"/>
      <c r="M69" s="336" t="n"/>
      <c r="N69" s="336" t="n"/>
      <c r="O69" s="336" t="n"/>
      <c r="P69" s="430" t="n"/>
      <c r="Q69" s="430" t="n"/>
      <c r="R69" s="430" t="n"/>
      <c r="S69" s="430" t="n"/>
      <c r="T69" s="430" t="n"/>
      <c r="U69" s="430" t="n"/>
      <c r="V69" s="430" t="n"/>
      <c r="W69" s="430" t="n"/>
      <c r="X69" s="430" t="n"/>
      <c r="Y69" s="430" t="n"/>
      <c r="Z69" s="338" t="n"/>
      <c r="AA69" s="338" t="n"/>
      <c r="AB69" s="338" t="n"/>
      <c r="AC69" s="338" t="n"/>
      <c r="AD69" s="339" t="n"/>
      <c r="AE69" s="339" t="n"/>
      <c r="AF69" s="339" t="n"/>
      <c r="AG69" s="339" t="n"/>
      <c r="AH69" s="339" t="n"/>
      <c r="AI69" s="339" t="n"/>
      <c r="AJ69" s="339" t="n"/>
      <c r="AK69" s="339" t="n"/>
      <c r="AL69" s="339" t="n"/>
      <c r="AM69" s="339" t="n"/>
      <c r="AN69" s="339" t="n"/>
      <c r="AO69" s="339" t="n"/>
      <c r="AP69" s="339" t="n"/>
      <c r="AQ69" s="339" t="n"/>
      <c r="AR69" s="430" t="n"/>
      <c r="AS69" s="336" t="n"/>
      <c r="AT69" s="336" t="n"/>
      <c r="AU69" s="336" t="n"/>
      <c r="AV69" s="336" t="n"/>
      <c r="AW69" s="336" t="n"/>
      <c r="AX69" s="336" t="n"/>
      <c r="AY69" s="336" t="n"/>
      <c r="AZ69" s="336" t="n"/>
      <c r="BA69" s="336" t="n"/>
      <c r="BB69" s="336" t="n"/>
      <c r="BC69" s="336" t="n"/>
      <c r="BD69" s="336" t="n"/>
      <c r="BE69" s="336" t="n"/>
      <c r="BF69" s="336" t="n"/>
      <c r="BG69" s="336" t="n"/>
      <c r="BH69" s="336" t="n"/>
      <c r="BI69" s="336" t="n"/>
      <c r="BJ69" s="336" t="n"/>
      <c r="BK69" s="336" t="n"/>
      <c r="BL69" s="336" t="n"/>
      <c r="BM69" s="336" t="n"/>
      <c r="BN69" s="336" t="n"/>
      <c r="BO69" s="336" t="n"/>
      <c r="BP69" s="336" t="n"/>
      <c r="BQ69" s="336" t="n"/>
      <c r="BR69" s="336" t="n"/>
      <c r="BS69" s="336" t="n"/>
      <c r="BT69" s="336" t="n"/>
      <c r="BU69" s="336" t="n"/>
      <c r="BV69" s="336" t="n"/>
      <c r="BW69" s="336" t="n"/>
      <c r="BX69" s="336" t="n"/>
      <c r="BY69" s="336" t="n"/>
      <c r="BZ69" s="361" t="n"/>
    </row>
    <row r="70" ht="18" customFormat="1" customHeight="1" s="538">
      <c r="A70" s="660" t="n"/>
      <c r="G70" s="361" t="n"/>
      <c r="H70" s="361" t="n"/>
      <c r="AC70" s="362" t="n"/>
      <c r="AD70" s="362" t="n"/>
      <c r="AE70" s="362" t="n"/>
      <c r="AF70" s="362" t="n"/>
      <c r="AG70" s="362" t="n"/>
      <c r="AH70" s="362" t="n"/>
      <c r="AI70" s="362" t="n"/>
      <c r="AJ70" s="362" t="n"/>
      <c r="AK70" s="362" t="n"/>
      <c r="AL70" s="362" t="n"/>
      <c r="AM70" s="362" t="n"/>
      <c r="AN70" s="362" t="n"/>
      <c r="AO70" s="362" t="n"/>
      <c r="AP70" s="362" t="n"/>
      <c r="AQ70" s="362" t="n"/>
      <c r="AR70" s="358" t="n"/>
      <c r="AS70" s="362" t="n"/>
      <c r="AT70" s="358" t="n"/>
      <c r="AU70" s="363" t="n"/>
      <c r="AV70" s="362" t="n"/>
      <c r="BC70" s="364" t="n"/>
      <c r="BF70" s="364" t="n"/>
      <c r="BI70" s="364" t="n"/>
      <c r="BL70" s="364" t="n"/>
      <c r="BM70" s="364" t="n"/>
      <c r="BQ70" s="364" t="n"/>
      <c r="BU70" s="364" t="n"/>
      <c r="BY70" s="364" t="n"/>
    </row>
    <row r="71" customFormat="1" s="538">
      <c r="A71" s="351" t="n"/>
      <c r="B71" s="351" t="n"/>
      <c r="C71" s="351" t="n"/>
      <c r="D71" s="351" t="n"/>
      <c r="E71" s="351" t="n"/>
      <c r="F71" s="351" t="n"/>
      <c r="G71" s="351" t="n"/>
      <c r="H71" s="351" t="n"/>
      <c r="I71" s="351" t="n"/>
      <c r="J71" s="351" t="n"/>
      <c r="K71" s="351" t="n"/>
      <c r="L71" s="351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  <c r="Y71" s="351" t="n"/>
      <c r="Z71" s="351" t="n"/>
      <c r="AA71" s="351" t="n"/>
      <c r="AB71" s="351" t="n"/>
      <c r="AC71" s="351" t="n"/>
      <c r="AD71" s="351" t="n"/>
      <c r="AE71" s="351" t="n"/>
      <c r="AF71" s="351" t="n"/>
      <c r="AG71" s="351" t="n"/>
      <c r="AH71" s="351" t="n"/>
      <c r="AI71" s="351" t="n"/>
      <c r="AJ71" s="351" t="n"/>
      <c r="AK71" s="351" t="n"/>
      <c r="AL71" s="351" t="n"/>
      <c r="AM71" s="351" t="n"/>
      <c r="AN71" s="351" t="n"/>
      <c r="AO71" s="351" t="n"/>
      <c r="AP71" s="351" t="n"/>
      <c r="AQ71" s="351" t="n"/>
      <c r="BZ71" s="361" t="n"/>
    </row>
    <row r="72" customFormat="1" s="538">
      <c r="A72" s="351" t="n"/>
      <c r="B72" s="351" t="n"/>
      <c r="C72" s="351" t="n"/>
      <c r="D72" s="352" t="n"/>
      <c r="E72" s="365" t="n"/>
      <c r="F72" s="361" t="n"/>
      <c r="G72" s="361" t="n"/>
      <c r="H72" s="361" t="n"/>
    </row>
    <row r="73" customFormat="1" s="538">
      <c r="A73" s="351" t="n"/>
      <c r="B73" s="351" t="n"/>
      <c r="C73" s="351" t="n"/>
      <c r="D73" s="352" t="n"/>
      <c r="E73" s="365" t="n"/>
    </row>
    <row r="74" customFormat="1" s="538">
      <c r="A74" s="351" t="n"/>
      <c r="B74" s="351" t="n"/>
      <c r="C74" s="351" t="n"/>
      <c r="D74" s="352" t="n"/>
      <c r="E74" s="365" t="n"/>
    </row>
    <row r="75"/>
    <row r="76"/>
    <row r="77"/>
    <row r="78" ht="18" customHeight="1" s="191">
      <c r="AL78" s="200" t="n"/>
    </row>
  </sheetData>
  <mergeCells count="1">
    <mergeCell ref="A70:E70"/>
  </mergeCells>
  <conditionalFormatting sqref="P75:AW77 P78:AK78 P79:Y1048576 AD79:AM1048576 AM78:AW78">
    <cfRule type="cellIs" priority="3" operator="greaterThan" dxfId="0">
      <formula>0</formula>
    </cfRule>
  </conditionalFormatting>
  <conditionalFormatting sqref="P4:Y11 AD4:AT4 AD5:AM11 AN6:AQ10">
    <cfRule type="cellIs" priority="2" operator="greaterThan" dxfId="0">
      <formula>0</formula>
    </cfRule>
  </conditionalFormatting>
  <conditionalFormatting sqref="Z6:AC11">
    <cfRule type="cellIs" priority="1" operator="greaterThan" dxfId="0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P77"/>
  <sheetViews>
    <sheetView topLeftCell="AX1" workbookViewId="0">
      <selection activeCell="A9" sqref="A9:XFD77"/>
    </sheetView>
  </sheetViews>
  <sheetFormatPr baseColWidth="8" defaultColWidth="14.44140625" defaultRowHeight="14.4"/>
  <cols>
    <col width="5" customWidth="1" style="104" min="1" max="1"/>
    <col width="4.44140625" customWidth="1" style="104" min="2" max="2"/>
    <col width="3" customWidth="1" style="104" min="3" max="3"/>
    <col width="9" bestFit="1" customWidth="1" style="117" min="4" max="4"/>
    <col width="78.33203125" customWidth="1" style="125" min="5" max="5"/>
    <col width="11.33203125" customWidth="1" style="191" min="6" max="7"/>
    <col width="8.109375" bestFit="1" customWidth="1" style="191" min="8" max="8"/>
    <col width="11.33203125" customWidth="1" style="191" min="9" max="13"/>
    <col width="9.109375" customWidth="1" style="191" min="14" max="32"/>
    <col width="9.109375" customWidth="1" style="191" min="33" max="35"/>
    <col width="10.6640625" customWidth="1" style="191" min="36" max="36"/>
    <col width="8.33203125" customWidth="1" style="191" min="37" max="37"/>
    <col width="9.109375" customWidth="1" style="191" min="38" max="54"/>
    <col width="9.109375" customWidth="1" style="191" min="55" max="59"/>
    <col width="6.77734375" customWidth="1" style="191" min="60" max="61"/>
    <col width="9.109375" customWidth="1" style="191" min="62" max="62"/>
    <col width="10.88671875" bestFit="1" customWidth="1" style="191" min="63" max="64"/>
    <col width="14.88671875" customWidth="1" style="191" min="65" max="65"/>
    <col width="9.109375" customWidth="1" style="191" min="66" max="71"/>
    <col width="11.5546875" customWidth="1" style="191" min="72" max="72"/>
    <col width="8.6640625" customWidth="1" style="191" min="73" max="80"/>
    <col width="10.33203125" customWidth="1" style="191" min="81" max="81"/>
    <col width="7.44140625" customWidth="1" style="191" min="82" max="82"/>
    <col width="8.6640625" customWidth="1" style="191" min="83" max="85"/>
    <col width="8.44140625" customWidth="1" style="191" min="86" max="86"/>
    <col width="8.6640625" customWidth="1" style="191" min="87" max="94"/>
  </cols>
  <sheetData>
    <row r="1" ht="15" customHeight="1" s="191" thickBot="1">
      <c r="A1" s="115" t="n"/>
      <c r="B1" s="115" t="n"/>
      <c r="C1" s="115" t="n"/>
      <c r="D1" s="115" t="n"/>
      <c r="E1" s="291" t="inlineStr">
        <is>
          <t>S T O P</t>
        </is>
      </c>
      <c r="F1" s="662" t="n"/>
      <c r="G1" s="662" t="n"/>
      <c r="H1" s="662" t="n"/>
      <c r="I1" s="662" t="n"/>
      <c r="J1" s="72" t="n"/>
      <c r="K1" s="72" t="n"/>
      <c r="M1" s="283">
        <f>SUM(M$4:M$998)</f>
        <v/>
      </c>
      <c r="N1" s="283">
        <f>SUM(N$4:N$998)</f>
        <v/>
      </c>
      <c r="O1" s="283">
        <f>SUM(O$4:O$998)</f>
        <v/>
      </c>
      <c r="P1" s="83">
        <f>#REF!</f>
        <v/>
      </c>
      <c r="R1" s="662" t="n"/>
      <c r="S1" s="662" t="n"/>
      <c r="T1" s="72" t="n"/>
      <c r="U1" s="72" t="n"/>
      <c r="V1" s="72" t="n"/>
      <c r="W1" s="72" t="n"/>
      <c r="X1" s="72" t="n"/>
      <c r="Y1" s="662" t="n"/>
      <c r="Z1" s="662" t="n"/>
      <c r="AA1" s="662" t="n"/>
      <c r="AB1" s="662" t="n"/>
      <c r="AC1" s="659" t="n"/>
      <c r="AD1" s="659" t="n"/>
      <c r="AE1" s="659" t="n"/>
      <c r="AF1" s="659" t="n"/>
      <c r="AG1" s="189" t="n"/>
      <c r="AH1" s="189" t="n"/>
      <c r="AI1" s="189" t="n"/>
      <c r="AJ1" s="189" t="n"/>
      <c r="AK1" s="659" t="n"/>
      <c r="AL1" s="662" t="n"/>
      <c r="AM1" s="662" t="n"/>
      <c r="AN1" s="662" t="n"/>
      <c r="AO1" s="662" t="n"/>
      <c r="AP1" s="72" t="n"/>
      <c r="AQ1" s="72" t="n"/>
      <c r="AR1" s="72" t="n"/>
      <c r="AS1" s="72" t="n"/>
      <c r="AT1" s="72" t="n"/>
      <c r="AU1" s="662" t="n"/>
      <c r="AV1" s="662" t="n"/>
      <c r="AW1" s="662" t="n"/>
      <c r="AX1" s="451" t="n"/>
      <c r="AY1" s="659" t="n"/>
      <c r="AZ1" s="659" t="n"/>
      <c r="BA1" s="659" t="n"/>
      <c r="BB1" s="659" t="n"/>
      <c r="BC1" s="244" t="n"/>
      <c r="BD1" s="244" t="n"/>
      <c r="BE1" s="244" t="n"/>
      <c r="BF1" s="244" t="n"/>
      <c r="BG1" s="244" t="n"/>
      <c r="BH1" s="373" t="n"/>
      <c r="BI1" s="374" t="n"/>
      <c r="BJ1" s="374" t="n"/>
      <c r="BK1" s="374" t="n"/>
      <c r="BL1" s="375" t="n"/>
      <c r="BM1" s="369">
        <f>#REF!</f>
        <v/>
      </c>
      <c r="BN1" s="370" t="n"/>
      <c r="BO1" s="369" t="n"/>
      <c r="BP1" s="370" t="n"/>
      <c r="BQ1" s="369" t="n"/>
      <c r="BR1" s="370" t="n"/>
      <c r="BS1" s="371">
        <f>#REF!</f>
        <v/>
      </c>
      <c r="BT1" s="371" t="n"/>
      <c r="BU1" s="371" t="n"/>
      <c r="BV1" s="371" t="n"/>
      <c r="BW1" s="372" t="n"/>
      <c r="BX1" s="372" t="n"/>
      <c r="BY1" s="372" t="n"/>
      <c r="BZ1" s="372" t="n"/>
      <c r="CA1" s="372" t="n"/>
      <c r="CB1" s="372" t="n"/>
      <c r="CC1" s="372" t="n"/>
      <c r="CD1" s="372" t="n"/>
      <c r="CE1" s="372" t="n"/>
      <c r="CF1" s="372" t="n"/>
      <c r="CG1" s="372" t="n"/>
      <c r="CH1" s="687">
        <f>#REF!</f>
        <v/>
      </c>
      <c r="CI1" s="688" t="n"/>
      <c r="CJ1" s="688" t="n"/>
      <c r="CK1" s="689" t="n"/>
      <c r="CL1" s="687">
        <f>#REF!</f>
        <v/>
      </c>
      <c r="CM1" s="688" t="n"/>
      <c r="CN1" s="688" t="n"/>
      <c r="CO1" s="689" t="n"/>
      <c r="CP1" s="666" t="inlineStr">
        <is>
          <t>Łącznie [PLN]</t>
        </is>
      </c>
    </row>
    <row r="2" ht="52.8" customFormat="1" customHeight="1" s="141">
      <c r="A2" s="238" t="inlineStr">
        <is>
          <t>Nr zadania</t>
        </is>
      </c>
      <c r="B2" s="238" t="inlineStr">
        <is>
          <t>NrX</t>
        </is>
      </c>
      <c r="C2" s="238" t="inlineStr">
        <is>
          <t>Nr XX</t>
        </is>
      </c>
      <c r="D2" s="238" t="inlineStr">
        <is>
          <t>Kod działania</t>
        </is>
      </c>
      <c r="E2" s="238" t="inlineStr">
        <is>
          <t>Nazwa zadania / działania</t>
        </is>
      </c>
      <c r="F2" s="239" t="inlineStr">
        <is>
          <t xml:space="preserve">Imię </t>
        </is>
      </c>
      <c r="G2" s="239" t="inlineStr">
        <is>
          <t>Nazwisko</t>
        </is>
      </c>
      <c r="H2" s="239" t="inlineStr">
        <is>
          <t>Priorytet</t>
        </is>
      </c>
      <c r="I2" s="239" t="inlineStr">
        <is>
          <t xml:space="preserve">wykonawca </t>
        </is>
      </c>
      <c r="J2" s="4" t="inlineStr">
        <is>
          <t>Początek realizacji Tydzień</t>
        </is>
      </c>
      <c r="K2" s="4" t="inlineStr">
        <is>
          <t>Początek realizacji MM</t>
        </is>
      </c>
      <c r="L2" s="4" t="inlineStr">
        <is>
          <t>Koniec realizacji MM</t>
        </is>
      </c>
      <c r="M2" s="4" t="inlineStr">
        <is>
          <t>Koniec realizacji Tydzień</t>
        </is>
      </c>
      <c r="N2" s="4" t="inlineStr">
        <is>
          <t>Liczba tygodni</t>
        </is>
      </c>
      <c r="O2" s="4" t="inlineStr">
        <is>
          <t>Liczba godzin</t>
        </is>
      </c>
      <c r="P2" s="236">
        <f>Listy!$D1</f>
        <v/>
      </c>
      <c r="Q2" s="236">
        <f>Listy!$D2</f>
        <v/>
      </c>
      <c r="R2" s="236">
        <f>Listy!$D3</f>
        <v/>
      </c>
      <c r="S2" s="236">
        <f>Listy!$D4</f>
        <v/>
      </c>
      <c r="T2" s="236">
        <f>Listy!$D5</f>
        <v/>
      </c>
      <c r="U2" s="236">
        <f>Listy!$D6</f>
        <v/>
      </c>
      <c r="V2" s="236">
        <f>Listy!$D7</f>
        <v/>
      </c>
      <c r="W2" s="236">
        <f>Listy!$D8</f>
        <v/>
      </c>
      <c r="X2" s="236">
        <f>Listy!$D9</f>
        <v/>
      </c>
      <c r="Y2" s="237">
        <f>Listy!$D21</f>
        <v/>
      </c>
      <c r="Z2" s="237">
        <f>Listy!$D22</f>
        <v/>
      </c>
      <c r="AA2" s="237">
        <f>Listy!$D23</f>
        <v/>
      </c>
      <c r="AB2" s="237">
        <f>Listy!$D24</f>
        <v/>
      </c>
      <c r="AC2" s="237">
        <f>Listy!$D25</f>
        <v/>
      </c>
      <c r="AD2" s="237">
        <f>Listy!$D26</f>
        <v/>
      </c>
      <c r="AE2" s="237">
        <f>Listy!$D27</f>
        <v/>
      </c>
      <c r="AF2" s="237">
        <f>Listy!$D28</f>
        <v/>
      </c>
      <c r="AG2" s="301">
        <f>Listy!$D31</f>
        <v/>
      </c>
      <c r="AH2" s="301">
        <f>Listy!$D32</f>
        <v/>
      </c>
      <c r="AI2" s="301">
        <f>Listy!$D33</f>
        <v/>
      </c>
      <c r="AJ2" s="301">
        <f>Listy!$D34</f>
        <v/>
      </c>
      <c r="AK2" s="301">
        <f>Listy!$D35</f>
        <v/>
      </c>
      <c r="AL2" s="236">
        <f>Listy!$D1</f>
        <v/>
      </c>
      <c r="AM2" s="236">
        <f>Listy!$D2</f>
        <v/>
      </c>
      <c r="AN2" s="236">
        <f>Listy!$D3</f>
        <v/>
      </c>
      <c r="AO2" s="236">
        <f>Listy!$D4</f>
        <v/>
      </c>
      <c r="AP2" s="236">
        <f>Listy!$D5</f>
        <v/>
      </c>
      <c r="AQ2" s="236">
        <f>Listy!$D6</f>
        <v/>
      </c>
      <c r="AR2" s="236">
        <f>Listy!$D7</f>
        <v/>
      </c>
      <c r="AS2" s="236">
        <f>Listy!$D8</f>
        <v/>
      </c>
      <c r="AT2" s="236">
        <f>Listy!$D9</f>
        <v/>
      </c>
      <c r="AU2" s="237">
        <f>Listy!$D21</f>
        <v/>
      </c>
      <c r="AV2" s="237">
        <f>Listy!$D22</f>
        <v/>
      </c>
      <c r="AW2" s="237">
        <f>Listy!$D23</f>
        <v/>
      </c>
      <c r="AX2" s="237">
        <f>Listy!$D24</f>
        <v/>
      </c>
      <c r="AY2" s="237">
        <f>Listy!$D25</f>
        <v/>
      </c>
      <c r="AZ2" s="237">
        <f>Listy!$D26</f>
        <v/>
      </c>
      <c r="BA2" s="237">
        <f>Listy!$D27</f>
        <v/>
      </c>
      <c r="BB2" s="237">
        <f>Listy!$D28</f>
        <v/>
      </c>
      <c r="BC2" s="301">
        <f>Listy!$D31</f>
        <v/>
      </c>
      <c r="BD2" s="301">
        <f>Listy!$D32</f>
        <v/>
      </c>
      <c r="BE2" s="301">
        <f>Listy!$D33</f>
        <v/>
      </c>
      <c r="BF2" s="301">
        <f>Listy!$D34</f>
        <v/>
      </c>
      <c r="BG2" s="301">
        <f>Listy!$D35</f>
        <v/>
      </c>
      <c r="BH2" s="377" t="inlineStr">
        <is>
          <t>Razem [h]</t>
        </is>
      </c>
      <c r="BI2" s="376" t="inlineStr">
        <is>
          <t>Część Etat [h}</t>
        </is>
      </c>
      <c r="BJ2" s="376" t="inlineStr">
        <is>
          <t>PLN/Etat</t>
        </is>
      </c>
      <c r="BK2" s="376" t="inlineStr">
        <is>
          <t>Razem</t>
        </is>
      </c>
      <c r="BL2" s="376" t="inlineStr">
        <is>
          <t>Razem</t>
        </is>
      </c>
      <c r="BM2" s="4" t="inlineStr">
        <is>
          <t>ENDAWA</t>
        </is>
      </c>
      <c r="BN2" s="3" t="inlineStr">
        <is>
          <t xml:space="preserve">Imię </t>
        </is>
      </c>
      <c r="BO2" s="3" t="inlineStr">
        <is>
          <t>Nazwisko</t>
        </is>
      </c>
      <c r="BP2" s="4" t="inlineStr">
        <is>
          <t>Termi realizacji</t>
        </is>
      </c>
      <c r="BQ2" s="4" t="inlineStr">
        <is>
          <t>Liczba godzin</t>
        </is>
      </c>
      <c r="BR2" s="3" t="inlineStr">
        <is>
          <t>PLN/h</t>
        </is>
      </c>
      <c r="BS2" s="3" t="inlineStr">
        <is>
          <t>Razem</t>
        </is>
      </c>
      <c r="BT2" s="4" t="inlineStr">
        <is>
          <t>Nazwa sprzętu</t>
        </is>
      </c>
      <c r="BU2" s="4" t="inlineStr">
        <is>
          <t xml:space="preserve">Okres używania </t>
        </is>
      </c>
      <c r="BV2" s="6" t="inlineStr">
        <is>
          <t>Amortyzacja [PLN]</t>
        </is>
      </c>
      <c r="BW2" s="4" t="inlineStr">
        <is>
          <t>Nazwa budynku</t>
        </is>
      </c>
      <c r="BX2" s="4" t="inlineStr">
        <is>
          <t>Uzywana powierzchnia [m2]</t>
        </is>
      </c>
      <c r="BY2" s="6" t="inlineStr">
        <is>
          <t>Amortyzacja [PLN]</t>
        </is>
      </c>
      <c r="BZ2" s="4" t="inlineStr">
        <is>
          <t>Nazwa nieruchomości</t>
        </is>
      </c>
      <c r="CA2" s="4" t="inlineStr">
        <is>
          <t>Okres używania</t>
        </is>
      </c>
      <c r="CB2" s="6" t="inlineStr">
        <is>
          <t>Czynsz dzierżawny [PLN]</t>
        </is>
      </c>
      <c r="CC2" s="6" t="inlineStr">
        <is>
          <t>Wieczyste uzytkowanie [PLN]</t>
        </is>
      </c>
      <c r="CD2" s="4" t="inlineStr">
        <is>
          <t>Nazwa/rodzaj</t>
        </is>
      </c>
      <c r="CE2" s="4" t="inlineStr">
        <is>
          <t>Liczba [szt.]</t>
        </is>
      </c>
      <c r="CF2" s="4" t="inlineStr">
        <is>
          <t>Wartość jednostkowa [PLN]</t>
        </is>
      </c>
      <c r="CG2" s="4" t="inlineStr">
        <is>
          <t>Razem [PLN]</t>
        </is>
      </c>
      <c r="CH2" s="4" t="inlineStr">
        <is>
          <t>Nazwa/rodzaj</t>
        </is>
      </c>
      <c r="CI2" s="4" t="inlineStr">
        <is>
          <t>Liczba [szt.]</t>
        </is>
      </c>
      <c r="CJ2" s="4" t="inlineStr">
        <is>
          <t>Wartość jednostkowa [PLN]</t>
        </is>
      </c>
      <c r="CK2" s="4" t="inlineStr">
        <is>
          <t>Razem [PLN]</t>
        </is>
      </c>
      <c r="CL2" s="4" t="inlineStr">
        <is>
          <t>Nazwa/rodzaj</t>
        </is>
      </c>
      <c r="CM2" s="4" t="inlineStr">
        <is>
          <t>Liczba [szt.]</t>
        </is>
      </c>
      <c r="CN2" s="4" t="inlineStr">
        <is>
          <t>Wartość jednostkowa [PLN]</t>
        </is>
      </c>
      <c r="CO2" s="4" t="inlineStr">
        <is>
          <t>Razem [PLN]</t>
        </is>
      </c>
      <c r="CP2" s="692" t="n"/>
    </row>
    <row r="3" ht="16.2" customFormat="1" customHeight="1" s="141" thickBot="1">
      <c r="A3" s="110" t="inlineStr">
        <is>
          <t>.z01</t>
        </is>
      </c>
      <c r="B3" s="183" t="n"/>
      <c r="C3" s="184" t="n"/>
      <c r="D3" s="185" t="n"/>
      <c r="E3" s="186">
        <f>VLOOKUP(A3,Listy!A:C,2,FALSE) &amp; "   :  " &amp; VLOOKUP(A3,Listy!A:C,3,FALSE)</f>
        <v/>
      </c>
      <c r="F3" s="202" t="n"/>
      <c r="G3" s="202" t="n"/>
      <c r="H3" s="203" t="n"/>
      <c r="I3" s="203" t="n"/>
      <c r="J3" s="172" t="n"/>
      <c r="K3" s="172" t="n"/>
      <c r="L3" s="172" t="n"/>
      <c r="M3" s="172" t="n"/>
      <c r="N3" s="172" t="n"/>
      <c r="P3" s="204" t="n"/>
      <c r="Q3" s="204" t="n"/>
      <c r="R3" s="204" t="n"/>
      <c r="S3" s="204" t="n"/>
      <c r="T3" s="204" t="n"/>
      <c r="U3" s="204" t="n"/>
      <c r="V3" s="204" t="n"/>
      <c r="W3" s="204" t="n"/>
      <c r="X3" s="204" t="n"/>
      <c r="Y3" s="205" t="n"/>
      <c r="Z3" s="205" t="n"/>
      <c r="AA3" s="205" t="n"/>
      <c r="AB3" s="205" t="n"/>
      <c r="AC3" s="245" t="n"/>
      <c r="AD3" s="245" t="n"/>
      <c r="AE3" s="245" t="n"/>
      <c r="AF3" s="245" t="n"/>
      <c r="AG3" s="303" t="n"/>
      <c r="AH3" s="303" t="n"/>
      <c r="AI3" s="303" t="n"/>
      <c r="AJ3" s="303" t="n"/>
      <c r="AK3" s="303" t="n"/>
      <c r="AL3" s="204" t="n"/>
      <c r="AM3" s="204" t="n"/>
      <c r="AN3" s="204" t="n"/>
      <c r="AO3" s="204" t="n"/>
      <c r="AP3" s="204" t="n"/>
      <c r="AQ3" s="204" t="n"/>
      <c r="AR3" s="204" t="n"/>
      <c r="AS3" s="204" t="n"/>
      <c r="AT3" s="204" t="n"/>
      <c r="AU3" s="205" t="n"/>
      <c r="AV3" s="205" t="n"/>
      <c r="AW3" s="205" t="n"/>
      <c r="AX3" s="245" t="n"/>
      <c r="AY3" s="245" t="n"/>
      <c r="AZ3" s="245" t="n"/>
      <c r="BA3" s="245" t="n"/>
      <c r="BB3" s="245" t="n"/>
      <c r="BC3" s="303" t="n"/>
      <c r="BD3" s="303" t="n"/>
      <c r="BE3" s="303" t="n"/>
      <c r="BF3" s="303" t="n"/>
      <c r="BG3" s="657" t="n"/>
      <c r="BH3" s="206" t="n"/>
      <c r="BI3" s="206" t="n"/>
      <c r="BJ3" s="207" t="n"/>
      <c r="BK3" s="208" t="n"/>
      <c r="BL3" s="175" t="n"/>
      <c r="BM3" s="4" t="n"/>
      <c r="BN3" s="3" t="n"/>
      <c r="BO3" s="3" t="n"/>
      <c r="BP3" s="4" t="n"/>
      <c r="BQ3" s="4" t="n"/>
      <c r="BR3" s="3" t="n"/>
      <c r="BS3" s="174" t="n"/>
      <c r="BT3" s="4" t="n"/>
      <c r="BU3" s="209" t="n"/>
      <c r="BV3" s="483" t="n"/>
      <c r="BW3" s="210" t="n"/>
      <c r="BX3" s="209" t="n"/>
      <c r="BY3" s="483" t="n"/>
      <c r="BZ3" s="210" t="n"/>
      <c r="CA3" s="209" t="n"/>
      <c r="CB3" s="483" t="n"/>
      <c r="CC3" s="483" t="n"/>
      <c r="CD3" s="210" t="n"/>
      <c r="CE3" s="4" t="n"/>
      <c r="CF3" s="4" t="n"/>
      <c r="CG3" s="483" t="n"/>
      <c r="CH3" s="4" t="n"/>
      <c r="CI3" s="4" t="n"/>
      <c r="CJ3" s="4" t="n"/>
      <c r="CK3" s="483" t="n"/>
      <c r="CL3" s="4" t="n"/>
      <c r="CM3" s="4" t="n"/>
      <c r="CN3" s="4" t="n"/>
      <c r="CO3" s="483" t="n"/>
      <c r="CP3" s="659" t="n"/>
    </row>
    <row r="4" ht="15" customHeight="1" s="191" thickBot="1">
      <c r="A4" s="118" t="n">
        <v>1</v>
      </c>
      <c r="B4" s="85" t="inlineStr">
        <is>
          <t>Identyfikacja, analiza i mapowanie procesu pakowania towarów (PT</t>
        </is>
      </c>
      <c r="C4" s="102" t="n"/>
      <c r="D4" s="115" t="n"/>
      <c r="E4" s="121" t="n"/>
      <c r="F4" s="148" t="n"/>
      <c r="G4" s="148" t="n"/>
      <c r="H4" s="51" t="n"/>
      <c r="I4" s="85" t="inlineStr">
        <is>
          <t>ACT</t>
        </is>
      </c>
      <c r="J4" s="90" t="n"/>
      <c r="K4" s="90" t="n"/>
      <c r="L4" s="90" t="n"/>
      <c r="M4" s="90" t="n"/>
      <c r="N4" s="11" t="n"/>
      <c r="O4" s="11" t="n"/>
      <c r="P4" s="468" t="n"/>
      <c r="Q4" s="468" t="n"/>
      <c r="R4" s="468" t="n"/>
      <c r="S4" s="468" t="n"/>
      <c r="T4" s="130" t="n"/>
      <c r="U4" s="130" t="n"/>
      <c r="V4" s="130" t="n"/>
      <c r="W4" s="130" t="n"/>
      <c r="X4" s="130" t="n"/>
      <c r="Y4" s="468" t="n"/>
      <c r="Z4" s="468" t="n"/>
      <c r="AA4" s="468" t="n"/>
      <c r="AB4" s="148" t="n"/>
      <c r="AC4" s="656" t="n"/>
      <c r="AD4" s="656" t="n"/>
      <c r="AE4" s="656" t="n"/>
      <c r="AF4" s="656" t="n"/>
      <c r="AG4" s="173" t="n"/>
      <c r="AH4" s="173" t="n"/>
      <c r="AI4" s="173" t="n"/>
      <c r="AJ4" s="173" t="n"/>
      <c r="AK4" s="173" t="n"/>
      <c r="AL4" s="148" t="n"/>
      <c r="AM4" s="148" t="n"/>
      <c r="AN4" s="148" t="n"/>
      <c r="AO4" s="148" t="n"/>
      <c r="AP4" s="190" t="n"/>
      <c r="AQ4" s="190" t="n"/>
      <c r="AR4" s="190" t="n"/>
      <c r="AS4" s="190" t="n"/>
      <c r="AT4" s="190" t="n"/>
      <c r="AU4" s="148" t="n"/>
      <c r="AV4" s="148" t="n"/>
      <c r="AW4" s="148" t="n"/>
      <c r="AX4" s="148" t="n"/>
      <c r="AY4" s="190" t="n"/>
      <c r="AZ4" s="190" t="n"/>
      <c r="BA4" s="190" t="n"/>
      <c r="BB4" s="190" t="n"/>
      <c r="BC4" s="148" t="n"/>
      <c r="BD4" s="148" t="n"/>
      <c r="BE4" s="148" t="n"/>
      <c r="BF4" s="148" t="n"/>
      <c r="BG4" s="190" t="n"/>
      <c r="BH4" s="148" t="n"/>
      <c r="BI4" s="148" t="n"/>
      <c r="BJ4" s="148" t="n"/>
      <c r="BK4" s="663" t="n"/>
      <c r="BL4" s="663" t="n"/>
      <c r="BM4" s="528" t="n"/>
      <c r="BN4" s="528" t="n"/>
      <c r="BO4" s="528" t="n"/>
      <c r="BP4" s="528" t="n"/>
      <c r="BQ4" s="528" t="n"/>
      <c r="BR4" s="528" t="n"/>
      <c r="BS4" s="14">
        <f>BS5+BS6+BS7+BS8+BS9+BS10</f>
        <v/>
      </c>
      <c r="BT4" s="528" t="n"/>
      <c r="BU4" s="51" t="n"/>
      <c r="BV4" s="14">
        <f>BV5+BV6+BV7+BV9+BV8+BV10</f>
        <v/>
      </c>
      <c r="BW4" s="399" t="n"/>
      <c r="BX4" s="51" t="n"/>
      <c r="BY4" s="14">
        <f>BY5+BY6+BY7+BY9+BY8+BY10</f>
        <v/>
      </c>
      <c r="BZ4" s="399" t="n"/>
      <c r="CA4" s="51" t="n"/>
      <c r="CB4" s="14">
        <f>CB5+CB6+CB7+CB9+CB8+CB10</f>
        <v/>
      </c>
      <c r="CC4" s="14">
        <f>CC5+CC6+CC7+CC9+CC8+CC10</f>
        <v/>
      </c>
      <c r="CD4" s="399" t="n"/>
      <c r="CE4" s="528" t="n"/>
      <c r="CF4" s="528" t="n"/>
      <c r="CG4" s="14">
        <f>CG5+CG6+CG7+CG8+CG9+CG10</f>
        <v/>
      </c>
      <c r="CH4" s="528" t="n"/>
      <c r="CI4" s="528" t="n"/>
      <c r="CJ4" s="528" t="n"/>
      <c r="CK4" s="14">
        <f>CK5+CK6+CK7+CK8+CK9+CK10</f>
        <v/>
      </c>
      <c r="CL4" s="528" t="n"/>
      <c r="CM4" s="528" t="n"/>
      <c r="CN4" s="528" t="n"/>
      <c r="CO4" s="14">
        <f>CO5+CO6+CO7+CO8+CO9+CO10</f>
        <v/>
      </c>
      <c r="CP4" s="40">
        <f>BI4+BL4+BS4+BV4+BY4+CB4+CC4+CG4+CK4+CO4</f>
        <v/>
      </c>
    </row>
    <row r="5">
      <c r="A5" s="112" t="n">
        <v>1</v>
      </c>
      <c r="B5" s="64" t="inlineStr">
        <is>
          <t>a</t>
        </is>
      </c>
      <c r="C5" s="105" t="n">
        <v>1</v>
      </c>
      <c r="D5" s="116">
        <f>CONCATENATE(A$3,"_",A5,"_",B5,"_",C5)</f>
        <v/>
      </c>
      <c r="E5" s="122" t="inlineStr">
        <is>
          <t>Identyfikacja i analiza kluczowych etapów PT i ich interakcji</t>
        </is>
      </c>
      <c r="F5" s="528">
        <f>IFERROR(VLOOKUP($I5,Listy!$A:$H,2,FALSE),"XXX")</f>
        <v/>
      </c>
      <c r="G5" s="528">
        <f>IFERROR(VLOOKUP($I5,Listy!$A:$H,3,FALSE),"XXX")</f>
        <v/>
      </c>
      <c r="H5" s="20" t="n">
        <v>1</v>
      </c>
      <c r="I5" s="89" t="inlineStr">
        <is>
          <t>.b01</t>
        </is>
      </c>
      <c r="J5" s="91" t="inlineStr">
        <is>
          <t>.m01</t>
        </is>
      </c>
      <c r="K5" s="681">
        <f>VLOOKUP(J5,Listy!A:B,2,FALSE)</f>
        <v/>
      </c>
      <c r="L5" s="91" t="inlineStr">
        <is>
          <t>.m02</t>
        </is>
      </c>
      <c r="M5" s="681">
        <f>VLOOKUP(L5,Listy!A:B,2,FALSE)</f>
        <v/>
      </c>
      <c r="N5" s="528" t="n">
        <v>3</v>
      </c>
      <c r="O5" s="528">
        <f>N5*40</f>
        <v/>
      </c>
      <c r="P5" s="187" t="n"/>
      <c r="Q5" s="187" t="n"/>
      <c r="R5" s="187" t="n"/>
      <c r="S5" s="187" t="n"/>
      <c r="T5" s="187" t="n"/>
      <c r="U5" s="187" t="n"/>
      <c r="V5" s="187" t="n"/>
      <c r="W5" s="187" t="n"/>
      <c r="X5" s="187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304" t="n"/>
      <c r="AH5" s="304" t="n"/>
      <c r="AI5" s="304" t="n"/>
      <c r="AJ5" s="304" t="n"/>
      <c r="AK5" s="304" t="n"/>
      <c r="AL5" s="192">
        <f>ROUND($O5*P5,0)</f>
        <v/>
      </c>
      <c r="AM5" s="192">
        <f>ROUND($O5*Q5,0)</f>
        <v/>
      </c>
      <c r="AN5" s="192">
        <f>ROUND($O5*R5,0)</f>
        <v/>
      </c>
      <c r="AO5" s="192">
        <f>ROUND($O5*S5,0)</f>
        <v/>
      </c>
      <c r="AP5" s="192">
        <f>ROUND($O5*T5,0)</f>
        <v/>
      </c>
      <c r="AQ5" s="192">
        <f>ROUND($O5*U5,0)</f>
        <v/>
      </c>
      <c r="AR5" s="192">
        <f>ROUND($O5*V5,0)</f>
        <v/>
      </c>
      <c r="AS5" s="192">
        <f>ROUND($O5*W5,0)</f>
        <v/>
      </c>
      <c r="AT5" s="192">
        <f>ROUND($O5*X5,0)</f>
        <v/>
      </c>
      <c r="AU5" s="193">
        <f>ROUND($O5*Y5,0)</f>
        <v/>
      </c>
      <c r="AV5" s="193">
        <f>ROUND($O5*Z5,0)</f>
        <v/>
      </c>
      <c r="AW5" s="193">
        <f>ROUND($O5*AA5,0)</f>
        <v/>
      </c>
      <c r="AX5" s="307">
        <f>ROUND($O5*AB5,0)</f>
        <v/>
      </c>
      <c r="AY5" s="307">
        <f>ROUND($O5*AC5,0)</f>
        <v/>
      </c>
      <c r="AZ5" s="307">
        <f>ROUND($O5*AD5,0)</f>
        <v/>
      </c>
      <c r="BA5" s="307">
        <f>ROUND($O5*AE5,0)</f>
        <v/>
      </c>
      <c r="BB5" s="307">
        <f>ROUND($O5*AF5,0)</f>
        <v/>
      </c>
      <c r="BC5" s="306">
        <f>ROUND($O5*AG5,0)</f>
        <v/>
      </c>
      <c r="BD5" s="306">
        <f>ROUND($O5*AH5,0)</f>
        <v/>
      </c>
      <c r="BE5" s="306">
        <f>ROUND($O5*AI5,0)</f>
        <v/>
      </c>
      <c r="BF5" s="306">
        <f>ROUND($O5*AJ5,0)</f>
        <v/>
      </c>
      <c r="BG5" s="306">
        <f>ROUND($O5*AK5,0)</f>
        <v/>
      </c>
      <c r="BH5" s="236">
        <f>SUM(AL5:AT5)</f>
        <v/>
      </c>
      <c r="BI5" s="528">
        <f>BH5/160</f>
        <v/>
      </c>
      <c r="BJ5" s="87">
        <f>VLOOKUP(I5,Listy!$A$1:$H$9,6,FALSE)</f>
        <v/>
      </c>
      <c r="BK5" s="682">
        <f>BI5*BJ5</f>
        <v/>
      </c>
      <c r="BL5" s="683">
        <f>BI5*BK5</f>
        <v/>
      </c>
      <c r="BM5" s="528" t="n"/>
      <c r="BN5" s="528" t="n"/>
      <c r="BO5" s="528" t="n"/>
      <c r="BP5" s="528" t="n"/>
      <c r="BQ5" s="528" t="n"/>
      <c r="BR5" s="528" t="n"/>
      <c r="BS5" s="21">
        <f>BQ5*BR5</f>
        <v/>
      </c>
      <c r="BT5" s="528" t="n"/>
      <c r="BU5" s="528" t="n"/>
      <c r="BV5" s="21" t="n"/>
      <c r="BW5" s="528" t="n"/>
      <c r="BX5" s="528" t="n"/>
      <c r="BY5" s="21" t="n"/>
      <c r="BZ5" s="528" t="n"/>
      <c r="CA5" s="528" t="n"/>
      <c r="CB5" s="21" t="n"/>
      <c r="CC5" s="21" t="n"/>
      <c r="CD5" s="528" t="n"/>
      <c r="CE5" s="528" t="n"/>
      <c r="CF5" s="528" t="n"/>
      <c r="CG5" s="21">
        <f>CE5*CF5</f>
        <v/>
      </c>
      <c r="CH5" s="528" t="n"/>
      <c r="CI5" s="528" t="n"/>
      <c r="CJ5" s="528" t="n"/>
      <c r="CK5" s="21">
        <f>CI5*CJ5</f>
        <v/>
      </c>
      <c r="CL5" s="528" t="n"/>
      <c r="CM5" s="528" t="n"/>
      <c r="CN5" s="528" t="n"/>
      <c r="CO5" s="21">
        <f>CM5*CN5</f>
        <v/>
      </c>
    </row>
    <row r="6">
      <c r="A6" s="112" t="n">
        <v>1</v>
      </c>
      <c r="B6" s="64" t="inlineStr">
        <is>
          <t>b</t>
        </is>
      </c>
      <c r="C6" s="105" t="n">
        <v>1</v>
      </c>
      <c r="D6" s="116">
        <f>CONCATENATE(A$3,"_",A6,"_",B6,"_",C6)</f>
        <v/>
      </c>
      <c r="E6" s="122" t="inlineStr">
        <is>
          <t>Określenie wskaźników KPI do oceny efektywności symulacji</t>
        </is>
      </c>
      <c r="F6" s="528">
        <f>IFERROR(VLOOKUP($I6,Listy!$A:$H,2,FALSE),"XXX")</f>
        <v/>
      </c>
      <c r="G6" s="528">
        <f>IFERROR(VLOOKUP($I6,Listy!$A:$H,3,FALSE),"XXX")</f>
        <v/>
      </c>
      <c r="H6" s="20" t="n">
        <v>1</v>
      </c>
      <c r="I6" s="89" t="inlineStr">
        <is>
          <t>.b02</t>
        </is>
      </c>
      <c r="J6" s="91" t="inlineStr">
        <is>
          <t>.m01</t>
        </is>
      </c>
      <c r="K6" s="681">
        <f>VLOOKUP(J6,Listy!A:B,2,FALSE)</f>
        <v/>
      </c>
      <c r="L6" s="91" t="inlineStr">
        <is>
          <t>.m03</t>
        </is>
      </c>
      <c r="M6" s="681">
        <f>VLOOKUP(L6,Listy!A:B,2,FALSE)</f>
        <v/>
      </c>
      <c r="N6" s="528" t="n">
        <v>3</v>
      </c>
      <c r="O6" s="528">
        <f>N6*40</f>
        <v/>
      </c>
      <c r="P6" s="187" t="n"/>
      <c r="Q6" s="187" t="n"/>
      <c r="R6" s="187" t="n"/>
      <c r="S6" s="187" t="n"/>
      <c r="T6" s="187" t="n"/>
      <c r="U6" s="187" t="n"/>
      <c r="V6" s="187" t="n"/>
      <c r="W6" s="187" t="n"/>
      <c r="X6" s="187" t="n"/>
      <c r="Y6" s="292" t="n"/>
      <c r="Z6" s="292" t="n"/>
      <c r="AA6" s="292" t="n"/>
      <c r="AB6" s="292" t="n"/>
      <c r="AC6" s="292" t="n"/>
      <c r="AD6" s="292" t="n"/>
      <c r="AE6" s="292" t="n"/>
      <c r="AF6" s="292" t="n"/>
      <c r="AG6" s="305" t="n"/>
      <c r="AH6" s="305" t="n"/>
      <c r="AI6" s="305" t="n"/>
      <c r="AJ6" s="305" t="n"/>
      <c r="AK6" s="305" t="n"/>
      <c r="AL6" s="192">
        <f>ROUND($O6*P6,0)</f>
        <v/>
      </c>
      <c r="AM6" s="192">
        <f>ROUND($O6*Q6,0)</f>
        <v/>
      </c>
      <c r="AN6" s="192">
        <f>ROUND($O6*R6,0)</f>
        <v/>
      </c>
      <c r="AO6" s="192">
        <f>ROUND($O6*S6,0)</f>
        <v/>
      </c>
      <c r="AP6" s="192">
        <f>ROUND($O6*T6,0)</f>
        <v/>
      </c>
      <c r="AQ6" s="192">
        <f>ROUND($O6*U6,0)</f>
        <v/>
      </c>
      <c r="AR6" s="192">
        <f>ROUND($O6*V6,0)</f>
        <v/>
      </c>
      <c r="AS6" s="192">
        <f>ROUND($O6*W6,0)</f>
        <v/>
      </c>
      <c r="AT6" s="192">
        <f>ROUND($O6*X6,0)</f>
        <v/>
      </c>
      <c r="AU6" s="193">
        <f>ROUND($O6*Y6,0)</f>
        <v/>
      </c>
      <c r="AV6" s="193">
        <f>ROUND($O6*Z6,0)</f>
        <v/>
      </c>
      <c r="AW6" s="193">
        <f>ROUND($O6*AA6,0)</f>
        <v/>
      </c>
      <c r="AX6" s="193">
        <f>ROUND($O6*AB6,0)</f>
        <v/>
      </c>
      <c r="AY6" s="193">
        <f>ROUND($O6*AC6,0)</f>
        <v/>
      </c>
      <c r="AZ6" s="193">
        <f>ROUND($O6*AD6,0)</f>
        <v/>
      </c>
      <c r="BA6" s="193">
        <f>ROUND($O6*AE6,0)</f>
        <v/>
      </c>
      <c r="BB6" s="193">
        <f>ROUND($O6*AF6,0)</f>
        <v/>
      </c>
      <c r="BC6" s="306">
        <f>ROUND($O6*AG6,0)</f>
        <v/>
      </c>
      <c r="BD6" s="306">
        <f>ROUND($O6*AH6,0)</f>
        <v/>
      </c>
      <c r="BE6" s="306">
        <f>ROUND($O6*AI6,0)</f>
        <v/>
      </c>
      <c r="BF6" s="306">
        <f>ROUND($O6*AJ6,0)</f>
        <v/>
      </c>
      <c r="BG6" s="306">
        <f>ROUND($O6*AK6,0)</f>
        <v/>
      </c>
      <c r="BH6" s="236">
        <f>SUM(AL6:AT6)</f>
        <v/>
      </c>
      <c r="BI6" s="528">
        <f>BH6/160</f>
        <v/>
      </c>
      <c r="BJ6" s="87">
        <f>VLOOKUP(I6,Listy!$A$1:$H$9,6,FALSE)</f>
        <v/>
      </c>
      <c r="BK6" s="682">
        <f>BI6*BJ6</f>
        <v/>
      </c>
      <c r="BL6" s="683">
        <f>BI6*BK6</f>
        <v/>
      </c>
      <c r="BM6" s="528" t="n"/>
      <c r="BN6" s="528" t="n"/>
      <c r="BO6" s="528" t="n"/>
      <c r="BP6" s="528" t="n"/>
      <c r="BQ6" s="528" t="n"/>
      <c r="BR6" s="528" t="n"/>
      <c r="BS6" s="21">
        <f>BQ6*BR6</f>
        <v/>
      </c>
      <c r="BT6" s="528" t="n"/>
      <c r="BU6" s="528" t="n"/>
      <c r="BV6" s="528" t="n"/>
      <c r="BW6" s="528" t="n"/>
      <c r="BX6" s="528" t="n"/>
      <c r="BY6" s="528" t="n"/>
      <c r="BZ6" s="528" t="n"/>
      <c r="CA6" s="528" t="n"/>
      <c r="CB6" s="528" t="n"/>
      <c r="CC6" s="528" t="n"/>
      <c r="CD6" s="528" t="n"/>
      <c r="CE6" s="528" t="n"/>
      <c r="CF6" s="528" t="n"/>
      <c r="CG6" s="21">
        <f>CE6*CF6</f>
        <v/>
      </c>
      <c r="CH6" s="528" t="n"/>
      <c r="CI6" s="528" t="n"/>
      <c r="CJ6" s="528" t="n"/>
      <c r="CK6" s="21">
        <f>CI6*CJ6</f>
        <v/>
      </c>
      <c r="CL6" s="528" t="n"/>
      <c r="CM6" s="528" t="n"/>
      <c r="CN6" s="528" t="n"/>
      <c r="CO6" s="21">
        <f>CM6*CN6</f>
        <v/>
      </c>
    </row>
    <row r="7">
      <c r="A7" s="112" t="n">
        <v>1</v>
      </c>
      <c r="B7" s="64" t="inlineStr">
        <is>
          <t>c</t>
        </is>
      </c>
      <c r="C7" s="105" t="n">
        <v>1</v>
      </c>
      <c r="D7" s="116">
        <f>CONCATENATE(A$3,"_",A7,"_",B7,"_",C7)</f>
        <v/>
      </c>
      <c r="E7" s="122" t="inlineStr">
        <is>
          <t>Analiza wydajności</t>
        </is>
      </c>
      <c r="F7" s="528">
        <f>IFERROR(VLOOKUP($I7,Listy!$A:$H,2,FALSE),"XXX")</f>
        <v/>
      </c>
      <c r="G7" s="528">
        <f>IFERROR(VLOOKUP($I7,Listy!$A:$H,3,FALSE),"XXX")</f>
        <v/>
      </c>
      <c r="H7" s="20" t="n">
        <v>2</v>
      </c>
      <c r="I7" s="89" t="inlineStr">
        <is>
          <t>.b03</t>
        </is>
      </c>
      <c r="J7" s="91" t="inlineStr">
        <is>
          <t>.m01</t>
        </is>
      </c>
      <c r="K7" s="681">
        <f>VLOOKUP(J7,Listy!A:B,2,FALSE)</f>
        <v/>
      </c>
      <c r="L7" s="91" t="inlineStr">
        <is>
          <t>.m04</t>
        </is>
      </c>
      <c r="M7" s="681">
        <f>VLOOKUP(L7,Listy!A:B,2,FALSE)</f>
        <v/>
      </c>
      <c r="N7" s="528" t="n">
        <v>3</v>
      </c>
      <c r="O7" s="528">
        <f>N7*40</f>
        <v/>
      </c>
      <c r="P7" s="187" t="n"/>
      <c r="Q7" s="187" t="n"/>
      <c r="R7" s="187" t="n"/>
      <c r="S7" s="187" t="n"/>
      <c r="T7" s="187" t="n"/>
      <c r="U7" s="187" t="n"/>
      <c r="V7" s="187" t="n"/>
      <c r="W7" s="187" t="n"/>
      <c r="X7" s="187" t="n"/>
      <c r="Y7" s="292" t="n"/>
      <c r="Z7" s="292" t="n"/>
      <c r="AA7" s="292" t="n"/>
      <c r="AB7" s="292" t="n"/>
      <c r="AC7" s="292" t="n"/>
      <c r="AD7" s="292" t="n"/>
      <c r="AE7" s="292" t="n"/>
      <c r="AF7" s="292" t="n"/>
      <c r="AG7" s="305" t="n"/>
      <c r="AH7" s="305" t="n"/>
      <c r="AI7" s="305" t="n"/>
      <c r="AJ7" s="305" t="n"/>
      <c r="AK7" s="305" t="n"/>
      <c r="AL7" s="192">
        <f>ROUND($O7*P7,0)</f>
        <v/>
      </c>
      <c r="AM7" s="192">
        <f>ROUND($O7*Q7,0)</f>
        <v/>
      </c>
      <c r="AN7" s="192">
        <f>ROUND($O7*R7,0)</f>
        <v/>
      </c>
      <c r="AO7" s="192">
        <f>ROUND($O7*S7,0)</f>
        <v/>
      </c>
      <c r="AP7" s="192">
        <f>ROUND($O7*T7,0)</f>
        <v/>
      </c>
      <c r="AQ7" s="192">
        <f>ROUND($O7*U7,0)</f>
        <v/>
      </c>
      <c r="AR7" s="192">
        <f>ROUND($O7*V7,0)</f>
        <v/>
      </c>
      <c r="AS7" s="192">
        <f>ROUND($O7*W7,0)</f>
        <v/>
      </c>
      <c r="AT7" s="192">
        <f>ROUND($O7*X7,0)</f>
        <v/>
      </c>
      <c r="AU7" s="193">
        <f>ROUND($O7*Y7,0)</f>
        <v/>
      </c>
      <c r="AV7" s="193">
        <f>ROUND($O7*Z7,0)</f>
        <v/>
      </c>
      <c r="AW7" s="193">
        <f>ROUND($O7*AA7,0)</f>
        <v/>
      </c>
      <c r="AX7" s="193">
        <f>ROUND($O7*AB7,0)</f>
        <v/>
      </c>
      <c r="AY7" s="193">
        <f>ROUND($O7*AC7,0)</f>
        <v/>
      </c>
      <c r="AZ7" s="193">
        <f>ROUND($O7*AD7,0)</f>
        <v/>
      </c>
      <c r="BA7" s="193">
        <f>ROUND($O7*AE7,0)</f>
        <v/>
      </c>
      <c r="BB7" s="193">
        <f>ROUND($O7*AF7,0)</f>
        <v/>
      </c>
      <c r="BC7" s="306">
        <f>ROUND($O7*AG7,0)</f>
        <v/>
      </c>
      <c r="BD7" s="306">
        <f>ROUND($O7*AH7,0)</f>
        <v/>
      </c>
      <c r="BE7" s="306">
        <f>ROUND($O7*AI7,0)</f>
        <v/>
      </c>
      <c r="BF7" s="306">
        <f>ROUND($O7*AJ7,0)</f>
        <v/>
      </c>
      <c r="BG7" s="306">
        <f>ROUND($O7*AK7,0)</f>
        <v/>
      </c>
      <c r="BH7" s="236">
        <f>SUM(AL7:AT7)</f>
        <v/>
      </c>
      <c r="BI7" s="528">
        <f>BH7/160</f>
        <v/>
      </c>
      <c r="BJ7" s="87">
        <f>VLOOKUP(I7,Listy!$A$1:$H$9,6,FALSE)</f>
        <v/>
      </c>
      <c r="BK7" s="682">
        <f>BI7*BJ7</f>
        <v/>
      </c>
      <c r="BL7" s="683">
        <f>BI7*BK7</f>
        <v/>
      </c>
      <c r="BM7" s="528" t="n"/>
      <c r="BN7" s="528" t="n"/>
      <c r="BO7" s="528" t="n"/>
      <c r="BP7" s="528" t="n"/>
      <c r="BQ7" s="528" t="n"/>
      <c r="BR7" s="528" t="n"/>
      <c r="BS7" s="21">
        <f>BQ7*BR7</f>
        <v/>
      </c>
      <c r="BT7" s="528" t="n"/>
      <c r="BU7" s="528" t="n"/>
      <c r="BV7" s="528" t="n"/>
      <c r="BW7" s="528" t="n"/>
      <c r="BX7" s="528" t="n"/>
      <c r="BY7" s="528" t="n"/>
      <c r="BZ7" s="528" t="n"/>
      <c r="CA7" s="528" t="n"/>
      <c r="CB7" s="528" t="n"/>
      <c r="CC7" s="528" t="n"/>
      <c r="CD7" s="528" t="n"/>
      <c r="CE7" s="528" t="n"/>
      <c r="CF7" s="528" t="n"/>
      <c r="CG7" s="21">
        <f>CE7*CF7</f>
        <v/>
      </c>
      <c r="CH7" s="528" t="n"/>
      <c r="CI7" s="528" t="n"/>
      <c r="CJ7" s="528" t="n"/>
      <c r="CK7" s="21">
        <f>CI7*CJ7</f>
        <v/>
      </c>
      <c r="CL7" s="528" t="n"/>
      <c r="CM7" s="528" t="n"/>
      <c r="CN7" s="528" t="n"/>
      <c r="CO7" s="21">
        <f>CM7*CN7</f>
        <v/>
      </c>
    </row>
    <row r="8">
      <c r="A8" s="112" t="n">
        <v>1</v>
      </c>
      <c r="B8" s="64" t="inlineStr">
        <is>
          <t>d</t>
        </is>
      </c>
      <c r="C8" s="105" t="n">
        <v>1</v>
      </c>
      <c r="D8" s="116">
        <f>CONCATENATE(A$3,"_",A8,"_",B8,"_",C8)</f>
        <v/>
      </c>
      <c r="E8" s="122" t="inlineStr">
        <is>
          <t>Identyfikacja wyzwań/„wąskich gardeł”</t>
        </is>
      </c>
      <c r="F8" s="528">
        <f>IFERROR(VLOOKUP($I8,Listy!$A:$H,2,FALSE),"XXX")</f>
        <v/>
      </c>
      <c r="G8" s="528">
        <f>IFERROR(VLOOKUP($I8,Listy!$A:$H,3,FALSE),"XXX")</f>
        <v/>
      </c>
      <c r="H8" s="20" t="n">
        <v>1</v>
      </c>
      <c r="I8" s="89" t="inlineStr">
        <is>
          <t>.a01</t>
        </is>
      </c>
      <c r="J8" s="91" t="inlineStr">
        <is>
          <t>.m01</t>
        </is>
      </c>
      <c r="K8" s="681">
        <f>VLOOKUP(J8,Listy!A:B,2,FALSE)</f>
        <v/>
      </c>
      <c r="L8" s="91" t="inlineStr">
        <is>
          <t>.m12</t>
        </is>
      </c>
      <c r="M8" s="681">
        <f>VLOOKUP(L8,Listy!A:B,2,FALSE)</f>
        <v/>
      </c>
      <c r="N8" s="528" t="n">
        <v>3</v>
      </c>
      <c r="O8" s="528">
        <f>N8*40</f>
        <v/>
      </c>
      <c r="P8" s="187" t="n"/>
      <c r="Q8" s="187" t="n"/>
      <c r="R8" s="187" t="n"/>
      <c r="S8" s="187" t="n"/>
      <c r="T8" s="187" t="n"/>
      <c r="U8" s="187" t="n"/>
      <c r="V8" s="187" t="n"/>
      <c r="W8" s="187" t="n"/>
      <c r="X8" s="187" t="n"/>
      <c r="Y8" s="292" t="n"/>
      <c r="Z8" s="292" t="n"/>
      <c r="AA8" s="292" t="n"/>
      <c r="AB8" s="292" t="n"/>
      <c r="AC8" s="292" t="n"/>
      <c r="AD8" s="292" t="n"/>
      <c r="AE8" s="292" t="n"/>
      <c r="AF8" s="292" t="n"/>
      <c r="AG8" s="305" t="n"/>
      <c r="AH8" s="305" t="n"/>
      <c r="AI8" s="305" t="n"/>
      <c r="AJ8" s="305" t="n"/>
      <c r="AK8" s="305" t="n"/>
      <c r="AL8" s="192">
        <f>ROUND($O8*P8,0)</f>
        <v/>
      </c>
      <c r="AM8" s="192">
        <f>ROUND($O8*Q8,0)</f>
        <v/>
      </c>
      <c r="AN8" s="192">
        <f>ROUND($O8*R8,0)</f>
        <v/>
      </c>
      <c r="AO8" s="192">
        <f>ROUND($O8*S8,0)</f>
        <v/>
      </c>
      <c r="AP8" s="192">
        <f>ROUND($O8*T8,0)</f>
        <v/>
      </c>
      <c r="AQ8" s="192">
        <f>ROUND($O8*U8,0)</f>
        <v/>
      </c>
      <c r="AR8" s="192">
        <f>ROUND($O8*V8,0)</f>
        <v/>
      </c>
      <c r="AS8" s="192">
        <f>ROUND($O8*W8,0)</f>
        <v/>
      </c>
      <c r="AT8" s="192">
        <f>ROUND($O8*X8,0)</f>
        <v/>
      </c>
      <c r="AU8" s="193">
        <f>ROUND($O8*Y8,0)</f>
        <v/>
      </c>
      <c r="AV8" s="193">
        <f>ROUND($O8*Z8,0)</f>
        <v/>
      </c>
      <c r="AW8" s="193">
        <f>ROUND($O8*AA8,0)</f>
        <v/>
      </c>
      <c r="AX8" s="193">
        <f>ROUND($O8*AB8,0)</f>
        <v/>
      </c>
      <c r="AY8" s="193">
        <f>ROUND($O8*AC8,0)</f>
        <v/>
      </c>
      <c r="AZ8" s="193">
        <f>ROUND($O8*AD8,0)</f>
        <v/>
      </c>
      <c r="BA8" s="193">
        <f>ROUND($O8*AE8,0)</f>
        <v/>
      </c>
      <c r="BB8" s="193">
        <f>ROUND($O8*AF8,0)</f>
        <v/>
      </c>
      <c r="BC8" s="306">
        <f>ROUND($O8*AG8,0)</f>
        <v/>
      </c>
      <c r="BD8" s="306">
        <f>ROUND($O8*AH8,0)</f>
        <v/>
      </c>
      <c r="BE8" s="306">
        <f>ROUND($O8*AI8,0)</f>
        <v/>
      </c>
      <c r="BF8" s="306">
        <f>ROUND($O8*AJ8,0)</f>
        <v/>
      </c>
      <c r="BG8" s="306">
        <f>ROUND($O8*AK8,0)</f>
        <v/>
      </c>
      <c r="BH8" s="236">
        <f>SUM(AL8:AT8)</f>
        <v/>
      </c>
      <c r="BI8" s="528">
        <f>BH8/160</f>
        <v/>
      </c>
      <c r="BJ8" s="87">
        <f>VLOOKUP(I8,Listy!$A$1:$H$9,6,FALSE)</f>
        <v/>
      </c>
      <c r="BK8" s="682">
        <f>BI8*BJ8</f>
        <v/>
      </c>
      <c r="BL8" s="683">
        <f>BI8*BK8</f>
        <v/>
      </c>
      <c r="BM8" s="528" t="n"/>
      <c r="BN8" s="528" t="n"/>
      <c r="BO8" s="528" t="n"/>
      <c r="BP8" s="528" t="n"/>
      <c r="BQ8" s="528" t="n"/>
      <c r="BR8" s="528" t="n"/>
      <c r="BS8" s="21">
        <f>BQ8*BR8</f>
        <v/>
      </c>
      <c r="BT8" s="528" t="n"/>
      <c r="BU8" s="528" t="n"/>
      <c r="BV8" s="528" t="n"/>
      <c r="BW8" s="528" t="n"/>
      <c r="BX8" s="528" t="n"/>
      <c r="BY8" s="528" t="n"/>
      <c r="BZ8" s="528" t="n"/>
      <c r="CA8" s="528" t="n"/>
      <c r="CB8" s="528" t="n"/>
      <c r="CC8" s="528" t="n"/>
      <c r="CD8" s="528" t="n"/>
      <c r="CE8" s="528" t="n"/>
      <c r="CF8" s="528" t="n"/>
      <c r="CG8" s="21">
        <f>CE8*CF8</f>
        <v/>
      </c>
      <c r="CH8" s="528" t="n"/>
      <c r="CI8" s="528" t="n"/>
      <c r="CJ8" s="528" t="n"/>
      <c r="CK8" s="21">
        <f>CI8*CJ8</f>
        <v/>
      </c>
      <c r="CL8" s="528" t="n"/>
      <c r="CM8" s="528" t="n"/>
      <c r="CN8" s="528" t="n"/>
      <c r="CO8" s="21">
        <f>CM8*CN8</f>
        <v/>
      </c>
    </row>
    <row r="9">
      <c r="A9" s="112" t="n">
        <v>1</v>
      </c>
      <c r="B9" s="64" t="inlineStr">
        <is>
          <t>e</t>
        </is>
      </c>
      <c r="C9" s="105" t="n">
        <v>1</v>
      </c>
      <c r="D9" s="116">
        <f>CONCATENATE(A$3,"_",A9,"_",B9,"_",C9)</f>
        <v/>
      </c>
      <c r="E9" s="122" t="inlineStr">
        <is>
          <t>Analiza wpływu zakłóceń dostępności infrastruktury technicznej</t>
        </is>
      </c>
      <c r="F9" s="528">
        <f>IFERROR(VLOOKUP($I9,Listy!$A:$H,2,FALSE),"XXX")</f>
        <v/>
      </c>
      <c r="G9" s="528">
        <f>IFERROR(VLOOKUP($I9,Listy!$A:$H,3,FALSE),"XXX")</f>
        <v/>
      </c>
      <c r="H9" s="20" t="n">
        <v>1</v>
      </c>
      <c r="I9" s="89" t="inlineStr">
        <is>
          <t>.a02</t>
        </is>
      </c>
      <c r="J9" s="91" t="inlineStr">
        <is>
          <t>.m01</t>
        </is>
      </c>
      <c r="K9" s="681">
        <f>VLOOKUP(J9,Listy!A:B,2,FALSE)</f>
        <v/>
      </c>
      <c r="L9" s="91" t="inlineStr">
        <is>
          <t>.m13</t>
        </is>
      </c>
      <c r="M9" s="681">
        <f>VLOOKUP(L9,Listy!A:B,2,FALSE)</f>
        <v/>
      </c>
      <c r="N9" s="528" t="n">
        <v>3</v>
      </c>
      <c r="O9" s="528">
        <f>N9*40</f>
        <v/>
      </c>
      <c r="P9" s="187" t="n"/>
      <c r="Q9" s="187" t="n"/>
      <c r="R9" s="187" t="n"/>
      <c r="S9" s="187" t="n"/>
      <c r="T9" s="187" t="n"/>
      <c r="U9" s="187" t="n"/>
      <c r="V9" s="187" t="n"/>
      <c r="W9" s="187" t="n"/>
      <c r="X9" s="187" t="n"/>
      <c r="Y9" s="292" t="n"/>
      <c r="Z9" s="292" t="n"/>
      <c r="AA9" s="292" t="n"/>
      <c r="AB9" s="292" t="n"/>
      <c r="AC9" s="292" t="n"/>
      <c r="AD9" s="292" t="n"/>
      <c r="AE9" s="292" t="n"/>
      <c r="AF9" s="292" t="n"/>
      <c r="AG9" s="305" t="n"/>
      <c r="AH9" s="305" t="n"/>
      <c r="AI9" s="305" t="n"/>
      <c r="AJ9" s="305" t="n"/>
      <c r="AK9" s="305" t="n"/>
      <c r="AL9" s="192">
        <f>ROUND($O9*P9,0)</f>
        <v/>
      </c>
      <c r="AM9" s="192">
        <f>ROUND($O9*Q9,0)</f>
        <v/>
      </c>
      <c r="AN9" s="192">
        <f>ROUND($O9*R9,0)</f>
        <v/>
      </c>
      <c r="AO9" s="192">
        <f>ROUND($O9*S9,0)</f>
        <v/>
      </c>
      <c r="AP9" s="192">
        <f>ROUND($O9*T9,0)</f>
        <v/>
      </c>
      <c r="AQ9" s="192">
        <f>ROUND($O9*U9,0)</f>
        <v/>
      </c>
      <c r="AR9" s="192">
        <f>ROUND($O9*V9,0)</f>
        <v/>
      </c>
      <c r="AS9" s="192">
        <f>ROUND($O9*W9,0)</f>
        <v/>
      </c>
      <c r="AT9" s="192">
        <f>ROUND($O9*X9,0)</f>
        <v/>
      </c>
      <c r="AU9" s="193">
        <f>ROUND($O9*Y9,0)</f>
        <v/>
      </c>
      <c r="AV9" s="193">
        <f>ROUND($O9*Z9,0)</f>
        <v/>
      </c>
      <c r="AW9" s="193">
        <f>ROUND($O9*AA9,0)</f>
        <v/>
      </c>
      <c r="AX9" s="193">
        <f>ROUND($O9*AB9,0)</f>
        <v/>
      </c>
      <c r="AY9" s="193">
        <f>ROUND($O9*AC9,0)</f>
        <v/>
      </c>
      <c r="AZ9" s="193">
        <f>ROUND($O9*AD9,0)</f>
        <v/>
      </c>
      <c r="BA9" s="193">
        <f>ROUND($O9*AE9,0)</f>
        <v/>
      </c>
      <c r="BB9" s="193">
        <f>ROUND($O9*AF9,0)</f>
        <v/>
      </c>
      <c r="BC9" s="306">
        <f>ROUND($O9*AG9,0)</f>
        <v/>
      </c>
      <c r="BD9" s="306">
        <f>ROUND($O9*AH9,0)</f>
        <v/>
      </c>
      <c r="BE9" s="306">
        <f>ROUND($O9*AI9,0)</f>
        <v/>
      </c>
      <c r="BF9" s="306">
        <f>ROUND($O9*AJ9,0)</f>
        <v/>
      </c>
      <c r="BG9" s="306">
        <f>ROUND($O9*AK9,0)</f>
        <v/>
      </c>
      <c r="BH9" s="236">
        <f>SUM(AL9:AT9)</f>
        <v/>
      </c>
      <c r="BI9" s="528">
        <f>BH9/160</f>
        <v/>
      </c>
      <c r="BJ9" s="87">
        <f>VLOOKUP(I9,Listy!$A$1:$H$9,6,FALSE)</f>
        <v/>
      </c>
      <c r="BK9" s="682">
        <f>BI9*BJ9</f>
        <v/>
      </c>
      <c r="BL9" s="683">
        <f>BI9*BK9</f>
        <v/>
      </c>
      <c r="BM9" s="528" t="n"/>
      <c r="BN9" s="528" t="n"/>
      <c r="BO9" s="528" t="n"/>
      <c r="BP9" s="528" t="n"/>
      <c r="BQ9" s="528" t="n"/>
      <c r="BR9" s="528" t="n"/>
      <c r="BS9" s="21">
        <f>BQ9*BR9</f>
        <v/>
      </c>
      <c r="BT9" s="528" t="n"/>
      <c r="BU9" s="528" t="n"/>
      <c r="BV9" s="528" t="n"/>
      <c r="BW9" s="528" t="n"/>
      <c r="BX9" s="528" t="n"/>
      <c r="BY9" s="528" t="n"/>
      <c r="BZ9" s="528" t="n"/>
      <c r="CA9" s="528" t="n"/>
      <c r="CB9" s="528" t="n"/>
      <c r="CC9" s="528" t="n"/>
      <c r="CD9" s="528" t="n"/>
      <c r="CE9" s="528" t="n"/>
      <c r="CF9" s="528" t="n"/>
      <c r="CG9" s="21">
        <f>CE9*CF9</f>
        <v/>
      </c>
      <c r="CH9" s="528" t="n"/>
      <c r="CI9" s="528" t="n"/>
      <c r="CJ9" s="528" t="n"/>
      <c r="CK9" s="21">
        <f>CI9*CJ9</f>
        <v/>
      </c>
      <c r="CL9" s="528" t="n"/>
      <c r="CM9" s="528" t="n"/>
      <c r="CN9" s="528" t="n"/>
      <c r="CO9" s="21">
        <f>CM9*CN9</f>
        <v/>
      </c>
    </row>
    <row r="10">
      <c r="A10" s="112" t="n">
        <v>1</v>
      </c>
      <c r="B10" s="64" t="inlineStr">
        <is>
          <t>f</t>
        </is>
      </c>
      <c r="C10" s="105" t="n">
        <v>1</v>
      </c>
      <c r="D10" s="116">
        <f>CONCATENATE(A$3,"_",A10,"_",B10,"_",C10)</f>
        <v/>
      </c>
      <c r="E10" s="122" t="inlineStr">
        <is>
          <t>Stworzenie mapy zidentyfikowanych algorytmów/etapów PT</t>
        </is>
      </c>
      <c r="F10" s="528">
        <f>IFERROR(VLOOKUP($I10,Listy!$A:$H,2,FALSE),"XXX")</f>
        <v/>
      </c>
      <c r="G10" s="528">
        <f>IFERROR(VLOOKUP($I10,Listy!$A:$H,3,FALSE),"XXX")</f>
        <v/>
      </c>
      <c r="H10" s="20" t="n">
        <v>2</v>
      </c>
      <c r="I10" s="89" t="inlineStr">
        <is>
          <t>.a03</t>
        </is>
      </c>
      <c r="J10" s="91" t="inlineStr">
        <is>
          <t>.m01</t>
        </is>
      </c>
      <c r="K10" s="681">
        <f>VLOOKUP(J10,Listy!A:B,2,FALSE)</f>
        <v/>
      </c>
      <c r="L10" s="91" t="inlineStr">
        <is>
          <t>.m14</t>
        </is>
      </c>
      <c r="M10" s="681">
        <f>VLOOKUP(L10,Listy!A:B,2,FALSE)</f>
        <v/>
      </c>
      <c r="N10" s="528" t="n">
        <v>3</v>
      </c>
      <c r="O10" s="528">
        <f>N10*40</f>
        <v/>
      </c>
      <c r="P10" s="187" t="n"/>
      <c r="Q10" s="187" t="n"/>
      <c r="R10" s="187" t="n"/>
      <c r="S10" s="187" t="n"/>
      <c r="T10" s="187" t="n"/>
      <c r="U10" s="187" t="n"/>
      <c r="V10" s="187" t="n"/>
      <c r="W10" s="187" t="n"/>
      <c r="X10" s="187" t="n"/>
      <c r="Y10" s="292" t="n"/>
      <c r="Z10" s="292" t="n"/>
      <c r="AA10" s="292" t="n"/>
      <c r="AB10" s="292" t="n"/>
      <c r="AC10" s="292" t="n"/>
      <c r="AD10" s="292" t="n"/>
      <c r="AE10" s="292" t="n"/>
      <c r="AF10" s="292" t="n"/>
      <c r="AG10" s="305" t="n"/>
      <c r="AH10" s="305" t="n"/>
      <c r="AI10" s="305" t="n"/>
      <c r="AJ10" s="305" t="n"/>
      <c r="AK10" s="305" t="n"/>
      <c r="AL10" s="192">
        <f>ROUND($O10*P10,0)</f>
        <v/>
      </c>
      <c r="AM10" s="192">
        <f>ROUND($O10*Q10,0)</f>
        <v/>
      </c>
      <c r="AN10" s="192">
        <f>ROUND($O10*R10,0)</f>
        <v/>
      </c>
      <c r="AO10" s="192">
        <f>ROUND($O10*S10,0)</f>
        <v/>
      </c>
      <c r="AP10" s="192">
        <f>ROUND($O10*T10,0)</f>
        <v/>
      </c>
      <c r="AQ10" s="192">
        <f>ROUND($O10*U10,0)</f>
        <v/>
      </c>
      <c r="AR10" s="192">
        <f>ROUND($O10*V10,0)</f>
        <v/>
      </c>
      <c r="AS10" s="192">
        <f>ROUND($O10*W10,0)</f>
        <v/>
      </c>
      <c r="AT10" s="192">
        <f>ROUND($O10*X10,0)</f>
        <v/>
      </c>
      <c r="AU10" s="193">
        <f>ROUND($O10*Y10,0)</f>
        <v/>
      </c>
      <c r="AV10" s="193">
        <f>ROUND($O10*Z10,0)</f>
        <v/>
      </c>
      <c r="AW10" s="193">
        <f>ROUND($O10*AA10,0)</f>
        <v/>
      </c>
      <c r="AX10" s="193">
        <f>ROUND($O10*AB10,0)</f>
        <v/>
      </c>
      <c r="AY10" s="193">
        <f>ROUND($O10*AC10,0)</f>
        <v/>
      </c>
      <c r="AZ10" s="193">
        <f>ROUND($O10*AD10,0)</f>
        <v/>
      </c>
      <c r="BA10" s="193">
        <f>ROUND($O10*AE10,0)</f>
        <v/>
      </c>
      <c r="BB10" s="193">
        <f>ROUND($O10*AF10,0)</f>
        <v/>
      </c>
      <c r="BC10" s="306">
        <f>ROUND($O10*AG10,0)</f>
        <v/>
      </c>
      <c r="BD10" s="306">
        <f>ROUND($O10*AH10,0)</f>
        <v/>
      </c>
      <c r="BE10" s="306">
        <f>ROUND($O10*AI10,0)</f>
        <v/>
      </c>
      <c r="BF10" s="306">
        <f>ROUND($O10*AJ10,0)</f>
        <v/>
      </c>
      <c r="BG10" s="306">
        <f>ROUND($O10*AK10,0)</f>
        <v/>
      </c>
      <c r="BH10" s="236">
        <f>SUM(AL10:AT10)</f>
        <v/>
      </c>
      <c r="BI10" s="528">
        <f>BH10/160</f>
        <v/>
      </c>
      <c r="BJ10" s="87">
        <f>VLOOKUP(I10,Listy!$A$1:$H$9,6,FALSE)</f>
        <v/>
      </c>
      <c r="BK10" s="682">
        <f>BI10*BJ10</f>
        <v/>
      </c>
      <c r="BL10" s="683">
        <f>BI10*BK10</f>
        <v/>
      </c>
      <c r="BM10" s="528" t="n"/>
      <c r="BN10" s="528" t="n"/>
      <c r="BO10" s="528" t="n"/>
      <c r="BP10" s="528" t="n"/>
      <c r="BQ10" s="528" t="n"/>
      <c r="BR10" s="528" t="n"/>
      <c r="BS10" s="22">
        <f>BQ10*BR10</f>
        <v/>
      </c>
      <c r="BT10" s="528" t="n"/>
      <c r="BU10" s="528" t="n"/>
      <c r="BV10" s="314" t="n"/>
      <c r="BW10" s="528" t="n"/>
      <c r="BX10" s="528" t="n"/>
      <c r="BY10" s="314" t="n"/>
      <c r="BZ10" s="528" t="n"/>
      <c r="CA10" s="528" t="n"/>
      <c r="CB10" s="314" t="n"/>
      <c r="CC10" s="314" t="n"/>
      <c r="CD10" s="528" t="n"/>
      <c r="CE10" s="528" t="n"/>
      <c r="CF10" s="528" t="n"/>
      <c r="CG10" s="22">
        <f>CE10*CF10</f>
        <v/>
      </c>
      <c r="CH10" s="528" t="n"/>
      <c r="CI10" s="528" t="n"/>
      <c r="CJ10" s="528" t="n"/>
      <c r="CK10" s="22">
        <f>CI10*CJ10</f>
        <v/>
      </c>
      <c r="CL10" s="528" t="n"/>
      <c r="CM10" s="528" t="n"/>
      <c r="CN10" s="528" t="n"/>
      <c r="CO10" s="22">
        <f>CM10*CN10</f>
        <v/>
      </c>
    </row>
    <row r="11">
      <c r="A11" s="112" t="n">
        <v>1</v>
      </c>
      <c r="B11" s="64" t="inlineStr">
        <is>
          <t>e</t>
        </is>
      </c>
      <c r="C11" s="105" t="n">
        <v>1</v>
      </c>
      <c r="D11" s="116">
        <f>CONCATENATE(A$3,"_",A11,"_",B11,"_",C11)</f>
        <v/>
      </c>
      <c r="E11" s="122" t="inlineStr">
        <is>
          <t>Analiza wpływu zakłóceń dostępności infrastruktury technicznej</t>
        </is>
      </c>
      <c r="F11" s="528">
        <f>IFERROR(VLOOKUP($I11,Listy!$A:$H,2,FALSE),"XXX")</f>
        <v/>
      </c>
      <c r="G11" s="528">
        <f>IFERROR(VLOOKUP($I11,Listy!$A:$H,3,FALSE),"XXX")</f>
        <v/>
      </c>
      <c r="H11" s="20" t="n">
        <v>3</v>
      </c>
      <c r="I11" s="89" t="inlineStr">
        <is>
          <t>.a04</t>
        </is>
      </c>
      <c r="J11" s="91" t="inlineStr">
        <is>
          <t>.m01</t>
        </is>
      </c>
      <c r="K11" s="681">
        <f>VLOOKUP(J11,Listy!A:B,2,FALSE)</f>
        <v/>
      </c>
      <c r="L11" s="91" t="inlineStr">
        <is>
          <t>.m15</t>
        </is>
      </c>
      <c r="M11" s="681">
        <f>VLOOKUP(L11,Listy!A:B,2,FALSE)</f>
        <v/>
      </c>
      <c r="N11" s="528" t="n">
        <v>3</v>
      </c>
      <c r="O11" s="528">
        <f>N11*40</f>
        <v/>
      </c>
      <c r="P11" s="187" t="n"/>
      <c r="Q11" s="187" t="n"/>
      <c r="R11" s="187" t="n"/>
      <c r="S11" s="187" t="n"/>
      <c r="T11" s="187" t="n"/>
      <c r="U11" s="187" t="n"/>
      <c r="V11" s="187" t="n"/>
      <c r="W11" s="187" t="n"/>
      <c r="X11" s="187" t="n"/>
      <c r="Y11" s="292" t="n"/>
      <c r="Z11" s="292" t="n"/>
      <c r="AA11" s="292" t="n"/>
      <c r="AB11" s="292" t="n"/>
      <c r="AC11" s="292" t="n"/>
      <c r="AD11" s="292" t="n"/>
      <c r="AE11" s="292" t="n"/>
      <c r="AF11" s="292" t="n"/>
      <c r="AG11" s="305" t="n"/>
      <c r="AH11" s="305" t="n"/>
      <c r="AI11" s="305" t="n"/>
      <c r="AJ11" s="305" t="n"/>
      <c r="AK11" s="305" t="n"/>
      <c r="AL11" s="192">
        <f>ROUND($O11*P11,0)</f>
        <v/>
      </c>
      <c r="AM11" s="192">
        <f>ROUND($O11*Q11,0)</f>
        <v/>
      </c>
      <c r="AN11" s="192">
        <f>ROUND($O11*R11,0)</f>
        <v/>
      </c>
      <c r="AO11" s="192">
        <f>ROUND($O11*S11,0)</f>
        <v/>
      </c>
      <c r="AP11" s="192">
        <f>ROUND($O11*T11,0)</f>
        <v/>
      </c>
      <c r="AQ11" s="192">
        <f>ROUND($O11*U11,0)</f>
        <v/>
      </c>
      <c r="AR11" s="192">
        <f>ROUND($O11*V11,0)</f>
        <v/>
      </c>
      <c r="AS11" s="192">
        <f>ROUND($O11*W11,0)</f>
        <v/>
      </c>
      <c r="AT11" s="192">
        <f>ROUND($O11*X11,0)</f>
        <v/>
      </c>
      <c r="AU11" s="193">
        <f>ROUND($O11*Y11,0)</f>
        <v/>
      </c>
      <c r="AV11" s="193">
        <f>ROUND($O11*Z11,0)</f>
        <v/>
      </c>
      <c r="AW11" s="193">
        <f>ROUND($O11*AA11,0)</f>
        <v/>
      </c>
      <c r="AX11" s="193">
        <f>ROUND($O11*AB11,0)</f>
        <v/>
      </c>
      <c r="AY11" s="193">
        <f>ROUND($O11*AC11,0)</f>
        <v/>
      </c>
      <c r="AZ11" s="193">
        <f>ROUND($O11*AD11,0)</f>
        <v/>
      </c>
      <c r="BA11" s="193">
        <f>ROUND($O11*AE11,0)</f>
        <v/>
      </c>
      <c r="BB11" s="193">
        <f>ROUND($O11*AF11,0)</f>
        <v/>
      </c>
      <c r="BC11" s="306">
        <f>ROUND($O11*AG11,0)</f>
        <v/>
      </c>
      <c r="BD11" s="306">
        <f>ROUND($O11*AH11,0)</f>
        <v/>
      </c>
      <c r="BE11" s="306">
        <f>ROUND($O11*AI11,0)</f>
        <v/>
      </c>
      <c r="BF11" s="306">
        <f>ROUND($O11*AJ11,0)</f>
        <v/>
      </c>
      <c r="BG11" s="306">
        <f>ROUND($O11*AK11,0)</f>
        <v/>
      </c>
      <c r="BH11" s="236">
        <f>SUM(AL11:AT11)</f>
        <v/>
      </c>
      <c r="BI11" s="528">
        <f>BH11/160</f>
        <v/>
      </c>
      <c r="BJ11" s="87">
        <f>VLOOKUP(I11,Listy!$A$1:$H$9,6,FALSE)</f>
        <v/>
      </c>
      <c r="BK11" s="682">
        <f>BI11*BJ11</f>
        <v/>
      </c>
      <c r="BL11" s="683">
        <f>BI11*BK11</f>
        <v/>
      </c>
      <c r="BM11" s="528" t="n"/>
      <c r="BN11" s="528" t="n"/>
      <c r="BO11" s="528" t="n"/>
      <c r="BP11" s="528" t="n"/>
      <c r="BQ11" s="528" t="n"/>
      <c r="BR11" s="528" t="n"/>
      <c r="BS11" s="21">
        <f>BQ11*BR11</f>
        <v/>
      </c>
      <c r="BT11" s="528" t="n"/>
      <c r="BU11" s="528" t="n"/>
      <c r="BV11" s="528" t="n"/>
      <c r="BW11" s="528" t="n"/>
      <c r="BX11" s="528" t="n"/>
      <c r="BY11" s="528" t="n"/>
      <c r="BZ11" s="528" t="n"/>
      <c r="CA11" s="528" t="n"/>
      <c r="CB11" s="528" t="n"/>
      <c r="CC11" s="528" t="n"/>
      <c r="CD11" s="528" t="n"/>
      <c r="CE11" s="528" t="n"/>
      <c r="CF11" s="528" t="n"/>
      <c r="CG11" s="21">
        <f>CE11*CF11</f>
        <v/>
      </c>
      <c r="CH11" s="528" t="n"/>
      <c r="CI11" s="528" t="n"/>
      <c r="CJ11" s="528" t="n"/>
      <c r="CK11" s="21">
        <f>CI11*CJ11</f>
        <v/>
      </c>
      <c r="CL11" s="528" t="n"/>
      <c r="CM11" s="528" t="n"/>
      <c r="CN11" s="528" t="n"/>
      <c r="CO11" s="21">
        <f>CM11*CN11</f>
        <v/>
      </c>
    </row>
    <row r="12">
      <c r="A12" s="112" t="n">
        <v>1</v>
      </c>
      <c r="B12" s="64" t="inlineStr">
        <is>
          <t>f</t>
        </is>
      </c>
      <c r="C12" s="105" t="n">
        <v>1</v>
      </c>
      <c r="D12" s="116">
        <f>CONCATENATE(A$3,"_",A12,"_",B12,"_",C12)</f>
        <v/>
      </c>
      <c r="E12" s="122" t="inlineStr">
        <is>
          <t>Stworzenie mapy zidentyfikowanych algorytmów/etapów PT</t>
        </is>
      </c>
      <c r="F12" s="528">
        <f>IFERROR(VLOOKUP($I12,Listy!$A:$H,2,FALSE),"XXX")</f>
        <v/>
      </c>
      <c r="G12" s="528">
        <f>IFERROR(VLOOKUP($I12,Listy!$A:$H,3,FALSE),"XXX")</f>
        <v/>
      </c>
      <c r="H12" s="20" t="n">
        <v>4</v>
      </c>
      <c r="I12" s="89" t="inlineStr">
        <is>
          <t>.a05</t>
        </is>
      </c>
      <c r="J12" s="91" t="inlineStr">
        <is>
          <t>.m01</t>
        </is>
      </c>
      <c r="K12" s="681">
        <f>VLOOKUP(J12,Listy!A:B,2,FALSE)</f>
        <v/>
      </c>
      <c r="L12" s="91" t="inlineStr">
        <is>
          <t>.m16</t>
        </is>
      </c>
      <c r="M12" s="681">
        <f>VLOOKUP(L12,Listy!A:B,2,FALSE)</f>
        <v/>
      </c>
      <c r="N12" s="528" t="n">
        <v>3</v>
      </c>
      <c r="O12" s="528">
        <f>N12*40</f>
        <v/>
      </c>
      <c r="P12" s="187" t="n"/>
      <c r="Q12" s="187" t="n"/>
      <c r="R12" s="187" t="n"/>
      <c r="S12" s="187" t="n"/>
      <c r="T12" s="187" t="n"/>
      <c r="U12" s="187" t="n"/>
      <c r="V12" s="187" t="n"/>
      <c r="W12" s="187" t="n"/>
      <c r="X12" s="187" t="n"/>
      <c r="Y12" s="292" t="n"/>
      <c r="Z12" s="292" t="n"/>
      <c r="AA12" s="292" t="n"/>
      <c r="AB12" s="292" t="n"/>
      <c r="AC12" s="292" t="n"/>
      <c r="AD12" s="292" t="n"/>
      <c r="AE12" s="292" t="n"/>
      <c r="AF12" s="292" t="n"/>
      <c r="AG12" s="305" t="n"/>
      <c r="AH12" s="305" t="n"/>
      <c r="AI12" s="305" t="n"/>
      <c r="AJ12" s="305" t="n"/>
      <c r="AK12" s="305" t="n"/>
      <c r="AL12" s="192">
        <f>ROUND($O12*P12,0)</f>
        <v/>
      </c>
      <c r="AM12" s="192">
        <f>ROUND($O12*Q12,0)</f>
        <v/>
      </c>
      <c r="AN12" s="192">
        <f>ROUND($O12*R12,0)</f>
        <v/>
      </c>
      <c r="AO12" s="192">
        <f>ROUND($O12*S12,0)</f>
        <v/>
      </c>
      <c r="AP12" s="192">
        <f>ROUND($O12*T12,0)</f>
        <v/>
      </c>
      <c r="AQ12" s="192">
        <f>ROUND($O12*U12,0)</f>
        <v/>
      </c>
      <c r="AR12" s="192">
        <f>ROUND($O12*V12,0)</f>
        <v/>
      </c>
      <c r="AS12" s="192">
        <f>ROUND($O12*W12,0)</f>
        <v/>
      </c>
      <c r="AT12" s="192">
        <f>ROUND($O12*X12,0)</f>
        <v/>
      </c>
      <c r="AU12" s="193">
        <f>ROUND($O12*Y12,0)</f>
        <v/>
      </c>
      <c r="AV12" s="193">
        <f>ROUND($O12*Z12,0)</f>
        <v/>
      </c>
      <c r="AW12" s="193">
        <f>ROUND($O12*AA12,0)</f>
        <v/>
      </c>
      <c r="AX12" s="193">
        <f>ROUND($O12*AB12,0)</f>
        <v/>
      </c>
      <c r="AY12" s="193">
        <f>ROUND($O12*AC12,0)</f>
        <v/>
      </c>
      <c r="AZ12" s="193">
        <f>ROUND($O12*AD12,0)</f>
        <v/>
      </c>
      <c r="BA12" s="193">
        <f>ROUND($O12*AE12,0)</f>
        <v/>
      </c>
      <c r="BB12" s="193">
        <f>ROUND($O12*AF12,0)</f>
        <v/>
      </c>
      <c r="BC12" s="306">
        <f>ROUND($O12*AG12,0)</f>
        <v/>
      </c>
      <c r="BD12" s="306">
        <f>ROUND($O12*AH12,0)</f>
        <v/>
      </c>
      <c r="BE12" s="306">
        <f>ROUND($O12*AI12,0)</f>
        <v/>
      </c>
      <c r="BF12" s="306">
        <f>ROUND($O12*AJ12,0)</f>
        <v/>
      </c>
      <c r="BG12" s="306">
        <f>ROUND($O12*AK12,0)</f>
        <v/>
      </c>
      <c r="BH12" s="236">
        <f>SUM(AL12:AT12)</f>
        <v/>
      </c>
      <c r="BI12" s="528">
        <f>BH12/160</f>
        <v/>
      </c>
      <c r="BJ12" s="87">
        <f>VLOOKUP(I12,Listy!$A$1:$H$9,6,FALSE)</f>
        <v/>
      </c>
      <c r="BK12" s="682">
        <f>BI12*BJ12</f>
        <v/>
      </c>
      <c r="BL12" s="683">
        <f>BI12*BK12</f>
        <v/>
      </c>
      <c r="BM12" s="528" t="n"/>
      <c r="BN12" s="528" t="n"/>
      <c r="BO12" s="528" t="n"/>
      <c r="BP12" s="528" t="n"/>
      <c r="BQ12" s="528" t="n"/>
      <c r="BR12" s="528" t="n"/>
      <c r="BS12" s="22">
        <f>BQ12*BR12</f>
        <v/>
      </c>
      <c r="BT12" s="528" t="n"/>
      <c r="BU12" s="528" t="n"/>
      <c r="BV12" s="314" t="n"/>
      <c r="BW12" s="528" t="n"/>
      <c r="BX12" s="528" t="n"/>
      <c r="BY12" s="314" t="n"/>
      <c r="BZ12" s="528" t="n"/>
      <c r="CA12" s="528" t="n"/>
      <c r="CB12" s="314" t="n"/>
      <c r="CC12" s="314" t="n"/>
      <c r="CD12" s="528" t="n"/>
      <c r="CE12" s="528" t="n"/>
      <c r="CF12" s="528" t="n"/>
      <c r="CG12" s="22">
        <f>CE12*CF12</f>
        <v/>
      </c>
      <c r="CH12" s="528" t="n"/>
      <c r="CI12" s="528" t="n"/>
      <c r="CJ12" s="528" t="n"/>
      <c r="CK12" s="22">
        <f>CI12*CJ12</f>
        <v/>
      </c>
      <c r="CL12" s="528" t="n"/>
      <c r="CM12" s="528" t="n"/>
      <c r="CN12" s="528" t="n"/>
      <c r="CO12" s="22">
        <f>CM12*CN12</f>
        <v/>
      </c>
    </row>
    <row r="13">
      <c r="A13" s="112" t="n">
        <v>1</v>
      </c>
      <c r="B13" s="64" t="inlineStr">
        <is>
          <t>e</t>
        </is>
      </c>
      <c r="C13" s="105" t="n">
        <v>1</v>
      </c>
      <c r="D13" s="116">
        <f>CONCATENATE(A$3,"_",A13,"_",B13,"_",C13)</f>
        <v/>
      </c>
      <c r="E13" s="122" t="inlineStr">
        <is>
          <t>Analiza wpływu zakłóceń dostępności infrastruktury technicznej</t>
        </is>
      </c>
      <c r="F13" s="528">
        <f>IFERROR(VLOOKUP($I13,Listy!$A:$H,2,FALSE),"XXX")</f>
        <v/>
      </c>
      <c r="G13" s="528">
        <f>IFERROR(VLOOKUP($I13,Listy!$A:$H,3,FALSE),"XXX")</f>
        <v/>
      </c>
      <c r="H13" s="20" t="n">
        <v>5</v>
      </c>
      <c r="I13" s="89" t="inlineStr">
        <is>
          <t>.a06</t>
        </is>
      </c>
      <c r="J13" s="91" t="inlineStr">
        <is>
          <t>.m01</t>
        </is>
      </c>
      <c r="K13" s="681">
        <f>VLOOKUP(J13,Listy!A:B,2,FALSE)</f>
        <v/>
      </c>
      <c r="L13" s="91" t="inlineStr">
        <is>
          <t>.m17</t>
        </is>
      </c>
      <c r="M13" s="681">
        <f>VLOOKUP(L13,Listy!A:B,2,FALSE)</f>
        <v/>
      </c>
      <c r="N13" s="528" t="n">
        <v>3</v>
      </c>
      <c r="O13" s="528">
        <f>N13*40</f>
        <v/>
      </c>
      <c r="P13" s="187" t="n"/>
      <c r="Q13" s="187" t="n"/>
      <c r="R13" s="187" t="n"/>
      <c r="S13" s="187" t="n"/>
      <c r="T13" s="187" t="n"/>
      <c r="U13" s="187" t="n"/>
      <c r="V13" s="187" t="n"/>
      <c r="W13" s="187" t="n"/>
      <c r="X13" s="187" t="n"/>
      <c r="Y13" s="292" t="n"/>
      <c r="Z13" s="292" t="n"/>
      <c r="AA13" s="292" t="n"/>
      <c r="AB13" s="292" t="n"/>
      <c r="AC13" s="292" t="n"/>
      <c r="AD13" s="292" t="n"/>
      <c r="AE13" s="292" t="n"/>
      <c r="AF13" s="292" t="n"/>
      <c r="AG13" s="305" t="n"/>
      <c r="AH13" s="305" t="n"/>
      <c r="AI13" s="305" t="n"/>
      <c r="AJ13" s="305" t="n"/>
      <c r="AK13" s="305" t="n"/>
      <c r="AL13" s="192">
        <f>ROUND($O13*P13,0)</f>
        <v/>
      </c>
      <c r="AM13" s="192">
        <f>ROUND($O13*Q13,0)</f>
        <v/>
      </c>
      <c r="AN13" s="192">
        <f>ROUND($O13*R13,0)</f>
        <v/>
      </c>
      <c r="AO13" s="192">
        <f>ROUND($O13*S13,0)</f>
        <v/>
      </c>
      <c r="AP13" s="192">
        <f>ROUND($O13*T13,0)</f>
        <v/>
      </c>
      <c r="AQ13" s="192">
        <f>ROUND($O13*U13,0)</f>
        <v/>
      </c>
      <c r="AR13" s="192">
        <f>ROUND($O13*V13,0)</f>
        <v/>
      </c>
      <c r="AS13" s="192">
        <f>ROUND($O13*W13,0)</f>
        <v/>
      </c>
      <c r="AT13" s="192">
        <f>ROUND($O13*X13,0)</f>
        <v/>
      </c>
      <c r="AU13" s="193">
        <f>ROUND($O13*Y13,0)</f>
        <v/>
      </c>
      <c r="AV13" s="193">
        <f>ROUND($O13*Z13,0)</f>
        <v/>
      </c>
      <c r="AW13" s="193">
        <f>ROUND($O13*AA13,0)</f>
        <v/>
      </c>
      <c r="AX13" s="193">
        <f>ROUND($O13*AB13,0)</f>
        <v/>
      </c>
      <c r="AY13" s="193">
        <f>ROUND($O13*AC13,0)</f>
        <v/>
      </c>
      <c r="AZ13" s="193">
        <f>ROUND($O13*AD13,0)</f>
        <v/>
      </c>
      <c r="BA13" s="193">
        <f>ROUND($O13*AE13,0)</f>
        <v/>
      </c>
      <c r="BB13" s="193">
        <f>ROUND($O13*AF13,0)</f>
        <v/>
      </c>
      <c r="BC13" s="306">
        <f>ROUND($O13*AG13,0)</f>
        <v/>
      </c>
      <c r="BD13" s="306">
        <f>ROUND($O13*AH13,0)</f>
        <v/>
      </c>
      <c r="BE13" s="306">
        <f>ROUND($O13*AI13,0)</f>
        <v/>
      </c>
      <c r="BF13" s="306">
        <f>ROUND($O13*AJ13,0)</f>
        <v/>
      </c>
      <c r="BG13" s="306">
        <f>ROUND($O13*AK13,0)</f>
        <v/>
      </c>
      <c r="BH13" s="236">
        <f>SUM(AL13:AT13)</f>
        <v/>
      </c>
      <c r="BI13" s="528">
        <f>BH13/160</f>
        <v/>
      </c>
      <c r="BJ13" s="87">
        <f>VLOOKUP(I13,Listy!$A$1:$H$9,6,FALSE)</f>
        <v/>
      </c>
      <c r="BK13" s="682">
        <f>BI13*BJ13</f>
        <v/>
      </c>
      <c r="BL13" s="683">
        <f>BI13*BK13</f>
        <v/>
      </c>
      <c r="BM13" s="528" t="n"/>
      <c r="BN13" s="528" t="n"/>
      <c r="BO13" s="528" t="n"/>
      <c r="BP13" s="528" t="n"/>
      <c r="BQ13" s="528" t="n"/>
      <c r="BR13" s="528" t="n"/>
      <c r="BS13" s="21">
        <f>BQ13*BR13</f>
        <v/>
      </c>
      <c r="BT13" s="528" t="n"/>
      <c r="BU13" s="528" t="n"/>
      <c r="BV13" s="528" t="n"/>
      <c r="BW13" s="528" t="n"/>
      <c r="BX13" s="528" t="n"/>
      <c r="BY13" s="528" t="n"/>
      <c r="BZ13" s="528" t="n"/>
      <c r="CA13" s="528" t="n"/>
      <c r="CB13" s="528" t="n"/>
      <c r="CC13" s="528" t="n"/>
      <c r="CD13" s="528" t="n"/>
      <c r="CE13" s="528" t="n"/>
      <c r="CF13" s="528" t="n"/>
      <c r="CG13" s="21">
        <f>CE13*CF13</f>
        <v/>
      </c>
      <c r="CH13" s="528" t="n"/>
      <c r="CI13" s="528" t="n"/>
      <c r="CJ13" s="528" t="n"/>
      <c r="CK13" s="21">
        <f>CI13*CJ13</f>
        <v/>
      </c>
      <c r="CL13" s="528" t="n"/>
      <c r="CM13" s="528" t="n"/>
      <c r="CN13" s="528" t="n"/>
      <c r="CO13" s="21">
        <f>CM13*CN13</f>
        <v/>
      </c>
    </row>
    <row r="14">
      <c r="A14" s="112" t="n">
        <v>1</v>
      </c>
      <c r="B14" s="64" t="inlineStr">
        <is>
          <t>f</t>
        </is>
      </c>
      <c r="C14" s="105" t="n">
        <v>1</v>
      </c>
      <c r="D14" s="116">
        <f>CONCATENATE(A$3,"_",A14,"_",B14,"_",C14)</f>
        <v/>
      </c>
      <c r="E14" s="122" t="inlineStr">
        <is>
          <t>Stworzenie mapy zidentyfikowanych algorytmów/etapów PT</t>
        </is>
      </c>
      <c r="F14" s="528">
        <f>IFERROR(VLOOKUP($I14,Listy!$A:$H,2,FALSE),"XXX")</f>
        <v/>
      </c>
      <c r="G14" s="528">
        <f>IFERROR(VLOOKUP($I14,Listy!$A:$H,3,FALSE),"XXX")</f>
        <v/>
      </c>
      <c r="H14" s="20" t="n">
        <v>6</v>
      </c>
      <c r="I14" s="89" t="inlineStr">
        <is>
          <t>.a07</t>
        </is>
      </c>
      <c r="J14" s="91" t="inlineStr">
        <is>
          <t>.m01</t>
        </is>
      </c>
      <c r="K14" s="681">
        <f>VLOOKUP(J14,Listy!A:B,2,FALSE)</f>
        <v/>
      </c>
      <c r="L14" s="91" t="inlineStr">
        <is>
          <t>.m18</t>
        </is>
      </c>
      <c r="M14" s="681">
        <f>VLOOKUP(L14,Listy!A:B,2,FALSE)</f>
        <v/>
      </c>
      <c r="N14" s="528" t="n">
        <v>3</v>
      </c>
      <c r="O14" s="528">
        <f>N14*40</f>
        <v/>
      </c>
      <c r="P14" s="187" t="n"/>
      <c r="Q14" s="187" t="n"/>
      <c r="R14" s="187" t="n"/>
      <c r="S14" s="187" t="n"/>
      <c r="T14" s="187" t="n"/>
      <c r="U14" s="187" t="n"/>
      <c r="V14" s="187" t="n"/>
      <c r="W14" s="187" t="n"/>
      <c r="X14" s="187" t="n"/>
      <c r="Y14" s="292" t="n"/>
      <c r="Z14" s="292" t="n"/>
      <c r="AA14" s="292" t="n"/>
      <c r="AB14" s="292" t="n"/>
      <c r="AC14" s="292" t="n"/>
      <c r="AD14" s="292" t="n"/>
      <c r="AE14" s="292" t="n"/>
      <c r="AF14" s="292" t="n"/>
      <c r="AG14" s="305" t="n"/>
      <c r="AH14" s="305" t="n"/>
      <c r="AI14" s="305" t="n"/>
      <c r="AJ14" s="305" t="n"/>
      <c r="AK14" s="305" t="n"/>
      <c r="AL14" s="192">
        <f>ROUND($O14*P14,0)</f>
        <v/>
      </c>
      <c r="AM14" s="192">
        <f>ROUND($O14*Q14,0)</f>
        <v/>
      </c>
      <c r="AN14" s="192">
        <f>ROUND($O14*R14,0)</f>
        <v/>
      </c>
      <c r="AO14" s="192">
        <f>ROUND($O14*S14,0)</f>
        <v/>
      </c>
      <c r="AP14" s="192">
        <f>ROUND($O14*T14,0)</f>
        <v/>
      </c>
      <c r="AQ14" s="192">
        <f>ROUND($O14*U14,0)</f>
        <v/>
      </c>
      <c r="AR14" s="192">
        <f>ROUND($O14*V14,0)</f>
        <v/>
      </c>
      <c r="AS14" s="192">
        <f>ROUND($O14*W14,0)</f>
        <v/>
      </c>
      <c r="AT14" s="192">
        <f>ROUND($O14*X14,0)</f>
        <v/>
      </c>
      <c r="AU14" s="193">
        <f>ROUND($O14*Y14,0)</f>
        <v/>
      </c>
      <c r="AV14" s="193">
        <f>ROUND($O14*Z14,0)</f>
        <v/>
      </c>
      <c r="AW14" s="193">
        <f>ROUND($O14*AA14,0)</f>
        <v/>
      </c>
      <c r="AX14" s="193">
        <f>ROUND($O14*AB14,0)</f>
        <v/>
      </c>
      <c r="AY14" s="193">
        <f>ROUND($O14*AC14,0)</f>
        <v/>
      </c>
      <c r="AZ14" s="193">
        <f>ROUND($O14*AD14,0)</f>
        <v/>
      </c>
      <c r="BA14" s="193">
        <f>ROUND($O14*AE14,0)</f>
        <v/>
      </c>
      <c r="BB14" s="193">
        <f>ROUND($O14*AF14,0)</f>
        <v/>
      </c>
      <c r="BC14" s="306">
        <f>ROUND($O14*AG14,0)</f>
        <v/>
      </c>
      <c r="BD14" s="306">
        <f>ROUND($O14*AH14,0)</f>
        <v/>
      </c>
      <c r="BE14" s="306">
        <f>ROUND($O14*AI14,0)</f>
        <v/>
      </c>
      <c r="BF14" s="306">
        <f>ROUND($O14*AJ14,0)</f>
        <v/>
      </c>
      <c r="BG14" s="306">
        <f>ROUND($O14*AK14,0)</f>
        <v/>
      </c>
      <c r="BH14" s="236">
        <f>SUM(AL14:AT14)</f>
        <v/>
      </c>
      <c r="BI14" s="528">
        <f>BH14/160</f>
        <v/>
      </c>
      <c r="BJ14" s="87">
        <f>VLOOKUP(I14,Listy!$A$1:$H$9,6,FALSE)</f>
        <v/>
      </c>
      <c r="BK14" s="682">
        <f>BI14*BJ14</f>
        <v/>
      </c>
      <c r="BL14" s="683">
        <f>BI14*BK14</f>
        <v/>
      </c>
      <c r="BM14" s="528" t="n"/>
      <c r="BN14" s="528" t="n"/>
      <c r="BO14" s="528" t="n"/>
      <c r="BP14" s="528" t="n"/>
      <c r="BQ14" s="528" t="n"/>
      <c r="BR14" s="528" t="n"/>
      <c r="BS14" s="22">
        <f>BQ14*BR14</f>
        <v/>
      </c>
      <c r="BT14" s="528" t="n"/>
      <c r="BU14" s="528" t="n"/>
      <c r="BV14" s="314" t="n"/>
      <c r="BW14" s="528" t="n"/>
      <c r="BX14" s="528" t="n"/>
      <c r="BY14" s="314" t="n"/>
      <c r="BZ14" s="528" t="n"/>
      <c r="CA14" s="528" t="n"/>
      <c r="CB14" s="314" t="n"/>
      <c r="CC14" s="314" t="n"/>
      <c r="CD14" s="528" t="n"/>
      <c r="CE14" s="528" t="n"/>
      <c r="CF14" s="528" t="n"/>
      <c r="CG14" s="22">
        <f>CE14*CF14</f>
        <v/>
      </c>
      <c r="CH14" s="528" t="n"/>
      <c r="CI14" s="528" t="n"/>
      <c r="CJ14" s="528" t="n"/>
      <c r="CK14" s="22">
        <f>CI14*CJ14</f>
        <v/>
      </c>
      <c r="CL14" s="528" t="n"/>
      <c r="CM14" s="528" t="n"/>
      <c r="CN14" s="528" t="n"/>
      <c r="CO14" s="22">
        <f>CM14*CN14</f>
        <v/>
      </c>
    </row>
    <row r="15">
      <c r="A15" s="112" t="n">
        <v>1</v>
      </c>
      <c r="B15" s="64" t="inlineStr">
        <is>
          <t>e</t>
        </is>
      </c>
      <c r="C15" s="105" t="n">
        <v>1</v>
      </c>
      <c r="D15" s="116">
        <f>CONCATENATE(A$3,"_",A15,"_",B15,"_",C15)</f>
        <v/>
      </c>
      <c r="E15" s="122" t="inlineStr">
        <is>
          <t>Analiza wpływu zakłóceń dostępności infrastruktury technicznej</t>
        </is>
      </c>
      <c r="F15" s="528">
        <f>IFERROR(VLOOKUP($I15,Listy!$A:$H,2,FALSE),"XXX")</f>
        <v/>
      </c>
      <c r="G15" s="528">
        <f>IFERROR(VLOOKUP($I15,Listy!$A:$H,3,FALSE),"XXX")</f>
        <v/>
      </c>
      <c r="H15" s="20" t="n">
        <v>7</v>
      </c>
      <c r="I15" s="89" t="inlineStr">
        <is>
          <t>.a08</t>
        </is>
      </c>
      <c r="J15" s="91" t="inlineStr">
        <is>
          <t>.m01</t>
        </is>
      </c>
      <c r="K15" s="681">
        <f>VLOOKUP(J15,Listy!A:B,2,FALSE)</f>
        <v/>
      </c>
      <c r="L15" s="91" t="inlineStr">
        <is>
          <t>.m19</t>
        </is>
      </c>
      <c r="M15" s="681">
        <f>VLOOKUP(L15,Listy!A:B,2,FALSE)</f>
        <v/>
      </c>
      <c r="N15" s="528" t="n">
        <v>3</v>
      </c>
      <c r="O15" s="528">
        <f>N15*40</f>
        <v/>
      </c>
      <c r="P15" s="187" t="n"/>
      <c r="Q15" s="187" t="n"/>
      <c r="R15" s="187" t="n"/>
      <c r="S15" s="187" t="n"/>
      <c r="T15" s="187" t="n"/>
      <c r="U15" s="187" t="n"/>
      <c r="V15" s="187" t="n"/>
      <c r="W15" s="187" t="n"/>
      <c r="X15" s="187" t="n"/>
      <c r="Y15" s="292" t="n"/>
      <c r="Z15" s="292" t="n"/>
      <c r="AA15" s="292" t="n"/>
      <c r="AB15" s="292" t="n"/>
      <c r="AC15" s="292" t="n"/>
      <c r="AD15" s="292" t="n"/>
      <c r="AE15" s="292" t="n"/>
      <c r="AF15" s="292" t="n"/>
      <c r="AG15" s="305" t="n"/>
      <c r="AH15" s="305" t="n"/>
      <c r="AI15" s="305" t="n"/>
      <c r="AJ15" s="305" t="n"/>
      <c r="AK15" s="305" t="n"/>
      <c r="AL15" s="192">
        <f>ROUND($O15*P15,0)</f>
        <v/>
      </c>
      <c r="AM15" s="192">
        <f>ROUND($O15*Q15,0)</f>
        <v/>
      </c>
      <c r="AN15" s="192">
        <f>ROUND($O15*R15,0)</f>
        <v/>
      </c>
      <c r="AO15" s="192">
        <f>ROUND($O15*S15,0)</f>
        <v/>
      </c>
      <c r="AP15" s="192">
        <f>ROUND($O15*T15,0)</f>
        <v/>
      </c>
      <c r="AQ15" s="192">
        <f>ROUND($O15*U15,0)</f>
        <v/>
      </c>
      <c r="AR15" s="192">
        <f>ROUND($O15*V15,0)</f>
        <v/>
      </c>
      <c r="AS15" s="192">
        <f>ROUND($O15*W15,0)</f>
        <v/>
      </c>
      <c r="AT15" s="192">
        <f>ROUND($O15*X15,0)</f>
        <v/>
      </c>
      <c r="AU15" s="193">
        <f>ROUND($O15*Y15,0)</f>
        <v/>
      </c>
      <c r="AV15" s="193">
        <f>ROUND($O15*Z15,0)</f>
        <v/>
      </c>
      <c r="AW15" s="193">
        <f>ROUND($O15*AA15,0)</f>
        <v/>
      </c>
      <c r="AX15" s="193">
        <f>ROUND($O15*AB15,0)</f>
        <v/>
      </c>
      <c r="AY15" s="193">
        <f>ROUND($O15*AC15,0)</f>
        <v/>
      </c>
      <c r="AZ15" s="193">
        <f>ROUND($O15*AD15,0)</f>
        <v/>
      </c>
      <c r="BA15" s="193">
        <f>ROUND($O15*AE15,0)</f>
        <v/>
      </c>
      <c r="BB15" s="193">
        <f>ROUND($O15*AF15,0)</f>
        <v/>
      </c>
      <c r="BC15" s="306">
        <f>ROUND($O15*AG15,0)</f>
        <v/>
      </c>
      <c r="BD15" s="306">
        <f>ROUND($O15*AH15,0)</f>
        <v/>
      </c>
      <c r="BE15" s="306">
        <f>ROUND($O15*AI15,0)</f>
        <v/>
      </c>
      <c r="BF15" s="306">
        <f>ROUND($O15*AJ15,0)</f>
        <v/>
      </c>
      <c r="BG15" s="306">
        <f>ROUND($O15*AK15,0)</f>
        <v/>
      </c>
      <c r="BH15" s="236">
        <f>SUM(AL15:AT15)</f>
        <v/>
      </c>
      <c r="BI15" s="528">
        <f>BH15/160</f>
        <v/>
      </c>
      <c r="BJ15" s="87">
        <f>VLOOKUP(I15,Listy!$A$1:$H$9,6,FALSE)</f>
        <v/>
      </c>
      <c r="BK15" s="682">
        <f>BI15*BJ15</f>
        <v/>
      </c>
      <c r="BL15" s="683">
        <f>BI15*BK15</f>
        <v/>
      </c>
      <c r="BM15" s="528" t="n"/>
      <c r="BN15" s="528" t="n"/>
      <c r="BO15" s="528" t="n"/>
      <c r="BP15" s="528" t="n"/>
      <c r="BQ15" s="528" t="n"/>
      <c r="BR15" s="528" t="n"/>
      <c r="BS15" s="21">
        <f>BQ15*BR15</f>
        <v/>
      </c>
      <c r="BT15" s="528" t="n"/>
      <c r="BU15" s="528" t="n"/>
      <c r="BV15" s="528" t="n"/>
      <c r="BW15" s="528" t="n"/>
      <c r="BX15" s="528" t="n"/>
      <c r="BY15" s="528" t="n"/>
      <c r="BZ15" s="528" t="n"/>
      <c r="CA15" s="528" t="n"/>
      <c r="CB15" s="528" t="n"/>
      <c r="CC15" s="528" t="n"/>
      <c r="CD15" s="528" t="n"/>
      <c r="CE15" s="528" t="n"/>
      <c r="CF15" s="528" t="n"/>
      <c r="CG15" s="21">
        <f>CE15*CF15</f>
        <v/>
      </c>
      <c r="CH15" s="528" t="n"/>
      <c r="CI15" s="528" t="n"/>
      <c r="CJ15" s="528" t="n"/>
      <c r="CK15" s="21">
        <f>CI15*CJ15</f>
        <v/>
      </c>
      <c r="CL15" s="528" t="n"/>
      <c r="CM15" s="528" t="n"/>
      <c r="CN15" s="528" t="n"/>
      <c r="CO15" s="21">
        <f>CM15*CN15</f>
        <v/>
      </c>
    </row>
    <row r="16">
      <c r="A16" s="112" t="n">
        <v>1</v>
      </c>
      <c r="B16" s="64" t="inlineStr">
        <is>
          <t>f</t>
        </is>
      </c>
      <c r="C16" s="105" t="n">
        <v>1</v>
      </c>
      <c r="D16" s="116">
        <f>CONCATENATE(A$3,"_",A16,"_",B16,"_",C16)</f>
        <v/>
      </c>
      <c r="E16" s="122" t="inlineStr">
        <is>
          <t>Stworzenie mapy zidentyfikowanych algorytmów/etapów PT</t>
        </is>
      </c>
      <c r="F16" s="528">
        <f>IFERROR(VLOOKUP($I16,Listy!$A:$H,2,FALSE),"XXX")</f>
        <v/>
      </c>
      <c r="G16" s="528">
        <f>IFERROR(VLOOKUP($I16,Listy!$A:$H,3,FALSE),"XXX")</f>
        <v/>
      </c>
      <c r="H16" s="20" t="n">
        <v>8</v>
      </c>
      <c r="I16" s="89" t="inlineStr">
        <is>
          <t>.a09</t>
        </is>
      </c>
      <c r="J16" s="91" t="inlineStr">
        <is>
          <t>.m01</t>
        </is>
      </c>
      <c r="K16" s="681">
        <f>VLOOKUP(J16,Listy!A:B,2,FALSE)</f>
        <v/>
      </c>
      <c r="L16" s="91" t="inlineStr">
        <is>
          <t>.m20</t>
        </is>
      </c>
      <c r="M16" s="681">
        <f>VLOOKUP(L16,Listy!A:B,2,FALSE)</f>
        <v/>
      </c>
      <c r="N16" s="528" t="n">
        <v>3</v>
      </c>
      <c r="O16" s="528">
        <f>N16*40</f>
        <v/>
      </c>
      <c r="P16" s="187" t="n"/>
      <c r="Q16" s="187" t="n"/>
      <c r="R16" s="187" t="n"/>
      <c r="S16" s="187" t="n"/>
      <c r="T16" s="187" t="n"/>
      <c r="U16" s="187" t="n"/>
      <c r="V16" s="187" t="n"/>
      <c r="W16" s="187" t="n"/>
      <c r="X16" s="187" t="n"/>
      <c r="Y16" s="292" t="n"/>
      <c r="Z16" s="292" t="n"/>
      <c r="AA16" s="292" t="n"/>
      <c r="AB16" s="292" t="n"/>
      <c r="AC16" s="292" t="n"/>
      <c r="AD16" s="292" t="n"/>
      <c r="AE16" s="292" t="n"/>
      <c r="AF16" s="292" t="n"/>
      <c r="AG16" s="305" t="n"/>
      <c r="AH16" s="305" t="n"/>
      <c r="AI16" s="305" t="n"/>
      <c r="AJ16" s="305" t="n"/>
      <c r="AK16" s="305" t="n"/>
      <c r="AL16" s="192">
        <f>ROUND($O16*P16,0)</f>
        <v/>
      </c>
      <c r="AM16" s="192">
        <f>ROUND($O16*Q16,0)</f>
        <v/>
      </c>
      <c r="AN16" s="192">
        <f>ROUND($O16*R16,0)</f>
        <v/>
      </c>
      <c r="AO16" s="192">
        <f>ROUND($O16*S16,0)</f>
        <v/>
      </c>
      <c r="AP16" s="192">
        <f>ROUND($O16*T16,0)</f>
        <v/>
      </c>
      <c r="AQ16" s="192">
        <f>ROUND($O16*U16,0)</f>
        <v/>
      </c>
      <c r="AR16" s="192">
        <f>ROUND($O16*V16,0)</f>
        <v/>
      </c>
      <c r="AS16" s="192">
        <f>ROUND($O16*W16,0)</f>
        <v/>
      </c>
      <c r="AT16" s="192">
        <f>ROUND($O16*X16,0)</f>
        <v/>
      </c>
      <c r="AU16" s="193">
        <f>ROUND($O16*Y16,0)</f>
        <v/>
      </c>
      <c r="AV16" s="193">
        <f>ROUND($O16*Z16,0)</f>
        <v/>
      </c>
      <c r="AW16" s="193">
        <f>ROUND($O16*AA16,0)</f>
        <v/>
      </c>
      <c r="AX16" s="193">
        <f>ROUND($O16*AB16,0)</f>
        <v/>
      </c>
      <c r="AY16" s="193">
        <f>ROUND($O16*AC16,0)</f>
        <v/>
      </c>
      <c r="AZ16" s="193">
        <f>ROUND($O16*AD16,0)</f>
        <v/>
      </c>
      <c r="BA16" s="193">
        <f>ROUND($O16*AE16,0)</f>
        <v/>
      </c>
      <c r="BB16" s="193">
        <f>ROUND($O16*AF16,0)</f>
        <v/>
      </c>
      <c r="BC16" s="306">
        <f>ROUND($O16*AG16,0)</f>
        <v/>
      </c>
      <c r="BD16" s="306">
        <f>ROUND($O16*AH16,0)</f>
        <v/>
      </c>
      <c r="BE16" s="306">
        <f>ROUND($O16*AI16,0)</f>
        <v/>
      </c>
      <c r="BF16" s="306">
        <f>ROUND($O16*AJ16,0)</f>
        <v/>
      </c>
      <c r="BG16" s="306">
        <f>ROUND($O16*AK16,0)</f>
        <v/>
      </c>
      <c r="BH16" s="236">
        <f>SUM(AL16:AT16)</f>
        <v/>
      </c>
      <c r="BI16" s="528">
        <f>BH16/160</f>
        <v/>
      </c>
      <c r="BJ16" s="87">
        <f>VLOOKUP(I16,Listy!$A$1:$H$9,6,FALSE)</f>
        <v/>
      </c>
      <c r="BK16" s="682">
        <f>BI16*BJ16</f>
        <v/>
      </c>
      <c r="BL16" s="683">
        <f>BI16*BK16</f>
        <v/>
      </c>
      <c r="BM16" s="528" t="n"/>
      <c r="BN16" s="528" t="n"/>
      <c r="BO16" s="528" t="n"/>
      <c r="BP16" s="528" t="n"/>
      <c r="BQ16" s="528" t="n"/>
      <c r="BR16" s="528" t="n"/>
      <c r="BS16" s="22">
        <f>BQ16*BR16</f>
        <v/>
      </c>
      <c r="BT16" s="528" t="n"/>
      <c r="BU16" s="528" t="n"/>
      <c r="BV16" s="314" t="n"/>
      <c r="BW16" s="528" t="n"/>
      <c r="BX16" s="528" t="n"/>
      <c r="BY16" s="314" t="n"/>
      <c r="BZ16" s="528" t="n"/>
      <c r="CA16" s="528" t="n"/>
      <c r="CB16" s="314" t="n"/>
      <c r="CC16" s="314" t="n"/>
      <c r="CD16" s="528" t="n"/>
      <c r="CE16" s="528" t="n"/>
      <c r="CF16" s="528" t="n"/>
      <c r="CG16" s="22">
        <f>CE16*CF16</f>
        <v/>
      </c>
      <c r="CH16" s="528" t="n"/>
      <c r="CI16" s="528" t="n"/>
      <c r="CJ16" s="528" t="n"/>
      <c r="CK16" s="22">
        <f>CI16*CJ16</f>
        <v/>
      </c>
      <c r="CL16" s="528" t="n"/>
      <c r="CM16" s="528" t="n"/>
      <c r="CN16" s="528" t="n"/>
      <c r="CO16" s="22">
        <f>CM16*CN16</f>
        <v/>
      </c>
    </row>
    <row r="17">
      <c r="A17" s="112" t="n">
        <v>1</v>
      </c>
      <c r="B17" s="64" t="inlineStr">
        <is>
          <t>e</t>
        </is>
      </c>
      <c r="C17" s="105" t="n">
        <v>1</v>
      </c>
      <c r="D17" s="116">
        <f>CONCATENATE(A$3,"_",A17,"_",B17,"_",C17)</f>
        <v/>
      </c>
      <c r="E17" s="122" t="inlineStr">
        <is>
          <t>Analiza wpływu zakłóceń dostępności infrastruktury technicznej</t>
        </is>
      </c>
      <c r="F17" s="528">
        <f>IFERROR(VLOOKUP($I17,Listy!$A:$H,2,FALSE),"XXX")</f>
        <v/>
      </c>
      <c r="G17" s="528">
        <f>IFERROR(VLOOKUP($I17,Listy!$A:$H,3,FALSE),"XXX")</f>
        <v/>
      </c>
      <c r="H17" s="20" t="n">
        <v>9</v>
      </c>
      <c r="I17" s="89" t="inlineStr">
        <is>
          <t>.a10</t>
        </is>
      </c>
      <c r="J17" s="91" t="inlineStr">
        <is>
          <t>.m01</t>
        </is>
      </c>
      <c r="K17" s="681">
        <f>VLOOKUP(J17,Listy!A:B,2,FALSE)</f>
        <v/>
      </c>
      <c r="L17" s="91" t="inlineStr">
        <is>
          <t>.m21</t>
        </is>
      </c>
      <c r="M17" s="681">
        <f>VLOOKUP(L17,Listy!A:B,2,FALSE)</f>
        <v/>
      </c>
      <c r="N17" s="528" t="n">
        <v>3</v>
      </c>
      <c r="O17" s="528">
        <f>N17*40</f>
        <v/>
      </c>
      <c r="P17" s="187" t="n"/>
      <c r="Q17" s="187" t="n"/>
      <c r="R17" s="187" t="n"/>
      <c r="S17" s="187" t="n"/>
      <c r="T17" s="187" t="n"/>
      <c r="U17" s="187" t="n"/>
      <c r="V17" s="187" t="n"/>
      <c r="W17" s="187" t="n"/>
      <c r="X17" s="187" t="n"/>
      <c r="Y17" s="292" t="n"/>
      <c r="Z17" s="292" t="n"/>
      <c r="AA17" s="292" t="n"/>
      <c r="AB17" s="292" t="n"/>
      <c r="AC17" s="292" t="n"/>
      <c r="AD17" s="292" t="n"/>
      <c r="AE17" s="292" t="n"/>
      <c r="AF17" s="292" t="n"/>
      <c r="AG17" s="305" t="n"/>
      <c r="AH17" s="305" t="n"/>
      <c r="AI17" s="305" t="n"/>
      <c r="AJ17" s="305" t="n"/>
      <c r="AK17" s="305" t="n"/>
      <c r="AL17" s="192">
        <f>ROUND($O17*P17,0)</f>
        <v/>
      </c>
      <c r="AM17" s="192">
        <f>ROUND($O17*Q17,0)</f>
        <v/>
      </c>
      <c r="AN17" s="192">
        <f>ROUND($O17*R17,0)</f>
        <v/>
      </c>
      <c r="AO17" s="192">
        <f>ROUND($O17*S17,0)</f>
        <v/>
      </c>
      <c r="AP17" s="192">
        <f>ROUND($O17*T17,0)</f>
        <v/>
      </c>
      <c r="AQ17" s="192">
        <f>ROUND($O17*U17,0)</f>
        <v/>
      </c>
      <c r="AR17" s="192">
        <f>ROUND($O17*V17,0)</f>
        <v/>
      </c>
      <c r="AS17" s="192">
        <f>ROUND($O17*W17,0)</f>
        <v/>
      </c>
      <c r="AT17" s="192">
        <f>ROUND($O17*X17,0)</f>
        <v/>
      </c>
      <c r="AU17" s="193">
        <f>ROUND($O17*Y17,0)</f>
        <v/>
      </c>
      <c r="AV17" s="193">
        <f>ROUND($O17*Z17,0)</f>
        <v/>
      </c>
      <c r="AW17" s="193">
        <f>ROUND($O17*AA17,0)</f>
        <v/>
      </c>
      <c r="AX17" s="193">
        <f>ROUND($O17*AB17,0)</f>
        <v/>
      </c>
      <c r="AY17" s="193">
        <f>ROUND($O17*AC17,0)</f>
        <v/>
      </c>
      <c r="AZ17" s="193">
        <f>ROUND($O17*AD17,0)</f>
        <v/>
      </c>
      <c r="BA17" s="193">
        <f>ROUND($O17*AE17,0)</f>
        <v/>
      </c>
      <c r="BB17" s="193">
        <f>ROUND($O17*AF17,0)</f>
        <v/>
      </c>
      <c r="BC17" s="306">
        <f>ROUND($O17*AG17,0)</f>
        <v/>
      </c>
      <c r="BD17" s="306">
        <f>ROUND($O17*AH17,0)</f>
        <v/>
      </c>
      <c r="BE17" s="306">
        <f>ROUND($O17*AI17,0)</f>
        <v/>
      </c>
      <c r="BF17" s="306">
        <f>ROUND($O17*AJ17,0)</f>
        <v/>
      </c>
      <c r="BG17" s="306">
        <f>ROUND($O17*AK17,0)</f>
        <v/>
      </c>
      <c r="BH17" s="236">
        <f>SUM(AL17:AT17)</f>
        <v/>
      </c>
      <c r="BI17" s="528">
        <f>BH17/160</f>
        <v/>
      </c>
      <c r="BJ17" s="87">
        <f>VLOOKUP(I17,Listy!$A$1:$H$9,6,FALSE)</f>
        <v/>
      </c>
      <c r="BK17" s="682">
        <f>BI17*BJ17</f>
        <v/>
      </c>
      <c r="BL17" s="683">
        <f>BI17*BK17</f>
        <v/>
      </c>
      <c r="BM17" s="528" t="n"/>
      <c r="BN17" s="528" t="n"/>
      <c r="BO17" s="528" t="n"/>
      <c r="BP17" s="528" t="n"/>
      <c r="BQ17" s="528" t="n"/>
      <c r="BR17" s="528" t="n"/>
      <c r="BS17" s="21">
        <f>BQ17*BR17</f>
        <v/>
      </c>
      <c r="BT17" s="528" t="n"/>
      <c r="BU17" s="528" t="n"/>
      <c r="BV17" s="528" t="n"/>
      <c r="BW17" s="528" t="n"/>
      <c r="BX17" s="528" t="n"/>
      <c r="BY17" s="528" t="n"/>
      <c r="BZ17" s="528" t="n"/>
      <c r="CA17" s="528" t="n"/>
      <c r="CB17" s="528" t="n"/>
      <c r="CC17" s="528" t="n"/>
      <c r="CD17" s="528" t="n"/>
      <c r="CE17" s="528" t="n"/>
      <c r="CF17" s="528" t="n"/>
      <c r="CG17" s="21">
        <f>CE17*CF17</f>
        <v/>
      </c>
      <c r="CH17" s="528" t="n"/>
      <c r="CI17" s="528" t="n"/>
      <c r="CJ17" s="528" t="n"/>
      <c r="CK17" s="21">
        <f>CI17*CJ17</f>
        <v/>
      </c>
      <c r="CL17" s="528" t="n"/>
      <c r="CM17" s="528" t="n"/>
      <c r="CN17" s="528" t="n"/>
      <c r="CO17" s="21">
        <f>CM17*CN17</f>
        <v/>
      </c>
    </row>
    <row r="18">
      <c r="A18" s="112" t="n">
        <v>1</v>
      </c>
      <c r="B18" s="64" t="inlineStr">
        <is>
          <t>f</t>
        </is>
      </c>
      <c r="C18" s="105" t="n">
        <v>1</v>
      </c>
      <c r="D18" s="116">
        <f>CONCATENATE(A$3,"_",A18,"_",B18,"_",C18)</f>
        <v/>
      </c>
      <c r="E18" s="122" t="inlineStr">
        <is>
          <t>Stworzenie mapy zidentyfikowanych algorytmów/etapów PT</t>
        </is>
      </c>
      <c r="F18" s="528">
        <f>IFERROR(VLOOKUP($I18,Listy!$A:$H,2,FALSE),"XXX")</f>
        <v/>
      </c>
      <c r="G18" s="528">
        <f>IFERROR(VLOOKUP($I18,Listy!$A:$H,3,FALSE),"XXX")</f>
        <v/>
      </c>
      <c r="H18" s="20" t="n">
        <v>10</v>
      </c>
      <c r="I18" s="89" t="inlineStr">
        <is>
          <t>.a11</t>
        </is>
      </c>
      <c r="J18" s="91" t="inlineStr">
        <is>
          <t>.m01</t>
        </is>
      </c>
      <c r="K18" s="681">
        <f>VLOOKUP(J18,Listy!A:B,2,FALSE)</f>
        <v/>
      </c>
      <c r="L18" s="91" t="inlineStr">
        <is>
          <t>.m22</t>
        </is>
      </c>
      <c r="M18" s="681">
        <f>VLOOKUP(L18,Listy!A:B,2,FALSE)</f>
        <v/>
      </c>
      <c r="N18" s="528" t="n">
        <v>3</v>
      </c>
      <c r="O18" s="528">
        <f>N18*40</f>
        <v/>
      </c>
      <c r="P18" s="187" t="n"/>
      <c r="Q18" s="187" t="n"/>
      <c r="R18" s="187" t="n"/>
      <c r="S18" s="187" t="n"/>
      <c r="T18" s="187" t="n"/>
      <c r="U18" s="187" t="n"/>
      <c r="V18" s="187" t="n"/>
      <c r="W18" s="187" t="n"/>
      <c r="X18" s="187" t="n"/>
      <c r="Y18" s="292" t="n"/>
      <c r="Z18" s="292" t="n"/>
      <c r="AA18" s="292" t="n"/>
      <c r="AB18" s="292" t="n"/>
      <c r="AC18" s="292" t="n"/>
      <c r="AD18" s="292" t="n"/>
      <c r="AE18" s="292" t="n"/>
      <c r="AF18" s="292" t="n"/>
      <c r="AG18" s="305" t="n"/>
      <c r="AH18" s="305" t="n"/>
      <c r="AI18" s="305" t="n"/>
      <c r="AJ18" s="305" t="n"/>
      <c r="AK18" s="305" t="n"/>
      <c r="AL18" s="192">
        <f>ROUND($O18*P18,0)</f>
        <v/>
      </c>
      <c r="AM18" s="192">
        <f>ROUND($O18*Q18,0)</f>
        <v/>
      </c>
      <c r="AN18" s="192">
        <f>ROUND($O18*R18,0)</f>
        <v/>
      </c>
      <c r="AO18" s="192">
        <f>ROUND($O18*S18,0)</f>
        <v/>
      </c>
      <c r="AP18" s="192">
        <f>ROUND($O18*T18,0)</f>
        <v/>
      </c>
      <c r="AQ18" s="192">
        <f>ROUND($O18*U18,0)</f>
        <v/>
      </c>
      <c r="AR18" s="192">
        <f>ROUND($O18*V18,0)</f>
        <v/>
      </c>
      <c r="AS18" s="192">
        <f>ROUND($O18*W18,0)</f>
        <v/>
      </c>
      <c r="AT18" s="192">
        <f>ROUND($O18*X18,0)</f>
        <v/>
      </c>
      <c r="AU18" s="193">
        <f>ROUND($O18*Y18,0)</f>
        <v/>
      </c>
      <c r="AV18" s="193">
        <f>ROUND($O18*Z18,0)</f>
        <v/>
      </c>
      <c r="AW18" s="193">
        <f>ROUND($O18*AA18,0)</f>
        <v/>
      </c>
      <c r="AX18" s="193">
        <f>ROUND($O18*AB18,0)</f>
        <v/>
      </c>
      <c r="AY18" s="193">
        <f>ROUND($O18*AC18,0)</f>
        <v/>
      </c>
      <c r="AZ18" s="193">
        <f>ROUND($O18*AD18,0)</f>
        <v/>
      </c>
      <c r="BA18" s="193">
        <f>ROUND($O18*AE18,0)</f>
        <v/>
      </c>
      <c r="BB18" s="193">
        <f>ROUND($O18*AF18,0)</f>
        <v/>
      </c>
      <c r="BC18" s="306">
        <f>ROUND($O18*AG18,0)</f>
        <v/>
      </c>
      <c r="BD18" s="306">
        <f>ROUND($O18*AH18,0)</f>
        <v/>
      </c>
      <c r="BE18" s="306">
        <f>ROUND($O18*AI18,0)</f>
        <v/>
      </c>
      <c r="BF18" s="306">
        <f>ROUND($O18*AJ18,0)</f>
        <v/>
      </c>
      <c r="BG18" s="306">
        <f>ROUND($O18*AK18,0)</f>
        <v/>
      </c>
      <c r="BH18" s="236">
        <f>SUM(AL18:AT18)</f>
        <v/>
      </c>
      <c r="BI18" s="528">
        <f>BH18/160</f>
        <v/>
      </c>
      <c r="BJ18" s="87">
        <f>VLOOKUP(I18,Listy!$A$1:$H$9,6,FALSE)</f>
        <v/>
      </c>
      <c r="BK18" s="682">
        <f>BI18*BJ18</f>
        <v/>
      </c>
      <c r="BL18" s="683">
        <f>BI18*BK18</f>
        <v/>
      </c>
      <c r="BM18" s="528" t="n"/>
      <c r="BN18" s="528" t="n"/>
      <c r="BO18" s="528" t="n"/>
      <c r="BP18" s="528" t="n"/>
      <c r="BQ18" s="528" t="n"/>
      <c r="BR18" s="528" t="n"/>
      <c r="BS18" s="22">
        <f>BQ18*BR18</f>
        <v/>
      </c>
      <c r="BT18" s="528" t="n"/>
      <c r="BU18" s="528" t="n"/>
      <c r="BV18" s="314" t="n"/>
      <c r="BW18" s="528" t="n"/>
      <c r="BX18" s="528" t="n"/>
      <c r="BY18" s="314" t="n"/>
      <c r="BZ18" s="528" t="n"/>
      <c r="CA18" s="528" t="n"/>
      <c r="CB18" s="314" t="n"/>
      <c r="CC18" s="314" t="n"/>
      <c r="CD18" s="528" t="n"/>
      <c r="CE18" s="528" t="n"/>
      <c r="CF18" s="528" t="n"/>
      <c r="CG18" s="22">
        <f>CE18*CF18</f>
        <v/>
      </c>
      <c r="CH18" s="528" t="n"/>
      <c r="CI18" s="528" t="n"/>
      <c r="CJ18" s="528" t="n"/>
      <c r="CK18" s="22">
        <f>CI18*CJ18</f>
        <v/>
      </c>
      <c r="CL18" s="528" t="n"/>
      <c r="CM18" s="528" t="n"/>
      <c r="CN18" s="528" t="n"/>
      <c r="CO18" s="22">
        <f>CM18*CN18</f>
        <v/>
      </c>
    </row>
    <row r="19">
      <c r="A19" s="112" t="n">
        <v>1</v>
      </c>
      <c r="B19" s="64" t="inlineStr">
        <is>
          <t>e</t>
        </is>
      </c>
      <c r="C19" s="105" t="n">
        <v>1</v>
      </c>
      <c r="D19" s="116">
        <f>CONCATENATE(A$3,"_",A19,"_",B19,"_",C19)</f>
        <v/>
      </c>
      <c r="E19" s="122" t="inlineStr">
        <is>
          <t>Analiza wpływu zakłóceń dostępności infrastruktury technicznej</t>
        </is>
      </c>
      <c r="F19" s="528">
        <f>IFERROR(VLOOKUP($I19,Listy!$A:$H,2,FALSE),"XXX")</f>
        <v/>
      </c>
      <c r="G19" s="528">
        <f>IFERROR(VLOOKUP($I19,Listy!$A:$H,3,FALSE),"XXX")</f>
        <v/>
      </c>
      <c r="H19" s="20" t="n">
        <v>11</v>
      </c>
      <c r="I19" s="89" t="inlineStr">
        <is>
          <t>.a12</t>
        </is>
      </c>
      <c r="J19" s="91" t="inlineStr">
        <is>
          <t>.m01</t>
        </is>
      </c>
      <c r="K19" s="681">
        <f>VLOOKUP(J19,Listy!A:B,2,FALSE)</f>
        <v/>
      </c>
      <c r="L19" s="91" t="inlineStr">
        <is>
          <t>.m23</t>
        </is>
      </c>
      <c r="M19" s="681">
        <f>VLOOKUP(L19,Listy!A:B,2,FALSE)</f>
        <v/>
      </c>
      <c r="N19" s="528" t="n">
        <v>3</v>
      </c>
      <c r="O19" s="528">
        <f>N19*40</f>
        <v/>
      </c>
      <c r="P19" s="187" t="n"/>
      <c r="Q19" s="187" t="n"/>
      <c r="R19" s="187" t="n"/>
      <c r="S19" s="187" t="n"/>
      <c r="T19" s="187" t="n"/>
      <c r="U19" s="187" t="n"/>
      <c r="V19" s="187" t="n"/>
      <c r="W19" s="187" t="n"/>
      <c r="X19" s="187" t="n"/>
      <c r="Y19" s="292" t="n"/>
      <c r="Z19" s="292" t="n"/>
      <c r="AA19" s="292" t="n"/>
      <c r="AB19" s="292" t="n"/>
      <c r="AC19" s="292" t="n"/>
      <c r="AD19" s="292" t="n"/>
      <c r="AE19" s="292" t="n"/>
      <c r="AF19" s="292" t="n"/>
      <c r="AG19" s="305" t="n"/>
      <c r="AH19" s="305" t="n"/>
      <c r="AI19" s="305" t="n"/>
      <c r="AJ19" s="305" t="n"/>
      <c r="AK19" s="305" t="n"/>
      <c r="AL19" s="192">
        <f>ROUND($O19*P19,0)</f>
        <v/>
      </c>
      <c r="AM19" s="192">
        <f>ROUND($O19*Q19,0)</f>
        <v/>
      </c>
      <c r="AN19" s="192">
        <f>ROUND($O19*R19,0)</f>
        <v/>
      </c>
      <c r="AO19" s="192">
        <f>ROUND($O19*S19,0)</f>
        <v/>
      </c>
      <c r="AP19" s="192">
        <f>ROUND($O19*T19,0)</f>
        <v/>
      </c>
      <c r="AQ19" s="192">
        <f>ROUND($O19*U19,0)</f>
        <v/>
      </c>
      <c r="AR19" s="192">
        <f>ROUND($O19*V19,0)</f>
        <v/>
      </c>
      <c r="AS19" s="192">
        <f>ROUND($O19*W19,0)</f>
        <v/>
      </c>
      <c r="AT19" s="192">
        <f>ROUND($O19*X19,0)</f>
        <v/>
      </c>
      <c r="AU19" s="193">
        <f>ROUND($O19*Y19,0)</f>
        <v/>
      </c>
      <c r="AV19" s="193">
        <f>ROUND($O19*Z19,0)</f>
        <v/>
      </c>
      <c r="AW19" s="193">
        <f>ROUND($O19*AA19,0)</f>
        <v/>
      </c>
      <c r="AX19" s="193">
        <f>ROUND($O19*AB19,0)</f>
        <v/>
      </c>
      <c r="AY19" s="193">
        <f>ROUND($O19*AC19,0)</f>
        <v/>
      </c>
      <c r="AZ19" s="193">
        <f>ROUND($O19*AD19,0)</f>
        <v/>
      </c>
      <c r="BA19" s="193">
        <f>ROUND($O19*AE19,0)</f>
        <v/>
      </c>
      <c r="BB19" s="193">
        <f>ROUND($O19*AF19,0)</f>
        <v/>
      </c>
      <c r="BC19" s="306">
        <f>ROUND($O19*AG19,0)</f>
        <v/>
      </c>
      <c r="BD19" s="306">
        <f>ROUND($O19*AH19,0)</f>
        <v/>
      </c>
      <c r="BE19" s="306">
        <f>ROUND($O19*AI19,0)</f>
        <v/>
      </c>
      <c r="BF19" s="306">
        <f>ROUND($O19*AJ19,0)</f>
        <v/>
      </c>
      <c r="BG19" s="306">
        <f>ROUND($O19*AK19,0)</f>
        <v/>
      </c>
      <c r="BH19" s="236">
        <f>SUM(AL19:AT19)</f>
        <v/>
      </c>
      <c r="BI19" s="528">
        <f>BH19/160</f>
        <v/>
      </c>
      <c r="BJ19" s="87">
        <f>VLOOKUP(I19,Listy!$A$1:$H$9,6,FALSE)</f>
        <v/>
      </c>
      <c r="BK19" s="682">
        <f>BI19*BJ19</f>
        <v/>
      </c>
      <c r="BL19" s="683">
        <f>BI19*BK19</f>
        <v/>
      </c>
      <c r="BM19" s="528" t="n"/>
      <c r="BN19" s="528" t="n"/>
      <c r="BO19" s="528" t="n"/>
      <c r="BP19" s="528" t="n"/>
      <c r="BQ19" s="528" t="n"/>
      <c r="BR19" s="528" t="n"/>
      <c r="BS19" s="21">
        <f>BQ19*BR19</f>
        <v/>
      </c>
      <c r="BT19" s="528" t="n"/>
      <c r="BU19" s="528" t="n"/>
      <c r="BV19" s="528" t="n"/>
      <c r="BW19" s="528" t="n"/>
      <c r="BX19" s="528" t="n"/>
      <c r="BY19" s="528" t="n"/>
      <c r="BZ19" s="528" t="n"/>
      <c r="CA19" s="528" t="n"/>
      <c r="CB19" s="528" t="n"/>
      <c r="CC19" s="528" t="n"/>
      <c r="CD19" s="528" t="n"/>
      <c r="CE19" s="528" t="n"/>
      <c r="CF19" s="528" t="n"/>
      <c r="CG19" s="21">
        <f>CE19*CF19</f>
        <v/>
      </c>
      <c r="CH19" s="528" t="n"/>
      <c r="CI19" s="528" t="n"/>
      <c r="CJ19" s="528" t="n"/>
      <c r="CK19" s="21">
        <f>CI19*CJ19</f>
        <v/>
      </c>
      <c r="CL19" s="528" t="n"/>
      <c r="CM19" s="528" t="n"/>
      <c r="CN19" s="528" t="n"/>
      <c r="CO19" s="21">
        <f>CM19*CN19</f>
        <v/>
      </c>
    </row>
    <row r="20">
      <c r="A20" s="112" t="n">
        <v>1</v>
      </c>
      <c r="B20" s="64" t="inlineStr">
        <is>
          <t>f</t>
        </is>
      </c>
      <c r="C20" s="105" t="n">
        <v>1</v>
      </c>
      <c r="D20" s="116">
        <f>CONCATENATE(A$3,"_",A20,"_",B20,"_",C20)</f>
        <v/>
      </c>
      <c r="E20" s="122" t="inlineStr">
        <is>
          <t>Stworzenie mapy zidentyfikowanych algorytmów/etapów PT</t>
        </is>
      </c>
      <c r="F20" s="528">
        <f>IFERROR(VLOOKUP($I20,Listy!$A:$H,2,FALSE),"XXX")</f>
        <v/>
      </c>
      <c r="G20" s="528">
        <f>IFERROR(VLOOKUP($I20,Listy!$A:$H,3,FALSE),"XXX")</f>
        <v/>
      </c>
      <c r="H20" s="20" t="n">
        <v>12</v>
      </c>
      <c r="I20" s="89" t="inlineStr">
        <is>
          <t>.a13</t>
        </is>
      </c>
      <c r="J20" s="91" t="inlineStr">
        <is>
          <t>.m01</t>
        </is>
      </c>
      <c r="K20" s="681">
        <f>VLOOKUP(J20,Listy!A:B,2,FALSE)</f>
        <v/>
      </c>
      <c r="L20" s="91" t="inlineStr">
        <is>
          <t>.m24</t>
        </is>
      </c>
      <c r="M20" s="681">
        <f>VLOOKUP(L20,Listy!A:B,2,FALSE)</f>
        <v/>
      </c>
      <c r="N20" s="528" t="n">
        <v>3</v>
      </c>
      <c r="O20" s="528">
        <f>N20*40</f>
        <v/>
      </c>
      <c r="P20" s="187" t="n"/>
      <c r="Q20" s="187" t="n"/>
      <c r="R20" s="187" t="n"/>
      <c r="S20" s="187" t="n"/>
      <c r="T20" s="187" t="n"/>
      <c r="U20" s="187" t="n"/>
      <c r="V20" s="187" t="n"/>
      <c r="W20" s="187" t="n"/>
      <c r="X20" s="187" t="n"/>
      <c r="Y20" s="292" t="n"/>
      <c r="Z20" s="292" t="n"/>
      <c r="AA20" s="292" t="n"/>
      <c r="AB20" s="292" t="n"/>
      <c r="AC20" s="292" t="n"/>
      <c r="AD20" s="292" t="n"/>
      <c r="AE20" s="292" t="n"/>
      <c r="AF20" s="292" t="n"/>
      <c r="AG20" s="305" t="n"/>
      <c r="AH20" s="305" t="n"/>
      <c r="AI20" s="305" t="n"/>
      <c r="AJ20" s="305" t="n"/>
      <c r="AK20" s="305" t="n"/>
      <c r="AL20" s="192">
        <f>ROUND($O20*P20,0)</f>
        <v/>
      </c>
      <c r="AM20" s="192">
        <f>ROUND($O20*Q20,0)</f>
        <v/>
      </c>
      <c r="AN20" s="192">
        <f>ROUND($O20*R20,0)</f>
        <v/>
      </c>
      <c r="AO20" s="192">
        <f>ROUND($O20*S20,0)</f>
        <v/>
      </c>
      <c r="AP20" s="192">
        <f>ROUND($O20*T20,0)</f>
        <v/>
      </c>
      <c r="AQ20" s="192">
        <f>ROUND($O20*U20,0)</f>
        <v/>
      </c>
      <c r="AR20" s="192">
        <f>ROUND($O20*V20,0)</f>
        <v/>
      </c>
      <c r="AS20" s="192">
        <f>ROUND($O20*W20,0)</f>
        <v/>
      </c>
      <c r="AT20" s="192">
        <f>ROUND($O20*X20,0)</f>
        <v/>
      </c>
      <c r="AU20" s="193">
        <f>ROUND($O20*Y20,0)</f>
        <v/>
      </c>
      <c r="AV20" s="193">
        <f>ROUND($O20*Z20,0)</f>
        <v/>
      </c>
      <c r="AW20" s="193">
        <f>ROUND($O20*AA20,0)</f>
        <v/>
      </c>
      <c r="AX20" s="193">
        <f>ROUND($O20*AB20,0)</f>
        <v/>
      </c>
      <c r="AY20" s="193">
        <f>ROUND($O20*AC20,0)</f>
        <v/>
      </c>
      <c r="AZ20" s="193">
        <f>ROUND($O20*AD20,0)</f>
        <v/>
      </c>
      <c r="BA20" s="193">
        <f>ROUND($O20*AE20,0)</f>
        <v/>
      </c>
      <c r="BB20" s="193">
        <f>ROUND($O20*AF20,0)</f>
        <v/>
      </c>
      <c r="BC20" s="306">
        <f>ROUND($O20*AG20,0)</f>
        <v/>
      </c>
      <c r="BD20" s="306">
        <f>ROUND($O20*AH20,0)</f>
        <v/>
      </c>
      <c r="BE20" s="306">
        <f>ROUND($O20*AI20,0)</f>
        <v/>
      </c>
      <c r="BF20" s="306">
        <f>ROUND($O20*AJ20,0)</f>
        <v/>
      </c>
      <c r="BG20" s="306">
        <f>ROUND($O20*AK20,0)</f>
        <v/>
      </c>
      <c r="BH20" s="236">
        <f>SUM(AL20:AT20)</f>
        <v/>
      </c>
      <c r="BI20" s="528">
        <f>BH20/160</f>
        <v/>
      </c>
      <c r="BJ20" s="87">
        <f>VLOOKUP(I20,Listy!$A$1:$H$9,6,FALSE)</f>
        <v/>
      </c>
      <c r="BK20" s="682">
        <f>BI20*BJ20</f>
        <v/>
      </c>
      <c r="BL20" s="683">
        <f>BI20*BK20</f>
        <v/>
      </c>
      <c r="BM20" s="528" t="n"/>
      <c r="BN20" s="528" t="n"/>
      <c r="BO20" s="528" t="n"/>
      <c r="BP20" s="528" t="n"/>
      <c r="BQ20" s="528" t="n"/>
      <c r="BR20" s="528" t="n"/>
      <c r="BS20" s="22">
        <f>BQ20*BR20</f>
        <v/>
      </c>
      <c r="BT20" s="528" t="n"/>
      <c r="BU20" s="528" t="n"/>
      <c r="BV20" s="314" t="n"/>
      <c r="BW20" s="528" t="n"/>
      <c r="BX20" s="528" t="n"/>
      <c r="BY20" s="314" t="n"/>
      <c r="BZ20" s="528" t="n"/>
      <c r="CA20" s="528" t="n"/>
      <c r="CB20" s="314" t="n"/>
      <c r="CC20" s="314" t="n"/>
      <c r="CD20" s="528" t="n"/>
      <c r="CE20" s="528" t="n"/>
      <c r="CF20" s="528" t="n"/>
      <c r="CG20" s="22">
        <f>CE20*CF20</f>
        <v/>
      </c>
      <c r="CH20" s="528" t="n"/>
      <c r="CI20" s="528" t="n"/>
      <c r="CJ20" s="528" t="n"/>
      <c r="CK20" s="22">
        <f>CI20*CJ20</f>
        <v/>
      </c>
      <c r="CL20" s="528" t="n"/>
      <c r="CM20" s="528" t="n"/>
      <c r="CN20" s="528" t="n"/>
      <c r="CO20" s="22">
        <f>CM20*CN20</f>
        <v/>
      </c>
    </row>
    <row r="21">
      <c r="A21" s="112" t="n">
        <v>1</v>
      </c>
      <c r="B21" s="64" t="inlineStr">
        <is>
          <t>e</t>
        </is>
      </c>
      <c r="C21" s="105" t="n">
        <v>1</v>
      </c>
      <c r="D21" s="116">
        <f>CONCATENATE(A$3,"_",A21,"_",B21,"_",C21)</f>
        <v/>
      </c>
      <c r="E21" s="122" t="inlineStr">
        <is>
          <t>Analiza wpływu zakłóceń dostępności infrastruktury technicznej</t>
        </is>
      </c>
      <c r="F21" s="528">
        <f>IFERROR(VLOOKUP($I21,Listy!$A:$H,2,FALSE),"XXX")</f>
        <v/>
      </c>
      <c r="G21" s="528">
        <f>IFERROR(VLOOKUP($I21,Listy!$A:$H,3,FALSE),"XXX")</f>
        <v/>
      </c>
      <c r="H21" s="20" t="n">
        <v>13</v>
      </c>
      <c r="I21" s="89" t="inlineStr">
        <is>
          <t>.a14</t>
        </is>
      </c>
      <c r="J21" s="91" t="inlineStr">
        <is>
          <t>.m01</t>
        </is>
      </c>
      <c r="K21" s="681">
        <f>VLOOKUP(J21,Listy!A:B,2,FALSE)</f>
        <v/>
      </c>
      <c r="L21" s="91" t="inlineStr">
        <is>
          <t>.m25</t>
        </is>
      </c>
      <c r="M21" s="681">
        <f>VLOOKUP(L21,Listy!A:B,2,FALSE)</f>
        <v/>
      </c>
      <c r="N21" s="528" t="n">
        <v>3</v>
      </c>
      <c r="O21" s="528">
        <f>N21*40</f>
        <v/>
      </c>
      <c r="P21" s="187" t="n"/>
      <c r="Q21" s="187" t="n"/>
      <c r="R21" s="187" t="n"/>
      <c r="S21" s="187" t="n"/>
      <c r="T21" s="187" t="n"/>
      <c r="U21" s="187" t="n"/>
      <c r="V21" s="187" t="n"/>
      <c r="W21" s="187" t="n"/>
      <c r="X21" s="187" t="n"/>
      <c r="Y21" s="292" t="n"/>
      <c r="Z21" s="292" t="n"/>
      <c r="AA21" s="292" t="n"/>
      <c r="AB21" s="292" t="n"/>
      <c r="AC21" s="292" t="n"/>
      <c r="AD21" s="292" t="n"/>
      <c r="AE21" s="292" t="n"/>
      <c r="AF21" s="292" t="n"/>
      <c r="AG21" s="305" t="n"/>
      <c r="AH21" s="305" t="n"/>
      <c r="AI21" s="305" t="n"/>
      <c r="AJ21" s="305" t="n"/>
      <c r="AK21" s="305" t="n"/>
      <c r="AL21" s="192">
        <f>ROUND($O21*P21,0)</f>
        <v/>
      </c>
      <c r="AM21" s="192">
        <f>ROUND($O21*Q21,0)</f>
        <v/>
      </c>
      <c r="AN21" s="192">
        <f>ROUND($O21*R21,0)</f>
        <v/>
      </c>
      <c r="AO21" s="192">
        <f>ROUND($O21*S21,0)</f>
        <v/>
      </c>
      <c r="AP21" s="192">
        <f>ROUND($O21*T21,0)</f>
        <v/>
      </c>
      <c r="AQ21" s="192">
        <f>ROUND($O21*U21,0)</f>
        <v/>
      </c>
      <c r="AR21" s="192">
        <f>ROUND($O21*V21,0)</f>
        <v/>
      </c>
      <c r="AS21" s="192">
        <f>ROUND($O21*W21,0)</f>
        <v/>
      </c>
      <c r="AT21" s="192">
        <f>ROUND($O21*X21,0)</f>
        <v/>
      </c>
      <c r="AU21" s="193">
        <f>ROUND($O21*Y21,0)</f>
        <v/>
      </c>
      <c r="AV21" s="193">
        <f>ROUND($O21*Z21,0)</f>
        <v/>
      </c>
      <c r="AW21" s="193">
        <f>ROUND($O21*AA21,0)</f>
        <v/>
      </c>
      <c r="AX21" s="193">
        <f>ROUND($O21*AB21,0)</f>
        <v/>
      </c>
      <c r="AY21" s="193">
        <f>ROUND($O21*AC21,0)</f>
        <v/>
      </c>
      <c r="AZ21" s="193">
        <f>ROUND($O21*AD21,0)</f>
        <v/>
      </c>
      <c r="BA21" s="193">
        <f>ROUND($O21*AE21,0)</f>
        <v/>
      </c>
      <c r="BB21" s="193">
        <f>ROUND($O21*AF21,0)</f>
        <v/>
      </c>
      <c r="BC21" s="306">
        <f>ROUND($O21*AG21,0)</f>
        <v/>
      </c>
      <c r="BD21" s="306">
        <f>ROUND($O21*AH21,0)</f>
        <v/>
      </c>
      <c r="BE21" s="306">
        <f>ROUND($O21*AI21,0)</f>
        <v/>
      </c>
      <c r="BF21" s="306">
        <f>ROUND($O21*AJ21,0)</f>
        <v/>
      </c>
      <c r="BG21" s="306">
        <f>ROUND($O21*AK21,0)</f>
        <v/>
      </c>
      <c r="BH21" s="236">
        <f>SUM(AL21:AT21)</f>
        <v/>
      </c>
      <c r="BI21" s="528">
        <f>BH21/160</f>
        <v/>
      </c>
      <c r="BJ21" s="87">
        <f>VLOOKUP(I21,Listy!$A$1:$H$9,6,FALSE)</f>
        <v/>
      </c>
      <c r="BK21" s="682">
        <f>BI21*BJ21</f>
        <v/>
      </c>
      <c r="BL21" s="683">
        <f>BI21*BK21</f>
        <v/>
      </c>
      <c r="BM21" s="528" t="n"/>
      <c r="BN21" s="528" t="n"/>
      <c r="BO21" s="528" t="n"/>
      <c r="BP21" s="528" t="n"/>
      <c r="BQ21" s="528" t="n"/>
      <c r="BR21" s="528" t="n"/>
      <c r="BS21" s="21">
        <f>BQ21*BR21</f>
        <v/>
      </c>
      <c r="BT21" s="528" t="n"/>
      <c r="BU21" s="528" t="n"/>
      <c r="BV21" s="528" t="n"/>
      <c r="BW21" s="528" t="n"/>
      <c r="BX21" s="528" t="n"/>
      <c r="BY21" s="528" t="n"/>
      <c r="BZ21" s="528" t="n"/>
      <c r="CA21" s="528" t="n"/>
      <c r="CB21" s="528" t="n"/>
      <c r="CC21" s="528" t="n"/>
      <c r="CD21" s="528" t="n"/>
      <c r="CE21" s="528" t="n"/>
      <c r="CF21" s="528" t="n"/>
      <c r="CG21" s="21">
        <f>CE21*CF21</f>
        <v/>
      </c>
      <c r="CH21" s="528" t="n"/>
      <c r="CI21" s="528" t="n"/>
      <c r="CJ21" s="528" t="n"/>
      <c r="CK21" s="21">
        <f>CI21*CJ21</f>
        <v/>
      </c>
      <c r="CL21" s="528" t="n"/>
      <c r="CM21" s="528" t="n"/>
      <c r="CN21" s="528" t="n"/>
      <c r="CO21" s="21">
        <f>CM21*CN21</f>
        <v/>
      </c>
    </row>
    <row r="22">
      <c r="A22" s="112" t="n">
        <v>1</v>
      </c>
      <c r="B22" s="64" t="inlineStr">
        <is>
          <t>f</t>
        </is>
      </c>
      <c r="C22" s="105" t="n">
        <v>1</v>
      </c>
      <c r="D22" s="116">
        <f>CONCATENATE(A$3,"_",A22,"_",B22,"_",C22)</f>
        <v/>
      </c>
      <c r="E22" s="122" t="inlineStr">
        <is>
          <t>Stworzenie mapy zidentyfikowanych algorytmów/etapów PT</t>
        </is>
      </c>
      <c r="F22" s="528">
        <f>IFERROR(VLOOKUP($I22,Listy!$A:$H,2,FALSE),"XXX")</f>
        <v/>
      </c>
      <c r="G22" s="528">
        <f>IFERROR(VLOOKUP($I22,Listy!$A:$H,3,FALSE),"XXX")</f>
        <v/>
      </c>
      <c r="H22" s="20" t="n">
        <v>14</v>
      </c>
      <c r="I22" s="89" t="inlineStr">
        <is>
          <t>.a15</t>
        </is>
      </c>
      <c r="J22" s="91" t="inlineStr">
        <is>
          <t>.m01</t>
        </is>
      </c>
      <c r="K22" s="681">
        <f>VLOOKUP(J22,Listy!A:B,2,FALSE)</f>
        <v/>
      </c>
      <c r="L22" s="91" t="inlineStr">
        <is>
          <t>.m26</t>
        </is>
      </c>
      <c r="M22" s="681">
        <f>VLOOKUP(L22,Listy!A:B,2,FALSE)</f>
        <v/>
      </c>
      <c r="N22" s="528" t="n">
        <v>3</v>
      </c>
      <c r="O22" s="528">
        <f>N22*40</f>
        <v/>
      </c>
      <c r="P22" s="187" t="n"/>
      <c r="Q22" s="187" t="n"/>
      <c r="R22" s="187" t="n"/>
      <c r="S22" s="187" t="n"/>
      <c r="T22" s="187" t="n"/>
      <c r="U22" s="187" t="n"/>
      <c r="V22" s="187" t="n"/>
      <c r="W22" s="187" t="n"/>
      <c r="X22" s="187" t="n"/>
      <c r="Y22" s="292" t="n"/>
      <c r="Z22" s="292" t="n"/>
      <c r="AA22" s="292" t="n"/>
      <c r="AB22" s="292" t="n"/>
      <c r="AC22" s="292" t="n"/>
      <c r="AD22" s="292" t="n"/>
      <c r="AE22" s="292" t="n"/>
      <c r="AF22" s="292" t="n"/>
      <c r="AG22" s="305" t="n"/>
      <c r="AH22" s="305" t="n"/>
      <c r="AI22" s="305" t="n"/>
      <c r="AJ22" s="305" t="n"/>
      <c r="AK22" s="305" t="n"/>
      <c r="AL22" s="192">
        <f>ROUND($O22*P22,0)</f>
        <v/>
      </c>
      <c r="AM22" s="192">
        <f>ROUND($O22*Q22,0)</f>
        <v/>
      </c>
      <c r="AN22" s="192">
        <f>ROUND($O22*R22,0)</f>
        <v/>
      </c>
      <c r="AO22" s="192">
        <f>ROUND($O22*S22,0)</f>
        <v/>
      </c>
      <c r="AP22" s="192">
        <f>ROUND($O22*T22,0)</f>
        <v/>
      </c>
      <c r="AQ22" s="192">
        <f>ROUND($O22*U22,0)</f>
        <v/>
      </c>
      <c r="AR22" s="192">
        <f>ROUND($O22*V22,0)</f>
        <v/>
      </c>
      <c r="AS22" s="192">
        <f>ROUND($O22*W22,0)</f>
        <v/>
      </c>
      <c r="AT22" s="192">
        <f>ROUND($O22*X22,0)</f>
        <v/>
      </c>
      <c r="AU22" s="193">
        <f>ROUND($O22*Y22,0)</f>
        <v/>
      </c>
      <c r="AV22" s="193">
        <f>ROUND($O22*Z22,0)</f>
        <v/>
      </c>
      <c r="AW22" s="193">
        <f>ROUND($O22*AA22,0)</f>
        <v/>
      </c>
      <c r="AX22" s="193">
        <f>ROUND($O22*AB22,0)</f>
        <v/>
      </c>
      <c r="AY22" s="193">
        <f>ROUND($O22*AC22,0)</f>
        <v/>
      </c>
      <c r="AZ22" s="193">
        <f>ROUND($O22*AD22,0)</f>
        <v/>
      </c>
      <c r="BA22" s="193">
        <f>ROUND($O22*AE22,0)</f>
        <v/>
      </c>
      <c r="BB22" s="193">
        <f>ROUND($O22*AF22,0)</f>
        <v/>
      </c>
      <c r="BC22" s="306">
        <f>ROUND($O22*AG22,0)</f>
        <v/>
      </c>
      <c r="BD22" s="306">
        <f>ROUND($O22*AH22,0)</f>
        <v/>
      </c>
      <c r="BE22" s="306">
        <f>ROUND($O22*AI22,0)</f>
        <v/>
      </c>
      <c r="BF22" s="306">
        <f>ROUND($O22*AJ22,0)</f>
        <v/>
      </c>
      <c r="BG22" s="306">
        <f>ROUND($O22*AK22,0)</f>
        <v/>
      </c>
      <c r="BH22" s="236">
        <f>SUM(AL22:AT22)</f>
        <v/>
      </c>
      <c r="BI22" s="528">
        <f>BH22/160</f>
        <v/>
      </c>
      <c r="BJ22" s="87">
        <f>VLOOKUP(I22,Listy!$A$1:$H$9,6,FALSE)</f>
        <v/>
      </c>
      <c r="BK22" s="682">
        <f>BI22*BJ22</f>
        <v/>
      </c>
      <c r="BL22" s="683">
        <f>BI22*BK22</f>
        <v/>
      </c>
      <c r="BM22" s="528" t="n"/>
      <c r="BN22" s="528" t="n"/>
      <c r="BO22" s="528" t="n"/>
      <c r="BP22" s="528" t="n"/>
      <c r="BQ22" s="528" t="n"/>
      <c r="BR22" s="528" t="n"/>
      <c r="BS22" s="22">
        <f>BQ22*BR22</f>
        <v/>
      </c>
      <c r="BT22" s="528" t="n"/>
      <c r="BU22" s="528" t="n"/>
      <c r="BV22" s="314" t="n"/>
      <c r="BW22" s="528" t="n"/>
      <c r="BX22" s="528" t="n"/>
      <c r="BY22" s="314" t="n"/>
      <c r="BZ22" s="528" t="n"/>
      <c r="CA22" s="528" t="n"/>
      <c r="CB22" s="314" t="n"/>
      <c r="CC22" s="314" t="n"/>
      <c r="CD22" s="528" t="n"/>
      <c r="CE22" s="528" t="n"/>
      <c r="CF22" s="528" t="n"/>
      <c r="CG22" s="22">
        <f>CE22*CF22</f>
        <v/>
      </c>
      <c r="CH22" s="528" t="n"/>
      <c r="CI22" s="528" t="n"/>
      <c r="CJ22" s="528" t="n"/>
      <c r="CK22" s="22">
        <f>CI22*CJ22</f>
        <v/>
      </c>
      <c r="CL22" s="528" t="n"/>
      <c r="CM22" s="528" t="n"/>
      <c r="CN22" s="528" t="n"/>
      <c r="CO22" s="22">
        <f>CM22*CN22</f>
        <v/>
      </c>
    </row>
    <row r="23">
      <c r="A23" s="112" t="n">
        <v>1</v>
      </c>
      <c r="B23" s="64" t="inlineStr">
        <is>
          <t>e</t>
        </is>
      </c>
      <c r="C23" s="105" t="n">
        <v>1</v>
      </c>
      <c r="D23" s="116">
        <f>CONCATENATE(A$3,"_",A23,"_",B23,"_",C23)</f>
        <v/>
      </c>
      <c r="E23" s="122" t="inlineStr">
        <is>
          <t>Analiza wpływu zakłóceń dostępności infrastruktury technicznej</t>
        </is>
      </c>
      <c r="F23" s="528">
        <f>IFERROR(VLOOKUP($I23,Listy!$A:$H,2,FALSE),"XXX")</f>
        <v/>
      </c>
      <c r="G23" s="528">
        <f>IFERROR(VLOOKUP($I23,Listy!$A:$H,3,FALSE),"XXX")</f>
        <v/>
      </c>
      <c r="H23" s="20" t="n">
        <v>15</v>
      </c>
      <c r="I23" s="89" t="inlineStr">
        <is>
          <t>.a16</t>
        </is>
      </c>
      <c r="J23" s="91" t="inlineStr">
        <is>
          <t>.m01</t>
        </is>
      </c>
      <c r="K23" s="681">
        <f>VLOOKUP(J23,Listy!A:B,2,FALSE)</f>
        <v/>
      </c>
      <c r="L23" s="91" t="inlineStr">
        <is>
          <t>.m27</t>
        </is>
      </c>
      <c r="M23" s="681">
        <f>VLOOKUP(L23,Listy!A:B,2,FALSE)</f>
        <v/>
      </c>
      <c r="N23" s="528" t="n">
        <v>3</v>
      </c>
      <c r="O23" s="528">
        <f>N23*40</f>
        <v/>
      </c>
      <c r="P23" s="187" t="n"/>
      <c r="Q23" s="187" t="n"/>
      <c r="R23" s="187" t="n"/>
      <c r="S23" s="187" t="n"/>
      <c r="T23" s="187" t="n"/>
      <c r="U23" s="187" t="n"/>
      <c r="V23" s="187" t="n"/>
      <c r="W23" s="187" t="n"/>
      <c r="X23" s="187" t="n"/>
      <c r="Y23" s="292" t="n"/>
      <c r="Z23" s="292" t="n"/>
      <c r="AA23" s="292" t="n"/>
      <c r="AB23" s="292" t="n"/>
      <c r="AC23" s="292" t="n"/>
      <c r="AD23" s="292" t="n"/>
      <c r="AE23" s="292" t="n"/>
      <c r="AF23" s="292" t="n"/>
      <c r="AG23" s="305" t="n"/>
      <c r="AH23" s="305" t="n"/>
      <c r="AI23" s="305" t="n"/>
      <c r="AJ23" s="305" t="n"/>
      <c r="AK23" s="305" t="n"/>
      <c r="AL23" s="192">
        <f>ROUND($O23*P23,0)</f>
        <v/>
      </c>
      <c r="AM23" s="192">
        <f>ROUND($O23*Q23,0)</f>
        <v/>
      </c>
      <c r="AN23" s="192">
        <f>ROUND($O23*R23,0)</f>
        <v/>
      </c>
      <c r="AO23" s="192">
        <f>ROUND($O23*S23,0)</f>
        <v/>
      </c>
      <c r="AP23" s="192">
        <f>ROUND($O23*T23,0)</f>
        <v/>
      </c>
      <c r="AQ23" s="192">
        <f>ROUND($O23*U23,0)</f>
        <v/>
      </c>
      <c r="AR23" s="192">
        <f>ROUND($O23*V23,0)</f>
        <v/>
      </c>
      <c r="AS23" s="192">
        <f>ROUND($O23*W23,0)</f>
        <v/>
      </c>
      <c r="AT23" s="192">
        <f>ROUND($O23*X23,0)</f>
        <v/>
      </c>
      <c r="AU23" s="193">
        <f>ROUND($O23*Y23,0)</f>
        <v/>
      </c>
      <c r="AV23" s="193">
        <f>ROUND($O23*Z23,0)</f>
        <v/>
      </c>
      <c r="AW23" s="193">
        <f>ROUND($O23*AA23,0)</f>
        <v/>
      </c>
      <c r="AX23" s="193">
        <f>ROUND($O23*AB23,0)</f>
        <v/>
      </c>
      <c r="AY23" s="193">
        <f>ROUND($O23*AC23,0)</f>
        <v/>
      </c>
      <c r="AZ23" s="193">
        <f>ROUND($O23*AD23,0)</f>
        <v/>
      </c>
      <c r="BA23" s="193">
        <f>ROUND($O23*AE23,0)</f>
        <v/>
      </c>
      <c r="BB23" s="193">
        <f>ROUND($O23*AF23,0)</f>
        <v/>
      </c>
      <c r="BC23" s="306">
        <f>ROUND($O23*AG23,0)</f>
        <v/>
      </c>
      <c r="BD23" s="306">
        <f>ROUND($O23*AH23,0)</f>
        <v/>
      </c>
      <c r="BE23" s="306">
        <f>ROUND($O23*AI23,0)</f>
        <v/>
      </c>
      <c r="BF23" s="306">
        <f>ROUND($O23*AJ23,0)</f>
        <v/>
      </c>
      <c r="BG23" s="306">
        <f>ROUND($O23*AK23,0)</f>
        <v/>
      </c>
      <c r="BH23" s="236">
        <f>SUM(AL23:AT23)</f>
        <v/>
      </c>
      <c r="BI23" s="528">
        <f>BH23/160</f>
        <v/>
      </c>
      <c r="BJ23" s="87">
        <f>VLOOKUP(I23,Listy!$A$1:$H$9,6,FALSE)</f>
        <v/>
      </c>
      <c r="BK23" s="682">
        <f>BI23*BJ23</f>
        <v/>
      </c>
      <c r="BL23" s="683">
        <f>BI23*BK23</f>
        <v/>
      </c>
      <c r="BM23" s="528" t="n"/>
      <c r="BN23" s="528" t="n"/>
      <c r="BO23" s="528" t="n"/>
      <c r="BP23" s="528" t="n"/>
      <c r="BQ23" s="528" t="n"/>
      <c r="BR23" s="528" t="n"/>
      <c r="BS23" s="21">
        <f>BQ23*BR23</f>
        <v/>
      </c>
      <c r="BT23" s="528" t="n"/>
      <c r="BU23" s="528" t="n"/>
      <c r="BV23" s="528" t="n"/>
      <c r="BW23" s="528" t="n"/>
      <c r="BX23" s="528" t="n"/>
      <c r="BY23" s="528" t="n"/>
      <c r="BZ23" s="528" t="n"/>
      <c r="CA23" s="528" t="n"/>
      <c r="CB23" s="528" t="n"/>
      <c r="CC23" s="528" t="n"/>
      <c r="CD23" s="528" t="n"/>
      <c r="CE23" s="528" t="n"/>
      <c r="CF23" s="528" t="n"/>
      <c r="CG23" s="21">
        <f>CE23*CF23</f>
        <v/>
      </c>
      <c r="CH23" s="528" t="n"/>
      <c r="CI23" s="528" t="n"/>
      <c r="CJ23" s="528" t="n"/>
      <c r="CK23" s="21">
        <f>CI23*CJ23</f>
        <v/>
      </c>
      <c r="CL23" s="528" t="n"/>
      <c r="CM23" s="528" t="n"/>
      <c r="CN23" s="528" t="n"/>
      <c r="CO23" s="21">
        <f>CM23*CN23</f>
        <v/>
      </c>
    </row>
    <row r="24">
      <c r="A24" s="112" t="n">
        <v>1</v>
      </c>
      <c r="B24" s="64" t="inlineStr">
        <is>
          <t>f</t>
        </is>
      </c>
      <c r="C24" s="105" t="n">
        <v>1</v>
      </c>
      <c r="D24" s="116">
        <f>CONCATENATE(A$3,"_",A24,"_",B24,"_",C24)</f>
        <v/>
      </c>
      <c r="E24" s="122" t="inlineStr">
        <is>
          <t>Stworzenie mapy zidentyfikowanych algorytmów/etapów PT</t>
        </is>
      </c>
      <c r="F24" s="528">
        <f>IFERROR(VLOOKUP($I24,Listy!$A:$H,2,FALSE),"XXX")</f>
        <v/>
      </c>
      <c r="G24" s="528">
        <f>IFERROR(VLOOKUP($I24,Listy!$A:$H,3,FALSE),"XXX")</f>
        <v/>
      </c>
      <c r="H24" s="20" t="n">
        <v>16</v>
      </c>
      <c r="I24" s="89" t="inlineStr">
        <is>
          <t>.a17</t>
        </is>
      </c>
      <c r="J24" s="91" t="inlineStr">
        <is>
          <t>.m01</t>
        </is>
      </c>
      <c r="K24" s="681">
        <f>VLOOKUP(J24,Listy!A:B,2,FALSE)</f>
        <v/>
      </c>
      <c r="L24" s="91" t="inlineStr">
        <is>
          <t>.m28</t>
        </is>
      </c>
      <c r="M24" s="681">
        <f>VLOOKUP(L24,Listy!A:B,2,FALSE)</f>
        <v/>
      </c>
      <c r="N24" s="528" t="n">
        <v>3</v>
      </c>
      <c r="O24" s="528">
        <f>N24*40</f>
        <v/>
      </c>
      <c r="P24" s="187" t="n"/>
      <c r="Q24" s="187" t="n"/>
      <c r="R24" s="187" t="n"/>
      <c r="S24" s="187" t="n"/>
      <c r="T24" s="187" t="n"/>
      <c r="U24" s="187" t="n"/>
      <c r="V24" s="187" t="n"/>
      <c r="W24" s="187" t="n"/>
      <c r="X24" s="187" t="n"/>
      <c r="Y24" s="292" t="n"/>
      <c r="Z24" s="292" t="n"/>
      <c r="AA24" s="292" t="n"/>
      <c r="AB24" s="292" t="n"/>
      <c r="AC24" s="292" t="n"/>
      <c r="AD24" s="292" t="n"/>
      <c r="AE24" s="292" t="n"/>
      <c r="AF24" s="292" t="n"/>
      <c r="AG24" s="305" t="n"/>
      <c r="AH24" s="305" t="n"/>
      <c r="AI24" s="305" t="n"/>
      <c r="AJ24" s="305" t="n"/>
      <c r="AK24" s="305" t="n"/>
      <c r="AL24" s="192">
        <f>ROUND($O24*P24,0)</f>
        <v/>
      </c>
      <c r="AM24" s="192">
        <f>ROUND($O24*Q24,0)</f>
        <v/>
      </c>
      <c r="AN24" s="192">
        <f>ROUND($O24*R24,0)</f>
        <v/>
      </c>
      <c r="AO24" s="192">
        <f>ROUND($O24*S24,0)</f>
        <v/>
      </c>
      <c r="AP24" s="192">
        <f>ROUND($O24*T24,0)</f>
        <v/>
      </c>
      <c r="AQ24" s="192">
        <f>ROUND($O24*U24,0)</f>
        <v/>
      </c>
      <c r="AR24" s="192">
        <f>ROUND($O24*V24,0)</f>
        <v/>
      </c>
      <c r="AS24" s="192">
        <f>ROUND($O24*W24,0)</f>
        <v/>
      </c>
      <c r="AT24" s="192">
        <f>ROUND($O24*X24,0)</f>
        <v/>
      </c>
      <c r="AU24" s="193">
        <f>ROUND($O24*Y24,0)</f>
        <v/>
      </c>
      <c r="AV24" s="193">
        <f>ROUND($O24*Z24,0)</f>
        <v/>
      </c>
      <c r="AW24" s="193">
        <f>ROUND($O24*AA24,0)</f>
        <v/>
      </c>
      <c r="AX24" s="193">
        <f>ROUND($O24*AB24,0)</f>
        <v/>
      </c>
      <c r="AY24" s="193">
        <f>ROUND($O24*AC24,0)</f>
        <v/>
      </c>
      <c r="AZ24" s="193">
        <f>ROUND($O24*AD24,0)</f>
        <v/>
      </c>
      <c r="BA24" s="193">
        <f>ROUND($O24*AE24,0)</f>
        <v/>
      </c>
      <c r="BB24" s="193">
        <f>ROUND($O24*AF24,0)</f>
        <v/>
      </c>
      <c r="BC24" s="306">
        <f>ROUND($O24*AG24,0)</f>
        <v/>
      </c>
      <c r="BD24" s="306">
        <f>ROUND($O24*AH24,0)</f>
        <v/>
      </c>
      <c r="BE24" s="306">
        <f>ROUND($O24*AI24,0)</f>
        <v/>
      </c>
      <c r="BF24" s="306">
        <f>ROUND($O24*AJ24,0)</f>
        <v/>
      </c>
      <c r="BG24" s="306">
        <f>ROUND($O24*AK24,0)</f>
        <v/>
      </c>
      <c r="BH24" s="236">
        <f>SUM(AL24:AT24)</f>
        <v/>
      </c>
      <c r="BI24" s="528">
        <f>BH24/160</f>
        <v/>
      </c>
      <c r="BJ24" s="87">
        <f>VLOOKUP(I24,Listy!$A$1:$H$9,6,FALSE)</f>
        <v/>
      </c>
      <c r="BK24" s="682">
        <f>BI24*BJ24</f>
        <v/>
      </c>
      <c r="BL24" s="683">
        <f>BI24*BK24</f>
        <v/>
      </c>
      <c r="BM24" s="528" t="n"/>
      <c r="BN24" s="528" t="n"/>
      <c r="BO24" s="528" t="n"/>
      <c r="BP24" s="528" t="n"/>
      <c r="BQ24" s="528" t="n"/>
      <c r="BR24" s="528" t="n"/>
      <c r="BS24" s="22">
        <f>BQ24*BR24</f>
        <v/>
      </c>
      <c r="BT24" s="528" t="n"/>
      <c r="BU24" s="528" t="n"/>
      <c r="BV24" s="314" t="n"/>
      <c r="BW24" s="528" t="n"/>
      <c r="BX24" s="528" t="n"/>
      <c r="BY24" s="314" t="n"/>
      <c r="BZ24" s="528" t="n"/>
      <c r="CA24" s="528" t="n"/>
      <c r="CB24" s="314" t="n"/>
      <c r="CC24" s="314" t="n"/>
      <c r="CD24" s="528" t="n"/>
      <c r="CE24" s="528" t="n"/>
      <c r="CF24" s="528" t="n"/>
      <c r="CG24" s="22">
        <f>CE24*CF24</f>
        <v/>
      </c>
      <c r="CH24" s="528" t="n"/>
      <c r="CI24" s="528" t="n"/>
      <c r="CJ24" s="528" t="n"/>
      <c r="CK24" s="22">
        <f>CI24*CJ24</f>
        <v/>
      </c>
      <c r="CL24" s="528" t="n"/>
      <c r="CM24" s="528" t="n"/>
      <c r="CN24" s="528" t="n"/>
      <c r="CO24" s="22">
        <f>CM24*CN24</f>
        <v/>
      </c>
    </row>
    <row r="25">
      <c r="A25" s="112" t="n">
        <v>1</v>
      </c>
      <c r="B25" s="64" t="inlineStr">
        <is>
          <t>e</t>
        </is>
      </c>
      <c r="C25" s="105" t="n">
        <v>1</v>
      </c>
      <c r="D25" s="116">
        <f>CONCATENATE(A$3,"_",A25,"_",B25,"_",C25)</f>
        <v/>
      </c>
      <c r="E25" s="122" t="inlineStr">
        <is>
          <t>Analiza wpływu zakłóceń dostępności infrastruktury technicznej</t>
        </is>
      </c>
      <c r="F25" s="528">
        <f>IFERROR(VLOOKUP($I25,Listy!$A:$H,2,FALSE),"XXX")</f>
        <v/>
      </c>
      <c r="G25" s="528">
        <f>IFERROR(VLOOKUP($I25,Listy!$A:$H,3,FALSE),"XXX")</f>
        <v/>
      </c>
      <c r="H25" s="20" t="n">
        <v>17</v>
      </c>
      <c r="I25" s="89" t="inlineStr">
        <is>
          <t>.a18</t>
        </is>
      </c>
      <c r="J25" s="91" t="inlineStr">
        <is>
          <t>.m01</t>
        </is>
      </c>
      <c r="K25" s="681">
        <f>VLOOKUP(J25,Listy!A:B,2,FALSE)</f>
        <v/>
      </c>
      <c r="L25" s="91" t="inlineStr">
        <is>
          <t>.m29</t>
        </is>
      </c>
      <c r="M25" s="681">
        <f>VLOOKUP(L25,Listy!A:B,2,FALSE)</f>
        <v/>
      </c>
      <c r="N25" s="528" t="n">
        <v>3</v>
      </c>
      <c r="O25" s="528">
        <f>N25*40</f>
        <v/>
      </c>
      <c r="P25" s="187" t="n"/>
      <c r="Q25" s="187" t="n"/>
      <c r="R25" s="187" t="n"/>
      <c r="S25" s="187" t="n"/>
      <c r="T25" s="187" t="n"/>
      <c r="U25" s="187" t="n"/>
      <c r="V25" s="187" t="n"/>
      <c r="W25" s="187" t="n"/>
      <c r="X25" s="187" t="n"/>
      <c r="Y25" s="292" t="n"/>
      <c r="Z25" s="292" t="n"/>
      <c r="AA25" s="292" t="n"/>
      <c r="AB25" s="292" t="n"/>
      <c r="AC25" s="292" t="n"/>
      <c r="AD25" s="292" t="n"/>
      <c r="AE25" s="292" t="n"/>
      <c r="AF25" s="292" t="n"/>
      <c r="AG25" s="305" t="n"/>
      <c r="AH25" s="305" t="n"/>
      <c r="AI25" s="305" t="n"/>
      <c r="AJ25" s="305" t="n"/>
      <c r="AK25" s="305" t="n"/>
      <c r="AL25" s="192">
        <f>ROUND($O25*P25,0)</f>
        <v/>
      </c>
      <c r="AM25" s="192">
        <f>ROUND($O25*Q25,0)</f>
        <v/>
      </c>
      <c r="AN25" s="192">
        <f>ROUND($O25*R25,0)</f>
        <v/>
      </c>
      <c r="AO25" s="192">
        <f>ROUND($O25*S25,0)</f>
        <v/>
      </c>
      <c r="AP25" s="192">
        <f>ROUND($O25*T25,0)</f>
        <v/>
      </c>
      <c r="AQ25" s="192">
        <f>ROUND($O25*U25,0)</f>
        <v/>
      </c>
      <c r="AR25" s="192">
        <f>ROUND($O25*V25,0)</f>
        <v/>
      </c>
      <c r="AS25" s="192">
        <f>ROUND($O25*W25,0)</f>
        <v/>
      </c>
      <c r="AT25" s="192">
        <f>ROUND($O25*X25,0)</f>
        <v/>
      </c>
      <c r="AU25" s="193">
        <f>ROUND($O25*Y25,0)</f>
        <v/>
      </c>
      <c r="AV25" s="193">
        <f>ROUND($O25*Z25,0)</f>
        <v/>
      </c>
      <c r="AW25" s="193">
        <f>ROUND($O25*AA25,0)</f>
        <v/>
      </c>
      <c r="AX25" s="193">
        <f>ROUND($O25*AB25,0)</f>
        <v/>
      </c>
      <c r="AY25" s="193">
        <f>ROUND($O25*AC25,0)</f>
        <v/>
      </c>
      <c r="AZ25" s="193">
        <f>ROUND($O25*AD25,0)</f>
        <v/>
      </c>
      <c r="BA25" s="193">
        <f>ROUND($O25*AE25,0)</f>
        <v/>
      </c>
      <c r="BB25" s="193">
        <f>ROUND($O25*AF25,0)</f>
        <v/>
      </c>
      <c r="BC25" s="306">
        <f>ROUND($O25*AG25,0)</f>
        <v/>
      </c>
      <c r="BD25" s="306">
        <f>ROUND($O25*AH25,0)</f>
        <v/>
      </c>
      <c r="BE25" s="306">
        <f>ROUND($O25*AI25,0)</f>
        <v/>
      </c>
      <c r="BF25" s="306">
        <f>ROUND($O25*AJ25,0)</f>
        <v/>
      </c>
      <c r="BG25" s="306">
        <f>ROUND($O25*AK25,0)</f>
        <v/>
      </c>
      <c r="BH25" s="236">
        <f>SUM(AL25:AT25)</f>
        <v/>
      </c>
      <c r="BI25" s="528">
        <f>BH25/160</f>
        <v/>
      </c>
      <c r="BJ25" s="87">
        <f>VLOOKUP(I25,Listy!$A$1:$H$9,6,FALSE)</f>
        <v/>
      </c>
      <c r="BK25" s="682">
        <f>BI25*BJ25</f>
        <v/>
      </c>
      <c r="BL25" s="683">
        <f>BI25*BK25</f>
        <v/>
      </c>
      <c r="BM25" s="528" t="n"/>
      <c r="BN25" s="528" t="n"/>
      <c r="BO25" s="528" t="n"/>
      <c r="BP25" s="528" t="n"/>
      <c r="BQ25" s="528" t="n"/>
      <c r="BR25" s="528" t="n"/>
      <c r="BS25" s="21">
        <f>BQ25*BR25</f>
        <v/>
      </c>
      <c r="BT25" s="528" t="n"/>
      <c r="BU25" s="528" t="n"/>
      <c r="BV25" s="528" t="n"/>
      <c r="BW25" s="528" t="n"/>
      <c r="BX25" s="528" t="n"/>
      <c r="BY25" s="528" t="n"/>
      <c r="BZ25" s="528" t="n"/>
      <c r="CA25" s="528" t="n"/>
      <c r="CB25" s="528" t="n"/>
      <c r="CC25" s="528" t="n"/>
      <c r="CD25" s="528" t="n"/>
      <c r="CE25" s="528" t="n"/>
      <c r="CF25" s="528" t="n"/>
      <c r="CG25" s="21">
        <f>CE25*CF25</f>
        <v/>
      </c>
      <c r="CH25" s="528" t="n"/>
      <c r="CI25" s="528" t="n"/>
      <c r="CJ25" s="528" t="n"/>
      <c r="CK25" s="21">
        <f>CI25*CJ25</f>
        <v/>
      </c>
      <c r="CL25" s="528" t="n"/>
      <c r="CM25" s="528" t="n"/>
      <c r="CN25" s="528" t="n"/>
      <c r="CO25" s="21">
        <f>CM25*CN25</f>
        <v/>
      </c>
    </row>
    <row r="26">
      <c r="A26" s="112" t="n">
        <v>1</v>
      </c>
      <c r="B26" s="64" t="inlineStr">
        <is>
          <t>f</t>
        </is>
      </c>
      <c r="C26" s="105" t="n">
        <v>1</v>
      </c>
      <c r="D26" s="116">
        <f>CONCATENATE(A$3,"_",A26,"_",B26,"_",C26)</f>
        <v/>
      </c>
      <c r="E26" s="122" t="inlineStr">
        <is>
          <t>Stworzenie mapy zidentyfikowanych algorytmów/etapów PT</t>
        </is>
      </c>
      <c r="F26" s="528">
        <f>IFERROR(VLOOKUP($I26,Listy!$A:$H,2,FALSE),"XXX")</f>
        <v/>
      </c>
      <c r="G26" s="528">
        <f>IFERROR(VLOOKUP($I26,Listy!$A:$H,3,FALSE),"XXX")</f>
        <v/>
      </c>
      <c r="H26" s="20" t="n">
        <v>18</v>
      </c>
      <c r="I26" s="89" t="inlineStr">
        <is>
          <t>.a19</t>
        </is>
      </c>
      <c r="J26" s="91" t="inlineStr">
        <is>
          <t>.m01</t>
        </is>
      </c>
      <c r="K26" s="681">
        <f>VLOOKUP(J26,Listy!A:B,2,FALSE)</f>
        <v/>
      </c>
      <c r="L26" s="91" t="inlineStr">
        <is>
          <t>.m30</t>
        </is>
      </c>
      <c r="M26" s="681">
        <f>VLOOKUP(L26,Listy!A:B,2,FALSE)</f>
        <v/>
      </c>
      <c r="N26" s="528" t="n">
        <v>3</v>
      </c>
      <c r="O26" s="528">
        <f>N26*40</f>
        <v/>
      </c>
      <c r="P26" s="187" t="n"/>
      <c r="Q26" s="187" t="n"/>
      <c r="R26" s="187" t="n"/>
      <c r="S26" s="187" t="n"/>
      <c r="T26" s="187" t="n"/>
      <c r="U26" s="187" t="n"/>
      <c r="V26" s="187" t="n"/>
      <c r="W26" s="187" t="n"/>
      <c r="X26" s="187" t="n"/>
      <c r="Y26" s="292" t="n"/>
      <c r="Z26" s="292" t="n"/>
      <c r="AA26" s="292" t="n"/>
      <c r="AB26" s="292" t="n"/>
      <c r="AC26" s="292" t="n"/>
      <c r="AD26" s="292" t="n"/>
      <c r="AE26" s="292" t="n"/>
      <c r="AF26" s="292" t="n"/>
      <c r="AG26" s="305" t="n"/>
      <c r="AH26" s="305" t="n"/>
      <c r="AI26" s="305" t="n"/>
      <c r="AJ26" s="305" t="n"/>
      <c r="AK26" s="305" t="n"/>
      <c r="AL26" s="192">
        <f>ROUND($O26*P26,0)</f>
        <v/>
      </c>
      <c r="AM26" s="192">
        <f>ROUND($O26*Q26,0)</f>
        <v/>
      </c>
      <c r="AN26" s="192">
        <f>ROUND($O26*R26,0)</f>
        <v/>
      </c>
      <c r="AO26" s="192">
        <f>ROUND($O26*S26,0)</f>
        <v/>
      </c>
      <c r="AP26" s="192">
        <f>ROUND($O26*T26,0)</f>
        <v/>
      </c>
      <c r="AQ26" s="192">
        <f>ROUND($O26*U26,0)</f>
        <v/>
      </c>
      <c r="AR26" s="192">
        <f>ROUND($O26*V26,0)</f>
        <v/>
      </c>
      <c r="AS26" s="192">
        <f>ROUND($O26*W26,0)</f>
        <v/>
      </c>
      <c r="AT26" s="192">
        <f>ROUND($O26*X26,0)</f>
        <v/>
      </c>
      <c r="AU26" s="193">
        <f>ROUND($O26*Y26,0)</f>
        <v/>
      </c>
      <c r="AV26" s="193">
        <f>ROUND($O26*Z26,0)</f>
        <v/>
      </c>
      <c r="AW26" s="193">
        <f>ROUND($O26*AA26,0)</f>
        <v/>
      </c>
      <c r="AX26" s="193">
        <f>ROUND($O26*AB26,0)</f>
        <v/>
      </c>
      <c r="AY26" s="193">
        <f>ROUND($O26*AC26,0)</f>
        <v/>
      </c>
      <c r="AZ26" s="193">
        <f>ROUND($O26*AD26,0)</f>
        <v/>
      </c>
      <c r="BA26" s="193">
        <f>ROUND($O26*AE26,0)</f>
        <v/>
      </c>
      <c r="BB26" s="193">
        <f>ROUND($O26*AF26,0)</f>
        <v/>
      </c>
      <c r="BC26" s="306">
        <f>ROUND($O26*AG26,0)</f>
        <v/>
      </c>
      <c r="BD26" s="306">
        <f>ROUND($O26*AH26,0)</f>
        <v/>
      </c>
      <c r="BE26" s="306">
        <f>ROUND($O26*AI26,0)</f>
        <v/>
      </c>
      <c r="BF26" s="306">
        <f>ROUND($O26*AJ26,0)</f>
        <v/>
      </c>
      <c r="BG26" s="306">
        <f>ROUND($O26*AK26,0)</f>
        <v/>
      </c>
      <c r="BH26" s="236">
        <f>SUM(AL26:AT26)</f>
        <v/>
      </c>
      <c r="BI26" s="528">
        <f>BH26/160</f>
        <v/>
      </c>
      <c r="BJ26" s="87">
        <f>VLOOKUP(I26,Listy!$A$1:$H$9,6,FALSE)</f>
        <v/>
      </c>
      <c r="BK26" s="682">
        <f>BI26*BJ26</f>
        <v/>
      </c>
      <c r="BL26" s="683">
        <f>BI26*BK26</f>
        <v/>
      </c>
      <c r="BM26" s="528" t="n"/>
      <c r="BN26" s="528" t="n"/>
      <c r="BO26" s="528" t="n"/>
      <c r="BP26" s="528" t="n"/>
      <c r="BQ26" s="528" t="n"/>
      <c r="BR26" s="528" t="n"/>
      <c r="BS26" s="22">
        <f>BQ26*BR26</f>
        <v/>
      </c>
      <c r="BT26" s="528" t="n"/>
      <c r="BU26" s="528" t="n"/>
      <c r="BV26" s="314" t="n"/>
      <c r="BW26" s="528" t="n"/>
      <c r="BX26" s="528" t="n"/>
      <c r="BY26" s="314" t="n"/>
      <c r="BZ26" s="528" t="n"/>
      <c r="CA26" s="528" t="n"/>
      <c r="CB26" s="314" t="n"/>
      <c r="CC26" s="314" t="n"/>
      <c r="CD26" s="528" t="n"/>
      <c r="CE26" s="528" t="n"/>
      <c r="CF26" s="528" t="n"/>
      <c r="CG26" s="22">
        <f>CE26*CF26</f>
        <v/>
      </c>
      <c r="CH26" s="528" t="n"/>
      <c r="CI26" s="528" t="n"/>
      <c r="CJ26" s="528" t="n"/>
      <c r="CK26" s="22">
        <f>CI26*CJ26</f>
        <v/>
      </c>
      <c r="CL26" s="528" t="n"/>
      <c r="CM26" s="528" t="n"/>
      <c r="CN26" s="528" t="n"/>
      <c r="CO26" s="22">
        <f>CM26*CN26</f>
        <v/>
      </c>
    </row>
    <row r="27">
      <c r="A27" s="112" t="n">
        <v>1</v>
      </c>
      <c r="B27" s="64" t="inlineStr">
        <is>
          <t>e</t>
        </is>
      </c>
      <c r="C27" s="105" t="n">
        <v>1</v>
      </c>
      <c r="D27" s="116">
        <f>CONCATENATE(A$3,"_",A27,"_",B27,"_",C27)</f>
        <v/>
      </c>
      <c r="E27" s="122" t="inlineStr">
        <is>
          <t>Analiza wpływu zakłóceń dostępności infrastruktury technicznej</t>
        </is>
      </c>
      <c r="F27" s="528">
        <f>IFERROR(VLOOKUP($I27,Listy!$A:$H,2,FALSE),"XXX")</f>
        <v/>
      </c>
      <c r="G27" s="528">
        <f>IFERROR(VLOOKUP($I27,Listy!$A:$H,3,FALSE),"XXX")</f>
        <v/>
      </c>
      <c r="H27" s="20" t="n">
        <v>19</v>
      </c>
      <c r="I27" s="89" t="inlineStr">
        <is>
          <t>.a20</t>
        </is>
      </c>
      <c r="J27" s="91" t="inlineStr">
        <is>
          <t>.m01</t>
        </is>
      </c>
      <c r="K27" s="681">
        <f>VLOOKUP(J27,Listy!A:B,2,FALSE)</f>
        <v/>
      </c>
      <c r="L27" s="91" t="inlineStr">
        <is>
          <t>.m31</t>
        </is>
      </c>
      <c r="M27" s="681">
        <f>VLOOKUP(L27,Listy!A:B,2,FALSE)</f>
        <v/>
      </c>
      <c r="N27" s="528" t="n">
        <v>3</v>
      </c>
      <c r="O27" s="528">
        <f>N27*40</f>
        <v/>
      </c>
      <c r="P27" s="187" t="n"/>
      <c r="Q27" s="187" t="n"/>
      <c r="R27" s="187" t="n"/>
      <c r="S27" s="187" t="n"/>
      <c r="T27" s="187" t="n"/>
      <c r="U27" s="187" t="n"/>
      <c r="V27" s="187" t="n"/>
      <c r="W27" s="187" t="n"/>
      <c r="X27" s="187" t="n"/>
      <c r="Y27" s="292" t="n"/>
      <c r="Z27" s="292" t="n"/>
      <c r="AA27" s="292" t="n"/>
      <c r="AB27" s="292" t="n"/>
      <c r="AC27" s="292" t="n"/>
      <c r="AD27" s="292" t="n"/>
      <c r="AE27" s="292" t="n"/>
      <c r="AF27" s="292" t="n"/>
      <c r="AG27" s="305" t="n"/>
      <c r="AH27" s="305" t="n"/>
      <c r="AI27" s="305" t="n"/>
      <c r="AJ27" s="305" t="n"/>
      <c r="AK27" s="305" t="n"/>
      <c r="AL27" s="192">
        <f>ROUND($O27*P27,0)</f>
        <v/>
      </c>
      <c r="AM27" s="192">
        <f>ROUND($O27*Q27,0)</f>
        <v/>
      </c>
      <c r="AN27" s="192">
        <f>ROUND($O27*R27,0)</f>
        <v/>
      </c>
      <c r="AO27" s="192">
        <f>ROUND($O27*S27,0)</f>
        <v/>
      </c>
      <c r="AP27" s="192">
        <f>ROUND($O27*T27,0)</f>
        <v/>
      </c>
      <c r="AQ27" s="192">
        <f>ROUND($O27*U27,0)</f>
        <v/>
      </c>
      <c r="AR27" s="192">
        <f>ROUND($O27*V27,0)</f>
        <v/>
      </c>
      <c r="AS27" s="192">
        <f>ROUND($O27*W27,0)</f>
        <v/>
      </c>
      <c r="AT27" s="192">
        <f>ROUND($O27*X27,0)</f>
        <v/>
      </c>
      <c r="AU27" s="193">
        <f>ROUND($O27*Y27,0)</f>
        <v/>
      </c>
      <c r="AV27" s="193">
        <f>ROUND($O27*Z27,0)</f>
        <v/>
      </c>
      <c r="AW27" s="193">
        <f>ROUND($O27*AA27,0)</f>
        <v/>
      </c>
      <c r="AX27" s="193">
        <f>ROUND($O27*AB27,0)</f>
        <v/>
      </c>
      <c r="AY27" s="193">
        <f>ROUND($O27*AC27,0)</f>
        <v/>
      </c>
      <c r="AZ27" s="193">
        <f>ROUND($O27*AD27,0)</f>
        <v/>
      </c>
      <c r="BA27" s="193">
        <f>ROUND($O27*AE27,0)</f>
        <v/>
      </c>
      <c r="BB27" s="193">
        <f>ROUND($O27*AF27,0)</f>
        <v/>
      </c>
      <c r="BC27" s="306">
        <f>ROUND($O27*AG27,0)</f>
        <v/>
      </c>
      <c r="BD27" s="306">
        <f>ROUND($O27*AH27,0)</f>
        <v/>
      </c>
      <c r="BE27" s="306">
        <f>ROUND($O27*AI27,0)</f>
        <v/>
      </c>
      <c r="BF27" s="306">
        <f>ROUND($O27*AJ27,0)</f>
        <v/>
      </c>
      <c r="BG27" s="306">
        <f>ROUND($O27*AK27,0)</f>
        <v/>
      </c>
      <c r="BH27" s="236">
        <f>SUM(AL27:AT27)</f>
        <v/>
      </c>
      <c r="BI27" s="528">
        <f>BH27/160</f>
        <v/>
      </c>
      <c r="BJ27" s="87">
        <f>VLOOKUP(I27,Listy!$A$1:$H$9,6,FALSE)</f>
        <v/>
      </c>
      <c r="BK27" s="682">
        <f>BI27*BJ27</f>
        <v/>
      </c>
      <c r="BL27" s="683">
        <f>BI27*BK27</f>
        <v/>
      </c>
      <c r="BM27" s="528" t="n"/>
      <c r="BN27" s="528" t="n"/>
      <c r="BO27" s="528" t="n"/>
      <c r="BP27" s="528" t="n"/>
      <c r="BQ27" s="528" t="n"/>
      <c r="BR27" s="528" t="n"/>
      <c r="BS27" s="21">
        <f>BQ27*BR27</f>
        <v/>
      </c>
      <c r="BT27" s="528" t="n"/>
      <c r="BU27" s="528" t="n"/>
      <c r="BV27" s="528" t="n"/>
      <c r="BW27" s="528" t="n"/>
      <c r="BX27" s="528" t="n"/>
      <c r="BY27" s="528" t="n"/>
      <c r="BZ27" s="528" t="n"/>
      <c r="CA27" s="528" t="n"/>
      <c r="CB27" s="528" t="n"/>
      <c r="CC27" s="528" t="n"/>
      <c r="CD27" s="528" t="n"/>
      <c r="CE27" s="528" t="n"/>
      <c r="CF27" s="528" t="n"/>
      <c r="CG27" s="21">
        <f>CE27*CF27</f>
        <v/>
      </c>
      <c r="CH27" s="528" t="n"/>
      <c r="CI27" s="528" t="n"/>
      <c r="CJ27" s="528" t="n"/>
      <c r="CK27" s="21">
        <f>CI27*CJ27</f>
        <v/>
      </c>
      <c r="CL27" s="528" t="n"/>
      <c r="CM27" s="528" t="n"/>
      <c r="CN27" s="528" t="n"/>
      <c r="CO27" s="21">
        <f>CM27*CN27</f>
        <v/>
      </c>
    </row>
    <row r="28">
      <c r="A28" s="112" t="n">
        <v>1</v>
      </c>
      <c r="B28" s="64" t="inlineStr">
        <is>
          <t>f</t>
        </is>
      </c>
      <c r="C28" s="105" t="n">
        <v>1</v>
      </c>
      <c r="D28" s="116">
        <f>CONCATENATE(A$3,"_",A28,"_",B28,"_",C28)</f>
        <v/>
      </c>
      <c r="E28" s="122" t="inlineStr">
        <is>
          <t>Stworzenie mapy zidentyfikowanych algorytmów/etapów PT</t>
        </is>
      </c>
      <c r="F28" s="528">
        <f>IFERROR(VLOOKUP($I28,Listy!$A:$H,2,FALSE),"XXX")</f>
        <v/>
      </c>
      <c r="G28" s="528">
        <f>IFERROR(VLOOKUP($I28,Listy!$A:$H,3,FALSE),"XXX")</f>
        <v/>
      </c>
      <c r="H28" s="20" t="n">
        <v>20</v>
      </c>
      <c r="I28" s="89" t="inlineStr">
        <is>
          <t>.a21</t>
        </is>
      </c>
      <c r="J28" s="91" t="inlineStr">
        <is>
          <t>.m01</t>
        </is>
      </c>
      <c r="K28" s="681">
        <f>VLOOKUP(J28,Listy!A:B,2,FALSE)</f>
        <v/>
      </c>
      <c r="L28" s="91" t="inlineStr">
        <is>
          <t>.m32</t>
        </is>
      </c>
      <c r="M28" s="681">
        <f>VLOOKUP(L28,Listy!A:B,2,FALSE)</f>
        <v/>
      </c>
      <c r="N28" s="528" t="n">
        <v>3</v>
      </c>
      <c r="O28" s="528">
        <f>N28*40</f>
        <v/>
      </c>
      <c r="P28" s="187" t="n"/>
      <c r="Q28" s="187" t="n"/>
      <c r="R28" s="187" t="n"/>
      <c r="S28" s="187" t="n"/>
      <c r="T28" s="187" t="n"/>
      <c r="U28" s="187" t="n"/>
      <c r="V28" s="187" t="n"/>
      <c r="W28" s="187" t="n"/>
      <c r="X28" s="187" t="n"/>
      <c r="Y28" s="292" t="n"/>
      <c r="Z28" s="292" t="n"/>
      <c r="AA28" s="292" t="n"/>
      <c r="AB28" s="292" t="n"/>
      <c r="AC28" s="292" t="n"/>
      <c r="AD28" s="292" t="n"/>
      <c r="AE28" s="292" t="n"/>
      <c r="AF28" s="292" t="n"/>
      <c r="AG28" s="305" t="n"/>
      <c r="AH28" s="305" t="n"/>
      <c r="AI28" s="305" t="n"/>
      <c r="AJ28" s="305" t="n"/>
      <c r="AK28" s="305" t="n"/>
      <c r="AL28" s="192">
        <f>ROUND($O28*P28,0)</f>
        <v/>
      </c>
      <c r="AM28" s="192">
        <f>ROUND($O28*Q28,0)</f>
        <v/>
      </c>
      <c r="AN28" s="192">
        <f>ROUND($O28*R28,0)</f>
        <v/>
      </c>
      <c r="AO28" s="192">
        <f>ROUND($O28*S28,0)</f>
        <v/>
      </c>
      <c r="AP28" s="192">
        <f>ROUND($O28*T28,0)</f>
        <v/>
      </c>
      <c r="AQ28" s="192">
        <f>ROUND($O28*U28,0)</f>
        <v/>
      </c>
      <c r="AR28" s="192">
        <f>ROUND($O28*V28,0)</f>
        <v/>
      </c>
      <c r="AS28" s="192">
        <f>ROUND($O28*W28,0)</f>
        <v/>
      </c>
      <c r="AT28" s="192">
        <f>ROUND($O28*X28,0)</f>
        <v/>
      </c>
      <c r="AU28" s="193">
        <f>ROUND($O28*Y28,0)</f>
        <v/>
      </c>
      <c r="AV28" s="193">
        <f>ROUND($O28*Z28,0)</f>
        <v/>
      </c>
      <c r="AW28" s="193">
        <f>ROUND($O28*AA28,0)</f>
        <v/>
      </c>
      <c r="AX28" s="193">
        <f>ROUND($O28*AB28,0)</f>
        <v/>
      </c>
      <c r="AY28" s="193">
        <f>ROUND($O28*AC28,0)</f>
        <v/>
      </c>
      <c r="AZ28" s="193">
        <f>ROUND($O28*AD28,0)</f>
        <v/>
      </c>
      <c r="BA28" s="193">
        <f>ROUND($O28*AE28,0)</f>
        <v/>
      </c>
      <c r="BB28" s="193">
        <f>ROUND($O28*AF28,0)</f>
        <v/>
      </c>
      <c r="BC28" s="306">
        <f>ROUND($O28*AG28,0)</f>
        <v/>
      </c>
      <c r="BD28" s="306">
        <f>ROUND($O28*AH28,0)</f>
        <v/>
      </c>
      <c r="BE28" s="306">
        <f>ROUND($O28*AI28,0)</f>
        <v/>
      </c>
      <c r="BF28" s="306">
        <f>ROUND($O28*AJ28,0)</f>
        <v/>
      </c>
      <c r="BG28" s="306">
        <f>ROUND($O28*AK28,0)</f>
        <v/>
      </c>
      <c r="BH28" s="236">
        <f>SUM(AL28:AT28)</f>
        <v/>
      </c>
      <c r="BI28" s="528">
        <f>BH28/160</f>
        <v/>
      </c>
      <c r="BJ28" s="87">
        <f>VLOOKUP(I28,Listy!$A$1:$H$9,6,FALSE)</f>
        <v/>
      </c>
      <c r="BK28" s="682">
        <f>BI28*BJ28</f>
        <v/>
      </c>
      <c r="BL28" s="683">
        <f>BI28*BK28</f>
        <v/>
      </c>
      <c r="BM28" s="528" t="n"/>
      <c r="BN28" s="528" t="n"/>
      <c r="BO28" s="528" t="n"/>
      <c r="BP28" s="528" t="n"/>
      <c r="BQ28" s="528" t="n"/>
      <c r="BR28" s="528" t="n"/>
      <c r="BS28" s="22">
        <f>BQ28*BR28</f>
        <v/>
      </c>
      <c r="BT28" s="528" t="n"/>
      <c r="BU28" s="528" t="n"/>
      <c r="BV28" s="314" t="n"/>
      <c r="BW28" s="528" t="n"/>
      <c r="BX28" s="528" t="n"/>
      <c r="BY28" s="314" t="n"/>
      <c r="BZ28" s="528" t="n"/>
      <c r="CA28" s="528" t="n"/>
      <c r="CB28" s="314" t="n"/>
      <c r="CC28" s="314" t="n"/>
      <c r="CD28" s="528" t="n"/>
      <c r="CE28" s="528" t="n"/>
      <c r="CF28" s="528" t="n"/>
      <c r="CG28" s="22">
        <f>CE28*CF28</f>
        <v/>
      </c>
      <c r="CH28" s="528" t="n"/>
      <c r="CI28" s="528" t="n"/>
      <c r="CJ28" s="528" t="n"/>
      <c r="CK28" s="22">
        <f>CI28*CJ28</f>
        <v/>
      </c>
      <c r="CL28" s="528" t="n"/>
      <c r="CM28" s="528" t="n"/>
      <c r="CN28" s="528" t="n"/>
      <c r="CO28" s="22">
        <f>CM28*CN28</f>
        <v/>
      </c>
    </row>
    <row r="29">
      <c r="A29" s="112" t="n">
        <v>1</v>
      </c>
      <c r="B29" s="64" t="inlineStr">
        <is>
          <t>e</t>
        </is>
      </c>
      <c r="C29" s="105" t="n">
        <v>1</v>
      </c>
      <c r="D29" s="116">
        <f>CONCATENATE(A$3,"_",A29,"_",B29,"_",C29)</f>
        <v/>
      </c>
      <c r="E29" s="122" t="inlineStr">
        <is>
          <t>Analiza wpływu zakłóceń dostępności infrastruktury technicznej</t>
        </is>
      </c>
      <c r="F29" s="528">
        <f>IFERROR(VLOOKUP($I29,Listy!$A:$H,2,FALSE),"XXX")</f>
        <v/>
      </c>
      <c r="G29" s="528">
        <f>IFERROR(VLOOKUP($I29,Listy!$A:$H,3,FALSE),"XXX")</f>
        <v/>
      </c>
      <c r="H29" s="20" t="n">
        <v>21</v>
      </c>
      <c r="I29" s="89" t="inlineStr">
        <is>
          <t>.a22</t>
        </is>
      </c>
      <c r="J29" s="91" t="inlineStr">
        <is>
          <t>.m01</t>
        </is>
      </c>
      <c r="K29" s="681">
        <f>VLOOKUP(J29,Listy!A:B,2,FALSE)</f>
        <v/>
      </c>
      <c r="L29" s="91" t="inlineStr">
        <is>
          <t>.m33</t>
        </is>
      </c>
      <c r="M29" s="681">
        <f>VLOOKUP(L29,Listy!A:B,2,FALSE)</f>
        <v/>
      </c>
      <c r="N29" s="528" t="n">
        <v>3</v>
      </c>
      <c r="O29" s="528">
        <f>N29*40</f>
        <v/>
      </c>
      <c r="P29" s="187" t="n"/>
      <c r="Q29" s="187" t="n"/>
      <c r="R29" s="187" t="n"/>
      <c r="S29" s="187" t="n"/>
      <c r="T29" s="187" t="n"/>
      <c r="U29" s="187" t="n"/>
      <c r="V29" s="187" t="n"/>
      <c r="W29" s="187" t="n"/>
      <c r="X29" s="187" t="n"/>
      <c r="Y29" s="292" t="n"/>
      <c r="Z29" s="292" t="n"/>
      <c r="AA29" s="292" t="n"/>
      <c r="AB29" s="292" t="n"/>
      <c r="AC29" s="292" t="n"/>
      <c r="AD29" s="292" t="n"/>
      <c r="AE29" s="292" t="n"/>
      <c r="AF29" s="292" t="n"/>
      <c r="AG29" s="305" t="n"/>
      <c r="AH29" s="305" t="n"/>
      <c r="AI29" s="305" t="n"/>
      <c r="AJ29" s="305" t="n"/>
      <c r="AK29" s="305" t="n"/>
      <c r="AL29" s="192">
        <f>ROUND($O29*P29,0)</f>
        <v/>
      </c>
      <c r="AM29" s="192">
        <f>ROUND($O29*Q29,0)</f>
        <v/>
      </c>
      <c r="AN29" s="192">
        <f>ROUND($O29*R29,0)</f>
        <v/>
      </c>
      <c r="AO29" s="192">
        <f>ROUND($O29*S29,0)</f>
        <v/>
      </c>
      <c r="AP29" s="192">
        <f>ROUND($O29*T29,0)</f>
        <v/>
      </c>
      <c r="AQ29" s="192">
        <f>ROUND($O29*U29,0)</f>
        <v/>
      </c>
      <c r="AR29" s="192">
        <f>ROUND($O29*V29,0)</f>
        <v/>
      </c>
      <c r="AS29" s="192">
        <f>ROUND($O29*W29,0)</f>
        <v/>
      </c>
      <c r="AT29" s="192">
        <f>ROUND($O29*X29,0)</f>
        <v/>
      </c>
      <c r="AU29" s="193">
        <f>ROUND($O29*Y29,0)</f>
        <v/>
      </c>
      <c r="AV29" s="193">
        <f>ROUND($O29*Z29,0)</f>
        <v/>
      </c>
      <c r="AW29" s="193">
        <f>ROUND($O29*AA29,0)</f>
        <v/>
      </c>
      <c r="AX29" s="193">
        <f>ROUND($O29*AB29,0)</f>
        <v/>
      </c>
      <c r="AY29" s="193">
        <f>ROUND($O29*AC29,0)</f>
        <v/>
      </c>
      <c r="AZ29" s="193">
        <f>ROUND($O29*AD29,0)</f>
        <v/>
      </c>
      <c r="BA29" s="193">
        <f>ROUND($O29*AE29,0)</f>
        <v/>
      </c>
      <c r="BB29" s="193">
        <f>ROUND($O29*AF29,0)</f>
        <v/>
      </c>
      <c r="BC29" s="306">
        <f>ROUND($O29*AG29,0)</f>
        <v/>
      </c>
      <c r="BD29" s="306">
        <f>ROUND($O29*AH29,0)</f>
        <v/>
      </c>
      <c r="BE29" s="306">
        <f>ROUND($O29*AI29,0)</f>
        <v/>
      </c>
      <c r="BF29" s="306">
        <f>ROUND($O29*AJ29,0)</f>
        <v/>
      </c>
      <c r="BG29" s="306">
        <f>ROUND($O29*AK29,0)</f>
        <v/>
      </c>
      <c r="BH29" s="236">
        <f>SUM(AL29:AT29)</f>
        <v/>
      </c>
      <c r="BI29" s="528">
        <f>BH29/160</f>
        <v/>
      </c>
      <c r="BJ29" s="87">
        <f>VLOOKUP(I29,Listy!$A$1:$H$9,6,FALSE)</f>
        <v/>
      </c>
      <c r="BK29" s="682">
        <f>BI29*BJ29</f>
        <v/>
      </c>
      <c r="BL29" s="683">
        <f>BI29*BK29</f>
        <v/>
      </c>
      <c r="BM29" s="528" t="n"/>
      <c r="BN29" s="528" t="n"/>
      <c r="BO29" s="528" t="n"/>
      <c r="BP29" s="528" t="n"/>
      <c r="BQ29" s="528" t="n"/>
      <c r="BR29" s="528" t="n"/>
      <c r="BS29" s="21">
        <f>BQ29*BR29</f>
        <v/>
      </c>
      <c r="BT29" s="528" t="n"/>
      <c r="BU29" s="528" t="n"/>
      <c r="BV29" s="528" t="n"/>
      <c r="BW29" s="528" t="n"/>
      <c r="BX29" s="528" t="n"/>
      <c r="BY29" s="528" t="n"/>
      <c r="BZ29" s="528" t="n"/>
      <c r="CA29" s="528" t="n"/>
      <c r="CB29" s="528" t="n"/>
      <c r="CC29" s="528" t="n"/>
      <c r="CD29" s="528" t="n"/>
      <c r="CE29" s="528" t="n"/>
      <c r="CF29" s="528" t="n"/>
      <c r="CG29" s="21">
        <f>CE29*CF29</f>
        <v/>
      </c>
      <c r="CH29" s="528" t="n"/>
      <c r="CI29" s="528" t="n"/>
      <c r="CJ29" s="528" t="n"/>
      <c r="CK29" s="21">
        <f>CI29*CJ29</f>
        <v/>
      </c>
      <c r="CL29" s="528" t="n"/>
      <c r="CM29" s="528" t="n"/>
      <c r="CN29" s="528" t="n"/>
      <c r="CO29" s="21">
        <f>CM29*CN29</f>
        <v/>
      </c>
    </row>
    <row r="30">
      <c r="A30" s="112" t="n">
        <v>1</v>
      </c>
      <c r="B30" s="64" t="inlineStr">
        <is>
          <t>f</t>
        </is>
      </c>
      <c r="C30" s="105" t="n">
        <v>1</v>
      </c>
      <c r="D30" s="116">
        <f>CONCATENATE(A$3,"_",A30,"_",B30,"_",C30)</f>
        <v/>
      </c>
      <c r="E30" s="122" t="inlineStr">
        <is>
          <t>Stworzenie mapy zidentyfikowanych algorytmów/etapów PT</t>
        </is>
      </c>
      <c r="F30" s="528">
        <f>IFERROR(VLOOKUP($I30,Listy!$A:$H,2,FALSE),"XXX")</f>
        <v/>
      </c>
      <c r="G30" s="528">
        <f>IFERROR(VLOOKUP($I30,Listy!$A:$H,3,FALSE),"XXX")</f>
        <v/>
      </c>
      <c r="H30" s="20" t="n">
        <v>22</v>
      </c>
      <c r="I30" s="89" t="inlineStr">
        <is>
          <t>.a23</t>
        </is>
      </c>
      <c r="J30" s="91" t="inlineStr">
        <is>
          <t>.m01</t>
        </is>
      </c>
      <c r="K30" s="681">
        <f>VLOOKUP(J30,Listy!A:B,2,FALSE)</f>
        <v/>
      </c>
      <c r="L30" s="91" t="inlineStr">
        <is>
          <t>.m34</t>
        </is>
      </c>
      <c r="M30" s="681">
        <f>VLOOKUP(L30,Listy!A:B,2,FALSE)</f>
        <v/>
      </c>
      <c r="N30" s="528" t="n">
        <v>3</v>
      </c>
      <c r="O30" s="528">
        <f>N30*40</f>
        <v/>
      </c>
      <c r="P30" s="187" t="n"/>
      <c r="Q30" s="187" t="n"/>
      <c r="R30" s="187" t="n"/>
      <c r="S30" s="187" t="n"/>
      <c r="T30" s="187" t="n"/>
      <c r="U30" s="187" t="n"/>
      <c r="V30" s="187" t="n"/>
      <c r="W30" s="187" t="n"/>
      <c r="X30" s="187" t="n"/>
      <c r="Y30" s="292" t="n"/>
      <c r="Z30" s="292" t="n"/>
      <c r="AA30" s="292" t="n"/>
      <c r="AB30" s="292" t="n"/>
      <c r="AC30" s="292" t="n"/>
      <c r="AD30" s="292" t="n"/>
      <c r="AE30" s="292" t="n"/>
      <c r="AF30" s="292" t="n"/>
      <c r="AG30" s="305" t="n"/>
      <c r="AH30" s="305" t="n"/>
      <c r="AI30" s="305" t="n"/>
      <c r="AJ30" s="305" t="n"/>
      <c r="AK30" s="305" t="n"/>
      <c r="AL30" s="192">
        <f>ROUND($O30*P30,0)</f>
        <v/>
      </c>
      <c r="AM30" s="192">
        <f>ROUND($O30*Q30,0)</f>
        <v/>
      </c>
      <c r="AN30" s="192">
        <f>ROUND($O30*R30,0)</f>
        <v/>
      </c>
      <c r="AO30" s="192">
        <f>ROUND($O30*S30,0)</f>
        <v/>
      </c>
      <c r="AP30" s="192">
        <f>ROUND($O30*T30,0)</f>
        <v/>
      </c>
      <c r="AQ30" s="192">
        <f>ROUND($O30*U30,0)</f>
        <v/>
      </c>
      <c r="AR30" s="192">
        <f>ROUND($O30*V30,0)</f>
        <v/>
      </c>
      <c r="AS30" s="192">
        <f>ROUND($O30*W30,0)</f>
        <v/>
      </c>
      <c r="AT30" s="192">
        <f>ROUND($O30*X30,0)</f>
        <v/>
      </c>
      <c r="AU30" s="193">
        <f>ROUND($O30*Y30,0)</f>
        <v/>
      </c>
      <c r="AV30" s="193">
        <f>ROUND($O30*Z30,0)</f>
        <v/>
      </c>
      <c r="AW30" s="193">
        <f>ROUND($O30*AA30,0)</f>
        <v/>
      </c>
      <c r="AX30" s="193">
        <f>ROUND($O30*AB30,0)</f>
        <v/>
      </c>
      <c r="AY30" s="193">
        <f>ROUND($O30*AC30,0)</f>
        <v/>
      </c>
      <c r="AZ30" s="193">
        <f>ROUND($O30*AD30,0)</f>
        <v/>
      </c>
      <c r="BA30" s="193">
        <f>ROUND($O30*AE30,0)</f>
        <v/>
      </c>
      <c r="BB30" s="193">
        <f>ROUND($O30*AF30,0)</f>
        <v/>
      </c>
      <c r="BC30" s="306">
        <f>ROUND($O30*AG30,0)</f>
        <v/>
      </c>
      <c r="BD30" s="306">
        <f>ROUND($O30*AH30,0)</f>
        <v/>
      </c>
      <c r="BE30" s="306">
        <f>ROUND($O30*AI30,0)</f>
        <v/>
      </c>
      <c r="BF30" s="306">
        <f>ROUND($O30*AJ30,0)</f>
        <v/>
      </c>
      <c r="BG30" s="306">
        <f>ROUND($O30*AK30,0)</f>
        <v/>
      </c>
      <c r="BH30" s="236">
        <f>SUM(AL30:AT30)</f>
        <v/>
      </c>
      <c r="BI30" s="528">
        <f>BH30/160</f>
        <v/>
      </c>
      <c r="BJ30" s="87">
        <f>VLOOKUP(I30,Listy!$A$1:$H$9,6,FALSE)</f>
        <v/>
      </c>
      <c r="BK30" s="682">
        <f>BI30*BJ30</f>
        <v/>
      </c>
      <c r="BL30" s="683">
        <f>BI30*BK30</f>
        <v/>
      </c>
      <c r="BM30" s="528" t="n"/>
      <c r="BN30" s="528" t="n"/>
      <c r="BO30" s="528" t="n"/>
      <c r="BP30" s="528" t="n"/>
      <c r="BQ30" s="528" t="n"/>
      <c r="BR30" s="528" t="n"/>
      <c r="BS30" s="22">
        <f>BQ30*BR30</f>
        <v/>
      </c>
      <c r="BT30" s="528" t="n"/>
      <c r="BU30" s="528" t="n"/>
      <c r="BV30" s="314" t="n"/>
      <c r="BW30" s="528" t="n"/>
      <c r="BX30" s="528" t="n"/>
      <c r="BY30" s="314" t="n"/>
      <c r="BZ30" s="528" t="n"/>
      <c r="CA30" s="528" t="n"/>
      <c r="CB30" s="314" t="n"/>
      <c r="CC30" s="314" t="n"/>
      <c r="CD30" s="528" t="n"/>
      <c r="CE30" s="528" t="n"/>
      <c r="CF30" s="528" t="n"/>
      <c r="CG30" s="22">
        <f>CE30*CF30</f>
        <v/>
      </c>
      <c r="CH30" s="528" t="n"/>
      <c r="CI30" s="528" t="n"/>
      <c r="CJ30" s="528" t="n"/>
      <c r="CK30" s="22">
        <f>CI30*CJ30</f>
        <v/>
      </c>
      <c r="CL30" s="528" t="n"/>
      <c r="CM30" s="528" t="n"/>
      <c r="CN30" s="528" t="n"/>
      <c r="CO30" s="22">
        <f>CM30*CN30</f>
        <v/>
      </c>
    </row>
    <row r="31">
      <c r="A31" s="112" t="n">
        <v>1</v>
      </c>
      <c r="B31" s="64" t="inlineStr">
        <is>
          <t>e</t>
        </is>
      </c>
      <c r="C31" s="105" t="n">
        <v>1</v>
      </c>
      <c r="D31" s="116">
        <f>CONCATENATE(A$3,"_",A31,"_",B31,"_",C31)</f>
        <v/>
      </c>
      <c r="E31" s="122" t="inlineStr">
        <is>
          <t>Analiza wpływu zakłóceń dostępności infrastruktury technicznej</t>
        </is>
      </c>
      <c r="F31" s="528">
        <f>IFERROR(VLOOKUP($I31,Listy!$A:$H,2,FALSE),"XXX")</f>
        <v/>
      </c>
      <c r="G31" s="528">
        <f>IFERROR(VLOOKUP($I31,Listy!$A:$H,3,FALSE),"XXX")</f>
        <v/>
      </c>
      <c r="H31" s="20" t="n">
        <v>23</v>
      </c>
      <c r="I31" s="89" t="inlineStr">
        <is>
          <t>.a24</t>
        </is>
      </c>
      <c r="J31" s="91" t="inlineStr">
        <is>
          <t>.m01</t>
        </is>
      </c>
      <c r="K31" s="681">
        <f>VLOOKUP(J31,Listy!A:B,2,FALSE)</f>
        <v/>
      </c>
      <c r="L31" s="91" t="inlineStr">
        <is>
          <t>.m35</t>
        </is>
      </c>
      <c r="M31" s="681">
        <f>VLOOKUP(L31,Listy!A:B,2,FALSE)</f>
        <v/>
      </c>
      <c r="N31" s="528" t="n">
        <v>3</v>
      </c>
      <c r="O31" s="528">
        <f>N31*40</f>
        <v/>
      </c>
      <c r="P31" s="187" t="n"/>
      <c r="Q31" s="187" t="n"/>
      <c r="R31" s="187" t="n"/>
      <c r="S31" s="187" t="n"/>
      <c r="T31" s="187" t="n"/>
      <c r="U31" s="187" t="n"/>
      <c r="V31" s="187" t="n"/>
      <c r="W31" s="187" t="n"/>
      <c r="X31" s="187" t="n"/>
      <c r="Y31" s="292" t="n"/>
      <c r="Z31" s="292" t="n"/>
      <c r="AA31" s="292" t="n"/>
      <c r="AB31" s="292" t="n"/>
      <c r="AC31" s="292" t="n"/>
      <c r="AD31" s="292" t="n"/>
      <c r="AE31" s="292" t="n"/>
      <c r="AF31" s="292" t="n"/>
      <c r="AG31" s="305" t="n"/>
      <c r="AH31" s="305" t="n"/>
      <c r="AI31" s="305" t="n"/>
      <c r="AJ31" s="305" t="n"/>
      <c r="AK31" s="305" t="n"/>
      <c r="AL31" s="192">
        <f>ROUND($O31*P31,0)</f>
        <v/>
      </c>
      <c r="AM31" s="192">
        <f>ROUND($O31*Q31,0)</f>
        <v/>
      </c>
      <c r="AN31" s="192">
        <f>ROUND($O31*R31,0)</f>
        <v/>
      </c>
      <c r="AO31" s="192">
        <f>ROUND($O31*S31,0)</f>
        <v/>
      </c>
      <c r="AP31" s="192">
        <f>ROUND($O31*T31,0)</f>
        <v/>
      </c>
      <c r="AQ31" s="192">
        <f>ROUND($O31*U31,0)</f>
        <v/>
      </c>
      <c r="AR31" s="192">
        <f>ROUND($O31*V31,0)</f>
        <v/>
      </c>
      <c r="AS31" s="192">
        <f>ROUND($O31*W31,0)</f>
        <v/>
      </c>
      <c r="AT31" s="192">
        <f>ROUND($O31*X31,0)</f>
        <v/>
      </c>
      <c r="AU31" s="193">
        <f>ROUND($O31*Y31,0)</f>
        <v/>
      </c>
      <c r="AV31" s="193">
        <f>ROUND($O31*Z31,0)</f>
        <v/>
      </c>
      <c r="AW31" s="193">
        <f>ROUND($O31*AA31,0)</f>
        <v/>
      </c>
      <c r="AX31" s="193">
        <f>ROUND($O31*AB31,0)</f>
        <v/>
      </c>
      <c r="AY31" s="193">
        <f>ROUND($O31*AC31,0)</f>
        <v/>
      </c>
      <c r="AZ31" s="193">
        <f>ROUND($O31*AD31,0)</f>
        <v/>
      </c>
      <c r="BA31" s="193">
        <f>ROUND($O31*AE31,0)</f>
        <v/>
      </c>
      <c r="BB31" s="193">
        <f>ROUND($O31*AF31,0)</f>
        <v/>
      </c>
      <c r="BC31" s="306">
        <f>ROUND($O31*AG31,0)</f>
        <v/>
      </c>
      <c r="BD31" s="306">
        <f>ROUND($O31*AH31,0)</f>
        <v/>
      </c>
      <c r="BE31" s="306">
        <f>ROUND($O31*AI31,0)</f>
        <v/>
      </c>
      <c r="BF31" s="306">
        <f>ROUND($O31*AJ31,0)</f>
        <v/>
      </c>
      <c r="BG31" s="306">
        <f>ROUND($O31*AK31,0)</f>
        <v/>
      </c>
      <c r="BH31" s="236">
        <f>SUM(AL31:AT31)</f>
        <v/>
      </c>
      <c r="BI31" s="528">
        <f>BH31/160</f>
        <v/>
      </c>
      <c r="BJ31" s="87">
        <f>VLOOKUP(I31,Listy!$A$1:$H$9,6,FALSE)</f>
        <v/>
      </c>
      <c r="BK31" s="682">
        <f>BI31*BJ31</f>
        <v/>
      </c>
      <c r="BL31" s="683">
        <f>BI31*BK31</f>
        <v/>
      </c>
      <c r="BM31" s="528" t="n"/>
      <c r="BN31" s="528" t="n"/>
      <c r="BO31" s="528" t="n"/>
      <c r="BP31" s="528" t="n"/>
      <c r="BQ31" s="528" t="n"/>
      <c r="BR31" s="528" t="n"/>
      <c r="BS31" s="21">
        <f>BQ31*BR31</f>
        <v/>
      </c>
      <c r="BT31" s="528" t="n"/>
      <c r="BU31" s="528" t="n"/>
      <c r="BV31" s="528" t="n"/>
      <c r="BW31" s="528" t="n"/>
      <c r="BX31" s="528" t="n"/>
      <c r="BY31" s="528" t="n"/>
      <c r="BZ31" s="528" t="n"/>
      <c r="CA31" s="528" t="n"/>
      <c r="CB31" s="528" t="n"/>
      <c r="CC31" s="528" t="n"/>
      <c r="CD31" s="528" t="n"/>
      <c r="CE31" s="528" t="n"/>
      <c r="CF31" s="528" t="n"/>
      <c r="CG31" s="21">
        <f>CE31*CF31</f>
        <v/>
      </c>
      <c r="CH31" s="528" t="n"/>
      <c r="CI31" s="528" t="n"/>
      <c r="CJ31" s="528" t="n"/>
      <c r="CK31" s="21">
        <f>CI31*CJ31</f>
        <v/>
      </c>
      <c r="CL31" s="528" t="n"/>
      <c r="CM31" s="528" t="n"/>
      <c r="CN31" s="528" t="n"/>
      <c r="CO31" s="21">
        <f>CM31*CN31</f>
        <v/>
      </c>
    </row>
    <row r="32">
      <c r="A32" s="112" t="n">
        <v>1</v>
      </c>
      <c r="B32" s="64" t="inlineStr">
        <is>
          <t>f</t>
        </is>
      </c>
      <c r="C32" s="105" t="n">
        <v>1</v>
      </c>
      <c r="D32" s="116">
        <f>CONCATENATE(A$3,"_",A32,"_",B32,"_",C32)</f>
        <v/>
      </c>
      <c r="E32" s="122" t="inlineStr">
        <is>
          <t>Stworzenie mapy zidentyfikowanych algorytmów/etapów PT</t>
        </is>
      </c>
      <c r="F32" s="528">
        <f>IFERROR(VLOOKUP($I32,Listy!$A:$H,2,FALSE),"XXX")</f>
        <v/>
      </c>
      <c r="G32" s="528">
        <f>IFERROR(VLOOKUP($I32,Listy!$A:$H,3,FALSE),"XXX")</f>
        <v/>
      </c>
      <c r="H32" s="20" t="n">
        <v>24</v>
      </c>
      <c r="I32" s="89" t="inlineStr">
        <is>
          <t>.a25</t>
        </is>
      </c>
      <c r="J32" s="91" t="inlineStr">
        <is>
          <t>.m01</t>
        </is>
      </c>
      <c r="K32" s="681">
        <f>VLOOKUP(J32,Listy!A:B,2,FALSE)</f>
        <v/>
      </c>
      <c r="L32" s="91" t="inlineStr">
        <is>
          <t>.m36</t>
        </is>
      </c>
      <c r="M32" s="681">
        <f>VLOOKUP(L32,Listy!A:B,2,FALSE)</f>
        <v/>
      </c>
      <c r="N32" s="528" t="n">
        <v>3</v>
      </c>
      <c r="O32" s="528">
        <f>N32*40</f>
        <v/>
      </c>
      <c r="P32" s="187" t="n"/>
      <c r="Q32" s="187" t="n"/>
      <c r="R32" s="187" t="n"/>
      <c r="S32" s="187" t="n"/>
      <c r="T32" s="187" t="n"/>
      <c r="U32" s="187" t="n"/>
      <c r="V32" s="187" t="n"/>
      <c r="W32" s="187" t="n"/>
      <c r="X32" s="187" t="n"/>
      <c r="Y32" s="292" t="n"/>
      <c r="Z32" s="292" t="n"/>
      <c r="AA32" s="292" t="n"/>
      <c r="AB32" s="292" t="n"/>
      <c r="AC32" s="292" t="n"/>
      <c r="AD32" s="292" t="n"/>
      <c r="AE32" s="292" t="n"/>
      <c r="AF32" s="292" t="n"/>
      <c r="AG32" s="305" t="n"/>
      <c r="AH32" s="305" t="n"/>
      <c r="AI32" s="305" t="n"/>
      <c r="AJ32" s="305" t="n"/>
      <c r="AK32" s="305" t="n"/>
      <c r="AL32" s="192">
        <f>ROUND($O32*P32,0)</f>
        <v/>
      </c>
      <c r="AM32" s="192">
        <f>ROUND($O32*Q32,0)</f>
        <v/>
      </c>
      <c r="AN32" s="192">
        <f>ROUND($O32*R32,0)</f>
        <v/>
      </c>
      <c r="AO32" s="192">
        <f>ROUND($O32*S32,0)</f>
        <v/>
      </c>
      <c r="AP32" s="192">
        <f>ROUND($O32*T32,0)</f>
        <v/>
      </c>
      <c r="AQ32" s="192">
        <f>ROUND($O32*U32,0)</f>
        <v/>
      </c>
      <c r="AR32" s="192">
        <f>ROUND($O32*V32,0)</f>
        <v/>
      </c>
      <c r="AS32" s="192">
        <f>ROUND($O32*W32,0)</f>
        <v/>
      </c>
      <c r="AT32" s="192">
        <f>ROUND($O32*X32,0)</f>
        <v/>
      </c>
      <c r="AU32" s="193">
        <f>ROUND($O32*Y32,0)</f>
        <v/>
      </c>
      <c r="AV32" s="193">
        <f>ROUND($O32*Z32,0)</f>
        <v/>
      </c>
      <c r="AW32" s="193">
        <f>ROUND($O32*AA32,0)</f>
        <v/>
      </c>
      <c r="AX32" s="193">
        <f>ROUND($O32*AB32,0)</f>
        <v/>
      </c>
      <c r="AY32" s="193">
        <f>ROUND($O32*AC32,0)</f>
        <v/>
      </c>
      <c r="AZ32" s="193">
        <f>ROUND($O32*AD32,0)</f>
        <v/>
      </c>
      <c r="BA32" s="193">
        <f>ROUND($O32*AE32,0)</f>
        <v/>
      </c>
      <c r="BB32" s="193">
        <f>ROUND($O32*AF32,0)</f>
        <v/>
      </c>
      <c r="BC32" s="306">
        <f>ROUND($O32*AG32,0)</f>
        <v/>
      </c>
      <c r="BD32" s="306">
        <f>ROUND($O32*AH32,0)</f>
        <v/>
      </c>
      <c r="BE32" s="306">
        <f>ROUND($O32*AI32,0)</f>
        <v/>
      </c>
      <c r="BF32" s="306">
        <f>ROUND($O32*AJ32,0)</f>
        <v/>
      </c>
      <c r="BG32" s="306">
        <f>ROUND($O32*AK32,0)</f>
        <v/>
      </c>
      <c r="BH32" s="236">
        <f>SUM(AL32:AT32)</f>
        <v/>
      </c>
      <c r="BI32" s="528">
        <f>BH32/160</f>
        <v/>
      </c>
      <c r="BJ32" s="87">
        <f>VLOOKUP(I32,Listy!$A$1:$H$9,6,FALSE)</f>
        <v/>
      </c>
      <c r="BK32" s="682">
        <f>BI32*BJ32</f>
        <v/>
      </c>
      <c r="BL32" s="683">
        <f>BI32*BK32</f>
        <v/>
      </c>
      <c r="BM32" s="528" t="n"/>
      <c r="BN32" s="528" t="n"/>
      <c r="BO32" s="528" t="n"/>
      <c r="BP32" s="528" t="n"/>
      <c r="BQ32" s="528" t="n"/>
      <c r="BR32" s="528" t="n"/>
      <c r="BS32" s="22">
        <f>BQ32*BR32</f>
        <v/>
      </c>
      <c r="BT32" s="528" t="n"/>
      <c r="BU32" s="528" t="n"/>
      <c r="BV32" s="314" t="n"/>
      <c r="BW32" s="528" t="n"/>
      <c r="BX32" s="528" t="n"/>
      <c r="BY32" s="314" t="n"/>
      <c r="BZ32" s="528" t="n"/>
      <c r="CA32" s="528" t="n"/>
      <c r="CB32" s="314" t="n"/>
      <c r="CC32" s="314" t="n"/>
      <c r="CD32" s="528" t="n"/>
      <c r="CE32" s="528" t="n"/>
      <c r="CF32" s="528" t="n"/>
      <c r="CG32" s="22">
        <f>CE32*CF32</f>
        <v/>
      </c>
      <c r="CH32" s="528" t="n"/>
      <c r="CI32" s="528" t="n"/>
      <c r="CJ32" s="528" t="n"/>
      <c r="CK32" s="22">
        <f>CI32*CJ32</f>
        <v/>
      </c>
      <c r="CL32" s="528" t="n"/>
      <c r="CM32" s="528" t="n"/>
      <c r="CN32" s="528" t="n"/>
      <c r="CO32" s="22">
        <f>CM32*CN32</f>
        <v/>
      </c>
    </row>
    <row r="33">
      <c r="A33" s="112" t="n">
        <v>1</v>
      </c>
      <c r="B33" s="64" t="inlineStr">
        <is>
          <t>e</t>
        </is>
      </c>
      <c r="C33" s="105" t="n">
        <v>1</v>
      </c>
      <c r="D33" s="116">
        <f>CONCATENATE(A$3,"_",A33,"_",B33,"_",C33)</f>
        <v/>
      </c>
      <c r="E33" s="122" t="inlineStr">
        <is>
          <t>Analiza wpływu zakłóceń dostępności infrastruktury technicznej</t>
        </is>
      </c>
      <c r="F33" s="528">
        <f>IFERROR(VLOOKUP($I33,Listy!$A:$H,2,FALSE),"XXX")</f>
        <v/>
      </c>
      <c r="G33" s="528">
        <f>IFERROR(VLOOKUP($I33,Listy!$A:$H,3,FALSE),"XXX")</f>
        <v/>
      </c>
      <c r="H33" s="20" t="n">
        <v>25</v>
      </c>
      <c r="I33" s="89" t="inlineStr">
        <is>
          <t>.a26</t>
        </is>
      </c>
      <c r="J33" s="91" t="inlineStr">
        <is>
          <t>.m01</t>
        </is>
      </c>
      <c r="K33" s="681">
        <f>VLOOKUP(J33,Listy!A:B,2,FALSE)</f>
        <v/>
      </c>
      <c r="L33" s="91" t="inlineStr">
        <is>
          <t>.m37</t>
        </is>
      </c>
      <c r="M33" s="681">
        <f>VLOOKUP(L33,Listy!A:B,2,FALSE)</f>
        <v/>
      </c>
      <c r="N33" s="528" t="n">
        <v>3</v>
      </c>
      <c r="O33" s="528">
        <f>N33*40</f>
        <v/>
      </c>
      <c r="P33" s="187" t="n"/>
      <c r="Q33" s="187" t="n"/>
      <c r="R33" s="187" t="n"/>
      <c r="S33" s="187" t="n"/>
      <c r="T33" s="187" t="n"/>
      <c r="U33" s="187" t="n"/>
      <c r="V33" s="187" t="n"/>
      <c r="W33" s="187" t="n"/>
      <c r="X33" s="187" t="n"/>
      <c r="Y33" s="292" t="n"/>
      <c r="Z33" s="292" t="n"/>
      <c r="AA33" s="292" t="n"/>
      <c r="AB33" s="292" t="n"/>
      <c r="AC33" s="292" t="n"/>
      <c r="AD33" s="292" t="n"/>
      <c r="AE33" s="292" t="n"/>
      <c r="AF33" s="292" t="n"/>
      <c r="AG33" s="305" t="n"/>
      <c r="AH33" s="305" t="n"/>
      <c r="AI33" s="305" t="n"/>
      <c r="AJ33" s="305" t="n"/>
      <c r="AK33" s="305" t="n"/>
      <c r="AL33" s="192">
        <f>ROUND($O33*P33,0)</f>
        <v/>
      </c>
      <c r="AM33" s="192">
        <f>ROUND($O33*Q33,0)</f>
        <v/>
      </c>
      <c r="AN33" s="192">
        <f>ROUND($O33*R33,0)</f>
        <v/>
      </c>
      <c r="AO33" s="192">
        <f>ROUND($O33*S33,0)</f>
        <v/>
      </c>
      <c r="AP33" s="192">
        <f>ROUND($O33*T33,0)</f>
        <v/>
      </c>
      <c r="AQ33" s="192">
        <f>ROUND($O33*U33,0)</f>
        <v/>
      </c>
      <c r="AR33" s="192">
        <f>ROUND($O33*V33,0)</f>
        <v/>
      </c>
      <c r="AS33" s="192">
        <f>ROUND($O33*W33,0)</f>
        <v/>
      </c>
      <c r="AT33" s="192">
        <f>ROUND($O33*X33,0)</f>
        <v/>
      </c>
      <c r="AU33" s="193">
        <f>ROUND($O33*Y33,0)</f>
        <v/>
      </c>
      <c r="AV33" s="193">
        <f>ROUND($O33*Z33,0)</f>
        <v/>
      </c>
      <c r="AW33" s="193">
        <f>ROUND($O33*AA33,0)</f>
        <v/>
      </c>
      <c r="AX33" s="193">
        <f>ROUND($O33*AB33,0)</f>
        <v/>
      </c>
      <c r="AY33" s="193">
        <f>ROUND($O33*AC33,0)</f>
        <v/>
      </c>
      <c r="AZ33" s="193">
        <f>ROUND($O33*AD33,0)</f>
        <v/>
      </c>
      <c r="BA33" s="193">
        <f>ROUND($O33*AE33,0)</f>
        <v/>
      </c>
      <c r="BB33" s="193">
        <f>ROUND($O33*AF33,0)</f>
        <v/>
      </c>
      <c r="BC33" s="306">
        <f>ROUND($O33*AG33,0)</f>
        <v/>
      </c>
      <c r="BD33" s="306">
        <f>ROUND($O33*AH33,0)</f>
        <v/>
      </c>
      <c r="BE33" s="306">
        <f>ROUND($O33*AI33,0)</f>
        <v/>
      </c>
      <c r="BF33" s="306">
        <f>ROUND($O33*AJ33,0)</f>
        <v/>
      </c>
      <c r="BG33" s="306">
        <f>ROUND($O33*AK33,0)</f>
        <v/>
      </c>
      <c r="BH33" s="236">
        <f>SUM(AL33:AT33)</f>
        <v/>
      </c>
      <c r="BI33" s="528">
        <f>BH33/160</f>
        <v/>
      </c>
      <c r="BJ33" s="87">
        <f>VLOOKUP(I33,Listy!$A$1:$H$9,6,FALSE)</f>
        <v/>
      </c>
      <c r="BK33" s="682">
        <f>BI33*BJ33</f>
        <v/>
      </c>
      <c r="BL33" s="683">
        <f>BI33*BK33</f>
        <v/>
      </c>
      <c r="BM33" s="528" t="n"/>
      <c r="BN33" s="528" t="n"/>
      <c r="BO33" s="528" t="n"/>
      <c r="BP33" s="528" t="n"/>
      <c r="BQ33" s="528" t="n"/>
      <c r="BR33" s="528" t="n"/>
      <c r="BS33" s="21">
        <f>BQ33*BR33</f>
        <v/>
      </c>
      <c r="BT33" s="528" t="n"/>
      <c r="BU33" s="528" t="n"/>
      <c r="BV33" s="528" t="n"/>
      <c r="BW33" s="528" t="n"/>
      <c r="BX33" s="528" t="n"/>
      <c r="BY33" s="528" t="n"/>
      <c r="BZ33" s="528" t="n"/>
      <c r="CA33" s="528" t="n"/>
      <c r="CB33" s="528" t="n"/>
      <c r="CC33" s="528" t="n"/>
      <c r="CD33" s="528" t="n"/>
      <c r="CE33" s="528" t="n"/>
      <c r="CF33" s="528" t="n"/>
      <c r="CG33" s="21">
        <f>CE33*CF33</f>
        <v/>
      </c>
      <c r="CH33" s="528" t="n"/>
      <c r="CI33" s="528" t="n"/>
      <c r="CJ33" s="528" t="n"/>
      <c r="CK33" s="21">
        <f>CI33*CJ33</f>
        <v/>
      </c>
      <c r="CL33" s="528" t="n"/>
      <c r="CM33" s="528" t="n"/>
      <c r="CN33" s="528" t="n"/>
      <c r="CO33" s="21">
        <f>CM33*CN33</f>
        <v/>
      </c>
    </row>
    <row r="34">
      <c r="A34" s="112" t="n">
        <v>1</v>
      </c>
      <c r="B34" s="64" t="inlineStr">
        <is>
          <t>f</t>
        </is>
      </c>
      <c r="C34" s="105" t="n">
        <v>1</v>
      </c>
      <c r="D34" s="116">
        <f>CONCATENATE(A$3,"_",A34,"_",B34,"_",C34)</f>
        <v/>
      </c>
      <c r="E34" s="122" t="inlineStr">
        <is>
          <t>Stworzenie mapy zidentyfikowanych algorytmów/etapów PT</t>
        </is>
      </c>
      <c r="F34" s="528">
        <f>IFERROR(VLOOKUP($I34,Listy!$A:$H,2,FALSE),"XXX")</f>
        <v/>
      </c>
      <c r="G34" s="528">
        <f>IFERROR(VLOOKUP($I34,Listy!$A:$H,3,FALSE),"XXX")</f>
        <v/>
      </c>
      <c r="H34" s="20" t="n">
        <v>26</v>
      </c>
      <c r="I34" s="89" t="inlineStr">
        <is>
          <t>.a27</t>
        </is>
      </c>
      <c r="J34" s="91" t="inlineStr">
        <is>
          <t>.m01</t>
        </is>
      </c>
      <c r="K34" s="681">
        <f>VLOOKUP(J34,Listy!A:B,2,FALSE)</f>
        <v/>
      </c>
      <c r="L34" s="91" t="inlineStr">
        <is>
          <t>.m38</t>
        </is>
      </c>
      <c r="M34" s="681">
        <f>VLOOKUP(L34,Listy!A:B,2,FALSE)</f>
        <v/>
      </c>
      <c r="N34" s="528" t="n">
        <v>3</v>
      </c>
      <c r="O34" s="528">
        <f>N34*40</f>
        <v/>
      </c>
      <c r="P34" s="187" t="n"/>
      <c r="Q34" s="187" t="n"/>
      <c r="R34" s="187" t="n"/>
      <c r="S34" s="187" t="n"/>
      <c r="T34" s="187" t="n"/>
      <c r="U34" s="187" t="n"/>
      <c r="V34" s="187" t="n"/>
      <c r="W34" s="187" t="n"/>
      <c r="X34" s="187" t="n"/>
      <c r="Y34" s="292" t="n"/>
      <c r="Z34" s="292" t="n"/>
      <c r="AA34" s="292" t="n"/>
      <c r="AB34" s="292" t="n"/>
      <c r="AC34" s="292" t="n"/>
      <c r="AD34" s="292" t="n"/>
      <c r="AE34" s="292" t="n"/>
      <c r="AF34" s="292" t="n"/>
      <c r="AG34" s="305" t="n"/>
      <c r="AH34" s="305" t="n"/>
      <c r="AI34" s="305" t="n"/>
      <c r="AJ34" s="305" t="n"/>
      <c r="AK34" s="305" t="n"/>
      <c r="AL34" s="192">
        <f>ROUND($O34*P34,0)</f>
        <v/>
      </c>
      <c r="AM34" s="192">
        <f>ROUND($O34*Q34,0)</f>
        <v/>
      </c>
      <c r="AN34" s="192">
        <f>ROUND($O34*R34,0)</f>
        <v/>
      </c>
      <c r="AO34" s="192">
        <f>ROUND($O34*S34,0)</f>
        <v/>
      </c>
      <c r="AP34" s="192">
        <f>ROUND($O34*T34,0)</f>
        <v/>
      </c>
      <c r="AQ34" s="192">
        <f>ROUND($O34*U34,0)</f>
        <v/>
      </c>
      <c r="AR34" s="192">
        <f>ROUND($O34*V34,0)</f>
        <v/>
      </c>
      <c r="AS34" s="192">
        <f>ROUND($O34*W34,0)</f>
        <v/>
      </c>
      <c r="AT34" s="192">
        <f>ROUND($O34*X34,0)</f>
        <v/>
      </c>
      <c r="AU34" s="193">
        <f>ROUND($O34*Y34,0)</f>
        <v/>
      </c>
      <c r="AV34" s="193">
        <f>ROUND($O34*Z34,0)</f>
        <v/>
      </c>
      <c r="AW34" s="193">
        <f>ROUND($O34*AA34,0)</f>
        <v/>
      </c>
      <c r="AX34" s="193">
        <f>ROUND($O34*AB34,0)</f>
        <v/>
      </c>
      <c r="AY34" s="193">
        <f>ROUND($O34*AC34,0)</f>
        <v/>
      </c>
      <c r="AZ34" s="193">
        <f>ROUND($O34*AD34,0)</f>
        <v/>
      </c>
      <c r="BA34" s="193">
        <f>ROUND($O34*AE34,0)</f>
        <v/>
      </c>
      <c r="BB34" s="193">
        <f>ROUND($O34*AF34,0)</f>
        <v/>
      </c>
      <c r="BC34" s="306">
        <f>ROUND($O34*AG34,0)</f>
        <v/>
      </c>
      <c r="BD34" s="306">
        <f>ROUND($O34*AH34,0)</f>
        <v/>
      </c>
      <c r="BE34" s="306">
        <f>ROUND($O34*AI34,0)</f>
        <v/>
      </c>
      <c r="BF34" s="306">
        <f>ROUND($O34*AJ34,0)</f>
        <v/>
      </c>
      <c r="BG34" s="306">
        <f>ROUND($O34*AK34,0)</f>
        <v/>
      </c>
      <c r="BH34" s="236">
        <f>SUM(AL34:AT34)</f>
        <v/>
      </c>
      <c r="BI34" s="528">
        <f>BH34/160</f>
        <v/>
      </c>
      <c r="BJ34" s="87">
        <f>VLOOKUP(I34,Listy!$A$1:$H$9,6,FALSE)</f>
        <v/>
      </c>
      <c r="BK34" s="682">
        <f>BI34*BJ34</f>
        <v/>
      </c>
      <c r="BL34" s="683">
        <f>BI34*BK34</f>
        <v/>
      </c>
      <c r="BM34" s="528" t="n"/>
      <c r="BN34" s="528" t="n"/>
      <c r="BO34" s="528" t="n"/>
      <c r="BP34" s="528" t="n"/>
      <c r="BQ34" s="528" t="n"/>
      <c r="BR34" s="528" t="n"/>
      <c r="BS34" s="22">
        <f>BQ34*BR34</f>
        <v/>
      </c>
      <c r="BT34" s="528" t="n"/>
      <c r="BU34" s="528" t="n"/>
      <c r="BV34" s="314" t="n"/>
      <c r="BW34" s="528" t="n"/>
      <c r="BX34" s="528" t="n"/>
      <c r="BY34" s="314" t="n"/>
      <c r="BZ34" s="528" t="n"/>
      <c r="CA34" s="528" t="n"/>
      <c r="CB34" s="314" t="n"/>
      <c r="CC34" s="314" t="n"/>
      <c r="CD34" s="528" t="n"/>
      <c r="CE34" s="528" t="n"/>
      <c r="CF34" s="528" t="n"/>
      <c r="CG34" s="22">
        <f>CE34*CF34</f>
        <v/>
      </c>
      <c r="CH34" s="528" t="n"/>
      <c r="CI34" s="528" t="n"/>
      <c r="CJ34" s="528" t="n"/>
      <c r="CK34" s="22">
        <f>CI34*CJ34</f>
        <v/>
      </c>
      <c r="CL34" s="528" t="n"/>
      <c r="CM34" s="528" t="n"/>
      <c r="CN34" s="528" t="n"/>
      <c r="CO34" s="22">
        <f>CM34*CN34</f>
        <v/>
      </c>
    </row>
    <row r="35">
      <c r="A35" s="112" t="n">
        <v>1</v>
      </c>
      <c r="B35" s="64" t="inlineStr">
        <is>
          <t>e</t>
        </is>
      </c>
      <c r="C35" s="105" t="n">
        <v>1</v>
      </c>
      <c r="D35" s="116">
        <f>CONCATENATE(A$3,"_",A35,"_",B35,"_",C35)</f>
        <v/>
      </c>
      <c r="E35" s="122" t="inlineStr">
        <is>
          <t>Analiza wpływu zakłóceń dostępności infrastruktury technicznej</t>
        </is>
      </c>
      <c r="F35" s="528">
        <f>IFERROR(VLOOKUP($I35,Listy!$A:$H,2,FALSE),"XXX")</f>
        <v/>
      </c>
      <c r="G35" s="528">
        <f>IFERROR(VLOOKUP($I35,Listy!$A:$H,3,FALSE),"XXX")</f>
        <v/>
      </c>
      <c r="H35" s="20" t="n">
        <v>27</v>
      </c>
      <c r="I35" s="89" t="inlineStr">
        <is>
          <t>.a28</t>
        </is>
      </c>
      <c r="J35" s="91" t="inlineStr">
        <is>
          <t>.m01</t>
        </is>
      </c>
      <c r="K35" s="681">
        <f>VLOOKUP(J35,Listy!A:B,2,FALSE)</f>
        <v/>
      </c>
      <c r="L35" s="91" t="inlineStr">
        <is>
          <t>.m39</t>
        </is>
      </c>
      <c r="M35" s="681">
        <f>VLOOKUP(L35,Listy!A:B,2,FALSE)</f>
        <v/>
      </c>
      <c r="N35" s="528" t="n">
        <v>3</v>
      </c>
      <c r="O35" s="528">
        <f>N35*40</f>
        <v/>
      </c>
      <c r="P35" s="187" t="n"/>
      <c r="Q35" s="187" t="n"/>
      <c r="R35" s="187" t="n"/>
      <c r="S35" s="187" t="n"/>
      <c r="T35" s="187" t="n"/>
      <c r="U35" s="187" t="n"/>
      <c r="V35" s="187" t="n"/>
      <c r="W35" s="187" t="n"/>
      <c r="X35" s="187" t="n"/>
      <c r="Y35" s="292" t="n"/>
      <c r="Z35" s="292" t="n"/>
      <c r="AA35" s="292" t="n"/>
      <c r="AB35" s="292" t="n"/>
      <c r="AC35" s="292" t="n"/>
      <c r="AD35" s="292" t="n"/>
      <c r="AE35" s="292" t="n"/>
      <c r="AF35" s="292" t="n"/>
      <c r="AG35" s="305" t="n"/>
      <c r="AH35" s="305" t="n"/>
      <c r="AI35" s="305" t="n"/>
      <c r="AJ35" s="305" t="n"/>
      <c r="AK35" s="305" t="n"/>
      <c r="AL35" s="192">
        <f>ROUND($O35*P35,0)</f>
        <v/>
      </c>
      <c r="AM35" s="192">
        <f>ROUND($O35*Q35,0)</f>
        <v/>
      </c>
      <c r="AN35" s="192">
        <f>ROUND($O35*R35,0)</f>
        <v/>
      </c>
      <c r="AO35" s="192">
        <f>ROUND($O35*S35,0)</f>
        <v/>
      </c>
      <c r="AP35" s="192">
        <f>ROUND($O35*T35,0)</f>
        <v/>
      </c>
      <c r="AQ35" s="192">
        <f>ROUND($O35*U35,0)</f>
        <v/>
      </c>
      <c r="AR35" s="192">
        <f>ROUND($O35*V35,0)</f>
        <v/>
      </c>
      <c r="AS35" s="192">
        <f>ROUND($O35*W35,0)</f>
        <v/>
      </c>
      <c r="AT35" s="192">
        <f>ROUND($O35*X35,0)</f>
        <v/>
      </c>
      <c r="AU35" s="193">
        <f>ROUND($O35*Y35,0)</f>
        <v/>
      </c>
      <c r="AV35" s="193">
        <f>ROUND($O35*Z35,0)</f>
        <v/>
      </c>
      <c r="AW35" s="193">
        <f>ROUND($O35*AA35,0)</f>
        <v/>
      </c>
      <c r="AX35" s="193">
        <f>ROUND($O35*AB35,0)</f>
        <v/>
      </c>
      <c r="AY35" s="193">
        <f>ROUND($O35*AC35,0)</f>
        <v/>
      </c>
      <c r="AZ35" s="193">
        <f>ROUND($O35*AD35,0)</f>
        <v/>
      </c>
      <c r="BA35" s="193">
        <f>ROUND($O35*AE35,0)</f>
        <v/>
      </c>
      <c r="BB35" s="193">
        <f>ROUND($O35*AF35,0)</f>
        <v/>
      </c>
      <c r="BC35" s="306">
        <f>ROUND($O35*AG35,0)</f>
        <v/>
      </c>
      <c r="BD35" s="306">
        <f>ROUND($O35*AH35,0)</f>
        <v/>
      </c>
      <c r="BE35" s="306">
        <f>ROUND($O35*AI35,0)</f>
        <v/>
      </c>
      <c r="BF35" s="306">
        <f>ROUND($O35*AJ35,0)</f>
        <v/>
      </c>
      <c r="BG35" s="306">
        <f>ROUND($O35*AK35,0)</f>
        <v/>
      </c>
      <c r="BH35" s="236">
        <f>SUM(AL35:AT35)</f>
        <v/>
      </c>
      <c r="BI35" s="528">
        <f>BH35/160</f>
        <v/>
      </c>
      <c r="BJ35" s="87">
        <f>VLOOKUP(I35,Listy!$A$1:$H$9,6,FALSE)</f>
        <v/>
      </c>
      <c r="BK35" s="682">
        <f>BI35*BJ35</f>
        <v/>
      </c>
      <c r="BL35" s="683">
        <f>BI35*BK35</f>
        <v/>
      </c>
      <c r="BM35" s="528" t="n"/>
      <c r="BN35" s="528" t="n"/>
      <c r="BO35" s="528" t="n"/>
      <c r="BP35" s="528" t="n"/>
      <c r="BQ35" s="528" t="n"/>
      <c r="BR35" s="528" t="n"/>
      <c r="BS35" s="21">
        <f>BQ35*BR35</f>
        <v/>
      </c>
      <c r="BT35" s="528" t="n"/>
      <c r="BU35" s="528" t="n"/>
      <c r="BV35" s="528" t="n"/>
      <c r="BW35" s="528" t="n"/>
      <c r="BX35" s="528" t="n"/>
      <c r="BY35" s="528" t="n"/>
      <c r="BZ35" s="528" t="n"/>
      <c r="CA35" s="528" t="n"/>
      <c r="CB35" s="528" t="n"/>
      <c r="CC35" s="528" t="n"/>
      <c r="CD35" s="528" t="n"/>
      <c r="CE35" s="528" t="n"/>
      <c r="CF35" s="528" t="n"/>
      <c r="CG35" s="21">
        <f>CE35*CF35</f>
        <v/>
      </c>
      <c r="CH35" s="528" t="n"/>
      <c r="CI35" s="528" t="n"/>
      <c r="CJ35" s="528" t="n"/>
      <c r="CK35" s="21">
        <f>CI35*CJ35</f>
        <v/>
      </c>
      <c r="CL35" s="528" t="n"/>
      <c r="CM35" s="528" t="n"/>
      <c r="CN35" s="528" t="n"/>
      <c r="CO35" s="21">
        <f>CM35*CN35</f>
        <v/>
      </c>
    </row>
    <row r="36">
      <c r="A36" s="112" t="n">
        <v>1</v>
      </c>
      <c r="B36" s="64" t="inlineStr">
        <is>
          <t>f</t>
        </is>
      </c>
      <c r="C36" s="105" t="n">
        <v>1</v>
      </c>
      <c r="D36" s="116">
        <f>CONCATENATE(A$3,"_",A36,"_",B36,"_",C36)</f>
        <v/>
      </c>
      <c r="E36" s="122" t="inlineStr">
        <is>
          <t>Stworzenie mapy zidentyfikowanych algorytmów/etapów PT</t>
        </is>
      </c>
      <c r="F36" s="528">
        <f>IFERROR(VLOOKUP($I36,Listy!$A:$H,2,FALSE),"XXX")</f>
        <v/>
      </c>
      <c r="G36" s="528">
        <f>IFERROR(VLOOKUP($I36,Listy!$A:$H,3,FALSE),"XXX")</f>
        <v/>
      </c>
      <c r="H36" s="20" t="n">
        <v>28</v>
      </c>
      <c r="I36" s="89" t="inlineStr">
        <is>
          <t>.a29</t>
        </is>
      </c>
      <c r="J36" s="91" t="inlineStr">
        <is>
          <t>.m01</t>
        </is>
      </c>
      <c r="K36" s="681">
        <f>VLOOKUP(J36,Listy!A:B,2,FALSE)</f>
        <v/>
      </c>
      <c r="L36" s="91" t="inlineStr">
        <is>
          <t>.m40</t>
        </is>
      </c>
      <c r="M36" s="681">
        <f>VLOOKUP(L36,Listy!A:B,2,FALSE)</f>
        <v/>
      </c>
      <c r="N36" s="528" t="n">
        <v>3</v>
      </c>
      <c r="O36" s="528">
        <f>N36*40</f>
        <v/>
      </c>
      <c r="P36" s="187" t="n"/>
      <c r="Q36" s="187" t="n"/>
      <c r="R36" s="187" t="n"/>
      <c r="S36" s="187" t="n"/>
      <c r="T36" s="187" t="n"/>
      <c r="U36" s="187" t="n"/>
      <c r="V36" s="187" t="n"/>
      <c r="W36" s="187" t="n"/>
      <c r="X36" s="187" t="n"/>
      <c r="Y36" s="292" t="n"/>
      <c r="Z36" s="292" t="n"/>
      <c r="AA36" s="292" t="n"/>
      <c r="AB36" s="292" t="n"/>
      <c r="AC36" s="292" t="n"/>
      <c r="AD36" s="292" t="n"/>
      <c r="AE36" s="292" t="n"/>
      <c r="AF36" s="292" t="n"/>
      <c r="AG36" s="305" t="n"/>
      <c r="AH36" s="305" t="n"/>
      <c r="AI36" s="305" t="n"/>
      <c r="AJ36" s="305" t="n"/>
      <c r="AK36" s="305" t="n"/>
      <c r="AL36" s="192">
        <f>ROUND($O36*P36,0)</f>
        <v/>
      </c>
      <c r="AM36" s="192">
        <f>ROUND($O36*Q36,0)</f>
        <v/>
      </c>
      <c r="AN36" s="192">
        <f>ROUND($O36*R36,0)</f>
        <v/>
      </c>
      <c r="AO36" s="192">
        <f>ROUND($O36*S36,0)</f>
        <v/>
      </c>
      <c r="AP36" s="192">
        <f>ROUND($O36*T36,0)</f>
        <v/>
      </c>
      <c r="AQ36" s="192">
        <f>ROUND($O36*U36,0)</f>
        <v/>
      </c>
      <c r="AR36" s="192">
        <f>ROUND($O36*V36,0)</f>
        <v/>
      </c>
      <c r="AS36" s="192">
        <f>ROUND($O36*W36,0)</f>
        <v/>
      </c>
      <c r="AT36" s="192">
        <f>ROUND($O36*X36,0)</f>
        <v/>
      </c>
      <c r="AU36" s="193">
        <f>ROUND($O36*Y36,0)</f>
        <v/>
      </c>
      <c r="AV36" s="193">
        <f>ROUND($O36*Z36,0)</f>
        <v/>
      </c>
      <c r="AW36" s="193">
        <f>ROUND($O36*AA36,0)</f>
        <v/>
      </c>
      <c r="AX36" s="193">
        <f>ROUND($O36*AB36,0)</f>
        <v/>
      </c>
      <c r="AY36" s="193">
        <f>ROUND($O36*AC36,0)</f>
        <v/>
      </c>
      <c r="AZ36" s="193">
        <f>ROUND($O36*AD36,0)</f>
        <v/>
      </c>
      <c r="BA36" s="193">
        <f>ROUND($O36*AE36,0)</f>
        <v/>
      </c>
      <c r="BB36" s="193">
        <f>ROUND($O36*AF36,0)</f>
        <v/>
      </c>
      <c r="BC36" s="306">
        <f>ROUND($O36*AG36,0)</f>
        <v/>
      </c>
      <c r="BD36" s="306">
        <f>ROUND($O36*AH36,0)</f>
        <v/>
      </c>
      <c r="BE36" s="306">
        <f>ROUND($O36*AI36,0)</f>
        <v/>
      </c>
      <c r="BF36" s="306">
        <f>ROUND($O36*AJ36,0)</f>
        <v/>
      </c>
      <c r="BG36" s="306">
        <f>ROUND($O36*AK36,0)</f>
        <v/>
      </c>
      <c r="BH36" s="236">
        <f>SUM(AL36:AT36)</f>
        <v/>
      </c>
      <c r="BI36" s="528">
        <f>BH36/160</f>
        <v/>
      </c>
      <c r="BJ36" s="87">
        <f>VLOOKUP(I36,Listy!$A$1:$H$9,6,FALSE)</f>
        <v/>
      </c>
      <c r="BK36" s="682">
        <f>BI36*BJ36</f>
        <v/>
      </c>
      <c r="BL36" s="683">
        <f>BI36*BK36</f>
        <v/>
      </c>
      <c r="BM36" s="528" t="n"/>
      <c r="BN36" s="528" t="n"/>
      <c r="BO36" s="528" t="n"/>
      <c r="BP36" s="528" t="n"/>
      <c r="BQ36" s="528" t="n"/>
      <c r="BR36" s="528" t="n"/>
      <c r="BS36" s="22">
        <f>BQ36*BR36</f>
        <v/>
      </c>
      <c r="BT36" s="528" t="n"/>
      <c r="BU36" s="528" t="n"/>
      <c r="BV36" s="314" t="n"/>
      <c r="BW36" s="528" t="n"/>
      <c r="BX36" s="528" t="n"/>
      <c r="BY36" s="314" t="n"/>
      <c r="BZ36" s="528" t="n"/>
      <c r="CA36" s="528" t="n"/>
      <c r="CB36" s="314" t="n"/>
      <c r="CC36" s="314" t="n"/>
      <c r="CD36" s="528" t="n"/>
      <c r="CE36" s="528" t="n"/>
      <c r="CF36" s="528" t="n"/>
      <c r="CG36" s="22">
        <f>CE36*CF36</f>
        <v/>
      </c>
      <c r="CH36" s="528" t="n"/>
      <c r="CI36" s="528" t="n"/>
      <c r="CJ36" s="528" t="n"/>
      <c r="CK36" s="22">
        <f>CI36*CJ36</f>
        <v/>
      </c>
      <c r="CL36" s="528" t="n"/>
      <c r="CM36" s="528" t="n"/>
      <c r="CN36" s="528" t="n"/>
      <c r="CO36" s="22">
        <f>CM36*CN36</f>
        <v/>
      </c>
    </row>
    <row r="37">
      <c r="A37" s="112" t="n">
        <v>1</v>
      </c>
      <c r="B37" s="64" t="inlineStr">
        <is>
          <t>e</t>
        </is>
      </c>
      <c r="C37" s="105" t="n">
        <v>1</v>
      </c>
      <c r="D37" s="116">
        <f>CONCATENATE(A$3,"_",A37,"_",B37,"_",C37)</f>
        <v/>
      </c>
      <c r="E37" s="122" t="inlineStr">
        <is>
          <t>Analiza wpływu zakłóceń dostępności infrastruktury technicznej</t>
        </is>
      </c>
      <c r="F37" s="528">
        <f>IFERROR(VLOOKUP($I37,Listy!$A:$H,2,FALSE),"XXX")</f>
        <v/>
      </c>
      <c r="G37" s="528">
        <f>IFERROR(VLOOKUP($I37,Listy!$A:$H,3,FALSE),"XXX")</f>
        <v/>
      </c>
      <c r="H37" s="20" t="n">
        <v>29</v>
      </c>
      <c r="I37" s="89" t="inlineStr">
        <is>
          <t>.a30</t>
        </is>
      </c>
      <c r="J37" s="91" t="inlineStr">
        <is>
          <t>.m01</t>
        </is>
      </c>
      <c r="K37" s="681">
        <f>VLOOKUP(J37,Listy!A:B,2,FALSE)</f>
        <v/>
      </c>
      <c r="L37" s="91" t="inlineStr">
        <is>
          <t>.m41</t>
        </is>
      </c>
      <c r="M37" s="681">
        <f>VLOOKUP(L37,Listy!A:B,2,FALSE)</f>
        <v/>
      </c>
      <c r="N37" s="528" t="n">
        <v>3</v>
      </c>
      <c r="O37" s="528">
        <f>N37*40</f>
        <v/>
      </c>
      <c r="P37" s="187" t="n"/>
      <c r="Q37" s="187" t="n"/>
      <c r="R37" s="187" t="n"/>
      <c r="S37" s="187" t="n"/>
      <c r="T37" s="187" t="n"/>
      <c r="U37" s="187" t="n"/>
      <c r="V37" s="187" t="n"/>
      <c r="W37" s="187" t="n"/>
      <c r="X37" s="187" t="n"/>
      <c r="Y37" s="292" t="n"/>
      <c r="Z37" s="292" t="n"/>
      <c r="AA37" s="292" t="n"/>
      <c r="AB37" s="292" t="n"/>
      <c r="AC37" s="292" t="n"/>
      <c r="AD37" s="292" t="n"/>
      <c r="AE37" s="292" t="n"/>
      <c r="AF37" s="292" t="n"/>
      <c r="AG37" s="305" t="n"/>
      <c r="AH37" s="305" t="n"/>
      <c r="AI37" s="305" t="n"/>
      <c r="AJ37" s="305" t="n"/>
      <c r="AK37" s="305" t="n"/>
      <c r="AL37" s="192">
        <f>ROUND($O37*P37,0)</f>
        <v/>
      </c>
      <c r="AM37" s="192">
        <f>ROUND($O37*Q37,0)</f>
        <v/>
      </c>
      <c r="AN37" s="192">
        <f>ROUND($O37*R37,0)</f>
        <v/>
      </c>
      <c r="AO37" s="192">
        <f>ROUND($O37*S37,0)</f>
        <v/>
      </c>
      <c r="AP37" s="192">
        <f>ROUND($O37*T37,0)</f>
        <v/>
      </c>
      <c r="AQ37" s="192">
        <f>ROUND($O37*U37,0)</f>
        <v/>
      </c>
      <c r="AR37" s="192">
        <f>ROUND($O37*V37,0)</f>
        <v/>
      </c>
      <c r="AS37" s="192">
        <f>ROUND($O37*W37,0)</f>
        <v/>
      </c>
      <c r="AT37" s="192">
        <f>ROUND($O37*X37,0)</f>
        <v/>
      </c>
      <c r="AU37" s="193">
        <f>ROUND($O37*Y37,0)</f>
        <v/>
      </c>
      <c r="AV37" s="193">
        <f>ROUND($O37*Z37,0)</f>
        <v/>
      </c>
      <c r="AW37" s="193">
        <f>ROUND($O37*AA37,0)</f>
        <v/>
      </c>
      <c r="AX37" s="193">
        <f>ROUND($O37*AB37,0)</f>
        <v/>
      </c>
      <c r="AY37" s="193">
        <f>ROUND($O37*AC37,0)</f>
        <v/>
      </c>
      <c r="AZ37" s="193">
        <f>ROUND($O37*AD37,0)</f>
        <v/>
      </c>
      <c r="BA37" s="193">
        <f>ROUND($O37*AE37,0)</f>
        <v/>
      </c>
      <c r="BB37" s="193">
        <f>ROUND($O37*AF37,0)</f>
        <v/>
      </c>
      <c r="BC37" s="306">
        <f>ROUND($O37*AG37,0)</f>
        <v/>
      </c>
      <c r="BD37" s="306">
        <f>ROUND($O37*AH37,0)</f>
        <v/>
      </c>
      <c r="BE37" s="306">
        <f>ROUND($O37*AI37,0)</f>
        <v/>
      </c>
      <c r="BF37" s="306">
        <f>ROUND($O37*AJ37,0)</f>
        <v/>
      </c>
      <c r="BG37" s="306">
        <f>ROUND($O37*AK37,0)</f>
        <v/>
      </c>
      <c r="BH37" s="236">
        <f>SUM(AL37:AT37)</f>
        <v/>
      </c>
      <c r="BI37" s="528">
        <f>BH37/160</f>
        <v/>
      </c>
      <c r="BJ37" s="87">
        <f>VLOOKUP(I37,Listy!$A$1:$H$9,6,FALSE)</f>
        <v/>
      </c>
      <c r="BK37" s="682">
        <f>BI37*BJ37</f>
        <v/>
      </c>
      <c r="BL37" s="683">
        <f>BI37*BK37</f>
        <v/>
      </c>
      <c r="BM37" s="528" t="n"/>
      <c r="BN37" s="528" t="n"/>
      <c r="BO37" s="528" t="n"/>
      <c r="BP37" s="528" t="n"/>
      <c r="BQ37" s="528" t="n"/>
      <c r="BR37" s="528" t="n"/>
      <c r="BS37" s="21">
        <f>BQ37*BR37</f>
        <v/>
      </c>
      <c r="BT37" s="528" t="n"/>
      <c r="BU37" s="528" t="n"/>
      <c r="BV37" s="528" t="n"/>
      <c r="BW37" s="528" t="n"/>
      <c r="BX37" s="528" t="n"/>
      <c r="BY37" s="528" t="n"/>
      <c r="BZ37" s="528" t="n"/>
      <c r="CA37" s="528" t="n"/>
      <c r="CB37" s="528" t="n"/>
      <c r="CC37" s="528" t="n"/>
      <c r="CD37" s="528" t="n"/>
      <c r="CE37" s="528" t="n"/>
      <c r="CF37" s="528" t="n"/>
      <c r="CG37" s="21">
        <f>CE37*CF37</f>
        <v/>
      </c>
      <c r="CH37" s="528" t="n"/>
      <c r="CI37" s="528" t="n"/>
      <c r="CJ37" s="528" t="n"/>
      <c r="CK37" s="21">
        <f>CI37*CJ37</f>
        <v/>
      </c>
      <c r="CL37" s="528" t="n"/>
      <c r="CM37" s="528" t="n"/>
      <c r="CN37" s="528" t="n"/>
      <c r="CO37" s="21">
        <f>CM37*CN37</f>
        <v/>
      </c>
    </row>
    <row r="38">
      <c r="A38" s="112" t="n">
        <v>1</v>
      </c>
      <c r="B38" s="64" t="inlineStr">
        <is>
          <t>f</t>
        </is>
      </c>
      <c r="C38" s="105" t="n">
        <v>1</v>
      </c>
      <c r="D38" s="116">
        <f>CONCATENATE(A$3,"_",A38,"_",B38,"_",C38)</f>
        <v/>
      </c>
      <c r="E38" s="122" t="inlineStr">
        <is>
          <t>Stworzenie mapy zidentyfikowanych algorytmów/etapów PT</t>
        </is>
      </c>
      <c r="F38" s="528">
        <f>IFERROR(VLOOKUP($I38,Listy!$A:$H,2,FALSE),"XXX")</f>
        <v/>
      </c>
      <c r="G38" s="528">
        <f>IFERROR(VLOOKUP($I38,Listy!$A:$H,3,FALSE),"XXX")</f>
        <v/>
      </c>
      <c r="H38" s="20" t="n">
        <v>30</v>
      </c>
      <c r="I38" s="89" t="inlineStr">
        <is>
          <t>.a31</t>
        </is>
      </c>
      <c r="J38" s="91" t="inlineStr">
        <is>
          <t>.m01</t>
        </is>
      </c>
      <c r="K38" s="681">
        <f>VLOOKUP(J38,Listy!A:B,2,FALSE)</f>
        <v/>
      </c>
      <c r="L38" s="91" t="inlineStr">
        <is>
          <t>.m42</t>
        </is>
      </c>
      <c r="M38" s="681">
        <f>VLOOKUP(L38,Listy!A:B,2,FALSE)</f>
        <v/>
      </c>
      <c r="N38" s="528" t="n">
        <v>3</v>
      </c>
      <c r="O38" s="528">
        <f>N38*40</f>
        <v/>
      </c>
      <c r="P38" s="187" t="n"/>
      <c r="Q38" s="187" t="n"/>
      <c r="R38" s="187" t="n"/>
      <c r="S38" s="187" t="n"/>
      <c r="T38" s="187" t="n"/>
      <c r="U38" s="187" t="n"/>
      <c r="V38" s="187" t="n"/>
      <c r="W38" s="187" t="n"/>
      <c r="X38" s="187" t="n"/>
      <c r="Y38" s="292" t="n"/>
      <c r="Z38" s="292" t="n"/>
      <c r="AA38" s="292" t="n"/>
      <c r="AB38" s="292" t="n"/>
      <c r="AC38" s="292" t="n"/>
      <c r="AD38" s="292" t="n"/>
      <c r="AE38" s="292" t="n"/>
      <c r="AF38" s="292" t="n"/>
      <c r="AG38" s="305" t="n"/>
      <c r="AH38" s="305" t="n"/>
      <c r="AI38" s="305" t="n"/>
      <c r="AJ38" s="305" t="n"/>
      <c r="AK38" s="305" t="n"/>
      <c r="AL38" s="192">
        <f>ROUND($O38*P38,0)</f>
        <v/>
      </c>
      <c r="AM38" s="192">
        <f>ROUND($O38*Q38,0)</f>
        <v/>
      </c>
      <c r="AN38" s="192">
        <f>ROUND($O38*R38,0)</f>
        <v/>
      </c>
      <c r="AO38" s="192">
        <f>ROUND($O38*S38,0)</f>
        <v/>
      </c>
      <c r="AP38" s="192">
        <f>ROUND($O38*T38,0)</f>
        <v/>
      </c>
      <c r="AQ38" s="192">
        <f>ROUND($O38*U38,0)</f>
        <v/>
      </c>
      <c r="AR38" s="192">
        <f>ROUND($O38*V38,0)</f>
        <v/>
      </c>
      <c r="AS38" s="192">
        <f>ROUND($O38*W38,0)</f>
        <v/>
      </c>
      <c r="AT38" s="192">
        <f>ROUND($O38*X38,0)</f>
        <v/>
      </c>
      <c r="AU38" s="193">
        <f>ROUND($O38*Y38,0)</f>
        <v/>
      </c>
      <c r="AV38" s="193">
        <f>ROUND($O38*Z38,0)</f>
        <v/>
      </c>
      <c r="AW38" s="193">
        <f>ROUND($O38*AA38,0)</f>
        <v/>
      </c>
      <c r="AX38" s="193">
        <f>ROUND($O38*AB38,0)</f>
        <v/>
      </c>
      <c r="AY38" s="193">
        <f>ROUND($O38*AC38,0)</f>
        <v/>
      </c>
      <c r="AZ38" s="193">
        <f>ROUND($O38*AD38,0)</f>
        <v/>
      </c>
      <c r="BA38" s="193">
        <f>ROUND($O38*AE38,0)</f>
        <v/>
      </c>
      <c r="BB38" s="193">
        <f>ROUND($O38*AF38,0)</f>
        <v/>
      </c>
      <c r="BC38" s="306">
        <f>ROUND($O38*AG38,0)</f>
        <v/>
      </c>
      <c r="BD38" s="306">
        <f>ROUND($O38*AH38,0)</f>
        <v/>
      </c>
      <c r="BE38" s="306">
        <f>ROUND($O38*AI38,0)</f>
        <v/>
      </c>
      <c r="BF38" s="306">
        <f>ROUND($O38*AJ38,0)</f>
        <v/>
      </c>
      <c r="BG38" s="306">
        <f>ROUND($O38*AK38,0)</f>
        <v/>
      </c>
      <c r="BH38" s="236">
        <f>SUM(AL38:AT38)</f>
        <v/>
      </c>
      <c r="BI38" s="528">
        <f>BH38/160</f>
        <v/>
      </c>
      <c r="BJ38" s="87">
        <f>VLOOKUP(I38,Listy!$A$1:$H$9,6,FALSE)</f>
        <v/>
      </c>
      <c r="BK38" s="682">
        <f>BI38*BJ38</f>
        <v/>
      </c>
      <c r="BL38" s="683">
        <f>BI38*BK38</f>
        <v/>
      </c>
      <c r="BM38" s="528" t="n"/>
      <c r="BN38" s="528" t="n"/>
      <c r="BO38" s="528" t="n"/>
      <c r="BP38" s="528" t="n"/>
      <c r="BQ38" s="528" t="n"/>
      <c r="BR38" s="528" t="n"/>
      <c r="BS38" s="22">
        <f>BQ38*BR38</f>
        <v/>
      </c>
      <c r="BT38" s="528" t="n"/>
      <c r="BU38" s="528" t="n"/>
      <c r="BV38" s="314" t="n"/>
      <c r="BW38" s="528" t="n"/>
      <c r="BX38" s="528" t="n"/>
      <c r="BY38" s="314" t="n"/>
      <c r="BZ38" s="528" t="n"/>
      <c r="CA38" s="528" t="n"/>
      <c r="CB38" s="314" t="n"/>
      <c r="CC38" s="314" t="n"/>
      <c r="CD38" s="528" t="n"/>
      <c r="CE38" s="528" t="n"/>
      <c r="CF38" s="528" t="n"/>
      <c r="CG38" s="22">
        <f>CE38*CF38</f>
        <v/>
      </c>
      <c r="CH38" s="528" t="n"/>
      <c r="CI38" s="528" t="n"/>
      <c r="CJ38" s="528" t="n"/>
      <c r="CK38" s="22">
        <f>CI38*CJ38</f>
        <v/>
      </c>
      <c r="CL38" s="528" t="n"/>
      <c r="CM38" s="528" t="n"/>
      <c r="CN38" s="528" t="n"/>
      <c r="CO38" s="22">
        <f>CM38*CN38</f>
        <v/>
      </c>
    </row>
    <row r="39">
      <c r="A39" s="112" t="n">
        <v>1</v>
      </c>
      <c r="B39" s="64" t="inlineStr">
        <is>
          <t>e</t>
        </is>
      </c>
      <c r="C39" s="105" t="n">
        <v>1</v>
      </c>
      <c r="D39" s="116">
        <f>CONCATENATE(A$3,"_",A39,"_",B39,"_",C39)</f>
        <v/>
      </c>
      <c r="E39" s="122" t="inlineStr">
        <is>
          <t>Analiza wpływu zakłóceń dostępności infrastruktury technicznej</t>
        </is>
      </c>
      <c r="F39" s="528">
        <f>IFERROR(VLOOKUP($I39,Listy!$A:$H,2,FALSE),"XXX")</f>
        <v/>
      </c>
      <c r="G39" s="528">
        <f>IFERROR(VLOOKUP($I39,Listy!$A:$H,3,FALSE),"XXX")</f>
        <v/>
      </c>
      <c r="H39" s="20" t="n">
        <v>31</v>
      </c>
      <c r="I39" s="89" t="inlineStr">
        <is>
          <t>.a32</t>
        </is>
      </c>
      <c r="J39" s="91" t="inlineStr">
        <is>
          <t>.m01</t>
        </is>
      </c>
      <c r="K39" s="681">
        <f>VLOOKUP(J39,Listy!A:B,2,FALSE)</f>
        <v/>
      </c>
      <c r="L39" s="91" t="inlineStr">
        <is>
          <t>.m43</t>
        </is>
      </c>
      <c r="M39" s="681">
        <f>VLOOKUP(L39,Listy!A:B,2,FALSE)</f>
        <v/>
      </c>
      <c r="N39" s="528" t="n">
        <v>3</v>
      </c>
      <c r="O39" s="528">
        <f>N39*40</f>
        <v/>
      </c>
      <c r="P39" s="187" t="n"/>
      <c r="Q39" s="187" t="n"/>
      <c r="R39" s="187" t="n"/>
      <c r="S39" s="187" t="n"/>
      <c r="T39" s="187" t="n"/>
      <c r="U39" s="187" t="n"/>
      <c r="V39" s="187" t="n"/>
      <c r="W39" s="187" t="n"/>
      <c r="X39" s="187" t="n"/>
      <c r="Y39" s="292" t="n"/>
      <c r="Z39" s="292" t="n"/>
      <c r="AA39" s="292" t="n"/>
      <c r="AB39" s="292" t="n"/>
      <c r="AC39" s="292" t="n"/>
      <c r="AD39" s="292" t="n"/>
      <c r="AE39" s="292" t="n"/>
      <c r="AF39" s="292" t="n"/>
      <c r="AG39" s="305" t="n"/>
      <c r="AH39" s="305" t="n"/>
      <c r="AI39" s="305" t="n"/>
      <c r="AJ39" s="305" t="n"/>
      <c r="AK39" s="305" t="n"/>
      <c r="AL39" s="192">
        <f>ROUND($O39*P39,0)</f>
        <v/>
      </c>
      <c r="AM39" s="192">
        <f>ROUND($O39*Q39,0)</f>
        <v/>
      </c>
      <c r="AN39" s="192">
        <f>ROUND($O39*R39,0)</f>
        <v/>
      </c>
      <c r="AO39" s="192">
        <f>ROUND($O39*S39,0)</f>
        <v/>
      </c>
      <c r="AP39" s="192">
        <f>ROUND($O39*T39,0)</f>
        <v/>
      </c>
      <c r="AQ39" s="192">
        <f>ROUND($O39*U39,0)</f>
        <v/>
      </c>
      <c r="AR39" s="192">
        <f>ROUND($O39*V39,0)</f>
        <v/>
      </c>
      <c r="AS39" s="192">
        <f>ROUND($O39*W39,0)</f>
        <v/>
      </c>
      <c r="AT39" s="192">
        <f>ROUND($O39*X39,0)</f>
        <v/>
      </c>
      <c r="AU39" s="193">
        <f>ROUND($O39*Y39,0)</f>
        <v/>
      </c>
      <c r="AV39" s="193">
        <f>ROUND($O39*Z39,0)</f>
        <v/>
      </c>
      <c r="AW39" s="193">
        <f>ROUND($O39*AA39,0)</f>
        <v/>
      </c>
      <c r="AX39" s="193">
        <f>ROUND($O39*AB39,0)</f>
        <v/>
      </c>
      <c r="AY39" s="193">
        <f>ROUND($O39*AC39,0)</f>
        <v/>
      </c>
      <c r="AZ39" s="193">
        <f>ROUND($O39*AD39,0)</f>
        <v/>
      </c>
      <c r="BA39" s="193">
        <f>ROUND($O39*AE39,0)</f>
        <v/>
      </c>
      <c r="BB39" s="193">
        <f>ROUND($O39*AF39,0)</f>
        <v/>
      </c>
      <c r="BC39" s="306">
        <f>ROUND($O39*AG39,0)</f>
        <v/>
      </c>
      <c r="BD39" s="306">
        <f>ROUND($O39*AH39,0)</f>
        <v/>
      </c>
      <c r="BE39" s="306">
        <f>ROUND($O39*AI39,0)</f>
        <v/>
      </c>
      <c r="BF39" s="306">
        <f>ROUND($O39*AJ39,0)</f>
        <v/>
      </c>
      <c r="BG39" s="306">
        <f>ROUND($O39*AK39,0)</f>
        <v/>
      </c>
      <c r="BH39" s="236">
        <f>SUM(AL39:AT39)</f>
        <v/>
      </c>
      <c r="BI39" s="528">
        <f>BH39/160</f>
        <v/>
      </c>
      <c r="BJ39" s="87">
        <f>VLOOKUP(I39,Listy!$A$1:$H$9,6,FALSE)</f>
        <v/>
      </c>
      <c r="BK39" s="682">
        <f>BI39*BJ39</f>
        <v/>
      </c>
      <c r="BL39" s="683">
        <f>BI39*BK39</f>
        <v/>
      </c>
      <c r="BM39" s="528" t="n"/>
      <c r="BN39" s="528" t="n"/>
      <c r="BO39" s="528" t="n"/>
      <c r="BP39" s="528" t="n"/>
      <c r="BQ39" s="528" t="n"/>
      <c r="BR39" s="528" t="n"/>
      <c r="BS39" s="21">
        <f>BQ39*BR39</f>
        <v/>
      </c>
      <c r="BT39" s="528" t="n"/>
      <c r="BU39" s="528" t="n"/>
      <c r="BV39" s="528" t="n"/>
      <c r="BW39" s="528" t="n"/>
      <c r="BX39" s="528" t="n"/>
      <c r="BY39" s="528" t="n"/>
      <c r="BZ39" s="528" t="n"/>
      <c r="CA39" s="528" t="n"/>
      <c r="CB39" s="528" t="n"/>
      <c r="CC39" s="528" t="n"/>
      <c r="CD39" s="528" t="n"/>
      <c r="CE39" s="528" t="n"/>
      <c r="CF39" s="528" t="n"/>
      <c r="CG39" s="21">
        <f>CE39*CF39</f>
        <v/>
      </c>
      <c r="CH39" s="528" t="n"/>
      <c r="CI39" s="528" t="n"/>
      <c r="CJ39" s="528" t="n"/>
      <c r="CK39" s="21">
        <f>CI39*CJ39</f>
        <v/>
      </c>
      <c r="CL39" s="528" t="n"/>
      <c r="CM39" s="528" t="n"/>
      <c r="CN39" s="528" t="n"/>
      <c r="CO39" s="21">
        <f>CM39*CN39</f>
        <v/>
      </c>
    </row>
    <row r="40">
      <c r="A40" s="112" t="n">
        <v>1</v>
      </c>
      <c r="B40" s="64" t="inlineStr">
        <is>
          <t>f</t>
        </is>
      </c>
      <c r="C40" s="105" t="n">
        <v>1</v>
      </c>
      <c r="D40" s="116">
        <f>CONCATENATE(A$3,"_",A40,"_",B40,"_",C40)</f>
        <v/>
      </c>
      <c r="E40" s="122" t="inlineStr">
        <is>
          <t>Stworzenie mapy zidentyfikowanych algorytmów/etapów PT</t>
        </is>
      </c>
      <c r="F40" s="528">
        <f>IFERROR(VLOOKUP($I40,Listy!$A:$H,2,FALSE),"XXX")</f>
        <v/>
      </c>
      <c r="G40" s="528">
        <f>IFERROR(VLOOKUP($I40,Listy!$A:$H,3,FALSE),"XXX")</f>
        <v/>
      </c>
      <c r="H40" s="20" t="n">
        <v>32</v>
      </c>
      <c r="I40" s="89" t="inlineStr">
        <is>
          <t>.a33</t>
        </is>
      </c>
      <c r="J40" s="91" t="inlineStr">
        <is>
          <t>.m01</t>
        </is>
      </c>
      <c r="K40" s="681">
        <f>VLOOKUP(J40,Listy!A:B,2,FALSE)</f>
        <v/>
      </c>
      <c r="L40" s="91" t="inlineStr">
        <is>
          <t>.m44</t>
        </is>
      </c>
      <c r="M40" s="681">
        <f>VLOOKUP(L40,Listy!A:B,2,FALSE)</f>
        <v/>
      </c>
      <c r="N40" s="528" t="n">
        <v>3</v>
      </c>
      <c r="O40" s="528">
        <f>N40*40</f>
        <v/>
      </c>
      <c r="P40" s="187" t="n"/>
      <c r="Q40" s="187" t="n"/>
      <c r="R40" s="187" t="n"/>
      <c r="S40" s="187" t="n"/>
      <c r="T40" s="187" t="n"/>
      <c r="U40" s="187" t="n"/>
      <c r="V40" s="187" t="n"/>
      <c r="W40" s="187" t="n"/>
      <c r="X40" s="187" t="n"/>
      <c r="Y40" s="292" t="n"/>
      <c r="Z40" s="292" t="n"/>
      <c r="AA40" s="292" t="n"/>
      <c r="AB40" s="292" t="n"/>
      <c r="AC40" s="292" t="n"/>
      <c r="AD40" s="292" t="n"/>
      <c r="AE40" s="292" t="n"/>
      <c r="AF40" s="292" t="n"/>
      <c r="AG40" s="305" t="n"/>
      <c r="AH40" s="305" t="n"/>
      <c r="AI40" s="305" t="n"/>
      <c r="AJ40" s="305" t="n"/>
      <c r="AK40" s="305" t="n"/>
      <c r="AL40" s="192">
        <f>ROUND($O40*P40,0)</f>
        <v/>
      </c>
      <c r="AM40" s="192">
        <f>ROUND($O40*Q40,0)</f>
        <v/>
      </c>
      <c r="AN40" s="192">
        <f>ROUND($O40*R40,0)</f>
        <v/>
      </c>
      <c r="AO40" s="192">
        <f>ROUND($O40*S40,0)</f>
        <v/>
      </c>
      <c r="AP40" s="192">
        <f>ROUND($O40*T40,0)</f>
        <v/>
      </c>
      <c r="AQ40" s="192">
        <f>ROUND($O40*U40,0)</f>
        <v/>
      </c>
      <c r="AR40" s="192">
        <f>ROUND($O40*V40,0)</f>
        <v/>
      </c>
      <c r="AS40" s="192">
        <f>ROUND($O40*W40,0)</f>
        <v/>
      </c>
      <c r="AT40" s="192">
        <f>ROUND($O40*X40,0)</f>
        <v/>
      </c>
      <c r="AU40" s="193">
        <f>ROUND($O40*Y40,0)</f>
        <v/>
      </c>
      <c r="AV40" s="193">
        <f>ROUND($O40*Z40,0)</f>
        <v/>
      </c>
      <c r="AW40" s="193">
        <f>ROUND($O40*AA40,0)</f>
        <v/>
      </c>
      <c r="AX40" s="193">
        <f>ROUND($O40*AB40,0)</f>
        <v/>
      </c>
      <c r="AY40" s="193">
        <f>ROUND($O40*AC40,0)</f>
        <v/>
      </c>
      <c r="AZ40" s="193">
        <f>ROUND($O40*AD40,0)</f>
        <v/>
      </c>
      <c r="BA40" s="193">
        <f>ROUND($O40*AE40,0)</f>
        <v/>
      </c>
      <c r="BB40" s="193">
        <f>ROUND($O40*AF40,0)</f>
        <v/>
      </c>
      <c r="BC40" s="306">
        <f>ROUND($O40*AG40,0)</f>
        <v/>
      </c>
      <c r="BD40" s="306">
        <f>ROUND($O40*AH40,0)</f>
        <v/>
      </c>
      <c r="BE40" s="306">
        <f>ROUND($O40*AI40,0)</f>
        <v/>
      </c>
      <c r="BF40" s="306">
        <f>ROUND($O40*AJ40,0)</f>
        <v/>
      </c>
      <c r="BG40" s="306">
        <f>ROUND($O40*AK40,0)</f>
        <v/>
      </c>
      <c r="BH40" s="236">
        <f>SUM(AL40:AT40)</f>
        <v/>
      </c>
      <c r="BI40" s="528">
        <f>BH40/160</f>
        <v/>
      </c>
      <c r="BJ40" s="87">
        <f>VLOOKUP(I40,Listy!$A$1:$H$9,6,FALSE)</f>
        <v/>
      </c>
      <c r="BK40" s="682">
        <f>BI40*BJ40</f>
        <v/>
      </c>
      <c r="BL40" s="683">
        <f>BI40*BK40</f>
        <v/>
      </c>
      <c r="BM40" s="528" t="n"/>
      <c r="BN40" s="528" t="n"/>
      <c r="BO40" s="528" t="n"/>
      <c r="BP40" s="528" t="n"/>
      <c r="BQ40" s="528" t="n"/>
      <c r="BR40" s="528" t="n"/>
      <c r="BS40" s="22">
        <f>BQ40*BR40</f>
        <v/>
      </c>
      <c r="BT40" s="528" t="n"/>
      <c r="BU40" s="528" t="n"/>
      <c r="BV40" s="314" t="n"/>
      <c r="BW40" s="528" t="n"/>
      <c r="BX40" s="528" t="n"/>
      <c r="BY40" s="314" t="n"/>
      <c r="BZ40" s="528" t="n"/>
      <c r="CA40" s="528" t="n"/>
      <c r="CB40" s="314" t="n"/>
      <c r="CC40" s="314" t="n"/>
      <c r="CD40" s="528" t="n"/>
      <c r="CE40" s="528" t="n"/>
      <c r="CF40" s="528" t="n"/>
      <c r="CG40" s="22">
        <f>CE40*CF40</f>
        <v/>
      </c>
      <c r="CH40" s="528" t="n"/>
      <c r="CI40" s="528" t="n"/>
      <c r="CJ40" s="528" t="n"/>
      <c r="CK40" s="22">
        <f>CI40*CJ40</f>
        <v/>
      </c>
      <c r="CL40" s="528" t="n"/>
      <c r="CM40" s="528" t="n"/>
      <c r="CN40" s="528" t="n"/>
      <c r="CO40" s="22">
        <f>CM40*CN40</f>
        <v/>
      </c>
    </row>
    <row r="41">
      <c r="A41" s="112" t="n">
        <v>1</v>
      </c>
      <c r="B41" s="64" t="inlineStr">
        <is>
          <t>e</t>
        </is>
      </c>
      <c r="C41" s="105" t="n">
        <v>1</v>
      </c>
      <c r="D41" s="116">
        <f>CONCATENATE(A$3,"_",A41,"_",B41,"_",C41)</f>
        <v/>
      </c>
      <c r="E41" s="122" t="inlineStr">
        <is>
          <t>Analiza wpływu zakłóceń dostępności infrastruktury technicznej</t>
        </is>
      </c>
      <c r="F41" s="528">
        <f>IFERROR(VLOOKUP($I41,Listy!$A:$H,2,FALSE),"XXX")</f>
        <v/>
      </c>
      <c r="G41" s="528">
        <f>IFERROR(VLOOKUP($I41,Listy!$A:$H,3,FALSE),"XXX")</f>
        <v/>
      </c>
      <c r="H41" s="20" t="n">
        <v>33</v>
      </c>
      <c r="I41" s="89" t="inlineStr">
        <is>
          <t>.a34</t>
        </is>
      </c>
      <c r="J41" s="91" t="inlineStr">
        <is>
          <t>.m01</t>
        </is>
      </c>
      <c r="K41" s="681">
        <f>VLOOKUP(J41,Listy!A:B,2,FALSE)</f>
        <v/>
      </c>
      <c r="L41" s="91" t="inlineStr">
        <is>
          <t>.m45</t>
        </is>
      </c>
      <c r="M41" s="681">
        <f>VLOOKUP(L41,Listy!A:B,2,FALSE)</f>
        <v/>
      </c>
      <c r="N41" s="528" t="n">
        <v>3</v>
      </c>
      <c r="O41" s="528">
        <f>N41*40</f>
        <v/>
      </c>
      <c r="P41" s="187" t="n"/>
      <c r="Q41" s="187" t="n"/>
      <c r="R41" s="187" t="n"/>
      <c r="S41" s="187" t="n"/>
      <c r="T41" s="187" t="n"/>
      <c r="U41" s="187" t="n"/>
      <c r="V41" s="187" t="n"/>
      <c r="W41" s="187" t="n"/>
      <c r="X41" s="187" t="n"/>
      <c r="Y41" s="292" t="n"/>
      <c r="Z41" s="292" t="n"/>
      <c r="AA41" s="292" t="n"/>
      <c r="AB41" s="292" t="n"/>
      <c r="AC41" s="292" t="n"/>
      <c r="AD41" s="292" t="n"/>
      <c r="AE41" s="292" t="n"/>
      <c r="AF41" s="292" t="n"/>
      <c r="AG41" s="305" t="n"/>
      <c r="AH41" s="305" t="n"/>
      <c r="AI41" s="305" t="n"/>
      <c r="AJ41" s="305" t="n"/>
      <c r="AK41" s="305" t="n"/>
      <c r="AL41" s="192">
        <f>ROUND($O41*P41,0)</f>
        <v/>
      </c>
      <c r="AM41" s="192">
        <f>ROUND($O41*Q41,0)</f>
        <v/>
      </c>
      <c r="AN41" s="192">
        <f>ROUND($O41*R41,0)</f>
        <v/>
      </c>
      <c r="AO41" s="192">
        <f>ROUND($O41*S41,0)</f>
        <v/>
      </c>
      <c r="AP41" s="192">
        <f>ROUND($O41*T41,0)</f>
        <v/>
      </c>
      <c r="AQ41" s="192">
        <f>ROUND($O41*U41,0)</f>
        <v/>
      </c>
      <c r="AR41" s="192">
        <f>ROUND($O41*V41,0)</f>
        <v/>
      </c>
      <c r="AS41" s="192">
        <f>ROUND($O41*W41,0)</f>
        <v/>
      </c>
      <c r="AT41" s="192">
        <f>ROUND($O41*X41,0)</f>
        <v/>
      </c>
      <c r="AU41" s="193">
        <f>ROUND($O41*Y41,0)</f>
        <v/>
      </c>
      <c r="AV41" s="193">
        <f>ROUND($O41*Z41,0)</f>
        <v/>
      </c>
      <c r="AW41" s="193">
        <f>ROUND($O41*AA41,0)</f>
        <v/>
      </c>
      <c r="AX41" s="193">
        <f>ROUND($O41*AB41,0)</f>
        <v/>
      </c>
      <c r="AY41" s="193">
        <f>ROUND($O41*AC41,0)</f>
        <v/>
      </c>
      <c r="AZ41" s="193">
        <f>ROUND($O41*AD41,0)</f>
        <v/>
      </c>
      <c r="BA41" s="193">
        <f>ROUND($O41*AE41,0)</f>
        <v/>
      </c>
      <c r="BB41" s="193">
        <f>ROUND($O41*AF41,0)</f>
        <v/>
      </c>
      <c r="BC41" s="306">
        <f>ROUND($O41*AG41,0)</f>
        <v/>
      </c>
      <c r="BD41" s="306">
        <f>ROUND($O41*AH41,0)</f>
        <v/>
      </c>
      <c r="BE41" s="306">
        <f>ROUND($O41*AI41,0)</f>
        <v/>
      </c>
      <c r="BF41" s="306">
        <f>ROUND($O41*AJ41,0)</f>
        <v/>
      </c>
      <c r="BG41" s="306">
        <f>ROUND($O41*AK41,0)</f>
        <v/>
      </c>
      <c r="BH41" s="236">
        <f>SUM(AL41:AT41)</f>
        <v/>
      </c>
      <c r="BI41" s="528">
        <f>BH41/160</f>
        <v/>
      </c>
      <c r="BJ41" s="87">
        <f>VLOOKUP(I41,Listy!$A$1:$H$9,6,FALSE)</f>
        <v/>
      </c>
      <c r="BK41" s="682">
        <f>BI41*BJ41</f>
        <v/>
      </c>
      <c r="BL41" s="683">
        <f>BI41*BK41</f>
        <v/>
      </c>
      <c r="BM41" s="528" t="n"/>
      <c r="BN41" s="528" t="n"/>
      <c r="BO41" s="528" t="n"/>
      <c r="BP41" s="528" t="n"/>
      <c r="BQ41" s="528" t="n"/>
      <c r="BR41" s="528" t="n"/>
      <c r="BS41" s="21">
        <f>BQ41*BR41</f>
        <v/>
      </c>
      <c r="BT41" s="528" t="n"/>
      <c r="BU41" s="528" t="n"/>
      <c r="BV41" s="528" t="n"/>
      <c r="BW41" s="528" t="n"/>
      <c r="BX41" s="528" t="n"/>
      <c r="BY41" s="528" t="n"/>
      <c r="BZ41" s="528" t="n"/>
      <c r="CA41" s="528" t="n"/>
      <c r="CB41" s="528" t="n"/>
      <c r="CC41" s="528" t="n"/>
      <c r="CD41" s="528" t="n"/>
      <c r="CE41" s="528" t="n"/>
      <c r="CF41" s="528" t="n"/>
      <c r="CG41" s="21">
        <f>CE41*CF41</f>
        <v/>
      </c>
      <c r="CH41" s="528" t="n"/>
      <c r="CI41" s="528" t="n"/>
      <c r="CJ41" s="528" t="n"/>
      <c r="CK41" s="21">
        <f>CI41*CJ41</f>
        <v/>
      </c>
      <c r="CL41" s="528" t="n"/>
      <c r="CM41" s="528" t="n"/>
      <c r="CN41" s="528" t="n"/>
      <c r="CO41" s="21">
        <f>CM41*CN41</f>
        <v/>
      </c>
    </row>
    <row r="42">
      <c r="A42" s="112" t="n">
        <v>1</v>
      </c>
      <c r="B42" s="64" t="inlineStr">
        <is>
          <t>f</t>
        </is>
      </c>
      <c r="C42" s="105" t="n">
        <v>1</v>
      </c>
      <c r="D42" s="116">
        <f>CONCATENATE(A$3,"_",A42,"_",B42,"_",C42)</f>
        <v/>
      </c>
      <c r="E42" s="122" t="inlineStr">
        <is>
          <t>Stworzenie mapy zidentyfikowanych algorytmów/etapów PT</t>
        </is>
      </c>
      <c r="F42" s="528">
        <f>IFERROR(VLOOKUP($I42,Listy!$A:$H,2,FALSE),"XXX")</f>
        <v/>
      </c>
      <c r="G42" s="528">
        <f>IFERROR(VLOOKUP($I42,Listy!$A:$H,3,FALSE),"XXX")</f>
        <v/>
      </c>
      <c r="H42" s="20" t="n">
        <v>34</v>
      </c>
      <c r="I42" s="89" t="inlineStr">
        <is>
          <t>.a35</t>
        </is>
      </c>
      <c r="J42" s="91" t="inlineStr">
        <is>
          <t>.m01</t>
        </is>
      </c>
      <c r="K42" s="681">
        <f>VLOOKUP(J42,Listy!A:B,2,FALSE)</f>
        <v/>
      </c>
      <c r="L42" s="91" t="inlineStr">
        <is>
          <t>.m46</t>
        </is>
      </c>
      <c r="M42" s="681">
        <f>VLOOKUP(L42,Listy!A:B,2,FALSE)</f>
        <v/>
      </c>
      <c r="N42" s="528" t="n">
        <v>3</v>
      </c>
      <c r="O42" s="528">
        <f>N42*40</f>
        <v/>
      </c>
      <c r="P42" s="187" t="n"/>
      <c r="Q42" s="187" t="n"/>
      <c r="R42" s="187" t="n"/>
      <c r="S42" s="187" t="n"/>
      <c r="T42" s="187" t="n"/>
      <c r="U42" s="187" t="n"/>
      <c r="V42" s="187" t="n"/>
      <c r="W42" s="187" t="n"/>
      <c r="X42" s="187" t="n"/>
      <c r="Y42" s="292" t="n"/>
      <c r="Z42" s="292" t="n"/>
      <c r="AA42" s="292" t="n"/>
      <c r="AB42" s="292" t="n"/>
      <c r="AC42" s="292" t="n"/>
      <c r="AD42" s="292" t="n"/>
      <c r="AE42" s="292" t="n"/>
      <c r="AF42" s="292" t="n"/>
      <c r="AG42" s="305" t="n"/>
      <c r="AH42" s="305" t="n"/>
      <c r="AI42" s="305" t="n"/>
      <c r="AJ42" s="305" t="n"/>
      <c r="AK42" s="305" t="n"/>
      <c r="AL42" s="192">
        <f>ROUND($O42*P42,0)</f>
        <v/>
      </c>
      <c r="AM42" s="192">
        <f>ROUND($O42*Q42,0)</f>
        <v/>
      </c>
      <c r="AN42" s="192">
        <f>ROUND($O42*R42,0)</f>
        <v/>
      </c>
      <c r="AO42" s="192">
        <f>ROUND($O42*S42,0)</f>
        <v/>
      </c>
      <c r="AP42" s="192">
        <f>ROUND($O42*T42,0)</f>
        <v/>
      </c>
      <c r="AQ42" s="192">
        <f>ROUND($O42*U42,0)</f>
        <v/>
      </c>
      <c r="AR42" s="192">
        <f>ROUND($O42*V42,0)</f>
        <v/>
      </c>
      <c r="AS42" s="192">
        <f>ROUND($O42*W42,0)</f>
        <v/>
      </c>
      <c r="AT42" s="192">
        <f>ROUND($O42*X42,0)</f>
        <v/>
      </c>
      <c r="AU42" s="193">
        <f>ROUND($O42*Y42,0)</f>
        <v/>
      </c>
      <c r="AV42" s="193">
        <f>ROUND($O42*Z42,0)</f>
        <v/>
      </c>
      <c r="AW42" s="193">
        <f>ROUND($O42*AA42,0)</f>
        <v/>
      </c>
      <c r="AX42" s="193">
        <f>ROUND($O42*AB42,0)</f>
        <v/>
      </c>
      <c r="AY42" s="193">
        <f>ROUND($O42*AC42,0)</f>
        <v/>
      </c>
      <c r="AZ42" s="193">
        <f>ROUND($O42*AD42,0)</f>
        <v/>
      </c>
      <c r="BA42" s="193">
        <f>ROUND($O42*AE42,0)</f>
        <v/>
      </c>
      <c r="BB42" s="193">
        <f>ROUND($O42*AF42,0)</f>
        <v/>
      </c>
      <c r="BC42" s="306">
        <f>ROUND($O42*AG42,0)</f>
        <v/>
      </c>
      <c r="BD42" s="306">
        <f>ROUND($O42*AH42,0)</f>
        <v/>
      </c>
      <c r="BE42" s="306">
        <f>ROUND($O42*AI42,0)</f>
        <v/>
      </c>
      <c r="BF42" s="306">
        <f>ROUND($O42*AJ42,0)</f>
        <v/>
      </c>
      <c r="BG42" s="306">
        <f>ROUND($O42*AK42,0)</f>
        <v/>
      </c>
      <c r="BH42" s="236">
        <f>SUM(AL42:AT42)</f>
        <v/>
      </c>
      <c r="BI42" s="528">
        <f>BH42/160</f>
        <v/>
      </c>
      <c r="BJ42" s="87">
        <f>VLOOKUP(I42,Listy!$A$1:$H$9,6,FALSE)</f>
        <v/>
      </c>
      <c r="BK42" s="682">
        <f>BI42*BJ42</f>
        <v/>
      </c>
      <c r="BL42" s="683">
        <f>BI42*BK42</f>
        <v/>
      </c>
      <c r="BM42" s="528" t="n"/>
      <c r="BN42" s="528" t="n"/>
      <c r="BO42" s="528" t="n"/>
      <c r="BP42" s="528" t="n"/>
      <c r="BQ42" s="528" t="n"/>
      <c r="BR42" s="528" t="n"/>
      <c r="BS42" s="22">
        <f>BQ42*BR42</f>
        <v/>
      </c>
      <c r="BT42" s="528" t="n"/>
      <c r="BU42" s="528" t="n"/>
      <c r="BV42" s="314" t="n"/>
      <c r="BW42" s="528" t="n"/>
      <c r="BX42" s="528" t="n"/>
      <c r="BY42" s="314" t="n"/>
      <c r="BZ42" s="528" t="n"/>
      <c r="CA42" s="528" t="n"/>
      <c r="CB42" s="314" t="n"/>
      <c r="CC42" s="314" t="n"/>
      <c r="CD42" s="528" t="n"/>
      <c r="CE42" s="528" t="n"/>
      <c r="CF42" s="528" t="n"/>
      <c r="CG42" s="22">
        <f>CE42*CF42</f>
        <v/>
      </c>
      <c r="CH42" s="528" t="n"/>
      <c r="CI42" s="528" t="n"/>
      <c r="CJ42" s="528" t="n"/>
      <c r="CK42" s="22">
        <f>CI42*CJ42</f>
        <v/>
      </c>
      <c r="CL42" s="528" t="n"/>
      <c r="CM42" s="528" t="n"/>
      <c r="CN42" s="528" t="n"/>
      <c r="CO42" s="22">
        <f>CM42*CN42</f>
        <v/>
      </c>
    </row>
    <row r="43">
      <c r="A43" s="112" t="n">
        <v>1</v>
      </c>
      <c r="B43" s="64" t="inlineStr">
        <is>
          <t>e</t>
        </is>
      </c>
      <c r="C43" s="105" t="n">
        <v>1</v>
      </c>
      <c r="D43" s="116">
        <f>CONCATENATE(A$3,"_",A43,"_",B43,"_",C43)</f>
        <v/>
      </c>
      <c r="E43" s="122" t="inlineStr">
        <is>
          <t>Analiza wpływu zakłóceń dostępności infrastruktury technicznej</t>
        </is>
      </c>
      <c r="F43" s="528">
        <f>IFERROR(VLOOKUP($I43,Listy!$A:$H,2,FALSE),"XXX")</f>
        <v/>
      </c>
      <c r="G43" s="528">
        <f>IFERROR(VLOOKUP($I43,Listy!$A:$H,3,FALSE),"XXX")</f>
        <v/>
      </c>
      <c r="H43" s="20" t="n">
        <v>35</v>
      </c>
      <c r="I43" s="89" t="inlineStr">
        <is>
          <t>.a36</t>
        </is>
      </c>
      <c r="J43" s="91" t="inlineStr">
        <is>
          <t>.m01</t>
        </is>
      </c>
      <c r="K43" s="681">
        <f>VLOOKUP(J43,Listy!A:B,2,FALSE)</f>
        <v/>
      </c>
      <c r="L43" s="91" t="inlineStr">
        <is>
          <t>.m47</t>
        </is>
      </c>
      <c r="M43" s="681">
        <f>VLOOKUP(L43,Listy!A:B,2,FALSE)</f>
        <v/>
      </c>
      <c r="N43" s="528" t="n">
        <v>3</v>
      </c>
      <c r="O43" s="528">
        <f>N43*40</f>
        <v/>
      </c>
      <c r="P43" s="187" t="n"/>
      <c r="Q43" s="187" t="n"/>
      <c r="R43" s="187" t="n"/>
      <c r="S43" s="187" t="n"/>
      <c r="T43" s="187" t="n"/>
      <c r="U43" s="187" t="n"/>
      <c r="V43" s="187" t="n"/>
      <c r="W43" s="187" t="n"/>
      <c r="X43" s="187" t="n"/>
      <c r="Y43" s="292" t="n"/>
      <c r="Z43" s="292" t="n"/>
      <c r="AA43" s="292" t="n"/>
      <c r="AB43" s="292" t="n"/>
      <c r="AC43" s="292" t="n"/>
      <c r="AD43" s="292" t="n"/>
      <c r="AE43" s="292" t="n"/>
      <c r="AF43" s="292" t="n"/>
      <c r="AG43" s="305" t="n"/>
      <c r="AH43" s="305" t="n"/>
      <c r="AI43" s="305" t="n"/>
      <c r="AJ43" s="305" t="n"/>
      <c r="AK43" s="305" t="n"/>
      <c r="AL43" s="192">
        <f>ROUND($O43*P43,0)</f>
        <v/>
      </c>
      <c r="AM43" s="192">
        <f>ROUND($O43*Q43,0)</f>
        <v/>
      </c>
      <c r="AN43" s="192">
        <f>ROUND($O43*R43,0)</f>
        <v/>
      </c>
      <c r="AO43" s="192">
        <f>ROUND($O43*S43,0)</f>
        <v/>
      </c>
      <c r="AP43" s="192">
        <f>ROUND($O43*T43,0)</f>
        <v/>
      </c>
      <c r="AQ43" s="192">
        <f>ROUND($O43*U43,0)</f>
        <v/>
      </c>
      <c r="AR43" s="192">
        <f>ROUND($O43*V43,0)</f>
        <v/>
      </c>
      <c r="AS43" s="192">
        <f>ROUND($O43*W43,0)</f>
        <v/>
      </c>
      <c r="AT43" s="192">
        <f>ROUND($O43*X43,0)</f>
        <v/>
      </c>
      <c r="AU43" s="193">
        <f>ROUND($O43*Y43,0)</f>
        <v/>
      </c>
      <c r="AV43" s="193">
        <f>ROUND($O43*Z43,0)</f>
        <v/>
      </c>
      <c r="AW43" s="193">
        <f>ROUND($O43*AA43,0)</f>
        <v/>
      </c>
      <c r="AX43" s="193">
        <f>ROUND($O43*AB43,0)</f>
        <v/>
      </c>
      <c r="AY43" s="193">
        <f>ROUND($O43*AC43,0)</f>
        <v/>
      </c>
      <c r="AZ43" s="193">
        <f>ROUND($O43*AD43,0)</f>
        <v/>
      </c>
      <c r="BA43" s="193">
        <f>ROUND($O43*AE43,0)</f>
        <v/>
      </c>
      <c r="BB43" s="193">
        <f>ROUND($O43*AF43,0)</f>
        <v/>
      </c>
      <c r="BC43" s="306">
        <f>ROUND($O43*AG43,0)</f>
        <v/>
      </c>
      <c r="BD43" s="306">
        <f>ROUND($O43*AH43,0)</f>
        <v/>
      </c>
      <c r="BE43" s="306">
        <f>ROUND($O43*AI43,0)</f>
        <v/>
      </c>
      <c r="BF43" s="306">
        <f>ROUND($O43*AJ43,0)</f>
        <v/>
      </c>
      <c r="BG43" s="306">
        <f>ROUND($O43*AK43,0)</f>
        <v/>
      </c>
      <c r="BH43" s="236">
        <f>SUM(AL43:AT43)</f>
        <v/>
      </c>
      <c r="BI43" s="528">
        <f>BH43/160</f>
        <v/>
      </c>
      <c r="BJ43" s="87">
        <f>VLOOKUP(I43,Listy!$A$1:$H$9,6,FALSE)</f>
        <v/>
      </c>
      <c r="BK43" s="682">
        <f>BI43*BJ43</f>
        <v/>
      </c>
      <c r="BL43" s="683">
        <f>BI43*BK43</f>
        <v/>
      </c>
      <c r="BM43" s="528" t="n"/>
      <c r="BN43" s="528" t="n"/>
      <c r="BO43" s="528" t="n"/>
      <c r="BP43" s="528" t="n"/>
      <c r="BQ43" s="528" t="n"/>
      <c r="BR43" s="528" t="n"/>
      <c r="BS43" s="21">
        <f>BQ43*BR43</f>
        <v/>
      </c>
      <c r="BT43" s="528" t="n"/>
      <c r="BU43" s="528" t="n"/>
      <c r="BV43" s="528" t="n"/>
      <c r="BW43" s="528" t="n"/>
      <c r="BX43" s="528" t="n"/>
      <c r="BY43" s="528" t="n"/>
      <c r="BZ43" s="528" t="n"/>
      <c r="CA43" s="528" t="n"/>
      <c r="CB43" s="528" t="n"/>
      <c r="CC43" s="528" t="n"/>
      <c r="CD43" s="528" t="n"/>
      <c r="CE43" s="528" t="n"/>
      <c r="CF43" s="528" t="n"/>
      <c r="CG43" s="21">
        <f>CE43*CF43</f>
        <v/>
      </c>
      <c r="CH43" s="528" t="n"/>
      <c r="CI43" s="528" t="n"/>
      <c r="CJ43" s="528" t="n"/>
      <c r="CK43" s="21">
        <f>CI43*CJ43</f>
        <v/>
      </c>
      <c r="CL43" s="528" t="n"/>
      <c r="CM43" s="528" t="n"/>
      <c r="CN43" s="528" t="n"/>
      <c r="CO43" s="21">
        <f>CM43*CN43</f>
        <v/>
      </c>
    </row>
    <row r="44">
      <c r="A44" s="112" t="n">
        <v>1</v>
      </c>
      <c r="B44" s="64" t="inlineStr">
        <is>
          <t>f</t>
        </is>
      </c>
      <c r="C44" s="105" t="n">
        <v>1</v>
      </c>
      <c r="D44" s="116">
        <f>CONCATENATE(A$3,"_",A44,"_",B44,"_",C44)</f>
        <v/>
      </c>
      <c r="E44" s="122" t="inlineStr">
        <is>
          <t>Stworzenie mapy zidentyfikowanych algorytmów/etapów PT</t>
        </is>
      </c>
      <c r="F44" s="528">
        <f>IFERROR(VLOOKUP($I44,Listy!$A:$H,2,FALSE),"XXX")</f>
        <v/>
      </c>
      <c r="G44" s="528">
        <f>IFERROR(VLOOKUP($I44,Listy!$A:$H,3,FALSE),"XXX")</f>
        <v/>
      </c>
      <c r="H44" s="20" t="n">
        <v>36</v>
      </c>
      <c r="I44" s="89" t="inlineStr">
        <is>
          <t>.a37</t>
        </is>
      </c>
      <c r="J44" s="91" t="inlineStr">
        <is>
          <t>.m01</t>
        </is>
      </c>
      <c r="K44" s="681">
        <f>VLOOKUP(J44,Listy!A:B,2,FALSE)</f>
        <v/>
      </c>
      <c r="L44" s="91" t="inlineStr">
        <is>
          <t>.m48</t>
        </is>
      </c>
      <c r="M44" s="681">
        <f>VLOOKUP(L44,Listy!A:B,2,FALSE)</f>
        <v/>
      </c>
      <c r="N44" s="528" t="n">
        <v>3</v>
      </c>
      <c r="O44" s="528">
        <f>N44*40</f>
        <v/>
      </c>
      <c r="P44" s="187" t="n"/>
      <c r="Q44" s="187" t="n"/>
      <c r="R44" s="187" t="n"/>
      <c r="S44" s="187" t="n"/>
      <c r="T44" s="187" t="n"/>
      <c r="U44" s="187" t="n"/>
      <c r="V44" s="187" t="n"/>
      <c r="W44" s="187" t="n"/>
      <c r="X44" s="187" t="n"/>
      <c r="Y44" s="292" t="n"/>
      <c r="Z44" s="292" t="n"/>
      <c r="AA44" s="292" t="n"/>
      <c r="AB44" s="292" t="n"/>
      <c r="AC44" s="292" t="n"/>
      <c r="AD44" s="292" t="n"/>
      <c r="AE44" s="292" t="n"/>
      <c r="AF44" s="292" t="n"/>
      <c r="AG44" s="305" t="n"/>
      <c r="AH44" s="305" t="n"/>
      <c r="AI44" s="305" t="n"/>
      <c r="AJ44" s="305" t="n"/>
      <c r="AK44" s="305" t="n"/>
      <c r="AL44" s="192">
        <f>ROUND($O44*P44,0)</f>
        <v/>
      </c>
      <c r="AM44" s="192">
        <f>ROUND($O44*Q44,0)</f>
        <v/>
      </c>
      <c r="AN44" s="192">
        <f>ROUND($O44*R44,0)</f>
        <v/>
      </c>
      <c r="AO44" s="192">
        <f>ROUND($O44*S44,0)</f>
        <v/>
      </c>
      <c r="AP44" s="192">
        <f>ROUND($O44*T44,0)</f>
        <v/>
      </c>
      <c r="AQ44" s="192">
        <f>ROUND($O44*U44,0)</f>
        <v/>
      </c>
      <c r="AR44" s="192">
        <f>ROUND($O44*V44,0)</f>
        <v/>
      </c>
      <c r="AS44" s="192">
        <f>ROUND($O44*W44,0)</f>
        <v/>
      </c>
      <c r="AT44" s="192">
        <f>ROUND($O44*X44,0)</f>
        <v/>
      </c>
      <c r="AU44" s="193">
        <f>ROUND($O44*Y44,0)</f>
        <v/>
      </c>
      <c r="AV44" s="193">
        <f>ROUND($O44*Z44,0)</f>
        <v/>
      </c>
      <c r="AW44" s="193">
        <f>ROUND($O44*AA44,0)</f>
        <v/>
      </c>
      <c r="AX44" s="193">
        <f>ROUND($O44*AB44,0)</f>
        <v/>
      </c>
      <c r="AY44" s="193">
        <f>ROUND($O44*AC44,0)</f>
        <v/>
      </c>
      <c r="AZ44" s="193">
        <f>ROUND($O44*AD44,0)</f>
        <v/>
      </c>
      <c r="BA44" s="193">
        <f>ROUND($O44*AE44,0)</f>
        <v/>
      </c>
      <c r="BB44" s="193">
        <f>ROUND($O44*AF44,0)</f>
        <v/>
      </c>
      <c r="BC44" s="306">
        <f>ROUND($O44*AG44,0)</f>
        <v/>
      </c>
      <c r="BD44" s="306">
        <f>ROUND($O44*AH44,0)</f>
        <v/>
      </c>
      <c r="BE44" s="306">
        <f>ROUND($O44*AI44,0)</f>
        <v/>
      </c>
      <c r="BF44" s="306">
        <f>ROUND($O44*AJ44,0)</f>
        <v/>
      </c>
      <c r="BG44" s="306">
        <f>ROUND($O44*AK44,0)</f>
        <v/>
      </c>
      <c r="BH44" s="236">
        <f>SUM(AL44:AT44)</f>
        <v/>
      </c>
      <c r="BI44" s="528">
        <f>BH44/160</f>
        <v/>
      </c>
      <c r="BJ44" s="87">
        <f>VLOOKUP(I44,Listy!$A$1:$H$9,6,FALSE)</f>
        <v/>
      </c>
      <c r="BK44" s="682">
        <f>BI44*BJ44</f>
        <v/>
      </c>
      <c r="BL44" s="683">
        <f>BI44*BK44</f>
        <v/>
      </c>
      <c r="BM44" s="528" t="n"/>
      <c r="BN44" s="528" t="n"/>
      <c r="BO44" s="528" t="n"/>
      <c r="BP44" s="528" t="n"/>
      <c r="BQ44" s="528" t="n"/>
      <c r="BR44" s="528" t="n"/>
      <c r="BS44" s="22">
        <f>BQ44*BR44</f>
        <v/>
      </c>
      <c r="BT44" s="528" t="n"/>
      <c r="BU44" s="528" t="n"/>
      <c r="BV44" s="314" t="n"/>
      <c r="BW44" s="528" t="n"/>
      <c r="BX44" s="528" t="n"/>
      <c r="BY44" s="314" t="n"/>
      <c r="BZ44" s="528" t="n"/>
      <c r="CA44" s="528" t="n"/>
      <c r="CB44" s="314" t="n"/>
      <c r="CC44" s="314" t="n"/>
      <c r="CD44" s="528" t="n"/>
      <c r="CE44" s="528" t="n"/>
      <c r="CF44" s="528" t="n"/>
      <c r="CG44" s="22">
        <f>CE44*CF44</f>
        <v/>
      </c>
      <c r="CH44" s="528" t="n"/>
      <c r="CI44" s="528" t="n"/>
      <c r="CJ44" s="528" t="n"/>
      <c r="CK44" s="22">
        <f>CI44*CJ44</f>
        <v/>
      </c>
      <c r="CL44" s="528" t="n"/>
      <c r="CM44" s="528" t="n"/>
      <c r="CN44" s="528" t="n"/>
      <c r="CO44" s="22">
        <f>CM44*CN44</f>
        <v/>
      </c>
    </row>
    <row r="45">
      <c r="A45" s="112" t="n">
        <v>1</v>
      </c>
      <c r="B45" s="64" t="inlineStr">
        <is>
          <t>e</t>
        </is>
      </c>
      <c r="C45" s="105" t="n">
        <v>1</v>
      </c>
      <c r="D45" s="116">
        <f>CONCATENATE(A$3,"_",A45,"_",B45,"_",C45)</f>
        <v/>
      </c>
      <c r="E45" s="122" t="inlineStr">
        <is>
          <t>Analiza wpływu zakłóceń dostępności infrastruktury technicznej</t>
        </is>
      </c>
      <c r="F45" s="528">
        <f>IFERROR(VLOOKUP($I45,Listy!$A:$H,2,FALSE),"XXX")</f>
        <v/>
      </c>
      <c r="G45" s="528">
        <f>IFERROR(VLOOKUP($I45,Listy!$A:$H,3,FALSE),"XXX")</f>
        <v/>
      </c>
      <c r="H45" s="20" t="n">
        <v>37</v>
      </c>
      <c r="I45" s="89" t="inlineStr">
        <is>
          <t>.a38</t>
        </is>
      </c>
      <c r="J45" s="91" t="inlineStr">
        <is>
          <t>.m01</t>
        </is>
      </c>
      <c r="K45" s="681">
        <f>VLOOKUP(J45,Listy!A:B,2,FALSE)</f>
        <v/>
      </c>
      <c r="L45" s="91" t="inlineStr">
        <is>
          <t>.m49</t>
        </is>
      </c>
      <c r="M45" s="681">
        <f>VLOOKUP(L45,Listy!A:B,2,FALSE)</f>
        <v/>
      </c>
      <c r="N45" s="528" t="n">
        <v>3</v>
      </c>
      <c r="O45" s="528">
        <f>N45*40</f>
        <v/>
      </c>
      <c r="P45" s="187" t="n"/>
      <c r="Q45" s="187" t="n"/>
      <c r="R45" s="187" t="n"/>
      <c r="S45" s="187" t="n"/>
      <c r="T45" s="187" t="n"/>
      <c r="U45" s="187" t="n"/>
      <c r="V45" s="187" t="n"/>
      <c r="W45" s="187" t="n"/>
      <c r="X45" s="187" t="n"/>
      <c r="Y45" s="292" t="n"/>
      <c r="Z45" s="292" t="n"/>
      <c r="AA45" s="292" t="n"/>
      <c r="AB45" s="292" t="n"/>
      <c r="AC45" s="292" t="n"/>
      <c r="AD45" s="292" t="n"/>
      <c r="AE45" s="292" t="n"/>
      <c r="AF45" s="292" t="n"/>
      <c r="AG45" s="305" t="n"/>
      <c r="AH45" s="305" t="n"/>
      <c r="AI45" s="305" t="n"/>
      <c r="AJ45" s="305" t="n"/>
      <c r="AK45" s="305" t="n"/>
      <c r="AL45" s="192">
        <f>ROUND($O45*P45,0)</f>
        <v/>
      </c>
      <c r="AM45" s="192">
        <f>ROUND($O45*Q45,0)</f>
        <v/>
      </c>
      <c r="AN45" s="192">
        <f>ROUND($O45*R45,0)</f>
        <v/>
      </c>
      <c r="AO45" s="192">
        <f>ROUND($O45*S45,0)</f>
        <v/>
      </c>
      <c r="AP45" s="192">
        <f>ROUND($O45*T45,0)</f>
        <v/>
      </c>
      <c r="AQ45" s="192">
        <f>ROUND($O45*U45,0)</f>
        <v/>
      </c>
      <c r="AR45" s="192">
        <f>ROUND($O45*V45,0)</f>
        <v/>
      </c>
      <c r="AS45" s="192">
        <f>ROUND($O45*W45,0)</f>
        <v/>
      </c>
      <c r="AT45" s="192">
        <f>ROUND($O45*X45,0)</f>
        <v/>
      </c>
      <c r="AU45" s="193">
        <f>ROUND($O45*Y45,0)</f>
        <v/>
      </c>
      <c r="AV45" s="193">
        <f>ROUND($O45*Z45,0)</f>
        <v/>
      </c>
      <c r="AW45" s="193">
        <f>ROUND($O45*AA45,0)</f>
        <v/>
      </c>
      <c r="AX45" s="193">
        <f>ROUND($O45*AB45,0)</f>
        <v/>
      </c>
      <c r="AY45" s="193">
        <f>ROUND($O45*AC45,0)</f>
        <v/>
      </c>
      <c r="AZ45" s="193">
        <f>ROUND($O45*AD45,0)</f>
        <v/>
      </c>
      <c r="BA45" s="193">
        <f>ROUND($O45*AE45,0)</f>
        <v/>
      </c>
      <c r="BB45" s="193">
        <f>ROUND($O45*AF45,0)</f>
        <v/>
      </c>
      <c r="BC45" s="306">
        <f>ROUND($O45*AG45,0)</f>
        <v/>
      </c>
      <c r="BD45" s="306">
        <f>ROUND($O45*AH45,0)</f>
        <v/>
      </c>
      <c r="BE45" s="306">
        <f>ROUND($O45*AI45,0)</f>
        <v/>
      </c>
      <c r="BF45" s="306">
        <f>ROUND($O45*AJ45,0)</f>
        <v/>
      </c>
      <c r="BG45" s="306">
        <f>ROUND($O45*AK45,0)</f>
        <v/>
      </c>
      <c r="BH45" s="236">
        <f>SUM(AL45:AT45)</f>
        <v/>
      </c>
      <c r="BI45" s="528">
        <f>BH45/160</f>
        <v/>
      </c>
      <c r="BJ45" s="87">
        <f>VLOOKUP(I45,Listy!$A$1:$H$9,6,FALSE)</f>
        <v/>
      </c>
      <c r="BK45" s="682">
        <f>BI45*BJ45</f>
        <v/>
      </c>
      <c r="BL45" s="683">
        <f>BI45*BK45</f>
        <v/>
      </c>
      <c r="BM45" s="528" t="n"/>
      <c r="BN45" s="528" t="n"/>
      <c r="BO45" s="528" t="n"/>
      <c r="BP45" s="528" t="n"/>
      <c r="BQ45" s="528" t="n"/>
      <c r="BR45" s="528" t="n"/>
      <c r="BS45" s="21">
        <f>BQ45*BR45</f>
        <v/>
      </c>
      <c r="BT45" s="528" t="n"/>
      <c r="BU45" s="528" t="n"/>
      <c r="BV45" s="528" t="n"/>
      <c r="BW45" s="528" t="n"/>
      <c r="BX45" s="528" t="n"/>
      <c r="BY45" s="528" t="n"/>
      <c r="BZ45" s="528" t="n"/>
      <c r="CA45" s="528" t="n"/>
      <c r="CB45" s="528" t="n"/>
      <c r="CC45" s="528" t="n"/>
      <c r="CD45" s="528" t="n"/>
      <c r="CE45" s="528" t="n"/>
      <c r="CF45" s="528" t="n"/>
      <c r="CG45" s="21">
        <f>CE45*CF45</f>
        <v/>
      </c>
      <c r="CH45" s="528" t="n"/>
      <c r="CI45" s="528" t="n"/>
      <c r="CJ45" s="528" t="n"/>
      <c r="CK45" s="21">
        <f>CI45*CJ45</f>
        <v/>
      </c>
      <c r="CL45" s="528" t="n"/>
      <c r="CM45" s="528" t="n"/>
      <c r="CN45" s="528" t="n"/>
      <c r="CO45" s="21">
        <f>CM45*CN45</f>
        <v/>
      </c>
    </row>
    <row r="46">
      <c r="A46" s="112" t="n">
        <v>1</v>
      </c>
      <c r="B46" s="64" t="inlineStr">
        <is>
          <t>f</t>
        </is>
      </c>
      <c r="C46" s="105" t="n">
        <v>1</v>
      </c>
      <c r="D46" s="116">
        <f>CONCATENATE(A$3,"_",A46,"_",B46,"_",C46)</f>
        <v/>
      </c>
      <c r="E46" s="122" t="inlineStr">
        <is>
          <t>Stworzenie mapy zidentyfikowanych algorytmów/etapów PT</t>
        </is>
      </c>
      <c r="F46" s="528">
        <f>IFERROR(VLOOKUP($I46,Listy!$A:$H,2,FALSE),"XXX")</f>
        <v/>
      </c>
      <c r="G46" s="528">
        <f>IFERROR(VLOOKUP($I46,Listy!$A:$H,3,FALSE),"XXX")</f>
        <v/>
      </c>
      <c r="H46" s="20" t="n">
        <v>38</v>
      </c>
      <c r="I46" s="89" t="inlineStr">
        <is>
          <t>.a39</t>
        </is>
      </c>
      <c r="J46" s="91" t="inlineStr">
        <is>
          <t>.m01</t>
        </is>
      </c>
      <c r="K46" s="681">
        <f>VLOOKUP(J46,Listy!A:B,2,FALSE)</f>
        <v/>
      </c>
      <c r="L46" s="91" t="inlineStr">
        <is>
          <t>.m50</t>
        </is>
      </c>
      <c r="M46" s="681">
        <f>VLOOKUP(L46,Listy!A:B,2,FALSE)</f>
        <v/>
      </c>
      <c r="N46" s="528" t="n">
        <v>3</v>
      </c>
      <c r="O46" s="528">
        <f>N46*40</f>
        <v/>
      </c>
      <c r="P46" s="187" t="n"/>
      <c r="Q46" s="187" t="n"/>
      <c r="R46" s="187" t="n"/>
      <c r="S46" s="187" t="n"/>
      <c r="T46" s="187" t="n"/>
      <c r="U46" s="187" t="n"/>
      <c r="V46" s="187" t="n"/>
      <c r="W46" s="187" t="n"/>
      <c r="X46" s="187" t="n"/>
      <c r="Y46" s="292" t="n"/>
      <c r="Z46" s="292" t="n"/>
      <c r="AA46" s="292" t="n"/>
      <c r="AB46" s="292" t="n"/>
      <c r="AC46" s="292" t="n"/>
      <c r="AD46" s="292" t="n"/>
      <c r="AE46" s="292" t="n"/>
      <c r="AF46" s="292" t="n"/>
      <c r="AG46" s="305" t="n"/>
      <c r="AH46" s="305" t="n"/>
      <c r="AI46" s="305" t="n"/>
      <c r="AJ46" s="305" t="n"/>
      <c r="AK46" s="305" t="n"/>
      <c r="AL46" s="192">
        <f>ROUND($O46*P46,0)</f>
        <v/>
      </c>
      <c r="AM46" s="192">
        <f>ROUND($O46*Q46,0)</f>
        <v/>
      </c>
      <c r="AN46" s="192">
        <f>ROUND($O46*R46,0)</f>
        <v/>
      </c>
      <c r="AO46" s="192">
        <f>ROUND($O46*S46,0)</f>
        <v/>
      </c>
      <c r="AP46" s="192">
        <f>ROUND($O46*T46,0)</f>
        <v/>
      </c>
      <c r="AQ46" s="192">
        <f>ROUND($O46*U46,0)</f>
        <v/>
      </c>
      <c r="AR46" s="192">
        <f>ROUND($O46*V46,0)</f>
        <v/>
      </c>
      <c r="AS46" s="192">
        <f>ROUND($O46*W46,0)</f>
        <v/>
      </c>
      <c r="AT46" s="192">
        <f>ROUND($O46*X46,0)</f>
        <v/>
      </c>
      <c r="AU46" s="193">
        <f>ROUND($O46*Y46,0)</f>
        <v/>
      </c>
      <c r="AV46" s="193">
        <f>ROUND($O46*Z46,0)</f>
        <v/>
      </c>
      <c r="AW46" s="193">
        <f>ROUND($O46*AA46,0)</f>
        <v/>
      </c>
      <c r="AX46" s="193">
        <f>ROUND($O46*AB46,0)</f>
        <v/>
      </c>
      <c r="AY46" s="193">
        <f>ROUND($O46*AC46,0)</f>
        <v/>
      </c>
      <c r="AZ46" s="193">
        <f>ROUND($O46*AD46,0)</f>
        <v/>
      </c>
      <c r="BA46" s="193">
        <f>ROUND($O46*AE46,0)</f>
        <v/>
      </c>
      <c r="BB46" s="193">
        <f>ROUND($O46*AF46,0)</f>
        <v/>
      </c>
      <c r="BC46" s="306">
        <f>ROUND($O46*AG46,0)</f>
        <v/>
      </c>
      <c r="BD46" s="306">
        <f>ROUND($O46*AH46,0)</f>
        <v/>
      </c>
      <c r="BE46" s="306">
        <f>ROUND($O46*AI46,0)</f>
        <v/>
      </c>
      <c r="BF46" s="306">
        <f>ROUND($O46*AJ46,0)</f>
        <v/>
      </c>
      <c r="BG46" s="306">
        <f>ROUND($O46*AK46,0)</f>
        <v/>
      </c>
      <c r="BH46" s="236">
        <f>SUM(AL46:AT46)</f>
        <v/>
      </c>
      <c r="BI46" s="528">
        <f>BH46/160</f>
        <v/>
      </c>
      <c r="BJ46" s="87">
        <f>VLOOKUP(I46,Listy!$A$1:$H$9,6,FALSE)</f>
        <v/>
      </c>
      <c r="BK46" s="682">
        <f>BI46*BJ46</f>
        <v/>
      </c>
      <c r="BL46" s="683">
        <f>BI46*BK46</f>
        <v/>
      </c>
      <c r="BM46" s="528" t="n"/>
      <c r="BN46" s="528" t="n"/>
      <c r="BO46" s="528" t="n"/>
      <c r="BP46" s="528" t="n"/>
      <c r="BQ46" s="528" t="n"/>
      <c r="BR46" s="528" t="n"/>
      <c r="BS46" s="22">
        <f>BQ46*BR46</f>
        <v/>
      </c>
      <c r="BT46" s="528" t="n"/>
      <c r="BU46" s="528" t="n"/>
      <c r="BV46" s="314" t="n"/>
      <c r="BW46" s="528" t="n"/>
      <c r="BX46" s="528" t="n"/>
      <c r="BY46" s="314" t="n"/>
      <c r="BZ46" s="528" t="n"/>
      <c r="CA46" s="528" t="n"/>
      <c r="CB46" s="314" t="n"/>
      <c r="CC46" s="314" t="n"/>
      <c r="CD46" s="528" t="n"/>
      <c r="CE46" s="528" t="n"/>
      <c r="CF46" s="528" t="n"/>
      <c r="CG46" s="22">
        <f>CE46*CF46</f>
        <v/>
      </c>
      <c r="CH46" s="528" t="n"/>
      <c r="CI46" s="528" t="n"/>
      <c r="CJ46" s="528" t="n"/>
      <c r="CK46" s="22">
        <f>CI46*CJ46</f>
        <v/>
      </c>
      <c r="CL46" s="528" t="n"/>
      <c r="CM46" s="528" t="n"/>
      <c r="CN46" s="528" t="n"/>
      <c r="CO46" s="22">
        <f>CM46*CN46</f>
        <v/>
      </c>
    </row>
    <row r="47">
      <c r="A47" s="112" t="n">
        <v>1</v>
      </c>
      <c r="B47" s="64" t="inlineStr">
        <is>
          <t>e</t>
        </is>
      </c>
      <c r="C47" s="105" t="n">
        <v>1</v>
      </c>
      <c r="D47" s="116">
        <f>CONCATENATE(A$3,"_",A47,"_",B47,"_",C47)</f>
        <v/>
      </c>
      <c r="E47" s="122" t="inlineStr">
        <is>
          <t>Analiza wpływu zakłóceń dostępności infrastruktury technicznej</t>
        </is>
      </c>
      <c r="F47" s="528">
        <f>IFERROR(VLOOKUP($I47,Listy!$A:$H,2,FALSE),"XXX")</f>
        <v/>
      </c>
      <c r="G47" s="528">
        <f>IFERROR(VLOOKUP($I47,Listy!$A:$H,3,FALSE),"XXX")</f>
        <v/>
      </c>
      <c r="H47" s="20" t="n">
        <v>39</v>
      </c>
      <c r="I47" s="89" t="inlineStr">
        <is>
          <t>.a40</t>
        </is>
      </c>
      <c r="J47" s="91" t="inlineStr">
        <is>
          <t>.m01</t>
        </is>
      </c>
      <c r="K47" s="681">
        <f>VLOOKUP(J47,Listy!A:B,2,FALSE)</f>
        <v/>
      </c>
      <c r="L47" s="91" t="inlineStr">
        <is>
          <t>.m51</t>
        </is>
      </c>
      <c r="M47" s="681">
        <f>VLOOKUP(L47,Listy!A:B,2,FALSE)</f>
        <v/>
      </c>
      <c r="N47" s="528" t="n">
        <v>3</v>
      </c>
      <c r="O47" s="528">
        <f>N47*40</f>
        <v/>
      </c>
      <c r="P47" s="187" t="n"/>
      <c r="Q47" s="187" t="n"/>
      <c r="R47" s="187" t="n"/>
      <c r="S47" s="187" t="n"/>
      <c r="T47" s="187" t="n"/>
      <c r="U47" s="187" t="n"/>
      <c r="V47" s="187" t="n"/>
      <c r="W47" s="187" t="n"/>
      <c r="X47" s="187" t="n"/>
      <c r="Y47" s="292" t="n"/>
      <c r="Z47" s="292" t="n"/>
      <c r="AA47" s="292" t="n"/>
      <c r="AB47" s="292" t="n"/>
      <c r="AC47" s="292" t="n"/>
      <c r="AD47" s="292" t="n"/>
      <c r="AE47" s="292" t="n"/>
      <c r="AF47" s="292" t="n"/>
      <c r="AG47" s="305" t="n"/>
      <c r="AH47" s="305" t="n"/>
      <c r="AI47" s="305" t="n"/>
      <c r="AJ47" s="305" t="n"/>
      <c r="AK47" s="305" t="n"/>
      <c r="AL47" s="192">
        <f>ROUND($O47*P47,0)</f>
        <v/>
      </c>
      <c r="AM47" s="192">
        <f>ROUND($O47*Q47,0)</f>
        <v/>
      </c>
      <c r="AN47" s="192">
        <f>ROUND($O47*R47,0)</f>
        <v/>
      </c>
      <c r="AO47" s="192">
        <f>ROUND($O47*S47,0)</f>
        <v/>
      </c>
      <c r="AP47" s="192">
        <f>ROUND($O47*T47,0)</f>
        <v/>
      </c>
      <c r="AQ47" s="192">
        <f>ROUND($O47*U47,0)</f>
        <v/>
      </c>
      <c r="AR47" s="192">
        <f>ROUND($O47*V47,0)</f>
        <v/>
      </c>
      <c r="AS47" s="192">
        <f>ROUND($O47*W47,0)</f>
        <v/>
      </c>
      <c r="AT47" s="192">
        <f>ROUND($O47*X47,0)</f>
        <v/>
      </c>
      <c r="AU47" s="193">
        <f>ROUND($O47*Y47,0)</f>
        <v/>
      </c>
      <c r="AV47" s="193">
        <f>ROUND($O47*Z47,0)</f>
        <v/>
      </c>
      <c r="AW47" s="193">
        <f>ROUND($O47*AA47,0)</f>
        <v/>
      </c>
      <c r="AX47" s="193">
        <f>ROUND($O47*AB47,0)</f>
        <v/>
      </c>
      <c r="AY47" s="193">
        <f>ROUND($O47*AC47,0)</f>
        <v/>
      </c>
      <c r="AZ47" s="193">
        <f>ROUND($O47*AD47,0)</f>
        <v/>
      </c>
      <c r="BA47" s="193">
        <f>ROUND($O47*AE47,0)</f>
        <v/>
      </c>
      <c r="BB47" s="193">
        <f>ROUND($O47*AF47,0)</f>
        <v/>
      </c>
      <c r="BC47" s="306">
        <f>ROUND($O47*AG47,0)</f>
        <v/>
      </c>
      <c r="BD47" s="306">
        <f>ROUND($O47*AH47,0)</f>
        <v/>
      </c>
      <c r="BE47" s="306">
        <f>ROUND($O47*AI47,0)</f>
        <v/>
      </c>
      <c r="BF47" s="306">
        <f>ROUND($O47*AJ47,0)</f>
        <v/>
      </c>
      <c r="BG47" s="306">
        <f>ROUND($O47*AK47,0)</f>
        <v/>
      </c>
      <c r="BH47" s="236">
        <f>SUM(AL47:AT47)</f>
        <v/>
      </c>
      <c r="BI47" s="528">
        <f>BH47/160</f>
        <v/>
      </c>
      <c r="BJ47" s="87">
        <f>VLOOKUP(I47,Listy!$A$1:$H$9,6,FALSE)</f>
        <v/>
      </c>
      <c r="BK47" s="682">
        <f>BI47*BJ47</f>
        <v/>
      </c>
      <c r="BL47" s="683">
        <f>BI47*BK47</f>
        <v/>
      </c>
      <c r="BM47" s="528" t="n"/>
      <c r="BN47" s="528" t="n"/>
      <c r="BO47" s="528" t="n"/>
      <c r="BP47" s="528" t="n"/>
      <c r="BQ47" s="528" t="n"/>
      <c r="BR47" s="528" t="n"/>
      <c r="BS47" s="21">
        <f>BQ47*BR47</f>
        <v/>
      </c>
      <c r="BT47" s="528" t="n"/>
      <c r="BU47" s="528" t="n"/>
      <c r="BV47" s="528" t="n"/>
      <c r="BW47" s="528" t="n"/>
      <c r="BX47" s="528" t="n"/>
      <c r="BY47" s="528" t="n"/>
      <c r="BZ47" s="528" t="n"/>
      <c r="CA47" s="528" t="n"/>
      <c r="CB47" s="528" t="n"/>
      <c r="CC47" s="528" t="n"/>
      <c r="CD47" s="528" t="n"/>
      <c r="CE47" s="528" t="n"/>
      <c r="CF47" s="528" t="n"/>
      <c r="CG47" s="21">
        <f>CE47*CF47</f>
        <v/>
      </c>
      <c r="CH47" s="528" t="n"/>
      <c r="CI47" s="528" t="n"/>
      <c r="CJ47" s="528" t="n"/>
      <c r="CK47" s="21">
        <f>CI47*CJ47</f>
        <v/>
      </c>
      <c r="CL47" s="528" t="n"/>
      <c r="CM47" s="528" t="n"/>
      <c r="CN47" s="528" t="n"/>
      <c r="CO47" s="21">
        <f>CM47*CN47</f>
        <v/>
      </c>
    </row>
    <row r="48">
      <c r="A48" s="112" t="n">
        <v>1</v>
      </c>
      <c r="B48" s="64" t="inlineStr">
        <is>
          <t>f</t>
        </is>
      </c>
      <c r="C48" s="105" t="n">
        <v>1</v>
      </c>
      <c r="D48" s="116">
        <f>CONCATENATE(A$3,"_",A48,"_",B48,"_",C48)</f>
        <v/>
      </c>
      <c r="E48" s="122" t="inlineStr">
        <is>
          <t>Stworzenie mapy zidentyfikowanych algorytmów/etapów PT</t>
        </is>
      </c>
      <c r="F48" s="528">
        <f>IFERROR(VLOOKUP($I48,Listy!$A:$H,2,FALSE),"XXX")</f>
        <v/>
      </c>
      <c r="G48" s="528">
        <f>IFERROR(VLOOKUP($I48,Listy!$A:$H,3,FALSE),"XXX")</f>
        <v/>
      </c>
      <c r="H48" s="20" t="n">
        <v>40</v>
      </c>
      <c r="I48" s="89" t="inlineStr">
        <is>
          <t>.a41</t>
        </is>
      </c>
      <c r="J48" s="91" t="inlineStr">
        <is>
          <t>.m01</t>
        </is>
      </c>
      <c r="K48" s="681">
        <f>VLOOKUP(J48,Listy!A:B,2,FALSE)</f>
        <v/>
      </c>
      <c r="L48" s="91" t="inlineStr">
        <is>
          <t>.m52</t>
        </is>
      </c>
      <c r="M48" s="681">
        <f>VLOOKUP(L48,Listy!A:B,2,FALSE)</f>
        <v/>
      </c>
      <c r="N48" s="528" t="n">
        <v>3</v>
      </c>
      <c r="O48" s="528">
        <f>N48*40</f>
        <v/>
      </c>
      <c r="P48" s="187" t="n"/>
      <c r="Q48" s="187" t="n"/>
      <c r="R48" s="187" t="n"/>
      <c r="S48" s="187" t="n"/>
      <c r="T48" s="187" t="n"/>
      <c r="U48" s="187" t="n"/>
      <c r="V48" s="187" t="n"/>
      <c r="W48" s="187" t="n"/>
      <c r="X48" s="187" t="n"/>
      <c r="Y48" s="292" t="n"/>
      <c r="Z48" s="292" t="n"/>
      <c r="AA48" s="292" t="n"/>
      <c r="AB48" s="292" t="n"/>
      <c r="AC48" s="292" t="n"/>
      <c r="AD48" s="292" t="n"/>
      <c r="AE48" s="292" t="n"/>
      <c r="AF48" s="292" t="n"/>
      <c r="AG48" s="305" t="n"/>
      <c r="AH48" s="305" t="n"/>
      <c r="AI48" s="305" t="n"/>
      <c r="AJ48" s="305" t="n"/>
      <c r="AK48" s="305" t="n"/>
      <c r="AL48" s="192">
        <f>ROUND($O48*P48,0)</f>
        <v/>
      </c>
      <c r="AM48" s="192">
        <f>ROUND($O48*Q48,0)</f>
        <v/>
      </c>
      <c r="AN48" s="192">
        <f>ROUND($O48*R48,0)</f>
        <v/>
      </c>
      <c r="AO48" s="192">
        <f>ROUND($O48*S48,0)</f>
        <v/>
      </c>
      <c r="AP48" s="192">
        <f>ROUND($O48*T48,0)</f>
        <v/>
      </c>
      <c r="AQ48" s="192">
        <f>ROUND($O48*U48,0)</f>
        <v/>
      </c>
      <c r="AR48" s="192">
        <f>ROUND($O48*V48,0)</f>
        <v/>
      </c>
      <c r="AS48" s="192">
        <f>ROUND($O48*W48,0)</f>
        <v/>
      </c>
      <c r="AT48" s="192">
        <f>ROUND($O48*X48,0)</f>
        <v/>
      </c>
      <c r="AU48" s="193">
        <f>ROUND($O48*Y48,0)</f>
        <v/>
      </c>
      <c r="AV48" s="193">
        <f>ROUND($O48*Z48,0)</f>
        <v/>
      </c>
      <c r="AW48" s="193">
        <f>ROUND($O48*AA48,0)</f>
        <v/>
      </c>
      <c r="AX48" s="193">
        <f>ROUND($O48*AB48,0)</f>
        <v/>
      </c>
      <c r="AY48" s="193">
        <f>ROUND($O48*AC48,0)</f>
        <v/>
      </c>
      <c r="AZ48" s="193">
        <f>ROUND($O48*AD48,0)</f>
        <v/>
      </c>
      <c r="BA48" s="193">
        <f>ROUND($O48*AE48,0)</f>
        <v/>
      </c>
      <c r="BB48" s="193">
        <f>ROUND($O48*AF48,0)</f>
        <v/>
      </c>
      <c r="BC48" s="306">
        <f>ROUND($O48*AG48,0)</f>
        <v/>
      </c>
      <c r="BD48" s="306">
        <f>ROUND($O48*AH48,0)</f>
        <v/>
      </c>
      <c r="BE48" s="306">
        <f>ROUND($O48*AI48,0)</f>
        <v/>
      </c>
      <c r="BF48" s="306">
        <f>ROUND($O48*AJ48,0)</f>
        <v/>
      </c>
      <c r="BG48" s="306">
        <f>ROUND($O48*AK48,0)</f>
        <v/>
      </c>
      <c r="BH48" s="236">
        <f>SUM(AL48:AT48)</f>
        <v/>
      </c>
      <c r="BI48" s="528">
        <f>BH48/160</f>
        <v/>
      </c>
      <c r="BJ48" s="87">
        <f>VLOOKUP(I48,Listy!$A$1:$H$9,6,FALSE)</f>
        <v/>
      </c>
      <c r="BK48" s="682">
        <f>BI48*BJ48</f>
        <v/>
      </c>
      <c r="BL48" s="683">
        <f>BI48*BK48</f>
        <v/>
      </c>
      <c r="BM48" s="528" t="n"/>
      <c r="BN48" s="528" t="n"/>
      <c r="BO48" s="528" t="n"/>
      <c r="BP48" s="528" t="n"/>
      <c r="BQ48" s="528" t="n"/>
      <c r="BR48" s="528" t="n"/>
      <c r="BS48" s="22">
        <f>BQ48*BR48</f>
        <v/>
      </c>
      <c r="BT48" s="528" t="n"/>
      <c r="BU48" s="528" t="n"/>
      <c r="BV48" s="314" t="n"/>
      <c r="BW48" s="528" t="n"/>
      <c r="BX48" s="528" t="n"/>
      <c r="BY48" s="314" t="n"/>
      <c r="BZ48" s="528" t="n"/>
      <c r="CA48" s="528" t="n"/>
      <c r="CB48" s="314" t="n"/>
      <c r="CC48" s="314" t="n"/>
      <c r="CD48" s="528" t="n"/>
      <c r="CE48" s="528" t="n"/>
      <c r="CF48" s="528" t="n"/>
      <c r="CG48" s="22">
        <f>CE48*CF48</f>
        <v/>
      </c>
      <c r="CH48" s="528" t="n"/>
      <c r="CI48" s="528" t="n"/>
      <c r="CJ48" s="528" t="n"/>
      <c r="CK48" s="22">
        <f>CI48*CJ48</f>
        <v/>
      </c>
      <c r="CL48" s="528" t="n"/>
      <c r="CM48" s="528" t="n"/>
      <c r="CN48" s="528" t="n"/>
      <c r="CO48" s="22">
        <f>CM48*CN48</f>
        <v/>
      </c>
    </row>
    <row r="49">
      <c r="A49" s="112" t="n">
        <v>1</v>
      </c>
      <c r="B49" s="64" t="inlineStr">
        <is>
          <t>e</t>
        </is>
      </c>
      <c r="C49" s="105" t="n">
        <v>1</v>
      </c>
      <c r="D49" s="116">
        <f>CONCATENATE(A$3,"_",A49,"_",B49,"_",C49)</f>
        <v/>
      </c>
      <c r="E49" s="122" t="inlineStr">
        <is>
          <t>Analiza wpływu zakłóceń dostępności infrastruktury technicznej</t>
        </is>
      </c>
      <c r="F49" s="528">
        <f>IFERROR(VLOOKUP($I49,Listy!$A:$H,2,FALSE),"XXX")</f>
        <v/>
      </c>
      <c r="G49" s="528">
        <f>IFERROR(VLOOKUP($I49,Listy!$A:$H,3,FALSE),"XXX")</f>
        <v/>
      </c>
      <c r="H49" s="20" t="n">
        <v>41</v>
      </c>
      <c r="I49" s="89" t="inlineStr">
        <is>
          <t>.a42</t>
        </is>
      </c>
      <c r="J49" s="91" t="inlineStr">
        <is>
          <t>.m01</t>
        </is>
      </c>
      <c r="K49" s="681">
        <f>VLOOKUP(J49,Listy!A:B,2,FALSE)</f>
        <v/>
      </c>
      <c r="L49" s="91" t="inlineStr">
        <is>
          <t>.m53</t>
        </is>
      </c>
      <c r="M49" s="681">
        <f>VLOOKUP(L49,Listy!A:B,2,FALSE)</f>
        <v/>
      </c>
      <c r="N49" s="528" t="n">
        <v>3</v>
      </c>
      <c r="O49" s="528">
        <f>N49*40</f>
        <v/>
      </c>
      <c r="P49" s="187" t="n"/>
      <c r="Q49" s="187" t="n"/>
      <c r="R49" s="187" t="n"/>
      <c r="S49" s="187" t="n"/>
      <c r="T49" s="187" t="n"/>
      <c r="U49" s="187" t="n"/>
      <c r="V49" s="187" t="n"/>
      <c r="W49" s="187" t="n"/>
      <c r="X49" s="187" t="n"/>
      <c r="Y49" s="292" t="n"/>
      <c r="Z49" s="292" t="n"/>
      <c r="AA49" s="292" t="n"/>
      <c r="AB49" s="292" t="n"/>
      <c r="AC49" s="292" t="n"/>
      <c r="AD49" s="292" t="n"/>
      <c r="AE49" s="292" t="n"/>
      <c r="AF49" s="292" t="n"/>
      <c r="AG49" s="305" t="n"/>
      <c r="AH49" s="305" t="n"/>
      <c r="AI49" s="305" t="n"/>
      <c r="AJ49" s="305" t="n"/>
      <c r="AK49" s="305" t="n"/>
      <c r="AL49" s="192">
        <f>ROUND($O49*P49,0)</f>
        <v/>
      </c>
      <c r="AM49" s="192">
        <f>ROUND($O49*Q49,0)</f>
        <v/>
      </c>
      <c r="AN49" s="192">
        <f>ROUND($O49*R49,0)</f>
        <v/>
      </c>
      <c r="AO49" s="192">
        <f>ROUND($O49*S49,0)</f>
        <v/>
      </c>
      <c r="AP49" s="192">
        <f>ROUND($O49*T49,0)</f>
        <v/>
      </c>
      <c r="AQ49" s="192">
        <f>ROUND($O49*U49,0)</f>
        <v/>
      </c>
      <c r="AR49" s="192">
        <f>ROUND($O49*V49,0)</f>
        <v/>
      </c>
      <c r="AS49" s="192">
        <f>ROUND($O49*W49,0)</f>
        <v/>
      </c>
      <c r="AT49" s="192">
        <f>ROUND($O49*X49,0)</f>
        <v/>
      </c>
      <c r="AU49" s="193">
        <f>ROUND($O49*Y49,0)</f>
        <v/>
      </c>
      <c r="AV49" s="193">
        <f>ROUND($O49*Z49,0)</f>
        <v/>
      </c>
      <c r="AW49" s="193">
        <f>ROUND($O49*AA49,0)</f>
        <v/>
      </c>
      <c r="AX49" s="193">
        <f>ROUND($O49*AB49,0)</f>
        <v/>
      </c>
      <c r="AY49" s="193">
        <f>ROUND($O49*AC49,0)</f>
        <v/>
      </c>
      <c r="AZ49" s="193">
        <f>ROUND($O49*AD49,0)</f>
        <v/>
      </c>
      <c r="BA49" s="193">
        <f>ROUND($O49*AE49,0)</f>
        <v/>
      </c>
      <c r="BB49" s="193">
        <f>ROUND($O49*AF49,0)</f>
        <v/>
      </c>
      <c r="BC49" s="306">
        <f>ROUND($O49*AG49,0)</f>
        <v/>
      </c>
      <c r="BD49" s="306">
        <f>ROUND($O49*AH49,0)</f>
        <v/>
      </c>
      <c r="BE49" s="306">
        <f>ROUND($O49*AI49,0)</f>
        <v/>
      </c>
      <c r="BF49" s="306">
        <f>ROUND($O49*AJ49,0)</f>
        <v/>
      </c>
      <c r="BG49" s="306">
        <f>ROUND($O49*AK49,0)</f>
        <v/>
      </c>
      <c r="BH49" s="236">
        <f>SUM(AL49:AT49)</f>
        <v/>
      </c>
      <c r="BI49" s="528">
        <f>BH49/160</f>
        <v/>
      </c>
      <c r="BJ49" s="87">
        <f>VLOOKUP(I49,Listy!$A$1:$H$9,6,FALSE)</f>
        <v/>
      </c>
      <c r="BK49" s="682">
        <f>BI49*BJ49</f>
        <v/>
      </c>
      <c r="BL49" s="683">
        <f>BI49*BK49</f>
        <v/>
      </c>
      <c r="BM49" s="528" t="n"/>
      <c r="BN49" s="528" t="n"/>
      <c r="BO49" s="528" t="n"/>
      <c r="BP49" s="528" t="n"/>
      <c r="BQ49" s="528" t="n"/>
      <c r="BR49" s="528" t="n"/>
      <c r="BS49" s="21">
        <f>BQ49*BR49</f>
        <v/>
      </c>
      <c r="BT49" s="528" t="n"/>
      <c r="BU49" s="528" t="n"/>
      <c r="BV49" s="528" t="n"/>
      <c r="BW49" s="528" t="n"/>
      <c r="BX49" s="528" t="n"/>
      <c r="BY49" s="528" t="n"/>
      <c r="BZ49" s="528" t="n"/>
      <c r="CA49" s="528" t="n"/>
      <c r="CB49" s="528" t="n"/>
      <c r="CC49" s="528" t="n"/>
      <c r="CD49" s="528" t="n"/>
      <c r="CE49" s="528" t="n"/>
      <c r="CF49" s="528" t="n"/>
      <c r="CG49" s="21">
        <f>CE49*CF49</f>
        <v/>
      </c>
      <c r="CH49" s="528" t="n"/>
      <c r="CI49" s="528" t="n"/>
      <c r="CJ49" s="528" t="n"/>
      <c r="CK49" s="21">
        <f>CI49*CJ49</f>
        <v/>
      </c>
      <c r="CL49" s="528" t="n"/>
      <c r="CM49" s="528" t="n"/>
      <c r="CN49" s="528" t="n"/>
      <c r="CO49" s="21">
        <f>CM49*CN49</f>
        <v/>
      </c>
    </row>
    <row r="50">
      <c r="A50" s="112" t="n">
        <v>1</v>
      </c>
      <c r="B50" s="64" t="inlineStr">
        <is>
          <t>f</t>
        </is>
      </c>
      <c r="C50" s="105" t="n">
        <v>1</v>
      </c>
      <c r="D50" s="116">
        <f>CONCATENATE(A$3,"_",A50,"_",B50,"_",C50)</f>
        <v/>
      </c>
      <c r="E50" s="122" t="inlineStr">
        <is>
          <t>Stworzenie mapy zidentyfikowanych algorytmów/etapów PT</t>
        </is>
      </c>
      <c r="F50" s="528">
        <f>IFERROR(VLOOKUP($I50,Listy!$A:$H,2,FALSE),"XXX")</f>
        <v/>
      </c>
      <c r="G50" s="528">
        <f>IFERROR(VLOOKUP($I50,Listy!$A:$H,3,FALSE),"XXX")</f>
        <v/>
      </c>
      <c r="H50" s="20" t="n">
        <v>42</v>
      </c>
      <c r="I50" s="89" t="inlineStr">
        <is>
          <t>.a43</t>
        </is>
      </c>
      <c r="J50" s="91" t="inlineStr">
        <is>
          <t>.m01</t>
        </is>
      </c>
      <c r="K50" s="681">
        <f>VLOOKUP(J50,Listy!A:B,2,FALSE)</f>
        <v/>
      </c>
      <c r="L50" s="91" t="inlineStr">
        <is>
          <t>.m54</t>
        </is>
      </c>
      <c r="M50" s="681">
        <f>VLOOKUP(L50,Listy!A:B,2,FALSE)</f>
        <v/>
      </c>
      <c r="N50" s="528" t="n">
        <v>3</v>
      </c>
      <c r="O50" s="528">
        <f>N50*40</f>
        <v/>
      </c>
      <c r="P50" s="187" t="n"/>
      <c r="Q50" s="187" t="n"/>
      <c r="R50" s="187" t="n"/>
      <c r="S50" s="187" t="n"/>
      <c r="T50" s="187" t="n"/>
      <c r="U50" s="187" t="n"/>
      <c r="V50" s="187" t="n"/>
      <c r="W50" s="187" t="n"/>
      <c r="X50" s="187" t="n"/>
      <c r="Y50" s="292" t="n"/>
      <c r="Z50" s="292" t="n"/>
      <c r="AA50" s="292" t="n"/>
      <c r="AB50" s="292" t="n"/>
      <c r="AC50" s="292" t="n"/>
      <c r="AD50" s="292" t="n"/>
      <c r="AE50" s="292" t="n"/>
      <c r="AF50" s="292" t="n"/>
      <c r="AG50" s="305" t="n"/>
      <c r="AH50" s="305" t="n"/>
      <c r="AI50" s="305" t="n"/>
      <c r="AJ50" s="305" t="n"/>
      <c r="AK50" s="305" t="n"/>
      <c r="AL50" s="192">
        <f>ROUND($O50*P50,0)</f>
        <v/>
      </c>
      <c r="AM50" s="192">
        <f>ROUND($O50*Q50,0)</f>
        <v/>
      </c>
      <c r="AN50" s="192">
        <f>ROUND($O50*R50,0)</f>
        <v/>
      </c>
      <c r="AO50" s="192">
        <f>ROUND($O50*S50,0)</f>
        <v/>
      </c>
      <c r="AP50" s="192">
        <f>ROUND($O50*T50,0)</f>
        <v/>
      </c>
      <c r="AQ50" s="192">
        <f>ROUND($O50*U50,0)</f>
        <v/>
      </c>
      <c r="AR50" s="192">
        <f>ROUND($O50*V50,0)</f>
        <v/>
      </c>
      <c r="AS50" s="192">
        <f>ROUND($O50*W50,0)</f>
        <v/>
      </c>
      <c r="AT50" s="192">
        <f>ROUND($O50*X50,0)</f>
        <v/>
      </c>
      <c r="AU50" s="193">
        <f>ROUND($O50*Y50,0)</f>
        <v/>
      </c>
      <c r="AV50" s="193">
        <f>ROUND($O50*Z50,0)</f>
        <v/>
      </c>
      <c r="AW50" s="193">
        <f>ROUND($O50*AA50,0)</f>
        <v/>
      </c>
      <c r="AX50" s="193">
        <f>ROUND($O50*AB50,0)</f>
        <v/>
      </c>
      <c r="AY50" s="193">
        <f>ROUND($O50*AC50,0)</f>
        <v/>
      </c>
      <c r="AZ50" s="193">
        <f>ROUND($O50*AD50,0)</f>
        <v/>
      </c>
      <c r="BA50" s="193">
        <f>ROUND($O50*AE50,0)</f>
        <v/>
      </c>
      <c r="BB50" s="193">
        <f>ROUND($O50*AF50,0)</f>
        <v/>
      </c>
      <c r="BC50" s="306">
        <f>ROUND($O50*AG50,0)</f>
        <v/>
      </c>
      <c r="BD50" s="306">
        <f>ROUND($O50*AH50,0)</f>
        <v/>
      </c>
      <c r="BE50" s="306">
        <f>ROUND($O50*AI50,0)</f>
        <v/>
      </c>
      <c r="BF50" s="306">
        <f>ROUND($O50*AJ50,0)</f>
        <v/>
      </c>
      <c r="BG50" s="306">
        <f>ROUND($O50*AK50,0)</f>
        <v/>
      </c>
      <c r="BH50" s="236">
        <f>SUM(AL50:AT50)</f>
        <v/>
      </c>
      <c r="BI50" s="528">
        <f>BH50/160</f>
        <v/>
      </c>
      <c r="BJ50" s="87">
        <f>VLOOKUP(I50,Listy!$A$1:$H$9,6,FALSE)</f>
        <v/>
      </c>
      <c r="BK50" s="682">
        <f>BI50*BJ50</f>
        <v/>
      </c>
      <c r="BL50" s="683">
        <f>BI50*BK50</f>
        <v/>
      </c>
      <c r="BM50" s="528" t="n"/>
      <c r="BN50" s="528" t="n"/>
      <c r="BO50" s="528" t="n"/>
      <c r="BP50" s="528" t="n"/>
      <c r="BQ50" s="528" t="n"/>
      <c r="BR50" s="528" t="n"/>
      <c r="BS50" s="22">
        <f>BQ50*BR50</f>
        <v/>
      </c>
      <c r="BT50" s="528" t="n"/>
      <c r="BU50" s="528" t="n"/>
      <c r="BV50" s="314" t="n"/>
      <c r="BW50" s="528" t="n"/>
      <c r="BX50" s="528" t="n"/>
      <c r="BY50" s="314" t="n"/>
      <c r="BZ50" s="528" t="n"/>
      <c r="CA50" s="528" t="n"/>
      <c r="CB50" s="314" t="n"/>
      <c r="CC50" s="314" t="n"/>
      <c r="CD50" s="528" t="n"/>
      <c r="CE50" s="528" t="n"/>
      <c r="CF50" s="528" t="n"/>
      <c r="CG50" s="22">
        <f>CE50*CF50</f>
        <v/>
      </c>
      <c r="CH50" s="528" t="n"/>
      <c r="CI50" s="528" t="n"/>
      <c r="CJ50" s="528" t="n"/>
      <c r="CK50" s="22">
        <f>CI50*CJ50</f>
        <v/>
      </c>
      <c r="CL50" s="528" t="n"/>
      <c r="CM50" s="528" t="n"/>
      <c r="CN50" s="528" t="n"/>
      <c r="CO50" s="22">
        <f>CM50*CN50</f>
        <v/>
      </c>
    </row>
    <row r="51">
      <c r="A51" s="112" t="n">
        <v>1</v>
      </c>
      <c r="B51" s="64" t="inlineStr">
        <is>
          <t>e</t>
        </is>
      </c>
      <c r="C51" s="105" t="n">
        <v>1</v>
      </c>
      <c r="D51" s="116">
        <f>CONCATENATE(A$3,"_",A51,"_",B51,"_",C51)</f>
        <v/>
      </c>
      <c r="E51" s="122" t="inlineStr">
        <is>
          <t>Analiza wpływu zakłóceń dostępności infrastruktury technicznej</t>
        </is>
      </c>
      <c r="F51" s="528">
        <f>IFERROR(VLOOKUP($I51,Listy!$A:$H,2,FALSE),"XXX")</f>
        <v/>
      </c>
      <c r="G51" s="528">
        <f>IFERROR(VLOOKUP($I51,Listy!$A:$H,3,FALSE),"XXX")</f>
        <v/>
      </c>
      <c r="H51" s="20" t="n">
        <v>43</v>
      </c>
      <c r="I51" s="89" t="inlineStr">
        <is>
          <t>.a44</t>
        </is>
      </c>
      <c r="J51" s="91" t="inlineStr">
        <is>
          <t>.m01</t>
        </is>
      </c>
      <c r="K51" s="681">
        <f>VLOOKUP(J51,Listy!A:B,2,FALSE)</f>
        <v/>
      </c>
      <c r="L51" s="91" t="inlineStr">
        <is>
          <t>.m55</t>
        </is>
      </c>
      <c r="M51" s="681">
        <f>VLOOKUP(L51,Listy!A:B,2,FALSE)</f>
        <v/>
      </c>
      <c r="N51" s="528" t="n">
        <v>3</v>
      </c>
      <c r="O51" s="528">
        <f>N51*40</f>
        <v/>
      </c>
      <c r="P51" s="187" t="n"/>
      <c r="Q51" s="187" t="n"/>
      <c r="R51" s="187" t="n"/>
      <c r="S51" s="187" t="n"/>
      <c r="T51" s="187" t="n"/>
      <c r="U51" s="187" t="n"/>
      <c r="V51" s="187" t="n"/>
      <c r="W51" s="187" t="n"/>
      <c r="X51" s="187" t="n"/>
      <c r="Y51" s="292" t="n"/>
      <c r="Z51" s="292" t="n"/>
      <c r="AA51" s="292" t="n"/>
      <c r="AB51" s="292" t="n"/>
      <c r="AC51" s="292" t="n"/>
      <c r="AD51" s="292" t="n"/>
      <c r="AE51" s="292" t="n"/>
      <c r="AF51" s="292" t="n"/>
      <c r="AG51" s="305" t="n"/>
      <c r="AH51" s="305" t="n"/>
      <c r="AI51" s="305" t="n"/>
      <c r="AJ51" s="305" t="n"/>
      <c r="AK51" s="305" t="n"/>
      <c r="AL51" s="192">
        <f>ROUND($O51*P51,0)</f>
        <v/>
      </c>
      <c r="AM51" s="192">
        <f>ROUND($O51*Q51,0)</f>
        <v/>
      </c>
      <c r="AN51" s="192">
        <f>ROUND($O51*R51,0)</f>
        <v/>
      </c>
      <c r="AO51" s="192">
        <f>ROUND($O51*S51,0)</f>
        <v/>
      </c>
      <c r="AP51" s="192">
        <f>ROUND($O51*T51,0)</f>
        <v/>
      </c>
      <c r="AQ51" s="192">
        <f>ROUND($O51*U51,0)</f>
        <v/>
      </c>
      <c r="AR51" s="192">
        <f>ROUND($O51*V51,0)</f>
        <v/>
      </c>
      <c r="AS51" s="192">
        <f>ROUND($O51*W51,0)</f>
        <v/>
      </c>
      <c r="AT51" s="192">
        <f>ROUND($O51*X51,0)</f>
        <v/>
      </c>
      <c r="AU51" s="193">
        <f>ROUND($O51*Y51,0)</f>
        <v/>
      </c>
      <c r="AV51" s="193">
        <f>ROUND($O51*Z51,0)</f>
        <v/>
      </c>
      <c r="AW51" s="193">
        <f>ROUND($O51*AA51,0)</f>
        <v/>
      </c>
      <c r="AX51" s="193">
        <f>ROUND($O51*AB51,0)</f>
        <v/>
      </c>
      <c r="AY51" s="193">
        <f>ROUND($O51*AC51,0)</f>
        <v/>
      </c>
      <c r="AZ51" s="193">
        <f>ROUND($O51*AD51,0)</f>
        <v/>
      </c>
      <c r="BA51" s="193">
        <f>ROUND($O51*AE51,0)</f>
        <v/>
      </c>
      <c r="BB51" s="193">
        <f>ROUND($O51*AF51,0)</f>
        <v/>
      </c>
      <c r="BC51" s="306">
        <f>ROUND($O51*AG51,0)</f>
        <v/>
      </c>
      <c r="BD51" s="306">
        <f>ROUND($O51*AH51,0)</f>
        <v/>
      </c>
      <c r="BE51" s="306">
        <f>ROUND($O51*AI51,0)</f>
        <v/>
      </c>
      <c r="BF51" s="306">
        <f>ROUND($O51*AJ51,0)</f>
        <v/>
      </c>
      <c r="BG51" s="306">
        <f>ROUND($O51*AK51,0)</f>
        <v/>
      </c>
      <c r="BH51" s="236">
        <f>SUM(AL51:AT51)</f>
        <v/>
      </c>
      <c r="BI51" s="528">
        <f>BH51/160</f>
        <v/>
      </c>
      <c r="BJ51" s="87">
        <f>VLOOKUP(I51,Listy!$A$1:$H$9,6,FALSE)</f>
        <v/>
      </c>
      <c r="BK51" s="682">
        <f>BI51*BJ51</f>
        <v/>
      </c>
      <c r="BL51" s="683">
        <f>BI51*BK51</f>
        <v/>
      </c>
      <c r="BM51" s="528" t="n"/>
      <c r="BN51" s="528" t="n"/>
      <c r="BO51" s="528" t="n"/>
      <c r="BP51" s="528" t="n"/>
      <c r="BQ51" s="528" t="n"/>
      <c r="BR51" s="528" t="n"/>
      <c r="BS51" s="21">
        <f>BQ51*BR51</f>
        <v/>
      </c>
      <c r="BT51" s="528" t="n"/>
      <c r="BU51" s="528" t="n"/>
      <c r="BV51" s="528" t="n"/>
      <c r="BW51" s="528" t="n"/>
      <c r="BX51" s="528" t="n"/>
      <c r="BY51" s="528" t="n"/>
      <c r="BZ51" s="528" t="n"/>
      <c r="CA51" s="528" t="n"/>
      <c r="CB51" s="528" t="n"/>
      <c r="CC51" s="528" t="n"/>
      <c r="CD51" s="528" t="n"/>
      <c r="CE51" s="528" t="n"/>
      <c r="CF51" s="528" t="n"/>
      <c r="CG51" s="21">
        <f>CE51*CF51</f>
        <v/>
      </c>
      <c r="CH51" s="528" t="n"/>
      <c r="CI51" s="528" t="n"/>
      <c r="CJ51" s="528" t="n"/>
      <c r="CK51" s="21">
        <f>CI51*CJ51</f>
        <v/>
      </c>
      <c r="CL51" s="528" t="n"/>
      <c r="CM51" s="528" t="n"/>
      <c r="CN51" s="528" t="n"/>
      <c r="CO51" s="21">
        <f>CM51*CN51</f>
        <v/>
      </c>
    </row>
    <row r="52">
      <c r="A52" s="112" t="n">
        <v>1</v>
      </c>
      <c r="B52" s="64" t="inlineStr">
        <is>
          <t>f</t>
        </is>
      </c>
      <c r="C52" s="105" t="n">
        <v>1</v>
      </c>
      <c r="D52" s="116">
        <f>CONCATENATE(A$3,"_",A52,"_",B52,"_",C52)</f>
        <v/>
      </c>
      <c r="E52" s="122" t="inlineStr">
        <is>
          <t>Stworzenie mapy zidentyfikowanych algorytmów/etapów PT</t>
        </is>
      </c>
      <c r="F52" s="528">
        <f>IFERROR(VLOOKUP($I52,Listy!$A:$H,2,FALSE),"XXX")</f>
        <v/>
      </c>
      <c r="G52" s="528">
        <f>IFERROR(VLOOKUP($I52,Listy!$A:$H,3,FALSE),"XXX")</f>
        <v/>
      </c>
      <c r="H52" s="20" t="n">
        <v>44</v>
      </c>
      <c r="I52" s="89" t="inlineStr">
        <is>
          <t>.a45</t>
        </is>
      </c>
      <c r="J52" s="91" t="inlineStr">
        <is>
          <t>.m01</t>
        </is>
      </c>
      <c r="K52" s="681">
        <f>VLOOKUP(J52,Listy!A:B,2,FALSE)</f>
        <v/>
      </c>
      <c r="L52" s="91" t="inlineStr">
        <is>
          <t>.m56</t>
        </is>
      </c>
      <c r="M52" s="681">
        <f>VLOOKUP(L52,Listy!A:B,2,FALSE)</f>
        <v/>
      </c>
      <c r="N52" s="528" t="n">
        <v>3</v>
      </c>
      <c r="O52" s="528">
        <f>N52*40</f>
        <v/>
      </c>
      <c r="P52" s="187" t="n"/>
      <c r="Q52" s="187" t="n"/>
      <c r="R52" s="187" t="n"/>
      <c r="S52" s="187" t="n"/>
      <c r="T52" s="187" t="n"/>
      <c r="U52" s="187" t="n"/>
      <c r="V52" s="187" t="n"/>
      <c r="W52" s="187" t="n"/>
      <c r="X52" s="187" t="n"/>
      <c r="Y52" s="292" t="n"/>
      <c r="Z52" s="292" t="n"/>
      <c r="AA52" s="292" t="n"/>
      <c r="AB52" s="292" t="n"/>
      <c r="AC52" s="292" t="n"/>
      <c r="AD52" s="292" t="n"/>
      <c r="AE52" s="292" t="n"/>
      <c r="AF52" s="292" t="n"/>
      <c r="AG52" s="305" t="n"/>
      <c r="AH52" s="305" t="n"/>
      <c r="AI52" s="305" t="n"/>
      <c r="AJ52" s="305" t="n"/>
      <c r="AK52" s="305" t="n"/>
      <c r="AL52" s="192">
        <f>ROUND($O52*P52,0)</f>
        <v/>
      </c>
      <c r="AM52" s="192">
        <f>ROUND($O52*Q52,0)</f>
        <v/>
      </c>
      <c r="AN52" s="192">
        <f>ROUND($O52*R52,0)</f>
        <v/>
      </c>
      <c r="AO52" s="192">
        <f>ROUND($O52*S52,0)</f>
        <v/>
      </c>
      <c r="AP52" s="192">
        <f>ROUND($O52*T52,0)</f>
        <v/>
      </c>
      <c r="AQ52" s="192">
        <f>ROUND($O52*U52,0)</f>
        <v/>
      </c>
      <c r="AR52" s="192">
        <f>ROUND($O52*V52,0)</f>
        <v/>
      </c>
      <c r="AS52" s="192">
        <f>ROUND($O52*W52,0)</f>
        <v/>
      </c>
      <c r="AT52" s="192">
        <f>ROUND($O52*X52,0)</f>
        <v/>
      </c>
      <c r="AU52" s="193">
        <f>ROUND($O52*Y52,0)</f>
        <v/>
      </c>
      <c r="AV52" s="193">
        <f>ROUND($O52*Z52,0)</f>
        <v/>
      </c>
      <c r="AW52" s="193">
        <f>ROUND($O52*AA52,0)</f>
        <v/>
      </c>
      <c r="AX52" s="193">
        <f>ROUND($O52*AB52,0)</f>
        <v/>
      </c>
      <c r="AY52" s="193">
        <f>ROUND($O52*AC52,0)</f>
        <v/>
      </c>
      <c r="AZ52" s="193">
        <f>ROUND($O52*AD52,0)</f>
        <v/>
      </c>
      <c r="BA52" s="193">
        <f>ROUND($O52*AE52,0)</f>
        <v/>
      </c>
      <c r="BB52" s="193">
        <f>ROUND($O52*AF52,0)</f>
        <v/>
      </c>
      <c r="BC52" s="306">
        <f>ROUND($O52*AG52,0)</f>
        <v/>
      </c>
      <c r="BD52" s="306">
        <f>ROUND($O52*AH52,0)</f>
        <v/>
      </c>
      <c r="BE52" s="306">
        <f>ROUND($O52*AI52,0)</f>
        <v/>
      </c>
      <c r="BF52" s="306">
        <f>ROUND($O52*AJ52,0)</f>
        <v/>
      </c>
      <c r="BG52" s="306">
        <f>ROUND($O52*AK52,0)</f>
        <v/>
      </c>
      <c r="BH52" s="236">
        <f>SUM(AL52:AT52)</f>
        <v/>
      </c>
      <c r="BI52" s="528">
        <f>BH52/160</f>
        <v/>
      </c>
      <c r="BJ52" s="87">
        <f>VLOOKUP(I52,Listy!$A$1:$H$9,6,FALSE)</f>
        <v/>
      </c>
      <c r="BK52" s="682">
        <f>BI52*BJ52</f>
        <v/>
      </c>
      <c r="BL52" s="683">
        <f>BI52*BK52</f>
        <v/>
      </c>
      <c r="BM52" s="528" t="n"/>
      <c r="BN52" s="528" t="n"/>
      <c r="BO52" s="528" t="n"/>
      <c r="BP52" s="528" t="n"/>
      <c r="BQ52" s="528" t="n"/>
      <c r="BR52" s="528" t="n"/>
      <c r="BS52" s="22">
        <f>BQ52*BR52</f>
        <v/>
      </c>
      <c r="BT52" s="528" t="n"/>
      <c r="BU52" s="528" t="n"/>
      <c r="BV52" s="314" t="n"/>
      <c r="BW52" s="528" t="n"/>
      <c r="BX52" s="528" t="n"/>
      <c r="BY52" s="314" t="n"/>
      <c r="BZ52" s="528" t="n"/>
      <c r="CA52" s="528" t="n"/>
      <c r="CB52" s="314" t="n"/>
      <c r="CC52" s="314" t="n"/>
      <c r="CD52" s="528" t="n"/>
      <c r="CE52" s="528" t="n"/>
      <c r="CF52" s="528" t="n"/>
      <c r="CG52" s="22">
        <f>CE52*CF52</f>
        <v/>
      </c>
      <c r="CH52" s="528" t="n"/>
      <c r="CI52" s="528" t="n"/>
      <c r="CJ52" s="528" t="n"/>
      <c r="CK52" s="22">
        <f>CI52*CJ52</f>
        <v/>
      </c>
      <c r="CL52" s="528" t="n"/>
      <c r="CM52" s="528" t="n"/>
      <c r="CN52" s="528" t="n"/>
      <c r="CO52" s="22">
        <f>CM52*CN52</f>
        <v/>
      </c>
    </row>
    <row r="53">
      <c r="A53" s="112" t="n">
        <v>1</v>
      </c>
      <c r="B53" s="64" t="inlineStr">
        <is>
          <t>e</t>
        </is>
      </c>
      <c r="C53" s="105" t="n">
        <v>1</v>
      </c>
      <c r="D53" s="116">
        <f>CONCATENATE(A$3,"_",A53,"_",B53,"_",C53)</f>
        <v/>
      </c>
      <c r="E53" s="122" t="inlineStr">
        <is>
          <t>Analiza wpływu zakłóceń dostępności infrastruktury technicznej</t>
        </is>
      </c>
      <c r="F53" s="528">
        <f>IFERROR(VLOOKUP($I53,Listy!$A:$H,2,FALSE),"XXX")</f>
        <v/>
      </c>
      <c r="G53" s="528">
        <f>IFERROR(VLOOKUP($I53,Listy!$A:$H,3,FALSE),"XXX")</f>
        <v/>
      </c>
      <c r="H53" s="20" t="n">
        <v>45</v>
      </c>
      <c r="I53" s="89" t="inlineStr">
        <is>
          <t>.a46</t>
        </is>
      </c>
      <c r="J53" s="91" t="inlineStr">
        <is>
          <t>.m01</t>
        </is>
      </c>
      <c r="K53" s="681">
        <f>VLOOKUP(J53,Listy!A:B,2,FALSE)</f>
        <v/>
      </c>
      <c r="L53" s="91" t="inlineStr">
        <is>
          <t>.m57</t>
        </is>
      </c>
      <c r="M53" s="681">
        <f>VLOOKUP(L53,Listy!A:B,2,FALSE)</f>
        <v/>
      </c>
      <c r="N53" s="528" t="n">
        <v>3</v>
      </c>
      <c r="O53" s="528">
        <f>N53*40</f>
        <v/>
      </c>
      <c r="P53" s="187" t="n"/>
      <c r="Q53" s="187" t="n"/>
      <c r="R53" s="187" t="n"/>
      <c r="S53" s="187" t="n"/>
      <c r="T53" s="187" t="n"/>
      <c r="U53" s="187" t="n"/>
      <c r="V53" s="187" t="n"/>
      <c r="W53" s="187" t="n"/>
      <c r="X53" s="187" t="n"/>
      <c r="Y53" s="292" t="n"/>
      <c r="Z53" s="292" t="n"/>
      <c r="AA53" s="292" t="n"/>
      <c r="AB53" s="292" t="n"/>
      <c r="AC53" s="292" t="n"/>
      <c r="AD53" s="292" t="n"/>
      <c r="AE53" s="292" t="n"/>
      <c r="AF53" s="292" t="n"/>
      <c r="AG53" s="305" t="n"/>
      <c r="AH53" s="305" t="n"/>
      <c r="AI53" s="305" t="n"/>
      <c r="AJ53" s="305" t="n"/>
      <c r="AK53" s="305" t="n"/>
      <c r="AL53" s="192">
        <f>ROUND($O53*P53,0)</f>
        <v/>
      </c>
      <c r="AM53" s="192">
        <f>ROUND($O53*Q53,0)</f>
        <v/>
      </c>
      <c r="AN53" s="192">
        <f>ROUND($O53*R53,0)</f>
        <v/>
      </c>
      <c r="AO53" s="192">
        <f>ROUND($O53*S53,0)</f>
        <v/>
      </c>
      <c r="AP53" s="192">
        <f>ROUND($O53*T53,0)</f>
        <v/>
      </c>
      <c r="AQ53" s="192">
        <f>ROUND($O53*U53,0)</f>
        <v/>
      </c>
      <c r="AR53" s="192">
        <f>ROUND($O53*V53,0)</f>
        <v/>
      </c>
      <c r="AS53" s="192">
        <f>ROUND($O53*W53,0)</f>
        <v/>
      </c>
      <c r="AT53" s="192">
        <f>ROUND($O53*X53,0)</f>
        <v/>
      </c>
      <c r="AU53" s="193">
        <f>ROUND($O53*Y53,0)</f>
        <v/>
      </c>
      <c r="AV53" s="193">
        <f>ROUND($O53*Z53,0)</f>
        <v/>
      </c>
      <c r="AW53" s="193">
        <f>ROUND($O53*AA53,0)</f>
        <v/>
      </c>
      <c r="AX53" s="193">
        <f>ROUND($O53*AB53,0)</f>
        <v/>
      </c>
      <c r="AY53" s="193">
        <f>ROUND($O53*AC53,0)</f>
        <v/>
      </c>
      <c r="AZ53" s="193">
        <f>ROUND($O53*AD53,0)</f>
        <v/>
      </c>
      <c r="BA53" s="193">
        <f>ROUND($O53*AE53,0)</f>
        <v/>
      </c>
      <c r="BB53" s="193">
        <f>ROUND($O53*AF53,0)</f>
        <v/>
      </c>
      <c r="BC53" s="306">
        <f>ROUND($O53*AG53,0)</f>
        <v/>
      </c>
      <c r="BD53" s="306">
        <f>ROUND($O53*AH53,0)</f>
        <v/>
      </c>
      <c r="BE53" s="306">
        <f>ROUND($O53*AI53,0)</f>
        <v/>
      </c>
      <c r="BF53" s="306">
        <f>ROUND($O53*AJ53,0)</f>
        <v/>
      </c>
      <c r="BG53" s="306">
        <f>ROUND($O53*AK53,0)</f>
        <v/>
      </c>
      <c r="BH53" s="236">
        <f>SUM(AL53:AT53)</f>
        <v/>
      </c>
      <c r="BI53" s="528">
        <f>BH53/160</f>
        <v/>
      </c>
      <c r="BJ53" s="87">
        <f>VLOOKUP(I53,Listy!$A$1:$H$9,6,FALSE)</f>
        <v/>
      </c>
      <c r="BK53" s="682">
        <f>BI53*BJ53</f>
        <v/>
      </c>
      <c r="BL53" s="683">
        <f>BI53*BK53</f>
        <v/>
      </c>
      <c r="BM53" s="528" t="n"/>
      <c r="BN53" s="528" t="n"/>
      <c r="BO53" s="528" t="n"/>
      <c r="BP53" s="528" t="n"/>
      <c r="BQ53" s="528" t="n"/>
      <c r="BR53" s="528" t="n"/>
      <c r="BS53" s="21">
        <f>BQ53*BR53</f>
        <v/>
      </c>
      <c r="BT53" s="528" t="n"/>
      <c r="BU53" s="528" t="n"/>
      <c r="BV53" s="528" t="n"/>
      <c r="BW53" s="528" t="n"/>
      <c r="BX53" s="528" t="n"/>
      <c r="BY53" s="528" t="n"/>
      <c r="BZ53" s="528" t="n"/>
      <c r="CA53" s="528" t="n"/>
      <c r="CB53" s="528" t="n"/>
      <c r="CC53" s="528" t="n"/>
      <c r="CD53" s="528" t="n"/>
      <c r="CE53" s="528" t="n"/>
      <c r="CF53" s="528" t="n"/>
      <c r="CG53" s="21">
        <f>CE53*CF53</f>
        <v/>
      </c>
      <c r="CH53" s="528" t="n"/>
      <c r="CI53" s="528" t="n"/>
      <c r="CJ53" s="528" t="n"/>
      <c r="CK53" s="21">
        <f>CI53*CJ53</f>
        <v/>
      </c>
      <c r="CL53" s="528" t="n"/>
      <c r="CM53" s="528" t="n"/>
      <c r="CN53" s="528" t="n"/>
      <c r="CO53" s="21">
        <f>CM53*CN53</f>
        <v/>
      </c>
    </row>
    <row r="54">
      <c r="A54" s="112" t="n">
        <v>1</v>
      </c>
      <c r="B54" s="64" t="inlineStr">
        <is>
          <t>f</t>
        </is>
      </c>
      <c r="C54" s="105" t="n">
        <v>1</v>
      </c>
      <c r="D54" s="116">
        <f>CONCATENATE(A$3,"_",A54,"_",B54,"_",C54)</f>
        <v/>
      </c>
      <c r="E54" s="122" t="inlineStr">
        <is>
          <t>Stworzenie mapy zidentyfikowanych algorytmów/etapów PT</t>
        </is>
      </c>
      <c r="F54" s="528">
        <f>IFERROR(VLOOKUP($I54,Listy!$A:$H,2,FALSE),"XXX")</f>
        <v/>
      </c>
      <c r="G54" s="528">
        <f>IFERROR(VLOOKUP($I54,Listy!$A:$H,3,FALSE),"XXX")</f>
        <v/>
      </c>
      <c r="H54" s="20" t="n">
        <v>46</v>
      </c>
      <c r="I54" s="89" t="inlineStr">
        <is>
          <t>.a47</t>
        </is>
      </c>
      <c r="J54" s="91" t="inlineStr">
        <is>
          <t>.m01</t>
        </is>
      </c>
      <c r="K54" s="681">
        <f>VLOOKUP(J54,Listy!A:B,2,FALSE)</f>
        <v/>
      </c>
      <c r="L54" s="91" t="inlineStr">
        <is>
          <t>.m58</t>
        </is>
      </c>
      <c r="M54" s="681">
        <f>VLOOKUP(L54,Listy!A:B,2,FALSE)</f>
        <v/>
      </c>
      <c r="N54" s="528" t="n">
        <v>3</v>
      </c>
      <c r="O54" s="528">
        <f>N54*40</f>
        <v/>
      </c>
      <c r="P54" s="187" t="n"/>
      <c r="Q54" s="187" t="n"/>
      <c r="R54" s="187" t="n"/>
      <c r="S54" s="187" t="n"/>
      <c r="T54" s="187" t="n"/>
      <c r="U54" s="187" t="n"/>
      <c r="V54" s="187" t="n"/>
      <c r="W54" s="187" t="n"/>
      <c r="X54" s="187" t="n"/>
      <c r="Y54" s="292" t="n"/>
      <c r="Z54" s="292" t="n"/>
      <c r="AA54" s="292" t="n"/>
      <c r="AB54" s="292" t="n"/>
      <c r="AC54" s="292" t="n"/>
      <c r="AD54" s="292" t="n"/>
      <c r="AE54" s="292" t="n"/>
      <c r="AF54" s="292" t="n"/>
      <c r="AG54" s="305" t="n"/>
      <c r="AH54" s="305" t="n"/>
      <c r="AI54" s="305" t="n"/>
      <c r="AJ54" s="305" t="n"/>
      <c r="AK54" s="305" t="n"/>
      <c r="AL54" s="192">
        <f>ROUND($O54*P54,0)</f>
        <v/>
      </c>
      <c r="AM54" s="192">
        <f>ROUND($O54*Q54,0)</f>
        <v/>
      </c>
      <c r="AN54" s="192">
        <f>ROUND($O54*R54,0)</f>
        <v/>
      </c>
      <c r="AO54" s="192">
        <f>ROUND($O54*S54,0)</f>
        <v/>
      </c>
      <c r="AP54" s="192">
        <f>ROUND($O54*T54,0)</f>
        <v/>
      </c>
      <c r="AQ54" s="192">
        <f>ROUND($O54*U54,0)</f>
        <v/>
      </c>
      <c r="AR54" s="192">
        <f>ROUND($O54*V54,0)</f>
        <v/>
      </c>
      <c r="AS54" s="192">
        <f>ROUND($O54*W54,0)</f>
        <v/>
      </c>
      <c r="AT54" s="192">
        <f>ROUND($O54*X54,0)</f>
        <v/>
      </c>
      <c r="AU54" s="193">
        <f>ROUND($O54*Y54,0)</f>
        <v/>
      </c>
      <c r="AV54" s="193">
        <f>ROUND($O54*Z54,0)</f>
        <v/>
      </c>
      <c r="AW54" s="193">
        <f>ROUND($O54*AA54,0)</f>
        <v/>
      </c>
      <c r="AX54" s="193">
        <f>ROUND($O54*AB54,0)</f>
        <v/>
      </c>
      <c r="AY54" s="193">
        <f>ROUND($O54*AC54,0)</f>
        <v/>
      </c>
      <c r="AZ54" s="193">
        <f>ROUND($O54*AD54,0)</f>
        <v/>
      </c>
      <c r="BA54" s="193">
        <f>ROUND($O54*AE54,0)</f>
        <v/>
      </c>
      <c r="BB54" s="193">
        <f>ROUND($O54*AF54,0)</f>
        <v/>
      </c>
      <c r="BC54" s="306">
        <f>ROUND($O54*AG54,0)</f>
        <v/>
      </c>
      <c r="BD54" s="306">
        <f>ROUND($O54*AH54,0)</f>
        <v/>
      </c>
      <c r="BE54" s="306">
        <f>ROUND($O54*AI54,0)</f>
        <v/>
      </c>
      <c r="BF54" s="306">
        <f>ROUND($O54*AJ54,0)</f>
        <v/>
      </c>
      <c r="BG54" s="306">
        <f>ROUND($O54*AK54,0)</f>
        <v/>
      </c>
      <c r="BH54" s="236">
        <f>SUM(AL54:AT54)</f>
        <v/>
      </c>
      <c r="BI54" s="528">
        <f>BH54/160</f>
        <v/>
      </c>
      <c r="BJ54" s="87">
        <f>VLOOKUP(I54,Listy!$A$1:$H$9,6,FALSE)</f>
        <v/>
      </c>
      <c r="BK54" s="682">
        <f>BI54*BJ54</f>
        <v/>
      </c>
      <c r="BL54" s="683">
        <f>BI54*BK54</f>
        <v/>
      </c>
      <c r="BM54" s="528" t="n"/>
      <c r="BN54" s="528" t="n"/>
      <c r="BO54" s="528" t="n"/>
      <c r="BP54" s="528" t="n"/>
      <c r="BQ54" s="528" t="n"/>
      <c r="BR54" s="528" t="n"/>
      <c r="BS54" s="22">
        <f>BQ54*BR54</f>
        <v/>
      </c>
      <c r="BT54" s="528" t="n"/>
      <c r="BU54" s="528" t="n"/>
      <c r="BV54" s="314" t="n"/>
      <c r="BW54" s="528" t="n"/>
      <c r="BX54" s="528" t="n"/>
      <c r="BY54" s="314" t="n"/>
      <c r="BZ54" s="528" t="n"/>
      <c r="CA54" s="528" t="n"/>
      <c r="CB54" s="314" t="n"/>
      <c r="CC54" s="314" t="n"/>
      <c r="CD54" s="528" t="n"/>
      <c r="CE54" s="528" t="n"/>
      <c r="CF54" s="528" t="n"/>
      <c r="CG54" s="22">
        <f>CE54*CF54</f>
        <v/>
      </c>
      <c r="CH54" s="528" t="n"/>
      <c r="CI54" s="528" t="n"/>
      <c r="CJ54" s="528" t="n"/>
      <c r="CK54" s="22">
        <f>CI54*CJ54</f>
        <v/>
      </c>
      <c r="CL54" s="528" t="n"/>
      <c r="CM54" s="528" t="n"/>
      <c r="CN54" s="528" t="n"/>
      <c r="CO54" s="22">
        <f>CM54*CN54</f>
        <v/>
      </c>
    </row>
    <row r="55">
      <c r="A55" s="112" t="n">
        <v>1</v>
      </c>
      <c r="B55" s="64" t="inlineStr">
        <is>
          <t>e</t>
        </is>
      </c>
      <c r="C55" s="105" t="n">
        <v>1</v>
      </c>
      <c r="D55" s="116">
        <f>CONCATENATE(A$3,"_",A55,"_",B55,"_",C55)</f>
        <v/>
      </c>
      <c r="E55" s="122" t="inlineStr">
        <is>
          <t>Analiza wpływu zakłóceń dostępności infrastruktury technicznej</t>
        </is>
      </c>
      <c r="F55" s="528">
        <f>IFERROR(VLOOKUP($I55,Listy!$A:$H,2,FALSE),"XXX")</f>
        <v/>
      </c>
      <c r="G55" s="528">
        <f>IFERROR(VLOOKUP($I55,Listy!$A:$H,3,FALSE),"XXX")</f>
        <v/>
      </c>
      <c r="H55" s="20" t="n">
        <v>47</v>
      </c>
      <c r="I55" s="89" t="inlineStr">
        <is>
          <t>.a48</t>
        </is>
      </c>
      <c r="J55" s="91" t="inlineStr">
        <is>
          <t>.m01</t>
        </is>
      </c>
      <c r="K55" s="681">
        <f>VLOOKUP(J55,Listy!A:B,2,FALSE)</f>
        <v/>
      </c>
      <c r="L55" s="91" t="inlineStr">
        <is>
          <t>.m59</t>
        </is>
      </c>
      <c r="M55" s="681">
        <f>VLOOKUP(L55,Listy!A:B,2,FALSE)</f>
        <v/>
      </c>
      <c r="N55" s="528" t="n">
        <v>3</v>
      </c>
      <c r="O55" s="528">
        <f>N55*40</f>
        <v/>
      </c>
      <c r="P55" s="187" t="n"/>
      <c r="Q55" s="187" t="n"/>
      <c r="R55" s="187" t="n"/>
      <c r="S55" s="187" t="n"/>
      <c r="T55" s="187" t="n"/>
      <c r="U55" s="187" t="n"/>
      <c r="V55" s="187" t="n"/>
      <c r="W55" s="187" t="n"/>
      <c r="X55" s="187" t="n"/>
      <c r="Y55" s="292" t="n"/>
      <c r="Z55" s="292" t="n"/>
      <c r="AA55" s="292" t="n"/>
      <c r="AB55" s="292" t="n"/>
      <c r="AC55" s="292" t="n"/>
      <c r="AD55" s="292" t="n"/>
      <c r="AE55" s="292" t="n"/>
      <c r="AF55" s="292" t="n"/>
      <c r="AG55" s="305" t="n"/>
      <c r="AH55" s="305" t="n"/>
      <c r="AI55" s="305" t="n"/>
      <c r="AJ55" s="305" t="n"/>
      <c r="AK55" s="305" t="n"/>
      <c r="AL55" s="192">
        <f>ROUND($O55*P55,0)</f>
        <v/>
      </c>
      <c r="AM55" s="192">
        <f>ROUND($O55*Q55,0)</f>
        <v/>
      </c>
      <c r="AN55" s="192">
        <f>ROUND($O55*R55,0)</f>
        <v/>
      </c>
      <c r="AO55" s="192">
        <f>ROUND($O55*S55,0)</f>
        <v/>
      </c>
      <c r="AP55" s="192">
        <f>ROUND($O55*T55,0)</f>
        <v/>
      </c>
      <c r="AQ55" s="192">
        <f>ROUND($O55*U55,0)</f>
        <v/>
      </c>
      <c r="AR55" s="192">
        <f>ROUND($O55*V55,0)</f>
        <v/>
      </c>
      <c r="AS55" s="192">
        <f>ROUND($O55*W55,0)</f>
        <v/>
      </c>
      <c r="AT55" s="192">
        <f>ROUND($O55*X55,0)</f>
        <v/>
      </c>
      <c r="AU55" s="193">
        <f>ROUND($O55*Y55,0)</f>
        <v/>
      </c>
      <c r="AV55" s="193">
        <f>ROUND($O55*Z55,0)</f>
        <v/>
      </c>
      <c r="AW55" s="193">
        <f>ROUND($O55*AA55,0)</f>
        <v/>
      </c>
      <c r="AX55" s="193">
        <f>ROUND($O55*AB55,0)</f>
        <v/>
      </c>
      <c r="AY55" s="193">
        <f>ROUND($O55*AC55,0)</f>
        <v/>
      </c>
      <c r="AZ55" s="193">
        <f>ROUND($O55*AD55,0)</f>
        <v/>
      </c>
      <c r="BA55" s="193">
        <f>ROUND($O55*AE55,0)</f>
        <v/>
      </c>
      <c r="BB55" s="193">
        <f>ROUND($O55*AF55,0)</f>
        <v/>
      </c>
      <c r="BC55" s="306">
        <f>ROUND($O55*AG55,0)</f>
        <v/>
      </c>
      <c r="BD55" s="306">
        <f>ROUND($O55*AH55,0)</f>
        <v/>
      </c>
      <c r="BE55" s="306">
        <f>ROUND($O55*AI55,0)</f>
        <v/>
      </c>
      <c r="BF55" s="306">
        <f>ROUND($O55*AJ55,0)</f>
        <v/>
      </c>
      <c r="BG55" s="306">
        <f>ROUND($O55*AK55,0)</f>
        <v/>
      </c>
      <c r="BH55" s="236">
        <f>SUM(AL55:AT55)</f>
        <v/>
      </c>
      <c r="BI55" s="528">
        <f>BH55/160</f>
        <v/>
      </c>
      <c r="BJ55" s="87">
        <f>VLOOKUP(I55,Listy!$A$1:$H$9,6,FALSE)</f>
        <v/>
      </c>
      <c r="BK55" s="682">
        <f>BI55*BJ55</f>
        <v/>
      </c>
      <c r="BL55" s="683">
        <f>BI55*BK55</f>
        <v/>
      </c>
      <c r="BM55" s="528" t="n"/>
      <c r="BN55" s="528" t="n"/>
      <c r="BO55" s="528" t="n"/>
      <c r="BP55" s="528" t="n"/>
      <c r="BQ55" s="528" t="n"/>
      <c r="BR55" s="528" t="n"/>
      <c r="BS55" s="21">
        <f>BQ55*BR55</f>
        <v/>
      </c>
      <c r="BT55" s="528" t="n"/>
      <c r="BU55" s="528" t="n"/>
      <c r="BV55" s="528" t="n"/>
      <c r="BW55" s="528" t="n"/>
      <c r="BX55" s="528" t="n"/>
      <c r="BY55" s="528" t="n"/>
      <c r="BZ55" s="528" t="n"/>
      <c r="CA55" s="528" t="n"/>
      <c r="CB55" s="528" t="n"/>
      <c r="CC55" s="528" t="n"/>
      <c r="CD55" s="528" t="n"/>
      <c r="CE55" s="528" t="n"/>
      <c r="CF55" s="528" t="n"/>
      <c r="CG55" s="21">
        <f>CE55*CF55</f>
        <v/>
      </c>
      <c r="CH55" s="528" t="n"/>
      <c r="CI55" s="528" t="n"/>
      <c r="CJ55" s="528" t="n"/>
      <c r="CK55" s="21">
        <f>CI55*CJ55</f>
        <v/>
      </c>
      <c r="CL55" s="528" t="n"/>
      <c r="CM55" s="528" t="n"/>
      <c r="CN55" s="528" t="n"/>
      <c r="CO55" s="21">
        <f>CM55*CN55</f>
        <v/>
      </c>
    </row>
    <row r="56">
      <c r="A56" s="112" t="n">
        <v>1</v>
      </c>
      <c r="B56" s="64" t="inlineStr">
        <is>
          <t>f</t>
        </is>
      </c>
      <c r="C56" s="105" t="n">
        <v>1</v>
      </c>
      <c r="D56" s="116">
        <f>CONCATENATE(A$3,"_",A56,"_",B56,"_",C56)</f>
        <v/>
      </c>
      <c r="E56" s="122" t="inlineStr">
        <is>
          <t>Stworzenie mapy zidentyfikowanych algorytmów/etapów PT</t>
        </is>
      </c>
      <c r="F56" s="528">
        <f>IFERROR(VLOOKUP($I56,Listy!$A:$H,2,FALSE),"XXX")</f>
        <v/>
      </c>
      <c r="G56" s="528">
        <f>IFERROR(VLOOKUP($I56,Listy!$A:$H,3,FALSE),"XXX")</f>
        <v/>
      </c>
      <c r="H56" s="20" t="n">
        <v>48</v>
      </c>
      <c r="I56" s="89" t="inlineStr">
        <is>
          <t>.a49</t>
        </is>
      </c>
      <c r="J56" s="91" t="inlineStr">
        <is>
          <t>.m01</t>
        </is>
      </c>
      <c r="K56" s="681">
        <f>VLOOKUP(J56,Listy!A:B,2,FALSE)</f>
        <v/>
      </c>
      <c r="L56" s="91" t="inlineStr">
        <is>
          <t>.m60</t>
        </is>
      </c>
      <c r="M56" s="681">
        <f>VLOOKUP(L56,Listy!A:B,2,FALSE)</f>
        <v/>
      </c>
      <c r="N56" s="528" t="n">
        <v>3</v>
      </c>
      <c r="O56" s="528">
        <f>N56*40</f>
        <v/>
      </c>
      <c r="P56" s="187" t="n"/>
      <c r="Q56" s="187" t="n"/>
      <c r="R56" s="187" t="n"/>
      <c r="S56" s="187" t="n"/>
      <c r="T56" s="187" t="n"/>
      <c r="U56" s="187" t="n"/>
      <c r="V56" s="187" t="n"/>
      <c r="W56" s="187" t="n"/>
      <c r="X56" s="187" t="n"/>
      <c r="Y56" s="292" t="n"/>
      <c r="Z56" s="292" t="n"/>
      <c r="AA56" s="292" t="n"/>
      <c r="AB56" s="292" t="n"/>
      <c r="AC56" s="292" t="n"/>
      <c r="AD56" s="292" t="n"/>
      <c r="AE56" s="292" t="n"/>
      <c r="AF56" s="292" t="n"/>
      <c r="AG56" s="305" t="n"/>
      <c r="AH56" s="305" t="n"/>
      <c r="AI56" s="305" t="n"/>
      <c r="AJ56" s="305" t="n"/>
      <c r="AK56" s="305" t="n"/>
      <c r="AL56" s="192">
        <f>ROUND($O56*P56,0)</f>
        <v/>
      </c>
      <c r="AM56" s="192">
        <f>ROUND($O56*Q56,0)</f>
        <v/>
      </c>
      <c r="AN56" s="192">
        <f>ROUND($O56*R56,0)</f>
        <v/>
      </c>
      <c r="AO56" s="192">
        <f>ROUND($O56*S56,0)</f>
        <v/>
      </c>
      <c r="AP56" s="192">
        <f>ROUND($O56*T56,0)</f>
        <v/>
      </c>
      <c r="AQ56" s="192">
        <f>ROUND($O56*U56,0)</f>
        <v/>
      </c>
      <c r="AR56" s="192">
        <f>ROUND($O56*V56,0)</f>
        <v/>
      </c>
      <c r="AS56" s="192">
        <f>ROUND($O56*W56,0)</f>
        <v/>
      </c>
      <c r="AT56" s="192">
        <f>ROUND($O56*X56,0)</f>
        <v/>
      </c>
      <c r="AU56" s="193">
        <f>ROUND($O56*Y56,0)</f>
        <v/>
      </c>
      <c r="AV56" s="193">
        <f>ROUND($O56*Z56,0)</f>
        <v/>
      </c>
      <c r="AW56" s="193">
        <f>ROUND($O56*AA56,0)</f>
        <v/>
      </c>
      <c r="AX56" s="193">
        <f>ROUND($O56*AB56,0)</f>
        <v/>
      </c>
      <c r="AY56" s="193">
        <f>ROUND($O56*AC56,0)</f>
        <v/>
      </c>
      <c r="AZ56" s="193">
        <f>ROUND($O56*AD56,0)</f>
        <v/>
      </c>
      <c r="BA56" s="193">
        <f>ROUND($O56*AE56,0)</f>
        <v/>
      </c>
      <c r="BB56" s="193">
        <f>ROUND($O56*AF56,0)</f>
        <v/>
      </c>
      <c r="BC56" s="306">
        <f>ROUND($O56*AG56,0)</f>
        <v/>
      </c>
      <c r="BD56" s="306">
        <f>ROUND($O56*AH56,0)</f>
        <v/>
      </c>
      <c r="BE56" s="306">
        <f>ROUND($O56*AI56,0)</f>
        <v/>
      </c>
      <c r="BF56" s="306">
        <f>ROUND($O56*AJ56,0)</f>
        <v/>
      </c>
      <c r="BG56" s="306">
        <f>ROUND($O56*AK56,0)</f>
        <v/>
      </c>
      <c r="BH56" s="236">
        <f>SUM(AL56:AT56)</f>
        <v/>
      </c>
      <c r="BI56" s="528">
        <f>BH56/160</f>
        <v/>
      </c>
      <c r="BJ56" s="87">
        <f>VLOOKUP(I56,Listy!$A$1:$H$9,6,FALSE)</f>
        <v/>
      </c>
      <c r="BK56" s="682">
        <f>BI56*BJ56</f>
        <v/>
      </c>
      <c r="BL56" s="683">
        <f>BI56*BK56</f>
        <v/>
      </c>
      <c r="BM56" s="528" t="n"/>
      <c r="BN56" s="528" t="n"/>
      <c r="BO56" s="528" t="n"/>
      <c r="BP56" s="528" t="n"/>
      <c r="BQ56" s="528" t="n"/>
      <c r="BR56" s="528" t="n"/>
      <c r="BS56" s="22">
        <f>BQ56*BR56</f>
        <v/>
      </c>
      <c r="BT56" s="528" t="n"/>
      <c r="BU56" s="528" t="n"/>
      <c r="BV56" s="314" t="n"/>
      <c r="BW56" s="528" t="n"/>
      <c r="BX56" s="528" t="n"/>
      <c r="BY56" s="314" t="n"/>
      <c r="BZ56" s="528" t="n"/>
      <c r="CA56" s="528" t="n"/>
      <c r="CB56" s="314" t="n"/>
      <c r="CC56" s="314" t="n"/>
      <c r="CD56" s="528" t="n"/>
      <c r="CE56" s="528" t="n"/>
      <c r="CF56" s="528" t="n"/>
      <c r="CG56" s="22">
        <f>CE56*CF56</f>
        <v/>
      </c>
      <c r="CH56" s="528" t="n"/>
      <c r="CI56" s="528" t="n"/>
      <c r="CJ56" s="528" t="n"/>
      <c r="CK56" s="22">
        <f>CI56*CJ56</f>
        <v/>
      </c>
      <c r="CL56" s="528" t="n"/>
      <c r="CM56" s="528" t="n"/>
      <c r="CN56" s="528" t="n"/>
      <c r="CO56" s="22">
        <f>CM56*CN56</f>
        <v/>
      </c>
    </row>
    <row r="57">
      <c r="A57" s="112" t="n">
        <v>1</v>
      </c>
      <c r="B57" s="64" t="inlineStr">
        <is>
          <t>e</t>
        </is>
      </c>
      <c r="C57" s="105" t="n">
        <v>1</v>
      </c>
      <c r="D57" s="116">
        <f>CONCATENATE(A$3,"_",A57,"_",B57,"_",C57)</f>
        <v/>
      </c>
      <c r="E57" s="122" t="inlineStr">
        <is>
          <t>Analiza wpływu zakłóceń dostępności infrastruktury technicznej</t>
        </is>
      </c>
      <c r="F57" s="528">
        <f>IFERROR(VLOOKUP($I57,Listy!$A:$H,2,FALSE),"XXX")</f>
        <v/>
      </c>
      <c r="G57" s="528">
        <f>IFERROR(VLOOKUP($I57,Listy!$A:$H,3,FALSE),"XXX")</f>
        <v/>
      </c>
      <c r="H57" s="20" t="n">
        <v>49</v>
      </c>
      <c r="I57" s="89" t="inlineStr">
        <is>
          <t>.a50</t>
        </is>
      </c>
      <c r="J57" s="91" t="inlineStr">
        <is>
          <t>.m01</t>
        </is>
      </c>
      <c r="K57" s="681">
        <f>VLOOKUP(J57,Listy!A:B,2,FALSE)</f>
        <v/>
      </c>
      <c r="L57" s="91" t="inlineStr">
        <is>
          <t>.m61</t>
        </is>
      </c>
      <c r="M57" s="681">
        <f>VLOOKUP(L57,Listy!A:B,2,FALSE)</f>
        <v/>
      </c>
      <c r="N57" s="528" t="n">
        <v>3</v>
      </c>
      <c r="O57" s="528">
        <f>N57*40</f>
        <v/>
      </c>
      <c r="P57" s="187" t="n"/>
      <c r="Q57" s="187" t="n"/>
      <c r="R57" s="187" t="n"/>
      <c r="S57" s="187" t="n"/>
      <c r="T57" s="187" t="n"/>
      <c r="U57" s="187" t="n"/>
      <c r="V57" s="187" t="n"/>
      <c r="W57" s="187" t="n"/>
      <c r="X57" s="187" t="n"/>
      <c r="Y57" s="292" t="n"/>
      <c r="Z57" s="292" t="n"/>
      <c r="AA57" s="292" t="n"/>
      <c r="AB57" s="292" t="n"/>
      <c r="AC57" s="292" t="n"/>
      <c r="AD57" s="292" t="n"/>
      <c r="AE57" s="292" t="n"/>
      <c r="AF57" s="292" t="n"/>
      <c r="AG57" s="305" t="n"/>
      <c r="AH57" s="305" t="n"/>
      <c r="AI57" s="305" t="n"/>
      <c r="AJ57" s="305" t="n"/>
      <c r="AK57" s="305" t="n"/>
      <c r="AL57" s="192">
        <f>ROUND($O57*P57,0)</f>
        <v/>
      </c>
      <c r="AM57" s="192">
        <f>ROUND($O57*Q57,0)</f>
        <v/>
      </c>
      <c r="AN57" s="192">
        <f>ROUND($O57*R57,0)</f>
        <v/>
      </c>
      <c r="AO57" s="192">
        <f>ROUND($O57*S57,0)</f>
        <v/>
      </c>
      <c r="AP57" s="192">
        <f>ROUND($O57*T57,0)</f>
        <v/>
      </c>
      <c r="AQ57" s="192">
        <f>ROUND($O57*U57,0)</f>
        <v/>
      </c>
      <c r="AR57" s="192">
        <f>ROUND($O57*V57,0)</f>
        <v/>
      </c>
      <c r="AS57" s="192">
        <f>ROUND($O57*W57,0)</f>
        <v/>
      </c>
      <c r="AT57" s="192">
        <f>ROUND($O57*X57,0)</f>
        <v/>
      </c>
      <c r="AU57" s="193">
        <f>ROUND($O57*Y57,0)</f>
        <v/>
      </c>
      <c r="AV57" s="193">
        <f>ROUND($O57*Z57,0)</f>
        <v/>
      </c>
      <c r="AW57" s="193">
        <f>ROUND($O57*AA57,0)</f>
        <v/>
      </c>
      <c r="AX57" s="193">
        <f>ROUND($O57*AB57,0)</f>
        <v/>
      </c>
      <c r="AY57" s="193">
        <f>ROUND($O57*AC57,0)</f>
        <v/>
      </c>
      <c r="AZ57" s="193">
        <f>ROUND($O57*AD57,0)</f>
        <v/>
      </c>
      <c r="BA57" s="193">
        <f>ROUND($O57*AE57,0)</f>
        <v/>
      </c>
      <c r="BB57" s="193">
        <f>ROUND($O57*AF57,0)</f>
        <v/>
      </c>
      <c r="BC57" s="306">
        <f>ROUND($O57*AG57,0)</f>
        <v/>
      </c>
      <c r="BD57" s="306">
        <f>ROUND($O57*AH57,0)</f>
        <v/>
      </c>
      <c r="BE57" s="306">
        <f>ROUND($O57*AI57,0)</f>
        <v/>
      </c>
      <c r="BF57" s="306">
        <f>ROUND($O57*AJ57,0)</f>
        <v/>
      </c>
      <c r="BG57" s="306">
        <f>ROUND($O57*AK57,0)</f>
        <v/>
      </c>
      <c r="BH57" s="236">
        <f>SUM(AL57:AT57)</f>
        <v/>
      </c>
      <c r="BI57" s="528">
        <f>BH57/160</f>
        <v/>
      </c>
      <c r="BJ57" s="87">
        <f>VLOOKUP(I57,Listy!$A$1:$H$9,6,FALSE)</f>
        <v/>
      </c>
      <c r="BK57" s="682">
        <f>BI57*BJ57</f>
        <v/>
      </c>
      <c r="BL57" s="683">
        <f>BI57*BK57</f>
        <v/>
      </c>
      <c r="BM57" s="528" t="n"/>
      <c r="BN57" s="528" t="n"/>
      <c r="BO57" s="528" t="n"/>
      <c r="BP57" s="528" t="n"/>
      <c r="BQ57" s="528" t="n"/>
      <c r="BR57" s="528" t="n"/>
      <c r="BS57" s="21">
        <f>BQ57*BR57</f>
        <v/>
      </c>
      <c r="BT57" s="528" t="n"/>
      <c r="BU57" s="528" t="n"/>
      <c r="BV57" s="528" t="n"/>
      <c r="BW57" s="528" t="n"/>
      <c r="BX57" s="528" t="n"/>
      <c r="BY57" s="528" t="n"/>
      <c r="BZ57" s="528" t="n"/>
      <c r="CA57" s="528" t="n"/>
      <c r="CB57" s="528" t="n"/>
      <c r="CC57" s="528" t="n"/>
      <c r="CD57" s="528" t="n"/>
      <c r="CE57" s="528" t="n"/>
      <c r="CF57" s="528" t="n"/>
      <c r="CG57" s="21">
        <f>CE57*CF57</f>
        <v/>
      </c>
      <c r="CH57" s="528" t="n"/>
      <c r="CI57" s="528" t="n"/>
      <c r="CJ57" s="528" t="n"/>
      <c r="CK57" s="21">
        <f>CI57*CJ57</f>
        <v/>
      </c>
      <c r="CL57" s="528" t="n"/>
      <c r="CM57" s="528" t="n"/>
      <c r="CN57" s="528" t="n"/>
      <c r="CO57" s="21">
        <f>CM57*CN57</f>
        <v/>
      </c>
    </row>
    <row r="58">
      <c r="A58" s="112" t="n">
        <v>1</v>
      </c>
      <c r="B58" s="64" t="inlineStr">
        <is>
          <t>f</t>
        </is>
      </c>
      <c r="C58" s="105" t="n">
        <v>1</v>
      </c>
      <c r="D58" s="116">
        <f>CONCATENATE(A$3,"_",A58,"_",B58,"_",C58)</f>
        <v/>
      </c>
      <c r="E58" s="122" t="inlineStr">
        <is>
          <t>Stworzenie mapy zidentyfikowanych algorytmów/etapów PT</t>
        </is>
      </c>
      <c r="F58" s="528">
        <f>IFERROR(VLOOKUP($I58,Listy!$A:$H,2,FALSE),"XXX")</f>
        <v/>
      </c>
      <c r="G58" s="528">
        <f>IFERROR(VLOOKUP($I58,Listy!$A:$H,3,FALSE),"XXX")</f>
        <v/>
      </c>
      <c r="H58" s="20" t="n">
        <v>50</v>
      </c>
      <c r="I58" s="89" t="inlineStr">
        <is>
          <t>.a51</t>
        </is>
      </c>
      <c r="J58" s="91" t="inlineStr">
        <is>
          <t>.m01</t>
        </is>
      </c>
      <c r="K58" s="681">
        <f>VLOOKUP(J58,Listy!A:B,2,FALSE)</f>
        <v/>
      </c>
      <c r="L58" s="91" t="inlineStr">
        <is>
          <t>.m62</t>
        </is>
      </c>
      <c r="M58" s="681">
        <f>VLOOKUP(L58,Listy!A:B,2,FALSE)</f>
        <v/>
      </c>
      <c r="N58" s="528" t="n">
        <v>3</v>
      </c>
      <c r="O58" s="528">
        <f>N58*40</f>
        <v/>
      </c>
      <c r="P58" s="187" t="n"/>
      <c r="Q58" s="187" t="n"/>
      <c r="R58" s="187" t="n"/>
      <c r="S58" s="187" t="n"/>
      <c r="T58" s="187" t="n"/>
      <c r="U58" s="187" t="n"/>
      <c r="V58" s="187" t="n"/>
      <c r="W58" s="187" t="n"/>
      <c r="X58" s="187" t="n"/>
      <c r="Y58" s="292" t="n"/>
      <c r="Z58" s="292" t="n"/>
      <c r="AA58" s="292" t="n"/>
      <c r="AB58" s="292" t="n"/>
      <c r="AC58" s="292" t="n"/>
      <c r="AD58" s="292" t="n"/>
      <c r="AE58" s="292" t="n"/>
      <c r="AF58" s="292" t="n"/>
      <c r="AG58" s="305" t="n"/>
      <c r="AH58" s="305" t="n"/>
      <c r="AI58" s="305" t="n"/>
      <c r="AJ58" s="305" t="n"/>
      <c r="AK58" s="305" t="n"/>
      <c r="AL58" s="192">
        <f>ROUND($O58*P58,0)</f>
        <v/>
      </c>
      <c r="AM58" s="192">
        <f>ROUND($O58*Q58,0)</f>
        <v/>
      </c>
      <c r="AN58" s="192">
        <f>ROUND($O58*R58,0)</f>
        <v/>
      </c>
      <c r="AO58" s="192">
        <f>ROUND($O58*S58,0)</f>
        <v/>
      </c>
      <c r="AP58" s="192">
        <f>ROUND($O58*T58,0)</f>
        <v/>
      </c>
      <c r="AQ58" s="192">
        <f>ROUND($O58*U58,0)</f>
        <v/>
      </c>
      <c r="AR58" s="192">
        <f>ROUND($O58*V58,0)</f>
        <v/>
      </c>
      <c r="AS58" s="192">
        <f>ROUND($O58*W58,0)</f>
        <v/>
      </c>
      <c r="AT58" s="192">
        <f>ROUND($O58*X58,0)</f>
        <v/>
      </c>
      <c r="AU58" s="193">
        <f>ROUND($O58*Y58,0)</f>
        <v/>
      </c>
      <c r="AV58" s="193">
        <f>ROUND($O58*Z58,0)</f>
        <v/>
      </c>
      <c r="AW58" s="193">
        <f>ROUND($O58*AA58,0)</f>
        <v/>
      </c>
      <c r="AX58" s="193">
        <f>ROUND($O58*AB58,0)</f>
        <v/>
      </c>
      <c r="AY58" s="193">
        <f>ROUND($O58*AC58,0)</f>
        <v/>
      </c>
      <c r="AZ58" s="193">
        <f>ROUND($O58*AD58,0)</f>
        <v/>
      </c>
      <c r="BA58" s="193">
        <f>ROUND($O58*AE58,0)</f>
        <v/>
      </c>
      <c r="BB58" s="193">
        <f>ROUND($O58*AF58,0)</f>
        <v/>
      </c>
      <c r="BC58" s="306">
        <f>ROUND($O58*AG58,0)</f>
        <v/>
      </c>
      <c r="BD58" s="306">
        <f>ROUND($O58*AH58,0)</f>
        <v/>
      </c>
      <c r="BE58" s="306">
        <f>ROUND($O58*AI58,0)</f>
        <v/>
      </c>
      <c r="BF58" s="306">
        <f>ROUND($O58*AJ58,0)</f>
        <v/>
      </c>
      <c r="BG58" s="306">
        <f>ROUND($O58*AK58,0)</f>
        <v/>
      </c>
      <c r="BH58" s="236">
        <f>SUM(AL58:AT58)</f>
        <v/>
      </c>
      <c r="BI58" s="528">
        <f>BH58/160</f>
        <v/>
      </c>
      <c r="BJ58" s="87">
        <f>VLOOKUP(I58,Listy!$A$1:$H$9,6,FALSE)</f>
        <v/>
      </c>
      <c r="BK58" s="682">
        <f>BI58*BJ58</f>
        <v/>
      </c>
      <c r="BL58" s="683">
        <f>BI58*BK58</f>
        <v/>
      </c>
      <c r="BM58" s="528" t="n"/>
      <c r="BN58" s="528" t="n"/>
      <c r="BO58" s="528" t="n"/>
      <c r="BP58" s="528" t="n"/>
      <c r="BQ58" s="528" t="n"/>
      <c r="BR58" s="528" t="n"/>
      <c r="BS58" s="22">
        <f>BQ58*BR58</f>
        <v/>
      </c>
      <c r="BT58" s="528" t="n"/>
      <c r="BU58" s="528" t="n"/>
      <c r="BV58" s="314" t="n"/>
      <c r="BW58" s="528" t="n"/>
      <c r="BX58" s="528" t="n"/>
      <c r="BY58" s="314" t="n"/>
      <c r="BZ58" s="528" t="n"/>
      <c r="CA58" s="528" t="n"/>
      <c r="CB58" s="314" t="n"/>
      <c r="CC58" s="314" t="n"/>
      <c r="CD58" s="528" t="n"/>
      <c r="CE58" s="528" t="n"/>
      <c r="CF58" s="528" t="n"/>
      <c r="CG58" s="22">
        <f>CE58*CF58</f>
        <v/>
      </c>
      <c r="CH58" s="528" t="n"/>
      <c r="CI58" s="528" t="n"/>
      <c r="CJ58" s="528" t="n"/>
      <c r="CK58" s="22">
        <f>CI58*CJ58</f>
        <v/>
      </c>
      <c r="CL58" s="528" t="n"/>
      <c r="CM58" s="528" t="n"/>
      <c r="CN58" s="528" t="n"/>
      <c r="CO58" s="22">
        <f>CM58*CN58</f>
        <v/>
      </c>
    </row>
    <row r="59">
      <c r="A59" s="112" t="n">
        <v>1</v>
      </c>
      <c r="B59" s="64" t="inlineStr">
        <is>
          <t>e</t>
        </is>
      </c>
      <c r="C59" s="105" t="n">
        <v>1</v>
      </c>
      <c r="D59" s="116">
        <f>CONCATENATE(A$3,"_",A59,"_",B59,"_",C59)</f>
        <v/>
      </c>
      <c r="E59" s="122" t="inlineStr">
        <is>
          <t>Analiza wpływu zakłóceń dostępności infrastruktury technicznej</t>
        </is>
      </c>
      <c r="F59" s="528">
        <f>IFERROR(VLOOKUP($I59,Listy!$A:$H,2,FALSE),"XXX")</f>
        <v/>
      </c>
      <c r="G59" s="528">
        <f>IFERROR(VLOOKUP($I59,Listy!$A:$H,3,FALSE),"XXX")</f>
        <v/>
      </c>
      <c r="H59" s="20" t="n">
        <v>51</v>
      </c>
      <c r="I59" s="89" t="inlineStr">
        <is>
          <t>.a52</t>
        </is>
      </c>
      <c r="J59" s="91" t="inlineStr">
        <is>
          <t>.m01</t>
        </is>
      </c>
      <c r="K59" s="681">
        <f>VLOOKUP(J59,Listy!A:B,2,FALSE)</f>
        <v/>
      </c>
      <c r="L59" s="91" t="inlineStr">
        <is>
          <t>.m63</t>
        </is>
      </c>
      <c r="M59" s="681">
        <f>VLOOKUP(L59,Listy!A:B,2,FALSE)</f>
        <v/>
      </c>
      <c r="N59" s="528" t="n">
        <v>3</v>
      </c>
      <c r="O59" s="528">
        <f>N59*40</f>
        <v/>
      </c>
      <c r="P59" s="187" t="n"/>
      <c r="Q59" s="187" t="n"/>
      <c r="R59" s="187" t="n"/>
      <c r="S59" s="187" t="n"/>
      <c r="T59" s="187" t="n"/>
      <c r="U59" s="187" t="n"/>
      <c r="V59" s="187" t="n"/>
      <c r="W59" s="187" t="n"/>
      <c r="X59" s="187" t="n"/>
      <c r="Y59" s="292" t="n"/>
      <c r="Z59" s="292" t="n"/>
      <c r="AA59" s="292" t="n"/>
      <c r="AB59" s="292" t="n"/>
      <c r="AC59" s="292" t="n"/>
      <c r="AD59" s="292" t="n"/>
      <c r="AE59" s="292" t="n"/>
      <c r="AF59" s="292" t="n"/>
      <c r="AG59" s="305" t="n"/>
      <c r="AH59" s="305" t="n"/>
      <c r="AI59" s="305" t="n"/>
      <c r="AJ59" s="305" t="n"/>
      <c r="AK59" s="305" t="n"/>
      <c r="AL59" s="192">
        <f>ROUND($O59*P59,0)</f>
        <v/>
      </c>
      <c r="AM59" s="192">
        <f>ROUND($O59*Q59,0)</f>
        <v/>
      </c>
      <c r="AN59" s="192">
        <f>ROUND($O59*R59,0)</f>
        <v/>
      </c>
      <c r="AO59" s="192">
        <f>ROUND($O59*S59,0)</f>
        <v/>
      </c>
      <c r="AP59" s="192">
        <f>ROUND($O59*T59,0)</f>
        <v/>
      </c>
      <c r="AQ59" s="192">
        <f>ROUND($O59*U59,0)</f>
        <v/>
      </c>
      <c r="AR59" s="192">
        <f>ROUND($O59*V59,0)</f>
        <v/>
      </c>
      <c r="AS59" s="192">
        <f>ROUND($O59*W59,0)</f>
        <v/>
      </c>
      <c r="AT59" s="192">
        <f>ROUND($O59*X59,0)</f>
        <v/>
      </c>
      <c r="AU59" s="193">
        <f>ROUND($O59*Y59,0)</f>
        <v/>
      </c>
      <c r="AV59" s="193">
        <f>ROUND($O59*Z59,0)</f>
        <v/>
      </c>
      <c r="AW59" s="193">
        <f>ROUND($O59*AA59,0)</f>
        <v/>
      </c>
      <c r="AX59" s="193">
        <f>ROUND($O59*AB59,0)</f>
        <v/>
      </c>
      <c r="AY59" s="193">
        <f>ROUND($O59*AC59,0)</f>
        <v/>
      </c>
      <c r="AZ59" s="193">
        <f>ROUND($O59*AD59,0)</f>
        <v/>
      </c>
      <c r="BA59" s="193">
        <f>ROUND($O59*AE59,0)</f>
        <v/>
      </c>
      <c r="BB59" s="193">
        <f>ROUND($O59*AF59,0)</f>
        <v/>
      </c>
      <c r="BC59" s="306">
        <f>ROUND($O59*AG59,0)</f>
        <v/>
      </c>
      <c r="BD59" s="306">
        <f>ROUND($O59*AH59,0)</f>
        <v/>
      </c>
      <c r="BE59" s="306">
        <f>ROUND($O59*AI59,0)</f>
        <v/>
      </c>
      <c r="BF59" s="306">
        <f>ROUND($O59*AJ59,0)</f>
        <v/>
      </c>
      <c r="BG59" s="306">
        <f>ROUND($O59*AK59,0)</f>
        <v/>
      </c>
      <c r="BH59" s="236">
        <f>SUM(AL59:AT59)</f>
        <v/>
      </c>
      <c r="BI59" s="528">
        <f>BH59/160</f>
        <v/>
      </c>
      <c r="BJ59" s="87">
        <f>VLOOKUP(I59,Listy!$A$1:$H$9,6,FALSE)</f>
        <v/>
      </c>
      <c r="BK59" s="682">
        <f>BI59*BJ59</f>
        <v/>
      </c>
      <c r="BL59" s="683">
        <f>BI59*BK59</f>
        <v/>
      </c>
      <c r="BM59" s="528" t="n"/>
      <c r="BN59" s="528" t="n"/>
      <c r="BO59" s="528" t="n"/>
      <c r="BP59" s="528" t="n"/>
      <c r="BQ59" s="528" t="n"/>
      <c r="BR59" s="528" t="n"/>
      <c r="BS59" s="21">
        <f>BQ59*BR59</f>
        <v/>
      </c>
      <c r="BT59" s="528" t="n"/>
      <c r="BU59" s="528" t="n"/>
      <c r="BV59" s="528" t="n"/>
      <c r="BW59" s="528" t="n"/>
      <c r="BX59" s="528" t="n"/>
      <c r="BY59" s="528" t="n"/>
      <c r="BZ59" s="528" t="n"/>
      <c r="CA59" s="528" t="n"/>
      <c r="CB59" s="528" t="n"/>
      <c r="CC59" s="528" t="n"/>
      <c r="CD59" s="528" t="n"/>
      <c r="CE59" s="528" t="n"/>
      <c r="CF59" s="528" t="n"/>
      <c r="CG59" s="21">
        <f>CE59*CF59</f>
        <v/>
      </c>
      <c r="CH59" s="528" t="n"/>
      <c r="CI59" s="528" t="n"/>
      <c r="CJ59" s="528" t="n"/>
      <c r="CK59" s="21">
        <f>CI59*CJ59</f>
        <v/>
      </c>
      <c r="CL59" s="528" t="n"/>
      <c r="CM59" s="528" t="n"/>
      <c r="CN59" s="528" t="n"/>
      <c r="CO59" s="21">
        <f>CM59*CN59</f>
        <v/>
      </c>
    </row>
    <row r="60">
      <c r="A60" s="112" t="n">
        <v>1</v>
      </c>
      <c r="B60" s="64" t="inlineStr">
        <is>
          <t>f</t>
        </is>
      </c>
      <c r="C60" s="105" t="n">
        <v>1</v>
      </c>
      <c r="D60" s="116">
        <f>CONCATENATE(A$3,"_",A60,"_",B60,"_",C60)</f>
        <v/>
      </c>
      <c r="E60" s="122" t="inlineStr">
        <is>
          <t>Stworzenie mapy zidentyfikowanych algorytmów/etapów PT</t>
        </is>
      </c>
      <c r="F60" s="528">
        <f>IFERROR(VLOOKUP($I60,Listy!$A:$H,2,FALSE),"XXX")</f>
        <v/>
      </c>
      <c r="G60" s="528">
        <f>IFERROR(VLOOKUP($I60,Listy!$A:$H,3,FALSE),"XXX")</f>
        <v/>
      </c>
      <c r="H60" s="20" t="n">
        <v>52</v>
      </c>
      <c r="I60" s="89" t="inlineStr">
        <is>
          <t>.a53</t>
        </is>
      </c>
      <c r="J60" s="91" t="inlineStr">
        <is>
          <t>.m01</t>
        </is>
      </c>
      <c r="K60" s="681">
        <f>VLOOKUP(J60,Listy!A:B,2,FALSE)</f>
        <v/>
      </c>
      <c r="L60" s="91" t="inlineStr">
        <is>
          <t>.m64</t>
        </is>
      </c>
      <c r="M60" s="681">
        <f>VLOOKUP(L60,Listy!A:B,2,FALSE)</f>
        <v/>
      </c>
      <c r="N60" s="528" t="n">
        <v>3</v>
      </c>
      <c r="O60" s="528">
        <f>N60*40</f>
        <v/>
      </c>
      <c r="P60" s="187" t="n"/>
      <c r="Q60" s="187" t="n"/>
      <c r="R60" s="187" t="n"/>
      <c r="S60" s="187" t="n"/>
      <c r="T60" s="187" t="n"/>
      <c r="U60" s="187" t="n"/>
      <c r="V60" s="187" t="n"/>
      <c r="W60" s="187" t="n"/>
      <c r="X60" s="187" t="n"/>
      <c r="Y60" s="292" t="n"/>
      <c r="Z60" s="292" t="n"/>
      <c r="AA60" s="292" t="n"/>
      <c r="AB60" s="292" t="n"/>
      <c r="AC60" s="292" t="n"/>
      <c r="AD60" s="292" t="n"/>
      <c r="AE60" s="292" t="n"/>
      <c r="AF60" s="292" t="n"/>
      <c r="AG60" s="305" t="n"/>
      <c r="AH60" s="305" t="n"/>
      <c r="AI60" s="305" t="n"/>
      <c r="AJ60" s="305" t="n"/>
      <c r="AK60" s="305" t="n"/>
      <c r="AL60" s="192">
        <f>ROUND($O60*P60,0)</f>
        <v/>
      </c>
      <c r="AM60" s="192">
        <f>ROUND($O60*Q60,0)</f>
        <v/>
      </c>
      <c r="AN60" s="192">
        <f>ROUND($O60*R60,0)</f>
        <v/>
      </c>
      <c r="AO60" s="192">
        <f>ROUND($O60*S60,0)</f>
        <v/>
      </c>
      <c r="AP60" s="192">
        <f>ROUND($O60*T60,0)</f>
        <v/>
      </c>
      <c r="AQ60" s="192">
        <f>ROUND($O60*U60,0)</f>
        <v/>
      </c>
      <c r="AR60" s="192">
        <f>ROUND($O60*V60,0)</f>
        <v/>
      </c>
      <c r="AS60" s="192">
        <f>ROUND($O60*W60,0)</f>
        <v/>
      </c>
      <c r="AT60" s="192">
        <f>ROUND($O60*X60,0)</f>
        <v/>
      </c>
      <c r="AU60" s="193">
        <f>ROUND($O60*Y60,0)</f>
        <v/>
      </c>
      <c r="AV60" s="193">
        <f>ROUND($O60*Z60,0)</f>
        <v/>
      </c>
      <c r="AW60" s="193">
        <f>ROUND($O60*AA60,0)</f>
        <v/>
      </c>
      <c r="AX60" s="193">
        <f>ROUND($O60*AB60,0)</f>
        <v/>
      </c>
      <c r="AY60" s="193">
        <f>ROUND($O60*AC60,0)</f>
        <v/>
      </c>
      <c r="AZ60" s="193">
        <f>ROUND($O60*AD60,0)</f>
        <v/>
      </c>
      <c r="BA60" s="193">
        <f>ROUND($O60*AE60,0)</f>
        <v/>
      </c>
      <c r="BB60" s="193">
        <f>ROUND($O60*AF60,0)</f>
        <v/>
      </c>
      <c r="BC60" s="306">
        <f>ROUND($O60*AG60,0)</f>
        <v/>
      </c>
      <c r="BD60" s="306">
        <f>ROUND($O60*AH60,0)</f>
        <v/>
      </c>
      <c r="BE60" s="306">
        <f>ROUND($O60*AI60,0)</f>
        <v/>
      </c>
      <c r="BF60" s="306">
        <f>ROUND($O60*AJ60,0)</f>
        <v/>
      </c>
      <c r="BG60" s="306">
        <f>ROUND($O60*AK60,0)</f>
        <v/>
      </c>
      <c r="BH60" s="236">
        <f>SUM(AL60:AT60)</f>
        <v/>
      </c>
      <c r="BI60" s="528">
        <f>BH60/160</f>
        <v/>
      </c>
      <c r="BJ60" s="87">
        <f>VLOOKUP(I60,Listy!$A$1:$H$9,6,FALSE)</f>
        <v/>
      </c>
      <c r="BK60" s="682">
        <f>BI60*BJ60</f>
        <v/>
      </c>
      <c r="BL60" s="683">
        <f>BI60*BK60</f>
        <v/>
      </c>
      <c r="BM60" s="528" t="n"/>
      <c r="BN60" s="528" t="n"/>
      <c r="BO60" s="528" t="n"/>
      <c r="BP60" s="528" t="n"/>
      <c r="BQ60" s="528" t="n"/>
      <c r="BR60" s="528" t="n"/>
      <c r="BS60" s="22">
        <f>BQ60*BR60</f>
        <v/>
      </c>
      <c r="BT60" s="528" t="n"/>
      <c r="BU60" s="528" t="n"/>
      <c r="BV60" s="314" t="n"/>
      <c r="BW60" s="528" t="n"/>
      <c r="BX60" s="528" t="n"/>
      <c r="BY60" s="314" t="n"/>
      <c r="BZ60" s="528" t="n"/>
      <c r="CA60" s="528" t="n"/>
      <c r="CB60" s="314" t="n"/>
      <c r="CC60" s="314" t="n"/>
      <c r="CD60" s="528" t="n"/>
      <c r="CE60" s="528" t="n"/>
      <c r="CF60" s="528" t="n"/>
      <c r="CG60" s="22">
        <f>CE60*CF60</f>
        <v/>
      </c>
      <c r="CH60" s="528" t="n"/>
      <c r="CI60" s="528" t="n"/>
      <c r="CJ60" s="528" t="n"/>
      <c r="CK60" s="22">
        <f>CI60*CJ60</f>
        <v/>
      </c>
      <c r="CL60" s="528" t="n"/>
      <c r="CM60" s="528" t="n"/>
      <c r="CN60" s="528" t="n"/>
      <c r="CO60" s="22">
        <f>CM60*CN60</f>
        <v/>
      </c>
    </row>
    <row r="61">
      <c r="A61" s="112" t="n">
        <v>1</v>
      </c>
      <c r="B61" s="64" t="inlineStr">
        <is>
          <t>e</t>
        </is>
      </c>
      <c r="C61" s="105" t="n">
        <v>1</v>
      </c>
      <c r="D61" s="116">
        <f>CONCATENATE(A$3,"_",A61,"_",B61,"_",C61)</f>
        <v/>
      </c>
      <c r="E61" s="122" t="inlineStr">
        <is>
          <t>Analiza wpływu zakłóceń dostępności infrastruktury technicznej</t>
        </is>
      </c>
      <c r="F61" s="528">
        <f>IFERROR(VLOOKUP($I61,Listy!$A:$H,2,FALSE),"XXX")</f>
        <v/>
      </c>
      <c r="G61" s="528">
        <f>IFERROR(VLOOKUP($I61,Listy!$A:$H,3,FALSE),"XXX")</f>
        <v/>
      </c>
      <c r="H61" s="20" t="n">
        <v>53</v>
      </c>
      <c r="I61" s="89" t="inlineStr">
        <is>
          <t>.a54</t>
        </is>
      </c>
      <c r="J61" s="91" t="inlineStr">
        <is>
          <t>.m01</t>
        </is>
      </c>
      <c r="K61" s="681">
        <f>VLOOKUP(J61,Listy!A:B,2,FALSE)</f>
        <v/>
      </c>
      <c r="L61" s="91" t="inlineStr">
        <is>
          <t>.m65</t>
        </is>
      </c>
      <c r="M61" s="681">
        <f>VLOOKUP(L61,Listy!A:B,2,FALSE)</f>
        <v/>
      </c>
      <c r="N61" s="528" t="n">
        <v>3</v>
      </c>
      <c r="O61" s="528">
        <f>N61*40</f>
        <v/>
      </c>
      <c r="P61" s="187" t="n"/>
      <c r="Q61" s="187" t="n"/>
      <c r="R61" s="187" t="n"/>
      <c r="S61" s="187" t="n"/>
      <c r="T61" s="187" t="n"/>
      <c r="U61" s="187" t="n"/>
      <c r="V61" s="187" t="n"/>
      <c r="W61" s="187" t="n"/>
      <c r="X61" s="187" t="n"/>
      <c r="Y61" s="292" t="n"/>
      <c r="Z61" s="292" t="n"/>
      <c r="AA61" s="292" t="n"/>
      <c r="AB61" s="292" t="n"/>
      <c r="AC61" s="292" t="n"/>
      <c r="AD61" s="292" t="n"/>
      <c r="AE61" s="292" t="n"/>
      <c r="AF61" s="292" t="n"/>
      <c r="AG61" s="305" t="n"/>
      <c r="AH61" s="305" t="n"/>
      <c r="AI61" s="305" t="n"/>
      <c r="AJ61" s="305" t="n"/>
      <c r="AK61" s="305" t="n"/>
      <c r="AL61" s="192">
        <f>ROUND($O61*P61,0)</f>
        <v/>
      </c>
      <c r="AM61" s="192">
        <f>ROUND($O61*Q61,0)</f>
        <v/>
      </c>
      <c r="AN61" s="192">
        <f>ROUND($O61*R61,0)</f>
        <v/>
      </c>
      <c r="AO61" s="192">
        <f>ROUND($O61*S61,0)</f>
        <v/>
      </c>
      <c r="AP61" s="192">
        <f>ROUND($O61*T61,0)</f>
        <v/>
      </c>
      <c r="AQ61" s="192">
        <f>ROUND($O61*U61,0)</f>
        <v/>
      </c>
      <c r="AR61" s="192">
        <f>ROUND($O61*V61,0)</f>
        <v/>
      </c>
      <c r="AS61" s="192">
        <f>ROUND($O61*W61,0)</f>
        <v/>
      </c>
      <c r="AT61" s="192">
        <f>ROUND($O61*X61,0)</f>
        <v/>
      </c>
      <c r="AU61" s="193">
        <f>ROUND($O61*Y61,0)</f>
        <v/>
      </c>
      <c r="AV61" s="193">
        <f>ROUND($O61*Z61,0)</f>
        <v/>
      </c>
      <c r="AW61" s="193">
        <f>ROUND($O61*AA61,0)</f>
        <v/>
      </c>
      <c r="AX61" s="193">
        <f>ROUND($O61*AB61,0)</f>
        <v/>
      </c>
      <c r="AY61" s="193">
        <f>ROUND($O61*AC61,0)</f>
        <v/>
      </c>
      <c r="AZ61" s="193">
        <f>ROUND($O61*AD61,0)</f>
        <v/>
      </c>
      <c r="BA61" s="193">
        <f>ROUND($O61*AE61,0)</f>
        <v/>
      </c>
      <c r="BB61" s="193">
        <f>ROUND($O61*AF61,0)</f>
        <v/>
      </c>
      <c r="BC61" s="306">
        <f>ROUND($O61*AG61,0)</f>
        <v/>
      </c>
      <c r="BD61" s="306">
        <f>ROUND($O61*AH61,0)</f>
        <v/>
      </c>
      <c r="BE61" s="306">
        <f>ROUND($O61*AI61,0)</f>
        <v/>
      </c>
      <c r="BF61" s="306">
        <f>ROUND($O61*AJ61,0)</f>
        <v/>
      </c>
      <c r="BG61" s="306">
        <f>ROUND($O61*AK61,0)</f>
        <v/>
      </c>
      <c r="BH61" s="236">
        <f>SUM(AL61:AT61)</f>
        <v/>
      </c>
      <c r="BI61" s="528">
        <f>BH61/160</f>
        <v/>
      </c>
      <c r="BJ61" s="87">
        <f>VLOOKUP(I61,Listy!$A$1:$H$9,6,FALSE)</f>
        <v/>
      </c>
      <c r="BK61" s="682">
        <f>BI61*BJ61</f>
        <v/>
      </c>
      <c r="BL61" s="683">
        <f>BI61*BK61</f>
        <v/>
      </c>
      <c r="BM61" s="528" t="n"/>
      <c r="BN61" s="528" t="n"/>
      <c r="BO61" s="528" t="n"/>
      <c r="BP61" s="528" t="n"/>
      <c r="BQ61" s="528" t="n"/>
      <c r="BR61" s="528" t="n"/>
      <c r="BS61" s="21">
        <f>BQ61*BR61</f>
        <v/>
      </c>
      <c r="BT61" s="528" t="n"/>
      <c r="BU61" s="528" t="n"/>
      <c r="BV61" s="528" t="n"/>
      <c r="BW61" s="528" t="n"/>
      <c r="BX61" s="528" t="n"/>
      <c r="BY61" s="528" t="n"/>
      <c r="BZ61" s="528" t="n"/>
      <c r="CA61" s="528" t="n"/>
      <c r="CB61" s="528" t="n"/>
      <c r="CC61" s="528" t="n"/>
      <c r="CD61" s="528" t="n"/>
      <c r="CE61" s="528" t="n"/>
      <c r="CF61" s="528" t="n"/>
      <c r="CG61" s="21">
        <f>CE61*CF61</f>
        <v/>
      </c>
      <c r="CH61" s="528" t="n"/>
      <c r="CI61" s="528" t="n"/>
      <c r="CJ61" s="528" t="n"/>
      <c r="CK61" s="21">
        <f>CI61*CJ61</f>
        <v/>
      </c>
      <c r="CL61" s="528" t="n"/>
      <c r="CM61" s="528" t="n"/>
      <c r="CN61" s="528" t="n"/>
      <c r="CO61" s="21">
        <f>CM61*CN61</f>
        <v/>
      </c>
    </row>
    <row r="62">
      <c r="A62" s="112" t="n">
        <v>1</v>
      </c>
      <c r="B62" s="64" t="inlineStr">
        <is>
          <t>f</t>
        </is>
      </c>
      <c r="C62" s="105" t="n">
        <v>1</v>
      </c>
      <c r="D62" s="116">
        <f>CONCATENATE(A$3,"_",A62,"_",B62,"_",C62)</f>
        <v/>
      </c>
      <c r="E62" s="122" t="inlineStr">
        <is>
          <t>Stworzenie mapy zidentyfikowanych algorytmów/etapów PT</t>
        </is>
      </c>
      <c r="F62" s="528">
        <f>IFERROR(VLOOKUP($I62,Listy!$A:$H,2,FALSE),"XXX")</f>
        <v/>
      </c>
      <c r="G62" s="528">
        <f>IFERROR(VLOOKUP($I62,Listy!$A:$H,3,FALSE),"XXX")</f>
        <v/>
      </c>
      <c r="H62" s="20" t="n">
        <v>54</v>
      </c>
      <c r="I62" s="89" t="inlineStr">
        <is>
          <t>.a55</t>
        </is>
      </c>
      <c r="J62" s="91" t="inlineStr">
        <is>
          <t>.m01</t>
        </is>
      </c>
      <c r="K62" s="681">
        <f>VLOOKUP(J62,Listy!A:B,2,FALSE)</f>
        <v/>
      </c>
      <c r="L62" s="91" t="inlineStr">
        <is>
          <t>.m66</t>
        </is>
      </c>
      <c r="M62" s="681">
        <f>VLOOKUP(L62,Listy!A:B,2,FALSE)</f>
        <v/>
      </c>
      <c r="N62" s="528" t="n">
        <v>3</v>
      </c>
      <c r="O62" s="528">
        <f>N62*40</f>
        <v/>
      </c>
      <c r="P62" s="187" t="n"/>
      <c r="Q62" s="187" t="n"/>
      <c r="R62" s="187" t="n"/>
      <c r="S62" s="187" t="n"/>
      <c r="T62" s="187" t="n"/>
      <c r="U62" s="187" t="n"/>
      <c r="V62" s="187" t="n"/>
      <c r="W62" s="187" t="n"/>
      <c r="X62" s="187" t="n"/>
      <c r="Y62" s="292" t="n"/>
      <c r="Z62" s="292" t="n"/>
      <c r="AA62" s="292" t="n"/>
      <c r="AB62" s="292" t="n"/>
      <c r="AC62" s="292" t="n"/>
      <c r="AD62" s="292" t="n"/>
      <c r="AE62" s="292" t="n"/>
      <c r="AF62" s="292" t="n"/>
      <c r="AG62" s="305" t="n"/>
      <c r="AH62" s="305" t="n"/>
      <c r="AI62" s="305" t="n"/>
      <c r="AJ62" s="305" t="n"/>
      <c r="AK62" s="305" t="n"/>
      <c r="AL62" s="192">
        <f>ROUND($O62*P62,0)</f>
        <v/>
      </c>
      <c r="AM62" s="192">
        <f>ROUND($O62*Q62,0)</f>
        <v/>
      </c>
      <c r="AN62" s="192">
        <f>ROUND($O62*R62,0)</f>
        <v/>
      </c>
      <c r="AO62" s="192">
        <f>ROUND($O62*S62,0)</f>
        <v/>
      </c>
      <c r="AP62" s="192">
        <f>ROUND($O62*T62,0)</f>
        <v/>
      </c>
      <c r="AQ62" s="192">
        <f>ROUND($O62*U62,0)</f>
        <v/>
      </c>
      <c r="AR62" s="192">
        <f>ROUND($O62*V62,0)</f>
        <v/>
      </c>
      <c r="AS62" s="192">
        <f>ROUND($O62*W62,0)</f>
        <v/>
      </c>
      <c r="AT62" s="192">
        <f>ROUND($O62*X62,0)</f>
        <v/>
      </c>
      <c r="AU62" s="193">
        <f>ROUND($O62*Y62,0)</f>
        <v/>
      </c>
      <c r="AV62" s="193">
        <f>ROUND($O62*Z62,0)</f>
        <v/>
      </c>
      <c r="AW62" s="193">
        <f>ROUND($O62*AA62,0)</f>
        <v/>
      </c>
      <c r="AX62" s="193">
        <f>ROUND($O62*AB62,0)</f>
        <v/>
      </c>
      <c r="AY62" s="193">
        <f>ROUND($O62*AC62,0)</f>
        <v/>
      </c>
      <c r="AZ62" s="193">
        <f>ROUND($O62*AD62,0)</f>
        <v/>
      </c>
      <c r="BA62" s="193">
        <f>ROUND($O62*AE62,0)</f>
        <v/>
      </c>
      <c r="BB62" s="193">
        <f>ROUND($O62*AF62,0)</f>
        <v/>
      </c>
      <c r="BC62" s="306">
        <f>ROUND($O62*AG62,0)</f>
        <v/>
      </c>
      <c r="BD62" s="306">
        <f>ROUND($O62*AH62,0)</f>
        <v/>
      </c>
      <c r="BE62" s="306">
        <f>ROUND($O62*AI62,0)</f>
        <v/>
      </c>
      <c r="BF62" s="306">
        <f>ROUND($O62*AJ62,0)</f>
        <v/>
      </c>
      <c r="BG62" s="306">
        <f>ROUND($O62*AK62,0)</f>
        <v/>
      </c>
      <c r="BH62" s="236">
        <f>SUM(AL62:AT62)</f>
        <v/>
      </c>
      <c r="BI62" s="528">
        <f>BH62/160</f>
        <v/>
      </c>
      <c r="BJ62" s="87">
        <f>VLOOKUP(I62,Listy!$A$1:$H$9,6,FALSE)</f>
        <v/>
      </c>
      <c r="BK62" s="682">
        <f>BI62*BJ62</f>
        <v/>
      </c>
      <c r="BL62" s="683">
        <f>BI62*BK62</f>
        <v/>
      </c>
      <c r="BM62" s="528" t="n"/>
      <c r="BN62" s="528" t="n"/>
      <c r="BO62" s="528" t="n"/>
      <c r="BP62" s="528" t="n"/>
      <c r="BQ62" s="528" t="n"/>
      <c r="BR62" s="528" t="n"/>
      <c r="BS62" s="22">
        <f>BQ62*BR62</f>
        <v/>
      </c>
      <c r="BT62" s="528" t="n"/>
      <c r="BU62" s="528" t="n"/>
      <c r="BV62" s="314" t="n"/>
      <c r="BW62" s="528" t="n"/>
      <c r="BX62" s="528" t="n"/>
      <c r="BY62" s="314" t="n"/>
      <c r="BZ62" s="528" t="n"/>
      <c r="CA62" s="528" t="n"/>
      <c r="CB62" s="314" t="n"/>
      <c r="CC62" s="314" t="n"/>
      <c r="CD62" s="528" t="n"/>
      <c r="CE62" s="528" t="n"/>
      <c r="CF62" s="528" t="n"/>
      <c r="CG62" s="22">
        <f>CE62*CF62</f>
        <v/>
      </c>
      <c r="CH62" s="528" t="n"/>
      <c r="CI62" s="528" t="n"/>
      <c r="CJ62" s="528" t="n"/>
      <c r="CK62" s="22">
        <f>CI62*CJ62</f>
        <v/>
      </c>
      <c r="CL62" s="528" t="n"/>
      <c r="CM62" s="528" t="n"/>
      <c r="CN62" s="528" t="n"/>
      <c r="CO62" s="22">
        <f>CM62*CN62</f>
        <v/>
      </c>
    </row>
    <row r="63">
      <c r="A63" s="112" t="n">
        <v>1</v>
      </c>
      <c r="B63" s="64" t="inlineStr">
        <is>
          <t>e</t>
        </is>
      </c>
      <c r="C63" s="105" t="n">
        <v>1</v>
      </c>
      <c r="D63" s="116">
        <f>CONCATENATE(A$3,"_",A63,"_",B63,"_",C63)</f>
        <v/>
      </c>
      <c r="E63" s="122" t="inlineStr">
        <is>
          <t>Analiza wpływu zakłóceń dostępności infrastruktury technicznej</t>
        </is>
      </c>
      <c r="F63" s="528">
        <f>IFERROR(VLOOKUP($I63,Listy!$A:$H,2,FALSE),"XXX")</f>
        <v/>
      </c>
      <c r="G63" s="528">
        <f>IFERROR(VLOOKUP($I63,Listy!$A:$H,3,FALSE),"XXX")</f>
        <v/>
      </c>
      <c r="H63" s="20" t="n">
        <v>55</v>
      </c>
      <c r="I63" s="89" t="inlineStr">
        <is>
          <t>.a56</t>
        </is>
      </c>
      <c r="J63" s="91" t="inlineStr">
        <is>
          <t>.m01</t>
        </is>
      </c>
      <c r="K63" s="681">
        <f>VLOOKUP(J63,Listy!A:B,2,FALSE)</f>
        <v/>
      </c>
      <c r="L63" s="91" t="inlineStr">
        <is>
          <t>.m67</t>
        </is>
      </c>
      <c r="M63" s="681">
        <f>VLOOKUP(L63,Listy!A:B,2,FALSE)</f>
        <v/>
      </c>
      <c r="N63" s="528" t="n">
        <v>3</v>
      </c>
      <c r="O63" s="528">
        <f>N63*40</f>
        <v/>
      </c>
      <c r="P63" s="187" t="n"/>
      <c r="Q63" s="187" t="n"/>
      <c r="R63" s="187" t="n"/>
      <c r="S63" s="187" t="n"/>
      <c r="T63" s="187" t="n"/>
      <c r="U63" s="187" t="n"/>
      <c r="V63" s="187" t="n"/>
      <c r="W63" s="187" t="n"/>
      <c r="X63" s="187" t="n"/>
      <c r="Y63" s="292" t="n"/>
      <c r="Z63" s="292" t="n"/>
      <c r="AA63" s="292" t="n"/>
      <c r="AB63" s="292" t="n"/>
      <c r="AC63" s="292" t="n"/>
      <c r="AD63" s="292" t="n"/>
      <c r="AE63" s="292" t="n"/>
      <c r="AF63" s="292" t="n"/>
      <c r="AG63" s="305" t="n"/>
      <c r="AH63" s="305" t="n"/>
      <c r="AI63" s="305" t="n"/>
      <c r="AJ63" s="305" t="n"/>
      <c r="AK63" s="305" t="n"/>
      <c r="AL63" s="192">
        <f>ROUND($O63*P63,0)</f>
        <v/>
      </c>
      <c r="AM63" s="192">
        <f>ROUND($O63*Q63,0)</f>
        <v/>
      </c>
      <c r="AN63" s="192">
        <f>ROUND($O63*R63,0)</f>
        <v/>
      </c>
      <c r="AO63" s="192">
        <f>ROUND($O63*S63,0)</f>
        <v/>
      </c>
      <c r="AP63" s="192">
        <f>ROUND($O63*T63,0)</f>
        <v/>
      </c>
      <c r="AQ63" s="192">
        <f>ROUND($O63*U63,0)</f>
        <v/>
      </c>
      <c r="AR63" s="192">
        <f>ROUND($O63*V63,0)</f>
        <v/>
      </c>
      <c r="AS63" s="192">
        <f>ROUND($O63*W63,0)</f>
        <v/>
      </c>
      <c r="AT63" s="192">
        <f>ROUND($O63*X63,0)</f>
        <v/>
      </c>
      <c r="AU63" s="193">
        <f>ROUND($O63*Y63,0)</f>
        <v/>
      </c>
      <c r="AV63" s="193">
        <f>ROUND($O63*Z63,0)</f>
        <v/>
      </c>
      <c r="AW63" s="193">
        <f>ROUND($O63*AA63,0)</f>
        <v/>
      </c>
      <c r="AX63" s="193">
        <f>ROUND($O63*AB63,0)</f>
        <v/>
      </c>
      <c r="AY63" s="193">
        <f>ROUND($O63*AC63,0)</f>
        <v/>
      </c>
      <c r="AZ63" s="193">
        <f>ROUND($O63*AD63,0)</f>
        <v/>
      </c>
      <c r="BA63" s="193">
        <f>ROUND($O63*AE63,0)</f>
        <v/>
      </c>
      <c r="BB63" s="193">
        <f>ROUND($O63*AF63,0)</f>
        <v/>
      </c>
      <c r="BC63" s="306">
        <f>ROUND($O63*AG63,0)</f>
        <v/>
      </c>
      <c r="BD63" s="306">
        <f>ROUND($O63*AH63,0)</f>
        <v/>
      </c>
      <c r="BE63" s="306">
        <f>ROUND($O63*AI63,0)</f>
        <v/>
      </c>
      <c r="BF63" s="306">
        <f>ROUND($O63*AJ63,0)</f>
        <v/>
      </c>
      <c r="BG63" s="306">
        <f>ROUND($O63*AK63,0)</f>
        <v/>
      </c>
      <c r="BH63" s="236">
        <f>SUM(AL63:AT63)</f>
        <v/>
      </c>
      <c r="BI63" s="528">
        <f>BH63/160</f>
        <v/>
      </c>
      <c r="BJ63" s="87">
        <f>VLOOKUP(I63,Listy!$A$1:$H$9,6,FALSE)</f>
        <v/>
      </c>
      <c r="BK63" s="682">
        <f>BI63*BJ63</f>
        <v/>
      </c>
      <c r="BL63" s="683">
        <f>BI63*BK63</f>
        <v/>
      </c>
      <c r="BM63" s="528" t="n"/>
      <c r="BN63" s="528" t="n"/>
      <c r="BO63" s="528" t="n"/>
      <c r="BP63" s="528" t="n"/>
      <c r="BQ63" s="528" t="n"/>
      <c r="BR63" s="528" t="n"/>
      <c r="BS63" s="21">
        <f>BQ63*BR63</f>
        <v/>
      </c>
      <c r="BT63" s="528" t="n"/>
      <c r="BU63" s="528" t="n"/>
      <c r="BV63" s="528" t="n"/>
      <c r="BW63" s="528" t="n"/>
      <c r="BX63" s="528" t="n"/>
      <c r="BY63" s="528" t="n"/>
      <c r="BZ63" s="528" t="n"/>
      <c r="CA63" s="528" t="n"/>
      <c r="CB63" s="528" t="n"/>
      <c r="CC63" s="528" t="n"/>
      <c r="CD63" s="528" t="n"/>
      <c r="CE63" s="528" t="n"/>
      <c r="CF63" s="528" t="n"/>
      <c r="CG63" s="21">
        <f>CE63*CF63</f>
        <v/>
      </c>
      <c r="CH63" s="528" t="n"/>
      <c r="CI63" s="528" t="n"/>
      <c r="CJ63" s="528" t="n"/>
      <c r="CK63" s="21">
        <f>CI63*CJ63</f>
        <v/>
      </c>
      <c r="CL63" s="528" t="n"/>
      <c r="CM63" s="528" t="n"/>
      <c r="CN63" s="528" t="n"/>
      <c r="CO63" s="21">
        <f>CM63*CN63</f>
        <v/>
      </c>
    </row>
    <row r="64">
      <c r="A64" s="112" t="n">
        <v>1</v>
      </c>
      <c r="B64" s="64" t="inlineStr">
        <is>
          <t>f</t>
        </is>
      </c>
      <c r="C64" s="105" t="n">
        <v>1</v>
      </c>
      <c r="D64" s="116">
        <f>CONCATENATE(A$3,"_",A64,"_",B64,"_",C64)</f>
        <v/>
      </c>
      <c r="E64" s="122" t="inlineStr">
        <is>
          <t>Stworzenie mapy zidentyfikowanych algorytmów/etapów PT</t>
        </is>
      </c>
      <c r="F64" s="528">
        <f>IFERROR(VLOOKUP($I64,Listy!$A:$H,2,FALSE),"XXX")</f>
        <v/>
      </c>
      <c r="G64" s="528">
        <f>IFERROR(VLOOKUP($I64,Listy!$A:$H,3,FALSE),"XXX")</f>
        <v/>
      </c>
      <c r="H64" s="20" t="n">
        <v>56</v>
      </c>
      <c r="I64" s="89" t="inlineStr">
        <is>
          <t>.a57</t>
        </is>
      </c>
      <c r="J64" s="91" t="inlineStr">
        <is>
          <t>.m01</t>
        </is>
      </c>
      <c r="K64" s="681">
        <f>VLOOKUP(J64,Listy!A:B,2,FALSE)</f>
        <v/>
      </c>
      <c r="L64" s="91" t="inlineStr">
        <is>
          <t>.m68</t>
        </is>
      </c>
      <c r="M64" s="681">
        <f>VLOOKUP(L64,Listy!A:B,2,FALSE)</f>
        <v/>
      </c>
      <c r="N64" s="528" t="n">
        <v>3</v>
      </c>
      <c r="O64" s="528">
        <f>N64*40</f>
        <v/>
      </c>
      <c r="P64" s="187" t="n"/>
      <c r="Q64" s="187" t="n"/>
      <c r="R64" s="187" t="n"/>
      <c r="S64" s="187" t="n"/>
      <c r="T64" s="187" t="n"/>
      <c r="U64" s="187" t="n"/>
      <c r="V64" s="187" t="n"/>
      <c r="W64" s="187" t="n"/>
      <c r="X64" s="187" t="n"/>
      <c r="Y64" s="292" t="n"/>
      <c r="Z64" s="292" t="n"/>
      <c r="AA64" s="292" t="n"/>
      <c r="AB64" s="292" t="n"/>
      <c r="AC64" s="292" t="n"/>
      <c r="AD64" s="292" t="n"/>
      <c r="AE64" s="292" t="n"/>
      <c r="AF64" s="292" t="n"/>
      <c r="AG64" s="305" t="n"/>
      <c r="AH64" s="305" t="n"/>
      <c r="AI64" s="305" t="n"/>
      <c r="AJ64" s="305" t="n"/>
      <c r="AK64" s="305" t="n"/>
      <c r="AL64" s="192">
        <f>ROUND($O64*P64,0)</f>
        <v/>
      </c>
      <c r="AM64" s="192">
        <f>ROUND($O64*Q64,0)</f>
        <v/>
      </c>
      <c r="AN64" s="192">
        <f>ROUND($O64*R64,0)</f>
        <v/>
      </c>
      <c r="AO64" s="192">
        <f>ROUND($O64*S64,0)</f>
        <v/>
      </c>
      <c r="AP64" s="192">
        <f>ROUND($O64*T64,0)</f>
        <v/>
      </c>
      <c r="AQ64" s="192">
        <f>ROUND($O64*U64,0)</f>
        <v/>
      </c>
      <c r="AR64" s="192">
        <f>ROUND($O64*V64,0)</f>
        <v/>
      </c>
      <c r="AS64" s="192">
        <f>ROUND($O64*W64,0)</f>
        <v/>
      </c>
      <c r="AT64" s="192">
        <f>ROUND($O64*X64,0)</f>
        <v/>
      </c>
      <c r="AU64" s="193">
        <f>ROUND($O64*Y64,0)</f>
        <v/>
      </c>
      <c r="AV64" s="193">
        <f>ROUND($O64*Z64,0)</f>
        <v/>
      </c>
      <c r="AW64" s="193">
        <f>ROUND($O64*AA64,0)</f>
        <v/>
      </c>
      <c r="AX64" s="193">
        <f>ROUND($O64*AB64,0)</f>
        <v/>
      </c>
      <c r="AY64" s="193">
        <f>ROUND($O64*AC64,0)</f>
        <v/>
      </c>
      <c r="AZ64" s="193">
        <f>ROUND($O64*AD64,0)</f>
        <v/>
      </c>
      <c r="BA64" s="193">
        <f>ROUND($O64*AE64,0)</f>
        <v/>
      </c>
      <c r="BB64" s="193">
        <f>ROUND($O64*AF64,0)</f>
        <v/>
      </c>
      <c r="BC64" s="306">
        <f>ROUND($O64*AG64,0)</f>
        <v/>
      </c>
      <c r="BD64" s="306">
        <f>ROUND($O64*AH64,0)</f>
        <v/>
      </c>
      <c r="BE64" s="306">
        <f>ROUND($O64*AI64,0)</f>
        <v/>
      </c>
      <c r="BF64" s="306">
        <f>ROUND($O64*AJ64,0)</f>
        <v/>
      </c>
      <c r="BG64" s="306">
        <f>ROUND($O64*AK64,0)</f>
        <v/>
      </c>
      <c r="BH64" s="236">
        <f>SUM(AL64:AT64)</f>
        <v/>
      </c>
      <c r="BI64" s="528">
        <f>BH64/160</f>
        <v/>
      </c>
      <c r="BJ64" s="87">
        <f>VLOOKUP(I64,Listy!$A$1:$H$9,6,FALSE)</f>
        <v/>
      </c>
      <c r="BK64" s="682">
        <f>BI64*BJ64</f>
        <v/>
      </c>
      <c r="BL64" s="683">
        <f>BI64*BK64</f>
        <v/>
      </c>
      <c r="BM64" s="528" t="n"/>
      <c r="BN64" s="528" t="n"/>
      <c r="BO64" s="528" t="n"/>
      <c r="BP64" s="528" t="n"/>
      <c r="BQ64" s="528" t="n"/>
      <c r="BR64" s="528" t="n"/>
      <c r="BS64" s="22">
        <f>BQ64*BR64</f>
        <v/>
      </c>
      <c r="BT64" s="528" t="n"/>
      <c r="BU64" s="528" t="n"/>
      <c r="BV64" s="314" t="n"/>
      <c r="BW64" s="528" t="n"/>
      <c r="BX64" s="528" t="n"/>
      <c r="BY64" s="314" t="n"/>
      <c r="BZ64" s="528" t="n"/>
      <c r="CA64" s="528" t="n"/>
      <c r="CB64" s="314" t="n"/>
      <c r="CC64" s="314" t="n"/>
      <c r="CD64" s="528" t="n"/>
      <c r="CE64" s="528" t="n"/>
      <c r="CF64" s="528" t="n"/>
      <c r="CG64" s="22">
        <f>CE64*CF64</f>
        <v/>
      </c>
      <c r="CH64" s="528" t="n"/>
      <c r="CI64" s="528" t="n"/>
      <c r="CJ64" s="528" t="n"/>
      <c r="CK64" s="22">
        <f>CI64*CJ64</f>
        <v/>
      </c>
      <c r="CL64" s="528" t="n"/>
      <c r="CM64" s="528" t="n"/>
      <c r="CN64" s="528" t="n"/>
      <c r="CO64" s="22">
        <f>CM64*CN64</f>
        <v/>
      </c>
    </row>
    <row r="65">
      <c r="A65" s="112" t="n">
        <v>1</v>
      </c>
      <c r="B65" s="64" t="inlineStr">
        <is>
          <t>e</t>
        </is>
      </c>
      <c r="C65" s="105" t="n">
        <v>1</v>
      </c>
      <c r="D65" s="116">
        <f>CONCATENATE(A$3,"_",A65,"_",B65,"_",C65)</f>
        <v/>
      </c>
      <c r="E65" s="122" t="inlineStr">
        <is>
          <t>Analiza wpływu zakłóceń dostępności infrastruktury technicznej</t>
        </is>
      </c>
      <c r="F65" s="528">
        <f>IFERROR(VLOOKUP($I65,Listy!$A:$H,2,FALSE),"XXX")</f>
        <v/>
      </c>
      <c r="G65" s="528">
        <f>IFERROR(VLOOKUP($I65,Listy!$A:$H,3,FALSE),"XXX")</f>
        <v/>
      </c>
      <c r="H65" s="20" t="n">
        <v>57</v>
      </c>
      <c r="I65" s="89" t="inlineStr">
        <is>
          <t>.a58</t>
        </is>
      </c>
      <c r="J65" s="91" t="inlineStr">
        <is>
          <t>.m01</t>
        </is>
      </c>
      <c r="K65" s="681">
        <f>VLOOKUP(J65,Listy!A:B,2,FALSE)</f>
        <v/>
      </c>
      <c r="L65" s="91" t="inlineStr">
        <is>
          <t>.m69</t>
        </is>
      </c>
      <c r="M65" s="681">
        <f>VLOOKUP(L65,Listy!A:B,2,FALSE)</f>
        <v/>
      </c>
      <c r="N65" s="528" t="n">
        <v>3</v>
      </c>
      <c r="O65" s="528">
        <f>N65*40</f>
        <v/>
      </c>
      <c r="P65" s="187" t="n"/>
      <c r="Q65" s="187" t="n"/>
      <c r="R65" s="187" t="n"/>
      <c r="S65" s="187" t="n"/>
      <c r="T65" s="187" t="n"/>
      <c r="U65" s="187" t="n"/>
      <c r="V65" s="187" t="n"/>
      <c r="W65" s="187" t="n"/>
      <c r="X65" s="187" t="n"/>
      <c r="Y65" s="292" t="n"/>
      <c r="Z65" s="292" t="n"/>
      <c r="AA65" s="292" t="n"/>
      <c r="AB65" s="292" t="n"/>
      <c r="AC65" s="292" t="n"/>
      <c r="AD65" s="292" t="n"/>
      <c r="AE65" s="292" t="n"/>
      <c r="AF65" s="292" t="n"/>
      <c r="AG65" s="305" t="n"/>
      <c r="AH65" s="305" t="n"/>
      <c r="AI65" s="305" t="n"/>
      <c r="AJ65" s="305" t="n"/>
      <c r="AK65" s="305" t="n"/>
      <c r="AL65" s="192">
        <f>ROUND($O65*P65,0)</f>
        <v/>
      </c>
      <c r="AM65" s="192">
        <f>ROUND($O65*Q65,0)</f>
        <v/>
      </c>
      <c r="AN65" s="192">
        <f>ROUND($O65*R65,0)</f>
        <v/>
      </c>
      <c r="AO65" s="192">
        <f>ROUND($O65*S65,0)</f>
        <v/>
      </c>
      <c r="AP65" s="192">
        <f>ROUND($O65*T65,0)</f>
        <v/>
      </c>
      <c r="AQ65" s="192">
        <f>ROUND($O65*U65,0)</f>
        <v/>
      </c>
      <c r="AR65" s="192">
        <f>ROUND($O65*V65,0)</f>
        <v/>
      </c>
      <c r="AS65" s="192">
        <f>ROUND($O65*W65,0)</f>
        <v/>
      </c>
      <c r="AT65" s="192">
        <f>ROUND($O65*X65,0)</f>
        <v/>
      </c>
      <c r="AU65" s="193">
        <f>ROUND($O65*Y65,0)</f>
        <v/>
      </c>
      <c r="AV65" s="193">
        <f>ROUND($O65*Z65,0)</f>
        <v/>
      </c>
      <c r="AW65" s="193">
        <f>ROUND($O65*AA65,0)</f>
        <v/>
      </c>
      <c r="AX65" s="193">
        <f>ROUND($O65*AB65,0)</f>
        <v/>
      </c>
      <c r="AY65" s="193">
        <f>ROUND($O65*AC65,0)</f>
        <v/>
      </c>
      <c r="AZ65" s="193">
        <f>ROUND($O65*AD65,0)</f>
        <v/>
      </c>
      <c r="BA65" s="193">
        <f>ROUND($O65*AE65,0)</f>
        <v/>
      </c>
      <c r="BB65" s="193">
        <f>ROUND($O65*AF65,0)</f>
        <v/>
      </c>
      <c r="BC65" s="306">
        <f>ROUND($O65*AG65,0)</f>
        <v/>
      </c>
      <c r="BD65" s="306">
        <f>ROUND($O65*AH65,0)</f>
        <v/>
      </c>
      <c r="BE65" s="306">
        <f>ROUND($O65*AI65,0)</f>
        <v/>
      </c>
      <c r="BF65" s="306">
        <f>ROUND($O65*AJ65,0)</f>
        <v/>
      </c>
      <c r="BG65" s="306">
        <f>ROUND($O65*AK65,0)</f>
        <v/>
      </c>
      <c r="BH65" s="236">
        <f>SUM(AL65:AT65)</f>
        <v/>
      </c>
      <c r="BI65" s="528">
        <f>BH65/160</f>
        <v/>
      </c>
      <c r="BJ65" s="87">
        <f>VLOOKUP(I65,Listy!$A$1:$H$9,6,FALSE)</f>
        <v/>
      </c>
      <c r="BK65" s="682">
        <f>BI65*BJ65</f>
        <v/>
      </c>
      <c r="BL65" s="683">
        <f>BI65*BK65</f>
        <v/>
      </c>
      <c r="BM65" s="528" t="n"/>
      <c r="BN65" s="528" t="n"/>
      <c r="BO65" s="528" t="n"/>
      <c r="BP65" s="528" t="n"/>
      <c r="BQ65" s="528" t="n"/>
      <c r="BR65" s="528" t="n"/>
      <c r="BS65" s="21">
        <f>BQ65*BR65</f>
        <v/>
      </c>
      <c r="BT65" s="528" t="n"/>
      <c r="BU65" s="528" t="n"/>
      <c r="BV65" s="528" t="n"/>
      <c r="BW65" s="528" t="n"/>
      <c r="BX65" s="528" t="n"/>
      <c r="BY65" s="528" t="n"/>
      <c r="BZ65" s="528" t="n"/>
      <c r="CA65" s="528" t="n"/>
      <c r="CB65" s="528" t="n"/>
      <c r="CC65" s="528" t="n"/>
      <c r="CD65" s="528" t="n"/>
      <c r="CE65" s="528" t="n"/>
      <c r="CF65" s="528" t="n"/>
      <c r="CG65" s="21">
        <f>CE65*CF65</f>
        <v/>
      </c>
      <c r="CH65" s="528" t="n"/>
      <c r="CI65" s="528" t="n"/>
      <c r="CJ65" s="528" t="n"/>
      <c r="CK65" s="21">
        <f>CI65*CJ65</f>
        <v/>
      </c>
      <c r="CL65" s="528" t="n"/>
      <c r="CM65" s="528" t="n"/>
      <c r="CN65" s="528" t="n"/>
      <c r="CO65" s="21">
        <f>CM65*CN65</f>
        <v/>
      </c>
    </row>
    <row r="66">
      <c r="A66" s="112" t="n">
        <v>1</v>
      </c>
      <c r="B66" s="64" t="inlineStr">
        <is>
          <t>f</t>
        </is>
      </c>
      <c r="C66" s="105" t="n">
        <v>1</v>
      </c>
      <c r="D66" s="116">
        <f>CONCATENATE(A$3,"_",A66,"_",B66,"_",C66)</f>
        <v/>
      </c>
      <c r="E66" s="122" t="inlineStr">
        <is>
          <t>Stworzenie mapy zidentyfikowanych algorytmów/etapów PT</t>
        </is>
      </c>
      <c r="F66" s="528">
        <f>IFERROR(VLOOKUP($I66,Listy!$A:$H,2,FALSE),"XXX")</f>
        <v/>
      </c>
      <c r="G66" s="528">
        <f>IFERROR(VLOOKUP($I66,Listy!$A:$H,3,FALSE),"XXX")</f>
        <v/>
      </c>
      <c r="H66" s="20" t="n">
        <v>58</v>
      </c>
      <c r="I66" s="89" t="inlineStr">
        <is>
          <t>.a59</t>
        </is>
      </c>
      <c r="J66" s="91" t="inlineStr">
        <is>
          <t>.m01</t>
        </is>
      </c>
      <c r="K66" s="681">
        <f>VLOOKUP(J66,Listy!A:B,2,FALSE)</f>
        <v/>
      </c>
      <c r="L66" s="91" t="inlineStr">
        <is>
          <t>.m70</t>
        </is>
      </c>
      <c r="M66" s="681">
        <f>VLOOKUP(L66,Listy!A:B,2,FALSE)</f>
        <v/>
      </c>
      <c r="N66" s="528" t="n">
        <v>3</v>
      </c>
      <c r="O66" s="528">
        <f>N66*40</f>
        <v/>
      </c>
      <c r="P66" s="187" t="n"/>
      <c r="Q66" s="187" t="n"/>
      <c r="R66" s="187" t="n"/>
      <c r="S66" s="187" t="n"/>
      <c r="T66" s="187" t="n"/>
      <c r="U66" s="187" t="n"/>
      <c r="V66" s="187" t="n"/>
      <c r="W66" s="187" t="n"/>
      <c r="X66" s="187" t="n"/>
      <c r="Y66" s="292" t="n"/>
      <c r="Z66" s="292" t="n"/>
      <c r="AA66" s="292" t="n"/>
      <c r="AB66" s="292" t="n"/>
      <c r="AC66" s="292" t="n"/>
      <c r="AD66" s="292" t="n"/>
      <c r="AE66" s="292" t="n"/>
      <c r="AF66" s="292" t="n"/>
      <c r="AG66" s="305" t="n"/>
      <c r="AH66" s="305" t="n"/>
      <c r="AI66" s="305" t="n"/>
      <c r="AJ66" s="305" t="n"/>
      <c r="AK66" s="305" t="n"/>
      <c r="AL66" s="192">
        <f>ROUND($O66*P66,0)</f>
        <v/>
      </c>
      <c r="AM66" s="192">
        <f>ROUND($O66*Q66,0)</f>
        <v/>
      </c>
      <c r="AN66" s="192">
        <f>ROUND($O66*R66,0)</f>
        <v/>
      </c>
      <c r="AO66" s="192">
        <f>ROUND($O66*S66,0)</f>
        <v/>
      </c>
      <c r="AP66" s="192">
        <f>ROUND($O66*T66,0)</f>
        <v/>
      </c>
      <c r="AQ66" s="192">
        <f>ROUND($O66*U66,0)</f>
        <v/>
      </c>
      <c r="AR66" s="192">
        <f>ROUND($O66*V66,0)</f>
        <v/>
      </c>
      <c r="AS66" s="192">
        <f>ROUND($O66*W66,0)</f>
        <v/>
      </c>
      <c r="AT66" s="192">
        <f>ROUND($O66*X66,0)</f>
        <v/>
      </c>
      <c r="AU66" s="193">
        <f>ROUND($O66*Y66,0)</f>
        <v/>
      </c>
      <c r="AV66" s="193">
        <f>ROUND($O66*Z66,0)</f>
        <v/>
      </c>
      <c r="AW66" s="193">
        <f>ROUND($O66*AA66,0)</f>
        <v/>
      </c>
      <c r="AX66" s="193">
        <f>ROUND($O66*AB66,0)</f>
        <v/>
      </c>
      <c r="AY66" s="193">
        <f>ROUND($O66*AC66,0)</f>
        <v/>
      </c>
      <c r="AZ66" s="193">
        <f>ROUND($O66*AD66,0)</f>
        <v/>
      </c>
      <c r="BA66" s="193">
        <f>ROUND($O66*AE66,0)</f>
        <v/>
      </c>
      <c r="BB66" s="193">
        <f>ROUND($O66*AF66,0)</f>
        <v/>
      </c>
      <c r="BC66" s="306">
        <f>ROUND($O66*AG66,0)</f>
        <v/>
      </c>
      <c r="BD66" s="306">
        <f>ROUND($O66*AH66,0)</f>
        <v/>
      </c>
      <c r="BE66" s="306">
        <f>ROUND($O66*AI66,0)</f>
        <v/>
      </c>
      <c r="BF66" s="306">
        <f>ROUND($O66*AJ66,0)</f>
        <v/>
      </c>
      <c r="BG66" s="306">
        <f>ROUND($O66*AK66,0)</f>
        <v/>
      </c>
      <c r="BH66" s="236">
        <f>SUM(AL66:AT66)</f>
        <v/>
      </c>
      <c r="BI66" s="528">
        <f>BH66/160</f>
        <v/>
      </c>
      <c r="BJ66" s="87">
        <f>VLOOKUP(I66,Listy!$A$1:$H$9,6,FALSE)</f>
        <v/>
      </c>
      <c r="BK66" s="682">
        <f>BI66*BJ66</f>
        <v/>
      </c>
      <c r="BL66" s="683">
        <f>BI66*BK66</f>
        <v/>
      </c>
      <c r="BM66" s="528" t="n"/>
      <c r="BN66" s="528" t="n"/>
      <c r="BO66" s="528" t="n"/>
      <c r="BP66" s="528" t="n"/>
      <c r="BQ66" s="528" t="n"/>
      <c r="BR66" s="528" t="n"/>
      <c r="BS66" s="22">
        <f>BQ66*BR66</f>
        <v/>
      </c>
      <c r="BT66" s="528" t="n"/>
      <c r="BU66" s="528" t="n"/>
      <c r="BV66" s="314" t="n"/>
      <c r="BW66" s="528" t="n"/>
      <c r="BX66" s="528" t="n"/>
      <c r="BY66" s="314" t="n"/>
      <c r="BZ66" s="528" t="n"/>
      <c r="CA66" s="528" t="n"/>
      <c r="CB66" s="314" t="n"/>
      <c r="CC66" s="314" t="n"/>
      <c r="CD66" s="528" t="n"/>
      <c r="CE66" s="528" t="n"/>
      <c r="CF66" s="528" t="n"/>
      <c r="CG66" s="22">
        <f>CE66*CF66</f>
        <v/>
      </c>
      <c r="CH66" s="528" t="n"/>
      <c r="CI66" s="528" t="n"/>
      <c r="CJ66" s="528" t="n"/>
      <c r="CK66" s="22">
        <f>CI66*CJ66</f>
        <v/>
      </c>
      <c r="CL66" s="528" t="n"/>
      <c r="CM66" s="528" t="n"/>
      <c r="CN66" s="528" t="n"/>
      <c r="CO66" s="22">
        <f>CM66*CN66</f>
        <v/>
      </c>
    </row>
    <row r="67">
      <c r="A67" s="112" t="n">
        <v>1</v>
      </c>
      <c r="B67" s="64" t="inlineStr">
        <is>
          <t>e</t>
        </is>
      </c>
      <c r="C67" s="105" t="n">
        <v>1</v>
      </c>
      <c r="D67" s="116">
        <f>CONCATENATE(A$3,"_",A67,"_",B67,"_",C67)</f>
        <v/>
      </c>
      <c r="E67" s="122" t="inlineStr">
        <is>
          <t>Analiza wpływu zakłóceń dostępności infrastruktury technicznej</t>
        </is>
      </c>
      <c r="F67" s="528">
        <f>IFERROR(VLOOKUP($I67,Listy!$A:$H,2,FALSE),"XXX")</f>
        <v/>
      </c>
      <c r="G67" s="528">
        <f>IFERROR(VLOOKUP($I67,Listy!$A:$H,3,FALSE),"XXX")</f>
        <v/>
      </c>
      <c r="H67" s="20" t="n">
        <v>59</v>
      </c>
      <c r="I67" s="89" t="inlineStr">
        <is>
          <t>.a60</t>
        </is>
      </c>
      <c r="J67" s="91" t="inlineStr">
        <is>
          <t>.m01</t>
        </is>
      </c>
      <c r="K67" s="681">
        <f>VLOOKUP(J67,Listy!A:B,2,FALSE)</f>
        <v/>
      </c>
      <c r="L67" s="91" t="inlineStr">
        <is>
          <t>.m71</t>
        </is>
      </c>
      <c r="M67" s="681">
        <f>VLOOKUP(L67,Listy!A:B,2,FALSE)</f>
        <v/>
      </c>
      <c r="N67" s="528" t="n">
        <v>3</v>
      </c>
      <c r="O67" s="528">
        <f>N67*40</f>
        <v/>
      </c>
      <c r="P67" s="187" t="n"/>
      <c r="Q67" s="187" t="n"/>
      <c r="R67" s="187" t="n"/>
      <c r="S67" s="187" t="n"/>
      <c r="T67" s="187" t="n"/>
      <c r="U67" s="187" t="n"/>
      <c r="V67" s="187" t="n"/>
      <c r="W67" s="187" t="n"/>
      <c r="X67" s="187" t="n"/>
      <c r="Y67" s="292" t="n"/>
      <c r="Z67" s="292" t="n"/>
      <c r="AA67" s="292" t="n"/>
      <c r="AB67" s="292" t="n"/>
      <c r="AC67" s="292" t="n"/>
      <c r="AD67" s="292" t="n"/>
      <c r="AE67" s="292" t="n"/>
      <c r="AF67" s="292" t="n"/>
      <c r="AG67" s="305" t="n"/>
      <c r="AH67" s="305" t="n"/>
      <c r="AI67" s="305" t="n"/>
      <c r="AJ67" s="305" t="n"/>
      <c r="AK67" s="305" t="n"/>
      <c r="AL67" s="192">
        <f>ROUND($O67*P67,0)</f>
        <v/>
      </c>
      <c r="AM67" s="192">
        <f>ROUND($O67*Q67,0)</f>
        <v/>
      </c>
      <c r="AN67" s="192">
        <f>ROUND($O67*R67,0)</f>
        <v/>
      </c>
      <c r="AO67" s="192">
        <f>ROUND($O67*S67,0)</f>
        <v/>
      </c>
      <c r="AP67" s="192">
        <f>ROUND($O67*T67,0)</f>
        <v/>
      </c>
      <c r="AQ67" s="192">
        <f>ROUND($O67*U67,0)</f>
        <v/>
      </c>
      <c r="AR67" s="192">
        <f>ROUND($O67*V67,0)</f>
        <v/>
      </c>
      <c r="AS67" s="192">
        <f>ROUND($O67*W67,0)</f>
        <v/>
      </c>
      <c r="AT67" s="192">
        <f>ROUND($O67*X67,0)</f>
        <v/>
      </c>
      <c r="AU67" s="193">
        <f>ROUND($O67*Y67,0)</f>
        <v/>
      </c>
      <c r="AV67" s="193">
        <f>ROUND($O67*Z67,0)</f>
        <v/>
      </c>
      <c r="AW67" s="193">
        <f>ROUND($O67*AA67,0)</f>
        <v/>
      </c>
      <c r="AX67" s="193">
        <f>ROUND($O67*AB67,0)</f>
        <v/>
      </c>
      <c r="AY67" s="193">
        <f>ROUND($O67*AC67,0)</f>
        <v/>
      </c>
      <c r="AZ67" s="193">
        <f>ROUND($O67*AD67,0)</f>
        <v/>
      </c>
      <c r="BA67" s="193">
        <f>ROUND($O67*AE67,0)</f>
        <v/>
      </c>
      <c r="BB67" s="193">
        <f>ROUND($O67*AF67,0)</f>
        <v/>
      </c>
      <c r="BC67" s="306">
        <f>ROUND($O67*AG67,0)</f>
        <v/>
      </c>
      <c r="BD67" s="306">
        <f>ROUND($O67*AH67,0)</f>
        <v/>
      </c>
      <c r="BE67" s="306">
        <f>ROUND($O67*AI67,0)</f>
        <v/>
      </c>
      <c r="BF67" s="306">
        <f>ROUND($O67*AJ67,0)</f>
        <v/>
      </c>
      <c r="BG67" s="306">
        <f>ROUND($O67*AK67,0)</f>
        <v/>
      </c>
      <c r="BH67" s="236">
        <f>SUM(AL67:AT67)</f>
        <v/>
      </c>
      <c r="BI67" s="528">
        <f>BH67/160</f>
        <v/>
      </c>
      <c r="BJ67" s="87">
        <f>VLOOKUP(I67,Listy!$A$1:$H$9,6,FALSE)</f>
        <v/>
      </c>
      <c r="BK67" s="682">
        <f>BI67*BJ67</f>
        <v/>
      </c>
      <c r="BL67" s="683">
        <f>BI67*BK67</f>
        <v/>
      </c>
      <c r="BM67" s="528" t="n"/>
      <c r="BN67" s="528" t="n"/>
      <c r="BO67" s="528" t="n"/>
      <c r="BP67" s="528" t="n"/>
      <c r="BQ67" s="528" t="n"/>
      <c r="BR67" s="528" t="n"/>
      <c r="BS67" s="21">
        <f>BQ67*BR67</f>
        <v/>
      </c>
      <c r="BT67" s="528" t="n"/>
      <c r="BU67" s="528" t="n"/>
      <c r="BV67" s="528" t="n"/>
      <c r="BW67" s="528" t="n"/>
      <c r="BX67" s="528" t="n"/>
      <c r="BY67" s="528" t="n"/>
      <c r="BZ67" s="528" t="n"/>
      <c r="CA67" s="528" t="n"/>
      <c r="CB67" s="528" t="n"/>
      <c r="CC67" s="528" t="n"/>
      <c r="CD67" s="528" t="n"/>
      <c r="CE67" s="528" t="n"/>
      <c r="CF67" s="528" t="n"/>
      <c r="CG67" s="21">
        <f>CE67*CF67</f>
        <v/>
      </c>
      <c r="CH67" s="528" t="n"/>
      <c r="CI67" s="528" t="n"/>
      <c r="CJ67" s="528" t="n"/>
      <c r="CK67" s="21">
        <f>CI67*CJ67</f>
        <v/>
      </c>
      <c r="CL67" s="528" t="n"/>
      <c r="CM67" s="528" t="n"/>
      <c r="CN67" s="528" t="n"/>
      <c r="CO67" s="21">
        <f>CM67*CN67</f>
        <v/>
      </c>
    </row>
    <row r="68">
      <c r="A68" s="112" t="n">
        <v>1</v>
      </c>
      <c r="B68" s="64" t="inlineStr">
        <is>
          <t>f</t>
        </is>
      </c>
      <c r="C68" s="105" t="n">
        <v>1</v>
      </c>
      <c r="D68" s="116">
        <f>CONCATENATE(A$3,"_",A68,"_",B68,"_",C68)</f>
        <v/>
      </c>
      <c r="E68" s="122" t="inlineStr">
        <is>
          <t>Stworzenie mapy zidentyfikowanych algorytmów/etapów PT</t>
        </is>
      </c>
      <c r="F68" s="528">
        <f>IFERROR(VLOOKUP($I68,Listy!$A:$H,2,FALSE),"XXX")</f>
        <v/>
      </c>
      <c r="G68" s="528">
        <f>IFERROR(VLOOKUP($I68,Listy!$A:$H,3,FALSE),"XXX")</f>
        <v/>
      </c>
      <c r="H68" s="20" t="n">
        <v>60</v>
      </c>
      <c r="I68" s="89" t="inlineStr">
        <is>
          <t>.a61</t>
        </is>
      </c>
      <c r="J68" s="91" t="inlineStr">
        <is>
          <t>.m01</t>
        </is>
      </c>
      <c r="K68" s="681">
        <f>VLOOKUP(J68,Listy!A:B,2,FALSE)</f>
        <v/>
      </c>
      <c r="L68" s="91" t="inlineStr">
        <is>
          <t>.m72</t>
        </is>
      </c>
      <c r="M68" s="681">
        <f>VLOOKUP(L68,Listy!A:B,2,FALSE)</f>
        <v/>
      </c>
      <c r="N68" s="528" t="n">
        <v>3</v>
      </c>
      <c r="O68" s="528">
        <f>N68*40</f>
        <v/>
      </c>
      <c r="P68" s="187" t="n"/>
      <c r="Q68" s="187" t="n"/>
      <c r="R68" s="187" t="n"/>
      <c r="S68" s="187" t="n"/>
      <c r="T68" s="187" t="n"/>
      <c r="U68" s="187" t="n"/>
      <c r="V68" s="187" t="n"/>
      <c r="W68" s="187" t="n"/>
      <c r="X68" s="187" t="n"/>
      <c r="Y68" s="292" t="n"/>
      <c r="Z68" s="292" t="n"/>
      <c r="AA68" s="292" t="n"/>
      <c r="AB68" s="292" t="n"/>
      <c r="AC68" s="292" t="n"/>
      <c r="AD68" s="292" t="n"/>
      <c r="AE68" s="292" t="n"/>
      <c r="AF68" s="292" t="n"/>
      <c r="AG68" s="305" t="n"/>
      <c r="AH68" s="305" t="n"/>
      <c r="AI68" s="305" t="n"/>
      <c r="AJ68" s="305" t="n"/>
      <c r="AK68" s="305" t="n"/>
      <c r="AL68" s="192">
        <f>ROUND($O68*P68,0)</f>
        <v/>
      </c>
      <c r="AM68" s="192">
        <f>ROUND($O68*Q68,0)</f>
        <v/>
      </c>
      <c r="AN68" s="192">
        <f>ROUND($O68*R68,0)</f>
        <v/>
      </c>
      <c r="AO68" s="192">
        <f>ROUND($O68*S68,0)</f>
        <v/>
      </c>
      <c r="AP68" s="192">
        <f>ROUND($O68*T68,0)</f>
        <v/>
      </c>
      <c r="AQ68" s="192">
        <f>ROUND($O68*U68,0)</f>
        <v/>
      </c>
      <c r="AR68" s="192">
        <f>ROUND($O68*V68,0)</f>
        <v/>
      </c>
      <c r="AS68" s="192">
        <f>ROUND($O68*W68,0)</f>
        <v/>
      </c>
      <c r="AT68" s="192">
        <f>ROUND($O68*X68,0)</f>
        <v/>
      </c>
      <c r="AU68" s="193">
        <f>ROUND($O68*Y68,0)</f>
        <v/>
      </c>
      <c r="AV68" s="193">
        <f>ROUND($O68*Z68,0)</f>
        <v/>
      </c>
      <c r="AW68" s="193">
        <f>ROUND($O68*AA68,0)</f>
        <v/>
      </c>
      <c r="AX68" s="193">
        <f>ROUND($O68*AB68,0)</f>
        <v/>
      </c>
      <c r="AY68" s="193">
        <f>ROUND($O68*AC68,0)</f>
        <v/>
      </c>
      <c r="AZ68" s="193">
        <f>ROUND($O68*AD68,0)</f>
        <v/>
      </c>
      <c r="BA68" s="193">
        <f>ROUND($O68*AE68,0)</f>
        <v/>
      </c>
      <c r="BB68" s="193">
        <f>ROUND($O68*AF68,0)</f>
        <v/>
      </c>
      <c r="BC68" s="306">
        <f>ROUND($O68*AG68,0)</f>
        <v/>
      </c>
      <c r="BD68" s="306">
        <f>ROUND($O68*AH68,0)</f>
        <v/>
      </c>
      <c r="BE68" s="306">
        <f>ROUND($O68*AI68,0)</f>
        <v/>
      </c>
      <c r="BF68" s="306">
        <f>ROUND($O68*AJ68,0)</f>
        <v/>
      </c>
      <c r="BG68" s="306">
        <f>ROUND($O68*AK68,0)</f>
        <v/>
      </c>
      <c r="BH68" s="236">
        <f>SUM(AL68:AT68)</f>
        <v/>
      </c>
      <c r="BI68" s="528">
        <f>BH68/160</f>
        <v/>
      </c>
      <c r="BJ68" s="87">
        <f>VLOOKUP(I68,Listy!$A$1:$H$9,6,FALSE)</f>
        <v/>
      </c>
      <c r="BK68" s="682">
        <f>BI68*BJ68</f>
        <v/>
      </c>
      <c r="BL68" s="683">
        <f>BI68*BK68</f>
        <v/>
      </c>
      <c r="BM68" s="528" t="n"/>
      <c r="BN68" s="528" t="n"/>
      <c r="BO68" s="528" t="n"/>
      <c r="BP68" s="528" t="n"/>
      <c r="BQ68" s="528" t="n"/>
      <c r="BR68" s="528" t="n"/>
      <c r="BS68" s="22">
        <f>BQ68*BR68</f>
        <v/>
      </c>
      <c r="BT68" s="528" t="n"/>
      <c r="BU68" s="528" t="n"/>
      <c r="BV68" s="314" t="n"/>
      <c r="BW68" s="528" t="n"/>
      <c r="BX68" s="528" t="n"/>
      <c r="BY68" s="314" t="n"/>
      <c r="BZ68" s="528" t="n"/>
      <c r="CA68" s="528" t="n"/>
      <c r="CB68" s="314" t="n"/>
      <c r="CC68" s="314" t="n"/>
      <c r="CD68" s="528" t="n"/>
      <c r="CE68" s="528" t="n"/>
      <c r="CF68" s="528" t="n"/>
      <c r="CG68" s="22">
        <f>CE68*CF68</f>
        <v/>
      </c>
      <c r="CH68" s="528" t="n"/>
      <c r="CI68" s="528" t="n"/>
      <c r="CJ68" s="528" t="n"/>
      <c r="CK68" s="22">
        <f>CI68*CJ68</f>
        <v/>
      </c>
      <c r="CL68" s="528" t="n"/>
      <c r="CM68" s="528" t="n"/>
      <c r="CN68" s="528" t="n"/>
      <c r="CO68" s="22">
        <f>CM68*CN68</f>
        <v/>
      </c>
    </row>
    <row r="69">
      <c r="A69" s="112" t="n">
        <v>1</v>
      </c>
      <c r="B69" s="64" t="inlineStr">
        <is>
          <t>e</t>
        </is>
      </c>
      <c r="C69" s="105" t="n">
        <v>1</v>
      </c>
      <c r="D69" s="116">
        <f>CONCATENATE(A$3,"_",A69,"_",B69,"_",C69)</f>
        <v/>
      </c>
      <c r="E69" s="122" t="inlineStr">
        <is>
          <t>Analiza wpływu zakłóceń dostępności infrastruktury technicznej</t>
        </is>
      </c>
      <c r="F69" s="528">
        <f>IFERROR(VLOOKUP($I69,Listy!$A:$H,2,FALSE),"XXX")</f>
        <v/>
      </c>
      <c r="G69" s="528">
        <f>IFERROR(VLOOKUP($I69,Listy!$A:$H,3,FALSE),"XXX")</f>
        <v/>
      </c>
      <c r="H69" s="20" t="n">
        <v>61</v>
      </c>
      <c r="I69" s="89" t="inlineStr">
        <is>
          <t>.a62</t>
        </is>
      </c>
      <c r="J69" s="91" t="inlineStr">
        <is>
          <t>.m01</t>
        </is>
      </c>
      <c r="K69" s="681">
        <f>VLOOKUP(J69,Listy!A:B,2,FALSE)</f>
        <v/>
      </c>
      <c r="L69" s="91" t="inlineStr">
        <is>
          <t>.m73</t>
        </is>
      </c>
      <c r="M69" s="681">
        <f>VLOOKUP(L69,Listy!A:B,2,FALSE)</f>
        <v/>
      </c>
      <c r="N69" s="528" t="n">
        <v>3</v>
      </c>
      <c r="O69" s="528">
        <f>N69*40</f>
        <v/>
      </c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7" t="n"/>
      <c r="Y69" s="292" t="n"/>
      <c r="Z69" s="292" t="n"/>
      <c r="AA69" s="292" t="n"/>
      <c r="AB69" s="292" t="n"/>
      <c r="AC69" s="292" t="n"/>
      <c r="AD69" s="292" t="n"/>
      <c r="AE69" s="292" t="n"/>
      <c r="AF69" s="292" t="n"/>
      <c r="AG69" s="305" t="n"/>
      <c r="AH69" s="305" t="n"/>
      <c r="AI69" s="305" t="n"/>
      <c r="AJ69" s="305" t="n"/>
      <c r="AK69" s="305" t="n"/>
      <c r="AL69" s="192">
        <f>ROUND($O69*P69,0)</f>
        <v/>
      </c>
      <c r="AM69" s="192">
        <f>ROUND($O69*Q69,0)</f>
        <v/>
      </c>
      <c r="AN69" s="192">
        <f>ROUND($O69*R69,0)</f>
        <v/>
      </c>
      <c r="AO69" s="192">
        <f>ROUND($O69*S69,0)</f>
        <v/>
      </c>
      <c r="AP69" s="192">
        <f>ROUND($O69*T69,0)</f>
        <v/>
      </c>
      <c r="AQ69" s="192">
        <f>ROUND($O69*U69,0)</f>
        <v/>
      </c>
      <c r="AR69" s="192">
        <f>ROUND($O69*V69,0)</f>
        <v/>
      </c>
      <c r="AS69" s="192">
        <f>ROUND($O69*W69,0)</f>
        <v/>
      </c>
      <c r="AT69" s="192">
        <f>ROUND($O69*X69,0)</f>
        <v/>
      </c>
      <c r="AU69" s="193">
        <f>ROUND($O69*Y69,0)</f>
        <v/>
      </c>
      <c r="AV69" s="193">
        <f>ROUND($O69*Z69,0)</f>
        <v/>
      </c>
      <c r="AW69" s="193">
        <f>ROUND($O69*AA69,0)</f>
        <v/>
      </c>
      <c r="AX69" s="193">
        <f>ROUND($O69*AB69,0)</f>
        <v/>
      </c>
      <c r="AY69" s="193">
        <f>ROUND($O69*AC69,0)</f>
        <v/>
      </c>
      <c r="AZ69" s="193">
        <f>ROUND($O69*AD69,0)</f>
        <v/>
      </c>
      <c r="BA69" s="193">
        <f>ROUND($O69*AE69,0)</f>
        <v/>
      </c>
      <c r="BB69" s="193">
        <f>ROUND($O69*AF69,0)</f>
        <v/>
      </c>
      <c r="BC69" s="306">
        <f>ROUND($O69*AG69,0)</f>
        <v/>
      </c>
      <c r="BD69" s="306">
        <f>ROUND($O69*AH69,0)</f>
        <v/>
      </c>
      <c r="BE69" s="306">
        <f>ROUND($O69*AI69,0)</f>
        <v/>
      </c>
      <c r="BF69" s="306">
        <f>ROUND($O69*AJ69,0)</f>
        <v/>
      </c>
      <c r="BG69" s="306">
        <f>ROUND($O69*AK69,0)</f>
        <v/>
      </c>
      <c r="BH69" s="236">
        <f>SUM(AL69:AT69)</f>
        <v/>
      </c>
      <c r="BI69" s="528">
        <f>BH69/160</f>
        <v/>
      </c>
      <c r="BJ69" s="87">
        <f>VLOOKUP(I69,Listy!$A$1:$H$9,6,FALSE)</f>
        <v/>
      </c>
      <c r="BK69" s="682">
        <f>BI69*BJ69</f>
        <v/>
      </c>
      <c r="BL69" s="683">
        <f>BI69*BK69</f>
        <v/>
      </c>
      <c r="BM69" s="528" t="n"/>
      <c r="BN69" s="528" t="n"/>
      <c r="BO69" s="528" t="n"/>
      <c r="BP69" s="528" t="n"/>
      <c r="BQ69" s="528" t="n"/>
      <c r="BR69" s="528" t="n"/>
      <c r="BS69" s="21">
        <f>BQ69*BR69</f>
        <v/>
      </c>
      <c r="BT69" s="528" t="n"/>
      <c r="BU69" s="528" t="n"/>
      <c r="BV69" s="528" t="n"/>
      <c r="BW69" s="528" t="n"/>
      <c r="BX69" s="528" t="n"/>
      <c r="BY69" s="528" t="n"/>
      <c r="BZ69" s="528" t="n"/>
      <c r="CA69" s="528" t="n"/>
      <c r="CB69" s="528" t="n"/>
      <c r="CC69" s="528" t="n"/>
      <c r="CD69" s="528" t="n"/>
      <c r="CE69" s="528" t="n"/>
      <c r="CF69" s="528" t="n"/>
      <c r="CG69" s="21">
        <f>CE69*CF69</f>
        <v/>
      </c>
      <c r="CH69" s="528" t="n"/>
      <c r="CI69" s="528" t="n"/>
      <c r="CJ69" s="528" t="n"/>
      <c r="CK69" s="21">
        <f>CI69*CJ69</f>
        <v/>
      </c>
      <c r="CL69" s="528" t="n"/>
      <c r="CM69" s="528" t="n"/>
      <c r="CN69" s="528" t="n"/>
      <c r="CO69" s="21">
        <f>CM69*CN69</f>
        <v/>
      </c>
    </row>
    <row r="70">
      <c r="A70" s="112" t="n">
        <v>1</v>
      </c>
      <c r="B70" s="64" t="inlineStr">
        <is>
          <t>f</t>
        </is>
      </c>
      <c r="C70" s="105" t="n">
        <v>1</v>
      </c>
      <c r="D70" s="116">
        <f>CONCATENATE(A$3,"_",A70,"_",B70,"_",C70)</f>
        <v/>
      </c>
      <c r="E70" s="122" t="inlineStr">
        <is>
          <t>Stworzenie mapy zidentyfikowanych algorytmów/etapów PT</t>
        </is>
      </c>
      <c r="F70" s="528">
        <f>IFERROR(VLOOKUP($I70,Listy!$A:$H,2,FALSE),"XXX")</f>
        <v/>
      </c>
      <c r="G70" s="528">
        <f>IFERROR(VLOOKUP($I70,Listy!$A:$H,3,FALSE),"XXX")</f>
        <v/>
      </c>
      <c r="H70" s="20" t="n">
        <v>62</v>
      </c>
      <c r="I70" s="89" t="inlineStr">
        <is>
          <t>.a63</t>
        </is>
      </c>
      <c r="J70" s="91" t="inlineStr">
        <is>
          <t>.m01</t>
        </is>
      </c>
      <c r="K70" s="681">
        <f>VLOOKUP(J70,Listy!A:B,2,FALSE)</f>
        <v/>
      </c>
      <c r="L70" s="91" t="inlineStr">
        <is>
          <t>.m74</t>
        </is>
      </c>
      <c r="M70" s="681">
        <f>VLOOKUP(L70,Listy!A:B,2,FALSE)</f>
        <v/>
      </c>
      <c r="N70" s="528" t="n">
        <v>3</v>
      </c>
      <c r="O70" s="528">
        <f>N70*40</f>
        <v/>
      </c>
      <c r="P70" s="187" t="n"/>
      <c r="Q70" s="187" t="n"/>
      <c r="R70" s="187" t="n"/>
      <c r="S70" s="187" t="n"/>
      <c r="T70" s="187" t="n"/>
      <c r="U70" s="187" t="n"/>
      <c r="V70" s="187" t="n"/>
      <c r="W70" s="187" t="n"/>
      <c r="X70" s="187" t="n"/>
      <c r="Y70" s="292" t="n"/>
      <c r="Z70" s="292" t="n"/>
      <c r="AA70" s="292" t="n"/>
      <c r="AB70" s="292" t="n"/>
      <c r="AC70" s="292" t="n"/>
      <c r="AD70" s="292" t="n"/>
      <c r="AE70" s="292" t="n"/>
      <c r="AF70" s="292" t="n"/>
      <c r="AG70" s="305" t="n"/>
      <c r="AH70" s="305" t="n"/>
      <c r="AI70" s="305" t="n"/>
      <c r="AJ70" s="305" t="n"/>
      <c r="AK70" s="305" t="n"/>
      <c r="AL70" s="192">
        <f>ROUND($O70*P70,0)</f>
        <v/>
      </c>
      <c r="AM70" s="192">
        <f>ROUND($O70*Q70,0)</f>
        <v/>
      </c>
      <c r="AN70" s="192">
        <f>ROUND($O70*R70,0)</f>
        <v/>
      </c>
      <c r="AO70" s="192">
        <f>ROUND($O70*S70,0)</f>
        <v/>
      </c>
      <c r="AP70" s="192">
        <f>ROUND($O70*T70,0)</f>
        <v/>
      </c>
      <c r="AQ70" s="192">
        <f>ROUND($O70*U70,0)</f>
        <v/>
      </c>
      <c r="AR70" s="192">
        <f>ROUND($O70*V70,0)</f>
        <v/>
      </c>
      <c r="AS70" s="192">
        <f>ROUND($O70*W70,0)</f>
        <v/>
      </c>
      <c r="AT70" s="192">
        <f>ROUND($O70*X70,0)</f>
        <v/>
      </c>
      <c r="AU70" s="193">
        <f>ROUND($O70*Y70,0)</f>
        <v/>
      </c>
      <c r="AV70" s="193">
        <f>ROUND($O70*Z70,0)</f>
        <v/>
      </c>
      <c r="AW70" s="193">
        <f>ROUND($O70*AA70,0)</f>
        <v/>
      </c>
      <c r="AX70" s="193">
        <f>ROUND($O70*AB70,0)</f>
        <v/>
      </c>
      <c r="AY70" s="193">
        <f>ROUND($O70*AC70,0)</f>
        <v/>
      </c>
      <c r="AZ70" s="193">
        <f>ROUND($O70*AD70,0)</f>
        <v/>
      </c>
      <c r="BA70" s="193">
        <f>ROUND($O70*AE70,0)</f>
        <v/>
      </c>
      <c r="BB70" s="193">
        <f>ROUND($O70*AF70,0)</f>
        <v/>
      </c>
      <c r="BC70" s="306">
        <f>ROUND($O70*AG70,0)</f>
        <v/>
      </c>
      <c r="BD70" s="306">
        <f>ROUND($O70*AH70,0)</f>
        <v/>
      </c>
      <c r="BE70" s="306">
        <f>ROUND($O70*AI70,0)</f>
        <v/>
      </c>
      <c r="BF70" s="306">
        <f>ROUND($O70*AJ70,0)</f>
        <v/>
      </c>
      <c r="BG70" s="306">
        <f>ROUND($O70*AK70,0)</f>
        <v/>
      </c>
      <c r="BH70" s="236">
        <f>SUM(AL70:AT70)</f>
        <v/>
      </c>
      <c r="BI70" s="528">
        <f>BH70/160</f>
        <v/>
      </c>
      <c r="BJ70" s="87">
        <f>VLOOKUP(I70,Listy!$A$1:$H$9,6,FALSE)</f>
        <v/>
      </c>
      <c r="BK70" s="682">
        <f>BI70*BJ70</f>
        <v/>
      </c>
      <c r="BL70" s="683">
        <f>BI70*BK70</f>
        <v/>
      </c>
      <c r="BM70" s="528" t="n"/>
      <c r="BN70" s="528" t="n"/>
      <c r="BO70" s="528" t="n"/>
      <c r="BP70" s="528" t="n"/>
      <c r="BQ70" s="528" t="n"/>
      <c r="BR70" s="528" t="n"/>
      <c r="BS70" s="22">
        <f>BQ70*BR70</f>
        <v/>
      </c>
      <c r="BT70" s="528" t="n"/>
      <c r="BU70" s="528" t="n"/>
      <c r="BV70" s="314" t="n"/>
      <c r="BW70" s="528" t="n"/>
      <c r="BX70" s="528" t="n"/>
      <c r="BY70" s="314" t="n"/>
      <c r="BZ70" s="528" t="n"/>
      <c r="CA70" s="528" t="n"/>
      <c r="CB70" s="314" t="n"/>
      <c r="CC70" s="314" t="n"/>
      <c r="CD70" s="528" t="n"/>
      <c r="CE70" s="528" t="n"/>
      <c r="CF70" s="528" t="n"/>
      <c r="CG70" s="22">
        <f>CE70*CF70</f>
        <v/>
      </c>
      <c r="CH70" s="528" t="n"/>
      <c r="CI70" s="528" t="n"/>
      <c r="CJ70" s="528" t="n"/>
      <c r="CK70" s="22">
        <f>CI70*CJ70</f>
        <v/>
      </c>
      <c r="CL70" s="528" t="n"/>
      <c r="CM70" s="528" t="n"/>
      <c r="CN70" s="528" t="n"/>
      <c r="CO70" s="22">
        <f>CM70*CN70</f>
        <v/>
      </c>
    </row>
    <row r="71">
      <c r="A71" s="112" t="n">
        <v>1</v>
      </c>
      <c r="B71" s="64" t="inlineStr">
        <is>
          <t>e</t>
        </is>
      </c>
      <c r="C71" s="105" t="n">
        <v>1</v>
      </c>
      <c r="D71" s="116">
        <f>CONCATENATE(A$3,"_",A71,"_",B71,"_",C71)</f>
        <v/>
      </c>
      <c r="E71" s="122" t="inlineStr">
        <is>
          <t>Analiza wpływu zakłóceń dostępności infrastruktury technicznej</t>
        </is>
      </c>
      <c r="F71" s="528">
        <f>IFERROR(VLOOKUP($I71,Listy!$A:$H,2,FALSE),"XXX")</f>
        <v/>
      </c>
      <c r="G71" s="528">
        <f>IFERROR(VLOOKUP($I71,Listy!$A:$H,3,FALSE),"XXX")</f>
        <v/>
      </c>
      <c r="H71" s="20" t="n">
        <v>63</v>
      </c>
      <c r="I71" s="89" t="inlineStr">
        <is>
          <t>.a64</t>
        </is>
      </c>
      <c r="J71" s="91" t="inlineStr">
        <is>
          <t>.m01</t>
        </is>
      </c>
      <c r="K71" s="681">
        <f>VLOOKUP(J71,Listy!A:B,2,FALSE)</f>
        <v/>
      </c>
      <c r="L71" s="91" t="inlineStr">
        <is>
          <t>.m75</t>
        </is>
      </c>
      <c r="M71" s="681">
        <f>VLOOKUP(L71,Listy!A:B,2,FALSE)</f>
        <v/>
      </c>
      <c r="N71" s="528" t="n">
        <v>3</v>
      </c>
      <c r="O71" s="528">
        <f>N71*40</f>
        <v/>
      </c>
      <c r="P71" s="187" t="n"/>
      <c r="Q71" s="187" t="n"/>
      <c r="R71" s="187" t="n"/>
      <c r="S71" s="187" t="n"/>
      <c r="T71" s="187" t="n"/>
      <c r="U71" s="187" t="n"/>
      <c r="V71" s="187" t="n"/>
      <c r="W71" s="187" t="n"/>
      <c r="X71" s="187" t="n"/>
      <c r="Y71" s="292" t="n"/>
      <c r="Z71" s="292" t="n"/>
      <c r="AA71" s="292" t="n"/>
      <c r="AB71" s="292" t="n"/>
      <c r="AC71" s="292" t="n"/>
      <c r="AD71" s="292" t="n"/>
      <c r="AE71" s="292" t="n"/>
      <c r="AF71" s="292" t="n"/>
      <c r="AG71" s="305" t="n"/>
      <c r="AH71" s="305" t="n"/>
      <c r="AI71" s="305" t="n"/>
      <c r="AJ71" s="305" t="n"/>
      <c r="AK71" s="305" t="n"/>
      <c r="AL71" s="192">
        <f>ROUND($O71*P71,0)</f>
        <v/>
      </c>
      <c r="AM71" s="192">
        <f>ROUND($O71*Q71,0)</f>
        <v/>
      </c>
      <c r="AN71" s="192">
        <f>ROUND($O71*R71,0)</f>
        <v/>
      </c>
      <c r="AO71" s="192">
        <f>ROUND($O71*S71,0)</f>
        <v/>
      </c>
      <c r="AP71" s="192">
        <f>ROUND($O71*T71,0)</f>
        <v/>
      </c>
      <c r="AQ71" s="192">
        <f>ROUND($O71*U71,0)</f>
        <v/>
      </c>
      <c r="AR71" s="192">
        <f>ROUND($O71*V71,0)</f>
        <v/>
      </c>
      <c r="AS71" s="192">
        <f>ROUND($O71*W71,0)</f>
        <v/>
      </c>
      <c r="AT71" s="192">
        <f>ROUND($O71*X71,0)</f>
        <v/>
      </c>
      <c r="AU71" s="193">
        <f>ROUND($O71*Y71,0)</f>
        <v/>
      </c>
      <c r="AV71" s="193">
        <f>ROUND($O71*Z71,0)</f>
        <v/>
      </c>
      <c r="AW71" s="193">
        <f>ROUND($O71*AA71,0)</f>
        <v/>
      </c>
      <c r="AX71" s="193">
        <f>ROUND($O71*AB71,0)</f>
        <v/>
      </c>
      <c r="AY71" s="193">
        <f>ROUND($O71*AC71,0)</f>
        <v/>
      </c>
      <c r="AZ71" s="193">
        <f>ROUND($O71*AD71,0)</f>
        <v/>
      </c>
      <c r="BA71" s="193">
        <f>ROUND($O71*AE71,0)</f>
        <v/>
      </c>
      <c r="BB71" s="193">
        <f>ROUND($O71*AF71,0)</f>
        <v/>
      </c>
      <c r="BC71" s="306">
        <f>ROUND($O71*AG71,0)</f>
        <v/>
      </c>
      <c r="BD71" s="306">
        <f>ROUND($O71*AH71,0)</f>
        <v/>
      </c>
      <c r="BE71" s="306">
        <f>ROUND($O71*AI71,0)</f>
        <v/>
      </c>
      <c r="BF71" s="306">
        <f>ROUND($O71*AJ71,0)</f>
        <v/>
      </c>
      <c r="BG71" s="306">
        <f>ROUND($O71*AK71,0)</f>
        <v/>
      </c>
      <c r="BH71" s="236">
        <f>SUM(AL71:AT71)</f>
        <v/>
      </c>
      <c r="BI71" s="528">
        <f>BH71/160</f>
        <v/>
      </c>
      <c r="BJ71" s="87">
        <f>VLOOKUP(I71,Listy!$A$1:$H$9,6,FALSE)</f>
        <v/>
      </c>
      <c r="BK71" s="682">
        <f>BI71*BJ71</f>
        <v/>
      </c>
      <c r="BL71" s="683">
        <f>BI71*BK71</f>
        <v/>
      </c>
      <c r="BM71" s="528" t="n"/>
      <c r="BN71" s="528" t="n"/>
      <c r="BO71" s="528" t="n"/>
      <c r="BP71" s="528" t="n"/>
      <c r="BQ71" s="528" t="n"/>
      <c r="BR71" s="528" t="n"/>
      <c r="BS71" s="21">
        <f>BQ71*BR71</f>
        <v/>
      </c>
      <c r="BT71" s="528" t="n"/>
      <c r="BU71" s="528" t="n"/>
      <c r="BV71" s="528" t="n"/>
      <c r="BW71" s="528" t="n"/>
      <c r="BX71" s="528" t="n"/>
      <c r="BY71" s="528" t="n"/>
      <c r="BZ71" s="528" t="n"/>
      <c r="CA71" s="528" t="n"/>
      <c r="CB71" s="528" t="n"/>
      <c r="CC71" s="528" t="n"/>
      <c r="CD71" s="528" t="n"/>
      <c r="CE71" s="528" t="n"/>
      <c r="CF71" s="528" t="n"/>
      <c r="CG71" s="21">
        <f>CE71*CF71</f>
        <v/>
      </c>
      <c r="CH71" s="528" t="n"/>
      <c r="CI71" s="528" t="n"/>
      <c r="CJ71" s="528" t="n"/>
      <c r="CK71" s="21">
        <f>CI71*CJ71</f>
        <v/>
      </c>
      <c r="CL71" s="528" t="n"/>
      <c r="CM71" s="528" t="n"/>
      <c r="CN71" s="528" t="n"/>
      <c r="CO71" s="21">
        <f>CM71*CN71</f>
        <v/>
      </c>
    </row>
    <row r="72">
      <c r="A72" s="112" t="n">
        <v>1</v>
      </c>
      <c r="B72" s="64" t="inlineStr">
        <is>
          <t>f</t>
        </is>
      </c>
      <c r="C72" s="105" t="n">
        <v>1</v>
      </c>
      <c r="D72" s="116">
        <f>CONCATENATE(A$3,"_",A72,"_",B72,"_",C72)</f>
        <v/>
      </c>
      <c r="E72" s="122" t="inlineStr">
        <is>
          <t>Stworzenie mapy zidentyfikowanych algorytmów/etapów PT</t>
        </is>
      </c>
      <c r="F72" s="528">
        <f>IFERROR(VLOOKUP($I72,Listy!$A:$H,2,FALSE),"XXX")</f>
        <v/>
      </c>
      <c r="G72" s="528">
        <f>IFERROR(VLOOKUP($I72,Listy!$A:$H,3,FALSE),"XXX")</f>
        <v/>
      </c>
      <c r="H72" s="20" t="n">
        <v>64</v>
      </c>
      <c r="I72" s="89" t="inlineStr">
        <is>
          <t>.a65</t>
        </is>
      </c>
      <c r="J72" s="91" t="inlineStr">
        <is>
          <t>.m01</t>
        </is>
      </c>
      <c r="K72" s="681">
        <f>VLOOKUP(J72,Listy!A:B,2,FALSE)</f>
        <v/>
      </c>
      <c r="L72" s="91" t="inlineStr">
        <is>
          <t>.m76</t>
        </is>
      </c>
      <c r="M72" s="681">
        <f>VLOOKUP(L72,Listy!A:B,2,FALSE)</f>
        <v/>
      </c>
      <c r="N72" s="528" t="n">
        <v>3</v>
      </c>
      <c r="O72" s="528">
        <f>N72*40</f>
        <v/>
      </c>
      <c r="P72" s="187" t="n"/>
      <c r="Q72" s="187" t="n"/>
      <c r="R72" s="187" t="n"/>
      <c r="S72" s="187" t="n"/>
      <c r="T72" s="187" t="n"/>
      <c r="U72" s="187" t="n"/>
      <c r="V72" s="187" t="n"/>
      <c r="W72" s="187" t="n"/>
      <c r="X72" s="187" t="n"/>
      <c r="Y72" s="292" t="n"/>
      <c r="Z72" s="292" t="n"/>
      <c r="AA72" s="292" t="n"/>
      <c r="AB72" s="292" t="n"/>
      <c r="AC72" s="292" t="n"/>
      <c r="AD72" s="292" t="n"/>
      <c r="AE72" s="292" t="n"/>
      <c r="AF72" s="292" t="n"/>
      <c r="AG72" s="305" t="n"/>
      <c r="AH72" s="305" t="n"/>
      <c r="AI72" s="305" t="n"/>
      <c r="AJ72" s="305" t="n"/>
      <c r="AK72" s="305" t="n"/>
      <c r="AL72" s="192">
        <f>ROUND($O72*P72,0)</f>
        <v/>
      </c>
      <c r="AM72" s="192">
        <f>ROUND($O72*Q72,0)</f>
        <v/>
      </c>
      <c r="AN72" s="192">
        <f>ROUND($O72*R72,0)</f>
        <v/>
      </c>
      <c r="AO72" s="192">
        <f>ROUND($O72*S72,0)</f>
        <v/>
      </c>
      <c r="AP72" s="192">
        <f>ROUND($O72*T72,0)</f>
        <v/>
      </c>
      <c r="AQ72" s="192">
        <f>ROUND($O72*U72,0)</f>
        <v/>
      </c>
      <c r="AR72" s="192">
        <f>ROUND($O72*V72,0)</f>
        <v/>
      </c>
      <c r="AS72" s="192">
        <f>ROUND($O72*W72,0)</f>
        <v/>
      </c>
      <c r="AT72" s="192">
        <f>ROUND($O72*X72,0)</f>
        <v/>
      </c>
      <c r="AU72" s="193">
        <f>ROUND($O72*Y72,0)</f>
        <v/>
      </c>
      <c r="AV72" s="193">
        <f>ROUND($O72*Z72,0)</f>
        <v/>
      </c>
      <c r="AW72" s="193">
        <f>ROUND($O72*AA72,0)</f>
        <v/>
      </c>
      <c r="AX72" s="193">
        <f>ROUND($O72*AB72,0)</f>
        <v/>
      </c>
      <c r="AY72" s="193">
        <f>ROUND($O72*AC72,0)</f>
        <v/>
      </c>
      <c r="AZ72" s="193">
        <f>ROUND($O72*AD72,0)</f>
        <v/>
      </c>
      <c r="BA72" s="193">
        <f>ROUND($O72*AE72,0)</f>
        <v/>
      </c>
      <c r="BB72" s="193">
        <f>ROUND($O72*AF72,0)</f>
        <v/>
      </c>
      <c r="BC72" s="306">
        <f>ROUND($O72*AG72,0)</f>
        <v/>
      </c>
      <c r="BD72" s="306">
        <f>ROUND($O72*AH72,0)</f>
        <v/>
      </c>
      <c r="BE72" s="306">
        <f>ROUND($O72*AI72,0)</f>
        <v/>
      </c>
      <c r="BF72" s="306">
        <f>ROUND($O72*AJ72,0)</f>
        <v/>
      </c>
      <c r="BG72" s="306">
        <f>ROUND($O72*AK72,0)</f>
        <v/>
      </c>
      <c r="BH72" s="236">
        <f>SUM(AL72:AT72)</f>
        <v/>
      </c>
      <c r="BI72" s="528">
        <f>BH72/160</f>
        <v/>
      </c>
      <c r="BJ72" s="87">
        <f>VLOOKUP(I72,Listy!$A$1:$H$9,6,FALSE)</f>
        <v/>
      </c>
      <c r="BK72" s="682">
        <f>BI72*BJ72</f>
        <v/>
      </c>
      <c r="BL72" s="683">
        <f>BI72*BK72</f>
        <v/>
      </c>
      <c r="BM72" s="528" t="n"/>
      <c r="BN72" s="528" t="n"/>
      <c r="BO72" s="528" t="n"/>
      <c r="BP72" s="528" t="n"/>
      <c r="BQ72" s="528" t="n"/>
      <c r="BR72" s="528" t="n"/>
      <c r="BS72" s="22">
        <f>BQ72*BR72</f>
        <v/>
      </c>
      <c r="BT72" s="528" t="n"/>
      <c r="BU72" s="528" t="n"/>
      <c r="BV72" s="314" t="n"/>
      <c r="BW72" s="528" t="n"/>
      <c r="BX72" s="528" t="n"/>
      <c r="BY72" s="314" t="n"/>
      <c r="BZ72" s="528" t="n"/>
      <c r="CA72" s="528" t="n"/>
      <c r="CB72" s="314" t="n"/>
      <c r="CC72" s="314" t="n"/>
      <c r="CD72" s="528" t="n"/>
      <c r="CE72" s="528" t="n"/>
      <c r="CF72" s="528" t="n"/>
      <c r="CG72" s="22">
        <f>CE72*CF72</f>
        <v/>
      </c>
      <c r="CH72" s="528" t="n"/>
      <c r="CI72" s="528" t="n"/>
      <c r="CJ72" s="528" t="n"/>
      <c r="CK72" s="22">
        <f>CI72*CJ72</f>
        <v/>
      </c>
      <c r="CL72" s="528" t="n"/>
      <c r="CM72" s="528" t="n"/>
      <c r="CN72" s="528" t="n"/>
      <c r="CO72" s="22">
        <f>CM72*CN72</f>
        <v/>
      </c>
    </row>
    <row r="73">
      <c r="A73" s="112" t="n">
        <v>1</v>
      </c>
      <c r="B73" s="64" t="inlineStr">
        <is>
          <t>e</t>
        </is>
      </c>
      <c r="C73" s="105" t="n">
        <v>1</v>
      </c>
      <c r="D73" s="116">
        <f>CONCATENATE(A$3,"_",A73,"_",B73,"_",C73)</f>
        <v/>
      </c>
      <c r="E73" s="122" t="inlineStr">
        <is>
          <t>Analiza wpływu zakłóceń dostępności infrastruktury technicznej</t>
        </is>
      </c>
      <c r="F73" s="528">
        <f>IFERROR(VLOOKUP($I73,Listy!$A:$H,2,FALSE),"XXX")</f>
        <v/>
      </c>
      <c r="G73" s="528">
        <f>IFERROR(VLOOKUP($I73,Listy!$A:$H,3,FALSE),"XXX")</f>
        <v/>
      </c>
      <c r="H73" s="20" t="n">
        <v>65</v>
      </c>
      <c r="I73" s="89" t="inlineStr">
        <is>
          <t>.a66</t>
        </is>
      </c>
      <c r="J73" s="91" t="inlineStr">
        <is>
          <t>.m01</t>
        </is>
      </c>
      <c r="K73" s="681">
        <f>VLOOKUP(J73,Listy!A:B,2,FALSE)</f>
        <v/>
      </c>
      <c r="L73" s="91" t="inlineStr">
        <is>
          <t>.m77</t>
        </is>
      </c>
      <c r="M73" s="681">
        <f>VLOOKUP(L73,Listy!A:B,2,FALSE)</f>
        <v/>
      </c>
      <c r="N73" s="528" t="n">
        <v>3</v>
      </c>
      <c r="O73" s="528">
        <f>N73*40</f>
        <v/>
      </c>
      <c r="P73" s="187" t="n"/>
      <c r="Q73" s="187" t="n"/>
      <c r="R73" s="187" t="n"/>
      <c r="S73" s="187" t="n"/>
      <c r="T73" s="187" t="n"/>
      <c r="U73" s="187" t="n"/>
      <c r="V73" s="187" t="n"/>
      <c r="W73" s="187" t="n"/>
      <c r="X73" s="187" t="n"/>
      <c r="Y73" s="292" t="n"/>
      <c r="Z73" s="292" t="n"/>
      <c r="AA73" s="292" t="n"/>
      <c r="AB73" s="292" t="n"/>
      <c r="AC73" s="292" t="n"/>
      <c r="AD73" s="292" t="n"/>
      <c r="AE73" s="292" t="n"/>
      <c r="AF73" s="292" t="n"/>
      <c r="AG73" s="305" t="n"/>
      <c r="AH73" s="305" t="n"/>
      <c r="AI73" s="305" t="n"/>
      <c r="AJ73" s="305" t="n"/>
      <c r="AK73" s="305" t="n"/>
      <c r="AL73" s="192">
        <f>ROUND($O73*P73,0)</f>
        <v/>
      </c>
      <c r="AM73" s="192">
        <f>ROUND($O73*Q73,0)</f>
        <v/>
      </c>
      <c r="AN73" s="192">
        <f>ROUND($O73*R73,0)</f>
        <v/>
      </c>
      <c r="AO73" s="192">
        <f>ROUND($O73*S73,0)</f>
        <v/>
      </c>
      <c r="AP73" s="192">
        <f>ROUND($O73*T73,0)</f>
        <v/>
      </c>
      <c r="AQ73" s="192">
        <f>ROUND($O73*U73,0)</f>
        <v/>
      </c>
      <c r="AR73" s="192">
        <f>ROUND($O73*V73,0)</f>
        <v/>
      </c>
      <c r="AS73" s="192">
        <f>ROUND($O73*W73,0)</f>
        <v/>
      </c>
      <c r="AT73" s="192">
        <f>ROUND($O73*X73,0)</f>
        <v/>
      </c>
      <c r="AU73" s="193">
        <f>ROUND($O73*Y73,0)</f>
        <v/>
      </c>
      <c r="AV73" s="193">
        <f>ROUND($O73*Z73,0)</f>
        <v/>
      </c>
      <c r="AW73" s="193">
        <f>ROUND($O73*AA73,0)</f>
        <v/>
      </c>
      <c r="AX73" s="193">
        <f>ROUND($O73*AB73,0)</f>
        <v/>
      </c>
      <c r="AY73" s="193">
        <f>ROUND($O73*AC73,0)</f>
        <v/>
      </c>
      <c r="AZ73" s="193">
        <f>ROUND($O73*AD73,0)</f>
        <v/>
      </c>
      <c r="BA73" s="193">
        <f>ROUND($O73*AE73,0)</f>
        <v/>
      </c>
      <c r="BB73" s="193">
        <f>ROUND($O73*AF73,0)</f>
        <v/>
      </c>
      <c r="BC73" s="306">
        <f>ROUND($O73*AG73,0)</f>
        <v/>
      </c>
      <c r="BD73" s="306">
        <f>ROUND($O73*AH73,0)</f>
        <v/>
      </c>
      <c r="BE73" s="306">
        <f>ROUND($O73*AI73,0)</f>
        <v/>
      </c>
      <c r="BF73" s="306">
        <f>ROUND($O73*AJ73,0)</f>
        <v/>
      </c>
      <c r="BG73" s="306">
        <f>ROUND($O73*AK73,0)</f>
        <v/>
      </c>
      <c r="BH73" s="236">
        <f>SUM(AL73:AT73)</f>
        <v/>
      </c>
      <c r="BI73" s="528">
        <f>BH73/160</f>
        <v/>
      </c>
      <c r="BJ73" s="87">
        <f>VLOOKUP(I73,Listy!$A$1:$H$9,6,FALSE)</f>
        <v/>
      </c>
      <c r="BK73" s="682">
        <f>BI73*BJ73</f>
        <v/>
      </c>
      <c r="BL73" s="683">
        <f>BI73*BK73</f>
        <v/>
      </c>
      <c r="BM73" s="528" t="n"/>
      <c r="BN73" s="528" t="n"/>
      <c r="BO73" s="528" t="n"/>
      <c r="BP73" s="528" t="n"/>
      <c r="BQ73" s="528" t="n"/>
      <c r="BR73" s="528" t="n"/>
      <c r="BS73" s="21">
        <f>BQ73*BR73</f>
        <v/>
      </c>
      <c r="BT73" s="528" t="n"/>
      <c r="BU73" s="528" t="n"/>
      <c r="BV73" s="528" t="n"/>
      <c r="BW73" s="528" t="n"/>
      <c r="BX73" s="528" t="n"/>
      <c r="BY73" s="528" t="n"/>
      <c r="BZ73" s="528" t="n"/>
      <c r="CA73" s="528" t="n"/>
      <c r="CB73" s="528" t="n"/>
      <c r="CC73" s="528" t="n"/>
      <c r="CD73" s="528" t="n"/>
      <c r="CE73" s="528" t="n"/>
      <c r="CF73" s="528" t="n"/>
      <c r="CG73" s="21">
        <f>CE73*CF73</f>
        <v/>
      </c>
      <c r="CH73" s="528" t="n"/>
      <c r="CI73" s="528" t="n"/>
      <c r="CJ73" s="528" t="n"/>
      <c r="CK73" s="21">
        <f>CI73*CJ73</f>
        <v/>
      </c>
      <c r="CL73" s="528" t="n"/>
      <c r="CM73" s="528" t="n"/>
      <c r="CN73" s="528" t="n"/>
      <c r="CO73" s="21">
        <f>CM73*CN73</f>
        <v/>
      </c>
    </row>
    <row r="74">
      <c r="A74" s="112" t="n">
        <v>1</v>
      </c>
      <c r="B74" s="64" t="inlineStr">
        <is>
          <t>f</t>
        </is>
      </c>
      <c r="C74" s="105" t="n">
        <v>1</v>
      </c>
      <c r="D74" s="116">
        <f>CONCATENATE(A$3,"_",A74,"_",B74,"_",C74)</f>
        <v/>
      </c>
      <c r="E74" s="122" t="inlineStr">
        <is>
          <t>Stworzenie mapy zidentyfikowanych algorytmów/etapów PT</t>
        </is>
      </c>
      <c r="F74" s="528">
        <f>IFERROR(VLOOKUP($I74,Listy!$A:$H,2,FALSE),"XXX")</f>
        <v/>
      </c>
      <c r="G74" s="528">
        <f>IFERROR(VLOOKUP($I74,Listy!$A:$H,3,FALSE),"XXX")</f>
        <v/>
      </c>
      <c r="H74" s="20" t="n">
        <v>66</v>
      </c>
      <c r="I74" s="89" t="inlineStr">
        <is>
          <t>.a67</t>
        </is>
      </c>
      <c r="J74" s="91" t="inlineStr">
        <is>
          <t>.m01</t>
        </is>
      </c>
      <c r="K74" s="681">
        <f>VLOOKUP(J74,Listy!A:B,2,FALSE)</f>
        <v/>
      </c>
      <c r="L74" s="91" t="inlineStr">
        <is>
          <t>.m78</t>
        </is>
      </c>
      <c r="M74" s="681">
        <f>VLOOKUP(L74,Listy!A:B,2,FALSE)</f>
        <v/>
      </c>
      <c r="N74" s="528" t="n">
        <v>3</v>
      </c>
      <c r="O74" s="528">
        <f>N74*40</f>
        <v/>
      </c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7" t="n"/>
      <c r="Y74" s="292" t="n"/>
      <c r="Z74" s="292" t="n"/>
      <c r="AA74" s="292" t="n"/>
      <c r="AB74" s="292" t="n"/>
      <c r="AC74" s="292" t="n"/>
      <c r="AD74" s="292" t="n"/>
      <c r="AE74" s="292" t="n"/>
      <c r="AF74" s="292" t="n"/>
      <c r="AG74" s="305" t="n"/>
      <c r="AH74" s="305" t="n"/>
      <c r="AI74" s="305" t="n"/>
      <c r="AJ74" s="305" t="n"/>
      <c r="AK74" s="305" t="n"/>
      <c r="AL74" s="192">
        <f>ROUND($O74*P74,0)</f>
        <v/>
      </c>
      <c r="AM74" s="192">
        <f>ROUND($O74*Q74,0)</f>
        <v/>
      </c>
      <c r="AN74" s="192">
        <f>ROUND($O74*R74,0)</f>
        <v/>
      </c>
      <c r="AO74" s="192">
        <f>ROUND($O74*S74,0)</f>
        <v/>
      </c>
      <c r="AP74" s="192">
        <f>ROUND($O74*T74,0)</f>
        <v/>
      </c>
      <c r="AQ74" s="192">
        <f>ROUND($O74*U74,0)</f>
        <v/>
      </c>
      <c r="AR74" s="192">
        <f>ROUND($O74*V74,0)</f>
        <v/>
      </c>
      <c r="AS74" s="192">
        <f>ROUND($O74*W74,0)</f>
        <v/>
      </c>
      <c r="AT74" s="192">
        <f>ROUND($O74*X74,0)</f>
        <v/>
      </c>
      <c r="AU74" s="193">
        <f>ROUND($O74*Y74,0)</f>
        <v/>
      </c>
      <c r="AV74" s="193">
        <f>ROUND($O74*Z74,0)</f>
        <v/>
      </c>
      <c r="AW74" s="193">
        <f>ROUND($O74*AA74,0)</f>
        <v/>
      </c>
      <c r="AX74" s="193">
        <f>ROUND($O74*AB74,0)</f>
        <v/>
      </c>
      <c r="AY74" s="193">
        <f>ROUND($O74*AC74,0)</f>
        <v/>
      </c>
      <c r="AZ74" s="193">
        <f>ROUND($O74*AD74,0)</f>
        <v/>
      </c>
      <c r="BA74" s="193">
        <f>ROUND($O74*AE74,0)</f>
        <v/>
      </c>
      <c r="BB74" s="193">
        <f>ROUND($O74*AF74,0)</f>
        <v/>
      </c>
      <c r="BC74" s="306">
        <f>ROUND($O74*AG74,0)</f>
        <v/>
      </c>
      <c r="BD74" s="306">
        <f>ROUND($O74*AH74,0)</f>
        <v/>
      </c>
      <c r="BE74" s="306">
        <f>ROUND($O74*AI74,0)</f>
        <v/>
      </c>
      <c r="BF74" s="306">
        <f>ROUND($O74*AJ74,0)</f>
        <v/>
      </c>
      <c r="BG74" s="306">
        <f>ROUND($O74*AK74,0)</f>
        <v/>
      </c>
      <c r="BH74" s="236">
        <f>SUM(AL74:AT74)</f>
        <v/>
      </c>
      <c r="BI74" s="528">
        <f>BH74/160</f>
        <v/>
      </c>
      <c r="BJ74" s="87">
        <f>VLOOKUP(I74,Listy!$A$1:$H$9,6,FALSE)</f>
        <v/>
      </c>
      <c r="BK74" s="682">
        <f>BI74*BJ74</f>
        <v/>
      </c>
      <c r="BL74" s="683">
        <f>BI74*BK74</f>
        <v/>
      </c>
      <c r="BM74" s="528" t="n"/>
      <c r="BN74" s="528" t="n"/>
      <c r="BO74" s="528" t="n"/>
      <c r="BP74" s="528" t="n"/>
      <c r="BQ74" s="528" t="n"/>
      <c r="BR74" s="528" t="n"/>
      <c r="BS74" s="22">
        <f>BQ74*BR74</f>
        <v/>
      </c>
      <c r="BT74" s="528" t="n"/>
      <c r="BU74" s="528" t="n"/>
      <c r="BV74" s="314" t="n"/>
      <c r="BW74" s="528" t="n"/>
      <c r="BX74" s="528" t="n"/>
      <c r="BY74" s="314" t="n"/>
      <c r="BZ74" s="528" t="n"/>
      <c r="CA74" s="528" t="n"/>
      <c r="CB74" s="314" t="n"/>
      <c r="CC74" s="314" t="n"/>
      <c r="CD74" s="528" t="n"/>
      <c r="CE74" s="528" t="n"/>
      <c r="CF74" s="528" t="n"/>
      <c r="CG74" s="22">
        <f>CE74*CF74</f>
        <v/>
      </c>
      <c r="CH74" s="528" t="n"/>
      <c r="CI74" s="528" t="n"/>
      <c r="CJ74" s="528" t="n"/>
      <c r="CK74" s="22">
        <f>CI74*CJ74</f>
        <v/>
      </c>
      <c r="CL74" s="528" t="n"/>
      <c r="CM74" s="528" t="n"/>
      <c r="CN74" s="528" t="n"/>
      <c r="CO74" s="22">
        <f>CM74*CN74</f>
        <v/>
      </c>
    </row>
    <row r="75">
      <c r="A75" s="112" t="n">
        <v>1</v>
      </c>
      <c r="B75" s="64" t="inlineStr">
        <is>
          <t>e</t>
        </is>
      </c>
      <c r="C75" s="105" t="n">
        <v>1</v>
      </c>
      <c r="D75" s="116">
        <f>CONCATENATE(A$3,"_",A75,"_",B75,"_",C75)</f>
        <v/>
      </c>
      <c r="E75" s="122" t="inlineStr">
        <is>
          <t>Analiza wpływu zakłóceń dostępności infrastruktury technicznej</t>
        </is>
      </c>
      <c r="F75" s="528">
        <f>IFERROR(VLOOKUP($I75,Listy!$A:$H,2,FALSE),"XXX")</f>
        <v/>
      </c>
      <c r="G75" s="528">
        <f>IFERROR(VLOOKUP($I75,Listy!$A:$H,3,FALSE),"XXX")</f>
        <v/>
      </c>
      <c r="H75" s="20" t="n">
        <v>67</v>
      </c>
      <c r="I75" s="89" t="inlineStr">
        <is>
          <t>.a68</t>
        </is>
      </c>
      <c r="J75" s="91" t="inlineStr">
        <is>
          <t>.m01</t>
        </is>
      </c>
      <c r="K75" s="681">
        <f>VLOOKUP(J75,Listy!A:B,2,FALSE)</f>
        <v/>
      </c>
      <c r="L75" s="91" t="inlineStr">
        <is>
          <t>.m79</t>
        </is>
      </c>
      <c r="M75" s="681">
        <f>VLOOKUP(L75,Listy!A:B,2,FALSE)</f>
        <v/>
      </c>
      <c r="N75" s="528" t="n">
        <v>3</v>
      </c>
      <c r="O75" s="528">
        <f>N75*40</f>
        <v/>
      </c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7" t="n"/>
      <c r="Y75" s="292" t="n"/>
      <c r="Z75" s="292" t="n"/>
      <c r="AA75" s="292" t="n"/>
      <c r="AB75" s="292" t="n"/>
      <c r="AC75" s="292" t="n"/>
      <c r="AD75" s="292" t="n"/>
      <c r="AE75" s="292" t="n"/>
      <c r="AF75" s="292" t="n"/>
      <c r="AG75" s="305" t="n"/>
      <c r="AH75" s="305" t="n"/>
      <c r="AI75" s="305" t="n"/>
      <c r="AJ75" s="305" t="n"/>
      <c r="AK75" s="305" t="n"/>
      <c r="AL75" s="192">
        <f>ROUND($O75*P75,0)</f>
        <v/>
      </c>
      <c r="AM75" s="192">
        <f>ROUND($O75*Q75,0)</f>
        <v/>
      </c>
      <c r="AN75" s="192">
        <f>ROUND($O75*R75,0)</f>
        <v/>
      </c>
      <c r="AO75" s="192">
        <f>ROUND($O75*S75,0)</f>
        <v/>
      </c>
      <c r="AP75" s="192">
        <f>ROUND($O75*T75,0)</f>
        <v/>
      </c>
      <c r="AQ75" s="192">
        <f>ROUND($O75*U75,0)</f>
        <v/>
      </c>
      <c r="AR75" s="192">
        <f>ROUND($O75*V75,0)</f>
        <v/>
      </c>
      <c r="AS75" s="192">
        <f>ROUND($O75*W75,0)</f>
        <v/>
      </c>
      <c r="AT75" s="192">
        <f>ROUND($O75*X75,0)</f>
        <v/>
      </c>
      <c r="AU75" s="193">
        <f>ROUND($O75*Y75,0)</f>
        <v/>
      </c>
      <c r="AV75" s="193">
        <f>ROUND($O75*Z75,0)</f>
        <v/>
      </c>
      <c r="AW75" s="193">
        <f>ROUND($O75*AA75,0)</f>
        <v/>
      </c>
      <c r="AX75" s="193">
        <f>ROUND($O75*AB75,0)</f>
        <v/>
      </c>
      <c r="AY75" s="193">
        <f>ROUND($O75*AC75,0)</f>
        <v/>
      </c>
      <c r="AZ75" s="193">
        <f>ROUND($O75*AD75,0)</f>
        <v/>
      </c>
      <c r="BA75" s="193">
        <f>ROUND($O75*AE75,0)</f>
        <v/>
      </c>
      <c r="BB75" s="193">
        <f>ROUND($O75*AF75,0)</f>
        <v/>
      </c>
      <c r="BC75" s="306">
        <f>ROUND($O75*AG75,0)</f>
        <v/>
      </c>
      <c r="BD75" s="306">
        <f>ROUND($O75*AH75,0)</f>
        <v/>
      </c>
      <c r="BE75" s="306">
        <f>ROUND($O75*AI75,0)</f>
        <v/>
      </c>
      <c r="BF75" s="306">
        <f>ROUND($O75*AJ75,0)</f>
        <v/>
      </c>
      <c r="BG75" s="306">
        <f>ROUND($O75*AK75,0)</f>
        <v/>
      </c>
      <c r="BH75" s="236">
        <f>SUM(AL75:AT75)</f>
        <v/>
      </c>
      <c r="BI75" s="528">
        <f>BH75/160</f>
        <v/>
      </c>
      <c r="BJ75" s="87">
        <f>VLOOKUP(I75,Listy!$A$1:$H$9,6,FALSE)</f>
        <v/>
      </c>
      <c r="BK75" s="682">
        <f>BI75*BJ75</f>
        <v/>
      </c>
      <c r="BL75" s="683">
        <f>BI75*BK75</f>
        <v/>
      </c>
      <c r="BM75" s="528" t="n"/>
      <c r="BN75" s="528" t="n"/>
      <c r="BO75" s="528" t="n"/>
      <c r="BP75" s="528" t="n"/>
      <c r="BQ75" s="528" t="n"/>
      <c r="BR75" s="528" t="n"/>
      <c r="BS75" s="21">
        <f>BQ75*BR75</f>
        <v/>
      </c>
      <c r="BT75" s="528" t="n"/>
      <c r="BU75" s="528" t="n"/>
      <c r="BV75" s="528" t="n"/>
      <c r="BW75" s="528" t="n"/>
      <c r="BX75" s="528" t="n"/>
      <c r="BY75" s="528" t="n"/>
      <c r="BZ75" s="528" t="n"/>
      <c r="CA75" s="528" t="n"/>
      <c r="CB75" s="528" t="n"/>
      <c r="CC75" s="528" t="n"/>
      <c r="CD75" s="528" t="n"/>
      <c r="CE75" s="528" t="n"/>
      <c r="CF75" s="528" t="n"/>
      <c r="CG75" s="21">
        <f>CE75*CF75</f>
        <v/>
      </c>
      <c r="CH75" s="528" t="n"/>
      <c r="CI75" s="528" t="n"/>
      <c r="CJ75" s="528" t="n"/>
      <c r="CK75" s="21">
        <f>CI75*CJ75</f>
        <v/>
      </c>
      <c r="CL75" s="528" t="n"/>
      <c r="CM75" s="528" t="n"/>
      <c r="CN75" s="528" t="n"/>
      <c r="CO75" s="21">
        <f>CM75*CN75</f>
        <v/>
      </c>
    </row>
    <row r="76">
      <c r="A76" s="112" t="n">
        <v>1</v>
      </c>
      <c r="B76" s="64" t="inlineStr">
        <is>
          <t>f</t>
        </is>
      </c>
      <c r="C76" s="105" t="n">
        <v>1</v>
      </c>
      <c r="D76" s="116">
        <f>CONCATENATE(A$3,"_",A76,"_",B76,"_",C76)</f>
        <v/>
      </c>
      <c r="E76" s="122" t="inlineStr">
        <is>
          <t>Stworzenie mapy zidentyfikowanych algorytmów/etapów PT</t>
        </is>
      </c>
      <c r="F76" s="528">
        <f>IFERROR(VLOOKUP($I76,Listy!$A:$H,2,FALSE),"XXX")</f>
        <v/>
      </c>
      <c r="G76" s="528">
        <f>IFERROR(VLOOKUP($I76,Listy!$A:$H,3,FALSE),"XXX")</f>
        <v/>
      </c>
      <c r="H76" s="20" t="n">
        <v>68</v>
      </c>
      <c r="I76" s="89" t="inlineStr">
        <is>
          <t>.a69</t>
        </is>
      </c>
      <c r="J76" s="91" t="inlineStr">
        <is>
          <t>.m01</t>
        </is>
      </c>
      <c r="K76" s="681">
        <f>VLOOKUP(J76,Listy!A:B,2,FALSE)</f>
        <v/>
      </c>
      <c r="L76" s="91" t="inlineStr">
        <is>
          <t>.m80</t>
        </is>
      </c>
      <c r="M76" s="681">
        <f>VLOOKUP(L76,Listy!A:B,2,FALSE)</f>
        <v/>
      </c>
      <c r="N76" s="528" t="n">
        <v>3</v>
      </c>
      <c r="O76" s="528">
        <f>N76*40</f>
        <v/>
      </c>
      <c r="P76" s="187" t="n"/>
      <c r="Q76" s="187" t="n"/>
      <c r="R76" s="187" t="n"/>
      <c r="S76" s="187" t="n"/>
      <c r="T76" s="187" t="n"/>
      <c r="U76" s="187" t="n"/>
      <c r="V76" s="187" t="n"/>
      <c r="W76" s="187" t="n"/>
      <c r="X76" s="187" t="n"/>
      <c r="Y76" s="292" t="n"/>
      <c r="Z76" s="292" t="n"/>
      <c r="AA76" s="292" t="n"/>
      <c r="AB76" s="292" t="n"/>
      <c r="AC76" s="292" t="n"/>
      <c r="AD76" s="292" t="n"/>
      <c r="AE76" s="292" t="n"/>
      <c r="AF76" s="292" t="n"/>
      <c r="AG76" s="305" t="n"/>
      <c r="AH76" s="305" t="n"/>
      <c r="AI76" s="305" t="n"/>
      <c r="AJ76" s="305" t="n"/>
      <c r="AK76" s="305" t="n"/>
      <c r="AL76" s="192">
        <f>ROUND($O76*P76,0)</f>
        <v/>
      </c>
      <c r="AM76" s="192">
        <f>ROUND($O76*Q76,0)</f>
        <v/>
      </c>
      <c r="AN76" s="192">
        <f>ROUND($O76*R76,0)</f>
        <v/>
      </c>
      <c r="AO76" s="192">
        <f>ROUND($O76*S76,0)</f>
        <v/>
      </c>
      <c r="AP76" s="192">
        <f>ROUND($O76*T76,0)</f>
        <v/>
      </c>
      <c r="AQ76" s="192">
        <f>ROUND($O76*U76,0)</f>
        <v/>
      </c>
      <c r="AR76" s="192">
        <f>ROUND($O76*V76,0)</f>
        <v/>
      </c>
      <c r="AS76" s="192">
        <f>ROUND($O76*W76,0)</f>
        <v/>
      </c>
      <c r="AT76" s="192">
        <f>ROUND($O76*X76,0)</f>
        <v/>
      </c>
      <c r="AU76" s="193">
        <f>ROUND($O76*Y76,0)</f>
        <v/>
      </c>
      <c r="AV76" s="193">
        <f>ROUND($O76*Z76,0)</f>
        <v/>
      </c>
      <c r="AW76" s="193">
        <f>ROUND($O76*AA76,0)</f>
        <v/>
      </c>
      <c r="AX76" s="193">
        <f>ROUND($O76*AB76,0)</f>
        <v/>
      </c>
      <c r="AY76" s="193">
        <f>ROUND($O76*AC76,0)</f>
        <v/>
      </c>
      <c r="AZ76" s="193">
        <f>ROUND($O76*AD76,0)</f>
        <v/>
      </c>
      <c r="BA76" s="193">
        <f>ROUND($O76*AE76,0)</f>
        <v/>
      </c>
      <c r="BB76" s="193">
        <f>ROUND($O76*AF76,0)</f>
        <v/>
      </c>
      <c r="BC76" s="306">
        <f>ROUND($O76*AG76,0)</f>
        <v/>
      </c>
      <c r="BD76" s="306">
        <f>ROUND($O76*AH76,0)</f>
        <v/>
      </c>
      <c r="BE76" s="306">
        <f>ROUND($O76*AI76,0)</f>
        <v/>
      </c>
      <c r="BF76" s="306">
        <f>ROUND($O76*AJ76,0)</f>
        <v/>
      </c>
      <c r="BG76" s="306">
        <f>ROUND($O76*AK76,0)</f>
        <v/>
      </c>
      <c r="BH76" s="236">
        <f>SUM(AL76:AT76)</f>
        <v/>
      </c>
      <c r="BI76" s="528">
        <f>BH76/160</f>
        <v/>
      </c>
      <c r="BJ76" s="87">
        <f>VLOOKUP(I76,Listy!$A$1:$H$9,6,FALSE)</f>
        <v/>
      </c>
      <c r="BK76" s="682">
        <f>BI76*BJ76</f>
        <v/>
      </c>
      <c r="BL76" s="683">
        <f>BI76*BK76</f>
        <v/>
      </c>
      <c r="BM76" s="528" t="n"/>
      <c r="BN76" s="528" t="n"/>
      <c r="BO76" s="528" t="n"/>
      <c r="BP76" s="528" t="n"/>
      <c r="BQ76" s="528" t="n"/>
      <c r="BR76" s="528" t="n"/>
      <c r="BS76" s="22">
        <f>BQ76*BR76</f>
        <v/>
      </c>
      <c r="BT76" s="528" t="n"/>
      <c r="BU76" s="528" t="n"/>
      <c r="BV76" s="314" t="n"/>
      <c r="BW76" s="528" t="n"/>
      <c r="BX76" s="528" t="n"/>
      <c r="BY76" s="314" t="n"/>
      <c r="BZ76" s="528" t="n"/>
      <c r="CA76" s="528" t="n"/>
      <c r="CB76" s="314" t="n"/>
      <c r="CC76" s="314" t="n"/>
      <c r="CD76" s="528" t="n"/>
      <c r="CE76" s="528" t="n"/>
      <c r="CF76" s="528" t="n"/>
      <c r="CG76" s="22">
        <f>CE76*CF76</f>
        <v/>
      </c>
      <c r="CH76" s="528" t="n"/>
      <c r="CI76" s="528" t="n"/>
      <c r="CJ76" s="528" t="n"/>
      <c r="CK76" s="22">
        <f>CI76*CJ76</f>
        <v/>
      </c>
      <c r="CL76" s="528" t="n"/>
      <c r="CM76" s="528" t="n"/>
      <c r="CN76" s="528" t="n"/>
      <c r="CO76" s="22">
        <f>CM76*CN76</f>
        <v/>
      </c>
    </row>
    <row r="77">
      <c r="A77" s="112" t="n">
        <v>1</v>
      </c>
      <c r="B77" s="64" t="inlineStr">
        <is>
          <t>e</t>
        </is>
      </c>
      <c r="C77" s="105" t="n">
        <v>1</v>
      </c>
      <c r="D77" s="116">
        <f>CONCATENATE(A$3,"_",A77,"_",B77,"_",C77)</f>
        <v/>
      </c>
      <c r="E77" s="122" t="inlineStr">
        <is>
          <t>Analiza wpływu zakłóceń dostępności infrastruktury technicznej</t>
        </is>
      </c>
      <c r="F77" s="528">
        <f>IFERROR(VLOOKUP($I77,Listy!$A:$H,2,FALSE),"XXX")</f>
        <v/>
      </c>
      <c r="G77" s="528">
        <f>IFERROR(VLOOKUP($I77,Listy!$A:$H,3,FALSE),"XXX")</f>
        <v/>
      </c>
      <c r="H77" s="20" t="n">
        <v>69</v>
      </c>
      <c r="I77" s="89" t="inlineStr">
        <is>
          <t>.a70</t>
        </is>
      </c>
      <c r="J77" s="91" t="inlineStr">
        <is>
          <t>.m01</t>
        </is>
      </c>
      <c r="K77" s="681">
        <f>VLOOKUP(J77,Listy!A:B,2,FALSE)</f>
        <v/>
      </c>
      <c r="L77" s="91" t="inlineStr">
        <is>
          <t>.m81</t>
        </is>
      </c>
      <c r="M77" s="681">
        <f>VLOOKUP(L77,Listy!A:B,2,FALSE)</f>
        <v/>
      </c>
      <c r="N77" s="528" t="n">
        <v>3</v>
      </c>
      <c r="O77" s="528">
        <f>N77*40</f>
        <v/>
      </c>
      <c r="P77" s="187" t="n"/>
      <c r="Q77" s="187" t="n"/>
      <c r="R77" s="187" t="n"/>
      <c r="S77" s="187" t="n"/>
      <c r="T77" s="187" t="n"/>
      <c r="U77" s="187" t="n"/>
      <c r="V77" s="187" t="n"/>
      <c r="W77" s="187" t="n"/>
      <c r="X77" s="187" t="n"/>
      <c r="Y77" s="292" t="n"/>
      <c r="Z77" s="292" t="n"/>
      <c r="AA77" s="292" t="n"/>
      <c r="AB77" s="292" t="n"/>
      <c r="AC77" s="292" t="n"/>
      <c r="AD77" s="292" t="n"/>
      <c r="AE77" s="292" t="n"/>
      <c r="AF77" s="292" t="n"/>
      <c r="AG77" s="305" t="n"/>
      <c r="AH77" s="305" t="n"/>
      <c r="AI77" s="305" t="n"/>
      <c r="AJ77" s="305" t="n"/>
      <c r="AK77" s="305" t="n"/>
      <c r="AL77" s="192">
        <f>ROUND($O77*P77,0)</f>
        <v/>
      </c>
      <c r="AM77" s="192">
        <f>ROUND($O77*Q77,0)</f>
        <v/>
      </c>
      <c r="AN77" s="192">
        <f>ROUND($O77*R77,0)</f>
        <v/>
      </c>
      <c r="AO77" s="192">
        <f>ROUND($O77*S77,0)</f>
        <v/>
      </c>
      <c r="AP77" s="192">
        <f>ROUND($O77*T77,0)</f>
        <v/>
      </c>
      <c r="AQ77" s="192">
        <f>ROUND($O77*U77,0)</f>
        <v/>
      </c>
      <c r="AR77" s="192">
        <f>ROUND($O77*V77,0)</f>
        <v/>
      </c>
      <c r="AS77" s="192">
        <f>ROUND($O77*W77,0)</f>
        <v/>
      </c>
      <c r="AT77" s="192">
        <f>ROUND($O77*X77,0)</f>
        <v/>
      </c>
      <c r="AU77" s="193">
        <f>ROUND($O77*Y77,0)</f>
        <v/>
      </c>
      <c r="AV77" s="193">
        <f>ROUND($O77*Z77,0)</f>
        <v/>
      </c>
      <c r="AW77" s="193">
        <f>ROUND($O77*AA77,0)</f>
        <v/>
      </c>
      <c r="AX77" s="193">
        <f>ROUND($O77*AB77,0)</f>
        <v/>
      </c>
      <c r="AY77" s="193">
        <f>ROUND($O77*AC77,0)</f>
        <v/>
      </c>
      <c r="AZ77" s="193">
        <f>ROUND($O77*AD77,0)</f>
        <v/>
      </c>
      <c r="BA77" s="193">
        <f>ROUND($O77*AE77,0)</f>
        <v/>
      </c>
      <c r="BB77" s="193">
        <f>ROUND($O77*AF77,0)</f>
        <v/>
      </c>
      <c r="BC77" s="306">
        <f>ROUND($O77*AG77,0)</f>
        <v/>
      </c>
      <c r="BD77" s="306">
        <f>ROUND($O77*AH77,0)</f>
        <v/>
      </c>
      <c r="BE77" s="306">
        <f>ROUND($O77*AI77,0)</f>
        <v/>
      </c>
      <c r="BF77" s="306">
        <f>ROUND($O77*AJ77,0)</f>
        <v/>
      </c>
      <c r="BG77" s="306">
        <f>ROUND($O77*AK77,0)</f>
        <v/>
      </c>
      <c r="BH77" s="236">
        <f>SUM(AL77:AT77)</f>
        <v/>
      </c>
      <c r="BI77" s="528">
        <f>BH77/160</f>
        <v/>
      </c>
      <c r="BJ77" s="87">
        <f>VLOOKUP(I77,Listy!$A$1:$H$9,6,FALSE)</f>
        <v/>
      </c>
      <c r="BK77" s="682">
        <f>BI77*BJ77</f>
        <v/>
      </c>
      <c r="BL77" s="683">
        <f>BI77*BK77</f>
        <v/>
      </c>
      <c r="BM77" s="528" t="n"/>
      <c r="BN77" s="528" t="n"/>
      <c r="BO77" s="528" t="n"/>
      <c r="BP77" s="528" t="n"/>
      <c r="BQ77" s="528" t="n"/>
      <c r="BR77" s="528" t="n"/>
      <c r="BS77" s="21">
        <f>BQ77*BR77</f>
        <v/>
      </c>
      <c r="BT77" s="528" t="n"/>
      <c r="BU77" s="528" t="n"/>
      <c r="BV77" s="528" t="n"/>
      <c r="BW77" s="528" t="n"/>
      <c r="BX77" s="528" t="n"/>
      <c r="BY77" s="528" t="n"/>
      <c r="BZ77" s="528" t="n"/>
      <c r="CA77" s="528" t="n"/>
      <c r="CB77" s="528" t="n"/>
      <c r="CC77" s="528" t="n"/>
      <c r="CD77" s="528" t="n"/>
      <c r="CE77" s="528" t="n"/>
      <c r="CF77" s="528" t="n"/>
      <c r="CG77" s="21">
        <f>CE77*CF77</f>
        <v/>
      </c>
      <c r="CH77" s="528" t="n"/>
      <c r="CI77" s="528" t="n"/>
      <c r="CJ77" s="528" t="n"/>
      <c r="CK77" s="21">
        <f>CI77*CJ77</f>
        <v/>
      </c>
      <c r="CL77" s="528" t="n"/>
      <c r="CM77" s="528" t="n"/>
      <c r="CN77" s="528" t="n"/>
      <c r="CO77" s="21">
        <f>CM77*CN77</f>
        <v/>
      </c>
    </row>
  </sheetData>
  <mergeCells count="3">
    <mergeCell ref="CH1:CK1"/>
    <mergeCell ref="CL1:CO1"/>
    <mergeCell ref="CP1:CP2"/>
  </mergeCells>
  <conditionalFormatting sqref="P4:AF1048576 AL4:BJ4 AL5:BG77 AL78:BB1048576">
    <cfRule type="cellIs" priority="10" operator="greaterThan" dxfId="0">
      <formula>0</formula>
    </cfRule>
  </conditionalFormatting>
  <conditionalFormatting sqref="AG6:AK77">
    <cfRule type="cellIs" priority="9" operator="greaterThan" dxfId="0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659"/>
  <sheetViews>
    <sheetView workbookViewId="0">
      <pane ySplit="1" topLeftCell="A128" activePane="bottomLeft" state="frozen"/>
      <selection pane="bottomLeft" activeCell="A145" sqref="A145:XFD145"/>
    </sheetView>
  </sheetViews>
  <sheetFormatPr baseColWidth="8" defaultRowHeight="14.4"/>
  <cols>
    <col width="10.33203125" bestFit="1" customWidth="1" style="191" min="1" max="1"/>
    <col width="2.88671875" customWidth="1" style="191" min="4" max="4"/>
    <col width="11.33203125" customWidth="1" style="191" min="5" max="6"/>
    <col width="11.33203125" customWidth="1" style="141" min="7" max="7"/>
    <col width="10" bestFit="1" customWidth="1" style="201" min="11" max="11"/>
    <col width="3.21875" customWidth="1" style="191" min="12" max="12"/>
    <col width="15.5546875" bestFit="1" customWidth="1" style="191" min="13" max="13"/>
    <col width="13.33203125" bestFit="1" customWidth="1" style="191" min="14" max="14"/>
    <col width="10.33203125" bestFit="1" customWidth="1" style="191" min="28" max="28"/>
    <col width="10.33203125" customWidth="1" style="191" min="29" max="29"/>
    <col width="11.109375" bestFit="1" customWidth="1" style="191" min="31" max="31"/>
  </cols>
  <sheetData>
    <row r="1" customFormat="1" s="201">
      <c r="A1" s="201" t="inlineStr">
        <is>
          <t>SymbolTyg</t>
        </is>
      </c>
      <c r="B1" s="201" t="inlineStr">
        <is>
          <t>NrTyg</t>
        </is>
      </c>
      <c r="C1" s="201" t="inlineStr">
        <is>
          <t>RokTyg</t>
        </is>
      </c>
      <c r="E1" s="201" t="inlineStr">
        <is>
          <t>Początek_TT</t>
        </is>
      </c>
      <c r="F1" s="201" t="inlineStr">
        <is>
          <t>Koniec_TT</t>
        </is>
      </c>
      <c r="G1" s="463" t="inlineStr">
        <is>
          <t>RRRR.MM</t>
        </is>
      </c>
      <c r="H1" s="201" t="inlineStr">
        <is>
          <t>ROK</t>
        </is>
      </c>
      <c r="I1" s="201" t="inlineStr">
        <is>
          <t>MM+?</t>
        </is>
      </c>
      <c r="J1" s="201" t="inlineStr">
        <is>
          <t>MM+1</t>
        </is>
      </c>
      <c r="K1" s="201" t="inlineStr">
        <is>
          <t>RRRR_MM</t>
        </is>
      </c>
      <c r="M1" s="464" t="inlineStr">
        <is>
          <t>Start programu</t>
        </is>
      </c>
      <c r="N1" s="461" t="n">
        <v>46388</v>
      </c>
    </row>
    <row r="2">
      <c r="A2" s="550" t="inlineStr">
        <is>
          <t>.t001</t>
        </is>
      </c>
      <c r="B2" t="n">
        <v>1</v>
      </c>
      <c r="C2">
        <f>H2</f>
        <v/>
      </c>
      <c r="E2" s="456">
        <f>N1</f>
        <v/>
      </c>
      <c r="F2" s="456">
        <f>E2+5</f>
        <v/>
      </c>
      <c r="G2" s="141">
        <f>_xlfn.CONCAT(YEAR(E2),".",TEXT(MONTH(E2),"0#"))</f>
        <v/>
      </c>
      <c r="H2">
        <f>YEAR(E2)</f>
        <v/>
      </c>
      <c r="I2">
        <f>IF(VLOOKUP(G2,AC:AD,2,FALSE)&lt;4,1,0)</f>
        <v/>
      </c>
      <c r="J2">
        <f>IF(AND(DAY(F2)&lt; DAY(E2),I2=1),MONTH(E2)+1,MONTH(E2))</f>
        <v/>
      </c>
      <c r="K2" s="201">
        <f>_xlfn.CONCAT(H2,".",TEXT(J2,"0#"))</f>
        <v/>
      </c>
      <c r="L2" s="462" t="n"/>
      <c r="Z2" s="463" t="n">
        <v>1</v>
      </c>
      <c r="AA2" s="444" t="n">
        <v>1</v>
      </c>
      <c r="AB2" s="457" t="n">
        <v>46053</v>
      </c>
      <c r="AC2" s="141">
        <f>_xlfn.CONCAT(YEAR(AB2),".",TEXT(MONTH(AB2),"0#"))</f>
        <v/>
      </c>
      <c r="AD2">
        <f>WEEKDAY(AB2)</f>
        <v/>
      </c>
      <c r="AE2" s="459">
        <f>VLOOKUP(AD2,AG$2:AH$8,2,FALSE)</f>
        <v/>
      </c>
      <c r="AG2" s="460" t="n">
        <v>1</v>
      </c>
      <c r="AH2" s="444" t="inlineStr">
        <is>
          <t>niedziela</t>
        </is>
      </c>
    </row>
    <row r="3">
      <c r="A3" s="550" t="inlineStr">
        <is>
          <t>.t002</t>
        </is>
      </c>
      <c r="B3" t="n">
        <v>2</v>
      </c>
      <c r="C3">
        <f>H3</f>
        <v/>
      </c>
      <c r="E3" s="456">
        <f>F2+2</f>
        <v/>
      </c>
      <c r="F3" s="456">
        <f>E3+5</f>
        <v/>
      </c>
      <c r="G3" s="141">
        <f>_xlfn.CONCAT(YEAR(E3),".",TEXT(MONTH(E3),"0#"))</f>
        <v/>
      </c>
      <c r="H3">
        <f>YEAR(E3)</f>
        <v/>
      </c>
      <c r="I3">
        <f>IF(VLOOKUP(G3,AC:AD,2,FALSE)&lt;4,1,0)</f>
        <v/>
      </c>
      <c r="J3">
        <f>IF(AND(DAY(F3)&lt; DAY(E3),I3=1),MONTH(E3)+1,MONTH(E3))</f>
        <v/>
      </c>
      <c r="K3" s="201">
        <f>_xlfn.CONCAT(H3,".",TEXT(J3,"0#"))</f>
        <v/>
      </c>
      <c r="L3" s="462" t="n"/>
      <c r="Z3" s="463" t="n">
        <v>2</v>
      </c>
      <c r="AA3" s="444" t="n">
        <v>2</v>
      </c>
      <c r="AB3" s="457" t="n">
        <v>46081</v>
      </c>
      <c r="AC3" s="141">
        <f>_xlfn.CONCAT(YEAR(AB3),".",TEXT(MONTH(AB3),"0#"))</f>
        <v/>
      </c>
      <c r="AD3">
        <f>WEEKDAY(AB3)</f>
        <v/>
      </c>
      <c r="AE3" s="459">
        <f>VLOOKUP(AD3,AG$2:AH$8,2,FALSE)</f>
        <v/>
      </c>
      <c r="AG3" s="444" t="n">
        <v>2</v>
      </c>
      <c r="AH3" s="444" t="inlineStr">
        <is>
          <t>poniedziałek</t>
        </is>
      </c>
    </row>
    <row r="4">
      <c r="A4" s="550" t="inlineStr">
        <is>
          <t>.t003</t>
        </is>
      </c>
      <c r="B4" t="n">
        <v>3</v>
      </c>
      <c r="C4">
        <f>H4</f>
        <v/>
      </c>
      <c r="E4" s="456">
        <f>F3+2</f>
        <v/>
      </c>
      <c r="F4" s="456">
        <f>E4+5</f>
        <v/>
      </c>
      <c r="G4" s="141">
        <f>_xlfn.CONCAT(YEAR(E4),".",TEXT(MONTH(E4),"0#"))</f>
        <v/>
      </c>
      <c r="H4">
        <f>YEAR(E4)</f>
        <v/>
      </c>
      <c r="I4">
        <f>IF(VLOOKUP(G4,AC:AD,2,FALSE)&lt;4,1,0)</f>
        <v/>
      </c>
      <c r="J4">
        <f>IF(AND(DAY(F4)&lt; DAY(E4),I4=1),MONTH(E4)+1,MONTH(E4))</f>
        <v/>
      </c>
      <c r="K4" s="201">
        <f>_xlfn.CONCAT(H4,".",TEXT(J4,"0#"))</f>
        <v/>
      </c>
      <c r="L4" s="462" t="n"/>
      <c r="Z4" s="463" t="n">
        <v>3</v>
      </c>
      <c r="AA4" s="444" t="n">
        <v>3</v>
      </c>
      <c r="AB4" s="457" t="n">
        <v>46112</v>
      </c>
      <c r="AC4" s="141">
        <f>_xlfn.CONCAT(YEAR(AB4),".",TEXT(MONTH(AB4),"0#"))</f>
        <v/>
      </c>
      <c r="AD4">
        <f>WEEKDAY(AB4)</f>
        <v/>
      </c>
      <c r="AE4">
        <f>VLOOKUP(AD4,AG$2:AH$8,2,FALSE)</f>
        <v/>
      </c>
      <c r="AG4" s="444" t="n">
        <v>3</v>
      </c>
      <c r="AH4" s="444" t="inlineStr">
        <is>
          <t>wtorek</t>
        </is>
      </c>
    </row>
    <row r="5">
      <c r="A5" s="550" t="inlineStr">
        <is>
          <t>.t004</t>
        </is>
      </c>
      <c r="B5" t="n">
        <v>4</v>
      </c>
      <c r="C5">
        <f>H5</f>
        <v/>
      </c>
      <c r="E5" s="456">
        <f>F4+2</f>
        <v/>
      </c>
      <c r="F5" s="456">
        <f>E5+5</f>
        <v/>
      </c>
      <c r="G5" s="141">
        <f>_xlfn.CONCAT(YEAR(E5),".",TEXT(MONTH(E5),"0#"))</f>
        <v/>
      </c>
      <c r="H5">
        <f>YEAR(E5)</f>
        <v/>
      </c>
      <c r="I5">
        <f>IF(VLOOKUP(G5,AC:AD,2,FALSE)&lt;4,1,0)</f>
        <v/>
      </c>
      <c r="J5">
        <f>IF(AND(DAY(F5)&lt; DAY(E5),I5=1),MONTH(E5)+1,MONTH(E5))</f>
        <v/>
      </c>
      <c r="K5" s="201">
        <f>_xlfn.CONCAT(H5,".",TEXT(J5,"0#"))</f>
        <v/>
      </c>
      <c r="L5" s="462" t="n"/>
      <c r="Z5" s="463" t="n">
        <v>4</v>
      </c>
      <c r="AA5" s="444" t="n">
        <v>4</v>
      </c>
      <c r="AB5" s="457" t="n">
        <v>46142</v>
      </c>
      <c r="AC5" s="141">
        <f>_xlfn.CONCAT(YEAR(AB5),".",TEXT(MONTH(AB5),"0#"))</f>
        <v/>
      </c>
      <c r="AD5">
        <f>WEEKDAY(AB5)</f>
        <v/>
      </c>
      <c r="AE5">
        <f>VLOOKUP(AD5,AG$2:AH$8,2,FALSE)</f>
        <v/>
      </c>
      <c r="AG5" s="444" t="n">
        <v>4</v>
      </c>
      <c r="AH5" s="444" t="inlineStr">
        <is>
          <t>środa</t>
        </is>
      </c>
    </row>
    <row r="6">
      <c r="A6" s="550" t="inlineStr">
        <is>
          <t>.t005</t>
        </is>
      </c>
      <c r="B6" t="n">
        <v>5</v>
      </c>
      <c r="C6">
        <f>H6</f>
        <v/>
      </c>
      <c r="E6" s="456">
        <f>F5+2</f>
        <v/>
      </c>
      <c r="F6" s="456">
        <f>E6+5</f>
        <v/>
      </c>
      <c r="G6" s="141">
        <f>_xlfn.CONCAT(YEAR(E6),".",TEXT(MONTH(E6),"0#"))</f>
        <v/>
      </c>
      <c r="H6">
        <f>YEAR(E6)</f>
        <v/>
      </c>
      <c r="I6">
        <f>IF(VLOOKUP(G6,AC:AD,2,FALSE)&lt;4,1,0)</f>
        <v/>
      </c>
      <c r="J6">
        <f>IF(AND(DAY(F6)&lt; DAY(E6),I6=1),MONTH(E6)+1,MONTH(E6))</f>
        <v/>
      </c>
      <c r="K6" s="201">
        <f>_xlfn.CONCAT(H6,".",TEXT(J6,"0#"))</f>
        <v/>
      </c>
      <c r="L6" s="462" t="n"/>
      <c r="Z6" s="463" t="n">
        <v>5</v>
      </c>
      <c r="AA6" s="444" t="n">
        <v>5</v>
      </c>
      <c r="AB6" s="457" t="n">
        <v>46173</v>
      </c>
      <c r="AC6" s="141">
        <f>_xlfn.CONCAT(YEAR(AB6),".",TEXT(MONTH(AB6),"0#"))</f>
        <v/>
      </c>
      <c r="AD6">
        <f>WEEKDAY(AB6)</f>
        <v/>
      </c>
      <c r="AE6" s="459">
        <f>VLOOKUP(AD6,AG$2:AH$8,2,FALSE)</f>
        <v/>
      </c>
      <c r="AG6" s="444" t="n">
        <v>5</v>
      </c>
      <c r="AH6" s="444" t="inlineStr">
        <is>
          <t>czwartek</t>
        </is>
      </c>
    </row>
    <row r="7">
      <c r="A7" s="550" t="inlineStr">
        <is>
          <t>.t006</t>
        </is>
      </c>
      <c r="B7" t="n">
        <v>6</v>
      </c>
      <c r="C7">
        <f>H7</f>
        <v/>
      </c>
      <c r="E7" s="456">
        <f>F6+2</f>
        <v/>
      </c>
      <c r="F7" s="456">
        <f>E7+5</f>
        <v/>
      </c>
      <c r="G7" s="141">
        <f>_xlfn.CONCAT(YEAR(E7),".",TEXT(MONTH(E7),"0#"))</f>
        <v/>
      </c>
      <c r="H7">
        <f>YEAR(E7)</f>
        <v/>
      </c>
      <c r="I7">
        <f>IF(VLOOKUP(G7,AC:AD,2,FALSE)&lt;4,1,0)</f>
        <v/>
      </c>
      <c r="J7">
        <f>IF(AND(DAY(F7)&lt; DAY(E7),I7=1),MONTH(E7)+1,MONTH(E7))</f>
        <v/>
      </c>
      <c r="K7" s="201">
        <f>_xlfn.CONCAT(H7,".",TEXT(J7,"0#"))</f>
        <v/>
      </c>
      <c r="L7" s="462" t="n"/>
      <c r="Z7" s="463" t="n">
        <v>6</v>
      </c>
      <c r="AA7" s="444" t="n">
        <v>6</v>
      </c>
      <c r="AB7" s="457" t="n">
        <v>46203</v>
      </c>
      <c r="AC7" s="141">
        <f>_xlfn.CONCAT(YEAR(AB7),".",TEXT(MONTH(AB7),"0#"))</f>
        <v/>
      </c>
      <c r="AD7">
        <f>WEEKDAY(AB7)</f>
        <v/>
      </c>
      <c r="AE7">
        <f>VLOOKUP(AD7,AG$2:AH$8,2,FALSE)</f>
        <v/>
      </c>
      <c r="AG7" s="444" t="n">
        <v>6</v>
      </c>
      <c r="AH7" s="444" t="inlineStr">
        <is>
          <t>piątek</t>
        </is>
      </c>
    </row>
    <row r="8">
      <c r="A8" s="550" t="inlineStr">
        <is>
          <t>.t007</t>
        </is>
      </c>
      <c r="B8" t="n">
        <v>7</v>
      </c>
      <c r="C8">
        <f>H8</f>
        <v/>
      </c>
      <c r="E8" s="456">
        <f>F7+2</f>
        <v/>
      </c>
      <c r="F8" s="456">
        <f>E8+5</f>
        <v/>
      </c>
      <c r="G8" s="141">
        <f>_xlfn.CONCAT(YEAR(E8),".",TEXT(MONTH(E8),"0#"))</f>
        <v/>
      </c>
      <c r="H8">
        <f>YEAR(E8)</f>
        <v/>
      </c>
      <c r="I8">
        <f>IF(VLOOKUP(G8,AC:AD,2,FALSE)&lt;4,1,0)</f>
        <v/>
      </c>
      <c r="J8">
        <f>IF(AND(DAY(F8)&lt; DAY(E8),I8=1),MONTH(E8)+1,MONTH(E8))</f>
        <v/>
      </c>
      <c r="K8" s="201">
        <f>_xlfn.CONCAT(H8,".",TEXT(J8,"0#"))</f>
        <v/>
      </c>
      <c r="L8" s="462" t="n"/>
      <c r="Z8" s="463" t="n">
        <v>7</v>
      </c>
      <c r="AA8" s="444" t="n">
        <v>7</v>
      </c>
      <c r="AB8" s="457" t="n">
        <v>46234</v>
      </c>
      <c r="AC8" s="141">
        <f>_xlfn.CONCAT(YEAR(AB8),".",TEXT(MONTH(AB8),"0#"))</f>
        <v/>
      </c>
      <c r="AD8">
        <f>WEEKDAY(AB8)</f>
        <v/>
      </c>
      <c r="AE8">
        <f>VLOOKUP(AD8,AG$2:AH$8,2,FALSE)</f>
        <v/>
      </c>
      <c r="AG8" s="460" t="n">
        <v>7</v>
      </c>
      <c r="AH8" s="444" t="inlineStr">
        <is>
          <t>sobota</t>
        </is>
      </c>
    </row>
    <row r="9">
      <c r="A9" s="550" t="inlineStr">
        <is>
          <t>.t008</t>
        </is>
      </c>
      <c r="B9" t="n">
        <v>8</v>
      </c>
      <c r="C9">
        <f>H9</f>
        <v/>
      </c>
      <c r="E9" s="456">
        <f>F8+2</f>
        <v/>
      </c>
      <c r="F9" s="456">
        <f>E9+5</f>
        <v/>
      </c>
      <c r="G9" s="141">
        <f>_xlfn.CONCAT(YEAR(E9),".",TEXT(MONTH(E9),"0#"))</f>
        <v/>
      </c>
      <c r="H9">
        <f>YEAR(E9)</f>
        <v/>
      </c>
      <c r="I9">
        <f>IF(VLOOKUP(G9,AC:AD,2,FALSE)&lt;4,1,0)</f>
        <v/>
      </c>
      <c r="J9">
        <f>IF(AND(DAY(F9)&lt; DAY(E9),I9=1),MONTH(E9)+1,MONTH(E9))</f>
        <v/>
      </c>
      <c r="K9" s="201">
        <f>_xlfn.CONCAT(H9,".",TEXT(J9,"0#"))</f>
        <v/>
      </c>
      <c r="L9" s="462" t="n"/>
      <c r="Z9" s="463" t="n">
        <v>8</v>
      </c>
      <c r="AA9" s="444" t="n">
        <v>8</v>
      </c>
      <c r="AB9" s="457" t="n">
        <v>46265</v>
      </c>
      <c r="AC9" s="141">
        <f>_xlfn.CONCAT(YEAR(AB9),".",TEXT(MONTH(AB9),"0#"))</f>
        <v/>
      </c>
      <c r="AD9">
        <f>WEEKDAY(AB9)</f>
        <v/>
      </c>
      <c r="AE9">
        <f>VLOOKUP(AD9,AG$2:AH$8,2,FALSE)</f>
        <v/>
      </c>
    </row>
    <row r="10">
      <c r="A10" s="550" t="inlineStr">
        <is>
          <t>.t009</t>
        </is>
      </c>
      <c r="B10" t="n">
        <v>9</v>
      </c>
      <c r="C10">
        <f>H10</f>
        <v/>
      </c>
      <c r="E10" s="456">
        <f>F9+2</f>
        <v/>
      </c>
      <c r="F10" s="456">
        <f>E10+5</f>
        <v/>
      </c>
      <c r="G10" s="141">
        <f>_xlfn.CONCAT(YEAR(E10),".",TEXT(MONTH(E10),"0#"))</f>
        <v/>
      </c>
      <c r="H10">
        <f>YEAR(E10)</f>
        <v/>
      </c>
      <c r="I10">
        <f>IF(VLOOKUP(G10,AC:AD,2,FALSE)&lt;4,1,0)</f>
        <v/>
      </c>
      <c r="J10">
        <f>IF(AND(DAY(F10)&lt; DAY(E10),I10=1),MONTH(E10)+1,MONTH(E10))</f>
        <v/>
      </c>
      <c r="K10" s="201">
        <f>_xlfn.CONCAT(H10,".",TEXT(J10,"0#"))</f>
        <v/>
      </c>
      <c r="L10" s="462" t="n"/>
      <c r="Z10" s="463" t="n">
        <v>9</v>
      </c>
      <c r="AA10" s="444" t="n">
        <v>9</v>
      </c>
      <c r="AB10" s="457" t="n">
        <v>46295</v>
      </c>
      <c r="AC10" s="141">
        <f>_xlfn.CONCAT(YEAR(AB10),".",TEXT(MONTH(AB10),"0#"))</f>
        <v/>
      </c>
      <c r="AD10">
        <f>WEEKDAY(AB10)</f>
        <v/>
      </c>
      <c r="AE10">
        <f>VLOOKUP(AD10,AG$2:AH$8,2,FALSE)</f>
        <v/>
      </c>
    </row>
    <row r="11">
      <c r="A11" s="550" t="inlineStr">
        <is>
          <t>.t010</t>
        </is>
      </c>
      <c r="B11" t="n">
        <v>10</v>
      </c>
      <c r="C11">
        <f>H11</f>
        <v/>
      </c>
      <c r="E11" s="456">
        <f>F10+2</f>
        <v/>
      </c>
      <c r="F11" s="456">
        <f>E11+5</f>
        <v/>
      </c>
      <c r="G11" s="141">
        <f>_xlfn.CONCAT(YEAR(E11),".",TEXT(MONTH(E11),"0#"))</f>
        <v/>
      </c>
      <c r="H11">
        <f>YEAR(E11)</f>
        <v/>
      </c>
      <c r="I11">
        <f>IF(VLOOKUP(G11,AC:AD,2,FALSE)&lt;4,1,0)</f>
        <v/>
      </c>
      <c r="J11">
        <f>IF(AND(DAY(F11)&lt; DAY(E11),I11=1),MONTH(E11)+1,MONTH(E11))</f>
        <v/>
      </c>
      <c r="K11" s="201">
        <f>_xlfn.CONCAT(H11,".",TEXT(J11,"0#"))</f>
        <v/>
      </c>
      <c r="L11" s="462" t="n"/>
      <c r="Z11" s="463" t="n">
        <v>10</v>
      </c>
      <c r="AA11" s="444" t="n">
        <v>10</v>
      </c>
      <c r="AB11" s="457" t="n">
        <v>46326</v>
      </c>
      <c r="AC11" s="141">
        <f>_xlfn.CONCAT(YEAR(AB11),".",TEXT(MONTH(AB11),"0#"))</f>
        <v/>
      </c>
      <c r="AD11">
        <f>WEEKDAY(AB11)</f>
        <v/>
      </c>
      <c r="AE11" s="459">
        <f>VLOOKUP(AD11,AG$2:AH$8,2,FALSE)</f>
        <v/>
      </c>
    </row>
    <row r="12">
      <c r="A12" s="550" t="inlineStr">
        <is>
          <t>.t011</t>
        </is>
      </c>
      <c r="B12" t="n">
        <v>11</v>
      </c>
      <c r="C12">
        <f>H12</f>
        <v/>
      </c>
      <c r="E12" s="456">
        <f>F11+2</f>
        <v/>
      </c>
      <c r="F12" s="456">
        <f>E12+5</f>
        <v/>
      </c>
      <c r="G12" s="141">
        <f>_xlfn.CONCAT(YEAR(E12),".",TEXT(MONTH(E12),"0#"))</f>
        <v/>
      </c>
      <c r="H12">
        <f>YEAR(E12)</f>
        <v/>
      </c>
      <c r="I12">
        <f>IF(VLOOKUP(G12,AC:AD,2,FALSE)&lt;4,1,0)</f>
        <v/>
      </c>
      <c r="J12">
        <f>IF(AND(DAY(F12)&lt; DAY(E12),I12=1),MONTH(E12)+1,MONTH(E12))</f>
        <v/>
      </c>
      <c r="K12" s="201">
        <f>_xlfn.CONCAT(H12,".",TEXT(J12,"0#"))</f>
        <v/>
      </c>
      <c r="L12" s="462" t="n"/>
      <c r="Z12" s="463" t="n">
        <v>11</v>
      </c>
      <c r="AA12" s="444" t="n">
        <v>11</v>
      </c>
      <c r="AB12" s="457" t="n">
        <v>46356</v>
      </c>
      <c r="AC12" s="141">
        <f>_xlfn.CONCAT(YEAR(AB12),".",TEXT(MONTH(AB12),"0#"))</f>
        <v/>
      </c>
      <c r="AD12">
        <f>WEEKDAY(AB12)</f>
        <v/>
      </c>
      <c r="AE12">
        <f>VLOOKUP(AD12,AG$2:AH$8,2,FALSE)</f>
        <v/>
      </c>
    </row>
    <row r="13">
      <c r="A13" s="550" t="inlineStr">
        <is>
          <t>.t012</t>
        </is>
      </c>
      <c r="B13" t="n">
        <v>12</v>
      </c>
      <c r="C13">
        <f>H13</f>
        <v/>
      </c>
      <c r="E13" s="456">
        <f>F12+2</f>
        <v/>
      </c>
      <c r="F13" s="456">
        <f>E13+5</f>
        <v/>
      </c>
      <c r="G13" s="141">
        <f>_xlfn.CONCAT(YEAR(E13),".",TEXT(MONTH(E13),"0#"))</f>
        <v/>
      </c>
      <c r="H13">
        <f>YEAR(E13)</f>
        <v/>
      </c>
      <c r="I13">
        <f>IF(VLOOKUP(G13,AC:AD,2,FALSE)&lt;4,1,0)</f>
        <v/>
      </c>
      <c r="J13">
        <f>IF(AND(DAY(F13)&lt; DAY(E13),I13=1),MONTH(E13)+1,MONTH(E13))</f>
        <v/>
      </c>
      <c r="K13" s="201">
        <f>_xlfn.CONCAT(H13,".",TEXT(J13,"0#"))</f>
        <v/>
      </c>
      <c r="L13" s="462" t="n"/>
      <c r="Z13" s="463" t="n">
        <v>12</v>
      </c>
      <c r="AA13" s="444" t="n">
        <v>12</v>
      </c>
      <c r="AB13" s="457" t="n">
        <v>46387</v>
      </c>
      <c r="AC13" s="141">
        <f>_xlfn.CONCAT(YEAR(AB13),".",TEXT(MONTH(AB13),"0#"))</f>
        <v/>
      </c>
      <c r="AD13">
        <f>WEEKDAY(AB13)</f>
        <v/>
      </c>
      <c r="AE13">
        <f>VLOOKUP(AD13,AG$2:AH$8,2,FALSE)</f>
        <v/>
      </c>
    </row>
    <row r="14">
      <c r="A14" s="550" t="inlineStr">
        <is>
          <t>.t013</t>
        </is>
      </c>
      <c r="B14" t="n">
        <v>13</v>
      </c>
      <c r="C14">
        <f>H14</f>
        <v/>
      </c>
      <c r="E14" s="456">
        <f>F13+2</f>
        <v/>
      </c>
      <c r="F14" s="456">
        <f>E14+5</f>
        <v/>
      </c>
      <c r="G14" s="141">
        <f>_xlfn.CONCAT(YEAR(E14),".",TEXT(MONTH(E14),"0#"))</f>
        <v/>
      </c>
      <c r="H14">
        <f>YEAR(E14)</f>
        <v/>
      </c>
      <c r="I14">
        <f>IF(VLOOKUP(G14,AC:AD,2,FALSE)&lt;4,1,0)</f>
        <v/>
      </c>
      <c r="J14">
        <f>IF(AND(DAY(F14)&lt; DAY(E14),I14=1),MONTH(E14)+1,MONTH(E14))</f>
        <v/>
      </c>
      <c r="K14" s="201">
        <f>_xlfn.CONCAT(H14,".",TEXT(J14,"0#"))</f>
        <v/>
      </c>
      <c r="L14" s="462" t="n"/>
      <c r="Z14" s="463" t="n">
        <v>13</v>
      </c>
      <c r="AA14" s="458" t="n">
        <v>1</v>
      </c>
      <c r="AB14" s="457" t="n">
        <v>46418</v>
      </c>
      <c r="AC14" s="141">
        <f>_xlfn.CONCAT(YEAR(AB14),".",TEXT(MONTH(AB14),"0#"))</f>
        <v/>
      </c>
      <c r="AD14">
        <f>WEEKDAY(AB14)</f>
        <v/>
      </c>
      <c r="AE14" s="459">
        <f>VLOOKUP(AD14,AG$2:AH$8,2,FALSE)</f>
        <v/>
      </c>
    </row>
    <row r="15">
      <c r="A15" s="550" t="inlineStr">
        <is>
          <t>.t014</t>
        </is>
      </c>
      <c r="B15" t="n">
        <v>14</v>
      </c>
      <c r="C15">
        <f>H15</f>
        <v/>
      </c>
      <c r="E15" s="456">
        <f>F14+2</f>
        <v/>
      </c>
      <c r="F15" s="456">
        <f>E15+5</f>
        <v/>
      </c>
      <c r="G15" s="141">
        <f>_xlfn.CONCAT(YEAR(E15),".",TEXT(MONTH(E15),"0#"))</f>
        <v/>
      </c>
      <c r="H15">
        <f>YEAR(E15)</f>
        <v/>
      </c>
      <c r="I15">
        <f>IF(VLOOKUP(G15,AC:AD,2,FALSE)&lt;4,1,0)</f>
        <v/>
      </c>
      <c r="J15">
        <f>IF(AND(DAY(F15)&lt; DAY(E15),I15=1),MONTH(E15)+1,MONTH(E15))</f>
        <v/>
      </c>
      <c r="K15" s="201">
        <f>_xlfn.CONCAT(H15,".",TEXT(J15,"0#"))</f>
        <v/>
      </c>
      <c r="L15" s="462" t="n"/>
      <c r="Z15" s="463" t="n">
        <v>14</v>
      </c>
      <c r="AA15" s="458" t="n">
        <v>2</v>
      </c>
      <c r="AB15" s="457" t="n">
        <v>46446</v>
      </c>
      <c r="AC15" s="141">
        <f>_xlfn.CONCAT(YEAR(AB15),".",TEXT(MONTH(AB15),"0#"))</f>
        <v/>
      </c>
      <c r="AD15">
        <f>WEEKDAY(AB15)</f>
        <v/>
      </c>
      <c r="AE15" s="459">
        <f>VLOOKUP(AD15,AG$2:AH$8,2,FALSE)</f>
        <v/>
      </c>
    </row>
    <row r="16">
      <c r="A16" s="550" t="inlineStr">
        <is>
          <t>.t015</t>
        </is>
      </c>
      <c r="B16" t="n">
        <v>15</v>
      </c>
      <c r="C16">
        <f>H16</f>
        <v/>
      </c>
      <c r="E16" s="456">
        <f>F15+2</f>
        <v/>
      </c>
      <c r="F16" s="456">
        <f>E16+5</f>
        <v/>
      </c>
      <c r="G16" s="141">
        <f>_xlfn.CONCAT(YEAR(E16),".",TEXT(MONTH(E16),"0#"))</f>
        <v/>
      </c>
      <c r="H16">
        <f>YEAR(E16)</f>
        <v/>
      </c>
      <c r="I16">
        <f>IF(VLOOKUP(G16,AC:AD,2,FALSE)&lt;4,1,0)</f>
        <v/>
      </c>
      <c r="J16">
        <f>IF(AND(DAY(F16)&lt; DAY(E16),I16=1),MONTH(E16)+1,MONTH(E16))</f>
        <v/>
      </c>
      <c r="K16" s="201">
        <f>_xlfn.CONCAT(H16,".",TEXT(J16,"0#"))</f>
        <v/>
      </c>
      <c r="L16" s="462" t="n"/>
      <c r="Z16" s="463" t="n">
        <v>15</v>
      </c>
      <c r="AA16" s="458" t="n">
        <v>3</v>
      </c>
      <c r="AB16" s="457" t="n">
        <v>46477</v>
      </c>
      <c r="AC16" s="141">
        <f>_xlfn.CONCAT(YEAR(AB16),".",TEXT(MONTH(AB16),"0#"))</f>
        <v/>
      </c>
      <c r="AD16">
        <f>WEEKDAY(AB16)</f>
        <v/>
      </c>
      <c r="AE16">
        <f>VLOOKUP(AD16,AG$2:AH$8,2,FALSE)</f>
        <v/>
      </c>
    </row>
    <row r="17">
      <c r="A17" s="550" t="inlineStr">
        <is>
          <t>.t016</t>
        </is>
      </c>
      <c r="B17" t="n">
        <v>16</v>
      </c>
      <c r="C17">
        <f>H17</f>
        <v/>
      </c>
      <c r="E17" s="456">
        <f>F16+2</f>
        <v/>
      </c>
      <c r="F17" s="456">
        <f>E17+5</f>
        <v/>
      </c>
      <c r="G17" s="141">
        <f>_xlfn.CONCAT(YEAR(E17),".",TEXT(MONTH(E17),"0#"))</f>
        <v/>
      </c>
      <c r="H17">
        <f>YEAR(E17)</f>
        <v/>
      </c>
      <c r="I17">
        <f>IF(VLOOKUP(G17,AC:AD,2,FALSE)&lt;4,1,0)</f>
        <v/>
      </c>
      <c r="J17">
        <f>IF(AND(DAY(F17)&lt; DAY(E17),I17=1),MONTH(E17)+1,MONTH(E17))</f>
        <v/>
      </c>
      <c r="K17" s="201">
        <f>_xlfn.CONCAT(H17,".",TEXT(J17,"0#"))</f>
        <v/>
      </c>
      <c r="L17" s="462" t="n"/>
      <c r="Z17" s="463" t="n">
        <v>16</v>
      </c>
      <c r="AA17" s="458" t="n">
        <v>4</v>
      </c>
      <c r="AB17" s="457" t="n">
        <v>46507</v>
      </c>
      <c r="AC17" s="141">
        <f>_xlfn.CONCAT(YEAR(AB17),".",TEXT(MONTH(AB17),"0#"))</f>
        <v/>
      </c>
      <c r="AD17">
        <f>WEEKDAY(AB17)</f>
        <v/>
      </c>
      <c r="AE17">
        <f>VLOOKUP(AD17,AG$2:AH$8,2,FALSE)</f>
        <v/>
      </c>
    </row>
    <row r="18">
      <c r="A18" s="550" t="inlineStr">
        <is>
          <t>.t017</t>
        </is>
      </c>
      <c r="B18" t="n">
        <v>17</v>
      </c>
      <c r="C18">
        <f>H18</f>
        <v/>
      </c>
      <c r="E18" s="456">
        <f>F17+2</f>
        <v/>
      </c>
      <c r="F18" s="456">
        <f>E18+5</f>
        <v/>
      </c>
      <c r="G18" s="141">
        <f>_xlfn.CONCAT(YEAR(E18),".",TEXT(MONTH(E18),"0#"))</f>
        <v/>
      </c>
      <c r="H18">
        <f>YEAR(E18)</f>
        <v/>
      </c>
      <c r="I18">
        <f>IF(VLOOKUP(G18,AC:AD,2,FALSE)&lt;4,1,0)</f>
        <v/>
      </c>
      <c r="J18">
        <f>IF(AND(DAY(F18)&lt; DAY(E18),I18=1),MONTH(E18)+1,MONTH(E18))</f>
        <v/>
      </c>
      <c r="K18" s="201">
        <f>_xlfn.CONCAT(H18,".",TEXT(J18,"0#"))</f>
        <v/>
      </c>
      <c r="L18" s="462" t="n"/>
      <c r="Z18" s="463" t="n">
        <v>17</v>
      </c>
      <c r="AA18" s="458" t="n">
        <v>5</v>
      </c>
      <c r="AB18" s="457" t="n">
        <v>46538</v>
      </c>
      <c r="AC18" s="141">
        <f>_xlfn.CONCAT(YEAR(AB18),".",TEXT(MONTH(AB18),"0#"))</f>
        <v/>
      </c>
      <c r="AD18">
        <f>WEEKDAY(AB18)</f>
        <v/>
      </c>
      <c r="AE18">
        <f>VLOOKUP(AD18,AG$2:AH$8,2,FALSE)</f>
        <v/>
      </c>
    </row>
    <row r="19">
      <c r="A19" s="550" t="inlineStr">
        <is>
          <t>.t018</t>
        </is>
      </c>
      <c r="B19" t="n">
        <v>18</v>
      </c>
      <c r="C19">
        <f>H19</f>
        <v/>
      </c>
      <c r="E19" s="456">
        <f>F18+2</f>
        <v/>
      </c>
      <c r="F19" s="456">
        <f>E19+5</f>
        <v/>
      </c>
      <c r="G19" s="141">
        <f>_xlfn.CONCAT(YEAR(E19),".",TEXT(MONTH(E19),"0#"))</f>
        <v/>
      </c>
      <c r="H19">
        <f>YEAR(E19)</f>
        <v/>
      </c>
      <c r="I19">
        <f>IF(VLOOKUP(G19,AC:AD,2,FALSE)&lt;4,1,0)</f>
        <v/>
      </c>
      <c r="J19">
        <f>IF(AND(DAY(F19)&lt; DAY(E19),I19=1),MONTH(E19)+1,MONTH(E19))</f>
        <v/>
      </c>
      <c r="K19" s="201">
        <f>_xlfn.CONCAT(H19,".",TEXT(J19,"0#"))</f>
        <v/>
      </c>
      <c r="L19" s="462" t="n"/>
      <c r="Z19" s="463" t="n">
        <v>18</v>
      </c>
      <c r="AA19" s="458" t="n">
        <v>6</v>
      </c>
      <c r="AB19" s="457" t="n">
        <v>46568</v>
      </c>
      <c r="AC19" s="141">
        <f>_xlfn.CONCAT(YEAR(AB19),".",TEXT(MONTH(AB19),"0#"))</f>
        <v/>
      </c>
      <c r="AD19">
        <f>WEEKDAY(AB19)</f>
        <v/>
      </c>
      <c r="AE19">
        <f>VLOOKUP(AD19,AG$2:AH$8,2,FALSE)</f>
        <v/>
      </c>
    </row>
    <row r="20">
      <c r="A20" s="550" t="inlineStr">
        <is>
          <t>.t019</t>
        </is>
      </c>
      <c r="B20" t="n">
        <v>19</v>
      </c>
      <c r="C20">
        <f>H20</f>
        <v/>
      </c>
      <c r="E20" s="456">
        <f>F19+2</f>
        <v/>
      </c>
      <c r="F20" s="456">
        <f>E20+5</f>
        <v/>
      </c>
      <c r="G20" s="141">
        <f>_xlfn.CONCAT(YEAR(E20),".",TEXT(MONTH(E20),"0#"))</f>
        <v/>
      </c>
      <c r="H20">
        <f>YEAR(E20)</f>
        <v/>
      </c>
      <c r="I20">
        <f>IF(VLOOKUP(G20,AC:AD,2,FALSE)&lt;4,1,0)</f>
        <v/>
      </c>
      <c r="J20">
        <f>IF(AND(DAY(F20)&lt; DAY(E20),I20=1),MONTH(E20)+1,MONTH(E20))</f>
        <v/>
      </c>
      <c r="K20" s="201">
        <f>_xlfn.CONCAT(H20,".",TEXT(J20,"0#"))</f>
        <v/>
      </c>
      <c r="L20" s="462" t="n"/>
      <c r="Z20" s="463" t="n">
        <v>19</v>
      </c>
      <c r="AA20" s="458" t="n">
        <v>7</v>
      </c>
      <c r="AB20" s="457" t="n">
        <v>46599</v>
      </c>
      <c r="AC20" s="141">
        <f>_xlfn.CONCAT(YEAR(AB20),".",TEXT(MONTH(AB20),"0#"))</f>
        <v/>
      </c>
      <c r="AD20">
        <f>WEEKDAY(AB20)</f>
        <v/>
      </c>
      <c r="AE20" s="459">
        <f>VLOOKUP(AD20,AG$2:AH$8,2,FALSE)</f>
        <v/>
      </c>
    </row>
    <row r="21">
      <c r="A21" s="550" t="inlineStr">
        <is>
          <t>.t020</t>
        </is>
      </c>
      <c r="B21" t="n">
        <v>20</v>
      </c>
      <c r="C21">
        <f>H21</f>
        <v/>
      </c>
      <c r="E21" s="456">
        <f>F20+2</f>
        <v/>
      </c>
      <c r="F21" s="456">
        <f>E21+5</f>
        <v/>
      </c>
      <c r="G21" s="141">
        <f>_xlfn.CONCAT(YEAR(E21),".",TEXT(MONTH(E21),"0#"))</f>
        <v/>
      </c>
      <c r="H21">
        <f>YEAR(E21)</f>
        <v/>
      </c>
      <c r="I21">
        <f>IF(VLOOKUP(G21,AC:AD,2,FALSE)&lt;4,1,0)</f>
        <v/>
      </c>
      <c r="J21">
        <f>IF(AND(DAY(F21)&lt; DAY(E21),I21=1),MONTH(E21)+1,MONTH(E21))</f>
        <v/>
      </c>
      <c r="K21" s="201">
        <f>_xlfn.CONCAT(H21,".",TEXT(J21,"0#"))</f>
        <v/>
      </c>
      <c r="L21" s="462" t="n"/>
      <c r="Z21" s="463" t="n">
        <v>20</v>
      </c>
      <c r="AA21" s="458" t="n">
        <v>8</v>
      </c>
      <c r="AB21" s="457" t="n">
        <v>46630</v>
      </c>
      <c r="AC21" s="141">
        <f>_xlfn.CONCAT(YEAR(AB21),".",TEXT(MONTH(AB21),"0#"))</f>
        <v/>
      </c>
      <c r="AD21">
        <f>WEEKDAY(AB21)</f>
        <v/>
      </c>
      <c r="AE21">
        <f>VLOOKUP(AD21,AG$2:AH$8,2,FALSE)</f>
        <v/>
      </c>
    </row>
    <row r="22">
      <c r="A22" s="550" t="inlineStr">
        <is>
          <t>.t021</t>
        </is>
      </c>
      <c r="B22" t="n">
        <v>21</v>
      </c>
      <c r="C22">
        <f>H22</f>
        <v/>
      </c>
      <c r="E22" s="456">
        <f>F21+2</f>
        <v/>
      </c>
      <c r="F22" s="456">
        <f>E22+5</f>
        <v/>
      </c>
      <c r="G22" s="141">
        <f>_xlfn.CONCAT(YEAR(E22),".",TEXT(MONTH(E22),"0#"))</f>
        <v/>
      </c>
      <c r="H22">
        <f>YEAR(E22)</f>
        <v/>
      </c>
      <c r="I22">
        <f>IF(VLOOKUP(G22,AC:AD,2,FALSE)&lt;4,1,0)</f>
        <v/>
      </c>
      <c r="J22">
        <f>IF(AND(DAY(F22)&lt; DAY(E22),I22=1),MONTH(E22)+1,MONTH(E22))</f>
        <v/>
      </c>
      <c r="K22" s="201">
        <f>_xlfn.CONCAT(H22,".",TEXT(J22,"0#"))</f>
        <v/>
      </c>
      <c r="L22" s="462" t="n"/>
      <c r="Z22" s="463" t="n">
        <v>21</v>
      </c>
      <c r="AA22" s="458" t="n">
        <v>9</v>
      </c>
      <c r="AB22" s="457" t="n">
        <v>46660</v>
      </c>
      <c r="AC22" s="141">
        <f>_xlfn.CONCAT(YEAR(AB22),".",TEXT(MONTH(AB22),"0#"))</f>
        <v/>
      </c>
      <c r="AD22">
        <f>WEEKDAY(AB22)</f>
        <v/>
      </c>
      <c r="AE22">
        <f>VLOOKUP(AD22,AG$2:AH$8,2,FALSE)</f>
        <v/>
      </c>
    </row>
    <row r="23">
      <c r="A23" s="550" t="inlineStr">
        <is>
          <t>.t022</t>
        </is>
      </c>
      <c r="B23" t="n">
        <v>22</v>
      </c>
      <c r="C23">
        <f>H23</f>
        <v/>
      </c>
      <c r="E23" s="456">
        <f>F22+2</f>
        <v/>
      </c>
      <c r="F23" s="456">
        <f>E23+5</f>
        <v/>
      </c>
      <c r="G23" s="141">
        <f>_xlfn.CONCAT(YEAR(E23),".",TEXT(MONTH(E23),"0#"))</f>
        <v/>
      </c>
      <c r="H23">
        <f>YEAR(E23)</f>
        <v/>
      </c>
      <c r="I23">
        <f>IF(VLOOKUP(G23,AC:AD,2,FALSE)&lt;4,1,0)</f>
        <v/>
      </c>
      <c r="J23">
        <f>IF(AND(DAY(F23)&lt; DAY(E23),I23=1),MONTH(E23)+1,MONTH(E23))</f>
        <v/>
      </c>
      <c r="K23" s="201">
        <f>_xlfn.CONCAT(H23,".",TEXT(J23,"0#"))</f>
        <v/>
      </c>
      <c r="L23" s="462" t="n"/>
      <c r="Z23" s="463" t="n">
        <v>22</v>
      </c>
      <c r="AA23" s="458" t="n">
        <v>10</v>
      </c>
      <c r="AB23" s="457" t="n">
        <v>46691</v>
      </c>
      <c r="AC23" s="141">
        <f>_xlfn.CONCAT(YEAR(AB23),".",TEXT(MONTH(AB23),"0#"))</f>
        <v/>
      </c>
      <c r="AD23">
        <f>WEEKDAY(AB23)</f>
        <v/>
      </c>
      <c r="AE23" s="459">
        <f>VLOOKUP(AD23,AG$2:AH$8,2,FALSE)</f>
        <v/>
      </c>
    </row>
    <row r="24">
      <c r="A24" s="550" t="inlineStr">
        <is>
          <t>.t023</t>
        </is>
      </c>
      <c r="B24" t="n">
        <v>23</v>
      </c>
      <c r="C24">
        <f>H24</f>
        <v/>
      </c>
      <c r="E24" s="456">
        <f>F23+2</f>
        <v/>
      </c>
      <c r="F24" s="456">
        <f>E24+5</f>
        <v/>
      </c>
      <c r="G24" s="141">
        <f>_xlfn.CONCAT(YEAR(E24),".",TEXT(MONTH(E24),"0#"))</f>
        <v/>
      </c>
      <c r="H24">
        <f>YEAR(E24)</f>
        <v/>
      </c>
      <c r="I24">
        <f>IF(VLOOKUP(G24,AC:AD,2,FALSE)&lt;4,1,0)</f>
        <v/>
      </c>
      <c r="J24">
        <f>IF(AND(DAY(F24)&lt; DAY(E24),I24=1),MONTH(E24)+1,MONTH(E24))</f>
        <v/>
      </c>
      <c r="K24" s="201">
        <f>_xlfn.CONCAT(H24,".",TEXT(J24,"0#"))</f>
        <v/>
      </c>
      <c r="L24" s="462" t="n"/>
      <c r="Z24" s="463" t="n">
        <v>23</v>
      </c>
      <c r="AA24" s="458" t="n">
        <v>11</v>
      </c>
      <c r="AB24" s="457" t="n">
        <v>46721</v>
      </c>
      <c r="AC24" s="141">
        <f>_xlfn.CONCAT(YEAR(AB24),".",TEXT(MONTH(AB24),"0#"))</f>
        <v/>
      </c>
      <c r="AD24">
        <f>WEEKDAY(AB24)</f>
        <v/>
      </c>
      <c r="AE24">
        <f>VLOOKUP(AD24,AG$2:AH$8,2,FALSE)</f>
        <v/>
      </c>
    </row>
    <row r="25">
      <c r="A25" s="550" t="inlineStr">
        <is>
          <t>.t024</t>
        </is>
      </c>
      <c r="B25" t="n">
        <v>24</v>
      </c>
      <c r="C25">
        <f>H25</f>
        <v/>
      </c>
      <c r="E25" s="456">
        <f>F24+2</f>
        <v/>
      </c>
      <c r="F25" s="456">
        <f>E25+5</f>
        <v/>
      </c>
      <c r="G25" s="141">
        <f>_xlfn.CONCAT(YEAR(E25),".",TEXT(MONTH(E25),"0#"))</f>
        <v/>
      </c>
      <c r="H25">
        <f>YEAR(E25)</f>
        <v/>
      </c>
      <c r="I25">
        <f>IF(VLOOKUP(G25,AC:AD,2,FALSE)&lt;4,1,0)</f>
        <v/>
      </c>
      <c r="J25">
        <f>IF(AND(DAY(F25)&lt; DAY(E25),I25=1),MONTH(E25)+1,MONTH(E25))</f>
        <v/>
      </c>
      <c r="K25" s="201">
        <f>_xlfn.CONCAT(H25,".",TEXT(J25,"0#"))</f>
        <v/>
      </c>
      <c r="L25" s="462" t="n"/>
      <c r="Z25" s="463" t="n">
        <v>24</v>
      </c>
      <c r="AA25" s="458" t="n">
        <v>12</v>
      </c>
      <c r="AB25" s="457" t="n">
        <v>46752</v>
      </c>
      <c r="AC25" s="141">
        <f>_xlfn.CONCAT(YEAR(AB25),".",TEXT(MONTH(AB25),"0#"))</f>
        <v/>
      </c>
      <c r="AD25">
        <f>WEEKDAY(AB25)</f>
        <v/>
      </c>
      <c r="AE25">
        <f>VLOOKUP(AD25,AG$2:AH$8,2,FALSE)</f>
        <v/>
      </c>
    </row>
    <row r="26">
      <c r="A26" s="550" t="inlineStr">
        <is>
          <t>.t025</t>
        </is>
      </c>
      <c r="B26" t="n">
        <v>25</v>
      </c>
      <c r="C26">
        <f>H26</f>
        <v/>
      </c>
      <c r="E26" s="456">
        <f>F25+2</f>
        <v/>
      </c>
      <c r="F26" s="456">
        <f>E26+5</f>
        <v/>
      </c>
      <c r="G26" s="141">
        <f>_xlfn.CONCAT(YEAR(E26),".",TEXT(MONTH(E26),"0#"))</f>
        <v/>
      </c>
      <c r="H26">
        <f>YEAR(E26)</f>
        <v/>
      </c>
      <c r="I26">
        <f>IF(VLOOKUP(G26,AC:AD,2,FALSE)&lt;4,1,0)</f>
        <v/>
      </c>
      <c r="J26">
        <f>IF(AND(DAY(F26)&lt; DAY(E26),I26=1),MONTH(E26)+1,MONTH(E26))</f>
        <v/>
      </c>
      <c r="K26" s="201">
        <f>_xlfn.CONCAT(H26,".",TEXT(J26,"0#"))</f>
        <v/>
      </c>
      <c r="L26" s="462" t="n"/>
      <c r="Z26" s="463" t="n">
        <v>25</v>
      </c>
      <c r="AA26" s="444" t="n">
        <v>1</v>
      </c>
      <c r="AB26" s="457" t="n">
        <v>46783</v>
      </c>
      <c r="AC26" s="141">
        <f>_xlfn.CONCAT(YEAR(AB26),".",TEXT(MONTH(AB26),"0#"))</f>
        <v/>
      </c>
      <c r="AD26">
        <f>WEEKDAY(AB26)</f>
        <v/>
      </c>
      <c r="AE26">
        <f>VLOOKUP(AD26,AG$2:AH$8,2,FALSE)</f>
        <v/>
      </c>
    </row>
    <row r="27">
      <c r="A27" s="550" t="inlineStr">
        <is>
          <t>.t026</t>
        </is>
      </c>
      <c r="B27" t="n">
        <v>26</v>
      </c>
      <c r="C27">
        <f>H27</f>
        <v/>
      </c>
      <c r="E27" s="456">
        <f>F26+2</f>
        <v/>
      </c>
      <c r="F27" s="456">
        <f>E27+5</f>
        <v/>
      </c>
      <c r="G27" s="141">
        <f>_xlfn.CONCAT(YEAR(E27),".",TEXT(MONTH(E27),"0#"))</f>
        <v/>
      </c>
      <c r="H27">
        <f>YEAR(E27)</f>
        <v/>
      </c>
      <c r="I27">
        <f>IF(VLOOKUP(G27,AC:AD,2,FALSE)&lt;4,1,0)</f>
        <v/>
      </c>
      <c r="J27">
        <f>IF(AND(DAY(F27)&lt; DAY(E27),I27=1),MONTH(E27)+1,MONTH(E27))</f>
        <v/>
      </c>
      <c r="K27" s="201">
        <f>_xlfn.CONCAT(H27,".",TEXT(J27,"0#"))</f>
        <v/>
      </c>
      <c r="L27" s="462" t="n"/>
      <c r="Z27" s="463" t="n">
        <v>26</v>
      </c>
      <c r="AA27" s="444" t="n">
        <v>2</v>
      </c>
      <c r="AB27" s="457" t="n">
        <v>46811</v>
      </c>
      <c r="AC27" s="141">
        <f>_xlfn.CONCAT(YEAR(AB27),".",TEXT(MONTH(AB27),"0#"))</f>
        <v/>
      </c>
      <c r="AD27">
        <f>WEEKDAY(AB27)</f>
        <v/>
      </c>
      <c r="AE27">
        <f>VLOOKUP(AD27,AG$2:AH$8,2,FALSE)</f>
        <v/>
      </c>
    </row>
    <row r="28">
      <c r="A28" s="550" t="inlineStr">
        <is>
          <t>.t027</t>
        </is>
      </c>
      <c r="B28" t="n">
        <v>27</v>
      </c>
      <c r="C28">
        <f>H28</f>
        <v/>
      </c>
      <c r="E28" s="456">
        <f>F27+2</f>
        <v/>
      </c>
      <c r="F28" s="456">
        <f>E28+5</f>
        <v/>
      </c>
      <c r="G28" s="141">
        <f>_xlfn.CONCAT(YEAR(E28),".",TEXT(MONTH(E28),"0#"))</f>
        <v/>
      </c>
      <c r="H28">
        <f>YEAR(E28)</f>
        <v/>
      </c>
      <c r="I28">
        <f>IF(VLOOKUP(G28,AC:AD,2,FALSE)&lt;4,1,0)</f>
        <v/>
      </c>
      <c r="J28">
        <f>IF(AND(DAY(F28)&lt; DAY(E28),I28=1),MONTH(E28)+1,MONTH(E28))</f>
        <v/>
      </c>
      <c r="K28" s="201">
        <f>_xlfn.CONCAT(H28,".",TEXT(J28,"0#"))</f>
        <v/>
      </c>
      <c r="L28" s="462" t="n"/>
      <c r="Z28" s="463" t="n">
        <v>27</v>
      </c>
      <c r="AA28" s="444" t="n">
        <v>3</v>
      </c>
      <c r="AB28" s="457" t="n">
        <v>46843</v>
      </c>
      <c r="AC28" s="141">
        <f>_xlfn.CONCAT(YEAR(AB28),".",TEXT(MONTH(AB28),"0#"))</f>
        <v/>
      </c>
      <c r="AD28">
        <f>WEEKDAY(AB28)</f>
        <v/>
      </c>
      <c r="AE28">
        <f>VLOOKUP(AD28,AG$2:AH$8,2,FALSE)</f>
        <v/>
      </c>
    </row>
    <row r="29">
      <c r="A29" s="550" t="inlineStr">
        <is>
          <t>.t028</t>
        </is>
      </c>
      <c r="B29" s="141" t="n">
        <v>28</v>
      </c>
      <c r="C29">
        <f>H29</f>
        <v/>
      </c>
      <c r="E29" s="456">
        <f>F28+2</f>
        <v/>
      </c>
      <c r="F29" s="456">
        <f>E29+5</f>
        <v/>
      </c>
      <c r="G29" s="141">
        <f>_xlfn.CONCAT(YEAR(E29),".",TEXT(MONTH(E29),"0#"))</f>
        <v/>
      </c>
      <c r="H29">
        <f>YEAR(E29)</f>
        <v/>
      </c>
      <c r="I29">
        <f>IF(VLOOKUP(G29,AC:AD,2,FALSE)&lt;4,1,0)</f>
        <v/>
      </c>
      <c r="J29">
        <f>IF(AND(DAY(F29)&lt; DAY(E29),I29=1),MONTH(E29)+1,MONTH(E29))</f>
        <v/>
      </c>
      <c r="K29" s="201">
        <f>_xlfn.CONCAT(H29,".",TEXT(J29,"0#"))</f>
        <v/>
      </c>
      <c r="L29" s="462" t="n"/>
      <c r="Z29" s="463" t="n">
        <v>28</v>
      </c>
      <c r="AA29" s="444" t="n">
        <v>4</v>
      </c>
      <c r="AB29" s="457" t="n">
        <v>46873</v>
      </c>
      <c r="AC29" s="141">
        <f>_xlfn.CONCAT(YEAR(AB29),".",TEXT(MONTH(AB29),"0#"))</f>
        <v/>
      </c>
      <c r="AD29">
        <f>WEEKDAY(AB29)</f>
        <v/>
      </c>
      <c r="AE29" s="459">
        <f>VLOOKUP(AD29,AG$2:AH$8,2,FALSE)</f>
        <v/>
      </c>
    </row>
    <row r="30">
      <c r="A30" s="550" t="inlineStr">
        <is>
          <t>.t029</t>
        </is>
      </c>
      <c r="B30" s="141" t="n">
        <v>29</v>
      </c>
      <c r="C30">
        <f>H30</f>
        <v/>
      </c>
      <c r="E30" s="456">
        <f>F29+2</f>
        <v/>
      </c>
      <c r="F30" s="456">
        <f>E30+5</f>
        <v/>
      </c>
      <c r="G30" s="141">
        <f>_xlfn.CONCAT(YEAR(E30),".",TEXT(MONTH(E30),"0#"))</f>
        <v/>
      </c>
      <c r="H30">
        <f>YEAR(E30)</f>
        <v/>
      </c>
      <c r="I30">
        <f>IF(VLOOKUP(G30,AC:AD,2,FALSE)&lt;4,1,0)</f>
        <v/>
      </c>
      <c r="J30">
        <f>IF(AND(DAY(F30)&lt; DAY(E30),I30=1),MONTH(E30)+1,MONTH(E30))</f>
        <v/>
      </c>
      <c r="K30" s="201">
        <f>_xlfn.CONCAT(H30,".",TEXT(J30,"0#"))</f>
        <v/>
      </c>
      <c r="L30" s="462" t="n"/>
      <c r="Z30" s="463" t="n">
        <v>29</v>
      </c>
      <c r="AA30" s="444" t="n">
        <v>5</v>
      </c>
      <c r="AB30" s="457" t="n">
        <v>46904</v>
      </c>
      <c r="AC30" s="141">
        <f>_xlfn.CONCAT(YEAR(AB30),".",TEXT(MONTH(AB30),"0#"))</f>
        <v/>
      </c>
      <c r="AD30">
        <f>WEEKDAY(AB30)</f>
        <v/>
      </c>
      <c r="AE30">
        <f>VLOOKUP(AD30,AG$2:AH$8,2,FALSE)</f>
        <v/>
      </c>
    </row>
    <row r="31">
      <c r="A31" s="550" t="inlineStr">
        <is>
          <t>.t030</t>
        </is>
      </c>
      <c r="B31" s="141" t="n">
        <v>30</v>
      </c>
      <c r="C31">
        <f>H31</f>
        <v/>
      </c>
      <c r="E31" s="456">
        <f>F30+2</f>
        <v/>
      </c>
      <c r="F31" s="456">
        <f>E31+5</f>
        <v/>
      </c>
      <c r="G31" s="141">
        <f>_xlfn.CONCAT(YEAR(E31),".",TEXT(MONTH(E31),"0#"))</f>
        <v/>
      </c>
      <c r="H31">
        <f>YEAR(E31)</f>
        <v/>
      </c>
      <c r="I31">
        <f>IF(VLOOKUP(G31,AC:AD,2,FALSE)&lt;4,1,0)</f>
        <v/>
      </c>
      <c r="J31">
        <f>IF(AND(DAY(F31)&lt; DAY(E31),I31=1),MONTH(E31)+1,MONTH(E31))</f>
        <v/>
      </c>
      <c r="K31" s="201">
        <f>_xlfn.CONCAT(H31,".",TEXT(J31,"0#"))</f>
        <v/>
      </c>
      <c r="L31" s="462" t="n"/>
      <c r="Z31" s="463" t="n">
        <v>30</v>
      </c>
      <c r="AA31" s="444" t="n">
        <v>6</v>
      </c>
      <c r="AB31" s="457" t="n">
        <v>46934</v>
      </c>
      <c r="AC31" s="141">
        <f>_xlfn.CONCAT(YEAR(AB31),".",TEXT(MONTH(AB31),"0#"))</f>
        <v/>
      </c>
      <c r="AD31">
        <f>WEEKDAY(AB31)</f>
        <v/>
      </c>
      <c r="AE31">
        <f>VLOOKUP(AD31,AG$2:AH$8,2,FALSE)</f>
        <v/>
      </c>
    </row>
    <row r="32">
      <c r="A32" s="550" t="inlineStr">
        <is>
          <t>.t031</t>
        </is>
      </c>
      <c r="B32" s="141" t="n">
        <v>31</v>
      </c>
      <c r="C32">
        <f>H32</f>
        <v/>
      </c>
      <c r="E32" s="456">
        <f>F31+2</f>
        <v/>
      </c>
      <c r="F32" s="456">
        <f>E32+5</f>
        <v/>
      </c>
      <c r="G32" s="141">
        <f>_xlfn.CONCAT(YEAR(E32),".",TEXT(MONTH(E32),"0#"))</f>
        <v/>
      </c>
      <c r="H32">
        <f>YEAR(E32)</f>
        <v/>
      </c>
      <c r="I32">
        <f>IF(VLOOKUP(G32,AC:AD,2,FALSE)&lt;4,1,0)</f>
        <v/>
      </c>
      <c r="J32">
        <f>IF(AND(DAY(F32)&lt; DAY(E32),I32=1),MONTH(E32)+1,MONTH(E32))</f>
        <v/>
      </c>
      <c r="K32" s="201">
        <f>_xlfn.CONCAT(H32,".",TEXT(J32,"0#"))</f>
        <v/>
      </c>
      <c r="AA32" s="444" t="n">
        <v>7</v>
      </c>
      <c r="AB32" s="457" t="n">
        <v>46965</v>
      </c>
      <c r="AC32" s="141">
        <f>_xlfn.CONCAT(YEAR(AB32),".",TEXT(MONTH(AB32),"0#"))</f>
        <v/>
      </c>
      <c r="AD32">
        <f>WEEKDAY(AB32)</f>
        <v/>
      </c>
      <c r="AE32">
        <f>VLOOKUP(AD32,AG$2:AH$8,2,FALSE)</f>
        <v/>
      </c>
    </row>
    <row r="33">
      <c r="A33" s="550" t="inlineStr">
        <is>
          <t>.t032</t>
        </is>
      </c>
      <c r="B33" s="141" t="n">
        <v>32</v>
      </c>
      <c r="C33">
        <f>H33</f>
        <v/>
      </c>
      <c r="E33" s="456">
        <f>F32+2</f>
        <v/>
      </c>
      <c r="F33" s="456">
        <f>E33+5</f>
        <v/>
      </c>
      <c r="G33" s="141">
        <f>_xlfn.CONCAT(YEAR(E33),".",TEXT(MONTH(E33),"0#"))</f>
        <v/>
      </c>
      <c r="H33">
        <f>YEAR(E33)</f>
        <v/>
      </c>
      <c r="I33">
        <f>IF(VLOOKUP(G33,AC:AD,2,FALSE)&lt;4,1,0)</f>
        <v/>
      </c>
      <c r="J33">
        <f>IF(AND(DAY(F33)&lt; DAY(E33),I33=1),MONTH(E33)+1,MONTH(E33))</f>
        <v/>
      </c>
      <c r="K33" s="201">
        <f>_xlfn.CONCAT(H33,".",TEXT(J33,"0#"))</f>
        <v/>
      </c>
      <c r="AA33" s="444" t="n">
        <v>8</v>
      </c>
      <c r="AB33" s="457" t="n">
        <v>46996</v>
      </c>
      <c r="AC33" s="141">
        <f>_xlfn.CONCAT(YEAR(AB33),".",TEXT(MONTH(AB33),"0#"))</f>
        <v/>
      </c>
      <c r="AD33">
        <f>WEEKDAY(AB33)</f>
        <v/>
      </c>
      <c r="AE33">
        <f>VLOOKUP(AD33,AG$2:AH$8,2,FALSE)</f>
        <v/>
      </c>
    </row>
    <row r="34">
      <c r="A34" s="550" t="inlineStr">
        <is>
          <t>.t033</t>
        </is>
      </c>
      <c r="B34" s="141" t="n">
        <v>33</v>
      </c>
      <c r="C34">
        <f>H34</f>
        <v/>
      </c>
      <c r="E34" s="456">
        <f>F33+2</f>
        <v/>
      </c>
      <c r="F34" s="456">
        <f>E34+5</f>
        <v/>
      </c>
      <c r="G34" s="141">
        <f>_xlfn.CONCAT(YEAR(E34),".",TEXT(MONTH(E34),"0#"))</f>
        <v/>
      </c>
      <c r="H34">
        <f>YEAR(E34)</f>
        <v/>
      </c>
      <c r="I34">
        <f>IF(VLOOKUP(G34,AC:AD,2,FALSE)&lt;4,1,0)</f>
        <v/>
      </c>
      <c r="J34">
        <f>IF(AND(DAY(F34)&lt; DAY(E34),I34=1),MONTH(E34)+1,MONTH(E34))</f>
        <v/>
      </c>
      <c r="K34" s="201">
        <f>_xlfn.CONCAT(H34,".",TEXT(J34,"0#"))</f>
        <v/>
      </c>
      <c r="AA34" s="444" t="n">
        <v>9</v>
      </c>
      <c r="AB34" s="457" t="n">
        <v>47026</v>
      </c>
      <c r="AC34" s="141">
        <f>_xlfn.CONCAT(YEAR(AB34),".",TEXT(MONTH(AB34),"0#"))</f>
        <v/>
      </c>
      <c r="AD34">
        <f>WEEKDAY(AB34)</f>
        <v/>
      </c>
      <c r="AE34" s="459">
        <f>VLOOKUP(AD34,AG$2:AH$8,2,FALSE)</f>
        <v/>
      </c>
    </row>
    <row r="35">
      <c r="A35" s="550" t="inlineStr">
        <is>
          <t>.t034</t>
        </is>
      </c>
      <c r="B35" s="141" t="n">
        <v>34</v>
      </c>
      <c r="C35">
        <f>H35</f>
        <v/>
      </c>
      <c r="E35" s="456">
        <f>F34+2</f>
        <v/>
      </c>
      <c r="F35" s="456">
        <f>E35+5</f>
        <v/>
      </c>
      <c r="G35" s="141">
        <f>_xlfn.CONCAT(YEAR(E35),".",TEXT(MONTH(E35),"0#"))</f>
        <v/>
      </c>
      <c r="H35">
        <f>YEAR(E35)</f>
        <v/>
      </c>
      <c r="I35">
        <f>IF(VLOOKUP(G35,AC:AD,2,FALSE)&lt;4,1,0)</f>
        <v/>
      </c>
      <c r="J35">
        <f>IF(AND(DAY(F35)&lt; DAY(E35),I35=1),MONTH(E35)+1,MONTH(E35))</f>
        <v/>
      </c>
      <c r="K35" s="201">
        <f>_xlfn.CONCAT(H35,".",TEXT(J35,"0#"))</f>
        <v/>
      </c>
      <c r="AA35" s="444" t="n">
        <v>10</v>
      </c>
      <c r="AB35" s="457" t="n">
        <v>47057</v>
      </c>
      <c r="AC35" s="141">
        <f>_xlfn.CONCAT(YEAR(AB35),".",TEXT(MONTH(AB35),"0#"))</f>
        <v/>
      </c>
      <c r="AD35">
        <f>WEEKDAY(AB35)</f>
        <v/>
      </c>
      <c r="AE35">
        <f>VLOOKUP(AD35,AG$2:AH$8,2,FALSE)</f>
        <v/>
      </c>
    </row>
    <row r="36">
      <c r="A36" s="550" t="inlineStr">
        <is>
          <t>.t035</t>
        </is>
      </c>
      <c r="B36" s="141" t="n">
        <v>35</v>
      </c>
      <c r="C36">
        <f>H36</f>
        <v/>
      </c>
      <c r="E36" s="456">
        <f>F35+2</f>
        <v/>
      </c>
      <c r="F36" s="456">
        <f>E36+5</f>
        <v/>
      </c>
      <c r="G36" s="141">
        <f>_xlfn.CONCAT(YEAR(E36),".",TEXT(MONTH(E36),"0#"))</f>
        <v/>
      </c>
      <c r="H36">
        <f>YEAR(E36)</f>
        <v/>
      </c>
      <c r="I36">
        <f>IF(VLOOKUP(G36,AC:AD,2,FALSE)&lt;4,1,0)</f>
        <v/>
      </c>
      <c r="J36">
        <f>IF(AND(DAY(F36)&lt; DAY(E36),I36=1),MONTH(E36)+1,MONTH(E36))</f>
        <v/>
      </c>
      <c r="K36" s="201">
        <f>_xlfn.CONCAT(H36,".",TEXT(J36,"0#"))</f>
        <v/>
      </c>
      <c r="AA36" s="444" t="n">
        <v>11</v>
      </c>
      <c r="AB36" s="457" t="n">
        <v>47087</v>
      </c>
      <c r="AC36" s="141">
        <f>_xlfn.CONCAT(YEAR(AB36),".",TEXT(MONTH(AB36),"0#"))</f>
        <v/>
      </c>
      <c r="AD36">
        <f>WEEKDAY(AB36)</f>
        <v/>
      </c>
      <c r="AE36">
        <f>VLOOKUP(AD36,AG$2:AH$8,2,FALSE)</f>
        <v/>
      </c>
    </row>
    <row r="37">
      <c r="A37" s="550" t="inlineStr">
        <is>
          <t>.t036</t>
        </is>
      </c>
      <c r="B37" s="141" t="n">
        <v>36</v>
      </c>
      <c r="C37">
        <f>H37</f>
        <v/>
      </c>
      <c r="E37" s="456">
        <f>F36+2</f>
        <v/>
      </c>
      <c r="F37" s="456">
        <f>E37+5</f>
        <v/>
      </c>
      <c r="G37" s="141">
        <f>_xlfn.CONCAT(YEAR(E37),".",TEXT(MONTH(E37),"0#"))</f>
        <v/>
      </c>
      <c r="H37">
        <f>YEAR(E37)</f>
        <v/>
      </c>
      <c r="I37">
        <f>IF(VLOOKUP(G37,AC:AD,2,FALSE)&lt;4,1,0)</f>
        <v/>
      </c>
      <c r="J37">
        <f>IF(AND(DAY(F37)&lt; DAY(E37),I37=1),MONTH(E37)+1,MONTH(E37))</f>
        <v/>
      </c>
      <c r="K37" s="201">
        <f>_xlfn.CONCAT(H37,".",TEXT(J37,"0#"))</f>
        <v/>
      </c>
      <c r="AA37" s="444" t="n">
        <v>12</v>
      </c>
      <c r="AB37" s="457" t="n">
        <v>47118</v>
      </c>
      <c r="AC37" s="141">
        <f>_xlfn.CONCAT(YEAR(AB37),".",TEXT(MONTH(AB37),"0#"))</f>
        <v/>
      </c>
      <c r="AD37">
        <f>WEEKDAY(AB37)</f>
        <v/>
      </c>
      <c r="AE37" s="459">
        <f>VLOOKUP(AD37,AG$2:AH$8,2,FALSE)</f>
        <v/>
      </c>
    </row>
    <row r="38">
      <c r="A38" s="550" t="inlineStr">
        <is>
          <t>.t037</t>
        </is>
      </c>
      <c r="B38" s="141" t="n">
        <v>37</v>
      </c>
      <c r="C38">
        <f>H38</f>
        <v/>
      </c>
      <c r="E38" s="456">
        <f>F37+2</f>
        <v/>
      </c>
      <c r="F38" s="456">
        <f>E38+5</f>
        <v/>
      </c>
      <c r="G38" s="141">
        <f>_xlfn.CONCAT(YEAR(E38),".",TEXT(MONTH(E38),"0#"))</f>
        <v/>
      </c>
      <c r="H38">
        <f>YEAR(E38)</f>
        <v/>
      </c>
      <c r="I38">
        <f>IF(VLOOKUP(G38,AC:AD,2,FALSE)&lt;4,1,0)</f>
        <v/>
      </c>
      <c r="J38">
        <f>IF(AND(DAY(F38)&lt; DAY(E38),I38=1),MONTH(E38)+1,MONTH(E38))</f>
        <v/>
      </c>
      <c r="K38" s="201">
        <f>_xlfn.CONCAT(H38,".",TEXT(J38,"0#"))</f>
        <v/>
      </c>
      <c r="AA38" s="458" t="n">
        <v>1</v>
      </c>
      <c r="AB38" s="457" t="n">
        <v>47149</v>
      </c>
      <c r="AC38" s="141">
        <f>_xlfn.CONCAT(YEAR(AB38),".",TEXT(MONTH(AB38),"0#"))</f>
        <v/>
      </c>
      <c r="AD38">
        <f>WEEKDAY(AB38)</f>
        <v/>
      </c>
      <c r="AE38">
        <f>VLOOKUP(AD38,AG$2:AH$8,2,FALSE)</f>
        <v/>
      </c>
    </row>
    <row r="39">
      <c r="A39" s="550" t="inlineStr">
        <is>
          <t>.t038</t>
        </is>
      </c>
      <c r="B39" s="141" t="n">
        <v>38</v>
      </c>
      <c r="C39">
        <f>H39</f>
        <v/>
      </c>
      <c r="E39" s="456">
        <f>F38+2</f>
        <v/>
      </c>
      <c r="F39" s="456">
        <f>E39+5</f>
        <v/>
      </c>
      <c r="G39" s="141">
        <f>_xlfn.CONCAT(YEAR(E39),".",TEXT(MONTH(E39),"0#"))</f>
        <v/>
      </c>
      <c r="H39">
        <f>YEAR(E39)</f>
        <v/>
      </c>
      <c r="I39">
        <f>IF(VLOOKUP(G39,AC:AD,2,FALSE)&lt;4,1,0)</f>
        <v/>
      </c>
      <c r="J39">
        <f>IF(AND(DAY(F39)&lt; DAY(E39),I39=1),MONTH(E39)+1,MONTH(E39))</f>
        <v/>
      </c>
      <c r="K39" s="201">
        <f>_xlfn.CONCAT(H39,".",TEXT(J39,"0#"))</f>
        <v/>
      </c>
      <c r="AA39" s="458" t="n">
        <v>2</v>
      </c>
      <c r="AB39" s="457" t="n">
        <v>47177</v>
      </c>
      <c r="AC39" s="141">
        <f>_xlfn.CONCAT(YEAR(AB39),".",TEXT(MONTH(AB39),"0#"))</f>
        <v/>
      </c>
      <c r="AD39">
        <f>WEEKDAY(AB39)</f>
        <v/>
      </c>
      <c r="AE39">
        <f>VLOOKUP(AD39,AG$2:AH$8,2,FALSE)</f>
        <v/>
      </c>
    </row>
    <row r="40">
      <c r="A40" s="550" t="inlineStr">
        <is>
          <t>.t039</t>
        </is>
      </c>
      <c r="B40" s="141" t="n">
        <v>39</v>
      </c>
      <c r="C40">
        <f>H40</f>
        <v/>
      </c>
      <c r="E40" s="456">
        <f>F39+2</f>
        <v/>
      </c>
      <c r="F40" s="456">
        <f>E40+5</f>
        <v/>
      </c>
      <c r="G40" s="141">
        <f>_xlfn.CONCAT(YEAR(E40),".",TEXT(MONTH(E40),"0#"))</f>
        <v/>
      </c>
      <c r="H40">
        <f>YEAR(E40)</f>
        <v/>
      </c>
      <c r="I40">
        <f>IF(VLOOKUP(G40,AC:AD,2,FALSE)&lt;4,1,0)</f>
        <v/>
      </c>
      <c r="J40">
        <f>IF(AND(DAY(F40)&lt; DAY(E40),I40=1),MONTH(E40)+1,MONTH(E40))</f>
        <v/>
      </c>
      <c r="K40" s="201">
        <f>_xlfn.CONCAT(H40,".",TEXT(J40,"0#"))</f>
        <v/>
      </c>
      <c r="AA40" s="458" t="n">
        <v>3</v>
      </c>
      <c r="AB40" s="457" t="n">
        <v>47208</v>
      </c>
      <c r="AC40" s="141">
        <f>_xlfn.CONCAT(YEAR(AB40),".",TEXT(MONTH(AB40),"0#"))</f>
        <v/>
      </c>
      <c r="AD40">
        <f>WEEKDAY(AB40)</f>
        <v/>
      </c>
      <c r="AE40" s="459">
        <f>VLOOKUP(AD40,AG$2:AH$8,2,FALSE)</f>
        <v/>
      </c>
    </row>
    <row r="41">
      <c r="A41" s="550" t="inlineStr">
        <is>
          <t>.t040</t>
        </is>
      </c>
      <c r="B41" s="141" t="n">
        <v>40</v>
      </c>
      <c r="C41">
        <f>H41</f>
        <v/>
      </c>
      <c r="E41" s="456">
        <f>F40+2</f>
        <v/>
      </c>
      <c r="F41" s="456">
        <f>E41+5</f>
        <v/>
      </c>
      <c r="G41" s="141">
        <f>_xlfn.CONCAT(YEAR(E41),".",TEXT(MONTH(E41),"0#"))</f>
        <v/>
      </c>
      <c r="H41">
        <f>YEAR(E41)</f>
        <v/>
      </c>
      <c r="I41">
        <f>IF(VLOOKUP(G41,AC:AD,2,FALSE)&lt;4,1,0)</f>
        <v/>
      </c>
      <c r="J41">
        <f>IF(AND(DAY(F41)&lt; DAY(E41),I41=1),MONTH(E41)+1,MONTH(E41))</f>
        <v/>
      </c>
      <c r="K41" s="201">
        <f>_xlfn.CONCAT(H41,".",TEXT(J41,"0#"))</f>
        <v/>
      </c>
      <c r="AA41" s="458" t="n">
        <v>4</v>
      </c>
      <c r="AB41" s="457" t="n">
        <v>47238</v>
      </c>
      <c r="AC41" s="141">
        <f>_xlfn.CONCAT(YEAR(AB41),".",TEXT(MONTH(AB41),"0#"))</f>
        <v/>
      </c>
      <c r="AD41">
        <f>WEEKDAY(AB41)</f>
        <v/>
      </c>
      <c r="AE41">
        <f>VLOOKUP(AD41,AG$2:AH$8,2,FALSE)</f>
        <v/>
      </c>
    </row>
    <row r="42">
      <c r="A42" s="550" t="inlineStr">
        <is>
          <t>.t041</t>
        </is>
      </c>
      <c r="B42" s="141" t="n">
        <v>41</v>
      </c>
      <c r="C42">
        <f>H42</f>
        <v/>
      </c>
      <c r="E42" s="456">
        <f>F41+2</f>
        <v/>
      </c>
      <c r="F42" s="456">
        <f>E42+5</f>
        <v/>
      </c>
      <c r="G42" s="141">
        <f>_xlfn.CONCAT(YEAR(E42),".",TEXT(MONTH(E42),"0#"))</f>
        <v/>
      </c>
      <c r="H42">
        <f>YEAR(E42)</f>
        <v/>
      </c>
      <c r="I42">
        <f>IF(VLOOKUP(G42,AC:AD,2,FALSE)&lt;4,1,0)</f>
        <v/>
      </c>
      <c r="J42">
        <f>IF(AND(DAY(F42)&lt; DAY(E42),I42=1),MONTH(E42)+1,MONTH(E42))</f>
        <v/>
      </c>
      <c r="K42" s="201">
        <f>_xlfn.CONCAT(H42,".",TEXT(J42,"0#"))</f>
        <v/>
      </c>
      <c r="AA42" s="458" t="n">
        <v>5</v>
      </c>
      <c r="AB42" s="457" t="n">
        <v>47269</v>
      </c>
      <c r="AC42" s="141">
        <f>_xlfn.CONCAT(YEAR(AB42),".",TEXT(MONTH(AB42),"0#"))</f>
        <v/>
      </c>
      <c r="AD42">
        <f>WEEKDAY(AB42)</f>
        <v/>
      </c>
      <c r="AE42">
        <f>VLOOKUP(AD42,AG$2:AH$8,2,FALSE)</f>
        <v/>
      </c>
    </row>
    <row r="43">
      <c r="A43" s="550" t="inlineStr">
        <is>
          <t>.t042</t>
        </is>
      </c>
      <c r="B43" s="141" t="n">
        <v>42</v>
      </c>
      <c r="C43">
        <f>H43</f>
        <v/>
      </c>
      <c r="E43" s="456">
        <f>F42+2</f>
        <v/>
      </c>
      <c r="F43" s="456">
        <f>E43+5</f>
        <v/>
      </c>
      <c r="G43" s="141">
        <f>_xlfn.CONCAT(YEAR(E43),".",TEXT(MONTH(E43),"0#"))</f>
        <v/>
      </c>
      <c r="H43">
        <f>YEAR(E43)</f>
        <v/>
      </c>
      <c r="I43">
        <f>IF(VLOOKUP(G43,AC:AD,2,FALSE)&lt;4,1,0)</f>
        <v/>
      </c>
      <c r="J43">
        <f>IF(AND(DAY(F43)&lt; DAY(E43),I43=1),MONTH(E43)+1,MONTH(E43))</f>
        <v/>
      </c>
      <c r="K43" s="201">
        <f>_xlfn.CONCAT(H43,".",TEXT(J43,"0#"))</f>
        <v/>
      </c>
      <c r="AA43" s="458" t="n">
        <v>6</v>
      </c>
      <c r="AB43" s="457" t="n">
        <v>47299</v>
      </c>
      <c r="AC43" s="141">
        <f>_xlfn.CONCAT(YEAR(AB43),".",TEXT(MONTH(AB43),"0#"))</f>
        <v/>
      </c>
      <c r="AD43">
        <f>WEEKDAY(AB43)</f>
        <v/>
      </c>
      <c r="AE43" s="459">
        <f>VLOOKUP(AD43,AG$2:AH$8,2,FALSE)</f>
        <v/>
      </c>
    </row>
    <row r="44">
      <c r="A44" s="550" t="inlineStr">
        <is>
          <t>.t043</t>
        </is>
      </c>
      <c r="B44" s="141" t="n">
        <v>43</v>
      </c>
      <c r="C44">
        <f>H44</f>
        <v/>
      </c>
      <c r="E44" s="456">
        <f>F43+2</f>
        <v/>
      </c>
      <c r="F44" s="456">
        <f>E44+5</f>
        <v/>
      </c>
      <c r="G44" s="141">
        <f>_xlfn.CONCAT(YEAR(E44),".",TEXT(MONTH(E44),"0#"))</f>
        <v/>
      </c>
      <c r="H44">
        <f>YEAR(E44)</f>
        <v/>
      </c>
      <c r="I44">
        <f>IF(VLOOKUP(G44,AC:AD,2,FALSE)&lt;4,1,0)</f>
        <v/>
      </c>
      <c r="J44">
        <f>IF(AND(DAY(F44)&lt; DAY(E44),I44=1),MONTH(E44)+1,MONTH(E44))</f>
        <v/>
      </c>
      <c r="K44" s="201">
        <f>_xlfn.CONCAT(H44,".",TEXT(J44,"0#"))</f>
        <v/>
      </c>
      <c r="AA44" s="458" t="n">
        <v>7</v>
      </c>
      <c r="AB44" s="457" t="n">
        <v>47330</v>
      </c>
      <c r="AC44" s="141">
        <f>_xlfn.CONCAT(YEAR(AB44),".",TEXT(MONTH(AB44),"0#"))</f>
        <v/>
      </c>
      <c r="AD44">
        <f>WEEKDAY(AB44)</f>
        <v/>
      </c>
      <c r="AE44">
        <f>VLOOKUP(AD44,AG$2:AH$8,2,FALSE)</f>
        <v/>
      </c>
    </row>
    <row r="45">
      <c r="A45" s="550" t="inlineStr">
        <is>
          <t>.t044</t>
        </is>
      </c>
      <c r="B45" s="141" t="n">
        <v>44</v>
      </c>
      <c r="C45">
        <f>H45</f>
        <v/>
      </c>
      <c r="E45" s="456">
        <f>F44+2</f>
        <v/>
      </c>
      <c r="F45" s="456">
        <f>E45+5</f>
        <v/>
      </c>
      <c r="G45" s="141">
        <f>_xlfn.CONCAT(YEAR(E45),".",TEXT(MONTH(E45),"0#"))</f>
        <v/>
      </c>
      <c r="H45">
        <f>YEAR(E45)</f>
        <v/>
      </c>
      <c r="I45">
        <f>IF(VLOOKUP(G45,AC:AD,2,FALSE)&lt;4,1,0)</f>
        <v/>
      </c>
      <c r="J45">
        <f>IF(AND(DAY(F45)&lt; DAY(E45),I45=1),MONTH(E45)+1,MONTH(E45))</f>
        <v/>
      </c>
      <c r="K45" s="201">
        <f>_xlfn.CONCAT(H45,".",TEXT(J45,"0#"))</f>
        <v/>
      </c>
      <c r="AA45" s="458" t="n">
        <v>8</v>
      </c>
      <c r="AB45" s="457" t="n">
        <v>47361</v>
      </c>
      <c r="AC45" s="141">
        <f>_xlfn.CONCAT(YEAR(AB45),".",TEXT(MONTH(AB45),"0#"))</f>
        <v/>
      </c>
      <c r="AD45">
        <f>WEEKDAY(AB45)</f>
        <v/>
      </c>
      <c r="AE45">
        <f>VLOOKUP(AD45,AG$2:AH$8,2,FALSE)</f>
        <v/>
      </c>
    </row>
    <row r="46">
      <c r="A46" s="550" t="inlineStr">
        <is>
          <t>.t045</t>
        </is>
      </c>
      <c r="B46" s="141" t="n">
        <v>45</v>
      </c>
      <c r="C46">
        <f>H46</f>
        <v/>
      </c>
      <c r="E46" s="456">
        <f>F45+2</f>
        <v/>
      </c>
      <c r="F46" s="456">
        <f>E46+5</f>
        <v/>
      </c>
      <c r="G46" s="141">
        <f>_xlfn.CONCAT(YEAR(E46),".",TEXT(MONTH(E46),"0#"))</f>
        <v/>
      </c>
      <c r="H46">
        <f>YEAR(E46)</f>
        <v/>
      </c>
      <c r="I46">
        <f>IF(VLOOKUP(G46,AC:AD,2,FALSE)&lt;4,1,0)</f>
        <v/>
      </c>
      <c r="J46">
        <f>IF(AND(DAY(F46)&lt; DAY(E46),I46=1),MONTH(E46)+1,MONTH(E46))</f>
        <v/>
      </c>
      <c r="K46" s="201">
        <f>_xlfn.CONCAT(H46,".",TEXT(J46,"0#"))</f>
        <v/>
      </c>
      <c r="AA46" s="458" t="n">
        <v>9</v>
      </c>
      <c r="AB46" s="457" t="n">
        <v>47391</v>
      </c>
      <c r="AC46" s="141">
        <f>_xlfn.CONCAT(YEAR(AB46),".",TEXT(MONTH(AB46),"0#"))</f>
        <v/>
      </c>
      <c r="AD46">
        <f>WEEKDAY(AB46)</f>
        <v/>
      </c>
      <c r="AE46" s="459">
        <f>VLOOKUP(AD46,AG$2:AH$8,2,FALSE)</f>
        <v/>
      </c>
    </row>
    <row r="47">
      <c r="A47" s="550" t="inlineStr">
        <is>
          <t>.t046</t>
        </is>
      </c>
      <c r="B47" s="141" t="n">
        <v>46</v>
      </c>
      <c r="C47">
        <f>H47</f>
        <v/>
      </c>
      <c r="E47" s="456">
        <f>F46+2</f>
        <v/>
      </c>
      <c r="F47" s="456">
        <f>E47+5</f>
        <v/>
      </c>
      <c r="G47" s="141">
        <f>_xlfn.CONCAT(YEAR(E47),".",TEXT(MONTH(E47),"0#"))</f>
        <v/>
      </c>
      <c r="H47">
        <f>YEAR(E47)</f>
        <v/>
      </c>
      <c r="I47">
        <f>IF(VLOOKUP(G47,AC:AD,2,FALSE)&lt;4,1,0)</f>
        <v/>
      </c>
      <c r="J47">
        <f>IF(AND(DAY(F47)&lt; DAY(E47),I47=1),MONTH(E47)+1,MONTH(E47))</f>
        <v/>
      </c>
      <c r="K47" s="201">
        <f>_xlfn.CONCAT(H47,".",TEXT(J47,"0#"))</f>
        <v/>
      </c>
      <c r="AA47" s="458" t="n">
        <v>10</v>
      </c>
      <c r="AB47" s="457" t="n">
        <v>47422</v>
      </c>
      <c r="AC47" s="141">
        <f>_xlfn.CONCAT(YEAR(AB47),".",TEXT(MONTH(AB47),"0#"))</f>
        <v/>
      </c>
      <c r="AD47">
        <f>WEEKDAY(AB47)</f>
        <v/>
      </c>
      <c r="AE47">
        <f>VLOOKUP(AD47,AG$2:AH$8,2,FALSE)</f>
        <v/>
      </c>
    </row>
    <row r="48">
      <c r="A48" s="550" t="inlineStr">
        <is>
          <t>.t047</t>
        </is>
      </c>
      <c r="B48" s="141" t="n">
        <v>47</v>
      </c>
      <c r="C48">
        <f>H48</f>
        <v/>
      </c>
      <c r="E48" s="456">
        <f>F47+2</f>
        <v/>
      </c>
      <c r="F48" s="456">
        <f>E48+5</f>
        <v/>
      </c>
      <c r="G48" s="141">
        <f>_xlfn.CONCAT(YEAR(E48),".",TEXT(MONTH(E48),"0#"))</f>
        <v/>
      </c>
      <c r="H48">
        <f>YEAR(E48)</f>
        <v/>
      </c>
      <c r="I48">
        <f>IF(VLOOKUP(G48,AC:AD,2,FALSE)&lt;4,1,0)</f>
        <v/>
      </c>
      <c r="J48">
        <f>IF(AND(DAY(F48)&lt; DAY(E48),I48=1),MONTH(E48)+1,MONTH(E48))</f>
        <v/>
      </c>
      <c r="K48" s="201">
        <f>_xlfn.CONCAT(H48,".",TEXT(J48,"0#"))</f>
        <v/>
      </c>
      <c r="AA48" s="458" t="n">
        <v>11</v>
      </c>
      <c r="AB48" s="457" t="n">
        <v>47452</v>
      </c>
      <c r="AC48" s="141">
        <f>_xlfn.CONCAT(YEAR(AB48),".",TEXT(MONTH(AB48),"0#"))</f>
        <v/>
      </c>
      <c r="AD48">
        <f>WEEKDAY(AB48)</f>
        <v/>
      </c>
      <c r="AE48">
        <f>VLOOKUP(AD48,AG$2:AH$8,2,FALSE)</f>
        <v/>
      </c>
    </row>
    <row r="49">
      <c r="A49" s="550" t="inlineStr">
        <is>
          <t>.t048</t>
        </is>
      </c>
      <c r="B49" s="141" t="n">
        <v>48</v>
      </c>
      <c r="C49">
        <f>H49</f>
        <v/>
      </c>
      <c r="E49" s="456">
        <f>F48+2</f>
        <v/>
      </c>
      <c r="F49" s="456">
        <f>E49+5</f>
        <v/>
      </c>
      <c r="G49" s="141">
        <f>_xlfn.CONCAT(YEAR(E49),".",TEXT(MONTH(E49),"0#"))</f>
        <v/>
      </c>
      <c r="H49">
        <f>YEAR(E49)</f>
        <v/>
      </c>
      <c r="I49">
        <f>IF(VLOOKUP(G49,AC:AD,2,FALSE)&lt;4,1,0)</f>
        <v/>
      </c>
      <c r="J49">
        <f>IF(AND(DAY(F49)&lt; DAY(E49),I49=1),MONTH(E49)+1,MONTH(E49))</f>
        <v/>
      </c>
      <c r="K49" s="201">
        <f>_xlfn.CONCAT(H49,".",TEXT(J49,"0#"))</f>
        <v/>
      </c>
      <c r="AA49" s="458" t="n">
        <v>12</v>
      </c>
      <c r="AB49" s="457" t="n">
        <v>47483</v>
      </c>
      <c r="AC49" s="141">
        <f>_xlfn.CONCAT(YEAR(AB49),".",TEXT(MONTH(AB49),"0#"))</f>
        <v/>
      </c>
      <c r="AD49">
        <f>WEEKDAY(AB49)</f>
        <v/>
      </c>
      <c r="AE49">
        <f>VLOOKUP(AD49,AG$2:AH$8,2,FALSE)</f>
        <v/>
      </c>
    </row>
    <row r="50">
      <c r="A50" s="550" t="inlineStr">
        <is>
          <t>.t049</t>
        </is>
      </c>
      <c r="B50" s="141" t="n">
        <v>49</v>
      </c>
      <c r="C50">
        <f>H50</f>
        <v/>
      </c>
      <c r="E50" s="456">
        <f>F49+2</f>
        <v/>
      </c>
      <c r="F50" s="456">
        <f>E50+5</f>
        <v/>
      </c>
      <c r="G50" s="141">
        <f>_xlfn.CONCAT(YEAR(E50),".",TEXT(MONTH(E50),"0#"))</f>
        <v/>
      </c>
      <c r="H50">
        <f>YEAR(E50)</f>
        <v/>
      </c>
      <c r="I50">
        <f>IF(VLOOKUP(G50,AC:AD,2,FALSE)&lt;4,1,0)</f>
        <v/>
      </c>
      <c r="J50">
        <f>IF(AND(DAY(F50)&lt; DAY(E50),I50=1),MONTH(E50)+1,MONTH(E50))</f>
        <v/>
      </c>
      <c r="K50" s="201">
        <f>_xlfn.CONCAT(H50,".",TEXT(J50,"0#"))</f>
        <v/>
      </c>
      <c r="AA50" s="444" t="n">
        <v>1</v>
      </c>
      <c r="AB50" s="457" t="n">
        <v>47514</v>
      </c>
      <c r="AC50" s="141">
        <f>_xlfn.CONCAT(YEAR(AB50),".",TEXT(MONTH(AB50),"0#"))</f>
        <v/>
      </c>
      <c r="AD50">
        <f>WEEKDAY(AB50)</f>
        <v/>
      </c>
      <c r="AE50">
        <f>VLOOKUP(AD50,AG$2:AH$8,2,FALSE)</f>
        <v/>
      </c>
    </row>
    <row r="51">
      <c r="A51" s="550" t="inlineStr">
        <is>
          <t>.t050</t>
        </is>
      </c>
      <c r="B51" s="141" t="n">
        <v>50</v>
      </c>
      <c r="C51">
        <f>H51</f>
        <v/>
      </c>
      <c r="E51" s="456">
        <f>F50+2</f>
        <v/>
      </c>
      <c r="F51" s="456">
        <f>E51+5</f>
        <v/>
      </c>
      <c r="G51" s="141">
        <f>_xlfn.CONCAT(YEAR(E51),".",TEXT(MONTH(E51),"0#"))</f>
        <v/>
      </c>
      <c r="H51">
        <f>YEAR(E51)</f>
        <v/>
      </c>
      <c r="I51">
        <f>IF(VLOOKUP(G51,AC:AD,2,FALSE)&lt;4,1,0)</f>
        <v/>
      </c>
      <c r="J51">
        <f>IF(AND(DAY(F51)&lt; DAY(E51),I51=1),MONTH(E51)+1,MONTH(E51))</f>
        <v/>
      </c>
      <c r="K51" s="201">
        <f>_xlfn.CONCAT(H51,".",TEXT(J51,"0#"))</f>
        <v/>
      </c>
      <c r="AA51" s="444" t="n">
        <v>2</v>
      </c>
      <c r="AB51" s="457" t="n">
        <v>47542</v>
      </c>
      <c r="AC51" s="141">
        <f>_xlfn.CONCAT(YEAR(AB51),".",TEXT(MONTH(AB51),"0#"))</f>
        <v/>
      </c>
      <c r="AD51">
        <f>WEEKDAY(AB51)</f>
        <v/>
      </c>
      <c r="AE51">
        <f>VLOOKUP(AD51,AG$2:AH$8,2,FALSE)</f>
        <v/>
      </c>
    </row>
    <row r="52">
      <c r="A52" s="550" t="inlineStr">
        <is>
          <t>.t051</t>
        </is>
      </c>
      <c r="B52" s="141" t="n">
        <v>51</v>
      </c>
      <c r="C52">
        <f>H52</f>
        <v/>
      </c>
      <c r="E52" s="456">
        <f>F51+2</f>
        <v/>
      </c>
      <c r="F52" s="456">
        <f>E52+5</f>
        <v/>
      </c>
      <c r="G52" s="141">
        <f>_xlfn.CONCAT(YEAR(E52),".",TEXT(MONTH(E52),"0#"))</f>
        <v/>
      </c>
      <c r="H52">
        <f>YEAR(E52)</f>
        <v/>
      </c>
      <c r="I52">
        <f>IF(VLOOKUP(G52,AC:AD,2,FALSE)&lt;4,1,0)</f>
        <v/>
      </c>
      <c r="J52">
        <f>IF(AND(DAY(F52)&lt; DAY(E52),I52=1),MONTH(E52)+1,MONTH(E52))</f>
        <v/>
      </c>
      <c r="K52" s="201">
        <f>_xlfn.CONCAT(H52,".",TEXT(J52,"0#"))</f>
        <v/>
      </c>
      <c r="AA52" s="444" t="n">
        <v>3</v>
      </c>
      <c r="AB52" s="457" t="n">
        <v>47573</v>
      </c>
      <c r="AC52" s="141">
        <f>_xlfn.CONCAT(YEAR(AB52),".",TEXT(MONTH(AB52),"0#"))</f>
        <v/>
      </c>
      <c r="AD52">
        <f>WEEKDAY(AB52)</f>
        <v/>
      </c>
      <c r="AE52" s="459">
        <f>VLOOKUP(AD52,AG$2:AH$8,2,FALSE)</f>
        <v/>
      </c>
    </row>
    <row r="53">
      <c r="A53" s="550" t="inlineStr">
        <is>
          <t>.t052</t>
        </is>
      </c>
      <c r="B53" s="141" t="n">
        <v>52</v>
      </c>
      <c r="C53">
        <f>H53</f>
        <v/>
      </c>
      <c r="E53" s="456">
        <f>F52+2</f>
        <v/>
      </c>
      <c r="F53" s="456">
        <f>E53+5</f>
        <v/>
      </c>
      <c r="G53" s="141">
        <f>_xlfn.CONCAT(YEAR(E53),".",TEXT(MONTH(E53),"0#"))</f>
        <v/>
      </c>
      <c r="H53">
        <f>YEAR(E53)</f>
        <v/>
      </c>
      <c r="I53">
        <f>IF(VLOOKUP(G53,AC:AD,2,FALSE)&lt;4,1,0)</f>
        <v/>
      </c>
      <c r="J53">
        <f>IF(AND(DAY(F53)&lt; DAY(E53),I53=1),MONTH(E53)+1,MONTH(E53))</f>
        <v/>
      </c>
      <c r="K53" s="201">
        <f>_xlfn.CONCAT(H53,".",TEXT(J53,"0#"))</f>
        <v/>
      </c>
      <c r="AA53" s="444" t="n">
        <v>4</v>
      </c>
      <c r="AB53" s="457" t="n">
        <v>47603</v>
      </c>
      <c r="AC53" s="141">
        <f>_xlfn.CONCAT(YEAR(AB53),".",TEXT(MONTH(AB53),"0#"))</f>
        <v/>
      </c>
      <c r="AD53">
        <f>WEEKDAY(AB53)</f>
        <v/>
      </c>
      <c r="AE53">
        <f>VLOOKUP(AD53,AG$2:AH$8,2,FALSE)</f>
        <v/>
      </c>
    </row>
    <row r="54">
      <c r="A54" s="550" t="inlineStr">
        <is>
          <t>.t053</t>
        </is>
      </c>
      <c r="B54" s="141" t="n">
        <v>53</v>
      </c>
      <c r="C54">
        <f>H54</f>
        <v/>
      </c>
      <c r="E54" s="456">
        <f>F53+2</f>
        <v/>
      </c>
      <c r="F54" s="456">
        <f>E54+5</f>
        <v/>
      </c>
      <c r="G54" s="141">
        <f>_xlfn.CONCAT(YEAR(E54),".",TEXT(MONTH(E54),"0#"))</f>
        <v/>
      </c>
      <c r="H54">
        <f>YEAR(E54)</f>
        <v/>
      </c>
      <c r="I54">
        <f>IF(VLOOKUP(G54,AC:AD,2,FALSE)&lt;4,1,0)</f>
        <v/>
      </c>
      <c r="J54">
        <f>IF(AND(DAY(F54)&lt; DAY(E54),I54=1),MONTH(E54)+1,MONTH(E54))</f>
        <v/>
      </c>
      <c r="K54" s="201">
        <f>_xlfn.CONCAT(H54,".",TEXT(J54,"0#"))</f>
        <v/>
      </c>
      <c r="AA54" s="444" t="n">
        <v>5</v>
      </c>
      <c r="AB54" s="457" t="n">
        <v>47634</v>
      </c>
      <c r="AC54" s="141">
        <f>_xlfn.CONCAT(YEAR(AB54),".",TEXT(MONTH(AB54),"0#"))</f>
        <v/>
      </c>
      <c r="AD54">
        <f>WEEKDAY(AB54)</f>
        <v/>
      </c>
      <c r="AE54">
        <f>VLOOKUP(AD54,AG$2:AH$8,2,FALSE)</f>
        <v/>
      </c>
    </row>
    <row r="55">
      <c r="A55" s="550" t="inlineStr">
        <is>
          <t>.t054</t>
        </is>
      </c>
      <c r="B55" s="289" t="n">
        <v>54</v>
      </c>
      <c r="C55">
        <f>H55</f>
        <v/>
      </c>
      <c r="E55" s="456">
        <f>F54+2</f>
        <v/>
      </c>
      <c r="F55" s="456">
        <f>E55+5</f>
        <v/>
      </c>
      <c r="G55" s="141">
        <f>_xlfn.CONCAT(YEAR(E55),".",TEXT(MONTH(E55),"0#"))</f>
        <v/>
      </c>
      <c r="H55">
        <f>YEAR(E55)</f>
        <v/>
      </c>
      <c r="I55">
        <f>IF(VLOOKUP(G55,AC:AD,2,FALSE)&lt;4,1,0)</f>
        <v/>
      </c>
      <c r="J55">
        <f>IF(AND(DAY(F55)&lt; DAY(E55),I55=1),MONTH(E55)+1,MONTH(E55))</f>
        <v/>
      </c>
      <c r="K55" s="201">
        <f>_xlfn.CONCAT(H55,".",TEXT(J55,"0#"))</f>
        <v/>
      </c>
      <c r="AA55" s="444" t="n">
        <v>6</v>
      </c>
      <c r="AB55" s="457" t="n">
        <v>47664</v>
      </c>
      <c r="AC55" s="141">
        <f>_xlfn.CONCAT(YEAR(AB55),".",TEXT(MONTH(AB55),"0#"))</f>
        <v/>
      </c>
      <c r="AD55">
        <f>WEEKDAY(AB55)</f>
        <v/>
      </c>
      <c r="AE55" s="459">
        <f>VLOOKUP(AD55,AG$2:AH$8,2,FALSE)</f>
        <v/>
      </c>
    </row>
    <row r="56">
      <c r="A56" s="550" t="inlineStr">
        <is>
          <t>.t055</t>
        </is>
      </c>
      <c r="B56" s="289" t="n">
        <v>55</v>
      </c>
      <c r="C56">
        <f>H56</f>
        <v/>
      </c>
      <c r="E56" s="456">
        <f>F55+2</f>
        <v/>
      </c>
      <c r="F56" s="456">
        <f>E56+5</f>
        <v/>
      </c>
      <c r="G56" s="141">
        <f>_xlfn.CONCAT(YEAR(E56),".",TEXT(MONTH(E56),"0#"))</f>
        <v/>
      </c>
      <c r="H56">
        <f>YEAR(E56)</f>
        <v/>
      </c>
      <c r="I56">
        <f>IF(VLOOKUP(G56,AC:AD,2,FALSE)&lt;4,1,0)</f>
        <v/>
      </c>
      <c r="J56">
        <f>IF(AND(DAY(F56)&lt; DAY(E56),I56=1),MONTH(E56)+1,MONTH(E56))</f>
        <v/>
      </c>
      <c r="K56" s="201">
        <f>_xlfn.CONCAT(H56,".",TEXT(J56,"0#"))</f>
        <v/>
      </c>
      <c r="AA56" s="444" t="n">
        <v>7</v>
      </c>
      <c r="AB56" s="457" t="n">
        <v>47695</v>
      </c>
      <c r="AC56" s="141">
        <f>_xlfn.CONCAT(YEAR(AB56),".",TEXT(MONTH(AB56),"0#"))</f>
        <v/>
      </c>
      <c r="AD56">
        <f>WEEKDAY(AB56)</f>
        <v/>
      </c>
      <c r="AE56">
        <f>VLOOKUP(AD56,AG$2:AH$8,2,FALSE)</f>
        <v/>
      </c>
    </row>
    <row r="57">
      <c r="A57" s="550" t="inlineStr">
        <is>
          <t>.t056</t>
        </is>
      </c>
      <c r="B57" s="289" t="n">
        <v>56</v>
      </c>
      <c r="C57">
        <f>H57</f>
        <v/>
      </c>
      <c r="E57" s="456">
        <f>F56+2</f>
        <v/>
      </c>
      <c r="F57" s="456">
        <f>E57+5</f>
        <v/>
      </c>
      <c r="G57" s="141">
        <f>_xlfn.CONCAT(YEAR(E57),".",TEXT(MONTH(E57),"0#"))</f>
        <v/>
      </c>
      <c r="H57">
        <f>YEAR(E57)</f>
        <v/>
      </c>
      <c r="I57">
        <f>IF(VLOOKUP(G57,AC:AD,2,FALSE)&lt;4,1,0)</f>
        <v/>
      </c>
      <c r="J57">
        <f>IF(AND(DAY(F57)&lt; DAY(E57),I57=1),MONTH(E57)+1,MONTH(E57))</f>
        <v/>
      </c>
      <c r="K57" s="201">
        <f>_xlfn.CONCAT(H57,".",TEXT(J57,"0#"))</f>
        <v/>
      </c>
      <c r="AA57" s="444" t="n">
        <v>8</v>
      </c>
      <c r="AB57" s="457" t="n">
        <v>47726</v>
      </c>
      <c r="AC57" s="141">
        <f>_xlfn.CONCAT(YEAR(AB57),".",TEXT(MONTH(AB57),"0#"))</f>
        <v/>
      </c>
      <c r="AD57">
        <f>WEEKDAY(AB57)</f>
        <v/>
      </c>
      <c r="AE57" s="459">
        <f>VLOOKUP(AD57,AG$2:AH$8,2,FALSE)</f>
        <v/>
      </c>
    </row>
    <row r="58">
      <c r="A58" s="550" t="inlineStr">
        <is>
          <t>.t057</t>
        </is>
      </c>
      <c r="B58" s="289" t="n">
        <v>57</v>
      </c>
      <c r="C58">
        <f>H58</f>
        <v/>
      </c>
      <c r="E58" s="456">
        <f>F57+2</f>
        <v/>
      </c>
      <c r="F58" s="456">
        <f>E58+5</f>
        <v/>
      </c>
      <c r="G58" s="141">
        <f>_xlfn.CONCAT(YEAR(E58),".",TEXT(MONTH(E58),"0#"))</f>
        <v/>
      </c>
      <c r="H58">
        <f>YEAR(E58)</f>
        <v/>
      </c>
      <c r="I58">
        <f>IF(VLOOKUP(G58,AC:AD,2,FALSE)&lt;4,1,0)</f>
        <v/>
      </c>
      <c r="J58">
        <f>IF(AND(DAY(F58)&lt; DAY(E58),I58=1),MONTH(E58)+1,MONTH(E58))</f>
        <v/>
      </c>
      <c r="K58" s="201">
        <f>_xlfn.CONCAT(H58,".",TEXT(J58,"0#"))</f>
        <v/>
      </c>
      <c r="AA58" s="444" t="n">
        <v>9</v>
      </c>
      <c r="AB58" s="457" t="n">
        <v>47756</v>
      </c>
      <c r="AC58" s="141">
        <f>_xlfn.CONCAT(YEAR(AB58),".",TEXT(MONTH(AB58),"0#"))</f>
        <v/>
      </c>
      <c r="AD58">
        <f>WEEKDAY(AB58)</f>
        <v/>
      </c>
      <c r="AE58">
        <f>VLOOKUP(AD58,AG$2:AH$8,2,FALSE)</f>
        <v/>
      </c>
    </row>
    <row r="59">
      <c r="A59" s="550" t="inlineStr">
        <is>
          <t>.t058</t>
        </is>
      </c>
      <c r="B59" s="289" t="n">
        <v>58</v>
      </c>
      <c r="C59">
        <f>H59</f>
        <v/>
      </c>
      <c r="E59" s="456">
        <f>F58+2</f>
        <v/>
      </c>
      <c r="F59" s="456">
        <f>E59+5</f>
        <v/>
      </c>
      <c r="G59" s="141">
        <f>_xlfn.CONCAT(YEAR(E59),".",TEXT(MONTH(E59),"0#"))</f>
        <v/>
      </c>
      <c r="H59">
        <f>YEAR(E59)</f>
        <v/>
      </c>
      <c r="I59">
        <f>IF(VLOOKUP(G59,AC:AD,2,FALSE)&lt;4,1,0)</f>
        <v/>
      </c>
      <c r="J59">
        <f>IF(AND(DAY(F59)&lt; DAY(E59),I59=1),MONTH(E59)+1,MONTH(E59))</f>
        <v/>
      </c>
      <c r="K59" s="201">
        <f>_xlfn.CONCAT(H59,".",TEXT(J59,"0#"))</f>
        <v/>
      </c>
      <c r="AA59" s="444" t="n">
        <v>10</v>
      </c>
      <c r="AB59" s="457" t="n">
        <v>47787</v>
      </c>
      <c r="AC59" s="141">
        <f>_xlfn.CONCAT(YEAR(AB59),".",TEXT(MONTH(AB59),"0#"))</f>
        <v/>
      </c>
      <c r="AD59">
        <f>WEEKDAY(AB59)</f>
        <v/>
      </c>
      <c r="AE59">
        <f>VLOOKUP(AD59,AG$2:AH$8,2,FALSE)</f>
        <v/>
      </c>
    </row>
    <row r="60">
      <c r="A60" s="550" t="inlineStr">
        <is>
          <t>.t059</t>
        </is>
      </c>
      <c r="B60" s="289" t="n">
        <v>59</v>
      </c>
      <c r="C60">
        <f>H60</f>
        <v/>
      </c>
      <c r="E60" s="456">
        <f>F59+2</f>
        <v/>
      </c>
      <c r="F60" s="456">
        <f>E60+5</f>
        <v/>
      </c>
      <c r="G60" s="141">
        <f>_xlfn.CONCAT(YEAR(E60),".",TEXT(MONTH(E60),"0#"))</f>
        <v/>
      </c>
      <c r="H60">
        <f>YEAR(E60)</f>
        <v/>
      </c>
      <c r="I60">
        <f>IF(VLOOKUP(G60,AC:AD,2,FALSE)&lt;4,1,0)</f>
        <v/>
      </c>
      <c r="J60">
        <f>IF(AND(DAY(F60)&lt; DAY(E60),I60=1),MONTH(E60)+1,MONTH(E60))</f>
        <v/>
      </c>
      <c r="K60" s="201">
        <f>_xlfn.CONCAT(H60,".",TEXT(J60,"0#"))</f>
        <v/>
      </c>
      <c r="AA60" s="444" t="n">
        <v>11</v>
      </c>
      <c r="AB60" s="457" t="n">
        <v>47817</v>
      </c>
      <c r="AC60" s="141">
        <f>_xlfn.CONCAT(YEAR(AB60),".",TEXT(MONTH(AB60),"0#"))</f>
        <v/>
      </c>
      <c r="AD60">
        <f>WEEKDAY(AB60)</f>
        <v/>
      </c>
      <c r="AE60" s="459">
        <f>VLOOKUP(AD60,AG$2:AH$8,2,FALSE)</f>
        <v/>
      </c>
    </row>
    <row r="61">
      <c r="A61" s="550" t="inlineStr">
        <is>
          <t>.t060</t>
        </is>
      </c>
      <c r="B61" s="289" t="n">
        <v>60</v>
      </c>
      <c r="C61">
        <f>H61</f>
        <v/>
      </c>
      <c r="E61" s="456">
        <f>F60+2</f>
        <v/>
      </c>
      <c r="F61" s="456">
        <f>E61+5</f>
        <v/>
      </c>
      <c r="G61" s="141">
        <f>_xlfn.CONCAT(YEAR(E61),".",TEXT(MONTH(E61),"0#"))</f>
        <v/>
      </c>
      <c r="H61">
        <f>YEAR(E61)</f>
        <v/>
      </c>
      <c r="I61">
        <f>IF(VLOOKUP(G61,AC:AD,2,FALSE)&lt;4,1,0)</f>
        <v/>
      </c>
      <c r="J61">
        <f>IF(AND(DAY(F61)&lt; DAY(E61),I61=1),MONTH(E61)+1,MONTH(E61))</f>
        <v/>
      </c>
      <c r="K61" s="201">
        <f>_xlfn.CONCAT(H61,".",TEXT(J61,"0#"))</f>
        <v/>
      </c>
      <c r="AA61" s="444" t="n">
        <v>12</v>
      </c>
      <c r="AB61" s="457" t="n">
        <v>47848</v>
      </c>
      <c r="AC61" s="141">
        <f>_xlfn.CONCAT(YEAR(AB61),".",TEXT(MONTH(AB61),"0#"))</f>
        <v/>
      </c>
      <c r="AD61">
        <f>WEEKDAY(AB61)</f>
        <v/>
      </c>
      <c r="AE61">
        <f>VLOOKUP(AD61,AG$2:AH$8,2,FALSE)</f>
        <v/>
      </c>
    </row>
    <row r="62">
      <c r="A62" s="550" t="inlineStr">
        <is>
          <t>.t061</t>
        </is>
      </c>
      <c r="B62" s="289" t="n">
        <v>61</v>
      </c>
      <c r="C62">
        <f>H62</f>
        <v/>
      </c>
      <c r="E62" s="456">
        <f>F61+2</f>
        <v/>
      </c>
      <c r="F62" s="456">
        <f>E62+5</f>
        <v/>
      </c>
      <c r="G62" s="141">
        <f>_xlfn.CONCAT(YEAR(E62),".",TEXT(MONTH(E62),"0#"))</f>
        <v/>
      </c>
      <c r="H62">
        <f>YEAR(E62)</f>
        <v/>
      </c>
      <c r="I62">
        <f>IF(VLOOKUP(G62,AC:AD,2,FALSE)&lt;4,1,0)</f>
        <v/>
      </c>
      <c r="J62">
        <f>IF(AND(DAY(F62)&lt; DAY(E62),I62=1),MONTH(E62)+1,MONTH(E62))</f>
        <v/>
      </c>
      <c r="K62" s="201">
        <f>_xlfn.CONCAT(H62,".",TEXT(J62,"0#"))</f>
        <v/>
      </c>
      <c r="AA62" s="458" t="n">
        <v>1</v>
      </c>
      <c r="AB62" s="457" t="n">
        <v>47879</v>
      </c>
      <c r="AC62" s="141">
        <f>_xlfn.CONCAT(YEAR(AB62),".",TEXT(MONTH(AB62),"0#"))</f>
        <v/>
      </c>
      <c r="AD62">
        <f>WEEKDAY(AB62)</f>
        <v/>
      </c>
      <c r="AE62">
        <f>VLOOKUP(AD62,AG$2:AH$8,2,FALSE)</f>
        <v/>
      </c>
    </row>
    <row r="63">
      <c r="A63" s="550" t="inlineStr">
        <is>
          <t>.t062</t>
        </is>
      </c>
      <c r="B63" s="289" t="n">
        <v>62</v>
      </c>
      <c r="C63">
        <f>H63</f>
        <v/>
      </c>
      <c r="E63" s="456">
        <f>F62+2</f>
        <v/>
      </c>
      <c r="F63" s="456">
        <f>E63+5</f>
        <v/>
      </c>
      <c r="G63" s="141">
        <f>_xlfn.CONCAT(YEAR(E63),".",TEXT(MONTH(E63),"0#"))</f>
        <v/>
      </c>
      <c r="H63">
        <f>YEAR(E63)</f>
        <v/>
      </c>
      <c r="I63">
        <f>IF(VLOOKUP(G63,AC:AD,2,FALSE)&lt;4,1,0)</f>
        <v/>
      </c>
      <c r="J63">
        <f>IF(AND(DAY(F63)&lt; DAY(E63),I63=1),MONTH(E63)+1,MONTH(E63))</f>
        <v/>
      </c>
      <c r="K63" s="201">
        <f>_xlfn.CONCAT(H63,".",TEXT(J63,"0#"))</f>
        <v/>
      </c>
      <c r="AA63" s="458" t="n">
        <v>2</v>
      </c>
      <c r="AB63" s="457" t="n">
        <v>47907</v>
      </c>
      <c r="AC63" s="141">
        <f>_xlfn.CONCAT(YEAR(AB63),".",TEXT(MONTH(AB63),"0#"))</f>
        <v/>
      </c>
      <c r="AD63">
        <f>WEEKDAY(AB63)</f>
        <v/>
      </c>
      <c r="AE63">
        <f>VLOOKUP(AD63,AG$2:AH$8,2,FALSE)</f>
        <v/>
      </c>
    </row>
    <row r="64">
      <c r="A64" s="550" t="inlineStr">
        <is>
          <t>.t063</t>
        </is>
      </c>
      <c r="B64" s="289" t="n">
        <v>63</v>
      </c>
      <c r="C64">
        <f>H64</f>
        <v/>
      </c>
      <c r="E64" s="456">
        <f>F63+2</f>
        <v/>
      </c>
      <c r="F64" s="456">
        <f>E64+5</f>
        <v/>
      </c>
      <c r="G64" s="141">
        <f>_xlfn.CONCAT(YEAR(E64),".",TEXT(MONTH(E64),"0#"))</f>
        <v/>
      </c>
      <c r="H64">
        <f>YEAR(E64)</f>
        <v/>
      </c>
      <c r="I64">
        <f>IF(VLOOKUP(G64,AC:AD,2,FALSE)&lt;4,1,0)</f>
        <v/>
      </c>
      <c r="J64">
        <f>IF(AND(DAY(F64)&lt; DAY(E64),I64=1),MONTH(E64)+1,MONTH(E64))</f>
        <v/>
      </c>
      <c r="K64" s="201">
        <f>_xlfn.CONCAT(H64,".",TEXT(J64,"0#"))</f>
        <v/>
      </c>
      <c r="AA64" s="458" t="n">
        <v>3</v>
      </c>
      <c r="AB64" s="457" t="n">
        <v>47938</v>
      </c>
      <c r="AC64" s="141">
        <f>_xlfn.CONCAT(YEAR(AB64),".",TEXT(MONTH(AB64),"0#"))</f>
        <v/>
      </c>
      <c r="AD64">
        <f>WEEKDAY(AB64)</f>
        <v/>
      </c>
      <c r="AE64">
        <f>VLOOKUP(AD64,AG$2:AH$8,2,FALSE)</f>
        <v/>
      </c>
    </row>
    <row r="65">
      <c r="A65" s="550" t="inlineStr">
        <is>
          <t>.t064</t>
        </is>
      </c>
      <c r="B65" s="289" t="n">
        <v>64</v>
      </c>
      <c r="C65">
        <f>H65</f>
        <v/>
      </c>
      <c r="E65" s="456">
        <f>F64+2</f>
        <v/>
      </c>
      <c r="F65" s="456">
        <f>E65+5</f>
        <v/>
      </c>
      <c r="G65" s="141">
        <f>_xlfn.CONCAT(YEAR(E65),".",TEXT(MONTH(E65),"0#"))</f>
        <v/>
      </c>
      <c r="H65">
        <f>YEAR(E65)</f>
        <v/>
      </c>
      <c r="I65">
        <f>IF(VLOOKUP(G65,AC:AD,2,FALSE)&lt;4,1,0)</f>
        <v/>
      </c>
      <c r="J65">
        <f>IF(AND(DAY(F65)&lt; DAY(E65),I65=1),MONTH(E65)+1,MONTH(E65))</f>
        <v/>
      </c>
      <c r="K65" s="201">
        <f>_xlfn.CONCAT(H65,".",TEXT(J65,"0#"))</f>
        <v/>
      </c>
      <c r="AA65" s="458" t="n">
        <v>4</v>
      </c>
      <c r="AB65" s="457" t="n">
        <v>47968</v>
      </c>
      <c r="AC65" s="141">
        <f>_xlfn.CONCAT(YEAR(AB65),".",TEXT(MONTH(AB65),"0#"))</f>
        <v/>
      </c>
      <c r="AD65">
        <f>WEEKDAY(AB65)</f>
        <v/>
      </c>
      <c r="AE65">
        <f>VLOOKUP(AD65,AG$2:AH$8,2,FALSE)</f>
        <v/>
      </c>
    </row>
    <row r="66">
      <c r="A66" s="550" t="inlineStr">
        <is>
          <t>.t065</t>
        </is>
      </c>
      <c r="B66" s="289" t="n">
        <v>65</v>
      </c>
      <c r="C66">
        <f>H66</f>
        <v/>
      </c>
      <c r="E66" s="456">
        <f>F65+2</f>
        <v/>
      </c>
      <c r="F66" s="456">
        <f>E66+5</f>
        <v/>
      </c>
      <c r="G66" s="141">
        <f>_xlfn.CONCAT(YEAR(E66),".",TEXT(MONTH(E66),"0#"))</f>
        <v/>
      </c>
      <c r="H66">
        <f>YEAR(E66)</f>
        <v/>
      </c>
      <c r="I66">
        <f>IF(VLOOKUP(G66,AC:AD,2,FALSE)&lt;4,1,0)</f>
        <v/>
      </c>
      <c r="J66">
        <f>IF(AND(DAY(F66)&lt; DAY(E66),I66=1),MONTH(E66)+1,MONTH(E66))</f>
        <v/>
      </c>
      <c r="K66" s="201">
        <f>_xlfn.CONCAT(H66,".",TEXT(J66,"0#"))</f>
        <v/>
      </c>
      <c r="AA66" s="458" t="n">
        <v>5</v>
      </c>
      <c r="AB66" s="457" t="n">
        <v>47999</v>
      </c>
      <c r="AC66" s="141">
        <f>_xlfn.CONCAT(YEAR(AB66),".",TEXT(MONTH(AB66),"0#"))</f>
        <v/>
      </c>
      <c r="AD66">
        <f>WEEKDAY(AB66)</f>
        <v/>
      </c>
      <c r="AE66" s="459">
        <f>VLOOKUP(AD66,AG$2:AH$8,2,FALSE)</f>
        <v/>
      </c>
    </row>
    <row r="67">
      <c r="A67" s="550" t="inlineStr">
        <is>
          <t>.t066</t>
        </is>
      </c>
      <c r="B67" s="289" t="n">
        <v>66</v>
      </c>
      <c r="C67">
        <f>H67</f>
        <v/>
      </c>
      <c r="E67" s="456">
        <f>F66+2</f>
        <v/>
      </c>
      <c r="F67" s="456">
        <f>E67+5</f>
        <v/>
      </c>
      <c r="G67" s="141">
        <f>_xlfn.CONCAT(YEAR(E67),".",TEXT(MONTH(E67),"0#"))</f>
        <v/>
      </c>
      <c r="H67">
        <f>YEAR(E67)</f>
        <v/>
      </c>
      <c r="I67">
        <f>IF(VLOOKUP(G67,AC:AD,2,FALSE)&lt;4,1,0)</f>
        <v/>
      </c>
      <c r="J67">
        <f>IF(AND(DAY(F67)&lt; DAY(E67),I67=1),MONTH(E67)+1,MONTH(E67))</f>
        <v/>
      </c>
      <c r="K67" s="201">
        <f>_xlfn.CONCAT(H67,".",TEXT(J67,"0#"))</f>
        <v/>
      </c>
      <c r="AA67" s="458" t="n">
        <v>6</v>
      </c>
      <c r="AB67" s="457" t="n">
        <v>48029</v>
      </c>
      <c r="AC67" s="141">
        <f>_xlfn.CONCAT(YEAR(AB67),".",TEXT(MONTH(AB67),"0#"))</f>
        <v/>
      </c>
      <c r="AD67">
        <f>WEEKDAY(AB67)</f>
        <v/>
      </c>
      <c r="AE67">
        <f>VLOOKUP(AD67,AG$2:AH$8,2,FALSE)</f>
        <v/>
      </c>
    </row>
    <row r="68">
      <c r="A68" s="550" t="inlineStr">
        <is>
          <t>.t067</t>
        </is>
      </c>
      <c r="B68" s="289" t="n">
        <v>67</v>
      </c>
      <c r="C68">
        <f>H68</f>
        <v/>
      </c>
      <c r="E68" s="456">
        <f>F67+2</f>
        <v/>
      </c>
      <c r="F68" s="456">
        <f>E68+5</f>
        <v/>
      </c>
      <c r="G68" s="141">
        <f>_xlfn.CONCAT(YEAR(E68),".",TEXT(MONTH(E68),"0#"))</f>
        <v/>
      </c>
      <c r="H68">
        <f>YEAR(E68)</f>
        <v/>
      </c>
      <c r="I68">
        <f>IF(VLOOKUP(G68,AC:AD,2,FALSE)&lt;4,1,0)</f>
        <v/>
      </c>
      <c r="J68">
        <f>IF(AND(DAY(F68)&lt; DAY(E68),I68=1),MONTH(E68)+1,MONTH(E68))</f>
        <v/>
      </c>
      <c r="K68" s="201">
        <f>_xlfn.CONCAT(H68,".",TEXT(J68,"0#"))</f>
        <v/>
      </c>
      <c r="AA68" s="458" t="n">
        <v>7</v>
      </c>
      <c r="AB68" s="457" t="n">
        <v>48060</v>
      </c>
      <c r="AC68" s="141">
        <f>_xlfn.CONCAT(YEAR(AB68),".",TEXT(MONTH(AB68),"0#"))</f>
        <v/>
      </c>
      <c r="AD68">
        <f>WEEKDAY(AB68)</f>
        <v/>
      </c>
      <c r="AE68">
        <f>VLOOKUP(AD68,AG$2:AH$8,2,FALSE)</f>
        <v/>
      </c>
    </row>
    <row r="69">
      <c r="A69" s="550" t="inlineStr">
        <is>
          <t>.t068</t>
        </is>
      </c>
      <c r="B69" s="289" t="n">
        <v>68</v>
      </c>
      <c r="C69">
        <f>H69</f>
        <v/>
      </c>
      <c r="E69" s="456">
        <f>F68+2</f>
        <v/>
      </c>
      <c r="F69" s="456">
        <f>E69+5</f>
        <v/>
      </c>
      <c r="G69" s="141">
        <f>_xlfn.CONCAT(YEAR(E69),".",TEXT(MONTH(E69),"0#"))</f>
        <v/>
      </c>
      <c r="H69">
        <f>YEAR(E69)</f>
        <v/>
      </c>
      <c r="I69">
        <f>IF(VLOOKUP(G69,AC:AD,2,FALSE)&lt;4,1,0)</f>
        <v/>
      </c>
      <c r="J69">
        <f>IF(AND(DAY(F69)&lt; DAY(E69),I69=1),MONTH(E69)+1,MONTH(E69))</f>
        <v/>
      </c>
      <c r="K69" s="201">
        <f>_xlfn.CONCAT(H69,".",TEXT(J69,"0#"))</f>
        <v/>
      </c>
      <c r="AA69" s="458" t="n">
        <v>8</v>
      </c>
      <c r="AB69" s="457" t="n">
        <v>48091</v>
      </c>
      <c r="AC69" s="141">
        <f>_xlfn.CONCAT(YEAR(AB69),".",TEXT(MONTH(AB69),"0#"))</f>
        <v/>
      </c>
      <c r="AD69">
        <f>WEEKDAY(AB69)</f>
        <v/>
      </c>
      <c r="AE69" s="459">
        <f>VLOOKUP(AD69,AG$2:AH$8,2,FALSE)</f>
        <v/>
      </c>
    </row>
    <row r="70">
      <c r="A70" s="550" t="inlineStr">
        <is>
          <t>.t069</t>
        </is>
      </c>
      <c r="B70" s="289" t="n">
        <v>69</v>
      </c>
      <c r="C70">
        <f>H70</f>
        <v/>
      </c>
      <c r="E70" s="456">
        <f>F69+2</f>
        <v/>
      </c>
      <c r="F70" s="456">
        <f>E70+5</f>
        <v/>
      </c>
      <c r="G70" s="141">
        <f>_xlfn.CONCAT(YEAR(E70),".",TEXT(MONTH(E70),"0#"))</f>
        <v/>
      </c>
      <c r="H70">
        <f>YEAR(E70)</f>
        <v/>
      </c>
      <c r="I70">
        <f>IF(VLOOKUP(G70,AC:AD,2,FALSE)&lt;4,1,0)</f>
        <v/>
      </c>
      <c r="J70">
        <f>IF(AND(DAY(F70)&lt; DAY(E70),I70=1),MONTH(E70)+1,MONTH(E70))</f>
        <v/>
      </c>
      <c r="K70" s="201">
        <f>_xlfn.CONCAT(H70,".",TEXT(J70,"0#"))</f>
        <v/>
      </c>
      <c r="AA70" s="458" t="n">
        <v>9</v>
      </c>
      <c r="AB70" s="457" t="n">
        <v>48121</v>
      </c>
      <c r="AC70" s="141">
        <f>_xlfn.CONCAT(YEAR(AB70),".",TEXT(MONTH(AB70),"0#"))</f>
        <v/>
      </c>
      <c r="AD70">
        <f>WEEKDAY(AB70)</f>
        <v/>
      </c>
      <c r="AE70">
        <f>VLOOKUP(AD70,AG$2:AH$8,2,FALSE)</f>
        <v/>
      </c>
    </row>
    <row r="71">
      <c r="A71" s="550" t="inlineStr">
        <is>
          <t>.t070</t>
        </is>
      </c>
      <c r="B71" s="289" t="n">
        <v>70</v>
      </c>
      <c r="C71">
        <f>H71</f>
        <v/>
      </c>
      <c r="E71" s="456">
        <f>F70+2</f>
        <v/>
      </c>
      <c r="F71" s="456">
        <f>E71+5</f>
        <v/>
      </c>
      <c r="G71" s="141">
        <f>_xlfn.CONCAT(YEAR(E71),".",TEXT(MONTH(E71),"0#"))</f>
        <v/>
      </c>
      <c r="H71">
        <f>YEAR(E71)</f>
        <v/>
      </c>
      <c r="I71">
        <f>IF(VLOOKUP(G71,AC:AD,2,FALSE)&lt;4,1,0)</f>
        <v/>
      </c>
      <c r="J71">
        <f>IF(AND(DAY(F71)&lt; DAY(E71),I71=1),MONTH(E71)+1,MONTH(E71))</f>
        <v/>
      </c>
      <c r="K71" s="201">
        <f>_xlfn.CONCAT(H71,".",TEXT(J71,"0#"))</f>
        <v/>
      </c>
      <c r="AA71" s="458" t="n">
        <v>10</v>
      </c>
      <c r="AB71" s="457" t="n">
        <v>48152</v>
      </c>
      <c r="AC71" s="141">
        <f>_xlfn.CONCAT(YEAR(AB71),".",TEXT(MONTH(AB71),"0#"))</f>
        <v/>
      </c>
      <c r="AD71">
        <f>WEEKDAY(AB71)</f>
        <v/>
      </c>
      <c r="AE71">
        <f>VLOOKUP(AD71,AG$2:AH$8,2,FALSE)</f>
        <v/>
      </c>
    </row>
    <row r="72">
      <c r="A72" s="550" t="inlineStr">
        <is>
          <t>.t071</t>
        </is>
      </c>
      <c r="B72" s="289" t="n">
        <v>71</v>
      </c>
      <c r="C72">
        <f>H72</f>
        <v/>
      </c>
      <c r="E72" s="456">
        <f>F71+2</f>
        <v/>
      </c>
      <c r="F72" s="456">
        <f>E72+5</f>
        <v/>
      </c>
      <c r="G72" s="141">
        <f>_xlfn.CONCAT(YEAR(E72),".",TEXT(MONTH(E72),"0#"))</f>
        <v/>
      </c>
      <c r="H72">
        <f>YEAR(E72)</f>
        <v/>
      </c>
      <c r="I72">
        <f>IF(VLOOKUP(G72,AC:AD,2,FALSE)&lt;4,1,0)</f>
        <v/>
      </c>
      <c r="J72">
        <f>IF(AND(DAY(F72)&lt; DAY(E72),I72=1),MONTH(E72)+1,MONTH(E72))</f>
        <v/>
      </c>
      <c r="K72" s="201">
        <f>_xlfn.CONCAT(H72,".",TEXT(J72,"0#"))</f>
        <v/>
      </c>
      <c r="AA72" s="458" t="n">
        <v>11</v>
      </c>
      <c r="AB72" s="457" t="n">
        <v>48182</v>
      </c>
      <c r="AC72" s="141">
        <f>_xlfn.CONCAT(YEAR(AB72),".",TEXT(MONTH(AB72),"0#"))</f>
        <v/>
      </c>
      <c r="AD72">
        <f>WEEKDAY(AB72)</f>
        <v/>
      </c>
      <c r="AE72" s="459">
        <f>VLOOKUP(AD72,AG$2:AH$8,2,FALSE)</f>
        <v/>
      </c>
    </row>
    <row r="73">
      <c r="A73" s="550" t="inlineStr">
        <is>
          <t>.t072</t>
        </is>
      </c>
      <c r="B73" s="289" t="n">
        <v>72</v>
      </c>
      <c r="C73">
        <f>H73</f>
        <v/>
      </c>
      <c r="E73" s="456">
        <f>F72+2</f>
        <v/>
      </c>
      <c r="F73" s="456">
        <f>E73+5</f>
        <v/>
      </c>
      <c r="G73" s="141">
        <f>_xlfn.CONCAT(YEAR(E73),".",TEXT(MONTH(E73),"0#"))</f>
        <v/>
      </c>
      <c r="H73">
        <f>YEAR(E73)</f>
        <v/>
      </c>
      <c r="I73">
        <f>IF(VLOOKUP(G73,AC:AD,2,FALSE)&lt;4,1,0)</f>
        <v/>
      </c>
      <c r="J73">
        <f>IF(AND(DAY(F73)&lt; DAY(E73),I73=1),MONTH(E73)+1,MONTH(E73))</f>
        <v/>
      </c>
      <c r="K73" s="201">
        <f>_xlfn.CONCAT(H73,".",TEXT(J73,"0#"))</f>
        <v/>
      </c>
      <c r="AA73" s="458" t="n">
        <v>12</v>
      </c>
      <c r="AB73" s="457" t="n">
        <v>48213</v>
      </c>
      <c r="AC73" s="141">
        <f>_xlfn.CONCAT(YEAR(AB73),".",TEXT(MONTH(AB73),"0#"))</f>
        <v/>
      </c>
      <c r="AD73">
        <f>WEEKDAY(AB73)</f>
        <v/>
      </c>
      <c r="AE73">
        <f>VLOOKUP(AD73,AG$2:AH$8,2,FALSE)</f>
        <v/>
      </c>
    </row>
    <row r="74">
      <c r="A74" s="550" t="inlineStr">
        <is>
          <t>.t073</t>
        </is>
      </c>
      <c r="B74" s="289" t="n">
        <v>73</v>
      </c>
      <c r="C74">
        <f>H74</f>
        <v/>
      </c>
      <c r="E74" s="456">
        <f>F73+2</f>
        <v/>
      </c>
      <c r="F74" s="456">
        <f>E74+5</f>
        <v/>
      </c>
      <c r="G74" s="141">
        <f>_xlfn.CONCAT(YEAR(E74),".",TEXT(MONTH(E74),"0#"))</f>
        <v/>
      </c>
      <c r="H74">
        <f>YEAR(E74)</f>
        <v/>
      </c>
      <c r="I74">
        <f>IF(VLOOKUP(G74,AC:AD,2,FALSE)&lt;4,1,0)</f>
        <v/>
      </c>
      <c r="J74">
        <f>IF(AND(DAY(F74)&lt; DAY(E74),I74=1),MONTH(E74)+1,MONTH(E74))</f>
        <v/>
      </c>
      <c r="K74" s="201">
        <f>_xlfn.CONCAT(H74,".",TEXT(J74,"0#"))</f>
        <v/>
      </c>
      <c r="AA74" s="477" t="n">
        <v>1</v>
      </c>
      <c r="AB74" s="457" t="n">
        <v>48244</v>
      </c>
      <c r="AC74" s="141">
        <f>_xlfn.CONCAT(YEAR(AB74),".",TEXT(MONTH(AB74),"0#"))</f>
        <v/>
      </c>
      <c r="AD74">
        <f>WEEKDAY(AB74)</f>
        <v/>
      </c>
      <c r="AE74" s="478">
        <f>VLOOKUP(AD74,AG$2:AH$8,2,FALSE)</f>
        <v/>
      </c>
    </row>
    <row r="75">
      <c r="A75" s="550" t="inlineStr">
        <is>
          <t>.t074</t>
        </is>
      </c>
      <c r="B75" s="289" t="n">
        <v>74</v>
      </c>
      <c r="C75">
        <f>H75</f>
        <v/>
      </c>
      <c r="E75" s="456">
        <f>F74+2</f>
        <v/>
      </c>
      <c r="F75" s="456">
        <f>E75+5</f>
        <v/>
      </c>
      <c r="G75" s="141">
        <f>_xlfn.CONCAT(YEAR(E75),".",TEXT(MONTH(E75),"0#"))</f>
        <v/>
      </c>
      <c r="H75">
        <f>YEAR(E75)</f>
        <v/>
      </c>
      <c r="I75">
        <f>IF(VLOOKUP(G75,AC:AD,2,FALSE)&lt;4,1,0)</f>
        <v/>
      </c>
      <c r="J75">
        <f>IF(AND(DAY(F75)&lt; DAY(E75),I75=1),MONTH(E75)+1,MONTH(E75))</f>
        <v/>
      </c>
      <c r="K75" s="201">
        <f>_xlfn.CONCAT(H75,".",TEXT(J75,"0#"))</f>
        <v/>
      </c>
      <c r="AA75" s="477" t="n">
        <v>2</v>
      </c>
      <c r="AB75" s="457" t="n">
        <v>48273</v>
      </c>
      <c r="AC75" s="141">
        <f>_xlfn.CONCAT(YEAR(AB75),".",TEXT(MONTH(AB75),"0#"))</f>
        <v/>
      </c>
      <c r="AD75">
        <f>WEEKDAY(AB75)</f>
        <v/>
      </c>
      <c r="AE75" s="478">
        <f>VLOOKUP(AD75,AG$2:AH$8,2,FALSE)</f>
        <v/>
      </c>
    </row>
    <row r="76">
      <c r="A76" s="550" t="inlineStr">
        <is>
          <t>.t075</t>
        </is>
      </c>
      <c r="B76" s="289" t="n">
        <v>75</v>
      </c>
      <c r="C76">
        <f>H76</f>
        <v/>
      </c>
      <c r="E76" s="456">
        <f>F75+2</f>
        <v/>
      </c>
      <c r="F76" s="456">
        <f>E76+5</f>
        <v/>
      </c>
      <c r="G76" s="141">
        <f>_xlfn.CONCAT(YEAR(E76),".",TEXT(MONTH(E76),"0#"))</f>
        <v/>
      </c>
      <c r="H76">
        <f>YEAR(E76)</f>
        <v/>
      </c>
      <c r="I76">
        <f>IF(VLOOKUP(G76,AC:AD,2,FALSE)&lt;4,1,0)</f>
        <v/>
      </c>
      <c r="J76">
        <f>IF(AND(DAY(F76)&lt; DAY(E76),I76=1),MONTH(E76)+1,MONTH(E76))</f>
        <v/>
      </c>
      <c r="K76" s="201">
        <f>_xlfn.CONCAT(H76,".",TEXT(J76,"0#"))</f>
        <v/>
      </c>
      <c r="AA76" s="477" t="n">
        <v>3</v>
      </c>
      <c r="AB76" s="457" t="n">
        <v>48304</v>
      </c>
      <c r="AC76" s="141">
        <f>_xlfn.CONCAT(YEAR(AB76),".",TEXT(MONTH(AB76),"0#"))</f>
        <v/>
      </c>
      <c r="AD76">
        <f>WEEKDAY(AB76)</f>
        <v/>
      </c>
      <c r="AE76">
        <f>VLOOKUP(AD76,AG$2:AH$8,2,FALSE)</f>
        <v/>
      </c>
    </row>
    <row r="77">
      <c r="A77" s="550" t="inlineStr">
        <is>
          <t>.t076</t>
        </is>
      </c>
      <c r="B77" s="289" t="n">
        <v>76</v>
      </c>
      <c r="C77">
        <f>H77</f>
        <v/>
      </c>
      <c r="E77" s="456">
        <f>F76+2</f>
        <v/>
      </c>
      <c r="F77" s="456">
        <f>E77+5</f>
        <v/>
      </c>
      <c r="G77" s="141">
        <f>_xlfn.CONCAT(YEAR(E77),".",TEXT(MONTH(E77),"0#"))</f>
        <v/>
      </c>
      <c r="H77">
        <f>YEAR(E77)</f>
        <v/>
      </c>
      <c r="I77">
        <f>IF(VLOOKUP(G77,AC:AD,2,FALSE)&lt;4,1,0)</f>
        <v/>
      </c>
      <c r="J77">
        <f>IF(AND(DAY(F77)&lt; DAY(E77),I77=1),MONTH(E77)+1,MONTH(E77))</f>
        <v/>
      </c>
      <c r="K77" s="201">
        <f>_xlfn.CONCAT(H77,".",TEXT(J77,"0#"))</f>
        <v/>
      </c>
      <c r="AA77" s="477" t="n">
        <v>4</v>
      </c>
      <c r="AB77" s="457" t="n">
        <v>48334</v>
      </c>
      <c r="AC77" s="141">
        <f>_xlfn.CONCAT(YEAR(AB77),".",TEXT(MONTH(AB77),"0#"))</f>
        <v/>
      </c>
      <c r="AD77">
        <f>WEEKDAY(AB77)</f>
        <v/>
      </c>
      <c r="AE77">
        <f>VLOOKUP(AD77,AG$2:AH$8,2,FALSE)</f>
        <v/>
      </c>
    </row>
    <row r="78">
      <c r="A78" s="550" t="inlineStr">
        <is>
          <t>.t077</t>
        </is>
      </c>
      <c r="B78" s="289" t="n">
        <v>77</v>
      </c>
      <c r="C78">
        <f>H78</f>
        <v/>
      </c>
      <c r="E78" s="456">
        <f>F77+2</f>
        <v/>
      </c>
      <c r="F78" s="456">
        <f>E78+5</f>
        <v/>
      </c>
      <c r="G78" s="141">
        <f>_xlfn.CONCAT(YEAR(E78),".",TEXT(MONTH(E78),"0#"))</f>
        <v/>
      </c>
      <c r="H78">
        <f>YEAR(E78)</f>
        <v/>
      </c>
      <c r="I78">
        <f>IF(VLOOKUP(G78,AC:AD,2,FALSE)&lt;4,1,0)</f>
        <v/>
      </c>
      <c r="J78">
        <f>IF(AND(DAY(F78)&lt; DAY(E78),I78=1),MONTH(E78)+1,MONTH(E78))</f>
        <v/>
      </c>
      <c r="K78" s="201">
        <f>_xlfn.CONCAT(H78,".",TEXT(J78,"0#"))</f>
        <v/>
      </c>
      <c r="AA78" s="477" t="n">
        <v>5</v>
      </c>
      <c r="AB78" s="457" t="n">
        <v>48365</v>
      </c>
      <c r="AC78" s="141">
        <f>_xlfn.CONCAT(YEAR(AB78),".",TEXT(MONTH(AB78),"0#"))</f>
        <v/>
      </c>
      <c r="AD78">
        <f>WEEKDAY(AB78)</f>
        <v/>
      </c>
      <c r="AE78">
        <f>VLOOKUP(AD78,AG$2:AH$8,2,FALSE)</f>
        <v/>
      </c>
    </row>
    <row r="79">
      <c r="A79" s="550" t="inlineStr">
        <is>
          <t>.t078</t>
        </is>
      </c>
      <c r="B79" s="289" t="n">
        <v>78</v>
      </c>
      <c r="C79">
        <f>H79</f>
        <v/>
      </c>
      <c r="E79" s="456">
        <f>F78+2</f>
        <v/>
      </c>
      <c r="F79" s="456">
        <f>E79+5</f>
        <v/>
      </c>
      <c r="G79" s="141">
        <f>_xlfn.CONCAT(YEAR(E79),".",TEXT(MONTH(E79),"0#"))</f>
        <v/>
      </c>
      <c r="H79">
        <f>YEAR(E79)</f>
        <v/>
      </c>
      <c r="I79">
        <f>IF(VLOOKUP(G79,AC:AD,2,FALSE)&lt;4,1,0)</f>
        <v/>
      </c>
      <c r="J79">
        <f>IF(AND(DAY(F79)&lt; DAY(E79),I79=1),MONTH(E79)+1,MONTH(E79))</f>
        <v/>
      </c>
      <c r="K79" s="201">
        <f>_xlfn.CONCAT(H79,".",TEXT(J79,"0#"))</f>
        <v/>
      </c>
      <c r="AA79" s="477" t="n">
        <v>6</v>
      </c>
      <c r="AB79" s="457" t="n">
        <v>48395</v>
      </c>
      <c r="AC79" s="141">
        <f>_xlfn.CONCAT(YEAR(AB79),".",TEXT(MONTH(AB79),"0#"))</f>
        <v/>
      </c>
      <c r="AD79">
        <f>WEEKDAY(AB79)</f>
        <v/>
      </c>
      <c r="AE79">
        <f>VLOOKUP(AD79,AG$2:AH$8,2,FALSE)</f>
        <v/>
      </c>
    </row>
    <row r="80">
      <c r="A80" s="550" t="inlineStr">
        <is>
          <t>.t079</t>
        </is>
      </c>
      <c r="B80" s="289" t="n">
        <v>79</v>
      </c>
      <c r="C80">
        <f>H80</f>
        <v/>
      </c>
      <c r="E80" s="456">
        <f>F79+2</f>
        <v/>
      </c>
      <c r="F80" s="456">
        <f>E80+5</f>
        <v/>
      </c>
      <c r="G80" s="141">
        <f>_xlfn.CONCAT(YEAR(E80),".",TEXT(MONTH(E80),"0#"))</f>
        <v/>
      </c>
      <c r="H80">
        <f>YEAR(E80)</f>
        <v/>
      </c>
      <c r="I80">
        <f>IF(VLOOKUP(G80,AC:AD,2,FALSE)&lt;4,1,0)</f>
        <v/>
      </c>
      <c r="J80">
        <f>IF(AND(DAY(F80)&lt; DAY(E80),I80=1),MONTH(E80)+1,MONTH(E80))</f>
        <v/>
      </c>
      <c r="K80" s="201">
        <f>_xlfn.CONCAT(H80,".",TEXT(J80,"0#"))</f>
        <v/>
      </c>
      <c r="AA80" s="477" t="n">
        <v>7</v>
      </c>
      <c r="AB80" s="457" t="n">
        <v>48426</v>
      </c>
      <c r="AC80" s="141">
        <f>_xlfn.CONCAT(YEAR(AB80),".",TEXT(MONTH(AB80),"0#"))</f>
        <v/>
      </c>
      <c r="AD80">
        <f>WEEKDAY(AB80)</f>
        <v/>
      </c>
      <c r="AE80" s="478">
        <f>VLOOKUP(AD80,AG$2:AH$8,2,FALSE)</f>
        <v/>
      </c>
    </row>
    <row r="81">
      <c r="A81" s="550" t="inlineStr">
        <is>
          <t>.t080</t>
        </is>
      </c>
      <c r="B81" s="289" t="n">
        <v>80</v>
      </c>
      <c r="C81">
        <f>H81</f>
        <v/>
      </c>
      <c r="E81" s="456">
        <f>F80+2</f>
        <v/>
      </c>
      <c r="F81" s="456">
        <f>E81+5</f>
        <v/>
      </c>
      <c r="G81" s="141">
        <f>_xlfn.CONCAT(YEAR(E81),".",TEXT(MONTH(E81),"0#"))</f>
        <v/>
      </c>
      <c r="H81">
        <f>YEAR(E81)</f>
        <v/>
      </c>
      <c r="I81">
        <f>IF(VLOOKUP(G81,AC:AD,2,FALSE)&lt;4,1,0)</f>
        <v/>
      </c>
      <c r="J81">
        <f>IF(AND(DAY(F81)&lt; DAY(E81),I81=1),MONTH(E81)+1,MONTH(E81))</f>
        <v/>
      </c>
      <c r="K81" s="201">
        <f>_xlfn.CONCAT(H81,".",TEXT(J81,"0#"))</f>
        <v/>
      </c>
      <c r="AA81" s="477" t="n">
        <v>8</v>
      </c>
      <c r="AB81" s="457" t="n">
        <v>48457</v>
      </c>
      <c r="AC81" s="141">
        <f>_xlfn.CONCAT(YEAR(AB81),".",TEXT(MONTH(AB81),"0#"))</f>
        <v/>
      </c>
      <c r="AD81">
        <f>WEEKDAY(AB81)</f>
        <v/>
      </c>
      <c r="AE81">
        <f>VLOOKUP(AD81,AG$2:AH$8,2,FALSE)</f>
        <v/>
      </c>
    </row>
    <row r="82">
      <c r="A82" s="550" t="inlineStr">
        <is>
          <t>.t081</t>
        </is>
      </c>
      <c r="B82" s="289" t="n">
        <v>81</v>
      </c>
      <c r="C82">
        <f>H82</f>
        <v/>
      </c>
      <c r="E82" s="456">
        <f>F81+2</f>
        <v/>
      </c>
      <c r="F82" s="456">
        <f>E82+5</f>
        <v/>
      </c>
      <c r="G82" s="141">
        <f>_xlfn.CONCAT(YEAR(E82),".",TEXT(MONTH(E82),"0#"))</f>
        <v/>
      </c>
      <c r="H82">
        <f>YEAR(E82)</f>
        <v/>
      </c>
      <c r="I82">
        <f>IF(VLOOKUP(G82,AC:AD,2,FALSE)&lt;4,1,0)</f>
        <v/>
      </c>
      <c r="J82">
        <f>IF(AND(DAY(F82)&lt; DAY(E82),I82=1),MONTH(E82)+1,MONTH(E82))</f>
        <v/>
      </c>
      <c r="K82" s="201">
        <f>_xlfn.CONCAT(H82,".",TEXT(J82,"0#"))</f>
        <v/>
      </c>
      <c r="AA82" s="477" t="n">
        <v>9</v>
      </c>
      <c r="AB82" s="457" t="n">
        <v>48487</v>
      </c>
      <c r="AC82" s="141">
        <f>_xlfn.CONCAT(YEAR(AB82),".",TEXT(MONTH(AB82),"0#"))</f>
        <v/>
      </c>
      <c r="AD82">
        <f>WEEKDAY(AB82)</f>
        <v/>
      </c>
      <c r="AE82">
        <f>VLOOKUP(AD82,AG$2:AH$8,2,FALSE)</f>
        <v/>
      </c>
    </row>
    <row r="83">
      <c r="A83" s="550" t="inlineStr">
        <is>
          <t>.t082</t>
        </is>
      </c>
      <c r="B83" s="289" t="n">
        <v>82</v>
      </c>
      <c r="C83">
        <f>H83</f>
        <v/>
      </c>
      <c r="E83" s="456">
        <f>F82+2</f>
        <v/>
      </c>
      <c r="F83" s="456">
        <f>E83+5</f>
        <v/>
      </c>
      <c r="G83" s="141">
        <f>_xlfn.CONCAT(YEAR(E83),".",TEXT(MONTH(E83),"0#"))</f>
        <v/>
      </c>
      <c r="H83">
        <f>YEAR(E83)</f>
        <v/>
      </c>
      <c r="I83">
        <f>IF(VLOOKUP(G83,AC:AD,2,FALSE)&lt;4,1,0)</f>
        <v/>
      </c>
      <c r="J83">
        <f>IF(AND(DAY(F83)&lt; DAY(E83),I83=1),MONTH(E83)+1,MONTH(E83))</f>
        <v/>
      </c>
      <c r="K83" s="201">
        <f>_xlfn.CONCAT(H83,".",TEXT(J83,"0#"))</f>
        <v/>
      </c>
      <c r="AA83" s="477" t="n">
        <v>10</v>
      </c>
      <c r="AB83" s="457" t="n">
        <v>48518</v>
      </c>
      <c r="AC83" s="141">
        <f>_xlfn.CONCAT(YEAR(AB83),".",TEXT(MONTH(AB83),"0#"))</f>
        <v/>
      </c>
      <c r="AD83">
        <f>WEEKDAY(AB83)</f>
        <v/>
      </c>
      <c r="AE83" s="478">
        <f>VLOOKUP(AD83,AG$2:AH$8,2,FALSE)</f>
        <v/>
      </c>
    </row>
    <row r="84">
      <c r="A84" s="550" t="inlineStr">
        <is>
          <t>.t083</t>
        </is>
      </c>
      <c r="B84" s="289" t="n">
        <v>83</v>
      </c>
      <c r="C84">
        <f>H84</f>
        <v/>
      </c>
      <c r="E84" s="456">
        <f>F83+2</f>
        <v/>
      </c>
      <c r="F84" s="456">
        <f>E84+5</f>
        <v/>
      </c>
      <c r="G84" s="141">
        <f>_xlfn.CONCAT(YEAR(E84),".",TEXT(MONTH(E84),"0#"))</f>
        <v/>
      </c>
      <c r="H84">
        <f>YEAR(E84)</f>
        <v/>
      </c>
      <c r="I84">
        <f>IF(VLOOKUP(G84,AC:AD,2,FALSE)&lt;4,1,0)</f>
        <v/>
      </c>
      <c r="J84">
        <f>IF(AND(DAY(F84)&lt; DAY(E84),I84=1),MONTH(E84)+1,MONTH(E84))</f>
        <v/>
      </c>
      <c r="K84" s="201">
        <f>_xlfn.CONCAT(H84,".",TEXT(J84,"0#"))</f>
        <v/>
      </c>
      <c r="AA84" s="477" t="n">
        <v>11</v>
      </c>
      <c r="AB84" s="457" t="n">
        <v>48548</v>
      </c>
      <c r="AC84" s="141">
        <f>_xlfn.CONCAT(YEAR(AB84),".",TEXT(MONTH(AB84),"0#"))</f>
        <v/>
      </c>
      <c r="AD84">
        <f>WEEKDAY(AB84)</f>
        <v/>
      </c>
      <c r="AE84">
        <f>VLOOKUP(AD84,AG$2:AH$8,2,FALSE)</f>
        <v/>
      </c>
    </row>
    <row r="85">
      <c r="A85" s="550" t="inlineStr">
        <is>
          <t>.t084</t>
        </is>
      </c>
      <c r="B85" s="289" t="n">
        <v>84</v>
      </c>
      <c r="C85">
        <f>H85</f>
        <v/>
      </c>
      <c r="E85" s="456">
        <f>F84+2</f>
        <v/>
      </c>
      <c r="F85" s="456">
        <f>E85+5</f>
        <v/>
      </c>
      <c r="G85" s="141">
        <f>_xlfn.CONCAT(YEAR(E85),".",TEXT(MONTH(E85),"0#"))</f>
        <v/>
      </c>
      <c r="H85">
        <f>YEAR(E85)</f>
        <v/>
      </c>
      <c r="I85">
        <f>IF(VLOOKUP(G85,AC:AD,2,FALSE)&lt;4,1,0)</f>
        <v/>
      </c>
      <c r="J85">
        <f>IF(AND(DAY(F85)&lt; DAY(E85),I85=1),MONTH(E85)+1,MONTH(E85))</f>
        <v/>
      </c>
      <c r="K85" s="201">
        <f>_xlfn.CONCAT(H85,".",TEXT(J85,"0#"))</f>
        <v/>
      </c>
      <c r="AA85" s="477" t="n">
        <v>12</v>
      </c>
      <c r="AB85" s="457" t="n">
        <v>48579</v>
      </c>
      <c r="AC85" s="141">
        <f>_xlfn.CONCAT(YEAR(AB85),".",TEXT(MONTH(AB85),"0#"))</f>
        <v/>
      </c>
      <c r="AD85">
        <f>WEEKDAY(AB85)</f>
        <v/>
      </c>
      <c r="AE85">
        <f>VLOOKUP(AD85,AG$2:AH$8,2,FALSE)</f>
        <v/>
      </c>
    </row>
    <row r="86">
      <c r="A86" s="550" t="inlineStr">
        <is>
          <t>.t085</t>
        </is>
      </c>
      <c r="B86" s="289" t="n">
        <v>85</v>
      </c>
      <c r="C86">
        <f>H86</f>
        <v/>
      </c>
      <c r="E86" s="456">
        <f>F85+2</f>
        <v/>
      </c>
      <c r="F86" s="456">
        <f>E86+5</f>
        <v/>
      </c>
      <c r="G86" s="141">
        <f>_xlfn.CONCAT(YEAR(E86),".",TEXT(MONTH(E86),"0#"))</f>
        <v/>
      </c>
      <c r="H86">
        <f>YEAR(E86)</f>
        <v/>
      </c>
      <c r="I86">
        <f>IF(VLOOKUP(G86,AC:AD,2,FALSE)&lt;4,1,0)</f>
        <v/>
      </c>
      <c r="J86">
        <f>IF(AND(DAY(F86)&lt; DAY(E86),I86=1),MONTH(E86)+1,MONTH(E86))</f>
        <v/>
      </c>
      <c r="K86" s="201">
        <f>_xlfn.CONCAT(H86,".",TEXT(J86,"0#"))</f>
        <v/>
      </c>
      <c r="AA86" s="458" t="n">
        <v>1</v>
      </c>
      <c r="AB86" s="457" t="n">
        <v>48610</v>
      </c>
      <c r="AC86" s="141">
        <f>_xlfn.CONCAT(YEAR(AB86),".",TEXT(MONTH(AB86),"0#"))</f>
        <v/>
      </c>
      <c r="AD86">
        <f>WEEKDAY(AB86)</f>
        <v/>
      </c>
      <c r="AE86">
        <f>VLOOKUP(AD86,AG$2:AH$8,2,FALSE)</f>
        <v/>
      </c>
    </row>
    <row r="87">
      <c r="A87" s="550" t="inlineStr">
        <is>
          <t>.t086</t>
        </is>
      </c>
      <c r="B87" s="289" t="n">
        <v>86</v>
      </c>
      <c r="C87">
        <f>H87</f>
        <v/>
      </c>
      <c r="E87" s="456">
        <f>F86+2</f>
        <v/>
      </c>
      <c r="F87" s="456">
        <f>E87+5</f>
        <v/>
      </c>
      <c r="G87" s="141">
        <f>_xlfn.CONCAT(YEAR(E87),".",TEXT(MONTH(E87),"0#"))</f>
        <v/>
      </c>
      <c r="H87">
        <f>YEAR(E87)</f>
        <v/>
      </c>
      <c r="I87">
        <f>IF(VLOOKUP(G87,AC:AD,2,FALSE)&lt;4,1,0)</f>
        <v/>
      </c>
      <c r="J87">
        <f>IF(AND(DAY(F87)&lt; DAY(E87),I87=1),MONTH(E87)+1,MONTH(E87))</f>
        <v/>
      </c>
      <c r="K87" s="201">
        <f>_xlfn.CONCAT(H87,".",TEXT(J87,"0#"))</f>
        <v/>
      </c>
      <c r="AA87" s="458" t="n">
        <v>2</v>
      </c>
      <c r="AB87" s="457" t="n">
        <v>48638</v>
      </c>
      <c r="AC87" s="141">
        <f>_xlfn.CONCAT(YEAR(AB87),".",TEXT(MONTH(AB87),"0#"))</f>
        <v/>
      </c>
      <c r="AD87">
        <f>WEEKDAY(AB87)</f>
        <v/>
      </c>
      <c r="AE87">
        <f>VLOOKUP(AD87,AG$2:AH$8,2,FALSE)</f>
        <v/>
      </c>
    </row>
    <row r="88">
      <c r="A88" s="550" t="inlineStr">
        <is>
          <t>.t087</t>
        </is>
      </c>
      <c r="B88" s="289" t="n">
        <v>87</v>
      </c>
      <c r="C88">
        <f>H88</f>
        <v/>
      </c>
      <c r="E88" s="456">
        <f>F87+2</f>
        <v/>
      </c>
      <c r="F88" s="456">
        <f>E88+5</f>
        <v/>
      </c>
      <c r="G88" s="141">
        <f>_xlfn.CONCAT(YEAR(E88),".",TEXT(MONTH(E88),"0#"))</f>
        <v/>
      </c>
      <c r="H88">
        <f>YEAR(E88)</f>
        <v/>
      </c>
      <c r="I88">
        <f>IF(VLOOKUP(G88,AC:AD,2,FALSE)&lt;4,1,0)</f>
        <v/>
      </c>
      <c r="J88">
        <f>IF(AND(DAY(F88)&lt; DAY(E88),I88=1),MONTH(E88)+1,MONTH(E88))</f>
        <v/>
      </c>
      <c r="K88" s="201">
        <f>_xlfn.CONCAT(H88,".",TEXT(J88,"0#"))</f>
        <v/>
      </c>
      <c r="AA88" s="458" t="n">
        <v>3</v>
      </c>
      <c r="AB88" s="457" t="n">
        <v>48669</v>
      </c>
      <c r="AC88" s="141">
        <f>_xlfn.CONCAT(YEAR(AB88),".",TEXT(MONTH(AB88),"0#"))</f>
        <v/>
      </c>
      <c r="AD88">
        <f>WEEKDAY(AB88)</f>
        <v/>
      </c>
      <c r="AE88">
        <f>VLOOKUP(AD88,AG$2:AH$8,2,FALSE)</f>
        <v/>
      </c>
    </row>
    <row r="89">
      <c r="A89" s="550" t="inlineStr">
        <is>
          <t>.t088</t>
        </is>
      </c>
      <c r="B89" s="289" t="n">
        <v>88</v>
      </c>
      <c r="C89">
        <f>H89</f>
        <v/>
      </c>
      <c r="E89" s="456">
        <f>F88+2</f>
        <v/>
      </c>
      <c r="F89" s="456">
        <f>E89+5</f>
        <v/>
      </c>
      <c r="G89" s="141">
        <f>_xlfn.CONCAT(YEAR(E89),".",TEXT(MONTH(E89),"0#"))</f>
        <v/>
      </c>
      <c r="H89">
        <f>YEAR(E89)</f>
        <v/>
      </c>
      <c r="I89">
        <f>IF(VLOOKUP(G89,AC:AD,2,FALSE)&lt;4,1,0)</f>
        <v/>
      </c>
      <c r="J89">
        <f>IF(AND(DAY(F89)&lt; DAY(E89),I89=1),MONTH(E89)+1,MONTH(E89))</f>
        <v/>
      </c>
      <c r="K89" s="201">
        <f>_xlfn.CONCAT(H89,".",TEXT(J89,"0#"))</f>
        <v/>
      </c>
      <c r="AA89" s="458" t="n">
        <v>4</v>
      </c>
      <c r="AB89" s="457" t="n">
        <v>48699</v>
      </c>
      <c r="AC89" s="141">
        <f>_xlfn.CONCAT(YEAR(AB89),".",TEXT(MONTH(AB89),"0#"))</f>
        <v/>
      </c>
      <c r="AD89">
        <f>WEEKDAY(AB89)</f>
        <v/>
      </c>
      <c r="AE89" s="478">
        <f>VLOOKUP(AD89,AG$2:AH$8,2,FALSE)</f>
        <v/>
      </c>
    </row>
    <row r="90">
      <c r="A90" s="550" t="inlineStr">
        <is>
          <t>.t089</t>
        </is>
      </c>
      <c r="B90" s="289" t="n">
        <v>89</v>
      </c>
      <c r="C90">
        <f>H90</f>
        <v/>
      </c>
      <c r="E90" s="456">
        <f>F89+2</f>
        <v/>
      </c>
      <c r="F90" s="456">
        <f>E90+5</f>
        <v/>
      </c>
      <c r="G90" s="141">
        <f>_xlfn.CONCAT(YEAR(E90),".",TEXT(MONTH(E90),"0#"))</f>
        <v/>
      </c>
      <c r="H90">
        <f>YEAR(E90)</f>
        <v/>
      </c>
      <c r="I90">
        <f>IF(VLOOKUP(G90,AC:AD,2,FALSE)&lt;4,1,0)</f>
        <v/>
      </c>
      <c r="J90">
        <f>IF(AND(DAY(F90)&lt; DAY(E90),I90=1),MONTH(E90)+1,MONTH(E90))</f>
        <v/>
      </c>
      <c r="K90" s="201">
        <f>_xlfn.CONCAT(H90,".",TEXT(J90,"0#"))</f>
        <v/>
      </c>
      <c r="AA90" s="458" t="n">
        <v>5</v>
      </c>
      <c r="AB90" s="457" t="n">
        <v>48730</v>
      </c>
      <c r="AC90" s="141">
        <f>_xlfn.CONCAT(YEAR(AB90),".",TEXT(MONTH(AB90),"0#"))</f>
        <v/>
      </c>
      <c r="AD90">
        <f>WEEKDAY(AB90)</f>
        <v/>
      </c>
      <c r="AE90">
        <f>VLOOKUP(AD90,AG$2:AH$8,2,FALSE)</f>
        <v/>
      </c>
    </row>
    <row r="91">
      <c r="A91" s="550" t="inlineStr">
        <is>
          <t>.t090</t>
        </is>
      </c>
      <c r="B91" s="289" t="n">
        <v>90</v>
      </c>
      <c r="C91">
        <f>H91</f>
        <v/>
      </c>
      <c r="E91" s="456">
        <f>F90+2</f>
        <v/>
      </c>
      <c r="F91" s="456">
        <f>E91+5</f>
        <v/>
      </c>
      <c r="G91" s="141">
        <f>_xlfn.CONCAT(YEAR(E91),".",TEXT(MONTH(E91),"0#"))</f>
        <v/>
      </c>
      <c r="H91">
        <f>YEAR(E91)</f>
        <v/>
      </c>
      <c r="I91">
        <f>IF(VLOOKUP(G91,AC:AD,2,FALSE)&lt;4,1,0)</f>
        <v/>
      </c>
      <c r="J91">
        <f>IF(AND(DAY(F91)&lt; DAY(E91),I91=1),MONTH(E91)+1,MONTH(E91))</f>
        <v/>
      </c>
      <c r="K91" s="201">
        <f>_xlfn.CONCAT(H91,".",TEXT(J91,"0#"))</f>
        <v/>
      </c>
      <c r="AA91" s="458" t="n">
        <v>6</v>
      </c>
      <c r="AB91" s="457" t="n">
        <v>48760</v>
      </c>
      <c r="AC91" s="141">
        <f>_xlfn.CONCAT(YEAR(AB91),".",TEXT(MONTH(AB91),"0#"))</f>
        <v/>
      </c>
      <c r="AD91">
        <f>WEEKDAY(AB91)</f>
        <v/>
      </c>
      <c r="AE91">
        <f>VLOOKUP(AD91,AG$2:AH$8,2,FALSE)</f>
        <v/>
      </c>
    </row>
    <row r="92">
      <c r="A92" s="550" t="inlineStr">
        <is>
          <t>.t091</t>
        </is>
      </c>
      <c r="B92" s="289" t="n">
        <v>91</v>
      </c>
      <c r="C92">
        <f>H92</f>
        <v/>
      </c>
      <c r="E92" s="456">
        <f>F91+2</f>
        <v/>
      </c>
      <c r="F92" s="456">
        <f>E92+5</f>
        <v/>
      </c>
      <c r="G92" s="141">
        <f>_xlfn.CONCAT(YEAR(E92),".",TEXT(MONTH(E92),"0#"))</f>
        <v/>
      </c>
      <c r="H92">
        <f>YEAR(E92)</f>
        <v/>
      </c>
      <c r="I92">
        <f>IF(VLOOKUP(G92,AC:AD,2,FALSE)&lt;4,1,0)</f>
        <v/>
      </c>
      <c r="J92">
        <f>IF(AND(DAY(F92)&lt; DAY(E92),I92=1),MONTH(E92)+1,MONTH(E92))</f>
        <v/>
      </c>
      <c r="K92" s="201">
        <f>_xlfn.CONCAT(H92,".",TEXT(J92,"0#"))</f>
        <v/>
      </c>
      <c r="AA92" s="458" t="n">
        <v>7</v>
      </c>
      <c r="AB92" s="457" t="n">
        <v>48791</v>
      </c>
      <c r="AC92" s="141">
        <f>_xlfn.CONCAT(YEAR(AB92),".",TEXT(MONTH(AB92),"0#"))</f>
        <v/>
      </c>
      <c r="AD92">
        <f>WEEKDAY(AB92)</f>
        <v/>
      </c>
      <c r="AE92" s="478">
        <f>VLOOKUP(AD92,AG$2:AH$8,2,FALSE)</f>
        <v/>
      </c>
    </row>
    <row r="93">
      <c r="A93" s="550" t="inlineStr">
        <is>
          <t>.t092</t>
        </is>
      </c>
      <c r="B93" s="289" t="n">
        <v>92</v>
      </c>
      <c r="C93">
        <f>H93</f>
        <v/>
      </c>
      <c r="E93" s="456">
        <f>F92+2</f>
        <v/>
      </c>
      <c r="F93" s="456">
        <f>E93+5</f>
        <v/>
      </c>
      <c r="G93" s="141">
        <f>_xlfn.CONCAT(YEAR(E93),".",TEXT(MONTH(E93),"0#"))</f>
        <v/>
      </c>
      <c r="H93">
        <f>YEAR(E93)</f>
        <v/>
      </c>
      <c r="I93">
        <f>IF(VLOOKUP(G93,AC:AD,2,FALSE)&lt;4,1,0)</f>
        <v/>
      </c>
      <c r="J93">
        <f>IF(AND(DAY(F93)&lt; DAY(E93),I93=1),MONTH(E93)+1,MONTH(E93))</f>
        <v/>
      </c>
      <c r="K93" s="201">
        <f>_xlfn.CONCAT(H93,".",TEXT(J93,"0#"))</f>
        <v/>
      </c>
      <c r="AA93" s="458" t="n">
        <v>8</v>
      </c>
      <c r="AB93" s="457" t="n">
        <v>48822</v>
      </c>
      <c r="AC93" s="141">
        <f>_xlfn.CONCAT(YEAR(AB93),".",TEXT(MONTH(AB93),"0#"))</f>
        <v/>
      </c>
      <c r="AD93">
        <f>WEEKDAY(AB93)</f>
        <v/>
      </c>
      <c r="AE93">
        <f>VLOOKUP(AD93,AG$2:AH$8,2,FALSE)</f>
        <v/>
      </c>
    </row>
    <row r="94">
      <c r="A94" s="550" t="inlineStr">
        <is>
          <t>.t093</t>
        </is>
      </c>
      <c r="B94" s="289" t="n">
        <v>93</v>
      </c>
      <c r="C94">
        <f>H94</f>
        <v/>
      </c>
      <c r="E94" s="456">
        <f>F93+2</f>
        <v/>
      </c>
      <c r="F94" s="456">
        <f>E94+5</f>
        <v/>
      </c>
      <c r="G94" s="141">
        <f>_xlfn.CONCAT(YEAR(E94),".",TEXT(MONTH(E94),"0#"))</f>
        <v/>
      </c>
      <c r="H94">
        <f>YEAR(E94)</f>
        <v/>
      </c>
      <c r="I94">
        <f>IF(VLOOKUP(G94,AC:AD,2,FALSE)&lt;4,1,0)</f>
        <v/>
      </c>
      <c r="J94">
        <f>IF(AND(DAY(F94)&lt; DAY(E94),I94=1),MONTH(E94)+1,MONTH(E94))</f>
        <v/>
      </c>
      <c r="K94" s="201">
        <f>_xlfn.CONCAT(H94,".",TEXT(J94,"0#"))</f>
        <v/>
      </c>
      <c r="AA94" s="458" t="n">
        <v>9</v>
      </c>
      <c r="AB94" s="457" t="n">
        <v>48852</v>
      </c>
      <c r="AC94" s="141">
        <f>_xlfn.CONCAT(YEAR(AB94),".",TEXT(MONTH(AB94),"0#"))</f>
        <v/>
      </c>
      <c r="AD94">
        <f>WEEKDAY(AB94)</f>
        <v/>
      </c>
      <c r="AE94">
        <f>VLOOKUP(AD94,AG$2:AH$8,2,FALSE)</f>
        <v/>
      </c>
    </row>
    <row r="95">
      <c r="A95" s="550" t="inlineStr">
        <is>
          <t>.t094</t>
        </is>
      </c>
      <c r="B95" s="289" t="n">
        <v>94</v>
      </c>
      <c r="C95">
        <f>H95</f>
        <v/>
      </c>
      <c r="E95" s="456">
        <f>F94+2</f>
        <v/>
      </c>
      <c r="F95" s="456">
        <f>E95+5</f>
        <v/>
      </c>
      <c r="G95" s="141">
        <f>_xlfn.CONCAT(YEAR(E95),".",TEXT(MONTH(E95),"0#"))</f>
        <v/>
      </c>
      <c r="H95">
        <f>YEAR(E95)</f>
        <v/>
      </c>
      <c r="I95">
        <f>IF(VLOOKUP(G95,AC:AD,2,FALSE)&lt;4,1,0)</f>
        <v/>
      </c>
      <c r="J95">
        <f>IF(AND(DAY(F95)&lt; DAY(E95),I95=1),MONTH(E95)+1,MONTH(E95))</f>
        <v/>
      </c>
      <c r="K95" s="201">
        <f>_xlfn.CONCAT(H95,".",TEXT(J95,"0#"))</f>
        <v/>
      </c>
      <c r="AA95" s="458" t="n">
        <v>10</v>
      </c>
      <c r="AB95" s="457" t="n">
        <v>48883</v>
      </c>
      <c r="AC95" s="141">
        <f>_xlfn.CONCAT(YEAR(AB95),".",TEXT(MONTH(AB95),"0#"))</f>
        <v/>
      </c>
      <c r="AD95">
        <f>WEEKDAY(AB95)</f>
        <v/>
      </c>
      <c r="AE95">
        <f>VLOOKUP(AD95,AG$2:AH$8,2,FALSE)</f>
        <v/>
      </c>
    </row>
    <row r="96">
      <c r="A96" s="550" t="inlineStr">
        <is>
          <t>.t095</t>
        </is>
      </c>
      <c r="B96" s="289" t="n">
        <v>95</v>
      </c>
      <c r="C96">
        <f>H96</f>
        <v/>
      </c>
      <c r="E96" s="456">
        <f>F95+2</f>
        <v/>
      </c>
      <c r="F96" s="456">
        <f>E96+5</f>
        <v/>
      </c>
      <c r="G96" s="141">
        <f>_xlfn.CONCAT(YEAR(E96),".",TEXT(MONTH(E96),"0#"))</f>
        <v/>
      </c>
      <c r="H96">
        <f>YEAR(E96)</f>
        <v/>
      </c>
      <c r="I96">
        <f>IF(VLOOKUP(G96,AC:AD,2,FALSE)&lt;4,1,0)</f>
        <v/>
      </c>
      <c r="J96">
        <f>IF(AND(DAY(F96)&lt; DAY(E96),I96=1),MONTH(E96)+1,MONTH(E96))</f>
        <v/>
      </c>
      <c r="K96" s="201">
        <f>_xlfn.CONCAT(H96,".",TEXT(J96,"0#"))</f>
        <v/>
      </c>
      <c r="AA96" s="458" t="n">
        <v>11</v>
      </c>
      <c r="AB96" s="457" t="n">
        <v>48913</v>
      </c>
      <c r="AC96" s="141">
        <f>_xlfn.CONCAT(YEAR(AB96),".",TEXT(MONTH(AB96),"0#"))</f>
        <v/>
      </c>
      <c r="AD96">
        <f>WEEKDAY(AB96)</f>
        <v/>
      </c>
      <c r="AE96">
        <f>VLOOKUP(AD96,AG$2:AH$8,2,FALSE)</f>
        <v/>
      </c>
    </row>
    <row r="97">
      <c r="A97" s="550" t="inlineStr">
        <is>
          <t>.t096</t>
        </is>
      </c>
      <c r="B97" s="289" t="n">
        <v>96</v>
      </c>
      <c r="C97">
        <f>H97</f>
        <v/>
      </c>
      <c r="E97" s="456">
        <f>F96+2</f>
        <v/>
      </c>
      <c r="F97" s="456">
        <f>E97+5</f>
        <v/>
      </c>
      <c r="G97" s="141">
        <f>_xlfn.CONCAT(YEAR(E97),".",TEXT(MONTH(E97),"0#"))</f>
        <v/>
      </c>
      <c r="H97">
        <f>YEAR(E97)</f>
        <v/>
      </c>
      <c r="I97">
        <f>IF(VLOOKUP(G97,AC:AD,2,FALSE)&lt;4,1,0)</f>
        <v/>
      </c>
      <c r="J97">
        <f>IF(AND(DAY(F97)&lt; DAY(E97),I97=1),MONTH(E97)+1,MONTH(E97))</f>
        <v/>
      </c>
      <c r="K97" s="201">
        <f>_xlfn.CONCAT(H97,".",TEXT(J97,"0#"))</f>
        <v/>
      </c>
      <c r="AA97" s="458" t="n">
        <v>12</v>
      </c>
      <c r="AB97" s="457" t="n">
        <v>48944</v>
      </c>
      <c r="AC97" s="141">
        <f>_xlfn.CONCAT(YEAR(AB97),".",TEXT(MONTH(AB97),"0#"))</f>
        <v/>
      </c>
      <c r="AD97">
        <f>WEEKDAY(AB97)</f>
        <v/>
      </c>
      <c r="AE97" s="478">
        <f>VLOOKUP(AD97,AG$2:AH$8,2,FALSE)</f>
        <v/>
      </c>
    </row>
    <row r="98">
      <c r="A98" s="550" t="inlineStr">
        <is>
          <t>.t097</t>
        </is>
      </c>
      <c r="B98" s="289" t="n">
        <v>97</v>
      </c>
      <c r="C98">
        <f>H98</f>
        <v/>
      </c>
      <c r="E98" s="456">
        <f>F97+2</f>
        <v/>
      </c>
      <c r="F98" s="456">
        <f>E98+5</f>
        <v/>
      </c>
      <c r="G98" s="141">
        <f>_xlfn.CONCAT(YEAR(E98),".",TEXT(MONTH(E98),"0#"))</f>
        <v/>
      </c>
      <c r="H98">
        <f>YEAR(E98)</f>
        <v/>
      </c>
      <c r="I98">
        <f>IF(VLOOKUP(G98,AC:AD,2,FALSE)&lt;4,1,0)</f>
        <v/>
      </c>
      <c r="J98">
        <f>IF(AND(DAY(F98)&lt; DAY(E98),I98=1),MONTH(E98)+1,MONTH(E98))</f>
        <v/>
      </c>
      <c r="K98" s="201">
        <f>_xlfn.CONCAT(H98,".",TEXT(J98,"0#"))</f>
        <v/>
      </c>
      <c r="AA98" s="477" t="n">
        <v>1</v>
      </c>
      <c r="AB98" s="457" t="n">
        <v>48975</v>
      </c>
      <c r="AC98" s="141">
        <f>_xlfn.CONCAT(YEAR(AB98),".",TEXT(MONTH(AB98),"0#"))</f>
        <v/>
      </c>
      <c r="AD98">
        <f>WEEKDAY(AB98)</f>
        <v/>
      </c>
      <c r="AE98">
        <f>VLOOKUP(AD98,AG$2:AH$8,2,FALSE)</f>
        <v/>
      </c>
    </row>
    <row r="99">
      <c r="A99" s="550" t="inlineStr">
        <is>
          <t>.t098</t>
        </is>
      </c>
      <c r="B99" s="289" t="n">
        <v>98</v>
      </c>
      <c r="C99">
        <f>H99</f>
        <v/>
      </c>
      <c r="E99" s="456">
        <f>F98+2</f>
        <v/>
      </c>
      <c r="F99" s="456">
        <f>E99+5</f>
        <v/>
      </c>
      <c r="G99" s="141">
        <f>_xlfn.CONCAT(YEAR(E99),".",TEXT(MONTH(E99),"0#"))</f>
        <v/>
      </c>
      <c r="H99">
        <f>YEAR(E99)</f>
        <v/>
      </c>
      <c r="I99">
        <f>IF(VLOOKUP(G99,AC:AD,2,FALSE)&lt;4,1,0)</f>
        <v/>
      </c>
      <c r="J99">
        <f>IF(AND(DAY(F99)&lt; DAY(E99),I99=1),MONTH(E99)+1,MONTH(E99))</f>
        <v/>
      </c>
      <c r="K99" s="201">
        <f>_xlfn.CONCAT(H99,".",TEXT(J99,"0#"))</f>
        <v/>
      </c>
      <c r="AA99" s="477" t="n">
        <v>2</v>
      </c>
      <c r="AB99" s="457" t="n">
        <v>49003</v>
      </c>
      <c r="AC99" s="141">
        <f>_xlfn.CONCAT(YEAR(AB99),".",TEXT(MONTH(AB99),"0#"))</f>
        <v/>
      </c>
      <c r="AD99">
        <f>WEEKDAY(AB99)</f>
        <v/>
      </c>
      <c r="AE99">
        <f>VLOOKUP(AD99,AG$2:AH$8,2,FALSE)</f>
        <v/>
      </c>
    </row>
    <row r="100">
      <c r="A100" s="550" t="inlineStr">
        <is>
          <t>.t099</t>
        </is>
      </c>
      <c r="B100" s="289" t="n">
        <v>99</v>
      </c>
      <c r="C100">
        <f>H100</f>
        <v/>
      </c>
      <c r="E100" s="456">
        <f>F99+2</f>
        <v/>
      </c>
      <c r="F100" s="456">
        <f>E100+5</f>
        <v/>
      </c>
      <c r="G100" s="141">
        <f>_xlfn.CONCAT(YEAR(E100),".",TEXT(MONTH(E100),"0#"))</f>
        <v/>
      </c>
      <c r="H100">
        <f>YEAR(E100)</f>
        <v/>
      </c>
      <c r="I100">
        <f>IF(VLOOKUP(G100,AC:AD,2,FALSE)&lt;4,1,0)</f>
        <v/>
      </c>
      <c r="J100">
        <f>IF(AND(DAY(F100)&lt; DAY(E100),I100=1),MONTH(E100)+1,MONTH(E100))</f>
        <v/>
      </c>
      <c r="K100" s="201">
        <f>_xlfn.CONCAT(H100,".",TEXT(J100,"0#"))</f>
        <v/>
      </c>
      <c r="AA100" s="477" t="n">
        <v>3</v>
      </c>
      <c r="AB100" s="457" t="n">
        <v>49034</v>
      </c>
      <c r="AC100" s="141">
        <f>_xlfn.CONCAT(YEAR(AB100),".",TEXT(MONTH(AB100),"0#"))</f>
        <v/>
      </c>
      <c r="AD100">
        <f>WEEKDAY(AB100)</f>
        <v/>
      </c>
      <c r="AE100">
        <f>VLOOKUP(AD100,AG$2:AH$8,2,FALSE)</f>
        <v/>
      </c>
    </row>
    <row r="101">
      <c r="A101" s="550" t="inlineStr">
        <is>
          <t>.t100</t>
        </is>
      </c>
      <c r="B101" s="289" t="n">
        <v>100</v>
      </c>
      <c r="C101">
        <f>H101</f>
        <v/>
      </c>
      <c r="E101" s="456">
        <f>F100+2</f>
        <v/>
      </c>
      <c r="F101" s="456">
        <f>E101+5</f>
        <v/>
      </c>
      <c r="G101" s="141">
        <f>_xlfn.CONCAT(YEAR(E101),".",TEXT(MONTH(E101),"0#"))</f>
        <v/>
      </c>
      <c r="H101">
        <f>YEAR(E101)</f>
        <v/>
      </c>
      <c r="I101">
        <f>IF(VLOOKUP(G101,AC:AD,2,FALSE)&lt;4,1,0)</f>
        <v/>
      </c>
      <c r="J101">
        <f>IF(AND(DAY(F101)&lt; DAY(E101),I101=1),MONTH(E101)+1,MONTH(E101))</f>
        <v/>
      </c>
      <c r="K101" s="201">
        <f>_xlfn.CONCAT(H101,".",TEXT(J101,"0#"))</f>
        <v/>
      </c>
      <c r="AA101" s="477" t="n">
        <v>4</v>
      </c>
      <c r="AB101" s="457" t="n">
        <v>49064</v>
      </c>
      <c r="AC101" s="141">
        <f>_xlfn.CONCAT(YEAR(AB101),".",TEXT(MONTH(AB101),"0#"))</f>
        <v/>
      </c>
      <c r="AD101">
        <f>WEEKDAY(AB101)</f>
        <v/>
      </c>
      <c r="AE101" s="478">
        <f>VLOOKUP(AD101,AG$2:AH$8,2,FALSE)</f>
        <v/>
      </c>
    </row>
    <row r="102">
      <c r="A102" s="550" t="inlineStr">
        <is>
          <t>.t101</t>
        </is>
      </c>
      <c r="B102" s="289" t="n">
        <v>101</v>
      </c>
      <c r="C102">
        <f>H102</f>
        <v/>
      </c>
      <c r="E102" s="456">
        <f>F101+2</f>
        <v/>
      </c>
      <c r="F102" s="456">
        <f>E102+5</f>
        <v/>
      </c>
      <c r="G102" s="141">
        <f>_xlfn.CONCAT(YEAR(E102),".",TEXT(MONTH(E102),"0#"))</f>
        <v/>
      </c>
      <c r="H102">
        <f>YEAR(E102)</f>
        <v/>
      </c>
      <c r="I102">
        <f>IF(VLOOKUP(G102,AC:AD,2,FALSE)&lt;4,1,0)</f>
        <v/>
      </c>
      <c r="J102">
        <f>IF(AND(DAY(F102)&lt; DAY(E102),I102=1),MONTH(E102)+1,MONTH(E102))</f>
        <v/>
      </c>
      <c r="K102" s="201">
        <f>_xlfn.CONCAT(H102,".",TEXT(J102,"0#"))</f>
        <v/>
      </c>
      <c r="AA102" s="477" t="n">
        <v>5</v>
      </c>
      <c r="AB102" s="457" t="n">
        <v>49095</v>
      </c>
      <c r="AC102" s="141">
        <f>_xlfn.CONCAT(YEAR(AB102),".",TEXT(MONTH(AB102),"0#"))</f>
        <v/>
      </c>
      <c r="AD102">
        <f>WEEKDAY(AB102)</f>
        <v/>
      </c>
      <c r="AE102">
        <f>VLOOKUP(AD102,AG$2:AH$8,2,FALSE)</f>
        <v/>
      </c>
    </row>
    <row r="103">
      <c r="A103" s="550" t="inlineStr">
        <is>
          <t>.t102</t>
        </is>
      </c>
      <c r="B103" s="289" t="n">
        <v>102</v>
      </c>
      <c r="C103">
        <f>H103</f>
        <v/>
      </c>
      <c r="E103" s="456">
        <f>F102+2</f>
        <v/>
      </c>
      <c r="F103" s="456">
        <f>E103+5</f>
        <v/>
      </c>
      <c r="G103" s="141">
        <f>_xlfn.CONCAT(YEAR(E103),".",TEXT(MONTH(E103),"0#"))</f>
        <v/>
      </c>
      <c r="H103">
        <f>YEAR(E103)</f>
        <v/>
      </c>
      <c r="I103">
        <f>IF(VLOOKUP(G103,AC:AD,2,FALSE)&lt;4,1,0)</f>
        <v/>
      </c>
      <c r="J103">
        <f>IF(AND(DAY(F103)&lt; DAY(E103),I103=1),MONTH(E103)+1,MONTH(E103))</f>
        <v/>
      </c>
      <c r="K103" s="201">
        <f>_xlfn.CONCAT(H103,".",TEXT(J103,"0#"))</f>
        <v/>
      </c>
      <c r="AA103" s="477" t="n">
        <v>6</v>
      </c>
      <c r="AB103" s="457" t="n">
        <v>49125</v>
      </c>
      <c r="AC103" s="141">
        <f>_xlfn.CONCAT(YEAR(AB103),".",TEXT(MONTH(AB103),"0#"))</f>
        <v/>
      </c>
      <c r="AD103">
        <f>WEEKDAY(AB103)</f>
        <v/>
      </c>
      <c r="AE103">
        <f>VLOOKUP(AD103,AG$2:AH$8,2,FALSE)</f>
        <v/>
      </c>
    </row>
    <row r="104">
      <c r="A104" s="550" t="inlineStr">
        <is>
          <t>.t103</t>
        </is>
      </c>
      <c r="B104" s="289" t="n">
        <v>103</v>
      </c>
      <c r="C104">
        <f>H104</f>
        <v/>
      </c>
      <c r="E104" s="456">
        <f>F103+2</f>
        <v/>
      </c>
      <c r="F104" s="456">
        <f>E104+5</f>
        <v/>
      </c>
      <c r="G104" s="141">
        <f>_xlfn.CONCAT(YEAR(E104),".",TEXT(MONTH(E104),"0#"))</f>
        <v/>
      </c>
      <c r="H104">
        <f>YEAR(E104)</f>
        <v/>
      </c>
      <c r="I104">
        <f>IF(VLOOKUP(G104,AC:AD,2,FALSE)&lt;4,1,0)</f>
        <v/>
      </c>
      <c r="J104">
        <f>IF(AND(DAY(F104)&lt; DAY(E104),I104=1),MONTH(E104)+1,MONTH(E104))</f>
        <v/>
      </c>
      <c r="K104" s="201">
        <f>_xlfn.CONCAT(H104,".",TEXT(J104,"0#"))</f>
        <v/>
      </c>
      <c r="AA104" s="477" t="n">
        <v>7</v>
      </c>
      <c r="AB104" s="457" t="n">
        <v>49156</v>
      </c>
      <c r="AC104" s="141">
        <f>_xlfn.CONCAT(YEAR(AB104),".",TEXT(MONTH(AB104),"0#"))</f>
        <v/>
      </c>
      <c r="AD104">
        <f>WEEKDAY(AB104)</f>
        <v/>
      </c>
      <c r="AE104">
        <f>VLOOKUP(AD104,AG$2:AH$8,2,FALSE)</f>
        <v/>
      </c>
    </row>
    <row r="105">
      <c r="A105" s="550" t="inlineStr">
        <is>
          <t>.t104</t>
        </is>
      </c>
      <c r="B105" s="289" t="n">
        <v>104</v>
      </c>
      <c r="C105">
        <f>H105</f>
        <v/>
      </c>
      <c r="E105" s="456">
        <f>F104+2</f>
        <v/>
      </c>
      <c r="F105" s="456">
        <f>E105+5</f>
        <v/>
      </c>
      <c r="G105" s="141">
        <f>_xlfn.CONCAT(YEAR(E105),".",TEXT(MONTH(E105),"0#"))</f>
        <v/>
      </c>
      <c r="H105">
        <f>YEAR(E105)</f>
        <v/>
      </c>
      <c r="I105">
        <f>IF(VLOOKUP(G105,AC:AD,2,FALSE)&lt;4,1,0)</f>
        <v/>
      </c>
      <c r="J105">
        <f>IF(AND(DAY(F105)&lt; DAY(E105),I105=1),MONTH(E105)+1,MONTH(E105))</f>
        <v/>
      </c>
      <c r="K105" s="201">
        <f>_xlfn.CONCAT(H105,".",TEXT(J105,"0#"))</f>
        <v/>
      </c>
      <c r="AA105" s="477" t="n">
        <v>8</v>
      </c>
      <c r="AB105" s="457" t="n">
        <v>49187</v>
      </c>
      <c r="AC105" s="141">
        <f>_xlfn.CONCAT(YEAR(AB105),".",TEXT(MONTH(AB105),"0#"))</f>
        <v/>
      </c>
      <c r="AD105">
        <f>WEEKDAY(AB105)</f>
        <v/>
      </c>
      <c r="AE105">
        <f>VLOOKUP(AD105,AG$2:AH$8,2,FALSE)</f>
        <v/>
      </c>
    </row>
    <row r="106">
      <c r="A106" s="550" t="inlineStr">
        <is>
          <t>.t105</t>
        </is>
      </c>
      <c r="B106" s="289" t="n">
        <v>105</v>
      </c>
      <c r="C106">
        <f>H106</f>
        <v/>
      </c>
      <c r="E106" s="456">
        <f>F105+2</f>
        <v/>
      </c>
      <c r="F106" s="456">
        <f>E106+5</f>
        <v/>
      </c>
      <c r="G106" s="141">
        <f>_xlfn.CONCAT(YEAR(E106),".",TEXT(MONTH(E106),"0#"))</f>
        <v/>
      </c>
      <c r="H106">
        <f>YEAR(E106)</f>
        <v/>
      </c>
      <c r="I106">
        <f>IF(VLOOKUP(G106,AC:AD,2,FALSE)&lt;4,1,0)</f>
        <v/>
      </c>
      <c r="J106">
        <f>IF(AND(DAY(F106)&lt; DAY(E106),I106=1),MONTH(E106)+1,MONTH(E106))</f>
        <v/>
      </c>
      <c r="K106" s="201">
        <f>_xlfn.CONCAT(H106,".",TEXT(J106,"0#"))</f>
        <v/>
      </c>
      <c r="AA106" s="477" t="n">
        <v>9</v>
      </c>
      <c r="AB106" s="457" t="n">
        <v>49217</v>
      </c>
      <c r="AC106" s="141">
        <f>_xlfn.CONCAT(YEAR(AB106),".",TEXT(MONTH(AB106),"0#"))</f>
        <v/>
      </c>
      <c r="AD106">
        <f>WEEKDAY(AB106)</f>
        <v/>
      </c>
      <c r="AE106" s="478">
        <f>VLOOKUP(AD106,AG$2:AH$8,2,FALSE)</f>
        <v/>
      </c>
    </row>
    <row r="107">
      <c r="A107" s="550" t="inlineStr">
        <is>
          <t>.t106</t>
        </is>
      </c>
      <c r="B107" s="565" t="n">
        <v>106</v>
      </c>
      <c r="C107">
        <f>H107</f>
        <v/>
      </c>
      <c r="E107" s="456">
        <f>F106+2</f>
        <v/>
      </c>
      <c r="F107" s="456">
        <f>E107+5</f>
        <v/>
      </c>
      <c r="G107" s="141">
        <f>_xlfn.CONCAT(YEAR(E107),".",TEXT(MONTH(E107),"0#"))</f>
        <v/>
      </c>
      <c r="H107">
        <f>YEAR(E107)</f>
        <v/>
      </c>
      <c r="I107">
        <f>IF(VLOOKUP(G107,AC:AD,2,FALSE)&lt;4,1,0)</f>
        <v/>
      </c>
      <c r="J107">
        <f>IF(AND(DAY(F107)&lt; DAY(E107),I107=1),MONTH(E107)+1,MONTH(E107))</f>
        <v/>
      </c>
      <c r="K107" s="201">
        <f>_xlfn.CONCAT(H107,".",TEXT(J107,"0#"))</f>
        <v/>
      </c>
      <c r="AA107" s="477" t="n">
        <v>10</v>
      </c>
      <c r="AB107" s="457" t="n">
        <v>49248</v>
      </c>
      <c r="AC107" s="141">
        <f>_xlfn.CONCAT(YEAR(AB107),".",TEXT(MONTH(AB107),"0#"))</f>
        <v/>
      </c>
      <c r="AD107">
        <f>WEEKDAY(AB107)</f>
        <v/>
      </c>
      <c r="AE107">
        <f>VLOOKUP(AD107,AG$2:AH$8,2,FALSE)</f>
        <v/>
      </c>
    </row>
    <row r="108">
      <c r="A108" s="550" t="inlineStr">
        <is>
          <t>.t107</t>
        </is>
      </c>
      <c r="B108" s="565" t="n">
        <v>107</v>
      </c>
      <c r="C108">
        <f>H108</f>
        <v/>
      </c>
      <c r="E108" s="456">
        <f>F107+2</f>
        <v/>
      </c>
      <c r="F108" s="456">
        <f>E108+5</f>
        <v/>
      </c>
      <c r="G108" s="141">
        <f>_xlfn.CONCAT(YEAR(E108),".",TEXT(MONTH(E108),"0#"))</f>
        <v/>
      </c>
      <c r="H108">
        <f>YEAR(E108)</f>
        <v/>
      </c>
      <c r="I108">
        <f>IF(VLOOKUP(G108,AC:AD,2,FALSE)&lt;4,1,0)</f>
        <v/>
      </c>
      <c r="J108">
        <f>IF(AND(DAY(F108)&lt; DAY(E108),I108=1),MONTH(E108)+1,MONTH(E108))</f>
        <v/>
      </c>
      <c r="K108" s="201">
        <f>_xlfn.CONCAT(H108,".",TEXT(J108,"0#"))</f>
        <v/>
      </c>
      <c r="AA108" s="477" t="n">
        <v>11</v>
      </c>
      <c r="AB108" s="457" t="n">
        <v>49278</v>
      </c>
      <c r="AC108" s="141">
        <f>_xlfn.CONCAT(YEAR(AB108),".",TEXT(MONTH(AB108),"0#"))</f>
        <v/>
      </c>
      <c r="AD108">
        <f>WEEKDAY(AB108)</f>
        <v/>
      </c>
      <c r="AE108">
        <f>VLOOKUP(AD108,AG$2:AH$8,2,FALSE)</f>
        <v/>
      </c>
    </row>
    <row r="109">
      <c r="A109" s="550" t="inlineStr">
        <is>
          <t>.t108</t>
        </is>
      </c>
      <c r="B109" s="565" t="n">
        <v>108</v>
      </c>
      <c r="C109">
        <f>H109</f>
        <v/>
      </c>
      <c r="E109" s="456">
        <f>F108+2</f>
        <v/>
      </c>
      <c r="F109" s="456">
        <f>E109+5</f>
        <v/>
      </c>
      <c r="G109" s="141">
        <f>_xlfn.CONCAT(YEAR(E109),".",TEXT(MONTH(E109),"0#"))</f>
        <v/>
      </c>
      <c r="H109">
        <f>YEAR(E109)</f>
        <v/>
      </c>
      <c r="I109">
        <f>IF(VLOOKUP(G109,AC:AD,2,FALSE)&lt;4,1,0)</f>
        <v/>
      </c>
      <c r="J109">
        <f>IF(AND(DAY(F109)&lt; DAY(E109),I109=1),MONTH(E109)+1,MONTH(E109))</f>
        <v/>
      </c>
      <c r="K109" s="201">
        <f>_xlfn.CONCAT(H109,".",TEXT(J109,"0#"))</f>
        <v/>
      </c>
      <c r="AA109" s="477" t="n">
        <v>12</v>
      </c>
      <c r="AB109" s="457" t="n">
        <v>49309</v>
      </c>
      <c r="AC109" s="141">
        <f>_xlfn.CONCAT(YEAR(AB109),".",TEXT(MONTH(AB109),"0#"))</f>
        <v/>
      </c>
      <c r="AD109">
        <f>WEEKDAY(AB109)</f>
        <v/>
      </c>
      <c r="AE109" s="478">
        <f>VLOOKUP(AD109,AG$2:AH$8,2,FALSE)</f>
        <v/>
      </c>
    </row>
    <row r="110">
      <c r="A110" s="550" t="inlineStr">
        <is>
          <t>.t109</t>
        </is>
      </c>
      <c r="B110" s="565" t="n">
        <v>109</v>
      </c>
      <c r="C110">
        <f>H110</f>
        <v/>
      </c>
      <c r="E110" s="456">
        <f>F109+2</f>
        <v/>
      </c>
      <c r="F110" s="456">
        <f>E110+5</f>
        <v/>
      </c>
      <c r="G110" s="141">
        <f>_xlfn.CONCAT(YEAR(E110),".",TEXT(MONTH(E110),"0#"))</f>
        <v/>
      </c>
      <c r="H110">
        <f>YEAR(E110)</f>
        <v/>
      </c>
      <c r="I110">
        <f>IF(VLOOKUP(G110,AC:AD,2,FALSE)&lt;4,1,0)</f>
        <v/>
      </c>
      <c r="J110">
        <f>IF(AND(DAY(F110)&lt; DAY(E110),I110=1),MONTH(E110)+1,MONTH(E110))</f>
        <v/>
      </c>
      <c r="K110" s="201">
        <f>_xlfn.CONCAT(H110,".",TEXT(J110,"0#"))</f>
        <v/>
      </c>
      <c r="AA110" s="458" t="n">
        <v>1</v>
      </c>
      <c r="AB110" s="457" t="n">
        <v>49340</v>
      </c>
      <c r="AC110" s="141">
        <f>_xlfn.CONCAT(YEAR(AB110),".",TEXT(MONTH(AB110),"0#"))</f>
        <v/>
      </c>
      <c r="AD110">
        <f>WEEKDAY(AB110)</f>
        <v/>
      </c>
      <c r="AE110">
        <f>VLOOKUP(AD110,AG$2:AH$8,2,FALSE)</f>
        <v/>
      </c>
    </row>
    <row r="111">
      <c r="A111" s="550" t="inlineStr">
        <is>
          <t>.t110</t>
        </is>
      </c>
      <c r="B111" s="565" t="n">
        <v>110</v>
      </c>
      <c r="C111">
        <f>H111</f>
        <v/>
      </c>
      <c r="E111" s="456">
        <f>F110+2</f>
        <v/>
      </c>
      <c r="F111" s="456">
        <f>E111+5</f>
        <v/>
      </c>
      <c r="G111" s="141">
        <f>_xlfn.CONCAT(YEAR(E111),".",TEXT(MONTH(E111),"0#"))</f>
        <v/>
      </c>
      <c r="H111">
        <f>YEAR(E111)</f>
        <v/>
      </c>
      <c r="I111">
        <f>IF(VLOOKUP(G111,AC:AD,2,FALSE)&lt;4,1,0)</f>
        <v/>
      </c>
      <c r="J111">
        <f>IF(AND(DAY(F111)&lt; DAY(E111),I111=1),MONTH(E111)+1,MONTH(E111))</f>
        <v/>
      </c>
      <c r="K111" s="201">
        <f>_xlfn.CONCAT(H111,".",TEXT(J111,"0#"))</f>
        <v/>
      </c>
      <c r="AA111" s="458" t="n">
        <v>2</v>
      </c>
      <c r="AB111" s="457" t="n">
        <v>49368</v>
      </c>
      <c r="AC111" s="141">
        <f>_xlfn.CONCAT(YEAR(AB111),".",TEXT(MONTH(AB111),"0#"))</f>
        <v/>
      </c>
      <c r="AD111">
        <f>WEEKDAY(AB111)</f>
        <v/>
      </c>
      <c r="AE111">
        <f>VLOOKUP(AD111,AG$2:AH$8,2,FALSE)</f>
        <v/>
      </c>
    </row>
    <row r="112">
      <c r="A112" s="550" t="inlineStr">
        <is>
          <t>.t111</t>
        </is>
      </c>
      <c r="B112" s="565" t="n">
        <v>111</v>
      </c>
      <c r="C112">
        <f>H112</f>
        <v/>
      </c>
      <c r="E112" s="456">
        <f>F111+2</f>
        <v/>
      </c>
      <c r="F112" s="456">
        <f>E112+5</f>
        <v/>
      </c>
      <c r="G112" s="141">
        <f>_xlfn.CONCAT(YEAR(E112),".",TEXT(MONTH(E112),"0#"))</f>
        <v/>
      </c>
      <c r="H112">
        <f>YEAR(E112)</f>
        <v/>
      </c>
      <c r="I112">
        <f>IF(VLOOKUP(G112,AC:AD,2,FALSE)&lt;4,1,0)</f>
        <v/>
      </c>
      <c r="J112">
        <f>IF(AND(DAY(F112)&lt; DAY(E112),I112=1),MONTH(E112)+1,MONTH(E112))</f>
        <v/>
      </c>
      <c r="K112" s="201">
        <f>_xlfn.CONCAT(H112,".",TEXT(J112,"0#"))</f>
        <v/>
      </c>
      <c r="AA112" s="458" t="n">
        <v>3</v>
      </c>
      <c r="AB112" s="457" t="n">
        <v>49399</v>
      </c>
      <c r="AC112" s="141">
        <f>_xlfn.CONCAT(YEAR(AB112),".",TEXT(MONTH(AB112),"0#"))</f>
        <v/>
      </c>
      <c r="AD112">
        <f>WEEKDAY(AB112)</f>
        <v/>
      </c>
      <c r="AE112" s="478">
        <f>VLOOKUP(AD112,AG$2:AH$8,2,FALSE)</f>
        <v/>
      </c>
    </row>
    <row r="113">
      <c r="A113" s="550" t="inlineStr">
        <is>
          <t>.t112</t>
        </is>
      </c>
      <c r="B113" s="565" t="n">
        <v>112</v>
      </c>
      <c r="C113">
        <f>H113</f>
        <v/>
      </c>
      <c r="E113" s="456">
        <f>F112+2</f>
        <v/>
      </c>
      <c r="F113" s="456">
        <f>E113+5</f>
        <v/>
      </c>
      <c r="G113" s="141">
        <f>_xlfn.CONCAT(YEAR(E113),".",TEXT(MONTH(E113),"0#"))</f>
        <v/>
      </c>
      <c r="H113">
        <f>YEAR(E113)</f>
        <v/>
      </c>
      <c r="I113">
        <f>IF(VLOOKUP(G113,AC:AD,2,FALSE)&lt;4,1,0)</f>
        <v/>
      </c>
      <c r="J113">
        <f>IF(AND(DAY(F113)&lt; DAY(E113),I113=1),MONTH(E113)+1,MONTH(E113))</f>
        <v/>
      </c>
      <c r="K113" s="201">
        <f>_xlfn.CONCAT(H113,".",TEXT(J113,"0#"))</f>
        <v/>
      </c>
      <c r="AA113" s="458" t="n">
        <v>4</v>
      </c>
      <c r="AB113" s="457" t="n">
        <v>49429</v>
      </c>
      <c r="AC113" s="141">
        <f>_xlfn.CONCAT(YEAR(AB113),".",TEXT(MONTH(AB113),"0#"))</f>
        <v/>
      </c>
      <c r="AD113">
        <f>WEEKDAY(AB113)</f>
        <v/>
      </c>
      <c r="AE113">
        <f>VLOOKUP(AD113,AG$2:AH$8,2,FALSE)</f>
        <v/>
      </c>
    </row>
    <row r="114">
      <c r="A114" s="550" t="inlineStr">
        <is>
          <t>.t113</t>
        </is>
      </c>
      <c r="B114" s="565" t="n">
        <v>113</v>
      </c>
      <c r="C114">
        <f>H114</f>
        <v/>
      </c>
      <c r="E114" s="456">
        <f>F113+2</f>
        <v/>
      </c>
      <c r="F114" s="456">
        <f>E114+5</f>
        <v/>
      </c>
      <c r="G114" s="141">
        <f>_xlfn.CONCAT(YEAR(E114),".",TEXT(MONTH(E114),"0#"))</f>
        <v/>
      </c>
      <c r="H114">
        <f>YEAR(E114)</f>
        <v/>
      </c>
      <c r="I114">
        <f>IF(VLOOKUP(G114,AC:AD,2,FALSE)&lt;4,1,0)</f>
        <v/>
      </c>
      <c r="J114">
        <f>IF(AND(DAY(F114)&lt; DAY(E114),I114=1),MONTH(E114)+1,MONTH(E114))</f>
        <v/>
      </c>
      <c r="K114" s="201">
        <f>_xlfn.CONCAT(H114,".",TEXT(J114,"0#"))</f>
        <v/>
      </c>
      <c r="AA114" s="458" t="n">
        <v>5</v>
      </c>
      <c r="AB114" s="457" t="n">
        <v>49460</v>
      </c>
      <c r="AC114" s="141">
        <f>_xlfn.CONCAT(YEAR(AB114),".",TEXT(MONTH(AB114),"0#"))</f>
        <v/>
      </c>
      <c r="AD114">
        <f>WEEKDAY(AB114)</f>
        <v/>
      </c>
      <c r="AE114">
        <f>VLOOKUP(AD114,AG$2:AH$8,2,FALSE)</f>
        <v/>
      </c>
    </row>
    <row r="115">
      <c r="A115" s="550" t="inlineStr">
        <is>
          <t>.t114</t>
        </is>
      </c>
      <c r="B115" s="565" t="n">
        <v>114</v>
      </c>
      <c r="C115">
        <f>H115</f>
        <v/>
      </c>
      <c r="E115" s="456">
        <f>F114+2</f>
        <v/>
      </c>
      <c r="F115" s="456">
        <f>E115+5</f>
        <v/>
      </c>
      <c r="G115" s="141">
        <f>_xlfn.CONCAT(YEAR(E115),".",TEXT(MONTH(E115),"0#"))</f>
        <v/>
      </c>
      <c r="H115">
        <f>YEAR(E115)</f>
        <v/>
      </c>
      <c r="I115">
        <f>IF(VLOOKUP(G115,AC:AD,2,FALSE)&lt;4,1,0)</f>
        <v/>
      </c>
      <c r="J115">
        <f>IF(AND(DAY(F115)&lt; DAY(E115),I115=1),MONTH(E115)+1,MONTH(E115))</f>
        <v/>
      </c>
      <c r="K115" s="201">
        <f>_xlfn.CONCAT(H115,".",TEXT(J115,"0#"))</f>
        <v/>
      </c>
      <c r="AA115" s="458" t="n">
        <v>6</v>
      </c>
      <c r="AB115" s="457" t="n">
        <v>49490</v>
      </c>
      <c r="AC115" s="141">
        <f>_xlfn.CONCAT(YEAR(AB115),".",TEXT(MONTH(AB115),"0#"))</f>
        <v/>
      </c>
      <c r="AD115">
        <f>WEEKDAY(AB115)</f>
        <v/>
      </c>
      <c r="AE115" s="478">
        <f>VLOOKUP(AD115,AG$2:AH$8,2,FALSE)</f>
        <v/>
      </c>
    </row>
    <row r="116">
      <c r="A116" s="550" t="inlineStr">
        <is>
          <t>.t115</t>
        </is>
      </c>
      <c r="B116" s="565" t="n">
        <v>115</v>
      </c>
      <c r="C116">
        <f>H116</f>
        <v/>
      </c>
      <c r="E116" s="456">
        <f>F115+2</f>
        <v/>
      </c>
      <c r="F116" s="456">
        <f>E116+5</f>
        <v/>
      </c>
      <c r="G116" s="141">
        <f>_xlfn.CONCAT(YEAR(E116),".",TEXT(MONTH(E116),"0#"))</f>
        <v/>
      </c>
      <c r="H116">
        <f>YEAR(E116)</f>
        <v/>
      </c>
      <c r="I116">
        <f>IF(VLOOKUP(G116,AC:AD,2,FALSE)&lt;4,1,0)</f>
        <v/>
      </c>
      <c r="J116">
        <f>IF(AND(DAY(F116)&lt; DAY(E116),I116=1),MONTH(E116)+1,MONTH(E116))</f>
        <v/>
      </c>
      <c r="K116" s="201">
        <f>_xlfn.CONCAT(H116,".",TEXT(J116,"0#"))</f>
        <v/>
      </c>
      <c r="AA116" s="458" t="n">
        <v>7</v>
      </c>
      <c r="AB116" s="457" t="n">
        <v>49521</v>
      </c>
      <c r="AC116" s="141">
        <f>_xlfn.CONCAT(YEAR(AB116),".",TEXT(MONTH(AB116),"0#"))</f>
        <v/>
      </c>
      <c r="AD116">
        <f>WEEKDAY(AB116)</f>
        <v/>
      </c>
      <c r="AE116">
        <f>VLOOKUP(AD116,AG$2:AH$8,2,FALSE)</f>
        <v/>
      </c>
    </row>
    <row r="117">
      <c r="A117" s="550" t="inlineStr">
        <is>
          <t>.t116</t>
        </is>
      </c>
      <c r="B117" s="565" t="n">
        <v>116</v>
      </c>
      <c r="C117">
        <f>H117</f>
        <v/>
      </c>
      <c r="E117" s="456">
        <f>F116+2</f>
        <v/>
      </c>
      <c r="F117" s="456">
        <f>E117+5</f>
        <v/>
      </c>
      <c r="G117" s="141">
        <f>_xlfn.CONCAT(YEAR(E117),".",TEXT(MONTH(E117),"0#"))</f>
        <v/>
      </c>
      <c r="H117">
        <f>YEAR(E117)</f>
        <v/>
      </c>
      <c r="I117">
        <f>IF(VLOOKUP(G117,AC:AD,2,FALSE)&lt;4,1,0)</f>
        <v/>
      </c>
      <c r="J117">
        <f>IF(AND(DAY(F117)&lt; DAY(E117),I117=1),MONTH(E117)+1,MONTH(E117))</f>
        <v/>
      </c>
      <c r="K117" s="201">
        <f>_xlfn.CONCAT(H117,".",TEXT(J117,"0#"))</f>
        <v/>
      </c>
      <c r="AA117" s="458" t="n">
        <v>8</v>
      </c>
      <c r="AB117" s="457" t="n">
        <v>49552</v>
      </c>
      <c r="AC117" s="141">
        <f>_xlfn.CONCAT(YEAR(AB117),".",TEXT(MONTH(AB117),"0#"))</f>
        <v/>
      </c>
      <c r="AD117">
        <f>WEEKDAY(AB117)</f>
        <v/>
      </c>
      <c r="AE117">
        <f>VLOOKUP(AD117,AG$2:AH$8,2,FALSE)</f>
        <v/>
      </c>
    </row>
    <row r="118">
      <c r="A118" s="550" t="inlineStr">
        <is>
          <t>.t117</t>
        </is>
      </c>
      <c r="B118" s="565" t="n">
        <v>117</v>
      </c>
      <c r="C118">
        <f>H118</f>
        <v/>
      </c>
      <c r="E118" s="456">
        <f>F117+2</f>
        <v/>
      </c>
      <c r="F118" s="456">
        <f>E118+5</f>
        <v/>
      </c>
      <c r="G118" s="141">
        <f>_xlfn.CONCAT(YEAR(E118),".",TEXT(MONTH(E118),"0#"))</f>
        <v/>
      </c>
      <c r="H118">
        <f>YEAR(E118)</f>
        <v/>
      </c>
      <c r="I118">
        <f>IF(VLOOKUP(G118,AC:AD,2,FALSE)&lt;4,1,0)</f>
        <v/>
      </c>
      <c r="J118">
        <f>IF(AND(DAY(F118)&lt; DAY(E118),I118=1),MONTH(E118)+1,MONTH(E118))</f>
        <v/>
      </c>
      <c r="K118" s="201">
        <f>_xlfn.CONCAT(H118,".",TEXT(J118,"0#"))</f>
        <v/>
      </c>
      <c r="AA118" s="458" t="n">
        <v>9</v>
      </c>
      <c r="AB118" s="457" t="n">
        <v>49582</v>
      </c>
      <c r="AC118" s="141">
        <f>_xlfn.CONCAT(YEAR(AB118),".",TEXT(MONTH(AB118),"0#"))</f>
        <v/>
      </c>
      <c r="AD118">
        <f>WEEKDAY(AB118)</f>
        <v/>
      </c>
      <c r="AE118" s="478">
        <f>VLOOKUP(AD118,AG$2:AH$8,2,FALSE)</f>
        <v/>
      </c>
    </row>
    <row r="119">
      <c r="A119" s="550" t="inlineStr">
        <is>
          <t>.t118</t>
        </is>
      </c>
      <c r="B119" s="565" t="n">
        <v>118</v>
      </c>
      <c r="C119">
        <f>H119</f>
        <v/>
      </c>
      <c r="E119" s="456">
        <f>F118+2</f>
        <v/>
      </c>
      <c r="F119" s="456">
        <f>E119+5</f>
        <v/>
      </c>
      <c r="G119" s="141">
        <f>_xlfn.CONCAT(YEAR(E119),".",TEXT(MONTH(E119),"0#"))</f>
        <v/>
      </c>
      <c r="H119">
        <f>YEAR(E119)</f>
        <v/>
      </c>
      <c r="I119">
        <f>IF(VLOOKUP(G119,AC:AD,2,FALSE)&lt;4,1,0)</f>
        <v/>
      </c>
      <c r="J119">
        <f>IF(AND(DAY(F119)&lt; DAY(E119),I119=1),MONTH(E119)+1,MONTH(E119))</f>
        <v/>
      </c>
      <c r="K119" s="201">
        <f>_xlfn.CONCAT(H119,".",TEXT(J119,"0#"))</f>
        <v/>
      </c>
      <c r="AA119" s="458" t="n">
        <v>10</v>
      </c>
      <c r="AB119" s="457" t="n">
        <v>49613</v>
      </c>
      <c r="AC119" s="141">
        <f>_xlfn.CONCAT(YEAR(AB119),".",TEXT(MONTH(AB119),"0#"))</f>
        <v/>
      </c>
      <c r="AD119">
        <f>WEEKDAY(AB119)</f>
        <v/>
      </c>
      <c r="AE119">
        <f>VLOOKUP(AD119,AG$2:AH$8,2,FALSE)</f>
        <v/>
      </c>
    </row>
    <row r="120">
      <c r="A120" s="550" t="inlineStr">
        <is>
          <t>.t119</t>
        </is>
      </c>
      <c r="B120" s="565" t="n">
        <v>119</v>
      </c>
      <c r="C120">
        <f>H120</f>
        <v/>
      </c>
      <c r="E120" s="456">
        <f>F119+2</f>
        <v/>
      </c>
      <c r="F120" s="456">
        <f>E120+5</f>
        <v/>
      </c>
      <c r="G120" s="141">
        <f>_xlfn.CONCAT(YEAR(E120),".",TEXT(MONTH(E120),"0#"))</f>
        <v/>
      </c>
      <c r="H120">
        <f>YEAR(E120)</f>
        <v/>
      </c>
      <c r="I120">
        <f>IF(VLOOKUP(G120,AC:AD,2,FALSE)&lt;4,1,0)</f>
        <v/>
      </c>
      <c r="J120">
        <f>IF(AND(DAY(F120)&lt; DAY(E120),I120=1),MONTH(E120)+1,MONTH(E120))</f>
        <v/>
      </c>
      <c r="K120" s="201">
        <f>_xlfn.CONCAT(H120,".",TEXT(J120,"0#"))</f>
        <v/>
      </c>
      <c r="AA120" s="458" t="n">
        <v>11</v>
      </c>
      <c r="AB120" s="457" t="n">
        <v>49643</v>
      </c>
      <c r="AC120" s="141">
        <f>_xlfn.CONCAT(YEAR(AB120),".",TEXT(MONTH(AB120),"0#"))</f>
        <v/>
      </c>
      <c r="AD120">
        <f>WEEKDAY(AB120)</f>
        <v/>
      </c>
      <c r="AE120">
        <f>VLOOKUP(AD120,AG$2:AH$8,2,FALSE)</f>
        <v/>
      </c>
    </row>
    <row r="121">
      <c r="A121" s="550" t="inlineStr">
        <is>
          <t>.t120</t>
        </is>
      </c>
      <c r="B121" s="565" t="n">
        <v>120</v>
      </c>
      <c r="C121">
        <f>H121</f>
        <v/>
      </c>
      <c r="E121" s="456">
        <f>F120+2</f>
        <v/>
      </c>
      <c r="F121" s="456">
        <f>E121+5</f>
        <v/>
      </c>
      <c r="G121" s="141">
        <f>_xlfn.CONCAT(YEAR(E121),".",TEXT(MONTH(E121),"0#"))</f>
        <v/>
      </c>
      <c r="H121">
        <f>YEAR(E121)</f>
        <v/>
      </c>
      <c r="I121">
        <f>IF(VLOOKUP(G121,AC:AD,2,FALSE)&lt;4,1,0)</f>
        <v/>
      </c>
      <c r="J121">
        <f>IF(AND(DAY(F121)&lt; DAY(E121),I121=1),MONTH(E121)+1,MONTH(E121))</f>
        <v/>
      </c>
      <c r="K121" s="201">
        <f>_xlfn.CONCAT(H121,".",TEXT(J121,"0#"))</f>
        <v/>
      </c>
      <c r="AA121" s="458" t="n">
        <v>12</v>
      </c>
      <c r="AB121" s="457" t="n">
        <v>49674</v>
      </c>
      <c r="AC121" s="141">
        <f>_xlfn.CONCAT(YEAR(AB121),".",TEXT(MONTH(AB121),"0#"))</f>
        <v/>
      </c>
      <c r="AD121">
        <f>WEEKDAY(AB121)</f>
        <v/>
      </c>
      <c r="AE121">
        <f>VLOOKUP(AD121,AG$2:AH$8,2,FALSE)</f>
        <v/>
      </c>
    </row>
    <row r="122">
      <c r="A122" s="550" t="inlineStr">
        <is>
          <t>.t121</t>
        </is>
      </c>
      <c r="B122" s="565" t="n">
        <v>121</v>
      </c>
      <c r="C122">
        <f>H122</f>
        <v/>
      </c>
      <c r="E122" s="456">
        <f>F121+2</f>
        <v/>
      </c>
      <c r="F122" s="456">
        <f>E122+5</f>
        <v/>
      </c>
      <c r="G122" s="141">
        <f>_xlfn.CONCAT(YEAR(E122),".",TEXT(MONTH(E122),"0#"))</f>
        <v/>
      </c>
      <c r="H122">
        <f>YEAR(E122)</f>
        <v/>
      </c>
      <c r="I122">
        <f>IF(VLOOKUP(G122,AC:AD,2,FALSE)&lt;4,1,0)</f>
        <v/>
      </c>
      <c r="J122">
        <f>IF(AND(DAY(F122)&lt; DAY(E122),I122=1),MONTH(E122)+1,MONTH(E122))</f>
        <v/>
      </c>
      <c r="K122" s="201">
        <f>_xlfn.CONCAT(H122,".",TEXT(J122,"0#"))</f>
        <v/>
      </c>
      <c r="AA122" s="477" t="n">
        <v>1</v>
      </c>
      <c r="AB122" s="457" t="n">
        <v>49705</v>
      </c>
      <c r="AC122" s="141">
        <f>_xlfn.CONCAT(YEAR(AB122),".",TEXT(MONTH(AB122),"0#"))</f>
        <v/>
      </c>
      <c r="AD122">
        <f>WEEKDAY(AB122)</f>
        <v/>
      </c>
      <c r="AE122">
        <f>VLOOKUP(AD122,AG$2:AH$8,2,FALSE)</f>
        <v/>
      </c>
    </row>
    <row r="123">
      <c r="A123" s="550" t="inlineStr">
        <is>
          <t>.t122</t>
        </is>
      </c>
      <c r="B123" s="565" t="n">
        <v>122</v>
      </c>
      <c r="C123">
        <f>H123</f>
        <v/>
      </c>
      <c r="E123" s="456">
        <f>F122+2</f>
        <v/>
      </c>
      <c r="F123" s="456">
        <f>E123+5</f>
        <v/>
      </c>
      <c r="G123" s="141">
        <f>_xlfn.CONCAT(YEAR(E123),".",TEXT(MONTH(E123),"0#"))</f>
        <v/>
      </c>
      <c r="H123">
        <f>YEAR(E123)</f>
        <v/>
      </c>
      <c r="I123">
        <f>IF(VLOOKUP(G123,AC:AD,2,FALSE)&lt;4,1,0)</f>
        <v/>
      </c>
      <c r="J123">
        <f>IF(AND(DAY(F123)&lt; DAY(E123),I123=1),MONTH(E123)+1,MONTH(E123))</f>
        <v/>
      </c>
      <c r="K123" s="201">
        <f>_xlfn.CONCAT(H123,".",TEXT(J123,"0#"))</f>
        <v/>
      </c>
      <c r="AA123" s="477" t="n">
        <v>2</v>
      </c>
      <c r="AB123" s="457" t="n">
        <v>49734</v>
      </c>
      <c r="AC123" s="141">
        <f>_xlfn.CONCAT(YEAR(AB123),".",TEXT(MONTH(AB123),"0#"))</f>
        <v/>
      </c>
      <c r="AD123">
        <f>WEEKDAY(AB123)</f>
        <v/>
      </c>
      <c r="AE123">
        <f>VLOOKUP(AD123,AG$2:AH$8,2,FALSE)</f>
        <v/>
      </c>
    </row>
    <row r="124">
      <c r="A124" s="550" t="inlineStr">
        <is>
          <t>.t123</t>
        </is>
      </c>
      <c r="B124" s="565" t="n">
        <v>123</v>
      </c>
      <c r="C124">
        <f>H124</f>
        <v/>
      </c>
      <c r="E124" s="456">
        <f>F123+2</f>
        <v/>
      </c>
      <c r="F124" s="456">
        <f>E124+5</f>
        <v/>
      </c>
      <c r="G124" s="141">
        <f>_xlfn.CONCAT(YEAR(E124),".",TEXT(MONTH(E124),"0#"))</f>
        <v/>
      </c>
      <c r="H124">
        <f>YEAR(E124)</f>
        <v/>
      </c>
      <c r="I124">
        <f>IF(VLOOKUP(G124,AC:AD,2,FALSE)&lt;4,1,0)</f>
        <v/>
      </c>
      <c r="J124">
        <f>IF(AND(DAY(F124)&lt; DAY(E124),I124=1),MONTH(E124)+1,MONTH(E124))</f>
        <v/>
      </c>
      <c r="K124" s="201">
        <f>_xlfn.CONCAT(H124,".",TEXT(J124,"0#"))</f>
        <v/>
      </c>
      <c r="AA124" s="477" t="n">
        <v>3</v>
      </c>
      <c r="AB124" s="457" t="n">
        <v>49765</v>
      </c>
      <c r="AC124" s="141">
        <f>_xlfn.CONCAT(YEAR(AB124),".",TEXT(MONTH(AB124),"0#"))</f>
        <v/>
      </c>
      <c r="AD124">
        <f>WEEKDAY(AB124)</f>
        <v/>
      </c>
      <c r="AE124">
        <f>VLOOKUP(AD124,AG$2:AH$8,2,FALSE)</f>
        <v/>
      </c>
    </row>
    <row r="125">
      <c r="A125" s="550" t="inlineStr">
        <is>
          <t>.t124</t>
        </is>
      </c>
      <c r="B125" s="565" t="n">
        <v>124</v>
      </c>
      <c r="C125">
        <f>H125</f>
        <v/>
      </c>
      <c r="E125" s="456">
        <f>F124+2</f>
        <v/>
      </c>
      <c r="F125" s="456">
        <f>E125+5</f>
        <v/>
      </c>
      <c r="G125" s="141">
        <f>_xlfn.CONCAT(YEAR(E125),".",TEXT(MONTH(E125),"0#"))</f>
        <v/>
      </c>
      <c r="H125">
        <f>YEAR(E125)</f>
        <v/>
      </c>
      <c r="I125">
        <f>IF(VLOOKUP(G125,AC:AD,2,FALSE)&lt;4,1,0)</f>
        <v/>
      </c>
      <c r="J125">
        <f>IF(AND(DAY(F125)&lt; DAY(E125),I125=1),MONTH(E125)+1,MONTH(E125))</f>
        <v/>
      </c>
      <c r="K125" s="201">
        <f>_xlfn.CONCAT(H125,".",TEXT(J125,"0#"))</f>
        <v/>
      </c>
      <c r="AA125" s="477" t="n">
        <v>4</v>
      </c>
      <c r="AB125" s="457" t="n">
        <v>49795</v>
      </c>
      <c r="AC125" s="141">
        <f>_xlfn.CONCAT(YEAR(AB125),".",TEXT(MONTH(AB125),"0#"))</f>
        <v/>
      </c>
      <c r="AD125">
        <f>WEEKDAY(AB125)</f>
        <v/>
      </c>
      <c r="AE125">
        <f>VLOOKUP(AD125,AG$2:AH$8,2,FALSE)</f>
        <v/>
      </c>
    </row>
    <row r="126">
      <c r="A126" s="550" t="inlineStr">
        <is>
          <t>.t125</t>
        </is>
      </c>
      <c r="B126" s="565" t="n">
        <v>125</v>
      </c>
      <c r="C126">
        <f>H126</f>
        <v/>
      </c>
      <c r="E126" s="456">
        <f>F125+2</f>
        <v/>
      </c>
      <c r="F126" s="456">
        <f>E126+5</f>
        <v/>
      </c>
      <c r="G126" s="141">
        <f>_xlfn.CONCAT(YEAR(E126),".",TEXT(MONTH(E126),"0#"))</f>
        <v/>
      </c>
      <c r="H126">
        <f>YEAR(E126)</f>
        <v/>
      </c>
      <c r="I126">
        <f>IF(VLOOKUP(G126,AC:AD,2,FALSE)&lt;4,1,0)</f>
        <v/>
      </c>
      <c r="J126">
        <f>IF(AND(DAY(F126)&lt; DAY(E126),I126=1),MONTH(E126)+1,MONTH(E126))</f>
        <v/>
      </c>
      <c r="K126" s="201">
        <f>_xlfn.CONCAT(H126,".",TEXT(J126,"0#"))</f>
        <v/>
      </c>
      <c r="AA126" s="477" t="n">
        <v>5</v>
      </c>
      <c r="AB126" s="457" t="n">
        <v>49826</v>
      </c>
      <c r="AC126" s="141">
        <f>_xlfn.CONCAT(YEAR(AB126),".",TEXT(MONTH(AB126),"0#"))</f>
        <v/>
      </c>
      <c r="AD126">
        <f>WEEKDAY(AB126)</f>
        <v/>
      </c>
      <c r="AE126" s="478">
        <f>VLOOKUP(AD126,AG$2:AH$8,2,FALSE)</f>
        <v/>
      </c>
    </row>
    <row r="127">
      <c r="A127" s="550" t="inlineStr">
        <is>
          <t>.t126</t>
        </is>
      </c>
      <c r="B127" s="565" t="n">
        <v>126</v>
      </c>
      <c r="C127">
        <f>H127</f>
        <v/>
      </c>
      <c r="E127" s="456">
        <f>F126+2</f>
        <v/>
      </c>
      <c r="F127" s="456">
        <f>E127+5</f>
        <v/>
      </c>
      <c r="G127" s="141">
        <f>_xlfn.CONCAT(YEAR(E127),".",TEXT(MONTH(E127),"0#"))</f>
        <v/>
      </c>
      <c r="H127">
        <f>YEAR(E127)</f>
        <v/>
      </c>
      <c r="I127">
        <f>IF(VLOOKUP(G127,AC:AD,2,FALSE)&lt;4,1,0)</f>
        <v/>
      </c>
      <c r="J127">
        <f>IF(AND(DAY(F127)&lt; DAY(E127),I127=1),MONTH(E127)+1,MONTH(E127))</f>
        <v/>
      </c>
      <c r="K127" s="201">
        <f>_xlfn.CONCAT(H127,".",TEXT(J127,"0#"))</f>
        <v/>
      </c>
      <c r="AA127" s="477" t="n">
        <v>6</v>
      </c>
      <c r="AB127" s="457" t="n">
        <v>49856</v>
      </c>
      <c r="AC127" s="141">
        <f>_xlfn.CONCAT(YEAR(AB127),".",TEXT(MONTH(AB127),"0#"))</f>
        <v/>
      </c>
      <c r="AD127">
        <f>WEEKDAY(AB127)</f>
        <v/>
      </c>
      <c r="AE127">
        <f>VLOOKUP(AD127,AG$2:AH$8,2,FALSE)</f>
        <v/>
      </c>
    </row>
    <row r="128">
      <c r="A128" s="550" t="inlineStr">
        <is>
          <t>.t127</t>
        </is>
      </c>
      <c r="B128" s="565" t="n">
        <v>127</v>
      </c>
      <c r="C128">
        <f>H128</f>
        <v/>
      </c>
      <c r="E128" s="456">
        <f>F127+2</f>
        <v/>
      </c>
      <c r="F128" s="456">
        <f>E128+5</f>
        <v/>
      </c>
      <c r="G128" s="141">
        <f>_xlfn.CONCAT(YEAR(E128),".",TEXT(MONTH(E128),"0#"))</f>
        <v/>
      </c>
      <c r="H128">
        <f>YEAR(E128)</f>
        <v/>
      </c>
      <c r="I128">
        <f>IF(VLOOKUP(G128,AC:AD,2,FALSE)&lt;4,1,0)</f>
        <v/>
      </c>
      <c r="J128">
        <f>IF(AND(DAY(F128)&lt; DAY(E128),I128=1),MONTH(E128)+1,MONTH(E128))</f>
        <v/>
      </c>
      <c r="K128" s="201">
        <f>_xlfn.CONCAT(H128,".",TEXT(J128,"0#"))</f>
        <v/>
      </c>
      <c r="AA128" s="477" t="n">
        <v>7</v>
      </c>
      <c r="AB128" s="457" t="n">
        <v>49887</v>
      </c>
      <c r="AC128" s="141">
        <f>_xlfn.CONCAT(YEAR(AB128),".",TEXT(MONTH(AB128),"0#"))</f>
        <v/>
      </c>
      <c r="AD128">
        <f>WEEKDAY(AB128)</f>
        <v/>
      </c>
      <c r="AE128">
        <f>VLOOKUP(AD128,AG$2:AH$8,2,FALSE)</f>
        <v/>
      </c>
    </row>
    <row r="129">
      <c r="A129" s="550" t="inlineStr">
        <is>
          <t>.t128</t>
        </is>
      </c>
      <c r="B129" s="565" t="n">
        <v>128</v>
      </c>
      <c r="C129">
        <f>H129</f>
        <v/>
      </c>
      <c r="E129" s="456">
        <f>F128+2</f>
        <v/>
      </c>
      <c r="F129" s="456">
        <f>E129+5</f>
        <v/>
      </c>
      <c r="G129" s="141">
        <f>_xlfn.CONCAT(YEAR(E129),".",TEXT(MONTH(E129),"0#"))</f>
        <v/>
      </c>
      <c r="H129">
        <f>YEAR(E129)</f>
        <v/>
      </c>
      <c r="I129">
        <f>IF(VLOOKUP(G129,AC:AD,2,FALSE)&lt;4,1,0)</f>
        <v/>
      </c>
      <c r="J129">
        <f>IF(AND(DAY(F129)&lt; DAY(E129),I129=1),MONTH(E129)+1,MONTH(E129))</f>
        <v/>
      </c>
      <c r="K129" s="201">
        <f>_xlfn.CONCAT(H129,".",TEXT(J129,"0#"))</f>
        <v/>
      </c>
      <c r="AA129" s="477" t="n">
        <v>8</v>
      </c>
      <c r="AB129" s="457" t="n">
        <v>49918</v>
      </c>
      <c r="AC129" s="141">
        <f>_xlfn.CONCAT(YEAR(AB129),".",TEXT(MONTH(AB129),"0#"))</f>
        <v/>
      </c>
      <c r="AD129">
        <f>WEEKDAY(AB129)</f>
        <v/>
      </c>
      <c r="AE129" s="478">
        <f>VLOOKUP(AD129,AG$2:AH$8,2,FALSE)</f>
        <v/>
      </c>
    </row>
    <row r="130">
      <c r="A130" s="550" t="inlineStr">
        <is>
          <t>.t129</t>
        </is>
      </c>
      <c r="B130" s="565" t="n">
        <v>129</v>
      </c>
      <c r="C130">
        <f>H130</f>
        <v/>
      </c>
      <c r="E130" s="456">
        <f>F129+2</f>
        <v/>
      </c>
      <c r="F130" s="456">
        <f>E130+5</f>
        <v/>
      </c>
      <c r="G130" s="141">
        <f>_xlfn.CONCAT(YEAR(E130),".",TEXT(MONTH(E130),"0#"))</f>
        <v/>
      </c>
      <c r="H130">
        <f>YEAR(E130)</f>
        <v/>
      </c>
      <c r="I130">
        <f>IF(VLOOKUP(G130,AC:AD,2,FALSE)&lt;4,1,0)</f>
        <v/>
      </c>
      <c r="J130">
        <f>IF(AND(DAY(F130)&lt; DAY(E130),I130=1),MONTH(E130)+1,MONTH(E130))</f>
        <v/>
      </c>
      <c r="K130" s="201">
        <f>_xlfn.CONCAT(H130,".",TEXT(J130,"0#"))</f>
        <v/>
      </c>
      <c r="AA130" s="477" t="n">
        <v>9</v>
      </c>
      <c r="AB130" s="457" t="n">
        <v>49948</v>
      </c>
      <c r="AC130" s="141">
        <f>_xlfn.CONCAT(YEAR(AB130),".",TEXT(MONTH(AB130),"0#"))</f>
        <v/>
      </c>
      <c r="AD130">
        <f>WEEKDAY(AB130)</f>
        <v/>
      </c>
      <c r="AE130">
        <f>VLOOKUP(AD130,AG$2:AH$8,2,FALSE)</f>
        <v/>
      </c>
    </row>
    <row r="131">
      <c r="A131" s="550" t="inlineStr">
        <is>
          <t>.t130</t>
        </is>
      </c>
      <c r="B131" s="565" t="n">
        <v>130</v>
      </c>
      <c r="C131">
        <f>H131</f>
        <v/>
      </c>
      <c r="E131" s="456">
        <f>F130+2</f>
        <v/>
      </c>
      <c r="F131" s="456">
        <f>E131+5</f>
        <v/>
      </c>
      <c r="G131" s="141">
        <f>_xlfn.CONCAT(YEAR(E131),".",TEXT(MONTH(E131),"0#"))</f>
        <v/>
      </c>
      <c r="H131">
        <f>YEAR(E131)</f>
        <v/>
      </c>
      <c r="I131">
        <f>IF(VLOOKUP(G131,AC:AD,2,FALSE)&lt;4,1,0)</f>
        <v/>
      </c>
      <c r="J131">
        <f>IF(AND(DAY(F131)&lt; DAY(E131),I131=1),MONTH(E131)+1,MONTH(E131))</f>
        <v/>
      </c>
      <c r="K131" s="201">
        <f>_xlfn.CONCAT(H131,".",TEXT(J131,"0#"))</f>
        <v/>
      </c>
      <c r="AA131" s="477" t="n">
        <v>10</v>
      </c>
      <c r="AB131" s="457" t="n">
        <v>49979</v>
      </c>
      <c r="AC131" s="141">
        <f>_xlfn.CONCAT(YEAR(AB131),".",TEXT(MONTH(AB131),"0#"))</f>
        <v/>
      </c>
      <c r="AD131">
        <f>WEEKDAY(AB131)</f>
        <v/>
      </c>
      <c r="AE131">
        <f>VLOOKUP(AD131,AG$2:AH$8,2,FALSE)</f>
        <v/>
      </c>
    </row>
    <row r="132">
      <c r="A132" s="550" t="inlineStr">
        <is>
          <t>.t131</t>
        </is>
      </c>
      <c r="B132" s="565" t="n">
        <v>131</v>
      </c>
      <c r="C132">
        <f>H132</f>
        <v/>
      </c>
      <c r="E132" s="456">
        <f>F131+2</f>
        <v/>
      </c>
      <c r="F132" s="456">
        <f>E132+5</f>
        <v/>
      </c>
      <c r="G132" s="141">
        <f>_xlfn.CONCAT(YEAR(E132),".",TEXT(MONTH(E132),"0#"))</f>
        <v/>
      </c>
      <c r="H132">
        <f>YEAR(E132)</f>
        <v/>
      </c>
      <c r="I132">
        <f>IF(VLOOKUP(G132,AC:AD,2,FALSE)&lt;4,1,0)</f>
        <v/>
      </c>
      <c r="J132" s="467">
        <f>IF(AND(DAY(F132)&lt; DAY(E132),I132=1),MONTH(E132),MONTH(E132))</f>
        <v/>
      </c>
      <c r="K132" s="201">
        <f>_xlfn.CONCAT(H132,".",TEXT(J132,"0#"))</f>
        <v/>
      </c>
      <c r="M132" s="464" t="inlineStr">
        <is>
          <t>Koniec programu</t>
        </is>
      </c>
      <c r="N132" s="461">
        <f>F132-1</f>
        <v/>
      </c>
      <c r="AA132" s="477" t="n">
        <v>11</v>
      </c>
      <c r="AB132" s="457" t="n">
        <v>50009</v>
      </c>
      <c r="AC132" s="141">
        <f>_xlfn.CONCAT(YEAR(AB132),".",TEXT(MONTH(AB132),"0#"))</f>
        <v/>
      </c>
      <c r="AD132">
        <f>WEEKDAY(AB132)</f>
        <v/>
      </c>
      <c r="AE132" s="478">
        <f>VLOOKUP(AD132,AG$2:AH$8,2,FALSE)</f>
        <v/>
      </c>
    </row>
    <row r="133">
      <c r="A133" t="inlineStr">
        <is>
          <t>.t132</t>
        </is>
      </c>
      <c r="B133" s="565" t="n">
        <v>132</v>
      </c>
      <c r="C133">
        <f>H133</f>
        <v/>
      </c>
      <c r="E133" s="456">
        <f>F132+2</f>
        <v/>
      </c>
      <c r="F133" s="456">
        <f>E133+5</f>
        <v/>
      </c>
      <c r="G133" s="141">
        <f>_xlfn.CONCAT(YEAR(E133),".",TEXT(MONTH(E133),"0#"))</f>
        <v/>
      </c>
      <c r="H133">
        <f>YEAR(E133)</f>
        <v/>
      </c>
      <c r="I133">
        <f>IF(VLOOKUP(G133,AC:AD,2,FALSE)&lt;4,1,0)</f>
        <v/>
      </c>
      <c r="J133">
        <f>IF(AND(DAY(F133)&lt; DAY(E133),I133=1),MONTH(E133)+1,MONTH(E133))</f>
        <v/>
      </c>
      <c r="K133" s="201">
        <f>_xlfn.CONCAT(H133,".",TEXT(J133,"0#"))</f>
        <v/>
      </c>
      <c r="AA133" s="477" t="n">
        <v>12</v>
      </c>
      <c r="AB133" s="457" t="n">
        <v>50040</v>
      </c>
      <c r="AC133" s="141">
        <f>_xlfn.CONCAT(YEAR(AB133),".",TEXT(MONTH(AB133),"0#"))</f>
        <v/>
      </c>
      <c r="AD133">
        <f>WEEKDAY(AB133)</f>
        <v/>
      </c>
      <c r="AE133">
        <f>VLOOKUP(AD133,AG$2:AH$8,2,FALSE)</f>
        <v/>
      </c>
    </row>
    <row r="134">
      <c r="A134" t="inlineStr">
        <is>
          <t>.t133</t>
        </is>
      </c>
      <c r="B134" s="565" t="n">
        <v>133</v>
      </c>
      <c r="C134">
        <f>H134</f>
        <v/>
      </c>
      <c r="E134" s="456">
        <f>F133+2</f>
        <v/>
      </c>
      <c r="F134" s="456">
        <f>E134+5</f>
        <v/>
      </c>
      <c r="G134" s="141">
        <f>_xlfn.CONCAT(YEAR(E134),".",TEXT(MONTH(E134),"0#"))</f>
        <v/>
      </c>
      <c r="H134">
        <f>YEAR(E134)</f>
        <v/>
      </c>
      <c r="I134">
        <f>IF(VLOOKUP(G134,AC:AD,2,FALSE)&lt;4,1,0)</f>
        <v/>
      </c>
      <c r="J134">
        <f>IF(AND(DAY(F134)&lt; DAY(E134),I134=1),MONTH(E134)+1,MONTH(E134))</f>
        <v/>
      </c>
      <c r="K134" s="201">
        <f>_xlfn.CONCAT(H134,".",TEXT(J134,"0#"))</f>
        <v/>
      </c>
      <c r="AA134" s="458" t="n">
        <v>1</v>
      </c>
      <c r="AB134" s="457" t="n">
        <v>50071</v>
      </c>
      <c r="AC134" s="141">
        <f>_xlfn.CONCAT(YEAR(AB134),".",TEXT(MONTH(AB134),"0#"))</f>
        <v/>
      </c>
      <c r="AD134">
        <f>WEEKDAY(AB134)</f>
        <v/>
      </c>
      <c r="AE134" s="478">
        <f>VLOOKUP(AD134,AG$2:AH$8,2,FALSE)</f>
        <v/>
      </c>
    </row>
    <row r="135">
      <c r="A135" t="inlineStr">
        <is>
          <t>.t134</t>
        </is>
      </c>
      <c r="B135" s="565" t="n">
        <v>134</v>
      </c>
      <c r="C135">
        <f>H135</f>
        <v/>
      </c>
      <c r="E135" s="456">
        <f>F134+2</f>
        <v/>
      </c>
      <c r="F135" s="456">
        <f>E135+5</f>
        <v/>
      </c>
      <c r="G135" s="141">
        <f>_xlfn.CONCAT(YEAR(E135),".",TEXT(MONTH(E135),"0#"))</f>
        <v/>
      </c>
      <c r="H135">
        <f>YEAR(E135)</f>
        <v/>
      </c>
      <c r="I135">
        <f>IF(VLOOKUP(G135,AC:AD,2,FALSE)&lt;4,1,0)</f>
        <v/>
      </c>
      <c r="J135">
        <f>IF(AND(DAY(F135)&lt; DAY(E135),I135=1),MONTH(E135)+1,MONTH(E135))</f>
        <v/>
      </c>
      <c r="K135" s="201">
        <f>_xlfn.CONCAT(H135,".",TEXT(J135,"0#"))</f>
        <v/>
      </c>
      <c r="AA135" s="458" t="n">
        <v>2</v>
      </c>
      <c r="AB135" s="457" t="n">
        <v>50099</v>
      </c>
      <c r="AC135" s="141">
        <f>_xlfn.CONCAT(YEAR(AB135),".",TEXT(MONTH(AB135),"0#"))</f>
        <v/>
      </c>
      <c r="AD135">
        <f>WEEKDAY(AB135)</f>
        <v/>
      </c>
      <c r="AE135" s="478">
        <f>VLOOKUP(AD135,AG$2:AH$8,2,FALSE)</f>
        <v/>
      </c>
    </row>
    <row r="136">
      <c r="A136" t="inlineStr">
        <is>
          <t>.t135</t>
        </is>
      </c>
      <c r="B136" s="565" t="n">
        <v>135</v>
      </c>
      <c r="C136">
        <f>H136</f>
        <v/>
      </c>
      <c r="E136" s="456">
        <f>F135+2</f>
        <v/>
      </c>
      <c r="F136" s="456">
        <f>E136+5</f>
        <v/>
      </c>
      <c r="G136" s="141">
        <f>_xlfn.CONCAT(YEAR(E136),".",TEXT(MONTH(E136),"0#"))</f>
        <v/>
      </c>
      <c r="H136">
        <f>YEAR(E136)</f>
        <v/>
      </c>
      <c r="I136">
        <f>IF(VLOOKUP(G136,AC:AD,2,FALSE)&lt;4,1,0)</f>
        <v/>
      </c>
      <c r="J136">
        <f>IF(AND(DAY(F136)&lt; DAY(E136),I136=1),MONTH(E136)+1,MONTH(E136))</f>
        <v/>
      </c>
      <c r="K136" s="201">
        <f>_xlfn.CONCAT(H136,".",TEXT(J136,"0#"))</f>
        <v/>
      </c>
      <c r="AA136" s="458" t="n">
        <v>3</v>
      </c>
      <c r="AB136" s="457" t="n">
        <v>50130</v>
      </c>
      <c r="AC136" s="141">
        <f>_xlfn.CONCAT(YEAR(AB136),".",TEXT(MONTH(AB136),"0#"))</f>
        <v/>
      </c>
      <c r="AD136">
        <f>WEEKDAY(AB136)</f>
        <v/>
      </c>
      <c r="AE136">
        <f>VLOOKUP(AD136,AG$2:AH$8,2,FALSE)</f>
        <v/>
      </c>
    </row>
    <row r="137">
      <c r="A137" t="inlineStr">
        <is>
          <t>.t136</t>
        </is>
      </c>
      <c r="B137" s="565" t="n">
        <v>136</v>
      </c>
      <c r="C137">
        <f>H137</f>
        <v/>
      </c>
      <c r="E137" s="456">
        <f>F136+2</f>
        <v/>
      </c>
      <c r="F137" s="456">
        <f>E137+5</f>
        <v/>
      </c>
      <c r="G137" s="141">
        <f>_xlfn.CONCAT(YEAR(E137),".",TEXT(MONTH(E137),"0#"))</f>
        <v/>
      </c>
      <c r="H137">
        <f>YEAR(E137)</f>
        <v/>
      </c>
      <c r="I137">
        <f>IF(VLOOKUP(G137,AC:AD,2,FALSE)&lt;4,1,0)</f>
        <v/>
      </c>
      <c r="J137">
        <f>IF(AND(DAY(F137)&lt; DAY(E137),I137=1),MONTH(E137)+1,MONTH(E137))</f>
        <v/>
      </c>
      <c r="K137" s="201">
        <f>_xlfn.CONCAT(H137,".",TEXT(J137,"0#"))</f>
        <v/>
      </c>
      <c r="AA137" s="458" t="n">
        <v>4</v>
      </c>
      <c r="AB137" s="457" t="n">
        <v>50160</v>
      </c>
      <c r="AC137" s="141">
        <f>_xlfn.CONCAT(YEAR(AB137),".",TEXT(MONTH(AB137),"0#"))</f>
        <v/>
      </c>
      <c r="AD137">
        <f>WEEKDAY(AB137)</f>
        <v/>
      </c>
      <c r="AE137">
        <f>VLOOKUP(AD137,AG$2:AH$8,2,FALSE)</f>
        <v/>
      </c>
    </row>
    <row r="138">
      <c r="A138" t="inlineStr">
        <is>
          <t>.t137</t>
        </is>
      </c>
      <c r="B138" s="565" t="n">
        <v>137</v>
      </c>
      <c r="C138">
        <f>H138</f>
        <v/>
      </c>
      <c r="E138" s="456">
        <f>F137+2</f>
        <v/>
      </c>
      <c r="F138" s="456">
        <f>E138+5</f>
        <v/>
      </c>
      <c r="G138" s="141">
        <f>_xlfn.CONCAT(YEAR(E138),".",TEXT(MONTH(E138),"0#"))</f>
        <v/>
      </c>
      <c r="H138">
        <f>YEAR(E138)</f>
        <v/>
      </c>
      <c r="I138">
        <f>IF(VLOOKUP(G138,AC:AD,2,FALSE)&lt;4,1,0)</f>
        <v/>
      </c>
      <c r="J138">
        <f>IF(AND(DAY(F138)&lt; DAY(E138),I138=1),MONTH(E138)+1,MONTH(E138))</f>
        <v/>
      </c>
      <c r="K138" s="201">
        <f>_xlfn.CONCAT(H138,".",TEXT(J138,"0#"))</f>
        <v/>
      </c>
      <c r="AA138" s="458" t="n">
        <v>5</v>
      </c>
      <c r="AB138" s="457" t="n">
        <v>50191</v>
      </c>
      <c r="AC138" s="141">
        <f>_xlfn.CONCAT(YEAR(AB138),".",TEXT(MONTH(AB138),"0#"))</f>
        <v/>
      </c>
      <c r="AD138">
        <f>WEEKDAY(AB138)</f>
        <v/>
      </c>
      <c r="AE138" s="478">
        <f>VLOOKUP(AD138,AG$2:AH$8,2,FALSE)</f>
        <v/>
      </c>
    </row>
    <row r="139">
      <c r="A139" t="inlineStr">
        <is>
          <t>.t138</t>
        </is>
      </c>
      <c r="B139" s="565" t="n">
        <v>138</v>
      </c>
      <c r="C139">
        <f>H139</f>
        <v/>
      </c>
      <c r="E139" s="456">
        <f>F138+2</f>
        <v/>
      </c>
      <c r="F139" s="456">
        <f>E139+5</f>
        <v/>
      </c>
      <c r="G139" s="141">
        <f>_xlfn.CONCAT(YEAR(E139),".",TEXT(MONTH(E139),"0#"))</f>
        <v/>
      </c>
      <c r="H139">
        <f>YEAR(E139)</f>
        <v/>
      </c>
      <c r="I139">
        <f>IF(VLOOKUP(G139,AC:AD,2,FALSE)&lt;4,1,0)</f>
        <v/>
      </c>
      <c r="J139">
        <f>IF(AND(DAY(F139)&lt; DAY(E139),I139=1),MONTH(E139)+1,MONTH(E139))</f>
        <v/>
      </c>
      <c r="K139" s="201">
        <f>_xlfn.CONCAT(H139,".",TEXT(J139,"0#"))</f>
        <v/>
      </c>
      <c r="AA139" s="458" t="n">
        <v>6</v>
      </c>
      <c r="AB139" s="457" t="n">
        <v>50221</v>
      </c>
      <c r="AC139" s="141">
        <f>_xlfn.CONCAT(YEAR(AB139),".",TEXT(MONTH(AB139),"0#"))</f>
        <v/>
      </c>
      <c r="AD139">
        <f>WEEKDAY(AB139)</f>
        <v/>
      </c>
      <c r="AE139">
        <f>VLOOKUP(AD139,AG$2:AH$8,2,FALSE)</f>
        <v/>
      </c>
    </row>
    <row r="140">
      <c r="A140" t="inlineStr">
        <is>
          <t>.t139</t>
        </is>
      </c>
      <c r="B140" s="565" t="n">
        <v>139</v>
      </c>
      <c r="C140">
        <f>H140</f>
        <v/>
      </c>
      <c r="E140" s="456">
        <f>F139+2</f>
        <v/>
      </c>
      <c r="F140" s="456">
        <f>E140+5</f>
        <v/>
      </c>
      <c r="G140" s="141">
        <f>_xlfn.CONCAT(YEAR(E140),".",TEXT(MONTH(E140),"0#"))</f>
        <v/>
      </c>
      <c r="H140">
        <f>YEAR(E140)</f>
        <v/>
      </c>
      <c r="I140">
        <f>IF(VLOOKUP(G140,AC:AD,2,FALSE)&lt;4,1,0)</f>
        <v/>
      </c>
      <c r="J140">
        <f>IF(AND(DAY(F140)&lt; DAY(E140),I140=1),MONTH(E140)+1,MONTH(E140))</f>
        <v/>
      </c>
      <c r="K140" s="201">
        <f>_xlfn.CONCAT(H140,".",TEXT(J140,"0#"))</f>
        <v/>
      </c>
      <c r="AA140" s="458" t="n">
        <v>7</v>
      </c>
      <c r="AB140" s="457" t="n">
        <v>50252</v>
      </c>
      <c r="AC140" s="141">
        <f>_xlfn.CONCAT(YEAR(AB140),".",TEXT(MONTH(AB140),"0#"))</f>
        <v/>
      </c>
      <c r="AD140">
        <f>WEEKDAY(AB140)</f>
        <v/>
      </c>
      <c r="AE140">
        <f>VLOOKUP(AD140,AG$2:AH$8,2,FALSE)</f>
        <v/>
      </c>
    </row>
    <row r="141">
      <c r="A141" t="inlineStr">
        <is>
          <t>.t140</t>
        </is>
      </c>
      <c r="B141" s="565" t="n">
        <v>140</v>
      </c>
      <c r="C141">
        <f>H141</f>
        <v/>
      </c>
      <c r="E141" s="456">
        <f>F140+2</f>
        <v/>
      </c>
      <c r="F141" s="456">
        <f>E141+5</f>
        <v/>
      </c>
      <c r="G141" s="141">
        <f>_xlfn.CONCAT(YEAR(E141),".",TEXT(MONTH(E141),"0#"))</f>
        <v/>
      </c>
      <c r="H141">
        <f>YEAR(E141)</f>
        <v/>
      </c>
      <c r="I141">
        <f>IF(VLOOKUP(G141,AC:AD,2,FALSE)&lt;4,1,0)</f>
        <v/>
      </c>
      <c r="J141">
        <f>IF(AND(DAY(F141)&lt; DAY(E141),I141=1),MONTH(E141)+1,MONTH(E141))</f>
        <v/>
      </c>
      <c r="K141" s="201">
        <f>_xlfn.CONCAT(H141,".",TEXT(J141,"0#"))</f>
        <v/>
      </c>
      <c r="AA141" s="458" t="n">
        <v>8</v>
      </c>
      <c r="AB141" s="457" t="n">
        <v>50283</v>
      </c>
      <c r="AC141" s="141">
        <f>_xlfn.CONCAT(YEAR(AB141),".",TEXT(MONTH(AB141),"0#"))</f>
        <v/>
      </c>
      <c r="AD141">
        <f>WEEKDAY(AB141)</f>
        <v/>
      </c>
      <c r="AE141">
        <f>VLOOKUP(AD141,AG$2:AH$8,2,FALSE)</f>
        <v/>
      </c>
    </row>
    <row r="142">
      <c r="A142" t="inlineStr">
        <is>
          <t>.t141</t>
        </is>
      </c>
      <c r="B142" s="565" t="n">
        <v>141</v>
      </c>
      <c r="C142">
        <f>H142</f>
        <v/>
      </c>
      <c r="E142" s="456">
        <f>F141+2</f>
        <v/>
      </c>
      <c r="F142" s="456">
        <f>E142+5</f>
        <v/>
      </c>
      <c r="G142" s="141">
        <f>_xlfn.CONCAT(YEAR(E142),".",TEXT(MONTH(E142),"0#"))</f>
        <v/>
      </c>
      <c r="H142">
        <f>YEAR(E142)</f>
        <v/>
      </c>
      <c r="I142">
        <f>IF(VLOOKUP(G142,AC:AD,2,FALSE)&lt;4,1,0)</f>
        <v/>
      </c>
      <c r="J142">
        <f>IF(AND(DAY(F142)&lt; DAY(E142),I142=1),MONTH(E142)+1,MONTH(E142))</f>
        <v/>
      </c>
      <c r="K142" s="201">
        <f>_xlfn.CONCAT(H142,".",TEXT(J142,"0#"))</f>
        <v/>
      </c>
      <c r="AA142" s="458" t="n">
        <v>9</v>
      </c>
      <c r="AB142" s="457" t="n">
        <v>50313</v>
      </c>
      <c r="AC142" s="141">
        <f>_xlfn.CONCAT(YEAR(AB142),".",TEXT(MONTH(AB142),"0#"))</f>
        <v/>
      </c>
      <c r="AD142">
        <f>WEEKDAY(AB142)</f>
        <v/>
      </c>
      <c r="AE142">
        <f>VLOOKUP(AD142,AG$2:AH$8,2,FALSE)</f>
        <v/>
      </c>
    </row>
    <row r="143">
      <c r="A143" t="inlineStr">
        <is>
          <t>.t142</t>
        </is>
      </c>
      <c r="B143" s="565" t="n">
        <v>142</v>
      </c>
      <c r="C143">
        <f>H143</f>
        <v/>
      </c>
      <c r="E143" s="456">
        <f>F142+2</f>
        <v/>
      </c>
      <c r="F143" s="456">
        <f>E143+5</f>
        <v/>
      </c>
      <c r="G143" s="141">
        <f>_xlfn.CONCAT(YEAR(E143),".",TEXT(MONTH(E143),"0#"))</f>
        <v/>
      </c>
      <c r="H143">
        <f>YEAR(E143)</f>
        <v/>
      </c>
      <c r="I143">
        <f>IF(VLOOKUP(G143,AC:AD,2,FALSE)&lt;4,1,0)</f>
        <v/>
      </c>
      <c r="J143">
        <f>IF(AND(DAY(F143)&lt; DAY(E143),I143=1),MONTH(E143)+1,MONTH(E143))</f>
        <v/>
      </c>
      <c r="K143" s="201">
        <f>_xlfn.CONCAT(H143,".",TEXT(J143,"0#"))</f>
        <v/>
      </c>
      <c r="AA143" s="458" t="n">
        <v>10</v>
      </c>
      <c r="AB143" s="457" t="n">
        <v>50344</v>
      </c>
      <c r="AC143" s="141">
        <f>_xlfn.CONCAT(YEAR(AB143),".",TEXT(MONTH(AB143),"0#"))</f>
        <v/>
      </c>
      <c r="AD143">
        <f>WEEKDAY(AB143)</f>
        <v/>
      </c>
      <c r="AE143" s="478">
        <f>VLOOKUP(AD143,AG$2:AH$8,2,FALSE)</f>
        <v/>
      </c>
    </row>
    <row r="144">
      <c r="A144" t="inlineStr">
        <is>
          <t>.t143</t>
        </is>
      </c>
      <c r="B144" s="565" t="n">
        <v>143</v>
      </c>
      <c r="C144">
        <f>H144</f>
        <v/>
      </c>
      <c r="E144" s="456">
        <f>F143+2</f>
        <v/>
      </c>
      <c r="F144" s="456">
        <f>E144+5</f>
        <v/>
      </c>
      <c r="G144" s="141">
        <f>_xlfn.CONCAT(YEAR(E144),".",TEXT(MONTH(E144),"0#"))</f>
        <v/>
      </c>
      <c r="H144">
        <f>YEAR(E144)</f>
        <v/>
      </c>
      <c r="I144">
        <f>IF(VLOOKUP(G144,AC:AD,2,FALSE)&lt;4,1,0)</f>
        <v/>
      </c>
      <c r="J144">
        <f>IF(AND(DAY(F144)&lt; DAY(E144),I144=1),MONTH(E144)+1,MONTH(E144))</f>
        <v/>
      </c>
      <c r="K144" s="201">
        <f>_xlfn.CONCAT(H144,".",TEXT(J144,"0#"))</f>
        <v/>
      </c>
      <c r="AA144" s="458" t="n">
        <v>11</v>
      </c>
      <c r="AB144" s="457" t="n">
        <v>50374</v>
      </c>
      <c r="AC144" s="141">
        <f>_xlfn.CONCAT(YEAR(AB144),".",TEXT(MONTH(AB144),"0#"))</f>
        <v/>
      </c>
      <c r="AD144">
        <f>WEEKDAY(AB144)</f>
        <v/>
      </c>
      <c r="AE144">
        <f>VLOOKUP(AD144,AG$2:AH$8,2,FALSE)</f>
        <v/>
      </c>
    </row>
    <row r="145">
      <c r="A145" s="531" t="inlineStr">
        <is>
          <t>.t144</t>
        </is>
      </c>
      <c r="B145" s="667" t="n">
        <v>144</v>
      </c>
      <c r="C145" s="531">
        <f>H145</f>
        <v/>
      </c>
      <c r="D145" s="531" t="n"/>
      <c r="E145" s="668">
        <f>F144+2</f>
        <v/>
      </c>
      <c r="F145" s="668">
        <f>E145+5</f>
        <v/>
      </c>
      <c r="G145" s="669">
        <f>_xlfn.CONCAT(YEAR(E145),".",TEXT(MONTH(E145),"0#"))</f>
        <v/>
      </c>
      <c r="H145" s="531">
        <f>YEAR(E145)</f>
        <v/>
      </c>
      <c r="I145" s="531">
        <f>IF(VLOOKUP(G145,AC:AD,2,FALSE)&lt;4,1,0)</f>
        <v/>
      </c>
      <c r="J145" s="531">
        <f>IF(AND(DAY(F145)&lt; DAY(E145),I145=1),MONTH(E145)+1,MONTH(E145))</f>
        <v/>
      </c>
      <c r="K145" s="670">
        <f>_xlfn.CONCAT(H145,".",TEXT(J145,"0#"))</f>
        <v/>
      </c>
      <c r="M145" s="464" t="inlineStr">
        <is>
          <t>Koniec programu</t>
        </is>
      </c>
      <c r="N145" s="461">
        <f>F145-1</f>
        <v/>
      </c>
      <c r="AA145" s="458" t="n">
        <v>12</v>
      </c>
      <c r="AB145" s="457" t="n">
        <v>50405</v>
      </c>
      <c r="AC145" s="141">
        <f>_xlfn.CONCAT(YEAR(AB145),".",TEXT(MONTH(AB145),"0#"))</f>
        <v/>
      </c>
      <c r="AD145">
        <f>WEEKDAY(AB145)</f>
        <v/>
      </c>
      <c r="AE145">
        <f>VLOOKUP(AD145,AG$2:AH$8,2,FALSE)</f>
        <v/>
      </c>
    </row>
    <row r="146">
      <c r="A146" t="inlineStr">
        <is>
          <t>.t145</t>
        </is>
      </c>
      <c r="B146" s="565" t="n">
        <v>145</v>
      </c>
      <c r="C146">
        <f>H146</f>
        <v/>
      </c>
      <c r="E146" s="456">
        <f>F145+2</f>
        <v/>
      </c>
      <c r="F146" s="456">
        <f>E146+5</f>
        <v/>
      </c>
      <c r="G146" s="141">
        <f>_xlfn.CONCAT(YEAR(E146),".",TEXT(MONTH(E146),"0#"))</f>
        <v/>
      </c>
      <c r="H146">
        <f>YEAR(E146)</f>
        <v/>
      </c>
      <c r="I146">
        <f>IF(VLOOKUP(G146,AC:AD,2,FALSE)&lt;4,1,0)</f>
        <v/>
      </c>
      <c r="J146">
        <f>IF(AND(DAY(F146)&lt; DAY(E146),I146=1),MONTH(E146)+1,MONTH(E146))</f>
        <v/>
      </c>
      <c r="K146" s="201">
        <f>_xlfn.CONCAT(H146,".",TEXT(J146,"0#"))</f>
        <v/>
      </c>
      <c r="AA146" s="477" t="n">
        <v>1</v>
      </c>
      <c r="AB146" s="457" t="n">
        <v>50436</v>
      </c>
      <c r="AC146" s="141">
        <f>_xlfn.CONCAT(YEAR(AB146),".",TEXT(MONTH(AB146),"0#"))</f>
        <v/>
      </c>
      <c r="AD146">
        <f>WEEKDAY(AB146)</f>
        <v/>
      </c>
      <c r="AE146" s="478">
        <f>VLOOKUP(AD146,AG$2:AH$8,2,FALSE)</f>
        <v/>
      </c>
    </row>
    <row r="147">
      <c r="A147" t="inlineStr">
        <is>
          <t>.t146</t>
        </is>
      </c>
      <c r="B147" s="565" t="n">
        <v>146</v>
      </c>
      <c r="C147">
        <f>H147</f>
        <v/>
      </c>
      <c r="E147" s="456">
        <f>F146+2</f>
        <v/>
      </c>
      <c r="F147" s="456">
        <f>E147+5</f>
        <v/>
      </c>
      <c r="G147" s="141">
        <f>_xlfn.CONCAT(YEAR(E147),".",TEXT(MONTH(E147),"0#"))</f>
        <v/>
      </c>
      <c r="H147">
        <f>YEAR(E147)</f>
        <v/>
      </c>
      <c r="I147">
        <f>IF(VLOOKUP(G147,AC:AD,2,FALSE)&lt;4,1,0)</f>
        <v/>
      </c>
      <c r="J147">
        <f>IF(AND(DAY(F147)&lt; DAY(E147),I147=1),MONTH(E147)+1,MONTH(E147))</f>
        <v/>
      </c>
      <c r="K147" s="201">
        <f>_xlfn.CONCAT(H147,".",TEXT(J147,"0#"))</f>
        <v/>
      </c>
      <c r="AA147" s="477" t="n">
        <v>2</v>
      </c>
      <c r="AB147" s="457" t="n">
        <v>50464</v>
      </c>
      <c r="AC147" s="141">
        <f>_xlfn.CONCAT(YEAR(AB147),".",TEXT(MONTH(AB147),"0#"))</f>
        <v/>
      </c>
      <c r="AD147">
        <f>WEEKDAY(AB147)</f>
        <v/>
      </c>
      <c r="AE147" s="478">
        <f>VLOOKUP(AD147,AG$2:AH$8,2,FALSE)</f>
        <v/>
      </c>
    </row>
    <row r="148">
      <c r="A148" t="inlineStr">
        <is>
          <t>.t147</t>
        </is>
      </c>
      <c r="B148" s="565" t="n">
        <v>147</v>
      </c>
      <c r="C148">
        <f>H148</f>
        <v/>
      </c>
      <c r="E148" s="456">
        <f>F147+2</f>
        <v/>
      </c>
      <c r="F148" s="456">
        <f>E148+5</f>
        <v/>
      </c>
      <c r="G148" s="141">
        <f>_xlfn.CONCAT(YEAR(E148),".",TEXT(MONTH(E148),"0#"))</f>
        <v/>
      </c>
      <c r="H148">
        <f>YEAR(E148)</f>
        <v/>
      </c>
      <c r="I148">
        <f>IF(VLOOKUP(G148,AC:AD,2,FALSE)&lt;4,1,0)</f>
        <v/>
      </c>
      <c r="J148">
        <f>IF(AND(DAY(F148)&lt; DAY(E148),I148=1),MONTH(E148)+1,MONTH(E148))</f>
        <v/>
      </c>
      <c r="K148" s="201">
        <f>_xlfn.CONCAT(H148,".",TEXT(J148,"0#"))</f>
        <v/>
      </c>
      <c r="AA148" s="477" t="n">
        <v>3</v>
      </c>
      <c r="AB148" s="457" t="n">
        <v>50495</v>
      </c>
      <c r="AC148" s="141">
        <f>_xlfn.CONCAT(YEAR(AB148),".",TEXT(MONTH(AB148),"0#"))</f>
        <v/>
      </c>
      <c r="AD148">
        <f>WEEKDAY(AB148)</f>
        <v/>
      </c>
      <c r="AE148">
        <f>VLOOKUP(AD148,AG$2:AH$8,2,FALSE)</f>
        <v/>
      </c>
    </row>
    <row r="149">
      <c r="A149" t="inlineStr">
        <is>
          <t>.t148</t>
        </is>
      </c>
      <c r="B149" s="565" t="n">
        <v>148</v>
      </c>
      <c r="C149">
        <f>H149</f>
        <v/>
      </c>
      <c r="E149" s="456">
        <f>F148+2</f>
        <v/>
      </c>
      <c r="F149" s="456">
        <f>E149+5</f>
        <v/>
      </c>
      <c r="G149" s="141">
        <f>_xlfn.CONCAT(YEAR(E149),".",TEXT(MONTH(E149),"0#"))</f>
        <v/>
      </c>
      <c r="H149">
        <f>YEAR(E149)</f>
        <v/>
      </c>
      <c r="I149">
        <f>IF(VLOOKUP(G149,AC:AD,2,FALSE)&lt;4,1,0)</f>
        <v/>
      </c>
      <c r="J149">
        <f>IF(AND(DAY(F149)&lt; DAY(E149),I149=1),MONTH(E149)+1,MONTH(E149))</f>
        <v/>
      </c>
      <c r="K149" s="201">
        <f>_xlfn.CONCAT(H149,".",TEXT(J149,"0#"))</f>
        <v/>
      </c>
      <c r="AA149" s="477" t="n">
        <v>4</v>
      </c>
      <c r="AB149" s="457" t="n">
        <v>50525</v>
      </c>
      <c r="AC149" s="141">
        <f>_xlfn.CONCAT(YEAR(AB149),".",TEXT(MONTH(AB149),"0#"))</f>
        <v/>
      </c>
      <c r="AD149">
        <f>WEEKDAY(AB149)</f>
        <v/>
      </c>
      <c r="AE149">
        <f>VLOOKUP(AD149,AG$2:AH$8,2,FALSE)</f>
        <v/>
      </c>
    </row>
    <row r="150">
      <c r="A150" t="inlineStr">
        <is>
          <t>.t149</t>
        </is>
      </c>
      <c r="B150" s="565" t="n">
        <v>149</v>
      </c>
      <c r="C150">
        <f>H150</f>
        <v/>
      </c>
      <c r="E150" s="456">
        <f>F149+2</f>
        <v/>
      </c>
      <c r="F150" s="456">
        <f>E150+5</f>
        <v/>
      </c>
      <c r="G150" s="141">
        <f>_xlfn.CONCAT(YEAR(E150),".",TEXT(MONTH(E150),"0#"))</f>
        <v/>
      </c>
      <c r="H150">
        <f>YEAR(E150)</f>
        <v/>
      </c>
      <c r="I150">
        <f>IF(VLOOKUP(G150,AC:AD,2,FALSE)&lt;4,1,0)</f>
        <v/>
      </c>
      <c r="J150">
        <f>IF(AND(DAY(F150)&lt; DAY(E150),I150=1),MONTH(E150)+1,MONTH(E150))</f>
        <v/>
      </c>
      <c r="K150" s="201">
        <f>_xlfn.CONCAT(H150,".",TEXT(J150,"0#"))</f>
        <v/>
      </c>
      <c r="AA150" s="477" t="n">
        <v>5</v>
      </c>
      <c r="AB150" s="457" t="n">
        <v>50556</v>
      </c>
      <c r="AC150" s="141">
        <f>_xlfn.CONCAT(YEAR(AB150),".",TEXT(MONTH(AB150),"0#"))</f>
        <v/>
      </c>
      <c r="AD150">
        <f>WEEKDAY(AB150)</f>
        <v/>
      </c>
      <c r="AE150">
        <f>VLOOKUP(AD150,AG$2:AH$8,2,FALSE)</f>
        <v/>
      </c>
    </row>
    <row r="151">
      <c r="A151" t="inlineStr">
        <is>
          <t>.t150</t>
        </is>
      </c>
      <c r="B151" s="565" t="n">
        <v>150</v>
      </c>
      <c r="C151">
        <f>H151</f>
        <v/>
      </c>
      <c r="E151" s="456">
        <f>F150+2</f>
        <v/>
      </c>
      <c r="F151" s="456">
        <f>E151+5</f>
        <v/>
      </c>
      <c r="G151" s="141">
        <f>_xlfn.CONCAT(YEAR(E151),".",TEXT(MONTH(E151),"0#"))</f>
        <v/>
      </c>
      <c r="H151">
        <f>YEAR(E151)</f>
        <v/>
      </c>
      <c r="I151">
        <f>IF(VLOOKUP(G151,AC:AD,2,FALSE)&lt;4,1,0)</f>
        <v/>
      </c>
      <c r="J151">
        <f>IF(AND(DAY(F151)&lt; DAY(E151),I151=1),MONTH(E151)+1,MONTH(E151))</f>
        <v/>
      </c>
      <c r="K151" s="201">
        <f>_xlfn.CONCAT(H151,".",TEXT(J151,"0#"))</f>
        <v/>
      </c>
      <c r="AA151" s="477" t="n">
        <v>6</v>
      </c>
      <c r="AB151" s="457" t="n">
        <v>50586</v>
      </c>
      <c r="AC151" s="141">
        <f>_xlfn.CONCAT(YEAR(AB151),".",TEXT(MONTH(AB151),"0#"))</f>
        <v/>
      </c>
      <c r="AD151">
        <f>WEEKDAY(AB151)</f>
        <v/>
      </c>
      <c r="AE151">
        <f>VLOOKUP(AD151,AG$2:AH$8,2,FALSE)</f>
        <v/>
      </c>
    </row>
    <row r="152">
      <c r="A152" t="inlineStr">
        <is>
          <t>.t151</t>
        </is>
      </c>
      <c r="B152" s="565" t="n">
        <v>151</v>
      </c>
      <c r="C152">
        <f>H152</f>
        <v/>
      </c>
      <c r="E152" s="456">
        <f>F151+2</f>
        <v/>
      </c>
      <c r="F152" s="456">
        <f>E152+5</f>
        <v/>
      </c>
      <c r="G152" s="141">
        <f>_xlfn.CONCAT(YEAR(E152),".",TEXT(MONTH(E152),"0#"))</f>
        <v/>
      </c>
      <c r="H152">
        <f>YEAR(E152)</f>
        <v/>
      </c>
      <c r="I152">
        <f>IF(VLOOKUP(G152,AC:AD,2,FALSE)&lt;4,1,0)</f>
        <v/>
      </c>
      <c r="J152">
        <f>IF(AND(DAY(F152)&lt; DAY(E152),I152=1),MONTH(E152)+1,MONTH(E152))</f>
        <v/>
      </c>
      <c r="K152" s="201">
        <f>_xlfn.CONCAT(H152,".",TEXT(J152,"0#"))</f>
        <v/>
      </c>
      <c r="AA152" s="477" t="n">
        <v>7</v>
      </c>
      <c r="AB152" s="457" t="n">
        <v>50617</v>
      </c>
      <c r="AC152" s="141">
        <f>_xlfn.CONCAT(YEAR(AB152),".",TEXT(MONTH(AB152),"0#"))</f>
        <v/>
      </c>
      <c r="AD152">
        <f>WEEKDAY(AB152)</f>
        <v/>
      </c>
      <c r="AE152" s="478">
        <f>VLOOKUP(AD152,AG$2:AH$8,2,FALSE)</f>
        <v/>
      </c>
    </row>
    <row r="153">
      <c r="A153" t="inlineStr">
        <is>
          <t>.t152</t>
        </is>
      </c>
      <c r="B153" s="565" t="n">
        <v>152</v>
      </c>
      <c r="C153">
        <f>H153</f>
        <v/>
      </c>
      <c r="E153" s="456">
        <f>F152+2</f>
        <v/>
      </c>
      <c r="F153" s="456">
        <f>E153+5</f>
        <v/>
      </c>
      <c r="G153" s="141">
        <f>_xlfn.CONCAT(YEAR(E153),".",TEXT(MONTH(E153),"0#"))</f>
        <v/>
      </c>
      <c r="H153">
        <f>YEAR(E153)</f>
        <v/>
      </c>
      <c r="I153">
        <f>IF(VLOOKUP(G153,AC:AD,2,FALSE)&lt;4,1,0)</f>
        <v/>
      </c>
      <c r="J153">
        <f>IF(AND(DAY(F153)&lt; DAY(E153),I153=1),MONTH(E153)+1,MONTH(E153))</f>
        <v/>
      </c>
      <c r="K153" s="201">
        <f>_xlfn.CONCAT(H153,".",TEXT(J153,"0#"))</f>
        <v/>
      </c>
      <c r="AA153" s="477" t="n">
        <v>8</v>
      </c>
      <c r="AB153" s="457" t="n">
        <v>50648</v>
      </c>
      <c r="AC153" s="141">
        <f>_xlfn.CONCAT(YEAR(AB153),".",TEXT(MONTH(AB153),"0#"))</f>
        <v/>
      </c>
      <c r="AD153">
        <f>WEEKDAY(AB153)</f>
        <v/>
      </c>
      <c r="AE153">
        <f>VLOOKUP(AD153,AG$2:AH$8,2,FALSE)</f>
        <v/>
      </c>
    </row>
    <row r="154">
      <c r="A154" t="inlineStr">
        <is>
          <t>.t153</t>
        </is>
      </c>
      <c r="B154" s="565" t="n">
        <v>153</v>
      </c>
      <c r="C154">
        <f>H154</f>
        <v/>
      </c>
      <c r="E154" s="456">
        <f>F153+2</f>
        <v/>
      </c>
      <c r="F154" s="456">
        <f>E154+5</f>
        <v/>
      </c>
      <c r="G154" s="141">
        <f>_xlfn.CONCAT(YEAR(E154),".",TEXT(MONTH(E154),"0#"))</f>
        <v/>
      </c>
      <c r="H154">
        <f>YEAR(E154)</f>
        <v/>
      </c>
      <c r="I154">
        <f>IF(VLOOKUP(G154,AC:AD,2,FALSE)&lt;4,1,0)</f>
        <v/>
      </c>
      <c r="J154">
        <f>IF(AND(DAY(F154)&lt; DAY(E154),I154=1),MONTH(E154)+1,MONTH(E154))</f>
        <v/>
      </c>
      <c r="K154" s="201">
        <f>_xlfn.CONCAT(H154,".",TEXT(J154,"0#"))</f>
        <v/>
      </c>
      <c r="AA154" s="477" t="n">
        <v>9</v>
      </c>
      <c r="AB154" s="457" t="n">
        <v>50678</v>
      </c>
      <c r="AC154" s="141">
        <f>_xlfn.CONCAT(YEAR(AB154),".",TEXT(MONTH(AB154),"0#"))</f>
        <v/>
      </c>
      <c r="AD154">
        <f>WEEKDAY(AB154)</f>
        <v/>
      </c>
      <c r="AE154">
        <f>VLOOKUP(AD154,AG$2:AH$8,2,FALSE)</f>
        <v/>
      </c>
    </row>
    <row r="155">
      <c r="A155" t="inlineStr">
        <is>
          <t>.t154</t>
        </is>
      </c>
      <c r="B155" s="565" t="n">
        <v>154</v>
      </c>
      <c r="C155">
        <f>H155</f>
        <v/>
      </c>
      <c r="E155" s="456">
        <f>F154+2</f>
        <v/>
      </c>
      <c r="F155" s="456">
        <f>E155+5</f>
        <v/>
      </c>
      <c r="G155" s="141">
        <f>_xlfn.CONCAT(YEAR(E155),".",TEXT(MONTH(E155),"0#"))</f>
        <v/>
      </c>
      <c r="H155">
        <f>YEAR(E155)</f>
        <v/>
      </c>
      <c r="I155">
        <f>IF(VLOOKUP(G155,AC:AD,2,FALSE)&lt;4,1,0)</f>
        <v/>
      </c>
      <c r="J155">
        <f>IF(AND(DAY(F155)&lt; DAY(E155),I155=1),MONTH(E155)+1,MONTH(E155))</f>
        <v/>
      </c>
      <c r="K155" s="201">
        <f>_xlfn.CONCAT(H155,".",TEXT(J155,"0#"))</f>
        <v/>
      </c>
      <c r="AA155" s="477" t="n">
        <v>10</v>
      </c>
      <c r="AB155" s="457" t="n">
        <v>50709</v>
      </c>
      <c r="AC155" s="141">
        <f>_xlfn.CONCAT(YEAR(AB155),".",TEXT(MONTH(AB155),"0#"))</f>
        <v/>
      </c>
      <c r="AD155">
        <f>WEEKDAY(AB155)</f>
        <v/>
      </c>
      <c r="AE155" s="478">
        <f>VLOOKUP(AD155,AG$2:AH$8,2,FALSE)</f>
        <v/>
      </c>
    </row>
    <row r="156">
      <c r="A156" t="inlineStr">
        <is>
          <t>.t155</t>
        </is>
      </c>
      <c r="B156" s="565" t="n">
        <v>155</v>
      </c>
      <c r="C156">
        <f>H156</f>
        <v/>
      </c>
      <c r="E156" s="456">
        <f>F155+2</f>
        <v/>
      </c>
      <c r="F156" s="456">
        <f>E156+5</f>
        <v/>
      </c>
      <c r="G156" s="141">
        <f>_xlfn.CONCAT(YEAR(E156),".",TEXT(MONTH(E156),"0#"))</f>
        <v/>
      </c>
      <c r="H156">
        <f>YEAR(E156)</f>
        <v/>
      </c>
      <c r="I156">
        <f>IF(VLOOKUP(G156,AC:AD,2,FALSE)&lt;4,1,0)</f>
        <v/>
      </c>
      <c r="J156">
        <f>IF(AND(DAY(F156)&lt; DAY(E156),I156=1),MONTH(E156)+1,MONTH(E156))</f>
        <v/>
      </c>
      <c r="K156" s="201">
        <f>_xlfn.CONCAT(H156,".",TEXT(J156,"0#"))</f>
        <v/>
      </c>
      <c r="AA156" s="477" t="n">
        <v>11</v>
      </c>
      <c r="AB156" s="457" t="n">
        <v>50739</v>
      </c>
      <c r="AC156" s="141">
        <f>_xlfn.CONCAT(YEAR(AB156),".",TEXT(MONTH(AB156),"0#"))</f>
        <v/>
      </c>
      <c r="AD156">
        <f>WEEKDAY(AB156)</f>
        <v/>
      </c>
      <c r="AE156">
        <f>VLOOKUP(AD156,AG$2:AH$8,2,FALSE)</f>
        <v/>
      </c>
    </row>
    <row r="157">
      <c r="A157" t="inlineStr">
        <is>
          <t>.t156</t>
        </is>
      </c>
      <c r="B157" s="565" t="n">
        <v>156</v>
      </c>
      <c r="C157">
        <f>H157</f>
        <v/>
      </c>
      <c r="E157" s="456">
        <f>F156+2</f>
        <v/>
      </c>
      <c r="F157" s="456">
        <f>E157+5</f>
        <v/>
      </c>
      <c r="G157" s="141">
        <f>_xlfn.CONCAT(YEAR(E157),".",TEXT(MONTH(E157),"0#"))</f>
        <v/>
      </c>
      <c r="H157">
        <f>YEAR(E157)</f>
        <v/>
      </c>
      <c r="I157">
        <f>IF(VLOOKUP(G157,AC:AD,2,FALSE)&lt;4,1,0)</f>
        <v/>
      </c>
      <c r="J157">
        <f>IF(AND(DAY(F157)&lt; DAY(E157),I157=1),MONTH(E157)+1,MONTH(E157))</f>
        <v/>
      </c>
      <c r="K157" s="201">
        <f>_xlfn.CONCAT(H157,".",TEXT(J157,"0#"))</f>
        <v/>
      </c>
      <c r="AA157" s="477" t="n">
        <v>12</v>
      </c>
      <c r="AB157" s="457" t="n">
        <v>50770</v>
      </c>
      <c r="AC157" s="141">
        <f>_xlfn.CONCAT(YEAR(AB157),".",TEXT(MONTH(AB157),"0#"))</f>
        <v/>
      </c>
      <c r="AD157">
        <f>WEEKDAY(AB157)</f>
        <v/>
      </c>
      <c r="AE157">
        <f>VLOOKUP(AD157,AG$2:AH$8,2,FALSE)</f>
        <v/>
      </c>
    </row>
    <row r="158">
      <c r="A158" t="inlineStr">
        <is>
          <t>.t157</t>
        </is>
      </c>
      <c r="B158" s="565" t="n">
        <v>157</v>
      </c>
      <c r="C158">
        <f>H158</f>
        <v/>
      </c>
      <c r="E158" s="456">
        <f>F157+2</f>
        <v/>
      </c>
      <c r="F158" s="456">
        <f>E158+5</f>
        <v/>
      </c>
      <c r="G158" s="141">
        <f>_xlfn.CONCAT(YEAR(E158),".",TEXT(MONTH(E158),"0#"))</f>
        <v/>
      </c>
      <c r="H158">
        <f>YEAR(E158)</f>
        <v/>
      </c>
      <c r="I158">
        <f>IF(VLOOKUP(G158,AC:AD,2,FALSE)&lt;4,1,0)</f>
        <v/>
      </c>
      <c r="J158">
        <f>IF(AND(DAY(F158)&lt; DAY(E158),I158=1),MONTH(E158)+1,MONTH(E158))</f>
        <v/>
      </c>
      <c r="K158" s="201">
        <f>_xlfn.CONCAT(H158,".",TEXT(J158,"0#"))</f>
        <v/>
      </c>
      <c r="AA158" s="458" t="n">
        <v>1</v>
      </c>
      <c r="AB158" s="457" t="n">
        <v>50801</v>
      </c>
      <c r="AC158" s="141">
        <f>_xlfn.CONCAT(YEAR(AB158),".",TEXT(MONTH(AB158),"0#"))</f>
        <v/>
      </c>
      <c r="AD158">
        <f>WEEKDAY(AB158)</f>
        <v/>
      </c>
      <c r="AE158">
        <f>VLOOKUP(AD158,AG$2:AH$8,2,FALSE)</f>
        <v/>
      </c>
    </row>
    <row r="159">
      <c r="A159" t="inlineStr">
        <is>
          <t>.t158</t>
        </is>
      </c>
      <c r="B159" t="n">
        <v>158</v>
      </c>
      <c r="C159">
        <f>H159</f>
        <v/>
      </c>
      <c r="E159" s="456">
        <f>F158+2</f>
        <v/>
      </c>
      <c r="F159" s="456">
        <f>E159+5</f>
        <v/>
      </c>
      <c r="G159" s="141">
        <f>_xlfn.CONCAT(YEAR(E159),".",TEXT(MONTH(E159),"0#"))</f>
        <v/>
      </c>
      <c r="H159">
        <f>YEAR(E159)</f>
        <v/>
      </c>
      <c r="I159">
        <f>IF(VLOOKUP(G159,AC:AD,2,FALSE)&lt;4,1,0)</f>
        <v/>
      </c>
      <c r="J159">
        <f>IF(AND(DAY(F159)&lt; DAY(E159),I159=1),MONTH(E159)+1,MONTH(E159))</f>
        <v/>
      </c>
      <c r="K159" s="201">
        <f>_xlfn.CONCAT(H159,".",TEXT(J159,"0#"))</f>
        <v/>
      </c>
      <c r="AA159" s="458" t="n">
        <v>2</v>
      </c>
      <c r="AB159" s="457" t="n">
        <v>50829</v>
      </c>
      <c r="AC159" s="141">
        <f>_xlfn.CONCAT(YEAR(AB159),".",TEXT(MONTH(AB159),"0#"))</f>
        <v/>
      </c>
      <c r="AD159">
        <f>WEEKDAY(AB159)</f>
        <v/>
      </c>
      <c r="AE159">
        <f>VLOOKUP(AD159,AG$2:AH$8,2,FALSE)</f>
        <v/>
      </c>
    </row>
    <row r="160">
      <c r="A160" t="inlineStr">
        <is>
          <t>.t159</t>
        </is>
      </c>
      <c r="B160" t="n">
        <v>159</v>
      </c>
      <c r="C160">
        <f>H160</f>
        <v/>
      </c>
      <c r="E160" s="456">
        <f>F159+2</f>
        <v/>
      </c>
      <c r="F160" s="456">
        <f>E160+5</f>
        <v/>
      </c>
      <c r="G160" s="141">
        <f>_xlfn.CONCAT(YEAR(E160),".",TEXT(MONTH(E160),"0#"))</f>
        <v/>
      </c>
      <c r="H160">
        <f>YEAR(E160)</f>
        <v/>
      </c>
      <c r="I160">
        <f>IF(VLOOKUP(G160,AC:AD,2,FALSE)&lt;4,1,0)</f>
        <v/>
      </c>
      <c r="J160">
        <f>IF(AND(DAY(F160)&lt; DAY(E160),I160=1),MONTH(E160)+1,MONTH(E160))</f>
        <v/>
      </c>
      <c r="K160" s="201">
        <f>_xlfn.CONCAT(H160,".",TEXT(J160,"0#"))</f>
        <v/>
      </c>
      <c r="AA160" s="458" t="n">
        <v>3</v>
      </c>
      <c r="AB160" s="457" t="n">
        <v>50860</v>
      </c>
      <c r="AC160" s="141">
        <f>_xlfn.CONCAT(YEAR(AB160),".",TEXT(MONTH(AB160),"0#"))</f>
        <v/>
      </c>
      <c r="AD160">
        <f>WEEKDAY(AB160)</f>
        <v/>
      </c>
      <c r="AE160">
        <f>VLOOKUP(AD160,AG$2:AH$8,2,FALSE)</f>
        <v/>
      </c>
    </row>
    <row r="161">
      <c r="A161" t="inlineStr">
        <is>
          <t>.t160</t>
        </is>
      </c>
      <c r="B161" t="n">
        <v>160</v>
      </c>
      <c r="C161">
        <f>H161</f>
        <v/>
      </c>
      <c r="E161" s="456">
        <f>F160+2</f>
        <v/>
      </c>
      <c r="F161" s="456">
        <f>E161+5</f>
        <v/>
      </c>
      <c r="G161" s="141">
        <f>_xlfn.CONCAT(YEAR(E161),".",TEXT(MONTH(E161),"0#"))</f>
        <v/>
      </c>
      <c r="H161">
        <f>YEAR(E161)</f>
        <v/>
      </c>
      <c r="I161">
        <f>IF(VLOOKUP(G161,AC:AD,2,FALSE)&lt;4,1,0)</f>
        <v/>
      </c>
      <c r="J161">
        <f>IF(AND(DAY(F161)&lt; DAY(E161),I161=1),MONTH(E161)+1,MONTH(E161))</f>
        <v/>
      </c>
      <c r="K161" s="201">
        <f>_xlfn.CONCAT(H161,".",TEXT(J161,"0#"))</f>
        <v/>
      </c>
      <c r="AA161" s="458" t="n">
        <v>4</v>
      </c>
      <c r="AB161" s="457" t="n">
        <v>50890</v>
      </c>
      <c r="AC161" s="141">
        <f>_xlfn.CONCAT(YEAR(AB161),".",TEXT(MONTH(AB161),"0#"))</f>
        <v/>
      </c>
      <c r="AD161">
        <f>WEEKDAY(AB161)</f>
        <v/>
      </c>
      <c r="AE161" s="478">
        <f>VLOOKUP(AD161,AG$2:AH$8,2,FALSE)</f>
        <v/>
      </c>
    </row>
    <row r="162">
      <c r="A162" t="inlineStr">
        <is>
          <t>.t161</t>
        </is>
      </c>
      <c r="B162" t="n">
        <v>161</v>
      </c>
      <c r="C162">
        <f>H162</f>
        <v/>
      </c>
      <c r="E162" s="456">
        <f>F161+2</f>
        <v/>
      </c>
      <c r="F162" s="456">
        <f>E162+5</f>
        <v/>
      </c>
      <c r="G162" s="141">
        <f>_xlfn.CONCAT(YEAR(E162),".",TEXT(MONTH(E162),"0#"))</f>
        <v/>
      </c>
      <c r="H162">
        <f>YEAR(E162)</f>
        <v/>
      </c>
      <c r="I162">
        <f>IF(VLOOKUP(G162,AC:AD,2,FALSE)&lt;4,1,0)</f>
        <v/>
      </c>
      <c r="J162">
        <f>IF(AND(DAY(F162)&lt; DAY(E162),I162=1),MONTH(E162)+1,MONTH(E162))</f>
        <v/>
      </c>
      <c r="K162" s="201">
        <f>_xlfn.CONCAT(H162,".",TEXT(J162,"0#"))</f>
        <v/>
      </c>
      <c r="AA162" s="458" t="n">
        <v>5</v>
      </c>
      <c r="AB162" s="457" t="n">
        <v>50921</v>
      </c>
      <c r="AC162" s="141">
        <f>_xlfn.CONCAT(YEAR(AB162),".",TEXT(MONTH(AB162),"0#"))</f>
        <v/>
      </c>
      <c r="AD162">
        <f>WEEKDAY(AB162)</f>
        <v/>
      </c>
      <c r="AE162">
        <f>VLOOKUP(AD162,AG$2:AH$8,2,FALSE)</f>
        <v/>
      </c>
    </row>
    <row r="163">
      <c r="A163" t="inlineStr">
        <is>
          <t>.t162</t>
        </is>
      </c>
      <c r="B163" t="n">
        <v>162</v>
      </c>
      <c r="C163">
        <f>H163</f>
        <v/>
      </c>
      <c r="E163" s="456">
        <f>F162+2</f>
        <v/>
      </c>
      <c r="F163" s="456">
        <f>E163+5</f>
        <v/>
      </c>
      <c r="G163" s="141">
        <f>_xlfn.CONCAT(YEAR(E163),".",TEXT(MONTH(E163),"0#"))</f>
        <v/>
      </c>
      <c r="H163">
        <f>YEAR(E163)</f>
        <v/>
      </c>
      <c r="I163">
        <f>IF(VLOOKUP(G163,AC:AD,2,FALSE)&lt;4,1,0)</f>
        <v/>
      </c>
      <c r="J163">
        <f>IF(AND(DAY(F163)&lt; DAY(E163),I163=1),MONTH(E163)+1,MONTH(E163))</f>
        <v/>
      </c>
      <c r="K163" s="201">
        <f>_xlfn.CONCAT(H163,".",TEXT(J163,"0#"))</f>
        <v/>
      </c>
      <c r="AA163" s="458" t="n">
        <v>6</v>
      </c>
      <c r="AB163" s="457" t="n">
        <v>50951</v>
      </c>
      <c r="AC163" s="141">
        <f>_xlfn.CONCAT(YEAR(AB163),".",TEXT(MONTH(AB163),"0#"))</f>
        <v/>
      </c>
      <c r="AD163">
        <f>WEEKDAY(AB163)</f>
        <v/>
      </c>
      <c r="AE163">
        <f>VLOOKUP(AD163,AG$2:AH$8,2,FALSE)</f>
        <v/>
      </c>
    </row>
    <row r="164">
      <c r="A164" t="inlineStr">
        <is>
          <t>.t163</t>
        </is>
      </c>
      <c r="B164" t="n">
        <v>163</v>
      </c>
      <c r="C164">
        <f>H164</f>
        <v/>
      </c>
      <c r="E164" s="456">
        <f>F163+2</f>
        <v/>
      </c>
      <c r="F164" s="456">
        <f>E164+5</f>
        <v/>
      </c>
      <c r="G164" s="141">
        <f>_xlfn.CONCAT(YEAR(E164),".",TEXT(MONTH(E164),"0#"))</f>
        <v/>
      </c>
      <c r="H164">
        <f>YEAR(E164)</f>
        <v/>
      </c>
      <c r="I164">
        <f>IF(VLOOKUP(G164,AC:AD,2,FALSE)&lt;4,1,0)</f>
        <v/>
      </c>
      <c r="J164">
        <f>IF(AND(DAY(F164)&lt; DAY(E164),I164=1),MONTH(E164)+1,MONTH(E164))</f>
        <v/>
      </c>
      <c r="K164" s="201">
        <f>_xlfn.CONCAT(H164,".",TEXT(J164,"0#"))</f>
        <v/>
      </c>
      <c r="AA164" s="458" t="n">
        <v>7</v>
      </c>
      <c r="AB164" s="457" t="n">
        <v>50982</v>
      </c>
      <c r="AC164" s="141">
        <f>_xlfn.CONCAT(YEAR(AB164),".",TEXT(MONTH(AB164),"0#"))</f>
        <v/>
      </c>
      <c r="AD164">
        <f>WEEKDAY(AB164)</f>
        <v/>
      </c>
      <c r="AE164" s="478">
        <f>VLOOKUP(AD164,AG$2:AH$8,2,FALSE)</f>
        <v/>
      </c>
    </row>
    <row r="165">
      <c r="A165" t="inlineStr">
        <is>
          <t>.t164</t>
        </is>
      </c>
      <c r="B165" t="n">
        <v>164</v>
      </c>
      <c r="C165">
        <f>H165</f>
        <v/>
      </c>
      <c r="E165" s="456">
        <f>F164+2</f>
        <v/>
      </c>
      <c r="F165" s="456">
        <f>E165+5</f>
        <v/>
      </c>
      <c r="G165" s="141">
        <f>_xlfn.CONCAT(YEAR(E165),".",TEXT(MONTH(E165),"0#"))</f>
        <v/>
      </c>
      <c r="H165">
        <f>YEAR(E165)</f>
        <v/>
      </c>
      <c r="I165">
        <f>IF(VLOOKUP(G165,AC:AD,2,FALSE)&lt;4,1,0)</f>
        <v/>
      </c>
      <c r="J165">
        <f>IF(AND(DAY(F165)&lt; DAY(E165),I165=1),MONTH(E165)+1,MONTH(E165))</f>
        <v/>
      </c>
      <c r="K165" s="201">
        <f>_xlfn.CONCAT(H165,".",TEXT(J165,"0#"))</f>
        <v/>
      </c>
      <c r="AA165" s="458" t="n">
        <v>8</v>
      </c>
      <c r="AB165" s="457" t="n">
        <v>51013</v>
      </c>
      <c r="AC165" s="141">
        <f>_xlfn.CONCAT(YEAR(AB165),".",TEXT(MONTH(AB165),"0#"))</f>
        <v/>
      </c>
      <c r="AD165">
        <f>WEEKDAY(AB165)</f>
        <v/>
      </c>
      <c r="AE165">
        <f>VLOOKUP(AD165,AG$2:AH$8,2,FALSE)</f>
        <v/>
      </c>
    </row>
    <row r="166">
      <c r="A166" t="inlineStr">
        <is>
          <t>.t165</t>
        </is>
      </c>
      <c r="B166" t="n">
        <v>165</v>
      </c>
      <c r="C166">
        <f>H166</f>
        <v/>
      </c>
      <c r="E166" s="456">
        <f>F165+2</f>
        <v/>
      </c>
      <c r="F166" s="456">
        <f>E166+5</f>
        <v/>
      </c>
      <c r="G166" s="141">
        <f>_xlfn.CONCAT(YEAR(E166),".",TEXT(MONTH(E166),"0#"))</f>
        <v/>
      </c>
      <c r="H166">
        <f>YEAR(E166)</f>
        <v/>
      </c>
      <c r="I166">
        <f>IF(VLOOKUP(G166,AC:AD,2,FALSE)&lt;4,1,0)</f>
        <v/>
      </c>
      <c r="J166">
        <f>IF(AND(DAY(F166)&lt; DAY(E166),I166=1),MONTH(E166)+1,MONTH(E166))</f>
        <v/>
      </c>
      <c r="K166" s="201">
        <f>_xlfn.CONCAT(H166,".",TEXT(J166,"0#"))</f>
        <v/>
      </c>
      <c r="AA166" s="458" t="n">
        <v>9</v>
      </c>
      <c r="AB166" s="457" t="n">
        <v>51043</v>
      </c>
      <c r="AC166" s="141">
        <f>_xlfn.CONCAT(YEAR(AB166),".",TEXT(MONTH(AB166),"0#"))</f>
        <v/>
      </c>
      <c r="AD166">
        <f>WEEKDAY(AB166)</f>
        <v/>
      </c>
      <c r="AE166">
        <f>VLOOKUP(AD166,AG$2:AH$8,2,FALSE)</f>
        <v/>
      </c>
    </row>
    <row r="167">
      <c r="A167" t="inlineStr">
        <is>
          <t>.t166</t>
        </is>
      </c>
      <c r="B167" t="n">
        <v>166</v>
      </c>
      <c r="C167">
        <f>H167</f>
        <v/>
      </c>
      <c r="E167" s="456">
        <f>F166+2</f>
        <v/>
      </c>
      <c r="F167" s="456">
        <f>E167+5</f>
        <v/>
      </c>
      <c r="G167" s="141">
        <f>_xlfn.CONCAT(YEAR(E167),".",TEXT(MONTH(E167),"0#"))</f>
        <v/>
      </c>
      <c r="H167">
        <f>YEAR(E167)</f>
        <v/>
      </c>
      <c r="I167">
        <f>IF(VLOOKUP(G167,AC:AD,2,FALSE)&lt;4,1,0)</f>
        <v/>
      </c>
      <c r="J167">
        <f>IF(AND(DAY(F167)&lt; DAY(E167),I167=1),MONTH(E167)+1,MONTH(E167))</f>
        <v/>
      </c>
      <c r="K167" s="201">
        <f>_xlfn.CONCAT(H167,".",TEXT(J167,"0#"))</f>
        <v/>
      </c>
      <c r="AA167" s="458" t="n">
        <v>10</v>
      </c>
      <c r="AB167" s="457" t="n">
        <v>51074</v>
      </c>
      <c r="AC167" s="141">
        <f>_xlfn.CONCAT(YEAR(AB167),".",TEXT(MONTH(AB167),"0#"))</f>
        <v/>
      </c>
      <c r="AD167">
        <f>WEEKDAY(AB167)</f>
        <v/>
      </c>
      <c r="AE167">
        <f>VLOOKUP(AD167,AG$2:AH$8,2,FALSE)</f>
        <v/>
      </c>
    </row>
    <row r="168">
      <c r="A168" t="inlineStr">
        <is>
          <t>.t167</t>
        </is>
      </c>
      <c r="B168" t="n">
        <v>167</v>
      </c>
      <c r="C168">
        <f>H168</f>
        <v/>
      </c>
      <c r="E168" s="456">
        <f>F167+2</f>
        <v/>
      </c>
      <c r="F168" s="456">
        <f>E168+5</f>
        <v/>
      </c>
      <c r="G168" s="141">
        <f>_xlfn.CONCAT(YEAR(E168),".",TEXT(MONTH(E168),"0#"))</f>
        <v/>
      </c>
      <c r="H168">
        <f>YEAR(E168)</f>
        <v/>
      </c>
      <c r="I168">
        <f>IF(VLOOKUP(G168,AC:AD,2,FALSE)&lt;4,1,0)</f>
        <v/>
      </c>
      <c r="J168">
        <f>IF(AND(DAY(F168)&lt; DAY(E168),I168=1),MONTH(E168)+1,MONTH(E168))</f>
        <v/>
      </c>
      <c r="K168" s="201">
        <f>_xlfn.CONCAT(H168,".",TEXT(J168,"0#"))</f>
        <v/>
      </c>
      <c r="AA168" s="458" t="n">
        <v>11</v>
      </c>
      <c r="AB168" s="457" t="n">
        <v>51104</v>
      </c>
      <c r="AC168" s="141">
        <f>_xlfn.CONCAT(YEAR(AB168),".",TEXT(MONTH(AB168),"0#"))</f>
        <v/>
      </c>
      <c r="AD168">
        <f>WEEKDAY(AB168)</f>
        <v/>
      </c>
      <c r="AE168">
        <f>VLOOKUP(AD168,AG$2:AH$8,2,FALSE)</f>
        <v/>
      </c>
    </row>
    <row r="169">
      <c r="A169" t="inlineStr">
        <is>
          <t>.t168</t>
        </is>
      </c>
      <c r="B169" t="n">
        <v>168</v>
      </c>
      <c r="C169">
        <f>H169</f>
        <v/>
      </c>
      <c r="E169" s="456">
        <f>F168+2</f>
        <v/>
      </c>
      <c r="F169" s="456">
        <f>E169+5</f>
        <v/>
      </c>
      <c r="G169" s="141">
        <f>_xlfn.CONCAT(YEAR(E169),".",TEXT(MONTH(E169),"0#"))</f>
        <v/>
      </c>
      <c r="H169">
        <f>YEAR(E169)</f>
        <v/>
      </c>
      <c r="I169">
        <f>IF(VLOOKUP(G169,AC:AD,2,FALSE)&lt;4,1,0)</f>
        <v/>
      </c>
      <c r="J169">
        <f>IF(AND(DAY(F169)&lt; DAY(E169),I169=1),MONTH(E169)+1,MONTH(E169))</f>
        <v/>
      </c>
      <c r="K169" s="201">
        <f>_xlfn.CONCAT(H169,".",TEXT(J169,"0#"))</f>
        <v/>
      </c>
      <c r="AA169" s="458" t="n">
        <v>12</v>
      </c>
      <c r="AB169" s="457" t="n">
        <v>51135</v>
      </c>
      <c r="AC169" s="141">
        <f>_xlfn.CONCAT(YEAR(AB169),".",TEXT(MONTH(AB169),"0#"))</f>
        <v/>
      </c>
      <c r="AD169">
        <f>WEEKDAY(AB169)</f>
        <v/>
      </c>
      <c r="AE169" s="478">
        <f>VLOOKUP(AD169,AG$2:AH$8,2,FALSE)</f>
        <v/>
      </c>
    </row>
    <row r="170">
      <c r="A170" t="inlineStr">
        <is>
          <t>.t169</t>
        </is>
      </c>
      <c r="B170" t="n">
        <v>169</v>
      </c>
      <c r="C170">
        <f>H170</f>
        <v/>
      </c>
      <c r="E170" s="456">
        <f>F169+2</f>
        <v/>
      </c>
      <c r="F170" s="456">
        <f>E170+5</f>
        <v/>
      </c>
      <c r="G170" s="141">
        <f>_xlfn.CONCAT(YEAR(E170),".",TEXT(MONTH(E170),"0#"))</f>
        <v/>
      </c>
      <c r="H170">
        <f>YEAR(E170)</f>
        <v/>
      </c>
      <c r="I170">
        <f>IF(VLOOKUP(G170,AC:AD,2,FALSE)&lt;4,1,0)</f>
        <v/>
      </c>
      <c r="J170">
        <f>IF(AND(DAY(F170)&lt; DAY(E170),I170=1),MONTH(E170)+1,MONTH(E170))</f>
        <v/>
      </c>
      <c r="K170" s="201">
        <f>_xlfn.CONCAT(H170,".",TEXT(J170,"0#"))</f>
        <v/>
      </c>
      <c r="AA170" s="477" t="n">
        <v>1</v>
      </c>
      <c r="AB170" s="457" t="n">
        <v>51166</v>
      </c>
      <c r="AC170" s="141">
        <f>_xlfn.CONCAT(YEAR(AB170),".",TEXT(MONTH(AB170),"0#"))</f>
        <v/>
      </c>
      <c r="AD170">
        <f>WEEKDAY(AB170)</f>
        <v/>
      </c>
      <c r="AE170">
        <f>VLOOKUP(AD170,AG$2:AH$8,2,FALSE)</f>
        <v/>
      </c>
    </row>
    <row r="171">
      <c r="A171" t="inlineStr">
        <is>
          <t>.t170</t>
        </is>
      </c>
      <c r="B171" t="n">
        <v>170</v>
      </c>
      <c r="C171">
        <f>H171</f>
        <v/>
      </c>
      <c r="E171" s="456">
        <f>F170+2</f>
        <v/>
      </c>
      <c r="F171" s="456">
        <f>E171+5</f>
        <v/>
      </c>
      <c r="G171" s="141">
        <f>_xlfn.CONCAT(YEAR(E171),".",TEXT(MONTH(E171),"0#"))</f>
        <v/>
      </c>
      <c r="H171">
        <f>YEAR(E171)</f>
        <v/>
      </c>
      <c r="I171">
        <f>IF(VLOOKUP(G171,AC:AD,2,FALSE)&lt;4,1,0)</f>
        <v/>
      </c>
      <c r="J171">
        <f>IF(AND(DAY(F171)&lt; DAY(E171),I171=1),MONTH(E171)+1,MONTH(E171))</f>
        <v/>
      </c>
      <c r="K171" s="201">
        <f>_xlfn.CONCAT(H171,".",TEXT(J171,"0#"))</f>
        <v/>
      </c>
      <c r="AA171" s="477" t="n">
        <v>2</v>
      </c>
      <c r="AB171" s="457" t="n">
        <v>51195</v>
      </c>
      <c r="AC171" s="141">
        <f>_xlfn.CONCAT(YEAR(AB171),".",TEXT(MONTH(AB171),"0#"))</f>
        <v/>
      </c>
      <c r="AD171">
        <f>WEEKDAY(AB171)</f>
        <v/>
      </c>
      <c r="AE171">
        <f>VLOOKUP(AD171,AG$2:AH$8,2,FALSE)</f>
        <v/>
      </c>
    </row>
    <row r="172">
      <c r="A172" t="inlineStr">
        <is>
          <t>.t171</t>
        </is>
      </c>
      <c r="B172" t="n">
        <v>171</v>
      </c>
      <c r="C172">
        <f>H172</f>
        <v/>
      </c>
      <c r="E172" s="456">
        <f>F171+2</f>
        <v/>
      </c>
      <c r="F172" s="456">
        <f>E172+5</f>
        <v/>
      </c>
      <c r="G172" s="141">
        <f>_xlfn.CONCAT(YEAR(E172),".",TEXT(MONTH(E172),"0#"))</f>
        <v/>
      </c>
      <c r="H172">
        <f>YEAR(E172)</f>
        <v/>
      </c>
      <c r="I172">
        <f>IF(VLOOKUP(G172,AC:AD,2,FALSE)&lt;4,1,0)</f>
        <v/>
      </c>
      <c r="J172">
        <f>IF(AND(DAY(F172)&lt; DAY(E172),I172=1),MONTH(E172)+1,MONTH(E172))</f>
        <v/>
      </c>
      <c r="K172" s="201">
        <f>_xlfn.CONCAT(H172,".",TEXT(J172,"0#"))</f>
        <v/>
      </c>
      <c r="AA172" s="477" t="n">
        <v>3</v>
      </c>
      <c r="AB172" s="457" t="n">
        <v>51226</v>
      </c>
      <c r="AC172" s="141">
        <f>_xlfn.CONCAT(YEAR(AB172),".",TEXT(MONTH(AB172),"0#"))</f>
        <v/>
      </c>
      <c r="AD172">
        <f>WEEKDAY(AB172)</f>
        <v/>
      </c>
      <c r="AE172" s="478">
        <f>VLOOKUP(AD172,AG$2:AH$8,2,FALSE)</f>
        <v/>
      </c>
    </row>
    <row r="173">
      <c r="A173" t="inlineStr">
        <is>
          <t>.t172</t>
        </is>
      </c>
      <c r="B173" t="n">
        <v>172</v>
      </c>
      <c r="C173">
        <f>H173</f>
        <v/>
      </c>
      <c r="E173" s="456">
        <f>F172+2</f>
        <v/>
      </c>
      <c r="F173" s="456">
        <f>E173+5</f>
        <v/>
      </c>
      <c r="G173" s="141">
        <f>_xlfn.CONCAT(YEAR(E173),".",TEXT(MONTH(E173),"0#"))</f>
        <v/>
      </c>
      <c r="H173">
        <f>YEAR(E173)</f>
        <v/>
      </c>
      <c r="I173">
        <f>IF(VLOOKUP(G173,AC:AD,2,FALSE)&lt;4,1,0)</f>
        <v/>
      </c>
      <c r="J173">
        <f>IF(AND(DAY(F173)&lt; DAY(E173),I173=1),MONTH(E173)+1,MONTH(E173))</f>
        <v/>
      </c>
      <c r="K173" s="201">
        <f>_xlfn.CONCAT(H173,".",TEXT(J173,"0#"))</f>
        <v/>
      </c>
      <c r="AA173" s="477" t="n">
        <v>4</v>
      </c>
      <c r="AB173" s="457" t="n">
        <v>51256</v>
      </c>
      <c r="AC173" s="141">
        <f>_xlfn.CONCAT(YEAR(AB173),".",TEXT(MONTH(AB173),"0#"))</f>
        <v/>
      </c>
      <c r="AD173">
        <f>WEEKDAY(AB173)</f>
        <v/>
      </c>
      <c r="AE173">
        <f>VLOOKUP(AD173,AG$2:AH$8,2,FALSE)</f>
        <v/>
      </c>
    </row>
    <row r="174">
      <c r="A174" t="inlineStr">
        <is>
          <t>.t173</t>
        </is>
      </c>
      <c r="B174" t="n">
        <v>173</v>
      </c>
      <c r="C174">
        <f>H174</f>
        <v/>
      </c>
      <c r="E174" s="456">
        <f>F173+2</f>
        <v/>
      </c>
      <c r="F174" s="456">
        <f>E174+5</f>
        <v/>
      </c>
      <c r="G174" s="141">
        <f>_xlfn.CONCAT(YEAR(E174),".",TEXT(MONTH(E174),"0#"))</f>
        <v/>
      </c>
      <c r="H174">
        <f>YEAR(E174)</f>
        <v/>
      </c>
      <c r="I174">
        <f>IF(VLOOKUP(G174,AC:AD,2,FALSE)&lt;4,1,0)</f>
        <v/>
      </c>
      <c r="J174">
        <f>IF(AND(DAY(F174)&lt; DAY(E174),I174=1),MONTH(E174)+1,MONTH(E174))</f>
        <v/>
      </c>
      <c r="K174" s="201">
        <f>_xlfn.CONCAT(H174,".",TEXT(J174,"0#"))</f>
        <v/>
      </c>
      <c r="AA174" s="477" t="n">
        <v>5</v>
      </c>
      <c r="AB174" s="457" t="n">
        <v>51287</v>
      </c>
      <c r="AC174" s="141">
        <f>_xlfn.CONCAT(YEAR(AB174),".",TEXT(MONTH(AB174),"0#"))</f>
        <v/>
      </c>
      <c r="AD174">
        <f>WEEKDAY(AB174)</f>
        <v/>
      </c>
      <c r="AE174">
        <f>VLOOKUP(AD174,AG$2:AH$8,2,FALSE)</f>
        <v/>
      </c>
    </row>
    <row r="175">
      <c r="A175" t="inlineStr">
        <is>
          <t>.t174</t>
        </is>
      </c>
      <c r="B175" t="n">
        <v>174</v>
      </c>
      <c r="C175">
        <f>H175</f>
        <v/>
      </c>
      <c r="E175" s="456">
        <f>F174+2</f>
        <v/>
      </c>
      <c r="F175" s="456">
        <f>E175+5</f>
        <v/>
      </c>
      <c r="G175" s="141">
        <f>_xlfn.CONCAT(YEAR(E175),".",TEXT(MONTH(E175),"0#"))</f>
        <v/>
      </c>
      <c r="H175">
        <f>YEAR(E175)</f>
        <v/>
      </c>
      <c r="I175">
        <f>IF(VLOOKUP(G175,AC:AD,2,FALSE)&lt;4,1,0)</f>
        <v/>
      </c>
      <c r="J175">
        <f>IF(AND(DAY(F175)&lt; DAY(E175),I175=1),MONTH(E175)+1,MONTH(E175))</f>
        <v/>
      </c>
      <c r="K175" s="201">
        <f>_xlfn.CONCAT(H175,".",TEXT(J175,"0#"))</f>
        <v/>
      </c>
      <c r="AA175" s="477" t="n">
        <v>6</v>
      </c>
      <c r="AB175" s="457" t="n">
        <v>51317</v>
      </c>
      <c r="AC175" s="141">
        <f>_xlfn.CONCAT(YEAR(AB175),".",TEXT(MONTH(AB175),"0#"))</f>
        <v/>
      </c>
      <c r="AD175">
        <f>WEEKDAY(AB175)</f>
        <v/>
      </c>
      <c r="AE175" s="478">
        <f>VLOOKUP(AD175,AG$2:AH$8,2,FALSE)</f>
        <v/>
      </c>
    </row>
    <row r="176">
      <c r="A176" t="inlineStr">
        <is>
          <t>.t175</t>
        </is>
      </c>
      <c r="B176" t="n">
        <v>175</v>
      </c>
      <c r="C176">
        <f>H176</f>
        <v/>
      </c>
      <c r="E176" s="456">
        <f>F175+2</f>
        <v/>
      </c>
      <c r="F176" s="456">
        <f>E176+5</f>
        <v/>
      </c>
      <c r="G176" s="141">
        <f>_xlfn.CONCAT(YEAR(E176),".",TEXT(MONTH(E176),"0#"))</f>
        <v/>
      </c>
      <c r="H176">
        <f>YEAR(E176)</f>
        <v/>
      </c>
      <c r="I176">
        <f>IF(VLOOKUP(G176,AC:AD,2,FALSE)&lt;4,1,0)</f>
        <v/>
      </c>
      <c r="J176">
        <f>IF(AND(DAY(F176)&lt; DAY(E176),I176=1),MONTH(E176)+1,MONTH(E176))</f>
        <v/>
      </c>
      <c r="K176" s="201">
        <f>_xlfn.CONCAT(H176,".",TEXT(J176,"0#"))</f>
        <v/>
      </c>
      <c r="AA176" s="477" t="n">
        <v>7</v>
      </c>
      <c r="AB176" s="457" t="n">
        <v>51348</v>
      </c>
      <c r="AC176" s="141">
        <f>_xlfn.CONCAT(YEAR(AB176),".",TEXT(MONTH(AB176),"0#"))</f>
        <v/>
      </c>
      <c r="AD176">
        <f>WEEKDAY(AB176)</f>
        <v/>
      </c>
      <c r="AE176">
        <f>VLOOKUP(AD176,AG$2:AH$8,2,FALSE)</f>
        <v/>
      </c>
    </row>
    <row r="177">
      <c r="A177" t="inlineStr">
        <is>
          <t>.t176</t>
        </is>
      </c>
      <c r="B177" t="n">
        <v>176</v>
      </c>
      <c r="C177">
        <f>H177</f>
        <v/>
      </c>
      <c r="E177" s="456">
        <f>F176+2</f>
        <v/>
      </c>
      <c r="F177" s="456">
        <f>E177+5</f>
        <v/>
      </c>
      <c r="G177" s="141">
        <f>_xlfn.CONCAT(YEAR(E177),".",TEXT(MONTH(E177),"0#"))</f>
        <v/>
      </c>
      <c r="H177">
        <f>YEAR(E177)</f>
        <v/>
      </c>
      <c r="I177">
        <f>IF(VLOOKUP(G177,AC:AD,2,FALSE)&lt;4,1,0)</f>
        <v/>
      </c>
      <c r="J177">
        <f>IF(AND(DAY(F177)&lt; DAY(E177),I177=1),MONTH(E177)+1,MONTH(E177))</f>
        <v/>
      </c>
      <c r="K177" s="201">
        <f>_xlfn.CONCAT(H177,".",TEXT(J177,"0#"))</f>
        <v/>
      </c>
      <c r="AA177" s="477" t="n">
        <v>8</v>
      </c>
      <c r="AB177" s="457" t="n">
        <v>51379</v>
      </c>
      <c r="AC177" s="141">
        <f>_xlfn.CONCAT(YEAR(AB177),".",TEXT(MONTH(AB177),"0#"))</f>
        <v/>
      </c>
      <c r="AD177">
        <f>WEEKDAY(AB177)</f>
        <v/>
      </c>
      <c r="AE177">
        <f>VLOOKUP(AD177,AG$2:AH$8,2,FALSE)</f>
        <v/>
      </c>
    </row>
    <row r="178">
      <c r="A178" t="inlineStr">
        <is>
          <t>.t177</t>
        </is>
      </c>
      <c r="B178" t="n">
        <v>177</v>
      </c>
      <c r="C178">
        <f>H178</f>
        <v/>
      </c>
      <c r="E178" s="456">
        <f>F177+2</f>
        <v/>
      </c>
      <c r="F178" s="456">
        <f>E178+5</f>
        <v/>
      </c>
      <c r="G178" s="141">
        <f>_xlfn.CONCAT(YEAR(E178),".",TEXT(MONTH(E178),"0#"))</f>
        <v/>
      </c>
      <c r="H178">
        <f>YEAR(E178)</f>
        <v/>
      </c>
      <c r="I178">
        <f>IF(VLOOKUP(G178,AC:AD,2,FALSE)&lt;4,1,0)</f>
        <v/>
      </c>
      <c r="J178">
        <f>IF(AND(DAY(F178)&lt; DAY(E178),I178=1),MONTH(E178)+1,MONTH(E178))</f>
        <v/>
      </c>
      <c r="K178" s="201">
        <f>_xlfn.CONCAT(H178,".",TEXT(J178,"0#"))</f>
        <v/>
      </c>
      <c r="AA178" s="477" t="n">
        <v>9</v>
      </c>
      <c r="AB178" s="457" t="n">
        <v>51409</v>
      </c>
      <c r="AC178" s="141">
        <f>_xlfn.CONCAT(YEAR(AB178),".",TEXT(MONTH(AB178),"0#"))</f>
        <v/>
      </c>
      <c r="AD178">
        <f>WEEKDAY(AB178)</f>
        <v/>
      </c>
      <c r="AE178" s="478">
        <f>VLOOKUP(AD178,AG$2:AH$8,2,FALSE)</f>
        <v/>
      </c>
    </row>
    <row r="179">
      <c r="A179" t="inlineStr">
        <is>
          <t>.t178</t>
        </is>
      </c>
      <c r="B179" t="n">
        <v>178</v>
      </c>
      <c r="C179">
        <f>H179</f>
        <v/>
      </c>
      <c r="E179" s="456">
        <f>F178+2</f>
        <v/>
      </c>
      <c r="F179" s="456">
        <f>E179+5</f>
        <v/>
      </c>
      <c r="G179" s="141">
        <f>_xlfn.CONCAT(YEAR(E179),".",TEXT(MONTH(E179),"0#"))</f>
        <v/>
      </c>
      <c r="H179">
        <f>YEAR(E179)</f>
        <v/>
      </c>
      <c r="I179">
        <f>IF(VLOOKUP(G179,AC:AD,2,FALSE)&lt;4,1,0)</f>
        <v/>
      </c>
      <c r="J179">
        <f>IF(AND(DAY(F179)&lt; DAY(E179),I179=1),MONTH(E179)+1,MONTH(E179))</f>
        <v/>
      </c>
      <c r="K179" s="201">
        <f>_xlfn.CONCAT(H179,".",TEXT(J179,"0#"))</f>
        <v/>
      </c>
      <c r="AA179" s="477" t="n">
        <v>10</v>
      </c>
      <c r="AB179" s="457" t="n">
        <v>51440</v>
      </c>
      <c r="AC179" s="141">
        <f>_xlfn.CONCAT(YEAR(AB179),".",TEXT(MONTH(AB179),"0#"))</f>
        <v/>
      </c>
      <c r="AD179">
        <f>WEEKDAY(AB179)</f>
        <v/>
      </c>
      <c r="AE179">
        <f>VLOOKUP(AD179,AG$2:AH$8,2,FALSE)</f>
        <v/>
      </c>
    </row>
    <row r="180">
      <c r="A180" t="inlineStr">
        <is>
          <t>.t179</t>
        </is>
      </c>
      <c r="B180" t="n">
        <v>179</v>
      </c>
      <c r="C180">
        <f>H180</f>
        <v/>
      </c>
      <c r="E180" s="456">
        <f>F179+2</f>
        <v/>
      </c>
      <c r="F180" s="456">
        <f>E180+5</f>
        <v/>
      </c>
      <c r="G180" s="141">
        <f>_xlfn.CONCAT(YEAR(E180),".",TEXT(MONTH(E180),"0#"))</f>
        <v/>
      </c>
      <c r="H180">
        <f>YEAR(E180)</f>
        <v/>
      </c>
      <c r="I180">
        <f>IF(VLOOKUP(G180,AC:AD,2,FALSE)&lt;4,1,0)</f>
        <v/>
      </c>
      <c r="J180">
        <f>IF(AND(DAY(F180)&lt; DAY(E180),I180=1),MONTH(E180)+1,MONTH(E180))</f>
        <v/>
      </c>
      <c r="K180" s="201">
        <f>_xlfn.CONCAT(H180,".",TEXT(J180,"0#"))</f>
        <v/>
      </c>
      <c r="AA180" s="477" t="n">
        <v>11</v>
      </c>
      <c r="AB180" s="457" t="n">
        <v>51470</v>
      </c>
      <c r="AC180" s="141">
        <f>_xlfn.CONCAT(YEAR(AB180),".",TEXT(MONTH(AB180),"0#"))</f>
        <v/>
      </c>
      <c r="AD180">
        <f>WEEKDAY(AB180)</f>
        <v/>
      </c>
      <c r="AE180">
        <f>VLOOKUP(AD180,AG$2:AH$8,2,FALSE)</f>
        <v/>
      </c>
    </row>
    <row r="181">
      <c r="A181" t="inlineStr">
        <is>
          <t>.t180</t>
        </is>
      </c>
      <c r="B181" t="n">
        <v>180</v>
      </c>
      <c r="C181">
        <f>H181</f>
        <v/>
      </c>
      <c r="E181" s="456">
        <f>F180+2</f>
        <v/>
      </c>
      <c r="F181" s="456">
        <f>E181+5</f>
        <v/>
      </c>
      <c r="G181" s="141">
        <f>_xlfn.CONCAT(YEAR(E181),".",TEXT(MONTH(E181),"0#"))</f>
        <v/>
      </c>
      <c r="H181">
        <f>YEAR(E181)</f>
        <v/>
      </c>
      <c r="I181">
        <f>IF(VLOOKUP(G181,AC:AD,2,FALSE)&lt;4,1,0)</f>
        <v/>
      </c>
      <c r="J181">
        <f>IF(AND(DAY(F181)&lt; DAY(E181),I181=1),MONTH(E181)+1,MONTH(E181))</f>
        <v/>
      </c>
      <c r="K181" s="201">
        <f>_xlfn.CONCAT(H181,".",TEXT(J181,"0#"))</f>
        <v/>
      </c>
      <c r="AA181" s="477" t="n">
        <v>12</v>
      </c>
      <c r="AB181" s="457" t="n">
        <v>51501</v>
      </c>
      <c r="AC181" s="141">
        <f>_xlfn.CONCAT(YEAR(AB181),".",TEXT(MONTH(AB181),"0#"))</f>
        <v/>
      </c>
      <c r="AD181">
        <f>WEEKDAY(AB181)</f>
        <v/>
      </c>
      <c r="AE181">
        <f>VLOOKUP(AD181,AG$2:AH$8,2,FALSE)</f>
        <v/>
      </c>
    </row>
    <row r="182">
      <c r="A182" t="inlineStr">
        <is>
          <t>.t181</t>
        </is>
      </c>
      <c r="B182" t="n">
        <v>181</v>
      </c>
      <c r="C182">
        <f>H182</f>
        <v/>
      </c>
      <c r="E182" s="456">
        <f>F181+2</f>
        <v/>
      </c>
      <c r="F182" s="456">
        <f>E182+5</f>
        <v/>
      </c>
      <c r="G182" s="141">
        <f>_xlfn.CONCAT(YEAR(E182),".",TEXT(MONTH(E182),"0#"))</f>
        <v/>
      </c>
      <c r="H182">
        <f>YEAR(E182)</f>
        <v/>
      </c>
      <c r="I182">
        <f>IF(VLOOKUP(G182,AC:AD,2,FALSE)&lt;4,1,0)</f>
        <v/>
      </c>
      <c r="J182">
        <f>IF(AND(DAY(F182)&lt; DAY(E182),I182=1),MONTH(E182)+1,MONTH(E182))</f>
        <v/>
      </c>
      <c r="K182" s="201">
        <f>_xlfn.CONCAT(H182,".",TEXT(J182,"0#"))</f>
        <v/>
      </c>
      <c r="AA182" s="458" t="n">
        <v>1</v>
      </c>
      <c r="AB182" s="457" t="n">
        <v>51532</v>
      </c>
      <c r="AC182" s="141">
        <f>_xlfn.CONCAT(YEAR(AB182),".",TEXT(MONTH(AB182),"0#"))</f>
        <v/>
      </c>
      <c r="AD182">
        <f>WEEKDAY(AB182)</f>
        <v/>
      </c>
      <c r="AE182">
        <f>VLOOKUP(AD182,AG$2:AH$8,2,FALSE)</f>
        <v/>
      </c>
    </row>
    <row r="183">
      <c r="A183" t="inlineStr">
        <is>
          <t>.t182</t>
        </is>
      </c>
      <c r="B183" t="n">
        <v>182</v>
      </c>
      <c r="C183">
        <f>H183</f>
        <v/>
      </c>
      <c r="E183" s="456">
        <f>F182+2</f>
        <v/>
      </c>
      <c r="F183" s="456">
        <f>E183+5</f>
        <v/>
      </c>
      <c r="G183" s="141">
        <f>_xlfn.CONCAT(YEAR(E183),".",TEXT(MONTH(E183),"0#"))</f>
        <v/>
      </c>
      <c r="H183">
        <f>YEAR(E183)</f>
        <v/>
      </c>
      <c r="I183">
        <f>IF(VLOOKUP(G183,AC:AD,2,FALSE)&lt;4,1,0)</f>
        <v/>
      </c>
      <c r="J183">
        <f>IF(AND(DAY(F183)&lt; DAY(E183),I183=1),MONTH(E183)+1,MONTH(E183))</f>
        <v/>
      </c>
      <c r="K183" s="201">
        <f>_xlfn.CONCAT(H183,".",TEXT(J183,"0#"))</f>
        <v/>
      </c>
      <c r="AA183" s="458" t="n">
        <v>2</v>
      </c>
      <c r="AB183" s="457" t="n">
        <v>51560</v>
      </c>
      <c r="AC183" s="141">
        <f>_xlfn.CONCAT(YEAR(AB183),".",TEXT(MONTH(AB183),"0#"))</f>
        <v/>
      </c>
      <c r="AD183">
        <f>WEEKDAY(AB183)</f>
        <v/>
      </c>
      <c r="AE183">
        <f>VLOOKUP(AD183,AG$2:AH$8,2,FALSE)</f>
        <v/>
      </c>
    </row>
    <row r="184">
      <c r="A184" t="inlineStr">
        <is>
          <t>.t183</t>
        </is>
      </c>
      <c r="B184" t="n">
        <v>183</v>
      </c>
      <c r="C184">
        <f>H184</f>
        <v/>
      </c>
      <c r="E184" s="456">
        <f>F183+2</f>
        <v/>
      </c>
      <c r="F184" s="456">
        <f>E184+5</f>
        <v/>
      </c>
      <c r="G184" s="141">
        <f>_xlfn.CONCAT(YEAR(E184),".",TEXT(MONTH(E184),"0#"))</f>
        <v/>
      </c>
      <c r="H184">
        <f>YEAR(E184)</f>
        <v/>
      </c>
      <c r="I184">
        <f>IF(VLOOKUP(G184,AC:AD,2,FALSE)&lt;4,1,0)</f>
        <v/>
      </c>
      <c r="J184">
        <f>IF(AND(DAY(F184)&lt; DAY(E184),I184=1),MONTH(E184)+1,MONTH(E184))</f>
        <v/>
      </c>
      <c r="K184" s="201">
        <f>_xlfn.CONCAT(H184,".",TEXT(J184,"0#"))</f>
        <v/>
      </c>
      <c r="AA184" s="458" t="n">
        <v>3</v>
      </c>
      <c r="AB184" s="457" t="n">
        <v>51591</v>
      </c>
      <c r="AC184" s="141">
        <f>_xlfn.CONCAT(YEAR(AB184),".",TEXT(MONTH(AB184),"0#"))</f>
        <v/>
      </c>
      <c r="AD184">
        <f>WEEKDAY(AB184)</f>
        <v/>
      </c>
      <c r="AE184" s="478">
        <f>VLOOKUP(AD184,AG$2:AH$8,2,FALSE)</f>
        <v/>
      </c>
    </row>
    <row r="185">
      <c r="A185" t="inlineStr">
        <is>
          <t>.t184</t>
        </is>
      </c>
      <c r="B185" t="n">
        <v>184</v>
      </c>
      <c r="C185">
        <f>H185</f>
        <v/>
      </c>
      <c r="E185" s="456">
        <f>F184+2</f>
        <v/>
      </c>
      <c r="F185" s="456">
        <f>E185+5</f>
        <v/>
      </c>
      <c r="G185" s="141">
        <f>_xlfn.CONCAT(YEAR(E185),".",TEXT(MONTH(E185),"0#"))</f>
        <v/>
      </c>
      <c r="H185">
        <f>YEAR(E185)</f>
        <v/>
      </c>
      <c r="I185">
        <f>IF(VLOOKUP(G185,AC:AD,2,FALSE)&lt;4,1,0)</f>
        <v/>
      </c>
      <c r="J185">
        <f>IF(AND(DAY(F185)&lt; DAY(E185),I185=1),MONTH(E185)+1,MONTH(E185))</f>
        <v/>
      </c>
      <c r="K185" s="201">
        <f>_xlfn.CONCAT(H185,".",TEXT(J185,"0#"))</f>
        <v/>
      </c>
      <c r="AA185" s="458" t="n">
        <v>4</v>
      </c>
      <c r="AB185" s="457" t="n">
        <v>51621</v>
      </c>
      <c r="AC185" s="141">
        <f>_xlfn.CONCAT(YEAR(AB185),".",TEXT(MONTH(AB185),"0#"))</f>
        <v/>
      </c>
      <c r="AD185">
        <f>WEEKDAY(AB185)</f>
        <v/>
      </c>
      <c r="AE185">
        <f>VLOOKUP(AD185,AG$2:AH$8,2,FALSE)</f>
        <v/>
      </c>
    </row>
    <row r="186">
      <c r="A186" t="inlineStr">
        <is>
          <t>.t185</t>
        </is>
      </c>
      <c r="B186" t="n">
        <v>185</v>
      </c>
      <c r="C186">
        <f>H186</f>
        <v/>
      </c>
      <c r="E186" s="456">
        <f>F185+2</f>
        <v/>
      </c>
      <c r="F186" s="456">
        <f>E186+5</f>
        <v/>
      </c>
      <c r="G186" s="141">
        <f>_xlfn.CONCAT(YEAR(E186),".",TEXT(MONTH(E186),"0#"))</f>
        <v/>
      </c>
      <c r="H186">
        <f>YEAR(E186)</f>
        <v/>
      </c>
      <c r="I186">
        <f>IF(VLOOKUP(G186,AC:AD,2,FALSE)&lt;4,1,0)</f>
        <v/>
      </c>
      <c r="J186">
        <f>IF(AND(DAY(F186)&lt; DAY(E186),I186=1),MONTH(E186)+1,MONTH(E186))</f>
        <v/>
      </c>
      <c r="K186" s="201">
        <f>_xlfn.CONCAT(H186,".",TEXT(J186,"0#"))</f>
        <v/>
      </c>
      <c r="AA186" s="458" t="n">
        <v>5</v>
      </c>
      <c r="AB186" s="457" t="n">
        <v>51652</v>
      </c>
      <c r="AC186" s="141">
        <f>_xlfn.CONCAT(YEAR(AB186),".",TEXT(MONTH(AB186),"0#"))</f>
        <v/>
      </c>
      <c r="AD186">
        <f>WEEKDAY(AB186)</f>
        <v/>
      </c>
      <c r="AE186">
        <f>VLOOKUP(AD186,AG$2:AH$8,2,FALSE)</f>
        <v/>
      </c>
    </row>
    <row r="187">
      <c r="A187" t="inlineStr">
        <is>
          <t>.t186</t>
        </is>
      </c>
      <c r="B187" t="n">
        <v>186</v>
      </c>
      <c r="C187">
        <f>H187</f>
        <v/>
      </c>
      <c r="E187" s="456">
        <f>F186+2</f>
        <v/>
      </c>
      <c r="F187" s="456">
        <f>E187+5</f>
        <v/>
      </c>
      <c r="G187" s="141">
        <f>_xlfn.CONCAT(YEAR(E187),".",TEXT(MONTH(E187),"0#"))</f>
        <v/>
      </c>
      <c r="H187">
        <f>YEAR(E187)</f>
        <v/>
      </c>
      <c r="I187">
        <f>IF(VLOOKUP(G187,AC:AD,2,FALSE)&lt;4,1,0)</f>
        <v/>
      </c>
      <c r="J187">
        <f>IF(AND(DAY(F187)&lt; DAY(E187),I187=1),MONTH(E187)+1,MONTH(E187))</f>
        <v/>
      </c>
      <c r="K187" s="201">
        <f>_xlfn.CONCAT(H187,".",TEXT(J187,"0#"))</f>
        <v/>
      </c>
      <c r="AA187" s="458" t="n">
        <v>6</v>
      </c>
      <c r="AB187" s="457" t="n">
        <v>51682</v>
      </c>
      <c r="AC187" s="141">
        <f>_xlfn.CONCAT(YEAR(AB187),".",TEXT(MONTH(AB187),"0#"))</f>
        <v/>
      </c>
      <c r="AD187">
        <f>WEEKDAY(AB187)</f>
        <v/>
      </c>
      <c r="AE187" s="478">
        <f>VLOOKUP(AD187,AG$2:AH$8,2,FALSE)</f>
        <v/>
      </c>
    </row>
    <row r="188">
      <c r="A188" t="inlineStr">
        <is>
          <t>.t187</t>
        </is>
      </c>
      <c r="B188" t="n">
        <v>187</v>
      </c>
      <c r="C188">
        <f>H188</f>
        <v/>
      </c>
      <c r="E188" s="456">
        <f>F187+2</f>
        <v/>
      </c>
      <c r="F188" s="456">
        <f>E188+5</f>
        <v/>
      </c>
      <c r="G188" s="141">
        <f>_xlfn.CONCAT(YEAR(E188),".",TEXT(MONTH(E188),"0#"))</f>
        <v/>
      </c>
      <c r="H188">
        <f>YEAR(E188)</f>
        <v/>
      </c>
      <c r="I188">
        <f>IF(VLOOKUP(G188,AC:AD,2,FALSE)&lt;4,1,0)</f>
        <v/>
      </c>
      <c r="J188">
        <f>IF(AND(DAY(F188)&lt; DAY(E188),I188=1),MONTH(E188)+1,MONTH(E188))</f>
        <v/>
      </c>
      <c r="K188" s="201">
        <f>_xlfn.CONCAT(H188,".",TEXT(J188,"0#"))</f>
        <v/>
      </c>
      <c r="AA188" s="458" t="n">
        <v>7</v>
      </c>
      <c r="AB188" s="457" t="n">
        <v>51713</v>
      </c>
      <c r="AC188" s="141">
        <f>_xlfn.CONCAT(YEAR(AB188),".",TEXT(MONTH(AB188),"0#"))</f>
        <v/>
      </c>
      <c r="AD188">
        <f>WEEKDAY(AB188)</f>
        <v/>
      </c>
      <c r="AE188">
        <f>VLOOKUP(AD188,AG$2:AH$8,2,FALSE)</f>
        <v/>
      </c>
    </row>
    <row r="189">
      <c r="A189" t="inlineStr">
        <is>
          <t>.t188</t>
        </is>
      </c>
      <c r="B189" t="n">
        <v>188</v>
      </c>
      <c r="C189">
        <f>H189</f>
        <v/>
      </c>
      <c r="E189" s="456">
        <f>F188+2</f>
        <v/>
      </c>
      <c r="F189" s="456">
        <f>E189+5</f>
        <v/>
      </c>
      <c r="G189" s="141">
        <f>_xlfn.CONCAT(YEAR(E189),".",TEXT(MONTH(E189),"0#"))</f>
        <v/>
      </c>
      <c r="H189">
        <f>YEAR(E189)</f>
        <v/>
      </c>
      <c r="I189">
        <f>IF(VLOOKUP(G189,AC:AD,2,FALSE)&lt;4,1,0)</f>
        <v/>
      </c>
      <c r="J189">
        <f>IF(AND(DAY(F189)&lt; DAY(E189),I189=1),MONTH(E189)+1,MONTH(E189))</f>
        <v/>
      </c>
      <c r="K189" s="201">
        <f>_xlfn.CONCAT(H189,".",TEXT(J189,"0#"))</f>
        <v/>
      </c>
      <c r="AA189" s="458" t="n">
        <v>8</v>
      </c>
      <c r="AB189" s="457" t="n">
        <v>51744</v>
      </c>
      <c r="AC189" s="141">
        <f>_xlfn.CONCAT(YEAR(AB189),".",TEXT(MONTH(AB189),"0#"))</f>
        <v/>
      </c>
      <c r="AD189">
        <f>WEEKDAY(AB189)</f>
        <v/>
      </c>
      <c r="AE189" s="478">
        <f>VLOOKUP(AD189,AG$2:AH$8,2,FALSE)</f>
        <v/>
      </c>
    </row>
    <row r="190">
      <c r="A190" t="inlineStr">
        <is>
          <t>.t189</t>
        </is>
      </c>
      <c r="B190" t="n">
        <v>189</v>
      </c>
      <c r="C190">
        <f>H190</f>
        <v/>
      </c>
      <c r="E190" s="456">
        <f>F189+2</f>
        <v/>
      </c>
      <c r="F190" s="456">
        <f>E190+5</f>
        <v/>
      </c>
      <c r="G190" s="141">
        <f>_xlfn.CONCAT(YEAR(E190),".",TEXT(MONTH(E190),"0#"))</f>
        <v/>
      </c>
      <c r="H190">
        <f>YEAR(E190)</f>
        <v/>
      </c>
      <c r="I190">
        <f>IF(VLOOKUP(G190,AC:AD,2,FALSE)&lt;4,1,0)</f>
        <v/>
      </c>
      <c r="J190">
        <f>IF(AND(DAY(F190)&lt; DAY(E190),I190=1),MONTH(E190)+1,MONTH(E190))</f>
        <v/>
      </c>
      <c r="K190" s="201">
        <f>_xlfn.CONCAT(H190,".",TEXT(J190,"0#"))</f>
        <v/>
      </c>
      <c r="AA190" s="458" t="n">
        <v>9</v>
      </c>
      <c r="AB190" s="457" t="n">
        <v>51774</v>
      </c>
      <c r="AC190" s="141">
        <f>_xlfn.CONCAT(YEAR(AB190),".",TEXT(MONTH(AB190),"0#"))</f>
        <v/>
      </c>
      <c r="AD190">
        <f>WEEKDAY(AB190)</f>
        <v/>
      </c>
      <c r="AE190">
        <f>VLOOKUP(AD190,AG$2:AH$8,2,FALSE)</f>
        <v/>
      </c>
    </row>
    <row r="191">
      <c r="A191" t="inlineStr">
        <is>
          <t>.t190</t>
        </is>
      </c>
      <c r="B191" t="n">
        <v>190</v>
      </c>
      <c r="C191">
        <f>H191</f>
        <v/>
      </c>
      <c r="E191" s="456">
        <f>F190+2</f>
        <v/>
      </c>
      <c r="F191" s="456">
        <f>E191+5</f>
        <v/>
      </c>
      <c r="G191" s="141">
        <f>_xlfn.CONCAT(YEAR(E191),".",TEXT(MONTH(E191),"0#"))</f>
        <v/>
      </c>
      <c r="H191">
        <f>YEAR(E191)</f>
        <v/>
      </c>
      <c r="I191">
        <f>IF(VLOOKUP(G191,AC:AD,2,FALSE)&lt;4,1,0)</f>
        <v/>
      </c>
      <c r="J191">
        <f>IF(AND(DAY(F191)&lt; DAY(E191),I191=1),MONTH(E191)+1,MONTH(E191))</f>
        <v/>
      </c>
      <c r="K191" s="201">
        <f>_xlfn.CONCAT(H191,".",TEXT(J191,"0#"))</f>
        <v/>
      </c>
      <c r="AA191" s="458" t="n">
        <v>10</v>
      </c>
      <c r="AB191" s="457" t="n">
        <v>51805</v>
      </c>
      <c r="AC191" s="141">
        <f>_xlfn.CONCAT(YEAR(AB191),".",TEXT(MONTH(AB191),"0#"))</f>
        <v/>
      </c>
      <c r="AD191">
        <f>WEEKDAY(AB191)</f>
        <v/>
      </c>
      <c r="AE191">
        <f>VLOOKUP(AD191,AG$2:AH$8,2,FALSE)</f>
        <v/>
      </c>
    </row>
    <row r="192">
      <c r="A192" t="inlineStr">
        <is>
          <t>.t191</t>
        </is>
      </c>
      <c r="B192" t="n">
        <v>191</v>
      </c>
      <c r="C192">
        <f>H192</f>
        <v/>
      </c>
      <c r="E192" s="456">
        <f>F191+2</f>
        <v/>
      </c>
      <c r="F192" s="456">
        <f>E192+5</f>
        <v/>
      </c>
      <c r="G192" s="141">
        <f>_xlfn.CONCAT(YEAR(E192),".",TEXT(MONTH(E192),"0#"))</f>
        <v/>
      </c>
      <c r="H192">
        <f>YEAR(E192)</f>
        <v/>
      </c>
      <c r="I192">
        <f>IF(VLOOKUP(G192,AC:AD,2,FALSE)&lt;4,1,0)</f>
        <v/>
      </c>
      <c r="J192">
        <f>IF(AND(DAY(F192)&lt; DAY(E192),I192=1),MONTH(E192)+1,MONTH(E192))</f>
        <v/>
      </c>
      <c r="K192" s="201">
        <f>_xlfn.CONCAT(H192,".",TEXT(J192,"0#"))</f>
        <v/>
      </c>
      <c r="AA192" s="458" t="n">
        <v>11</v>
      </c>
      <c r="AB192" s="457" t="n">
        <v>51835</v>
      </c>
      <c r="AC192" s="141">
        <f>_xlfn.CONCAT(YEAR(AB192),".",TEXT(MONTH(AB192),"0#"))</f>
        <v/>
      </c>
      <c r="AD192">
        <f>WEEKDAY(AB192)</f>
        <v/>
      </c>
      <c r="AE192" s="478">
        <f>VLOOKUP(AD192,AG$2:AH$8,2,FALSE)</f>
        <v/>
      </c>
    </row>
    <row r="193">
      <c r="A193" t="inlineStr">
        <is>
          <t>.t192</t>
        </is>
      </c>
      <c r="B193" t="n">
        <v>192</v>
      </c>
      <c r="C193">
        <f>H193</f>
        <v/>
      </c>
      <c r="E193" s="456">
        <f>F192+2</f>
        <v/>
      </c>
      <c r="F193" s="456">
        <f>E193+5</f>
        <v/>
      </c>
      <c r="G193" s="141">
        <f>_xlfn.CONCAT(YEAR(E193),".",TEXT(MONTH(E193),"0#"))</f>
        <v/>
      </c>
      <c r="H193">
        <f>YEAR(E193)</f>
        <v/>
      </c>
      <c r="I193">
        <f>IF(VLOOKUP(G193,AC:AD,2,FALSE)&lt;4,1,0)</f>
        <v/>
      </c>
      <c r="J193">
        <f>IF(AND(DAY(F193)&lt; DAY(E193),I193=1),MONTH(E193)+1,MONTH(E193))</f>
        <v/>
      </c>
      <c r="K193" s="201">
        <f>_xlfn.CONCAT(H193,".",TEXT(J193,"0#"))</f>
        <v/>
      </c>
      <c r="AA193" s="458" t="n">
        <v>12</v>
      </c>
      <c r="AB193" s="457" t="n">
        <v>51866</v>
      </c>
      <c r="AC193" s="141">
        <f>_xlfn.CONCAT(YEAR(AB193),".",TEXT(MONTH(AB193),"0#"))</f>
        <v/>
      </c>
      <c r="AD193">
        <f>WEEKDAY(AB193)</f>
        <v/>
      </c>
      <c r="AE193">
        <f>VLOOKUP(AD193,AG$2:AH$8,2,FALSE)</f>
        <v/>
      </c>
    </row>
    <row r="194">
      <c r="A194" t="inlineStr">
        <is>
          <t>.t193</t>
        </is>
      </c>
      <c r="B194" t="n">
        <v>193</v>
      </c>
      <c r="C194">
        <f>H194</f>
        <v/>
      </c>
      <c r="E194" s="456">
        <f>F193+2</f>
        <v/>
      </c>
      <c r="F194" s="456">
        <f>E194+5</f>
        <v/>
      </c>
      <c r="G194" s="141">
        <f>_xlfn.CONCAT(YEAR(E194),".",TEXT(MONTH(E194),"0#"))</f>
        <v/>
      </c>
      <c r="H194">
        <f>YEAR(E194)</f>
        <v/>
      </c>
      <c r="I194">
        <f>IF(VLOOKUP(G194,AC:AD,2,FALSE)&lt;4,1,0)</f>
        <v/>
      </c>
      <c r="J194">
        <f>IF(AND(DAY(F194)&lt; DAY(E194),I194=1),MONTH(E194)+1,MONTH(E194))</f>
        <v/>
      </c>
      <c r="K194" s="201">
        <f>_xlfn.CONCAT(H194,".",TEXT(J194,"0#"))</f>
        <v/>
      </c>
      <c r="AA194" s="477" t="n">
        <v>1</v>
      </c>
      <c r="AB194" s="457" t="n">
        <v>51897</v>
      </c>
      <c r="AC194" s="141">
        <f>_xlfn.CONCAT(YEAR(AB194),".",TEXT(MONTH(AB194),"0#"))</f>
        <v/>
      </c>
      <c r="AD194">
        <f>WEEKDAY(AB194)</f>
        <v/>
      </c>
      <c r="AE194">
        <f>VLOOKUP(AD194,AG$2:AH$8,2,FALSE)</f>
        <v/>
      </c>
    </row>
    <row r="195">
      <c r="A195" t="inlineStr">
        <is>
          <t>.t194</t>
        </is>
      </c>
      <c r="B195" t="n">
        <v>194</v>
      </c>
      <c r="C195">
        <f>H195</f>
        <v/>
      </c>
      <c r="E195" s="456">
        <f>F194+2</f>
        <v/>
      </c>
      <c r="F195" s="456">
        <f>E195+5</f>
        <v/>
      </c>
      <c r="G195" s="141">
        <f>_xlfn.CONCAT(YEAR(E195),".",TEXT(MONTH(E195),"0#"))</f>
        <v/>
      </c>
      <c r="H195">
        <f>YEAR(E195)</f>
        <v/>
      </c>
      <c r="I195">
        <f>IF(VLOOKUP(G195,AC:AD,2,FALSE)&lt;4,1,0)</f>
        <v/>
      </c>
      <c r="J195">
        <f>IF(AND(DAY(F195)&lt; DAY(E195),I195=1),MONTH(E195)+1,MONTH(E195))</f>
        <v/>
      </c>
      <c r="K195" s="201">
        <f>_xlfn.CONCAT(H195,".",TEXT(J195,"0#"))</f>
        <v/>
      </c>
      <c r="AA195" s="477" t="n">
        <v>2</v>
      </c>
      <c r="AB195" s="457" t="n">
        <v>51925</v>
      </c>
      <c r="AC195" s="141">
        <f>_xlfn.CONCAT(YEAR(AB195),".",TEXT(MONTH(AB195),"0#"))</f>
        <v/>
      </c>
      <c r="AD195">
        <f>WEEKDAY(AB195)</f>
        <v/>
      </c>
      <c r="AE195">
        <f>VLOOKUP(AD195,AG$2:AH$8,2,FALSE)</f>
        <v/>
      </c>
    </row>
    <row r="196">
      <c r="A196" t="inlineStr">
        <is>
          <t>.t195</t>
        </is>
      </c>
      <c r="B196" t="n">
        <v>195</v>
      </c>
      <c r="C196">
        <f>H196</f>
        <v/>
      </c>
      <c r="E196" s="456">
        <f>F195+2</f>
        <v/>
      </c>
      <c r="F196" s="456">
        <f>E196+5</f>
        <v/>
      </c>
      <c r="G196" s="141">
        <f>_xlfn.CONCAT(YEAR(E196),".",TEXT(MONTH(E196),"0#"))</f>
        <v/>
      </c>
      <c r="H196">
        <f>YEAR(E196)</f>
        <v/>
      </c>
      <c r="I196">
        <f>IF(VLOOKUP(G196,AC:AD,2,FALSE)&lt;4,1,0)</f>
        <v/>
      </c>
      <c r="J196">
        <f>IF(AND(DAY(F196)&lt; DAY(E196),I196=1),MONTH(E196)+1,MONTH(E196))</f>
        <v/>
      </c>
      <c r="K196" s="201">
        <f>_xlfn.CONCAT(H196,".",TEXT(J196,"0#"))</f>
        <v/>
      </c>
      <c r="AA196" s="477" t="n">
        <v>3</v>
      </c>
      <c r="AB196" s="457" t="n">
        <v>51956</v>
      </c>
      <c r="AC196" s="141">
        <f>_xlfn.CONCAT(YEAR(AB196),".",TEXT(MONTH(AB196),"0#"))</f>
        <v/>
      </c>
      <c r="AD196">
        <f>WEEKDAY(AB196)</f>
        <v/>
      </c>
      <c r="AE196">
        <f>VLOOKUP(AD196,AG$2:AH$8,2,FALSE)</f>
        <v/>
      </c>
    </row>
    <row r="197">
      <c r="A197" t="inlineStr">
        <is>
          <t>.t196</t>
        </is>
      </c>
      <c r="B197" t="n">
        <v>196</v>
      </c>
      <c r="C197">
        <f>H197</f>
        <v/>
      </c>
      <c r="E197" s="456">
        <f>F196+2</f>
        <v/>
      </c>
      <c r="F197" s="456">
        <f>E197+5</f>
        <v/>
      </c>
      <c r="G197" s="141">
        <f>_xlfn.CONCAT(YEAR(E197),".",TEXT(MONTH(E197),"0#"))</f>
        <v/>
      </c>
      <c r="H197">
        <f>YEAR(E197)</f>
        <v/>
      </c>
      <c r="I197">
        <f>IF(VLOOKUP(G197,AC:AD,2,FALSE)&lt;4,1,0)</f>
        <v/>
      </c>
      <c r="J197">
        <f>IF(AND(DAY(F197)&lt; DAY(E197),I197=1),MONTH(E197)+1,MONTH(E197))</f>
        <v/>
      </c>
      <c r="K197" s="201">
        <f>_xlfn.CONCAT(H197,".",TEXT(J197,"0#"))</f>
        <v/>
      </c>
      <c r="AA197" s="477" t="n">
        <v>4</v>
      </c>
      <c r="AB197" s="457" t="n">
        <v>51986</v>
      </c>
      <c r="AC197" s="141">
        <f>_xlfn.CONCAT(YEAR(AB197),".",TEXT(MONTH(AB197),"0#"))</f>
        <v/>
      </c>
      <c r="AD197">
        <f>WEEKDAY(AB197)</f>
        <v/>
      </c>
      <c r="AE197">
        <f>VLOOKUP(AD197,AG$2:AH$8,2,FALSE)</f>
        <v/>
      </c>
    </row>
    <row r="198">
      <c r="A198" t="inlineStr">
        <is>
          <t>.t197</t>
        </is>
      </c>
      <c r="B198" t="n">
        <v>197</v>
      </c>
      <c r="C198">
        <f>H198</f>
        <v/>
      </c>
      <c r="E198" s="456">
        <f>F197+2</f>
        <v/>
      </c>
      <c r="F198" s="456">
        <f>E198+5</f>
        <v/>
      </c>
      <c r="G198" s="141">
        <f>_xlfn.CONCAT(YEAR(E198),".",TEXT(MONTH(E198),"0#"))</f>
        <v/>
      </c>
      <c r="H198">
        <f>YEAR(E198)</f>
        <v/>
      </c>
      <c r="I198">
        <f>IF(VLOOKUP(G198,AC:AD,2,FALSE)&lt;4,1,0)</f>
        <v/>
      </c>
      <c r="J198">
        <f>IF(AND(DAY(F198)&lt; DAY(E198),I198=1),MONTH(E198)+1,MONTH(E198))</f>
        <v/>
      </c>
      <c r="K198" s="201">
        <f>_xlfn.CONCAT(H198,".",TEXT(J198,"0#"))</f>
        <v/>
      </c>
      <c r="AA198" s="477" t="n">
        <v>5</v>
      </c>
      <c r="AB198" s="457" t="n">
        <v>52017</v>
      </c>
      <c r="AC198" s="141">
        <f>_xlfn.CONCAT(YEAR(AB198),".",TEXT(MONTH(AB198),"0#"))</f>
        <v/>
      </c>
      <c r="AD198">
        <f>WEEKDAY(AB198)</f>
        <v/>
      </c>
      <c r="AE198" s="478">
        <f>VLOOKUP(AD198,AG$2:AH$8,2,FALSE)</f>
        <v/>
      </c>
    </row>
    <row r="199">
      <c r="A199" t="inlineStr">
        <is>
          <t>.t198</t>
        </is>
      </c>
      <c r="B199" t="n">
        <v>198</v>
      </c>
      <c r="C199">
        <f>H199</f>
        <v/>
      </c>
      <c r="E199" s="456">
        <f>F198+2</f>
        <v/>
      </c>
      <c r="F199" s="456">
        <f>E199+5</f>
        <v/>
      </c>
      <c r="G199" s="141">
        <f>_xlfn.CONCAT(YEAR(E199),".",TEXT(MONTH(E199),"0#"))</f>
        <v/>
      </c>
      <c r="H199">
        <f>YEAR(E199)</f>
        <v/>
      </c>
      <c r="I199">
        <f>IF(VLOOKUP(G199,AC:AD,2,FALSE)&lt;4,1,0)</f>
        <v/>
      </c>
      <c r="J199">
        <f>IF(AND(DAY(F199)&lt; DAY(E199),I199=1),MONTH(E199)+1,MONTH(E199))</f>
        <v/>
      </c>
      <c r="K199" s="201">
        <f>_xlfn.CONCAT(H199,".",TEXT(J199,"0#"))</f>
        <v/>
      </c>
      <c r="AA199" s="477" t="n">
        <v>6</v>
      </c>
      <c r="AB199" s="457" t="n">
        <v>52047</v>
      </c>
      <c r="AC199" s="141">
        <f>_xlfn.CONCAT(YEAR(AB199),".",TEXT(MONTH(AB199),"0#"))</f>
        <v/>
      </c>
      <c r="AD199">
        <f>WEEKDAY(AB199)</f>
        <v/>
      </c>
      <c r="AE199">
        <f>VLOOKUP(AD199,AG$2:AH$8,2,FALSE)</f>
        <v/>
      </c>
    </row>
    <row r="200">
      <c r="A200" t="inlineStr">
        <is>
          <t>.t199</t>
        </is>
      </c>
      <c r="B200" t="n">
        <v>199</v>
      </c>
      <c r="C200">
        <f>H200</f>
        <v/>
      </c>
      <c r="E200" s="456">
        <f>F199+2</f>
        <v/>
      </c>
      <c r="F200" s="456">
        <f>E200+5</f>
        <v/>
      </c>
      <c r="G200" s="141">
        <f>_xlfn.CONCAT(YEAR(E200),".",TEXT(MONTH(E200),"0#"))</f>
        <v/>
      </c>
      <c r="H200">
        <f>YEAR(E200)</f>
        <v/>
      </c>
      <c r="I200">
        <f>IF(VLOOKUP(G200,AC:AD,2,FALSE)&lt;4,1,0)</f>
        <v/>
      </c>
      <c r="J200">
        <f>IF(AND(DAY(F200)&lt; DAY(E200),I200=1),MONTH(E200)+1,MONTH(E200))</f>
        <v/>
      </c>
      <c r="K200" s="201">
        <f>_xlfn.CONCAT(H200,".",TEXT(J200,"0#"))</f>
        <v/>
      </c>
      <c r="AA200" s="477" t="n">
        <v>7</v>
      </c>
      <c r="AB200" s="457" t="n">
        <v>52078</v>
      </c>
      <c r="AC200" s="141">
        <f>_xlfn.CONCAT(YEAR(AB200),".",TEXT(MONTH(AB200),"0#"))</f>
        <v/>
      </c>
      <c r="AD200">
        <f>WEEKDAY(AB200)</f>
        <v/>
      </c>
      <c r="AE200">
        <f>VLOOKUP(AD200,AG$2:AH$8,2,FALSE)</f>
        <v/>
      </c>
    </row>
    <row r="201">
      <c r="A201" t="inlineStr">
        <is>
          <t>.t200</t>
        </is>
      </c>
      <c r="B201" t="n">
        <v>200</v>
      </c>
      <c r="C201">
        <f>H201</f>
        <v/>
      </c>
      <c r="E201" s="456">
        <f>F200+2</f>
        <v/>
      </c>
      <c r="F201" s="456">
        <f>E201+5</f>
        <v/>
      </c>
      <c r="G201" s="141">
        <f>_xlfn.CONCAT(YEAR(E201),".",TEXT(MONTH(E201),"0#"))</f>
        <v/>
      </c>
      <c r="H201">
        <f>YEAR(E201)</f>
        <v/>
      </c>
      <c r="I201">
        <f>IF(VLOOKUP(G201,AC:AD,2,FALSE)&lt;4,1,0)</f>
        <v/>
      </c>
      <c r="J201">
        <f>IF(AND(DAY(F201)&lt; DAY(E201),I201=1),MONTH(E201)+1,MONTH(E201))</f>
        <v/>
      </c>
      <c r="K201" s="201">
        <f>_xlfn.CONCAT(H201,".",TEXT(J201,"0#"))</f>
        <v/>
      </c>
      <c r="AA201" s="477" t="n">
        <v>8</v>
      </c>
      <c r="AB201" s="457" t="n">
        <v>52109</v>
      </c>
      <c r="AC201" s="141">
        <f>_xlfn.CONCAT(YEAR(AB201),".",TEXT(MONTH(AB201),"0#"))</f>
        <v/>
      </c>
      <c r="AD201">
        <f>WEEKDAY(AB201)</f>
        <v/>
      </c>
      <c r="AE201" s="478">
        <f>VLOOKUP(AD201,AG$2:AH$8,2,FALSE)</f>
        <v/>
      </c>
    </row>
    <row r="202">
      <c r="A202" t="inlineStr">
        <is>
          <t>.t201</t>
        </is>
      </c>
      <c r="B202" t="n">
        <v>201</v>
      </c>
      <c r="C202">
        <f>H202</f>
        <v/>
      </c>
      <c r="E202" s="456">
        <f>F201+2</f>
        <v/>
      </c>
      <c r="F202" s="456">
        <f>E202+5</f>
        <v/>
      </c>
      <c r="G202" s="141">
        <f>_xlfn.CONCAT(YEAR(E202),".",TEXT(MONTH(E202),"0#"))</f>
        <v/>
      </c>
      <c r="H202">
        <f>YEAR(E202)</f>
        <v/>
      </c>
      <c r="I202">
        <f>IF(VLOOKUP(G202,AC:AD,2,FALSE)&lt;4,1,0)</f>
        <v/>
      </c>
      <c r="J202">
        <f>IF(AND(DAY(F202)&lt; DAY(E202),I202=1),MONTH(E202)+1,MONTH(E202))</f>
        <v/>
      </c>
      <c r="K202" s="201">
        <f>_xlfn.CONCAT(H202,".",TEXT(J202,"0#"))</f>
        <v/>
      </c>
      <c r="AA202" s="477" t="n">
        <v>9</v>
      </c>
      <c r="AB202" s="457" t="n">
        <v>52139</v>
      </c>
      <c r="AC202" s="141">
        <f>_xlfn.CONCAT(YEAR(AB202),".",TEXT(MONTH(AB202),"0#"))</f>
        <v/>
      </c>
      <c r="AD202">
        <f>WEEKDAY(AB202)</f>
        <v/>
      </c>
      <c r="AE202">
        <f>VLOOKUP(AD202,AG$2:AH$8,2,FALSE)</f>
        <v/>
      </c>
    </row>
    <row r="203">
      <c r="A203" t="inlineStr">
        <is>
          <t>.t202</t>
        </is>
      </c>
      <c r="B203" t="n">
        <v>202</v>
      </c>
      <c r="C203">
        <f>H203</f>
        <v/>
      </c>
      <c r="E203" s="456">
        <f>F202+2</f>
        <v/>
      </c>
      <c r="F203" s="456">
        <f>E203+5</f>
        <v/>
      </c>
      <c r="G203" s="141">
        <f>_xlfn.CONCAT(YEAR(E203),".",TEXT(MONTH(E203),"0#"))</f>
        <v/>
      </c>
      <c r="H203">
        <f>YEAR(E203)</f>
        <v/>
      </c>
      <c r="I203">
        <f>IF(VLOOKUP(G203,AC:AD,2,FALSE)&lt;4,1,0)</f>
        <v/>
      </c>
      <c r="J203">
        <f>IF(AND(DAY(F203)&lt; DAY(E203),I203=1),MONTH(E203)+1,MONTH(E203))</f>
        <v/>
      </c>
      <c r="K203" s="201">
        <f>_xlfn.CONCAT(H203,".",TEXT(J203,"0#"))</f>
        <v/>
      </c>
      <c r="AA203" s="477" t="n">
        <v>10</v>
      </c>
      <c r="AB203" s="457" t="n">
        <v>52170</v>
      </c>
      <c r="AC203" s="141">
        <f>_xlfn.CONCAT(YEAR(AB203),".",TEXT(MONTH(AB203),"0#"))</f>
        <v/>
      </c>
      <c r="AD203">
        <f>WEEKDAY(AB203)</f>
        <v/>
      </c>
      <c r="AE203">
        <f>VLOOKUP(AD203,AG$2:AH$8,2,FALSE)</f>
        <v/>
      </c>
    </row>
    <row r="204">
      <c r="A204" t="inlineStr">
        <is>
          <t>.t203</t>
        </is>
      </c>
      <c r="B204" t="n">
        <v>203</v>
      </c>
      <c r="C204">
        <f>H204</f>
        <v/>
      </c>
      <c r="E204" s="456">
        <f>F203+2</f>
        <v/>
      </c>
      <c r="F204" s="456">
        <f>E204+5</f>
        <v/>
      </c>
      <c r="G204" s="141">
        <f>_xlfn.CONCAT(YEAR(E204),".",TEXT(MONTH(E204),"0#"))</f>
        <v/>
      </c>
      <c r="H204">
        <f>YEAR(E204)</f>
        <v/>
      </c>
      <c r="I204">
        <f>IF(VLOOKUP(G204,AC:AD,2,FALSE)&lt;4,1,0)</f>
        <v/>
      </c>
      <c r="J204">
        <f>IF(AND(DAY(F204)&lt; DAY(E204),I204=1),MONTH(E204)+1,MONTH(E204))</f>
        <v/>
      </c>
      <c r="K204" s="201">
        <f>_xlfn.CONCAT(H204,".",TEXT(J204,"0#"))</f>
        <v/>
      </c>
      <c r="AA204" s="477" t="n">
        <v>11</v>
      </c>
      <c r="AB204" s="457" t="n">
        <v>52200</v>
      </c>
      <c r="AC204" s="141">
        <f>_xlfn.CONCAT(YEAR(AB204),".",TEXT(MONTH(AB204),"0#"))</f>
        <v/>
      </c>
      <c r="AD204">
        <f>WEEKDAY(AB204)</f>
        <v/>
      </c>
      <c r="AE204" s="478">
        <f>VLOOKUP(AD204,AG$2:AH$8,2,FALSE)</f>
        <v/>
      </c>
    </row>
    <row r="205">
      <c r="A205" t="inlineStr">
        <is>
          <t>.t204</t>
        </is>
      </c>
      <c r="B205" t="n">
        <v>204</v>
      </c>
      <c r="C205">
        <f>H205</f>
        <v/>
      </c>
      <c r="E205" s="456">
        <f>F204+2</f>
        <v/>
      </c>
      <c r="F205" s="456">
        <f>E205+5</f>
        <v/>
      </c>
      <c r="G205" s="141">
        <f>_xlfn.CONCAT(YEAR(E205),".",TEXT(MONTH(E205),"0#"))</f>
        <v/>
      </c>
      <c r="H205">
        <f>YEAR(E205)</f>
        <v/>
      </c>
      <c r="I205">
        <f>IF(VLOOKUP(G205,AC:AD,2,FALSE)&lt;4,1,0)</f>
        <v/>
      </c>
      <c r="J205">
        <f>IF(AND(DAY(F205)&lt; DAY(E205),I205=1),MONTH(E205)+1,MONTH(E205))</f>
        <v/>
      </c>
      <c r="K205" s="201">
        <f>_xlfn.CONCAT(H205,".",TEXT(J205,"0#"))</f>
        <v/>
      </c>
      <c r="AA205" s="477" t="n">
        <v>12</v>
      </c>
      <c r="AB205" s="457" t="n">
        <v>52231</v>
      </c>
      <c r="AC205" s="141">
        <f>_xlfn.CONCAT(YEAR(AB205),".",TEXT(MONTH(AB205),"0#"))</f>
        <v/>
      </c>
      <c r="AD205">
        <f>WEEKDAY(AB205)</f>
        <v/>
      </c>
      <c r="AE205">
        <f>VLOOKUP(AD205,AG$2:AH$8,2,FALSE)</f>
        <v/>
      </c>
    </row>
    <row r="206">
      <c r="A206" t="inlineStr">
        <is>
          <t>.t205</t>
        </is>
      </c>
      <c r="B206" t="n">
        <v>205</v>
      </c>
      <c r="C206">
        <f>H206</f>
        <v/>
      </c>
      <c r="E206" s="456">
        <f>F205+2</f>
        <v/>
      </c>
      <c r="F206" s="456">
        <f>E206+5</f>
        <v/>
      </c>
      <c r="G206" s="141">
        <f>_xlfn.CONCAT(YEAR(E206),".",TEXT(MONTH(E206),"0#"))</f>
        <v/>
      </c>
      <c r="H206">
        <f>YEAR(E206)</f>
        <v/>
      </c>
      <c r="I206">
        <f>IF(VLOOKUP(G206,AC:AD,2,FALSE)&lt;4,1,0)</f>
        <v/>
      </c>
      <c r="J206">
        <f>IF(AND(DAY(F206)&lt; DAY(E206),I206=1),MONTH(E206)+1,MONTH(E206))</f>
        <v/>
      </c>
      <c r="K206" s="201">
        <f>_xlfn.CONCAT(H206,".",TEXT(J206,"0#"))</f>
        <v/>
      </c>
      <c r="AA206" s="458" t="n">
        <v>1</v>
      </c>
      <c r="AB206" s="457" t="n">
        <v>52262</v>
      </c>
      <c r="AC206" s="141">
        <f>_xlfn.CONCAT(YEAR(AB206),".",TEXT(MONTH(AB206),"0#"))</f>
        <v/>
      </c>
      <c r="AD206">
        <f>WEEKDAY(AB206)</f>
        <v/>
      </c>
      <c r="AE206" s="478">
        <f>VLOOKUP(AD206,AG$2:AH$8,2,FALSE)</f>
        <v/>
      </c>
    </row>
    <row r="207">
      <c r="A207" t="inlineStr">
        <is>
          <t>.t206</t>
        </is>
      </c>
      <c r="B207" t="n">
        <v>206</v>
      </c>
      <c r="C207">
        <f>H207</f>
        <v/>
      </c>
      <c r="E207" s="456">
        <f>F206+2</f>
        <v/>
      </c>
      <c r="F207" s="456">
        <f>E207+5</f>
        <v/>
      </c>
      <c r="G207" s="141">
        <f>_xlfn.CONCAT(YEAR(E207),".",TEXT(MONTH(E207),"0#"))</f>
        <v/>
      </c>
      <c r="H207">
        <f>YEAR(E207)</f>
        <v/>
      </c>
      <c r="I207">
        <f>IF(VLOOKUP(G207,AC:AD,2,FALSE)&lt;4,1,0)</f>
        <v/>
      </c>
      <c r="J207">
        <f>IF(AND(DAY(F207)&lt; DAY(E207),I207=1),MONTH(E207)+1,MONTH(E207))</f>
        <v/>
      </c>
      <c r="K207" s="201">
        <f>_xlfn.CONCAT(H207,".",TEXT(J207,"0#"))</f>
        <v/>
      </c>
      <c r="AA207" s="458" t="n">
        <v>2</v>
      </c>
      <c r="AB207" s="457" t="n">
        <v>52290</v>
      </c>
      <c r="AC207" s="141">
        <f>_xlfn.CONCAT(YEAR(AB207),".",TEXT(MONTH(AB207),"0#"))</f>
        <v/>
      </c>
      <c r="AD207">
        <f>WEEKDAY(AB207)</f>
        <v/>
      </c>
      <c r="AE207" s="478">
        <f>VLOOKUP(AD207,AG$2:AH$8,2,FALSE)</f>
        <v/>
      </c>
    </row>
    <row r="208">
      <c r="A208" t="inlineStr">
        <is>
          <t>.t207</t>
        </is>
      </c>
      <c r="B208" t="n">
        <v>207</v>
      </c>
      <c r="C208">
        <f>H208</f>
        <v/>
      </c>
      <c r="E208" s="456">
        <f>F207+2</f>
        <v/>
      </c>
      <c r="F208" s="456">
        <f>E208+5</f>
        <v/>
      </c>
      <c r="G208" s="141">
        <f>_xlfn.CONCAT(YEAR(E208),".",TEXT(MONTH(E208),"0#"))</f>
        <v/>
      </c>
      <c r="H208">
        <f>YEAR(E208)</f>
        <v/>
      </c>
      <c r="I208">
        <f>IF(VLOOKUP(G208,AC:AD,2,FALSE)&lt;4,1,0)</f>
        <v/>
      </c>
      <c r="J208">
        <f>IF(AND(DAY(F208)&lt; DAY(E208),I208=1),MONTH(E208)+1,MONTH(E208))</f>
        <v/>
      </c>
      <c r="K208" s="201">
        <f>_xlfn.CONCAT(H208,".",TEXT(J208,"0#"))</f>
        <v/>
      </c>
      <c r="AA208" s="458" t="n">
        <v>3</v>
      </c>
      <c r="AB208" s="457" t="n">
        <v>52321</v>
      </c>
      <c r="AC208" s="141">
        <f>_xlfn.CONCAT(YEAR(AB208),".",TEXT(MONTH(AB208),"0#"))</f>
        <v/>
      </c>
      <c r="AD208">
        <f>WEEKDAY(AB208)</f>
        <v/>
      </c>
      <c r="AE208">
        <f>VLOOKUP(AD208,AG$2:AH$8,2,FALSE)</f>
        <v/>
      </c>
    </row>
    <row r="209">
      <c r="A209" t="inlineStr">
        <is>
          <t>.t208</t>
        </is>
      </c>
      <c r="B209" t="n">
        <v>208</v>
      </c>
      <c r="C209">
        <f>H209</f>
        <v/>
      </c>
      <c r="E209" s="456">
        <f>F208+2</f>
        <v/>
      </c>
      <c r="F209" s="456">
        <f>E209+5</f>
        <v/>
      </c>
      <c r="G209" s="141">
        <f>_xlfn.CONCAT(YEAR(E209),".",TEXT(MONTH(E209),"0#"))</f>
        <v/>
      </c>
      <c r="H209">
        <f>YEAR(E209)</f>
        <v/>
      </c>
      <c r="I209">
        <f>IF(VLOOKUP(G209,AC:AD,2,FALSE)&lt;4,1,0)</f>
        <v/>
      </c>
      <c r="J209">
        <f>IF(AND(DAY(F209)&lt; DAY(E209),I209=1),MONTH(E209)+1,MONTH(E209))</f>
        <v/>
      </c>
      <c r="K209" s="201">
        <f>_xlfn.CONCAT(H209,".",TEXT(J209,"0#"))</f>
        <v/>
      </c>
      <c r="AA209" s="458" t="n">
        <v>4</v>
      </c>
      <c r="AB209" s="457" t="n">
        <v>52351</v>
      </c>
      <c r="AC209" s="141">
        <f>_xlfn.CONCAT(YEAR(AB209),".",TEXT(MONTH(AB209),"0#"))</f>
        <v/>
      </c>
      <c r="AD209">
        <f>WEEKDAY(AB209)</f>
        <v/>
      </c>
      <c r="AE209">
        <f>VLOOKUP(AD209,AG$2:AH$8,2,FALSE)</f>
        <v/>
      </c>
    </row>
    <row r="210">
      <c r="A210" t="inlineStr">
        <is>
          <t>.t209</t>
        </is>
      </c>
      <c r="B210" t="n">
        <v>209</v>
      </c>
      <c r="C210">
        <f>H210</f>
        <v/>
      </c>
      <c r="E210" s="456">
        <f>F209+2</f>
        <v/>
      </c>
      <c r="F210" s="456">
        <f>E210+5</f>
        <v/>
      </c>
      <c r="G210" s="141">
        <f>_xlfn.CONCAT(YEAR(E210),".",TEXT(MONTH(E210),"0#"))</f>
        <v/>
      </c>
      <c r="H210">
        <f>YEAR(E210)</f>
        <v/>
      </c>
      <c r="I210">
        <f>IF(VLOOKUP(G210,AC:AD,2,FALSE)&lt;4,1,0)</f>
        <v/>
      </c>
      <c r="J210">
        <f>IF(AND(DAY(F210)&lt; DAY(E210),I210=1),MONTH(E210)+1,MONTH(E210))</f>
        <v/>
      </c>
      <c r="K210" s="201">
        <f>_xlfn.CONCAT(H210,".",TEXT(J210,"0#"))</f>
        <v/>
      </c>
      <c r="AA210" s="458" t="n">
        <v>5</v>
      </c>
      <c r="AB210" s="457" t="n">
        <v>52382</v>
      </c>
      <c r="AC210" s="141">
        <f>_xlfn.CONCAT(YEAR(AB210),".",TEXT(MONTH(AB210),"0#"))</f>
        <v/>
      </c>
      <c r="AD210">
        <f>WEEKDAY(AB210)</f>
        <v/>
      </c>
      <c r="AE210" s="478">
        <f>VLOOKUP(AD210,AG$2:AH$8,2,FALSE)</f>
        <v/>
      </c>
    </row>
    <row r="211">
      <c r="A211" t="inlineStr">
        <is>
          <t>.t210</t>
        </is>
      </c>
      <c r="B211" s="141" t="n">
        <v>210</v>
      </c>
      <c r="C211">
        <f>H211</f>
        <v/>
      </c>
      <c r="E211" s="456">
        <f>F210+2</f>
        <v/>
      </c>
      <c r="F211" s="456">
        <f>E211+5</f>
        <v/>
      </c>
      <c r="G211" s="141">
        <f>_xlfn.CONCAT(YEAR(E211),".",TEXT(MONTH(E211),"0#"))</f>
        <v/>
      </c>
      <c r="H211">
        <f>YEAR(E211)</f>
        <v/>
      </c>
      <c r="I211">
        <f>IF(VLOOKUP(G211,AC:AD,2,FALSE)&lt;4,1,0)</f>
        <v/>
      </c>
      <c r="J211">
        <f>IF(AND(DAY(F211)&lt; DAY(E211),I211=1),MONTH(E211)+1,MONTH(E211))</f>
        <v/>
      </c>
      <c r="K211" s="201">
        <f>_xlfn.CONCAT(H211,".",TEXT(J211,"0#"))</f>
        <v/>
      </c>
      <c r="AA211" s="458" t="n">
        <v>6</v>
      </c>
      <c r="AB211" s="457" t="n">
        <v>52412</v>
      </c>
      <c r="AC211" s="141">
        <f>_xlfn.CONCAT(YEAR(AB211),".",TEXT(MONTH(AB211),"0#"))</f>
        <v/>
      </c>
      <c r="AD211">
        <f>WEEKDAY(AB211)</f>
        <v/>
      </c>
      <c r="AE211">
        <f>VLOOKUP(AD211,AG$2:AH$8,2,FALSE)</f>
        <v/>
      </c>
    </row>
    <row r="212">
      <c r="A212" t="inlineStr">
        <is>
          <t>.t211</t>
        </is>
      </c>
      <c r="B212" s="141" t="n">
        <v>211</v>
      </c>
      <c r="C212">
        <f>H212</f>
        <v/>
      </c>
      <c r="E212" s="456">
        <f>F211+2</f>
        <v/>
      </c>
      <c r="F212" s="456">
        <f>E212+5</f>
        <v/>
      </c>
      <c r="G212" s="141">
        <f>_xlfn.CONCAT(YEAR(E212),".",TEXT(MONTH(E212),"0#"))</f>
        <v/>
      </c>
      <c r="H212">
        <f>YEAR(E212)</f>
        <v/>
      </c>
      <c r="I212">
        <f>IF(VLOOKUP(G212,AC:AD,2,FALSE)&lt;4,1,0)</f>
        <v/>
      </c>
      <c r="J212">
        <f>IF(AND(DAY(F212)&lt; DAY(E212),I212=1),MONTH(E212)+1,MONTH(E212))</f>
        <v/>
      </c>
      <c r="K212" s="201">
        <f>_xlfn.CONCAT(H212,".",TEXT(J212,"0#"))</f>
        <v/>
      </c>
      <c r="AA212" s="458" t="n">
        <v>7</v>
      </c>
      <c r="AB212" s="457" t="n">
        <v>52443</v>
      </c>
      <c r="AC212" s="141">
        <f>_xlfn.CONCAT(YEAR(AB212),".",TEXT(MONTH(AB212),"0#"))</f>
        <v/>
      </c>
      <c r="AD212">
        <f>WEEKDAY(AB212)</f>
        <v/>
      </c>
      <c r="AE212">
        <f>VLOOKUP(AD212,AG$2:AH$8,2,FALSE)</f>
        <v/>
      </c>
    </row>
    <row r="213">
      <c r="A213" t="inlineStr">
        <is>
          <t>.t212</t>
        </is>
      </c>
      <c r="B213" s="141" t="n">
        <v>212</v>
      </c>
      <c r="C213">
        <f>H213</f>
        <v/>
      </c>
      <c r="E213" s="456">
        <f>F212+2</f>
        <v/>
      </c>
      <c r="F213" s="456">
        <f>E213+5</f>
        <v/>
      </c>
      <c r="G213" s="141">
        <f>_xlfn.CONCAT(YEAR(E213),".",TEXT(MONTH(E213),"0#"))</f>
        <v/>
      </c>
      <c r="H213">
        <f>YEAR(E213)</f>
        <v/>
      </c>
      <c r="I213">
        <f>IF(VLOOKUP(G213,AC:AD,2,FALSE)&lt;4,1,0)</f>
        <v/>
      </c>
      <c r="J213">
        <f>IF(AND(DAY(F213)&lt; DAY(E213),I213=1),MONTH(E213)+1,MONTH(E213))</f>
        <v/>
      </c>
      <c r="K213" s="201">
        <f>_xlfn.CONCAT(H213,".",TEXT(J213,"0#"))</f>
        <v/>
      </c>
      <c r="AA213" s="458" t="n">
        <v>8</v>
      </c>
      <c r="AB213" s="457" t="n">
        <v>52474</v>
      </c>
      <c r="AC213" s="141">
        <f>_xlfn.CONCAT(YEAR(AB213),".",TEXT(MONTH(AB213),"0#"))</f>
        <v/>
      </c>
      <c r="AD213">
        <f>WEEKDAY(AB213)</f>
        <v/>
      </c>
      <c r="AE213">
        <f>VLOOKUP(AD213,AG$2:AH$8,2,FALSE)</f>
        <v/>
      </c>
    </row>
    <row r="214">
      <c r="A214" t="inlineStr">
        <is>
          <t>.t213</t>
        </is>
      </c>
      <c r="B214" s="141" t="n">
        <v>213</v>
      </c>
      <c r="C214">
        <f>H214</f>
        <v/>
      </c>
      <c r="E214" s="456">
        <f>F213+2</f>
        <v/>
      </c>
      <c r="F214" s="456">
        <f>E214+5</f>
        <v/>
      </c>
      <c r="G214" s="141">
        <f>_xlfn.CONCAT(YEAR(E214),".",TEXT(MONTH(E214),"0#"))</f>
        <v/>
      </c>
      <c r="H214">
        <f>YEAR(E214)</f>
        <v/>
      </c>
      <c r="I214">
        <f>IF(VLOOKUP(G214,AC:AD,2,FALSE)&lt;4,1,0)</f>
        <v/>
      </c>
      <c r="J214">
        <f>IF(AND(DAY(F214)&lt; DAY(E214),I214=1),MONTH(E214)+1,MONTH(E214))</f>
        <v/>
      </c>
      <c r="K214" s="201">
        <f>_xlfn.CONCAT(H214,".",TEXT(J214,"0#"))</f>
        <v/>
      </c>
      <c r="AA214" s="458" t="n">
        <v>9</v>
      </c>
      <c r="AB214" s="457" t="n">
        <v>52504</v>
      </c>
      <c r="AC214" s="141">
        <f>_xlfn.CONCAT(YEAR(AB214),".",TEXT(MONTH(AB214),"0#"))</f>
        <v/>
      </c>
      <c r="AD214">
        <f>WEEKDAY(AB214)</f>
        <v/>
      </c>
      <c r="AE214">
        <f>VLOOKUP(AD214,AG$2:AH$8,2,FALSE)</f>
        <v/>
      </c>
    </row>
    <row r="215">
      <c r="A215" t="inlineStr">
        <is>
          <t>.t214</t>
        </is>
      </c>
      <c r="B215" s="141" t="n">
        <v>214</v>
      </c>
      <c r="C215">
        <f>H215</f>
        <v/>
      </c>
      <c r="E215" s="456">
        <f>F214+2</f>
        <v/>
      </c>
      <c r="F215" s="456">
        <f>E215+5</f>
        <v/>
      </c>
      <c r="G215" s="141">
        <f>_xlfn.CONCAT(YEAR(E215),".",TEXT(MONTH(E215),"0#"))</f>
        <v/>
      </c>
      <c r="H215">
        <f>YEAR(E215)</f>
        <v/>
      </c>
      <c r="I215">
        <f>IF(VLOOKUP(G215,AC:AD,2,FALSE)&lt;4,1,0)</f>
        <v/>
      </c>
      <c r="J215">
        <f>IF(AND(DAY(F215)&lt; DAY(E215),I215=1),MONTH(E215)+1,MONTH(E215))</f>
        <v/>
      </c>
      <c r="K215" s="201">
        <f>_xlfn.CONCAT(H215,".",TEXT(J215,"0#"))</f>
        <v/>
      </c>
      <c r="AA215" s="458" t="n">
        <v>10</v>
      </c>
      <c r="AB215" s="457" t="n">
        <v>52535</v>
      </c>
      <c r="AC215" s="141">
        <f>_xlfn.CONCAT(YEAR(AB215),".",TEXT(MONTH(AB215),"0#"))</f>
        <v/>
      </c>
      <c r="AD215">
        <f>WEEKDAY(AB215)</f>
        <v/>
      </c>
      <c r="AE215" s="478">
        <f>VLOOKUP(AD215,AG$2:AH$8,2,FALSE)</f>
        <v/>
      </c>
    </row>
    <row r="216">
      <c r="A216" t="inlineStr">
        <is>
          <t>.t215</t>
        </is>
      </c>
      <c r="B216" s="141" t="n">
        <v>215</v>
      </c>
      <c r="C216">
        <f>H216</f>
        <v/>
      </c>
      <c r="E216" s="456">
        <f>F215+2</f>
        <v/>
      </c>
      <c r="F216" s="456">
        <f>E216+5</f>
        <v/>
      </c>
      <c r="G216" s="141">
        <f>_xlfn.CONCAT(YEAR(E216),".",TEXT(MONTH(E216),"0#"))</f>
        <v/>
      </c>
      <c r="H216">
        <f>YEAR(E216)</f>
        <v/>
      </c>
      <c r="I216">
        <f>IF(VLOOKUP(G216,AC:AD,2,FALSE)&lt;4,1,0)</f>
        <v/>
      </c>
      <c r="J216">
        <f>IF(AND(DAY(F216)&lt; DAY(E216),I216=1),MONTH(E216)+1,MONTH(E216))</f>
        <v/>
      </c>
      <c r="K216" s="201">
        <f>_xlfn.CONCAT(H216,".",TEXT(J216,"0#"))</f>
        <v/>
      </c>
      <c r="AA216" s="458" t="n">
        <v>11</v>
      </c>
      <c r="AB216" s="457" t="n">
        <v>52565</v>
      </c>
      <c r="AC216" s="141">
        <f>_xlfn.CONCAT(YEAR(AB216),".",TEXT(MONTH(AB216),"0#"))</f>
        <v/>
      </c>
      <c r="AD216">
        <f>WEEKDAY(AB216)</f>
        <v/>
      </c>
      <c r="AE216">
        <f>VLOOKUP(AD216,AG$2:AH$8,2,FALSE)</f>
        <v/>
      </c>
    </row>
    <row r="217">
      <c r="A217" t="inlineStr">
        <is>
          <t>.t216</t>
        </is>
      </c>
      <c r="B217" s="141" t="n">
        <v>216</v>
      </c>
      <c r="C217">
        <f>H217</f>
        <v/>
      </c>
      <c r="E217" s="456">
        <f>F216+2</f>
        <v/>
      </c>
      <c r="F217" s="456">
        <f>E217+5</f>
        <v/>
      </c>
      <c r="G217" s="141">
        <f>_xlfn.CONCAT(YEAR(E217),".",TEXT(MONTH(E217),"0#"))</f>
        <v/>
      </c>
      <c r="H217">
        <f>YEAR(E217)</f>
        <v/>
      </c>
      <c r="I217">
        <f>IF(VLOOKUP(G217,AC:AD,2,FALSE)&lt;4,1,0)</f>
        <v/>
      </c>
      <c r="J217">
        <f>IF(AND(DAY(F217)&lt; DAY(E217),I217=1),MONTH(E217)+1,MONTH(E217))</f>
        <v/>
      </c>
      <c r="K217" s="201">
        <f>_xlfn.CONCAT(H217,".",TEXT(J217,"0#"))</f>
        <v/>
      </c>
      <c r="AA217" s="458" t="n">
        <v>12</v>
      </c>
      <c r="AB217" s="457" t="n">
        <v>52596</v>
      </c>
      <c r="AC217" s="141">
        <f>_xlfn.CONCAT(YEAR(AB217),".",TEXT(MONTH(AB217),"0#"))</f>
        <v/>
      </c>
      <c r="AD217">
        <f>WEEKDAY(AB217)</f>
        <v/>
      </c>
      <c r="AE217">
        <f>VLOOKUP(AD217,AG$2:AH$8,2,FALSE)</f>
        <v/>
      </c>
    </row>
    <row r="218">
      <c r="A218" t="inlineStr">
        <is>
          <t>.t217</t>
        </is>
      </c>
      <c r="B218" s="141" t="n">
        <v>217</v>
      </c>
      <c r="C218">
        <f>H218</f>
        <v/>
      </c>
      <c r="E218" s="456">
        <f>F217+2</f>
        <v/>
      </c>
      <c r="F218" s="456">
        <f>E218+5</f>
        <v/>
      </c>
      <c r="G218" s="141">
        <f>_xlfn.CONCAT(YEAR(E218),".",TEXT(MONTH(E218),"0#"))</f>
        <v/>
      </c>
      <c r="H218">
        <f>YEAR(E218)</f>
        <v/>
      </c>
      <c r="I218">
        <f>IF(VLOOKUP(G218,AC:AD,2,FALSE)&lt;4,1,0)</f>
        <v/>
      </c>
      <c r="J218">
        <f>IF(AND(DAY(F218)&lt; DAY(E218),I218=1),MONTH(E218)+1,MONTH(E218))</f>
        <v/>
      </c>
      <c r="K218" s="201">
        <f>_xlfn.CONCAT(H218,".",TEXT(J218,"0#"))</f>
        <v/>
      </c>
      <c r="AA218" s="477" t="n">
        <v>1</v>
      </c>
      <c r="AB218" s="457" t="n">
        <v>52627</v>
      </c>
      <c r="AC218" s="141">
        <f>_xlfn.CONCAT(YEAR(AB218),".",TEXT(MONTH(AB218),"0#"))</f>
        <v/>
      </c>
      <c r="AD218">
        <f>WEEKDAY(AB218)</f>
        <v/>
      </c>
      <c r="AE218" s="478">
        <f>VLOOKUP(AD218,AG$2:AH$8,2,FALSE)</f>
        <v/>
      </c>
    </row>
    <row r="219">
      <c r="A219" t="inlineStr">
        <is>
          <t>.t218</t>
        </is>
      </c>
      <c r="B219" s="141" t="n">
        <v>218</v>
      </c>
      <c r="C219">
        <f>H219</f>
        <v/>
      </c>
      <c r="E219" s="456">
        <f>F218+2</f>
        <v/>
      </c>
      <c r="F219" s="456">
        <f>E219+5</f>
        <v/>
      </c>
      <c r="G219" s="141">
        <f>_xlfn.CONCAT(YEAR(E219),".",TEXT(MONTH(E219),"0#"))</f>
        <v/>
      </c>
      <c r="H219">
        <f>YEAR(E219)</f>
        <v/>
      </c>
      <c r="I219">
        <f>IF(VLOOKUP(G219,AC:AD,2,FALSE)&lt;4,1,0)</f>
        <v/>
      </c>
      <c r="J219">
        <f>IF(AND(DAY(F219)&lt; DAY(E219),I219=1),MONTH(E219)+1,MONTH(E219))</f>
        <v/>
      </c>
      <c r="K219" s="201">
        <f>_xlfn.CONCAT(H219,".",TEXT(J219,"0#"))</f>
        <v/>
      </c>
      <c r="AA219" s="477" t="n">
        <v>2</v>
      </c>
      <c r="AB219" s="457" t="n">
        <v>52656</v>
      </c>
      <c r="AC219" s="141">
        <f>_xlfn.CONCAT(YEAR(AB219),".",TEXT(MONTH(AB219),"0#"))</f>
        <v/>
      </c>
      <c r="AD219">
        <f>WEEKDAY(AB219)</f>
        <v/>
      </c>
      <c r="AE219">
        <f>VLOOKUP(AD219,AG$2:AH$8,2,FALSE)</f>
        <v/>
      </c>
    </row>
    <row r="220">
      <c r="A220" t="inlineStr">
        <is>
          <t>.t219</t>
        </is>
      </c>
      <c r="B220" s="141" t="n">
        <v>219</v>
      </c>
      <c r="C220">
        <f>H220</f>
        <v/>
      </c>
      <c r="E220" s="456">
        <f>F219+2</f>
        <v/>
      </c>
      <c r="F220" s="456">
        <f>E220+5</f>
        <v/>
      </c>
      <c r="G220" s="141">
        <f>_xlfn.CONCAT(YEAR(E220),".",TEXT(MONTH(E220),"0#"))</f>
        <v/>
      </c>
      <c r="H220">
        <f>YEAR(E220)</f>
        <v/>
      </c>
      <c r="I220">
        <f>IF(VLOOKUP(G220,AC:AD,2,FALSE)&lt;4,1,0)</f>
        <v/>
      </c>
      <c r="J220">
        <f>IF(AND(DAY(F220)&lt; DAY(E220),I220=1),MONTH(E220)+1,MONTH(E220))</f>
        <v/>
      </c>
      <c r="K220" s="201">
        <f>_xlfn.CONCAT(H220,".",TEXT(J220,"0#"))</f>
        <v/>
      </c>
      <c r="AA220" s="477" t="n">
        <v>3</v>
      </c>
      <c r="AB220" s="457" t="n">
        <v>52687</v>
      </c>
      <c r="AC220" s="141">
        <f>_xlfn.CONCAT(YEAR(AB220),".",TEXT(MONTH(AB220),"0#"))</f>
        <v/>
      </c>
      <c r="AD220">
        <f>WEEKDAY(AB220)</f>
        <v/>
      </c>
      <c r="AE220">
        <f>VLOOKUP(AD220,AG$2:AH$8,2,FALSE)</f>
        <v/>
      </c>
    </row>
    <row r="221">
      <c r="A221" t="inlineStr">
        <is>
          <t>.t220</t>
        </is>
      </c>
      <c r="B221" s="141" t="n">
        <v>220</v>
      </c>
      <c r="C221">
        <f>H221</f>
        <v/>
      </c>
      <c r="E221" s="456">
        <f>F220+2</f>
        <v/>
      </c>
      <c r="F221" s="456">
        <f>E221+5</f>
        <v/>
      </c>
      <c r="G221" s="141">
        <f>_xlfn.CONCAT(YEAR(E221),".",TEXT(MONTH(E221),"0#"))</f>
        <v/>
      </c>
      <c r="H221">
        <f>YEAR(E221)</f>
        <v/>
      </c>
      <c r="I221">
        <f>IF(VLOOKUP(G221,AC:AD,2,FALSE)&lt;4,1,0)</f>
        <v/>
      </c>
      <c r="J221">
        <f>IF(AND(DAY(F221)&lt; DAY(E221),I221=1),MONTH(E221)+1,MONTH(E221))</f>
        <v/>
      </c>
      <c r="K221" s="201">
        <f>_xlfn.CONCAT(H221,".",TEXT(J221,"0#"))</f>
        <v/>
      </c>
      <c r="AA221" s="477" t="n">
        <v>4</v>
      </c>
      <c r="AB221" s="457" t="n">
        <v>52717</v>
      </c>
      <c r="AC221" s="141">
        <f>_xlfn.CONCAT(YEAR(AB221),".",TEXT(MONTH(AB221),"0#"))</f>
        <v/>
      </c>
      <c r="AD221">
        <f>WEEKDAY(AB221)</f>
        <v/>
      </c>
      <c r="AE221" s="478">
        <f>VLOOKUP(AD221,AG$2:AH$8,2,FALSE)</f>
        <v/>
      </c>
    </row>
    <row r="222">
      <c r="A222" t="inlineStr">
        <is>
          <t>.t221</t>
        </is>
      </c>
      <c r="B222" s="141" t="n">
        <v>221</v>
      </c>
      <c r="C222">
        <f>H222</f>
        <v/>
      </c>
      <c r="E222" s="456">
        <f>F221+2</f>
        <v/>
      </c>
      <c r="F222" s="456">
        <f>E222+5</f>
        <v/>
      </c>
      <c r="G222" s="141">
        <f>_xlfn.CONCAT(YEAR(E222),".",TEXT(MONTH(E222),"0#"))</f>
        <v/>
      </c>
      <c r="H222">
        <f>YEAR(E222)</f>
        <v/>
      </c>
      <c r="I222">
        <f>IF(VLOOKUP(G222,AC:AD,2,FALSE)&lt;4,1,0)</f>
        <v/>
      </c>
      <c r="J222">
        <f>IF(AND(DAY(F222)&lt; DAY(E222),I222=1),MONTH(E222)+1,MONTH(E222))</f>
        <v/>
      </c>
      <c r="K222" s="201">
        <f>_xlfn.CONCAT(H222,".",TEXT(J222,"0#"))</f>
        <v/>
      </c>
      <c r="AA222" s="477" t="n">
        <v>5</v>
      </c>
      <c r="AB222" s="457" t="n">
        <v>52748</v>
      </c>
      <c r="AC222" s="141">
        <f>_xlfn.CONCAT(YEAR(AB222),".",TEXT(MONTH(AB222),"0#"))</f>
        <v/>
      </c>
      <c r="AD222">
        <f>WEEKDAY(AB222)</f>
        <v/>
      </c>
      <c r="AE222">
        <f>VLOOKUP(AD222,AG$2:AH$8,2,FALSE)</f>
        <v/>
      </c>
    </row>
    <row r="223">
      <c r="A223" t="inlineStr">
        <is>
          <t>.t222</t>
        </is>
      </c>
      <c r="B223" s="141" t="n">
        <v>222</v>
      </c>
      <c r="C223">
        <f>H223</f>
        <v/>
      </c>
      <c r="E223" s="456">
        <f>F222+2</f>
        <v/>
      </c>
      <c r="F223" s="456">
        <f>E223+5</f>
        <v/>
      </c>
      <c r="G223" s="141">
        <f>_xlfn.CONCAT(YEAR(E223),".",TEXT(MONTH(E223),"0#"))</f>
        <v/>
      </c>
      <c r="H223">
        <f>YEAR(E223)</f>
        <v/>
      </c>
      <c r="I223">
        <f>IF(VLOOKUP(G223,AC:AD,2,FALSE)&lt;4,1,0)</f>
        <v/>
      </c>
      <c r="J223">
        <f>IF(AND(DAY(F223)&lt; DAY(E223),I223=1),MONTH(E223)+1,MONTH(E223))</f>
        <v/>
      </c>
      <c r="K223" s="201">
        <f>_xlfn.CONCAT(H223,".",TEXT(J223,"0#"))</f>
        <v/>
      </c>
      <c r="AA223" s="477" t="n">
        <v>6</v>
      </c>
      <c r="AB223" s="457" t="n">
        <v>52778</v>
      </c>
      <c r="AC223" s="141">
        <f>_xlfn.CONCAT(YEAR(AB223),".",TEXT(MONTH(AB223),"0#"))</f>
        <v/>
      </c>
      <c r="AD223">
        <f>WEEKDAY(AB223)</f>
        <v/>
      </c>
      <c r="AE223">
        <f>VLOOKUP(AD223,AG$2:AH$8,2,FALSE)</f>
        <v/>
      </c>
    </row>
    <row r="224">
      <c r="A224" t="inlineStr">
        <is>
          <t>.t223</t>
        </is>
      </c>
      <c r="B224" s="141" t="n">
        <v>223</v>
      </c>
      <c r="C224">
        <f>H224</f>
        <v/>
      </c>
      <c r="E224" s="456">
        <f>F223+2</f>
        <v/>
      </c>
      <c r="F224" s="456">
        <f>E224+5</f>
        <v/>
      </c>
      <c r="G224" s="141">
        <f>_xlfn.CONCAT(YEAR(E224),".",TEXT(MONTH(E224),"0#"))</f>
        <v/>
      </c>
      <c r="H224">
        <f>YEAR(E224)</f>
        <v/>
      </c>
      <c r="I224">
        <f>IF(VLOOKUP(G224,AC:AD,2,FALSE)&lt;4,1,0)</f>
        <v/>
      </c>
      <c r="J224">
        <f>IF(AND(DAY(F224)&lt; DAY(E224),I224=1),MONTH(E224)+1,MONTH(E224))</f>
        <v/>
      </c>
      <c r="K224" s="201">
        <f>_xlfn.CONCAT(H224,".",TEXT(J224,"0#"))</f>
        <v/>
      </c>
      <c r="AA224" s="477" t="n">
        <v>7</v>
      </c>
      <c r="AB224" s="457" t="n">
        <v>52809</v>
      </c>
      <c r="AC224" s="141">
        <f>_xlfn.CONCAT(YEAR(AB224),".",TEXT(MONTH(AB224),"0#"))</f>
        <v/>
      </c>
      <c r="AD224">
        <f>WEEKDAY(AB224)</f>
        <v/>
      </c>
      <c r="AE224" s="478">
        <f>VLOOKUP(AD224,AG$2:AH$8,2,FALSE)</f>
        <v/>
      </c>
    </row>
    <row r="225">
      <c r="A225" t="inlineStr">
        <is>
          <t>.t224</t>
        </is>
      </c>
      <c r="B225" s="141" t="n">
        <v>224</v>
      </c>
      <c r="C225">
        <f>H225</f>
        <v/>
      </c>
      <c r="E225" s="456">
        <f>F224+2</f>
        <v/>
      </c>
      <c r="F225" s="456">
        <f>E225+5</f>
        <v/>
      </c>
      <c r="G225" s="141">
        <f>_xlfn.CONCAT(YEAR(E225),".",TEXT(MONTH(E225),"0#"))</f>
        <v/>
      </c>
      <c r="H225">
        <f>YEAR(E225)</f>
        <v/>
      </c>
      <c r="I225">
        <f>IF(VLOOKUP(G225,AC:AD,2,FALSE)&lt;4,1,0)</f>
        <v/>
      </c>
      <c r="J225">
        <f>IF(AND(DAY(F225)&lt; DAY(E225),I225=1),MONTH(E225)+1,MONTH(E225))</f>
        <v/>
      </c>
      <c r="K225" s="201">
        <f>_xlfn.CONCAT(H225,".",TEXT(J225,"0#"))</f>
        <v/>
      </c>
      <c r="AA225" s="477" t="n">
        <v>8</v>
      </c>
      <c r="AB225" s="457" t="n">
        <v>52840</v>
      </c>
      <c r="AC225" s="141">
        <f>_xlfn.CONCAT(YEAR(AB225),".",TEXT(MONTH(AB225),"0#"))</f>
        <v/>
      </c>
      <c r="AD225">
        <f>WEEKDAY(AB225)</f>
        <v/>
      </c>
      <c r="AE225">
        <f>VLOOKUP(AD225,AG$2:AH$8,2,FALSE)</f>
        <v/>
      </c>
    </row>
    <row r="226">
      <c r="A226" t="inlineStr">
        <is>
          <t>.t225</t>
        </is>
      </c>
      <c r="B226" s="141" t="n">
        <v>225</v>
      </c>
      <c r="C226">
        <f>H226</f>
        <v/>
      </c>
      <c r="E226" s="456">
        <f>F225+2</f>
        <v/>
      </c>
      <c r="F226" s="456">
        <f>E226+5</f>
        <v/>
      </c>
      <c r="G226" s="141">
        <f>_xlfn.CONCAT(YEAR(E226),".",TEXT(MONTH(E226),"0#"))</f>
        <v/>
      </c>
      <c r="H226">
        <f>YEAR(E226)</f>
        <v/>
      </c>
      <c r="I226">
        <f>IF(VLOOKUP(G226,AC:AD,2,FALSE)&lt;4,1,0)</f>
        <v/>
      </c>
      <c r="J226">
        <f>IF(AND(DAY(F226)&lt; DAY(E226),I226=1),MONTH(E226)+1,MONTH(E226))</f>
        <v/>
      </c>
      <c r="K226" s="201">
        <f>_xlfn.CONCAT(H226,".",TEXT(J226,"0#"))</f>
        <v/>
      </c>
      <c r="AA226" s="477" t="n">
        <v>9</v>
      </c>
      <c r="AB226" s="457" t="n">
        <v>52870</v>
      </c>
      <c r="AC226" s="141">
        <f>_xlfn.CONCAT(YEAR(AB226),".",TEXT(MONTH(AB226),"0#"))</f>
        <v/>
      </c>
      <c r="AD226">
        <f>WEEKDAY(AB226)</f>
        <v/>
      </c>
      <c r="AE226">
        <f>VLOOKUP(AD226,AG$2:AH$8,2,FALSE)</f>
        <v/>
      </c>
    </row>
    <row r="227">
      <c r="A227" t="inlineStr">
        <is>
          <t>.t226</t>
        </is>
      </c>
      <c r="B227" s="141" t="n">
        <v>226</v>
      </c>
      <c r="C227">
        <f>H227</f>
        <v/>
      </c>
      <c r="E227" s="456">
        <f>F226+2</f>
        <v/>
      </c>
      <c r="F227" s="456">
        <f>E227+5</f>
        <v/>
      </c>
      <c r="G227" s="141">
        <f>_xlfn.CONCAT(YEAR(E227),".",TEXT(MONTH(E227),"0#"))</f>
        <v/>
      </c>
      <c r="H227">
        <f>YEAR(E227)</f>
        <v/>
      </c>
      <c r="I227">
        <f>IF(VLOOKUP(G227,AC:AD,2,FALSE)&lt;4,1,0)</f>
        <v/>
      </c>
      <c r="J227">
        <f>IF(AND(DAY(F227)&lt; DAY(E227),I227=1),MONTH(E227)+1,MONTH(E227))</f>
        <v/>
      </c>
      <c r="K227" s="201">
        <f>_xlfn.CONCAT(H227,".",TEXT(J227,"0#"))</f>
        <v/>
      </c>
      <c r="AA227" s="477" t="n">
        <v>10</v>
      </c>
      <c r="AB227" s="457" t="n">
        <v>52901</v>
      </c>
      <c r="AC227" s="141">
        <f>_xlfn.CONCAT(YEAR(AB227),".",TEXT(MONTH(AB227),"0#"))</f>
        <v/>
      </c>
      <c r="AD227">
        <f>WEEKDAY(AB227)</f>
        <v/>
      </c>
      <c r="AE227">
        <f>VLOOKUP(AD227,AG$2:AH$8,2,FALSE)</f>
        <v/>
      </c>
    </row>
    <row r="228">
      <c r="A228" t="inlineStr">
        <is>
          <t>.t227</t>
        </is>
      </c>
      <c r="B228" s="141" t="n">
        <v>227</v>
      </c>
      <c r="C228">
        <f>H228</f>
        <v/>
      </c>
      <c r="E228" s="456">
        <f>F227+2</f>
        <v/>
      </c>
      <c r="F228" s="456">
        <f>E228+5</f>
        <v/>
      </c>
      <c r="G228" s="141">
        <f>_xlfn.CONCAT(YEAR(E228),".",TEXT(MONTH(E228),"0#"))</f>
        <v/>
      </c>
      <c r="H228">
        <f>YEAR(E228)</f>
        <v/>
      </c>
      <c r="I228">
        <f>IF(VLOOKUP(G228,AC:AD,2,FALSE)&lt;4,1,0)</f>
        <v/>
      </c>
      <c r="J228">
        <f>IF(AND(DAY(F228)&lt; DAY(E228),I228=1),MONTH(E228)+1,MONTH(E228))</f>
        <v/>
      </c>
      <c r="K228" s="201">
        <f>_xlfn.CONCAT(H228,".",TEXT(J228,"0#"))</f>
        <v/>
      </c>
      <c r="AA228" s="477" t="n">
        <v>11</v>
      </c>
      <c r="AB228" s="457" t="n">
        <v>52931</v>
      </c>
      <c r="AC228" s="141">
        <f>_xlfn.CONCAT(YEAR(AB228),".",TEXT(MONTH(AB228),"0#"))</f>
        <v/>
      </c>
      <c r="AD228">
        <f>WEEKDAY(AB228)</f>
        <v/>
      </c>
      <c r="AE228">
        <f>VLOOKUP(AD228,AG$2:AH$8,2,FALSE)</f>
        <v/>
      </c>
    </row>
    <row r="229">
      <c r="A229" t="inlineStr">
        <is>
          <t>.t228</t>
        </is>
      </c>
      <c r="B229" s="141" t="n">
        <v>228</v>
      </c>
      <c r="C229">
        <f>H229</f>
        <v/>
      </c>
      <c r="E229" s="456">
        <f>F228+2</f>
        <v/>
      </c>
      <c r="F229" s="456">
        <f>E229+5</f>
        <v/>
      </c>
      <c r="G229" s="141">
        <f>_xlfn.CONCAT(YEAR(E229),".",TEXT(MONTH(E229),"0#"))</f>
        <v/>
      </c>
      <c r="H229">
        <f>YEAR(E229)</f>
        <v/>
      </c>
      <c r="I229">
        <f>IF(VLOOKUP(G229,AC:AD,2,FALSE)&lt;4,1,0)</f>
        <v/>
      </c>
      <c r="J229">
        <f>IF(AND(DAY(F229)&lt; DAY(E229),I229=1),MONTH(E229)+1,MONTH(E229))</f>
        <v/>
      </c>
      <c r="K229" s="201">
        <f>_xlfn.CONCAT(H229,".",TEXT(J229,"0#"))</f>
        <v/>
      </c>
      <c r="AA229" s="477" t="n">
        <v>12</v>
      </c>
      <c r="AB229" s="457" t="n">
        <v>52962</v>
      </c>
      <c r="AC229" s="141">
        <f>_xlfn.CONCAT(YEAR(AB229),".",TEXT(MONTH(AB229),"0#"))</f>
        <v/>
      </c>
      <c r="AD229">
        <f>WEEKDAY(AB229)</f>
        <v/>
      </c>
      <c r="AE229" s="478">
        <f>VLOOKUP(AD229,AG$2:AH$8,2,FALSE)</f>
        <v/>
      </c>
    </row>
    <row r="230">
      <c r="A230" t="inlineStr">
        <is>
          <t>.t229</t>
        </is>
      </c>
      <c r="B230" s="141" t="n">
        <v>229</v>
      </c>
      <c r="C230">
        <f>H230</f>
        <v/>
      </c>
      <c r="E230" s="456">
        <f>F229+2</f>
        <v/>
      </c>
      <c r="F230" s="456">
        <f>E230+5</f>
        <v/>
      </c>
      <c r="G230" s="141">
        <f>_xlfn.CONCAT(YEAR(E230),".",TEXT(MONTH(E230),"0#"))</f>
        <v/>
      </c>
      <c r="H230">
        <f>YEAR(E230)</f>
        <v/>
      </c>
      <c r="I230">
        <f>IF(VLOOKUP(G230,AC:AD,2,FALSE)&lt;4,1,0)</f>
        <v/>
      </c>
      <c r="J230">
        <f>IF(AND(DAY(F230)&lt; DAY(E230),I230=1),MONTH(E230)+1,MONTH(E230))</f>
        <v/>
      </c>
      <c r="K230" s="201">
        <f>_xlfn.CONCAT(H230,".",TEXT(J230,"0#"))</f>
        <v/>
      </c>
      <c r="AA230" s="458" t="n">
        <v>1</v>
      </c>
      <c r="AB230" s="457" t="n">
        <v>52993</v>
      </c>
      <c r="AC230" s="141">
        <f>_xlfn.CONCAT(YEAR(AB230),".",TEXT(MONTH(AB230),"0#"))</f>
        <v/>
      </c>
      <c r="AD230">
        <f>WEEKDAY(AB230)</f>
        <v/>
      </c>
      <c r="AE230">
        <f>VLOOKUP(AD230,AG$2:AH$8,2,FALSE)</f>
        <v/>
      </c>
    </row>
    <row r="231">
      <c r="A231" t="inlineStr">
        <is>
          <t>.t230</t>
        </is>
      </c>
      <c r="B231" s="141" t="n">
        <v>230</v>
      </c>
      <c r="C231">
        <f>H231</f>
        <v/>
      </c>
      <c r="E231" s="456">
        <f>F230+2</f>
        <v/>
      </c>
      <c r="F231" s="456">
        <f>E231+5</f>
        <v/>
      </c>
      <c r="G231" s="141">
        <f>_xlfn.CONCAT(YEAR(E231),".",TEXT(MONTH(E231),"0#"))</f>
        <v/>
      </c>
      <c r="H231">
        <f>YEAR(E231)</f>
        <v/>
      </c>
      <c r="I231">
        <f>IF(VLOOKUP(G231,AC:AD,2,FALSE)&lt;4,1,0)</f>
        <v/>
      </c>
      <c r="J231">
        <f>IF(AND(DAY(F231)&lt; DAY(E231),I231=1),MONTH(E231)+1,MONTH(E231))</f>
        <v/>
      </c>
      <c r="K231" s="201">
        <f>_xlfn.CONCAT(H231,".",TEXT(J231,"0#"))</f>
        <v/>
      </c>
      <c r="AA231" s="458" t="n">
        <v>2</v>
      </c>
      <c r="AB231" s="457" t="n">
        <v>53021</v>
      </c>
      <c r="AC231" s="141">
        <f>_xlfn.CONCAT(YEAR(AB231),".",TEXT(MONTH(AB231),"0#"))</f>
        <v/>
      </c>
      <c r="AD231">
        <f>WEEKDAY(AB231)</f>
        <v/>
      </c>
      <c r="AE231">
        <f>VLOOKUP(AD231,AG$2:AH$8,2,FALSE)</f>
        <v/>
      </c>
    </row>
    <row r="232">
      <c r="A232" t="inlineStr">
        <is>
          <t>.t231</t>
        </is>
      </c>
      <c r="B232" s="141" t="n">
        <v>231</v>
      </c>
      <c r="C232">
        <f>H232</f>
        <v/>
      </c>
      <c r="E232" s="456">
        <f>F231+2</f>
        <v/>
      </c>
      <c r="F232" s="456">
        <f>E232+5</f>
        <v/>
      </c>
      <c r="G232" s="141">
        <f>_xlfn.CONCAT(YEAR(E232),".",TEXT(MONTH(E232),"0#"))</f>
        <v/>
      </c>
      <c r="H232">
        <f>YEAR(E232)</f>
        <v/>
      </c>
      <c r="I232">
        <f>IF(VLOOKUP(G232,AC:AD,2,FALSE)&lt;4,1,0)</f>
        <v/>
      </c>
      <c r="J232">
        <f>IF(AND(DAY(F232)&lt; DAY(E232),I232=1),MONTH(E232)+1,MONTH(E232))</f>
        <v/>
      </c>
      <c r="K232" s="201">
        <f>_xlfn.CONCAT(H232,".",TEXT(J232,"0#"))</f>
        <v/>
      </c>
      <c r="AA232" s="458" t="n">
        <v>3</v>
      </c>
      <c r="AB232" s="457" t="n">
        <v>53052</v>
      </c>
      <c r="AC232" s="141">
        <f>_xlfn.CONCAT(YEAR(AB232),".",TEXT(MONTH(AB232),"0#"))</f>
        <v/>
      </c>
      <c r="AD232">
        <f>WEEKDAY(AB232)</f>
        <v/>
      </c>
      <c r="AE232">
        <f>VLOOKUP(AD232,AG$2:AH$8,2,FALSE)</f>
        <v/>
      </c>
    </row>
    <row r="233">
      <c r="A233" t="inlineStr">
        <is>
          <t>.t232</t>
        </is>
      </c>
      <c r="B233" s="141" t="n">
        <v>232</v>
      </c>
      <c r="C233">
        <f>H233</f>
        <v/>
      </c>
      <c r="E233" s="456">
        <f>F232+2</f>
        <v/>
      </c>
      <c r="F233" s="456">
        <f>E233+5</f>
        <v/>
      </c>
      <c r="G233" s="141">
        <f>_xlfn.CONCAT(YEAR(E233),".",TEXT(MONTH(E233),"0#"))</f>
        <v/>
      </c>
      <c r="H233">
        <f>YEAR(E233)</f>
        <v/>
      </c>
      <c r="I233">
        <f>IF(VLOOKUP(G233,AC:AD,2,FALSE)&lt;4,1,0)</f>
        <v/>
      </c>
      <c r="J233">
        <f>IF(AND(DAY(F233)&lt; DAY(E233),I233=1),MONTH(E233)+1,MONTH(E233))</f>
        <v/>
      </c>
      <c r="K233" s="201">
        <f>_xlfn.CONCAT(H233,".",TEXT(J233,"0#"))</f>
        <v/>
      </c>
      <c r="AA233" s="458" t="n">
        <v>4</v>
      </c>
      <c r="AB233" s="457" t="n">
        <v>53082</v>
      </c>
      <c r="AC233" s="141">
        <f>_xlfn.CONCAT(YEAR(AB233),".",TEXT(MONTH(AB233),"0#"))</f>
        <v/>
      </c>
      <c r="AD233">
        <f>WEEKDAY(AB233)</f>
        <v/>
      </c>
      <c r="AE233" s="478">
        <f>VLOOKUP(AD233,AG$2:AH$8,2,FALSE)</f>
        <v/>
      </c>
    </row>
    <row r="234">
      <c r="A234" t="inlineStr">
        <is>
          <t>.t233</t>
        </is>
      </c>
      <c r="B234" s="141" t="n">
        <v>233</v>
      </c>
      <c r="C234">
        <f>H234</f>
        <v/>
      </c>
      <c r="E234" s="456">
        <f>F233+2</f>
        <v/>
      </c>
      <c r="F234" s="456">
        <f>E234+5</f>
        <v/>
      </c>
      <c r="G234" s="141">
        <f>_xlfn.CONCAT(YEAR(E234),".",TEXT(MONTH(E234),"0#"))</f>
        <v/>
      </c>
      <c r="H234">
        <f>YEAR(E234)</f>
        <v/>
      </c>
      <c r="I234">
        <f>IF(VLOOKUP(G234,AC:AD,2,FALSE)&lt;4,1,0)</f>
        <v/>
      </c>
      <c r="J234">
        <f>IF(AND(DAY(F234)&lt; DAY(E234),I234=1),MONTH(E234)+1,MONTH(E234))</f>
        <v/>
      </c>
      <c r="K234" s="201">
        <f>_xlfn.CONCAT(H234,".",TEXT(J234,"0#"))</f>
        <v/>
      </c>
      <c r="AA234" s="458" t="n">
        <v>5</v>
      </c>
      <c r="AB234" s="457" t="n">
        <v>53113</v>
      </c>
      <c r="AC234" s="141">
        <f>_xlfn.CONCAT(YEAR(AB234),".",TEXT(MONTH(AB234),"0#"))</f>
        <v/>
      </c>
      <c r="AD234">
        <f>WEEKDAY(AB234)</f>
        <v/>
      </c>
      <c r="AE234">
        <f>VLOOKUP(AD234,AG$2:AH$8,2,FALSE)</f>
        <v/>
      </c>
    </row>
    <row r="235">
      <c r="A235" t="inlineStr">
        <is>
          <t>.t234</t>
        </is>
      </c>
      <c r="B235" s="141" t="n">
        <v>234</v>
      </c>
      <c r="C235">
        <f>H235</f>
        <v/>
      </c>
      <c r="E235" s="456">
        <f>F234+2</f>
        <v/>
      </c>
      <c r="F235" s="456">
        <f>E235+5</f>
        <v/>
      </c>
      <c r="G235" s="141">
        <f>_xlfn.CONCAT(YEAR(E235),".",TEXT(MONTH(E235),"0#"))</f>
        <v/>
      </c>
      <c r="H235">
        <f>YEAR(E235)</f>
        <v/>
      </c>
      <c r="I235">
        <f>IF(VLOOKUP(G235,AC:AD,2,FALSE)&lt;4,1,0)</f>
        <v/>
      </c>
      <c r="J235">
        <f>IF(AND(DAY(F235)&lt; DAY(E235),I235=1),MONTH(E235)+1,MONTH(E235))</f>
        <v/>
      </c>
      <c r="K235" s="201">
        <f>_xlfn.CONCAT(H235,".",TEXT(J235,"0#"))</f>
        <v/>
      </c>
      <c r="AA235" s="458" t="n">
        <v>6</v>
      </c>
      <c r="AB235" s="457" t="n">
        <v>53143</v>
      </c>
      <c r="AC235" s="141">
        <f>_xlfn.CONCAT(YEAR(AB235),".",TEXT(MONTH(AB235),"0#"))</f>
        <v/>
      </c>
      <c r="AD235">
        <f>WEEKDAY(AB235)</f>
        <v/>
      </c>
      <c r="AE235">
        <f>VLOOKUP(AD235,AG$2:AH$8,2,FALSE)</f>
        <v/>
      </c>
    </row>
    <row r="236">
      <c r="A236" t="inlineStr">
        <is>
          <t>.t235</t>
        </is>
      </c>
      <c r="B236" s="141" t="n">
        <v>235</v>
      </c>
      <c r="C236">
        <f>H236</f>
        <v/>
      </c>
      <c r="E236" s="456">
        <f>F235+2</f>
        <v/>
      </c>
      <c r="F236" s="456">
        <f>E236+5</f>
        <v/>
      </c>
      <c r="G236" s="141">
        <f>_xlfn.CONCAT(YEAR(E236),".",TEXT(MONTH(E236),"0#"))</f>
        <v/>
      </c>
      <c r="H236">
        <f>YEAR(E236)</f>
        <v/>
      </c>
      <c r="I236">
        <f>IF(VLOOKUP(G236,AC:AD,2,FALSE)&lt;4,1,0)</f>
        <v/>
      </c>
      <c r="J236">
        <f>IF(AND(DAY(F236)&lt; DAY(E236),I236=1),MONTH(E236)+1,MONTH(E236))</f>
        <v/>
      </c>
      <c r="K236" s="201">
        <f>_xlfn.CONCAT(H236,".",TEXT(J236,"0#"))</f>
        <v/>
      </c>
      <c r="AA236" s="458" t="n">
        <v>7</v>
      </c>
      <c r="AB236" s="457" t="n">
        <v>53174</v>
      </c>
      <c r="AC236" s="141">
        <f>_xlfn.CONCAT(YEAR(AB236),".",TEXT(MONTH(AB236),"0#"))</f>
        <v/>
      </c>
      <c r="AD236">
        <f>WEEKDAY(AB236)</f>
        <v/>
      </c>
      <c r="AE236">
        <f>VLOOKUP(AD236,AG$2:AH$8,2,FALSE)</f>
        <v/>
      </c>
    </row>
    <row r="237">
      <c r="A237" t="inlineStr">
        <is>
          <t>.t236</t>
        </is>
      </c>
      <c r="B237" s="141" t="n">
        <v>236</v>
      </c>
      <c r="C237">
        <f>H237</f>
        <v/>
      </c>
      <c r="E237" s="456">
        <f>F236+2</f>
        <v/>
      </c>
      <c r="F237" s="456">
        <f>E237+5</f>
        <v/>
      </c>
      <c r="G237" s="141">
        <f>_xlfn.CONCAT(YEAR(E237),".",TEXT(MONTH(E237),"0#"))</f>
        <v/>
      </c>
      <c r="H237">
        <f>YEAR(E237)</f>
        <v/>
      </c>
      <c r="I237">
        <f>IF(VLOOKUP(G237,AC:AD,2,FALSE)&lt;4,1,0)</f>
        <v/>
      </c>
      <c r="J237">
        <f>IF(AND(DAY(F237)&lt; DAY(E237),I237=1),MONTH(E237)+1,MONTH(E237))</f>
        <v/>
      </c>
      <c r="K237" s="201">
        <f>_xlfn.CONCAT(H237,".",TEXT(J237,"0#"))</f>
        <v/>
      </c>
      <c r="AA237" s="458" t="n">
        <v>8</v>
      </c>
      <c r="AB237" s="457" t="n">
        <v>53205</v>
      </c>
      <c r="AC237" s="141">
        <f>_xlfn.CONCAT(YEAR(AB237),".",TEXT(MONTH(AB237),"0#"))</f>
        <v/>
      </c>
      <c r="AD237">
        <f>WEEKDAY(AB237)</f>
        <v/>
      </c>
      <c r="AE237">
        <f>VLOOKUP(AD237,AG$2:AH$8,2,FALSE)</f>
        <v/>
      </c>
    </row>
    <row r="238">
      <c r="A238" t="inlineStr">
        <is>
          <t>.t237</t>
        </is>
      </c>
      <c r="B238" s="141" t="n">
        <v>237</v>
      </c>
      <c r="C238">
        <f>H238</f>
        <v/>
      </c>
      <c r="E238" s="456">
        <f>F237+2</f>
        <v/>
      </c>
      <c r="F238" s="456">
        <f>E238+5</f>
        <v/>
      </c>
      <c r="G238" s="141">
        <f>_xlfn.CONCAT(YEAR(E238),".",TEXT(MONTH(E238),"0#"))</f>
        <v/>
      </c>
      <c r="H238">
        <f>YEAR(E238)</f>
        <v/>
      </c>
      <c r="I238">
        <f>IF(VLOOKUP(G238,AC:AD,2,FALSE)&lt;4,1,0)</f>
        <v/>
      </c>
      <c r="J238">
        <f>IF(AND(DAY(F238)&lt; DAY(E238),I238=1),MONTH(E238)+1,MONTH(E238))</f>
        <v/>
      </c>
      <c r="K238" s="201">
        <f>_xlfn.CONCAT(H238,".",TEXT(J238,"0#"))</f>
        <v/>
      </c>
      <c r="AA238" s="458" t="n">
        <v>9</v>
      </c>
      <c r="AB238" s="457" t="n">
        <v>53235</v>
      </c>
      <c r="AC238" s="141">
        <f>_xlfn.CONCAT(YEAR(AB238),".",TEXT(MONTH(AB238),"0#"))</f>
        <v/>
      </c>
      <c r="AD238">
        <f>WEEKDAY(AB238)</f>
        <v/>
      </c>
      <c r="AE238" s="478">
        <f>VLOOKUP(AD238,AG$2:AH$8,2,FALSE)</f>
        <v/>
      </c>
    </row>
    <row r="239">
      <c r="A239" t="inlineStr">
        <is>
          <t>.t238</t>
        </is>
      </c>
      <c r="B239" s="141" t="n">
        <v>238</v>
      </c>
      <c r="C239">
        <f>H239</f>
        <v/>
      </c>
      <c r="E239" s="456">
        <f>F238+2</f>
        <v/>
      </c>
      <c r="F239" s="456">
        <f>E239+5</f>
        <v/>
      </c>
      <c r="G239" s="141">
        <f>_xlfn.CONCAT(YEAR(E239),".",TEXT(MONTH(E239),"0#"))</f>
        <v/>
      </c>
      <c r="H239">
        <f>YEAR(E239)</f>
        <v/>
      </c>
      <c r="I239">
        <f>IF(VLOOKUP(G239,AC:AD,2,FALSE)&lt;4,1,0)</f>
        <v/>
      </c>
      <c r="J239">
        <f>IF(AND(DAY(F239)&lt; DAY(E239),I239=1),MONTH(E239)+1,MONTH(E239))</f>
        <v/>
      </c>
      <c r="K239" s="201">
        <f>_xlfn.CONCAT(H239,".",TEXT(J239,"0#"))</f>
        <v/>
      </c>
      <c r="AA239" s="458" t="n">
        <v>10</v>
      </c>
      <c r="AB239" s="457" t="n">
        <v>53266</v>
      </c>
      <c r="AC239" s="141">
        <f>_xlfn.CONCAT(YEAR(AB239),".",TEXT(MONTH(AB239),"0#"))</f>
        <v/>
      </c>
      <c r="AD239">
        <f>WEEKDAY(AB239)</f>
        <v/>
      </c>
      <c r="AE239">
        <f>VLOOKUP(AD239,AG$2:AH$8,2,FALSE)</f>
        <v/>
      </c>
    </row>
    <row r="240">
      <c r="A240" t="inlineStr">
        <is>
          <t>.t239</t>
        </is>
      </c>
      <c r="B240" s="141" t="n">
        <v>239</v>
      </c>
      <c r="C240">
        <f>H240</f>
        <v/>
      </c>
      <c r="E240" s="456">
        <f>F239+2</f>
        <v/>
      </c>
      <c r="F240" s="456">
        <f>E240+5</f>
        <v/>
      </c>
      <c r="G240" s="141">
        <f>_xlfn.CONCAT(YEAR(E240),".",TEXT(MONTH(E240),"0#"))</f>
        <v/>
      </c>
      <c r="H240">
        <f>YEAR(E240)</f>
        <v/>
      </c>
      <c r="I240">
        <f>IF(VLOOKUP(G240,AC:AD,2,FALSE)&lt;4,1,0)</f>
        <v/>
      </c>
      <c r="J240">
        <f>IF(AND(DAY(F240)&lt; DAY(E240),I240=1),MONTH(E240)+1,MONTH(E240))</f>
        <v/>
      </c>
      <c r="K240" s="201">
        <f>_xlfn.CONCAT(H240,".",TEXT(J240,"0#"))</f>
        <v/>
      </c>
      <c r="AA240" s="458" t="n">
        <v>11</v>
      </c>
      <c r="AB240" s="457" t="n">
        <v>53296</v>
      </c>
      <c r="AC240" s="141">
        <f>_xlfn.CONCAT(YEAR(AB240),".",TEXT(MONTH(AB240),"0#"))</f>
        <v/>
      </c>
      <c r="AD240">
        <f>WEEKDAY(AB240)</f>
        <v/>
      </c>
      <c r="AE240">
        <f>VLOOKUP(AD240,AG$2:AH$8,2,FALSE)</f>
        <v/>
      </c>
    </row>
    <row r="241">
      <c r="A241" t="inlineStr">
        <is>
          <t>.t240</t>
        </is>
      </c>
      <c r="B241" s="141" t="n">
        <v>240</v>
      </c>
      <c r="C241">
        <f>H241</f>
        <v/>
      </c>
      <c r="E241" s="456">
        <f>F240+2</f>
        <v/>
      </c>
      <c r="F241" s="456">
        <f>E241+5</f>
        <v/>
      </c>
      <c r="G241" s="141">
        <f>_xlfn.CONCAT(YEAR(E241),".",TEXT(MONTH(E241),"0#"))</f>
        <v/>
      </c>
      <c r="H241">
        <f>YEAR(E241)</f>
        <v/>
      </c>
      <c r="I241">
        <f>IF(VLOOKUP(G241,AC:AD,2,FALSE)&lt;4,1,0)</f>
        <v/>
      </c>
      <c r="J241">
        <f>IF(AND(DAY(F241)&lt; DAY(E241),I241=1),MONTH(E241)+1,MONTH(E241))</f>
        <v/>
      </c>
      <c r="K241" s="201">
        <f>_xlfn.CONCAT(H241,".",TEXT(J241,"0#"))</f>
        <v/>
      </c>
      <c r="AA241" s="458" t="n">
        <v>12</v>
      </c>
      <c r="AB241" s="457" t="n">
        <v>53327</v>
      </c>
      <c r="AC241" s="141">
        <f>_xlfn.CONCAT(YEAR(AB241),".",TEXT(MONTH(AB241),"0#"))</f>
        <v/>
      </c>
      <c r="AD241">
        <f>WEEKDAY(AB241)</f>
        <v/>
      </c>
      <c r="AE241" s="478">
        <f>VLOOKUP(AD241,AG$2:AH$8,2,FALSE)</f>
        <v/>
      </c>
    </row>
    <row r="242">
      <c r="A242" t="inlineStr">
        <is>
          <t>.t241</t>
        </is>
      </c>
      <c r="B242" s="141" t="n">
        <v>241</v>
      </c>
      <c r="C242">
        <f>H242</f>
        <v/>
      </c>
      <c r="E242" s="456">
        <f>F241+2</f>
        <v/>
      </c>
      <c r="F242" s="456">
        <f>E242+5</f>
        <v/>
      </c>
      <c r="G242" s="141">
        <f>_xlfn.CONCAT(YEAR(E242),".",TEXT(MONTH(E242),"0#"))</f>
        <v/>
      </c>
      <c r="H242">
        <f>YEAR(E242)</f>
        <v/>
      </c>
      <c r="I242">
        <f>IF(VLOOKUP(G242,AC:AD,2,FALSE)&lt;4,1,0)</f>
        <v/>
      </c>
      <c r="J242">
        <f>IF(AND(DAY(F242)&lt; DAY(E242),I242=1),MONTH(E242)+1,MONTH(E242))</f>
        <v/>
      </c>
      <c r="K242" s="201">
        <f>_xlfn.CONCAT(H242,".",TEXT(J242,"0#"))</f>
        <v/>
      </c>
      <c r="AA242" s="477" t="n">
        <v>1</v>
      </c>
      <c r="AB242" s="457" t="n">
        <v>53358</v>
      </c>
      <c r="AC242" s="141">
        <f>_xlfn.CONCAT(YEAR(AB242),".",TEXT(MONTH(AB242),"0#"))</f>
        <v/>
      </c>
      <c r="AD242">
        <f>WEEKDAY(AB242)</f>
        <v/>
      </c>
      <c r="AE242">
        <f>VLOOKUP(AD242,AG$2:AH$8,2,FALSE)</f>
        <v/>
      </c>
    </row>
    <row r="243">
      <c r="A243" t="inlineStr">
        <is>
          <t>.t242</t>
        </is>
      </c>
      <c r="B243" s="141" t="n">
        <v>242</v>
      </c>
      <c r="C243">
        <f>H243</f>
        <v/>
      </c>
      <c r="E243" s="456">
        <f>F242+2</f>
        <v/>
      </c>
      <c r="F243" s="456">
        <f>E243+5</f>
        <v/>
      </c>
      <c r="G243" s="141">
        <f>_xlfn.CONCAT(YEAR(E243),".",TEXT(MONTH(E243),"0#"))</f>
        <v/>
      </c>
      <c r="H243">
        <f>YEAR(E243)</f>
        <v/>
      </c>
      <c r="I243">
        <f>IF(VLOOKUP(G243,AC:AD,2,FALSE)&lt;4,1,0)</f>
        <v/>
      </c>
      <c r="J243">
        <f>IF(AND(DAY(F243)&lt; DAY(E243),I243=1),MONTH(E243)+1,MONTH(E243))</f>
        <v/>
      </c>
      <c r="K243" s="201">
        <f>_xlfn.CONCAT(H243,".",TEXT(J243,"0#"))</f>
        <v/>
      </c>
      <c r="AA243" s="477" t="n">
        <v>2</v>
      </c>
      <c r="AB243" s="457" t="n">
        <v>53386</v>
      </c>
      <c r="AC243" s="141">
        <f>_xlfn.CONCAT(YEAR(AB243),".",TEXT(MONTH(AB243),"0#"))</f>
        <v/>
      </c>
      <c r="AD243">
        <f>WEEKDAY(AB243)</f>
        <v/>
      </c>
      <c r="AE243">
        <f>VLOOKUP(AD243,AG$2:AH$8,2,FALSE)</f>
        <v/>
      </c>
    </row>
    <row r="244">
      <c r="A244" t="inlineStr">
        <is>
          <t>.t243</t>
        </is>
      </c>
      <c r="B244" s="141" t="n">
        <v>243</v>
      </c>
      <c r="C244">
        <f>H244</f>
        <v/>
      </c>
      <c r="E244" s="456">
        <f>F243+2</f>
        <v/>
      </c>
      <c r="F244" s="456">
        <f>E244+5</f>
        <v/>
      </c>
      <c r="G244" s="141">
        <f>_xlfn.CONCAT(YEAR(E244),".",TEXT(MONTH(E244),"0#"))</f>
        <v/>
      </c>
      <c r="H244">
        <f>YEAR(E244)</f>
        <v/>
      </c>
      <c r="I244">
        <f>IF(VLOOKUP(G244,AC:AD,2,FALSE)&lt;4,1,0)</f>
        <v/>
      </c>
      <c r="J244">
        <f>IF(AND(DAY(F244)&lt; DAY(E244),I244=1),MONTH(E244)+1,MONTH(E244))</f>
        <v/>
      </c>
      <c r="K244" s="201">
        <f>_xlfn.CONCAT(H244,".",TEXT(J244,"0#"))</f>
        <v/>
      </c>
      <c r="AA244" s="477" t="n">
        <v>3</v>
      </c>
      <c r="AB244" s="457" t="n">
        <v>53417</v>
      </c>
      <c r="AC244" s="141">
        <f>_xlfn.CONCAT(YEAR(AB244),".",TEXT(MONTH(AB244),"0#"))</f>
        <v/>
      </c>
      <c r="AD244">
        <f>WEEKDAY(AB244)</f>
        <v/>
      </c>
      <c r="AE244" s="478">
        <f>VLOOKUP(AD244,AG$2:AH$8,2,FALSE)</f>
        <v/>
      </c>
    </row>
    <row r="245">
      <c r="A245" t="inlineStr">
        <is>
          <t>.t244</t>
        </is>
      </c>
      <c r="B245" s="141" t="n">
        <v>244</v>
      </c>
      <c r="C245">
        <f>H245</f>
        <v/>
      </c>
      <c r="E245" s="456">
        <f>F244+2</f>
        <v/>
      </c>
      <c r="F245" s="456">
        <f>E245+5</f>
        <v/>
      </c>
      <c r="G245" s="141">
        <f>_xlfn.CONCAT(YEAR(E245),".",TEXT(MONTH(E245),"0#"))</f>
        <v/>
      </c>
      <c r="H245">
        <f>YEAR(E245)</f>
        <v/>
      </c>
      <c r="I245">
        <f>IF(VLOOKUP(G245,AC:AD,2,FALSE)&lt;4,1,0)</f>
        <v/>
      </c>
      <c r="J245">
        <f>IF(AND(DAY(F245)&lt; DAY(E245),I245=1),MONTH(E245)+1,MONTH(E245))</f>
        <v/>
      </c>
      <c r="K245" s="201">
        <f>_xlfn.CONCAT(H245,".",TEXT(J245,"0#"))</f>
        <v/>
      </c>
      <c r="AA245" s="477" t="n">
        <v>4</v>
      </c>
      <c r="AB245" s="457" t="n">
        <v>53447</v>
      </c>
      <c r="AC245" s="141">
        <f>_xlfn.CONCAT(YEAR(AB245),".",TEXT(MONTH(AB245),"0#"))</f>
        <v/>
      </c>
      <c r="AD245">
        <f>WEEKDAY(AB245)</f>
        <v/>
      </c>
      <c r="AE245">
        <f>VLOOKUP(AD245,AG$2:AH$8,2,FALSE)</f>
        <v/>
      </c>
    </row>
    <row r="246">
      <c r="A246" t="inlineStr">
        <is>
          <t>.t245</t>
        </is>
      </c>
      <c r="B246" s="141" t="n">
        <v>245</v>
      </c>
      <c r="C246">
        <f>H246</f>
        <v/>
      </c>
      <c r="E246" s="456">
        <f>F245+2</f>
        <v/>
      </c>
      <c r="F246" s="456">
        <f>E246+5</f>
        <v/>
      </c>
      <c r="G246" s="141">
        <f>_xlfn.CONCAT(YEAR(E246),".",TEXT(MONTH(E246),"0#"))</f>
        <v/>
      </c>
      <c r="H246">
        <f>YEAR(E246)</f>
        <v/>
      </c>
      <c r="I246">
        <f>IF(VLOOKUP(G246,AC:AD,2,FALSE)&lt;4,1,0)</f>
        <v/>
      </c>
      <c r="J246">
        <f>IF(AND(DAY(F246)&lt; DAY(E246),I246=1),MONTH(E246)+1,MONTH(E246))</f>
        <v/>
      </c>
      <c r="K246" s="201">
        <f>_xlfn.CONCAT(H246,".",TEXT(J246,"0#"))</f>
        <v/>
      </c>
      <c r="AA246" s="477" t="n">
        <v>5</v>
      </c>
      <c r="AB246" s="457" t="n">
        <v>53478</v>
      </c>
      <c r="AC246" s="141">
        <f>_xlfn.CONCAT(YEAR(AB246),".",TEXT(MONTH(AB246),"0#"))</f>
        <v/>
      </c>
      <c r="AD246">
        <f>WEEKDAY(AB246)</f>
        <v/>
      </c>
      <c r="AE246">
        <f>VLOOKUP(AD246,AG$2:AH$8,2,FALSE)</f>
        <v/>
      </c>
    </row>
    <row r="247">
      <c r="A247" t="inlineStr">
        <is>
          <t>.t246</t>
        </is>
      </c>
      <c r="B247" s="141" t="n">
        <v>246</v>
      </c>
      <c r="C247">
        <f>H247</f>
        <v/>
      </c>
      <c r="E247" s="456">
        <f>F246+2</f>
        <v/>
      </c>
      <c r="F247" s="456">
        <f>E247+5</f>
        <v/>
      </c>
      <c r="G247" s="141">
        <f>_xlfn.CONCAT(YEAR(E247),".",TEXT(MONTH(E247),"0#"))</f>
        <v/>
      </c>
      <c r="H247">
        <f>YEAR(E247)</f>
        <v/>
      </c>
      <c r="I247">
        <f>IF(VLOOKUP(G247,AC:AD,2,FALSE)&lt;4,1,0)</f>
        <v/>
      </c>
      <c r="J247">
        <f>IF(AND(DAY(F247)&lt; DAY(E247),I247=1),MONTH(E247)+1,MONTH(E247))</f>
        <v/>
      </c>
      <c r="K247" s="201">
        <f>_xlfn.CONCAT(H247,".",TEXT(J247,"0#"))</f>
        <v/>
      </c>
      <c r="AA247" s="477" t="n">
        <v>6</v>
      </c>
      <c r="AB247" s="457" t="n">
        <v>53508</v>
      </c>
      <c r="AC247" s="141">
        <f>_xlfn.CONCAT(YEAR(AB247),".",TEXT(MONTH(AB247),"0#"))</f>
        <v/>
      </c>
      <c r="AD247">
        <f>WEEKDAY(AB247)</f>
        <v/>
      </c>
      <c r="AE247" s="478">
        <f>VLOOKUP(AD247,AG$2:AH$8,2,FALSE)</f>
        <v/>
      </c>
    </row>
    <row r="248">
      <c r="A248" t="inlineStr">
        <is>
          <t>.t247</t>
        </is>
      </c>
      <c r="B248" s="141" t="n">
        <v>247</v>
      </c>
      <c r="C248">
        <f>H248</f>
        <v/>
      </c>
      <c r="E248" s="456">
        <f>F247+2</f>
        <v/>
      </c>
      <c r="F248" s="456">
        <f>E248+5</f>
        <v/>
      </c>
      <c r="G248" s="141">
        <f>_xlfn.CONCAT(YEAR(E248),".",TEXT(MONTH(E248),"0#"))</f>
        <v/>
      </c>
      <c r="H248">
        <f>YEAR(E248)</f>
        <v/>
      </c>
      <c r="I248">
        <f>IF(VLOOKUP(G248,AC:AD,2,FALSE)&lt;4,1,0)</f>
        <v/>
      </c>
      <c r="J248">
        <f>IF(AND(DAY(F248)&lt; DAY(E248),I248=1),MONTH(E248)+1,MONTH(E248))</f>
        <v/>
      </c>
      <c r="K248" s="201">
        <f>_xlfn.CONCAT(H248,".",TEXT(J248,"0#"))</f>
        <v/>
      </c>
      <c r="AA248" s="477" t="n">
        <v>7</v>
      </c>
      <c r="AB248" s="457" t="n">
        <v>53539</v>
      </c>
      <c r="AC248" s="141">
        <f>_xlfn.CONCAT(YEAR(AB248),".",TEXT(MONTH(AB248),"0#"))</f>
        <v/>
      </c>
      <c r="AD248">
        <f>WEEKDAY(AB248)</f>
        <v/>
      </c>
      <c r="AE248">
        <f>VLOOKUP(AD248,AG$2:AH$8,2,FALSE)</f>
        <v/>
      </c>
    </row>
    <row r="249">
      <c r="A249" t="inlineStr">
        <is>
          <t>.t248</t>
        </is>
      </c>
      <c r="B249" s="141" t="n">
        <v>248</v>
      </c>
      <c r="C249">
        <f>H249</f>
        <v/>
      </c>
      <c r="E249" s="456">
        <f>F248+2</f>
        <v/>
      </c>
      <c r="F249" s="456">
        <f>E249+5</f>
        <v/>
      </c>
      <c r="G249" s="141">
        <f>_xlfn.CONCAT(YEAR(E249),".",TEXT(MONTH(E249),"0#"))</f>
        <v/>
      </c>
      <c r="H249">
        <f>YEAR(E249)</f>
        <v/>
      </c>
      <c r="I249">
        <f>IF(VLOOKUP(G249,AC:AD,2,FALSE)&lt;4,1,0)</f>
        <v/>
      </c>
      <c r="J249">
        <f>IF(AND(DAY(F249)&lt; DAY(E249),I249=1),MONTH(E249)+1,MONTH(E249))</f>
        <v/>
      </c>
      <c r="K249" s="201">
        <f>_xlfn.CONCAT(H249,".",TEXT(J249,"0#"))</f>
        <v/>
      </c>
      <c r="AA249" s="477" t="n">
        <v>8</v>
      </c>
      <c r="AB249" s="457" t="n">
        <v>53570</v>
      </c>
      <c r="AC249" s="141">
        <f>_xlfn.CONCAT(YEAR(AB249),".",TEXT(MONTH(AB249),"0#"))</f>
        <v/>
      </c>
      <c r="AD249">
        <f>WEEKDAY(AB249)</f>
        <v/>
      </c>
      <c r="AE249">
        <f>VLOOKUP(AD249,AG$2:AH$8,2,FALSE)</f>
        <v/>
      </c>
    </row>
    <row r="250">
      <c r="A250" t="inlineStr">
        <is>
          <t>.t249</t>
        </is>
      </c>
      <c r="B250" s="141" t="n">
        <v>249</v>
      </c>
      <c r="C250">
        <f>H250</f>
        <v/>
      </c>
      <c r="E250" s="456">
        <f>F249+2</f>
        <v/>
      </c>
      <c r="F250" s="456">
        <f>E250+5</f>
        <v/>
      </c>
      <c r="G250" s="141">
        <f>_xlfn.CONCAT(YEAR(E250),".",TEXT(MONTH(E250),"0#"))</f>
        <v/>
      </c>
      <c r="H250">
        <f>YEAR(E250)</f>
        <v/>
      </c>
      <c r="I250">
        <f>IF(VLOOKUP(G250,AC:AD,2,FALSE)&lt;4,1,0)</f>
        <v/>
      </c>
      <c r="J250">
        <f>IF(AND(DAY(F250)&lt; DAY(E250),I250=1),MONTH(E250)+1,MONTH(E250))</f>
        <v/>
      </c>
      <c r="K250" s="201">
        <f>_xlfn.CONCAT(H250,".",TEXT(J250,"0#"))</f>
        <v/>
      </c>
      <c r="AA250" s="477" t="n">
        <v>9</v>
      </c>
      <c r="AB250" s="457" t="n">
        <v>53600</v>
      </c>
      <c r="AC250" s="141">
        <f>_xlfn.CONCAT(YEAR(AB250),".",TEXT(MONTH(AB250),"0#"))</f>
        <v/>
      </c>
      <c r="AD250">
        <f>WEEKDAY(AB250)</f>
        <v/>
      </c>
      <c r="AE250" s="478">
        <f>VLOOKUP(AD250,AG$2:AH$8,2,FALSE)</f>
        <v/>
      </c>
    </row>
    <row r="251">
      <c r="A251" t="inlineStr">
        <is>
          <t>.t250</t>
        </is>
      </c>
      <c r="B251" s="141" t="n">
        <v>250</v>
      </c>
      <c r="C251">
        <f>H251</f>
        <v/>
      </c>
      <c r="E251" s="456">
        <f>F250+2</f>
        <v/>
      </c>
      <c r="F251" s="456">
        <f>E251+5</f>
        <v/>
      </c>
      <c r="G251" s="141">
        <f>_xlfn.CONCAT(YEAR(E251),".",TEXT(MONTH(E251),"0#"))</f>
        <v/>
      </c>
      <c r="H251">
        <f>YEAR(E251)</f>
        <v/>
      </c>
      <c r="I251">
        <f>IF(VLOOKUP(G251,AC:AD,2,FALSE)&lt;4,1,0)</f>
        <v/>
      </c>
      <c r="J251">
        <f>IF(AND(DAY(F251)&lt; DAY(E251),I251=1),MONTH(E251)+1,MONTH(E251))</f>
        <v/>
      </c>
      <c r="K251" s="201">
        <f>_xlfn.CONCAT(H251,".",TEXT(J251,"0#"))</f>
        <v/>
      </c>
      <c r="AA251" s="477" t="n">
        <v>10</v>
      </c>
      <c r="AB251" s="457" t="n">
        <v>53631</v>
      </c>
      <c r="AC251" s="141">
        <f>_xlfn.CONCAT(YEAR(AB251),".",TEXT(MONTH(AB251),"0#"))</f>
        <v/>
      </c>
      <c r="AD251">
        <f>WEEKDAY(AB251)</f>
        <v/>
      </c>
      <c r="AE251">
        <f>VLOOKUP(AD251,AG$2:AH$8,2,FALSE)</f>
        <v/>
      </c>
    </row>
    <row r="252">
      <c r="A252" t="inlineStr">
        <is>
          <t>.t251</t>
        </is>
      </c>
      <c r="B252" s="141" t="n">
        <v>251</v>
      </c>
      <c r="C252">
        <f>H252</f>
        <v/>
      </c>
      <c r="E252" s="456">
        <f>F251+2</f>
        <v/>
      </c>
      <c r="F252" s="456">
        <f>E252+5</f>
        <v/>
      </c>
      <c r="G252" s="141">
        <f>_xlfn.CONCAT(YEAR(E252),".",TEXT(MONTH(E252),"0#"))</f>
        <v/>
      </c>
      <c r="H252">
        <f>YEAR(E252)</f>
        <v/>
      </c>
      <c r="I252">
        <f>IF(VLOOKUP(G252,AC:AD,2,FALSE)&lt;4,1,0)</f>
        <v/>
      </c>
      <c r="J252">
        <f>IF(AND(DAY(F252)&lt; DAY(E252),I252=1),MONTH(E252)+1,MONTH(E252))</f>
        <v/>
      </c>
      <c r="K252" s="201">
        <f>_xlfn.CONCAT(H252,".",TEXT(J252,"0#"))</f>
        <v/>
      </c>
      <c r="AA252" s="477" t="n">
        <v>11</v>
      </c>
      <c r="AB252" s="457" t="n">
        <v>53661</v>
      </c>
      <c r="AC252" s="141">
        <f>_xlfn.CONCAT(YEAR(AB252),".",TEXT(MONTH(AB252),"0#"))</f>
        <v/>
      </c>
      <c r="AD252">
        <f>WEEKDAY(AB252)</f>
        <v/>
      </c>
      <c r="AE252">
        <f>VLOOKUP(AD252,AG$2:AH$8,2,FALSE)</f>
        <v/>
      </c>
    </row>
    <row r="253">
      <c r="A253" t="inlineStr">
        <is>
          <t>.t252</t>
        </is>
      </c>
      <c r="B253" s="141" t="n">
        <v>252</v>
      </c>
      <c r="C253">
        <f>H253</f>
        <v/>
      </c>
      <c r="E253" s="456">
        <f>F252+2</f>
        <v/>
      </c>
      <c r="F253" s="456">
        <f>E253+5</f>
        <v/>
      </c>
      <c r="G253" s="141">
        <f>_xlfn.CONCAT(YEAR(E253),".",TEXT(MONTH(E253),"0#"))</f>
        <v/>
      </c>
      <c r="H253">
        <f>YEAR(E253)</f>
        <v/>
      </c>
      <c r="I253">
        <f>IF(VLOOKUP(G253,AC:AD,2,FALSE)&lt;4,1,0)</f>
        <v/>
      </c>
      <c r="J253">
        <f>IF(AND(DAY(F253)&lt; DAY(E253),I253=1),MONTH(E253)+1,MONTH(E253))</f>
        <v/>
      </c>
      <c r="K253" s="201">
        <f>_xlfn.CONCAT(H253,".",TEXT(J253,"0#"))</f>
        <v/>
      </c>
      <c r="AA253" s="477" t="n">
        <v>12</v>
      </c>
      <c r="AB253" s="457" t="n">
        <v>53692</v>
      </c>
      <c r="AC253" s="141">
        <f>_xlfn.CONCAT(YEAR(AB253),".",TEXT(MONTH(AB253),"0#"))</f>
        <v/>
      </c>
      <c r="AD253">
        <f>WEEKDAY(AB253)</f>
        <v/>
      </c>
      <c r="AE253">
        <f>VLOOKUP(AD253,AG$2:AH$8,2,FALSE)</f>
        <v/>
      </c>
    </row>
    <row r="254">
      <c r="A254" t="inlineStr">
        <is>
          <t>.t253</t>
        </is>
      </c>
      <c r="B254" s="141" t="n">
        <v>253</v>
      </c>
      <c r="C254">
        <f>H254</f>
        <v/>
      </c>
      <c r="E254" s="456">
        <f>F253+2</f>
        <v/>
      </c>
      <c r="F254" s="456">
        <f>E254+5</f>
        <v/>
      </c>
      <c r="G254" s="141">
        <f>_xlfn.CONCAT(YEAR(E254),".",TEXT(MONTH(E254),"0#"))</f>
        <v/>
      </c>
      <c r="H254">
        <f>YEAR(E254)</f>
        <v/>
      </c>
      <c r="I254">
        <f>IF(VLOOKUP(G254,AC:AD,2,FALSE)&lt;4,1,0)</f>
        <v/>
      </c>
      <c r="J254">
        <f>IF(AND(DAY(F254)&lt; DAY(E254),I254=1),MONTH(E254)+1,MONTH(E254))</f>
        <v/>
      </c>
      <c r="K254" s="201">
        <f>_xlfn.CONCAT(H254,".",TEXT(J254,"0#"))</f>
        <v/>
      </c>
      <c r="AA254" s="458" t="n">
        <v>1</v>
      </c>
      <c r="AB254" s="457" t="n">
        <v>53723</v>
      </c>
      <c r="AC254" s="141">
        <f>_xlfn.CONCAT(YEAR(AB254),".",TEXT(MONTH(AB254),"0#"))</f>
        <v/>
      </c>
      <c r="AD254">
        <f>WEEKDAY(AB254)</f>
        <v/>
      </c>
      <c r="AE254">
        <f>VLOOKUP(AD254,AG$2:AH$8,2,FALSE)</f>
        <v/>
      </c>
    </row>
    <row r="255">
      <c r="A255" t="inlineStr">
        <is>
          <t>.t254</t>
        </is>
      </c>
      <c r="B255" s="141" t="n">
        <v>254</v>
      </c>
      <c r="C255">
        <f>H255</f>
        <v/>
      </c>
      <c r="E255" s="456">
        <f>F254+2</f>
        <v/>
      </c>
      <c r="F255" s="456">
        <f>E255+5</f>
        <v/>
      </c>
      <c r="G255" s="141">
        <f>_xlfn.CONCAT(YEAR(E255),".",TEXT(MONTH(E255),"0#"))</f>
        <v/>
      </c>
      <c r="H255">
        <f>YEAR(E255)</f>
        <v/>
      </c>
      <c r="I255">
        <f>IF(VLOOKUP(G255,AC:AD,2,FALSE)&lt;4,1,0)</f>
        <v/>
      </c>
      <c r="J255">
        <f>IF(AND(DAY(F255)&lt; DAY(E255),I255=1),MONTH(E255)+1,MONTH(E255))</f>
        <v/>
      </c>
      <c r="K255" s="201">
        <f>_xlfn.CONCAT(H255,".",TEXT(J255,"0#"))</f>
        <v/>
      </c>
      <c r="AA255" s="458" t="n">
        <v>2</v>
      </c>
      <c r="AB255" s="457" t="n">
        <v>53751</v>
      </c>
      <c r="AC255" s="141">
        <f>_xlfn.CONCAT(YEAR(AB255),".",TEXT(MONTH(AB255),"0#"))</f>
        <v/>
      </c>
      <c r="AD255">
        <f>WEEKDAY(AB255)</f>
        <v/>
      </c>
      <c r="AE255">
        <f>VLOOKUP(AD255,AG$2:AH$8,2,FALSE)</f>
        <v/>
      </c>
    </row>
    <row r="256">
      <c r="A256" t="inlineStr">
        <is>
          <t>.t255</t>
        </is>
      </c>
      <c r="B256" s="141" t="n">
        <v>255</v>
      </c>
      <c r="C256">
        <f>H256</f>
        <v/>
      </c>
      <c r="E256" s="456">
        <f>F255+2</f>
        <v/>
      </c>
      <c r="F256" s="456">
        <f>E256+5</f>
        <v/>
      </c>
      <c r="G256" s="141">
        <f>_xlfn.CONCAT(YEAR(E256),".",TEXT(MONTH(E256),"0#"))</f>
        <v/>
      </c>
      <c r="H256">
        <f>YEAR(E256)</f>
        <v/>
      </c>
      <c r="I256">
        <f>IF(VLOOKUP(G256,AC:AD,2,FALSE)&lt;4,1,0)</f>
        <v/>
      </c>
      <c r="J256">
        <f>IF(AND(DAY(F256)&lt; DAY(E256),I256=1),MONTH(E256)+1,MONTH(E256))</f>
        <v/>
      </c>
      <c r="K256" s="201">
        <f>_xlfn.CONCAT(H256,".",TEXT(J256,"0#"))</f>
        <v/>
      </c>
      <c r="AA256" s="458" t="n">
        <v>3</v>
      </c>
      <c r="AB256" s="457" t="n">
        <v>53782</v>
      </c>
      <c r="AC256" s="141">
        <f>_xlfn.CONCAT(YEAR(AB256),".",TEXT(MONTH(AB256),"0#"))</f>
        <v/>
      </c>
      <c r="AD256">
        <f>WEEKDAY(AB256)</f>
        <v/>
      </c>
      <c r="AE256" s="478">
        <f>VLOOKUP(AD256,AG$2:AH$8,2,FALSE)</f>
        <v/>
      </c>
    </row>
    <row r="257">
      <c r="A257" t="inlineStr">
        <is>
          <t>.t256</t>
        </is>
      </c>
      <c r="B257" s="141" t="n">
        <v>256</v>
      </c>
      <c r="C257">
        <f>H257</f>
        <v/>
      </c>
      <c r="E257" s="456">
        <f>F256+2</f>
        <v/>
      </c>
      <c r="F257" s="456">
        <f>E257+5</f>
        <v/>
      </c>
      <c r="G257" s="141">
        <f>_xlfn.CONCAT(YEAR(E257),".",TEXT(MONTH(E257),"0#"))</f>
        <v/>
      </c>
      <c r="H257">
        <f>YEAR(E257)</f>
        <v/>
      </c>
      <c r="I257">
        <f>IF(VLOOKUP(G257,AC:AD,2,FALSE)&lt;4,1,0)</f>
        <v/>
      </c>
      <c r="J257">
        <f>IF(AND(DAY(F257)&lt; DAY(E257),I257=1),MONTH(E257)+1,MONTH(E257))</f>
        <v/>
      </c>
      <c r="K257" s="201">
        <f>_xlfn.CONCAT(H257,".",TEXT(J257,"0#"))</f>
        <v/>
      </c>
      <c r="AA257" s="458" t="n">
        <v>4</v>
      </c>
      <c r="AB257" s="457" t="n">
        <v>53812</v>
      </c>
      <c r="AC257" s="141">
        <f>_xlfn.CONCAT(YEAR(AB257),".",TEXT(MONTH(AB257),"0#"))</f>
        <v/>
      </c>
      <c r="AD257">
        <f>WEEKDAY(AB257)</f>
        <v/>
      </c>
      <c r="AE257">
        <f>VLOOKUP(AD257,AG$2:AH$8,2,FALSE)</f>
        <v/>
      </c>
    </row>
    <row r="258">
      <c r="A258" t="inlineStr">
        <is>
          <t>.t257</t>
        </is>
      </c>
      <c r="B258" s="141" t="n">
        <v>257</v>
      </c>
      <c r="C258">
        <f>H258</f>
        <v/>
      </c>
      <c r="E258" s="456">
        <f>F257+2</f>
        <v/>
      </c>
      <c r="F258" s="456">
        <f>E258+5</f>
        <v/>
      </c>
      <c r="G258" s="141">
        <f>_xlfn.CONCAT(YEAR(E258),".",TEXT(MONTH(E258),"0#"))</f>
        <v/>
      </c>
      <c r="H258">
        <f>YEAR(E258)</f>
        <v/>
      </c>
      <c r="I258">
        <f>IF(VLOOKUP(G258,AC:AD,2,FALSE)&lt;4,1,0)</f>
        <v/>
      </c>
      <c r="J258">
        <f>IF(AND(DAY(F258)&lt; DAY(E258),I258=1),MONTH(E258)+1,MONTH(E258))</f>
        <v/>
      </c>
      <c r="K258" s="201">
        <f>_xlfn.CONCAT(H258,".",TEXT(J258,"0#"))</f>
        <v/>
      </c>
      <c r="AA258" s="458" t="n">
        <v>5</v>
      </c>
      <c r="AB258" s="457" t="n">
        <v>53843</v>
      </c>
      <c r="AC258" s="141">
        <f>_xlfn.CONCAT(YEAR(AB258),".",TEXT(MONTH(AB258),"0#"))</f>
        <v/>
      </c>
      <c r="AD258">
        <f>WEEKDAY(AB258)</f>
        <v/>
      </c>
      <c r="AE258">
        <f>VLOOKUP(AD258,AG$2:AH$8,2,FALSE)</f>
        <v/>
      </c>
    </row>
    <row r="259">
      <c r="A259" t="inlineStr">
        <is>
          <t>.t258</t>
        </is>
      </c>
      <c r="B259" s="141" t="n">
        <v>258</v>
      </c>
      <c r="C259">
        <f>H259</f>
        <v/>
      </c>
      <c r="E259" s="456">
        <f>F258+2</f>
        <v/>
      </c>
      <c r="F259" s="456">
        <f>E259+5</f>
        <v/>
      </c>
      <c r="G259" s="141">
        <f>_xlfn.CONCAT(YEAR(E259),".",TEXT(MONTH(E259),"0#"))</f>
        <v/>
      </c>
      <c r="H259">
        <f>YEAR(E259)</f>
        <v/>
      </c>
      <c r="I259">
        <f>IF(VLOOKUP(G259,AC:AD,2,FALSE)&lt;4,1,0)</f>
        <v/>
      </c>
      <c r="J259">
        <f>IF(AND(DAY(F259)&lt; DAY(E259),I259=1),MONTH(E259)+1,MONTH(E259))</f>
        <v/>
      </c>
      <c r="K259" s="201">
        <f>_xlfn.CONCAT(H259,".",TEXT(J259,"0#"))</f>
        <v/>
      </c>
      <c r="AA259" s="458" t="n">
        <v>6</v>
      </c>
      <c r="AB259" s="457" t="n">
        <v>53873</v>
      </c>
      <c r="AC259" s="141">
        <f>_xlfn.CONCAT(YEAR(AB259),".",TEXT(MONTH(AB259),"0#"))</f>
        <v/>
      </c>
      <c r="AD259">
        <f>WEEKDAY(AB259)</f>
        <v/>
      </c>
      <c r="AE259" s="478">
        <f>VLOOKUP(AD259,AG$2:AH$8,2,FALSE)</f>
        <v/>
      </c>
    </row>
    <row r="260">
      <c r="A260" t="inlineStr">
        <is>
          <t>.t259</t>
        </is>
      </c>
      <c r="B260" s="141" t="n">
        <v>259</v>
      </c>
      <c r="C260">
        <f>H260</f>
        <v/>
      </c>
      <c r="E260" s="456">
        <f>F259+2</f>
        <v/>
      </c>
      <c r="F260" s="456">
        <f>E260+5</f>
        <v/>
      </c>
      <c r="G260" s="141">
        <f>_xlfn.CONCAT(YEAR(E260),".",TEXT(MONTH(E260),"0#"))</f>
        <v/>
      </c>
      <c r="H260">
        <f>YEAR(E260)</f>
        <v/>
      </c>
      <c r="I260">
        <f>IF(VLOOKUP(G260,AC:AD,2,FALSE)&lt;4,1,0)</f>
        <v/>
      </c>
      <c r="J260">
        <f>IF(AND(DAY(F260)&lt; DAY(E260),I260=1),MONTH(E260)+1,MONTH(E260))</f>
        <v/>
      </c>
      <c r="K260" s="201">
        <f>_xlfn.CONCAT(H260,".",TEXT(J260,"0#"))</f>
        <v/>
      </c>
      <c r="AA260" s="458" t="n">
        <v>7</v>
      </c>
      <c r="AB260" s="457" t="n">
        <v>53904</v>
      </c>
      <c r="AC260" s="141">
        <f>_xlfn.CONCAT(YEAR(AB260),".",TEXT(MONTH(AB260),"0#"))</f>
        <v/>
      </c>
      <c r="AD260">
        <f>WEEKDAY(AB260)</f>
        <v/>
      </c>
      <c r="AE260">
        <f>VLOOKUP(AD260,AG$2:AH$8,2,FALSE)</f>
        <v/>
      </c>
    </row>
    <row r="261">
      <c r="A261" t="inlineStr">
        <is>
          <t>.t260</t>
        </is>
      </c>
      <c r="B261" s="141" t="n">
        <v>260</v>
      </c>
      <c r="C261">
        <f>H261</f>
        <v/>
      </c>
      <c r="E261" s="456">
        <f>F260+2</f>
        <v/>
      </c>
      <c r="F261" s="456">
        <f>E261+5</f>
        <v/>
      </c>
      <c r="G261" s="141">
        <f>_xlfn.CONCAT(YEAR(E261),".",TEXT(MONTH(E261),"0#"))</f>
        <v/>
      </c>
      <c r="H261">
        <f>YEAR(E261)</f>
        <v/>
      </c>
      <c r="I261">
        <f>IF(VLOOKUP(G261,AC:AD,2,FALSE)&lt;4,1,0)</f>
        <v/>
      </c>
      <c r="J261">
        <f>IF(AND(DAY(F261)&lt; DAY(E261),I261=1),MONTH(E261)+1,MONTH(E261))</f>
        <v/>
      </c>
      <c r="K261" s="201">
        <f>_xlfn.CONCAT(H261,".",TEXT(J261,"0#"))</f>
        <v/>
      </c>
      <c r="AA261" s="458" t="n">
        <v>8</v>
      </c>
      <c r="AB261" s="457" t="n">
        <v>53935</v>
      </c>
      <c r="AC261" s="141">
        <f>_xlfn.CONCAT(YEAR(AB261),".",TEXT(MONTH(AB261),"0#"))</f>
        <v/>
      </c>
      <c r="AD261">
        <f>WEEKDAY(AB261)</f>
        <v/>
      </c>
      <c r="AE261" s="478">
        <f>VLOOKUP(AD261,AG$2:AH$8,2,FALSE)</f>
        <v/>
      </c>
    </row>
    <row r="262">
      <c r="A262" t="inlineStr">
        <is>
          <t>.t261</t>
        </is>
      </c>
      <c r="B262" s="141" t="n">
        <v>261</v>
      </c>
      <c r="C262">
        <f>H262</f>
        <v/>
      </c>
      <c r="E262" s="456">
        <f>F261+2</f>
        <v/>
      </c>
      <c r="F262" s="456">
        <f>E262+5</f>
        <v/>
      </c>
      <c r="G262" s="141">
        <f>_xlfn.CONCAT(YEAR(E262),".",TEXT(MONTH(E262),"0#"))</f>
        <v/>
      </c>
      <c r="H262">
        <f>YEAR(E262)</f>
        <v/>
      </c>
      <c r="I262">
        <f>IF(VLOOKUP(G262,AC:AD,2,FALSE)&lt;4,1,0)</f>
        <v/>
      </c>
      <c r="J262">
        <f>IF(AND(DAY(F262)&lt; DAY(E262),I262=1),MONTH(E262)+1,MONTH(E262))</f>
        <v/>
      </c>
      <c r="K262" s="201">
        <f>_xlfn.CONCAT(H262,".",TEXT(J262,"0#"))</f>
        <v/>
      </c>
      <c r="AA262" s="458" t="n">
        <v>9</v>
      </c>
      <c r="AB262" s="457" t="n">
        <v>53965</v>
      </c>
      <c r="AC262" s="141">
        <f>_xlfn.CONCAT(YEAR(AB262),".",TEXT(MONTH(AB262),"0#"))</f>
        <v/>
      </c>
      <c r="AD262">
        <f>WEEKDAY(AB262)</f>
        <v/>
      </c>
      <c r="AE262">
        <f>VLOOKUP(AD262,AG$2:AH$8,2,FALSE)</f>
        <v/>
      </c>
    </row>
    <row r="263">
      <c r="A263" t="inlineStr">
        <is>
          <t>.t262</t>
        </is>
      </c>
      <c r="B263" t="n">
        <v>262</v>
      </c>
      <c r="C263">
        <f>H263</f>
        <v/>
      </c>
      <c r="E263" s="456">
        <f>F262+2</f>
        <v/>
      </c>
      <c r="F263" s="456">
        <f>E263+5</f>
        <v/>
      </c>
      <c r="G263" s="141">
        <f>_xlfn.CONCAT(YEAR(E263),".",TEXT(MONTH(E263),"0#"))</f>
        <v/>
      </c>
      <c r="H263">
        <f>YEAR(E263)</f>
        <v/>
      </c>
      <c r="I263">
        <f>IF(VLOOKUP(G263,AC:AD,2,FALSE)&lt;4,1,0)</f>
        <v/>
      </c>
      <c r="J263">
        <f>IF(AND(DAY(F263)&lt; DAY(E263),I263=1),MONTH(E263)+1,MONTH(E263))</f>
        <v/>
      </c>
      <c r="K263" s="201">
        <f>_xlfn.CONCAT(H263,".",TEXT(J263,"0#"))</f>
        <v/>
      </c>
      <c r="AA263" s="458" t="n">
        <v>10</v>
      </c>
      <c r="AB263" s="457" t="n">
        <v>53996</v>
      </c>
      <c r="AC263" s="141">
        <f>_xlfn.CONCAT(YEAR(AB263),".",TEXT(MONTH(AB263),"0#"))</f>
        <v/>
      </c>
      <c r="AD263">
        <f>WEEKDAY(AB263)</f>
        <v/>
      </c>
      <c r="AE263">
        <f>VLOOKUP(AD263,AG$2:AH$8,2,FALSE)</f>
        <v/>
      </c>
    </row>
    <row r="264">
      <c r="A264" t="inlineStr">
        <is>
          <t>.t263</t>
        </is>
      </c>
      <c r="B264" t="n">
        <v>263</v>
      </c>
      <c r="C264">
        <f>H264</f>
        <v/>
      </c>
      <c r="E264" s="456">
        <f>F263+2</f>
        <v/>
      </c>
      <c r="F264" s="456">
        <f>E264+5</f>
        <v/>
      </c>
      <c r="G264" s="141">
        <f>_xlfn.CONCAT(YEAR(E264),".",TEXT(MONTH(E264),"0#"))</f>
        <v/>
      </c>
      <c r="H264">
        <f>YEAR(E264)</f>
        <v/>
      </c>
      <c r="I264">
        <f>IF(VLOOKUP(G264,AC:AD,2,FALSE)&lt;4,1,0)</f>
        <v/>
      </c>
      <c r="J264">
        <f>IF(AND(DAY(F264)&lt; DAY(E264),I264=1),MONTH(E264)+1,MONTH(E264))</f>
        <v/>
      </c>
      <c r="K264" s="201">
        <f>_xlfn.CONCAT(H264,".",TEXT(J264,"0#"))</f>
        <v/>
      </c>
      <c r="AA264" s="458" t="n">
        <v>11</v>
      </c>
      <c r="AB264" s="457" t="n">
        <v>54026</v>
      </c>
      <c r="AC264" s="141">
        <f>_xlfn.CONCAT(YEAR(AB264),".",TEXT(MONTH(AB264),"0#"))</f>
        <v/>
      </c>
      <c r="AD264">
        <f>WEEKDAY(AB264)</f>
        <v/>
      </c>
      <c r="AE264" s="478">
        <f>VLOOKUP(AD264,AG$2:AH$8,2,FALSE)</f>
        <v/>
      </c>
    </row>
    <row r="265">
      <c r="A265" t="inlineStr">
        <is>
          <t>.t264</t>
        </is>
      </c>
      <c r="B265" t="n">
        <v>264</v>
      </c>
      <c r="C265">
        <f>H265</f>
        <v/>
      </c>
      <c r="E265" s="456">
        <f>F264+2</f>
        <v/>
      </c>
      <c r="F265" s="456">
        <f>E265+5</f>
        <v/>
      </c>
      <c r="G265" s="141">
        <f>_xlfn.CONCAT(YEAR(E265),".",TEXT(MONTH(E265),"0#"))</f>
        <v/>
      </c>
      <c r="H265">
        <f>YEAR(E265)</f>
        <v/>
      </c>
      <c r="I265">
        <f>IF(VLOOKUP(G265,AC:AD,2,FALSE)&lt;4,1,0)</f>
        <v/>
      </c>
      <c r="J265">
        <f>IF(AND(DAY(F265)&lt; DAY(E265),I265=1),MONTH(E265)+1,MONTH(E265))</f>
        <v/>
      </c>
      <c r="K265" s="201">
        <f>_xlfn.CONCAT(H265,".",TEXT(J265,"0#"))</f>
        <v/>
      </c>
      <c r="AA265" s="458" t="n">
        <v>12</v>
      </c>
      <c r="AB265" s="457" t="n">
        <v>54057</v>
      </c>
      <c r="AC265" s="141">
        <f>_xlfn.CONCAT(YEAR(AB265),".",TEXT(MONTH(AB265),"0#"))</f>
        <v/>
      </c>
      <c r="AD265">
        <f>WEEKDAY(AB265)</f>
        <v/>
      </c>
      <c r="AE265">
        <f>VLOOKUP(AD265,AG$2:AH$8,2,FALSE)</f>
        <v/>
      </c>
    </row>
    <row r="266">
      <c r="A266" t="inlineStr">
        <is>
          <t>.t265</t>
        </is>
      </c>
      <c r="B266" t="n">
        <v>265</v>
      </c>
      <c r="C266">
        <f>H266</f>
        <v/>
      </c>
      <c r="E266" s="456">
        <f>F265+2</f>
        <v/>
      </c>
      <c r="F266" s="456">
        <f>E266+5</f>
        <v/>
      </c>
      <c r="G266" s="141">
        <f>_xlfn.CONCAT(YEAR(E266),".",TEXT(MONTH(E266),"0#"))</f>
        <v/>
      </c>
      <c r="H266">
        <f>YEAR(E266)</f>
        <v/>
      </c>
      <c r="I266">
        <f>IF(VLOOKUP(G266,AC:AD,2,FALSE)&lt;4,1,0)</f>
        <v/>
      </c>
      <c r="J266">
        <f>IF(AND(DAY(F266)&lt; DAY(E266),I266=1),MONTH(E266)+1,MONTH(E266))</f>
        <v/>
      </c>
      <c r="K266" s="201">
        <f>_xlfn.CONCAT(H266,".",TEXT(J266,"0#"))</f>
        <v/>
      </c>
      <c r="AA266" s="477" t="n">
        <v>1</v>
      </c>
      <c r="AB266" s="457" t="n">
        <v>54088</v>
      </c>
      <c r="AC266" s="141">
        <f>_xlfn.CONCAT(YEAR(AB266),".",TEXT(MONTH(AB266),"0#"))</f>
        <v/>
      </c>
      <c r="AD266">
        <f>WEEKDAY(AB266)</f>
        <v/>
      </c>
      <c r="AE266">
        <f>VLOOKUP(AD266,AG$2:AH$8,2,FALSE)</f>
        <v/>
      </c>
    </row>
    <row r="267">
      <c r="A267" t="inlineStr">
        <is>
          <t>.t266</t>
        </is>
      </c>
      <c r="B267" t="n">
        <v>266</v>
      </c>
      <c r="C267">
        <f>H267</f>
        <v/>
      </c>
      <c r="E267" s="456">
        <f>F266+2</f>
        <v/>
      </c>
      <c r="F267" s="456">
        <f>E267+5</f>
        <v/>
      </c>
      <c r="G267" s="141">
        <f>_xlfn.CONCAT(YEAR(E267),".",TEXT(MONTH(E267),"0#"))</f>
        <v/>
      </c>
      <c r="H267">
        <f>YEAR(E267)</f>
        <v/>
      </c>
      <c r="I267">
        <f>IF(VLOOKUP(G267,AC:AD,2,FALSE)&lt;4,1,0)</f>
        <v/>
      </c>
      <c r="J267">
        <f>IF(AND(DAY(F267)&lt; DAY(E267),I267=1),MONTH(E267)+1,MONTH(E267))</f>
        <v/>
      </c>
      <c r="K267" s="201">
        <f>_xlfn.CONCAT(H267,".",TEXT(J267,"0#"))</f>
        <v/>
      </c>
      <c r="AA267" s="477" t="n">
        <v>2</v>
      </c>
      <c r="AB267" s="457" t="n">
        <v>54117</v>
      </c>
      <c r="AC267" s="141">
        <f>_xlfn.CONCAT(YEAR(AB267),".",TEXT(MONTH(AB267),"0#"))</f>
        <v/>
      </c>
      <c r="AD267">
        <f>WEEKDAY(AB267)</f>
        <v/>
      </c>
      <c r="AE267" s="478">
        <f>VLOOKUP(AD267,AG$2:AH$8,2,FALSE)</f>
        <v/>
      </c>
    </row>
    <row r="268">
      <c r="A268" t="inlineStr">
        <is>
          <t>.t267</t>
        </is>
      </c>
      <c r="B268" t="n">
        <v>267</v>
      </c>
      <c r="C268">
        <f>H268</f>
        <v/>
      </c>
      <c r="E268" s="456">
        <f>F267+2</f>
        <v/>
      </c>
      <c r="F268" s="456">
        <f>E268+5</f>
        <v/>
      </c>
      <c r="G268" s="141">
        <f>_xlfn.CONCAT(YEAR(E268),".",TEXT(MONTH(E268),"0#"))</f>
        <v/>
      </c>
      <c r="H268">
        <f>YEAR(E268)</f>
        <v/>
      </c>
      <c r="I268">
        <f>IF(VLOOKUP(G268,AC:AD,2,FALSE)&lt;4,1,0)</f>
        <v/>
      </c>
      <c r="J268">
        <f>IF(AND(DAY(F268)&lt; DAY(E268),I268=1),MONTH(E268)+1,MONTH(E268))</f>
        <v/>
      </c>
      <c r="K268" s="201">
        <f>_xlfn.CONCAT(H268,".",TEXT(J268,"0#"))</f>
        <v/>
      </c>
      <c r="AA268" s="477" t="n">
        <v>3</v>
      </c>
      <c r="AB268" s="457" t="n">
        <v>54148</v>
      </c>
      <c r="AC268" s="141">
        <f>_xlfn.CONCAT(YEAR(AB268),".",TEXT(MONTH(AB268),"0#"))</f>
        <v/>
      </c>
      <c r="AD268">
        <f>WEEKDAY(AB268)</f>
        <v/>
      </c>
      <c r="AE268">
        <f>VLOOKUP(AD268,AG$2:AH$8,2,FALSE)</f>
        <v/>
      </c>
    </row>
    <row r="269">
      <c r="A269" t="inlineStr">
        <is>
          <t>.t268</t>
        </is>
      </c>
      <c r="B269" t="n">
        <v>268</v>
      </c>
      <c r="C269">
        <f>H269</f>
        <v/>
      </c>
      <c r="E269" s="456">
        <f>F268+2</f>
        <v/>
      </c>
      <c r="F269" s="456">
        <f>E269+5</f>
        <v/>
      </c>
      <c r="G269" s="141">
        <f>_xlfn.CONCAT(YEAR(E269),".",TEXT(MONTH(E269),"0#"))</f>
        <v/>
      </c>
      <c r="H269">
        <f>YEAR(E269)</f>
        <v/>
      </c>
      <c r="I269">
        <f>IF(VLOOKUP(G269,AC:AD,2,FALSE)&lt;4,1,0)</f>
        <v/>
      </c>
      <c r="J269">
        <f>IF(AND(DAY(F269)&lt; DAY(E269),I269=1),MONTH(E269)+1,MONTH(E269))</f>
        <v/>
      </c>
      <c r="K269" s="201">
        <f>_xlfn.CONCAT(H269,".",TEXT(J269,"0#"))</f>
        <v/>
      </c>
      <c r="AA269" s="477" t="n">
        <v>4</v>
      </c>
      <c r="AB269" s="457" t="n">
        <v>54178</v>
      </c>
      <c r="AC269" s="141">
        <f>_xlfn.CONCAT(YEAR(AB269),".",TEXT(MONTH(AB269),"0#"))</f>
        <v/>
      </c>
      <c r="AD269">
        <f>WEEKDAY(AB269)</f>
        <v/>
      </c>
      <c r="AE269">
        <f>VLOOKUP(AD269,AG$2:AH$8,2,FALSE)</f>
        <v/>
      </c>
    </row>
    <row r="270">
      <c r="A270" t="inlineStr">
        <is>
          <t>.t269</t>
        </is>
      </c>
      <c r="B270" t="n">
        <v>269</v>
      </c>
      <c r="C270">
        <f>H270</f>
        <v/>
      </c>
      <c r="E270" s="456">
        <f>F269+2</f>
        <v/>
      </c>
      <c r="F270" s="456">
        <f>E270+5</f>
        <v/>
      </c>
      <c r="G270" s="141">
        <f>_xlfn.CONCAT(YEAR(E270),".",TEXT(MONTH(E270),"0#"))</f>
        <v/>
      </c>
      <c r="H270">
        <f>YEAR(E270)</f>
        <v/>
      </c>
      <c r="I270">
        <f>IF(VLOOKUP(G270,AC:AD,2,FALSE)&lt;4,1,0)</f>
        <v/>
      </c>
      <c r="J270">
        <f>IF(AND(DAY(F270)&lt; DAY(E270),I270=1),MONTH(E270)+1,MONTH(E270))</f>
        <v/>
      </c>
      <c r="K270" s="201">
        <f>_xlfn.CONCAT(H270,".",TEXT(J270,"0#"))</f>
        <v/>
      </c>
      <c r="AA270" s="477" t="n">
        <v>5</v>
      </c>
      <c r="AB270" s="457" t="n">
        <v>54209</v>
      </c>
      <c r="AC270" s="141">
        <f>_xlfn.CONCAT(YEAR(AB270),".",TEXT(MONTH(AB270),"0#"))</f>
        <v/>
      </c>
      <c r="AD270">
        <f>WEEKDAY(AB270)</f>
        <v/>
      </c>
      <c r="AE270" s="478">
        <f>VLOOKUP(AD270,AG$2:AH$8,2,FALSE)</f>
        <v/>
      </c>
    </row>
    <row r="271">
      <c r="A271" t="inlineStr">
        <is>
          <t>.t270</t>
        </is>
      </c>
      <c r="B271" t="n">
        <v>270</v>
      </c>
      <c r="C271">
        <f>H271</f>
        <v/>
      </c>
      <c r="E271" s="456">
        <f>F270+2</f>
        <v/>
      </c>
      <c r="F271" s="456">
        <f>E271+5</f>
        <v/>
      </c>
      <c r="G271" s="141">
        <f>_xlfn.CONCAT(YEAR(E271),".",TEXT(MONTH(E271),"0#"))</f>
        <v/>
      </c>
      <c r="H271">
        <f>YEAR(E271)</f>
        <v/>
      </c>
      <c r="I271">
        <f>IF(VLOOKUP(G271,AC:AD,2,FALSE)&lt;4,1,0)</f>
        <v/>
      </c>
      <c r="J271">
        <f>IF(AND(DAY(F271)&lt; DAY(E271),I271=1),MONTH(E271)+1,MONTH(E271))</f>
        <v/>
      </c>
      <c r="K271" s="201">
        <f>_xlfn.CONCAT(H271,".",TEXT(J271,"0#"))</f>
        <v/>
      </c>
      <c r="AA271" s="477" t="n">
        <v>6</v>
      </c>
      <c r="AB271" s="457" t="n">
        <v>54239</v>
      </c>
      <c r="AC271" s="141">
        <f>_xlfn.CONCAT(YEAR(AB271),".",TEXT(MONTH(AB271),"0#"))</f>
        <v/>
      </c>
      <c r="AD271">
        <f>WEEKDAY(AB271)</f>
        <v/>
      </c>
      <c r="AE271">
        <f>VLOOKUP(AD271,AG$2:AH$8,2,FALSE)</f>
        <v/>
      </c>
    </row>
    <row r="272">
      <c r="A272" t="inlineStr">
        <is>
          <t>.t271</t>
        </is>
      </c>
      <c r="B272" t="n">
        <v>271</v>
      </c>
      <c r="C272">
        <f>H272</f>
        <v/>
      </c>
      <c r="E272" s="456">
        <f>F271+2</f>
        <v/>
      </c>
      <c r="F272" s="456">
        <f>E272+5</f>
        <v/>
      </c>
      <c r="G272" s="141">
        <f>_xlfn.CONCAT(YEAR(E272),".",TEXT(MONTH(E272),"0#"))</f>
        <v/>
      </c>
      <c r="H272">
        <f>YEAR(E272)</f>
        <v/>
      </c>
      <c r="I272">
        <f>IF(VLOOKUP(G272,AC:AD,2,FALSE)&lt;4,1,0)</f>
        <v/>
      </c>
      <c r="J272">
        <f>IF(AND(DAY(F272)&lt; DAY(E272),I272=1),MONTH(E272)+1,MONTH(E272))</f>
        <v/>
      </c>
      <c r="K272" s="201">
        <f>_xlfn.CONCAT(H272,".",TEXT(J272,"0#"))</f>
        <v/>
      </c>
      <c r="AA272" s="477" t="n">
        <v>7</v>
      </c>
      <c r="AB272" s="457" t="n">
        <v>54270</v>
      </c>
      <c r="AC272" s="141">
        <f>_xlfn.CONCAT(YEAR(AB272),".",TEXT(MONTH(AB272),"0#"))</f>
        <v/>
      </c>
      <c r="AD272">
        <f>WEEKDAY(AB272)</f>
        <v/>
      </c>
      <c r="AE272">
        <f>VLOOKUP(AD272,AG$2:AH$8,2,FALSE)</f>
        <v/>
      </c>
    </row>
    <row r="273">
      <c r="A273" t="inlineStr">
        <is>
          <t>.t272</t>
        </is>
      </c>
      <c r="B273" t="n">
        <v>272</v>
      </c>
      <c r="C273">
        <f>H273</f>
        <v/>
      </c>
      <c r="E273" s="456">
        <f>F272+2</f>
        <v/>
      </c>
      <c r="F273" s="456">
        <f>E273+5</f>
        <v/>
      </c>
      <c r="G273" s="141">
        <f>_xlfn.CONCAT(YEAR(E273),".",TEXT(MONTH(E273),"0#"))</f>
        <v/>
      </c>
      <c r="H273">
        <f>YEAR(E273)</f>
        <v/>
      </c>
      <c r="I273">
        <f>IF(VLOOKUP(G273,AC:AD,2,FALSE)&lt;4,1,0)</f>
        <v/>
      </c>
      <c r="J273">
        <f>IF(AND(DAY(F273)&lt; DAY(E273),I273=1),MONTH(E273)+1,MONTH(E273))</f>
        <v/>
      </c>
      <c r="K273" s="201">
        <f>_xlfn.CONCAT(H273,".",TEXT(J273,"0#"))</f>
        <v/>
      </c>
      <c r="AA273" s="477" t="n">
        <v>8</v>
      </c>
      <c r="AB273" s="457" t="n">
        <v>54301</v>
      </c>
      <c r="AC273" s="141">
        <f>_xlfn.CONCAT(YEAR(AB273),".",TEXT(MONTH(AB273),"0#"))</f>
        <v/>
      </c>
      <c r="AD273">
        <f>WEEKDAY(AB273)</f>
        <v/>
      </c>
      <c r="AE273">
        <f>VLOOKUP(AD273,AG$2:AH$8,2,FALSE)</f>
        <v/>
      </c>
    </row>
    <row r="274">
      <c r="A274" t="inlineStr">
        <is>
          <t>.t273</t>
        </is>
      </c>
      <c r="B274" t="n">
        <v>273</v>
      </c>
      <c r="C274">
        <f>H274</f>
        <v/>
      </c>
      <c r="E274" s="456">
        <f>F273+2</f>
        <v/>
      </c>
      <c r="F274" s="456">
        <f>E274+5</f>
        <v/>
      </c>
      <c r="G274" s="141">
        <f>_xlfn.CONCAT(YEAR(E274),".",TEXT(MONTH(E274),"0#"))</f>
        <v/>
      </c>
      <c r="H274">
        <f>YEAR(E274)</f>
        <v/>
      </c>
      <c r="I274">
        <f>IF(VLOOKUP(G274,AC:AD,2,FALSE)&lt;4,1,0)</f>
        <v/>
      </c>
      <c r="J274">
        <f>IF(AND(DAY(F274)&lt; DAY(E274),I274=1),MONTH(E274)+1,MONTH(E274))</f>
        <v/>
      </c>
      <c r="K274" s="201">
        <f>_xlfn.CONCAT(H274,".",TEXT(J274,"0#"))</f>
        <v/>
      </c>
      <c r="AA274" s="477" t="n">
        <v>9</v>
      </c>
      <c r="AB274" s="457" t="n">
        <v>54331</v>
      </c>
      <c r="AC274" s="141">
        <f>_xlfn.CONCAT(YEAR(AB274),".",TEXT(MONTH(AB274),"0#"))</f>
        <v/>
      </c>
      <c r="AD274">
        <f>WEEKDAY(AB274)</f>
        <v/>
      </c>
      <c r="AE274">
        <f>VLOOKUP(AD274,AG$2:AH$8,2,FALSE)</f>
        <v/>
      </c>
    </row>
    <row r="275">
      <c r="A275" t="inlineStr">
        <is>
          <t>.t274</t>
        </is>
      </c>
      <c r="B275" t="n">
        <v>274</v>
      </c>
      <c r="C275">
        <f>H275</f>
        <v/>
      </c>
      <c r="E275" s="456">
        <f>F274+2</f>
        <v/>
      </c>
      <c r="F275" s="456">
        <f>E275+5</f>
        <v/>
      </c>
      <c r="G275" s="141">
        <f>_xlfn.CONCAT(YEAR(E275),".",TEXT(MONTH(E275),"0#"))</f>
        <v/>
      </c>
      <c r="H275">
        <f>YEAR(E275)</f>
        <v/>
      </c>
      <c r="I275">
        <f>IF(VLOOKUP(G275,AC:AD,2,FALSE)&lt;4,1,0)</f>
        <v/>
      </c>
      <c r="J275">
        <f>IF(AND(DAY(F275)&lt; DAY(E275),I275=1),MONTH(E275)+1,MONTH(E275))</f>
        <v/>
      </c>
      <c r="K275" s="201">
        <f>_xlfn.CONCAT(H275,".",TEXT(J275,"0#"))</f>
        <v/>
      </c>
      <c r="AA275" s="477" t="n">
        <v>10</v>
      </c>
      <c r="AB275" s="457" t="n">
        <v>54362</v>
      </c>
      <c r="AC275" s="141">
        <f>_xlfn.CONCAT(YEAR(AB275),".",TEXT(MONTH(AB275),"0#"))</f>
        <v/>
      </c>
      <c r="AD275">
        <f>WEEKDAY(AB275)</f>
        <v/>
      </c>
      <c r="AE275" s="478">
        <f>VLOOKUP(AD275,AG$2:AH$8,2,FALSE)</f>
        <v/>
      </c>
    </row>
    <row r="276">
      <c r="A276" t="inlineStr">
        <is>
          <t>.t275</t>
        </is>
      </c>
      <c r="B276" t="n">
        <v>275</v>
      </c>
      <c r="C276">
        <f>H276</f>
        <v/>
      </c>
      <c r="E276" s="456">
        <f>F275+2</f>
        <v/>
      </c>
      <c r="F276" s="456">
        <f>E276+5</f>
        <v/>
      </c>
      <c r="G276" s="141">
        <f>_xlfn.CONCAT(YEAR(E276),".",TEXT(MONTH(E276),"0#"))</f>
        <v/>
      </c>
      <c r="H276">
        <f>YEAR(E276)</f>
        <v/>
      </c>
      <c r="I276">
        <f>IF(VLOOKUP(G276,AC:AD,2,FALSE)&lt;4,1,0)</f>
        <v/>
      </c>
      <c r="J276">
        <f>IF(AND(DAY(F276)&lt; DAY(E276),I276=1),MONTH(E276)+1,MONTH(E276))</f>
        <v/>
      </c>
      <c r="K276" s="201">
        <f>_xlfn.CONCAT(H276,".",TEXT(J276,"0#"))</f>
        <v/>
      </c>
      <c r="AA276" s="477" t="n">
        <v>11</v>
      </c>
      <c r="AB276" s="457" t="n">
        <v>54392</v>
      </c>
      <c r="AC276" s="141">
        <f>_xlfn.CONCAT(YEAR(AB276),".",TEXT(MONTH(AB276),"0#"))</f>
        <v/>
      </c>
      <c r="AD276">
        <f>WEEKDAY(AB276)</f>
        <v/>
      </c>
      <c r="AE276">
        <f>VLOOKUP(AD276,AG$2:AH$8,2,FALSE)</f>
        <v/>
      </c>
    </row>
    <row r="277">
      <c r="A277" t="inlineStr">
        <is>
          <t>.t276</t>
        </is>
      </c>
      <c r="B277" t="n">
        <v>276</v>
      </c>
      <c r="C277">
        <f>H277</f>
        <v/>
      </c>
      <c r="E277" s="456">
        <f>F276+2</f>
        <v/>
      </c>
      <c r="F277" s="456">
        <f>E277+5</f>
        <v/>
      </c>
      <c r="G277" s="141">
        <f>_xlfn.CONCAT(YEAR(E277),".",TEXT(MONTH(E277),"0#"))</f>
        <v/>
      </c>
      <c r="H277">
        <f>YEAR(E277)</f>
        <v/>
      </c>
      <c r="I277">
        <f>IF(VLOOKUP(G277,AC:AD,2,FALSE)&lt;4,1,0)</f>
        <v/>
      </c>
      <c r="J277">
        <f>IF(AND(DAY(F277)&lt; DAY(E277),I277=1),MONTH(E277)+1,MONTH(E277))</f>
        <v/>
      </c>
      <c r="K277" s="201">
        <f>_xlfn.CONCAT(H277,".",TEXT(J277,"0#"))</f>
        <v/>
      </c>
      <c r="AA277" s="477" t="n">
        <v>12</v>
      </c>
      <c r="AB277" s="457" t="n">
        <v>54423</v>
      </c>
      <c r="AC277" s="141">
        <f>_xlfn.CONCAT(YEAR(AB277),".",TEXT(MONTH(AB277),"0#"))</f>
        <v/>
      </c>
      <c r="AD277">
        <f>WEEKDAY(AB277)</f>
        <v/>
      </c>
      <c r="AE277">
        <f>VLOOKUP(AD277,AG$2:AH$8,2,FALSE)</f>
        <v/>
      </c>
    </row>
    <row r="278">
      <c r="A278" t="inlineStr">
        <is>
          <t>.t277</t>
        </is>
      </c>
      <c r="B278" t="n">
        <v>277</v>
      </c>
      <c r="C278">
        <f>H278</f>
        <v/>
      </c>
      <c r="E278" s="456">
        <f>F277+2</f>
        <v/>
      </c>
      <c r="F278" s="456">
        <f>E278+5</f>
        <v/>
      </c>
      <c r="G278" s="141">
        <f>_xlfn.CONCAT(YEAR(E278),".",TEXT(MONTH(E278),"0#"))</f>
        <v/>
      </c>
      <c r="H278">
        <f>YEAR(E278)</f>
        <v/>
      </c>
      <c r="I278">
        <f>IF(VLOOKUP(G278,AC:AD,2,FALSE)&lt;4,1,0)</f>
        <v/>
      </c>
      <c r="J278">
        <f>IF(AND(DAY(F278)&lt; DAY(E278),I278=1),MONTH(E278)+1,MONTH(E278))</f>
        <v/>
      </c>
      <c r="K278" s="201">
        <f>_xlfn.CONCAT(H278,".",TEXT(J278,"0#"))</f>
        <v/>
      </c>
      <c r="AA278" s="458" t="n">
        <v>1</v>
      </c>
      <c r="AB278" s="457" t="n">
        <v>54454</v>
      </c>
      <c r="AC278" s="141">
        <f>_xlfn.CONCAT(YEAR(AB278),".",TEXT(MONTH(AB278),"0#"))</f>
        <v/>
      </c>
      <c r="AD278">
        <f>WEEKDAY(AB278)</f>
        <v/>
      </c>
      <c r="AE278" s="478">
        <f>VLOOKUP(AD278,AG$2:AH$8,2,FALSE)</f>
        <v/>
      </c>
    </row>
    <row r="279">
      <c r="A279" t="inlineStr">
        <is>
          <t>.t278</t>
        </is>
      </c>
      <c r="B279" t="n">
        <v>278</v>
      </c>
      <c r="C279">
        <f>H279</f>
        <v/>
      </c>
      <c r="E279" s="456">
        <f>F278+2</f>
        <v/>
      </c>
      <c r="F279" s="456">
        <f>E279+5</f>
        <v/>
      </c>
      <c r="G279" s="141">
        <f>_xlfn.CONCAT(YEAR(E279),".",TEXT(MONTH(E279),"0#"))</f>
        <v/>
      </c>
      <c r="H279">
        <f>YEAR(E279)</f>
        <v/>
      </c>
      <c r="I279">
        <f>IF(VLOOKUP(G279,AC:AD,2,FALSE)&lt;4,1,0)</f>
        <v/>
      </c>
      <c r="J279">
        <f>IF(AND(DAY(F279)&lt; DAY(E279),I279=1),MONTH(E279)+1,MONTH(E279))</f>
        <v/>
      </c>
      <c r="K279" s="201">
        <f>_xlfn.CONCAT(H279,".",TEXT(J279,"0#"))</f>
        <v/>
      </c>
      <c r="AA279" s="458" t="n">
        <v>2</v>
      </c>
      <c r="AB279" s="457" t="n">
        <v>54482</v>
      </c>
      <c r="AC279" s="141">
        <f>_xlfn.CONCAT(YEAR(AB279),".",TEXT(MONTH(AB279),"0#"))</f>
        <v/>
      </c>
      <c r="AD279">
        <f>WEEKDAY(AB279)</f>
        <v/>
      </c>
      <c r="AE279" s="478">
        <f>VLOOKUP(AD279,AG$2:AH$8,2,FALSE)</f>
        <v/>
      </c>
    </row>
    <row r="280">
      <c r="A280" t="inlineStr">
        <is>
          <t>.t279</t>
        </is>
      </c>
      <c r="B280" t="n">
        <v>279</v>
      </c>
      <c r="C280">
        <f>H280</f>
        <v/>
      </c>
      <c r="E280" s="456">
        <f>F279+2</f>
        <v/>
      </c>
      <c r="F280" s="456">
        <f>E280+5</f>
        <v/>
      </c>
      <c r="G280" s="141">
        <f>_xlfn.CONCAT(YEAR(E280),".",TEXT(MONTH(E280),"0#"))</f>
        <v/>
      </c>
      <c r="H280">
        <f>YEAR(E280)</f>
        <v/>
      </c>
      <c r="I280">
        <f>IF(VLOOKUP(G280,AC:AD,2,FALSE)&lt;4,1,0)</f>
        <v/>
      </c>
      <c r="J280">
        <f>IF(AND(DAY(F280)&lt; DAY(E280),I280=1),MONTH(E280)+1,MONTH(E280))</f>
        <v/>
      </c>
      <c r="K280" s="201">
        <f>_xlfn.CONCAT(H280,".",TEXT(J280,"0#"))</f>
        <v/>
      </c>
      <c r="AA280" s="458" t="n">
        <v>3</v>
      </c>
      <c r="AB280" s="457" t="n">
        <v>54513</v>
      </c>
      <c r="AC280" s="141">
        <f>_xlfn.CONCAT(YEAR(AB280),".",TEXT(MONTH(AB280),"0#"))</f>
        <v/>
      </c>
      <c r="AD280">
        <f>WEEKDAY(AB280)</f>
        <v/>
      </c>
      <c r="AE280">
        <f>VLOOKUP(AD280,AG$2:AH$8,2,FALSE)</f>
        <v/>
      </c>
    </row>
    <row r="281">
      <c r="A281" t="inlineStr">
        <is>
          <t>.t280</t>
        </is>
      </c>
      <c r="B281" t="n">
        <v>280</v>
      </c>
      <c r="C281">
        <f>H281</f>
        <v/>
      </c>
      <c r="E281" s="456">
        <f>F280+2</f>
        <v/>
      </c>
      <c r="F281" s="456">
        <f>E281+5</f>
        <v/>
      </c>
      <c r="G281" s="141">
        <f>_xlfn.CONCAT(YEAR(E281),".",TEXT(MONTH(E281),"0#"))</f>
        <v/>
      </c>
      <c r="H281">
        <f>YEAR(E281)</f>
        <v/>
      </c>
      <c r="I281">
        <f>IF(VLOOKUP(G281,AC:AD,2,FALSE)&lt;4,1,0)</f>
        <v/>
      </c>
      <c r="J281">
        <f>IF(AND(DAY(F281)&lt; DAY(E281),I281=1),MONTH(E281)+1,MONTH(E281))</f>
        <v/>
      </c>
      <c r="K281" s="201">
        <f>_xlfn.CONCAT(H281,".",TEXT(J281,"0#"))</f>
        <v/>
      </c>
      <c r="AA281" s="458" t="n">
        <v>4</v>
      </c>
      <c r="AB281" s="457" t="n">
        <v>54543</v>
      </c>
      <c r="AC281" s="141">
        <f>_xlfn.CONCAT(YEAR(AB281),".",TEXT(MONTH(AB281),"0#"))</f>
        <v/>
      </c>
      <c r="AD281">
        <f>WEEKDAY(AB281)</f>
        <v/>
      </c>
      <c r="AE281">
        <f>VLOOKUP(AD281,AG$2:AH$8,2,FALSE)</f>
        <v/>
      </c>
    </row>
    <row r="282">
      <c r="A282" t="inlineStr">
        <is>
          <t>.t281</t>
        </is>
      </c>
      <c r="B282" t="n">
        <v>281</v>
      </c>
      <c r="C282">
        <f>H282</f>
        <v/>
      </c>
      <c r="E282" s="456">
        <f>F281+2</f>
        <v/>
      </c>
      <c r="F282" s="456">
        <f>E282+5</f>
        <v/>
      </c>
      <c r="G282" s="141">
        <f>_xlfn.CONCAT(YEAR(E282),".",TEXT(MONTH(E282),"0#"))</f>
        <v/>
      </c>
      <c r="H282">
        <f>YEAR(E282)</f>
        <v/>
      </c>
      <c r="I282">
        <f>IF(VLOOKUP(G282,AC:AD,2,FALSE)&lt;4,1,0)</f>
        <v/>
      </c>
      <c r="J282">
        <f>IF(AND(DAY(F282)&lt; DAY(E282),I282=1),MONTH(E282)+1,MONTH(E282))</f>
        <v/>
      </c>
      <c r="K282" s="201">
        <f>_xlfn.CONCAT(H282,".",TEXT(J282,"0#"))</f>
        <v/>
      </c>
      <c r="AA282" s="458" t="n">
        <v>5</v>
      </c>
      <c r="AB282" s="457" t="n">
        <v>54574</v>
      </c>
      <c r="AC282" s="141">
        <f>_xlfn.CONCAT(YEAR(AB282),".",TEXT(MONTH(AB282),"0#"))</f>
        <v/>
      </c>
      <c r="AD282">
        <f>WEEKDAY(AB282)</f>
        <v/>
      </c>
      <c r="AE282">
        <f>VLOOKUP(AD282,AG$2:AH$8,2,FALSE)</f>
        <v/>
      </c>
    </row>
    <row r="283">
      <c r="A283" t="inlineStr">
        <is>
          <t>.t282</t>
        </is>
      </c>
      <c r="B283" t="n">
        <v>282</v>
      </c>
      <c r="C283">
        <f>H283</f>
        <v/>
      </c>
      <c r="E283" s="456">
        <f>F282+2</f>
        <v/>
      </c>
      <c r="F283" s="456">
        <f>E283+5</f>
        <v/>
      </c>
      <c r="G283" s="141">
        <f>_xlfn.CONCAT(YEAR(E283),".",TEXT(MONTH(E283),"0#"))</f>
        <v/>
      </c>
      <c r="H283">
        <f>YEAR(E283)</f>
        <v/>
      </c>
      <c r="I283">
        <f>IF(VLOOKUP(G283,AC:AD,2,FALSE)&lt;4,1,0)</f>
        <v/>
      </c>
      <c r="J283">
        <f>IF(AND(DAY(F283)&lt; DAY(E283),I283=1),MONTH(E283)+1,MONTH(E283))</f>
        <v/>
      </c>
      <c r="K283" s="201">
        <f>_xlfn.CONCAT(H283,".",TEXT(J283,"0#"))</f>
        <v/>
      </c>
      <c r="AA283" s="458" t="n">
        <v>6</v>
      </c>
      <c r="AB283" s="457" t="n">
        <v>54604</v>
      </c>
      <c r="AC283" s="141">
        <f>_xlfn.CONCAT(YEAR(AB283),".",TEXT(MONTH(AB283),"0#"))</f>
        <v/>
      </c>
      <c r="AD283">
        <f>WEEKDAY(AB283)</f>
        <v/>
      </c>
      <c r="AE283">
        <f>VLOOKUP(AD283,AG$2:AH$8,2,FALSE)</f>
        <v/>
      </c>
    </row>
    <row r="284">
      <c r="A284" t="inlineStr">
        <is>
          <t>.t283</t>
        </is>
      </c>
      <c r="B284" t="n">
        <v>283</v>
      </c>
      <c r="C284">
        <f>H284</f>
        <v/>
      </c>
      <c r="E284" s="456">
        <f>F283+2</f>
        <v/>
      </c>
      <c r="F284" s="456">
        <f>E284+5</f>
        <v/>
      </c>
      <c r="G284" s="141">
        <f>_xlfn.CONCAT(YEAR(E284),".",TEXT(MONTH(E284),"0#"))</f>
        <v/>
      </c>
      <c r="H284">
        <f>YEAR(E284)</f>
        <v/>
      </c>
      <c r="I284">
        <f>IF(VLOOKUP(G284,AC:AD,2,FALSE)&lt;4,1,0)</f>
        <v/>
      </c>
      <c r="J284">
        <f>IF(AND(DAY(F284)&lt; DAY(E284),I284=1),MONTH(E284)+1,MONTH(E284))</f>
        <v/>
      </c>
      <c r="K284" s="201">
        <f>_xlfn.CONCAT(H284,".",TEXT(J284,"0#"))</f>
        <v/>
      </c>
      <c r="AA284" s="458" t="n">
        <v>7</v>
      </c>
      <c r="AB284" s="457" t="n">
        <v>54635</v>
      </c>
      <c r="AC284" s="141">
        <f>_xlfn.CONCAT(YEAR(AB284),".",TEXT(MONTH(AB284),"0#"))</f>
        <v/>
      </c>
      <c r="AD284">
        <f>WEEKDAY(AB284)</f>
        <v/>
      </c>
      <c r="AE284" s="478">
        <f>VLOOKUP(AD284,AG$2:AH$8,2,FALSE)</f>
        <v/>
      </c>
    </row>
    <row r="285">
      <c r="A285" t="inlineStr">
        <is>
          <t>.t284</t>
        </is>
      </c>
      <c r="B285" t="n">
        <v>284</v>
      </c>
      <c r="C285">
        <f>H285</f>
        <v/>
      </c>
      <c r="E285" s="456">
        <f>F284+2</f>
        <v/>
      </c>
      <c r="F285" s="456">
        <f>E285+5</f>
        <v/>
      </c>
      <c r="G285" s="141">
        <f>_xlfn.CONCAT(YEAR(E285),".",TEXT(MONTH(E285),"0#"))</f>
        <v/>
      </c>
      <c r="H285">
        <f>YEAR(E285)</f>
        <v/>
      </c>
      <c r="I285">
        <f>IF(VLOOKUP(G285,AC:AD,2,FALSE)&lt;4,1,0)</f>
        <v/>
      </c>
      <c r="J285">
        <f>IF(AND(DAY(F285)&lt; DAY(E285),I285=1),MONTH(E285)+1,MONTH(E285))</f>
        <v/>
      </c>
      <c r="K285" s="201">
        <f>_xlfn.CONCAT(H285,".",TEXT(J285,"0#"))</f>
        <v/>
      </c>
      <c r="AA285" s="458" t="n">
        <v>8</v>
      </c>
      <c r="AB285" s="457" t="n">
        <v>54666</v>
      </c>
      <c r="AC285" s="141">
        <f>_xlfn.CONCAT(YEAR(AB285),".",TEXT(MONTH(AB285),"0#"))</f>
        <v/>
      </c>
      <c r="AD285">
        <f>WEEKDAY(AB285)</f>
        <v/>
      </c>
      <c r="AE285">
        <f>VLOOKUP(AD285,AG$2:AH$8,2,FALSE)</f>
        <v/>
      </c>
    </row>
    <row r="286">
      <c r="A286" t="inlineStr">
        <is>
          <t>.t285</t>
        </is>
      </c>
      <c r="B286" t="n">
        <v>285</v>
      </c>
      <c r="C286">
        <f>H286</f>
        <v/>
      </c>
      <c r="E286" s="456">
        <f>F285+2</f>
        <v/>
      </c>
      <c r="F286" s="456">
        <f>E286+5</f>
        <v/>
      </c>
      <c r="G286" s="141">
        <f>_xlfn.CONCAT(YEAR(E286),".",TEXT(MONTH(E286),"0#"))</f>
        <v/>
      </c>
      <c r="H286">
        <f>YEAR(E286)</f>
        <v/>
      </c>
      <c r="I286">
        <f>IF(VLOOKUP(G286,AC:AD,2,FALSE)&lt;4,1,0)</f>
        <v/>
      </c>
      <c r="J286">
        <f>IF(AND(DAY(F286)&lt; DAY(E286),I286=1),MONTH(E286)+1,MONTH(E286))</f>
        <v/>
      </c>
      <c r="K286" s="201">
        <f>_xlfn.CONCAT(H286,".",TEXT(J286,"0#"))</f>
        <v/>
      </c>
      <c r="AA286" s="458" t="n">
        <v>9</v>
      </c>
      <c r="AB286" s="457" t="n">
        <v>54696</v>
      </c>
      <c r="AC286" s="141">
        <f>_xlfn.CONCAT(YEAR(AB286),".",TEXT(MONTH(AB286),"0#"))</f>
        <v/>
      </c>
      <c r="AD286">
        <f>WEEKDAY(AB286)</f>
        <v/>
      </c>
      <c r="AE286">
        <f>VLOOKUP(AD286,AG$2:AH$8,2,FALSE)</f>
        <v/>
      </c>
    </row>
    <row r="287">
      <c r="A287" t="inlineStr">
        <is>
          <t>.t286</t>
        </is>
      </c>
      <c r="B287" t="n">
        <v>286</v>
      </c>
      <c r="C287">
        <f>H287</f>
        <v/>
      </c>
      <c r="E287" s="456">
        <f>F286+2</f>
        <v/>
      </c>
      <c r="F287" s="456">
        <f>E287+5</f>
        <v/>
      </c>
      <c r="G287" s="141">
        <f>_xlfn.CONCAT(YEAR(E287),".",TEXT(MONTH(E287),"0#"))</f>
        <v/>
      </c>
      <c r="H287">
        <f>YEAR(E287)</f>
        <v/>
      </c>
      <c r="I287">
        <f>IF(VLOOKUP(G287,AC:AD,2,FALSE)&lt;4,1,0)</f>
        <v/>
      </c>
      <c r="J287">
        <f>IF(AND(DAY(F287)&lt; DAY(E287),I287=1),MONTH(E287)+1,MONTH(E287))</f>
        <v/>
      </c>
      <c r="K287" s="201">
        <f>_xlfn.CONCAT(H287,".",TEXT(J287,"0#"))</f>
        <v/>
      </c>
      <c r="AA287" s="458" t="n">
        <v>10</v>
      </c>
      <c r="AB287" s="457" t="n">
        <v>54727</v>
      </c>
      <c r="AC287" s="141">
        <f>_xlfn.CONCAT(YEAR(AB287),".",TEXT(MONTH(AB287),"0#"))</f>
        <v/>
      </c>
      <c r="AD287">
        <f>WEEKDAY(AB287)</f>
        <v/>
      </c>
      <c r="AE287" s="478">
        <f>VLOOKUP(AD287,AG$2:AH$8,2,FALSE)</f>
        <v/>
      </c>
    </row>
    <row r="288">
      <c r="A288" t="inlineStr">
        <is>
          <t>.t287</t>
        </is>
      </c>
      <c r="B288" t="n">
        <v>287</v>
      </c>
      <c r="C288">
        <f>H288</f>
        <v/>
      </c>
      <c r="E288" s="456">
        <f>F287+2</f>
        <v/>
      </c>
      <c r="F288" s="456">
        <f>E288+5</f>
        <v/>
      </c>
      <c r="G288" s="141">
        <f>_xlfn.CONCAT(YEAR(E288),".",TEXT(MONTH(E288),"0#"))</f>
        <v/>
      </c>
      <c r="H288">
        <f>YEAR(E288)</f>
        <v/>
      </c>
      <c r="I288">
        <f>IF(VLOOKUP(G288,AC:AD,2,FALSE)&lt;4,1,0)</f>
        <v/>
      </c>
      <c r="J288">
        <f>IF(AND(DAY(F288)&lt; DAY(E288),I288=1),MONTH(E288)+1,MONTH(E288))</f>
        <v/>
      </c>
      <c r="K288" s="201">
        <f>_xlfn.CONCAT(H288,".",TEXT(J288,"0#"))</f>
        <v/>
      </c>
      <c r="AA288" s="458" t="n">
        <v>11</v>
      </c>
      <c r="AB288" s="457" t="n">
        <v>54757</v>
      </c>
      <c r="AC288" s="141">
        <f>_xlfn.CONCAT(YEAR(AB288),".",TEXT(MONTH(AB288),"0#"))</f>
        <v/>
      </c>
      <c r="AD288">
        <f>WEEKDAY(AB288)</f>
        <v/>
      </c>
      <c r="AE288">
        <f>VLOOKUP(AD288,AG$2:AH$8,2,FALSE)</f>
        <v/>
      </c>
    </row>
    <row r="289">
      <c r="A289" t="inlineStr">
        <is>
          <t>.t288</t>
        </is>
      </c>
      <c r="B289" t="n">
        <v>288</v>
      </c>
      <c r="C289">
        <f>H289</f>
        <v/>
      </c>
      <c r="E289" s="456">
        <f>F288+2</f>
        <v/>
      </c>
      <c r="F289" s="456">
        <f>E289+5</f>
        <v/>
      </c>
      <c r="G289" s="141">
        <f>_xlfn.CONCAT(YEAR(E289),".",TEXT(MONTH(E289),"0#"))</f>
        <v/>
      </c>
      <c r="H289">
        <f>YEAR(E289)</f>
        <v/>
      </c>
      <c r="I289">
        <f>IF(VLOOKUP(G289,AC:AD,2,FALSE)&lt;4,1,0)</f>
        <v/>
      </c>
      <c r="J289">
        <f>IF(AND(DAY(F289)&lt; DAY(E289),I289=1),MONTH(E289)+1,MONTH(E289))</f>
        <v/>
      </c>
      <c r="K289" s="201">
        <f>_xlfn.CONCAT(H289,".",TEXT(J289,"0#"))</f>
        <v/>
      </c>
      <c r="AA289" s="458" t="n">
        <v>12</v>
      </c>
      <c r="AB289" s="457" t="n">
        <v>54788</v>
      </c>
      <c r="AC289" s="141">
        <f>_xlfn.CONCAT(YEAR(AB289),".",TEXT(MONTH(AB289),"0#"))</f>
        <v/>
      </c>
      <c r="AD289">
        <f>WEEKDAY(AB289)</f>
        <v/>
      </c>
      <c r="AE289">
        <f>VLOOKUP(AD289,AG$2:AH$8,2,FALSE)</f>
        <v/>
      </c>
    </row>
    <row r="290">
      <c r="A290" t="inlineStr">
        <is>
          <t>.t289</t>
        </is>
      </c>
      <c r="B290" t="n">
        <v>289</v>
      </c>
      <c r="C290">
        <f>H290</f>
        <v/>
      </c>
      <c r="E290" s="456">
        <f>F289+2</f>
        <v/>
      </c>
      <c r="F290" s="456">
        <f>E290+5</f>
        <v/>
      </c>
      <c r="G290" s="141">
        <f>_xlfn.CONCAT(YEAR(E290),".",TEXT(MONTH(E290),"0#"))</f>
        <v/>
      </c>
      <c r="H290">
        <f>YEAR(E290)</f>
        <v/>
      </c>
      <c r="I290">
        <f>IF(VLOOKUP(G290,AC:AD,2,FALSE)&lt;4,1,0)</f>
        <v/>
      </c>
      <c r="J290">
        <f>IF(AND(DAY(F290)&lt; DAY(E290),I290=1),MONTH(E290)+1,MONTH(E290))</f>
        <v/>
      </c>
      <c r="K290" s="201">
        <f>_xlfn.CONCAT(H290,".",TEXT(J290,"0#"))</f>
        <v/>
      </c>
      <c r="AA290" s="477" t="n">
        <v>1</v>
      </c>
      <c r="AB290" s="457" t="n">
        <v>54819</v>
      </c>
      <c r="AC290" s="141">
        <f>_xlfn.CONCAT(YEAR(AB290),".",TEXT(MONTH(AB290),"0#"))</f>
        <v/>
      </c>
      <c r="AD290">
        <f>WEEKDAY(AB290)</f>
        <v/>
      </c>
      <c r="AE290">
        <f>VLOOKUP(AD290,AG$2:AH$8,2,FALSE)</f>
        <v/>
      </c>
    </row>
    <row r="291">
      <c r="A291" t="inlineStr">
        <is>
          <t>.t290</t>
        </is>
      </c>
      <c r="B291" t="n">
        <v>290</v>
      </c>
      <c r="C291">
        <f>H291</f>
        <v/>
      </c>
      <c r="E291" s="456">
        <f>F290+2</f>
        <v/>
      </c>
      <c r="F291" s="456">
        <f>E291+5</f>
        <v/>
      </c>
      <c r="G291" s="141">
        <f>_xlfn.CONCAT(YEAR(E291),".",TEXT(MONTH(E291),"0#"))</f>
        <v/>
      </c>
      <c r="H291">
        <f>YEAR(E291)</f>
        <v/>
      </c>
      <c r="I291">
        <f>IF(VLOOKUP(G291,AC:AD,2,FALSE)&lt;4,1,0)</f>
        <v/>
      </c>
      <c r="J291">
        <f>IF(AND(DAY(F291)&lt; DAY(E291),I291=1),MONTH(E291)+1,MONTH(E291))</f>
        <v/>
      </c>
      <c r="K291" s="201">
        <f>_xlfn.CONCAT(H291,".",TEXT(J291,"0#"))</f>
        <v/>
      </c>
      <c r="AA291" s="477" t="n">
        <v>2</v>
      </c>
      <c r="AB291" s="457" t="n">
        <v>54847</v>
      </c>
      <c r="AC291" s="141">
        <f>_xlfn.CONCAT(YEAR(AB291),".",TEXT(MONTH(AB291),"0#"))</f>
        <v/>
      </c>
      <c r="AD291">
        <f>WEEKDAY(AB291)</f>
        <v/>
      </c>
      <c r="AE291">
        <f>VLOOKUP(AD291,AG$2:AH$8,2,FALSE)</f>
        <v/>
      </c>
    </row>
    <row r="292">
      <c r="A292" t="inlineStr">
        <is>
          <t>.t291</t>
        </is>
      </c>
      <c r="B292" t="n">
        <v>291</v>
      </c>
      <c r="C292">
        <f>H292</f>
        <v/>
      </c>
      <c r="E292" s="456">
        <f>F291+2</f>
        <v/>
      </c>
      <c r="F292" s="456">
        <f>E292+5</f>
        <v/>
      </c>
      <c r="G292" s="141">
        <f>_xlfn.CONCAT(YEAR(E292),".",TEXT(MONTH(E292),"0#"))</f>
        <v/>
      </c>
      <c r="H292">
        <f>YEAR(E292)</f>
        <v/>
      </c>
      <c r="I292">
        <f>IF(VLOOKUP(G292,AC:AD,2,FALSE)&lt;4,1,0)</f>
        <v/>
      </c>
      <c r="J292">
        <f>IF(AND(DAY(F292)&lt; DAY(E292),I292=1),MONTH(E292)+1,MONTH(E292))</f>
        <v/>
      </c>
      <c r="K292" s="201">
        <f>_xlfn.CONCAT(H292,".",TEXT(J292,"0#"))</f>
        <v/>
      </c>
      <c r="AA292" s="477" t="n">
        <v>3</v>
      </c>
      <c r="AB292" s="457" t="n">
        <v>54878</v>
      </c>
      <c r="AC292" s="141">
        <f>_xlfn.CONCAT(YEAR(AB292),".",TEXT(MONTH(AB292),"0#"))</f>
        <v/>
      </c>
      <c r="AD292">
        <f>WEEKDAY(AB292)</f>
        <v/>
      </c>
      <c r="AE292">
        <f>VLOOKUP(AD292,AG$2:AH$8,2,FALSE)</f>
        <v/>
      </c>
    </row>
    <row r="293">
      <c r="A293" t="inlineStr">
        <is>
          <t>.t292</t>
        </is>
      </c>
      <c r="B293" t="n">
        <v>292</v>
      </c>
      <c r="C293">
        <f>H293</f>
        <v/>
      </c>
      <c r="E293" s="456">
        <f>F292+2</f>
        <v/>
      </c>
      <c r="F293" s="456">
        <f>E293+5</f>
        <v/>
      </c>
      <c r="G293" s="141">
        <f>_xlfn.CONCAT(YEAR(E293),".",TEXT(MONTH(E293),"0#"))</f>
        <v/>
      </c>
      <c r="H293">
        <f>YEAR(E293)</f>
        <v/>
      </c>
      <c r="I293">
        <f>IF(VLOOKUP(G293,AC:AD,2,FALSE)&lt;4,1,0)</f>
        <v/>
      </c>
      <c r="J293">
        <f>IF(AND(DAY(F293)&lt; DAY(E293),I293=1),MONTH(E293)+1,MONTH(E293))</f>
        <v/>
      </c>
      <c r="K293" s="201">
        <f>_xlfn.CONCAT(H293,".",TEXT(J293,"0#"))</f>
        <v/>
      </c>
      <c r="AA293" s="477" t="n">
        <v>4</v>
      </c>
      <c r="AB293" s="457" t="n">
        <v>54908</v>
      </c>
      <c r="AC293" s="141">
        <f>_xlfn.CONCAT(YEAR(AB293),".",TEXT(MONTH(AB293),"0#"))</f>
        <v/>
      </c>
      <c r="AD293">
        <f>WEEKDAY(AB293)</f>
        <v/>
      </c>
      <c r="AE293" s="478">
        <f>VLOOKUP(AD293,AG$2:AH$8,2,FALSE)</f>
        <v/>
      </c>
    </row>
    <row r="294">
      <c r="A294" t="inlineStr">
        <is>
          <t>.t293</t>
        </is>
      </c>
      <c r="B294" t="n">
        <v>293</v>
      </c>
      <c r="C294">
        <f>H294</f>
        <v/>
      </c>
      <c r="E294" s="456">
        <f>F293+2</f>
        <v/>
      </c>
      <c r="F294" s="456">
        <f>E294+5</f>
        <v/>
      </c>
      <c r="G294" s="141">
        <f>_xlfn.CONCAT(YEAR(E294),".",TEXT(MONTH(E294),"0#"))</f>
        <v/>
      </c>
      <c r="H294">
        <f>YEAR(E294)</f>
        <v/>
      </c>
      <c r="I294">
        <f>IF(VLOOKUP(G294,AC:AD,2,FALSE)&lt;4,1,0)</f>
        <v/>
      </c>
      <c r="J294">
        <f>IF(AND(DAY(F294)&lt; DAY(E294),I294=1),MONTH(E294)+1,MONTH(E294))</f>
        <v/>
      </c>
      <c r="K294" s="201">
        <f>_xlfn.CONCAT(H294,".",TEXT(J294,"0#"))</f>
        <v/>
      </c>
      <c r="AA294" s="477" t="n">
        <v>5</v>
      </c>
      <c r="AB294" s="457" t="n">
        <v>54939</v>
      </c>
      <c r="AC294" s="141">
        <f>_xlfn.CONCAT(YEAR(AB294),".",TEXT(MONTH(AB294),"0#"))</f>
        <v/>
      </c>
      <c r="AD294">
        <f>WEEKDAY(AB294)</f>
        <v/>
      </c>
      <c r="AE294">
        <f>VLOOKUP(AD294,AG$2:AH$8,2,FALSE)</f>
        <v/>
      </c>
    </row>
    <row r="295">
      <c r="A295" t="inlineStr">
        <is>
          <t>.t294</t>
        </is>
      </c>
      <c r="B295" t="n">
        <v>294</v>
      </c>
      <c r="C295">
        <f>H295</f>
        <v/>
      </c>
      <c r="E295" s="456">
        <f>F294+2</f>
        <v/>
      </c>
      <c r="F295" s="456">
        <f>E295+5</f>
        <v/>
      </c>
      <c r="G295" s="141">
        <f>_xlfn.CONCAT(YEAR(E295),".",TEXT(MONTH(E295),"0#"))</f>
        <v/>
      </c>
      <c r="H295">
        <f>YEAR(E295)</f>
        <v/>
      </c>
      <c r="I295">
        <f>IF(VLOOKUP(G295,AC:AD,2,FALSE)&lt;4,1,0)</f>
        <v/>
      </c>
      <c r="J295">
        <f>IF(AND(DAY(F295)&lt; DAY(E295),I295=1),MONTH(E295)+1,MONTH(E295))</f>
        <v/>
      </c>
      <c r="K295" s="201">
        <f>_xlfn.CONCAT(H295,".",TEXT(J295,"0#"))</f>
        <v/>
      </c>
      <c r="AA295" s="477" t="n">
        <v>6</v>
      </c>
      <c r="AB295" s="457" t="n">
        <v>54969</v>
      </c>
      <c r="AC295" s="141">
        <f>_xlfn.CONCAT(YEAR(AB295),".",TEXT(MONTH(AB295),"0#"))</f>
        <v/>
      </c>
      <c r="AD295">
        <f>WEEKDAY(AB295)</f>
        <v/>
      </c>
      <c r="AE295">
        <f>VLOOKUP(AD295,AG$2:AH$8,2,FALSE)</f>
        <v/>
      </c>
    </row>
    <row r="296">
      <c r="A296" t="inlineStr">
        <is>
          <t>.t295</t>
        </is>
      </c>
      <c r="B296" t="n">
        <v>295</v>
      </c>
      <c r="C296">
        <f>H296</f>
        <v/>
      </c>
      <c r="E296" s="456">
        <f>F295+2</f>
        <v/>
      </c>
      <c r="F296" s="456">
        <f>E296+5</f>
        <v/>
      </c>
      <c r="G296" s="141">
        <f>_xlfn.CONCAT(YEAR(E296),".",TEXT(MONTH(E296),"0#"))</f>
        <v/>
      </c>
      <c r="H296">
        <f>YEAR(E296)</f>
        <v/>
      </c>
      <c r="I296">
        <f>IF(VLOOKUP(G296,AC:AD,2,FALSE)&lt;4,1,0)</f>
        <v/>
      </c>
      <c r="J296">
        <f>IF(AND(DAY(F296)&lt; DAY(E296),I296=1),MONTH(E296)+1,MONTH(E296))</f>
        <v/>
      </c>
      <c r="K296" s="201">
        <f>_xlfn.CONCAT(H296,".",TEXT(J296,"0#"))</f>
        <v/>
      </c>
      <c r="AA296" s="477" t="n">
        <v>7</v>
      </c>
      <c r="AB296" s="457" t="n">
        <v>55000</v>
      </c>
      <c r="AC296" s="141">
        <f>_xlfn.CONCAT(YEAR(AB296),".",TEXT(MONTH(AB296),"0#"))</f>
        <v/>
      </c>
      <c r="AD296">
        <f>WEEKDAY(AB296)</f>
        <v/>
      </c>
      <c r="AE296" s="478">
        <f>VLOOKUP(AD296,AG$2:AH$8,2,FALSE)</f>
        <v/>
      </c>
    </row>
    <row r="297">
      <c r="A297" t="inlineStr">
        <is>
          <t>.t296</t>
        </is>
      </c>
      <c r="B297" t="n">
        <v>296</v>
      </c>
      <c r="C297">
        <f>H297</f>
        <v/>
      </c>
      <c r="E297" s="456">
        <f>F296+2</f>
        <v/>
      </c>
      <c r="F297" s="456">
        <f>E297+5</f>
        <v/>
      </c>
      <c r="G297" s="141">
        <f>_xlfn.CONCAT(YEAR(E297),".",TEXT(MONTH(E297),"0#"))</f>
        <v/>
      </c>
      <c r="H297">
        <f>YEAR(E297)</f>
        <v/>
      </c>
      <c r="I297">
        <f>IF(VLOOKUP(G297,AC:AD,2,FALSE)&lt;4,1,0)</f>
        <v/>
      </c>
      <c r="J297">
        <f>IF(AND(DAY(F297)&lt; DAY(E297),I297=1),MONTH(E297)+1,MONTH(E297))</f>
        <v/>
      </c>
      <c r="K297" s="201">
        <f>_xlfn.CONCAT(H297,".",TEXT(J297,"0#"))</f>
        <v/>
      </c>
      <c r="AA297" s="477" t="n">
        <v>8</v>
      </c>
      <c r="AB297" s="457" t="n">
        <v>55031</v>
      </c>
      <c r="AC297" s="141">
        <f>_xlfn.CONCAT(YEAR(AB297),".",TEXT(MONTH(AB297),"0#"))</f>
        <v/>
      </c>
      <c r="AD297">
        <f>WEEKDAY(AB297)</f>
        <v/>
      </c>
      <c r="AE297">
        <f>VLOOKUP(AD297,AG$2:AH$8,2,FALSE)</f>
        <v/>
      </c>
    </row>
    <row r="298">
      <c r="A298" t="inlineStr">
        <is>
          <t>.t297</t>
        </is>
      </c>
      <c r="B298" t="n">
        <v>297</v>
      </c>
      <c r="C298">
        <f>H298</f>
        <v/>
      </c>
      <c r="E298" s="456">
        <f>F297+2</f>
        <v/>
      </c>
      <c r="F298" s="456">
        <f>E298+5</f>
        <v/>
      </c>
      <c r="G298" s="141">
        <f>_xlfn.CONCAT(YEAR(E298),".",TEXT(MONTH(E298),"0#"))</f>
        <v/>
      </c>
      <c r="H298">
        <f>YEAR(E298)</f>
        <v/>
      </c>
      <c r="I298">
        <f>IF(VLOOKUP(G298,AC:AD,2,FALSE)&lt;4,1,0)</f>
        <v/>
      </c>
      <c r="J298">
        <f>IF(AND(DAY(F298)&lt; DAY(E298),I298=1),MONTH(E298)+1,MONTH(E298))</f>
        <v/>
      </c>
      <c r="K298" s="201">
        <f>_xlfn.CONCAT(H298,".",TEXT(J298,"0#"))</f>
        <v/>
      </c>
      <c r="AA298" s="477" t="n">
        <v>9</v>
      </c>
      <c r="AB298" s="457" t="n">
        <v>55061</v>
      </c>
      <c r="AC298" s="141">
        <f>_xlfn.CONCAT(YEAR(AB298),".",TEXT(MONTH(AB298),"0#"))</f>
        <v/>
      </c>
      <c r="AD298">
        <f>WEEKDAY(AB298)</f>
        <v/>
      </c>
      <c r="AE298">
        <f>VLOOKUP(AD298,AG$2:AH$8,2,FALSE)</f>
        <v/>
      </c>
    </row>
    <row r="299">
      <c r="A299" t="inlineStr">
        <is>
          <t>.t298</t>
        </is>
      </c>
      <c r="B299" t="n">
        <v>298</v>
      </c>
      <c r="C299">
        <f>H299</f>
        <v/>
      </c>
      <c r="E299" s="456">
        <f>F298+2</f>
        <v/>
      </c>
      <c r="F299" s="456">
        <f>E299+5</f>
        <v/>
      </c>
      <c r="G299" s="141">
        <f>_xlfn.CONCAT(YEAR(E299),".",TEXT(MONTH(E299),"0#"))</f>
        <v/>
      </c>
      <c r="H299">
        <f>YEAR(E299)</f>
        <v/>
      </c>
      <c r="I299">
        <f>IF(VLOOKUP(G299,AC:AD,2,FALSE)&lt;4,1,0)</f>
        <v/>
      </c>
      <c r="J299">
        <f>IF(AND(DAY(F299)&lt; DAY(E299),I299=1),MONTH(E299)+1,MONTH(E299))</f>
        <v/>
      </c>
      <c r="K299" s="201">
        <f>_xlfn.CONCAT(H299,".",TEXT(J299,"0#"))</f>
        <v/>
      </c>
      <c r="AA299" s="477" t="n">
        <v>10</v>
      </c>
      <c r="AB299" s="457" t="n">
        <v>55092</v>
      </c>
      <c r="AC299" s="141">
        <f>_xlfn.CONCAT(YEAR(AB299),".",TEXT(MONTH(AB299),"0#"))</f>
        <v/>
      </c>
      <c r="AD299">
        <f>WEEKDAY(AB299)</f>
        <v/>
      </c>
      <c r="AE299">
        <f>VLOOKUP(AD299,AG$2:AH$8,2,FALSE)</f>
        <v/>
      </c>
    </row>
    <row r="300">
      <c r="A300" t="inlineStr">
        <is>
          <t>.t299</t>
        </is>
      </c>
      <c r="B300" t="n">
        <v>299</v>
      </c>
      <c r="C300">
        <f>H300</f>
        <v/>
      </c>
      <c r="E300" s="456">
        <f>F299+2</f>
        <v/>
      </c>
      <c r="F300" s="456">
        <f>E300+5</f>
        <v/>
      </c>
      <c r="G300" s="141">
        <f>_xlfn.CONCAT(YEAR(E300),".",TEXT(MONTH(E300),"0#"))</f>
        <v/>
      </c>
      <c r="H300">
        <f>YEAR(E300)</f>
        <v/>
      </c>
      <c r="I300">
        <f>IF(VLOOKUP(G300,AC:AD,2,FALSE)&lt;4,1,0)</f>
        <v/>
      </c>
      <c r="J300">
        <f>IF(AND(DAY(F300)&lt; DAY(E300),I300=1),MONTH(E300)+1,MONTH(E300))</f>
        <v/>
      </c>
      <c r="K300" s="201">
        <f>_xlfn.CONCAT(H300,".",TEXT(J300,"0#"))</f>
        <v/>
      </c>
      <c r="AA300" s="477" t="n">
        <v>11</v>
      </c>
      <c r="AB300" s="457" t="n">
        <v>55122</v>
      </c>
      <c r="AC300" s="141">
        <f>_xlfn.CONCAT(YEAR(AB300),".",TEXT(MONTH(AB300),"0#"))</f>
        <v/>
      </c>
      <c r="AD300">
        <f>WEEKDAY(AB300)</f>
        <v/>
      </c>
      <c r="AE300">
        <f>VLOOKUP(AD300,AG$2:AH$8,2,FALSE)</f>
        <v/>
      </c>
    </row>
    <row r="301">
      <c r="A301" t="inlineStr">
        <is>
          <t>.t300</t>
        </is>
      </c>
      <c r="B301" t="n">
        <v>300</v>
      </c>
      <c r="C301">
        <f>H301</f>
        <v/>
      </c>
      <c r="E301" s="456">
        <f>F300+2</f>
        <v/>
      </c>
      <c r="F301" s="456">
        <f>E301+5</f>
        <v/>
      </c>
      <c r="G301" s="141">
        <f>_xlfn.CONCAT(YEAR(E301),".",TEXT(MONTH(E301),"0#"))</f>
        <v/>
      </c>
      <c r="H301">
        <f>YEAR(E301)</f>
        <v/>
      </c>
      <c r="I301">
        <f>IF(VLOOKUP(G301,AC:AD,2,FALSE)&lt;4,1,0)</f>
        <v/>
      </c>
      <c r="J301">
        <f>IF(AND(DAY(F301)&lt; DAY(E301),I301=1),MONTH(E301)+1,MONTH(E301))</f>
        <v/>
      </c>
      <c r="K301" s="201">
        <f>_xlfn.CONCAT(H301,".",TEXT(J301,"0#"))</f>
        <v/>
      </c>
      <c r="AA301" s="477" t="n">
        <v>12</v>
      </c>
      <c r="AB301" s="457" t="n">
        <v>55153</v>
      </c>
      <c r="AC301" s="141">
        <f>_xlfn.CONCAT(YEAR(AB301),".",TEXT(MONTH(AB301),"0#"))</f>
        <v/>
      </c>
      <c r="AD301">
        <f>WEEKDAY(AB301)</f>
        <v/>
      </c>
      <c r="AE301" s="478">
        <f>VLOOKUP(AD301,AG$2:AH$8,2,FALSE)</f>
        <v/>
      </c>
    </row>
    <row r="302">
      <c r="A302" t="inlineStr">
        <is>
          <t>.t301</t>
        </is>
      </c>
      <c r="B302" t="n">
        <v>301</v>
      </c>
      <c r="C302">
        <f>H302</f>
        <v/>
      </c>
      <c r="E302" s="456">
        <f>F301+2</f>
        <v/>
      </c>
      <c r="F302" s="456">
        <f>E302+5</f>
        <v/>
      </c>
      <c r="G302" s="141">
        <f>_xlfn.CONCAT(YEAR(E302),".",TEXT(MONTH(E302),"0#"))</f>
        <v/>
      </c>
      <c r="H302">
        <f>YEAR(E302)</f>
        <v/>
      </c>
      <c r="I302">
        <f>IF(VLOOKUP(G302,AC:AD,2,FALSE)&lt;4,1,0)</f>
        <v/>
      </c>
      <c r="J302">
        <f>IF(AND(DAY(F302)&lt; DAY(E302),I302=1),MONTH(E302)+1,MONTH(E302))</f>
        <v/>
      </c>
      <c r="K302" s="201">
        <f>_xlfn.CONCAT(H302,".",TEXT(J302,"0#"))</f>
        <v/>
      </c>
    </row>
    <row r="303">
      <c r="A303" t="inlineStr">
        <is>
          <t>.t302</t>
        </is>
      </c>
      <c r="B303" t="n">
        <v>302</v>
      </c>
      <c r="C303">
        <f>H303</f>
        <v/>
      </c>
      <c r="E303" s="456">
        <f>F302+2</f>
        <v/>
      </c>
      <c r="F303" s="456">
        <f>E303+5</f>
        <v/>
      </c>
      <c r="G303" s="141">
        <f>_xlfn.CONCAT(YEAR(E303),".",TEXT(MONTH(E303),"0#"))</f>
        <v/>
      </c>
      <c r="H303">
        <f>YEAR(E303)</f>
        <v/>
      </c>
      <c r="I303">
        <f>IF(VLOOKUP(G303,AC:AD,2,FALSE)&lt;4,1,0)</f>
        <v/>
      </c>
      <c r="J303">
        <f>IF(AND(DAY(F303)&lt; DAY(E303),I303=1),MONTH(E303)+1,MONTH(E303))</f>
        <v/>
      </c>
      <c r="K303" s="201">
        <f>_xlfn.CONCAT(H303,".",TEXT(J303,"0#"))</f>
        <v/>
      </c>
    </row>
    <row r="304">
      <c r="A304" t="inlineStr">
        <is>
          <t>.t303</t>
        </is>
      </c>
      <c r="B304" t="n">
        <v>303</v>
      </c>
      <c r="C304">
        <f>H304</f>
        <v/>
      </c>
      <c r="E304" s="456">
        <f>F303+2</f>
        <v/>
      </c>
      <c r="F304" s="456">
        <f>E304+5</f>
        <v/>
      </c>
      <c r="G304" s="141">
        <f>_xlfn.CONCAT(YEAR(E304),".",TEXT(MONTH(E304),"0#"))</f>
        <v/>
      </c>
      <c r="H304">
        <f>YEAR(E304)</f>
        <v/>
      </c>
      <c r="I304">
        <f>IF(VLOOKUP(G304,AC:AD,2,FALSE)&lt;4,1,0)</f>
        <v/>
      </c>
      <c r="J304">
        <f>IF(AND(DAY(F304)&lt; DAY(E304),I304=1),MONTH(E304)+1,MONTH(E304))</f>
        <v/>
      </c>
      <c r="K304" s="201">
        <f>_xlfn.CONCAT(H304,".",TEXT(J304,"0#"))</f>
        <v/>
      </c>
    </row>
    <row r="305">
      <c r="A305" t="inlineStr">
        <is>
          <t>.t304</t>
        </is>
      </c>
      <c r="B305" t="n">
        <v>304</v>
      </c>
      <c r="C305">
        <f>H305</f>
        <v/>
      </c>
      <c r="E305" s="456">
        <f>F304+2</f>
        <v/>
      </c>
      <c r="F305" s="456">
        <f>E305+5</f>
        <v/>
      </c>
      <c r="G305" s="141">
        <f>_xlfn.CONCAT(YEAR(E305),".",TEXT(MONTH(E305),"0#"))</f>
        <v/>
      </c>
      <c r="H305">
        <f>YEAR(E305)</f>
        <v/>
      </c>
      <c r="I305">
        <f>IF(VLOOKUP(G305,AC:AD,2,FALSE)&lt;4,1,0)</f>
        <v/>
      </c>
      <c r="J305">
        <f>IF(AND(DAY(F305)&lt; DAY(E305),I305=1),MONTH(E305)+1,MONTH(E305))</f>
        <v/>
      </c>
      <c r="K305" s="201">
        <f>_xlfn.CONCAT(H305,".",TEXT(J305,"0#"))</f>
        <v/>
      </c>
    </row>
    <row r="306">
      <c r="A306" t="inlineStr">
        <is>
          <t>.t305</t>
        </is>
      </c>
      <c r="B306" t="n">
        <v>305</v>
      </c>
      <c r="C306">
        <f>H306</f>
        <v/>
      </c>
      <c r="E306" s="456">
        <f>F305+2</f>
        <v/>
      </c>
      <c r="F306" s="456">
        <f>E306+5</f>
        <v/>
      </c>
      <c r="G306" s="141">
        <f>_xlfn.CONCAT(YEAR(E306),".",TEXT(MONTH(E306),"0#"))</f>
        <v/>
      </c>
      <c r="H306">
        <f>YEAR(E306)</f>
        <v/>
      </c>
      <c r="I306">
        <f>IF(VLOOKUP(G306,AC:AD,2,FALSE)&lt;4,1,0)</f>
        <v/>
      </c>
      <c r="J306">
        <f>IF(AND(DAY(F306)&lt; DAY(E306),I306=1),MONTH(E306)+1,MONTH(E306))</f>
        <v/>
      </c>
      <c r="K306" s="201">
        <f>_xlfn.CONCAT(H306,".",TEXT(J306,"0#"))</f>
        <v/>
      </c>
    </row>
    <row r="307">
      <c r="A307" t="inlineStr">
        <is>
          <t>.t306</t>
        </is>
      </c>
      <c r="B307" t="n">
        <v>306</v>
      </c>
      <c r="C307">
        <f>H307</f>
        <v/>
      </c>
      <c r="E307" s="456">
        <f>F306+2</f>
        <v/>
      </c>
      <c r="F307" s="456">
        <f>E307+5</f>
        <v/>
      </c>
      <c r="G307" s="141">
        <f>_xlfn.CONCAT(YEAR(E307),".",TEXT(MONTH(E307),"0#"))</f>
        <v/>
      </c>
      <c r="H307">
        <f>YEAR(E307)</f>
        <v/>
      </c>
      <c r="I307">
        <f>IF(VLOOKUP(G307,AC:AD,2,FALSE)&lt;4,1,0)</f>
        <v/>
      </c>
      <c r="J307">
        <f>IF(AND(DAY(F307)&lt; DAY(E307),I307=1),MONTH(E307)+1,MONTH(E307))</f>
        <v/>
      </c>
      <c r="K307" s="201">
        <f>_xlfn.CONCAT(H307,".",TEXT(J307,"0#"))</f>
        <v/>
      </c>
    </row>
    <row r="308">
      <c r="A308" t="inlineStr">
        <is>
          <t>.t307</t>
        </is>
      </c>
      <c r="B308" t="n">
        <v>307</v>
      </c>
      <c r="C308">
        <f>H308</f>
        <v/>
      </c>
      <c r="E308" s="456">
        <f>F307+2</f>
        <v/>
      </c>
      <c r="F308" s="456">
        <f>E308+5</f>
        <v/>
      </c>
      <c r="G308" s="141">
        <f>_xlfn.CONCAT(YEAR(E308),".",TEXT(MONTH(E308),"0#"))</f>
        <v/>
      </c>
      <c r="H308">
        <f>YEAR(E308)</f>
        <v/>
      </c>
      <c r="I308">
        <f>IF(VLOOKUP(G308,AC:AD,2,FALSE)&lt;4,1,0)</f>
        <v/>
      </c>
      <c r="J308">
        <f>IF(AND(DAY(F308)&lt; DAY(E308),I308=1),MONTH(E308)+1,MONTH(E308))</f>
        <v/>
      </c>
      <c r="K308" s="201">
        <f>_xlfn.CONCAT(H308,".",TEXT(J308,"0#"))</f>
        <v/>
      </c>
    </row>
    <row r="309">
      <c r="A309" t="inlineStr">
        <is>
          <t>.t308</t>
        </is>
      </c>
      <c r="B309" t="n">
        <v>308</v>
      </c>
      <c r="C309">
        <f>H309</f>
        <v/>
      </c>
      <c r="E309" s="456">
        <f>F308+2</f>
        <v/>
      </c>
      <c r="F309" s="456">
        <f>E309+5</f>
        <v/>
      </c>
      <c r="G309" s="141">
        <f>_xlfn.CONCAT(YEAR(E309),".",TEXT(MONTH(E309),"0#"))</f>
        <v/>
      </c>
      <c r="H309">
        <f>YEAR(E309)</f>
        <v/>
      </c>
      <c r="I309">
        <f>IF(VLOOKUP(G309,AC:AD,2,FALSE)&lt;4,1,0)</f>
        <v/>
      </c>
      <c r="J309">
        <f>IF(AND(DAY(F309)&lt; DAY(E309),I309=1),MONTH(E309)+1,MONTH(E309))</f>
        <v/>
      </c>
      <c r="K309" s="201">
        <f>_xlfn.CONCAT(H309,".",TEXT(J309,"0#"))</f>
        <v/>
      </c>
    </row>
    <row r="310">
      <c r="A310" t="inlineStr">
        <is>
          <t>.t309</t>
        </is>
      </c>
      <c r="B310" t="n">
        <v>309</v>
      </c>
      <c r="C310">
        <f>H310</f>
        <v/>
      </c>
      <c r="E310" s="456">
        <f>F309+2</f>
        <v/>
      </c>
      <c r="F310" s="456">
        <f>E310+5</f>
        <v/>
      </c>
      <c r="G310" s="141">
        <f>_xlfn.CONCAT(YEAR(E310),".",TEXT(MONTH(E310),"0#"))</f>
        <v/>
      </c>
      <c r="H310">
        <f>YEAR(E310)</f>
        <v/>
      </c>
      <c r="I310">
        <f>IF(VLOOKUP(G310,AC:AD,2,FALSE)&lt;4,1,0)</f>
        <v/>
      </c>
      <c r="J310">
        <f>IF(AND(DAY(F310)&lt; DAY(E310),I310=1),MONTH(E310)+1,MONTH(E310))</f>
        <v/>
      </c>
      <c r="K310" s="201">
        <f>_xlfn.CONCAT(H310,".",TEXT(J310,"0#"))</f>
        <v/>
      </c>
    </row>
    <row r="311">
      <c r="A311" t="inlineStr">
        <is>
          <t>.t310</t>
        </is>
      </c>
      <c r="B311" t="n">
        <v>310</v>
      </c>
      <c r="C311">
        <f>H311</f>
        <v/>
      </c>
      <c r="E311" s="456">
        <f>F310+2</f>
        <v/>
      </c>
      <c r="F311" s="456">
        <f>E311+5</f>
        <v/>
      </c>
      <c r="G311" s="141">
        <f>_xlfn.CONCAT(YEAR(E311),".",TEXT(MONTH(E311),"0#"))</f>
        <v/>
      </c>
      <c r="H311">
        <f>YEAR(E311)</f>
        <v/>
      </c>
      <c r="I311">
        <f>IF(VLOOKUP(G311,AC:AD,2,FALSE)&lt;4,1,0)</f>
        <v/>
      </c>
      <c r="J311">
        <f>IF(AND(DAY(F311)&lt; DAY(E311),I311=1),MONTH(E311)+1,MONTH(E311))</f>
        <v/>
      </c>
      <c r="K311" s="201">
        <f>_xlfn.CONCAT(H311,".",TEXT(J311,"0#"))</f>
        <v/>
      </c>
    </row>
    <row r="312">
      <c r="A312" t="inlineStr">
        <is>
          <t>.t311</t>
        </is>
      </c>
      <c r="B312" t="n">
        <v>311</v>
      </c>
      <c r="C312">
        <f>H312</f>
        <v/>
      </c>
      <c r="E312" s="456">
        <f>F311+2</f>
        <v/>
      </c>
      <c r="F312" s="456">
        <f>E312+5</f>
        <v/>
      </c>
      <c r="G312" s="141">
        <f>_xlfn.CONCAT(YEAR(E312),".",TEXT(MONTH(E312),"0#"))</f>
        <v/>
      </c>
      <c r="H312">
        <f>YEAR(E312)</f>
        <v/>
      </c>
      <c r="I312">
        <f>IF(VLOOKUP(G312,AC:AD,2,FALSE)&lt;4,1,0)</f>
        <v/>
      </c>
      <c r="J312">
        <f>IF(AND(DAY(F312)&lt; DAY(E312),I312=1),MONTH(E312)+1,MONTH(E312))</f>
        <v/>
      </c>
      <c r="K312" s="201">
        <f>_xlfn.CONCAT(H312,".",TEXT(J312,"0#"))</f>
        <v/>
      </c>
    </row>
    <row r="313">
      <c r="A313" t="inlineStr">
        <is>
          <t>.t312</t>
        </is>
      </c>
      <c r="B313" t="n">
        <v>312</v>
      </c>
      <c r="C313">
        <f>H313</f>
        <v/>
      </c>
      <c r="E313" s="456">
        <f>F312+2</f>
        <v/>
      </c>
      <c r="F313" s="456">
        <f>E313+5</f>
        <v/>
      </c>
      <c r="G313" s="141">
        <f>_xlfn.CONCAT(YEAR(E313),".",TEXT(MONTH(E313),"0#"))</f>
        <v/>
      </c>
      <c r="H313">
        <f>YEAR(E313)</f>
        <v/>
      </c>
      <c r="I313">
        <f>IF(VLOOKUP(G313,AC:AD,2,FALSE)&lt;4,1,0)</f>
        <v/>
      </c>
      <c r="J313">
        <f>IF(AND(DAY(F313)&lt; DAY(E313),I313=1),MONTH(E313)+1,MONTH(E313))</f>
        <v/>
      </c>
      <c r="K313" s="201">
        <f>_xlfn.CONCAT(H313,".",TEXT(J313,"0#"))</f>
        <v/>
      </c>
    </row>
    <row r="314">
      <c r="A314" t="inlineStr">
        <is>
          <t>.t313</t>
        </is>
      </c>
      <c r="B314" t="n">
        <v>313</v>
      </c>
      <c r="C314">
        <f>H314</f>
        <v/>
      </c>
      <c r="E314" s="456">
        <f>F313+2</f>
        <v/>
      </c>
      <c r="F314" s="456">
        <f>E314+5</f>
        <v/>
      </c>
      <c r="G314" s="141">
        <f>_xlfn.CONCAT(YEAR(E314),".",TEXT(MONTH(E314),"0#"))</f>
        <v/>
      </c>
      <c r="H314">
        <f>YEAR(E314)</f>
        <v/>
      </c>
      <c r="I314">
        <f>IF(VLOOKUP(G314,AC:AD,2,FALSE)&lt;4,1,0)</f>
        <v/>
      </c>
      <c r="J314">
        <f>IF(AND(DAY(F314)&lt; DAY(E314),I314=1),MONTH(E314)+1,MONTH(E314))</f>
        <v/>
      </c>
      <c r="K314" s="201">
        <f>_xlfn.CONCAT(H314,".",TEXT(J314,"0#"))</f>
        <v/>
      </c>
    </row>
    <row r="315">
      <c r="A315" t="inlineStr">
        <is>
          <t>.t314</t>
        </is>
      </c>
      <c r="B315" t="n">
        <v>314</v>
      </c>
      <c r="C315">
        <f>H315</f>
        <v/>
      </c>
      <c r="E315" s="456">
        <f>F314+2</f>
        <v/>
      </c>
      <c r="F315" s="456">
        <f>E315+5</f>
        <v/>
      </c>
      <c r="G315" s="141">
        <f>_xlfn.CONCAT(YEAR(E315),".",TEXT(MONTH(E315),"0#"))</f>
        <v/>
      </c>
      <c r="H315">
        <f>YEAR(E315)</f>
        <v/>
      </c>
      <c r="I315">
        <f>IF(VLOOKUP(G315,AC:AD,2,FALSE)&lt;4,1,0)</f>
        <v/>
      </c>
      <c r="J315">
        <f>IF(AND(DAY(F315)&lt; DAY(E315),I315=1),MONTH(E315)+1,MONTH(E315))</f>
        <v/>
      </c>
      <c r="K315" s="201">
        <f>_xlfn.CONCAT(H315,".",TEXT(J315,"0#"))</f>
        <v/>
      </c>
    </row>
    <row r="316">
      <c r="A316" t="inlineStr">
        <is>
          <t>.t315</t>
        </is>
      </c>
      <c r="B316" s="141" t="n">
        <v>315</v>
      </c>
      <c r="C316">
        <f>H316</f>
        <v/>
      </c>
      <c r="E316" s="456">
        <f>F315+2</f>
        <v/>
      </c>
      <c r="F316" s="456">
        <f>E316+5</f>
        <v/>
      </c>
      <c r="G316" s="141">
        <f>_xlfn.CONCAT(YEAR(E316),".",TEXT(MONTH(E316),"0#"))</f>
        <v/>
      </c>
      <c r="H316">
        <f>YEAR(E316)</f>
        <v/>
      </c>
      <c r="I316">
        <f>IF(VLOOKUP(G316,AC:AD,2,FALSE)&lt;4,1,0)</f>
        <v/>
      </c>
      <c r="J316">
        <f>IF(AND(DAY(F316)&lt; DAY(E316),I316=1),MONTH(E316)+1,MONTH(E316))</f>
        <v/>
      </c>
      <c r="K316" s="201">
        <f>_xlfn.CONCAT(H316,".",TEXT(J316,"0#"))</f>
        <v/>
      </c>
    </row>
    <row r="317">
      <c r="A317" t="inlineStr">
        <is>
          <t>.t316</t>
        </is>
      </c>
      <c r="B317" s="141" t="n">
        <v>316</v>
      </c>
      <c r="C317">
        <f>H317</f>
        <v/>
      </c>
      <c r="E317" s="456">
        <f>F316+2</f>
        <v/>
      </c>
      <c r="F317" s="456">
        <f>E317+5</f>
        <v/>
      </c>
      <c r="G317" s="141">
        <f>_xlfn.CONCAT(YEAR(E317),".",TEXT(MONTH(E317),"0#"))</f>
        <v/>
      </c>
      <c r="H317">
        <f>YEAR(E317)</f>
        <v/>
      </c>
      <c r="I317">
        <f>IF(VLOOKUP(G317,AC:AD,2,FALSE)&lt;4,1,0)</f>
        <v/>
      </c>
      <c r="J317">
        <f>IF(AND(DAY(F317)&lt; DAY(E317),I317=1),MONTH(E317)+1,MONTH(E317))</f>
        <v/>
      </c>
      <c r="K317" s="201">
        <f>_xlfn.CONCAT(H317,".",TEXT(J317,"0#"))</f>
        <v/>
      </c>
    </row>
    <row r="318">
      <c r="A318" t="inlineStr">
        <is>
          <t>.t317</t>
        </is>
      </c>
      <c r="B318" s="141" t="n">
        <v>317</v>
      </c>
      <c r="C318">
        <f>H318</f>
        <v/>
      </c>
      <c r="E318" s="456">
        <f>F317+2</f>
        <v/>
      </c>
      <c r="F318" s="456">
        <f>E318+5</f>
        <v/>
      </c>
      <c r="G318" s="141">
        <f>_xlfn.CONCAT(YEAR(E318),".",TEXT(MONTH(E318),"0#"))</f>
        <v/>
      </c>
      <c r="H318">
        <f>YEAR(E318)</f>
        <v/>
      </c>
      <c r="I318">
        <f>IF(VLOOKUP(G318,AC:AD,2,FALSE)&lt;4,1,0)</f>
        <v/>
      </c>
      <c r="J318">
        <f>IF(AND(DAY(F318)&lt; DAY(E318),I318=1),MONTH(E318)+1,MONTH(E318))</f>
        <v/>
      </c>
      <c r="K318" s="201">
        <f>_xlfn.CONCAT(H318,".",TEXT(J318,"0#"))</f>
        <v/>
      </c>
    </row>
    <row r="319">
      <c r="A319" t="inlineStr">
        <is>
          <t>.t318</t>
        </is>
      </c>
      <c r="B319" s="141" t="n">
        <v>318</v>
      </c>
      <c r="C319">
        <f>H319</f>
        <v/>
      </c>
      <c r="E319" s="456">
        <f>F318+2</f>
        <v/>
      </c>
      <c r="F319" s="456">
        <f>E319+5</f>
        <v/>
      </c>
      <c r="G319" s="141">
        <f>_xlfn.CONCAT(YEAR(E319),".",TEXT(MONTH(E319),"0#"))</f>
        <v/>
      </c>
      <c r="H319">
        <f>YEAR(E319)</f>
        <v/>
      </c>
      <c r="I319">
        <f>IF(VLOOKUP(G319,AC:AD,2,FALSE)&lt;4,1,0)</f>
        <v/>
      </c>
      <c r="J319">
        <f>IF(AND(DAY(F319)&lt; DAY(E319),I319=1),MONTH(E319)+1,MONTH(E319))</f>
        <v/>
      </c>
      <c r="K319" s="201">
        <f>_xlfn.CONCAT(H319,".",TEXT(J319,"0#"))</f>
        <v/>
      </c>
    </row>
    <row r="320">
      <c r="A320" t="inlineStr">
        <is>
          <t>.t319</t>
        </is>
      </c>
      <c r="B320" s="141" t="n">
        <v>319</v>
      </c>
      <c r="C320">
        <f>H320</f>
        <v/>
      </c>
      <c r="E320" s="456">
        <f>F319+2</f>
        <v/>
      </c>
      <c r="F320" s="456">
        <f>E320+5</f>
        <v/>
      </c>
      <c r="G320" s="141">
        <f>_xlfn.CONCAT(YEAR(E320),".",TEXT(MONTH(E320),"0#"))</f>
        <v/>
      </c>
      <c r="H320">
        <f>YEAR(E320)</f>
        <v/>
      </c>
      <c r="I320">
        <f>IF(VLOOKUP(G320,AC:AD,2,FALSE)&lt;4,1,0)</f>
        <v/>
      </c>
      <c r="J320">
        <f>IF(AND(DAY(F320)&lt; DAY(E320),I320=1),MONTH(E320)+1,MONTH(E320))</f>
        <v/>
      </c>
      <c r="K320" s="201">
        <f>_xlfn.CONCAT(H320,".",TEXT(J320,"0#"))</f>
        <v/>
      </c>
    </row>
    <row r="321">
      <c r="A321" t="inlineStr">
        <is>
          <t>.t320</t>
        </is>
      </c>
      <c r="B321" s="141" t="n">
        <v>320</v>
      </c>
      <c r="C321">
        <f>H321</f>
        <v/>
      </c>
      <c r="E321" s="456">
        <f>F320+2</f>
        <v/>
      </c>
      <c r="F321" s="456">
        <f>E321+5</f>
        <v/>
      </c>
      <c r="G321" s="141">
        <f>_xlfn.CONCAT(YEAR(E321),".",TEXT(MONTH(E321),"0#"))</f>
        <v/>
      </c>
      <c r="H321">
        <f>YEAR(E321)</f>
        <v/>
      </c>
      <c r="I321">
        <f>IF(VLOOKUP(G321,AC:AD,2,FALSE)&lt;4,1,0)</f>
        <v/>
      </c>
      <c r="J321">
        <f>IF(AND(DAY(F321)&lt; DAY(E321),I321=1),MONTH(E321)+1,MONTH(E321))</f>
        <v/>
      </c>
      <c r="K321" s="201">
        <f>_xlfn.CONCAT(H321,".",TEXT(J321,"0#"))</f>
        <v/>
      </c>
    </row>
    <row r="322">
      <c r="A322" t="inlineStr">
        <is>
          <t>.t321</t>
        </is>
      </c>
      <c r="B322" s="141" t="n">
        <v>321</v>
      </c>
      <c r="C322">
        <f>H322</f>
        <v/>
      </c>
      <c r="E322" s="456">
        <f>F321+2</f>
        <v/>
      </c>
      <c r="F322" s="456">
        <f>E322+5</f>
        <v/>
      </c>
      <c r="G322" s="141">
        <f>_xlfn.CONCAT(YEAR(E322),".",TEXT(MONTH(E322),"0#"))</f>
        <v/>
      </c>
      <c r="H322">
        <f>YEAR(E322)</f>
        <v/>
      </c>
      <c r="I322">
        <f>IF(VLOOKUP(G322,AC:AD,2,FALSE)&lt;4,1,0)</f>
        <v/>
      </c>
      <c r="J322">
        <f>IF(AND(DAY(F322)&lt; DAY(E322),I322=1),MONTH(E322)+1,MONTH(E322))</f>
        <v/>
      </c>
      <c r="K322" s="201">
        <f>_xlfn.CONCAT(H322,".",TEXT(J322,"0#"))</f>
        <v/>
      </c>
    </row>
    <row r="323">
      <c r="A323" t="inlineStr">
        <is>
          <t>.t322</t>
        </is>
      </c>
      <c r="B323" s="141" t="n">
        <v>322</v>
      </c>
      <c r="C323">
        <f>H323</f>
        <v/>
      </c>
      <c r="E323" s="456">
        <f>F322+2</f>
        <v/>
      </c>
      <c r="F323" s="456">
        <f>E323+5</f>
        <v/>
      </c>
      <c r="G323" s="141">
        <f>_xlfn.CONCAT(YEAR(E323),".",TEXT(MONTH(E323),"0#"))</f>
        <v/>
      </c>
      <c r="H323">
        <f>YEAR(E323)</f>
        <v/>
      </c>
      <c r="I323">
        <f>IF(VLOOKUP(G323,AC:AD,2,FALSE)&lt;4,1,0)</f>
        <v/>
      </c>
      <c r="J323">
        <f>IF(AND(DAY(F323)&lt; DAY(E323),I323=1),MONTH(E323)+1,MONTH(E323))</f>
        <v/>
      </c>
      <c r="K323" s="201">
        <f>_xlfn.CONCAT(H323,".",TEXT(J323,"0#"))</f>
        <v/>
      </c>
    </row>
    <row r="324">
      <c r="A324" t="inlineStr">
        <is>
          <t>.t323</t>
        </is>
      </c>
      <c r="B324" s="141" t="n">
        <v>323</v>
      </c>
      <c r="C324">
        <f>H324</f>
        <v/>
      </c>
      <c r="E324" s="456">
        <f>F323+2</f>
        <v/>
      </c>
      <c r="F324" s="456">
        <f>E324+5</f>
        <v/>
      </c>
      <c r="G324" s="141">
        <f>_xlfn.CONCAT(YEAR(E324),".",TEXT(MONTH(E324),"0#"))</f>
        <v/>
      </c>
      <c r="H324">
        <f>YEAR(E324)</f>
        <v/>
      </c>
      <c r="I324">
        <f>IF(VLOOKUP(G324,AC:AD,2,FALSE)&lt;4,1,0)</f>
        <v/>
      </c>
      <c r="J324">
        <f>IF(AND(DAY(F324)&lt; DAY(E324),I324=1),MONTH(E324)+1,MONTH(E324))</f>
        <v/>
      </c>
      <c r="K324" s="201">
        <f>_xlfn.CONCAT(H324,".",TEXT(J324,"0#"))</f>
        <v/>
      </c>
    </row>
    <row r="325">
      <c r="A325" t="inlineStr">
        <is>
          <t>.t324</t>
        </is>
      </c>
      <c r="B325" s="141" t="n">
        <v>324</v>
      </c>
      <c r="C325">
        <f>H325</f>
        <v/>
      </c>
      <c r="E325" s="456">
        <f>F324+2</f>
        <v/>
      </c>
      <c r="F325" s="456">
        <f>E325+5</f>
        <v/>
      </c>
      <c r="G325" s="141">
        <f>_xlfn.CONCAT(YEAR(E325),".",TEXT(MONTH(E325),"0#"))</f>
        <v/>
      </c>
      <c r="H325">
        <f>YEAR(E325)</f>
        <v/>
      </c>
      <c r="I325">
        <f>IF(VLOOKUP(G325,AC:AD,2,FALSE)&lt;4,1,0)</f>
        <v/>
      </c>
      <c r="J325">
        <f>IF(AND(DAY(F325)&lt; DAY(E325),I325=1),MONTH(E325)+1,MONTH(E325))</f>
        <v/>
      </c>
      <c r="K325" s="201">
        <f>_xlfn.CONCAT(H325,".",TEXT(J325,"0#"))</f>
        <v/>
      </c>
    </row>
    <row r="326">
      <c r="A326" t="inlineStr">
        <is>
          <t>.t325</t>
        </is>
      </c>
      <c r="B326" s="141" t="n">
        <v>325</v>
      </c>
      <c r="C326">
        <f>H326</f>
        <v/>
      </c>
      <c r="E326" s="456">
        <f>F325+2</f>
        <v/>
      </c>
      <c r="F326" s="456">
        <f>E326+5</f>
        <v/>
      </c>
      <c r="G326" s="141">
        <f>_xlfn.CONCAT(YEAR(E326),".",TEXT(MONTH(E326),"0#"))</f>
        <v/>
      </c>
      <c r="H326">
        <f>YEAR(E326)</f>
        <v/>
      </c>
      <c r="I326">
        <f>IF(VLOOKUP(G326,AC:AD,2,FALSE)&lt;4,1,0)</f>
        <v/>
      </c>
      <c r="J326">
        <f>IF(AND(DAY(F326)&lt; DAY(E326),I326=1),MONTH(E326)+1,MONTH(E326))</f>
        <v/>
      </c>
      <c r="K326" s="201">
        <f>_xlfn.CONCAT(H326,".",TEXT(J326,"0#"))</f>
        <v/>
      </c>
    </row>
    <row r="327">
      <c r="A327" t="inlineStr">
        <is>
          <t>.t326</t>
        </is>
      </c>
      <c r="B327" s="141" t="n">
        <v>326</v>
      </c>
      <c r="C327">
        <f>H327</f>
        <v/>
      </c>
      <c r="E327" s="456">
        <f>F326+2</f>
        <v/>
      </c>
      <c r="F327" s="456">
        <f>E327+5</f>
        <v/>
      </c>
      <c r="G327" s="141">
        <f>_xlfn.CONCAT(YEAR(E327),".",TEXT(MONTH(E327),"0#"))</f>
        <v/>
      </c>
      <c r="H327">
        <f>YEAR(E327)</f>
        <v/>
      </c>
      <c r="I327">
        <f>IF(VLOOKUP(G327,AC:AD,2,FALSE)&lt;4,1,0)</f>
        <v/>
      </c>
      <c r="J327">
        <f>IF(AND(DAY(F327)&lt; DAY(E327),I327=1),MONTH(E327)+1,MONTH(E327))</f>
        <v/>
      </c>
      <c r="K327" s="201">
        <f>_xlfn.CONCAT(H327,".",TEXT(J327,"0#"))</f>
        <v/>
      </c>
    </row>
    <row r="328">
      <c r="A328" t="inlineStr">
        <is>
          <t>.t327</t>
        </is>
      </c>
      <c r="B328" s="141" t="n">
        <v>327</v>
      </c>
      <c r="C328">
        <f>H328</f>
        <v/>
      </c>
      <c r="E328" s="456">
        <f>F327+2</f>
        <v/>
      </c>
      <c r="F328" s="456">
        <f>E328+5</f>
        <v/>
      </c>
      <c r="G328" s="141">
        <f>_xlfn.CONCAT(YEAR(E328),".",TEXT(MONTH(E328),"0#"))</f>
        <v/>
      </c>
      <c r="H328">
        <f>YEAR(E328)</f>
        <v/>
      </c>
      <c r="I328">
        <f>IF(VLOOKUP(G328,AC:AD,2,FALSE)&lt;4,1,0)</f>
        <v/>
      </c>
      <c r="J328">
        <f>IF(AND(DAY(F328)&lt; DAY(E328),I328=1),MONTH(E328)+1,MONTH(E328))</f>
        <v/>
      </c>
      <c r="K328" s="201">
        <f>_xlfn.CONCAT(H328,".",TEXT(J328,"0#"))</f>
        <v/>
      </c>
    </row>
    <row r="329">
      <c r="A329" t="inlineStr">
        <is>
          <t>.t328</t>
        </is>
      </c>
      <c r="B329" s="141" t="n">
        <v>328</v>
      </c>
      <c r="C329">
        <f>H329</f>
        <v/>
      </c>
      <c r="E329" s="456">
        <f>F328+2</f>
        <v/>
      </c>
      <c r="F329" s="456">
        <f>E329+5</f>
        <v/>
      </c>
      <c r="G329" s="141">
        <f>_xlfn.CONCAT(YEAR(E329),".",TEXT(MONTH(E329),"0#"))</f>
        <v/>
      </c>
      <c r="H329">
        <f>YEAR(E329)</f>
        <v/>
      </c>
      <c r="I329">
        <f>IF(VLOOKUP(G329,AC:AD,2,FALSE)&lt;4,1,0)</f>
        <v/>
      </c>
      <c r="J329">
        <f>IF(AND(DAY(F329)&lt; DAY(E329),I329=1),MONTH(E329)+1,MONTH(E329))</f>
        <v/>
      </c>
      <c r="K329" s="201">
        <f>_xlfn.CONCAT(H329,".",TEXT(J329,"0#"))</f>
        <v/>
      </c>
    </row>
    <row r="330">
      <c r="A330" t="inlineStr">
        <is>
          <t>.t329</t>
        </is>
      </c>
      <c r="B330" s="141" t="n">
        <v>329</v>
      </c>
      <c r="C330">
        <f>H330</f>
        <v/>
      </c>
      <c r="E330" s="456">
        <f>F329+2</f>
        <v/>
      </c>
      <c r="F330" s="456">
        <f>E330+5</f>
        <v/>
      </c>
      <c r="G330" s="141">
        <f>_xlfn.CONCAT(YEAR(E330),".",TEXT(MONTH(E330),"0#"))</f>
        <v/>
      </c>
      <c r="H330">
        <f>YEAR(E330)</f>
        <v/>
      </c>
      <c r="I330">
        <f>IF(VLOOKUP(G330,AC:AD,2,FALSE)&lt;4,1,0)</f>
        <v/>
      </c>
      <c r="J330">
        <f>IF(AND(DAY(F330)&lt; DAY(E330),I330=1),MONTH(E330)+1,MONTH(E330))</f>
        <v/>
      </c>
      <c r="K330" s="201">
        <f>_xlfn.CONCAT(H330,".",TEXT(J330,"0#"))</f>
        <v/>
      </c>
    </row>
    <row r="331">
      <c r="A331" t="inlineStr">
        <is>
          <t>.t330</t>
        </is>
      </c>
      <c r="B331" s="141" t="n">
        <v>330</v>
      </c>
      <c r="C331">
        <f>H331</f>
        <v/>
      </c>
      <c r="E331" s="456">
        <f>F330+2</f>
        <v/>
      </c>
      <c r="F331" s="456">
        <f>E331+5</f>
        <v/>
      </c>
      <c r="G331" s="141">
        <f>_xlfn.CONCAT(YEAR(E331),".",TEXT(MONTH(E331),"0#"))</f>
        <v/>
      </c>
      <c r="H331">
        <f>YEAR(E331)</f>
        <v/>
      </c>
      <c r="I331">
        <f>IF(VLOOKUP(G331,AC:AD,2,FALSE)&lt;4,1,0)</f>
        <v/>
      </c>
      <c r="J331">
        <f>IF(AND(DAY(F331)&lt; DAY(E331),I331=1),MONTH(E331)+1,MONTH(E331))</f>
        <v/>
      </c>
      <c r="K331" s="201">
        <f>_xlfn.CONCAT(H331,".",TEXT(J331,"0#"))</f>
        <v/>
      </c>
    </row>
    <row r="332">
      <c r="A332" t="inlineStr">
        <is>
          <t>.t331</t>
        </is>
      </c>
      <c r="B332" s="141" t="n">
        <v>331</v>
      </c>
      <c r="C332">
        <f>H332</f>
        <v/>
      </c>
      <c r="E332" s="456">
        <f>F331+2</f>
        <v/>
      </c>
      <c r="F332" s="456">
        <f>E332+5</f>
        <v/>
      </c>
      <c r="G332" s="141">
        <f>_xlfn.CONCAT(YEAR(E332),".",TEXT(MONTH(E332),"0#"))</f>
        <v/>
      </c>
      <c r="H332">
        <f>YEAR(E332)</f>
        <v/>
      </c>
      <c r="I332">
        <f>IF(VLOOKUP(G332,AC:AD,2,FALSE)&lt;4,1,0)</f>
        <v/>
      </c>
      <c r="J332">
        <f>IF(AND(DAY(F332)&lt; DAY(E332),I332=1),MONTH(E332)+1,MONTH(E332))</f>
        <v/>
      </c>
      <c r="K332" s="201">
        <f>_xlfn.CONCAT(H332,".",TEXT(J332,"0#"))</f>
        <v/>
      </c>
    </row>
    <row r="333">
      <c r="A333" t="inlineStr">
        <is>
          <t>.t332</t>
        </is>
      </c>
      <c r="B333" s="141" t="n">
        <v>332</v>
      </c>
      <c r="C333">
        <f>H333</f>
        <v/>
      </c>
      <c r="E333" s="456">
        <f>F332+2</f>
        <v/>
      </c>
      <c r="F333" s="456">
        <f>E333+5</f>
        <v/>
      </c>
      <c r="G333" s="141">
        <f>_xlfn.CONCAT(YEAR(E333),".",TEXT(MONTH(E333),"0#"))</f>
        <v/>
      </c>
      <c r="H333">
        <f>YEAR(E333)</f>
        <v/>
      </c>
      <c r="I333">
        <f>IF(VLOOKUP(G333,AC:AD,2,FALSE)&lt;4,1,0)</f>
        <v/>
      </c>
      <c r="J333">
        <f>IF(AND(DAY(F333)&lt; DAY(E333),I333=1),MONTH(E333)+1,MONTH(E333))</f>
        <v/>
      </c>
      <c r="K333" s="201">
        <f>_xlfn.CONCAT(H333,".",TEXT(J333,"0#"))</f>
        <v/>
      </c>
    </row>
    <row r="334">
      <c r="A334" t="inlineStr">
        <is>
          <t>.t333</t>
        </is>
      </c>
      <c r="B334" s="141" t="n">
        <v>333</v>
      </c>
      <c r="C334">
        <f>H334</f>
        <v/>
      </c>
      <c r="E334" s="456">
        <f>F333+2</f>
        <v/>
      </c>
      <c r="F334" s="456">
        <f>E334+5</f>
        <v/>
      </c>
      <c r="G334" s="141">
        <f>_xlfn.CONCAT(YEAR(E334),".",TEXT(MONTH(E334),"0#"))</f>
        <v/>
      </c>
      <c r="H334">
        <f>YEAR(E334)</f>
        <v/>
      </c>
      <c r="I334">
        <f>IF(VLOOKUP(G334,AC:AD,2,FALSE)&lt;4,1,0)</f>
        <v/>
      </c>
      <c r="J334">
        <f>IF(AND(DAY(F334)&lt; DAY(E334),I334=1),MONTH(E334)+1,MONTH(E334))</f>
        <v/>
      </c>
      <c r="K334" s="201">
        <f>_xlfn.CONCAT(H334,".",TEXT(J334,"0#"))</f>
        <v/>
      </c>
    </row>
    <row r="335">
      <c r="A335" t="inlineStr">
        <is>
          <t>.t334</t>
        </is>
      </c>
      <c r="B335" s="141" t="n">
        <v>334</v>
      </c>
      <c r="C335">
        <f>H335</f>
        <v/>
      </c>
      <c r="E335" s="456">
        <f>F334+2</f>
        <v/>
      </c>
      <c r="F335" s="456">
        <f>E335+5</f>
        <v/>
      </c>
      <c r="G335" s="141">
        <f>_xlfn.CONCAT(YEAR(E335),".",TEXT(MONTH(E335),"0#"))</f>
        <v/>
      </c>
      <c r="H335">
        <f>YEAR(E335)</f>
        <v/>
      </c>
      <c r="I335">
        <f>IF(VLOOKUP(G335,AC:AD,2,FALSE)&lt;4,1,0)</f>
        <v/>
      </c>
      <c r="J335">
        <f>IF(AND(DAY(F335)&lt; DAY(E335),I335=1),MONTH(E335)+1,MONTH(E335))</f>
        <v/>
      </c>
      <c r="K335" s="201">
        <f>_xlfn.CONCAT(H335,".",TEXT(J335,"0#"))</f>
        <v/>
      </c>
    </row>
    <row r="336">
      <c r="A336" t="inlineStr">
        <is>
          <t>.t335</t>
        </is>
      </c>
      <c r="B336" s="141" t="n">
        <v>335</v>
      </c>
      <c r="C336">
        <f>H336</f>
        <v/>
      </c>
      <c r="E336" s="456">
        <f>F335+2</f>
        <v/>
      </c>
      <c r="F336" s="456">
        <f>E336+5</f>
        <v/>
      </c>
      <c r="G336" s="141">
        <f>_xlfn.CONCAT(YEAR(E336),".",TEXT(MONTH(E336),"0#"))</f>
        <v/>
      </c>
      <c r="H336">
        <f>YEAR(E336)</f>
        <v/>
      </c>
      <c r="I336">
        <f>IF(VLOOKUP(G336,AC:AD,2,FALSE)&lt;4,1,0)</f>
        <v/>
      </c>
      <c r="J336">
        <f>IF(AND(DAY(F336)&lt; DAY(E336),I336=1),MONTH(E336)+1,MONTH(E336))</f>
        <v/>
      </c>
      <c r="K336" s="201">
        <f>_xlfn.CONCAT(H336,".",TEXT(J336,"0#"))</f>
        <v/>
      </c>
    </row>
    <row r="337">
      <c r="A337" t="inlineStr">
        <is>
          <t>.t336</t>
        </is>
      </c>
      <c r="B337" s="141" t="n">
        <v>336</v>
      </c>
      <c r="C337">
        <f>H337</f>
        <v/>
      </c>
      <c r="E337" s="456">
        <f>F336+2</f>
        <v/>
      </c>
      <c r="F337" s="456">
        <f>E337+5</f>
        <v/>
      </c>
      <c r="G337" s="141">
        <f>_xlfn.CONCAT(YEAR(E337),".",TEXT(MONTH(E337),"0#"))</f>
        <v/>
      </c>
      <c r="H337">
        <f>YEAR(E337)</f>
        <v/>
      </c>
      <c r="I337">
        <f>IF(VLOOKUP(G337,AC:AD,2,FALSE)&lt;4,1,0)</f>
        <v/>
      </c>
      <c r="J337">
        <f>IF(AND(DAY(F337)&lt; DAY(E337),I337=1),MONTH(E337)+1,MONTH(E337))</f>
        <v/>
      </c>
      <c r="K337" s="201">
        <f>_xlfn.CONCAT(H337,".",TEXT(J337,"0#"))</f>
        <v/>
      </c>
    </row>
    <row r="338">
      <c r="A338" t="inlineStr">
        <is>
          <t>.t337</t>
        </is>
      </c>
      <c r="B338" s="141" t="n">
        <v>337</v>
      </c>
      <c r="C338">
        <f>H338</f>
        <v/>
      </c>
      <c r="E338" s="456">
        <f>F337+2</f>
        <v/>
      </c>
      <c r="F338" s="456">
        <f>E338+5</f>
        <v/>
      </c>
      <c r="G338" s="141">
        <f>_xlfn.CONCAT(YEAR(E338),".",TEXT(MONTH(E338),"0#"))</f>
        <v/>
      </c>
      <c r="H338">
        <f>YEAR(E338)</f>
        <v/>
      </c>
      <c r="I338">
        <f>IF(VLOOKUP(G338,AC:AD,2,FALSE)&lt;4,1,0)</f>
        <v/>
      </c>
      <c r="J338">
        <f>IF(AND(DAY(F338)&lt; DAY(E338),I338=1),MONTH(E338)+1,MONTH(E338))</f>
        <v/>
      </c>
      <c r="K338" s="201">
        <f>_xlfn.CONCAT(H338,".",TEXT(J338,"0#"))</f>
        <v/>
      </c>
    </row>
    <row r="339">
      <c r="A339" t="inlineStr">
        <is>
          <t>.t338</t>
        </is>
      </c>
      <c r="B339" s="141" t="n">
        <v>338</v>
      </c>
      <c r="C339">
        <f>H339</f>
        <v/>
      </c>
      <c r="E339" s="456">
        <f>F338+2</f>
        <v/>
      </c>
      <c r="F339" s="456">
        <f>E339+5</f>
        <v/>
      </c>
      <c r="G339" s="141">
        <f>_xlfn.CONCAT(YEAR(E339),".",TEXT(MONTH(E339),"0#"))</f>
        <v/>
      </c>
      <c r="H339">
        <f>YEAR(E339)</f>
        <v/>
      </c>
      <c r="I339">
        <f>IF(VLOOKUP(G339,AC:AD,2,FALSE)&lt;4,1,0)</f>
        <v/>
      </c>
      <c r="J339">
        <f>IF(AND(DAY(F339)&lt; DAY(E339),I339=1),MONTH(E339)+1,MONTH(E339))</f>
        <v/>
      </c>
      <c r="K339" s="201">
        <f>_xlfn.CONCAT(H339,".",TEXT(J339,"0#"))</f>
        <v/>
      </c>
    </row>
    <row r="340">
      <c r="A340" t="inlineStr">
        <is>
          <t>.t339</t>
        </is>
      </c>
      <c r="B340" s="141" t="n">
        <v>339</v>
      </c>
      <c r="C340">
        <f>H340</f>
        <v/>
      </c>
      <c r="E340" s="456">
        <f>F339+2</f>
        <v/>
      </c>
      <c r="F340" s="456">
        <f>E340+5</f>
        <v/>
      </c>
      <c r="G340" s="141">
        <f>_xlfn.CONCAT(YEAR(E340),".",TEXT(MONTH(E340),"0#"))</f>
        <v/>
      </c>
      <c r="H340">
        <f>YEAR(E340)</f>
        <v/>
      </c>
      <c r="I340">
        <f>IF(VLOOKUP(G340,AC:AD,2,FALSE)&lt;4,1,0)</f>
        <v/>
      </c>
      <c r="J340">
        <f>IF(AND(DAY(F340)&lt; DAY(E340),I340=1),MONTH(E340)+1,MONTH(E340))</f>
        <v/>
      </c>
      <c r="K340" s="201">
        <f>_xlfn.CONCAT(H340,".",TEXT(J340,"0#"))</f>
        <v/>
      </c>
    </row>
    <row r="341">
      <c r="A341" t="inlineStr">
        <is>
          <t>.t340</t>
        </is>
      </c>
      <c r="B341" s="141" t="n">
        <v>340</v>
      </c>
      <c r="C341">
        <f>H341</f>
        <v/>
      </c>
      <c r="E341" s="456">
        <f>F340+2</f>
        <v/>
      </c>
      <c r="F341" s="456">
        <f>E341+5</f>
        <v/>
      </c>
      <c r="G341" s="141">
        <f>_xlfn.CONCAT(YEAR(E341),".",TEXT(MONTH(E341),"0#"))</f>
        <v/>
      </c>
      <c r="H341">
        <f>YEAR(E341)</f>
        <v/>
      </c>
      <c r="I341">
        <f>IF(VLOOKUP(G341,AC:AD,2,FALSE)&lt;4,1,0)</f>
        <v/>
      </c>
      <c r="J341">
        <f>IF(AND(DAY(F341)&lt; DAY(E341),I341=1),MONTH(E341)+1,MONTH(E341))</f>
        <v/>
      </c>
      <c r="K341" s="201">
        <f>_xlfn.CONCAT(H341,".",TEXT(J341,"0#"))</f>
        <v/>
      </c>
    </row>
    <row r="342">
      <c r="A342" t="inlineStr">
        <is>
          <t>.t341</t>
        </is>
      </c>
      <c r="B342" s="141" t="n">
        <v>341</v>
      </c>
      <c r="C342">
        <f>H342</f>
        <v/>
      </c>
      <c r="E342" s="456">
        <f>F341+2</f>
        <v/>
      </c>
      <c r="F342" s="456">
        <f>E342+5</f>
        <v/>
      </c>
      <c r="G342" s="141">
        <f>_xlfn.CONCAT(YEAR(E342),".",TEXT(MONTH(E342),"0#"))</f>
        <v/>
      </c>
      <c r="H342">
        <f>YEAR(E342)</f>
        <v/>
      </c>
      <c r="I342">
        <f>IF(VLOOKUP(G342,AC:AD,2,FALSE)&lt;4,1,0)</f>
        <v/>
      </c>
      <c r="J342">
        <f>IF(AND(DAY(F342)&lt; DAY(E342),I342=1),MONTH(E342)+1,MONTH(E342))</f>
        <v/>
      </c>
      <c r="K342" s="201">
        <f>_xlfn.CONCAT(H342,".",TEXT(J342,"0#"))</f>
        <v/>
      </c>
    </row>
    <row r="343">
      <c r="A343" t="inlineStr">
        <is>
          <t>.t342</t>
        </is>
      </c>
      <c r="B343" s="141" t="n">
        <v>342</v>
      </c>
      <c r="C343">
        <f>H343</f>
        <v/>
      </c>
      <c r="E343" s="456">
        <f>F342+2</f>
        <v/>
      </c>
      <c r="F343" s="456">
        <f>E343+5</f>
        <v/>
      </c>
      <c r="G343" s="141">
        <f>_xlfn.CONCAT(YEAR(E343),".",TEXT(MONTH(E343),"0#"))</f>
        <v/>
      </c>
      <c r="H343">
        <f>YEAR(E343)</f>
        <v/>
      </c>
      <c r="I343">
        <f>IF(VLOOKUP(G343,AC:AD,2,FALSE)&lt;4,1,0)</f>
        <v/>
      </c>
      <c r="J343">
        <f>IF(AND(DAY(F343)&lt; DAY(E343),I343=1),MONTH(E343)+1,MONTH(E343))</f>
        <v/>
      </c>
      <c r="K343" s="201">
        <f>_xlfn.CONCAT(H343,".",TEXT(J343,"0#"))</f>
        <v/>
      </c>
    </row>
    <row r="344">
      <c r="A344" t="inlineStr">
        <is>
          <t>.t343</t>
        </is>
      </c>
      <c r="B344" s="141" t="n">
        <v>343</v>
      </c>
      <c r="C344">
        <f>H344</f>
        <v/>
      </c>
      <c r="E344" s="456">
        <f>F343+2</f>
        <v/>
      </c>
      <c r="F344" s="456">
        <f>E344+5</f>
        <v/>
      </c>
      <c r="G344" s="141">
        <f>_xlfn.CONCAT(YEAR(E344),".",TEXT(MONTH(E344),"0#"))</f>
        <v/>
      </c>
      <c r="H344">
        <f>YEAR(E344)</f>
        <v/>
      </c>
      <c r="I344">
        <f>IF(VLOOKUP(G344,AC:AD,2,FALSE)&lt;4,1,0)</f>
        <v/>
      </c>
      <c r="J344">
        <f>IF(AND(DAY(F344)&lt; DAY(E344),I344=1),MONTH(E344)+1,MONTH(E344))</f>
        <v/>
      </c>
      <c r="K344" s="201">
        <f>_xlfn.CONCAT(H344,".",TEXT(J344,"0#"))</f>
        <v/>
      </c>
    </row>
    <row r="345">
      <c r="A345" t="inlineStr">
        <is>
          <t>.t344</t>
        </is>
      </c>
      <c r="B345" s="141" t="n">
        <v>344</v>
      </c>
      <c r="C345">
        <f>H345</f>
        <v/>
      </c>
      <c r="E345" s="456">
        <f>F344+2</f>
        <v/>
      </c>
      <c r="F345" s="456">
        <f>E345+5</f>
        <v/>
      </c>
      <c r="G345" s="141">
        <f>_xlfn.CONCAT(YEAR(E345),".",TEXT(MONTH(E345),"0#"))</f>
        <v/>
      </c>
      <c r="H345">
        <f>YEAR(E345)</f>
        <v/>
      </c>
      <c r="I345">
        <f>IF(VLOOKUP(G345,AC:AD,2,FALSE)&lt;4,1,0)</f>
        <v/>
      </c>
      <c r="J345">
        <f>IF(AND(DAY(F345)&lt; DAY(E345),I345=1),MONTH(E345)+1,MONTH(E345))</f>
        <v/>
      </c>
      <c r="K345" s="201">
        <f>_xlfn.CONCAT(H345,".",TEXT(J345,"0#"))</f>
        <v/>
      </c>
    </row>
    <row r="346">
      <c r="A346" t="inlineStr">
        <is>
          <t>.t345</t>
        </is>
      </c>
      <c r="B346" s="141" t="n">
        <v>345</v>
      </c>
      <c r="C346">
        <f>H346</f>
        <v/>
      </c>
      <c r="E346" s="456">
        <f>F345+2</f>
        <v/>
      </c>
      <c r="F346" s="456">
        <f>E346+5</f>
        <v/>
      </c>
      <c r="G346" s="141">
        <f>_xlfn.CONCAT(YEAR(E346),".",TEXT(MONTH(E346),"0#"))</f>
        <v/>
      </c>
      <c r="H346">
        <f>YEAR(E346)</f>
        <v/>
      </c>
      <c r="I346">
        <f>IF(VLOOKUP(G346,AC:AD,2,FALSE)&lt;4,1,0)</f>
        <v/>
      </c>
      <c r="J346">
        <f>IF(AND(DAY(F346)&lt; DAY(E346),I346=1),MONTH(E346)+1,MONTH(E346))</f>
        <v/>
      </c>
      <c r="K346" s="201">
        <f>_xlfn.CONCAT(H346,".",TEXT(J346,"0#"))</f>
        <v/>
      </c>
    </row>
    <row r="347">
      <c r="A347" t="inlineStr">
        <is>
          <t>.t346</t>
        </is>
      </c>
      <c r="B347" s="141" t="n">
        <v>346</v>
      </c>
      <c r="C347">
        <f>H347</f>
        <v/>
      </c>
      <c r="E347" s="456">
        <f>F346+2</f>
        <v/>
      </c>
      <c r="F347" s="456">
        <f>E347+5</f>
        <v/>
      </c>
      <c r="G347" s="141">
        <f>_xlfn.CONCAT(YEAR(E347),".",TEXT(MONTH(E347),"0#"))</f>
        <v/>
      </c>
      <c r="H347">
        <f>YEAR(E347)</f>
        <v/>
      </c>
      <c r="I347">
        <f>IF(VLOOKUP(G347,AC:AD,2,FALSE)&lt;4,1,0)</f>
        <v/>
      </c>
      <c r="J347">
        <f>IF(AND(DAY(F347)&lt; DAY(E347),I347=1),MONTH(E347)+1,MONTH(E347))</f>
        <v/>
      </c>
      <c r="K347" s="201">
        <f>_xlfn.CONCAT(H347,".",TEXT(J347,"0#"))</f>
        <v/>
      </c>
    </row>
    <row r="348">
      <c r="A348" t="inlineStr">
        <is>
          <t>.t347</t>
        </is>
      </c>
      <c r="B348" s="141" t="n">
        <v>347</v>
      </c>
      <c r="C348">
        <f>H348</f>
        <v/>
      </c>
      <c r="E348" s="456">
        <f>F347+2</f>
        <v/>
      </c>
      <c r="F348" s="456">
        <f>E348+5</f>
        <v/>
      </c>
      <c r="G348" s="141">
        <f>_xlfn.CONCAT(YEAR(E348),".",TEXT(MONTH(E348),"0#"))</f>
        <v/>
      </c>
      <c r="H348">
        <f>YEAR(E348)</f>
        <v/>
      </c>
      <c r="I348">
        <f>IF(VLOOKUP(G348,AC:AD,2,FALSE)&lt;4,1,0)</f>
        <v/>
      </c>
      <c r="J348">
        <f>IF(AND(DAY(F348)&lt; DAY(E348),I348=1),MONTH(E348)+1,MONTH(E348))</f>
        <v/>
      </c>
      <c r="K348" s="201">
        <f>_xlfn.CONCAT(H348,".",TEXT(J348,"0#"))</f>
        <v/>
      </c>
    </row>
    <row r="349">
      <c r="A349" t="inlineStr">
        <is>
          <t>.t348</t>
        </is>
      </c>
      <c r="B349" s="141" t="n">
        <v>348</v>
      </c>
      <c r="C349">
        <f>H349</f>
        <v/>
      </c>
      <c r="E349" s="456">
        <f>F348+2</f>
        <v/>
      </c>
      <c r="F349" s="456">
        <f>E349+5</f>
        <v/>
      </c>
      <c r="G349" s="141">
        <f>_xlfn.CONCAT(YEAR(E349),".",TEXT(MONTH(E349),"0#"))</f>
        <v/>
      </c>
      <c r="H349">
        <f>YEAR(E349)</f>
        <v/>
      </c>
      <c r="I349">
        <f>IF(VLOOKUP(G349,AC:AD,2,FALSE)&lt;4,1,0)</f>
        <v/>
      </c>
      <c r="J349">
        <f>IF(AND(DAY(F349)&lt; DAY(E349),I349=1),MONTH(E349)+1,MONTH(E349))</f>
        <v/>
      </c>
      <c r="K349" s="201">
        <f>_xlfn.CONCAT(H349,".",TEXT(J349,"0#"))</f>
        <v/>
      </c>
    </row>
    <row r="350">
      <c r="A350" t="inlineStr">
        <is>
          <t>.t349</t>
        </is>
      </c>
      <c r="B350" s="141" t="n">
        <v>349</v>
      </c>
      <c r="C350">
        <f>H350</f>
        <v/>
      </c>
      <c r="E350" s="456">
        <f>F349+2</f>
        <v/>
      </c>
      <c r="F350" s="456">
        <f>E350+5</f>
        <v/>
      </c>
      <c r="G350" s="141">
        <f>_xlfn.CONCAT(YEAR(E350),".",TEXT(MONTH(E350),"0#"))</f>
        <v/>
      </c>
      <c r="H350">
        <f>YEAR(E350)</f>
        <v/>
      </c>
      <c r="I350">
        <f>IF(VLOOKUP(G350,AC:AD,2,FALSE)&lt;4,1,0)</f>
        <v/>
      </c>
      <c r="J350">
        <f>IF(AND(DAY(F350)&lt; DAY(E350),I350=1),MONTH(E350)+1,MONTH(E350))</f>
        <v/>
      </c>
      <c r="K350" s="201">
        <f>_xlfn.CONCAT(H350,".",TEXT(J350,"0#"))</f>
        <v/>
      </c>
    </row>
    <row r="351">
      <c r="A351" t="inlineStr">
        <is>
          <t>.t350</t>
        </is>
      </c>
      <c r="B351" s="141" t="n">
        <v>350</v>
      </c>
      <c r="C351">
        <f>H351</f>
        <v/>
      </c>
      <c r="E351" s="456">
        <f>F350+2</f>
        <v/>
      </c>
      <c r="F351" s="456">
        <f>E351+5</f>
        <v/>
      </c>
      <c r="G351" s="141">
        <f>_xlfn.CONCAT(YEAR(E351),".",TEXT(MONTH(E351),"0#"))</f>
        <v/>
      </c>
      <c r="H351">
        <f>YEAR(E351)</f>
        <v/>
      </c>
      <c r="I351">
        <f>IF(VLOOKUP(G351,AC:AD,2,FALSE)&lt;4,1,0)</f>
        <v/>
      </c>
      <c r="J351">
        <f>IF(AND(DAY(F351)&lt; DAY(E351),I351=1),MONTH(E351)+1,MONTH(E351))</f>
        <v/>
      </c>
      <c r="K351" s="201">
        <f>_xlfn.CONCAT(H351,".",TEXT(J351,"0#"))</f>
        <v/>
      </c>
    </row>
    <row r="352">
      <c r="A352" t="inlineStr">
        <is>
          <t>.t351</t>
        </is>
      </c>
      <c r="B352" s="141" t="n">
        <v>351</v>
      </c>
      <c r="C352">
        <f>H352</f>
        <v/>
      </c>
      <c r="E352" s="456">
        <f>F351+2</f>
        <v/>
      </c>
      <c r="F352" s="456">
        <f>E352+5</f>
        <v/>
      </c>
      <c r="G352" s="141">
        <f>_xlfn.CONCAT(YEAR(E352),".",TEXT(MONTH(E352),"0#"))</f>
        <v/>
      </c>
      <c r="H352">
        <f>YEAR(E352)</f>
        <v/>
      </c>
      <c r="I352">
        <f>IF(VLOOKUP(G352,AC:AD,2,FALSE)&lt;4,1,0)</f>
        <v/>
      </c>
      <c r="J352">
        <f>IF(AND(DAY(F352)&lt; DAY(E352),I352=1),MONTH(E352)+1,MONTH(E352))</f>
        <v/>
      </c>
      <c r="K352" s="201">
        <f>_xlfn.CONCAT(H352,".",TEXT(J352,"0#"))</f>
        <v/>
      </c>
    </row>
    <row r="353">
      <c r="A353" t="inlineStr">
        <is>
          <t>.t352</t>
        </is>
      </c>
      <c r="B353" s="141" t="n">
        <v>352</v>
      </c>
      <c r="C353">
        <f>H353</f>
        <v/>
      </c>
      <c r="E353" s="456">
        <f>F352+2</f>
        <v/>
      </c>
      <c r="F353" s="456">
        <f>E353+5</f>
        <v/>
      </c>
      <c r="G353" s="141">
        <f>_xlfn.CONCAT(YEAR(E353),".",TEXT(MONTH(E353),"0#"))</f>
        <v/>
      </c>
      <c r="H353">
        <f>YEAR(E353)</f>
        <v/>
      </c>
      <c r="I353">
        <f>IF(VLOOKUP(G353,AC:AD,2,FALSE)&lt;4,1,0)</f>
        <v/>
      </c>
      <c r="J353">
        <f>IF(AND(DAY(F353)&lt; DAY(E353),I353=1),MONTH(E353)+1,MONTH(E353))</f>
        <v/>
      </c>
      <c r="K353" s="201">
        <f>_xlfn.CONCAT(H353,".",TEXT(J353,"0#"))</f>
        <v/>
      </c>
    </row>
    <row r="354">
      <c r="A354" t="inlineStr">
        <is>
          <t>.t353</t>
        </is>
      </c>
      <c r="B354" s="141" t="n">
        <v>353</v>
      </c>
      <c r="C354">
        <f>H354</f>
        <v/>
      </c>
      <c r="E354" s="456">
        <f>F353+2</f>
        <v/>
      </c>
      <c r="F354" s="456">
        <f>E354+5</f>
        <v/>
      </c>
      <c r="G354" s="141">
        <f>_xlfn.CONCAT(YEAR(E354),".",TEXT(MONTH(E354),"0#"))</f>
        <v/>
      </c>
      <c r="H354">
        <f>YEAR(E354)</f>
        <v/>
      </c>
      <c r="I354">
        <f>IF(VLOOKUP(G354,AC:AD,2,FALSE)&lt;4,1,0)</f>
        <v/>
      </c>
      <c r="J354">
        <f>IF(AND(DAY(F354)&lt; DAY(E354),I354=1),MONTH(E354)+1,MONTH(E354))</f>
        <v/>
      </c>
      <c r="K354" s="201">
        <f>_xlfn.CONCAT(H354,".",TEXT(J354,"0#"))</f>
        <v/>
      </c>
    </row>
    <row r="355">
      <c r="A355" t="inlineStr">
        <is>
          <t>.t354</t>
        </is>
      </c>
      <c r="B355" s="141" t="n">
        <v>354</v>
      </c>
      <c r="C355">
        <f>H355</f>
        <v/>
      </c>
      <c r="E355" s="456">
        <f>F354+2</f>
        <v/>
      </c>
      <c r="F355" s="456">
        <f>E355+5</f>
        <v/>
      </c>
      <c r="G355" s="141">
        <f>_xlfn.CONCAT(YEAR(E355),".",TEXT(MONTH(E355),"0#"))</f>
        <v/>
      </c>
      <c r="H355">
        <f>YEAR(E355)</f>
        <v/>
      </c>
      <c r="I355">
        <f>IF(VLOOKUP(G355,AC:AD,2,FALSE)&lt;4,1,0)</f>
        <v/>
      </c>
      <c r="J355">
        <f>IF(AND(DAY(F355)&lt; DAY(E355),I355=1),MONTH(E355)+1,MONTH(E355))</f>
        <v/>
      </c>
      <c r="K355" s="201">
        <f>_xlfn.CONCAT(H355,".",TEXT(J355,"0#"))</f>
        <v/>
      </c>
    </row>
    <row r="356">
      <c r="A356" t="inlineStr">
        <is>
          <t>.t355</t>
        </is>
      </c>
      <c r="B356" s="141" t="n">
        <v>355</v>
      </c>
      <c r="C356">
        <f>H356</f>
        <v/>
      </c>
      <c r="E356" s="456">
        <f>F355+2</f>
        <v/>
      </c>
      <c r="F356" s="456">
        <f>E356+5</f>
        <v/>
      </c>
      <c r="G356" s="141">
        <f>_xlfn.CONCAT(YEAR(E356),".",TEXT(MONTH(E356),"0#"))</f>
        <v/>
      </c>
      <c r="H356">
        <f>YEAR(E356)</f>
        <v/>
      </c>
      <c r="I356">
        <f>IF(VLOOKUP(G356,AC:AD,2,FALSE)&lt;4,1,0)</f>
        <v/>
      </c>
      <c r="J356">
        <f>IF(AND(DAY(F356)&lt; DAY(E356),I356=1),MONTH(E356)+1,MONTH(E356))</f>
        <v/>
      </c>
      <c r="K356" s="201">
        <f>_xlfn.CONCAT(H356,".",TEXT(J356,"0#"))</f>
        <v/>
      </c>
    </row>
    <row r="357">
      <c r="A357" t="inlineStr">
        <is>
          <t>.t356</t>
        </is>
      </c>
      <c r="B357" s="141" t="n">
        <v>356</v>
      </c>
      <c r="C357">
        <f>H357</f>
        <v/>
      </c>
      <c r="E357" s="456">
        <f>F356+2</f>
        <v/>
      </c>
      <c r="F357" s="456">
        <f>E357+5</f>
        <v/>
      </c>
      <c r="G357" s="141">
        <f>_xlfn.CONCAT(YEAR(E357),".",TEXT(MONTH(E357),"0#"))</f>
        <v/>
      </c>
      <c r="H357">
        <f>YEAR(E357)</f>
        <v/>
      </c>
      <c r="I357">
        <f>IF(VLOOKUP(G357,AC:AD,2,FALSE)&lt;4,1,0)</f>
        <v/>
      </c>
      <c r="J357">
        <f>IF(AND(DAY(F357)&lt; DAY(E357),I357=1),MONTH(E357)+1,MONTH(E357))</f>
        <v/>
      </c>
      <c r="K357" s="201">
        <f>_xlfn.CONCAT(H357,".",TEXT(J357,"0#"))</f>
        <v/>
      </c>
    </row>
    <row r="358">
      <c r="A358" t="inlineStr">
        <is>
          <t>.t357</t>
        </is>
      </c>
      <c r="B358" s="141" t="n">
        <v>357</v>
      </c>
      <c r="C358">
        <f>H358</f>
        <v/>
      </c>
      <c r="E358" s="456">
        <f>F357+2</f>
        <v/>
      </c>
      <c r="F358" s="456">
        <f>E358+5</f>
        <v/>
      </c>
      <c r="G358" s="141">
        <f>_xlfn.CONCAT(YEAR(E358),".",TEXT(MONTH(E358),"0#"))</f>
        <v/>
      </c>
      <c r="H358">
        <f>YEAR(E358)</f>
        <v/>
      </c>
      <c r="I358">
        <f>IF(VLOOKUP(G358,AC:AD,2,FALSE)&lt;4,1,0)</f>
        <v/>
      </c>
      <c r="J358">
        <f>IF(AND(DAY(F358)&lt; DAY(E358),I358=1),MONTH(E358)+1,MONTH(E358))</f>
        <v/>
      </c>
      <c r="K358" s="201">
        <f>_xlfn.CONCAT(H358,".",TEXT(J358,"0#"))</f>
        <v/>
      </c>
    </row>
    <row r="359">
      <c r="A359" t="inlineStr">
        <is>
          <t>.t358</t>
        </is>
      </c>
      <c r="B359" s="141" t="n">
        <v>358</v>
      </c>
      <c r="C359">
        <f>H359</f>
        <v/>
      </c>
      <c r="E359" s="456">
        <f>F358+2</f>
        <v/>
      </c>
      <c r="F359" s="456">
        <f>E359+5</f>
        <v/>
      </c>
      <c r="G359" s="141">
        <f>_xlfn.CONCAT(YEAR(E359),".",TEXT(MONTH(E359),"0#"))</f>
        <v/>
      </c>
      <c r="H359">
        <f>YEAR(E359)</f>
        <v/>
      </c>
      <c r="I359">
        <f>IF(VLOOKUP(G359,AC:AD,2,FALSE)&lt;4,1,0)</f>
        <v/>
      </c>
      <c r="J359">
        <f>IF(AND(DAY(F359)&lt; DAY(E359),I359=1),MONTH(E359)+1,MONTH(E359))</f>
        <v/>
      </c>
      <c r="K359" s="201">
        <f>_xlfn.CONCAT(H359,".",TEXT(J359,"0#"))</f>
        <v/>
      </c>
    </row>
    <row r="360">
      <c r="A360" t="inlineStr">
        <is>
          <t>.t359</t>
        </is>
      </c>
      <c r="B360" s="141" t="n">
        <v>359</v>
      </c>
      <c r="C360">
        <f>H360</f>
        <v/>
      </c>
      <c r="E360" s="456">
        <f>F359+2</f>
        <v/>
      </c>
      <c r="F360" s="456">
        <f>E360+5</f>
        <v/>
      </c>
      <c r="G360" s="141">
        <f>_xlfn.CONCAT(YEAR(E360),".",TEXT(MONTH(E360),"0#"))</f>
        <v/>
      </c>
      <c r="H360">
        <f>YEAR(E360)</f>
        <v/>
      </c>
      <c r="I360">
        <f>IF(VLOOKUP(G360,AC:AD,2,FALSE)&lt;4,1,0)</f>
        <v/>
      </c>
      <c r="J360">
        <f>IF(AND(DAY(F360)&lt; DAY(E360),I360=1),MONTH(E360)+1,MONTH(E360))</f>
        <v/>
      </c>
      <c r="K360" s="201">
        <f>_xlfn.CONCAT(H360,".",TEXT(J360,"0#"))</f>
        <v/>
      </c>
    </row>
    <row r="361">
      <c r="A361" t="inlineStr">
        <is>
          <t>.t360</t>
        </is>
      </c>
      <c r="B361" s="141" t="n">
        <v>360</v>
      </c>
      <c r="C361">
        <f>H361</f>
        <v/>
      </c>
      <c r="E361" s="456">
        <f>F360+2</f>
        <v/>
      </c>
      <c r="F361" s="456">
        <f>E361+5</f>
        <v/>
      </c>
      <c r="G361" s="141">
        <f>_xlfn.CONCAT(YEAR(E361),".",TEXT(MONTH(E361),"0#"))</f>
        <v/>
      </c>
      <c r="H361">
        <f>YEAR(E361)</f>
        <v/>
      </c>
      <c r="I361">
        <f>IF(VLOOKUP(G361,AC:AD,2,FALSE)&lt;4,1,0)</f>
        <v/>
      </c>
      <c r="J361">
        <f>IF(AND(DAY(F361)&lt; DAY(E361),I361=1),MONTH(E361)+1,MONTH(E361))</f>
        <v/>
      </c>
      <c r="K361" s="201">
        <f>_xlfn.CONCAT(H361,".",TEXT(J361,"0#"))</f>
        <v/>
      </c>
    </row>
    <row r="362">
      <c r="A362" t="inlineStr">
        <is>
          <t>.t361</t>
        </is>
      </c>
      <c r="B362" s="141" t="n">
        <v>361</v>
      </c>
      <c r="C362">
        <f>H362</f>
        <v/>
      </c>
      <c r="E362" s="456">
        <f>F361+2</f>
        <v/>
      </c>
      <c r="F362" s="456">
        <f>E362+5</f>
        <v/>
      </c>
      <c r="G362" s="141">
        <f>_xlfn.CONCAT(YEAR(E362),".",TEXT(MONTH(E362),"0#"))</f>
        <v/>
      </c>
      <c r="H362">
        <f>YEAR(E362)</f>
        <v/>
      </c>
      <c r="I362">
        <f>IF(VLOOKUP(G362,AC:AD,2,FALSE)&lt;4,1,0)</f>
        <v/>
      </c>
      <c r="J362">
        <f>IF(AND(DAY(F362)&lt; DAY(E362),I362=1),MONTH(E362)+1,MONTH(E362))</f>
        <v/>
      </c>
      <c r="K362" s="201">
        <f>_xlfn.CONCAT(H362,".",TEXT(J362,"0#"))</f>
        <v/>
      </c>
    </row>
    <row r="363">
      <c r="A363" t="inlineStr">
        <is>
          <t>.t362</t>
        </is>
      </c>
      <c r="B363" s="141" t="n">
        <v>362</v>
      </c>
      <c r="C363">
        <f>H363</f>
        <v/>
      </c>
      <c r="E363" s="456">
        <f>F362+2</f>
        <v/>
      </c>
      <c r="F363" s="456">
        <f>E363+5</f>
        <v/>
      </c>
      <c r="G363" s="141">
        <f>_xlfn.CONCAT(YEAR(E363),".",TEXT(MONTH(E363),"0#"))</f>
        <v/>
      </c>
      <c r="H363">
        <f>YEAR(E363)</f>
        <v/>
      </c>
      <c r="I363">
        <f>IF(VLOOKUP(G363,AC:AD,2,FALSE)&lt;4,1,0)</f>
        <v/>
      </c>
      <c r="J363">
        <f>IF(AND(DAY(F363)&lt; DAY(E363),I363=1),MONTH(E363)+1,MONTH(E363))</f>
        <v/>
      </c>
      <c r="K363" s="201">
        <f>_xlfn.CONCAT(H363,".",TEXT(J363,"0#"))</f>
        <v/>
      </c>
    </row>
    <row r="364">
      <c r="A364" t="inlineStr">
        <is>
          <t>.t363</t>
        </is>
      </c>
      <c r="B364" s="141" t="n">
        <v>363</v>
      </c>
      <c r="C364">
        <f>H364</f>
        <v/>
      </c>
      <c r="E364" s="456">
        <f>F363+2</f>
        <v/>
      </c>
      <c r="F364" s="456">
        <f>E364+5</f>
        <v/>
      </c>
      <c r="G364" s="141">
        <f>_xlfn.CONCAT(YEAR(E364),".",TEXT(MONTH(E364),"0#"))</f>
        <v/>
      </c>
      <c r="H364">
        <f>YEAR(E364)</f>
        <v/>
      </c>
      <c r="I364">
        <f>IF(VLOOKUP(G364,AC:AD,2,FALSE)&lt;4,1,0)</f>
        <v/>
      </c>
      <c r="J364">
        <f>IF(AND(DAY(F364)&lt; DAY(E364),I364=1),MONTH(E364)+1,MONTH(E364))</f>
        <v/>
      </c>
      <c r="K364" s="201">
        <f>_xlfn.CONCAT(H364,".",TEXT(J364,"0#"))</f>
        <v/>
      </c>
    </row>
    <row r="365">
      <c r="A365" t="inlineStr">
        <is>
          <t>.t364</t>
        </is>
      </c>
      <c r="B365" s="141" t="n">
        <v>364</v>
      </c>
      <c r="C365">
        <f>H365</f>
        <v/>
      </c>
      <c r="E365" s="456">
        <f>F364+2</f>
        <v/>
      </c>
      <c r="F365" s="456">
        <f>E365+5</f>
        <v/>
      </c>
      <c r="G365" s="141">
        <f>_xlfn.CONCAT(YEAR(E365),".",TEXT(MONTH(E365),"0#"))</f>
        <v/>
      </c>
      <c r="H365">
        <f>YEAR(E365)</f>
        <v/>
      </c>
      <c r="I365">
        <f>IF(VLOOKUP(G365,AC:AD,2,FALSE)&lt;4,1,0)</f>
        <v/>
      </c>
      <c r="J365">
        <f>IF(AND(DAY(F365)&lt; DAY(E365),I365=1),MONTH(E365)+1,MONTH(E365))</f>
        <v/>
      </c>
      <c r="K365" s="201">
        <f>_xlfn.CONCAT(H365,".",TEXT(J365,"0#"))</f>
        <v/>
      </c>
    </row>
    <row r="366">
      <c r="A366" t="inlineStr">
        <is>
          <t>.t365</t>
        </is>
      </c>
      <c r="B366" s="141" t="n">
        <v>365</v>
      </c>
      <c r="C366">
        <f>H366</f>
        <v/>
      </c>
      <c r="E366" s="456">
        <f>F365+2</f>
        <v/>
      </c>
      <c r="F366" s="456">
        <f>E366+5</f>
        <v/>
      </c>
      <c r="G366" s="141">
        <f>_xlfn.CONCAT(YEAR(E366),".",TEXT(MONTH(E366),"0#"))</f>
        <v/>
      </c>
      <c r="H366">
        <f>YEAR(E366)</f>
        <v/>
      </c>
      <c r="I366">
        <f>IF(VLOOKUP(G366,AC:AD,2,FALSE)&lt;4,1,0)</f>
        <v/>
      </c>
      <c r="J366">
        <f>IF(AND(DAY(F366)&lt; DAY(E366),I366=1),MONTH(E366)+1,MONTH(E366))</f>
        <v/>
      </c>
      <c r="K366" s="201">
        <f>_xlfn.CONCAT(H366,".",TEXT(J366,"0#"))</f>
        <v/>
      </c>
    </row>
    <row r="367">
      <c r="A367" t="inlineStr">
        <is>
          <t>.t366</t>
        </is>
      </c>
      <c r="B367" s="141" t="n">
        <v>366</v>
      </c>
      <c r="C367">
        <f>H367</f>
        <v/>
      </c>
      <c r="E367" s="456">
        <f>F366+2</f>
        <v/>
      </c>
      <c r="F367" s="456">
        <f>E367+5</f>
        <v/>
      </c>
      <c r="G367" s="141">
        <f>_xlfn.CONCAT(YEAR(E367),".",TEXT(MONTH(E367),"0#"))</f>
        <v/>
      </c>
      <c r="H367">
        <f>YEAR(E367)</f>
        <v/>
      </c>
      <c r="I367">
        <f>IF(VLOOKUP(G367,AC:AD,2,FALSE)&lt;4,1,0)</f>
        <v/>
      </c>
      <c r="J367">
        <f>IF(AND(DAY(F367)&lt; DAY(E367),I367=1),MONTH(E367)+1,MONTH(E367))</f>
        <v/>
      </c>
      <c r="K367" s="201">
        <f>_xlfn.CONCAT(H367,".",TEXT(J367,"0#"))</f>
        <v/>
      </c>
    </row>
    <row r="368">
      <c r="A368" t="inlineStr">
        <is>
          <t>.t367</t>
        </is>
      </c>
      <c r="B368" t="n">
        <v>367</v>
      </c>
      <c r="C368">
        <f>H368</f>
        <v/>
      </c>
      <c r="E368" s="456">
        <f>F367+2</f>
        <v/>
      </c>
      <c r="F368" s="456">
        <f>E368+5</f>
        <v/>
      </c>
      <c r="G368" s="141">
        <f>_xlfn.CONCAT(YEAR(E368),".",TEXT(MONTH(E368),"0#"))</f>
        <v/>
      </c>
      <c r="H368">
        <f>YEAR(E368)</f>
        <v/>
      </c>
      <c r="I368">
        <f>IF(VLOOKUP(G368,AC:AD,2,FALSE)&lt;4,1,0)</f>
        <v/>
      </c>
      <c r="J368">
        <f>IF(AND(DAY(F368)&lt; DAY(E368),I368=1),MONTH(E368)+1,MONTH(E368))</f>
        <v/>
      </c>
      <c r="K368" s="201">
        <f>_xlfn.CONCAT(H368,".",TEXT(J368,"0#"))</f>
        <v/>
      </c>
    </row>
    <row r="369">
      <c r="A369" t="inlineStr">
        <is>
          <t>.t368</t>
        </is>
      </c>
      <c r="B369" t="n">
        <v>368</v>
      </c>
      <c r="C369">
        <f>H369</f>
        <v/>
      </c>
      <c r="E369" s="456">
        <f>F368+2</f>
        <v/>
      </c>
      <c r="F369" s="456">
        <f>E369+5</f>
        <v/>
      </c>
      <c r="G369" s="141">
        <f>_xlfn.CONCAT(YEAR(E369),".",TEXT(MONTH(E369),"0#"))</f>
        <v/>
      </c>
      <c r="H369">
        <f>YEAR(E369)</f>
        <v/>
      </c>
      <c r="I369">
        <f>IF(VLOOKUP(G369,AC:AD,2,FALSE)&lt;4,1,0)</f>
        <v/>
      </c>
      <c r="J369">
        <f>IF(AND(DAY(F369)&lt; DAY(E369),I369=1),MONTH(E369)+1,MONTH(E369))</f>
        <v/>
      </c>
      <c r="K369" s="201">
        <f>_xlfn.CONCAT(H369,".",TEXT(J369,"0#"))</f>
        <v/>
      </c>
    </row>
    <row r="370">
      <c r="A370" t="inlineStr">
        <is>
          <t>.t369</t>
        </is>
      </c>
      <c r="B370" t="n">
        <v>369</v>
      </c>
      <c r="C370">
        <f>H370</f>
        <v/>
      </c>
      <c r="E370" s="456">
        <f>F369+2</f>
        <v/>
      </c>
      <c r="F370" s="456">
        <f>E370+5</f>
        <v/>
      </c>
      <c r="G370" s="141">
        <f>_xlfn.CONCAT(YEAR(E370),".",TEXT(MONTH(E370),"0#"))</f>
        <v/>
      </c>
      <c r="H370">
        <f>YEAR(E370)</f>
        <v/>
      </c>
      <c r="I370">
        <f>IF(VLOOKUP(G370,AC:AD,2,FALSE)&lt;4,1,0)</f>
        <v/>
      </c>
      <c r="J370">
        <f>IF(AND(DAY(F370)&lt; DAY(E370),I370=1),MONTH(E370)+1,MONTH(E370))</f>
        <v/>
      </c>
      <c r="K370" s="201">
        <f>_xlfn.CONCAT(H370,".",TEXT(J370,"0#"))</f>
        <v/>
      </c>
    </row>
    <row r="371">
      <c r="A371" t="inlineStr">
        <is>
          <t>.t370</t>
        </is>
      </c>
      <c r="B371" t="n">
        <v>370</v>
      </c>
      <c r="C371">
        <f>H371</f>
        <v/>
      </c>
      <c r="E371" s="456">
        <f>F370+2</f>
        <v/>
      </c>
      <c r="F371" s="456">
        <f>E371+5</f>
        <v/>
      </c>
      <c r="G371" s="141">
        <f>_xlfn.CONCAT(YEAR(E371),".",TEXT(MONTH(E371),"0#"))</f>
        <v/>
      </c>
      <c r="H371">
        <f>YEAR(E371)</f>
        <v/>
      </c>
      <c r="I371">
        <f>IF(VLOOKUP(G371,AC:AD,2,FALSE)&lt;4,1,0)</f>
        <v/>
      </c>
      <c r="J371">
        <f>IF(AND(DAY(F371)&lt; DAY(E371),I371=1),MONTH(E371)+1,MONTH(E371))</f>
        <v/>
      </c>
      <c r="K371" s="201">
        <f>_xlfn.CONCAT(H371,".",TEXT(J371,"0#"))</f>
        <v/>
      </c>
    </row>
    <row r="372">
      <c r="A372" t="inlineStr">
        <is>
          <t>.t371</t>
        </is>
      </c>
      <c r="B372" t="n">
        <v>371</v>
      </c>
      <c r="C372">
        <f>H372</f>
        <v/>
      </c>
      <c r="E372" s="456">
        <f>F371+2</f>
        <v/>
      </c>
      <c r="F372" s="456">
        <f>E372+5</f>
        <v/>
      </c>
      <c r="G372" s="141">
        <f>_xlfn.CONCAT(YEAR(E372),".",TEXT(MONTH(E372),"0#"))</f>
        <v/>
      </c>
      <c r="H372">
        <f>YEAR(E372)</f>
        <v/>
      </c>
      <c r="I372">
        <f>IF(VLOOKUP(G372,AC:AD,2,FALSE)&lt;4,1,0)</f>
        <v/>
      </c>
      <c r="J372">
        <f>IF(AND(DAY(F372)&lt; DAY(E372),I372=1),MONTH(E372)+1,MONTH(E372))</f>
        <v/>
      </c>
      <c r="K372" s="201">
        <f>_xlfn.CONCAT(H372,".",TEXT(J372,"0#"))</f>
        <v/>
      </c>
    </row>
    <row r="373">
      <c r="A373" t="inlineStr">
        <is>
          <t>.t372</t>
        </is>
      </c>
      <c r="B373" t="n">
        <v>372</v>
      </c>
      <c r="C373">
        <f>H373</f>
        <v/>
      </c>
      <c r="E373" s="456">
        <f>F372+2</f>
        <v/>
      </c>
      <c r="F373" s="456">
        <f>E373+5</f>
        <v/>
      </c>
      <c r="G373" s="141">
        <f>_xlfn.CONCAT(YEAR(E373),".",TEXT(MONTH(E373),"0#"))</f>
        <v/>
      </c>
      <c r="H373">
        <f>YEAR(E373)</f>
        <v/>
      </c>
      <c r="I373">
        <f>IF(VLOOKUP(G373,AC:AD,2,FALSE)&lt;4,1,0)</f>
        <v/>
      </c>
      <c r="J373">
        <f>IF(AND(DAY(F373)&lt; DAY(E373),I373=1),MONTH(E373)+1,MONTH(E373))</f>
        <v/>
      </c>
      <c r="K373" s="201">
        <f>_xlfn.CONCAT(H373,".",TEXT(J373,"0#"))</f>
        <v/>
      </c>
    </row>
    <row r="374">
      <c r="A374" t="inlineStr">
        <is>
          <t>.t373</t>
        </is>
      </c>
      <c r="B374" t="n">
        <v>373</v>
      </c>
      <c r="C374">
        <f>H374</f>
        <v/>
      </c>
      <c r="E374" s="456">
        <f>F373+2</f>
        <v/>
      </c>
      <c r="F374" s="456">
        <f>E374+5</f>
        <v/>
      </c>
      <c r="G374" s="141">
        <f>_xlfn.CONCAT(YEAR(E374),".",TEXT(MONTH(E374),"0#"))</f>
        <v/>
      </c>
      <c r="H374">
        <f>YEAR(E374)</f>
        <v/>
      </c>
      <c r="I374">
        <f>IF(VLOOKUP(G374,AC:AD,2,FALSE)&lt;4,1,0)</f>
        <v/>
      </c>
      <c r="J374">
        <f>IF(AND(DAY(F374)&lt; DAY(E374),I374=1),MONTH(E374)+1,MONTH(E374))</f>
        <v/>
      </c>
      <c r="K374" s="201">
        <f>_xlfn.CONCAT(H374,".",TEXT(J374,"0#"))</f>
        <v/>
      </c>
    </row>
    <row r="375">
      <c r="A375" t="inlineStr">
        <is>
          <t>.t374</t>
        </is>
      </c>
      <c r="B375" t="n">
        <v>374</v>
      </c>
      <c r="C375">
        <f>H375</f>
        <v/>
      </c>
      <c r="E375" s="456">
        <f>F374+2</f>
        <v/>
      </c>
      <c r="F375" s="456">
        <f>E375+5</f>
        <v/>
      </c>
      <c r="G375" s="141">
        <f>_xlfn.CONCAT(YEAR(E375),".",TEXT(MONTH(E375),"0#"))</f>
        <v/>
      </c>
      <c r="H375">
        <f>YEAR(E375)</f>
        <v/>
      </c>
      <c r="I375">
        <f>IF(VLOOKUP(G375,AC:AD,2,FALSE)&lt;4,1,0)</f>
        <v/>
      </c>
      <c r="J375">
        <f>IF(AND(DAY(F375)&lt; DAY(E375),I375=1),MONTH(E375)+1,MONTH(E375))</f>
        <v/>
      </c>
      <c r="K375" s="201">
        <f>_xlfn.CONCAT(H375,".",TEXT(J375,"0#"))</f>
        <v/>
      </c>
    </row>
    <row r="376">
      <c r="A376" t="inlineStr">
        <is>
          <t>.t375</t>
        </is>
      </c>
      <c r="B376" t="n">
        <v>375</v>
      </c>
      <c r="C376">
        <f>H376</f>
        <v/>
      </c>
      <c r="E376" s="456">
        <f>F375+2</f>
        <v/>
      </c>
      <c r="F376" s="456">
        <f>E376+5</f>
        <v/>
      </c>
      <c r="G376" s="141">
        <f>_xlfn.CONCAT(YEAR(E376),".",TEXT(MONTH(E376),"0#"))</f>
        <v/>
      </c>
      <c r="H376">
        <f>YEAR(E376)</f>
        <v/>
      </c>
      <c r="I376">
        <f>IF(VLOOKUP(G376,AC:AD,2,FALSE)&lt;4,1,0)</f>
        <v/>
      </c>
      <c r="J376">
        <f>IF(AND(DAY(F376)&lt; DAY(E376),I376=1),MONTH(E376)+1,MONTH(E376))</f>
        <v/>
      </c>
      <c r="K376" s="201">
        <f>_xlfn.CONCAT(H376,".",TEXT(J376,"0#"))</f>
        <v/>
      </c>
    </row>
    <row r="377">
      <c r="A377" t="inlineStr">
        <is>
          <t>.t376</t>
        </is>
      </c>
      <c r="B377" t="n">
        <v>376</v>
      </c>
      <c r="C377">
        <f>H377</f>
        <v/>
      </c>
      <c r="E377" s="456">
        <f>F376+2</f>
        <v/>
      </c>
      <c r="F377" s="456">
        <f>E377+5</f>
        <v/>
      </c>
      <c r="G377" s="141">
        <f>_xlfn.CONCAT(YEAR(E377),".",TEXT(MONTH(E377),"0#"))</f>
        <v/>
      </c>
      <c r="H377">
        <f>YEAR(E377)</f>
        <v/>
      </c>
      <c r="I377">
        <f>IF(VLOOKUP(G377,AC:AD,2,FALSE)&lt;4,1,0)</f>
        <v/>
      </c>
      <c r="J377">
        <f>IF(AND(DAY(F377)&lt; DAY(E377),I377=1),MONTH(E377)+1,MONTH(E377))</f>
        <v/>
      </c>
      <c r="K377" s="201">
        <f>_xlfn.CONCAT(H377,".",TEXT(J377,"0#"))</f>
        <v/>
      </c>
    </row>
    <row r="378">
      <c r="A378" t="inlineStr">
        <is>
          <t>.t377</t>
        </is>
      </c>
      <c r="B378" t="n">
        <v>377</v>
      </c>
      <c r="C378">
        <f>H378</f>
        <v/>
      </c>
      <c r="E378" s="456">
        <f>F377+2</f>
        <v/>
      </c>
      <c r="F378" s="456">
        <f>E378+5</f>
        <v/>
      </c>
      <c r="G378" s="141">
        <f>_xlfn.CONCAT(YEAR(E378),".",TEXT(MONTH(E378),"0#"))</f>
        <v/>
      </c>
      <c r="H378">
        <f>YEAR(E378)</f>
        <v/>
      </c>
      <c r="I378">
        <f>IF(VLOOKUP(G378,AC:AD,2,FALSE)&lt;4,1,0)</f>
        <v/>
      </c>
      <c r="J378">
        <f>IF(AND(DAY(F378)&lt; DAY(E378),I378=1),MONTH(E378)+1,MONTH(E378))</f>
        <v/>
      </c>
      <c r="K378" s="201">
        <f>_xlfn.CONCAT(H378,".",TEXT(J378,"0#"))</f>
        <v/>
      </c>
    </row>
    <row r="379">
      <c r="A379" t="inlineStr">
        <is>
          <t>.t378</t>
        </is>
      </c>
      <c r="B379" t="n">
        <v>378</v>
      </c>
      <c r="C379">
        <f>H379</f>
        <v/>
      </c>
      <c r="E379" s="456">
        <f>F378+2</f>
        <v/>
      </c>
      <c r="F379" s="456">
        <f>E379+5</f>
        <v/>
      </c>
      <c r="G379" s="141">
        <f>_xlfn.CONCAT(YEAR(E379),".",TEXT(MONTH(E379),"0#"))</f>
        <v/>
      </c>
      <c r="H379">
        <f>YEAR(E379)</f>
        <v/>
      </c>
      <c r="I379">
        <f>IF(VLOOKUP(G379,AC:AD,2,FALSE)&lt;4,1,0)</f>
        <v/>
      </c>
      <c r="J379">
        <f>IF(AND(DAY(F379)&lt; DAY(E379),I379=1),MONTH(E379)+1,MONTH(E379))</f>
        <v/>
      </c>
      <c r="K379" s="201">
        <f>_xlfn.CONCAT(H379,".",TEXT(J379,"0#"))</f>
        <v/>
      </c>
    </row>
    <row r="380">
      <c r="A380" t="inlineStr">
        <is>
          <t>.t379</t>
        </is>
      </c>
      <c r="B380" t="n">
        <v>379</v>
      </c>
      <c r="C380">
        <f>H380</f>
        <v/>
      </c>
      <c r="E380" s="456">
        <f>F379+2</f>
        <v/>
      </c>
      <c r="F380" s="456">
        <f>E380+5</f>
        <v/>
      </c>
      <c r="G380" s="141">
        <f>_xlfn.CONCAT(YEAR(E380),".",TEXT(MONTH(E380),"0#"))</f>
        <v/>
      </c>
      <c r="H380">
        <f>YEAR(E380)</f>
        <v/>
      </c>
      <c r="I380">
        <f>IF(VLOOKUP(G380,AC:AD,2,FALSE)&lt;4,1,0)</f>
        <v/>
      </c>
      <c r="J380">
        <f>IF(AND(DAY(F380)&lt; DAY(E380),I380=1),MONTH(E380)+1,MONTH(E380))</f>
        <v/>
      </c>
      <c r="K380" s="201">
        <f>_xlfn.CONCAT(H380,".",TEXT(J380,"0#"))</f>
        <v/>
      </c>
    </row>
    <row r="381">
      <c r="A381" t="inlineStr">
        <is>
          <t>.t380</t>
        </is>
      </c>
      <c r="B381" t="n">
        <v>380</v>
      </c>
      <c r="C381">
        <f>H381</f>
        <v/>
      </c>
      <c r="E381" s="456">
        <f>F380+2</f>
        <v/>
      </c>
      <c r="F381" s="456">
        <f>E381+5</f>
        <v/>
      </c>
      <c r="G381" s="141">
        <f>_xlfn.CONCAT(YEAR(E381),".",TEXT(MONTH(E381),"0#"))</f>
        <v/>
      </c>
      <c r="H381">
        <f>YEAR(E381)</f>
        <v/>
      </c>
      <c r="I381">
        <f>IF(VLOOKUP(G381,AC:AD,2,FALSE)&lt;4,1,0)</f>
        <v/>
      </c>
      <c r="J381">
        <f>IF(AND(DAY(F381)&lt; DAY(E381),I381=1),MONTH(E381)+1,MONTH(E381))</f>
        <v/>
      </c>
      <c r="K381" s="201">
        <f>_xlfn.CONCAT(H381,".",TEXT(J381,"0#"))</f>
        <v/>
      </c>
    </row>
    <row r="382">
      <c r="A382" t="inlineStr">
        <is>
          <t>.t381</t>
        </is>
      </c>
      <c r="B382" t="n">
        <v>381</v>
      </c>
      <c r="C382">
        <f>H382</f>
        <v/>
      </c>
      <c r="E382" s="456">
        <f>F381+2</f>
        <v/>
      </c>
      <c r="F382" s="456">
        <f>E382+5</f>
        <v/>
      </c>
      <c r="G382" s="141">
        <f>_xlfn.CONCAT(YEAR(E382),".",TEXT(MONTH(E382),"0#"))</f>
        <v/>
      </c>
      <c r="H382">
        <f>YEAR(E382)</f>
        <v/>
      </c>
      <c r="I382">
        <f>IF(VLOOKUP(G382,AC:AD,2,FALSE)&lt;4,1,0)</f>
        <v/>
      </c>
      <c r="J382">
        <f>IF(AND(DAY(F382)&lt; DAY(E382),I382=1),MONTH(E382)+1,MONTH(E382))</f>
        <v/>
      </c>
      <c r="K382" s="201">
        <f>_xlfn.CONCAT(H382,".",TEXT(J382,"0#"))</f>
        <v/>
      </c>
    </row>
    <row r="383">
      <c r="A383" t="inlineStr">
        <is>
          <t>.t382</t>
        </is>
      </c>
      <c r="B383" t="n">
        <v>382</v>
      </c>
      <c r="C383">
        <f>H383</f>
        <v/>
      </c>
      <c r="E383" s="456">
        <f>F382+2</f>
        <v/>
      </c>
      <c r="F383" s="456">
        <f>E383+5</f>
        <v/>
      </c>
      <c r="G383" s="141">
        <f>_xlfn.CONCAT(YEAR(E383),".",TEXT(MONTH(E383),"0#"))</f>
        <v/>
      </c>
      <c r="H383">
        <f>YEAR(E383)</f>
        <v/>
      </c>
      <c r="I383">
        <f>IF(VLOOKUP(G383,AC:AD,2,FALSE)&lt;4,1,0)</f>
        <v/>
      </c>
      <c r="J383">
        <f>IF(AND(DAY(F383)&lt; DAY(E383),I383=1),MONTH(E383)+1,MONTH(E383))</f>
        <v/>
      </c>
      <c r="K383" s="201">
        <f>_xlfn.CONCAT(H383,".",TEXT(J383,"0#"))</f>
        <v/>
      </c>
    </row>
    <row r="384">
      <c r="A384" t="inlineStr">
        <is>
          <t>.t383</t>
        </is>
      </c>
      <c r="B384" t="n">
        <v>383</v>
      </c>
      <c r="C384">
        <f>H384</f>
        <v/>
      </c>
      <c r="E384" s="456">
        <f>F383+2</f>
        <v/>
      </c>
      <c r="F384" s="456">
        <f>E384+5</f>
        <v/>
      </c>
      <c r="G384" s="141">
        <f>_xlfn.CONCAT(YEAR(E384),".",TEXT(MONTH(E384),"0#"))</f>
        <v/>
      </c>
      <c r="H384">
        <f>YEAR(E384)</f>
        <v/>
      </c>
      <c r="I384">
        <f>IF(VLOOKUP(G384,AC:AD,2,FALSE)&lt;4,1,0)</f>
        <v/>
      </c>
      <c r="J384">
        <f>IF(AND(DAY(F384)&lt; DAY(E384),I384=1),MONTH(E384)+1,MONTH(E384))</f>
        <v/>
      </c>
      <c r="K384" s="201">
        <f>_xlfn.CONCAT(H384,".",TEXT(J384,"0#"))</f>
        <v/>
      </c>
    </row>
    <row r="385">
      <c r="A385" t="inlineStr">
        <is>
          <t>.t384</t>
        </is>
      </c>
      <c r="B385" t="n">
        <v>384</v>
      </c>
      <c r="C385">
        <f>H385</f>
        <v/>
      </c>
      <c r="E385" s="456">
        <f>F384+2</f>
        <v/>
      </c>
      <c r="F385" s="456">
        <f>E385+5</f>
        <v/>
      </c>
      <c r="G385" s="141">
        <f>_xlfn.CONCAT(YEAR(E385),".",TEXT(MONTH(E385),"0#"))</f>
        <v/>
      </c>
      <c r="H385">
        <f>YEAR(E385)</f>
        <v/>
      </c>
      <c r="I385">
        <f>IF(VLOOKUP(G385,AC:AD,2,FALSE)&lt;4,1,0)</f>
        <v/>
      </c>
      <c r="J385">
        <f>IF(AND(DAY(F385)&lt; DAY(E385),I385=1),MONTH(E385)+1,MONTH(E385))</f>
        <v/>
      </c>
      <c r="K385" s="201">
        <f>_xlfn.CONCAT(H385,".",TEXT(J385,"0#"))</f>
        <v/>
      </c>
    </row>
    <row r="386">
      <c r="A386" t="inlineStr">
        <is>
          <t>.t385</t>
        </is>
      </c>
      <c r="B386" t="n">
        <v>385</v>
      </c>
      <c r="C386">
        <f>H386</f>
        <v/>
      </c>
      <c r="E386" s="456">
        <f>F385+2</f>
        <v/>
      </c>
      <c r="F386" s="456">
        <f>E386+5</f>
        <v/>
      </c>
      <c r="G386" s="141">
        <f>_xlfn.CONCAT(YEAR(E386),".",TEXT(MONTH(E386),"0#"))</f>
        <v/>
      </c>
      <c r="H386">
        <f>YEAR(E386)</f>
        <v/>
      </c>
      <c r="I386">
        <f>IF(VLOOKUP(G386,AC:AD,2,FALSE)&lt;4,1,0)</f>
        <v/>
      </c>
      <c r="J386">
        <f>IF(AND(DAY(F386)&lt; DAY(E386),I386=1),MONTH(E386)+1,MONTH(E386))</f>
        <v/>
      </c>
      <c r="K386" s="201">
        <f>_xlfn.CONCAT(H386,".",TEXT(J386,"0#"))</f>
        <v/>
      </c>
    </row>
    <row r="387">
      <c r="A387" t="inlineStr">
        <is>
          <t>.t386</t>
        </is>
      </c>
      <c r="B387" t="n">
        <v>386</v>
      </c>
      <c r="C387">
        <f>H387</f>
        <v/>
      </c>
      <c r="E387" s="456">
        <f>F386+2</f>
        <v/>
      </c>
      <c r="F387" s="456">
        <f>E387+5</f>
        <v/>
      </c>
      <c r="G387" s="141">
        <f>_xlfn.CONCAT(YEAR(E387),".",TEXT(MONTH(E387),"0#"))</f>
        <v/>
      </c>
      <c r="H387">
        <f>YEAR(E387)</f>
        <v/>
      </c>
      <c r="I387">
        <f>IF(VLOOKUP(G387,AC:AD,2,FALSE)&lt;4,1,0)</f>
        <v/>
      </c>
      <c r="J387">
        <f>IF(AND(DAY(F387)&lt; DAY(E387),I387=1),MONTH(E387)+1,MONTH(E387))</f>
        <v/>
      </c>
      <c r="K387" s="201">
        <f>_xlfn.CONCAT(H387,".",TEXT(J387,"0#"))</f>
        <v/>
      </c>
    </row>
    <row r="388">
      <c r="A388" t="inlineStr">
        <is>
          <t>.t387</t>
        </is>
      </c>
      <c r="B388" t="n">
        <v>387</v>
      </c>
      <c r="C388">
        <f>H388</f>
        <v/>
      </c>
      <c r="E388" s="456">
        <f>F387+2</f>
        <v/>
      </c>
      <c r="F388" s="456">
        <f>E388+5</f>
        <v/>
      </c>
      <c r="G388" s="141">
        <f>_xlfn.CONCAT(YEAR(E388),".",TEXT(MONTH(E388),"0#"))</f>
        <v/>
      </c>
      <c r="H388">
        <f>YEAR(E388)</f>
        <v/>
      </c>
      <c r="I388">
        <f>IF(VLOOKUP(G388,AC:AD,2,FALSE)&lt;4,1,0)</f>
        <v/>
      </c>
      <c r="J388">
        <f>IF(AND(DAY(F388)&lt; DAY(E388),I388=1),MONTH(E388)+1,MONTH(E388))</f>
        <v/>
      </c>
      <c r="K388" s="201">
        <f>_xlfn.CONCAT(H388,".",TEXT(J388,"0#"))</f>
        <v/>
      </c>
    </row>
    <row r="389">
      <c r="A389" t="inlineStr">
        <is>
          <t>.t388</t>
        </is>
      </c>
      <c r="B389" t="n">
        <v>388</v>
      </c>
      <c r="C389">
        <f>H389</f>
        <v/>
      </c>
      <c r="E389" s="456">
        <f>F388+2</f>
        <v/>
      </c>
      <c r="F389" s="456">
        <f>E389+5</f>
        <v/>
      </c>
      <c r="G389" s="141">
        <f>_xlfn.CONCAT(YEAR(E389),".",TEXT(MONTH(E389),"0#"))</f>
        <v/>
      </c>
      <c r="H389">
        <f>YEAR(E389)</f>
        <v/>
      </c>
      <c r="I389">
        <f>IF(VLOOKUP(G389,AC:AD,2,FALSE)&lt;4,1,0)</f>
        <v/>
      </c>
      <c r="J389">
        <f>IF(AND(DAY(F389)&lt; DAY(E389),I389=1),MONTH(E389)+1,MONTH(E389))</f>
        <v/>
      </c>
      <c r="K389" s="201">
        <f>_xlfn.CONCAT(H389,".",TEXT(J389,"0#"))</f>
        <v/>
      </c>
    </row>
    <row r="390">
      <c r="A390" t="inlineStr">
        <is>
          <t>.t389</t>
        </is>
      </c>
      <c r="B390" t="n">
        <v>389</v>
      </c>
      <c r="C390">
        <f>H390</f>
        <v/>
      </c>
      <c r="E390" s="456">
        <f>F389+2</f>
        <v/>
      </c>
      <c r="F390" s="456">
        <f>E390+5</f>
        <v/>
      </c>
      <c r="G390" s="141">
        <f>_xlfn.CONCAT(YEAR(E390),".",TEXT(MONTH(E390),"0#"))</f>
        <v/>
      </c>
      <c r="H390">
        <f>YEAR(E390)</f>
        <v/>
      </c>
      <c r="I390">
        <f>IF(VLOOKUP(G390,AC:AD,2,FALSE)&lt;4,1,0)</f>
        <v/>
      </c>
      <c r="J390">
        <f>IF(AND(DAY(F390)&lt; DAY(E390),I390=1),MONTH(E390)+1,MONTH(E390))</f>
        <v/>
      </c>
      <c r="K390" s="201">
        <f>_xlfn.CONCAT(H390,".",TEXT(J390,"0#"))</f>
        <v/>
      </c>
    </row>
    <row r="391">
      <c r="A391" t="inlineStr">
        <is>
          <t>.t390</t>
        </is>
      </c>
      <c r="B391" t="n">
        <v>390</v>
      </c>
      <c r="C391">
        <f>H391</f>
        <v/>
      </c>
      <c r="E391" s="456">
        <f>F390+2</f>
        <v/>
      </c>
      <c r="F391" s="456">
        <f>E391+5</f>
        <v/>
      </c>
      <c r="G391" s="141">
        <f>_xlfn.CONCAT(YEAR(E391),".",TEXT(MONTH(E391),"0#"))</f>
        <v/>
      </c>
      <c r="H391">
        <f>YEAR(E391)</f>
        <v/>
      </c>
      <c r="I391">
        <f>IF(VLOOKUP(G391,AC:AD,2,FALSE)&lt;4,1,0)</f>
        <v/>
      </c>
      <c r="J391">
        <f>IF(AND(DAY(F391)&lt; DAY(E391),I391=1),MONTH(E391)+1,MONTH(E391))</f>
        <v/>
      </c>
      <c r="K391" s="201">
        <f>_xlfn.CONCAT(H391,".",TEXT(J391,"0#"))</f>
        <v/>
      </c>
    </row>
    <row r="392">
      <c r="A392" t="inlineStr">
        <is>
          <t>.t391</t>
        </is>
      </c>
      <c r="B392" t="n">
        <v>391</v>
      </c>
      <c r="C392">
        <f>H392</f>
        <v/>
      </c>
      <c r="E392" s="456">
        <f>F391+2</f>
        <v/>
      </c>
      <c r="F392" s="456">
        <f>E392+5</f>
        <v/>
      </c>
      <c r="G392" s="141">
        <f>_xlfn.CONCAT(YEAR(E392),".",TEXT(MONTH(E392),"0#"))</f>
        <v/>
      </c>
      <c r="H392">
        <f>YEAR(E392)</f>
        <v/>
      </c>
      <c r="I392">
        <f>IF(VLOOKUP(G392,AC:AD,2,FALSE)&lt;4,1,0)</f>
        <v/>
      </c>
      <c r="J392">
        <f>IF(AND(DAY(F392)&lt; DAY(E392),I392=1),MONTH(E392)+1,MONTH(E392))</f>
        <v/>
      </c>
      <c r="K392" s="201">
        <f>_xlfn.CONCAT(H392,".",TEXT(J392,"0#"))</f>
        <v/>
      </c>
    </row>
    <row r="393">
      <c r="A393" t="inlineStr">
        <is>
          <t>.t392</t>
        </is>
      </c>
      <c r="B393" t="n">
        <v>392</v>
      </c>
      <c r="C393">
        <f>H393</f>
        <v/>
      </c>
      <c r="E393" s="456">
        <f>F392+2</f>
        <v/>
      </c>
      <c r="F393" s="456">
        <f>E393+5</f>
        <v/>
      </c>
      <c r="G393" s="141">
        <f>_xlfn.CONCAT(YEAR(E393),".",TEXT(MONTH(E393),"0#"))</f>
        <v/>
      </c>
      <c r="H393">
        <f>YEAR(E393)</f>
        <v/>
      </c>
      <c r="I393">
        <f>IF(VLOOKUP(G393,AC:AD,2,FALSE)&lt;4,1,0)</f>
        <v/>
      </c>
      <c r="J393">
        <f>IF(AND(DAY(F393)&lt; DAY(E393),I393=1),MONTH(E393)+1,MONTH(E393))</f>
        <v/>
      </c>
      <c r="K393" s="201">
        <f>_xlfn.CONCAT(H393,".",TEXT(J393,"0#"))</f>
        <v/>
      </c>
    </row>
    <row r="394">
      <c r="A394" t="inlineStr">
        <is>
          <t>.t393</t>
        </is>
      </c>
      <c r="B394" t="n">
        <v>393</v>
      </c>
      <c r="C394">
        <f>H394</f>
        <v/>
      </c>
      <c r="E394" s="456">
        <f>F393+2</f>
        <v/>
      </c>
      <c r="F394" s="456">
        <f>E394+5</f>
        <v/>
      </c>
      <c r="G394" s="141">
        <f>_xlfn.CONCAT(YEAR(E394),".",TEXT(MONTH(E394),"0#"))</f>
        <v/>
      </c>
      <c r="H394">
        <f>YEAR(E394)</f>
        <v/>
      </c>
      <c r="I394">
        <f>IF(VLOOKUP(G394,AC:AD,2,FALSE)&lt;4,1,0)</f>
        <v/>
      </c>
      <c r="J394">
        <f>IF(AND(DAY(F394)&lt; DAY(E394),I394=1),MONTH(E394)+1,MONTH(E394))</f>
        <v/>
      </c>
      <c r="K394" s="201">
        <f>_xlfn.CONCAT(H394,".",TEXT(J394,"0#"))</f>
        <v/>
      </c>
    </row>
    <row r="395">
      <c r="A395" t="inlineStr">
        <is>
          <t>.t394</t>
        </is>
      </c>
      <c r="B395" t="n">
        <v>394</v>
      </c>
      <c r="C395">
        <f>H395</f>
        <v/>
      </c>
      <c r="E395" s="456">
        <f>F394+2</f>
        <v/>
      </c>
      <c r="F395" s="456">
        <f>E395+5</f>
        <v/>
      </c>
      <c r="G395" s="141">
        <f>_xlfn.CONCAT(YEAR(E395),".",TEXT(MONTH(E395),"0#"))</f>
        <v/>
      </c>
      <c r="H395">
        <f>YEAR(E395)</f>
        <v/>
      </c>
      <c r="I395">
        <f>IF(VLOOKUP(G395,AC:AD,2,FALSE)&lt;4,1,0)</f>
        <v/>
      </c>
      <c r="J395">
        <f>IF(AND(DAY(F395)&lt; DAY(E395),I395=1),MONTH(E395)+1,MONTH(E395))</f>
        <v/>
      </c>
      <c r="K395" s="201">
        <f>_xlfn.CONCAT(H395,".",TEXT(J395,"0#"))</f>
        <v/>
      </c>
    </row>
    <row r="396">
      <c r="A396" t="inlineStr">
        <is>
          <t>.t395</t>
        </is>
      </c>
      <c r="B396" t="n">
        <v>395</v>
      </c>
      <c r="C396">
        <f>H396</f>
        <v/>
      </c>
      <c r="E396" s="456">
        <f>F395+2</f>
        <v/>
      </c>
      <c r="F396" s="456">
        <f>E396+5</f>
        <v/>
      </c>
      <c r="G396" s="141">
        <f>_xlfn.CONCAT(YEAR(E396),".",TEXT(MONTH(E396),"0#"))</f>
        <v/>
      </c>
      <c r="H396">
        <f>YEAR(E396)</f>
        <v/>
      </c>
      <c r="I396">
        <f>IF(VLOOKUP(G396,AC:AD,2,FALSE)&lt;4,1,0)</f>
        <v/>
      </c>
      <c r="J396">
        <f>IF(AND(DAY(F396)&lt; DAY(E396),I396=1),MONTH(E396)+1,MONTH(E396))</f>
        <v/>
      </c>
      <c r="K396" s="201">
        <f>_xlfn.CONCAT(H396,".",TEXT(J396,"0#"))</f>
        <v/>
      </c>
    </row>
    <row r="397">
      <c r="A397" t="inlineStr">
        <is>
          <t>.t396</t>
        </is>
      </c>
      <c r="B397" t="n">
        <v>396</v>
      </c>
      <c r="C397">
        <f>H397</f>
        <v/>
      </c>
      <c r="E397" s="456">
        <f>F396+2</f>
        <v/>
      </c>
      <c r="F397" s="456">
        <f>E397+5</f>
        <v/>
      </c>
      <c r="G397" s="141">
        <f>_xlfn.CONCAT(YEAR(E397),".",TEXT(MONTH(E397),"0#"))</f>
        <v/>
      </c>
      <c r="H397">
        <f>YEAR(E397)</f>
        <v/>
      </c>
      <c r="I397">
        <f>IF(VLOOKUP(G397,AC:AD,2,FALSE)&lt;4,1,0)</f>
        <v/>
      </c>
      <c r="J397">
        <f>IF(AND(DAY(F397)&lt; DAY(E397),I397=1),MONTH(E397)+1,MONTH(E397))</f>
        <v/>
      </c>
      <c r="K397" s="201">
        <f>_xlfn.CONCAT(H397,".",TEXT(J397,"0#"))</f>
        <v/>
      </c>
    </row>
    <row r="398">
      <c r="A398" t="inlineStr">
        <is>
          <t>.t397</t>
        </is>
      </c>
      <c r="B398" t="n">
        <v>397</v>
      </c>
      <c r="C398">
        <f>H398</f>
        <v/>
      </c>
      <c r="E398" s="456">
        <f>F397+2</f>
        <v/>
      </c>
      <c r="F398" s="456">
        <f>E398+5</f>
        <v/>
      </c>
      <c r="G398" s="141">
        <f>_xlfn.CONCAT(YEAR(E398),".",TEXT(MONTH(E398),"0#"))</f>
        <v/>
      </c>
      <c r="H398">
        <f>YEAR(E398)</f>
        <v/>
      </c>
      <c r="I398">
        <f>IF(VLOOKUP(G398,AC:AD,2,FALSE)&lt;4,1,0)</f>
        <v/>
      </c>
      <c r="J398">
        <f>IF(AND(DAY(F398)&lt; DAY(E398),I398=1),MONTH(E398)+1,MONTH(E398))</f>
        <v/>
      </c>
      <c r="K398" s="201">
        <f>_xlfn.CONCAT(H398,".",TEXT(J398,"0#"))</f>
        <v/>
      </c>
    </row>
    <row r="399">
      <c r="A399" t="inlineStr">
        <is>
          <t>.t398</t>
        </is>
      </c>
      <c r="B399" t="n">
        <v>398</v>
      </c>
      <c r="C399">
        <f>H399</f>
        <v/>
      </c>
      <c r="E399" s="456">
        <f>F398+2</f>
        <v/>
      </c>
      <c r="F399" s="456">
        <f>E399+5</f>
        <v/>
      </c>
      <c r="G399" s="141">
        <f>_xlfn.CONCAT(YEAR(E399),".",TEXT(MONTH(E399),"0#"))</f>
        <v/>
      </c>
      <c r="H399">
        <f>YEAR(E399)</f>
        <v/>
      </c>
      <c r="I399">
        <f>IF(VLOOKUP(G399,AC:AD,2,FALSE)&lt;4,1,0)</f>
        <v/>
      </c>
      <c r="J399">
        <f>IF(AND(DAY(F399)&lt; DAY(E399),I399=1),MONTH(E399)+1,MONTH(E399))</f>
        <v/>
      </c>
      <c r="K399" s="201">
        <f>_xlfn.CONCAT(H399,".",TEXT(J399,"0#"))</f>
        <v/>
      </c>
    </row>
    <row r="400">
      <c r="A400" t="inlineStr">
        <is>
          <t>.t399</t>
        </is>
      </c>
      <c r="B400" t="n">
        <v>399</v>
      </c>
      <c r="C400">
        <f>H400</f>
        <v/>
      </c>
      <c r="E400" s="456">
        <f>F399+2</f>
        <v/>
      </c>
      <c r="F400" s="456">
        <f>E400+5</f>
        <v/>
      </c>
      <c r="G400" s="141">
        <f>_xlfn.CONCAT(YEAR(E400),".",TEXT(MONTH(E400),"0#"))</f>
        <v/>
      </c>
      <c r="H400">
        <f>YEAR(E400)</f>
        <v/>
      </c>
      <c r="I400">
        <f>IF(VLOOKUP(G400,AC:AD,2,FALSE)&lt;4,1,0)</f>
        <v/>
      </c>
      <c r="J400">
        <f>IF(AND(DAY(F400)&lt; DAY(E400),I400=1),MONTH(E400)+1,MONTH(E400))</f>
        <v/>
      </c>
      <c r="K400" s="201">
        <f>_xlfn.CONCAT(H400,".",TEXT(J400,"0#"))</f>
        <v/>
      </c>
    </row>
    <row r="401">
      <c r="A401" t="inlineStr">
        <is>
          <t>.t400</t>
        </is>
      </c>
      <c r="B401" t="n">
        <v>400</v>
      </c>
      <c r="C401">
        <f>H401</f>
        <v/>
      </c>
      <c r="E401" s="456">
        <f>F400+2</f>
        <v/>
      </c>
      <c r="F401" s="456">
        <f>E401+5</f>
        <v/>
      </c>
      <c r="G401" s="141">
        <f>_xlfn.CONCAT(YEAR(E401),".",TEXT(MONTH(E401),"0#"))</f>
        <v/>
      </c>
      <c r="H401">
        <f>YEAR(E401)</f>
        <v/>
      </c>
      <c r="I401">
        <f>IF(VLOOKUP(G401,AC:AD,2,FALSE)&lt;4,1,0)</f>
        <v/>
      </c>
      <c r="J401">
        <f>IF(AND(DAY(F401)&lt; DAY(E401),I401=1),MONTH(E401)+1,MONTH(E401))</f>
        <v/>
      </c>
      <c r="K401" s="201">
        <f>_xlfn.CONCAT(H401,".",TEXT(J401,"0#"))</f>
        <v/>
      </c>
    </row>
    <row r="402">
      <c r="A402" t="inlineStr">
        <is>
          <t>.t401</t>
        </is>
      </c>
      <c r="B402" t="n">
        <v>401</v>
      </c>
      <c r="C402">
        <f>H402</f>
        <v/>
      </c>
      <c r="E402" s="456">
        <f>F401+2</f>
        <v/>
      </c>
      <c r="F402" s="456">
        <f>E402+5</f>
        <v/>
      </c>
      <c r="G402" s="141">
        <f>_xlfn.CONCAT(YEAR(E402),".",TEXT(MONTH(E402),"0#"))</f>
        <v/>
      </c>
      <c r="H402">
        <f>YEAR(E402)</f>
        <v/>
      </c>
      <c r="I402">
        <f>IF(VLOOKUP(G402,AC:AD,2,FALSE)&lt;4,1,0)</f>
        <v/>
      </c>
      <c r="J402">
        <f>IF(AND(DAY(F402)&lt; DAY(E402),I402=1),MONTH(E402)+1,MONTH(E402))</f>
        <v/>
      </c>
      <c r="K402" s="201">
        <f>_xlfn.CONCAT(H402,".",TEXT(J402,"0#"))</f>
        <v/>
      </c>
    </row>
    <row r="403">
      <c r="A403" t="inlineStr">
        <is>
          <t>.t402</t>
        </is>
      </c>
      <c r="B403" t="n">
        <v>402</v>
      </c>
      <c r="C403">
        <f>H403</f>
        <v/>
      </c>
      <c r="E403" s="456">
        <f>F402+2</f>
        <v/>
      </c>
      <c r="F403" s="456">
        <f>E403+5</f>
        <v/>
      </c>
      <c r="G403" s="141">
        <f>_xlfn.CONCAT(YEAR(E403),".",TEXT(MONTH(E403),"0#"))</f>
        <v/>
      </c>
      <c r="H403">
        <f>YEAR(E403)</f>
        <v/>
      </c>
      <c r="I403">
        <f>IF(VLOOKUP(G403,AC:AD,2,FALSE)&lt;4,1,0)</f>
        <v/>
      </c>
      <c r="J403">
        <f>IF(AND(DAY(F403)&lt; DAY(E403),I403=1),MONTH(E403)+1,MONTH(E403))</f>
        <v/>
      </c>
      <c r="K403" s="201">
        <f>_xlfn.CONCAT(H403,".",TEXT(J403,"0#"))</f>
        <v/>
      </c>
    </row>
    <row r="404">
      <c r="A404" t="inlineStr">
        <is>
          <t>.t403</t>
        </is>
      </c>
      <c r="B404" t="n">
        <v>403</v>
      </c>
      <c r="C404">
        <f>H404</f>
        <v/>
      </c>
      <c r="E404" s="456">
        <f>F403+2</f>
        <v/>
      </c>
      <c r="F404" s="456">
        <f>E404+5</f>
        <v/>
      </c>
      <c r="G404" s="141">
        <f>_xlfn.CONCAT(YEAR(E404),".",TEXT(MONTH(E404),"0#"))</f>
        <v/>
      </c>
      <c r="H404">
        <f>YEAR(E404)</f>
        <v/>
      </c>
      <c r="I404">
        <f>IF(VLOOKUP(G404,AC:AD,2,FALSE)&lt;4,1,0)</f>
        <v/>
      </c>
      <c r="J404">
        <f>IF(AND(DAY(F404)&lt; DAY(E404),I404=1),MONTH(E404)+1,MONTH(E404))</f>
        <v/>
      </c>
      <c r="K404" s="201">
        <f>_xlfn.CONCAT(H404,".",TEXT(J404,"0#"))</f>
        <v/>
      </c>
    </row>
    <row r="405">
      <c r="A405" t="inlineStr">
        <is>
          <t>.t404</t>
        </is>
      </c>
      <c r="B405" t="n">
        <v>404</v>
      </c>
      <c r="C405">
        <f>H405</f>
        <v/>
      </c>
      <c r="E405" s="456">
        <f>F404+2</f>
        <v/>
      </c>
      <c r="F405" s="456">
        <f>E405+5</f>
        <v/>
      </c>
      <c r="G405" s="141">
        <f>_xlfn.CONCAT(YEAR(E405),".",TEXT(MONTH(E405),"0#"))</f>
        <v/>
      </c>
      <c r="H405">
        <f>YEAR(E405)</f>
        <v/>
      </c>
      <c r="I405">
        <f>IF(VLOOKUP(G405,AC:AD,2,FALSE)&lt;4,1,0)</f>
        <v/>
      </c>
      <c r="J405">
        <f>IF(AND(DAY(F405)&lt; DAY(E405),I405=1),MONTH(E405)+1,MONTH(E405))</f>
        <v/>
      </c>
      <c r="K405" s="201">
        <f>_xlfn.CONCAT(H405,".",TEXT(J405,"0#"))</f>
        <v/>
      </c>
    </row>
    <row r="406">
      <c r="A406" t="inlineStr">
        <is>
          <t>.t405</t>
        </is>
      </c>
      <c r="B406" t="n">
        <v>405</v>
      </c>
      <c r="C406">
        <f>H406</f>
        <v/>
      </c>
      <c r="E406" s="456">
        <f>F405+2</f>
        <v/>
      </c>
      <c r="F406" s="456">
        <f>E406+5</f>
        <v/>
      </c>
      <c r="G406" s="141">
        <f>_xlfn.CONCAT(YEAR(E406),".",TEXT(MONTH(E406),"0#"))</f>
        <v/>
      </c>
      <c r="H406">
        <f>YEAR(E406)</f>
        <v/>
      </c>
      <c r="I406">
        <f>IF(VLOOKUP(G406,AC:AD,2,FALSE)&lt;4,1,0)</f>
        <v/>
      </c>
      <c r="J406">
        <f>IF(AND(DAY(F406)&lt; DAY(E406),I406=1),MONTH(E406)+1,MONTH(E406))</f>
        <v/>
      </c>
      <c r="K406" s="201">
        <f>_xlfn.CONCAT(H406,".",TEXT(J406,"0#"))</f>
        <v/>
      </c>
    </row>
    <row r="407">
      <c r="A407" t="inlineStr">
        <is>
          <t>.t406</t>
        </is>
      </c>
      <c r="B407" t="n">
        <v>406</v>
      </c>
      <c r="C407">
        <f>H407</f>
        <v/>
      </c>
      <c r="E407" s="456">
        <f>F406+2</f>
        <v/>
      </c>
      <c r="F407" s="456">
        <f>E407+5</f>
        <v/>
      </c>
      <c r="G407" s="141">
        <f>_xlfn.CONCAT(YEAR(E407),".",TEXT(MONTH(E407),"0#"))</f>
        <v/>
      </c>
      <c r="H407">
        <f>YEAR(E407)</f>
        <v/>
      </c>
      <c r="I407">
        <f>IF(VLOOKUP(G407,AC:AD,2,FALSE)&lt;4,1,0)</f>
        <v/>
      </c>
      <c r="J407">
        <f>IF(AND(DAY(F407)&lt; DAY(E407),I407=1),MONTH(E407)+1,MONTH(E407))</f>
        <v/>
      </c>
      <c r="K407" s="201">
        <f>_xlfn.CONCAT(H407,".",TEXT(J407,"0#"))</f>
        <v/>
      </c>
    </row>
    <row r="408">
      <c r="A408" t="inlineStr">
        <is>
          <t>.t407</t>
        </is>
      </c>
      <c r="B408" t="n">
        <v>407</v>
      </c>
      <c r="C408">
        <f>H408</f>
        <v/>
      </c>
      <c r="E408" s="456">
        <f>F407+2</f>
        <v/>
      </c>
      <c r="F408" s="456">
        <f>E408+5</f>
        <v/>
      </c>
      <c r="G408" s="141">
        <f>_xlfn.CONCAT(YEAR(E408),".",TEXT(MONTH(E408),"0#"))</f>
        <v/>
      </c>
      <c r="H408">
        <f>YEAR(E408)</f>
        <v/>
      </c>
      <c r="I408">
        <f>IF(VLOOKUP(G408,AC:AD,2,FALSE)&lt;4,1,0)</f>
        <v/>
      </c>
      <c r="J408">
        <f>IF(AND(DAY(F408)&lt; DAY(E408),I408=1),MONTH(E408)+1,MONTH(E408))</f>
        <v/>
      </c>
      <c r="K408" s="201">
        <f>_xlfn.CONCAT(H408,".",TEXT(J408,"0#"))</f>
        <v/>
      </c>
    </row>
    <row r="409">
      <c r="A409" t="inlineStr">
        <is>
          <t>.t408</t>
        </is>
      </c>
      <c r="B409" t="n">
        <v>408</v>
      </c>
      <c r="C409">
        <f>H409</f>
        <v/>
      </c>
      <c r="E409" s="456">
        <f>F408+2</f>
        <v/>
      </c>
      <c r="F409" s="456">
        <f>E409+5</f>
        <v/>
      </c>
      <c r="G409" s="141">
        <f>_xlfn.CONCAT(YEAR(E409),".",TEXT(MONTH(E409),"0#"))</f>
        <v/>
      </c>
      <c r="H409">
        <f>YEAR(E409)</f>
        <v/>
      </c>
      <c r="I409">
        <f>IF(VLOOKUP(G409,AC:AD,2,FALSE)&lt;4,1,0)</f>
        <v/>
      </c>
      <c r="J409">
        <f>IF(AND(DAY(F409)&lt; DAY(E409),I409=1),MONTH(E409)+1,MONTH(E409))</f>
        <v/>
      </c>
      <c r="K409" s="201">
        <f>_xlfn.CONCAT(H409,".",TEXT(J409,"0#"))</f>
        <v/>
      </c>
    </row>
    <row r="410">
      <c r="A410" t="inlineStr">
        <is>
          <t>.t409</t>
        </is>
      </c>
      <c r="B410" t="n">
        <v>409</v>
      </c>
      <c r="C410">
        <f>H410</f>
        <v/>
      </c>
      <c r="E410" s="456">
        <f>F409+2</f>
        <v/>
      </c>
      <c r="F410" s="456">
        <f>E410+5</f>
        <v/>
      </c>
      <c r="G410" s="141">
        <f>_xlfn.CONCAT(YEAR(E410),".",TEXT(MONTH(E410),"0#"))</f>
        <v/>
      </c>
      <c r="H410">
        <f>YEAR(E410)</f>
        <v/>
      </c>
      <c r="I410">
        <f>IF(VLOOKUP(G410,AC:AD,2,FALSE)&lt;4,1,0)</f>
        <v/>
      </c>
      <c r="J410">
        <f>IF(AND(DAY(F410)&lt; DAY(E410),I410=1),MONTH(E410)+1,MONTH(E410))</f>
        <v/>
      </c>
      <c r="K410" s="201">
        <f>_xlfn.CONCAT(H410,".",TEXT(J410,"0#"))</f>
        <v/>
      </c>
    </row>
    <row r="411">
      <c r="A411" t="inlineStr">
        <is>
          <t>.t410</t>
        </is>
      </c>
      <c r="B411" t="n">
        <v>410</v>
      </c>
      <c r="C411">
        <f>H411</f>
        <v/>
      </c>
      <c r="E411" s="456">
        <f>F410+2</f>
        <v/>
      </c>
      <c r="F411" s="456">
        <f>E411+5</f>
        <v/>
      </c>
      <c r="G411" s="141">
        <f>_xlfn.CONCAT(YEAR(E411),".",TEXT(MONTH(E411),"0#"))</f>
        <v/>
      </c>
      <c r="H411">
        <f>YEAR(E411)</f>
        <v/>
      </c>
      <c r="I411">
        <f>IF(VLOOKUP(G411,AC:AD,2,FALSE)&lt;4,1,0)</f>
        <v/>
      </c>
      <c r="J411">
        <f>IF(AND(DAY(F411)&lt; DAY(E411),I411=1),MONTH(E411)+1,MONTH(E411))</f>
        <v/>
      </c>
      <c r="K411" s="201">
        <f>_xlfn.CONCAT(H411,".",TEXT(J411,"0#"))</f>
        <v/>
      </c>
    </row>
    <row r="412">
      <c r="A412" t="inlineStr">
        <is>
          <t>.t411</t>
        </is>
      </c>
      <c r="B412" t="n">
        <v>411</v>
      </c>
      <c r="C412">
        <f>H412</f>
        <v/>
      </c>
      <c r="E412" s="456">
        <f>F411+2</f>
        <v/>
      </c>
      <c r="F412" s="456">
        <f>E412+5</f>
        <v/>
      </c>
      <c r="G412" s="141">
        <f>_xlfn.CONCAT(YEAR(E412),".",TEXT(MONTH(E412),"0#"))</f>
        <v/>
      </c>
      <c r="H412">
        <f>YEAR(E412)</f>
        <v/>
      </c>
      <c r="I412">
        <f>IF(VLOOKUP(G412,AC:AD,2,FALSE)&lt;4,1,0)</f>
        <v/>
      </c>
      <c r="J412">
        <f>IF(AND(DAY(F412)&lt; DAY(E412),I412=1),MONTH(E412)+1,MONTH(E412))</f>
        <v/>
      </c>
      <c r="K412" s="201">
        <f>_xlfn.CONCAT(H412,".",TEXT(J412,"0#"))</f>
        <v/>
      </c>
    </row>
    <row r="413">
      <c r="A413" t="inlineStr">
        <is>
          <t>.t412</t>
        </is>
      </c>
      <c r="B413" t="n">
        <v>412</v>
      </c>
      <c r="C413">
        <f>H413</f>
        <v/>
      </c>
      <c r="E413" s="456">
        <f>F412+2</f>
        <v/>
      </c>
      <c r="F413" s="456">
        <f>E413+5</f>
        <v/>
      </c>
      <c r="G413" s="141">
        <f>_xlfn.CONCAT(YEAR(E413),".",TEXT(MONTH(E413),"0#"))</f>
        <v/>
      </c>
      <c r="H413">
        <f>YEAR(E413)</f>
        <v/>
      </c>
      <c r="I413">
        <f>IF(VLOOKUP(G413,AC:AD,2,FALSE)&lt;4,1,0)</f>
        <v/>
      </c>
      <c r="J413">
        <f>IF(AND(DAY(F413)&lt; DAY(E413),I413=1),MONTH(E413)+1,MONTH(E413))</f>
        <v/>
      </c>
      <c r="K413" s="201">
        <f>_xlfn.CONCAT(H413,".",TEXT(J413,"0#"))</f>
        <v/>
      </c>
    </row>
    <row r="414">
      <c r="A414" t="inlineStr">
        <is>
          <t>.t413</t>
        </is>
      </c>
      <c r="B414" t="n">
        <v>413</v>
      </c>
      <c r="C414">
        <f>H414</f>
        <v/>
      </c>
      <c r="E414" s="456">
        <f>F413+2</f>
        <v/>
      </c>
      <c r="F414" s="456">
        <f>E414+5</f>
        <v/>
      </c>
      <c r="G414" s="141">
        <f>_xlfn.CONCAT(YEAR(E414),".",TEXT(MONTH(E414),"0#"))</f>
        <v/>
      </c>
      <c r="H414">
        <f>YEAR(E414)</f>
        <v/>
      </c>
      <c r="I414">
        <f>IF(VLOOKUP(G414,AC:AD,2,FALSE)&lt;4,1,0)</f>
        <v/>
      </c>
      <c r="J414">
        <f>IF(AND(DAY(F414)&lt; DAY(E414),I414=1),MONTH(E414)+1,MONTH(E414))</f>
        <v/>
      </c>
      <c r="K414" s="201">
        <f>_xlfn.CONCAT(H414,".",TEXT(J414,"0#"))</f>
        <v/>
      </c>
    </row>
    <row r="415">
      <c r="A415" t="inlineStr">
        <is>
          <t>.t414</t>
        </is>
      </c>
      <c r="B415" t="n">
        <v>414</v>
      </c>
      <c r="C415">
        <f>H415</f>
        <v/>
      </c>
      <c r="E415" s="456">
        <f>F414+2</f>
        <v/>
      </c>
      <c r="F415" s="456">
        <f>E415+5</f>
        <v/>
      </c>
      <c r="G415" s="141">
        <f>_xlfn.CONCAT(YEAR(E415),".",TEXT(MONTH(E415),"0#"))</f>
        <v/>
      </c>
      <c r="H415">
        <f>YEAR(E415)</f>
        <v/>
      </c>
      <c r="I415">
        <f>IF(VLOOKUP(G415,AC:AD,2,FALSE)&lt;4,1,0)</f>
        <v/>
      </c>
      <c r="J415">
        <f>IF(AND(DAY(F415)&lt; DAY(E415),I415=1),MONTH(E415)+1,MONTH(E415))</f>
        <v/>
      </c>
      <c r="K415" s="201">
        <f>_xlfn.CONCAT(H415,".",TEXT(J415,"0#"))</f>
        <v/>
      </c>
    </row>
    <row r="416">
      <c r="A416" t="inlineStr">
        <is>
          <t>.t415</t>
        </is>
      </c>
      <c r="B416" t="n">
        <v>415</v>
      </c>
      <c r="C416">
        <f>H416</f>
        <v/>
      </c>
      <c r="E416" s="456">
        <f>F415+2</f>
        <v/>
      </c>
      <c r="F416" s="456">
        <f>E416+5</f>
        <v/>
      </c>
      <c r="G416" s="141">
        <f>_xlfn.CONCAT(YEAR(E416),".",TEXT(MONTH(E416),"0#"))</f>
        <v/>
      </c>
      <c r="H416">
        <f>YEAR(E416)</f>
        <v/>
      </c>
      <c r="I416">
        <f>IF(VLOOKUP(G416,AC:AD,2,FALSE)&lt;4,1,0)</f>
        <v/>
      </c>
      <c r="J416">
        <f>IF(AND(DAY(F416)&lt; DAY(E416),I416=1),MONTH(E416)+1,MONTH(E416))</f>
        <v/>
      </c>
      <c r="K416" s="201">
        <f>_xlfn.CONCAT(H416,".",TEXT(J416,"0#"))</f>
        <v/>
      </c>
    </row>
    <row r="417">
      <c r="A417" t="inlineStr">
        <is>
          <t>.t416</t>
        </is>
      </c>
      <c r="B417" t="n">
        <v>416</v>
      </c>
      <c r="C417">
        <f>H417</f>
        <v/>
      </c>
      <c r="E417" s="456">
        <f>F416+2</f>
        <v/>
      </c>
      <c r="F417" s="456">
        <f>E417+5</f>
        <v/>
      </c>
      <c r="G417" s="141">
        <f>_xlfn.CONCAT(YEAR(E417),".",TEXT(MONTH(E417),"0#"))</f>
        <v/>
      </c>
      <c r="H417">
        <f>YEAR(E417)</f>
        <v/>
      </c>
      <c r="I417">
        <f>IF(VLOOKUP(G417,AC:AD,2,FALSE)&lt;4,1,0)</f>
        <v/>
      </c>
      <c r="J417">
        <f>IF(AND(DAY(F417)&lt; DAY(E417),I417=1),MONTH(E417)+1,MONTH(E417))</f>
        <v/>
      </c>
      <c r="K417" s="201">
        <f>_xlfn.CONCAT(H417,".",TEXT(J417,"0#"))</f>
        <v/>
      </c>
    </row>
    <row r="418">
      <c r="A418" t="inlineStr">
        <is>
          <t>.t417</t>
        </is>
      </c>
      <c r="B418" t="n">
        <v>417</v>
      </c>
      <c r="C418">
        <f>H418</f>
        <v/>
      </c>
      <c r="E418" s="456">
        <f>F417+2</f>
        <v/>
      </c>
      <c r="F418" s="456">
        <f>E418+5</f>
        <v/>
      </c>
      <c r="G418" s="141">
        <f>_xlfn.CONCAT(YEAR(E418),".",TEXT(MONTH(E418),"0#"))</f>
        <v/>
      </c>
      <c r="H418">
        <f>YEAR(E418)</f>
        <v/>
      </c>
      <c r="I418">
        <f>IF(VLOOKUP(G418,AC:AD,2,FALSE)&lt;4,1,0)</f>
        <v/>
      </c>
      <c r="J418">
        <f>IF(AND(DAY(F418)&lt; DAY(E418),I418=1),MONTH(E418)+1,MONTH(E418))</f>
        <v/>
      </c>
      <c r="K418" s="201">
        <f>_xlfn.CONCAT(H418,".",TEXT(J418,"0#"))</f>
        <v/>
      </c>
    </row>
    <row r="419">
      <c r="A419" t="inlineStr">
        <is>
          <t>.t418</t>
        </is>
      </c>
      <c r="B419" t="n">
        <v>418</v>
      </c>
      <c r="C419">
        <f>H419</f>
        <v/>
      </c>
      <c r="E419" s="456">
        <f>F418+2</f>
        <v/>
      </c>
      <c r="F419" s="456">
        <f>E419+5</f>
        <v/>
      </c>
      <c r="G419" s="141">
        <f>_xlfn.CONCAT(YEAR(E419),".",TEXT(MONTH(E419),"0#"))</f>
        <v/>
      </c>
      <c r="H419">
        <f>YEAR(E419)</f>
        <v/>
      </c>
      <c r="I419">
        <f>IF(VLOOKUP(G419,AC:AD,2,FALSE)&lt;4,1,0)</f>
        <v/>
      </c>
      <c r="J419">
        <f>IF(AND(DAY(F419)&lt; DAY(E419),I419=1),MONTH(E419)+1,MONTH(E419))</f>
        <v/>
      </c>
      <c r="K419" s="201">
        <f>_xlfn.CONCAT(H419,".",TEXT(J419,"0#"))</f>
        <v/>
      </c>
    </row>
    <row r="420">
      <c r="A420" t="inlineStr">
        <is>
          <t>.t419</t>
        </is>
      </c>
      <c r="B420" s="141" t="n">
        <v>419</v>
      </c>
      <c r="C420">
        <f>H420</f>
        <v/>
      </c>
      <c r="E420" s="456">
        <f>F419+2</f>
        <v/>
      </c>
      <c r="F420" s="456">
        <f>E420+5</f>
        <v/>
      </c>
      <c r="G420" s="141">
        <f>_xlfn.CONCAT(YEAR(E420),".",TEXT(MONTH(E420),"0#"))</f>
        <v/>
      </c>
      <c r="H420">
        <f>YEAR(E420)</f>
        <v/>
      </c>
      <c r="I420">
        <f>IF(VLOOKUP(G420,AC:AD,2,FALSE)&lt;4,1,0)</f>
        <v/>
      </c>
      <c r="J420">
        <f>IF(AND(DAY(F420)&lt; DAY(E420),I420=1),MONTH(E420)+1,MONTH(E420))</f>
        <v/>
      </c>
      <c r="K420" s="201">
        <f>_xlfn.CONCAT(H420,".",TEXT(J420,"0#"))</f>
        <v/>
      </c>
    </row>
    <row r="421">
      <c r="A421" t="inlineStr">
        <is>
          <t>.t420</t>
        </is>
      </c>
      <c r="B421" s="141" t="n">
        <v>420</v>
      </c>
      <c r="C421">
        <f>H421</f>
        <v/>
      </c>
      <c r="E421" s="456">
        <f>F420+2</f>
        <v/>
      </c>
      <c r="F421" s="456">
        <f>E421+5</f>
        <v/>
      </c>
      <c r="G421" s="141">
        <f>_xlfn.CONCAT(YEAR(E421),".",TEXT(MONTH(E421),"0#"))</f>
        <v/>
      </c>
      <c r="H421">
        <f>YEAR(E421)</f>
        <v/>
      </c>
      <c r="I421">
        <f>IF(VLOOKUP(G421,AC:AD,2,FALSE)&lt;4,1,0)</f>
        <v/>
      </c>
      <c r="J421">
        <f>IF(AND(DAY(F421)&lt; DAY(E421),I421=1),MONTH(E421)+1,MONTH(E421))</f>
        <v/>
      </c>
      <c r="K421" s="201">
        <f>_xlfn.CONCAT(H421,".",TEXT(J421,"0#"))</f>
        <v/>
      </c>
    </row>
    <row r="422">
      <c r="A422" t="inlineStr">
        <is>
          <t>.t421</t>
        </is>
      </c>
      <c r="B422" s="141" t="n">
        <v>421</v>
      </c>
      <c r="C422">
        <f>H422</f>
        <v/>
      </c>
      <c r="E422" s="456">
        <f>F421+2</f>
        <v/>
      </c>
      <c r="F422" s="456">
        <f>E422+5</f>
        <v/>
      </c>
      <c r="G422" s="141">
        <f>_xlfn.CONCAT(YEAR(E422),".",TEXT(MONTH(E422),"0#"))</f>
        <v/>
      </c>
      <c r="H422">
        <f>YEAR(E422)</f>
        <v/>
      </c>
      <c r="I422">
        <f>IF(VLOOKUP(G422,AC:AD,2,FALSE)&lt;4,1,0)</f>
        <v/>
      </c>
      <c r="J422">
        <f>IF(AND(DAY(F422)&lt; DAY(E422),I422=1),MONTH(E422)+1,MONTH(E422))</f>
        <v/>
      </c>
      <c r="K422" s="201">
        <f>_xlfn.CONCAT(H422,".",TEXT(J422,"0#"))</f>
        <v/>
      </c>
    </row>
    <row r="423">
      <c r="A423" t="inlineStr">
        <is>
          <t>.t422</t>
        </is>
      </c>
      <c r="B423" s="141" t="n">
        <v>422</v>
      </c>
      <c r="C423">
        <f>H423</f>
        <v/>
      </c>
      <c r="E423" s="456">
        <f>F422+2</f>
        <v/>
      </c>
      <c r="F423" s="456">
        <f>E423+5</f>
        <v/>
      </c>
      <c r="G423" s="141">
        <f>_xlfn.CONCAT(YEAR(E423),".",TEXT(MONTH(E423),"0#"))</f>
        <v/>
      </c>
      <c r="H423">
        <f>YEAR(E423)</f>
        <v/>
      </c>
      <c r="I423">
        <f>IF(VLOOKUP(G423,AC:AD,2,FALSE)&lt;4,1,0)</f>
        <v/>
      </c>
      <c r="J423">
        <f>IF(AND(DAY(F423)&lt; DAY(E423),I423=1),MONTH(E423)+1,MONTH(E423))</f>
        <v/>
      </c>
      <c r="K423" s="201">
        <f>_xlfn.CONCAT(H423,".",TEXT(J423,"0#"))</f>
        <v/>
      </c>
    </row>
    <row r="424">
      <c r="A424" t="inlineStr">
        <is>
          <t>.t423</t>
        </is>
      </c>
      <c r="B424" s="141" t="n">
        <v>423</v>
      </c>
      <c r="C424">
        <f>H424</f>
        <v/>
      </c>
      <c r="E424" s="456">
        <f>F423+2</f>
        <v/>
      </c>
      <c r="F424" s="456">
        <f>E424+5</f>
        <v/>
      </c>
      <c r="G424" s="141">
        <f>_xlfn.CONCAT(YEAR(E424),".",TEXT(MONTH(E424),"0#"))</f>
        <v/>
      </c>
      <c r="H424">
        <f>YEAR(E424)</f>
        <v/>
      </c>
      <c r="I424">
        <f>IF(VLOOKUP(G424,AC:AD,2,FALSE)&lt;4,1,0)</f>
        <v/>
      </c>
      <c r="J424">
        <f>IF(AND(DAY(F424)&lt; DAY(E424),I424=1),MONTH(E424)+1,MONTH(E424))</f>
        <v/>
      </c>
      <c r="K424" s="201">
        <f>_xlfn.CONCAT(H424,".",TEXT(J424,"0#"))</f>
        <v/>
      </c>
    </row>
    <row r="425">
      <c r="A425" t="inlineStr">
        <is>
          <t>.t424</t>
        </is>
      </c>
      <c r="B425" s="141" t="n">
        <v>424</v>
      </c>
      <c r="C425">
        <f>H425</f>
        <v/>
      </c>
      <c r="E425" s="456">
        <f>F424+2</f>
        <v/>
      </c>
      <c r="F425" s="456">
        <f>E425+5</f>
        <v/>
      </c>
      <c r="G425" s="141">
        <f>_xlfn.CONCAT(YEAR(E425),".",TEXT(MONTH(E425),"0#"))</f>
        <v/>
      </c>
      <c r="H425">
        <f>YEAR(E425)</f>
        <v/>
      </c>
      <c r="I425">
        <f>IF(VLOOKUP(G425,AC:AD,2,FALSE)&lt;4,1,0)</f>
        <v/>
      </c>
      <c r="J425">
        <f>IF(AND(DAY(F425)&lt; DAY(E425),I425=1),MONTH(E425)+1,MONTH(E425))</f>
        <v/>
      </c>
      <c r="K425" s="201">
        <f>_xlfn.CONCAT(H425,".",TEXT(J425,"0#"))</f>
        <v/>
      </c>
    </row>
    <row r="426">
      <c r="A426" t="inlineStr">
        <is>
          <t>.t425</t>
        </is>
      </c>
      <c r="B426" s="141" t="n">
        <v>425</v>
      </c>
      <c r="C426">
        <f>H426</f>
        <v/>
      </c>
      <c r="E426" s="456">
        <f>F425+2</f>
        <v/>
      </c>
      <c r="F426" s="456">
        <f>E426+5</f>
        <v/>
      </c>
      <c r="G426" s="141">
        <f>_xlfn.CONCAT(YEAR(E426),".",TEXT(MONTH(E426),"0#"))</f>
        <v/>
      </c>
      <c r="H426">
        <f>YEAR(E426)</f>
        <v/>
      </c>
      <c r="I426">
        <f>IF(VLOOKUP(G426,AC:AD,2,FALSE)&lt;4,1,0)</f>
        <v/>
      </c>
      <c r="J426">
        <f>IF(AND(DAY(F426)&lt; DAY(E426),I426=1),MONTH(E426)+1,MONTH(E426))</f>
        <v/>
      </c>
      <c r="K426" s="201">
        <f>_xlfn.CONCAT(H426,".",TEXT(J426,"0#"))</f>
        <v/>
      </c>
    </row>
    <row r="427">
      <c r="A427" t="inlineStr">
        <is>
          <t>.t426</t>
        </is>
      </c>
      <c r="B427" s="141" t="n">
        <v>426</v>
      </c>
      <c r="C427">
        <f>H427</f>
        <v/>
      </c>
      <c r="E427" s="456">
        <f>F426+2</f>
        <v/>
      </c>
      <c r="F427" s="456">
        <f>E427+5</f>
        <v/>
      </c>
      <c r="G427" s="141">
        <f>_xlfn.CONCAT(YEAR(E427),".",TEXT(MONTH(E427),"0#"))</f>
        <v/>
      </c>
      <c r="H427">
        <f>YEAR(E427)</f>
        <v/>
      </c>
      <c r="I427">
        <f>IF(VLOOKUP(G427,AC:AD,2,FALSE)&lt;4,1,0)</f>
        <v/>
      </c>
      <c r="J427">
        <f>IF(AND(DAY(F427)&lt; DAY(E427),I427=1),MONTH(E427)+1,MONTH(E427))</f>
        <v/>
      </c>
      <c r="K427" s="201">
        <f>_xlfn.CONCAT(H427,".",TEXT(J427,"0#"))</f>
        <v/>
      </c>
    </row>
    <row r="428">
      <c r="A428" t="inlineStr">
        <is>
          <t>.t427</t>
        </is>
      </c>
      <c r="B428" s="141" t="n">
        <v>427</v>
      </c>
      <c r="C428">
        <f>H428</f>
        <v/>
      </c>
      <c r="E428" s="456">
        <f>F427+2</f>
        <v/>
      </c>
      <c r="F428" s="456">
        <f>E428+5</f>
        <v/>
      </c>
      <c r="G428" s="141">
        <f>_xlfn.CONCAT(YEAR(E428),".",TEXT(MONTH(E428),"0#"))</f>
        <v/>
      </c>
      <c r="H428">
        <f>YEAR(E428)</f>
        <v/>
      </c>
      <c r="I428">
        <f>IF(VLOOKUP(G428,AC:AD,2,FALSE)&lt;4,1,0)</f>
        <v/>
      </c>
      <c r="J428">
        <f>IF(AND(DAY(F428)&lt; DAY(E428),I428=1),MONTH(E428)+1,MONTH(E428))</f>
        <v/>
      </c>
      <c r="K428" s="201">
        <f>_xlfn.CONCAT(H428,".",TEXT(J428,"0#"))</f>
        <v/>
      </c>
    </row>
    <row r="429">
      <c r="A429" t="inlineStr">
        <is>
          <t>.t428</t>
        </is>
      </c>
      <c r="B429" s="141" t="n">
        <v>428</v>
      </c>
      <c r="C429">
        <f>H429</f>
        <v/>
      </c>
      <c r="E429" s="456">
        <f>F428+2</f>
        <v/>
      </c>
      <c r="F429" s="456">
        <f>E429+5</f>
        <v/>
      </c>
      <c r="G429" s="141">
        <f>_xlfn.CONCAT(YEAR(E429),".",TEXT(MONTH(E429),"0#"))</f>
        <v/>
      </c>
      <c r="H429">
        <f>YEAR(E429)</f>
        <v/>
      </c>
      <c r="I429">
        <f>IF(VLOOKUP(G429,AC:AD,2,FALSE)&lt;4,1,0)</f>
        <v/>
      </c>
      <c r="J429">
        <f>IF(AND(DAY(F429)&lt; DAY(E429),I429=1),MONTH(E429)+1,MONTH(E429))</f>
        <v/>
      </c>
      <c r="K429" s="201">
        <f>_xlfn.CONCAT(H429,".",TEXT(J429,"0#"))</f>
        <v/>
      </c>
    </row>
    <row r="430">
      <c r="A430" t="inlineStr">
        <is>
          <t>.t429</t>
        </is>
      </c>
      <c r="B430" s="141" t="n">
        <v>429</v>
      </c>
      <c r="C430">
        <f>H430</f>
        <v/>
      </c>
      <c r="E430" s="456">
        <f>F429+2</f>
        <v/>
      </c>
      <c r="F430" s="456">
        <f>E430+5</f>
        <v/>
      </c>
      <c r="G430" s="141">
        <f>_xlfn.CONCAT(YEAR(E430),".",TEXT(MONTH(E430),"0#"))</f>
        <v/>
      </c>
      <c r="H430">
        <f>YEAR(E430)</f>
        <v/>
      </c>
      <c r="I430">
        <f>IF(VLOOKUP(G430,AC:AD,2,FALSE)&lt;4,1,0)</f>
        <v/>
      </c>
      <c r="J430">
        <f>IF(AND(DAY(F430)&lt; DAY(E430),I430=1),MONTH(E430)+1,MONTH(E430))</f>
        <v/>
      </c>
      <c r="K430" s="201">
        <f>_xlfn.CONCAT(H430,".",TEXT(J430,"0#"))</f>
        <v/>
      </c>
    </row>
    <row r="431">
      <c r="A431" t="inlineStr">
        <is>
          <t>.t430</t>
        </is>
      </c>
      <c r="B431" s="141" t="n">
        <v>430</v>
      </c>
      <c r="C431">
        <f>H431</f>
        <v/>
      </c>
      <c r="E431" s="456">
        <f>F430+2</f>
        <v/>
      </c>
      <c r="F431" s="456">
        <f>E431+5</f>
        <v/>
      </c>
      <c r="G431" s="141">
        <f>_xlfn.CONCAT(YEAR(E431),".",TEXT(MONTH(E431),"0#"))</f>
        <v/>
      </c>
      <c r="H431">
        <f>YEAR(E431)</f>
        <v/>
      </c>
      <c r="I431">
        <f>IF(VLOOKUP(G431,AC:AD,2,FALSE)&lt;4,1,0)</f>
        <v/>
      </c>
      <c r="J431">
        <f>IF(AND(DAY(F431)&lt; DAY(E431),I431=1),MONTH(E431)+1,MONTH(E431))</f>
        <v/>
      </c>
      <c r="K431" s="201">
        <f>_xlfn.CONCAT(H431,".",TEXT(J431,"0#"))</f>
        <v/>
      </c>
    </row>
    <row r="432">
      <c r="A432" t="inlineStr">
        <is>
          <t>.t431</t>
        </is>
      </c>
      <c r="B432" s="141" t="n">
        <v>431</v>
      </c>
      <c r="C432">
        <f>H432</f>
        <v/>
      </c>
      <c r="E432" s="456">
        <f>F431+2</f>
        <v/>
      </c>
      <c r="F432" s="456">
        <f>E432+5</f>
        <v/>
      </c>
      <c r="G432" s="141">
        <f>_xlfn.CONCAT(YEAR(E432),".",TEXT(MONTH(E432),"0#"))</f>
        <v/>
      </c>
      <c r="H432">
        <f>YEAR(E432)</f>
        <v/>
      </c>
      <c r="I432">
        <f>IF(VLOOKUP(G432,AC:AD,2,FALSE)&lt;4,1,0)</f>
        <v/>
      </c>
      <c r="J432">
        <f>IF(AND(DAY(F432)&lt; DAY(E432),I432=1),MONTH(E432)+1,MONTH(E432))</f>
        <v/>
      </c>
      <c r="K432" s="201">
        <f>_xlfn.CONCAT(H432,".",TEXT(J432,"0#"))</f>
        <v/>
      </c>
    </row>
    <row r="433">
      <c r="A433" t="inlineStr">
        <is>
          <t>.t432</t>
        </is>
      </c>
      <c r="B433" s="141" t="n">
        <v>432</v>
      </c>
      <c r="C433">
        <f>H433</f>
        <v/>
      </c>
      <c r="E433" s="456">
        <f>F432+2</f>
        <v/>
      </c>
      <c r="F433" s="456">
        <f>E433+5</f>
        <v/>
      </c>
      <c r="G433" s="141">
        <f>_xlfn.CONCAT(YEAR(E433),".",TEXT(MONTH(E433),"0#"))</f>
        <v/>
      </c>
      <c r="H433">
        <f>YEAR(E433)</f>
        <v/>
      </c>
      <c r="I433">
        <f>IF(VLOOKUP(G433,AC:AD,2,FALSE)&lt;4,1,0)</f>
        <v/>
      </c>
      <c r="J433">
        <f>IF(AND(DAY(F433)&lt; DAY(E433),I433=1),MONTH(E433)+1,MONTH(E433))</f>
        <v/>
      </c>
      <c r="K433" s="201">
        <f>_xlfn.CONCAT(H433,".",TEXT(J433,"0#"))</f>
        <v/>
      </c>
    </row>
    <row r="434">
      <c r="A434" t="inlineStr">
        <is>
          <t>.t433</t>
        </is>
      </c>
      <c r="B434" s="141" t="n">
        <v>433</v>
      </c>
      <c r="C434">
        <f>H434</f>
        <v/>
      </c>
      <c r="E434" s="456">
        <f>F433+2</f>
        <v/>
      </c>
      <c r="F434" s="456">
        <f>E434+5</f>
        <v/>
      </c>
      <c r="G434" s="141">
        <f>_xlfn.CONCAT(YEAR(E434),".",TEXT(MONTH(E434),"0#"))</f>
        <v/>
      </c>
      <c r="H434">
        <f>YEAR(E434)</f>
        <v/>
      </c>
      <c r="I434">
        <f>IF(VLOOKUP(G434,AC:AD,2,FALSE)&lt;4,1,0)</f>
        <v/>
      </c>
      <c r="J434">
        <f>IF(AND(DAY(F434)&lt; DAY(E434),I434=1),MONTH(E434)+1,MONTH(E434))</f>
        <v/>
      </c>
      <c r="K434" s="201">
        <f>_xlfn.CONCAT(H434,".",TEXT(J434,"0#"))</f>
        <v/>
      </c>
    </row>
    <row r="435">
      <c r="A435" t="inlineStr">
        <is>
          <t>.t434</t>
        </is>
      </c>
      <c r="B435" s="141" t="n">
        <v>434</v>
      </c>
      <c r="C435">
        <f>H435</f>
        <v/>
      </c>
      <c r="E435" s="456">
        <f>F434+2</f>
        <v/>
      </c>
      <c r="F435" s="456">
        <f>E435+5</f>
        <v/>
      </c>
      <c r="G435" s="141">
        <f>_xlfn.CONCAT(YEAR(E435),".",TEXT(MONTH(E435),"0#"))</f>
        <v/>
      </c>
      <c r="H435">
        <f>YEAR(E435)</f>
        <v/>
      </c>
      <c r="I435">
        <f>IF(VLOOKUP(G435,AC:AD,2,FALSE)&lt;4,1,0)</f>
        <v/>
      </c>
      <c r="J435">
        <f>IF(AND(DAY(F435)&lt; DAY(E435),I435=1),MONTH(E435)+1,MONTH(E435))</f>
        <v/>
      </c>
      <c r="K435" s="201">
        <f>_xlfn.CONCAT(H435,".",TEXT(J435,"0#"))</f>
        <v/>
      </c>
    </row>
    <row r="436">
      <c r="A436" t="inlineStr">
        <is>
          <t>.t435</t>
        </is>
      </c>
      <c r="B436" s="141" t="n">
        <v>435</v>
      </c>
      <c r="C436">
        <f>H436</f>
        <v/>
      </c>
      <c r="E436" s="456">
        <f>F435+2</f>
        <v/>
      </c>
      <c r="F436" s="456">
        <f>E436+5</f>
        <v/>
      </c>
      <c r="G436" s="141">
        <f>_xlfn.CONCAT(YEAR(E436),".",TEXT(MONTH(E436),"0#"))</f>
        <v/>
      </c>
      <c r="H436">
        <f>YEAR(E436)</f>
        <v/>
      </c>
      <c r="I436">
        <f>IF(VLOOKUP(G436,AC:AD,2,FALSE)&lt;4,1,0)</f>
        <v/>
      </c>
      <c r="J436">
        <f>IF(AND(DAY(F436)&lt; DAY(E436),I436=1),MONTH(E436)+1,MONTH(E436))</f>
        <v/>
      </c>
      <c r="K436" s="201">
        <f>_xlfn.CONCAT(H436,".",TEXT(J436,"0#"))</f>
        <v/>
      </c>
    </row>
    <row r="437">
      <c r="A437" t="inlineStr">
        <is>
          <t>.t436</t>
        </is>
      </c>
      <c r="B437" s="141" t="n">
        <v>436</v>
      </c>
      <c r="C437">
        <f>H437</f>
        <v/>
      </c>
      <c r="E437" s="456">
        <f>F436+2</f>
        <v/>
      </c>
      <c r="F437" s="456">
        <f>E437+5</f>
        <v/>
      </c>
      <c r="G437" s="141">
        <f>_xlfn.CONCAT(YEAR(E437),".",TEXT(MONTH(E437),"0#"))</f>
        <v/>
      </c>
      <c r="H437">
        <f>YEAR(E437)</f>
        <v/>
      </c>
      <c r="I437">
        <f>IF(VLOOKUP(G437,AC:AD,2,FALSE)&lt;4,1,0)</f>
        <v/>
      </c>
      <c r="J437">
        <f>IF(AND(DAY(F437)&lt; DAY(E437),I437=1),MONTH(E437)+1,MONTH(E437))</f>
        <v/>
      </c>
      <c r="K437" s="201">
        <f>_xlfn.CONCAT(H437,".",TEXT(J437,"0#"))</f>
        <v/>
      </c>
    </row>
    <row r="438">
      <c r="A438" t="inlineStr">
        <is>
          <t>.t437</t>
        </is>
      </c>
      <c r="B438" s="141" t="n">
        <v>437</v>
      </c>
      <c r="C438">
        <f>H438</f>
        <v/>
      </c>
      <c r="E438" s="456">
        <f>F437+2</f>
        <v/>
      </c>
      <c r="F438" s="456">
        <f>E438+5</f>
        <v/>
      </c>
      <c r="G438" s="141">
        <f>_xlfn.CONCAT(YEAR(E438),".",TEXT(MONTH(E438),"0#"))</f>
        <v/>
      </c>
      <c r="H438">
        <f>YEAR(E438)</f>
        <v/>
      </c>
      <c r="I438">
        <f>IF(VLOOKUP(G438,AC:AD,2,FALSE)&lt;4,1,0)</f>
        <v/>
      </c>
      <c r="J438">
        <f>IF(AND(DAY(F438)&lt; DAY(E438),I438=1),MONTH(E438)+1,MONTH(E438))</f>
        <v/>
      </c>
      <c r="K438" s="201">
        <f>_xlfn.CONCAT(H438,".",TEXT(J438,"0#"))</f>
        <v/>
      </c>
    </row>
    <row r="439">
      <c r="A439" t="inlineStr">
        <is>
          <t>.t438</t>
        </is>
      </c>
      <c r="B439" s="141" t="n">
        <v>438</v>
      </c>
      <c r="C439">
        <f>H439</f>
        <v/>
      </c>
      <c r="E439" s="456">
        <f>F438+2</f>
        <v/>
      </c>
      <c r="F439" s="456">
        <f>E439+5</f>
        <v/>
      </c>
      <c r="G439" s="141">
        <f>_xlfn.CONCAT(YEAR(E439),".",TEXT(MONTH(E439),"0#"))</f>
        <v/>
      </c>
      <c r="H439">
        <f>YEAR(E439)</f>
        <v/>
      </c>
      <c r="I439">
        <f>IF(VLOOKUP(G439,AC:AD,2,FALSE)&lt;4,1,0)</f>
        <v/>
      </c>
      <c r="J439">
        <f>IF(AND(DAY(F439)&lt; DAY(E439),I439=1),MONTH(E439)+1,MONTH(E439))</f>
        <v/>
      </c>
      <c r="K439" s="201">
        <f>_xlfn.CONCAT(H439,".",TEXT(J439,"0#"))</f>
        <v/>
      </c>
    </row>
    <row r="440">
      <c r="A440" t="inlineStr">
        <is>
          <t>.t439</t>
        </is>
      </c>
      <c r="B440" s="141" t="n">
        <v>439</v>
      </c>
      <c r="C440">
        <f>H440</f>
        <v/>
      </c>
      <c r="E440" s="456">
        <f>F439+2</f>
        <v/>
      </c>
      <c r="F440" s="456">
        <f>E440+5</f>
        <v/>
      </c>
      <c r="G440" s="141">
        <f>_xlfn.CONCAT(YEAR(E440),".",TEXT(MONTH(E440),"0#"))</f>
        <v/>
      </c>
      <c r="H440">
        <f>YEAR(E440)</f>
        <v/>
      </c>
      <c r="I440">
        <f>IF(VLOOKUP(G440,AC:AD,2,FALSE)&lt;4,1,0)</f>
        <v/>
      </c>
      <c r="J440">
        <f>IF(AND(DAY(F440)&lt; DAY(E440),I440=1),MONTH(E440)+1,MONTH(E440))</f>
        <v/>
      </c>
      <c r="K440" s="201">
        <f>_xlfn.CONCAT(H440,".",TEXT(J440,"0#"))</f>
        <v/>
      </c>
    </row>
    <row r="441">
      <c r="A441" t="inlineStr">
        <is>
          <t>.t440</t>
        </is>
      </c>
      <c r="B441" s="141" t="n">
        <v>440</v>
      </c>
      <c r="C441">
        <f>H441</f>
        <v/>
      </c>
      <c r="E441" s="456">
        <f>F440+2</f>
        <v/>
      </c>
      <c r="F441" s="456">
        <f>E441+5</f>
        <v/>
      </c>
      <c r="G441" s="141">
        <f>_xlfn.CONCAT(YEAR(E441),".",TEXT(MONTH(E441),"0#"))</f>
        <v/>
      </c>
      <c r="H441">
        <f>YEAR(E441)</f>
        <v/>
      </c>
      <c r="I441">
        <f>IF(VLOOKUP(G441,AC:AD,2,FALSE)&lt;4,1,0)</f>
        <v/>
      </c>
      <c r="J441">
        <f>IF(AND(DAY(F441)&lt; DAY(E441),I441=1),MONTH(E441)+1,MONTH(E441))</f>
        <v/>
      </c>
      <c r="K441" s="201">
        <f>_xlfn.CONCAT(H441,".",TEXT(J441,"0#"))</f>
        <v/>
      </c>
    </row>
    <row r="442">
      <c r="A442" t="inlineStr">
        <is>
          <t>.t441</t>
        </is>
      </c>
      <c r="B442" s="141" t="n">
        <v>441</v>
      </c>
      <c r="C442">
        <f>H442</f>
        <v/>
      </c>
      <c r="E442" s="456">
        <f>F441+2</f>
        <v/>
      </c>
      <c r="F442" s="456">
        <f>E442+5</f>
        <v/>
      </c>
      <c r="G442" s="141">
        <f>_xlfn.CONCAT(YEAR(E442),".",TEXT(MONTH(E442),"0#"))</f>
        <v/>
      </c>
      <c r="H442">
        <f>YEAR(E442)</f>
        <v/>
      </c>
      <c r="I442">
        <f>IF(VLOOKUP(G442,AC:AD,2,FALSE)&lt;4,1,0)</f>
        <v/>
      </c>
      <c r="J442">
        <f>IF(AND(DAY(F442)&lt; DAY(E442),I442=1),MONTH(E442)+1,MONTH(E442))</f>
        <v/>
      </c>
      <c r="K442" s="201">
        <f>_xlfn.CONCAT(H442,".",TEXT(J442,"0#"))</f>
        <v/>
      </c>
    </row>
    <row r="443">
      <c r="A443" t="inlineStr">
        <is>
          <t>.t442</t>
        </is>
      </c>
      <c r="B443" s="141" t="n">
        <v>442</v>
      </c>
      <c r="C443">
        <f>H443</f>
        <v/>
      </c>
      <c r="E443" s="456">
        <f>F442+2</f>
        <v/>
      </c>
      <c r="F443" s="456">
        <f>E443+5</f>
        <v/>
      </c>
      <c r="G443" s="141">
        <f>_xlfn.CONCAT(YEAR(E443),".",TEXT(MONTH(E443),"0#"))</f>
        <v/>
      </c>
      <c r="H443">
        <f>YEAR(E443)</f>
        <v/>
      </c>
      <c r="I443">
        <f>IF(VLOOKUP(G443,AC:AD,2,FALSE)&lt;4,1,0)</f>
        <v/>
      </c>
      <c r="J443">
        <f>IF(AND(DAY(F443)&lt; DAY(E443),I443=1),MONTH(E443)+1,MONTH(E443))</f>
        <v/>
      </c>
      <c r="K443" s="201">
        <f>_xlfn.CONCAT(H443,".",TEXT(J443,"0#"))</f>
        <v/>
      </c>
    </row>
    <row r="444">
      <c r="A444" t="inlineStr">
        <is>
          <t>.t443</t>
        </is>
      </c>
      <c r="B444" s="141" t="n">
        <v>443</v>
      </c>
      <c r="C444">
        <f>H444</f>
        <v/>
      </c>
      <c r="E444" s="456">
        <f>F443+2</f>
        <v/>
      </c>
      <c r="F444" s="456">
        <f>E444+5</f>
        <v/>
      </c>
      <c r="G444" s="141">
        <f>_xlfn.CONCAT(YEAR(E444),".",TEXT(MONTH(E444),"0#"))</f>
        <v/>
      </c>
      <c r="H444">
        <f>YEAR(E444)</f>
        <v/>
      </c>
      <c r="I444">
        <f>IF(VLOOKUP(G444,AC:AD,2,FALSE)&lt;4,1,0)</f>
        <v/>
      </c>
      <c r="J444">
        <f>IF(AND(DAY(F444)&lt; DAY(E444),I444=1),MONTH(E444)+1,MONTH(E444))</f>
        <v/>
      </c>
      <c r="K444" s="201">
        <f>_xlfn.CONCAT(H444,".",TEXT(J444,"0#"))</f>
        <v/>
      </c>
    </row>
    <row r="445">
      <c r="A445" t="inlineStr">
        <is>
          <t>.t444</t>
        </is>
      </c>
      <c r="B445" s="141" t="n">
        <v>444</v>
      </c>
      <c r="C445">
        <f>H445</f>
        <v/>
      </c>
      <c r="E445" s="456">
        <f>F444+2</f>
        <v/>
      </c>
      <c r="F445" s="456">
        <f>E445+5</f>
        <v/>
      </c>
      <c r="G445" s="141">
        <f>_xlfn.CONCAT(YEAR(E445),".",TEXT(MONTH(E445),"0#"))</f>
        <v/>
      </c>
      <c r="H445">
        <f>YEAR(E445)</f>
        <v/>
      </c>
      <c r="I445">
        <f>IF(VLOOKUP(G445,AC:AD,2,FALSE)&lt;4,1,0)</f>
        <v/>
      </c>
      <c r="J445">
        <f>IF(AND(DAY(F445)&lt; DAY(E445),I445=1),MONTH(E445)+1,MONTH(E445))</f>
        <v/>
      </c>
      <c r="K445" s="201">
        <f>_xlfn.CONCAT(H445,".",TEXT(J445,"0#"))</f>
        <v/>
      </c>
    </row>
    <row r="446">
      <c r="A446" t="inlineStr">
        <is>
          <t>.t445</t>
        </is>
      </c>
      <c r="B446" s="141" t="n">
        <v>445</v>
      </c>
      <c r="C446">
        <f>H446</f>
        <v/>
      </c>
      <c r="E446" s="456">
        <f>F445+2</f>
        <v/>
      </c>
      <c r="F446" s="456">
        <f>E446+5</f>
        <v/>
      </c>
      <c r="G446" s="141">
        <f>_xlfn.CONCAT(YEAR(E446),".",TEXT(MONTH(E446),"0#"))</f>
        <v/>
      </c>
      <c r="H446">
        <f>YEAR(E446)</f>
        <v/>
      </c>
      <c r="I446">
        <f>IF(VLOOKUP(G446,AC:AD,2,FALSE)&lt;4,1,0)</f>
        <v/>
      </c>
      <c r="J446">
        <f>IF(AND(DAY(F446)&lt; DAY(E446),I446=1),MONTH(E446)+1,MONTH(E446))</f>
        <v/>
      </c>
      <c r="K446" s="201">
        <f>_xlfn.CONCAT(H446,".",TEXT(J446,"0#"))</f>
        <v/>
      </c>
    </row>
    <row r="447">
      <c r="A447" t="inlineStr">
        <is>
          <t>.t446</t>
        </is>
      </c>
      <c r="B447" s="141" t="n">
        <v>446</v>
      </c>
      <c r="C447">
        <f>H447</f>
        <v/>
      </c>
      <c r="E447" s="456">
        <f>F446+2</f>
        <v/>
      </c>
      <c r="F447" s="456">
        <f>E447+5</f>
        <v/>
      </c>
      <c r="G447" s="141">
        <f>_xlfn.CONCAT(YEAR(E447),".",TEXT(MONTH(E447),"0#"))</f>
        <v/>
      </c>
      <c r="H447">
        <f>YEAR(E447)</f>
        <v/>
      </c>
      <c r="I447">
        <f>IF(VLOOKUP(G447,AC:AD,2,FALSE)&lt;4,1,0)</f>
        <v/>
      </c>
      <c r="J447">
        <f>IF(AND(DAY(F447)&lt; DAY(E447),I447=1),MONTH(E447)+1,MONTH(E447))</f>
        <v/>
      </c>
      <c r="K447" s="201">
        <f>_xlfn.CONCAT(H447,".",TEXT(J447,"0#"))</f>
        <v/>
      </c>
    </row>
    <row r="448">
      <c r="A448" t="inlineStr">
        <is>
          <t>.t447</t>
        </is>
      </c>
      <c r="B448" s="141" t="n">
        <v>447</v>
      </c>
      <c r="C448">
        <f>H448</f>
        <v/>
      </c>
      <c r="E448" s="456">
        <f>F447+2</f>
        <v/>
      </c>
      <c r="F448" s="456">
        <f>E448+5</f>
        <v/>
      </c>
      <c r="G448" s="141">
        <f>_xlfn.CONCAT(YEAR(E448),".",TEXT(MONTH(E448),"0#"))</f>
        <v/>
      </c>
      <c r="H448">
        <f>YEAR(E448)</f>
        <v/>
      </c>
      <c r="I448">
        <f>IF(VLOOKUP(G448,AC:AD,2,FALSE)&lt;4,1,0)</f>
        <v/>
      </c>
      <c r="J448">
        <f>IF(AND(DAY(F448)&lt; DAY(E448),I448=1),MONTH(E448)+1,MONTH(E448))</f>
        <v/>
      </c>
      <c r="K448" s="201">
        <f>_xlfn.CONCAT(H448,".",TEXT(J448,"0#"))</f>
        <v/>
      </c>
    </row>
    <row r="449">
      <c r="A449" t="inlineStr">
        <is>
          <t>.t448</t>
        </is>
      </c>
      <c r="B449" s="141" t="n">
        <v>448</v>
      </c>
      <c r="C449">
        <f>H449</f>
        <v/>
      </c>
      <c r="E449" s="456">
        <f>F448+2</f>
        <v/>
      </c>
      <c r="F449" s="456">
        <f>E449+5</f>
        <v/>
      </c>
      <c r="G449" s="141">
        <f>_xlfn.CONCAT(YEAR(E449),".",TEXT(MONTH(E449),"0#"))</f>
        <v/>
      </c>
      <c r="H449">
        <f>YEAR(E449)</f>
        <v/>
      </c>
      <c r="I449">
        <f>IF(VLOOKUP(G449,AC:AD,2,FALSE)&lt;4,1,0)</f>
        <v/>
      </c>
      <c r="J449">
        <f>IF(AND(DAY(F449)&lt; DAY(E449),I449=1),MONTH(E449)+1,MONTH(E449))</f>
        <v/>
      </c>
      <c r="K449" s="201">
        <f>_xlfn.CONCAT(H449,".",TEXT(J449,"0#"))</f>
        <v/>
      </c>
    </row>
    <row r="450">
      <c r="A450" t="inlineStr">
        <is>
          <t>.t449</t>
        </is>
      </c>
      <c r="B450" s="141" t="n">
        <v>449</v>
      </c>
      <c r="C450">
        <f>H450</f>
        <v/>
      </c>
      <c r="E450" s="456">
        <f>F449+2</f>
        <v/>
      </c>
      <c r="F450" s="456">
        <f>E450+5</f>
        <v/>
      </c>
      <c r="G450" s="141">
        <f>_xlfn.CONCAT(YEAR(E450),".",TEXT(MONTH(E450),"0#"))</f>
        <v/>
      </c>
      <c r="H450">
        <f>YEAR(E450)</f>
        <v/>
      </c>
      <c r="I450">
        <f>IF(VLOOKUP(G450,AC:AD,2,FALSE)&lt;4,1,0)</f>
        <v/>
      </c>
      <c r="J450">
        <f>IF(AND(DAY(F450)&lt; DAY(E450),I450=1),MONTH(E450)+1,MONTH(E450))</f>
        <v/>
      </c>
      <c r="K450" s="201">
        <f>_xlfn.CONCAT(H450,".",TEXT(J450,"0#"))</f>
        <v/>
      </c>
    </row>
    <row r="451">
      <c r="A451" t="inlineStr">
        <is>
          <t>.t450</t>
        </is>
      </c>
      <c r="B451" s="141" t="n">
        <v>450</v>
      </c>
      <c r="C451">
        <f>H451</f>
        <v/>
      </c>
      <c r="E451" s="456">
        <f>F450+2</f>
        <v/>
      </c>
      <c r="F451" s="456">
        <f>E451+5</f>
        <v/>
      </c>
      <c r="G451" s="141">
        <f>_xlfn.CONCAT(YEAR(E451),".",TEXT(MONTH(E451),"0#"))</f>
        <v/>
      </c>
      <c r="H451">
        <f>YEAR(E451)</f>
        <v/>
      </c>
      <c r="I451">
        <f>IF(VLOOKUP(G451,AC:AD,2,FALSE)&lt;4,1,0)</f>
        <v/>
      </c>
      <c r="J451">
        <f>IF(AND(DAY(F451)&lt; DAY(E451),I451=1),MONTH(E451)+1,MONTH(E451))</f>
        <v/>
      </c>
      <c r="K451" s="201">
        <f>_xlfn.CONCAT(H451,".",TEXT(J451,"0#"))</f>
        <v/>
      </c>
    </row>
    <row r="452">
      <c r="A452" t="inlineStr">
        <is>
          <t>.t451</t>
        </is>
      </c>
      <c r="B452" s="141" t="n">
        <v>451</v>
      </c>
      <c r="C452">
        <f>H452</f>
        <v/>
      </c>
      <c r="E452" s="456">
        <f>F451+2</f>
        <v/>
      </c>
      <c r="F452" s="456">
        <f>E452+5</f>
        <v/>
      </c>
      <c r="G452" s="141">
        <f>_xlfn.CONCAT(YEAR(E452),".",TEXT(MONTH(E452),"0#"))</f>
        <v/>
      </c>
      <c r="H452">
        <f>YEAR(E452)</f>
        <v/>
      </c>
      <c r="I452">
        <f>IF(VLOOKUP(G452,AC:AD,2,FALSE)&lt;4,1,0)</f>
        <v/>
      </c>
      <c r="J452">
        <f>IF(AND(DAY(F452)&lt; DAY(E452),I452=1),MONTH(E452)+1,MONTH(E452))</f>
        <v/>
      </c>
      <c r="K452" s="201">
        <f>_xlfn.CONCAT(H452,".",TEXT(J452,"0#"))</f>
        <v/>
      </c>
    </row>
    <row r="453">
      <c r="A453" t="inlineStr">
        <is>
          <t>.t452</t>
        </is>
      </c>
      <c r="B453" s="141" t="n">
        <v>452</v>
      </c>
      <c r="C453">
        <f>H453</f>
        <v/>
      </c>
      <c r="E453" s="456">
        <f>F452+2</f>
        <v/>
      </c>
      <c r="F453" s="456">
        <f>E453+5</f>
        <v/>
      </c>
      <c r="G453" s="141">
        <f>_xlfn.CONCAT(YEAR(E453),".",TEXT(MONTH(E453),"0#"))</f>
        <v/>
      </c>
      <c r="H453">
        <f>YEAR(E453)</f>
        <v/>
      </c>
      <c r="I453">
        <f>IF(VLOOKUP(G453,AC:AD,2,FALSE)&lt;4,1,0)</f>
        <v/>
      </c>
      <c r="J453">
        <f>IF(AND(DAY(F453)&lt; DAY(E453),I453=1),MONTH(E453)+1,MONTH(E453))</f>
        <v/>
      </c>
      <c r="K453" s="201">
        <f>_xlfn.CONCAT(H453,".",TEXT(J453,"0#"))</f>
        <v/>
      </c>
    </row>
    <row r="454">
      <c r="A454" t="inlineStr">
        <is>
          <t>.t453</t>
        </is>
      </c>
      <c r="B454" s="141" t="n">
        <v>453</v>
      </c>
      <c r="C454">
        <f>H454</f>
        <v/>
      </c>
      <c r="E454" s="456">
        <f>F453+2</f>
        <v/>
      </c>
      <c r="F454" s="456">
        <f>E454+5</f>
        <v/>
      </c>
      <c r="G454" s="141">
        <f>_xlfn.CONCAT(YEAR(E454),".",TEXT(MONTH(E454),"0#"))</f>
        <v/>
      </c>
      <c r="H454">
        <f>YEAR(E454)</f>
        <v/>
      </c>
      <c r="I454">
        <f>IF(VLOOKUP(G454,AC:AD,2,FALSE)&lt;4,1,0)</f>
        <v/>
      </c>
      <c r="J454">
        <f>IF(AND(DAY(F454)&lt; DAY(E454),I454=1),MONTH(E454)+1,MONTH(E454))</f>
        <v/>
      </c>
      <c r="K454" s="201">
        <f>_xlfn.CONCAT(H454,".",TEXT(J454,"0#"))</f>
        <v/>
      </c>
    </row>
    <row r="455">
      <c r="A455" t="inlineStr">
        <is>
          <t>.t454</t>
        </is>
      </c>
      <c r="B455" s="141" t="n">
        <v>454</v>
      </c>
      <c r="C455">
        <f>H455</f>
        <v/>
      </c>
      <c r="E455" s="456">
        <f>F454+2</f>
        <v/>
      </c>
      <c r="F455" s="456">
        <f>E455+5</f>
        <v/>
      </c>
      <c r="G455" s="141">
        <f>_xlfn.CONCAT(YEAR(E455),".",TEXT(MONTH(E455),"0#"))</f>
        <v/>
      </c>
      <c r="H455">
        <f>YEAR(E455)</f>
        <v/>
      </c>
      <c r="I455">
        <f>IF(VLOOKUP(G455,AC:AD,2,FALSE)&lt;4,1,0)</f>
        <v/>
      </c>
      <c r="J455">
        <f>IF(AND(DAY(F455)&lt; DAY(E455),I455=1),MONTH(E455)+1,MONTH(E455))</f>
        <v/>
      </c>
      <c r="K455" s="201">
        <f>_xlfn.CONCAT(H455,".",TEXT(J455,"0#"))</f>
        <v/>
      </c>
    </row>
    <row r="456">
      <c r="A456" t="inlineStr">
        <is>
          <t>.t455</t>
        </is>
      </c>
      <c r="B456" s="141" t="n">
        <v>455</v>
      </c>
      <c r="C456">
        <f>H456</f>
        <v/>
      </c>
      <c r="E456" s="456">
        <f>F455+2</f>
        <v/>
      </c>
      <c r="F456" s="456">
        <f>E456+5</f>
        <v/>
      </c>
      <c r="G456" s="141">
        <f>_xlfn.CONCAT(YEAR(E456),".",TEXT(MONTH(E456),"0#"))</f>
        <v/>
      </c>
      <c r="H456">
        <f>YEAR(E456)</f>
        <v/>
      </c>
      <c r="I456">
        <f>IF(VLOOKUP(G456,AC:AD,2,FALSE)&lt;4,1,0)</f>
        <v/>
      </c>
      <c r="J456">
        <f>IF(AND(DAY(F456)&lt; DAY(E456),I456=1),MONTH(E456)+1,MONTH(E456))</f>
        <v/>
      </c>
      <c r="K456" s="201">
        <f>_xlfn.CONCAT(H456,".",TEXT(J456,"0#"))</f>
        <v/>
      </c>
    </row>
    <row r="457">
      <c r="A457" t="inlineStr">
        <is>
          <t>.t456</t>
        </is>
      </c>
      <c r="B457" s="141" t="n">
        <v>456</v>
      </c>
      <c r="C457">
        <f>H457</f>
        <v/>
      </c>
      <c r="E457" s="456">
        <f>F456+2</f>
        <v/>
      </c>
      <c r="F457" s="456">
        <f>E457+5</f>
        <v/>
      </c>
      <c r="G457" s="141">
        <f>_xlfn.CONCAT(YEAR(E457),".",TEXT(MONTH(E457),"0#"))</f>
        <v/>
      </c>
      <c r="H457">
        <f>YEAR(E457)</f>
        <v/>
      </c>
      <c r="I457">
        <f>IF(VLOOKUP(G457,AC:AD,2,FALSE)&lt;4,1,0)</f>
        <v/>
      </c>
      <c r="J457">
        <f>IF(AND(DAY(F457)&lt; DAY(E457),I457=1),MONTH(E457)+1,MONTH(E457))</f>
        <v/>
      </c>
      <c r="K457" s="201">
        <f>_xlfn.CONCAT(H457,".",TEXT(J457,"0#"))</f>
        <v/>
      </c>
    </row>
    <row r="458">
      <c r="A458" t="inlineStr">
        <is>
          <t>.t457</t>
        </is>
      </c>
      <c r="B458" s="141" t="n">
        <v>457</v>
      </c>
      <c r="C458">
        <f>H458</f>
        <v/>
      </c>
      <c r="E458" s="456">
        <f>F457+2</f>
        <v/>
      </c>
      <c r="F458" s="456">
        <f>E458+5</f>
        <v/>
      </c>
      <c r="G458" s="141">
        <f>_xlfn.CONCAT(YEAR(E458),".",TEXT(MONTH(E458),"0#"))</f>
        <v/>
      </c>
      <c r="H458">
        <f>YEAR(E458)</f>
        <v/>
      </c>
      <c r="I458">
        <f>IF(VLOOKUP(G458,AC:AD,2,FALSE)&lt;4,1,0)</f>
        <v/>
      </c>
      <c r="J458">
        <f>IF(AND(DAY(F458)&lt; DAY(E458),I458=1),MONTH(E458)+1,MONTH(E458))</f>
        <v/>
      </c>
      <c r="K458" s="201">
        <f>_xlfn.CONCAT(H458,".",TEXT(J458,"0#"))</f>
        <v/>
      </c>
    </row>
    <row r="459">
      <c r="A459" t="inlineStr">
        <is>
          <t>.t458</t>
        </is>
      </c>
      <c r="B459" s="141" t="n">
        <v>458</v>
      </c>
      <c r="C459">
        <f>H459</f>
        <v/>
      </c>
      <c r="E459" s="456">
        <f>F458+2</f>
        <v/>
      </c>
      <c r="F459" s="456">
        <f>E459+5</f>
        <v/>
      </c>
      <c r="G459" s="141">
        <f>_xlfn.CONCAT(YEAR(E459),".",TEXT(MONTH(E459),"0#"))</f>
        <v/>
      </c>
      <c r="H459">
        <f>YEAR(E459)</f>
        <v/>
      </c>
      <c r="I459">
        <f>IF(VLOOKUP(G459,AC:AD,2,FALSE)&lt;4,1,0)</f>
        <v/>
      </c>
      <c r="J459">
        <f>IF(AND(DAY(F459)&lt; DAY(E459),I459=1),MONTH(E459)+1,MONTH(E459))</f>
        <v/>
      </c>
      <c r="K459" s="201">
        <f>_xlfn.CONCAT(H459,".",TEXT(J459,"0#"))</f>
        <v/>
      </c>
    </row>
    <row r="460">
      <c r="A460" t="inlineStr">
        <is>
          <t>.t459</t>
        </is>
      </c>
      <c r="B460" s="141" t="n">
        <v>459</v>
      </c>
      <c r="C460">
        <f>H460</f>
        <v/>
      </c>
      <c r="E460" s="456">
        <f>F459+2</f>
        <v/>
      </c>
      <c r="F460" s="456">
        <f>E460+5</f>
        <v/>
      </c>
      <c r="G460" s="141">
        <f>_xlfn.CONCAT(YEAR(E460),".",TEXT(MONTH(E460),"0#"))</f>
        <v/>
      </c>
      <c r="H460">
        <f>YEAR(E460)</f>
        <v/>
      </c>
      <c r="I460">
        <f>IF(VLOOKUP(G460,AC:AD,2,FALSE)&lt;4,1,0)</f>
        <v/>
      </c>
      <c r="J460">
        <f>IF(AND(DAY(F460)&lt; DAY(E460),I460=1),MONTH(E460)+1,MONTH(E460))</f>
        <v/>
      </c>
      <c r="K460" s="201">
        <f>_xlfn.CONCAT(H460,".",TEXT(J460,"0#"))</f>
        <v/>
      </c>
    </row>
    <row r="461">
      <c r="A461" t="inlineStr">
        <is>
          <t>.t460</t>
        </is>
      </c>
      <c r="B461" s="141" t="n">
        <v>460</v>
      </c>
      <c r="C461">
        <f>H461</f>
        <v/>
      </c>
      <c r="E461" s="456">
        <f>F460+2</f>
        <v/>
      </c>
      <c r="F461" s="456">
        <f>E461+5</f>
        <v/>
      </c>
      <c r="G461" s="141">
        <f>_xlfn.CONCAT(YEAR(E461),".",TEXT(MONTH(E461),"0#"))</f>
        <v/>
      </c>
      <c r="H461">
        <f>YEAR(E461)</f>
        <v/>
      </c>
      <c r="I461">
        <f>IF(VLOOKUP(G461,AC:AD,2,FALSE)&lt;4,1,0)</f>
        <v/>
      </c>
      <c r="J461">
        <f>IF(AND(DAY(F461)&lt; DAY(E461),I461=1),MONTH(E461)+1,MONTH(E461))</f>
        <v/>
      </c>
      <c r="K461" s="201">
        <f>_xlfn.CONCAT(H461,".",TEXT(J461,"0#"))</f>
        <v/>
      </c>
    </row>
    <row r="462">
      <c r="A462" t="inlineStr">
        <is>
          <t>.t461</t>
        </is>
      </c>
      <c r="B462" s="141" t="n">
        <v>461</v>
      </c>
      <c r="C462">
        <f>H462</f>
        <v/>
      </c>
      <c r="E462" s="456">
        <f>F461+2</f>
        <v/>
      </c>
      <c r="F462" s="456">
        <f>E462+5</f>
        <v/>
      </c>
      <c r="G462" s="141">
        <f>_xlfn.CONCAT(YEAR(E462),".",TEXT(MONTH(E462),"0#"))</f>
        <v/>
      </c>
      <c r="H462">
        <f>YEAR(E462)</f>
        <v/>
      </c>
      <c r="I462">
        <f>IF(VLOOKUP(G462,AC:AD,2,FALSE)&lt;4,1,0)</f>
        <v/>
      </c>
      <c r="J462">
        <f>IF(AND(DAY(F462)&lt; DAY(E462),I462=1),MONTH(E462)+1,MONTH(E462))</f>
        <v/>
      </c>
      <c r="K462" s="201">
        <f>_xlfn.CONCAT(H462,".",TEXT(J462,"0#"))</f>
        <v/>
      </c>
    </row>
    <row r="463">
      <c r="A463" t="inlineStr">
        <is>
          <t>.t462</t>
        </is>
      </c>
      <c r="B463" s="141" t="n">
        <v>462</v>
      </c>
      <c r="C463">
        <f>H463</f>
        <v/>
      </c>
      <c r="E463" s="456">
        <f>F462+2</f>
        <v/>
      </c>
      <c r="F463" s="456">
        <f>E463+5</f>
        <v/>
      </c>
      <c r="G463" s="141">
        <f>_xlfn.CONCAT(YEAR(E463),".",TEXT(MONTH(E463),"0#"))</f>
        <v/>
      </c>
      <c r="H463">
        <f>YEAR(E463)</f>
        <v/>
      </c>
      <c r="I463">
        <f>IF(VLOOKUP(G463,AC:AD,2,FALSE)&lt;4,1,0)</f>
        <v/>
      </c>
      <c r="J463">
        <f>IF(AND(DAY(F463)&lt; DAY(E463),I463=1),MONTH(E463)+1,MONTH(E463))</f>
        <v/>
      </c>
      <c r="K463" s="201">
        <f>_xlfn.CONCAT(H463,".",TEXT(J463,"0#"))</f>
        <v/>
      </c>
    </row>
    <row r="464">
      <c r="A464" t="inlineStr">
        <is>
          <t>.t463</t>
        </is>
      </c>
      <c r="B464" s="141" t="n">
        <v>463</v>
      </c>
      <c r="C464">
        <f>H464</f>
        <v/>
      </c>
      <c r="E464" s="456">
        <f>F463+2</f>
        <v/>
      </c>
      <c r="F464" s="456">
        <f>E464+5</f>
        <v/>
      </c>
      <c r="G464" s="141">
        <f>_xlfn.CONCAT(YEAR(E464),".",TEXT(MONTH(E464),"0#"))</f>
        <v/>
      </c>
      <c r="H464">
        <f>YEAR(E464)</f>
        <v/>
      </c>
      <c r="I464">
        <f>IF(VLOOKUP(G464,AC:AD,2,FALSE)&lt;4,1,0)</f>
        <v/>
      </c>
      <c r="J464">
        <f>IF(AND(DAY(F464)&lt; DAY(E464),I464=1),MONTH(E464)+1,MONTH(E464))</f>
        <v/>
      </c>
      <c r="K464" s="201">
        <f>_xlfn.CONCAT(H464,".",TEXT(J464,"0#"))</f>
        <v/>
      </c>
    </row>
    <row r="465">
      <c r="A465" t="inlineStr">
        <is>
          <t>.t464</t>
        </is>
      </c>
      <c r="B465" s="141" t="n">
        <v>464</v>
      </c>
      <c r="C465">
        <f>H465</f>
        <v/>
      </c>
      <c r="E465" s="456">
        <f>F464+2</f>
        <v/>
      </c>
      <c r="F465" s="456">
        <f>E465+5</f>
        <v/>
      </c>
      <c r="G465" s="141">
        <f>_xlfn.CONCAT(YEAR(E465),".",TEXT(MONTH(E465),"0#"))</f>
        <v/>
      </c>
      <c r="H465">
        <f>YEAR(E465)</f>
        <v/>
      </c>
      <c r="I465">
        <f>IF(VLOOKUP(G465,AC:AD,2,FALSE)&lt;4,1,0)</f>
        <v/>
      </c>
      <c r="J465">
        <f>IF(AND(DAY(F465)&lt; DAY(E465),I465=1),MONTH(E465)+1,MONTH(E465))</f>
        <v/>
      </c>
      <c r="K465" s="201">
        <f>_xlfn.CONCAT(H465,".",TEXT(J465,"0#"))</f>
        <v/>
      </c>
    </row>
    <row r="466">
      <c r="A466" t="inlineStr">
        <is>
          <t>.t465</t>
        </is>
      </c>
      <c r="B466" s="141" t="n">
        <v>465</v>
      </c>
      <c r="C466">
        <f>H466</f>
        <v/>
      </c>
      <c r="E466" s="456">
        <f>F465+2</f>
        <v/>
      </c>
      <c r="F466" s="456">
        <f>E466+5</f>
        <v/>
      </c>
      <c r="G466" s="141">
        <f>_xlfn.CONCAT(YEAR(E466),".",TEXT(MONTH(E466),"0#"))</f>
        <v/>
      </c>
      <c r="H466">
        <f>YEAR(E466)</f>
        <v/>
      </c>
      <c r="I466">
        <f>IF(VLOOKUP(G466,AC:AD,2,FALSE)&lt;4,1,0)</f>
        <v/>
      </c>
      <c r="J466">
        <f>IF(AND(DAY(F466)&lt; DAY(E466),I466=1),MONTH(E466)+1,MONTH(E466))</f>
        <v/>
      </c>
      <c r="K466" s="201">
        <f>_xlfn.CONCAT(H466,".",TEXT(J466,"0#"))</f>
        <v/>
      </c>
    </row>
    <row r="467">
      <c r="A467" t="inlineStr">
        <is>
          <t>.t466</t>
        </is>
      </c>
      <c r="B467" s="141" t="n">
        <v>466</v>
      </c>
      <c r="C467">
        <f>H467</f>
        <v/>
      </c>
      <c r="E467" s="456">
        <f>F466+2</f>
        <v/>
      </c>
      <c r="F467" s="456">
        <f>E467+5</f>
        <v/>
      </c>
      <c r="G467" s="141">
        <f>_xlfn.CONCAT(YEAR(E467),".",TEXT(MONTH(E467),"0#"))</f>
        <v/>
      </c>
      <c r="H467">
        <f>YEAR(E467)</f>
        <v/>
      </c>
      <c r="I467">
        <f>IF(VLOOKUP(G467,AC:AD,2,FALSE)&lt;4,1,0)</f>
        <v/>
      </c>
      <c r="J467">
        <f>IF(AND(DAY(F467)&lt; DAY(E467),I467=1),MONTH(E467)+1,MONTH(E467))</f>
        <v/>
      </c>
      <c r="K467" s="201">
        <f>_xlfn.CONCAT(H467,".",TEXT(J467,"0#"))</f>
        <v/>
      </c>
    </row>
    <row r="468">
      <c r="A468" t="inlineStr">
        <is>
          <t>.t467</t>
        </is>
      </c>
      <c r="B468" s="141" t="n">
        <v>467</v>
      </c>
      <c r="C468">
        <f>H468</f>
        <v/>
      </c>
      <c r="E468" s="456">
        <f>F467+2</f>
        <v/>
      </c>
      <c r="F468" s="456">
        <f>E468+5</f>
        <v/>
      </c>
      <c r="G468" s="141">
        <f>_xlfn.CONCAT(YEAR(E468),".",TEXT(MONTH(E468),"0#"))</f>
        <v/>
      </c>
      <c r="H468">
        <f>YEAR(E468)</f>
        <v/>
      </c>
      <c r="I468">
        <f>IF(VLOOKUP(G468,AC:AD,2,FALSE)&lt;4,1,0)</f>
        <v/>
      </c>
      <c r="J468">
        <f>IF(AND(DAY(F468)&lt; DAY(E468),I468=1),MONTH(E468)+1,MONTH(E468))</f>
        <v/>
      </c>
      <c r="K468" s="201">
        <f>_xlfn.CONCAT(H468,".",TEXT(J468,"0#"))</f>
        <v/>
      </c>
    </row>
    <row r="469">
      <c r="A469" t="inlineStr">
        <is>
          <t>.t468</t>
        </is>
      </c>
      <c r="B469" s="141" t="n">
        <v>468</v>
      </c>
      <c r="C469">
        <f>H469</f>
        <v/>
      </c>
      <c r="E469" s="456">
        <f>F468+2</f>
        <v/>
      </c>
      <c r="F469" s="456">
        <f>E469+5</f>
        <v/>
      </c>
      <c r="G469" s="141">
        <f>_xlfn.CONCAT(YEAR(E469),".",TEXT(MONTH(E469),"0#"))</f>
        <v/>
      </c>
      <c r="H469">
        <f>YEAR(E469)</f>
        <v/>
      </c>
      <c r="I469">
        <f>IF(VLOOKUP(G469,AC:AD,2,FALSE)&lt;4,1,0)</f>
        <v/>
      </c>
      <c r="J469">
        <f>IF(AND(DAY(F469)&lt; DAY(E469),I469=1),MONTH(E469)+1,MONTH(E469))</f>
        <v/>
      </c>
      <c r="K469" s="201">
        <f>_xlfn.CONCAT(H469,".",TEXT(J469,"0#"))</f>
        <v/>
      </c>
    </row>
    <row r="470">
      <c r="A470" t="inlineStr">
        <is>
          <t>.t469</t>
        </is>
      </c>
      <c r="B470" s="141" t="n">
        <v>469</v>
      </c>
      <c r="C470">
        <f>H470</f>
        <v/>
      </c>
      <c r="E470" s="456">
        <f>F469+2</f>
        <v/>
      </c>
      <c r="F470" s="456">
        <f>E470+5</f>
        <v/>
      </c>
      <c r="G470" s="141">
        <f>_xlfn.CONCAT(YEAR(E470),".",TEXT(MONTH(E470),"0#"))</f>
        <v/>
      </c>
      <c r="H470">
        <f>YEAR(E470)</f>
        <v/>
      </c>
      <c r="I470">
        <f>IF(VLOOKUP(G470,AC:AD,2,FALSE)&lt;4,1,0)</f>
        <v/>
      </c>
      <c r="J470">
        <f>IF(AND(DAY(F470)&lt; DAY(E470),I470=1),MONTH(E470)+1,MONTH(E470))</f>
        <v/>
      </c>
      <c r="K470" s="201">
        <f>_xlfn.CONCAT(H470,".",TEXT(J470,"0#"))</f>
        <v/>
      </c>
    </row>
    <row r="471">
      <c r="A471" t="inlineStr">
        <is>
          <t>.t470</t>
        </is>
      </c>
      <c r="B471" s="141" t="n">
        <v>470</v>
      </c>
      <c r="C471">
        <f>H471</f>
        <v/>
      </c>
      <c r="E471" s="456">
        <f>F470+2</f>
        <v/>
      </c>
      <c r="F471" s="456">
        <f>E471+5</f>
        <v/>
      </c>
      <c r="G471" s="141">
        <f>_xlfn.CONCAT(YEAR(E471),".",TEXT(MONTH(E471),"0#"))</f>
        <v/>
      </c>
      <c r="H471">
        <f>YEAR(E471)</f>
        <v/>
      </c>
      <c r="I471">
        <f>IF(VLOOKUP(G471,AC:AD,2,FALSE)&lt;4,1,0)</f>
        <v/>
      </c>
      <c r="J471">
        <f>IF(AND(DAY(F471)&lt; DAY(E471),I471=1),MONTH(E471)+1,MONTH(E471))</f>
        <v/>
      </c>
      <c r="K471" s="201">
        <f>_xlfn.CONCAT(H471,".",TEXT(J471,"0#"))</f>
        <v/>
      </c>
    </row>
    <row r="472">
      <c r="A472" t="inlineStr">
        <is>
          <t>.t471</t>
        </is>
      </c>
      <c r="B472" t="n">
        <v>471</v>
      </c>
      <c r="C472">
        <f>H472</f>
        <v/>
      </c>
      <c r="E472" s="456">
        <f>F471+2</f>
        <v/>
      </c>
      <c r="F472" s="456">
        <f>E472+5</f>
        <v/>
      </c>
      <c r="G472" s="141">
        <f>_xlfn.CONCAT(YEAR(E472),".",TEXT(MONTH(E472),"0#"))</f>
        <v/>
      </c>
      <c r="H472">
        <f>YEAR(E472)</f>
        <v/>
      </c>
      <c r="I472">
        <f>IF(VLOOKUP(G472,AC:AD,2,FALSE)&lt;4,1,0)</f>
        <v/>
      </c>
      <c r="J472">
        <f>IF(AND(DAY(F472)&lt; DAY(E472),I472=1),MONTH(E472)+1,MONTH(E472))</f>
        <v/>
      </c>
      <c r="K472" s="201">
        <f>_xlfn.CONCAT(H472,".",TEXT(J472,"0#"))</f>
        <v/>
      </c>
    </row>
    <row r="473">
      <c r="A473" t="inlineStr">
        <is>
          <t>.t472</t>
        </is>
      </c>
      <c r="B473" t="n">
        <v>472</v>
      </c>
      <c r="C473">
        <f>H473</f>
        <v/>
      </c>
      <c r="E473" s="456">
        <f>F472+2</f>
        <v/>
      </c>
      <c r="F473" s="456">
        <f>E473+5</f>
        <v/>
      </c>
      <c r="G473" s="141">
        <f>_xlfn.CONCAT(YEAR(E473),".",TEXT(MONTH(E473),"0#"))</f>
        <v/>
      </c>
      <c r="H473">
        <f>YEAR(E473)</f>
        <v/>
      </c>
      <c r="I473">
        <f>IF(VLOOKUP(G473,AC:AD,2,FALSE)&lt;4,1,0)</f>
        <v/>
      </c>
      <c r="J473">
        <f>IF(AND(DAY(F473)&lt; DAY(E473),I473=1),MONTH(E473)+1,MONTH(E473))</f>
        <v/>
      </c>
      <c r="K473" s="201">
        <f>_xlfn.CONCAT(H473,".",TEXT(J473,"0#"))</f>
        <v/>
      </c>
    </row>
    <row r="474">
      <c r="A474" t="inlineStr">
        <is>
          <t>.t473</t>
        </is>
      </c>
      <c r="B474" t="n">
        <v>473</v>
      </c>
      <c r="C474">
        <f>H474</f>
        <v/>
      </c>
      <c r="E474" s="456">
        <f>F473+2</f>
        <v/>
      </c>
      <c r="F474" s="456">
        <f>E474+5</f>
        <v/>
      </c>
      <c r="G474" s="141">
        <f>_xlfn.CONCAT(YEAR(E474),".",TEXT(MONTH(E474),"0#"))</f>
        <v/>
      </c>
      <c r="H474">
        <f>YEAR(E474)</f>
        <v/>
      </c>
      <c r="I474">
        <f>IF(VLOOKUP(G474,AC:AD,2,FALSE)&lt;4,1,0)</f>
        <v/>
      </c>
      <c r="J474">
        <f>IF(AND(DAY(F474)&lt; DAY(E474),I474=1),MONTH(E474)+1,MONTH(E474))</f>
        <v/>
      </c>
      <c r="K474" s="201">
        <f>_xlfn.CONCAT(H474,".",TEXT(J474,"0#"))</f>
        <v/>
      </c>
    </row>
    <row r="475">
      <c r="A475" t="inlineStr">
        <is>
          <t>.t474</t>
        </is>
      </c>
      <c r="B475" t="n">
        <v>474</v>
      </c>
      <c r="C475">
        <f>H475</f>
        <v/>
      </c>
      <c r="E475" s="456">
        <f>F474+2</f>
        <v/>
      </c>
      <c r="F475" s="456">
        <f>E475+5</f>
        <v/>
      </c>
      <c r="G475" s="141">
        <f>_xlfn.CONCAT(YEAR(E475),".",TEXT(MONTH(E475),"0#"))</f>
        <v/>
      </c>
      <c r="H475">
        <f>YEAR(E475)</f>
        <v/>
      </c>
      <c r="I475">
        <f>IF(VLOOKUP(G475,AC:AD,2,FALSE)&lt;4,1,0)</f>
        <v/>
      </c>
      <c r="J475">
        <f>IF(AND(DAY(F475)&lt; DAY(E475),I475=1),MONTH(E475)+1,MONTH(E475))</f>
        <v/>
      </c>
      <c r="K475" s="201">
        <f>_xlfn.CONCAT(H475,".",TEXT(J475,"0#"))</f>
        <v/>
      </c>
    </row>
    <row r="476">
      <c r="A476" t="inlineStr">
        <is>
          <t>.t475</t>
        </is>
      </c>
      <c r="B476" t="n">
        <v>475</v>
      </c>
      <c r="C476">
        <f>H476</f>
        <v/>
      </c>
      <c r="E476" s="456">
        <f>F475+2</f>
        <v/>
      </c>
      <c r="F476" s="456">
        <f>E476+5</f>
        <v/>
      </c>
      <c r="G476" s="141">
        <f>_xlfn.CONCAT(YEAR(E476),".",TEXT(MONTH(E476),"0#"))</f>
        <v/>
      </c>
      <c r="H476">
        <f>YEAR(E476)</f>
        <v/>
      </c>
      <c r="I476">
        <f>IF(VLOOKUP(G476,AC:AD,2,FALSE)&lt;4,1,0)</f>
        <v/>
      </c>
      <c r="J476">
        <f>IF(AND(DAY(F476)&lt; DAY(E476),I476=1),MONTH(E476)+1,MONTH(E476))</f>
        <v/>
      </c>
      <c r="K476" s="201">
        <f>_xlfn.CONCAT(H476,".",TEXT(J476,"0#"))</f>
        <v/>
      </c>
    </row>
    <row r="477">
      <c r="A477" t="inlineStr">
        <is>
          <t>.t476</t>
        </is>
      </c>
      <c r="B477" t="n">
        <v>476</v>
      </c>
      <c r="C477">
        <f>H477</f>
        <v/>
      </c>
      <c r="E477" s="456">
        <f>F476+2</f>
        <v/>
      </c>
      <c r="F477" s="456">
        <f>E477+5</f>
        <v/>
      </c>
      <c r="G477" s="141">
        <f>_xlfn.CONCAT(YEAR(E477),".",TEXT(MONTH(E477),"0#"))</f>
        <v/>
      </c>
      <c r="H477">
        <f>YEAR(E477)</f>
        <v/>
      </c>
      <c r="I477">
        <f>IF(VLOOKUP(G477,AC:AD,2,FALSE)&lt;4,1,0)</f>
        <v/>
      </c>
      <c r="J477">
        <f>IF(AND(DAY(F477)&lt; DAY(E477),I477=1),MONTH(E477)+1,MONTH(E477))</f>
        <v/>
      </c>
      <c r="K477" s="201">
        <f>_xlfn.CONCAT(H477,".",TEXT(J477,"0#"))</f>
        <v/>
      </c>
    </row>
    <row r="478">
      <c r="A478" t="inlineStr">
        <is>
          <t>.t477</t>
        </is>
      </c>
      <c r="B478" t="n">
        <v>477</v>
      </c>
      <c r="C478">
        <f>H478</f>
        <v/>
      </c>
      <c r="E478" s="456">
        <f>F477+2</f>
        <v/>
      </c>
      <c r="F478" s="456">
        <f>E478+5</f>
        <v/>
      </c>
      <c r="G478" s="141">
        <f>_xlfn.CONCAT(YEAR(E478),".",TEXT(MONTH(E478),"0#"))</f>
        <v/>
      </c>
      <c r="H478">
        <f>YEAR(E478)</f>
        <v/>
      </c>
      <c r="I478">
        <f>IF(VLOOKUP(G478,AC:AD,2,FALSE)&lt;4,1,0)</f>
        <v/>
      </c>
      <c r="J478">
        <f>IF(AND(DAY(F478)&lt; DAY(E478),I478=1),MONTH(E478)+1,MONTH(E478))</f>
        <v/>
      </c>
      <c r="K478" s="201">
        <f>_xlfn.CONCAT(H478,".",TEXT(J478,"0#"))</f>
        <v/>
      </c>
    </row>
    <row r="479">
      <c r="A479" t="inlineStr">
        <is>
          <t>.t478</t>
        </is>
      </c>
      <c r="B479" t="n">
        <v>478</v>
      </c>
      <c r="C479">
        <f>H479</f>
        <v/>
      </c>
      <c r="E479" s="456">
        <f>F478+2</f>
        <v/>
      </c>
      <c r="F479" s="456">
        <f>E479+5</f>
        <v/>
      </c>
      <c r="G479" s="141">
        <f>_xlfn.CONCAT(YEAR(E479),".",TEXT(MONTH(E479),"0#"))</f>
        <v/>
      </c>
      <c r="H479">
        <f>YEAR(E479)</f>
        <v/>
      </c>
      <c r="I479">
        <f>IF(VLOOKUP(G479,AC:AD,2,FALSE)&lt;4,1,0)</f>
        <v/>
      </c>
      <c r="J479">
        <f>IF(AND(DAY(F479)&lt; DAY(E479),I479=1),MONTH(E479)+1,MONTH(E479))</f>
        <v/>
      </c>
      <c r="K479" s="201">
        <f>_xlfn.CONCAT(H479,".",TEXT(J479,"0#"))</f>
        <v/>
      </c>
    </row>
    <row r="480">
      <c r="A480" t="inlineStr">
        <is>
          <t>.t479</t>
        </is>
      </c>
      <c r="B480" t="n">
        <v>479</v>
      </c>
      <c r="C480">
        <f>H480</f>
        <v/>
      </c>
      <c r="E480" s="456">
        <f>F479+2</f>
        <v/>
      </c>
      <c r="F480" s="456">
        <f>E480+5</f>
        <v/>
      </c>
      <c r="G480" s="141">
        <f>_xlfn.CONCAT(YEAR(E480),".",TEXT(MONTH(E480),"0#"))</f>
        <v/>
      </c>
      <c r="H480">
        <f>YEAR(E480)</f>
        <v/>
      </c>
      <c r="I480">
        <f>IF(VLOOKUP(G480,AC:AD,2,FALSE)&lt;4,1,0)</f>
        <v/>
      </c>
      <c r="J480">
        <f>IF(AND(DAY(F480)&lt; DAY(E480),I480=1),MONTH(E480)+1,MONTH(E480))</f>
        <v/>
      </c>
      <c r="K480" s="201">
        <f>_xlfn.CONCAT(H480,".",TEXT(J480,"0#"))</f>
        <v/>
      </c>
    </row>
    <row r="481">
      <c r="A481" t="inlineStr">
        <is>
          <t>.t480</t>
        </is>
      </c>
      <c r="B481" t="n">
        <v>480</v>
      </c>
      <c r="C481">
        <f>H481</f>
        <v/>
      </c>
      <c r="E481" s="456">
        <f>F480+2</f>
        <v/>
      </c>
      <c r="F481" s="456">
        <f>E481+5</f>
        <v/>
      </c>
      <c r="G481" s="141">
        <f>_xlfn.CONCAT(YEAR(E481),".",TEXT(MONTH(E481),"0#"))</f>
        <v/>
      </c>
      <c r="H481">
        <f>YEAR(E481)</f>
        <v/>
      </c>
      <c r="I481">
        <f>IF(VLOOKUP(G481,AC:AD,2,FALSE)&lt;4,1,0)</f>
        <v/>
      </c>
      <c r="J481">
        <f>IF(AND(DAY(F481)&lt; DAY(E481),I481=1),MONTH(E481)+1,MONTH(E481))</f>
        <v/>
      </c>
      <c r="K481" s="201">
        <f>_xlfn.CONCAT(H481,".",TEXT(J481,"0#"))</f>
        <v/>
      </c>
    </row>
    <row r="482">
      <c r="A482" t="inlineStr">
        <is>
          <t>.t481</t>
        </is>
      </c>
      <c r="B482" t="n">
        <v>481</v>
      </c>
      <c r="C482">
        <f>H482</f>
        <v/>
      </c>
      <c r="E482" s="456">
        <f>F481+2</f>
        <v/>
      </c>
      <c r="F482" s="456">
        <f>E482+5</f>
        <v/>
      </c>
      <c r="G482" s="141">
        <f>_xlfn.CONCAT(YEAR(E482),".",TEXT(MONTH(E482),"0#"))</f>
        <v/>
      </c>
      <c r="H482">
        <f>YEAR(E482)</f>
        <v/>
      </c>
      <c r="I482">
        <f>IF(VLOOKUP(G482,AC:AD,2,FALSE)&lt;4,1,0)</f>
        <v/>
      </c>
      <c r="J482">
        <f>IF(AND(DAY(F482)&lt; DAY(E482),I482=1),MONTH(E482)+1,MONTH(E482))</f>
        <v/>
      </c>
      <c r="K482" s="201">
        <f>_xlfn.CONCAT(H482,".",TEXT(J482,"0#"))</f>
        <v/>
      </c>
    </row>
    <row r="483">
      <c r="A483" t="inlineStr">
        <is>
          <t>.t482</t>
        </is>
      </c>
      <c r="B483" t="n">
        <v>482</v>
      </c>
      <c r="C483">
        <f>H483</f>
        <v/>
      </c>
      <c r="E483" s="456">
        <f>F482+2</f>
        <v/>
      </c>
      <c r="F483" s="456">
        <f>E483+5</f>
        <v/>
      </c>
      <c r="G483" s="141">
        <f>_xlfn.CONCAT(YEAR(E483),".",TEXT(MONTH(E483),"0#"))</f>
        <v/>
      </c>
      <c r="H483">
        <f>YEAR(E483)</f>
        <v/>
      </c>
      <c r="I483">
        <f>IF(VLOOKUP(G483,AC:AD,2,FALSE)&lt;4,1,0)</f>
        <v/>
      </c>
      <c r="J483">
        <f>IF(AND(DAY(F483)&lt; DAY(E483),I483=1),MONTH(E483)+1,MONTH(E483))</f>
        <v/>
      </c>
      <c r="K483" s="201">
        <f>_xlfn.CONCAT(H483,".",TEXT(J483,"0#"))</f>
        <v/>
      </c>
    </row>
    <row r="484">
      <c r="A484" t="inlineStr">
        <is>
          <t>.t483</t>
        </is>
      </c>
      <c r="B484" t="n">
        <v>483</v>
      </c>
      <c r="C484">
        <f>H484</f>
        <v/>
      </c>
      <c r="E484" s="456">
        <f>F483+2</f>
        <v/>
      </c>
      <c r="F484" s="456">
        <f>E484+5</f>
        <v/>
      </c>
      <c r="G484" s="141">
        <f>_xlfn.CONCAT(YEAR(E484),".",TEXT(MONTH(E484),"0#"))</f>
        <v/>
      </c>
      <c r="H484">
        <f>YEAR(E484)</f>
        <v/>
      </c>
      <c r="I484">
        <f>IF(VLOOKUP(G484,AC:AD,2,FALSE)&lt;4,1,0)</f>
        <v/>
      </c>
      <c r="J484">
        <f>IF(AND(DAY(F484)&lt; DAY(E484),I484=1),MONTH(E484)+1,MONTH(E484))</f>
        <v/>
      </c>
      <c r="K484" s="201">
        <f>_xlfn.CONCAT(H484,".",TEXT(J484,"0#"))</f>
        <v/>
      </c>
    </row>
    <row r="485">
      <c r="A485" t="inlineStr">
        <is>
          <t>.t484</t>
        </is>
      </c>
      <c r="B485" t="n">
        <v>484</v>
      </c>
      <c r="C485">
        <f>H485</f>
        <v/>
      </c>
      <c r="E485" s="456">
        <f>F484+2</f>
        <v/>
      </c>
      <c r="F485" s="456">
        <f>E485+5</f>
        <v/>
      </c>
      <c r="G485" s="141">
        <f>_xlfn.CONCAT(YEAR(E485),".",TEXT(MONTH(E485),"0#"))</f>
        <v/>
      </c>
      <c r="H485">
        <f>YEAR(E485)</f>
        <v/>
      </c>
      <c r="I485">
        <f>IF(VLOOKUP(G485,AC:AD,2,FALSE)&lt;4,1,0)</f>
        <v/>
      </c>
      <c r="J485">
        <f>IF(AND(DAY(F485)&lt; DAY(E485),I485=1),MONTH(E485)+1,MONTH(E485))</f>
        <v/>
      </c>
      <c r="K485" s="201">
        <f>_xlfn.CONCAT(H485,".",TEXT(J485,"0#"))</f>
        <v/>
      </c>
    </row>
    <row r="486">
      <c r="A486" t="inlineStr">
        <is>
          <t>.t485</t>
        </is>
      </c>
      <c r="B486" t="n">
        <v>485</v>
      </c>
      <c r="C486">
        <f>H486</f>
        <v/>
      </c>
      <c r="E486" s="456">
        <f>F485+2</f>
        <v/>
      </c>
      <c r="F486" s="456">
        <f>E486+5</f>
        <v/>
      </c>
      <c r="G486" s="141">
        <f>_xlfn.CONCAT(YEAR(E486),".",TEXT(MONTH(E486),"0#"))</f>
        <v/>
      </c>
      <c r="H486">
        <f>YEAR(E486)</f>
        <v/>
      </c>
      <c r="I486">
        <f>IF(VLOOKUP(G486,AC:AD,2,FALSE)&lt;4,1,0)</f>
        <v/>
      </c>
      <c r="J486">
        <f>IF(AND(DAY(F486)&lt; DAY(E486),I486=1),MONTH(E486)+1,MONTH(E486))</f>
        <v/>
      </c>
      <c r="K486" s="201">
        <f>_xlfn.CONCAT(H486,".",TEXT(J486,"0#"))</f>
        <v/>
      </c>
    </row>
    <row r="487">
      <c r="A487" t="inlineStr">
        <is>
          <t>.t486</t>
        </is>
      </c>
      <c r="B487" t="n">
        <v>486</v>
      </c>
      <c r="C487">
        <f>H487</f>
        <v/>
      </c>
      <c r="E487" s="456">
        <f>F486+2</f>
        <v/>
      </c>
      <c r="F487" s="456">
        <f>E487+5</f>
        <v/>
      </c>
      <c r="G487" s="141">
        <f>_xlfn.CONCAT(YEAR(E487),".",TEXT(MONTH(E487),"0#"))</f>
        <v/>
      </c>
      <c r="H487">
        <f>YEAR(E487)</f>
        <v/>
      </c>
      <c r="I487">
        <f>IF(VLOOKUP(G487,AC:AD,2,FALSE)&lt;4,1,0)</f>
        <v/>
      </c>
      <c r="J487">
        <f>IF(AND(DAY(F487)&lt; DAY(E487),I487=1),MONTH(E487)+1,MONTH(E487))</f>
        <v/>
      </c>
      <c r="K487" s="201">
        <f>_xlfn.CONCAT(H487,".",TEXT(J487,"0#"))</f>
        <v/>
      </c>
    </row>
    <row r="488">
      <c r="A488" t="inlineStr">
        <is>
          <t>.t487</t>
        </is>
      </c>
      <c r="B488" t="n">
        <v>487</v>
      </c>
      <c r="C488">
        <f>H488</f>
        <v/>
      </c>
      <c r="E488" s="456">
        <f>F487+2</f>
        <v/>
      </c>
      <c r="F488" s="456">
        <f>E488+5</f>
        <v/>
      </c>
      <c r="G488" s="141">
        <f>_xlfn.CONCAT(YEAR(E488),".",TEXT(MONTH(E488),"0#"))</f>
        <v/>
      </c>
      <c r="H488">
        <f>YEAR(E488)</f>
        <v/>
      </c>
      <c r="I488">
        <f>IF(VLOOKUP(G488,AC:AD,2,FALSE)&lt;4,1,0)</f>
        <v/>
      </c>
      <c r="J488">
        <f>IF(AND(DAY(F488)&lt; DAY(E488),I488=1),MONTH(E488)+1,MONTH(E488))</f>
        <v/>
      </c>
      <c r="K488" s="201">
        <f>_xlfn.CONCAT(H488,".",TEXT(J488,"0#"))</f>
        <v/>
      </c>
    </row>
    <row r="489">
      <c r="A489" t="inlineStr">
        <is>
          <t>.t488</t>
        </is>
      </c>
      <c r="B489" t="n">
        <v>488</v>
      </c>
      <c r="C489">
        <f>H489</f>
        <v/>
      </c>
      <c r="E489" s="456">
        <f>F488+2</f>
        <v/>
      </c>
      <c r="F489" s="456">
        <f>E489+5</f>
        <v/>
      </c>
      <c r="G489" s="141">
        <f>_xlfn.CONCAT(YEAR(E489),".",TEXT(MONTH(E489),"0#"))</f>
        <v/>
      </c>
      <c r="H489">
        <f>YEAR(E489)</f>
        <v/>
      </c>
      <c r="I489">
        <f>IF(VLOOKUP(G489,AC:AD,2,FALSE)&lt;4,1,0)</f>
        <v/>
      </c>
      <c r="J489">
        <f>IF(AND(DAY(F489)&lt; DAY(E489),I489=1),MONTH(E489)+1,MONTH(E489))</f>
        <v/>
      </c>
      <c r="K489" s="201">
        <f>_xlfn.CONCAT(H489,".",TEXT(J489,"0#"))</f>
        <v/>
      </c>
    </row>
    <row r="490">
      <c r="A490" t="inlineStr">
        <is>
          <t>.t489</t>
        </is>
      </c>
      <c r="B490" t="n">
        <v>489</v>
      </c>
      <c r="C490">
        <f>H490</f>
        <v/>
      </c>
      <c r="E490" s="456">
        <f>F489+2</f>
        <v/>
      </c>
      <c r="F490" s="456">
        <f>E490+5</f>
        <v/>
      </c>
      <c r="G490" s="141">
        <f>_xlfn.CONCAT(YEAR(E490),".",TEXT(MONTH(E490),"0#"))</f>
        <v/>
      </c>
      <c r="H490">
        <f>YEAR(E490)</f>
        <v/>
      </c>
      <c r="I490">
        <f>IF(VLOOKUP(G490,AC:AD,2,FALSE)&lt;4,1,0)</f>
        <v/>
      </c>
      <c r="J490">
        <f>IF(AND(DAY(F490)&lt; DAY(E490),I490=1),MONTH(E490)+1,MONTH(E490))</f>
        <v/>
      </c>
      <c r="K490" s="201">
        <f>_xlfn.CONCAT(H490,".",TEXT(J490,"0#"))</f>
        <v/>
      </c>
    </row>
    <row r="491">
      <c r="A491" t="inlineStr">
        <is>
          <t>.t490</t>
        </is>
      </c>
      <c r="B491" t="n">
        <v>490</v>
      </c>
      <c r="C491">
        <f>H491</f>
        <v/>
      </c>
      <c r="E491" s="456">
        <f>F490+2</f>
        <v/>
      </c>
      <c r="F491" s="456">
        <f>E491+5</f>
        <v/>
      </c>
      <c r="G491" s="141">
        <f>_xlfn.CONCAT(YEAR(E491),".",TEXT(MONTH(E491),"0#"))</f>
        <v/>
      </c>
      <c r="H491">
        <f>YEAR(E491)</f>
        <v/>
      </c>
      <c r="I491">
        <f>IF(VLOOKUP(G491,AC:AD,2,FALSE)&lt;4,1,0)</f>
        <v/>
      </c>
      <c r="J491">
        <f>IF(AND(DAY(F491)&lt; DAY(E491),I491=1),MONTH(E491)+1,MONTH(E491))</f>
        <v/>
      </c>
      <c r="K491" s="201">
        <f>_xlfn.CONCAT(H491,".",TEXT(J491,"0#"))</f>
        <v/>
      </c>
    </row>
    <row r="492">
      <c r="A492" t="inlineStr">
        <is>
          <t>.t491</t>
        </is>
      </c>
      <c r="B492" t="n">
        <v>491</v>
      </c>
      <c r="C492">
        <f>H492</f>
        <v/>
      </c>
      <c r="E492" s="456">
        <f>F491+2</f>
        <v/>
      </c>
      <c r="F492" s="456">
        <f>E492+5</f>
        <v/>
      </c>
      <c r="G492" s="141">
        <f>_xlfn.CONCAT(YEAR(E492),".",TEXT(MONTH(E492),"0#"))</f>
        <v/>
      </c>
      <c r="H492">
        <f>YEAR(E492)</f>
        <v/>
      </c>
      <c r="I492">
        <f>IF(VLOOKUP(G492,AC:AD,2,FALSE)&lt;4,1,0)</f>
        <v/>
      </c>
      <c r="J492">
        <f>IF(AND(DAY(F492)&lt; DAY(E492),I492=1),MONTH(E492)+1,MONTH(E492))</f>
        <v/>
      </c>
      <c r="K492" s="201">
        <f>_xlfn.CONCAT(H492,".",TEXT(J492,"0#"))</f>
        <v/>
      </c>
    </row>
    <row r="493">
      <c r="A493" t="inlineStr">
        <is>
          <t>.t492</t>
        </is>
      </c>
      <c r="B493" t="n">
        <v>492</v>
      </c>
      <c r="C493">
        <f>H493</f>
        <v/>
      </c>
      <c r="E493" s="456">
        <f>F492+2</f>
        <v/>
      </c>
      <c r="F493" s="456">
        <f>E493+5</f>
        <v/>
      </c>
      <c r="G493" s="141">
        <f>_xlfn.CONCAT(YEAR(E493),".",TEXT(MONTH(E493),"0#"))</f>
        <v/>
      </c>
      <c r="H493">
        <f>YEAR(E493)</f>
        <v/>
      </c>
      <c r="I493">
        <f>IF(VLOOKUP(G493,AC:AD,2,FALSE)&lt;4,1,0)</f>
        <v/>
      </c>
      <c r="J493">
        <f>IF(AND(DAY(F493)&lt; DAY(E493),I493=1),MONTH(E493)+1,MONTH(E493))</f>
        <v/>
      </c>
      <c r="K493" s="201">
        <f>_xlfn.CONCAT(H493,".",TEXT(J493,"0#"))</f>
        <v/>
      </c>
    </row>
    <row r="494">
      <c r="A494" t="inlineStr">
        <is>
          <t>.t493</t>
        </is>
      </c>
      <c r="B494" t="n">
        <v>493</v>
      </c>
      <c r="C494">
        <f>H494</f>
        <v/>
      </c>
      <c r="E494" s="456">
        <f>F493+2</f>
        <v/>
      </c>
      <c r="F494" s="456">
        <f>E494+5</f>
        <v/>
      </c>
      <c r="G494" s="141">
        <f>_xlfn.CONCAT(YEAR(E494),".",TEXT(MONTH(E494),"0#"))</f>
        <v/>
      </c>
      <c r="H494">
        <f>YEAR(E494)</f>
        <v/>
      </c>
      <c r="I494">
        <f>IF(VLOOKUP(G494,AC:AD,2,FALSE)&lt;4,1,0)</f>
        <v/>
      </c>
      <c r="J494">
        <f>IF(AND(DAY(F494)&lt; DAY(E494),I494=1),MONTH(E494)+1,MONTH(E494))</f>
        <v/>
      </c>
      <c r="K494" s="201">
        <f>_xlfn.CONCAT(H494,".",TEXT(J494,"0#"))</f>
        <v/>
      </c>
    </row>
    <row r="495">
      <c r="A495" t="inlineStr">
        <is>
          <t>.t494</t>
        </is>
      </c>
      <c r="B495" t="n">
        <v>494</v>
      </c>
      <c r="C495">
        <f>H495</f>
        <v/>
      </c>
      <c r="E495" s="456">
        <f>F494+2</f>
        <v/>
      </c>
      <c r="F495" s="456">
        <f>E495+5</f>
        <v/>
      </c>
      <c r="G495" s="141">
        <f>_xlfn.CONCAT(YEAR(E495),".",TEXT(MONTH(E495),"0#"))</f>
        <v/>
      </c>
      <c r="H495">
        <f>YEAR(E495)</f>
        <v/>
      </c>
      <c r="I495">
        <f>IF(VLOOKUP(G495,AC:AD,2,FALSE)&lt;4,1,0)</f>
        <v/>
      </c>
      <c r="J495">
        <f>IF(AND(DAY(F495)&lt; DAY(E495),I495=1),MONTH(E495)+1,MONTH(E495))</f>
        <v/>
      </c>
      <c r="K495" s="201">
        <f>_xlfn.CONCAT(H495,".",TEXT(J495,"0#"))</f>
        <v/>
      </c>
    </row>
    <row r="496">
      <c r="A496" t="inlineStr">
        <is>
          <t>.t495</t>
        </is>
      </c>
      <c r="B496" t="n">
        <v>495</v>
      </c>
      <c r="C496">
        <f>H496</f>
        <v/>
      </c>
      <c r="E496" s="456">
        <f>F495+2</f>
        <v/>
      </c>
      <c r="F496" s="456">
        <f>E496+5</f>
        <v/>
      </c>
      <c r="G496" s="141">
        <f>_xlfn.CONCAT(YEAR(E496),".",TEXT(MONTH(E496),"0#"))</f>
        <v/>
      </c>
      <c r="H496">
        <f>YEAR(E496)</f>
        <v/>
      </c>
      <c r="I496">
        <f>IF(VLOOKUP(G496,AC:AD,2,FALSE)&lt;4,1,0)</f>
        <v/>
      </c>
      <c r="J496">
        <f>IF(AND(DAY(F496)&lt; DAY(E496),I496=1),MONTH(E496)+1,MONTH(E496))</f>
        <v/>
      </c>
      <c r="K496" s="201">
        <f>_xlfn.CONCAT(H496,".",TEXT(J496,"0#"))</f>
        <v/>
      </c>
    </row>
    <row r="497">
      <c r="A497" t="inlineStr">
        <is>
          <t>.t496</t>
        </is>
      </c>
      <c r="B497" t="n">
        <v>496</v>
      </c>
      <c r="C497">
        <f>H497</f>
        <v/>
      </c>
      <c r="E497" s="456">
        <f>F496+2</f>
        <v/>
      </c>
      <c r="F497" s="456">
        <f>E497+5</f>
        <v/>
      </c>
      <c r="G497" s="141">
        <f>_xlfn.CONCAT(YEAR(E497),".",TEXT(MONTH(E497),"0#"))</f>
        <v/>
      </c>
      <c r="H497">
        <f>YEAR(E497)</f>
        <v/>
      </c>
      <c r="I497">
        <f>IF(VLOOKUP(G497,AC:AD,2,FALSE)&lt;4,1,0)</f>
        <v/>
      </c>
      <c r="J497">
        <f>IF(AND(DAY(F497)&lt; DAY(E497),I497=1),MONTH(E497)+1,MONTH(E497))</f>
        <v/>
      </c>
      <c r="K497" s="201">
        <f>_xlfn.CONCAT(H497,".",TEXT(J497,"0#"))</f>
        <v/>
      </c>
    </row>
    <row r="498">
      <c r="A498" t="inlineStr">
        <is>
          <t>.t497</t>
        </is>
      </c>
      <c r="B498" t="n">
        <v>497</v>
      </c>
      <c r="C498">
        <f>H498</f>
        <v/>
      </c>
      <c r="E498" s="456">
        <f>F497+2</f>
        <v/>
      </c>
      <c r="F498" s="456">
        <f>E498+5</f>
        <v/>
      </c>
      <c r="G498" s="141">
        <f>_xlfn.CONCAT(YEAR(E498),".",TEXT(MONTH(E498),"0#"))</f>
        <v/>
      </c>
      <c r="H498">
        <f>YEAR(E498)</f>
        <v/>
      </c>
      <c r="I498">
        <f>IF(VLOOKUP(G498,AC:AD,2,FALSE)&lt;4,1,0)</f>
        <v/>
      </c>
      <c r="J498">
        <f>IF(AND(DAY(F498)&lt; DAY(E498),I498=1),MONTH(E498)+1,MONTH(E498))</f>
        <v/>
      </c>
      <c r="K498" s="201">
        <f>_xlfn.CONCAT(H498,".",TEXT(J498,"0#"))</f>
        <v/>
      </c>
    </row>
    <row r="499">
      <c r="A499" t="inlineStr">
        <is>
          <t>.t498</t>
        </is>
      </c>
      <c r="B499" t="n">
        <v>498</v>
      </c>
      <c r="C499">
        <f>H499</f>
        <v/>
      </c>
      <c r="E499" s="456">
        <f>F498+2</f>
        <v/>
      </c>
      <c r="F499" s="456">
        <f>E499+5</f>
        <v/>
      </c>
      <c r="G499" s="141">
        <f>_xlfn.CONCAT(YEAR(E499),".",TEXT(MONTH(E499),"0#"))</f>
        <v/>
      </c>
      <c r="H499">
        <f>YEAR(E499)</f>
        <v/>
      </c>
      <c r="I499">
        <f>IF(VLOOKUP(G499,AC:AD,2,FALSE)&lt;4,1,0)</f>
        <v/>
      </c>
      <c r="J499">
        <f>IF(AND(DAY(F499)&lt; DAY(E499),I499=1),MONTH(E499)+1,MONTH(E499))</f>
        <v/>
      </c>
      <c r="K499" s="201">
        <f>_xlfn.CONCAT(H499,".",TEXT(J499,"0#"))</f>
        <v/>
      </c>
    </row>
    <row r="500">
      <c r="A500" t="inlineStr">
        <is>
          <t>.t499</t>
        </is>
      </c>
      <c r="B500" t="n">
        <v>499</v>
      </c>
      <c r="C500">
        <f>H500</f>
        <v/>
      </c>
      <c r="E500" s="456">
        <f>F499+2</f>
        <v/>
      </c>
      <c r="F500" s="456">
        <f>E500+5</f>
        <v/>
      </c>
      <c r="G500" s="141">
        <f>_xlfn.CONCAT(YEAR(E500),".",TEXT(MONTH(E500),"0#"))</f>
        <v/>
      </c>
      <c r="H500">
        <f>YEAR(E500)</f>
        <v/>
      </c>
      <c r="I500">
        <f>IF(VLOOKUP(G500,AC:AD,2,FALSE)&lt;4,1,0)</f>
        <v/>
      </c>
      <c r="J500">
        <f>IF(AND(DAY(F500)&lt; DAY(E500),I500=1),MONTH(E500)+1,MONTH(E500))</f>
        <v/>
      </c>
      <c r="K500" s="201">
        <f>_xlfn.CONCAT(H500,".",TEXT(J500,"0#"))</f>
        <v/>
      </c>
    </row>
    <row r="501">
      <c r="A501" t="inlineStr">
        <is>
          <t>.t500</t>
        </is>
      </c>
      <c r="B501" t="n">
        <v>500</v>
      </c>
      <c r="C501">
        <f>H501</f>
        <v/>
      </c>
      <c r="E501" s="456">
        <f>F500+2</f>
        <v/>
      </c>
      <c r="F501" s="456">
        <f>E501+5</f>
        <v/>
      </c>
      <c r="G501" s="141">
        <f>_xlfn.CONCAT(YEAR(E501),".",TEXT(MONTH(E501),"0#"))</f>
        <v/>
      </c>
      <c r="H501">
        <f>YEAR(E501)</f>
        <v/>
      </c>
      <c r="I501">
        <f>IF(VLOOKUP(G501,AC:AD,2,FALSE)&lt;4,1,0)</f>
        <v/>
      </c>
      <c r="J501">
        <f>IF(AND(DAY(F501)&lt; DAY(E501),I501=1),MONTH(E501)+1,MONTH(E501))</f>
        <v/>
      </c>
      <c r="K501" s="201">
        <f>_xlfn.CONCAT(H501,".",TEXT(J501,"0#"))</f>
        <v/>
      </c>
    </row>
    <row r="502">
      <c r="A502" t="inlineStr">
        <is>
          <t>.t501</t>
        </is>
      </c>
      <c r="B502" t="n">
        <v>501</v>
      </c>
      <c r="C502">
        <f>H502</f>
        <v/>
      </c>
      <c r="E502" s="456">
        <f>F501+2</f>
        <v/>
      </c>
      <c r="F502" s="456">
        <f>E502+5</f>
        <v/>
      </c>
      <c r="G502" s="141">
        <f>_xlfn.CONCAT(YEAR(E502),".",TEXT(MONTH(E502),"0#"))</f>
        <v/>
      </c>
      <c r="H502">
        <f>YEAR(E502)</f>
        <v/>
      </c>
      <c r="I502">
        <f>IF(VLOOKUP(G502,AC:AD,2,FALSE)&lt;4,1,0)</f>
        <v/>
      </c>
      <c r="J502">
        <f>IF(AND(DAY(F502)&lt; DAY(E502),I502=1),MONTH(E502)+1,MONTH(E502))</f>
        <v/>
      </c>
      <c r="K502" s="201">
        <f>_xlfn.CONCAT(H502,".",TEXT(J502,"0#"))</f>
        <v/>
      </c>
    </row>
    <row r="503">
      <c r="A503" t="inlineStr">
        <is>
          <t>.t502</t>
        </is>
      </c>
      <c r="B503" t="n">
        <v>502</v>
      </c>
      <c r="C503">
        <f>H503</f>
        <v/>
      </c>
      <c r="E503" s="456">
        <f>F502+2</f>
        <v/>
      </c>
      <c r="F503" s="456">
        <f>E503+5</f>
        <v/>
      </c>
      <c r="G503" s="141">
        <f>_xlfn.CONCAT(YEAR(E503),".",TEXT(MONTH(E503),"0#"))</f>
        <v/>
      </c>
      <c r="H503">
        <f>YEAR(E503)</f>
        <v/>
      </c>
      <c r="I503">
        <f>IF(VLOOKUP(G503,AC:AD,2,FALSE)&lt;4,1,0)</f>
        <v/>
      </c>
      <c r="J503">
        <f>IF(AND(DAY(F503)&lt; DAY(E503),I503=1),MONTH(E503)+1,MONTH(E503))</f>
        <v/>
      </c>
      <c r="K503" s="201">
        <f>_xlfn.CONCAT(H503,".",TEXT(J503,"0#"))</f>
        <v/>
      </c>
    </row>
    <row r="504">
      <c r="A504" t="inlineStr">
        <is>
          <t>.t503</t>
        </is>
      </c>
      <c r="B504" t="n">
        <v>503</v>
      </c>
      <c r="C504">
        <f>H504</f>
        <v/>
      </c>
      <c r="E504" s="456">
        <f>F503+2</f>
        <v/>
      </c>
      <c r="F504" s="456">
        <f>E504+5</f>
        <v/>
      </c>
      <c r="G504" s="141">
        <f>_xlfn.CONCAT(YEAR(E504),".",TEXT(MONTH(E504),"0#"))</f>
        <v/>
      </c>
      <c r="H504">
        <f>YEAR(E504)</f>
        <v/>
      </c>
      <c r="I504">
        <f>IF(VLOOKUP(G504,AC:AD,2,FALSE)&lt;4,1,0)</f>
        <v/>
      </c>
      <c r="J504">
        <f>IF(AND(DAY(F504)&lt; DAY(E504),I504=1),MONTH(E504)+1,MONTH(E504))</f>
        <v/>
      </c>
      <c r="K504" s="201">
        <f>_xlfn.CONCAT(H504,".",TEXT(J504,"0#"))</f>
        <v/>
      </c>
    </row>
    <row r="505">
      <c r="A505" t="inlineStr">
        <is>
          <t>.t504</t>
        </is>
      </c>
      <c r="B505" t="n">
        <v>504</v>
      </c>
      <c r="C505">
        <f>H505</f>
        <v/>
      </c>
      <c r="E505" s="456">
        <f>F504+2</f>
        <v/>
      </c>
      <c r="F505" s="456">
        <f>E505+5</f>
        <v/>
      </c>
      <c r="G505" s="141">
        <f>_xlfn.CONCAT(YEAR(E505),".",TEXT(MONTH(E505),"0#"))</f>
        <v/>
      </c>
      <c r="H505">
        <f>YEAR(E505)</f>
        <v/>
      </c>
      <c r="I505">
        <f>IF(VLOOKUP(G505,AC:AD,2,FALSE)&lt;4,1,0)</f>
        <v/>
      </c>
      <c r="J505">
        <f>IF(AND(DAY(F505)&lt; DAY(E505),I505=1),MONTH(E505)+1,MONTH(E505))</f>
        <v/>
      </c>
      <c r="K505" s="201">
        <f>_xlfn.CONCAT(H505,".",TEXT(J505,"0#"))</f>
        <v/>
      </c>
    </row>
    <row r="506">
      <c r="A506" t="inlineStr">
        <is>
          <t>.t505</t>
        </is>
      </c>
      <c r="B506" t="n">
        <v>505</v>
      </c>
      <c r="C506">
        <f>H506</f>
        <v/>
      </c>
      <c r="E506" s="456">
        <f>F505+2</f>
        <v/>
      </c>
      <c r="F506" s="456">
        <f>E506+5</f>
        <v/>
      </c>
      <c r="G506" s="141">
        <f>_xlfn.CONCAT(YEAR(E506),".",TEXT(MONTH(E506),"0#"))</f>
        <v/>
      </c>
      <c r="H506">
        <f>YEAR(E506)</f>
        <v/>
      </c>
      <c r="I506">
        <f>IF(VLOOKUP(G506,AC:AD,2,FALSE)&lt;4,1,0)</f>
        <v/>
      </c>
      <c r="J506">
        <f>IF(AND(DAY(F506)&lt; DAY(E506),I506=1),MONTH(E506)+1,MONTH(E506))</f>
        <v/>
      </c>
      <c r="K506" s="201">
        <f>_xlfn.CONCAT(H506,".",TEXT(J506,"0#"))</f>
        <v/>
      </c>
    </row>
    <row r="507">
      <c r="A507" t="inlineStr">
        <is>
          <t>.t506</t>
        </is>
      </c>
      <c r="B507" t="n">
        <v>506</v>
      </c>
      <c r="C507">
        <f>H507</f>
        <v/>
      </c>
      <c r="E507" s="456">
        <f>F506+2</f>
        <v/>
      </c>
      <c r="F507" s="456">
        <f>E507+5</f>
        <v/>
      </c>
      <c r="G507" s="141">
        <f>_xlfn.CONCAT(YEAR(E507),".",TEXT(MONTH(E507),"0#"))</f>
        <v/>
      </c>
      <c r="H507">
        <f>YEAR(E507)</f>
        <v/>
      </c>
      <c r="I507">
        <f>IF(VLOOKUP(G507,AC:AD,2,FALSE)&lt;4,1,0)</f>
        <v/>
      </c>
      <c r="J507">
        <f>IF(AND(DAY(F507)&lt; DAY(E507),I507=1),MONTH(E507)+1,MONTH(E507))</f>
        <v/>
      </c>
      <c r="K507" s="201">
        <f>_xlfn.CONCAT(H507,".",TEXT(J507,"0#"))</f>
        <v/>
      </c>
    </row>
    <row r="508">
      <c r="A508" t="inlineStr">
        <is>
          <t>.t507</t>
        </is>
      </c>
      <c r="B508" t="n">
        <v>507</v>
      </c>
      <c r="C508">
        <f>H508</f>
        <v/>
      </c>
      <c r="E508" s="456">
        <f>F507+2</f>
        <v/>
      </c>
      <c r="F508" s="456">
        <f>E508+5</f>
        <v/>
      </c>
      <c r="G508" s="141">
        <f>_xlfn.CONCAT(YEAR(E508),".",TEXT(MONTH(E508),"0#"))</f>
        <v/>
      </c>
      <c r="H508">
        <f>YEAR(E508)</f>
        <v/>
      </c>
      <c r="I508">
        <f>IF(VLOOKUP(G508,AC:AD,2,FALSE)&lt;4,1,0)</f>
        <v/>
      </c>
      <c r="J508">
        <f>IF(AND(DAY(F508)&lt; DAY(E508),I508=1),MONTH(E508)+1,MONTH(E508))</f>
        <v/>
      </c>
      <c r="K508" s="201">
        <f>_xlfn.CONCAT(H508,".",TEXT(J508,"0#"))</f>
        <v/>
      </c>
    </row>
    <row r="509">
      <c r="A509" t="inlineStr">
        <is>
          <t>.t508</t>
        </is>
      </c>
      <c r="B509" t="n">
        <v>508</v>
      </c>
      <c r="C509">
        <f>H509</f>
        <v/>
      </c>
      <c r="E509" s="456">
        <f>F508+2</f>
        <v/>
      </c>
      <c r="F509" s="456">
        <f>E509+5</f>
        <v/>
      </c>
      <c r="G509" s="141">
        <f>_xlfn.CONCAT(YEAR(E509),".",TEXT(MONTH(E509),"0#"))</f>
        <v/>
      </c>
      <c r="H509">
        <f>YEAR(E509)</f>
        <v/>
      </c>
      <c r="I509">
        <f>IF(VLOOKUP(G509,AC:AD,2,FALSE)&lt;4,1,0)</f>
        <v/>
      </c>
      <c r="J509">
        <f>IF(AND(DAY(F509)&lt; DAY(E509),I509=1),MONTH(E509)+1,MONTH(E509))</f>
        <v/>
      </c>
      <c r="K509" s="201">
        <f>_xlfn.CONCAT(H509,".",TEXT(J509,"0#"))</f>
        <v/>
      </c>
    </row>
    <row r="510">
      <c r="A510" t="inlineStr">
        <is>
          <t>.t509</t>
        </is>
      </c>
      <c r="B510" t="n">
        <v>509</v>
      </c>
      <c r="C510">
        <f>H510</f>
        <v/>
      </c>
      <c r="E510" s="456">
        <f>F509+2</f>
        <v/>
      </c>
      <c r="F510" s="456">
        <f>E510+5</f>
        <v/>
      </c>
      <c r="G510" s="141">
        <f>_xlfn.CONCAT(YEAR(E510),".",TEXT(MONTH(E510),"0#"))</f>
        <v/>
      </c>
      <c r="H510">
        <f>YEAR(E510)</f>
        <v/>
      </c>
      <c r="I510">
        <f>IF(VLOOKUP(G510,AC:AD,2,FALSE)&lt;4,1,0)</f>
        <v/>
      </c>
      <c r="J510">
        <f>IF(AND(DAY(F510)&lt; DAY(E510),I510=1),MONTH(E510)+1,MONTH(E510))</f>
        <v/>
      </c>
      <c r="K510" s="201">
        <f>_xlfn.CONCAT(H510,".",TEXT(J510,"0#"))</f>
        <v/>
      </c>
    </row>
    <row r="511">
      <c r="A511" t="inlineStr">
        <is>
          <t>.t510</t>
        </is>
      </c>
      <c r="B511" t="n">
        <v>510</v>
      </c>
      <c r="C511">
        <f>H511</f>
        <v/>
      </c>
      <c r="E511" s="456">
        <f>F510+2</f>
        <v/>
      </c>
      <c r="F511" s="456">
        <f>E511+5</f>
        <v/>
      </c>
      <c r="G511" s="141">
        <f>_xlfn.CONCAT(YEAR(E511),".",TEXT(MONTH(E511),"0#"))</f>
        <v/>
      </c>
      <c r="H511">
        <f>YEAR(E511)</f>
        <v/>
      </c>
      <c r="I511">
        <f>IF(VLOOKUP(G511,AC:AD,2,FALSE)&lt;4,1,0)</f>
        <v/>
      </c>
      <c r="J511">
        <f>IF(AND(DAY(F511)&lt; DAY(E511),I511=1),MONTH(E511)+1,MONTH(E511))</f>
        <v/>
      </c>
      <c r="K511" s="201">
        <f>_xlfn.CONCAT(H511,".",TEXT(J511,"0#"))</f>
        <v/>
      </c>
    </row>
    <row r="512">
      <c r="A512" t="inlineStr">
        <is>
          <t>.t511</t>
        </is>
      </c>
      <c r="B512" t="n">
        <v>511</v>
      </c>
      <c r="C512">
        <f>H512</f>
        <v/>
      </c>
      <c r="E512" s="456">
        <f>F511+2</f>
        <v/>
      </c>
      <c r="F512" s="456">
        <f>E512+5</f>
        <v/>
      </c>
      <c r="G512" s="141">
        <f>_xlfn.CONCAT(YEAR(E512),".",TEXT(MONTH(E512),"0#"))</f>
        <v/>
      </c>
      <c r="H512">
        <f>YEAR(E512)</f>
        <v/>
      </c>
      <c r="I512">
        <f>IF(VLOOKUP(G512,AC:AD,2,FALSE)&lt;4,1,0)</f>
        <v/>
      </c>
      <c r="J512">
        <f>IF(AND(DAY(F512)&lt; DAY(E512),I512=1),MONTH(E512)+1,MONTH(E512))</f>
        <v/>
      </c>
      <c r="K512" s="201">
        <f>_xlfn.CONCAT(H512,".",TEXT(J512,"0#"))</f>
        <v/>
      </c>
    </row>
    <row r="513">
      <c r="A513" t="inlineStr">
        <is>
          <t>.t512</t>
        </is>
      </c>
      <c r="B513" t="n">
        <v>512</v>
      </c>
      <c r="C513">
        <f>H513</f>
        <v/>
      </c>
      <c r="E513" s="456">
        <f>F512+2</f>
        <v/>
      </c>
      <c r="F513" s="456">
        <f>E513+5</f>
        <v/>
      </c>
      <c r="G513" s="141">
        <f>_xlfn.CONCAT(YEAR(E513),".",TEXT(MONTH(E513),"0#"))</f>
        <v/>
      </c>
      <c r="H513">
        <f>YEAR(E513)</f>
        <v/>
      </c>
      <c r="I513">
        <f>IF(VLOOKUP(G513,AC:AD,2,FALSE)&lt;4,1,0)</f>
        <v/>
      </c>
      <c r="J513">
        <f>IF(AND(DAY(F513)&lt; DAY(E513),I513=1),MONTH(E513)+1,MONTH(E513))</f>
        <v/>
      </c>
      <c r="K513" s="201">
        <f>_xlfn.CONCAT(H513,".",TEXT(J513,"0#"))</f>
        <v/>
      </c>
    </row>
    <row r="514">
      <c r="A514" t="inlineStr">
        <is>
          <t>.t513</t>
        </is>
      </c>
      <c r="B514" t="n">
        <v>513</v>
      </c>
      <c r="C514">
        <f>H514</f>
        <v/>
      </c>
      <c r="E514" s="456">
        <f>F513+2</f>
        <v/>
      </c>
      <c r="F514" s="456">
        <f>E514+5</f>
        <v/>
      </c>
      <c r="G514" s="141">
        <f>_xlfn.CONCAT(YEAR(E514),".",TEXT(MONTH(E514),"0#"))</f>
        <v/>
      </c>
      <c r="H514">
        <f>YEAR(E514)</f>
        <v/>
      </c>
      <c r="I514">
        <f>IF(VLOOKUP(G514,AC:AD,2,FALSE)&lt;4,1,0)</f>
        <v/>
      </c>
      <c r="J514">
        <f>IF(AND(DAY(F514)&lt; DAY(E514),I514=1),MONTH(E514)+1,MONTH(E514))</f>
        <v/>
      </c>
      <c r="K514" s="201">
        <f>_xlfn.CONCAT(H514,".",TEXT(J514,"0#"))</f>
        <v/>
      </c>
    </row>
    <row r="515">
      <c r="A515" t="inlineStr">
        <is>
          <t>.t514</t>
        </is>
      </c>
      <c r="B515" t="n">
        <v>514</v>
      </c>
      <c r="C515">
        <f>H515</f>
        <v/>
      </c>
      <c r="E515" s="456">
        <f>F514+2</f>
        <v/>
      </c>
      <c r="F515" s="456">
        <f>E515+5</f>
        <v/>
      </c>
      <c r="G515" s="141">
        <f>_xlfn.CONCAT(YEAR(E515),".",TEXT(MONTH(E515),"0#"))</f>
        <v/>
      </c>
      <c r="H515">
        <f>YEAR(E515)</f>
        <v/>
      </c>
      <c r="I515">
        <f>IF(VLOOKUP(G515,AC:AD,2,FALSE)&lt;4,1,0)</f>
        <v/>
      </c>
      <c r="J515">
        <f>IF(AND(DAY(F515)&lt; DAY(E515),I515=1),MONTH(E515)+1,MONTH(E515))</f>
        <v/>
      </c>
      <c r="K515" s="201">
        <f>_xlfn.CONCAT(H515,".",TEXT(J515,"0#"))</f>
        <v/>
      </c>
    </row>
    <row r="516">
      <c r="A516" t="inlineStr">
        <is>
          <t>.t515</t>
        </is>
      </c>
      <c r="B516" t="n">
        <v>515</v>
      </c>
      <c r="C516">
        <f>H516</f>
        <v/>
      </c>
      <c r="E516" s="456">
        <f>F515+2</f>
        <v/>
      </c>
      <c r="F516" s="456">
        <f>E516+5</f>
        <v/>
      </c>
      <c r="G516" s="141">
        <f>_xlfn.CONCAT(YEAR(E516),".",TEXT(MONTH(E516),"0#"))</f>
        <v/>
      </c>
      <c r="H516">
        <f>YEAR(E516)</f>
        <v/>
      </c>
      <c r="I516">
        <f>IF(VLOOKUP(G516,AC:AD,2,FALSE)&lt;4,1,0)</f>
        <v/>
      </c>
      <c r="J516">
        <f>IF(AND(DAY(F516)&lt; DAY(E516),I516=1),MONTH(E516)+1,MONTH(E516))</f>
        <v/>
      </c>
      <c r="K516" s="201">
        <f>_xlfn.CONCAT(H516,".",TEXT(J516,"0#"))</f>
        <v/>
      </c>
    </row>
    <row r="517">
      <c r="A517" t="inlineStr">
        <is>
          <t>.t516</t>
        </is>
      </c>
      <c r="B517" t="n">
        <v>516</v>
      </c>
      <c r="C517">
        <f>H517</f>
        <v/>
      </c>
      <c r="E517" s="456">
        <f>F516+2</f>
        <v/>
      </c>
      <c r="F517" s="456">
        <f>E517+5</f>
        <v/>
      </c>
      <c r="G517" s="141">
        <f>_xlfn.CONCAT(YEAR(E517),".",TEXT(MONTH(E517),"0#"))</f>
        <v/>
      </c>
      <c r="H517">
        <f>YEAR(E517)</f>
        <v/>
      </c>
      <c r="I517">
        <f>IF(VLOOKUP(G517,AC:AD,2,FALSE)&lt;4,1,0)</f>
        <v/>
      </c>
      <c r="J517">
        <f>IF(AND(DAY(F517)&lt; DAY(E517),I517=1),MONTH(E517)+1,MONTH(E517))</f>
        <v/>
      </c>
      <c r="K517" s="201">
        <f>_xlfn.CONCAT(H517,".",TEXT(J517,"0#"))</f>
        <v/>
      </c>
    </row>
    <row r="518">
      <c r="A518" t="inlineStr">
        <is>
          <t>.t517</t>
        </is>
      </c>
      <c r="B518" t="n">
        <v>517</v>
      </c>
      <c r="C518">
        <f>H518</f>
        <v/>
      </c>
      <c r="E518" s="456">
        <f>F517+2</f>
        <v/>
      </c>
      <c r="F518" s="456">
        <f>E518+5</f>
        <v/>
      </c>
      <c r="G518" s="141">
        <f>_xlfn.CONCAT(YEAR(E518),".",TEXT(MONTH(E518),"0#"))</f>
        <v/>
      </c>
      <c r="H518">
        <f>YEAR(E518)</f>
        <v/>
      </c>
      <c r="I518">
        <f>IF(VLOOKUP(G518,AC:AD,2,FALSE)&lt;4,1,0)</f>
        <v/>
      </c>
      <c r="J518">
        <f>IF(AND(DAY(F518)&lt; DAY(E518),I518=1),MONTH(E518)+1,MONTH(E518))</f>
        <v/>
      </c>
      <c r="K518" s="201">
        <f>_xlfn.CONCAT(H518,".",TEXT(J518,"0#"))</f>
        <v/>
      </c>
    </row>
    <row r="519">
      <c r="A519" t="inlineStr">
        <is>
          <t>.t518</t>
        </is>
      </c>
      <c r="B519" t="n">
        <v>518</v>
      </c>
      <c r="C519">
        <f>H519</f>
        <v/>
      </c>
      <c r="E519" s="456">
        <f>F518+2</f>
        <v/>
      </c>
      <c r="F519" s="456">
        <f>E519+5</f>
        <v/>
      </c>
      <c r="G519" s="141">
        <f>_xlfn.CONCAT(YEAR(E519),".",TEXT(MONTH(E519),"0#"))</f>
        <v/>
      </c>
      <c r="H519">
        <f>YEAR(E519)</f>
        <v/>
      </c>
      <c r="I519">
        <f>IF(VLOOKUP(G519,AC:AD,2,FALSE)&lt;4,1,0)</f>
        <v/>
      </c>
      <c r="J519">
        <f>IF(AND(DAY(F519)&lt; DAY(E519),I519=1),MONTH(E519)+1,MONTH(E519))</f>
        <v/>
      </c>
      <c r="K519" s="201">
        <f>_xlfn.CONCAT(H519,".",TEXT(J519,"0#"))</f>
        <v/>
      </c>
    </row>
    <row r="520">
      <c r="A520" t="inlineStr">
        <is>
          <t>.t519</t>
        </is>
      </c>
      <c r="B520" t="n">
        <v>519</v>
      </c>
      <c r="C520">
        <f>H520</f>
        <v/>
      </c>
      <c r="E520" s="456">
        <f>F519+2</f>
        <v/>
      </c>
      <c r="F520" s="456">
        <f>E520+5</f>
        <v/>
      </c>
      <c r="G520" s="141">
        <f>_xlfn.CONCAT(YEAR(E520),".",TEXT(MONTH(E520),"0#"))</f>
        <v/>
      </c>
      <c r="H520">
        <f>YEAR(E520)</f>
        <v/>
      </c>
      <c r="I520">
        <f>IF(VLOOKUP(G520,AC:AD,2,FALSE)&lt;4,1,0)</f>
        <v/>
      </c>
      <c r="J520">
        <f>IF(AND(DAY(F520)&lt; DAY(E520),I520=1),MONTH(E520)+1,MONTH(E520))</f>
        <v/>
      </c>
      <c r="K520" s="201">
        <f>_xlfn.CONCAT(H520,".",TEXT(J520,"0#"))</f>
        <v/>
      </c>
    </row>
    <row r="521">
      <c r="A521" t="inlineStr">
        <is>
          <t>.t520</t>
        </is>
      </c>
      <c r="B521" t="n">
        <v>520</v>
      </c>
      <c r="C521">
        <f>H521</f>
        <v/>
      </c>
      <c r="E521" s="456">
        <f>F520+2</f>
        <v/>
      </c>
      <c r="F521" s="456">
        <f>E521+5</f>
        <v/>
      </c>
      <c r="G521" s="141">
        <f>_xlfn.CONCAT(YEAR(E521),".",TEXT(MONTH(E521),"0#"))</f>
        <v/>
      </c>
      <c r="H521">
        <f>YEAR(E521)</f>
        <v/>
      </c>
      <c r="I521">
        <f>IF(VLOOKUP(G521,AC:AD,2,FALSE)&lt;4,1,0)</f>
        <v/>
      </c>
      <c r="J521">
        <f>IF(AND(DAY(F521)&lt; DAY(E521),I521=1),MONTH(E521)+1,MONTH(E521))</f>
        <v/>
      </c>
      <c r="K521" s="201">
        <f>_xlfn.CONCAT(H521,".",TEXT(J521,"0#"))</f>
        <v/>
      </c>
    </row>
    <row r="522">
      <c r="A522" t="inlineStr">
        <is>
          <t>.t521</t>
        </is>
      </c>
      <c r="B522" t="n">
        <v>521</v>
      </c>
      <c r="C522">
        <f>H522</f>
        <v/>
      </c>
      <c r="E522" s="456">
        <f>F521+2</f>
        <v/>
      </c>
      <c r="F522" s="456">
        <f>E522+5</f>
        <v/>
      </c>
      <c r="G522" s="141">
        <f>_xlfn.CONCAT(YEAR(E522),".",TEXT(MONTH(E522),"0#"))</f>
        <v/>
      </c>
      <c r="H522">
        <f>YEAR(E522)</f>
        <v/>
      </c>
      <c r="I522">
        <f>IF(VLOOKUP(G522,AC:AD,2,FALSE)&lt;4,1,0)</f>
        <v/>
      </c>
      <c r="J522">
        <f>IF(AND(DAY(F522)&lt; DAY(E522),I522=1),MONTH(E522)+1,MONTH(E522))</f>
        <v/>
      </c>
      <c r="K522" s="201">
        <f>_xlfn.CONCAT(H522,".",TEXT(J522,"0#"))</f>
        <v/>
      </c>
    </row>
    <row r="523">
      <c r="A523" t="inlineStr">
        <is>
          <t>.t522</t>
        </is>
      </c>
      <c r="B523" t="n">
        <v>522</v>
      </c>
      <c r="C523">
        <f>H523</f>
        <v/>
      </c>
      <c r="E523" s="456">
        <f>F522+2</f>
        <v/>
      </c>
      <c r="F523" s="456">
        <f>E523+5</f>
        <v/>
      </c>
      <c r="G523" s="141">
        <f>_xlfn.CONCAT(YEAR(E523),".",TEXT(MONTH(E523),"0#"))</f>
        <v/>
      </c>
      <c r="H523">
        <f>YEAR(E523)</f>
        <v/>
      </c>
      <c r="I523">
        <f>IF(VLOOKUP(G523,AC:AD,2,FALSE)&lt;4,1,0)</f>
        <v/>
      </c>
      <c r="J523">
        <f>IF(AND(DAY(F523)&lt; DAY(E523),I523=1),MONTH(E523)+1,MONTH(E523))</f>
        <v/>
      </c>
      <c r="K523" s="201">
        <f>_xlfn.CONCAT(H523,".",TEXT(J523,"0#"))</f>
        <v/>
      </c>
    </row>
    <row r="524">
      <c r="A524" t="inlineStr">
        <is>
          <t>.t523</t>
        </is>
      </c>
      <c r="B524" s="141" t="n">
        <v>523</v>
      </c>
      <c r="C524">
        <f>H524</f>
        <v/>
      </c>
      <c r="E524" s="456">
        <f>F523+2</f>
        <v/>
      </c>
      <c r="F524" s="456">
        <f>E524+5</f>
        <v/>
      </c>
      <c r="G524" s="141">
        <f>_xlfn.CONCAT(YEAR(E524),".",TEXT(MONTH(E524),"0#"))</f>
        <v/>
      </c>
      <c r="H524">
        <f>YEAR(E524)</f>
        <v/>
      </c>
      <c r="I524">
        <f>IF(VLOOKUP(G524,AC:AD,2,FALSE)&lt;4,1,0)</f>
        <v/>
      </c>
      <c r="J524">
        <f>IF(AND(DAY(F524)&lt; DAY(E524),I524=1),MONTH(E524)+1,MONTH(E524))</f>
        <v/>
      </c>
      <c r="K524" s="201">
        <f>_xlfn.CONCAT(H524,".",TEXT(J524,"0#"))</f>
        <v/>
      </c>
    </row>
    <row r="525">
      <c r="A525" t="inlineStr">
        <is>
          <t>.t524</t>
        </is>
      </c>
      <c r="B525" s="141" t="n">
        <v>524</v>
      </c>
      <c r="C525">
        <f>H525</f>
        <v/>
      </c>
      <c r="E525" s="456">
        <f>F524+2</f>
        <v/>
      </c>
      <c r="F525" s="456">
        <f>E525+5</f>
        <v/>
      </c>
      <c r="G525" s="141">
        <f>_xlfn.CONCAT(YEAR(E525),".",TEXT(MONTH(E525),"0#"))</f>
        <v/>
      </c>
      <c r="H525">
        <f>YEAR(E525)</f>
        <v/>
      </c>
      <c r="I525">
        <f>IF(VLOOKUP(G525,AC:AD,2,FALSE)&lt;4,1,0)</f>
        <v/>
      </c>
      <c r="J525">
        <f>IF(AND(DAY(F525)&lt; DAY(E525),I525=1),MONTH(E525)+1,MONTH(E525))</f>
        <v/>
      </c>
      <c r="K525" s="201">
        <f>_xlfn.CONCAT(H525,".",TEXT(J525,"0#"))</f>
        <v/>
      </c>
    </row>
    <row r="526">
      <c r="A526" t="inlineStr">
        <is>
          <t>.t525</t>
        </is>
      </c>
      <c r="B526" s="141" t="n">
        <v>525</v>
      </c>
      <c r="C526">
        <f>H526</f>
        <v/>
      </c>
      <c r="E526" s="456">
        <f>F525+2</f>
        <v/>
      </c>
      <c r="F526" s="456">
        <f>E526+5</f>
        <v/>
      </c>
      <c r="G526" s="141">
        <f>_xlfn.CONCAT(YEAR(E526),".",TEXT(MONTH(E526),"0#"))</f>
        <v/>
      </c>
      <c r="H526">
        <f>YEAR(E526)</f>
        <v/>
      </c>
      <c r="I526">
        <f>IF(VLOOKUP(G526,AC:AD,2,FALSE)&lt;4,1,0)</f>
        <v/>
      </c>
      <c r="J526">
        <f>IF(AND(DAY(F526)&lt; DAY(E526),I526=1),MONTH(E526)+1,MONTH(E526))</f>
        <v/>
      </c>
      <c r="K526" s="201">
        <f>_xlfn.CONCAT(H526,".",TEXT(J526,"0#"))</f>
        <v/>
      </c>
    </row>
    <row r="527">
      <c r="A527" t="inlineStr">
        <is>
          <t>.t526</t>
        </is>
      </c>
      <c r="B527" s="141" t="n">
        <v>526</v>
      </c>
      <c r="C527">
        <f>H527</f>
        <v/>
      </c>
      <c r="E527" s="456">
        <f>F526+2</f>
        <v/>
      </c>
      <c r="F527" s="456">
        <f>E527+5</f>
        <v/>
      </c>
      <c r="G527" s="141">
        <f>_xlfn.CONCAT(YEAR(E527),".",TEXT(MONTH(E527),"0#"))</f>
        <v/>
      </c>
      <c r="H527">
        <f>YEAR(E527)</f>
        <v/>
      </c>
      <c r="I527">
        <f>IF(VLOOKUP(G527,AC:AD,2,FALSE)&lt;4,1,0)</f>
        <v/>
      </c>
      <c r="J527">
        <f>IF(AND(DAY(F527)&lt; DAY(E527),I527=1),MONTH(E527)+1,MONTH(E527))</f>
        <v/>
      </c>
      <c r="K527" s="201">
        <f>_xlfn.CONCAT(H527,".",TEXT(J527,"0#"))</f>
        <v/>
      </c>
    </row>
    <row r="528">
      <c r="A528" t="inlineStr">
        <is>
          <t>.t527</t>
        </is>
      </c>
      <c r="B528" s="141" t="n">
        <v>527</v>
      </c>
      <c r="C528">
        <f>H528</f>
        <v/>
      </c>
      <c r="E528" s="456">
        <f>F527+2</f>
        <v/>
      </c>
      <c r="F528" s="456">
        <f>E528+5</f>
        <v/>
      </c>
      <c r="G528" s="141">
        <f>_xlfn.CONCAT(YEAR(E528),".",TEXT(MONTH(E528),"0#"))</f>
        <v/>
      </c>
      <c r="H528">
        <f>YEAR(E528)</f>
        <v/>
      </c>
      <c r="I528">
        <f>IF(VLOOKUP(G528,AC:AD,2,FALSE)&lt;4,1,0)</f>
        <v/>
      </c>
      <c r="J528">
        <f>IF(AND(DAY(F528)&lt; DAY(E528),I528=1),MONTH(E528)+1,MONTH(E528))</f>
        <v/>
      </c>
      <c r="K528" s="201">
        <f>_xlfn.CONCAT(H528,".",TEXT(J528,"0#"))</f>
        <v/>
      </c>
    </row>
    <row r="529">
      <c r="A529" t="inlineStr">
        <is>
          <t>.t528</t>
        </is>
      </c>
      <c r="B529" s="141" t="n">
        <v>528</v>
      </c>
      <c r="C529">
        <f>H529</f>
        <v/>
      </c>
      <c r="E529" s="456">
        <f>F528+2</f>
        <v/>
      </c>
      <c r="F529" s="456">
        <f>E529+5</f>
        <v/>
      </c>
      <c r="G529" s="141">
        <f>_xlfn.CONCAT(YEAR(E529),".",TEXT(MONTH(E529),"0#"))</f>
        <v/>
      </c>
      <c r="H529">
        <f>YEAR(E529)</f>
        <v/>
      </c>
      <c r="I529">
        <f>IF(VLOOKUP(G529,AC:AD,2,FALSE)&lt;4,1,0)</f>
        <v/>
      </c>
      <c r="J529">
        <f>IF(AND(DAY(F529)&lt; DAY(E529),I529=1),MONTH(E529)+1,MONTH(E529))</f>
        <v/>
      </c>
      <c r="K529" s="201">
        <f>_xlfn.CONCAT(H529,".",TEXT(J529,"0#"))</f>
        <v/>
      </c>
    </row>
    <row r="530">
      <c r="A530" t="inlineStr">
        <is>
          <t>.t529</t>
        </is>
      </c>
      <c r="B530" s="141" t="n">
        <v>529</v>
      </c>
      <c r="C530">
        <f>H530</f>
        <v/>
      </c>
      <c r="E530" s="456">
        <f>F529+2</f>
        <v/>
      </c>
      <c r="F530" s="456">
        <f>E530+5</f>
        <v/>
      </c>
      <c r="G530" s="141">
        <f>_xlfn.CONCAT(YEAR(E530),".",TEXT(MONTH(E530),"0#"))</f>
        <v/>
      </c>
      <c r="H530">
        <f>YEAR(E530)</f>
        <v/>
      </c>
      <c r="I530">
        <f>IF(VLOOKUP(G530,AC:AD,2,FALSE)&lt;4,1,0)</f>
        <v/>
      </c>
      <c r="J530">
        <f>IF(AND(DAY(F530)&lt; DAY(E530),I530=1),MONTH(E530)+1,MONTH(E530))</f>
        <v/>
      </c>
      <c r="K530" s="201">
        <f>_xlfn.CONCAT(H530,".",TEXT(J530,"0#"))</f>
        <v/>
      </c>
    </row>
    <row r="531">
      <c r="A531" t="inlineStr">
        <is>
          <t>.t530</t>
        </is>
      </c>
      <c r="B531" s="141" t="n">
        <v>530</v>
      </c>
      <c r="C531">
        <f>H531</f>
        <v/>
      </c>
      <c r="E531" s="456">
        <f>F530+2</f>
        <v/>
      </c>
      <c r="F531" s="456">
        <f>E531+5</f>
        <v/>
      </c>
      <c r="G531" s="141">
        <f>_xlfn.CONCAT(YEAR(E531),".",TEXT(MONTH(E531),"0#"))</f>
        <v/>
      </c>
      <c r="H531">
        <f>YEAR(E531)</f>
        <v/>
      </c>
      <c r="I531">
        <f>IF(VLOOKUP(G531,AC:AD,2,FALSE)&lt;4,1,0)</f>
        <v/>
      </c>
      <c r="J531">
        <f>IF(AND(DAY(F531)&lt; DAY(E531),I531=1),MONTH(E531)+1,MONTH(E531))</f>
        <v/>
      </c>
      <c r="K531" s="201">
        <f>_xlfn.CONCAT(H531,".",TEXT(J531,"0#"))</f>
        <v/>
      </c>
    </row>
    <row r="532">
      <c r="A532" t="inlineStr">
        <is>
          <t>.t531</t>
        </is>
      </c>
      <c r="B532" s="141" t="n">
        <v>531</v>
      </c>
      <c r="C532">
        <f>H532</f>
        <v/>
      </c>
      <c r="E532" s="456">
        <f>F531+2</f>
        <v/>
      </c>
      <c r="F532" s="456">
        <f>E532+5</f>
        <v/>
      </c>
      <c r="G532" s="141">
        <f>_xlfn.CONCAT(YEAR(E532),".",TEXT(MONTH(E532),"0#"))</f>
        <v/>
      </c>
      <c r="H532">
        <f>YEAR(E532)</f>
        <v/>
      </c>
      <c r="I532">
        <f>IF(VLOOKUP(G532,AC:AD,2,FALSE)&lt;4,1,0)</f>
        <v/>
      </c>
      <c r="J532">
        <f>IF(AND(DAY(F532)&lt; DAY(E532),I532=1),MONTH(E532)+1,MONTH(E532))</f>
        <v/>
      </c>
      <c r="K532" s="201">
        <f>_xlfn.CONCAT(H532,".",TEXT(J532,"0#"))</f>
        <v/>
      </c>
    </row>
    <row r="533">
      <c r="A533" t="inlineStr">
        <is>
          <t>.t532</t>
        </is>
      </c>
      <c r="B533" s="141" t="n">
        <v>532</v>
      </c>
      <c r="C533">
        <f>H533</f>
        <v/>
      </c>
      <c r="E533" s="456">
        <f>F532+2</f>
        <v/>
      </c>
      <c r="F533" s="456">
        <f>E533+5</f>
        <v/>
      </c>
      <c r="G533" s="141">
        <f>_xlfn.CONCAT(YEAR(E533),".",TEXT(MONTH(E533),"0#"))</f>
        <v/>
      </c>
      <c r="H533">
        <f>YEAR(E533)</f>
        <v/>
      </c>
      <c r="I533">
        <f>IF(VLOOKUP(G533,AC:AD,2,FALSE)&lt;4,1,0)</f>
        <v/>
      </c>
      <c r="J533">
        <f>IF(AND(DAY(F533)&lt; DAY(E533),I533=1),MONTH(E533)+1,MONTH(E533))</f>
        <v/>
      </c>
      <c r="K533" s="201">
        <f>_xlfn.CONCAT(H533,".",TEXT(J533,"0#"))</f>
        <v/>
      </c>
    </row>
    <row r="534">
      <c r="A534" t="inlineStr">
        <is>
          <t>.t533</t>
        </is>
      </c>
      <c r="B534" s="141" t="n">
        <v>533</v>
      </c>
      <c r="C534">
        <f>H534</f>
        <v/>
      </c>
      <c r="E534" s="456">
        <f>F533+2</f>
        <v/>
      </c>
      <c r="F534" s="456">
        <f>E534+5</f>
        <v/>
      </c>
      <c r="G534" s="141">
        <f>_xlfn.CONCAT(YEAR(E534),".",TEXT(MONTH(E534),"0#"))</f>
        <v/>
      </c>
      <c r="H534">
        <f>YEAR(E534)</f>
        <v/>
      </c>
      <c r="I534">
        <f>IF(VLOOKUP(G534,AC:AD,2,FALSE)&lt;4,1,0)</f>
        <v/>
      </c>
      <c r="J534">
        <f>IF(AND(DAY(F534)&lt; DAY(E534),I534=1),MONTH(E534)+1,MONTH(E534))</f>
        <v/>
      </c>
      <c r="K534" s="201">
        <f>_xlfn.CONCAT(H534,".",TEXT(J534,"0#"))</f>
        <v/>
      </c>
    </row>
    <row r="535">
      <c r="A535" t="inlineStr">
        <is>
          <t>.t534</t>
        </is>
      </c>
      <c r="B535" s="141" t="n">
        <v>534</v>
      </c>
      <c r="C535">
        <f>H535</f>
        <v/>
      </c>
      <c r="E535" s="456">
        <f>F534+2</f>
        <v/>
      </c>
      <c r="F535" s="456">
        <f>E535+5</f>
        <v/>
      </c>
      <c r="G535" s="141">
        <f>_xlfn.CONCAT(YEAR(E535),".",TEXT(MONTH(E535),"0#"))</f>
        <v/>
      </c>
      <c r="H535">
        <f>YEAR(E535)</f>
        <v/>
      </c>
      <c r="I535">
        <f>IF(VLOOKUP(G535,AC:AD,2,FALSE)&lt;4,1,0)</f>
        <v/>
      </c>
      <c r="J535">
        <f>IF(AND(DAY(F535)&lt; DAY(E535),I535=1),MONTH(E535)+1,MONTH(E535))</f>
        <v/>
      </c>
      <c r="K535" s="201">
        <f>_xlfn.CONCAT(H535,".",TEXT(J535,"0#"))</f>
        <v/>
      </c>
    </row>
    <row r="536">
      <c r="A536" t="inlineStr">
        <is>
          <t>.t535</t>
        </is>
      </c>
      <c r="B536" s="141" t="n">
        <v>535</v>
      </c>
      <c r="C536">
        <f>H536</f>
        <v/>
      </c>
      <c r="E536" s="456">
        <f>F535+2</f>
        <v/>
      </c>
      <c r="F536" s="456">
        <f>E536+5</f>
        <v/>
      </c>
      <c r="G536" s="141">
        <f>_xlfn.CONCAT(YEAR(E536),".",TEXT(MONTH(E536),"0#"))</f>
        <v/>
      </c>
      <c r="H536">
        <f>YEAR(E536)</f>
        <v/>
      </c>
      <c r="I536">
        <f>IF(VLOOKUP(G536,AC:AD,2,FALSE)&lt;4,1,0)</f>
        <v/>
      </c>
      <c r="J536">
        <f>IF(AND(DAY(F536)&lt; DAY(E536),I536=1),MONTH(E536)+1,MONTH(E536))</f>
        <v/>
      </c>
      <c r="K536" s="201">
        <f>_xlfn.CONCAT(H536,".",TEXT(J536,"0#"))</f>
        <v/>
      </c>
    </row>
    <row r="537">
      <c r="A537" t="inlineStr">
        <is>
          <t>.t536</t>
        </is>
      </c>
      <c r="B537" s="141" t="n">
        <v>536</v>
      </c>
      <c r="C537">
        <f>H537</f>
        <v/>
      </c>
      <c r="E537" s="456">
        <f>F536+2</f>
        <v/>
      </c>
      <c r="F537" s="456">
        <f>E537+5</f>
        <v/>
      </c>
      <c r="G537" s="141">
        <f>_xlfn.CONCAT(YEAR(E537),".",TEXT(MONTH(E537),"0#"))</f>
        <v/>
      </c>
      <c r="H537">
        <f>YEAR(E537)</f>
        <v/>
      </c>
      <c r="I537">
        <f>IF(VLOOKUP(G537,AC:AD,2,FALSE)&lt;4,1,0)</f>
        <v/>
      </c>
      <c r="J537">
        <f>IF(AND(DAY(F537)&lt; DAY(E537),I537=1),MONTH(E537)+1,MONTH(E537))</f>
        <v/>
      </c>
      <c r="K537" s="201">
        <f>_xlfn.CONCAT(H537,".",TEXT(J537,"0#"))</f>
        <v/>
      </c>
    </row>
    <row r="538">
      <c r="A538" t="inlineStr">
        <is>
          <t>.t537</t>
        </is>
      </c>
      <c r="B538" s="141" t="n">
        <v>537</v>
      </c>
      <c r="C538">
        <f>H538</f>
        <v/>
      </c>
      <c r="E538" s="456">
        <f>F537+2</f>
        <v/>
      </c>
      <c r="F538" s="456">
        <f>E538+5</f>
        <v/>
      </c>
      <c r="G538" s="141">
        <f>_xlfn.CONCAT(YEAR(E538),".",TEXT(MONTH(E538),"0#"))</f>
        <v/>
      </c>
      <c r="H538">
        <f>YEAR(E538)</f>
        <v/>
      </c>
      <c r="I538">
        <f>IF(VLOOKUP(G538,AC:AD,2,FALSE)&lt;4,1,0)</f>
        <v/>
      </c>
      <c r="J538">
        <f>IF(AND(DAY(F538)&lt; DAY(E538),I538=1),MONTH(E538)+1,MONTH(E538))</f>
        <v/>
      </c>
      <c r="K538" s="201">
        <f>_xlfn.CONCAT(H538,".",TEXT(J538,"0#"))</f>
        <v/>
      </c>
    </row>
    <row r="539">
      <c r="A539" t="inlineStr">
        <is>
          <t>.t538</t>
        </is>
      </c>
      <c r="B539" s="141" t="n">
        <v>538</v>
      </c>
      <c r="C539">
        <f>H539</f>
        <v/>
      </c>
      <c r="E539" s="456">
        <f>F538+2</f>
        <v/>
      </c>
      <c r="F539" s="456">
        <f>E539+5</f>
        <v/>
      </c>
      <c r="G539" s="141">
        <f>_xlfn.CONCAT(YEAR(E539),".",TEXT(MONTH(E539),"0#"))</f>
        <v/>
      </c>
      <c r="H539">
        <f>YEAR(E539)</f>
        <v/>
      </c>
      <c r="I539">
        <f>IF(VLOOKUP(G539,AC:AD,2,FALSE)&lt;4,1,0)</f>
        <v/>
      </c>
      <c r="J539">
        <f>IF(AND(DAY(F539)&lt; DAY(E539),I539=1),MONTH(E539)+1,MONTH(E539))</f>
        <v/>
      </c>
      <c r="K539" s="201">
        <f>_xlfn.CONCAT(H539,".",TEXT(J539,"0#"))</f>
        <v/>
      </c>
    </row>
    <row r="540">
      <c r="A540" t="inlineStr">
        <is>
          <t>.t539</t>
        </is>
      </c>
      <c r="B540" s="141" t="n">
        <v>539</v>
      </c>
      <c r="C540">
        <f>H540</f>
        <v/>
      </c>
      <c r="E540" s="456">
        <f>F539+2</f>
        <v/>
      </c>
      <c r="F540" s="456">
        <f>E540+5</f>
        <v/>
      </c>
      <c r="G540" s="141">
        <f>_xlfn.CONCAT(YEAR(E540),".",TEXT(MONTH(E540),"0#"))</f>
        <v/>
      </c>
      <c r="H540">
        <f>YEAR(E540)</f>
        <v/>
      </c>
      <c r="I540">
        <f>IF(VLOOKUP(G540,AC:AD,2,FALSE)&lt;4,1,0)</f>
        <v/>
      </c>
      <c r="J540">
        <f>IF(AND(DAY(F540)&lt; DAY(E540),I540=1),MONTH(E540)+1,MONTH(E540))</f>
        <v/>
      </c>
      <c r="K540" s="201">
        <f>_xlfn.CONCAT(H540,".",TEXT(J540,"0#"))</f>
        <v/>
      </c>
    </row>
    <row r="541">
      <c r="A541" t="inlineStr">
        <is>
          <t>.t540</t>
        </is>
      </c>
      <c r="B541" s="141" t="n">
        <v>540</v>
      </c>
      <c r="C541">
        <f>H541</f>
        <v/>
      </c>
      <c r="E541" s="456">
        <f>F540+2</f>
        <v/>
      </c>
      <c r="F541" s="456">
        <f>E541+5</f>
        <v/>
      </c>
      <c r="G541" s="141">
        <f>_xlfn.CONCAT(YEAR(E541),".",TEXT(MONTH(E541),"0#"))</f>
        <v/>
      </c>
      <c r="H541">
        <f>YEAR(E541)</f>
        <v/>
      </c>
      <c r="I541">
        <f>IF(VLOOKUP(G541,AC:AD,2,FALSE)&lt;4,1,0)</f>
        <v/>
      </c>
      <c r="J541">
        <f>IF(AND(DAY(F541)&lt; DAY(E541),I541=1),MONTH(E541)+1,MONTH(E541))</f>
        <v/>
      </c>
      <c r="K541" s="201">
        <f>_xlfn.CONCAT(H541,".",TEXT(J541,"0#"))</f>
        <v/>
      </c>
    </row>
    <row r="542">
      <c r="A542" t="inlineStr">
        <is>
          <t>.t541</t>
        </is>
      </c>
      <c r="B542" s="141" t="n">
        <v>541</v>
      </c>
      <c r="C542">
        <f>H542</f>
        <v/>
      </c>
      <c r="E542" s="456">
        <f>F541+2</f>
        <v/>
      </c>
      <c r="F542" s="456">
        <f>E542+5</f>
        <v/>
      </c>
      <c r="G542" s="141">
        <f>_xlfn.CONCAT(YEAR(E542),".",TEXT(MONTH(E542),"0#"))</f>
        <v/>
      </c>
      <c r="H542">
        <f>YEAR(E542)</f>
        <v/>
      </c>
      <c r="I542">
        <f>IF(VLOOKUP(G542,AC:AD,2,FALSE)&lt;4,1,0)</f>
        <v/>
      </c>
      <c r="J542">
        <f>IF(AND(DAY(F542)&lt; DAY(E542),I542=1),MONTH(E542)+1,MONTH(E542))</f>
        <v/>
      </c>
      <c r="K542" s="201">
        <f>_xlfn.CONCAT(H542,".",TEXT(J542,"0#"))</f>
        <v/>
      </c>
    </row>
    <row r="543">
      <c r="A543" t="inlineStr">
        <is>
          <t>.t542</t>
        </is>
      </c>
      <c r="B543" s="141" t="n">
        <v>542</v>
      </c>
      <c r="C543">
        <f>H543</f>
        <v/>
      </c>
      <c r="E543" s="456">
        <f>F542+2</f>
        <v/>
      </c>
      <c r="F543" s="456">
        <f>E543+5</f>
        <v/>
      </c>
      <c r="G543" s="141">
        <f>_xlfn.CONCAT(YEAR(E543),".",TEXT(MONTH(E543),"0#"))</f>
        <v/>
      </c>
      <c r="H543">
        <f>YEAR(E543)</f>
        <v/>
      </c>
      <c r="I543">
        <f>IF(VLOOKUP(G543,AC:AD,2,FALSE)&lt;4,1,0)</f>
        <v/>
      </c>
      <c r="J543">
        <f>IF(AND(DAY(F543)&lt; DAY(E543),I543=1),MONTH(E543)+1,MONTH(E543))</f>
        <v/>
      </c>
      <c r="K543" s="201">
        <f>_xlfn.CONCAT(H543,".",TEXT(J543,"0#"))</f>
        <v/>
      </c>
    </row>
    <row r="544">
      <c r="A544" t="inlineStr">
        <is>
          <t>.t543</t>
        </is>
      </c>
      <c r="B544" s="141" t="n">
        <v>543</v>
      </c>
      <c r="C544">
        <f>H544</f>
        <v/>
      </c>
      <c r="E544" s="456">
        <f>F543+2</f>
        <v/>
      </c>
      <c r="F544" s="456">
        <f>E544+5</f>
        <v/>
      </c>
      <c r="G544" s="141">
        <f>_xlfn.CONCAT(YEAR(E544),".",TEXT(MONTH(E544),"0#"))</f>
        <v/>
      </c>
      <c r="H544">
        <f>YEAR(E544)</f>
        <v/>
      </c>
      <c r="I544">
        <f>IF(VLOOKUP(G544,AC:AD,2,FALSE)&lt;4,1,0)</f>
        <v/>
      </c>
      <c r="J544">
        <f>IF(AND(DAY(F544)&lt; DAY(E544),I544=1),MONTH(E544)+1,MONTH(E544))</f>
        <v/>
      </c>
      <c r="K544" s="201">
        <f>_xlfn.CONCAT(H544,".",TEXT(J544,"0#"))</f>
        <v/>
      </c>
    </row>
    <row r="545">
      <c r="A545" t="inlineStr">
        <is>
          <t>.t544</t>
        </is>
      </c>
      <c r="B545" s="141" t="n">
        <v>544</v>
      </c>
      <c r="C545">
        <f>H545</f>
        <v/>
      </c>
      <c r="E545" s="456">
        <f>F544+2</f>
        <v/>
      </c>
      <c r="F545" s="456">
        <f>E545+5</f>
        <v/>
      </c>
      <c r="G545" s="141">
        <f>_xlfn.CONCAT(YEAR(E545),".",TEXT(MONTH(E545),"0#"))</f>
        <v/>
      </c>
      <c r="H545">
        <f>YEAR(E545)</f>
        <v/>
      </c>
      <c r="I545">
        <f>IF(VLOOKUP(G545,AC:AD,2,FALSE)&lt;4,1,0)</f>
        <v/>
      </c>
      <c r="J545">
        <f>IF(AND(DAY(F545)&lt; DAY(E545),I545=1),MONTH(E545)+1,MONTH(E545))</f>
        <v/>
      </c>
      <c r="K545" s="201">
        <f>_xlfn.CONCAT(H545,".",TEXT(J545,"0#"))</f>
        <v/>
      </c>
    </row>
    <row r="546">
      <c r="A546" t="inlineStr">
        <is>
          <t>.t545</t>
        </is>
      </c>
      <c r="B546" s="141" t="n">
        <v>545</v>
      </c>
      <c r="C546">
        <f>H546</f>
        <v/>
      </c>
      <c r="E546" s="456">
        <f>F545+2</f>
        <v/>
      </c>
      <c r="F546" s="456">
        <f>E546+5</f>
        <v/>
      </c>
      <c r="G546" s="141">
        <f>_xlfn.CONCAT(YEAR(E546),".",TEXT(MONTH(E546),"0#"))</f>
        <v/>
      </c>
      <c r="H546">
        <f>YEAR(E546)</f>
        <v/>
      </c>
      <c r="I546">
        <f>IF(VLOOKUP(G546,AC:AD,2,FALSE)&lt;4,1,0)</f>
        <v/>
      </c>
      <c r="J546">
        <f>IF(AND(DAY(F546)&lt; DAY(E546),I546=1),MONTH(E546)+1,MONTH(E546))</f>
        <v/>
      </c>
      <c r="K546" s="201">
        <f>_xlfn.CONCAT(H546,".",TEXT(J546,"0#"))</f>
        <v/>
      </c>
    </row>
    <row r="547">
      <c r="A547" t="inlineStr">
        <is>
          <t>.t546</t>
        </is>
      </c>
      <c r="B547" s="141" t="n">
        <v>546</v>
      </c>
      <c r="C547">
        <f>H547</f>
        <v/>
      </c>
      <c r="E547" s="456">
        <f>F546+2</f>
        <v/>
      </c>
      <c r="F547" s="456">
        <f>E547+5</f>
        <v/>
      </c>
      <c r="G547" s="141">
        <f>_xlfn.CONCAT(YEAR(E547),".",TEXT(MONTH(E547),"0#"))</f>
        <v/>
      </c>
      <c r="H547">
        <f>YEAR(E547)</f>
        <v/>
      </c>
      <c r="I547">
        <f>IF(VLOOKUP(G547,AC:AD,2,FALSE)&lt;4,1,0)</f>
        <v/>
      </c>
      <c r="J547">
        <f>IF(AND(DAY(F547)&lt; DAY(E547),I547=1),MONTH(E547)+1,MONTH(E547))</f>
        <v/>
      </c>
      <c r="K547" s="201">
        <f>_xlfn.CONCAT(H547,".",TEXT(J547,"0#"))</f>
        <v/>
      </c>
    </row>
    <row r="548">
      <c r="A548" t="inlineStr">
        <is>
          <t>.t547</t>
        </is>
      </c>
      <c r="B548" s="141" t="n">
        <v>547</v>
      </c>
      <c r="C548">
        <f>H548</f>
        <v/>
      </c>
      <c r="E548" s="456">
        <f>F547+2</f>
        <v/>
      </c>
      <c r="F548" s="456">
        <f>E548+5</f>
        <v/>
      </c>
      <c r="G548" s="141">
        <f>_xlfn.CONCAT(YEAR(E548),".",TEXT(MONTH(E548),"0#"))</f>
        <v/>
      </c>
      <c r="H548">
        <f>YEAR(E548)</f>
        <v/>
      </c>
      <c r="I548">
        <f>IF(VLOOKUP(G548,AC:AD,2,FALSE)&lt;4,1,0)</f>
        <v/>
      </c>
      <c r="J548">
        <f>IF(AND(DAY(F548)&lt; DAY(E548),I548=1),MONTH(E548)+1,MONTH(E548))</f>
        <v/>
      </c>
      <c r="K548" s="201">
        <f>_xlfn.CONCAT(H548,".",TEXT(J548,"0#"))</f>
        <v/>
      </c>
    </row>
    <row r="549">
      <c r="A549" t="inlineStr">
        <is>
          <t>.t548</t>
        </is>
      </c>
      <c r="B549" s="141" t="n">
        <v>548</v>
      </c>
      <c r="C549">
        <f>H549</f>
        <v/>
      </c>
      <c r="E549" s="456">
        <f>F548+2</f>
        <v/>
      </c>
      <c r="F549" s="456">
        <f>E549+5</f>
        <v/>
      </c>
      <c r="G549" s="141">
        <f>_xlfn.CONCAT(YEAR(E549),".",TEXT(MONTH(E549),"0#"))</f>
        <v/>
      </c>
      <c r="H549">
        <f>YEAR(E549)</f>
        <v/>
      </c>
      <c r="I549">
        <f>IF(VLOOKUP(G549,AC:AD,2,FALSE)&lt;4,1,0)</f>
        <v/>
      </c>
      <c r="J549">
        <f>IF(AND(DAY(F549)&lt; DAY(E549),I549=1),MONTH(E549)+1,MONTH(E549))</f>
        <v/>
      </c>
      <c r="K549" s="201">
        <f>_xlfn.CONCAT(H549,".",TEXT(J549,"0#"))</f>
        <v/>
      </c>
    </row>
    <row r="550">
      <c r="A550" t="inlineStr">
        <is>
          <t>.t549</t>
        </is>
      </c>
      <c r="B550" s="141" t="n">
        <v>549</v>
      </c>
      <c r="C550">
        <f>H550</f>
        <v/>
      </c>
      <c r="E550" s="456">
        <f>F549+2</f>
        <v/>
      </c>
      <c r="F550" s="456">
        <f>E550+5</f>
        <v/>
      </c>
      <c r="G550" s="141">
        <f>_xlfn.CONCAT(YEAR(E550),".",TEXT(MONTH(E550),"0#"))</f>
        <v/>
      </c>
      <c r="H550">
        <f>YEAR(E550)</f>
        <v/>
      </c>
      <c r="I550">
        <f>IF(VLOOKUP(G550,AC:AD,2,FALSE)&lt;4,1,0)</f>
        <v/>
      </c>
      <c r="J550">
        <f>IF(AND(DAY(F550)&lt; DAY(E550),I550=1),MONTH(E550)+1,MONTH(E550))</f>
        <v/>
      </c>
      <c r="K550" s="201">
        <f>_xlfn.CONCAT(H550,".",TEXT(J550,"0#"))</f>
        <v/>
      </c>
    </row>
    <row r="551">
      <c r="A551" t="inlineStr">
        <is>
          <t>.t550</t>
        </is>
      </c>
      <c r="B551" s="141" t="n">
        <v>550</v>
      </c>
      <c r="C551">
        <f>H551</f>
        <v/>
      </c>
      <c r="E551" s="456">
        <f>F550+2</f>
        <v/>
      </c>
      <c r="F551" s="456">
        <f>E551+5</f>
        <v/>
      </c>
      <c r="G551" s="141">
        <f>_xlfn.CONCAT(YEAR(E551),".",TEXT(MONTH(E551),"0#"))</f>
        <v/>
      </c>
      <c r="H551">
        <f>YEAR(E551)</f>
        <v/>
      </c>
      <c r="I551">
        <f>IF(VLOOKUP(G551,AC:AD,2,FALSE)&lt;4,1,0)</f>
        <v/>
      </c>
      <c r="J551">
        <f>IF(AND(DAY(F551)&lt; DAY(E551),I551=1),MONTH(E551)+1,MONTH(E551))</f>
        <v/>
      </c>
      <c r="K551" s="201">
        <f>_xlfn.CONCAT(H551,".",TEXT(J551,"0#"))</f>
        <v/>
      </c>
    </row>
    <row r="552">
      <c r="A552" t="inlineStr">
        <is>
          <t>.t551</t>
        </is>
      </c>
      <c r="B552" s="141" t="n">
        <v>551</v>
      </c>
      <c r="C552">
        <f>H552</f>
        <v/>
      </c>
      <c r="E552" s="456">
        <f>F551+2</f>
        <v/>
      </c>
      <c r="F552" s="456">
        <f>E552+5</f>
        <v/>
      </c>
      <c r="G552" s="141">
        <f>_xlfn.CONCAT(YEAR(E552),".",TEXT(MONTH(E552),"0#"))</f>
        <v/>
      </c>
      <c r="H552">
        <f>YEAR(E552)</f>
        <v/>
      </c>
      <c r="I552">
        <f>IF(VLOOKUP(G552,AC:AD,2,FALSE)&lt;4,1,0)</f>
        <v/>
      </c>
      <c r="J552">
        <f>IF(AND(DAY(F552)&lt; DAY(E552),I552=1),MONTH(E552)+1,MONTH(E552))</f>
        <v/>
      </c>
      <c r="K552" s="201">
        <f>_xlfn.CONCAT(H552,".",TEXT(J552,"0#"))</f>
        <v/>
      </c>
    </row>
    <row r="553">
      <c r="A553" t="inlineStr">
        <is>
          <t>.t552</t>
        </is>
      </c>
      <c r="B553" s="141" t="n">
        <v>552</v>
      </c>
      <c r="C553">
        <f>H553</f>
        <v/>
      </c>
      <c r="E553" s="456">
        <f>F552+2</f>
        <v/>
      </c>
      <c r="F553" s="456">
        <f>E553+5</f>
        <v/>
      </c>
      <c r="G553" s="141">
        <f>_xlfn.CONCAT(YEAR(E553),".",TEXT(MONTH(E553),"0#"))</f>
        <v/>
      </c>
      <c r="H553">
        <f>YEAR(E553)</f>
        <v/>
      </c>
      <c r="I553">
        <f>IF(VLOOKUP(G553,AC:AD,2,FALSE)&lt;4,1,0)</f>
        <v/>
      </c>
      <c r="J553">
        <f>IF(AND(DAY(F553)&lt; DAY(E553),I553=1),MONTH(E553)+1,MONTH(E553))</f>
        <v/>
      </c>
      <c r="K553" s="201">
        <f>_xlfn.CONCAT(H553,".",TEXT(J553,"0#"))</f>
        <v/>
      </c>
    </row>
    <row r="554">
      <c r="A554" t="inlineStr">
        <is>
          <t>.t553</t>
        </is>
      </c>
      <c r="B554" s="141" t="n">
        <v>553</v>
      </c>
      <c r="C554">
        <f>H554</f>
        <v/>
      </c>
      <c r="E554" s="456">
        <f>F553+2</f>
        <v/>
      </c>
      <c r="F554" s="456">
        <f>E554+5</f>
        <v/>
      </c>
      <c r="G554" s="141">
        <f>_xlfn.CONCAT(YEAR(E554),".",TEXT(MONTH(E554),"0#"))</f>
        <v/>
      </c>
      <c r="H554">
        <f>YEAR(E554)</f>
        <v/>
      </c>
      <c r="I554">
        <f>IF(VLOOKUP(G554,AC:AD,2,FALSE)&lt;4,1,0)</f>
        <v/>
      </c>
      <c r="J554">
        <f>IF(AND(DAY(F554)&lt; DAY(E554),I554=1),MONTH(E554)+1,MONTH(E554))</f>
        <v/>
      </c>
      <c r="K554" s="201">
        <f>_xlfn.CONCAT(H554,".",TEXT(J554,"0#"))</f>
        <v/>
      </c>
    </row>
    <row r="555">
      <c r="A555" t="inlineStr">
        <is>
          <t>.t554</t>
        </is>
      </c>
      <c r="B555" s="141" t="n">
        <v>554</v>
      </c>
      <c r="C555">
        <f>H555</f>
        <v/>
      </c>
      <c r="E555" s="456">
        <f>F554+2</f>
        <v/>
      </c>
      <c r="F555" s="456">
        <f>E555+5</f>
        <v/>
      </c>
      <c r="G555" s="141">
        <f>_xlfn.CONCAT(YEAR(E555),".",TEXT(MONTH(E555),"0#"))</f>
        <v/>
      </c>
      <c r="H555">
        <f>YEAR(E555)</f>
        <v/>
      </c>
      <c r="I555">
        <f>IF(VLOOKUP(G555,AC:AD,2,FALSE)&lt;4,1,0)</f>
        <v/>
      </c>
      <c r="J555">
        <f>IF(AND(DAY(F555)&lt; DAY(E555),I555=1),MONTH(E555)+1,MONTH(E555))</f>
        <v/>
      </c>
      <c r="K555" s="201">
        <f>_xlfn.CONCAT(H555,".",TEXT(J555,"0#"))</f>
        <v/>
      </c>
    </row>
    <row r="556">
      <c r="A556" t="inlineStr">
        <is>
          <t>.t555</t>
        </is>
      </c>
      <c r="B556" s="141" t="n">
        <v>555</v>
      </c>
      <c r="C556">
        <f>H556</f>
        <v/>
      </c>
      <c r="E556" s="456">
        <f>F555+2</f>
        <v/>
      </c>
      <c r="F556" s="456">
        <f>E556+5</f>
        <v/>
      </c>
      <c r="G556" s="141">
        <f>_xlfn.CONCAT(YEAR(E556),".",TEXT(MONTH(E556),"0#"))</f>
        <v/>
      </c>
      <c r="H556">
        <f>YEAR(E556)</f>
        <v/>
      </c>
      <c r="I556">
        <f>IF(VLOOKUP(G556,AC:AD,2,FALSE)&lt;4,1,0)</f>
        <v/>
      </c>
      <c r="J556">
        <f>IF(AND(DAY(F556)&lt; DAY(E556),I556=1),MONTH(E556)+1,MONTH(E556))</f>
        <v/>
      </c>
      <c r="K556" s="201">
        <f>_xlfn.CONCAT(H556,".",TEXT(J556,"0#"))</f>
        <v/>
      </c>
    </row>
    <row r="557">
      <c r="A557" t="inlineStr">
        <is>
          <t>.t556</t>
        </is>
      </c>
      <c r="B557" s="141" t="n">
        <v>556</v>
      </c>
      <c r="C557">
        <f>H557</f>
        <v/>
      </c>
      <c r="E557" s="456">
        <f>F556+2</f>
        <v/>
      </c>
      <c r="F557" s="456">
        <f>E557+5</f>
        <v/>
      </c>
      <c r="G557" s="141">
        <f>_xlfn.CONCAT(YEAR(E557),".",TEXT(MONTH(E557),"0#"))</f>
        <v/>
      </c>
      <c r="H557">
        <f>YEAR(E557)</f>
        <v/>
      </c>
      <c r="I557">
        <f>IF(VLOOKUP(G557,AC:AD,2,FALSE)&lt;4,1,0)</f>
        <v/>
      </c>
      <c r="J557">
        <f>IF(AND(DAY(F557)&lt; DAY(E557),I557=1),MONTH(E557)+1,MONTH(E557))</f>
        <v/>
      </c>
      <c r="K557" s="201">
        <f>_xlfn.CONCAT(H557,".",TEXT(J557,"0#"))</f>
        <v/>
      </c>
    </row>
    <row r="558">
      <c r="A558" t="inlineStr">
        <is>
          <t>.t557</t>
        </is>
      </c>
      <c r="B558" s="141" t="n">
        <v>557</v>
      </c>
      <c r="C558">
        <f>H558</f>
        <v/>
      </c>
      <c r="E558" s="456">
        <f>F557+2</f>
        <v/>
      </c>
      <c r="F558" s="456">
        <f>E558+5</f>
        <v/>
      </c>
      <c r="G558" s="141">
        <f>_xlfn.CONCAT(YEAR(E558),".",TEXT(MONTH(E558),"0#"))</f>
        <v/>
      </c>
      <c r="H558">
        <f>YEAR(E558)</f>
        <v/>
      </c>
      <c r="I558">
        <f>IF(VLOOKUP(G558,AC:AD,2,FALSE)&lt;4,1,0)</f>
        <v/>
      </c>
      <c r="J558">
        <f>IF(AND(DAY(F558)&lt; DAY(E558),I558=1),MONTH(E558)+1,MONTH(E558))</f>
        <v/>
      </c>
      <c r="K558" s="201">
        <f>_xlfn.CONCAT(H558,".",TEXT(J558,"0#"))</f>
        <v/>
      </c>
    </row>
    <row r="559">
      <c r="A559" t="inlineStr">
        <is>
          <t>.t558</t>
        </is>
      </c>
      <c r="B559" s="141" t="n">
        <v>558</v>
      </c>
      <c r="C559">
        <f>H559</f>
        <v/>
      </c>
      <c r="E559" s="456">
        <f>F558+2</f>
        <v/>
      </c>
      <c r="F559" s="456">
        <f>E559+5</f>
        <v/>
      </c>
      <c r="G559" s="141">
        <f>_xlfn.CONCAT(YEAR(E559),".",TEXT(MONTH(E559),"0#"))</f>
        <v/>
      </c>
      <c r="H559">
        <f>YEAR(E559)</f>
        <v/>
      </c>
      <c r="I559">
        <f>IF(VLOOKUP(G559,AC:AD,2,FALSE)&lt;4,1,0)</f>
        <v/>
      </c>
      <c r="J559">
        <f>IF(AND(DAY(F559)&lt; DAY(E559),I559=1),MONTH(E559)+1,MONTH(E559))</f>
        <v/>
      </c>
      <c r="K559" s="201">
        <f>_xlfn.CONCAT(H559,".",TEXT(J559,"0#"))</f>
        <v/>
      </c>
    </row>
    <row r="560">
      <c r="A560" t="inlineStr">
        <is>
          <t>.t559</t>
        </is>
      </c>
      <c r="B560" s="141" t="n">
        <v>559</v>
      </c>
      <c r="C560">
        <f>H560</f>
        <v/>
      </c>
      <c r="E560" s="456">
        <f>F559+2</f>
        <v/>
      </c>
      <c r="F560" s="456">
        <f>E560+5</f>
        <v/>
      </c>
      <c r="G560" s="141">
        <f>_xlfn.CONCAT(YEAR(E560),".",TEXT(MONTH(E560),"0#"))</f>
        <v/>
      </c>
      <c r="H560">
        <f>YEAR(E560)</f>
        <v/>
      </c>
      <c r="I560">
        <f>IF(VLOOKUP(G560,AC:AD,2,FALSE)&lt;4,1,0)</f>
        <v/>
      </c>
      <c r="J560">
        <f>IF(AND(DAY(F560)&lt; DAY(E560),I560=1),MONTH(E560)+1,MONTH(E560))</f>
        <v/>
      </c>
      <c r="K560" s="201">
        <f>_xlfn.CONCAT(H560,".",TEXT(J560,"0#"))</f>
        <v/>
      </c>
    </row>
    <row r="561">
      <c r="A561" t="inlineStr">
        <is>
          <t>.t560</t>
        </is>
      </c>
      <c r="B561" s="141" t="n">
        <v>560</v>
      </c>
      <c r="C561">
        <f>H561</f>
        <v/>
      </c>
      <c r="E561" s="456">
        <f>F560+2</f>
        <v/>
      </c>
      <c r="F561" s="456">
        <f>E561+5</f>
        <v/>
      </c>
      <c r="G561" s="141">
        <f>_xlfn.CONCAT(YEAR(E561),".",TEXT(MONTH(E561),"0#"))</f>
        <v/>
      </c>
      <c r="H561">
        <f>YEAR(E561)</f>
        <v/>
      </c>
      <c r="I561">
        <f>IF(VLOOKUP(G561,AC:AD,2,FALSE)&lt;4,1,0)</f>
        <v/>
      </c>
      <c r="J561">
        <f>IF(AND(DAY(F561)&lt; DAY(E561),I561=1),MONTH(E561)+1,MONTH(E561))</f>
        <v/>
      </c>
      <c r="K561" s="201">
        <f>_xlfn.CONCAT(H561,".",TEXT(J561,"0#"))</f>
        <v/>
      </c>
    </row>
    <row r="562">
      <c r="A562" t="inlineStr">
        <is>
          <t>.t561</t>
        </is>
      </c>
      <c r="B562" s="141" t="n">
        <v>561</v>
      </c>
      <c r="C562">
        <f>H562</f>
        <v/>
      </c>
      <c r="E562" s="456">
        <f>F561+2</f>
        <v/>
      </c>
      <c r="F562" s="456">
        <f>E562+5</f>
        <v/>
      </c>
      <c r="G562" s="141">
        <f>_xlfn.CONCAT(YEAR(E562),".",TEXT(MONTH(E562),"0#"))</f>
        <v/>
      </c>
      <c r="H562">
        <f>YEAR(E562)</f>
        <v/>
      </c>
      <c r="I562">
        <f>IF(VLOOKUP(G562,AC:AD,2,FALSE)&lt;4,1,0)</f>
        <v/>
      </c>
      <c r="J562">
        <f>IF(AND(DAY(F562)&lt; DAY(E562),I562=1),MONTH(E562)+1,MONTH(E562))</f>
        <v/>
      </c>
      <c r="K562" s="201">
        <f>_xlfn.CONCAT(H562,".",TEXT(J562,"0#"))</f>
        <v/>
      </c>
    </row>
    <row r="563">
      <c r="A563" t="inlineStr">
        <is>
          <t>.t562</t>
        </is>
      </c>
      <c r="B563" s="141" t="n">
        <v>562</v>
      </c>
      <c r="C563">
        <f>H563</f>
        <v/>
      </c>
      <c r="E563" s="456">
        <f>F562+2</f>
        <v/>
      </c>
      <c r="F563" s="456">
        <f>E563+5</f>
        <v/>
      </c>
      <c r="G563" s="141">
        <f>_xlfn.CONCAT(YEAR(E563),".",TEXT(MONTH(E563),"0#"))</f>
        <v/>
      </c>
      <c r="H563">
        <f>YEAR(E563)</f>
        <v/>
      </c>
      <c r="I563">
        <f>IF(VLOOKUP(G563,AC:AD,2,FALSE)&lt;4,1,0)</f>
        <v/>
      </c>
      <c r="J563">
        <f>IF(AND(DAY(F563)&lt; DAY(E563),I563=1),MONTH(E563)+1,MONTH(E563))</f>
        <v/>
      </c>
      <c r="K563" s="201">
        <f>_xlfn.CONCAT(H563,".",TEXT(J563,"0#"))</f>
        <v/>
      </c>
    </row>
    <row r="564">
      <c r="A564" t="inlineStr">
        <is>
          <t>.t563</t>
        </is>
      </c>
      <c r="B564" s="141" t="n">
        <v>563</v>
      </c>
      <c r="C564">
        <f>H564</f>
        <v/>
      </c>
      <c r="E564" s="456">
        <f>F563+2</f>
        <v/>
      </c>
      <c r="F564" s="456">
        <f>E564+5</f>
        <v/>
      </c>
      <c r="G564" s="141">
        <f>_xlfn.CONCAT(YEAR(E564),".",TEXT(MONTH(E564),"0#"))</f>
        <v/>
      </c>
      <c r="H564">
        <f>YEAR(E564)</f>
        <v/>
      </c>
      <c r="I564">
        <f>IF(VLOOKUP(G564,AC:AD,2,FALSE)&lt;4,1,0)</f>
        <v/>
      </c>
      <c r="J564">
        <f>IF(AND(DAY(F564)&lt; DAY(E564),I564=1),MONTH(E564)+1,MONTH(E564))</f>
        <v/>
      </c>
      <c r="K564" s="201">
        <f>_xlfn.CONCAT(H564,".",TEXT(J564,"0#"))</f>
        <v/>
      </c>
    </row>
    <row r="565">
      <c r="A565" t="inlineStr">
        <is>
          <t>.t564</t>
        </is>
      </c>
      <c r="B565" s="141" t="n">
        <v>564</v>
      </c>
      <c r="C565">
        <f>H565</f>
        <v/>
      </c>
      <c r="E565" s="456">
        <f>F564+2</f>
        <v/>
      </c>
      <c r="F565" s="456">
        <f>E565+5</f>
        <v/>
      </c>
      <c r="G565" s="141">
        <f>_xlfn.CONCAT(YEAR(E565),".",TEXT(MONTH(E565),"0#"))</f>
        <v/>
      </c>
      <c r="H565">
        <f>YEAR(E565)</f>
        <v/>
      </c>
      <c r="I565">
        <f>IF(VLOOKUP(G565,AC:AD,2,FALSE)&lt;4,1,0)</f>
        <v/>
      </c>
      <c r="J565">
        <f>IF(AND(DAY(F565)&lt; DAY(E565),I565=1),MONTH(E565)+1,MONTH(E565))</f>
        <v/>
      </c>
      <c r="K565" s="201">
        <f>_xlfn.CONCAT(H565,".",TEXT(J565,"0#"))</f>
        <v/>
      </c>
    </row>
    <row r="566">
      <c r="A566" t="inlineStr">
        <is>
          <t>.t565</t>
        </is>
      </c>
      <c r="B566" s="141" t="n">
        <v>565</v>
      </c>
      <c r="C566">
        <f>H566</f>
        <v/>
      </c>
      <c r="E566" s="456">
        <f>F565+2</f>
        <v/>
      </c>
      <c r="F566" s="456">
        <f>E566+5</f>
        <v/>
      </c>
      <c r="G566" s="141">
        <f>_xlfn.CONCAT(YEAR(E566),".",TEXT(MONTH(E566),"0#"))</f>
        <v/>
      </c>
      <c r="H566">
        <f>YEAR(E566)</f>
        <v/>
      </c>
      <c r="I566">
        <f>IF(VLOOKUP(G566,AC:AD,2,FALSE)&lt;4,1,0)</f>
        <v/>
      </c>
      <c r="J566">
        <f>IF(AND(DAY(F566)&lt; DAY(E566),I566=1),MONTH(E566)+1,MONTH(E566))</f>
        <v/>
      </c>
      <c r="K566" s="201">
        <f>_xlfn.CONCAT(H566,".",TEXT(J566,"0#"))</f>
        <v/>
      </c>
    </row>
    <row r="567">
      <c r="A567" t="inlineStr">
        <is>
          <t>.t566</t>
        </is>
      </c>
      <c r="B567" s="141" t="n">
        <v>566</v>
      </c>
      <c r="C567">
        <f>H567</f>
        <v/>
      </c>
      <c r="E567" s="456">
        <f>F566+2</f>
        <v/>
      </c>
      <c r="F567" s="456">
        <f>E567+5</f>
        <v/>
      </c>
      <c r="G567" s="141">
        <f>_xlfn.CONCAT(YEAR(E567),".",TEXT(MONTH(E567),"0#"))</f>
        <v/>
      </c>
      <c r="H567">
        <f>YEAR(E567)</f>
        <v/>
      </c>
      <c r="I567">
        <f>IF(VLOOKUP(G567,AC:AD,2,FALSE)&lt;4,1,0)</f>
        <v/>
      </c>
      <c r="J567">
        <f>IF(AND(DAY(F567)&lt; DAY(E567),I567=1),MONTH(E567)+1,MONTH(E567))</f>
        <v/>
      </c>
      <c r="K567" s="201">
        <f>_xlfn.CONCAT(H567,".",TEXT(J567,"0#"))</f>
        <v/>
      </c>
    </row>
    <row r="568">
      <c r="A568" t="inlineStr">
        <is>
          <t>.t567</t>
        </is>
      </c>
      <c r="B568" s="141" t="n">
        <v>567</v>
      </c>
      <c r="C568">
        <f>H568</f>
        <v/>
      </c>
      <c r="E568" s="456">
        <f>F567+2</f>
        <v/>
      </c>
      <c r="F568" s="456">
        <f>E568+5</f>
        <v/>
      </c>
      <c r="G568" s="141">
        <f>_xlfn.CONCAT(YEAR(E568),".",TEXT(MONTH(E568),"0#"))</f>
        <v/>
      </c>
      <c r="H568">
        <f>YEAR(E568)</f>
        <v/>
      </c>
      <c r="I568">
        <f>IF(VLOOKUP(G568,AC:AD,2,FALSE)&lt;4,1,0)</f>
        <v/>
      </c>
      <c r="J568">
        <f>IF(AND(DAY(F568)&lt; DAY(E568),I568=1),MONTH(E568)+1,MONTH(E568))</f>
        <v/>
      </c>
      <c r="K568" s="201">
        <f>_xlfn.CONCAT(H568,".",TEXT(J568,"0#"))</f>
        <v/>
      </c>
    </row>
    <row r="569">
      <c r="A569" t="inlineStr">
        <is>
          <t>.t568</t>
        </is>
      </c>
      <c r="B569" s="141" t="n">
        <v>568</v>
      </c>
      <c r="C569">
        <f>H569</f>
        <v/>
      </c>
      <c r="E569" s="456">
        <f>F568+2</f>
        <v/>
      </c>
      <c r="F569" s="456">
        <f>E569+5</f>
        <v/>
      </c>
      <c r="G569" s="141">
        <f>_xlfn.CONCAT(YEAR(E569),".",TEXT(MONTH(E569),"0#"))</f>
        <v/>
      </c>
      <c r="H569">
        <f>YEAR(E569)</f>
        <v/>
      </c>
      <c r="I569">
        <f>IF(VLOOKUP(G569,AC:AD,2,FALSE)&lt;4,1,0)</f>
        <v/>
      </c>
      <c r="J569">
        <f>IF(AND(DAY(F569)&lt; DAY(E569),I569=1),MONTH(E569)+1,MONTH(E569))</f>
        <v/>
      </c>
      <c r="K569" s="201">
        <f>_xlfn.CONCAT(H569,".",TEXT(J569,"0#"))</f>
        <v/>
      </c>
    </row>
    <row r="570">
      <c r="A570" t="inlineStr">
        <is>
          <t>.t569</t>
        </is>
      </c>
      <c r="B570" s="141" t="n">
        <v>569</v>
      </c>
      <c r="C570">
        <f>H570</f>
        <v/>
      </c>
      <c r="E570" s="456">
        <f>F569+2</f>
        <v/>
      </c>
      <c r="F570" s="456">
        <f>E570+5</f>
        <v/>
      </c>
      <c r="G570" s="141">
        <f>_xlfn.CONCAT(YEAR(E570),".",TEXT(MONTH(E570),"0#"))</f>
        <v/>
      </c>
      <c r="H570">
        <f>YEAR(E570)</f>
        <v/>
      </c>
      <c r="I570">
        <f>IF(VLOOKUP(G570,AC:AD,2,FALSE)&lt;4,1,0)</f>
        <v/>
      </c>
      <c r="J570">
        <f>IF(AND(DAY(F570)&lt; DAY(E570),I570=1),MONTH(E570)+1,MONTH(E570))</f>
        <v/>
      </c>
      <c r="K570" s="201">
        <f>_xlfn.CONCAT(H570,".",TEXT(J570,"0#"))</f>
        <v/>
      </c>
    </row>
    <row r="571">
      <c r="A571" t="inlineStr">
        <is>
          <t>.t570</t>
        </is>
      </c>
      <c r="B571" s="141" t="n">
        <v>570</v>
      </c>
      <c r="C571">
        <f>H571</f>
        <v/>
      </c>
      <c r="E571" s="456">
        <f>F570+2</f>
        <v/>
      </c>
      <c r="F571" s="456">
        <f>E571+5</f>
        <v/>
      </c>
      <c r="G571" s="141">
        <f>_xlfn.CONCAT(YEAR(E571),".",TEXT(MONTH(E571),"0#"))</f>
        <v/>
      </c>
      <c r="H571">
        <f>YEAR(E571)</f>
        <v/>
      </c>
      <c r="I571">
        <f>IF(VLOOKUP(G571,AC:AD,2,FALSE)&lt;4,1,0)</f>
        <v/>
      </c>
      <c r="J571">
        <f>IF(AND(DAY(F571)&lt; DAY(E571),I571=1),MONTH(E571)+1,MONTH(E571))</f>
        <v/>
      </c>
      <c r="K571" s="201">
        <f>_xlfn.CONCAT(H571,".",TEXT(J571,"0#"))</f>
        <v/>
      </c>
    </row>
    <row r="572">
      <c r="A572" t="inlineStr">
        <is>
          <t>.t571</t>
        </is>
      </c>
      <c r="B572" s="141" t="n">
        <v>571</v>
      </c>
      <c r="C572">
        <f>H572</f>
        <v/>
      </c>
      <c r="E572" s="456">
        <f>F571+2</f>
        <v/>
      </c>
      <c r="F572" s="456">
        <f>E572+5</f>
        <v/>
      </c>
      <c r="G572" s="141">
        <f>_xlfn.CONCAT(YEAR(E572),".",TEXT(MONTH(E572),"0#"))</f>
        <v/>
      </c>
      <c r="H572">
        <f>YEAR(E572)</f>
        <v/>
      </c>
      <c r="I572">
        <f>IF(VLOOKUP(G572,AC:AD,2,FALSE)&lt;4,1,0)</f>
        <v/>
      </c>
      <c r="J572">
        <f>IF(AND(DAY(F572)&lt; DAY(E572),I572=1),MONTH(E572)+1,MONTH(E572))</f>
        <v/>
      </c>
      <c r="K572" s="201">
        <f>_xlfn.CONCAT(H572,".",TEXT(J572,"0#"))</f>
        <v/>
      </c>
    </row>
    <row r="573">
      <c r="A573" t="inlineStr">
        <is>
          <t>.t572</t>
        </is>
      </c>
      <c r="B573" s="141" t="n">
        <v>572</v>
      </c>
      <c r="C573">
        <f>H573</f>
        <v/>
      </c>
      <c r="E573" s="456">
        <f>F572+2</f>
        <v/>
      </c>
      <c r="F573" s="456">
        <f>E573+5</f>
        <v/>
      </c>
      <c r="G573" s="141">
        <f>_xlfn.CONCAT(YEAR(E573),".",TEXT(MONTH(E573),"0#"))</f>
        <v/>
      </c>
      <c r="H573">
        <f>YEAR(E573)</f>
        <v/>
      </c>
      <c r="I573">
        <f>IF(VLOOKUP(G573,AC:AD,2,FALSE)&lt;4,1,0)</f>
        <v/>
      </c>
      <c r="J573">
        <f>IF(AND(DAY(F573)&lt; DAY(E573),I573=1),MONTH(E573)+1,MONTH(E573))</f>
        <v/>
      </c>
      <c r="K573" s="201">
        <f>_xlfn.CONCAT(H573,".",TEXT(J573,"0#"))</f>
        <v/>
      </c>
    </row>
    <row r="574">
      <c r="A574" t="inlineStr">
        <is>
          <t>.t573</t>
        </is>
      </c>
      <c r="B574" s="141" t="n">
        <v>573</v>
      </c>
      <c r="C574">
        <f>H574</f>
        <v/>
      </c>
      <c r="E574" s="456">
        <f>F573+2</f>
        <v/>
      </c>
      <c r="F574" s="456">
        <f>E574+5</f>
        <v/>
      </c>
      <c r="G574" s="141">
        <f>_xlfn.CONCAT(YEAR(E574),".",TEXT(MONTH(E574),"0#"))</f>
        <v/>
      </c>
      <c r="H574">
        <f>YEAR(E574)</f>
        <v/>
      </c>
      <c r="I574">
        <f>IF(VLOOKUP(G574,AC:AD,2,FALSE)&lt;4,1,0)</f>
        <v/>
      </c>
      <c r="J574">
        <f>IF(AND(DAY(F574)&lt; DAY(E574),I574=1),MONTH(E574)+1,MONTH(E574))</f>
        <v/>
      </c>
      <c r="K574" s="201">
        <f>_xlfn.CONCAT(H574,".",TEXT(J574,"0#"))</f>
        <v/>
      </c>
    </row>
    <row r="575">
      <c r="A575" t="inlineStr">
        <is>
          <t>.t574</t>
        </is>
      </c>
      <c r="B575" s="141" t="n">
        <v>574</v>
      </c>
      <c r="C575">
        <f>H575</f>
        <v/>
      </c>
      <c r="E575" s="456">
        <f>F574+2</f>
        <v/>
      </c>
      <c r="F575" s="456">
        <f>E575+5</f>
        <v/>
      </c>
      <c r="G575" s="141">
        <f>_xlfn.CONCAT(YEAR(E575),".",TEXT(MONTH(E575),"0#"))</f>
        <v/>
      </c>
      <c r="H575">
        <f>YEAR(E575)</f>
        <v/>
      </c>
      <c r="I575">
        <f>IF(VLOOKUP(G575,AC:AD,2,FALSE)&lt;4,1,0)</f>
        <v/>
      </c>
      <c r="J575">
        <f>IF(AND(DAY(F575)&lt; DAY(E575),I575=1),MONTH(E575)+1,MONTH(E575))</f>
        <v/>
      </c>
      <c r="K575" s="201">
        <f>_xlfn.CONCAT(H575,".",TEXT(J575,"0#"))</f>
        <v/>
      </c>
    </row>
    <row r="576">
      <c r="A576" t="inlineStr">
        <is>
          <t>.t575</t>
        </is>
      </c>
      <c r="B576" t="n">
        <v>575</v>
      </c>
      <c r="C576">
        <f>H576</f>
        <v/>
      </c>
      <c r="E576" s="456">
        <f>F575+2</f>
        <v/>
      </c>
      <c r="F576" s="456">
        <f>E576+5</f>
        <v/>
      </c>
      <c r="G576" s="141">
        <f>_xlfn.CONCAT(YEAR(E576),".",TEXT(MONTH(E576),"0#"))</f>
        <v/>
      </c>
      <c r="H576">
        <f>YEAR(E576)</f>
        <v/>
      </c>
      <c r="I576">
        <f>IF(VLOOKUP(G576,AC:AD,2,FALSE)&lt;4,1,0)</f>
        <v/>
      </c>
      <c r="J576">
        <f>IF(AND(DAY(F576)&lt; DAY(E576),I576=1),MONTH(E576)+1,MONTH(E576))</f>
        <v/>
      </c>
      <c r="K576" s="201">
        <f>_xlfn.CONCAT(H576,".",TEXT(J576,"0#"))</f>
        <v/>
      </c>
    </row>
    <row r="577">
      <c r="A577" t="inlineStr">
        <is>
          <t>.t576</t>
        </is>
      </c>
      <c r="B577" t="n">
        <v>576</v>
      </c>
      <c r="C577">
        <f>H577</f>
        <v/>
      </c>
      <c r="E577" s="456">
        <f>F576+2</f>
        <v/>
      </c>
      <c r="F577" s="456">
        <f>E577+5</f>
        <v/>
      </c>
      <c r="G577" s="141">
        <f>_xlfn.CONCAT(YEAR(E577),".",TEXT(MONTH(E577),"0#"))</f>
        <v/>
      </c>
      <c r="H577">
        <f>YEAR(E577)</f>
        <v/>
      </c>
      <c r="I577">
        <f>IF(VLOOKUP(G577,AC:AD,2,FALSE)&lt;4,1,0)</f>
        <v/>
      </c>
      <c r="J577">
        <f>IF(AND(DAY(F577)&lt; DAY(E577),I577=1),MONTH(E577)+1,MONTH(E577))</f>
        <v/>
      </c>
      <c r="K577" s="201">
        <f>_xlfn.CONCAT(H577,".",TEXT(J577,"0#"))</f>
        <v/>
      </c>
    </row>
    <row r="578">
      <c r="A578" t="inlineStr">
        <is>
          <t>.t577</t>
        </is>
      </c>
      <c r="B578" t="n">
        <v>577</v>
      </c>
      <c r="C578">
        <f>H578</f>
        <v/>
      </c>
      <c r="E578" s="456">
        <f>F577+2</f>
        <v/>
      </c>
      <c r="F578" s="456">
        <f>E578+5</f>
        <v/>
      </c>
      <c r="G578" s="141">
        <f>_xlfn.CONCAT(YEAR(E578),".",TEXT(MONTH(E578),"0#"))</f>
        <v/>
      </c>
      <c r="H578">
        <f>YEAR(E578)</f>
        <v/>
      </c>
      <c r="I578">
        <f>IF(VLOOKUP(G578,AC:AD,2,FALSE)&lt;4,1,0)</f>
        <v/>
      </c>
      <c r="J578">
        <f>IF(AND(DAY(F578)&lt; DAY(E578),I578=1),MONTH(E578)+1,MONTH(E578))</f>
        <v/>
      </c>
      <c r="K578" s="201">
        <f>_xlfn.CONCAT(H578,".",TEXT(J578,"0#"))</f>
        <v/>
      </c>
    </row>
    <row r="579">
      <c r="A579" t="inlineStr">
        <is>
          <t>.t578</t>
        </is>
      </c>
      <c r="B579" t="n">
        <v>578</v>
      </c>
      <c r="C579">
        <f>H579</f>
        <v/>
      </c>
      <c r="E579" s="456">
        <f>F578+2</f>
        <v/>
      </c>
      <c r="F579" s="456">
        <f>E579+5</f>
        <v/>
      </c>
      <c r="G579" s="141">
        <f>_xlfn.CONCAT(YEAR(E579),".",TEXT(MONTH(E579),"0#"))</f>
        <v/>
      </c>
      <c r="H579">
        <f>YEAR(E579)</f>
        <v/>
      </c>
      <c r="I579">
        <f>IF(VLOOKUP(G579,AC:AD,2,FALSE)&lt;4,1,0)</f>
        <v/>
      </c>
      <c r="J579">
        <f>IF(AND(DAY(F579)&lt; DAY(E579),I579=1),MONTH(E579)+1,MONTH(E579))</f>
        <v/>
      </c>
      <c r="K579" s="201">
        <f>_xlfn.CONCAT(H579,".",TEXT(J579,"0#"))</f>
        <v/>
      </c>
    </row>
    <row r="580">
      <c r="A580" t="inlineStr">
        <is>
          <t>.t579</t>
        </is>
      </c>
      <c r="B580" t="n">
        <v>579</v>
      </c>
      <c r="C580">
        <f>H580</f>
        <v/>
      </c>
      <c r="E580" s="456">
        <f>F579+2</f>
        <v/>
      </c>
      <c r="F580" s="456">
        <f>E580+5</f>
        <v/>
      </c>
      <c r="G580" s="141">
        <f>_xlfn.CONCAT(YEAR(E580),".",TEXT(MONTH(E580),"0#"))</f>
        <v/>
      </c>
      <c r="H580">
        <f>YEAR(E580)</f>
        <v/>
      </c>
      <c r="I580">
        <f>IF(VLOOKUP(G580,AC:AD,2,FALSE)&lt;4,1,0)</f>
        <v/>
      </c>
      <c r="J580">
        <f>IF(AND(DAY(F580)&lt; DAY(E580),I580=1),MONTH(E580)+1,MONTH(E580))</f>
        <v/>
      </c>
      <c r="K580" s="201">
        <f>_xlfn.CONCAT(H580,".",TEXT(J580,"0#"))</f>
        <v/>
      </c>
    </row>
    <row r="581">
      <c r="A581" t="inlineStr">
        <is>
          <t>.t580</t>
        </is>
      </c>
      <c r="B581" t="n">
        <v>580</v>
      </c>
      <c r="C581">
        <f>H581</f>
        <v/>
      </c>
      <c r="E581" s="456">
        <f>F580+2</f>
        <v/>
      </c>
      <c r="F581" s="456">
        <f>E581+5</f>
        <v/>
      </c>
      <c r="G581" s="141">
        <f>_xlfn.CONCAT(YEAR(E581),".",TEXT(MONTH(E581),"0#"))</f>
        <v/>
      </c>
      <c r="H581">
        <f>YEAR(E581)</f>
        <v/>
      </c>
      <c r="I581">
        <f>IF(VLOOKUP(G581,AC:AD,2,FALSE)&lt;4,1,0)</f>
        <v/>
      </c>
      <c r="J581">
        <f>IF(AND(DAY(F581)&lt; DAY(E581),I581=1),MONTH(E581)+1,MONTH(E581))</f>
        <v/>
      </c>
      <c r="K581" s="201">
        <f>_xlfn.CONCAT(H581,".",TEXT(J581,"0#"))</f>
        <v/>
      </c>
    </row>
    <row r="582">
      <c r="A582" t="inlineStr">
        <is>
          <t>.t581</t>
        </is>
      </c>
      <c r="B582" t="n">
        <v>581</v>
      </c>
      <c r="C582">
        <f>H582</f>
        <v/>
      </c>
      <c r="E582" s="456">
        <f>F581+2</f>
        <v/>
      </c>
      <c r="F582" s="456">
        <f>E582+5</f>
        <v/>
      </c>
      <c r="G582" s="141">
        <f>_xlfn.CONCAT(YEAR(E582),".",TEXT(MONTH(E582),"0#"))</f>
        <v/>
      </c>
      <c r="H582">
        <f>YEAR(E582)</f>
        <v/>
      </c>
      <c r="I582">
        <f>IF(VLOOKUP(G582,AC:AD,2,FALSE)&lt;4,1,0)</f>
        <v/>
      </c>
      <c r="J582">
        <f>IF(AND(DAY(F582)&lt; DAY(E582),I582=1),MONTH(E582)+1,MONTH(E582))</f>
        <v/>
      </c>
      <c r="K582" s="201">
        <f>_xlfn.CONCAT(H582,".",TEXT(J582,"0#"))</f>
        <v/>
      </c>
    </row>
    <row r="583">
      <c r="A583" t="inlineStr">
        <is>
          <t>.t582</t>
        </is>
      </c>
      <c r="B583" t="n">
        <v>582</v>
      </c>
      <c r="C583">
        <f>H583</f>
        <v/>
      </c>
      <c r="E583" s="456">
        <f>F582+2</f>
        <v/>
      </c>
      <c r="F583" s="456">
        <f>E583+5</f>
        <v/>
      </c>
      <c r="G583" s="141">
        <f>_xlfn.CONCAT(YEAR(E583),".",TEXT(MONTH(E583),"0#"))</f>
        <v/>
      </c>
      <c r="H583">
        <f>YEAR(E583)</f>
        <v/>
      </c>
      <c r="I583">
        <f>IF(VLOOKUP(G583,AC:AD,2,FALSE)&lt;4,1,0)</f>
        <v/>
      </c>
      <c r="J583">
        <f>IF(AND(DAY(F583)&lt; DAY(E583),I583=1),MONTH(E583)+1,MONTH(E583))</f>
        <v/>
      </c>
      <c r="K583" s="201">
        <f>_xlfn.CONCAT(H583,".",TEXT(J583,"0#"))</f>
        <v/>
      </c>
    </row>
    <row r="584">
      <c r="A584" t="inlineStr">
        <is>
          <t>.t583</t>
        </is>
      </c>
      <c r="B584" t="n">
        <v>583</v>
      </c>
      <c r="C584">
        <f>H584</f>
        <v/>
      </c>
      <c r="E584" s="456">
        <f>F583+2</f>
        <v/>
      </c>
      <c r="F584" s="456">
        <f>E584+5</f>
        <v/>
      </c>
      <c r="G584" s="141">
        <f>_xlfn.CONCAT(YEAR(E584),".",TEXT(MONTH(E584),"0#"))</f>
        <v/>
      </c>
      <c r="H584">
        <f>YEAR(E584)</f>
        <v/>
      </c>
      <c r="I584">
        <f>IF(VLOOKUP(G584,AC:AD,2,FALSE)&lt;4,1,0)</f>
        <v/>
      </c>
      <c r="J584">
        <f>IF(AND(DAY(F584)&lt; DAY(E584),I584=1),MONTH(E584)+1,MONTH(E584))</f>
        <v/>
      </c>
      <c r="K584" s="201">
        <f>_xlfn.CONCAT(H584,".",TEXT(J584,"0#"))</f>
        <v/>
      </c>
    </row>
    <row r="585">
      <c r="A585" t="inlineStr">
        <is>
          <t>.t584</t>
        </is>
      </c>
      <c r="B585" t="n">
        <v>584</v>
      </c>
      <c r="C585">
        <f>H585</f>
        <v/>
      </c>
      <c r="E585" s="456">
        <f>F584+2</f>
        <v/>
      </c>
      <c r="F585" s="456">
        <f>E585+5</f>
        <v/>
      </c>
      <c r="G585" s="141">
        <f>_xlfn.CONCAT(YEAR(E585),".",TEXT(MONTH(E585),"0#"))</f>
        <v/>
      </c>
      <c r="H585">
        <f>YEAR(E585)</f>
        <v/>
      </c>
      <c r="I585">
        <f>IF(VLOOKUP(G585,AC:AD,2,FALSE)&lt;4,1,0)</f>
        <v/>
      </c>
      <c r="J585">
        <f>IF(AND(DAY(F585)&lt; DAY(E585),I585=1),MONTH(E585)+1,MONTH(E585))</f>
        <v/>
      </c>
      <c r="K585" s="201">
        <f>_xlfn.CONCAT(H585,".",TEXT(J585,"0#"))</f>
        <v/>
      </c>
    </row>
    <row r="586">
      <c r="A586" t="inlineStr">
        <is>
          <t>.t585</t>
        </is>
      </c>
      <c r="B586" t="n">
        <v>585</v>
      </c>
      <c r="C586">
        <f>H586</f>
        <v/>
      </c>
      <c r="E586" s="456">
        <f>F585+2</f>
        <v/>
      </c>
      <c r="F586" s="456">
        <f>E586+5</f>
        <v/>
      </c>
      <c r="G586" s="141">
        <f>_xlfn.CONCAT(YEAR(E586),".",TEXT(MONTH(E586),"0#"))</f>
        <v/>
      </c>
      <c r="H586">
        <f>YEAR(E586)</f>
        <v/>
      </c>
      <c r="I586">
        <f>IF(VLOOKUP(G586,AC:AD,2,FALSE)&lt;4,1,0)</f>
        <v/>
      </c>
      <c r="J586">
        <f>IF(AND(DAY(F586)&lt; DAY(E586),I586=1),MONTH(E586)+1,MONTH(E586))</f>
        <v/>
      </c>
      <c r="K586" s="201">
        <f>_xlfn.CONCAT(H586,".",TEXT(J586,"0#"))</f>
        <v/>
      </c>
    </row>
    <row r="587">
      <c r="A587" t="inlineStr">
        <is>
          <t>.t586</t>
        </is>
      </c>
      <c r="B587" t="n">
        <v>586</v>
      </c>
      <c r="C587">
        <f>H587</f>
        <v/>
      </c>
      <c r="E587" s="456">
        <f>F586+2</f>
        <v/>
      </c>
      <c r="F587" s="456">
        <f>E587+5</f>
        <v/>
      </c>
      <c r="G587" s="141">
        <f>_xlfn.CONCAT(YEAR(E587),".",TEXT(MONTH(E587),"0#"))</f>
        <v/>
      </c>
      <c r="H587">
        <f>YEAR(E587)</f>
        <v/>
      </c>
      <c r="I587">
        <f>IF(VLOOKUP(G587,AC:AD,2,FALSE)&lt;4,1,0)</f>
        <v/>
      </c>
      <c r="J587">
        <f>IF(AND(DAY(F587)&lt; DAY(E587),I587=1),MONTH(E587)+1,MONTH(E587))</f>
        <v/>
      </c>
      <c r="K587" s="201">
        <f>_xlfn.CONCAT(H587,".",TEXT(J587,"0#"))</f>
        <v/>
      </c>
    </row>
    <row r="588">
      <c r="A588" t="inlineStr">
        <is>
          <t>.t587</t>
        </is>
      </c>
      <c r="B588" t="n">
        <v>587</v>
      </c>
      <c r="C588">
        <f>H588</f>
        <v/>
      </c>
      <c r="E588" s="456">
        <f>F587+2</f>
        <v/>
      </c>
      <c r="F588" s="456">
        <f>E588+5</f>
        <v/>
      </c>
      <c r="G588" s="141">
        <f>_xlfn.CONCAT(YEAR(E588),".",TEXT(MONTH(E588),"0#"))</f>
        <v/>
      </c>
      <c r="H588">
        <f>YEAR(E588)</f>
        <v/>
      </c>
      <c r="I588">
        <f>IF(VLOOKUP(G588,AC:AD,2,FALSE)&lt;4,1,0)</f>
        <v/>
      </c>
      <c r="J588">
        <f>IF(AND(DAY(F588)&lt; DAY(E588),I588=1),MONTH(E588)+1,MONTH(E588))</f>
        <v/>
      </c>
      <c r="K588" s="201">
        <f>_xlfn.CONCAT(H588,".",TEXT(J588,"0#"))</f>
        <v/>
      </c>
    </row>
    <row r="589">
      <c r="A589" t="inlineStr">
        <is>
          <t>.t588</t>
        </is>
      </c>
      <c r="B589" t="n">
        <v>588</v>
      </c>
      <c r="C589">
        <f>H589</f>
        <v/>
      </c>
      <c r="E589" s="456">
        <f>F588+2</f>
        <v/>
      </c>
      <c r="F589" s="456">
        <f>E589+5</f>
        <v/>
      </c>
      <c r="G589" s="141">
        <f>_xlfn.CONCAT(YEAR(E589),".",TEXT(MONTH(E589),"0#"))</f>
        <v/>
      </c>
      <c r="H589">
        <f>YEAR(E589)</f>
        <v/>
      </c>
      <c r="I589">
        <f>IF(VLOOKUP(G589,AC:AD,2,FALSE)&lt;4,1,0)</f>
        <v/>
      </c>
      <c r="J589">
        <f>IF(AND(DAY(F589)&lt; DAY(E589),I589=1),MONTH(E589)+1,MONTH(E589))</f>
        <v/>
      </c>
      <c r="K589" s="201">
        <f>_xlfn.CONCAT(H589,".",TEXT(J589,"0#"))</f>
        <v/>
      </c>
    </row>
    <row r="590">
      <c r="A590" t="inlineStr">
        <is>
          <t>.t589</t>
        </is>
      </c>
      <c r="B590" t="n">
        <v>589</v>
      </c>
      <c r="C590">
        <f>H590</f>
        <v/>
      </c>
      <c r="E590" s="456">
        <f>F589+2</f>
        <v/>
      </c>
      <c r="F590" s="456">
        <f>E590+5</f>
        <v/>
      </c>
      <c r="G590" s="141">
        <f>_xlfn.CONCAT(YEAR(E590),".",TEXT(MONTH(E590),"0#"))</f>
        <v/>
      </c>
      <c r="H590">
        <f>YEAR(E590)</f>
        <v/>
      </c>
      <c r="I590">
        <f>IF(VLOOKUP(G590,AC:AD,2,FALSE)&lt;4,1,0)</f>
        <v/>
      </c>
      <c r="J590">
        <f>IF(AND(DAY(F590)&lt; DAY(E590),I590=1),MONTH(E590)+1,MONTH(E590))</f>
        <v/>
      </c>
      <c r="K590" s="201">
        <f>_xlfn.CONCAT(H590,".",TEXT(J590,"0#"))</f>
        <v/>
      </c>
    </row>
    <row r="591">
      <c r="A591" t="inlineStr">
        <is>
          <t>.t590</t>
        </is>
      </c>
      <c r="B591" t="n">
        <v>590</v>
      </c>
      <c r="C591">
        <f>H591</f>
        <v/>
      </c>
      <c r="E591" s="456">
        <f>F590+2</f>
        <v/>
      </c>
      <c r="F591" s="456">
        <f>E591+5</f>
        <v/>
      </c>
      <c r="G591" s="141">
        <f>_xlfn.CONCAT(YEAR(E591),".",TEXT(MONTH(E591),"0#"))</f>
        <v/>
      </c>
      <c r="H591">
        <f>YEAR(E591)</f>
        <v/>
      </c>
      <c r="I591">
        <f>IF(VLOOKUP(G591,AC:AD,2,FALSE)&lt;4,1,0)</f>
        <v/>
      </c>
      <c r="J591">
        <f>IF(AND(DAY(F591)&lt; DAY(E591),I591=1),MONTH(E591)+1,MONTH(E591))</f>
        <v/>
      </c>
      <c r="K591" s="201">
        <f>_xlfn.CONCAT(H591,".",TEXT(J591,"0#"))</f>
        <v/>
      </c>
    </row>
    <row r="592">
      <c r="A592" t="inlineStr">
        <is>
          <t>.t591</t>
        </is>
      </c>
      <c r="B592" t="n">
        <v>591</v>
      </c>
      <c r="C592">
        <f>H592</f>
        <v/>
      </c>
      <c r="E592" s="456">
        <f>F591+2</f>
        <v/>
      </c>
      <c r="F592" s="456">
        <f>E592+5</f>
        <v/>
      </c>
      <c r="G592" s="141">
        <f>_xlfn.CONCAT(YEAR(E592),".",TEXT(MONTH(E592),"0#"))</f>
        <v/>
      </c>
      <c r="H592">
        <f>YEAR(E592)</f>
        <v/>
      </c>
      <c r="I592">
        <f>IF(VLOOKUP(G592,AC:AD,2,FALSE)&lt;4,1,0)</f>
        <v/>
      </c>
      <c r="J592">
        <f>IF(AND(DAY(F592)&lt; DAY(E592),I592=1),MONTH(E592)+1,MONTH(E592))</f>
        <v/>
      </c>
      <c r="K592" s="201">
        <f>_xlfn.CONCAT(H592,".",TEXT(J592,"0#"))</f>
        <v/>
      </c>
    </row>
    <row r="593">
      <c r="A593" t="inlineStr">
        <is>
          <t>.t592</t>
        </is>
      </c>
      <c r="B593" t="n">
        <v>592</v>
      </c>
      <c r="C593">
        <f>H593</f>
        <v/>
      </c>
      <c r="E593" s="456">
        <f>F592+2</f>
        <v/>
      </c>
      <c r="F593" s="456">
        <f>E593+5</f>
        <v/>
      </c>
      <c r="G593" s="141">
        <f>_xlfn.CONCAT(YEAR(E593),".",TEXT(MONTH(E593),"0#"))</f>
        <v/>
      </c>
      <c r="H593">
        <f>YEAR(E593)</f>
        <v/>
      </c>
      <c r="I593">
        <f>IF(VLOOKUP(G593,AC:AD,2,FALSE)&lt;4,1,0)</f>
        <v/>
      </c>
      <c r="J593">
        <f>IF(AND(DAY(F593)&lt; DAY(E593),I593=1),MONTH(E593)+1,MONTH(E593))</f>
        <v/>
      </c>
      <c r="K593" s="201">
        <f>_xlfn.CONCAT(H593,".",TEXT(J593,"0#"))</f>
        <v/>
      </c>
    </row>
    <row r="594">
      <c r="A594" t="inlineStr">
        <is>
          <t>.t593</t>
        </is>
      </c>
      <c r="B594" t="n">
        <v>593</v>
      </c>
      <c r="C594">
        <f>H594</f>
        <v/>
      </c>
      <c r="E594" s="456">
        <f>F593+2</f>
        <v/>
      </c>
      <c r="F594" s="456">
        <f>E594+5</f>
        <v/>
      </c>
      <c r="G594" s="141">
        <f>_xlfn.CONCAT(YEAR(E594),".",TEXT(MONTH(E594),"0#"))</f>
        <v/>
      </c>
      <c r="H594">
        <f>YEAR(E594)</f>
        <v/>
      </c>
      <c r="I594">
        <f>IF(VLOOKUP(G594,AC:AD,2,FALSE)&lt;4,1,0)</f>
        <v/>
      </c>
      <c r="J594">
        <f>IF(AND(DAY(F594)&lt; DAY(E594),I594=1),MONTH(E594)+1,MONTH(E594))</f>
        <v/>
      </c>
      <c r="K594" s="201">
        <f>_xlfn.CONCAT(H594,".",TEXT(J594,"0#"))</f>
        <v/>
      </c>
    </row>
    <row r="595">
      <c r="A595" t="inlineStr">
        <is>
          <t>.t594</t>
        </is>
      </c>
      <c r="B595" t="n">
        <v>594</v>
      </c>
      <c r="C595">
        <f>H595</f>
        <v/>
      </c>
      <c r="E595" s="456">
        <f>F594+2</f>
        <v/>
      </c>
      <c r="F595" s="456">
        <f>E595+5</f>
        <v/>
      </c>
      <c r="G595" s="141">
        <f>_xlfn.CONCAT(YEAR(E595),".",TEXT(MONTH(E595),"0#"))</f>
        <v/>
      </c>
      <c r="H595">
        <f>YEAR(E595)</f>
        <v/>
      </c>
      <c r="I595">
        <f>IF(VLOOKUP(G595,AC:AD,2,FALSE)&lt;4,1,0)</f>
        <v/>
      </c>
      <c r="J595">
        <f>IF(AND(DAY(F595)&lt; DAY(E595),I595=1),MONTH(E595)+1,MONTH(E595))</f>
        <v/>
      </c>
      <c r="K595" s="201">
        <f>_xlfn.CONCAT(H595,".",TEXT(J595,"0#"))</f>
        <v/>
      </c>
    </row>
    <row r="596">
      <c r="A596" t="inlineStr">
        <is>
          <t>.t595</t>
        </is>
      </c>
      <c r="B596" t="n">
        <v>595</v>
      </c>
      <c r="C596">
        <f>H596</f>
        <v/>
      </c>
      <c r="E596" s="456">
        <f>F595+2</f>
        <v/>
      </c>
      <c r="F596" s="456">
        <f>E596+5</f>
        <v/>
      </c>
      <c r="G596" s="141">
        <f>_xlfn.CONCAT(YEAR(E596),".",TEXT(MONTH(E596),"0#"))</f>
        <v/>
      </c>
      <c r="H596">
        <f>YEAR(E596)</f>
        <v/>
      </c>
      <c r="I596">
        <f>IF(VLOOKUP(G596,AC:AD,2,FALSE)&lt;4,1,0)</f>
        <v/>
      </c>
      <c r="J596">
        <f>IF(AND(DAY(F596)&lt; DAY(E596),I596=1),MONTH(E596)+1,MONTH(E596))</f>
        <v/>
      </c>
      <c r="K596" s="201">
        <f>_xlfn.CONCAT(H596,".",TEXT(J596,"0#"))</f>
        <v/>
      </c>
    </row>
    <row r="597">
      <c r="A597" t="inlineStr">
        <is>
          <t>.t596</t>
        </is>
      </c>
      <c r="B597" t="n">
        <v>596</v>
      </c>
      <c r="C597">
        <f>H597</f>
        <v/>
      </c>
      <c r="E597" s="456">
        <f>F596+2</f>
        <v/>
      </c>
      <c r="F597" s="456">
        <f>E597+5</f>
        <v/>
      </c>
      <c r="G597" s="141">
        <f>_xlfn.CONCAT(YEAR(E597),".",TEXT(MONTH(E597),"0#"))</f>
        <v/>
      </c>
      <c r="H597">
        <f>YEAR(E597)</f>
        <v/>
      </c>
      <c r="I597">
        <f>IF(VLOOKUP(G597,AC:AD,2,FALSE)&lt;4,1,0)</f>
        <v/>
      </c>
      <c r="J597">
        <f>IF(AND(DAY(F597)&lt; DAY(E597),I597=1),MONTH(E597)+1,MONTH(E597))</f>
        <v/>
      </c>
      <c r="K597" s="201">
        <f>_xlfn.CONCAT(H597,".",TEXT(J597,"0#"))</f>
        <v/>
      </c>
    </row>
    <row r="598">
      <c r="A598" t="inlineStr">
        <is>
          <t>.t597</t>
        </is>
      </c>
      <c r="B598" t="n">
        <v>597</v>
      </c>
      <c r="C598">
        <f>H598</f>
        <v/>
      </c>
      <c r="E598" s="456">
        <f>F597+2</f>
        <v/>
      </c>
      <c r="F598" s="456">
        <f>E598+5</f>
        <v/>
      </c>
      <c r="G598" s="141">
        <f>_xlfn.CONCAT(YEAR(E598),".",TEXT(MONTH(E598),"0#"))</f>
        <v/>
      </c>
      <c r="H598">
        <f>YEAR(E598)</f>
        <v/>
      </c>
      <c r="I598">
        <f>IF(VLOOKUP(G598,AC:AD,2,FALSE)&lt;4,1,0)</f>
        <v/>
      </c>
      <c r="J598">
        <f>IF(AND(DAY(F598)&lt; DAY(E598),I598=1),MONTH(E598)+1,MONTH(E598))</f>
        <v/>
      </c>
      <c r="K598" s="201">
        <f>_xlfn.CONCAT(H598,".",TEXT(J598,"0#"))</f>
        <v/>
      </c>
    </row>
    <row r="599">
      <c r="A599" t="inlineStr">
        <is>
          <t>.t598</t>
        </is>
      </c>
      <c r="B599" t="n">
        <v>598</v>
      </c>
      <c r="C599">
        <f>H599</f>
        <v/>
      </c>
      <c r="E599" s="456">
        <f>F598+2</f>
        <v/>
      </c>
      <c r="F599" s="456">
        <f>E599+5</f>
        <v/>
      </c>
      <c r="G599" s="141">
        <f>_xlfn.CONCAT(YEAR(E599),".",TEXT(MONTH(E599),"0#"))</f>
        <v/>
      </c>
      <c r="H599">
        <f>YEAR(E599)</f>
        <v/>
      </c>
      <c r="I599">
        <f>IF(VLOOKUP(G599,AC:AD,2,FALSE)&lt;4,1,0)</f>
        <v/>
      </c>
      <c r="J599">
        <f>IF(AND(DAY(F599)&lt; DAY(E599),I599=1),MONTH(E599)+1,MONTH(E599))</f>
        <v/>
      </c>
      <c r="K599" s="201">
        <f>_xlfn.CONCAT(H599,".",TEXT(J599,"0#"))</f>
        <v/>
      </c>
    </row>
    <row r="600">
      <c r="A600" t="inlineStr">
        <is>
          <t>.t599</t>
        </is>
      </c>
      <c r="B600" t="n">
        <v>599</v>
      </c>
      <c r="C600">
        <f>H600</f>
        <v/>
      </c>
      <c r="E600" s="456">
        <f>F599+2</f>
        <v/>
      </c>
      <c r="F600" s="456">
        <f>E600+5</f>
        <v/>
      </c>
      <c r="G600" s="141">
        <f>_xlfn.CONCAT(YEAR(E600),".",TEXT(MONTH(E600),"0#"))</f>
        <v/>
      </c>
      <c r="H600">
        <f>YEAR(E600)</f>
        <v/>
      </c>
      <c r="I600">
        <f>IF(VLOOKUP(G600,AC:AD,2,FALSE)&lt;4,1,0)</f>
        <v/>
      </c>
      <c r="J600">
        <f>IF(AND(DAY(F600)&lt; DAY(E600),I600=1),MONTH(E600)+1,MONTH(E600))</f>
        <v/>
      </c>
      <c r="K600" s="201">
        <f>_xlfn.CONCAT(H600,".",TEXT(J600,"0#"))</f>
        <v/>
      </c>
    </row>
    <row r="601">
      <c r="A601" t="inlineStr">
        <is>
          <t>.t600</t>
        </is>
      </c>
      <c r="B601" t="n">
        <v>600</v>
      </c>
      <c r="C601">
        <f>H601</f>
        <v/>
      </c>
      <c r="E601" s="456">
        <f>F600+2</f>
        <v/>
      </c>
      <c r="F601" s="456">
        <f>E601+5</f>
        <v/>
      </c>
      <c r="G601" s="141">
        <f>_xlfn.CONCAT(YEAR(E601),".",TEXT(MONTH(E601),"0#"))</f>
        <v/>
      </c>
      <c r="H601">
        <f>YEAR(E601)</f>
        <v/>
      </c>
      <c r="I601">
        <f>IF(VLOOKUP(G601,AC:AD,2,FALSE)&lt;4,1,0)</f>
        <v/>
      </c>
      <c r="J601">
        <f>IF(AND(DAY(F601)&lt; DAY(E601),I601=1),MONTH(E601)+1,MONTH(E601))</f>
        <v/>
      </c>
      <c r="K601" s="201">
        <f>_xlfn.CONCAT(H601,".",TEXT(J601,"0#"))</f>
        <v/>
      </c>
    </row>
    <row r="602">
      <c r="A602" t="inlineStr">
        <is>
          <t>.t601</t>
        </is>
      </c>
      <c r="B602" t="n">
        <v>601</v>
      </c>
      <c r="C602">
        <f>H602</f>
        <v/>
      </c>
      <c r="E602" s="456">
        <f>F601+2</f>
        <v/>
      </c>
      <c r="F602" s="456">
        <f>E602+5</f>
        <v/>
      </c>
      <c r="G602" s="141">
        <f>_xlfn.CONCAT(YEAR(E602),".",TEXT(MONTH(E602),"0#"))</f>
        <v/>
      </c>
      <c r="H602">
        <f>YEAR(E602)</f>
        <v/>
      </c>
      <c r="I602">
        <f>IF(VLOOKUP(G602,AC:AD,2,FALSE)&lt;4,1,0)</f>
        <v/>
      </c>
      <c r="J602">
        <f>IF(AND(DAY(F602)&lt; DAY(E602),I602=1),MONTH(E602)+1,MONTH(E602))</f>
        <v/>
      </c>
      <c r="K602" s="201">
        <f>_xlfn.CONCAT(H602,".",TEXT(J602,"0#"))</f>
        <v/>
      </c>
    </row>
    <row r="603">
      <c r="A603" t="inlineStr">
        <is>
          <t>.t602</t>
        </is>
      </c>
      <c r="B603" t="n">
        <v>602</v>
      </c>
      <c r="C603">
        <f>H603</f>
        <v/>
      </c>
      <c r="E603" s="456">
        <f>F602+2</f>
        <v/>
      </c>
      <c r="F603" s="456">
        <f>E603+5</f>
        <v/>
      </c>
      <c r="G603" s="141">
        <f>_xlfn.CONCAT(YEAR(E603),".",TEXT(MONTH(E603),"0#"))</f>
        <v/>
      </c>
      <c r="H603">
        <f>YEAR(E603)</f>
        <v/>
      </c>
      <c r="I603">
        <f>IF(VLOOKUP(G603,AC:AD,2,FALSE)&lt;4,1,0)</f>
        <v/>
      </c>
      <c r="J603">
        <f>IF(AND(DAY(F603)&lt; DAY(E603),I603=1),MONTH(E603)+1,MONTH(E603))</f>
        <v/>
      </c>
      <c r="K603" s="201">
        <f>_xlfn.CONCAT(H603,".",TEXT(J603,"0#"))</f>
        <v/>
      </c>
    </row>
    <row r="604">
      <c r="A604" t="inlineStr">
        <is>
          <t>.t603</t>
        </is>
      </c>
      <c r="B604" t="n">
        <v>603</v>
      </c>
      <c r="C604">
        <f>H604</f>
        <v/>
      </c>
      <c r="E604" s="456">
        <f>F603+2</f>
        <v/>
      </c>
      <c r="F604" s="456">
        <f>E604+5</f>
        <v/>
      </c>
      <c r="G604" s="141">
        <f>_xlfn.CONCAT(YEAR(E604),".",TEXT(MONTH(E604),"0#"))</f>
        <v/>
      </c>
      <c r="H604">
        <f>YEAR(E604)</f>
        <v/>
      </c>
      <c r="I604">
        <f>IF(VLOOKUP(G604,AC:AD,2,FALSE)&lt;4,1,0)</f>
        <v/>
      </c>
      <c r="J604">
        <f>IF(AND(DAY(F604)&lt; DAY(E604),I604=1),MONTH(E604)+1,MONTH(E604))</f>
        <v/>
      </c>
      <c r="K604" s="201">
        <f>_xlfn.CONCAT(H604,".",TEXT(J604,"0#"))</f>
        <v/>
      </c>
    </row>
    <row r="605">
      <c r="A605" t="inlineStr">
        <is>
          <t>.t604</t>
        </is>
      </c>
      <c r="B605" t="n">
        <v>604</v>
      </c>
      <c r="C605">
        <f>H605</f>
        <v/>
      </c>
      <c r="E605" s="456">
        <f>F604+2</f>
        <v/>
      </c>
      <c r="F605" s="456">
        <f>E605+5</f>
        <v/>
      </c>
      <c r="G605" s="141">
        <f>_xlfn.CONCAT(YEAR(E605),".",TEXT(MONTH(E605),"0#"))</f>
        <v/>
      </c>
      <c r="H605">
        <f>YEAR(E605)</f>
        <v/>
      </c>
      <c r="I605">
        <f>IF(VLOOKUP(G605,AC:AD,2,FALSE)&lt;4,1,0)</f>
        <v/>
      </c>
      <c r="J605">
        <f>IF(AND(DAY(F605)&lt; DAY(E605),I605=1),MONTH(E605)+1,MONTH(E605))</f>
        <v/>
      </c>
      <c r="K605" s="201">
        <f>_xlfn.CONCAT(H605,".",TEXT(J605,"0#"))</f>
        <v/>
      </c>
    </row>
    <row r="606">
      <c r="A606" t="inlineStr">
        <is>
          <t>.t605</t>
        </is>
      </c>
      <c r="B606" t="n">
        <v>605</v>
      </c>
      <c r="C606">
        <f>H606</f>
        <v/>
      </c>
      <c r="E606" s="456">
        <f>F605+2</f>
        <v/>
      </c>
      <c r="F606" s="456">
        <f>E606+5</f>
        <v/>
      </c>
      <c r="G606" s="141">
        <f>_xlfn.CONCAT(YEAR(E606),".",TEXT(MONTH(E606),"0#"))</f>
        <v/>
      </c>
      <c r="H606">
        <f>YEAR(E606)</f>
        <v/>
      </c>
      <c r="I606">
        <f>IF(VLOOKUP(G606,AC:AD,2,FALSE)&lt;4,1,0)</f>
        <v/>
      </c>
      <c r="J606">
        <f>IF(AND(DAY(F606)&lt; DAY(E606),I606=1),MONTH(E606)+1,MONTH(E606))</f>
        <v/>
      </c>
      <c r="K606" s="201">
        <f>_xlfn.CONCAT(H606,".",TEXT(J606,"0#"))</f>
        <v/>
      </c>
    </row>
    <row r="607">
      <c r="A607" t="inlineStr">
        <is>
          <t>.t606</t>
        </is>
      </c>
      <c r="B607" t="n">
        <v>606</v>
      </c>
      <c r="C607">
        <f>H607</f>
        <v/>
      </c>
      <c r="E607" s="456">
        <f>F606+2</f>
        <v/>
      </c>
      <c r="F607" s="456">
        <f>E607+5</f>
        <v/>
      </c>
      <c r="G607" s="141">
        <f>_xlfn.CONCAT(YEAR(E607),".",TEXT(MONTH(E607),"0#"))</f>
        <v/>
      </c>
      <c r="H607">
        <f>YEAR(E607)</f>
        <v/>
      </c>
      <c r="I607">
        <f>IF(VLOOKUP(G607,AC:AD,2,FALSE)&lt;4,1,0)</f>
        <v/>
      </c>
      <c r="J607">
        <f>IF(AND(DAY(F607)&lt; DAY(E607),I607=1),MONTH(E607)+1,MONTH(E607))</f>
        <v/>
      </c>
      <c r="K607" s="201">
        <f>_xlfn.CONCAT(H607,".",TEXT(J607,"0#"))</f>
        <v/>
      </c>
    </row>
    <row r="608">
      <c r="A608" t="inlineStr">
        <is>
          <t>.t607</t>
        </is>
      </c>
      <c r="B608" t="n">
        <v>607</v>
      </c>
      <c r="C608">
        <f>H608</f>
        <v/>
      </c>
      <c r="E608" s="456">
        <f>F607+2</f>
        <v/>
      </c>
      <c r="F608" s="456">
        <f>E608+5</f>
        <v/>
      </c>
      <c r="G608" s="141">
        <f>_xlfn.CONCAT(YEAR(E608),".",TEXT(MONTH(E608),"0#"))</f>
        <v/>
      </c>
      <c r="H608">
        <f>YEAR(E608)</f>
        <v/>
      </c>
      <c r="I608">
        <f>IF(VLOOKUP(G608,AC:AD,2,FALSE)&lt;4,1,0)</f>
        <v/>
      </c>
      <c r="J608">
        <f>IF(AND(DAY(F608)&lt; DAY(E608),I608=1),MONTH(E608)+1,MONTH(E608))</f>
        <v/>
      </c>
      <c r="K608" s="201">
        <f>_xlfn.CONCAT(H608,".",TEXT(J608,"0#"))</f>
        <v/>
      </c>
    </row>
    <row r="609">
      <c r="A609" t="inlineStr">
        <is>
          <t>.t608</t>
        </is>
      </c>
      <c r="B609" t="n">
        <v>608</v>
      </c>
      <c r="C609">
        <f>H609</f>
        <v/>
      </c>
      <c r="E609" s="456">
        <f>F608+2</f>
        <v/>
      </c>
      <c r="F609" s="456">
        <f>E609+5</f>
        <v/>
      </c>
      <c r="G609" s="141">
        <f>_xlfn.CONCAT(YEAR(E609),".",TEXT(MONTH(E609),"0#"))</f>
        <v/>
      </c>
      <c r="H609">
        <f>YEAR(E609)</f>
        <v/>
      </c>
      <c r="I609">
        <f>IF(VLOOKUP(G609,AC:AD,2,FALSE)&lt;4,1,0)</f>
        <v/>
      </c>
      <c r="J609">
        <f>IF(AND(DAY(F609)&lt; DAY(E609),I609=1),MONTH(E609)+1,MONTH(E609))</f>
        <v/>
      </c>
      <c r="K609" s="201">
        <f>_xlfn.CONCAT(H609,".",TEXT(J609,"0#"))</f>
        <v/>
      </c>
    </row>
    <row r="610">
      <c r="A610" t="inlineStr">
        <is>
          <t>.t609</t>
        </is>
      </c>
      <c r="B610" t="n">
        <v>609</v>
      </c>
      <c r="C610">
        <f>H610</f>
        <v/>
      </c>
      <c r="E610" s="456">
        <f>F609+2</f>
        <v/>
      </c>
      <c r="F610" s="456">
        <f>E610+5</f>
        <v/>
      </c>
      <c r="G610" s="141">
        <f>_xlfn.CONCAT(YEAR(E610),".",TEXT(MONTH(E610),"0#"))</f>
        <v/>
      </c>
      <c r="H610">
        <f>YEAR(E610)</f>
        <v/>
      </c>
      <c r="I610">
        <f>IF(VLOOKUP(G610,AC:AD,2,FALSE)&lt;4,1,0)</f>
        <v/>
      </c>
      <c r="J610">
        <f>IF(AND(DAY(F610)&lt; DAY(E610),I610=1),MONTH(E610)+1,MONTH(E610))</f>
        <v/>
      </c>
      <c r="K610" s="201">
        <f>_xlfn.CONCAT(H610,".",TEXT(J610,"0#"))</f>
        <v/>
      </c>
    </row>
    <row r="611">
      <c r="A611" t="inlineStr">
        <is>
          <t>.t610</t>
        </is>
      </c>
      <c r="B611" t="n">
        <v>610</v>
      </c>
      <c r="C611">
        <f>H611</f>
        <v/>
      </c>
      <c r="E611" s="456">
        <f>F610+2</f>
        <v/>
      </c>
      <c r="F611" s="456">
        <f>E611+5</f>
        <v/>
      </c>
      <c r="G611" s="141">
        <f>_xlfn.CONCAT(YEAR(E611),".",TEXT(MONTH(E611),"0#"))</f>
        <v/>
      </c>
      <c r="H611">
        <f>YEAR(E611)</f>
        <v/>
      </c>
      <c r="I611">
        <f>IF(VLOOKUP(G611,AC:AD,2,FALSE)&lt;4,1,0)</f>
        <v/>
      </c>
      <c r="J611">
        <f>IF(AND(DAY(F611)&lt; DAY(E611),I611=1),MONTH(E611)+1,MONTH(E611))</f>
        <v/>
      </c>
      <c r="K611" s="201">
        <f>_xlfn.CONCAT(H611,".",TEXT(J611,"0#"))</f>
        <v/>
      </c>
    </row>
    <row r="612">
      <c r="A612" t="inlineStr">
        <is>
          <t>.t611</t>
        </is>
      </c>
      <c r="B612" t="n">
        <v>611</v>
      </c>
      <c r="C612">
        <f>H612</f>
        <v/>
      </c>
      <c r="E612" s="456">
        <f>F611+2</f>
        <v/>
      </c>
      <c r="F612" s="456">
        <f>E612+5</f>
        <v/>
      </c>
      <c r="G612" s="141">
        <f>_xlfn.CONCAT(YEAR(E612),".",TEXT(MONTH(E612),"0#"))</f>
        <v/>
      </c>
      <c r="H612">
        <f>YEAR(E612)</f>
        <v/>
      </c>
      <c r="I612">
        <f>IF(VLOOKUP(G612,AC:AD,2,FALSE)&lt;4,1,0)</f>
        <v/>
      </c>
      <c r="J612">
        <f>IF(AND(DAY(F612)&lt; DAY(E612),I612=1),MONTH(E612)+1,MONTH(E612))</f>
        <v/>
      </c>
      <c r="K612" s="201">
        <f>_xlfn.CONCAT(H612,".",TEXT(J612,"0#"))</f>
        <v/>
      </c>
    </row>
    <row r="613">
      <c r="A613" t="inlineStr">
        <is>
          <t>.t612</t>
        </is>
      </c>
      <c r="B613" t="n">
        <v>612</v>
      </c>
      <c r="C613">
        <f>H613</f>
        <v/>
      </c>
      <c r="E613" s="456">
        <f>F612+2</f>
        <v/>
      </c>
      <c r="F613" s="456">
        <f>E613+5</f>
        <v/>
      </c>
      <c r="G613" s="141">
        <f>_xlfn.CONCAT(YEAR(E613),".",TEXT(MONTH(E613),"0#"))</f>
        <v/>
      </c>
      <c r="H613">
        <f>YEAR(E613)</f>
        <v/>
      </c>
      <c r="I613">
        <f>IF(VLOOKUP(G613,AC:AD,2,FALSE)&lt;4,1,0)</f>
        <v/>
      </c>
      <c r="J613">
        <f>IF(AND(DAY(F613)&lt; DAY(E613),I613=1),MONTH(E613)+1,MONTH(E613))</f>
        <v/>
      </c>
      <c r="K613" s="201">
        <f>_xlfn.CONCAT(H613,".",TEXT(J613,"0#"))</f>
        <v/>
      </c>
    </row>
    <row r="614">
      <c r="A614" t="inlineStr">
        <is>
          <t>.t613</t>
        </is>
      </c>
      <c r="B614" t="n">
        <v>613</v>
      </c>
      <c r="C614">
        <f>H614</f>
        <v/>
      </c>
      <c r="E614" s="456">
        <f>F613+2</f>
        <v/>
      </c>
      <c r="F614" s="456">
        <f>E614+5</f>
        <v/>
      </c>
      <c r="G614" s="141">
        <f>_xlfn.CONCAT(YEAR(E614),".",TEXT(MONTH(E614),"0#"))</f>
        <v/>
      </c>
      <c r="H614">
        <f>YEAR(E614)</f>
        <v/>
      </c>
      <c r="I614">
        <f>IF(VLOOKUP(G614,AC:AD,2,FALSE)&lt;4,1,0)</f>
        <v/>
      </c>
      <c r="J614">
        <f>IF(AND(DAY(F614)&lt; DAY(E614),I614=1),MONTH(E614)+1,MONTH(E614))</f>
        <v/>
      </c>
      <c r="K614" s="201">
        <f>_xlfn.CONCAT(H614,".",TEXT(J614,"0#"))</f>
        <v/>
      </c>
    </row>
    <row r="615">
      <c r="A615" t="inlineStr">
        <is>
          <t>.t614</t>
        </is>
      </c>
      <c r="B615" t="n">
        <v>614</v>
      </c>
      <c r="C615">
        <f>H615</f>
        <v/>
      </c>
      <c r="E615" s="456">
        <f>F614+2</f>
        <v/>
      </c>
      <c r="F615" s="456">
        <f>E615+5</f>
        <v/>
      </c>
      <c r="G615" s="141">
        <f>_xlfn.CONCAT(YEAR(E615),".",TEXT(MONTH(E615),"0#"))</f>
        <v/>
      </c>
      <c r="H615">
        <f>YEAR(E615)</f>
        <v/>
      </c>
      <c r="I615">
        <f>IF(VLOOKUP(G615,AC:AD,2,FALSE)&lt;4,1,0)</f>
        <v/>
      </c>
      <c r="J615">
        <f>IF(AND(DAY(F615)&lt; DAY(E615),I615=1),MONTH(E615)+1,MONTH(E615))</f>
        <v/>
      </c>
      <c r="K615" s="201">
        <f>_xlfn.CONCAT(H615,".",TEXT(J615,"0#"))</f>
        <v/>
      </c>
    </row>
    <row r="616">
      <c r="A616" t="inlineStr">
        <is>
          <t>.t615</t>
        </is>
      </c>
      <c r="B616" t="n">
        <v>615</v>
      </c>
      <c r="C616">
        <f>H616</f>
        <v/>
      </c>
      <c r="E616" s="456">
        <f>F615+2</f>
        <v/>
      </c>
      <c r="F616" s="456">
        <f>E616+5</f>
        <v/>
      </c>
      <c r="G616" s="141">
        <f>_xlfn.CONCAT(YEAR(E616),".",TEXT(MONTH(E616),"0#"))</f>
        <v/>
      </c>
      <c r="H616">
        <f>YEAR(E616)</f>
        <v/>
      </c>
      <c r="I616">
        <f>IF(VLOOKUP(G616,AC:AD,2,FALSE)&lt;4,1,0)</f>
        <v/>
      </c>
      <c r="J616">
        <f>IF(AND(DAY(F616)&lt; DAY(E616),I616=1),MONTH(E616)+1,MONTH(E616))</f>
        <v/>
      </c>
      <c r="K616" s="201">
        <f>_xlfn.CONCAT(H616,".",TEXT(J616,"0#"))</f>
        <v/>
      </c>
    </row>
    <row r="617">
      <c r="A617" t="inlineStr">
        <is>
          <t>.t616</t>
        </is>
      </c>
      <c r="B617" t="n">
        <v>616</v>
      </c>
      <c r="C617">
        <f>H617</f>
        <v/>
      </c>
      <c r="E617" s="456">
        <f>F616+2</f>
        <v/>
      </c>
      <c r="F617" s="456">
        <f>E617+5</f>
        <v/>
      </c>
      <c r="G617" s="141">
        <f>_xlfn.CONCAT(YEAR(E617),".",TEXT(MONTH(E617),"0#"))</f>
        <v/>
      </c>
      <c r="H617">
        <f>YEAR(E617)</f>
        <v/>
      </c>
      <c r="I617">
        <f>IF(VLOOKUP(G617,AC:AD,2,FALSE)&lt;4,1,0)</f>
        <v/>
      </c>
      <c r="J617">
        <f>IF(AND(DAY(F617)&lt; DAY(E617),I617=1),MONTH(E617)+1,MONTH(E617))</f>
        <v/>
      </c>
      <c r="K617" s="201">
        <f>_xlfn.CONCAT(H617,".",TEXT(J617,"0#"))</f>
        <v/>
      </c>
    </row>
    <row r="618">
      <c r="A618" t="inlineStr">
        <is>
          <t>.t617</t>
        </is>
      </c>
      <c r="B618" t="n">
        <v>617</v>
      </c>
      <c r="C618">
        <f>H618</f>
        <v/>
      </c>
      <c r="E618" s="456">
        <f>F617+2</f>
        <v/>
      </c>
      <c r="F618" s="456">
        <f>E618+5</f>
        <v/>
      </c>
      <c r="G618" s="141">
        <f>_xlfn.CONCAT(YEAR(E618),".",TEXT(MONTH(E618),"0#"))</f>
        <v/>
      </c>
      <c r="H618">
        <f>YEAR(E618)</f>
        <v/>
      </c>
      <c r="I618">
        <f>IF(VLOOKUP(G618,AC:AD,2,FALSE)&lt;4,1,0)</f>
        <v/>
      </c>
      <c r="J618">
        <f>IF(AND(DAY(F618)&lt; DAY(E618),I618=1),MONTH(E618)+1,MONTH(E618))</f>
        <v/>
      </c>
      <c r="K618" s="201">
        <f>_xlfn.CONCAT(H618,".",TEXT(J618,"0#"))</f>
        <v/>
      </c>
    </row>
    <row r="619">
      <c r="A619" t="inlineStr">
        <is>
          <t>.t618</t>
        </is>
      </c>
      <c r="B619" t="n">
        <v>618</v>
      </c>
      <c r="C619">
        <f>H619</f>
        <v/>
      </c>
      <c r="E619" s="456">
        <f>F618+2</f>
        <v/>
      </c>
      <c r="F619" s="456">
        <f>E619+5</f>
        <v/>
      </c>
      <c r="G619" s="141">
        <f>_xlfn.CONCAT(YEAR(E619),".",TEXT(MONTH(E619),"0#"))</f>
        <v/>
      </c>
      <c r="H619">
        <f>YEAR(E619)</f>
        <v/>
      </c>
      <c r="I619">
        <f>IF(VLOOKUP(G619,AC:AD,2,FALSE)&lt;4,1,0)</f>
        <v/>
      </c>
      <c r="J619">
        <f>IF(AND(DAY(F619)&lt; DAY(E619),I619=1),MONTH(E619)+1,MONTH(E619))</f>
        <v/>
      </c>
      <c r="K619" s="201">
        <f>_xlfn.CONCAT(H619,".",TEXT(J619,"0#"))</f>
        <v/>
      </c>
    </row>
    <row r="620">
      <c r="A620" t="inlineStr">
        <is>
          <t>.t619</t>
        </is>
      </c>
      <c r="B620" t="n">
        <v>619</v>
      </c>
      <c r="C620">
        <f>H620</f>
        <v/>
      </c>
      <c r="E620" s="456">
        <f>F619+2</f>
        <v/>
      </c>
      <c r="F620" s="456">
        <f>E620+5</f>
        <v/>
      </c>
      <c r="G620" s="141">
        <f>_xlfn.CONCAT(YEAR(E620),".",TEXT(MONTH(E620),"0#"))</f>
        <v/>
      </c>
      <c r="H620">
        <f>YEAR(E620)</f>
        <v/>
      </c>
      <c r="I620">
        <f>IF(VLOOKUP(G620,AC:AD,2,FALSE)&lt;4,1,0)</f>
        <v/>
      </c>
      <c r="J620">
        <f>IF(AND(DAY(F620)&lt; DAY(E620),I620=1),MONTH(E620)+1,MONTH(E620))</f>
        <v/>
      </c>
      <c r="K620" s="201">
        <f>_xlfn.CONCAT(H620,".",TEXT(J620,"0#"))</f>
        <v/>
      </c>
    </row>
    <row r="621">
      <c r="A621" t="inlineStr">
        <is>
          <t>.t620</t>
        </is>
      </c>
      <c r="B621" t="n">
        <v>620</v>
      </c>
      <c r="C621">
        <f>H621</f>
        <v/>
      </c>
      <c r="E621" s="456">
        <f>F620+2</f>
        <v/>
      </c>
      <c r="F621" s="456">
        <f>E621+5</f>
        <v/>
      </c>
      <c r="G621" s="141">
        <f>_xlfn.CONCAT(YEAR(E621),".",TEXT(MONTH(E621),"0#"))</f>
        <v/>
      </c>
      <c r="H621">
        <f>YEAR(E621)</f>
        <v/>
      </c>
      <c r="I621">
        <f>IF(VLOOKUP(G621,AC:AD,2,FALSE)&lt;4,1,0)</f>
        <v/>
      </c>
      <c r="J621">
        <f>IF(AND(DAY(F621)&lt; DAY(E621),I621=1),MONTH(E621)+1,MONTH(E621))</f>
        <v/>
      </c>
      <c r="K621" s="201">
        <f>_xlfn.CONCAT(H621,".",TEXT(J621,"0#"))</f>
        <v/>
      </c>
    </row>
    <row r="622">
      <c r="A622" t="inlineStr">
        <is>
          <t>.t621</t>
        </is>
      </c>
      <c r="B622" t="n">
        <v>621</v>
      </c>
      <c r="C622">
        <f>H622</f>
        <v/>
      </c>
      <c r="E622" s="456">
        <f>F621+2</f>
        <v/>
      </c>
      <c r="F622" s="456">
        <f>E622+5</f>
        <v/>
      </c>
      <c r="G622" s="141">
        <f>_xlfn.CONCAT(YEAR(E622),".",TEXT(MONTH(E622),"0#"))</f>
        <v/>
      </c>
      <c r="H622">
        <f>YEAR(E622)</f>
        <v/>
      </c>
      <c r="I622">
        <f>IF(VLOOKUP(G622,AC:AD,2,FALSE)&lt;4,1,0)</f>
        <v/>
      </c>
      <c r="J622">
        <f>IF(AND(DAY(F622)&lt; DAY(E622),I622=1),MONTH(E622)+1,MONTH(E622))</f>
        <v/>
      </c>
      <c r="K622" s="201">
        <f>_xlfn.CONCAT(H622,".",TEXT(J622,"0#"))</f>
        <v/>
      </c>
    </row>
    <row r="623">
      <c r="A623" t="inlineStr">
        <is>
          <t>.t622</t>
        </is>
      </c>
      <c r="B623" t="n">
        <v>622</v>
      </c>
      <c r="C623">
        <f>H623</f>
        <v/>
      </c>
      <c r="E623" s="456">
        <f>F622+2</f>
        <v/>
      </c>
      <c r="F623" s="456">
        <f>E623+5</f>
        <v/>
      </c>
      <c r="G623" s="141">
        <f>_xlfn.CONCAT(YEAR(E623),".",TEXT(MONTH(E623),"0#"))</f>
        <v/>
      </c>
      <c r="H623">
        <f>YEAR(E623)</f>
        <v/>
      </c>
      <c r="I623">
        <f>IF(VLOOKUP(G623,AC:AD,2,FALSE)&lt;4,1,0)</f>
        <v/>
      </c>
      <c r="J623">
        <f>IF(AND(DAY(F623)&lt; DAY(E623),I623=1),MONTH(E623)+1,MONTH(E623))</f>
        <v/>
      </c>
      <c r="K623" s="201">
        <f>_xlfn.CONCAT(H623,".",TEXT(J623,"0#"))</f>
        <v/>
      </c>
    </row>
    <row r="624">
      <c r="A624" t="inlineStr">
        <is>
          <t>.t623</t>
        </is>
      </c>
      <c r="B624" t="n">
        <v>623</v>
      </c>
      <c r="C624">
        <f>H624</f>
        <v/>
      </c>
      <c r="E624" s="456">
        <f>F623+2</f>
        <v/>
      </c>
      <c r="F624" s="456">
        <f>E624+5</f>
        <v/>
      </c>
      <c r="G624" s="141">
        <f>_xlfn.CONCAT(YEAR(E624),".",TEXT(MONTH(E624),"0#"))</f>
        <v/>
      </c>
      <c r="H624">
        <f>YEAR(E624)</f>
        <v/>
      </c>
      <c r="I624">
        <f>IF(VLOOKUP(G624,AC:AD,2,FALSE)&lt;4,1,0)</f>
        <v/>
      </c>
      <c r="J624">
        <f>IF(AND(DAY(F624)&lt; DAY(E624),I624=1),MONTH(E624)+1,MONTH(E624))</f>
        <v/>
      </c>
      <c r="K624" s="201">
        <f>_xlfn.CONCAT(H624,".",TEXT(J624,"0#"))</f>
        <v/>
      </c>
    </row>
    <row r="625">
      <c r="A625" t="inlineStr">
        <is>
          <t>.t624</t>
        </is>
      </c>
      <c r="B625" t="n">
        <v>624</v>
      </c>
      <c r="C625">
        <f>H625</f>
        <v/>
      </c>
      <c r="E625" s="456">
        <f>F624+2</f>
        <v/>
      </c>
      <c r="F625" s="456">
        <f>E625+5</f>
        <v/>
      </c>
      <c r="G625" s="141">
        <f>_xlfn.CONCAT(YEAR(E625),".",TEXT(MONTH(E625),"0#"))</f>
        <v/>
      </c>
      <c r="H625">
        <f>YEAR(E625)</f>
        <v/>
      </c>
      <c r="I625">
        <f>IF(VLOOKUP(G625,AC:AD,2,FALSE)&lt;4,1,0)</f>
        <v/>
      </c>
      <c r="J625">
        <f>IF(AND(DAY(F625)&lt; DAY(E625),I625=1),MONTH(E625)+1,MONTH(E625))</f>
        <v/>
      </c>
      <c r="K625" s="201">
        <f>_xlfn.CONCAT(H625,".",TEXT(J625,"0#"))</f>
        <v/>
      </c>
    </row>
    <row r="626">
      <c r="A626" t="inlineStr">
        <is>
          <t>.t625</t>
        </is>
      </c>
      <c r="B626" t="n">
        <v>625</v>
      </c>
      <c r="C626">
        <f>H626</f>
        <v/>
      </c>
      <c r="E626" s="456">
        <f>F625+2</f>
        <v/>
      </c>
      <c r="F626" s="456">
        <f>E626+5</f>
        <v/>
      </c>
      <c r="G626" s="141">
        <f>_xlfn.CONCAT(YEAR(E626),".",TEXT(MONTH(E626),"0#"))</f>
        <v/>
      </c>
      <c r="H626">
        <f>YEAR(E626)</f>
        <v/>
      </c>
      <c r="I626">
        <f>IF(VLOOKUP(G626,AC:AD,2,FALSE)&lt;4,1,0)</f>
        <v/>
      </c>
      <c r="J626">
        <f>IF(AND(DAY(F626)&lt; DAY(E626),I626=1),MONTH(E626)+1,MONTH(E626))</f>
        <v/>
      </c>
      <c r="K626" s="201">
        <f>_xlfn.CONCAT(H626,".",TEXT(J626,"0#"))</f>
        <v/>
      </c>
    </row>
    <row r="627">
      <c r="A627" t="inlineStr">
        <is>
          <t>.t626</t>
        </is>
      </c>
      <c r="B627" t="n">
        <v>626</v>
      </c>
      <c r="C627">
        <f>H627</f>
        <v/>
      </c>
      <c r="E627" s="456">
        <f>F626+2</f>
        <v/>
      </c>
      <c r="F627" s="456">
        <f>E627+5</f>
        <v/>
      </c>
      <c r="G627" s="141">
        <f>_xlfn.CONCAT(YEAR(E627),".",TEXT(MONTH(E627),"0#"))</f>
        <v/>
      </c>
      <c r="H627">
        <f>YEAR(E627)</f>
        <v/>
      </c>
      <c r="I627">
        <f>IF(VLOOKUP(G627,AC:AD,2,FALSE)&lt;4,1,0)</f>
        <v/>
      </c>
      <c r="J627">
        <f>IF(AND(DAY(F627)&lt; DAY(E627),I627=1),MONTH(E627)+1,MONTH(E627))</f>
        <v/>
      </c>
      <c r="K627" s="201">
        <f>_xlfn.CONCAT(H627,".",TEXT(J627,"0#"))</f>
        <v/>
      </c>
    </row>
    <row r="628">
      <c r="A628" t="inlineStr">
        <is>
          <t>.t627</t>
        </is>
      </c>
      <c r="B628" t="n">
        <v>627</v>
      </c>
      <c r="C628">
        <f>H628</f>
        <v/>
      </c>
      <c r="E628" s="456">
        <f>F627+2</f>
        <v/>
      </c>
      <c r="F628" s="456">
        <f>E628+5</f>
        <v/>
      </c>
      <c r="G628" s="141">
        <f>_xlfn.CONCAT(YEAR(E628),".",TEXT(MONTH(E628),"0#"))</f>
        <v/>
      </c>
      <c r="H628">
        <f>YEAR(E628)</f>
        <v/>
      </c>
      <c r="I628">
        <f>IF(VLOOKUP(G628,AC:AD,2,FALSE)&lt;4,1,0)</f>
        <v/>
      </c>
      <c r="J628">
        <f>IF(AND(DAY(F628)&lt; DAY(E628),I628=1),MONTH(E628)+1,MONTH(E628))</f>
        <v/>
      </c>
      <c r="K628" s="201">
        <f>_xlfn.CONCAT(H628,".",TEXT(J628,"0#"))</f>
        <v/>
      </c>
    </row>
    <row r="629">
      <c r="A629" t="inlineStr">
        <is>
          <t>.t628</t>
        </is>
      </c>
      <c r="B629" t="n">
        <v>628</v>
      </c>
      <c r="C629">
        <f>H629</f>
        <v/>
      </c>
      <c r="E629" s="456">
        <f>F628+2</f>
        <v/>
      </c>
      <c r="F629" s="456">
        <f>E629+5</f>
        <v/>
      </c>
      <c r="G629" s="141">
        <f>_xlfn.CONCAT(YEAR(E629),".",TEXT(MONTH(E629),"0#"))</f>
        <v/>
      </c>
      <c r="H629">
        <f>YEAR(E629)</f>
        <v/>
      </c>
      <c r="I629">
        <f>IF(VLOOKUP(G629,AC:AD,2,FALSE)&lt;4,1,0)</f>
        <v/>
      </c>
      <c r="J629">
        <f>IF(AND(DAY(F629)&lt; DAY(E629),I629=1),MONTH(E629)+1,MONTH(E629))</f>
        <v/>
      </c>
      <c r="K629" s="201">
        <f>_xlfn.CONCAT(H629,".",TEXT(J629,"0#"))</f>
        <v/>
      </c>
    </row>
    <row r="630">
      <c r="A630" t="inlineStr">
        <is>
          <t>.t629</t>
        </is>
      </c>
      <c r="B630" t="n">
        <v>629</v>
      </c>
      <c r="C630">
        <f>H630</f>
        <v/>
      </c>
      <c r="E630" s="456">
        <f>F629+2</f>
        <v/>
      </c>
      <c r="F630" s="456">
        <f>E630+5</f>
        <v/>
      </c>
      <c r="G630" s="141">
        <f>_xlfn.CONCAT(YEAR(E630),".",TEXT(MONTH(E630),"0#"))</f>
        <v/>
      </c>
      <c r="H630">
        <f>YEAR(E630)</f>
        <v/>
      </c>
      <c r="I630">
        <f>IF(VLOOKUP(G630,AC:AD,2,FALSE)&lt;4,1,0)</f>
        <v/>
      </c>
      <c r="J630">
        <f>IF(AND(DAY(F630)&lt; DAY(E630),I630=1),MONTH(E630)+1,MONTH(E630))</f>
        <v/>
      </c>
      <c r="K630" s="201">
        <f>_xlfn.CONCAT(H630,".",TEXT(J630,"0#"))</f>
        <v/>
      </c>
    </row>
    <row r="631">
      <c r="A631" t="inlineStr">
        <is>
          <t>.t630</t>
        </is>
      </c>
      <c r="B631" t="n">
        <v>630</v>
      </c>
      <c r="C631">
        <f>H631</f>
        <v/>
      </c>
      <c r="E631" s="456">
        <f>F630+2</f>
        <v/>
      </c>
      <c r="F631" s="456">
        <f>E631+5</f>
        <v/>
      </c>
      <c r="G631" s="141">
        <f>_xlfn.CONCAT(YEAR(E631),".",TEXT(MONTH(E631),"0#"))</f>
        <v/>
      </c>
      <c r="H631">
        <f>YEAR(E631)</f>
        <v/>
      </c>
      <c r="I631">
        <f>IF(VLOOKUP(G631,AC:AD,2,FALSE)&lt;4,1,0)</f>
        <v/>
      </c>
      <c r="J631">
        <f>IF(AND(DAY(F631)&lt; DAY(E631),I631=1),MONTH(E631)+1,MONTH(E631))</f>
        <v/>
      </c>
      <c r="K631" s="201">
        <f>_xlfn.CONCAT(H631,".",TEXT(J631,"0#"))</f>
        <v/>
      </c>
    </row>
    <row r="632">
      <c r="A632" t="inlineStr">
        <is>
          <t>.t631</t>
        </is>
      </c>
      <c r="B632" t="n">
        <v>631</v>
      </c>
      <c r="C632">
        <f>H632</f>
        <v/>
      </c>
      <c r="E632" s="456">
        <f>F631+2</f>
        <v/>
      </c>
      <c r="F632" s="456">
        <f>E632+5</f>
        <v/>
      </c>
      <c r="G632" s="141">
        <f>_xlfn.CONCAT(YEAR(E632),".",TEXT(MONTH(E632),"0#"))</f>
        <v/>
      </c>
      <c r="H632">
        <f>YEAR(E632)</f>
        <v/>
      </c>
      <c r="I632">
        <f>IF(VLOOKUP(G632,AC:AD,2,FALSE)&lt;4,1,0)</f>
        <v/>
      </c>
      <c r="J632">
        <f>IF(AND(DAY(F632)&lt; DAY(E632),I632=1),MONTH(E632)+1,MONTH(E632))</f>
        <v/>
      </c>
      <c r="K632" s="201">
        <f>_xlfn.CONCAT(H632,".",TEXT(J632,"0#"))</f>
        <v/>
      </c>
    </row>
    <row r="633">
      <c r="A633" t="inlineStr">
        <is>
          <t>.t632</t>
        </is>
      </c>
      <c r="B633" t="n">
        <v>632</v>
      </c>
      <c r="C633">
        <f>H633</f>
        <v/>
      </c>
      <c r="E633" s="456">
        <f>F632+2</f>
        <v/>
      </c>
      <c r="F633" s="456">
        <f>E633+5</f>
        <v/>
      </c>
      <c r="G633" s="141">
        <f>_xlfn.CONCAT(YEAR(E633),".",TEXT(MONTH(E633),"0#"))</f>
        <v/>
      </c>
      <c r="H633">
        <f>YEAR(E633)</f>
        <v/>
      </c>
      <c r="I633">
        <f>IF(VLOOKUP(G633,AC:AD,2,FALSE)&lt;4,1,0)</f>
        <v/>
      </c>
      <c r="J633">
        <f>IF(AND(DAY(F633)&lt; DAY(E633),I633=1),MONTH(E633)+1,MONTH(E633))</f>
        <v/>
      </c>
      <c r="K633" s="201">
        <f>_xlfn.CONCAT(H633,".",TEXT(J633,"0#"))</f>
        <v/>
      </c>
    </row>
    <row r="634">
      <c r="A634" t="inlineStr">
        <is>
          <t>.t633</t>
        </is>
      </c>
      <c r="B634" t="n">
        <v>633</v>
      </c>
      <c r="C634">
        <f>H634</f>
        <v/>
      </c>
      <c r="E634" s="456">
        <f>F633+2</f>
        <v/>
      </c>
      <c r="F634" s="456">
        <f>E634+5</f>
        <v/>
      </c>
      <c r="G634" s="141">
        <f>_xlfn.CONCAT(YEAR(E634),".",TEXT(MONTH(E634),"0#"))</f>
        <v/>
      </c>
      <c r="H634">
        <f>YEAR(E634)</f>
        <v/>
      </c>
      <c r="I634">
        <f>IF(VLOOKUP(G634,AC:AD,2,FALSE)&lt;4,1,0)</f>
        <v/>
      </c>
      <c r="J634">
        <f>IF(AND(DAY(F634)&lt; DAY(E634),I634=1),MONTH(E634)+1,MONTH(E634))</f>
        <v/>
      </c>
      <c r="K634" s="201">
        <f>_xlfn.CONCAT(H634,".",TEXT(J634,"0#"))</f>
        <v/>
      </c>
    </row>
    <row r="635">
      <c r="A635" t="inlineStr">
        <is>
          <t>.t634</t>
        </is>
      </c>
      <c r="B635" t="n">
        <v>634</v>
      </c>
      <c r="C635">
        <f>H635</f>
        <v/>
      </c>
      <c r="E635" s="456">
        <f>F634+2</f>
        <v/>
      </c>
      <c r="F635" s="456">
        <f>E635+5</f>
        <v/>
      </c>
      <c r="G635" s="141">
        <f>_xlfn.CONCAT(YEAR(E635),".",TEXT(MONTH(E635),"0#"))</f>
        <v/>
      </c>
      <c r="H635">
        <f>YEAR(E635)</f>
        <v/>
      </c>
      <c r="I635">
        <f>IF(VLOOKUP(G635,AC:AD,2,FALSE)&lt;4,1,0)</f>
        <v/>
      </c>
      <c r="J635">
        <f>IF(AND(DAY(F635)&lt; DAY(E635),I635=1),MONTH(E635)+1,MONTH(E635))</f>
        <v/>
      </c>
      <c r="K635" s="201">
        <f>_xlfn.CONCAT(H635,".",TEXT(J635,"0#"))</f>
        <v/>
      </c>
    </row>
    <row r="636">
      <c r="A636" t="inlineStr">
        <is>
          <t>.t635</t>
        </is>
      </c>
      <c r="B636" t="n">
        <v>635</v>
      </c>
      <c r="C636">
        <f>H636</f>
        <v/>
      </c>
      <c r="E636" s="456">
        <f>F635+2</f>
        <v/>
      </c>
      <c r="F636" s="456">
        <f>E636+5</f>
        <v/>
      </c>
      <c r="G636" s="141">
        <f>_xlfn.CONCAT(YEAR(E636),".",TEXT(MONTH(E636),"0#"))</f>
        <v/>
      </c>
      <c r="H636">
        <f>YEAR(E636)</f>
        <v/>
      </c>
      <c r="I636">
        <f>IF(VLOOKUP(G636,AC:AD,2,FALSE)&lt;4,1,0)</f>
        <v/>
      </c>
      <c r="J636">
        <f>IF(AND(DAY(F636)&lt; DAY(E636),I636=1),MONTH(E636)+1,MONTH(E636))</f>
        <v/>
      </c>
      <c r="K636" s="201">
        <f>_xlfn.CONCAT(H636,".",TEXT(J636,"0#"))</f>
        <v/>
      </c>
    </row>
    <row r="637">
      <c r="A637" t="inlineStr">
        <is>
          <t>.t636</t>
        </is>
      </c>
      <c r="B637" t="n">
        <v>636</v>
      </c>
      <c r="C637">
        <f>H637</f>
        <v/>
      </c>
      <c r="E637" s="456">
        <f>F636+2</f>
        <v/>
      </c>
      <c r="F637" s="456">
        <f>E637+5</f>
        <v/>
      </c>
      <c r="G637" s="141">
        <f>_xlfn.CONCAT(YEAR(E637),".",TEXT(MONTH(E637),"0#"))</f>
        <v/>
      </c>
      <c r="H637">
        <f>YEAR(E637)</f>
        <v/>
      </c>
      <c r="I637">
        <f>IF(VLOOKUP(G637,AC:AD,2,FALSE)&lt;4,1,0)</f>
        <v/>
      </c>
      <c r="J637">
        <f>IF(AND(DAY(F637)&lt; DAY(E637),I637=1),MONTH(E637)+1,MONTH(E637))</f>
        <v/>
      </c>
      <c r="K637" s="201">
        <f>_xlfn.CONCAT(H637,".",TEXT(J637,"0#"))</f>
        <v/>
      </c>
    </row>
    <row r="638">
      <c r="A638" t="inlineStr">
        <is>
          <t>.t637</t>
        </is>
      </c>
      <c r="B638" t="n">
        <v>637</v>
      </c>
      <c r="C638">
        <f>H638</f>
        <v/>
      </c>
      <c r="E638" s="456">
        <f>F637+2</f>
        <v/>
      </c>
      <c r="F638" s="456">
        <f>E638+5</f>
        <v/>
      </c>
      <c r="G638" s="141">
        <f>_xlfn.CONCAT(YEAR(E638),".",TEXT(MONTH(E638),"0#"))</f>
        <v/>
      </c>
      <c r="H638">
        <f>YEAR(E638)</f>
        <v/>
      </c>
      <c r="I638">
        <f>IF(VLOOKUP(G638,AC:AD,2,FALSE)&lt;4,1,0)</f>
        <v/>
      </c>
      <c r="J638">
        <f>IF(AND(DAY(F638)&lt; DAY(E638),I638=1),MONTH(E638)+1,MONTH(E638))</f>
        <v/>
      </c>
      <c r="K638" s="201">
        <f>_xlfn.CONCAT(H638,".",TEXT(J638,"0#"))</f>
        <v/>
      </c>
    </row>
    <row r="639">
      <c r="A639" t="inlineStr">
        <is>
          <t>.t638</t>
        </is>
      </c>
      <c r="B639" t="n">
        <v>638</v>
      </c>
      <c r="C639">
        <f>H639</f>
        <v/>
      </c>
      <c r="E639" s="456">
        <f>F638+2</f>
        <v/>
      </c>
      <c r="F639" s="456">
        <f>E639+5</f>
        <v/>
      </c>
      <c r="G639" s="141">
        <f>_xlfn.CONCAT(YEAR(E639),".",TEXT(MONTH(E639),"0#"))</f>
        <v/>
      </c>
      <c r="H639">
        <f>YEAR(E639)</f>
        <v/>
      </c>
      <c r="I639">
        <f>IF(VLOOKUP(G639,AC:AD,2,FALSE)&lt;4,1,0)</f>
        <v/>
      </c>
      <c r="J639">
        <f>IF(AND(DAY(F639)&lt; DAY(E639),I639=1),MONTH(E639)+1,MONTH(E639))</f>
        <v/>
      </c>
      <c r="K639" s="201">
        <f>_xlfn.CONCAT(H639,".",TEXT(J639,"0#"))</f>
        <v/>
      </c>
    </row>
    <row r="640">
      <c r="A640" t="inlineStr">
        <is>
          <t>.t639</t>
        </is>
      </c>
      <c r="B640" t="n">
        <v>639</v>
      </c>
      <c r="C640">
        <f>H640</f>
        <v/>
      </c>
      <c r="E640" s="456">
        <f>F639+2</f>
        <v/>
      </c>
      <c r="F640" s="456">
        <f>E640+5</f>
        <v/>
      </c>
      <c r="G640" s="141">
        <f>_xlfn.CONCAT(YEAR(E640),".",TEXT(MONTH(E640),"0#"))</f>
        <v/>
      </c>
      <c r="H640">
        <f>YEAR(E640)</f>
        <v/>
      </c>
      <c r="I640">
        <f>IF(VLOOKUP(G640,AC:AD,2,FALSE)&lt;4,1,0)</f>
        <v/>
      </c>
      <c r="J640">
        <f>IF(AND(DAY(F640)&lt; DAY(E640),I640=1),MONTH(E640)+1,MONTH(E640))</f>
        <v/>
      </c>
      <c r="K640" s="201">
        <f>_xlfn.CONCAT(H640,".",TEXT(J640,"0#"))</f>
        <v/>
      </c>
    </row>
    <row r="641">
      <c r="A641" t="inlineStr">
        <is>
          <t>.t640</t>
        </is>
      </c>
      <c r="B641" t="n">
        <v>640</v>
      </c>
      <c r="C641">
        <f>H641</f>
        <v/>
      </c>
      <c r="E641" s="456">
        <f>F640+2</f>
        <v/>
      </c>
      <c r="F641" s="456">
        <f>E641+5</f>
        <v/>
      </c>
      <c r="G641" s="141">
        <f>_xlfn.CONCAT(YEAR(E641),".",TEXT(MONTH(E641),"0#"))</f>
        <v/>
      </c>
      <c r="H641">
        <f>YEAR(E641)</f>
        <v/>
      </c>
      <c r="I641">
        <f>IF(VLOOKUP(G641,AC:AD,2,FALSE)&lt;4,1,0)</f>
        <v/>
      </c>
      <c r="J641">
        <f>IF(AND(DAY(F641)&lt; DAY(E641),I641=1),MONTH(E641)+1,MONTH(E641))</f>
        <v/>
      </c>
      <c r="K641" s="201">
        <f>_xlfn.CONCAT(H641,".",TEXT(J641,"0#"))</f>
        <v/>
      </c>
    </row>
    <row r="642">
      <c r="A642" t="inlineStr">
        <is>
          <t>.t641</t>
        </is>
      </c>
      <c r="B642" t="n">
        <v>641</v>
      </c>
      <c r="C642">
        <f>H642</f>
        <v/>
      </c>
      <c r="E642" s="456">
        <f>F641+2</f>
        <v/>
      </c>
      <c r="F642" s="456">
        <f>E642+5</f>
        <v/>
      </c>
      <c r="G642" s="141">
        <f>_xlfn.CONCAT(YEAR(E642),".",TEXT(MONTH(E642),"0#"))</f>
        <v/>
      </c>
      <c r="H642">
        <f>YEAR(E642)</f>
        <v/>
      </c>
      <c r="I642">
        <f>IF(VLOOKUP(G642,AC:AD,2,FALSE)&lt;4,1,0)</f>
        <v/>
      </c>
      <c r="J642">
        <f>IF(AND(DAY(F642)&lt; DAY(E642),I642=1),MONTH(E642)+1,MONTH(E642))</f>
        <v/>
      </c>
      <c r="K642" s="201">
        <f>_xlfn.CONCAT(H642,".",TEXT(J642,"0#"))</f>
        <v/>
      </c>
    </row>
    <row r="643">
      <c r="A643" t="inlineStr">
        <is>
          <t>.t642</t>
        </is>
      </c>
      <c r="B643" t="n">
        <v>642</v>
      </c>
      <c r="C643">
        <f>H643</f>
        <v/>
      </c>
      <c r="E643" s="456">
        <f>F642+2</f>
        <v/>
      </c>
      <c r="F643" s="456">
        <f>E643+5</f>
        <v/>
      </c>
      <c r="G643" s="141">
        <f>_xlfn.CONCAT(YEAR(E643),".",TEXT(MONTH(E643),"0#"))</f>
        <v/>
      </c>
      <c r="H643">
        <f>YEAR(E643)</f>
        <v/>
      </c>
      <c r="I643">
        <f>IF(VLOOKUP(G643,AC:AD,2,FALSE)&lt;4,1,0)</f>
        <v/>
      </c>
      <c r="J643">
        <f>IF(AND(DAY(F643)&lt; DAY(E643),I643=1),MONTH(E643)+1,MONTH(E643))</f>
        <v/>
      </c>
      <c r="K643" s="201">
        <f>_xlfn.CONCAT(H643,".",TEXT(J643,"0#"))</f>
        <v/>
      </c>
    </row>
    <row r="644">
      <c r="A644" t="inlineStr">
        <is>
          <t>.t643</t>
        </is>
      </c>
      <c r="B644" t="n">
        <v>643</v>
      </c>
      <c r="C644">
        <f>H644</f>
        <v/>
      </c>
      <c r="E644" s="456">
        <f>F643+2</f>
        <v/>
      </c>
      <c r="F644" s="456">
        <f>E644+5</f>
        <v/>
      </c>
      <c r="G644" s="141">
        <f>_xlfn.CONCAT(YEAR(E644),".",TEXT(MONTH(E644),"0#"))</f>
        <v/>
      </c>
      <c r="H644">
        <f>YEAR(E644)</f>
        <v/>
      </c>
      <c r="I644">
        <f>IF(VLOOKUP(G644,AC:AD,2,FALSE)&lt;4,1,0)</f>
        <v/>
      </c>
      <c r="J644">
        <f>IF(AND(DAY(F644)&lt; DAY(E644),I644=1),MONTH(E644)+1,MONTH(E644))</f>
        <v/>
      </c>
      <c r="K644" s="201">
        <f>_xlfn.CONCAT(H644,".",TEXT(J644,"0#"))</f>
        <v/>
      </c>
    </row>
    <row r="645">
      <c r="A645" t="inlineStr">
        <is>
          <t>.t644</t>
        </is>
      </c>
      <c r="B645" t="n">
        <v>644</v>
      </c>
      <c r="C645">
        <f>H645</f>
        <v/>
      </c>
      <c r="E645" s="456">
        <f>F644+2</f>
        <v/>
      </c>
      <c r="F645" s="456">
        <f>E645+5</f>
        <v/>
      </c>
      <c r="G645" s="141">
        <f>_xlfn.CONCAT(YEAR(E645),".",TEXT(MONTH(E645),"0#"))</f>
        <v/>
      </c>
      <c r="H645">
        <f>YEAR(E645)</f>
        <v/>
      </c>
      <c r="I645">
        <f>IF(VLOOKUP(G645,AC:AD,2,FALSE)&lt;4,1,0)</f>
        <v/>
      </c>
      <c r="J645">
        <f>IF(AND(DAY(F645)&lt; DAY(E645),I645=1),MONTH(E645)+1,MONTH(E645))</f>
        <v/>
      </c>
      <c r="K645" s="201">
        <f>_xlfn.CONCAT(H645,".",TEXT(J645,"0#"))</f>
        <v/>
      </c>
    </row>
    <row r="646">
      <c r="A646" t="inlineStr">
        <is>
          <t>.t645</t>
        </is>
      </c>
      <c r="B646" t="n">
        <v>645</v>
      </c>
      <c r="C646">
        <f>H646</f>
        <v/>
      </c>
      <c r="E646" s="456">
        <f>F645+2</f>
        <v/>
      </c>
      <c r="F646" s="456">
        <f>E646+5</f>
        <v/>
      </c>
      <c r="G646" s="141">
        <f>_xlfn.CONCAT(YEAR(E646),".",TEXT(MONTH(E646),"0#"))</f>
        <v/>
      </c>
      <c r="H646">
        <f>YEAR(E646)</f>
        <v/>
      </c>
      <c r="I646">
        <f>IF(VLOOKUP(G646,AC:AD,2,FALSE)&lt;4,1,0)</f>
        <v/>
      </c>
      <c r="J646">
        <f>IF(AND(DAY(F646)&lt; DAY(E646),I646=1),MONTH(E646)+1,MONTH(E646))</f>
        <v/>
      </c>
      <c r="K646" s="201">
        <f>_xlfn.CONCAT(H646,".",TEXT(J646,"0#"))</f>
        <v/>
      </c>
    </row>
    <row r="647">
      <c r="A647" t="inlineStr">
        <is>
          <t>.t646</t>
        </is>
      </c>
      <c r="B647" t="n">
        <v>646</v>
      </c>
      <c r="C647">
        <f>H647</f>
        <v/>
      </c>
      <c r="E647" s="456">
        <f>F646+2</f>
        <v/>
      </c>
      <c r="F647" s="456">
        <f>E647+5</f>
        <v/>
      </c>
      <c r="G647" s="141">
        <f>_xlfn.CONCAT(YEAR(E647),".",TEXT(MONTH(E647),"0#"))</f>
        <v/>
      </c>
      <c r="H647">
        <f>YEAR(E647)</f>
        <v/>
      </c>
      <c r="I647">
        <f>IF(VLOOKUP(G647,AC:AD,2,FALSE)&lt;4,1,0)</f>
        <v/>
      </c>
      <c r="J647">
        <f>IF(AND(DAY(F647)&lt; DAY(E647),I647=1),MONTH(E647)+1,MONTH(E647))</f>
        <v/>
      </c>
      <c r="K647" s="201">
        <f>_xlfn.CONCAT(H647,".",TEXT(J647,"0#"))</f>
        <v/>
      </c>
    </row>
    <row r="648">
      <c r="A648" t="inlineStr">
        <is>
          <t>.t647</t>
        </is>
      </c>
      <c r="B648" t="n">
        <v>647</v>
      </c>
      <c r="C648">
        <f>H648</f>
        <v/>
      </c>
      <c r="E648" s="456">
        <f>F647+2</f>
        <v/>
      </c>
      <c r="F648" s="456">
        <f>E648+5</f>
        <v/>
      </c>
      <c r="G648" s="141">
        <f>_xlfn.CONCAT(YEAR(E648),".",TEXT(MONTH(E648),"0#"))</f>
        <v/>
      </c>
      <c r="H648">
        <f>YEAR(E648)</f>
        <v/>
      </c>
      <c r="I648">
        <f>IF(VLOOKUP(G648,AC:AD,2,FALSE)&lt;4,1,0)</f>
        <v/>
      </c>
      <c r="J648">
        <f>IF(AND(DAY(F648)&lt; DAY(E648),I648=1),MONTH(E648)+1,MONTH(E648))</f>
        <v/>
      </c>
      <c r="K648" s="201">
        <f>_xlfn.CONCAT(H648,".",TEXT(J648,"0#"))</f>
        <v/>
      </c>
    </row>
    <row r="649">
      <c r="A649" t="inlineStr">
        <is>
          <t>.t648</t>
        </is>
      </c>
      <c r="B649" t="n">
        <v>648</v>
      </c>
      <c r="C649">
        <f>H649</f>
        <v/>
      </c>
      <c r="E649" s="456">
        <f>F648+2</f>
        <v/>
      </c>
      <c r="F649" s="456">
        <f>E649+5</f>
        <v/>
      </c>
      <c r="G649" s="141">
        <f>_xlfn.CONCAT(YEAR(E649),".",TEXT(MONTH(E649),"0#"))</f>
        <v/>
      </c>
      <c r="H649">
        <f>YEAR(E649)</f>
        <v/>
      </c>
      <c r="I649">
        <f>IF(VLOOKUP(G649,AC:AD,2,FALSE)&lt;4,1,0)</f>
        <v/>
      </c>
      <c r="J649">
        <f>IF(AND(DAY(F649)&lt; DAY(E649),I649=1),MONTH(E649)+1,MONTH(E649))</f>
        <v/>
      </c>
      <c r="K649" s="201">
        <f>_xlfn.CONCAT(H649,".",TEXT(J649,"0#"))</f>
        <v/>
      </c>
    </row>
    <row r="650">
      <c r="A650" t="inlineStr">
        <is>
          <t>.t649</t>
        </is>
      </c>
      <c r="B650" t="n">
        <v>649</v>
      </c>
      <c r="C650">
        <f>H650</f>
        <v/>
      </c>
      <c r="E650" s="456">
        <f>F649+2</f>
        <v/>
      </c>
      <c r="F650" s="456">
        <f>E650+5</f>
        <v/>
      </c>
      <c r="G650" s="141">
        <f>_xlfn.CONCAT(YEAR(E650),".",TEXT(MONTH(E650),"0#"))</f>
        <v/>
      </c>
      <c r="H650">
        <f>YEAR(E650)</f>
        <v/>
      </c>
      <c r="I650">
        <f>IF(VLOOKUP(G650,AC:AD,2,FALSE)&lt;4,1,0)</f>
        <v/>
      </c>
      <c r="J650">
        <f>IF(AND(DAY(F650)&lt; DAY(E650),I650=1),MONTH(E650)+1,MONTH(E650))</f>
        <v/>
      </c>
      <c r="K650" s="201">
        <f>_xlfn.CONCAT(H650,".",TEXT(J650,"0#"))</f>
        <v/>
      </c>
    </row>
    <row r="651">
      <c r="A651" t="inlineStr">
        <is>
          <t>.t650</t>
        </is>
      </c>
      <c r="B651" t="n">
        <v>650</v>
      </c>
      <c r="C651">
        <f>H651</f>
        <v/>
      </c>
      <c r="E651" s="456">
        <f>F650+2</f>
        <v/>
      </c>
      <c r="F651" s="456">
        <f>E651+5</f>
        <v/>
      </c>
      <c r="G651" s="141">
        <f>_xlfn.CONCAT(YEAR(E651),".",TEXT(MONTH(E651),"0#"))</f>
        <v/>
      </c>
      <c r="H651">
        <f>YEAR(E651)</f>
        <v/>
      </c>
      <c r="I651">
        <f>IF(VLOOKUP(G651,AC:AD,2,FALSE)&lt;4,1,0)</f>
        <v/>
      </c>
      <c r="J651">
        <f>IF(AND(DAY(F651)&lt; DAY(E651),I651=1),MONTH(E651)+1,MONTH(E651))</f>
        <v/>
      </c>
      <c r="K651" s="201">
        <f>_xlfn.CONCAT(H651,".",TEXT(J651,"0#"))</f>
        <v/>
      </c>
    </row>
    <row r="652">
      <c r="A652" t="inlineStr">
        <is>
          <t>.t651</t>
        </is>
      </c>
      <c r="B652" t="n">
        <v>651</v>
      </c>
      <c r="C652">
        <f>H652</f>
        <v/>
      </c>
      <c r="E652" s="456">
        <f>F651+2</f>
        <v/>
      </c>
      <c r="F652" s="456">
        <f>E652+5</f>
        <v/>
      </c>
      <c r="G652" s="141">
        <f>_xlfn.CONCAT(YEAR(E652),".",TEXT(MONTH(E652),"0#"))</f>
        <v/>
      </c>
      <c r="H652">
        <f>YEAR(E652)</f>
        <v/>
      </c>
      <c r="I652">
        <f>IF(VLOOKUP(G652,AC:AD,2,FALSE)&lt;4,1,0)</f>
        <v/>
      </c>
      <c r="J652">
        <f>IF(AND(DAY(F652)&lt; DAY(E652),I652=1),MONTH(E652)+1,MONTH(E652))</f>
        <v/>
      </c>
      <c r="K652" s="201">
        <f>_xlfn.CONCAT(H652,".",TEXT(J652,"0#"))</f>
        <v/>
      </c>
    </row>
    <row r="653">
      <c r="A653" t="inlineStr">
        <is>
          <t>.t652</t>
        </is>
      </c>
      <c r="B653" t="n">
        <v>652</v>
      </c>
      <c r="C653">
        <f>H653</f>
        <v/>
      </c>
      <c r="E653" s="456">
        <f>F652+2</f>
        <v/>
      </c>
      <c r="F653" s="456">
        <f>E653+5</f>
        <v/>
      </c>
      <c r="G653" s="141">
        <f>_xlfn.CONCAT(YEAR(E653),".",TEXT(MONTH(E653),"0#"))</f>
        <v/>
      </c>
      <c r="H653">
        <f>YEAR(E653)</f>
        <v/>
      </c>
      <c r="I653">
        <f>IF(VLOOKUP(G653,AC:AD,2,FALSE)&lt;4,1,0)</f>
        <v/>
      </c>
      <c r="J653">
        <f>IF(AND(DAY(F653)&lt; DAY(E653),I653=1),MONTH(E653)+1,MONTH(E653))</f>
        <v/>
      </c>
      <c r="K653" s="201">
        <f>_xlfn.CONCAT(H653,".",TEXT(J653,"0#"))</f>
        <v/>
      </c>
    </row>
    <row r="654">
      <c r="E654" s="456" t="n"/>
      <c r="F654" s="456" t="n"/>
    </row>
    <row r="655">
      <c r="E655" s="456" t="n"/>
      <c r="F655" s="456" t="n"/>
    </row>
    <row r="656">
      <c r="E656" s="456" t="n"/>
      <c r="F656" s="456" t="n"/>
    </row>
    <row r="657">
      <c r="E657" s="456" t="n"/>
      <c r="F657" s="456" t="n"/>
    </row>
    <row r="658">
      <c r="E658" s="456" t="n"/>
      <c r="F658" s="456" t="n"/>
    </row>
    <row r="659">
      <c r="E659" s="456" t="n"/>
      <c r="F659" s="456" t="n"/>
    </row>
  </sheetData>
  <autoFilter ref="AE2:AE301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Włodzimierz Ossowski</dc:creator>
  <dcterms:created xmlns:dcterms="http://purl.org/dc/terms/" xmlns:xsi="http://www.w3.org/2001/XMLSchema-instance" xsi:type="dcterms:W3CDTF">2025-05-16T09:50:04Z</dcterms:created>
  <dcterms:modified xmlns:dcterms="http://purl.org/dc/terms/" xmlns:xsi="http://www.w3.org/2001/XMLSchema-instance" xsi:type="dcterms:W3CDTF">2026-04-06T11:48:39Z</dcterms:modified>
  <cp:lastModifiedBy>Włodzimierz Ossowski</cp:lastModifiedBy>
</cp:coreProperties>
</file>